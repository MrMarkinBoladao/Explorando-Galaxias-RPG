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Campanha" sheetId="2" state="visible" r:id="rId2"/>
    <sheet xmlns:r="http://schemas.openxmlformats.org/officeDocument/2006/relationships" name="Grupo" sheetId="3" state="visible" r:id="rId3"/>
    <sheet xmlns:r="http://schemas.openxmlformats.org/officeDocument/2006/relationships" name="Sessões" sheetId="4" state="visible" r:id="rId4"/>
    <sheet xmlns:r="http://schemas.openxmlformats.org/officeDocument/2006/relationships" name="Missões" sheetId="5" state="visible" r:id="rId5"/>
    <sheet xmlns:r="http://schemas.openxmlformats.org/officeDocument/2006/relationships" name="NPCs" sheetId="6" state="visible" r:id="rId6"/>
    <sheet xmlns:r="http://schemas.openxmlformats.org/officeDocument/2006/relationships" name="Inimigos" sheetId="7" state="visible" r:id="rId7"/>
    <sheet xmlns:r="http://schemas.openxmlformats.org/officeDocument/2006/relationships" name="Bestiário" sheetId="8" state="visible" r:id="rId8"/>
    <sheet xmlns:r="http://schemas.openxmlformats.org/officeDocument/2006/relationships" name="Encontros" sheetId="9" state="visible" r:id="rId9"/>
    <sheet xmlns:r="http://schemas.openxmlformats.org/officeDocument/2006/relationships" name="Combate" sheetId="10" state="visible" r:id="rId10"/>
    <sheet xmlns:r="http://schemas.openxmlformats.org/officeDocument/2006/relationships" name="Aventuras" sheetId="11" state="visible" r:id="rId11"/>
    <sheet xmlns:r="http://schemas.openxmlformats.org/officeDocument/2006/relationships" name="Recompensas" sheetId="12" state="visible" r:id="rId12"/>
    <sheet xmlns:r="http://schemas.openxmlformats.org/officeDocument/2006/relationships" name="Mundos" sheetId="13" state="visible" r:id="rId13"/>
    <sheet xmlns:r="http://schemas.openxmlformats.org/officeDocument/2006/relationships" name="Improviso" sheetId="14" state="visible" r:id="rId14"/>
    <sheet xmlns:r="http://schemas.openxmlformats.org/officeDocument/2006/relationships" name="Escudo do Mestre" sheetId="15" state="visible" r:id="rId15"/>
    <sheet xmlns:r="http://schemas.openxmlformats.org/officeDocument/2006/relationships" name="Minhas Tabelas" sheetId="16" state="visible" r:id="rId16"/>
    <sheet xmlns:r="http://schemas.openxmlformats.org/officeDocument/2006/relationships" name="Tabelas" sheetId="17" state="visible" r:id="rId17"/>
    <sheet xmlns:r="http://schemas.openxmlformats.org/officeDocument/2006/relationships" name="Dados" sheetId="18" state="visible" r:id="rId18"/>
  </sheets>
  <definedNames>
    <definedName name="_xlnm.Print_Area" localSheetId="5">'NPCs'!$A$215:$J$233</definedName>
    <definedName name="_xlnm.Print_Area" localSheetId="14">'Escudo do Mestre'!$A$1:$J$173</definedName>
  </definedNames>
  <calcPr calcId="124519" fullCalcOnLoad="1"/>
</workbook>
</file>

<file path=xl/styles.xml><?xml version="1.0" encoding="utf-8"?>
<styleSheet xmlns="http://schemas.openxmlformats.org/spreadsheetml/2006/main">
  <numFmts count="0"/>
  <fonts count="20">
    <font>
      <name val="Arial"/>
      <sz val="10"/>
    </font>
    <font>
      <name val="Arial"/>
      <b val="1"/>
      <color rgb="00FFFFFF"/>
      <sz val="16"/>
    </font>
    <font>
      <name val="Arial"/>
      <b val="1"/>
      <color rgb="00000000"/>
      <sz val="10"/>
    </font>
    <font>
      <name val="Arial"/>
      <i val="1"/>
      <color rgb="00000000"/>
      <sz val="10"/>
    </font>
    <font>
      <name val="Arial"/>
      <b val="1"/>
      <color rgb="00FFFFFF"/>
      <sz val="12"/>
    </font>
    <font>
      <name val="Arial"/>
      <b val="1"/>
      <color rgb="001F3864"/>
      <sz val="10"/>
    </font>
    <font>
      <name val="Arial"/>
      <color rgb="001F1F1F"/>
      <sz val="10"/>
    </font>
    <font>
      <name val="Arial"/>
      <color rgb="00000000"/>
      <sz val="10"/>
    </font>
    <font>
      <name val="Arial"/>
      <color rgb="00595959"/>
      <sz val="10"/>
    </font>
    <font>
      <name val="Arial"/>
      <b val="1"/>
      <color rgb="009C0006"/>
      <sz val="10"/>
    </font>
    <font>
      <name val="Arial"/>
      <b val="1"/>
      <color rgb="001F1F1F"/>
      <sz val="10"/>
    </font>
    <font>
      <name val="Arial"/>
      <b val="1"/>
      <color rgb="00000000"/>
      <sz val="9"/>
    </font>
    <font>
      <name val="Arial"/>
      <b val="1"/>
      <color rgb="00FFFFFF"/>
      <sz val="10"/>
    </font>
    <font>
      <name val="Arial"/>
      <b val="1"/>
      <color rgb="001F3864"/>
      <sz val="9"/>
    </font>
    <font>
      <name val="Arial"/>
      <b val="1"/>
      <color rgb="001F1F1F"/>
      <sz val="9"/>
    </font>
    <font>
      <name val="Arial"/>
      <color rgb="001F1F1F"/>
      <sz val="9"/>
    </font>
    <font>
      <name val="Arial"/>
      <i val="1"/>
      <color rgb="00000000"/>
      <sz val="9"/>
    </font>
    <font>
      <name val="Arial"/>
      <color rgb="00595959"/>
      <sz val="9"/>
    </font>
    <font>
      <name val="Arial"/>
      <b val="1"/>
      <i val="1"/>
      <color rgb="00000000"/>
      <sz val="10"/>
    </font>
    <font>
      <name val="Arial"/>
      <b val="1"/>
      <i val="1"/>
      <color rgb="00000000"/>
      <sz val="9"/>
    </font>
  </fonts>
  <fills count="11">
    <fill>
      <patternFill/>
    </fill>
    <fill>
      <patternFill patternType="gray125"/>
    </fill>
    <fill>
      <patternFill patternType="solid">
        <fgColor rgb="001F3864"/>
      </patternFill>
    </fill>
    <fill>
      <patternFill patternType="solid">
        <fgColor rgb="00B4C6E7"/>
      </patternFill>
    </fill>
    <fill>
      <patternFill patternType="solid">
        <fgColor rgb="00E8EEF7"/>
      </patternFill>
    </fill>
    <fill>
      <patternFill patternType="solid">
        <fgColor rgb="00D9D9D9"/>
      </patternFill>
    </fill>
    <fill>
      <patternFill patternType="solid">
        <fgColor rgb="00FFF2CC"/>
      </patternFill>
    </fill>
    <fill>
      <patternFill patternType="solid">
        <fgColor rgb="00FFC7CE"/>
      </patternFill>
    </fill>
    <fill>
      <patternFill patternType="solid">
        <fgColor rgb="00D6E0F0"/>
      </patternFill>
    </fill>
    <fill>
      <patternFill patternType="solid">
        <fgColor rgb="00F2F2F2"/>
      </patternFill>
    </fill>
    <fill>
      <patternFill patternType="solid">
        <fgColor rgb="00FFE9B0"/>
      </patternFill>
    </fill>
  </fills>
  <borders count="10">
    <border>
      <left/>
      <right/>
      <top/>
      <bottom/>
      <diagonal/>
    </border>
    <border>
      <bottom style="medium">
        <color rgb="001F3864"/>
      </bottom>
    </border>
    <border>
      <left style="thin">
        <color rgb="00BF9000"/>
      </left>
      <right style="thin">
        <color rgb="00BF9000"/>
      </right>
      <top style="thin">
        <color rgb="00BF9000"/>
      </top>
      <bottom style="thin">
        <color rgb="00BF9000"/>
      </bottom>
    </border>
    <border>
      <left/>
      <right/>
      <top style="thin">
        <color rgb="00BF9000"/>
      </top>
      <bottom/>
      <diagonal/>
    </border>
    <border>
      <left/>
      <right style="thin">
        <color rgb="00BF9000"/>
      </right>
      <top style="thin">
        <color rgb="00BF9000"/>
      </top>
      <bottom/>
      <diagonal/>
    </border>
    <border>
      <left/>
      <right style="thin">
        <color rgb="00BF9000"/>
      </right>
      <top style="thin">
        <color rgb="00BF9000"/>
      </top>
      <bottom style="thin">
        <color rgb="00BF9000"/>
      </bottom>
      <diagonal/>
    </border>
    <border>
      <left/>
      <right/>
      <top/>
      <bottom style="medium">
        <color rgb="001F3864"/>
      </bottom>
      <diagonal/>
    </border>
    <border>
      <left/>
      <right/>
      <top style="thin">
        <color rgb="00BF9000"/>
      </top>
      <bottom style="thin">
        <color rgb="00BF9000"/>
      </bottom>
      <diagonal/>
    </border>
    <border>
      <left/>
      <right style="medium">
        <color rgb="001F3864"/>
      </right>
      <top/>
      <bottom/>
    </border>
    <border>
      <left style="thin">
        <color rgb="00BF9000"/>
      </left>
      <right style="medium">
        <color rgb="001F3864"/>
      </right>
      <top style="thin">
        <color rgb="00BF9000"/>
      </top>
      <bottom style="thin">
        <color rgb="00BF9000"/>
      </bottom>
    </border>
  </borders>
  <cellStyleXfs count="1">
    <xf numFmtId="0" fontId="0" fillId="0" borderId="0"/>
  </cellStyleXfs>
  <cellXfs count="71">
    <xf numFmtId="0" fontId="0" fillId="0" borderId="0" pivotButton="0" quotePrefix="0" xfId="0"/>
    <xf numFmtId="0" fontId="1" fillId="2" borderId="0" applyAlignment="1" pivotButton="0" quotePrefix="0" xfId="0">
      <alignment vertical="center"/>
    </xf>
    <xf numFmtId="0" fontId="8" fillId="5" borderId="0" applyAlignment="1" pivotButton="0" quotePrefix="0" xfId="0">
      <alignment vertical="center"/>
    </xf>
    <xf numFmtId="0" fontId="2" fillId="0" borderId="0" applyAlignment="1" pivotButton="0" quotePrefix="0" xfId="0">
      <alignment vertical="center"/>
    </xf>
    <xf numFmtId="0" fontId="7" fillId="6" borderId="2" applyAlignment="1" pivotButton="0" quotePrefix="0" xfId="0">
      <alignment vertical="center" wrapText="1"/>
    </xf>
    <xf numFmtId="0" fontId="6" fillId="4" borderId="0" applyAlignment="1" pivotButton="0" quotePrefix="0" xfId="0">
      <alignment vertical="center" wrapText="1"/>
    </xf>
    <xf numFmtId="0" fontId="9" fillId="7" borderId="0" applyAlignment="1" pivotButton="0" quotePrefix="0" xfId="0">
      <alignment vertical="center" wrapText="1"/>
    </xf>
    <xf numFmtId="0" fontId="12" fillId="2" borderId="0" applyAlignment="1" pivotButton="0" quotePrefix="0" xfId="0">
      <alignment vertical="center" wrapText="1"/>
    </xf>
    <xf numFmtId="0" fontId="5" fillId="3" borderId="1" applyAlignment="1" pivotButton="0" quotePrefix="0" xfId="0">
      <alignment vertical="center" wrapText="1"/>
    </xf>
    <xf numFmtId="0" fontId="2" fillId="0" borderId="8" applyAlignment="1" pivotButton="0" quotePrefix="0" xfId="0">
      <alignment vertical="center" wrapText="1"/>
    </xf>
    <xf numFmtId="0" fontId="6" fillId="8" borderId="0" applyAlignment="1" pivotButton="0" quotePrefix="0" xfId="0">
      <alignment vertical="center" wrapText="1"/>
    </xf>
    <xf numFmtId="0" fontId="8" fillId="5"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vertical="center"/>
    </xf>
    <xf numFmtId="0" fontId="7" fillId="0" borderId="0" applyAlignment="1" pivotButton="0" quotePrefix="0" xfId="0">
      <alignment vertical="center" wrapText="1"/>
    </xf>
    <xf numFmtId="0" fontId="2" fillId="0" borderId="0" applyAlignment="1" pivotButton="0" quotePrefix="0" xfId="0">
      <alignment vertical="center" wrapText="1"/>
    </xf>
    <xf numFmtId="0" fontId="7" fillId="6" borderId="2" applyAlignment="1" pivotButton="0" quotePrefix="0" xfId="0">
      <alignment horizontal="center" vertical="center"/>
    </xf>
    <xf numFmtId="0" fontId="0" fillId="0" borderId="5" pivotButton="0" quotePrefix="0" xfId="0"/>
    <xf numFmtId="0" fontId="6" fillId="4" borderId="0" applyAlignment="1" pivotButton="0" quotePrefix="0" xfId="0">
      <alignment horizontal="center" vertical="center" wrapText="1"/>
    </xf>
    <xf numFmtId="0" fontId="9" fillId="0" borderId="0" applyAlignment="1" pivotButton="0" quotePrefix="0" xfId="0">
      <alignment vertical="center" wrapText="1"/>
    </xf>
    <xf numFmtId="0" fontId="0" fillId="0" borderId="6" pivotButton="0" quotePrefix="0" xfId="0"/>
    <xf numFmtId="0" fontId="2" fillId="9" borderId="8" applyAlignment="1" pivotButton="0" quotePrefix="0" xfId="0">
      <alignment vertical="center" wrapText="1"/>
    </xf>
    <xf numFmtId="0" fontId="7" fillId="9" borderId="0" applyAlignment="1" pivotButton="0" quotePrefix="0" xfId="0">
      <alignment vertical="center" wrapText="1"/>
    </xf>
    <xf numFmtId="0" fontId="6" fillId="8" borderId="0" applyAlignment="1" pivotButton="0" quotePrefix="0" xfId="0">
      <alignment horizontal="center" vertical="center" wrapText="1"/>
    </xf>
    <xf numFmtId="0" fontId="10" fillId="4" borderId="0" applyAlignment="1" pivotButton="0" quotePrefix="0" xfId="0">
      <alignment horizontal="center" vertical="center" wrapText="1"/>
    </xf>
    <xf numFmtId="0" fontId="0" fillId="0" borderId="7" pivotButton="0" quotePrefix="0" xfId="0"/>
    <xf numFmtId="0" fontId="7" fillId="10" borderId="2" applyAlignment="1" pivotButton="0" quotePrefix="0" xfId="0">
      <alignment vertical="center"/>
    </xf>
    <xf numFmtId="0" fontId="9" fillId="9" borderId="0" applyAlignment="1" pivotButton="0" quotePrefix="0" xfId="0">
      <alignment vertical="center" wrapText="1"/>
    </xf>
    <xf numFmtId="0" fontId="7" fillId="6" borderId="2" applyAlignment="1" pivotButton="0" quotePrefix="0" xfId="0">
      <alignment vertical="center"/>
    </xf>
    <xf numFmtId="0" fontId="7" fillId="10" borderId="2" applyAlignment="1" pivotButton="0" quotePrefix="0" xfId="0">
      <alignment vertical="center" wrapText="1"/>
    </xf>
    <xf numFmtId="0" fontId="0" fillId="9" borderId="0" pivotButton="0" quotePrefix="0" xfId="0"/>
    <xf numFmtId="0" fontId="10" fillId="4" borderId="8" applyAlignment="1" pivotButton="0" quotePrefix="0" xfId="0">
      <alignment vertical="center" wrapText="1"/>
    </xf>
    <xf numFmtId="0" fontId="18" fillId="9" borderId="8" applyAlignment="1" pivotButton="0" quotePrefix="0" xfId="0">
      <alignment vertical="center" wrapText="1"/>
    </xf>
    <xf numFmtId="0" fontId="2" fillId="6" borderId="9" applyAlignment="1" pivotButton="0" quotePrefix="0" xfId="0">
      <alignment vertical="center" wrapText="1"/>
    </xf>
    <xf numFmtId="0" fontId="7" fillId="6" borderId="2" applyAlignment="1" pivotButton="0" quotePrefix="0" xfId="0">
      <alignment horizontal="center" vertical="center" wrapText="1"/>
    </xf>
    <xf numFmtId="0" fontId="2" fillId="10" borderId="9" applyAlignment="1" pivotButton="0" quotePrefix="0" xfId="0">
      <alignment vertical="center" wrapText="1"/>
    </xf>
    <xf numFmtId="0" fontId="7" fillId="10" borderId="2" applyAlignment="1" pivotButton="0" quotePrefix="0" xfId="0">
      <alignment horizontal="center" vertical="center" wrapText="1"/>
    </xf>
    <xf numFmtId="0" fontId="7" fillId="10" borderId="2" applyAlignment="1" pivotButton="0" quotePrefix="0" xfId="0">
      <alignment horizontal="center" vertical="center"/>
    </xf>
    <xf numFmtId="0" fontId="2" fillId="6" borderId="9" applyAlignment="1" pivotButton="0" quotePrefix="0" xfId="0">
      <alignment horizontal="center" vertical="center"/>
    </xf>
    <xf numFmtId="0" fontId="2" fillId="10" borderId="9" applyAlignment="1" pivotButton="0" quotePrefix="0" xfId="0">
      <alignment horizontal="center" vertical="center"/>
    </xf>
    <xf numFmtId="0" fontId="10" fillId="4" borderId="8" applyAlignment="1" pivotButton="0" quotePrefix="0" xfId="0">
      <alignment horizontal="center" vertical="center" wrapText="1"/>
    </xf>
    <xf numFmtId="0" fontId="10" fillId="8" borderId="8" applyAlignment="1" pivotButton="0" quotePrefix="0" xfId="0">
      <alignment horizontal="center" vertical="center" wrapText="1"/>
    </xf>
    <xf numFmtId="0" fontId="3" fillId="9" borderId="0" applyAlignment="1" pivotButton="0" quotePrefix="0" xfId="0">
      <alignment vertical="center" wrapText="1"/>
    </xf>
    <xf numFmtId="0" fontId="10" fillId="8" borderId="8" applyAlignment="1" pivotButton="0" quotePrefix="0" xfId="0">
      <alignment vertical="center" wrapText="1"/>
    </xf>
    <xf numFmtId="0" fontId="18" fillId="0" borderId="8" applyAlignment="1" pivotButton="0" quotePrefix="0" xfId="0">
      <alignment vertical="center" wrapText="1"/>
    </xf>
    <xf numFmtId="0" fontId="9" fillId="9" borderId="8" applyAlignment="1" pivotButton="0" quotePrefix="0" xfId="0">
      <alignment vertical="center" wrapText="1"/>
    </xf>
    <xf numFmtId="0" fontId="10" fillId="4" borderId="0" applyAlignment="1" pivotButton="0" quotePrefix="0" xfId="0">
      <alignment vertical="center" wrapText="1"/>
    </xf>
    <xf numFmtId="0" fontId="2" fillId="9" borderId="0" applyAlignment="1" pivotButton="0" quotePrefix="0" xfId="0">
      <alignment vertical="center" wrapText="1"/>
    </xf>
    <xf numFmtId="0" fontId="10" fillId="8" borderId="0" applyAlignment="1" pivotButton="0" quotePrefix="0" xfId="0">
      <alignment vertical="center" wrapText="1"/>
    </xf>
    <xf numFmtId="0" fontId="10" fillId="8" borderId="0" applyAlignment="1" pivotButton="0" quotePrefix="0" xfId="0">
      <alignment horizontal="center" vertical="center" wrapText="1"/>
    </xf>
    <xf numFmtId="0" fontId="11" fillId="0" borderId="0" applyAlignment="1" pivotButton="0" quotePrefix="0" xfId="0">
      <alignment vertical="center" wrapText="1"/>
    </xf>
    <xf numFmtId="0" fontId="12" fillId="2" borderId="0" applyAlignment="1" pivotButton="0" quotePrefix="0" xfId="0">
      <alignment vertical="center"/>
    </xf>
    <xf numFmtId="0" fontId="13" fillId="3" borderId="1" applyAlignment="1" pivotButton="0" quotePrefix="0" xfId="0">
      <alignment vertical="center" wrapText="1"/>
    </xf>
    <xf numFmtId="0" fontId="14" fillId="4" borderId="8" applyAlignment="1" pivotButton="0" quotePrefix="0" xfId="0">
      <alignment vertical="center" wrapText="1"/>
    </xf>
    <xf numFmtId="0" fontId="15" fillId="4" borderId="0" applyAlignment="1" pivotButton="0" quotePrefix="0" xfId="0">
      <alignment horizontal="center" vertical="center" wrapText="1"/>
    </xf>
    <xf numFmtId="0" fontId="15" fillId="4" borderId="0" applyAlignment="1" pivotButton="0" quotePrefix="0" xfId="0">
      <alignment vertical="center" wrapText="1"/>
    </xf>
    <xf numFmtId="0" fontId="14" fillId="8" borderId="8" applyAlignment="1" pivotButton="0" quotePrefix="0" xfId="0">
      <alignment vertical="center" wrapText="1"/>
    </xf>
    <xf numFmtId="0" fontId="15" fillId="8" borderId="0" applyAlignment="1" pivotButton="0" quotePrefix="0" xfId="0">
      <alignment horizontal="center" vertical="center" wrapText="1"/>
    </xf>
    <xf numFmtId="0" fontId="15" fillId="8" borderId="0" applyAlignment="1" pivotButton="0" quotePrefix="0" xfId="0">
      <alignment vertical="center" wrapText="1"/>
    </xf>
    <xf numFmtId="0" fontId="16" fillId="9" borderId="0" applyAlignment="1" pivotButton="0" quotePrefix="0" xfId="0">
      <alignment vertical="center" wrapText="1"/>
    </xf>
    <xf numFmtId="0" fontId="16" fillId="0" borderId="0" applyAlignment="1" pivotButton="0" quotePrefix="0" xfId="0">
      <alignment vertical="center" wrapText="1"/>
    </xf>
    <xf numFmtId="0" fontId="17" fillId="5" borderId="0" applyAlignment="1" pivotButton="0" quotePrefix="0" xfId="0">
      <alignment vertical="center"/>
    </xf>
    <xf numFmtId="0" fontId="14" fillId="4" borderId="8" applyAlignment="1" pivotButton="0" quotePrefix="0" xfId="0">
      <alignment horizontal="center" vertical="center" wrapText="1"/>
    </xf>
    <xf numFmtId="0" fontId="14" fillId="8" borderId="8" applyAlignment="1" pivotButton="0" quotePrefix="0" xfId="0">
      <alignment horizontal="center" vertical="center" wrapText="1"/>
    </xf>
    <xf numFmtId="0" fontId="11" fillId="9" borderId="8" applyAlignment="1" pivotButton="0" quotePrefix="0" xfId="0">
      <alignment vertical="center" wrapText="1"/>
    </xf>
    <xf numFmtId="0" fontId="11" fillId="0" borderId="8" applyAlignment="1" pivotButton="0" quotePrefix="0" xfId="0">
      <alignment vertical="center" wrapText="1"/>
    </xf>
    <xf numFmtId="0" fontId="19" fillId="0" borderId="8" applyAlignment="1" pivotButton="0" quotePrefix="0" xfId="0">
      <alignment vertical="center" wrapText="1"/>
    </xf>
    <xf numFmtId="0" fontId="14" fillId="4" borderId="0" applyAlignment="1" pivotButton="0" quotePrefix="0" xfId="0">
      <alignment vertical="center" wrapText="1"/>
    </xf>
    <xf numFmtId="0" fontId="14" fillId="8" borderId="0" applyAlignment="1" pivotButton="0" quotePrefix="0" xfId="0">
      <alignment vertical="center" wrapText="1"/>
    </xf>
    <xf numFmtId="0" fontId="4" fillId="2" borderId="0" applyAlignment="1" pivotButton="0" quotePrefix="0" xfId="0">
      <alignment vertical="center" wrapText="1"/>
    </xf>
    <xf numFmtId="0" fontId="4" fillId="2" borderId="0" pivotButton="0" quotePrefix="0" xfId="0"/>
  </cellXfs>
  <cellStyles count="1">
    <cellStyle name="Normal" xfId="0" builtinId="0" hidden="0"/>
  </cellStyles>
  <dxfs count="1">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1"/>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width="13" customWidth="1" min="14" max="14"/>
    <col width="13" customWidth="1" min="15" max="15"/>
    <col hidden="1" width="13" customWidth="1" min="16" max="16"/>
    <col hidden="1"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s>
  <sheetData>
    <row r="1" ht="24" customHeight="1">
      <c r="A1" s="1" t="inlineStr">
        <is>
          <t>Início — Explorando Galáxias v1.2</t>
        </is>
      </c>
      <c r="AA1" s="2">
        <f>SUMPRODUCT((LEN($K$16:$K$16)&gt;0)*1)</f>
        <v/>
      </c>
      <c r="AB1" s="2">
        <f>IFERROR(INDEX($K$16:$K$16,MATCH("?*",$K$16:$K$16,0))&amp;"","")</f>
        <v/>
      </c>
      <c r="AC1" s="2">
        <f>IF(LEN(AB1)&gt;0,AB1,"")</f>
        <v/>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Comece por aqui: semente da campanha, índice das abas e como a planilha se organiza.</t>
        </is>
      </c>
      <c r="AA3" s="2">
        <f>SUMPRODUCT((LEN('Campanha'!$K$7:$K$13)&gt;0)*1)</f>
        <v/>
      </c>
      <c r="AB3" s="2">
        <f>IFERROR(INDEX('Campanha'!$K$7:$K$13,MATCH("?*",'Campanha'!$K$7:$K$13,0))&amp;"","")</f>
        <v/>
      </c>
      <c r="AC3" s="2">
        <f>IF(LEN(AB3)&gt;0,AB3,AC4)</f>
        <v/>
      </c>
    </row>
    <row r="4">
      <c r="AA4" s="2">
        <f>SUMPRODUCT((LEN('Campanha'!$K$38:$K$38)&gt;0)*1)</f>
        <v/>
      </c>
      <c r="AB4" s="2">
        <f>IFERROR(INDEX('Campanha'!$K$38:$K$38,MATCH("?*",'Campanha'!$K$38:$K$38,0))&amp;"","")</f>
        <v/>
      </c>
      <c r="AC4" s="2">
        <f>IF(LEN(AB4)&gt;0,AB4,AC5)</f>
        <v/>
      </c>
    </row>
    <row r="5" ht="20" customHeight="1">
      <c r="A5" s="13" t="inlineStr">
        <is>
          <t>Comece por aqui</t>
        </is>
      </c>
      <c r="AA5" s="2">
        <f>SUMPRODUCT((LEN('Campanha'!$K$47:$K$58)&gt;0)*1)</f>
        <v/>
      </c>
      <c r="AB5" s="2">
        <f>IFERROR(INDEX('Campanha'!$K$47:$K$58,MATCH("?*",'Campanha'!$K$47:$K$58,0))&amp;"","")</f>
        <v/>
      </c>
      <c r="AC5" s="2">
        <f>IF(LEN(AB5)&gt;0,AB5,AC6)</f>
        <v/>
      </c>
    </row>
    <row r="6">
      <c r="A6" s="14" t="inlineStr">
        <is>
          <t>1. Abra no Google Planilhas (Arquivo → Importar) e trabalhe numa cópia por campanha.</t>
        </is>
      </c>
      <c r="AA6" s="2">
        <f>SUMPRODUCT((LEN('Campanha'!$K$62:$K$71)&gt;0)*1)</f>
        <v/>
      </c>
      <c r="AB6" s="2">
        <f>IFERROR(INDEX('Campanha'!$K$62:$K$71,MATCH("?*",'Campanha'!$K$62:$K$71,0))&amp;"","")</f>
        <v/>
      </c>
      <c r="AC6" s="2">
        <f>IF(LEN(AB6)&gt;0,AB6,AC7)</f>
        <v/>
      </c>
    </row>
    <row r="7">
      <c r="A7" s="14" t="inlineStr">
        <is>
          <t>2. Aba Campanha: nível do grupo e nº de jogadores (uma vez; todas as abas leem daqui). Faça a Sessão Zero.</t>
        </is>
      </c>
      <c r="AA7" s="2">
        <f>SUMPRODUCT((LEN('Campanha'!$K$76:$K$85)&gt;0)*1)</f>
        <v/>
      </c>
      <c r="AB7" s="2">
        <f>IFERROR(INDEX('Campanha'!$K$76:$K$85,MATCH("?*",'Campanha'!$K$76:$K$85,0))&amp;"","")</f>
        <v/>
      </c>
      <c r="AC7" s="2">
        <f>IF(LEN(AB7)&gt;0,AB7,AC8)</f>
        <v/>
      </c>
    </row>
    <row r="8">
      <c r="A8" s="14" t="inlineStr">
        <is>
          <t>3. Aba Grupo: copie da ficha de cada jogador os números de combate e os testes.</t>
        </is>
      </c>
      <c r="AA8" s="2">
        <f>SUMPRODUCT((LEN('Campanha'!$K$87:$K$96)&gt;0)*1)</f>
        <v/>
      </c>
      <c r="AB8" s="2">
        <f>IFERROR(INDEX('Campanha'!$K$87:$K$96,MATCH("?*",'Campanha'!$K$87:$K$96,0))&amp;"","")</f>
        <v/>
      </c>
      <c r="AC8" s="2">
        <f>IF(LEN(AB8)&gt;0,AB8,AC9)</f>
        <v/>
      </c>
    </row>
    <row r="9">
      <c r="A9" s="14" t="inlineStr">
        <is>
          <t>4. Prepare: Encontros (com Inimigos e Bestiário), NPCs, Aventuras, Mundos; a sessão na aba Sessões.</t>
        </is>
      </c>
      <c r="AA9" s="2">
        <f>SUMPRODUCT((LEN('Campanha'!$K$98:$K$107)&gt;0)*1)</f>
        <v/>
      </c>
      <c r="AB9" s="2">
        <f>IFERROR(INDEX('Campanha'!$K$98:$K$107,MATCH("?*",'Campanha'!$K$98:$K$107,0))&amp;"","")</f>
        <v/>
      </c>
      <c r="AC9" s="2">
        <f>IF(LEN(AB9)&gt;0,AB9,AC10)</f>
        <v/>
      </c>
    </row>
    <row r="10">
      <c r="A10" s="14" t="inlineStr">
        <is>
          <t>5. Jogue com Combate e Improviso; o Escudo do Mestre impresso fica na mesa.</t>
        </is>
      </c>
      <c r="AA10" s="2">
        <f>SUMPRODUCT((LEN('Campanha'!$K$122:$K$131)&gt;0)*1)</f>
        <v/>
      </c>
      <c r="AB10" s="2">
        <f>IFERROR(INDEX('Campanha'!$K$122:$K$131,MATCH("?*",'Campanha'!$K$122:$K$131,0))&amp;"","")</f>
        <v/>
      </c>
      <c r="AC10" s="2">
        <f>IF(LEN(AB10)&gt;0,AB10,AC11)</f>
        <v/>
      </c>
    </row>
    <row r="11">
      <c r="A11" s="14" t="inlineStr">
        <is>
          <t>6. Depois: diário (Sessões), Missões, Recompensas, relógios e linha do tempo (Campanha).</t>
        </is>
      </c>
      <c r="AA11" s="2">
        <f>SUMPRODUCT((LEN('Campanha'!$K$134:$K$143)&gt;0)*1)</f>
        <v/>
      </c>
      <c r="AB11" s="2">
        <f>IFERROR(INDEX('Campanha'!$K$134:$K$143,MATCH("?*",'Campanha'!$K$134:$K$143,0))&amp;"","")</f>
        <v/>
      </c>
      <c r="AC11" s="2">
        <f>IF(LEN(AB11)&gt;0,AB11,AC12)</f>
        <v/>
      </c>
    </row>
    <row r="12">
      <c r="A12" s="14" t="inlineStr">
        <is>
          <t>Amarelo = você preenche; azul = automático; vermelho = aviso; 'Sugestão da planilha' = não é regra do livro.</t>
        </is>
      </c>
      <c r="AA12" s="2">
        <f>SUMPRODUCT((LEN('Campanha'!$K$146:$K$153)&gt;0)*1)</f>
        <v/>
      </c>
      <c r="AB12" s="2">
        <f>IFERROR(INDEX('Campanha'!$K$146:$K$153,MATCH("?*",'Campanha'!$K$146:$K$153,0))&amp;"","")</f>
        <v/>
      </c>
      <c r="AC12" s="2">
        <f>IF(LEN(AB12)&gt;0,AB12,AC13)</f>
        <v/>
      </c>
    </row>
    <row r="13">
      <c r="A13" s="15" t="inlineStr">
        <is>
          <t>Não comece um texto com +, - ou =: o Google entende como fórmula. Se precisar, digite um apóstrofo (') antes.</t>
        </is>
      </c>
      <c r="AA13" s="2">
        <f>SUMPRODUCT((LEN('Campanha'!$K$156:$K$165)&gt;0)*1)</f>
        <v/>
      </c>
      <c r="AB13" s="2">
        <f>IFERROR(INDEX('Campanha'!$K$156:$K$165,MATCH("?*",'Campanha'!$K$156:$K$165,0))&amp;"","")</f>
        <v/>
      </c>
      <c r="AC13" s="2">
        <f>IF(LEN(AB13)&gt;0,AB13,AC14)</f>
        <v/>
      </c>
    </row>
    <row r="14">
      <c r="AA14" s="2">
        <f>SUMPRODUCT((LEN('Campanha'!$K$169:$K$181)&gt;0)*1)</f>
        <v/>
      </c>
      <c r="AB14" s="2">
        <f>IFERROR(INDEX('Campanha'!$K$169:$K$181,MATCH("?*",'Campanha'!$K$169:$K$181,0))&amp;"","")</f>
        <v/>
      </c>
      <c r="AC14" s="2">
        <f>IF(LEN(AB14)&gt;0,AB14,AC15)</f>
        <v/>
      </c>
    </row>
    <row r="15" ht="20" customHeight="1">
      <c r="A15" s="13" t="inlineStr">
        <is>
          <t>Semente da campanha (geradores determinísticos, sem sorteio escondido)</t>
        </is>
      </c>
      <c r="AA15" s="2">
        <f>SUMPRODUCT((LEN('Campanha'!$K$183:$K$185)&gt;0)*1)</f>
        <v/>
      </c>
      <c r="AB15" s="2">
        <f>IFERROR(INDEX('Campanha'!$K$183:$K$185,MATCH("?*",'Campanha'!$K$183:$K$185,0))&amp;"","")</f>
        <v/>
      </c>
      <c r="AC15" s="2">
        <f>IF(LEN(AB15)&gt;0,AB15,AC16)</f>
        <v/>
      </c>
    </row>
    <row r="16" ht="26" customHeight="1">
      <c r="A16" s="15" t="inlineStr">
        <is>
          <t>Semente da campanha</t>
        </is>
      </c>
      <c r="B16" s="16" t="n"/>
      <c r="C16" s="17" t="n"/>
      <c r="D16" s="15" t="inlineStr">
        <is>
          <t>Semente efetiva</t>
        </is>
      </c>
      <c r="E16" s="18">
        <f>IF(ISNUMBER($P$16),IF(AND($P$16&gt;=1,$P$16&lt;=2147483646,INT($P$16)=$P$16),$P$16,12345),12345)</f>
        <v/>
      </c>
      <c r="G16" s="12" t="inlineStr">
        <is>
          <t>Vazia = 12345.</t>
        </is>
      </c>
      <c r="K16" s="19">
        <f>IF(Q16&gt;0,"O Google leu como fórmula: digite de novo com ' na frente.",IF(LEN($P$16)=0,"",IF(ISNUMBER($P$16),IF(AND($P$16&gt;=1,$P$16&lt;=2147483646,INT($P$16)=$P$16),"","Semente fora de 1 a 2.147.483.646: usando 12345"),"Semente fora de 1 a 2.147.483.646: usando 12345")))</f>
        <v/>
      </c>
      <c r="P16" s="2">
        <f>IF(ISERROR($B$16),"",IF(ISBLANK($B$16),"",$B$16))</f>
        <v/>
      </c>
      <c r="Q16" s="2">
        <f>ISERROR($B$16)*1</f>
        <v/>
      </c>
      <c r="AA16" s="2">
        <f>SUMPRODUCT((LEN('Campanha'!$K$188:$K$192)&gt;0)*1)</f>
        <v/>
      </c>
      <c r="AB16" s="2">
        <f>IFERROR(INDEX('Campanha'!$K$188:$K$192,MATCH("?*",'Campanha'!$K$188:$K$192,0))&amp;"","")</f>
        <v/>
      </c>
      <c r="AC16" s="2">
        <f>IF(LEN(AB16)&gt;0,AB16,"")</f>
        <v/>
      </c>
    </row>
    <row r="17">
      <c r="A17" s="12" t="inlineStr">
        <is>
          <t>Mesma semente e mesma 'Rolagem nº' dão sempre o mesmo resultado; editar outra célula não muda o sorteio. Para rolar de novo, some 1 na 'Rolagem nº' do gerador; para outra campanha, troque a semente.</t>
        </is>
      </c>
    </row>
    <row r="18">
      <c r="AA18" s="2">
        <f>SUMPRODUCT((LEN('Grupo'!$K$7:$K$12)&gt;0)*1)</f>
        <v/>
      </c>
      <c r="AB18" s="2">
        <f>IFERROR(INDEX('Grupo'!$K$7:$K$12,MATCH("?*",'Grupo'!$K$7:$K$12,0))&amp;"","")</f>
        <v/>
      </c>
      <c r="AC18" s="2">
        <f>IF(LEN(AB18)&gt;0,AB18,AC19)</f>
        <v/>
      </c>
    </row>
    <row r="19" ht="20" customHeight="1">
      <c r="A19" s="13" t="inlineStr">
        <is>
          <t>Painel da campanha (automático)</t>
        </is>
      </c>
      <c r="AA19" s="2">
        <f>SUMPRODUCT((LEN('Grupo'!$K$16:$K$21)&gt;0)*1)</f>
        <v/>
      </c>
      <c r="AB19" s="2">
        <f>IFERROR(INDEX('Grupo'!$K$16:$K$21,MATCH("?*",'Grupo'!$K$16:$K$21,0))&amp;"","")</f>
        <v/>
      </c>
      <c r="AC19" s="2">
        <f>IF(LEN(AB19)&gt;0,AB19,AC20)</f>
        <v/>
      </c>
    </row>
    <row r="20">
      <c r="A20" s="8" t="inlineStr">
        <is>
          <t>Campo</t>
        </is>
      </c>
      <c r="B20" s="8" t="inlineStr">
        <is>
          <t>Agora</t>
        </is>
      </c>
      <c r="C20" s="20" t="n"/>
      <c r="D20" s="20" t="n"/>
      <c r="E20" s="20" t="n"/>
      <c r="F20" s="20" t="n"/>
      <c r="G20" s="8" t="inlineStr">
        <is>
          <t>De onde vem</t>
        </is>
      </c>
      <c r="H20" s="20" t="n"/>
      <c r="I20" s="20" t="n"/>
      <c r="J20" s="20" t="n"/>
      <c r="K20" s="20" t="n"/>
      <c r="L20" s="20" t="n"/>
      <c r="AA20" s="2">
        <f>SUMPRODUCT((LEN('Grupo'!$K$25:$K$30)&gt;0)*1)</f>
        <v/>
      </c>
      <c r="AB20" s="2">
        <f>IFERROR(INDEX('Grupo'!$K$25:$K$30,MATCH("?*",'Grupo'!$K$25:$K$30,0))&amp;"","")</f>
        <v/>
      </c>
      <c r="AC20" s="2">
        <f>IF(LEN(AB20)&gt;0,AB20,AC21)</f>
        <v/>
      </c>
    </row>
    <row r="21">
      <c r="A21" s="9" t="inlineStr">
        <is>
          <t>Campanha</t>
        </is>
      </c>
      <c r="B21" s="5">
        <f>IF(LEN('Campanha'!$AD$7)&gt;0,'Campanha'!$AD$7,"(sem nome: aba Campanha)")</f>
        <v/>
      </c>
      <c r="G21" s="14" t="inlineStr">
        <is>
          <t>Aba Campanha, Mesa.</t>
        </is>
      </c>
      <c r="AA21" s="2">
        <f>SUMPRODUCT((LEN('Grupo'!$K$34:$K$39)&gt;0)*1)</f>
        <v/>
      </c>
      <c r="AB21" s="2">
        <f>IFERROR(INDEX('Grupo'!$K$34:$K$39,MATCH("?*",'Grupo'!$K$34:$K$39,0))&amp;"","")</f>
        <v/>
      </c>
      <c r="AC21" s="2">
        <f>IF(LEN(AB21)&gt;0,AB21,AC22)</f>
        <v/>
      </c>
    </row>
    <row r="22">
      <c r="A22" s="21" t="inlineStr">
        <is>
          <t>Sessão atual</t>
        </is>
      </c>
      <c r="B22" s="10">
        <f>IF(ISNUMBER('Campanha'!$AD$10),'Campanha'!$AD$10,"(vazia)")&amp;" · dia de campanha "&amp;'Campanha'!$B$41</f>
        <v/>
      </c>
      <c r="G22" s="22" t="inlineStr">
        <is>
          <t>Aba Campanha, Mesa.</t>
        </is>
      </c>
      <c r="AA22" s="2">
        <f>SUMPRODUCT((LEN('Grupo'!$K$43:$K$48)&gt;0)*1)</f>
        <v/>
      </c>
      <c r="AB22" s="2">
        <f>IFERROR(INDEX('Grupo'!$K$43:$K$48,MATCH("?*",'Grupo'!$K$43:$K$48,0))&amp;"","")</f>
        <v/>
      </c>
      <c r="AC22" s="2">
        <f>IF(LEN(AB22)&gt;0,AB22,AC23)</f>
        <v/>
      </c>
    </row>
    <row r="23">
      <c r="A23" s="9" t="inlineStr">
        <is>
          <t>Nível e faixa</t>
        </is>
      </c>
      <c r="B23" s="5">
        <f>"Nível "&amp;'Campanha'!$B$17&amp;", faixa "&amp;'Campanha'!$B$19&amp;" · Eficiência +"&amp;'Campanha'!$B$20</f>
        <v/>
      </c>
      <c r="G23" s="14" t="inlineStr">
        <is>
          <t>26.1, 26.2, 26.3.</t>
        </is>
      </c>
      <c r="AA23" s="2">
        <f>SUMPRODUCT((LEN('Grupo'!$K$52:$K$57)&gt;0)*1)</f>
        <v/>
      </c>
      <c r="AB23" s="2">
        <f>IFERROR(INDEX('Grupo'!$K$52:$K$57,MATCH("?*",'Grupo'!$K$52:$K$57,0))&amp;"","")</f>
        <v/>
      </c>
      <c r="AC23" s="2">
        <f>IF(LEN(AB23)&gt;0,AB23,AC24)</f>
        <v/>
      </c>
    </row>
    <row r="24">
      <c r="A24" s="21" t="inlineStr">
        <is>
          <t>PH do grupo</t>
        </is>
      </c>
      <c r="B24" s="10">
        <f>"Máximo "&amp;'Campanha'!$B$24&amp;" · início do combate "&amp;'Campanha'!$B$25&amp;" ("&amp;'Campanha'!$B$21&amp;" jogadores)"</f>
        <v/>
      </c>
      <c r="G24" s="22" t="inlineStr">
        <is>
          <t>16.2.</t>
        </is>
      </c>
      <c r="AA24" s="2">
        <f>SUMPRODUCT((LEN('Grupo'!$K$61:$K$66)&gt;0)*1)</f>
        <v/>
      </c>
      <c r="AB24" s="2">
        <f>IFERROR(INDEX('Grupo'!$K$61:$K$66,MATCH("?*",'Grupo'!$K$61:$K$66,0))&amp;"","")</f>
        <v/>
      </c>
      <c r="AC24" s="2">
        <f>IF(LEN(AB24)&gt;0,AB24,AC25)</f>
        <v/>
      </c>
    </row>
    <row r="25">
      <c r="A25" s="9" t="inlineStr">
        <is>
          <t>Missões ativas</t>
        </is>
      </c>
      <c r="B25" s="5">
        <f>'Missões'!$C$54&amp;" ativa(s) · "&amp;'Missões'!$B$54&amp;" oferecida(s) · "&amp;'Missões'!$D$54&amp;" concluída(s)"</f>
        <v/>
      </c>
      <c r="G25" s="14" t="inlineStr">
        <is>
          <t>Aba Missões.</t>
        </is>
      </c>
      <c r="AA25" s="2">
        <f>SUMPRODUCT((LEN('Grupo'!$K$70:$K$75)&gt;0)*1)</f>
        <v/>
      </c>
      <c r="AB25" s="2">
        <f>IFERROR(INDEX('Grupo'!$K$70:$K$75,MATCH("?*",'Grupo'!$K$70:$K$75,0))&amp;"","")</f>
        <v/>
      </c>
      <c r="AC25" s="2">
        <f>IF(LEN(AB25)&gt;0,AB25,AC26)</f>
        <v/>
      </c>
    </row>
    <row r="26" ht="26" customHeight="1">
      <c r="A26" s="21" t="inlineStr">
        <is>
          <t>Relógios a 1 de encher</t>
        </is>
      </c>
      <c r="B26" s="23">
        <f>COUNTIF('Campanha'!$G$62:$G$71,"Falta 1")</f>
        <v/>
      </c>
      <c r="G26" s="22" t="inlineStr">
        <is>
          <t>Aba Campanha, relógios (Sugestão da planilha, H16).</t>
        </is>
      </c>
      <c r="AA26" s="2">
        <f>SUMPRODUCT((LEN('Grupo'!$C$79:$C$79)&gt;0)*1)</f>
        <v/>
      </c>
      <c r="AB26" s="2">
        <f>IFERROR(INDEX('Grupo'!$C$79:$C$79,MATCH("?*",'Grupo'!$C$79:$C$79,0))&amp;"","")</f>
        <v/>
      </c>
      <c r="AC26" s="2">
        <f>IF(LEN(AB26)&gt;0,AB26,"")</f>
        <v/>
      </c>
    </row>
    <row r="27" ht="26" customHeight="1">
      <c r="A27" s="9" t="inlineStr">
        <is>
          <t>Próxima Ressonância</t>
        </is>
      </c>
      <c r="B27" s="5">
        <f>'Campanha'!$B$39</f>
        <v/>
      </c>
      <c r="G27" s="14" t="inlineStr">
        <is>
          <t>26.7; sempre marco de história.</t>
        </is>
      </c>
    </row>
    <row r="28" ht="26" customHeight="1">
      <c r="A28" s="21" t="inlineStr">
        <is>
          <t>Sessões no nível atual</t>
        </is>
      </c>
      <c r="B28" s="10">
        <f>IF(ISNUMBER('Campanha'!$AD$38),'Campanha'!$AD$38&amp;IF('Campanha'!$AD$38=1," sessão"," sessões")&amp;" no nível · ","")&amp;'Campanha'!$E$38</f>
        <v/>
      </c>
      <c r="G28" s="22" t="inlineStr">
        <is>
          <t>26.1.</t>
        </is>
      </c>
      <c r="AA28" s="2">
        <f>SUMPRODUCT((LEN('Sessões'!$K$7:$K$10)&gt;0)*1)</f>
        <v/>
      </c>
      <c r="AB28" s="2">
        <f>IFERROR(INDEX('Sessões'!$K$7:$K$10,MATCH("?*",'Sessões'!$K$7:$K$10,0))&amp;"","")</f>
        <v/>
      </c>
      <c r="AC28" s="2">
        <f>IF(LEN(AB28)&gt;0,AB28,AC29)</f>
        <v/>
      </c>
    </row>
    <row r="29" ht="26" customHeight="1">
      <c r="A29" s="9" t="inlineStr">
        <is>
          <t>Próxima sessão preparada</t>
        </is>
      </c>
      <c r="B29" s="5">
        <f>IF(LEN('Sessões'!$R$9)&gt;0,IF(ISNUMBER('Sessões'!$R$7),"Sessão "&amp;'Sessões'!$R$7&amp;": ","")&amp;'Sessões'!$R$9,"(nenhuma: aba Sessões)")</f>
        <v/>
      </c>
      <c r="G29" s="14" t="inlineStr">
        <is>
          <t>Aba Sessões.</t>
        </is>
      </c>
      <c r="AA29" s="2">
        <f>SUMPRODUCT((LEN('Sessões'!$K$14:$K$18)&gt;0)*1)</f>
        <v/>
      </c>
      <c r="AB29" s="2">
        <f>IFERROR(INDEX('Sessões'!$K$14:$K$18,MATCH("?*",'Sessões'!$K$14:$K$18,0))&amp;"","")</f>
        <v/>
      </c>
      <c r="AC29" s="2">
        <f>IF(LEN(AB29)&gt;0,AB29,AC30)</f>
        <v/>
      </c>
    </row>
    <row r="30">
      <c r="AA30" s="2">
        <f>SUMPRODUCT((LEN('Sessões'!$K$28:$K$37)&gt;0)*1)</f>
        <v/>
      </c>
      <c r="AB30" s="2">
        <f>IFERROR(INDEX('Sessões'!$K$28:$K$37,MATCH("?*",'Sessões'!$K$28:$K$37,0))&amp;"","")</f>
        <v/>
      </c>
      <c r="AC30" s="2">
        <f>IF(LEN(AB30)&gt;0,AB30,AC31)</f>
        <v/>
      </c>
    </row>
    <row r="31" ht="20" customHeight="1">
      <c r="A31" s="13" t="inlineStr">
        <is>
          <t>Índice das abas</t>
        </is>
      </c>
      <c r="AA31" s="2">
        <f>SUMPRODUCT((LEN('Sessões'!$K$41:$K$41)&gt;0)*1)</f>
        <v/>
      </c>
      <c r="AB31" s="2">
        <f>IFERROR(INDEX('Sessões'!$K$41:$K$41,MATCH("?*",'Sessões'!$K$41:$K$41,0))&amp;"","")</f>
        <v/>
      </c>
      <c r="AC31" s="2">
        <f>IF(LEN(AB31)&gt;0,AB31,AC32)</f>
        <v/>
      </c>
    </row>
    <row r="32">
      <c r="A32" s="8" t="inlineStr">
        <is>
          <t>Aba</t>
        </is>
      </c>
      <c r="B32" s="8" t="inlineStr">
        <is>
          <t>Para que serve</t>
        </is>
      </c>
      <c r="C32" s="20" t="n"/>
      <c r="D32" s="20" t="n"/>
      <c r="E32" s="20" t="n"/>
      <c r="F32" s="20" t="n"/>
      <c r="G32" s="20" t="n"/>
      <c r="H32" s="8" t="inlineStr">
        <is>
          <t>Quando usar</t>
        </is>
      </c>
      <c r="I32" s="20" t="n"/>
      <c r="J32" s="20" t="n"/>
      <c r="K32" s="20" t="n"/>
      <c r="L32" s="20" t="n"/>
      <c r="AA32" s="2">
        <f>SUMPRODUCT((LEN('Sessões'!$K$46:$K$51)&gt;0)*1)</f>
        <v/>
      </c>
      <c r="AB32" s="2">
        <f>IFERROR(INDEX('Sessões'!$K$46:$K$51,MATCH("?*",'Sessões'!$K$46:$K$51,0))&amp;"","")</f>
        <v/>
      </c>
      <c r="AC32" s="2">
        <f>IF(LEN(AB32)&gt;0,AB32,AC33)</f>
        <v/>
      </c>
    </row>
    <row r="33">
      <c r="A33" s="9" t="inlineStr">
        <is>
          <t>Início</t>
        </is>
      </c>
      <c r="B33" s="14" t="inlineStr">
        <is>
          <t>Semente da campanha, painel, índice e avisos.</t>
        </is>
      </c>
      <c r="H33" s="14" t="inlineStr">
        <is>
          <t>Na primeira vez e no começo de cada sessão.</t>
        </is>
      </c>
      <c r="AA33" s="2">
        <f>SUMPRODUCT((LEN('Sessões'!$K$55:$K$59)&gt;0)*1)</f>
        <v/>
      </c>
      <c r="AB33" s="2">
        <f>IFERROR(INDEX('Sessões'!$K$55:$K$59,MATCH("?*",'Sessões'!$K$55:$K$59,0))&amp;"","")</f>
        <v/>
      </c>
      <c r="AC33" s="2">
        <f>IF(LEN(AB33)&gt;0,AB33,AC34)</f>
        <v/>
      </c>
    </row>
    <row r="34">
      <c r="A34" s="21" t="inlineStr">
        <is>
          <t>Campanha</t>
        </is>
      </c>
      <c r="B34" s="22" t="inlineStr">
        <is>
          <t>Mesa, marcos, facções, relógios, linha do tempo, Ficha de Decisões e Sessão Zero.</t>
        </is>
      </c>
      <c r="H34" s="22" t="inlineStr">
        <is>
          <t>Ao começar e entre sessões.</t>
        </is>
      </c>
      <c r="AA34" s="2">
        <f>SUMPRODUCT((LEN('Sessões'!$K$64:$K$73)&gt;0)*1)</f>
        <v/>
      </c>
      <c r="AB34" s="2">
        <f>IFERROR(INDEX('Sessões'!$K$64:$K$73,MATCH("?*",'Sessões'!$K$64:$K$73,0))&amp;"","")</f>
        <v/>
      </c>
      <c r="AC34" s="2">
        <f>IF(LEN(AB34)&gt;0,AB34,AC35)</f>
        <v/>
      </c>
    </row>
    <row r="35">
      <c r="A35" s="9" t="inlineStr">
        <is>
          <t>Grupo</t>
        </is>
      </c>
      <c r="B35" s="14" t="inlineStr">
        <is>
          <t>Os PJs copiados da ficha de cada jogador, com os testes que o Mestre pede.</t>
        </is>
      </c>
      <c r="H35" s="14" t="inlineStr">
        <is>
          <t>Ao começar e quando a ficha muda.</t>
        </is>
      </c>
      <c r="AA35" s="2">
        <f>SUMPRODUCT((LEN('Sessões'!$K$75:$K$84)&gt;0)*1)</f>
        <v/>
      </c>
      <c r="AB35" s="2">
        <f>IFERROR(INDEX('Sessões'!$K$75:$K$84,MATCH("?*",'Sessões'!$K$75:$K$84,0))&amp;"","")</f>
        <v/>
      </c>
      <c r="AC35" s="2">
        <f>IF(LEN(AB35)&gt;0,AB35,AC36)</f>
        <v/>
      </c>
    </row>
    <row r="36">
      <c r="A36" s="21" t="inlineStr">
        <is>
          <t>Sessões</t>
        </is>
      </c>
      <c r="B36" s="22" t="inlineStr">
        <is>
          <t>Preparar a próxima sessão (cenas, pistas, ganchos, checklist) e o diário.</t>
        </is>
      </c>
      <c r="H36" s="22" t="inlineStr">
        <is>
          <t>Entre sessões.</t>
        </is>
      </c>
      <c r="AA36" s="2">
        <f>SUMPRODUCT((LEN('Sessões'!$K$86:$K$95)&gt;0)*1)</f>
        <v/>
      </c>
      <c r="AB36" s="2">
        <f>IFERROR(INDEX('Sessões'!$K$86:$K$95,MATCH("?*",'Sessões'!$K$86:$K$95,0))&amp;"","")</f>
        <v/>
      </c>
      <c r="AC36" s="2">
        <f>IF(LEN(AB36)&gt;0,AB36,AC37)</f>
        <v/>
      </c>
    </row>
    <row r="37">
      <c r="A37" s="9" t="inlineStr">
        <is>
          <t>Missões</t>
        </is>
      </c>
      <c r="B37" s="14" t="inlineStr">
        <is>
          <t>Missões oferecidas, ativas e concluídas.</t>
        </is>
      </c>
      <c r="H37" s="14" t="inlineStr">
        <is>
          <t>Entre sessões.</t>
        </is>
      </c>
      <c r="AA37" s="2">
        <f>SUMPRODUCT((LEN('Sessões'!$K$98:$K$107)&gt;0)*1)</f>
        <v/>
      </c>
      <c r="AB37" s="2">
        <f>IFERROR(INDEX('Sessões'!$K$98:$K$107,MATCH("?*",'Sessões'!$K$98:$K$107,0))&amp;"","")</f>
        <v/>
      </c>
      <c r="AC37" s="2">
        <f>IF(LEN(AB37)&gt;0,AB37,AC38)</f>
        <v/>
      </c>
    </row>
    <row r="38">
      <c r="A38" s="21" t="inlineStr">
        <is>
          <t>NPCs</t>
        </is>
      </c>
      <c r="B38" s="22" t="inlineStr">
        <is>
          <t>Gerador de NPCs, elenco e cartões.</t>
        </is>
      </c>
      <c r="H38" s="22" t="inlineStr">
        <is>
          <t>Preparando a história.</t>
        </is>
      </c>
      <c r="AA38" s="2">
        <f>SUMPRODUCT((LEN('Sessões'!$K$109:$K$118)&gt;0)*1)</f>
        <v/>
      </c>
      <c r="AB38" s="2">
        <f>IFERROR(INDEX('Sessões'!$K$109:$K$118,MATCH("?*",'Sessões'!$K$109:$K$118,0))&amp;"","")</f>
        <v/>
      </c>
      <c r="AC38" s="2">
        <f>IF(LEN(AB38)&gt;0,AB38,AC39)</f>
        <v/>
      </c>
    </row>
    <row r="39">
      <c r="A39" s="9" t="inlineStr">
        <is>
          <t>Inimigos</t>
        </is>
      </c>
      <c r="B39" s="14" t="inlineStr">
        <is>
          <t>Criador de Inimigos: a ficha de 28.1 pronta.</t>
        </is>
      </c>
      <c r="H39" s="14" t="inlineStr">
        <is>
          <t>Preparando o combate.</t>
        </is>
      </c>
      <c r="AA39" s="2">
        <f>SUMPRODUCT((LEN('Sessões'!$K$120:$K$129)&gt;0)*1)</f>
        <v/>
      </c>
      <c r="AB39" s="2">
        <f>IFERROR(INDEX('Sessões'!$K$120:$K$129,MATCH("?*",'Sessões'!$K$120:$K$129,0))&amp;"","")</f>
        <v/>
      </c>
      <c r="AC39" s="2">
        <f>IF(LEN(AB39)&gt;0,AB39,"")</f>
        <v/>
      </c>
    </row>
    <row r="40">
      <c r="A40" s="21" t="inlineStr">
        <is>
          <t>Bestiário</t>
        </is>
      </c>
      <c r="B40" s="22" t="inlineStr">
        <is>
          <t>As 32 fichas do capítulo 28 com filtro.</t>
        </is>
      </c>
      <c r="H40" s="22" t="inlineStr">
        <is>
          <t>Preparando o combate.</t>
        </is>
      </c>
    </row>
    <row r="41">
      <c r="A41" s="9" t="inlineStr">
        <is>
          <t>Encontros</t>
        </is>
      </c>
      <c r="B41" s="14" t="inlineStr">
        <is>
          <t>Orçamento, encontros salvos, contrato da Fraqueza, encontro aleatório.</t>
        </is>
      </c>
      <c r="H41" s="14" t="inlineStr">
        <is>
          <t>Preparando o combate.</t>
        </is>
      </c>
      <c r="AA41" s="2">
        <f>SUMPRODUCT((LEN('Missões'!$K$8:$K$17)&gt;0)*1)</f>
        <v/>
      </c>
      <c r="AB41" s="2">
        <f>IFERROR(INDEX('Missões'!$K$8:$K$17,MATCH("?*",'Missões'!$K$8:$K$17,0))&amp;"","")</f>
        <v/>
      </c>
      <c r="AC41" s="2">
        <f>IF(LEN(AB41)&gt;0,AB41,AC42)</f>
        <v/>
      </c>
    </row>
    <row r="42">
      <c r="A42" s="8" t="inlineStr">
        <is>
          <t>Aba</t>
        </is>
      </c>
      <c r="B42" s="8" t="inlineStr">
        <is>
          <t>Para que serve</t>
        </is>
      </c>
      <c r="C42" s="20" t="n"/>
      <c r="D42" s="20" t="n"/>
      <c r="E42" s="20" t="n"/>
      <c r="F42" s="20" t="n"/>
      <c r="G42" s="20" t="n"/>
      <c r="H42" s="8" t="inlineStr">
        <is>
          <t>Quando usar</t>
        </is>
      </c>
      <c r="I42" s="20" t="n"/>
      <c r="J42" s="20" t="n"/>
      <c r="K42" s="20" t="n"/>
      <c r="L42" s="20" t="n"/>
      <c r="AA42" s="2">
        <f>SUMPRODUCT((LEN('Missões'!$K$19:$K$28)&gt;0)*1)</f>
        <v/>
      </c>
      <c r="AB42" s="2">
        <f>IFERROR(INDEX('Missões'!$K$19:$K$28,MATCH("?*",'Missões'!$K$19:$K$28,0))&amp;"","")</f>
        <v/>
      </c>
      <c r="AC42" s="2">
        <f>IF(LEN(AB42)&gt;0,AB42,AC43)</f>
        <v/>
      </c>
    </row>
    <row r="43">
      <c r="A43" s="9" t="inlineStr">
        <is>
          <t>Combate</t>
        </is>
      </c>
      <c r="B43" s="14" t="inlineStr">
        <is>
          <t>Fila de Ação, PV, Tenacidade e Quebra, condições, Morrendo.</t>
        </is>
      </c>
      <c r="H43" s="14" t="inlineStr">
        <is>
          <t>Na mesa, durante a luta.</t>
        </is>
      </c>
      <c r="AA43" s="2">
        <f>SUMPRODUCT((LEN('Missões'!$K$31:$K$40)&gt;0)*1)</f>
        <v/>
      </c>
      <c r="AB43" s="2">
        <f>IFERROR(INDEX('Missões'!$K$31:$K$40,MATCH("?*",'Missões'!$K$31:$K$40,0))&amp;"","")</f>
        <v/>
      </c>
      <c r="AC43" s="2">
        <f>IF(LEN(AB43)&gt;0,AB43,AC44)</f>
        <v/>
      </c>
    </row>
    <row r="44">
      <c r="A44" s="21" t="inlineStr">
        <is>
          <t>Aventuras</t>
        </is>
      </c>
      <c r="B44" s="22" t="inlineStr">
        <is>
          <t>Gerador de aventuras com 5 cenas.</t>
        </is>
      </c>
      <c r="H44" s="22" t="inlineStr">
        <is>
          <t>Preparando a história.</t>
        </is>
      </c>
      <c r="AA44" s="2">
        <f>SUMPRODUCT((LEN('Missões'!$K$42:$K$51)&gt;0)*1)</f>
        <v/>
      </c>
      <c r="AB44" s="2">
        <f>IFERROR(INDEX('Missões'!$K$42:$K$51,MATCH("?*",'Missões'!$K$42:$K$51,0))&amp;"","")</f>
        <v/>
      </c>
      <c r="AC44" s="2">
        <f>IF(LEN(AB44)&gt;0,AB44,AC45)</f>
        <v/>
      </c>
    </row>
    <row r="45">
      <c r="A45" s="9" t="inlineStr">
        <is>
          <t>Recompensas</t>
        </is>
      </c>
      <c r="B45" s="14" t="inlineStr">
        <is>
          <t>Entrega de marco, achados, Cone e Conjunto, tesouro.</t>
        </is>
      </c>
      <c r="H45" s="14" t="inlineStr">
        <is>
          <t>Depois de um encontro ou marco.</t>
        </is>
      </c>
      <c r="AA45" s="2">
        <f>SUMPRODUCT((LEN('Missões'!$A$55:$A$55)&gt;0)*1)</f>
        <v/>
      </c>
      <c r="AB45" s="2">
        <f>IFERROR(INDEX('Missões'!$A$55:$A$55,MATCH("?*",'Missões'!$A$55:$A$55,0))&amp;"","")</f>
        <v/>
      </c>
      <c r="AC45" s="2">
        <f>IF(LEN(AB45)&gt;0,AB45,"")</f>
        <v/>
      </c>
    </row>
    <row r="46">
      <c r="A46" s="21" t="inlineStr">
        <is>
          <t>Mundos</t>
        </is>
      </c>
      <c r="B46" s="22" t="inlineStr">
        <is>
          <t>Planetas, estações, naves, facções, organizações e nomes.</t>
        </is>
      </c>
      <c r="H46" s="22" t="inlineStr">
        <is>
          <t>Preparando a história.</t>
        </is>
      </c>
    </row>
    <row r="47">
      <c r="A47" s="9" t="inlineStr">
        <is>
          <t>Improviso</t>
        </is>
      </c>
      <c r="B47" s="14" t="inlineStr">
        <is>
          <t>Rumores, eventos, loja, bugigangas, oráculo, rolador e DT rápida.</t>
        </is>
      </c>
      <c r="H47" s="14" t="inlineStr">
        <is>
          <t>Na mesa, quando precisar.</t>
        </is>
      </c>
      <c r="AA47" s="2">
        <f>SUMPRODUCT((LEN('NPCs'!$K$7:$K$7)&gt;0)*1)</f>
        <v/>
      </c>
      <c r="AB47" s="2">
        <f>IFERROR(INDEX('NPCs'!$K$7:$K$7,MATCH("?*",'NPCs'!$K$7:$K$7,0))&amp;"","")</f>
        <v/>
      </c>
      <c r="AC47" s="2">
        <f>IF(LEN(AB47)&gt;0,AB47,AC48)</f>
        <v/>
      </c>
    </row>
    <row r="48">
      <c r="A48" s="21" t="inlineStr">
        <is>
          <t>Escudo do Mestre</t>
        </is>
      </c>
      <c r="B48" s="22" t="inlineStr">
        <is>
          <t>Referência de mesa para imprimir (A4 paisagem).</t>
        </is>
      </c>
      <c r="H48" s="22" t="inlineStr">
        <is>
          <t>Antes da sessão.</t>
        </is>
      </c>
      <c r="AA48" s="2">
        <f>SUMPRODUCT((LEN('NPCs'!$K$12:$K$12)&gt;0)*1)</f>
        <v/>
      </c>
      <c r="AB48" s="2">
        <f>IFERROR(INDEX('NPCs'!$K$12:$K$12,MATCH("?*",'NPCs'!$K$12:$K$12,0))&amp;"","")</f>
        <v/>
      </c>
      <c r="AC48" s="2">
        <f>IF(LEN(AB48)&gt;0,AB48,AC49)</f>
        <v/>
      </c>
    </row>
    <row r="49">
      <c r="A49" s="9" t="inlineStr">
        <is>
          <t>Minhas Tabelas</t>
        </is>
      </c>
      <c r="B49" s="14" t="inlineStr">
        <is>
          <t>Dez tabelas do próprio Mestre, com sorteio.</t>
        </is>
      </c>
      <c r="H49" s="14" t="inlineStr">
        <is>
          <t>Quando quiser.</t>
        </is>
      </c>
      <c r="AA49" s="2">
        <f>SUMPRODUCT((LEN('NPCs'!$K$15:$K$22)&gt;0)*1)</f>
        <v/>
      </c>
      <c r="AB49" s="2">
        <f>IFERROR(INDEX('NPCs'!$K$15:$K$22,MATCH("?*",'NPCs'!$K$15:$K$22,0))&amp;"","")</f>
        <v/>
      </c>
      <c r="AC49" s="2">
        <f>IF(LEN(AB49)&gt;0,AB49,AC50)</f>
        <v/>
      </c>
    </row>
    <row r="50">
      <c r="A50" s="21" t="inlineStr">
        <is>
          <t>Tabelas</t>
        </is>
      </c>
      <c r="B50" s="22" t="inlineStr">
        <is>
          <t>Listas dos geradores, editáveis (100 vagas).</t>
        </is>
      </c>
      <c r="H50" s="22" t="inlineStr">
        <is>
          <t>Para mudar o que os geradores sorteiam.</t>
        </is>
      </c>
      <c r="AA50" s="2">
        <f>SUMPRODUCT((LEN('NPCs'!$K$46:$K$55)&gt;0)*1)</f>
        <v/>
      </c>
      <c r="AB50" s="2">
        <f>IFERROR(INDEX('NPCs'!$K$46:$K$55,MATCH("?*",'NPCs'!$K$46:$K$55,0))&amp;"","")</f>
        <v/>
      </c>
      <c r="AC50" s="2">
        <f>IF(LEN(AB50)&gt;0,AB50,AC51)</f>
        <v/>
      </c>
    </row>
    <row r="51">
      <c r="A51" s="9" t="inlineStr">
        <is>
          <t>Dados</t>
        </is>
      </c>
      <c r="B51" s="14" t="inlineStr">
        <is>
          <t>Tabelas do livro usadas pelas fórmulas. Não edite.</t>
        </is>
      </c>
      <c r="H51" s="14" t="inlineStr">
        <is>
          <t>Nunca: o gerador reescreve.</t>
        </is>
      </c>
      <c r="AA51" s="2">
        <f>SUMPRODUCT((LEN('NPCs'!$K$57:$K$66)&gt;0)*1)</f>
        <v/>
      </c>
      <c r="AB51" s="2">
        <f>IFERROR(INDEX('NPCs'!$K$57:$K$66,MATCH("?*",'NPCs'!$K$57:$K$66,0))&amp;"","")</f>
        <v/>
      </c>
      <c r="AC51" s="2">
        <f>IF(LEN(AB51)&gt;0,AB51,AC52)</f>
        <v/>
      </c>
    </row>
    <row r="52">
      <c r="AA52" s="2">
        <f>SUMPRODUCT((LEN('NPCs'!$K$68:$K$77)&gt;0)*1)</f>
        <v/>
      </c>
      <c r="AB52" s="2">
        <f>IFERROR(INDEX('NPCs'!$K$68:$K$77,MATCH("?*",'NPCs'!$K$68:$K$77,0))&amp;"","")</f>
        <v/>
      </c>
      <c r="AC52" s="2">
        <f>IF(LEN(AB52)&gt;0,AB52,AC53)</f>
        <v/>
      </c>
    </row>
    <row r="53" ht="20" customHeight="1">
      <c r="A53" s="13" t="inlineStr">
        <is>
          <t>Avisos por aba (automático): quantos estão acesos e o primeiro deles</t>
        </is>
      </c>
      <c r="AA53" s="2">
        <f>SUMPRODUCT((LEN('NPCs'!$K$80:$K$89)&gt;0)*1)</f>
        <v/>
      </c>
      <c r="AB53" s="2">
        <f>IFERROR(INDEX('NPCs'!$K$80:$K$89,MATCH("?*",'NPCs'!$K$80:$K$89,0))&amp;"","")</f>
        <v/>
      </c>
      <c r="AC53" s="2">
        <f>IF(LEN(AB53)&gt;0,AB53,AC54)</f>
        <v/>
      </c>
    </row>
    <row r="54" ht="26" customHeight="1">
      <c r="A54" s="8" t="inlineStr">
        <is>
          <t>Aba</t>
        </is>
      </c>
      <c r="B54" s="8" t="inlineStr">
        <is>
          <t>Avisos acesos</t>
        </is>
      </c>
      <c r="C54" s="8" t="inlineStr">
        <is>
          <t>Primeiro aviso aceso</t>
        </is>
      </c>
      <c r="D54" s="20" t="n"/>
      <c r="E54" s="20" t="n"/>
      <c r="F54" s="20" t="n"/>
      <c r="G54" s="20" t="n"/>
      <c r="H54" s="20" t="n"/>
      <c r="I54" s="20" t="n"/>
      <c r="J54" s="20" t="n"/>
      <c r="K54" s="20" t="n"/>
      <c r="L54" s="20" t="n"/>
      <c r="AA54" s="2">
        <f>SUMPRODUCT((LEN('NPCs'!$K$91:$K$100)&gt;0)*1)</f>
        <v/>
      </c>
      <c r="AB54" s="2">
        <f>IFERROR(INDEX('NPCs'!$K$91:$K$100,MATCH("?*",'NPCs'!$K$91:$K$100,0))&amp;"","")</f>
        <v/>
      </c>
      <c r="AC54" s="2">
        <f>IF(LEN(AB54)&gt;0,AB54,AC55)</f>
        <v/>
      </c>
    </row>
    <row r="55">
      <c r="A55" s="9" t="inlineStr">
        <is>
          <t>Início</t>
        </is>
      </c>
      <c r="B55" s="18">
        <f>SUM($AA$1:$AA$1)</f>
        <v/>
      </c>
      <c r="C55" s="5">
        <f>AC1</f>
        <v/>
      </c>
      <c r="AA55" s="2">
        <f>SUMPRODUCT((LEN('NPCs'!$K$102:$K$111)&gt;0)*1)</f>
        <v/>
      </c>
      <c r="AB55" s="2">
        <f>IFERROR(INDEX('NPCs'!$K$102:$K$111,MATCH("?*",'NPCs'!$K$102:$K$111,0))&amp;"","")</f>
        <v/>
      </c>
      <c r="AC55" s="2">
        <f>IF(LEN(AB55)&gt;0,AB55,AC56)</f>
        <v/>
      </c>
    </row>
    <row r="56">
      <c r="A56" s="21" t="inlineStr">
        <is>
          <t>Campanha</t>
        </is>
      </c>
      <c r="B56" s="23">
        <f>SUM($AA$3:$AA$16)</f>
        <v/>
      </c>
      <c r="C56" s="10">
        <f>AC3</f>
        <v/>
      </c>
      <c r="AA56" s="2">
        <f>SUMPRODUCT((LEN('NPCs'!$K$114:$K$123)&gt;0)*1)</f>
        <v/>
      </c>
      <c r="AB56" s="2">
        <f>IFERROR(INDEX('NPCs'!$K$114:$K$123,MATCH("?*",'NPCs'!$K$114:$K$123,0))&amp;"","")</f>
        <v/>
      </c>
      <c r="AC56" s="2">
        <f>IF(LEN(AB56)&gt;0,AB56,AC57)</f>
        <v/>
      </c>
    </row>
    <row r="57">
      <c r="A57" s="9" t="inlineStr">
        <is>
          <t>Grupo</t>
        </is>
      </c>
      <c r="B57" s="18">
        <f>SUM($AA$18:$AA$26)</f>
        <v/>
      </c>
      <c r="C57" s="5">
        <f>AC18</f>
        <v/>
      </c>
      <c r="AA57" s="2">
        <f>SUMPRODUCT((LEN('NPCs'!$K$125:$K$134)&gt;0)*1)</f>
        <v/>
      </c>
      <c r="AB57" s="2">
        <f>IFERROR(INDEX('NPCs'!$K$125:$K$134,MATCH("?*",'NPCs'!$K$125:$K$134,0))&amp;"","")</f>
        <v/>
      </c>
      <c r="AC57" s="2">
        <f>IF(LEN(AB57)&gt;0,AB57,AC58)</f>
        <v/>
      </c>
    </row>
    <row r="58">
      <c r="A58" s="21" t="inlineStr">
        <is>
          <t>Sessões</t>
        </is>
      </c>
      <c r="B58" s="23">
        <f>SUM($AA$28:$AA$39)</f>
        <v/>
      </c>
      <c r="C58" s="10">
        <f>AC28</f>
        <v/>
      </c>
      <c r="AA58" s="2">
        <f>SUMPRODUCT((LEN('NPCs'!$K$136:$K$145)&gt;0)*1)</f>
        <v/>
      </c>
      <c r="AB58" s="2">
        <f>IFERROR(INDEX('NPCs'!$K$136:$K$145,MATCH("?*",'NPCs'!$K$136:$K$145,0))&amp;"","")</f>
        <v/>
      </c>
      <c r="AC58" s="2">
        <f>IF(LEN(AB58)&gt;0,AB58,AC59)</f>
        <v/>
      </c>
    </row>
    <row r="59">
      <c r="A59" s="9" t="inlineStr">
        <is>
          <t>Missões</t>
        </is>
      </c>
      <c r="B59" s="18">
        <f>SUM($AA$41:$AA$45)</f>
        <v/>
      </c>
      <c r="C59" s="5">
        <f>AC41</f>
        <v/>
      </c>
      <c r="AA59" s="2">
        <f>SUMPRODUCT((LEN('NPCs'!$K$148:$K$157)&gt;0)*1)</f>
        <v/>
      </c>
      <c r="AB59" s="2">
        <f>IFERROR(INDEX('NPCs'!$K$148:$K$157,MATCH("?*",'NPCs'!$K$148:$K$157,0))&amp;"","")</f>
        <v/>
      </c>
      <c r="AC59" s="2">
        <f>IF(LEN(AB59)&gt;0,AB59,AC60)</f>
        <v/>
      </c>
    </row>
    <row r="60">
      <c r="A60" s="21" t="inlineStr">
        <is>
          <t>NPCs</t>
        </is>
      </c>
      <c r="B60" s="23">
        <f>SUM($AA$47:$AA$66)</f>
        <v/>
      </c>
      <c r="C60" s="10">
        <f>AC47</f>
        <v/>
      </c>
      <c r="AA60" s="2">
        <f>SUMPRODUCT((LEN('NPCs'!$K$159:$K$168)&gt;0)*1)</f>
        <v/>
      </c>
      <c r="AB60" s="2">
        <f>IFERROR(INDEX('NPCs'!$K$159:$K$168,MATCH("?*",'NPCs'!$K$159:$K$168,0))&amp;"","")</f>
        <v/>
      </c>
      <c r="AC60" s="2">
        <f>IF(LEN(AB60)&gt;0,AB60,AC61)</f>
        <v/>
      </c>
    </row>
    <row r="61">
      <c r="A61" s="9" t="inlineStr">
        <is>
          <t>Inimigos</t>
        </is>
      </c>
      <c r="B61" s="18">
        <f>SUM($AA$68:$AA$80)</f>
        <v/>
      </c>
      <c r="C61" s="5">
        <f>AC68</f>
        <v/>
      </c>
      <c r="AA61" s="2">
        <f>SUMPRODUCT((LEN('NPCs'!$K$170:$K$179)&gt;0)*1)</f>
        <v/>
      </c>
      <c r="AB61" s="2">
        <f>IFERROR(INDEX('NPCs'!$K$170:$K$179,MATCH("?*",'NPCs'!$K$170:$K$179,0))&amp;"","")</f>
        <v/>
      </c>
      <c r="AC61" s="2">
        <f>IF(LEN(AB61)&gt;0,AB61,AC62)</f>
        <v/>
      </c>
    </row>
    <row r="62">
      <c r="A62" s="21" t="inlineStr">
        <is>
          <t>Bestiário</t>
        </is>
      </c>
      <c r="B62" s="23">
        <f>SUM($AA$82:$AA$84)</f>
        <v/>
      </c>
      <c r="C62" s="10">
        <f>AC82</f>
        <v/>
      </c>
      <c r="AA62" s="2">
        <f>SUMPRODUCT((LEN('NPCs'!$K$182:$K$191)&gt;0)*1)</f>
        <v/>
      </c>
      <c r="AB62" s="2">
        <f>IFERROR(INDEX('NPCs'!$K$182:$K$191,MATCH("?*",'NPCs'!$K$182:$K$191,0))&amp;"","")</f>
        <v/>
      </c>
      <c r="AC62" s="2">
        <f>IF(LEN(AB62)&gt;0,AB62,AC63)</f>
        <v/>
      </c>
    </row>
    <row r="63">
      <c r="A63" s="9" t="inlineStr">
        <is>
          <t>Encontros</t>
        </is>
      </c>
      <c r="B63" s="18">
        <f>SUM($AA$86:$AA$103)</f>
        <v/>
      </c>
      <c r="C63" s="5">
        <f>AC86</f>
        <v/>
      </c>
      <c r="AA63" s="2">
        <f>SUMPRODUCT((LEN('NPCs'!$K$193:$K$202)&gt;0)*1)</f>
        <v/>
      </c>
      <c r="AB63" s="2">
        <f>IFERROR(INDEX('NPCs'!$K$193:$K$202,MATCH("?*",'NPCs'!$K$193:$K$202,0))&amp;"","")</f>
        <v/>
      </c>
      <c r="AC63" s="2">
        <f>IF(LEN(AB63)&gt;0,AB63,AC64)</f>
        <v/>
      </c>
    </row>
    <row r="64" ht="26" customHeight="1">
      <c r="A64" s="8" t="inlineStr">
        <is>
          <t>Aba</t>
        </is>
      </c>
      <c r="B64" s="8" t="inlineStr">
        <is>
          <t>Avisos acesos</t>
        </is>
      </c>
      <c r="C64" s="8" t="inlineStr">
        <is>
          <t>Primeiro aviso aceso</t>
        </is>
      </c>
      <c r="D64" s="20" t="n"/>
      <c r="E64" s="20" t="n"/>
      <c r="F64" s="20" t="n"/>
      <c r="G64" s="20" t="n"/>
      <c r="H64" s="20" t="n"/>
      <c r="I64" s="20" t="n"/>
      <c r="J64" s="20" t="n"/>
      <c r="K64" s="20" t="n"/>
      <c r="L64" s="20" t="n"/>
      <c r="AA64" s="2">
        <f>SUMPRODUCT((LEN('NPCs'!$K$204:$K$213)&gt;0)*1)</f>
        <v/>
      </c>
      <c r="AB64" s="2">
        <f>IFERROR(INDEX('NPCs'!$K$204:$K$213,MATCH("?*",'NPCs'!$K$204:$K$213,0))&amp;"","")</f>
        <v/>
      </c>
      <c r="AC64" s="2">
        <f>IF(LEN(AB64)&gt;0,AB64,AC65)</f>
        <v/>
      </c>
    </row>
    <row r="65" ht="26" customHeight="1">
      <c r="A65" s="9" t="inlineStr">
        <is>
          <t>Combate</t>
        </is>
      </c>
      <c r="B65" s="18">
        <f>SUM($AA$105:$AA$126)</f>
        <v/>
      </c>
      <c r="C65" s="5">
        <f>AC105</f>
        <v/>
      </c>
      <c r="AA65" s="2">
        <f>SUMPRODUCT((LEN('NPCs'!$K$216:$K$216)&gt;0)*1)</f>
        <v/>
      </c>
      <c r="AB65" s="2">
        <f>IFERROR(INDEX('NPCs'!$K$216:$K$216,MATCH("?*",'NPCs'!$K$216:$K$216,0))&amp;"","")</f>
        <v/>
      </c>
      <c r="AC65" s="2">
        <f>IF(LEN(AB65)&gt;0,AB65,AC66)</f>
        <v/>
      </c>
    </row>
    <row r="66">
      <c r="A66" s="21" t="inlineStr">
        <is>
          <t>Aventuras</t>
        </is>
      </c>
      <c r="B66" s="23">
        <f>SUM($AA$128:$AA$131)</f>
        <v/>
      </c>
      <c r="C66" s="10">
        <f>AC128</f>
        <v/>
      </c>
      <c r="AA66" s="2">
        <f>SUMPRODUCT((LEN('NPCs'!$K$225:$K$225)&gt;0)*1)</f>
        <v/>
      </c>
      <c r="AB66" s="2">
        <f>IFERROR(INDEX('NPCs'!$K$225:$K$225,MATCH("?*",'NPCs'!$K$225:$K$225,0))&amp;"","")</f>
        <v/>
      </c>
      <c r="AC66" s="2">
        <f>IF(LEN(AB66)&gt;0,AB66,"")</f>
        <v/>
      </c>
    </row>
    <row r="67">
      <c r="A67" s="9" t="inlineStr">
        <is>
          <t>Recompensas</t>
        </is>
      </c>
      <c r="B67" s="18">
        <f>SUM($AA$133:$AA$145)</f>
        <v/>
      </c>
      <c r="C67" s="5">
        <f>AC133</f>
        <v/>
      </c>
    </row>
    <row r="68">
      <c r="A68" s="21" t="inlineStr">
        <is>
          <t>Mundos</t>
        </is>
      </c>
      <c r="B68" s="23">
        <f>SUM($AA$147:$AA$158)</f>
        <v/>
      </c>
      <c r="C68" s="10">
        <f>AC147</f>
        <v/>
      </c>
      <c r="AA68" s="2">
        <f>SUMPRODUCT((LEN('Inimigos'!$K$7:$K$7)&gt;0)*1)</f>
        <v/>
      </c>
      <c r="AB68" s="2">
        <f>IFERROR(INDEX('Inimigos'!$K$7:$K$7,MATCH("?*",'Inimigos'!$K$7:$K$7,0))&amp;"","")</f>
        <v/>
      </c>
      <c r="AC68" s="2">
        <f>IF(LEN(AB68)&gt;0,AB68,AC69)</f>
        <v/>
      </c>
    </row>
    <row r="69">
      <c r="A69" s="9" t="inlineStr">
        <is>
          <t>Improviso</t>
        </is>
      </c>
      <c r="B69" s="18">
        <f>SUM($AA$160:$AA$170)</f>
        <v/>
      </c>
      <c r="C69" s="5">
        <f>AC160</f>
        <v/>
      </c>
      <c r="AA69" s="2">
        <f>SUMPRODUCT((LEN('Inimigos'!$K$11:$K$22)&gt;0)*1)</f>
        <v/>
      </c>
      <c r="AB69" s="2">
        <f>IFERROR(INDEX('Inimigos'!$K$11:$K$22,MATCH("?*",'Inimigos'!$K$11:$K$22,0))&amp;"","")</f>
        <v/>
      </c>
      <c r="AC69" s="2">
        <f>IF(LEN(AB69)&gt;0,AB69,AC70)</f>
        <v/>
      </c>
    </row>
    <row r="70">
      <c r="A70" s="21" t="inlineStr">
        <is>
          <t>Escudo do Mestre</t>
        </is>
      </c>
      <c r="B70" s="23">
        <f>0</f>
        <v/>
      </c>
      <c r="C70" s="10">
        <f>""</f>
        <v/>
      </c>
      <c r="AA70" s="2">
        <f>SUMPRODUCT((LEN('Inimigos'!$K$26:$K$37)&gt;0)*1)</f>
        <v/>
      </c>
      <c r="AB70" s="2">
        <f>IFERROR(INDEX('Inimigos'!$K$26:$K$37,MATCH("?*",'Inimigos'!$K$26:$K$37,0))&amp;"","")</f>
        <v/>
      </c>
      <c r="AC70" s="2">
        <f>IF(LEN(AB70)&gt;0,AB70,AC71)</f>
        <v/>
      </c>
    </row>
    <row r="71">
      <c r="A71" s="9" t="inlineStr">
        <is>
          <t>Minhas Tabelas</t>
        </is>
      </c>
      <c r="B71" s="18">
        <f>SUM($AA$172:$AA$204)</f>
        <v/>
      </c>
      <c r="C71" s="5">
        <f>AC172</f>
        <v/>
      </c>
      <c r="AA71" s="2">
        <f>SUMPRODUCT((LEN('Inimigos'!$K$42:$K$53)&gt;0)*1)</f>
        <v/>
      </c>
      <c r="AB71" s="2">
        <f>IFERROR(INDEX('Inimigos'!$K$42:$K$53,MATCH("?*",'Inimigos'!$K$42:$K$53,0))&amp;"","")</f>
        <v/>
      </c>
      <c r="AC71" s="2">
        <f>IF(LEN(AB71)&gt;0,AB71,AC72)</f>
        <v/>
      </c>
    </row>
    <row r="72">
      <c r="A72" s="21" t="inlineStr">
        <is>
          <t>Tabelas</t>
        </is>
      </c>
      <c r="B72" s="23">
        <f>SUM($AA$206:$AA$371)</f>
        <v/>
      </c>
      <c r="C72" s="10">
        <f>AC206</f>
        <v/>
      </c>
      <c r="AA72" s="2">
        <f>SUMPRODUCT((LEN('Inimigos'!$K$72:$K$83)&gt;0)*1)</f>
        <v/>
      </c>
      <c r="AB72" s="2">
        <f>IFERROR(INDEX('Inimigos'!$K$72:$K$83,MATCH("?*",'Inimigos'!$K$72:$K$83,0))&amp;"","")</f>
        <v/>
      </c>
      <c r="AC72" s="2">
        <f>IF(LEN(AB72)&gt;0,AB72,AC73)</f>
        <v/>
      </c>
    </row>
    <row r="73">
      <c r="A73" s="9" t="inlineStr">
        <is>
          <t>Dados</t>
        </is>
      </c>
      <c r="B73" s="18">
        <f>0</f>
        <v/>
      </c>
      <c r="C73" s="5">
        <f>""</f>
        <v/>
      </c>
      <c r="AA73" s="2">
        <f>SUMPRODUCT((LEN('Inimigos'!$K$88:$K$99)&gt;0)*1)</f>
        <v/>
      </c>
      <c r="AB73" s="2">
        <f>IFERROR(INDEX('Inimigos'!$K$88:$K$99,MATCH("?*",'Inimigos'!$K$88:$K$99,0))&amp;"","")</f>
        <v/>
      </c>
      <c r="AC73" s="2">
        <f>IF(LEN(AB73)&gt;0,AB73,AC74)</f>
        <v/>
      </c>
    </row>
    <row r="74">
      <c r="AA74" s="2">
        <f>SUMPRODUCT((LEN('Inimigos'!$K$101:$K$112)&gt;0)*1)</f>
        <v/>
      </c>
      <c r="AB74" s="2">
        <f>IFERROR(INDEX('Inimigos'!$K$101:$K$112,MATCH("?*",'Inimigos'!$K$101:$K$112,0))&amp;"","")</f>
        <v/>
      </c>
      <c r="AC74" s="2">
        <f>IF(LEN(AB74)&gt;0,AB74,AC75)</f>
        <v/>
      </c>
    </row>
    <row r="75" ht="20" customHeight="1">
      <c r="A75" s="13" t="inlineStr">
        <is>
          <t>Células com erro na planilha (o Google leu como fórmula um texto digitado)</t>
        </is>
      </c>
      <c r="AA75" s="2">
        <f>SUMPRODUCT((LEN('Inimigos'!$K$116:$K$127)&gt;0)*1)</f>
        <v/>
      </c>
      <c r="AB75" s="2">
        <f>IFERROR(INDEX('Inimigos'!$K$116:$K$127,MATCH("?*",'Inimigos'!$K$116:$K$127,0))&amp;"","")</f>
        <v/>
      </c>
      <c r="AC75" s="2">
        <f>IF(LEN(AB75)&gt;0,AB75,AC76)</f>
        <v/>
      </c>
    </row>
    <row r="76" ht="26" customHeight="1">
      <c r="A76" s="15" t="inlineStr">
        <is>
          <t>Células com erro na planilha</t>
        </is>
      </c>
      <c r="B76" s="24">
        <f>$B$77+$D$77+$F$77+$H$77+$J$77+$B$78+$D$78+$F$78+$H$78+$J$78+$B$79+$D$79+$F$79+$H$79+$J$79+$B$80+$D$80+$F$80</f>
        <v/>
      </c>
      <c r="C76" s="5">
        <f>IF($B$76=0,"Nenhuma célula com erro.","O Google leu como fórmula um texto que começa com +, - ou =. Veja abaixo a aba com erro: o aviso da linha diz o que fazer. Apague e escreva de novo com um apóstrofo (') na frente, ou escolha de novo na lista.")</f>
        <v/>
      </c>
      <c r="AA76" s="2">
        <f>SUMPRODUCT((LEN('Inimigos'!$K$129:$K$140)&gt;0)*1)</f>
        <v/>
      </c>
      <c r="AB76" s="2">
        <f>IFERROR(INDEX('Inimigos'!$K$129:$K$140,MATCH("?*",'Inimigos'!$K$129:$K$140,0))&amp;"","")</f>
        <v/>
      </c>
      <c r="AC76" s="2">
        <f>IF(LEN(AB76)&gt;0,AB76,AC77)</f>
        <v/>
      </c>
    </row>
    <row r="77">
      <c r="A77" s="14" t="inlineStr">
        <is>
          <t>Início</t>
        </is>
      </c>
      <c r="B77" s="18">
        <f>SUMPRODUCT(ISERROR($A$1:$Q$75)*1)</f>
        <v/>
      </c>
      <c r="C77" s="14" t="inlineStr">
        <is>
          <t>Campanha</t>
        </is>
      </c>
      <c r="D77" s="18">
        <f>SUMPRODUCT(ISERROR('Campanha'!$A$1:$AM$192)*1)</f>
        <v/>
      </c>
      <c r="E77" s="14" t="inlineStr">
        <is>
          <t>Grupo</t>
        </is>
      </c>
      <c r="F77" s="18">
        <f>SUMPRODUCT(ISERROR('Grupo'!$A$1:$Z$85)*1)</f>
        <v/>
      </c>
      <c r="G77" s="14" t="inlineStr">
        <is>
          <t>Sessões</t>
        </is>
      </c>
      <c r="H77" s="18">
        <f>SUMPRODUCT(ISERROR('Sessões'!$A$1:$AA$131)*1)</f>
        <v/>
      </c>
      <c r="I77" s="14" t="inlineStr">
        <is>
          <t>Missões</t>
        </is>
      </c>
      <c r="J77" s="18">
        <f>SUMPRODUCT(ISERROR('Missões'!$A$1:$AL$104)*1)</f>
        <v/>
      </c>
      <c r="AA77" s="2">
        <f>SUMPRODUCT((LEN('Inimigos'!$K$142:$K$153)&gt;0)*1)</f>
        <v/>
      </c>
      <c r="AB77" s="2">
        <f>IFERROR(INDEX('Inimigos'!$K$142:$K$153,MATCH("?*",'Inimigos'!$K$142:$K$153,0))&amp;"","")</f>
        <v/>
      </c>
      <c r="AC77" s="2">
        <f>IF(LEN(AB77)&gt;0,AB77,AC78)</f>
        <v/>
      </c>
    </row>
    <row r="78">
      <c r="A78" s="14" t="inlineStr">
        <is>
          <t>NPCs</t>
        </is>
      </c>
      <c r="B78" s="18">
        <f>SUMPRODUCT(ISERROR('NPCs'!$A$1:$BF$232)*1)</f>
        <v/>
      </c>
      <c r="C78" s="14" t="inlineStr">
        <is>
          <t>Inimigos</t>
        </is>
      </c>
      <c r="D78" s="18">
        <f>SUMPRODUCT(ISERROR('Inimigos'!$A$1:$EA$219)*1)</f>
        <v/>
      </c>
      <c r="E78" s="14" t="inlineStr">
        <is>
          <t>Bestiário</t>
        </is>
      </c>
      <c r="F78" s="18">
        <f>SUMPRODUCT(ISERROR('Bestiário'!$A$1:$S$121)*1)</f>
        <v/>
      </c>
      <c r="G78" s="14" t="inlineStr">
        <is>
          <t>Encontros</t>
        </is>
      </c>
      <c r="H78" s="18">
        <f>SUMPRODUCT(ISERROR('Encontros'!$A$1:$BN$122)*1)</f>
        <v/>
      </c>
      <c r="I78" s="14" t="inlineStr">
        <is>
          <t>Combate</t>
        </is>
      </c>
      <c r="J78" s="18">
        <f>SUMPRODUCT(ISERROR('Combate'!$A$1:$CJ$311)*1)</f>
        <v/>
      </c>
      <c r="AA78" s="2">
        <f>SUMPRODUCT((LEN('Inimigos'!$K$157:$K$168)&gt;0)*1)</f>
        <v/>
      </c>
      <c r="AB78" s="2">
        <f>IFERROR(INDEX('Inimigos'!$K$157:$K$168,MATCH("?*",'Inimigos'!$K$157:$K$168,0))&amp;"","")</f>
        <v/>
      </c>
      <c r="AC78" s="2">
        <f>IF(LEN(AB78)&gt;0,AB78,AC79)</f>
        <v/>
      </c>
    </row>
    <row r="79" ht="26" customHeight="1">
      <c r="A79" s="14" t="inlineStr">
        <is>
          <t>Aventuras</t>
        </is>
      </c>
      <c r="B79" s="18">
        <f>SUMPRODUCT(ISERROR('Aventuras'!$A$1:$AU$116)*1)</f>
        <v/>
      </c>
      <c r="C79" s="14" t="inlineStr">
        <is>
          <t>Recompensas</t>
        </is>
      </c>
      <c r="D79" s="18">
        <f>SUMPRODUCT(ISERROR('Recompensas'!$A$1:$AK$159)*1)</f>
        <v/>
      </c>
      <c r="E79" s="14" t="inlineStr">
        <is>
          <t>Mundos</t>
        </is>
      </c>
      <c r="F79" s="18">
        <f>SUMPRODUCT(ISERROR('Mundos'!$A$1:$AF$106)*1)</f>
        <v/>
      </c>
      <c r="G79" s="14" t="inlineStr">
        <is>
          <t>Improviso</t>
        </is>
      </c>
      <c r="H79" s="18">
        <f>SUMPRODUCT(ISERROR('Improviso'!$A$1:$AJ$121)*1)</f>
        <v/>
      </c>
      <c r="I79" s="14" t="inlineStr">
        <is>
          <t>Escudo do Mestre</t>
        </is>
      </c>
      <c r="J79" s="18">
        <f>SUMPRODUCT(ISERROR('Escudo do Mestre'!$A$1:$N$173)*1)</f>
        <v/>
      </c>
      <c r="AA79" s="2">
        <f>SUMPRODUCT((LEN('Inimigos'!$K$170:$K$181)&gt;0)*1)</f>
        <v/>
      </c>
      <c r="AB79" s="2">
        <f>IFERROR(INDEX('Inimigos'!$K$170:$K$181,MATCH("?*",'Inimigos'!$K$170:$K$181,0))&amp;"","")</f>
        <v/>
      </c>
      <c r="AC79" s="2">
        <f>IF(LEN(AB79)&gt;0,AB79,AC80)</f>
        <v/>
      </c>
    </row>
    <row r="80">
      <c r="A80" s="14" t="inlineStr">
        <is>
          <t>Minhas Tabelas</t>
        </is>
      </c>
      <c r="B80" s="18">
        <f>SUMPRODUCT(ISERROR('Minhas Tabelas'!$A$1:$BF$470)*1)</f>
        <v/>
      </c>
      <c r="C80" s="14" t="inlineStr">
        <is>
          <t>Tabelas</t>
        </is>
      </c>
      <c r="D80" s="18">
        <f>SUMPRODUCT(ISERROR('Tabelas'!$A$1:$AG$1268)*1)</f>
        <v/>
      </c>
      <c r="E80" s="14" t="inlineStr">
        <is>
          <t>Dados</t>
        </is>
      </c>
      <c r="F80" s="18">
        <f>SUMPRODUCT(ISERROR('Dados'!$A$1:$CG$919)*1)</f>
        <v/>
      </c>
      <c r="AA80" s="2">
        <f>SUMPRODUCT((LEN('Inimigos'!$K$183:$K$194)&gt;0)*1)</f>
        <v/>
      </c>
      <c r="AB80" s="2">
        <f>IFERROR(INDEX('Inimigos'!$K$183:$K$194,MATCH("?*",'Inimigos'!$K$183:$K$194,0))&amp;"","")</f>
        <v/>
      </c>
      <c r="AC80" s="2">
        <f>IF(LEN(AB80)&gt;0,AB80,"")</f>
        <v/>
      </c>
    </row>
    <row r="81"/>
    <row r="82">
      <c r="AA82" s="2">
        <f>SUMPRODUCT((LEN('Bestiário'!$K$7:$K$9)&gt;0)*1)</f>
        <v/>
      </c>
      <c r="AB82" s="2">
        <f>IFERROR(INDEX('Bestiário'!$K$7:$K$9,MATCH("?*",'Bestiário'!$K$7:$K$9,0))&amp;"","")</f>
        <v/>
      </c>
      <c r="AC82" s="2">
        <f>IF(LEN(AB82)&gt;0,AB82,AC83)</f>
        <v/>
      </c>
    </row>
    <row r="83">
      <c r="AA83" s="2">
        <f>SUMPRODUCT((LEN('Bestiário'!$K$11:$K$12)&gt;0)*1)</f>
        <v/>
      </c>
      <c r="AB83" s="2">
        <f>IFERROR(INDEX('Bestiário'!$K$11:$K$12,MATCH("?*",'Bestiário'!$K$11:$K$12,0))&amp;"","")</f>
        <v/>
      </c>
      <c r="AC83" s="2">
        <f>IF(LEN(AB83)&gt;0,AB83,AC84)</f>
        <v/>
      </c>
    </row>
    <row r="84">
      <c r="AA84" s="2">
        <f>SUMPRODUCT((LEN('Bestiário'!$K$97:$K$97)&gt;0)*1)</f>
        <v/>
      </c>
      <c r="AB84" s="2">
        <f>IFERROR(INDEX('Bestiário'!$K$97:$K$97,MATCH("?*",'Bestiário'!$K$97:$K$97,0))&amp;"","")</f>
        <v/>
      </c>
      <c r="AC84" s="2">
        <f>IF(LEN(AB84)&gt;0,AB84,"")</f>
        <v/>
      </c>
    </row>
    <row r="85"/>
    <row r="86">
      <c r="AA86" s="2">
        <f>SUMPRODUCT((LEN('Encontros'!$K$7:$K$8)&gt;0)*1)</f>
        <v/>
      </c>
      <c r="AB86" s="2">
        <f>IFERROR(INDEX('Encontros'!$K$7:$K$8,MATCH("?*",'Encontros'!$K$7:$K$8,0))&amp;"","")</f>
        <v/>
      </c>
      <c r="AC86" s="2">
        <f>IF(LEN(AB86)&gt;0,AB86,AC87)</f>
        <v/>
      </c>
    </row>
    <row r="87">
      <c r="AA87" s="2">
        <f>SUMPRODUCT((LEN('Encontros'!$K$19:$K$19)&gt;0)*1)</f>
        <v/>
      </c>
      <c r="AB87" s="2">
        <f>IFERROR(INDEX('Encontros'!$K$19:$K$19,MATCH("?*",'Encontros'!$K$19:$K$19,0))&amp;"","")</f>
        <v/>
      </c>
      <c r="AC87" s="2">
        <f>IF(LEN(AB87)&gt;0,AB87,AC88)</f>
        <v/>
      </c>
    </row>
    <row r="88">
      <c r="AA88" s="2">
        <f>SUMPRODUCT((LEN('Encontros'!$K$21:$K$28)&gt;0)*1)</f>
        <v/>
      </c>
      <c r="AB88" s="2">
        <f>IFERROR(INDEX('Encontros'!$K$21:$K$28,MATCH("?*",'Encontros'!$K$21:$K$28,0))&amp;"","")</f>
        <v/>
      </c>
      <c r="AC88" s="2">
        <f>IF(LEN(AB88)&gt;0,AB88,AC89)</f>
        <v/>
      </c>
    </row>
    <row r="89">
      <c r="AA89" s="2">
        <f>SUMPRODUCT((LEN('Encontros'!$K$30:$K$37)&gt;0)*1)</f>
        <v/>
      </c>
      <c r="AB89" s="2">
        <f>IFERROR(INDEX('Encontros'!$K$30:$K$37,MATCH("?*",'Encontros'!$K$30:$K$37,0))&amp;"","")</f>
        <v/>
      </c>
      <c r="AC89" s="2">
        <f>IF(LEN(AB89)&gt;0,AB89,AC90)</f>
        <v/>
      </c>
    </row>
    <row r="90">
      <c r="AA90" s="2">
        <f>SUMPRODUCT((LEN('Encontros'!$K$41:$K$41)&gt;0)*1)</f>
        <v/>
      </c>
      <c r="AB90" s="2">
        <f>IFERROR(INDEX('Encontros'!$K$41:$K$41,MATCH("?*",'Encontros'!$K$41:$K$41,0))&amp;"","")</f>
        <v/>
      </c>
      <c r="AC90" s="2">
        <f>IF(LEN(AB90)&gt;0,AB90,AC91)</f>
        <v/>
      </c>
    </row>
    <row r="91">
      <c r="AA91" s="2">
        <f>SUMPRODUCT((LEN('Encontros'!$B$44:$B$44)&gt;0)*1)</f>
        <v/>
      </c>
      <c r="AB91" s="2">
        <f>IFERROR(INDEX('Encontros'!$B$44:$B$44,MATCH("?*",'Encontros'!$B$44:$B$44,0))&amp;"","")</f>
        <v/>
      </c>
      <c r="AC91" s="2">
        <f>IF(LEN(AB91)&gt;0,AB91,AC92)</f>
        <v/>
      </c>
    </row>
    <row r="92">
      <c r="AA92" s="2">
        <f>SUMPRODUCT((LEN('Encontros'!$K$47:$K$47)&gt;0)*1)</f>
        <v/>
      </c>
      <c r="AB92" s="2">
        <f>IFERROR(INDEX('Encontros'!$K$47:$K$47,MATCH("?*",'Encontros'!$K$47:$K$47,0))&amp;"","")</f>
        <v/>
      </c>
      <c r="AC92" s="2">
        <f>IF(LEN(AB92)&gt;0,AB92,AC93)</f>
        <v/>
      </c>
    </row>
    <row r="93">
      <c r="AA93" s="2">
        <f>SUMPRODUCT((LEN('Encontros'!$K$49:$K$56)&gt;0)*1)</f>
        <v/>
      </c>
      <c r="AB93" s="2">
        <f>IFERROR(INDEX('Encontros'!$K$49:$K$56,MATCH("?*",'Encontros'!$K$49:$K$56,0))&amp;"","")</f>
        <v/>
      </c>
      <c r="AC93" s="2">
        <f>IF(LEN(AB93)&gt;0,AB93,AC94)</f>
        <v/>
      </c>
    </row>
    <row r="94">
      <c r="AA94" s="2">
        <f>SUMPRODUCT((LEN('Encontros'!$K$58:$K$65)&gt;0)*1)</f>
        <v/>
      </c>
      <c r="AB94" s="2">
        <f>IFERROR(INDEX('Encontros'!$K$58:$K$65,MATCH("?*",'Encontros'!$K$58:$K$65,0))&amp;"","")</f>
        <v/>
      </c>
      <c r="AC94" s="2">
        <f>IF(LEN(AB94)&gt;0,AB94,AC95)</f>
        <v/>
      </c>
    </row>
    <row r="95">
      <c r="AA95" s="2">
        <f>SUMPRODUCT((LEN('Encontros'!$K$69:$K$69)&gt;0)*1)</f>
        <v/>
      </c>
      <c r="AB95" s="2">
        <f>IFERROR(INDEX('Encontros'!$K$69:$K$69,MATCH("?*",'Encontros'!$K$69:$K$69,0))&amp;"","")</f>
        <v/>
      </c>
      <c r="AC95" s="2">
        <f>IF(LEN(AB95)&gt;0,AB95,AC96)</f>
        <v/>
      </c>
    </row>
    <row r="96">
      <c r="AA96" s="2">
        <f>SUMPRODUCT((LEN('Encontros'!$B$72:$B$72)&gt;0)*1)</f>
        <v/>
      </c>
      <c r="AB96" s="2">
        <f>IFERROR(INDEX('Encontros'!$B$72:$B$72,MATCH("?*",'Encontros'!$B$72:$B$72,0))&amp;"","")</f>
        <v/>
      </c>
      <c r="AC96" s="2">
        <f>IF(LEN(AB96)&gt;0,AB96,AC97)</f>
        <v/>
      </c>
    </row>
    <row r="97">
      <c r="AA97" s="2">
        <f>SUMPRODUCT((LEN('Encontros'!$K$75:$K$75)&gt;0)*1)</f>
        <v/>
      </c>
      <c r="AB97" s="2">
        <f>IFERROR(INDEX('Encontros'!$K$75:$K$75,MATCH("?*",'Encontros'!$K$75:$K$75,0))&amp;"","")</f>
        <v/>
      </c>
      <c r="AC97" s="2">
        <f>IF(LEN(AB97)&gt;0,AB97,AC98)</f>
        <v/>
      </c>
    </row>
    <row r="98">
      <c r="AA98" s="2">
        <f>SUMPRODUCT((LEN('Encontros'!$K$77:$K$84)&gt;0)*1)</f>
        <v/>
      </c>
      <c r="AB98" s="2">
        <f>IFERROR(INDEX('Encontros'!$K$77:$K$84,MATCH("?*",'Encontros'!$K$77:$K$84,0))&amp;"","")</f>
        <v/>
      </c>
      <c r="AC98" s="2">
        <f>IF(LEN(AB98)&gt;0,AB98,AC99)</f>
        <v/>
      </c>
    </row>
    <row r="99">
      <c r="AA99" s="2">
        <f>SUMPRODUCT((LEN('Encontros'!$K$86:$K$93)&gt;0)*1)</f>
        <v/>
      </c>
      <c r="AB99" s="2">
        <f>IFERROR(INDEX('Encontros'!$K$86:$K$93,MATCH("?*",'Encontros'!$K$86:$K$93,0))&amp;"","")</f>
        <v/>
      </c>
      <c r="AC99" s="2">
        <f>IF(LEN(AB99)&gt;0,AB99,AC100)</f>
        <v/>
      </c>
    </row>
    <row r="100">
      <c r="AA100" s="2">
        <f>SUMPRODUCT((LEN('Encontros'!$K$97:$K$97)&gt;0)*1)</f>
        <v/>
      </c>
      <c r="AB100" s="2">
        <f>IFERROR(INDEX('Encontros'!$K$97:$K$97,MATCH("?*",'Encontros'!$K$97:$K$97,0))&amp;"","")</f>
        <v/>
      </c>
      <c r="AC100" s="2">
        <f>IF(LEN(AB100)&gt;0,AB100,AC101)</f>
        <v/>
      </c>
    </row>
    <row r="101">
      <c r="AA101" s="2">
        <f>SUMPRODUCT((LEN('Encontros'!$B$100:$B$100)&gt;0)*1)</f>
        <v/>
      </c>
      <c r="AB101" s="2">
        <f>IFERROR(INDEX('Encontros'!$B$100:$B$100,MATCH("?*",'Encontros'!$B$100:$B$100,0))&amp;"","")</f>
        <v/>
      </c>
      <c r="AC101" s="2">
        <f>IF(LEN(AB101)&gt;0,AB101,AC102)</f>
        <v/>
      </c>
    </row>
    <row r="102">
      <c r="AA102" s="2">
        <f>SUMPRODUCT((LEN('Encontros'!$K$105:$K$105)&gt;0)*1)</f>
        <v/>
      </c>
      <c r="AB102" s="2">
        <f>IFERROR(INDEX('Encontros'!$K$105:$K$105,MATCH("?*",'Encontros'!$K$105:$K$105,0))&amp;"","")</f>
        <v/>
      </c>
      <c r="AC102" s="2">
        <f>IF(LEN(AB102)&gt;0,AB102,AC103)</f>
        <v/>
      </c>
    </row>
    <row r="103">
      <c r="AA103" s="2">
        <f>SUMPRODUCT((LEN('Encontros'!$K$108:$K$114)&gt;0)*1)</f>
        <v/>
      </c>
      <c r="AB103" s="2">
        <f>IFERROR(INDEX('Encontros'!$K$108:$K$114,MATCH("?*",'Encontros'!$K$108:$K$114,0))&amp;"","")</f>
        <v/>
      </c>
      <c r="AC103" s="2">
        <f>IF(LEN(AB103)&gt;0,AB103,"")</f>
        <v/>
      </c>
    </row>
    <row r="104"/>
    <row r="105">
      <c r="AA105" s="2">
        <f>SUMPRODUCT((LEN('Combate'!$K$7:$K$7)&gt;0)*1)</f>
        <v/>
      </c>
      <c r="AB105" s="2">
        <f>IFERROR(INDEX('Combate'!$K$7:$K$7,MATCH("?*",'Combate'!$K$7:$K$7,0))&amp;"","")</f>
        <v/>
      </c>
      <c r="AC105" s="2">
        <f>IF(LEN(AB105)&gt;0,AB105,AC106)</f>
        <v/>
      </c>
    </row>
    <row r="106">
      <c r="AA106" s="2">
        <f>SUMPRODUCT((LEN('Combate'!$K$15:$K$20)&gt;0)*1)</f>
        <v/>
      </c>
      <c r="AB106" s="2">
        <f>IFERROR(INDEX('Combate'!$K$15:$K$20,MATCH("?*",'Combate'!$K$15:$K$20,0))&amp;"","")</f>
        <v/>
      </c>
      <c r="AC106" s="2">
        <f>IF(LEN(AB106)&gt;0,AB106,AC107)</f>
        <v/>
      </c>
    </row>
    <row r="107">
      <c r="AA107" s="2">
        <f>SUMPRODUCT((LEN('Combate'!$K$24:$K$29)&gt;0)*1)</f>
        <v/>
      </c>
      <c r="AB107" s="2">
        <f>IFERROR(INDEX('Combate'!$K$24:$K$29,MATCH("?*",'Combate'!$K$24:$K$29,0))&amp;"","")</f>
        <v/>
      </c>
      <c r="AC107" s="2">
        <f>IF(LEN(AB107)&gt;0,AB107,AC108)</f>
        <v/>
      </c>
    </row>
    <row r="108">
      <c r="AA108" s="2">
        <f>SUMPRODUCT((LEN('Combate'!$K$33:$K$38)&gt;0)*1)</f>
        <v/>
      </c>
      <c r="AB108" s="2">
        <f>IFERROR(INDEX('Combate'!$K$33:$K$38,MATCH("?*",'Combate'!$K$33:$K$38,0))&amp;"","")</f>
        <v/>
      </c>
      <c r="AC108" s="2">
        <f>IF(LEN(AB108)&gt;0,AB108,AC109)</f>
        <v/>
      </c>
    </row>
    <row r="109">
      <c r="AA109" s="2">
        <f>SUMPRODUCT((LEN('Combate'!$K$45:$K$54)&gt;0)*1)</f>
        <v/>
      </c>
      <c r="AB109" s="2">
        <f>IFERROR(INDEX('Combate'!$K$45:$K$54,MATCH("?*",'Combate'!$K$45:$K$54,0))&amp;"","")</f>
        <v/>
      </c>
      <c r="AC109" s="2">
        <f>IF(LEN(AB109)&gt;0,AB109,AC110)</f>
        <v/>
      </c>
    </row>
    <row r="110">
      <c r="AA110" s="2">
        <f>SUMPRODUCT((LEN('Combate'!$K$58:$K$67)&gt;0)*1)</f>
        <v/>
      </c>
      <c r="AB110" s="2">
        <f>IFERROR(INDEX('Combate'!$K$58:$K$67,MATCH("?*",'Combate'!$K$58:$K$67,0))&amp;"","")</f>
        <v/>
      </c>
      <c r="AC110" s="2">
        <f>IF(LEN(AB110)&gt;0,AB110,AC111)</f>
        <v/>
      </c>
    </row>
    <row r="111">
      <c r="AA111" s="2">
        <f>SUMPRODUCT((LEN('Combate'!$K$74:$K$83)&gt;0)*1)</f>
        <v/>
      </c>
      <c r="AB111" s="2">
        <f>IFERROR(INDEX('Combate'!$K$74:$K$83,MATCH("?*",'Combate'!$K$74:$K$83,0))&amp;"","")</f>
        <v/>
      </c>
      <c r="AC111" s="2">
        <f>IF(LEN(AB111)&gt;0,AB111,AC112)</f>
        <v/>
      </c>
    </row>
    <row r="112">
      <c r="AA112" s="2">
        <f>SUMPRODUCT((LEN('Combate'!$K$87:$K$96)&gt;0)*1)</f>
        <v/>
      </c>
      <c r="AB112" s="2">
        <f>IFERROR(INDEX('Combate'!$K$87:$K$96,MATCH("?*",'Combate'!$K$87:$K$96,0))&amp;"","")</f>
        <v/>
      </c>
      <c r="AC112" s="2">
        <f>IF(LEN(AB112)&gt;0,AB112,AC113)</f>
        <v/>
      </c>
    </row>
    <row r="113">
      <c r="AA113" s="2">
        <f>SUMPRODUCT((LEN('Combate'!$K$101:$K$110)&gt;0)*1)</f>
        <v/>
      </c>
      <c r="AB113" s="2">
        <f>IFERROR(INDEX('Combate'!$K$101:$K$110,MATCH("?*",'Combate'!$K$101:$K$110,0))&amp;"","")</f>
        <v/>
      </c>
      <c r="AC113" s="2">
        <f>IF(LEN(AB113)&gt;0,AB113,AC114)</f>
        <v/>
      </c>
    </row>
    <row r="114">
      <c r="AA114" s="2">
        <f>SUMPRODUCT((LEN('Combate'!$K$114:$K$123)&gt;0)*1)</f>
        <v/>
      </c>
      <c r="AB114" s="2">
        <f>IFERROR(INDEX('Combate'!$K$114:$K$123,MATCH("?*",'Combate'!$K$114:$K$123,0))&amp;"","")</f>
        <v/>
      </c>
      <c r="AC114" s="2">
        <f>IF(LEN(AB114)&gt;0,AB114,AC115)</f>
        <v/>
      </c>
    </row>
    <row r="115">
      <c r="AA115" s="2">
        <f>SUMPRODUCT((LEN('Combate'!$K$125:$K$134)&gt;0)*1)</f>
        <v/>
      </c>
      <c r="AB115" s="2">
        <f>IFERROR(INDEX('Combate'!$K$125:$K$134,MATCH("?*",'Combate'!$K$125:$K$134,0))&amp;"","")</f>
        <v/>
      </c>
      <c r="AC115" s="2">
        <f>IF(LEN(AB115)&gt;0,AB115,AC116)</f>
        <v/>
      </c>
    </row>
    <row r="116">
      <c r="AA116" s="2">
        <f>SUMPRODUCT((LEN('Combate'!$K$136:$K$137)&gt;0)*1)</f>
        <v/>
      </c>
      <c r="AB116" s="2">
        <f>IFERROR(INDEX('Combate'!$K$136:$K$137,MATCH("?*",'Combate'!$K$136:$K$137,0))&amp;"","")</f>
        <v/>
      </c>
      <c r="AC116" s="2">
        <f>IF(LEN(AB116)&gt;0,AB116,AC117)</f>
        <v/>
      </c>
    </row>
    <row r="117">
      <c r="AA117" s="2">
        <f>SUMPRODUCT((LEN('Combate'!$K$209:$K$220)&gt;0)*1)</f>
        <v/>
      </c>
      <c r="AB117" s="2">
        <f>IFERROR(INDEX('Combate'!$K$209:$K$220,MATCH("?*",'Combate'!$K$209:$K$220,0))&amp;"","")</f>
        <v/>
      </c>
      <c r="AC117" s="2">
        <f>IF(LEN(AB117)&gt;0,AB117,AC118)</f>
        <v/>
      </c>
    </row>
    <row r="118">
      <c r="AA118" s="2">
        <f>SUMPRODUCT((LEN('Combate'!$K$222:$K$233)&gt;0)*1)</f>
        <v/>
      </c>
      <c r="AB118" s="2">
        <f>IFERROR(INDEX('Combate'!$K$222:$K$233,MATCH("?*",'Combate'!$K$222:$K$233,0))&amp;"","")</f>
        <v/>
      </c>
      <c r="AC118" s="2">
        <f>IF(LEN(AB118)&gt;0,AB118,AC119)</f>
        <v/>
      </c>
    </row>
    <row r="119">
      <c r="AA119" s="2">
        <f>SUMPRODUCT((LEN('Combate'!$K$235:$K$246)&gt;0)*1)</f>
        <v/>
      </c>
      <c r="AB119" s="2">
        <f>IFERROR(INDEX('Combate'!$K$235:$K$246,MATCH("?*",'Combate'!$K$235:$K$246,0))&amp;"","")</f>
        <v/>
      </c>
      <c r="AC119" s="2">
        <f>IF(LEN(AB119)&gt;0,AB119,AC120)</f>
        <v/>
      </c>
    </row>
    <row r="120">
      <c r="AA120" s="2">
        <f>SUMPRODUCT((LEN('Combate'!$K$248:$K$259)&gt;0)*1)</f>
        <v/>
      </c>
      <c r="AB120" s="2">
        <f>IFERROR(INDEX('Combate'!$K$248:$K$259,MATCH("?*",'Combate'!$K$248:$K$259,0))&amp;"","")</f>
        <v/>
      </c>
      <c r="AC120" s="2">
        <f>IF(LEN(AB120)&gt;0,AB120,AC121)</f>
        <v/>
      </c>
    </row>
    <row r="121">
      <c r="AA121" s="2">
        <f>SUMPRODUCT((LEN('Combate'!$K$261:$K$272)&gt;0)*1)</f>
        <v/>
      </c>
      <c r="AB121" s="2">
        <f>IFERROR(INDEX('Combate'!$K$261:$K$272,MATCH("?*",'Combate'!$K$261:$K$272,0))&amp;"","")</f>
        <v/>
      </c>
      <c r="AC121" s="2">
        <f>IF(LEN(AB121)&gt;0,AB121,AC122)</f>
        <v/>
      </c>
    </row>
    <row r="122">
      <c r="AA122" s="2">
        <f>SUMPRODUCT((LEN('Combate'!$K$274:$K$285)&gt;0)*1)</f>
        <v/>
      </c>
      <c r="AB122" s="2">
        <f>IFERROR(INDEX('Combate'!$K$274:$K$285,MATCH("?*",'Combate'!$K$274:$K$285,0))&amp;"","")</f>
        <v/>
      </c>
      <c r="AC122" s="2">
        <f>IF(LEN(AB122)&gt;0,AB122,AC123)</f>
        <v/>
      </c>
    </row>
    <row r="123">
      <c r="AA123" s="2">
        <f>SUMPRODUCT((LEN('Combate'!$K$287:$K$298)&gt;0)*1)</f>
        <v/>
      </c>
      <c r="AB123" s="2">
        <f>IFERROR(INDEX('Combate'!$K$287:$K$298,MATCH("?*",'Combate'!$K$287:$K$298,0))&amp;"","")</f>
        <v/>
      </c>
      <c r="AC123" s="2">
        <f>IF(LEN(AB123)&gt;0,AB123,AC124)</f>
        <v/>
      </c>
    </row>
    <row r="124">
      <c r="AA124" s="2">
        <f>SUMPRODUCT((LEN('Combate'!$K$300:$K$303)&gt;0)*1)</f>
        <v/>
      </c>
      <c r="AB124" s="2">
        <f>IFERROR(INDEX('Combate'!$K$300:$K$303,MATCH("?*",'Combate'!$K$300:$K$303,0))&amp;"","")</f>
        <v/>
      </c>
      <c r="AC124" s="2">
        <f>IF(LEN(AB124)&gt;0,AB124,AC125)</f>
        <v/>
      </c>
    </row>
    <row r="125">
      <c r="AA125" s="2">
        <f>SUMPRODUCT((LEN('Combate'!$K$308:$K$308)&gt;0)*1)</f>
        <v/>
      </c>
      <c r="AB125" s="2">
        <f>IFERROR(INDEX('Combate'!$K$308:$K$308,MATCH("?*",'Combate'!$K$308:$K$308,0))&amp;"","")</f>
        <v/>
      </c>
      <c r="AC125" s="2">
        <f>IF(LEN(AB125)&gt;0,AB125,AC126)</f>
        <v/>
      </c>
    </row>
    <row r="126">
      <c r="AA126" s="2">
        <f>SUMPRODUCT((LEN('Combate'!$K$310:$K$310)&gt;0)*1)</f>
        <v/>
      </c>
      <c r="AB126" s="2">
        <f>IFERROR(INDEX('Combate'!$K$310:$K$310,MATCH("?*",'Combate'!$K$310:$K$310,0))&amp;"","")</f>
        <v/>
      </c>
      <c r="AC126" s="2">
        <f>IF(LEN(AB126)&gt;0,AB126,"")</f>
        <v/>
      </c>
    </row>
    <row r="127"/>
    <row r="128">
      <c r="AA128" s="2">
        <f>SUMPRODUCT((LEN('Aventuras'!$K$7:$K$7)&gt;0)*1)</f>
        <v/>
      </c>
      <c r="AB128" s="2">
        <f>IFERROR(INDEX('Aventuras'!$K$7:$K$7,MATCH("?*",'Aventuras'!$K$7:$K$7,0))&amp;"","")</f>
        <v/>
      </c>
      <c r="AC128" s="2">
        <f>IF(LEN(AB128)&gt;0,AB128,AC129)</f>
        <v/>
      </c>
    </row>
    <row r="129">
      <c r="AA129" s="2">
        <f>SUMPRODUCT((LEN('Aventuras'!$K$11:$K$12)&gt;0)*1)</f>
        <v/>
      </c>
      <c r="AB129" s="2">
        <f>IFERROR(INDEX('Aventuras'!$K$11:$K$12,MATCH("?*",'Aventuras'!$K$11:$K$12,0))&amp;"","")</f>
        <v/>
      </c>
      <c r="AC129" s="2">
        <f>IF(LEN(AB129)&gt;0,AB129,AC130)</f>
        <v/>
      </c>
    </row>
    <row r="130">
      <c r="AA130" s="2">
        <f>SUMPRODUCT((LEN('Aventuras'!$K$14:$K$16)&gt;0)*1)</f>
        <v/>
      </c>
      <c r="AB130" s="2">
        <f>IFERROR(INDEX('Aventuras'!$K$14:$K$16,MATCH("?*",'Aventuras'!$K$14:$K$16,0))&amp;"","")</f>
        <v/>
      </c>
      <c r="AC130" s="2">
        <f>IF(LEN(AB130)&gt;0,AB130,AC131)</f>
        <v/>
      </c>
    </row>
    <row r="131">
      <c r="AA131" s="2">
        <f>SUMPRODUCT((LEN('Aventuras'!$K$18:$K$20)&gt;0)*1)</f>
        <v/>
      </c>
      <c r="AB131" s="2">
        <f>IFERROR(INDEX('Aventuras'!$K$18:$K$20,MATCH("?*",'Aventuras'!$K$18:$K$20,0))&amp;"","")</f>
        <v/>
      </c>
      <c r="AC131" s="2">
        <f>IF(LEN(AB131)&gt;0,AB131,"")</f>
        <v/>
      </c>
    </row>
    <row r="132"/>
    <row r="133">
      <c r="AA133" s="2">
        <f>SUMPRODUCT((LEN('Recompensas'!$K$7:$K$8)&gt;0)*1)</f>
        <v/>
      </c>
      <c r="AB133" s="2">
        <f>IFERROR(INDEX('Recompensas'!$K$7:$K$8,MATCH("?*",'Recompensas'!$K$7:$K$8,0))&amp;"","")</f>
        <v/>
      </c>
      <c r="AC133" s="2">
        <f>IF(LEN(AB133)&gt;0,AB133,AC134)</f>
        <v/>
      </c>
    </row>
    <row r="134">
      <c r="AA134" s="2">
        <f>SUMPRODUCT((LEN('Recompensas'!$K$25:$K$30)&gt;0)*1)</f>
        <v/>
      </c>
      <c r="AB134" s="2">
        <f>IFERROR(INDEX('Recompensas'!$K$25:$K$30,MATCH("?*",'Recompensas'!$K$25:$K$30,0))&amp;"","")</f>
        <v/>
      </c>
      <c r="AC134" s="2">
        <f>IF(LEN(AB134)&gt;0,AB134,AC135)</f>
        <v/>
      </c>
    </row>
    <row r="135">
      <c r="AA135" s="2">
        <f>SUMPRODUCT((LEN('Recompensas'!$K$82:$K$82)&gt;0)*1)</f>
        <v/>
      </c>
      <c r="AB135" s="2">
        <f>IFERROR(INDEX('Recompensas'!$K$82:$K$82,MATCH("?*",'Recompensas'!$K$82:$K$82,0))&amp;"","")</f>
        <v/>
      </c>
      <c r="AC135" s="2">
        <f>IF(LEN(AB135)&gt;0,AB135,AC136)</f>
        <v/>
      </c>
    </row>
    <row r="136">
      <c r="AA136" s="2">
        <f>SUMPRODUCT((LEN('Recompensas'!$K$89:$K$90)&gt;0)*1)</f>
        <v/>
      </c>
      <c r="AB136" s="2">
        <f>IFERROR(INDEX('Recompensas'!$K$89:$K$90,MATCH("?*",'Recompensas'!$K$89:$K$90,0))&amp;"","")</f>
        <v/>
      </c>
      <c r="AC136" s="2">
        <f>IF(LEN(AB136)&gt;0,AB136,AC137)</f>
        <v/>
      </c>
    </row>
    <row r="137">
      <c r="AA137" s="2">
        <f>SUMPRODUCT((LEN('Recompensas'!$K$102:$K$102)&gt;0)*1)</f>
        <v/>
      </c>
      <c r="AB137" s="2">
        <f>IFERROR(INDEX('Recompensas'!$K$102:$K$102,MATCH("?*",'Recompensas'!$K$102:$K$102,0))&amp;"","")</f>
        <v/>
      </c>
      <c r="AC137" s="2">
        <f>IF(LEN(AB137)&gt;0,AB137,AC138)</f>
        <v/>
      </c>
    </row>
    <row r="138">
      <c r="AA138" s="2">
        <f>SUMPRODUCT((LEN('Recompensas'!$K$105:$K$105)&gt;0)*1)</f>
        <v/>
      </c>
      <c r="AB138" s="2">
        <f>IFERROR(INDEX('Recompensas'!$K$105:$K$105,MATCH("?*",'Recompensas'!$K$105:$K$105,0))&amp;"","")</f>
        <v/>
      </c>
      <c r="AC138" s="2">
        <f>IF(LEN(AB138)&gt;0,AB138,AC139)</f>
        <v/>
      </c>
    </row>
    <row r="139">
      <c r="AA139" s="2">
        <f>SUMPRODUCT((LEN('Recompensas'!$K$107:$K$107)&gt;0)*1)</f>
        <v/>
      </c>
      <c r="AB139" s="2">
        <f>IFERROR(INDEX('Recompensas'!$K$107:$K$107,MATCH("?*",'Recompensas'!$K$107:$K$107,0))&amp;"","")</f>
        <v/>
      </c>
      <c r="AC139" s="2">
        <f>IF(LEN(AB139)&gt;0,AB139,AC140)</f>
        <v/>
      </c>
    </row>
    <row r="140">
      <c r="AA140" s="2">
        <f>SUMPRODUCT((LEN('Recompensas'!$K$109:$K$109)&gt;0)*1)</f>
        <v/>
      </c>
      <c r="AB140" s="2">
        <f>IFERROR(INDEX('Recompensas'!$K$109:$K$109,MATCH("?*",'Recompensas'!$K$109:$K$109,0))&amp;"","")</f>
        <v/>
      </c>
      <c r="AC140" s="2">
        <f>IF(LEN(AB140)&gt;0,AB140,AC141)</f>
        <v/>
      </c>
    </row>
    <row r="141">
      <c r="AA141" s="2">
        <f>SUMPRODUCT((LEN('Recompensas'!$K$114:$K$114)&gt;0)*1)</f>
        <v/>
      </c>
      <c r="AB141" s="2">
        <f>IFERROR(INDEX('Recompensas'!$K$114:$K$114,MATCH("?*",'Recompensas'!$K$114:$K$114,0))&amp;"","")</f>
        <v/>
      </c>
      <c r="AC141" s="2">
        <f>IF(LEN(AB141)&gt;0,AB141,AC142)</f>
        <v/>
      </c>
    </row>
    <row r="142">
      <c r="AA142" s="2">
        <f>SUMPRODUCT((LEN('Recompensas'!$K$117:$K$118)&gt;0)*1)</f>
        <v/>
      </c>
      <c r="AB142" s="2">
        <f>IFERROR(INDEX('Recompensas'!$K$117:$K$118,MATCH("?*",'Recompensas'!$K$117:$K$118,0))&amp;"","")</f>
        <v/>
      </c>
      <c r="AC142" s="2">
        <f>IF(LEN(AB142)&gt;0,AB142,AC143)</f>
        <v/>
      </c>
    </row>
    <row r="143">
      <c r="AA143" s="2">
        <f>SUMPRODUCT((LEN('Recompensas'!$K$120:$K$120)&gt;0)*1)</f>
        <v/>
      </c>
      <c r="AB143" s="2">
        <f>IFERROR(INDEX('Recompensas'!$K$120:$K$120,MATCH("?*",'Recompensas'!$K$120:$K$120,0))&amp;"","")</f>
        <v/>
      </c>
      <c r="AC143" s="2">
        <f>IF(LEN(AB143)&gt;0,AB143,AC144)</f>
        <v/>
      </c>
    </row>
    <row r="144">
      <c r="AA144" s="2">
        <f>SUMPRODUCT((LEN('Recompensas'!$K$133:$K$145)&gt;0)*1)</f>
        <v/>
      </c>
      <c r="AB144" s="2">
        <f>IFERROR(INDEX('Recompensas'!$K$133:$K$145,MATCH("?*",'Recompensas'!$K$133:$K$145,0))&amp;"","")</f>
        <v/>
      </c>
      <c r="AC144" s="2">
        <f>IF(LEN(AB144)&gt;0,AB144,AC145)</f>
        <v/>
      </c>
    </row>
    <row r="145">
      <c r="AA145" s="2">
        <f>SUMPRODUCT((LEN('Recompensas'!$K$147:$K$159)&gt;0)*1)</f>
        <v/>
      </c>
      <c r="AB145" s="2">
        <f>IFERROR(INDEX('Recompensas'!$K$147:$K$159,MATCH("?*",'Recompensas'!$K$147:$K$159,0))&amp;"","")</f>
        <v/>
      </c>
      <c r="AC145" s="2">
        <f>IF(LEN(AB145)&gt;0,AB145,"")</f>
        <v/>
      </c>
    </row>
    <row r="146"/>
    <row r="147">
      <c r="AA147" s="2">
        <f>SUMPRODUCT((LEN('Mundos'!$K$7:$K$12)&gt;0)*1)</f>
        <v/>
      </c>
      <c r="AB147" s="2">
        <f>IFERROR(INDEX('Mundos'!$K$7:$K$12,MATCH("?*",'Mundos'!$K$7:$K$12,0))&amp;"","")</f>
        <v/>
      </c>
      <c r="AC147" s="2">
        <f>IF(LEN(AB147)&gt;0,AB147,AC148)</f>
        <v/>
      </c>
    </row>
    <row r="148">
      <c r="AA148" s="2">
        <f>SUMPRODUCT((LEN('Mundos'!$K$16:$K$18)&gt;0)*1)</f>
        <v/>
      </c>
      <c r="AB148" s="2">
        <f>IFERROR(INDEX('Mundos'!$K$16:$K$18,MATCH("?*",'Mundos'!$K$16:$K$18,0))&amp;"","")</f>
        <v/>
      </c>
      <c r="AC148" s="2">
        <f>IF(LEN(AB148)&gt;0,AB148,AC149)</f>
        <v/>
      </c>
    </row>
    <row r="149">
      <c r="AA149" s="2">
        <f>SUMPRODUCT((LEN('Mundos'!$K$20:$K$23)&gt;0)*1)</f>
        <v/>
      </c>
      <c r="AB149" s="2">
        <f>IFERROR(INDEX('Mundos'!$K$20:$K$23,MATCH("?*",'Mundos'!$K$20:$K$23,0))&amp;"","")</f>
        <v/>
      </c>
      <c r="AC149" s="2">
        <f>IF(LEN(AB149)&gt;0,AB149,AC150)</f>
        <v/>
      </c>
    </row>
    <row r="150">
      <c r="AA150" s="2">
        <f>SUMPRODUCT((LEN('Mundos'!$K$28:$K$29)&gt;0)*1)</f>
        <v/>
      </c>
      <c r="AB150" s="2">
        <f>IFERROR(INDEX('Mundos'!$K$28:$K$29,MATCH("?*",'Mundos'!$K$28:$K$29,0))&amp;"","")</f>
        <v/>
      </c>
      <c r="AC150" s="2">
        <f>IF(LEN(AB150)&gt;0,AB150,AC151)</f>
        <v/>
      </c>
    </row>
    <row r="151">
      <c r="AA151" s="2">
        <f>SUMPRODUCT((LEN('Mundos'!$K$31:$K$31)&gt;0)*1)</f>
        <v/>
      </c>
      <c r="AB151" s="2">
        <f>IFERROR(INDEX('Mundos'!$K$31:$K$31,MATCH("?*",'Mundos'!$K$31:$K$31,0))&amp;"","")</f>
        <v/>
      </c>
      <c r="AC151" s="2">
        <f>IF(LEN(AB151)&gt;0,AB151,AC152)</f>
        <v/>
      </c>
    </row>
    <row r="152">
      <c r="AA152" s="2">
        <f>SUMPRODUCT((LEN('Mundos'!$K$35:$K$37)&gt;0)*1)</f>
        <v/>
      </c>
      <c r="AB152" s="2">
        <f>IFERROR(INDEX('Mundos'!$K$35:$K$37,MATCH("?*",'Mundos'!$K$35:$K$37,0))&amp;"","")</f>
        <v/>
      </c>
      <c r="AC152" s="2">
        <f>IF(LEN(AB152)&gt;0,AB152,AC153)</f>
        <v/>
      </c>
    </row>
    <row r="153">
      <c r="AA153" s="2">
        <f>SUMPRODUCT((LEN('Mundos'!$K$43:$K$43)&gt;0)*1)</f>
        <v/>
      </c>
      <c r="AB153" s="2">
        <f>IFERROR(INDEX('Mundos'!$K$43:$K$43,MATCH("?*",'Mundos'!$K$43:$K$43,0))&amp;"","")</f>
        <v/>
      </c>
      <c r="AC153" s="2">
        <f>IF(LEN(AB153)&gt;0,AB153,AC154)</f>
        <v/>
      </c>
    </row>
    <row r="154">
      <c r="AA154" s="2">
        <f>SUMPRODUCT((LEN('Mundos'!$K$45:$K$48)&gt;0)*1)</f>
        <v/>
      </c>
      <c r="AB154" s="2">
        <f>IFERROR(INDEX('Mundos'!$K$45:$K$48,MATCH("?*",'Mundos'!$K$45:$K$48,0))&amp;"","")</f>
        <v/>
      </c>
      <c r="AC154" s="2">
        <f>IF(LEN(AB154)&gt;0,AB154,AC155)</f>
        <v/>
      </c>
    </row>
    <row r="155">
      <c r="AA155" s="2">
        <f>SUMPRODUCT((LEN('Mundos'!$K$57:$K$57)&gt;0)*1)</f>
        <v/>
      </c>
      <c r="AB155" s="2">
        <f>IFERROR(INDEX('Mundos'!$K$57:$K$57,MATCH("?*",'Mundos'!$K$57:$K$57,0))&amp;"","")</f>
        <v/>
      </c>
      <c r="AC155" s="2">
        <f>IF(LEN(AB155)&gt;0,AB155,AC156)</f>
        <v/>
      </c>
    </row>
    <row r="156">
      <c r="AA156" s="2">
        <f>SUMPRODUCT((LEN('Mundos'!$K$59:$K$60)&gt;0)*1)</f>
        <v/>
      </c>
      <c r="AB156" s="2">
        <f>IFERROR(INDEX('Mundos'!$K$59:$K$60,MATCH("?*",'Mundos'!$K$59:$K$60,0))&amp;"","")</f>
        <v/>
      </c>
      <c r="AC156" s="2">
        <f>IF(LEN(AB156)&gt;0,AB156,AC157)</f>
        <v/>
      </c>
    </row>
    <row r="157">
      <c r="AA157" s="2">
        <f>SUMPRODUCT((LEN('Mundos'!$K$64:$K$64)&gt;0)*1)</f>
        <v/>
      </c>
      <c r="AB157" s="2">
        <f>IFERROR(INDEX('Mundos'!$K$64:$K$64,MATCH("?*",'Mundos'!$K$64:$K$64,0))&amp;"","")</f>
        <v/>
      </c>
      <c r="AC157" s="2">
        <f>IF(LEN(AB157)&gt;0,AB157,AC158)</f>
        <v/>
      </c>
    </row>
    <row r="158">
      <c r="AA158" s="2">
        <f>SUMPRODUCT((LEN('Mundos'!$K$66:$K$66)&gt;0)*1)</f>
        <v/>
      </c>
      <c r="AB158" s="2">
        <f>IFERROR(INDEX('Mundos'!$K$66:$K$66,MATCH("?*",'Mundos'!$K$66:$K$66,0))&amp;"","")</f>
        <v/>
      </c>
      <c r="AC158" s="2">
        <f>IF(LEN(AB158)&gt;0,AB158,"")</f>
        <v/>
      </c>
    </row>
    <row r="159"/>
    <row r="160">
      <c r="AA160" s="2">
        <f>SUMPRODUCT((LEN('Improviso'!$K$7:$K$12)&gt;0)*1)</f>
        <v/>
      </c>
      <c r="AB160" s="2">
        <f>IFERROR(INDEX('Improviso'!$K$7:$K$12,MATCH("?*",'Improviso'!$K$7:$K$12,0))&amp;"","")</f>
        <v/>
      </c>
      <c r="AC160" s="2">
        <f>IF(LEN(AB160)&gt;0,AB160,AC161)</f>
        <v/>
      </c>
    </row>
    <row r="161">
      <c r="AA161" s="2">
        <f>SUMPRODUCT((LEN('Improviso'!$K$16:$K$17)&gt;0)*1)</f>
        <v/>
      </c>
      <c r="AB161" s="2">
        <f>IFERROR(INDEX('Improviso'!$K$16:$K$17,MATCH("?*",'Improviso'!$K$16:$K$17,0))&amp;"","")</f>
        <v/>
      </c>
      <c r="AC161" s="2">
        <f>IF(LEN(AB161)&gt;0,AB161,AC162)</f>
        <v/>
      </c>
    </row>
    <row r="162">
      <c r="AA162" s="2">
        <f>SUMPRODUCT((LEN('Improviso'!$K$22:$K$22)&gt;0)*1)</f>
        <v/>
      </c>
      <c r="AB162" s="2">
        <f>IFERROR(INDEX('Improviso'!$K$22:$K$22,MATCH("?*",'Improviso'!$K$22:$K$22,0))&amp;"","")</f>
        <v/>
      </c>
      <c r="AC162" s="2">
        <f>IF(LEN(AB162)&gt;0,AB162,AC163)</f>
        <v/>
      </c>
    </row>
    <row r="163">
      <c r="AA163" s="2">
        <f>SUMPRODUCT((LEN('Improviso'!$K$26:$K$29)&gt;0)*1)</f>
        <v/>
      </c>
      <c r="AB163" s="2">
        <f>IFERROR(INDEX('Improviso'!$K$26:$K$29,MATCH("?*",'Improviso'!$K$26:$K$29,0))&amp;"","")</f>
        <v/>
      </c>
      <c r="AC163" s="2">
        <f>IF(LEN(AB163)&gt;0,AB163,AC164)</f>
        <v/>
      </c>
    </row>
    <row r="164">
      <c r="AA164" s="2">
        <f>SUMPRODUCT((LEN('Improviso'!$K$34:$K$34)&gt;0)*1)</f>
        <v/>
      </c>
      <c r="AB164" s="2">
        <f>IFERROR(INDEX('Improviso'!$K$34:$K$34,MATCH("?*",'Improviso'!$K$34:$K$34,0))&amp;"","")</f>
        <v/>
      </c>
      <c r="AC164" s="2">
        <f>IF(LEN(AB164)&gt;0,AB164,AC165)</f>
        <v/>
      </c>
    </row>
    <row r="165">
      <c r="AA165" s="2">
        <f>SUMPRODUCT((LEN('Improviso'!$K$43:$K$43)&gt;0)*1)</f>
        <v/>
      </c>
      <c r="AB165" s="2">
        <f>IFERROR(INDEX('Improviso'!$K$43:$K$43,MATCH("?*",'Improviso'!$K$43:$K$43,0))&amp;"","")</f>
        <v/>
      </c>
      <c r="AC165" s="2">
        <f>IF(LEN(AB165)&gt;0,AB165,AC166)</f>
        <v/>
      </c>
    </row>
    <row r="166">
      <c r="AA166" s="2">
        <f>SUMPRODUCT((LEN('Improviso'!$K$49:$K$49)&gt;0)*1)</f>
        <v/>
      </c>
      <c r="AB166" s="2">
        <f>IFERROR(INDEX('Improviso'!$K$49:$K$49,MATCH("?*",'Improviso'!$K$49:$K$49,0))&amp;"","")</f>
        <v/>
      </c>
      <c r="AC166" s="2">
        <f>IF(LEN(AB166)&gt;0,AB166,AC167)</f>
        <v/>
      </c>
    </row>
    <row r="167">
      <c r="AA167" s="2">
        <f>SUMPRODUCT((LEN('Improviso'!$K$55:$K$56)&gt;0)*1)</f>
        <v/>
      </c>
      <c r="AB167" s="2">
        <f>IFERROR(INDEX('Improviso'!$K$55:$K$56,MATCH("?*",'Improviso'!$K$55:$K$56,0))&amp;"","")</f>
        <v/>
      </c>
      <c r="AC167" s="2">
        <f>IF(LEN(AB167)&gt;0,AB167,AC168)</f>
        <v/>
      </c>
    </row>
    <row r="168">
      <c r="AA168" s="2">
        <f>SUMPRODUCT((LEN('Improviso'!$K$58:$K$58)&gt;0)*1)</f>
        <v/>
      </c>
      <c r="AB168" s="2">
        <f>IFERROR(INDEX('Improviso'!$K$58:$K$58,MATCH("?*",'Improviso'!$K$58:$K$58,0))&amp;"","")</f>
        <v/>
      </c>
      <c r="AC168" s="2">
        <f>IF(LEN(AB168)&gt;0,AB168,AC169)</f>
        <v/>
      </c>
    </row>
    <row r="169">
      <c r="AA169" s="2">
        <f>SUMPRODUCT((LEN('Improviso'!$K$62:$K$64)&gt;0)*1)</f>
        <v/>
      </c>
      <c r="AB169" s="2">
        <f>IFERROR(INDEX('Improviso'!$K$62:$K$64,MATCH("?*",'Improviso'!$K$62:$K$64,0))&amp;"","")</f>
        <v/>
      </c>
      <c r="AC169" s="2">
        <f>IF(LEN(AB169)&gt;0,AB169,AC170)</f>
        <v/>
      </c>
    </row>
    <row r="170">
      <c r="AA170" s="2">
        <f>SUMPRODUCT((LEN('Improviso'!$K$69:$K$69)&gt;0)*1)</f>
        <v/>
      </c>
      <c r="AB170" s="2">
        <f>IFERROR(INDEX('Improviso'!$K$69:$K$69,MATCH("?*",'Improviso'!$K$69:$K$69,0))&amp;"","")</f>
        <v/>
      </c>
      <c r="AC170" s="2">
        <f>IF(LEN(AB170)&gt;0,AB170,"")</f>
        <v/>
      </c>
    </row>
    <row r="171"/>
    <row r="172">
      <c r="AA172" s="2">
        <f>SUMPRODUCT((LEN('Minhas Tabelas'!$K$7:$K$16)&gt;0)*1)</f>
        <v/>
      </c>
      <c r="AB172" s="2">
        <f>IFERROR(INDEX('Minhas Tabelas'!$K$7:$K$16,MATCH("?*",'Minhas Tabelas'!$K$7:$K$16,0))&amp;"","")</f>
        <v/>
      </c>
      <c r="AC172" s="2">
        <f>IF(LEN(AB172)&gt;0,AB172,AC173)</f>
        <v/>
      </c>
    </row>
    <row r="173">
      <c r="AA173" s="2">
        <f>SUMPRODUCT((LEN('Minhas Tabelas'!$K$34:$K$46)&gt;0)*1)</f>
        <v/>
      </c>
      <c r="AB173" s="2">
        <f>IFERROR(INDEX('Minhas Tabelas'!$K$34:$K$46,MATCH("?*",'Minhas Tabelas'!$K$34:$K$46,0))&amp;"","")</f>
        <v/>
      </c>
      <c r="AC173" s="2">
        <f>IF(LEN(AB173)&gt;0,AB173,AC174)</f>
        <v/>
      </c>
    </row>
    <row r="174">
      <c r="AA174" s="2">
        <f>SUMPRODUCT((LEN('Minhas Tabelas'!$K$48:$K$60)&gt;0)*1)</f>
        <v/>
      </c>
      <c r="AB174" s="2">
        <f>IFERROR(INDEX('Minhas Tabelas'!$K$48:$K$60,MATCH("?*",'Minhas Tabelas'!$K$48:$K$60,0))&amp;"","")</f>
        <v/>
      </c>
      <c r="AC174" s="2">
        <f>IF(LEN(AB174)&gt;0,AB174,AC175)</f>
        <v/>
      </c>
    </row>
    <row r="175">
      <c r="AA175" s="2">
        <f>SUMPRODUCT((LEN('Minhas Tabelas'!$K$62:$K$74)&gt;0)*1)</f>
        <v/>
      </c>
      <c r="AB175" s="2">
        <f>IFERROR(INDEX('Minhas Tabelas'!$K$62:$K$74,MATCH("?*",'Minhas Tabelas'!$K$62:$K$74,0))&amp;"","")</f>
        <v/>
      </c>
      <c r="AC175" s="2">
        <f>IF(LEN(AB175)&gt;0,AB175,AC176)</f>
        <v/>
      </c>
    </row>
    <row r="176">
      <c r="AA176" s="2">
        <f>SUMPRODUCT((LEN('Minhas Tabelas'!$K$76:$K$88)&gt;0)*1)</f>
        <v/>
      </c>
      <c r="AB176" s="2">
        <f>IFERROR(INDEX('Minhas Tabelas'!$K$76:$K$88,MATCH("?*",'Minhas Tabelas'!$K$76:$K$88,0))&amp;"","")</f>
        <v/>
      </c>
      <c r="AC176" s="2">
        <f>IF(LEN(AB176)&gt;0,AB176,AC177)</f>
        <v/>
      </c>
    </row>
    <row r="177">
      <c r="AA177" s="2">
        <f>SUMPRODUCT((LEN('Minhas Tabelas'!$K$90:$K$102)&gt;0)*1)</f>
        <v/>
      </c>
      <c r="AB177" s="2">
        <f>IFERROR(INDEX('Minhas Tabelas'!$K$90:$K$102,MATCH("?*",'Minhas Tabelas'!$K$90:$K$102,0))&amp;"","")</f>
        <v/>
      </c>
      <c r="AC177" s="2">
        <f>IF(LEN(AB177)&gt;0,AB177,AC178)</f>
        <v/>
      </c>
    </row>
    <row r="178">
      <c r="AA178" s="2">
        <f>SUMPRODUCT((LEN('Minhas Tabelas'!$K$104:$K$116)&gt;0)*1)</f>
        <v/>
      </c>
      <c r="AB178" s="2">
        <f>IFERROR(INDEX('Minhas Tabelas'!$K$104:$K$116,MATCH("?*",'Minhas Tabelas'!$K$104:$K$116,0))&amp;"","")</f>
        <v/>
      </c>
      <c r="AC178" s="2">
        <f>IF(LEN(AB178)&gt;0,AB178,AC179)</f>
        <v/>
      </c>
    </row>
    <row r="179">
      <c r="AA179" s="2">
        <f>SUMPRODUCT((LEN('Minhas Tabelas'!$K$118:$K$130)&gt;0)*1)</f>
        <v/>
      </c>
      <c r="AB179" s="2">
        <f>IFERROR(INDEX('Minhas Tabelas'!$K$118:$K$130,MATCH("?*",'Minhas Tabelas'!$K$118:$K$130,0))&amp;"","")</f>
        <v/>
      </c>
      <c r="AC179" s="2">
        <f>IF(LEN(AB179)&gt;0,AB179,AC180)</f>
        <v/>
      </c>
    </row>
    <row r="180">
      <c r="AA180" s="2">
        <f>SUMPRODUCT((LEN('Minhas Tabelas'!$K$132:$K$140)&gt;0)*1)</f>
        <v/>
      </c>
      <c r="AB180" s="2">
        <f>IFERROR(INDEX('Minhas Tabelas'!$K$132:$K$140,MATCH("?*",'Minhas Tabelas'!$K$132:$K$140,0))&amp;"","")</f>
        <v/>
      </c>
      <c r="AC180" s="2">
        <f>IF(LEN(AB180)&gt;0,AB180,AC181)</f>
        <v/>
      </c>
    </row>
    <row r="181">
      <c r="AA181" s="2">
        <f>SUMPRODUCT((LEN('Minhas Tabelas'!$K$144:$K$156)&gt;0)*1)</f>
        <v/>
      </c>
      <c r="AB181" s="2">
        <f>IFERROR(INDEX('Minhas Tabelas'!$K$144:$K$156,MATCH("?*",'Minhas Tabelas'!$K$144:$K$156,0))&amp;"","")</f>
        <v/>
      </c>
      <c r="AC181" s="2">
        <f>IF(LEN(AB181)&gt;0,AB181,AC182)</f>
        <v/>
      </c>
    </row>
    <row r="182">
      <c r="AA182" s="2">
        <f>SUMPRODUCT((LEN('Minhas Tabelas'!$K$158:$K$170)&gt;0)*1)</f>
        <v/>
      </c>
      <c r="AB182" s="2">
        <f>IFERROR(INDEX('Minhas Tabelas'!$K$158:$K$170,MATCH("?*",'Minhas Tabelas'!$K$158:$K$170,0))&amp;"","")</f>
        <v/>
      </c>
      <c r="AC182" s="2">
        <f>IF(LEN(AB182)&gt;0,AB182,AC183)</f>
        <v/>
      </c>
    </row>
    <row r="183">
      <c r="AA183" s="2">
        <f>SUMPRODUCT((LEN('Minhas Tabelas'!$K$172:$K$184)&gt;0)*1)</f>
        <v/>
      </c>
      <c r="AB183" s="2">
        <f>IFERROR(INDEX('Minhas Tabelas'!$K$172:$K$184,MATCH("?*",'Minhas Tabelas'!$K$172:$K$184,0))&amp;"","")</f>
        <v/>
      </c>
      <c r="AC183" s="2">
        <f>IF(LEN(AB183)&gt;0,AB183,AC184)</f>
        <v/>
      </c>
    </row>
    <row r="184">
      <c r="AA184" s="2">
        <f>SUMPRODUCT((LEN('Minhas Tabelas'!$K$186:$K$198)&gt;0)*1)</f>
        <v/>
      </c>
      <c r="AB184" s="2">
        <f>IFERROR(INDEX('Minhas Tabelas'!$K$186:$K$198,MATCH("?*",'Minhas Tabelas'!$K$186:$K$198,0))&amp;"","")</f>
        <v/>
      </c>
      <c r="AC184" s="2">
        <f>IF(LEN(AB184)&gt;0,AB184,AC185)</f>
        <v/>
      </c>
    </row>
    <row r="185">
      <c r="AA185" s="2">
        <f>SUMPRODUCT((LEN('Minhas Tabelas'!$K$200:$K$212)&gt;0)*1)</f>
        <v/>
      </c>
      <c r="AB185" s="2">
        <f>IFERROR(INDEX('Minhas Tabelas'!$K$200:$K$212,MATCH("?*",'Minhas Tabelas'!$K$200:$K$212,0))&amp;"","")</f>
        <v/>
      </c>
      <c r="AC185" s="2">
        <f>IF(LEN(AB185)&gt;0,AB185,AC186)</f>
        <v/>
      </c>
    </row>
    <row r="186">
      <c r="AA186" s="2">
        <f>SUMPRODUCT((LEN('Minhas Tabelas'!$K$214:$K$226)&gt;0)*1)</f>
        <v/>
      </c>
      <c r="AB186" s="2">
        <f>IFERROR(INDEX('Minhas Tabelas'!$K$214:$K$226,MATCH("?*",'Minhas Tabelas'!$K$214:$K$226,0))&amp;"","")</f>
        <v/>
      </c>
      <c r="AC186" s="2">
        <f>IF(LEN(AB186)&gt;0,AB186,AC187)</f>
        <v/>
      </c>
    </row>
    <row r="187">
      <c r="AA187" s="2">
        <f>SUMPRODUCT((LEN('Minhas Tabelas'!$K$228:$K$240)&gt;0)*1)</f>
        <v/>
      </c>
      <c r="AB187" s="2">
        <f>IFERROR(INDEX('Minhas Tabelas'!$K$228:$K$240,MATCH("?*",'Minhas Tabelas'!$K$228:$K$240,0))&amp;"","")</f>
        <v/>
      </c>
      <c r="AC187" s="2">
        <f>IF(LEN(AB187)&gt;0,AB187,AC188)</f>
        <v/>
      </c>
    </row>
    <row r="188">
      <c r="AA188" s="2">
        <f>SUMPRODUCT((LEN('Minhas Tabelas'!$K$242:$K$250)&gt;0)*1)</f>
        <v/>
      </c>
      <c r="AB188" s="2">
        <f>IFERROR(INDEX('Minhas Tabelas'!$K$242:$K$250,MATCH("?*",'Minhas Tabelas'!$K$242:$K$250,0))&amp;"","")</f>
        <v/>
      </c>
      <c r="AC188" s="2">
        <f>IF(LEN(AB188)&gt;0,AB188,AC189)</f>
        <v/>
      </c>
    </row>
    <row r="189">
      <c r="AA189" s="2">
        <f>SUMPRODUCT((LEN('Minhas Tabelas'!$K$254:$K$266)&gt;0)*1)</f>
        <v/>
      </c>
      <c r="AB189" s="2">
        <f>IFERROR(INDEX('Minhas Tabelas'!$K$254:$K$266,MATCH("?*",'Minhas Tabelas'!$K$254:$K$266,0))&amp;"","")</f>
        <v/>
      </c>
      <c r="AC189" s="2">
        <f>IF(LEN(AB189)&gt;0,AB189,AC190)</f>
        <v/>
      </c>
    </row>
    <row r="190">
      <c r="AA190" s="2">
        <f>SUMPRODUCT((LEN('Minhas Tabelas'!$K$268:$K$280)&gt;0)*1)</f>
        <v/>
      </c>
      <c r="AB190" s="2">
        <f>IFERROR(INDEX('Minhas Tabelas'!$K$268:$K$280,MATCH("?*",'Minhas Tabelas'!$K$268:$K$280,0))&amp;"","")</f>
        <v/>
      </c>
      <c r="AC190" s="2">
        <f>IF(LEN(AB190)&gt;0,AB190,AC191)</f>
        <v/>
      </c>
    </row>
    <row r="191">
      <c r="AA191" s="2">
        <f>SUMPRODUCT((LEN('Minhas Tabelas'!$K$282:$K$294)&gt;0)*1)</f>
        <v/>
      </c>
      <c r="AB191" s="2">
        <f>IFERROR(INDEX('Minhas Tabelas'!$K$282:$K$294,MATCH("?*",'Minhas Tabelas'!$K$282:$K$294,0))&amp;"","")</f>
        <v/>
      </c>
      <c r="AC191" s="2">
        <f>IF(LEN(AB191)&gt;0,AB191,AC192)</f>
        <v/>
      </c>
    </row>
    <row r="192">
      <c r="AA192" s="2">
        <f>SUMPRODUCT((LEN('Minhas Tabelas'!$K$296:$K$308)&gt;0)*1)</f>
        <v/>
      </c>
      <c r="AB192" s="2">
        <f>IFERROR(INDEX('Minhas Tabelas'!$K$296:$K$308,MATCH("?*",'Minhas Tabelas'!$K$296:$K$308,0))&amp;"","")</f>
        <v/>
      </c>
      <c r="AC192" s="2">
        <f>IF(LEN(AB192)&gt;0,AB192,AC193)</f>
        <v/>
      </c>
    </row>
    <row r="193">
      <c r="AA193" s="2">
        <f>SUMPRODUCT((LEN('Minhas Tabelas'!$K$310:$K$322)&gt;0)*1)</f>
        <v/>
      </c>
      <c r="AB193" s="2">
        <f>IFERROR(INDEX('Minhas Tabelas'!$K$310:$K$322,MATCH("?*",'Minhas Tabelas'!$K$310:$K$322,0))&amp;"","")</f>
        <v/>
      </c>
      <c r="AC193" s="2">
        <f>IF(LEN(AB193)&gt;0,AB193,AC194)</f>
        <v/>
      </c>
    </row>
    <row r="194">
      <c r="AA194" s="2">
        <f>SUMPRODUCT((LEN('Minhas Tabelas'!$K$324:$K$336)&gt;0)*1)</f>
        <v/>
      </c>
      <c r="AB194" s="2">
        <f>IFERROR(INDEX('Minhas Tabelas'!$K$324:$K$336,MATCH("?*",'Minhas Tabelas'!$K$324:$K$336,0))&amp;"","")</f>
        <v/>
      </c>
      <c r="AC194" s="2">
        <f>IF(LEN(AB194)&gt;0,AB194,AC195)</f>
        <v/>
      </c>
    </row>
    <row r="195">
      <c r="AA195" s="2">
        <f>SUMPRODUCT((LEN('Minhas Tabelas'!$K$338:$K$350)&gt;0)*1)</f>
        <v/>
      </c>
      <c r="AB195" s="2">
        <f>IFERROR(INDEX('Minhas Tabelas'!$K$338:$K$350,MATCH("?*",'Minhas Tabelas'!$K$338:$K$350,0))&amp;"","")</f>
        <v/>
      </c>
      <c r="AC195" s="2">
        <f>IF(LEN(AB195)&gt;0,AB195,AC196)</f>
        <v/>
      </c>
    </row>
    <row r="196">
      <c r="AA196" s="2">
        <f>SUMPRODUCT((LEN('Minhas Tabelas'!$K$352:$K$360)&gt;0)*1)</f>
        <v/>
      </c>
      <c r="AB196" s="2">
        <f>IFERROR(INDEX('Minhas Tabelas'!$K$352:$K$360,MATCH("?*",'Minhas Tabelas'!$K$352:$K$360,0))&amp;"","")</f>
        <v/>
      </c>
      <c r="AC196" s="2">
        <f>IF(LEN(AB196)&gt;0,AB196,AC197)</f>
        <v/>
      </c>
    </row>
    <row r="197">
      <c r="AA197" s="2">
        <f>SUMPRODUCT((LEN('Minhas Tabelas'!$K$364:$K$376)&gt;0)*1)</f>
        <v/>
      </c>
      <c r="AB197" s="2">
        <f>IFERROR(INDEX('Minhas Tabelas'!$K$364:$K$376,MATCH("?*",'Minhas Tabelas'!$K$364:$K$376,0))&amp;"","")</f>
        <v/>
      </c>
      <c r="AC197" s="2">
        <f>IF(LEN(AB197)&gt;0,AB197,AC198)</f>
        <v/>
      </c>
    </row>
    <row r="198">
      <c r="AA198" s="2">
        <f>SUMPRODUCT((LEN('Minhas Tabelas'!$K$378:$K$390)&gt;0)*1)</f>
        <v/>
      </c>
      <c r="AB198" s="2">
        <f>IFERROR(INDEX('Minhas Tabelas'!$K$378:$K$390,MATCH("?*",'Minhas Tabelas'!$K$378:$K$390,0))&amp;"","")</f>
        <v/>
      </c>
      <c r="AC198" s="2">
        <f>IF(LEN(AB198)&gt;0,AB198,AC199)</f>
        <v/>
      </c>
    </row>
    <row r="199">
      <c r="AA199" s="2">
        <f>SUMPRODUCT((LEN('Minhas Tabelas'!$K$392:$K$404)&gt;0)*1)</f>
        <v/>
      </c>
      <c r="AB199" s="2">
        <f>IFERROR(INDEX('Minhas Tabelas'!$K$392:$K$404,MATCH("?*",'Minhas Tabelas'!$K$392:$K$404,0))&amp;"","")</f>
        <v/>
      </c>
      <c r="AC199" s="2">
        <f>IF(LEN(AB199)&gt;0,AB199,AC200)</f>
        <v/>
      </c>
    </row>
    <row r="200">
      <c r="AA200" s="2">
        <f>SUMPRODUCT((LEN('Minhas Tabelas'!$K$406:$K$418)&gt;0)*1)</f>
        <v/>
      </c>
      <c r="AB200" s="2">
        <f>IFERROR(INDEX('Minhas Tabelas'!$K$406:$K$418,MATCH("?*",'Minhas Tabelas'!$K$406:$K$418,0))&amp;"","")</f>
        <v/>
      </c>
      <c r="AC200" s="2">
        <f>IF(LEN(AB200)&gt;0,AB200,AC201)</f>
        <v/>
      </c>
    </row>
    <row r="201">
      <c r="AA201" s="2">
        <f>SUMPRODUCT((LEN('Minhas Tabelas'!$K$420:$K$432)&gt;0)*1)</f>
        <v/>
      </c>
      <c r="AB201" s="2">
        <f>IFERROR(INDEX('Minhas Tabelas'!$K$420:$K$432,MATCH("?*",'Minhas Tabelas'!$K$420:$K$432,0))&amp;"","")</f>
        <v/>
      </c>
      <c r="AC201" s="2">
        <f>IF(LEN(AB201)&gt;0,AB201,AC202)</f>
        <v/>
      </c>
    </row>
    <row r="202">
      <c r="AA202" s="2">
        <f>SUMPRODUCT((LEN('Minhas Tabelas'!$K$434:$K$446)&gt;0)*1)</f>
        <v/>
      </c>
      <c r="AB202" s="2">
        <f>IFERROR(INDEX('Minhas Tabelas'!$K$434:$K$446,MATCH("?*",'Minhas Tabelas'!$K$434:$K$446,0))&amp;"","")</f>
        <v/>
      </c>
      <c r="AC202" s="2">
        <f>IF(LEN(AB202)&gt;0,AB202,AC203)</f>
        <v/>
      </c>
    </row>
    <row r="203">
      <c r="AA203" s="2">
        <f>SUMPRODUCT((LEN('Minhas Tabelas'!$K$448:$K$460)&gt;0)*1)</f>
        <v/>
      </c>
      <c r="AB203" s="2">
        <f>IFERROR(INDEX('Minhas Tabelas'!$K$448:$K$460,MATCH("?*",'Minhas Tabelas'!$K$448:$K$460,0))&amp;"","")</f>
        <v/>
      </c>
      <c r="AC203" s="2">
        <f>IF(LEN(AB203)&gt;0,AB203,AC204)</f>
        <v/>
      </c>
    </row>
    <row r="204">
      <c r="AA204" s="2">
        <f>SUMPRODUCT((LEN('Minhas Tabelas'!$K$462:$K$470)&gt;0)*1)</f>
        <v/>
      </c>
      <c r="AB204" s="2">
        <f>IFERROR(INDEX('Minhas Tabelas'!$K$462:$K$470,MATCH("?*",'Minhas Tabelas'!$K$462:$K$470,0))&amp;"","")</f>
        <v/>
      </c>
      <c r="AC204" s="2">
        <f>IF(LEN(AB204)&gt;0,AB204,"")</f>
        <v/>
      </c>
    </row>
    <row r="205"/>
    <row r="206">
      <c r="AA206" s="2">
        <f>SUMPRODUCT((LEN('Tabelas'!$B$10:$B$10)&gt;0)*1)</f>
        <v/>
      </c>
      <c r="AB206" s="2">
        <f>IFERROR(INDEX('Tabelas'!$B$10:$B$10,MATCH("?*",'Tabelas'!$B$10:$B$10,0))&amp;"","")</f>
        <v/>
      </c>
      <c r="AC206" s="2">
        <f>IF(LEN(AB206)&gt;0,AB206,AC207)</f>
        <v/>
      </c>
    </row>
    <row r="207">
      <c r="AA207" s="2">
        <f>SUMPRODUCT((LEN('Tabelas'!$C$10:$C$10)&gt;0)*1)</f>
        <v/>
      </c>
      <c r="AB207" s="2">
        <f>IFERROR(INDEX('Tabelas'!$C$10:$C$10,MATCH("?*",'Tabelas'!$C$10:$C$10,0))&amp;"","")</f>
        <v/>
      </c>
      <c r="AC207" s="2">
        <f>IF(LEN(AB207)&gt;0,AB207,AC208)</f>
        <v/>
      </c>
    </row>
    <row r="208">
      <c r="AA208" s="2">
        <f>SUMPRODUCT((LEN('Tabelas'!$D$10:$D$10)&gt;0)*1)</f>
        <v/>
      </c>
      <c r="AB208" s="2">
        <f>IFERROR(INDEX('Tabelas'!$D$10:$D$10,MATCH("?*",'Tabelas'!$D$10:$D$10,0))&amp;"","")</f>
        <v/>
      </c>
      <c r="AC208" s="2">
        <f>IF(LEN(AB208)&gt;0,AB208,AC209)</f>
        <v/>
      </c>
    </row>
    <row r="209">
      <c r="AA209" s="2">
        <f>SUMPRODUCT((LEN('Tabelas'!$E$10:$E$10)&gt;0)*1)</f>
        <v/>
      </c>
      <c r="AB209" s="2">
        <f>IFERROR(INDEX('Tabelas'!$E$10:$E$10,MATCH("?*",'Tabelas'!$E$10:$E$10,0))&amp;"","")</f>
        <v/>
      </c>
      <c r="AC209" s="2">
        <f>IF(LEN(AB209)&gt;0,AB209,AC210)</f>
        <v/>
      </c>
    </row>
    <row r="210">
      <c r="AA210" s="2">
        <f>SUMPRODUCT((LEN('Tabelas'!$F$10:$F$10)&gt;0)*1)</f>
        <v/>
      </c>
      <c r="AB210" s="2">
        <f>IFERROR(INDEX('Tabelas'!$F$10:$F$10,MATCH("?*",'Tabelas'!$F$10:$F$10,0))&amp;"","")</f>
        <v/>
      </c>
      <c r="AC210" s="2">
        <f>IF(LEN(AB210)&gt;0,AB210,AC211)</f>
        <v/>
      </c>
    </row>
    <row r="211">
      <c r="AA211" s="2">
        <f>SUMPRODUCT((LEN('Tabelas'!$G$10:$G$10)&gt;0)*1)</f>
        <v/>
      </c>
      <c r="AB211" s="2">
        <f>IFERROR(INDEX('Tabelas'!$G$10:$G$10,MATCH("?*",'Tabelas'!$G$10:$G$10,0))&amp;"","")</f>
        <v/>
      </c>
      <c r="AC211" s="2">
        <f>IF(LEN(AB211)&gt;0,AB211,AC212)</f>
        <v/>
      </c>
    </row>
    <row r="212">
      <c r="AA212" s="2">
        <f>SUMPRODUCT((LEN('Tabelas'!$H$10:$H$10)&gt;0)*1)</f>
        <v/>
      </c>
      <c r="AB212" s="2">
        <f>IFERROR(INDEX('Tabelas'!$H$10:$H$10,MATCH("?*",'Tabelas'!$H$10:$H$10,0))&amp;"","")</f>
        <v/>
      </c>
      <c r="AC212" s="2">
        <f>IF(LEN(AB212)&gt;0,AB212,AC213)</f>
        <v/>
      </c>
    </row>
    <row r="213">
      <c r="AA213" s="2">
        <f>SUMPRODUCT((LEN('Tabelas'!$I$10:$I$10)&gt;0)*1)</f>
        <v/>
      </c>
      <c r="AB213" s="2">
        <f>IFERROR(INDEX('Tabelas'!$I$10:$I$10,MATCH("?*",'Tabelas'!$I$10:$I$10,0))&amp;"","")</f>
        <v/>
      </c>
      <c r="AC213" s="2">
        <f>IF(LEN(AB213)&gt;0,AB213,AC214)</f>
        <v/>
      </c>
    </row>
    <row r="214">
      <c r="AA214" s="2">
        <f>SUMPRODUCT((LEN('Tabelas'!$K$12:$K$24)&gt;0)*1)</f>
        <v/>
      </c>
      <c r="AB214" s="2">
        <f>IFERROR(INDEX('Tabelas'!$K$12:$K$24,MATCH("?*",'Tabelas'!$K$12:$K$24,0))&amp;"","")</f>
        <v/>
      </c>
      <c r="AC214" s="2">
        <f>IF(LEN(AB214)&gt;0,AB214,AC215)</f>
        <v/>
      </c>
    </row>
    <row r="215">
      <c r="AA215" s="2">
        <f>SUMPRODUCT((LEN('Tabelas'!$K$26:$K$38)&gt;0)*1)</f>
        <v/>
      </c>
      <c r="AB215" s="2">
        <f>IFERROR(INDEX('Tabelas'!$K$26:$K$38,MATCH("?*",'Tabelas'!$K$26:$K$38,0))&amp;"","")</f>
        <v/>
      </c>
      <c r="AC215" s="2">
        <f>IF(LEN(AB215)&gt;0,AB215,AC216)</f>
        <v/>
      </c>
    </row>
    <row r="216">
      <c r="AA216" s="2">
        <f>SUMPRODUCT((LEN('Tabelas'!$K$40:$K$52)&gt;0)*1)</f>
        <v/>
      </c>
      <c r="AB216" s="2">
        <f>IFERROR(INDEX('Tabelas'!$K$40:$K$52,MATCH("?*",'Tabelas'!$K$40:$K$52,0))&amp;"","")</f>
        <v/>
      </c>
      <c r="AC216" s="2">
        <f>IF(LEN(AB216)&gt;0,AB216,AC217)</f>
        <v/>
      </c>
    </row>
    <row r="217">
      <c r="AA217" s="2">
        <f>SUMPRODUCT((LEN('Tabelas'!$K$54:$K$66)&gt;0)*1)</f>
        <v/>
      </c>
      <c r="AB217" s="2">
        <f>IFERROR(INDEX('Tabelas'!$K$54:$K$66,MATCH("?*",'Tabelas'!$K$54:$K$66,0))&amp;"","")</f>
        <v/>
      </c>
      <c r="AC217" s="2">
        <f>IF(LEN(AB217)&gt;0,AB217,AC218)</f>
        <v/>
      </c>
    </row>
    <row r="218">
      <c r="AA218" s="2">
        <f>SUMPRODUCT((LEN('Tabelas'!$K$68:$K$80)&gt;0)*1)</f>
        <v/>
      </c>
      <c r="AB218" s="2">
        <f>IFERROR(INDEX('Tabelas'!$K$68:$K$80,MATCH("?*",'Tabelas'!$K$68:$K$80,0))&amp;"","")</f>
        <v/>
      </c>
      <c r="AC218" s="2">
        <f>IF(LEN(AB218)&gt;0,AB218,AC219)</f>
        <v/>
      </c>
    </row>
    <row r="219">
      <c r="AA219" s="2">
        <f>SUMPRODUCT((LEN('Tabelas'!$K$82:$K$94)&gt;0)*1)</f>
        <v/>
      </c>
      <c r="AB219" s="2">
        <f>IFERROR(INDEX('Tabelas'!$K$82:$K$94,MATCH("?*",'Tabelas'!$K$82:$K$94,0))&amp;"","")</f>
        <v/>
      </c>
      <c r="AC219" s="2">
        <f>IF(LEN(AB219)&gt;0,AB219,AC220)</f>
        <v/>
      </c>
    </row>
    <row r="220">
      <c r="AA220" s="2">
        <f>SUMPRODUCT((LEN('Tabelas'!$K$96:$K$108)&gt;0)*1)</f>
        <v/>
      </c>
      <c r="AB220" s="2">
        <f>IFERROR(INDEX('Tabelas'!$K$96:$K$108,MATCH("?*",'Tabelas'!$K$96:$K$108,0))&amp;"","")</f>
        <v/>
      </c>
      <c r="AC220" s="2">
        <f>IF(LEN(AB220)&gt;0,AB220,AC221)</f>
        <v/>
      </c>
    </row>
    <row r="221">
      <c r="AA221" s="2">
        <f>SUMPRODUCT((LEN('Tabelas'!$K$110:$K$118)&gt;0)*1)</f>
        <v/>
      </c>
      <c r="AB221" s="2">
        <f>IFERROR(INDEX('Tabelas'!$K$110:$K$118,MATCH("?*",'Tabelas'!$K$110:$K$118,0))&amp;"","")</f>
        <v/>
      </c>
      <c r="AC221" s="2">
        <f>IF(LEN(AB221)&gt;0,AB221,AC222)</f>
        <v/>
      </c>
    </row>
    <row r="222">
      <c r="AA222" s="2">
        <f>SUMPRODUCT((LEN('Tabelas'!$B$125:$B$125)&gt;0)*1)</f>
        <v/>
      </c>
      <c r="AB222" s="2">
        <f>IFERROR(INDEX('Tabelas'!$B$125:$B$125,MATCH("?*",'Tabelas'!$B$125:$B$125,0))&amp;"","")</f>
        <v/>
      </c>
      <c r="AC222" s="2">
        <f>IF(LEN(AB222)&gt;0,AB222,AC223)</f>
        <v/>
      </c>
    </row>
    <row r="223">
      <c r="AA223" s="2">
        <f>SUMPRODUCT((LEN('Tabelas'!$C$125:$C$125)&gt;0)*1)</f>
        <v/>
      </c>
      <c r="AB223" s="2">
        <f>IFERROR(INDEX('Tabelas'!$C$125:$C$125,MATCH("?*",'Tabelas'!$C$125:$C$125,0))&amp;"","")</f>
        <v/>
      </c>
      <c r="AC223" s="2">
        <f>IF(LEN(AB223)&gt;0,AB223,AC224)</f>
        <v/>
      </c>
    </row>
    <row r="224">
      <c r="AA224" s="2">
        <f>SUMPRODUCT((LEN('Tabelas'!$D$125:$D$125)&gt;0)*1)</f>
        <v/>
      </c>
      <c r="AB224" s="2">
        <f>IFERROR(INDEX('Tabelas'!$D$125:$D$125,MATCH("?*",'Tabelas'!$D$125:$D$125,0))&amp;"","")</f>
        <v/>
      </c>
      <c r="AC224" s="2">
        <f>IF(LEN(AB224)&gt;0,AB224,AC225)</f>
        <v/>
      </c>
    </row>
    <row r="225">
      <c r="AA225" s="2">
        <f>SUMPRODUCT((LEN('Tabelas'!$E$125:$E$125)&gt;0)*1)</f>
        <v/>
      </c>
      <c r="AB225" s="2">
        <f>IFERROR(INDEX('Tabelas'!$E$125:$E$125,MATCH("?*",'Tabelas'!$E$125:$E$125,0))&amp;"","")</f>
        <v/>
      </c>
      <c r="AC225" s="2">
        <f>IF(LEN(AB225)&gt;0,AB225,AC226)</f>
        <v/>
      </c>
    </row>
    <row r="226">
      <c r="AA226" s="2">
        <f>SUMPRODUCT((LEN('Tabelas'!$F$125:$F$125)&gt;0)*1)</f>
        <v/>
      </c>
      <c r="AB226" s="2">
        <f>IFERROR(INDEX('Tabelas'!$F$125:$F$125,MATCH("?*",'Tabelas'!$F$125:$F$125,0))&amp;"","")</f>
        <v/>
      </c>
      <c r="AC226" s="2">
        <f>IF(LEN(AB226)&gt;0,AB226,AC227)</f>
        <v/>
      </c>
    </row>
    <row r="227">
      <c r="AA227" s="2">
        <f>SUMPRODUCT((LEN('Tabelas'!$G$125:$G$125)&gt;0)*1)</f>
        <v/>
      </c>
      <c r="AB227" s="2">
        <f>IFERROR(INDEX('Tabelas'!$G$125:$G$125,MATCH("?*",'Tabelas'!$G$125:$G$125,0))&amp;"","")</f>
        <v/>
      </c>
      <c r="AC227" s="2">
        <f>IF(LEN(AB227)&gt;0,AB227,AC228)</f>
        <v/>
      </c>
    </row>
    <row r="228">
      <c r="AA228" s="2">
        <f>SUMPRODUCT((LEN('Tabelas'!$H$125:$H$125)&gt;0)*1)</f>
        <v/>
      </c>
      <c r="AB228" s="2">
        <f>IFERROR(INDEX('Tabelas'!$H$125:$H$125,MATCH("?*",'Tabelas'!$H$125:$H$125,0))&amp;"","")</f>
        <v/>
      </c>
      <c r="AC228" s="2">
        <f>IF(LEN(AB228)&gt;0,AB228,AC229)</f>
        <v/>
      </c>
    </row>
    <row r="229">
      <c r="AA229" s="2">
        <f>SUMPRODUCT((LEN('Tabelas'!$K$127:$K$139)&gt;0)*1)</f>
        <v/>
      </c>
      <c r="AB229" s="2">
        <f>IFERROR(INDEX('Tabelas'!$K$127:$K$139,MATCH("?*",'Tabelas'!$K$127:$K$139,0))&amp;"","")</f>
        <v/>
      </c>
      <c r="AC229" s="2">
        <f>IF(LEN(AB229)&gt;0,AB229,AC230)</f>
        <v/>
      </c>
    </row>
    <row r="230">
      <c r="AA230" s="2">
        <f>SUMPRODUCT((LEN('Tabelas'!$K$141:$K$153)&gt;0)*1)</f>
        <v/>
      </c>
      <c r="AB230" s="2">
        <f>IFERROR(INDEX('Tabelas'!$K$141:$K$153,MATCH("?*",'Tabelas'!$K$141:$K$153,0))&amp;"","")</f>
        <v/>
      </c>
      <c r="AC230" s="2">
        <f>IF(LEN(AB230)&gt;0,AB230,AC231)</f>
        <v/>
      </c>
    </row>
    <row r="231">
      <c r="AA231" s="2">
        <f>SUMPRODUCT((LEN('Tabelas'!$K$155:$K$167)&gt;0)*1)</f>
        <v/>
      </c>
      <c r="AB231" s="2">
        <f>IFERROR(INDEX('Tabelas'!$K$155:$K$167,MATCH("?*",'Tabelas'!$K$155:$K$167,0))&amp;"","")</f>
        <v/>
      </c>
      <c r="AC231" s="2">
        <f>IF(LEN(AB231)&gt;0,AB231,AC232)</f>
        <v/>
      </c>
    </row>
    <row r="232">
      <c r="AA232" s="2">
        <f>SUMPRODUCT((LEN('Tabelas'!$K$169:$K$181)&gt;0)*1)</f>
        <v/>
      </c>
      <c r="AB232" s="2">
        <f>IFERROR(INDEX('Tabelas'!$K$169:$K$181,MATCH("?*",'Tabelas'!$K$169:$K$181,0))&amp;"","")</f>
        <v/>
      </c>
      <c r="AC232" s="2">
        <f>IF(LEN(AB232)&gt;0,AB232,AC233)</f>
        <v/>
      </c>
    </row>
    <row r="233">
      <c r="AA233" s="2">
        <f>SUMPRODUCT((LEN('Tabelas'!$K$183:$K$195)&gt;0)*1)</f>
        <v/>
      </c>
      <c r="AB233" s="2">
        <f>IFERROR(INDEX('Tabelas'!$K$183:$K$195,MATCH("?*",'Tabelas'!$K$183:$K$195,0))&amp;"","")</f>
        <v/>
      </c>
      <c r="AC233" s="2">
        <f>IF(LEN(AB233)&gt;0,AB233,AC234)</f>
        <v/>
      </c>
    </row>
    <row r="234">
      <c r="AA234" s="2">
        <f>SUMPRODUCT((LEN('Tabelas'!$K$197:$K$209)&gt;0)*1)</f>
        <v/>
      </c>
      <c r="AB234" s="2">
        <f>IFERROR(INDEX('Tabelas'!$K$197:$K$209,MATCH("?*",'Tabelas'!$K$197:$K$209,0))&amp;"","")</f>
        <v/>
      </c>
      <c r="AC234" s="2">
        <f>IF(LEN(AB234)&gt;0,AB234,AC235)</f>
        <v/>
      </c>
    </row>
    <row r="235">
      <c r="AA235" s="2">
        <f>SUMPRODUCT((LEN('Tabelas'!$K$211:$K$223)&gt;0)*1)</f>
        <v/>
      </c>
      <c r="AB235" s="2">
        <f>IFERROR(INDEX('Tabelas'!$K$211:$K$223,MATCH("?*",'Tabelas'!$K$211:$K$223,0))&amp;"","")</f>
        <v/>
      </c>
      <c r="AC235" s="2">
        <f>IF(LEN(AB235)&gt;0,AB235,AC236)</f>
        <v/>
      </c>
    </row>
    <row r="236">
      <c r="AA236" s="2">
        <f>SUMPRODUCT((LEN('Tabelas'!$K$225:$K$233)&gt;0)*1)</f>
        <v/>
      </c>
      <c r="AB236" s="2">
        <f>IFERROR(INDEX('Tabelas'!$K$225:$K$233,MATCH("?*",'Tabelas'!$K$225:$K$233,0))&amp;"","")</f>
        <v/>
      </c>
      <c r="AC236" s="2">
        <f>IF(LEN(AB236)&gt;0,AB236,AC237)</f>
        <v/>
      </c>
    </row>
    <row r="237">
      <c r="AA237" s="2">
        <f>SUMPRODUCT((LEN('Tabelas'!$B$240:$B$240)&gt;0)*1)</f>
        <v/>
      </c>
      <c r="AB237" s="2">
        <f>IFERROR(INDEX('Tabelas'!$B$240:$B$240,MATCH("?*",'Tabelas'!$B$240:$B$240,0))&amp;"","")</f>
        <v/>
      </c>
      <c r="AC237" s="2">
        <f>IF(LEN(AB237)&gt;0,AB237,AC238)</f>
        <v/>
      </c>
    </row>
    <row r="238">
      <c r="AA238" s="2">
        <f>SUMPRODUCT((LEN('Tabelas'!$C$240:$C$240)&gt;0)*1)</f>
        <v/>
      </c>
      <c r="AB238" s="2">
        <f>IFERROR(INDEX('Tabelas'!$C$240:$C$240,MATCH("?*",'Tabelas'!$C$240:$C$240,0))&amp;"","")</f>
        <v/>
      </c>
      <c r="AC238" s="2">
        <f>IF(LEN(AB238)&gt;0,AB238,AC239)</f>
        <v/>
      </c>
    </row>
    <row r="239">
      <c r="AA239" s="2">
        <f>SUMPRODUCT((LEN('Tabelas'!$D$240:$D$240)&gt;0)*1)</f>
        <v/>
      </c>
      <c r="AB239" s="2">
        <f>IFERROR(INDEX('Tabelas'!$D$240:$D$240,MATCH("?*",'Tabelas'!$D$240:$D$240,0))&amp;"","")</f>
        <v/>
      </c>
      <c r="AC239" s="2">
        <f>IF(LEN(AB239)&gt;0,AB239,AC240)</f>
        <v/>
      </c>
    </row>
    <row r="240">
      <c r="AA240" s="2">
        <f>SUMPRODUCT((LEN('Tabelas'!$E$240:$E$240)&gt;0)*1)</f>
        <v/>
      </c>
      <c r="AB240" s="2">
        <f>IFERROR(INDEX('Tabelas'!$E$240:$E$240,MATCH("?*",'Tabelas'!$E$240:$E$240,0))&amp;"","")</f>
        <v/>
      </c>
      <c r="AC240" s="2">
        <f>IF(LEN(AB240)&gt;0,AB240,AC241)</f>
        <v/>
      </c>
    </row>
    <row r="241">
      <c r="AA241" s="2">
        <f>SUMPRODUCT((LEN('Tabelas'!$F$240:$F$240)&gt;0)*1)</f>
        <v/>
      </c>
      <c r="AB241" s="2">
        <f>IFERROR(INDEX('Tabelas'!$F$240:$F$240,MATCH("?*",'Tabelas'!$F$240:$F$240,0))&amp;"","")</f>
        <v/>
      </c>
      <c r="AC241" s="2">
        <f>IF(LEN(AB241)&gt;0,AB241,AC242)</f>
        <v/>
      </c>
    </row>
    <row r="242">
      <c r="AA242" s="2">
        <f>SUMPRODUCT((LEN('Tabelas'!$G$240:$G$240)&gt;0)*1)</f>
        <v/>
      </c>
      <c r="AB242" s="2">
        <f>IFERROR(INDEX('Tabelas'!$G$240:$G$240,MATCH("?*",'Tabelas'!$G$240:$G$240,0))&amp;"","")</f>
        <v/>
      </c>
      <c r="AC242" s="2">
        <f>IF(LEN(AB242)&gt;0,AB242,AC243)</f>
        <v/>
      </c>
    </row>
    <row r="243">
      <c r="AA243" s="2">
        <f>SUMPRODUCT((LEN('Tabelas'!$H$240:$H$240)&gt;0)*1)</f>
        <v/>
      </c>
      <c r="AB243" s="2">
        <f>IFERROR(INDEX('Tabelas'!$H$240:$H$240,MATCH("?*",'Tabelas'!$H$240:$H$240,0))&amp;"","")</f>
        <v/>
      </c>
      <c r="AC243" s="2">
        <f>IF(LEN(AB243)&gt;0,AB243,AC244)</f>
        <v/>
      </c>
    </row>
    <row r="244">
      <c r="AA244" s="2">
        <f>SUMPRODUCT((LEN('Tabelas'!$K$242:$K$254)&gt;0)*1)</f>
        <v/>
      </c>
      <c r="AB244" s="2">
        <f>IFERROR(INDEX('Tabelas'!$K$242:$K$254,MATCH("?*",'Tabelas'!$K$242:$K$254,0))&amp;"","")</f>
        <v/>
      </c>
      <c r="AC244" s="2">
        <f>IF(LEN(AB244)&gt;0,AB244,AC245)</f>
        <v/>
      </c>
    </row>
    <row r="245">
      <c r="AA245" s="2">
        <f>SUMPRODUCT((LEN('Tabelas'!$K$256:$K$268)&gt;0)*1)</f>
        <v/>
      </c>
      <c r="AB245" s="2">
        <f>IFERROR(INDEX('Tabelas'!$K$256:$K$268,MATCH("?*",'Tabelas'!$K$256:$K$268,0))&amp;"","")</f>
        <v/>
      </c>
      <c r="AC245" s="2">
        <f>IF(LEN(AB245)&gt;0,AB245,AC246)</f>
        <v/>
      </c>
    </row>
    <row r="246">
      <c r="AA246" s="2">
        <f>SUMPRODUCT((LEN('Tabelas'!$K$270:$K$282)&gt;0)*1)</f>
        <v/>
      </c>
      <c r="AB246" s="2">
        <f>IFERROR(INDEX('Tabelas'!$K$270:$K$282,MATCH("?*",'Tabelas'!$K$270:$K$282,0))&amp;"","")</f>
        <v/>
      </c>
      <c r="AC246" s="2">
        <f>IF(LEN(AB246)&gt;0,AB246,AC247)</f>
        <v/>
      </c>
    </row>
    <row r="247">
      <c r="AA247" s="2">
        <f>SUMPRODUCT((LEN('Tabelas'!$K$284:$K$296)&gt;0)*1)</f>
        <v/>
      </c>
      <c r="AB247" s="2">
        <f>IFERROR(INDEX('Tabelas'!$K$284:$K$296,MATCH("?*",'Tabelas'!$K$284:$K$296,0))&amp;"","")</f>
        <v/>
      </c>
      <c r="AC247" s="2">
        <f>IF(LEN(AB247)&gt;0,AB247,AC248)</f>
        <v/>
      </c>
    </row>
    <row r="248">
      <c r="AA248" s="2">
        <f>SUMPRODUCT((LEN('Tabelas'!$K$298:$K$310)&gt;0)*1)</f>
        <v/>
      </c>
      <c r="AB248" s="2">
        <f>IFERROR(INDEX('Tabelas'!$K$298:$K$310,MATCH("?*",'Tabelas'!$K$298:$K$310,0))&amp;"","")</f>
        <v/>
      </c>
      <c r="AC248" s="2">
        <f>IF(LEN(AB248)&gt;0,AB248,AC249)</f>
        <v/>
      </c>
    </row>
    <row r="249">
      <c r="AA249" s="2">
        <f>SUMPRODUCT((LEN('Tabelas'!$K$312:$K$324)&gt;0)*1)</f>
        <v/>
      </c>
      <c r="AB249" s="2">
        <f>IFERROR(INDEX('Tabelas'!$K$312:$K$324,MATCH("?*",'Tabelas'!$K$312:$K$324,0))&amp;"","")</f>
        <v/>
      </c>
      <c r="AC249" s="2">
        <f>IF(LEN(AB249)&gt;0,AB249,AC250)</f>
        <v/>
      </c>
    </row>
    <row r="250">
      <c r="AA250" s="2">
        <f>SUMPRODUCT((LEN('Tabelas'!$K$326:$K$338)&gt;0)*1)</f>
        <v/>
      </c>
      <c r="AB250" s="2">
        <f>IFERROR(INDEX('Tabelas'!$K$326:$K$338,MATCH("?*",'Tabelas'!$K$326:$K$338,0))&amp;"","")</f>
        <v/>
      </c>
      <c r="AC250" s="2">
        <f>IF(LEN(AB250)&gt;0,AB250,AC251)</f>
        <v/>
      </c>
    </row>
    <row r="251">
      <c r="AA251" s="2">
        <f>SUMPRODUCT((LEN('Tabelas'!$K$340:$K$348)&gt;0)*1)</f>
        <v/>
      </c>
      <c r="AB251" s="2">
        <f>IFERROR(INDEX('Tabelas'!$K$340:$K$348,MATCH("?*",'Tabelas'!$K$340:$K$348,0))&amp;"","")</f>
        <v/>
      </c>
      <c r="AC251" s="2">
        <f>IF(LEN(AB251)&gt;0,AB251,AC252)</f>
        <v/>
      </c>
    </row>
    <row r="252">
      <c r="AA252" s="2">
        <f>SUMPRODUCT((LEN('Tabelas'!$B$355:$B$355)&gt;0)*1)</f>
        <v/>
      </c>
      <c r="AB252" s="2">
        <f>IFERROR(INDEX('Tabelas'!$B$355:$B$355,MATCH("?*",'Tabelas'!$B$355:$B$355,0))&amp;"","")</f>
        <v/>
      </c>
      <c r="AC252" s="2">
        <f>IF(LEN(AB252)&gt;0,AB252,AC253)</f>
        <v/>
      </c>
    </row>
    <row r="253">
      <c r="AA253" s="2">
        <f>SUMPRODUCT((LEN('Tabelas'!$C$355:$C$355)&gt;0)*1)</f>
        <v/>
      </c>
      <c r="AB253" s="2">
        <f>IFERROR(INDEX('Tabelas'!$C$355:$C$355,MATCH("?*",'Tabelas'!$C$355:$C$355,0))&amp;"","")</f>
        <v/>
      </c>
      <c r="AC253" s="2">
        <f>IF(LEN(AB253)&gt;0,AB253,AC254)</f>
        <v/>
      </c>
    </row>
    <row r="254">
      <c r="AA254" s="2">
        <f>SUMPRODUCT((LEN('Tabelas'!$D$355:$D$355)&gt;0)*1)</f>
        <v/>
      </c>
      <c r="AB254" s="2">
        <f>IFERROR(INDEX('Tabelas'!$D$355:$D$355,MATCH("?*",'Tabelas'!$D$355:$D$355,0))&amp;"","")</f>
        <v/>
      </c>
      <c r="AC254" s="2">
        <f>IF(LEN(AB254)&gt;0,AB254,AC255)</f>
        <v/>
      </c>
    </row>
    <row r="255">
      <c r="AA255" s="2">
        <f>SUMPRODUCT((LEN('Tabelas'!$E$355:$E$355)&gt;0)*1)</f>
        <v/>
      </c>
      <c r="AB255" s="2">
        <f>IFERROR(INDEX('Tabelas'!$E$355:$E$355,MATCH("?*",'Tabelas'!$E$355:$E$355,0))&amp;"","")</f>
        <v/>
      </c>
      <c r="AC255" s="2">
        <f>IF(LEN(AB255)&gt;0,AB255,AC256)</f>
        <v/>
      </c>
    </row>
    <row r="256">
      <c r="AA256" s="2">
        <f>SUMPRODUCT((LEN('Tabelas'!$F$355:$F$355)&gt;0)*1)</f>
        <v/>
      </c>
      <c r="AB256" s="2">
        <f>IFERROR(INDEX('Tabelas'!$F$355:$F$355,MATCH("?*",'Tabelas'!$F$355:$F$355,0))&amp;"","")</f>
        <v/>
      </c>
      <c r="AC256" s="2">
        <f>IF(LEN(AB256)&gt;0,AB256,AC257)</f>
        <v/>
      </c>
    </row>
    <row r="257">
      <c r="AA257" s="2">
        <f>SUMPRODUCT((LEN('Tabelas'!$G$355:$G$355)&gt;0)*1)</f>
        <v/>
      </c>
      <c r="AB257" s="2">
        <f>IFERROR(INDEX('Tabelas'!$G$355:$G$355,MATCH("?*",'Tabelas'!$G$355:$G$355,0))&amp;"","")</f>
        <v/>
      </c>
      <c r="AC257" s="2">
        <f>IF(LEN(AB257)&gt;0,AB257,AC258)</f>
        <v/>
      </c>
    </row>
    <row r="258">
      <c r="AA258" s="2">
        <f>SUMPRODUCT((LEN('Tabelas'!$H$355:$H$355)&gt;0)*1)</f>
        <v/>
      </c>
      <c r="AB258" s="2">
        <f>IFERROR(INDEX('Tabelas'!$H$355:$H$355,MATCH("?*",'Tabelas'!$H$355:$H$355,0))&amp;"","")</f>
        <v/>
      </c>
      <c r="AC258" s="2">
        <f>IF(LEN(AB258)&gt;0,AB258,AC259)</f>
        <v/>
      </c>
    </row>
    <row r="259">
      <c r="AA259" s="2">
        <f>SUMPRODUCT((LEN('Tabelas'!$I$355:$I$355)&gt;0)*1)</f>
        <v/>
      </c>
      <c r="AB259" s="2">
        <f>IFERROR(INDEX('Tabelas'!$I$355:$I$355,MATCH("?*",'Tabelas'!$I$355:$I$355,0))&amp;"","")</f>
        <v/>
      </c>
      <c r="AC259" s="2">
        <f>IF(LEN(AB259)&gt;0,AB259,AC260)</f>
        <v/>
      </c>
    </row>
    <row r="260">
      <c r="AA260" s="2">
        <f>SUMPRODUCT((LEN('Tabelas'!$J$355:$J$355)&gt;0)*1)</f>
        <v/>
      </c>
      <c r="AB260" s="2">
        <f>IFERROR(INDEX('Tabelas'!$J$355:$J$355,MATCH("?*",'Tabelas'!$J$355:$J$355,0))&amp;"","")</f>
        <v/>
      </c>
      <c r="AC260" s="2">
        <f>IF(LEN(AB260)&gt;0,AB260,AC261)</f>
        <v/>
      </c>
    </row>
    <row r="261">
      <c r="AA261" s="2">
        <f>SUMPRODUCT((LEN('Tabelas'!$K$357:$K$369)&gt;0)*1)</f>
        <v/>
      </c>
      <c r="AB261" s="2">
        <f>IFERROR(INDEX('Tabelas'!$K$357:$K$369,MATCH("?*",'Tabelas'!$K$357:$K$369,0))&amp;"","")</f>
        <v/>
      </c>
      <c r="AC261" s="2">
        <f>IF(LEN(AB261)&gt;0,AB261,AC262)</f>
        <v/>
      </c>
    </row>
    <row r="262">
      <c r="AA262" s="2">
        <f>SUMPRODUCT((LEN('Tabelas'!$K$371:$K$383)&gt;0)*1)</f>
        <v/>
      </c>
      <c r="AB262" s="2">
        <f>IFERROR(INDEX('Tabelas'!$K$371:$K$383,MATCH("?*",'Tabelas'!$K$371:$K$383,0))&amp;"","")</f>
        <v/>
      </c>
      <c r="AC262" s="2">
        <f>IF(LEN(AB262)&gt;0,AB262,AC263)</f>
        <v/>
      </c>
    </row>
    <row r="263">
      <c r="AA263" s="2">
        <f>SUMPRODUCT((LEN('Tabelas'!$K$385:$K$397)&gt;0)*1)</f>
        <v/>
      </c>
      <c r="AB263" s="2">
        <f>IFERROR(INDEX('Tabelas'!$K$385:$K$397,MATCH("?*",'Tabelas'!$K$385:$K$397,0))&amp;"","")</f>
        <v/>
      </c>
      <c r="AC263" s="2">
        <f>IF(LEN(AB263)&gt;0,AB263,AC264)</f>
        <v/>
      </c>
    </row>
    <row r="264">
      <c r="AA264" s="2">
        <f>SUMPRODUCT((LEN('Tabelas'!$K$399:$K$411)&gt;0)*1)</f>
        <v/>
      </c>
      <c r="AB264" s="2">
        <f>IFERROR(INDEX('Tabelas'!$K$399:$K$411,MATCH("?*",'Tabelas'!$K$399:$K$411,0))&amp;"","")</f>
        <v/>
      </c>
      <c r="AC264" s="2">
        <f>IF(LEN(AB264)&gt;0,AB264,AC265)</f>
        <v/>
      </c>
    </row>
    <row r="265">
      <c r="AA265" s="2">
        <f>SUMPRODUCT((LEN('Tabelas'!$K$413:$K$425)&gt;0)*1)</f>
        <v/>
      </c>
      <c r="AB265" s="2">
        <f>IFERROR(INDEX('Tabelas'!$K$413:$K$425,MATCH("?*",'Tabelas'!$K$413:$K$425,0))&amp;"","")</f>
        <v/>
      </c>
      <c r="AC265" s="2">
        <f>IF(LEN(AB265)&gt;0,AB265,AC266)</f>
        <v/>
      </c>
    </row>
    <row r="266">
      <c r="AA266" s="2">
        <f>SUMPRODUCT((LEN('Tabelas'!$K$427:$K$439)&gt;0)*1)</f>
        <v/>
      </c>
      <c r="AB266" s="2">
        <f>IFERROR(INDEX('Tabelas'!$K$427:$K$439,MATCH("?*",'Tabelas'!$K$427:$K$439,0))&amp;"","")</f>
        <v/>
      </c>
      <c r="AC266" s="2">
        <f>IF(LEN(AB266)&gt;0,AB266,AC267)</f>
        <v/>
      </c>
    </row>
    <row r="267">
      <c r="AA267" s="2">
        <f>SUMPRODUCT((LEN('Tabelas'!$K$441:$K$453)&gt;0)*1)</f>
        <v/>
      </c>
      <c r="AB267" s="2">
        <f>IFERROR(INDEX('Tabelas'!$K$441:$K$453,MATCH("?*",'Tabelas'!$K$441:$K$453,0))&amp;"","")</f>
        <v/>
      </c>
      <c r="AC267" s="2">
        <f>IF(LEN(AB267)&gt;0,AB267,AC268)</f>
        <v/>
      </c>
    </row>
    <row r="268">
      <c r="AA268" s="2">
        <f>SUMPRODUCT((LEN('Tabelas'!$K$455:$K$463)&gt;0)*1)</f>
        <v/>
      </c>
      <c r="AB268" s="2">
        <f>IFERROR(INDEX('Tabelas'!$K$455:$K$463,MATCH("?*",'Tabelas'!$K$455:$K$463,0))&amp;"","")</f>
        <v/>
      </c>
      <c r="AC268" s="2">
        <f>IF(LEN(AB268)&gt;0,AB268,AC269)</f>
        <v/>
      </c>
    </row>
    <row r="269">
      <c r="AA269" s="2">
        <f>SUMPRODUCT((LEN('Tabelas'!$B$470:$B$470)&gt;0)*1)</f>
        <v/>
      </c>
      <c r="AB269" s="2">
        <f>IFERROR(INDEX('Tabelas'!$B$470:$B$470,MATCH("?*",'Tabelas'!$B$470:$B$470,0))&amp;"","")</f>
        <v/>
      </c>
      <c r="AC269" s="2">
        <f>IF(LEN(AB269)&gt;0,AB269,AC270)</f>
        <v/>
      </c>
    </row>
    <row r="270">
      <c r="AA270" s="2">
        <f>SUMPRODUCT((LEN('Tabelas'!$D$470:$D$470)&gt;0)*1)</f>
        <v/>
      </c>
      <c r="AB270" s="2">
        <f>IFERROR(INDEX('Tabelas'!$D$470:$D$470,MATCH("?*",'Tabelas'!$D$470:$D$470,0))&amp;"","")</f>
        <v/>
      </c>
      <c r="AC270" s="2">
        <f>IF(LEN(AB270)&gt;0,AB270,AC271)</f>
        <v/>
      </c>
    </row>
    <row r="271">
      <c r="AA271" s="2">
        <f>SUMPRODUCT((LEN('Tabelas'!$F$470:$F$470)&gt;0)*1)</f>
        <v/>
      </c>
      <c r="AB271" s="2">
        <f>IFERROR(INDEX('Tabelas'!$F$470:$F$470,MATCH("?*",'Tabelas'!$F$470:$F$470,0))&amp;"","")</f>
        <v/>
      </c>
      <c r="AC271" s="2">
        <f>IF(LEN(AB271)&gt;0,AB271,AC272)</f>
        <v/>
      </c>
    </row>
    <row r="272">
      <c r="AA272" s="2">
        <f>SUMPRODUCT((LEN('Tabelas'!$G$470:$G$470)&gt;0)*1)</f>
        <v/>
      </c>
      <c r="AB272" s="2">
        <f>IFERROR(INDEX('Tabelas'!$G$470:$G$470,MATCH("?*",'Tabelas'!$G$470:$G$470,0))&amp;"","")</f>
        <v/>
      </c>
      <c r="AC272" s="2">
        <f>IF(LEN(AB272)&gt;0,AB272,AC273)</f>
        <v/>
      </c>
    </row>
    <row r="273">
      <c r="AA273" s="2">
        <f>SUMPRODUCT((LEN('Tabelas'!$H$470:$H$470)&gt;0)*1)</f>
        <v/>
      </c>
      <c r="AB273" s="2">
        <f>IFERROR(INDEX('Tabelas'!$H$470:$H$470,MATCH("?*",'Tabelas'!$H$470:$H$470,0))&amp;"","")</f>
        <v/>
      </c>
      <c r="AC273" s="2">
        <f>IF(LEN(AB273)&gt;0,AB273,AC274)</f>
        <v/>
      </c>
    </row>
    <row r="274">
      <c r="AA274" s="2">
        <f>SUMPRODUCT((LEN('Tabelas'!$I$470:$I$470)&gt;0)*1)</f>
        <v/>
      </c>
      <c r="AB274" s="2">
        <f>IFERROR(INDEX('Tabelas'!$I$470:$I$470,MATCH("?*",'Tabelas'!$I$470:$I$470,0))&amp;"","")</f>
        <v/>
      </c>
      <c r="AC274" s="2">
        <f>IF(LEN(AB274)&gt;0,AB274,AC275)</f>
        <v/>
      </c>
    </row>
    <row r="275">
      <c r="AA275" s="2">
        <f>SUMPRODUCT((LEN('Tabelas'!$J$470:$J$470)&gt;0)*1)</f>
        <v/>
      </c>
      <c r="AB275" s="2">
        <f>IFERROR(INDEX('Tabelas'!$J$470:$J$470,MATCH("?*",'Tabelas'!$J$470:$J$470,0))&amp;"","")</f>
        <v/>
      </c>
      <c r="AC275" s="2">
        <f>IF(LEN(AB275)&gt;0,AB275,AC276)</f>
        <v/>
      </c>
    </row>
    <row r="276">
      <c r="AA276" s="2">
        <f>SUMPRODUCT((LEN('Tabelas'!$K$472:$K$484)&gt;0)*1)</f>
        <v/>
      </c>
      <c r="AB276" s="2">
        <f>IFERROR(INDEX('Tabelas'!$K$472:$K$484,MATCH("?*",'Tabelas'!$K$472:$K$484,0))&amp;"","")</f>
        <v/>
      </c>
      <c r="AC276" s="2">
        <f>IF(LEN(AB276)&gt;0,AB276,AC277)</f>
        <v/>
      </c>
    </row>
    <row r="277">
      <c r="AA277" s="2">
        <f>SUMPRODUCT((LEN('Tabelas'!$K$486:$K$498)&gt;0)*1)</f>
        <v/>
      </c>
      <c r="AB277" s="2">
        <f>IFERROR(INDEX('Tabelas'!$K$486:$K$498,MATCH("?*",'Tabelas'!$K$486:$K$498,0))&amp;"","")</f>
        <v/>
      </c>
      <c r="AC277" s="2">
        <f>IF(LEN(AB277)&gt;0,AB277,AC278)</f>
        <v/>
      </c>
    </row>
    <row r="278">
      <c r="AA278" s="2">
        <f>SUMPRODUCT((LEN('Tabelas'!$K$500:$K$512)&gt;0)*1)</f>
        <v/>
      </c>
      <c r="AB278" s="2">
        <f>IFERROR(INDEX('Tabelas'!$K$500:$K$512,MATCH("?*",'Tabelas'!$K$500:$K$512,0))&amp;"","")</f>
        <v/>
      </c>
      <c r="AC278" s="2">
        <f>IF(LEN(AB278)&gt;0,AB278,AC279)</f>
        <v/>
      </c>
    </row>
    <row r="279">
      <c r="AA279" s="2">
        <f>SUMPRODUCT((LEN('Tabelas'!$K$514:$K$526)&gt;0)*1)</f>
        <v/>
      </c>
      <c r="AB279" s="2">
        <f>IFERROR(INDEX('Tabelas'!$K$514:$K$526,MATCH("?*",'Tabelas'!$K$514:$K$526,0))&amp;"","")</f>
        <v/>
      </c>
      <c r="AC279" s="2">
        <f>IF(LEN(AB279)&gt;0,AB279,AC280)</f>
        <v/>
      </c>
    </row>
    <row r="280">
      <c r="AA280" s="2">
        <f>SUMPRODUCT((LEN('Tabelas'!$K$528:$K$540)&gt;0)*1)</f>
        <v/>
      </c>
      <c r="AB280" s="2">
        <f>IFERROR(INDEX('Tabelas'!$K$528:$K$540,MATCH("?*",'Tabelas'!$K$528:$K$540,0))&amp;"","")</f>
        <v/>
      </c>
      <c r="AC280" s="2">
        <f>IF(LEN(AB280)&gt;0,AB280,AC281)</f>
        <v/>
      </c>
    </row>
    <row r="281">
      <c r="AA281" s="2">
        <f>SUMPRODUCT((LEN('Tabelas'!$K$542:$K$554)&gt;0)*1)</f>
        <v/>
      </c>
      <c r="AB281" s="2">
        <f>IFERROR(INDEX('Tabelas'!$K$542:$K$554,MATCH("?*",'Tabelas'!$K$542:$K$554,0))&amp;"","")</f>
        <v/>
      </c>
      <c r="AC281" s="2">
        <f>IF(LEN(AB281)&gt;0,AB281,AC282)</f>
        <v/>
      </c>
    </row>
    <row r="282">
      <c r="AA282" s="2">
        <f>SUMPRODUCT((LEN('Tabelas'!$K$556:$K$568)&gt;0)*1)</f>
        <v/>
      </c>
      <c r="AB282" s="2">
        <f>IFERROR(INDEX('Tabelas'!$K$556:$K$568,MATCH("?*",'Tabelas'!$K$556:$K$568,0))&amp;"","")</f>
        <v/>
      </c>
      <c r="AC282" s="2">
        <f>IF(LEN(AB282)&gt;0,AB282,AC283)</f>
        <v/>
      </c>
    </row>
    <row r="283">
      <c r="AA283" s="2">
        <f>SUMPRODUCT((LEN('Tabelas'!$K$570:$K$578)&gt;0)*1)</f>
        <v/>
      </c>
      <c r="AB283" s="2">
        <f>IFERROR(INDEX('Tabelas'!$K$570:$K$578,MATCH("?*",'Tabelas'!$K$570:$K$578,0))&amp;"","")</f>
        <v/>
      </c>
      <c r="AC283" s="2">
        <f>IF(LEN(AB283)&gt;0,AB283,AC284)</f>
        <v/>
      </c>
    </row>
    <row r="284">
      <c r="AA284" s="2">
        <f>SUMPRODUCT((LEN('Tabelas'!$B$585:$B$585)&gt;0)*1)</f>
        <v/>
      </c>
      <c r="AB284" s="2">
        <f>IFERROR(INDEX('Tabelas'!$B$585:$B$585,MATCH("?*",'Tabelas'!$B$585:$B$585,0))&amp;"","")</f>
        <v/>
      </c>
      <c r="AC284" s="2">
        <f>IF(LEN(AB284)&gt;0,AB284,AC285)</f>
        <v/>
      </c>
    </row>
    <row r="285">
      <c r="AA285" s="2">
        <f>SUMPRODUCT((LEN('Tabelas'!$K$587:$K$599)&gt;0)*1)</f>
        <v/>
      </c>
      <c r="AB285" s="2">
        <f>IFERROR(INDEX('Tabelas'!$K$587:$K$599,MATCH("?*",'Tabelas'!$K$587:$K$599,0))&amp;"","")</f>
        <v/>
      </c>
      <c r="AC285" s="2">
        <f>IF(LEN(AB285)&gt;0,AB285,AC286)</f>
        <v/>
      </c>
    </row>
    <row r="286">
      <c r="AA286" s="2">
        <f>SUMPRODUCT((LEN('Tabelas'!$K$601:$K$613)&gt;0)*1)</f>
        <v/>
      </c>
      <c r="AB286" s="2">
        <f>IFERROR(INDEX('Tabelas'!$K$601:$K$613,MATCH("?*",'Tabelas'!$K$601:$K$613,0))&amp;"","")</f>
        <v/>
      </c>
      <c r="AC286" s="2">
        <f>IF(LEN(AB286)&gt;0,AB286,AC287)</f>
        <v/>
      </c>
    </row>
    <row r="287">
      <c r="AA287" s="2">
        <f>SUMPRODUCT((LEN('Tabelas'!$K$615:$K$627)&gt;0)*1)</f>
        <v/>
      </c>
      <c r="AB287" s="2">
        <f>IFERROR(INDEX('Tabelas'!$K$615:$K$627,MATCH("?*",'Tabelas'!$K$615:$K$627,0))&amp;"","")</f>
        <v/>
      </c>
      <c r="AC287" s="2">
        <f>IF(LEN(AB287)&gt;0,AB287,AC288)</f>
        <v/>
      </c>
    </row>
    <row r="288">
      <c r="AA288" s="2">
        <f>SUMPRODUCT((LEN('Tabelas'!$K$629:$K$641)&gt;0)*1)</f>
        <v/>
      </c>
      <c r="AB288" s="2">
        <f>IFERROR(INDEX('Tabelas'!$K$629:$K$641,MATCH("?*",'Tabelas'!$K$629:$K$641,0))&amp;"","")</f>
        <v/>
      </c>
      <c r="AC288" s="2">
        <f>IF(LEN(AB288)&gt;0,AB288,AC289)</f>
        <v/>
      </c>
    </row>
    <row r="289">
      <c r="AA289" s="2">
        <f>SUMPRODUCT((LEN('Tabelas'!$K$643:$K$655)&gt;0)*1)</f>
        <v/>
      </c>
      <c r="AB289" s="2">
        <f>IFERROR(INDEX('Tabelas'!$K$643:$K$655,MATCH("?*",'Tabelas'!$K$643:$K$655,0))&amp;"","")</f>
        <v/>
      </c>
      <c r="AC289" s="2">
        <f>IF(LEN(AB289)&gt;0,AB289,AC290)</f>
        <v/>
      </c>
    </row>
    <row r="290">
      <c r="AA290" s="2">
        <f>SUMPRODUCT((LEN('Tabelas'!$K$657:$K$669)&gt;0)*1)</f>
        <v/>
      </c>
      <c r="AB290" s="2">
        <f>IFERROR(INDEX('Tabelas'!$K$657:$K$669,MATCH("?*",'Tabelas'!$K$657:$K$669,0))&amp;"","")</f>
        <v/>
      </c>
      <c r="AC290" s="2">
        <f>IF(LEN(AB290)&gt;0,AB290,AC291)</f>
        <v/>
      </c>
    </row>
    <row r="291">
      <c r="AA291" s="2">
        <f>SUMPRODUCT((LEN('Tabelas'!$K$671:$K$683)&gt;0)*1)</f>
        <v/>
      </c>
      <c r="AB291" s="2">
        <f>IFERROR(INDEX('Tabelas'!$K$671:$K$683,MATCH("?*",'Tabelas'!$K$671:$K$683,0))&amp;"","")</f>
        <v/>
      </c>
      <c r="AC291" s="2">
        <f>IF(LEN(AB291)&gt;0,AB291,AC292)</f>
        <v/>
      </c>
    </row>
    <row r="292">
      <c r="AA292" s="2">
        <f>SUMPRODUCT((LEN('Tabelas'!$K$685:$K$693)&gt;0)*1)</f>
        <v/>
      </c>
      <c r="AB292" s="2">
        <f>IFERROR(INDEX('Tabelas'!$K$685:$K$693,MATCH("?*",'Tabelas'!$K$685:$K$693,0))&amp;"","")</f>
        <v/>
      </c>
      <c r="AC292" s="2">
        <f>IF(LEN(AB292)&gt;0,AB292,AC293)</f>
        <v/>
      </c>
    </row>
    <row r="293">
      <c r="AA293" s="2">
        <f>SUMPRODUCT((LEN('Tabelas'!$B$700:$B$700)&gt;0)*1)</f>
        <v/>
      </c>
      <c r="AB293" s="2">
        <f>IFERROR(INDEX('Tabelas'!$B$700:$B$700,MATCH("?*",'Tabelas'!$B$700:$B$700,0))&amp;"","")</f>
        <v/>
      </c>
      <c r="AC293" s="2">
        <f>IF(LEN(AB293)&gt;0,AB293,AC294)</f>
        <v/>
      </c>
    </row>
    <row r="294">
      <c r="AA294" s="2">
        <f>SUMPRODUCT((LEN('Tabelas'!$C$700:$C$700)&gt;0)*1)</f>
        <v/>
      </c>
      <c r="AB294" s="2">
        <f>IFERROR(INDEX('Tabelas'!$C$700:$C$700,MATCH("?*",'Tabelas'!$C$700:$C$700,0))&amp;"","")</f>
        <v/>
      </c>
      <c r="AC294" s="2">
        <f>IF(LEN(AB294)&gt;0,AB294,AC295)</f>
        <v/>
      </c>
    </row>
    <row r="295">
      <c r="AA295" s="2">
        <f>SUMPRODUCT((LEN('Tabelas'!$D$700:$D$700)&gt;0)*1)</f>
        <v/>
      </c>
      <c r="AB295" s="2">
        <f>IFERROR(INDEX('Tabelas'!$D$700:$D$700,MATCH("?*",'Tabelas'!$D$700:$D$700,0))&amp;"","")</f>
        <v/>
      </c>
      <c r="AC295" s="2">
        <f>IF(LEN(AB295)&gt;0,AB295,AC296)</f>
        <v/>
      </c>
    </row>
    <row r="296">
      <c r="AA296" s="2">
        <f>SUMPRODUCT((LEN('Tabelas'!$E$700:$E$700)&gt;0)*1)</f>
        <v/>
      </c>
      <c r="AB296" s="2">
        <f>IFERROR(INDEX('Tabelas'!$E$700:$E$700,MATCH("?*",'Tabelas'!$E$700:$E$700,0))&amp;"","")</f>
        <v/>
      </c>
      <c r="AC296" s="2">
        <f>IF(LEN(AB296)&gt;0,AB296,AC297)</f>
        <v/>
      </c>
    </row>
    <row r="297">
      <c r="AA297" s="2">
        <f>SUMPRODUCT((LEN('Tabelas'!$F$700:$F$700)&gt;0)*1)</f>
        <v/>
      </c>
      <c r="AB297" s="2">
        <f>IFERROR(INDEX('Tabelas'!$F$700:$F$700,MATCH("?*",'Tabelas'!$F$700:$F$700,0))&amp;"","")</f>
        <v/>
      </c>
      <c r="AC297" s="2">
        <f>IF(LEN(AB297)&gt;0,AB297,AC298)</f>
        <v/>
      </c>
    </row>
    <row r="298">
      <c r="AA298" s="2">
        <f>SUMPRODUCT((LEN('Tabelas'!$G$700:$G$700)&gt;0)*1)</f>
        <v/>
      </c>
      <c r="AB298" s="2">
        <f>IFERROR(INDEX('Tabelas'!$G$700:$G$700,MATCH("?*",'Tabelas'!$G$700:$G$700,0))&amp;"","")</f>
        <v/>
      </c>
      <c r="AC298" s="2">
        <f>IF(LEN(AB298)&gt;0,AB298,AC299)</f>
        <v/>
      </c>
    </row>
    <row r="299">
      <c r="AA299" s="2">
        <f>SUMPRODUCT((LEN('Tabelas'!$H$700:$H$700)&gt;0)*1)</f>
        <v/>
      </c>
      <c r="AB299" s="2">
        <f>IFERROR(INDEX('Tabelas'!$H$700:$H$700,MATCH("?*",'Tabelas'!$H$700:$H$700,0))&amp;"","")</f>
        <v/>
      </c>
      <c r="AC299" s="2">
        <f>IF(LEN(AB299)&gt;0,AB299,AC300)</f>
        <v/>
      </c>
    </row>
    <row r="300">
      <c r="AA300" s="2">
        <f>SUMPRODUCT((LEN('Tabelas'!$I$700:$I$700)&gt;0)*1)</f>
        <v/>
      </c>
      <c r="AB300" s="2">
        <f>IFERROR(INDEX('Tabelas'!$I$700:$I$700,MATCH("?*",'Tabelas'!$I$700:$I$700,0))&amp;"","")</f>
        <v/>
      </c>
      <c r="AC300" s="2">
        <f>IF(LEN(AB300)&gt;0,AB300,AC301)</f>
        <v/>
      </c>
    </row>
    <row r="301">
      <c r="AA301" s="2">
        <f>SUMPRODUCT((LEN('Tabelas'!$J$700:$J$700)&gt;0)*1)</f>
        <v/>
      </c>
      <c r="AB301" s="2">
        <f>IFERROR(INDEX('Tabelas'!$J$700:$J$700,MATCH("?*",'Tabelas'!$J$700:$J$700,0))&amp;"","")</f>
        <v/>
      </c>
      <c r="AC301" s="2">
        <f>IF(LEN(AB301)&gt;0,AB301,AC302)</f>
        <v/>
      </c>
    </row>
    <row r="302">
      <c r="AA302" s="2">
        <f>SUMPRODUCT((LEN('Tabelas'!$K$702:$K$714)&gt;0)*1)</f>
        <v/>
      </c>
      <c r="AB302" s="2">
        <f>IFERROR(INDEX('Tabelas'!$K$702:$K$714,MATCH("?*",'Tabelas'!$K$702:$K$714,0))&amp;"","")</f>
        <v/>
      </c>
      <c r="AC302" s="2">
        <f>IF(LEN(AB302)&gt;0,AB302,AC303)</f>
        <v/>
      </c>
    </row>
    <row r="303">
      <c r="AA303" s="2">
        <f>SUMPRODUCT((LEN('Tabelas'!$K$716:$K$728)&gt;0)*1)</f>
        <v/>
      </c>
      <c r="AB303" s="2">
        <f>IFERROR(INDEX('Tabelas'!$K$716:$K$728,MATCH("?*",'Tabelas'!$K$716:$K$728,0))&amp;"","")</f>
        <v/>
      </c>
      <c r="AC303" s="2">
        <f>IF(LEN(AB303)&gt;0,AB303,AC304)</f>
        <v/>
      </c>
    </row>
    <row r="304">
      <c r="AA304" s="2">
        <f>SUMPRODUCT((LEN('Tabelas'!$K$730:$K$742)&gt;0)*1)</f>
        <v/>
      </c>
      <c r="AB304" s="2">
        <f>IFERROR(INDEX('Tabelas'!$K$730:$K$742,MATCH("?*",'Tabelas'!$K$730:$K$742,0))&amp;"","")</f>
        <v/>
      </c>
      <c r="AC304" s="2">
        <f>IF(LEN(AB304)&gt;0,AB304,AC305)</f>
        <v/>
      </c>
    </row>
    <row r="305">
      <c r="AA305" s="2">
        <f>SUMPRODUCT((LEN('Tabelas'!$K$744:$K$756)&gt;0)*1)</f>
        <v/>
      </c>
      <c r="AB305" s="2">
        <f>IFERROR(INDEX('Tabelas'!$K$744:$K$756,MATCH("?*",'Tabelas'!$K$744:$K$756,0))&amp;"","")</f>
        <v/>
      </c>
      <c r="AC305" s="2">
        <f>IF(LEN(AB305)&gt;0,AB305,AC306)</f>
        <v/>
      </c>
    </row>
    <row r="306">
      <c r="AA306" s="2">
        <f>SUMPRODUCT((LEN('Tabelas'!$K$758:$K$770)&gt;0)*1)</f>
        <v/>
      </c>
      <c r="AB306" s="2">
        <f>IFERROR(INDEX('Tabelas'!$K$758:$K$770,MATCH("?*",'Tabelas'!$K$758:$K$770,0))&amp;"","")</f>
        <v/>
      </c>
      <c r="AC306" s="2">
        <f>IF(LEN(AB306)&gt;0,AB306,AC307)</f>
        <v/>
      </c>
    </row>
    <row r="307">
      <c r="AA307" s="2">
        <f>SUMPRODUCT((LEN('Tabelas'!$K$772:$K$784)&gt;0)*1)</f>
        <v/>
      </c>
      <c r="AB307" s="2">
        <f>IFERROR(INDEX('Tabelas'!$K$772:$K$784,MATCH("?*",'Tabelas'!$K$772:$K$784,0))&amp;"","")</f>
        <v/>
      </c>
      <c r="AC307" s="2">
        <f>IF(LEN(AB307)&gt;0,AB307,AC308)</f>
        <v/>
      </c>
    </row>
    <row r="308">
      <c r="AA308" s="2">
        <f>SUMPRODUCT((LEN('Tabelas'!$K$786:$K$798)&gt;0)*1)</f>
        <v/>
      </c>
      <c r="AB308" s="2">
        <f>IFERROR(INDEX('Tabelas'!$K$786:$K$798,MATCH("?*",'Tabelas'!$K$786:$K$798,0))&amp;"","")</f>
        <v/>
      </c>
      <c r="AC308" s="2">
        <f>IF(LEN(AB308)&gt;0,AB308,AC309)</f>
        <v/>
      </c>
    </row>
    <row r="309">
      <c r="AA309" s="2">
        <f>SUMPRODUCT((LEN('Tabelas'!$K$800:$K$808)&gt;0)*1)</f>
        <v/>
      </c>
      <c r="AB309" s="2">
        <f>IFERROR(INDEX('Tabelas'!$K$800:$K$808,MATCH("?*",'Tabelas'!$K$800:$K$808,0))&amp;"","")</f>
        <v/>
      </c>
      <c r="AC309" s="2">
        <f>IF(LEN(AB309)&gt;0,AB309,AC310)</f>
        <v/>
      </c>
    </row>
    <row r="310">
      <c r="AA310" s="2">
        <f>SUMPRODUCT((LEN('Tabelas'!$B$815:$B$815)&gt;0)*1)</f>
        <v/>
      </c>
      <c r="AB310" s="2">
        <f>IFERROR(INDEX('Tabelas'!$B$815:$B$815,MATCH("?*",'Tabelas'!$B$815:$B$815,0))&amp;"","")</f>
        <v/>
      </c>
      <c r="AC310" s="2">
        <f>IF(LEN(AB310)&gt;0,AB310,AC311)</f>
        <v/>
      </c>
    </row>
    <row r="311">
      <c r="AA311" s="2">
        <f>SUMPRODUCT((LEN('Tabelas'!$C$815:$C$815)&gt;0)*1)</f>
        <v/>
      </c>
      <c r="AB311" s="2">
        <f>IFERROR(INDEX('Tabelas'!$C$815:$C$815,MATCH("?*",'Tabelas'!$C$815:$C$815,0))&amp;"","")</f>
        <v/>
      </c>
      <c r="AC311" s="2">
        <f>IF(LEN(AB311)&gt;0,AB311,AC312)</f>
        <v/>
      </c>
    </row>
    <row r="312">
      <c r="AA312" s="2">
        <f>SUMPRODUCT((LEN('Tabelas'!$D$815:$D$815)&gt;0)*1)</f>
        <v/>
      </c>
      <c r="AB312" s="2">
        <f>IFERROR(INDEX('Tabelas'!$D$815:$D$815,MATCH("?*",'Tabelas'!$D$815:$D$815,0))&amp;"","")</f>
        <v/>
      </c>
      <c r="AC312" s="2">
        <f>IF(LEN(AB312)&gt;0,AB312,AC313)</f>
        <v/>
      </c>
    </row>
    <row r="313">
      <c r="AA313" s="2">
        <f>SUMPRODUCT((LEN('Tabelas'!$E$815:$E$815)&gt;0)*1)</f>
        <v/>
      </c>
      <c r="AB313" s="2">
        <f>IFERROR(INDEX('Tabelas'!$E$815:$E$815,MATCH("?*",'Tabelas'!$E$815:$E$815,0))&amp;"","")</f>
        <v/>
      </c>
      <c r="AC313" s="2">
        <f>IF(LEN(AB313)&gt;0,AB313,AC314)</f>
        <v/>
      </c>
    </row>
    <row r="314">
      <c r="AA314" s="2">
        <f>SUMPRODUCT((LEN('Tabelas'!$F$815:$F$815)&gt;0)*1)</f>
        <v/>
      </c>
      <c r="AB314" s="2">
        <f>IFERROR(INDEX('Tabelas'!$F$815:$F$815,MATCH("?*",'Tabelas'!$F$815:$F$815,0))&amp;"","")</f>
        <v/>
      </c>
      <c r="AC314" s="2">
        <f>IF(LEN(AB314)&gt;0,AB314,AC315)</f>
        <v/>
      </c>
    </row>
    <row r="315">
      <c r="AA315" s="2">
        <f>SUMPRODUCT((LEN('Tabelas'!$G$815:$G$815)&gt;0)*1)</f>
        <v/>
      </c>
      <c r="AB315" s="2">
        <f>IFERROR(INDEX('Tabelas'!$G$815:$G$815,MATCH("?*",'Tabelas'!$G$815:$G$815,0))&amp;"","")</f>
        <v/>
      </c>
      <c r="AC315" s="2">
        <f>IF(LEN(AB315)&gt;0,AB315,AC316)</f>
        <v/>
      </c>
    </row>
    <row r="316">
      <c r="AA316" s="2">
        <f>SUMPRODUCT((LEN('Tabelas'!$H$815:$H$815)&gt;0)*1)</f>
        <v/>
      </c>
      <c r="AB316" s="2">
        <f>IFERROR(INDEX('Tabelas'!$H$815:$H$815,MATCH("?*",'Tabelas'!$H$815:$H$815,0))&amp;"","")</f>
        <v/>
      </c>
      <c r="AC316" s="2">
        <f>IF(LEN(AB316)&gt;0,AB316,AC317)</f>
        <v/>
      </c>
    </row>
    <row r="317">
      <c r="AA317" s="2">
        <f>SUMPRODUCT((LEN('Tabelas'!$I$815:$I$815)&gt;0)*1)</f>
        <v/>
      </c>
      <c r="AB317" s="2">
        <f>IFERROR(INDEX('Tabelas'!$I$815:$I$815,MATCH("?*",'Tabelas'!$I$815:$I$815,0))&amp;"","")</f>
        <v/>
      </c>
      <c r="AC317" s="2">
        <f>IF(LEN(AB317)&gt;0,AB317,AC318)</f>
        <v/>
      </c>
    </row>
    <row r="318">
      <c r="AA318" s="2">
        <f>SUMPRODUCT((LEN('Tabelas'!$J$815:$J$815)&gt;0)*1)</f>
        <v/>
      </c>
      <c r="AB318" s="2">
        <f>IFERROR(INDEX('Tabelas'!$J$815:$J$815,MATCH("?*",'Tabelas'!$J$815:$J$815,0))&amp;"","")</f>
        <v/>
      </c>
      <c r="AC318" s="2">
        <f>IF(LEN(AB318)&gt;0,AB318,AC319)</f>
        <v/>
      </c>
    </row>
    <row r="319">
      <c r="AA319" s="2">
        <f>SUMPRODUCT((LEN('Tabelas'!$K$817:$K$829)&gt;0)*1)</f>
        <v/>
      </c>
      <c r="AB319" s="2">
        <f>IFERROR(INDEX('Tabelas'!$K$817:$K$829,MATCH("?*",'Tabelas'!$K$817:$K$829,0))&amp;"","")</f>
        <v/>
      </c>
      <c r="AC319" s="2">
        <f>IF(LEN(AB319)&gt;0,AB319,AC320)</f>
        <v/>
      </c>
    </row>
    <row r="320">
      <c r="AA320" s="2">
        <f>SUMPRODUCT((LEN('Tabelas'!$K$831:$K$843)&gt;0)*1)</f>
        <v/>
      </c>
      <c r="AB320" s="2">
        <f>IFERROR(INDEX('Tabelas'!$K$831:$K$843,MATCH("?*",'Tabelas'!$K$831:$K$843,0))&amp;"","")</f>
        <v/>
      </c>
      <c r="AC320" s="2">
        <f>IF(LEN(AB320)&gt;0,AB320,AC321)</f>
        <v/>
      </c>
    </row>
    <row r="321">
      <c r="AA321" s="2">
        <f>SUMPRODUCT((LEN('Tabelas'!$K$845:$K$857)&gt;0)*1)</f>
        <v/>
      </c>
      <c r="AB321" s="2">
        <f>IFERROR(INDEX('Tabelas'!$K$845:$K$857,MATCH("?*",'Tabelas'!$K$845:$K$857,0))&amp;"","")</f>
        <v/>
      </c>
      <c r="AC321" s="2">
        <f>IF(LEN(AB321)&gt;0,AB321,AC322)</f>
        <v/>
      </c>
    </row>
    <row r="322">
      <c r="AA322" s="2">
        <f>SUMPRODUCT((LEN('Tabelas'!$K$859:$K$871)&gt;0)*1)</f>
        <v/>
      </c>
      <c r="AB322" s="2">
        <f>IFERROR(INDEX('Tabelas'!$K$859:$K$871,MATCH("?*",'Tabelas'!$K$859:$K$871,0))&amp;"","")</f>
        <v/>
      </c>
      <c r="AC322" s="2">
        <f>IF(LEN(AB322)&gt;0,AB322,AC323)</f>
        <v/>
      </c>
    </row>
    <row r="323">
      <c r="AA323" s="2">
        <f>SUMPRODUCT((LEN('Tabelas'!$K$873:$K$885)&gt;0)*1)</f>
        <v/>
      </c>
      <c r="AB323" s="2">
        <f>IFERROR(INDEX('Tabelas'!$K$873:$K$885,MATCH("?*",'Tabelas'!$K$873:$K$885,0))&amp;"","")</f>
        <v/>
      </c>
      <c r="AC323" s="2">
        <f>IF(LEN(AB323)&gt;0,AB323,AC324)</f>
        <v/>
      </c>
    </row>
    <row r="324">
      <c r="AA324" s="2">
        <f>SUMPRODUCT((LEN('Tabelas'!$K$887:$K$899)&gt;0)*1)</f>
        <v/>
      </c>
      <c r="AB324" s="2">
        <f>IFERROR(INDEX('Tabelas'!$K$887:$K$899,MATCH("?*",'Tabelas'!$K$887:$K$899,0))&amp;"","")</f>
        <v/>
      </c>
      <c r="AC324" s="2">
        <f>IF(LEN(AB324)&gt;0,AB324,AC325)</f>
        <v/>
      </c>
    </row>
    <row r="325">
      <c r="AA325" s="2">
        <f>SUMPRODUCT((LEN('Tabelas'!$K$901:$K$913)&gt;0)*1)</f>
        <v/>
      </c>
      <c r="AB325" s="2">
        <f>IFERROR(INDEX('Tabelas'!$K$901:$K$913,MATCH("?*",'Tabelas'!$K$901:$K$913,0))&amp;"","")</f>
        <v/>
      </c>
      <c r="AC325" s="2">
        <f>IF(LEN(AB325)&gt;0,AB325,AC326)</f>
        <v/>
      </c>
    </row>
    <row r="326">
      <c r="AA326" s="2">
        <f>SUMPRODUCT((LEN('Tabelas'!$K$915:$K$923)&gt;0)*1)</f>
        <v/>
      </c>
      <c r="AB326" s="2">
        <f>IFERROR(INDEX('Tabelas'!$K$915:$K$923,MATCH("?*",'Tabelas'!$K$915:$K$923,0))&amp;"","")</f>
        <v/>
      </c>
      <c r="AC326" s="2">
        <f>IF(LEN(AB326)&gt;0,AB326,AC327)</f>
        <v/>
      </c>
    </row>
    <row r="327">
      <c r="AA327" s="2">
        <f>SUMPRODUCT((LEN('Tabelas'!$B$930:$B$930)&gt;0)*1)</f>
        <v/>
      </c>
      <c r="AB327" s="2">
        <f>IFERROR(INDEX('Tabelas'!$B$930:$B$930,MATCH("?*",'Tabelas'!$B$930:$B$930,0))&amp;"","")</f>
        <v/>
      </c>
      <c r="AC327" s="2">
        <f>IF(LEN(AB327)&gt;0,AB327,AC328)</f>
        <v/>
      </c>
    </row>
    <row r="328">
      <c r="AA328" s="2">
        <f>SUMPRODUCT((LEN('Tabelas'!$C$930:$C$930)&gt;0)*1)</f>
        <v/>
      </c>
      <c r="AB328" s="2">
        <f>IFERROR(INDEX('Tabelas'!$C$930:$C$930,MATCH("?*",'Tabelas'!$C$930:$C$930,0))&amp;"","")</f>
        <v/>
      </c>
      <c r="AC328" s="2">
        <f>IF(LEN(AB328)&gt;0,AB328,AC329)</f>
        <v/>
      </c>
    </row>
    <row r="329">
      <c r="AA329" s="2">
        <f>SUMPRODUCT((LEN('Tabelas'!$D$930:$D$930)&gt;0)*1)</f>
        <v/>
      </c>
      <c r="AB329" s="2">
        <f>IFERROR(INDEX('Tabelas'!$D$930:$D$930,MATCH("?*",'Tabelas'!$D$930:$D$930,0))&amp;"","")</f>
        <v/>
      </c>
      <c r="AC329" s="2">
        <f>IF(LEN(AB329)&gt;0,AB329,AC330)</f>
        <v/>
      </c>
    </row>
    <row r="330">
      <c r="AA330" s="2">
        <f>SUMPRODUCT((LEN('Tabelas'!$E$930:$E$930)&gt;0)*1)</f>
        <v/>
      </c>
      <c r="AB330" s="2">
        <f>IFERROR(INDEX('Tabelas'!$E$930:$E$930,MATCH("?*",'Tabelas'!$E$930:$E$930,0))&amp;"","")</f>
        <v/>
      </c>
      <c r="AC330" s="2">
        <f>IF(LEN(AB330)&gt;0,AB330,AC331)</f>
        <v/>
      </c>
    </row>
    <row r="331">
      <c r="AA331" s="2">
        <f>SUMPRODUCT((LEN('Tabelas'!$F$930:$F$930)&gt;0)*1)</f>
        <v/>
      </c>
      <c r="AB331" s="2">
        <f>IFERROR(INDEX('Tabelas'!$F$930:$F$930,MATCH("?*",'Tabelas'!$F$930:$F$930,0))&amp;"","")</f>
        <v/>
      </c>
      <c r="AC331" s="2">
        <f>IF(LEN(AB331)&gt;0,AB331,AC332)</f>
        <v/>
      </c>
    </row>
    <row r="332">
      <c r="AA332" s="2">
        <f>SUMPRODUCT((LEN('Tabelas'!$G$930:$G$930)&gt;0)*1)</f>
        <v/>
      </c>
      <c r="AB332" s="2">
        <f>IFERROR(INDEX('Tabelas'!$G$930:$G$930,MATCH("?*",'Tabelas'!$G$930:$G$930,0))&amp;"","")</f>
        <v/>
      </c>
      <c r="AC332" s="2">
        <f>IF(LEN(AB332)&gt;0,AB332,AC333)</f>
        <v/>
      </c>
    </row>
    <row r="333">
      <c r="AA333" s="2">
        <f>SUMPRODUCT((LEN('Tabelas'!$H$930:$H$930)&gt;0)*1)</f>
        <v/>
      </c>
      <c r="AB333" s="2">
        <f>IFERROR(INDEX('Tabelas'!$H$930:$H$930,MATCH("?*",'Tabelas'!$H$930:$H$930,0))&amp;"","")</f>
        <v/>
      </c>
      <c r="AC333" s="2">
        <f>IF(LEN(AB333)&gt;0,AB333,AC334)</f>
        <v/>
      </c>
    </row>
    <row r="334">
      <c r="AA334" s="2">
        <f>SUMPRODUCT((LEN('Tabelas'!$I$930:$I$930)&gt;0)*1)</f>
        <v/>
      </c>
      <c r="AB334" s="2">
        <f>IFERROR(INDEX('Tabelas'!$I$930:$I$930,MATCH("?*",'Tabelas'!$I$930:$I$930,0))&amp;"","")</f>
        <v/>
      </c>
      <c r="AC334" s="2">
        <f>IF(LEN(AB334)&gt;0,AB334,AC335)</f>
        <v/>
      </c>
    </row>
    <row r="335">
      <c r="AA335" s="2">
        <f>SUMPRODUCT((LEN('Tabelas'!$J$930:$J$930)&gt;0)*1)</f>
        <v/>
      </c>
      <c r="AB335" s="2">
        <f>IFERROR(INDEX('Tabelas'!$J$930:$J$930,MATCH("?*",'Tabelas'!$J$930:$J$930,0))&amp;"","")</f>
        <v/>
      </c>
      <c r="AC335" s="2">
        <f>IF(LEN(AB335)&gt;0,AB335,AC336)</f>
        <v/>
      </c>
    </row>
    <row r="336">
      <c r="AA336" s="2">
        <f>SUMPRODUCT((LEN('Tabelas'!$K$932:$K$944)&gt;0)*1)</f>
        <v/>
      </c>
      <c r="AB336" s="2">
        <f>IFERROR(INDEX('Tabelas'!$K$932:$K$944,MATCH("?*",'Tabelas'!$K$932:$K$944,0))&amp;"","")</f>
        <v/>
      </c>
      <c r="AC336" s="2">
        <f>IF(LEN(AB336)&gt;0,AB336,AC337)</f>
        <v/>
      </c>
    </row>
    <row r="337">
      <c r="AA337" s="2">
        <f>SUMPRODUCT((LEN('Tabelas'!$K$946:$K$958)&gt;0)*1)</f>
        <v/>
      </c>
      <c r="AB337" s="2">
        <f>IFERROR(INDEX('Tabelas'!$K$946:$K$958,MATCH("?*",'Tabelas'!$K$946:$K$958,0))&amp;"","")</f>
        <v/>
      </c>
      <c r="AC337" s="2">
        <f>IF(LEN(AB337)&gt;0,AB337,AC338)</f>
        <v/>
      </c>
    </row>
    <row r="338">
      <c r="AA338" s="2">
        <f>SUMPRODUCT((LEN('Tabelas'!$K$960:$K$972)&gt;0)*1)</f>
        <v/>
      </c>
      <c r="AB338" s="2">
        <f>IFERROR(INDEX('Tabelas'!$K$960:$K$972,MATCH("?*",'Tabelas'!$K$960:$K$972,0))&amp;"","")</f>
        <v/>
      </c>
      <c r="AC338" s="2">
        <f>IF(LEN(AB338)&gt;0,AB338,AC339)</f>
        <v/>
      </c>
    </row>
    <row r="339">
      <c r="AA339" s="2">
        <f>SUMPRODUCT((LEN('Tabelas'!$K$974:$K$986)&gt;0)*1)</f>
        <v/>
      </c>
      <c r="AB339" s="2">
        <f>IFERROR(INDEX('Tabelas'!$K$974:$K$986,MATCH("?*",'Tabelas'!$K$974:$K$986,0))&amp;"","")</f>
        <v/>
      </c>
      <c r="AC339" s="2">
        <f>IF(LEN(AB339)&gt;0,AB339,AC340)</f>
        <v/>
      </c>
    </row>
    <row r="340">
      <c r="AA340" s="2">
        <f>SUMPRODUCT((LEN('Tabelas'!$K$988:$K$1000)&gt;0)*1)</f>
        <v/>
      </c>
      <c r="AB340" s="2">
        <f>IFERROR(INDEX('Tabelas'!$K$988:$K$1000,MATCH("?*",'Tabelas'!$K$988:$K$1000,0))&amp;"","")</f>
        <v/>
      </c>
      <c r="AC340" s="2">
        <f>IF(LEN(AB340)&gt;0,AB340,AC341)</f>
        <v/>
      </c>
    </row>
    <row r="341">
      <c r="AA341" s="2">
        <f>SUMPRODUCT((LEN('Tabelas'!$K$1002:$K$1014)&gt;0)*1)</f>
        <v/>
      </c>
      <c r="AB341" s="2">
        <f>IFERROR(INDEX('Tabelas'!$K$1002:$K$1014,MATCH("?*",'Tabelas'!$K$1002:$K$1014,0))&amp;"","")</f>
        <v/>
      </c>
      <c r="AC341" s="2">
        <f>IF(LEN(AB341)&gt;0,AB341,AC342)</f>
        <v/>
      </c>
    </row>
    <row r="342">
      <c r="AA342" s="2">
        <f>SUMPRODUCT((LEN('Tabelas'!$K$1016:$K$1028)&gt;0)*1)</f>
        <v/>
      </c>
      <c r="AB342" s="2">
        <f>IFERROR(INDEX('Tabelas'!$K$1016:$K$1028,MATCH("?*",'Tabelas'!$K$1016:$K$1028,0))&amp;"","")</f>
        <v/>
      </c>
      <c r="AC342" s="2">
        <f>IF(LEN(AB342)&gt;0,AB342,AC343)</f>
        <v/>
      </c>
    </row>
    <row r="343">
      <c r="AA343" s="2">
        <f>SUMPRODUCT((LEN('Tabelas'!$K$1030:$K$1038)&gt;0)*1)</f>
        <v/>
      </c>
      <c r="AB343" s="2">
        <f>IFERROR(INDEX('Tabelas'!$K$1030:$K$1038,MATCH("?*",'Tabelas'!$K$1030:$K$1038,0))&amp;"","")</f>
        <v/>
      </c>
      <c r="AC343" s="2">
        <f>IF(LEN(AB343)&gt;0,AB343,AC344)</f>
        <v/>
      </c>
    </row>
    <row r="344">
      <c r="AA344" s="2">
        <f>SUMPRODUCT((LEN('Tabelas'!$B$1045:$B$1045)&gt;0)*1)</f>
        <v/>
      </c>
      <c r="AB344" s="2">
        <f>IFERROR(INDEX('Tabelas'!$B$1045:$B$1045,MATCH("?*",'Tabelas'!$B$1045:$B$1045,0))&amp;"","")</f>
        <v/>
      </c>
      <c r="AC344" s="2">
        <f>IF(LEN(AB344)&gt;0,AB344,AC345)</f>
        <v/>
      </c>
    </row>
    <row r="345">
      <c r="AA345" s="2">
        <f>SUMPRODUCT((LEN('Tabelas'!$C$1045:$C$1045)&gt;0)*1)</f>
        <v/>
      </c>
      <c r="AB345" s="2">
        <f>IFERROR(INDEX('Tabelas'!$C$1045:$C$1045,MATCH("?*",'Tabelas'!$C$1045:$C$1045,0))&amp;"","")</f>
        <v/>
      </c>
      <c r="AC345" s="2">
        <f>IF(LEN(AB345)&gt;0,AB345,AC346)</f>
        <v/>
      </c>
    </row>
    <row r="346">
      <c r="AA346" s="2">
        <f>SUMPRODUCT((LEN('Tabelas'!$D$1045:$D$1045)&gt;0)*1)</f>
        <v/>
      </c>
      <c r="AB346" s="2">
        <f>IFERROR(INDEX('Tabelas'!$D$1045:$D$1045,MATCH("?*",'Tabelas'!$D$1045:$D$1045,0))&amp;"","")</f>
        <v/>
      </c>
      <c r="AC346" s="2">
        <f>IF(LEN(AB346)&gt;0,AB346,AC347)</f>
        <v/>
      </c>
    </row>
    <row r="347">
      <c r="AA347" s="2">
        <f>SUMPRODUCT((LEN('Tabelas'!$E$1045:$E$1045)&gt;0)*1)</f>
        <v/>
      </c>
      <c r="AB347" s="2">
        <f>IFERROR(INDEX('Tabelas'!$E$1045:$E$1045,MATCH("?*",'Tabelas'!$E$1045:$E$1045,0))&amp;"","")</f>
        <v/>
      </c>
      <c r="AC347" s="2">
        <f>IF(LEN(AB347)&gt;0,AB347,AC348)</f>
        <v/>
      </c>
    </row>
    <row r="348">
      <c r="AA348" s="2">
        <f>SUMPRODUCT((LEN('Tabelas'!$K$1047:$K$1059)&gt;0)*1)</f>
        <v/>
      </c>
      <c r="AB348" s="2">
        <f>IFERROR(INDEX('Tabelas'!$K$1047:$K$1059,MATCH("?*",'Tabelas'!$K$1047:$K$1059,0))&amp;"","")</f>
        <v/>
      </c>
      <c r="AC348" s="2">
        <f>IF(LEN(AB348)&gt;0,AB348,AC349)</f>
        <v/>
      </c>
    </row>
    <row r="349">
      <c r="AA349" s="2">
        <f>SUMPRODUCT((LEN('Tabelas'!$K$1061:$K$1073)&gt;0)*1)</f>
        <v/>
      </c>
      <c r="AB349" s="2">
        <f>IFERROR(INDEX('Tabelas'!$K$1061:$K$1073,MATCH("?*",'Tabelas'!$K$1061:$K$1073,0))&amp;"","")</f>
        <v/>
      </c>
      <c r="AC349" s="2">
        <f>IF(LEN(AB349)&gt;0,AB349,AC350)</f>
        <v/>
      </c>
    </row>
    <row r="350">
      <c r="AA350" s="2">
        <f>SUMPRODUCT((LEN('Tabelas'!$K$1075:$K$1087)&gt;0)*1)</f>
        <v/>
      </c>
      <c r="AB350" s="2">
        <f>IFERROR(INDEX('Tabelas'!$K$1075:$K$1087,MATCH("?*",'Tabelas'!$K$1075:$K$1087,0))&amp;"","")</f>
        <v/>
      </c>
      <c r="AC350" s="2">
        <f>IF(LEN(AB350)&gt;0,AB350,AC351)</f>
        <v/>
      </c>
    </row>
    <row r="351">
      <c r="AA351" s="2">
        <f>SUMPRODUCT((LEN('Tabelas'!$K$1089:$K$1101)&gt;0)*1)</f>
        <v/>
      </c>
      <c r="AB351" s="2">
        <f>IFERROR(INDEX('Tabelas'!$K$1089:$K$1101,MATCH("?*",'Tabelas'!$K$1089:$K$1101,0))&amp;"","")</f>
        <v/>
      </c>
      <c r="AC351" s="2">
        <f>IF(LEN(AB351)&gt;0,AB351,AC352)</f>
        <v/>
      </c>
    </row>
    <row r="352">
      <c r="AA352" s="2">
        <f>SUMPRODUCT((LEN('Tabelas'!$K$1103:$K$1115)&gt;0)*1)</f>
        <v/>
      </c>
      <c r="AB352" s="2">
        <f>IFERROR(INDEX('Tabelas'!$K$1103:$K$1115,MATCH("?*",'Tabelas'!$K$1103:$K$1115,0))&amp;"","")</f>
        <v/>
      </c>
      <c r="AC352" s="2">
        <f>IF(LEN(AB352)&gt;0,AB352,AC353)</f>
        <v/>
      </c>
    </row>
    <row r="353">
      <c r="AA353" s="2">
        <f>SUMPRODUCT((LEN('Tabelas'!$K$1117:$K$1129)&gt;0)*1)</f>
        <v/>
      </c>
      <c r="AB353" s="2">
        <f>IFERROR(INDEX('Tabelas'!$K$1117:$K$1129,MATCH("?*",'Tabelas'!$K$1117:$K$1129,0))&amp;"","")</f>
        <v/>
      </c>
      <c r="AC353" s="2">
        <f>IF(LEN(AB353)&gt;0,AB353,AC354)</f>
        <v/>
      </c>
    </row>
    <row r="354">
      <c r="AA354" s="2">
        <f>SUMPRODUCT((LEN('Tabelas'!$K$1131:$K$1143)&gt;0)*1)</f>
        <v/>
      </c>
      <c r="AB354" s="2">
        <f>IFERROR(INDEX('Tabelas'!$K$1131:$K$1143,MATCH("?*",'Tabelas'!$K$1131:$K$1143,0))&amp;"","")</f>
        <v/>
      </c>
      <c r="AC354" s="2">
        <f>IF(LEN(AB354)&gt;0,AB354,AC355)</f>
        <v/>
      </c>
    </row>
    <row r="355">
      <c r="AA355" s="2">
        <f>SUMPRODUCT((LEN('Tabelas'!$K$1145:$K$1153)&gt;0)*1)</f>
        <v/>
      </c>
      <c r="AB355" s="2">
        <f>IFERROR(INDEX('Tabelas'!$K$1145:$K$1153,MATCH("?*",'Tabelas'!$K$1145:$K$1153,0))&amp;"","")</f>
        <v/>
      </c>
      <c r="AC355" s="2">
        <f>IF(LEN(AB355)&gt;0,AB355,AC356)</f>
        <v/>
      </c>
    </row>
    <row r="356">
      <c r="AA356" s="2">
        <f>SUMPRODUCT((LEN('Tabelas'!$B$1160:$B$1160)&gt;0)*1)</f>
        <v/>
      </c>
      <c r="AB356" s="2">
        <f>IFERROR(INDEX('Tabelas'!$B$1160:$B$1160,MATCH("?*",'Tabelas'!$B$1160:$B$1160,0))&amp;"","")</f>
        <v/>
      </c>
      <c r="AC356" s="2">
        <f>IF(LEN(AB356)&gt;0,AB356,AC357)</f>
        <v/>
      </c>
    </row>
    <row r="357">
      <c r="AA357" s="2">
        <f>SUMPRODUCT((LEN('Tabelas'!$C$1160:$C$1160)&gt;0)*1)</f>
        <v/>
      </c>
      <c r="AB357" s="2">
        <f>IFERROR(INDEX('Tabelas'!$C$1160:$C$1160,MATCH("?*",'Tabelas'!$C$1160:$C$1160,0))&amp;"","")</f>
        <v/>
      </c>
      <c r="AC357" s="2">
        <f>IF(LEN(AB357)&gt;0,AB357,AC358)</f>
        <v/>
      </c>
    </row>
    <row r="358">
      <c r="AA358" s="2">
        <f>SUMPRODUCT((LEN('Tabelas'!$D$1160:$D$1160)&gt;0)*1)</f>
        <v/>
      </c>
      <c r="AB358" s="2">
        <f>IFERROR(INDEX('Tabelas'!$D$1160:$D$1160,MATCH("?*",'Tabelas'!$D$1160:$D$1160,0))&amp;"","")</f>
        <v/>
      </c>
      <c r="AC358" s="2">
        <f>IF(LEN(AB358)&gt;0,AB358,AC359)</f>
        <v/>
      </c>
    </row>
    <row r="359">
      <c r="AA359" s="2">
        <f>SUMPRODUCT((LEN('Tabelas'!$E$1160:$E$1160)&gt;0)*1)</f>
        <v/>
      </c>
      <c r="AB359" s="2">
        <f>IFERROR(INDEX('Tabelas'!$E$1160:$E$1160,MATCH("?*",'Tabelas'!$E$1160:$E$1160,0))&amp;"","")</f>
        <v/>
      </c>
      <c r="AC359" s="2">
        <f>IF(LEN(AB359)&gt;0,AB359,AC360)</f>
        <v/>
      </c>
    </row>
    <row r="360">
      <c r="AA360" s="2">
        <f>SUMPRODUCT((LEN('Tabelas'!$F$1160:$F$1160)&gt;0)*1)</f>
        <v/>
      </c>
      <c r="AB360" s="2">
        <f>IFERROR(INDEX('Tabelas'!$F$1160:$F$1160,MATCH("?*",'Tabelas'!$F$1160:$F$1160,0))&amp;"","")</f>
        <v/>
      </c>
      <c r="AC360" s="2">
        <f>IF(LEN(AB360)&gt;0,AB360,AC361)</f>
        <v/>
      </c>
    </row>
    <row r="361">
      <c r="AA361" s="2">
        <f>SUMPRODUCT((LEN('Tabelas'!$G$1160:$G$1160)&gt;0)*1)</f>
        <v/>
      </c>
      <c r="AB361" s="2">
        <f>IFERROR(INDEX('Tabelas'!$G$1160:$G$1160,MATCH("?*",'Tabelas'!$G$1160:$G$1160,0))&amp;"","")</f>
        <v/>
      </c>
      <c r="AC361" s="2">
        <f>IF(LEN(AB361)&gt;0,AB361,AC362)</f>
        <v/>
      </c>
    </row>
    <row r="362">
      <c r="AA362" s="2">
        <f>SUMPRODUCT((LEN('Tabelas'!$H$1160:$H$1160)&gt;0)*1)</f>
        <v/>
      </c>
      <c r="AB362" s="2">
        <f>IFERROR(INDEX('Tabelas'!$H$1160:$H$1160,MATCH("?*",'Tabelas'!$H$1160:$H$1160,0))&amp;"","")</f>
        <v/>
      </c>
      <c r="AC362" s="2">
        <f>IF(LEN(AB362)&gt;0,AB362,AC363)</f>
        <v/>
      </c>
    </row>
    <row r="363">
      <c r="AA363" s="2">
        <f>SUMPRODUCT((LEN('Tabelas'!$I$1160:$I$1160)&gt;0)*1)</f>
        <v/>
      </c>
      <c r="AB363" s="2">
        <f>IFERROR(INDEX('Tabelas'!$I$1160:$I$1160,MATCH("?*",'Tabelas'!$I$1160:$I$1160,0))&amp;"","")</f>
        <v/>
      </c>
      <c r="AC363" s="2">
        <f>IF(LEN(AB363)&gt;0,AB363,AC364)</f>
        <v/>
      </c>
    </row>
    <row r="364">
      <c r="AA364" s="2">
        <f>SUMPRODUCT((LEN('Tabelas'!$K$1162:$K$1174)&gt;0)*1)</f>
        <v/>
      </c>
      <c r="AB364" s="2">
        <f>IFERROR(INDEX('Tabelas'!$K$1162:$K$1174,MATCH("?*",'Tabelas'!$K$1162:$K$1174,0))&amp;"","")</f>
        <v/>
      </c>
      <c r="AC364" s="2">
        <f>IF(LEN(AB364)&gt;0,AB364,AC365)</f>
        <v/>
      </c>
    </row>
    <row r="365">
      <c r="AA365" s="2">
        <f>SUMPRODUCT((LEN('Tabelas'!$K$1176:$K$1188)&gt;0)*1)</f>
        <v/>
      </c>
      <c r="AB365" s="2">
        <f>IFERROR(INDEX('Tabelas'!$K$1176:$K$1188,MATCH("?*",'Tabelas'!$K$1176:$K$1188,0))&amp;"","")</f>
        <v/>
      </c>
      <c r="AC365" s="2">
        <f>IF(LEN(AB365)&gt;0,AB365,AC366)</f>
        <v/>
      </c>
    </row>
    <row r="366">
      <c r="AA366" s="2">
        <f>SUMPRODUCT((LEN('Tabelas'!$K$1190:$K$1202)&gt;0)*1)</f>
        <v/>
      </c>
      <c r="AB366" s="2">
        <f>IFERROR(INDEX('Tabelas'!$K$1190:$K$1202,MATCH("?*",'Tabelas'!$K$1190:$K$1202,0))&amp;"","")</f>
        <v/>
      </c>
      <c r="AC366" s="2">
        <f>IF(LEN(AB366)&gt;0,AB366,AC367)</f>
        <v/>
      </c>
    </row>
    <row r="367">
      <c r="AA367" s="2">
        <f>SUMPRODUCT((LEN('Tabelas'!$K$1204:$K$1216)&gt;0)*1)</f>
        <v/>
      </c>
      <c r="AB367" s="2">
        <f>IFERROR(INDEX('Tabelas'!$K$1204:$K$1216,MATCH("?*",'Tabelas'!$K$1204:$K$1216,0))&amp;"","")</f>
        <v/>
      </c>
      <c r="AC367" s="2">
        <f>IF(LEN(AB367)&gt;0,AB367,AC368)</f>
        <v/>
      </c>
    </row>
    <row r="368">
      <c r="AA368" s="2">
        <f>SUMPRODUCT((LEN('Tabelas'!$K$1218:$K$1230)&gt;0)*1)</f>
        <v/>
      </c>
      <c r="AB368" s="2">
        <f>IFERROR(INDEX('Tabelas'!$K$1218:$K$1230,MATCH("?*",'Tabelas'!$K$1218:$K$1230,0))&amp;"","")</f>
        <v/>
      </c>
      <c r="AC368" s="2">
        <f>IF(LEN(AB368)&gt;0,AB368,AC369)</f>
        <v/>
      </c>
    </row>
    <row r="369">
      <c r="AA369" s="2">
        <f>SUMPRODUCT((LEN('Tabelas'!$K$1232:$K$1244)&gt;0)*1)</f>
        <v/>
      </c>
      <c r="AB369" s="2">
        <f>IFERROR(INDEX('Tabelas'!$K$1232:$K$1244,MATCH("?*",'Tabelas'!$K$1232:$K$1244,0))&amp;"","")</f>
        <v/>
      </c>
      <c r="AC369" s="2">
        <f>IF(LEN(AB369)&gt;0,AB369,AC370)</f>
        <v/>
      </c>
    </row>
    <row r="370">
      <c r="AA370" s="2">
        <f>SUMPRODUCT((LEN('Tabelas'!$K$1246:$K$1258)&gt;0)*1)</f>
        <v/>
      </c>
      <c r="AB370" s="2">
        <f>IFERROR(INDEX('Tabelas'!$K$1246:$K$1258,MATCH("?*",'Tabelas'!$K$1246:$K$1258,0))&amp;"","")</f>
        <v/>
      </c>
      <c r="AC370" s="2">
        <f>IF(LEN(AB370)&gt;0,AB370,AC371)</f>
        <v/>
      </c>
    </row>
    <row r="371">
      <c r="AA371" s="2">
        <f>SUMPRODUCT((LEN('Tabelas'!$K$1260:$K$1268)&gt;0)*1)</f>
        <v/>
      </c>
      <c r="AB371" s="2">
        <f>IFERROR(INDEX('Tabelas'!$K$1260:$K$1268,MATCH("?*",'Tabelas'!$K$1260:$K$1268,0))&amp;"","")</f>
        <v/>
      </c>
      <c r="AC371" s="2">
        <f>IF(LEN(AB371)&gt;0,AB371,"")</f>
        <v/>
      </c>
    </row>
  </sheetData>
  <mergeCells count="102">
    <mergeCell ref="C71:L71"/>
    <mergeCell ref="G28:L28"/>
    <mergeCell ref="H43:L43"/>
    <mergeCell ref="B25:F25"/>
    <mergeCell ref="H41:L41"/>
    <mergeCell ref="B27:F27"/>
    <mergeCell ref="C57:L57"/>
    <mergeCell ref="H49:L49"/>
    <mergeCell ref="C60:L60"/>
    <mergeCell ref="B36:G36"/>
    <mergeCell ref="B28:F28"/>
    <mergeCell ref="B45:G45"/>
    <mergeCell ref="B47:G47"/>
    <mergeCell ref="B20:F20"/>
    <mergeCell ref="H48:L48"/>
    <mergeCell ref="C59:L59"/>
    <mergeCell ref="A6:L6"/>
    <mergeCell ref="B39:G39"/>
    <mergeCell ref="B16:C16"/>
    <mergeCell ref="C61:L61"/>
    <mergeCell ref="C70:L70"/>
    <mergeCell ref="H38:L38"/>
    <mergeCell ref="A75:L75"/>
    <mergeCell ref="H44:L44"/>
    <mergeCell ref="A3:L3"/>
    <mergeCell ref="A12:L12"/>
    <mergeCell ref="H40:L40"/>
    <mergeCell ref="A5:L5"/>
    <mergeCell ref="H51:L51"/>
    <mergeCell ref="B49:G49"/>
    <mergeCell ref="G20:L20"/>
    <mergeCell ref="G29:L29"/>
    <mergeCell ref="B33:G33"/>
    <mergeCell ref="B51:G51"/>
    <mergeCell ref="C73:L73"/>
    <mergeCell ref="G22:L22"/>
    <mergeCell ref="B41:G41"/>
    <mergeCell ref="A31:L31"/>
    <mergeCell ref="B35:G35"/>
    <mergeCell ref="B50:G50"/>
    <mergeCell ref="C63:L63"/>
    <mergeCell ref="G21:L21"/>
    <mergeCell ref="C55:L55"/>
    <mergeCell ref="E16:F16"/>
    <mergeCell ref="H42:L42"/>
    <mergeCell ref="G23:L23"/>
    <mergeCell ref="K16:L16"/>
    <mergeCell ref="G16:J16"/>
    <mergeCell ref="C67:L67"/>
    <mergeCell ref="C72:L72"/>
    <mergeCell ref="B21:F21"/>
    <mergeCell ref="B38:G38"/>
    <mergeCell ref="C69:L69"/>
    <mergeCell ref="H46:L46"/>
    <mergeCell ref="B23:F23"/>
    <mergeCell ref="B40:G40"/>
    <mergeCell ref="C62:L62"/>
    <mergeCell ref="G25:L25"/>
    <mergeCell ref="H45:L45"/>
    <mergeCell ref="C64:L64"/>
    <mergeCell ref="H32:L32"/>
    <mergeCell ref="A13:L13"/>
    <mergeCell ref="B32:G32"/>
    <mergeCell ref="C76:J76"/>
    <mergeCell ref="C54:L54"/>
    <mergeCell ref="H47:L47"/>
    <mergeCell ref="A15:L15"/>
    <mergeCell ref="C56:L56"/>
    <mergeCell ref="H33:L33"/>
    <mergeCell ref="B43:G43"/>
    <mergeCell ref="A7:L7"/>
    <mergeCell ref="B42:G42"/>
    <mergeCell ref="H35:L35"/>
    <mergeCell ref="H50:L50"/>
    <mergeCell ref="B22:F22"/>
    <mergeCell ref="B44:G44"/>
    <mergeCell ref="C66:L66"/>
    <mergeCell ref="H34:L34"/>
    <mergeCell ref="B34:G34"/>
    <mergeCell ref="G24:L24"/>
    <mergeCell ref="H39:L39"/>
    <mergeCell ref="B37:G37"/>
    <mergeCell ref="A8:L8"/>
    <mergeCell ref="C68:L68"/>
    <mergeCell ref="H36:L36"/>
    <mergeCell ref="A17:L17"/>
    <mergeCell ref="G26:L26"/>
    <mergeCell ref="A53:L53"/>
    <mergeCell ref="C58:L58"/>
    <mergeCell ref="B29:F29"/>
    <mergeCell ref="A10:L10"/>
    <mergeCell ref="A19:L19"/>
    <mergeCell ref="A9:L9"/>
    <mergeCell ref="C65:L65"/>
    <mergeCell ref="H37:L37"/>
    <mergeCell ref="G27:L27"/>
    <mergeCell ref="B46:G46"/>
    <mergeCell ref="B24:F24"/>
    <mergeCell ref="A11:L11"/>
    <mergeCell ref="A1:L1"/>
    <mergeCell ref="B48:G48"/>
    <mergeCell ref="B26:F26"/>
  </mergeCells>
  <conditionalFormatting sqref="K16">
    <cfRule type="expression" priority="1" dxfId="0">
      <formula>LEN(K16)&gt;0</formula>
    </cfRule>
  </conditionalFormatting>
  <dataValidations count="1">
    <dataValidation sqref="B16" showDropDown="0" showInputMessage="0" showErrorMessage="1" allowBlank="1" errorTitle="Valor fora da faixa" error="Semente da campanha: use um número inteiro de 1 a 2147483646." type="whole" errorStyle="warning" operator="between">
      <formula1>1</formula1>
      <formula2>2147483646</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92"/>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width="13" customWidth="1" min="28" max="28"/>
    <col hidden="1" width="13" customWidth="1" min="29" max="29"/>
    <col hidden="1" width="13" customWidth="1" min="30" max="30"/>
    <col hidden="1" width="13" customWidth="1" min="31" max="31"/>
    <col hidden="1" width="13" customWidth="1" min="32" max="32"/>
    <col hidden="1" width="13" customWidth="1" min="33" max="33"/>
    <col width="13" customWidth="1" min="34" max="34"/>
    <col hidden="1" width="13" customWidth="1" min="35" max="35"/>
    <col hidden="1" width="13" customWidth="1" min="36" max="36"/>
    <col width="13" customWidth="1" min="37" max="37"/>
    <col hidden="1" width="13" customWidth="1" min="38" max="38"/>
    <col hidden="1" width="13" customWidth="1" min="39" max="39"/>
  </cols>
  <sheetData>
    <row r="1" ht="24" customHeight="1">
      <c r="A1" s="1" t="inlineStr">
        <is>
          <t>Campanha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A mesa, os marcos, as facções e a reputação, os relógios, a linha do tempo, a Ficha de Decisões e a Sessão Zero.</t>
        </is>
      </c>
    </row>
    <row r="4"/>
    <row r="5" ht="20" customHeight="1">
      <c r="A5" s="13" t="inlineStr">
        <is>
          <t>Mesa (preencha uma vez: todas as abas leem daqui — D9)</t>
        </is>
      </c>
      <c r="AA5" s="2">
        <f>'Tabelas'!$X$12&amp;""</f>
        <v/>
      </c>
    </row>
    <row r="6">
      <c r="A6" s="8" t="inlineStr">
        <is>
          <t>Campo</t>
        </is>
      </c>
      <c r="B6" s="8" t="inlineStr">
        <is>
          <t>Valor (preencha)</t>
        </is>
      </c>
      <c r="C6" s="20" t="n"/>
      <c r="D6" s="20" t="n"/>
      <c r="E6" s="8" t="inlineStr">
        <is>
          <t>O que a planilha usa (automático)</t>
        </is>
      </c>
      <c r="F6" s="20" t="n"/>
      <c r="G6" s="20" t="n"/>
      <c r="H6" s="20" t="n"/>
      <c r="I6" s="20" t="n"/>
      <c r="J6" s="20" t="n"/>
      <c r="K6" s="8" t="inlineStr">
        <is>
          <t>Aviso</t>
        </is>
      </c>
      <c r="L6" s="20" t="n"/>
      <c r="AA6" s="2">
        <f>'Tabelas'!$X$13&amp;""</f>
        <v/>
      </c>
    </row>
    <row r="7" ht="26" customHeight="1">
      <c r="A7" s="9" t="inlineStr">
        <is>
          <t>Nome da campanha</t>
        </is>
      </c>
      <c r="B7" s="4" t="n"/>
      <c r="C7" s="25" t="n"/>
      <c r="D7" s="17" t="n"/>
      <c r="E7" s="5">
        <f>"A campanha aparece no título das abas de jogo."</f>
        <v/>
      </c>
      <c r="K7" s="19">
        <f>IF(AM7&gt;0,"O Google leu como fórmula: digite de novo com ' na frente.","")</f>
        <v/>
      </c>
      <c r="AA7" s="2">
        <f>'Tabelas'!$X$14&amp;""</f>
        <v/>
      </c>
      <c r="AD7" s="2">
        <f>IF(ISERROR($B$7),"",IF(ISBLANK($B$7),"",$B$7))</f>
        <v/>
      </c>
      <c r="AM7" s="2">
        <f>ISERROR($B$7)*1</f>
        <v/>
      </c>
    </row>
    <row r="8" ht="26" customHeight="1">
      <c r="A8" s="21" t="inlineStr">
        <is>
          <t>Nº de jogadores</t>
        </is>
      </c>
      <c r="B8" s="26" t="n"/>
      <c r="C8" s="25" t="n"/>
      <c r="D8" s="17" t="n"/>
      <c r="E8" s="10">
        <f>IF(ISNUMBER($AD$8),"Jogadores na mesa: "&amp;$B$21&amp;".","Vazio: usando o nº de PJs da aba Grupo ("&amp;$B$21&amp;").")</f>
        <v/>
      </c>
      <c r="K8" s="27">
        <f>IF(AM8&gt;0,"O Google leu como fórmula: digite de novo com ' na frente.",IF(LEN($AD$8)=0,"",IF(NOT(ISNUMBER($AD$8)),"Nº de jogadores não é número: usando o nº de PJs do Grupo",IF(OR($AD$8&lt;1,$AD$8&gt;6,INT($AD$8)&lt;&gt;$AD$8),"Nº de jogadores fora de 1 a 6: usando o limite",IF(OR($AD$8&lt;3,$AD$8&gt;6),"Fora da tabela de 16.2 (3 a 6): PH calculado com o limite 3 a 6","")))))</f>
        <v/>
      </c>
      <c r="AA8" s="2">
        <f>'Tabelas'!$X$15&amp;""</f>
        <v/>
      </c>
      <c r="AD8" s="2">
        <f>IF(ISERROR($B$8),"",IF(ISBLANK($B$8),"",$B$8))</f>
        <v/>
      </c>
      <c r="AM8" s="2">
        <f>ISERROR($B$8)*1</f>
        <v/>
      </c>
    </row>
    <row r="9" ht="26" customHeight="1">
      <c r="A9" s="9" t="inlineStr">
        <is>
          <t>Nível do grupo</t>
        </is>
      </c>
      <c r="B9" s="28" t="n"/>
      <c r="C9" s="25" t="n"/>
      <c r="D9" s="17" t="n"/>
      <c r="E9" s="5">
        <f>IF(ISNUMBER($AD$9),"Nível "&amp;$B$17&amp;", faixa "&amp;$B$19&amp;".","Vazio: as abas calculam com o nível 1 (faixa 1-4).")</f>
        <v/>
      </c>
      <c r="K9" s="19">
        <f>IF(AM9&gt;0,"O Google leu como fórmula: digite de novo com ' na frente.",IF(LEN($AD$9)=0,"",IF(NOT(ISNUMBER($AD$9)),"Nível não é número: usando 1",IF(OR($AD$9&lt;1,$AD$9&gt;20,INT($AD$9)&lt;&gt;$AD$9),"Nível fora de 1 a 20: usando o limite",""))))</f>
        <v/>
      </c>
      <c r="AA9" s="2">
        <f>'Tabelas'!$X$16&amp;""</f>
        <v/>
      </c>
      <c r="AD9" s="2">
        <f>IF(ISERROR($B$9),"",IF(ISBLANK($B$9),"",$B$9))</f>
        <v/>
      </c>
      <c r="AM9" s="2">
        <f>ISERROR($B$9)*1</f>
        <v/>
      </c>
    </row>
    <row r="10" ht="26" customHeight="1">
      <c r="A10" s="21" t="inlineStr">
        <is>
          <t>Sessão atual</t>
        </is>
      </c>
      <c r="B10" s="26" t="n"/>
      <c r="C10" s="25" t="n"/>
      <c r="D10" s="17" t="n"/>
      <c r="E10" s="10">
        <f>"Lida pela aba Sessões (preparação e diário) e pela Início."</f>
        <v/>
      </c>
      <c r="K10" s="27">
        <f>IF(AM10&gt;0,"O Google leu como fórmula: digite de novo com ' na frente.","")</f>
        <v/>
      </c>
      <c r="AA10" s="2">
        <f>'Tabelas'!$X$17&amp;""</f>
        <v/>
      </c>
      <c r="AD10" s="2">
        <f>IF(ISERROR($B$10),"",IF(ISBLANK($B$10),"",$B$10))</f>
        <v/>
      </c>
      <c r="AM10" s="2">
        <f>ISERROR($B$10)*1</f>
        <v/>
      </c>
    </row>
    <row r="11" ht="26" customHeight="1">
      <c r="A11" s="9" t="inlineStr">
        <is>
          <t>Dia de campanha</t>
        </is>
      </c>
      <c r="B11" s="28" t="n"/>
      <c r="C11" s="25" t="n"/>
      <c r="D11" s="17" t="n"/>
      <c r="E11" s="5">
        <f>"Usado pela linha do tempo (nesta aba, mais abaixo)."</f>
        <v/>
      </c>
      <c r="K11" s="19">
        <f>IF(AM11&gt;0,"O Google leu como fórmula: digite de novo com ' na frente.","")</f>
        <v/>
      </c>
      <c r="AA11" s="2">
        <f>'Tabelas'!$X$18&amp;""</f>
        <v/>
      </c>
      <c r="AD11" s="2">
        <f>IF(ISERROR($B$11),"",IF(ISBLANK($B$11),"",$B$11))</f>
        <v/>
      </c>
      <c r="AM11" s="2">
        <f>ISERROR($B$11)*1</f>
        <v/>
      </c>
    </row>
    <row r="12" ht="26" customHeight="1">
      <c r="A12" s="21" t="inlineStr">
        <is>
          <t>Método de atributos</t>
        </is>
      </c>
      <c r="B12" s="29" t="n"/>
      <c r="C12" s="25" t="n"/>
      <c r="D12" s="17" t="n"/>
      <c r="E12" s="10">
        <f>"Lembrete da Sessão Zero (capítulo 03)."</f>
        <v/>
      </c>
      <c r="K12" s="27">
        <f>IF(AM12&gt;0,"O Google leu como fórmula: escolha de novo na lista.","")</f>
        <v/>
      </c>
      <c r="AA12" s="2">
        <f>'Tabelas'!$X$19&amp;""</f>
        <v/>
      </c>
      <c r="AD12" s="2">
        <f>IF(ISERROR($B$12),"",IF(ISBLANK($B$12),"",$B$12))</f>
        <v/>
      </c>
      <c r="AM12" s="2">
        <f>ISERROR($B$12)*1</f>
        <v/>
      </c>
    </row>
    <row r="13" ht="60" customHeight="1">
      <c r="A13" s="9" t="inlineStr">
        <is>
          <t>Variantes da mesa</t>
        </is>
      </c>
      <c r="B13" s="4" t="n"/>
      <c r="C13" s="25" t="n"/>
      <c r="D13" s="17" t="n"/>
      <c r="E13" s="5">
        <f>"Texto livre: média impressa, PV rolado, outra variante (06.4, 28.3)."</f>
        <v/>
      </c>
      <c r="K13" s="19">
        <f>IF(AM13&gt;0,"O Google leu como fórmula: digite de novo com ' na frente.","")</f>
        <v/>
      </c>
      <c r="AA13" s="2">
        <f>'Tabelas'!$X$20&amp;""</f>
        <v/>
      </c>
      <c r="AD13" s="2">
        <f>IF(ISERROR($B$13),"",IF(ISBLANK($B$13),"",$B$13))</f>
        <v/>
      </c>
      <c r="AM13" s="2">
        <f>ISERROR($B$13)*1</f>
        <v/>
      </c>
    </row>
    <row r="14">
      <c r="AA14" s="2">
        <f>'Tabelas'!$X$21&amp;""</f>
        <v/>
      </c>
    </row>
    <row r="15" ht="20" customHeight="1">
      <c r="A15" s="13" t="inlineStr">
        <is>
          <t>Números do grupo (automático)</t>
        </is>
      </c>
      <c r="AA15" s="2">
        <f>'Tabelas'!$X$22&amp;""</f>
        <v/>
      </c>
    </row>
    <row r="16">
      <c r="A16" s="8" t="inlineStr">
        <is>
          <t>Campo</t>
        </is>
      </c>
      <c r="B16" s="8" t="inlineStr">
        <is>
          <t>Valor</t>
        </is>
      </c>
      <c r="C16" s="20" t="n"/>
      <c r="D16" s="8" t="inlineStr">
        <is>
          <t>Fonte no livro</t>
        </is>
      </c>
      <c r="E16" s="20" t="n"/>
      <c r="F16" s="20" t="n"/>
      <c r="G16" s="8" t="inlineStr">
        <is>
          <t>Observação</t>
        </is>
      </c>
      <c r="H16" s="20" t="n"/>
      <c r="I16" s="20" t="n"/>
      <c r="J16" s="20" t="n"/>
      <c r="K16" s="20" t="n"/>
      <c r="L16" s="20" t="n"/>
      <c r="AA16" s="2">
        <f>'Tabelas'!$X$23&amp;""</f>
        <v/>
      </c>
    </row>
    <row r="17">
      <c r="A17" s="9" t="inlineStr">
        <is>
          <t>Nível efetivo</t>
        </is>
      </c>
      <c r="B17" s="18">
        <f>IF(ISNUMBER($AD$9),MIN(20,MAX(1,INT($AD$9))),1)</f>
        <v/>
      </c>
      <c r="D17" s="14" t="inlineStr">
        <is>
          <t>26.1</t>
        </is>
      </c>
      <c r="G17" s="14" t="inlineStr">
        <is>
          <t>Vazio = 1.</t>
        </is>
      </c>
      <c r="AA17" s="2">
        <f>'Tabelas'!$X$24&amp;""</f>
        <v/>
      </c>
    </row>
    <row r="18">
      <c r="A18" s="21" t="inlineStr">
        <is>
          <t>Índice da faixa</t>
        </is>
      </c>
      <c r="B18" s="23">
        <f>INT(($B$17-1)/4)+1</f>
        <v/>
      </c>
      <c r="D18" s="22" t="inlineStr">
        <is>
          <t>26.3</t>
        </is>
      </c>
      <c r="G18" s="22" t="inlineStr">
        <is>
          <t>1 a 5.</t>
        </is>
      </c>
      <c r="AA18" s="2">
        <f>'Tabelas'!$X$26&amp;""</f>
        <v/>
      </c>
    </row>
    <row r="19">
      <c r="A19" s="9" t="inlineStr">
        <is>
          <t>Faixa do grupo</t>
        </is>
      </c>
      <c r="B19" s="18">
        <f>INDEX('Dados'!$B$7:$B$11,$B$18)</f>
        <v/>
      </c>
      <c r="D19" s="14" t="inlineStr">
        <is>
          <t>26.3</t>
        </is>
      </c>
      <c r="G19" s="14" t="inlineStr">
        <is>
          <t>A faixa do inimigo é a faixa do grupo (28.4 passo 1).</t>
        </is>
      </c>
      <c r="AA19" s="2">
        <f>'Tabelas'!$X$27&amp;""</f>
        <v/>
      </c>
    </row>
    <row r="20">
      <c r="A20" s="21" t="inlineStr">
        <is>
          <t>Eficiência</t>
        </is>
      </c>
      <c r="B20" s="23">
        <f>INDEX('Dados'!$B$15:$B$34,$B$17)</f>
        <v/>
      </c>
      <c r="D20" s="22" t="inlineStr">
        <is>
          <t>26.2 (02.3)</t>
        </is>
      </c>
      <c r="G20" s="22" t="inlineStr">
        <is>
          <t>Usada no Dano de Quebra e nas condições.</t>
        </is>
      </c>
      <c r="AA20" s="2">
        <f>'Tabelas'!$X$28&amp;""</f>
        <v/>
      </c>
    </row>
    <row r="21" ht="26" customHeight="1">
      <c r="A21" s="9" t="inlineStr">
        <is>
          <t>Nº de jogadores efetivo</t>
        </is>
      </c>
      <c r="B21" s="18">
        <f>IF(ISNUMBER($AD$8),MIN(6,MAX(1,INT($AD$8))),MAX(1,'Grupo'!$B$79))</f>
        <v/>
      </c>
      <c r="D21" s="14" t="inlineStr">
        <is>
          <t>16.2</t>
        </is>
      </c>
      <c r="G21" s="14" t="inlineStr">
        <is>
          <t>Vazio = nº de PJs da aba Grupo (mínimo 1).</t>
        </is>
      </c>
      <c r="AA21" s="2">
        <f>'Tabelas'!$X$29&amp;""</f>
        <v/>
      </c>
    </row>
    <row r="22" ht="26" customHeight="1">
      <c r="A22" s="21" t="inlineStr">
        <is>
          <t>Jogadores para o PH</t>
        </is>
      </c>
      <c r="B22" s="23">
        <f>MIN(6,MAX(3,$B$21))</f>
        <v/>
      </c>
      <c r="D22" s="22" t="inlineStr">
        <is>
          <t>16.2</t>
        </is>
      </c>
      <c r="G22" s="22" t="inlineStr">
        <is>
          <t>A tabela de 16.2 vai de 3 a 6 jogadores.</t>
        </is>
      </c>
      <c r="AA22" s="2">
        <f>'Tabelas'!$X$30&amp;""</f>
        <v/>
      </c>
    </row>
    <row r="23">
      <c r="A23" s="9" t="inlineStr">
        <is>
          <t>Degrau de PH</t>
        </is>
      </c>
      <c r="B23" s="18">
        <f>IF($B$17&lt;=8,1,IF($B$17&lt;=16,2,3))</f>
        <v/>
      </c>
      <c r="D23" s="14" t="inlineStr">
        <is>
          <t>16.2</t>
        </is>
      </c>
      <c r="G23" s="14" t="inlineStr">
        <is>
          <t>1 = níveis 1-8; 2 = 9-16; 3 = 17-20.</t>
        </is>
      </c>
      <c r="AA23" s="2">
        <f>'Tabelas'!$X$31&amp;""</f>
        <v/>
      </c>
    </row>
    <row r="24" ht="26" customHeight="1">
      <c r="A24" s="21" t="inlineStr">
        <is>
          <t>PH máximo do grupo</t>
        </is>
      </c>
      <c r="B24" s="23">
        <f>IF($B$23=1,INDEX('Dados'!$B$343:$B$346,MATCH($B$22,'Dados'!$A$343:$A$346,0)),IF($B$23=2,INDEX('Dados'!$C$343:$C$346,MATCH($B$22,'Dados'!$A$343:$A$346,0)),INDEX('Dados'!$D$343:$D$346,MATCH($B$22,'Dados'!$A$343:$A$346,0))))</f>
        <v/>
      </c>
      <c r="D24" s="22" t="inlineStr">
        <is>
          <t>16.2</t>
        </is>
      </c>
      <c r="G24" s="22" t="inlineStr">
        <is>
          <t>Degraus 1-8, 9-16 e 17-20.</t>
        </is>
      </c>
      <c r="AA24" s="2">
        <f>'Tabelas'!$X$32&amp;""</f>
        <v/>
      </c>
    </row>
    <row r="25" ht="26" customHeight="1">
      <c r="A25" s="9" t="inlineStr">
        <is>
          <t>PH no início do combate</t>
        </is>
      </c>
      <c r="B25" s="18">
        <f>IF($B$23=1,INDEX('Dados'!$E$343:$E$346,MATCH($B$22,'Dados'!$A$343:$A$346,0)),IF($B$23=2,INDEX('Dados'!$F$343:$F$346,MATCH($B$22,'Dados'!$A$343:$A$346,0)),INDEX('Dados'!$G$343:$G$346,MATCH($B$22,'Dados'!$A$343:$A$346,0))))</f>
        <v/>
      </c>
      <c r="D25" s="14" t="inlineStr">
        <is>
          <t>16.2</t>
        </is>
      </c>
      <c r="G25" s="14" t="inlineStr">
        <is>
          <t>Começa cada combate com o máximo menos 2.</t>
        </is>
      </c>
      <c r="AA25" s="2">
        <f>'Tabelas'!$X$33&amp;""</f>
        <v/>
      </c>
    </row>
    <row r="26">
      <c r="A26" s="8" t="inlineStr">
        <is>
          <t>Campo</t>
        </is>
      </c>
      <c r="B26" s="8" t="inlineStr">
        <is>
          <t>Valor</t>
        </is>
      </c>
      <c r="C26" s="20" t="n"/>
      <c r="D26" s="8" t="inlineStr">
        <is>
          <t>Fonte no livro</t>
        </is>
      </c>
      <c r="E26" s="20" t="n"/>
      <c r="F26" s="20" t="n"/>
      <c r="G26" s="8" t="inlineStr">
        <is>
          <t>Observação</t>
        </is>
      </c>
      <c r="H26" s="20" t="n"/>
      <c r="I26" s="20" t="n"/>
      <c r="J26" s="20" t="n"/>
      <c r="K26" s="20" t="n"/>
      <c r="L26" s="20" t="n"/>
      <c r="AA26" s="2">
        <f>'Tabelas'!$X$34&amp;""</f>
        <v/>
      </c>
    </row>
    <row r="27">
      <c r="A27" s="9" t="inlineStr">
        <is>
          <t>DT Média da faixa</t>
        </is>
      </c>
      <c r="B27" s="18">
        <f>IF($B$18=1,INDEX('Dados'!$B$284:$B$289,3),IF($B$18=2,INDEX('Dados'!$C$284:$C$289,3),IF($B$18=3,INDEX('Dados'!$D$284:$D$289,3),IF($B$18=4,INDEX('Dados'!$E$284:$E$289,3),INDEX('Dados'!$F$284:$F$289,3)))))</f>
        <v/>
      </c>
      <c r="D27" s="14" t="inlineStr">
        <is>
          <t>27.2</t>
        </is>
      </c>
      <c r="G27" s="14" t="inlineStr">
        <is>
          <t>Regra 1: a faixa é a do desafio, não a do personagem.</t>
        </is>
      </c>
      <c r="AA27" s="2">
        <f>'Tabelas'!$X$35&amp;""</f>
        <v/>
      </c>
    </row>
    <row r="28">
      <c r="A28" s="21" t="inlineStr">
        <is>
          <t>DT Difícil da faixa</t>
        </is>
      </c>
      <c r="B28" s="23">
        <f>IF($B$18=1,INDEX('Dados'!$B$284:$B$289,4),IF($B$18=2,INDEX('Dados'!$C$284:$C$289,4),IF($B$18=3,INDEX('Dados'!$D$284:$D$289,4),IF($B$18=4,INDEX('Dados'!$E$284:$E$289,4),INDEX('Dados'!$F$284:$F$289,4)))))</f>
        <v/>
      </c>
      <c r="D28" s="22" t="inlineStr">
        <is>
          <t>27.2</t>
        </is>
      </c>
      <c r="G28" s="22" t="inlineStr"/>
      <c r="AA28" s="2">
        <f>'Tabelas'!$X$36&amp;""</f>
        <v/>
      </c>
    </row>
    <row r="29" ht="26" customHeight="1">
      <c r="A29" s="9" t="inlineStr">
        <is>
          <t>DT para descobrir Fraqueza</t>
        </is>
      </c>
      <c r="B29" s="18">
        <f>IFERROR(INDEX('Dados'!$B$293:$B$297,MATCH($B$19,'Dados'!$A$293:$A$297,0)),"")</f>
        <v/>
      </c>
      <c r="D29" s="14" t="inlineStr">
        <is>
          <t>20.2</t>
        </is>
      </c>
      <c r="G29" s="14" t="inlineStr">
        <is>
          <t>Pela faixa do inimigo mais forte da cena.</t>
        </is>
      </c>
      <c r="AA29" s="2">
        <f>'Tabelas'!$X$37&amp;""</f>
        <v/>
      </c>
    </row>
    <row r="30" ht="26" customHeight="1">
      <c r="A30" s="21" t="inlineStr">
        <is>
          <t>Cone de Luz máximo</t>
        </is>
      </c>
      <c r="B30" s="23">
        <f>IFERROR(INDEX('Dados'!$B$380:$B$384,MATCH($B$19,'Dados'!$A$380:$A$384,0)),"")</f>
        <v/>
      </c>
      <c r="D30" s="22" t="inlineStr">
        <is>
          <t>25.1</t>
        </is>
      </c>
      <c r="G30" s="22" t="inlineStr"/>
      <c r="AA30" s="2">
        <f>'Tabelas'!$X$38&amp;""</f>
        <v/>
      </c>
    </row>
    <row r="31" ht="26" customHeight="1">
      <c r="A31" s="9" t="inlineStr">
        <is>
          <t>Relíquias</t>
        </is>
      </c>
      <c r="B31" s="18">
        <f>IFERROR(INDEX('Dados'!$C$380:$C$384,MATCH($B$19,'Dados'!$A$380:$A$384,0)),"")</f>
        <v/>
      </c>
      <c r="D31" s="14" t="inlineStr">
        <is>
          <t>25.1</t>
        </is>
      </c>
      <c r="G31" s="14" t="inlineStr"/>
      <c r="AA31" s="2">
        <f>'Tabelas'!$X$40&amp;""</f>
        <v/>
      </c>
    </row>
    <row r="32">
      <c r="A32" s="21" t="inlineStr">
        <is>
          <t>Verba de marco (Cr)</t>
        </is>
      </c>
      <c r="B32" s="23">
        <f>IFERROR(INDEX('Dados'!$B$372:$B$376,MATCH($B$19,'Dados'!$A$372:$A$376,0)),"")</f>
        <v/>
      </c>
      <c r="D32" s="22" t="inlineStr">
        <is>
          <t>24.5</t>
        </is>
      </c>
      <c r="G32" s="22" t="inlineStr">
        <is>
          <t>Por marco, para o grupo.</t>
        </is>
      </c>
      <c r="AA32" s="2">
        <f>'Tabelas'!$X$41&amp;""</f>
        <v/>
      </c>
    </row>
    <row r="33">
      <c r="AA33" s="2">
        <f>'Tabelas'!$X$42&amp;""</f>
        <v/>
      </c>
    </row>
    <row r="34">
      <c r="A34" s="12" t="inlineStr">
        <is>
          <t>Não existe experiência por inimigo derrotado: a progressão é por marco narrativo (26.1).</t>
        </is>
      </c>
      <c r="AA34" s="2">
        <f>'Tabelas'!$X$43&amp;""</f>
        <v/>
      </c>
    </row>
    <row r="35">
      <c r="AA35" s="2">
        <f>'Tabelas'!$X$44&amp;""</f>
        <v/>
      </c>
    </row>
    <row r="36" ht="20" customHeight="1">
      <c r="A36" s="13" t="inlineStr">
        <is>
          <t>Marcos e progressão (26.1): o grupo sobe de nível junto, por marco narrativo</t>
        </is>
      </c>
      <c r="AA36" s="2">
        <f>'Tabelas'!$X$45&amp;""</f>
        <v/>
      </c>
    </row>
    <row r="37">
      <c r="A37" s="8" t="inlineStr">
        <is>
          <t>Campo</t>
        </is>
      </c>
      <c r="B37" s="8" t="inlineStr">
        <is>
          <t>Valor</t>
        </is>
      </c>
      <c r="C37" s="20" t="n"/>
      <c r="D37" s="20" t="n"/>
      <c r="E37" s="8" t="inlineStr">
        <is>
          <t>O que a planilha usa (automático)</t>
        </is>
      </c>
      <c r="F37" s="20" t="n"/>
      <c r="G37" s="20" t="n"/>
      <c r="H37" s="20" t="n"/>
      <c r="I37" s="20" t="n"/>
      <c r="J37" s="20" t="n"/>
      <c r="K37" s="8" t="inlineStr">
        <is>
          <t>Aviso</t>
        </is>
      </c>
      <c r="L37" s="20" t="n"/>
      <c r="AA37" s="2">
        <f>'Tabelas'!$X$46&amp;""</f>
        <v/>
      </c>
    </row>
    <row r="38" ht="26" customHeight="1">
      <c r="A38" s="9" t="inlineStr">
        <is>
          <t>Sessões jogadas no nível atual</t>
        </is>
      </c>
      <c r="B38" s="16" t="n"/>
      <c r="C38" s="25" t="n"/>
      <c r="D38" s="17" t="n"/>
      <c r="E38" s="5">
        <f>"Ritmo sugerido: "&amp;IF($B$17&lt;='Dados'!$B$724,'Dados'!$E$724,'Dados'!$E$725)&amp;" (26.1)."</f>
        <v/>
      </c>
      <c r="K38" s="19">
        <f>IF(AM38&gt;0,"O Google leu como fórmula: digite de novo com ' na frente.",IF(LEN($AD$38)=0,"",IF(NOT(ISNUMBER($AD$38)),"Sessões não é número",IF(OR($AD$38&lt;0,$AD$38&gt;99,INT($AD$38)&lt;&gt;$AD$38),"Sessões fora de 0 a 99",IF($AD$38&gt;IF($B$17&lt;='Dados'!$B$724,'Dados'!$D$724,'Dados'!$D$725),"Ritmo acima do sugerido (26.1): mais de "&amp;IF($B$17&lt;='Dados'!$B$724,'Dados'!$D$724,'Dados'!$D$725)&amp;" sessões no nível","")))))</f>
        <v/>
      </c>
      <c r="AA38" s="2">
        <f>'Tabelas'!$X$47&amp;""</f>
        <v/>
      </c>
      <c r="AD38" s="2">
        <f>IF(ISERROR($B$38),"",IF(ISBLANK($B$38),"",$B$38))</f>
        <v/>
      </c>
      <c r="AM38" s="2">
        <f>ISERROR($B$38)*1</f>
        <v/>
      </c>
    </row>
    <row r="39" ht="26" customHeight="1">
      <c r="A39" s="21" t="inlineStr">
        <is>
          <t>Próxima Ressonância</t>
        </is>
      </c>
      <c r="B39" s="23">
        <f>IF((COUNTIF('Dados'!$B$490:$B$493,"&lt;="&amp;$B$17)+1)&gt;4,"Todas (nível 20)","Ressonância "&amp;INDEX('Dados'!$A$490:$A$493,MIN(4,(COUNTIF('Dados'!$B$490:$B$493,"&lt;="&amp;$B$17)+1)))&amp;" no nível "&amp;INDEX('Dados'!$B$490:$B$493,MIN(4,(COUNTIF('Dados'!$B$490:$B$493,"&lt;="&amp;$B$17)+1))))</f>
        <v/>
      </c>
      <c r="E39" s="22" t="inlineStr">
        <is>
          <t>Sempre um marco de história, escolhida com o Mestre na hora (26.1, 26.7). É o lugar natural para fechar um capítulo do Propósito de Vida de alguém.</t>
        </is>
      </c>
      <c r="K39" s="30" t="n"/>
      <c r="L39" s="30" t="n"/>
      <c r="AA39" s="2">
        <f>'Tabelas'!$X$48&amp;""</f>
        <v/>
      </c>
    </row>
    <row r="40">
      <c r="A40" s="9" t="inlineStr">
        <is>
          <t>Marcos concluídos</t>
        </is>
      </c>
      <c r="B40" s="18">
        <f>COUNTIFS('Missões'!$AK$8:$AK$28,"Concluída",'Missões'!$AD$31:$AD$51,"Sim")</f>
        <v/>
      </c>
      <c r="E40" s="14" t="inlineStr">
        <is>
          <t>Missões concluídas que eram marco de nível (aba Missões).</t>
        </is>
      </c>
      <c r="AA40" s="2">
        <f>'Tabelas'!$X$49&amp;""</f>
        <v/>
      </c>
    </row>
    <row r="41" ht="26" customHeight="1">
      <c r="A41" s="21" t="inlineStr">
        <is>
          <t>Dia de campanha efetivo</t>
        </is>
      </c>
      <c r="B41" s="23">
        <f>IF(ISNUMBER($AD$11),MAX(1,INT($AD$11)),1)</f>
        <v/>
      </c>
      <c r="E41" s="22" t="inlineStr">
        <is>
          <t>Vazio = dia 1. A linha do tempo mostra os próximos eventos a partir deste dia.</t>
        </is>
      </c>
      <c r="K41" s="30" t="n"/>
      <c r="L41" s="30" t="n"/>
      <c r="AA41" s="2">
        <f>'Tabelas'!$X$50&amp;""</f>
        <v/>
      </c>
    </row>
    <row r="42" ht="26" customHeight="1">
      <c r="A42" s="31">
        <f>'Dados'!$C$806</f>
        <v/>
      </c>
      <c r="AA42" s="2">
        <f>'Tabelas'!$X$51&amp;""</f>
        <v/>
      </c>
    </row>
    <row r="43">
      <c r="A43" s="32" t="inlineStr">
        <is>
          <t>Na virada de nível entram o Tier de Relíquia, o Cone de Luz e a verba de marco (26.1): veja a entrega de marco na aba Recompensas.</t>
        </is>
      </c>
      <c r="AA43" s="2">
        <f>'Tabelas'!$X$52&amp;""</f>
        <v/>
      </c>
    </row>
    <row r="44">
      <c r="AA44" s="2">
        <f>'Tabelas'!$X$54&amp;""</f>
        <v/>
      </c>
    </row>
    <row r="45" ht="26" customHeight="1">
      <c r="A45" s="13" t="inlineStr">
        <is>
          <t>Facções e reputação (12 linhas): atitude com o grupo de −3 a +3</t>
        </is>
      </c>
      <c r="K45" s="12" t="inlineStr">
        <is>
          <t>Sugestão da planilha — não é regra do livro (H17)</t>
        </is>
      </c>
      <c r="AA45" s="2">
        <f>'Tabelas'!$X$55&amp;""</f>
        <v/>
      </c>
    </row>
    <row r="46" ht="37" customHeight="1">
      <c r="A46" s="8" t="inlineStr">
        <is>
          <t>Facção (preencha)</t>
        </is>
      </c>
      <c r="B46" s="8" t="inlineStr">
        <is>
          <t>Atitude (−3 a +3)</t>
        </is>
      </c>
      <c r="C46" s="8" t="inlineStr">
        <is>
          <t>Leitura (automático)</t>
        </is>
      </c>
      <c r="D46" s="20" t="n"/>
      <c r="E46" s="8" t="inlineStr">
        <is>
          <t>Relógio ligado</t>
        </is>
      </c>
      <c r="F46" s="20" t="n"/>
      <c r="G46" s="8" t="inlineStr">
        <is>
          <t>Notas</t>
        </is>
      </c>
      <c r="H46" s="20" t="n"/>
      <c r="I46" s="20" t="n"/>
      <c r="J46" s="8" t="inlineStr">
        <is>
          <t>Último contato (sessão)</t>
        </is>
      </c>
      <c r="K46" s="8" t="inlineStr">
        <is>
          <t>Aviso</t>
        </is>
      </c>
      <c r="L46" s="20" t="n"/>
      <c r="AA46" s="2">
        <f>'Tabelas'!$X$56&amp;""</f>
        <v/>
      </c>
    </row>
    <row r="47" ht="60" customHeight="1">
      <c r="A47" s="33" t="n"/>
      <c r="B47" s="34" t="n"/>
      <c r="C47" s="18">
        <f>IF(LEN($AD$47)=0,"",IF(ISNUMBER($AD$47),IFERROR(INDEX('Dados'!$B$913:$B$919,MATCH($AD$47,'Dados'!$A$913:$A$919,0)),""),""))</f>
        <v/>
      </c>
      <c r="E47" s="4" t="n"/>
      <c r="F47" s="17" t="n"/>
      <c r="G47" s="4" t="n"/>
      <c r="H47" s="25" t="n"/>
      <c r="I47" s="17" t="n"/>
      <c r="J47" s="16" t="n"/>
      <c r="K47" s="19">
        <f>IF(AM47&gt;0,"O Google leu como fórmula: escolha de novo ou digite com ' na frente.",IF(LEN($AC$47)=0,IF(LEN($AD$47&amp;$AG$47&amp;$AI$47&amp;$AL$47)&gt;0,"Linha sem facção: preencha a facção",""),IF(COUNTIF($AC$47:$AC$58,$AC$47)&gt;1,"Facção repetida: use uma linha por facção (H17)",IF(AND(LEN($AD$47)&gt;0,LEN($C$47)=0),"Atitude fora de −3 a +3 (H17)",""))))</f>
        <v/>
      </c>
      <c r="AA47" s="2">
        <f>'Tabelas'!$X$57&amp;""</f>
        <v/>
      </c>
      <c r="AC47" s="2">
        <f>IF(ISERROR($A$47),"",IF(ISBLANK($A$47),"",$A$47))</f>
        <v/>
      </c>
      <c r="AD47" s="2">
        <f>IF(ISERROR($B$47),"",IF(ISBLANK($B$47),"",$B$47))</f>
        <v/>
      </c>
      <c r="AG47" s="2">
        <f>IF(ISERROR($E$47),"",IF(ISBLANK($E$47),"",$E$47))</f>
        <v/>
      </c>
      <c r="AI47" s="2">
        <f>IF(ISERROR($G$47),"",IF(ISBLANK($G$47),"",$G$47))</f>
        <v/>
      </c>
      <c r="AL47" s="2">
        <f>IF(ISERROR($J$47),"",IF(ISBLANK($J$47),"",$J$47))</f>
        <v/>
      </c>
      <c r="AM47" s="2">
        <f>ISERROR($A$47)*1+ISERROR($B$47)*1+ISERROR($E$47)*1+ISERROR($G$47)*1+ISERROR($J$47)*1</f>
        <v/>
      </c>
    </row>
    <row r="48" ht="60" customHeight="1">
      <c r="A48" s="35" t="n"/>
      <c r="B48" s="36" t="n"/>
      <c r="C48" s="23">
        <f>IF(LEN($AD$48)=0,"",IF(ISNUMBER($AD$48),IFERROR(INDEX('Dados'!$B$913:$B$919,MATCH($AD$48,'Dados'!$A$913:$A$919,0)),""),""))</f>
        <v/>
      </c>
      <c r="E48" s="29" t="n"/>
      <c r="F48" s="17" t="n"/>
      <c r="G48" s="29" t="n"/>
      <c r="H48" s="25" t="n"/>
      <c r="I48" s="17" t="n"/>
      <c r="J48" s="37" t="n"/>
      <c r="K48" s="27">
        <f>IF(AM48&gt;0,"O Google leu como fórmula: escolha de novo ou digite com ' na frente.",IF(LEN($AC$48)=0,IF(LEN($AD$48&amp;$AG$48&amp;$AI$48&amp;$AL$48)&gt;0,"Linha sem facção: preencha a facção",""),IF(COUNTIF($AC$47:$AC$58,$AC$48)&gt;1,"Facção repetida: use uma linha por facção (H17)",IF(AND(LEN($AD$48)&gt;0,LEN($C$48)=0),"Atitude fora de −3 a +3 (H17)",""))))</f>
        <v/>
      </c>
      <c r="AA48" s="2">
        <f>'Tabelas'!$X$58&amp;""</f>
        <v/>
      </c>
      <c r="AC48" s="2">
        <f>IF(ISERROR($A$48),"",IF(ISBLANK($A$48),"",$A$48))</f>
        <v/>
      </c>
      <c r="AD48" s="2">
        <f>IF(ISERROR($B$48),"",IF(ISBLANK($B$48),"",$B$48))</f>
        <v/>
      </c>
      <c r="AG48" s="2">
        <f>IF(ISERROR($E$48),"",IF(ISBLANK($E$48),"",$E$48))</f>
        <v/>
      </c>
      <c r="AI48" s="2">
        <f>IF(ISERROR($G$48),"",IF(ISBLANK($G$48),"",$G$48))</f>
        <v/>
      </c>
      <c r="AL48" s="2">
        <f>IF(ISERROR($J$48),"",IF(ISBLANK($J$48),"",$J$48))</f>
        <v/>
      </c>
      <c r="AM48" s="2">
        <f>ISERROR($A$48)*1+ISERROR($B$48)*1+ISERROR($E$48)*1+ISERROR($G$48)*1+ISERROR($J$48)*1</f>
        <v/>
      </c>
    </row>
    <row r="49" ht="60" customHeight="1">
      <c r="A49" s="33" t="n"/>
      <c r="B49" s="34" t="n"/>
      <c r="C49" s="18">
        <f>IF(LEN($AD$49)=0,"",IF(ISNUMBER($AD$49),IFERROR(INDEX('Dados'!$B$913:$B$919,MATCH($AD$49,'Dados'!$A$913:$A$919,0)),""),""))</f>
        <v/>
      </c>
      <c r="E49" s="4" t="n"/>
      <c r="F49" s="17" t="n"/>
      <c r="G49" s="4" t="n"/>
      <c r="H49" s="25" t="n"/>
      <c r="I49" s="17" t="n"/>
      <c r="J49" s="16" t="n"/>
      <c r="K49" s="19">
        <f>IF(AM49&gt;0,"O Google leu como fórmula: escolha de novo ou digite com ' na frente.",IF(LEN($AC$49)=0,IF(LEN($AD$49&amp;$AG$49&amp;$AI$49&amp;$AL$49)&gt;0,"Linha sem facção: preencha a facção",""),IF(COUNTIF($AC$47:$AC$58,$AC$49)&gt;1,"Facção repetida: use uma linha por facção (H17)",IF(AND(LEN($AD$49)&gt;0,LEN($C$49)=0),"Atitude fora de −3 a +3 (H17)",""))))</f>
        <v/>
      </c>
      <c r="AA49" s="2">
        <f>'Tabelas'!$X$59&amp;""</f>
        <v/>
      </c>
      <c r="AC49" s="2">
        <f>IF(ISERROR($A$49),"",IF(ISBLANK($A$49),"",$A$49))</f>
        <v/>
      </c>
      <c r="AD49" s="2">
        <f>IF(ISERROR($B$49),"",IF(ISBLANK($B$49),"",$B$49))</f>
        <v/>
      </c>
      <c r="AG49" s="2">
        <f>IF(ISERROR($E$49),"",IF(ISBLANK($E$49),"",$E$49))</f>
        <v/>
      </c>
      <c r="AI49" s="2">
        <f>IF(ISERROR($G$49),"",IF(ISBLANK($G$49),"",$G$49))</f>
        <v/>
      </c>
      <c r="AL49" s="2">
        <f>IF(ISERROR($J$49),"",IF(ISBLANK($J$49),"",$J$49))</f>
        <v/>
      </c>
      <c r="AM49" s="2">
        <f>ISERROR($A$49)*1+ISERROR($B$49)*1+ISERROR($E$49)*1+ISERROR($G$49)*1+ISERROR($J$49)*1</f>
        <v/>
      </c>
    </row>
    <row r="50" ht="60" customHeight="1">
      <c r="A50" s="35" t="n"/>
      <c r="B50" s="36" t="n"/>
      <c r="C50" s="23">
        <f>IF(LEN($AD$50)=0,"",IF(ISNUMBER($AD$50),IFERROR(INDEX('Dados'!$B$913:$B$919,MATCH($AD$50,'Dados'!$A$913:$A$919,0)),""),""))</f>
        <v/>
      </c>
      <c r="E50" s="29" t="n"/>
      <c r="F50" s="17" t="n"/>
      <c r="G50" s="29" t="n"/>
      <c r="H50" s="25" t="n"/>
      <c r="I50" s="17" t="n"/>
      <c r="J50" s="37" t="n"/>
      <c r="K50" s="27">
        <f>IF(AM50&gt;0,"O Google leu como fórmula: escolha de novo ou digite com ' na frente.",IF(LEN($AC$50)=0,IF(LEN($AD$50&amp;$AG$50&amp;$AI$50&amp;$AL$50)&gt;0,"Linha sem facção: preencha a facção",""),IF(COUNTIF($AC$47:$AC$58,$AC$50)&gt;1,"Facção repetida: use uma linha por facção (H17)",IF(AND(LEN($AD$50)&gt;0,LEN($C$50)=0),"Atitude fora de −3 a +3 (H17)",""))))</f>
        <v/>
      </c>
      <c r="AA50" s="2">
        <f>'Tabelas'!$X$60&amp;""</f>
        <v/>
      </c>
      <c r="AC50" s="2">
        <f>IF(ISERROR($A$50),"",IF(ISBLANK($A$50),"",$A$50))</f>
        <v/>
      </c>
      <c r="AD50" s="2">
        <f>IF(ISERROR($B$50),"",IF(ISBLANK($B$50),"",$B$50))</f>
        <v/>
      </c>
      <c r="AG50" s="2">
        <f>IF(ISERROR($E$50),"",IF(ISBLANK($E$50),"",$E$50))</f>
        <v/>
      </c>
      <c r="AI50" s="2">
        <f>IF(ISERROR($G$50),"",IF(ISBLANK($G$50),"",$G$50))</f>
        <v/>
      </c>
      <c r="AL50" s="2">
        <f>IF(ISERROR($J$50),"",IF(ISBLANK($J$50),"",$J$50))</f>
        <v/>
      </c>
      <c r="AM50" s="2">
        <f>ISERROR($A$50)*1+ISERROR($B$50)*1+ISERROR($E$50)*1+ISERROR($G$50)*1+ISERROR($J$50)*1</f>
        <v/>
      </c>
    </row>
    <row r="51" ht="60" customHeight="1">
      <c r="A51" s="33" t="n"/>
      <c r="B51" s="34" t="n"/>
      <c r="C51" s="18">
        <f>IF(LEN($AD$51)=0,"",IF(ISNUMBER($AD$51),IFERROR(INDEX('Dados'!$B$913:$B$919,MATCH($AD$51,'Dados'!$A$913:$A$919,0)),""),""))</f>
        <v/>
      </c>
      <c r="E51" s="4" t="n"/>
      <c r="F51" s="17" t="n"/>
      <c r="G51" s="4" t="n"/>
      <c r="H51" s="25" t="n"/>
      <c r="I51" s="17" t="n"/>
      <c r="J51" s="16" t="n"/>
      <c r="K51" s="19">
        <f>IF(AM51&gt;0,"O Google leu como fórmula: escolha de novo ou digite com ' na frente.",IF(LEN($AC$51)=0,IF(LEN($AD$51&amp;$AG$51&amp;$AI$51&amp;$AL$51)&gt;0,"Linha sem facção: preencha a facção",""),IF(COUNTIF($AC$47:$AC$58,$AC$51)&gt;1,"Facção repetida: use uma linha por facção (H17)",IF(AND(LEN($AD$51)&gt;0,LEN($C$51)=0),"Atitude fora de −3 a +3 (H17)",""))))</f>
        <v/>
      </c>
      <c r="AA51" s="2">
        <f>'Tabelas'!$X$61&amp;""</f>
        <v/>
      </c>
      <c r="AC51" s="2">
        <f>IF(ISERROR($A$51),"",IF(ISBLANK($A$51),"",$A$51))</f>
        <v/>
      </c>
      <c r="AD51" s="2">
        <f>IF(ISERROR($B$51),"",IF(ISBLANK($B$51),"",$B$51))</f>
        <v/>
      </c>
      <c r="AG51" s="2">
        <f>IF(ISERROR($E$51),"",IF(ISBLANK($E$51),"",$E$51))</f>
        <v/>
      </c>
      <c r="AI51" s="2">
        <f>IF(ISERROR($G$51),"",IF(ISBLANK($G$51),"",$G$51))</f>
        <v/>
      </c>
      <c r="AL51" s="2">
        <f>IF(ISERROR($J$51),"",IF(ISBLANK($J$51),"",$J$51))</f>
        <v/>
      </c>
      <c r="AM51" s="2">
        <f>ISERROR($A$51)*1+ISERROR($B$51)*1+ISERROR($E$51)*1+ISERROR($G$51)*1+ISERROR($J$51)*1</f>
        <v/>
      </c>
    </row>
    <row r="52" ht="60" customHeight="1">
      <c r="A52" s="35" t="n"/>
      <c r="B52" s="36" t="n"/>
      <c r="C52" s="23">
        <f>IF(LEN($AD$52)=0,"",IF(ISNUMBER($AD$52),IFERROR(INDEX('Dados'!$B$913:$B$919,MATCH($AD$52,'Dados'!$A$913:$A$919,0)),""),""))</f>
        <v/>
      </c>
      <c r="E52" s="29" t="n"/>
      <c r="F52" s="17" t="n"/>
      <c r="G52" s="29" t="n"/>
      <c r="H52" s="25" t="n"/>
      <c r="I52" s="17" t="n"/>
      <c r="J52" s="37" t="n"/>
      <c r="K52" s="27">
        <f>IF(AM52&gt;0,"O Google leu como fórmula: escolha de novo ou digite com ' na frente.",IF(LEN($AC$52)=0,IF(LEN($AD$52&amp;$AG$52&amp;$AI$52&amp;$AL$52)&gt;0,"Linha sem facção: preencha a facção",""),IF(COUNTIF($AC$47:$AC$58,$AC$52)&gt;1,"Facção repetida: use uma linha por facção (H17)",IF(AND(LEN($AD$52)&gt;0,LEN($C$52)=0),"Atitude fora de −3 a +3 (H17)",""))))</f>
        <v/>
      </c>
      <c r="AA52" s="2">
        <f>'Tabelas'!$X$62&amp;""</f>
        <v/>
      </c>
      <c r="AC52" s="2">
        <f>IF(ISERROR($A$52),"",IF(ISBLANK($A$52),"",$A$52))</f>
        <v/>
      </c>
      <c r="AD52" s="2">
        <f>IF(ISERROR($B$52),"",IF(ISBLANK($B$52),"",$B$52))</f>
        <v/>
      </c>
      <c r="AG52" s="2">
        <f>IF(ISERROR($E$52),"",IF(ISBLANK($E$52),"",$E$52))</f>
        <v/>
      </c>
      <c r="AI52" s="2">
        <f>IF(ISERROR($G$52),"",IF(ISBLANK($G$52),"",$G$52))</f>
        <v/>
      </c>
      <c r="AL52" s="2">
        <f>IF(ISERROR($J$52),"",IF(ISBLANK($J$52),"",$J$52))</f>
        <v/>
      </c>
      <c r="AM52" s="2">
        <f>ISERROR($A$52)*1+ISERROR($B$52)*1+ISERROR($E$52)*1+ISERROR($G$52)*1+ISERROR($J$52)*1</f>
        <v/>
      </c>
    </row>
    <row r="53" ht="60" customHeight="1">
      <c r="A53" s="33" t="n"/>
      <c r="B53" s="34" t="n"/>
      <c r="C53" s="18">
        <f>IF(LEN($AD$53)=0,"",IF(ISNUMBER($AD$53),IFERROR(INDEX('Dados'!$B$913:$B$919,MATCH($AD$53,'Dados'!$A$913:$A$919,0)),""),""))</f>
        <v/>
      </c>
      <c r="E53" s="4" t="n"/>
      <c r="F53" s="17" t="n"/>
      <c r="G53" s="4" t="n"/>
      <c r="H53" s="25" t="n"/>
      <c r="I53" s="17" t="n"/>
      <c r="J53" s="16" t="n"/>
      <c r="K53" s="19">
        <f>IF(AM53&gt;0,"O Google leu como fórmula: escolha de novo ou digite com ' na frente.",IF(LEN($AC$53)=0,IF(LEN($AD$53&amp;$AG$53&amp;$AI$53&amp;$AL$53)&gt;0,"Linha sem facção: preencha a facção",""),IF(COUNTIF($AC$47:$AC$58,$AC$53)&gt;1,"Facção repetida: use uma linha por facção (H17)",IF(AND(LEN($AD$53)&gt;0,LEN($C$53)=0),"Atitude fora de −3 a +3 (H17)",""))))</f>
        <v/>
      </c>
      <c r="AA53" s="2">
        <f>'Tabelas'!$X$63&amp;""</f>
        <v/>
      </c>
      <c r="AC53" s="2">
        <f>IF(ISERROR($A$53),"",IF(ISBLANK($A$53),"",$A$53))</f>
        <v/>
      </c>
      <c r="AD53" s="2">
        <f>IF(ISERROR($B$53),"",IF(ISBLANK($B$53),"",$B$53))</f>
        <v/>
      </c>
      <c r="AG53" s="2">
        <f>IF(ISERROR($E$53),"",IF(ISBLANK($E$53),"",$E$53))</f>
        <v/>
      </c>
      <c r="AI53" s="2">
        <f>IF(ISERROR($G$53),"",IF(ISBLANK($G$53),"",$G$53))</f>
        <v/>
      </c>
      <c r="AL53" s="2">
        <f>IF(ISERROR($J$53),"",IF(ISBLANK($J$53),"",$J$53))</f>
        <v/>
      </c>
      <c r="AM53" s="2">
        <f>ISERROR($A$53)*1+ISERROR($B$53)*1+ISERROR($E$53)*1+ISERROR($G$53)*1+ISERROR($J$53)*1</f>
        <v/>
      </c>
    </row>
    <row r="54" ht="60" customHeight="1">
      <c r="A54" s="35" t="n"/>
      <c r="B54" s="36" t="n"/>
      <c r="C54" s="23">
        <f>IF(LEN($AD$54)=0,"",IF(ISNUMBER($AD$54),IFERROR(INDEX('Dados'!$B$913:$B$919,MATCH($AD$54,'Dados'!$A$913:$A$919,0)),""),""))</f>
        <v/>
      </c>
      <c r="E54" s="29" t="n"/>
      <c r="F54" s="17" t="n"/>
      <c r="G54" s="29" t="n"/>
      <c r="H54" s="25" t="n"/>
      <c r="I54" s="17" t="n"/>
      <c r="J54" s="37" t="n"/>
      <c r="K54" s="27">
        <f>IF(AM54&gt;0,"O Google leu como fórmula: escolha de novo ou digite com ' na frente.",IF(LEN($AC$54)=0,IF(LEN($AD$54&amp;$AG$54&amp;$AI$54&amp;$AL$54)&gt;0,"Linha sem facção: preencha a facção",""),IF(COUNTIF($AC$47:$AC$58,$AC$54)&gt;1,"Facção repetida: use uma linha por facção (H17)",IF(AND(LEN($AD$54)&gt;0,LEN($C$54)=0),"Atitude fora de −3 a +3 (H17)",""))))</f>
        <v/>
      </c>
      <c r="AA54" s="2">
        <f>'Tabelas'!$X$64&amp;""</f>
        <v/>
      </c>
      <c r="AC54" s="2">
        <f>IF(ISERROR($A$54),"",IF(ISBLANK($A$54),"",$A$54))</f>
        <v/>
      </c>
      <c r="AD54" s="2">
        <f>IF(ISERROR($B$54),"",IF(ISBLANK($B$54),"",$B$54))</f>
        <v/>
      </c>
      <c r="AG54" s="2">
        <f>IF(ISERROR($E$54),"",IF(ISBLANK($E$54),"",$E$54))</f>
        <v/>
      </c>
      <c r="AI54" s="2">
        <f>IF(ISERROR($G$54),"",IF(ISBLANK($G$54),"",$G$54))</f>
        <v/>
      </c>
      <c r="AL54" s="2">
        <f>IF(ISERROR($J$54),"",IF(ISBLANK($J$54),"",$J$54))</f>
        <v/>
      </c>
      <c r="AM54" s="2">
        <f>ISERROR($A$54)*1+ISERROR($B$54)*1+ISERROR($E$54)*1+ISERROR($G$54)*1+ISERROR($J$54)*1</f>
        <v/>
      </c>
    </row>
    <row r="55" ht="60" customHeight="1">
      <c r="A55" s="33" t="n"/>
      <c r="B55" s="34" t="n"/>
      <c r="C55" s="18">
        <f>IF(LEN($AD$55)=0,"",IF(ISNUMBER($AD$55),IFERROR(INDEX('Dados'!$B$913:$B$919,MATCH($AD$55,'Dados'!$A$913:$A$919,0)),""),""))</f>
        <v/>
      </c>
      <c r="E55" s="4" t="n"/>
      <c r="F55" s="17" t="n"/>
      <c r="G55" s="4" t="n"/>
      <c r="H55" s="25" t="n"/>
      <c r="I55" s="17" t="n"/>
      <c r="J55" s="16" t="n"/>
      <c r="K55" s="19">
        <f>IF(AM55&gt;0,"O Google leu como fórmula: escolha de novo ou digite com ' na frente.",IF(LEN($AC$55)=0,IF(LEN($AD$55&amp;$AG$55&amp;$AI$55&amp;$AL$55)&gt;0,"Linha sem facção: preencha a facção",""),IF(COUNTIF($AC$47:$AC$58,$AC$55)&gt;1,"Facção repetida: use uma linha por facção (H17)",IF(AND(LEN($AD$55)&gt;0,LEN($C$55)=0),"Atitude fora de −3 a +3 (H17)",""))))</f>
        <v/>
      </c>
      <c r="AA55" s="2">
        <f>'Tabelas'!$X$65&amp;""</f>
        <v/>
      </c>
      <c r="AC55" s="2">
        <f>IF(ISERROR($A$55),"",IF(ISBLANK($A$55),"",$A$55))</f>
        <v/>
      </c>
      <c r="AD55" s="2">
        <f>IF(ISERROR($B$55),"",IF(ISBLANK($B$55),"",$B$55))</f>
        <v/>
      </c>
      <c r="AG55" s="2">
        <f>IF(ISERROR($E$55),"",IF(ISBLANK($E$55),"",$E$55))</f>
        <v/>
      </c>
      <c r="AI55" s="2">
        <f>IF(ISERROR($G$55),"",IF(ISBLANK($G$55),"",$G$55))</f>
        <v/>
      </c>
      <c r="AL55" s="2">
        <f>IF(ISERROR($J$55),"",IF(ISBLANK($J$55),"",$J$55))</f>
        <v/>
      </c>
      <c r="AM55" s="2">
        <f>ISERROR($A$55)*1+ISERROR($B$55)*1+ISERROR($E$55)*1+ISERROR($G$55)*1+ISERROR($J$55)*1</f>
        <v/>
      </c>
    </row>
    <row r="56" ht="60" customHeight="1">
      <c r="A56" s="35" t="n"/>
      <c r="B56" s="36" t="n"/>
      <c r="C56" s="23">
        <f>IF(LEN($AD$56)=0,"",IF(ISNUMBER($AD$56),IFERROR(INDEX('Dados'!$B$913:$B$919,MATCH($AD$56,'Dados'!$A$913:$A$919,0)),""),""))</f>
        <v/>
      </c>
      <c r="E56" s="29" t="n"/>
      <c r="F56" s="17" t="n"/>
      <c r="G56" s="29" t="n"/>
      <c r="H56" s="25" t="n"/>
      <c r="I56" s="17" t="n"/>
      <c r="J56" s="37" t="n"/>
      <c r="K56" s="27">
        <f>IF(AM56&gt;0,"O Google leu como fórmula: escolha de novo ou digite com ' na frente.",IF(LEN($AC$56)=0,IF(LEN($AD$56&amp;$AG$56&amp;$AI$56&amp;$AL$56)&gt;0,"Linha sem facção: preencha a facção",""),IF(COUNTIF($AC$47:$AC$58,$AC$56)&gt;1,"Facção repetida: use uma linha por facção (H17)",IF(AND(LEN($AD$56)&gt;0,LEN($C$56)=0),"Atitude fora de −3 a +3 (H17)",""))))</f>
        <v/>
      </c>
      <c r="AA56" s="2">
        <f>'Tabelas'!$X$66&amp;""</f>
        <v/>
      </c>
      <c r="AC56" s="2">
        <f>IF(ISERROR($A$56),"",IF(ISBLANK($A$56),"",$A$56))</f>
        <v/>
      </c>
      <c r="AD56" s="2">
        <f>IF(ISERROR($B$56),"",IF(ISBLANK($B$56),"",$B$56))</f>
        <v/>
      </c>
      <c r="AG56" s="2">
        <f>IF(ISERROR($E$56),"",IF(ISBLANK($E$56),"",$E$56))</f>
        <v/>
      </c>
      <c r="AI56" s="2">
        <f>IF(ISERROR($G$56),"",IF(ISBLANK($G$56),"",$G$56))</f>
        <v/>
      </c>
      <c r="AL56" s="2">
        <f>IF(ISERROR($J$56),"",IF(ISBLANK($J$56),"",$J$56))</f>
        <v/>
      </c>
      <c r="AM56" s="2">
        <f>ISERROR($A$56)*1+ISERROR($B$56)*1+ISERROR($E$56)*1+ISERROR($G$56)*1+ISERROR($J$56)*1</f>
        <v/>
      </c>
    </row>
    <row r="57" ht="60" customHeight="1">
      <c r="A57" s="33" t="n"/>
      <c r="B57" s="34" t="n"/>
      <c r="C57" s="18">
        <f>IF(LEN($AD$57)=0,"",IF(ISNUMBER($AD$57),IFERROR(INDEX('Dados'!$B$913:$B$919,MATCH($AD$57,'Dados'!$A$913:$A$919,0)),""),""))</f>
        <v/>
      </c>
      <c r="E57" s="4" t="n"/>
      <c r="F57" s="17" t="n"/>
      <c r="G57" s="4" t="n"/>
      <c r="H57" s="25" t="n"/>
      <c r="I57" s="17" t="n"/>
      <c r="J57" s="16" t="n"/>
      <c r="K57" s="19">
        <f>IF(AM57&gt;0,"O Google leu como fórmula: escolha de novo ou digite com ' na frente.",IF(LEN($AC$57)=0,IF(LEN($AD$57&amp;$AG$57&amp;$AI$57&amp;$AL$57)&gt;0,"Linha sem facção: preencha a facção",""),IF(COUNTIF($AC$47:$AC$58,$AC$57)&gt;1,"Facção repetida: use uma linha por facção (H17)",IF(AND(LEN($AD$57)&gt;0,LEN($C$57)=0),"Atitude fora de −3 a +3 (H17)",""))))</f>
        <v/>
      </c>
      <c r="AA57" s="2">
        <f>'Tabelas'!$X$68&amp;""</f>
        <v/>
      </c>
      <c r="AC57" s="2">
        <f>IF(ISERROR($A$57),"",IF(ISBLANK($A$57),"",$A$57))</f>
        <v/>
      </c>
      <c r="AD57" s="2">
        <f>IF(ISERROR($B$57),"",IF(ISBLANK($B$57),"",$B$57))</f>
        <v/>
      </c>
      <c r="AG57" s="2">
        <f>IF(ISERROR($E$57),"",IF(ISBLANK($E$57),"",$E$57))</f>
        <v/>
      </c>
      <c r="AI57" s="2">
        <f>IF(ISERROR($G$57),"",IF(ISBLANK($G$57),"",$G$57))</f>
        <v/>
      </c>
      <c r="AL57" s="2">
        <f>IF(ISERROR($J$57),"",IF(ISBLANK($J$57),"",$J$57))</f>
        <v/>
      </c>
      <c r="AM57" s="2">
        <f>ISERROR($A$57)*1+ISERROR($B$57)*1+ISERROR($E$57)*1+ISERROR($G$57)*1+ISERROR($J$57)*1</f>
        <v/>
      </c>
    </row>
    <row r="58" ht="60" customHeight="1">
      <c r="A58" s="35" t="n"/>
      <c r="B58" s="36" t="n"/>
      <c r="C58" s="23">
        <f>IF(LEN($AD$58)=0,"",IF(ISNUMBER($AD$58),IFERROR(INDEX('Dados'!$B$913:$B$919,MATCH($AD$58,'Dados'!$A$913:$A$919,0)),""),""))</f>
        <v/>
      </c>
      <c r="E58" s="29" t="n"/>
      <c r="F58" s="17" t="n"/>
      <c r="G58" s="29" t="n"/>
      <c r="H58" s="25" t="n"/>
      <c r="I58" s="17" t="n"/>
      <c r="J58" s="37" t="n"/>
      <c r="K58" s="27">
        <f>IF(AM58&gt;0,"O Google leu como fórmula: escolha de novo ou digite com ' na frente.",IF(LEN($AC$58)=0,IF(LEN($AD$58&amp;$AG$58&amp;$AI$58&amp;$AL$58)&gt;0,"Linha sem facção: preencha a facção",""),IF(COUNTIF($AC$47:$AC$58,$AC$58)&gt;1,"Facção repetida: use uma linha por facção (H17)",IF(AND(LEN($AD$58)&gt;0,LEN($C$58)=0),"Atitude fora de −3 a +3 (H17)",""))))</f>
        <v/>
      </c>
      <c r="AA58" s="2">
        <f>'Tabelas'!$X$69&amp;""</f>
        <v/>
      </c>
      <c r="AC58" s="2">
        <f>IF(ISERROR($A$58),"",IF(ISBLANK($A$58),"",$A$58))</f>
        <v/>
      </c>
      <c r="AD58" s="2">
        <f>IF(ISERROR($B$58),"",IF(ISBLANK($B$58),"",$B$58))</f>
        <v/>
      </c>
      <c r="AG58" s="2">
        <f>IF(ISERROR($E$58),"",IF(ISBLANK($E$58),"",$E$58))</f>
        <v/>
      </c>
      <c r="AI58" s="2">
        <f>IF(ISERROR($G$58),"",IF(ISBLANK($G$58),"",$G$58))</f>
        <v/>
      </c>
      <c r="AL58" s="2">
        <f>IF(ISERROR($J$58),"",IF(ISBLANK($J$58),"",$J$58))</f>
        <v/>
      </c>
      <c r="AM58" s="2">
        <f>ISERROR($A$58)*1+ISERROR($B$58)*1+ISERROR($E$58)*1+ISERROR($G$58)*1+ISERROR($J$58)*1</f>
        <v/>
      </c>
    </row>
    <row r="59">
      <c r="AA59" s="2">
        <f>'Tabelas'!$X$70&amp;""</f>
        <v/>
      </c>
    </row>
    <row r="60" ht="26" customHeight="1">
      <c r="A60" s="13" t="inlineStr">
        <is>
          <t>Relógios de progresso (10 linhas): 4, 6, 8, 10 ou 12 segmentos</t>
        </is>
      </c>
      <c r="K60" s="12" t="inlineStr">
        <is>
          <t>Sugestão da planilha — não é regra do livro (H16)</t>
        </is>
      </c>
      <c r="AA60" s="2">
        <f>'Tabelas'!$X$71&amp;""</f>
        <v/>
      </c>
    </row>
    <row r="61">
      <c r="A61" s="8" t="inlineStr">
        <is>
          <t>Relógio (preencha)</t>
        </is>
      </c>
      <c r="B61" s="8" t="inlineStr">
        <is>
          <t>Segmentos</t>
        </is>
      </c>
      <c r="C61" s="8" t="inlineStr">
        <is>
          <t>Preenchidos</t>
        </is>
      </c>
      <c r="D61" s="8" t="inlineStr">
        <is>
          <t>Barra (automático)</t>
        </is>
      </c>
      <c r="E61" s="20" t="n"/>
      <c r="F61" s="20" t="n"/>
      <c r="G61" s="8" t="inlineStr">
        <is>
          <t>Situação (automático)</t>
        </is>
      </c>
      <c r="H61" s="20" t="n"/>
      <c r="I61" s="8" t="inlineStr">
        <is>
          <t>O que acontece ao encher</t>
        </is>
      </c>
      <c r="J61" s="20" t="n"/>
      <c r="K61" s="8" t="inlineStr">
        <is>
          <t>Aviso</t>
        </is>
      </c>
      <c r="L61" s="20" t="n"/>
      <c r="AA61" s="2">
        <f>'Tabelas'!$X$72&amp;""</f>
        <v/>
      </c>
    </row>
    <row r="62" ht="93" customHeight="1">
      <c r="A62" s="33" t="n"/>
      <c r="B62" s="34" t="n"/>
      <c r="C62" s="16" t="n"/>
      <c r="D62" s="18">
        <f>IF($P$62=1,REPT("●",$O$62)&amp;REPT("○",$AD$62-$O$62)&amp;" "&amp;$O$62&amp;"/"&amp;$AD$62,"")</f>
        <v/>
      </c>
      <c r="G62" s="18">
        <f>IF($P$62=1,IF($O$62=$AD$62,"Cheio — aconteceu",IF($O$62=$AD$62-1,"Falta 1","")),"")</f>
        <v/>
      </c>
      <c r="I62" s="4" t="n"/>
      <c r="J62" s="17" t="n"/>
      <c r="K62" s="19">
        <f>IF(AM62&gt;0,"O Google leu como fórmula: escolha de novo ou digite com ' na frente.",IF(LEN($AC$62&amp;$AD$62&amp;$AE$62)=0,"",IF($N$62=0,IF(LEN($AD$62)=0,"Escolha os segmentos: 4, 6, 8, 10 ou 12 (H16)","Segmentos fora de 4, 6, 8, 10 ou 12 (H16)"),IF(NOT(ISNUMBER($O$62)),"Preenchidos não é número (H16)",IF(OR($O$62&lt;0,INT($O$62)&lt;&gt;$O$62),"Preenchidos fora de 0 a "&amp;$AD$62&amp;" (H16)",IF($O$62&gt;$AD$62,"Preenchidos acima dos segmentos: confira (H16)",""))))))</f>
        <v/>
      </c>
      <c r="N62" s="2">
        <f>IF(ISNUMBER($AD$62),IF(OR($AD$62=4,$AD$62=6,$AD$62=8,$AD$62=10,$AD$62=12),1,0),0)</f>
        <v/>
      </c>
      <c r="O62" s="2">
        <f>IF(LEN($AE$62)=0,0,$AE$62)</f>
        <v/>
      </c>
      <c r="P62" s="2">
        <f>IF($N$62=1,IF(ISNUMBER($O$62),IF(AND($O$62&gt;=0,INT($O$62)=$O$62,$O$62&lt;=$AD$62),1,0),0),0)</f>
        <v/>
      </c>
      <c r="AA62" s="2">
        <f>'Tabelas'!$X$73&amp;""</f>
        <v/>
      </c>
      <c r="AC62" s="2">
        <f>IF(ISERROR($A$62),"",IF(ISBLANK($A$62),"",$A$62))</f>
        <v/>
      </c>
      <c r="AD62" s="2">
        <f>IF(ISERROR($B$62),"",IF(ISBLANK($B$62),"",$B$62))</f>
        <v/>
      </c>
      <c r="AE62" s="2">
        <f>IF(ISERROR($C$62),"",IF(ISBLANK($C$62),"",$C$62))</f>
        <v/>
      </c>
      <c r="AM62" s="2">
        <f>ISERROR($A$62)*1+ISERROR($B$62)*1+ISERROR($C$62)*1+ISERROR($I$62)*1</f>
        <v/>
      </c>
    </row>
    <row r="63" ht="93" customHeight="1">
      <c r="A63" s="35" t="n"/>
      <c r="B63" s="36" t="n"/>
      <c r="C63" s="37" t="n"/>
      <c r="D63" s="23">
        <f>IF($P$63=1,REPT("●",$O$63)&amp;REPT("○",$AD$63-$O$63)&amp;" "&amp;$O$63&amp;"/"&amp;$AD$63,"")</f>
        <v/>
      </c>
      <c r="G63" s="23">
        <f>IF($P$63=1,IF($O$63=$AD$63,"Cheio — aconteceu",IF($O$63=$AD$63-1,"Falta 1","")),"")</f>
        <v/>
      </c>
      <c r="I63" s="29" t="n"/>
      <c r="J63" s="17" t="n"/>
      <c r="K63" s="27">
        <f>IF(AM63&gt;0,"O Google leu como fórmula: escolha de novo ou digite com ' na frente.",IF(LEN($AC$63&amp;$AD$63&amp;$AE$63)=0,"",IF($N$63=0,IF(LEN($AD$63)=0,"Escolha os segmentos: 4, 6, 8, 10 ou 12 (H16)","Segmentos fora de 4, 6, 8, 10 ou 12 (H16)"),IF(NOT(ISNUMBER($O$63)),"Preenchidos não é número (H16)",IF(OR($O$63&lt;0,INT($O$63)&lt;&gt;$O$63),"Preenchidos fora de 0 a "&amp;$AD$63&amp;" (H16)",IF($O$63&gt;$AD$63,"Preenchidos acima dos segmentos: confira (H16)",""))))))</f>
        <v/>
      </c>
      <c r="N63" s="2">
        <f>IF(ISNUMBER($AD$63),IF(OR($AD$63=4,$AD$63=6,$AD$63=8,$AD$63=10,$AD$63=12),1,0),0)</f>
        <v/>
      </c>
      <c r="O63" s="2">
        <f>IF(LEN($AE$63)=0,0,$AE$63)</f>
        <v/>
      </c>
      <c r="P63" s="2">
        <f>IF($N$63=1,IF(ISNUMBER($O$63),IF(AND($O$63&gt;=0,INT($O$63)=$O$63,$O$63&lt;=$AD$63),1,0),0),0)</f>
        <v/>
      </c>
      <c r="AA63" s="2">
        <f>'Tabelas'!$X$74&amp;""</f>
        <v/>
      </c>
      <c r="AC63" s="2">
        <f>IF(ISERROR($A$63),"",IF(ISBLANK($A$63),"",$A$63))</f>
        <v/>
      </c>
      <c r="AD63" s="2">
        <f>IF(ISERROR($B$63),"",IF(ISBLANK($B$63),"",$B$63))</f>
        <v/>
      </c>
      <c r="AE63" s="2">
        <f>IF(ISERROR($C$63),"",IF(ISBLANK($C$63),"",$C$63))</f>
        <v/>
      </c>
      <c r="AM63" s="2">
        <f>ISERROR($A$63)*1+ISERROR($B$63)*1+ISERROR($C$63)*1+ISERROR($I$63)*1</f>
        <v/>
      </c>
    </row>
    <row r="64" ht="93" customHeight="1">
      <c r="A64" s="33" t="n"/>
      <c r="B64" s="34" t="n"/>
      <c r="C64" s="16" t="n"/>
      <c r="D64" s="18">
        <f>IF($P$64=1,REPT("●",$O$64)&amp;REPT("○",$AD$64-$O$64)&amp;" "&amp;$O$64&amp;"/"&amp;$AD$64,"")</f>
        <v/>
      </c>
      <c r="G64" s="18">
        <f>IF($P$64=1,IF($O$64=$AD$64,"Cheio — aconteceu",IF($O$64=$AD$64-1,"Falta 1","")),"")</f>
        <v/>
      </c>
      <c r="I64" s="4" t="n"/>
      <c r="J64" s="17" t="n"/>
      <c r="K64" s="19">
        <f>IF(AM64&gt;0,"O Google leu como fórmula: escolha de novo ou digite com ' na frente.",IF(LEN($AC$64&amp;$AD$64&amp;$AE$64)=0,"",IF($N$64=0,IF(LEN($AD$64)=0,"Escolha os segmentos: 4, 6, 8, 10 ou 12 (H16)","Segmentos fora de 4, 6, 8, 10 ou 12 (H16)"),IF(NOT(ISNUMBER($O$64)),"Preenchidos não é número (H16)",IF(OR($O$64&lt;0,INT($O$64)&lt;&gt;$O$64),"Preenchidos fora de 0 a "&amp;$AD$64&amp;" (H16)",IF($O$64&gt;$AD$64,"Preenchidos acima dos segmentos: confira (H16)",""))))))</f>
        <v/>
      </c>
      <c r="N64" s="2">
        <f>IF(ISNUMBER($AD$64),IF(OR($AD$64=4,$AD$64=6,$AD$64=8,$AD$64=10,$AD$64=12),1,0),0)</f>
        <v/>
      </c>
      <c r="O64" s="2">
        <f>IF(LEN($AE$64)=0,0,$AE$64)</f>
        <v/>
      </c>
      <c r="P64" s="2">
        <f>IF($N$64=1,IF(ISNUMBER($O$64),IF(AND($O$64&gt;=0,INT($O$64)=$O$64,$O$64&lt;=$AD$64),1,0),0),0)</f>
        <v/>
      </c>
      <c r="AA64" s="2">
        <f>'Tabelas'!$X$75&amp;""</f>
        <v/>
      </c>
      <c r="AC64" s="2">
        <f>IF(ISERROR($A$64),"",IF(ISBLANK($A$64),"",$A$64))</f>
        <v/>
      </c>
      <c r="AD64" s="2">
        <f>IF(ISERROR($B$64),"",IF(ISBLANK($B$64),"",$B$64))</f>
        <v/>
      </c>
      <c r="AE64" s="2">
        <f>IF(ISERROR($C$64),"",IF(ISBLANK($C$64),"",$C$64))</f>
        <v/>
      </c>
      <c r="AM64" s="2">
        <f>ISERROR($A$64)*1+ISERROR($B$64)*1+ISERROR($C$64)*1+ISERROR($I$64)*1</f>
        <v/>
      </c>
    </row>
    <row r="65" ht="93" customHeight="1">
      <c r="A65" s="35" t="n"/>
      <c r="B65" s="36" t="n"/>
      <c r="C65" s="37" t="n"/>
      <c r="D65" s="23">
        <f>IF($P$65=1,REPT("●",$O$65)&amp;REPT("○",$AD$65-$O$65)&amp;" "&amp;$O$65&amp;"/"&amp;$AD$65,"")</f>
        <v/>
      </c>
      <c r="G65" s="23">
        <f>IF($P$65=1,IF($O$65=$AD$65,"Cheio — aconteceu",IF($O$65=$AD$65-1,"Falta 1","")),"")</f>
        <v/>
      </c>
      <c r="I65" s="29" t="n"/>
      <c r="J65" s="17" t="n"/>
      <c r="K65" s="27">
        <f>IF(AM65&gt;0,"O Google leu como fórmula: escolha de novo ou digite com ' na frente.",IF(LEN($AC$65&amp;$AD$65&amp;$AE$65)=0,"",IF($N$65=0,IF(LEN($AD$65)=0,"Escolha os segmentos: 4, 6, 8, 10 ou 12 (H16)","Segmentos fora de 4, 6, 8, 10 ou 12 (H16)"),IF(NOT(ISNUMBER($O$65)),"Preenchidos não é número (H16)",IF(OR($O$65&lt;0,INT($O$65)&lt;&gt;$O$65),"Preenchidos fora de 0 a "&amp;$AD$65&amp;" (H16)",IF($O$65&gt;$AD$65,"Preenchidos acima dos segmentos: confira (H16)",""))))))</f>
        <v/>
      </c>
      <c r="N65" s="2">
        <f>IF(ISNUMBER($AD$65),IF(OR($AD$65=4,$AD$65=6,$AD$65=8,$AD$65=10,$AD$65=12),1,0),0)</f>
        <v/>
      </c>
      <c r="O65" s="2">
        <f>IF(LEN($AE$65)=0,0,$AE$65)</f>
        <v/>
      </c>
      <c r="P65" s="2">
        <f>IF($N$65=1,IF(ISNUMBER($O$65),IF(AND($O$65&gt;=0,INT($O$65)=$O$65,$O$65&lt;=$AD$65),1,0),0),0)</f>
        <v/>
      </c>
      <c r="AA65" s="2">
        <f>'Tabelas'!$X$76&amp;""</f>
        <v/>
      </c>
      <c r="AC65" s="2">
        <f>IF(ISERROR($A$65),"",IF(ISBLANK($A$65),"",$A$65))</f>
        <v/>
      </c>
      <c r="AD65" s="2">
        <f>IF(ISERROR($B$65),"",IF(ISBLANK($B$65),"",$B$65))</f>
        <v/>
      </c>
      <c r="AE65" s="2">
        <f>IF(ISERROR($C$65),"",IF(ISBLANK($C$65),"",$C$65))</f>
        <v/>
      </c>
      <c r="AM65" s="2">
        <f>ISERROR($A$65)*1+ISERROR($B$65)*1+ISERROR($C$65)*1+ISERROR($I$65)*1</f>
        <v/>
      </c>
    </row>
    <row r="66" ht="93" customHeight="1">
      <c r="A66" s="33" t="n"/>
      <c r="B66" s="34" t="n"/>
      <c r="C66" s="16" t="n"/>
      <c r="D66" s="18">
        <f>IF($P$66=1,REPT("●",$O$66)&amp;REPT("○",$AD$66-$O$66)&amp;" "&amp;$O$66&amp;"/"&amp;$AD$66,"")</f>
        <v/>
      </c>
      <c r="G66" s="18">
        <f>IF($P$66=1,IF($O$66=$AD$66,"Cheio — aconteceu",IF($O$66=$AD$66-1,"Falta 1","")),"")</f>
        <v/>
      </c>
      <c r="I66" s="4" t="n"/>
      <c r="J66" s="17" t="n"/>
      <c r="K66" s="19">
        <f>IF(AM66&gt;0,"O Google leu como fórmula: escolha de novo ou digite com ' na frente.",IF(LEN($AC$66&amp;$AD$66&amp;$AE$66)=0,"",IF($N$66=0,IF(LEN($AD$66)=0,"Escolha os segmentos: 4, 6, 8, 10 ou 12 (H16)","Segmentos fora de 4, 6, 8, 10 ou 12 (H16)"),IF(NOT(ISNUMBER($O$66)),"Preenchidos não é número (H16)",IF(OR($O$66&lt;0,INT($O$66)&lt;&gt;$O$66),"Preenchidos fora de 0 a "&amp;$AD$66&amp;" (H16)",IF($O$66&gt;$AD$66,"Preenchidos acima dos segmentos: confira (H16)",""))))))</f>
        <v/>
      </c>
      <c r="N66" s="2">
        <f>IF(ISNUMBER($AD$66),IF(OR($AD$66=4,$AD$66=6,$AD$66=8,$AD$66=10,$AD$66=12),1,0),0)</f>
        <v/>
      </c>
      <c r="O66" s="2">
        <f>IF(LEN($AE$66)=0,0,$AE$66)</f>
        <v/>
      </c>
      <c r="P66" s="2">
        <f>IF($N$66=1,IF(ISNUMBER($O$66),IF(AND($O$66&gt;=0,INT($O$66)=$O$66,$O$66&lt;=$AD$66),1,0),0),0)</f>
        <v/>
      </c>
      <c r="AA66" s="2">
        <f>'Tabelas'!$X$77&amp;""</f>
        <v/>
      </c>
      <c r="AC66" s="2">
        <f>IF(ISERROR($A$66),"",IF(ISBLANK($A$66),"",$A$66))</f>
        <v/>
      </c>
      <c r="AD66" s="2">
        <f>IF(ISERROR($B$66),"",IF(ISBLANK($B$66),"",$B$66))</f>
        <v/>
      </c>
      <c r="AE66" s="2">
        <f>IF(ISERROR($C$66),"",IF(ISBLANK($C$66),"",$C$66))</f>
        <v/>
      </c>
      <c r="AM66" s="2">
        <f>ISERROR($A$66)*1+ISERROR($B$66)*1+ISERROR($C$66)*1+ISERROR($I$66)*1</f>
        <v/>
      </c>
    </row>
    <row r="67" ht="93" customHeight="1">
      <c r="A67" s="35" t="n"/>
      <c r="B67" s="36" t="n"/>
      <c r="C67" s="37" t="n"/>
      <c r="D67" s="23">
        <f>IF($P$67=1,REPT("●",$O$67)&amp;REPT("○",$AD$67-$O$67)&amp;" "&amp;$O$67&amp;"/"&amp;$AD$67,"")</f>
        <v/>
      </c>
      <c r="G67" s="23">
        <f>IF($P$67=1,IF($O$67=$AD$67,"Cheio — aconteceu",IF($O$67=$AD$67-1,"Falta 1","")),"")</f>
        <v/>
      </c>
      <c r="I67" s="29" t="n"/>
      <c r="J67" s="17" t="n"/>
      <c r="K67" s="27">
        <f>IF(AM67&gt;0,"O Google leu como fórmula: escolha de novo ou digite com ' na frente.",IF(LEN($AC$67&amp;$AD$67&amp;$AE$67)=0,"",IF($N$67=0,IF(LEN($AD$67)=0,"Escolha os segmentos: 4, 6, 8, 10 ou 12 (H16)","Segmentos fora de 4, 6, 8, 10 ou 12 (H16)"),IF(NOT(ISNUMBER($O$67)),"Preenchidos não é número (H16)",IF(OR($O$67&lt;0,INT($O$67)&lt;&gt;$O$67),"Preenchidos fora de 0 a "&amp;$AD$67&amp;" (H16)",IF($O$67&gt;$AD$67,"Preenchidos acima dos segmentos: confira (H16)",""))))))</f>
        <v/>
      </c>
      <c r="N67" s="2">
        <f>IF(ISNUMBER($AD$67),IF(OR($AD$67=4,$AD$67=6,$AD$67=8,$AD$67=10,$AD$67=12),1,0),0)</f>
        <v/>
      </c>
      <c r="O67" s="2">
        <f>IF(LEN($AE$67)=0,0,$AE$67)</f>
        <v/>
      </c>
      <c r="P67" s="2">
        <f>IF($N$67=1,IF(ISNUMBER($O$67),IF(AND($O$67&gt;=0,INT($O$67)=$O$67,$O$67&lt;=$AD$67),1,0),0),0)</f>
        <v/>
      </c>
      <c r="AA67" s="2">
        <f>'Tabelas'!$X$78&amp;""</f>
        <v/>
      </c>
      <c r="AC67" s="2">
        <f>IF(ISERROR($A$67),"",IF(ISBLANK($A$67),"",$A$67))</f>
        <v/>
      </c>
      <c r="AD67" s="2">
        <f>IF(ISERROR($B$67),"",IF(ISBLANK($B$67),"",$B$67))</f>
        <v/>
      </c>
      <c r="AE67" s="2">
        <f>IF(ISERROR($C$67),"",IF(ISBLANK($C$67),"",$C$67))</f>
        <v/>
      </c>
      <c r="AM67" s="2">
        <f>ISERROR($A$67)*1+ISERROR($B$67)*1+ISERROR($C$67)*1+ISERROR($I$67)*1</f>
        <v/>
      </c>
    </row>
    <row r="68" ht="93" customHeight="1">
      <c r="A68" s="33" t="n"/>
      <c r="B68" s="34" t="n"/>
      <c r="C68" s="16" t="n"/>
      <c r="D68" s="18">
        <f>IF($P$68=1,REPT("●",$O$68)&amp;REPT("○",$AD$68-$O$68)&amp;" "&amp;$O$68&amp;"/"&amp;$AD$68,"")</f>
        <v/>
      </c>
      <c r="G68" s="18">
        <f>IF($P$68=1,IF($O$68=$AD$68,"Cheio — aconteceu",IF($O$68=$AD$68-1,"Falta 1","")),"")</f>
        <v/>
      </c>
      <c r="I68" s="4" t="n"/>
      <c r="J68" s="17" t="n"/>
      <c r="K68" s="19">
        <f>IF(AM68&gt;0,"O Google leu como fórmula: escolha de novo ou digite com ' na frente.",IF(LEN($AC$68&amp;$AD$68&amp;$AE$68)=0,"",IF($N$68=0,IF(LEN($AD$68)=0,"Escolha os segmentos: 4, 6, 8, 10 ou 12 (H16)","Segmentos fora de 4, 6, 8, 10 ou 12 (H16)"),IF(NOT(ISNUMBER($O$68)),"Preenchidos não é número (H16)",IF(OR($O$68&lt;0,INT($O$68)&lt;&gt;$O$68),"Preenchidos fora de 0 a "&amp;$AD$68&amp;" (H16)",IF($O$68&gt;$AD$68,"Preenchidos acima dos segmentos: confira (H16)",""))))))</f>
        <v/>
      </c>
      <c r="N68" s="2">
        <f>IF(ISNUMBER($AD$68),IF(OR($AD$68=4,$AD$68=6,$AD$68=8,$AD$68=10,$AD$68=12),1,0),0)</f>
        <v/>
      </c>
      <c r="O68" s="2">
        <f>IF(LEN($AE$68)=0,0,$AE$68)</f>
        <v/>
      </c>
      <c r="P68" s="2">
        <f>IF($N$68=1,IF(ISNUMBER($O$68),IF(AND($O$68&gt;=0,INT($O$68)=$O$68,$O$68&lt;=$AD$68),1,0),0),0)</f>
        <v/>
      </c>
      <c r="AA68" s="2">
        <f>'Tabelas'!$X$79&amp;""</f>
        <v/>
      </c>
      <c r="AC68" s="2">
        <f>IF(ISERROR($A$68),"",IF(ISBLANK($A$68),"",$A$68))</f>
        <v/>
      </c>
      <c r="AD68" s="2">
        <f>IF(ISERROR($B$68),"",IF(ISBLANK($B$68),"",$B$68))</f>
        <v/>
      </c>
      <c r="AE68" s="2">
        <f>IF(ISERROR($C$68),"",IF(ISBLANK($C$68),"",$C$68))</f>
        <v/>
      </c>
      <c r="AM68" s="2">
        <f>ISERROR($A$68)*1+ISERROR($B$68)*1+ISERROR($C$68)*1+ISERROR($I$68)*1</f>
        <v/>
      </c>
    </row>
    <row r="69" ht="93" customHeight="1">
      <c r="A69" s="35" t="n"/>
      <c r="B69" s="36" t="n"/>
      <c r="C69" s="37" t="n"/>
      <c r="D69" s="23">
        <f>IF($P$69=1,REPT("●",$O$69)&amp;REPT("○",$AD$69-$O$69)&amp;" "&amp;$O$69&amp;"/"&amp;$AD$69,"")</f>
        <v/>
      </c>
      <c r="G69" s="23">
        <f>IF($P$69=1,IF($O$69=$AD$69,"Cheio — aconteceu",IF($O$69=$AD$69-1,"Falta 1","")),"")</f>
        <v/>
      </c>
      <c r="I69" s="29" t="n"/>
      <c r="J69" s="17" t="n"/>
      <c r="K69" s="27">
        <f>IF(AM69&gt;0,"O Google leu como fórmula: escolha de novo ou digite com ' na frente.",IF(LEN($AC$69&amp;$AD$69&amp;$AE$69)=0,"",IF($N$69=0,IF(LEN($AD$69)=0,"Escolha os segmentos: 4, 6, 8, 10 ou 12 (H16)","Segmentos fora de 4, 6, 8, 10 ou 12 (H16)"),IF(NOT(ISNUMBER($O$69)),"Preenchidos não é número (H16)",IF(OR($O$69&lt;0,INT($O$69)&lt;&gt;$O$69),"Preenchidos fora de 0 a "&amp;$AD$69&amp;" (H16)",IF($O$69&gt;$AD$69,"Preenchidos acima dos segmentos: confira (H16)",""))))))</f>
        <v/>
      </c>
      <c r="N69" s="2">
        <f>IF(ISNUMBER($AD$69),IF(OR($AD$69=4,$AD$69=6,$AD$69=8,$AD$69=10,$AD$69=12),1,0),0)</f>
        <v/>
      </c>
      <c r="O69" s="2">
        <f>IF(LEN($AE$69)=0,0,$AE$69)</f>
        <v/>
      </c>
      <c r="P69" s="2">
        <f>IF($N$69=1,IF(ISNUMBER($O$69),IF(AND($O$69&gt;=0,INT($O$69)=$O$69,$O$69&lt;=$AD$69),1,0),0),0)</f>
        <v/>
      </c>
      <c r="AA69" s="2">
        <f>'Tabelas'!$X$80&amp;""</f>
        <v/>
      </c>
      <c r="AC69" s="2">
        <f>IF(ISERROR($A$69),"",IF(ISBLANK($A$69),"",$A$69))</f>
        <v/>
      </c>
      <c r="AD69" s="2">
        <f>IF(ISERROR($B$69),"",IF(ISBLANK($B$69),"",$B$69))</f>
        <v/>
      </c>
      <c r="AE69" s="2">
        <f>IF(ISERROR($C$69),"",IF(ISBLANK($C$69),"",$C$69))</f>
        <v/>
      </c>
      <c r="AM69" s="2">
        <f>ISERROR($A$69)*1+ISERROR($B$69)*1+ISERROR($C$69)*1+ISERROR($I$69)*1</f>
        <v/>
      </c>
    </row>
    <row r="70" ht="93" customHeight="1">
      <c r="A70" s="33" t="n"/>
      <c r="B70" s="34" t="n"/>
      <c r="C70" s="16" t="n"/>
      <c r="D70" s="18">
        <f>IF($P$70=1,REPT("●",$O$70)&amp;REPT("○",$AD$70-$O$70)&amp;" "&amp;$O$70&amp;"/"&amp;$AD$70,"")</f>
        <v/>
      </c>
      <c r="G70" s="18">
        <f>IF($P$70=1,IF($O$70=$AD$70,"Cheio — aconteceu",IF($O$70=$AD$70-1,"Falta 1","")),"")</f>
        <v/>
      </c>
      <c r="I70" s="4" t="n"/>
      <c r="J70" s="17" t="n"/>
      <c r="K70" s="19">
        <f>IF(AM70&gt;0,"O Google leu como fórmula: escolha de novo ou digite com ' na frente.",IF(LEN($AC$70&amp;$AD$70&amp;$AE$70)=0,"",IF($N$70=0,IF(LEN($AD$70)=0,"Escolha os segmentos: 4, 6, 8, 10 ou 12 (H16)","Segmentos fora de 4, 6, 8, 10 ou 12 (H16)"),IF(NOT(ISNUMBER($O$70)),"Preenchidos não é número (H16)",IF(OR($O$70&lt;0,INT($O$70)&lt;&gt;$O$70),"Preenchidos fora de 0 a "&amp;$AD$70&amp;" (H16)",IF($O$70&gt;$AD$70,"Preenchidos acima dos segmentos: confira (H16)",""))))))</f>
        <v/>
      </c>
      <c r="N70" s="2">
        <f>IF(ISNUMBER($AD$70),IF(OR($AD$70=4,$AD$70=6,$AD$70=8,$AD$70=10,$AD$70=12),1,0),0)</f>
        <v/>
      </c>
      <c r="O70" s="2">
        <f>IF(LEN($AE$70)=0,0,$AE$70)</f>
        <v/>
      </c>
      <c r="P70" s="2">
        <f>IF($N$70=1,IF(ISNUMBER($O$70),IF(AND($O$70&gt;=0,INT($O$70)=$O$70,$O$70&lt;=$AD$70),1,0),0),0)</f>
        <v/>
      </c>
      <c r="AA70" s="2">
        <f>'Tabelas'!$X$82&amp;""</f>
        <v/>
      </c>
      <c r="AC70" s="2">
        <f>IF(ISERROR($A$70),"",IF(ISBLANK($A$70),"",$A$70))</f>
        <v/>
      </c>
      <c r="AD70" s="2">
        <f>IF(ISERROR($B$70),"",IF(ISBLANK($B$70),"",$B$70))</f>
        <v/>
      </c>
      <c r="AE70" s="2">
        <f>IF(ISERROR($C$70),"",IF(ISBLANK($C$70),"",$C$70))</f>
        <v/>
      </c>
      <c r="AM70" s="2">
        <f>ISERROR($A$70)*1+ISERROR($B$70)*1+ISERROR($C$70)*1+ISERROR($I$70)*1</f>
        <v/>
      </c>
    </row>
    <row r="71" ht="93" customHeight="1">
      <c r="A71" s="35" t="n"/>
      <c r="B71" s="36" t="n"/>
      <c r="C71" s="37" t="n"/>
      <c r="D71" s="23">
        <f>IF($P$71=1,REPT("●",$O$71)&amp;REPT("○",$AD$71-$O$71)&amp;" "&amp;$O$71&amp;"/"&amp;$AD$71,"")</f>
        <v/>
      </c>
      <c r="G71" s="23">
        <f>IF($P$71=1,IF($O$71=$AD$71,"Cheio — aconteceu",IF($O$71=$AD$71-1,"Falta 1","")),"")</f>
        <v/>
      </c>
      <c r="I71" s="29" t="n"/>
      <c r="J71" s="17" t="n"/>
      <c r="K71" s="27">
        <f>IF(AM71&gt;0,"O Google leu como fórmula: escolha de novo ou digite com ' na frente.",IF(LEN($AC$71&amp;$AD$71&amp;$AE$71)=0,"",IF($N$71=0,IF(LEN($AD$71)=0,"Escolha os segmentos: 4, 6, 8, 10 ou 12 (H16)","Segmentos fora de 4, 6, 8, 10 ou 12 (H16)"),IF(NOT(ISNUMBER($O$71)),"Preenchidos não é número (H16)",IF(OR($O$71&lt;0,INT($O$71)&lt;&gt;$O$71),"Preenchidos fora de 0 a "&amp;$AD$71&amp;" (H16)",IF($O$71&gt;$AD$71,"Preenchidos acima dos segmentos: confira (H16)",""))))))</f>
        <v/>
      </c>
      <c r="N71" s="2">
        <f>IF(ISNUMBER($AD$71),IF(OR($AD$71=4,$AD$71=6,$AD$71=8,$AD$71=10,$AD$71=12),1,0),0)</f>
        <v/>
      </c>
      <c r="O71" s="2">
        <f>IF(LEN($AE$71)=0,0,$AE$71)</f>
        <v/>
      </c>
      <c r="P71" s="2">
        <f>IF($N$71=1,IF(ISNUMBER($O$71),IF(AND($O$71&gt;=0,INT($O$71)=$O$71,$O$71&lt;=$AD$71),1,0),0),0)</f>
        <v/>
      </c>
      <c r="AA71" s="2">
        <f>'Tabelas'!$X$83&amp;""</f>
        <v/>
      </c>
      <c r="AC71" s="2">
        <f>IF(ISERROR($A$71),"",IF(ISBLANK($A$71),"",$A$71))</f>
        <v/>
      </c>
      <c r="AD71" s="2">
        <f>IF(ISERROR($B$71),"",IF(ISBLANK($B$71),"",$B$71))</f>
        <v/>
      </c>
      <c r="AE71" s="2">
        <f>IF(ISERROR($C$71),"",IF(ISBLANK($C$71),"",$C$71))</f>
        <v/>
      </c>
      <c r="AM71" s="2">
        <f>ISERROR($A$71)*1+ISERROR($B$71)*1+ISERROR($C$71)*1+ISERROR($I$71)*1</f>
        <v/>
      </c>
    </row>
    <row r="72">
      <c r="A72" s="31">
        <f>"Relógios a 1 segmento de encher: "&amp;COUNTIF($G$62:$G$71,"Falta 1")&amp;" · cheios: "&amp;COUNTIF($G$62:$G$71,"Cheio — aconteceu")&amp;". O livro pede relógio na ficção para o Descanso Longo (27.7): a nave parte ao amanhecer, o lacre não aguenta mais um dia."</f>
        <v/>
      </c>
      <c r="AA72" s="2">
        <f>'Tabelas'!$X$84&amp;""</f>
        <v/>
      </c>
    </row>
    <row r="73">
      <c r="AA73" s="2">
        <f>'Tabelas'!$X$85&amp;""</f>
        <v/>
      </c>
    </row>
    <row r="74" ht="20" customHeight="1">
      <c r="A74" s="13" t="inlineStr">
        <is>
          <t>Linha do tempo (30 eventos): a ordem e os próximos eventos são automáticos</t>
        </is>
      </c>
      <c r="AA74" s="2">
        <f>'Tabelas'!$X$86&amp;""</f>
        <v/>
      </c>
    </row>
    <row r="75" ht="37" customHeight="1">
      <c r="A75" s="8" t="inlineStr">
        <is>
          <t>Dia de campanha (preencha)</t>
        </is>
      </c>
      <c r="B75" s="8" t="inlineStr">
        <is>
          <t>Nº na ordem (automático)</t>
        </is>
      </c>
      <c r="C75" s="8" t="inlineStr">
        <is>
          <t>Sessão</t>
        </is>
      </c>
      <c r="D75" s="8" t="inlineStr">
        <is>
          <t>Evento</t>
        </is>
      </c>
      <c r="E75" s="20" t="n"/>
      <c r="F75" s="20" t="n"/>
      <c r="G75" s="8" t="inlineStr">
        <is>
          <t>Quem (facção ou NPC)</t>
        </is>
      </c>
      <c r="H75" s="8" t="inlineStr">
        <is>
          <t>Consequência</t>
        </is>
      </c>
      <c r="I75" s="20" t="n"/>
      <c r="J75" s="8" t="inlineStr">
        <is>
          <t>Público?</t>
        </is>
      </c>
      <c r="K75" s="8" t="inlineStr">
        <is>
          <t>Aviso</t>
        </is>
      </c>
      <c r="L75" s="20" t="n"/>
      <c r="AA75" s="2">
        <f>'Tabelas'!$X$87&amp;""</f>
        <v/>
      </c>
    </row>
    <row r="76" ht="105" customHeight="1">
      <c r="A76" s="38" t="n"/>
      <c r="B76" s="18">
        <f>IF(ISNUMBER($Q$76),COUNTIF($Q$76:$Q$107,"&lt;"&amp;$Q$76)+1,"")</f>
        <v/>
      </c>
      <c r="C76" s="16" t="n"/>
      <c r="D76" s="4" t="n"/>
      <c r="E76" s="25" t="n"/>
      <c r="F76" s="17" t="n"/>
      <c r="G76" s="4" t="n"/>
      <c r="H76" s="4" t="n"/>
      <c r="I76" s="17" t="n"/>
      <c r="J76" s="34" t="n"/>
      <c r="K76" s="19">
        <f>IF(AM76&gt;0,"O Google leu como fórmula: escolha de novo ou digite com ' na frente.",IF(LEN($AC$76)=0,IF(LEN($AF$76&amp;$AI$76&amp;$AJ$76&amp;$AE$76)&gt;0,"Sem dia: o evento fica fora da ordem",""),IF(ISNUMBER($Q$76),"","Dia fora de 1 a 9.999 (inteiro)")))</f>
        <v/>
      </c>
      <c r="Q76" s="2">
        <f>IF(ISNUMBER($AC$76),IF(AND($AC$76&gt;=1,$AC$76&lt;=9999,INT($AC$76)=$AC$76),$AC$76+1/100,""),"")</f>
        <v/>
      </c>
      <c r="R76" s="2">
        <f>IF(ISNUMBER($Q$76),IF(INT($Q$76)&gt;=$B$41,$Q$76,""),"")</f>
        <v/>
      </c>
      <c r="AA76" s="2">
        <f>'Tabelas'!$X$88&amp;""</f>
        <v/>
      </c>
      <c r="AC76" s="2">
        <f>IF(ISERROR($A$76),"",IF(ISBLANK($A$76),"",$A$76))</f>
        <v/>
      </c>
      <c r="AE76" s="2">
        <f>IF(ISERROR($C$76),"",IF(ISBLANK($C$76),"",$C$76))</f>
        <v/>
      </c>
      <c r="AF76" s="2">
        <f>IF(ISERROR($D$76),"",IF(ISBLANK($D$76),"",$D$76))</f>
        <v/>
      </c>
      <c r="AI76" s="2">
        <f>IF(ISERROR($G$76),"",IF(ISBLANK($G$76),"",$G$76))</f>
        <v/>
      </c>
      <c r="AJ76" s="2">
        <f>IF(ISERROR($H$76),"",IF(ISBLANK($H$76),"",$H$76))</f>
        <v/>
      </c>
      <c r="AL76" s="2">
        <f>IF(ISERROR($J$76),"",IF(ISBLANK($J$76),"",$J$76))</f>
        <v/>
      </c>
      <c r="AM76" s="2">
        <f>ISERROR($A$76)*1+ISERROR($C$76)*1+ISERROR($D$76)*1+ISERROR($G$76)*1+ISERROR($H$76)*1+ISERROR($J$76)*1</f>
        <v/>
      </c>
    </row>
    <row r="77" ht="93" customHeight="1">
      <c r="A77" s="39" t="n"/>
      <c r="B77" s="23">
        <f>IF(ISNUMBER($Q$77),COUNTIF($Q$76:$Q$107,"&lt;"&amp;$Q$77)+1,"")</f>
        <v/>
      </c>
      <c r="C77" s="37" t="n"/>
      <c r="D77" s="29" t="n"/>
      <c r="E77" s="25" t="n"/>
      <c r="F77" s="17" t="n"/>
      <c r="G77" s="29" t="n"/>
      <c r="H77" s="29" t="n"/>
      <c r="I77" s="17" t="n"/>
      <c r="J77" s="36" t="n"/>
      <c r="K77" s="27">
        <f>IF(AM77&gt;0,"O Google leu como fórmula: escolha de novo ou digite com ' na frente.",IF(LEN($AC$77)=0,IF(LEN($AF$77&amp;$AI$77&amp;$AJ$77&amp;$AE$77)&gt;0,"Sem dia: o evento fica fora da ordem",""),IF(ISNUMBER($Q$77),"","Dia fora de 1 a 9.999 (inteiro)")))</f>
        <v/>
      </c>
      <c r="Q77" s="2">
        <f>IF(ISNUMBER($AC$77),IF(AND($AC$77&gt;=1,$AC$77&lt;=9999,INT($AC$77)=$AC$77),$AC$77+2/100,""),"")</f>
        <v/>
      </c>
      <c r="R77" s="2">
        <f>IF(ISNUMBER($Q$77),IF(INT($Q$77)&gt;=$B$41,$Q$77,""),"")</f>
        <v/>
      </c>
      <c r="AA77" s="2">
        <f>'Tabelas'!$X$89&amp;""</f>
        <v/>
      </c>
      <c r="AC77" s="2">
        <f>IF(ISERROR($A$77),"",IF(ISBLANK($A$77),"",$A$77))</f>
        <v/>
      </c>
      <c r="AE77" s="2">
        <f>IF(ISERROR($C$77),"",IF(ISBLANK($C$77),"",$C$77))</f>
        <v/>
      </c>
      <c r="AF77" s="2">
        <f>IF(ISERROR($D$77),"",IF(ISBLANK($D$77),"",$D$77))</f>
        <v/>
      </c>
      <c r="AI77" s="2">
        <f>IF(ISERROR($G$77),"",IF(ISBLANK($G$77),"",$G$77))</f>
        <v/>
      </c>
      <c r="AJ77" s="2">
        <f>IF(ISERROR($H$77),"",IF(ISBLANK($H$77),"",$H$77))</f>
        <v/>
      </c>
      <c r="AL77" s="2">
        <f>IF(ISERROR($J$77),"",IF(ISBLANK($J$77),"",$J$77))</f>
        <v/>
      </c>
      <c r="AM77" s="2">
        <f>ISERROR($A$77)*1+ISERROR($C$77)*1+ISERROR($D$77)*1+ISERROR($G$77)*1+ISERROR($H$77)*1+ISERROR($J$77)*1</f>
        <v/>
      </c>
    </row>
    <row r="78" ht="93" customHeight="1">
      <c r="A78" s="38" t="n"/>
      <c r="B78" s="18">
        <f>IF(ISNUMBER($Q$78),COUNTIF($Q$76:$Q$107,"&lt;"&amp;$Q$78)+1,"")</f>
        <v/>
      </c>
      <c r="C78" s="16" t="n"/>
      <c r="D78" s="4" t="n"/>
      <c r="E78" s="25" t="n"/>
      <c r="F78" s="17" t="n"/>
      <c r="G78" s="4" t="n"/>
      <c r="H78" s="4" t="n"/>
      <c r="I78" s="17" t="n"/>
      <c r="J78" s="34" t="n"/>
      <c r="K78" s="19">
        <f>IF(AM78&gt;0,"O Google leu como fórmula: escolha de novo ou digite com ' na frente.",IF(LEN($AC$78)=0,IF(LEN($AF$78&amp;$AI$78&amp;$AJ$78&amp;$AE$78)&gt;0,"Sem dia: o evento fica fora da ordem",""),IF(ISNUMBER($Q$78),"","Dia fora de 1 a 9.999 (inteiro)")))</f>
        <v/>
      </c>
      <c r="Q78" s="2">
        <f>IF(ISNUMBER($AC$78),IF(AND($AC$78&gt;=1,$AC$78&lt;=9999,INT($AC$78)=$AC$78),$AC$78+3/100,""),"")</f>
        <v/>
      </c>
      <c r="R78" s="2">
        <f>IF(ISNUMBER($Q$78),IF(INT($Q$78)&gt;=$B$41,$Q$78,""),"")</f>
        <v/>
      </c>
      <c r="AA78" s="2">
        <f>'Tabelas'!$X$90&amp;""</f>
        <v/>
      </c>
      <c r="AC78" s="2">
        <f>IF(ISERROR($A$78),"",IF(ISBLANK($A$78),"",$A$78))</f>
        <v/>
      </c>
      <c r="AE78" s="2">
        <f>IF(ISERROR($C$78),"",IF(ISBLANK($C$78),"",$C$78))</f>
        <v/>
      </c>
      <c r="AF78" s="2">
        <f>IF(ISERROR($D$78),"",IF(ISBLANK($D$78),"",$D$78))</f>
        <v/>
      </c>
      <c r="AI78" s="2">
        <f>IF(ISERROR($G$78),"",IF(ISBLANK($G$78),"",$G$78))</f>
        <v/>
      </c>
      <c r="AJ78" s="2">
        <f>IF(ISERROR($H$78),"",IF(ISBLANK($H$78),"",$H$78))</f>
        <v/>
      </c>
      <c r="AL78" s="2">
        <f>IF(ISERROR($J$78),"",IF(ISBLANK($J$78),"",$J$78))</f>
        <v/>
      </c>
      <c r="AM78" s="2">
        <f>ISERROR($A$78)*1+ISERROR($C$78)*1+ISERROR($D$78)*1+ISERROR($G$78)*1+ISERROR($H$78)*1+ISERROR($J$78)*1</f>
        <v/>
      </c>
    </row>
    <row r="79" ht="93" customHeight="1">
      <c r="A79" s="39" t="n"/>
      <c r="B79" s="23">
        <f>IF(ISNUMBER($Q$79),COUNTIF($Q$76:$Q$107,"&lt;"&amp;$Q$79)+1,"")</f>
        <v/>
      </c>
      <c r="C79" s="37" t="n"/>
      <c r="D79" s="29" t="n"/>
      <c r="E79" s="25" t="n"/>
      <c r="F79" s="17" t="n"/>
      <c r="G79" s="29" t="n"/>
      <c r="H79" s="29" t="n"/>
      <c r="I79" s="17" t="n"/>
      <c r="J79" s="36" t="n"/>
      <c r="K79" s="27">
        <f>IF(AM79&gt;0,"O Google leu como fórmula: escolha de novo ou digite com ' na frente.",IF(LEN($AC$79)=0,IF(LEN($AF$79&amp;$AI$79&amp;$AJ$79&amp;$AE$79)&gt;0,"Sem dia: o evento fica fora da ordem",""),IF(ISNUMBER($Q$79),"","Dia fora de 1 a 9.999 (inteiro)")))</f>
        <v/>
      </c>
      <c r="Q79" s="2">
        <f>IF(ISNUMBER($AC$79),IF(AND($AC$79&gt;=1,$AC$79&lt;=9999,INT($AC$79)=$AC$79),$AC$79+4/100,""),"")</f>
        <v/>
      </c>
      <c r="R79" s="2">
        <f>IF(ISNUMBER($Q$79),IF(INT($Q$79)&gt;=$B$41,$Q$79,""),"")</f>
        <v/>
      </c>
      <c r="AA79" s="2">
        <f>'Tabelas'!$X$91&amp;""</f>
        <v/>
      </c>
      <c r="AC79" s="2">
        <f>IF(ISERROR($A$79),"",IF(ISBLANK($A$79),"",$A$79))</f>
        <v/>
      </c>
      <c r="AE79" s="2">
        <f>IF(ISERROR($C$79),"",IF(ISBLANK($C$79),"",$C$79))</f>
        <v/>
      </c>
      <c r="AF79" s="2">
        <f>IF(ISERROR($D$79),"",IF(ISBLANK($D$79),"",$D$79))</f>
        <v/>
      </c>
      <c r="AI79" s="2">
        <f>IF(ISERROR($G$79),"",IF(ISBLANK($G$79),"",$G$79))</f>
        <v/>
      </c>
      <c r="AJ79" s="2">
        <f>IF(ISERROR($H$79),"",IF(ISBLANK($H$79),"",$H$79))</f>
        <v/>
      </c>
      <c r="AL79" s="2">
        <f>IF(ISERROR($J$79),"",IF(ISBLANK($J$79),"",$J$79))</f>
        <v/>
      </c>
      <c r="AM79" s="2">
        <f>ISERROR($A$79)*1+ISERROR($C$79)*1+ISERROR($D$79)*1+ISERROR($G$79)*1+ISERROR($H$79)*1+ISERROR($J$79)*1</f>
        <v/>
      </c>
    </row>
    <row r="80" ht="93" customHeight="1">
      <c r="A80" s="38" t="n"/>
      <c r="B80" s="18">
        <f>IF(ISNUMBER($Q$80),COUNTIF($Q$76:$Q$107,"&lt;"&amp;$Q$80)+1,"")</f>
        <v/>
      </c>
      <c r="C80" s="16" t="n"/>
      <c r="D80" s="4" t="n"/>
      <c r="E80" s="25" t="n"/>
      <c r="F80" s="17" t="n"/>
      <c r="G80" s="4" t="n"/>
      <c r="H80" s="4" t="n"/>
      <c r="I80" s="17" t="n"/>
      <c r="J80" s="34" t="n"/>
      <c r="K80" s="19">
        <f>IF(AM80&gt;0,"O Google leu como fórmula: escolha de novo ou digite com ' na frente.",IF(LEN($AC$80)=0,IF(LEN($AF$80&amp;$AI$80&amp;$AJ$80&amp;$AE$80)&gt;0,"Sem dia: o evento fica fora da ordem",""),IF(ISNUMBER($Q$80),"","Dia fora de 1 a 9.999 (inteiro)")))</f>
        <v/>
      </c>
      <c r="Q80" s="2">
        <f>IF(ISNUMBER($AC$80),IF(AND($AC$80&gt;=1,$AC$80&lt;=9999,INT($AC$80)=$AC$80),$AC$80+5/100,""),"")</f>
        <v/>
      </c>
      <c r="R80" s="2">
        <f>IF(ISNUMBER($Q$80),IF(INT($Q$80)&gt;=$B$41,$Q$80,""),"")</f>
        <v/>
      </c>
      <c r="AA80" s="2">
        <f>'Tabelas'!$X$92&amp;""</f>
        <v/>
      </c>
      <c r="AC80" s="2">
        <f>IF(ISERROR($A$80),"",IF(ISBLANK($A$80),"",$A$80))</f>
        <v/>
      </c>
      <c r="AE80" s="2">
        <f>IF(ISERROR($C$80),"",IF(ISBLANK($C$80),"",$C$80))</f>
        <v/>
      </c>
      <c r="AF80" s="2">
        <f>IF(ISERROR($D$80),"",IF(ISBLANK($D$80),"",$D$80))</f>
        <v/>
      </c>
      <c r="AI80" s="2">
        <f>IF(ISERROR($G$80),"",IF(ISBLANK($G$80),"",$G$80))</f>
        <v/>
      </c>
      <c r="AJ80" s="2">
        <f>IF(ISERROR($H$80),"",IF(ISBLANK($H$80),"",$H$80))</f>
        <v/>
      </c>
      <c r="AL80" s="2">
        <f>IF(ISERROR($J$80),"",IF(ISBLANK($J$80),"",$J$80))</f>
        <v/>
      </c>
      <c r="AM80" s="2">
        <f>ISERROR($A$80)*1+ISERROR($C$80)*1+ISERROR($D$80)*1+ISERROR($G$80)*1+ISERROR($H$80)*1+ISERROR($J$80)*1</f>
        <v/>
      </c>
    </row>
    <row r="81" ht="93" customHeight="1">
      <c r="A81" s="39" t="n"/>
      <c r="B81" s="23">
        <f>IF(ISNUMBER($Q$81),COUNTIF($Q$76:$Q$107,"&lt;"&amp;$Q$81)+1,"")</f>
        <v/>
      </c>
      <c r="C81" s="37" t="n"/>
      <c r="D81" s="29" t="n"/>
      <c r="E81" s="25" t="n"/>
      <c r="F81" s="17" t="n"/>
      <c r="G81" s="29" t="n"/>
      <c r="H81" s="29" t="n"/>
      <c r="I81" s="17" t="n"/>
      <c r="J81" s="36" t="n"/>
      <c r="K81" s="27">
        <f>IF(AM81&gt;0,"O Google leu como fórmula: escolha de novo ou digite com ' na frente.",IF(LEN($AC$81)=0,IF(LEN($AF$81&amp;$AI$81&amp;$AJ$81&amp;$AE$81)&gt;0,"Sem dia: o evento fica fora da ordem",""),IF(ISNUMBER($Q$81),"","Dia fora de 1 a 9.999 (inteiro)")))</f>
        <v/>
      </c>
      <c r="Q81" s="2">
        <f>IF(ISNUMBER($AC$81),IF(AND($AC$81&gt;=1,$AC$81&lt;=9999,INT($AC$81)=$AC$81),$AC$81+6/100,""),"")</f>
        <v/>
      </c>
      <c r="R81" s="2">
        <f>IF(ISNUMBER($Q$81),IF(INT($Q$81)&gt;=$B$41,$Q$81,""),"")</f>
        <v/>
      </c>
      <c r="AA81" s="2">
        <f>'Tabelas'!$X$93&amp;""</f>
        <v/>
      </c>
      <c r="AC81" s="2">
        <f>IF(ISERROR($A$81),"",IF(ISBLANK($A$81),"",$A$81))</f>
        <v/>
      </c>
      <c r="AE81" s="2">
        <f>IF(ISERROR($C$81),"",IF(ISBLANK($C$81),"",$C$81))</f>
        <v/>
      </c>
      <c r="AF81" s="2">
        <f>IF(ISERROR($D$81),"",IF(ISBLANK($D$81),"",$D$81))</f>
        <v/>
      </c>
      <c r="AI81" s="2">
        <f>IF(ISERROR($G$81),"",IF(ISBLANK($G$81),"",$G$81))</f>
        <v/>
      </c>
      <c r="AJ81" s="2">
        <f>IF(ISERROR($H$81),"",IF(ISBLANK($H$81),"",$H$81))</f>
        <v/>
      </c>
      <c r="AL81" s="2">
        <f>IF(ISERROR($J$81),"",IF(ISBLANK($J$81),"",$J$81))</f>
        <v/>
      </c>
      <c r="AM81" s="2">
        <f>ISERROR($A$81)*1+ISERROR($C$81)*1+ISERROR($D$81)*1+ISERROR($G$81)*1+ISERROR($H$81)*1+ISERROR($J$81)*1</f>
        <v/>
      </c>
    </row>
    <row r="82" ht="105" customHeight="1">
      <c r="A82" s="38" t="n"/>
      <c r="B82" s="18">
        <f>IF(ISNUMBER($Q$82),COUNTIF($Q$76:$Q$107,"&lt;"&amp;$Q$82)+1,"")</f>
        <v/>
      </c>
      <c r="C82" s="16" t="n"/>
      <c r="D82" s="4" t="n"/>
      <c r="E82" s="25" t="n"/>
      <c r="F82" s="17" t="n"/>
      <c r="G82" s="4" t="n"/>
      <c r="H82" s="4" t="n"/>
      <c r="I82" s="17" t="n"/>
      <c r="J82" s="34" t="n"/>
      <c r="K82" s="19">
        <f>IF(AM82&gt;0,"O Google leu como fórmula: escolha de novo ou digite com ' na frente.",IF(LEN($AC$82)=0,IF(LEN($AF$82&amp;$AI$82&amp;$AJ$82&amp;$AE$82)&gt;0,"Sem dia: o evento fica fora da ordem",""),IF(ISNUMBER($Q$82),"","Dia fora de 1 a 9.999 (inteiro)")))</f>
        <v/>
      </c>
      <c r="Q82" s="2">
        <f>IF(ISNUMBER($AC$82),IF(AND($AC$82&gt;=1,$AC$82&lt;=9999,INT($AC$82)=$AC$82),$AC$82+7/100,""),"")</f>
        <v/>
      </c>
      <c r="R82" s="2">
        <f>IF(ISNUMBER($Q$82),IF(INT($Q$82)&gt;=$B$41,$Q$82,""),"")</f>
        <v/>
      </c>
      <c r="AA82" s="2">
        <f>'Tabelas'!$X$94&amp;""</f>
        <v/>
      </c>
      <c r="AC82" s="2">
        <f>IF(ISERROR($A$82),"",IF(ISBLANK($A$82),"",$A$82))</f>
        <v/>
      </c>
      <c r="AE82" s="2">
        <f>IF(ISERROR($C$82),"",IF(ISBLANK($C$82),"",$C$82))</f>
        <v/>
      </c>
      <c r="AF82" s="2">
        <f>IF(ISERROR($D$82),"",IF(ISBLANK($D$82),"",$D$82))</f>
        <v/>
      </c>
      <c r="AI82" s="2">
        <f>IF(ISERROR($G$82),"",IF(ISBLANK($G$82),"",$G$82))</f>
        <v/>
      </c>
      <c r="AJ82" s="2">
        <f>IF(ISERROR($H$82),"",IF(ISBLANK($H$82),"",$H$82))</f>
        <v/>
      </c>
      <c r="AL82" s="2">
        <f>IF(ISERROR($J$82),"",IF(ISBLANK($J$82),"",$J$82))</f>
        <v/>
      </c>
      <c r="AM82" s="2">
        <f>ISERROR($A$82)*1+ISERROR($C$82)*1+ISERROR($D$82)*1+ISERROR($G$82)*1+ISERROR($H$82)*1+ISERROR($J$82)*1</f>
        <v/>
      </c>
    </row>
    <row r="83" ht="105" customHeight="1">
      <c r="A83" s="39" t="n"/>
      <c r="B83" s="23">
        <f>IF(ISNUMBER($Q$83),COUNTIF($Q$76:$Q$107,"&lt;"&amp;$Q$83)+1,"")</f>
        <v/>
      </c>
      <c r="C83" s="37" t="n"/>
      <c r="D83" s="29" t="n"/>
      <c r="E83" s="25" t="n"/>
      <c r="F83" s="17" t="n"/>
      <c r="G83" s="29" t="n"/>
      <c r="H83" s="29" t="n"/>
      <c r="I83" s="17" t="n"/>
      <c r="J83" s="36" t="n"/>
      <c r="K83" s="27">
        <f>IF(AM83&gt;0,"O Google leu como fórmula: escolha de novo ou digite com ' na frente.",IF(LEN($AC$83)=0,IF(LEN($AF$83&amp;$AI$83&amp;$AJ$83&amp;$AE$83)&gt;0,"Sem dia: o evento fica fora da ordem",""),IF(ISNUMBER($Q$83),"","Dia fora de 1 a 9.999 (inteiro)")))</f>
        <v/>
      </c>
      <c r="Q83" s="2">
        <f>IF(ISNUMBER($AC$83),IF(AND($AC$83&gt;=1,$AC$83&lt;=9999,INT($AC$83)=$AC$83),$AC$83+8/100,""),"")</f>
        <v/>
      </c>
      <c r="R83" s="2">
        <f>IF(ISNUMBER($Q$83),IF(INT($Q$83)&gt;=$B$41,$Q$83,""),"")</f>
        <v/>
      </c>
      <c r="AA83" s="2">
        <f>'Tabelas'!$X$96&amp;""</f>
        <v/>
      </c>
      <c r="AC83" s="2">
        <f>IF(ISERROR($A$83),"",IF(ISBLANK($A$83),"",$A$83))</f>
        <v/>
      </c>
      <c r="AE83" s="2">
        <f>IF(ISERROR($C$83),"",IF(ISBLANK($C$83),"",$C$83))</f>
        <v/>
      </c>
      <c r="AF83" s="2">
        <f>IF(ISERROR($D$83),"",IF(ISBLANK($D$83),"",$D$83))</f>
        <v/>
      </c>
      <c r="AI83" s="2">
        <f>IF(ISERROR($G$83),"",IF(ISBLANK($G$83),"",$G$83))</f>
        <v/>
      </c>
      <c r="AJ83" s="2">
        <f>IF(ISERROR($H$83),"",IF(ISBLANK($H$83),"",$H$83))</f>
        <v/>
      </c>
      <c r="AL83" s="2">
        <f>IF(ISERROR($J$83),"",IF(ISBLANK($J$83),"",$J$83))</f>
        <v/>
      </c>
      <c r="AM83" s="2">
        <f>ISERROR($A$83)*1+ISERROR($C$83)*1+ISERROR($D$83)*1+ISERROR($G$83)*1+ISERROR($H$83)*1+ISERROR($J$83)*1</f>
        <v/>
      </c>
    </row>
    <row r="84" ht="105" customHeight="1">
      <c r="A84" s="38" t="n"/>
      <c r="B84" s="18">
        <f>IF(ISNUMBER($Q$84),COUNTIF($Q$76:$Q$107,"&lt;"&amp;$Q$84)+1,"")</f>
        <v/>
      </c>
      <c r="C84" s="16" t="n"/>
      <c r="D84" s="4" t="n"/>
      <c r="E84" s="25" t="n"/>
      <c r="F84" s="17" t="n"/>
      <c r="G84" s="4" t="n"/>
      <c r="H84" s="4" t="n"/>
      <c r="I84" s="17" t="n"/>
      <c r="J84" s="34" t="n"/>
      <c r="K84" s="19">
        <f>IF(AM84&gt;0,"O Google leu como fórmula: escolha de novo ou digite com ' na frente.",IF(LEN($AC$84)=0,IF(LEN($AF$84&amp;$AI$84&amp;$AJ$84&amp;$AE$84)&gt;0,"Sem dia: o evento fica fora da ordem",""),IF(ISNUMBER($Q$84),"","Dia fora de 1 a 9.999 (inteiro)")))</f>
        <v/>
      </c>
      <c r="Q84" s="2">
        <f>IF(ISNUMBER($AC$84),IF(AND($AC$84&gt;=1,$AC$84&lt;=9999,INT($AC$84)=$AC$84),$AC$84+9/100,""),"")</f>
        <v/>
      </c>
      <c r="R84" s="2">
        <f>IF(ISNUMBER($Q$84),IF(INT($Q$84)&gt;=$B$41,$Q$84,""),"")</f>
        <v/>
      </c>
      <c r="AA84" s="2">
        <f>'Tabelas'!$X$97&amp;""</f>
        <v/>
      </c>
      <c r="AC84" s="2">
        <f>IF(ISERROR($A$84),"",IF(ISBLANK($A$84),"",$A$84))</f>
        <v/>
      </c>
      <c r="AE84" s="2">
        <f>IF(ISERROR($C$84),"",IF(ISBLANK($C$84),"",$C$84))</f>
        <v/>
      </c>
      <c r="AF84" s="2">
        <f>IF(ISERROR($D$84),"",IF(ISBLANK($D$84),"",$D$84))</f>
        <v/>
      </c>
      <c r="AI84" s="2">
        <f>IF(ISERROR($G$84),"",IF(ISBLANK($G$84),"",$G$84))</f>
        <v/>
      </c>
      <c r="AJ84" s="2">
        <f>IF(ISERROR($H$84),"",IF(ISBLANK($H$84),"",$H$84))</f>
        <v/>
      </c>
      <c r="AL84" s="2">
        <f>IF(ISERROR($J$84),"",IF(ISBLANK($J$84),"",$J$84))</f>
        <v/>
      </c>
      <c r="AM84" s="2">
        <f>ISERROR($A$84)*1+ISERROR($C$84)*1+ISERROR($D$84)*1+ISERROR($G$84)*1+ISERROR($H$84)*1+ISERROR($J$84)*1</f>
        <v/>
      </c>
    </row>
    <row r="85" ht="93" customHeight="1">
      <c r="A85" s="39" t="n"/>
      <c r="B85" s="23">
        <f>IF(ISNUMBER($Q$85),COUNTIF($Q$76:$Q$107,"&lt;"&amp;$Q$85)+1,"")</f>
        <v/>
      </c>
      <c r="C85" s="37" t="n"/>
      <c r="D85" s="29" t="n"/>
      <c r="E85" s="25" t="n"/>
      <c r="F85" s="17" t="n"/>
      <c r="G85" s="29" t="n"/>
      <c r="H85" s="29" t="n"/>
      <c r="I85" s="17" t="n"/>
      <c r="J85" s="36" t="n"/>
      <c r="K85" s="27">
        <f>IF(AM85&gt;0,"O Google leu como fórmula: escolha de novo ou digite com ' na frente.",IF(LEN($AC$85)=0,IF(LEN($AF$85&amp;$AI$85&amp;$AJ$85&amp;$AE$85)&gt;0,"Sem dia: o evento fica fora da ordem",""),IF(ISNUMBER($Q$85),"","Dia fora de 1 a 9.999 (inteiro)")))</f>
        <v/>
      </c>
      <c r="Q85" s="2">
        <f>IF(ISNUMBER($AC$85),IF(AND($AC$85&gt;=1,$AC$85&lt;=9999,INT($AC$85)=$AC$85),$AC$85+10/100,""),"")</f>
        <v/>
      </c>
      <c r="R85" s="2">
        <f>IF(ISNUMBER($Q$85),IF(INT($Q$85)&gt;=$B$41,$Q$85,""),"")</f>
        <v/>
      </c>
      <c r="AA85" s="2">
        <f>'Tabelas'!$X$98&amp;""</f>
        <v/>
      </c>
      <c r="AC85" s="2">
        <f>IF(ISERROR($A$85),"",IF(ISBLANK($A$85),"",$A$85))</f>
        <v/>
      </c>
      <c r="AE85" s="2">
        <f>IF(ISERROR($C$85),"",IF(ISBLANK($C$85),"",$C$85))</f>
        <v/>
      </c>
      <c r="AF85" s="2">
        <f>IF(ISERROR($D$85),"",IF(ISBLANK($D$85),"",$D$85))</f>
        <v/>
      </c>
      <c r="AI85" s="2">
        <f>IF(ISERROR($G$85),"",IF(ISBLANK($G$85),"",$G$85))</f>
        <v/>
      </c>
      <c r="AJ85" s="2">
        <f>IF(ISERROR($H$85),"",IF(ISBLANK($H$85),"",$H$85))</f>
        <v/>
      </c>
      <c r="AL85" s="2">
        <f>IF(ISERROR($J$85),"",IF(ISBLANK($J$85),"",$J$85))</f>
        <v/>
      </c>
      <c r="AM85" s="2">
        <f>ISERROR($A$85)*1+ISERROR($C$85)*1+ISERROR($D$85)*1+ISERROR($G$85)*1+ISERROR($H$85)*1+ISERROR($J$85)*1</f>
        <v/>
      </c>
    </row>
    <row r="86" ht="37" customHeight="1">
      <c r="A86" s="8" t="inlineStr">
        <is>
          <t>Dia de campanha (preencha)</t>
        </is>
      </c>
      <c r="B86" s="8" t="inlineStr">
        <is>
          <t>Nº na ordem (automático)</t>
        </is>
      </c>
      <c r="C86" s="8" t="inlineStr">
        <is>
          <t>Sessão</t>
        </is>
      </c>
      <c r="D86" s="8" t="inlineStr">
        <is>
          <t>Evento</t>
        </is>
      </c>
      <c r="E86" s="20" t="n"/>
      <c r="F86" s="20" t="n"/>
      <c r="G86" s="8" t="inlineStr">
        <is>
          <t>Quem (facção ou NPC)</t>
        </is>
      </c>
      <c r="H86" s="8" t="inlineStr">
        <is>
          <t>Consequência</t>
        </is>
      </c>
      <c r="I86" s="20" t="n"/>
      <c r="J86" s="8" t="inlineStr">
        <is>
          <t>Público?</t>
        </is>
      </c>
      <c r="K86" s="8" t="inlineStr">
        <is>
          <t>Aviso</t>
        </is>
      </c>
      <c r="L86" s="20" t="n"/>
      <c r="AA86" s="2">
        <f>'Tabelas'!$X$99&amp;""</f>
        <v/>
      </c>
      <c r="AC86" s="2">
        <f>IF(ISERROR($A$86),"",IF(ISBLANK($A$86),"",$A$86))</f>
        <v/>
      </c>
      <c r="AE86" s="2">
        <f>IF(ISERROR($C$86),"",IF(ISBLANK($C$86),"",$C$86))</f>
        <v/>
      </c>
      <c r="AF86" s="2">
        <f>IF(ISERROR($D$86),"",IF(ISBLANK($D$86),"",$D$86))</f>
        <v/>
      </c>
      <c r="AI86" s="2">
        <f>IF(ISERROR($G$86),"",IF(ISBLANK($G$86),"",$G$86))</f>
        <v/>
      </c>
      <c r="AJ86" s="2">
        <f>IF(ISERROR($H$86),"",IF(ISBLANK($H$86),"",$H$86))</f>
        <v/>
      </c>
      <c r="AL86" s="2">
        <f>IF(ISERROR($J$86),"",IF(ISBLANK($J$86),"",$J$86))</f>
        <v/>
      </c>
    </row>
    <row r="87" ht="93" customHeight="1">
      <c r="A87" s="38" t="n"/>
      <c r="B87" s="18">
        <f>IF(ISNUMBER($Q$87),COUNTIF($Q$76:$Q$107,"&lt;"&amp;$Q$87)+1,"")</f>
        <v/>
      </c>
      <c r="C87" s="16" t="n"/>
      <c r="D87" s="4" t="n"/>
      <c r="E87" s="25" t="n"/>
      <c r="F87" s="17" t="n"/>
      <c r="G87" s="4" t="n"/>
      <c r="H87" s="4" t="n"/>
      <c r="I87" s="17" t="n"/>
      <c r="J87" s="34" t="n"/>
      <c r="K87" s="19">
        <f>IF(AM87&gt;0,"O Google leu como fórmula: escolha de novo ou digite com ' na frente.",IF(LEN($AC$87)=0,IF(LEN($AF$87&amp;$AI$87&amp;$AJ$87&amp;$AE$87)&gt;0,"Sem dia: o evento fica fora da ordem",""),IF(ISNUMBER($Q$87),"","Dia fora de 1 a 9.999 (inteiro)")))</f>
        <v/>
      </c>
      <c r="Q87" s="2">
        <f>IF(ISNUMBER($AC$87),IF(AND($AC$87&gt;=1,$AC$87&lt;=9999,INT($AC$87)=$AC$87),$AC$87+11/100,""),"")</f>
        <v/>
      </c>
      <c r="R87" s="2">
        <f>IF(ISNUMBER($Q$87),IF(INT($Q$87)&gt;=$B$41,$Q$87,""),"")</f>
        <v/>
      </c>
      <c r="AA87" s="2">
        <f>'Tabelas'!$X$100&amp;""</f>
        <v/>
      </c>
      <c r="AC87" s="2">
        <f>IF(ISERROR($A$87),"",IF(ISBLANK($A$87),"",$A$87))</f>
        <v/>
      </c>
      <c r="AE87" s="2">
        <f>IF(ISERROR($C$87),"",IF(ISBLANK($C$87),"",$C$87))</f>
        <v/>
      </c>
      <c r="AF87" s="2">
        <f>IF(ISERROR($D$87),"",IF(ISBLANK($D$87),"",$D$87))</f>
        <v/>
      </c>
      <c r="AI87" s="2">
        <f>IF(ISERROR($G$87),"",IF(ISBLANK($G$87),"",$G$87))</f>
        <v/>
      </c>
      <c r="AJ87" s="2">
        <f>IF(ISERROR($H$87),"",IF(ISBLANK($H$87),"",$H$87))</f>
        <v/>
      </c>
      <c r="AL87" s="2">
        <f>IF(ISERROR($J$87),"",IF(ISBLANK($J$87),"",$J$87))</f>
        <v/>
      </c>
      <c r="AM87" s="2">
        <f>ISERROR($A$87)*1+ISERROR($C$87)*1+ISERROR($D$87)*1+ISERROR($G$87)*1+ISERROR($H$87)*1+ISERROR($J$87)*1</f>
        <v/>
      </c>
    </row>
    <row r="88" ht="93" customHeight="1">
      <c r="A88" s="39" t="n"/>
      <c r="B88" s="23">
        <f>IF(ISNUMBER($Q$88),COUNTIF($Q$76:$Q$107,"&lt;"&amp;$Q$88)+1,"")</f>
        <v/>
      </c>
      <c r="C88" s="37" t="n"/>
      <c r="D88" s="29" t="n"/>
      <c r="E88" s="25" t="n"/>
      <c r="F88" s="17" t="n"/>
      <c r="G88" s="29" t="n"/>
      <c r="H88" s="29" t="n"/>
      <c r="I88" s="17" t="n"/>
      <c r="J88" s="36" t="n"/>
      <c r="K88" s="27">
        <f>IF(AM88&gt;0,"O Google leu como fórmula: escolha de novo ou digite com ' na frente.",IF(LEN($AC$88)=0,IF(LEN($AF$88&amp;$AI$88&amp;$AJ$88&amp;$AE$88)&gt;0,"Sem dia: o evento fica fora da ordem",""),IF(ISNUMBER($Q$88),"","Dia fora de 1 a 9.999 (inteiro)")))</f>
        <v/>
      </c>
      <c r="Q88" s="2">
        <f>IF(ISNUMBER($AC$88),IF(AND($AC$88&gt;=1,$AC$88&lt;=9999,INT($AC$88)=$AC$88),$AC$88+12/100,""),"")</f>
        <v/>
      </c>
      <c r="R88" s="2">
        <f>IF(ISNUMBER($Q$88),IF(INT($Q$88)&gt;=$B$41,$Q$88,""),"")</f>
        <v/>
      </c>
      <c r="AA88" s="2">
        <f>'Tabelas'!$X$101&amp;""</f>
        <v/>
      </c>
      <c r="AC88" s="2">
        <f>IF(ISERROR($A$88),"",IF(ISBLANK($A$88),"",$A$88))</f>
        <v/>
      </c>
      <c r="AE88" s="2">
        <f>IF(ISERROR($C$88),"",IF(ISBLANK($C$88),"",$C$88))</f>
        <v/>
      </c>
      <c r="AF88" s="2">
        <f>IF(ISERROR($D$88),"",IF(ISBLANK($D$88),"",$D$88))</f>
        <v/>
      </c>
      <c r="AI88" s="2">
        <f>IF(ISERROR($G$88),"",IF(ISBLANK($G$88),"",$G$88))</f>
        <v/>
      </c>
      <c r="AJ88" s="2">
        <f>IF(ISERROR($H$88),"",IF(ISBLANK($H$88),"",$H$88))</f>
        <v/>
      </c>
      <c r="AL88" s="2">
        <f>IF(ISERROR($J$88),"",IF(ISBLANK($J$88),"",$J$88))</f>
        <v/>
      </c>
      <c r="AM88" s="2">
        <f>ISERROR($A$88)*1+ISERROR($C$88)*1+ISERROR($D$88)*1+ISERROR($G$88)*1+ISERROR($H$88)*1+ISERROR($J$88)*1</f>
        <v/>
      </c>
    </row>
    <row r="89" ht="93" customHeight="1">
      <c r="A89" s="38" t="n"/>
      <c r="B89" s="18">
        <f>IF(ISNUMBER($Q$89),COUNTIF($Q$76:$Q$107,"&lt;"&amp;$Q$89)+1,"")</f>
        <v/>
      </c>
      <c r="C89" s="16" t="n"/>
      <c r="D89" s="4" t="n"/>
      <c r="E89" s="25" t="n"/>
      <c r="F89" s="17" t="n"/>
      <c r="G89" s="4" t="n"/>
      <c r="H89" s="4" t="n"/>
      <c r="I89" s="17" t="n"/>
      <c r="J89" s="34" t="n"/>
      <c r="K89" s="19">
        <f>IF(AM89&gt;0,"O Google leu como fórmula: escolha de novo ou digite com ' na frente.",IF(LEN($AC$89)=0,IF(LEN($AF$89&amp;$AI$89&amp;$AJ$89&amp;$AE$89)&gt;0,"Sem dia: o evento fica fora da ordem",""),IF(ISNUMBER($Q$89),"","Dia fora de 1 a 9.999 (inteiro)")))</f>
        <v/>
      </c>
      <c r="Q89" s="2">
        <f>IF(ISNUMBER($AC$89),IF(AND($AC$89&gt;=1,$AC$89&lt;=9999,INT($AC$89)=$AC$89),$AC$89+13/100,""),"")</f>
        <v/>
      </c>
      <c r="R89" s="2">
        <f>IF(ISNUMBER($Q$89),IF(INT($Q$89)&gt;=$B$41,$Q$89,""),"")</f>
        <v/>
      </c>
      <c r="AA89" s="2">
        <f>'Tabelas'!$X$102&amp;""</f>
        <v/>
      </c>
      <c r="AC89" s="2">
        <f>IF(ISERROR($A$89),"",IF(ISBLANK($A$89),"",$A$89))</f>
        <v/>
      </c>
      <c r="AE89" s="2">
        <f>IF(ISERROR($C$89),"",IF(ISBLANK($C$89),"",$C$89))</f>
        <v/>
      </c>
      <c r="AF89" s="2">
        <f>IF(ISERROR($D$89),"",IF(ISBLANK($D$89),"",$D$89))</f>
        <v/>
      </c>
      <c r="AI89" s="2">
        <f>IF(ISERROR($G$89),"",IF(ISBLANK($G$89),"",$G$89))</f>
        <v/>
      </c>
      <c r="AJ89" s="2">
        <f>IF(ISERROR($H$89),"",IF(ISBLANK($H$89),"",$H$89))</f>
        <v/>
      </c>
      <c r="AL89" s="2">
        <f>IF(ISERROR($J$89),"",IF(ISBLANK($J$89),"",$J$89))</f>
        <v/>
      </c>
      <c r="AM89" s="2">
        <f>ISERROR($A$89)*1+ISERROR($C$89)*1+ISERROR($D$89)*1+ISERROR($G$89)*1+ISERROR($H$89)*1+ISERROR($J$89)*1</f>
        <v/>
      </c>
    </row>
    <row r="90" ht="93" customHeight="1">
      <c r="A90" s="39" t="n"/>
      <c r="B90" s="23">
        <f>IF(ISNUMBER($Q$90),COUNTIF($Q$76:$Q$107,"&lt;"&amp;$Q$90)+1,"")</f>
        <v/>
      </c>
      <c r="C90" s="37" t="n"/>
      <c r="D90" s="29" t="n"/>
      <c r="E90" s="25" t="n"/>
      <c r="F90" s="17" t="n"/>
      <c r="G90" s="29" t="n"/>
      <c r="H90" s="29" t="n"/>
      <c r="I90" s="17" t="n"/>
      <c r="J90" s="36" t="n"/>
      <c r="K90" s="27">
        <f>IF(AM90&gt;0,"O Google leu como fórmula: escolha de novo ou digite com ' na frente.",IF(LEN($AC$90)=0,IF(LEN($AF$90&amp;$AI$90&amp;$AJ$90&amp;$AE$90)&gt;0,"Sem dia: o evento fica fora da ordem",""),IF(ISNUMBER($Q$90),"","Dia fora de 1 a 9.999 (inteiro)")))</f>
        <v/>
      </c>
      <c r="Q90" s="2">
        <f>IF(ISNUMBER($AC$90),IF(AND($AC$90&gt;=1,$AC$90&lt;=9999,INT($AC$90)=$AC$90),$AC$90+14/100,""),"")</f>
        <v/>
      </c>
      <c r="R90" s="2">
        <f>IF(ISNUMBER($Q$90),IF(INT($Q$90)&gt;=$B$41,$Q$90,""),"")</f>
        <v/>
      </c>
      <c r="AA90" s="2">
        <f>'Tabelas'!$X$103&amp;""</f>
        <v/>
      </c>
      <c r="AC90" s="2">
        <f>IF(ISERROR($A$90),"",IF(ISBLANK($A$90),"",$A$90))</f>
        <v/>
      </c>
      <c r="AE90" s="2">
        <f>IF(ISERROR($C$90),"",IF(ISBLANK($C$90),"",$C$90))</f>
        <v/>
      </c>
      <c r="AF90" s="2">
        <f>IF(ISERROR($D$90),"",IF(ISBLANK($D$90),"",$D$90))</f>
        <v/>
      </c>
      <c r="AI90" s="2">
        <f>IF(ISERROR($G$90),"",IF(ISBLANK($G$90),"",$G$90))</f>
        <v/>
      </c>
      <c r="AJ90" s="2">
        <f>IF(ISERROR($H$90),"",IF(ISBLANK($H$90),"",$H$90))</f>
        <v/>
      </c>
      <c r="AL90" s="2">
        <f>IF(ISERROR($J$90),"",IF(ISBLANK($J$90),"",$J$90))</f>
        <v/>
      </c>
      <c r="AM90" s="2">
        <f>ISERROR($A$90)*1+ISERROR($C$90)*1+ISERROR($D$90)*1+ISERROR($G$90)*1+ISERROR($H$90)*1+ISERROR($J$90)*1</f>
        <v/>
      </c>
    </row>
    <row r="91" ht="93" customHeight="1">
      <c r="A91" s="38" t="n"/>
      <c r="B91" s="18">
        <f>IF(ISNUMBER($Q$91),COUNTIF($Q$76:$Q$107,"&lt;"&amp;$Q$91)+1,"")</f>
        <v/>
      </c>
      <c r="C91" s="16" t="n"/>
      <c r="D91" s="4" t="n"/>
      <c r="E91" s="25" t="n"/>
      <c r="F91" s="17" t="n"/>
      <c r="G91" s="4" t="n"/>
      <c r="H91" s="4" t="n"/>
      <c r="I91" s="17" t="n"/>
      <c r="J91" s="34" t="n"/>
      <c r="K91" s="19">
        <f>IF(AM91&gt;0,"O Google leu como fórmula: escolha de novo ou digite com ' na frente.",IF(LEN($AC$91)=0,IF(LEN($AF$91&amp;$AI$91&amp;$AJ$91&amp;$AE$91)&gt;0,"Sem dia: o evento fica fora da ordem",""),IF(ISNUMBER($Q$91),"","Dia fora de 1 a 9.999 (inteiro)")))</f>
        <v/>
      </c>
      <c r="Q91" s="2">
        <f>IF(ISNUMBER($AC$91),IF(AND($AC$91&gt;=1,$AC$91&lt;=9999,INT($AC$91)=$AC$91),$AC$91+15/100,""),"")</f>
        <v/>
      </c>
      <c r="R91" s="2">
        <f>IF(ISNUMBER($Q$91),IF(INT($Q$91)&gt;=$B$41,$Q$91,""),"")</f>
        <v/>
      </c>
      <c r="AA91" s="2">
        <f>'Tabelas'!$X$104&amp;""</f>
        <v/>
      </c>
      <c r="AC91" s="2">
        <f>IF(ISERROR($A$91),"",IF(ISBLANK($A$91),"",$A$91))</f>
        <v/>
      </c>
      <c r="AE91" s="2">
        <f>IF(ISERROR($C$91),"",IF(ISBLANK($C$91),"",$C$91))</f>
        <v/>
      </c>
      <c r="AF91" s="2">
        <f>IF(ISERROR($D$91),"",IF(ISBLANK($D$91),"",$D$91))</f>
        <v/>
      </c>
      <c r="AI91" s="2">
        <f>IF(ISERROR($G$91),"",IF(ISBLANK($G$91),"",$G$91))</f>
        <v/>
      </c>
      <c r="AJ91" s="2">
        <f>IF(ISERROR($H$91),"",IF(ISBLANK($H$91),"",$H$91))</f>
        <v/>
      </c>
      <c r="AL91" s="2">
        <f>IF(ISERROR($J$91),"",IF(ISBLANK($J$91),"",$J$91))</f>
        <v/>
      </c>
      <c r="AM91" s="2">
        <f>ISERROR($A$91)*1+ISERROR($C$91)*1+ISERROR($D$91)*1+ISERROR($G$91)*1+ISERROR($H$91)*1+ISERROR($J$91)*1</f>
        <v/>
      </c>
    </row>
    <row r="92" ht="105" customHeight="1">
      <c r="A92" s="39" t="n"/>
      <c r="B92" s="23">
        <f>IF(ISNUMBER($Q$92),COUNTIF($Q$76:$Q$107,"&lt;"&amp;$Q$92)+1,"")</f>
        <v/>
      </c>
      <c r="C92" s="37" t="n"/>
      <c r="D92" s="29" t="n"/>
      <c r="E92" s="25" t="n"/>
      <c r="F92" s="17" t="n"/>
      <c r="G92" s="29" t="n"/>
      <c r="H92" s="29" t="n"/>
      <c r="I92" s="17" t="n"/>
      <c r="J92" s="36" t="n"/>
      <c r="K92" s="27">
        <f>IF(AM92&gt;0,"O Google leu como fórmula: escolha de novo ou digite com ' na frente.",IF(LEN($AC$92)=0,IF(LEN($AF$92&amp;$AI$92&amp;$AJ$92&amp;$AE$92)&gt;0,"Sem dia: o evento fica fora da ordem",""),IF(ISNUMBER($Q$92),"","Dia fora de 1 a 9.999 (inteiro)")))</f>
        <v/>
      </c>
      <c r="Q92" s="2">
        <f>IF(ISNUMBER($AC$92),IF(AND($AC$92&gt;=1,$AC$92&lt;=9999,INT($AC$92)=$AC$92),$AC$92+16/100,""),"")</f>
        <v/>
      </c>
      <c r="R92" s="2">
        <f>IF(ISNUMBER($Q$92),IF(INT($Q$92)&gt;=$B$41,$Q$92,""),"")</f>
        <v/>
      </c>
      <c r="AA92" s="2">
        <f>'Tabelas'!$X$105&amp;""</f>
        <v/>
      </c>
      <c r="AC92" s="2">
        <f>IF(ISERROR($A$92),"",IF(ISBLANK($A$92),"",$A$92))</f>
        <v/>
      </c>
      <c r="AE92" s="2">
        <f>IF(ISERROR($C$92),"",IF(ISBLANK($C$92),"",$C$92))</f>
        <v/>
      </c>
      <c r="AF92" s="2">
        <f>IF(ISERROR($D$92),"",IF(ISBLANK($D$92),"",$D$92))</f>
        <v/>
      </c>
      <c r="AI92" s="2">
        <f>IF(ISERROR($G$92),"",IF(ISBLANK($G$92),"",$G$92))</f>
        <v/>
      </c>
      <c r="AJ92" s="2">
        <f>IF(ISERROR($H$92),"",IF(ISBLANK($H$92),"",$H$92))</f>
        <v/>
      </c>
      <c r="AL92" s="2">
        <f>IF(ISERROR($J$92),"",IF(ISBLANK($J$92),"",$J$92))</f>
        <v/>
      </c>
      <c r="AM92" s="2">
        <f>ISERROR($A$92)*1+ISERROR($C$92)*1+ISERROR($D$92)*1+ISERROR($G$92)*1+ISERROR($H$92)*1+ISERROR($J$92)*1</f>
        <v/>
      </c>
    </row>
    <row r="93" ht="93" customHeight="1">
      <c r="A93" s="38" t="n"/>
      <c r="B93" s="18">
        <f>IF(ISNUMBER($Q$93),COUNTIF($Q$76:$Q$107,"&lt;"&amp;$Q$93)+1,"")</f>
        <v/>
      </c>
      <c r="C93" s="16" t="n"/>
      <c r="D93" s="4" t="n"/>
      <c r="E93" s="25" t="n"/>
      <c r="F93" s="17" t="n"/>
      <c r="G93" s="4" t="n"/>
      <c r="H93" s="4" t="n"/>
      <c r="I93" s="17" t="n"/>
      <c r="J93" s="34" t="n"/>
      <c r="K93" s="19">
        <f>IF(AM93&gt;0,"O Google leu como fórmula: escolha de novo ou digite com ' na frente.",IF(LEN($AC$93)=0,IF(LEN($AF$93&amp;$AI$93&amp;$AJ$93&amp;$AE$93)&gt;0,"Sem dia: o evento fica fora da ordem",""),IF(ISNUMBER($Q$93),"","Dia fora de 1 a 9.999 (inteiro)")))</f>
        <v/>
      </c>
      <c r="Q93" s="2">
        <f>IF(ISNUMBER($AC$93),IF(AND($AC$93&gt;=1,$AC$93&lt;=9999,INT($AC$93)=$AC$93),$AC$93+17/100,""),"")</f>
        <v/>
      </c>
      <c r="R93" s="2">
        <f>IF(ISNUMBER($Q$93),IF(INT($Q$93)&gt;=$B$41,$Q$93,""),"")</f>
        <v/>
      </c>
      <c r="AA93" s="2">
        <f>'Tabelas'!$X$106&amp;""</f>
        <v/>
      </c>
      <c r="AC93" s="2">
        <f>IF(ISERROR($A$93),"",IF(ISBLANK($A$93),"",$A$93))</f>
        <v/>
      </c>
      <c r="AE93" s="2">
        <f>IF(ISERROR($C$93),"",IF(ISBLANK($C$93),"",$C$93))</f>
        <v/>
      </c>
      <c r="AF93" s="2">
        <f>IF(ISERROR($D$93),"",IF(ISBLANK($D$93),"",$D$93))</f>
        <v/>
      </c>
      <c r="AI93" s="2">
        <f>IF(ISERROR($G$93),"",IF(ISBLANK($G$93),"",$G$93))</f>
        <v/>
      </c>
      <c r="AJ93" s="2">
        <f>IF(ISERROR($H$93),"",IF(ISBLANK($H$93),"",$H$93))</f>
        <v/>
      </c>
      <c r="AL93" s="2">
        <f>IF(ISERROR($J$93),"",IF(ISBLANK($J$93),"",$J$93))</f>
        <v/>
      </c>
      <c r="AM93" s="2">
        <f>ISERROR($A$93)*1+ISERROR($C$93)*1+ISERROR($D$93)*1+ISERROR($G$93)*1+ISERROR($H$93)*1+ISERROR($J$93)*1</f>
        <v/>
      </c>
    </row>
    <row r="94" ht="93" customHeight="1">
      <c r="A94" s="39" t="n"/>
      <c r="B94" s="23">
        <f>IF(ISNUMBER($Q$94),COUNTIF($Q$76:$Q$107,"&lt;"&amp;$Q$94)+1,"")</f>
        <v/>
      </c>
      <c r="C94" s="37" t="n"/>
      <c r="D94" s="29" t="n"/>
      <c r="E94" s="25" t="n"/>
      <c r="F94" s="17" t="n"/>
      <c r="G94" s="29" t="n"/>
      <c r="H94" s="29" t="n"/>
      <c r="I94" s="17" t="n"/>
      <c r="J94" s="36" t="n"/>
      <c r="K94" s="27">
        <f>IF(AM94&gt;0,"O Google leu como fórmula: escolha de novo ou digite com ' na frente.",IF(LEN($AC$94)=0,IF(LEN($AF$94&amp;$AI$94&amp;$AJ$94&amp;$AE$94)&gt;0,"Sem dia: o evento fica fora da ordem",""),IF(ISNUMBER($Q$94),"","Dia fora de 1 a 9.999 (inteiro)")))</f>
        <v/>
      </c>
      <c r="Q94" s="2">
        <f>IF(ISNUMBER($AC$94),IF(AND($AC$94&gt;=1,$AC$94&lt;=9999,INT($AC$94)=$AC$94),$AC$94+18/100,""),"")</f>
        <v/>
      </c>
      <c r="R94" s="2">
        <f>IF(ISNUMBER($Q$94),IF(INT($Q$94)&gt;=$B$41,$Q$94,""),"")</f>
        <v/>
      </c>
      <c r="AA94" s="2">
        <f>'Tabelas'!$X$107&amp;""</f>
        <v/>
      </c>
      <c r="AC94" s="2">
        <f>IF(ISERROR($A$94),"",IF(ISBLANK($A$94),"",$A$94))</f>
        <v/>
      </c>
      <c r="AE94" s="2">
        <f>IF(ISERROR($C$94),"",IF(ISBLANK($C$94),"",$C$94))</f>
        <v/>
      </c>
      <c r="AF94" s="2">
        <f>IF(ISERROR($D$94),"",IF(ISBLANK($D$94),"",$D$94))</f>
        <v/>
      </c>
      <c r="AI94" s="2">
        <f>IF(ISERROR($G$94),"",IF(ISBLANK($G$94),"",$G$94))</f>
        <v/>
      </c>
      <c r="AJ94" s="2">
        <f>IF(ISERROR($H$94),"",IF(ISBLANK($H$94),"",$H$94))</f>
        <v/>
      </c>
      <c r="AL94" s="2">
        <f>IF(ISERROR($J$94),"",IF(ISBLANK($J$94),"",$J$94))</f>
        <v/>
      </c>
      <c r="AM94" s="2">
        <f>ISERROR($A$94)*1+ISERROR($C$94)*1+ISERROR($D$94)*1+ISERROR($G$94)*1+ISERROR($H$94)*1+ISERROR($J$94)*1</f>
        <v/>
      </c>
    </row>
    <row r="95" ht="93" customHeight="1">
      <c r="A95" s="38" t="n"/>
      <c r="B95" s="18">
        <f>IF(ISNUMBER($Q$95),COUNTIF($Q$76:$Q$107,"&lt;"&amp;$Q$95)+1,"")</f>
        <v/>
      </c>
      <c r="C95" s="16" t="n"/>
      <c r="D95" s="4" t="n"/>
      <c r="E95" s="25" t="n"/>
      <c r="F95" s="17" t="n"/>
      <c r="G95" s="4" t="n"/>
      <c r="H95" s="4" t="n"/>
      <c r="I95" s="17" t="n"/>
      <c r="J95" s="34" t="n"/>
      <c r="K95" s="19">
        <f>IF(AM95&gt;0,"O Google leu como fórmula: escolha de novo ou digite com ' na frente.",IF(LEN($AC$95)=0,IF(LEN($AF$95&amp;$AI$95&amp;$AJ$95&amp;$AE$95)&gt;0,"Sem dia: o evento fica fora da ordem",""),IF(ISNUMBER($Q$95),"","Dia fora de 1 a 9.999 (inteiro)")))</f>
        <v/>
      </c>
      <c r="Q95" s="2">
        <f>IF(ISNUMBER($AC$95),IF(AND($AC$95&gt;=1,$AC$95&lt;=9999,INT($AC$95)=$AC$95),$AC$95+19/100,""),"")</f>
        <v/>
      </c>
      <c r="R95" s="2">
        <f>IF(ISNUMBER($Q$95),IF(INT($Q$95)&gt;=$B$41,$Q$95,""),"")</f>
        <v/>
      </c>
      <c r="AA95" s="2">
        <f>'Tabelas'!$X$108&amp;""</f>
        <v/>
      </c>
      <c r="AC95" s="2">
        <f>IF(ISERROR($A$95),"",IF(ISBLANK($A$95),"",$A$95))</f>
        <v/>
      </c>
      <c r="AE95" s="2">
        <f>IF(ISERROR($C$95),"",IF(ISBLANK($C$95),"",$C$95))</f>
        <v/>
      </c>
      <c r="AF95" s="2">
        <f>IF(ISERROR($D$95),"",IF(ISBLANK($D$95),"",$D$95))</f>
        <v/>
      </c>
      <c r="AI95" s="2">
        <f>IF(ISERROR($G$95),"",IF(ISBLANK($G$95),"",$G$95))</f>
        <v/>
      </c>
      <c r="AJ95" s="2">
        <f>IF(ISERROR($H$95),"",IF(ISBLANK($H$95),"",$H$95))</f>
        <v/>
      </c>
      <c r="AL95" s="2">
        <f>IF(ISERROR($J$95),"",IF(ISBLANK($J$95),"",$J$95))</f>
        <v/>
      </c>
      <c r="AM95" s="2">
        <f>ISERROR($A$95)*1+ISERROR($C$95)*1+ISERROR($D$95)*1+ISERROR($G$95)*1+ISERROR($H$95)*1+ISERROR($J$95)*1</f>
        <v/>
      </c>
    </row>
    <row r="96" ht="93" customHeight="1">
      <c r="A96" s="39" t="n"/>
      <c r="B96" s="23">
        <f>IF(ISNUMBER($Q$96),COUNTIF($Q$76:$Q$107,"&lt;"&amp;$Q$96)+1,"")</f>
        <v/>
      </c>
      <c r="C96" s="37" t="n"/>
      <c r="D96" s="29" t="n"/>
      <c r="E96" s="25" t="n"/>
      <c r="F96" s="17" t="n"/>
      <c r="G96" s="29" t="n"/>
      <c r="H96" s="29" t="n"/>
      <c r="I96" s="17" t="n"/>
      <c r="J96" s="36" t="n"/>
      <c r="K96" s="27">
        <f>IF(AM96&gt;0,"O Google leu como fórmula: escolha de novo ou digite com ' na frente.",IF(LEN($AC$96)=0,IF(LEN($AF$96&amp;$AI$96&amp;$AJ$96&amp;$AE$96)&gt;0,"Sem dia: o evento fica fora da ordem",""),IF(ISNUMBER($Q$96),"","Dia fora de 1 a 9.999 (inteiro)")))</f>
        <v/>
      </c>
      <c r="Q96" s="2">
        <f>IF(ISNUMBER($AC$96),IF(AND($AC$96&gt;=1,$AC$96&lt;=9999,INT($AC$96)=$AC$96),$AC$96+20/100,""),"")</f>
        <v/>
      </c>
      <c r="R96" s="2">
        <f>IF(ISNUMBER($Q$96),IF(INT($Q$96)&gt;=$B$41,$Q$96,""),"")</f>
        <v/>
      </c>
      <c r="AA96" s="2">
        <f>'Tabelas'!$X$110&amp;""</f>
        <v/>
      </c>
      <c r="AC96" s="2">
        <f>IF(ISERROR($A$96),"",IF(ISBLANK($A$96),"",$A$96))</f>
        <v/>
      </c>
      <c r="AE96" s="2">
        <f>IF(ISERROR($C$96),"",IF(ISBLANK($C$96),"",$C$96))</f>
        <v/>
      </c>
      <c r="AF96" s="2">
        <f>IF(ISERROR($D$96),"",IF(ISBLANK($D$96),"",$D$96))</f>
        <v/>
      </c>
      <c r="AI96" s="2">
        <f>IF(ISERROR($G$96),"",IF(ISBLANK($G$96),"",$G$96))</f>
        <v/>
      </c>
      <c r="AJ96" s="2">
        <f>IF(ISERROR($H$96),"",IF(ISBLANK($H$96),"",$H$96))</f>
        <v/>
      </c>
      <c r="AL96" s="2">
        <f>IF(ISERROR($J$96),"",IF(ISBLANK($J$96),"",$J$96))</f>
        <v/>
      </c>
      <c r="AM96" s="2">
        <f>ISERROR($A$96)*1+ISERROR($C$96)*1+ISERROR($D$96)*1+ISERROR($G$96)*1+ISERROR($H$96)*1+ISERROR($J$96)*1</f>
        <v/>
      </c>
    </row>
    <row r="97" ht="37" customHeight="1">
      <c r="A97" s="8" t="inlineStr">
        <is>
          <t>Dia de campanha (preencha)</t>
        </is>
      </c>
      <c r="B97" s="8" t="inlineStr">
        <is>
          <t>Nº na ordem (automático)</t>
        </is>
      </c>
      <c r="C97" s="8" t="inlineStr">
        <is>
          <t>Sessão</t>
        </is>
      </c>
      <c r="D97" s="8" t="inlineStr">
        <is>
          <t>Evento</t>
        </is>
      </c>
      <c r="E97" s="20" t="n"/>
      <c r="F97" s="20" t="n"/>
      <c r="G97" s="8" t="inlineStr">
        <is>
          <t>Quem (facção ou NPC)</t>
        </is>
      </c>
      <c r="H97" s="8" t="inlineStr">
        <is>
          <t>Consequência</t>
        </is>
      </c>
      <c r="I97" s="20" t="n"/>
      <c r="J97" s="8" t="inlineStr">
        <is>
          <t>Público?</t>
        </is>
      </c>
      <c r="K97" s="8" t="inlineStr">
        <is>
          <t>Aviso</t>
        </is>
      </c>
      <c r="L97" s="20" t="n"/>
      <c r="AA97" s="2">
        <f>'Tabelas'!$X$111&amp;""</f>
        <v/>
      </c>
      <c r="AC97" s="2">
        <f>IF(ISERROR($A$97),"",IF(ISBLANK($A$97),"",$A$97))</f>
        <v/>
      </c>
      <c r="AE97" s="2">
        <f>IF(ISERROR($C$97),"",IF(ISBLANK($C$97),"",$C$97))</f>
        <v/>
      </c>
      <c r="AF97" s="2">
        <f>IF(ISERROR($D$97),"",IF(ISBLANK($D$97),"",$D$97))</f>
        <v/>
      </c>
      <c r="AI97" s="2">
        <f>IF(ISERROR($G$97),"",IF(ISBLANK($G$97),"",$G$97))</f>
        <v/>
      </c>
      <c r="AJ97" s="2">
        <f>IF(ISERROR($H$97),"",IF(ISBLANK($H$97),"",$H$97))</f>
        <v/>
      </c>
      <c r="AL97" s="2">
        <f>IF(ISERROR($J$97),"",IF(ISBLANK($J$97),"",$J$97))</f>
        <v/>
      </c>
    </row>
    <row r="98" ht="93" customHeight="1">
      <c r="A98" s="38" t="n"/>
      <c r="B98" s="18">
        <f>IF(ISNUMBER($Q$98),COUNTIF($Q$76:$Q$107,"&lt;"&amp;$Q$98)+1,"")</f>
        <v/>
      </c>
      <c r="C98" s="16" t="n"/>
      <c r="D98" s="4" t="n"/>
      <c r="E98" s="25" t="n"/>
      <c r="F98" s="17" t="n"/>
      <c r="G98" s="4" t="n"/>
      <c r="H98" s="4" t="n"/>
      <c r="I98" s="17" t="n"/>
      <c r="J98" s="34" t="n"/>
      <c r="K98" s="19">
        <f>IF(AM98&gt;0,"O Google leu como fórmula: escolha de novo ou digite com ' na frente.",IF(LEN($AC$98)=0,IF(LEN($AF$98&amp;$AI$98&amp;$AJ$98&amp;$AE$98)&gt;0,"Sem dia: o evento fica fora da ordem",""),IF(ISNUMBER($Q$98),"","Dia fora de 1 a 9.999 (inteiro)")))</f>
        <v/>
      </c>
      <c r="Q98" s="2">
        <f>IF(ISNUMBER($AC$98),IF(AND($AC$98&gt;=1,$AC$98&lt;=9999,INT($AC$98)=$AC$98),$AC$98+21/100,""),"")</f>
        <v/>
      </c>
      <c r="R98" s="2">
        <f>IF(ISNUMBER($Q$98),IF(INT($Q$98)&gt;=$B$41,$Q$98,""),"")</f>
        <v/>
      </c>
      <c r="AA98" s="2">
        <f>'Tabelas'!$X$112&amp;""</f>
        <v/>
      </c>
      <c r="AC98" s="2">
        <f>IF(ISERROR($A$98),"",IF(ISBLANK($A$98),"",$A$98))</f>
        <v/>
      </c>
      <c r="AE98" s="2">
        <f>IF(ISERROR($C$98),"",IF(ISBLANK($C$98),"",$C$98))</f>
        <v/>
      </c>
      <c r="AF98" s="2">
        <f>IF(ISERROR($D$98),"",IF(ISBLANK($D$98),"",$D$98))</f>
        <v/>
      </c>
      <c r="AI98" s="2">
        <f>IF(ISERROR($G$98),"",IF(ISBLANK($G$98),"",$G$98))</f>
        <v/>
      </c>
      <c r="AJ98" s="2">
        <f>IF(ISERROR($H$98),"",IF(ISBLANK($H$98),"",$H$98))</f>
        <v/>
      </c>
      <c r="AL98" s="2">
        <f>IF(ISERROR($J$98),"",IF(ISBLANK($J$98),"",$J$98))</f>
        <v/>
      </c>
      <c r="AM98" s="2">
        <f>ISERROR($A$98)*1+ISERROR($C$98)*1+ISERROR($D$98)*1+ISERROR($G$98)*1+ISERROR($H$98)*1+ISERROR($J$98)*1</f>
        <v/>
      </c>
    </row>
    <row r="99" ht="93" customHeight="1">
      <c r="A99" s="39" t="n"/>
      <c r="B99" s="23">
        <f>IF(ISNUMBER($Q$99),COUNTIF($Q$76:$Q$107,"&lt;"&amp;$Q$99)+1,"")</f>
        <v/>
      </c>
      <c r="C99" s="37" t="n"/>
      <c r="D99" s="29" t="n"/>
      <c r="E99" s="25" t="n"/>
      <c r="F99" s="17" t="n"/>
      <c r="G99" s="29" t="n"/>
      <c r="H99" s="29" t="n"/>
      <c r="I99" s="17" t="n"/>
      <c r="J99" s="36" t="n"/>
      <c r="K99" s="27">
        <f>IF(AM99&gt;0,"O Google leu como fórmula: escolha de novo ou digite com ' na frente.",IF(LEN($AC$99)=0,IF(LEN($AF$99&amp;$AI$99&amp;$AJ$99&amp;$AE$99)&gt;0,"Sem dia: o evento fica fora da ordem",""),IF(ISNUMBER($Q$99),"","Dia fora de 1 a 9.999 (inteiro)")))</f>
        <v/>
      </c>
      <c r="Q99" s="2">
        <f>IF(ISNUMBER($AC$99),IF(AND($AC$99&gt;=1,$AC$99&lt;=9999,INT($AC$99)=$AC$99),$AC$99+22/100,""),"")</f>
        <v/>
      </c>
      <c r="R99" s="2">
        <f>IF(ISNUMBER($Q$99),IF(INT($Q$99)&gt;=$B$41,$Q$99,""),"")</f>
        <v/>
      </c>
      <c r="AA99" s="2">
        <f>'Tabelas'!$X$113&amp;""</f>
        <v/>
      </c>
      <c r="AC99" s="2">
        <f>IF(ISERROR($A$99),"",IF(ISBLANK($A$99),"",$A$99))</f>
        <v/>
      </c>
      <c r="AE99" s="2">
        <f>IF(ISERROR($C$99),"",IF(ISBLANK($C$99),"",$C$99))</f>
        <v/>
      </c>
      <c r="AF99" s="2">
        <f>IF(ISERROR($D$99),"",IF(ISBLANK($D$99),"",$D$99))</f>
        <v/>
      </c>
      <c r="AI99" s="2">
        <f>IF(ISERROR($G$99),"",IF(ISBLANK($G$99),"",$G$99))</f>
        <v/>
      </c>
      <c r="AJ99" s="2">
        <f>IF(ISERROR($H$99),"",IF(ISBLANK($H$99),"",$H$99))</f>
        <v/>
      </c>
      <c r="AL99" s="2">
        <f>IF(ISERROR($J$99),"",IF(ISBLANK($J$99),"",$J$99))</f>
        <v/>
      </c>
      <c r="AM99" s="2">
        <f>ISERROR($A$99)*1+ISERROR($C$99)*1+ISERROR($D$99)*1+ISERROR($G$99)*1+ISERROR($H$99)*1+ISERROR($J$99)*1</f>
        <v/>
      </c>
    </row>
    <row r="100" ht="93" customHeight="1">
      <c r="A100" s="38" t="n"/>
      <c r="B100" s="18">
        <f>IF(ISNUMBER($Q$100),COUNTIF($Q$76:$Q$107,"&lt;"&amp;$Q$100)+1,"")</f>
        <v/>
      </c>
      <c r="C100" s="16" t="n"/>
      <c r="D100" s="4" t="n"/>
      <c r="E100" s="25" t="n"/>
      <c r="F100" s="17" t="n"/>
      <c r="G100" s="4" t="n"/>
      <c r="H100" s="4" t="n"/>
      <c r="I100" s="17" t="n"/>
      <c r="J100" s="34" t="n"/>
      <c r="K100" s="19">
        <f>IF(AM100&gt;0,"O Google leu como fórmula: escolha de novo ou digite com ' na frente.",IF(LEN($AC$100)=0,IF(LEN($AF$100&amp;$AI$100&amp;$AJ$100&amp;$AE$100)&gt;0,"Sem dia: o evento fica fora da ordem",""),IF(ISNUMBER($Q$100),"","Dia fora de 1 a 9.999 (inteiro)")))</f>
        <v/>
      </c>
      <c r="Q100" s="2">
        <f>IF(ISNUMBER($AC$100),IF(AND($AC$100&gt;=1,$AC$100&lt;=9999,INT($AC$100)=$AC$100),$AC$100+23/100,""),"")</f>
        <v/>
      </c>
      <c r="R100" s="2">
        <f>IF(ISNUMBER($Q$100),IF(INT($Q$100)&gt;=$B$41,$Q$100,""),"")</f>
        <v/>
      </c>
      <c r="AA100" s="2">
        <f>'Tabelas'!$X$114&amp;""</f>
        <v/>
      </c>
      <c r="AC100" s="2">
        <f>IF(ISERROR($A$100),"",IF(ISBLANK($A$100),"",$A$100))</f>
        <v/>
      </c>
      <c r="AE100" s="2">
        <f>IF(ISERROR($C$100),"",IF(ISBLANK($C$100),"",$C$100))</f>
        <v/>
      </c>
      <c r="AF100" s="2">
        <f>IF(ISERROR($D$100),"",IF(ISBLANK($D$100),"",$D$100))</f>
        <v/>
      </c>
      <c r="AI100" s="2">
        <f>IF(ISERROR($G$100),"",IF(ISBLANK($G$100),"",$G$100))</f>
        <v/>
      </c>
      <c r="AJ100" s="2">
        <f>IF(ISERROR($H$100),"",IF(ISBLANK($H$100),"",$H$100))</f>
        <v/>
      </c>
      <c r="AL100" s="2">
        <f>IF(ISERROR($J$100),"",IF(ISBLANK($J$100),"",$J$100))</f>
        <v/>
      </c>
      <c r="AM100" s="2">
        <f>ISERROR($A$100)*1+ISERROR($C$100)*1+ISERROR($D$100)*1+ISERROR($G$100)*1+ISERROR($H$100)*1+ISERROR($J$100)*1</f>
        <v/>
      </c>
    </row>
    <row r="101" ht="82" customHeight="1">
      <c r="A101" s="39" t="n"/>
      <c r="B101" s="23">
        <f>IF(ISNUMBER($Q$101),COUNTIF($Q$76:$Q$107,"&lt;"&amp;$Q$101)+1,"")</f>
        <v/>
      </c>
      <c r="C101" s="37" t="n"/>
      <c r="D101" s="29" t="n"/>
      <c r="E101" s="25" t="n"/>
      <c r="F101" s="17" t="n"/>
      <c r="G101" s="29" t="n"/>
      <c r="H101" s="29" t="n"/>
      <c r="I101" s="17" t="n"/>
      <c r="J101" s="36" t="n"/>
      <c r="K101" s="27">
        <f>IF(AM101&gt;0,"O Google leu como fórmula: escolha de novo ou digite com ' na frente.",IF(LEN($AC$101)=0,IF(LEN($AF$101&amp;$AI$101&amp;$AJ$101&amp;$AE$101)&gt;0,"Sem dia: o evento fica fora da ordem",""),IF(ISNUMBER($Q$101),"","Dia fora de 1 a 9.999 (inteiro)")))</f>
        <v/>
      </c>
      <c r="Q101" s="2">
        <f>IF(ISNUMBER($AC$101),IF(AND($AC$101&gt;=1,$AC$101&lt;=9999,INT($AC$101)=$AC$101),$AC$101+24/100,""),"")</f>
        <v/>
      </c>
      <c r="R101" s="2">
        <f>IF(ISNUMBER($Q$101),IF(INT($Q$101)&gt;=$B$41,$Q$101,""),"")</f>
        <v/>
      </c>
      <c r="AA101" s="2">
        <f>'Tabelas'!$X$115&amp;""</f>
        <v/>
      </c>
      <c r="AC101" s="2">
        <f>IF(ISERROR($A$101),"",IF(ISBLANK($A$101),"",$A$101))</f>
        <v/>
      </c>
      <c r="AE101" s="2">
        <f>IF(ISERROR($C$101),"",IF(ISBLANK($C$101),"",$C$101))</f>
        <v/>
      </c>
      <c r="AF101" s="2">
        <f>IF(ISERROR($D$101),"",IF(ISBLANK($D$101),"",$D$101))</f>
        <v/>
      </c>
      <c r="AI101" s="2">
        <f>IF(ISERROR($G$101),"",IF(ISBLANK($G$101),"",$G$101))</f>
        <v/>
      </c>
      <c r="AJ101" s="2">
        <f>IF(ISERROR($H$101),"",IF(ISBLANK($H$101),"",$H$101))</f>
        <v/>
      </c>
      <c r="AL101" s="2">
        <f>IF(ISERROR($J$101),"",IF(ISBLANK($J$101),"",$J$101))</f>
        <v/>
      </c>
      <c r="AM101" s="2">
        <f>ISERROR($A$101)*1+ISERROR($C$101)*1+ISERROR($D$101)*1+ISERROR($G$101)*1+ISERROR($H$101)*1+ISERROR($J$101)*1</f>
        <v/>
      </c>
    </row>
    <row r="102" ht="93" customHeight="1">
      <c r="A102" s="38" t="n"/>
      <c r="B102" s="18">
        <f>IF(ISNUMBER($Q$102),COUNTIF($Q$76:$Q$107,"&lt;"&amp;$Q$102)+1,"")</f>
        <v/>
      </c>
      <c r="C102" s="16" t="n"/>
      <c r="D102" s="4" t="n"/>
      <c r="E102" s="25" t="n"/>
      <c r="F102" s="17" t="n"/>
      <c r="G102" s="4" t="n"/>
      <c r="H102" s="4" t="n"/>
      <c r="I102" s="17" t="n"/>
      <c r="J102" s="34" t="n"/>
      <c r="K102" s="19">
        <f>IF(AM102&gt;0,"O Google leu como fórmula: escolha de novo ou digite com ' na frente.",IF(LEN($AC$102)=0,IF(LEN($AF$102&amp;$AI$102&amp;$AJ$102&amp;$AE$102)&gt;0,"Sem dia: o evento fica fora da ordem",""),IF(ISNUMBER($Q$102),"","Dia fora de 1 a 9.999 (inteiro)")))</f>
        <v/>
      </c>
      <c r="Q102" s="2">
        <f>IF(ISNUMBER($AC$102),IF(AND($AC$102&gt;=1,$AC$102&lt;=9999,INT($AC$102)=$AC$102),$AC$102+25/100,""),"")</f>
        <v/>
      </c>
      <c r="R102" s="2">
        <f>IF(ISNUMBER($Q$102),IF(INT($Q$102)&gt;=$B$41,$Q$102,""),"")</f>
        <v/>
      </c>
      <c r="AA102" s="2">
        <f>'Tabelas'!$X$116&amp;""</f>
        <v/>
      </c>
      <c r="AC102" s="2">
        <f>IF(ISERROR($A$102),"",IF(ISBLANK($A$102),"",$A$102))</f>
        <v/>
      </c>
      <c r="AE102" s="2">
        <f>IF(ISERROR($C$102),"",IF(ISBLANK($C$102),"",$C$102))</f>
        <v/>
      </c>
      <c r="AF102" s="2">
        <f>IF(ISERROR($D$102),"",IF(ISBLANK($D$102),"",$D$102))</f>
        <v/>
      </c>
      <c r="AI102" s="2">
        <f>IF(ISERROR($G$102),"",IF(ISBLANK($G$102),"",$G$102))</f>
        <v/>
      </c>
      <c r="AJ102" s="2">
        <f>IF(ISERROR($H$102),"",IF(ISBLANK($H$102),"",$H$102))</f>
        <v/>
      </c>
      <c r="AL102" s="2">
        <f>IF(ISERROR($J$102),"",IF(ISBLANK($J$102),"",$J$102))</f>
        <v/>
      </c>
      <c r="AM102" s="2">
        <f>ISERROR($A$102)*1+ISERROR($C$102)*1+ISERROR($D$102)*1+ISERROR($G$102)*1+ISERROR($H$102)*1+ISERROR($J$102)*1</f>
        <v/>
      </c>
    </row>
    <row r="103" ht="93" customHeight="1">
      <c r="A103" s="39" t="n"/>
      <c r="B103" s="23">
        <f>IF(ISNUMBER($Q$103),COUNTIF($Q$76:$Q$107,"&lt;"&amp;$Q$103)+1,"")</f>
        <v/>
      </c>
      <c r="C103" s="37" t="n"/>
      <c r="D103" s="29" t="n"/>
      <c r="E103" s="25" t="n"/>
      <c r="F103" s="17" t="n"/>
      <c r="G103" s="29" t="n"/>
      <c r="H103" s="29" t="n"/>
      <c r="I103" s="17" t="n"/>
      <c r="J103" s="36" t="n"/>
      <c r="K103" s="27">
        <f>IF(AM103&gt;0,"O Google leu como fórmula: escolha de novo ou digite com ' na frente.",IF(LEN($AC$103)=0,IF(LEN($AF$103&amp;$AI$103&amp;$AJ$103&amp;$AE$103)&gt;0,"Sem dia: o evento fica fora da ordem",""),IF(ISNUMBER($Q$103),"","Dia fora de 1 a 9.999 (inteiro)")))</f>
        <v/>
      </c>
      <c r="Q103" s="2">
        <f>IF(ISNUMBER($AC$103),IF(AND($AC$103&gt;=1,$AC$103&lt;=9999,INT($AC$103)=$AC$103),$AC$103+26/100,""),"")</f>
        <v/>
      </c>
      <c r="R103" s="2">
        <f>IF(ISNUMBER($Q$103),IF(INT($Q$103)&gt;=$B$41,$Q$103,""),"")</f>
        <v/>
      </c>
      <c r="AA103" s="2">
        <f>'Tabelas'!$X$117&amp;""</f>
        <v/>
      </c>
      <c r="AC103" s="2">
        <f>IF(ISERROR($A$103),"",IF(ISBLANK($A$103),"",$A$103))</f>
        <v/>
      </c>
      <c r="AE103" s="2">
        <f>IF(ISERROR($C$103),"",IF(ISBLANK($C$103),"",$C$103))</f>
        <v/>
      </c>
      <c r="AF103" s="2">
        <f>IF(ISERROR($D$103),"",IF(ISBLANK($D$103),"",$D$103))</f>
        <v/>
      </c>
      <c r="AI103" s="2">
        <f>IF(ISERROR($G$103),"",IF(ISBLANK($G$103),"",$G$103))</f>
        <v/>
      </c>
      <c r="AJ103" s="2">
        <f>IF(ISERROR($H$103),"",IF(ISBLANK($H$103),"",$H$103))</f>
        <v/>
      </c>
      <c r="AL103" s="2">
        <f>IF(ISERROR($J$103),"",IF(ISBLANK($J$103),"",$J$103))</f>
        <v/>
      </c>
      <c r="AM103" s="2">
        <f>ISERROR($A$103)*1+ISERROR($C$103)*1+ISERROR($D$103)*1+ISERROR($G$103)*1+ISERROR($H$103)*1+ISERROR($J$103)*1</f>
        <v/>
      </c>
    </row>
    <row r="104" ht="93" customHeight="1">
      <c r="A104" s="38" t="n"/>
      <c r="B104" s="18">
        <f>IF(ISNUMBER($Q$104),COUNTIF($Q$76:$Q$107,"&lt;"&amp;$Q$104)+1,"")</f>
        <v/>
      </c>
      <c r="C104" s="16" t="n"/>
      <c r="D104" s="4" t="n"/>
      <c r="E104" s="25" t="n"/>
      <c r="F104" s="17" t="n"/>
      <c r="G104" s="4" t="n"/>
      <c r="H104" s="4" t="n"/>
      <c r="I104" s="17" t="n"/>
      <c r="J104" s="34" t="n"/>
      <c r="K104" s="19">
        <f>IF(AM104&gt;0,"O Google leu como fórmula: escolha de novo ou digite com ' na frente.",IF(LEN($AC$104)=0,IF(LEN($AF$104&amp;$AI$104&amp;$AJ$104&amp;$AE$104)&gt;0,"Sem dia: o evento fica fora da ordem",""),IF(ISNUMBER($Q$104),"","Dia fora de 1 a 9.999 (inteiro)")))</f>
        <v/>
      </c>
      <c r="Q104" s="2">
        <f>IF(ISNUMBER($AC$104),IF(AND($AC$104&gt;=1,$AC$104&lt;=9999,INT($AC$104)=$AC$104),$AC$104+27/100,""),"")</f>
        <v/>
      </c>
      <c r="R104" s="2">
        <f>IF(ISNUMBER($Q$104),IF(INT($Q$104)&gt;=$B$41,$Q$104,""),"")</f>
        <v/>
      </c>
      <c r="AA104" s="2">
        <f>'Tabelas'!$X$118&amp;""</f>
        <v/>
      </c>
      <c r="AC104" s="2">
        <f>IF(ISERROR($A$104),"",IF(ISBLANK($A$104),"",$A$104))</f>
        <v/>
      </c>
      <c r="AE104" s="2">
        <f>IF(ISERROR($C$104),"",IF(ISBLANK($C$104),"",$C$104))</f>
        <v/>
      </c>
      <c r="AF104" s="2">
        <f>IF(ISERROR($D$104),"",IF(ISBLANK($D$104),"",$D$104))</f>
        <v/>
      </c>
      <c r="AI104" s="2">
        <f>IF(ISERROR($G$104),"",IF(ISBLANK($G$104),"",$G$104))</f>
        <v/>
      </c>
      <c r="AJ104" s="2">
        <f>IF(ISERROR($H$104),"",IF(ISBLANK($H$104),"",$H$104))</f>
        <v/>
      </c>
      <c r="AL104" s="2">
        <f>IF(ISERROR($J$104),"",IF(ISBLANK($J$104),"",$J$104))</f>
        <v/>
      </c>
      <c r="AM104" s="2">
        <f>ISERROR($A$104)*1+ISERROR($C$104)*1+ISERROR($D$104)*1+ISERROR($G$104)*1+ISERROR($H$104)*1+ISERROR($J$104)*1</f>
        <v/>
      </c>
    </row>
    <row r="105" ht="93" customHeight="1">
      <c r="A105" s="39" t="n"/>
      <c r="B105" s="23">
        <f>IF(ISNUMBER($Q$105),COUNTIF($Q$76:$Q$107,"&lt;"&amp;$Q$105)+1,"")</f>
        <v/>
      </c>
      <c r="C105" s="37" t="n"/>
      <c r="D105" s="29" t="n"/>
      <c r="E105" s="25" t="n"/>
      <c r="F105" s="17" t="n"/>
      <c r="G105" s="29" t="n"/>
      <c r="H105" s="29" t="n"/>
      <c r="I105" s="17" t="n"/>
      <c r="J105" s="36" t="n"/>
      <c r="K105" s="27">
        <f>IF(AM105&gt;0,"O Google leu como fórmula: escolha de novo ou digite com ' na frente.",IF(LEN($AC$105)=0,IF(LEN($AF$105&amp;$AI$105&amp;$AJ$105&amp;$AE$105)&gt;0,"Sem dia: o evento fica fora da ordem",""),IF(ISNUMBER($Q$105),"","Dia fora de 1 a 9.999 (inteiro)")))</f>
        <v/>
      </c>
      <c r="Q105" s="2">
        <f>IF(ISNUMBER($AC$105),IF(AND($AC$105&gt;=1,$AC$105&lt;=9999,INT($AC$105)=$AC$105),$AC$105+28/100,""),"")</f>
        <v/>
      </c>
      <c r="R105" s="2">
        <f>IF(ISNUMBER($Q$105),IF(INT($Q$105)&gt;=$B$41,$Q$105,""),"")</f>
        <v/>
      </c>
      <c r="AC105" s="2">
        <f>IF(ISERROR($A$105),"",IF(ISBLANK($A$105),"",$A$105))</f>
        <v/>
      </c>
      <c r="AE105" s="2">
        <f>IF(ISERROR($C$105),"",IF(ISBLANK($C$105),"",$C$105))</f>
        <v/>
      </c>
      <c r="AF105" s="2">
        <f>IF(ISERROR($D$105),"",IF(ISBLANK($D$105),"",$D$105))</f>
        <v/>
      </c>
      <c r="AI105" s="2">
        <f>IF(ISERROR($G$105),"",IF(ISBLANK($G$105),"",$G$105))</f>
        <v/>
      </c>
      <c r="AJ105" s="2">
        <f>IF(ISERROR($H$105),"",IF(ISBLANK($H$105),"",$H$105))</f>
        <v/>
      </c>
      <c r="AL105" s="2">
        <f>IF(ISERROR($J$105),"",IF(ISBLANK($J$105),"",$J$105))</f>
        <v/>
      </c>
      <c r="AM105" s="2">
        <f>ISERROR($A$105)*1+ISERROR($C$105)*1+ISERROR($D$105)*1+ISERROR($G$105)*1+ISERROR($H$105)*1+ISERROR($J$105)*1</f>
        <v/>
      </c>
    </row>
    <row r="106" ht="93" customHeight="1">
      <c r="A106" s="38" t="n"/>
      <c r="B106" s="18">
        <f>IF(ISNUMBER($Q$106),COUNTIF($Q$76:$Q$107,"&lt;"&amp;$Q$106)+1,"")</f>
        <v/>
      </c>
      <c r="C106" s="16" t="n"/>
      <c r="D106" s="4" t="n"/>
      <c r="E106" s="25" t="n"/>
      <c r="F106" s="17" t="n"/>
      <c r="G106" s="4" t="n"/>
      <c r="H106" s="4" t="n"/>
      <c r="I106" s="17" t="n"/>
      <c r="J106" s="34" t="n"/>
      <c r="K106" s="19">
        <f>IF(AM106&gt;0,"O Google leu como fórmula: escolha de novo ou digite com ' na frente.",IF(LEN($AC$106)=0,IF(LEN($AF$106&amp;$AI$106&amp;$AJ$106&amp;$AE$106)&gt;0,"Sem dia: o evento fica fora da ordem",""),IF(ISNUMBER($Q$106),"","Dia fora de 1 a 9.999 (inteiro)")))</f>
        <v/>
      </c>
      <c r="Q106" s="2">
        <f>IF(ISNUMBER($AC$106),IF(AND($AC$106&gt;=1,$AC$106&lt;=9999,INT($AC$106)=$AC$106),$AC$106+29/100,""),"")</f>
        <v/>
      </c>
      <c r="R106" s="2">
        <f>IF(ISNUMBER($Q$106),IF(INT($Q$106)&gt;=$B$41,$Q$106,""),"")</f>
        <v/>
      </c>
      <c r="AC106" s="2">
        <f>IF(ISERROR($A$106),"",IF(ISBLANK($A$106),"",$A$106))</f>
        <v/>
      </c>
      <c r="AE106" s="2">
        <f>IF(ISERROR($C$106),"",IF(ISBLANK($C$106),"",$C$106))</f>
        <v/>
      </c>
      <c r="AF106" s="2">
        <f>IF(ISERROR($D$106),"",IF(ISBLANK($D$106),"",$D$106))</f>
        <v/>
      </c>
      <c r="AI106" s="2">
        <f>IF(ISERROR($G$106),"",IF(ISBLANK($G$106),"",$G$106))</f>
        <v/>
      </c>
      <c r="AJ106" s="2">
        <f>IF(ISERROR($H$106),"",IF(ISBLANK($H$106),"",$H$106))</f>
        <v/>
      </c>
      <c r="AL106" s="2">
        <f>IF(ISERROR($J$106),"",IF(ISBLANK($J$106),"",$J$106))</f>
        <v/>
      </c>
      <c r="AM106" s="2">
        <f>ISERROR($A$106)*1+ISERROR($C$106)*1+ISERROR($D$106)*1+ISERROR($G$106)*1+ISERROR($H$106)*1+ISERROR($J$106)*1</f>
        <v/>
      </c>
    </row>
    <row r="107" ht="93" customHeight="1">
      <c r="A107" s="39" t="n"/>
      <c r="B107" s="23">
        <f>IF(ISNUMBER($Q$107),COUNTIF($Q$76:$Q$107,"&lt;"&amp;$Q$107)+1,"")</f>
        <v/>
      </c>
      <c r="C107" s="37" t="n"/>
      <c r="D107" s="29" t="n"/>
      <c r="E107" s="25" t="n"/>
      <c r="F107" s="17" t="n"/>
      <c r="G107" s="29" t="n"/>
      <c r="H107" s="29" t="n"/>
      <c r="I107" s="17" t="n"/>
      <c r="J107" s="36" t="n"/>
      <c r="K107" s="27">
        <f>IF(AM107&gt;0,"O Google leu como fórmula: escolha de novo ou digite com ' na frente.",IF(LEN($AC$107)=0,IF(LEN($AF$107&amp;$AI$107&amp;$AJ$107&amp;$AE$107)&gt;0,"Sem dia: o evento fica fora da ordem",""),IF(ISNUMBER($Q$107),"","Dia fora de 1 a 9.999 (inteiro)")))</f>
        <v/>
      </c>
      <c r="Q107" s="2">
        <f>IF(ISNUMBER($AC$107),IF(AND($AC$107&gt;=1,$AC$107&lt;=9999,INT($AC$107)=$AC$107),$AC$107+30/100,""),"")</f>
        <v/>
      </c>
      <c r="R107" s="2">
        <f>IF(ISNUMBER($Q$107),IF(INT($Q$107)&gt;=$B$41,$Q$107,""),"")</f>
        <v/>
      </c>
      <c r="AC107" s="2">
        <f>IF(ISERROR($A$107),"",IF(ISBLANK($A$107),"",$A$107))</f>
        <v/>
      </c>
      <c r="AE107" s="2">
        <f>IF(ISERROR($C$107),"",IF(ISBLANK($C$107),"",$C$107))</f>
        <v/>
      </c>
      <c r="AF107" s="2">
        <f>IF(ISERROR($D$107),"",IF(ISBLANK($D$107),"",$D$107))</f>
        <v/>
      </c>
      <c r="AI107" s="2">
        <f>IF(ISERROR($G$107),"",IF(ISBLANK($G$107),"",$G$107))</f>
        <v/>
      </c>
      <c r="AJ107" s="2">
        <f>IF(ISERROR($H$107),"",IF(ISBLANK($H$107),"",$H$107))</f>
        <v/>
      </c>
      <c r="AL107" s="2">
        <f>IF(ISERROR($J$107),"",IF(ISBLANK($J$107),"",$J$107))</f>
        <v/>
      </c>
      <c r="AM107" s="2">
        <f>ISERROR($A$107)*1+ISERROR($C$107)*1+ISERROR($D$107)*1+ISERROR($G$107)*1+ISERROR($H$107)*1+ISERROR($J$107)*1</f>
        <v/>
      </c>
    </row>
    <row r="108" ht="20" customHeight="1">
      <c r="A108" s="13" t="inlineStr">
        <is>
          <t>Próximos eventos agendados (os 5 primeiros a partir do dia de hoje)</t>
        </is>
      </c>
    </row>
    <row r="109">
      <c r="A109" s="5">
        <f>"A partir do dia "&amp;$B$41&amp;" (Dia de campanha, na Mesa). "&amp;IF(SUMPRODUCT(ISNUMBER($R$76:$R$107)*1)=0,"Nenhum evento agendado de hoje em diante.",SUMPRODUCT(ISNUMBER($R$76:$R$107)*1)&amp;" evento(s) de hoje em diante.")</f>
        <v/>
      </c>
    </row>
    <row r="110">
      <c r="A110" s="8" t="inlineStr">
        <is>
          <t>Dia</t>
        </is>
      </c>
      <c r="B110" s="8" t="inlineStr">
        <is>
          <t>Faltam (dias)</t>
        </is>
      </c>
      <c r="C110" s="8" t="inlineStr">
        <is>
          <t>Sessão</t>
        </is>
      </c>
      <c r="D110" s="8" t="inlineStr">
        <is>
          <t>Evento</t>
        </is>
      </c>
      <c r="E110" s="20" t="n"/>
      <c r="F110" s="20" t="n"/>
      <c r="G110" s="8" t="inlineStr">
        <is>
          <t>Quem</t>
        </is>
      </c>
      <c r="H110" s="8" t="inlineStr">
        <is>
          <t>Consequência</t>
        </is>
      </c>
      <c r="I110" s="20" t="n"/>
      <c r="J110" s="8" t="inlineStr">
        <is>
          <t>Público?</t>
        </is>
      </c>
    </row>
    <row r="111" ht="105" customHeight="1">
      <c r="A111" s="40">
        <f>IF(ISNUMBER($T$111),INDEX($AC$76:$AC$107,$T$111),"")</f>
        <v/>
      </c>
      <c r="B111" s="18">
        <f>IF(ISNUMBER($A$111),$A$111-$B$41,"")</f>
        <v/>
      </c>
      <c r="C111" s="18">
        <f>IF(ISNUMBER($T$111),INDEX($AE$76:$AE$107,$T$111),"")</f>
        <v/>
      </c>
      <c r="D111" s="5">
        <f>IF(ISNUMBER($T$111),INDEX($AF$76:$AF$107,$T$111),"")</f>
        <v/>
      </c>
      <c r="G111" s="5">
        <f>IF(ISNUMBER($T$111),INDEX($AI$76:$AI$107,$T$111),"")</f>
        <v/>
      </c>
      <c r="H111" s="5">
        <f>IF(ISNUMBER($T$111),INDEX($AJ$76:$AJ$107,$T$111),"")</f>
        <v/>
      </c>
      <c r="J111" s="18">
        <f>IF(ISNUMBER($T$111),INDEX($AL$76:$AL$107,$T$111),"")</f>
        <v/>
      </c>
      <c r="S111" s="2">
        <f>IFERROR(SMALL($R$76:$R$107,1),"")</f>
        <v/>
      </c>
      <c r="T111" s="2">
        <f>IF(ISNUMBER($S$111),IFERROR(MATCH($S$111,$R$76:$R$107,0),""),"")</f>
        <v/>
      </c>
    </row>
    <row r="112" ht="105" customHeight="1">
      <c r="A112" s="41">
        <f>IF(ISNUMBER($T$112),INDEX($AC$76:$AC$107,$T$112),"")</f>
        <v/>
      </c>
      <c r="B112" s="23">
        <f>IF(ISNUMBER($A$112),$A$112-$B$41,"")</f>
        <v/>
      </c>
      <c r="C112" s="23">
        <f>IF(ISNUMBER($T$112),INDEX($AE$76:$AE$107,$T$112),"")</f>
        <v/>
      </c>
      <c r="D112" s="10">
        <f>IF(ISNUMBER($T$112),INDEX($AF$76:$AF$107,$T$112),"")</f>
        <v/>
      </c>
      <c r="G112" s="10">
        <f>IF(ISNUMBER($T$112),INDEX($AI$76:$AI$107,$T$112),"")</f>
        <v/>
      </c>
      <c r="H112" s="10">
        <f>IF(ISNUMBER($T$112),INDEX($AJ$76:$AJ$107,$T$112),"")</f>
        <v/>
      </c>
      <c r="J112" s="23">
        <f>IF(ISNUMBER($T$112),INDEX($AL$76:$AL$107,$T$112),"")</f>
        <v/>
      </c>
      <c r="S112" s="2">
        <f>IFERROR(SMALL($R$76:$R$107,2),"")</f>
        <v/>
      </c>
      <c r="T112" s="2">
        <f>IF(ISNUMBER($S$112),IFERROR(MATCH($S$112,$R$76:$R$107,0),""),"")</f>
        <v/>
      </c>
    </row>
    <row r="113" ht="105" customHeight="1">
      <c r="A113" s="40">
        <f>IF(ISNUMBER($T$113),INDEX($AC$76:$AC$107,$T$113),"")</f>
        <v/>
      </c>
      <c r="B113" s="18">
        <f>IF(ISNUMBER($A$113),$A$113-$B$41,"")</f>
        <v/>
      </c>
      <c r="C113" s="18">
        <f>IF(ISNUMBER($T$113),INDEX($AE$76:$AE$107,$T$113),"")</f>
        <v/>
      </c>
      <c r="D113" s="5">
        <f>IF(ISNUMBER($T$113),INDEX($AF$76:$AF$107,$T$113),"")</f>
        <v/>
      </c>
      <c r="G113" s="5">
        <f>IF(ISNUMBER($T$113),INDEX($AI$76:$AI$107,$T$113),"")</f>
        <v/>
      </c>
      <c r="H113" s="5">
        <f>IF(ISNUMBER($T$113),INDEX($AJ$76:$AJ$107,$T$113),"")</f>
        <v/>
      </c>
      <c r="J113" s="18">
        <f>IF(ISNUMBER($T$113),INDEX($AL$76:$AL$107,$T$113),"")</f>
        <v/>
      </c>
      <c r="S113" s="2">
        <f>IFERROR(SMALL($R$76:$R$107,3),"")</f>
        <v/>
      </c>
      <c r="T113" s="2">
        <f>IF(ISNUMBER($S$113),IFERROR(MATCH($S$113,$R$76:$R$107,0),""),"")</f>
        <v/>
      </c>
    </row>
    <row r="114" ht="105" customHeight="1">
      <c r="A114" s="41">
        <f>IF(ISNUMBER($T$114),INDEX($AC$76:$AC$107,$T$114),"")</f>
        <v/>
      </c>
      <c r="B114" s="23">
        <f>IF(ISNUMBER($A$114),$A$114-$B$41,"")</f>
        <v/>
      </c>
      <c r="C114" s="23">
        <f>IF(ISNUMBER($T$114),INDEX($AE$76:$AE$107,$T$114),"")</f>
        <v/>
      </c>
      <c r="D114" s="10">
        <f>IF(ISNUMBER($T$114),INDEX($AF$76:$AF$107,$T$114),"")</f>
        <v/>
      </c>
      <c r="G114" s="10">
        <f>IF(ISNUMBER($T$114),INDEX($AI$76:$AI$107,$T$114),"")</f>
        <v/>
      </c>
      <c r="H114" s="10">
        <f>IF(ISNUMBER($T$114),INDEX($AJ$76:$AJ$107,$T$114),"")</f>
        <v/>
      </c>
      <c r="J114" s="23">
        <f>IF(ISNUMBER($T$114),INDEX($AL$76:$AL$107,$T$114),"")</f>
        <v/>
      </c>
      <c r="S114" s="2">
        <f>IFERROR(SMALL($R$76:$R$107,4),"")</f>
        <v/>
      </c>
      <c r="T114" s="2">
        <f>IF(ISNUMBER($S$114),IFERROR(MATCH($S$114,$R$76:$R$107,0),""),"")</f>
        <v/>
      </c>
    </row>
    <row r="115" ht="105" customHeight="1">
      <c r="A115" s="40">
        <f>IF(ISNUMBER($T$115),INDEX($AC$76:$AC$107,$T$115),"")</f>
        <v/>
      </c>
      <c r="B115" s="18">
        <f>IF(ISNUMBER($A$115),$A$115-$B$41,"")</f>
        <v/>
      </c>
      <c r="C115" s="18">
        <f>IF(ISNUMBER($T$115),INDEX($AE$76:$AE$107,$T$115),"")</f>
        <v/>
      </c>
      <c r="D115" s="5">
        <f>IF(ISNUMBER($T$115),INDEX($AF$76:$AF$107,$T$115),"")</f>
        <v/>
      </c>
      <c r="G115" s="5">
        <f>IF(ISNUMBER($T$115),INDEX($AI$76:$AI$107,$T$115),"")</f>
        <v/>
      </c>
      <c r="H115" s="5">
        <f>IF(ISNUMBER($T$115),INDEX($AJ$76:$AJ$107,$T$115),"")</f>
        <v/>
      </c>
      <c r="J115" s="18">
        <f>IF(ISNUMBER($T$115),INDEX($AL$76:$AL$107,$T$115),"")</f>
        <v/>
      </c>
      <c r="S115" s="2">
        <f>IFERROR(SMALL($R$76:$R$107,5),"")</f>
        <v/>
      </c>
      <c r="T115" s="2">
        <f>IF(ISNUMBER($S$115),IFERROR(MATCH($S$115,$R$76:$R$107,0),""),"")</f>
        <v/>
      </c>
    </row>
    <row r="116"/>
    <row r="117" ht="20" customHeight="1">
      <c r="A117" s="13" t="inlineStr">
        <is>
          <t>Ficha de Decisões da Mesa (27.11, 29.11): a decisão de hoje é precedente amanhã</t>
        </is>
      </c>
    </row>
    <row r="118" ht="26" customHeight="1">
      <c r="A118" s="12" t="inlineStr">
        <is>
          <t>Vai para a ficha: método de atributos, variantes em uso, toda Habilidade aprovada com ajuste, todo caso-limite decidido, todo nome criado pela mesa. Não vai: resultado de rolagem, dano sofrido, condição ativa; isso é ficha de personagem e Trilha de Ação (29.11).</t>
        </is>
      </c>
    </row>
    <row r="119" ht="26" customHeight="1">
      <c r="A119" s="5">
        <f>"Método de atributos: "&amp;IF(LEN($AD$12)&gt;0,$AD$12,"(preencha na Mesa)")&amp;" · Tamanho da mesa: "&amp;$B$21&amp;" jogadores → PH máximo "&amp;$B$24&amp;" / início "&amp;$B$25&amp;" (16.2) · Variantes em uso: "&amp;IF(LEN($AD$13)&gt;0,$AD$13,"nenhuma anotada")</f>
        <v/>
      </c>
    </row>
    <row r="120" ht="20" customHeight="1">
      <c r="A120" s="13" t="inlineStr">
        <is>
          <t>Habilidades e Ultimates aprovadas com ajuste</t>
        </is>
      </c>
    </row>
    <row r="121">
      <c r="A121" s="8" t="inlineStr">
        <is>
          <t>Quem</t>
        </is>
      </c>
      <c r="B121" s="8" t="inlineStr">
        <is>
          <t>Nome</t>
        </is>
      </c>
      <c r="C121" s="20" t="n"/>
      <c r="D121" s="8" t="inlineStr">
        <is>
          <t>O que foi ajustado</t>
        </is>
      </c>
      <c r="E121" s="20" t="n"/>
      <c r="F121" s="20" t="n"/>
      <c r="G121" s="20" t="n"/>
      <c r="H121" s="8" t="inlineStr">
        <is>
          <t>Por quê</t>
        </is>
      </c>
      <c r="I121" s="20" t="n"/>
      <c r="J121" s="20" t="n"/>
      <c r="K121" s="8" t="inlineStr">
        <is>
          <t>Aviso</t>
        </is>
      </c>
      <c r="L121" s="20" t="n"/>
    </row>
    <row r="122" ht="60" customHeight="1">
      <c r="A122" s="33" t="n"/>
      <c r="B122" s="4" t="n"/>
      <c r="C122" s="17" t="n"/>
      <c r="D122" s="4" t="n"/>
      <c r="E122" s="25" t="n"/>
      <c r="F122" s="25" t="n"/>
      <c r="G122" s="17" t="n"/>
      <c r="H122" s="4" t="n"/>
      <c r="I122" s="25" t="n"/>
      <c r="J122" s="17" t="n"/>
      <c r="K122" s="19">
        <f>IF(AM122&gt;0,"O Google leu como fórmula: digite de novo com ' na frente.","")</f>
        <v/>
      </c>
      <c r="AM122" s="2">
        <f>ISERROR($A$122)*1+ISERROR($B$122)*1+ISERROR($D$122)*1+ISERROR($H$122)*1</f>
        <v/>
      </c>
    </row>
    <row r="123" ht="60" customHeight="1">
      <c r="A123" s="35" t="n"/>
      <c r="B123" s="29" t="n"/>
      <c r="C123" s="17" t="n"/>
      <c r="D123" s="29" t="n"/>
      <c r="E123" s="25" t="n"/>
      <c r="F123" s="25" t="n"/>
      <c r="G123" s="17" t="n"/>
      <c r="H123" s="29" t="n"/>
      <c r="I123" s="25" t="n"/>
      <c r="J123" s="17" t="n"/>
      <c r="K123" s="27">
        <f>IF(AM123&gt;0,"O Google leu como fórmula: digite de novo com ' na frente.","")</f>
        <v/>
      </c>
      <c r="AM123" s="2">
        <f>ISERROR($A$123)*1+ISERROR($B$123)*1+ISERROR($D$123)*1+ISERROR($H$123)*1</f>
        <v/>
      </c>
    </row>
    <row r="124" ht="60" customHeight="1">
      <c r="A124" s="33" t="n"/>
      <c r="B124" s="4" t="n"/>
      <c r="C124" s="17" t="n"/>
      <c r="D124" s="4" t="n"/>
      <c r="E124" s="25" t="n"/>
      <c r="F124" s="25" t="n"/>
      <c r="G124" s="17" t="n"/>
      <c r="H124" s="4" t="n"/>
      <c r="I124" s="25" t="n"/>
      <c r="J124" s="17" t="n"/>
      <c r="K124" s="19">
        <f>IF(AM124&gt;0,"O Google leu como fórmula: digite de novo com ' na frente.","")</f>
        <v/>
      </c>
      <c r="AM124" s="2">
        <f>ISERROR($A$124)*1+ISERROR($B$124)*1+ISERROR($D$124)*1+ISERROR($H$124)*1</f>
        <v/>
      </c>
    </row>
    <row r="125" ht="60" customHeight="1">
      <c r="A125" s="35" t="n"/>
      <c r="B125" s="29" t="n"/>
      <c r="C125" s="17" t="n"/>
      <c r="D125" s="29" t="n"/>
      <c r="E125" s="25" t="n"/>
      <c r="F125" s="25" t="n"/>
      <c r="G125" s="17" t="n"/>
      <c r="H125" s="29" t="n"/>
      <c r="I125" s="25" t="n"/>
      <c r="J125" s="17" t="n"/>
      <c r="K125" s="27">
        <f>IF(AM125&gt;0,"O Google leu como fórmula: digite de novo com ' na frente.","")</f>
        <v/>
      </c>
      <c r="AM125" s="2">
        <f>ISERROR($A$125)*1+ISERROR($B$125)*1+ISERROR($D$125)*1+ISERROR($H$125)*1</f>
        <v/>
      </c>
    </row>
    <row r="126" ht="71" customHeight="1">
      <c r="A126" s="33" t="n"/>
      <c r="B126" s="4" t="n"/>
      <c r="C126" s="17" t="n"/>
      <c r="D126" s="4" t="n"/>
      <c r="E126" s="25" t="n"/>
      <c r="F126" s="25" t="n"/>
      <c r="G126" s="17" t="n"/>
      <c r="H126" s="4" t="n"/>
      <c r="I126" s="25" t="n"/>
      <c r="J126" s="17" t="n"/>
      <c r="K126" s="19">
        <f>IF(AM126&gt;0,"O Google leu como fórmula: digite de novo com ' na frente.","")</f>
        <v/>
      </c>
      <c r="AM126" s="2">
        <f>ISERROR($A$126)*1+ISERROR($B$126)*1+ISERROR($D$126)*1+ISERROR($H$126)*1</f>
        <v/>
      </c>
    </row>
    <row r="127" ht="60" customHeight="1">
      <c r="A127" s="35" t="n"/>
      <c r="B127" s="29" t="n"/>
      <c r="C127" s="17" t="n"/>
      <c r="D127" s="29" t="n"/>
      <c r="E127" s="25" t="n"/>
      <c r="F127" s="25" t="n"/>
      <c r="G127" s="17" t="n"/>
      <c r="H127" s="29" t="n"/>
      <c r="I127" s="25" t="n"/>
      <c r="J127" s="17" t="n"/>
      <c r="K127" s="27">
        <f>IF(AM127&gt;0,"O Google leu como fórmula: digite de novo com ' na frente.","")</f>
        <v/>
      </c>
      <c r="AM127" s="2">
        <f>ISERROR($A$127)*1+ISERROR($B$127)*1+ISERROR($D$127)*1+ISERROR($H$127)*1</f>
        <v/>
      </c>
    </row>
    <row r="128" ht="60" customHeight="1">
      <c r="A128" s="33" t="n"/>
      <c r="B128" s="4" t="n"/>
      <c r="C128" s="17" t="n"/>
      <c r="D128" s="4" t="n"/>
      <c r="E128" s="25" t="n"/>
      <c r="F128" s="25" t="n"/>
      <c r="G128" s="17" t="n"/>
      <c r="H128" s="4" t="n"/>
      <c r="I128" s="25" t="n"/>
      <c r="J128" s="17" t="n"/>
      <c r="K128" s="19">
        <f>IF(AM128&gt;0,"O Google leu como fórmula: digite de novo com ' na frente.","")</f>
        <v/>
      </c>
      <c r="AM128" s="2">
        <f>ISERROR($A$128)*1+ISERROR($B$128)*1+ISERROR($D$128)*1+ISERROR($H$128)*1</f>
        <v/>
      </c>
    </row>
    <row r="129" ht="60" customHeight="1">
      <c r="A129" s="35" t="n"/>
      <c r="B129" s="29" t="n"/>
      <c r="C129" s="17" t="n"/>
      <c r="D129" s="29" t="n"/>
      <c r="E129" s="25" t="n"/>
      <c r="F129" s="25" t="n"/>
      <c r="G129" s="17" t="n"/>
      <c r="H129" s="29" t="n"/>
      <c r="I129" s="25" t="n"/>
      <c r="J129" s="17" t="n"/>
      <c r="K129" s="27">
        <f>IF(AM129&gt;0,"O Google leu como fórmula: digite de novo com ' na frente.","")</f>
        <v/>
      </c>
      <c r="AM129" s="2">
        <f>ISERROR($A$129)*1+ISERROR($B$129)*1+ISERROR($D$129)*1+ISERROR($H$129)*1</f>
        <v/>
      </c>
    </row>
    <row r="130" ht="60" customHeight="1">
      <c r="A130" s="33" t="n"/>
      <c r="B130" s="4" t="n"/>
      <c r="C130" s="17" t="n"/>
      <c r="D130" s="4" t="n"/>
      <c r="E130" s="25" t="n"/>
      <c r="F130" s="25" t="n"/>
      <c r="G130" s="17" t="n"/>
      <c r="H130" s="4" t="n"/>
      <c r="I130" s="25" t="n"/>
      <c r="J130" s="17" t="n"/>
      <c r="K130" s="19">
        <f>IF(AM130&gt;0,"O Google leu como fórmula: digite de novo com ' na frente.","")</f>
        <v/>
      </c>
      <c r="AM130" s="2">
        <f>ISERROR($A$130)*1+ISERROR($B$130)*1+ISERROR($D$130)*1+ISERROR($H$130)*1</f>
        <v/>
      </c>
    </row>
    <row r="131" ht="71" customHeight="1">
      <c r="A131" s="35" t="n"/>
      <c r="B131" s="29" t="n"/>
      <c r="C131" s="17" t="n"/>
      <c r="D131" s="29" t="n"/>
      <c r="E131" s="25" t="n"/>
      <c r="F131" s="25" t="n"/>
      <c r="G131" s="17" t="n"/>
      <c r="H131" s="29" t="n"/>
      <c r="I131" s="25" t="n"/>
      <c r="J131" s="17" t="n"/>
      <c r="K131" s="27">
        <f>IF(AM131&gt;0,"O Google leu como fórmula: digite de novo com ' na frente.","")</f>
        <v/>
      </c>
      <c r="AM131" s="2">
        <f>ISERROR($A$131)*1+ISERROR($B$131)*1+ISERROR($D$131)*1+ISERROR($H$131)*1</f>
        <v/>
      </c>
    </row>
    <row r="132" ht="20" customHeight="1">
      <c r="A132" s="13" t="inlineStr">
        <is>
          <t>Regras decididas na mesa (casos-limite que o livro não cobriu)</t>
        </is>
      </c>
    </row>
    <row r="133">
      <c r="A133" s="8" t="inlineStr">
        <is>
          <t>Regra</t>
        </is>
      </c>
      <c r="B133" s="8" t="inlineStr">
        <is>
          <t>O que foi decidido</t>
        </is>
      </c>
      <c r="C133" s="20" t="n"/>
      <c r="D133" s="20" t="n"/>
      <c r="E133" s="20" t="n"/>
      <c r="F133" s="20" t="n"/>
      <c r="G133" s="20" t="n"/>
      <c r="H133" s="20" t="n"/>
      <c r="I133" s="20" t="n"/>
      <c r="J133" s="20" t="n"/>
      <c r="K133" s="8" t="inlineStr">
        <is>
          <t>Aviso</t>
        </is>
      </c>
      <c r="L133" s="20" t="n"/>
    </row>
    <row r="134" ht="26" customHeight="1">
      <c r="A134" s="9" t="inlineStr">
        <is>
          <t>Regra 1</t>
        </is>
      </c>
      <c r="B134" s="4" t="n"/>
      <c r="C134" s="25" t="n"/>
      <c r="D134" s="25" t="n"/>
      <c r="E134" s="25" t="n"/>
      <c r="F134" s="25" t="n"/>
      <c r="G134" s="25" t="n"/>
      <c r="H134" s="25" t="n"/>
      <c r="I134" s="25" t="n"/>
      <c r="J134" s="17" t="n"/>
      <c r="K134" s="19">
        <f>IF(AM134&gt;0,"O Google leu como fórmula: digite de novo com ' na frente.","")</f>
        <v/>
      </c>
      <c r="AM134" s="2">
        <f>ISERROR($B$134)*1</f>
        <v/>
      </c>
    </row>
    <row r="135" ht="26" customHeight="1">
      <c r="A135" s="21" t="inlineStr">
        <is>
          <t>Regra 2</t>
        </is>
      </c>
      <c r="B135" s="29" t="n"/>
      <c r="C135" s="25" t="n"/>
      <c r="D135" s="25" t="n"/>
      <c r="E135" s="25" t="n"/>
      <c r="F135" s="25" t="n"/>
      <c r="G135" s="25" t="n"/>
      <c r="H135" s="25" t="n"/>
      <c r="I135" s="25" t="n"/>
      <c r="J135" s="17" t="n"/>
      <c r="K135" s="27">
        <f>IF(AM135&gt;0,"O Google leu como fórmula: digite de novo com ' na frente.","")</f>
        <v/>
      </c>
      <c r="AM135" s="2">
        <f>ISERROR($B$135)*1</f>
        <v/>
      </c>
    </row>
    <row r="136" ht="26" customHeight="1">
      <c r="A136" s="9" t="inlineStr">
        <is>
          <t>Regra 3</t>
        </is>
      </c>
      <c r="B136" s="4" t="n"/>
      <c r="C136" s="25" t="n"/>
      <c r="D136" s="25" t="n"/>
      <c r="E136" s="25" t="n"/>
      <c r="F136" s="25" t="n"/>
      <c r="G136" s="25" t="n"/>
      <c r="H136" s="25" t="n"/>
      <c r="I136" s="25" t="n"/>
      <c r="J136" s="17" t="n"/>
      <c r="K136" s="19">
        <f>IF(AM136&gt;0,"O Google leu como fórmula: digite de novo com ' na frente.","")</f>
        <v/>
      </c>
      <c r="AM136" s="2">
        <f>ISERROR($B$136)*1</f>
        <v/>
      </c>
    </row>
    <row r="137" ht="26" customHeight="1">
      <c r="A137" s="21" t="inlineStr">
        <is>
          <t>Regra 4</t>
        </is>
      </c>
      <c r="B137" s="29" t="n"/>
      <c r="C137" s="25" t="n"/>
      <c r="D137" s="25" t="n"/>
      <c r="E137" s="25" t="n"/>
      <c r="F137" s="25" t="n"/>
      <c r="G137" s="25" t="n"/>
      <c r="H137" s="25" t="n"/>
      <c r="I137" s="25" t="n"/>
      <c r="J137" s="17" t="n"/>
      <c r="K137" s="27">
        <f>IF(AM137&gt;0,"O Google leu como fórmula: digite de novo com ' na frente.","")</f>
        <v/>
      </c>
      <c r="AM137" s="2">
        <f>ISERROR($B$137)*1</f>
        <v/>
      </c>
    </row>
    <row r="138" ht="26" customHeight="1">
      <c r="A138" s="9" t="inlineStr">
        <is>
          <t>Regra 5</t>
        </is>
      </c>
      <c r="B138" s="4" t="n"/>
      <c r="C138" s="25" t="n"/>
      <c r="D138" s="25" t="n"/>
      <c r="E138" s="25" t="n"/>
      <c r="F138" s="25" t="n"/>
      <c r="G138" s="25" t="n"/>
      <c r="H138" s="25" t="n"/>
      <c r="I138" s="25" t="n"/>
      <c r="J138" s="17" t="n"/>
      <c r="K138" s="19">
        <f>IF(AM138&gt;0,"O Google leu como fórmula: digite de novo com ' na frente.","")</f>
        <v/>
      </c>
      <c r="AM138" s="2">
        <f>ISERROR($B$138)*1</f>
        <v/>
      </c>
    </row>
    <row r="139" ht="26" customHeight="1">
      <c r="A139" s="21" t="inlineStr">
        <is>
          <t>Regra 6</t>
        </is>
      </c>
      <c r="B139" s="29" t="n"/>
      <c r="C139" s="25" t="n"/>
      <c r="D139" s="25" t="n"/>
      <c r="E139" s="25" t="n"/>
      <c r="F139" s="25" t="n"/>
      <c r="G139" s="25" t="n"/>
      <c r="H139" s="25" t="n"/>
      <c r="I139" s="25" t="n"/>
      <c r="J139" s="17" t="n"/>
      <c r="K139" s="27">
        <f>IF(AM139&gt;0,"O Google leu como fórmula: digite de novo com ' na frente.","")</f>
        <v/>
      </c>
      <c r="AM139" s="2">
        <f>ISERROR($B$139)*1</f>
        <v/>
      </c>
    </row>
    <row r="140" ht="26" customHeight="1">
      <c r="A140" s="9" t="inlineStr">
        <is>
          <t>Regra 7</t>
        </is>
      </c>
      <c r="B140" s="4" t="n"/>
      <c r="C140" s="25" t="n"/>
      <c r="D140" s="25" t="n"/>
      <c r="E140" s="25" t="n"/>
      <c r="F140" s="25" t="n"/>
      <c r="G140" s="25" t="n"/>
      <c r="H140" s="25" t="n"/>
      <c r="I140" s="25" t="n"/>
      <c r="J140" s="17" t="n"/>
      <c r="K140" s="19">
        <f>IF(AM140&gt;0,"O Google leu como fórmula: digite de novo com ' na frente.","")</f>
        <v/>
      </c>
      <c r="AM140" s="2">
        <f>ISERROR($B$140)*1</f>
        <v/>
      </c>
    </row>
    <row r="141" ht="26" customHeight="1">
      <c r="A141" s="21" t="inlineStr">
        <is>
          <t>Regra 8</t>
        </is>
      </c>
      <c r="B141" s="29" t="n"/>
      <c r="C141" s="25" t="n"/>
      <c r="D141" s="25" t="n"/>
      <c r="E141" s="25" t="n"/>
      <c r="F141" s="25" t="n"/>
      <c r="G141" s="25" t="n"/>
      <c r="H141" s="25" t="n"/>
      <c r="I141" s="25" t="n"/>
      <c r="J141" s="17" t="n"/>
      <c r="K141" s="27">
        <f>IF(AM141&gt;0,"O Google leu como fórmula: digite de novo com ' na frente.","")</f>
        <v/>
      </c>
      <c r="AM141" s="2">
        <f>ISERROR($B$141)*1</f>
        <v/>
      </c>
    </row>
    <row r="142" ht="26" customHeight="1">
      <c r="A142" s="9" t="inlineStr">
        <is>
          <t>Regra 9</t>
        </is>
      </c>
      <c r="B142" s="4" t="n"/>
      <c r="C142" s="25" t="n"/>
      <c r="D142" s="25" t="n"/>
      <c r="E142" s="25" t="n"/>
      <c r="F142" s="25" t="n"/>
      <c r="G142" s="25" t="n"/>
      <c r="H142" s="25" t="n"/>
      <c r="I142" s="25" t="n"/>
      <c r="J142" s="17" t="n"/>
      <c r="K142" s="19">
        <f>IF(AM142&gt;0,"O Google leu como fórmula: digite de novo com ' na frente.","")</f>
        <v/>
      </c>
      <c r="AM142" s="2">
        <f>ISERROR($B$142)*1</f>
        <v/>
      </c>
    </row>
    <row r="143" ht="26" customHeight="1">
      <c r="A143" s="21" t="inlineStr">
        <is>
          <t>Regra 10</t>
        </is>
      </c>
      <c r="B143" s="29" t="n"/>
      <c r="C143" s="25" t="n"/>
      <c r="D143" s="25" t="n"/>
      <c r="E143" s="25" t="n"/>
      <c r="F143" s="25" t="n"/>
      <c r="G143" s="25" t="n"/>
      <c r="H143" s="25" t="n"/>
      <c r="I143" s="25" t="n"/>
      <c r="J143" s="17" t="n"/>
      <c r="K143" s="27">
        <f>IF(AM143&gt;0,"O Google leu como fórmula: digite de novo com ' na frente.","")</f>
        <v/>
      </c>
      <c r="AM143" s="2">
        <f>ISERROR($B$143)*1</f>
        <v/>
      </c>
    </row>
    <row r="144" ht="20" customHeight="1">
      <c r="A144" s="13" t="inlineStr">
        <is>
          <t>Armas, itens e efeitos caseiros aceitos</t>
        </is>
      </c>
    </row>
    <row r="145">
      <c r="A145" s="8" t="inlineStr">
        <is>
          <t>Item</t>
        </is>
      </c>
      <c r="B145" s="8" t="inlineStr">
        <is>
          <t>O que foi aceito, e como</t>
        </is>
      </c>
      <c r="C145" s="20" t="n"/>
      <c r="D145" s="20" t="n"/>
      <c r="E145" s="20" t="n"/>
      <c r="F145" s="20" t="n"/>
      <c r="G145" s="20" t="n"/>
      <c r="H145" s="20" t="n"/>
      <c r="I145" s="20" t="n"/>
      <c r="J145" s="20" t="n"/>
      <c r="K145" s="8" t="inlineStr">
        <is>
          <t>Aviso</t>
        </is>
      </c>
      <c r="L145" s="20" t="n"/>
    </row>
    <row r="146" ht="26" customHeight="1">
      <c r="A146" s="9" t="inlineStr">
        <is>
          <t>Item 1</t>
        </is>
      </c>
      <c r="B146" s="4" t="n"/>
      <c r="C146" s="25" t="n"/>
      <c r="D146" s="25" t="n"/>
      <c r="E146" s="25" t="n"/>
      <c r="F146" s="25" t="n"/>
      <c r="G146" s="25" t="n"/>
      <c r="H146" s="25" t="n"/>
      <c r="I146" s="25" t="n"/>
      <c r="J146" s="17" t="n"/>
      <c r="K146" s="19">
        <f>IF(AM146&gt;0,"O Google leu como fórmula: digite de novo com ' na frente.","")</f>
        <v/>
      </c>
      <c r="AM146" s="2">
        <f>ISERROR($B$146)*1</f>
        <v/>
      </c>
    </row>
    <row r="147" ht="26" customHeight="1">
      <c r="A147" s="21" t="inlineStr">
        <is>
          <t>Item 2</t>
        </is>
      </c>
      <c r="B147" s="29" t="n"/>
      <c r="C147" s="25" t="n"/>
      <c r="D147" s="25" t="n"/>
      <c r="E147" s="25" t="n"/>
      <c r="F147" s="25" t="n"/>
      <c r="G147" s="25" t="n"/>
      <c r="H147" s="25" t="n"/>
      <c r="I147" s="25" t="n"/>
      <c r="J147" s="17" t="n"/>
      <c r="K147" s="27">
        <f>IF(AM147&gt;0,"O Google leu como fórmula: digite de novo com ' na frente.","")</f>
        <v/>
      </c>
      <c r="AM147" s="2">
        <f>ISERROR($B$147)*1</f>
        <v/>
      </c>
    </row>
    <row r="148" ht="26" customHeight="1">
      <c r="A148" s="9" t="inlineStr">
        <is>
          <t>Item 3</t>
        </is>
      </c>
      <c r="B148" s="4" t="n"/>
      <c r="C148" s="25" t="n"/>
      <c r="D148" s="25" t="n"/>
      <c r="E148" s="25" t="n"/>
      <c r="F148" s="25" t="n"/>
      <c r="G148" s="25" t="n"/>
      <c r="H148" s="25" t="n"/>
      <c r="I148" s="25" t="n"/>
      <c r="J148" s="17" t="n"/>
      <c r="K148" s="19">
        <f>IF(AM148&gt;0,"O Google leu como fórmula: digite de novo com ' na frente.","")</f>
        <v/>
      </c>
      <c r="AM148" s="2">
        <f>ISERROR($B$148)*1</f>
        <v/>
      </c>
    </row>
    <row r="149" ht="26" customHeight="1">
      <c r="A149" s="21" t="inlineStr">
        <is>
          <t>Item 4</t>
        </is>
      </c>
      <c r="B149" s="29" t="n"/>
      <c r="C149" s="25" t="n"/>
      <c r="D149" s="25" t="n"/>
      <c r="E149" s="25" t="n"/>
      <c r="F149" s="25" t="n"/>
      <c r="G149" s="25" t="n"/>
      <c r="H149" s="25" t="n"/>
      <c r="I149" s="25" t="n"/>
      <c r="J149" s="17" t="n"/>
      <c r="K149" s="27">
        <f>IF(AM149&gt;0,"O Google leu como fórmula: digite de novo com ' na frente.","")</f>
        <v/>
      </c>
      <c r="AM149" s="2">
        <f>ISERROR($B$149)*1</f>
        <v/>
      </c>
    </row>
    <row r="150" ht="26" customHeight="1">
      <c r="A150" s="9" t="inlineStr">
        <is>
          <t>Item 5</t>
        </is>
      </c>
      <c r="B150" s="4" t="n"/>
      <c r="C150" s="25" t="n"/>
      <c r="D150" s="25" t="n"/>
      <c r="E150" s="25" t="n"/>
      <c r="F150" s="25" t="n"/>
      <c r="G150" s="25" t="n"/>
      <c r="H150" s="25" t="n"/>
      <c r="I150" s="25" t="n"/>
      <c r="J150" s="17" t="n"/>
      <c r="K150" s="19">
        <f>IF(AM150&gt;0,"O Google leu como fórmula: digite de novo com ' na frente.","")</f>
        <v/>
      </c>
      <c r="AM150" s="2">
        <f>ISERROR($B$150)*1</f>
        <v/>
      </c>
    </row>
    <row r="151" ht="26" customHeight="1">
      <c r="A151" s="21" t="inlineStr">
        <is>
          <t>Item 6</t>
        </is>
      </c>
      <c r="B151" s="29" t="n"/>
      <c r="C151" s="25" t="n"/>
      <c r="D151" s="25" t="n"/>
      <c r="E151" s="25" t="n"/>
      <c r="F151" s="25" t="n"/>
      <c r="G151" s="25" t="n"/>
      <c r="H151" s="25" t="n"/>
      <c r="I151" s="25" t="n"/>
      <c r="J151" s="17" t="n"/>
      <c r="K151" s="27">
        <f>IF(AM151&gt;0,"O Google leu como fórmula: digite de novo com ' na frente.","")</f>
        <v/>
      </c>
      <c r="AM151" s="2">
        <f>ISERROR($B$151)*1</f>
        <v/>
      </c>
    </row>
    <row r="152" ht="26" customHeight="1">
      <c r="A152" s="9" t="inlineStr">
        <is>
          <t>Item 7</t>
        </is>
      </c>
      <c r="B152" s="4" t="n"/>
      <c r="C152" s="25" t="n"/>
      <c r="D152" s="25" t="n"/>
      <c r="E152" s="25" t="n"/>
      <c r="F152" s="25" t="n"/>
      <c r="G152" s="25" t="n"/>
      <c r="H152" s="25" t="n"/>
      <c r="I152" s="25" t="n"/>
      <c r="J152" s="17" t="n"/>
      <c r="K152" s="19">
        <f>IF(AM152&gt;0,"O Google leu como fórmula: digite de novo com ' na frente.","")</f>
        <v/>
      </c>
      <c r="AM152" s="2">
        <f>ISERROR($B$152)*1</f>
        <v/>
      </c>
    </row>
    <row r="153" ht="26" customHeight="1">
      <c r="A153" s="21" t="inlineStr">
        <is>
          <t>Item 8</t>
        </is>
      </c>
      <c r="B153" s="29" t="n"/>
      <c r="C153" s="25" t="n"/>
      <c r="D153" s="25" t="n"/>
      <c r="E153" s="25" t="n"/>
      <c r="F153" s="25" t="n"/>
      <c r="G153" s="25" t="n"/>
      <c r="H153" s="25" t="n"/>
      <c r="I153" s="25" t="n"/>
      <c r="J153" s="17" t="n"/>
      <c r="K153" s="27">
        <f>IF(AM153&gt;0,"O Google leu como fórmula: digite de novo com ' na frente.","")</f>
        <v/>
      </c>
      <c r="AM153" s="2">
        <f>ISERROR($B$153)*1</f>
        <v/>
      </c>
    </row>
    <row r="154" ht="20" customHeight="1">
      <c r="A154" s="13" t="inlineStr">
        <is>
          <t>Nomes que a mesa criou (facções, lugares, pessoas)</t>
        </is>
      </c>
    </row>
    <row r="155">
      <c r="A155" s="8" t="inlineStr">
        <is>
          <t>Nome</t>
        </is>
      </c>
      <c r="B155" s="8" t="inlineStr">
        <is>
          <t>Tipo</t>
        </is>
      </c>
      <c r="C155" s="20" t="n"/>
      <c r="D155" s="8" t="inlineStr">
        <is>
          <t>Notas</t>
        </is>
      </c>
      <c r="E155" s="20" t="n"/>
      <c r="F155" s="20" t="n"/>
      <c r="G155" s="20" t="n"/>
      <c r="H155" s="20" t="n"/>
      <c r="I155" s="20" t="n"/>
      <c r="J155" s="20" t="n"/>
      <c r="K155" s="8" t="inlineStr">
        <is>
          <t>Aviso</t>
        </is>
      </c>
      <c r="L155" s="20" t="n"/>
    </row>
    <row r="156" ht="48" customHeight="1">
      <c r="A156" s="33" t="n"/>
      <c r="B156" s="4" t="n"/>
      <c r="C156" s="17" t="n"/>
      <c r="D156" s="4" t="n"/>
      <c r="E156" s="25" t="n"/>
      <c r="F156" s="25" t="n"/>
      <c r="G156" s="25" t="n"/>
      <c r="H156" s="25" t="n"/>
      <c r="I156" s="25" t="n"/>
      <c r="J156" s="17" t="n"/>
      <c r="K156" s="19">
        <f>IF(AM156&gt;0,"O Google leu como fórmula: escolha de novo ou digite com ' na frente.","")</f>
        <v/>
      </c>
      <c r="AM156" s="2">
        <f>ISERROR($A$156)*1+ISERROR($B$156)*1+ISERROR($D$156)*1</f>
        <v/>
      </c>
    </row>
    <row r="157" ht="48" customHeight="1">
      <c r="A157" s="35" t="n"/>
      <c r="B157" s="29" t="n"/>
      <c r="C157" s="17" t="n"/>
      <c r="D157" s="29" t="n"/>
      <c r="E157" s="25" t="n"/>
      <c r="F157" s="25" t="n"/>
      <c r="G157" s="25" t="n"/>
      <c r="H157" s="25" t="n"/>
      <c r="I157" s="25" t="n"/>
      <c r="J157" s="17" t="n"/>
      <c r="K157" s="27">
        <f>IF(AM157&gt;0,"O Google leu como fórmula: escolha de novo ou digite com ' na frente.","")</f>
        <v/>
      </c>
      <c r="AM157" s="2">
        <f>ISERROR($A$157)*1+ISERROR($B$157)*1+ISERROR($D$157)*1</f>
        <v/>
      </c>
    </row>
    <row r="158" ht="48" customHeight="1">
      <c r="A158" s="33" t="n"/>
      <c r="B158" s="4" t="n"/>
      <c r="C158" s="17" t="n"/>
      <c r="D158" s="4" t="n"/>
      <c r="E158" s="25" t="n"/>
      <c r="F158" s="25" t="n"/>
      <c r="G158" s="25" t="n"/>
      <c r="H158" s="25" t="n"/>
      <c r="I158" s="25" t="n"/>
      <c r="J158" s="17" t="n"/>
      <c r="K158" s="19">
        <f>IF(AM158&gt;0,"O Google leu como fórmula: escolha de novo ou digite com ' na frente.","")</f>
        <v/>
      </c>
      <c r="AM158" s="2">
        <f>ISERROR($A$158)*1+ISERROR($B$158)*1+ISERROR($D$158)*1</f>
        <v/>
      </c>
    </row>
    <row r="159" ht="48" customHeight="1">
      <c r="A159" s="35" t="n"/>
      <c r="B159" s="29" t="n"/>
      <c r="C159" s="17" t="n"/>
      <c r="D159" s="29" t="n"/>
      <c r="E159" s="25" t="n"/>
      <c r="F159" s="25" t="n"/>
      <c r="G159" s="25" t="n"/>
      <c r="H159" s="25" t="n"/>
      <c r="I159" s="25" t="n"/>
      <c r="J159" s="17" t="n"/>
      <c r="K159" s="27">
        <f>IF(AM159&gt;0,"O Google leu como fórmula: escolha de novo ou digite com ' na frente.","")</f>
        <v/>
      </c>
      <c r="AM159" s="2">
        <f>ISERROR($A$159)*1+ISERROR($B$159)*1+ISERROR($D$159)*1</f>
        <v/>
      </c>
    </row>
    <row r="160" ht="48" customHeight="1">
      <c r="A160" s="33" t="n"/>
      <c r="B160" s="4" t="n"/>
      <c r="C160" s="17" t="n"/>
      <c r="D160" s="4" t="n"/>
      <c r="E160" s="25" t="n"/>
      <c r="F160" s="25" t="n"/>
      <c r="G160" s="25" t="n"/>
      <c r="H160" s="25" t="n"/>
      <c r="I160" s="25" t="n"/>
      <c r="J160" s="17" t="n"/>
      <c r="K160" s="19">
        <f>IF(AM160&gt;0,"O Google leu como fórmula: escolha de novo ou digite com ' na frente.","")</f>
        <v/>
      </c>
      <c r="AM160" s="2">
        <f>ISERROR($A$160)*1+ISERROR($B$160)*1+ISERROR($D$160)*1</f>
        <v/>
      </c>
    </row>
    <row r="161" ht="48" customHeight="1">
      <c r="A161" s="35" t="n"/>
      <c r="B161" s="29" t="n"/>
      <c r="C161" s="17" t="n"/>
      <c r="D161" s="29" t="n"/>
      <c r="E161" s="25" t="n"/>
      <c r="F161" s="25" t="n"/>
      <c r="G161" s="25" t="n"/>
      <c r="H161" s="25" t="n"/>
      <c r="I161" s="25" t="n"/>
      <c r="J161" s="17" t="n"/>
      <c r="K161" s="27">
        <f>IF(AM161&gt;0,"O Google leu como fórmula: escolha de novo ou digite com ' na frente.","")</f>
        <v/>
      </c>
      <c r="AM161" s="2">
        <f>ISERROR($A$161)*1+ISERROR($B$161)*1+ISERROR($D$161)*1</f>
        <v/>
      </c>
    </row>
    <row r="162" ht="48" customHeight="1">
      <c r="A162" s="33" t="n"/>
      <c r="B162" s="4" t="n"/>
      <c r="C162" s="17" t="n"/>
      <c r="D162" s="4" t="n"/>
      <c r="E162" s="25" t="n"/>
      <c r="F162" s="25" t="n"/>
      <c r="G162" s="25" t="n"/>
      <c r="H162" s="25" t="n"/>
      <c r="I162" s="25" t="n"/>
      <c r="J162" s="17" t="n"/>
      <c r="K162" s="19">
        <f>IF(AM162&gt;0,"O Google leu como fórmula: escolha de novo ou digite com ' na frente.","")</f>
        <v/>
      </c>
      <c r="AM162" s="2">
        <f>ISERROR($A$162)*1+ISERROR($B$162)*1+ISERROR($D$162)*1</f>
        <v/>
      </c>
    </row>
    <row r="163" ht="48" customHeight="1">
      <c r="A163" s="35" t="n"/>
      <c r="B163" s="29" t="n"/>
      <c r="C163" s="17" t="n"/>
      <c r="D163" s="29" t="n"/>
      <c r="E163" s="25" t="n"/>
      <c r="F163" s="25" t="n"/>
      <c r="G163" s="25" t="n"/>
      <c r="H163" s="25" t="n"/>
      <c r="I163" s="25" t="n"/>
      <c r="J163" s="17" t="n"/>
      <c r="K163" s="27">
        <f>IF(AM163&gt;0,"O Google leu como fórmula: escolha de novo ou digite com ' na frente.","")</f>
        <v/>
      </c>
      <c r="AM163" s="2">
        <f>ISERROR($A$163)*1+ISERROR($B$163)*1+ISERROR($D$163)*1</f>
        <v/>
      </c>
    </row>
    <row r="164" ht="48" customHeight="1">
      <c r="A164" s="33" t="n"/>
      <c r="B164" s="4" t="n"/>
      <c r="C164" s="17" t="n"/>
      <c r="D164" s="4" t="n"/>
      <c r="E164" s="25" t="n"/>
      <c r="F164" s="25" t="n"/>
      <c r="G164" s="25" t="n"/>
      <c r="H164" s="25" t="n"/>
      <c r="I164" s="25" t="n"/>
      <c r="J164" s="17" t="n"/>
      <c r="K164" s="19">
        <f>IF(AM164&gt;0,"O Google leu como fórmula: escolha de novo ou digite com ' na frente.","")</f>
        <v/>
      </c>
      <c r="AM164" s="2">
        <f>ISERROR($A$164)*1+ISERROR($B$164)*1+ISERROR($D$164)*1</f>
        <v/>
      </c>
    </row>
    <row r="165" ht="48" customHeight="1">
      <c r="A165" s="35" t="n"/>
      <c r="B165" s="29" t="n"/>
      <c r="C165" s="17" t="n"/>
      <c r="D165" s="29" t="n"/>
      <c r="E165" s="25" t="n"/>
      <c r="F165" s="25" t="n"/>
      <c r="G165" s="25" t="n"/>
      <c r="H165" s="25" t="n"/>
      <c r="I165" s="25" t="n"/>
      <c r="J165" s="17" t="n"/>
      <c r="K165" s="27">
        <f>IF(AM165&gt;0,"O Google leu como fórmula: escolha de novo ou digite com ' na frente.","")</f>
        <v/>
      </c>
      <c r="AM165" s="2">
        <f>ISERROR($A$165)*1+ISERROR($B$165)*1+ISERROR($D$165)*1</f>
        <v/>
      </c>
    </row>
    <row r="166"/>
    <row r="167" ht="20" customHeight="1">
      <c r="A167" s="13" t="inlineStr">
        <is>
          <t>Sessão Zero (antes da primeira sessão): o que combinar com a mesa</t>
        </is>
      </c>
    </row>
    <row r="168">
      <c r="A168" s="8" t="inlineStr">
        <is>
          <t>Item</t>
        </is>
      </c>
      <c r="B168" s="8" t="inlineStr">
        <is>
          <t>O que combinar (e onde está no livro)</t>
        </is>
      </c>
      <c r="C168" s="20" t="n"/>
      <c r="D168" s="20" t="n"/>
      <c r="E168" s="20" t="n"/>
      <c r="F168" s="20" t="n"/>
      <c r="G168" s="20" t="n"/>
      <c r="H168" s="8" t="inlineStr">
        <is>
          <t>Feito?</t>
        </is>
      </c>
      <c r="I168" s="8" t="inlineStr">
        <is>
          <t>Nota</t>
        </is>
      </c>
      <c r="J168" s="20" t="n"/>
      <c r="K168" s="8" t="inlineStr">
        <is>
          <t>Aviso</t>
        </is>
      </c>
      <c r="L168" s="20" t="n"/>
    </row>
    <row r="169" ht="93" customHeight="1">
      <c r="A169" s="9" t="inlineStr">
        <is>
          <t>Tom e temas</t>
        </is>
      </c>
      <c r="B169" s="12" t="inlineStr">
        <is>
          <t>Sugestão da planilha — não é regra do livro (H24): o clima da campanha (aventura, intriga, horror educado) e os temas que a mesa quer explorar</t>
        </is>
      </c>
      <c r="H169" s="34" t="n"/>
      <c r="I169" s="4" t="n"/>
      <c r="J169" s="17" t="n"/>
      <c r="K169" s="19">
        <f>IF(AM169&gt;0,"O Google leu como fórmula: escolha de novo ou digite com ' na frente.","")</f>
        <v/>
      </c>
      <c r="AM169" s="2">
        <f>ISERROR($H$169)*1+ISERROR($I$169)*1</f>
        <v/>
      </c>
    </row>
    <row r="170" ht="93" customHeight="1">
      <c r="A170" s="21" t="inlineStr">
        <is>
          <t>Limites e véus</t>
        </is>
      </c>
      <c r="B170" s="42" t="inlineStr">
        <is>
          <t>Sugestão da planilha — não é regra do livro (H24): o que não entra em jogo de jeito nenhum (linhas) e o que acontece fora de cena (véus); qualquer pessoa pode pedir para parar uma cena</t>
        </is>
      </c>
      <c r="H170" s="36" t="n"/>
      <c r="I170" s="29" t="n"/>
      <c r="J170" s="17" t="n"/>
      <c r="K170" s="27">
        <f>IF(AM170&gt;0,"O Google leu como fórmula: escolha de novo ou digite com ' na frente.","")</f>
        <v/>
      </c>
      <c r="AM170" s="2">
        <f>ISERROR($H$170)*1+ISERROR($I$170)*1</f>
        <v/>
      </c>
    </row>
    <row r="171" ht="93" customHeight="1">
      <c r="A171" s="9" t="inlineStr">
        <is>
          <t>Expectativas</t>
        </is>
      </c>
      <c r="B171" s="12" t="inlineStr">
        <is>
          <t>Sugestão da planilha — não é regra do livro (H24): frequência e duração das sessões, quanto de combate e quanto de história, quem aprova o conteúdo escrito pelos jogadores</t>
        </is>
      </c>
      <c r="H171" s="34" t="n"/>
      <c r="I171" s="4" t="n"/>
      <c r="J171" s="17" t="n"/>
      <c r="K171" s="19">
        <f>IF(AM171&gt;0,"O Google leu como fórmula: escolha de novo ou digite com ' na frente.","")</f>
        <v/>
      </c>
      <c r="AM171" s="2">
        <f>ISERROR($H$171)*1+ISERROR($I$171)*1</f>
        <v/>
      </c>
    </row>
    <row r="172" ht="93" customHeight="1">
      <c r="A172" s="21" t="inlineStr">
        <is>
          <t>Pergunta 1 da mesa</t>
        </is>
      </c>
      <c r="B172" s="10">
        <f>'Dados'!$C$801&amp;" (03)"</f>
        <v/>
      </c>
      <c r="H172" s="36" t="n"/>
      <c r="I172" s="29" t="n"/>
      <c r="J172" s="17" t="n"/>
      <c r="K172" s="27">
        <f>IF(AM172&gt;0,"O Google leu como fórmula: escolha de novo ou digite com ' na frente.","")</f>
        <v/>
      </c>
      <c r="AM172" s="2">
        <f>ISERROR($H$172)*1+ISERROR($I$172)*1</f>
        <v/>
      </c>
    </row>
    <row r="173" ht="93" customHeight="1">
      <c r="A173" s="9" t="inlineStr">
        <is>
          <t>Pergunta 2 da mesa</t>
        </is>
      </c>
      <c r="B173" s="5">
        <f>'Dados'!$C$802&amp;" (03)"</f>
        <v/>
      </c>
      <c r="H173" s="34" t="n"/>
      <c r="I173" s="4" t="n"/>
      <c r="J173" s="17" t="n"/>
      <c r="K173" s="19">
        <f>IF(AM173&gt;0,"O Google leu como fórmula: escolha de novo ou digite com ' na frente.","")</f>
        <v/>
      </c>
      <c r="AM173" s="2">
        <f>ISERROR($H$173)*1+ISERROR($I$173)*1</f>
        <v/>
      </c>
    </row>
    <row r="174" ht="93" customHeight="1">
      <c r="A174" s="21" t="inlineStr">
        <is>
          <t>Pergunta 3 da mesa</t>
        </is>
      </c>
      <c r="B174" s="10">
        <f>'Dados'!$C$803&amp;" (03)"</f>
        <v/>
      </c>
      <c r="H174" s="36" t="n"/>
      <c r="I174" s="29" t="n"/>
      <c r="J174" s="17" t="n"/>
      <c r="K174" s="27">
        <f>IF(AM174&gt;0,"O Google leu como fórmula: escolha de novo ou digite com ' na frente.","")</f>
        <v/>
      </c>
      <c r="AM174" s="2">
        <f>ISERROR($H$174)*1+ISERROR($I$174)*1</f>
        <v/>
      </c>
    </row>
    <row r="175" ht="93" customHeight="1">
      <c r="A175" s="9" t="inlineStr">
        <is>
          <t>Pergunta 4 da mesa</t>
        </is>
      </c>
      <c r="B175" s="5">
        <f>'Dados'!$C$804&amp;" (03)"</f>
        <v/>
      </c>
      <c r="H175" s="34" t="n"/>
      <c r="I175" s="4" t="n"/>
      <c r="J175" s="17" t="n"/>
      <c r="K175" s="19">
        <f>IF(AM175&gt;0,"O Google leu como fórmula: escolha de novo ou digite com ' na frente.","")</f>
        <v/>
      </c>
      <c r="AM175" s="2">
        <f>ISERROR($H$175)*1+ISERROR($I$175)*1</f>
        <v/>
      </c>
    </row>
    <row r="176" ht="93" customHeight="1">
      <c r="A176" s="21" t="inlineStr">
        <is>
          <t>Pergunta 5 da mesa</t>
        </is>
      </c>
      <c r="B176" s="10">
        <f>'Dados'!$C$805&amp;" (03)"</f>
        <v/>
      </c>
      <c r="H176" s="36" t="n"/>
      <c r="I176" s="29" t="n"/>
      <c r="J176" s="17" t="n"/>
      <c r="K176" s="27">
        <f>IF(AM176&gt;0,"O Google leu como fórmula: escolha de novo ou digite com ' na frente.","")</f>
        <v/>
      </c>
      <c r="AM176" s="2">
        <f>ISERROR($H$176)*1+ISERROR($I$176)*1</f>
        <v/>
      </c>
    </row>
    <row r="177" ht="93" customHeight="1">
      <c r="A177" s="9" t="inlineStr">
        <is>
          <t>Tamanho da mesa</t>
        </is>
      </c>
      <c r="B177" s="5">
        <f>"Máximo de PH = 1 + número de personagens jogadores: com "&amp;$B$21&amp;" jogadores, PH máximo "&amp;$B$24&amp;" e início "&amp;$B$25&amp;" nesta faixa (16.2)."</f>
        <v/>
      </c>
      <c r="H177" s="34" t="n"/>
      <c r="I177" s="4" t="n"/>
      <c r="J177" s="17" t="n"/>
      <c r="K177" s="19">
        <f>IF(AM177&gt;0,"O Google leu como fórmula: escolha de novo ou digite com ' na frente.","")</f>
        <v/>
      </c>
      <c r="AM177" s="2">
        <f>ISERROR($H$177)*1+ISERROR($I$177)*1</f>
        <v/>
      </c>
    </row>
    <row r="178" ht="93" customHeight="1">
      <c r="A178" s="21" t="inlineStr">
        <is>
          <t>Variantes</t>
        </is>
      </c>
      <c r="B178" s="22" t="inlineStr">
        <is>
          <t>PV rolado ou valor fixo (06.4); usar a média do dano dos inimigos em vez de rolar (28.3).</t>
        </is>
      </c>
      <c r="H178" s="36" t="n"/>
      <c r="I178" s="29" t="n"/>
      <c r="J178" s="17" t="n"/>
      <c r="K178" s="27">
        <f>IF(AM178&gt;0,"O Google leu como fórmula: escolha de novo ou digite com ' na frente.","")</f>
        <v/>
      </c>
      <c r="AM178" s="2">
        <f>ISERROR($H$178)*1+ISERROR($I$178)*1</f>
        <v/>
      </c>
    </row>
    <row r="179" ht="93" customHeight="1">
      <c r="A179" s="9" t="inlineStr">
        <is>
          <t>Regra de Ouro</t>
        </is>
      </c>
      <c r="B179" s="5">
        <f>'Dados'!$C$794&amp;" (27.1)"</f>
        <v/>
      </c>
      <c r="H179" s="34" t="n"/>
      <c r="I179" s="4" t="n"/>
      <c r="J179" s="17" t="n"/>
      <c r="K179" s="19">
        <f>IF(AM179&gt;0,"O Google leu como fórmula: escolha de novo ou digite com ' na frente.","")</f>
        <v/>
      </c>
      <c r="AM179" s="2">
        <f>ISERROR($H$179)*1+ISERROR($I$179)*1</f>
        <v/>
      </c>
    </row>
    <row r="180" ht="93" customHeight="1">
      <c r="A180" s="21" t="inlineStr">
        <is>
          <t>Falhe para frente</t>
        </is>
      </c>
      <c r="B180" s="10">
        <f>'Dados'!$C$793&amp;" (27.1)"</f>
        <v/>
      </c>
      <c r="H180" s="36" t="n"/>
      <c r="I180" s="29" t="n"/>
      <c r="J180" s="17" t="n"/>
      <c r="K180" s="27">
        <f>IF(AM180&gt;0,"O Google leu como fórmula: escolha de novo ou digite com ' na frente.","")</f>
        <v/>
      </c>
      <c r="AM180" s="2">
        <f>ISERROR($H$180)*1+ISERROR($I$180)*1</f>
        <v/>
      </c>
    </row>
    <row r="181" ht="93" customHeight="1">
      <c r="A181" s="9" t="inlineStr">
        <is>
          <t>A casa do grupo</t>
        </is>
      </c>
      <c r="B181" s="5">
        <f>'Dados'!$C$807&amp;" (27.15)"</f>
        <v/>
      </c>
      <c r="H181" s="34" t="n"/>
      <c r="I181" s="4" t="n"/>
      <c r="J181" s="17" t="n"/>
      <c r="K181" s="19">
        <f>IF(AM181&gt;0,"O Google leu como fórmula: escolha de novo ou digite com ' na frente.","")</f>
        <v/>
      </c>
      <c r="AM181" s="2">
        <f>ISERROR($H$181)*1+ISERROR($I$181)*1</f>
        <v/>
      </c>
    </row>
    <row r="182">
      <c r="A182" s="8" t="inlineStr">
        <is>
          <t>Item</t>
        </is>
      </c>
      <c r="B182" s="8" t="inlineStr">
        <is>
          <t>O que combinar (e onde está no livro)</t>
        </is>
      </c>
      <c r="C182" s="20" t="n"/>
      <c r="D182" s="20" t="n"/>
      <c r="E182" s="20" t="n"/>
      <c r="F182" s="20" t="n"/>
      <c r="G182" s="20" t="n"/>
      <c r="H182" s="8" t="inlineStr">
        <is>
          <t>Feito?</t>
        </is>
      </c>
      <c r="I182" s="8" t="inlineStr">
        <is>
          <t>Nota</t>
        </is>
      </c>
      <c r="J182" s="20" t="n"/>
      <c r="K182" s="8" t="inlineStr">
        <is>
          <t>Aviso</t>
        </is>
      </c>
      <c r="L182" s="20" t="n"/>
    </row>
    <row r="183" ht="105" customHeight="1">
      <c r="A183" s="9" t="inlineStr">
        <is>
          <t>O que o livro não cobre</t>
        </is>
      </c>
      <c r="B183" s="14" t="inlineStr">
        <is>
          <t>Nave e viagem, economia detalhada, grade, duelos entre personagens e níveis acima de 20 ficam fora; o que a mesa inventar vai para a Ficha de Decisões (27.19).</t>
        </is>
      </c>
      <c r="H183" s="34" t="n"/>
      <c r="I183" s="4" t="n"/>
      <c r="J183" s="17" t="n"/>
      <c r="K183" s="19">
        <f>IF(AM183&gt;0,"O Google leu como fórmula: escolha de novo ou digite com ' na frente.","")</f>
        <v/>
      </c>
      <c r="AM183" s="2">
        <f>ISERROR($H$183)*1+ISERROR($I$183)*1</f>
        <v/>
      </c>
    </row>
    <row r="184" ht="93" customHeight="1">
      <c r="A184" s="21" t="inlineStr">
        <is>
          <t>Como se sobe de nível</t>
        </is>
      </c>
      <c r="B184" s="10">
        <f>'Dados'!$C$806&amp;" (26.1)"</f>
        <v/>
      </c>
      <c r="H184" s="36" t="n"/>
      <c r="I184" s="29" t="n"/>
      <c r="J184" s="17" t="n"/>
      <c r="K184" s="27">
        <f>IF(AM184&gt;0,"O Google leu como fórmula: escolha de novo ou digite com ' na frente.","")</f>
        <v/>
      </c>
      <c r="AM184" s="2">
        <f>ISERROR($H$184)*1+ISERROR($I$184)*1</f>
        <v/>
      </c>
    </row>
    <row r="185" ht="93" customHeight="1">
      <c r="A185" s="9" t="inlineStr">
        <is>
          <t>Recompensa de marco</t>
        </is>
      </c>
      <c r="B185" s="5">
        <f>'Dados'!$C$813&amp;" (27.8)"</f>
        <v/>
      </c>
      <c r="H185" s="34" t="n"/>
      <c r="I185" s="4" t="n"/>
      <c r="J185" s="17" t="n"/>
      <c r="K185" s="19">
        <f>IF(AM185&gt;0,"O Google leu como fórmula: escolha de novo ou digite com ' na frente.","")</f>
        <v/>
      </c>
      <c r="AM185" s="2">
        <f>ISERROR($H$185)*1+ISERROR($I$185)*1</f>
        <v/>
      </c>
    </row>
    <row r="186" ht="26" customHeight="1">
      <c r="A186" s="13" t="inlineStr">
        <is>
          <t>Combinados da mesa (anote o que foi decidido)</t>
        </is>
      </c>
      <c r="K186" s="12" t="inlineStr">
        <is>
          <t>Sugestão da planilha — não é regra do livro (H24)</t>
        </is>
      </c>
    </row>
    <row r="187">
      <c r="A187" s="8" t="inlineStr">
        <is>
          <t>Combinado</t>
        </is>
      </c>
      <c r="B187" s="8" t="inlineStr">
        <is>
          <t>O que a mesa decidiu</t>
        </is>
      </c>
      <c r="C187" s="20" t="n"/>
      <c r="D187" s="20" t="n"/>
      <c r="E187" s="20" t="n"/>
      <c r="F187" s="20" t="n"/>
      <c r="G187" s="20" t="n"/>
      <c r="H187" s="20" t="n"/>
      <c r="I187" s="20" t="n"/>
      <c r="J187" s="20" t="n"/>
      <c r="K187" s="8" t="inlineStr">
        <is>
          <t>Aviso</t>
        </is>
      </c>
      <c r="L187" s="20" t="n"/>
    </row>
    <row r="188" ht="26" customHeight="1">
      <c r="A188" s="9" t="inlineStr">
        <is>
          <t>Tom</t>
        </is>
      </c>
      <c r="B188" s="4" t="n"/>
      <c r="C188" s="25" t="n"/>
      <c r="D188" s="25" t="n"/>
      <c r="E188" s="25" t="n"/>
      <c r="F188" s="25" t="n"/>
      <c r="G188" s="25" t="n"/>
      <c r="H188" s="25" t="n"/>
      <c r="I188" s="25" t="n"/>
      <c r="J188" s="17" t="n"/>
      <c r="K188" s="19">
        <f>IF(AM188&gt;0,"O Google leu como fórmula: digite de novo com ' na frente.","")</f>
        <v/>
      </c>
      <c r="AM188" s="2">
        <f>ISERROR($B$188)*1</f>
        <v/>
      </c>
    </row>
    <row r="189" ht="26" customHeight="1">
      <c r="A189" s="21" t="inlineStr">
        <is>
          <t>Temas</t>
        </is>
      </c>
      <c r="B189" s="29" t="n"/>
      <c r="C189" s="25" t="n"/>
      <c r="D189" s="25" t="n"/>
      <c r="E189" s="25" t="n"/>
      <c r="F189" s="25" t="n"/>
      <c r="G189" s="25" t="n"/>
      <c r="H189" s="25" t="n"/>
      <c r="I189" s="25" t="n"/>
      <c r="J189" s="17" t="n"/>
      <c r="K189" s="27">
        <f>IF(AM189&gt;0,"O Google leu como fórmula: digite de novo com ' na frente.","")</f>
        <v/>
      </c>
      <c r="AM189" s="2">
        <f>ISERROR($B$189)*1</f>
        <v/>
      </c>
    </row>
    <row r="190" ht="26" customHeight="1">
      <c r="A190" s="9" t="inlineStr">
        <is>
          <t>Linhas (não entram em jogo)</t>
        </is>
      </c>
      <c r="B190" s="4" t="n"/>
      <c r="C190" s="25" t="n"/>
      <c r="D190" s="25" t="n"/>
      <c r="E190" s="25" t="n"/>
      <c r="F190" s="25" t="n"/>
      <c r="G190" s="25" t="n"/>
      <c r="H190" s="25" t="n"/>
      <c r="I190" s="25" t="n"/>
      <c r="J190" s="17" t="n"/>
      <c r="K190" s="19">
        <f>IF(AM190&gt;0,"O Google leu como fórmula: digite de novo com ' na frente.","")</f>
        <v/>
      </c>
      <c r="AM190" s="2">
        <f>ISERROR($B$190)*1</f>
        <v/>
      </c>
    </row>
    <row r="191" ht="26" customHeight="1">
      <c r="A191" s="21" t="inlineStr">
        <is>
          <t>Véus (acontecem fora de cena)</t>
        </is>
      </c>
      <c r="B191" s="29" t="n"/>
      <c r="C191" s="25" t="n"/>
      <c r="D191" s="25" t="n"/>
      <c r="E191" s="25" t="n"/>
      <c r="F191" s="25" t="n"/>
      <c r="G191" s="25" t="n"/>
      <c r="H191" s="25" t="n"/>
      <c r="I191" s="25" t="n"/>
      <c r="J191" s="17" t="n"/>
      <c r="K191" s="27">
        <f>IF(AM191&gt;0,"O Google leu como fórmula: digite de novo com ' na frente.","")</f>
        <v/>
      </c>
      <c r="AM191" s="2">
        <f>ISERROR($B$191)*1</f>
        <v/>
      </c>
    </row>
    <row r="192" ht="26" customHeight="1">
      <c r="A192" s="9" t="inlineStr">
        <is>
          <t>Expectativas da mesa</t>
        </is>
      </c>
      <c r="B192" s="4" t="n"/>
      <c r="C192" s="25" t="n"/>
      <c r="D192" s="25" t="n"/>
      <c r="E192" s="25" t="n"/>
      <c r="F192" s="25" t="n"/>
      <c r="G192" s="25" t="n"/>
      <c r="H192" s="25" t="n"/>
      <c r="I192" s="25" t="n"/>
      <c r="J192" s="17" t="n"/>
      <c r="K192" s="19">
        <f>IF(AM192&gt;0,"O Google leu como fórmula: digite de novo com ' na frente.","")</f>
        <v/>
      </c>
      <c r="AM192" s="2">
        <f>ISERROR($B$192)*1</f>
        <v/>
      </c>
    </row>
  </sheetData>
  <mergeCells count="503">
    <mergeCell ref="K177:L177"/>
    <mergeCell ref="D130:G130"/>
    <mergeCell ref="G71:H71"/>
    <mergeCell ref="K104:L104"/>
    <mergeCell ref="D66:F66"/>
    <mergeCell ref="K81:L81"/>
    <mergeCell ref="G66:H66"/>
    <mergeCell ref="K99:L99"/>
    <mergeCell ref="I66:J66"/>
    <mergeCell ref="K180:L180"/>
    <mergeCell ref="G68:H68"/>
    <mergeCell ref="K155:L155"/>
    <mergeCell ref="I170:J170"/>
    <mergeCell ref="A34:L34"/>
    <mergeCell ref="H96:I96"/>
    <mergeCell ref="B138:J138"/>
    <mergeCell ref="K157:L157"/>
    <mergeCell ref="H87:I87"/>
    <mergeCell ref="I172:J172"/>
    <mergeCell ref="K101:L101"/>
    <mergeCell ref="K172:L172"/>
    <mergeCell ref="A36:L36"/>
    <mergeCell ref="E8:J8"/>
    <mergeCell ref="B140:J140"/>
    <mergeCell ref="E53:F53"/>
    <mergeCell ref="B129:C129"/>
    <mergeCell ref="H91:I91"/>
    <mergeCell ref="K92:L92"/>
    <mergeCell ref="D122:G122"/>
    <mergeCell ref="D127:G127"/>
    <mergeCell ref="K152:L152"/>
    <mergeCell ref="E10:J10"/>
    <mergeCell ref="B25:C25"/>
    <mergeCell ref="E55:F55"/>
    <mergeCell ref="B8:D8"/>
    <mergeCell ref="B156:C156"/>
    <mergeCell ref="G67:H67"/>
    <mergeCell ref="B131:C131"/>
    <mergeCell ref="G61:H61"/>
    <mergeCell ref="H93:I93"/>
    <mergeCell ref="E48:F48"/>
    <mergeCell ref="I61:J61"/>
    <mergeCell ref="I183:J183"/>
    <mergeCell ref="B10:D10"/>
    <mergeCell ref="I175:J175"/>
    <mergeCell ref="I185:J185"/>
    <mergeCell ref="K185:L185"/>
    <mergeCell ref="A186:J186"/>
    <mergeCell ref="G62:H62"/>
    <mergeCell ref="K106:L106"/>
    <mergeCell ref="D68:F68"/>
    <mergeCell ref="G51:I51"/>
    <mergeCell ref="K56:L56"/>
    <mergeCell ref="I176:J176"/>
    <mergeCell ref="K105:L105"/>
    <mergeCell ref="D67:F67"/>
    <mergeCell ref="K170:L170"/>
    <mergeCell ref="H75:I75"/>
    <mergeCell ref="K107:L107"/>
    <mergeCell ref="D69:F69"/>
    <mergeCell ref="H111:I111"/>
    <mergeCell ref="B153:J153"/>
    <mergeCell ref="G21:L21"/>
    <mergeCell ref="H125:J125"/>
    <mergeCell ref="H104:I104"/>
    <mergeCell ref="G23:L23"/>
    <mergeCell ref="H127:J127"/>
    <mergeCell ref="D21:F21"/>
    <mergeCell ref="H106:I106"/>
    <mergeCell ref="K183:L183"/>
    <mergeCell ref="B148:J148"/>
    <mergeCell ref="K54:L54"/>
    <mergeCell ref="D16:F16"/>
    <mergeCell ref="D87:F87"/>
    <mergeCell ref="K173:L173"/>
    <mergeCell ref="G58:I58"/>
    <mergeCell ref="A42:L42"/>
    <mergeCell ref="D18:F18"/>
    <mergeCell ref="D128:G128"/>
    <mergeCell ref="G69:H69"/>
    <mergeCell ref="B143:J143"/>
    <mergeCell ref="A144:L144"/>
    <mergeCell ref="D82:F82"/>
    <mergeCell ref="I62:J62"/>
    <mergeCell ref="B28:C28"/>
    <mergeCell ref="K176:L176"/>
    <mergeCell ref="G64:H64"/>
    <mergeCell ref="K97:L97"/>
    <mergeCell ref="I64:J64"/>
    <mergeCell ref="B30:C30"/>
    <mergeCell ref="K191:L191"/>
    <mergeCell ref="K57:L57"/>
    <mergeCell ref="K128:L128"/>
    <mergeCell ref="K184:L184"/>
    <mergeCell ref="K171:L171"/>
    <mergeCell ref="D77:F77"/>
    <mergeCell ref="C49:D49"/>
    <mergeCell ref="I65:J65"/>
    <mergeCell ref="K121:L121"/>
    <mergeCell ref="B136:J136"/>
    <mergeCell ref="H112:I112"/>
    <mergeCell ref="B170:G170"/>
    <mergeCell ref="A74:L74"/>
    <mergeCell ref="K123:L123"/>
    <mergeCell ref="E6:J6"/>
    <mergeCell ref="H114:I114"/>
    <mergeCell ref="B172:G172"/>
    <mergeCell ref="G24:L24"/>
    <mergeCell ref="H128:J128"/>
    <mergeCell ref="B23:C23"/>
    <mergeCell ref="C55:D55"/>
    <mergeCell ref="K174:L174"/>
    <mergeCell ref="K75:L75"/>
    <mergeCell ref="G26:L26"/>
    <mergeCell ref="D24:F24"/>
    <mergeCell ref="I181:J181"/>
    <mergeCell ref="D89:F89"/>
    <mergeCell ref="K12:L12"/>
    <mergeCell ref="D158:J158"/>
    <mergeCell ref="D88:F88"/>
    <mergeCell ref="D26:F26"/>
    <mergeCell ref="C52:D52"/>
    <mergeCell ref="K70:L70"/>
    <mergeCell ref="D160:J160"/>
    <mergeCell ref="D19:F19"/>
    <mergeCell ref="D90:F90"/>
    <mergeCell ref="K103:L103"/>
    <mergeCell ref="D65:F65"/>
    <mergeCell ref="B149:J149"/>
    <mergeCell ref="G17:L17"/>
    <mergeCell ref="H121:J121"/>
    <mergeCell ref="B163:C163"/>
    <mergeCell ref="B176:G176"/>
    <mergeCell ref="E47:F47"/>
    <mergeCell ref="B151:J151"/>
    <mergeCell ref="G19:L19"/>
    <mergeCell ref="H123:J123"/>
    <mergeCell ref="B165:C165"/>
    <mergeCell ref="B181:G181"/>
    <mergeCell ref="B31:C31"/>
    <mergeCell ref="K192:L192"/>
    <mergeCell ref="B37:D37"/>
    <mergeCell ref="K129:L129"/>
    <mergeCell ref="K50:L50"/>
    <mergeCell ref="C50:D50"/>
    <mergeCell ref="K181:L181"/>
    <mergeCell ref="H89:I89"/>
    <mergeCell ref="I71:J71"/>
    <mergeCell ref="K131:L131"/>
    <mergeCell ref="K58:L58"/>
    <mergeCell ref="K52:L52"/>
    <mergeCell ref="G32:L32"/>
    <mergeCell ref="B173:G173"/>
    <mergeCell ref="B24:C24"/>
    <mergeCell ref="K53:L53"/>
    <mergeCell ref="D80:F80"/>
    <mergeCell ref="B32:C32"/>
    <mergeCell ref="D96:F96"/>
    <mergeCell ref="B26:C26"/>
    <mergeCell ref="K13:L13"/>
    <mergeCell ref="K78:L78"/>
    <mergeCell ref="D27:F27"/>
    <mergeCell ref="K142:L142"/>
    <mergeCell ref="K80:L80"/>
    <mergeCell ref="D161:J161"/>
    <mergeCell ref="D91:F91"/>
    <mergeCell ref="A3:L3"/>
    <mergeCell ref="B27:C27"/>
    <mergeCell ref="K55:L55"/>
    <mergeCell ref="A120:L120"/>
    <mergeCell ref="K79:L79"/>
    <mergeCell ref="B178:G178"/>
    <mergeCell ref="H83:I83"/>
    <mergeCell ref="C47:D47"/>
    <mergeCell ref="D106:F106"/>
    <mergeCell ref="D93:F93"/>
    <mergeCell ref="A5:L5"/>
    <mergeCell ref="H85:I85"/>
    <mergeCell ref="G20:L20"/>
    <mergeCell ref="H124:J124"/>
    <mergeCell ref="G54:I54"/>
    <mergeCell ref="G22:L22"/>
    <mergeCell ref="I177:J177"/>
    <mergeCell ref="H126:J126"/>
    <mergeCell ref="G56:I56"/>
    <mergeCell ref="H80:I80"/>
    <mergeCell ref="K10:L10"/>
    <mergeCell ref="K66:L66"/>
    <mergeCell ref="D162:J162"/>
    <mergeCell ref="D111:F111"/>
    <mergeCell ref="D156:J156"/>
    <mergeCell ref="D125:G125"/>
    <mergeCell ref="C53:D53"/>
    <mergeCell ref="D86:F86"/>
    <mergeCell ref="K124:L124"/>
    <mergeCell ref="E38:J38"/>
    <mergeCell ref="D104:F104"/>
    <mergeCell ref="K68:L68"/>
    <mergeCell ref="H129:J129"/>
    <mergeCell ref="A108:L108"/>
    <mergeCell ref="B179:G179"/>
    <mergeCell ref="E40:J40"/>
    <mergeCell ref="B121:C121"/>
    <mergeCell ref="A118:L118"/>
    <mergeCell ref="D157:J157"/>
    <mergeCell ref="B174:G174"/>
    <mergeCell ref="B168:G168"/>
    <mergeCell ref="K150:L150"/>
    <mergeCell ref="B162:C162"/>
    <mergeCell ref="C46:D46"/>
    <mergeCell ref="B133:J133"/>
    <mergeCell ref="B169:G169"/>
    <mergeCell ref="E46:F46"/>
    <mergeCell ref="K8:L8"/>
    <mergeCell ref="B41:D41"/>
    <mergeCell ref="H84:I84"/>
    <mergeCell ref="A167:L167"/>
    <mergeCell ref="K145:L145"/>
    <mergeCell ref="C48:D48"/>
    <mergeCell ref="B135:J135"/>
    <mergeCell ref="D99:F99"/>
    <mergeCell ref="K160:L160"/>
    <mergeCell ref="E54:F54"/>
    <mergeCell ref="B124:C124"/>
    <mergeCell ref="H86:I86"/>
    <mergeCell ref="K147:L147"/>
    <mergeCell ref="D101:F101"/>
    <mergeCell ref="E56:F56"/>
    <mergeCell ref="B126:C126"/>
    <mergeCell ref="I178:J178"/>
    <mergeCell ref="G57:I57"/>
    <mergeCell ref="D61:F61"/>
    <mergeCell ref="G49:I49"/>
    <mergeCell ref="D164:J164"/>
    <mergeCell ref="K163:L163"/>
    <mergeCell ref="D112:F112"/>
    <mergeCell ref="K100:L100"/>
    <mergeCell ref="D62:F62"/>
    <mergeCell ref="K94:L94"/>
    <mergeCell ref="B146:J146"/>
    <mergeCell ref="K165:L165"/>
    <mergeCell ref="D114:F114"/>
    <mergeCell ref="B192:J192"/>
    <mergeCell ref="K140:L140"/>
    <mergeCell ref="A109:L109"/>
    <mergeCell ref="K102:L102"/>
    <mergeCell ref="D64:F64"/>
    <mergeCell ref="E41:J41"/>
    <mergeCell ref="G16:L16"/>
    <mergeCell ref="K77:L77"/>
    <mergeCell ref="A117:L117"/>
    <mergeCell ref="H99:I99"/>
    <mergeCell ref="H101:I101"/>
    <mergeCell ref="B141:J141"/>
    <mergeCell ref="H76:I76"/>
    <mergeCell ref="K87:L87"/>
    <mergeCell ref="B11:D11"/>
    <mergeCell ref="K49:L49"/>
    <mergeCell ref="I168:J168"/>
    <mergeCell ref="D121:G121"/>
    <mergeCell ref="K95:L95"/>
    <mergeCell ref="K89:L89"/>
    <mergeCell ref="E9:J9"/>
    <mergeCell ref="D75:F75"/>
    <mergeCell ref="K88:L88"/>
    <mergeCell ref="D123:G123"/>
    <mergeCell ref="K153:L153"/>
    <mergeCell ref="B21:C21"/>
    <mergeCell ref="E11:J11"/>
    <mergeCell ref="E51:F51"/>
    <mergeCell ref="D102:F102"/>
    <mergeCell ref="K90:L90"/>
    <mergeCell ref="H94:I94"/>
    <mergeCell ref="I184:J184"/>
    <mergeCell ref="B6:D6"/>
    <mergeCell ref="I171:J171"/>
    <mergeCell ref="G50:I50"/>
    <mergeCell ref="I173:J173"/>
    <mergeCell ref="B127:C127"/>
    <mergeCell ref="G52:I52"/>
    <mergeCell ref="K179:L179"/>
    <mergeCell ref="H105:I105"/>
    <mergeCell ref="K141:L141"/>
    <mergeCell ref="A132:L132"/>
    <mergeCell ref="K37:L37"/>
    <mergeCell ref="A119:L119"/>
    <mergeCell ref="H107:I107"/>
    <mergeCell ref="K168:L168"/>
    <mergeCell ref="K143:L143"/>
    <mergeCell ref="B16:C16"/>
    <mergeCell ref="D17:F17"/>
    <mergeCell ref="B18:C18"/>
    <mergeCell ref="H102:I102"/>
    <mergeCell ref="G70:H70"/>
    <mergeCell ref="I70:J70"/>
    <mergeCell ref="K63:L63"/>
    <mergeCell ref="G55:I55"/>
    <mergeCell ref="K134:L134"/>
    <mergeCell ref="D83:F83"/>
    <mergeCell ref="A60:J60"/>
    <mergeCell ref="K96:L96"/>
    <mergeCell ref="D131:G131"/>
    <mergeCell ref="B142:J142"/>
    <mergeCell ref="B29:C29"/>
    <mergeCell ref="D110:F110"/>
    <mergeCell ref="D85:F85"/>
    <mergeCell ref="E37:J37"/>
    <mergeCell ref="D124:G124"/>
    <mergeCell ref="G65:H65"/>
    <mergeCell ref="K98:L98"/>
    <mergeCell ref="E12:J12"/>
    <mergeCell ref="B158:C158"/>
    <mergeCell ref="H95:I95"/>
    <mergeCell ref="D126:G126"/>
    <mergeCell ref="K156:L156"/>
    <mergeCell ref="B160:C160"/>
    <mergeCell ref="K93:L93"/>
    <mergeCell ref="E58:F58"/>
    <mergeCell ref="H97:I97"/>
    <mergeCell ref="K187:L187"/>
    <mergeCell ref="I174:J174"/>
    <mergeCell ref="G53:I53"/>
    <mergeCell ref="K9:L9"/>
    <mergeCell ref="B13:D13"/>
    <mergeCell ref="K189:L189"/>
    <mergeCell ref="K45:L45"/>
    <mergeCell ref="D78:F78"/>
    <mergeCell ref="D129:G129"/>
    <mergeCell ref="K188:L188"/>
    <mergeCell ref="K126:L126"/>
    <mergeCell ref="K182:L182"/>
    <mergeCell ref="K11:L11"/>
    <mergeCell ref="K47:L47"/>
    <mergeCell ref="D71:F71"/>
    <mergeCell ref="K169:L169"/>
    <mergeCell ref="H131:J131"/>
    <mergeCell ref="B17:C17"/>
    <mergeCell ref="K46:L46"/>
    <mergeCell ref="H110:I110"/>
    <mergeCell ref="D159:J159"/>
    <mergeCell ref="G25:L25"/>
    <mergeCell ref="A72:L72"/>
    <mergeCell ref="B19:C19"/>
    <mergeCell ref="C51:D51"/>
    <mergeCell ref="K71:L71"/>
    <mergeCell ref="D20:F20"/>
    <mergeCell ref="B150:J150"/>
    <mergeCell ref="B20:C20"/>
    <mergeCell ref="D84:F84"/>
    <mergeCell ref="D22:F22"/>
    <mergeCell ref="B184:G184"/>
    <mergeCell ref="K162:L162"/>
    <mergeCell ref="K137:L137"/>
    <mergeCell ref="B152:J152"/>
    <mergeCell ref="H92:I92"/>
    <mergeCell ref="H103:I103"/>
    <mergeCell ref="E13:J13"/>
    <mergeCell ref="H78:I78"/>
    <mergeCell ref="B145:J145"/>
    <mergeCell ref="K139:L139"/>
    <mergeCell ref="K164:L164"/>
    <mergeCell ref="B159:C159"/>
    <mergeCell ref="A154:L154"/>
    <mergeCell ref="B38:D38"/>
    <mergeCell ref="B147:J147"/>
    <mergeCell ref="B161:C161"/>
    <mergeCell ref="H98:I98"/>
    <mergeCell ref="B40:D40"/>
    <mergeCell ref="A45:J45"/>
    <mergeCell ref="I68:J68"/>
    <mergeCell ref="D155:J155"/>
    <mergeCell ref="K130:L130"/>
    <mergeCell ref="K190:L190"/>
    <mergeCell ref="D79:F79"/>
    <mergeCell ref="I67:J67"/>
    <mergeCell ref="K61:L61"/>
    <mergeCell ref="K48:L48"/>
    <mergeCell ref="D81:F81"/>
    <mergeCell ref="K125:L125"/>
    <mergeCell ref="A1:L1"/>
    <mergeCell ref="K62:L62"/>
    <mergeCell ref="H130:J130"/>
    <mergeCell ref="K127:L127"/>
    <mergeCell ref="H82:I82"/>
    <mergeCell ref="D76:F76"/>
    <mergeCell ref="G28:L28"/>
    <mergeCell ref="B22:C22"/>
    <mergeCell ref="B155:C155"/>
    <mergeCell ref="B175:G175"/>
    <mergeCell ref="H113:I113"/>
    <mergeCell ref="G30:L30"/>
    <mergeCell ref="B191:J191"/>
    <mergeCell ref="D28:F28"/>
    <mergeCell ref="C54:D54"/>
    <mergeCell ref="K138:L138"/>
    <mergeCell ref="K76:L76"/>
    <mergeCell ref="D92:F92"/>
    <mergeCell ref="D30:F30"/>
    <mergeCell ref="K178:L178"/>
    <mergeCell ref="C56:D56"/>
    <mergeCell ref="H79:I79"/>
    <mergeCell ref="K67:L67"/>
    <mergeCell ref="D29:F29"/>
    <mergeCell ref="D23:F23"/>
    <mergeCell ref="K186:L186"/>
    <mergeCell ref="D94:F94"/>
    <mergeCell ref="E49:F49"/>
    <mergeCell ref="H81:I81"/>
    <mergeCell ref="H122:J122"/>
    <mergeCell ref="B164:C164"/>
    <mergeCell ref="I69:J69"/>
    <mergeCell ref="D105:F105"/>
    <mergeCell ref="K69:L69"/>
    <mergeCell ref="K158:L158"/>
    <mergeCell ref="D165:J165"/>
    <mergeCell ref="D107:F107"/>
    <mergeCell ref="K133:L133"/>
    <mergeCell ref="G18:L18"/>
    <mergeCell ref="B182:G182"/>
    <mergeCell ref="K64:L64"/>
    <mergeCell ref="K135:L135"/>
    <mergeCell ref="K51:L51"/>
    <mergeCell ref="B130:C130"/>
    <mergeCell ref="K122:L122"/>
    <mergeCell ref="B9:D9"/>
    <mergeCell ref="B157:C157"/>
    <mergeCell ref="D25:F25"/>
    <mergeCell ref="B183:G183"/>
    <mergeCell ref="B177:G177"/>
    <mergeCell ref="G29:L29"/>
    <mergeCell ref="A43:L43"/>
    <mergeCell ref="G31:L31"/>
    <mergeCell ref="D100:F100"/>
    <mergeCell ref="K148:L148"/>
    <mergeCell ref="K82:L82"/>
    <mergeCell ref="B134:J134"/>
    <mergeCell ref="D163:J163"/>
    <mergeCell ref="D31:F31"/>
    <mergeCell ref="C57:D57"/>
    <mergeCell ref="B180:G180"/>
    <mergeCell ref="K146:L146"/>
    <mergeCell ref="K6:L6"/>
    <mergeCell ref="B39:D39"/>
    <mergeCell ref="D95:F95"/>
    <mergeCell ref="E50:F50"/>
    <mergeCell ref="K83:L83"/>
    <mergeCell ref="B125:C125"/>
    <mergeCell ref="D32:F32"/>
    <mergeCell ref="C58:D58"/>
    <mergeCell ref="D97:F97"/>
    <mergeCell ref="E52:F52"/>
    <mergeCell ref="B122:C122"/>
    <mergeCell ref="I179:J179"/>
    <mergeCell ref="K60:L60"/>
    <mergeCell ref="B187:J187"/>
    <mergeCell ref="K159:L159"/>
    <mergeCell ref="G47:I47"/>
    <mergeCell ref="D113:F113"/>
    <mergeCell ref="B189:J189"/>
    <mergeCell ref="H100:I100"/>
    <mergeCell ref="K161:L161"/>
    <mergeCell ref="G46:I46"/>
    <mergeCell ref="K136:L136"/>
    <mergeCell ref="B188:J188"/>
    <mergeCell ref="D115:F115"/>
    <mergeCell ref="B185:G185"/>
    <mergeCell ref="E57:F57"/>
    <mergeCell ref="K7:L7"/>
    <mergeCell ref="A15:L15"/>
    <mergeCell ref="H77:I77"/>
    <mergeCell ref="B190:J190"/>
    <mergeCell ref="K65:L65"/>
    <mergeCell ref="G63:H63"/>
    <mergeCell ref="I63:J63"/>
    <mergeCell ref="E39:J39"/>
    <mergeCell ref="B12:D12"/>
    <mergeCell ref="D70:F70"/>
    <mergeCell ref="B171:G171"/>
    <mergeCell ref="D103:F103"/>
    <mergeCell ref="K91:L91"/>
    <mergeCell ref="K85:L85"/>
    <mergeCell ref="B137:J137"/>
    <mergeCell ref="K84:L84"/>
    <mergeCell ref="H88:I88"/>
    <mergeCell ref="K149:L149"/>
    <mergeCell ref="E7:J7"/>
    <mergeCell ref="B139:J139"/>
    <mergeCell ref="D98:F98"/>
    <mergeCell ref="H115:I115"/>
    <mergeCell ref="K86:L86"/>
    <mergeCell ref="B128:C128"/>
    <mergeCell ref="H90:I90"/>
    <mergeCell ref="K151:L151"/>
    <mergeCell ref="I180:J180"/>
    <mergeCell ref="B7:D7"/>
    <mergeCell ref="D63:F63"/>
    <mergeCell ref="G27:L27"/>
    <mergeCell ref="I182:J182"/>
    <mergeCell ref="K38:L38"/>
    <mergeCell ref="I169:J169"/>
    <mergeCell ref="B123:C123"/>
    <mergeCell ref="G48:I48"/>
    <mergeCell ref="K175:L175"/>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38">
    <cfRule type="expression" priority="3" dxfId="0">
      <formula>LEN(K38)&gt;0</formula>
    </cfRule>
  </conditionalFormatting>
  <conditionalFormatting sqref="K47">
    <cfRule type="expression" priority="4" dxfId="0">
      <formula>LEN(K47)&gt;0</formula>
    </cfRule>
  </conditionalFormatting>
  <conditionalFormatting sqref="K48">
    <cfRule type="expression" priority="5" dxfId="0">
      <formula>LEN(K48)&gt;0</formula>
    </cfRule>
  </conditionalFormatting>
  <conditionalFormatting sqref="K49">
    <cfRule type="expression" priority="6" dxfId="0">
      <formula>LEN(K49)&gt;0</formula>
    </cfRule>
  </conditionalFormatting>
  <conditionalFormatting sqref="K50">
    <cfRule type="expression" priority="7" dxfId="0">
      <formula>LEN(K50)&gt;0</formula>
    </cfRule>
  </conditionalFormatting>
  <conditionalFormatting sqref="K51">
    <cfRule type="expression" priority="8" dxfId="0">
      <formula>LEN(K51)&gt;0</formula>
    </cfRule>
  </conditionalFormatting>
  <conditionalFormatting sqref="K52">
    <cfRule type="expression" priority="9" dxfId="0">
      <formula>LEN(K52)&gt;0</formula>
    </cfRule>
  </conditionalFormatting>
  <conditionalFormatting sqref="K53">
    <cfRule type="expression" priority="10" dxfId="0">
      <formula>LEN(K53)&gt;0</formula>
    </cfRule>
  </conditionalFormatting>
  <conditionalFormatting sqref="K54">
    <cfRule type="expression" priority="11" dxfId="0">
      <formula>LEN(K54)&gt;0</formula>
    </cfRule>
  </conditionalFormatting>
  <conditionalFormatting sqref="K55">
    <cfRule type="expression" priority="12" dxfId="0">
      <formula>LEN(K55)&gt;0</formula>
    </cfRule>
  </conditionalFormatting>
  <conditionalFormatting sqref="K56">
    <cfRule type="expression" priority="13" dxfId="0">
      <formula>LEN(K56)&gt;0</formula>
    </cfRule>
  </conditionalFormatting>
  <conditionalFormatting sqref="K57">
    <cfRule type="expression" priority="14" dxfId="0">
      <formula>LEN(K57)&gt;0</formula>
    </cfRule>
  </conditionalFormatting>
  <conditionalFormatting sqref="K58">
    <cfRule type="expression" priority="15" dxfId="0">
      <formula>LEN(K58)&gt;0</formula>
    </cfRule>
  </conditionalFormatting>
  <conditionalFormatting sqref="K62">
    <cfRule type="expression" priority="16" dxfId="0">
      <formula>LEN(K62)&gt;0</formula>
    </cfRule>
  </conditionalFormatting>
  <conditionalFormatting sqref="K63">
    <cfRule type="expression" priority="17" dxfId="0">
      <formula>LEN(K63)&gt;0</formula>
    </cfRule>
  </conditionalFormatting>
  <conditionalFormatting sqref="K64">
    <cfRule type="expression" priority="18" dxfId="0">
      <formula>LEN(K64)&gt;0</formula>
    </cfRule>
  </conditionalFormatting>
  <conditionalFormatting sqref="K65">
    <cfRule type="expression" priority="19" dxfId="0">
      <formula>LEN(K65)&gt;0</formula>
    </cfRule>
  </conditionalFormatting>
  <conditionalFormatting sqref="K66">
    <cfRule type="expression" priority="20" dxfId="0">
      <formula>LEN(K66)&gt;0</formula>
    </cfRule>
  </conditionalFormatting>
  <conditionalFormatting sqref="K67">
    <cfRule type="expression" priority="21" dxfId="0">
      <formula>LEN(K67)&gt;0</formula>
    </cfRule>
  </conditionalFormatting>
  <conditionalFormatting sqref="K68">
    <cfRule type="expression" priority="22" dxfId="0">
      <formula>LEN(K68)&gt;0</formula>
    </cfRule>
  </conditionalFormatting>
  <conditionalFormatting sqref="K69">
    <cfRule type="expression" priority="23" dxfId="0">
      <formula>LEN(K69)&gt;0</formula>
    </cfRule>
  </conditionalFormatting>
  <conditionalFormatting sqref="K70">
    <cfRule type="expression" priority="24" dxfId="0">
      <formula>LEN(K70)&gt;0</formula>
    </cfRule>
  </conditionalFormatting>
  <conditionalFormatting sqref="K71">
    <cfRule type="expression" priority="25" dxfId="0">
      <formula>LEN(K71)&gt;0</formula>
    </cfRule>
  </conditionalFormatting>
  <conditionalFormatting sqref="K76">
    <cfRule type="expression" priority="26" dxfId="0">
      <formula>LEN(K76)&gt;0</formula>
    </cfRule>
  </conditionalFormatting>
  <conditionalFormatting sqref="K77">
    <cfRule type="expression" priority="27" dxfId="0">
      <formula>LEN(K77)&gt;0</formula>
    </cfRule>
  </conditionalFormatting>
  <conditionalFormatting sqref="K78">
    <cfRule type="expression" priority="28" dxfId="0">
      <formula>LEN(K78)&gt;0</formula>
    </cfRule>
  </conditionalFormatting>
  <conditionalFormatting sqref="K79">
    <cfRule type="expression" priority="29" dxfId="0">
      <formula>LEN(K79)&gt;0</formula>
    </cfRule>
  </conditionalFormatting>
  <conditionalFormatting sqref="K80">
    <cfRule type="expression" priority="30" dxfId="0">
      <formula>LEN(K80)&gt;0</formula>
    </cfRule>
  </conditionalFormatting>
  <conditionalFormatting sqref="K81">
    <cfRule type="expression" priority="31" dxfId="0">
      <formula>LEN(K81)&gt;0</formula>
    </cfRule>
  </conditionalFormatting>
  <conditionalFormatting sqref="K82">
    <cfRule type="expression" priority="32" dxfId="0">
      <formula>LEN(K82)&gt;0</formula>
    </cfRule>
  </conditionalFormatting>
  <conditionalFormatting sqref="K83">
    <cfRule type="expression" priority="33" dxfId="0">
      <formula>LEN(K83)&gt;0</formula>
    </cfRule>
  </conditionalFormatting>
  <conditionalFormatting sqref="K84">
    <cfRule type="expression" priority="34" dxfId="0">
      <formula>LEN(K84)&gt;0</formula>
    </cfRule>
  </conditionalFormatting>
  <conditionalFormatting sqref="K85">
    <cfRule type="expression" priority="35" dxfId="0">
      <formula>LEN(K85)&gt;0</formula>
    </cfRule>
  </conditionalFormatting>
  <conditionalFormatting sqref="K87">
    <cfRule type="expression" priority="36" dxfId="0">
      <formula>LEN(K87)&gt;0</formula>
    </cfRule>
  </conditionalFormatting>
  <conditionalFormatting sqref="K88">
    <cfRule type="expression" priority="37" dxfId="0">
      <formula>LEN(K88)&gt;0</formula>
    </cfRule>
  </conditionalFormatting>
  <conditionalFormatting sqref="K89">
    <cfRule type="expression" priority="38" dxfId="0">
      <formula>LEN(K89)&gt;0</formula>
    </cfRule>
  </conditionalFormatting>
  <conditionalFormatting sqref="K90">
    <cfRule type="expression" priority="39" dxfId="0">
      <formula>LEN(K90)&gt;0</formula>
    </cfRule>
  </conditionalFormatting>
  <conditionalFormatting sqref="K91">
    <cfRule type="expression" priority="40" dxfId="0">
      <formula>LEN(K91)&gt;0</formula>
    </cfRule>
  </conditionalFormatting>
  <conditionalFormatting sqref="K92">
    <cfRule type="expression" priority="41" dxfId="0">
      <formula>LEN(K92)&gt;0</formula>
    </cfRule>
  </conditionalFormatting>
  <conditionalFormatting sqref="K93">
    <cfRule type="expression" priority="42" dxfId="0">
      <formula>LEN(K93)&gt;0</formula>
    </cfRule>
  </conditionalFormatting>
  <conditionalFormatting sqref="K94">
    <cfRule type="expression" priority="43" dxfId="0">
      <formula>LEN(K94)&gt;0</formula>
    </cfRule>
  </conditionalFormatting>
  <conditionalFormatting sqref="K95">
    <cfRule type="expression" priority="44" dxfId="0">
      <formula>LEN(K95)&gt;0</formula>
    </cfRule>
  </conditionalFormatting>
  <conditionalFormatting sqref="K96">
    <cfRule type="expression" priority="45" dxfId="0">
      <formula>LEN(K96)&gt;0</formula>
    </cfRule>
  </conditionalFormatting>
  <conditionalFormatting sqref="K98">
    <cfRule type="expression" priority="46" dxfId="0">
      <formula>LEN(K98)&gt;0</formula>
    </cfRule>
  </conditionalFormatting>
  <conditionalFormatting sqref="K99">
    <cfRule type="expression" priority="47" dxfId="0">
      <formula>LEN(K99)&gt;0</formula>
    </cfRule>
  </conditionalFormatting>
  <conditionalFormatting sqref="K100">
    <cfRule type="expression" priority="48" dxfId="0">
      <formula>LEN(K100)&gt;0</formula>
    </cfRule>
  </conditionalFormatting>
  <conditionalFormatting sqref="K101">
    <cfRule type="expression" priority="49" dxfId="0">
      <formula>LEN(K101)&gt;0</formula>
    </cfRule>
  </conditionalFormatting>
  <conditionalFormatting sqref="K102">
    <cfRule type="expression" priority="50" dxfId="0">
      <formula>LEN(K102)&gt;0</formula>
    </cfRule>
  </conditionalFormatting>
  <conditionalFormatting sqref="K103">
    <cfRule type="expression" priority="51" dxfId="0">
      <formula>LEN(K103)&gt;0</formula>
    </cfRule>
  </conditionalFormatting>
  <conditionalFormatting sqref="K104">
    <cfRule type="expression" priority="52" dxfId="0">
      <formula>LEN(K104)&gt;0</formula>
    </cfRule>
  </conditionalFormatting>
  <conditionalFormatting sqref="K105">
    <cfRule type="expression" priority="53" dxfId="0">
      <formula>LEN(K105)&gt;0</formula>
    </cfRule>
  </conditionalFormatting>
  <conditionalFormatting sqref="K106">
    <cfRule type="expression" priority="54" dxfId="0">
      <formula>LEN(K106)&gt;0</formula>
    </cfRule>
  </conditionalFormatting>
  <conditionalFormatting sqref="K107">
    <cfRule type="expression" priority="55" dxfId="0">
      <formula>LEN(K107)&gt;0</formula>
    </cfRule>
  </conditionalFormatting>
  <conditionalFormatting sqref="K7">
    <cfRule type="expression" priority="56" dxfId="0">
      <formula>LEN(K7)&gt;0</formula>
    </cfRule>
  </conditionalFormatting>
  <conditionalFormatting sqref="K10">
    <cfRule type="expression" priority="57" dxfId="0">
      <formula>LEN(K10)&gt;0</formula>
    </cfRule>
  </conditionalFormatting>
  <conditionalFormatting sqref="K11">
    <cfRule type="expression" priority="58" dxfId="0">
      <formula>LEN(K11)&gt;0</formula>
    </cfRule>
  </conditionalFormatting>
  <conditionalFormatting sqref="K12">
    <cfRule type="expression" priority="59" dxfId="0">
      <formula>LEN(K12)&gt;0</formula>
    </cfRule>
  </conditionalFormatting>
  <conditionalFormatting sqref="K13">
    <cfRule type="expression" priority="60" dxfId="0">
      <formula>LEN(K13)&gt;0</formula>
    </cfRule>
  </conditionalFormatting>
  <conditionalFormatting sqref="K122">
    <cfRule type="expression" priority="61" dxfId="0">
      <formula>LEN(K122)&gt;0</formula>
    </cfRule>
  </conditionalFormatting>
  <conditionalFormatting sqref="K123">
    <cfRule type="expression" priority="62" dxfId="0">
      <formula>LEN(K123)&gt;0</formula>
    </cfRule>
  </conditionalFormatting>
  <conditionalFormatting sqref="K124">
    <cfRule type="expression" priority="63" dxfId="0">
      <formula>LEN(K124)&gt;0</formula>
    </cfRule>
  </conditionalFormatting>
  <conditionalFormatting sqref="K125">
    <cfRule type="expression" priority="64" dxfId="0">
      <formula>LEN(K125)&gt;0</formula>
    </cfRule>
  </conditionalFormatting>
  <conditionalFormatting sqref="K126">
    <cfRule type="expression" priority="65" dxfId="0">
      <formula>LEN(K126)&gt;0</formula>
    </cfRule>
  </conditionalFormatting>
  <conditionalFormatting sqref="K127">
    <cfRule type="expression" priority="66" dxfId="0">
      <formula>LEN(K127)&gt;0</formula>
    </cfRule>
  </conditionalFormatting>
  <conditionalFormatting sqref="K128">
    <cfRule type="expression" priority="67" dxfId="0">
      <formula>LEN(K128)&gt;0</formula>
    </cfRule>
  </conditionalFormatting>
  <conditionalFormatting sqref="K129">
    <cfRule type="expression" priority="68" dxfId="0">
      <formula>LEN(K129)&gt;0</formula>
    </cfRule>
  </conditionalFormatting>
  <conditionalFormatting sqref="K130">
    <cfRule type="expression" priority="69" dxfId="0">
      <formula>LEN(K130)&gt;0</formula>
    </cfRule>
  </conditionalFormatting>
  <conditionalFormatting sqref="K131">
    <cfRule type="expression" priority="70" dxfId="0">
      <formula>LEN(K131)&gt;0</formula>
    </cfRule>
  </conditionalFormatting>
  <conditionalFormatting sqref="K134">
    <cfRule type="expression" priority="71" dxfId="0">
      <formula>LEN(K134)&gt;0</formula>
    </cfRule>
  </conditionalFormatting>
  <conditionalFormatting sqref="K135">
    <cfRule type="expression" priority="72" dxfId="0">
      <formula>LEN(K135)&gt;0</formula>
    </cfRule>
  </conditionalFormatting>
  <conditionalFormatting sqref="K136">
    <cfRule type="expression" priority="73" dxfId="0">
      <formula>LEN(K136)&gt;0</formula>
    </cfRule>
  </conditionalFormatting>
  <conditionalFormatting sqref="K137">
    <cfRule type="expression" priority="74" dxfId="0">
      <formula>LEN(K137)&gt;0</formula>
    </cfRule>
  </conditionalFormatting>
  <conditionalFormatting sqref="K138">
    <cfRule type="expression" priority="75" dxfId="0">
      <formula>LEN(K138)&gt;0</formula>
    </cfRule>
  </conditionalFormatting>
  <conditionalFormatting sqref="K139">
    <cfRule type="expression" priority="76" dxfId="0">
      <formula>LEN(K139)&gt;0</formula>
    </cfRule>
  </conditionalFormatting>
  <conditionalFormatting sqref="K140">
    <cfRule type="expression" priority="77" dxfId="0">
      <formula>LEN(K140)&gt;0</formula>
    </cfRule>
  </conditionalFormatting>
  <conditionalFormatting sqref="K141">
    <cfRule type="expression" priority="78" dxfId="0">
      <formula>LEN(K141)&gt;0</formula>
    </cfRule>
  </conditionalFormatting>
  <conditionalFormatting sqref="K142">
    <cfRule type="expression" priority="79" dxfId="0">
      <formula>LEN(K142)&gt;0</formula>
    </cfRule>
  </conditionalFormatting>
  <conditionalFormatting sqref="K143">
    <cfRule type="expression" priority="80" dxfId="0">
      <formula>LEN(K143)&gt;0</formula>
    </cfRule>
  </conditionalFormatting>
  <conditionalFormatting sqref="K146">
    <cfRule type="expression" priority="81" dxfId="0">
      <formula>LEN(K146)&gt;0</formula>
    </cfRule>
  </conditionalFormatting>
  <conditionalFormatting sqref="K147">
    <cfRule type="expression" priority="82" dxfId="0">
      <formula>LEN(K147)&gt;0</formula>
    </cfRule>
  </conditionalFormatting>
  <conditionalFormatting sqref="K148">
    <cfRule type="expression" priority="83" dxfId="0">
      <formula>LEN(K148)&gt;0</formula>
    </cfRule>
  </conditionalFormatting>
  <conditionalFormatting sqref="K149">
    <cfRule type="expression" priority="84" dxfId="0">
      <formula>LEN(K149)&gt;0</formula>
    </cfRule>
  </conditionalFormatting>
  <conditionalFormatting sqref="K150">
    <cfRule type="expression" priority="85" dxfId="0">
      <formula>LEN(K150)&gt;0</formula>
    </cfRule>
  </conditionalFormatting>
  <conditionalFormatting sqref="K151">
    <cfRule type="expression" priority="86" dxfId="0">
      <formula>LEN(K151)&gt;0</formula>
    </cfRule>
  </conditionalFormatting>
  <conditionalFormatting sqref="K152">
    <cfRule type="expression" priority="87" dxfId="0">
      <formula>LEN(K152)&gt;0</formula>
    </cfRule>
  </conditionalFormatting>
  <conditionalFormatting sqref="K153">
    <cfRule type="expression" priority="88" dxfId="0">
      <formula>LEN(K153)&gt;0</formula>
    </cfRule>
  </conditionalFormatting>
  <conditionalFormatting sqref="K156">
    <cfRule type="expression" priority="89" dxfId="0">
      <formula>LEN(K156)&gt;0</formula>
    </cfRule>
  </conditionalFormatting>
  <conditionalFormatting sqref="K157">
    <cfRule type="expression" priority="90" dxfId="0">
      <formula>LEN(K157)&gt;0</formula>
    </cfRule>
  </conditionalFormatting>
  <conditionalFormatting sqref="K158">
    <cfRule type="expression" priority="91" dxfId="0">
      <formula>LEN(K158)&gt;0</formula>
    </cfRule>
  </conditionalFormatting>
  <conditionalFormatting sqref="K159">
    <cfRule type="expression" priority="92" dxfId="0">
      <formula>LEN(K159)&gt;0</formula>
    </cfRule>
  </conditionalFormatting>
  <conditionalFormatting sqref="K160">
    <cfRule type="expression" priority="93" dxfId="0">
      <formula>LEN(K160)&gt;0</formula>
    </cfRule>
  </conditionalFormatting>
  <conditionalFormatting sqref="K161">
    <cfRule type="expression" priority="94" dxfId="0">
      <formula>LEN(K161)&gt;0</formula>
    </cfRule>
  </conditionalFormatting>
  <conditionalFormatting sqref="K162">
    <cfRule type="expression" priority="95" dxfId="0">
      <formula>LEN(K162)&gt;0</formula>
    </cfRule>
  </conditionalFormatting>
  <conditionalFormatting sqref="K163">
    <cfRule type="expression" priority="96" dxfId="0">
      <formula>LEN(K163)&gt;0</formula>
    </cfRule>
  </conditionalFormatting>
  <conditionalFormatting sqref="K164">
    <cfRule type="expression" priority="97" dxfId="0">
      <formula>LEN(K164)&gt;0</formula>
    </cfRule>
  </conditionalFormatting>
  <conditionalFormatting sqref="K165">
    <cfRule type="expression" priority="98" dxfId="0">
      <formula>LEN(K165)&gt;0</formula>
    </cfRule>
  </conditionalFormatting>
  <conditionalFormatting sqref="K169">
    <cfRule type="expression" priority="99" dxfId="0">
      <formula>LEN(K169)&gt;0</formula>
    </cfRule>
  </conditionalFormatting>
  <conditionalFormatting sqref="K170">
    <cfRule type="expression" priority="100" dxfId="0">
      <formula>LEN(K170)&gt;0</formula>
    </cfRule>
  </conditionalFormatting>
  <conditionalFormatting sqref="K171">
    <cfRule type="expression" priority="101" dxfId="0">
      <formula>LEN(K171)&gt;0</formula>
    </cfRule>
  </conditionalFormatting>
  <conditionalFormatting sqref="K172">
    <cfRule type="expression" priority="102" dxfId="0">
      <formula>LEN(K172)&gt;0</formula>
    </cfRule>
  </conditionalFormatting>
  <conditionalFormatting sqref="K173">
    <cfRule type="expression" priority="103" dxfId="0">
      <formula>LEN(K173)&gt;0</formula>
    </cfRule>
  </conditionalFormatting>
  <conditionalFormatting sqref="K174">
    <cfRule type="expression" priority="104" dxfId="0">
      <formula>LEN(K174)&gt;0</formula>
    </cfRule>
  </conditionalFormatting>
  <conditionalFormatting sqref="K175">
    <cfRule type="expression" priority="105" dxfId="0">
      <formula>LEN(K175)&gt;0</formula>
    </cfRule>
  </conditionalFormatting>
  <conditionalFormatting sqref="K176">
    <cfRule type="expression" priority="106" dxfId="0">
      <formula>LEN(K176)&gt;0</formula>
    </cfRule>
  </conditionalFormatting>
  <conditionalFormatting sqref="K177">
    <cfRule type="expression" priority="107" dxfId="0">
      <formula>LEN(K177)&gt;0</formula>
    </cfRule>
  </conditionalFormatting>
  <conditionalFormatting sqref="K178">
    <cfRule type="expression" priority="108" dxfId="0">
      <formula>LEN(K178)&gt;0</formula>
    </cfRule>
  </conditionalFormatting>
  <conditionalFormatting sqref="K179">
    <cfRule type="expression" priority="109" dxfId="0">
      <formula>LEN(K179)&gt;0</formula>
    </cfRule>
  </conditionalFormatting>
  <conditionalFormatting sqref="K180">
    <cfRule type="expression" priority="110" dxfId="0">
      <formula>LEN(K180)&gt;0</formula>
    </cfRule>
  </conditionalFormatting>
  <conditionalFormatting sqref="K181">
    <cfRule type="expression" priority="111" dxfId="0">
      <formula>LEN(K181)&gt;0</formula>
    </cfRule>
  </conditionalFormatting>
  <conditionalFormatting sqref="K183">
    <cfRule type="expression" priority="112" dxfId="0">
      <formula>LEN(K183)&gt;0</formula>
    </cfRule>
  </conditionalFormatting>
  <conditionalFormatting sqref="K184">
    <cfRule type="expression" priority="113" dxfId="0">
      <formula>LEN(K184)&gt;0</formula>
    </cfRule>
  </conditionalFormatting>
  <conditionalFormatting sqref="K185">
    <cfRule type="expression" priority="114" dxfId="0">
      <formula>LEN(K185)&gt;0</formula>
    </cfRule>
  </conditionalFormatting>
  <conditionalFormatting sqref="K188">
    <cfRule type="expression" priority="115" dxfId="0">
      <formula>LEN(K188)&gt;0</formula>
    </cfRule>
  </conditionalFormatting>
  <conditionalFormatting sqref="K189">
    <cfRule type="expression" priority="116" dxfId="0">
      <formula>LEN(K189)&gt;0</formula>
    </cfRule>
  </conditionalFormatting>
  <conditionalFormatting sqref="K190">
    <cfRule type="expression" priority="117" dxfId="0">
      <formula>LEN(K190)&gt;0</formula>
    </cfRule>
  </conditionalFormatting>
  <conditionalFormatting sqref="K191">
    <cfRule type="expression" priority="118" dxfId="0">
      <formula>LEN(K191)&gt;0</formula>
    </cfRule>
  </conditionalFormatting>
  <conditionalFormatting sqref="K192">
    <cfRule type="expression" priority="119" dxfId="0">
      <formula>LEN(K192)&gt;0</formula>
    </cfRule>
  </conditionalFormatting>
  <dataValidations count="413">
    <dataValidation sqref="B7" showDropDown="0" showInputMessage="0" showErrorMessage="1" allowBlank="1" errorTitle="Texto longo" error="Nome da campanha: até 60 caracteres." type="textLength" errorStyle="warning" operator="lessThanOrEqual">
      <formula1>60</formula1>
    </dataValidation>
    <dataValidation sqref="B8" showDropDown="0" showInputMessage="0" showErrorMessage="1" allowBlank="1" errorTitle="Valor fora da faixa" error="Nº de jogadores: use um número inteiro de 1 a 6." type="whole" errorStyle="warning" operator="between">
      <formula1>1</formula1>
      <formula2>6</formula2>
    </dataValidation>
    <dataValidation sqref="B9" showDropDown="0" showInputMessage="0" showErrorMessage="1" allowBlank="1" errorTitle="Valor fora da faixa" error="Nível do grupo: use um número inteiro de 1 a 20." type="whole" errorStyle="warning" operator="between">
      <formula1>1</formula1>
      <formula2>20</formula2>
    </dataValidation>
    <dataValidation sqref="B10" showDropDown="0" showInputMessage="0" showErrorMessage="1" allowBlank="1" errorTitle="Valor fora da faixa" error="Sessão atual: use um número inteiro de 1 a 999." type="whole" errorStyle="warning" operator="between">
      <formula1>1</formula1>
      <formula2>999</formula2>
    </dataValidation>
    <dataValidation sqref="B11" showDropDown="0" showInputMessage="0" showErrorMessage="1" allowBlank="1" errorTitle="Valor fora da faixa" error="Dia de campanha: use um número inteiro de 1 a 9999." type="whole" errorStyle="warning" operator="between">
      <formula1>1</formula1>
      <formula2>9999</formula2>
    </dataValidation>
    <dataValidation sqref="B12" showDropDown="0" showInputMessage="0" showErrorMessage="1" allowBlank="1" errorTitle="Fora da lista" error="Método de atributos: escolha um valor da lista. A planilha pode não reconhecer outro valor." type="list" errorStyle="warning">
      <formula1>"Array oficial,Compra de Pontos"</formula1>
    </dataValidation>
    <dataValidation sqref="B13" showDropDown="0" showInputMessage="0" showErrorMessage="1" allowBlank="1" errorTitle="Texto longo" error="Variantes da mesa: até 200 caracteres." type="textLength" errorStyle="warning" operator="lessThanOrEqual">
      <formula1>200</formula1>
    </dataValidation>
    <dataValidation sqref="B38" showDropDown="0" showInputMessage="0" showErrorMessage="1" allowBlank="1" errorTitle="Valor fora da faixa" error="Sessões no nível atual: use um número inteiro de 0 a 99." type="whole" errorStyle="warning" operator="between">
      <formula1>0</formula1>
      <formula2>99</formula2>
    </dataValidation>
    <dataValidation sqref="A47" showDropDown="0" showInputMessage="0" showErrorMessage="1" allowBlank="1" errorTitle="Fora da lista" error="Facção: escolha um valor da lista. A planilha pode não reconhecer outro valor." type="list" errorStyle="warning">
      <formula1>$AA$5:$AA$104</formula1>
    </dataValidation>
    <dataValidation sqref="B47" showDropDown="0" showInputMessage="0" showErrorMessage="1" allowBlank="1" errorTitle="Fora da lista" error="Atitude (−3 a +3): escolha um valor da lista. A planilha pode não reconhecer outro valor." type="list" errorStyle="warning">
      <formula1>'Dados'!$CA$6:$CA$12</formula1>
    </dataValidation>
    <dataValidation sqref="E47" showDropDown="0" showInputMessage="0" showErrorMessage="1" allowBlank="1" errorTitle="Texto longo" error="Relógio ligado: até 60 caracteres." type="textLength" errorStyle="warning" operator="lessThanOrEqual">
      <formula1>60</formula1>
    </dataValidation>
    <dataValidation sqref="G47" showDropDown="0" showInputMessage="0" showErrorMessage="1" allowBlank="1" errorTitle="Texto longo" error="Notas: até 200 caracteres." type="textLength" errorStyle="warning" operator="lessThanOrEqual">
      <formula1>200</formula1>
    </dataValidation>
    <dataValidation sqref="J47" showDropDown="0" showInputMessage="0" showErrorMessage="1" allowBlank="1" errorTitle="Valor fora da faixa" error="Último contato: use um número inteiro de 1 a 999." type="whole" errorStyle="warning" operator="between">
      <formula1>1</formula1>
      <formula2>999</formula2>
    </dataValidation>
    <dataValidation sqref="A48" showDropDown="0" showInputMessage="0" showErrorMessage="1" allowBlank="1" errorTitle="Fora da lista" error="Facção: escolha um valor da lista. A planilha pode não reconhecer outro valor." type="list" errorStyle="warning">
      <formula1>$AA$5:$AA$104</formula1>
    </dataValidation>
    <dataValidation sqref="B48" showDropDown="0" showInputMessage="0" showErrorMessage="1" allowBlank="1" errorTitle="Fora da lista" error="Atitude (−3 a +3): escolha um valor da lista. A planilha pode não reconhecer outro valor." type="list" errorStyle="warning">
      <formula1>'Dados'!$CA$6:$CA$12</formula1>
    </dataValidation>
    <dataValidation sqref="E48" showDropDown="0" showInputMessage="0" showErrorMessage="1" allowBlank="1" errorTitle="Texto longo" error="Relógio ligado: até 60 caracteres." type="textLength" errorStyle="warning" operator="lessThanOrEqual">
      <formula1>60</formula1>
    </dataValidation>
    <dataValidation sqref="G48" showDropDown="0" showInputMessage="0" showErrorMessage="1" allowBlank="1" errorTitle="Texto longo" error="Notas: até 200 caracteres." type="textLength" errorStyle="warning" operator="lessThanOrEqual">
      <formula1>200</formula1>
    </dataValidation>
    <dataValidation sqref="J48" showDropDown="0" showInputMessage="0" showErrorMessage="1" allowBlank="1" errorTitle="Valor fora da faixa" error="Último contato: use um número inteiro de 1 a 999." type="whole" errorStyle="warning" operator="between">
      <formula1>1</formula1>
      <formula2>999</formula2>
    </dataValidation>
    <dataValidation sqref="A49" showDropDown="0" showInputMessage="0" showErrorMessage="1" allowBlank="1" errorTitle="Fora da lista" error="Facção: escolha um valor da lista. A planilha pode não reconhecer outro valor." type="list" errorStyle="warning">
      <formula1>$AA$5:$AA$104</formula1>
    </dataValidation>
    <dataValidation sqref="B49" showDropDown="0" showInputMessage="0" showErrorMessage="1" allowBlank="1" errorTitle="Fora da lista" error="Atitude (−3 a +3): escolha um valor da lista. A planilha pode não reconhecer outro valor." type="list" errorStyle="warning">
      <formula1>'Dados'!$CA$6:$CA$12</formula1>
    </dataValidation>
    <dataValidation sqref="E49" showDropDown="0" showInputMessage="0" showErrorMessage="1" allowBlank="1" errorTitle="Texto longo" error="Relógio ligado: até 60 caracteres." type="textLength" errorStyle="warning" operator="lessThanOrEqual">
      <formula1>60</formula1>
    </dataValidation>
    <dataValidation sqref="G49" showDropDown="0" showInputMessage="0" showErrorMessage="1" allowBlank="1" errorTitle="Texto longo" error="Notas: até 200 caracteres." type="textLength" errorStyle="warning" operator="lessThanOrEqual">
      <formula1>200</formula1>
    </dataValidation>
    <dataValidation sqref="J49" showDropDown="0" showInputMessage="0" showErrorMessage="1" allowBlank="1" errorTitle="Valor fora da faixa" error="Último contato: use um número inteiro de 1 a 999." type="whole" errorStyle="warning" operator="between">
      <formula1>1</formula1>
      <formula2>999</formula2>
    </dataValidation>
    <dataValidation sqref="A50" showDropDown="0" showInputMessage="0" showErrorMessage="1" allowBlank="1" errorTitle="Fora da lista" error="Facção: escolha um valor da lista. A planilha pode não reconhecer outro valor." type="list" errorStyle="warning">
      <formula1>$AA$5:$AA$104</formula1>
    </dataValidation>
    <dataValidation sqref="B50" showDropDown="0" showInputMessage="0" showErrorMessage="1" allowBlank="1" errorTitle="Fora da lista" error="Atitude (−3 a +3): escolha um valor da lista. A planilha pode não reconhecer outro valor." type="list" errorStyle="warning">
      <formula1>'Dados'!$CA$6:$CA$12</formula1>
    </dataValidation>
    <dataValidation sqref="E50" showDropDown="0" showInputMessage="0" showErrorMessage="1" allowBlank="1" errorTitle="Texto longo" error="Relógio ligado: até 60 caracteres." type="textLength" errorStyle="warning" operator="lessThanOrEqual">
      <formula1>60</formula1>
    </dataValidation>
    <dataValidation sqref="G50" showDropDown="0" showInputMessage="0" showErrorMessage="1" allowBlank="1" errorTitle="Texto longo" error="Notas: até 200 caracteres." type="textLength" errorStyle="warning" operator="lessThanOrEqual">
      <formula1>200</formula1>
    </dataValidation>
    <dataValidation sqref="J50" showDropDown="0" showInputMessage="0" showErrorMessage="1" allowBlank="1" errorTitle="Valor fora da faixa" error="Último contato: use um número inteiro de 1 a 999." type="whole" errorStyle="warning" operator="between">
      <formula1>1</formula1>
      <formula2>999</formula2>
    </dataValidation>
    <dataValidation sqref="A51" showDropDown="0" showInputMessage="0" showErrorMessage="1" allowBlank="1" errorTitle="Fora da lista" error="Facção: escolha um valor da lista. A planilha pode não reconhecer outro valor." type="list" errorStyle="warning">
      <formula1>$AA$5:$AA$104</formula1>
    </dataValidation>
    <dataValidation sqref="B51" showDropDown="0" showInputMessage="0" showErrorMessage="1" allowBlank="1" errorTitle="Fora da lista" error="Atitude (−3 a +3): escolha um valor da lista. A planilha pode não reconhecer outro valor." type="list" errorStyle="warning">
      <formula1>'Dados'!$CA$6:$CA$12</formula1>
    </dataValidation>
    <dataValidation sqref="E51" showDropDown="0" showInputMessage="0" showErrorMessage="1" allowBlank="1" errorTitle="Texto longo" error="Relógio ligado: até 60 caracteres." type="textLength" errorStyle="warning" operator="lessThanOrEqual">
      <formula1>60</formula1>
    </dataValidation>
    <dataValidation sqref="G51" showDropDown="0" showInputMessage="0" showErrorMessage="1" allowBlank="1" errorTitle="Texto longo" error="Notas: até 200 caracteres." type="textLength" errorStyle="warning" operator="lessThanOrEqual">
      <formula1>200</formula1>
    </dataValidation>
    <dataValidation sqref="J51" showDropDown="0" showInputMessage="0" showErrorMessage="1" allowBlank="1" errorTitle="Valor fora da faixa" error="Último contato: use um número inteiro de 1 a 999." type="whole" errorStyle="warning" operator="between">
      <formula1>1</formula1>
      <formula2>999</formula2>
    </dataValidation>
    <dataValidation sqref="A52" showDropDown="0" showInputMessage="0" showErrorMessage="1" allowBlank="1" errorTitle="Fora da lista" error="Facção: escolha um valor da lista. A planilha pode não reconhecer outro valor." type="list" errorStyle="warning">
      <formula1>$AA$5:$AA$104</formula1>
    </dataValidation>
    <dataValidation sqref="B52" showDropDown="0" showInputMessage="0" showErrorMessage="1" allowBlank="1" errorTitle="Fora da lista" error="Atitude (−3 a +3): escolha um valor da lista. A planilha pode não reconhecer outro valor." type="list" errorStyle="warning">
      <formula1>'Dados'!$CA$6:$CA$12</formula1>
    </dataValidation>
    <dataValidation sqref="E52" showDropDown="0" showInputMessage="0" showErrorMessage="1" allowBlank="1" errorTitle="Texto longo" error="Relógio ligado: até 60 caracteres." type="textLength" errorStyle="warning" operator="lessThanOrEqual">
      <formula1>60</formula1>
    </dataValidation>
    <dataValidation sqref="G52" showDropDown="0" showInputMessage="0" showErrorMessage="1" allowBlank="1" errorTitle="Texto longo" error="Notas: até 200 caracteres." type="textLength" errorStyle="warning" operator="lessThanOrEqual">
      <formula1>200</formula1>
    </dataValidation>
    <dataValidation sqref="J52" showDropDown="0" showInputMessage="0" showErrorMessage="1" allowBlank="1" errorTitle="Valor fora da faixa" error="Último contato: use um número inteiro de 1 a 999." type="whole" errorStyle="warning" operator="between">
      <formula1>1</formula1>
      <formula2>999</formula2>
    </dataValidation>
    <dataValidation sqref="A53" showDropDown="0" showInputMessage="0" showErrorMessage="1" allowBlank="1" errorTitle="Fora da lista" error="Facção: escolha um valor da lista. A planilha pode não reconhecer outro valor." type="list" errorStyle="warning">
      <formula1>$AA$5:$AA$104</formula1>
    </dataValidation>
    <dataValidation sqref="B53" showDropDown="0" showInputMessage="0" showErrorMessage="1" allowBlank="1" errorTitle="Fora da lista" error="Atitude (−3 a +3): escolha um valor da lista. A planilha pode não reconhecer outro valor." type="list" errorStyle="warning">
      <formula1>'Dados'!$CA$6:$CA$12</formula1>
    </dataValidation>
    <dataValidation sqref="E53" showDropDown="0" showInputMessage="0" showErrorMessage="1" allowBlank="1" errorTitle="Texto longo" error="Relógio ligado: até 60 caracteres." type="textLength" errorStyle="warning" operator="lessThanOrEqual">
      <formula1>60</formula1>
    </dataValidation>
    <dataValidation sqref="G53" showDropDown="0" showInputMessage="0" showErrorMessage="1" allowBlank="1" errorTitle="Texto longo" error="Notas: até 200 caracteres." type="textLength" errorStyle="warning" operator="lessThanOrEqual">
      <formula1>200</formula1>
    </dataValidation>
    <dataValidation sqref="J53" showDropDown="0" showInputMessage="0" showErrorMessage="1" allowBlank="1" errorTitle="Valor fora da faixa" error="Último contato: use um número inteiro de 1 a 999." type="whole" errorStyle="warning" operator="between">
      <formula1>1</formula1>
      <formula2>999</formula2>
    </dataValidation>
    <dataValidation sqref="A54" showDropDown="0" showInputMessage="0" showErrorMessage="1" allowBlank="1" errorTitle="Fora da lista" error="Facção: escolha um valor da lista. A planilha pode não reconhecer outro valor." type="list" errorStyle="warning">
      <formula1>$AA$5:$AA$104</formula1>
    </dataValidation>
    <dataValidation sqref="B54" showDropDown="0" showInputMessage="0" showErrorMessage="1" allowBlank="1" errorTitle="Fora da lista" error="Atitude (−3 a +3): escolha um valor da lista. A planilha pode não reconhecer outro valor." type="list" errorStyle="warning">
      <formula1>'Dados'!$CA$6:$CA$12</formula1>
    </dataValidation>
    <dataValidation sqref="E54" showDropDown="0" showInputMessage="0" showErrorMessage="1" allowBlank="1" errorTitle="Texto longo" error="Relógio ligado: até 60 caracteres." type="textLength" errorStyle="warning" operator="lessThanOrEqual">
      <formula1>60</formula1>
    </dataValidation>
    <dataValidation sqref="G54" showDropDown="0" showInputMessage="0" showErrorMessage="1" allowBlank="1" errorTitle="Texto longo" error="Notas: até 200 caracteres." type="textLength" errorStyle="warning" operator="lessThanOrEqual">
      <formula1>200</formula1>
    </dataValidation>
    <dataValidation sqref="J54" showDropDown="0" showInputMessage="0" showErrorMessage="1" allowBlank="1" errorTitle="Valor fora da faixa" error="Último contato: use um número inteiro de 1 a 999." type="whole" errorStyle="warning" operator="between">
      <formula1>1</formula1>
      <formula2>999</formula2>
    </dataValidation>
    <dataValidation sqref="A55" showDropDown="0" showInputMessage="0" showErrorMessage="1" allowBlank="1" errorTitle="Fora da lista" error="Facção: escolha um valor da lista. A planilha pode não reconhecer outro valor." type="list" errorStyle="warning">
      <formula1>$AA$5:$AA$104</formula1>
    </dataValidation>
    <dataValidation sqref="B55" showDropDown="0" showInputMessage="0" showErrorMessage="1" allowBlank="1" errorTitle="Fora da lista" error="Atitude (−3 a +3): escolha um valor da lista. A planilha pode não reconhecer outro valor." type="list" errorStyle="warning">
      <formula1>'Dados'!$CA$6:$CA$12</formula1>
    </dataValidation>
    <dataValidation sqref="E55" showDropDown="0" showInputMessage="0" showErrorMessage="1" allowBlank="1" errorTitle="Texto longo" error="Relógio ligado: até 60 caracteres." type="textLength" errorStyle="warning" operator="lessThanOrEqual">
      <formula1>60</formula1>
    </dataValidation>
    <dataValidation sqref="G55" showDropDown="0" showInputMessage="0" showErrorMessage="1" allowBlank="1" errorTitle="Texto longo" error="Notas: até 200 caracteres." type="textLength" errorStyle="warning" operator="lessThanOrEqual">
      <formula1>200</formula1>
    </dataValidation>
    <dataValidation sqref="J55" showDropDown="0" showInputMessage="0" showErrorMessage="1" allowBlank="1" errorTitle="Valor fora da faixa" error="Último contato: use um número inteiro de 1 a 999." type="whole" errorStyle="warning" operator="between">
      <formula1>1</formula1>
      <formula2>999</formula2>
    </dataValidation>
    <dataValidation sqref="A56" showDropDown="0" showInputMessage="0" showErrorMessage="1" allowBlank="1" errorTitle="Fora da lista" error="Facção: escolha um valor da lista. A planilha pode não reconhecer outro valor." type="list" errorStyle="warning">
      <formula1>$AA$5:$AA$104</formula1>
    </dataValidation>
    <dataValidation sqref="B56" showDropDown="0" showInputMessage="0" showErrorMessage="1" allowBlank="1" errorTitle="Fora da lista" error="Atitude (−3 a +3): escolha um valor da lista. A planilha pode não reconhecer outro valor." type="list" errorStyle="warning">
      <formula1>'Dados'!$CA$6:$CA$12</formula1>
    </dataValidation>
    <dataValidation sqref="E56" showDropDown="0" showInputMessage="0" showErrorMessage="1" allowBlank="1" errorTitle="Texto longo" error="Relógio ligado: até 60 caracteres." type="textLength" errorStyle="warning" operator="lessThanOrEqual">
      <formula1>60</formula1>
    </dataValidation>
    <dataValidation sqref="G56" showDropDown="0" showInputMessage="0" showErrorMessage="1" allowBlank="1" errorTitle="Texto longo" error="Notas: até 200 caracteres." type="textLength" errorStyle="warning" operator="lessThanOrEqual">
      <formula1>200</formula1>
    </dataValidation>
    <dataValidation sqref="J56" showDropDown="0" showInputMessage="0" showErrorMessage="1" allowBlank="1" errorTitle="Valor fora da faixa" error="Último contato: use um número inteiro de 1 a 999." type="whole" errorStyle="warning" operator="between">
      <formula1>1</formula1>
      <formula2>999</formula2>
    </dataValidation>
    <dataValidation sqref="A57" showDropDown="0" showInputMessage="0" showErrorMessage="1" allowBlank="1" errorTitle="Fora da lista" error="Facção: escolha um valor da lista. A planilha pode não reconhecer outro valor." type="list" errorStyle="warning">
      <formula1>$AA$5:$AA$104</formula1>
    </dataValidation>
    <dataValidation sqref="B57" showDropDown="0" showInputMessage="0" showErrorMessage="1" allowBlank="1" errorTitle="Fora da lista" error="Atitude (−3 a +3): escolha um valor da lista. A planilha pode não reconhecer outro valor." type="list" errorStyle="warning">
      <formula1>'Dados'!$CA$6:$CA$12</formula1>
    </dataValidation>
    <dataValidation sqref="E57" showDropDown="0" showInputMessage="0" showErrorMessage="1" allowBlank="1" errorTitle="Texto longo" error="Relógio ligado: até 60 caracteres." type="textLength" errorStyle="warning" operator="lessThanOrEqual">
      <formula1>60</formula1>
    </dataValidation>
    <dataValidation sqref="G57" showDropDown="0" showInputMessage="0" showErrorMessage="1" allowBlank="1" errorTitle="Texto longo" error="Notas: até 200 caracteres." type="textLength" errorStyle="warning" operator="lessThanOrEqual">
      <formula1>200</formula1>
    </dataValidation>
    <dataValidation sqref="J57" showDropDown="0" showInputMessage="0" showErrorMessage="1" allowBlank="1" errorTitle="Valor fora da faixa" error="Último contato: use um número inteiro de 1 a 999." type="whole" errorStyle="warning" operator="between">
      <formula1>1</formula1>
      <formula2>999</formula2>
    </dataValidation>
    <dataValidation sqref="A58" showDropDown="0" showInputMessage="0" showErrorMessage="1" allowBlank="1" errorTitle="Fora da lista" error="Facção: escolha um valor da lista. A planilha pode não reconhecer outro valor." type="list" errorStyle="warning">
      <formula1>$AA$5:$AA$104</formula1>
    </dataValidation>
    <dataValidation sqref="B58" showDropDown="0" showInputMessage="0" showErrorMessage="1" allowBlank="1" errorTitle="Fora da lista" error="Atitude (−3 a +3): escolha um valor da lista. A planilha pode não reconhecer outro valor." type="list" errorStyle="warning">
      <formula1>'Dados'!$CA$6:$CA$12</formula1>
    </dataValidation>
    <dataValidation sqref="E58" showDropDown="0" showInputMessage="0" showErrorMessage="1" allowBlank="1" errorTitle="Texto longo" error="Relógio ligado: até 60 caracteres." type="textLength" errorStyle="warning" operator="lessThanOrEqual">
      <formula1>60</formula1>
    </dataValidation>
    <dataValidation sqref="G58" showDropDown="0" showInputMessage="0" showErrorMessage="1" allowBlank="1" errorTitle="Texto longo" error="Notas: até 200 caracteres." type="textLength" errorStyle="warning" operator="lessThanOrEqual">
      <formula1>200</formula1>
    </dataValidation>
    <dataValidation sqref="J58" showDropDown="0" showInputMessage="0" showErrorMessage="1" allowBlank="1" errorTitle="Valor fora da faixa" error="Último contato: use um número inteiro de 1 a 999." type="whole" errorStyle="warning" operator="between">
      <formula1>1</formula1>
      <formula2>999</formula2>
    </dataValidation>
    <dataValidation sqref="A62" showDropDown="0" showInputMessage="0" showErrorMessage="1" allowBlank="1" errorTitle="Texto longo" error="Relógio: até 60 caracteres." type="textLength" errorStyle="warning" operator="lessThanOrEqual">
      <formula1>60</formula1>
    </dataValidation>
    <dataValidation sqref="B62" showDropDown="0" showInputMessage="0" showErrorMessage="1" allowBlank="1" errorTitle="Fora da lista" error="Segmentos: escolha um valor da lista. A planilha pode não reconhecer outro valor." type="list" errorStyle="warning">
      <formula1>'Dados'!$BZ$6:$BZ$10</formula1>
    </dataValidation>
    <dataValidation sqref="C62" showDropDown="0" showInputMessage="0" showErrorMessage="1" allowBlank="1" errorTitle="Valor fora da faixa" error="Preenchidos: use um número inteiro de 0 a 12." type="whole" errorStyle="warning" operator="between">
      <formula1>0</formula1>
      <formula2>12</formula2>
    </dataValidation>
    <dataValidation sqref="I62" showDropDown="0" showInputMessage="0" showErrorMessage="1" allowBlank="1" errorTitle="Texto longo" error="O que acontece ao encher: até 200 caracteres." type="textLength" errorStyle="warning" operator="lessThanOrEqual">
      <formula1>200</formula1>
    </dataValidation>
    <dataValidation sqref="A63" showDropDown="0" showInputMessage="0" showErrorMessage="1" allowBlank="1" errorTitle="Texto longo" error="Relógio: até 60 caracteres." type="textLength" errorStyle="warning" operator="lessThanOrEqual">
      <formula1>60</formula1>
    </dataValidation>
    <dataValidation sqref="B63" showDropDown="0" showInputMessage="0" showErrorMessage="1" allowBlank="1" errorTitle="Fora da lista" error="Segmentos: escolha um valor da lista. A planilha pode não reconhecer outro valor." type="list" errorStyle="warning">
      <formula1>'Dados'!$BZ$6:$BZ$10</formula1>
    </dataValidation>
    <dataValidation sqref="C63" showDropDown="0" showInputMessage="0" showErrorMessage="1" allowBlank="1" errorTitle="Valor fora da faixa" error="Preenchidos: use um número inteiro de 0 a 12." type="whole" errorStyle="warning" operator="between">
      <formula1>0</formula1>
      <formula2>12</formula2>
    </dataValidation>
    <dataValidation sqref="I63" showDropDown="0" showInputMessage="0" showErrorMessage="1" allowBlank="1" errorTitle="Texto longo" error="O que acontece ao encher: até 200 caracteres." type="textLength" errorStyle="warning" operator="lessThanOrEqual">
      <formula1>200</formula1>
    </dataValidation>
    <dataValidation sqref="A64" showDropDown="0" showInputMessage="0" showErrorMessage="1" allowBlank="1" errorTitle="Texto longo" error="Relógio: até 60 caracteres." type="textLength" errorStyle="warning" operator="lessThanOrEqual">
      <formula1>60</formula1>
    </dataValidation>
    <dataValidation sqref="B64" showDropDown="0" showInputMessage="0" showErrorMessage="1" allowBlank="1" errorTitle="Fora da lista" error="Segmentos: escolha um valor da lista. A planilha pode não reconhecer outro valor." type="list" errorStyle="warning">
      <formula1>'Dados'!$BZ$6:$BZ$10</formula1>
    </dataValidation>
    <dataValidation sqref="C64" showDropDown="0" showInputMessage="0" showErrorMessage="1" allowBlank="1" errorTitle="Valor fora da faixa" error="Preenchidos: use um número inteiro de 0 a 12." type="whole" errorStyle="warning" operator="between">
      <formula1>0</formula1>
      <formula2>12</formula2>
    </dataValidation>
    <dataValidation sqref="I64" showDropDown="0" showInputMessage="0" showErrorMessage="1" allowBlank="1" errorTitle="Texto longo" error="O que acontece ao encher: até 200 caracteres." type="textLength" errorStyle="warning" operator="lessThanOrEqual">
      <formula1>200</formula1>
    </dataValidation>
    <dataValidation sqref="A65" showDropDown="0" showInputMessage="0" showErrorMessage="1" allowBlank="1" errorTitle="Texto longo" error="Relógio: até 60 caracteres." type="textLength" errorStyle="warning" operator="lessThanOrEqual">
      <formula1>60</formula1>
    </dataValidation>
    <dataValidation sqref="B65" showDropDown="0" showInputMessage="0" showErrorMessage="1" allowBlank="1" errorTitle="Fora da lista" error="Segmentos: escolha um valor da lista. A planilha pode não reconhecer outro valor." type="list" errorStyle="warning">
      <formula1>'Dados'!$BZ$6:$BZ$10</formula1>
    </dataValidation>
    <dataValidation sqref="C65" showDropDown="0" showInputMessage="0" showErrorMessage="1" allowBlank="1" errorTitle="Valor fora da faixa" error="Preenchidos: use um número inteiro de 0 a 12." type="whole" errorStyle="warning" operator="between">
      <formula1>0</formula1>
      <formula2>12</formula2>
    </dataValidation>
    <dataValidation sqref="I65" showDropDown="0" showInputMessage="0" showErrorMessage="1" allowBlank="1" errorTitle="Texto longo" error="O que acontece ao encher: até 200 caracteres." type="textLength" errorStyle="warning" operator="lessThanOrEqual">
      <formula1>200</formula1>
    </dataValidation>
    <dataValidation sqref="A66" showDropDown="0" showInputMessage="0" showErrorMessage="1" allowBlank="1" errorTitle="Texto longo" error="Relógio: até 60 caracteres." type="textLength" errorStyle="warning" operator="lessThanOrEqual">
      <formula1>60</formula1>
    </dataValidation>
    <dataValidation sqref="B66" showDropDown="0" showInputMessage="0" showErrorMessage="1" allowBlank="1" errorTitle="Fora da lista" error="Segmentos: escolha um valor da lista. A planilha pode não reconhecer outro valor." type="list" errorStyle="warning">
      <formula1>'Dados'!$BZ$6:$BZ$10</formula1>
    </dataValidation>
    <dataValidation sqref="C66" showDropDown="0" showInputMessage="0" showErrorMessage="1" allowBlank="1" errorTitle="Valor fora da faixa" error="Preenchidos: use um número inteiro de 0 a 12." type="whole" errorStyle="warning" operator="between">
      <formula1>0</formula1>
      <formula2>12</formula2>
    </dataValidation>
    <dataValidation sqref="I66" showDropDown="0" showInputMessage="0" showErrorMessage="1" allowBlank="1" errorTitle="Texto longo" error="O que acontece ao encher: até 200 caracteres." type="textLength" errorStyle="warning" operator="lessThanOrEqual">
      <formula1>200</formula1>
    </dataValidation>
    <dataValidation sqref="A67" showDropDown="0" showInputMessage="0" showErrorMessage="1" allowBlank="1" errorTitle="Texto longo" error="Relógio: até 60 caracteres." type="textLength" errorStyle="warning" operator="lessThanOrEqual">
      <formula1>60</formula1>
    </dataValidation>
    <dataValidation sqref="B67" showDropDown="0" showInputMessage="0" showErrorMessage="1" allowBlank="1" errorTitle="Fora da lista" error="Segmentos: escolha um valor da lista. A planilha pode não reconhecer outro valor." type="list" errorStyle="warning">
      <formula1>'Dados'!$BZ$6:$BZ$10</formula1>
    </dataValidation>
    <dataValidation sqref="C67" showDropDown="0" showInputMessage="0" showErrorMessage="1" allowBlank="1" errorTitle="Valor fora da faixa" error="Preenchidos: use um número inteiro de 0 a 12." type="whole" errorStyle="warning" operator="between">
      <formula1>0</formula1>
      <formula2>12</formula2>
    </dataValidation>
    <dataValidation sqref="I67" showDropDown="0" showInputMessage="0" showErrorMessage="1" allowBlank="1" errorTitle="Texto longo" error="O que acontece ao encher: até 200 caracteres." type="textLength" errorStyle="warning" operator="lessThanOrEqual">
      <formula1>200</formula1>
    </dataValidation>
    <dataValidation sqref="A68" showDropDown="0" showInputMessage="0" showErrorMessage="1" allowBlank="1" errorTitle="Texto longo" error="Relógio: até 60 caracteres." type="textLength" errorStyle="warning" operator="lessThanOrEqual">
      <formula1>60</formula1>
    </dataValidation>
    <dataValidation sqref="B68" showDropDown="0" showInputMessage="0" showErrorMessage="1" allowBlank="1" errorTitle="Fora da lista" error="Segmentos: escolha um valor da lista. A planilha pode não reconhecer outro valor." type="list" errorStyle="warning">
      <formula1>'Dados'!$BZ$6:$BZ$10</formula1>
    </dataValidation>
    <dataValidation sqref="C68" showDropDown="0" showInputMessage="0" showErrorMessage="1" allowBlank="1" errorTitle="Valor fora da faixa" error="Preenchidos: use um número inteiro de 0 a 12." type="whole" errorStyle="warning" operator="between">
      <formula1>0</formula1>
      <formula2>12</formula2>
    </dataValidation>
    <dataValidation sqref="I68" showDropDown="0" showInputMessage="0" showErrorMessage="1" allowBlank="1" errorTitle="Texto longo" error="O que acontece ao encher: até 200 caracteres." type="textLength" errorStyle="warning" operator="lessThanOrEqual">
      <formula1>200</formula1>
    </dataValidation>
    <dataValidation sqref="A69" showDropDown="0" showInputMessage="0" showErrorMessage="1" allowBlank="1" errorTitle="Texto longo" error="Relógio: até 60 caracteres." type="textLength" errorStyle="warning" operator="lessThanOrEqual">
      <formula1>60</formula1>
    </dataValidation>
    <dataValidation sqref="B69" showDropDown="0" showInputMessage="0" showErrorMessage="1" allowBlank="1" errorTitle="Fora da lista" error="Segmentos: escolha um valor da lista. A planilha pode não reconhecer outro valor." type="list" errorStyle="warning">
      <formula1>'Dados'!$BZ$6:$BZ$10</formula1>
    </dataValidation>
    <dataValidation sqref="C69" showDropDown="0" showInputMessage="0" showErrorMessage="1" allowBlank="1" errorTitle="Valor fora da faixa" error="Preenchidos: use um número inteiro de 0 a 12." type="whole" errorStyle="warning" operator="between">
      <formula1>0</formula1>
      <formula2>12</formula2>
    </dataValidation>
    <dataValidation sqref="I69" showDropDown="0" showInputMessage="0" showErrorMessage="1" allowBlank="1" errorTitle="Texto longo" error="O que acontece ao encher: até 200 caracteres." type="textLength" errorStyle="warning" operator="lessThanOrEqual">
      <formula1>200</formula1>
    </dataValidation>
    <dataValidation sqref="A70" showDropDown="0" showInputMessage="0" showErrorMessage="1" allowBlank="1" errorTitle="Texto longo" error="Relógio: até 60 caracteres." type="textLength" errorStyle="warning" operator="lessThanOrEqual">
      <formula1>60</formula1>
    </dataValidation>
    <dataValidation sqref="B70" showDropDown="0" showInputMessage="0" showErrorMessage="1" allowBlank="1" errorTitle="Fora da lista" error="Segmentos: escolha um valor da lista. A planilha pode não reconhecer outro valor." type="list" errorStyle="warning">
      <formula1>'Dados'!$BZ$6:$BZ$10</formula1>
    </dataValidation>
    <dataValidation sqref="C70" showDropDown="0" showInputMessage="0" showErrorMessage="1" allowBlank="1" errorTitle="Valor fora da faixa" error="Preenchidos: use um número inteiro de 0 a 12." type="whole" errorStyle="warning" operator="between">
      <formula1>0</formula1>
      <formula2>12</formula2>
    </dataValidation>
    <dataValidation sqref="I70" showDropDown="0" showInputMessage="0" showErrorMessage="1" allowBlank="1" errorTitle="Texto longo" error="O que acontece ao encher: até 200 caracteres." type="textLength" errorStyle="warning" operator="lessThanOrEqual">
      <formula1>200</formula1>
    </dataValidation>
    <dataValidation sqref="A71" showDropDown="0" showInputMessage="0" showErrorMessage="1" allowBlank="1" errorTitle="Texto longo" error="Relógio: até 60 caracteres." type="textLength" errorStyle="warning" operator="lessThanOrEqual">
      <formula1>60</formula1>
    </dataValidation>
    <dataValidation sqref="B71" showDropDown="0" showInputMessage="0" showErrorMessage="1" allowBlank="1" errorTitle="Fora da lista" error="Segmentos: escolha um valor da lista. A planilha pode não reconhecer outro valor." type="list" errorStyle="warning">
      <formula1>'Dados'!$BZ$6:$BZ$10</formula1>
    </dataValidation>
    <dataValidation sqref="C71" showDropDown="0" showInputMessage="0" showErrorMessage="1" allowBlank="1" errorTitle="Valor fora da faixa" error="Preenchidos: use um número inteiro de 0 a 12." type="whole" errorStyle="warning" operator="between">
      <formula1>0</formula1>
      <formula2>12</formula2>
    </dataValidation>
    <dataValidation sqref="I71" showDropDown="0" showInputMessage="0" showErrorMessage="1" allowBlank="1" errorTitle="Texto longo" error="O que acontece ao encher: até 200 caracteres." type="textLength" errorStyle="warning" operator="lessThanOrEqual">
      <formula1>200</formula1>
    </dataValidation>
    <dataValidation sqref="A76" showDropDown="0" showInputMessage="0" showErrorMessage="1" allowBlank="1" errorTitle="Valor fora da faixa" error="Dia de campanha: use um número inteiro de 1 a 9999." type="whole" errorStyle="warning" operator="between">
      <formula1>1</formula1>
      <formula2>9999</formula2>
    </dataValidation>
    <dataValidation sqref="C76" showDropDown="0" showInputMessage="0" showErrorMessage="1" allowBlank="1" errorTitle="Valor fora da faixa" error="Sessão: use um número inteiro de 1 a 999." type="whole" errorStyle="warning" operator="between">
      <formula1>1</formula1>
      <formula2>999</formula2>
    </dataValidation>
    <dataValidation sqref="D76" showDropDown="0" showInputMessage="0" showErrorMessage="1" allowBlank="1" errorTitle="Texto longo" error="Evento: até 200 caracteres." type="textLength" errorStyle="warning" operator="lessThanOrEqual">
      <formula1>200</formula1>
    </dataValidation>
    <dataValidation sqref="G76" showDropDown="0" showInputMessage="0" showErrorMessage="1" allowBlank="1" errorTitle="Texto longo" error="Quem: até 80 caracteres." type="textLength" errorStyle="warning" operator="lessThanOrEqual">
      <formula1>80</formula1>
    </dataValidation>
    <dataValidation sqref="H76" showDropDown="0" showInputMessage="0" showErrorMessage="1" allowBlank="1" errorTitle="Texto longo" error="Consequência: até 200 caracteres." type="textLength" errorStyle="warning" operator="lessThanOrEqual">
      <formula1>200</formula1>
    </dataValidation>
    <dataValidation sqref="J76" showDropDown="0" showInputMessage="0" showErrorMessage="1" allowBlank="1" errorTitle="Fora da lista" error="Público?: escolha um valor da lista. A planilha pode não reconhecer outro valor." type="list" errorStyle="warning">
      <formula1>'Dados'!$AT$6:$AT$7</formula1>
    </dataValidation>
    <dataValidation sqref="A77" showDropDown="0" showInputMessage="0" showErrorMessage="1" allowBlank="1" errorTitle="Valor fora da faixa" error="Dia de campanha: use um número inteiro de 1 a 9999." type="whole" errorStyle="warning" operator="between">
      <formula1>1</formula1>
      <formula2>9999</formula2>
    </dataValidation>
    <dataValidation sqref="C77" showDropDown="0" showInputMessage="0" showErrorMessage="1" allowBlank="1" errorTitle="Valor fora da faixa" error="Sessão: use um número inteiro de 1 a 999." type="whole" errorStyle="warning" operator="between">
      <formula1>1</formula1>
      <formula2>999</formula2>
    </dataValidation>
    <dataValidation sqref="D77" showDropDown="0" showInputMessage="0" showErrorMessage="1" allowBlank="1" errorTitle="Texto longo" error="Evento: até 200 caracteres." type="textLength" errorStyle="warning" operator="lessThanOrEqual">
      <formula1>200</formula1>
    </dataValidation>
    <dataValidation sqref="G77" showDropDown="0" showInputMessage="0" showErrorMessage="1" allowBlank="1" errorTitle="Texto longo" error="Quem: até 80 caracteres." type="textLength" errorStyle="warning" operator="lessThanOrEqual">
      <formula1>80</formula1>
    </dataValidation>
    <dataValidation sqref="H77" showDropDown="0" showInputMessage="0" showErrorMessage="1" allowBlank="1" errorTitle="Texto longo" error="Consequência: até 200 caracteres." type="textLength" errorStyle="warning" operator="lessThanOrEqual">
      <formula1>200</formula1>
    </dataValidation>
    <dataValidation sqref="J77" showDropDown="0" showInputMessage="0" showErrorMessage="1" allowBlank="1" errorTitle="Fora da lista" error="Público?: escolha um valor da lista. A planilha pode não reconhecer outro valor." type="list" errorStyle="warning">
      <formula1>'Dados'!$AT$6:$AT$7</formula1>
    </dataValidation>
    <dataValidation sqref="A78" showDropDown="0" showInputMessage="0" showErrorMessage="1" allowBlank="1" errorTitle="Valor fora da faixa" error="Dia de campanha: use um número inteiro de 1 a 9999." type="whole" errorStyle="warning" operator="between">
      <formula1>1</formula1>
      <formula2>9999</formula2>
    </dataValidation>
    <dataValidation sqref="C78" showDropDown="0" showInputMessage="0" showErrorMessage="1" allowBlank="1" errorTitle="Valor fora da faixa" error="Sessão: use um número inteiro de 1 a 999." type="whole" errorStyle="warning" operator="between">
      <formula1>1</formula1>
      <formula2>999</formula2>
    </dataValidation>
    <dataValidation sqref="D78" showDropDown="0" showInputMessage="0" showErrorMessage="1" allowBlank="1" errorTitle="Texto longo" error="Evento: até 200 caracteres." type="textLength" errorStyle="warning" operator="lessThanOrEqual">
      <formula1>200</formula1>
    </dataValidation>
    <dataValidation sqref="G78" showDropDown="0" showInputMessage="0" showErrorMessage="1" allowBlank="1" errorTitle="Texto longo" error="Quem: até 80 caracteres." type="textLength" errorStyle="warning" operator="lessThanOrEqual">
      <formula1>80</formula1>
    </dataValidation>
    <dataValidation sqref="H78" showDropDown="0" showInputMessage="0" showErrorMessage="1" allowBlank="1" errorTitle="Texto longo" error="Consequência: até 200 caracteres." type="textLength" errorStyle="warning" operator="lessThanOrEqual">
      <formula1>200</formula1>
    </dataValidation>
    <dataValidation sqref="J78" showDropDown="0" showInputMessage="0" showErrorMessage="1" allowBlank="1" errorTitle="Fora da lista" error="Público?: escolha um valor da lista. A planilha pode não reconhecer outro valor." type="list" errorStyle="warning">
      <formula1>'Dados'!$AT$6:$AT$7</formula1>
    </dataValidation>
    <dataValidation sqref="A79" showDropDown="0" showInputMessage="0" showErrorMessage="1" allowBlank="1" errorTitle="Valor fora da faixa" error="Dia de campanha: use um número inteiro de 1 a 9999." type="whole" errorStyle="warning" operator="between">
      <formula1>1</formula1>
      <formula2>9999</formula2>
    </dataValidation>
    <dataValidation sqref="C79" showDropDown="0" showInputMessage="0" showErrorMessage="1" allowBlank="1" errorTitle="Valor fora da faixa" error="Sessão: use um número inteiro de 1 a 999." type="whole" errorStyle="warning" operator="between">
      <formula1>1</formula1>
      <formula2>999</formula2>
    </dataValidation>
    <dataValidation sqref="D79" showDropDown="0" showInputMessage="0" showErrorMessage="1" allowBlank="1" errorTitle="Texto longo" error="Evento: até 200 caracteres." type="textLength" errorStyle="warning" operator="lessThanOrEqual">
      <formula1>200</formula1>
    </dataValidation>
    <dataValidation sqref="G79" showDropDown="0" showInputMessage="0" showErrorMessage="1" allowBlank="1" errorTitle="Texto longo" error="Quem: até 80 caracteres." type="textLength" errorStyle="warning" operator="lessThanOrEqual">
      <formula1>80</formula1>
    </dataValidation>
    <dataValidation sqref="H79" showDropDown="0" showInputMessage="0" showErrorMessage="1" allowBlank="1" errorTitle="Texto longo" error="Consequência: até 200 caracteres." type="textLength" errorStyle="warning" operator="lessThanOrEqual">
      <formula1>200</formula1>
    </dataValidation>
    <dataValidation sqref="J79" showDropDown="0" showInputMessage="0" showErrorMessage="1" allowBlank="1" errorTitle="Fora da lista" error="Público?: escolha um valor da lista. A planilha pode não reconhecer outro valor." type="list" errorStyle="warning">
      <formula1>'Dados'!$AT$6:$AT$7</formula1>
    </dataValidation>
    <dataValidation sqref="A80" showDropDown="0" showInputMessage="0" showErrorMessage="1" allowBlank="1" errorTitle="Valor fora da faixa" error="Dia de campanha: use um número inteiro de 1 a 9999." type="whole" errorStyle="warning" operator="between">
      <formula1>1</formula1>
      <formula2>9999</formula2>
    </dataValidation>
    <dataValidation sqref="C80" showDropDown="0" showInputMessage="0" showErrorMessage="1" allowBlank="1" errorTitle="Valor fora da faixa" error="Sessão: use um número inteiro de 1 a 999." type="whole" errorStyle="warning" operator="between">
      <formula1>1</formula1>
      <formula2>999</formula2>
    </dataValidation>
    <dataValidation sqref="D80" showDropDown="0" showInputMessage="0" showErrorMessage="1" allowBlank="1" errorTitle="Texto longo" error="Evento: até 200 caracteres." type="textLength" errorStyle="warning" operator="lessThanOrEqual">
      <formula1>200</formula1>
    </dataValidation>
    <dataValidation sqref="G80" showDropDown="0" showInputMessage="0" showErrorMessage="1" allowBlank="1" errorTitle="Texto longo" error="Quem: até 80 caracteres." type="textLength" errorStyle="warning" operator="lessThanOrEqual">
      <formula1>80</formula1>
    </dataValidation>
    <dataValidation sqref="H80" showDropDown="0" showInputMessage="0" showErrorMessage="1" allowBlank="1" errorTitle="Texto longo" error="Consequência: até 200 caracteres." type="textLength" errorStyle="warning" operator="lessThanOrEqual">
      <formula1>200</formula1>
    </dataValidation>
    <dataValidation sqref="J80" showDropDown="0" showInputMessage="0" showErrorMessage="1" allowBlank="1" errorTitle="Fora da lista" error="Público?: escolha um valor da lista. A planilha pode não reconhecer outro valor." type="list" errorStyle="warning">
      <formula1>'Dados'!$AT$6:$AT$7</formula1>
    </dataValidation>
    <dataValidation sqref="A81" showDropDown="0" showInputMessage="0" showErrorMessage="1" allowBlank="1" errorTitle="Valor fora da faixa" error="Dia de campanha: use um número inteiro de 1 a 9999." type="whole" errorStyle="warning" operator="between">
      <formula1>1</formula1>
      <formula2>9999</formula2>
    </dataValidation>
    <dataValidation sqref="C81" showDropDown="0" showInputMessage="0" showErrorMessage="1" allowBlank="1" errorTitle="Valor fora da faixa" error="Sessão: use um número inteiro de 1 a 999." type="whole" errorStyle="warning" operator="between">
      <formula1>1</formula1>
      <formula2>999</formula2>
    </dataValidation>
    <dataValidation sqref="D81" showDropDown="0" showInputMessage="0" showErrorMessage="1" allowBlank="1" errorTitle="Texto longo" error="Evento: até 200 caracteres." type="textLength" errorStyle="warning" operator="lessThanOrEqual">
      <formula1>200</formula1>
    </dataValidation>
    <dataValidation sqref="G81" showDropDown="0" showInputMessage="0" showErrorMessage="1" allowBlank="1" errorTitle="Texto longo" error="Quem: até 80 caracteres." type="textLength" errorStyle="warning" operator="lessThanOrEqual">
      <formula1>80</formula1>
    </dataValidation>
    <dataValidation sqref="H81" showDropDown="0" showInputMessage="0" showErrorMessage="1" allowBlank="1" errorTitle="Texto longo" error="Consequência: até 200 caracteres." type="textLength" errorStyle="warning" operator="lessThanOrEqual">
      <formula1>200</formula1>
    </dataValidation>
    <dataValidation sqref="J81" showDropDown="0" showInputMessage="0" showErrorMessage="1" allowBlank="1" errorTitle="Fora da lista" error="Público?: escolha um valor da lista. A planilha pode não reconhecer outro valor." type="list" errorStyle="warning">
      <formula1>'Dados'!$AT$6:$AT$7</formula1>
    </dataValidation>
    <dataValidation sqref="A82" showDropDown="0" showInputMessage="0" showErrorMessage="1" allowBlank="1" errorTitle="Valor fora da faixa" error="Dia de campanha: use um número inteiro de 1 a 9999." type="whole" errorStyle="warning" operator="between">
      <formula1>1</formula1>
      <formula2>9999</formula2>
    </dataValidation>
    <dataValidation sqref="C82" showDropDown="0" showInputMessage="0" showErrorMessage="1" allowBlank="1" errorTitle="Valor fora da faixa" error="Sessão: use um número inteiro de 1 a 999." type="whole" errorStyle="warning" operator="between">
      <formula1>1</formula1>
      <formula2>999</formula2>
    </dataValidation>
    <dataValidation sqref="D82" showDropDown="0" showInputMessage="0" showErrorMessage="1" allowBlank="1" errorTitle="Texto longo" error="Evento: até 200 caracteres." type="textLength" errorStyle="warning" operator="lessThanOrEqual">
      <formula1>200</formula1>
    </dataValidation>
    <dataValidation sqref="G82" showDropDown="0" showInputMessage="0" showErrorMessage="1" allowBlank="1" errorTitle="Texto longo" error="Quem: até 80 caracteres." type="textLength" errorStyle="warning" operator="lessThanOrEqual">
      <formula1>80</formula1>
    </dataValidation>
    <dataValidation sqref="H82" showDropDown="0" showInputMessage="0" showErrorMessage="1" allowBlank="1" errorTitle="Texto longo" error="Consequência: até 200 caracteres." type="textLength" errorStyle="warning" operator="lessThanOrEqual">
      <formula1>200</formula1>
    </dataValidation>
    <dataValidation sqref="J82" showDropDown="0" showInputMessage="0" showErrorMessage="1" allowBlank="1" errorTitle="Fora da lista" error="Público?: escolha um valor da lista. A planilha pode não reconhecer outro valor." type="list" errorStyle="warning">
      <formula1>'Dados'!$AT$6:$AT$7</formula1>
    </dataValidation>
    <dataValidation sqref="A83" showDropDown="0" showInputMessage="0" showErrorMessage="1" allowBlank="1" errorTitle="Valor fora da faixa" error="Dia de campanha: use um número inteiro de 1 a 9999." type="whole" errorStyle="warning" operator="between">
      <formula1>1</formula1>
      <formula2>9999</formula2>
    </dataValidation>
    <dataValidation sqref="C83" showDropDown="0" showInputMessage="0" showErrorMessage="1" allowBlank="1" errorTitle="Valor fora da faixa" error="Sessão: use um número inteiro de 1 a 999." type="whole" errorStyle="warning" operator="between">
      <formula1>1</formula1>
      <formula2>999</formula2>
    </dataValidation>
    <dataValidation sqref="D83" showDropDown="0" showInputMessage="0" showErrorMessage="1" allowBlank="1" errorTitle="Texto longo" error="Evento: até 200 caracteres." type="textLength" errorStyle="warning" operator="lessThanOrEqual">
      <formula1>200</formula1>
    </dataValidation>
    <dataValidation sqref="G83" showDropDown="0" showInputMessage="0" showErrorMessage="1" allowBlank="1" errorTitle="Texto longo" error="Quem: até 80 caracteres." type="textLength" errorStyle="warning" operator="lessThanOrEqual">
      <formula1>80</formula1>
    </dataValidation>
    <dataValidation sqref="H83" showDropDown="0" showInputMessage="0" showErrorMessage="1" allowBlank="1" errorTitle="Texto longo" error="Consequência: até 200 caracteres." type="textLength" errorStyle="warning" operator="lessThanOrEqual">
      <formula1>200</formula1>
    </dataValidation>
    <dataValidation sqref="J83" showDropDown="0" showInputMessage="0" showErrorMessage="1" allowBlank="1" errorTitle="Fora da lista" error="Público?: escolha um valor da lista. A planilha pode não reconhecer outro valor." type="list" errorStyle="warning">
      <formula1>'Dados'!$AT$6:$AT$7</formula1>
    </dataValidation>
    <dataValidation sqref="A84" showDropDown="0" showInputMessage="0" showErrorMessage="1" allowBlank="1" errorTitle="Valor fora da faixa" error="Dia de campanha: use um número inteiro de 1 a 9999." type="whole" errorStyle="warning" operator="between">
      <formula1>1</formula1>
      <formula2>9999</formula2>
    </dataValidation>
    <dataValidation sqref="C84" showDropDown="0" showInputMessage="0" showErrorMessage="1" allowBlank="1" errorTitle="Valor fora da faixa" error="Sessão: use um número inteiro de 1 a 999." type="whole" errorStyle="warning" operator="between">
      <formula1>1</formula1>
      <formula2>999</formula2>
    </dataValidation>
    <dataValidation sqref="D84" showDropDown="0" showInputMessage="0" showErrorMessage="1" allowBlank="1" errorTitle="Texto longo" error="Evento: até 200 caracteres." type="textLength" errorStyle="warning" operator="lessThanOrEqual">
      <formula1>200</formula1>
    </dataValidation>
    <dataValidation sqref="G84" showDropDown="0" showInputMessage="0" showErrorMessage="1" allowBlank="1" errorTitle="Texto longo" error="Quem: até 80 caracteres." type="textLength" errorStyle="warning" operator="lessThanOrEqual">
      <formula1>80</formula1>
    </dataValidation>
    <dataValidation sqref="H84" showDropDown="0" showInputMessage="0" showErrorMessage="1" allowBlank="1" errorTitle="Texto longo" error="Consequência: até 200 caracteres." type="textLength" errorStyle="warning" operator="lessThanOrEqual">
      <formula1>200</formula1>
    </dataValidation>
    <dataValidation sqref="J84" showDropDown="0" showInputMessage="0" showErrorMessage="1" allowBlank="1" errorTitle="Fora da lista" error="Público?: escolha um valor da lista. A planilha pode não reconhecer outro valor." type="list" errorStyle="warning">
      <formula1>'Dados'!$AT$6:$AT$7</formula1>
    </dataValidation>
    <dataValidation sqref="A85" showDropDown="0" showInputMessage="0" showErrorMessage="1" allowBlank="1" errorTitle="Valor fora da faixa" error="Dia de campanha: use um número inteiro de 1 a 9999." type="whole" errorStyle="warning" operator="between">
      <formula1>1</formula1>
      <formula2>9999</formula2>
    </dataValidation>
    <dataValidation sqref="C85" showDropDown="0" showInputMessage="0" showErrorMessage="1" allowBlank="1" errorTitle="Valor fora da faixa" error="Sessão: use um número inteiro de 1 a 999." type="whole" errorStyle="warning" operator="between">
      <formula1>1</formula1>
      <formula2>999</formula2>
    </dataValidation>
    <dataValidation sqref="D85" showDropDown="0" showInputMessage="0" showErrorMessage="1" allowBlank="1" errorTitle="Texto longo" error="Evento: até 200 caracteres." type="textLength" errorStyle="warning" operator="lessThanOrEqual">
      <formula1>200</formula1>
    </dataValidation>
    <dataValidation sqref="G85" showDropDown="0" showInputMessage="0" showErrorMessage="1" allowBlank="1" errorTitle="Texto longo" error="Quem: até 80 caracteres." type="textLength" errorStyle="warning" operator="lessThanOrEqual">
      <formula1>80</formula1>
    </dataValidation>
    <dataValidation sqref="H85" showDropDown="0" showInputMessage="0" showErrorMessage="1" allowBlank="1" errorTitle="Texto longo" error="Consequência: até 200 caracteres." type="textLength" errorStyle="warning" operator="lessThanOrEqual">
      <formula1>200</formula1>
    </dataValidation>
    <dataValidation sqref="J85" showDropDown="0" showInputMessage="0" showErrorMessage="1" allowBlank="1" errorTitle="Fora da lista" error="Público?: escolha um valor da lista. A planilha pode não reconhecer outro valor." type="list" errorStyle="warning">
      <formula1>'Dados'!$AT$6:$AT$7</formula1>
    </dataValidation>
    <dataValidation sqref="A87" showDropDown="0" showInputMessage="0" showErrorMessage="1" allowBlank="1" errorTitle="Valor fora da faixa" error="Dia de campanha: use um número inteiro de 1 a 9999." type="whole" errorStyle="warning" operator="between">
      <formula1>1</formula1>
      <formula2>9999</formula2>
    </dataValidation>
    <dataValidation sqref="C87" showDropDown="0" showInputMessage="0" showErrorMessage="1" allowBlank="1" errorTitle="Valor fora da faixa" error="Sessão: use um número inteiro de 1 a 999." type="whole" errorStyle="warning" operator="between">
      <formula1>1</formula1>
      <formula2>999</formula2>
    </dataValidation>
    <dataValidation sqref="D87" showDropDown="0" showInputMessage="0" showErrorMessage="1" allowBlank="1" errorTitle="Texto longo" error="Evento: até 200 caracteres." type="textLength" errorStyle="warning" operator="lessThanOrEqual">
      <formula1>200</formula1>
    </dataValidation>
    <dataValidation sqref="G87" showDropDown="0" showInputMessage="0" showErrorMessage="1" allowBlank="1" errorTitle="Texto longo" error="Quem: até 80 caracteres." type="textLength" errorStyle="warning" operator="lessThanOrEqual">
      <formula1>80</formula1>
    </dataValidation>
    <dataValidation sqref="H87" showDropDown="0" showInputMessage="0" showErrorMessage="1" allowBlank="1" errorTitle="Texto longo" error="Consequência: até 200 caracteres." type="textLength" errorStyle="warning" operator="lessThanOrEqual">
      <formula1>200</formula1>
    </dataValidation>
    <dataValidation sqref="J87" showDropDown="0" showInputMessage="0" showErrorMessage="1" allowBlank="1" errorTitle="Fora da lista" error="Público?: escolha um valor da lista. A planilha pode não reconhecer outro valor." type="list" errorStyle="warning">
      <formula1>'Dados'!$AT$6:$AT$7</formula1>
    </dataValidation>
    <dataValidation sqref="A88" showDropDown="0" showInputMessage="0" showErrorMessage="1" allowBlank="1" errorTitle="Valor fora da faixa" error="Dia de campanha: use um número inteiro de 1 a 9999." type="whole" errorStyle="warning" operator="between">
      <formula1>1</formula1>
      <formula2>9999</formula2>
    </dataValidation>
    <dataValidation sqref="C88" showDropDown="0" showInputMessage="0" showErrorMessage="1" allowBlank="1" errorTitle="Valor fora da faixa" error="Sessão: use um número inteiro de 1 a 999." type="whole" errorStyle="warning" operator="between">
      <formula1>1</formula1>
      <formula2>999</formula2>
    </dataValidation>
    <dataValidation sqref="D88" showDropDown="0" showInputMessage="0" showErrorMessage="1" allowBlank="1" errorTitle="Texto longo" error="Evento: até 200 caracteres." type="textLength" errorStyle="warning" operator="lessThanOrEqual">
      <formula1>200</formula1>
    </dataValidation>
    <dataValidation sqref="G88" showDropDown="0" showInputMessage="0" showErrorMessage="1" allowBlank="1" errorTitle="Texto longo" error="Quem: até 80 caracteres." type="textLength" errorStyle="warning" operator="lessThanOrEqual">
      <formula1>80</formula1>
    </dataValidation>
    <dataValidation sqref="H88" showDropDown="0" showInputMessage="0" showErrorMessage="1" allowBlank="1" errorTitle="Texto longo" error="Consequência: até 200 caracteres." type="textLength" errorStyle="warning" operator="lessThanOrEqual">
      <formula1>200</formula1>
    </dataValidation>
    <dataValidation sqref="J88" showDropDown="0" showInputMessage="0" showErrorMessage="1" allowBlank="1" errorTitle="Fora da lista" error="Público?: escolha um valor da lista. A planilha pode não reconhecer outro valor." type="list" errorStyle="warning">
      <formula1>'Dados'!$AT$6:$AT$7</formula1>
    </dataValidation>
    <dataValidation sqref="A89" showDropDown="0" showInputMessage="0" showErrorMessage="1" allowBlank="1" errorTitle="Valor fora da faixa" error="Dia de campanha: use um número inteiro de 1 a 9999." type="whole" errorStyle="warning" operator="between">
      <formula1>1</formula1>
      <formula2>9999</formula2>
    </dataValidation>
    <dataValidation sqref="C89" showDropDown="0" showInputMessage="0" showErrorMessage="1" allowBlank="1" errorTitle="Valor fora da faixa" error="Sessão: use um número inteiro de 1 a 999." type="whole" errorStyle="warning" operator="between">
      <formula1>1</formula1>
      <formula2>999</formula2>
    </dataValidation>
    <dataValidation sqref="D89" showDropDown="0" showInputMessage="0" showErrorMessage="1" allowBlank="1" errorTitle="Texto longo" error="Evento: até 200 caracteres." type="textLength" errorStyle="warning" operator="lessThanOrEqual">
      <formula1>200</formula1>
    </dataValidation>
    <dataValidation sqref="G89" showDropDown="0" showInputMessage="0" showErrorMessage="1" allowBlank="1" errorTitle="Texto longo" error="Quem: até 80 caracteres." type="textLength" errorStyle="warning" operator="lessThanOrEqual">
      <formula1>80</formula1>
    </dataValidation>
    <dataValidation sqref="H89" showDropDown="0" showInputMessage="0" showErrorMessage="1" allowBlank="1" errorTitle="Texto longo" error="Consequência: até 200 caracteres." type="textLength" errorStyle="warning" operator="lessThanOrEqual">
      <formula1>200</formula1>
    </dataValidation>
    <dataValidation sqref="J89" showDropDown="0" showInputMessage="0" showErrorMessage="1" allowBlank="1" errorTitle="Fora da lista" error="Público?: escolha um valor da lista. A planilha pode não reconhecer outro valor." type="list" errorStyle="warning">
      <formula1>'Dados'!$AT$6:$AT$7</formula1>
    </dataValidation>
    <dataValidation sqref="A90" showDropDown="0" showInputMessage="0" showErrorMessage="1" allowBlank="1" errorTitle="Valor fora da faixa" error="Dia de campanha: use um número inteiro de 1 a 9999." type="whole" errorStyle="warning" operator="between">
      <formula1>1</formula1>
      <formula2>9999</formula2>
    </dataValidation>
    <dataValidation sqref="C90" showDropDown="0" showInputMessage="0" showErrorMessage="1" allowBlank="1" errorTitle="Valor fora da faixa" error="Sessão: use um número inteiro de 1 a 999." type="whole" errorStyle="warning" operator="between">
      <formula1>1</formula1>
      <formula2>999</formula2>
    </dataValidation>
    <dataValidation sqref="D90" showDropDown="0" showInputMessage="0" showErrorMessage="1" allowBlank="1" errorTitle="Texto longo" error="Evento: até 200 caracteres." type="textLength" errorStyle="warning" operator="lessThanOrEqual">
      <formula1>200</formula1>
    </dataValidation>
    <dataValidation sqref="G90" showDropDown="0" showInputMessage="0" showErrorMessage="1" allowBlank="1" errorTitle="Texto longo" error="Quem: até 80 caracteres." type="textLength" errorStyle="warning" operator="lessThanOrEqual">
      <formula1>80</formula1>
    </dataValidation>
    <dataValidation sqref="H90" showDropDown="0" showInputMessage="0" showErrorMessage="1" allowBlank="1" errorTitle="Texto longo" error="Consequência: até 200 caracteres." type="textLength" errorStyle="warning" operator="lessThanOrEqual">
      <formula1>200</formula1>
    </dataValidation>
    <dataValidation sqref="J90" showDropDown="0" showInputMessage="0" showErrorMessage="1" allowBlank="1" errorTitle="Fora da lista" error="Público?: escolha um valor da lista. A planilha pode não reconhecer outro valor." type="list" errorStyle="warning">
      <formula1>'Dados'!$AT$6:$AT$7</formula1>
    </dataValidation>
    <dataValidation sqref="A91" showDropDown="0" showInputMessage="0" showErrorMessage="1" allowBlank="1" errorTitle="Valor fora da faixa" error="Dia de campanha: use um número inteiro de 1 a 9999." type="whole" errorStyle="warning" operator="between">
      <formula1>1</formula1>
      <formula2>9999</formula2>
    </dataValidation>
    <dataValidation sqref="C91" showDropDown="0" showInputMessage="0" showErrorMessage="1" allowBlank="1" errorTitle="Valor fora da faixa" error="Sessão: use um número inteiro de 1 a 999." type="whole" errorStyle="warning" operator="between">
      <formula1>1</formula1>
      <formula2>999</formula2>
    </dataValidation>
    <dataValidation sqref="D91" showDropDown="0" showInputMessage="0" showErrorMessage="1" allowBlank="1" errorTitle="Texto longo" error="Evento: até 200 caracteres." type="textLength" errorStyle="warning" operator="lessThanOrEqual">
      <formula1>200</formula1>
    </dataValidation>
    <dataValidation sqref="G91" showDropDown="0" showInputMessage="0" showErrorMessage="1" allowBlank="1" errorTitle="Texto longo" error="Quem: até 80 caracteres." type="textLength" errorStyle="warning" operator="lessThanOrEqual">
      <formula1>80</formula1>
    </dataValidation>
    <dataValidation sqref="H91" showDropDown="0" showInputMessage="0" showErrorMessage="1" allowBlank="1" errorTitle="Texto longo" error="Consequência: até 200 caracteres." type="textLength" errorStyle="warning" operator="lessThanOrEqual">
      <formula1>200</formula1>
    </dataValidation>
    <dataValidation sqref="J91" showDropDown="0" showInputMessage="0" showErrorMessage="1" allowBlank="1" errorTitle="Fora da lista" error="Público?: escolha um valor da lista. A planilha pode não reconhecer outro valor." type="list" errorStyle="warning">
      <formula1>'Dados'!$AT$6:$AT$7</formula1>
    </dataValidation>
    <dataValidation sqref="A92" showDropDown="0" showInputMessage="0" showErrorMessage="1" allowBlank="1" errorTitle="Valor fora da faixa" error="Dia de campanha: use um número inteiro de 1 a 9999." type="whole" errorStyle="warning" operator="between">
      <formula1>1</formula1>
      <formula2>9999</formula2>
    </dataValidation>
    <dataValidation sqref="C92" showDropDown="0" showInputMessage="0" showErrorMessage="1" allowBlank="1" errorTitle="Valor fora da faixa" error="Sessão: use um número inteiro de 1 a 999." type="whole" errorStyle="warning" operator="between">
      <formula1>1</formula1>
      <formula2>999</formula2>
    </dataValidation>
    <dataValidation sqref="D92" showDropDown="0" showInputMessage="0" showErrorMessage="1" allowBlank="1" errorTitle="Texto longo" error="Evento: até 200 caracteres." type="textLength" errorStyle="warning" operator="lessThanOrEqual">
      <formula1>200</formula1>
    </dataValidation>
    <dataValidation sqref="G92" showDropDown="0" showInputMessage="0" showErrorMessage="1" allowBlank="1" errorTitle="Texto longo" error="Quem: até 80 caracteres." type="textLength" errorStyle="warning" operator="lessThanOrEqual">
      <formula1>80</formula1>
    </dataValidation>
    <dataValidation sqref="H92" showDropDown="0" showInputMessage="0" showErrorMessage="1" allowBlank="1" errorTitle="Texto longo" error="Consequência: até 200 caracteres." type="textLength" errorStyle="warning" operator="lessThanOrEqual">
      <formula1>200</formula1>
    </dataValidation>
    <dataValidation sqref="J92" showDropDown="0" showInputMessage="0" showErrorMessage="1" allowBlank="1" errorTitle="Fora da lista" error="Público?: escolha um valor da lista. A planilha pode não reconhecer outro valor." type="list" errorStyle="warning">
      <formula1>'Dados'!$AT$6:$AT$7</formula1>
    </dataValidation>
    <dataValidation sqref="A93" showDropDown="0" showInputMessage="0" showErrorMessage="1" allowBlank="1" errorTitle="Valor fora da faixa" error="Dia de campanha: use um número inteiro de 1 a 9999." type="whole" errorStyle="warning" operator="between">
      <formula1>1</formula1>
      <formula2>9999</formula2>
    </dataValidation>
    <dataValidation sqref="C93" showDropDown="0" showInputMessage="0" showErrorMessage="1" allowBlank="1" errorTitle="Valor fora da faixa" error="Sessão: use um número inteiro de 1 a 999." type="whole" errorStyle="warning" operator="between">
      <formula1>1</formula1>
      <formula2>999</formula2>
    </dataValidation>
    <dataValidation sqref="D93" showDropDown="0" showInputMessage="0" showErrorMessage="1" allowBlank="1" errorTitle="Texto longo" error="Evento: até 200 caracteres." type="textLength" errorStyle="warning" operator="lessThanOrEqual">
      <formula1>200</formula1>
    </dataValidation>
    <dataValidation sqref="G93" showDropDown="0" showInputMessage="0" showErrorMessage="1" allowBlank="1" errorTitle="Texto longo" error="Quem: até 80 caracteres." type="textLength" errorStyle="warning" operator="lessThanOrEqual">
      <formula1>80</formula1>
    </dataValidation>
    <dataValidation sqref="H93" showDropDown="0" showInputMessage="0" showErrorMessage="1" allowBlank="1" errorTitle="Texto longo" error="Consequência: até 200 caracteres." type="textLength" errorStyle="warning" operator="lessThanOrEqual">
      <formula1>200</formula1>
    </dataValidation>
    <dataValidation sqref="J93" showDropDown="0" showInputMessage="0" showErrorMessage="1" allowBlank="1" errorTitle="Fora da lista" error="Público?: escolha um valor da lista. A planilha pode não reconhecer outro valor." type="list" errorStyle="warning">
      <formula1>'Dados'!$AT$6:$AT$7</formula1>
    </dataValidation>
    <dataValidation sqref="A94" showDropDown="0" showInputMessage="0" showErrorMessage="1" allowBlank="1" errorTitle="Valor fora da faixa" error="Dia de campanha: use um número inteiro de 1 a 9999." type="whole" errorStyle="warning" operator="between">
      <formula1>1</formula1>
      <formula2>9999</formula2>
    </dataValidation>
    <dataValidation sqref="C94" showDropDown="0" showInputMessage="0" showErrorMessage="1" allowBlank="1" errorTitle="Valor fora da faixa" error="Sessão: use um número inteiro de 1 a 999." type="whole" errorStyle="warning" operator="between">
      <formula1>1</formula1>
      <formula2>999</formula2>
    </dataValidation>
    <dataValidation sqref="D94" showDropDown="0" showInputMessage="0" showErrorMessage="1" allowBlank="1" errorTitle="Texto longo" error="Evento: até 200 caracteres." type="textLength" errorStyle="warning" operator="lessThanOrEqual">
      <formula1>200</formula1>
    </dataValidation>
    <dataValidation sqref="G94" showDropDown="0" showInputMessage="0" showErrorMessage="1" allowBlank="1" errorTitle="Texto longo" error="Quem: até 80 caracteres." type="textLength" errorStyle="warning" operator="lessThanOrEqual">
      <formula1>80</formula1>
    </dataValidation>
    <dataValidation sqref="H94" showDropDown="0" showInputMessage="0" showErrorMessage="1" allowBlank="1" errorTitle="Texto longo" error="Consequência: até 200 caracteres." type="textLength" errorStyle="warning" operator="lessThanOrEqual">
      <formula1>200</formula1>
    </dataValidation>
    <dataValidation sqref="J94" showDropDown="0" showInputMessage="0" showErrorMessage="1" allowBlank="1" errorTitle="Fora da lista" error="Público?: escolha um valor da lista. A planilha pode não reconhecer outro valor." type="list" errorStyle="warning">
      <formula1>'Dados'!$AT$6:$AT$7</formula1>
    </dataValidation>
    <dataValidation sqref="A95" showDropDown="0" showInputMessage="0" showErrorMessage="1" allowBlank="1" errorTitle="Valor fora da faixa" error="Dia de campanha: use um número inteiro de 1 a 9999." type="whole" errorStyle="warning" operator="between">
      <formula1>1</formula1>
      <formula2>9999</formula2>
    </dataValidation>
    <dataValidation sqref="C95" showDropDown="0" showInputMessage="0" showErrorMessage="1" allowBlank="1" errorTitle="Valor fora da faixa" error="Sessão: use um número inteiro de 1 a 999." type="whole" errorStyle="warning" operator="between">
      <formula1>1</formula1>
      <formula2>999</formula2>
    </dataValidation>
    <dataValidation sqref="D95" showDropDown="0" showInputMessage="0" showErrorMessage="1" allowBlank="1" errorTitle="Texto longo" error="Evento: até 200 caracteres." type="textLength" errorStyle="warning" operator="lessThanOrEqual">
      <formula1>200</formula1>
    </dataValidation>
    <dataValidation sqref="G95" showDropDown="0" showInputMessage="0" showErrorMessage="1" allowBlank="1" errorTitle="Texto longo" error="Quem: até 80 caracteres." type="textLength" errorStyle="warning" operator="lessThanOrEqual">
      <formula1>80</formula1>
    </dataValidation>
    <dataValidation sqref="H95" showDropDown="0" showInputMessage="0" showErrorMessage="1" allowBlank="1" errorTitle="Texto longo" error="Consequência: até 200 caracteres." type="textLength" errorStyle="warning" operator="lessThanOrEqual">
      <formula1>200</formula1>
    </dataValidation>
    <dataValidation sqref="J95" showDropDown="0" showInputMessage="0" showErrorMessage="1" allowBlank="1" errorTitle="Fora da lista" error="Público?: escolha um valor da lista. A planilha pode não reconhecer outro valor." type="list" errorStyle="warning">
      <formula1>'Dados'!$AT$6:$AT$7</formula1>
    </dataValidation>
    <dataValidation sqref="A96" showDropDown="0" showInputMessage="0" showErrorMessage="1" allowBlank="1" errorTitle="Valor fora da faixa" error="Dia de campanha: use um número inteiro de 1 a 9999." type="whole" errorStyle="warning" operator="between">
      <formula1>1</formula1>
      <formula2>9999</formula2>
    </dataValidation>
    <dataValidation sqref="C96" showDropDown="0" showInputMessage="0" showErrorMessage="1" allowBlank="1" errorTitle="Valor fora da faixa" error="Sessão: use um número inteiro de 1 a 999." type="whole" errorStyle="warning" operator="between">
      <formula1>1</formula1>
      <formula2>999</formula2>
    </dataValidation>
    <dataValidation sqref="D96" showDropDown="0" showInputMessage="0" showErrorMessage="1" allowBlank="1" errorTitle="Texto longo" error="Evento: até 200 caracteres." type="textLength" errorStyle="warning" operator="lessThanOrEqual">
      <formula1>200</formula1>
    </dataValidation>
    <dataValidation sqref="G96" showDropDown="0" showInputMessage="0" showErrorMessage="1" allowBlank="1" errorTitle="Texto longo" error="Quem: até 80 caracteres." type="textLength" errorStyle="warning" operator="lessThanOrEqual">
      <formula1>80</formula1>
    </dataValidation>
    <dataValidation sqref="H96" showDropDown="0" showInputMessage="0" showErrorMessage="1" allowBlank="1" errorTitle="Texto longo" error="Consequência: até 200 caracteres." type="textLength" errorStyle="warning" operator="lessThanOrEqual">
      <formula1>200</formula1>
    </dataValidation>
    <dataValidation sqref="J96" showDropDown="0" showInputMessage="0" showErrorMessage="1" allowBlank="1" errorTitle="Fora da lista" error="Público?: escolha um valor da lista. A planilha pode não reconhecer outro valor." type="list" errorStyle="warning">
      <formula1>'Dados'!$AT$6:$AT$7</formula1>
    </dataValidation>
    <dataValidation sqref="A98" showDropDown="0" showInputMessage="0" showErrorMessage="1" allowBlank="1" errorTitle="Valor fora da faixa" error="Dia de campanha: use um número inteiro de 1 a 9999." type="whole" errorStyle="warning" operator="between">
      <formula1>1</formula1>
      <formula2>9999</formula2>
    </dataValidation>
    <dataValidation sqref="C98" showDropDown="0" showInputMessage="0" showErrorMessage="1" allowBlank="1" errorTitle="Valor fora da faixa" error="Sessão: use um número inteiro de 1 a 999." type="whole" errorStyle="warning" operator="between">
      <formula1>1</formula1>
      <formula2>999</formula2>
    </dataValidation>
    <dataValidation sqref="D98" showDropDown="0" showInputMessage="0" showErrorMessage="1" allowBlank="1" errorTitle="Texto longo" error="Evento: até 200 caracteres." type="textLength" errorStyle="warning" operator="lessThanOrEqual">
      <formula1>200</formula1>
    </dataValidation>
    <dataValidation sqref="G98" showDropDown="0" showInputMessage="0" showErrorMessage="1" allowBlank="1" errorTitle="Texto longo" error="Quem: até 80 caracteres." type="textLength" errorStyle="warning" operator="lessThanOrEqual">
      <formula1>80</formula1>
    </dataValidation>
    <dataValidation sqref="H98" showDropDown="0" showInputMessage="0" showErrorMessage="1" allowBlank="1" errorTitle="Texto longo" error="Consequência: até 200 caracteres." type="textLength" errorStyle="warning" operator="lessThanOrEqual">
      <formula1>200</formula1>
    </dataValidation>
    <dataValidation sqref="J98" showDropDown="0" showInputMessage="0" showErrorMessage="1" allowBlank="1" errorTitle="Fora da lista" error="Público?: escolha um valor da lista. A planilha pode não reconhecer outro valor." type="list" errorStyle="warning">
      <formula1>'Dados'!$AT$6:$AT$7</formula1>
    </dataValidation>
    <dataValidation sqref="A99" showDropDown="0" showInputMessage="0" showErrorMessage="1" allowBlank="1" errorTitle="Valor fora da faixa" error="Dia de campanha: use um número inteiro de 1 a 9999." type="whole" errorStyle="warning" operator="between">
      <formula1>1</formula1>
      <formula2>9999</formula2>
    </dataValidation>
    <dataValidation sqref="C99" showDropDown="0" showInputMessage="0" showErrorMessage="1" allowBlank="1" errorTitle="Valor fora da faixa" error="Sessão: use um número inteiro de 1 a 999." type="whole" errorStyle="warning" operator="between">
      <formula1>1</formula1>
      <formula2>999</formula2>
    </dataValidation>
    <dataValidation sqref="D99" showDropDown="0" showInputMessage="0" showErrorMessage="1" allowBlank="1" errorTitle="Texto longo" error="Evento: até 200 caracteres." type="textLength" errorStyle="warning" operator="lessThanOrEqual">
      <formula1>200</formula1>
    </dataValidation>
    <dataValidation sqref="G99" showDropDown="0" showInputMessage="0" showErrorMessage="1" allowBlank="1" errorTitle="Texto longo" error="Quem: até 80 caracteres." type="textLength" errorStyle="warning" operator="lessThanOrEqual">
      <formula1>80</formula1>
    </dataValidation>
    <dataValidation sqref="H99" showDropDown="0" showInputMessage="0" showErrorMessage="1" allowBlank="1" errorTitle="Texto longo" error="Consequência: até 200 caracteres." type="textLength" errorStyle="warning" operator="lessThanOrEqual">
      <formula1>200</formula1>
    </dataValidation>
    <dataValidation sqref="J99" showDropDown="0" showInputMessage="0" showErrorMessage="1" allowBlank="1" errorTitle="Fora da lista" error="Público?: escolha um valor da lista. A planilha pode não reconhecer outro valor." type="list" errorStyle="warning">
      <formula1>'Dados'!$AT$6:$AT$7</formula1>
    </dataValidation>
    <dataValidation sqref="A100" showDropDown="0" showInputMessage="0" showErrorMessage="1" allowBlank="1" errorTitle="Valor fora da faixa" error="Dia de campanha: use um número inteiro de 1 a 9999." type="whole" errorStyle="warning" operator="between">
      <formula1>1</formula1>
      <formula2>9999</formula2>
    </dataValidation>
    <dataValidation sqref="C100" showDropDown="0" showInputMessage="0" showErrorMessage="1" allowBlank="1" errorTitle="Valor fora da faixa" error="Sessão: use um número inteiro de 1 a 999." type="whole" errorStyle="warning" operator="between">
      <formula1>1</formula1>
      <formula2>999</formula2>
    </dataValidation>
    <dataValidation sqref="D100" showDropDown="0" showInputMessage="0" showErrorMessage="1" allowBlank="1" errorTitle="Texto longo" error="Evento: até 200 caracteres." type="textLength" errorStyle="warning" operator="lessThanOrEqual">
      <formula1>200</formula1>
    </dataValidation>
    <dataValidation sqref="G100" showDropDown="0" showInputMessage="0" showErrorMessage="1" allowBlank="1" errorTitle="Texto longo" error="Quem: até 80 caracteres." type="textLength" errorStyle="warning" operator="lessThanOrEqual">
      <formula1>80</formula1>
    </dataValidation>
    <dataValidation sqref="H100" showDropDown="0" showInputMessage="0" showErrorMessage="1" allowBlank="1" errorTitle="Texto longo" error="Consequência: até 200 caracteres." type="textLength" errorStyle="warning" operator="lessThanOrEqual">
      <formula1>200</formula1>
    </dataValidation>
    <dataValidation sqref="J100" showDropDown="0" showInputMessage="0" showErrorMessage="1" allowBlank="1" errorTitle="Fora da lista" error="Público?: escolha um valor da lista. A planilha pode não reconhecer outro valor." type="list" errorStyle="warning">
      <formula1>'Dados'!$AT$6:$AT$7</formula1>
    </dataValidation>
    <dataValidation sqref="A101" showDropDown="0" showInputMessage="0" showErrorMessage="1" allowBlank="1" errorTitle="Valor fora da faixa" error="Dia de campanha: use um número inteiro de 1 a 9999." type="whole" errorStyle="warning" operator="between">
      <formula1>1</formula1>
      <formula2>9999</formula2>
    </dataValidation>
    <dataValidation sqref="C101" showDropDown="0" showInputMessage="0" showErrorMessage="1" allowBlank="1" errorTitle="Valor fora da faixa" error="Sessão: use um número inteiro de 1 a 999." type="whole" errorStyle="warning" operator="between">
      <formula1>1</formula1>
      <formula2>999</formula2>
    </dataValidation>
    <dataValidation sqref="D101" showDropDown="0" showInputMessage="0" showErrorMessage="1" allowBlank="1" errorTitle="Texto longo" error="Evento: até 200 caracteres." type="textLength" errorStyle="warning" operator="lessThanOrEqual">
      <formula1>200</formula1>
    </dataValidation>
    <dataValidation sqref="G101" showDropDown="0" showInputMessage="0" showErrorMessage="1" allowBlank="1" errorTitle="Texto longo" error="Quem: até 80 caracteres." type="textLength" errorStyle="warning" operator="lessThanOrEqual">
      <formula1>80</formula1>
    </dataValidation>
    <dataValidation sqref="H101" showDropDown="0" showInputMessage="0" showErrorMessage="1" allowBlank="1" errorTitle="Texto longo" error="Consequência: até 200 caracteres." type="textLength" errorStyle="warning" operator="lessThanOrEqual">
      <formula1>200</formula1>
    </dataValidation>
    <dataValidation sqref="J101" showDropDown="0" showInputMessage="0" showErrorMessage="1" allowBlank="1" errorTitle="Fora da lista" error="Público?: escolha um valor da lista. A planilha pode não reconhecer outro valor." type="list" errorStyle="warning">
      <formula1>'Dados'!$AT$6:$AT$7</formula1>
    </dataValidation>
    <dataValidation sqref="A102" showDropDown="0" showInputMessage="0" showErrorMessage="1" allowBlank="1" errorTitle="Valor fora da faixa" error="Dia de campanha: use um número inteiro de 1 a 9999." type="whole" errorStyle="warning" operator="between">
      <formula1>1</formula1>
      <formula2>9999</formula2>
    </dataValidation>
    <dataValidation sqref="C102" showDropDown="0" showInputMessage="0" showErrorMessage="1" allowBlank="1" errorTitle="Valor fora da faixa" error="Sessão: use um número inteiro de 1 a 999." type="whole" errorStyle="warning" operator="between">
      <formula1>1</formula1>
      <formula2>999</formula2>
    </dataValidation>
    <dataValidation sqref="D102" showDropDown="0" showInputMessage="0" showErrorMessage="1" allowBlank="1" errorTitle="Texto longo" error="Evento: até 200 caracteres." type="textLength" errorStyle="warning" operator="lessThanOrEqual">
      <formula1>200</formula1>
    </dataValidation>
    <dataValidation sqref="G102" showDropDown="0" showInputMessage="0" showErrorMessage="1" allowBlank="1" errorTitle="Texto longo" error="Quem: até 80 caracteres." type="textLength" errorStyle="warning" operator="lessThanOrEqual">
      <formula1>80</formula1>
    </dataValidation>
    <dataValidation sqref="H102" showDropDown="0" showInputMessage="0" showErrorMessage="1" allowBlank="1" errorTitle="Texto longo" error="Consequência: até 200 caracteres." type="textLength" errorStyle="warning" operator="lessThanOrEqual">
      <formula1>200</formula1>
    </dataValidation>
    <dataValidation sqref="J102" showDropDown="0" showInputMessage="0" showErrorMessage="1" allowBlank="1" errorTitle="Fora da lista" error="Público?: escolha um valor da lista. A planilha pode não reconhecer outro valor." type="list" errorStyle="warning">
      <formula1>'Dados'!$AT$6:$AT$7</formula1>
    </dataValidation>
    <dataValidation sqref="A103" showDropDown="0" showInputMessage="0" showErrorMessage="1" allowBlank="1" errorTitle="Valor fora da faixa" error="Dia de campanha: use um número inteiro de 1 a 9999." type="whole" errorStyle="warning" operator="between">
      <formula1>1</formula1>
      <formula2>9999</formula2>
    </dataValidation>
    <dataValidation sqref="C103" showDropDown="0" showInputMessage="0" showErrorMessage="1" allowBlank="1" errorTitle="Valor fora da faixa" error="Sessão: use um número inteiro de 1 a 999." type="whole" errorStyle="warning" operator="between">
      <formula1>1</formula1>
      <formula2>999</formula2>
    </dataValidation>
    <dataValidation sqref="D103" showDropDown="0" showInputMessage="0" showErrorMessage="1" allowBlank="1" errorTitle="Texto longo" error="Evento: até 200 caracteres." type="textLength" errorStyle="warning" operator="lessThanOrEqual">
      <formula1>200</formula1>
    </dataValidation>
    <dataValidation sqref="G103" showDropDown="0" showInputMessage="0" showErrorMessage="1" allowBlank="1" errorTitle="Texto longo" error="Quem: até 80 caracteres." type="textLength" errorStyle="warning" operator="lessThanOrEqual">
      <formula1>80</formula1>
    </dataValidation>
    <dataValidation sqref="H103" showDropDown="0" showInputMessage="0" showErrorMessage="1" allowBlank="1" errorTitle="Texto longo" error="Consequência: até 200 caracteres." type="textLength" errorStyle="warning" operator="lessThanOrEqual">
      <formula1>200</formula1>
    </dataValidation>
    <dataValidation sqref="J103" showDropDown="0" showInputMessage="0" showErrorMessage="1" allowBlank="1" errorTitle="Fora da lista" error="Público?: escolha um valor da lista. A planilha pode não reconhecer outro valor." type="list" errorStyle="warning">
      <formula1>'Dados'!$AT$6:$AT$7</formula1>
    </dataValidation>
    <dataValidation sqref="A104" showDropDown="0" showInputMessage="0" showErrorMessage="1" allowBlank="1" errorTitle="Valor fora da faixa" error="Dia de campanha: use um número inteiro de 1 a 9999." type="whole" errorStyle="warning" operator="between">
      <formula1>1</formula1>
      <formula2>9999</formula2>
    </dataValidation>
    <dataValidation sqref="C104" showDropDown="0" showInputMessage="0" showErrorMessage="1" allowBlank="1" errorTitle="Valor fora da faixa" error="Sessão: use um número inteiro de 1 a 999." type="whole" errorStyle="warning" operator="between">
      <formula1>1</formula1>
      <formula2>999</formula2>
    </dataValidation>
    <dataValidation sqref="D104" showDropDown="0" showInputMessage="0" showErrorMessage="1" allowBlank="1" errorTitle="Texto longo" error="Evento: até 200 caracteres." type="textLength" errorStyle="warning" operator="lessThanOrEqual">
      <formula1>200</formula1>
    </dataValidation>
    <dataValidation sqref="G104" showDropDown="0" showInputMessage="0" showErrorMessage="1" allowBlank="1" errorTitle="Texto longo" error="Quem: até 80 caracteres." type="textLength" errorStyle="warning" operator="lessThanOrEqual">
      <formula1>80</formula1>
    </dataValidation>
    <dataValidation sqref="H104" showDropDown="0" showInputMessage="0" showErrorMessage="1" allowBlank="1" errorTitle="Texto longo" error="Consequência: até 200 caracteres." type="textLength" errorStyle="warning" operator="lessThanOrEqual">
      <formula1>200</formula1>
    </dataValidation>
    <dataValidation sqref="J104" showDropDown="0" showInputMessage="0" showErrorMessage="1" allowBlank="1" errorTitle="Fora da lista" error="Público?: escolha um valor da lista. A planilha pode não reconhecer outro valor." type="list" errorStyle="warning">
      <formula1>'Dados'!$AT$6:$AT$7</formula1>
    </dataValidation>
    <dataValidation sqref="A105" showDropDown="0" showInputMessage="0" showErrorMessage="1" allowBlank="1" errorTitle="Valor fora da faixa" error="Dia de campanha: use um número inteiro de 1 a 9999." type="whole" errorStyle="warning" operator="between">
      <formula1>1</formula1>
      <formula2>9999</formula2>
    </dataValidation>
    <dataValidation sqref="C105" showDropDown="0" showInputMessage="0" showErrorMessage="1" allowBlank="1" errorTitle="Valor fora da faixa" error="Sessão: use um número inteiro de 1 a 999." type="whole" errorStyle="warning" operator="between">
      <formula1>1</formula1>
      <formula2>999</formula2>
    </dataValidation>
    <dataValidation sqref="D105" showDropDown="0" showInputMessage="0" showErrorMessage="1" allowBlank="1" errorTitle="Texto longo" error="Evento: até 200 caracteres." type="textLength" errorStyle="warning" operator="lessThanOrEqual">
      <formula1>200</formula1>
    </dataValidation>
    <dataValidation sqref="G105" showDropDown="0" showInputMessage="0" showErrorMessage="1" allowBlank="1" errorTitle="Texto longo" error="Quem: até 80 caracteres." type="textLength" errorStyle="warning" operator="lessThanOrEqual">
      <formula1>80</formula1>
    </dataValidation>
    <dataValidation sqref="H105" showDropDown="0" showInputMessage="0" showErrorMessage="1" allowBlank="1" errorTitle="Texto longo" error="Consequência: até 200 caracteres." type="textLength" errorStyle="warning" operator="lessThanOrEqual">
      <formula1>200</formula1>
    </dataValidation>
    <dataValidation sqref="J105" showDropDown="0" showInputMessage="0" showErrorMessage="1" allowBlank="1" errorTitle="Fora da lista" error="Público?: escolha um valor da lista. A planilha pode não reconhecer outro valor." type="list" errorStyle="warning">
      <formula1>'Dados'!$AT$6:$AT$7</formula1>
    </dataValidation>
    <dataValidation sqref="A106" showDropDown="0" showInputMessage="0" showErrorMessage="1" allowBlank="1" errorTitle="Valor fora da faixa" error="Dia de campanha: use um número inteiro de 1 a 9999." type="whole" errorStyle="warning" operator="between">
      <formula1>1</formula1>
      <formula2>9999</formula2>
    </dataValidation>
    <dataValidation sqref="C106" showDropDown="0" showInputMessage="0" showErrorMessage="1" allowBlank="1" errorTitle="Valor fora da faixa" error="Sessão: use um número inteiro de 1 a 999." type="whole" errorStyle="warning" operator="between">
      <formula1>1</formula1>
      <formula2>999</formula2>
    </dataValidation>
    <dataValidation sqref="D106" showDropDown="0" showInputMessage="0" showErrorMessage="1" allowBlank="1" errorTitle="Texto longo" error="Evento: até 200 caracteres." type="textLength" errorStyle="warning" operator="lessThanOrEqual">
      <formula1>200</formula1>
    </dataValidation>
    <dataValidation sqref="G106" showDropDown="0" showInputMessage="0" showErrorMessage="1" allowBlank="1" errorTitle="Texto longo" error="Quem: até 80 caracteres." type="textLength" errorStyle="warning" operator="lessThanOrEqual">
      <formula1>80</formula1>
    </dataValidation>
    <dataValidation sqref="H106" showDropDown="0" showInputMessage="0" showErrorMessage="1" allowBlank="1" errorTitle="Texto longo" error="Consequência: até 200 caracteres." type="textLength" errorStyle="warning" operator="lessThanOrEqual">
      <formula1>200</formula1>
    </dataValidation>
    <dataValidation sqref="J106" showDropDown="0" showInputMessage="0" showErrorMessage="1" allowBlank="1" errorTitle="Fora da lista" error="Público?: escolha um valor da lista. A planilha pode não reconhecer outro valor." type="list" errorStyle="warning">
      <formula1>'Dados'!$AT$6:$AT$7</formula1>
    </dataValidation>
    <dataValidation sqref="A107" showDropDown="0" showInputMessage="0" showErrorMessage="1" allowBlank="1" errorTitle="Valor fora da faixa" error="Dia de campanha: use um número inteiro de 1 a 9999." type="whole" errorStyle="warning" operator="between">
      <formula1>1</formula1>
      <formula2>9999</formula2>
    </dataValidation>
    <dataValidation sqref="C107" showDropDown="0" showInputMessage="0" showErrorMessage="1" allowBlank="1" errorTitle="Valor fora da faixa" error="Sessão: use um número inteiro de 1 a 999." type="whole" errorStyle="warning" operator="between">
      <formula1>1</formula1>
      <formula2>999</formula2>
    </dataValidation>
    <dataValidation sqref="D107" showDropDown="0" showInputMessage="0" showErrorMessage="1" allowBlank="1" errorTitle="Texto longo" error="Evento: até 200 caracteres." type="textLength" errorStyle="warning" operator="lessThanOrEqual">
      <formula1>200</formula1>
    </dataValidation>
    <dataValidation sqref="G107" showDropDown="0" showInputMessage="0" showErrorMessage="1" allowBlank="1" errorTitle="Texto longo" error="Quem: até 80 caracteres." type="textLength" errorStyle="warning" operator="lessThanOrEqual">
      <formula1>80</formula1>
    </dataValidation>
    <dataValidation sqref="H107" showDropDown="0" showInputMessage="0" showErrorMessage="1" allowBlank="1" errorTitle="Texto longo" error="Consequência: até 200 caracteres." type="textLength" errorStyle="warning" operator="lessThanOrEqual">
      <formula1>200</formula1>
    </dataValidation>
    <dataValidation sqref="J107" showDropDown="0" showInputMessage="0" showErrorMessage="1" allowBlank="1" errorTitle="Fora da lista" error="Público?: escolha um valor da lista. A planilha pode não reconhecer outro valor." type="list" errorStyle="warning">
      <formula1>'Dados'!$AT$6:$AT$7</formula1>
    </dataValidation>
    <dataValidation sqref="A122" showDropDown="0" showInputMessage="0" showErrorMessage="1" allowBlank="1" errorTitle="Texto longo" error="Quem: até 40 caracteres." type="textLength" errorStyle="warning" operator="lessThanOrEqual">
      <formula1>40</formula1>
    </dataValidation>
    <dataValidation sqref="B122" showDropDown="0" showInputMessage="0" showErrorMessage="1" allowBlank="1" errorTitle="Texto longo" error="Nome: até 80 caracteres." type="textLength" errorStyle="warning" operator="lessThanOrEqual">
      <formula1>80</formula1>
    </dataValidation>
    <dataValidation sqref="D122" showDropDown="0" showInputMessage="0" showErrorMessage="1" allowBlank="1" errorTitle="Texto longo" error="O que foi ajustado: até 200 caracteres." type="textLength" errorStyle="warning" operator="lessThanOrEqual">
      <formula1>200</formula1>
    </dataValidation>
    <dataValidation sqref="H122" showDropDown="0" showInputMessage="0" showErrorMessage="1" allowBlank="1" errorTitle="Texto longo" error="Por quê: até 200 caracteres." type="textLength" errorStyle="warning" operator="lessThanOrEqual">
      <formula1>200</formula1>
    </dataValidation>
    <dataValidation sqref="A123" showDropDown="0" showInputMessage="0" showErrorMessage="1" allowBlank="1" errorTitle="Texto longo" error="Quem: até 40 caracteres." type="textLength" errorStyle="warning" operator="lessThanOrEqual">
      <formula1>40</formula1>
    </dataValidation>
    <dataValidation sqref="B123" showDropDown="0" showInputMessage="0" showErrorMessage="1" allowBlank="1" errorTitle="Texto longo" error="Nome: até 80 caracteres." type="textLength" errorStyle="warning" operator="lessThanOrEqual">
      <formula1>80</formula1>
    </dataValidation>
    <dataValidation sqref="D123" showDropDown="0" showInputMessage="0" showErrorMessage="1" allowBlank="1" errorTitle="Texto longo" error="O que foi ajustado: até 200 caracteres." type="textLength" errorStyle="warning" operator="lessThanOrEqual">
      <formula1>200</formula1>
    </dataValidation>
    <dataValidation sqref="H123" showDropDown="0" showInputMessage="0" showErrorMessage="1" allowBlank="1" errorTitle="Texto longo" error="Por quê: até 200 caracteres." type="textLength" errorStyle="warning" operator="lessThanOrEqual">
      <formula1>200</formula1>
    </dataValidation>
    <dataValidation sqref="A124" showDropDown="0" showInputMessage="0" showErrorMessage="1" allowBlank="1" errorTitle="Texto longo" error="Quem: até 40 caracteres." type="textLength" errorStyle="warning" operator="lessThanOrEqual">
      <formula1>40</formula1>
    </dataValidation>
    <dataValidation sqref="B124" showDropDown="0" showInputMessage="0" showErrorMessage="1" allowBlank="1" errorTitle="Texto longo" error="Nome: até 80 caracteres." type="textLength" errorStyle="warning" operator="lessThanOrEqual">
      <formula1>80</formula1>
    </dataValidation>
    <dataValidation sqref="D124" showDropDown="0" showInputMessage="0" showErrorMessage="1" allowBlank="1" errorTitle="Texto longo" error="O que foi ajustado: até 200 caracteres." type="textLength" errorStyle="warning" operator="lessThanOrEqual">
      <formula1>200</formula1>
    </dataValidation>
    <dataValidation sqref="H124" showDropDown="0" showInputMessage="0" showErrorMessage="1" allowBlank="1" errorTitle="Texto longo" error="Por quê: até 200 caracteres." type="textLength" errorStyle="warning" operator="lessThanOrEqual">
      <formula1>200</formula1>
    </dataValidation>
    <dataValidation sqref="A125" showDropDown="0" showInputMessage="0" showErrorMessage="1" allowBlank="1" errorTitle="Texto longo" error="Quem: até 40 caracteres." type="textLength" errorStyle="warning" operator="lessThanOrEqual">
      <formula1>40</formula1>
    </dataValidation>
    <dataValidation sqref="B125" showDropDown="0" showInputMessage="0" showErrorMessage="1" allowBlank="1" errorTitle="Texto longo" error="Nome: até 80 caracteres." type="textLength" errorStyle="warning" operator="lessThanOrEqual">
      <formula1>80</formula1>
    </dataValidation>
    <dataValidation sqref="D125" showDropDown="0" showInputMessage="0" showErrorMessage="1" allowBlank="1" errorTitle="Texto longo" error="O que foi ajustado: até 200 caracteres." type="textLength" errorStyle="warning" operator="lessThanOrEqual">
      <formula1>200</formula1>
    </dataValidation>
    <dataValidation sqref="H125" showDropDown="0" showInputMessage="0" showErrorMessage="1" allowBlank="1" errorTitle="Texto longo" error="Por quê: até 200 caracteres." type="textLength" errorStyle="warning" operator="lessThanOrEqual">
      <formula1>200</formula1>
    </dataValidation>
    <dataValidation sqref="A126" showDropDown="0" showInputMessage="0" showErrorMessage="1" allowBlank="1" errorTitle="Texto longo" error="Quem: até 40 caracteres." type="textLength" errorStyle="warning" operator="lessThanOrEqual">
      <formula1>40</formula1>
    </dataValidation>
    <dataValidation sqref="B126" showDropDown="0" showInputMessage="0" showErrorMessage="1" allowBlank="1" errorTitle="Texto longo" error="Nome: até 80 caracteres." type="textLength" errorStyle="warning" operator="lessThanOrEqual">
      <formula1>80</formula1>
    </dataValidation>
    <dataValidation sqref="D126" showDropDown="0" showInputMessage="0" showErrorMessage="1" allowBlank="1" errorTitle="Texto longo" error="O que foi ajustado: até 200 caracteres." type="textLength" errorStyle="warning" operator="lessThanOrEqual">
      <formula1>200</formula1>
    </dataValidation>
    <dataValidation sqref="H126" showDropDown="0" showInputMessage="0" showErrorMessage="1" allowBlank="1" errorTitle="Texto longo" error="Por quê: até 200 caracteres." type="textLength" errorStyle="warning" operator="lessThanOrEqual">
      <formula1>200</formula1>
    </dataValidation>
    <dataValidation sqref="A127" showDropDown="0" showInputMessage="0" showErrorMessage="1" allowBlank="1" errorTitle="Texto longo" error="Quem: até 40 caracteres." type="textLength" errorStyle="warning" operator="lessThanOrEqual">
      <formula1>40</formula1>
    </dataValidation>
    <dataValidation sqref="B127" showDropDown="0" showInputMessage="0" showErrorMessage="1" allowBlank="1" errorTitle="Texto longo" error="Nome: até 80 caracteres." type="textLength" errorStyle="warning" operator="lessThanOrEqual">
      <formula1>80</formula1>
    </dataValidation>
    <dataValidation sqref="D127" showDropDown="0" showInputMessage="0" showErrorMessage="1" allowBlank="1" errorTitle="Texto longo" error="O que foi ajustado: até 200 caracteres." type="textLength" errorStyle="warning" operator="lessThanOrEqual">
      <formula1>200</formula1>
    </dataValidation>
    <dataValidation sqref="H127" showDropDown="0" showInputMessage="0" showErrorMessage="1" allowBlank="1" errorTitle="Texto longo" error="Por quê: até 200 caracteres." type="textLength" errorStyle="warning" operator="lessThanOrEqual">
      <formula1>200</formula1>
    </dataValidation>
    <dataValidation sqref="A128" showDropDown="0" showInputMessage="0" showErrorMessage="1" allowBlank="1" errorTitle="Texto longo" error="Quem: até 40 caracteres." type="textLength" errorStyle="warning" operator="lessThanOrEqual">
      <formula1>40</formula1>
    </dataValidation>
    <dataValidation sqref="B128" showDropDown="0" showInputMessage="0" showErrorMessage="1" allowBlank="1" errorTitle="Texto longo" error="Nome: até 80 caracteres." type="textLength" errorStyle="warning" operator="lessThanOrEqual">
      <formula1>80</formula1>
    </dataValidation>
    <dataValidation sqref="D128" showDropDown="0" showInputMessage="0" showErrorMessage="1" allowBlank="1" errorTitle="Texto longo" error="O que foi ajustado: até 200 caracteres." type="textLength" errorStyle="warning" operator="lessThanOrEqual">
      <formula1>200</formula1>
    </dataValidation>
    <dataValidation sqref="H128" showDropDown="0" showInputMessage="0" showErrorMessage="1" allowBlank="1" errorTitle="Texto longo" error="Por quê: até 200 caracteres." type="textLength" errorStyle="warning" operator="lessThanOrEqual">
      <formula1>200</formula1>
    </dataValidation>
    <dataValidation sqref="A129" showDropDown="0" showInputMessage="0" showErrorMessage="1" allowBlank="1" errorTitle="Texto longo" error="Quem: até 40 caracteres." type="textLength" errorStyle="warning" operator="lessThanOrEqual">
      <formula1>40</formula1>
    </dataValidation>
    <dataValidation sqref="B129" showDropDown="0" showInputMessage="0" showErrorMessage="1" allowBlank="1" errorTitle="Texto longo" error="Nome: até 80 caracteres." type="textLength" errorStyle="warning" operator="lessThanOrEqual">
      <formula1>80</formula1>
    </dataValidation>
    <dataValidation sqref="D129" showDropDown="0" showInputMessage="0" showErrorMessage="1" allowBlank="1" errorTitle="Texto longo" error="O que foi ajustado: até 200 caracteres." type="textLength" errorStyle="warning" operator="lessThanOrEqual">
      <formula1>200</formula1>
    </dataValidation>
    <dataValidation sqref="H129" showDropDown="0" showInputMessage="0" showErrorMessage="1" allowBlank="1" errorTitle="Texto longo" error="Por quê: até 200 caracteres." type="textLength" errorStyle="warning" operator="lessThanOrEqual">
      <formula1>200</formula1>
    </dataValidation>
    <dataValidation sqref="A130" showDropDown="0" showInputMessage="0" showErrorMessage="1" allowBlank="1" errorTitle="Texto longo" error="Quem: até 40 caracteres." type="textLength" errorStyle="warning" operator="lessThanOrEqual">
      <formula1>40</formula1>
    </dataValidation>
    <dataValidation sqref="B130" showDropDown="0" showInputMessage="0" showErrorMessage="1" allowBlank="1" errorTitle="Texto longo" error="Nome: até 80 caracteres." type="textLength" errorStyle="warning" operator="lessThanOrEqual">
      <formula1>80</formula1>
    </dataValidation>
    <dataValidation sqref="D130" showDropDown="0" showInputMessage="0" showErrorMessage="1" allowBlank="1" errorTitle="Texto longo" error="O que foi ajustado: até 200 caracteres." type="textLength" errorStyle="warning" operator="lessThanOrEqual">
      <formula1>200</formula1>
    </dataValidation>
    <dataValidation sqref="H130" showDropDown="0" showInputMessage="0" showErrorMessage="1" allowBlank="1" errorTitle="Texto longo" error="Por quê: até 200 caracteres." type="textLength" errorStyle="warning" operator="lessThanOrEqual">
      <formula1>200</formula1>
    </dataValidation>
    <dataValidation sqref="A131" showDropDown="0" showInputMessage="0" showErrorMessage="1" allowBlank="1" errorTitle="Texto longo" error="Quem: até 40 caracteres." type="textLength" errorStyle="warning" operator="lessThanOrEqual">
      <formula1>40</formula1>
    </dataValidation>
    <dataValidation sqref="B131" showDropDown="0" showInputMessage="0" showErrorMessage="1" allowBlank="1" errorTitle="Texto longo" error="Nome: até 80 caracteres." type="textLength" errorStyle="warning" operator="lessThanOrEqual">
      <formula1>80</formula1>
    </dataValidation>
    <dataValidation sqref="D131" showDropDown="0" showInputMessage="0" showErrorMessage="1" allowBlank="1" errorTitle="Texto longo" error="O que foi ajustado: até 200 caracteres." type="textLength" errorStyle="warning" operator="lessThanOrEqual">
      <formula1>200</formula1>
    </dataValidation>
    <dataValidation sqref="H131" showDropDown="0" showInputMessage="0" showErrorMessage="1" allowBlank="1" errorTitle="Texto longo" error="Por quê: até 200 caracteres." type="textLength" errorStyle="warning" operator="lessThanOrEqual">
      <formula1>200</formula1>
    </dataValidation>
    <dataValidation sqref="B134" showDropDown="0" showInputMessage="0" showErrorMessage="1" allowBlank="1" errorTitle="Texto longo" error="O que foi decidido: até 200 caracteres." type="textLength" errorStyle="warning" operator="lessThanOrEqual">
      <formula1>200</formula1>
    </dataValidation>
    <dataValidation sqref="B135" showDropDown="0" showInputMessage="0" showErrorMessage="1" allowBlank="1" errorTitle="Texto longo" error="O que foi decidido: até 200 caracteres." type="textLength" errorStyle="warning" operator="lessThanOrEqual">
      <formula1>200</formula1>
    </dataValidation>
    <dataValidation sqref="B136" showDropDown="0" showInputMessage="0" showErrorMessage="1" allowBlank="1" errorTitle="Texto longo" error="O que foi decidido: até 200 caracteres." type="textLength" errorStyle="warning" operator="lessThanOrEqual">
      <formula1>200</formula1>
    </dataValidation>
    <dataValidation sqref="B137" showDropDown="0" showInputMessage="0" showErrorMessage="1" allowBlank="1" errorTitle="Texto longo" error="O que foi decidido: até 200 caracteres." type="textLength" errorStyle="warning" operator="lessThanOrEqual">
      <formula1>200</formula1>
    </dataValidation>
    <dataValidation sqref="B138" showDropDown="0" showInputMessage="0" showErrorMessage="1" allowBlank="1" errorTitle="Texto longo" error="O que foi decidido: até 200 caracteres." type="textLength" errorStyle="warning" operator="lessThanOrEqual">
      <formula1>200</formula1>
    </dataValidation>
    <dataValidation sqref="B139" showDropDown="0" showInputMessage="0" showErrorMessage="1" allowBlank="1" errorTitle="Texto longo" error="O que foi decidido: até 200 caracteres." type="textLength" errorStyle="warning" operator="lessThanOrEqual">
      <formula1>200</formula1>
    </dataValidation>
    <dataValidation sqref="B140" showDropDown="0" showInputMessage="0" showErrorMessage="1" allowBlank="1" errorTitle="Texto longo" error="O que foi decidido: até 200 caracteres." type="textLength" errorStyle="warning" operator="lessThanOrEqual">
      <formula1>200</formula1>
    </dataValidation>
    <dataValidation sqref="B141" showDropDown="0" showInputMessage="0" showErrorMessage="1" allowBlank="1" errorTitle="Texto longo" error="O que foi decidido: até 200 caracteres." type="textLength" errorStyle="warning" operator="lessThanOrEqual">
      <formula1>200</formula1>
    </dataValidation>
    <dataValidation sqref="B142" showDropDown="0" showInputMessage="0" showErrorMessage="1" allowBlank="1" errorTitle="Texto longo" error="O que foi decidido: até 200 caracteres." type="textLength" errorStyle="warning" operator="lessThanOrEqual">
      <formula1>200</formula1>
    </dataValidation>
    <dataValidation sqref="B143" showDropDown="0" showInputMessage="0" showErrorMessage="1" allowBlank="1" errorTitle="Texto longo" error="O que foi decidido: até 200 caracteres." type="textLength" errorStyle="warning" operator="lessThanOrEqual">
      <formula1>200</formula1>
    </dataValidation>
    <dataValidation sqref="B146" showDropDown="0" showInputMessage="0" showErrorMessage="1" allowBlank="1" errorTitle="Texto longo" error="O que foi aceito, e como: até 200 caracteres." type="textLength" errorStyle="warning" operator="lessThanOrEqual">
      <formula1>200</formula1>
    </dataValidation>
    <dataValidation sqref="B147" showDropDown="0" showInputMessage="0" showErrorMessage="1" allowBlank="1" errorTitle="Texto longo" error="O que foi aceito, e como: até 200 caracteres." type="textLength" errorStyle="warning" operator="lessThanOrEqual">
      <formula1>200</formula1>
    </dataValidation>
    <dataValidation sqref="B148" showDropDown="0" showInputMessage="0" showErrorMessage="1" allowBlank="1" errorTitle="Texto longo" error="O que foi aceito, e como: até 200 caracteres." type="textLength" errorStyle="warning" operator="lessThanOrEqual">
      <formula1>200</formula1>
    </dataValidation>
    <dataValidation sqref="B149" showDropDown="0" showInputMessage="0" showErrorMessage="1" allowBlank="1" errorTitle="Texto longo" error="O que foi aceito, e como: até 200 caracteres." type="textLength" errorStyle="warning" operator="lessThanOrEqual">
      <formula1>200</formula1>
    </dataValidation>
    <dataValidation sqref="B150" showDropDown="0" showInputMessage="0" showErrorMessage="1" allowBlank="1" errorTitle="Texto longo" error="O que foi aceito, e como: até 200 caracteres." type="textLength" errorStyle="warning" operator="lessThanOrEqual">
      <formula1>200</formula1>
    </dataValidation>
    <dataValidation sqref="B151" showDropDown="0" showInputMessage="0" showErrorMessage="1" allowBlank="1" errorTitle="Texto longo" error="O que foi aceito, e como: até 200 caracteres." type="textLength" errorStyle="warning" operator="lessThanOrEqual">
      <formula1>200</formula1>
    </dataValidation>
    <dataValidation sqref="B152" showDropDown="0" showInputMessage="0" showErrorMessage="1" allowBlank="1" errorTitle="Texto longo" error="O que foi aceito, e como: até 200 caracteres." type="textLength" errorStyle="warning" operator="lessThanOrEqual">
      <formula1>200</formula1>
    </dataValidation>
    <dataValidation sqref="B153" showDropDown="0" showInputMessage="0" showErrorMessage="1" allowBlank="1" errorTitle="Texto longo" error="O que foi aceito, e como: até 200 caracteres." type="textLength" errorStyle="warning" operator="lessThanOrEqual">
      <formula1>200</formula1>
    </dataValidation>
    <dataValidation sqref="A156" showDropDown="0" showInputMessage="0" showErrorMessage="1" allowBlank="1" errorTitle="Texto longo" error="Nome: até 60 caracteres." type="textLength" errorStyle="warning" operator="lessThanOrEqual">
      <formula1>60</formula1>
    </dataValidation>
    <dataValidation sqref="B156" showDropDown="0" showInputMessage="0" showErrorMessage="1" allowBlank="1" errorTitle="Fora da lista" error="Tipo: escolha um valor da lista. A planilha pode não reconhecer outro valor." type="list" errorStyle="warning">
      <formula1>'Dados'!$CB$6:$CB$9</formula1>
    </dataValidation>
    <dataValidation sqref="D156" showDropDown="0" showInputMessage="0" showErrorMessage="1" allowBlank="1" errorTitle="Texto longo" error="Notas: até 200 caracteres." type="textLength" errorStyle="warning" operator="lessThanOrEqual">
      <formula1>200</formula1>
    </dataValidation>
    <dataValidation sqref="A157" showDropDown="0" showInputMessage="0" showErrorMessage="1" allowBlank="1" errorTitle="Texto longo" error="Nome: até 60 caracteres." type="textLength" errorStyle="warning" operator="lessThanOrEqual">
      <formula1>60</formula1>
    </dataValidation>
    <dataValidation sqref="B157" showDropDown="0" showInputMessage="0" showErrorMessage="1" allowBlank="1" errorTitle="Fora da lista" error="Tipo: escolha um valor da lista. A planilha pode não reconhecer outro valor." type="list" errorStyle="warning">
      <formula1>'Dados'!$CB$6:$CB$9</formula1>
    </dataValidation>
    <dataValidation sqref="D157" showDropDown="0" showInputMessage="0" showErrorMessage="1" allowBlank="1" errorTitle="Texto longo" error="Notas: até 200 caracteres." type="textLength" errorStyle="warning" operator="lessThanOrEqual">
      <formula1>200</formula1>
    </dataValidation>
    <dataValidation sqref="A158" showDropDown="0" showInputMessage="0" showErrorMessage="1" allowBlank="1" errorTitle="Texto longo" error="Nome: até 60 caracteres." type="textLength" errorStyle="warning" operator="lessThanOrEqual">
      <formula1>60</formula1>
    </dataValidation>
    <dataValidation sqref="B158" showDropDown="0" showInputMessage="0" showErrorMessage="1" allowBlank="1" errorTitle="Fora da lista" error="Tipo: escolha um valor da lista. A planilha pode não reconhecer outro valor." type="list" errorStyle="warning">
      <formula1>'Dados'!$CB$6:$CB$9</formula1>
    </dataValidation>
    <dataValidation sqref="D158" showDropDown="0" showInputMessage="0" showErrorMessage="1" allowBlank="1" errorTitle="Texto longo" error="Notas: até 200 caracteres." type="textLength" errorStyle="warning" operator="lessThanOrEqual">
      <formula1>200</formula1>
    </dataValidation>
    <dataValidation sqref="A159" showDropDown="0" showInputMessage="0" showErrorMessage="1" allowBlank="1" errorTitle="Texto longo" error="Nome: até 60 caracteres." type="textLength" errorStyle="warning" operator="lessThanOrEqual">
      <formula1>60</formula1>
    </dataValidation>
    <dataValidation sqref="B159" showDropDown="0" showInputMessage="0" showErrorMessage="1" allowBlank="1" errorTitle="Fora da lista" error="Tipo: escolha um valor da lista. A planilha pode não reconhecer outro valor." type="list" errorStyle="warning">
      <formula1>'Dados'!$CB$6:$CB$9</formula1>
    </dataValidation>
    <dataValidation sqref="D159" showDropDown="0" showInputMessage="0" showErrorMessage="1" allowBlank="1" errorTitle="Texto longo" error="Notas: até 200 caracteres." type="textLength" errorStyle="warning" operator="lessThanOrEqual">
      <formula1>200</formula1>
    </dataValidation>
    <dataValidation sqref="A160" showDropDown="0" showInputMessage="0" showErrorMessage="1" allowBlank="1" errorTitle="Texto longo" error="Nome: até 60 caracteres." type="textLength" errorStyle="warning" operator="lessThanOrEqual">
      <formula1>60</formula1>
    </dataValidation>
    <dataValidation sqref="B160" showDropDown="0" showInputMessage="0" showErrorMessage="1" allowBlank="1" errorTitle="Fora da lista" error="Tipo: escolha um valor da lista. A planilha pode não reconhecer outro valor." type="list" errorStyle="warning">
      <formula1>'Dados'!$CB$6:$CB$9</formula1>
    </dataValidation>
    <dataValidation sqref="D160" showDropDown="0" showInputMessage="0" showErrorMessage="1" allowBlank="1" errorTitle="Texto longo" error="Notas: até 200 caracteres." type="textLength" errorStyle="warning" operator="lessThanOrEqual">
      <formula1>200</formula1>
    </dataValidation>
    <dataValidation sqref="A161" showDropDown="0" showInputMessage="0" showErrorMessage="1" allowBlank="1" errorTitle="Texto longo" error="Nome: até 60 caracteres." type="textLength" errorStyle="warning" operator="lessThanOrEqual">
      <formula1>60</formula1>
    </dataValidation>
    <dataValidation sqref="B161" showDropDown="0" showInputMessage="0" showErrorMessage="1" allowBlank="1" errorTitle="Fora da lista" error="Tipo: escolha um valor da lista. A planilha pode não reconhecer outro valor." type="list" errorStyle="warning">
      <formula1>'Dados'!$CB$6:$CB$9</formula1>
    </dataValidation>
    <dataValidation sqref="D161" showDropDown="0" showInputMessage="0" showErrorMessage="1" allowBlank="1" errorTitle="Texto longo" error="Notas: até 200 caracteres." type="textLength" errorStyle="warning" operator="lessThanOrEqual">
      <formula1>200</formula1>
    </dataValidation>
    <dataValidation sqref="A162" showDropDown="0" showInputMessage="0" showErrorMessage="1" allowBlank="1" errorTitle="Texto longo" error="Nome: até 60 caracteres." type="textLength" errorStyle="warning" operator="lessThanOrEqual">
      <formula1>60</formula1>
    </dataValidation>
    <dataValidation sqref="B162" showDropDown="0" showInputMessage="0" showErrorMessage="1" allowBlank="1" errorTitle="Fora da lista" error="Tipo: escolha um valor da lista. A planilha pode não reconhecer outro valor." type="list" errorStyle="warning">
      <formula1>'Dados'!$CB$6:$CB$9</formula1>
    </dataValidation>
    <dataValidation sqref="D162" showDropDown="0" showInputMessage="0" showErrorMessage="1" allowBlank="1" errorTitle="Texto longo" error="Notas: até 200 caracteres." type="textLength" errorStyle="warning" operator="lessThanOrEqual">
      <formula1>200</formula1>
    </dataValidation>
    <dataValidation sqref="A163" showDropDown="0" showInputMessage="0" showErrorMessage="1" allowBlank="1" errorTitle="Texto longo" error="Nome: até 60 caracteres." type="textLength" errorStyle="warning" operator="lessThanOrEqual">
      <formula1>60</formula1>
    </dataValidation>
    <dataValidation sqref="B163" showDropDown="0" showInputMessage="0" showErrorMessage="1" allowBlank="1" errorTitle="Fora da lista" error="Tipo: escolha um valor da lista. A planilha pode não reconhecer outro valor." type="list" errorStyle="warning">
      <formula1>'Dados'!$CB$6:$CB$9</formula1>
    </dataValidation>
    <dataValidation sqref="D163" showDropDown="0" showInputMessage="0" showErrorMessage="1" allowBlank="1" errorTitle="Texto longo" error="Notas: até 200 caracteres." type="textLength" errorStyle="warning" operator="lessThanOrEqual">
      <formula1>200</formula1>
    </dataValidation>
    <dataValidation sqref="A164" showDropDown="0" showInputMessage="0" showErrorMessage="1" allowBlank="1" errorTitle="Texto longo" error="Nome: até 60 caracteres." type="textLength" errorStyle="warning" operator="lessThanOrEqual">
      <formula1>60</formula1>
    </dataValidation>
    <dataValidation sqref="B164" showDropDown="0" showInputMessage="0" showErrorMessage="1" allowBlank="1" errorTitle="Fora da lista" error="Tipo: escolha um valor da lista. A planilha pode não reconhecer outro valor." type="list" errorStyle="warning">
      <formula1>'Dados'!$CB$6:$CB$9</formula1>
    </dataValidation>
    <dataValidation sqref="D164" showDropDown="0" showInputMessage="0" showErrorMessage="1" allowBlank="1" errorTitle="Texto longo" error="Notas: até 200 caracteres." type="textLength" errorStyle="warning" operator="lessThanOrEqual">
      <formula1>200</formula1>
    </dataValidation>
    <dataValidation sqref="A165" showDropDown="0" showInputMessage="0" showErrorMessage="1" allowBlank="1" errorTitle="Texto longo" error="Nome: até 60 caracteres." type="textLength" errorStyle="warning" operator="lessThanOrEqual">
      <formula1>60</formula1>
    </dataValidation>
    <dataValidation sqref="B165" showDropDown="0" showInputMessage="0" showErrorMessage="1" allowBlank="1" errorTitle="Fora da lista" error="Tipo: escolha um valor da lista. A planilha pode não reconhecer outro valor." type="list" errorStyle="warning">
      <formula1>'Dados'!$CB$6:$CB$9</formula1>
    </dataValidation>
    <dataValidation sqref="D165" showDropDown="0" showInputMessage="0" showErrorMessage="1" allowBlank="1" errorTitle="Texto longo" error="Notas: até 200 caracteres." type="textLength" errorStyle="warning" operator="lessThanOrEqual">
      <formula1>200</formula1>
    </dataValidation>
    <dataValidation sqref="H169" showDropDown="0" showInputMessage="0" showErrorMessage="1" allowBlank="1" errorTitle="Fora da lista" error="Feito?: escolha um valor da lista. A planilha pode não reconhecer outro valor." type="list" errorStyle="warning">
      <formula1>'Dados'!$AT$6:$AT$7</formula1>
    </dataValidation>
    <dataValidation sqref="I169" showDropDown="0" showInputMessage="0" showErrorMessage="1" allowBlank="1" errorTitle="Texto longo" error="Nota: até 200 caracteres." type="textLength" errorStyle="warning" operator="lessThanOrEqual">
      <formula1>200</formula1>
    </dataValidation>
    <dataValidation sqref="H170" showDropDown="0" showInputMessage="0" showErrorMessage="1" allowBlank="1" errorTitle="Fora da lista" error="Feito?: escolha um valor da lista. A planilha pode não reconhecer outro valor." type="list" errorStyle="warning">
      <formula1>'Dados'!$AT$6:$AT$7</formula1>
    </dataValidation>
    <dataValidation sqref="I170" showDropDown="0" showInputMessage="0" showErrorMessage="1" allowBlank="1" errorTitle="Texto longo" error="Nota: até 200 caracteres." type="textLength" errorStyle="warning" operator="lessThanOrEqual">
      <formula1>200</formula1>
    </dataValidation>
    <dataValidation sqref="H171" showDropDown="0" showInputMessage="0" showErrorMessage="1" allowBlank="1" errorTitle="Fora da lista" error="Feito?: escolha um valor da lista. A planilha pode não reconhecer outro valor." type="list" errorStyle="warning">
      <formula1>'Dados'!$AT$6:$AT$7</formula1>
    </dataValidation>
    <dataValidation sqref="I171" showDropDown="0" showInputMessage="0" showErrorMessage="1" allowBlank="1" errorTitle="Texto longo" error="Nota: até 200 caracteres." type="textLength" errorStyle="warning" operator="lessThanOrEqual">
      <formula1>200</formula1>
    </dataValidation>
    <dataValidation sqref="H172" showDropDown="0" showInputMessage="0" showErrorMessage="1" allowBlank="1" errorTitle="Fora da lista" error="Feito?: escolha um valor da lista. A planilha pode não reconhecer outro valor." type="list" errorStyle="warning">
      <formula1>'Dados'!$AT$6:$AT$7</formula1>
    </dataValidation>
    <dataValidation sqref="I172" showDropDown="0" showInputMessage="0" showErrorMessage="1" allowBlank="1" errorTitle="Texto longo" error="Nota: até 200 caracteres." type="textLength" errorStyle="warning" operator="lessThanOrEqual">
      <formula1>200</formula1>
    </dataValidation>
    <dataValidation sqref="H173" showDropDown="0" showInputMessage="0" showErrorMessage="1" allowBlank="1" errorTitle="Fora da lista" error="Feito?: escolha um valor da lista. A planilha pode não reconhecer outro valor." type="list" errorStyle="warning">
      <formula1>'Dados'!$AT$6:$AT$7</formula1>
    </dataValidation>
    <dataValidation sqref="I173" showDropDown="0" showInputMessage="0" showErrorMessage="1" allowBlank="1" errorTitle="Texto longo" error="Nota: até 200 caracteres." type="textLength" errorStyle="warning" operator="lessThanOrEqual">
      <formula1>200</formula1>
    </dataValidation>
    <dataValidation sqref="H174" showDropDown="0" showInputMessage="0" showErrorMessage="1" allowBlank="1" errorTitle="Fora da lista" error="Feito?: escolha um valor da lista. A planilha pode não reconhecer outro valor." type="list" errorStyle="warning">
      <formula1>'Dados'!$AT$6:$AT$7</formula1>
    </dataValidation>
    <dataValidation sqref="I174" showDropDown="0" showInputMessage="0" showErrorMessage="1" allowBlank="1" errorTitle="Texto longo" error="Nota: até 200 caracteres." type="textLength" errorStyle="warning" operator="lessThanOrEqual">
      <formula1>200</formula1>
    </dataValidation>
    <dataValidation sqref="H175" showDropDown="0" showInputMessage="0" showErrorMessage="1" allowBlank="1" errorTitle="Fora da lista" error="Feito?: escolha um valor da lista. A planilha pode não reconhecer outro valor." type="list" errorStyle="warning">
      <formula1>'Dados'!$AT$6:$AT$7</formula1>
    </dataValidation>
    <dataValidation sqref="I175" showDropDown="0" showInputMessage="0" showErrorMessage="1" allowBlank="1" errorTitle="Texto longo" error="Nota: até 200 caracteres." type="textLength" errorStyle="warning" operator="lessThanOrEqual">
      <formula1>200</formula1>
    </dataValidation>
    <dataValidation sqref="H176" showDropDown="0" showInputMessage="0" showErrorMessage="1" allowBlank="1" errorTitle="Fora da lista" error="Feito?: escolha um valor da lista. A planilha pode não reconhecer outro valor." type="list" errorStyle="warning">
      <formula1>'Dados'!$AT$6:$AT$7</formula1>
    </dataValidation>
    <dataValidation sqref="I176" showDropDown="0" showInputMessage="0" showErrorMessage="1" allowBlank="1" errorTitle="Texto longo" error="Nota: até 200 caracteres." type="textLength" errorStyle="warning" operator="lessThanOrEqual">
      <formula1>200</formula1>
    </dataValidation>
    <dataValidation sqref="H177" showDropDown="0" showInputMessage="0" showErrorMessage="1" allowBlank="1" errorTitle="Fora da lista" error="Feito?: escolha um valor da lista. A planilha pode não reconhecer outro valor." type="list" errorStyle="warning">
      <formula1>'Dados'!$AT$6:$AT$7</formula1>
    </dataValidation>
    <dataValidation sqref="I177" showDropDown="0" showInputMessage="0" showErrorMessage="1" allowBlank="1" errorTitle="Texto longo" error="Nota: até 200 caracteres." type="textLength" errorStyle="warning" operator="lessThanOrEqual">
      <formula1>200</formula1>
    </dataValidation>
    <dataValidation sqref="H178" showDropDown="0" showInputMessage="0" showErrorMessage="1" allowBlank="1" errorTitle="Fora da lista" error="Feito?: escolha um valor da lista. A planilha pode não reconhecer outro valor." type="list" errorStyle="warning">
      <formula1>'Dados'!$AT$6:$AT$7</formula1>
    </dataValidation>
    <dataValidation sqref="I178" showDropDown="0" showInputMessage="0" showErrorMessage="1" allowBlank="1" errorTitle="Texto longo" error="Nota: até 200 caracteres." type="textLength" errorStyle="warning" operator="lessThanOrEqual">
      <formula1>200</formula1>
    </dataValidation>
    <dataValidation sqref="H179" showDropDown="0" showInputMessage="0" showErrorMessage="1" allowBlank="1" errorTitle="Fora da lista" error="Feito?: escolha um valor da lista. A planilha pode não reconhecer outro valor." type="list" errorStyle="warning">
      <formula1>'Dados'!$AT$6:$AT$7</formula1>
    </dataValidation>
    <dataValidation sqref="I179" showDropDown="0" showInputMessage="0" showErrorMessage="1" allowBlank="1" errorTitle="Texto longo" error="Nota: até 200 caracteres." type="textLength" errorStyle="warning" operator="lessThanOrEqual">
      <formula1>200</formula1>
    </dataValidation>
    <dataValidation sqref="H180" showDropDown="0" showInputMessage="0" showErrorMessage="1" allowBlank="1" errorTitle="Fora da lista" error="Feito?: escolha um valor da lista. A planilha pode não reconhecer outro valor." type="list" errorStyle="warning">
      <formula1>'Dados'!$AT$6:$AT$7</formula1>
    </dataValidation>
    <dataValidation sqref="I180" showDropDown="0" showInputMessage="0" showErrorMessage="1" allowBlank="1" errorTitle="Texto longo" error="Nota: até 200 caracteres." type="textLength" errorStyle="warning" operator="lessThanOrEqual">
      <formula1>200</formula1>
    </dataValidation>
    <dataValidation sqref="H181" showDropDown="0" showInputMessage="0" showErrorMessage="1" allowBlank="1" errorTitle="Fora da lista" error="Feito?: escolha um valor da lista. A planilha pode não reconhecer outro valor." type="list" errorStyle="warning">
      <formula1>'Dados'!$AT$6:$AT$7</formula1>
    </dataValidation>
    <dataValidation sqref="I181" showDropDown="0" showInputMessage="0" showErrorMessage="1" allowBlank="1" errorTitle="Texto longo" error="Nota: até 200 caracteres." type="textLength" errorStyle="warning" operator="lessThanOrEqual">
      <formula1>200</formula1>
    </dataValidation>
    <dataValidation sqref="H183" showDropDown="0" showInputMessage="0" showErrorMessage="1" allowBlank="1" errorTitle="Fora da lista" error="Feito?: escolha um valor da lista. A planilha pode não reconhecer outro valor." type="list" errorStyle="warning">
      <formula1>'Dados'!$AT$6:$AT$7</formula1>
    </dataValidation>
    <dataValidation sqref="I183" showDropDown="0" showInputMessage="0" showErrorMessage="1" allowBlank="1" errorTitle="Texto longo" error="Nota: até 200 caracteres." type="textLength" errorStyle="warning" operator="lessThanOrEqual">
      <formula1>200</formula1>
    </dataValidation>
    <dataValidation sqref="H184" showDropDown="0" showInputMessage="0" showErrorMessage="1" allowBlank="1" errorTitle="Fora da lista" error="Feito?: escolha um valor da lista. A planilha pode não reconhecer outro valor." type="list" errorStyle="warning">
      <formula1>'Dados'!$AT$6:$AT$7</formula1>
    </dataValidation>
    <dataValidation sqref="I184" showDropDown="0" showInputMessage="0" showErrorMessage="1" allowBlank="1" errorTitle="Texto longo" error="Nota: até 200 caracteres." type="textLength" errorStyle="warning" operator="lessThanOrEqual">
      <formula1>200</formula1>
    </dataValidation>
    <dataValidation sqref="H185" showDropDown="0" showInputMessage="0" showErrorMessage="1" allowBlank="1" errorTitle="Fora da lista" error="Feito?: escolha um valor da lista. A planilha pode não reconhecer outro valor." type="list" errorStyle="warning">
      <formula1>'Dados'!$AT$6:$AT$7</formula1>
    </dataValidation>
    <dataValidation sqref="I185" showDropDown="0" showInputMessage="0" showErrorMessage="1" allowBlank="1" errorTitle="Texto longo" error="Nota: até 200 caracteres." type="textLength" errorStyle="warning" operator="lessThanOrEqual">
      <formula1>200</formula1>
    </dataValidation>
    <dataValidation sqref="B188" showDropDown="0" showInputMessage="0" showErrorMessage="1" allowBlank="1" errorTitle="Texto longo" error="Tom: até 200 caracteres." type="textLength" errorStyle="warning" operator="lessThanOrEqual">
      <formula1>200</formula1>
    </dataValidation>
    <dataValidation sqref="B189" showDropDown="0" showInputMessage="0" showErrorMessage="1" allowBlank="1" errorTitle="Texto longo" error="Temas: até 200 caracteres." type="textLength" errorStyle="warning" operator="lessThanOrEqual">
      <formula1>200</formula1>
    </dataValidation>
    <dataValidation sqref="B190" showDropDown="0" showInputMessage="0" showErrorMessage="1" allowBlank="1" errorTitle="Texto longo" error="Linhas (não entram em jogo): até 200 caracteres." type="textLength" errorStyle="warning" operator="lessThanOrEqual">
      <formula1>200</formula1>
    </dataValidation>
    <dataValidation sqref="B191" showDropDown="0" showInputMessage="0" showErrorMessage="1" allowBlank="1" errorTitle="Texto longo" error="Véus (acontecem fora de cena): até 200 caracteres." type="textLength" errorStyle="warning" operator="lessThanOrEqual">
      <formula1>200</formula1>
    </dataValidation>
    <dataValidation sqref="B192" showDropDown="0" showInputMessage="0" showErrorMessage="1" allowBlank="1" errorTitle="Texto longo" error="Expectativas da mesa: até 200 caracteres." type="textLength" errorStyle="warning" operator="lessThanOrEqual">
      <formula1>200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85"/>
  <sheetViews>
    <sheetView showGridLines="1" workbookViewId="0">
      <selection activeCell="A1" sqref="A1"/>
    </sheetView>
  </sheetViews>
  <sheetFormatPr baseColWidth="8" defaultRowHeight="15"/>
  <cols>
    <col width="20.786" customWidth="1" min="1" max="1"/>
    <col width="13.643" customWidth="1" min="2" max="2"/>
    <col width="16.5" customWidth="1" min="3" max="3"/>
    <col width="17.214" customWidth="1" min="4" max="4"/>
    <col width="15.786" customWidth="1" min="5" max="5"/>
    <col width="13.643" customWidth="1" min="6" max="6"/>
    <col width="13.643" customWidth="1" min="7" max="7"/>
    <col width="15.786" customWidth="1" min="8" max="8"/>
    <col width="13.643" customWidth="1" min="9" max="9"/>
    <col width="13.643" customWidth="1" min="10" max="10"/>
    <col width="16.214" customWidth="1" min="11" max="11"/>
    <col width="15.929" customWidth="1" min="12" max="12"/>
    <col hidden="1" width="13" customWidth="1" min="13" max="13"/>
    <col hidden="1" width="13" customWidth="1" min="14" max="14"/>
    <col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24" customHeight="1">
      <c r="A1" s="1" t="inlineStr">
        <is>
          <t>Grupo — Explorando Galáxias v1.2</t>
        </is>
      </c>
    </row>
    <row r="2" ht="26"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Os personagens jogadores, copiados da ficha de cada jogador (uma linha por PJ).</t>
        </is>
      </c>
    </row>
    <row r="4"/>
    <row r="5" ht="20" customHeight="1">
      <c r="A5" s="13" t="inlineStr">
        <is>
          <t>G1 · Quem é (preencha, da ficha de cada jogador)</t>
        </is>
      </c>
    </row>
    <row r="6" ht="26" customHeight="1">
      <c r="A6" s="8" t="inlineStr">
        <is>
          <t>Nome do PJ</t>
        </is>
      </c>
      <c r="B6" s="8" t="inlineStr">
        <is>
          <t>Jogador</t>
        </is>
      </c>
      <c r="C6" s="8" t="inlineStr">
        <is>
          <t>Raça</t>
        </is>
      </c>
      <c r="D6" s="8" t="inlineStr">
        <is>
          <t>Caminho</t>
        </is>
      </c>
      <c r="E6" s="8" t="inlineStr">
        <is>
          <t>Elemento</t>
        </is>
      </c>
      <c r="F6" s="8" t="inlineStr">
        <is>
          <t>Propósito de Vida</t>
        </is>
      </c>
      <c r="G6" s="20" t="n"/>
      <c r="H6" s="20" t="n"/>
      <c r="I6" s="8" t="inlineStr">
        <is>
          <t>Crença do Esforço (Humano)</t>
        </is>
      </c>
      <c r="J6" s="20" t="n"/>
      <c r="K6" s="8" t="inlineStr">
        <is>
          <t>Aviso</t>
        </is>
      </c>
      <c r="L6" s="20" t="n"/>
    </row>
    <row r="7" ht="60" customHeight="1">
      <c r="A7" s="33" t="n"/>
      <c r="B7" s="4" t="n"/>
      <c r="C7" s="4" t="n"/>
      <c r="D7" s="4" t="n"/>
      <c r="E7" s="4" t="n"/>
      <c r="F7" s="4" t="n"/>
      <c r="G7" s="25" t="n"/>
      <c r="H7" s="17" t="n"/>
      <c r="I7" s="4" t="n"/>
      <c r="J7" s="17" t="n"/>
      <c r="K7" s="19">
        <f>IF(Z7&gt;0,"O Google leu como fórmula: escolha de novo ou digite com ' na frente.",IF(AND(LEN($R$7)&gt;0,COUNTIF('Dados'!$A$350:$A$356,$R$7)=0),"Raça fora da lista do capítulo 05",IF(AND(LEN($T$7)&gt;0,COUNTIF($T$7:$T$12,$T$7)&gt;1),"Elemento repetido no grupo: cuidado com a Resistência (regra irmã, 27.5)",IF(AND(LEN($P$7)=0,LEN($R$7&amp;$T$7&amp;$S$7)&gt;0),"Linha sem nome: o PJ não entra na contagem",""))))</f>
        <v/>
      </c>
      <c r="P7" s="2">
        <f>IF(ISERROR($A$7),"",IF(ISBLANK($A$7),"",$A$7))</f>
        <v/>
      </c>
      <c r="R7" s="2">
        <f>IF(ISERROR($C$7),"",IF(ISBLANK($C$7),"",$C$7))</f>
        <v/>
      </c>
      <c r="S7" s="2">
        <f>IF(ISERROR($D$7),"",IF(ISBLANK($D$7),"",$D$7))</f>
        <v/>
      </c>
      <c r="T7" s="2">
        <f>IF(ISERROR($E$7),"",IF(ISBLANK($E$7),"",$E$7))</f>
        <v/>
      </c>
      <c r="U7" s="2">
        <f>IF(ISERROR($F$7),"",IF(ISBLANK($F$7),"",$F$7))</f>
        <v/>
      </c>
      <c r="Z7" s="2">
        <f>ISERROR($A$7)*1+ISERROR($B$7)*1+ISERROR($C$7)*1+ISERROR($D$7)*1+ISERROR($E$7)*1+ISERROR($F$7)*1+ISERROR($I$7)*1</f>
        <v/>
      </c>
    </row>
    <row r="8" ht="60" customHeight="1">
      <c r="A8" s="35" t="n"/>
      <c r="B8" s="29" t="n"/>
      <c r="C8" s="29" t="n"/>
      <c r="D8" s="29" t="n"/>
      <c r="E8" s="29" t="n"/>
      <c r="F8" s="29" t="n"/>
      <c r="G8" s="25" t="n"/>
      <c r="H8" s="17" t="n"/>
      <c r="I8" s="29" t="n"/>
      <c r="J8" s="17" t="n"/>
      <c r="K8" s="27">
        <f>IF(Z8&gt;0,"O Google leu como fórmula: escolha de novo ou digite com ' na frente.",IF(AND(LEN($R$8)&gt;0,COUNTIF('Dados'!$A$350:$A$356,$R$8)=0),"Raça fora da lista do capítulo 05",IF(AND(LEN($T$8)&gt;0,COUNTIF($T$7:$T$12,$T$8)&gt;1),"Elemento repetido no grupo: cuidado com a Resistência (regra irmã, 27.5)",IF(AND(LEN($P$8)=0,LEN($R$8&amp;$T$8&amp;$S$8)&gt;0),"Linha sem nome: o PJ não entra na contagem",""))))</f>
        <v/>
      </c>
      <c r="P8" s="2">
        <f>IF(ISERROR($A$8),"",IF(ISBLANK($A$8),"",$A$8))</f>
        <v/>
      </c>
      <c r="R8" s="2">
        <f>IF(ISERROR($C$8),"",IF(ISBLANK($C$8),"",$C$8))</f>
        <v/>
      </c>
      <c r="S8" s="2">
        <f>IF(ISERROR($D$8),"",IF(ISBLANK($D$8),"",$D$8))</f>
        <v/>
      </c>
      <c r="T8" s="2">
        <f>IF(ISERROR($E$8),"",IF(ISBLANK($E$8),"",$E$8))</f>
        <v/>
      </c>
      <c r="U8" s="2">
        <f>IF(ISERROR($F$8),"",IF(ISBLANK($F$8),"",$F$8))</f>
        <v/>
      </c>
      <c r="Z8" s="2">
        <f>ISERROR($A$8)*1+ISERROR($B$8)*1+ISERROR($C$8)*1+ISERROR($D$8)*1+ISERROR($E$8)*1+ISERROR($F$8)*1+ISERROR($I$8)*1</f>
        <v/>
      </c>
    </row>
    <row r="9" ht="60" customHeight="1">
      <c r="A9" s="33" t="n"/>
      <c r="B9" s="4" t="n"/>
      <c r="C9" s="4" t="n"/>
      <c r="D9" s="4" t="n"/>
      <c r="E9" s="4" t="n"/>
      <c r="F9" s="4" t="n"/>
      <c r="G9" s="25" t="n"/>
      <c r="H9" s="17" t="n"/>
      <c r="I9" s="4" t="n"/>
      <c r="J9" s="17" t="n"/>
      <c r="K9" s="19">
        <f>IF(Z9&gt;0,"O Google leu como fórmula: escolha de novo ou digite com ' na frente.",IF(AND(LEN($R$9)&gt;0,COUNTIF('Dados'!$A$350:$A$356,$R$9)=0),"Raça fora da lista do capítulo 05",IF(AND(LEN($T$9)&gt;0,COUNTIF($T$7:$T$12,$T$9)&gt;1),"Elemento repetido no grupo: cuidado com a Resistência (regra irmã, 27.5)",IF(AND(LEN($P$9)=0,LEN($R$9&amp;$T$9&amp;$S$9)&gt;0),"Linha sem nome: o PJ não entra na contagem",""))))</f>
        <v/>
      </c>
      <c r="P9" s="2">
        <f>IF(ISERROR($A$9),"",IF(ISBLANK($A$9),"",$A$9))</f>
        <v/>
      </c>
      <c r="R9" s="2">
        <f>IF(ISERROR($C$9),"",IF(ISBLANK($C$9),"",$C$9))</f>
        <v/>
      </c>
      <c r="S9" s="2">
        <f>IF(ISERROR($D$9),"",IF(ISBLANK($D$9),"",$D$9))</f>
        <v/>
      </c>
      <c r="T9" s="2">
        <f>IF(ISERROR($E$9),"",IF(ISBLANK($E$9),"",$E$9))</f>
        <v/>
      </c>
      <c r="U9" s="2">
        <f>IF(ISERROR($F$9),"",IF(ISBLANK($F$9),"",$F$9))</f>
        <v/>
      </c>
      <c r="Z9" s="2">
        <f>ISERROR($A$9)*1+ISERROR($B$9)*1+ISERROR($C$9)*1+ISERROR($D$9)*1+ISERROR($E$9)*1+ISERROR($F$9)*1+ISERROR($I$9)*1</f>
        <v/>
      </c>
    </row>
    <row r="10" ht="60" customHeight="1">
      <c r="A10" s="35" t="n"/>
      <c r="B10" s="29" t="n"/>
      <c r="C10" s="29" t="n"/>
      <c r="D10" s="29" t="n"/>
      <c r="E10" s="29" t="n"/>
      <c r="F10" s="29" t="n"/>
      <c r="G10" s="25" t="n"/>
      <c r="H10" s="17" t="n"/>
      <c r="I10" s="29" t="n"/>
      <c r="J10" s="17" t="n"/>
      <c r="K10" s="27">
        <f>IF(Z10&gt;0,"O Google leu como fórmula: escolha de novo ou digite com ' na frente.",IF(AND(LEN($R$10)&gt;0,COUNTIF('Dados'!$A$350:$A$356,$R$10)=0),"Raça fora da lista do capítulo 05",IF(AND(LEN($T$10)&gt;0,COUNTIF($T$7:$T$12,$T$10)&gt;1),"Elemento repetido no grupo: cuidado com a Resistência (regra irmã, 27.5)",IF(AND(LEN($P$10)=0,LEN($R$10&amp;$T$10&amp;$S$10)&gt;0),"Linha sem nome: o PJ não entra na contagem",""))))</f>
        <v/>
      </c>
      <c r="P10" s="2">
        <f>IF(ISERROR($A$10),"",IF(ISBLANK($A$10),"",$A$10))</f>
        <v/>
      </c>
      <c r="R10" s="2">
        <f>IF(ISERROR($C$10),"",IF(ISBLANK($C$10),"",$C$10))</f>
        <v/>
      </c>
      <c r="S10" s="2">
        <f>IF(ISERROR($D$10),"",IF(ISBLANK($D$10),"",$D$10))</f>
        <v/>
      </c>
      <c r="T10" s="2">
        <f>IF(ISERROR($E$10),"",IF(ISBLANK($E$10),"",$E$10))</f>
        <v/>
      </c>
      <c r="U10" s="2">
        <f>IF(ISERROR($F$10),"",IF(ISBLANK($F$10),"",$F$10))</f>
        <v/>
      </c>
      <c r="Z10" s="2">
        <f>ISERROR($A$10)*1+ISERROR($B$10)*1+ISERROR($C$10)*1+ISERROR($D$10)*1+ISERROR($E$10)*1+ISERROR($F$10)*1+ISERROR($I$10)*1</f>
        <v/>
      </c>
    </row>
    <row r="11" ht="60" customHeight="1">
      <c r="A11" s="33" t="n"/>
      <c r="B11" s="4" t="n"/>
      <c r="C11" s="4" t="n"/>
      <c r="D11" s="4" t="n"/>
      <c r="E11" s="4" t="n"/>
      <c r="F11" s="4" t="n"/>
      <c r="G11" s="25" t="n"/>
      <c r="H11" s="17" t="n"/>
      <c r="I11" s="4" t="n"/>
      <c r="J11" s="17" t="n"/>
      <c r="K11" s="19">
        <f>IF(Z11&gt;0,"O Google leu como fórmula: escolha de novo ou digite com ' na frente.",IF(AND(LEN($R$11)&gt;0,COUNTIF('Dados'!$A$350:$A$356,$R$11)=0),"Raça fora da lista do capítulo 05",IF(AND(LEN($T$11)&gt;0,COUNTIF($T$7:$T$12,$T$11)&gt;1),"Elemento repetido no grupo: cuidado com a Resistência (regra irmã, 27.5)",IF(AND(LEN($P$11)=0,LEN($R$11&amp;$T$11&amp;$S$11)&gt;0),"Linha sem nome: o PJ não entra na contagem",""))))</f>
        <v/>
      </c>
      <c r="P11" s="2">
        <f>IF(ISERROR($A$11),"",IF(ISBLANK($A$11),"",$A$11))</f>
        <v/>
      </c>
      <c r="R11" s="2">
        <f>IF(ISERROR($C$11),"",IF(ISBLANK($C$11),"",$C$11))</f>
        <v/>
      </c>
      <c r="S11" s="2">
        <f>IF(ISERROR($D$11),"",IF(ISBLANK($D$11),"",$D$11))</f>
        <v/>
      </c>
      <c r="T11" s="2">
        <f>IF(ISERROR($E$11),"",IF(ISBLANK($E$11),"",$E$11))</f>
        <v/>
      </c>
      <c r="U11" s="2">
        <f>IF(ISERROR($F$11),"",IF(ISBLANK($F$11),"",$F$11))</f>
        <v/>
      </c>
      <c r="Z11" s="2">
        <f>ISERROR($A$11)*1+ISERROR($B$11)*1+ISERROR($C$11)*1+ISERROR($D$11)*1+ISERROR($E$11)*1+ISERROR($F$11)*1+ISERROR($I$11)*1</f>
        <v/>
      </c>
    </row>
    <row r="12" ht="60" customHeight="1">
      <c r="A12" s="35" t="n"/>
      <c r="B12" s="29" t="n"/>
      <c r="C12" s="29" t="n"/>
      <c r="D12" s="29" t="n"/>
      <c r="E12" s="29" t="n"/>
      <c r="F12" s="29" t="n"/>
      <c r="G12" s="25" t="n"/>
      <c r="H12" s="17" t="n"/>
      <c r="I12" s="29" t="n"/>
      <c r="J12" s="17" t="n"/>
      <c r="K12" s="27">
        <f>IF(Z12&gt;0,"O Google leu como fórmula: escolha de novo ou digite com ' na frente.",IF(AND(LEN($R$12)&gt;0,COUNTIF('Dados'!$A$350:$A$356,$R$12)=0),"Raça fora da lista do capítulo 05",IF(AND(LEN($T$12)&gt;0,COUNTIF($T$7:$T$12,$T$12)&gt;1),"Elemento repetido no grupo: cuidado com a Resistência (regra irmã, 27.5)",IF(AND(LEN($P$12)=0,LEN($R$12&amp;$T$12&amp;$S$12)&gt;0),"Linha sem nome: o PJ não entra na contagem",""))))</f>
        <v/>
      </c>
      <c r="P12" s="2">
        <f>IF(ISERROR($A$12),"",IF(ISBLANK($A$12),"",$A$12))</f>
        <v/>
      </c>
      <c r="R12" s="2">
        <f>IF(ISERROR($C$12),"",IF(ISBLANK($C$12),"",$C$12))</f>
        <v/>
      </c>
      <c r="S12" s="2">
        <f>IF(ISERROR($D$12),"",IF(ISBLANK($D$12),"",$D$12))</f>
        <v/>
      </c>
      <c r="T12" s="2">
        <f>IF(ISERROR($E$12),"",IF(ISBLANK($E$12),"",$E$12))</f>
        <v/>
      </c>
      <c r="U12" s="2">
        <f>IF(ISERROR($F$12),"",IF(ISBLANK($F$12),"",$F$12))</f>
        <v/>
      </c>
      <c r="Z12" s="2">
        <f>ISERROR($A$12)*1+ISERROR($B$12)*1+ISERROR($C$12)*1+ISERROR($D$12)*1+ISERROR($E$12)*1+ISERROR($F$12)*1+ISERROR($I$12)*1</f>
        <v/>
      </c>
    </row>
    <row r="13"/>
    <row r="14" ht="20" customHeight="1">
      <c r="A14" s="13" t="inlineStr">
        <is>
          <t>G2 · Números de combate (preencha, da aba Em Jogo da ficha)</t>
        </is>
      </c>
    </row>
    <row r="15" ht="26" customHeight="1">
      <c r="A15" s="8" t="inlineStr">
        <is>
          <t>PJ</t>
        </is>
      </c>
      <c r="B15" s="8" t="inlineStr">
        <is>
          <t>PV máx.</t>
        </is>
      </c>
      <c r="C15" s="8" t="inlineStr">
        <is>
          <t>Defesa</t>
        </is>
      </c>
      <c r="D15" s="8" t="inlineStr">
        <is>
          <t>Esquiva</t>
        </is>
      </c>
      <c r="E15" s="8" t="inlineStr">
        <is>
          <t>RD</t>
        </is>
      </c>
      <c r="F15" s="8" t="inlineStr">
        <is>
          <t>VEL</t>
        </is>
      </c>
      <c r="G15" s="8" t="inlineStr">
        <is>
          <t>Bônus de Agilidade</t>
        </is>
      </c>
      <c r="H15" s="8" t="inlineStr">
        <is>
          <t>Bônus de Discernimento</t>
        </is>
      </c>
      <c r="I15" s="8" t="inlineStr">
        <is>
          <t>Bônus de Presença</t>
        </is>
      </c>
      <c r="J15" s="8" t="inlineStr">
        <is>
          <t>DT das Habilidades</t>
        </is>
      </c>
      <c r="K15" s="8" t="inlineStr">
        <is>
          <t>Aviso</t>
        </is>
      </c>
      <c r="L15" s="20" t="n"/>
    </row>
    <row r="16" ht="26" customHeight="1">
      <c r="A16" s="31">
        <f>IF(LEN($P$7)&gt;0,$P$7,"PJ 1")</f>
        <v/>
      </c>
      <c r="B16" s="16" t="n"/>
      <c r="C16" s="16" t="n"/>
      <c r="D16" s="16" t="n"/>
      <c r="E16" s="16" t="n"/>
      <c r="F16" s="16" t="n"/>
      <c r="G16" s="16" t="n"/>
      <c r="H16" s="16" t="n"/>
      <c r="I16" s="16" t="n"/>
      <c r="J16" s="16" t="n"/>
      <c r="K16" s="19">
        <f>IF(Z16&gt;0,"O Google leu como fórmula: digite de novo com ' na frente.",IF(AND(ISNUMBER($U$16),OR($U$16&lt;7,$U$16&gt;25)),"VEL fora dos extremos 7 a 25 da fórmula: confira na ficha (19.1)",IF(OR(AND(ISNUMBER($V$16),OR($V$16&lt;-1,$V$16&gt;5)),AND(ISNUMBER($W$16),OR($W$16&lt;-1,$W$16&gt;5)),AND(ISNUMBER($X$16),OR($X$16&lt;-1,$X$16&gt;5))),"Bônus de Atributo fora de -1 a +5: confira na ficha",IF(AND(ISNUMBER($Q$16),OR($Q$16&lt;1,$Q$16&gt;999)),"PV fora de 1 a 999: confira na ficha",""))))</f>
        <v/>
      </c>
      <c r="Q16" s="2">
        <f>IF(ISERROR($B$16),"",IF(ISBLANK($B$16),"",$B$16))</f>
        <v/>
      </c>
      <c r="U16" s="2">
        <f>IF(ISERROR($F$16),"",IF(ISBLANK($F$16),"",$F$16))</f>
        <v/>
      </c>
      <c r="V16" s="2">
        <f>IF(ISERROR($G$16),"",IF(ISBLANK($G$16),"",$G$16))</f>
        <v/>
      </c>
      <c r="W16" s="2">
        <f>IF(ISERROR($H$16),"",IF(ISBLANK($H$16),"",$H$16))</f>
        <v/>
      </c>
      <c r="X16" s="2">
        <f>IF(ISERROR($I$16),"",IF(ISBLANK($I$16),"",$I$16))</f>
        <v/>
      </c>
      <c r="Z16" s="2">
        <f>ISERROR($B$16)*1+ISERROR($C$16)*1+ISERROR($D$16)*1+ISERROR($E$16)*1+ISERROR($F$16)*1+ISERROR($G$16)*1+ISERROR($H$16)*1+ISERROR($I$16)*1+ISERROR($J$16)*1</f>
        <v/>
      </c>
    </row>
    <row r="17" ht="26" customHeight="1">
      <c r="A17" s="43">
        <f>IF(LEN($P$8)&gt;0,$P$8,"PJ 2")</f>
        <v/>
      </c>
      <c r="B17" s="37" t="n"/>
      <c r="C17" s="37" t="n"/>
      <c r="D17" s="37" t="n"/>
      <c r="E17" s="37" t="n"/>
      <c r="F17" s="37" t="n"/>
      <c r="G17" s="37" t="n"/>
      <c r="H17" s="37" t="n"/>
      <c r="I17" s="37" t="n"/>
      <c r="J17" s="37" t="n"/>
      <c r="K17" s="27">
        <f>IF(Z17&gt;0,"O Google leu como fórmula: digite de novo com ' na frente.",IF(AND(ISNUMBER($U$17),OR($U$17&lt;7,$U$17&gt;25)),"VEL fora dos extremos 7 a 25 da fórmula: confira na ficha (19.1)",IF(OR(AND(ISNUMBER($V$17),OR($V$17&lt;-1,$V$17&gt;5)),AND(ISNUMBER($W$17),OR($W$17&lt;-1,$W$17&gt;5)),AND(ISNUMBER($X$17),OR($X$17&lt;-1,$X$17&gt;5))),"Bônus de Atributo fora de -1 a +5: confira na ficha",IF(AND(ISNUMBER($Q$17),OR($Q$17&lt;1,$Q$17&gt;999)),"PV fora de 1 a 999: confira na ficha",""))))</f>
        <v/>
      </c>
      <c r="Q17" s="2">
        <f>IF(ISERROR($B$17),"",IF(ISBLANK($B$17),"",$B$17))</f>
        <v/>
      </c>
      <c r="U17" s="2">
        <f>IF(ISERROR($F$17),"",IF(ISBLANK($F$17),"",$F$17))</f>
        <v/>
      </c>
      <c r="V17" s="2">
        <f>IF(ISERROR($G$17),"",IF(ISBLANK($G$17),"",$G$17))</f>
        <v/>
      </c>
      <c r="W17" s="2">
        <f>IF(ISERROR($H$17),"",IF(ISBLANK($H$17),"",$H$17))</f>
        <v/>
      </c>
      <c r="X17" s="2">
        <f>IF(ISERROR($I$17),"",IF(ISBLANK($I$17),"",$I$17))</f>
        <v/>
      </c>
      <c r="Z17" s="2">
        <f>ISERROR($B$17)*1+ISERROR($C$17)*1+ISERROR($D$17)*1+ISERROR($E$17)*1+ISERROR($F$17)*1+ISERROR($G$17)*1+ISERROR($H$17)*1+ISERROR($I$17)*1+ISERROR($J$17)*1</f>
        <v/>
      </c>
    </row>
    <row r="18" ht="26" customHeight="1">
      <c r="A18" s="31">
        <f>IF(LEN($P$9)&gt;0,$P$9,"PJ 3")</f>
        <v/>
      </c>
      <c r="B18" s="16" t="n"/>
      <c r="C18" s="16" t="n"/>
      <c r="D18" s="16" t="n"/>
      <c r="E18" s="16" t="n"/>
      <c r="F18" s="16" t="n"/>
      <c r="G18" s="16" t="n"/>
      <c r="H18" s="16" t="n"/>
      <c r="I18" s="16" t="n"/>
      <c r="J18" s="16" t="n"/>
      <c r="K18" s="19">
        <f>IF(Z18&gt;0,"O Google leu como fórmula: digite de novo com ' na frente.",IF(AND(ISNUMBER($U$18),OR($U$18&lt;7,$U$18&gt;25)),"VEL fora dos extremos 7 a 25 da fórmula: confira na ficha (19.1)",IF(OR(AND(ISNUMBER($V$18),OR($V$18&lt;-1,$V$18&gt;5)),AND(ISNUMBER($W$18),OR($W$18&lt;-1,$W$18&gt;5)),AND(ISNUMBER($X$18),OR($X$18&lt;-1,$X$18&gt;5))),"Bônus de Atributo fora de -1 a +5: confira na ficha",IF(AND(ISNUMBER($Q$18),OR($Q$18&lt;1,$Q$18&gt;999)),"PV fora de 1 a 999: confira na ficha",""))))</f>
        <v/>
      </c>
      <c r="Q18" s="2">
        <f>IF(ISERROR($B$18),"",IF(ISBLANK($B$18),"",$B$18))</f>
        <v/>
      </c>
      <c r="U18" s="2">
        <f>IF(ISERROR($F$18),"",IF(ISBLANK($F$18),"",$F$18))</f>
        <v/>
      </c>
      <c r="V18" s="2">
        <f>IF(ISERROR($G$18),"",IF(ISBLANK($G$18),"",$G$18))</f>
        <v/>
      </c>
      <c r="W18" s="2">
        <f>IF(ISERROR($H$18),"",IF(ISBLANK($H$18),"",$H$18))</f>
        <v/>
      </c>
      <c r="X18" s="2">
        <f>IF(ISERROR($I$18),"",IF(ISBLANK($I$18),"",$I$18))</f>
        <v/>
      </c>
      <c r="Z18" s="2">
        <f>ISERROR($B$18)*1+ISERROR($C$18)*1+ISERROR($D$18)*1+ISERROR($E$18)*1+ISERROR($F$18)*1+ISERROR($G$18)*1+ISERROR($H$18)*1+ISERROR($I$18)*1+ISERROR($J$18)*1</f>
        <v/>
      </c>
    </row>
    <row r="19" ht="26" customHeight="1">
      <c r="A19" s="43">
        <f>IF(LEN($P$10)&gt;0,$P$10,"PJ 4")</f>
        <v/>
      </c>
      <c r="B19" s="37" t="n"/>
      <c r="C19" s="37" t="n"/>
      <c r="D19" s="37" t="n"/>
      <c r="E19" s="37" t="n"/>
      <c r="F19" s="37" t="n"/>
      <c r="G19" s="37" t="n"/>
      <c r="H19" s="37" t="n"/>
      <c r="I19" s="37" t="n"/>
      <c r="J19" s="37" t="n"/>
      <c r="K19" s="27">
        <f>IF(Z19&gt;0,"O Google leu como fórmula: digite de novo com ' na frente.",IF(AND(ISNUMBER($U$19),OR($U$19&lt;7,$U$19&gt;25)),"VEL fora dos extremos 7 a 25 da fórmula: confira na ficha (19.1)",IF(OR(AND(ISNUMBER($V$19),OR($V$19&lt;-1,$V$19&gt;5)),AND(ISNUMBER($W$19),OR($W$19&lt;-1,$W$19&gt;5)),AND(ISNUMBER($X$19),OR($X$19&lt;-1,$X$19&gt;5))),"Bônus de Atributo fora de -1 a +5: confira na ficha",IF(AND(ISNUMBER($Q$19),OR($Q$19&lt;1,$Q$19&gt;999)),"PV fora de 1 a 999: confira na ficha",""))))</f>
        <v/>
      </c>
      <c r="Q19" s="2">
        <f>IF(ISERROR($B$19),"",IF(ISBLANK($B$19),"",$B$19))</f>
        <v/>
      </c>
      <c r="U19" s="2">
        <f>IF(ISERROR($F$19),"",IF(ISBLANK($F$19),"",$F$19))</f>
        <v/>
      </c>
      <c r="V19" s="2">
        <f>IF(ISERROR($G$19),"",IF(ISBLANK($G$19),"",$G$19))</f>
        <v/>
      </c>
      <c r="W19" s="2">
        <f>IF(ISERROR($H$19),"",IF(ISBLANK($H$19),"",$H$19))</f>
        <v/>
      </c>
      <c r="X19" s="2">
        <f>IF(ISERROR($I$19),"",IF(ISBLANK($I$19),"",$I$19))</f>
        <v/>
      </c>
      <c r="Z19" s="2">
        <f>ISERROR($B$19)*1+ISERROR($C$19)*1+ISERROR($D$19)*1+ISERROR($E$19)*1+ISERROR($F$19)*1+ISERROR($G$19)*1+ISERROR($H$19)*1+ISERROR($I$19)*1+ISERROR($J$19)*1</f>
        <v/>
      </c>
    </row>
    <row r="20" ht="26" customHeight="1">
      <c r="A20" s="31">
        <f>IF(LEN($P$11)&gt;0,$P$11,"PJ 5")</f>
        <v/>
      </c>
      <c r="B20" s="16" t="n"/>
      <c r="C20" s="16" t="n"/>
      <c r="D20" s="16" t="n"/>
      <c r="E20" s="16" t="n"/>
      <c r="F20" s="16" t="n"/>
      <c r="G20" s="16" t="n"/>
      <c r="H20" s="16" t="n"/>
      <c r="I20" s="16" t="n"/>
      <c r="J20" s="16" t="n"/>
      <c r="K20" s="19">
        <f>IF(Z20&gt;0,"O Google leu como fórmula: digite de novo com ' na frente.",IF(AND(ISNUMBER($U$20),OR($U$20&lt;7,$U$20&gt;25)),"VEL fora dos extremos 7 a 25 da fórmula: confira na ficha (19.1)",IF(OR(AND(ISNUMBER($V$20),OR($V$20&lt;-1,$V$20&gt;5)),AND(ISNUMBER($W$20),OR($W$20&lt;-1,$W$20&gt;5)),AND(ISNUMBER($X$20),OR($X$20&lt;-1,$X$20&gt;5))),"Bônus de Atributo fora de -1 a +5: confira na ficha",IF(AND(ISNUMBER($Q$20),OR($Q$20&lt;1,$Q$20&gt;999)),"PV fora de 1 a 999: confira na ficha",""))))</f>
        <v/>
      </c>
      <c r="Q20" s="2">
        <f>IF(ISERROR($B$20),"",IF(ISBLANK($B$20),"",$B$20))</f>
        <v/>
      </c>
      <c r="U20" s="2">
        <f>IF(ISERROR($F$20),"",IF(ISBLANK($F$20),"",$F$20))</f>
        <v/>
      </c>
      <c r="V20" s="2">
        <f>IF(ISERROR($G$20),"",IF(ISBLANK($G$20),"",$G$20))</f>
        <v/>
      </c>
      <c r="W20" s="2">
        <f>IF(ISERROR($H$20),"",IF(ISBLANK($H$20),"",$H$20))</f>
        <v/>
      </c>
      <c r="X20" s="2">
        <f>IF(ISERROR($I$20),"",IF(ISBLANK($I$20),"",$I$20))</f>
        <v/>
      </c>
      <c r="Z20" s="2">
        <f>ISERROR($B$20)*1+ISERROR($C$20)*1+ISERROR($D$20)*1+ISERROR($E$20)*1+ISERROR($F$20)*1+ISERROR($G$20)*1+ISERROR($H$20)*1+ISERROR($I$20)*1+ISERROR($J$20)*1</f>
        <v/>
      </c>
    </row>
    <row r="21" ht="26" customHeight="1">
      <c r="A21" s="43">
        <f>IF(LEN($P$12)&gt;0,$P$12,"PJ 6")</f>
        <v/>
      </c>
      <c r="B21" s="37" t="n"/>
      <c r="C21" s="37" t="n"/>
      <c r="D21" s="37" t="n"/>
      <c r="E21" s="37" t="n"/>
      <c r="F21" s="37" t="n"/>
      <c r="G21" s="37" t="n"/>
      <c r="H21" s="37" t="n"/>
      <c r="I21" s="37" t="n"/>
      <c r="J21" s="37" t="n"/>
      <c r="K21" s="27">
        <f>IF(Z21&gt;0,"O Google leu como fórmula: digite de novo com ' na frente.",IF(AND(ISNUMBER($U$21),OR($U$21&lt;7,$U$21&gt;25)),"VEL fora dos extremos 7 a 25 da fórmula: confira na ficha (19.1)",IF(OR(AND(ISNUMBER($V$21),OR($V$21&lt;-1,$V$21&gt;5)),AND(ISNUMBER($W$21),OR($W$21&lt;-1,$W$21&gt;5)),AND(ISNUMBER($X$21),OR($X$21&lt;-1,$X$21&gt;5))),"Bônus de Atributo fora de -1 a +5: confira na ficha",IF(AND(ISNUMBER($Q$21),OR($Q$21&lt;1,$Q$21&gt;999)),"PV fora de 1 a 999: confira na ficha",""))))</f>
        <v/>
      </c>
      <c r="Q21" s="2">
        <f>IF(ISERROR($B$21),"",IF(ISBLANK($B$21),"",$B$21))</f>
        <v/>
      </c>
      <c r="U21" s="2">
        <f>IF(ISERROR($F$21),"",IF(ISBLANK($F$21),"",$F$21))</f>
        <v/>
      </c>
      <c r="V21" s="2">
        <f>IF(ISERROR($G$21),"",IF(ISBLANK($G$21),"",$G$21))</f>
        <v/>
      </c>
      <c r="W21" s="2">
        <f>IF(ISERROR($H$21),"",IF(ISBLANK($H$21),"",$H$21))</f>
        <v/>
      </c>
      <c r="X21" s="2">
        <f>IF(ISERROR($I$21),"",IF(ISBLANK($I$21),"",$I$21))</f>
        <v/>
      </c>
      <c r="Z21" s="2">
        <f>ISERROR($B$21)*1+ISERROR($C$21)*1+ISERROR($D$21)*1+ISERROR($E$21)*1+ISERROR($F$21)*1+ISERROR($G$21)*1+ISERROR($H$21)*1+ISERROR($I$21)*1+ISERROR($J$21)*1</f>
        <v/>
      </c>
    </row>
    <row r="22"/>
    <row r="23" ht="20" customHeight="1">
      <c r="A23" s="13" t="inlineStr">
        <is>
          <t>G3 · Equipamento de faixa (preencha)</t>
        </is>
      </c>
    </row>
    <row r="24" ht="26" customHeight="1">
      <c r="A24" s="8" t="inlineStr">
        <is>
          <t>PJ</t>
        </is>
      </c>
      <c r="B24" s="8" t="inlineStr">
        <is>
          <t>Nível do Cone</t>
        </is>
      </c>
      <c r="C24" s="8" t="inlineStr">
        <is>
          <t>Tier de Relíquias</t>
        </is>
      </c>
      <c r="D24" s="8" t="inlineStr">
        <is>
          <t>Slots de Relíquia</t>
        </is>
      </c>
      <c r="E24" s="8" t="inlineStr">
        <is>
          <t>Sobreposições nesta faixa</t>
        </is>
      </c>
      <c r="F24" s="8" t="inlineStr">
        <is>
          <t>Total no Cone</t>
        </is>
      </c>
      <c r="G24" s="8" t="inlineStr">
        <is>
          <t>Ressonâncias escolhidas</t>
        </is>
      </c>
      <c r="H24" s="20" t="n"/>
      <c r="I24" s="20" t="n"/>
      <c r="J24" s="20" t="n"/>
      <c r="K24" s="8" t="inlineStr">
        <is>
          <t>Aviso</t>
        </is>
      </c>
      <c r="L24" s="20" t="n"/>
    </row>
    <row r="25" ht="48" customHeight="1">
      <c r="A25" s="31">
        <f>IF(LEN($P$7)&gt;0,$P$7,"PJ 1")</f>
        <v/>
      </c>
      <c r="B25" s="16" t="n"/>
      <c r="C25" s="16" t="n"/>
      <c r="D25" s="16" t="n"/>
      <c r="E25" s="16" t="n"/>
      <c r="F25" s="16" t="n"/>
      <c r="G25" s="4" t="n"/>
      <c r="H25" s="25" t="n"/>
      <c r="I25" s="25" t="n"/>
      <c r="J25" s="17" t="n"/>
      <c r="K25" s="19">
        <f>IF(Z25&gt;0,"O Google leu como fórmula: digite de novo com ' na frente.",IF(AND(ISNUMBER($Q$25),$Q$25&gt;'Campanha'!$B$18),"Cone acima do máximo da faixa (25.1)",IF(AND(ISNUMBER($T$25),$T$25&gt;1),"Mais de 1 Sobreposição nesta faixa (25.2)",IF(AND(ISNUMBER($Q$25),$Q$25&gt;=1,$Q$25&lt;=5),IF(MAX(IF(ISNUMBER($U$25),$U$25,0),IF(ISNUMBER($T$25),$T$25,0))&gt;INDEX('Dados'!$H$468:$H$472,INT($Q$25)),"Acima do teto do Cone (25.2): o Nível "&amp;INT($Q$25)&amp;" aceita até "&amp;INDEX('Dados'!$H$468:$H$472,INT($Q$25)),IF(AND(ISNUMBER($U$25),ISNUMBER($T$25),$U$25&lt;$T$25),"Total no Cone menor que as desta faixa","")),IF(AND(ISNUMBER($U$25),ISNUMBER($T$25),$U$25&lt;$T$25),"Total no Cone menor que as desta faixa","")))))</f>
        <v/>
      </c>
      <c r="Q25" s="2">
        <f>IF(ISERROR($B$25),"",IF(ISBLANK($B$25),"",$B$25))</f>
        <v/>
      </c>
      <c r="R25" s="2">
        <f>IF(ISERROR($C$25),"",IF(ISBLANK($C$25),"",$C$25))</f>
        <v/>
      </c>
      <c r="T25" s="2">
        <f>IF(ISERROR($E$25),"",IF(ISBLANK($E$25),"",$E$25))</f>
        <v/>
      </c>
      <c r="U25" s="2">
        <f>IF(ISERROR($F$25),"",IF(ISBLANK($F$25),"",$F$25))</f>
        <v/>
      </c>
      <c r="Z25" s="2">
        <f>ISERROR($B$25)*1+ISERROR($C$25)*1+ISERROR($D$25)*1+ISERROR($E$25)*1+ISERROR($F$25)*1+ISERROR($G$25)*1</f>
        <v/>
      </c>
    </row>
    <row r="26" ht="48" customHeight="1">
      <c r="A26" s="43">
        <f>IF(LEN($P$8)&gt;0,$P$8,"PJ 2")</f>
        <v/>
      </c>
      <c r="B26" s="37" t="n"/>
      <c r="C26" s="37" t="n"/>
      <c r="D26" s="37" t="n"/>
      <c r="E26" s="37" t="n"/>
      <c r="F26" s="37" t="n"/>
      <c r="G26" s="29" t="n"/>
      <c r="H26" s="25" t="n"/>
      <c r="I26" s="25" t="n"/>
      <c r="J26" s="17" t="n"/>
      <c r="K26" s="27">
        <f>IF(Z26&gt;0,"O Google leu como fórmula: digite de novo com ' na frente.",IF(AND(ISNUMBER($Q$26),$Q$26&gt;'Campanha'!$B$18),"Cone acima do máximo da faixa (25.1)",IF(AND(ISNUMBER($T$26),$T$26&gt;1),"Mais de 1 Sobreposição nesta faixa (25.2)",IF(AND(ISNUMBER($Q$26),$Q$26&gt;=1,$Q$26&lt;=5),IF(MAX(IF(ISNUMBER($U$26),$U$26,0),IF(ISNUMBER($T$26),$T$26,0))&gt;INDEX('Dados'!$H$468:$H$472,INT($Q$26)),"Acima do teto do Cone (25.2): o Nível "&amp;INT($Q$26)&amp;" aceita até "&amp;INDEX('Dados'!$H$468:$H$472,INT($Q$26)),IF(AND(ISNUMBER($U$26),ISNUMBER($T$26),$U$26&lt;$T$26),"Total no Cone menor que as desta faixa","")),IF(AND(ISNUMBER($U$26),ISNUMBER($T$26),$U$26&lt;$T$26),"Total no Cone menor que as desta faixa","")))))</f>
        <v/>
      </c>
      <c r="Q26" s="2">
        <f>IF(ISERROR($B$26),"",IF(ISBLANK($B$26),"",$B$26))</f>
        <v/>
      </c>
      <c r="R26" s="2">
        <f>IF(ISERROR($C$26),"",IF(ISBLANK($C$26),"",$C$26))</f>
        <v/>
      </c>
      <c r="T26" s="2">
        <f>IF(ISERROR($E$26),"",IF(ISBLANK($E$26),"",$E$26))</f>
        <v/>
      </c>
      <c r="U26" s="2">
        <f>IF(ISERROR($F$26),"",IF(ISBLANK($F$26),"",$F$26))</f>
        <v/>
      </c>
      <c r="Z26" s="2">
        <f>ISERROR($B$26)*1+ISERROR($C$26)*1+ISERROR($D$26)*1+ISERROR($E$26)*1+ISERROR($F$26)*1+ISERROR($G$26)*1</f>
        <v/>
      </c>
    </row>
    <row r="27" ht="48" customHeight="1">
      <c r="A27" s="31">
        <f>IF(LEN($P$9)&gt;0,$P$9,"PJ 3")</f>
        <v/>
      </c>
      <c r="B27" s="16" t="n"/>
      <c r="C27" s="16" t="n"/>
      <c r="D27" s="16" t="n"/>
      <c r="E27" s="16" t="n"/>
      <c r="F27" s="16" t="n"/>
      <c r="G27" s="4" t="n"/>
      <c r="H27" s="25" t="n"/>
      <c r="I27" s="25" t="n"/>
      <c r="J27" s="17" t="n"/>
      <c r="K27" s="19">
        <f>IF(Z27&gt;0,"O Google leu como fórmula: digite de novo com ' na frente.",IF(AND(ISNUMBER($Q$27),$Q$27&gt;'Campanha'!$B$18),"Cone acima do máximo da faixa (25.1)",IF(AND(ISNUMBER($T$27),$T$27&gt;1),"Mais de 1 Sobreposição nesta faixa (25.2)",IF(AND(ISNUMBER($Q$27),$Q$27&gt;=1,$Q$27&lt;=5),IF(MAX(IF(ISNUMBER($U$27),$U$27,0),IF(ISNUMBER($T$27),$T$27,0))&gt;INDEX('Dados'!$H$468:$H$472,INT($Q$27)),"Acima do teto do Cone (25.2): o Nível "&amp;INT($Q$27)&amp;" aceita até "&amp;INDEX('Dados'!$H$468:$H$472,INT($Q$27)),IF(AND(ISNUMBER($U$27),ISNUMBER($T$27),$U$27&lt;$T$27),"Total no Cone menor que as desta faixa","")),IF(AND(ISNUMBER($U$27),ISNUMBER($T$27),$U$27&lt;$T$27),"Total no Cone menor que as desta faixa","")))))</f>
        <v/>
      </c>
      <c r="Q27" s="2">
        <f>IF(ISERROR($B$27),"",IF(ISBLANK($B$27),"",$B$27))</f>
        <v/>
      </c>
      <c r="R27" s="2">
        <f>IF(ISERROR($C$27),"",IF(ISBLANK($C$27),"",$C$27))</f>
        <v/>
      </c>
      <c r="T27" s="2">
        <f>IF(ISERROR($E$27),"",IF(ISBLANK($E$27),"",$E$27))</f>
        <v/>
      </c>
      <c r="U27" s="2">
        <f>IF(ISERROR($F$27),"",IF(ISBLANK($F$27),"",$F$27))</f>
        <v/>
      </c>
      <c r="Z27" s="2">
        <f>ISERROR($B$27)*1+ISERROR($C$27)*1+ISERROR($D$27)*1+ISERROR($E$27)*1+ISERROR($F$27)*1+ISERROR($G$27)*1</f>
        <v/>
      </c>
    </row>
    <row r="28" ht="48" customHeight="1">
      <c r="A28" s="43">
        <f>IF(LEN($P$10)&gt;0,$P$10,"PJ 4")</f>
        <v/>
      </c>
      <c r="B28" s="37" t="n"/>
      <c r="C28" s="37" t="n"/>
      <c r="D28" s="37" t="n"/>
      <c r="E28" s="37" t="n"/>
      <c r="F28" s="37" t="n"/>
      <c r="G28" s="29" t="n"/>
      <c r="H28" s="25" t="n"/>
      <c r="I28" s="25" t="n"/>
      <c r="J28" s="17" t="n"/>
      <c r="K28" s="27">
        <f>IF(Z28&gt;0,"O Google leu como fórmula: digite de novo com ' na frente.",IF(AND(ISNUMBER($Q$28),$Q$28&gt;'Campanha'!$B$18),"Cone acima do máximo da faixa (25.1)",IF(AND(ISNUMBER($T$28),$T$28&gt;1),"Mais de 1 Sobreposição nesta faixa (25.2)",IF(AND(ISNUMBER($Q$28),$Q$28&gt;=1,$Q$28&lt;=5),IF(MAX(IF(ISNUMBER($U$28),$U$28,0),IF(ISNUMBER($T$28),$T$28,0))&gt;INDEX('Dados'!$H$468:$H$472,INT($Q$28)),"Acima do teto do Cone (25.2): o Nível "&amp;INT($Q$28)&amp;" aceita até "&amp;INDEX('Dados'!$H$468:$H$472,INT($Q$28)),IF(AND(ISNUMBER($U$28),ISNUMBER($T$28),$U$28&lt;$T$28),"Total no Cone menor que as desta faixa","")),IF(AND(ISNUMBER($U$28),ISNUMBER($T$28),$U$28&lt;$T$28),"Total no Cone menor que as desta faixa","")))))</f>
        <v/>
      </c>
      <c r="Q28" s="2">
        <f>IF(ISERROR($B$28),"",IF(ISBLANK($B$28),"",$B$28))</f>
        <v/>
      </c>
      <c r="R28" s="2">
        <f>IF(ISERROR($C$28),"",IF(ISBLANK($C$28),"",$C$28))</f>
        <v/>
      </c>
      <c r="T28" s="2">
        <f>IF(ISERROR($E$28),"",IF(ISBLANK($E$28),"",$E$28))</f>
        <v/>
      </c>
      <c r="U28" s="2">
        <f>IF(ISERROR($F$28),"",IF(ISBLANK($F$28),"",$F$28))</f>
        <v/>
      </c>
      <c r="Z28" s="2">
        <f>ISERROR($B$28)*1+ISERROR($C$28)*1+ISERROR($D$28)*1+ISERROR($E$28)*1+ISERROR($F$28)*1+ISERROR($G$28)*1</f>
        <v/>
      </c>
    </row>
    <row r="29" ht="48" customHeight="1">
      <c r="A29" s="31">
        <f>IF(LEN($P$11)&gt;0,$P$11,"PJ 5")</f>
        <v/>
      </c>
      <c r="B29" s="16" t="n"/>
      <c r="C29" s="16" t="n"/>
      <c r="D29" s="16" t="n"/>
      <c r="E29" s="16" t="n"/>
      <c r="F29" s="16" t="n"/>
      <c r="G29" s="4" t="n"/>
      <c r="H29" s="25" t="n"/>
      <c r="I29" s="25" t="n"/>
      <c r="J29" s="17" t="n"/>
      <c r="K29" s="19">
        <f>IF(Z29&gt;0,"O Google leu como fórmula: digite de novo com ' na frente.",IF(AND(ISNUMBER($Q$29),$Q$29&gt;'Campanha'!$B$18),"Cone acima do máximo da faixa (25.1)",IF(AND(ISNUMBER($T$29),$T$29&gt;1),"Mais de 1 Sobreposição nesta faixa (25.2)",IF(AND(ISNUMBER($Q$29),$Q$29&gt;=1,$Q$29&lt;=5),IF(MAX(IF(ISNUMBER($U$29),$U$29,0),IF(ISNUMBER($T$29),$T$29,0))&gt;INDEX('Dados'!$H$468:$H$472,INT($Q$29)),"Acima do teto do Cone (25.2): o Nível "&amp;INT($Q$29)&amp;" aceita até "&amp;INDEX('Dados'!$H$468:$H$472,INT($Q$29)),IF(AND(ISNUMBER($U$29),ISNUMBER($T$29),$U$29&lt;$T$29),"Total no Cone menor que as desta faixa","")),IF(AND(ISNUMBER($U$29),ISNUMBER($T$29),$U$29&lt;$T$29),"Total no Cone menor que as desta faixa","")))))</f>
        <v/>
      </c>
      <c r="Q29" s="2">
        <f>IF(ISERROR($B$29),"",IF(ISBLANK($B$29),"",$B$29))</f>
        <v/>
      </c>
      <c r="R29" s="2">
        <f>IF(ISERROR($C$29),"",IF(ISBLANK($C$29),"",$C$29))</f>
        <v/>
      </c>
      <c r="T29" s="2">
        <f>IF(ISERROR($E$29),"",IF(ISBLANK($E$29),"",$E$29))</f>
        <v/>
      </c>
      <c r="U29" s="2">
        <f>IF(ISERROR($F$29),"",IF(ISBLANK($F$29),"",$F$29))</f>
        <v/>
      </c>
      <c r="Z29" s="2">
        <f>ISERROR($B$29)*1+ISERROR($C$29)*1+ISERROR($D$29)*1+ISERROR($E$29)*1+ISERROR($F$29)*1+ISERROR($G$29)*1</f>
        <v/>
      </c>
    </row>
    <row r="30" ht="48" customHeight="1">
      <c r="A30" s="43">
        <f>IF(LEN($P$12)&gt;0,$P$12,"PJ 6")</f>
        <v/>
      </c>
      <c r="B30" s="37" t="n"/>
      <c r="C30" s="37" t="n"/>
      <c r="D30" s="37" t="n"/>
      <c r="E30" s="37" t="n"/>
      <c r="F30" s="37" t="n"/>
      <c r="G30" s="29" t="n"/>
      <c r="H30" s="25" t="n"/>
      <c r="I30" s="25" t="n"/>
      <c r="J30" s="17" t="n"/>
      <c r="K30" s="27">
        <f>IF(Z30&gt;0,"O Google leu como fórmula: digite de novo com ' na frente.",IF(AND(ISNUMBER($Q$30),$Q$30&gt;'Campanha'!$B$18),"Cone acima do máximo da faixa (25.1)",IF(AND(ISNUMBER($T$30),$T$30&gt;1),"Mais de 1 Sobreposição nesta faixa (25.2)",IF(AND(ISNUMBER($Q$30),$Q$30&gt;=1,$Q$30&lt;=5),IF(MAX(IF(ISNUMBER($U$30),$U$30,0),IF(ISNUMBER($T$30),$T$30,0))&gt;INDEX('Dados'!$H$468:$H$472,INT($Q$30)),"Acima do teto do Cone (25.2): o Nível "&amp;INT($Q$30)&amp;" aceita até "&amp;INDEX('Dados'!$H$468:$H$472,INT($Q$30)),IF(AND(ISNUMBER($U$30),ISNUMBER($T$30),$U$30&lt;$T$30),"Total no Cone menor que as desta faixa","")),IF(AND(ISNUMBER($U$30),ISNUMBER($T$30),$U$30&lt;$T$30),"Total no Cone menor que as desta faixa","")))))</f>
        <v/>
      </c>
      <c r="Q30" s="2">
        <f>IF(ISERROR($B$30),"",IF(ISBLANK($B$30),"",$B$30))</f>
        <v/>
      </c>
      <c r="R30" s="2">
        <f>IF(ISERROR($C$30),"",IF(ISBLANK($C$30),"",$C$30))</f>
        <v/>
      </c>
      <c r="T30" s="2">
        <f>IF(ISERROR($E$30),"",IF(ISBLANK($E$30),"",$E$30))</f>
        <v/>
      </c>
      <c r="U30" s="2">
        <f>IF(ISERROR($F$30),"",IF(ISBLANK($F$30),"",$F$30))</f>
        <v/>
      </c>
      <c r="Z30" s="2">
        <f>ISERROR($B$30)*1+ISERROR($C$30)*1+ISERROR($D$30)*1+ISERROR($E$30)*1+ISERROR($F$30)*1+ISERROR($G$30)*1</f>
        <v/>
      </c>
    </row>
    <row r="31"/>
    <row r="32" ht="20" customHeight="1">
      <c r="A32" s="13" t="inlineStr">
        <is>
          <t>G4 · O que a Raça muda no combate (automático)</t>
        </is>
      </c>
    </row>
    <row r="33" ht="37" customHeight="1">
      <c r="A33" s="8" t="inlineStr">
        <is>
          <t>PJ</t>
        </is>
      </c>
      <c r="B33" s="8" t="inlineStr">
        <is>
          <t>Morrendo com Vantagem?</t>
        </is>
      </c>
      <c r="C33" s="8" t="inlineStr">
        <is>
          <t>Pode ser Executado?</t>
        </is>
      </c>
      <c r="D33" s="8" t="inlineStr">
        <is>
          <t>Esforço?</t>
        </is>
      </c>
      <c r="E33" s="8" t="inlineStr">
        <is>
          <t>Descobre Fraqueza</t>
        </is>
      </c>
      <c r="F33" s="20" t="n"/>
      <c r="G33" s="8" t="inlineStr">
        <is>
          <t>Lembrete da Raça</t>
        </is>
      </c>
      <c r="H33" s="20" t="n"/>
      <c r="I33" s="20" t="n"/>
      <c r="J33" s="20" t="n"/>
      <c r="K33" s="8" t="inlineStr">
        <is>
          <t>Aviso</t>
        </is>
      </c>
      <c r="L33" s="20" t="n"/>
    </row>
    <row r="34" ht="37" customHeight="1">
      <c r="A34" s="31">
        <f>IF(LEN($P$7)&gt;0,$P$7,"PJ 1")</f>
        <v/>
      </c>
      <c r="B34" s="18">
        <f>IFERROR(INDEX('Dados'!$B$350:$B$356,MATCH($R$7,'Dados'!$A$350:$A$356,0)),"")</f>
        <v/>
      </c>
      <c r="C34" s="18">
        <f>IFERROR(INDEX('Dados'!$C$350:$C$356,MATCH($R$7,'Dados'!$A$350:$A$356,0)),"")</f>
        <v/>
      </c>
      <c r="D34" s="18">
        <f>IFERROR(INDEX('Dados'!$D$350:$D$356,MATCH($R$7,'Dados'!$A$350:$A$356,0)),"")</f>
        <v/>
      </c>
      <c r="E34" s="5">
        <f>IFERROR(INDEX('Dados'!$E$350:$E$356,MATCH($R$7,'Dados'!$A$350:$A$356,0)),"")</f>
        <v/>
      </c>
      <c r="G34" s="5">
        <f>IF($R$7="Vulpes","Raposa Astuta: segunda chance contra a Surpresa (DT 10, 19.3 e 27.3)",IF($R$7="Haloviano","To na sua mente: DT 13 de ativação; a falha gasta o uso (05, 27.3)",IF($R$7="Xianzhouíta","Não pode ser Executado (05, 23.5)",IF($R$7="Intellitron","Descobre Fraqueza com Vantagem e 2 por sucesso (20.2)",IF($R$7="Vidyadhara","Maré que Volta: 1 por Descanso Curto, nível + Vigor PV em si (05)",IF($R$7="Avginiano","Não Foi a Primeira Vez: 1 por combate, metade da duração na falha (05)",IF($R$7="Humano","Esforço: no máximo 1 ponto (05)","")))))))</f>
        <v/>
      </c>
      <c r="K34" s="19">
        <f>IF(AND(ISNUMBER($Q$25),$Q$25&lt;'Campanha'!$B$18),"Cone abaixo do esperado: encontros ficam mais duros (27.8)",IF(AND(ISNUMBER($R$25),$R$25&lt;IF('Campanha'!$B$17&lt;=6,1,IF('Campanha'!$B$17&lt;=12,2,IF('Campanha'!$B$17&lt;=17,3,4)))),"Tier abaixo do esperado: encontros ficam mais duros (27.8)",IF(AND(ISNUMBER($R$25),$R$25&gt;IF('Campanha'!$B$17&lt;=6,1,IF('Campanha'!$B$17&lt;=12,2,IF('Campanha'!$B$17&lt;=17,3,4)))),"Tier acima do Tier do nível do grupo (25.1, 25.3)","")))</f>
        <v/>
      </c>
    </row>
    <row r="35" ht="37" customHeight="1">
      <c r="A35" s="43">
        <f>IF(LEN($P$8)&gt;0,$P$8,"PJ 2")</f>
        <v/>
      </c>
      <c r="B35" s="23">
        <f>IFERROR(INDEX('Dados'!$B$350:$B$356,MATCH($R$8,'Dados'!$A$350:$A$356,0)),"")</f>
        <v/>
      </c>
      <c r="C35" s="23">
        <f>IFERROR(INDEX('Dados'!$C$350:$C$356,MATCH($R$8,'Dados'!$A$350:$A$356,0)),"")</f>
        <v/>
      </c>
      <c r="D35" s="23">
        <f>IFERROR(INDEX('Dados'!$D$350:$D$356,MATCH($R$8,'Dados'!$A$350:$A$356,0)),"")</f>
        <v/>
      </c>
      <c r="E35" s="10">
        <f>IFERROR(INDEX('Dados'!$E$350:$E$356,MATCH($R$8,'Dados'!$A$350:$A$356,0)),"")</f>
        <v/>
      </c>
      <c r="G35" s="10">
        <f>IF($R$8="Vulpes","Raposa Astuta: segunda chance contra a Surpresa (DT 10, 19.3 e 27.3)",IF($R$8="Haloviano","To na sua mente: DT 13 de ativação; a falha gasta o uso (05, 27.3)",IF($R$8="Xianzhouíta","Não pode ser Executado (05, 23.5)",IF($R$8="Intellitron","Descobre Fraqueza com Vantagem e 2 por sucesso (20.2)",IF($R$8="Vidyadhara","Maré que Volta: 1 por Descanso Curto, nível + Vigor PV em si (05)",IF($R$8="Avginiano","Não Foi a Primeira Vez: 1 por combate, metade da duração na falha (05)",IF($R$8="Humano","Esforço: no máximo 1 ponto (05)","")))))))</f>
        <v/>
      </c>
      <c r="K35" s="27">
        <f>IF(AND(ISNUMBER($Q$26),$Q$26&lt;'Campanha'!$B$18),"Cone abaixo do esperado: encontros ficam mais duros (27.8)",IF(AND(ISNUMBER($R$26),$R$26&lt;IF('Campanha'!$B$17&lt;=6,1,IF('Campanha'!$B$17&lt;=12,2,IF('Campanha'!$B$17&lt;=17,3,4)))),"Tier abaixo do esperado: encontros ficam mais duros (27.8)",IF(AND(ISNUMBER($R$26),$R$26&gt;IF('Campanha'!$B$17&lt;=6,1,IF('Campanha'!$B$17&lt;=12,2,IF('Campanha'!$B$17&lt;=17,3,4)))),"Tier acima do Tier do nível do grupo (25.1, 25.3)","")))</f>
        <v/>
      </c>
    </row>
    <row r="36" ht="37" customHeight="1">
      <c r="A36" s="31">
        <f>IF(LEN($P$9)&gt;0,$P$9,"PJ 3")</f>
        <v/>
      </c>
      <c r="B36" s="18">
        <f>IFERROR(INDEX('Dados'!$B$350:$B$356,MATCH($R$9,'Dados'!$A$350:$A$356,0)),"")</f>
        <v/>
      </c>
      <c r="C36" s="18">
        <f>IFERROR(INDEX('Dados'!$C$350:$C$356,MATCH($R$9,'Dados'!$A$350:$A$356,0)),"")</f>
        <v/>
      </c>
      <c r="D36" s="18">
        <f>IFERROR(INDEX('Dados'!$D$350:$D$356,MATCH($R$9,'Dados'!$A$350:$A$356,0)),"")</f>
        <v/>
      </c>
      <c r="E36" s="5">
        <f>IFERROR(INDEX('Dados'!$E$350:$E$356,MATCH($R$9,'Dados'!$A$350:$A$356,0)),"")</f>
        <v/>
      </c>
      <c r="G36" s="5">
        <f>IF($R$9="Vulpes","Raposa Astuta: segunda chance contra a Surpresa (DT 10, 19.3 e 27.3)",IF($R$9="Haloviano","To na sua mente: DT 13 de ativação; a falha gasta o uso (05, 27.3)",IF($R$9="Xianzhouíta","Não pode ser Executado (05, 23.5)",IF($R$9="Intellitron","Descobre Fraqueza com Vantagem e 2 por sucesso (20.2)",IF($R$9="Vidyadhara","Maré que Volta: 1 por Descanso Curto, nível + Vigor PV em si (05)",IF($R$9="Avginiano","Não Foi a Primeira Vez: 1 por combate, metade da duração na falha (05)",IF($R$9="Humano","Esforço: no máximo 1 ponto (05)","")))))))</f>
        <v/>
      </c>
      <c r="K36" s="19">
        <f>IF(AND(ISNUMBER($Q$27),$Q$27&lt;'Campanha'!$B$18),"Cone abaixo do esperado: encontros ficam mais duros (27.8)",IF(AND(ISNUMBER($R$27),$R$27&lt;IF('Campanha'!$B$17&lt;=6,1,IF('Campanha'!$B$17&lt;=12,2,IF('Campanha'!$B$17&lt;=17,3,4)))),"Tier abaixo do esperado: encontros ficam mais duros (27.8)",IF(AND(ISNUMBER($R$27),$R$27&gt;IF('Campanha'!$B$17&lt;=6,1,IF('Campanha'!$B$17&lt;=12,2,IF('Campanha'!$B$17&lt;=17,3,4)))),"Tier acima do Tier do nível do grupo (25.1, 25.3)","")))</f>
        <v/>
      </c>
    </row>
    <row r="37" ht="37" customHeight="1">
      <c r="A37" s="43">
        <f>IF(LEN($P$10)&gt;0,$P$10,"PJ 4")</f>
        <v/>
      </c>
      <c r="B37" s="23">
        <f>IFERROR(INDEX('Dados'!$B$350:$B$356,MATCH($R$10,'Dados'!$A$350:$A$356,0)),"")</f>
        <v/>
      </c>
      <c r="C37" s="23">
        <f>IFERROR(INDEX('Dados'!$C$350:$C$356,MATCH($R$10,'Dados'!$A$350:$A$356,0)),"")</f>
        <v/>
      </c>
      <c r="D37" s="23">
        <f>IFERROR(INDEX('Dados'!$D$350:$D$356,MATCH($R$10,'Dados'!$A$350:$A$356,0)),"")</f>
        <v/>
      </c>
      <c r="E37" s="10">
        <f>IFERROR(INDEX('Dados'!$E$350:$E$356,MATCH($R$10,'Dados'!$A$350:$A$356,0)),"")</f>
        <v/>
      </c>
      <c r="G37" s="10">
        <f>IF($R$10="Vulpes","Raposa Astuta: segunda chance contra a Surpresa (DT 10, 19.3 e 27.3)",IF($R$10="Haloviano","To na sua mente: DT 13 de ativação; a falha gasta o uso (05, 27.3)",IF($R$10="Xianzhouíta","Não pode ser Executado (05, 23.5)",IF($R$10="Intellitron","Descobre Fraqueza com Vantagem e 2 por sucesso (20.2)",IF($R$10="Vidyadhara","Maré que Volta: 1 por Descanso Curto, nível + Vigor PV em si (05)",IF($R$10="Avginiano","Não Foi a Primeira Vez: 1 por combate, metade da duração na falha (05)",IF($R$10="Humano","Esforço: no máximo 1 ponto (05)","")))))))</f>
        <v/>
      </c>
      <c r="K37" s="27">
        <f>IF(AND(ISNUMBER($Q$28),$Q$28&lt;'Campanha'!$B$18),"Cone abaixo do esperado: encontros ficam mais duros (27.8)",IF(AND(ISNUMBER($R$28),$R$28&lt;IF('Campanha'!$B$17&lt;=6,1,IF('Campanha'!$B$17&lt;=12,2,IF('Campanha'!$B$17&lt;=17,3,4)))),"Tier abaixo do esperado: encontros ficam mais duros (27.8)",IF(AND(ISNUMBER($R$28),$R$28&gt;IF('Campanha'!$B$17&lt;=6,1,IF('Campanha'!$B$17&lt;=12,2,IF('Campanha'!$B$17&lt;=17,3,4)))),"Tier acima do Tier do nível do grupo (25.1, 25.3)","")))</f>
        <v/>
      </c>
    </row>
    <row r="38" ht="37" customHeight="1">
      <c r="A38" s="31">
        <f>IF(LEN($P$11)&gt;0,$P$11,"PJ 5")</f>
        <v/>
      </c>
      <c r="B38" s="18">
        <f>IFERROR(INDEX('Dados'!$B$350:$B$356,MATCH($R$11,'Dados'!$A$350:$A$356,0)),"")</f>
        <v/>
      </c>
      <c r="C38" s="18">
        <f>IFERROR(INDEX('Dados'!$C$350:$C$356,MATCH($R$11,'Dados'!$A$350:$A$356,0)),"")</f>
        <v/>
      </c>
      <c r="D38" s="18">
        <f>IFERROR(INDEX('Dados'!$D$350:$D$356,MATCH($R$11,'Dados'!$A$350:$A$356,0)),"")</f>
        <v/>
      </c>
      <c r="E38" s="5">
        <f>IFERROR(INDEX('Dados'!$E$350:$E$356,MATCH($R$11,'Dados'!$A$350:$A$356,0)),"")</f>
        <v/>
      </c>
      <c r="G38" s="5">
        <f>IF($R$11="Vulpes","Raposa Astuta: segunda chance contra a Surpresa (DT 10, 19.3 e 27.3)",IF($R$11="Haloviano","To na sua mente: DT 13 de ativação; a falha gasta o uso (05, 27.3)",IF($R$11="Xianzhouíta","Não pode ser Executado (05, 23.5)",IF($R$11="Intellitron","Descobre Fraqueza com Vantagem e 2 por sucesso (20.2)",IF($R$11="Vidyadhara","Maré que Volta: 1 por Descanso Curto, nível + Vigor PV em si (05)",IF($R$11="Avginiano","Não Foi a Primeira Vez: 1 por combate, metade da duração na falha (05)",IF($R$11="Humano","Esforço: no máximo 1 ponto (05)","")))))))</f>
        <v/>
      </c>
      <c r="K38" s="19">
        <f>IF(AND(ISNUMBER($Q$29),$Q$29&lt;'Campanha'!$B$18),"Cone abaixo do esperado: encontros ficam mais duros (27.8)",IF(AND(ISNUMBER($R$29),$R$29&lt;IF('Campanha'!$B$17&lt;=6,1,IF('Campanha'!$B$17&lt;=12,2,IF('Campanha'!$B$17&lt;=17,3,4)))),"Tier abaixo do esperado: encontros ficam mais duros (27.8)",IF(AND(ISNUMBER($R$29),$R$29&gt;IF('Campanha'!$B$17&lt;=6,1,IF('Campanha'!$B$17&lt;=12,2,IF('Campanha'!$B$17&lt;=17,3,4)))),"Tier acima do Tier do nível do grupo (25.1, 25.3)","")))</f>
        <v/>
      </c>
    </row>
    <row r="39" ht="37" customHeight="1">
      <c r="A39" s="43">
        <f>IF(LEN($P$12)&gt;0,$P$12,"PJ 6")</f>
        <v/>
      </c>
      <c r="B39" s="23">
        <f>IFERROR(INDEX('Dados'!$B$350:$B$356,MATCH($R$12,'Dados'!$A$350:$A$356,0)),"")</f>
        <v/>
      </c>
      <c r="C39" s="23">
        <f>IFERROR(INDEX('Dados'!$C$350:$C$356,MATCH($R$12,'Dados'!$A$350:$A$356,0)),"")</f>
        <v/>
      </c>
      <c r="D39" s="23">
        <f>IFERROR(INDEX('Dados'!$D$350:$D$356,MATCH($R$12,'Dados'!$A$350:$A$356,0)),"")</f>
        <v/>
      </c>
      <c r="E39" s="10">
        <f>IFERROR(INDEX('Dados'!$E$350:$E$356,MATCH($R$12,'Dados'!$A$350:$A$356,0)),"")</f>
        <v/>
      </c>
      <c r="G39" s="10">
        <f>IF($R$12="Vulpes","Raposa Astuta: segunda chance contra a Surpresa (DT 10, 19.3 e 27.3)",IF($R$12="Haloviano","To na sua mente: DT 13 de ativação; a falha gasta o uso (05, 27.3)",IF($R$12="Xianzhouíta","Não pode ser Executado (05, 23.5)",IF($R$12="Intellitron","Descobre Fraqueza com Vantagem e 2 por sucesso (20.2)",IF($R$12="Vidyadhara","Maré que Volta: 1 por Descanso Curto, nível + Vigor PV em si (05)",IF($R$12="Avginiano","Não Foi a Primeira Vez: 1 por combate, metade da duração na falha (05)",IF($R$12="Humano","Esforço: no máximo 1 ponto (05)","")))))))</f>
        <v/>
      </c>
      <c r="K39" s="27">
        <f>IF(AND(ISNUMBER($Q$30),$Q$30&lt;'Campanha'!$B$18),"Cone abaixo do esperado: encontros ficam mais duros (27.8)",IF(AND(ISNUMBER($R$30),$R$30&lt;IF('Campanha'!$B$17&lt;=6,1,IF('Campanha'!$B$17&lt;=12,2,IF('Campanha'!$B$17&lt;=17,3,4)))),"Tier abaixo do esperado: encontros ficam mais duros (27.8)",IF(AND(ISNUMBER($R$30),$R$30&gt;IF('Campanha'!$B$17&lt;=6,1,IF('Campanha'!$B$17&lt;=12,2,IF('Campanha'!$B$17&lt;=17,3,4)))),"Tier acima do Tier do nível do grupo (25.1, 25.3)","")))</f>
        <v/>
      </c>
    </row>
    <row r="40"/>
    <row r="41" ht="20" customHeight="1">
      <c r="A41" s="13" t="inlineStr">
        <is>
          <t>G5 · Testes de Resistência e Perícias de mesa (preencha o total da ficha: o que soma ao d20)</t>
        </is>
      </c>
    </row>
    <row r="42" ht="26" customHeight="1">
      <c r="A42" s="8" t="inlineStr">
        <is>
          <t>PJ</t>
        </is>
      </c>
      <c r="B42" s="8" t="inlineStr">
        <is>
          <t>Potência Física</t>
        </is>
      </c>
      <c r="C42" s="8" t="inlineStr">
        <is>
          <t>Reflexos</t>
        </is>
      </c>
      <c r="D42" s="8" t="inlineStr">
        <is>
          <t>Resistência Física</t>
        </is>
      </c>
      <c r="E42" s="8" t="inlineStr">
        <is>
          <t>Resistência Mental</t>
        </is>
      </c>
      <c r="F42" s="8" t="inlineStr">
        <is>
          <t>Percepção Mental</t>
        </is>
      </c>
      <c r="G42" s="8" t="inlineStr">
        <is>
          <t>Força de Vontade</t>
        </is>
      </c>
      <c r="H42" s="8" t="inlineStr">
        <is>
          <t>Percepção</t>
        </is>
      </c>
      <c r="I42" s="8" t="inlineStr">
        <is>
          <t>Intuição</t>
        </is>
      </c>
      <c r="J42" s="8" t="inlineStr">
        <is>
          <t>Furtividade</t>
        </is>
      </c>
      <c r="K42" s="8" t="inlineStr">
        <is>
          <t>Aviso</t>
        </is>
      </c>
      <c r="L42" s="20" t="n"/>
    </row>
    <row r="43" ht="26" customHeight="1">
      <c r="A43" s="31">
        <f>IF(LEN($P$7)&gt;0,$P$7,"PJ 1")</f>
        <v/>
      </c>
      <c r="B43" s="16" t="n"/>
      <c r="C43" s="16" t="n"/>
      <c r="D43" s="16" t="n"/>
      <c r="E43" s="16" t="n"/>
      <c r="F43" s="16" t="n"/>
      <c r="G43" s="16" t="n"/>
      <c r="H43" s="16" t="n"/>
      <c r="I43" s="16" t="n"/>
      <c r="J43" s="16" t="n"/>
      <c r="K43" s="19">
        <f>IF(Z43&gt;0,"O Google leu como fórmula: digite de novo com ' na frente.",IF(OR(AND(ISNUMBER($Q$43),OR($Q$43&lt;-5,$Q$43&gt;40)),AND(ISNUMBER($R$43),OR($R$43&lt;-5,$R$43&gt;40)),AND(ISNUMBER($S$43),OR($S$43&lt;-5,$S$43&gt;40)),AND(ISNUMBER($T$43),OR($T$43&lt;-5,$T$43&gt;40)),AND(ISNUMBER($U$43),OR($U$43&lt;-5,$U$43&gt;40)),AND(ISNUMBER($V$43),OR($V$43&lt;-5,$V$43&gt;40)),AND(ISNUMBER($W$43),OR($W$43&lt;-5,$W$43&gt;40)),AND(ISNUMBER($X$43),OR($X$43&lt;-5,$X$43&gt;40)),AND(ISNUMBER($Y$43),OR($Y$43&lt;-5,$Y$43&gt;40))),"Total fora de −5 a +40: confira na ficha",""))</f>
        <v/>
      </c>
      <c r="Q43" s="2">
        <f>IF(ISERROR($B$43),"",IF(ISBLANK($B$43),"",$B$43))</f>
        <v/>
      </c>
      <c r="R43" s="2">
        <f>IF(ISERROR($C$43),"",IF(ISBLANK($C$43),"",$C$43))</f>
        <v/>
      </c>
      <c r="S43" s="2">
        <f>IF(ISERROR($D$43),"",IF(ISBLANK($D$43),"",$D$43))</f>
        <v/>
      </c>
      <c r="T43" s="2">
        <f>IF(ISERROR($E$43),"",IF(ISBLANK($E$43),"",$E$43))</f>
        <v/>
      </c>
      <c r="U43" s="2">
        <f>IF(ISERROR($F$43),"",IF(ISBLANK($F$43),"",$F$43))</f>
        <v/>
      </c>
      <c r="V43" s="2">
        <f>IF(ISERROR($G$43),"",IF(ISBLANK($G$43),"",$G$43))</f>
        <v/>
      </c>
      <c r="W43" s="2">
        <f>IF(ISERROR($H$43),"",IF(ISBLANK($H$43),"",$H$43))</f>
        <v/>
      </c>
      <c r="X43" s="2">
        <f>IF(ISERROR($I$43),"",IF(ISBLANK($I$43),"",$I$43))</f>
        <v/>
      </c>
      <c r="Y43" s="2">
        <f>IF(ISERROR($J$43),"",IF(ISBLANK($J$43),"",$J$43))</f>
        <v/>
      </c>
      <c r="Z43" s="2">
        <f>ISERROR($B$43)*1+ISERROR($C$43)*1+ISERROR($D$43)*1+ISERROR($E$43)*1+ISERROR($F$43)*1+ISERROR($G$43)*1+ISERROR($H$43)*1+ISERROR($I$43)*1+ISERROR($J$43)*1</f>
        <v/>
      </c>
    </row>
    <row r="44" ht="26" customHeight="1">
      <c r="A44" s="43">
        <f>IF(LEN($P$8)&gt;0,$P$8,"PJ 2")</f>
        <v/>
      </c>
      <c r="B44" s="37" t="n"/>
      <c r="C44" s="37" t="n"/>
      <c r="D44" s="37" t="n"/>
      <c r="E44" s="37" t="n"/>
      <c r="F44" s="37" t="n"/>
      <c r="G44" s="37" t="n"/>
      <c r="H44" s="37" t="n"/>
      <c r="I44" s="37" t="n"/>
      <c r="J44" s="37" t="n"/>
      <c r="K44" s="27">
        <f>IF(Z44&gt;0,"O Google leu como fórmula: digite de novo com ' na frente.",IF(OR(AND(ISNUMBER($Q$44),OR($Q$44&lt;-5,$Q$44&gt;40)),AND(ISNUMBER($R$44),OR($R$44&lt;-5,$R$44&gt;40)),AND(ISNUMBER($S$44),OR($S$44&lt;-5,$S$44&gt;40)),AND(ISNUMBER($T$44),OR($T$44&lt;-5,$T$44&gt;40)),AND(ISNUMBER($U$44),OR($U$44&lt;-5,$U$44&gt;40)),AND(ISNUMBER($V$44),OR($V$44&lt;-5,$V$44&gt;40)),AND(ISNUMBER($W$44),OR($W$44&lt;-5,$W$44&gt;40)),AND(ISNUMBER($X$44),OR($X$44&lt;-5,$X$44&gt;40)),AND(ISNUMBER($Y$44),OR($Y$44&lt;-5,$Y$44&gt;40))),"Total fora de −5 a +40: confira na ficha",""))</f>
        <v/>
      </c>
      <c r="Q44" s="2">
        <f>IF(ISERROR($B$44),"",IF(ISBLANK($B$44),"",$B$44))</f>
        <v/>
      </c>
      <c r="R44" s="2">
        <f>IF(ISERROR($C$44),"",IF(ISBLANK($C$44),"",$C$44))</f>
        <v/>
      </c>
      <c r="S44" s="2">
        <f>IF(ISERROR($D$44),"",IF(ISBLANK($D$44),"",$D$44))</f>
        <v/>
      </c>
      <c r="T44" s="2">
        <f>IF(ISERROR($E$44),"",IF(ISBLANK($E$44),"",$E$44))</f>
        <v/>
      </c>
      <c r="U44" s="2">
        <f>IF(ISERROR($F$44),"",IF(ISBLANK($F$44),"",$F$44))</f>
        <v/>
      </c>
      <c r="V44" s="2">
        <f>IF(ISERROR($G$44),"",IF(ISBLANK($G$44),"",$G$44))</f>
        <v/>
      </c>
      <c r="W44" s="2">
        <f>IF(ISERROR($H$44),"",IF(ISBLANK($H$44),"",$H$44))</f>
        <v/>
      </c>
      <c r="X44" s="2">
        <f>IF(ISERROR($I$44),"",IF(ISBLANK($I$44),"",$I$44))</f>
        <v/>
      </c>
      <c r="Y44" s="2">
        <f>IF(ISERROR($J$44),"",IF(ISBLANK($J$44),"",$J$44))</f>
        <v/>
      </c>
      <c r="Z44" s="2">
        <f>ISERROR($B$44)*1+ISERROR($C$44)*1+ISERROR($D$44)*1+ISERROR($E$44)*1+ISERROR($F$44)*1+ISERROR($G$44)*1+ISERROR($H$44)*1+ISERROR($I$44)*1+ISERROR($J$44)*1</f>
        <v/>
      </c>
    </row>
    <row r="45" ht="26" customHeight="1">
      <c r="A45" s="31">
        <f>IF(LEN($P$9)&gt;0,$P$9,"PJ 3")</f>
        <v/>
      </c>
      <c r="B45" s="16" t="n"/>
      <c r="C45" s="16" t="n"/>
      <c r="D45" s="16" t="n"/>
      <c r="E45" s="16" t="n"/>
      <c r="F45" s="16" t="n"/>
      <c r="G45" s="16" t="n"/>
      <c r="H45" s="16" t="n"/>
      <c r="I45" s="16" t="n"/>
      <c r="J45" s="16" t="n"/>
      <c r="K45" s="19">
        <f>IF(Z45&gt;0,"O Google leu como fórmula: digite de novo com ' na frente.",IF(OR(AND(ISNUMBER($Q$45),OR($Q$45&lt;-5,$Q$45&gt;40)),AND(ISNUMBER($R$45),OR($R$45&lt;-5,$R$45&gt;40)),AND(ISNUMBER($S$45),OR($S$45&lt;-5,$S$45&gt;40)),AND(ISNUMBER($T$45),OR($T$45&lt;-5,$T$45&gt;40)),AND(ISNUMBER($U$45),OR($U$45&lt;-5,$U$45&gt;40)),AND(ISNUMBER($V$45),OR($V$45&lt;-5,$V$45&gt;40)),AND(ISNUMBER($W$45),OR($W$45&lt;-5,$W$45&gt;40)),AND(ISNUMBER($X$45),OR($X$45&lt;-5,$X$45&gt;40)),AND(ISNUMBER($Y$45),OR($Y$45&lt;-5,$Y$45&gt;40))),"Total fora de −5 a +40: confira na ficha",""))</f>
        <v/>
      </c>
      <c r="Q45" s="2">
        <f>IF(ISERROR($B$45),"",IF(ISBLANK($B$45),"",$B$45))</f>
        <v/>
      </c>
      <c r="R45" s="2">
        <f>IF(ISERROR($C$45),"",IF(ISBLANK($C$45),"",$C$45))</f>
        <v/>
      </c>
      <c r="S45" s="2">
        <f>IF(ISERROR($D$45),"",IF(ISBLANK($D$45),"",$D$45))</f>
        <v/>
      </c>
      <c r="T45" s="2">
        <f>IF(ISERROR($E$45),"",IF(ISBLANK($E$45),"",$E$45))</f>
        <v/>
      </c>
      <c r="U45" s="2">
        <f>IF(ISERROR($F$45),"",IF(ISBLANK($F$45),"",$F$45))</f>
        <v/>
      </c>
      <c r="V45" s="2">
        <f>IF(ISERROR($G$45),"",IF(ISBLANK($G$45),"",$G$45))</f>
        <v/>
      </c>
      <c r="W45" s="2">
        <f>IF(ISERROR($H$45),"",IF(ISBLANK($H$45),"",$H$45))</f>
        <v/>
      </c>
      <c r="X45" s="2">
        <f>IF(ISERROR($I$45),"",IF(ISBLANK($I$45),"",$I$45))</f>
        <v/>
      </c>
      <c r="Y45" s="2">
        <f>IF(ISERROR($J$45),"",IF(ISBLANK($J$45),"",$J$45))</f>
        <v/>
      </c>
      <c r="Z45" s="2">
        <f>ISERROR($B$45)*1+ISERROR($C$45)*1+ISERROR($D$45)*1+ISERROR($E$45)*1+ISERROR($F$45)*1+ISERROR($G$45)*1+ISERROR($H$45)*1+ISERROR($I$45)*1+ISERROR($J$45)*1</f>
        <v/>
      </c>
    </row>
    <row r="46" ht="26" customHeight="1">
      <c r="A46" s="43">
        <f>IF(LEN($P$10)&gt;0,$P$10,"PJ 4")</f>
        <v/>
      </c>
      <c r="B46" s="37" t="n"/>
      <c r="C46" s="37" t="n"/>
      <c r="D46" s="37" t="n"/>
      <c r="E46" s="37" t="n"/>
      <c r="F46" s="37" t="n"/>
      <c r="G46" s="37" t="n"/>
      <c r="H46" s="37" t="n"/>
      <c r="I46" s="37" t="n"/>
      <c r="J46" s="37" t="n"/>
      <c r="K46" s="27">
        <f>IF(Z46&gt;0,"O Google leu como fórmula: digite de novo com ' na frente.",IF(OR(AND(ISNUMBER($Q$46),OR($Q$46&lt;-5,$Q$46&gt;40)),AND(ISNUMBER($R$46),OR($R$46&lt;-5,$R$46&gt;40)),AND(ISNUMBER($S$46),OR($S$46&lt;-5,$S$46&gt;40)),AND(ISNUMBER($T$46),OR($T$46&lt;-5,$T$46&gt;40)),AND(ISNUMBER($U$46),OR($U$46&lt;-5,$U$46&gt;40)),AND(ISNUMBER($V$46),OR($V$46&lt;-5,$V$46&gt;40)),AND(ISNUMBER($W$46),OR($W$46&lt;-5,$W$46&gt;40)),AND(ISNUMBER($X$46),OR($X$46&lt;-5,$X$46&gt;40)),AND(ISNUMBER($Y$46),OR($Y$46&lt;-5,$Y$46&gt;40))),"Total fora de −5 a +40: confira na ficha",""))</f>
        <v/>
      </c>
      <c r="Q46" s="2">
        <f>IF(ISERROR($B$46),"",IF(ISBLANK($B$46),"",$B$46))</f>
        <v/>
      </c>
      <c r="R46" s="2">
        <f>IF(ISERROR($C$46),"",IF(ISBLANK($C$46),"",$C$46))</f>
        <v/>
      </c>
      <c r="S46" s="2">
        <f>IF(ISERROR($D$46),"",IF(ISBLANK($D$46),"",$D$46))</f>
        <v/>
      </c>
      <c r="T46" s="2">
        <f>IF(ISERROR($E$46),"",IF(ISBLANK($E$46),"",$E$46))</f>
        <v/>
      </c>
      <c r="U46" s="2">
        <f>IF(ISERROR($F$46),"",IF(ISBLANK($F$46),"",$F$46))</f>
        <v/>
      </c>
      <c r="V46" s="2">
        <f>IF(ISERROR($G$46),"",IF(ISBLANK($G$46),"",$G$46))</f>
        <v/>
      </c>
      <c r="W46" s="2">
        <f>IF(ISERROR($H$46),"",IF(ISBLANK($H$46),"",$H$46))</f>
        <v/>
      </c>
      <c r="X46" s="2">
        <f>IF(ISERROR($I$46),"",IF(ISBLANK($I$46),"",$I$46))</f>
        <v/>
      </c>
      <c r="Y46" s="2">
        <f>IF(ISERROR($J$46),"",IF(ISBLANK($J$46),"",$J$46))</f>
        <v/>
      </c>
      <c r="Z46" s="2">
        <f>ISERROR($B$46)*1+ISERROR($C$46)*1+ISERROR($D$46)*1+ISERROR($E$46)*1+ISERROR($F$46)*1+ISERROR($G$46)*1+ISERROR($H$46)*1+ISERROR($I$46)*1+ISERROR($J$46)*1</f>
        <v/>
      </c>
    </row>
    <row r="47" ht="26" customHeight="1">
      <c r="A47" s="31">
        <f>IF(LEN($P$11)&gt;0,$P$11,"PJ 5")</f>
        <v/>
      </c>
      <c r="B47" s="16" t="n"/>
      <c r="C47" s="16" t="n"/>
      <c r="D47" s="16" t="n"/>
      <c r="E47" s="16" t="n"/>
      <c r="F47" s="16" t="n"/>
      <c r="G47" s="16" t="n"/>
      <c r="H47" s="16" t="n"/>
      <c r="I47" s="16" t="n"/>
      <c r="J47" s="16" t="n"/>
      <c r="K47" s="19">
        <f>IF(Z47&gt;0,"O Google leu como fórmula: digite de novo com ' na frente.",IF(OR(AND(ISNUMBER($Q$47),OR($Q$47&lt;-5,$Q$47&gt;40)),AND(ISNUMBER($R$47),OR($R$47&lt;-5,$R$47&gt;40)),AND(ISNUMBER($S$47),OR($S$47&lt;-5,$S$47&gt;40)),AND(ISNUMBER($T$47),OR($T$47&lt;-5,$T$47&gt;40)),AND(ISNUMBER($U$47),OR($U$47&lt;-5,$U$47&gt;40)),AND(ISNUMBER($V$47),OR($V$47&lt;-5,$V$47&gt;40)),AND(ISNUMBER($W$47),OR($W$47&lt;-5,$W$47&gt;40)),AND(ISNUMBER($X$47),OR($X$47&lt;-5,$X$47&gt;40)),AND(ISNUMBER($Y$47),OR($Y$47&lt;-5,$Y$47&gt;40))),"Total fora de −5 a +40: confira na ficha",""))</f>
        <v/>
      </c>
      <c r="Q47" s="2">
        <f>IF(ISERROR($B$47),"",IF(ISBLANK($B$47),"",$B$47))</f>
        <v/>
      </c>
      <c r="R47" s="2">
        <f>IF(ISERROR($C$47),"",IF(ISBLANK($C$47),"",$C$47))</f>
        <v/>
      </c>
      <c r="S47" s="2">
        <f>IF(ISERROR($D$47),"",IF(ISBLANK($D$47),"",$D$47))</f>
        <v/>
      </c>
      <c r="T47" s="2">
        <f>IF(ISERROR($E$47),"",IF(ISBLANK($E$47),"",$E$47))</f>
        <v/>
      </c>
      <c r="U47" s="2">
        <f>IF(ISERROR($F$47),"",IF(ISBLANK($F$47),"",$F$47))</f>
        <v/>
      </c>
      <c r="V47" s="2">
        <f>IF(ISERROR($G$47),"",IF(ISBLANK($G$47),"",$G$47))</f>
        <v/>
      </c>
      <c r="W47" s="2">
        <f>IF(ISERROR($H$47),"",IF(ISBLANK($H$47),"",$H$47))</f>
        <v/>
      </c>
      <c r="X47" s="2">
        <f>IF(ISERROR($I$47),"",IF(ISBLANK($I$47),"",$I$47))</f>
        <v/>
      </c>
      <c r="Y47" s="2">
        <f>IF(ISERROR($J$47),"",IF(ISBLANK($J$47),"",$J$47))</f>
        <v/>
      </c>
      <c r="Z47" s="2">
        <f>ISERROR($B$47)*1+ISERROR($C$47)*1+ISERROR($D$47)*1+ISERROR($E$47)*1+ISERROR($F$47)*1+ISERROR($G$47)*1+ISERROR($H$47)*1+ISERROR($I$47)*1+ISERROR($J$47)*1</f>
        <v/>
      </c>
    </row>
    <row r="48" ht="26" customHeight="1">
      <c r="A48" s="43">
        <f>IF(LEN($P$12)&gt;0,$P$12,"PJ 6")</f>
        <v/>
      </c>
      <c r="B48" s="37" t="n"/>
      <c r="C48" s="37" t="n"/>
      <c r="D48" s="37" t="n"/>
      <c r="E48" s="37" t="n"/>
      <c r="F48" s="37" t="n"/>
      <c r="G48" s="37" t="n"/>
      <c r="H48" s="37" t="n"/>
      <c r="I48" s="37" t="n"/>
      <c r="J48" s="37" t="n"/>
      <c r="K48" s="27">
        <f>IF(Z48&gt;0,"O Google leu como fórmula: digite de novo com ' na frente.",IF(OR(AND(ISNUMBER($Q$48),OR($Q$48&lt;-5,$Q$48&gt;40)),AND(ISNUMBER($R$48),OR($R$48&lt;-5,$R$48&gt;40)),AND(ISNUMBER($S$48),OR($S$48&lt;-5,$S$48&gt;40)),AND(ISNUMBER($T$48),OR($T$48&lt;-5,$T$48&gt;40)),AND(ISNUMBER($U$48),OR($U$48&lt;-5,$U$48&gt;40)),AND(ISNUMBER($V$48),OR($V$48&lt;-5,$V$48&gt;40)),AND(ISNUMBER($W$48),OR($W$48&lt;-5,$W$48&gt;40)),AND(ISNUMBER($X$48),OR($X$48&lt;-5,$X$48&gt;40)),AND(ISNUMBER($Y$48),OR($Y$48&lt;-5,$Y$48&gt;40))),"Total fora de −5 a +40: confira na ficha",""))</f>
        <v/>
      </c>
      <c r="Q48" s="2">
        <f>IF(ISERROR($B$48),"",IF(ISBLANK($B$48),"",$B$48))</f>
        <v/>
      </c>
      <c r="R48" s="2">
        <f>IF(ISERROR($C$48),"",IF(ISBLANK($C$48),"",$C$48))</f>
        <v/>
      </c>
      <c r="S48" s="2">
        <f>IF(ISERROR($D$48),"",IF(ISBLANK($D$48),"",$D$48))</f>
        <v/>
      </c>
      <c r="T48" s="2">
        <f>IF(ISERROR($E$48),"",IF(ISBLANK($E$48),"",$E$48))</f>
        <v/>
      </c>
      <c r="U48" s="2">
        <f>IF(ISERROR($F$48),"",IF(ISBLANK($F$48),"",$F$48))</f>
        <v/>
      </c>
      <c r="V48" s="2">
        <f>IF(ISERROR($G$48),"",IF(ISBLANK($G$48),"",$G$48))</f>
        <v/>
      </c>
      <c r="W48" s="2">
        <f>IF(ISERROR($H$48),"",IF(ISBLANK($H$48),"",$H$48))</f>
        <v/>
      </c>
      <c r="X48" s="2">
        <f>IF(ISERROR($I$48),"",IF(ISBLANK($I$48),"",$I$48))</f>
        <v/>
      </c>
      <c r="Y48" s="2">
        <f>IF(ISERROR($J$48),"",IF(ISBLANK($J$48),"",$J$48))</f>
        <v/>
      </c>
      <c r="Z48" s="2">
        <f>ISERROR($B$48)*1+ISERROR($C$48)*1+ISERROR($D$48)*1+ISERROR($E$48)*1+ISERROR($F$48)*1+ISERROR($G$48)*1+ISERROR($H$48)*1+ISERROR($I$48)*1+ISERROR($J$48)*1</f>
        <v/>
      </c>
    </row>
    <row r="49"/>
    <row r="50" ht="20" customHeight="1">
      <c r="A50" s="13" t="inlineStr">
        <is>
          <t>G6 · Descobrir Fraqueza (20.2), conversar e o que o Mestre lembra (preencha)</t>
        </is>
      </c>
    </row>
    <row r="51">
      <c r="A51" s="8" t="inlineStr">
        <is>
          <t>PJ</t>
        </is>
      </c>
      <c r="B51" s="8" t="inlineStr">
        <is>
          <t>Pesquisa</t>
        </is>
      </c>
      <c r="C51" s="8" t="inlineStr">
        <is>
          <t>Ciência</t>
        </is>
      </c>
      <c r="D51" s="8" t="inlineStr">
        <is>
          <t>Sintonia</t>
        </is>
      </c>
      <c r="E51" s="8" t="inlineStr">
        <is>
          <t>Persuasão</t>
        </is>
      </c>
      <c r="F51" s="8" t="inlineStr">
        <is>
          <t>Traços e passivas que o Mestre lembra</t>
        </is>
      </c>
      <c r="G51" s="20" t="n"/>
      <c r="H51" s="20" t="n"/>
      <c r="I51" s="20" t="n"/>
      <c r="J51" s="20" t="n"/>
      <c r="K51" s="8" t="inlineStr">
        <is>
          <t>Aviso</t>
        </is>
      </c>
      <c r="L51" s="20" t="n"/>
    </row>
    <row r="52" ht="37" customHeight="1">
      <c r="A52" s="31">
        <f>IF(LEN($P$7)&gt;0,$P$7,"PJ 1")</f>
        <v/>
      </c>
      <c r="B52" s="16" t="n"/>
      <c r="C52" s="16" t="n"/>
      <c r="D52" s="16" t="n"/>
      <c r="E52" s="16" t="n"/>
      <c r="F52" s="4" t="n"/>
      <c r="G52" s="25" t="n"/>
      <c r="H52" s="25" t="n"/>
      <c r="I52" s="25" t="n"/>
      <c r="J52" s="17" t="n"/>
      <c r="K52" s="19">
        <f>IF(Z52&gt;0,"O Google leu como fórmula: digite de novo com ' na frente.",IF(OR(AND(ISNUMBER($Q$52),OR($Q$52&lt;-5,$Q$52&gt;40)),AND(ISNUMBER($R$52),OR($R$52&lt;-5,$R$52&gt;40)),AND(ISNUMBER($S$52),OR($S$52&lt;-5,$S$52&gt;40)),AND(ISNUMBER($T$52),OR($T$52&lt;-5,$T$52&gt;40))),"Total fora de −5 a +40: confira na ficha",""))</f>
        <v/>
      </c>
      <c r="N52" s="2">
        <f>IF(SUMPRODUCT(ISNUMBER($Q$52:$S$52)*1)=0,"",MAX($Q$52:$S$52))</f>
        <v/>
      </c>
      <c r="Q52" s="2">
        <f>IF(ISERROR($B$52),"",IF(ISBLANK($B$52),"",$B$52))</f>
        <v/>
      </c>
      <c r="R52" s="2">
        <f>IF(ISERROR($C$52),"",IF(ISBLANK($C$52),"",$C$52))</f>
        <v/>
      </c>
      <c r="S52" s="2">
        <f>IF(ISERROR($D$52),"",IF(ISBLANK($D$52),"",$D$52))</f>
        <v/>
      </c>
      <c r="T52" s="2">
        <f>IF(ISERROR($E$52),"",IF(ISBLANK($E$52),"",$E$52))</f>
        <v/>
      </c>
      <c r="Z52" s="2">
        <f>ISERROR($B$52)*1+ISERROR($C$52)*1+ISERROR($D$52)*1+ISERROR($E$52)*1+ISERROR($F$52)*1</f>
        <v/>
      </c>
    </row>
    <row r="53" ht="37" customHeight="1">
      <c r="A53" s="43">
        <f>IF(LEN($P$8)&gt;0,$P$8,"PJ 2")</f>
        <v/>
      </c>
      <c r="B53" s="37" t="n"/>
      <c r="C53" s="37" t="n"/>
      <c r="D53" s="37" t="n"/>
      <c r="E53" s="37" t="n"/>
      <c r="F53" s="29" t="n"/>
      <c r="G53" s="25" t="n"/>
      <c r="H53" s="25" t="n"/>
      <c r="I53" s="25" t="n"/>
      <c r="J53" s="17" t="n"/>
      <c r="K53" s="27">
        <f>IF(Z53&gt;0,"O Google leu como fórmula: digite de novo com ' na frente.",IF(OR(AND(ISNUMBER($Q$53),OR($Q$53&lt;-5,$Q$53&gt;40)),AND(ISNUMBER($R$53),OR($R$53&lt;-5,$R$53&gt;40)),AND(ISNUMBER($S$53),OR($S$53&lt;-5,$S$53&gt;40)),AND(ISNUMBER($T$53),OR($T$53&lt;-5,$T$53&gt;40))),"Total fora de −5 a +40: confira na ficha",""))</f>
        <v/>
      </c>
      <c r="N53" s="2">
        <f>IF(SUMPRODUCT(ISNUMBER($Q$53:$S$53)*1)=0,"",MAX($Q$53:$S$53))</f>
        <v/>
      </c>
      <c r="Q53" s="2">
        <f>IF(ISERROR($B$53),"",IF(ISBLANK($B$53),"",$B$53))</f>
        <v/>
      </c>
      <c r="R53" s="2">
        <f>IF(ISERROR($C$53),"",IF(ISBLANK($C$53),"",$C$53))</f>
        <v/>
      </c>
      <c r="S53" s="2">
        <f>IF(ISERROR($D$53),"",IF(ISBLANK($D$53),"",$D$53))</f>
        <v/>
      </c>
      <c r="T53" s="2">
        <f>IF(ISERROR($E$53),"",IF(ISBLANK($E$53),"",$E$53))</f>
        <v/>
      </c>
      <c r="Z53" s="2">
        <f>ISERROR($B$53)*1+ISERROR($C$53)*1+ISERROR($D$53)*1+ISERROR($E$53)*1+ISERROR($F$53)*1</f>
        <v/>
      </c>
    </row>
    <row r="54" ht="37" customHeight="1">
      <c r="A54" s="31">
        <f>IF(LEN($P$9)&gt;0,$P$9,"PJ 3")</f>
        <v/>
      </c>
      <c r="B54" s="16" t="n"/>
      <c r="C54" s="16" t="n"/>
      <c r="D54" s="16" t="n"/>
      <c r="E54" s="16" t="n"/>
      <c r="F54" s="4" t="n"/>
      <c r="G54" s="25" t="n"/>
      <c r="H54" s="25" t="n"/>
      <c r="I54" s="25" t="n"/>
      <c r="J54" s="17" t="n"/>
      <c r="K54" s="19">
        <f>IF(Z54&gt;0,"O Google leu como fórmula: digite de novo com ' na frente.",IF(OR(AND(ISNUMBER($Q$54),OR($Q$54&lt;-5,$Q$54&gt;40)),AND(ISNUMBER($R$54),OR($R$54&lt;-5,$R$54&gt;40)),AND(ISNUMBER($S$54),OR($S$54&lt;-5,$S$54&gt;40)),AND(ISNUMBER($T$54),OR($T$54&lt;-5,$T$54&gt;40))),"Total fora de −5 a +40: confira na ficha",""))</f>
        <v/>
      </c>
      <c r="N54" s="2">
        <f>IF(SUMPRODUCT(ISNUMBER($Q$54:$S$54)*1)=0,"",MAX($Q$54:$S$54))</f>
        <v/>
      </c>
      <c r="Q54" s="2">
        <f>IF(ISERROR($B$54),"",IF(ISBLANK($B$54),"",$B$54))</f>
        <v/>
      </c>
      <c r="R54" s="2">
        <f>IF(ISERROR($C$54),"",IF(ISBLANK($C$54),"",$C$54))</f>
        <v/>
      </c>
      <c r="S54" s="2">
        <f>IF(ISERROR($D$54),"",IF(ISBLANK($D$54),"",$D$54))</f>
        <v/>
      </c>
      <c r="T54" s="2">
        <f>IF(ISERROR($E$54),"",IF(ISBLANK($E$54),"",$E$54))</f>
        <v/>
      </c>
      <c r="Z54" s="2">
        <f>ISERROR($B$54)*1+ISERROR($C$54)*1+ISERROR($D$54)*1+ISERROR($E$54)*1+ISERROR($F$54)*1</f>
        <v/>
      </c>
    </row>
    <row r="55" ht="37" customHeight="1">
      <c r="A55" s="43">
        <f>IF(LEN($P$10)&gt;0,$P$10,"PJ 4")</f>
        <v/>
      </c>
      <c r="B55" s="37" t="n"/>
      <c r="C55" s="37" t="n"/>
      <c r="D55" s="37" t="n"/>
      <c r="E55" s="37" t="n"/>
      <c r="F55" s="29" t="n"/>
      <c r="G55" s="25" t="n"/>
      <c r="H55" s="25" t="n"/>
      <c r="I55" s="25" t="n"/>
      <c r="J55" s="17" t="n"/>
      <c r="K55" s="27">
        <f>IF(Z55&gt;0,"O Google leu como fórmula: digite de novo com ' na frente.",IF(OR(AND(ISNUMBER($Q$55),OR($Q$55&lt;-5,$Q$55&gt;40)),AND(ISNUMBER($R$55),OR($R$55&lt;-5,$R$55&gt;40)),AND(ISNUMBER($S$55),OR($S$55&lt;-5,$S$55&gt;40)),AND(ISNUMBER($T$55),OR($T$55&lt;-5,$T$55&gt;40))),"Total fora de −5 a +40: confira na ficha",""))</f>
        <v/>
      </c>
      <c r="N55" s="2">
        <f>IF(SUMPRODUCT(ISNUMBER($Q$55:$S$55)*1)=0,"",MAX($Q$55:$S$55))</f>
        <v/>
      </c>
      <c r="Q55" s="2">
        <f>IF(ISERROR($B$55),"",IF(ISBLANK($B$55),"",$B$55))</f>
        <v/>
      </c>
      <c r="R55" s="2">
        <f>IF(ISERROR($C$55),"",IF(ISBLANK($C$55),"",$C$55))</f>
        <v/>
      </c>
      <c r="S55" s="2">
        <f>IF(ISERROR($D$55),"",IF(ISBLANK($D$55),"",$D$55))</f>
        <v/>
      </c>
      <c r="T55" s="2">
        <f>IF(ISERROR($E$55),"",IF(ISBLANK($E$55),"",$E$55))</f>
        <v/>
      </c>
      <c r="Z55" s="2">
        <f>ISERROR($B$55)*1+ISERROR($C$55)*1+ISERROR($D$55)*1+ISERROR($E$55)*1+ISERROR($F$55)*1</f>
        <v/>
      </c>
    </row>
    <row r="56" ht="37" customHeight="1">
      <c r="A56" s="31">
        <f>IF(LEN($P$11)&gt;0,$P$11,"PJ 5")</f>
        <v/>
      </c>
      <c r="B56" s="16" t="n"/>
      <c r="C56" s="16" t="n"/>
      <c r="D56" s="16" t="n"/>
      <c r="E56" s="16" t="n"/>
      <c r="F56" s="4" t="n"/>
      <c r="G56" s="25" t="n"/>
      <c r="H56" s="25" t="n"/>
      <c r="I56" s="25" t="n"/>
      <c r="J56" s="17" t="n"/>
      <c r="K56" s="19">
        <f>IF(Z56&gt;0,"O Google leu como fórmula: digite de novo com ' na frente.",IF(OR(AND(ISNUMBER($Q$56),OR($Q$56&lt;-5,$Q$56&gt;40)),AND(ISNUMBER($R$56),OR($R$56&lt;-5,$R$56&gt;40)),AND(ISNUMBER($S$56),OR($S$56&lt;-5,$S$56&gt;40)),AND(ISNUMBER($T$56),OR($T$56&lt;-5,$T$56&gt;40))),"Total fora de −5 a +40: confira na ficha",""))</f>
        <v/>
      </c>
      <c r="N56" s="2">
        <f>IF(SUMPRODUCT(ISNUMBER($Q$56:$S$56)*1)=0,"",MAX($Q$56:$S$56))</f>
        <v/>
      </c>
      <c r="Q56" s="2">
        <f>IF(ISERROR($B$56),"",IF(ISBLANK($B$56),"",$B$56))</f>
        <v/>
      </c>
      <c r="R56" s="2">
        <f>IF(ISERROR($C$56),"",IF(ISBLANK($C$56),"",$C$56))</f>
        <v/>
      </c>
      <c r="S56" s="2">
        <f>IF(ISERROR($D$56),"",IF(ISBLANK($D$56),"",$D$56))</f>
        <v/>
      </c>
      <c r="T56" s="2">
        <f>IF(ISERROR($E$56),"",IF(ISBLANK($E$56),"",$E$56))</f>
        <v/>
      </c>
      <c r="Z56" s="2">
        <f>ISERROR($B$56)*1+ISERROR($C$56)*1+ISERROR($D$56)*1+ISERROR($E$56)*1+ISERROR($F$56)*1</f>
        <v/>
      </c>
    </row>
    <row r="57" ht="37" customHeight="1">
      <c r="A57" s="43">
        <f>IF(LEN($P$12)&gt;0,$P$12,"PJ 6")</f>
        <v/>
      </c>
      <c r="B57" s="37" t="n"/>
      <c r="C57" s="37" t="n"/>
      <c r="D57" s="37" t="n"/>
      <c r="E57" s="37" t="n"/>
      <c r="F57" s="29" t="n"/>
      <c r="G57" s="25" t="n"/>
      <c r="H57" s="25" t="n"/>
      <c r="I57" s="25" t="n"/>
      <c r="J57" s="17" t="n"/>
      <c r="K57" s="27">
        <f>IF(Z57&gt;0,"O Google leu como fórmula: digite de novo com ' na frente.",IF(OR(AND(ISNUMBER($Q$57),OR($Q$57&lt;-5,$Q$57&gt;40)),AND(ISNUMBER($R$57),OR($R$57&lt;-5,$R$57&gt;40)),AND(ISNUMBER($S$57),OR($S$57&lt;-5,$S$57&gt;40)),AND(ISNUMBER($T$57),OR($T$57&lt;-5,$T$57&gt;40))),"Total fora de −5 a +40: confira na ficha",""))</f>
        <v/>
      </c>
      <c r="N57" s="2">
        <f>IF(SUMPRODUCT(ISNUMBER($Q$57:$S$57)*1)=0,"",MAX($Q$57:$S$57))</f>
        <v/>
      </c>
      <c r="Q57" s="2">
        <f>IF(ISERROR($B$57),"",IF(ISBLANK($B$57),"",$B$57))</f>
        <v/>
      </c>
      <c r="R57" s="2">
        <f>IF(ISERROR($C$57),"",IF(ISBLANK($C$57),"",$C$57))</f>
        <v/>
      </c>
      <c r="S57" s="2">
        <f>IF(ISERROR($D$57),"",IF(ISBLANK($D$57),"",$D$57))</f>
        <v/>
      </c>
      <c r="T57" s="2">
        <f>IF(ISERROR($E$57),"",IF(ISBLANK($E$57),"",$E$57))</f>
        <v/>
      </c>
      <c r="Z57" s="2">
        <f>ISERROR($B$57)*1+ISERROR($C$57)*1+ISERROR($D$57)*1+ISERROR($E$57)*1+ISERROR($F$57)*1</f>
        <v/>
      </c>
    </row>
    <row r="58"/>
    <row r="59" ht="20" customHeight="1">
      <c r="A59" s="13" t="inlineStr">
        <is>
          <t>G7 · Memoespírito ligado a cada PJ (Recordação, capítulo 11; preencha, da ficha do jogador, 29.9)</t>
        </is>
      </c>
    </row>
    <row r="60" ht="26" customHeight="1">
      <c r="A60" s="8" t="inlineStr">
        <is>
          <t>PJ dono</t>
        </is>
      </c>
      <c r="B60" s="8" t="inlineStr">
        <is>
          <t>Tem? (Sim/Não)</t>
        </is>
      </c>
      <c r="C60" s="8" t="inlineStr">
        <is>
          <t>Nome dele</t>
        </is>
      </c>
      <c r="D60" s="8" t="inlineStr">
        <is>
          <t>PV máx.</t>
        </is>
      </c>
      <c r="E60" s="8" t="inlineStr">
        <is>
          <t>Defesa</t>
        </is>
      </c>
      <c r="F60" s="8" t="inlineStr">
        <is>
          <t>VEL</t>
        </is>
      </c>
      <c r="G60" s="8" t="inlineStr">
        <is>
          <t>RD</t>
        </is>
      </c>
      <c r="H60" s="8" t="inlineStr">
        <is>
          <t>Pontos em Discernimento</t>
        </is>
      </c>
      <c r="I60" s="8" t="inlineStr">
        <is>
          <t>Pontos em Agilidade</t>
        </is>
      </c>
      <c r="J60" s="8" t="inlineStr">
        <is>
          <t>Pontos em Vigor</t>
        </is>
      </c>
      <c r="K60" s="8" t="inlineStr">
        <is>
          <t>Aviso</t>
        </is>
      </c>
      <c r="L60" s="20" t="n"/>
    </row>
    <row r="61" ht="37" customHeight="1">
      <c r="A61" s="31">
        <f>IF(LEN($P$7)&gt;0,$P$7,"PJ 1")</f>
        <v/>
      </c>
      <c r="B61" s="34" t="n"/>
      <c r="C61" s="4" t="n"/>
      <c r="D61" s="16" t="n"/>
      <c r="E61" s="16" t="n"/>
      <c r="F61" s="16" t="n"/>
      <c r="G61" s="16" t="n"/>
      <c r="H61" s="16" t="n"/>
      <c r="I61" s="16" t="n"/>
      <c r="J61" s="16" t="n"/>
      <c r="K61" s="19">
        <f>IF(Z61&gt;0,"O Google leu como fórmula: escolha de novo ou digite com ' na frente.",IF($Q$61="Sim",IF(LEN($P$7)=0,"PJ sem nome em G1: o Memoespírito não entra no Combate",IF(AND(LEN($S$7)&gt;0,$S$7&lt;&gt;"A Recordação"),"O Memoespírito é da Recordação (11.1); este PJ é de outro Caminho",IF(AND(ISNUMBER($U$61),$U$61&lt;10+IF(ISNUMBER($X$61),$X$61,0)+1),"VEL abaixo de 10 + Agilidade + 1 (11.4): confira na ficha",IF(AND(ISNUMBER($T$61),$T$61&lt;10+IF(ISNUMBER($X$61),$X$61,0)+'Campanha'!$B$20),"Defesa abaixo de 10 + Agilidade + Eficiência (11.4): confira na ficha",IF(AND(ISNUMBER($S$61),$S$61&lt;8*'Campanha'!$B$17+3*IF(ISNUMBER($Y$61),$Y$61,0)),"PV abaixo de 8 × nível + 3 × Vigor (11.4): confira na ficha",IF(IF(ISNUMBER($X$61),$X$61,0)+IF(ISNUMBER($W$61),$W$61,0)+IF(ISNUMBER($Y$61),$Y$61,0)&gt;12+INT('Campanha'!$B$17/2),"Pontos acima de 12 + 1 a cada 2 níveis (11.3)","")))))),IF(LEN($R$61&amp;$S$61&amp;$T$61&amp;$U$61&amp;$V$61&amp;$X$61&amp;$W$61&amp;$Y$61)&gt;0,"Marque Sim em Tem? para o Memoespírito aparecer no Combate","")))</f>
        <v/>
      </c>
      <c r="Q61" s="2">
        <f>IF(ISERROR($B$61),"",IF(ISBLANK($B$61),"",$B$61))</f>
        <v/>
      </c>
      <c r="R61" s="2">
        <f>IF(ISERROR($C$61),"",IF(ISBLANK($C$61),"",$C$61))</f>
        <v/>
      </c>
      <c r="S61" s="2">
        <f>IF(ISERROR($D$61),"",IF(ISBLANK($D$61),"",$D$61))</f>
        <v/>
      </c>
      <c r="T61" s="2">
        <f>IF(ISERROR($E$61),"",IF(ISBLANK($E$61),"",$E$61))</f>
        <v/>
      </c>
      <c r="U61" s="2">
        <f>IF(ISERROR($F$61),"",IF(ISBLANK($F$61),"",$F$61))</f>
        <v/>
      </c>
      <c r="V61" s="2">
        <f>IF(ISERROR($G$61),"",IF(ISBLANK($G$61),"",$G$61))</f>
        <v/>
      </c>
      <c r="W61" s="2">
        <f>IF(ISERROR($H$61),"",IF(ISBLANK($H$61),"",$H$61))</f>
        <v/>
      </c>
      <c r="X61" s="2">
        <f>IF(ISERROR($I$61),"",IF(ISBLANK($I$61),"",$I$61))</f>
        <v/>
      </c>
      <c r="Y61" s="2">
        <f>IF(ISERROR($J$61),"",IF(ISBLANK($J$61),"",$J$61))</f>
        <v/>
      </c>
      <c r="Z61" s="2">
        <f>ISERROR($B$61)*1+ISERROR($C$61)*1+ISERROR($D$61)*1+ISERROR($E$61)*1+ISERROR($F$61)*1+ISERROR($G$61)*1+ISERROR($H$61)*1+ISERROR($I$61)*1+ISERROR($J$61)*1</f>
        <v/>
      </c>
    </row>
    <row r="62" ht="37" customHeight="1">
      <c r="A62" s="43">
        <f>IF(LEN($P$8)&gt;0,$P$8,"PJ 2")</f>
        <v/>
      </c>
      <c r="B62" s="36" t="n"/>
      <c r="C62" s="29" t="n"/>
      <c r="D62" s="37" t="n"/>
      <c r="E62" s="37" t="n"/>
      <c r="F62" s="37" t="n"/>
      <c r="G62" s="37" t="n"/>
      <c r="H62" s="37" t="n"/>
      <c r="I62" s="37" t="n"/>
      <c r="J62" s="37" t="n"/>
      <c r="K62" s="27">
        <f>IF(Z62&gt;0,"O Google leu como fórmula: escolha de novo ou digite com ' na frente.",IF($Q$62="Sim",IF(LEN($P$8)=0,"PJ sem nome em G1: o Memoespírito não entra no Combate",IF(AND(LEN($S$8)&gt;0,$S$8&lt;&gt;"A Recordação"),"O Memoespírito é da Recordação (11.1); este PJ é de outro Caminho",IF(AND(ISNUMBER($U$62),$U$62&lt;10+IF(ISNUMBER($X$62),$X$62,0)+1),"VEL abaixo de 10 + Agilidade + 1 (11.4): confira na ficha",IF(AND(ISNUMBER($T$62),$T$62&lt;10+IF(ISNUMBER($X$62),$X$62,0)+'Campanha'!$B$20),"Defesa abaixo de 10 + Agilidade + Eficiência (11.4): confira na ficha",IF(AND(ISNUMBER($S$62),$S$62&lt;8*'Campanha'!$B$17+3*IF(ISNUMBER($Y$62),$Y$62,0)),"PV abaixo de 8 × nível + 3 × Vigor (11.4): confira na ficha",IF(IF(ISNUMBER($X$62),$X$62,0)+IF(ISNUMBER($W$62),$W$62,0)+IF(ISNUMBER($Y$62),$Y$62,0)&gt;12+INT('Campanha'!$B$17/2),"Pontos acima de 12 + 1 a cada 2 níveis (11.3)","")))))),IF(LEN($R$62&amp;$S$62&amp;$T$62&amp;$U$62&amp;$V$62&amp;$X$62&amp;$W$62&amp;$Y$62)&gt;0,"Marque Sim em Tem? para o Memoespírito aparecer no Combate","")))</f>
        <v/>
      </c>
      <c r="Q62" s="2">
        <f>IF(ISERROR($B$62),"",IF(ISBLANK($B$62),"",$B$62))</f>
        <v/>
      </c>
      <c r="R62" s="2">
        <f>IF(ISERROR($C$62),"",IF(ISBLANK($C$62),"",$C$62))</f>
        <v/>
      </c>
      <c r="S62" s="2">
        <f>IF(ISERROR($D$62),"",IF(ISBLANK($D$62),"",$D$62))</f>
        <v/>
      </c>
      <c r="T62" s="2">
        <f>IF(ISERROR($E$62),"",IF(ISBLANK($E$62),"",$E$62))</f>
        <v/>
      </c>
      <c r="U62" s="2">
        <f>IF(ISERROR($F$62),"",IF(ISBLANK($F$62),"",$F$62))</f>
        <v/>
      </c>
      <c r="V62" s="2">
        <f>IF(ISERROR($G$62),"",IF(ISBLANK($G$62),"",$G$62))</f>
        <v/>
      </c>
      <c r="W62" s="2">
        <f>IF(ISERROR($H$62),"",IF(ISBLANK($H$62),"",$H$62))</f>
        <v/>
      </c>
      <c r="X62" s="2">
        <f>IF(ISERROR($I$62),"",IF(ISBLANK($I$62),"",$I$62))</f>
        <v/>
      </c>
      <c r="Y62" s="2">
        <f>IF(ISERROR($J$62),"",IF(ISBLANK($J$62),"",$J$62))</f>
        <v/>
      </c>
      <c r="Z62" s="2">
        <f>ISERROR($B$62)*1+ISERROR($C$62)*1+ISERROR($D$62)*1+ISERROR($E$62)*1+ISERROR($F$62)*1+ISERROR($G$62)*1+ISERROR($H$62)*1+ISERROR($I$62)*1+ISERROR($J$62)*1</f>
        <v/>
      </c>
    </row>
    <row r="63" ht="37" customHeight="1">
      <c r="A63" s="31">
        <f>IF(LEN($P$9)&gt;0,$P$9,"PJ 3")</f>
        <v/>
      </c>
      <c r="B63" s="34" t="n"/>
      <c r="C63" s="4" t="n"/>
      <c r="D63" s="16" t="n"/>
      <c r="E63" s="16" t="n"/>
      <c r="F63" s="16" t="n"/>
      <c r="G63" s="16" t="n"/>
      <c r="H63" s="16" t="n"/>
      <c r="I63" s="16" t="n"/>
      <c r="J63" s="16" t="n"/>
      <c r="K63" s="19">
        <f>IF(Z63&gt;0,"O Google leu como fórmula: escolha de novo ou digite com ' na frente.",IF($Q$63="Sim",IF(LEN($P$9)=0,"PJ sem nome em G1: o Memoespírito não entra no Combate",IF(AND(LEN($S$9)&gt;0,$S$9&lt;&gt;"A Recordação"),"O Memoespírito é da Recordação (11.1); este PJ é de outro Caminho",IF(AND(ISNUMBER($U$63),$U$63&lt;10+IF(ISNUMBER($X$63),$X$63,0)+1),"VEL abaixo de 10 + Agilidade + 1 (11.4): confira na ficha",IF(AND(ISNUMBER($T$63),$T$63&lt;10+IF(ISNUMBER($X$63),$X$63,0)+'Campanha'!$B$20),"Defesa abaixo de 10 + Agilidade + Eficiência (11.4): confira na ficha",IF(AND(ISNUMBER($S$63),$S$63&lt;8*'Campanha'!$B$17+3*IF(ISNUMBER($Y$63),$Y$63,0)),"PV abaixo de 8 × nível + 3 × Vigor (11.4): confira na ficha",IF(IF(ISNUMBER($X$63),$X$63,0)+IF(ISNUMBER($W$63),$W$63,0)+IF(ISNUMBER($Y$63),$Y$63,0)&gt;12+INT('Campanha'!$B$17/2),"Pontos acima de 12 + 1 a cada 2 níveis (11.3)","")))))),IF(LEN($R$63&amp;$S$63&amp;$T$63&amp;$U$63&amp;$V$63&amp;$X$63&amp;$W$63&amp;$Y$63)&gt;0,"Marque Sim em Tem? para o Memoespírito aparecer no Combate","")))</f>
        <v/>
      </c>
      <c r="Q63" s="2">
        <f>IF(ISERROR($B$63),"",IF(ISBLANK($B$63),"",$B$63))</f>
        <v/>
      </c>
      <c r="R63" s="2">
        <f>IF(ISERROR($C$63),"",IF(ISBLANK($C$63),"",$C$63))</f>
        <v/>
      </c>
      <c r="S63" s="2">
        <f>IF(ISERROR($D$63),"",IF(ISBLANK($D$63),"",$D$63))</f>
        <v/>
      </c>
      <c r="T63" s="2">
        <f>IF(ISERROR($E$63),"",IF(ISBLANK($E$63),"",$E$63))</f>
        <v/>
      </c>
      <c r="U63" s="2">
        <f>IF(ISERROR($F$63),"",IF(ISBLANK($F$63),"",$F$63))</f>
        <v/>
      </c>
      <c r="V63" s="2">
        <f>IF(ISERROR($G$63),"",IF(ISBLANK($G$63),"",$G$63))</f>
        <v/>
      </c>
      <c r="W63" s="2">
        <f>IF(ISERROR($H$63),"",IF(ISBLANK($H$63),"",$H$63))</f>
        <v/>
      </c>
      <c r="X63" s="2">
        <f>IF(ISERROR($I$63),"",IF(ISBLANK($I$63),"",$I$63))</f>
        <v/>
      </c>
      <c r="Y63" s="2">
        <f>IF(ISERROR($J$63),"",IF(ISBLANK($J$63),"",$J$63))</f>
        <v/>
      </c>
      <c r="Z63" s="2">
        <f>ISERROR($B$63)*1+ISERROR($C$63)*1+ISERROR($D$63)*1+ISERROR($E$63)*1+ISERROR($F$63)*1+ISERROR($G$63)*1+ISERROR($H$63)*1+ISERROR($I$63)*1+ISERROR($J$63)*1</f>
        <v/>
      </c>
    </row>
    <row r="64" ht="37" customHeight="1">
      <c r="A64" s="43">
        <f>IF(LEN($P$10)&gt;0,$P$10,"PJ 4")</f>
        <v/>
      </c>
      <c r="B64" s="36" t="n"/>
      <c r="C64" s="29" t="n"/>
      <c r="D64" s="37" t="n"/>
      <c r="E64" s="37" t="n"/>
      <c r="F64" s="37" t="n"/>
      <c r="G64" s="37" t="n"/>
      <c r="H64" s="37" t="n"/>
      <c r="I64" s="37" t="n"/>
      <c r="J64" s="37" t="n"/>
      <c r="K64" s="27">
        <f>IF(Z64&gt;0,"O Google leu como fórmula: escolha de novo ou digite com ' na frente.",IF($Q$64="Sim",IF(LEN($P$10)=0,"PJ sem nome em G1: o Memoespírito não entra no Combate",IF(AND(LEN($S$10)&gt;0,$S$10&lt;&gt;"A Recordação"),"O Memoespírito é da Recordação (11.1); este PJ é de outro Caminho",IF(AND(ISNUMBER($U$64),$U$64&lt;10+IF(ISNUMBER($X$64),$X$64,0)+1),"VEL abaixo de 10 + Agilidade + 1 (11.4): confira na ficha",IF(AND(ISNUMBER($T$64),$T$64&lt;10+IF(ISNUMBER($X$64),$X$64,0)+'Campanha'!$B$20),"Defesa abaixo de 10 + Agilidade + Eficiência (11.4): confira na ficha",IF(AND(ISNUMBER($S$64),$S$64&lt;8*'Campanha'!$B$17+3*IF(ISNUMBER($Y$64),$Y$64,0)),"PV abaixo de 8 × nível + 3 × Vigor (11.4): confira na ficha",IF(IF(ISNUMBER($X$64),$X$64,0)+IF(ISNUMBER($W$64),$W$64,0)+IF(ISNUMBER($Y$64),$Y$64,0)&gt;12+INT('Campanha'!$B$17/2),"Pontos acima de 12 + 1 a cada 2 níveis (11.3)","")))))),IF(LEN($R$64&amp;$S$64&amp;$T$64&amp;$U$64&amp;$V$64&amp;$X$64&amp;$W$64&amp;$Y$64)&gt;0,"Marque Sim em Tem? para o Memoespírito aparecer no Combate","")))</f>
        <v/>
      </c>
      <c r="Q64" s="2">
        <f>IF(ISERROR($B$64),"",IF(ISBLANK($B$64),"",$B$64))</f>
        <v/>
      </c>
      <c r="R64" s="2">
        <f>IF(ISERROR($C$64),"",IF(ISBLANK($C$64),"",$C$64))</f>
        <v/>
      </c>
      <c r="S64" s="2">
        <f>IF(ISERROR($D$64),"",IF(ISBLANK($D$64),"",$D$64))</f>
        <v/>
      </c>
      <c r="T64" s="2">
        <f>IF(ISERROR($E$64),"",IF(ISBLANK($E$64),"",$E$64))</f>
        <v/>
      </c>
      <c r="U64" s="2">
        <f>IF(ISERROR($F$64),"",IF(ISBLANK($F$64),"",$F$64))</f>
        <v/>
      </c>
      <c r="V64" s="2">
        <f>IF(ISERROR($G$64),"",IF(ISBLANK($G$64),"",$G$64))</f>
        <v/>
      </c>
      <c r="W64" s="2">
        <f>IF(ISERROR($H$64),"",IF(ISBLANK($H$64),"",$H$64))</f>
        <v/>
      </c>
      <c r="X64" s="2">
        <f>IF(ISERROR($I$64),"",IF(ISBLANK($I$64),"",$I$64))</f>
        <v/>
      </c>
      <c r="Y64" s="2">
        <f>IF(ISERROR($J$64),"",IF(ISBLANK($J$64),"",$J$64))</f>
        <v/>
      </c>
      <c r="Z64" s="2">
        <f>ISERROR($B$64)*1+ISERROR($C$64)*1+ISERROR($D$64)*1+ISERROR($E$64)*1+ISERROR($F$64)*1+ISERROR($G$64)*1+ISERROR($H$64)*1+ISERROR($I$64)*1+ISERROR($J$64)*1</f>
        <v/>
      </c>
    </row>
    <row r="65" ht="37" customHeight="1">
      <c r="A65" s="31">
        <f>IF(LEN($P$11)&gt;0,$P$11,"PJ 5")</f>
        <v/>
      </c>
      <c r="B65" s="34" t="n"/>
      <c r="C65" s="4" t="n"/>
      <c r="D65" s="16" t="n"/>
      <c r="E65" s="16" t="n"/>
      <c r="F65" s="16" t="n"/>
      <c r="G65" s="16" t="n"/>
      <c r="H65" s="16" t="n"/>
      <c r="I65" s="16" t="n"/>
      <c r="J65" s="16" t="n"/>
      <c r="K65" s="19">
        <f>IF(Z65&gt;0,"O Google leu como fórmula: escolha de novo ou digite com ' na frente.",IF($Q$65="Sim",IF(LEN($P$11)=0,"PJ sem nome em G1: o Memoespírito não entra no Combate",IF(AND(LEN($S$11)&gt;0,$S$11&lt;&gt;"A Recordação"),"O Memoespírito é da Recordação (11.1); este PJ é de outro Caminho",IF(AND(ISNUMBER($U$65),$U$65&lt;10+IF(ISNUMBER($X$65),$X$65,0)+1),"VEL abaixo de 10 + Agilidade + 1 (11.4): confira na ficha",IF(AND(ISNUMBER($T$65),$T$65&lt;10+IF(ISNUMBER($X$65),$X$65,0)+'Campanha'!$B$20),"Defesa abaixo de 10 + Agilidade + Eficiência (11.4): confira na ficha",IF(AND(ISNUMBER($S$65),$S$65&lt;8*'Campanha'!$B$17+3*IF(ISNUMBER($Y$65),$Y$65,0)),"PV abaixo de 8 × nível + 3 × Vigor (11.4): confira na ficha",IF(IF(ISNUMBER($X$65),$X$65,0)+IF(ISNUMBER($W$65),$W$65,0)+IF(ISNUMBER($Y$65),$Y$65,0)&gt;12+INT('Campanha'!$B$17/2),"Pontos acima de 12 + 1 a cada 2 níveis (11.3)","")))))),IF(LEN($R$65&amp;$S$65&amp;$T$65&amp;$U$65&amp;$V$65&amp;$X$65&amp;$W$65&amp;$Y$65)&gt;0,"Marque Sim em Tem? para o Memoespírito aparecer no Combate","")))</f>
        <v/>
      </c>
      <c r="Q65" s="2">
        <f>IF(ISERROR($B$65),"",IF(ISBLANK($B$65),"",$B$65))</f>
        <v/>
      </c>
      <c r="R65" s="2">
        <f>IF(ISERROR($C$65),"",IF(ISBLANK($C$65),"",$C$65))</f>
        <v/>
      </c>
      <c r="S65" s="2">
        <f>IF(ISERROR($D$65),"",IF(ISBLANK($D$65),"",$D$65))</f>
        <v/>
      </c>
      <c r="T65" s="2">
        <f>IF(ISERROR($E$65),"",IF(ISBLANK($E$65),"",$E$65))</f>
        <v/>
      </c>
      <c r="U65" s="2">
        <f>IF(ISERROR($F$65),"",IF(ISBLANK($F$65),"",$F$65))</f>
        <v/>
      </c>
      <c r="V65" s="2">
        <f>IF(ISERROR($G$65),"",IF(ISBLANK($G$65),"",$G$65))</f>
        <v/>
      </c>
      <c r="W65" s="2">
        <f>IF(ISERROR($H$65),"",IF(ISBLANK($H$65),"",$H$65))</f>
        <v/>
      </c>
      <c r="X65" s="2">
        <f>IF(ISERROR($I$65),"",IF(ISBLANK($I$65),"",$I$65))</f>
        <v/>
      </c>
      <c r="Y65" s="2">
        <f>IF(ISERROR($J$65),"",IF(ISBLANK($J$65),"",$J$65))</f>
        <v/>
      </c>
      <c r="Z65" s="2">
        <f>ISERROR($B$65)*1+ISERROR($C$65)*1+ISERROR($D$65)*1+ISERROR($E$65)*1+ISERROR($F$65)*1+ISERROR($G$65)*1+ISERROR($H$65)*1+ISERROR($I$65)*1+ISERROR($J$65)*1</f>
        <v/>
      </c>
    </row>
    <row r="66" ht="37" customHeight="1">
      <c r="A66" s="43">
        <f>IF(LEN($P$12)&gt;0,$P$12,"PJ 6")</f>
        <v/>
      </c>
      <c r="B66" s="36" t="n"/>
      <c r="C66" s="29" t="n"/>
      <c r="D66" s="37" t="n"/>
      <c r="E66" s="37" t="n"/>
      <c r="F66" s="37" t="n"/>
      <c r="G66" s="37" t="n"/>
      <c r="H66" s="37" t="n"/>
      <c r="I66" s="37" t="n"/>
      <c r="J66" s="37" t="n"/>
      <c r="K66" s="27">
        <f>IF(Z66&gt;0,"O Google leu como fórmula: escolha de novo ou digite com ' na frente.",IF($Q$66="Sim",IF(LEN($P$12)=0,"PJ sem nome em G1: o Memoespírito não entra no Combate",IF(AND(LEN($S$12)&gt;0,$S$12&lt;&gt;"A Recordação"),"O Memoespírito é da Recordação (11.1); este PJ é de outro Caminho",IF(AND(ISNUMBER($U$66),$U$66&lt;10+IF(ISNUMBER($X$66),$X$66,0)+1),"VEL abaixo de 10 + Agilidade + 1 (11.4): confira na ficha",IF(AND(ISNUMBER($T$66),$T$66&lt;10+IF(ISNUMBER($X$66),$X$66,0)+'Campanha'!$B$20),"Defesa abaixo de 10 + Agilidade + Eficiência (11.4): confira na ficha",IF(AND(ISNUMBER($S$66),$S$66&lt;8*'Campanha'!$B$17+3*IF(ISNUMBER($Y$66),$Y$66,0)),"PV abaixo de 8 × nível + 3 × Vigor (11.4): confira na ficha",IF(IF(ISNUMBER($X$66),$X$66,0)+IF(ISNUMBER($W$66),$W$66,0)+IF(ISNUMBER($Y$66),$Y$66,0)&gt;12+INT('Campanha'!$B$17/2),"Pontos acima de 12 + 1 a cada 2 níveis (11.3)","")))))),IF(LEN($R$66&amp;$S$66&amp;$T$66&amp;$U$66&amp;$V$66&amp;$X$66&amp;$W$66&amp;$Y$66)&gt;0,"Marque Sim em Tem? para o Memoespírito aparecer no Combate","")))</f>
        <v/>
      </c>
      <c r="Q66" s="2">
        <f>IF(ISERROR($B$66),"",IF(ISBLANK($B$66),"",$B$66))</f>
        <v/>
      </c>
      <c r="R66" s="2">
        <f>IF(ISERROR($C$66),"",IF(ISBLANK($C$66),"",$C$66))</f>
        <v/>
      </c>
      <c r="S66" s="2">
        <f>IF(ISERROR($D$66),"",IF(ISBLANK($D$66),"",$D$66))</f>
        <v/>
      </c>
      <c r="T66" s="2">
        <f>IF(ISERROR($E$66),"",IF(ISBLANK($E$66),"",$E$66))</f>
        <v/>
      </c>
      <c r="U66" s="2">
        <f>IF(ISERROR($F$66),"",IF(ISBLANK($F$66),"",$F$66))</f>
        <v/>
      </c>
      <c r="V66" s="2">
        <f>IF(ISERROR($G$66),"",IF(ISBLANK($G$66),"",$G$66))</f>
        <v/>
      </c>
      <c r="W66" s="2">
        <f>IF(ISERROR($H$66),"",IF(ISBLANK($H$66),"",$H$66))</f>
        <v/>
      </c>
      <c r="X66" s="2">
        <f>IF(ISERROR($I$66),"",IF(ISBLANK($I$66),"",$I$66))</f>
        <v/>
      </c>
      <c r="Y66" s="2">
        <f>IF(ISERROR($J$66),"",IF(ISBLANK($J$66),"",$J$66))</f>
        <v/>
      </c>
      <c r="Z66" s="2">
        <f>ISERROR($B$66)*1+ISERROR($C$66)*1+ISERROR($D$66)*1+ISERROR($E$66)*1+ISERROR($F$66)*1+ISERROR($G$66)*1+ISERROR($H$66)*1+ISERROR($I$66)*1+ISERROR($J$66)*1</f>
        <v/>
      </c>
    </row>
    <row r="67"/>
    <row r="68" ht="20" customHeight="1">
      <c r="A68" s="13" t="inlineStr">
        <is>
          <t>G8 · Memoespírito: os números que o Combate usa (automático; vazio em G7 = 11.4 sem Bênção)</t>
        </is>
      </c>
    </row>
    <row r="69" ht="26" customHeight="1">
      <c r="A69" s="8" t="inlineStr">
        <is>
          <t>PJ dono</t>
        </is>
      </c>
      <c r="B69" s="8" t="inlineStr">
        <is>
          <t>Memoespírito</t>
        </is>
      </c>
      <c r="C69" s="20" t="n"/>
      <c r="D69" s="8" t="inlineStr">
        <is>
          <t>PV máx.</t>
        </is>
      </c>
      <c r="E69" s="8" t="inlineStr">
        <is>
          <t>Defesa</t>
        </is>
      </c>
      <c r="F69" s="8" t="inlineStr">
        <is>
          <t>VEL</t>
        </is>
      </c>
      <c r="G69" s="8" t="inlineStr">
        <is>
          <t>RD</t>
        </is>
      </c>
      <c r="H69" s="8" t="inlineStr">
        <is>
          <t>Dano do ataque (11.4)</t>
        </is>
      </c>
      <c r="I69" s="20" t="n"/>
      <c r="J69" s="8" t="inlineStr">
        <is>
          <t>Redução de Tenacidade</t>
        </is>
      </c>
      <c r="K69" s="8" t="inlineStr">
        <is>
          <t>Aviso</t>
        </is>
      </c>
      <c r="L69" s="20" t="n"/>
    </row>
    <row r="70" ht="37" customHeight="1">
      <c r="A70" s="31">
        <f>IF(LEN($P$7)&gt;0,$P$7,"PJ 1")</f>
        <v/>
      </c>
      <c r="B70" s="5">
        <f>IF($Q$61="Sim",IF(LEN($R$61)&gt;0,$R$61,"(sem nome)"),"—")</f>
        <v/>
      </c>
      <c r="D70" s="18">
        <f>IF($Q$61="Sim",IF(ISNUMBER($S$61),$S$61,8*'Campanha'!$B$17+3*IF(ISNUMBER($Y$61),$Y$61,0)),"")</f>
        <v/>
      </c>
      <c r="E70" s="18">
        <f>IF($Q$61="Sim",IF(ISNUMBER($T$61),$T$61,10+IF(ISNUMBER($X$61),$X$61,0)+'Campanha'!$B$20),"")</f>
        <v/>
      </c>
      <c r="F70" s="18">
        <f>IF($Q$61="Sim",IF(ISNUMBER($U$61),$U$61,10+IF(ISNUMBER($X$61),$X$61,0)+1),"")</f>
        <v/>
      </c>
      <c r="G70" s="18">
        <f>IF($Q$61="Sim",IF(ISNUMBER($V$61),$V$61,0),"")</f>
        <v/>
      </c>
      <c r="H70" s="5">
        <f>IF($Q$61="Sim",'Campanha'!$B$18&amp;"d6 + pontos no Atributo de ataque ("&amp;('Campanha'!$B$18+1)&amp;"d6 se a arma do dono for de Energia)","")</f>
        <v/>
      </c>
      <c r="J70" s="18">
        <f>IF($Q$61="Sim",IF('Campanha'!$B$17&gt;=11,2,1),"")</f>
        <v/>
      </c>
      <c r="K70" s="19">
        <f>IF(AND($Q$61="Sim",OR(NOT(ISNUMBER($S$61)),NOT(ISNUMBER($T$61)),NOT(ISNUMBER($U$61)))),"Campo vazio em G7: usando 11.4 sem Bênção nem Bônus menor; digite o da ficha","")</f>
        <v/>
      </c>
    </row>
    <row r="71" ht="37" customHeight="1">
      <c r="A71" s="43">
        <f>IF(LEN($P$8)&gt;0,$P$8,"PJ 2")</f>
        <v/>
      </c>
      <c r="B71" s="10">
        <f>IF($Q$62="Sim",IF(LEN($R$62)&gt;0,$R$62,"(sem nome)"),"—")</f>
        <v/>
      </c>
      <c r="D71" s="23">
        <f>IF($Q$62="Sim",IF(ISNUMBER($S$62),$S$62,8*'Campanha'!$B$17+3*IF(ISNUMBER($Y$62),$Y$62,0)),"")</f>
        <v/>
      </c>
      <c r="E71" s="23">
        <f>IF($Q$62="Sim",IF(ISNUMBER($T$62),$T$62,10+IF(ISNUMBER($X$62),$X$62,0)+'Campanha'!$B$20),"")</f>
        <v/>
      </c>
      <c r="F71" s="23">
        <f>IF($Q$62="Sim",IF(ISNUMBER($U$62),$U$62,10+IF(ISNUMBER($X$62),$X$62,0)+1),"")</f>
        <v/>
      </c>
      <c r="G71" s="23">
        <f>IF($Q$62="Sim",IF(ISNUMBER($V$62),$V$62,0),"")</f>
        <v/>
      </c>
      <c r="H71" s="10">
        <f>IF($Q$62="Sim",'Campanha'!$B$18&amp;"d6 + pontos no Atributo de ataque ("&amp;('Campanha'!$B$18+1)&amp;"d6 se a arma do dono for de Energia)","")</f>
        <v/>
      </c>
      <c r="J71" s="23">
        <f>IF($Q$62="Sim",IF('Campanha'!$B$17&gt;=11,2,1),"")</f>
        <v/>
      </c>
      <c r="K71" s="27">
        <f>IF(AND($Q$62="Sim",OR(NOT(ISNUMBER($S$62)),NOT(ISNUMBER($T$62)),NOT(ISNUMBER($U$62)))),"Campo vazio em G7: usando 11.4 sem Bênção nem Bônus menor; digite o da ficha","")</f>
        <v/>
      </c>
    </row>
    <row r="72" ht="37" customHeight="1">
      <c r="A72" s="31">
        <f>IF(LEN($P$9)&gt;0,$P$9,"PJ 3")</f>
        <v/>
      </c>
      <c r="B72" s="5">
        <f>IF($Q$63="Sim",IF(LEN($R$63)&gt;0,$R$63,"(sem nome)"),"—")</f>
        <v/>
      </c>
      <c r="D72" s="18">
        <f>IF($Q$63="Sim",IF(ISNUMBER($S$63),$S$63,8*'Campanha'!$B$17+3*IF(ISNUMBER($Y$63),$Y$63,0)),"")</f>
        <v/>
      </c>
      <c r="E72" s="18">
        <f>IF($Q$63="Sim",IF(ISNUMBER($T$63),$T$63,10+IF(ISNUMBER($X$63),$X$63,0)+'Campanha'!$B$20),"")</f>
        <v/>
      </c>
      <c r="F72" s="18">
        <f>IF($Q$63="Sim",IF(ISNUMBER($U$63),$U$63,10+IF(ISNUMBER($X$63),$X$63,0)+1),"")</f>
        <v/>
      </c>
      <c r="G72" s="18">
        <f>IF($Q$63="Sim",IF(ISNUMBER($V$63),$V$63,0),"")</f>
        <v/>
      </c>
      <c r="H72" s="5">
        <f>IF($Q$63="Sim",'Campanha'!$B$18&amp;"d6 + pontos no Atributo de ataque ("&amp;('Campanha'!$B$18+1)&amp;"d6 se a arma do dono for de Energia)","")</f>
        <v/>
      </c>
      <c r="J72" s="18">
        <f>IF($Q$63="Sim",IF('Campanha'!$B$17&gt;=11,2,1),"")</f>
        <v/>
      </c>
      <c r="K72" s="19">
        <f>IF(AND($Q$63="Sim",OR(NOT(ISNUMBER($S$63)),NOT(ISNUMBER($T$63)),NOT(ISNUMBER($U$63)))),"Campo vazio em G7: usando 11.4 sem Bênção nem Bônus menor; digite o da ficha","")</f>
        <v/>
      </c>
    </row>
    <row r="73" ht="37" customHeight="1">
      <c r="A73" s="43">
        <f>IF(LEN($P$10)&gt;0,$P$10,"PJ 4")</f>
        <v/>
      </c>
      <c r="B73" s="10">
        <f>IF($Q$64="Sim",IF(LEN($R$64)&gt;0,$R$64,"(sem nome)"),"—")</f>
        <v/>
      </c>
      <c r="D73" s="23">
        <f>IF($Q$64="Sim",IF(ISNUMBER($S$64),$S$64,8*'Campanha'!$B$17+3*IF(ISNUMBER($Y$64),$Y$64,0)),"")</f>
        <v/>
      </c>
      <c r="E73" s="23">
        <f>IF($Q$64="Sim",IF(ISNUMBER($T$64),$T$64,10+IF(ISNUMBER($X$64),$X$64,0)+'Campanha'!$B$20),"")</f>
        <v/>
      </c>
      <c r="F73" s="23">
        <f>IF($Q$64="Sim",IF(ISNUMBER($U$64),$U$64,10+IF(ISNUMBER($X$64),$X$64,0)+1),"")</f>
        <v/>
      </c>
      <c r="G73" s="23">
        <f>IF($Q$64="Sim",IF(ISNUMBER($V$64),$V$64,0),"")</f>
        <v/>
      </c>
      <c r="H73" s="10">
        <f>IF($Q$64="Sim",'Campanha'!$B$18&amp;"d6 + pontos no Atributo de ataque ("&amp;('Campanha'!$B$18+1)&amp;"d6 se a arma do dono for de Energia)","")</f>
        <v/>
      </c>
      <c r="J73" s="23">
        <f>IF($Q$64="Sim",IF('Campanha'!$B$17&gt;=11,2,1),"")</f>
        <v/>
      </c>
      <c r="K73" s="27">
        <f>IF(AND($Q$64="Sim",OR(NOT(ISNUMBER($S$64)),NOT(ISNUMBER($T$64)),NOT(ISNUMBER($U$64)))),"Campo vazio em G7: usando 11.4 sem Bênção nem Bônus menor; digite o da ficha","")</f>
        <v/>
      </c>
    </row>
    <row r="74" ht="37" customHeight="1">
      <c r="A74" s="31">
        <f>IF(LEN($P$11)&gt;0,$P$11,"PJ 5")</f>
        <v/>
      </c>
      <c r="B74" s="5">
        <f>IF($Q$65="Sim",IF(LEN($R$65)&gt;0,$R$65,"(sem nome)"),"—")</f>
        <v/>
      </c>
      <c r="D74" s="18">
        <f>IF($Q$65="Sim",IF(ISNUMBER($S$65),$S$65,8*'Campanha'!$B$17+3*IF(ISNUMBER($Y$65),$Y$65,0)),"")</f>
        <v/>
      </c>
      <c r="E74" s="18">
        <f>IF($Q$65="Sim",IF(ISNUMBER($T$65),$T$65,10+IF(ISNUMBER($X$65),$X$65,0)+'Campanha'!$B$20),"")</f>
        <v/>
      </c>
      <c r="F74" s="18">
        <f>IF($Q$65="Sim",IF(ISNUMBER($U$65),$U$65,10+IF(ISNUMBER($X$65),$X$65,0)+1),"")</f>
        <v/>
      </c>
      <c r="G74" s="18">
        <f>IF($Q$65="Sim",IF(ISNUMBER($V$65),$V$65,0),"")</f>
        <v/>
      </c>
      <c r="H74" s="5">
        <f>IF($Q$65="Sim",'Campanha'!$B$18&amp;"d6 + pontos no Atributo de ataque ("&amp;('Campanha'!$B$18+1)&amp;"d6 se a arma do dono for de Energia)","")</f>
        <v/>
      </c>
      <c r="J74" s="18">
        <f>IF($Q$65="Sim",IF('Campanha'!$B$17&gt;=11,2,1),"")</f>
        <v/>
      </c>
      <c r="K74" s="19">
        <f>IF(AND($Q$65="Sim",OR(NOT(ISNUMBER($S$65)),NOT(ISNUMBER($T$65)),NOT(ISNUMBER($U$65)))),"Campo vazio em G7: usando 11.4 sem Bênção nem Bônus menor; digite o da ficha","")</f>
        <v/>
      </c>
    </row>
    <row r="75" ht="37" customHeight="1">
      <c r="A75" s="43">
        <f>IF(LEN($P$12)&gt;0,$P$12,"PJ 6")</f>
        <v/>
      </c>
      <c r="B75" s="10">
        <f>IF($Q$66="Sim",IF(LEN($R$66)&gt;0,$R$66,"(sem nome)"),"—")</f>
        <v/>
      </c>
      <c r="D75" s="23">
        <f>IF($Q$66="Sim",IF(ISNUMBER($S$66),$S$66,8*'Campanha'!$B$17+3*IF(ISNUMBER($Y$66),$Y$66,0)),"")</f>
        <v/>
      </c>
      <c r="E75" s="23">
        <f>IF($Q$66="Sim",IF(ISNUMBER($T$66),$T$66,10+IF(ISNUMBER($X$66),$X$66,0)+'Campanha'!$B$20),"")</f>
        <v/>
      </c>
      <c r="F75" s="23">
        <f>IF($Q$66="Sim",IF(ISNUMBER($U$66),$U$66,10+IF(ISNUMBER($X$66),$X$66,0)+1),"")</f>
        <v/>
      </c>
      <c r="G75" s="23">
        <f>IF($Q$66="Sim",IF(ISNUMBER($V$66),$V$66,0),"")</f>
        <v/>
      </c>
      <c r="H75" s="10">
        <f>IF($Q$66="Sim",'Campanha'!$B$18&amp;"d6 + pontos no Atributo de ataque ("&amp;('Campanha'!$B$18+1)&amp;"d6 se a arma do dono for de Energia)","")</f>
        <v/>
      </c>
      <c r="J75" s="23">
        <f>IF($Q$66="Sim",IF('Campanha'!$B$17&gt;=11,2,1),"")</f>
        <v/>
      </c>
      <c r="K75" s="27">
        <f>IF(AND($Q$66="Sim",OR(NOT(ISNUMBER($S$66)),NOT(ISNUMBER($T$66)),NOT(ISNUMBER($U$66)))),"Campo vazio em G7: usando 11.4 sem Bênção nem Bônus menor; digite o da ficha","")</f>
        <v/>
      </c>
    </row>
    <row r="76" ht="37" customHeight="1">
      <c r="A76" s="44" t="inlineStr">
        <is>
          <t>Na mesa (11.5): invocar custa a Ação Complementar do dono e 1 PH; ele tem casa própria na Fila pela VEL dele e faz 1 ação por turno (Ataque Básico, uma das 2 Habilidades dele ou Movimento) mais 1 Reação; gera metade da Energia para o dono (17); fica até o dono dispensá-lo ou ele cair a 0 PV, e então só volta depois do próximo Descanso Curto (23.6). Não tem Tenacidade nem fica Quebrado (20.1).</t>
        </is>
      </c>
    </row>
    <row r="77"/>
    <row r="78" ht="20" customHeight="1">
      <c r="A78" s="13" t="inlineStr">
        <is>
          <t>Resumo do grupo (automático)</t>
        </is>
      </c>
    </row>
    <row r="79">
      <c r="A79" s="9" t="inlineStr">
        <is>
          <t>Nº de PJs</t>
        </is>
      </c>
      <c r="B79" s="18">
        <f>SUMPRODUCT((LEN($P$7:$P$12)&gt;0)*1)</f>
        <v/>
      </c>
      <c r="C79" s="19">
        <f>IF(AND(ISNUMBER('Campanha'!$AD$8),$B$79&gt;0,$B$79&lt;&gt;'Campanha'!$AD$8),"Nº de PJs diferente do nº de jogadores da aba Campanha","")</f>
        <v/>
      </c>
    </row>
    <row r="80">
      <c r="A80" s="8" t="inlineStr">
        <is>
          <t>Elemento</t>
        </is>
      </c>
      <c r="B80" s="8" t="inlineStr">
        <is>
          <t>Físico</t>
        </is>
      </c>
      <c r="C80" s="8" t="inlineStr">
        <is>
          <t>Fogo</t>
        </is>
      </c>
      <c r="D80" s="8" t="inlineStr">
        <is>
          <t>Gelo</t>
        </is>
      </c>
      <c r="E80" s="8" t="inlineStr">
        <is>
          <t>Raio</t>
        </is>
      </c>
      <c r="F80" s="8" t="inlineStr">
        <is>
          <t>Vento</t>
        </is>
      </c>
      <c r="G80" s="8" t="inlineStr">
        <is>
          <t>Quântico</t>
        </is>
      </c>
      <c r="H80" s="8" t="inlineStr">
        <is>
          <t>Imaginário</t>
        </is>
      </c>
      <c r="I80" s="8" t="inlineStr">
        <is>
          <t>Distintos</t>
        </is>
      </c>
      <c r="J80" s="8" t="inlineStr">
        <is>
          <t>Em dobro</t>
        </is>
      </c>
    </row>
    <row r="81">
      <c r="A81" s="9" t="inlineStr">
        <is>
          <t>No grupo?</t>
        </is>
      </c>
      <c r="B81" s="18">
        <f>IF(COUNTIF($T$7:$T$12,"Físico")&gt;0,"Sim","Não")</f>
        <v/>
      </c>
      <c r="C81" s="18">
        <f>IF(COUNTIF($T$7:$T$12,"Fogo")&gt;0,"Sim","Não")</f>
        <v/>
      </c>
      <c r="D81" s="18">
        <f>IF(COUNTIF($T$7:$T$12,"Gelo")&gt;0,"Sim","Não")</f>
        <v/>
      </c>
      <c r="E81" s="18">
        <f>IF(COUNTIF($T$7:$T$12,"Raio")&gt;0,"Sim","Não")</f>
        <v/>
      </c>
      <c r="F81" s="18">
        <f>IF(COUNTIF($T$7:$T$12,"Vento")&gt;0,"Sim","Não")</f>
        <v/>
      </c>
      <c r="G81" s="18">
        <f>IF(COUNTIF($T$7:$T$12,"Quântico")&gt;0,"Sim","Não")</f>
        <v/>
      </c>
      <c r="H81" s="18">
        <f>IF(COUNTIF($T$7:$T$12,"Imaginário")&gt;0,"Sim","Não")</f>
        <v/>
      </c>
      <c r="I81" s="18">
        <f>IF($B$81="Sim",1,0)+IF($C$81="Sim",1,0)+IF($D$81="Sim",1,0)+IF($E$81="Sim",1,0)+IF($F$81="Sim",1,0)+IF($G$81="Sim",1,0)+IF($H$81="Sim",1,0)</f>
        <v/>
      </c>
      <c r="J81" s="18">
        <f>IF(COUNTIF($T$7:$T$12,"Físico")&gt;1,1,0)+IF(COUNTIF($T$7:$T$12,"Fogo")&gt;1,1,0)+IF(COUNTIF($T$7:$T$12,"Gelo")&gt;1,1,0)+IF(COUNTIF($T$7:$T$12,"Raio")&gt;1,1,0)+IF(COUNTIF($T$7:$T$12,"Vento")&gt;1,1,0)+IF(COUNTIF($T$7:$T$12,"Quântico")&gt;1,1,0)+IF(COUNTIF($T$7:$T$12,"Imaginário")&gt;1,1,0)</f>
        <v/>
      </c>
    </row>
    <row r="82">
      <c r="A82" s="21" t="inlineStr">
        <is>
          <t>Presenças</t>
        </is>
      </c>
      <c r="B82" s="10">
        <f>IF(COUNTIF($R$7:$R$12,"Intellitron")&gt;0,"Intellitron no grupo: descobre Fraqueza com Vantagem e 2 por sucesso (20.2). ","")&amp;IF(COUNTIF($R$7:$R$12,"Humano")&gt;0,"Humano no grupo: Esforço (05). ","")&amp;IF(COUNTIF($S$7:$S$12,"A Preservação")+COUNTIF($S$7:$S$12,"A Abundância")&gt;0,"Há Caminho de sustentação (27.7).","Sem Preservação nem Abundância: cuidado com o dia de jogo (27.7).")</f>
        <v/>
      </c>
    </row>
    <row r="83">
      <c r="A83" s="9" t="inlineStr">
        <is>
          <t>Surpresa</t>
        </is>
      </c>
      <c r="B83" s="5">
        <f>IF(SUMPRODUCT(ISNUMBER($U$43:$U$48)*1)=0,"Preencha a Percepção Mental na G5.","Menor Percepção Mental do grupo: "&amp;MIN($U$43:$U$48)&amp;" ("&amp;INDEX($P$7:$P$12,MATCH(MIN($U$43:$U$48),$U$43:$U$48,0))&amp;"). Surpresa: Teste de Percepção Mental contra DT 13, fixa em todas as faixas (19.3, 27.3).")</f>
        <v/>
      </c>
    </row>
    <row r="84" ht="26" customHeight="1">
      <c r="A84" s="21" t="inlineStr">
        <is>
          <t>Descobrir Fraqueza</t>
        </is>
      </c>
      <c r="B84" s="10">
        <f>IF(SUMPRODUCT(ISNUMBER($N$52:$N$57)*1)=0,"Preencha Pesquisa, Ciência ou Sintonia na G6.","Melhor total de Pesquisa, Ciência ou Sintonia: "&amp;MAX($N$52:$N$57)&amp;" ("&amp;INDEX($P$7:$P$12,MATCH(MAX($N$52:$N$57),$N$52:$N$57,0))&amp;"), contra DT "&amp;'Campanha'!$B$29&amp;" na faixa do grupo (20.2)"&amp;IF(COUNTIF($R$7:$R$12,"Intellitron")&gt;0,"; o Intellitron rola com Vantagem e descobre duas por sucesso (20.2).","."))</f>
        <v/>
      </c>
    </row>
    <row r="85">
      <c r="A85" s="9" t="inlineStr">
        <is>
          <t>VEL esperada</t>
        </is>
      </c>
      <c r="B85" s="14" t="inlineStr">
        <is>
          <t>Faixa esperada de VEL (19.1): 10 a 19 no nível 1; 12 a 21 no nível 10; 13 a 24 no nível 20 com equipamento. Extremos absolutos da fórmula: 7 e 25.</t>
        </is>
      </c>
    </row>
  </sheetData>
  <mergeCells count="129">
    <mergeCell ref="K24:L24"/>
    <mergeCell ref="F54:J54"/>
    <mergeCell ref="K33:L33"/>
    <mergeCell ref="F8:H8"/>
    <mergeCell ref="K26:L26"/>
    <mergeCell ref="K35:L35"/>
    <mergeCell ref="A23:L23"/>
    <mergeCell ref="F9:H9"/>
    <mergeCell ref="E34:F34"/>
    <mergeCell ref="B69:C69"/>
    <mergeCell ref="K52:L52"/>
    <mergeCell ref="H72:I72"/>
    <mergeCell ref="K42:L42"/>
    <mergeCell ref="E36:F36"/>
    <mergeCell ref="K53:L53"/>
    <mergeCell ref="G34:J34"/>
    <mergeCell ref="K28:L28"/>
    <mergeCell ref="H71:I71"/>
    <mergeCell ref="K37:L37"/>
    <mergeCell ref="F12:H12"/>
    <mergeCell ref="F7:H7"/>
    <mergeCell ref="K69:L69"/>
    <mergeCell ref="A78:L78"/>
    <mergeCell ref="K30:L30"/>
    <mergeCell ref="I6:J6"/>
    <mergeCell ref="K15:L15"/>
    <mergeCell ref="G29:J29"/>
    <mergeCell ref="A3:L3"/>
    <mergeCell ref="K55:L55"/>
    <mergeCell ref="K64:L64"/>
    <mergeCell ref="K21:L21"/>
    <mergeCell ref="H74:I74"/>
    <mergeCell ref="K51:L51"/>
    <mergeCell ref="E38:F38"/>
    <mergeCell ref="F51:J51"/>
    <mergeCell ref="I7:J7"/>
    <mergeCell ref="A5:L5"/>
    <mergeCell ref="A32:L32"/>
    <mergeCell ref="K63:L63"/>
    <mergeCell ref="A14:L14"/>
    <mergeCell ref="K72:L72"/>
    <mergeCell ref="K56:L56"/>
    <mergeCell ref="H69:I69"/>
    <mergeCell ref="K43:L43"/>
    <mergeCell ref="C79:L79"/>
    <mergeCell ref="K27:L27"/>
    <mergeCell ref="G38:J38"/>
    <mergeCell ref="H75:I75"/>
    <mergeCell ref="I8:J8"/>
    <mergeCell ref="B84:L84"/>
    <mergeCell ref="F11:H11"/>
    <mergeCell ref="K17:L17"/>
    <mergeCell ref="I10:J10"/>
    <mergeCell ref="K10:L10"/>
    <mergeCell ref="K66:L66"/>
    <mergeCell ref="K19:L19"/>
    <mergeCell ref="G24:J24"/>
    <mergeCell ref="G33:J33"/>
    <mergeCell ref="K6:L6"/>
    <mergeCell ref="I9:J9"/>
    <mergeCell ref="K16:L16"/>
    <mergeCell ref="K74:L74"/>
    <mergeCell ref="K25:L25"/>
    <mergeCell ref="G26:J26"/>
    <mergeCell ref="B72:C72"/>
    <mergeCell ref="G35:J35"/>
    <mergeCell ref="K9:L9"/>
    <mergeCell ref="I11:J11"/>
    <mergeCell ref="K45:L45"/>
    <mergeCell ref="G25:J25"/>
    <mergeCell ref="B71:C71"/>
    <mergeCell ref="K54:L54"/>
    <mergeCell ref="E39:F39"/>
    <mergeCell ref="A50:L50"/>
    <mergeCell ref="K60:L60"/>
    <mergeCell ref="K29:L29"/>
    <mergeCell ref="K11:L11"/>
    <mergeCell ref="F55:J55"/>
    <mergeCell ref="H73:I73"/>
    <mergeCell ref="K47:L47"/>
    <mergeCell ref="K44:L44"/>
    <mergeCell ref="K46:L46"/>
    <mergeCell ref="K8:L8"/>
    <mergeCell ref="G39:J39"/>
    <mergeCell ref="K71:L71"/>
    <mergeCell ref="G37:J37"/>
    <mergeCell ref="A59:L59"/>
    <mergeCell ref="F52:J52"/>
    <mergeCell ref="B83:L83"/>
    <mergeCell ref="K7:L7"/>
    <mergeCell ref="F6:H6"/>
    <mergeCell ref="K73:L73"/>
    <mergeCell ref="K65:L65"/>
    <mergeCell ref="K57:L57"/>
    <mergeCell ref="B85:L85"/>
    <mergeCell ref="F57:J57"/>
    <mergeCell ref="K18:L18"/>
    <mergeCell ref="B75:C75"/>
    <mergeCell ref="F53:J53"/>
    <mergeCell ref="K34:L34"/>
    <mergeCell ref="A41:L41"/>
    <mergeCell ref="E33:F33"/>
    <mergeCell ref="K36:L36"/>
    <mergeCell ref="E35:F35"/>
    <mergeCell ref="B70:C70"/>
    <mergeCell ref="K20:L20"/>
    <mergeCell ref="A76:L76"/>
    <mergeCell ref="K75:L75"/>
    <mergeCell ref="G27:J27"/>
    <mergeCell ref="H70:I70"/>
    <mergeCell ref="G36:J36"/>
    <mergeCell ref="B73:C73"/>
    <mergeCell ref="I12:J12"/>
    <mergeCell ref="K12:L12"/>
    <mergeCell ref="B82:L82"/>
    <mergeCell ref="A68:L68"/>
    <mergeCell ref="K61:L61"/>
    <mergeCell ref="K39:L39"/>
    <mergeCell ref="K70:L70"/>
    <mergeCell ref="K48:L48"/>
    <mergeCell ref="F56:J56"/>
    <mergeCell ref="G28:J28"/>
    <mergeCell ref="B74:C74"/>
    <mergeCell ref="F10:H10"/>
    <mergeCell ref="K38:L38"/>
    <mergeCell ref="A1:L1"/>
    <mergeCell ref="E37:F37"/>
    <mergeCell ref="G30:J30"/>
    <mergeCell ref="K62:L62"/>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19">
    <cfRule type="expression" priority="10" dxfId="0">
      <formula>LEN(K19)&gt;0</formula>
    </cfRule>
  </conditionalFormatting>
  <conditionalFormatting sqref="K20">
    <cfRule type="expression" priority="11" dxfId="0">
      <formula>LEN(K20)&gt;0</formula>
    </cfRule>
  </conditionalFormatting>
  <conditionalFormatting sqref="K21">
    <cfRule type="expression" priority="12" dxfId="0">
      <formula>LEN(K21)&gt;0</formula>
    </cfRule>
  </conditionalFormatting>
  <conditionalFormatting sqref="K25">
    <cfRule type="expression" priority="13" dxfId="0">
      <formula>LEN(K25)&gt;0</formula>
    </cfRule>
  </conditionalFormatting>
  <conditionalFormatting sqref="K26">
    <cfRule type="expression" priority="14" dxfId="0">
      <formula>LEN(K26)&gt;0</formula>
    </cfRule>
  </conditionalFormatting>
  <conditionalFormatting sqref="K27">
    <cfRule type="expression" priority="15" dxfId="0">
      <formula>LEN(K27)&gt;0</formula>
    </cfRule>
  </conditionalFormatting>
  <conditionalFormatting sqref="K28">
    <cfRule type="expression" priority="16" dxfId="0">
      <formula>LEN(K28)&gt;0</formula>
    </cfRule>
  </conditionalFormatting>
  <conditionalFormatting sqref="K29">
    <cfRule type="expression" priority="17" dxfId="0">
      <formula>LEN(K29)&gt;0</formula>
    </cfRule>
  </conditionalFormatting>
  <conditionalFormatting sqref="K30">
    <cfRule type="expression" priority="18" dxfId="0">
      <formula>LEN(K30)&gt;0</formula>
    </cfRule>
  </conditionalFormatting>
  <conditionalFormatting sqref="K34">
    <cfRule type="expression" priority="19" dxfId="0">
      <formula>LEN(K34)&gt;0</formula>
    </cfRule>
  </conditionalFormatting>
  <conditionalFormatting sqref="K35">
    <cfRule type="expression" priority="20" dxfId="0">
      <formula>LEN(K35)&gt;0</formula>
    </cfRule>
  </conditionalFormatting>
  <conditionalFormatting sqref="K36">
    <cfRule type="expression" priority="21" dxfId="0">
      <formula>LEN(K36)&gt;0</formula>
    </cfRule>
  </conditionalFormatting>
  <conditionalFormatting sqref="K37">
    <cfRule type="expression" priority="22" dxfId="0">
      <formula>LEN(K37)&gt;0</formula>
    </cfRule>
  </conditionalFormatting>
  <conditionalFormatting sqref="K38">
    <cfRule type="expression" priority="23" dxfId="0">
      <formula>LEN(K38)&gt;0</formula>
    </cfRule>
  </conditionalFormatting>
  <conditionalFormatting sqref="K39">
    <cfRule type="expression" priority="24" dxfId="0">
      <formula>LEN(K39)&gt;0</formula>
    </cfRule>
  </conditionalFormatting>
  <conditionalFormatting sqref="K43">
    <cfRule type="expression" priority="25" dxfId="0">
      <formula>LEN(K43)&gt;0</formula>
    </cfRule>
  </conditionalFormatting>
  <conditionalFormatting sqref="K44">
    <cfRule type="expression" priority="26" dxfId="0">
      <formula>LEN(K44)&gt;0</formula>
    </cfRule>
  </conditionalFormatting>
  <conditionalFormatting sqref="K45">
    <cfRule type="expression" priority="27" dxfId="0">
      <formula>LEN(K45)&gt;0</formula>
    </cfRule>
  </conditionalFormatting>
  <conditionalFormatting sqref="K46">
    <cfRule type="expression" priority="28" dxfId="0">
      <formula>LEN(K46)&gt;0</formula>
    </cfRule>
  </conditionalFormatting>
  <conditionalFormatting sqref="K47">
    <cfRule type="expression" priority="29" dxfId="0">
      <formula>LEN(K47)&gt;0</formula>
    </cfRule>
  </conditionalFormatting>
  <conditionalFormatting sqref="K48">
    <cfRule type="expression" priority="30" dxfId="0">
      <formula>LEN(K48)&gt;0</formula>
    </cfRule>
  </conditionalFormatting>
  <conditionalFormatting sqref="K52">
    <cfRule type="expression" priority="31" dxfId="0">
      <formula>LEN(K52)&gt;0</formula>
    </cfRule>
  </conditionalFormatting>
  <conditionalFormatting sqref="K53">
    <cfRule type="expression" priority="32" dxfId="0">
      <formula>LEN(K53)&gt;0</formula>
    </cfRule>
  </conditionalFormatting>
  <conditionalFormatting sqref="K54">
    <cfRule type="expression" priority="33" dxfId="0">
      <formula>LEN(K54)&gt;0</formula>
    </cfRule>
  </conditionalFormatting>
  <conditionalFormatting sqref="K55">
    <cfRule type="expression" priority="34" dxfId="0">
      <formula>LEN(K55)&gt;0</formula>
    </cfRule>
  </conditionalFormatting>
  <conditionalFormatting sqref="K56">
    <cfRule type="expression" priority="35" dxfId="0">
      <formula>LEN(K56)&gt;0</formula>
    </cfRule>
  </conditionalFormatting>
  <conditionalFormatting sqref="K57">
    <cfRule type="expression" priority="36" dxfId="0">
      <formula>LEN(K57)&gt;0</formula>
    </cfRule>
  </conditionalFormatting>
  <conditionalFormatting sqref="K61">
    <cfRule type="expression" priority="37" dxfId="0">
      <formula>LEN(K61)&gt;0</formula>
    </cfRule>
  </conditionalFormatting>
  <conditionalFormatting sqref="K62">
    <cfRule type="expression" priority="38" dxfId="0">
      <formula>LEN(K62)&gt;0</formula>
    </cfRule>
  </conditionalFormatting>
  <conditionalFormatting sqref="K63">
    <cfRule type="expression" priority="39" dxfId="0">
      <formula>LEN(K63)&gt;0</formula>
    </cfRule>
  </conditionalFormatting>
  <conditionalFormatting sqref="K64">
    <cfRule type="expression" priority="40" dxfId="0">
      <formula>LEN(K64)&gt;0</formula>
    </cfRule>
  </conditionalFormatting>
  <conditionalFormatting sqref="K65">
    <cfRule type="expression" priority="41" dxfId="0">
      <formula>LEN(K65)&gt;0</formula>
    </cfRule>
  </conditionalFormatting>
  <conditionalFormatting sqref="K66">
    <cfRule type="expression" priority="42" dxfId="0">
      <formula>LEN(K66)&gt;0</formula>
    </cfRule>
  </conditionalFormatting>
  <conditionalFormatting sqref="K70">
    <cfRule type="expression" priority="43" dxfId="0">
      <formula>LEN(K70)&gt;0</formula>
    </cfRule>
  </conditionalFormatting>
  <conditionalFormatting sqref="K71">
    <cfRule type="expression" priority="44" dxfId="0">
      <formula>LEN(K71)&gt;0</formula>
    </cfRule>
  </conditionalFormatting>
  <conditionalFormatting sqref="K72">
    <cfRule type="expression" priority="45" dxfId="0">
      <formula>LEN(K72)&gt;0</formula>
    </cfRule>
  </conditionalFormatting>
  <conditionalFormatting sqref="K73">
    <cfRule type="expression" priority="46" dxfId="0">
      <formula>LEN(K73)&gt;0</formula>
    </cfRule>
  </conditionalFormatting>
  <conditionalFormatting sqref="K74">
    <cfRule type="expression" priority="47" dxfId="0">
      <formula>LEN(K74)&gt;0</formula>
    </cfRule>
  </conditionalFormatting>
  <conditionalFormatting sqref="K75">
    <cfRule type="expression" priority="48" dxfId="0">
      <formula>LEN(K75)&gt;0</formula>
    </cfRule>
  </conditionalFormatting>
  <conditionalFormatting sqref="C79">
    <cfRule type="expression" priority="49" dxfId="0">
      <formula>LEN(C79)&gt;0</formula>
    </cfRule>
  </conditionalFormatting>
  <dataValidations count="270">
    <dataValidation sqref="A7" showDropDown="0" showInputMessage="0" showErrorMessage="1" allowBlank="1" errorTitle="Texto longo" error="Nome do PJ: até 30 caracteres." type="textLength" errorStyle="warning" operator="lessThanOrEqual">
      <formula1>30</formula1>
    </dataValidation>
    <dataValidation sqref="B7" showDropDown="0" showInputMessage="0" showErrorMessage="1" allowBlank="1" errorTitle="Texto longo" error="Jogador: até 30 caracteres." type="textLength" errorStyle="warning" operator="lessThanOrEqual">
      <formula1>30</formula1>
    </dataValidation>
    <dataValidation sqref="C7" showDropDown="0" showInputMessage="0" showErrorMessage="1" allowBlank="1" errorTitle="Fora da lista" error="Raça: escolha um valor da lista. A planilha pode não reconhecer outro valor." type="list" errorStyle="warning">
      <formula1>'Dados'!$AR$6:$AR$12</formula1>
    </dataValidation>
    <dataValidation sqref="D7" showDropDown="0" showInputMessage="0" showErrorMessage="1" allowBlank="1" errorTitle="Fora da lista" error="Caminho: escolha um valor da lista. A planilha pode não reconhecer outro valor." type="list" errorStyle="warning">
      <formula1>'Dados'!$AS$6:$AS$14</formula1>
    </dataValidation>
    <dataValidation sqref="E7" showDropDown="0" showInputMessage="0" showErrorMessage="1" allowBlank="1" errorTitle="Fora da lista" error="Elemento: escolha um valor da lista. A planilha pode não reconhecer outro valor." type="list" errorStyle="warning">
      <formula1>'Dados'!$AN$6:$AN$12</formula1>
    </dataValidation>
    <dataValidation sqref="F7" showDropDown="0" showInputMessage="0" showErrorMessage="1" allowBlank="1" errorTitle="Texto longo" error="Propósito de Vida: até 200 caracteres." type="textLength" errorStyle="warning" operator="lessThanOrEqual">
      <formula1>200</formula1>
    </dataValidation>
    <dataValidation sqref="I7" showDropDown="0" showInputMessage="0" showErrorMessage="1" allowBlank="1" errorTitle="Texto longo" error="Crença do Esforço: até 80 caracteres." type="textLength" errorStyle="warning" operator="lessThanOrEqual">
      <formula1>80</formula1>
    </dataValidation>
    <dataValidation sqref="A8" showDropDown="0" showInputMessage="0" showErrorMessage="1" allowBlank="1" errorTitle="Texto longo" error="Nome do PJ: até 30 caracteres." type="textLength" errorStyle="warning" operator="lessThanOrEqual">
      <formula1>30</formula1>
    </dataValidation>
    <dataValidation sqref="B8" showDropDown="0" showInputMessage="0" showErrorMessage="1" allowBlank="1" errorTitle="Texto longo" error="Jogador: até 30 caracteres." type="textLength" errorStyle="warning" operator="lessThanOrEqual">
      <formula1>30</formula1>
    </dataValidation>
    <dataValidation sqref="C8" showDropDown="0" showInputMessage="0" showErrorMessage="1" allowBlank="1" errorTitle="Fora da lista" error="Raça: escolha um valor da lista. A planilha pode não reconhecer outro valor." type="list" errorStyle="warning">
      <formula1>'Dados'!$AR$6:$AR$12</formula1>
    </dataValidation>
    <dataValidation sqref="D8" showDropDown="0" showInputMessage="0" showErrorMessage="1" allowBlank="1" errorTitle="Fora da lista" error="Caminho: escolha um valor da lista. A planilha pode não reconhecer outro valor." type="list" errorStyle="warning">
      <formula1>'Dados'!$AS$6:$AS$14</formula1>
    </dataValidation>
    <dataValidation sqref="E8" showDropDown="0" showInputMessage="0" showErrorMessage="1" allowBlank="1" errorTitle="Fora da lista" error="Elemento: escolha um valor da lista. A planilha pode não reconhecer outro valor." type="list" errorStyle="warning">
      <formula1>'Dados'!$AN$6:$AN$12</formula1>
    </dataValidation>
    <dataValidation sqref="F8" showDropDown="0" showInputMessage="0" showErrorMessage="1" allowBlank="1" errorTitle="Texto longo" error="Propósito de Vida: até 200 caracteres." type="textLength" errorStyle="warning" operator="lessThanOrEqual">
      <formula1>200</formula1>
    </dataValidation>
    <dataValidation sqref="I8" showDropDown="0" showInputMessage="0" showErrorMessage="1" allowBlank="1" errorTitle="Texto longo" error="Crença do Esforço: até 80 caracteres." type="textLength" errorStyle="warning" operator="lessThanOrEqual">
      <formula1>80</formula1>
    </dataValidation>
    <dataValidation sqref="A9" showDropDown="0" showInputMessage="0" showErrorMessage="1" allowBlank="1" errorTitle="Texto longo" error="Nome do PJ: até 30 caracteres." type="textLength" errorStyle="warning" operator="lessThanOrEqual">
      <formula1>30</formula1>
    </dataValidation>
    <dataValidation sqref="B9" showDropDown="0" showInputMessage="0" showErrorMessage="1" allowBlank="1" errorTitle="Texto longo" error="Jogador: até 30 caracteres." type="textLength" errorStyle="warning" operator="lessThanOrEqual">
      <formula1>30</formula1>
    </dataValidation>
    <dataValidation sqref="C9" showDropDown="0" showInputMessage="0" showErrorMessage="1" allowBlank="1" errorTitle="Fora da lista" error="Raça: escolha um valor da lista. A planilha pode não reconhecer outro valor." type="list" errorStyle="warning">
      <formula1>'Dados'!$AR$6:$AR$12</formula1>
    </dataValidation>
    <dataValidation sqref="D9" showDropDown="0" showInputMessage="0" showErrorMessage="1" allowBlank="1" errorTitle="Fora da lista" error="Caminho: escolha um valor da lista. A planilha pode não reconhecer outro valor." type="list" errorStyle="warning">
      <formula1>'Dados'!$AS$6:$AS$14</formula1>
    </dataValidation>
    <dataValidation sqref="E9" showDropDown="0" showInputMessage="0" showErrorMessage="1" allowBlank="1" errorTitle="Fora da lista" error="Elemento: escolha um valor da lista. A planilha pode não reconhecer outro valor." type="list" errorStyle="warning">
      <formula1>'Dados'!$AN$6:$AN$12</formula1>
    </dataValidation>
    <dataValidation sqref="F9" showDropDown="0" showInputMessage="0" showErrorMessage="1" allowBlank="1" errorTitle="Texto longo" error="Propósito de Vida: até 200 caracteres." type="textLength" errorStyle="warning" operator="lessThanOrEqual">
      <formula1>200</formula1>
    </dataValidation>
    <dataValidation sqref="I9" showDropDown="0" showInputMessage="0" showErrorMessage="1" allowBlank="1" errorTitle="Texto longo" error="Crença do Esforço: até 80 caracteres." type="textLength" errorStyle="warning" operator="lessThanOrEqual">
      <formula1>80</formula1>
    </dataValidation>
    <dataValidation sqref="A10" showDropDown="0" showInputMessage="0" showErrorMessage="1" allowBlank="1" errorTitle="Texto longo" error="Nome do PJ: até 30 caracteres." type="textLength" errorStyle="warning" operator="lessThanOrEqual">
      <formula1>30</formula1>
    </dataValidation>
    <dataValidation sqref="B10" showDropDown="0" showInputMessage="0" showErrorMessage="1" allowBlank="1" errorTitle="Texto longo" error="Jogador: até 30 caracteres." type="textLength" errorStyle="warning" operator="lessThanOrEqual">
      <formula1>30</formula1>
    </dataValidation>
    <dataValidation sqref="C10" showDropDown="0" showInputMessage="0" showErrorMessage="1" allowBlank="1" errorTitle="Fora da lista" error="Raça: escolha um valor da lista. A planilha pode não reconhecer outro valor." type="list" errorStyle="warning">
      <formula1>'Dados'!$AR$6:$AR$12</formula1>
    </dataValidation>
    <dataValidation sqref="D10" showDropDown="0" showInputMessage="0" showErrorMessage="1" allowBlank="1" errorTitle="Fora da lista" error="Caminho: escolha um valor da lista. A planilha pode não reconhecer outro valor." type="list" errorStyle="warning">
      <formula1>'Dados'!$AS$6:$AS$14</formula1>
    </dataValidation>
    <dataValidation sqref="E10" showDropDown="0" showInputMessage="0" showErrorMessage="1" allowBlank="1" errorTitle="Fora da lista" error="Elemento: escolha um valor da lista. A planilha pode não reconhecer outro valor." type="list" errorStyle="warning">
      <formula1>'Dados'!$AN$6:$AN$12</formula1>
    </dataValidation>
    <dataValidation sqref="F10" showDropDown="0" showInputMessage="0" showErrorMessage="1" allowBlank="1" errorTitle="Texto longo" error="Propósito de Vida: até 200 caracteres." type="textLength" errorStyle="warning" operator="lessThanOrEqual">
      <formula1>200</formula1>
    </dataValidation>
    <dataValidation sqref="I10" showDropDown="0" showInputMessage="0" showErrorMessage="1" allowBlank="1" errorTitle="Texto longo" error="Crença do Esforço: até 80 caracteres." type="textLength" errorStyle="warning" operator="lessThanOrEqual">
      <formula1>80</formula1>
    </dataValidation>
    <dataValidation sqref="A11" showDropDown="0" showInputMessage="0" showErrorMessage="1" allowBlank="1" errorTitle="Texto longo" error="Nome do PJ: até 30 caracteres." type="textLength" errorStyle="warning" operator="lessThanOrEqual">
      <formula1>30</formula1>
    </dataValidation>
    <dataValidation sqref="B11" showDropDown="0" showInputMessage="0" showErrorMessage="1" allowBlank="1" errorTitle="Texto longo" error="Jogador: até 30 caracteres." type="textLength" errorStyle="warning" operator="lessThanOrEqual">
      <formula1>30</formula1>
    </dataValidation>
    <dataValidation sqref="C11" showDropDown="0" showInputMessage="0" showErrorMessage="1" allowBlank="1" errorTitle="Fora da lista" error="Raça: escolha um valor da lista. A planilha pode não reconhecer outro valor." type="list" errorStyle="warning">
      <formula1>'Dados'!$AR$6:$AR$12</formula1>
    </dataValidation>
    <dataValidation sqref="D11" showDropDown="0" showInputMessage="0" showErrorMessage="1" allowBlank="1" errorTitle="Fora da lista" error="Caminho: escolha um valor da lista. A planilha pode não reconhecer outro valor." type="list" errorStyle="warning">
      <formula1>'Dados'!$AS$6:$AS$14</formula1>
    </dataValidation>
    <dataValidation sqref="E11" showDropDown="0" showInputMessage="0" showErrorMessage="1" allowBlank="1" errorTitle="Fora da lista" error="Elemento: escolha um valor da lista. A planilha pode não reconhecer outro valor." type="list" errorStyle="warning">
      <formula1>'Dados'!$AN$6:$AN$12</formula1>
    </dataValidation>
    <dataValidation sqref="F11" showDropDown="0" showInputMessage="0" showErrorMessage="1" allowBlank="1" errorTitle="Texto longo" error="Propósito de Vida: até 200 caracteres." type="textLength" errorStyle="warning" operator="lessThanOrEqual">
      <formula1>200</formula1>
    </dataValidation>
    <dataValidation sqref="I11" showDropDown="0" showInputMessage="0" showErrorMessage="1" allowBlank="1" errorTitle="Texto longo" error="Crença do Esforço: até 80 caracteres." type="textLength" errorStyle="warning" operator="lessThanOrEqual">
      <formula1>80</formula1>
    </dataValidation>
    <dataValidation sqref="A12" showDropDown="0" showInputMessage="0" showErrorMessage="1" allowBlank="1" errorTitle="Texto longo" error="Nome do PJ: até 30 caracteres." type="textLength" errorStyle="warning" operator="lessThanOrEqual">
      <formula1>30</formula1>
    </dataValidation>
    <dataValidation sqref="B12" showDropDown="0" showInputMessage="0" showErrorMessage="1" allowBlank="1" errorTitle="Texto longo" error="Jogador: até 30 caracteres." type="textLength" errorStyle="warning" operator="lessThanOrEqual">
      <formula1>30</formula1>
    </dataValidation>
    <dataValidation sqref="C12" showDropDown="0" showInputMessage="0" showErrorMessage="1" allowBlank="1" errorTitle="Fora da lista" error="Raça: escolha um valor da lista. A planilha pode não reconhecer outro valor." type="list" errorStyle="warning">
      <formula1>'Dados'!$AR$6:$AR$12</formula1>
    </dataValidation>
    <dataValidation sqref="D12" showDropDown="0" showInputMessage="0" showErrorMessage="1" allowBlank="1" errorTitle="Fora da lista" error="Caminho: escolha um valor da lista. A planilha pode não reconhecer outro valor." type="list" errorStyle="warning">
      <formula1>'Dados'!$AS$6:$AS$14</formula1>
    </dataValidation>
    <dataValidation sqref="E12" showDropDown="0" showInputMessage="0" showErrorMessage="1" allowBlank="1" errorTitle="Fora da lista" error="Elemento: escolha um valor da lista. A planilha pode não reconhecer outro valor." type="list" errorStyle="warning">
      <formula1>'Dados'!$AN$6:$AN$12</formula1>
    </dataValidation>
    <dataValidation sqref="F12" showDropDown="0" showInputMessage="0" showErrorMessage="1" allowBlank="1" errorTitle="Texto longo" error="Propósito de Vida: até 200 caracteres." type="textLength" errorStyle="warning" operator="lessThanOrEqual">
      <formula1>200</formula1>
    </dataValidation>
    <dataValidation sqref="I12" showDropDown="0" showInputMessage="0" showErrorMessage="1" allowBlank="1" errorTitle="Texto longo" error="Crença do Esforço: até 80 caracteres." type="textLength" errorStyle="warning" operator="lessThanOrEqual">
      <formula1>80</formula1>
    </dataValidation>
    <dataValidation sqref="B16" showDropDown="0" showInputMessage="0" showErrorMessage="1" allowBlank="1" errorTitle="Valor fora da faixa" error="PV máx.: use um número inteiro de 1 a 999." type="whole" errorStyle="warning" operator="between">
      <formula1>1</formula1>
      <formula2>999</formula2>
    </dataValidation>
    <dataValidation sqref="C16" showDropDown="0" showInputMessage="0" showErrorMessage="1" allowBlank="1" errorTitle="Valor fora da faixa" error="Defesa: use um número inteiro de 5 a 40." type="whole" errorStyle="warning" operator="between">
      <formula1>5</formula1>
      <formula2>40</formula2>
    </dataValidation>
    <dataValidation sqref="D16" showDropDown="0" showInputMessage="0" showErrorMessage="1" allowBlank="1" errorTitle="Valor fora da faixa" error="Esquiva: use um número inteiro de 0 a 40." type="whole" errorStyle="warning" operator="between">
      <formula1>0</formula1>
      <formula2>40</formula2>
    </dataValidation>
    <dataValidation sqref="E16" showDropDown="0" showInputMessage="0" showErrorMessage="1" allowBlank="1" errorTitle="Valor fora da faixa" error="RD: use um número inteiro de 0 a 30." type="whole" errorStyle="warning" operator="between">
      <formula1>0</formula1>
      <formula2>30</formula2>
    </dataValidation>
    <dataValidation sqref="F16" showDropDown="0" showInputMessage="0" showErrorMessage="1" allowBlank="1" errorTitle="Valor fora da faixa" error="VEL: use um número inteiro de 5 a 30." type="whole" errorStyle="warning" operator="between">
      <formula1>5</formula1>
      <formula2>30</formula2>
    </dataValidation>
    <dataValidation sqref="G16" showDropDown="0" showInputMessage="0" showErrorMessage="1" allowBlank="1" errorTitle="Valor fora da faixa" error="Bônus de Agilidade: use um número inteiro de -1 a 5." type="whole" errorStyle="warning" operator="between">
      <formula1>-1</formula1>
      <formula2>5</formula2>
    </dataValidation>
    <dataValidation sqref="H16" showDropDown="0" showInputMessage="0" showErrorMessage="1" allowBlank="1" errorTitle="Valor fora da faixa" error="Bônus de Discernimento: use um número inteiro de -1 a 5." type="whole" errorStyle="warning" operator="between">
      <formula1>-1</formula1>
      <formula2>5</formula2>
    </dataValidation>
    <dataValidation sqref="I16" showDropDown="0" showInputMessage="0" showErrorMessage="1" allowBlank="1" errorTitle="Valor fora da faixa" error="Bônus de Presença: use um número inteiro de -1 a 5." type="whole" errorStyle="warning" operator="between">
      <formula1>-1</formula1>
      <formula2>5</formula2>
    </dataValidation>
    <dataValidation sqref="J16" showDropDown="0" showInputMessage="0" showErrorMessage="1" allowBlank="1" errorTitle="Valor fora da faixa" error="DT das Habilidades: use um número inteiro de 5 a 40." type="whole" errorStyle="warning" operator="between">
      <formula1>5</formula1>
      <formula2>40</formula2>
    </dataValidation>
    <dataValidation sqref="B17" showDropDown="0" showInputMessage="0" showErrorMessage="1" allowBlank="1" errorTitle="Valor fora da faixa" error="PV máx.: use um número inteiro de 1 a 999." type="whole" errorStyle="warning" operator="between">
      <formula1>1</formula1>
      <formula2>999</formula2>
    </dataValidation>
    <dataValidation sqref="C17" showDropDown="0" showInputMessage="0" showErrorMessage="1" allowBlank="1" errorTitle="Valor fora da faixa" error="Defesa: use um número inteiro de 5 a 40." type="whole" errorStyle="warning" operator="between">
      <formula1>5</formula1>
      <formula2>40</formula2>
    </dataValidation>
    <dataValidation sqref="D17" showDropDown="0" showInputMessage="0" showErrorMessage="1" allowBlank="1" errorTitle="Valor fora da faixa" error="Esquiva: use um número inteiro de 0 a 40." type="whole" errorStyle="warning" operator="between">
      <formula1>0</formula1>
      <formula2>40</formula2>
    </dataValidation>
    <dataValidation sqref="E17" showDropDown="0" showInputMessage="0" showErrorMessage="1" allowBlank="1" errorTitle="Valor fora da faixa" error="RD: use um número inteiro de 0 a 30." type="whole" errorStyle="warning" operator="between">
      <formula1>0</formula1>
      <formula2>30</formula2>
    </dataValidation>
    <dataValidation sqref="F17" showDropDown="0" showInputMessage="0" showErrorMessage="1" allowBlank="1" errorTitle="Valor fora da faixa" error="VEL: use um número inteiro de 5 a 30." type="whole" errorStyle="warning" operator="between">
      <formula1>5</formula1>
      <formula2>30</formula2>
    </dataValidation>
    <dataValidation sqref="G17" showDropDown="0" showInputMessage="0" showErrorMessage="1" allowBlank="1" errorTitle="Valor fora da faixa" error="Bônus de Agilidade: use um número inteiro de -1 a 5." type="whole" errorStyle="warning" operator="between">
      <formula1>-1</formula1>
      <formula2>5</formula2>
    </dataValidation>
    <dataValidation sqref="H17" showDropDown="0" showInputMessage="0" showErrorMessage="1" allowBlank="1" errorTitle="Valor fora da faixa" error="Bônus de Discernimento: use um número inteiro de -1 a 5." type="whole" errorStyle="warning" operator="between">
      <formula1>-1</formula1>
      <formula2>5</formula2>
    </dataValidation>
    <dataValidation sqref="I17" showDropDown="0" showInputMessage="0" showErrorMessage="1" allowBlank="1" errorTitle="Valor fora da faixa" error="Bônus de Presença: use um número inteiro de -1 a 5." type="whole" errorStyle="warning" operator="between">
      <formula1>-1</formula1>
      <formula2>5</formula2>
    </dataValidation>
    <dataValidation sqref="J17" showDropDown="0" showInputMessage="0" showErrorMessage="1" allowBlank="1" errorTitle="Valor fora da faixa" error="DT das Habilidades: use um número inteiro de 5 a 40." type="whole" errorStyle="warning" operator="between">
      <formula1>5</formula1>
      <formula2>40</formula2>
    </dataValidation>
    <dataValidation sqref="B18" showDropDown="0" showInputMessage="0" showErrorMessage="1" allowBlank="1" errorTitle="Valor fora da faixa" error="PV máx.: use um número inteiro de 1 a 999." type="whole" errorStyle="warning" operator="between">
      <formula1>1</formula1>
      <formula2>999</formula2>
    </dataValidation>
    <dataValidation sqref="C18" showDropDown="0" showInputMessage="0" showErrorMessage="1" allowBlank="1" errorTitle="Valor fora da faixa" error="Defesa: use um número inteiro de 5 a 40." type="whole" errorStyle="warning" operator="between">
      <formula1>5</formula1>
      <formula2>40</formula2>
    </dataValidation>
    <dataValidation sqref="D18" showDropDown="0" showInputMessage="0" showErrorMessage="1" allowBlank="1" errorTitle="Valor fora da faixa" error="Esquiva: use um número inteiro de 0 a 40." type="whole" errorStyle="warning" operator="between">
      <formula1>0</formula1>
      <formula2>40</formula2>
    </dataValidation>
    <dataValidation sqref="E18" showDropDown="0" showInputMessage="0" showErrorMessage="1" allowBlank="1" errorTitle="Valor fora da faixa" error="RD: use um número inteiro de 0 a 30." type="whole" errorStyle="warning" operator="between">
      <formula1>0</formula1>
      <formula2>30</formula2>
    </dataValidation>
    <dataValidation sqref="F18" showDropDown="0" showInputMessage="0" showErrorMessage="1" allowBlank="1" errorTitle="Valor fora da faixa" error="VEL: use um número inteiro de 5 a 30." type="whole" errorStyle="warning" operator="between">
      <formula1>5</formula1>
      <formula2>30</formula2>
    </dataValidation>
    <dataValidation sqref="G18" showDropDown="0" showInputMessage="0" showErrorMessage="1" allowBlank="1" errorTitle="Valor fora da faixa" error="Bônus de Agilidade: use um número inteiro de -1 a 5." type="whole" errorStyle="warning" operator="between">
      <formula1>-1</formula1>
      <formula2>5</formula2>
    </dataValidation>
    <dataValidation sqref="H18" showDropDown="0" showInputMessage="0" showErrorMessage="1" allowBlank="1" errorTitle="Valor fora da faixa" error="Bônus de Discernimento: use um número inteiro de -1 a 5." type="whole" errorStyle="warning" operator="between">
      <formula1>-1</formula1>
      <formula2>5</formula2>
    </dataValidation>
    <dataValidation sqref="I18" showDropDown="0" showInputMessage="0" showErrorMessage="1" allowBlank="1" errorTitle="Valor fora da faixa" error="Bônus de Presença: use um número inteiro de -1 a 5." type="whole" errorStyle="warning" operator="between">
      <formula1>-1</formula1>
      <formula2>5</formula2>
    </dataValidation>
    <dataValidation sqref="J18" showDropDown="0" showInputMessage="0" showErrorMessage="1" allowBlank="1" errorTitle="Valor fora da faixa" error="DT das Habilidades: use um número inteiro de 5 a 40." type="whole" errorStyle="warning" operator="between">
      <formula1>5</formula1>
      <formula2>40</formula2>
    </dataValidation>
    <dataValidation sqref="B19" showDropDown="0" showInputMessage="0" showErrorMessage="1" allowBlank="1" errorTitle="Valor fora da faixa" error="PV máx.: use um número inteiro de 1 a 999." type="whole" errorStyle="warning" operator="between">
      <formula1>1</formula1>
      <formula2>999</formula2>
    </dataValidation>
    <dataValidation sqref="C19" showDropDown="0" showInputMessage="0" showErrorMessage="1" allowBlank="1" errorTitle="Valor fora da faixa" error="Defesa: use um número inteiro de 5 a 40." type="whole" errorStyle="warning" operator="between">
      <formula1>5</formula1>
      <formula2>40</formula2>
    </dataValidation>
    <dataValidation sqref="D19" showDropDown="0" showInputMessage="0" showErrorMessage="1" allowBlank="1" errorTitle="Valor fora da faixa" error="Esquiva: use um número inteiro de 0 a 40." type="whole" errorStyle="warning" operator="between">
      <formula1>0</formula1>
      <formula2>40</formula2>
    </dataValidation>
    <dataValidation sqref="E19" showDropDown="0" showInputMessage="0" showErrorMessage="1" allowBlank="1" errorTitle="Valor fora da faixa" error="RD: use um número inteiro de 0 a 30." type="whole" errorStyle="warning" operator="between">
      <formula1>0</formula1>
      <formula2>30</formula2>
    </dataValidation>
    <dataValidation sqref="F19" showDropDown="0" showInputMessage="0" showErrorMessage="1" allowBlank="1" errorTitle="Valor fora da faixa" error="VEL: use um número inteiro de 5 a 30." type="whole" errorStyle="warning" operator="between">
      <formula1>5</formula1>
      <formula2>30</formula2>
    </dataValidation>
    <dataValidation sqref="G19" showDropDown="0" showInputMessage="0" showErrorMessage="1" allowBlank="1" errorTitle="Valor fora da faixa" error="Bônus de Agilidade: use um número inteiro de -1 a 5." type="whole" errorStyle="warning" operator="between">
      <formula1>-1</formula1>
      <formula2>5</formula2>
    </dataValidation>
    <dataValidation sqref="H19" showDropDown="0" showInputMessage="0" showErrorMessage="1" allowBlank="1" errorTitle="Valor fora da faixa" error="Bônus de Discernimento: use um número inteiro de -1 a 5." type="whole" errorStyle="warning" operator="between">
      <formula1>-1</formula1>
      <formula2>5</formula2>
    </dataValidation>
    <dataValidation sqref="I19" showDropDown="0" showInputMessage="0" showErrorMessage="1" allowBlank="1" errorTitle="Valor fora da faixa" error="Bônus de Presença: use um número inteiro de -1 a 5." type="whole" errorStyle="warning" operator="between">
      <formula1>-1</formula1>
      <formula2>5</formula2>
    </dataValidation>
    <dataValidation sqref="J19" showDropDown="0" showInputMessage="0" showErrorMessage="1" allowBlank="1" errorTitle="Valor fora da faixa" error="DT das Habilidades: use um número inteiro de 5 a 40." type="whole" errorStyle="warning" operator="between">
      <formula1>5</formula1>
      <formula2>40</formula2>
    </dataValidation>
    <dataValidation sqref="B20" showDropDown="0" showInputMessage="0" showErrorMessage="1" allowBlank="1" errorTitle="Valor fora da faixa" error="PV máx.: use um número inteiro de 1 a 999." type="whole" errorStyle="warning" operator="between">
      <formula1>1</formula1>
      <formula2>999</formula2>
    </dataValidation>
    <dataValidation sqref="C20" showDropDown="0" showInputMessage="0" showErrorMessage="1" allowBlank="1" errorTitle="Valor fora da faixa" error="Defesa: use um número inteiro de 5 a 40." type="whole" errorStyle="warning" operator="between">
      <formula1>5</formula1>
      <formula2>40</formula2>
    </dataValidation>
    <dataValidation sqref="D20" showDropDown="0" showInputMessage="0" showErrorMessage="1" allowBlank="1" errorTitle="Valor fora da faixa" error="Esquiva: use um número inteiro de 0 a 40." type="whole" errorStyle="warning" operator="between">
      <formula1>0</formula1>
      <formula2>40</formula2>
    </dataValidation>
    <dataValidation sqref="E20" showDropDown="0" showInputMessage="0" showErrorMessage="1" allowBlank="1" errorTitle="Valor fora da faixa" error="RD: use um número inteiro de 0 a 30." type="whole" errorStyle="warning" operator="between">
      <formula1>0</formula1>
      <formula2>30</formula2>
    </dataValidation>
    <dataValidation sqref="F20" showDropDown="0" showInputMessage="0" showErrorMessage="1" allowBlank="1" errorTitle="Valor fora da faixa" error="VEL: use um número inteiro de 5 a 30." type="whole" errorStyle="warning" operator="between">
      <formula1>5</formula1>
      <formula2>30</formula2>
    </dataValidation>
    <dataValidation sqref="G20" showDropDown="0" showInputMessage="0" showErrorMessage="1" allowBlank="1" errorTitle="Valor fora da faixa" error="Bônus de Agilidade: use um número inteiro de -1 a 5." type="whole" errorStyle="warning" operator="between">
      <formula1>-1</formula1>
      <formula2>5</formula2>
    </dataValidation>
    <dataValidation sqref="H20" showDropDown="0" showInputMessage="0" showErrorMessage="1" allowBlank="1" errorTitle="Valor fora da faixa" error="Bônus de Discernimento: use um número inteiro de -1 a 5." type="whole" errorStyle="warning" operator="between">
      <formula1>-1</formula1>
      <formula2>5</formula2>
    </dataValidation>
    <dataValidation sqref="I20" showDropDown="0" showInputMessage="0" showErrorMessage="1" allowBlank="1" errorTitle="Valor fora da faixa" error="Bônus de Presença: use um número inteiro de -1 a 5." type="whole" errorStyle="warning" operator="between">
      <formula1>-1</formula1>
      <formula2>5</formula2>
    </dataValidation>
    <dataValidation sqref="J20" showDropDown="0" showInputMessage="0" showErrorMessage="1" allowBlank="1" errorTitle="Valor fora da faixa" error="DT das Habilidades: use um número inteiro de 5 a 40." type="whole" errorStyle="warning" operator="between">
      <formula1>5</formula1>
      <formula2>40</formula2>
    </dataValidation>
    <dataValidation sqref="B21" showDropDown="0" showInputMessage="0" showErrorMessage="1" allowBlank="1" errorTitle="Valor fora da faixa" error="PV máx.: use um número inteiro de 1 a 999." type="whole" errorStyle="warning" operator="between">
      <formula1>1</formula1>
      <formula2>999</formula2>
    </dataValidation>
    <dataValidation sqref="C21" showDropDown="0" showInputMessage="0" showErrorMessage="1" allowBlank="1" errorTitle="Valor fora da faixa" error="Defesa: use um número inteiro de 5 a 40." type="whole" errorStyle="warning" operator="between">
      <formula1>5</formula1>
      <formula2>40</formula2>
    </dataValidation>
    <dataValidation sqref="D21" showDropDown="0" showInputMessage="0" showErrorMessage="1" allowBlank="1" errorTitle="Valor fora da faixa" error="Esquiva: use um número inteiro de 0 a 40." type="whole" errorStyle="warning" operator="between">
      <formula1>0</formula1>
      <formula2>40</formula2>
    </dataValidation>
    <dataValidation sqref="E21" showDropDown="0" showInputMessage="0" showErrorMessage="1" allowBlank="1" errorTitle="Valor fora da faixa" error="RD: use um número inteiro de 0 a 30." type="whole" errorStyle="warning" operator="between">
      <formula1>0</formula1>
      <formula2>30</formula2>
    </dataValidation>
    <dataValidation sqref="F21" showDropDown="0" showInputMessage="0" showErrorMessage="1" allowBlank="1" errorTitle="Valor fora da faixa" error="VEL: use um número inteiro de 5 a 30." type="whole" errorStyle="warning" operator="between">
      <formula1>5</formula1>
      <formula2>30</formula2>
    </dataValidation>
    <dataValidation sqref="G21" showDropDown="0" showInputMessage="0" showErrorMessage="1" allowBlank="1" errorTitle="Valor fora da faixa" error="Bônus de Agilidade: use um número inteiro de -1 a 5." type="whole" errorStyle="warning" operator="between">
      <formula1>-1</formula1>
      <formula2>5</formula2>
    </dataValidation>
    <dataValidation sqref="H21" showDropDown="0" showInputMessage="0" showErrorMessage="1" allowBlank="1" errorTitle="Valor fora da faixa" error="Bônus de Discernimento: use um número inteiro de -1 a 5." type="whole" errorStyle="warning" operator="between">
      <formula1>-1</formula1>
      <formula2>5</formula2>
    </dataValidation>
    <dataValidation sqref="I21" showDropDown="0" showInputMessage="0" showErrorMessage="1" allowBlank="1" errorTitle="Valor fora da faixa" error="Bônus de Presença: use um número inteiro de -1 a 5." type="whole" errorStyle="warning" operator="between">
      <formula1>-1</formula1>
      <formula2>5</formula2>
    </dataValidation>
    <dataValidation sqref="J21" showDropDown="0" showInputMessage="0" showErrorMessage="1" allowBlank="1" errorTitle="Valor fora da faixa" error="DT das Habilidades: use um número inteiro de 5 a 40." type="whole" errorStyle="warning" operator="between">
      <formula1>5</formula1>
      <formula2>40</formula2>
    </dataValidation>
    <dataValidation sqref="B25" showDropDown="0" showInputMessage="0" showErrorMessage="1" allowBlank="1" errorTitle="Valor fora da faixa" error="Nível do Cone: use um número inteiro de 1 a 5." type="whole" errorStyle="warning" operator="between">
      <formula1>1</formula1>
      <formula2>5</formula2>
    </dataValidation>
    <dataValidation sqref="C25" showDropDown="0" showInputMessage="0" showErrorMessage="1" allowBlank="1" errorTitle="Valor fora da faixa" error="Tier de Relíquias: use um número inteiro de 1 a 4." type="whole" errorStyle="warning" operator="between">
      <formula1>1</formula1>
      <formula2>4</formula2>
    </dataValidation>
    <dataValidation sqref="D25" showDropDown="0" showInputMessage="0" showErrorMessage="1" allowBlank="1" errorTitle="Valor fora da faixa" error="Slots: use um número inteiro de 0 a 6." type="whole" errorStyle="warning" operator="between">
      <formula1>0</formula1>
      <formula2>6</formula2>
    </dataValidation>
    <dataValidation sqref="E25" showDropDown="0" showInputMessage="0" showErrorMessage="1" allowBlank="1" errorTitle="Valor fora da faixa" error="Sobreposições: use um número inteiro de 0 a 2." type="whole" errorStyle="warning" operator="between">
      <formula1>0</formula1>
      <formula2>2</formula2>
    </dataValidation>
    <dataValidation sqref="F25" showDropDown="0" showInputMessage="0" showErrorMessage="1" allowBlank="1" errorTitle="Valor fora da faixa" error="Sobreposições no Cone: use um número inteiro de 0 a 5." type="whole" errorStyle="warning" operator="between">
      <formula1>0</formula1>
      <formula2>5</formula2>
    </dataValidation>
    <dataValidation sqref="G25" showDropDown="0" showInputMessage="0" showErrorMessage="1" allowBlank="1" errorTitle="Texto longo" error="Ressonâncias: até 200 caracteres." type="textLength" errorStyle="warning" operator="lessThanOrEqual">
      <formula1>200</formula1>
    </dataValidation>
    <dataValidation sqref="B26" showDropDown="0" showInputMessage="0" showErrorMessage="1" allowBlank="1" errorTitle="Valor fora da faixa" error="Nível do Cone: use um número inteiro de 1 a 5." type="whole" errorStyle="warning" operator="between">
      <formula1>1</formula1>
      <formula2>5</formula2>
    </dataValidation>
    <dataValidation sqref="C26" showDropDown="0" showInputMessage="0" showErrorMessage="1" allowBlank="1" errorTitle="Valor fora da faixa" error="Tier de Relíquias: use um número inteiro de 1 a 4." type="whole" errorStyle="warning" operator="between">
      <formula1>1</formula1>
      <formula2>4</formula2>
    </dataValidation>
    <dataValidation sqref="D26" showDropDown="0" showInputMessage="0" showErrorMessage="1" allowBlank="1" errorTitle="Valor fora da faixa" error="Slots: use um número inteiro de 0 a 6." type="whole" errorStyle="warning" operator="between">
      <formula1>0</formula1>
      <formula2>6</formula2>
    </dataValidation>
    <dataValidation sqref="E26" showDropDown="0" showInputMessage="0" showErrorMessage="1" allowBlank="1" errorTitle="Valor fora da faixa" error="Sobreposições: use um número inteiro de 0 a 2." type="whole" errorStyle="warning" operator="between">
      <formula1>0</formula1>
      <formula2>2</formula2>
    </dataValidation>
    <dataValidation sqref="F26" showDropDown="0" showInputMessage="0" showErrorMessage="1" allowBlank="1" errorTitle="Valor fora da faixa" error="Sobreposições no Cone: use um número inteiro de 0 a 5." type="whole" errorStyle="warning" operator="between">
      <formula1>0</formula1>
      <formula2>5</formula2>
    </dataValidation>
    <dataValidation sqref="G26" showDropDown="0" showInputMessage="0" showErrorMessage="1" allowBlank="1" errorTitle="Texto longo" error="Ressonâncias: até 200 caracteres." type="textLength" errorStyle="warning" operator="lessThanOrEqual">
      <formula1>200</formula1>
    </dataValidation>
    <dataValidation sqref="B27" showDropDown="0" showInputMessage="0" showErrorMessage="1" allowBlank="1" errorTitle="Valor fora da faixa" error="Nível do Cone: use um número inteiro de 1 a 5." type="whole" errorStyle="warning" operator="between">
      <formula1>1</formula1>
      <formula2>5</formula2>
    </dataValidation>
    <dataValidation sqref="C27" showDropDown="0" showInputMessage="0" showErrorMessage="1" allowBlank="1" errorTitle="Valor fora da faixa" error="Tier de Relíquias: use um número inteiro de 1 a 4." type="whole" errorStyle="warning" operator="between">
      <formula1>1</formula1>
      <formula2>4</formula2>
    </dataValidation>
    <dataValidation sqref="D27" showDropDown="0" showInputMessage="0" showErrorMessage="1" allowBlank="1" errorTitle="Valor fora da faixa" error="Slots: use um número inteiro de 0 a 6." type="whole" errorStyle="warning" operator="between">
      <formula1>0</formula1>
      <formula2>6</formula2>
    </dataValidation>
    <dataValidation sqref="E27" showDropDown="0" showInputMessage="0" showErrorMessage="1" allowBlank="1" errorTitle="Valor fora da faixa" error="Sobreposições: use um número inteiro de 0 a 2." type="whole" errorStyle="warning" operator="between">
      <formula1>0</formula1>
      <formula2>2</formula2>
    </dataValidation>
    <dataValidation sqref="F27" showDropDown="0" showInputMessage="0" showErrorMessage="1" allowBlank="1" errorTitle="Valor fora da faixa" error="Sobreposições no Cone: use um número inteiro de 0 a 5." type="whole" errorStyle="warning" operator="between">
      <formula1>0</formula1>
      <formula2>5</formula2>
    </dataValidation>
    <dataValidation sqref="G27" showDropDown="0" showInputMessage="0" showErrorMessage="1" allowBlank="1" errorTitle="Texto longo" error="Ressonâncias: até 200 caracteres." type="textLength" errorStyle="warning" operator="lessThanOrEqual">
      <formula1>200</formula1>
    </dataValidation>
    <dataValidation sqref="B28" showDropDown="0" showInputMessage="0" showErrorMessage="1" allowBlank="1" errorTitle="Valor fora da faixa" error="Nível do Cone: use um número inteiro de 1 a 5." type="whole" errorStyle="warning" operator="between">
      <formula1>1</formula1>
      <formula2>5</formula2>
    </dataValidation>
    <dataValidation sqref="C28" showDropDown="0" showInputMessage="0" showErrorMessage="1" allowBlank="1" errorTitle="Valor fora da faixa" error="Tier de Relíquias: use um número inteiro de 1 a 4." type="whole" errorStyle="warning" operator="between">
      <formula1>1</formula1>
      <formula2>4</formula2>
    </dataValidation>
    <dataValidation sqref="D28" showDropDown="0" showInputMessage="0" showErrorMessage="1" allowBlank="1" errorTitle="Valor fora da faixa" error="Slots: use um número inteiro de 0 a 6." type="whole" errorStyle="warning" operator="between">
      <formula1>0</formula1>
      <formula2>6</formula2>
    </dataValidation>
    <dataValidation sqref="E28" showDropDown="0" showInputMessage="0" showErrorMessage="1" allowBlank="1" errorTitle="Valor fora da faixa" error="Sobreposições: use um número inteiro de 0 a 2." type="whole" errorStyle="warning" operator="between">
      <formula1>0</formula1>
      <formula2>2</formula2>
    </dataValidation>
    <dataValidation sqref="F28" showDropDown="0" showInputMessage="0" showErrorMessage="1" allowBlank="1" errorTitle="Valor fora da faixa" error="Sobreposições no Cone: use um número inteiro de 0 a 5." type="whole" errorStyle="warning" operator="between">
      <formula1>0</formula1>
      <formula2>5</formula2>
    </dataValidation>
    <dataValidation sqref="G28" showDropDown="0" showInputMessage="0" showErrorMessage="1" allowBlank="1" errorTitle="Texto longo" error="Ressonâncias: até 200 caracteres." type="textLength" errorStyle="warning" operator="lessThanOrEqual">
      <formula1>200</formula1>
    </dataValidation>
    <dataValidation sqref="B29" showDropDown="0" showInputMessage="0" showErrorMessage="1" allowBlank="1" errorTitle="Valor fora da faixa" error="Nível do Cone: use um número inteiro de 1 a 5." type="whole" errorStyle="warning" operator="between">
      <formula1>1</formula1>
      <formula2>5</formula2>
    </dataValidation>
    <dataValidation sqref="C29" showDropDown="0" showInputMessage="0" showErrorMessage="1" allowBlank="1" errorTitle="Valor fora da faixa" error="Tier de Relíquias: use um número inteiro de 1 a 4." type="whole" errorStyle="warning" operator="between">
      <formula1>1</formula1>
      <formula2>4</formula2>
    </dataValidation>
    <dataValidation sqref="D29" showDropDown="0" showInputMessage="0" showErrorMessage="1" allowBlank="1" errorTitle="Valor fora da faixa" error="Slots: use um número inteiro de 0 a 6." type="whole" errorStyle="warning" operator="between">
      <formula1>0</formula1>
      <formula2>6</formula2>
    </dataValidation>
    <dataValidation sqref="E29" showDropDown="0" showInputMessage="0" showErrorMessage="1" allowBlank="1" errorTitle="Valor fora da faixa" error="Sobreposições: use um número inteiro de 0 a 2." type="whole" errorStyle="warning" operator="between">
      <formula1>0</formula1>
      <formula2>2</formula2>
    </dataValidation>
    <dataValidation sqref="F29" showDropDown="0" showInputMessage="0" showErrorMessage="1" allowBlank="1" errorTitle="Valor fora da faixa" error="Sobreposições no Cone: use um número inteiro de 0 a 5." type="whole" errorStyle="warning" operator="between">
      <formula1>0</formula1>
      <formula2>5</formula2>
    </dataValidation>
    <dataValidation sqref="G29" showDropDown="0" showInputMessage="0" showErrorMessage="1" allowBlank="1" errorTitle="Texto longo" error="Ressonâncias: até 200 caracteres." type="textLength" errorStyle="warning" operator="lessThanOrEqual">
      <formula1>200</formula1>
    </dataValidation>
    <dataValidation sqref="B30" showDropDown="0" showInputMessage="0" showErrorMessage="1" allowBlank="1" errorTitle="Valor fora da faixa" error="Nível do Cone: use um número inteiro de 1 a 5." type="whole" errorStyle="warning" operator="between">
      <formula1>1</formula1>
      <formula2>5</formula2>
    </dataValidation>
    <dataValidation sqref="C30" showDropDown="0" showInputMessage="0" showErrorMessage="1" allowBlank="1" errorTitle="Valor fora da faixa" error="Tier de Relíquias: use um número inteiro de 1 a 4." type="whole" errorStyle="warning" operator="between">
      <formula1>1</formula1>
      <formula2>4</formula2>
    </dataValidation>
    <dataValidation sqref="D30" showDropDown="0" showInputMessage="0" showErrorMessage="1" allowBlank="1" errorTitle="Valor fora da faixa" error="Slots: use um número inteiro de 0 a 6." type="whole" errorStyle="warning" operator="between">
      <formula1>0</formula1>
      <formula2>6</formula2>
    </dataValidation>
    <dataValidation sqref="E30" showDropDown="0" showInputMessage="0" showErrorMessage="1" allowBlank="1" errorTitle="Valor fora da faixa" error="Sobreposições: use um número inteiro de 0 a 2." type="whole" errorStyle="warning" operator="between">
      <formula1>0</formula1>
      <formula2>2</formula2>
    </dataValidation>
    <dataValidation sqref="F30" showDropDown="0" showInputMessage="0" showErrorMessage="1" allowBlank="1" errorTitle="Valor fora da faixa" error="Sobreposições no Cone: use um número inteiro de 0 a 5." type="whole" errorStyle="warning" operator="between">
      <formula1>0</formula1>
      <formula2>5</formula2>
    </dataValidation>
    <dataValidation sqref="G30" showDropDown="0" showInputMessage="0" showErrorMessage="1" allowBlank="1" errorTitle="Texto longo" error="Ressonâncias: até 200 caracteres." type="textLength" errorStyle="warning" operator="lessThanOrEqual">
      <formula1>200</formula1>
    </dataValidation>
    <dataValidation sqref="B43" showDropDown="0" showInputMessage="0" showErrorMessage="1" allowBlank="1" errorTitle="Valor fora da faixa" error="Potência Física: use um número inteiro de -5 a 40." type="whole" errorStyle="warning" operator="between">
      <formula1>-5</formula1>
      <formula2>40</formula2>
    </dataValidation>
    <dataValidation sqref="C43" showDropDown="0" showInputMessage="0" showErrorMessage="1" allowBlank="1" errorTitle="Valor fora da faixa" error="Reflexos: use um número inteiro de -5 a 40." type="whole" errorStyle="warning" operator="between">
      <formula1>-5</formula1>
      <formula2>40</formula2>
    </dataValidation>
    <dataValidation sqref="D43" showDropDown="0" showInputMessage="0" showErrorMessage="1" allowBlank="1" errorTitle="Valor fora da faixa" error="Resistência Física: use um número inteiro de -5 a 40." type="whole" errorStyle="warning" operator="between">
      <formula1>-5</formula1>
      <formula2>40</formula2>
    </dataValidation>
    <dataValidation sqref="E43" showDropDown="0" showInputMessage="0" showErrorMessage="1" allowBlank="1" errorTitle="Valor fora da faixa" error="Resistência Mental: use um número inteiro de -5 a 40." type="whole" errorStyle="warning" operator="between">
      <formula1>-5</formula1>
      <formula2>40</formula2>
    </dataValidation>
    <dataValidation sqref="F43" showDropDown="0" showInputMessage="0" showErrorMessage="1" allowBlank="1" errorTitle="Valor fora da faixa" error="Percepção Mental: use um número inteiro de -5 a 40." type="whole" errorStyle="warning" operator="between">
      <formula1>-5</formula1>
      <formula2>40</formula2>
    </dataValidation>
    <dataValidation sqref="G43" showDropDown="0" showInputMessage="0" showErrorMessage="1" allowBlank="1" errorTitle="Valor fora da faixa" error="Força de Vontade: use um número inteiro de -5 a 40." type="whole" errorStyle="warning" operator="between">
      <formula1>-5</formula1>
      <formula2>40</formula2>
    </dataValidation>
    <dataValidation sqref="H43" showDropDown="0" showInputMessage="0" showErrorMessage="1" allowBlank="1" errorTitle="Valor fora da faixa" error="Percepção: use um número inteiro de -5 a 40." type="whole" errorStyle="warning" operator="between">
      <formula1>-5</formula1>
      <formula2>40</formula2>
    </dataValidation>
    <dataValidation sqref="I43" showDropDown="0" showInputMessage="0" showErrorMessage="1" allowBlank="1" errorTitle="Valor fora da faixa" error="Intuição: use um número inteiro de -5 a 40." type="whole" errorStyle="warning" operator="between">
      <formula1>-5</formula1>
      <formula2>40</formula2>
    </dataValidation>
    <dataValidation sqref="J43" showDropDown="0" showInputMessage="0" showErrorMessage="1" allowBlank="1" errorTitle="Valor fora da faixa" error="Furtividade: use um número inteiro de -5 a 40." type="whole" errorStyle="warning" operator="between">
      <formula1>-5</formula1>
      <formula2>40</formula2>
    </dataValidation>
    <dataValidation sqref="B44" showDropDown="0" showInputMessage="0" showErrorMessage="1" allowBlank="1" errorTitle="Valor fora da faixa" error="Potência Física: use um número inteiro de -5 a 40." type="whole" errorStyle="warning" operator="between">
      <formula1>-5</formula1>
      <formula2>40</formula2>
    </dataValidation>
    <dataValidation sqref="C44" showDropDown="0" showInputMessage="0" showErrorMessage="1" allowBlank="1" errorTitle="Valor fora da faixa" error="Reflexos: use um número inteiro de -5 a 40." type="whole" errorStyle="warning" operator="between">
      <formula1>-5</formula1>
      <formula2>40</formula2>
    </dataValidation>
    <dataValidation sqref="D44" showDropDown="0" showInputMessage="0" showErrorMessage="1" allowBlank="1" errorTitle="Valor fora da faixa" error="Resistência Física: use um número inteiro de -5 a 40." type="whole" errorStyle="warning" operator="between">
      <formula1>-5</formula1>
      <formula2>40</formula2>
    </dataValidation>
    <dataValidation sqref="E44" showDropDown="0" showInputMessage="0" showErrorMessage="1" allowBlank="1" errorTitle="Valor fora da faixa" error="Resistência Mental: use um número inteiro de -5 a 40." type="whole" errorStyle="warning" operator="between">
      <formula1>-5</formula1>
      <formula2>40</formula2>
    </dataValidation>
    <dataValidation sqref="F44" showDropDown="0" showInputMessage="0" showErrorMessage="1" allowBlank="1" errorTitle="Valor fora da faixa" error="Percepção Mental: use um número inteiro de -5 a 40." type="whole" errorStyle="warning" operator="between">
      <formula1>-5</formula1>
      <formula2>40</formula2>
    </dataValidation>
    <dataValidation sqref="G44" showDropDown="0" showInputMessage="0" showErrorMessage="1" allowBlank="1" errorTitle="Valor fora da faixa" error="Força de Vontade: use um número inteiro de -5 a 40." type="whole" errorStyle="warning" operator="between">
      <formula1>-5</formula1>
      <formula2>40</formula2>
    </dataValidation>
    <dataValidation sqref="H44" showDropDown="0" showInputMessage="0" showErrorMessage="1" allowBlank="1" errorTitle="Valor fora da faixa" error="Percepção: use um número inteiro de -5 a 40." type="whole" errorStyle="warning" operator="between">
      <formula1>-5</formula1>
      <formula2>40</formula2>
    </dataValidation>
    <dataValidation sqref="I44" showDropDown="0" showInputMessage="0" showErrorMessage="1" allowBlank="1" errorTitle="Valor fora da faixa" error="Intuição: use um número inteiro de -5 a 40." type="whole" errorStyle="warning" operator="between">
      <formula1>-5</formula1>
      <formula2>40</formula2>
    </dataValidation>
    <dataValidation sqref="J44" showDropDown="0" showInputMessage="0" showErrorMessage="1" allowBlank="1" errorTitle="Valor fora da faixa" error="Furtividade: use um número inteiro de -5 a 40." type="whole" errorStyle="warning" operator="between">
      <formula1>-5</formula1>
      <formula2>40</formula2>
    </dataValidation>
    <dataValidation sqref="B45" showDropDown="0" showInputMessage="0" showErrorMessage="1" allowBlank="1" errorTitle="Valor fora da faixa" error="Potência Física: use um número inteiro de -5 a 40." type="whole" errorStyle="warning" operator="between">
      <formula1>-5</formula1>
      <formula2>40</formula2>
    </dataValidation>
    <dataValidation sqref="C45" showDropDown="0" showInputMessage="0" showErrorMessage="1" allowBlank="1" errorTitle="Valor fora da faixa" error="Reflexos: use um número inteiro de -5 a 40." type="whole" errorStyle="warning" operator="between">
      <formula1>-5</formula1>
      <formula2>40</formula2>
    </dataValidation>
    <dataValidation sqref="D45" showDropDown="0" showInputMessage="0" showErrorMessage="1" allowBlank="1" errorTitle="Valor fora da faixa" error="Resistência Física: use um número inteiro de -5 a 40." type="whole" errorStyle="warning" operator="between">
      <formula1>-5</formula1>
      <formula2>40</formula2>
    </dataValidation>
    <dataValidation sqref="E45" showDropDown="0" showInputMessage="0" showErrorMessage="1" allowBlank="1" errorTitle="Valor fora da faixa" error="Resistência Mental: use um número inteiro de -5 a 40." type="whole" errorStyle="warning" operator="between">
      <formula1>-5</formula1>
      <formula2>40</formula2>
    </dataValidation>
    <dataValidation sqref="F45" showDropDown="0" showInputMessage="0" showErrorMessage="1" allowBlank="1" errorTitle="Valor fora da faixa" error="Percepção Mental: use um número inteiro de -5 a 40." type="whole" errorStyle="warning" operator="between">
      <formula1>-5</formula1>
      <formula2>40</formula2>
    </dataValidation>
    <dataValidation sqref="G45" showDropDown="0" showInputMessage="0" showErrorMessage="1" allowBlank="1" errorTitle="Valor fora da faixa" error="Força de Vontade: use um número inteiro de -5 a 40." type="whole" errorStyle="warning" operator="between">
      <formula1>-5</formula1>
      <formula2>40</formula2>
    </dataValidation>
    <dataValidation sqref="H45" showDropDown="0" showInputMessage="0" showErrorMessage="1" allowBlank="1" errorTitle="Valor fora da faixa" error="Percepção: use um número inteiro de -5 a 40." type="whole" errorStyle="warning" operator="between">
      <formula1>-5</formula1>
      <formula2>40</formula2>
    </dataValidation>
    <dataValidation sqref="I45" showDropDown="0" showInputMessage="0" showErrorMessage="1" allowBlank="1" errorTitle="Valor fora da faixa" error="Intuição: use um número inteiro de -5 a 40." type="whole" errorStyle="warning" operator="between">
      <formula1>-5</formula1>
      <formula2>40</formula2>
    </dataValidation>
    <dataValidation sqref="J45" showDropDown="0" showInputMessage="0" showErrorMessage="1" allowBlank="1" errorTitle="Valor fora da faixa" error="Furtividade: use um número inteiro de -5 a 40." type="whole" errorStyle="warning" operator="between">
      <formula1>-5</formula1>
      <formula2>40</formula2>
    </dataValidation>
    <dataValidation sqref="B46" showDropDown="0" showInputMessage="0" showErrorMessage="1" allowBlank="1" errorTitle="Valor fora da faixa" error="Potência Física: use um número inteiro de -5 a 40." type="whole" errorStyle="warning" operator="between">
      <formula1>-5</formula1>
      <formula2>40</formula2>
    </dataValidation>
    <dataValidation sqref="C46" showDropDown="0" showInputMessage="0" showErrorMessage="1" allowBlank="1" errorTitle="Valor fora da faixa" error="Reflexos: use um número inteiro de -5 a 40." type="whole" errorStyle="warning" operator="between">
      <formula1>-5</formula1>
      <formula2>40</formula2>
    </dataValidation>
    <dataValidation sqref="D46" showDropDown="0" showInputMessage="0" showErrorMessage="1" allowBlank="1" errorTitle="Valor fora da faixa" error="Resistência Física: use um número inteiro de -5 a 40." type="whole" errorStyle="warning" operator="between">
      <formula1>-5</formula1>
      <formula2>40</formula2>
    </dataValidation>
    <dataValidation sqref="E46" showDropDown="0" showInputMessage="0" showErrorMessage="1" allowBlank="1" errorTitle="Valor fora da faixa" error="Resistência Mental: use um número inteiro de -5 a 40." type="whole" errorStyle="warning" operator="between">
      <formula1>-5</formula1>
      <formula2>40</formula2>
    </dataValidation>
    <dataValidation sqref="F46" showDropDown="0" showInputMessage="0" showErrorMessage="1" allowBlank="1" errorTitle="Valor fora da faixa" error="Percepção Mental: use um número inteiro de -5 a 40." type="whole" errorStyle="warning" operator="between">
      <formula1>-5</formula1>
      <formula2>40</formula2>
    </dataValidation>
    <dataValidation sqref="G46" showDropDown="0" showInputMessage="0" showErrorMessage="1" allowBlank="1" errorTitle="Valor fora da faixa" error="Força de Vontade: use um número inteiro de -5 a 40." type="whole" errorStyle="warning" operator="between">
      <formula1>-5</formula1>
      <formula2>40</formula2>
    </dataValidation>
    <dataValidation sqref="H46" showDropDown="0" showInputMessage="0" showErrorMessage="1" allowBlank="1" errorTitle="Valor fora da faixa" error="Percepção: use um número inteiro de -5 a 40." type="whole" errorStyle="warning" operator="between">
      <formula1>-5</formula1>
      <formula2>40</formula2>
    </dataValidation>
    <dataValidation sqref="I46" showDropDown="0" showInputMessage="0" showErrorMessage="1" allowBlank="1" errorTitle="Valor fora da faixa" error="Intuição: use um número inteiro de -5 a 40." type="whole" errorStyle="warning" operator="between">
      <formula1>-5</formula1>
      <formula2>40</formula2>
    </dataValidation>
    <dataValidation sqref="J46" showDropDown="0" showInputMessage="0" showErrorMessage="1" allowBlank="1" errorTitle="Valor fora da faixa" error="Furtividade: use um número inteiro de -5 a 40." type="whole" errorStyle="warning" operator="between">
      <formula1>-5</formula1>
      <formula2>40</formula2>
    </dataValidation>
    <dataValidation sqref="B47" showDropDown="0" showInputMessage="0" showErrorMessage="1" allowBlank="1" errorTitle="Valor fora da faixa" error="Potência Física: use um número inteiro de -5 a 40." type="whole" errorStyle="warning" operator="between">
      <formula1>-5</formula1>
      <formula2>40</formula2>
    </dataValidation>
    <dataValidation sqref="C47" showDropDown="0" showInputMessage="0" showErrorMessage="1" allowBlank="1" errorTitle="Valor fora da faixa" error="Reflexos: use um número inteiro de -5 a 40." type="whole" errorStyle="warning" operator="between">
      <formula1>-5</formula1>
      <formula2>40</formula2>
    </dataValidation>
    <dataValidation sqref="D47" showDropDown="0" showInputMessage="0" showErrorMessage="1" allowBlank="1" errorTitle="Valor fora da faixa" error="Resistência Física: use um número inteiro de -5 a 40." type="whole" errorStyle="warning" operator="between">
      <formula1>-5</formula1>
      <formula2>40</formula2>
    </dataValidation>
    <dataValidation sqref="E47" showDropDown="0" showInputMessage="0" showErrorMessage="1" allowBlank="1" errorTitle="Valor fora da faixa" error="Resistência Mental: use um número inteiro de -5 a 40." type="whole" errorStyle="warning" operator="between">
      <formula1>-5</formula1>
      <formula2>40</formula2>
    </dataValidation>
    <dataValidation sqref="F47" showDropDown="0" showInputMessage="0" showErrorMessage="1" allowBlank="1" errorTitle="Valor fora da faixa" error="Percepção Mental: use um número inteiro de -5 a 40." type="whole" errorStyle="warning" operator="between">
      <formula1>-5</formula1>
      <formula2>40</formula2>
    </dataValidation>
    <dataValidation sqref="G47" showDropDown="0" showInputMessage="0" showErrorMessage="1" allowBlank="1" errorTitle="Valor fora da faixa" error="Força de Vontade: use um número inteiro de -5 a 40." type="whole" errorStyle="warning" operator="between">
      <formula1>-5</formula1>
      <formula2>40</formula2>
    </dataValidation>
    <dataValidation sqref="H47" showDropDown="0" showInputMessage="0" showErrorMessage="1" allowBlank="1" errorTitle="Valor fora da faixa" error="Percepção: use um número inteiro de -5 a 40." type="whole" errorStyle="warning" operator="between">
      <formula1>-5</formula1>
      <formula2>40</formula2>
    </dataValidation>
    <dataValidation sqref="I47" showDropDown="0" showInputMessage="0" showErrorMessage="1" allowBlank="1" errorTitle="Valor fora da faixa" error="Intuição: use um número inteiro de -5 a 40." type="whole" errorStyle="warning" operator="between">
      <formula1>-5</formula1>
      <formula2>40</formula2>
    </dataValidation>
    <dataValidation sqref="J47" showDropDown="0" showInputMessage="0" showErrorMessage="1" allowBlank="1" errorTitle="Valor fora da faixa" error="Furtividade: use um número inteiro de -5 a 40." type="whole" errorStyle="warning" operator="between">
      <formula1>-5</formula1>
      <formula2>40</formula2>
    </dataValidation>
    <dataValidation sqref="B48" showDropDown="0" showInputMessage="0" showErrorMessage="1" allowBlank="1" errorTitle="Valor fora da faixa" error="Potência Física: use um número inteiro de -5 a 40." type="whole" errorStyle="warning" operator="between">
      <formula1>-5</formula1>
      <formula2>40</formula2>
    </dataValidation>
    <dataValidation sqref="C48" showDropDown="0" showInputMessage="0" showErrorMessage="1" allowBlank="1" errorTitle="Valor fora da faixa" error="Reflexos: use um número inteiro de -5 a 40." type="whole" errorStyle="warning" operator="between">
      <formula1>-5</formula1>
      <formula2>40</formula2>
    </dataValidation>
    <dataValidation sqref="D48" showDropDown="0" showInputMessage="0" showErrorMessage="1" allowBlank="1" errorTitle="Valor fora da faixa" error="Resistência Física: use um número inteiro de -5 a 40." type="whole" errorStyle="warning" operator="between">
      <formula1>-5</formula1>
      <formula2>40</formula2>
    </dataValidation>
    <dataValidation sqref="E48" showDropDown="0" showInputMessage="0" showErrorMessage="1" allowBlank="1" errorTitle="Valor fora da faixa" error="Resistência Mental: use um número inteiro de -5 a 40." type="whole" errorStyle="warning" operator="between">
      <formula1>-5</formula1>
      <formula2>40</formula2>
    </dataValidation>
    <dataValidation sqref="F48" showDropDown="0" showInputMessage="0" showErrorMessage="1" allowBlank="1" errorTitle="Valor fora da faixa" error="Percepção Mental: use um número inteiro de -5 a 40." type="whole" errorStyle="warning" operator="between">
      <formula1>-5</formula1>
      <formula2>40</formula2>
    </dataValidation>
    <dataValidation sqref="G48" showDropDown="0" showInputMessage="0" showErrorMessage="1" allowBlank="1" errorTitle="Valor fora da faixa" error="Força de Vontade: use um número inteiro de -5 a 40." type="whole" errorStyle="warning" operator="between">
      <formula1>-5</formula1>
      <formula2>40</formula2>
    </dataValidation>
    <dataValidation sqref="H48" showDropDown="0" showInputMessage="0" showErrorMessage="1" allowBlank="1" errorTitle="Valor fora da faixa" error="Percepção: use um número inteiro de -5 a 40." type="whole" errorStyle="warning" operator="between">
      <formula1>-5</formula1>
      <formula2>40</formula2>
    </dataValidation>
    <dataValidation sqref="I48" showDropDown="0" showInputMessage="0" showErrorMessage="1" allowBlank="1" errorTitle="Valor fora da faixa" error="Intuição: use um número inteiro de -5 a 40." type="whole" errorStyle="warning" operator="between">
      <formula1>-5</formula1>
      <formula2>40</formula2>
    </dataValidation>
    <dataValidation sqref="J48" showDropDown="0" showInputMessage="0" showErrorMessage="1" allowBlank="1" errorTitle="Valor fora da faixa" error="Furtividade: use um número inteiro de -5 a 40." type="whole" errorStyle="warning" operator="between">
      <formula1>-5</formula1>
      <formula2>40</formula2>
    </dataValidation>
    <dataValidation sqref="B52" showDropDown="0" showInputMessage="0" showErrorMessage="1" allowBlank="1" errorTitle="Valor fora da faixa" error="Pesquisa: use um número inteiro de -5 a 40." type="whole" errorStyle="warning" operator="between">
      <formula1>-5</formula1>
      <formula2>40</formula2>
    </dataValidation>
    <dataValidation sqref="C52" showDropDown="0" showInputMessage="0" showErrorMessage="1" allowBlank="1" errorTitle="Valor fora da faixa" error="Ciência: use um número inteiro de -5 a 40." type="whole" errorStyle="warning" operator="between">
      <formula1>-5</formula1>
      <formula2>40</formula2>
    </dataValidation>
    <dataValidation sqref="D52" showDropDown="0" showInputMessage="0" showErrorMessage="1" allowBlank="1" errorTitle="Valor fora da faixa" error="Sintonia: use um número inteiro de -5 a 40." type="whole" errorStyle="warning" operator="between">
      <formula1>-5</formula1>
      <formula2>40</formula2>
    </dataValidation>
    <dataValidation sqref="E52" showDropDown="0" showInputMessage="0" showErrorMessage="1" allowBlank="1" errorTitle="Valor fora da faixa" error="Persuasão: use um número inteiro de -5 a 40." type="whole" errorStyle="warning" operator="between">
      <formula1>-5</formula1>
      <formula2>40</formula2>
    </dataValidation>
    <dataValidation sqref="F52" showDropDown="0" showInputMessage="0" showErrorMessage="1" allowBlank="1" errorTitle="Texto longo" error="Traços e passivas: até 200 caracteres." type="textLength" errorStyle="warning" operator="lessThanOrEqual">
      <formula1>200</formula1>
    </dataValidation>
    <dataValidation sqref="B53" showDropDown="0" showInputMessage="0" showErrorMessage="1" allowBlank="1" errorTitle="Valor fora da faixa" error="Pesquisa: use um número inteiro de -5 a 40." type="whole" errorStyle="warning" operator="between">
      <formula1>-5</formula1>
      <formula2>40</formula2>
    </dataValidation>
    <dataValidation sqref="C53" showDropDown="0" showInputMessage="0" showErrorMessage="1" allowBlank="1" errorTitle="Valor fora da faixa" error="Ciência: use um número inteiro de -5 a 40." type="whole" errorStyle="warning" operator="between">
      <formula1>-5</formula1>
      <formula2>40</formula2>
    </dataValidation>
    <dataValidation sqref="D53" showDropDown="0" showInputMessage="0" showErrorMessage="1" allowBlank="1" errorTitle="Valor fora da faixa" error="Sintonia: use um número inteiro de -5 a 40." type="whole" errorStyle="warning" operator="between">
      <formula1>-5</formula1>
      <formula2>40</formula2>
    </dataValidation>
    <dataValidation sqref="E53" showDropDown="0" showInputMessage="0" showErrorMessage="1" allowBlank="1" errorTitle="Valor fora da faixa" error="Persuasão: use um número inteiro de -5 a 40." type="whole" errorStyle="warning" operator="between">
      <formula1>-5</formula1>
      <formula2>40</formula2>
    </dataValidation>
    <dataValidation sqref="F53" showDropDown="0" showInputMessage="0" showErrorMessage="1" allowBlank="1" errorTitle="Texto longo" error="Traços e passivas: até 200 caracteres." type="textLength" errorStyle="warning" operator="lessThanOrEqual">
      <formula1>200</formula1>
    </dataValidation>
    <dataValidation sqref="B54" showDropDown="0" showInputMessage="0" showErrorMessage="1" allowBlank="1" errorTitle="Valor fora da faixa" error="Pesquisa: use um número inteiro de -5 a 40." type="whole" errorStyle="warning" operator="between">
      <formula1>-5</formula1>
      <formula2>40</formula2>
    </dataValidation>
    <dataValidation sqref="C54" showDropDown="0" showInputMessage="0" showErrorMessage="1" allowBlank="1" errorTitle="Valor fora da faixa" error="Ciência: use um número inteiro de -5 a 40." type="whole" errorStyle="warning" operator="between">
      <formula1>-5</formula1>
      <formula2>40</formula2>
    </dataValidation>
    <dataValidation sqref="D54" showDropDown="0" showInputMessage="0" showErrorMessage="1" allowBlank="1" errorTitle="Valor fora da faixa" error="Sintonia: use um número inteiro de -5 a 40." type="whole" errorStyle="warning" operator="between">
      <formula1>-5</formula1>
      <formula2>40</formula2>
    </dataValidation>
    <dataValidation sqref="E54" showDropDown="0" showInputMessage="0" showErrorMessage="1" allowBlank="1" errorTitle="Valor fora da faixa" error="Persuasão: use um número inteiro de -5 a 40." type="whole" errorStyle="warning" operator="between">
      <formula1>-5</formula1>
      <formula2>40</formula2>
    </dataValidation>
    <dataValidation sqref="F54" showDropDown="0" showInputMessage="0" showErrorMessage="1" allowBlank="1" errorTitle="Texto longo" error="Traços e passivas: até 200 caracteres." type="textLength" errorStyle="warning" operator="lessThanOrEqual">
      <formula1>200</formula1>
    </dataValidation>
    <dataValidation sqref="B55" showDropDown="0" showInputMessage="0" showErrorMessage="1" allowBlank="1" errorTitle="Valor fora da faixa" error="Pesquisa: use um número inteiro de -5 a 40." type="whole" errorStyle="warning" operator="between">
      <formula1>-5</formula1>
      <formula2>40</formula2>
    </dataValidation>
    <dataValidation sqref="C55" showDropDown="0" showInputMessage="0" showErrorMessage="1" allowBlank="1" errorTitle="Valor fora da faixa" error="Ciência: use um número inteiro de -5 a 40." type="whole" errorStyle="warning" operator="between">
      <formula1>-5</formula1>
      <formula2>40</formula2>
    </dataValidation>
    <dataValidation sqref="D55" showDropDown="0" showInputMessage="0" showErrorMessage="1" allowBlank="1" errorTitle="Valor fora da faixa" error="Sintonia: use um número inteiro de -5 a 40." type="whole" errorStyle="warning" operator="between">
      <formula1>-5</formula1>
      <formula2>40</formula2>
    </dataValidation>
    <dataValidation sqref="E55" showDropDown="0" showInputMessage="0" showErrorMessage="1" allowBlank="1" errorTitle="Valor fora da faixa" error="Persuasão: use um número inteiro de -5 a 40." type="whole" errorStyle="warning" operator="between">
      <formula1>-5</formula1>
      <formula2>40</formula2>
    </dataValidation>
    <dataValidation sqref="F55" showDropDown="0" showInputMessage="0" showErrorMessage="1" allowBlank="1" errorTitle="Texto longo" error="Traços e passivas: até 200 caracteres." type="textLength" errorStyle="warning" operator="lessThanOrEqual">
      <formula1>200</formula1>
    </dataValidation>
    <dataValidation sqref="B56" showDropDown="0" showInputMessage="0" showErrorMessage="1" allowBlank="1" errorTitle="Valor fora da faixa" error="Pesquisa: use um número inteiro de -5 a 40." type="whole" errorStyle="warning" operator="between">
      <formula1>-5</formula1>
      <formula2>40</formula2>
    </dataValidation>
    <dataValidation sqref="C56" showDropDown="0" showInputMessage="0" showErrorMessage="1" allowBlank="1" errorTitle="Valor fora da faixa" error="Ciência: use um número inteiro de -5 a 40." type="whole" errorStyle="warning" operator="between">
      <formula1>-5</formula1>
      <formula2>40</formula2>
    </dataValidation>
    <dataValidation sqref="D56" showDropDown="0" showInputMessage="0" showErrorMessage="1" allowBlank="1" errorTitle="Valor fora da faixa" error="Sintonia: use um número inteiro de -5 a 40." type="whole" errorStyle="warning" operator="between">
      <formula1>-5</formula1>
      <formula2>40</formula2>
    </dataValidation>
    <dataValidation sqref="E56" showDropDown="0" showInputMessage="0" showErrorMessage="1" allowBlank="1" errorTitle="Valor fora da faixa" error="Persuasão: use um número inteiro de -5 a 40." type="whole" errorStyle="warning" operator="between">
      <formula1>-5</formula1>
      <formula2>40</formula2>
    </dataValidation>
    <dataValidation sqref="F56" showDropDown="0" showInputMessage="0" showErrorMessage="1" allowBlank="1" errorTitle="Texto longo" error="Traços e passivas: até 200 caracteres." type="textLength" errorStyle="warning" operator="lessThanOrEqual">
      <formula1>200</formula1>
    </dataValidation>
    <dataValidation sqref="B57" showDropDown="0" showInputMessage="0" showErrorMessage="1" allowBlank="1" errorTitle="Valor fora da faixa" error="Pesquisa: use um número inteiro de -5 a 40." type="whole" errorStyle="warning" operator="between">
      <formula1>-5</formula1>
      <formula2>40</formula2>
    </dataValidation>
    <dataValidation sqref="C57" showDropDown="0" showInputMessage="0" showErrorMessage="1" allowBlank="1" errorTitle="Valor fora da faixa" error="Ciência: use um número inteiro de -5 a 40." type="whole" errorStyle="warning" operator="between">
      <formula1>-5</formula1>
      <formula2>40</formula2>
    </dataValidation>
    <dataValidation sqref="D57" showDropDown="0" showInputMessage="0" showErrorMessage="1" allowBlank="1" errorTitle="Valor fora da faixa" error="Sintonia: use um número inteiro de -5 a 40." type="whole" errorStyle="warning" operator="between">
      <formula1>-5</formula1>
      <formula2>40</formula2>
    </dataValidation>
    <dataValidation sqref="E57" showDropDown="0" showInputMessage="0" showErrorMessage="1" allowBlank="1" errorTitle="Valor fora da faixa" error="Persuasão: use um número inteiro de -5 a 40." type="whole" errorStyle="warning" operator="between">
      <formula1>-5</formula1>
      <formula2>40</formula2>
    </dataValidation>
    <dataValidation sqref="F57" showDropDown="0" showInputMessage="0" showErrorMessage="1" allowBlank="1" errorTitle="Texto longo" error="Traços e passivas: até 200 caracteres." type="textLength" errorStyle="warning" operator="lessThanOrEqual">
      <formula1>200</formula1>
    </dataValidation>
    <dataValidation sqref="B61" showDropDown="0" showInputMessage="0" showErrorMessage="1" allowBlank="1" errorTitle="Fora da lista" error="Tem Memoespírito: escolha um valor da lista. A planilha pode não reconhecer outro valor." type="list" errorStyle="warning">
      <formula1>'Dados'!$AT$6:$AT$7</formula1>
    </dataValidation>
    <dataValidation sqref="C61" showDropDown="0" showInputMessage="0" showErrorMessage="1" allowBlank="1" errorTitle="Texto longo" error="Nome do Memoespírito: até 30 caracteres." type="textLength" errorStyle="warning" operator="lessThanOrEqual">
      <formula1>30</formula1>
    </dataValidation>
    <dataValidation sqref="D61" showDropDown="0" showInputMessage="0" showErrorMessage="1" allowBlank="1" errorTitle="Valor fora da faixa" error="PV máx. do Memoespírito: use um número inteiro de 0 a 999." type="whole" errorStyle="warning" operator="between">
      <formula1>0</formula1>
      <formula2>999</formula2>
    </dataValidation>
    <dataValidation sqref="E61" showDropDown="0" showInputMessage="0" showErrorMessage="1" allowBlank="1" errorTitle="Valor fora da faixa" error="Defesa do Memoespírito: use um número inteiro de 0 a 40." type="whole" errorStyle="warning" operator="between">
      <formula1>0</formula1>
      <formula2>40</formula2>
    </dataValidation>
    <dataValidation sqref="F61" showDropDown="0" showInputMessage="0" showErrorMessage="1" allowBlank="1" errorTitle="Valor fora da faixa" error="VEL do Memoespírito: use um número inteiro de 0 a 30." type="whole" errorStyle="warning" operator="between">
      <formula1>0</formula1>
      <formula2>30</formula2>
    </dataValidation>
    <dataValidation sqref="G61" showDropDown="0" showInputMessage="0" showErrorMessage="1" allowBlank="1" errorTitle="Valor fora da faixa" error="RD do Memoespírito: use um número inteiro de 0 a 10." type="whole" errorStyle="warning" operator="between">
      <formula1>0</formula1>
      <formula2>10</formula2>
    </dataValidation>
    <dataValidation sqref="H61" showDropDown="0" showInputMessage="0" showErrorMessage="1" allowBlank="1" errorTitle="Valor fora da faixa" error="Pontos em Discernimento: use um número inteiro de 0 a 5." type="whole" errorStyle="warning" operator="between">
      <formula1>0</formula1>
      <formula2>5</formula2>
    </dataValidation>
    <dataValidation sqref="I61" showDropDown="0" showInputMessage="0" showErrorMessage="1" allowBlank="1" errorTitle="Valor fora da faixa" error="Pontos em Agilidade: use um número inteiro de 0 a 5." type="whole" errorStyle="warning" operator="between">
      <formula1>0</formula1>
      <formula2>5</formula2>
    </dataValidation>
    <dataValidation sqref="J61" showDropDown="0" showInputMessage="0" showErrorMessage="1" allowBlank="1" errorTitle="Valor fora da faixa" error="Pontos em Vigor: use um número inteiro de 0 a 5." type="whole" errorStyle="warning" operator="between">
      <formula1>0</formula1>
      <formula2>5</formula2>
    </dataValidation>
    <dataValidation sqref="B62" showDropDown="0" showInputMessage="0" showErrorMessage="1" allowBlank="1" errorTitle="Fora da lista" error="Tem Memoespírito: escolha um valor da lista. A planilha pode não reconhecer outro valor." type="list" errorStyle="warning">
      <formula1>'Dados'!$AT$6:$AT$7</formula1>
    </dataValidation>
    <dataValidation sqref="C62" showDropDown="0" showInputMessage="0" showErrorMessage="1" allowBlank="1" errorTitle="Texto longo" error="Nome do Memoespírito: até 30 caracteres." type="textLength" errorStyle="warning" operator="lessThanOrEqual">
      <formula1>30</formula1>
    </dataValidation>
    <dataValidation sqref="D62" showDropDown="0" showInputMessage="0" showErrorMessage="1" allowBlank="1" errorTitle="Valor fora da faixa" error="PV máx. do Memoespírito: use um número inteiro de 0 a 999." type="whole" errorStyle="warning" operator="between">
      <formula1>0</formula1>
      <formula2>999</formula2>
    </dataValidation>
    <dataValidation sqref="E62" showDropDown="0" showInputMessage="0" showErrorMessage="1" allowBlank="1" errorTitle="Valor fora da faixa" error="Defesa do Memoespírito: use um número inteiro de 0 a 40." type="whole" errorStyle="warning" operator="between">
      <formula1>0</formula1>
      <formula2>40</formula2>
    </dataValidation>
    <dataValidation sqref="F62" showDropDown="0" showInputMessage="0" showErrorMessage="1" allowBlank="1" errorTitle="Valor fora da faixa" error="VEL do Memoespírito: use um número inteiro de 0 a 30." type="whole" errorStyle="warning" operator="between">
      <formula1>0</formula1>
      <formula2>30</formula2>
    </dataValidation>
    <dataValidation sqref="G62" showDropDown="0" showInputMessage="0" showErrorMessage="1" allowBlank="1" errorTitle="Valor fora da faixa" error="RD do Memoespírito: use um número inteiro de 0 a 10." type="whole" errorStyle="warning" operator="between">
      <formula1>0</formula1>
      <formula2>10</formula2>
    </dataValidation>
    <dataValidation sqref="H62" showDropDown="0" showInputMessage="0" showErrorMessage="1" allowBlank="1" errorTitle="Valor fora da faixa" error="Pontos em Discernimento: use um número inteiro de 0 a 5." type="whole" errorStyle="warning" operator="between">
      <formula1>0</formula1>
      <formula2>5</formula2>
    </dataValidation>
    <dataValidation sqref="I62" showDropDown="0" showInputMessage="0" showErrorMessage="1" allowBlank="1" errorTitle="Valor fora da faixa" error="Pontos em Agilidade: use um número inteiro de 0 a 5." type="whole" errorStyle="warning" operator="between">
      <formula1>0</formula1>
      <formula2>5</formula2>
    </dataValidation>
    <dataValidation sqref="J62" showDropDown="0" showInputMessage="0" showErrorMessage="1" allowBlank="1" errorTitle="Valor fora da faixa" error="Pontos em Vigor: use um número inteiro de 0 a 5." type="whole" errorStyle="warning" operator="between">
      <formula1>0</formula1>
      <formula2>5</formula2>
    </dataValidation>
    <dataValidation sqref="B63" showDropDown="0" showInputMessage="0" showErrorMessage="1" allowBlank="1" errorTitle="Fora da lista" error="Tem Memoespírito: escolha um valor da lista. A planilha pode não reconhecer outro valor." type="list" errorStyle="warning">
      <formula1>'Dados'!$AT$6:$AT$7</formula1>
    </dataValidation>
    <dataValidation sqref="C63" showDropDown="0" showInputMessage="0" showErrorMessage="1" allowBlank="1" errorTitle="Texto longo" error="Nome do Memoespírito: até 30 caracteres." type="textLength" errorStyle="warning" operator="lessThanOrEqual">
      <formula1>30</formula1>
    </dataValidation>
    <dataValidation sqref="D63" showDropDown="0" showInputMessage="0" showErrorMessage="1" allowBlank="1" errorTitle="Valor fora da faixa" error="PV máx. do Memoespírito: use um número inteiro de 0 a 999." type="whole" errorStyle="warning" operator="between">
      <formula1>0</formula1>
      <formula2>999</formula2>
    </dataValidation>
    <dataValidation sqref="E63" showDropDown="0" showInputMessage="0" showErrorMessage="1" allowBlank="1" errorTitle="Valor fora da faixa" error="Defesa do Memoespírito: use um número inteiro de 0 a 40." type="whole" errorStyle="warning" operator="between">
      <formula1>0</formula1>
      <formula2>40</formula2>
    </dataValidation>
    <dataValidation sqref="F63" showDropDown="0" showInputMessage="0" showErrorMessage="1" allowBlank="1" errorTitle="Valor fora da faixa" error="VEL do Memoespírito: use um número inteiro de 0 a 30." type="whole" errorStyle="warning" operator="between">
      <formula1>0</formula1>
      <formula2>30</formula2>
    </dataValidation>
    <dataValidation sqref="G63" showDropDown="0" showInputMessage="0" showErrorMessage="1" allowBlank="1" errorTitle="Valor fora da faixa" error="RD do Memoespírito: use um número inteiro de 0 a 10." type="whole" errorStyle="warning" operator="between">
      <formula1>0</formula1>
      <formula2>10</formula2>
    </dataValidation>
    <dataValidation sqref="H63" showDropDown="0" showInputMessage="0" showErrorMessage="1" allowBlank="1" errorTitle="Valor fora da faixa" error="Pontos em Discernimento: use um número inteiro de 0 a 5." type="whole" errorStyle="warning" operator="between">
      <formula1>0</formula1>
      <formula2>5</formula2>
    </dataValidation>
    <dataValidation sqref="I63" showDropDown="0" showInputMessage="0" showErrorMessage="1" allowBlank="1" errorTitle="Valor fora da faixa" error="Pontos em Agilidade: use um número inteiro de 0 a 5." type="whole" errorStyle="warning" operator="between">
      <formula1>0</formula1>
      <formula2>5</formula2>
    </dataValidation>
    <dataValidation sqref="J63" showDropDown="0" showInputMessage="0" showErrorMessage="1" allowBlank="1" errorTitle="Valor fora da faixa" error="Pontos em Vigor: use um número inteiro de 0 a 5." type="whole" errorStyle="warning" operator="between">
      <formula1>0</formula1>
      <formula2>5</formula2>
    </dataValidation>
    <dataValidation sqref="B64" showDropDown="0" showInputMessage="0" showErrorMessage="1" allowBlank="1" errorTitle="Fora da lista" error="Tem Memoespírito: escolha um valor da lista. A planilha pode não reconhecer outro valor." type="list" errorStyle="warning">
      <formula1>'Dados'!$AT$6:$AT$7</formula1>
    </dataValidation>
    <dataValidation sqref="C64" showDropDown="0" showInputMessage="0" showErrorMessage="1" allowBlank="1" errorTitle="Texto longo" error="Nome do Memoespírito: até 30 caracteres." type="textLength" errorStyle="warning" operator="lessThanOrEqual">
      <formula1>30</formula1>
    </dataValidation>
    <dataValidation sqref="D64" showDropDown="0" showInputMessage="0" showErrorMessage="1" allowBlank="1" errorTitle="Valor fora da faixa" error="PV máx. do Memoespírito: use um número inteiro de 0 a 999." type="whole" errorStyle="warning" operator="between">
      <formula1>0</formula1>
      <formula2>999</formula2>
    </dataValidation>
    <dataValidation sqref="E64" showDropDown="0" showInputMessage="0" showErrorMessage="1" allowBlank="1" errorTitle="Valor fora da faixa" error="Defesa do Memoespírito: use um número inteiro de 0 a 40." type="whole" errorStyle="warning" operator="between">
      <formula1>0</formula1>
      <formula2>40</formula2>
    </dataValidation>
    <dataValidation sqref="F64" showDropDown="0" showInputMessage="0" showErrorMessage="1" allowBlank="1" errorTitle="Valor fora da faixa" error="VEL do Memoespírito: use um número inteiro de 0 a 30." type="whole" errorStyle="warning" operator="between">
      <formula1>0</formula1>
      <formula2>30</formula2>
    </dataValidation>
    <dataValidation sqref="G64" showDropDown="0" showInputMessage="0" showErrorMessage="1" allowBlank="1" errorTitle="Valor fora da faixa" error="RD do Memoespírito: use um número inteiro de 0 a 10." type="whole" errorStyle="warning" operator="between">
      <formula1>0</formula1>
      <formula2>10</formula2>
    </dataValidation>
    <dataValidation sqref="H64" showDropDown="0" showInputMessage="0" showErrorMessage="1" allowBlank="1" errorTitle="Valor fora da faixa" error="Pontos em Discernimento: use um número inteiro de 0 a 5." type="whole" errorStyle="warning" operator="between">
      <formula1>0</formula1>
      <formula2>5</formula2>
    </dataValidation>
    <dataValidation sqref="I64" showDropDown="0" showInputMessage="0" showErrorMessage="1" allowBlank="1" errorTitle="Valor fora da faixa" error="Pontos em Agilidade: use um número inteiro de 0 a 5." type="whole" errorStyle="warning" operator="between">
      <formula1>0</formula1>
      <formula2>5</formula2>
    </dataValidation>
    <dataValidation sqref="J64" showDropDown="0" showInputMessage="0" showErrorMessage="1" allowBlank="1" errorTitle="Valor fora da faixa" error="Pontos em Vigor: use um número inteiro de 0 a 5." type="whole" errorStyle="warning" operator="between">
      <formula1>0</formula1>
      <formula2>5</formula2>
    </dataValidation>
    <dataValidation sqref="B65" showDropDown="0" showInputMessage="0" showErrorMessage="1" allowBlank="1" errorTitle="Fora da lista" error="Tem Memoespírito: escolha um valor da lista. A planilha pode não reconhecer outro valor." type="list" errorStyle="warning">
      <formula1>'Dados'!$AT$6:$AT$7</formula1>
    </dataValidation>
    <dataValidation sqref="C65" showDropDown="0" showInputMessage="0" showErrorMessage="1" allowBlank="1" errorTitle="Texto longo" error="Nome do Memoespírito: até 30 caracteres." type="textLength" errorStyle="warning" operator="lessThanOrEqual">
      <formula1>30</formula1>
    </dataValidation>
    <dataValidation sqref="D65" showDropDown="0" showInputMessage="0" showErrorMessage="1" allowBlank="1" errorTitle="Valor fora da faixa" error="PV máx. do Memoespírito: use um número inteiro de 0 a 999." type="whole" errorStyle="warning" operator="between">
      <formula1>0</formula1>
      <formula2>999</formula2>
    </dataValidation>
    <dataValidation sqref="E65" showDropDown="0" showInputMessage="0" showErrorMessage="1" allowBlank="1" errorTitle="Valor fora da faixa" error="Defesa do Memoespírito: use um número inteiro de 0 a 40." type="whole" errorStyle="warning" operator="between">
      <formula1>0</formula1>
      <formula2>40</formula2>
    </dataValidation>
    <dataValidation sqref="F65" showDropDown="0" showInputMessage="0" showErrorMessage="1" allowBlank="1" errorTitle="Valor fora da faixa" error="VEL do Memoespírito: use um número inteiro de 0 a 30." type="whole" errorStyle="warning" operator="between">
      <formula1>0</formula1>
      <formula2>30</formula2>
    </dataValidation>
    <dataValidation sqref="G65" showDropDown="0" showInputMessage="0" showErrorMessage="1" allowBlank="1" errorTitle="Valor fora da faixa" error="RD do Memoespírito: use um número inteiro de 0 a 10." type="whole" errorStyle="warning" operator="between">
      <formula1>0</formula1>
      <formula2>10</formula2>
    </dataValidation>
    <dataValidation sqref="H65" showDropDown="0" showInputMessage="0" showErrorMessage="1" allowBlank="1" errorTitle="Valor fora da faixa" error="Pontos em Discernimento: use um número inteiro de 0 a 5." type="whole" errorStyle="warning" operator="between">
      <formula1>0</formula1>
      <formula2>5</formula2>
    </dataValidation>
    <dataValidation sqref="I65" showDropDown="0" showInputMessage="0" showErrorMessage="1" allowBlank="1" errorTitle="Valor fora da faixa" error="Pontos em Agilidade: use um número inteiro de 0 a 5." type="whole" errorStyle="warning" operator="between">
      <formula1>0</formula1>
      <formula2>5</formula2>
    </dataValidation>
    <dataValidation sqref="J65" showDropDown="0" showInputMessage="0" showErrorMessage="1" allowBlank="1" errorTitle="Valor fora da faixa" error="Pontos em Vigor: use um número inteiro de 0 a 5." type="whole" errorStyle="warning" operator="between">
      <formula1>0</formula1>
      <formula2>5</formula2>
    </dataValidation>
    <dataValidation sqref="B66" showDropDown="0" showInputMessage="0" showErrorMessage="1" allowBlank="1" errorTitle="Fora da lista" error="Tem Memoespírito: escolha um valor da lista. A planilha pode não reconhecer outro valor." type="list" errorStyle="warning">
      <formula1>'Dados'!$AT$6:$AT$7</formula1>
    </dataValidation>
    <dataValidation sqref="C66" showDropDown="0" showInputMessage="0" showErrorMessage="1" allowBlank="1" errorTitle="Texto longo" error="Nome do Memoespírito: até 30 caracteres." type="textLength" errorStyle="warning" operator="lessThanOrEqual">
      <formula1>30</formula1>
    </dataValidation>
    <dataValidation sqref="D66" showDropDown="0" showInputMessage="0" showErrorMessage="1" allowBlank="1" errorTitle="Valor fora da faixa" error="PV máx. do Memoespírito: use um número inteiro de 0 a 999." type="whole" errorStyle="warning" operator="between">
      <formula1>0</formula1>
      <formula2>999</formula2>
    </dataValidation>
    <dataValidation sqref="E66" showDropDown="0" showInputMessage="0" showErrorMessage="1" allowBlank="1" errorTitle="Valor fora da faixa" error="Defesa do Memoespírito: use um número inteiro de 0 a 40." type="whole" errorStyle="warning" operator="between">
      <formula1>0</formula1>
      <formula2>40</formula2>
    </dataValidation>
    <dataValidation sqref="F66" showDropDown="0" showInputMessage="0" showErrorMessage="1" allowBlank="1" errorTitle="Valor fora da faixa" error="VEL do Memoespírito: use um número inteiro de 0 a 30." type="whole" errorStyle="warning" operator="between">
      <formula1>0</formula1>
      <formula2>30</formula2>
    </dataValidation>
    <dataValidation sqref="G66" showDropDown="0" showInputMessage="0" showErrorMessage="1" allowBlank="1" errorTitle="Valor fora da faixa" error="RD do Memoespírito: use um número inteiro de 0 a 10." type="whole" errorStyle="warning" operator="between">
      <formula1>0</formula1>
      <formula2>10</formula2>
    </dataValidation>
    <dataValidation sqref="H66" showDropDown="0" showInputMessage="0" showErrorMessage="1" allowBlank="1" errorTitle="Valor fora da faixa" error="Pontos em Discernimento: use um número inteiro de 0 a 5." type="whole" errorStyle="warning" operator="between">
      <formula1>0</formula1>
      <formula2>5</formula2>
    </dataValidation>
    <dataValidation sqref="I66" showDropDown="0" showInputMessage="0" showErrorMessage="1" allowBlank="1" errorTitle="Valor fora da faixa" error="Pontos em Agilidade: use um número inteiro de 0 a 5." type="whole" errorStyle="warning" operator="between">
      <formula1>0</formula1>
      <formula2>5</formula2>
    </dataValidation>
    <dataValidation sqref="J66" showDropDown="0" showInputMessage="0" showErrorMessage="1" allowBlank="1" errorTitle="Valor fora da faixa" error="Pontos em Vigor: use um número inteiro de 0 a 5." type="whole" errorStyle="warning" operator="between">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31"/>
  <sheetViews>
    <sheetView showGridLines="1" workbookViewId="0">
      <selection activeCell="A1" sqref="A1"/>
    </sheetView>
  </sheetViews>
  <sheetFormatPr baseColWidth="8" defaultRowHeight="15"/>
  <cols>
    <col width="20.786" customWidth="1" min="1" max="1"/>
    <col width="17.214" customWidth="1" min="2" max="2"/>
    <col width="12.929" customWidth="1" min="3" max="3"/>
    <col width="12.929" customWidth="1" min="4" max="4"/>
    <col width="12.929" customWidth="1" min="5" max="5"/>
    <col width="13.643" customWidth="1" min="6" max="6"/>
    <col width="13.643" customWidth="1" min="7" max="7"/>
    <col width="13.643" customWidth="1" min="8" max="8"/>
    <col width="17.214" customWidth="1" min="9" max="9"/>
    <col width="15.786" customWidth="1" min="10" max="10"/>
    <col width="17.929" customWidth="1" min="11" max="11"/>
    <col width="17.929" customWidth="1" min="12" max="12"/>
    <col hidden="1" width="13" customWidth="1" min="13" max="13"/>
    <col hidden="1" width="13" customWidth="1" min="14" max="14"/>
    <col hidden="1" width="13" customWidth="1" min="15" max="15"/>
    <col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s>
  <sheetData>
    <row r="1" ht="24" customHeight="1">
      <c r="A1" s="1" t="inlineStr">
        <is>
          <t>Sessões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Preparar a próxima sessão (cenas, pistas, ganchos, checklist) e o diário de campanha.</t>
        </is>
      </c>
    </row>
    <row r="4"/>
    <row r="5" ht="20" customHeight="1">
      <c r="A5" s="13" t="inlineStr">
        <is>
          <t>Preparar a próxima sessão (preencha)</t>
        </is>
      </c>
    </row>
    <row r="6">
      <c r="A6" s="8" t="inlineStr">
        <is>
          <t>Campo</t>
        </is>
      </c>
      <c r="B6" s="8" t="inlineStr">
        <is>
          <t>Valor (preencha)</t>
        </is>
      </c>
      <c r="C6" s="20" t="n"/>
      <c r="D6" s="20" t="n"/>
      <c r="E6" s="20" t="n"/>
      <c r="F6" s="20" t="n"/>
      <c r="G6" s="20" t="n"/>
      <c r="H6" s="20" t="n"/>
      <c r="I6" s="20" t="n"/>
      <c r="J6" s="20" t="n"/>
      <c r="K6" s="8" t="inlineStr">
        <is>
          <t>Aviso</t>
        </is>
      </c>
      <c r="L6" s="20" t="n"/>
    </row>
    <row r="7" ht="26" customHeight="1">
      <c r="A7" s="9" t="inlineStr">
        <is>
          <t>Sessão nº</t>
        </is>
      </c>
      <c r="B7" s="16" t="n"/>
      <c r="C7" s="5">
        <f>"Sessão atual na Mesa: "&amp;IF(ISNUMBER('Campanha'!$AD$10),'Campanha'!$AD$10,"(vazia)")&amp;"."</f>
        <v/>
      </c>
      <c r="K7" s="19">
        <f>IF(AA7&gt;0,"O Google leu como fórmula: digite de novo com ' na frente.",IF(AND(ISNUMBER($R$7),ISNUMBER('Campanha'!$AD$10)),IF($R$7&lt;'Campanha'!$AD$10,"Sessão preparada anterior à sessão atual da Mesa",""),""))</f>
        <v/>
      </c>
      <c r="R7" s="2">
        <f>IF(ISERROR($B$7),"",IF(ISBLANK($B$7),"",$B$7))</f>
        <v/>
      </c>
      <c r="AA7" s="2">
        <f>ISERROR($B$7)*1</f>
        <v/>
      </c>
    </row>
    <row r="8" ht="26" customHeight="1">
      <c r="A8" s="21" t="inlineStr">
        <is>
          <t>Data real</t>
        </is>
      </c>
      <c r="B8" s="29" t="n"/>
      <c r="C8" s="25" t="n"/>
      <c r="D8" s="17" t="n"/>
      <c r="E8" s="30" t="n"/>
      <c r="F8" s="30" t="n"/>
      <c r="G8" s="30" t="n"/>
      <c r="H8" s="30" t="n"/>
      <c r="I8" s="30" t="n"/>
      <c r="J8" s="30" t="n"/>
      <c r="K8" s="27">
        <f>IF(AA8&gt;0,"O Google leu como fórmula: digite de novo com ' na frente.","")</f>
        <v/>
      </c>
      <c r="AA8" s="2">
        <f>ISERROR($B$8)*1</f>
        <v/>
      </c>
    </row>
    <row r="9" ht="26" customHeight="1">
      <c r="A9" s="9" t="inlineStr">
        <is>
          <t>Título</t>
        </is>
      </c>
      <c r="B9" s="4" t="n"/>
      <c r="C9" s="25" t="n"/>
      <c r="D9" s="25" t="n"/>
      <c r="E9" s="25" t="n"/>
      <c r="F9" s="25" t="n"/>
      <c r="G9" s="25" t="n"/>
      <c r="H9" s="25" t="n"/>
      <c r="I9" s="25" t="n"/>
      <c r="J9" s="17" t="n"/>
      <c r="K9" s="19">
        <f>IF(AA9&gt;0,"O Google leu como fórmula: digite de novo com ' na frente.","")</f>
        <v/>
      </c>
      <c r="R9" s="2">
        <f>IF(ISERROR($B$9),"",IF(ISBLANK($B$9),"",$B$9))</f>
        <v/>
      </c>
      <c r="AA9" s="2">
        <f>ISERROR($B$9)*1</f>
        <v/>
      </c>
    </row>
    <row r="10" ht="26" customHeight="1">
      <c r="A10" s="21" t="inlineStr">
        <is>
          <t>Objetivo da sessão</t>
        </is>
      </c>
      <c r="B10" s="29" t="n"/>
      <c r="C10" s="25" t="n"/>
      <c r="D10" s="25" t="n"/>
      <c r="E10" s="25" t="n"/>
      <c r="F10" s="25" t="n"/>
      <c r="G10" s="25" t="n"/>
      <c r="H10" s="25" t="n"/>
      <c r="I10" s="25" t="n"/>
      <c r="J10" s="17" t="n"/>
      <c r="K10" s="27">
        <f>IF(AA10&gt;0,"O Google leu como fórmula: digite de novo com ' na frente.","")</f>
        <v/>
      </c>
      <c r="AA10" s="2">
        <f>ISERROR($B$10)*1</f>
        <v/>
      </c>
    </row>
    <row r="11"/>
    <row r="12" ht="20" customHeight="1">
      <c r="A12" s="13" t="inlineStr">
        <is>
          <t>5 cenas planejadas (a DT usa a faixa do desafio, não a do grupo: 27.2 regra 1)</t>
        </is>
      </c>
    </row>
    <row r="13" ht="26" customHeight="1">
      <c r="A13" s="8" t="inlineStr">
        <is>
          <t>Cena</t>
        </is>
      </c>
      <c r="B13" s="8" t="inlineStr">
        <is>
          <t>Tipo</t>
        </is>
      </c>
      <c r="C13" s="8" t="inlineStr">
        <is>
          <t>Descrição</t>
        </is>
      </c>
      <c r="D13" s="20" t="n"/>
      <c r="E13" s="20" t="n"/>
      <c r="F13" s="8" t="inlineStr">
        <is>
          <t>NPCs presentes</t>
        </is>
      </c>
      <c r="G13" s="20" t="n"/>
      <c r="H13" s="8" t="inlineStr">
        <is>
          <t>Encontro ligado</t>
        </is>
      </c>
      <c r="I13" s="8" t="inlineStr">
        <is>
          <t>Dificuldade</t>
        </is>
      </c>
      <c r="J13" s="8" t="inlineStr">
        <is>
          <t>Faixa do desafio</t>
        </is>
      </c>
      <c r="K13" s="8" t="inlineStr">
        <is>
          <t>Aviso</t>
        </is>
      </c>
      <c r="L13" s="20" t="n"/>
    </row>
    <row r="14" ht="71" customHeight="1">
      <c r="A14" s="9" t="inlineStr">
        <is>
          <t>Cena 1</t>
        </is>
      </c>
      <c r="B14" s="4" t="n"/>
      <c r="C14" s="4" t="n"/>
      <c r="D14" s="25" t="n"/>
      <c r="E14" s="17" t="n"/>
      <c r="F14" s="4" t="n"/>
      <c r="G14" s="17" t="n"/>
      <c r="H14" s="34" t="n"/>
      <c r="I14" s="4" t="n"/>
      <c r="J14" s="4" t="n"/>
      <c r="K14" s="19">
        <f>IF(AA14&gt;0,"O Google leu como fórmula: escolha de novo ou digite com ' na frente.",IF(AND(LEN($Y$14)&gt;0,COUNTIF('Dados'!$A$284:$A$289,$Y$14)=0),"Dificuldade fora da lista (27.2)",IF(AND(LEN($Z$14)&gt;0,COUNTIF('Dados'!$AP$6:$AP$10,$Z$14)=0),"Faixa fora da lista: usando a do grupo",IF(AND(LEN($X$14)&gt;0,$X$14&lt;&gt;"Nenhum",$X$14&lt;&gt;"A",$X$14&lt;&gt;"B",$X$14&lt;&gt;"C"),"Encontro fora da lista (A, B ou C)",""))))</f>
        <v/>
      </c>
      <c r="R14" s="2">
        <f>IF(ISERROR($B$14),"",IF(ISBLANK($B$14),"",$B$14))</f>
        <v/>
      </c>
      <c r="X14" s="2">
        <f>IF(ISERROR($H$14),"",IF(ISBLANK($H$14),"",$H$14))</f>
        <v/>
      </c>
      <c r="Y14" s="2">
        <f>IF(ISERROR($I$14),"",IF(ISBLANK($I$14),"",$I$14))</f>
        <v/>
      </c>
      <c r="Z14" s="2">
        <f>IF(ISERROR($J$14),"",IF(ISBLANK($J$14),"",$J$14))</f>
        <v/>
      </c>
      <c r="AA14" s="2">
        <f>ISERROR($B$14)*1+ISERROR($C$14)*1+ISERROR($F$14)*1+ISERROR($H$14)*1+ISERROR($I$14)*1+ISERROR($J$14)*1</f>
        <v/>
      </c>
    </row>
    <row r="15" ht="71" customHeight="1">
      <c r="A15" s="21" t="inlineStr">
        <is>
          <t>Cena 2</t>
        </is>
      </c>
      <c r="B15" s="29" t="n"/>
      <c r="C15" s="29" t="n"/>
      <c r="D15" s="25" t="n"/>
      <c r="E15" s="17" t="n"/>
      <c r="F15" s="29" t="n"/>
      <c r="G15" s="17" t="n"/>
      <c r="H15" s="36" t="n"/>
      <c r="I15" s="29" t="n"/>
      <c r="J15" s="29" t="n"/>
      <c r="K15" s="27">
        <f>IF(AA15&gt;0,"O Google leu como fórmula: escolha de novo ou digite com ' na frente.",IF(AND(LEN($Y$15)&gt;0,COUNTIF('Dados'!$A$284:$A$289,$Y$15)=0),"Dificuldade fora da lista (27.2)",IF(AND(LEN($Z$15)&gt;0,COUNTIF('Dados'!$AP$6:$AP$10,$Z$15)=0),"Faixa fora da lista: usando a do grupo",IF(AND(LEN($X$15)&gt;0,$X$15&lt;&gt;"Nenhum",$X$15&lt;&gt;"A",$X$15&lt;&gt;"B",$X$15&lt;&gt;"C"),"Encontro fora da lista (A, B ou C)",""))))</f>
        <v/>
      </c>
      <c r="R15" s="2">
        <f>IF(ISERROR($B$15),"",IF(ISBLANK($B$15),"",$B$15))</f>
        <v/>
      </c>
      <c r="X15" s="2">
        <f>IF(ISERROR($H$15),"",IF(ISBLANK($H$15),"",$H$15))</f>
        <v/>
      </c>
      <c r="Y15" s="2">
        <f>IF(ISERROR($I$15),"",IF(ISBLANK($I$15),"",$I$15))</f>
        <v/>
      </c>
      <c r="Z15" s="2">
        <f>IF(ISERROR($J$15),"",IF(ISBLANK($J$15),"",$J$15))</f>
        <v/>
      </c>
      <c r="AA15" s="2">
        <f>ISERROR($B$15)*1+ISERROR($C$15)*1+ISERROR($F$15)*1+ISERROR($H$15)*1+ISERROR($I$15)*1+ISERROR($J$15)*1</f>
        <v/>
      </c>
    </row>
    <row r="16" ht="71" customHeight="1">
      <c r="A16" s="9" t="inlineStr">
        <is>
          <t>Cena 3</t>
        </is>
      </c>
      <c r="B16" s="4" t="n"/>
      <c r="C16" s="4" t="n"/>
      <c r="D16" s="25" t="n"/>
      <c r="E16" s="17" t="n"/>
      <c r="F16" s="4" t="n"/>
      <c r="G16" s="17" t="n"/>
      <c r="H16" s="34" t="n"/>
      <c r="I16" s="4" t="n"/>
      <c r="J16" s="4" t="n"/>
      <c r="K16" s="19">
        <f>IF(AA16&gt;0,"O Google leu como fórmula: escolha de novo ou digite com ' na frente.",IF(AND(LEN($Y$16)&gt;0,COUNTIF('Dados'!$A$284:$A$289,$Y$16)=0),"Dificuldade fora da lista (27.2)",IF(AND(LEN($Z$16)&gt;0,COUNTIF('Dados'!$AP$6:$AP$10,$Z$16)=0),"Faixa fora da lista: usando a do grupo",IF(AND(LEN($X$16)&gt;0,$X$16&lt;&gt;"Nenhum",$X$16&lt;&gt;"A",$X$16&lt;&gt;"B",$X$16&lt;&gt;"C"),"Encontro fora da lista (A, B ou C)",""))))</f>
        <v/>
      </c>
      <c r="R16" s="2">
        <f>IF(ISERROR($B$16),"",IF(ISBLANK($B$16),"",$B$16))</f>
        <v/>
      </c>
      <c r="X16" s="2">
        <f>IF(ISERROR($H$16),"",IF(ISBLANK($H$16),"",$H$16))</f>
        <v/>
      </c>
      <c r="Y16" s="2">
        <f>IF(ISERROR($I$16),"",IF(ISBLANK($I$16),"",$I$16))</f>
        <v/>
      </c>
      <c r="Z16" s="2">
        <f>IF(ISERROR($J$16),"",IF(ISBLANK($J$16),"",$J$16))</f>
        <v/>
      </c>
      <c r="AA16" s="2">
        <f>ISERROR($B$16)*1+ISERROR($C$16)*1+ISERROR($F$16)*1+ISERROR($H$16)*1+ISERROR($I$16)*1+ISERROR($J$16)*1</f>
        <v/>
      </c>
    </row>
    <row r="17" ht="71" customHeight="1">
      <c r="A17" s="21" t="inlineStr">
        <is>
          <t>Cena 4</t>
        </is>
      </c>
      <c r="B17" s="29" t="n"/>
      <c r="C17" s="29" t="n"/>
      <c r="D17" s="25" t="n"/>
      <c r="E17" s="17" t="n"/>
      <c r="F17" s="29" t="n"/>
      <c r="G17" s="17" t="n"/>
      <c r="H17" s="36" t="n"/>
      <c r="I17" s="29" t="n"/>
      <c r="J17" s="29" t="n"/>
      <c r="K17" s="27">
        <f>IF(AA17&gt;0,"O Google leu como fórmula: escolha de novo ou digite com ' na frente.",IF(AND(LEN($Y$17)&gt;0,COUNTIF('Dados'!$A$284:$A$289,$Y$17)=0),"Dificuldade fora da lista (27.2)",IF(AND(LEN($Z$17)&gt;0,COUNTIF('Dados'!$AP$6:$AP$10,$Z$17)=0),"Faixa fora da lista: usando a do grupo",IF(AND(LEN($X$17)&gt;0,$X$17&lt;&gt;"Nenhum",$X$17&lt;&gt;"A",$X$17&lt;&gt;"B",$X$17&lt;&gt;"C"),"Encontro fora da lista (A, B ou C)",""))))</f>
        <v/>
      </c>
      <c r="R17" s="2">
        <f>IF(ISERROR($B$17),"",IF(ISBLANK($B$17),"",$B$17))</f>
        <v/>
      </c>
      <c r="X17" s="2">
        <f>IF(ISERROR($H$17),"",IF(ISBLANK($H$17),"",$H$17))</f>
        <v/>
      </c>
      <c r="Y17" s="2">
        <f>IF(ISERROR($I$17),"",IF(ISBLANK($I$17),"",$I$17))</f>
        <v/>
      </c>
      <c r="Z17" s="2">
        <f>IF(ISERROR($J$17),"",IF(ISBLANK($J$17),"",$J$17))</f>
        <v/>
      </c>
      <c r="AA17" s="2">
        <f>ISERROR($B$17)*1+ISERROR($C$17)*1+ISERROR($F$17)*1+ISERROR($H$17)*1+ISERROR($I$17)*1+ISERROR($J$17)*1</f>
        <v/>
      </c>
    </row>
    <row r="18" ht="60" customHeight="1">
      <c r="A18" s="9" t="inlineStr">
        <is>
          <t>Cena 5</t>
        </is>
      </c>
      <c r="B18" s="4" t="n"/>
      <c r="C18" s="4" t="n"/>
      <c r="D18" s="25" t="n"/>
      <c r="E18" s="17" t="n"/>
      <c r="F18" s="4" t="n"/>
      <c r="G18" s="17" t="n"/>
      <c r="H18" s="34" t="n"/>
      <c r="I18" s="4" t="n"/>
      <c r="J18" s="4" t="n"/>
      <c r="K18" s="19">
        <f>IF(AA18&gt;0,"O Google leu como fórmula: escolha de novo ou digite com ' na frente.",IF(AND(LEN($Y$18)&gt;0,COUNTIF('Dados'!$A$284:$A$289,$Y$18)=0),"Dificuldade fora da lista (27.2)",IF(AND(LEN($Z$18)&gt;0,COUNTIF('Dados'!$AP$6:$AP$10,$Z$18)=0),"Faixa fora da lista: usando a do grupo",IF(AND(LEN($X$18)&gt;0,$X$18&lt;&gt;"Nenhum",$X$18&lt;&gt;"A",$X$18&lt;&gt;"B",$X$18&lt;&gt;"C"),"Encontro fora da lista (A, B ou C)",""))))</f>
        <v/>
      </c>
      <c r="R18" s="2">
        <f>IF(ISERROR($B$18),"",IF(ISBLANK($B$18),"",$B$18))</f>
        <v/>
      </c>
      <c r="X18" s="2">
        <f>IF(ISERROR($H$18),"",IF(ISBLANK($H$18),"",$H$18))</f>
        <v/>
      </c>
      <c r="Y18" s="2">
        <f>IF(ISERROR($I$18),"",IF(ISBLANK($I$18),"",$I$18))</f>
        <v/>
      </c>
      <c r="Z18" s="2">
        <f>IF(ISERROR($J$18),"",IF(ISBLANK($J$18),"",$J$18))</f>
        <v/>
      </c>
      <c r="AA18" s="2">
        <f>ISERROR($B$18)*1+ISERROR($C$18)*1+ISERROR($F$18)*1+ISERROR($H$18)*1+ISERROR($I$18)*1+ISERROR($J$18)*1</f>
        <v/>
      </c>
    </row>
    <row r="19">
      <c r="A19" s="8" t="inlineStr">
        <is>
          <t>Cena</t>
        </is>
      </c>
      <c r="B19" s="8" t="inlineStr">
        <is>
          <t>DT (automático)</t>
        </is>
      </c>
      <c r="C19" s="8" t="inlineStr">
        <is>
          <t>Encontro ligado (aba Encontros)</t>
        </is>
      </c>
      <c r="D19" s="20" t="n"/>
      <c r="E19" s="20" t="n"/>
      <c r="F19" s="20" t="n"/>
      <c r="G19" s="8" t="inlineStr">
        <is>
          <t>Contrato da Fraqueza (27.5)</t>
        </is>
      </c>
      <c r="H19" s="20" t="n"/>
      <c r="I19" s="20" t="n"/>
      <c r="J19" s="20" t="n"/>
      <c r="K19" s="8" t="inlineStr">
        <is>
          <t>Aviso</t>
        </is>
      </c>
      <c r="L19" s="20" t="n"/>
    </row>
    <row r="20" ht="37" customHeight="1">
      <c r="A20" s="9" t="inlineStr">
        <is>
          <t>Cena 1</t>
        </is>
      </c>
      <c r="B20" s="18">
        <f>IF(LEN($Y$14)=0,"",IFERROR(IF(IF(LEN($Z$14)=0,'Campanha'!$B$18,IFERROR(MATCH($Z$14,'Dados'!$AP$6:$AP$10,0),'Campanha'!$B$18))=1,INDEX('Dados'!$B$284:$B$289,MATCH($Y$14,'Dados'!$A$284:$A$289,0)),IF(IF(LEN($Z$14)=0,'Campanha'!$B$18,IFERROR(MATCH($Z$14,'Dados'!$AP$6:$AP$10,0),'Campanha'!$B$18))=2,INDEX('Dados'!$C$284:$C$289,MATCH($Y$14,'Dados'!$A$284:$A$289,0)),IF(IF(LEN($Z$14)=0,'Campanha'!$B$18,IFERROR(MATCH($Z$14,'Dados'!$AP$6:$AP$10,0),'Campanha'!$B$18))=3,INDEX('Dados'!$D$284:$D$289,MATCH($Y$14,'Dados'!$A$284:$A$289,0)),IF(IF(LEN($Z$14)=0,'Campanha'!$B$18,IFERROR(MATCH($Z$14,'Dados'!$AP$6:$AP$10,0),'Campanha'!$B$18))=4,INDEX('Dados'!$E$284:$E$289,MATCH($Y$14,'Dados'!$A$284:$A$289,0)),INDEX('Dados'!$F$284:$F$289,MATCH($Y$14,'Dados'!$A$284:$A$289,0)))))),""))</f>
        <v/>
      </c>
      <c r="C20" s="5">
        <f>IF($X$14="A",IF(LEN('Encontros'!$BH$19&amp;"")&gt;0,'Encontros'!$BH$19&amp;": ","Encontro A: ")&amp;"custo "&amp;'Encontros'!$B$38&amp;" · "&amp;'Encontros'!$G$38,IF($X$14="B",IF(LEN('Encontros'!$BH$47&amp;"")&gt;0,'Encontros'!$BH$47&amp;": ","Encontro B: ")&amp;"custo "&amp;'Encontros'!$B$66&amp;" · "&amp;'Encontros'!$G$66,IF($X$14="C",IF(LEN('Encontros'!$BH$75&amp;"")&gt;0,'Encontros'!$BH$75&amp;": ","Encontro C: ")&amp;"custo "&amp;'Encontros'!$B$94&amp;" · "&amp;'Encontros'!$G$94,"")))</f>
        <v/>
      </c>
      <c r="G20" s="5">
        <f>IF($X$14="A",'Encontros'!$J$41,IF($X$14="B",'Encontros'!$J$69,IF($X$14="C",'Encontros'!$J$97,"")))</f>
        <v/>
      </c>
    </row>
    <row r="21" ht="37" customHeight="1">
      <c r="A21" s="21" t="inlineStr">
        <is>
          <t>Cena 2</t>
        </is>
      </c>
      <c r="B21" s="23">
        <f>IF(LEN($Y$15)=0,"",IFERROR(IF(IF(LEN($Z$15)=0,'Campanha'!$B$18,IFERROR(MATCH($Z$15,'Dados'!$AP$6:$AP$10,0),'Campanha'!$B$18))=1,INDEX('Dados'!$B$284:$B$289,MATCH($Y$15,'Dados'!$A$284:$A$289,0)),IF(IF(LEN($Z$15)=0,'Campanha'!$B$18,IFERROR(MATCH($Z$15,'Dados'!$AP$6:$AP$10,0),'Campanha'!$B$18))=2,INDEX('Dados'!$C$284:$C$289,MATCH($Y$15,'Dados'!$A$284:$A$289,0)),IF(IF(LEN($Z$15)=0,'Campanha'!$B$18,IFERROR(MATCH($Z$15,'Dados'!$AP$6:$AP$10,0),'Campanha'!$B$18))=3,INDEX('Dados'!$D$284:$D$289,MATCH($Y$15,'Dados'!$A$284:$A$289,0)),IF(IF(LEN($Z$15)=0,'Campanha'!$B$18,IFERROR(MATCH($Z$15,'Dados'!$AP$6:$AP$10,0),'Campanha'!$B$18))=4,INDEX('Dados'!$E$284:$E$289,MATCH($Y$15,'Dados'!$A$284:$A$289,0)),INDEX('Dados'!$F$284:$F$289,MATCH($Y$15,'Dados'!$A$284:$A$289,0)))))),""))</f>
        <v/>
      </c>
      <c r="C21" s="10">
        <f>IF($X$15="A",IF(LEN('Encontros'!$BH$19&amp;"")&gt;0,'Encontros'!$BH$19&amp;": ","Encontro A: ")&amp;"custo "&amp;'Encontros'!$B$38&amp;" · "&amp;'Encontros'!$G$38,IF($X$15="B",IF(LEN('Encontros'!$BH$47&amp;"")&gt;0,'Encontros'!$BH$47&amp;": ","Encontro B: ")&amp;"custo "&amp;'Encontros'!$B$66&amp;" · "&amp;'Encontros'!$G$66,IF($X$15="C",IF(LEN('Encontros'!$BH$75&amp;"")&gt;0,'Encontros'!$BH$75&amp;": ","Encontro C: ")&amp;"custo "&amp;'Encontros'!$B$94&amp;" · "&amp;'Encontros'!$G$94,"")))</f>
        <v/>
      </c>
      <c r="G21" s="10">
        <f>IF($X$15="A",'Encontros'!$J$41,IF($X$15="B",'Encontros'!$J$69,IF($X$15="C",'Encontros'!$J$97,"")))</f>
        <v/>
      </c>
      <c r="K21" s="30" t="n"/>
      <c r="L21" s="30" t="n"/>
    </row>
    <row r="22" ht="37" customHeight="1">
      <c r="A22" s="9" t="inlineStr">
        <is>
          <t>Cena 3</t>
        </is>
      </c>
      <c r="B22" s="18">
        <f>IF(LEN($Y$16)=0,"",IFERROR(IF(IF(LEN($Z$16)=0,'Campanha'!$B$18,IFERROR(MATCH($Z$16,'Dados'!$AP$6:$AP$10,0),'Campanha'!$B$18))=1,INDEX('Dados'!$B$284:$B$289,MATCH($Y$16,'Dados'!$A$284:$A$289,0)),IF(IF(LEN($Z$16)=0,'Campanha'!$B$18,IFERROR(MATCH($Z$16,'Dados'!$AP$6:$AP$10,0),'Campanha'!$B$18))=2,INDEX('Dados'!$C$284:$C$289,MATCH($Y$16,'Dados'!$A$284:$A$289,0)),IF(IF(LEN($Z$16)=0,'Campanha'!$B$18,IFERROR(MATCH($Z$16,'Dados'!$AP$6:$AP$10,0),'Campanha'!$B$18))=3,INDEX('Dados'!$D$284:$D$289,MATCH($Y$16,'Dados'!$A$284:$A$289,0)),IF(IF(LEN($Z$16)=0,'Campanha'!$B$18,IFERROR(MATCH($Z$16,'Dados'!$AP$6:$AP$10,0),'Campanha'!$B$18))=4,INDEX('Dados'!$E$284:$E$289,MATCH($Y$16,'Dados'!$A$284:$A$289,0)),INDEX('Dados'!$F$284:$F$289,MATCH($Y$16,'Dados'!$A$284:$A$289,0)))))),""))</f>
        <v/>
      </c>
      <c r="C22" s="5">
        <f>IF($X$16="A",IF(LEN('Encontros'!$BH$19&amp;"")&gt;0,'Encontros'!$BH$19&amp;": ","Encontro A: ")&amp;"custo "&amp;'Encontros'!$B$38&amp;" · "&amp;'Encontros'!$G$38,IF($X$16="B",IF(LEN('Encontros'!$BH$47&amp;"")&gt;0,'Encontros'!$BH$47&amp;": ","Encontro B: ")&amp;"custo "&amp;'Encontros'!$B$66&amp;" · "&amp;'Encontros'!$G$66,IF($X$16="C",IF(LEN('Encontros'!$BH$75&amp;"")&gt;0,'Encontros'!$BH$75&amp;": ","Encontro C: ")&amp;"custo "&amp;'Encontros'!$B$94&amp;" · "&amp;'Encontros'!$G$94,"")))</f>
        <v/>
      </c>
      <c r="G22" s="5">
        <f>IF($X$16="A",'Encontros'!$J$41,IF($X$16="B",'Encontros'!$J$69,IF($X$16="C",'Encontros'!$J$97,"")))</f>
        <v/>
      </c>
    </row>
    <row r="23" ht="37" customHeight="1">
      <c r="A23" s="21" t="inlineStr">
        <is>
          <t>Cena 4</t>
        </is>
      </c>
      <c r="B23" s="23">
        <f>IF(LEN($Y$17)=0,"",IFERROR(IF(IF(LEN($Z$17)=0,'Campanha'!$B$18,IFERROR(MATCH($Z$17,'Dados'!$AP$6:$AP$10,0),'Campanha'!$B$18))=1,INDEX('Dados'!$B$284:$B$289,MATCH($Y$17,'Dados'!$A$284:$A$289,0)),IF(IF(LEN($Z$17)=0,'Campanha'!$B$18,IFERROR(MATCH($Z$17,'Dados'!$AP$6:$AP$10,0),'Campanha'!$B$18))=2,INDEX('Dados'!$C$284:$C$289,MATCH($Y$17,'Dados'!$A$284:$A$289,0)),IF(IF(LEN($Z$17)=0,'Campanha'!$B$18,IFERROR(MATCH($Z$17,'Dados'!$AP$6:$AP$10,0),'Campanha'!$B$18))=3,INDEX('Dados'!$D$284:$D$289,MATCH($Y$17,'Dados'!$A$284:$A$289,0)),IF(IF(LEN($Z$17)=0,'Campanha'!$B$18,IFERROR(MATCH($Z$17,'Dados'!$AP$6:$AP$10,0),'Campanha'!$B$18))=4,INDEX('Dados'!$E$284:$E$289,MATCH($Y$17,'Dados'!$A$284:$A$289,0)),INDEX('Dados'!$F$284:$F$289,MATCH($Y$17,'Dados'!$A$284:$A$289,0)))))),""))</f>
        <v/>
      </c>
      <c r="C23" s="10">
        <f>IF($X$17="A",IF(LEN('Encontros'!$BH$19&amp;"")&gt;0,'Encontros'!$BH$19&amp;": ","Encontro A: ")&amp;"custo "&amp;'Encontros'!$B$38&amp;" · "&amp;'Encontros'!$G$38,IF($X$17="B",IF(LEN('Encontros'!$BH$47&amp;"")&gt;0,'Encontros'!$BH$47&amp;": ","Encontro B: ")&amp;"custo "&amp;'Encontros'!$B$66&amp;" · "&amp;'Encontros'!$G$66,IF($X$17="C",IF(LEN('Encontros'!$BH$75&amp;"")&gt;0,'Encontros'!$BH$75&amp;": ","Encontro C: ")&amp;"custo "&amp;'Encontros'!$B$94&amp;" · "&amp;'Encontros'!$G$94,"")))</f>
        <v/>
      </c>
      <c r="G23" s="10">
        <f>IF($X$17="A",'Encontros'!$J$41,IF($X$17="B",'Encontros'!$J$69,IF($X$17="C",'Encontros'!$J$97,"")))</f>
        <v/>
      </c>
      <c r="K23" s="30" t="n"/>
      <c r="L23" s="30" t="n"/>
    </row>
    <row r="24" ht="37" customHeight="1">
      <c r="A24" s="9" t="inlineStr">
        <is>
          <t>Cena 5</t>
        </is>
      </c>
      <c r="B24" s="18">
        <f>IF(LEN($Y$18)=0,"",IFERROR(IF(IF(LEN($Z$18)=0,'Campanha'!$B$18,IFERROR(MATCH($Z$18,'Dados'!$AP$6:$AP$10,0),'Campanha'!$B$18))=1,INDEX('Dados'!$B$284:$B$289,MATCH($Y$18,'Dados'!$A$284:$A$289,0)),IF(IF(LEN($Z$18)=0,'Campanha'!$B$18,IFERROR(MATCH($Z$18,'Dados'!$AP$6:$AP$10,0),'Campanha'!$B$18))=2,INDEX('Dados'!$C$284:$C$289,MATCH($Y$18,'Dados'!$A$284:$A$289,0)),IF(IF(LEN($Z$18)=0,'Campanha'!$B$18,IFERROR(MATCH($Z$18,'Dados'!$AP$6:$AP$10,0),'Campanha'!$B$18))=3,INDEX('Dados'!$D$284:$D$289,MATCH($Y$18,'Dados'!$A$284:$A$289,0)),IF(IF(LEN($Z$18)=0,'Campanha'!$B$18,IFERROR(MATCH($Z$18,'Dados'!$AP$6:$AP$10,0),'Campanha'!$B$18))=4,INDEX('Dados'!$E$284:$E$289,MATCH($Y$18,'Dados'!$A$284:$A$289,0)),INDEX('Dados'!$F$284:$F$289,MATCH($Y$18,'Dados'!$A$284:$A$289,0)))))),""))</f>
        <v/>
      </c>
      <c r="C24" s="5">
        <f>IF($X$18="A",IF(LEN('Encontros'!$BH$19&amp;"")&gt;0,'Encontros'!$BH$19&amp;": ","Encontro A: ")&amp;"custo "&amp;'Encontros'!$B$38&amp;" · "&amp;'Encontros'!$G$38,IF($X$18="B",IF(LEN('Encontros'!$BH$47&amp;"")&gt;0,'Encontros'!$BH$47&amp;": ","Encontro B: ")&amp;"custo "&amp;'Encontros'!$B$66&amp;" · "&amp;'Encontros'!$G$66,IF($X$18="C",IF(LEN('Encontros'!$BH$75&amp;"")&gt;0,'Encontros'!$BH$75&amp;": ","Encontro C: ")&amp;"custo "&amp;'Encontros'!$B$94&amp;" · "&amp;'Encontros'!$G$94,"")))</f>
        <v/>
      </c>
      <c r="G24" s="5">
        <f>IF($X$18="A",'Encontros'!$J$41,IF($X$18="B",'Encontros'!$J$69,IF($X$18="C",'Encontros'!$J$97,"")))</f>
        <v/>
      </c>
    </row>
    <row r="25"/>
    <row r="26" ht="20" customHeight="1">
      <c r="A26" s="13" t="inlineStr">
        <is>
          <t>Segredos e pistas (10 linhas)</t>
        </is>
      </c>
    </row>
    <row r="27">
      <c r="A27" s="8" t="inlineStr">
        <is>
          <t>Pista</t>
        </is>
      </c>
      <c r="B27" s="8" t="inlineStr">
        <is>
          <t>Segredo ou pista</t>
        </is>
      </c>
      <c r="C27" s="20" t="n"/>
      <c r="D27" s="20" t="n"/>
      <c r="E27" s="20" t="n"/>
      <c r="F27" s="20" t="n"/>
      <c r="G27" s="20" t="n"/>
      <c r="H27" s="20" t="n"/>
      <c r="I27" s="20" t="n"/>
      <c r="J27" s="8" t="inlineStr">
        <is>
          <t>Revelada?</t>
        </is>
      </c>
      <c r="K27" s="8" t="inlineStr">
        <is>
          <t>Aviso</t>
        </is>
      </c>
      <c r="L27" s="20" t="n"/>
    </row>
    <row r="28" ht="26" customHeight="1">
      <c r="A28" s="9" t="inlineStr">
        <is>
          <t>Pista 1</t>
        </is>
      </c>
      <c r="B28" s="4" t="n"/>
      <c r="C28" s="25" t="n"/>
      <c r="D28" s="25" t="n"/>
      <c r="E28" s="25" t="n"/>
      <c r="F28" s="25" t="n"/>
      <c r="G28" s="25" t="n"/>
      <c r="H28" s="25" t="n"/>
      <c r="I28" s="17" t="n"/>
      <c r="J28" s="34" t="n"/>
      <c r="K28" s="19">
        <f>IF(AA28&gt;0,"O Google leu como fórmula: escolha de novo ou digite com ' na frente.","")</f>
        <v/>
      </c>
      <c r="R28" s="2">
        <f>IF(ISERROR($B$28),"",IF(ISBLANK($B$28),"",$B$28))</f>
        <v/>
      </c>
      <c r="Z28" s="2">
        <f>IF(ISERROR($J$28),"",IF(ISBLANK($J$28),"",$J$28))</f>
        <v/>
      </c>
      <c r="AA28" s="2">
        <f>ISERROR($B$28)*1+ISERROR($J$28)*1</f>
        <v/>
      </c>
    </row>
    <row r="29" ht="26" customHeight="1">
      <c r="A29" s="21" t="inlineStr">
        <is>
          <t>Pista 2</t>
        </is>
      </c>
      <c r="B29" s="29" t="n"/>
      <c r="C29" s="25" t="n"/>
      <c r="D29" s="25" t="n"/>
      <c r="E29" s="25" t="n"/>
      <c r="F29" s="25" t="n"/>
      <c r="G29" s="25" t="n"/>
      <c r="H29" s="25" t="n"/>
      <c r="I29" s="17" t="n"/>
      <c r="J29" s="36" t="n"/>
      <c r="K29" s="27">
        <f>IF(AA29&gt;0,"O Google leu como fórmula: escolha de novo ou digite com ' na frente.","")</f>
        <v/>
      </c>
      <c r="R29" s="2">
        <f>IF(ISERROR($B$29),"",IF(ISBLANK($B$29),"",$B$29))</f>
        <v/>
      </c>
      <c r="Z29" s="2">
        <f>IF(ISERROR($J$29),"",IF(ISBLANK($J$29),"",$J$29))</f>
        <v/>
      </c>
      <c r="AA29" s="2">
        <f>ISERROR($B$29)*1+ISERROR($J$29)*1</f>
        <v/>
      </c>
    </row>
    <row r="30" ht="26" customHeight="1">
      <c r="A30" s="9" t="inlineStr">
        <is>
          <t>Pista 3</t>
        </is>
      </c>
      <c r="B30" s="4" t="n"/>
      <c r="C30" s="25" t="n"/>
      <c r="D30" s="25" t="n"/>
      <c r="E30" s="25" t="n"/>
      <c r="F30" s="25" t="n"/>
      <c r="G30" s="25" t="n"/>
      <c r="H30" s="25" t="n"/>
      <c r="I30" s="17" t="n"/>
      <c r="J30" s="34" t="n"/>
      <c r="K30" s="19">
        <f>IF(AA30&gt;0,"O Google leu como fórmula: escolha de novo ou digite com ' na frente.","")</f>
        <v/>
      </c>
      <c r="R30" s="2">
        <f>IF(ISERROR($B$30),"",IF(ISBLANK($B$30),"",$B$30))</f>
        <v/>
      </c>
      <c r="Z30" s="2">
        <f>IF(ISERROR($J$30),"",IF(ISBLANK($J$30),"",$J$30))</f>
        <v/>
      </c>
      <c r="AA30" s="2">
        <f>ISERROR($B$30)*1+ISERROR($J$30)*1</f>
        <v/>
      </c>
    </row>
    <row r="31" ht="26" customHeight="1">
      <c r="A31" s="21" t="inlineStr">
        <is>
          <t>Pista 4</t>
        </is>
      </c>
      <c r="B31" s="29" t="n"/>
      <c r="C31" s="25" t="n"/>
      <c r="D31" s="25" t="n"/>
      <c r="E31" s="25" t="n"/>
      <c r="F31" s="25" t="n"/>
      <c r="G31" s="25" t="n"/>
      <c r="H31" s="25" t="n"/>
      <c r="I31" s="17" t="n"/>
      <c r="J31" s="36" t="n"/>
      <c r="K31" s="27">
        <f>IF(AA31&gt;0,"O Google leu como fórmula: escolha de novo ou digite com ' na frente.","")</f>
        <v/>
      </c>
      <c r="R31" s="2">
        <f>IF(ISERROR($B$31),"",IF(ISBLANK($B$31),"",$B$31))</f>
        <v/>
      </c>
      <c r="Z31" s="2">
        <f>IF(ISERROR($J$31),"",IF(ISBLANK($J$31),"",$J$31))</f>
        <v/>
      </c>
      <c r="AA31" s="2">
        <f>ISERROR($B$31)*1+ISERROR($J$31)*1</f>
        <v/>
      </c>
    </row>
    <row r="32" ht="26" customHeight="1">
      <c r="A32" s="9" t="inlineStr">
        <is>
          <t>Pista 5</t>
        </is>
      </c>
      <c r="B32" s="4" t="n"/>
      <c r="C32" s="25" t="n"/>
      <c r="D32" s="25" t="n"/>
      <c r="E32" s="25" t="n"/>
      <c r="F32" s="25" t="n"/>
      <c r="G32" s="25" t="n"/>
      <c r="H32" s="25" t="n"/>
      <c r="I32" s="17" t="n"/>
      <c r="J32" s="34" t="n"/>
      <c r="K32" s="19">
        <f>IF(AA32&gt;0,"O Google leu como fórmula: escolha de novo ou digite com ' na frente.","")</f>
        <v/>
      </c>
      <c r="R32" s="2">
        <f>IF(ISERROR($B$32),"",IF(ISBLANK($B$32),"",$B$32))</f>
        <v/>
      </c>
      <c r="Z32" s="2">
        <f>IF(ISERROR($J$32),"",IF(ISBLANK($J$32),"",$J$32))</f>
        <v/>
      </c>
      <c r="AA32" s="2">
        <f>ISERROR($B$32)*1+ISERROR($J$32)*1</f>
        <v/>
      </c>
    </row>
    <row r="33" ht="26" customHeight="1">
      <c r="A33" s="21" t="inlineStr">
        <is>
          <t>Pista 6</t>
        </is>
      </c>
      <c r="B33" s="29" t="n"/>
      <c r="C33" s="25" t="n"/>
      <c r="D33" s="25" t="n"/>
      <c r="E33" s="25" t="n"/>
      <c r="F33" s="25" t="n"/>
      <c r="G33" s="25" t="n"/>
      <c r="H33" s="25" t="n"/>
      <c r="I33" s="17" t="n"/>
      <c r="J33" s="36" t="n"/>
      <c r="K33" s="27">
        <f>IF(AA33&gt;0,"O Google leu como fórmula: escolha de novo ou digite com ' na frente.","")</f>
        <v/>
      </c>
      <c r="R33" s="2">
        <f>IF(ISERROR($B$33),"",IF(ISBLANK($B$33),"",$B$33))</f>
        <v/>
      </c>
      <c r="Z33" s="2">
        <f>IF(ISERROR($J$33),"",IF(ISBLANK($J$33),"",$J$33))</f>
        <v/>
      </c>
      <c r="AA33" s="2">
        <f>ISERROR($B$33)*1+ISERROR($J$33)*1</f>
        <v/>
      </c>
    </row>
    <row r="34" ht="26" customHeight="1">
      <c r="A34" s="9" t="inlineStr">
        <is>
          <t>Pista 7</t>
        </is>
      </c>
      <c r="B34" s="4" t="n"/>
      <c r="C34" s="25" t="n"/>
      <c r="D34" s="25" t="n"/>
      <c r="E34" s="25" t="n"/>
      <c r="F34" s="25" t="n"/>
      <c r="G34" s="25" t="n"/>
      <c r="H34" s="25" t="n"/>
      <c r="I34" s="17" t="n"/>
      <c r="J34" s="34" t="n"/>
      <c r="K34" s="19">
        <f>IF(AA34&gt;0,"O Google leu como fórmula: escolha de novo ou digite com ' na frente.","")</f>
        <v/>
      </c>
      <c r="R34" s="2">
        <f>IF(ISERROR($B$34),"",IF(ISBLANK($B$34),"",$B$34))</f>
        <v/>
      </c>
      <c r="Z34" s="2">
        <f>IF(ISERROR($J$34),"",IF(ISBLANK($J$34),"",$J$34))</f>
        <v/>
      </c>
      <c r="AA34" s="2">
        <f>ISERROR($B$34)*1+ISERROR($J$34)*1</f>
        <v/>
      </c>
    </row>
    <row r="35" ht="26" customHeight="1">
      <c r="A35" s="21" t="inlineStr">
        <is>
          <t>Pista 8</t>
        </is>
      </c>
      <c r="B35" s="29" t="n"/>
      <c r="C35" s="25" t="n"/>
      <c r="D35" s="25" t="n"/>
      <c r="E35" s="25" t="n"/>
      <c r="F35" s="25" t="n"/>
      <c r="G35" s="25" t="n"/>
      <c r="H35" s="25" t="n"/>
      <c r="I35" s="17" t="n"/>
      <c r="J35" s="36" t="n"/>
      <c r="K35" s="27">
        <f>IF(AA35&gt;0,"O Google leu como fórmula: escolha de novo ou digite com ' na frente.","")</f>
        <v/>
      </c>
      <c r="R35" s="2">
        <f>IF(ISERROR($B$35),"",IF(ISBLANK($B$35),"",$B$35))</f>
        <v/>
      </c>
      <c r="Z35" s="2">
        <f>IF(ISERROR($J$35),"",IF(ISBLANK($J$35),"",$J$35))</f>
        <v/>
      </c>
      <c r="AA35" s="2">
        <f>ISERROR($B$35)*1+ISERROR($J$35)*1</f>
        <v/>
      </c>
    </row>
    <row r="36" ht="26" customHeight="1">
      <c r="A36" s="9" t="inlineStr">
        <is>
          <t>Pista 9</t>
        </is>
      </c>
      <c r="B36" s="4" t="n"/>
      <c r="C36" s="25" t="n"/>
      <c r="D36" s="25" t="n"/>
      <c r="E36" s="25" t="n"/>
      <c r="F36" s="25" t="n"/>
      <c r="G36" s="25" t="n"/>
      <c r="H36" s="25" t="n"/>
      <c r="I36" s="17" t="n"/>
      <c r="J36" s="34" t="n"/>
      <c r="K36" s="19">
        <f>IF(AA36&gt;0,"O Google leu como fórmula: escolha de novo ou digite com ' na frente.","")</f>
        <v/>
      </c>
      <c r="R36" s="2">
        <f>IF(ISERROR($B$36),"",IF(ISBLANK($B$36),"",$B$36))</f>
        <v/>
      </c>
      <c r="Z36" s="2">
        <f>IF(ISERROR($J$36),"",IF(ISBLANK($J$36),"",$J$36))</f>
        <v/>
      </c>
      <c r="AA36" s="2">
        <f>ISERROR($B$36)*1+ISERROR($J$36)*1</f>
        <v/>
      </c>
    </row>
    <row r="37" ht="26" customHeight="1">
      <c r="A37" s="21" t="inlineStr">
        <is>
          <t>Pista 10</t>
        </is>
      </c>
      <c r="B37" s="29" t="n"/>
      <c r="C37" s="25" t="n"/>
      <c r="D37" s="25" t="n"/>
      <c r="E37" s="25" t="n"/>
      <c r="F37" s="25" t="n"/>
      <c r="G37" s="25" t="n"/>
      <c r="H37" s="25" t="n"/>
      <c r="I37" s="17" t="n"/>
      <c r="J37" s="36" t="n"/>
      <c r="K37" s="27">
        <f>IF(AA37&gt;0,"O Google leu como fórmula: escolha de novo ou digite com ' na frente.","")</f>
        <v/>
      </c>
      <c r="R37" s="2">
        <f>IF(ISERROR($B$37),"",IF(ISBLANK($B$37),"",$B$37))</f>
        <v/>
      </c>
      <c r="Z37" s="2">
        <f>IF(ISERROR($J$37),"",IF(ISBLANK($J$37),"",$J$37))</f>
        <v/>
      </c>
      <c r="AA37" s="2">
        <f>ISERROR($B$37)*1+ISERROR($J$37)*1</f>
        <v/>
      </c>
    </row>
    <row r="38">
      <c r="A38" s="31">
        <f>"Pistas: "&amp;SUMPRODUCT((LEN($R$28:$R$37)&gt;0)*1)&amp;" · reveladas: "&amp;COUNTIF($Z$28:$Z$37,"Sim")</f>
        <v/>
      </c>
    </row>
    <row r="39"/>
    <row r="40" ht="20" customHeight="1">
      <c r="A40" s="13" t="inlineStr">
        <is>
          <t>Recompensas planejadas</t>
        </is>
      </c>
    </row>
    <row r="41" ht="26" customHeight="1">
      <c r="A41" s="9" t="inlineStr">
        <is>
          <t>Recompensas</t>
        </is>
      </c>
      <c r="B41" s="4" t="n"/>
      <c r="C41" s="25" t="n"/>
      <c r="D41" s="25" t="n"/>
      <c r="E41" s="25" t="n"/>
      <c r="F41" s="25" t="n"/>
      <c r="G41" s="25" t="n"/>
      <c r="H41" s="25" t="n"/>
      <c r="I41" s="25" t="n"/>
      <c r="J41" s="17" t="n"/>
      <c r="K41" s="19">
        <f>IF(AA41&gt;0,"O Google leu como fórmula: digite de novo com ' na frente.","")</f>
        <v/>
      </c>
      <c r="AA41" s="2">
        <f>ISERROR($B$41)*1</f>
        <v/>
      </c>
    </row>
    <row r="42">
      <c r="A42" s="12" t="inlineStr">
        <is>
          <t>A entrega de marco (verba, Cone, Tier, Ressonância) e os achados de encontro estão na aba Recompensas. Amarre cada entrega ao Propósito de Vida de alguém (27.8).</t>
        </is>
      </c>
    </row>
    <row r="43"/>
    <row r="44" ht="20" customHeight="1">
      <c r="A44" s="13" t="inlineStr">
        <is>
          <t>Ganchos de Propósito de Vida (um por PJ; o gancho com nome de personagem inicia um arco, 27.18)</t>
        </is>
      </c>
    </row>
    <row r="45">
      <c r="A45" s="8" t="inlineStr">
        <is>
          <t>PJ (aba Grupo)</t>
        </is>
      </c>
      <c r="B45" s="8" t="inlineStr">
        <is>
          <t>Propósito de Vida (aba Grupo)</t>
        </is>
      </c>
      <c r="C45" s="20" t="n"/>
      <c r="D45" s="20" t="n"/>
      <c r="E45" s="20" t="n"/>
      <c r="F45" s="8" t="inlineStr">
        <is>
          <t>Gancho desta sessão (preencha)</t>
        </is>
      </c>
      <c r="G45" s="20" t="n"/>
      <c r="H45" s="20" t="n"/>
      <c r="I45" s="20" t="n"/>
      <c r="J45" s="20" t="n"/>
      <c r="K45" s="8" t="inlineStr">
        <is>
          <t>Aviso</t>
        </is>
      </c>
      <c r="L45" s="20" t="n"/>
    </row>
    <row r="46" ht="48" customHeight="1">
      <c r="A46" s="31">
        <f>IF(LEN('Grupo'!$P$7)&gt;0,'Grupo'!$P$7,"PJ 1")</f>
        <v/>
      </c>
      <c r="B46" s="5">
        <f>IF(LEN('Grupo'!$U$7)&gt;0,'Grupo'!$U$7,"")</f>
        <v/>
      </c>
      <c r="F46" s="4" t="n"/>
      <c r="G46" s="25" t="n"/>
      <c r="H46" s="25" t="n"/>
      <c r="I46" s="25" t="n"/>
      <c r="J46" s="17" t="n"/>
      <c r="K46" s="19">
        <f>IF(AA46&gt;0,"O Google leu como fórmula: digite de novo com ' na frente.",IF(AND(LEN($V$46)&gt;0,LEN('Grupo'!$P$7)=0),"PJ 1 sem nome na aba Grupo",""))</f>
        <v/>
      </c>
      <c r="V46" s="2">
        <f>IF(ISERROR($F$46),"",IF(ISBLANK($F$46),"",$F$46))</f>
        <v/>
      </c>
      <c r="AA46" s="2">
        <f>ISERROR($F$46)*1</f>
        <v/>
      </c>
    </row>
    <row r="47" ht="48" customHeight="1">
      <c r="A47" s="43">
        <f>IF(LEN('Grupo'!$P$8)&gt;0,'Grupo'!$P$8,"PJ 2")</f>
        <v/>
      </c>
      <c r="B47" s="10">
        <f>IF(LEN('Grupo'!$U$8)&gt;0,'Grupo'!$U$8,"")</f>
        <v/>
      </c>
      <c r="F47" s="29" t="n"/>
      <c r="G47" s="25" t="n"/>
      <c r="H47" s="25" t="n"/>
      <c r="I47" s="25" t="n"/>
      <c r="J47" s="17" t="n"/>
      <c r="K47" s="27">
        <f>IF(AA47&gt;0,"O Google leu como fórmula: digite de novo com ' na frente.",IF(AND(LEN($V$47)&gt;0,LEN('Grupo'!$P$8)=0),"PJ 2 sem nome na aba Grupo",""))</f>
        <v/>
      </c>
      <c r="V47" s="2">
        <f>IF(ISERROR($F$47),"",IF(ISBLANK($F$47),"",$F$47))</f>
        <v/>
      </c>
      <c r="AA47" s="2">
        <f>ISERROR($F$47)*1</f>
        <v/>
      </c>
    </row>
    <row r="48" ht="48" customHeight="1">
      <c r="A48" s="31">
        <f>IF(LEN('Grupo'!$P$9)&gt;0,'Grupo'!$P$9,"PJ 3")</f>
        <v/>
      </c>
      <c r="B48" s="5">
        <f>IF(LEN('Grupo'!$U$9)&gt;0,'Grupo'!$U$9,"")</f>
        <v/>
      </c>
      <c r="F48" s="4" t="n"/>
      <c r="G48" s="25" t="n"/>
      <c r="H48" s="25" t="n"/>
      <c r="I48" s="25" t="n"/>
      <c r="J48" s="17" t="n"/>
      <c r="K48" s="19">
        <f>IF(AA48&gt;0,"O Google leu como fórmula: digite de novo com ' na frente.",IF(AND(LEN($V$48)&gt;0,LEN('Grupo'!$P$9)=0),"PJ 3 sem nome na aba Grupo",""))</f>
        <v/>
      </c>
      <c r="V48" s="2">
        <f>IF(ISERROR($F$48),"",IF(ISBLANK($F$48),"",$F$48))</f>
        <v/>
      </c>
      <c r="AA48" s="2">
        <f>ISERROR($F$48)*1</f>
        <v/>
      </c>
    </row>
    <row r="49" ht="48" customHeight="1">
      <c r="A49" s="43">
        <f>IF(LEN('Grupo'!$P$10)&gt;0,'Grupo'!$P$10,"PJ 4")</f>
        <v/>
      </c>
      <c r="B49" s="10">
        <f>IF(LEN('Grupo'!$U$10)&gt;0,'Grupo'!$U$10,"")</f>
        <v/>
      </c>
      <c r="F49" s="29" t="n"/>
      <c r="G49" s="25" t="n"/>
      <c r="H49" s="25" t="n"/>
      <c r="I49" s="25" t="n"/>
      <c r="J49" s="17" t="n"/>
      <c r="K49" s="27">
        <f>IF(AA49&gt;0,"O Google leu como fórmula: digite de novo com ' na frente.",IF(AND(LEN($V$49)&gt;0,LEN('Grupo'!$P$10)=0),"PJ 4 sem nome na aba Grupo",""))</f>
        <v/>
      </c>
      <c r="V49" s="2">
        <f>IF(ISERROR($F$49),"",IF(ISBLANK($F$49),"",$F$49))</f>
        <v/>
      </c>
      <c r="AA49" s="2">
        <f>ISERROR($F$49)*1</f>
        <v/>
      </c>
    </row>
    <row r="50" ht="48" customHeight="1">
      <c r="A50" s="31">
        <f>IF(LEN('Grupo'!$P$11)&gt;0,'Grupo'!$P$11,"PJ 5")</f>
        <v/>
      </c>
      <c r="B50" s="5">
        <f>IF(LEN('Grupo'!$U$11)&gt;0,'Grupo'!$U$11,"")</f>
        <v/>
      </c>
      <c r="F50" s="4" t="n"/>
      <c r="G50" s="25" t="n"/>
      <c r="H50" s="25" t="n"/>
      <c r="I50" s="25" t="n"/>
      <c r="J50" s="17" t="n"/>
      <c r="K50" s="19">
        <f>IF(AA50&gt;0,"O Google leu como fórmula: digite de novo com ' na frente.",IF(AND(LEN($V$50)&gt;0,LEN('Grupo'!$P$11)=0),"PJ 5 sem nome na aba Grupo",""))</f>
        <v/>
      </c>
      <c r="V50" s="2">
        <f>IF(ISERROR($F$50),"",IF(ISBLANK($F$50),"",$F$50))</f>
        <v/>
      </c>
      <c r="AA50" s="2">
        <f>ISERROR($F$50)*1</f>
        <v/>
      </c>
    </row>
    <row r="51" ht="48" customHeight="1">
      <c r="A51" s="43">
        <f>IF(LEN('Grupo'!$P$12)&gt;0,'Grupo'!$P$12,"PJ 6")</f>
        <v/>
      </c>
      <c r="B51" s="10">
        <f>IF(LEN('Grupo'!$U$12)&gt;0,'Grupo'!$U$12,"")</f>
        <v/>
      </c>
      <c r="F51" s="29" t="n"/>
      <c r="G51" s="25" t="n"/>
      <c r="H51" s="25" t="n"/>
      <c r="I51" s="25" t="n"/>
      <c r="J51" s="17" t="n"/>
      <c r="K51" s="27">
        <f>IF(AA51&gt;0,"O Google leu como fórmula: digite de novo com ' na frente.",IF(AND(LEN($V$51)&gt;0,LEN('Grupo'!$P$12)=0),"PJ 6 sem nome na aba Grupo",""))</f>
        <v/>
      </c>
      <c r="V51" s="2">
        <f>IF(ISERROR($F$51),"",IF(ISBLANK($F$51),"",$F$51))</f>
        <v/>
      </c>
      <c r="AA51" s="2">
        <f>ISERROR($F$51)*1</f>
        <v/>
      </c>
    </row>
    <row r="52"/>
    <row r="53" ht="20" customHeight="1">
      <c r="A53" s="13" t="inlineStr">
        <is>
          <t>Checklist de preparo</t>
        </is>
      </c>
    </row>
    <row r="54">
      <c r="A54" s="8" t="inlineStr">
        <is>
          <t>Item</t>
        </is>
      </c>
      <c r="B54" s="8" t="inlineStr">
        <is>
          <t>O que conferir</t>
        </is>
      </c>
      <c r="C54" s="20" t="n"/>
      <c r="D54" s="20" t="n"/>
      <c r="E54" s="20" t="n"/>
      <c r="F54" s="20" t="n"/>
      <c r="G54" s="8" t="inlineStr">
        <is>
          <t>Feito?</t>
        </is>
      </c>
      <c r="H54" s="8" t="inlineStr">
        <is>
          <t>Automático</t>
        </is>
      </c>
      <c r="I54" s="20" t="n"/>
      <c r="J54" s="20" t="n"/>
      <c r="K54" s="8" t="inlineStr">
        <is>
          <t>Aviso</t>
        </is>
      </c>
      <c r="L54" s="20" t="n"/>
    </row>
    <row r="55" ht="26" customHeight="1">
      <c r="A55" s="9" t="inlineStr">
        <is>
          <t>Orçamento</t>
        </is>
      </c>
      <c r="B55" s="14" t="inlineStr">
        <is>
          <t>O encontro gasta o orçamento da faixa (27.4); metade dele é cena de passagem.</t>
        </is>
      </c>
      <c r="G55" s="34" t="n"/>
      <c r="H55" s="5">
        <f>"Orçamento da faixa para o grupo: "&amp;'Encontros'!$B$11&amp;" PV (aba Encontros)."</f>
        <v/>
      </c>
      <c r="K55" s="19">
        <f>IF(AA55&gt;0,"O Google leu como fórmula: escolha de novo na lista.","")</f>
        <v/>
      </c>
      <c r="AA55" s="2">
        <f>ISERROR($G$55)*1</f>
        <v/>
      </c>
    </row>
    <row r="56" ht="26" customHeight="1">
      <c r="A56" s="21" t="inlineStr">
        <is>
          <t>Contrato da Fraqueza</t>
        </is>
      </c>
      <c r="B56" s="22" t="inlineStr">
        <is>
          <t>Pelo menos 3 dos Elementos do grupo como Fraqueza na cena (27.5).</t>
        </is>
      </c>
      <c r="G56" s="36" t="n"/>
      <c r="H56" s="10">
        <f>IF(COUNTIF($X$14:$X$18,"A")&gt;0,"A: "&amp;'Encontros'!$J$41&amp;". ","")&amp;IF(COUNTIF($X$14:$X$18,"B")&gt;0,"B: "&amp;'Encontros'!$J$69&amp;". ","")&amp;IF(COUNTIF($X$14:$X$18,"C")&gt;0,"C: "&amp;'Encontros'!$J$97&amp;". ","")&amp;IF(COUNTIF($X$14:$X$18,"A")+COUNTIF($X$14:$X$18,"B")+COUNTIF($X$14:$X$18,"C")=0,"Nenhum encontro ligado às cenas.","")</f>
        <v/>
      </c>
      <c r="K56" s="27">
        <f>IF(AA56&gt;0,"O Google leu como fórmula: escolha de novo na lista.","")</f>
        <v/>
      </c>
      <c r="AA56" s="2">
        <f>ISERROR($G$56)*1</f>
        <v/>
      </c>
    </row>
    <row r="57" ht="26" customHeight="1">
      <c r="A57" s="9" t="inlineStr">
        <is>
          <t>Relógio na ficção</t>
        </is>
      </c>
      <c r="B57" s="14" t="inlineStr">
        <is>
          <t>Um prazo na história para o Descanso Longo não ser um botão (27.7).</t>
        </is>
      </c>
      <c r="G57" s="34" t="n"/>
      <c r="H57" s="5">
        <f>"Relógios a 1 de encher: "&amp;COUNTIF('Campanha'!$G$62:$G$71,"Falta 1")&amp;" (aba Campanha)."</f>
        <v/>
      </c>
      <c r="K57" s="19">
        <f>IF(AA57&gt;0,"O Google leu como fórmula: escolha de novo na lista.","")</f>
        <v/>
      </c>
      <c r="AA57" s="2">
        <f>ISERROR($G$57)*1</f>
        <v/>
      </c>
    </row>
    <row r="58" ht="26" customHeight="1">
      <c r="A58" s="21" t="inlineStr">
        <is>
          <t>Combates do dia</t>
        </is>
      </c>
      <c r="B58" s="22" t="inlineStr">
        <is>
          <t>Dois combates por dia é um dia tranquilo; três é um dia de verdade; quatro é uma emergência (27.7). Vazio = os combates das cenas.</t>
        </is>
      </c>
      <c r="G58" s="37" t="n"/>
      <c r="H58" s="10">
        <f>IF($N$58&lt;=0,"Nenhum combate previsto",$N$58&amp;" combate(s): "&amp;IF($N$58&lt;=2,"dia tranquilo",IF($N$58=3,"dia de verdade","emergência, e o grupo deve sentir que é"))&amp;" (27.7)")</f>
        <v/>
      </c>
      <c r="K58" s="27">
        <f>IF(AA58&gt;0,"O Google leu como fórmula: digite de novo com ' na frente.",IF(IF(ISNUMBER($W$58),OR($W$58&lt;0,$W$58&gt;9,INT($W$58)&lt;&gt;$W$58),FALSE),"Combates fora de 0 a 9",IF($N$58&gt;=4,"Quatro combates ou mais no dia é emergência (27.7)","")))</f>
        <v/>
      </c>
      <c r="N58" s="2">
        <f>IF(ISNUMBER($W$58),$W$58,COUNTIF($R$14:$R$18,"Combate"))</f>
        <v/>
      </c>
      <c r="W58" s="2">
        <f>IF(ISERROR($G$58),"",IF(ISBLANK($G$58),"",$G$58))</f>
        <v/>
      </c>
      <c r="AA58" s="2">
        <f>ISERROR($G$58)*1</f>
        <v/>
      </c>
    </row>
    <row r="59" ht="26" customHeight="1">
      <c r="A59" s="9" t="inlineStr">
        <is>
          <t>Equipamento de faixa</t>
        </is>
      </c>
      <c r="B59" s="14" t="inlineStr">
        <is>
          <t>Se houve virada de faixa ou de Tier, o Cone e o Tier novos entram (25.1, 27.8).</t>
        </is>
      </c>
      <c r="G59" s="34" t="n"/>
      <c r="H59" s="5">
        <f>IF(OR('Campanha'!$B$17=1,'Campanha'!$B$17=5,'Campanha'!$B$17=9,'Campanha'!$B$17=13,'Campanha'!$B$17=17),"Nível "&amp;'Campanha'!$B$17&amp;": faixa nova (Cone e Tier)",IF(OR('Campanha'!$B$17=7,'Campanha'!$B$17=18),"Nível "&amp;'Campanha'!$B$17&amp;": Tier novo","Nível "&amp;'Campanha'!$B$17&amp;": sem virada"))</f>
        <v/>
      </c>
      <c r="K59" s="19">
        <f>IF(AA59&gt;0,"O Google leu como fórmula: escolha de novo na lista.","")</f>
        <v/>
      </c>
      <c r="AA59" s="2">
        <f>ISERROR($G$59)*1</f>
        <v/>
      </c>
    </row>
    <row r="60"/>
    <row r="61" ht="20" customHeight="1">
      <c r="A61" s="13" t="inlineStr">
        <is>
          <t>Diário de campanha (30 sessões; uma linha por sessão jogada, na ordem)</t>
        </is>
      </c>
    </row>
    <row r="62" ht="20" customHeight="1">
      <c r="A62" s="13" t="inlineStr">
        <is>
          <t>D1 · A sessão</t>
        </is>
      </c>
    </row>
    <row r="63" ht="26" customHeight="1">
      <c r="A63" s="8" t="inlineStr">
        <is>
          <t>Sessão nº (preencha)</t>
        </is>
      </c>
      <c r="B63" s="8" t="inlineStr">
        <is>
          <t>Data real</t>
        </is>
      </c>
      <c r="C63" s="8" t="inlineStr">
        <is>
          <t>Dia de campanha</t>
        </is>
      </c>
      <c r="D63" s="8" t="inlineStr">
        <is>
          <t>Marco atingido?</t>
        </is>
      </c>
      <c r="E63" s="8" t="inlineStr">
        <is>
          <t>Resumo (até 300 caracteres)</t>
        </is>
      </c>
      <c r="F63" s="20" t="n"/>
      <c r="G63" s="20" t="n"/>
      <c r="H63" s="20" t="n"/>
      <c r="I63" s="20" t="n"/>
      <c r="J63" s="20" t="n"/>
      <c r="K63" s="8" t="inlineStr">
        <is>
          <t>Aviso</t>
        </is>
      </c>
      <c r="L63" s="20" t="n"/>
    </row>
    <row r="64" ht="48" customHeight="1">
      <c r="A64" s="38" t="n"/>
      <c r="B64" s="4" t="n"/>
      <c r="C64" s="16" t="n"/>
      <c r="D64" s="34" t="n"/>
      <c r="E64" s="4" t="n"/>
      <c r="F64" s="25" t="n"/>
      <c r="G64" s="25" t="n"/>
      <c r="H64" s="25" t="n"/>
      <c r="I64" s="25" t="n"/>
      <c r="J64" s="17" t="n"/>
      <c r="K64" s="19">
        <f>IF(AA64&gt;0,"O Google leu como fórmula: escolha de novo ou digite com ' na frente.",IF(AND(LEN($T$64)&gt;0,$T$64&lt;&gt;"Sim",$T$64&lt;&gt;"Não"),"Marco: escolha Sim ou Não",""))</f>
        <v/>
      </c>
      <c r="N64" s="2">
        <f>0+IF(LEN($Q$64&amp;$U$64&amp;$R$64&amp;$S$64&amp;$T$64)&gt;0,1,0)</f>
        <v/>
      </c>
      <c r="O64" s="2">
        <f>IF($T$64="Sim",0,0+IF($T$64="Não",1,0))</f>
        <v/>
      </c>
      <c r="Q64" s="2">
        <f>IF(ISERROR($A$64),"",IF(ISBLANK($A$64),"",$A$64))</f>
        <v/>
      </c>
      <c r="R64" s="2">
        <f>IF(ISERROR($B$64),"",IF(ISBLANK($B$64),"",$B$64))</f>
        <v/>
      </c>
      <c r="S64" s="2">
        <f>IF(ISERROR($C$64),"",IF(ISBLANK($C$64),"",$C$64))</f>
        <v/>
      </c>
      <c r="T64" s="2">
        <f>IF(ISERROR($D$64),"",IF(ISBLANK($D$64),"",$D$64))</f>
        <v/>
      </c>
      <c r="U64" s="2">
        <f>IF(ISERROR($E$64),"",IF(ISBLANK($E$64),"",$E$64))</f>
        <v/>
      </c>
      <c r="AA64" s="2">
        <f>ISERROR($A$64)*1+ISERROR($B$64)*1+ISERROR($C$64)*1+ISERROR($D$64)*1+ISERROR($E$64)*1</f>
        <v/>
      </c>
    </row>
    <row r="65" ht="48" customHeight="1">
      <c r="A65" s="39" t="n"/>
      <c r="B65" s="29" t="n"/>
      <c r="C65" s="37" t="n"/>
      <c r="D65" s="36" t="n"/>
      <c r="E65" s="29" t="n"/>
      <c r="F65" s="25" t="n"/>
      <c r="G65" s="25" t="n"/>
      <c r="H65" s="25" t="n"/>
      <c r="I65" s="25" t="n"/>
      <c r="J65" s="17" t="n"/>
      <c r="K65" s="27">
        <f>IF(AA65&gt;0,"O Google leu como fórmula: escolha de novo ou digite com ' na frente.",IF(AND(LEN($T$65)&gt;0,$T$65&lt;&gt;"Sim",$T$65&lt;&gt;"Não"),"Marco: escolha Sim ou Não",""))</f>
        <v/>
      </c>
      <c r="N65" s="2">
        <f>$N$64+IF(LEN($Q$65&amp;$U$65&amp;$R$65&amp;$S$65&amp;$T$65)&gt;0,1,0)</f>
        <v/>
      </c>
      <c r="O65" s="2">
        <f>IF($T$65="Sim",0,$O$64+IF($T$65="Não",1,0))</f>
        <v/>
      </c>
      <c r="Q65" s="2">
        <f>IF(ISERROR($A$65),"",IF(ISBLANK($A$65),"",$A$65))</f>
        <v/>
      </c>
      <c r="R65" s="2">
        <f>IF(ISERROR($B$65),"",IF(ISBLANK($B$65),"",$B$65))</f>
        <v/>
      </c>
      <c r="S65" s="2">
        <f>IF(ISERROR($C$65),"",IF(ISBLANK($C$65),"",$C$65))</f>
        <v/>
      </c>
      <c r="T65" s="2">
        <f>IF(ISERROR($D$65),"",IF(ISBLANK($D$65),"",$D$65))</f>
        <v/>
      </c>
      <c r="U65" s="2">
        <f>IF(ISERROR($E$65),"",IF(ISBLANK($E$65),"",$E$65))</f>
        <v/>
      </c>
      <c r="AA65" s="2">
        <f>ISERROR($A$65)*1+ISERROR($B$65)*1+ISERROR($C$65)*1+ISERROR($D$65)*1+ISERROR($E$65)*1</f>
        <v/>
      </c>
    </row>
    <row r="66" ht="48" customHeight="1">
      <c r="A66" s="38" t="n"/>
      <c r="B66" s="4" t="n"/>
      <c r="C66" s="16" t="n"/>
      <c r="D66" s="34" t="n"/>
      <c r="E66" s="4" t="n"/>
      <c r="F66" s="25" t="n"/>
      <c r="G66" s="25" t="n"/>
      <c r="H66" s="25" t="n"/>
      <c r="I66" s="25" t="n"/>
      <c r="J66" s="17" t="n"/>
      <c r="K66" s="19">
        <f>IF(AA66&gt;0,"O Google leu como fórmula: escolha de novo ou digite com ' na frente.",IF(AND(LEN($T$66)&gt;0,$T$66&lt;&gt;"Sim",$T$66&lt;&gt;"Não"),"Marco: escolha Sim ou Não",""))</f>
        <v/>
      </c>
      <c r="N66" s="2">
        <f>$N$65+IF(LEN($Q$66&amp;$U$66&amp;$R$66&amp;$S$66&amp;$T$66)&gt;0,1,0)</f>
        <v/>
      </c>
      <c r="O66" s="2">
        <f>IF($T$66="Sim",0,$O$65+IF($T$66="Não",1,0))</f>
        <v/>
      </c>
      <c r="Q66" s="2">
        <f>IF(ISERROR($A$66),"",IF(ISBLANK($A$66),"",$A$66))</f>
        <v/>
      </c>
      <c r="R66" s="2">
        <f>IF(ISERROR($B$66),"",IF(ISBLANK($B$66),"",$B$66))</f>
        <v/>
      </c>
      <c r="S66" s="2">
        <f>IF(ISERROR($C$66),"",IF(ISBLANK($C$66),"",$C$66))</f>
        <v/>
      </c>
      <c r="T66" s="2">
        <f>IF(ISERROR($D$66),"",IF(ISBLANK($D$66),"",$D$66))</f>
        <v/>
      </c>
      <c r="U66" s="2">
        <f>IF(ISERROR($E$66),"",IF(ISBLANK($E$66),"",$E$66))</f>
        <v/>
      </c>
      <c r="AA66" s="2">
        <f>ISERROR($A$66)*1+ISERROR($B$66)*1+ISERROR($C$66)*1+ISERROR($D$66)*1+ISERROR($E$66)*1</f>
        <v/>
      </c>
    </row>
    <row r="67" ht="48" customHeight="1">
      <c r="A67" s="39" t="n"/>
      <c r="B67" s="29" t="n"/>
      <c r="C67" s="37" t="n"/>
      <c r="D67" s="36" t="n"/>
      <c r="E67" s="29" t="n"/>
      <c r="F67" s="25" t="n"/>
      <c r="G67" s="25" t="n"/>
      <c r="H67" s="25" t="n"/>
      <c r="I67" s="25" t="n"/>
      <c r="J67" s="17" t="n"/>
      <c r="K67" s="27">
        <f>IF(AA67&gt;0,"O Google leu como fórmula: escolha de novo ou digite com ' na frente.",IF(AND(LEN($T$67)&gt;0,$T$67&lt;&gt;"Sim",$T$67&lt;&gt;"Não"),"Marco: escolha Sim ou Não",""))</f>
        <v/>
      </c>
      <c r="N67" s="2">
        <f>$N$66+IF(LEN($Q$67&amp;$U$67&amp;$R$67&amp;$S$67&amp;$T$67)&gt;0,1,0)</f>
        <v/>
      </c>
      <c r="O67" s="2">
        <f>IF($T$67="Sim",0,$O$66+IF($T$67="Não",1,0))</f>
        <v/>
      </c>
      <c r="Q67" s="2">
        <f>IF(ISERROR($A$67),"",IF(ISBLANK($A$67),"",$A$67))</f>
        <v/>
      </c>
      <c r="R67" s="2">
        <f>IF(ISERROR($B$67),"",IF(ISBLANK($B$67),"",$B$67))</f>
        <v/>
      </c>
      <c r="S67" s="2">
        <f>IF(ISERROR($C$67),"",IF(ISBLANK($C$67),"",$C$67))</f>
        <v/>
      </c>
      <c r="T67" s="2">
        <f>IF(ISERROR($D$67),"",IF(ISBLANK($D$67),"",$D$67))</f>
        <v/>
      </c>
      <c r="U67" s="2">
        <f>IF(ISERROR($E$67),"",IF(ISBLANK($E$67),"",$E$67))</f>
        <v/>
      </c>
      <c r="AA67" s="2">
        <f>ISERROR($A$67)*1+ISERROR($B$67)*1+ISERROR($C$67)*1+ISERROR($D$67)*1+ISERROR($E$67)*1</f>
        <v/>
      </c>
    </row>
    <row r="68" ht="48" customHeight="1">
      <c r="A68" s="38" t="n"/>
      <c r="B68" s="4" t="n"/>
      <c r="C68" s="16" t="n"/>
      <c r="D68" s="34" t="n"/>
      <c r="E68" s="4" t="n"/>
      <c r="F68" s="25" t="n"/>
      <c r="G68" s="25" t="n"/>
      <c r="H68" s="25" t="n"/>
      <c r="I68" s="25" t="n"/>
      <c r="J68" s="17" t="n"/>
      <c r="K68" s="19">
        <f>IF(AA68&gt;0,"O Google leu como fórmula: escolha de novo ou digite com ' na frente.",IF(AND(LEN($T$68)&gt;0,$T$68&lt;&gt;"Sim",$T$68&lt;&gt;"Não"),"Marco: escolha Sim ou Não",""))</f>
        <v/>
      </c>
      <c r="N68" s="2">
        <f>$N$67+IF(LEN($Q$68&amp;$U$68&amp;$R$68&amp;$S$68&amp;$T$68)&gt;0,1,0)</f>
        <v/>
      </c>
      <c r="O68" s="2">
        <f>IF($T$68="Sim",0,$O$67+IF($T$68="Não",1,0))</f>
        <v/>
      </c>
      <c r="Q68" s="2">
        <f>IF(ISERROR($A$68),"",IF(ISBLANK($A$68),"",$A$68))</f>
        <v/>
      </c>
      <c r="R68" s="2">
        <f>IF(ISERROR($B$68),"",IF(ISBLANK($B$68),"",$B$68))</f>
        <v/>
      </c>
      <c r="S68" s="2">
        <f>IF(ISERROR($C$68),"",IF(ISBLANK($C$68),"",$C$68))</f>
        <v/>
      </c>
      <c r="T68" s="2">
        <f>IF(ISERROR($D$68),"",IF(ISBLANK($D$68),"",$D$68))</f>
        <v/>
      </c>
      <c r="U68" s="2">
        <f>IF(ISERROR($E$68),"",IF(ISBLANK($E$68),"",$E$68))</f>
        <v/>
      </c>
      <c r="AA68" s="2">
        <f>ISERROR($A$68)*1+ISERROR($B$68)*1+ISERROR($C$68)*1+ISERROR($D$68)*1+ISERROR($E$68)*1</f>
        <v/>
      </c>
    </row>
    <row r="69" ht="48" customHeight="1">
      <c r="A69" s="39" t="n"/>
      <c r="B69" s="29" t="n"/>
      <c r="C69" s="37" t="n"/>
      <c r="D69" s="36" t="n"/>
      <c r="E69" s="29" t="n"/>
      <c r="F69" s="25" t="n"/>
      <c r="G69" s="25" t="n"/>
      <c r="H69" s="25" t="n"/>
      <c r="I69" s="25" t="n"/>
      <c r="J69" s="17" t="n"/>
      <c r="K69" s="27">
        <f>IF(AA69&gt;0,"O Google leu como fórmula: escolha de novo ou digite com ' na frente.",IF(AND(LEN($T$69)&gt;0,$T$69&lt;&gt;"Sim",$T$69&lt;&gt;"Não"),"Marco: escolha Sim ou Não",""))</f>
        <v/>
      </c>
      <c r="N69" s="2">
        <f>$N$68+IF(LEN($Q$69&amp;$U$69&amp;$R$69&amp;$S$69&amp;$T$69)&gt;0,1,0)</f>
        <v/>
      </c>
      <c r="O69" s="2">
        <f>IF($T$69="Sim",0,$O$68+IF($T$69="Não",1,0))</f>
        <v/>
      </c>
      <c r="Q69" s="2">
        <f>IF(ISERROR($A$69),"",IF(ISBLANK($A$69),"",$A$69))</f>
        <v/>
      </c>
      <c r="R69" s="2">
        <f>IF(ISERROR($B$69),"",IF(ISBLANK($B$69),"",$B$69))</f>
        <v/>
      </c>
      <c r="S69" s="2">
        <f>IF(ISERROR($C$69),"",IF(ISBLANK($C$69),"",$C$69))</f>
        <v/>
      </c>
      <c r="T69" s="2">
        <f>IF(ISERROR($D$69),"",IF(ISBLANK($D$69),"",$D$69))</f>
        <v/>
      </c>
      <c r="U69" s="2">
        <f>IF(ISERROR($E$69),"",IF(ISBLANK($E$69),"",$E$69))</f>
        <v/>
      </c>
      <c r="AA69" s="2">
        <f>ISERROR($A$69)*1+ISERROR($B$69)*1+ISERROR($C$69)*1+ISERROR($D$69)*1+ISERROR($E$69)*1</f>
        <v/>
      </c>
    </row>
    <row r="70" ht="48" customHeight="1">
      <c r="A70" s="38" t="n"/>
      <c r="B70" s="4" t="n"/>
      <c r="C70" s="16" t="n"/>
      <c r="D70" s="34" t="n"/>
      <c r="E70" s="4" t="n"/>
      <c r="F70" s="25" t="n"/>
      <c r="G70" s="25" t="n"/>
      <c r="H70" s="25" t="n"/>
      <c r="I70" s="25" t="n"/>
      <c r="J70" s="17" t="n"/>
      <c r="K70" s="19">
        <f>IF(AA70&gt;0,"O Google leu como fórmula: escolha de novo ou digite com ' na frente.",IF(AND(LEN($T$70)&gt;0,$T$70&lt;&gt;"Sim",$T$70&lt;&gt;"Não"),"Marco: escolha Sim ou Não",""))</f>
        <v/>
      </c>
      <c r="N70" s="2">
        <f>$N$69+IF(LEN($Q$70&amp;$U$70&amp;$R$70&amp;$S$70&amp;$T$70)&gt;0,1,0)</f>
        <v/>
      </c>
      <c r="O70" s="2">
        <f>IF($T$70="Sim",0,$O$69+IF($T$70="Não",1,0))</f>
        <v/>
      </c>
      <c r="Q70" s="2">
        <f>IF(ISERROR($A$70),"",IF(ISBLANK($A$70),"",$A$70))</f>
        <v/>
      </c>
      <c r="R70" s="2">
        <f>IF(ISERROR($B$70),"",IF(ISBLANK($B$70),"",$B$70))</f>
        <v/>
      </c>
      <c r="S70" s="2">
        <f>IF(ISERROR($C$70),"",IF(ISBLANK($C$70),"",$C$70))</f>
        <v/>
      </c>
      <c r="T70" s="2">
        <f>IF(ISERROR($D$70),"",IF(ISBLANK($D$70),"",$D$70))</f>
        <v/>
      </c>
      <c r="U70" s="2">
        <f>IF(ISERROR($E$70),"",IF(ISBLANK($E$70),"",$E$70))</f>
        <v/>
      </c>
      <c r="AA70" s="2">
        <f>ISERROR($A$70)*1+ISERROR($B$70)*1+ISERROR($C$70)*1+ISERROR($D$70)*1+ISERROR($E$70)*1</f>
        <v/>
      </c>
    </row>
    <row r="71" ht="48" customHeight="1">
      <c r="A71" s="39" t="n"/>
      <c r="B71" s="29" t="n"/>
      <c r="C71" s="37" t="n"/>
      <c r="D71" s="36" t="n"/>
      <c r="E71" s="29" t="n"/>
      <c r="F71" s="25" t="n"/>
      <c r="G71" s="25" t="n"/>
      <c r="H71" s="25" t="n"/>
      <c r="I71" s="25" t="n"/>
      <c r="J71" s="17" t="n"/>
      <c r="K71" s="27">
        <f>IF(AA71&gt;0,"O Google leu como fórmula: escolha de novo ou digite com ' na frente.",IF(AND(LEN($T$71)&gt;0,$T$71&lt;&gt;"Sim",$T$71&lt;&gt;"Não"),"Marco: escolha Sim ou Não",""))</f>
        <v/>
      </c>
      <c r="N71" s="2">
        <f>$N$70+IF(LEN($Q$71&amp;$U$71&amp;$R$71&amp;$S$71&amp;$T$71)&gt;0,1,0)</f>
        <v/>
      </c>
      <c r="O71" s="2">
        <f>IF($T$71="Sim",0,$O$70+IF($T$71="Não",1,0))</f>
        <v/>
      </c>
      <c r="Q71" s="2">
        <f>IF(ISERROR($A$71),"",IF(ISBLANK($A$71),"",$A$71))</f>
        <v/>
      </c>
      <c r="R71" s="2">
        <f>IF(ISERROR($B$71),"",IF(ISBLANK($B$71),"",$B$71))</f>
        <v/>
      </c>
      <c r="S71" s="2">
        <f>IF(ISERROR($C$71),"",IF(ISBLANK($C$71),"",$C$71))</f>
        <v/>
      </c>
      <c r="T71" s="2">
        <f>IF(ISERROR($D$71),"",IF(ISBLANK($D$71),"",$D$71))</f>
        <v/>
      </c>
      <c r="U71" s="2">
        <f>IF(ISERROR($E$71),"",IF(ISBLANK($E$71),"",$E$71))</f>
        <v/>
      </c>
      <c r="AA71" s="2">
        <f>ISERROR($A$71)*1+ISERROR($B$71)*1+ISERROR($C$71)*1+ISERROR($D$71)*1+ISERROR($E$71)*1</f>
        <v/>
      </c>
    </row>
    <row r="72" ht="48" customHeight="1">
      <c r="A72" s="38" t="n"/>
      <c r="B72" s="4" t="n"/>
      <c r="C72" s="16" t="n"/>
      <c r="D72" s="34" t="n"/>
      <c r="E72" s="4" t="n"/>
      <c r="F72" s="25" t="n"/>
      <c r="G72" s="25" t="n"/>
      <c r="H72" s="25" t="n"/>
      <c r="I72" s="25" t="n"/>
      <c r="J72" s="17" t="n"/>
      <c r="K72" s="19">
        <f>IF(AA72&gt;0,"O Google leu como fórmula: escolha de novo ou digite com ' na frente.",IF(AND(LEN($T$72)&gt;0,$T$72&lt;&gt;"Sim",$T$72&lt;&gt;"Não"),"Marco: escolha Sim ou Não",""))</f>
        <v/>
      </c>
      <c r="N72" s="2">
        <f>$N$71+IF(LEN($Q$72&amp;$U$72&amp;$R$72&amp;$S$72&amp;$T$72)&gt;0,1,0)</f>
        <v/>
      </c>
      <c r="O72" s="2">
        <f>IF($T$72="Sim",0,$O$71+IF($T$72="Não",1,0))</f>
        <v/>
      </c>
      <c r="Q72" s="2">
        <f>IF(ISERROR($A$72),"",IF(ISBLANK($A$72),"",$A$72))</f>
        <v/>
      </c>
      <c r="R72" s="2">
        <f>IF(ISERROR($B$72),"",IF(ISBLANK($B$72),"",$B$72))</f>
        <v/>
      </c>
      <c r="S72" s="2">
        <f>IF(ISERROR($C$72),"",IF(ISBLANK($C$72),"",$C$72))</f>
        <v/>
      </c>
      <c r="T72" s="2">
        <f>IF(ISERROR($D$72),"",IF(ISBLANK($D$72),"",$D$72))</f>
        <v/>
      </c>
      <c r="U72" s="2">
        <f>IF(ISERROR($E$72),"",IF(ISBLANK($E$72),"",$E$72))</f>
        <v/>
      </c>
      <c r="AA72" s="2">
        <f>ISERROR($A$72)*1+ISERROR($B$72)*1+ISERROR($C$72)*1+ISERROR($D$72)*1+ISERROR($E$72)*1</f>
        <v/>
      </c>
    </row>
    <row r="73" ht="48" customHeight="1">
      <c r="A73" s="39" t="n"/>
      <c r="B73" s="29" t="n"/>
      <c r="C73" s="37" t="n"/>
      <c r="D73" s="36" t="n"/>
      <c r="E73" s="29" t="n"/>
      <c r="F73" s="25" t="n"/>
      <c r="G73" s="25" t="n"/>
      <c r="H73" s="25" t="n"/>
      <c r="I73" s="25" t="n"/>
      <c r="J73" s="17" t="n"/>
      <c r="K73" s="27">
        <f>IF(AA73&gt;0,"O Google leu como fórmula: escolha de novo ou digite com ' na frente.",IF(AND(LEN($T$73)&gt;0,$T$73&lt;&gt;"Sim",$T$73&lt;&gt;"Não"),"Marco: escolha Sim ou Não",""))</f>
        <v/>
      </c>
      <c r="N73" s="2">
        <f>$N$72+IF(LEN($Q$73&amp;$U$73&amp;$R$73&amp;$S$73&amp;$T$73)&gt;0,1,0)</f>
        <v/>
      </c>
      <c r="O73" s="2">
        <f>IF($T$73="Sim",0,$O$72+IF($T$73="Não",1,0))</f>
        <v/>
      </c>
      <c r="Q73" s="2">
        <f>IF(ISERROR($A$73),"",IF(ISBLANK($A$73),"",$A$73))</f>
        <v/>
      </c>
      <c r="R73" s="2">
        <f>IF(ISERROR($B$73),"",IF(ISBLANK($B$73),"",$B$73))</f>
        <v/>
      </c>
      <c r="S73" s="2">
        <f>IF(ISERROR($C$73),"",IF(ISBLANK($C$73),"",$C$73))</f>
        <v/>
      </c>
      <c r="T73" s="2">
        <f>IF(ISERROR($D$73),"",IF(ISBLANK($D$73),"",$D$73))</f>
        <v/>
      </c>
      <c r="U73" s="2">
        <f>IF(ISERROR($E$73),"",IF(ISBLANK($E$73),"",$E$73))</f>
        <v/>
      </c>
      <c r="AA73" s="2">
        <f>ISERROR($A$73)*1+ISERROR($B$73)*1+ISERROR($C$73)*1+ISERROR($D$73)*1+ISERROR($E$73)*1</f>
        <v/>
      </c>
    </row>
    <row r="74" ht="26" customHeight="1">
      <c r="A74" s="8" t="inlineStr">
        <is>
          <t>Sessão nº (preencha)</t>
        </is>
      </c>
      <c r="B74" s="8" t="inlineStr">
        <is>
          <t>Data real</t>
        </is>
      </c>
      <c r="C74" s="8" t="inlineStr">
        <is>
          <t>Dia de campanha</t>
        </is>
      </c>
      <c r="D74" s="8" t="inlineStr">
        <is>
          <t>Marco atingido?</t>
        </is>
      </c>
      <c r="E74" s="8" t="inlineStr">
        <is>
          <t>Resumo (até 300 caracteres)</t>
        </is>
      </c>
      <c r="F74" s="20" t="n"/>
      <c r="G74" s="20" t="n"/>
      <c r="H74" s="20" t="n"/>
      <c r="I74" s="20" t="n"/>
      <c r="J74" s="20" t="n"/>
      <c r="K74" s="8" t="inlineStr">
        <is>
          <t>Aviso</t>
        </is>
      </c>
      <c r="L74" s="20" t="n"/>
    </row>
    <row r="75" ht="48" customHeight="1">
      <c r="A75" s="38" t="n"/>
      <c r="B75" s="4" t="n"/>
      <c r="C75" s="16" t="n"/>
      <c r="D75" s="34" t="n"/>
      <c r="E75" s="4" t="n"/>
      <c r="F75" s="25" t="n"/>
      <c r="G75" s="25" t="n"/>
      <c r="H75" s="25" t="n"/>
      <c r="I75" s="25" t="n"/>
      <c r="J75" s="17" t="n"/>
      <c r="K75" s="19">
        <f>IF(AA75&gt;0,"O Google leu como fórmula: escolha de novo ou digite com ' na frente.",IF(AND(LEN($T$75)&gt;0,$T$75&lt;&gt;"Sim",$T$75&lt;&gt;"Não"),"Marco: escolha Sim ou Não",""))</f>
        <v/>
      </c>
      <c r="N75" s="2">
        <f>$N$73+IF(LEN($Q$75&amp;$U$75&amp;$R$75&amp;$S$75&amp;$T$75)&gt;0,1,0)</f>
        <v/>
      </c>
      <c r="O75" s="2">
        <f>IF($T$75="Sim",0,$O$73+IF($T$75="Não",1,0))</f>
        <v/>
      </c>
      <c r="Q75" s="2">
        <f>IF(ISERROR($A$75),"",IF(ISBLANK($A$75),"",$A$75))</f>
        <v/>
      </c>
      <c r="R75" s="2">
        <f>IF(ISERROR($B$75),"",IF(ISBLANK($B$75),"",$B$75))</f>
        <v/>
      </c>
      <c r="S75" s="2">
        <f>IF(ISERROR($C$75),"",IF(ISBLANK($C$75),"",$C$75))</f>
        <v/>
      </c>
      <c r="T75" s="2">
        <f>IF(ISERROR($D$75),"",IF(ISBLANK($D$75),"",$D$75))</f>
        <v/>
      </c>
      <c r="U75" s="2">
        <f>IF(ISERROR($E$75),"",IF(ISBLANK($E$75),"",$E$75))</f>
        <v/>
      </c>
      <c r="AA75" s="2">
        <f>ISERROR($A$75)*1+ISERROR($B$75)*1+ISERROR($C$75)*1+ISERROR($D$75)*1+ISERROR($E$75)*1</f>
        <v/>
      </c>
    </row>
    <row r="76" ht="48" customHeight="1">
      <c r="A76" s="39" t="n"/>
      <c r="B76" s="29" t="n"/>
      <c r="C76" s="37" t="n"/>
      <c r="D76" s="36" t="n"/>
      <c r="E76" s="29" t="n"/>
      <c r="F76" s="25" t="n"/>
      <c r="G76" s="25" t="n"/>
      <c r="H76" s="25" t="n"/>
      <c r="I76" s="25" t="n"/>
      <c r="J76" s="17" t="n"/>
      <c r="K76" s="27">
        <f>IF(AA76&gt;0,"O Google leu como fórmula: escolha de novo ou digite com ' na frente.",IF(AND(LEN($T$76)&gt;0,$T$76&lt;&gt;"Sim",$T$76&lt;&gt;"Não"),"Marco: escolha Sim ou Não",""))</f>
        <v/>
      </c>
      <c r="N76" s="2">
        <f>$N$75+IF(LEN($Q$76&amp;$U$76&amp;$R$76&amp;$S$76&amp;$T$76)&gt;0,1,0)</f>
        <v/>
      </c>
      <c r="O76" s="2">
        <f>IF($T$76="Sim",0,$O$75+IF($T$76="Não",1,0))</f>
        <v/>
      </c>
      <c r="Q76" s="2">
        <f>IF(ISERROR($A$76),"",IF(ISBLANK($A$76),"",$A$76))</f>
        <v/>
      </c>
      <c r="R76" s="2">
        <f>IF(ISERROR($B$76),"",IF(ISBLANK($B$76),"",$B$76))</f>
        <v/>
      </c>
      <c r="S76" s="2">
        <f>IF(ISERROR($C$76),"",IF(ISBLANK($C$76),"",$C$76))</f>
        <v/>
      </c>
      <c r="T76" s="2">
        <f>IF(ISERROR($D$76),"",IF(ISBLANK($D$76),"",$D$76))</f>
        <v/>
      </c>
      <c r="U76" s="2">
        <f>IF(ISERROR($E$76),"",IF(ISBLANK($E$76),"",$E$76))</f>
        <v/>
      </c>
      <c r="AA76" s="2">
        <f>ISERROR($A$76)*1+ISERROR($B$76)*1+ISERROR($C$76)*1+ISERROR($D$76)*1+ISERROR($E$76)*1</f>
        <v/>
      </c>
    </row>
    <row r="77" ht="48" customHeight="1">
      <c r="A77" s="38" t="n"/>
      <c r="B77" s="4" t="n"/>
      <c r="C77" s="16" t="n"/>
      <c r="D77" s="34" t="n"/>
      <c r="E77" s="4" t="n"/>
      <c r="F77" s="25" t="n"/>
      <c r="G77" s="25" t="n"/>
      <c r="H77" s="25" t="n"/>
      <c r="I77" s="25" t="n"/>
      <c r="J77" s="17" t="n"/>
      <c r="K77" s="19">
        <f>IF(AA77&gt;0,"O Google leu como fórmula: escolha de novo ou digite com ' na frente.",IF(AND(LEN($T$77)&gt;0,$T$77&lt;&gt;"Sim",$T$77&lt;&gt;"Não"),"Marco: escolha Sim ou Não",""))</f>
        <v/>
      </c>
      <c r="N77" s="2">
        <f>$N$76+IF(LEN($Q$77&amp;$U$77&amp;$R$77&amp;$S$77&amp;$T$77)&gt;0,1,0)</f>
        <v/>
      </c>
      <c r="O77" s="2">
        <f>IF($T$77="Sim",0,$O$76+IF($T$77="Não",1,0))</f>
        <v/>
      </c>
      <c r="Q77" s="2">
        <f>IF(ISERROR($A$77),"",IF(ISBLANK($A$77),"",$A$77))</f>
        <v/>
      </c>
      <c r="R77" s="2">
        <f>IF(ISERROR($B$77),"",IF(ISBLANK($B$77),"",$B$77))</f>
        <v/>
      </c>
      <c r="S77" s="2">
        <f>IF(ISERROR($C$77),"",IF(ISBLANK($C$77),"",$C$77))</f>
        <v/>
      </c>
      <c r="T77" s="2">
        <f>IF(ISERROR($D$77),"",IF(ISBLANK($D$77),"",$D$77))</f>
        <v/>
      </c>
      <c r="U77" s="2">
        <f>IF(ISERROR($E$77),"",IF(ISBLANK($E$77),"",$E$77))</f>
        <v/>
      </c>
      <c r="AA77" s="2">
        <f>ISERROR($A$77)*1+ISERROR($B$77)*1+ISERROR($C$77)*1+ISERROR($D$77)*1+ISERROR($E$77)*1</f>
        <v/>
      </c>
    </row>
    <row r="78" ht="48" customHeight="1">
      <c r="A78" s="39" t="n"/>
      <c r="B78" s="29" t="n"/>
      <c r="C78" s="37" t="n"/>
      <c r="D78" s="36" t="n"/>
      <c r="E78" s="29" t="n"/>
      <c r="F78" s="25" t="n"/>
      <c r="G78" s="25" t="n"/>
      <c r="H78" s="25" t="n"/>
      <c r="I78" s="25" t="n"/>
      <c r="J78" s="17" t="n"/>
      <c r="K78" s="27">
        <f>IF(AA78&gt;0,"O Google leu como fórmula: escolha de novo ou digite com ' na frente.",IF(AND(LEN($T$78)&gt;0,$T$78&lt;&gt;"Sim",$T$78&lt;&gt;"Não"),"Marco: escolha Sim ou Não",""))</f>
        <v/>
      </c>
      <c r="N78" s="2">
        <f>$N$77+IF(LEN($Q$78&amp;$U$78&amp;$R$78&amp;$S$78&amp;$T$78)&gt;0,1,0)</f>
        <v/>
      </c>
      <c r="O78" s="2">
        <f>IF($T$78="Sim",0,$O$77+IF($T$78="Não",1,0))</f>
        <v/>
      </c>
      <c r="Q78" s="2">
        <f>IF(ISERROR($A$78),"",IF(ISBLANK($A$78),"",$A$78))</f>
        <v/>
      </c>
      <c r="R78" s="2">
        <f>IF(ISERROR($B$78),"",IF(ISBLANK($B$78),"",$B$78))</f>
        <v/>
      </c>
      <c r="S78" s="2">
        <f>IF(ISERROR($C$78),"",IF(ISBLANK($C$78),"",$C$78))</f>
        <v/>
      </c>
      <c r="T78" s="2">
        <f>IF(ISERROR($D$78),"",IF(ISBLANK($D$78),"",$D$78))</f>
        <v/>
      </c>
      <c r="U78" s="2">
        <f>IF(ISERROR($E$78),"",IF(ISBLANK($E$78),"",$E$78))</f>
        <v/>
      </c>
      <c r="AA78" s="2">
        <f>ISERROR($A$78)*1+ISERROR($B$78)*1+ISERROR($C$78)*1+ISERROR($D$78)*1+ISERROR($E$78)*1</f>
        <v/>
      </c>
    </row>
    <row r="79" ht="48" customHeight="1">
      <c r="A79" s="38" t="n"/>
      <c r="B79" s="4" t="n"/>
      <c r="C79" s="16" t="n"/>
      <c r="D79" s="34" t="n"/>
      <c r="E79" s="4" t="n"/>
      <c r="F79" s="25" t="n"/>
      <c r="G79" s="25" t="n"/>
      <c r="H79" s="25" t="n"/>
      <c r="I79" s="25" t="n"/>
      <c r="J79" s="17" t="n"/>
      <c r="K79" s="19">
        <f>IF(AA79&gt;0,"O Google leu como fórmula: escolha de novo ou digite com ' na frente.",IF(AND(LEN($T$79)&gt;0,$T$79&lt;&gt;"Sim",$T$79&lt;&gt;"Não"),"Marco: escolha Sim ou Não",""))</f>
        <v/>
      </c>
      <c r="N79" s="2">
        <f>$N$78+IF(LEN($Q$79&amp;$U$79&amp;$R$79&amp;$S$79&amp;$T$79)&gt;0,1,0)</f>
        <v/>
      </c>
      <c r="O79" s="2">
        <f>IF($T$79="Sim",0,$O$78+IF($T$79="Não",1,0))</f>
        <v/>
      </c>
      <c r="Q79" s="2">
        <f>IF(ISERROR($A$79),"",IF(ISBLANK($A$79),"",$A$79))</f>
        <v/>
      </c>
      <c r="R79" s="2">
        <f>IF(ISERROR($B$79),"",IF(ISBLANK($B$79),"",$B$79))</f>
        <v/>
      </c>
      <c r="S79" s="2">
        <f>IF(ISERROR($C$79),"",IF(ISBLANK($C$79),"",$C$79))</f>
        <v/>
      </c>
      <c r="T79" s="2">
        <f>IF(ISERROR($D$79),"",IF(ISBLANK($D$79),"",$D$79))</f>
        <v/>
      </c>
      <c r="U79" s="2">
        <f>IF(ISERROR($E$79),"",IF(ISBLANK($E$79),"",$E$79))</f>
        <v/>
      </c>
      <c r="AA79" s="2">
        <f>ISERROR($A$79)*1+ISERROR($B$79)*1+ISERROR($C$79)*1+ISERROR($D$79)*1+ISERROR($E$79)*1</f>
        <v/>
      </c>
    </row>
    <row r="80" ht="48" customHeight="1">
      <c r="A80" s="39" t="n"/>
      <c r="B80" s="29" t="n"/>
      <c r="C80" s="37" t="n"/>
      <c r="D80" s="36" t="n"/>
      <c r="E80" s="29" t="n"/>
      <c r="F80" s="25" t="n"/>
      <c r="G80" s="25" t="n"/>
      <c r="H80" s="25" t="n"/>
      <c r="I80" s="25" t="n"/>
      <c r="J80" s="17" t="n"/>
      <c r="K80" s="27">
        <f>IF(AA80&gt;0,"O Google leu como fórmula: escolha de novo ou digite com ' na frente.",IF(AND(LEN($T$80)&gt;0,$T$80&lt;&gt;"Sim",$T$80&lt;&gt;"Não"),"Marco: escolha Sim ou Não",""))</f>
        <v/>
      </c>
      <c r="N80" s="2">
        <f>$N$79+IF(LEN($Q$80&amp;$U$80&amp;$R$80&amp;$S$80&amp;$T$80)&gt;0,1,0)</f>
        <v/>
      </c>
      <c r="O80" s="2">
        <f>IF($T$80="Sim",0,$O$79+IF($T$80="Não",1,0))</f>
        <v/>
      </c>
      <c r="Q80" s="2">
        <f>IF(ISERROR($A$80),"",IF(ISBLANK($A$80),"",$A$80))</f>
        <v/>
      </c>
      <c r="R80" s="2">
        <f>IF(ISERROR($B$80),"",IF(ISBLANK($B$80),"",$B$80))</f>
        <v/>
      </c>
      <c r="S80" s="2">
        <f>IF(ISERROR($C$80),"",IF(ISBLANK($C$80),"",$C$80))</f>
        <v/>
      </c>
      <c r="T80" s="2">
        <f>IF(ISERROR($D$80),"",IF(ISBLANK($D$80),"",$D$80))</f>
        <v/>
      </c>
      <c r="U80" s="2">
        <f>IF(ISERROR($E$80),"",IF(ISBLANK($E$80),"",$E$80))</f>
        <v/>
      </c>
      <c r="AA80" s="2">
        <f>ISERROR($A$80)*1+ISERROR($B$80)*1+ISERROR($C$80)*1+ISERROR($D$80)*1+ISERROR($E$80)*1</f>
        <v/>
      </c>
    </row>
    <row r="81" ht="48" customHeight="1">
      <c r="A81" s="38" t="n"/>
      <c r="B81" s="4" t="n"/>
      <c r="C81" s="16" t="n"/>
      <c r="D81" s="34" t="n"/>
      <c r="E81" s="4" t="n"/>
      <c r="F81" s="25" t="n"/>
      <c r="G81" s="25" t="n"/>
      <c r="H81" s="25" t="n"/>
      <c r="I81" s="25" t="n"/>
      <c r="J81" s="17" t="n"/>
      <c r="K81" s="19">
        <f>IF(AA81&gt;0,"O Google leu como fórmula: escolha de novo ou digite com ' na frente.",IF(AND(LEN($T$81)&gt;0,$T$81&lt;&gt;"Sim",$T$81&lt;&gt;"Não"),"Marco: escolha Sim ou Não",""))</f>
        <v/>
      </c>
      <c r="N81" s="2">
        <f>$N$80+IF(LEN($Q$81&amp;$U$81&amp;$R$81&amp;$S$81&amp;$T$81)&gt;0,1,0)</f>
        <v/>
      </c>
      <c r="O81" s="2">
        <f>IF($T$81="Sim",0,$O$80+IF($T$81="Não",1,0))</f>
        <v/>
      </c>
      <c r="Q81" s="2">
        <f>IF(ISERROR($A$81),"",IF(ISBLANK($A$81),"",$A$81))</f>
        <v/>
      </c>
      <c r="R81" s="2">
        <f>IF(ISERROR($B$81),"",IF(ISBLANK($B$81),"",$B$81))</f>
        <v/>
      </c>
      <c r="S81" s="2">
        <f>IF(ISERROR($C$81),"",IF(ISBLANK($C$81),"",$C$81))</f>
        <v/>
      </c>
      <c r="T81" s="2">
        <f>IF(ISERROR($D$81),"",IF(ISBLANK($D$81),"",$D$81))</f>
        <v/>
      </c>
      <c r="U81" s="2">
        <f>IF(ISERROR($E$81),"",IF(ISBLANK($E$81),"",$E$81))</f>
        <v/>
      </c>
      <c r="AA81" s="2">
        <f>ISERROR($A$81)*1+ISERROR($B$81)*1+ISERROR($C$81)*1+ISERROR($D$81)*1+ISERROR($E$81)*1</f>
        <v/>
      </c>
    </row>
    <row r="82" ht="48" customHeight="1">
      <c r="A82" s="39" t="n"/>
      <c r="B82" s="29" t="n"/>
      <c r="C82" s="37" t="n"/>
      <c r="D82" s="36" t="n"/>
      <c r="E82" s="29" t="n"/>
      <c r="F82" s="25" t="n"/>
      <c r="G82" s="25" t="n"/>
      <c r="H82" s="25" t="n"/>
      <c r="I82" s="25" t="n"/>
      <c r="J82" s="17" t="n"/>
      <c r="K82" s="27">
        <f>IF(AA82&gt;0,"O Google leu como fórmula: escolha de novo ou digite com ' na frente.",IF(AND(LEN($T$82)&gt;0,$T$82&lt;&gt;"Sim",$T$82&lt;&gt;"Não"),"Marco: escolha Sim ou Não",""))</f>
        <v/>
      </c>
      <c r="N82" s="2">
        <f>$N$81+IF(LEN($Q$82&amp;$U$82&amp;$R$82&amp;$S$82&amp;$T$82)&gt;0,1,0)</f>
        <v/>
      </c>
      <c r="O82" s="2">
        <f>IF($T$82="Sim",0,$O$81+IF($T$82="Não",1,0))</f>
        <v/>
      </c>
      <c r="Q82" s="2">
        <f>IF(ISERROR($A$82),"",IF(ISBLANK($A$82),"",$A$82))</f>
        <v/>
      </c>
      <c r="R82" s="2">
        <f>IF(ISERROR($B$82),"",IF(ISBLANK($B$82),"",$B$82))</f>
        <v/>
      </c>
      <c r="S82" s="2">
        <f>IF(ISERROR($C$82),"",IF(ISBLANK($C$82),"",$C$82))</f>
        <v/>
      </c>
      <c r="T82" s="2">
        <f>IF(ISERROR($D$82),"",IF(ISBLANK($D$82),"",$D$82))</f>
        <v/>
      </c>
      <c r="U82" s="2">
        <f>IF(ISERROR($E$82),"",IF(ISBLANK($E$82),"",$E$82))</f>
        <v/>
      </c>
      <c r="AA82" s="2">
        <f>ISERROR($A$82)*1+ISERROR($B$82)*1+ISERROR($C$82)*1+ISERROR($D$82)*1+ISERROR($E$82)*1</f>
        <v/>
      </c>
    </row>
    <row r="83" ht="48" customHeight="1">
      <c r="A83" s="38" t="n"/>
      <c r="B83" s="4" t="n"/>
      <c r="C83" s="16" t="n"/>
      <c r="D83" s="34" t="n"/>
      <c r="E83" s="4" t="n"/>
      <c r="F83" s="25" t="n"/>
      <c r="G83" s="25" t="n"/>
      <c r="H83" s="25" t="n"/>
      <c r="I83" s="25" t="n"/>
      <c r="J83" s="17" t="n"/>
      <c r="K83" s="19">
        <f>IF(AA83&gt;0,"O Google leu como fórmula: escolha de novo ou digite com ' na frente.",IF(AND(LEN($T$83)&gt;0,$T$83&lt;&gt;"Sim",$T$83&lt;&gt;"Não"),"Marco: escolha Sim ou Não",""))</f>
        <v/>
      </c>
      <c r="N83" s="2">
        <f>$N$82+IF(LEN($Q$83&amp;$U$83&amp;$R$83&amp;$S$83&amp;$T$83)&gt;0,1,0)</f>
        <v/>
      </c>
      <c r="O83" s="2">
        <f>IF($T$83="Sim",0,$O$82+IF($T$83="Não",1,0))</f>
        <v/>
      </c>
      <c r="Q83" s="2">
        <f>IF(ISERROR($A$83),"",IF(ISBLANK($A$83),"",$A$83))</f>
        <v/>
      </c>
      <c r="R83" s="2">
        <f>IF(ISERROR($B$83),"",IF(ISBLANK($B$83),"",$B$83))</f>
        <v/>
      </c>
      <c r="S83" s="2">
        <f>IF(ISERROR($C$83),"",IF(ISBLANK($C$83),"",$C$83))</f>
        <v/>
      </c>
      <c r="T83" s="2">
        <f>IF(ISERROR($D$83),"",IF(ISBLANK($D$83),"",$D$83))</f>
        <v/>
      </c>
      <c r="U83" s="2">
        <f>IF(ISERROR($E$83),"",IF(ISBLANK($E$83),"",$E$83))</f>
        <v/>
      </c>
      <c r="AA83" s="2">
        <f>ISERROR($A$83)*1+ISERROR($B$83)*1+ISERROR($C$83)*1+ISERROR($D$83)*1+ISERROR($E$83)*1</f>
        <v/>
      </c>
    </row>
    <row r="84" ht="48" customHeight="1">
      <c r="A84" s="39" t="n"/>
      <c r="B84" s="29" t="n"/>
      <c r="C84" s="37" t="n"/>
      <c r="D84" s="36" t="n"/>
      <c r="E84" s="29" t="n"/>
      <c r="F84" s="25" t="n"/>
      <c r="G84" s="25" t="n"/>
      <c r="H84" s="25" t="n"/>
      <c r="I84" s="25" t="n"/>
      <c r="J84" s="17" t="n"/>
      <c r="K84" s="27">
        <f>IF(AA84&gt;0,"O Google leu como fórmula: escolha de novo ou digite com ' na frente.",IF(AND(LEN($T$84)&gt;0,$T$84&lt;&gt;"Sim",$T$84&lt;&gt;"Não"),"Marco: escolha Sim ou Não",""))</f>
        <v/>
      </c>
      <c r="N84" s="2">
        <f>$N$83+IF(LEN($Q$84&amp;$U$84&amp;$R$84&amp;$S$84&amp;$T$84)&gt;0,1,0)</f>
        <v/>
      </c>
      <c r="O84" s="2">
        <f>IF($T$84="Sim",0,$O$83+IF($T$84="Não",1,0))</f>
        <v/>
      </c>
      <c r="Q84" s="2">
        <f>IF(ISERROR($A$84),"",IF(ISBLANK($A$84),"",$A$84))</f>
        <v/>
      </c>
      <c r="R84" s="2">
        <f>IF(ISERROR($B$84),"",IF(ISBLANK($B$84),"",$B$84))</f>
        <v/>
      </c>
      <c r="S84" s="2">
        <f>IF(ISERROR($C$84),"",IF(ISBLANK($C$84),"",$C$84))</f>
        <v/>
      </c>
      <c r="T84" s="2">
        <f>IF(ISERROR($D$84),"",IF(ISBLANK($D$84),"",$D$84))</f>
        <v/>
      </c>
      <c r="U84" s="2">
        <f>IF(ISERROR($E$84),"",IF(ISBLANK($E$84),"",$E$84))</f>
        <v/>
      </c>
      <c r="AA84" s="2">
        <f>ISERROR($A$84)*1+ISERROR($B$84)*1+ISERROR($C$84)*1+ISERROR($D$84)*1+ISERROR($E$84)*1</f>
        <v/>
      </c>
    </row>
    <row r="85" ht="26" customHeight="1">
      <c r="A85" s="8" t="inlineStr">
        <is>
          <t>Sessão nº (preencha)</t>
        </is>
      </c>
      <c r="B85" s="8" t="inlineStr">
        <is>
          <t>Data real</t>
        </is>
      </c>
      <c r="C85" s="8" t="inlineStr">
        <is>
          <t>Dia de campanha</t>
        </is>
      </c>
      <c r="D85" s="8" t="inlineStr">
        <is>
          <t>Marco atingido?</t>
        </is>
      </c>
      <c r="E85" s="8" t="inlineStr">
        <is>
          <t>Resumo (até 300 caracteres)</t>
        </is>
      </c>
      <c r="F85" s="20" t="n"/>
      <c r="G85" s="20" t="n"/>
      <c r="H85" s="20" t="n"/>
      <c r="I85" s="20" t="n"/>
      <c r="J85" s="20" t="n"/>
      <c r="K85" s="8" t="inlineStr">
        <is>
          <t>Aviso</t>
        </is>
      </c>
      <c r="L85" s="20" t="n"/>
    </row>
    <row r="86" ht="48" customHeight="1">
      <c r="A86" s="38" t="n"/>
      <c r="B86" s="4" t="n"/>
      <c r="C86" s="16" t="n"/>
      <c r="D86" s="34" t="n"/>
      <c r="E86" s="4" t="n"/>
      <c r="F86" s="25" t="n"/>
      <c r="G86" s="25" t="n"/>
      <c r="H86" s="25" t="n"/>
      <c r="I86" s="25" t="n"/>
      <c r="J86" s="17" t="n"/>
      <c r="K86" s="19">
        <f>IF(AA86&gt;0,"O Google leu como fórmula: escolha de novo ou digite com ' na frente.",IF(AND(LEN($T$86)&gt;0,$T$86&lt;&gt;"Sim",$T$86&lt;&gt;"Não"),"Marco: escolha Sim ou Não",""))</f>
        <v/>
      </c>
      <c r="N86" s="2">
        <f>$N$84+IF(LEN($Q$86&amp;$U$86&amp;$R$86&amp;$S$86&amp;$T$86)&gt;0,1,0)</f>
        <v/>
      </c>
      <c r="O86" s="2">
        <f>IF($T$86="Sim",0,$O$84+IF($T$86="Não",1,0))</f>
        <v/>
      </c>
      <c r="Q86" s="2">
        <f>IF(ISERROR($A$86),"",IF(ISBLANK($A$86),"",$A$86))</f>
        <v/>
      </c>
      <c r="R86" s="2">
        <f>IF(ISERROR($B$86),"",IF(ISBLANK($B$86),"",$B$86))</f>
        <v/>
      </c>
      <c r="S86" s="2">
        <f>IF(ISERROR($C$86),"",IF(ISBLANK($C$86),"",$C$86))</f>
        <v/>
      </c>
      <c r="T86" s="2">
        <f>IF(ISERROR($D$86),"",IF(ISBLANK($D$86),"",$D$86))</f>
        <v/>
      </c>
      <c r="U86" s="2">
        <f>IF(ISERROR($E$86),"",IF(ISBLANK($E$86),"",$E$86))</f>
        <v/>
      </c>
      <c r="AA86" s="2">
        <f>ISERROR($A$86)*1+ISERROR($B$86)*1+ISERROR($C$86)*1+ISERROR($D$86)*1+ISERROR($E$86)*1</f>
        <v/>
      </c>
    </row>
    <row r="87" ht="48" customHeight="1">
      <c r="A87" s="39" t="n"/>
      <c r="B87" s="29" t="n"/>
      <c r="C87" s="37" t="n"/>
      <c r="D87" s="36" t="n"/>
      <c r="E87" s="29" t="n"/>
      <c r="F87" s="25" t="n"/>
      <c r="G87" s="25" t="n"/>
      <c r="H87" s="25" t="n"/>
      <c r="I87" s="25" t="n"/>
      <c r="J87" s="17" t="n"/>
      <c r="K87" s="27">
        <f>IF(AA87&gt;0,"O Google leu como fórmula: escolha de novo ou digite com ' na frente.",IF(AND(LEN($T$87)&gt;0,$T$87&lt;&gt;"Sim",$T$87&lt;&gt;"Não"),"Marco: escolha Sim ou Não",""))</f>
        <v/>
      </c>
      <c r="N87" s="2">
        <f>$N$86+IF(LEN($Q$87&amp;$U$87&amp;$R$87&amp;$S$87&amp;$T$87)&gt;0,1,0)</f>
        <v/>
      </c>
      <c r="O87" s="2">
        <f>IF($T$87="Sim",0,$O$86+IF($T$87="Não",1,0))</f>
        <v/>
      </c>
      <c r="Q87" s="2">
        <f>IF(ISERROR($A$87),"",IF(ISBLANK($A$87),"",$A$87))</f>
        <v/>
      </c>
      <c r="R87" s="2">
        <f>IF(ISERROR($B$87),"",IF(ISBLANK($B$87),"",$B$87))</f>
        <v/>
      </c>
      <c r="S87" s="2">
        <f>IF(ISERROR($C$87),"",IF(ISBLANK($C$87),"",$C$87))</f>
        <v/>
      </c>
      <c r="T87" s="2">
        <f>IF(ISERROR($D$87),"",IF(ISBLANK($D$87),"",$D$87))</f>
        <v/>
      </c>
      <c r="U87" s="2">
        <f>IF(ISERROR($E$87),"",IF(ISBLANK($E$87),"",$E$87))</f>
        <v/>
      </c>
      <c r="AA87" s="2">
        <f>ISERROR($A$87)*1+ISERROR($B$87)*1+ISERROR($C$87)*1+ISERROR($D$87)*1+ISERROR($E$87)*1</f>
        <v/>
      </c>
    </row>
    <row r="88" ht="48" customHeight="1">
      <c r="A88" s="38" t="n"/>
      <c r="B88" s="4" t="n"/>
      <c r="C88" s="16" t="n"/>
      <c r="D88" s="34" t="n"/>
      <c r="E88" s="4" t="n"/>
      <c r="F88" s="25" t="n"/>
      <c r="G88" s="25" t="n"/>
      <c r="H88" s="25" t="n"/>
      <c r="I88" s="25" t="n"/>
      <c r="J88" s="17" t="n"/>
      <c r="K88" s="19">
        <f>IF(AA88&gt;0,"O Google leu como fórmula: escolha de novo ou digite com ' na frente.",IF(AND(LEN($T$88)&gt;0,$T$88&lt;&gt;"Sim",$T$88&lt;&gt;"Não"),"Marco: escolha Sim ou Não",""))</f>
        <v/>
      </c>
      <c r="N88" s="2">
        <f>$N$87+IF(LEN($Q$88&amp;$U$88&amp;$R$88&amp;$S$88&amp;$T$88)&gt;0,1,0)</f>
        <v/>
      </c>
      <c r="O88" s="2">
        <f>IF($T$88="Sim",0,$O$87+IF($T$88="Não",1,0))</f>
        <v/>
      </c>
      <c r="Q88" s="2">
        <f>IF(ISERROR($A$88),"",IF(ISBLANK($A$88),"",$A$88))</f>
        <v/>
      </c>
      <c r="R88" s="2">
        <f>IF(ISERROR($B$88),"",IF(ISBLANK($B$88),"",$B$88))</f>
        <v/>
      </c>
      <c r="S88" s="2">
        <f>IF(ISERROR($C$88),"",IF(ISBLANK($C$88),"",$C$88))</f>
        <v/>
      </c>
      <c r="T88" s="2">
        <f>IF(ISERROR($D$88),"",IF(ISBLANK($D$88),"",$D$88))</f>
        <v/>
      </c>
      <c r="U88" s="2">
        <f>IF(ISERROR($E$88),"",IF(ISBLANK($E$88),"",$E$88))</f>
        <v/>
      </c>
      <c r="AA88" s="2">
        <f>ISERROR($A$88)*1+ISERROR($B$88)*1+ISERROR($C$88)*1+ISERROR($D$88)*1+ISERROR($E$88)*1</f>
        <v/>
      </c>
    </row>
    <row r="89" ht="48" customHeight="1">
      <c r="A89" s="39" t="n"/>
      <c r="B89" s="29" t="n"/>
      <c r="C89" s="37" t="n"/>
      <c r="D89" s="36" t="n"/>
      <c r="E89" s="29" t="n"/>
      <c r="F89" s="25" t="n"/>
      <c r="G89" s="25" t="n"/>
      <c r="H89" s="25" t="n"/>
      <c r="I89" s="25" t="n"/>
      <c r="J89" s="17" t="n"/>
      <c r="K89" s="27">
        <f>IF(AA89&gt;0,"O Google leu como fórmula: escolha de novo ou digite com ' na frente.",IF(AND(LEN($T$89)&gt;0,$T$89&lt;&gt;"Sim",$T$89&lt;&gt;"Não"),"Marco: escolha Sim ou Não",""))</f>
        <v/>
      </c>
      <c r="N89" s="2">
        <f>$N$88+IF(LEN($Q$89&amp;$U$89&amp;$R$89&amp;$S$89&amp;$T$89)&gt;0,1,0)</f>
        <v/>
      </c>
      <c r="O89" s="2">
        <f>IF($T$89="Sim",0,$O$88+IF($T$89="Não",1,0))</f>
        <v/>
      </c>
      <c r="Q89" s="2">
        <f>IF(ISERROR($A$89),"",IF(ISBLANK($A$89),"",$A$89))</f>
        <v/>
      </c>
      <c r="R89" s="2">
        <f>IF(ISERROR($B$89),"",IF(ISBLANK($B$89),"",$B$89))</f>
        <v/>
      </c>
      <c r="S89" s="2">
        <f>IF(ISERROR($C$89),"",IF(ISBLANK($C$89),"",$C$89))</f>
        <v/>
      </c>
      <c r="T89" s="2">
        <f>IF(ISERROR($D$89),"",IF(ISBLANK($D$89),"",$D$89))</f>
        <v/>
      </c>
      <c r="U89" s="2">
        <f>IF(ISERROR($E$89),"",IF(ISBLANK($E$89),"",$E$89))</f>
        <v/>
      </c>
      <c r="AA89" s="2">
        <f>ISERROR($A$89)*1+ISERROR($B$89)*1+ISERROR($C$89)*1+ISERROR($D$89)*1+ISERROR($E$89)*1</f>
        <v/>
      </c>
    </row>
    <row r="90" ht="48" customHeight="1">
      <c r="A90" s="38" t="n"/>
      <c r="B90" s="4" t="n"/>
      <c r="C90" s="16" t="n"/>
      <c r="D90" s="34" t="n"/>
      <c r="E90" s="4" t="n"/>
      <c r="F90" s="25" t="n"/>
      <c r="G90" s="25" t="n"/>
      <c r="H90" s="25" t="n"/>
      <c r="I90" s="25" t="n"/>
      <c r="J90" s="17" t="n"/>
      <c r="K90" s="19">
        <f>IF(AA90&gt;0,"O Google leu como fórmula: escolha de novo ou digite com ' na frente.",IF(AND(LEN($T$90)&gt;0,$T$90&lt;&gt;"Sim",$T$90&lt;&gt;"Não"),"Marco: escolha Sim ou Não",""))</f>
        <v/>
      </c>
      <c r="N90" s="2">
        <f>$N$89+IF(LEN($Q$90&amp;$U$90&amp;$R$90&amp;$S$90&amp;$T$90)&gt;0,1,0)</f>
        <v/>
      </c>
      <c r="O90" s="2">
        <f>IF($T$90="Sim",0,$O$89+IF($T$90="Não",1,0))</f>
        <v/>
      </c>
      <c r="Q90" s="2">
        <f>IF(ISERROR($A$90),"",IF(ISBLANK($A$90),"",$A$90))</f>
        <v/>
      </c>
      <c r="R90" s="2">
        <f>IF(ISERROR($B$90),"",IF(ISBLANK($B$90),"",$B$90))</f>
        <v/>
      </c>
      <c r="S90" s="2">
        <f>IF(ISERROR($C$90),"",IF(ISBLANK($C$90),"",$C$90))</f>
        <v/>
      </c>
      <c r="T90" s="2">
        <f>IF(ISERROR($D$90),"",IF(ISBLANK($D$90),"",$D$90))</f>
        <v/>
      </c>
      <c r="U90" s="2">
        <f>IF(ISERROR($E$90),"",IF(ISBLANK($E$90),"",$E$90))</f>
        <v/>
      </c>
      <c r="AA90" s="2">
        <f>ISERROR($A$90)*1+ISERROR($B$90)*1+ISERROR($C$90)*1+ISERROR($D$90)*1+ISERROR($E$90)*1</f>
        <v/>
      </c>
    </row>
    <row r="91" ht="48" customHeight="1">
      <c r="A91" s="39" t="n"/>
      <c r="B91" s="29" t="n"/>
      <c r="C91" s="37" t="n"/>
      <c r="D91" s="36" t="n"/>
      <c r="E91" s="29" t="n"/>
      <c r="F91" s="25" t="n"/>
      <c r="G91" s="25" t="n"/>
      <c r="H91" s="25" t="n"/>
      <c r="I91" s="25" t="n"/>
      <c r="J91" s="17" t="n"/>
      <c r="K91" s="27">
        <f>IF(AA91&gt;0,"O Google leu como fórmula: escolha de novo ou digite com ' na frente.",IF(AND(LEN($T$91)&gt;0,$T$91&lt;&gt;"Sim",$T$91&lt;&gt;"Não"),"Marco: escolha Sim ou Não",""))</f>
        <v/>
      </c>
      <c r="N91" s="2">
        <f>$N$90+IF(LEN($Q$91&amp;$U$91&amp;$R$91&amp;$S$91&amp;$T$91)&gt;0,1,0)</f>
        <v/>
      </c>
      <c r="O91" s="2">
        <f>IF($T$91="Sim",0,$O$90+IF($T$91="Não",1,0))</f>
        <v/>
      </c>
      <c r="Q91" s="2">
        <f>IF(ISERROR($A$91),"",IF(ISBLANK($A$91),"",$A$91))</f>
        <v/>
      </c>
      <c r="R91" s="2">
        <f>IF(ISERROR($B$91),"",IF(ISBLANK($B$91),"",$B$91))</f>
        <v/>
      </c>
      <c r="S91" s="2">
        <f>IF(ISERROR($C$91),"",IF(ISBLANK($C$91),"",$C$91))</f>
        <v/>
      </c>
      <c r="T91" s="2">
        <f>IF(ISERROR($D$91),"",IF(ISBLANK($D$91),"",$D$91))</f>
        <v/>
      </c>
      <c r="U91" s="2">
        <f>IF(ISERROR($E$91),"",IF(ISBLANK($E$91),"",$E$91))</f>
        <v/>
      </c>
      <c r="AA91" s="2">
        <f>ISERROR($A$91)*1+ISERROR($B$91)*1+ISERROR($C$91)*1+ISERROR($D$91)*1+ISERROR($E$91)*1</f>
        <v/>
      </c>
    </row>
    <row r="92" ht="48" customHeight="1">
      <c r="A92" s="38" t="n"/>
      <c r="B92" s="4" t="n"/>
      <c r="C92" s="16" t="n"/>
      <c r="D92" s="34" t="n"/>
      <c r="E92" s="4" t="n"/>
      <c r="F92" s="25" t="n"/>
      <c r="G92" s="25" t="n"/>
      <c r="H92" s="25" t="n"/>
      <c r="I92" s="25" t="n"/>
      <c r="J92" s="17" t="n"/>
      <c r="K92" s="19">
        <f>IF(AA92&gt;0,"O Google leu como fórmula: escolha de novo ou digite com ' na frente.",IF(AND(LEN($T$92)&gt;0,$T$92&lt;&gt;"Sim",$T$92&lt;&gt;"Não"),"Marco: escolha Sim ou Não",""))</f>
        <v/>
      </c>
      <c r="N92" s="2">
        <f>$N$91+IF(LEN($Q$92&amp;$U$92&amp;$R$92&amp;$S$92&amp;$T$92)&gt;0,1,0)</f>
        <v/>
      </c>
      <c r="O92" s="2">
        <f>IF($T$92="Sim",0,$O$91+IF($T$92="Não",1,0))</f>
        <v/>
      </c>
      <c r="Q92" s="2">
        <f>IF(ISERROR($A$92),"",IF(ISBLANK($A$92),"",$A$92))</f>
        <v/>
      </c>
      <c r="R92" s="2">
        <f>IF(ISERROR($B$92),"",IF(ISBLANK($B$92),"",$B$92))</f>
        <v/>
      </c>
      <c r="S92" s="2">
        <f>IF(ISERROR($C$92),"",IF(ISBLANK($C$92),"",$C$92))</f>
        <v/>
      </c>
      <c r="T92" s="2">
        <f>IF(ISERROR($D$92),"",IF(ISBLANK($D$92),"",$D$92))</f>
        <v/>
      </c>
      <c r="U92" s="2">
        <f>IF(ISERROR($E$92),"",IF(ISBLANK($E$92),"",$E$92))</f>
        <v/>
      </c>
      <c r="AA92" s="2">
        <f>ISERROR($A$92)*1+ISERROR($B$92)*1+ISERROR($C$92)*1+ISERROR($D$92)*1+ISERROR($E$92)*1</f>
        <v/>
      </c>
    </row>
    <row r="93" ht="48" customHeight="1">
      <c r="A93" s="39" t="n"/>
      <c r="B93" s="29" t="n"/>
      <c r="C93" s="37" t="n"/>
      <c r="D93" s="36" t="n"/>
      <c r="E93" s="29" t="n"/>
      <c r="F93" s="25" t="n"/>
      <c r="G93" s="25" t="n"/>
      <c r="H93" s="25" t="n"/>
      <c r="I93" s="25" t="n"/>
      <c r="J93" s="17" t="n"/>
      <c r="K93" s="27">
        <f>IF(AA93&gt;0,"O Google leu como fórmula: escolha de novo ou digite com ' na frente.",IF(AND(LEN($T$93)&gt;0,$T$93&lt;&gt;"Sim",$T$93&lt;&gt;"Não"),"Marco: escolha Sim ou Não",""))</f>
        <v/>
      </c>
      <c r="N93" s="2">
        <f>$N$92+IF(LEN($Q$93&amp;$U$93&amp;$R$93&amp;$S$93&amp;$T$93)&gt;0,1,0)</f>
        <v/>
      </c>
      <c r="O93" s="2">
        <f>IF($T$93="Sim",0,$O$92+IF($T$93="Não",1,0))</f>
        <v/>
      </c>
      <c r="Q93" s="2">
        <f>IF(ISERROR($A$93),"",IF(ISBLANK($A$93),"",$A$93))</f>
        <v/>
      </c>
      <c r="R93" s="2">
        <f>IF(ISERROR($B$93),"",IF(ISBLANK($B$93),"",$B$93))</f>
        <v/>
      </c>
      <c r="S93" s="2">
        <f>IF(ISERROR($C$93),"",IF(ISBLANK($C$93),"",$C$93))</f>
        <v/>
      </c>
      <c r="T93" s="2">
        <f>IF(ISERROR($D$93),"",IF(ISBLANK($D$93),"",$D$93))</f>
        <v/>
      </c>
      <c r="U93" s="2">
        <f>IF(ISERROR($E$93),"",IF(ISBLANK($E$93),"",$E$93))</f>
        <v/>
      </c>
      <c r="AA93" s="2">
        <f>ISERROR($A$93)*1+ISERROR($B$93)*1+ISERROR($C$93)*1+ISERROR($D$93)*1+ISERROR($E$93)*1</f>
        <v/>
      </c>
    </row>
    <row r="94" ht="48" customHeight="1">
      <c r="A94" s="38" t="n"/>
      <c r="B94" s="4" t="n"/>
      <c r="C94" s="16" t="n"/>
      <c r="D94" s="34" t="n"/>
      <c r="E94" s="4" t="n"/>
      <c r="F94" s="25" t="n"/>
      <c r="G94" s="25" t="n"/>
      <c r="H94" s="25" t="n"/>
      <c r="I94" s="25" t="n"/>
      <c r="J94" s="17" t="n"/>
      <c r="K94" s="19">
        <f>IF(AA94&gt;0,"O Google leu como fórmula: escolha de novo ou digite com ' na frente.",IF(AND(LEN($T$94)&gt;0,$T$94&lt;&gt;"Sim",$T$94&lt;&gt;"Não"),"Marco: escolha Sim ou Não",""))</f>
        <v/>
      </c>
      <c r="N94" s="2">
        <f>$N$93+IF(LEN($Q$94&amp;$U$94&amp;$R$94&amp;$S$94&amp;$T$94)&gt;0,1,0)</f>
        <v/>
      </c>
      <c r="O94" s="2">
        <f>IF($T$94="Sim",0,$O$93+IF($T$94="Não",1,0))</f>
        <v/>
      </c>
      <c r="Q94" s="2">
        <f>IF(ISERROR($A$94),"",IF(ISBLANK($A$94),"",$A$94))</f>
        <v/>
      </c>
      <c r="R94" s="2">
        <f>IF(ISERROR($B$94),"",IF(ISBLANK($B$94),"",$B$94))</f>
        <v/>
      </c>
      <c r="S94" s="2">
        <f>IF(ISERROR($C$94),"",IF(ISBLANK($C$94),"",$C$94))</f>
        <v/>
      </c>
      <c r="T94" s="2">
        <f>IF(ISERROR($D$94),"",IF(ISBLANK($D$94),"",$D$94))</f>
        <v/>
      </c>
      <c r="U94" s="2">
        <f>IF(ISERROR($E$94),"",IF(ISBLANK($E$94),"",$E$94))</f>
        <v/>
      </c>
      <c r="AA94" s="2">
        <f>ISERROR($A$94)*1+ISERROR($B$94)*1+ISERROR($C$94)*1+ISERROR($D$94)*1+ISERROR($E$94)*1</f>
        <v/>
      </c>
    </row>
    <row r="95" ht="48" customHeight="1">
      <c r="A95" s="39" t="n"/>
      <c r="B95" s="29" t="n"/>
      <c r="C95" s="37" t="n"/>
      <c r="D95" s="36" t="n"/>
      <c r="E95" s="29" t="n"/>
      <c r="F95" s="25" t="n"/>
      <c r="G95" s="25" t="n"/>
      <c r="H95" s="25" t="n"/>
      <c r="I95" s="25" t="n"/>
      <c r="J95" s="17" t="n"/>
      <c r="K95" s="27">
        <f>IF(AA95&gt;0,"O Google leu como fórmula: escolha de novo ou digite com ' na frente.",IF(AND(LEN($T$95)&gt;0,$T$95&lt;&gt;"Sim",$T$95&lt;&gt;"Não"),"Marco: escolha Sim ou Não",""))</f>
        <v/>
      </c>
      <c r="N95" s="2">
        <f>$N$94+IF(LEN($Q$95&amp;$U$95&amp;$R$95&amp;$S$95&amp;$T$95)&gt;0,1,0)</f>
        <v/>
      </c>
      <c r="O95" s="2">
        <f>IF($T$95="Sim",0,$O$94+IF($T$95="Não",1,0))</f>
        <v/>
      </c>
      <c r="Q95" s="2">
        <f>IF(ISERROR($A$95),"",IF(ISBLANK($A$95),"",$A$95))</f>
        <v/>
      </c>
      <c r="R95" s="2">
        <f>IF(ISERROR($B$95),"",IF(ISBLANK($B$95),"",$B$95))</f>
        <v/>
      </c>
      <c r="S95" s="2">
        <f>IF(ISERROR($C$95),"",IF(ISBLANK($C$95),"",$C$95))</f>
        <v/>
      </c>
      <c r="T95" s="2">
        <f>IF(ISERROR($D$95),"",IF(ISBLANK($D$95),"",$D$95))</f>
        <v/>
      </c>
      <c r="U95" s="2">
        <f>IF(ISERROR($E$95),"",IF(ISBLANK($E$95),"",$E$95))</f>
        <v/>
      </c>
      <c r="AA95" s="2">
        <f>ISERROR($A$95)*1+ISERROR($B$95)*1+ISERROR($C$95)*1+ISERROR($D$95)*1+ISERROR($E$95)*1</f>
        <v/>
      </c>
    </row>
    <row r="96" ht="20" customHeight="1">
      <c r="A96" s="13" t="inlineStr">
        <is>
          <t>D2 · O que ficou</t>
        </is>
      </c>
    </row>
    <row r="97">
      <c r="A97" s="8" t="inlineStr">
        <is>
          <t>Sessão</t>
        </is>
      </c>
      <c r="B97" s="8" t="inlineStr">
        <is>
          <t>Decisões importantes</t>
        </is>
      </c>
      <c r="C97" s="20" t="n"/>
      <c r="D97" s="20" t="n"/>
      <c r="E97" s="8" t="inlineStr">
        <is>
          <t>Ganchos abertos</t>
        </is>
      </c>
      <c r="F97" s="20" t="n"/>
      <c r="G97" s="20" t="n"/>
      <c r="H97" s="8" t="inlineStr">
        <is>
          <t>NPCs que apareceram</t>
        </is>
      </c>
      <c r="I97" s="20" t="n"/>
      <c r="J97" s="20" t="n"/>
      <c r="K97" s="8" t="inlineStr">
        <is>
          <t>Aviso</t>
        </is>
      </c>
      <c r="L97" s="20" t="n"/>
    </row>
    <row r="98" ht="60" customHeight="1">
      <c r="A98" s="31">
        <f>IF(ISNUMBER($Q$64),"Sessão "&amp;$Q$64,"Linha 1")</f>
        <v/>
      </c>
      <c r="B98" s="4" t="n"/>
      <c r="C98" s="25" t="n"/>
      <c r="D98" s="17" t="n"/>
      <c r="E98" s="4" t="n"/>
      <c r="F98" s="25" t="n"/>
      <c r="G98" s="17" t="n"/>
      <c r="H98" s="4" t="n"/>
      <c r="I98" s="25" t="n"/>
      <c r="J98" s="17" t="n"/>
      <c r="K98" s="19">
        <f>IF(AA98&gt;0,"O Google leu como fórmula: digite de novo com ' na frente.","")</f>
        <v/>
      </c>
      <c r="AA98" s="2">
        <f>ISERROR($B$98)*1+ISERROR($E$98)*1+ISERROR($H$98)*1</f>
        <v/>
      </c>
    </row>
    <row r="99" ht="60" customHeight="1">
      <c r="A99" s="43">
        <f>IF(ISNUMBER($Q$65),"Sessão "&amp;$Q$65,"Linha 2")</f>
        <v/>
      </c>
      <c r="B99" s="29" t="n"/>
      <c r="C99" s="25" t="n"/>
      <c r="D99" s="17" t="n"/>
      <c r="E99" s="29" t="n"/>
      <c r="F99" s="25" t="n"/>
      <c r="G99" s="17" t="n"/>
      <c r="H99" s="29" t="n"/>
      <c r="I99" s="25" t="n"/>
      <c r="J99" s="17" t="n"/>
      <c r="K99" s="27">
        <f>IF(AA99&gt;0,"O Google leu como fórmula: digite de novo com ' na frente.","")</f>
        <v/>
      </c>
      <c r="AA99" s="2">
        <f>ISERROR($B$99)*1+ISERROR($E$99)*1+ISERROR($H$99)*1</f>
        <v/>
      </c>
    </row>
    <row r="100" ht="60" customHeight="1">
      <c r="A100" s="31">
        <f>IF(ISNUMBER($Q$66),"Sessão "&amp;$Q$66,"Linha 3")</f>
        <v/>
      </c>
      <c r="B100" s="4" t="n"/>
      <c r="C100" s="25" t="n"/>
      <c r="D100" s="17" t="n"/>
      <c r="E100" s="4" t="n"/>
      <c r="F100" s="25" t="n"/>
      <c r="G100" s="17" t="n"/>
      <c r="H100" s="4" t="n"/>
      <c r="I100" s="25" t="n"/>
      <c r="J100" s="17" t="n"/>
      <c r="K100" s="19">
        <f>IF(AA100&gt;0,"O Google leu como fórmula: digite de novo com ' na frente.","")</f>
        <v/>
      </c>
      <c r="AA100" s="2">
        <f>ISERROR($B$100)*1+ISERROR($E$100)*1+ISERROR($H$100)*1</f>
        <v/>
      </c>
    </row>
    <row r="101" ht="60" customHeight="1">
      <c r="A101" s="43">
        <f>IF(ISNUMBER($Q$67),"Sessão "&amp;$Q$67,"Linha 4")</f>
        <v/>
      </c>
      <c r="B101" s="29" t="n"/>
      <c r="C101" s="25" t="n"/>
      <c r="D101" s="17" t="n"/>
      <c r="E101" s="29" t="n"/>
      <c r="F101" s="25" t="n"/>
      <c r="G101" s="17" t="n"/>
      <c r="H101" s="29" t="n"/>
      <c r="I101" s="25" t="n"/>
      <c r="J101" s="17" t="n"/>
      <c r="K101" s="27">
        <f>IF(AA101&gt;0,"O Google leu como fórmula: digite de novo com ' na frente.","")</f>
        <v/>
      </c>
      <c r="AA101" s="2">
        <f>ISERROR($B$101)*1+ISERROR($E$101)*1+ISERROR($H$101)*1</f>
        <v/>
      </c>
    </row>
    <row r="102" ht="60" customHeight="1">
      <c r="A102" s="31">
        <f>IF(ISNUMBER($Q$68),"Sessão "&amp;$Q$68,"Linha 5")</f>
        <v/>
      </c>
      <c r="B102" s="4" t="n"/>
      <c r="C102" s="25" t="n"/>
      <c r="D102" s="17" t="n"/>
      <c r="E102" s="4" t="n"/>
      <c r="F102" s="25" t="n"/>
      <c r="G102" s="17" t="n"/>
      <c r="H102" s="4" t="n"/>
      <c r="I102" s="25" t="n"/>
      <c r="J102" s="17" t="n"/>
      <c r="K102" s="19">
        <f>IF(AA102&gt;0,"O Google leu como fórmula: digite de novo com ' na frente.","")</f>
        <v/>
      </c>
      <c r="AA102" s="2">
        <f>ISERROR($B$102)*1+ISERROR($E$102)*1+ISERROR($H$102)*1</f>
        <v/>
      </c>
    </row>
    <row r="103" ht="60" customHeight="1">
      <c r="A103" s="43">
        <f>IF(ISNUMBER($Q$69),"Sessão "&amp;$Q$69,"Linha 6")</f>
        <v/>
      </c>
      <c r="B103" s="29" t="n"/>
      <c r="C103" s="25" t="n"/>
      <c r="D103" s="17" t="n"/>
      <c r="E103" s="29" t="n"/>
      <c r="F103" s="25" t="n"/>
      <c r="G103" s="17" t="n"/>
      <c r="H103" s="29" t="n"/>
      <c r="I103" s="25" t="n"/>
      <c r="J103" s="17" t="n"/>
      <c r="K103" s="27">
        <f>IF(AA103&gt;0,"O Google leu como fórmula: digite de novo com ' na frente.","")</f>
        <v/>
      </c>
      <c r="AA103" s="2">
        <f>ISERROR($B$103)*1+ISERROR($E$103)*1+ISERROR($H$103)*1</f>
        <v/>
      </c>
    </row>
    <row r="104" ht="60" customHeight="1">
      <c r="A104" s="31">
        <f>IF(ISNUMBER($Q$70),"Sessão "&amp;$Q$70,"Linha 7")</f>
        <v/>
      </c>
      <c r="B104" s="4" t="n"/>
      <c r="C104" s="25" t="n"/>
      <c r="D104" s="17" t="n"/>
      <c r="E104" s="4" t="n"/>
      <c r="F104" s="25" t="n"/>
      <c r="G104" s="17" t="n"/>
      <c r="H104" s="4" t="n"/>
      <c r="I104" s="25" t="n"/>
      <c r="J104" s="17" t="n"/>
      <c r="K104" s="19">
        <f>IF(AA104&gt;0,"O Google leu como fórmula: digite de novo com ' na frente.","")</f>
        <v/>
      </c>
      <c r="AA104" s="2">
        <f>ISERROR($B$104)*1+ISERROR($E$104)*1+ISERROR($H$104)*1</f>
        <v/>
      </c>
    </row>
    <row r="105" ht="60" customHeight="1">
      <c r="A105" s="43">
        <f>IF(ISNUMBER($Q$71),"Sessão "&amp;$Q$71,"Linha 8")</f>
        <v/>
      </c>
      <c r="B105" s="29" t="n"/>
      <c r="C105" s="25" t="n"/>
      <c r="D105" s="17" t="n"/>
      <c r="E105" s="29" t="n"/>
      <c r="F105" s="25" t="n"/>
      <c r="G105" s="17" t="n"/>
      <c r="H105" s="29" t="n"/>
      <c r="I105" s="25" t="n"/>
      <c r="J105" s="17" t="n"/>
      <c r="K105" s="27">
        <f>IF(AA105&gt;0,"O Google leu como fórmula: digite de novo com ' na frente.","")</f>
        <v/>
      </c>
      <c r="AA105" s="2">
        <f>ISERROR($B$105)*1+ISERROR($E$105)*1+ISERROR($H$105)*1</f>
        <v/>
      </c>
    </row>
    <row r="106" ht="60" customHeight="1">
      <c r="A106" s="31">
        <f>IF(ISNUMBER($Q$72),"Sessão "&amp;$Q$72,"Linha 9")</f>
        <v/>
      </c>
      <c r="B106" s="4" t="n"/>
      <c r="C106" s="25" t="n"/>
      <c r="D106" s="17" t="n"/>
      <c r="E106" s="4" t="n"/>
      <c r="F106" s="25" t="n"/>
      <c r="G106" s="17" t="n"/>
      <c r="H106" s="4" t="n"/>
      <c r="I106" s="25" t="n"/>
      <c r="J106" s="17" t="n"/>
      <c r="K106" s="19">
        <f>IF(AA106&gt;0,"O Google leu como fórmula: digite de novo com ' na frente.","")</f>
        <v/>
      </c>
      <c r="AA106" s="2">
        <f>ISERROR($B$106)*1+ISERROR($E$106)*1+ISERROR($H$106)*1</f>
        <v/>
      </c>
    </row>
    <row r="107" ht="60" customHeight="1">
      <c r="A107" s="43">
        <f>IF(ISNUMBER($Q$73),"Sessão "&amp;$Q$73,"Linha 10")</f>
        <v/>
      </c>
      <c r="B107" s="29" t="n"/>
      <c r="C107" s="25" t="n"/>
      <c r="D107" s="17" t="n"/>
      <c r="E107" s="29" t="n"/>
      <c r="F107" s="25" t="n"/>
      <c r="G107" s="17" t="n"/>
      <c r="H107" s="29" t="n"/>
      <c r="I107" s="25" t="n"/>
      <c r="J107" s="17" t="n"/>
      <c r="K107" s="27">
        <f>IF(AA107&gt;0,"O Google leu como fórmula: digite de novo com ' na frente.","")</f>
        <v/>
      </c>
      <c r="AA107" s="2">
        <f>ISERROR($B$107)*1+ISERROR($E$107)*1+ISERROR($H$107)*1</f>
        <v/>
      </c>
    </row>
    <row r="108">
      <c r="A108" s="8" t="inlineStr">
        <is>
          <t>Sessão</t>
        </is>
      </c>
      <c r="B108" s="8" t="inlineStr">
        <is>
          <t>Decisões importantes</t>
        </is>
      </c>
      <c r="C108" s="20" t="n"/>
      <c r="D108" s="20" t="n"/>
      <c r="E108" s="8" t="inlineStr">
        <is>
          <t>Ganchos abertos</t>
        </is>
      </c>
      <c r="F108" s="20" t="n"/>
      <c r="G108" s="20" t="n"/>
      <c r="H108" s="8" t="inlineStr">
        <is>
          <t>NPCs que apareceram</t>
        </is>
      </c>
      <c r="I108" s="20" t="n"/>
      <c r="J108" s="20" t="n"/>
      <c r="K108" s="8" t="inlineStr">
        <is>
          <t>Aviso</t>
        </is>
      </c>
      <c r="L108" s="20" t="n"/>
    </row>
    <row r="109" ht="60" customHeight="1">
      <c r="A109" s="31">
        <f>IF(ISNUMBER($Q$75),"Sessão "&amp;$Q$75,"Linha 11")</f>
        <v/>
      </c>
      <c r="B109" s="4" t="n"/>
      <c r="C109" s="25" t="n"/>
      <c r="D109" s="17" t="n"/>
      <c r="E109" s="4" t="n"/>
      <c r="F109" s="25" t="n"/>
      <c r="G109" s="17" t="n"/>
      <c r="H109" s="4" t="n"/>
      <c r="I109" s="25" t="n"/>
      <c r="J109" s="17" t="n"/>
      <c r="K109" s="19">
        <f>IF(AA109&gt;0,"O Google leu como fórmula: digite de novo com ' na frente.","")</f>
        <v/>
      </c>
      <c r="AA109" s="2">
        <f>ISERROR($B$109)*1+ISERROR($E$109)*1+ISERROR($H$109)*1</f>
        <v/>
      </c>
    </row>
    <row r="110" ht="60" customHeight="1">
      <c r="A110" s="43">
        <f>IF(ISNUMBER($Q$76),"Sessão "&amp;$Q$76,"Linha 12")</f>
        <v/>
      </c>
      <c r="B110" s="29" t="n"/>
      <c r="C110" s="25" t="n"/>
      <c r="D110" s="17" t="n"/>
      <c r="E110" s="29" t="n"/>
      <c r="F110" s="25" t="n"/>
      <c r="G110" s="17" t="n"/>
      <c r="H110" s="29" t="n"/>
      <c r="I110" s="25" t="n"/>
      <c r="J110" s="17" t="n"/>
      <c r="K110" s="27">
        <f>IF(AA110&gt;0,"O Google leu como fórmula: digite de novo com ' na frente.","")</f>
        <v/>
      </c>
      <c r="AA110" s="2">
        <f>ISERROR($B$110)*1+ISERROR($E$110)*1+ISERROR($H$110)*1</f>
        <v/>
      </c>
    </row>
    <row r="111" ht="60" customHeight="1">
      <c r="A111" s="31">
        <f>IF(ISNUMBER($Q$77),"Sessão "&amp;$Q$77,"Linha 13")</f>
        <v/>
      </c>
      <c r="B111" s="4" t="n"/>
      <c r="C111" s="25" t="n"/>
      <c r="D111" s="17" t="n"/>
      <c r="E111" s="4" t="n"/>
      <c r="F111" s="25" t="n"/>
      <c r="G111" s="17" t="n"/>
      <c r="H111" s="4" t="n"/>
      <c r="I111" s="25" t="n"/>
      <c r="J111" s="17" t="n"/>
      <c r="K111" s="19">
        <f>IF(AA111&gt;0,"O Google leu como fórmula: digite de novo com ' na frente.","")</f>
        <v/>
      </c>
      <c r="AA111" s="2">
        <f>ISERROR($B$111)*1+ISERROR($E$111)*1+ISERROR($H$111)*1</f>
        <v/>
      </c>
    </row>
    <row r="112" ht="60" customHeight="1">
      <c r="A112" s="43">
        <f>IF(ISNUMBER($Q$78),"Sessão "&amp;$Q$78,"Linha 14")</f>
        <v/>
      </c>
      <c r="B112" s="29" t="n"/>
      <c r="C112" s="25" t="n"/>
      <c r="D112" s="17" t="n"/>
      <c r="E112" s="29" t="n"/>
      <c r="F112" s="25" t="n"/>
      <c r="G112" s="17" t="n"/>
      <c r="H112" s="29" t="n"/>
      <c r="I112" s="25" t="n"/>
      <c r="J112" s="17" t="n"/>
      <c r="K112" s="27">
        <f>IF(AA112&gt;0,"O Google leu como fórmula: digite de novo com ' na frente.","")</f>
        <v/>
      </c>
      <c r="AA112" s="2">
        <f>ISERROR($B$112)*1+ISERROR($E$112)*1+ISERROR($H$112)*1</f>
        <v/>
      </c>
    </row>
    <row r="113" ht="71" customHeight="1">
      <c r="A113" s="31">
        <f>IF(ISNUMBER($Q$79),"Sessão "&amp;$Q$79,"Linha 15")</f>
        <v/>
      </c>
      <c r="B113" s="4" t="n"/>
      <c r="C113" s="25" t="n"/>
      <c r="D113" s="17" t="n"/>
      <c r="E113" s="4" t="n"/>
      <c r="F113" s="25" t="n"/>
      <c r="G113" s="17" t="n"/>
      <c r="H113" s="4" t="n"/>
      <c r="I113" s="25" t="n"/>
      <c r="J113" s="17" t="n"/>
      <c r="K113" s="19">
        <f>IF(AA113&gt;0,"O Google leu como fórmula: digite de novo com ' na frente.","")</f>
        <v/>
      </c>
      <c r="AA113" s="2">
        <f>ISERROR($B$113)*1+ISERROR($E$113)*1+ISERROR($H$113)*1</f>
        <v/>
      </c>
    </row>
    <row r="114" ht="60" customHeight="1">
      <c r="A114" s="43">
        <f>IF(ISNUMBER($Q$80),"Sessão "&amp;$Q$80,"Linha 16")</f>
        <v/>
      </c>
      <c r="B114" s="29" t="n"/>
      <c r="C114" s="25" t="n"/>
      <c r="D114" s="17" t="n"/>
      <c r="E114" s="29" t="n"/>
      <c r="F114" s="25" t="n"/>
      <c r="G114" s="17" t="n"/>
      <c r="H114" s="29" t="n"/>
      <c r="I114" s="25" t="n"/>
      <c r="J114" s="17" t="n"/>
      <c r="K114" s="27">
        <f>IF(AA114&gt;0,"O Google leu como fórmula: digite de novo com ' na frente.","")</f>
        <v/>
      </c>
      <c r="AA114" s="2">
        <f>ISERROR($B$114)*1+ISERROR($E$114)*1+ISERROR($H$114)*1</f>
        <v/>
      </c>
    </row>
    <row r="115" ht="60" customHeight="1">
      <c r="A115" s="31">
        <f>IF(ISNUMBER($Q$81),"Sessão "&amp;$Q$81,"Linha 17")</f>
        <v/>
      </c>
      <c r="B115" s="4" t="n"/>
      <c r="C115" s="25" t="n"/>
      <c r="D115" s="17" t="n"/>
      <c r="E115" s="4" t="n"/>
      <c r="F115" s="25" t="n"/>
      <c r="G115" s="17" t="n"/>
      <c r="H115" s="4" t="n"/>
      <c r="I115" s="25" t="n"/>
      <c r="J115" s="17" t="n"/>
      <c r="K115" s="19">
        <f>IF(AA115&gt;0,"O Google leu como fórmula: digite de novo com ' na frente.","")</f>
        <v/>
      </c>
      <c r="AA115" s="2">
        <f>ISERROR($B$115)*1+ISERROR($E$115)*1+ISERROR($H$115)*1</f>
        <v/>
      </c>
    </row>
    <row r="116" ht="71" customHeight="1">
      <c r="A116" s="43">
        <f>IF(ISNUMBER($Q$82),"Sessão "&amp;$Q$82,"Linha 18")</f>
        <v/>
      </c>
      <c r="B116" s="29" t="n"/>
      <c r="C116" s="25" t="n"/>
      <c r="D116" s="17" t="n"/>
      <c r="E116" s="29" t="n"/>
      <c r="F116" s="25" t="n"/>
      <c r="G116" s="17" t="n"/>
      <c r="H116" s="29" t="n"/>
      <c r="I116" s="25" t="n"/>
      <c r="J116" s="17" t="n"/>
      <c r="K116" s="27">
        <f>IF(AA116&gt;0,"O Google leu como fórmula: digite de novo com ' na frente.","")</f>
        <v/>
      </c>
      <c r="AA116" s="2">
        <f>ISERROR($B$116)*1+ISERROR($E$116)*1+ISERROR($H$116)*1</f>
        <v/>
      </c>
    </row>
    <row r="117" ht="60" customHeight="1">
      <c r="A117" s="31">
        <f>IF(ISNUMBER($Q$83),"Sessão "&amp;$Q$83,"Linha 19")</f>
        <v/>
      </c>
      <c r="B117" s="4" t="n"/>
      <c r="C117" s="25" t="n"/>
      <c r="D117" s="17" t="n"/>
      <c r="E117" s="4" t="n"/>
      <c r="F117" s="25" t="n"/>
      <c r="G117" s="17" t="n"/>
      <c r="H117" s="4" t="n"/>
      <c r="I117" s="25" t="n"/>
      <c r="J117" s="17" t="n"/>
      <c r="K117" s="19">
        <f>IF(AA117&gt;0,"O Google leu como fórmula: digite de novo com ' na frente.","")</f>
        <v/>
      </c>
      <c r="AA117" s="2">
        <f>ISERROR($B$117)*1+ISERROR($E$117)*1+ISERROR($H$117)*1</f>
        <v/>
      </c>
    </row>
    <row r="118" ht="60" customHeight="1">
      <c r="A118" s="43">
        <f>IF(ISNUMBER($Q$84),"Sessão "&amp;$Q$84,"Linha 20")</f>
        <v/>
      </c>
      <c r="B118" s="29" t="n"/>
      <c r="C118" s="25" t="n"/>
      <c r="D118" s="17" t="n"/>
      <c r="E118" s="29" t="n"/>
      <c r="F118" s="25" t="n"/>
      <c r="G118" s="17" t="n"/>
      <c r="H118" s="29" t="n"/>
      <c r="I118" s="25" t="n"/>
      <c r="J118" s="17" t="n"/>
      <c r="K118" s="27">
        <f>IF(AA118&gt;0,"O Google leu como fórmula: digite de novo com ' na frente.","")</f>
        <v/>
      </c>
      <c r="AA118" s="2">
        <f>ISERROR($B$118)*1+ISERROR($E$118)*1+ISERROR($H$118)*1</f>
        <v/>
      </c>
    </row>
    <row r="119">
      <c r="A119" s="8" t="inlineStr">
        <is>
          <t>Sessão</t>
        </is>
      </c>
      <c r="B119" s="8" t="inlineStr">
        <is>
          <t>Decisões importantes</t>
        </is>
      </c>
      <c r="C119" s="20" t="n"/>
      <c r="D119" s="20" t="n"/>
      <c r="E119" s="8" t="inlineStr">
        <is>
          <t>Ganchos abertos</t>
        </is>
      </c>
      <c r="F119" s="20" t="n"/>
      <c r="G119" s="20" t="n"/>
      <c r="H119" s="8" t="inlineStr">
        <is>
          <t>NPCs que apareceram</t>
        </is>
      </c>
      <c r="I119" s="20" t="n"/>
      <c r="J119" s="20" t="n"/>
      <c r="K119" s="8" t="inlineStr">
        <is>
          <t>Aviso</t>
        </is>
      </c>
      <c r="L119" s="20" t="n"/>
    </row>
    <row r="120" ht="60" customHeight="1">
      <c r="A120" s="31">
        <f>IF(ISNUMBER($Q$86),"Sessão "&amp;$Q$86,"Linha 21")</f>
        <v/>
      </c>
      <c r="B120" s="4" t="n"/>
      <c r="C120" s="25" t="n"/>
      <c r="D120" s="17" t="n"/>
      <c r="E120" s="4" t="n"/>
      <c r="F120" s="25" t="n"/>
      <c r="G120" s="17" t="n"/>
      <c r="H120" s="4" t="n"/>
      <c r="I120" s="25" t="n"/>
      <c r="J120" s="17" t="n"/>
      <c r="K120" s="19">
        <f>IF(AA120&gt;0,"O Google leu como fórmula: digite de novo com ' na frente.","")</f>
        <v/>
      </c>
      <c r="AA120" s="2">
        <f>ISERROR($B$120)*1+ISERROR($E$120)*1+ISERROR($H$120)*1</f>
        <v/>
      </c>
    </row>
    <row r="121" ht="71" customHeight="1">
      <c r="A121" s="43">
        <f>IF(ISNUMBER($Q$87),"Sessão "&amp;$Q$87,"Linha 22")</f>
        <v/>
      </c>
      <c r="B121" s="29" t="n"/>
      <c r="C121" s="25" t="n"/>
      <c r="D121" s="17" t="n"/>
      <c r="E121" s="29" t="n"/>
      <c r="F121" s="25" t="n"/>
      <c r="G121" s="17" t="n"/>
      <c r="H121" s="29" t="n"/>
      <c r="I121" s="25" t="n"/>
      <c r="J121" s="17" t="n"/>
      <c r="K121" s="27">
        <f>IF(AA121&gt;0,"O Google leu como fórmula: digite de novo com ' na frente.","")</f>
        <v/>
      </c>
      <c r="AA121" s="2">
        <f>ISERROR($B$121)*1+ISERROR($E$121)*1+ISERROR($H$121)*1</f>
        <v/>
      </c>
    </row>
    <row r="122" ht="60" customHeight="1">
      <c r="A122" s="31">
        <f>IF(ISNUMBER($Q$88),"Sessão "&amp;$Q$88,"Linha 23")</f>
        <v/>
      </c>
      <c r="B122" s="4" t="n"/>
      <c r="C122" s="25" t="n"/>
      <c r="D122" s="17" t="n"/>
      <c r="E122" s="4" t="n"/>
      <c r="F122" s="25" t="n"/>
      <c r="G122" s="17" t="n"/>
      <c r="H122" s="4" t="n"/>
      <c r="I122" s="25" t="n"/>
      <c r="J122" s="17" t="n"/>
      <c r="K122" s="19">
        <f>IF(AA122&gt;0,"O Google leu como fórmula: digite de novo com ' na frente.","")</f>
        <v/>
      </c>
      <c r="AA122" s="2">
        <f>ISERROR($B$122)*1+ISERROR($E$122)*1+ISERROR($H$122)*1</f>
        <v/>
      </c>
    </row>
    <row r="123" ht="60" customHeight="1">
      <c r="A123" s="43">
        <f>IF(ISNUMBER($Q$89),"Sessão "&amp;$Q$89,"Linha 24")</f>
        <v/>
      </c>
      <c r="B123" s="29" t="n"/>
      <c r="C123" s="25" t="n"/>
      <c r="D123" s="17" t="n"/>
      <c r="E123" s="29" t="n"/>
      <c r="F123" s="25" t="n"/>
      <c r="G123" s="17" t="n"/>
      <c r="H123" s="29" t="n"/>
      <c r="I123" s="25" t="n"/>
      <c r="J123" s="17" t="n"/>
      <c r="K123" s="27">
        <f>IF(AA123&gt;0,"O Google leu como fórmula: digite de novo com ' na frente.","")</f>
        <v/>
      </c>
      <c r="AA123" s="2">
        <f>ISERROR($B$123)*1+ISERROR($E$123)*1+ISERROR($H$123)*1</f>
        <v/>
      </c>
    </row>
    <row r="124" ht="60" customHeight="1">
      <c r="A124" s="31">
        <f>IF(ISNUMBER($Q$90),"Sessão "&amp;$Q$90,"Linha 25")</f>
        <v/>
      </c>
      <c r="B124" s="4" t="n"/>
      <c r="C124" s="25" t="n"/>
      <c r="D124" s="17" t="n"/>
      <c r="E124" s="4" t="n"/>
      <c r="F124" s="25" t="n"/>
      <c r="G124" s="17" t="n"/>
      <c r="H124" s="4" t="n"/>
      <c r="I124" s="25" t="n"/>
      <c r="J124" s="17" t="n"/>
      <c r="K124" s="19">
        <f>IF(AA124&gt;0,"O Google leu como fórmula: digite de novo com ' na frente.","")</f>
        <v/>
      </c>
      <c r="AA124" s="2">
        <f>ISERROR($B$124)*1+ISERROR($E$124)*1+ISERROR($H$124)*1</f>
        <v/>
      </c>
    </row>
    <row r="125" ht="60" customHeight="1">
      <c r="A125" s="43">
        <f>IF(ISNUMBER($Q$91),"Sessão "&amp;$Q$91,"Linha 26")</f>
        <v/>
      </c>
      <c r="B125" s="29" t="n"/>
      <c r="C125" s="25" t="n"/>
      <c r="D125" s="17" t="n"/>
      <c r="E125" s="29" t="n"/>
      <c r="F125" s="25" t="n"/>
      <c r="G125" s="17" t="n"/>
      <c r="H125" s="29" t="n"/>
      <c r="I125" s="25" t="n"/>
      <c r="J125" s="17" t="n"/>
      <c r="K125" s="27">
        <f>IF(AA125&gt;0,"O Google leu como fórmula: digite de novo com ' na frente.","")</f>
        <v/>
      </c>
      <c r="AA125" s="2">
        <f>ISERROR($B$125)*1+ISERROR($E$125)*1+ISERROR($H$125)*1</f>
        <v/>
      </c>
    </row>
    <row r="126" ht="60" customHeight="1">
      <c r="A126" s="31">
        <f>IF(ISNUMBER($Q$92),"Sessão "&amp;$Q$92,"Linha 27")</f>
        <v/>
      </c>
      <c r="B126" s="4" t="n"/>
      <c r="C126" s="25" t="n"/>
      <c r="D126" s="17" t="n"/>
      <c r="E126" s="4" t="n"/>
      <c r="F126" s="25" t="n"/>
      <c r="G126" s="17" t="n"/>
      <c r="H126" s="4" t="n"/>
      <c r="I126" s="25" t="n"/>
      <c r="J126" s="17" t="n"/>
      <c r="K126" s="19">
        <f>IF(AA126&gt;0,"O Google leu como fórmula: digite de novo com ' na frente.","")</f>
        <v/>
      </c>
      <c r="AA126" s="2">
        <f>ISERROR($B$126)*1+ISERROR($E$126)*1+ISERROR($H$126)*1</f>
        <v/>
      </c>
    </row>
    <row r="127" ht="60" customHeight="1">
      <c r="A127" s="43">
        <f>IF(ISNUMBER($Q$93),"Sessão "&amp;$Q$93,"Linha 28")</f>
        <v/>
      </c>
      <c r="B127" s="29" t="n"/>
      <c r="C127" s="25" t="n"/>
      <c r="D127" s="17" t="n"/>
      <c r="E127" s="29" t="n"/>
      <c r="F127" s="25" t="n"/>
      <c r="G127" s="17" t="n"/>
      <c r="H127" s="29" t="n"/>
      <c r="I127" s="25" t="n"/>
      <c r="J127" s="17" t="n"/>
      <c r="K127" s="27">
        <f>IF(AA127&gt;0,"O Google leu como fórmula: digite de novo com ' na frente.","")</f>
        <v/>
      </c>
      <c r="AA127" s="2">
        <f>ISERROR($B$127)*1+ISERROR($E$127)*1+ISERROR($H$127)*1</f>
        <v/>
      </c>
    </row>
    <row r="128" ht="60" customHeight="1">
      <c r="A128" s="31">
        <f>IF(ISNUMBER($Q$94),"Sessão "&amp;$Q$94,"Linha 29")</f>
        <v/>
      </c>
      <c r="B128" s="4" t="n"/>
      <c r="C128" s="25" t="n"/>
      <c r="D128" s="17" t="n"/>
      <c r="E128" s="4" t="n"/>
      <c r="F128" s="25" t="n"/>
      <c r="G128" s="17" t="n"/>
      <c r="H128" s="4" t="n"/>
      <c r="I128" s="25" t="n"/>
      <c r="J128" s="17" t="n"/>
      <c r="K128" s="19">
        <f>IF(AA128&gt;0,"O Google leu como fórmula: digite de novo com ' na frente.","")</f>
        <v/>
      </c>
      <c r="AA128" s="2">
        <f>ISERROR($B$128)*1+ISERROR($E$128)*1+ISERROR($H$128)*1</f>
        <v/>
      </c>
    </row>
    <row r="129" ht="71" customHeight="1">
      <c r="A129" s="43">
        <f>IF(ISNUMBER($Q$95),"Sessão "&amp;$Q$95,"Linha 30")</f>
        <v/>
      </c>
      <c r="B129" s="29" t="n"/>
      <c r="C129" s="25" t="n"/>
      <c r="D129" s="17" t="n"/>
      <c r="E129" s="29" t="n"/>
      <c r="F129" s="25" t="n"/>
      <c r="G129" s="17" t="n"/>
      <c r="H129" s="29" t="n"/>
      <c r="I129" s="25" t="n"/>
      <c r="J129" s="17" t="n"/>
      <c r="K129" s="27">
        <f>IF(AA129&gt;0,"O Google leu como fórmula: digite de novo com ' na frente.","")</f>
        <v/>
      </c>
      <c r="AA129" s="2">
        <f>ISERROR($B$129)*1+ISERROR($E$129)*1+ISERROR($H$129)*1</f>
        <v/>
      </c>
    </row>
    <row r="130" ht="20" customHeight="1">
      <c r="A130" s="13" t="inlineStr">
        <is>
          <t>Resumo do diário (automático)</t>
        </is>
      </c>
    </row>
    <row r="131">
      <c r="A131" s="5">
        <f>"Sessões registradas: "&amp;$N$95&amp;" · sessões desde o último marco: "&amp;$O$95&amp;" (conta os Não desde o último Sim). Ritmo sugerido: veja Marcos e progressão na aba Campanha (26.1)."</f>
        <v/>
      </c>
    </row>
  </sheetData>
  <mergeCells count="317">
    <mergeCell ref="F16:G16"/>
    <mergeCell ref="K33:L33"/>
    <mergeCell ref="K104:L104"/>
    <mergeCell ref="H109:J109"/>
    <mergeCell ref="K35:L35"/>
    <mergeCell ref="K81:L81"/>
    <mergeCell ref="H111:J111"/>
    <mergeCell ref="K99:L99"/>
    <mergeCell ref="C24:F24"/>
    <mergeCell ref="A131:L131"/>
    <mergeCell ref="H104:J104"/>
    <mergeCell ref="C18:E18"/>
    <mergeCell ref="E71:J71"/>
    <mergeCell ref="K101:L101"/>
    <mergeCell ref="K28:L28"/>
    <mergeCell ref="E79:J79"/>
    <mergeCell ref="E73:J73"/>
    <mergeCell ref="K92:L92"/>
    <mergeCell ref="K30:L30"/>
    <mergeCell ref="B8:D8"/>
    <mergeCell ref="B51:E51"/>
    <mergeCell ref="E74:J74"/>
    <mergeCell ref="C19:F19"/>
    <mergeCell ref="H99:J99"/>
    <mergeCell ref="B99:D99"/>
    <mergeCell ref="F18:G18"/>
    <mergeCell ref="K41:L41"/>
    <mergeCell ref="K106:L106"/>
    <mergeCell ref="H101:J101"/>
    <mergeCell ref="F50:J50"/>
    <mergeCell ref="B6:J6"/>
    <mergeCell ref="F17:G17"/>
    <mergeCell ref="K56:L56"/>
    <mergeCell ref="K105:L105"/>
    <mergeCell ref="K120:L120"/>
    <mergeCell ref="K107:L107"/>
    <mergeCell ref="H125:J125"/>
    <mergeCell ref="H112:J112"/>
    <mergeCell ref="H127:J127"/>
    <mergeCell ref="F49:J49"/>
    <mergeCell ref="H114:J114"/>
    <mergeCell ref="E87:J87"/>
    <mergeCell ref="K54:L54"/>
    <mergeCell ref="K29:L29"/>
    <mergeCell ref="A42:L42"/>
    <mergeCell ref="H105:J105"/>
    <mergeCell ref="K31:L31"/>
    <mergeCell ref="E76:J76"/>
    <mergeCell ref="B29:I29"/>
    <mergeCell ref="H107:J107"/>
    <mergeCell ref="C20:F20"/>
    <mergeCell ref="B113:D113"/>
    <mergeCell ref="K97:L97"/>
    <mergeCell ref="C22:F22"/>
    <mergeCell ref="C14:E14"/>
    <mergeCell ref="H102:J102"/>
    <mergeCell ref="B115:D115"/>
    <mergeCell ref="E92:J92"/>
    <mergeCell ref="K57:L57"/>
    <mergeCell ref="K128:L128"/>
    <mergeCell ref="B32:I32"/>
    <mergeCell ref="E94:J94"/>
    <mergeCell ref="K121:L121"/>
    <mergeCell ref="K123:L123"/>
    <mergeCell ref="K110:L110"/>
    <mergeCell ref="E95:J95"/>
    <mergeCell ref="E89:J89"/>
    <mergeCell ref="H128:J128"/>
    <mergeCell ref="E119:G119"/>
    <mergeCell ref="K75:L75"/>
    <mergeCell ref="E72:J72"/>
    <mergeCell ref="B97:D97"/>
    <mergeCell ref="B37:I37"/>
    <mergeCell ref="K14:L14"/>
    <mergeCell ref="K70:L70"/>
    <mergeCell ref="H54:J54"/>
    <mergeCell ref="K103:L103"/>
    <mergeCell ref="H121:J121"/>
    <mergeCell ref="H56:J56"/>
    <mergeCell ref="H123:J123"/>
    <mergeCell ref="H110:J110"/>
    <mergeCell ref="A26:L26"/>
    <mergeCell ref="B45:E45"/>
    <mergeCell ref="E104:G104"/>
    <mergeCell ref="B108:D108"/>
    <mergeCell ref="K129:L129"/>
    <mergeCell ref="K50:L50"/>
    <mergeCell ref="B47:E47"/>
    <mergeCell ref="K58:L58"/>
    <mergeCell ref="B41:J41"/>
    <mergeCell ref="E106:G106"/>
    <mergeCell ref="H58:J58"/>
    <mergeCell ref="K13:L13"/>
    <mergeCell ref="E107:G107"/>
    <mergeCell ref="K78:L78"/>
    <mergeCell ref="B111:D111"/>
    <mergeCell ref="E63:J63"/>
    <mergeCell ref="B98:D98"/>
    <mergeCell ref="B54:F54"/>
    <mergeCell ref="K15:L15"/>
    <mergeCell ref="K80:L80"/>
    <mergeCell ref="A3:L3"/>
    <mergeCell ref="K55:L55"/>
    <mergeCell ref="B56:F56"/>
    <mergeCell ref="K79:L79"/>
    <mergeCell ref="F51:J51"/>
    <mergeCell ref="H57:J57"/>
    <mergeCell ref="A5:L5"/>
    <mergeCell ref="K119:L119"/>
    <mergeCell ref="E91:J91"/>
    <mergeCell ref="H124:J124"/>
    <mergeCell ref="B57:F57"/>
    <mergeCell ref="A96:L96"/>
    <mergeCell ref="B124:D124"/>
    <mergeCell ref="E125:G125"/>
    <mergeCell ref="E112:G112"/>
    <mergeCell ref="E93:J93"/>
    <mergeCell ref="H126:J126"/>
    <mergeCell ref="B126:D126"/>
    <mergeCell ref="B109:D109"/>
    <mergeCell ref="E129:G129"/>
    <mergeCell ref="B33:I33"/>
    <mergeCell ref="K10:L10"/>
    <mergeCell ref="K66:L66"/>
    <mergeCell ref="G24:J24"/>
    <mergeCell ref="K124:L124"/>
    <mergeCell ref="B35:I35"/>
    <mergeCell ref="C16:E16"/>
    <mergeCell ref="K74:L74"/>
    <mergeCell ref="K68:L68"/>
    <mergeCell ref="H129:J129"/>
    <mergeCell ref="H108:J108"/>
    <mergeCell ref="B9:J9"/>
    <mergeCell ref="E113:G113"/>
    <mergeCell ref="E100:G100"/>
    <mergeCell ref="B114:D114"/>
    <mergeCell ref="E115:G115"/>
    <mergeCell ref="K8:L8"/>
    <mergeCell ref="E66:J66"/>
    <mergeCell ref="E102:G102"/>
    <mergeCell ref="A44:L44"/>
    <mergeCell ref="E68:J68"/>
    <mergeCell ref="E127:G127"/>
    <mergeCell ref="E67:J67"/>
    <mergeCell ref="K18:L18"/>
    <mergeCell ref="B117:D117"/>
    <mergeCell ref="K34:L34"/>
    <mergeCell ref="E128:G128"/>
    <mergeCell ref="B119:D119"/>
    <mergeCell ref="K36:L36"/>
    <mergeCell ref="B112:D112"/>
    <mergeCell ref="K100:L100"/>
    <mergeCell ref="K94:L94"/>
    <mergeCell ref="B127:D127"/>
    <mergeCell ref="C17:E17"/>
    <mergeCell ref="A53:L53"/>
    <mergeCell ref="K102:L102"/>
    <mergeCell ref="K77:L77"/>
    <mergeCell ref="H120:J120"/>
    <mergeCell ref="B55:F55"/>
    <mergeCell ref="C7:J7"/>
    <mergeCell ref="B122:D122"/>
    <mergeCell ref="K87:L87"/>
    <mergeCell ref="E103:G103"/>
    <mergeCell ref="K49:L49"/>
    <mergeCell ref="K95:L95"/>
    <mergeCell ref="E118:G118"/>
    <mergeCell ref="K89:L89"/>
    <mergeCell ref="E69:J69"/>
    <mergeCell ref="K113:L113"/>
    <mergeCell ref="H100:J100"/>
    <mergeCell ref="B58:F58"/>
    <mergeCell ref="K88:L88"/>
    <mergeCell ref="E77:J77"/>
    <mergeCell ref="K90:L90"/>
    <mergeCell ref="F45:J45"/>
    <mergeCell ref="F47:J47"/>
    <mergeCell ref="K115:L115"/>
    <mergeCell ref="H97:J97"/>
    <mergeCell ref="F46:J46"/>
    <mergeCell ref="F13:G13"/>
    <mergeCell ref="A130:L130"/>
    <mergeCell ref="F48:J48"/>
    <mergeCell ref="K116:L116"/>
    <mergeCell ref="K37:L37"/>
    <mergeCell ref="E88:J88"/>
    <mergeCell ref="E82:J82"/>
    <mergeCell ref="K118:L118"/>
    <mergeCell ref="E65:J65"/>
    <mergeCell ref="E114:G114"/>
    <mergeCell ref="H115:J115"/>
    <mergeCell ref="K32:L32"/>
    <mergeCell ref="K63:L63"/>
    <mergeCell ref="G21:J21"/>
    <mergeCell ref="A38:L38"/>
    <mergeCell ref="C13:E13"/>
    <mergeCell ref="G23:J23"/>
    <mergeCell ref="B110:D110"/>
    <mergeCell ref="K27:L27"/>
    <mergeCell ref="K98:L98"/>
    <mergeCell ref="A40:L40"/>
    <mergeCell ref="C15:E15"/>
    <mergeCell ref="H103:J103"/>
    <mergeCell ref="H118:J118"/>
    <mergeCell ref="K93:L93"/>
    <mergeCell ref="K16:L16"/>
    <mergeCell ref="H98:J98"/>
    <mergeCell ref="K9:L9"/>
    <mergeCell ref="K45:L45"/>
    <mergeCell ref="E90:J90"/>
    <mergeCell ref="K126:L126"/>
    <mergeCell ref="K109:L109"/>
    <mergeCell ref="K47:L47"/>
    <mergeCell ref="K46:L46"/>
    <mergeCell ref="K111:L111"/>
    <mergeCell ref="E85:J85"/>
    <mergeCell ref="H116:J116"/>
    <mergeCell ref="K71:L71"/>
    <mergeCell ref="K73:L73"/>
    <mergeCell ref="H55:J55"/>
    <mergeCell ref="H113:J113"/>
    <mergeCell ref="A61:L61"/>
    <mergeCell ref="F14:G14"/>
    <mergeCell ref="B101:D101"/>
    <mergeCell ref="E84:J84"/>
    <mergeCell ref="E78:J78"/>
    <mergeCell ref="K114:L114"/>
    <mergeCell ref="E105:G105"/>
    <mergeCell ref="E99:G99"/>
    <mergeCell ref="E86:J86"/>
    <mergeCell ref="E80:J80"/>
    <mergeCell ref="E110:G110"/>
    <mergeCell ref="E101:G101"/>
    <mergeCell ref="B104:D104"/>
    <mergeCell ref="K59:L59"/>
    <mergeCell ref="E81:J81"/>
    <mergeCell ref="K117:L117"/>
    <mergeCell ref="B34:I34"/>
    <mergeCell ref="B28:I28"/>
    <mergeCell ref="H106:J106"/>
    <mergeCell ref="B106:D106"/>
    <mergeCell ref="G19:J19"/>
    <mergeCell ref="K48:L48"/>
    <mergeCell ref="B30:I30"/>
    <mergeCell ref="K125:L125"/>
    <mergeCell ref="A1:L1"/>
    <mergeCell ref="K112:L112"/>
    <mergeCell ref="K127:L127"/>
    <mergeCell ref="H117:J117"/>
    <mergeCell ref="H119:J119"/>
    <mergeCell ref="E108:G108"/>
    <mergeCell ref="F15:G15"/>
    <mergeCell ref="K76:L76"/>
    <mergeCell ref="E124:G124"/>
    <mergeCell ref="E120:G120"/>
    <mergeCell ref="K67:L67"/>
    <mergeCell ref="E121:G121"/>
    <mergeCell ref="B125:D125"/>
    <mergeCell ref="H122:J122"/>
    <mergeCell ref="E126:G126"/>
    <mergeCell ref="E123:G123"/>
    <mergeCell ref="B36:I36"/>
    <mergeCell ref="B105:D105"/>
    <mergeCell ref="K69:L69"/>
    <mergeCell ref="B120:D120"/>
    <mergeCell ref="B49:E49"/>
    <mergeCell ref="B107:D107"/>
    <mergeCell ref="G20:J20"/>
    <mergeCell ref="B31:I31"/>
    <mergeCell ref="A12:L12"/>
    <mergeCell ref="K64:L64"/>
    <mergeCell ref="G22:J22"/>
    <mergeCell ref="K51:L51"/>
    <mergeCell ref="K122:L122"/>
    <mergeCell ref="B50:E50"/>
    <mergeCell ref="K72:L72"/>
    <mergeCell ref="E97:G97"/>
    <mergeCell ref="E109:G109"/>
    <mergeCell ref="B100:D100"/>
    <mergeCell ref="K17:L17"/>
    <mergeCell ref="E111:G111"/>
    <mergeCell ref="K82:L82"/>
    <mergeCell ref="E98:G98"/>
    <mergeCell ref="B102:D102"/>
    <mergeCell ref="K19:L19"/>
    <mergeCell ref="K6:L6"/>
    <mergeCell ref="E64:J64"/>
    <mergeCell ref="H59:J59"/>
    <mergeCell ref="K83:L83"/>
    <mergeCell ref="B59:F59"/>
    <mergeCell ref="B27:I27"/>
    <mergeCell ref="B128:D128"/>
    <mergeCell ref="E116:G116"/>
    <mergeCell ref="B123:D123"/>
    <mergeCell ref="E75:J75"/>
    <mergeCell ref="E122:G122"/>
    <mergeCell ref="K7:L7"/>
    <mergeCell ref="K65:L65"/>
    <mergeCell ref="C21:F21"/>
    <mergeCell ref="C23:F23"/>
    <mergeCell ref="K108:L108"/>
    <mergeCell ref="B116:D116"/>
    <mergeCell ref="B103:D103"/>
    <mergeCell ref="K91:L91"/>
    <mergeCell ref="B10:J10"/>
    <mergeCell ref="K85:L85"/>
    <mergeCell ref="B118:D118"/>
    <mergeCell ref="E70:J70"/>
    <mergeCell ref="K84:L84"/>
    <mergeCell ref="B46:E46"/>
    <mergeCell ref="A62:L62"/>
    <mergeCell ref="K86:L86"/>
    <mergeCell ref="B48:E48"/>
    <mergeCell ref="B129:D129"/>
    <mergeCell ref="E117:G117"/>
    <mergeCell ref="B121:D121"/>
    <mergeCell ref="E83:J83"/>
  </mergeCells>
  <conditionalFormatting sqref="K7">
    <cfRule type="expression" priority="1" dxfId="0">
      <formula>LEN(K7)&gt;0</formula>
    </cfRule>
  </conditionalFormatting>
  <conditionalFormatting sqref="K14">
    <cfRule type="expression" priority="2" dxfId="0">
      <formula>LEN(K14)&gt;0</formula>
    </cfRule>
  </conditionalFormatting>
  <conditionalFormatting sqref="K15">
    <cfRule type="expression" priority="3" dxfId="0">
      <formula>LEN(K15)&gt;0</formula>
    </cfRule>
  </conditionalFormatting>
  <conditionalFormatting sqref="K16">
    <cfRule type="expression" priority="4" dxfId="0">
      <formula>LEN(K16)&gt;0</formula>
    </cfRule>
  </conditionalFormatting>
  <conditionalFormatting sqref="K17">
    <cfRule type="expression" priority="5" dxfId="0">
      <formula>LEN(K17)&gt;0</formula>
    </cfRule>
  </conditionalFormatting>
  <conditionalFormatting sqref="K18">
    <cfRule type="expression" priority="6" dxfId="0">
      <formula>LEN(K18)&gt;0</formula>
    </cfRule>
  </conditionalFormatting>
  <conditionalFormatting sqref="K46">
    <cfRule type="expression" priority="7" dxfId="0">
      <formula>LEN(K46)&gt;0</formula>
    </cfRule>
  </conditionalFormatting>
  <conditionalFormatting sqref="K47">
    <cfRule type="expression" priority="8" dxfId="0">
      <formula>LEN(K47)&gt;0</formula>
    </cfRule>
  </conditionalFormatting>
  <conditionalFormatting sqref="K48">
    <cfRule type="expression" priority="9" dxfId="0">
      <formula>LEN(K48)&gt;0</formula>
    </cfRule>
  </conditionalFormatting>
  <conditionalFormatting sqref="K49">
    <cfRule type="expression" priority="10" dxfId="0">
      <formula>LEN(K49)&gt;0</formula>
    </cfRule>
  </conditionalFormatting>
  <conditionalFormatting sqref="K50">
    <cfRule type="expression" priority="11" dxfId="0">
      <formula>LEN(K50)&gt;0</formula>
    </cfRule>
  </conditionalFormatting>
  <conditionalFormatting sqref="K51">
    <cfRule type="expression" priority="12" dxfId="0">
      <formula>LEN(K51)&gt;0</formula>
    </cfRule>
  </conditionalFormatting>
  <conditionalFormatting sqref="K58">
    <cfRule type="expression" priority="13" dxfId="0">
      <formula>LEN(K58)&gt;0</formula>
    </cfRule>
  </conditionalFormatting>
  <conditionalFormatting sqref="K64">
    <cfRule type="expression" priority="14" dxfId="0">
      <formula>LEN(K64)&gt;0</formula>
    </cfRule>
  </conditionalFormatting>
  <conditionalFormatting sqref="K65">
    <cfRule type="expression" priority="15" dxfId="0">
      <formula>LEN(K65)&gt;0</formula>
    </cfRule>
  </conditionalFormatting>
  <conditionalFormatting sqref="K66">
    <cfRule type="expression" priority="16" dxfId="0">
      <formula>LEN(K66)&gt;0</formula>
    </cfRule>
  </conditionalFormatting>
  <conditionalFormatting sqref="K67">
    <cfRule type="expression" priority="17" dxfId="0">
      <formula>LEN(K67)&gt;0</formula>
    </cfRule>
  </conditionalFormatting>
  <conditionalFormatting sqref="K68">
    <cfRule type="expression" priority="18" dxfId="0">
      <formula>LEN(K68)&gt;0</formula>
    </cfRule>
  </conditionalFormatting>
  <conditionalFormatting sqref="K69">
    <cfRule type="expression" priority="19" dxfId="0">
      <formula>LEN(K69)&gt;0</formula>
    </cfRule>
  </conditionalFormatting>
  <conditionalFormatting sqref="K70">
    <cfRule type="expression" priority="20" dxfId="0">
      <formula>LEN(K70)&gt;0</formula>
    </cfRule>
  </conditionalFormatting>
  <conditionalFormatting sqref="K71">
    <cfRule type="expression" priority="21" dxfId="0">
      <formula>LEN(K71)&gt;0</formula>
    </cfRule>
  </conditionalFormatting>
  <conditionalFormatting sqref="K72">
    <cfRule type="expression" priority="22" dxfId="0">
      <formula>LEN(K72)&gt;0</formula>
    </cfRule>
  </conditionalFormatting>
  <conditionalFormatting sqref="K73">
    <cfRule type="expression" priority="23" dxfId="0">
      <formula>LEN(K73)&gt;0</formula>
    </cfRule>
  </conditionalFormatting>
  <conditionalFormatting sqref="K75">
    <cfRule type="expression" priority="24" dxfId="0">
      <formula>LEN(K75)&gt;0</formula>
    </cfRule>
  </conditionalFormatting>
  <conditionalFormatting sqref="K76">
    <cfRule type="expression" priority="25" dxfId="0">
      <formula>LEN(K76)&gt;0</formula>
    </cfRule>
  </conditionalFormatting>
  <conditionalFormatting sqref="K77">
    <cfRule type="expression" priority="26" dxfId="0">
      <formula>LEN(K77)&gt;0</formula>
    </cfRule>
  </conditionalFormatting>
  <conditionalFormatting sqref="K78">
    <cfRule type="expression" priority="27" dxfId="0">
      <formula>LEN(K78)&gt;0</formula>
    </cfRule>
  </conditionalFormatting>
  <conditionalFormatting sqref="K79">
    <cfRule type="expression" priority="28" dxfId="0">
      <formula>LEN(K79)&gt;0</formula>
    </cfRule>
  </conditionalFormatting>
  <conditionalFormatting sqref="K80">
    <cfRule type="expression" priority="29" dxfId="0">
      <formula>LEN(K80)&gt;0</formula>
    </cfRule>
  </conditionalFormatting>
  <conditionalFormatting sqref="K81">
    <cfRule type="expression" priority="30" dxfId="0">
      <formula>LEN(K81)&gt;0</formula>
    </cfRule>
  </conditionalFormatting>
  <conditionalFormatting sqref="K82">
    <cfRule type="expression" priority="31" dxfId="0">
      <formula>LEN(K82)&gt;0</formula>
    </cfRule>
  </conditionalFormatting>
  <conditionalFormatting sqref="K83">
    <cfRule type="expression" priority="32" dxfId="0">
      <formula>LEN(K83)&gt;0</formula>
    </cfRule>
  </conditionalFormatting>
  <conditionalFormatting sqref="K84">
    <cfRule type="expression" priority="33" dxfId="0">
      <formula>LEN(K84)&gt;0</formula>
    </cfRule>
  </conditionalFormatting>
  <conditionalFormatting sqref="K86">
    <cfRule type="expression" priority="34" dxfId="0">
      <formula>LEN(K86)&gt;0</formula>
    </cfRule>
  </conditionalFormatting>
  <conditionalFormatting sqref="K87">
    <cfRule type="expression" priority="35" dxfId="0">
      <formula>LEN(K87)&gt;0</formula>
    </cfRule>
  </conditionalFormatting>
  <conditionalFormatting sqref="K88">
    <cfRule type="expression" priority="36" dxfId="0">
      <formula>LEN(K88)&gt;0</formula>
    </cfRule>
  </conditionalFormatting>
  <conditionalFormatting sqref="K89">
    <cfRule type="expression" priority="37" dxfId="0">
      <formula>LEN(K89)&gt;0</formula>
    </cfRule>
  </conditionalFormatting>
  <conditionalFormatting sqref="K90">
    <cfRule type="expression" priority="38" dxfId="0">
      <formula>LEN(K90)&gt;0</formula>
    </cfRule>
  </conditionalFormatting>
  <conditionalFormatting sqref="K91">
    <cfRule type="expression" priority="39" dxfId="0">
      <formula>LEN(K91)&gt;0</formula>
    </cfRule>
  </conditionalFormatting>
  <conditionalFormatting sqref="K92">
    <cfRule type="expression" priority="40" dxfId="0">
      <formula>LEN(K92)&gt;0</formula>
    </cfRule>
  </conditionalFormatting>
  <conditionalFormatting sqref="K93">
    <cfRule type="expression" priority="41" dxfId="0">
      <formula>LEN(K93)&gt;0</formula>
    </cfRule>
  </conditionalFormatting>
  <conditionalFormatting sqref="K94">
    <cfRule type="expression" priority="42" dxfId="0">
      <formula>LEN(K94)&gt;0</formula>
    </cfRule>
  </conditionalFormatting>
  <conditionalFormatting sqref="K95">
    <cfRule type="expression" priority="43" dxfId="0">
      <formula>LEN(K95)&gt;0</formula>
    </cfRule>
  </conditionalFormatting>
  <conditionalFormatting sqref="K8">
    <cfRule type="expression" priority="44" dxfId="0">
      <formula>LEN(K8)&gt;0</formula>
    </cfRule>
  </conditionalFormatting>
  <conditionalFormatting sqref="K9">
    <cfRule type="expression" priority="45" dxfId="0">
      <formula>LEN(K9)&gt;0</formula>
    </cfRule>
  </conditionalFormatting>
  <conditionalFormatting sqref="K10">
    <cfRule type="expression" priority="46" dxfId="0">
      <formula>LEN(K10)&gt;0</formula>
    </cfRule>
  </conditionalFormatting>
  <conditionalFormatting sqref="K28">
    <cfRule type="expression" priority="47" dxfId="0">
      <formula>LEN(K28)&gt;0</formula>
    </cfRule>
  </conditionalFormatting>
  <conditionalFormatting sqref="K29">
    <cfRule type="expression" priority="48" dxfId="0">
      <formula>LEN(K29)&gt;0</formula>
    </cfRule>
  </conditionalFormatting>
  <conditionalFormatting sqref="K30">
    <cfRule type="expression" priority="49" dxfId="0">
      <formula>LEN(K30)&gt;0</formula>
    </cfRule>
  </conditionalFormatting>
  <conditionalFormatting sqref="K31">
    <cfRule type="expression" priority="50" dxfId="0">
      <formula>LEN(K31)&gt;0</formula>
    </cfRule>
  </conditionalFormatting>
  <conditionalFormatting sqref="K32">
    <cfRule type="expression" priority="51" dxfId="0">
      <formula>LEN(K32)&gt;0</formula>
    </cfRule>
  </conditionalFormatting>
  <conditionalFormatting sqref="K33">
    <cfRule type="expression" priority="52" dxfId="0">
      <formula>LEN(K33)&gt;0</formula>
    </cfRule>
  </conditionalFormatting>
  <conditionalFormatting sqref="K34">
    <cfRule type="expression" priority="53" dxfId="0">
      <formula>LEN(K34)&gt;0</formula>
    </cfRule>
  </conditionalFormatting>
  <conditionalFormatting sqref="K35">
    <cfRule type="expression" priority="54" dxfId="0">
      <formula>LEN(K35)&gt;0</formula>
    </cfRule>
  </conditionalFormatting>
  <conditionalFormatting sqref="K36">
    <cfRule type="expression" priority="55" dxfId="0">
      <formula>LEN(K36)&gt;0</formula>
    </cfRule>
  </conditionalFormatting>
  <conditionalFormatting sqref="K37">
    <cfRule type="expression" priority="56" dxfId="0">
      <formula>LEN(K37)&gt;0</formula>
    </cfRule>
  </conditionalFormatting>
  <conditionalFormatting sqref="K41">
    <cfRule type="expression" priority="57" dxfId="0">
      <formula>LEN(K41)&gt;0</formula>
    </cfRule>
  </conditionalFormatting>
  <conditionalFormatting sqref="K55">
    <cfRule type="expression" priority="58" dxfId="0">
      <formula>LEN(K55)&gt;0</formula>
    </cfRule>
  </conditionalFormatting>
  <conditionalFormatting sqref="K56">
    <cfRule type="expression" priority="59" dxfId="0">
      <formula>LEN(K56)&gt;0</formula>
    </cfRule>
  </conditionalFormatting>
  <conditionalFormatting sqref="K57">
    <cfRule type="expression" priority="60" dxfId="0">
      <formula>LEN(K57)&gt;0</formula>
    </cfRule>
  </conditionalFormatting>
  <conditionalFormatting sqref="K59">
    <cfRule type="expression" priority="61" dxfId="0">
      <formula>LEN(K59)&gt;0</formula>
    </cfRule>
  </conditionalFormatting>
  <conditionalFormatting sqref="K98">
    <cfRule type="expression" priority="62" dxfId="0">
      <formula>LEN(K98)&gt;0</formula>
    </cfRule>
  </conditionalFormatting>
  <conditionalFormatting sqref="K99">
    <cfRule type="expression" priority="63" dxfId="0">
      <formula>LEN(K99)&gt;0</formula>
    </cfRule>
  </conditionalFormatting>
  <conditionalFormatting sqref="K100">
    <cfRule type="expression" priority="64" dxfId="0">
      <formula>LEN(K100)&gt;0</formula>
    </cfRule>
  </conditionalFormatting>
  <conditionalFormatting sqref="K101">
    <cfRule type="expression" priority="65" dxfId="0">
      <formula>LEN(K101)&gt;0</formula>
    </cfRule>
  </conditionalFormatting>
  <conditionalFormatting sqref="K102">
    <cfRule type="expression" priority="66" dxfId="0">
      <formula>LEN(K102)&gt;0</formula>
    </cfRule>
  </conditionalFormatting>
  <conditionalFormatting sqref="K103">
    <cfRule type="expression" priority="67" dxfId="0">
      <formula>LEN(K103)&gt;0</formula>
    </cfRule>
  </conditionalFormatting>
  <conditionalFormatting sqref="K104">
    <cfRule type="expression" priority="68" dxfId="0">
      <formula>LEN(K104)&gt;0</formula>
    </cfRule>
  </conditionalFormatting>
  <conditionalFormatting sqref="K105">
    <cfRule type="expression" priority="69" dxfId="0">
      <formula>LEN(K105)&gt;0</formula>
    </cfRule>
  </conditionalFormatting>
  <conditionalFormatting sqref="K106">
    <cfRule type="expression" priority="70" dxfId="0">
      <formula>LEN(K106)&gt;0</formula>
    </cfRule>
  </conditionalFormatting>
  <conditionalFormatting sqref="K107">
    <cfRule type="expression" priority="71" dxfId="0">
      <formula>LEN(K107)&gt;0</formula>
    </cfRule>
  </conditionalFormatting>
  <conditionalFormatting sqref="K109">
    <cfRule type="expression" priority="72" dxfId="0">
      <formula>LEN(K109)&gt;0</formula>
    </cfRule>
  </conditionalFormatting>
  <conditionalFormatting sqref="K110">
    <cfRule type="expression" priority="73" dxfId="0">
      <formula>LEN(K110)&gt;0</formula>
    </cfRule>
  </conditionalFormatting>
  <conditionalFormatting sqref="K111">
    <cfRule type="expression" priority="74" dxfId="0">
      <formula>LEN(K111)&gt;0</formula>
    </cfRule>
  </conditionalFormatting>
  <conditionalFormatting sqref="K112">
    <cfRule type="expression" priority="75" dxfId="0">
      <formula>LEN(K112)&gt;0</formula>
    </cfRule>
  </conditionalFormatting>
  <conditionalFormatting sqref="K113">
    <cfRule type="expression" priority="76" dxfId="0">
      <formula>LEN(K113)&gt;0</formula>
    </cfRule>
  </conditionalFormatting>
  <conditionalFormatting sqref="K114">
    <cfRule type="expression" priority="77" dxfId="0">
      <formula>LEN(K114)&gt;0</formula>
    </cfRule>
  </conditionalFormatting>
  <conditionalFormatting sqref="K115">
    <cfRule type="expression" priority="78" dxfId="0">
      <formula>LEN(K115)&gt;0</formula>
    </cfRule>
  </conditionalFormatting>
  <conditionalFormatting sqref="K116">
    <cfRule type="expression" priority="79" dxfId="0">
      <formula>LEN(K116)&gt;0</formula>
    </cfRule>
  </conditionalFormatting>
  <conditionalFormatting sqref="K117">
    <cfRule type="expression" priority="80" dxfId="0">
      <formula>LEN(K117)&gt;0</formula>
    </cfRule>
  </conditionalFormatting>
  <conditionalFormatting sqref="K118">
    <cfRule type="expression" priority="81" dxfId="0">
      <formula>LEN(K118)&gt;0</formula>
    </cfRule>
  </conditionalFormatting>
  <conditionalFormatting sqref="K120">
    <cfRule type="expression" priority="82" dxfId="0">
      <formula>LEN(K120)&gt;0</formula>
    </cfRule>
  </conditionalFormatting>
  <conditionalFormatting sqref="K121">
    <cfRule type="expression" priority="83" dxfId="0">
      <formula>LEN(K121)&gt;0</formula>
    </cfRule>
  </conditionalFormatting>
  <conditionalFormatting sqref="K122">
    <cfRule type="expression" priority="84" dxfId="0">
      <formula>LEN(K122)&gt;0</formula>
    </cfRule>
  </conditionalFormatting>
  <conditionalFormatting sqref="K123">
    <cfRule type="expression" priority="85" dxfId="0">
      <formula>LEN(K123)&gt;0</formula>
    </cfRule>
  </conditionalFormatting>
  <conditionalFormatting sqref="K124">
    <cfRule type="expression" priority="86" dxfId="0">
      <formula>LEN(K124)&gt;0</formula>
    </cfRule>
  </conditionalFormatting>
  <conditionalFormatting sqref="K125">
    <cfRule type="expression" priority="87" dxfId="0">
      <formula>LEN(K125)&gt;0</formula>
    </cfRule>
  </conditionalFormatting>
  <conditionalFormatting sqref="K126">
    <cfRule type="expression" priority="88" dxfId="0">
      <formula>LEN(K126)&gt;0</formula>
    </cfRule>
  </conditionalFormatting>
  <conditionalFormatting sqref="K127">
    <cfRule type="expression" priority="89" dxfId="0">
      <formula>LEN(K127)&gt;0</formula>
    </cfRule>
  </conditionalFormatting>
  <conditionalFormatting sqref="K128">
    <cfRule type="expression" priority="90" dxfId="0">
      <formula>LEN(K128)&gt;0</formula>
    </cfRule>
  </conditionalFormatting>
  <conditionalFormatting sqref="K129">
    <cfRule type="expression" priority="91" dxfId="0">
      <formula>LEN(K129)&gt;0</formula>
    </cfRule>
  </conditionalFormatting>
  <dataValidations count="306">
    <dataValidation sqref="B7" showDropDown="0" showInputMessage="0" showErrorMessage="1" allowBlank="1" errorTitle="Valor fora da faixa" error="Sessão nº: use um número inteiro de 1 a 999." type="whole" errorStyle="warning" operator="between">
      <formula1>1</formula1>
      <formula2>999</formula2>
    </dataValidation>
    <dataValidation sqref="B8" showDropDown="0" showInputMessage="0" showErrorMessage="1" allowBlank="1" errorTitle="Texto longo" error="Data real: até 20 caracteres." type="textLength" errorStyle="warning" operator="lessThanOrEqual">
      <formula1>20</formula1>
    </dataValidation>
    <dataValidation sqref="B9" showDropDown="0" showInputMessage="0" showErrorMessage="1" allowBlank="1" errorTitle="Texto longo" error="Título: até 80 caracteres." type="textLength" errorStyle="warning" operator="lessThanOrEqual">
      <formula1>80</formula1>
    </dataValidation>
    <dataValidation sqref="B10" showDropDown="0" showInputMessage="0" showErrorMessage="1" allowBlank="1" errorTitle="Texto longo" error="Objetivo da sessão: até 200 caracteres." type="textLength" errorStyle="warning" operator="lessThanOrEqual">
      <formula1>200</formula1>
    </dataValidation>
    <dataValidation sqref="B14" showDropDown="0" showInputMessage="0" showErrorMessage="1" allowBlank="1" errorTitle="Fora da lista" error="Tipo de cena: escolha um valor da lista. A planilha pode não reconhecer outro valor." type="list" errorStyle="warning">
      <formula1>'Dados'!$BW$6:$BW$10</formula1>
    </dataValidation>
    <dataValidation sqref="C14" showDropDown="0" showInputMessage="0" showErrorMessage="1" allowBlank="1" errorTitle="Texto longo" error="Descrição: até 200 caracteres." type="textLength" errorStyle="warning" operator="lessThanOrEqual">
      <formula1>200</formula1>
    </dataValidation>
    <dataValidation sqref="F14" showDropDown="0" showInputMessage="0" showErrorMessage="1" allowBlank="1" errorTitle="Texto longo" error="NPCs presentes: até 120 caracteres." type="textLength" errorStyle="warning" operator="lessThanOrEqual">
      <formula1>120</formula1>
    </dataValidation>
    <dataValidation sqref="H14" showDropDown="0" showInputMessage="0" showErrorMessage="1" allowBlank="1" errorTitle="Fora da lista" error="Encontro ligado: escolha um valor da lista. A planilha pode não reconhecer outro valor." type="list" errorStyle="warning">
      <formula1>'Dados'!$BX$6:$BX$9</formula1>
    </dataValidation>
    <dataValidation sqref="I14" showDropDown="0" showInputMessage="0" showErrorMessage="1" allowBlank="1" errorTitle="Fora da lista" error="Dificuldade: escolha um valor da lista. A planilha pode não reconhecer outro valor." type="list" errorStyle="warning">
      <formula1>'Dados'!$BY$6:$BY$11</formula1>
    </dataValidation>
    <dataValidation sqref="J14" showDropDown="0" showInputMessage="0" showErrorMessage="1" allowBlank="1" errorTitle="Fora da lista" error="Faixa do desafio: escolha um valor da lista. A planilha pode não reconhecer outro valor." type="list" errorStyle="warning">
      <formula1>'Dados'!$AP$6:$AP$10</formula1>
    </dataValidation>
    <dataValidation sqref="B15" showDropDown="0" showInputMessage="0" showErrorMessage="1" allowBlank="1" errorTitle="Fora da lista" error="Tipo de cena: escolha um valor da lista. A planilha pode não reconhecer outro valor." type="list" errorStyle="warning">
      <formula1>'Dados'!$BW$6:$BW$10</formula1>
    </dataValidation>
    <dataValidation sqref="C15" showDropDown="0" showInputMessage="0" showErrorMessage="1" allowBlank="1" errorTitle="Texto longo" error="Descrição: até 200 caracteres." type="textLength" errorStyle="warning" operator="lessThanOrEqual">
      <formula1>200</formula1>
    </dataValidation>
    <dataValidation sqref="F15" showDropDown="0" showInputMessage="0" showErrorMessage="1" allowBlank="1" errorTitle="Texto longo" error="NPCs presentes: até 120 caracteres." type="textLength" errorStyle="warning" operator="lessThanOrEqual">
      <formula1>120</formula1>
    </dataValidation>
    <dataValidation sqref="H15" showDropDown="0" showInputMessage="0" showErrorMessage="1" allowBlank="1" errorTitle="Fora da lista" error="Encontro ligado: escolha um valor da lista. A planilha pode não reconhecer outro valor." type="list" errorStyle="warning">
      <formula1>'Dados'!$BX$6:$BX$9</formula1>
    </dataValidation>
    <dataValidation sqref="I15" showDropDown="0" showInputMessage="0" showErrorMessage="1" allowBlank="1" errorTitle="Fora da lista" error="Dificuldade: escolha um valor da lista. A planilha pode não reconhecer outro valor." type="list" errorStyle="warning">
      <formula1>'Dados'!$BY$6:$BY$11</formula1>
    </dataValidation>
    <dataValidation sqref="J15" showDropDown="0" showInputMessage="0" showErrorMessage="1" allowBlank="1" errorTitle="Fora da lista" error="Faixa do desafio: escolha um valor da lista. A planilha pode não reconhecer outro valor." type="list" errorStyle="warning">
      <formula1>'Dados'!$AP$6:$AP$10</formula1>
    </dataValidation>
    <dataValidation sqref="B16" showDropDown="0" showInputMessage="0" showErrorMessage="1" allowBlank="1" errorTitle="Fora da lista" error="Tipo de cena: escolha um valor da lista. A planilha pode não reconhecer outro valor." type="list" errorStyle="warning">
      <formula1>'Dados'!$BW$6:$BW$10</formula1>
    </dataValidation>
    <dataValidation sqref="C16" showDropDown="0" showInputMessage="0" showErrorMessage="1" allowBlank="1" errorTitle="Texto longo" error="Descrição: até 200 caracteres." type="textLength" errorStyle="warning" operator="lessThanOrEqual">
      <formula1>200</formula1>
    </dataValidation>
    <dataValidation sqref="F16" showDropDown="0" showInputMessage="0" showErrorMessage="1" allowBlank="1" errorTitle="Texto longo" error="NPCs presentes: até 120 caracteres." type="textLength" errorStyle="warning" operator="lessThanOrEqual">
      <formula1>120</formula1>
    </dataValidation>
    <dataValidation sqref="H16" showDropDown="0" showInputMessage="0" showErrorMessage="1" allowBlank="1" errorTitle="Fora da lista" error="Encontro ligado: escolha um valor da lista. A planilha pode não reconhecer outro valor." type="list" errorStyle="warning">
      <formula1>'Dados'!$BX$6:$BX$9</formula1>
    </dataValidation>
    <dataValidation sqref="I16" showDropDown="0" showInputMessage="0" showErrorMessage="1" allowBlank="1" errorTitle="Fora da lista" error="Dificuldade: escolha um valor da lista. A planilha pode não reconhecer outro valor." type="list" errorStyle="warning">
      <formula1>'Dados'!$BY$6:$BY$11</formula1>
    </dataValidation>
    <dataValidation sqref="J16" showDropDown="0" showInputMessage="0" showErrorMessage="1" allowBlank="1" errorTitle="Fora da lista" error="Faixa do desafio: escolha um valor da lista. A planilha pode não reconhecer outro valor." type="list" errorStyle="warning">
      <formula1>'Dados'!$AP$6:$AP$10</formula1>
    </dataValidation>
    <dataValidation sqref="B17" showDropDown="0" showInputMessage="0" showErrorMessage="1" allowBlank="1" errorTitle="Fora da lista" error="Tipo de cena: escolha um valor da lista. A planilha pode não reconhecer outro valor." type="list" errorStyle="warning">
      <formula1>'Dados'!$BW$6:$BW$10</formula1>
    </dataValidation>
    <dataValidation sqref="C17" showDropDown="0" showInputMessage="0" showErrorMessage="1" allowBlank="1" errorTitle="Texto longo" error="Descrição: até 200 caracteres." type="textLength" errorStyle="warning" operator="lessThanOrEqual">
      <formula1>200</formula1>
    </dataValidation>
    <dataValidation sqref="F17" showDropDown="0" showInputMessage="0" showErrorMessage="1" allowBlank="1" errorTitle="Texto longo" error="NPCs presentes: até 120 caracteres." type="textLength" errorStyle="warning" operator="lessThanOrEqual">
      <formula1>120</formula1>
    </dataValidation>
    <dataValidation sqref="H17" showDropDown="0" showInputMessage="0" showErrorMessage="1" allowBlank="1" errorTitle="Fora da lista" error="Encontro ligado: escolha um valor da lista. A planilha pode não reconhecer outro valor." type="list" errorStyle="warning">
      <formula1>'Dados'!$BX$6:$BX$9</formula1>
    </dataValidation>
    <dataValidation sqref="I17" showDropDown="0" showInputMessage="0" showErrorMessage="1" allowBlank="1" errorTitle="Fora da lista" error="Dificuldade: escolha um valor da lista. A planilha pode não reconhecer outro valor." type="list" errorStyle="warning">
      <formula1>'Dados'!$BY$6:$BY$11</formula1>
    </dataValidation>
    <dataValidation sqref="J17" showDropDown="0" showInputMessage="0" showErrorMessage="1" allowBlank="1" errorTitle="Fora da lista" error="Faixa do desafio: escolha um valor da lista. A planilha pode não reconhecer outro valor." type="list" errorStyle="warning">
      <formula1>'Dados'!$AP$6:$AP$10</formula1>
    </dataValidation>
    <dataValidation sqref="B18" showDropDown="0" showInputMessage="0" showErrorMessage="1" allowBlank="1" errorTitle="Fora da lista" error="Tipo de cena: escolha um valor da lista. A planilha pode não reconhecer outro valor." type="list" errorStyle="warning">
      <formula1>'Dados'!$BW$6:$BW$10</formula1>
    </dataValidation>
    <dataValidation sqref="C18" showDropDown="0" showInputMessage="0" showErrorMessage="1" allowBlank="1" errorTitle="Texto longo" error="Descrição: até 200 caracteres." type="textLength" errorStyle="warning" operator="lessThanOrEqual">
      <formula1>200</formula1>
    </dataValidation>
    <dataValidation sqref="F18" showDropDown="0" showInputMessage="0" showErrorMessage="1" allowBlank="1" errorTitle="Texto longo" error="NPCs presentes: até 120 caracteres." type="textLength" errorStyle="warning" operator="lessThanOrEqual">
      <formula1>120</formula1>
    </dataValidation>
    <dataValidation sqref="H18" showDropDown="0" showInputMessage="0" showErrorMessage="1" allowBlank="1" errorTitle="Fora da lista" error="Encontro ligado: escolha um valor da lista. A planilha pode não reconhecer outro valor." type="list" errorStyle="warning">
      <formula1>'Dados'!$BX$6:$BX$9</formula1>
    </dataValidation>
    <dataValidation sqref="I18" showDropDown="0" showInputMessage="0" showErrorMessage="1" allowBlank="1" errorTitle="Fora da lista" error="Dificuldade: escolha um valor da lista. A planilha pode não reconhecer outro valor." type="list" errorStyle="warning">
      <formula1>'Dados'!$BY$6:$BY$11</formula1>
    </dataValidation>
    <dataValidation sqref="J18" showDropDown="0" showInputMessage="0" showErrorMessage="1" allowBlank="1" errorTitle="Fora da lista" error="Faixa do desafio: escolha um valor da lista. A planilha pode não reconhecer outro valor." type="list" errorStyle="warning">
      <formula1>'Dados'!$AP$6:$AP$10</formula1>
    </dataValidation>
    <dataValidation sqref="B28" showDropDown="0" showInputMessage="0" showErrorMessage="1" allowBlank="1" errorTitle="Texto longo" error="Pista: até 200 caracteres." type="textLength" errorStyle="warning" operator="lessThanOrEqual">
      <formula1>200</formula1>
    </dataValidation>
    <dataValidation sqref="J28" showDropDown="0" showInputMessage="0" showErrorMessage="1" allowBlank="1" errorTitle="Fora da lista" error="Revelada?: escolha um valor da lista. A planilha pode não reconhecer outro valor." type="list" errorStyle="warning">
      <formula1>'Dados'!$AT$6:$AT$7</formula1>
    </dataValidation>
    <dataValidation sqref="B29" showDropDown="0" showInputMessage="0" showErrorMessage="1" allowBlank="1" errorTitle="Texto longo" error="Pista: até 200 caracteres." type="textLength" errorStyle="warning" operator="lessThanOrEqual">
      <formula1>200</formula1>
    </dataValidation>
    <dataValidation sqref="J29" showDropDown="0" showInputMessage="0" showErrorMessage="1" allowBlank="1" errorTitle="Fora da lista" error="Revelada?: escolha um valor da lista. A planilha pode não reconhecer outro valor." type="list" errorStyle="warning">
      <formula1>'Dados'!$AT$6:$AT$7</formula1>
    </dataValidation>
    <dataValidation sqref="B30" showDropDown="0" showInputMessage="0" showErrorMessage="1" allowBlank="1" errorTitle="Texto longo" error="Pista: até 200 caracteres." type="textLength" errorStyle="warning" operator="lessThanOrEqual">
      <formula1>200</formula1>
    </dataValidation>
    <dataValidation sqref="J30" showDropDown="0" showInputMessage="0" showErrorMessage="1" allowBlank="1" errorTitle="Fora da lista" error="Revelada?: escolha um valor da lista. A planilha pode não reconhecer outro valor." type="list" errorStyle="warning">
      <formula1>'Dados'!$AT$6:$AT$7</formula1>
    </dataValidation>
    <dataValidation sqref="B31" showDropDown="0" showInputMessage="0" showErrorMessage="1" allowBlank="1" errorTitle="Texto longo" error="Pista: até 200 caracteres." type="textLength" errorStyle="warning" operator="lessThanOrEqual">
      <formula1>200</formula1>
    </dataValidation>
    <dataValidation sqref="J31" showDropDown="0" showInputMessage="0" showErrorMessage="1" allowBlank="1" errorTitle="Fora da lista" error="Revelada?: escolha um valor da lista. A planilha pode não reconhecer outro valor." type="list" errorStyle="warning">
      <formula1>'Dados'!$AT$6:$AT$7</formula1>
    </dataValidation>
    <dataValidation sqref="B32" showDropDown="0" showInputMessage="0" showErrorMessage="1" allowBlank="1" errorTitle="Texto longo" error="Pista: até 200 caracteres." type="textLength" errorStyle="warning" operator="lessThanOrEqual">
      <formula1>200</formula1>
    </dataValidation>
    <dataValidation sqref="J32" showDropDown="0" showInputMessage="0" showErrorMessage="1" allowBlank="1" errorTitle="Fora da lista" error="Revelada?: escolha um valor da lista. A planilha pode não reconhecer outro valor." type="list" errorStyle="warning">
      <formula1>'Dados'!$AT$6:$AT$7</formula1>
    </dataValidation>
    <dataValidation sqref="B33" showDropDown="0" showInputMessage="0" showErrorMessage="1" allowBlank="1" errorTitle="Texto longo" error="Pista: até 200 caracteres." type="textLength" errorStyle="warning" operator="lessThanOrEqual">
      <formula1>200</formula1>
    </dataValidation>
    <dataValidation sqref="J33" showDropDown="0" showInputMessage="0" showErrorMessage="1" allowBlank="1" errorTitle="Fora da lista" error="Revelada?: escolha um valor da lista. A planilha pode não reconhecer outro valor." type="list" errorStyle="warning">
      <formula1>'Dados'!$AT$6:$AT$7</formula1>
    </dataValidation>
    <dataValidation sqref="B34" showDropDown="0" showInputMessage="0" showErrorMessage="1" allowBlank="1" errorTitle="Texto longo" error="Pista: até 200 caracteres." type="textLength" errorStyle="warning" operator="lessThanOrEqual">
      <formula1>200</formula1>
    </dataValidation>
    <dataValidation sqref="J34" showDropDown="0" showInputMessage="0" showErrorMessage="1" allowBlank="1" errorTitle="Fora da lista" error="Revelada?: escolha um valor da lista. A planilha pode não reconhecer outro valor." type="list" errorStyle="warning">
      <formula1>'Dados'!$AT$6:$AT$7</formula1>
    </dataValidation>
    <dataValidation sqref="B35" showDropDown="0" showInputMessage="0" showErrorMessage="1" allowBlank="1" errorTitle="Texto longo" error="Pista: até 200 caracteres." type="textLength" errorStyle="warning" operator="lessThanOrEqual">
      <formula1>200</formula1>
    </dataValidation>
    <dataValidation sqref="J35" showDropDown="0" showInputMessage="0" showErrorMessage="1" allowBlank="1" errorTitle="Fora da lista" error="Revelada?: escolha um valor da lista. A planilha pode não reconhecer outro valor." type="list" errorStyle="warning">
      <formula1>'Dados'!$AT$6:$AT$7</formula1>
    </dataValidation>
    <dataValidation sqref="B36" showDropDown="0" showInputMessage="0" showErrorMessage="1" allowBlank="1" errorTitle="Texto longo" error="Pista: até 200 caracteres." type="textLength" errorStyle="warning" operator="lessThanOrEqual">
      <formula1>200</formula1>
    </dataValidation>
    <dataValidation sqref="J36" showDropDown="0" showInputMessage="0" showErrorMessage="1" allowBlank="1" errorTitle="Fora da lista" error="Revelada?: escolha um valor da lista. A planilha pode não reconhecer outro valor." type="list" errorStyle="warning">
      <formula1>'Dados'!$AT$6:$AT$7</formula1>
    </dataValidation>
    <dataValidation sqref="B37" showDropDown="0" showInputMessage="0" showErrorMessage="1" allowBlank="1" errorTitle="Texto longo" error="Pista: até 200 caracteres." type="textLength" errorStyle="warning" operator="lessThanOrEqual">
      <formula1>200</formula1>
    </dataValidation>
    <dataValidation sqref="J37" showDropDown="0" showInputMessage="0" showErrorMessage="1" allowBlank="1" errorTitle="Fora da lista" error="Revelada?: escolha um valor da lista. A planilha pode não reconhecer outro valor." type="list" errorStyle="warning">
      <formula1>'Dados'!$AT$6:$AT$7</formula1>
    </dataValidation>
    <dataValidation sqref="B41" showDropDown="0" showInputMessage="0" showErrorMessage="1" allowBlank="1" errorTitle="Texto longo" error="Recompensas planejadas: até 200 caracteres." type="textLength" errorStyle="warning" operator="lessThanOrEqual">
      <formula1>200</formula1>
    </dataValidation>
    <dataValidation sqref="F46" showDropDown="0" showInputMessage="0" showErrorMessage="1" allowBlank="1" errorTitle="Texto longo" error="Gancho: até 200 caracteres." type="textLength" errorStyle="warning" operator="lessThanOrEqual">
      <formula1>200</formula1>
    </dataValidation>
    <dataValidation sqref="F47" showDropDown="0" showInputMessage="0" showErrorMessage="1" allowBlank="1" errorTitle="Texto longo" error="Gancho: até 200 caracteres." type="textLength" errorStyle="warning" operator="lessThanOrEqual">
      <formula1>200</formula1>
    </dataValidation>
    <dataValidation sqref="F48" showDropDown="0" showInputMessage="0" showErrorMessage="1" allowBlank="1" errorTitle="Texto longo" error="Gancho: até 200 caracteres." type="textLength" errorStyle="warning" operator="lessThanOrEqual">
      <formula1>200</formula1>
    </dataValidation>
    <dataValidation sqref="F49" showDropDown="0" showInputMessage="0" showErrorMessage="1" allowBlank="1" errorTitle="Texto longo" error="Gancho: até 200 caracteres." type="textLength" errorStyle="warning" operator="lessThanOrEqual">
      <formula1>200</formula1>
    </dataValidation>
    <dataValidation sqref="F50" showDropDown="0" showInputMessage="0" showErrorMessage="1" allowBlank="1" errorTitle="Texto longo" error="Gancho: até 200 caracteres." type="textLength" errorStyle="warning" operator="lessThanOrEqual">
      <formula1>200</formula1>
    </dataValidation>
    <dataValidation sqref="F51" showDropDown="0" showInputMessage="0" showErrorMessage="1" allowBlank="1" errorTitle="Texto longo" error="Gancho: até 200 caracteres." type="textLength" errorStyle="warning" operator="lessThanOrEqual">
      <formula1>200</formula1>
    </dataValidation>
    <dataValidation sqref="G55" showDropDown="0" showInputMessage="0" showErrorMessage="1" allowBlank="1" errorTitle="Fora da lista" error="Feito?: escolha um valor da lista. A planilha pode não reconhecer outro valor." type="list" errorStyle="warning">
      <formula1>'Dados'!$AT$6:$AT$7</formula1>
    </dataValidation>
    <dataValidation sqref="G56" showDropDown="0" showInputMessage="0" showErrorMessage="1" allowBlank="1" errorTitle="Fora da lista" error="Feito?: escolha um valor da lista. A planilha pode não reconhecer outro valor." type="list" errorStyle="warning">
      <formula1>'Dados'!$AT$6:$AT$7</formula1>
    </dataValidation>
    <dataValidation sqref="G57" showDropDown="0" showInputMessage="0" showErrorMessage="1" allowBlank="1" errorTitle="Fora da lista" error="Feito?: escolha um valor da lista. A planilha pode não reconhecer outro valor." type="list" errorStyle="warning">
      <formula1>'Dados'!$AT$6:$AT$7</formula1>
    </dataValidation>
    <dataValidation sqref="G58" showDropDown="0" showInputMessage="0" showErrorMessage="1" allowBlank="1" errorTitle="Valor fora da faixa" error="Combates do dia: use um número inteiro de 0 a 9." type="whole" errorStyle="warning" operator="between">
      <formula1>0</formula1>
      <formula2>9</formula2>
    </dataValidation>
    <dataValidation sqref="G59" showDropDown="0" showInputMessage="0" showErrorMessage="1" allowBlank="1" errorTitle="Fora da lista" error="Feito?: escolha um valor da lista. A planilha pode não reconhecer outro valor." type="list" errorStyle="warning">
      <formula1>'Dados'!$AT$6:$AT$7</formula1>
    </dataValidation>
    <dataValidation sqref="A64" showDropDown="0" showInputMessage="0" showErrorMessage="1" allowBlank="1" errorTitle="Valor fora da faixa" error="Sessão nº: use um número inteiro de 1 a 999." type="whole" errorStyle="warning" operator="between">
      <formula1>1</formula1>
      <formula2>999</formula2>
    </dataValidation>
    <dataValidation sqref="B64" showDropDown="0" showInputMessage="0" showErrorMessage="1" allowBlank="1" errorTitle="Texto longo" error="Data real: até 20 caracteres." type="textLength" errorStyle="warning" operator="lessThanOrEqual">
      <formula1>20</formula1>
    </dataValidation>
    <dataValidation sqref="C64" showDropDown="0" showInputMessage="0" showErrorMessage="1" allowBlank="1" errorTitle="Valor fora da faixa" error="Dia de campanha: use um número inteiro de 1 a 9999." type="whole" errorStyle="warning" operator="between">
      <formula1>1</formula1>
      <formula2>9999</formula2>
    </dataValidation>
    <dataValidation sqref="D64" showDropDown="0" showInputMessage="0" showErrorMessage="1" allowBlank="1" errorTitle="Fora da lista" error="Marco atingido?: escolha um valor da lista. A planilha pode não reconhecer outro valor." type="list" errorStyle="warning">
      <formula1>'Dados'!$AT$6:$AT$7</formula1>
    </dataValidation>
    <dataValidation sqref="E64" showDropDown="0" showInputMessage="0" showErrorMessage="1" allowBlank="1" errorTitle="Texto longo" error="Resumo: até 300 caracteres." type="textLength" errorStyle="warning" operator="lessThanOrEqual">
      <formula1>300</formula1>
    </dataValidation>
    <dataValidation sqref="A65" showDropDown="0" showInputMessage="0" showErrorMessage="1" allowBlank="1" errorTitle="Valor fora da faixa" error="Sessão nº: use um número inteiro de 1 a 999." type="whole" errorStyle="warning" operator="between">
      <formula1>1</formula1>
      <formula2>999</formula2>
    </dataValidation>
    <dataValidation sqref="B65" showDropDown="0" showInputMessage="0" showErrorMessage="1" allowBlank="1" errorTitle="Texto longo" error="Data real: até 20 caracteres." type="textLength" errorStyle="warning" operator="lessThanOrEqual">
      <formula1>20</formula1>
    </dataValidation>
    <dataValidation sqref="C65" showDropDown="0" showInputMessage="0" showErrorMessage="1" allowBlank="1" errorTitle="Valor fora da faixa" error="Dia de campanha: use um número inteiro de 1 a 9999." type="whole" errorStyle="warning" operator="between">
      <formula1>1</formula1>
      <formula2>9999</formula2>
    </dataValidation>
    <dataValidation sqref="D65" showDropDown="0" showInputMessage="0" showErrorMessage="1" allowBlank="1" errorTitle="Fora da lista" error="Marco atingido?: escolha um valor da lista. A planilha pode não reconhecer outro valor." type="list" errorStyle="warning">
      <formula1>'Dados'!$AT$6:$AT$7</formula1>
    </dataValidation>
    <dataValidation sqref="E65" showDropDown="0" showInputMessage="0" showErrorMessage="1" allowBlank="1" errorTitle="Texto longo" error="Resumo: até 300 caracteres." type="textLength" errorStyle="warning" operator="lessThanOrEqual">
      <formula1>300</formula1>
    </dataValidation>
    <dataValidation sqref="A66" showDropDown="0" showInputMessage="0" showErrorMessage="1" allowBlank="1" errorTitle="Valor fora da faixa" error="Sessão nº: use um número inteiro de 1 a 999." type="whole" errorStyle="warning" operator="between">
      <formula1>1</formula1>
      <formula2>999</formula2>
    </dataValidation>
    <dataValidation sqref="B66" showDropDown="0" showInputMessage="0" showErrorMessage="1" allowBlank="1" errorTitle="Texto longo" error="Data real: até 20 caracteres." type="textLength" errorStyle="warning" operator="lessThanOrEqual">
      <formula1>20</formula1>
    </dataValidation>
    <dataValidation sqref="C66" showDropDown="0" showInputMessage="0" showErrorMessage="1" allowBlank="1" errorTitle="Valor fora da faixa" error="Dia de campanha: use um número inteiro de 1 a 9999." type="whole" errorStyle="warning" operator="between">
      <formula1>1</formula1>
      <formula2>9999</formula2>
    </dataValidation>
    <dataValidation sqref="D66" showDropDown="0" showInputMessage="0" showErrorMessage="1" allowBlank="1" errorTitle="Fora da lista" error="Marco atingido?: escolha um valor da lista. A planilha pode não reconhecer outro valor." type="list" errorStyle="warning">
      <formula1>'Dados'!$AT$6:$AT$7</formula1>
    </dataValidation>
    <dataValidation sqref="E66" showDropDown="0" showInputMessage="0" showErrorMessage="1" allowBlank="1" errorTitle="Texto longo" error="Resumo: até 300 caracteres." type="textLength" errorStyle="warning" operator="lessThanOrEqual">
      <formula1>300</formula1>
    </dataValidation>
    <dataValidation sqref="A67" showDropDown="0" showInputMessage="0" showErrorMessage="1" allowBlank="1" errorTitle="Valor fora da faixa" error="Sessão nº: use um número inteiro de 1 a 999." type="whole" errorStyle="warning" operator="between">
      <formula1>1</formula1>
      <formula2>999</formula2>
    </dataValidation>
    <dataValidation sqref="B67" showDropDown="0" showInputMessage="0" showErrorMessage="1" allowBlank="1" errorTitle="Texto longo" error="Data real: até 20 caracteres." type="textLength" errorStyle="warning" operator="lessThanOrEqual">
      <formula1>20</formula1>
    </dataValidation>
    <dataValidation sqref="C67" showDropDown="0" showInputMessage="0" showErrorMessage="1" allowBlank="1" errorTitle="Valor fora da faixa" error="Dia de campanha: use um número inteiro de 1 a 9999." type="whole" errorStyle="warning" operator="between">
      <formula1>1</formula1>
      <formula2>9999</formula2>
    </dataValidation>
    <dataValidation sqref="D67" showDropDown="0" showInputMessage="0" showErrorMessage="1" allowBlank="1" errorTitle="Fora da lista" error="Marco atingido?: escolha um valor da lista. A planilha pode não reconhecer outro valor." type="list" errorStyle="warning">
      <formula1>'Dados'!$AT$6:$AT$7</formula1>
    </dataValidation>
    <dataValidation sqref="E67" showDropDown="0" showInputMessage="0" showErrorMessage="1" allowBlank="1" errorTitle="Texto longo" error="Resumo: até 300 caracteres." type="textLength" errorStyle="warning" operator="lessThanOrEqual">
      <formula1>300</formula1>
    </dataValidation>
    <dataValidation sqref="A68" showDropDown="0" showInputMessage="0" showErrorMessage="1" allowBlank="1" errorTitle="Valor fora da faixa" error="Sessão nº: use um número inteiro de 1 a 999." type="whole" errorStyle="warning" operator="between">
      <formula1>1</formula1>
      <formula2>999</formula2>
    </dataValidation>
    <dataValidation sqref="B68" showDropDown="0" showInputMessage="0" showErrorMessage="1" allowBlank="1" errorTitle="Texto longo" error="Data real: até 20 caracteres." type="textLength" errorStyle="warning" operator="lessThanOrEqual">
      <formula1>20</formula1>
    </dataValidation>
    <dataValidation sqref="C68" showDropDown="0" showInputMessage="0" showErrorMessage="1" allowBlank="1" errorTitle="Valor fora da faixa" error="Dia de campanha: use um número inteiro de 1 a 9999." type="whole" errorStyle="warning" operator="between">
      <formula1>1</formula1>
      <formula2>9999</formula2>
    </dataValidation>
    <dataValidation sqref="D68" showDropDown="0" showInputMessage="0" showErrorMessage="1" allowBlank="1" errorTitle="Fora da lista" error="Marco atingido?: escolha um valor da lista. A planilha pode não reconhecer outro valor." type="list" errorStyle="warning">
      <formula1>'Dados'!$AT$6:$AT$7</formula1>
    </dataValidation>
    <dataValidation sqref="E68" showDropDown="0" showInputMessage="0" showErrorMessage="1" allowBlank="1" errorTitle="Texto longo" error="Resumo: até 300 caracteres." type="textLength" errorStyle="warning" operator="lessThanOrEqual">
      <formula1>300</formula1>
    </dataValidation>
    <dataValidation sqref="A69" showDropDown="0" showInputMessage="0" showErrorMessage="1" allowBlank="1" errorTitle="Valor fora da faixa" error="Sessão nº: use um número inteiro de 1 a 999." type="whole" errorStyle="warning" operator="between">
      <formula1>1</formula1>
      <formula2>999</formula2>
    </dataValidation>
    <dataValidation sqref="B69" showDropDown="0" showInputMessage="0" showErrorMessage="1" allowBlank="1" errorTitle="Texto longo" error="Data real: até 20 caracteres." type="textLength" errorStyle="warning" operator="lessThanOrEqual">
      <formula1>20</formula1>
    </dataValidation>
    <dataValidation sqref="C69" showDropDown="0" showInputMessage="0" showErrorMessage="1" allowBlank="1" errorTitle="Valor fora da faixa" error="Dia de campanha: use um número inteiro de 1 a 9999." type="whole" errorStyle="warning" operator="between">
      <formula1>1</formula1>
      <formula2>9999</formula2>
    </dataValidation>
    <dataValidation sqref="D69" showDropDown="0" showInputMessage="0" showErrorMessage="1" allowBlank="1" errorTitle="Fora da lista" error="Marco atingido?: escolha um valor da lista. A planilha pode não reconhecer outro valor." type="list" errorStyle="warning">
      <formula1>'Dados'!$AT$6:$AT$7</formula1>
    </dataValidation>
    <dataValidation sqref="E69" showDropDown="0" showInputMessage="0" showErrorMessage="1" allowBlank="1" errorTitle="Texto longo" error="Resumo: até 300 caracteres." type="textLength" errorStyle="warning" operator="lessThanOrEqual">
      <formula1>300</formula1>
    </dataValidation>
    <dataValidation sqref="A70" showDropDown="0" showInputMessage="0" showErrorMessage="1" allowBlank="1" errorTitle="Valor fora da faixa" error="Sessão nº: use um número inteiro de 1 a 999." type="whole" errorStyle="warning" operator="between">
      <formula1>1</formula1>
      <formula2>999</formula2>
    </dataValidation>
    <dataValidation sqref="B70" showDropDown="0" showInputMessage="0" showErrorMessage="1" allowBlank="1" errorTitle="Texto longo" error="Data real: até 20 caracteres." type="textLength" errorStyle="warning" operator="lessThanOrEqual">
      <formula1>20</formula1>
    </dataValidation>
    <dataValidation sqref="C70" showDropDown="0" showInputMessage="0" showErrorMessage="1" allowBlank="1" errorTitle="Valor fora da faixa" error="Dia de campanha: use um número inteiro de 1 a 9999." type="whole" errorStyle="warning" operator="between">
      <formula1>1</formula1>
      <formula2>9999</formula2>
    </dataValidation>
    <dataValidation sqref="D70" showDropDown="0" showInputMessage="0" showErrorMessage="1" allowBlank="1" errorTitle="Fora da lista" error="Marco atingido?: escolha um valor da lista. A planilha pode não reconhecer outro valor." type="list" errorStyle="warning">
      <formula1>'Dados'!$AT$6:$AT$7</formula1>
    </dataValidation>
    <dataValidation sqref="E70" showDropDown="0" showInputMessage="0" showErrorMessage="1" allowBlank="1" errorTitle="Texto longo" error="Resumo: até 300 caracteres." type="textLength" errorStyle="warning" operator="lessThanOrEqual">
      <formula1>300</formula1>
    </dataValidation>
    <dataValidation sqref="A71" showDropDown="0" showInputMessage="0" showErrorMessage="1" allowBlank="1" errorTitle="Valor fora da faixa" error="Sessão nº: use um número inteiro de 1 a 999." type="whole" errorStyle="warning" operator="between">
      <formula1>1</formula1>
      <formula2>999</formula2>
    </dataValidation>
    <dataValidation sqref="B71" showDropDown="0" showInputMessage="0" showErrorMessage="1" allowBlank="1" errorTitle="Texto longo" error="Data real: até 20 caracteres." type="textLength" errorStyle="warning" operator="lessThanOrEqual">
      <formula1>20</formula1>
    </dataValidation>
    <dataValidation sqref="C71" showDropDown="0" showInputMessage="0" showErrorMessage="1" allowBlank="1" errorTitle="Valor fora da faixa" error="Dia de campanha: use um número inteiro de 1 a 9999." type="whole" errorStyle="warning" operator="between">
      <formula1>1</formula1>
      <formula2>9999</formula2>
    </dataValidation>
    <dataValidation sqref="D71" showDropDown="0" showInputMessage="0" showErrorMessage="1" allowBlank="1" errorTitle="Fora da lista" error="Marco atingido?: escolha um valor da lista. A planilha pode não reconhecer outro valor." type="list" errorStyle="warning">
      <formula1>'Dados'!$AT$6:$AT$7</formula1>
    </dataValidation>
    <dataValidation sqref="E71" showDropDown="0" showInputMessage="0" showErrorMessage="1" allowBlank="1" errorTitle="Texto longo" error="Resumo: até 300 caracteres." type="textLength" errorStyle="warning" operator="lessThanOrEqual">
      <formula1>300</formula1>
    </dataValidation>
    <dataValidation sqref="A72" showDropDown="0" showInputMessage="0" showErrorMessage="1" allowBlank="1" errorTitle="Valor fora da faixa" error="Sessão nº: use um número inteiro de 1 a 999." type="whole" errorStyle="warning" operator="between">
      <formula1>1</formula1>
      <formula2>999</formula2>
    </dataValidation>
    <dataValidation sqref="B72" showDropDown="0" showInputMessage="0" showErrorMessage="1" allowBlank="1" errorTitle="Texto longo" error="Data real: até 20 caracteres." type="textLength" errorStyle="warning" operator="lessThanOrEqual">
      <formula1>20</formula1>
    </dataValidation>
    <dataValidation sqref="C72" showDropDown="0" showInputMessage="0" showErrorMessage="1" allowBlank="1" errorTitle="Valor fora da faixa" error="Dia de campanha: use um número inteiro de 1 a 9999." type="whole" errorStyle="warning" operator="between">
      <formula1>1</formula1>
      <formula2>9999</formula2>
    </dataValidation>
    <dataValidation sqref="D72" showDropDown="0" showInputMessage="0" showErrorMessage="1" allowBlank="1" errorTitle="Fora da lista" error="Marco atingido?: escolha um valor da lista. A planilha pode não reconhecer outro valor." type="list" errorStyle="warning">
      <formula1>'Dados'!$AT$6:$AT$7</formula1>
    </dataValidation>
    <dataValidation sqref="E72" showDropDown="0" showInputMessage="0" showErrorMessage="1" allowBlank="1" errorTitle="Texto longo" error="Resumo: até 300 caracteres." type="textLength" errorStyle="warning" operator="lessThanOrEqual">
      <formula1>300</formula1>
    </dataValidation>
    <dataValidation sqref="A73" showDropDown="0" showInputMessage="0" showErrorMessage="1" allowBlank="1" errorTitle="Valor fora da faixa" error="Sessão nº: use um número inteiro de 1 a 999." type="whole" errorStyle="warning" operator="between">
      <formula1>1</formula1>
      <formula2>999</formula2>
    </dataValidation>
    <dataValidation sqref="B73" showDropDown="0" showInputMessage="0" showErrorMessage="1" allowBlank="1" errorTitle="Texto longo" error="Data real: até 20 caracteres." type="textLength" errorStyle="warning" operator="lessThanOrEqual">
      <formula1>20</formula1>
    </dataValidation>
    <dataValidation sqref="C73" showDropDown="0" showInputMessage="0" showErrorMessage="1" allowBlank="1" errorTitle="Valor fora da faixa" error="Dia de campanha: use um número inteiro de 1 a 9999." type="whole" errorStyle="warning" operator="between">
      <formula1>1</formula1>
      <formula2>9999</formula2>
    </dataValidation>
    <dataValidation sqref="D73" showDropDown="0" showInputMessage="0" showErrorMessage="1" allowBlank="1" errorTitle="Fora da lista" error="Marco atingido?: escolha um valor da lista. A planilha pode não reconhecer outro valor." type="list" errorStyle="warning">
      <formula1>'Dados'!$AT$6:$AT$7</formula1>
    </dataValidation>
    <dataValidation sqref="E73" showDropDown="0" showInputMessage="0" showErrorMessage="1" allowBlank="1" errorTitle="Texto longo" error="Resumo: até 300 caracteres." type="textLength" errorStyle="warning" operator="lessThanOrEqual">
      <formula1>300</formula1>
    </dataValidation>
    <dataValidation sqref="A75" showDropDown="0" showInputMessage="0" showErrorMessage="1" allowBlank="1" errorTitle="Valor fora da faixa" error="Sessão nº: use um número inteiro de 1 a 999." type="whole" errorStyle="warning" operator="between">
      <formula1>1</formula1>
      <formula2>999</formula2>
    </dataValidation>
    <dataValidation sqref="B75" showDropDown="0" showInputMessage="0" showErrorMessage="1" allowBlank="1" errorTitle="Texto longo" error="Data real: até 20 caracteres." type="textLength" errorStyle="warning" operator="lessThanOrEqual">
      <formula1>20</formula1>
    </dataValidation>
    <dataValidation sqref="C75" showDropDown="0" showInputMessage="0" showErrorMessage="1" allowBlank="1" errorTitle="Valor fora da faixa" error="Dia de campanha: use um número inteiro de 1 a 9999." type="whole" errorStyle="warning" operator="between">
      <formula1>1</formula1>
      <formula2>9999</formula2>
    </dataValidation>
    <dataValidation sqref="D75" showDropDown="0" showInputMessage="0" showErrorMessage="1" allowBlank="1" errorTitle="Fora da lista" error="Marco atingido?: escolha um valor da lista. A planilha pode não reconhecer outro valor." type="list" errorStyle="warning">
      <formula1>'Dados'!$AT$6:$AT$7</formula1>
    </dataValidation>
    <dataValidation sqref="E75" showDropDown="0" showInputMessage="0" showErrorMessage="1" allowBlank="1" errorTitle="Texto longo" error="Resumo: até 300 caracteres." type="textLength" errorStyle="warning" operator="lessThanOrEqual">
      <formula1>300</formula1>
    </dataValidation>
    <dataValidation sqref="A76" showDropDown="0" showInputMessage="0" showErrorMessage="1" allowBlank="1" errorTitle="Valor fora da faixa" error="Sessão nº: use um número inteiro de 1 a 999." type="whole" errorStyle="warning" operator="between">
      <formula1>1</formula1>
      <formula2>999</formula2>
    </dataValidation>
    <dataValidation sqref="B76" showDropDown="0" showInputMessage="0" showErrorMessage="1" allowBlank="1" errorTitle="Texto longo" error="Data real: até 20 caracteres." type="textLength" errorStyle="warning" operator="lessThanOrEqual">
      <formula1>20</formula1>
    </dataValidation>
    <dataValidation sqref="C76" showDropDown="0" showInputMessage="0" showErrorMessage="1" allowBlank="1" errorTitle="Valor fora da faixa" error="Dia de campanha: use um número inteiro de 1 a 9999." type="whole" errorStyle="warning" operator="between">
      <formula1>1</formula1>
      <formula2>9999</formula2>
    </dataValidation>
    <dataValidation sqref="D76" showDropDown="0" showInputMessage="0" showErrorMessage="1" allowBlank="1" errorTitle="Fora da lista" error="Marco atingido?: escolha um valor da lista. A planilha pode não reconhecer outro valor." type="list" errorStyle="warning">
      <formula1>'Dados'!$AT$6:$AT$7</formula1>
    </dataValidation>
    <dataValidation sqref="E76" showDropDown="0" showInputMessage="0" showErrorMessage="1" allowBlank="1" errorTitle="Texto longo" error="Resumo: até 300 caracteres." type="textLength" errorStyle="warning" operator="lessThanOrEqual">
      <formula1>300</formula1>
    </dataValidation>
    <dataValidation sqref="A77" showDropDown="0" showInputMessage="0" showErrorMessage="1" allowBlank="1" errorTitle="Valor fora da faixa" error="Sessão nº: use um número inteiro de 1 a 999." type="whole" errorStyle="warning" operator="between">
      <formula1>1</formula1>
      <formula2>999</formula2>
    </dataValidation>
    <dataValidation sqref="B77" showDropDown="0" showInputMessage="0" showErrorMessage="1" allowBlank="1" errorTitle="Texto longo" error="Data real: até 20 caracteres." type="textLength" errorStyle="warning" operator="lessThanOrEqual">
      <formula1>20</formula1>
    </dataValidation>
    <dataValidation sqref="C77" showDropDown="0" showInputMessage="0" showErrorMessage="1" allowBlank="1" errorTitle="Valor fora da faixa" error="Dia de campanha: use um número inteiro de 1 a 9999." type="whole" errorStyle="warning" operator="between">
      <formula1>1</formula1>
      <formula2>9999</formula2>
    </dataValidation>
    <dataValidation sqref="D77" showDropDown="0" showInputMessage="0" showErrorMessage="1" allowBlank="1" errorTitle="Fora da lista" error="Marco atingido?: escolha um valor da lista. A planilha pode não reconhecer outro valor." type="list" errorStyle="warning">
      <formula1>'Dados'!$AT$6:$AT$7</formula1>
    </dataValidation>
    <dataValidation sqref="E77" showDropDown="0" showInputMessage="0" showErrorMessage="1" allowBlank="1" errorTitle="Texto longo" error="Resumo: até 300 caracteres." type="textLength" errorStyle="warning" operator="lessThanOrEqual">
      <formula1>300</formula1>
    </dataValidation>
    <dataValidation sqref="A78" showDropDown="0" showInputMessage="0" showErrorMessage="1" allowBlank="1" errorTitle="Valor fora da faixa" error="Sessão nº: use um número inteiro de 1 a 999." type="whole" errorStyle="warning" operator="between">
      <formula1>1</formula1>
      <formula2>999</formula2>
    </dataValidation>
    <dataValidation sqref="B78" showDropDown="0" showInputMessage="0" showErrorMessage="1" allowBlank="1" errorTitle="Texto longo" error="Data real: até 20 caracteres." type="textLength" errorStyle="warning" operator="lessThanOrEqual">
      <formula1>20</formula1>
    </dataValidation>
    <dataValidation sqref="C78" showDropDown="0" showInputMessage="0" showErrorMessage="1" allowBlank="1" errorTitle="Valor fora da faixa" error="Dia de campanha: use um número inteiro de 1 a 9999." type="whole" errorStyle="warning" operator="between">
      <formula1>1</formula1>
      <formula2>9999</formula2>
    </dataValidation>
    <dataValidation sqref="D78" showDropDown="0" showInputMessage="0" showErrorMessage="1" allowBlank="1" errorTitle="Fora da lista" error="Marco atingido?: escolha um valor da lista. A planilha pode não reconhecer outro valor." type="list" errorStyle="warning">
      <formula1>'Dados'!$AT$6:$AT$7</formula1>
    </dataValidation>
    <dataValidation sqref="E78" showDropDown="0" showInputMessage="0" showErrorMessage="1" allowBlank="1" errorTitle="Texto longo" error="Resumo: até 300 caracteres." type="textLength" errorStyle="warning" operator="lessThanOrEqual">
      <formula1>300</formula1>
    </dataValidation>
    <dataValidation sqref="A79" showDropDown="0" showInputMessage="0" showErrorMessage="1" allowBlank="1" errorTitle="Valor fora da faixa" error="Sessão nº: use um número inteiro de 1 a 999." type="whole" errorStyle="warning" operator="between">
      <formula1>1</formula1>
      <formula2>999</formula2>
    </dataValidation>
    <dataValidation sqref="B79" showDropDown="0" showInputMessage="0" showErrorMessage="1" allowBlank="1" errorTitle="Texto longo" error="Data real: até 20 caracteres." type="textLength" errorStyle="warning" operator="lessThanOrEqual">
      <formula1>20</formula1>
    </dataValidation>
    <dataValidation sqref="C79" showDropDown="0" showInputMessage="0" showErrorMessage="1" allowBlank="1" errorTitle="Valor fora da faixa" error="Dia de campanha: use um número inteiro de 1 a 9999." type="whole" errorStyle="warning" operator="between">
      <formula1>1</formula1>
      <formula2>9999</formula2>
    </dataValidation>
    <dataValidation sqref="D79" showDropDown="0" showInputMessage="0" showErrorMessage="1" allowBlank="1" errorTitle="Fora da lista" error="Marco atingido?: escolha um valor da lista. A planilha pode não reconhecer outro valor." type="list" errorStyle="warning">
      <formula1>'Dados'!$AT$6:$AT$7</formula1>
    </dataValidation>
    <dataValidation sqref="E79" showDropDown="0" showInputMessage="0" showErrorMessage="1" allowBlank="1" errorTitle="Texto longo" error="Resumo: até 300 caracteres." type="textLength" errorStyle="warning" operator="lessThanOrEqual">
      <formula1>300</formula1>
    </dataValidation>
    <dataValidation sqref="A80" showDropDown="0" showInputMessage="0" showErrorMessage="1" allowBlank="1" errorTitle="Valor fora da faixa" error="Sessão nº: use um número inteiro de 1 a 999." type="whole" errorStyle="warning" operator="between">
      <formula1>1</formula1>
      <formula2>999</formula2>
    </dataValidation>
    <dataValidation sqref="B80" showDropDown="0" showInputMessage="0" showErrorMessage="1" allowBlank="1" errorTitle="Texto longo" error="Data real: até 20 caracteres." type="textLength" errorStyle="warning" operator="lessThanOrEqual">
      <formula1>20</formula1>
    </dataValidation>
    <dataValidation sqref="C80" showDropDown="0" showInputMessage="0" showErrorMessage="1" allowBlank="1" errorTitle="Valor fora da faixa" error="Dia de campanha: use um número inteiro de 1 a 9999." type="whole" errorStyle="warning" operator="between">
      <formula1>1</formula1>
      <formula2>9999</formula2>
    </dataValidation>
    <dataValidation sqref="D80" showDropDown="0" showInputMessage="0" showErrorMessage="1" allowBlank="1" errorTitle="Fora da lista" error="Marco atingido?: escolha um valor da lista. A planilha pode não reconhecer outro valor." type="list" errorStyle="warning">
      <formula1>'Dados'!$AT$6:$AT$7</formula1>
    </dataValidation>
    <dataValidation sqref="E80" showDropDown="0" showInputMessage="0" showErrorMessage="1" allowBlank="1" errorTitle="Texto longo" error="Resumo: até 300 caracteres." type="textLength" errorStyle="warning" operator="lessThanOrEqual">
      <formula1>300</formula1>
    </dataValidation>
    <dataValidation sqref="A81" showDropDown="0" showInputMessage="0" showErrorMessage="1" allowBlank="1" errorTitle="Valor fora da faixa" error="Sessão nº: use um número inteiro de 1 a 999." type="whole" errorStyle="warning" operator="between">
      <formula1>1</formula1>
      <formula2>999</formula2>
    </dataValidation>
    <dataValidation sqref="B81" showDropDown="0" showInputMessage="0" showErrorMessage="1" allowBlank="1" errorTitle="Texto longo" error="Data real: até 20 caracteres." type="textLength" errorStyle="warning" operator="lessThanOrEqual">
      <formula1>20</formula1>
    </dataValidation>
    <dataValidation sqref="C81" showDropDown="0" showInputMessage="0" showErrorMessage="1" allowBlank="1" errorTitle="Valor fora da faixa" error="Dia de campanha: use um número inteiro de 1 a 9999." type="whole" errorStyle="warning" operator="between">
      <formula1>1</formula1>
      <formula2>9999</formula2>
    </dataValidation>
    <dataValidation sqref="D81" showDropDown="0" showInputMessage="0" showErrorMessage="1" allowBlank="1" errorTitle="Fora da lista" error="Marco atingido?: escolha um valor da lista. A planilha pode não reconhecer outro valor." type="list" errorStyle="warning">
      <formula1>'Dados'!$AT$6:$AT$7</formula1>
    </dataValidation>
    <dataValidation sqref="E81" showDropDown="0" showInputMessage="0" showErrorMessage="1" allowBlank="1" errorTitle="Texto longo" error="Resumo: até 300 caracteres." type="textLength" errorStyle="warning" operator="lessThanOrEqual">
      <formula1>300</formula1>
    </dataValidation>
    <dataValidation sqref="A82" showDropDown="0" showInputMessage="0" showErrorMessage="1" allowBlank="1" errorTitle="Valor fora da faixa" error="Sessão nº: use um número inteiro de 1 a 999." type="whole" errorStyle="warning" operator="between">
      <formula1>1</formula1>
      <formula2>999</formula2>
    </dataValidation>
    <dataValidation sqref="B82" showDropDown="0" showInputMessage="0" showErrorMessage="1" allowBlank="1" errorTitle="Texto longo" error="Data real: até 20 caracteres." type="textLength" errorStyle="warning" operator="lessThanOrEqual">
      <formula1>20</formula1>
    </dataValidation>
    <dataValidation sqref="C82" showDropDown="0" showInputMessage="0" showErrorMessage="1" allowBlank="1" errorTitle="Valor fora da faixa" error="Dia de campanha: use um número inteiro de 1 a 9999." type="whole" errorStyle="warning" operator="between">
      <formula1>1</formula1>
      <formula2>9999</formula2>
    </dataValidation>
    <dataValidation sqref="D82" showDropDown="0" showInputMessage="0" showErrorMessage="1" allowBlank="1" errorTitle="Fora da lista" error="Marco atingido?: escolha um valor da lista. A planilha pode não reconhecer outro valor." type="list" errorStyle="warning">
      <formula1>'Dados'!$AT$6:$AT$7</formula1>
    </dataValidation>
    <dataValidation sqref="E82" showDropDown="0" showInputMessage="0" showErrorMessage="1" allowBlank="1" errorTitle="Texto longo" error="Resumo: até 300 caracteres." type="textLength" errorStyle="warning" operator="lessThanOrEqual">
      <formula1>300</formula1>
    </dataValidation>
    <dataValidation sqref="A83" showDropDown="0" showInputMessage="0" showErrorMessage="1" allowBlank="1" errorTitle="Valor fora da faixa" error="Sessão nº: use um número inteiro de 1 a 999." type="whole" errorStyle="warning" operator="between">
      <formula1>1</formula1>
      <formula2>999</formula2>
    </dataValidation>
    <dataValidation sqref="B83" showDropDown="0" showInputMessage="0" showErrorMessage="1" allowBlank="1" errorTitle="Texto longo" error="Data real: até 20 caracteres." type="textLength" errorStyle="warning" operator="lessThanOrEqual">
      <formula1>20</formula1>
    </dataValidation>
    <dataValidation sqref="C83" showDropDown="0" showInputMessage="0" showErrorMessage="1" allowBlank="1" errorTitle="Valor fora da faixa" error="Dia de campanha: use um número inteiro de 1 a 9999." type="whole" errorStyle="warning" operator="between">
      <formula1>1</formula1>
      <formula2>9999</formula2>
    </dataValidation>
    <dataValidation sqref="D83" showDropDown="0" showInputMessage="0" showErrorMessage="1" allowBlank="1" errorTitle="Fora da lista" error="Marco atingido?: escolha um valor da lista. A planilha pode não reconhecer outro valor." type="list" errorStyle="warning">
      <formula1>'Dados'!$AT$6:$AT$7</formula1>
    </dataValidation>
    <dataValidation sqref="E83" showDropDown="0" showInputMessage="0" showErrorMessage="1" allowBlank="1" errorTitle="Texto longo" error="Resumo: até 300 caracteres." type="textLength" errorStyle="warning" operator="lessThanOrEqual">
      <formula1>300</formula1>
    </dataValidation>
    <dataValidation sqref="A84" showDropDown="0" showInputMessage="0" showErrorMessage="1" allowBlank="1" errorTitle="Valor fora da faixa" error="Sessão nº: use um número inteiro de 1 a 999." type="whole" errorStyle="warning" operator="between">
      <formula1>1</formula1>
      <formula2>999</formula2>
    </dataValidation>
    <dataValidation sqref="B84" showDropDown="0" showInputMessage="0" showErrorMessage="1" allowBlank="1" errorTitle="Texto longo" error="Data real: até 20 caracteres." type="textLength" errorStyle="warning" operator="lessThanOrEqual">
      <formula1>20</formula1>
    </dataValidation>
    <dataValidation sqref="C84" showDropDown="0" showInputMessage="0" showErrorMessage="1" allowBlank="1" errorTitle="Valor fora da faixa" error="Dia de campanha: use um número inteiro de 1 a 9999." type="whole" errorStyle="warning" operator="between">
      <formula1>1</formula1>
      <formula2>9999</formula2>
    </dataValidation>
    <dataValidation sqref="D84" showDropDown="0" showInputMessage="0" showErrorMessage="1" allowBlank="1" errorTitle="Fora da lista" error="Marco atingido?: escolha um valor da lista. A planilha pode não reconhecer outro valor." type="list" errorStyle="warning">
      <formula1>'Dados'!$AT$6:$AT$7</formula1>
    </dataValidation>
    <dataValidation sqref="E84" showDropDown="0" showInputMessage="0" showErrorMessage="1" allowBlank="1" errorTitle="Texto longo" error="Resumo: até 300 caracteres." type="textLength" errorStyle="warning" operator="lessThanOrEqual">
      <formula1>300</formula1>
    </dataValidation>
    <dataValidation sqref="A86" showDropDown="0" showInputMessage="0" showErrorMessage="1" allowBlank="1" errorTitle="Valor fora da faixa" error="Sessão nº: use um número inteiro de 1 a 999." type="whole" errorStyle="warning" operator="between">
      <formula1>1</formula1>
      <formula2>999</formula2>
    </dataValidation>
    <dataValidation sqref="B86" showDropDown="0" showInputMessage="0" showErrorMessage="1" allowBlank="1" errorTitle="Texto longo" error="Data real: até 20 caracteres." type="textLength" errorStyle="warning" operator="lessThanOrEqual">
      <formula1>20</formula1>
    </dataValidation>
    <dataValidation sqref="C86" showDropDown="0" showInputMessage="0" showErrorMessage="1" allowBlank="1" errorTitle="Valor fora da faixa" error="Dia de campanha: use um número inteiro de 1 a 9999." type="whole" errorStyle="warning" operator="between">
      <formula1>1</formula1>
      <formula2>9999</formula2>
    </dataValidation>
    <dataValidation sqref="D86" showDropDown="0" showInputMessage="0" showErrorMessage="1" allowBlank="1" errorTitle="Fora da lista" error="Marco atingido?: escolha um valor da lista. A planilha pode não reconhecer outro valor." type="list" errorStyle="warning">
      <formula1>'Dados'!$AT$6:$AT$7</formula1>
    </dataValidation>
    <dataValidation sqref="E86" showDropDown="0" showInputMessage="0" showErrorMessage="1" allowBlank="1" errorTitle="Texto longo" error="Resumo: até 300 caracteres." type="textLength" errorStyle="warning" operator="lessThanOrEqual">
      <formula1>300</formula1>
    </dataValidation>
    <dataValidation sqref="A87" showDropDown="0" showInputMessage="0" showErrorMessage="1" allowBlank="1" errorTitle="Valor fora da faixa" error="Sessão nº: use um número inteiro de 1 a 999." type="whole" errorStyle="warning" operator="between">
      <formula1>1</formula1>
      <formula2>999</formula2>
    </dataValidation>
    <dataValidation sqref="B87" showDropDown="0" showInputMessage="0" showErrorMessage="1" allowBlank="1" errorTitle="Texto longo" error="Data real: até 20 caracteres." type="textLength" errorStyle="warning" operator="lessThanOrEqual">
      <formula1>20</formula1>
    </dataValidation>
    <dataValidation sqref="C87" showDropDown="0" showInputMessage="0" showErrorMessage="1" allowBlank="1" errorTitle="Valor fora da faixa" error="Dia de campanha: use um número inteiro de 1 a 9999." type="whole" errorStyle="warning" operator="between">
      <formula1>1</formula1>
      <formula2>9999</formula2>
    </dataValidation>
    <dataValidation sqref="D87" showDropDown="0" showInputMessage="0" showErrorMessage="1" allowBlank="1" errorTitle="Fora da lista" error="Marco atingido?: escolha um valor da lista. A planilha pode não reconhecer outro valor." type="list" errorStyle="warning">
      <formula1>'Dados'!$AT$6:$AT$7</formula1>
    </dataValidation>
    <dataValidation sqref="E87" showDropDown="0" showInputMessage="0" showErrorMessage="1" allowBlank="1" errorTitle="Texto longo" error="Resumo: até 300 caracteres." type="textLength" errorStyle="warning" operator="lessThanOrEqual">
      <formula1>300</formula1>
    </dataValidation>
    <dataValidation sqref="A88" showDropDown="0" showInputMessage="0" showErrorMessage="1" allowBlank="1" errorTitle="Valor fora da faixa" error="Sessão nº: use um número inteiro de 1 a 999." type="whole" errorStyle="warning" operator="between">
      <formula1>1</formula1>
      <formula2>999</formula2>
    </dataValidation>
    <dataValidation sqref="B88" showDropDown="0" showInputMessage="0" showErrorMessage="1" allowBlank="1" errorTitle="Texto longo" error="Data real: até 20 caracteres." type="textLength" errorStyle="warning" operator="lessThanOrEqual">
      <formula1>20</formula1>
    </dataValidation>
    <dataValidation sqref="C88" showDropDown="0" showInputMessage="0" showErrorMessage="1" allowBlank="1" errorTitle="Valor fora da faixa" error="Dia de campanha: use um número inteiro de 1 a 9999." type="whole" errorStyle="warning" operator="between">
      <formula1>1</formula1>
      <formula2>9999</formula2>
    </dataValidation>
    <dataValidation sqref="D88" showDropDown="0" showInputMessage="0" showErrorMessage="1" allowBlank="1" errorTitle="Fora da lista" error="Marco atingido?: escolha um valor da lista. A planilha pode não reconhecer outro valor." type="list" errorStyle="warning">
      <formula1>'Dados'!$AT$6:$AT$7</formula1>
    </dataValidation>
    <dataValidation sqref="E88" showDropDown="0" showInputMessage="0" showErrorMessage="1" allowBlank="1" errorTitle="Texto longo" error="Resumo: até 300 caracteres." type="textLength" errorStyle="warning" operator="lessThanOrEqual">
      <formula1>300</formula1>
    </dataValidation>
    <dataValidation sqref="A89" showDropDown="0" showInputMessage="0" showErrorMessage="1" allowBlank="1" errorTitle="Valor fora da faixa" error="Sessão nº: use um número inteiro de 1 a 999." type="whole" errorStyle="warning" operator="between">
      <formula1>1</formula1>
      <formula2>999</formula2>
    </dataValidation>
    <dataValidation sqref="B89" showDropDown="0" showInputMessage="0" showErrorMessage="1" allowBlank="1" errorTitle="Texto longo" error="Data real: até 20 caracteres." type="textLength" errorStyle="warning" operator="lessThanOrEqual">
      <formula1>20</formula1>
    </dataValidation>
    <dataValidation sqref="C89" showDropDown="0" showInputMessage="0" showErrorMessage="1" allowBlank="1" errorTitle="Valor fora da faixa" error="Dia de campanha: use um número inteiro de 1 a 9999." type="whole" errorStyle="warning" operator="between">
      <formula1>1</formula1>
      <formula2>9999</formula2>
    </dataValidation>
    <dataValidation sqref="D89" showDropDown="0" showInputMessage="0" showErrorMessage="1" allowBlank="1" errorTitle="Fora da lista" error="Marco atingido?: escolha um valor da lista. A planilha pode não reconhecer outro valor." type="list" errorStyle="warning">
      <formula1>'Dados'!$AT$6:$AT$7</formula1>
    </dataValidation>
    <dataValidation sqref="E89" showDropDown="0" showInputMessage="0" showErrorMessage="1" allowBlank="1" errorTitle="Texto longo" error="Resumo: até 300 caracteres." type="textLength" errorStyle="warning" operator="lessThanOrEqual">
      <formula1>300</formula1>
    </dataValidation>
    <dataValidation sqref="A90" showDropDown="0" showInputMessage="0" showErrorMessage="1" allowBlank="1" errorTitle="Valor fora da faixa" error="Sessão nº: use um número inteiro de 1 a 999." type="whole" errorStyle="warning" operator="between">
      <formula1>1</formula1>
      <formula2>999</formula2>
    </dataValidation>
    <dataValidation sqref="B90" showDropDown="0" showInputMessage="0" showErrorMessage="1" allowBlank="1" errorTitle="Texto longo" error="Data real: até 20 caracteres." type="textLength" errorStyle="warning" operator="lessThanOrEqual">
      <formula1>20</formula1>
    </dataValidation>
    <dataValidation sqref="C90" showDropDown="0" showInputMessage="0" showErrorMessage="1" allowBlank="1" errorTitle="Valor fora da faixa" error="Dia de campanha: use um número inteiro de 1 a 9999." type="whole" errorStyle="warning" operator="between">
      <formula1>1</formula1>
      <formula2>9999</formula2>
    </dataValidation>
    <dataValidation sqref="D90" showDropDown="0" showInputMessage="0" showErrorMessage="1" allowBlank="1" errorTitle="Fora da lista" error="Marco atingido?: escolha um valor da lista. A planilha pode não reconhecer outro valor." type="list" errorStyle="warning">
      <formula1>'Dados'!$AT$6:$AT$7</formula1>
    </dataValidation>
    <dataValidation sqref="E90" showDropDown="0" showInputMessage="0" showErrorMessage="1" allowBlank="1" errorTitle="Texto longo" error="Resumo: até 300 caracteres." type="textLength" errorStyle="warning" operator="lessThanOrEqual">
      <formula1>300</formula1>
    </dataValidation>
    <dataValidation sqref="A91" showDropDown="0" showInputMessage="0" showErrorMessage="1" allowBlank="1" errorTitle="Valor fora da faixa" error="Sessão nº: use um número inteiro de 1 a 999." type="whole" errorStyle="warning" operator="between">
      <formula1>1</formula1>
      <formula2>999</formula2>
    </dataValidation>
    <dataValidation sqref="B91" showDropDown="0" showInputMessage="0" showErrorMessage="1" allowBlank="1" errorTitle="Texto longo" error="Data real: até 20 caracteres." type="textLength" errorStyle="warning" operator="lessThanOrEqual">
      <formula1>20</formula1>
    </dataValidation>
    <dataValidation sqref="C91" showDropDown="0" showInputMessage="0" showErrorMessage="1" allowBlank="1" errorTitle="Valor fora da faixa" error="Dia de campanha: use um número inteiro de 1 a 9999." type="whole" errorStyle="warning" operator="between">
      <formula1>1</formula1>
      <formula2>9999</formula2>
    </dataValidation>
    <dataValidation sqref="D91" showDropDown="0" showInputMessage="0" showErrorMessage="1" allowBlank="1" errorTitle="Fora da lista" error="Marco atingido?: escolha um valor da lista. A planilha pode não reconhecer outro valor." type="list" errorStyle="warning">
      <formula1>'Dados'!$AT$6:$AT$7</formula1>
    </dataValidation>
    <dataValidation sqref="E91" showDropDown="0" showInputMessage="0" showErrorMessage="1" allowBlank="1" errorTitle="Texto longo" error="Resumo: até 300 caracteres." type="textLength" errorStyle="warning" operator="lessThanOrEqual">
      <formula1>300</formula1>
    </dataValidation>
    <dataValidation sqref="A92" showDropDown="0" showInputMessage="0" showErrorMessage="1" allowBlank="1" errorTitle="Valor fora da faixa" error="Sessão nº: use um número inteiro de 1 a 999." type="whole" errorStyle="warning" operator="between">
      <formula1>1</formula1>
      <formula2>999</formula2>
    </dataValidation>
    <dataValidation sqref="B92" showDropDown="0" showInputMessage="0" showErrorMessage="1" allowBlank="1" errorTitle="Texto longo" error="Data real: até 20 caracteres." type="textLength" errorStyle="warning" operator="lessThanOrEqual">
      <formula1>20</formula1>
    </dataValidation>
    <dataValidation sqref="C92" showDropDown="0" showInputMessage="0" showErrorMessage="1" allowBlank="1" errorTitle="Valor fora da faixa" error="Dia de campanha: use um número inteiro de 1 a 9999." type="whole" errorStyle="warning" operator="between">
      <formula1>1</formula1>
      <formula2>9999</formula2>
    </dataValidation>
    <dataValidation sqref="D92" showDropDown="0" showInputMessage="0" showErrorMessage="1" allowBlank="1" errorTitle="Fora da lista" error="Marco atingido?: escolha um valor da lista. A planilha pode não reconhecer outro valor." type="list" errorStyle="warning">
      <formula1>'Dados'!$AT$6:$AT$7</formula1>
    </dataValidation>
    <dataValidation sqref="E92" showDropDown="0" showInputMessage="0" showErrorMessage="1" allowBlank="1" errorTitle="Texto longo" error="Resumo: até 300 caracteres." type="textLength" errorStyle="warning" operator="lessThanOrEqual">
      <formula1>300</formula1>
    </dataValidation>
    <dataValidation sqref="A93" showDropDown="0" showInputMessage="0" showErrorMessage="1" allowBlank="1" errorTitle="Valor fora da faixa" error="Sessão nº: use um número inteiro de 1 a 999." type="whole" errorStyle="warning" operator="between">
      <formula1>1</formula1>
      <formula2>999</formula2>
    </dataValidation>
    <dataValidation sqref="B93" showDropDown="0" showInputMessage="0" showErrorMessage="1" allowBlank="1" errorTitle="Texto longo" error="Data real: até 20 caracteres." type="textLength" errorStyle="warning" operator="lessThanOrEqual">
      <formula1>20</formula1>
    </dataValidation>
    <dataValidation sqref="C93" showDropDown="0" showInputMessage="0" showErrorMessage="1" allowBlank="1" errorTitle="Valor fora da faixa" error="Dia de campanha: use um número inteiro de 1 a 9999." type="whole" errorStyle="warning" operator="between">
      <formula1>1</formula1>
      <formula2>9999</formula2>
    </dataValidation>
    <dataValidation sqref="D93" showDropDown="0" showInputMessage="0" showErrorMessage="1" allowBlank="1" errorTitle="Fora da lista" error="Marco atingido?: escolha um valor da lista. A planilha pode não reconhecer outro valor." type="list" errorStyle="warning">
      <formula1>'Dados'!$AT$6:$AT$7</formula1>
    </dataValidation>
    <dataValidation sqref="E93" showDropDown="0" showInputMessage="0" showErrorMessage="1" allowBlank="1" errorTitle="Texto longo" error="Resumo: até 300 caracteres." type="textLength" errorStyle="warning" operator="lessThanOrEqual">
      <formula1>300</formula1>
    </dataValidation>
    <dataValidation sqref="A94" showDropDown="0" showInputMessage="0" showErrorMessage="1" allowBlank="1" errorTitle="Valor fora da faixa" error="Sessão nº: use um número inteiro de 1 a 999." type="whole" errorStyle="warning" operator="between">
      <formula1>1</formula1>
      <formula2>999</formula2>
    </dataValidation>
    <dataValidation sqref="B94" showDropDown="0" showInputMessage="0" showErrorMessage="1" allowBlank="1" errorTitle="Texto longo" error="Data real: até 20 caracteres." type="textLength" errorStyle="warning" operator="lessThanOrEqual">
      <formula1>20</formula1>
    </dataValidation>
    <dataValidation sqref="C94" showDropDown="0" showInputMessage="0" showErrorMessage="1" allowBlank="1" errorTitle="Valor fora da faixa" error="Dia de campanha: use um número inteiro de 1 a 9999." type="whole" errorStyle="warning" operator="between">
      <formula1>1</formula1>
      <formula2>9999</formula2>
    </dataValidation>
    <dataValidation sqref="D94" showDropDown="0" showInputMessage="0" showErrorMessage="1" allowBlank="1" errorTitle="Fora da lista" error="Marco atingido?: escolha um valor da lista. A planilha pode não reconhecer outro valor." type="list" errorStyle="warning">
      <formula1>'Dados'!$AT$6:$AT$7</formula1>
    </dataValidation>
    <dataValidation sqref="E94" showDropDown="0" showInputMessage="0" showErrorMessage="1" allowBlank="1" errorTitle="Texto longo" error="Resumo: até 300 caracteres." type="textLength" errorStyle="warning" operator="lessThanOrEqual">
      <formula1>300</formula1>
    </dataValidation>
    <dataValidation sqref="A95" showDropDown="0" showInputMessage="0" showErrorMessage="1" allowBlank="1" errorTitle="Valor fora da faixa" error="Sessão nº: use um número inteiro de 1 a 999." type="whole" errorStyle="warning" operator="between">
      <formula1>1</formula1>
      <formula2>999</formula2>
    </dataValidation>
    <dataValidation sqref="B95" showDropDown="0" showInputMessage="0" showErrorMessage="1" allowBlank="1" errorTitle="Texto longo" error="Data real: até 20 caracteres." type="textLength" errorStyle="warning" operator="lessThanOrEqual">
      <formula1>20</formula1>
    </dataValidation>
    <dataValidation sqref="C95" showDropDown="0" showInputMessage="0" showErrorMessage="1" allowBlank="1" errorTitle="Valor fora da faixa" error="Dia de campanha: use um número inteiro de 1 a 9999." type="whole" errorStyle="warning" operator="between">
      <formula1>1</formula1>
      <formula2>9999</formula2>
    </dataValidation>
    <dataValidation sqref="D95" showDropDown="0" showInputMessage="0" showErrorMessage="1" allowBlank="1" errorTitle="Fora da lista" error="Marco atingido?: escolha um valor da lista. A planilha pode não reconhecer outro valor." type="list" errorStyle="warning">
      <formula1>'Dados'!$AT$6:$AT$7</formula1>
    </dataValidation>
    <dataValidation sqref="E95" showDropDown="0" showInputMessage="0" showErrorMessage="1" allowBlank="1" errorTitle="Texto longo" error="Resumo: até 300 caracteres." type="textLength" errorStyle="warning" operator="lessThanOrEqual">
      <formula1>300</formula1>
    </dataValidation>
    <dataValidation sqref="B98" showDropDown="0" showInputMessage="0" showErrorMessage="1" allowBlank="1" errorTitle="Texto longo" error="Decisões importantes: até 200 caracteres." type="textLength" errorStyle="warning" operator="lessThanOrEqual">
      <formula1>200</formula1>
    </dataValidation>
    <dataValidation sqref="E98" showDropDown="0" showInputMessage="0" showErrorMessage="1" allowBlank="1" errorTitle="Texto longo" error="Ganchos abertos: até 200 caracteres." type="textLength" errorStyle="warning" operator="lessThanOrEqual">
      <formula1>200</formula1>
    </dataValidation>
    <dataValidation sqref="H98" showDropDown="0" showInputMessage="0" showErrorMessage="1" allowBlank="1" errorTitle="Texto longo" error="NPCs que apareceram: até 200 caracteres." type="textLength" errorStyle="warning" operator="lessThanOrEqual">
      <formula1>200</formula1>
    </dataValidation>
    <dataValidation sqref="B99" showDropDown="0" showInputMessage="0" showErrorMessage="1" allowBlank="1" errorTitle="Texto longo" error="Decisões importantes: até 200 caracteres." type="textLength" errorStyle="warning" operator="lessThanOrEqual">
      <formula1>200</formula1>
    </dataValidation>
    <dataValidation sqref="E99" showDropDown="0" showInputMessage="0" showErrorMessage="1" allowBlank="1" errorTitle="Texto longo" error="Ganchos abertos: até 200 caracteres." type="textLength" errorStyle="warning" operator="lessThanOrEqual">
      <formula1>200</formula1>
    </dataValidation>
    <dataValidation sqref="H99" showDropDown="0" showInputMessage="0" showErrorMessage="1" allowBlank="1" errorTitle="Texto longo" error="NPCs que apareceram: até 200 caracteres." type="textLength" errorStyle="warning" operator="lessThanOrEqual">
      <formula1>200</formula1>
    </dataValidation>
    <dataValidation sqref="B100" showDropDown="0" showInputMessage="0" showErrorMessage="1" allowBlank="1" errorTitle="Texto longo" error="Decisões importantes: até 200 caracteres." type="textLength" errorStyle="warning" operator="lessThanOrEqual">
      <formula1>200</formula1>
    </dataValidation>
    <dataValidation sqref="E100" showDropDown="0" showInputMessage="0" showErrorMessage="1" allowBlank="1" errorTitle="Texto longo" error="Ganchos abertos: até 200 caracteres." type="textLength" errorStyle="warning" operator="lessThanOrEqual">
      <formula1>200</formula1>
    </dataValidation>
    <dataValidation sqref="H100" showDropDown="0" showInputMessage="0" showErrorMessage="1" allowBlank="1" errorTitle="Texto longo" error="NPCs que apareceram: até 200 caracteres." type="textLength" errorStyle="warning" operator="lessThanOrEqual">
      <formula1>200</formula1>
    </dataValidation>
    <dataValidation sqref="B101" showDropDown="0" showInputMessage="0" showErrorMessage="1" allowBlank="1" errorTitle="Texto longo" error="Decisões importantes: até 200 caracteres." type="textLength" errorStyle="warning" operator="lessThanOrEqual">
      <formula1>200</formula1>
    </dataValidation>
    <dataValidation sqref="E101" showDropDown="0" showInputMessage="0" showErrorMessage="1" allowBlank="1" errorTitle="Texto longo" error="Ganchos abertos: até 200 caracteres." type="textLength" errorStyle="warning" operator="lessThanOrEqual">
      <formula1>200</formula1>
    </dataValidation>
    <dataValidation sqref="H101" showDropDown="0" showInputMessage="0" showErrorMessage="1" allowBlank="1" errorTitle="Texto longo" error="NPCs que apareceram: até 200 caracteres." type="textLength" errorStyle="warning" operator="lessThanOrEqual">
      <formula1>200</formula1>
    </dataValidation>
    <dataValidation sqref="B102" showDropDown="0" showInputMessage="0" showErrorMessage="1" allowBlank="1" errorTitle="Texto longo" error="Decisões importantes: até 200 caracteres." type="textLength" errorStyle="warning" operator="lessThanOrEqual">
      <formula1>200</formula1>
    </dataValidation>
    <dataValidation sqref="E102" showDropDown="0" showInputMessage="0" showErrorMessage="1" allowBlank="1" errorTitle="Texto longo" error="Ganchos abertos: até 200 caracteres." type="textLength" errorStyle="warning" operator="lessThanOrEqual">
      <formula1>200</formula1>
    </dataValidation>
    <dataValidation sqref="H102" showDropDown="0" showInputMessage="0" showErrorMessage="1" allowBlank="1" errorTitle="Texto longo" error="NPCs que apareceram: até 200 caracteres." type="textLength" errorStyle="warning" operator="lessThanOrEqual">
      <formula1>200</formula1>
    </dataValidation>
    <dataValidation sqref="B103" showDropDown="0" showInputMessage="0" showErrorMessage="1" allowBlank="1" errorTitle="Texto longo" error="Decisões importantes: até 200 caracteres." type="textLength" errorStyle="warning" operator="lessThanOrEqual">
      <formula1>200</formula1>
    </dataValidation>
    <dataValidation sqref="E103" showDropDown="0" showInputMessage="0" showErrorMessage="1" allowBlank="1" errorTitle="Texto longo" error="Ganchos abertos: até 200 caracteres." type="textLength" errorStyle="warning" operator="lessThanOrEqual">
      <formula1>200</formula1>
    </dataValidation>
    <dataValidation sqref="H103" showDropDown="0" showInputMessage="0" showErrorMessage="1" allowBlank="1" errorTitle="Texto longo" error="NPCs que apareceram: até 200 caracteres." type="textLength" errorStyle="warning" operator="lessThanOrEqual">
      <formula1>200</formula1>
    </dataValidation>
    <dataValidation sqref="B104" showDropDown="0" showInputMessage="0" showErrorMessage="1" allowBlank="1" errorTitle="Texto longo" error="Decisões importantes: até 200 caracteres." type="textLength" errorStyle="warning" operator="lessThanOrEqual">
      <formula1>200</formula1>
    </dataValidation>
    <dataValidation sqref="E104" showDropDown="0" showInputMessage="0" showErrorMessage="1" allowBlank="1" errorTitle="Texto longo" error="Ganchos abertos: até 200 caracteres." type="textLength" errorStyle="warning" operator="lessThanOrEqual">
      <formula1>200</formula1>
    </dataValidation>
    <dataValidation sqref="H104" showDropDown="0" showInputMessage="0" showErrorMessage="1" allowBlank="1" errorTitle="Texto longo" error="NPCs que apareceram: até 200 caracteres." type="textLength" errorStyle="warning" operator="lessThanOrEqual">
      <formula1>200</formula1>
    </dataValidation>
    <dataValidation sqref="B105" showDropDown="0" showInputMessage="0" showErrorMessage="1" allowBlank="1" errorTitle="Texto longo" error="Decisões importantes: até 200 caracteres." type="textLength" errorStyle="warning" operator="lessThanOrEqual">
      <formula1>200</formula1>
    </dataValidation>
    <dataValidation sqref="E105" showDropDown="0" showInputMessage="0" showErrorMessage="1" allowBlank="1" errorTitle="Texto longo" error="Ganchos abertos: até 200 caracteres." type="textLength" errorStyle="warning" operator="lessThanOrEqual">
      <formula1>200</formula1>
    </dataValidation>
    <dataValidation sqref="H105" showDropDown="0" showInputMessage="0" showErrorMessage="1" allowBlank="1" errorTitle="Texto longo" error="NPCs que apareceram: até 200 caracteres." type="textLength" errorStyle="warning" operator="lessThanOrEqual">
      <formula1>200</formula1>
    </dataValidation>
    <dataValidation sqref="B106" showDropDown="0" showInputMessage="0" showErrorMessage="1" allowBlank="1" errorTitle="Texto longo" error="Decisões importantes: até 200 caracteres." type="textLength" errorStyle="warning" operator="lessThanOrEqual">
      <formula1>200</formula1>
    </dataValidation>
    <dataValidation sqref="E106" showDropDown="0" showInputMessage="0" showErrorMessage="1" allowBlank="1" errorTitle="Texto longo" error="Ganchos abertos: até 200 caracteres." type="textLength" errorStyle="warning" operator="lessThanOrEqual">
      <formula1>200</formula1>
    </dataValidation>
    <dataValidation sqref="H106" showDropDown="0" showInputMessage="0" showErrorMessage="1" allowBlank="1" errorTitle="Texto longo" error="NPCs que apareceram: até 200 caracteres." type="textLength" errorStyle="warning" operator="lessThanOrEqual">
      <formula1>200</formula1>
    </dataValidation>
    <dataValidation sqref="B107" showDropDown="0" showInputMessage="0" showErrorMessage="1" allowBlank="1" errorTitle="Texto longo" error="Decisões importantes: até 200 caracteres." type="textLength" errorStyle="warning" operator="lessThanOrEqual">
      <formula1>200</formula1>
    </dataValidation>
    <dataValidation sqref="E107" showDropDown="0" showInputMessage="0" showErrorMessage="1" allowBlank="1" errorTitle="Texto longo" error="Ganchos abertos: até 200 caracteres." type="textLength" errorStyle="warning" operator="lessThanOrEqual">
      <formula1>200</formula1>
    </dataValidation>
    <dataValidation sqref="H107" showDropDown="0" showInputMessage="0" showErrorMessage="1" allowBlank="1" errorTitle="Texto longo" error="NPCs que apareceram: até 200 caracteres." type="textLength" errorStyle="warning" operator="lessThanOrEqual">
      <formula1>200</formula1>
    </dataValidation>
    <dataValidation sqref="B109" showDropDown="0" showInputMessage="0" showErrorMessage="1" allowBlank="1" errorTitle="Texto longo" error="Decisões importantes: até 200 caracteres." type="textLength" errorStyle="warning" operator="lessThanOrEqual">
      <formula1>200</formula1>
    </dataValidation>
    <dataValidation sqref="E109" showDropDown="0" showInputMessage="0" showErrorMessage="1" allowBlank="1" errorTitle="Texto longo" error="Ganchos abertos: até 200 caracteres." type="textLength" errorStyle="warning" operator="lessThanOrEqual">
      <formula1>200</formula1>
    </dataValidation>
    <dataValidation sqref="H109" showDropDown="0" showInputMessage="0" showErrorMessage="1" allowBlank="1" errorTitle="Texto longo" error="NPCs que apareceram: até 200 caracteres." type="textLength" errorStyle="warning" operator="lessThanOrEqual">
      <formula1>200</formula1>
    </dataValidation>
    <dataValidation sqref="B110" showDropDown="0" showInputMessage="0" showErrorMessage="1" allowBlank="1" errorTitle="Texto longo" error="Decisões importantes: até 200 caracteres." type="textLength" errorStyle="warning" operator="lessThanOrEqual">
      <formula1>200</formula1>
    </dataValidation>
    <dataValidation sqref="E110" showDropDown="0" showInputMessage="0" showErrorMessage="1" allowBlank="1" errorTitle="Texto longo" error="Ganchos abertos: até 200 caracteres." type="textLength" errorStyle="warning" operator="lessThanOrEqual">
      <formula1>200</formula1>
    </dataValidation>
    <dataValidation sqref="H110" showDropDown="0" showInputMessage="0" showErrorMessage="1" allowBlank="1" errorTitle="Texto longo" error="NPCs que apareceram: até 200 caracteres." type="textLength" errorStyle="warning" operator="lessThanOrEqual">
      <formula1>200</formula1>
    </dataValidation>
    <dataValidation sqref="B111" showDropDown="0" showInputMessage="0" showErrorMessage="1" allowBlank="1" errorTitle="Texto longo" error="Decisões importantes: até 200 caracteres." type="textLength" errorStyle="warning" operator="lessThanOrEqual">
      <formula1>200</formula1>
    </dataValidation>
    <dataValidation sqref="E111" showDropDown="0" showInputMessage="0" showErrorMessage="1" allowBlank="1" errorTitle="Texto longo" error="Ganchos abertos: até 200 caracteres." type="textLength" errorStyle="warning" operator="lessThanOrEqual">
      <formula1>200</formula1>
    </dataValidation>
    <dataValidation sqref="H111" showDropDown="0" showInputMessage="0" showErrorMessage="1" allowBlank="1" errorTitle="Texto longo" error="NPCs que apareceram: até 200 caracteres." type="textLength" errorStyle="warning" operator="lessThanOrEqual">
      <formula1>200</formula1>
    </dataValidation>
    <dataValidation sqref="B112" showDropDown="0" showInputMessage="0" showErrorMessage="1" allowBlank="1" errorTitle="Texto longo" error="Decisões importantes: até 200 caracteres." type="textLength" errorStyle="warning" operator="lessThanOrEqual">
      <formula1>200</formula1>
    </dataValidation>
    <dataValidation sqref="E112" showDropDown="0" showInputMessage="0" showErrorMessage="1" allowBlank="1" errorTitle="Texto longo" error="Ganchos abertos: até 200 caracteres." type="textLength" errorStyle="warning" operator="lessThanOrEqual">
      <formula1>200</formula1>
    </dataValidation>
    <dataValidation sqref="H112" showDropDown="0" showInputMessage="0" showErrorMessage="1" allowBlank="1" errorTitle="Texto longo" error="NPCs que apareceram: até 200 caracteres." type="textLength" errorStyle="warning" operator="lessThanOrEqual">
      <formula1>200</formula1>
    </dataValidation>
    <dataValidation sqref="B113" showDropDown="0" showInputMessage="0" showErrorMessage="1" allowBlank="1" errorTitle="Texto longo" error="Decisões importantes: até 200 caracteres." type="textLength" errorStyle="warning" operator="lessThanOrEqual">
      <formula1>200</formula1>
    </dataValidation>
    <dataValidation sqref="E113" showDropDown="0" showInputMessage="0" showErrorMessage="1" allowBlank="1" errorTitle="Texto longo" error="Ganchos abertos: até 200 caracteres." type="textLength" errorStyle="warning" operator="lessThanOrEqual">
      <formula1>200</formula1>
    </dataValidation>
    <dataValidation sqref="H113" showDropDown="0" showInputMessage="0" showErrorMessage="1" allowBlank="1" errorTitle="Texto longo" error="NPCs que apareceram: até 200 caracteres." type="textLength" errorStyle="warning" operator="lessThanOrEqual">
      <formula1>200</formula1>
    </dataValidation>
    <dataValidation sqref="B114" showDropDown="0" showInputMessage="0" showErrorMessage="1" allowBlank="1" errorTitle="Texto longo" error="Decisões importantes: até 200 caracteres." type="textLength" errorStyle="warning" operator="lessThanOrEqual">
      <formula1>200</formula1>
    </dataValidation>
    <dataValidation sqref="E114" showDropDown="0" showInputMessage="0" showErrorMessage="1" allowBlank="1" errorTitle="Texto longo" error="Ganchos abertos: até 200 caracteres." type="textLength" errorStyle="warning" operator="lessThanOrEqual">
      <formula1>200</formula1>
    </dataValidation>
    <dataValidation sqref="H114" showDropDown="0" showInputMessage="0" showErrorMessage="1" allowBlank="1" errorTitle="Texto longo" error="NPCs que apareceram: até 200 caracteres." type="textLength" errorStyle="warning" operator="lessThanOrEqual">
      <formula1>200</formula1>
    </dataValidation>
    <dataValidation sqref="B115" showDropDown="0" showInputMessage="0" showErrorMessage="1" allowBlank="1" errorTitle="Texto longo" error="Decisões importantes: até 200 caracteres." type="textLength" errorStyle="warning" operator="lessThanOrEqual">
      <formula1>200</formula1>
    </dataValidation>
    <dataValidation sqref="E115" showDropDown="0" showInputMessage="0" showErrorMessage="1" allowBlank="1" errorTitle="Texto longo" error="Ganchos abertos: até 200 caracteres." type="textLength" errorStyle="warning" operator="lessThanOrEqual">
      <formula1>200</formula1>
    </dataValidation>
    <dataValidation sqref="H115" showDropDown="0" showInputMessage="0" showErrorMessage="1" allowBlank="1" errorTitle="Texto longo" error="NPCs que apareceram: até 200 caracteres." type="textLength" errorStyle="warning" operator="lessThanOrEqual">
      <formula1>200</formula1>
    </dataValidation>
    <dataValidation sqref="B116" showDropDown="0" showInputMessage="0" showErrorMessage="1" allowBlank="1" errorTitle="Texto longo" error="Decisões importantes: até 200 caracteres." type="textLength" errorStyle="warning" operator="lessThanOrEqual">
      <formula1>200</formula1>
    </dataValidation>
    <dataValidation sqref="E116" showDropDown="0" showInputMessage="0" showErrorMessage="1" allowBlank="1" errorTitle="Texto longo" error="Ganchos abertos: até 200 caracteres." type="textLength" errorStyle="warning" operator="lessThanOrEqual">
      <formula1>200</formula1>
    </dataValidation>
    <dataValidation sqref="H116" showDropDown="0" showInputMessage="0" showErrorMessage="1" allowBlank="1" errorTitle="Texto longo" error="NPCs que apareceram: até 200 caracteres." type="textLength" errorStyle="warning" operator="lessThanOrEqual">
      <formula1>200</formula1>
    </dataValidation>
    <dataValidation sqref="B117" showDropDown="0" showInputMessage="0" showErrorMessage="1" allowBlank="1" errorTitle="Texto longo" error="Decisões importantes: até 200 caracteres." type="textLength" errorStyle="warning" operator="lessThanOrEqual">
      <formula1>200</formula1>
    </dataValidation>
    <dataValidation sqref="E117" showDropDown="0" showInputMessage="0" showErrorMessage="1" allowBlank="1" errorTitle="Texto longo" error="Ganchos abertos: até 200 caracteres." type="textLength" errorStyle="warning" operator="lessThanOrEqual">
      <formula1>200</formula1>
    </dataValidation>
    <dataValidation sqref="H117" showDropDown="0" showInputMessage="0" showErrorMessage="1" allowBlank="1" errorTitle="Texto longo" error="NPCs que apareceram: até 200 caracteres." type="textLength" errorStyle="warning" operator="lessThanOrEqual">
      <formula1>200</formula1>
    </dataValidation>
    <dataValidation sqref="B118" showDropDown="0" showInputMessage="0" showErrorMessage="1" allowBlank="1" errorTitle="Texto longo" error="Decisões importantes: até 200 caracteres." type="textLength" errorStyle="warning" operator="lessThanOrEqual">
      <formula1>200</formula1>
    </dataValidation>
    <dataValidation sqref="E118" showDropDown="0" showInputMessage="0" showErrorMessage="1" allowBlank="1" errorTitle="Texto longo" error="Ganchos abertos: até 200 caracteres." type="textLength" errorStyle="warning" operator="lessThanOrEqual">
      <formula1>200</formula1>
    </dataValidation>
    <dataValidation sqref="H118" showDropDown="0" showInputMessage="0" showErrorMessage="1" allowBlank="1" errorTitle="Texto longo" error="NPCs que apareceram: até 200 caracteres." type="textLength" errorStyle="warning" operator="lessThanOrEqual">
      <formula1>200</formula1>
    </dataValidation>
    <dataValidation sqref="B120" showDropDown="0" showInputMessage="0" showErrorMessage="1" allowBlank="1" errorTitle="Texto longo" error="Decisões importantes: até 200 caracteres." type="textLength" errorStyle="warning" operator="lessThanOrEqual">
      <formula1>200</formula1>
    </dataValidation>
    <dataValidation sqref="E120" showDropDown="0" showInputMessage="0" showErrorMessage="1" allowBlank="1" errorTitle="Texto longo" error="Ganchos abertos: até 200 caracteres." type="textLength" errorStyle="warning" operator="lessThanOrEqual">
      <formula1>200</formula1>
    </dataValidation>
    <dataValidation sqref="H120" showDropDown="0" showInputMessage="0" showErrorMessage="1" allowBlank="1" errorTitle="Texto longo" error="NPCs que apareceram: até 200 caracteres." type="textLength" errorStyle="warning" operator="lessThanOrEqual">
      <formula1>200</formula1>
    </dataValidation>
    <dataValidation sqref="B121" showDropDown="0" showInputMessage="0" showErrorMessage="1" allowBlank="1" errorTitle="Texto longo" error="Decisões importantes: até 200 caracteres." type="textLength" errorStyle="warning" operator="lessThanOrEqual">
      <formula1>200</formula1>
    </dataValidation>
    <dataValidation sqref="E121" showDropDown="0" showInputMessage="0" showErrorMessage="1" allowBlank="1" errorTitle="Texto longo" error="Ganchos abertos: até 200 caracteres." type="textLength" errorStyle="warning" operator="lessThanOrEqual">
      <formula1>200</formula1>
    </dataValidation>
    <dataValidation sqref="H121" showDropDown="0" showInputMessage="0" showErrorMessage="1" allowBlank="1" errorTitle="Texto longo" error="NPCs que apareceram: até 200 caracteres." type="textLength" errorStyle="warning" operator="lessThanOrEqual">
      <formula1>200</formula1>
    </dataValidation>
    <dataValidation sqref="B122" showDropDown="0" showInputMessage="0" showErrorMessage="1" allowBlank="1" errorTitle="Texto longo" error="Decisões importantes: até 200 caracteres." type="textLength" errorStyle="warning" operator="lessThanOrEqual">
      <formula1>200</formula1>
    </dataValidation>
    <dataValidation sqref="E122" showDropDown="0" showInputMessage="0" showErrorMessage="1" allowBlank="1" errorTitle="Texto longo" error="Ganchos abertos: até 200 caracteres." type="textLength" errorStyle="warning" operator="lessThanOrEqual">
      <formula1>200</formula1>
    </dataValidation>
    <dataValidation sqref="H122" showDropDown="0" showInputMessage="0" showErrorMessage="1" allowBlank="1" errorTitle="Texto longo" error="NPCs que apareceram: até 200 caracteres." type="textLength" errorStyle="warning" operator="lessThanOrEqual">
      <formula1>200</formula1>
    </dataValidation>
    <dataValidation sqref="B123" showDropDown="0" showInputMessage="0" showErrorMessage="1" allowBlank="1" errorTitle="Texto longo" error="Decisões importantes: até 200 caracteres." type="textLength" errorStyle="warning" operator="lessThanOrEqual">
      <formula1>200</formula1>
    </dataValidation>
    <dataValidation sqref="E123" showDropDown="0" showInputMessage="0" showErrorMessage="1" allowBlank="1" errorTitle="Texto longo" error="Ganchos abertos: até 200 caracteres." type="textLength" errorStyle="warning" operator="lessThanOrEqual">
      <formula1>200</formula1>
    </dataValidation>
    <dataValidation sqref="H123" showDropDown="0" showInputMessage="0" showErrorMessage="1" allowBlank="1" errorTitle="Texto longo" error="NPCs que apareceram: até 200 caracteres." type="textLength" errorStyle="warning" operator="lessThanOrEqual">
      <formula1>200</formula1>
    </dataValidation>
    <dataValidation sqref="B124" showDropDown="0" showInputMessage="0" showErrorMessage="1" allowBlank="1" errorTitle="Texto longo" error="Decisões importantes: até 200 caracteres." type="textLength" errorStyle="warning" operator="lessThanOrEqual">
      <formula1>200</formula1>
    </dataValidation>
    <dataValidation sqref="E124" showDropDown="0" showInputMessage="0" showErrorMessage="1" allowBlank="1" errorTitle="Texto longo" error="Ganchos abertos: até 200 caracteres." type="textLength" errorStyle="warning" operator="lessThanOrEqual">
      <formula1>200</formula1>
    </dataValidation>
    <dataValidation sqref="H124" showDropDown="0" showInputMessage="0" showErrorMessage="1" allowBlank="1" errorTitle="Texto longo" error="NPCs que apareceram: até 200 caracteres." type="textLength" errorStyle="warning" operator="lessThanOrEqual">
      <formula1>200</formula1>
    </dataValidation>
    <dataValidation sqref="B125" showDropDown="0" showInputMessage="0" showErrorMessage="1" allowBlank="1" errorTitle="Texto longo" error="Decisões importantes: até 200 caracteres." type="textLength" errorStyle="warning" operator="lessThanOrEqual">
      <formula1>200</formula1>
    </dataValidation>
    <dataValidation sqref="E125" showDropDown="0" showInputMessage="0" showErrorMessage="1" allowBlank="1" errorTitle="Texto longo" error="Ganchos abertos: até 200 caracteres." type="textLength" errorStyle="warning" operator="lessThanOrEqual">
      <formula1>200</formula1>
    </dataValidation>
    <dataValidation sqref="H125" showDropDown="0" showInputMessage="0" showErrorMessage="1" allowBlank="1" errorTitle="Texto longo" error="NPCs que apareceram: até 200 caracteres." type="textLength" errorStyle="warning" operator="lessThanOrEqual">
      <formula1>200</formula1>
    </dataValidation>
    <dataValidation sqref="B126" showDropDown="0" showInputMessage="0" showErrorMessage="1" allowBlank="1" errorTitle="Texto longo" error="Decisões importantes: até 200 caracteres." type="textLength" errorStyle="warning" operator="lessThanOrEqual">
      <formula1>200</formula1>
    </dataValidation>
    <dataValidation sqref="E126" showDropDown="0" showInputMessage="0" showErrorMessage="1" allowBlank="1" errorTitle="Texto longo" error="Ganchos abertos: até 200 caracteres." type="textLength" errorStyle="warning" operator="lessThanOrEqual">
      <formula1>200</formula1>
    </dataValidation>
    <dataValidation sqref="H126" showDropDown="0" showInputMessage="0" showErrorMessage="1" allowBlank="1" errorTitle="Texto longo" error="NPCs que apareceram: até 200 caracteres." type="textLength" errorStyle="warning" operator="lessThanOrEqual">
      <formula1>200</formula1>
    </dataValidation>
    <dataValidation sqref="B127" showDropDown="0" showInputMessage="0" showErrorMessage="1" allowBlank="1" errorTitle="Texto longo" error="Decisões importantes: até 200 caracteres." type="textLength" errorStyle="warning" operator="lessThanOrEqual">
      <formula1>200</formula1>
    </dataValidation>
    <dataValidation sqref="E127" showDropDown="0" showInputMessage="0" showErrorMessage="1" allowBlank="1" errorTitle="Texto longo" error="Ganchos abertos: até 200 caracteres." type="textLength" errorStyle="warning" operator="lessThanOrEqual">
      <formula1>200</formula1>
    </dataValidation>
    <dataValidation sqref="H127" showDropDown="0" showInputMessage="0" showErrorMessage="1" allowBlank="1" errorTitle="Texto longo" error="NPCs que apareceram: até 200 caracteres." type="textLength" errorStyle="warning" operator="lessThanOrEqual">
      <formula1>200</formula1>
    </dataValidation>
    <dataValidation sqref="B128" showDropDown="0" showInputMessage="0" showErrorMessage="1" allowBlank="1" errorTitle="Texto longo" error="Decisões importantes: até 200 caracteres." type="textLength" errorStyle="warning" operator="lessThanOrEqual">
      <formula1>200</formula1>
    </dataValidation>
    <dataValidation sqref="E128" showDropDown="0" showInputMessage="0" showErrorMessage="1" allowBlank="1" errorTitle="Texto longo" error="Ganchos abertos: até 200 caracteres." type="textLength" errorStyle="warning" operator="lessThanOrEqual">
      <formula1>200</formula1>
    </dataValidation>
    <dataValidation sqref="H128" showDropDown="0" showInputMessage="0" showErrorMessage="1" allowBlank="1" errorTitle="Texto longo" error="NPCs que apareceram: até 200 caracteres." type="textLength" errorStyle="warning" operator="lessThanOrEqual">
      <formula1>200</formula1>
    </dataValidation>
    <dataValidation sqref="B129" showDropDown="0" showInputMessage="0" showErrorMessage="1" allowBlank="1" errorTitle="Texto longo" error="Decisões importantes: até 200 caracteres." type="textLength" errorStyle="warning" operator="lessThanOrEqual">
      <formula1>200</formula1>
    </dataValidation>
    <dataValidation sqref="E129" showDropDown="0" showInputMessage="0" showErrorMessage="1" allowBlank="1" errorTitle="Texto longo" error="Ganchos abertos: até 200 caracteres." type="textLength" errorStyle="warning" operator="lessThanOrEqual">
      <formula1>200</formula1>
    </dataValidation>
    <dataValidation sqref="H129" showDropDown="0" showInputMessage="0" showErrorMessage="1" allowBlank="1" errorTitle="Texto longo" error="NPCs que apareceram: até 200 caracteres." type="textLength" errorStyle="warning" operator="lessThanOrEqual">
      <formula1>200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104"/>
  <sheetViews>
    <sheetView showGridLines="1" workbookViewId="0">
      <selection activeCell="A1" sqref="A1"/>
    </sheetView>
  </sheetViews>
  <sheetFormatPr baseColWidth="8" defaultRowHeight="15"/>
  <cols>
    <col width="20.786" customWidth="1" min="1" max="1"/>
    <col width="19.357" customWidth="1" min="2" max="2"/>
    <col width="12.214" customWidth="1" min="3" max="3"/>
    <col width="12.214" customWidth="1" min="4" max="4"/>
    <col width="12.929" customWidth="1" min="5" max="5"/>
    <col width="12.929" customWidth="1" min="6" max="6"/>
    <col width="15.786" customWidth="1" min="7" max="7"/>
    <col width="15.786" customWidth="1" min="8" max="8"/>
    <col width="16.5" customWidth="1" min="9" max="9"/>
    <col width="17.929" customWidth="1" min="10" max="10"/>
    <col width="15.071" customWidth="1" min="11" max="11"/>
    <col width="15.071" customWidth="1" min="12" max="12"/>
    <col hidden="1"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width="13" customWidth="1" min="28" max="28"/>
    <col hidden="1" width="13" customWidth="1" min="29" max="29"/>
    <col hidden="1" width="13" customWidth="1" min="30" max="30"/>
    <col hidden="1" width="13" customWidth="1" min="31" max="31"/>
    <col hidden="1" width="13" customWidth="1" min="32" max="32"/>
    <col hidden="1" width="13" customWidth="1" min="33" max="33"/>
    <col width="13" customWidth="1" min="34" max="34"/>
    <col width="13" customWidth="1" min="35" max="35"/>
    <col width="13" customWidth="1" min="36" max="36"/>
    <col hidden="1" width="13" customWidth="1" min="37" max="37"/>
    <col hidden="1" width="13" customWidth="1" min="38" max="38"/>
  </cols>
  <sheetData>
    <row r="1" ht="24" customHeight="1">
      <c r="A1" s="1" t="inlineStr">
        <is>
          <t>Missões — Explorando Galáxias v1.2</t>
        </is>
      </c>
    </row>
    <row r="2" ht="26" customHeight="1">
      <c r="A2" s="3" t="inlineStr">
        <is>
          <t>Legenda:</t>
        </is>
      </c>
      <c r="B2" s="4" t="inlineStr">
        <is>
          <t>Entrada (preencha)</t>
        </is>
      </c>
      <c r="C2" s="5" t="inlineStr">
        <is>
          <t>Calculada (automático)</t>
        </is>
      </c>
      <c r="D2" s="6" t="inlineStr">
        <is>
          <t>Aviso (texto em vermelho)</t>
        </is>
      </c>
      <c r="F2" s="7" t="inlineStr">
        <is>
          <t>Título de bloco</t>
        </is>
      </c>
      <c r="G2" s="8" t="inlineStr">
        <is>
          <t>Cabeçalho de coluna</t>
        </is>
      </c>
      <c r="H2" s="9" t="inlineStr">
        <is>
          <t>Rótulo da linha</t>
        </is>
      </c>
      <c r="I2" s="10" t="inlineStr">
        <is>
          <t>Linha alternada (outro tom)</t>
        </is>
      </c>
      <c r="J2" s="11" t="inlineStr">
        <is>
          <t>Não se aplica</t>
        </is>
      </c>
    </row>
    <row r="3">
      <c r="A3" s="12" t="inlineStr">
        <is>
          <t>As missões oferecidas, ativas e concluídas (cole a linha de saída da aba Aventuras).</t>
        </is>
      </c>
    </row>
    <row r="4"/>
    <row r="5" ht="20" customHeight="1">
      <c r="A5" s="13" t="inlineStr">
        <is>
          <t>Missões (20 linhas): cole a linha de saída da aba Aventuras em A:J da M1 (Colar especial → Somente valores)</t>
        </is>
      </c>
      <c r="AA5" s="2">
        <f>'Tabelas'!$AB$472&amp;""</f>
        <v/>
      </c>
    </row>
    <row r="6" ht="20" customHeight="1">
      <c r="A6" s="13" t="inlineStr">
        <is>
          <t>M1 · A missão (mesma ordem de colunas da linha de saída da aba Aventuras, D6)</t>
        </is>
      </c>
      <c r="AA6" s="2">
        <f>'Tabelas'!$AB$473&amp;""</f>
        <v/>
      </c>
    </row>
    <row r="7" ht="26" customHeight="1">
      <c r="A7" s="8" t="inlineStr">
        <is>
          <t>Missão (preencha)</t>
        </is>
      </c>
      <c r="B7" s="8" t="inlineStr">
        <is>
          <t>Tipo</t>
        </is>
      </c>
      <c r="C7" s="8" t="inlineStr">
        <is>
          <t>Contratante</t>
        </is>
      </c>
      <c r="D7" s="20" t="n"/>
      <c r="E7" s="8" t="inlineStr">
        <is>
          <t>Objetivo</t>
        </is>
      </c>
      <c r="F7" s="20" t="n"/>
      <c r="G7" s="8" t="inlineStr">
        <is>
          <t>Local</t>
        </is>
      </c>
      <c r="H7" s="8" t="inlineStr">
        <is>
          <t>Prazo</t>
        </is>
      </c>
      <c r="I7" s="8" t="inlineStr">
        <is>
          <t>Estado</t>
        </is>
      </c>
      <c r="J7" s="8" t="inlineStr">
        <is>
          <t>Recompensa combinada</t>
        </is>
      </c>
      <c r="K7" s="8" t="inlineStr">
        <is>
          <t>Aviso</t>
        </is>
      </c>
      <c r="L7" s="20" t="n"/>
      <c r="AA7" s="2">
        <f>'Tabelas'!$AB$474&amp;""</f>
        <v/>
      </c>
    </row>
    <row r="8" ht="172" customHeight="1">
      <c r="A8" s="33" t="n"/>
      <c r="B8" s="4" t="n"/>
      <c r="C8" s="4" t="n"/>
      <c r="D8" s="17" t="n"/>
      <c r="E8" s="4" t="n"/>
      <c r="F8" s="17" t="n"/>
      <c r="G8" s="4" t="n"/>
      <c r="H8" s="4" t="n"/>
      <c r="I8" s="34" t="n"/>
      <c r="J8" s="4" t="n"/>
      <c r="K8" s="19">
        <f>IF(AL8&gt;0,"O Google leu como fórmula: escolha de novo ou digite com ' na frente.",IF(AND(LEN($AK$8)&gt;0,COUNTIF('Dados'!$BV$6:$BV$10,$AK$8)=0),"Estado fora da lista",IF(AND(LEN($AC$8)=0,LEN($AK$8&amp;$AG$8)&gt;0),"Linha sem o nome da missão","")))</f>
        <v/>
      </c>
      <c r="AA8" s="2">
        <f>'Tabelas'!$AB$475&amp;""</f>
        <v/>
      </c>
      <c r="AC8" s="2">
        <f>IF(ISERROR($A$8),"",IF(ISBLANK($A$8),"",$A$8))</f>
        <v/>
      </c>
      <c r="AG8" s="2">
        <f>IF(ISERROR($E$8),"",IF(ISBLANK($E$8),"",$E$8))</f>
        <v/>
      </c>
      <c r="AK8" s="2">
        <f>IF(ISERROR($I$8),"",IF(ISBLANK($I$8),"",$I$8))</f>
        <v/>
      </c>
      <c r="AL8" s="2">
        <f>ISERROR($A$8)*1+ISERROR($B$8)*1+ISERROR($C$8)*1+ISERROR($E$8)*1+ISERROR($G$8)*1+ISERROR($H$8)*1+ISERROR($I$8)*1+ISERROR($J$8)*1</f>
        <v/>
      </c>
    </row>
    <row r="9" ht="150" customHeight="1">
      <c r="A9" s="35" t="n"/>
      <c r="B9" s="29" t="n"/>
      <c r="C9" s="29" t="n"/>
      <c r="D9" s="17" t="n"/>
      <c r="E9" s="29" t="n"/>
      <c r="F9" s="17" t="n"/>
      <c r="G9" s="29" t="n"/>
      <c r="H9" s="29" t="n"/>
      <c r="I9" s="36" t="n"/>
      <c r="J9" s="29" t="n"/>
      <c r="K9" s="27">
        <f>IF(AL9&gt;0,"O Google leu como fórmula: escolha de novo ou digite com ' na frente.",IF(AND(LEN($AK$9)&gt;0,COUNTIF('Dados'!$BV$6:$BV$10,$AK$9)=0),"Estado fora da lista",IF(AND(LEN($AC$9)=0,LEN($AK$9&amp;$AG$9)&gt;0),"Linha sem o nome da missão","")))</f>
        <v/>
      </c>
      <c r="AA9" s="2">
        <f>'Tabelas'!$AB$476&amp;""</f>
        <v/>
      </c>
      <c r="AC9" s="2">
        <f>IF(ISERROR($A$9),"",IF(ISBLANK($A$9),"",$A$9))</f>
        <v/>
      </c>
      <c r="AG9" s="2">
        <f>IF(ISERROR($E$9),"",IF(ISBLANK($E$9),"",$E$9))</f>
        <v/>
      </c>
      <c r="AK9" s="2">
        <f>IF(ISERROR($I$9),"",IF(ISBLANK($I$9),"",$I$9))</f>
        <v/>
      </c>
      <c r="AL9" s="2">
        <f>ISERROR($A$9)*1+ISERROR($B$9)*1+ISERROR($C$9)*1+ISERROR($E$9)*1+ISERROR($G$9)*1+ISERROR($H$9)*1+ISERROR($I$9)*1+ISERROR($J$9)*1</f>
        <v/>
      </c>
    </row>
    <row r="10" ht="172" customHeight="1">
      <c r="A10" s="33" t="n"/>
      <c r="B10" s="4" t="n"/>
      <c r="C10" s="4" t="n"/>
      <c r="D10" s="17" t="n"/>
      <c r="E10" s="4" t="n"/>
      <c r="F10" s="17" t="n"/>
      <c r="G10" s="4" t="n"/>
      <c r="H10" s="4" t="n"/>
      <c r="I10" s="34" t="n"/>
      <c r="J10" s="4" t="n"/>
      <c r="K10" s="19">
        <f>IF(AL10&gt;0,"O Google leu como fórmula: escolha de novo ou digite com ' na frente.",IF(AND(LEN($AK$10)&gt;0,COUNTIF('Dados'!$BV$6:$BV$10,$AK$10)=0),"Estado fora da lista",IF(AND(LEN($AC$10)=0,LEN($AK$10&amp;$AG$10)&gt;0),"Linha sem o nome da missão","")))</f>
        <v/>
      </c>
      <c r="AA10" s="2">
        <f>'Tabelas'!$AB$477&amp;""</f>
        <v/>
      </c>
      <c r="AC10" s="2">
        <f>IF(ISERROR($A$10),"",IF(ISBLANK($A$10),"",$A$10))</f>
        <v/>
      </c>
      <c r="AG10" s="2">
        <f>IF(ISERROR($E$10),"",IF(ISBLANK($E$10),"",$E$10))</f>
        <v/>
      </c>
      <c r="AK10" s="2">
        <f>IF(ISERROR($I$10),"",IF(ISBLANK($I$10),"",$I$10))</f>
        <v/>
      </c>
      <c r="AL10" s="2">
        <f>ISERROR($A$10)*1+ISERROR($B$10)*1+ISERROR($C$10)*1+ISERROR($E$10)*1+ISERROR($G$10)*1+ISERROR($H$10)*1+ISERROR($I$10)*1+ISERROR($J$10)*1</f>
        <v/>
      </c>
    </row>
    <row r="11" ht="150" customHeight="1">
      <c r="A11" s="35" t="n"/>
      <c r="B11" s="29" t="n"/>
      <c r="C11" s="29" t="n"/>
      <c r="D11" s="17" t="n"/>
      <c r="E11" s="29" t="n"/>
      <c r="F11" s="17" t="n"/>
      <c r="G11" s="29" t="n"/>
      <c r="H11" s="29" t="n"/>
      <c r="I11" s="36" t="n"/>
      <c r="J11" s="29" t="n"/>
      <c r="K11" s="27">
        <f>IF(AL11&gt;0,"O Google leu como fórmula: escolha de novo ou digite com ' na frente.",IF(AND(LEN($AK$11)&gt;0,COUNTIF('Dados'!$BV$6:$BV$10,$AK$11)=0),"Estado fora da lista",IF(AND(LEN($AC$11)=0,LEN($AK$11&amp;$AG$11)&gt;0),"Linha sem o nome da missão","")))</f>
        <v/>
      </c>
      <c r="AA11" s="2">
        <f>'Tabelas'!$AB$478&amp;""</f>
        <v/>
      </c>
      <c r="AC11" s="2">
        <f>IF(ISERROR($A$11),"",IF(ISBLANK($A$11),"",$A$11))</f>
        <v/>
      </c>
      <c r="AG11" s="2">
        <f>IF(ISERROR($E$11),"",IF(ISBLANK($E$11),"",$E$11))</f>
        <v/>
      </c>
      <c r="AK11" s="2">
        <f>IF(ISERROR($I$11),"",IF(ISBLANK($I$11),"",$I$11))</f>
        <v/>
      </c>
      <c r="AL11" s="2">
        <f>ISERROR($A$11)*1+ISERROR($B$11)*1+ISERROR($C$11)*1+ISERROR($E$11)*1+ISERROR($G$11)*1+ISERROR($H$11)*1+ISERROR($I$11)*1+ISERROR($J$11)*1</f>
        <v/>
      </c>
    </row>
    <row r="12" ht="138" customHeight="1">
      <c r="A12" s="33" t="n"/>
      <c r="B12" s="4" t="n"/>
      <c r="C12" s="4" t="n"/>
      <c r="D12" s="17" t="n"/>
      <c r="E12" s="4" t="n"/>
      <c r="F12" s="17" t="n"/>
      <c r="G12" s="4" t="n"/>
      <c r="H12" s="4" t="n"/>
      <c r="I12" s="34" t="n"/>
      <c r="J12" s="4" t="n"/>
      <c r="K12" s="19">
        <f>IF(AL12&gt;0,"O Google leu como fórmula: escolha de novo ou digite com ' na frente.",IF(AND(LEN($AK$12)&gt;0,COUNTIF('Dados'!$BV$6:$BV$10,$AK$12)=0),"Estado fora da lista",IF(AND(LEN($AC$12)=0,LEN($AK$12&amp;$AG$12)&gt;0),"Linha sem o nome da missão","")))</f>
        <v/>
      </c>
      <c r="AA12" s="2">
        <f>'Tabelas'!$AB$479&amp;""</f>
        <v/>
      </c>
      <c r="AC12" s="2">
        <f>IF(ISERROR($A$12),"",IF(ISBLANK($A$12),"",$A$12))</f>
        <v/>
      </c>
      <c r="AG12" s="2">
        <f>IF(ISERROR($E$12),"",IF(ISBLANK($E$12),"",$E$12))</f>
        <v/>
      </c>
      <c r="AK12" s="2">
        <f>IF(ISERROR($I$12),"",IF(ISBLANK($I$12),"",$I$12))</f>
        <v/>
      </c>
      <c r="AL12" s="2">
        <f>ISERROR($A$12)*1+ISERROR($B$12)*1+ISERROR($C$12)*1+ISERROR($E$12)*1+ISERROR($G$12)*1+ISERROR($H$12)*1+ISERROR($I$12)*1+ISERROR($J$12)*1</f>
        <v/>
      </c>
    </row>
    <row r="13" ht="150" customHeight="1">
      <c r="A13" s="35" t="n"/>
      <c r="B13" s="29" t="n"/>
      <c r="C13" s="29" t="n"/>
      <c r="D13" s="17" t="n"/>
      <c r="E13" s="29" t="n"/>
      <c r="F13" s="17" t="n"/>
      <c r="G13" s="29" t="n"/>
      <c r="H13" s="29" t="n"/>
      <c r="I13" s="36" t="n"/>
      <c r="J13" s="29" t="n"/>
      <c r="K13" s="27">
        <f>IF(AL13&gt;0,"O Google leu como fórmula: escolha de novo ou digite com ' na frente.",IF(AND(LEN($AK$13)&gt;0,COUNTIF('Dados'!$BV$6:$BV$10,$AK$13)=0),"Estado fora da lista",IF(AND(LEN($AC$13)=0,LEN($AK$13&amp;$AG$13)&gt;0),"Linha sem o nome da missão","")))</f>
        <v/>
      </c>
      <c r="AA13" s="2">
        <f>'Tabelas'!$AB$480&amp;""</f>
        <v/>
      </c>
      <c r="AC13" s="2">
        <f>IF(ISERROR($A$13),"",IF(ISBLANK($A$13),"",$A$13))</f>
        <v/>
      </c>
      <c r="AG13" s="2">
        <f>IF(ISERROR($E$13),"",IF(ISBLANK($E$13),"",$E$13))</f>
        <v/>
      </c>
      <c r="AK13" s="2">
        <f>IF(ISERROR($I$13),"",IF(ISBLANK($I$13),"",$I$13))</f>
        <v/>
      </c>
      <c r="AL13" s="2">
        <f>ISERROR($A$13)*1+ISERROR($B$13)*1+ISERROR($C$13)*1+ISERROR($E$13)*1+ISERROR($G$13)*1+ISERROR($H$13)*1+ISERROR($I$13)*1+ISERROR($J$13)*1</f>
        <v/>
      </c>
    </row>
    <row r="14" ht="150" customHeight="1">
      <c r="A14" s="33" t="n"/>
      <c r="B14" s="4" t="n"/>
      <c r="C14" s="4" t="n"/>
      <c r="D14" s="17" t="n"/>
      <c r="E14" s="4" t="n"/>
      <c r="F14" s="17" t="n"/>
      <c r="G14" s="4" t="n"/>
      <c r="H14" s="4" t="n"/>
      <c r="I14" s="34" t="n"/>
      <c r="J14" s="4" t="n"/>
      <c r="K14" s="19">
        <f>IF(AL14&gt;0,"O Google leu como fórmula: escolha de novo ou digite com ' na frente.",IF(AND(LEN($AK$14)&gt;0,COUNTIF('Dados'!$BV$6:$BV$10,$AK$14)=0),"Estado fora da lista",IF(AND(LEN($AC$14)=0,LEN($AK$14&amp;$AG$14)&gt;0),"Linha sem o nome da missão","")))</f>
        <v/>
      </c>
      <c r="AA14" s="2">
        <f>'Tabelas'!$AB$481&amp;""</f>
        <v/>
      </c>
      <c r="AC14" s="2">
        <f>IF(ISERROR($A$14),"",IF(ISBLANK($A$14),"",$A$14))</f>
        <v/>
      </c>
      <c r="AG14" s="2">
        <f>IF(ISERROR($E$14),"",IF(ISBLANK($E$14),"",$E$14))</f>
        <v/>
      </c>
      <c r="AK14" s="2">
        <f>IF(ISERROR($I$14),"",IF(ISBLANK($I$14),"",$I$14))</f>
        <v/>
      </c>
      <c r="AL14" s="2">
        <f>ISERROR($A$14)*1+ISERROR($B$14)*1+ISERROR($C$14)*1+ISERROR($E$14)*1+ISERROR($G$14)*1+ISERROR($H$14)*1+ISERROR($I$14)*1+ISERROR($J$14)*1</f>
        <v/>
      </c>
    </row>
    <row r="15" ht="150" customHeight="1">
      <c r="A15" s="35" t="n"/>
      <c r="B15" s="29" t="n"/>
      <c r="C15" s="29" t="n"/>
      <c r="D15" s="17" t="n"/>
      <c r="E15" s="29" t="n"/>
      <c r="F15" s="17" t="n"/>
      <c r="G15" s="29" t="n"/>
      <c r="H15" s="29" t="n"/>
      <c r="I15" s="36" t="n"/>
      <c r="J15" s="29" t="n"/>
      <c r="K15" s="27">
        <f>IF(AL15&gt;0,"O Google leu como fórmula: escolha de novo ou digite com ' na frente.",IF(AND(LEN($AK$15)&gt;0,COUNTIF('Dados'!$BV$6:$BV$10,$AK$15)=0),"Estado fora da lista",IF(AND(LEN($AC$15)=0,LEN($AK$15&amp;$AG$15)&gt;0),"Linha sem o nome da missão","")))</f>
        <v/>
      </c>
      <c r="AA15" s="2">
        <f>'Tabelas'!$AB$482&amp;""</f>
        <v/>
      </c>
      <c r="AC15" s="2">
        <f>IF(ISERROR($A$15),"",IF(ISBLANK($A$15),"",$A$15))</f>
        <v/>
      </c>
      <c r="AG15" s="2">
        <f>IF(ISERROR($E$15),"",IF(ISBLANK($E$15),"",$E$15))</f>
        <v/>
      </c>
      <c r="AK15" s="2">
        <f>IF(ISERROR($I$15),"",IF(ISBLANK($I$15),"",$I$15))</f>
        <v/>
      </c>
      <c r="AL15" s="2">
        <f>ISERROR($A$15)*1+ISERROR($B$15)*1+ISERROR($C$15)*1+ISERROR($E$15)*1+ISERROR($G$15)*1+ISERROR($H$15)*1+ISERROR($I$15)*1+ISERROR($J$15)*1</f>
        <v/>
      </c>
    </row>
    <row r="16" ht="161" customHeight="1">
      <c r="A16" s="33" t="n"/>
      <c r="B16" s="4" t="n"/>
      <c r="C16" s="4" t="n"/>
      <c r="D16" s="17" t="n"/>
      <c r="E16" s="4" t="n"/>
      <c r="F16" s="17" t="n"/>
      <c r="G16" s="4" t="n"/>
      <c r="H16" s="4" t="n"/>
      <c r="I16" s="34" t="n"/>
      <c r="J16" s="4" t="n"/>
      <c r="K16" s="19">
        <f>IF(AL16&gt;0,"O Google leu como fórmula: escolha de novo ou digite com ' na frente.",IF(AND(LEN($AK$16)&gt;0,COUNTIF('Dados'!$BV$6:$BV$10,$AK$16)=0),"Estado fora da lista",IF(AND(LEN($AC$16)=0,LEN($AK$16&amp;$AG$16)&gt;0),"Linha sem o nome da missão","")))</f>
        <v/>
      </c>
      <c r="AA16" s="2">
        <f>'Tabelas'!$AB$483&amp;""</f>
        <v/>
      </c>
      <c r="AC16" s="2">
        <f>IF(ISERROR($A$16),"",IF(ISBLANK($A$16),"",$A$16))</f>
        <v/>
      </c>
      <c r="AG16" s="2">
        <f>IF(ISERROR($E$16),"",IF(ISBLANK($E$16),"",$E$16))</f>
        <v/>
      </c>
      <c r="AK16" s="2">
        <f>IF(ISERROR($I$16),"",IF(ISBLANK($I$16),"",$I$16))</f>
        <v/>
      </c>
      <c r="AL16" s="2">
        <f>ISERROR($A$16)*1+ISERROR($B$16)*1+ISERROR($C$16)*1+ISERROR($E$16)*1+ISERROR($G$16)*1+ISERROR($H$16)*1+ISERROR($I$16)*1+ISERROR($J$16)*1</f>
        <v/>
      </c>
    </row>
    <row r="17" ht="161" customHeight="1">
      <c r="A17" s="35" t="n"/>
      <c r="B17" s="29" t="n"/>
      <c r="C17" s="29" t="n"/>
      <c r="D17" s="17" t="n"/>
      <c r="E17" s="29" t="n"/>
      <c r="F17" s="17" t="n"/>
      <c r="G17" s="29" t="n"/>
      <c r="H17" s="29" t="n"/>
      <c r="I17" s="36" t="n"/>
      <c r="J17" s="29" t="n"/>
      <c r="K17" s="27">
        <f>IF(AL17&gt;0,"O Google leu como fórmula: escolha de novo ou digite com ' na frente.",IF(AND(LEN($AK$17)&gt;0,COUNTIF('Dados'!$BV$6:$BV$10,$AK$17)=0),"Estado fora da lista",IF(AND(LEN($AC$17)=0,LEN($AK$17&amp;$AG$17)&gt;0),"Linha sem o nome da missão","")))</f>
        <v/>
      </c>
      <c r="AA17" s="2">
        <f>'Tabelas'!$AB$484&amp;""</f>
        <v/>
      </c>
      <c r="AC17" s="2">
        <f>IF(ISERROR($A$17),"",IF(ISBLANK($A$17),"",$A$17))</f>
        <v/>
      </c>
      <c r="AG17" s="2">
        <f>IF(ISERROR($E$17),"",IF(ISBLANK($E$17),"",$E$17))</f>
        <v/>
      </c>
      <c r="AK17" s="2">
        <f>IF(ISERROR($I$17),"",IF(ISBLANK($I$17),"",$I$17))</f>
        <v/>
      </c>
      <c r="AL17" s="2">
        <f>ISERROR($A$17)*1+ISERROR($B$17)*1+ISERROR($C$17)*1+ISERROR($E$17)*1+ISERROR($G$17)*1+ISERROR($H$17)*1+ISERROR($I$17)*1+ISERROR($J$17)*1</f>
        <v/>
      </c>
    </row>
    <row r="18" ht="26" customHeight="1">
      <c r="A18" s="8" t="inlineStr">
        <is>
          <t>Missão (preencha)</t>
        </is>
      </c>
      <c r="B18" s="8" t="inlineStr">
        <is>
          <t>Tipo</t>
        </is>
      </c>
      <c r="C18" s="8" t="inlineStr">
        <is>
          <t>Contratante</t>
        </is>
      </c>
      <c r="D18" s="20" t="n"/>
      <c r="E18" s="8" t="inlineStr">
        <is>
          <t>Objetivo</t>
        </is>
      </c>
      <c r="F18" s="20" t="n"/>
      <c r="G18" s="8" t="inlineStr">
        <is>
          <t>Local</t>
        </is>
      </c>
      <c r="H18" s="8" t="inlineStr">
        <is>
          <t>Prazo</t>
        </is>
      </c>
      <c r="I18" s="8" t="inlineStr">
        <is>
          <t>Estado</t>
        </is>
      </c>
      <c r="J18" s="8" t="inlineStr">
        <is>
          <t>Recompensa combinada</t>
        </is>
      </c>
      <c r="K18" s="8" t="inlineStr">
        <is>
          <t>Aviso</t>
        </is>
      </c>
      <c r="L18" s="20" t="n"/>
      <c r="AA18" s="2">
        <f>'Tabelas'!$AB$486&amp;""</f>
        <v/>
      </c>
      <c r="AK18" s="2">
        <f>IF(ISERROR($I$18),"",IF(ISBLANK($I$18),"",$I$18))</f>
        <v/>
      </c>
    </row>
    <row r="19" ht="150" customHeight="1">
      <c r="A19" s="33" t="n"/>
      <c r="B19" s="4" t="n"/>
      <c r="C19" s="4" t="n"/>
      <c r="D19" s="17" t="n"/>
      <c r="E19" s="4" t="n"/>
      <c r="F19" s="17" t="n"/>
      <c r="G19" s="4" t="n"/>
      <c r="H19" s="4" t="n"/>
      <c r="I19" s="34" t="n"/>
      <c r="J19" s="4" t="n"/>
      <c r="K19" s="19">
        <f>IF(AL19&gt;0,"O Google leu como fórmula: escolha de novo ou digite com ' na frente.",IF(AND(LEN($AK$19)&gt;0,COUNTIF('Dados'!$BV$6:$BV$10,$AK$19)=0),"Estado fora da lista",IF(AND(LEN($AC$19)=0,LEN($AK$19&amp;$AG$19)&gt;0),"Linha sem o nome da missão","")))</f>
        <v/>
      </c>
      <c r="AA19" s="2">
        <f>'Tabelas'!$AB$487&amp;""</f>
        <v/>
      </c>
      <c r="AC19" s="2">
        <f>IF(ISERROR($A$19),"",IF(ISBLANK($A$19),"",$A$19))</f>
        <v/>
      </c>
      <c r="AG19" s="2">
        <f>IF(ISERROR($E$19),"",IF(ISBLANK($E$19),"",$E$19))</f>
        <v/>
      </c>
      <c r="AK19" s="2">
        <f>IF(ISERROR($I$19),"",IF(ISBLANK($I$19),"",$I$19))</f>
        <v/>
      </c>
      <c r="AL19" s="2">
        <f>ISERROR($A$19)*1+ISERROR($B$19)*1+ISERROR($C$19)*1+ISERROR($E$19)*1+ISERROR($G$19)*1+ISERROR($H$19)*1+ISERROR($I$19)*1+ISERROR($J$19)*1</f>
        <v/>
      </c>
    </row>
    <row r="20" ht="150" customHeight="1">
      <c r="A20" s="35" t="n"/>
      <c r="B20" s="29" t="n"/>
      <c r="C20" s="29" t="n"/>
      <c r="D20" s="17" t="n"/>
      <c r="E20" s="29" t="n"/>
      <c r="F20" s="17" t="n"/>
      <c r="G20" s="29" t="n"/>
      <c r="H20" s="29" t="n"/>
      <c r="I20" s="36" t="n"/>
      <c r="J20" s="29" t="n"/>
      <c r="K20" s="27">
        <f>IF(AL20&gt;0,"O Google leu como fórmula: escolha de novo ou digite com ' na frente.",IF(AND(LEN($AK$20)&gt;0,COUNTIF('Dados'!$BV$6:$BV$10,$AK$20)=0),"Estado fora da lista",IF(AND(LEN($AC$20)=0,LEN($AK$20&amp;$AG$20)&gt;0),"Linha sem o nome da missão","")))</f>
        <v/>
      </c>
      <c r="AA20" s="2">
        <f>'Tabelas'!$AB$488&amp;""</f>
        <v/>
      </c>
      <c r="AC20" s="2">
        <f>IF(ISERROR($A$20),"",IF(ISBLANK($A$20),"",$A$20))</f>
        <v/>
      </c>
      <c r="AG20" s="2">
        <f>IF(ISERROR($E$20),"",IF(ISBLANK($E$20),"",$E$20))</f>
        <v/>
      </c>
      <c r="AK20" s="2">
        <f>IF(ISERROR($I$20),"",IF(ISBLANK($I$20),"",$I$20))</f>
        <v/>
      </c>
      <c r="AL20" s="2">
        <f>ISERROR($A$20)*1+ISERROR($B$20)*1+ISERROR($C$20)*1+ISERROR($E$20)*1+ISERROR($G$20)*1+ISERROR($H$20)*1+ISERROR($I$20)*1+ISERROR($J$20)*1</f>
        <v/>
      </c>
    </row>
    <row r="21" ht="150" customHeight="1">
      <c r="A21" s="33" t="n"/>
      <c r="B21" s="4" t="n"/>
      <c r="C21" s="4" t="n"/>
      <c r="D21" s="17" t="n"/>
      <c r="E21" s="4" t="n"/>
      <c r="F21" s="17" t="n"/>
      <c r="G21" s="4" t="n"/>
      <c r="H21" s="4" t="n"/>
      <c r="I21" s="34" t="n"/>
      <c r="J21" s="4" t="n"/>
      <c r="K21" s="19">
        <f>IF(AL21&gt;0,"O Google leu como fórmula: escolha de novo ou digite com ' na frente.",IF(AND(LEN($AK$21)&gt;0,COUNTIF('Dados'!$BV$6:$BV$10,$AK$21)=0),"Estado fora da lista",IF(AND(LEN($AC$21)=0,LEN($AK$21&amp;$AG$21)&gt;0),"Linha sem o nome da missão","")))</f>
        <v/>
      </c>
      <c r="AA21" s="2">
        <f>'Tabelas'!$AB$489&amp;""</f>
        <v/>
      </c>
      <c r="AC21" s="2">
        <f>IF(ISERROR($A$21),"",IF(ISBLANK($A$21),"",$A$21))</f>
        <v/>
      </c>
      <c r="AG21" s="2">
        <f>IF(ISERROR($E$21),"",IF(ISBLANK($E$21),"",$E$21))</f>
        <v/>
      </c>
      <c r="AK21" s="2">
        <f>IF(ISERROR($I$21),"",IF(ISBLANK($I$21),"",$I$21))</f>
        <v/>
      </c>
      <c r="AL21" s="2">
        <f>ISERROR($A$21)*1+ISERROR($B$21)*1+ISERROR($C$21)*1+ISERROR($E$21)*1+ISERROR($G$21)*1+ISERROR($H$21)*1+ISERROR($I$21)*1+ISERROR($J$21)*1</f>
        <v/>
      </c>
    </row>
    <row r="22" ht="150" customHeight="1">
      <c r="A22" s="35" t="n"/>
      <c r="B22" s="29" t="n"/>
      <c r="C22" s="29" t="n"/>
      <c r="D22" s="17" t="n"/>
      <c r="E22" s="29" t="n"/>
      <c r="F22" s="17" t="n"/>
      <c r="G22" s="29" t="n"/>
      <c r="H22" s="29" t="n"/>
      <c r="I22" s="36" t="n"/>
      <c r="J22" s="29" t="n"/>
      <c r="K22" s="27">
        <f>IF(AL22&gt;0,"O Google leu como fórmula: escolha de novo ou digite com ' na frente.",IF(AND(LEN($AK$22)&gt;0,COUNTIF('Dados'!$BV$6:$BV$10,$AK$22)=0),"Estado fora da lista",IF(AND(LEN($AC$22)=0,LEN($AK$22&amp;$AG$22)&gt;0),"Linha sem o nome da missão","")))</f>
        <v/>
      </c>
      <c r="AA22" s="2">
        <f>'Tabelas'!$AB$490&amp;""</f>
        <v/>
      </c>
      <c r="AC22" s="2">
        <f>IF(ISERROR($A$22),"",IF(ISBLANK($A$22),"",$A$22))</f>
        <v/>
      </c>
      <c r="AG22" s="2">
        <f>IF(ISERROR($E$22),"",IF(ISBLANK($E$22),"",$E$22))</f>
        <v/>
      </c>
      <c r="AK22" s="2">
        <f>IF(ISERROR($I$22),"",IF(ISBLANK($I$22),"",$I$22))</f>
        <v/>
      </c>
      <c r="AL22" s="2">
        <f>ISERROR($A$22)*1+ISERROR($B$22)*1+ISERROR($C$22)*1+ISERROR($E$22)*1+ISERROR($G$22)*1+ISERROR($H$22)*1+ISERROR($I$22)*1+ISERROR($J$22)*1</f>
        <v/>
      </c>
    </row>
    <row r="23" ht="138" customHeight="1">
      <c r="A23" s="33" t="n"/>
      <c r="B23" s="4" t="n"/>
      <c r="C23" s="4" t="n"/>
      <c r="D23" s="17" t="n"/>
      <c r="E23" s="4" t="n"/>
      <c r="F23" s="17" t="n"/>
      <c r="G23" s="4" t="n"/>
      <c r="H23" s="4" t="n"/>
      <c r="I23" s="34" t="n"/>
      <c r="J23" s="4" t="n"/>
      <c r="K23" s="19">
        <f>IF(AL23&gt;0,"O Google leu como fórmula: escolha de novo ou digite com ' na frente.",IF(AND(LEN($AK$23)&gt;0,COUNTIF('Dados'!$BV$6:$BV$10,$AK$23)=0),"Estado fora da lista",IF(AND(LEN($AC$23)=0,LEN($AK$23&amp;$AG$23)&gt;0),"Linha sem o nome da missão","")))</f>
        <v/>
      </c>
      <c r="AA23" s="2">
        <f>'Tabelas'!$AB$491&amp;""</f>
        <v/>
      </c>
      <c r="AC23" s="2">
        <f>IF(ISERROR($A$23),"",IF(ISBLANK($A$23),"",$A$23))</f>
        <v/>
      </c>
      <c r="AG23" s="2">
        <f>IF(ISERROR($E$23),"",IF(ISBLANK($E$23),"",$E$23))</f>
        <v/>
      </c>
      <c r="AK23" s="2">
        <f>IF(ISERROR($I$23),"",IF(ISBLANK($I$23),"",$I$23))</f>
        <v/>
      </c>
      <c r="AL23" s="2">
        <f>ISERROR($A$23)*1+ISERROR($B$23)*1+ISERROR($C$23)*1+ISERROR($E$23)*1+ISERROR($G$23)*1+ISERROR($H$23)*1+ISERROR($I$23)*1+ISERROR($J$23)*1</f>
        <v/>
      </c>
    </row>
    <row r="24" ht="161" customHeight="1">
      <c r="A24" s="35" t="n"/>
      <c r="B24" s="29" t="n"/>
      <c r="C24" s="29" t="n"/>
      <c r="D24" s="17" t="n"/>
      <c r="E24" s="29" t="n"/>
      <c r="F24" s="17" t="n"/>
      <c r="G24" s="29" t="n"/>
      <c r="H24" s="29" t="n"/>
      <c r="I24" s="36" t="n"/>
      <c r="J24" s="29" t="n"/>
      <c r="K24" s="27">
        <f>IF(AL24&gt;0,"O Google leu como fórmula: escolha de novo ou digite com ' na frente.",IF(AND(LEN($AK$24)&gt;0,COUNTIF('Dados'!$BV$6:$BV$10,$AK$24)=0),"Estado fora da lista",IF(AND(LEN($AC$24)=0,LEN($AK$24&amp;$AG$24)&gt;0),"Linha sem o nome da missão","")))</f>
        <v/>
      </c>
      <c r="AA24" s="2">
        <f>'Tabelas'!$AB$492&amp;""</f>
        <v/>
      </c>
      <c r="AC24" s="2">
        <f>IF(ISERROR($A$24),"",IF(ISBLANK($A$24),"",$A$24))</f>
        <v/>
      </c>
      <c r="AG24" s="2">
        <f>IF(ISERROR($E$24),"",IF(ISBLANK($E$24),"",$E$24))</f>
        <v/>
      </c>
      <c r="AK24" s="2">
        <f>IF(ISERROR($I$24),"",IF(ISBLANK($I$24),"",$I$24))</f>
        <v/>
      </c>
      <c r="AL24" s="2">
        <f>ISERROR($A$24)*1+ISERROR($B$24)*1+ISERROR($C$24)*1+ISERROR($E$24)*1+ISERROR($G$24)*1+ISERROR($H$24)*1+ISERROR($I$24)*1+ISERROR($J$24)*1</f>
        <v/>
      </c>
    </row>
    <row r="25" ht="150" customHeight="1">
      <c r="A25" s="33" t="n"/>
      <c r="B25" s="4" t="n"/>
      <c r="C25" s="4" t="n"/>
      <c r="D25" s="17" t="n"/>
      <c r="E25" s="4" t="n"/>
      <c r="F25" s="17" t="n"/>
      <c r="G25" s="4" t="n"/>
      <c r="H25" s="4" t="n"/>
      <c r="I25" s="34" t="n"/>
      <c r="J25" s="4" t="n"/>
      <c r="K25" s="19">
        <f>IF(AL25&gt;0,"O Google leu como fórmula: escolha de novo ou digite com ' na frente.",IF(AND(LEN($AK$25)&gt;0,COUNTIF('Dados'!$BV$6:$BV$10,$AK$25)=0),"Estado fora da lista",IF(AND(LEN($AC$25)=0,LEN($AK$25&amp;$AG$25)&gt;0),"Linha sem o nome da missão","")))</f>
        <v/>
      </c>
      <c r="AA25" s="2">
        <f>'Tabelas'!$AB$493&amp;""</f>
        <v/>
      </c>
      <c r="AC25" s="2">
        <f>IF(ISERROR($A$25),"",IF(ISBLANK($A$25),"",$A$25))</f>
        <v/>
      </c>
      <c r="AG25" s="2">
        <f>IF(ISERROR($E$25),"",IF(ISBLANK($E$25),"",$E$25))</f>
        <v/>
      </c>
      <c r="AK25" s="2">
        <f>IF(ISERROR($I$25),"",IF(ISBLANK($I$25),"",$I$25))</f>
        <v/>
      </c>
      <c r="AL25" s="2">
        <f>ISERROR($A$25)*1+ISERROR($B$25)*1+ISERROR($C$25)*1+ISERROR($E$25)*1+ISERROR($G$25)*1+ISERROR($H$25)*1+ISERROR($I$25)*1+ISERROR($J$25)*1</f>
        <v/>
      </c>
    </row>
    <row r="26" ht="138" customHeight="1">
      <c r="A26" s="35" t="n"/>
      <c r="B26" s="29" t="n"/>
      <c r="C26" s="29" t="n"/>
      <c r="D26" s="17" t="n"/>
      <c r="E26" s="29" t="n"/>
      <c r="F26" s="17" t="n"/>
      <c r="G26" s="29" t="n"/>
      <c r="H26" s="29" t="n"/>
      <c r="I26" s="36" t="n"/>
      <c r="J26" s="29" t="n"/>
      <c r="K26" s="27">
        <f>IF(AL26&gt;0,"O Google leu como fórmula: escolha de novo ou digite com ' na frente.",IF(AND(LEN($AK$26)&gt;0,COUNTIF('Dados'!$BV$6:$BV$10,$AK$26)=0),"Estado fora da lista",IF(AND(LEN($AC$26)=0,LEN($AK$26&amp;$AG$26)&gt;0),"Linha sem o nome da missão","")))</f>
        <v/>
      </c>
      <c r="AA26" s="2">
        <f>'Tabelas'!$AB$494&amp;""</f>
        <v/>
      </c>
      <c r="AC26" s="2">
        <f>IF(ISERROR($A$26),"",IF(ISBLANK($A$26),"",$A$26))</f>
        <v/>
      </c>
      <c r="AG26" s="2">
        <f>IF(ISERROR($E$26),"",IF(ISBLANK($E$26),"",$E$26))</f>
        <v/>
      </c>
      <c r="AK26" s="2">
        <f>IF(ISERROR($I$26),"",IF(ISBLANK($I$26),"",$I$26))</f>
        <v/>
      </c>
      <c r="AL26" s="2">
        <f>ISERROR($A$26)*1+ISERROR($B$26)*1+ISERROR($C$26)*1+ISERROR($E$26)*1+ISERROR($G$26)*1+ISERROR($H$26)*1+ISERROR($I$26)*1+ISERROR($J$26)*1</f>
        <v/>
      </c>
    </row>
    <row r="27" ht="161" customHeight="1">
      <c r="A27" s="33" t="n"/>
      <c r="B27" s="4" t="n"/>
      <c r="C27" s="4" t="n"/>
      <c r="D27" s="17" t="n"/>
      <c r="E27" s="4" t="n"/>
      <c r="F27" s="17" t="n"/>
      <c r="G27" s="4" t="n"/>
      <c r="H27" s="4" t="n"/>
      <c r="I27" s="34" t="n"/>
      <c r="J27" s="4" t="n"/>
      <c r="K27" s="19">
        <f>IF(AL27&gt;0,"O Google leu como fórmula: escolha de novo ou digite com ' na frente.",IF(AND(LEN($AK$27)&gt;0,COUNTIF('Dados'!$BV$6:$BV$10,$AK$27)=0),"Estado fora da lista",IF(AND(LEN($AC$27)=0,LEN($AK$27&amp;$AG$27)&gt;0),"Linha sem o nome da missão","")))</f>
        <v/>
      </c>
      <c r="AA27" s="2">
        <f>'Tabelas'!$AB$495&amp;""</f>
        <v/>
      </c>
      <c r="AC27" s="2">
        <f>IF(ISERROR($A$27),"",IF(ISBLANK($A$27),"",$A$27))</f>
        <v/>
      </c>
      <c r="AG27" s="2">
        <f>IF(ISERROR($E$27),"",IF(ISBLANK($E$27),"",$E$27))</f>
        <v/>
      </c>
      <c r="AK27" s="2">
        <f>IF(ISERROR($I$27),"",IF(ISBLANK($I$27),"",$I$27))</f>
        <v/>
      </c>
      <c r="AL27" s="2">
        <f>ISERROR($A$27)*1+ISERROR($B$27)*1+ISERROR($C$27)*1+ISERROR($E$27)*1+ISERROR($G$27)*1+ISERROR($H$27)*1+ISERROR($I$27)*1+ISERROR($J$27)*1</f>
        <v/>
      </c>
    </row>
    <row r="28" ht="161" customHeight="1">
      <c r="A28" s="35" t="n"/>
      <c r="B28" s="29" t="n"/>
      <c r="C28" s="29" t="n"/>
      <c r="D28" s="17" t="n"/>
      <c r="E28" s="29" t="n"/>
      <c r="F28" s="17" t="n"/>
      <c r="G28" s="29" t="n"/>
      <c r="H28" s="29" t="n"/>
      <c r="I28" s="36" t="n"/>
      <c r="J28" s="29" t="n"/>
      <c r="K28" s="27">
        <f>IF(AL28&gt;0,"O Google leu como fórmula: escolha de novo ou digite com ' na frente.",IF(AND(LEN($AK$28)&gt;0,COUNTIF('Dados'!$BV$6:$BV$10,$AK$28)=0),"Estado fora da lista",IF(AND(LEN($AC$28)=0,LEN($AK$28&amp;$AG$28)&gt;0),"Linha sem o nome da missão","")))</f>
        <v/>
      </c>
      <c r="AA28" s="2">
        <f>'Tabelas'!$AB$496&amp;""</f>
        <v/>
      </c>
      <c r="AC28" s="2">
        <f>IF(ISERROR($A$28),"",IF(ISBLANK($A$28),"",$A$28))</f>
        <v/>
      </c>
      <c r="AG28" s="2">
        <f>IF(ISERROR($E$28),"",IF(ISBLANK($E$28),"",$E$28))</f>
        <v/>
      </c>
      <c r="AK28" s="2">
        <f>IF(ISERROR($I$28),"",IF(ISBLANK($I$28),"",$I$28))</f>
        <v/>
      </c>
      <c r="AL28" s="2">
        <f>ISERROR($A$28)*1+ISERROR($B$28)*1+ISERROR($C$28)*1+ISERROR($E$28)*1+ISERROR($G$28)*1+ISERROR($H$28)*1+ISERROR($I$28)*1+ISERROR($J$28)*1</f>
        <v/>
      </c>
    </row>
    <row r="29" ht="20" customHeight="1">
      <c r="A29" s="13" t="inlineStr">
        <is>
          <t>M2 · O registro (preencha)</t>
        </is>
      </c>
      <c r="AA29" s="2">
        <f>'Tabelas'!$AB$497&amp;""</f>
        <v/>
      </c>
    </row>
    <row r="30" ht="26" customHeight="1">
      <c r="A30" s="8" t="inlineStr">
        <is>
          <t>Missão</t>
        </is>
      </c>
      <c r="B30" s="8" t="inlineStr">
        <is>
          <t>É marco de nível?</t>
        </is>
      </c>
      <c r="C30" s="8" t="inlineStr">
        <is>
          <t>Sessão de início</t>
        </is>
      </c>
      <c r="D30" s="8" t="inlineStr">
        <is>
          <t>Sessão de fim</t>
        </is>
      </c>
      <c r="E30" s="8" t="inlineStr">
        <is>
          <t>Notas</t>
        </is>
      </c>
      <c r="F30" s="20" t="n"/>
      <c r="G30" s="20" t="n"/>
      <c r="H30" s="20" t="n"/>
      <c r="I30" s="20" t="n"/>
      <c r="J30" s="20" t="n"/>
      <c r="K30" s="8" t="inlineStr">
        <is>
          <t>Aviso</t>
        </is>
      </c>
      <c r="L30" s="20" t="n"/>
      <c r="AA30" s="2">
        <f>'Tabelas'!$AB$498&amp;""</f>
        <v/>
      </c>
    </row>
    <row r="31" ht="116" customHeight="1">
      <c r="A31" s="31">
        <f>IF(LEN($AC$8)&gt;0,$AC$8,"Missão 1")</f>
        <v/>
      </c>
      <c r="B31" s="34" t="n"/>
      <c r="C31" s="16" t="n"/>
      <c r="D31" s="16" t="n"/>
      <c r="E31" s="4" t="n"/>
      <c r="F31" s="25" t="n"/>
      <c r="G31" s="25" t="n"/>
      <c r="H31" s="25" t="n"/>
      <c r="I31" s="25" t="n"/>
      <c r="J31" s="17" t="n"/>
      <c r="K31" s="19">
        <f>IF(AL31&gt;0,"O Google leu como fórmula: escolha de novo ou digite com ' na frente.",IF(AND($AK$8="Concluída",LEN($AF$31)=0),"Concluída sem sessão de fim",IF(AND(ISNUMBER($AE$31),ISNUMBER($AF$31)),IF($AF$31&lt;$AE$31,"Sessão de fim antes da de início",""),"")))</f>
        <v/>
      </c>
      <c r="AA31" s="2">
        <f>'Tabelas'!$AB$500&amp;""</f>
        <v/>
      </c>
      <c r="AD31" s="2">
        <f>IF(ISERROR($B$31),"",IF(ISBLANK($B$31),"",$B$31))</f>
        <v/>
      </c>
      <c r="AE31" s="2">
        <f>IF(ISERROR($C$31),"",IF(ISBLANK($C$31),"",$C$31))</f>
        <v/>
      </c>
      <c r="AF31" s="2">
        <f>IF(ISERROR($D$31),"",IF(ISBLANK($D$31),"",$D$31))</f>
        <v/>
      </c>
      <c r="AL31" s="2">
        <f>ISERROR($B$31)*1+ISERROR($C$31)*1+ISERROR($D$31)*1+ISERROR($E$31)*1</f>
        <v/>
      </c>
    </row>
    <row r="32" ht="105" customHeight="1">
      <c r="A32" s="43">
        <f>IF(LEN($AC$9)&gt;0,$AC$9,"Missão 2")</f>
        <v/>
      </c>
      <c r="B32" s="36" t="n"/>
      <c r="C32" s="37" t="n"/>
      <c r="D32" s="37" t="n"/>
      <c r="E32" s="29" t="n"/>
      <c r="F32" s="25" t="n"/>
      <c r="G32" s="25" t="n"/>
      <c r="H32" s="25" t="n"/>
      <c r="I32" s="25" t="n"/>
      <c r="J32" s="17" t="n"/>
      <c r="K32" s="27">
        <f>IF(AL32&gt;0,"O Google leu como fórmula: escolha de novo ou digite com ' na frente.",IF(AND($AK$9="Concluída",LEN($AF$32)=0),"Concluída sem sessão de fim",IF(AND(ISNUMBER($AE$32),ISNUMBER($AF$32)),IF($AF$32&lt;$AE$32,"Sessão de fim antes da de início",""),"")))</f>
        <v/>
      </c>
      <c r="AA32" s="2">
        <f>'Tabelas'!$AB$501&amp;""</f>
        <v/>
      </c>
      <c r="AD32" s="2">
        <f>IF(ISERROR($B$32),"",IF(ISBLANK($B$32),"",$B$32))</f>
        <v/>
      </c>
      <c r="AE32" s="2">
        <f>IF(ISERROR($C$32),"",IF(ISBLANK($C$32),"",$C$32))</f>
        <v/>
      </c>
      <c r="AF32" s="2">
        <f>IF(ISERROR($D$32),"",IF(ISBLANK($D$32),"",$D$32))</f>
        <v/>
      </c>
      <c r="AL32" s="2">
        <f>ISERROR($B$32)*1+ISERROR($C$32)*1+ISERROR($D$32)*1+ISERROR($E$32)*1</f>
        <v/>
      </c>
    </row>
    <row r="33" ht="105" customHeight="1">
      <c r="A33" s="31">
        <f>IF(LEN($AC$10)&gt;0,$AC$10,"Missão 3")</f>
        <v/>
      </c>
      <c r="B33" s="34" t="n"/>
      <c r="C33" s="16" t="n"/>
      <c r="D33" s="16" t="n"/>
      <c r="E33" s="4" t="n"/>
      <c r="F33" s="25" t="n"/>
      <c r="G33" s="25" t="n"/>
      <c r="H33" s="25" t="n"/>
      <c r="I33" s="25" t="n"/>
      <c r="J33" s="17" t="n"/>
      <c r="K33" s="19">
        <f>IF(AL33&gt;0,"O Google leu como fórmula: escolha de novo ou digite com ' na frente.",IF(AND($AK$10="Concluída",LEN($AF$33)=0),"Concluída sem sessão de fim",IF(AND(ISNUMBER($AE$33),ISNUMBER($AF$33)),IF($AF$33&lt;$AE$33,"Sessão de fim antes da de início",""),"")))</f>
        <v/>
      </c>
      <c r="AA33" s="2">
        <f>'Tabelas'!$AB$502&amp;""</f>
        <v/>
      </c>
      <c r="AD33" s="2">
        <f>IF(ISERROR($B$33),"",IF(ISBLANK($B$33),"",$B$33))</f>
        <v/>
      </c>
      <c r="AE33" s="2">
        <f>IF(ISERROR($C$33),"",IF(ISBLANK($C$33),"",$C$33))</f>
        <v/>
      </c>
      <c r="AF33" s="2">
        <f>IF(ISERROR($D$33),"",IF(ISBLANK($D$33),"",$D$33))</f>
        <v/>
      </c>
      <c r="AL33" s="2">
        <f>ISERROR($B$33)*1+ISERROR($C$33)*1+ISERROR($D$33)*1+ISERROR($E$33)*1</f>
        <v/>
      </c>
    </row>
    <row r="34" ht="105" customHeight="1">
      <c r="A34" s="43">
        <f>IF(LEN($AC$11)&gt;0,$AC$11,"Missão 4")</f>
        <v/>
      </c>
      <c r="B34" s="36" t="n"/>
      <c r="C34" s="37" t="n"/>
      <c r="D34" s="37" t="n"/>
      <c r="E34" s="29" t="n"/>
      <c r="F34" s="25" t="n"/>
      <c r="G34" s="25" t="n"/>
      <c r="H34" s="25" t="n"/>
      <c r="I34" s="25" t="n"/>
      <c r="J34" s="17" t="n"/>
      <c r="K34" s="27">
        <f>IF(AL34&gt;0,"O Google leu como fórmula: escolha de novo ou digite com ' na frente.",IF(AND($AK$11="Concluída",LEN($AF$34)=0),"Concluída sem sessão de fim",IF(AND(ISNUMBER($AE$34),ISNUMBER($AF$34)),IF($AF$34&lt;$AE$34,"Sessão de fim antes da de início",""),"")))</f>
        <v/>
      </c>
      <c r="AA34" s="2">
        <f>'Tabelas'!$AB$503&amp;""</f>
        <v/>
      </c>
      <c r="AD34" s="2">
        <f>IF(ISERROR($B$34),"",IF(ISBLANK($B$34),"",$B$34))</f>
        <v/>
      </c>
      <c r="AE34" s="2">
        <f>IF(ISERROR($C$34),"",IF(ISBLANK($C$34),"",$C$34))</f>
        <v/>
      </c>
      <c r="AF34" s="2">
        <f>IF(ISERROR($D$34),"",IF(ISBLANK($D$34),"",$D$34))</f>
        <v/>
      </c>
      <c r="AL34" s="2">
        <f>ISERROR($B$34)*1+ISERROR($C$34)*1+ISERROR($D$34)*1+ISERROR($E$34)*1</f>
        <v/>
      </c>
    </row>
    <row r="35" ht="105" customHeight="1">
      <c r="A35" s="31">
        <f>IF(LEN($AC$12)&gt;0,$AC$12,"Missão 5")</f>
        <v/>
      </c>
      <c r="B35" s="34" t="n"/>
      <c r="C35" s="16" t="n"/>
      <c r="D35" s="16" t="n"/>
      <c r="E35" s="4" t="n"/>
      <c r="F35" s="25" t="n"/>
      <c r="G35" s="25" t="n"/>
      <c r="H35" s="25" t="n"/>
      <c r="I35" s="25" t="n"/>
      <c r="J35" s="17" t="n"/>
      <c r="K35" s="19">
        <f>IF(AL35&gt;0,"O Google leu como fórmula: escolha de novo ou digite com ' na frente.",IF(AND($AK$12="Concluída",LEN($AF$35)=0),"Concluída sem sessão de fim",IF(AND(ISNUMBER($AE$35),ISNUMBER($AF$35)),IF($AF$35&lt;$AE$35,"Sessão de fim antes da de início",""),"")))</f>
        <v/>
      </c>
      <c r="AA35" s="2">
        <f>'Tabelas'!$AB$504&amp;""</f>
        <v/>
      </c>
      <c r="AD35" s="2">
        <f>IF(ISERROR($B$35),"",IF(ISBLANK($B$35),"",$B$35))</f>
        <v/>
      </c>
      <c r="AE35" s="2">
        <f>IF(ISERROR($C$35),"",IF(ISBLANK($C$35),"",$C$35))</f>
        <v/>
      </c>
      <c r="AF35" s="2">
        <f>IF(ISERROR($D$35),"",IF(ISBLANK($D$35),"",$D$35))</f>
        <v/>
      </c>
      <c r="AL35" s="2">
        <f>ISERROR($B$35)*1+ISERROR($C$35)*1+ISERROR($D$35)*1+ISERROR($E$35)*1</f>
        <v/>
      </c>
    </row>
    <row r="36" ht="116" customHeight="1">
      <c r="A36" s="43">
        <f>IF(LEN($AC$13)&gt;0,$AC$13,"Missão 6")</f>
        <v/>
      </c>
      <c r="B36" s="36" t="n"/>
      <c r="C36" s="37" t="n"/>
      <c r="D36" s="37" t="n"/>
      <c r="E36" s="29" t="n"/>
      <c r="F36" s="25" t="n"/>
      <c r="G36" s="25" t="n"/>
      <c r="H36" s="25" t="n"/>
      <c r="I36" s="25" t="n"/>
      <c r="J36" s="17" t="n"/>
      <c r="K36" s="27">
        <f>IF(AL36&gt;0,"O Google leu como fórmula: escolha de novo ou digite com ' na frente.",IF(AND($AK$13="Concluída",LEN($AF$36)=0),"Concluída sem sessão de fim",IF(AND(ISNUMBER($AE$36),ISNUMBER($AF$36)),IF($AF$36&lt;$AE$36,"Sessão de fim antes da de início",""),"")))</f>
        <v/>
      </c>
      <c r="AA36" s="2">
        <f>'Tabelas'!$AB$505&amp;""</f>
        <v/>
      </c>
      <c r="AD36" s="2">
        <f>IF(ISERROR($B$36),"",IF(ISBLANK($B$36),"",$B$36))</f>
        <v/>
      </c>
      <c r="AE36" s="2">
        <f>IF(ISERROR($C$36),"",IF(ISBLANK($C$36),"",$C$36))</f>
        <v/>
      </c>
      <c r="AF36" s="2">
        <f>IF(ISERROR($D$36),"",IF(ISBLANK($D$36),"",$D$36))</f>
        <v/>
      </c>
      <c r="AL36" s="2">
        <f>ISERROR($B$36)*1+ISERROR($C$36)*1+ISERROR($D$36)*1+ISERROR($E$36)*1</f>
        <v/>
      </c>
    </row>
    <row r="37" ht="105" customHeight="1">
      <c r="A37" s="31">
        <f>IF(LEN($AC$14)&gt;0,$AC$14,"Missão 7")</f>
        <v/>
      </c>
      <c r="B37" s="34" t="n"/>
      <c r="C37" s="16" t="n"/>
      <c r="D37" s="16" t="n"/>
      <c r="E37" s="4" t="n"/>
      <c r="F37" s="25" t="n"/>
      <c r="G37" s="25" t="n"/>
      <c r="H37" s="25" t="n"/>
      <c r="I37" s="25" t="n"/>
      <c r="J37" s="17" t="n"/>
      <c r="K37" s="19">
        <f>IF(AL37&gt;0,"O Google leu como fórmula: escolha de novo ou digite com ' na frente.",IF(AND($AK$14="Concluída",LEN($AF$37)=0),"Concluída sem sessão de fim",IF(AND(ISNUMBER($AE$37),ISNUMBER($AF$37)),IF($AF$37&lt;$AE$37,"Sessão de fim antes da de início",""),"")))</f>
        <v/>
      </c>
      <c r="AA37" s="2">
        <f>'Tabelas'!$AB$506&amp;""</f>
        <v/>
      </c>
      <c r="AD37" s="2">
        <f>IF(ISERROR($B$37),"",IF(ISBLANK($B$37),"",$B$37))</f>
        <v/>
      </c>
      <c r="AE37" s="2">
        <f>IF(ISERROR($C$37),"",IF(ISBLANK($C$37),"",$C$37))</f>
        <v/>
      </c>
      <c r="AF37" s="2">
        <f>IF(ISERROR($D$37),"",IF(ISBLANK($D$37),"",$D$37))</f>
        <v/>
      </c>
      <c r="AL37" s="2">
        <f>ISERROR($B$37)*1+ISERROR($C$37)*1+ISERROR($D$37)*1+ISERROR($E$37)*1</f>
        <v/>
      </c>
    </row>
    <row r="38" ht="116" customHeight="1">
      <c r="A38" s="43">
        <f>IF(LEN($AC$15)&gt;0,$AC$15,"Missão 8")</f>
        <v/>
      </c>
      <c r="B38" s="36" t="n"/>
      <c r="C38" s="37" t="n"/>
      <c r="D38" s="37" t="n"/>
      <c r="E38" s="29" t="n"/>
      <c r="F38" s="25" t="n"/>
      <c r="G38" s="25" t="n"/>
      <c r="H38" s="25" t="n"/>
      <c r="I38" s="25" t="n"/>
      <c r="J38" s="17" t="n"/>
      <c r="K38" s="27">
        <f>IF(AL38&gt;0,"O Google leu como fórmula: escolha de novo ou digite com ' na frente.",IF(AND($AK$15="Concluída",LEN($AF$38)=0),"Concluída sem sessão de fim",IF(AND(ISNUMBER($AE$38),ISNUMBER($AF$38)),IF($AF$38&lt;$AE$38,"Sessão de fim antes da de início",""),"")))</f>
        <v/>
      </c>
      <c r="AA38" s="2">
        <f>'Tabelas'!$AB$507&amp;""</f>
        <v/>
      </c>
      <c r="AD38" s="2">
        <f>IF(ISERROR($B$38),"",IF(ISBLANK($B$38),"",$B$38))</f>
        <v/>
      </c>
      <c r="AE38" s="2">
        <f>IF(ISERROR($C$38),"",IF(ISBLANK($C$38),"",$C$38))</f>
        <v/>
      </c>
      <c r="AF38" s="2">
        <f>IF(ISERROR($D$38),"",IF(ISBLANK($D$38),"",$D$38))</f>
        <v/>
      </c>
      <c r="AL38" s="2">
        <f>ISERROR($B$38)*1+ISERROR($C$38)*1+ISERROR($D$38)*1+ISERROR($E$38)*1</f>
        <v/>
      </c>
    </row>
    <row r="39" ht="127" customHeight="1">
      <c r="A39" s="31">
        <f>IF(LEN($AC$16)&gt;0,$AC$16,"Missão 9")</f>
        <v/>
      </c>
      <c r="B39" s="34" t="n"/>
      <c r="C39" s="16" t="n"/>
      <c r="D39" s="16" t="n"/>
      <c r="E39" s="4" t="n"/>
      <c r="F39" s="25" t="n"/>
      <c r="G39" s="25" t="n"/>
      <c r="H39" s="25" t="n"/>
      <c r="I39" s="25" t="n"/>
      <c r="J39" s="17" t="n"/>
      <c r="K39" s="19">
        <f>IF(AL39&gt;0,"O Google leu como fórmula: escolha de novo ou digite com ' na frente.",IF(AND($AK$16="Concluída",LEN($AF$39)=0),"Concluída sem sessão de fim",IF(AND(ISNUMBER($AE$39),ISNUMBER($AF$39)),IF($AF$39&lt;$AE$39,"Sessão de fim antes da de início",""),"")))</f>
        <v/>
      </c>
      <c r="AA39" s="2">
        <f>'Tabelas'!$AB$508&amp;""</f>
        <v/>
      </c>
      <c r="AD39" s="2">
        <f>IF(ISERROR($B$39),"",IF(ISBLANK($B$39),"",$B$39))</f>
        <v/>
      </c>
      <c r="AE39" s="2">
        <f>IF(ISERROR($C$39),"",IF(ISBLANK($C$39),"",$C$39))</f>
        <v/>
      </c>
      <c r="AF39" s="2">
        <f>IF(ISERROR($D$39),"",IF(ISBLANK($D$39),"",$D$39))</f>
        <v/>
      </c>
      <c r="AL39" s="2">
        <f>ISERROR($B$39)*1+ISERROR($C$39)*1+ISERROR($D$39)*1+ISERROR($E$39)*1</f>
        <v/>
      </c>
    </row>
    <row r="40" ht="105" customHeight="1">
      <c r="A40" s="43">
        <f>IF(LEN($AC$17)&gt;0,$AC$17,"Missão 10")</f>
        <v/>
      </c>
      <c r="B40" s="36" t="n"/>
      <c r="C40" s="37" t="n"/>
      <c r="D40" s="37" t="n"/>
      <c r="E40" s="29" t="n"/>
      <c r="F40" s="25" t="n"/>
      <c r="G40" s="25" t="n"/>
      <c r="H40" s="25" t="n"/>
      <c r="I40" s="25" t="n"/>
      <c r="J40" s="17" t="n"/>
      <c r="K40" s="27">
        <f>IF(AL40&gt;0,"O Google leu como fórmula: escolha de novo ou digite com ' na frente.",IF(AND($AK$17="Concluída",LEN($AF$40)=0),"Concluída sem sessão de fim",IF(AND(ISNUMBER($AE$40),ISNUMBER($AF$40)),IF($AF$40&lt;$AE$40,"Sessão de fim antes da de início",""),"")))</f>
        <v/>
      </c>
      <c r="AA40" s="2">
        <f>'Tabelas'!$AB$509&amp;""</f>
        <v/>
      </c>
      <c r="AD40" s="2">
        <f>IF(ISERROR($B$40),"",IF(ISBLANK($B$40),"",$B$40))</f>
        <v/>
      </c>
      <c r="AE40" s="2">
        <f>IF(ISERROR($C$40),"",IF(ISBLANK($C$40),"",$C$40))</f>
        <v/>
      </c>
      <c r="AF40" s="2">
        <f>IF(ISERROR($D$40),"",IF(ISBLANK($D$40),"",$D$40))</f>
        <v/>
      </c>
      <c r="AL40" s="2">
        <f>ISERROR($B$40)*1+ISERROR($C$40)*1+ISERROR($D$40)*1+ISERROR($E$40)*1</f>
        <v/>
      </c>
    </row>
    <row r="41" ht="26" customHeight="1">
      <c r="A41" s="8" t="inlineStr">
        <is>
          <t>Missão</t>
        </is>
      </c>
      <c r="B41" s="8" t="inlineStr">
        <is>
          <t>É marco de nível?</t>
        </is>
      </c>
      <c r="C41" s="8" t="inlineStr">
        <is>
          <t>Sessão de início</t>
        </is>
      </c>
      <c r="D41" s="8" t="inlineStr">
        <is>
          <t>Sessão de fim</t>
        </is>
      </c>
      <c r="E41" s="8" t="inlineStr">
        <is>
          <t>Notas</t>
        </is>
      </c>
      <c r="F41" s="20" t="n"/>
      <c r="G41" s="20" t="n"/>
      <c r="H41" s="20" t="n"/>
      <c r="I41" s="20" t="n"/>
      <c r="J41" s="20" t="n"/>
      <c r="K41" s="8" t="inlineStr">
        <is>
          <t>Aviso</t>
        </is>
      </c>
      <c r="L41" s="20" t="n"/>
      <c r="AA41" s="2">
        <f>'Tabelas'!$AB$510&amp;""</f>
        <v/>
      </c>
      <c r="AD41" s="2">
        <f>IF(ISERROR($B$41),"",IF(ISBLANK($B$41),"",$B$41))</f>
        <v/>
      </c>
    </row>
    <row r="42" ht="116" customHeight="1">
      <c r="A42" s="31">
        <f>IF(LEN($AC$19)&gt;0,$AC$19,"Missão 11")</f>
        <v/>
      </c>
      <c r="B42" s="34" t="n"/>
      <c r="C42" s="16" t="n"/>
      <c r="D42" s="16" t="n"/>
      <c r="E42" s="4" t="n"/>
      <c r="F42" s="25" t="n"/>
      <c r="G42" s="25" t="n"/>
      <c r="H42" s="25" t="n"/>
      <c r="I42" s="25" t="n"/>
      <c r="J42" s="17" t="n"/>
      <c r="K42" s="19">
        <f>IF(AL42&gt;0,"O Google leu como fórmula: escolha de novo ou digite com ' na frente.",IF(AND($AK$19="Concluída",LEN($AF$42)=0),"Concluída sem sessão de fim",IF(AND(ISNUMBER($AE$42),ISNUMBER($AF$42)),IF($AF$42&lt;$AE$42,"Sessão de fim antes da de início",""),"")))</f>
        <v/>
      </c>
      <c r="AA42" s="2">
        <f>'Tabelas'!$AB$511&amp;""</f>
        <v/>
      </c>
      <c r="AD42" s="2">
        <f>IF(ISERROR($B$42),"",IF(ISBLANK($B$42),"",$B$42))</f>
        <v/>
      </c>
      <c r="AE42" s="2">
        <f>IF(ISERROR($C$42),"",IF(ISBLANK($C$42),"",$C$42))</f>
        <v/>
      </c>
      <c r="AF42" s="2">
        <f>IF(ISERROR($D$42),"",IF(ISBLANK($D$42),"",$D$42))</f>
        <v/>
      </c>
      <c r="AL42" s="2">
        <f>ISERROR($B$42)*1+ISERROR($C$42)*1+ISERROR($D$42)*1+ISERROR($E$42)*1</f>
        <v/>
      </c>
    </row>
    <row r="43" ht="116" customHeight="1">
      <c r="A43" s="43">
        <f>IF(LEN($AC$20)&gt;0,$AC$20,"Missão 12")</f>
        <v/>
      </c>
      <c r="B43" s="36" t="n"/>
      <c r="C43" s="37" t="n"/>
      <c r="D43" s="37" t="n"/>
      <c r="E43" s="29" t="n"/>
      <c r="F43" s="25" t="n"/>
      <c r="G43" s="25" t="n"/>
      <c r="H43" s="25" t="n"/>
      <c r="I43" s="25" t="n"/>
      <c r="J43" s="17" t="n"/>
      <c r="K43" s="27">
        <f>IF(AL43&gt;0,"O Google leu como fórmula: escolha de novo ou digite com ' na frente.",IF(AND($AK$20="Concluída",LEN($AF$43)=0),"Concluída sem sessão de fim",IF(AND(ISNUMBER($AE$43),ISNUMBER($AF$43)),IF($AF$43&lt;$AE$43,"Sessão de fim antes da de início",""),"")))</f>
        <v/>
      </c>
      <c r="AA43" s="2">
        <f>'Tabelas'!$AB$512&amp;""</f>
        <v/>
      </c>
      <c r="AD43" s="2">
        <f>IF(ISERROR($B$43),"",IF(ISBLANK($B$43),"",$B$43))</f>
        <v/>
      </c>
      <c r="AE43" s="2">
        <f>IF(ISERROR($C$43),"",IF(ISBLANK($C$43),"",$C$43))</f>
        <v/>
      </c>
      <c r="AF43" s="2">
        <f>IF(ISERROR($D$43),"",IF(ISBLANK($D$43),"",$D$43))</f>
        <v/>
      </c>
      <c r="AL43" s="2">
        <f>ISERROR($B$43)*1+ISERROR($C$43)*1+ISERROR($D$43)*1+ISERROR($E$43)*1</f>
        <v/>
      </c>
    </row>
    <row r="44" ht="105" customHeight="1">
      <c r="A44" s="31">
        <f>IF(LEN($AC$21)&gt;0,$AC$21,"Missão 13")</f>
        <v/>
      </c>
      <c r="B44" s="34" t="n"/>
      <c r="C44" s="16" t="n"/>
      <c r="D44" s="16" t="n"/>
      <c r="E44" s="4" t="n"/>
      <c r="F44" s="25" t="n"/>
      <c r="G44" s="25" t="n"/>
      <c r="H44" s="25" t="n"/>
      <c r="I44" s="25" t="n"/>
      <c r="J44" s="17" t="n"/>
      <c r="K44" s="19">
        <f>IF(AL44&gt;0,"O Google leu como fórmula: escolha de novo ou digite com ' na frente.",IF(AND($AK$21="Concluída",LEN($AF$44)=0),"Concluída sem sessão de fim",IF(AND(ISNUMBER($AE$44),ISNUMBER($AF$44)),IF($AF$44&lt;$AE$44,"Sessão de fim antes da de início",""),"")))</f>
        <v/>
      </c>
      <c r="AA44" s="2">
        <f>'Tabelas'!$AB$514&amp;""</f>
        <v/>
      </c>
      <c r="AD44" s="2">
        <f>IF(ISERROR($B$44),"",IF(ISBLANK($B$44),"",$B$44))</f>
        <v/>
      </c>
      <c r="AE44" s="2">
        <f>IF(ISERROR($C$44),"",IF(ISBLANK($C$44),"",$C$44))</f>
        <v/>
      </c>
      <c r="AF44" s="2">
        <f>IF(ISERROR($D$44),"",IF(ISBLANK($D$44),"",$D$44))</f>
        <v/>
      </c>
      <c r="AL44" s="2">
        <f>ISERROR($B$44)*1+ISERROR($C$44)*1+ISERROR($D$44)*1+ISERROR($E$44)*1</f>
        <v/>
      </c>
    </row>
    <row r="45" ht="105" customHeight="1">
      <c r="A45" s="43">
        <f>IF(LEN($AC$22)&gt;0,$AC$22,"Missão 14")</f>
        <v/>
      </c>
      <c r="B45" s="36" t="n"/>
      <c r="C45" s="37" t="n"/>
      <c r="D45" s="37" t="n"/>
      <c r="E45" s="29" t="n"/>
      <c r="F45" s="25" t="n"/>
      <c r="G45" s="25" t="n"/>
      <c r="H45" s="25" t="n"/>
      <c r="I45" s="25" t="n"/>
      <c r="J45" s="17" t="n"/>
      <c r="K45" s="27">
        <f>IF(AL45&gt;0,"O Google leu como fórmula: escolha de novo ou digite com ' na frente.",IF(AND($AK$22="Concluída",LEN($AF$45)=0),"Concluída sem sessão de fim",IF(AND(ISNUMBER($AE$45),ISNUMBER($AF$45)),IF($AF$45&lt;$AE$45,"Sessão de fim antes da de início",""),"")))</f>
        <v/>
      </c>
      <c r="AA45" s="2">
        <f>'Tabelas'!$AB$515&amp;""</f>
        <v/>
      </c>
      <c r="AD45" s="2">
        <f>IF(ISERROR($B$45),"",IF(ISBLANK($B$45),"",$B$45))</f>
        <v/>
      </c>
      <c r="AE45" s="2">
        <f>IF(ISERROR($C$45),"",IF(ISBLANK($C$45),"",$C$45))</f>
        <v/>
      </c>
      <c r="AF45" s="2">
        <f>IF(ISERROR($D$45),"",IF(ISBLANK($D$45),"",$D$45))</f>
        <v/>
      </c>
      <c r="AL45" s="2">
        <f>ISERROR($B$45)*1+ISERROR($C$45)*1+ISERROR($D$45)*1+ISERROR($E$45)*1</f>
        <v/>
      </c>
    </row>
    <row r="46" ht="116" customHeight="1">
      <c r="A46" s="31">
        <f>IF(LEN($AC$23)&gt;0,$AC$23,"Missão 15")</f>
        <v/>
      </c>
      <c r="B46" s="34" t="n"/>
      <c r="C46" s="16" t="n"/>
      <c r="D46" s="16" t="n"/>
      <c r="E46" s="4" t="n"/>
      <c r="F46" s="25" t="n"/>
      <c r="G46" s="25" t="n"/>
      <c r="H46" s="25" t="n"/>
      <c r="I46" s="25" t="n"/>
      <c r="J46" s="17" t="n"/>
      <c r="K46" s="19">
        <f>IF(AL46&gt;0,"O Google leu como fórmula: escolha de novo ou digite com ' na frente.",IF(AND($AK$23="Concluída",LEN($AF$46)=0),"Concluída sem sessão de fim",IF(AND(ISNUMBER($AE$46),ISNUMBER($AF$46)),IF($AF$46&lt;$AE$46,"Sessão de fim antes da de início",""),"")))</f>
        <v/>
      </c>
      <c r="AA46" s="2">
        <f>'Tabelas'!$AB$516&amp;""</f>
        <v/>
      </c>
      <c r="AD46" s="2">
        <f>IF(ISERROR($B$46),"",IF(ISBLANK($B$46),"",$B$46))</f>
        <v/>
      </c>
      <c r="AE46" s="2">
        <f>IF(ISERROR($C$46),"",IF(ISBLANK($C$46),"",$C$46))</f>
        <v/>
      </c>
      <c r="AF46" s="2">
        <f>IF(ISERROR($D$46),"",IF(ISBLANK($D$46),"",$D$46))</f>
        <v/>
      </c>
      <c r="AL46" s="2">
        <f>ISERROR($B$46)*1+ISERROR($C$46)*1+ISERROR($D$46)*1+ISERROR($E$46)*1</f>
        <v/>
      </c>
    </row>
    <row r="47" ht="116" customHeight="1">
      <c r="A47" s="43">
        <f>IF(LEN($AC$24)&gt;0,$AC$24,"Missão 16")</f>
        <v/>
      </c>
      <c r="B47" s="36" t="n"/>
      <c r="C47" s="37" t="n"/>
      <c r="D47" s="37" t="n"/>
      <c r="E47" s="29" t="n"/>
      <c r="F47" s="25" t="n"/>
      <c r="G47" s="25" t="n"/>
      <c r="H47" s="25" t="n"/>
      <c r="I47" s="25" t="n"/>
      <c r="J47" s="17" t="n"/>
      <c r="K47" s="27">
        <f>IF(AL47&gt;0,"O Google leu como fórmula: escolha de novo ou digite com ' na frente.",IF(AND($AK$24="Concluída",LEN($AF$47)=0),"Concluída sem sessão de fim",IF(AND(ISNUMBER($AE$47),ISNUMBER($AF$47)),IF($AF$47&lt;$AE$47,"Sessão de fim antes da de início",""),"")))</f>
        <v/>
      </c>
      <c r="AA47" s="2">
        <f>'Tabelas'!$AB$517&amp;""</f>
        <v/>
      </c>
      <c r="AD47" s="2">
        <f>IF(ISERROR($B$47),"",IF(ISBLANK($B$47),"",$B$47))</f>
        <v/>
      </c>
      <c r="AE47" s="2">
        <f>IF(ISERROR($C$47),"",IF(ISBLANK($C$47),"",$C$47))</f>
        <v/>
      </c>
      <c r="AF47" s="2">
        <f>IF(ISERROR($D$47),"",IF(ISBLANK($D$47),"",$D$47))</f>
        <v/>
      </c>
      <c r="AL47" s="2">
        <f>ISERROR($B$47)*1+ISERROR($C$47)*1+ISERROR($D$47)*1+ISERROR($E$47)*1</f>
        <v/>
      </c>
    </row>
    <row r="48" ht="116" customHeight="1">
      <c r="A48" s="31">
        <f>IF(LEN($AC$25)&gt;0,$AC$25,"Missão 17")</f>
        <v/>
      </c>
      <c r="B48" s="34" t="n"/>
      <c r="C48" s="16" t="n"/>
      <c r="D48" s="16" t="n"/>
      <c r="E48" s="4" t="n"/>
      <c r="F48" s="25" t="n"/>
      <c r="G48" s="25" t="n"/>
      <c r="H48" s="25" t="n"/>
      <c r="I48" s="25" t="n"/>
      <c r="J48" s="17" t="n"/>
      <c r="K48" s="19">
        <f>IF(AL48&gt;0,"O Google leu como fórmula: escolha de novo ou digite com ' na frente.",IF(AND($AK$25="Concluída",LEN($AF$48)=0),"Concluída sem sessão de fim",IF(AND(ISNUMBER($AE$48),ISNUMBER($AF$48)),IF($AF$48&lt;$AE$48,"Sessão de fim antes da de início",""),"")))</f>
        <v/>
      </c>
      <c r="AA48" s="2">
        <f>'Tabelas'!$AB$518&amp;""</f>
        <v/>
      </c>
      <c r="AD48" s="2">
        <f>IF(ISERROR($B$48),"",IF(ISBLANK($B$48),"",$B$48))</f>
        <v/>
      </c>
      <c r="AE48" s="2">
        <f>IF(ISERROR($C$48),"",IF(ISBLANK($C$48),"",$C$48))</f>
        <v/>
      </c>
      <c r="AF48" s="2">
        <f>IF(ISERROR($D$48),"",IF(ISBLANK($D$48),"",$D$48))</f>
        <v/>
      </c>
      <c r="AL48" s="2">
        <f>ISERROR($B$48)*1+ISERROR($C$48)*1+ISERROR($D$48)*1+ISERROR($E$48)*1</f>
        <v/>
      </c>
    </row>
    <row r="49" ht="116" customHeight="1">
      <c r="A49" s="43">
        <f>IF(LEN($AC$26)&gt;0,$AC$26,"Missão 18")</f>
        <v/>
      </c>
      <c r="B49" s="36" t="n"/>
      <c r="C49" s="37" t="n"/>
      <c r="D49" s="37" t="n"/>
      <c r="E49" s="29" t="n"/>
      <c r="F49" s="25" t="n"/>
      <c r="G49" s="25" t="n"/>
      <c r="H49" s="25" t="n"/>
      <c r="I49" s="25" t="n"/>
      <c r="J49" s="17" t="n"/>
      <c r="K49" s="27">
        <f>IF(AL49&gt;0,"O Google leu como fórmula: escolha de novo ou digite com ' na frente.",IF(AND($AK$26="Concluída",LEN($AF$49)=0),"Concluída sem sessão de fim",IF(AND(ISNUMBER($AE$49),ISNUMBER($AF$49)),IF($AF$49&lt;$AE$49,"Sessão de fim antes da de início",""),"")))</f>
        <v/>
      </c>
      <c r="AA49" s="2">
        <f>'Tabelas'!$AB$519&amp;""</f>
        <v/>
      </c>
      <c r="AD49" s="2">
        <f>IF(ISERROR($B$49),"",IF(ISBLANK($B$49),"",$B$49))</f>
        <v/>
      </c>
      <c r="AE49" s="2">
        <f>IF(ISERROR($C$49),"",IF(ISBLANK($C$49),"",$C$49))</f>
        <v/>
      </c>
      <c r="AF49" s="2">
        <f>IF(ISERROR($D$49),"",IF(ISBLANK($D$49),"",$D$49))</f>
        <v/>
      </c>
      <c r="AL49" s="2">
        <f>ISERROR($B$49)*1+ISERROR($C$49)*1+ISERROR($D$49)*1+ISERROR($E$49)*1</f>
        <v/>
      </c>
    </row>
    <row r="50" ht="105" customHeight="1">
      <c r="A50" s="31">
        <f>IF(LEN($AC$27)&gt;0,$AC$27,"Missão 19")</f>
        <v/>
      </c>
      <c r="B50" s="34" t="n"/>
      <c r="C50" s="16" t="n"/>
      <c r="D50" s="16" t="n"/>
      <c r="E50" s="4" t="n"/>
      <c r="F50" s="25" t="n"/>
      <c r="G50" s="25" t="n"/>
      <c r="H50" s="25" t="n"/>
      <c r="I50" s="25" t="n"/>
      <c r="J50" s="17" t="n"/>
      <c r="K50" s="19">
        <f>IF(AL50&gt;0,"O Google leu como fórmula: escolha de novo ou digite com ' na frente.",IF(AND($AK$27="Concluída",LEN($AF$50)=0),"Concluída sem sessão de fim",IF(AND(ISNUMBER($AE$50),ISNUMBER($AF$50)),IF($AF$50&lt;$AE$50,"Sessão de fim antes da de início",""),"")))</f>
        <v/>
      </c>
      <c r="AA50" s="2">
        <f>'Tabelas'!$AB$520&amp;""</f>
        <v/>
      </c>
      <c r="AD50" s="2">
        <f>IF(ISERROR($B$50),"",IF(ISBLANK($B$50),"",$B$50))</f>
        <v/>
      </c>
      <c r="AE50" s="2">
        <f>IF(ISERROR($C$50),"",IF(ISBLANK($C$50),"",$C$50))</f>
        <v/>
      </c>
      <c r="AF50" s="2">
        <f>IF(ISERROR($D$50),"",IF(ISBLANK($D$50),"",$D$50))</f>
        <v/>
      </c>
      <c r="AL50" s="2">
        <f>ISERROR($B$50)*1+ISERROR($C$50)*1+ISERROR($D$50)*1+ISERROR($E$50)*1</f>
        <v/>
      </c>
    </row>
    <row r="51" ht="116" customHeight="1">
      <c r="A51" s="43">
        <f>IF(LEN($AC$28)&gt;0,$AC$28,"Missão 20")</f>
        <v/>
      </c>
      <c r="B51" s="36" t="n"/>
      <c r="C51" s="37" t="n"/>
      <c r="D51" s="37" t="n"/>
      <c r="E51" s="29" t="n"/>
      <c r="F51" s="25" t="n"/>
      <c r="G51" s="25" t="n"/>
      <c r="H51" s="25" t="n"/>
      <c r="I51" s="25" t="n"/>
      <c r="J51" s="17" t="n"/>
      <c r="K51" s="27">
        <f>IF(AL51&gt;0,"O Google leu como fórmula: escolha de novo ou digite com ' na frente.",IF(AND($AK$28="Concluída",LEN($AF$51)=0),"Concluída sem sessão de fim",IF(AND(ISNUMBER($AE$51),ISNUMBER($AF$51)),IF($AF$51&lt;$AE$51,"Sessão de fim antes da de início",""),"")))</f>
        <v/>
      </c>
      <c r="AA51" s="2">
        <f>'Tabelas'!$AB$521&amp;""</f>
        <v/>
      </c>
      <c r="AD51" s="2">
        <f>IF(ISERROR($B$51),"",IF(ISBLANK($B$51),"",$B$51))</f>
        <v/>
      </c>
      <c r="AE51" s="2">
        <f>IF(ISERROR($C$51),"",IF(ISBLANK($C$51),"",$C$51))</f>
        <v/>
      </c>
      <c r="AF51" s="2">
        <f>IF(ISERROR($D$51),"",IF(ISBLANK($D$51),"",$D$51))</f>
        <v/>
      </c>
      <c r="AL51" s="2">
        <f>ISERROR($B$51)*1+ISERROR($C$51)*1+ISERROR($D$51)*1+ISERROR($E$51)*1</f>
        <v/>
      </c>
    </row>
    <row r="52" ht="26" customHeight="1">
      <c r="A52" s="13" t="inlineStr">
        <is>
          <t>Missões por estado (automático)</t>
        </is>
      </c>
      <c r="K52" s="12" t="inlineStr">
        <is>
          <t>Sugestão da planilha — não é regra do livro (H23)</t>
        </is>
      </c>
      <c r="AA52" s="2">
        <f>'Tabelas'!$AB$522&amp;""</f>
        <v/>
      </c>
    </row>
    <row r="53">
      <c r="A53" s="8" t="inlineStr">
        <is>
          <t>Estado</t>
        </is>
      </c>
      <c r="B53" s="8" t="inlineStr">
        <is>
          <t>Oferecida</t>
        </is>
      </c>
      <c r="C53" s="8" t="inlineStr">
        <is>
          <t>Ativa</t>
        </is>
      </c>
      <c r="D53" s="8" t="inlineStr">
        <is>
          <t>Concluída</t>
        </is>
      </c>
      <c r="E53" s="8" t="inlineStr">
        <is>
          <t>Falhou</t>
        </is>
      </c>
      <c r="F53" s="8" t="inlineStr">
        <is>
          <t>Abandonada</t>
        </is>
      </c>
      <c r="G53" s="8" t="inlineStr">
        <is>
          <t>Total</t>
        </is>
      </c>
      <c r="H53" s="8" t="inlineStr">
        <is>
          <t>Marcos concluídos</t>
        </is>
      </c>
      <c r="I53" s="20" t="n"/>
      <c r="AA53" s="2">
        <f>'Tabelas'!$AB$523&amp;""</f>
        <v/>
      </c>
    </row>
    <row r="54">
      <c r="A54" s="9" t="inlineStr">
        <is>
          <t>Missões</t>
        </is>
      </c>
      <c r="B54" s="18">
        <f>COUNTIF($AK$8:$AK$28,"Oferecida")</f>
        <v/>
      </c>
      <c r="C54" s="18">
        <f>COUNTIF($AK$8:$AK$28,"Ativa")</f>
        <v/>
      </c>
      <c r="D54" s="18">
        <f>COUNTIF($AK$8:$AK$28,"Concluída")</f>
        <v/>
      </c>
      <c r="E54" s="18">
        <f>COUNTIF($AK$8:$AK$28,"Falhou")</f>
        <v/>
      </c>
      <c r="F54" s="18">
        <f>COUNTIF($AK$8:$AK$28,"Abandonada")</f>
        <v/>
      </c>
      <c r="G54" s="18">
        <f>$B$54+$C$54+$D$54+$E$54+$F$54</f>
        <v/>
      </c>
      <c r="H54" s="18">
        <f>COUNTIFS($AK$8:$AK$28,"Concluída",$AD$31:$AD$51,"Sim")</f>
        <v/>
      </c>
      <c r="AA54" s="2">
        <f>'Tabelas'!$AB$524&amp;""</f>
        <v/>
      </c>
    </row>
    <row r="55">
      <c r="A55" s="45">
        <f>IF($C$54&gt;3,"Mais de 3 missões Ativas: o grupo pode perder o fio — Sugestão da planilha (H23)","")</f>
        <v/>
      </c>
      <c r="AA55" s="2">
        <f>'Tabelas'!$AB$525&amp;""</f>
        <v/>
      </c>
    </row>
    <row r="56">
      <c r="AA56" s="2">
        <f>'Tabelas'!$AB$526&amp;""</f>
        <v/>
      </c>
    </row>
    <row r="57">
      <c r="AA57" s="2">
        <f>'Tabelas'!$AB$528&amp;""</f>
        <v/>
      </c>
    </row>
    <row r="58">
      <c r="AA58" s="2">
        <f>'Tabelas'!$AB$529&amp;""</f>
        <v/>
      </c>
    </row>
    <row r="59">
      <c r="AA59" s="2">
        <f>'Tabelas'!$AB$530&amp;""</f>
        <v/>
      </c>
    </row>
    <row r="60">
      <c r="AA60" s="2">
        <f>'Tabelas'!$AB$531&amp;""</f>
        <v/>
      </c>
    </row>
    <row r="61">
      <c r="AA61" s="2">
        <f>'Tabelas'!$AB$532&amp;""</f>
        <v/>
      </c>
    </row>
    <row r="62">
      <c r="AA62" s="2">
        <f>'Tabelas'!$AB$533&amp;""</f>
        <v/>
      </c>
    </row>
    <row r="63">
      <c r="AA63" s="2">
        <f>'Tabelas'!$AB$534&amp;""</f>
        <v/>
      </c>
    </row>
    <row r="64">
      <c r="AA64" s="2">
        <f>'Tabelas'!$AB$535&amp;""</f>
        <v/>
      </c>
    </row>
    <row r="65">
      <c r="AA65" s="2">
        <f>'Tabelas'!$AB$536&amp;""</f>
        <v/>
      </c>
    </row>
    <row r="66">
      <c r="AA66" s="2">
        <f>'Tabelas'!$AB$537&amp;""</f>
        <v/>
      </c>
    </row>
    <row r="67">
      <c r="AA67" s="2">
        <f>'Tabelas'!$AB$538&amp;""</f>
        <v/>
      </c>
    </row>
    <row r="68">
      <c r="AA68" s="2">
        <f>'Tabelas'!$AB$539&amp;""</f>
        <v/>
      </c>
    </row>
    <row r="69">
      <c r="AA69" s="2">
        <f>'Tabelas'!$AB$540&amp;""</f>
        <v/>
      </c>
    </row>
    <row r="70">
      <c r="AA70" s="2">
        <f>'Tabelas'!$AB$542&amp;""</f>
        <v/>
      </c>
    </row>
    <row r="71">
      <c r="AA71" s="2">
        <f>'Tabelas'!$AB$543&amp;""</f>
        <v/>
      </c>
    </row>
    <row r="72">
      <c r="AA72" s="2">
        <f>'Tabelas'!$AB$544&amp;""</f>
        <v/>
      </c>
    </row>
    <row r="73">
      <c r="AA73" s="2">
        <f>'Tabelas'!$AB$545&amp;""</f>
        <v/>
      </c>
    </row>
    <row r="74">
      <c r="AA74" s="2">
        <f>'Tabelas'!$AB$546&amp;""</f>
        <v/>
      </c>
    </row>
    <row r="75">
      <c r="AA75" s="2">
        <f>'Tabelas'!$AB$547&amp;""</f>
        <v/>
      </c>
    </row>
    <row r="76">
      <c r="AA76" s="2">
        <f>'Tabelas'!$AB$548&amp;""</f>
        <v/>
      </c>
    </row>
    <row r="77">
      <c r="AA77" s="2">
        <f>'Tabelas'!$AB$549&amp;""</f>
        <v/>
      </c>
    </row>
    <row r="78">
      <c r="AA78" s="2">
        <f>'Tabelas'!$AB$550&amp;""</f>
        <v/>
      </c>
    </row>
    <row r="79">
      <c r="AA79" s="2">
        <f>'Tabelas'!$AB$551&amp;""</f>
        <v/>
      </c>
    </row>
    <row r="80">
      <c r="AA80" s="2">
        <f>'Tabelas'!$AB$552&amp;""</f>
        <v/>
      </c>
    </row>
    <row r="81">
      <c r="AA81" s="2">
        <f>'Tabelas'!$AB$553&amp;""</f>
        <v/>
      </c>
    </row>
    <row r="82">
      <c r="AA82" s="2">
        <f>'Tabelas'!$AB$554&amp;""</f>
        <v/>
      </c>
    </row>
    <row r="83">
      <c r="AA83" s="2">
        <f>'Tabelas'!$AB$556&amp;""</f>
        <v/>
      </c>
    </row>
    <row r="84">
      <c r="AA84" s="2">
        <f>'Tabelas'!$AB$557&amp;""</f>
        <v/>
      </c>
    </row>
    <row r="85">
      <c r="AA85" s="2">
        <f>'Tabelas'!$AB$558&amp;""</f>
        <v/>
      </c>
    </row>
    <row r="86">
      <c r="AA86" s="2">
        <f>'Tabelas'!$AB$559&amp;""</f>
        <v/>
      </c>
    </row>
    <row r="87">
      <c r="AA87" s="2">
        <f>'Tabelas'!$AB$560&amp;""</f>
        <v/>
      </c>
    </row>
    <row r="88">
      <c r="AA88" s="2">
        <f>'Tabelas'!$AB$561&amp;""</f>
        <v/>
      </c>
    </row>
    <row r="89">
      <c r="AA89" s="2">
        <f>'Tabelas'!$AB$562&amp;""</f>
        <v/>
      </c>
    </row>
    <row r="90">
      <c r="AA90" s="2">
        <f>'Tabelas'!$AB$563&amp;""</f>
        <v/>
      </c>
    </row>
    <row r="91">
      <c r="AA91" s="2">
        <f>'Tabelas'!$AB$564&amp;""</f>
        <v/>
      </c>
    </row>
    <row r="92">
      <c r="AA92" s="2">
        <f>'Tabelas'!$AB$565&amp;""</f>
        <v/>
      </c>
    </row>
    <row r="93">
      <c r="AA93" s="2">
        <f>'Tabelas'!$AB$566&amp;""</f>
        <v/>
      </c>
    </row>
    <row r="94">
      <c r="AA94" s="2">
        <f>'Tabelas'!$AB$567&amp;""</f>
        <v/>
      </c>
    </row>
    <row r="95">
      <c r="AA95" s="2">
        <f>'Tabelas'!$AB$568&amp;""</f>
        <v/>
      </c>
    </row>
    <row r="96">
      <c r="AA96" s="2">
        <f>'Tabelas'!$AB$570&amp;""</f>
        <v/>
      </c>
    </row>
    <row r="97">
      <c r="AA97" s="2">
        <f>'Tabelas'!$AB$571&amp;""</f>
        <v/>
      </c>
    </row>
    <row r="98">
      <c r="AA98" s="2">
        <f>'Tabelas'!$AB$572&amp;""</f>
        <v/>
      </c>
    </row>
    <row r="99">
      <c r="AA99" s="2">
        <f>'Tabelas'!$AB$573&amp;""</f>
        <v/>
      </c>
    </row>
    <row r="100">
      <c r="AA100" s="2">
        <f>'Tabelas'!$AB$574&amp;""</f>
        <v/>
      </c>
    </row>
    <row r="101">
      <c r="AA101" s="2">
        <f>'Tabelas'!$AB$575&amp;""</f>
        <v/>
      </c>
    </row>
    <row r="102">
      <c r="AA102" s="2">
        <f>'Tabelas'!$AB$576&amp;""</f>
        <v/>
      </c>
    </row>
    <row r="103">
      <c r="AA103" s="2">
        <f>'Tabelas'!$AB$577&amp;""</f>
        <v/>
      </c>
    </row>
    <row r="104">
      <c r="AA104" s="2">
        <f>'Tabelas'!$AB$578&amp;""</f>
        <v/>
      </c>
    </row>
  </sheetData>
  <mergeCells count="121">
    <mergeCell ref="H53:I53"/>
    <mergeCell ref="K49:L49"/>
    <mergeCell ref="C15:D15"/>
    <mergeCell ref="K24:L24"/>
    <mergeCell ref="K33:L33"/>
    <mergeCell ref="E23:F23"/>
    <mergeCell ref="A52:J52"/>
    <mergeCell ref="E30:J30"/>
    <mergeCell ref="E8:F8"/>
    <mergeCell ref="K26:L26"/>
    <mergeCell ref="K35:L35"/>
    <mergeCell ref="E46:J46"/>
    <mergeCell ref="K50:L50"/>
    <mergeCell ref="K52:L52"/>
    <mergeCell ref="E32:J32"/>
    <mergeCell ref="C27:D27"/>
    <mergeCell ref="K42:L42"/>
    <mergeCell ref="E27:F27"/>
    <mergeCell ref="E47:J47"/>
    <mergeCell ref="C17:D17"/>
    <mergeCell ref="C19:D19"/>
    <mergeCell ref="K28:L28"/>
    <mergeCell ref="C28:D28"/>
    <mergeCell ref="A6:L6"/>
    <mergeCell ref="E22:F22"/>
    <mergeCell ref="K37:L37"/>
    <mergeCell ref="K13:L13"/>
    <mergeCell ref="E51:J51"/>
    <mergeCell ref="E12:F12"/>
    <mergeCell ref="K30:L30"/>
    <mergeCell ref="H54:I54"/>
    <mergeCell ref="K15:L15"/>
    <mergeCell ref="C14:D14"/>
    <mergeCell ref="E14:F14"/>
    <mergeCell ref="E34:J34"/>
    <mergeCell ref="A3:L3"/>
    <mergeCell ref="A55:L55"/>
    <mergeCell ref="K21:L21"/>
    <mergeCell ref="E49:J49"/>
    <mergeCell ref="K51:L51"/>
    <mergeCell ref="D2:E2"/>
    <mergeCell ref="E36:J36"/>
    <mergeCell ref="A5:L5"/>
    <mergeCell ref="K32:L32"/>
    <mergeCell ref="E45:J45"/>
    <mergeCell ref="K41:L41"/>
    <mergeCell ref="K43:L43"/>
    <mergeCell ref="E37:J37"/>
    <mergeCell ref="K27:L27"/>
    <mergeCell ref="E26:F26"/>
    <mergeCell ref="C8:D8"/>
    <mergeCell ref="K17:L17"/>
    <mergeCell ref="E16:F16"/>
    <mergeCell ref="E25:F25"/>
    <mergeCell ref="K10:L10"/>
    <mergeCell ref="E48:J48"/>
    <mergeCell ref="K19:L19"/>
    <mergeCell ref="C18:D18"/>
    <mergeCell ref="E18:F18"/>
    <mergeCell ref="E38:J38"/>
    <mergeCell ref="K16:L16"/>
    <mergeCell ref="K25:L25"/>
    <mergeCell ref="E40:J40"/>
    <mergeCell ref="K9:L9"/>
    <mergeCell ref="K45:L45"/>
    <mergeCell ref="C20:D20"/>
    <mergeCell ref="K11:L11"/>
    <mergeCell ref="E20:F20"/>
    <mergeCell ref="K47:L47"/>
    <mergeCell ref="K44:L44"/>
    <mergeCell ref="E13:F13"/>
    <mergeCell ref="C22:D22"/>
    <mergeCell ref="K31:L31"/>
    <mergeCell ref="K46:L46"/>
    <mergeCell ref="K40:L40"/>
    <mergeCell ref="C12:D12"/>
    <mergeCell ref="A29:L29"/>
    <mergeCell ref="C21:D21"/>
    <mergeCell ref="E15:F15"/>
    <mergeCell ref="K8:L8"/>
    <mergeCell ref="K23:L23"/>
    <mergeCell ref="E50:J50"/>
    <mergeCell ref="C23:D23"/>
    <mergeCell ref="K7:L7"/>
    <mergeCell ref="C7:D7"/>
    <mergeCell ref="E7:F7"/>
    <mergeCell ref="E39:J39"/>
    <mergeCell ref="K18:L18"/>
    <mergeCell ref="K34:L34"/>
    <mergeCell ref="C24:D24"/>
    <mergeCell ref="E24:F24"/>
    <mergeCell ref="E31:J31"/>
    <mergeCell ref="E17:F17"/>
    <mergeCell ref="C26:D26"/>
    <mergeCell ref="K36:L36"/>
    <mergeCell ref="K20:L20"/>
    <mergeCell ref="C10:D10"/>
    <mergeCell ref="C16:D16"/>
    <mergeCell ref="E10:F10"/>
    <mergeCell ref="C25:D25"/>
    <mergeCell ref="E19:F19"/>
    <mergeCell ref="E28:F28"/>
    <mergeCell ref="C9:D9"/>
    <mergeCell ref="K22:L22"/>
    <mergeCell ref="E9:F9"/>
    <mergeCell ref="E41:J41"/>
    <mergeCell ref="K12:L12"/>
    <mergeCell ref="C11:D11"/>
    <mergeCell ref="E11:F11"/>
    <mergeCell ref="E43:J43"/>
    <mergeCell ref="K39:L39"/>
    <mergeCell ref="K14:L14"/>
    <mergeCell ref="K48:L48"/>
    <mergeCell ref="E33:J33"/>
    <mergeCell ref="E42:J42"/>
    <mergeCell ref="K38:L38"/>
    <mergeCell ref="A1:L1"/>
    <mergeCell ref="C13:D13"/>
    <mergeCell ref="E35:J35"/>
    <mergeCell ref="E44:J44"/>
    <mergeCell ref="E21:F21"/>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10">
    <cfRule type="expression" priority="3" dxfId="0">
      <formula>LEN(K10)&gt;0</formula>
    </cfRule>
  </conditionalFormatting>
  <conditionalFormatting sqref="K11">
    <cfRule type="expression" priority="4" dxfId="0">
      <formula>LEN(K11)&gt;0</formula>
    </cfRule>
  </conditionalFormatting>
  <conditionalFormatting sqref="K12">
    <cfRule type="expression" priority="5" dxfId="0">
      <formula>LEN(K12)&gt;0</formula>
    </cfRule>
  </conditionalFormatting>
  <conditionalFormatting sqref="K13">
    <cfRule type="expression" priority="6" dxfId="0">
      <formula>LEN(K13)&gt;0</formula>
    </cfRule>
  </conditionalFormatting>
  <conditionalFormatting sqref="K14">
    <cfRule type="expression" priority="7" dxfId="0">
      <formula>LEN(K14)&gt;0</formula>
    </cfRule>
  </conditionalFormatting>
  <conditionalFormatting sqref="K15">
    <cfRule type="expression" priority="8" dxfId="0">
      <formula>LEN(K15)&gt;0</formula>
    </cfRule>
  </conditionalFormatting>
  <conditionalFormatting sqref="K16">
    <cfRule type="expression" priority="9" dxfId="0">
      <formula>LEN(K16)&gt;0</formula>
    </cfRule>
  </conditionalFormatting>
  <conditionalFormatting sqref="K17">
    <cfRule type="expression" priority="10" dxfId="0">
      <formula>LEN(K17)&gt;0</formula>
    </cfRule>
  </conditionalFormatting>
  <conditionalFormatting sqref="K19">
    <cfRule type="expression" priority="11" dxfId="0">
      <formula>LEN(K19)&gt;0</formula>
    </cfRule>
  </conditionalFormatting>
  <conditionalFormatting sqref="K20">
    <cfRule type="expression" priority="12" dxfId="0">
      <formula>LEN(K20)&gt;0</formula>
    </cfRule>
  </conditionalFormatting>
  <conditionalFormatting sqref="K21">
    <cfRule type="expression" priority="13" dxfId="0">
      <formula>LEN(K21)&gt;0</formula>
    </cfRule>
  </conditionalFormatting>
  <conditionalFormatting sqref="K22">
    <cfRule type="expression" priority="14" dxfId="0">
      <formula>LEN(K22)&gt;0</formula>
    </cfRule>
  </conditionalFormatting>
  <conditionalFormatting sqref="K23">
    <cfRule type="expression" priority="15" dxfId="0">
      <formula>LEN(K23)&gt;0</formula>
    </cfRule>
  </conditionalFormatting>
  <conditionalFormatting sqref="K24">
    <cfRule type="expression" priority="16" dxfId="0">
      <formula>LEN(K24)&gt;0</formula>
    </cfRule>
  </conditionalFormatting>
  <conditionalFormatting sqref="K25">
    <cfRule type="expression" priority="17" dxfId="0">
      <formula>LEN(K25)&gt;0</formula>
    </cfRule>
  </conditionalFormatting>
  <conditionalFormatting sqref="K26">
    <cfRule type="expression" priority="18" dxfId="0">
      <formula>LEN(K26)&gt;0</formula>
    </cfRule>
  </conditionalFormatting>
  <conditionalFormatting sqref="K27">
    <cfRule type="expression" priority="19" dxfId="0">
      <formula>LEN(K27)&gt;0</formula>
    </cfRule>
  </conditionalFormatting>
  <conditionalFormatting sqref="K28">
    <cfRule type="expression" priority="20" dxfId="0">
      <formula>LEN(K28)&gt;0</formula>
    </cfRule>
  </conditionalFormatting>
  <conditionalFormatting sqref="K31">
    <cfRule type="expression" priority="21" dxfId="0">
      <formula>LEN(K31)&gt;0</formula>
    </cfRule>
  </conditionalFormatting>
  <conditionalFormatting sqref="K32">
    <cfRule type="expression" priority="22" dxfId="0">
      <formula>LEN(K32)&gt;0</formula>
    </cfRule>
  </conditionalFormatting>
  <conditionalFormatting sqref="K33">
    <cfRule type="expression" priority="23" dxfId="0">
      <formula>LEN(K33)&gt;0</formula>
    </cfRule>
  </conditionalFormatting>
  <conditionalFormatting sqref="K34">
    <cfRule type="expression" priority="24" dxfId="0">
      <formula>LEN(K34)&gt;0</formula>
    </cfRule>
  </conditionalFormatting>
  <conditionalFormatting sqref="K35">
    <cfRule type="expression" priority="25" dxfId="0">
      <formula>LEN(K35)&gt;0</formula>
    </cfRule>
  </conditionalFormatting>
  <conditionalFormatting sqref="K36">
    <cfRule type="expression" priority="26" dxfId="0">
      <formula>LEN(K36)&gt;0</formula>
    </cfRule>
  </conditionalFormatting>
  <conditionalFormatting sqref="K37">
    <cfRule type="expression" priority="27" dxfId="0">
      <formula>LEN(K37)&gt;0</formula>
    </cfRule>
  </conditionalFormatting>
  <conditionalFormatting sqref="K38">
    <cfRule type="expression" priority="28" dxfId="0">
      <formula>LEN(K38)&gt;0</formula>
    </cfRule>
  </conditionalFormatting>
  <conditionalFormatting sqref="K39">
    <cfRule type="expression" priority="29" dxfId="0">
      <formula>LEN(K39)&gt;0</formula>
    </cfRule>
  </conditionalFormatting>
  <conditionalFormatting sqref="K40">
    <cfRule type="expression" priority="30" dxfId="0">
      <formula>LEN(K40)&gt;0</formula>
    </cfRule>
  </conditionalFormatting>
  <conditionalFormatting sqref="K42">
    <cfRule type="expression" priority="31" dxfId="0">
      <formula>LEN(K42)&gt;0</formula>
    </cfRule>
  </conditionalFormatting>
  <conditionalFormatting sqref="K43">
    <cfRule type="expression" priority="32" dxfId="0">
      <formula>LEN(K43)&gt;0</formula>
    </cfRule>
  </conditionalFormatting>
  <conditionalFormatting sqref="K44">
    <cfRule type="expression" priority="33" dxfId="0">
      <formula>LEN(K44)&gt;0</formula>
    </cfRule>
  </conditionalFormatting>
  <conditionalFormatting sqref="K45">
    <cfRule type="expression" priority="34" dxfId="0">
      <formula>LEN(K45)&gt;0</formula>
    </cfRule>
  </conditionalFormatting>
  <conditionalFormatting sqref="K46">
    <cfRule type="expression" priority="35" dxfId="0">
      <formula>LEN(K46)&gt;0</formula>
    </cfRule>
  </conditionalFormatting>
  <conditionalFormatting sqref="K47">
    <cfRule type="expression" priority="36" dxfId="0">
      <formula>LEN(K47)&gt;0</formula>
    </cfRule>
  </conditionalFormatting>
  <conditionalFormatting sqref="K48">
    <cfRule type="expression" priority="37" dxfId="0">
      <formula>LEN(K48)&gt;0</formula>
    </cfRule>
  </conditionalFormatting>
  <conditionalFormatting sqref="K49">
    <cfRule type="expression" priority="38" dxfId="0">
      <formula>LEN(K49)&gt;0</formula>
    </cfRule>
  </conditionalFormatting>
  <conditionalFormatting sqref="K50">
    <cfRule type="expression" priority="39" dxfId="0">
      <formula>LEN(K50)&gt;0</formula>
    </cfRule>
  </conditionalFormatting>
  <conditionalFormatting sqref="K51">
    <cfRule type="expression" priority="40" dxfId="0">
      <formula>LEN(K51)&gt;0</formula>
    </cfRule>
  </conditionalFormatting>
  <conditionalFormatting sqref="A55">
    <cfRule type="expression" priority="41" dxfId="0">
      <formula>LEN(A55)&gt;0</formula>
    </cfRule>
  </conditionalFormatting>
  <dataValidations count="240">
    <dataValidation sqref="A8" showDropDown="0" showInputMessage="0" showErrorMessage="1" allowBlank="1" errorTitle="Texto longo" error="Missão: até 160 caracteres." type="textLength" errorStyle="warning" operator="lessThanOrEqual">
      <formula1>160</formula1>
    </dataValidation>
    <dataValidation sqref="B8" showDropDown="0" showInputMessage="0" showErrorMessage="1" allowBlank="1" errorTitle="Fora da lista" error="Tipo: escolha um valor da lista. A planilha pode não reconhecer outro valor." type="list" errorStyle="warning">
      <formula1>$AA$5:$AA$104</formula1>
    </dataValidation>
    <dataValidation sqref="C8" showDropDown="0" showInputMessage="0" showErrorMessage="1" allowBlank="1" errorTitle="Texto longo" error="Contratante: até 200 caracteres." type="textLength" errorStyle="warning" operator="lessThanOrEqual">
      <formula1>200</formula1>
    </dataValidation>
    <dataValidation sqref="E8" showDropDown="0" showInputMessage="0" showErrorMessage="1" allowBlank="1" errorTitle="Texto longo" error="Objetivo: até 200 caracteres." type="textLength" errorStyle="warning" operator="lessThanOrEqual">
      <formula1>200</formula1>
    </dataValidation>
    <dataValidation sqref="G8" showDropDown="0" showInputMessage="0" showErrorMessage="1" allowBlank="1" errorTitle="Texto longo" error="Local: até 120 caracteres." type="textLength" errorStyle="warning" operator="lessThanOrEqual">
      <formula1>120</formula1>
    </dataValidation>
    <dataValidation sqref="H8" showDropDown="0" showInputMessage="0" showErrorMessage="1" allowBlank="1" errorTitle="Texto longo" error="Prazo: até 120 caracteres." type="textLength" errorStyle="warning" operator="lessThanOrEqual">
      <formula1>120</formula1>
    </dataValidation>
    <dataValidation sqref="I8" showDropDown="0" showInputMessage="0" showErrorMessage="1" allowBlank="1" errorTitle="Fora da lista" error="Estado: escolha um valor da lista. A planilha pode não reconhecer outro valor." type="list" errorStyle="warning">
      <formula1>'Dados'!$BV$6:$BV$10</formula1>
    </dataValidation>
    <dataValidation sqref="J8" showDropDown="0" showInputMessage="0" showErrorMessage="1" allowBlank="1" errorTitle="Texto longo" error="Recompensa combinada: até 200 caracteres." type="textLength" errorStyle="warning" operator="lessThanOrEqual">
      <formula1>200</formula1>
    </dataValidation>
    <dataValidation sqref="A9" showDropDown="0" showInputMessage="0" showErrorMessage="1" allowBlank="1" errorTitle="Texto longo" error="Missão: até 160 caracteres." type="textLength" errorStyle="warning" operator="lessThanOrEqual">
      <formula1>160</formula1>
    </dataValidation>
    <dataValidation sqref="B9" showDropDown="0" showInputMessage="0" showErrorMessage="1" allowBlank="1" errorTitle="Fora da lista" error="Tipo: escolha um valor da lista. A planilha pode não reconhecer outro valor." type="list" errorStyle="warning">
      <formula1>$AA$5:$AA$104</formula1>
    </dataValidation>
    <dataValidation sqref="C9" showDropDown="0" showInputMessage="0" showErrorMessage="1" allowBlank="1" errorTitle="Texto longo" error="Contratante: até 200 caracteres." type="textLength" errorStyle="warning" operator="lessThanOrEqual">
      <formula1>200</formula1>
    </dataValidation>
    <dataValidation sqref="E9" showDropDown="0" showInputMessage="0" showErrorMessage="1" allowBlank="1" errorTitle="Texto longo" error="Objetivo: até 200 caracteres." type="textLength" errorStyle="warning" operator="lessThanOrEqual">
      <formula1>200</formula1>
    </dataValidation>
    <dataValidation sqref="G9" showDropDown="0" showInputMessage="0" showErrorMessage="1" allowBlank="1" errorTitle="Texto longo" error="Local: até 120 caracteres." type="textLength" errorStyle="warning" operator="lessThanOrEqual">
      <formula1>120</formula1>
    </dataValidation>
    <dataValidation sqref="H9" showDropDown="0" showInputMessage="0" showErrorMessage="1" allowBlank="1" errorTitle="Texto longo" error="Prazo: até 120 caracteres." type="textLength" errorStyle="warning" operator="lessThanOrEqual">
      <formula1>120</formula1>
    </dataValidation>
    <dataValidation sqref="I9" showDropDown="0" showInputMessage="0" showErrorMessage="1" allowBlank="1" errorTitle="Fora da lista" error="Estado: escolha um valor da lista. A planilha pode não reconhecer outro valor." type="list" errorStyle="warning">
      <formula1>'Dados'!$BV$6:$BV$10</formula1>
    </dataValidation>
    <dataValidation sqref="J9" showDropDown="0" showInputMessage="0" showErrorMessage="1" allowBlank="1" errorTitle="Texto longo" error="Recompensa combinada: até 200 caracteres." type="textLength" errorStyle="warning" operator="lessThanOrEqual">
      <formula1>200</formula1>
    </dataValidation>
    <dataValidation sqref="A10" showDropDown="0" showInputMessage="0" showErrorMessage="1" allowBlank="1" errorTitle="Texto longo" error="Missão: até 160 caracteres." type="textLength" errorStyle="warning" operator="lessThanOrEqual">
      <formula1>160</formula1>
    </dataValidation>
    <dataValidation sqref="B10" showDropDown="0" showInputMessage="0" showErrorMessage="1" allowBlank="1" errorTitle="Fora da lista" error="Tipo: escolha um valor da lista. A planilha pode não reconhecer outro valor." type="list" errorStyle="warning">
      <formula1>$AA$5:$AA$104</formula1>
    </dataValidation>
    <dataValidation sqref="C10" showDropDown="0" showInputMessage="0" showErrorMessage="1" allowBlank="1" errorTitle="Texto longo" error="Contratante: até 200 caracteres." type="textLength" errorStyle="warning" operator="lessThanOrEqual">
      <formula1>200</formula1>
    </dataValidation>
    <dataValidation sqref="E10" showDropDown="0" showInputMessage="0" showErrorMessage="1" allowBlank="1" errorTitle="Texto longo" error="Objetivo: até 200 caracteres." type="textLength" errorStyle="warning" operator="lessThanOrEqual">
      <formula1>200</formula1>
    </dataValidation>
    <dataValidation sqref="G10" showDropDown="0" showInputMessage="0" showErrorMessage="1" allowBlank="1" errorTitle="Texto longo" error="Local: até 120 caracteres." type="textLength" errorStyle="warning" operator="lessThanOrEqual">
      <formula1>120</formula1>
    </dataValidation>
    <dataValidation sqref="H10" showDropDown="0" showInputMessage="0" showErrorMessage="1" allowBlank="1" errorTitle="Texto longo" error="Prazo: até 120 caracteres." type="textLength" errorStyle="warning" operator="lessThanOrEqual">
      <formula1>120</formula1>
    </dataValidation>
    <dataValidation sqref="I10" showDropDown="0" showInputMessage="0" showErrorMessage="1" allowBlank="1" errorTitle="Fora da lista" error="Estado: escolha um valor da lista. A planilha pode não reconhecer outro valor." type="list" errorStyle="warning">
      <formula1>'Dados'!$BV$6:$BV$10</formula1>
    </dataValidation>
    <dataValidation sqref="J10" showDropDown="0" showInputMessage="0" showErrorMessage="1" allowBlank="1" errorTitle="Texto longo" error="Recompensa combinada: até 200 caracteres." type="textLength" errorStyle="warning" operator="lessThanOrEqual">
      <formula1>200</formula1>
    </dataValidation>
    <dataValidation sqref="A11" showDropDown="0" showInputMessage="0" showErrorMessage="1" allowBlank="1" errorTitle="Texto longo" error="Missão: até 160 caracteres." type="textLength" errorStyle="warning" operator="lessThanOrEqual">
      <formula1>160</formula1>
    </dataValidation>
    <dataValidation sqref="B11" showDropDown="0" showInputMessage="0" showErrorMessage="1" allowBlank="1" errorTitle="Fora da lista" error="Tipo: escolha um valor da lista. A planilha pode não reconhecer outro valor." type="list" errorStyle="warning">
      <formula1>$AA$5:$AA$104</formula1>
    </dataValidation>
    <dataValidation sqref="C11" showDropDown="0" showInputMessage="0" showErrorMessage="1" allowBlank="1" errorTitle="Texto longo" error="Contratante: até 200 caracteres." type="textLength" errorStyle="warning" operator="lessThanOrEqual">
      <formula1>200</formula1>
    </dataValidation>
    <dataValidation sqref="E11" showDropDown="0" showInputMessage="0" showErrorMessage="1" allowBlank="1" errorTitle="Texto longo" error="Objetivo: até 200 caracteres." type="textLength" errorStyle="warning" operator="lessThanOrEqual">
      <formula1>200</formula1>
    </dataValidation>
    <dataValidation sqref="G11" showDropDown="0" showInputMessage="0" showErrorMessage="1" allowBlank="1" errorTitle="Texto longo" error="Local: até 120 caracteres." type="textLength" errorStyle="warning" operator="lessThanOrEqual">
      <formula1>120</formula1>
    </dataValidation>
    <dataValidation sqref="H11" showDropDown="0" showInputMessage="0" showErrorMessage="1" allowBlank="1" errorTitle="Texto longo" error="Prazo: até 120 caracteres." type="textLength" errorStyle="warning" operator="lessThanOrEqual">
      <formula1>120</formula1>
    </dataValidation>
    <dataValidation sqref="I11" showDropDown="0" showInputMessage="0" showErrorMessage="1" allowBlank="1" errorTitle="Fora da lista" error="Estado: escolha um valor da lista. A planilha pode não reconhecer outro valor." type="list" errorStyle="warning">
      <formula1>'Dados'!$BV$6:$BV$10</formula1>
    </dataValidation>
    <dataValidation sqref="J11" showDropDown="0" showInputMessage="0" showErrorMessage="1" allowBlank="1" errorTitle="Texto longo" error="Recompensa combinada: até 200 caracteres." type="textLength" errorStyle="warning" operator="lessThanOrEqual">
      <formula1>200</formula1>
    </dataValidation>
    <dataValidation sqref="A12" showDropDown="0" showInputMessage="0" showErrorMessage="1" allowBlank="1" errorTitle="Texto longo" error="Missão: até 160 caracteres." type="textLength" errorStyle="warning" operator="lessThanOrEqual">
      <formula1>160</formula1>
    </dataValidation>
    <dataValidation sqref="B12" showDropDown="0" showInputMessage="0" showErrorMessage="1" allowBlank="1" errorTitle="Fora da lista" error="Tipo: escolha um valor da lista. A planilha pode não reconhecer outro valor." type="list" errorStyle="warning">
      <formula1>$AA$5:$AA$104</formula1>
    </dataValidation>
    <dataValidation sqref="C12" showDropDown="0" showInputMessage="0" showErrorMessage="1" allowBlank="1" errorTitle="Texto longo" error="Contratante: até 200 caracteres." type="textLength" errorStyle="warning" operator="lessThanOrEqual">
      <formula1>200</formula1>
    </dataValidation>
    <dataValidation sqref="E12" showDropDown="0" showInputMessage="0" showErrorMessage="1" allowBlank="1" errorTitle="Texto longo" error="Objetivo: até 200 caracteres." type="textLength" errorStyle="warning" operator="lessThanOrEqual">
      <formula1>200</formula1>
    </dataValidation>
    <dataValidation sqref="G12" showDropDown="0" showInputMessage="0" showErrorMessage="1" allowBlank="1" errorTitle="Texto longo" error="Local: até 120 caracteres." type="textLength" errorStyle="warning" operator="lessThanOrEqual">
      <formula1>120</formula1>
    </dataValidation>
    <dataValidation sqref="H12" showDropDown="0" showInputMessage="0" showErrorMessage="1" allowBlank="1" errorTitle="Texto longo" error="Prazo: até 120 caracteres." type="textLength" errorStyle="warning" operator="lessThanOrEqual">
      <formula1>120</formula1>
    </dataValidation>
    <dataValidation sqref="I12" showDropDown="0" showInputMessage="0" showErrorMessage="1" allowBlank="1" errorTitle="Fora da lista" error="Estado: escolha um valor da lista. A planilha pode não reconhecer outro valor." type="list" errorStyle="warning">
      <formula1>'Dados'!$BV$6:$BV$10</formula1>
    </dataValidation>
    <dataValidation sqref="J12" showDropDown="0" showInputMessage="0" showErrorMessage="1" allowBlank="1" errorTitle="Texto longo" error="Recompensa combinada: até 200 caracteres." type="textLength" errorStyle="warning" operator="lessThanOrEqual">
      <formula1>200</formula1>
    </dataValidation>
    <dataValidation sqref="A13" showDropDown="0" showInputMessage="0" showErrorMessage="1" allowBlank="1" errorTitle="Texto longo" error="Missão: até 160 caracteres." type="textLength" errorStyle="warning" operator="lessThanOrEqual">
      <formula1>160</formula1>
    </dataValidation>
    <dataValidation sqref="B13" showDropDown="0" showInputMessage="0" showErrorMessage="1" allowBlank="1" errorTitle="Fora da lista" error="Tipo: escolha um valor da lista. A planilha pode não reconhecer outro valor." type="list" errorStyle="warning">
      <formula1>$AA$5:$AA$104</formula1>
    </dataValidation>
    <dataValidation sqref="C13" showDropDown="0" showInputMessage="0" showErrorMessage="1" allowBlank="1" errorTitle="Texto longo" error="Contratante: até 200 caracteres." type="textLength" errorStyle="warning" operator="lessThanOrEqual">
      <formula1>200</formula1>
    </dataValidation>
    <dataValidation sqref="E13" showDropDown="0" showInputMessage="0" showErrorMessage="1" allowBlank="1" errorTitle="Texto longo" error="Objetivo: até 200 caracteres." type="textLength" errorStyle="warning" operator="lessThanOrEqual">
      <formula1>200</formula1>
    </dataValidation>
    <dataValidation sqref="G13" showDropDown="0" showInputMessage="0" showErrorMessage="1" allowBlank="1" errorTitle="Texto longo" error="Local: até 120 caracteres." type="textLength" errorStyle="warning" operator="lessThanOrEqual">
      <formula1>120</formula1>
    </dataValidation>
    <dataValidation sqref="H13" showDropDown="0" showInputMessage="0" showErrorMessage="1" allowBlank="1" errorTitle="Texto longo" error="Prazo: até 120 caracteres." type="textLength" errorStyle="warning" operator="lessThanOrEqual">
      <formula1>120</formula1>
    </dataValidation>
    <dataValidation sqref="I13" showDropDown="0" showInputMessage="0" showErrorMessage="1" allowBlank="1" errorTitle="Fora da lista" error="Estado: escolha um valor da lista. A planilha pode não reconhecer outro valor." type="list" errorStyle="warning">
      <formula1>'Dados'!$BV$6:$BV$10</formula1>
    </dataValidation>
    <dataValidation sqref="J13" showDropDown="0" showInputMessage="0" showErrorMessage="1" allowBlank="1" errorTitle="Texto longo" error="Recompensa combinada: até 200 caracteres." type="textLength" errorStyle="warning" operator="lessThanOrEqual">
      <formula1>200</formula1>
    </dataValidation>
    <dataValidation sqref="A14" showDropDown="0" showInputMessage="0" showErrorMessage="1" allowBlank="1" errorTitle="Texto longo" error="Missão: até 160 caracteres." type="textLength" errorStyle="warning" operator="lessThanOrEqual">
      <formula1>160</formula1>
    </dataValidation>
    <dataValidation sqref="B14" showDropDown="0" showInputMessage="0" showErrorMessage="1" allowBlank="1" errorTitle="Fora da lista" error="Tipo: escolha um valor da lista. A planilha pode não reconhecer outro valor." type="list" errorStyle="warning">
      <formula1>$AA$5:$AA$104</formula1>
    </dataValidation>
    <dataValidation sqref="C14" showDropDown="0" showInputMessage="0" showErrorMessage="1" allowBlank="1" errorTitle="Texto longo" error="Contratante: até 200 caracteres." type="textLength" errorStyle="warning" operator="lessThanOrEqual">
      <formula1>200</formula1>
    </dataValidation>
    <dataValidation sqref="E14" showDropDown="0" showInputMessage="0" showErrorMessage="1" allowBlank="1" errorTitle="Texto longo" error="Objetivo: até 200 caracteres." type="textLength" errorStyle="warning" operator="lessThanOrEqual">
      <formula1>200</formula1>
    </dataValidation>
    <dataValidation sqref="G14" showDropDown="0" showInputMessage="0" showErrorMessage="1" allowBlank="1" errorTitle="Texto longo" error="Local: até 120 caracteres." type="textLength" errorStyle="warning" operator="lessThanOrEqual">
      <formula1>120</formula1>
    </dataValidation>
    <dataValidation sqref="H14" showDropDown="0" showInputMessage="0" showErrorMessage="1" allowBlank="1" errorTitle="Texto longo" error="Prazo: até 120 caracteres." type="textLength" errorStyle="warning" operator="lessThanOrEqual">
      <formula1>120</formula1>
    </dataValidation>
    <dataValidation sqref="I14" showDropDown="0" showInputMessage="0" showErrorMessage="1" allowBlank="1" errorTitle="Fora da lista" error="Estado: escolha um valor da lista. A planilha pode não reconhecer outro valor." type="list" errorStyle="warning">
      <formula1>'Dados'!$BV$6:$BV$10</formula1>
    </dataValidation>
    <dataValidation sqref="J14" showDropDown="0" showInputMessage="0" showErrorMessage="1" allowBlank="1" errorTitle="Texto longo" error="Recompensa combinada: até 200 caracteres." type="textLength" errorStyle="warning" operator="lessThanOrEqual">
      <formula1>200</formula1>
    </dataValidation>
    <dataValidation sqref="A15" showDropDown="0" showInputMessage="0" showErrorMessage="1" allowBlank="1" errorTitle="Texto longo" error="Missão: até 160 caracteres." type="textLength" errorStyle="warning" operator="lessThanOrEqual">
      <formula1>160</formula1>
    </dataValidation>
    <dataValidation sqref="B15" showDropDown="0" showInputMessage="0" showErrorMessage="1" allowBlank="1" errorTitle="Fora da lista" error="Tipo: escolha um valor da lista. A planilha pode não reconhecer outro valor." type="list" errorStyle="warning">
      <formula1>$AA$5:$AA$104</formula1>
    </dataValidation>
    <dataValidation sqref="C15" showDropDown="0" showInputMessage="0" showErrorMessage="1" allowBlank="1" errorTitle="Texto longo" error="Contratante: até 200 caracteres." type="textLength" errorStyle="warning" operator="lessThanOrEqual">
      <formula1>200</formula1>
    </dataValidation>
    <dataValidation sqref="E15" showDropDown="0" showInputMessage="0" showErrorMessage="1" allowBlank="1" errorTitle="Texto longo" error="Objetivo: até 200 caracteres." type="textLength" errorStyle="warning" operator="lessThanOrEqual">
      <formula1>200</formula1>
    </dataValidation>
    <dataValidation sqref="G15" showDropDown="0" showInputMessage="0" showErrorMessage="1" allowBlank="1" errorTitle="Texto longo" error="Local: até 120 caracteres." type="textLength" errorStyle="warning" operator="lessThanOrEqual">
      <formula1>120</formula1>
    </dataValidation>
    <dataValidation sqref="H15" showDropDown="0" showInputMessage="0" showErrorMessage="1" allowBlank="1" errorTitle="Texto longo" error="Prazo: até 120 caracteres." type="textLength" errorStyle="warning" operator="lessThanOrEqual">
      <formula1>120</formula1>
    </dataValidation>
    <dataValidation sqref="I15" showDropDown="0" showInputMessage="0" showErrorMessage="1" allowBlank="1" errorTitle="Fora da lista" error="Estado: escolha um valor da lista. A planilha pode não reconhecer outro valor." type="list" errorStyle="warning">
      <formula1>'Dados'!$BV$6:$BV$10</formula1>
    </dataValidation>
    <dataValidation sqref="J15" showDropDown="0" showInputMessage="0" showErrorMessage="1" allowBlank="1" errorTitle="Texto longo" error="Recompensa combinada: até 200 caracteres." type="textLength" errorStyle="warning" operator="lessThanOrEqual">
      <formula1>200</formula1>
    </dataValidation>
    <dataValidation sqref="A16" showDropDown="0" showInputMessage="0" showErrorMessage="1" allowBlank="1" errorTitle="Texto longo" error="Missão: até 160 caracteres." type="textLength" errorStyle="warning" operator="lessThanOrEqual">
      <formula1>160</formula1>
    </dataValidation>
    <dataValidation sqref="B16" showDropDown="0" showInputMessage="0" showErrorMessage="1" allowBlank="1" errorTitle="Fora da lista" error="Tipo: escolha um valor da lista. A planilha pode não reconhecer outro valor." type="list" errorStyle="warning">
      <formula1>$AA$5:$AA$104</formula1>
    </dataValidation>
    <dataValidation sqref="C16" showDropDown="0" showInputMessage="0" showErrorMessage="1" allowBlank="1" errorTitle="Texto longo" error="Contratante: até 200 caracteres." type="textLength" errorStyle="warning" operator="lessThanOrEqual">
      <formula1>200</formula1>
    </dataValidation>
    <dataValidation sqref="E16" showDropDown="0" showInputMessage="0" showErrorMessage="1" allowBlank="1" errorTitle="Texto longo" error="Objetivo: até 200 caracteres." type="textLength" errorStyle="warning" operator="lessThanOrEqual">
      <formula1>200</formula1>
    </dataValidation>
    <dataValidation sqref="G16" showDropDown="0" showInputMessage="0" showErrorMessage="1" allowBlank="1" errorTitle="Texto longo" error="Local: até 120 caracteres." type="textLength" errorStyle="warning" operator="lessThanOrEqual">
      <formula1>120</formula1>
    </dataValidation>
    <dataValidation sqref="H16" showDropDown="0" showInputMessage="0" showErrorMessage="1" allowBlank="1" errorTitle="Texto longo" error="Prazo: até 120 caracteres." type="textLength" errorStyle="warning" operator="lessThanOrEqual">
      <formula1>120</formula1>
    </dataValidation>
    <dataValidation sqref="I16" showDropDown="0" showInputMessage="0" showErrorMessage="1" allowBlank="1" errorTitle="Fora da lista" error="Estado: escolha um valor da lista. A planilha pode não reconhecer outro valor." type="list" errorStyle="warning">
      <formula1>'Dados'!$BV$6:$BV$10</formula1>
    </dataValidation>
    <dataValidation sqref="J16" showDropDown="0" showInputMessage="0" showErrorMessage="1" allowBlank="1" errorTitle="Texto longo" error="Recompensa combinada: até 200 caracteres." type="textLength" errorStyle="warning" operator="lessThanOrEqual">
      <formula1>200</formula1>
    </dataValidation>
    <dataValidation sqref="A17" showDropDown="0" showInputMessage="0" showErrorMessage="1" allowBlank="1" errorTitle="Texto longo" error="Missão: até 160 caracteres." type="textLength" errorStyle="warning" operator="lessThanOrEqual">
      <formula1>160</formula1>
    </dataValidation>
    <dataValidation sqref="B17" showDropDown="0" showInputMessage="0" showErrorMessage="1" allowBlank="1" errorTitle="Fora da lista" error="Tipo: escolha um valor da lista. A planilha pode não reconhecer outro valor." type="list" errorStyle="warning">
      <formula1>$AA$5:$AA$104</formula1>
    </dataValidation>
    <dataValidation sqref="C17" showDropDown="0" showInputMessage="0" showErrorMessage="1" allowBlank="1" errorTitle="Texto longo" error="Contratante: até 200 caracteres." type="textLength" errorStyle="warning" operator="lessThanOrEqual">
      <formula1>200</formula1>
    </dataValidation>
    <dataValidation sqref="E17" showDropDown="0" showInputMessage="0" showErrorMessage="1" allowBlank="1" errorTitle="Texto longo" error="Objetivo: até 200 caracteres." type="textLength" errorStyle="warning" operator="lessThanOrEqual">
      <formula1>200</formula1>
    </dataValidation>
    <dataValidation sqref="G17" showDropDown="0" showInputMessage="0" showErrorMessage="1" allowBlank="1" errorTitle="Texto longo" error="Local: até 120 caracteres." type="textLength" errorStyle="warning" operator="lessThanOrEqual">
      <formula1>120</formula1>
    </dataValidation>
    <dataValidation sqref="H17" showDropDown="0" showInputMessage="0" showErrorMessage="1" allowBlank="1" errorTitle="Texto longo" error="Prazo: até 120 caracteres." type="textLength" errorStyle="warning" operator="lessThanOrEqual">
      <formula1>120</formula1>
    </dataValidation>
    <dataValidation sqref="I17" showDropDown="0" showInputMessage="0" showErrorMessage="1" allowBlank="1" errorTitle="Fora da lista" error="Estado: escolha um valor da lista. A planilha pode não reconhecer outro valor." type="list" errorStyle="warning">
      <formula1>'Dados'!$BV$6:$BV$10</formula1>
    </dataValidation>
    <dataValidation sqref="J17" showDropDown="0" showInputMessage="0" showErrorMessage="1" allowBlank="1" errorTitle="Texto longo" error="Recompensa combinada: até 200 caracteres." type="textLength" errorStyle="warning" operator="lessThanOrEqual">
      <formula1>200</formula1>
    </dataValidation>
    <dataValidation sqref="A19" showDropDown="0" showInputMessage="0" showErrorMessage="1" allowBlank="1" errorTitle="Texto longo" error="Missão: até 160 caracteres." type="textLength" errorStyle="warning" operator="lessThanOrEqual">
      <formula1>160</formula1>
    </dataValidation>
    <dataValidation sqref="B19" showDropDown="0" showInputMessage="0" showErrorMessage="1" allowBlank="1" errorTitle="Fora da lista" error="Tipo: escolha um valor da lista. A planilha pode não reconhecer outro valor." type="list" errorStyle="warning">
      <formula1>$AA$5:$AA$104</formula1>
    </dataValidation>
    <dataValidation sqref="C19" showDropDown="0" showInputMessage="0" showErrorMessage="1" allowBlank="1" errorTitle="Texto longo" error="Contratante: até 200 caracteres." type="textLength" errorStyle="warning" operator="lessThanOrEqual">
      <formula1>200</formula1>
    </dataValidation>
    <dataValidation sqref="E19" showDropDown="0" showInputMessage="0" showErrorMessage="1" allowBlank="1" errorTitle="Texto longo" error="Objetivo: até 200 caracteres." type="textLength" errorStyle="warning" operator="lessThanOrEqual">
      <formula1>200</formula1>
    </dataValidation>
    <dataValidation sqref="G19" showDropDown="0" showInputMessage="0" showErrorMessage="1" allowBlank="1" errorTitle="Texto longo" error="Local: até 120 caracteres." type="textLength" errorStyle="warning" operator="lessThanOrEqual">
      <formula1>120</formula1>
    </dataValidation>
    <dataValidation sqref="H19" showDropDown="0" showInputMessage="0" showErrorMessage="1" allowBlank="1" errorTitle="Texto longo" error="Prazo: até 120 caracteres." type="textLength" errorStyle="warning" operator="lessThanOrEqual">
      <formula1>120</formula1>
    </dataValidation>
    <dataValidation sqref="I19" showDropDown="0" showInputMessage="0" showErrorMessage="1" allowBlank="1" errorTitle="Fora da lista" error="Estado: escolha um valor da lista. A planilha pode não reconhecer outro valor." type="list" errorStyle="warning">
      <formula1>'Dados'!$BV$6:$BV$10</formula1>
    </dataValidation>
    <dataValidation sqref="J19" showDropDown="0" showInputMessage="0" showErrorMessage="1" allowBlank="1" errorTitle="Texto longo" error="Recompensa combinada: até 200 caracteres." type="textLength" errorStyle="warning" operator="lessThanOrEqual">
      <formula1>200</formula1>
    </dataValidation>
    <dataValidation sqref="A20" showDropDown="0" showInputMessage="0" showErrorMessage="1" allowBlank="1" errorTitle="Texto longo" error="Missão: até 160 caracteres." type="textLength" errorStyle="warning" operator="lessThanOrEqual">
      <formula1>160</formula1>
    </dataValidation>
    <dataValidation sqref="B20" showDropDown="0" showInputMessage="0" showErrorMessage="1" allowBlank="1" errorTitle="Fora da lista" error="Tipo: escolha um valor da lista. A planilha pode não reconhecer outro valor." type="list" errorStyle="warning">
      <formula1>$AA$5:$AA$104</formula1>
    </dataValidation>
    <dataValidation sqref="C20" showDropDown="0" showInputMessage="0" showErrorMessage="1" allowBlank="1" errorTitle="Texto longo" error="Contratante: até 200 caracteres." type="textLength" errorStyle="warning" operator="lessThanOrEqual">
      <formula1>200</formula1>
    </dataValidation>
    <dataValidation sqref="E20" showDropDown="0" showInputMessage="0" showErrorMessage="1" allowBlank="1" errorTitle="Texto longo" error="Objetivo: até 200 caracteres." type="textLength" errorStyle="warning" operator="lessThanOrEqual">
      <formula1>200</formula1>
    </dataValidation>
    <dataValidation sqref="G20" showDropDown="0" showInputMessage="0" showErrorMessage="1" allowBlank="1" errorTitle="Texto longo" error="Local: até 120 caracteres." type="textLength" errorStyle="warning" operator="lessThanOrEqual">
      <formula1>120</formula1>
    </dataValidation>
    <dataValidation sqref="H20" showDropDown="0" showInputMessage="0" showErrorMessage="1" allowBlank="1" errorTitle="Texto longo" error="Prazo: até 120 caracteres." type="textLength" errorStyle="warning" operator="lessThanOrEqual">
      <formula1>120</formula1>
    </dataValidation>
    <dataValidation sqref="I20" showDropDown="0" showInputMessage="0" showErrorMessage="1" allowBlank="1" errorTitle="Fora da lista" error="Estado: escolha um valor da lista. A planilha pode não reconhecer outro valor." type="list" errorStyle="warning">
      <formula1>'Dados'!$BV$6:$BV$10</formula1>
    </dataValidation>
    <dataValidation sqref="J20" showDropDown="0" showInputMessage="0" showErrorMessage="1" allowBlank="1" errorTitle="Texto longo" error="Recompensa combinada: até 200 caracteres." type="textLength" errorStyle="warning" operator="lessThanOrEqual">
      <formula1>200</formula1>
    </dataValidation>
    <dataValidation sqref="A21" showDropDown="0" showInputMessage="0" showErrorMessage="1" allowBlank="1" errorTitle="Texto longo" error="Missão: até 160 caracteres." type="textLength" errorStyle="warning" operator="lessThanOrEqual">
      <formula1>160</formula1>
    </dataValidation>
    <dataValidation sqref="B21" showDropDown="0" showInputMessage="0" showErrorMessage="1" allowBlank="1" errorTitle="Fora da lista" error="Tipo: escolha um valor da lista. A planilha pode não reconhecer outro valor." type="list" errorStyle="warning">
      <formula1>$AA$5:$AA$104</formula1>
    </dataValidation>
    <dataValidation sqref="C21" showDropDown="0" showInputMessage="0" showErrorMessage="1" allowBlank="1" errorTitle="Texto longo" error="Contratante: até 200 caracteres." type="textLength" errorStyle="warning" operator="lessThanOrEqual">
      <formula1>200</formula1>
    </dataValidation>
    <dataValidation sqref="E21" showDropDown="0" showInputMessage="0" showErrorMessage="1" allowBlank="1" errorTitle="Texto longo" error="Objetivo: até 200 caracteres." type="textLength" errorStyle="warning" operator="lessThanOrEqual">
      <formula1>200</formula1>
    </dataValidation>
    <dataValidation sqref="G21" showDropDown="0" showInputMessage="0" showErrorMessage="1" allowBlank="1" errorTitle="Texto longo" error="Local: até 120 caracteres." type="textLength" errorStyle="warning" operator="lessThanOrEqual">
      <formula1>120</formula1>
    </dataValidation>
    <dataValidation sqref="H21" showDropDown="0" showInputMessage="0" showErrorMessage="1" allowBlank="1" errorTitle="Texto longo" error="Prazo: até 120 caracteres." type="textLength" errorStyle="warning" operator="lessThanOrEqual">
      <formula1>120</formula1>
    </dataValidation>
    <dataValidation sqref="I21" showDropDown="0" showInputMessage="0" showErrorMessage="1" allowBlank="1" errorTitle="Fora da lista" error="Estado: escolha um valor da lista. A planilha pode não reconhecer outro valor." type="list" errorStyle="warning">
      <formula1>'Dados'!$BV$6:$BV$10</formula1>
    </dataValidation>
    <dataValidation sqref="J21" showDropDown="0" showInputMessage="0" showErrorMessage="1" allowBlank="1" errorTitle="Texto longo" error="Recompensa combinada: até 200 caracteres." type="textLength" errorStyle="warning" operator="lessThanOrEqual">
      <formula1>200</formula1>
    </dataValidation>
    <dataValidation sqref="A22" showDropDown="0" showInputMessage="0" showErrorMessage="1" allowBlank="1" errorTitle="Texto longo" error="Missão: até 160 caracteres." type="textLength" errorStyle="warning" operator="lessThanOrEqual">
      <formula1>160</formula1>
    </dataValidation>
    <dataValidation sqref="B22" showDropDown="0" showInputMessage="0" showErrorMessage="1" allowBlank="1" errorTitle="Fora da lista" error="Tipo: escolha um valor da lista. A planilha pode não reconhecer outro valor." type="list" errorStyle="warning">
      <formula1>$AA$5:$AA$104</formula1>
    </dataValidation>
    <dataValidation sqref="C22" showDropDown="0" showInputMessage="0" showErrorMessage="1" allowBlank="1" errorTitle="Texto longo" error="Contratante: até 200 caracteres." type="textLength" errorStyle="warning" operator="lessThanOrEqual">
      <formula1>200</formula1>
    </dataValidation>
    <dataValidation sqref="E22" showDropDown="0" showInputMessage="0" showErrorMessage="1" allowBlank="1" errorTitle="Texto longo" error="Objetivo: até 200 caracteres." type="textLength" errorStyle="warning" operator="lessThanOrEqual">
      <formula1>200</formula1>
    </dataValidation>
    <dataValidation sqref="G22" showDropDown="0" showInputMessage="0" showErrorMessage="1" allowBlank="1" errorTitle="Texto longo" error="Local: até 120 caracteres." type="textLength" errorStyle="warning" operator="lessThanOrEqual">
      <formula1>120</formula1>
    </dataValidation>
    <dataValidation sqref="H22" showDropDown="0" showInputMessage="0" showErrorMessage="1" allowBlank="1" errorTitle="Texto longo" error="Prazo: até 120 caracteres." type="textLength" errorStyle="warning" operator="lessThanOrEqual">
      <formula1>120</formula1>
    </dataValidation>
    <dataValidation sqref="I22" showDropDown="0" showInputMessage="0" showErrorMessage="1" allowBlank="1" errorTitle="Fora da lista" error="Estado: escolha um valor da lista. A planilha pode não reconhecer outro valor." type="list" errorStyle="warning">
      <formula1>'Dados'!$BV$6:$BV$10</formula1>
    </dataValidation>
    <dataValidation sqref="J22" showDropDown="0" showInputMessage="0" showErrorMessage="1" allowBlank="1" errorTitle="Texto longo" error="Recompensa combinada: até 200 caracteres." type="textLength" errorStyle="warning" operator="lessThanOrEqual">
      <formula1>200</formula1>
    </dataValidation>
    <dataValidation sqref="A23" showDropDown="0" showInputMessage="0" showErrorMessage="1" allowBlank="1" errorTitle="Texto longo" error="Missão: até 160 caracteres." type="textLength" errorStyle="warning" operator="lessThanOrEqual">
      <formula1>160</formula1>
    </dataValidation>
    <dataValidation sqref="B23" showDropDown="0" showInputMessage="0" showErrorMessage="1" allowBlank="1" errorTitle="Fora da lista" error="Tipo: escolha um valor da lista. A planilha pode não reconhecer outro valor." type="list" errorStyle="warning">
      <formula1>$AA$5:$AA$104</formula1>
    </dataValidation>
    <dataValidation sqref="C23" showDropDown="0" showInputMessage="0" showErrorMessage="1" allowBlank="1" errorTitle="Texto longo" error="Contratante: até 200 caracteres." type="textLength" errorStyle="warning" operator="lessThanOrEqual">
      <formula1>200</formula1>
    </dataValidation>
    <dataValidation sqref="E23" showDropDown="0" showInputMessage="0" showErrorMessage="1" allowBlank="1" errorTitle="Texto longo" error="Objetivo: até 200 caracteres." type="textLength" errorStyle="warning" operator="lessThanOrEqual">
      <formula1>200</formula1>
    </dataValidation>
    <dataValidation sqref="G23" showDropDown="0" showInputMessage="0" showErrorMessage="1" allowBlank="1" errorTitle="Texto longo" error="Local: até 120 caracteres." type="textLength" errorStyle="warning" operator="lessThanOrEqual">
      <formula1>120</formula1>
    </dataValidation>
    <dataValidation sqref="H23" showDropDown="0" showInputMessage="0" showErrorMessage="1" allowBlank="1" errorTitle="Texto longo" error="Prazo: até 120 caracteres." type="textLength" errorStyle="warning" operator="lessThanOrEqual">
      <formula1>120</formula1>
    </dataValidation>
    <dataValidation sqref="I23" showDropDown="0" showInputMessage="0" showErrorMessage="1" allowBlank="1" errorTitle="Fora da lista" error="Estado: escolha um valor da lista. A planilha pode não reconhecer outro valor." type="list" errorStyle="warning">
      <formula1>'Dados'!$BV$6:$BV$10</formula1>
    </dataValidation>
    <dataValidation sqref="J23" showDropDown="0" showInputMessage="0" showErrorMessage="1" allowBlank="1" errorTitle="Texto longo" error="Recompensa combinada: até 200 caracteres." type="textLength" errorStyle="warning" operator="lessThanOrEqual">
      <formula1>200</formula1>
    </dataValidation>
    <dataValidation sqref="A24" showDropDown="0" showInputMessage="0" showErrorMessage="1" allowBlank="1" errorTitle="Texto longo" error="Missão: até 160 caracteres." type="textLength" errorStyle="warning" operator="lessThanOrEqual">
      <formula1>160</formula1>
    </dataValidation>
    <dataValidation sqref="B24" showDropDown="0" showInputMessage="0" showErrorMessage="1" allowBlank="1" errorTitle="Fora da lista" error="Tipo: escolha um valor da lista. A planilha pode não reconhecer outro valor." type="list" errorStyle="warning">
      <formula1>$AA$5:$AA$104</formula1>
    </dataValidation>
    <dataValidation sqref="C24" showDropDown="0" showInputMessage="0" showErrorMessage="1" allowBlank="1" errorTitle="Texto longo" error="Contratante: até 200 caracteres." type="textLength" errorStyle="warning" operator="lessThanOrEqual">
      <formula1>200</formula1>
    </dataValidation>
    <dataValidation sqref="E24" showDropDown="0" showInputMessage="0" showErrorMessage="1" allowBlank="1" errorTitle="Texto longo" error="Objetivo: até 200 caracteres." type="textLength" errorStyle="warning" operator="lessThanOrEqual">
      <formula1>200</formula1>
    </dataValidation>
    <dataValidation sqref="G24" showDropDown="0" showInputMessage="0" showErrorMessage="1" allowBlank="1" errorTitle="Texto longo" error="Local: até 120 caracteres." type="textLength" errorStyle="warning" operator="lessThanOrEqual">
      <formula1>120</formula1>
    </dataValidation>
    <dataValidation sqref="H24" showDropDown="0" showInputMessage="0" showErrorMessage="1" allowBlank="1" errorTitle="Texto longo" error="Prazo: até 120 caracteres." type="textLength" errorStyle="warning" operator="lessThanOrEqual">
      <formula1>120</formula1>
    </dataValidation>
    <dataValidation sqref="I24" showDropDown="0" showInputMessage="0" showErrorMessage="1" allowBlank="1" errorTitle="Fora da lista" error="Estado: escolha um valor da lista. A planilha pode não reconhecer outro valor." type="list" errorStyle="warning">
      <formula1>'Dados'!$BV$6:$BV$10</formula1>
    </dataValidation>
    <dataValidation sqref="J24" showDropDown="0" showInputMessage="0" showErrorMessage="1" allowBlank="1" errorTitle="Texto longo" error="Recompensa combinada: até 200 caracteres." type="textLength" errorStyle="warning" operator="lessThanOrEqual">
      <formula1>200</formula1>
    </dataValidation>
    <dataValidation sqref="A25" showDropDown="0" showInputMessage="0" showErrorMessage="1" allowBlank="1" errorTitle="Texto longo" error="Missão: até 160 caracteres." type="textLength" errorStyle="warning" operator="lessThanOrEqual">
      <formula1>160</formula1>
    </dataValidation>
    <dataValidation sqref="B25" showDropDown="0" showInputMessage="0" showErrorMessage="1" allowBlank="1" errorTitle="Fora da lista" error="Tipo: escolha um valor da lista. A planilha pode não reconhecer outro valor." type="list" errorStyle="warning">
      <formula1>$AA$5:$AA$104</formula1>
    </dataValidation>
    <dataValidation sqref="C25" showDropDown="0" showInputMessage="0" showErrorMessage="1" allowBlank="1" errorTitle="Texto longo" error="Contratante: até 200 caracteres." type="textLength" errorStyle="warning" operator="lessThanOrEqual">
      <formula1>200</formula1>
    </dataValidation>
    <dataValidation sqref="E25" showDropDown="0" showInputMessage="0" showErrorMessage="1" allowBlank="1" errorTitle="Texto longo" error="Objetivo: até 200 caracteres." type="textLength" errorStyle="warning" operator="lessThanOrEqual">
      <formula1>200</formula1>
    </dataValidation>
    <dataValidation sqref="G25" showDropDown="0" showInputMessage="0" showErrorMessage="1" allowBlank="1" errorTitle="Texto longo" error="Local: até 120 caracteres." type="textLength" errorStyle="warning" operator="lessThanOrEqual">
      <formula1>120</formula1>
    </dataValidation>
    <dataValidation sqref="H25" showDropDown="0" showInputMessage="0" showErrorMessage="1" allowBlank="1" errorTitle="Texto longo" error="Prazo: até 120 caracteres." type="textLength" errorStyle="warning" operator="lessThanOrEqual">
      <formula1>120</formula1>
    </dataValidation>
    <dataValidation sqref="I25" showDropDown="0" showInputMessage="0" showErrorMessage="1" allowBlank="1" errorTitle="Fora da lista" error="Estado: escolha um valor da lista. A planilha pode não reconhecer outro valor." type="list" errorStyle="warning">
      <formula1>'Dados'!$BV$6:$BV$10</formula1>
    </dataValidation>
    <dataValidation sqref="J25" showDropDown="0" showInputMessage="0" showErrorMessage="1" allowBlank="1" errorTitle="Texto longo" error="Recompensa combinada: até 200 caracteres." type="textLength" errorStyle="warning" operator="lessThanOrEqual">
      <formula1>200</formula1>
    </dataValidation>
    <dataValidation sqref="A26" showDropDown="0" showInputMessage="0" showErrorMessage="1" allowBlank="1" errorTitle="Texto longo" error="Missão: até 160 caracteres." type="textLength" errorStyle="warning" operator="lessThanOrEqual">
      <formula1>160</formula1>
    </dataValidation>
    <dataValidation sqref="B26" showDropDown="0" showInputMessage="0" showErrorMessage="1" allowBlank="1" errorTitle="Fora da lista" error="Tipo: escolha um valor da lista. A planilha pode não reconhecer outro valor." type="list" errorStyle="warning">
      <formula1>$AA$5:$AA$104</formula1>
    </dataValidation>
    <dataValidation sqref="C26" showDropDown="0" showInputMessage="0" showErrorMessage="1" allowBlank="1" errorTitle="Texto longo" error="Contratante: até 200 caracteres." type="textLength" errorStyle="warning" operator="lessThanOrEqual">
      <formula1>200</formula1>
    </dataValidation>
    <dataValidation sqref="E26" showDropDown="0" showInputMessage="0" showErrorMessage="1" allowBlank="1" errorTitle="Texto longo" error="Objetivo: até 200 caracteres." type="textLength" errorStyle="warning" operator="lessThanOrEqual">
      <formula1>200</formula1>
    </dataValidation>
    <dataValidation sqref="G26" showDropDown="0" showInputMessage="0" showErrorMessage="1" allowBlank="1" errorTitle="Texto longo" error="Local: até 120 caracteres." type="textLength" errorStyle="warning" operator="lessThanOrEqual">
      <formula1>120</formula1>
    </dataValidation>
    <dataValidation sqref="H26" showDropDown="0" showInputMessage="0" showErrorMessage="1" allowBlank="1" errorTitle="Texto longo" error="Prazo: até 120 caracteres." type="textLength" errorStyle="warning" operator="lessThanOrEqual">
      <formula1>120</formula1>
    </dataValidation>
    <dataValidation sqref="I26" showDropDown="0" showInputMessage="0" showErrorMessage="1" allowBlank="1" errorTitle="Fora da lista" error="Estado: escolha um valor da lista. A planilha pode não reconhecer outro valor." type="list" errorStyle="warning">
      <formula1>'Dados'!$BV$6:$BV$10</formula1>
    </dataValidation>
    <dataValidation sqref="J26" showDropDown="0" showInputMessage="0" showErrorMessage="1" allowBlank="1" errorTitle="Texto longo" error="Recompensa combinada: até 200 caracteres." type="textLength" errorStyle="warning" operator="lessThanOrEqual">
      <formula1>200</formula1>
    </dataValidation>
    <dataValidation sqref="A27" showDropDown="0" showInputMessage="0" showErrorMessage="1" allowBlank="1" errorTitle="Texto longo" error="Missão: até 160 caracteres." type="textLength" errorStyle="warning" operator="lessThanOrEqual">
      <formula1>160</formula1>
    </dataValidation>
    <dataValidation sqref="B27" showDropDown="0" showInputMessage="0" showErrorMessage="1" allowBlank="1" errorTitle="Fora da lista" error="Tipo: escolha um valor da lista. A planilha pode não reconhecer outro valor." type="list" errorStyle="warning">
      <formula1>$AA$5:$AA$104</formula1>
    </dataValidation>
    <dataValidation sqref="C27" showDropDown="0" showInputMessage="0" showErrorMessage="1" allowBlank="1" errorTitle="Texto longo" error="Contratante: até 200 caracteres." type="textLength" errorStyle="warning" operator="lessThanOrEqual">
      <formula1>200</formula1>
    </dataValidation>
    <dataValidation sqref="E27" showDropDown="0" showInputMessage="0" showErrorMessage="1" allowBlank="1" errorTitle="Texto longo" error="Objetivo: até 200 caracteres." type="textLength" errorStyle="warning" operator="lessThanOrEqual">
      <formula1>200</formula1>
    </dataValidation>
    <dataValidation sqref="G27" showDropDown="0" showInputMessage="0" showErrorMessage="1" allowBlank="1" errorTitle="Texto longo" error="Local: até 120 caracteres." type="textLength" errorStyle="warning" operator="lessThanOrEqual">
      <formula1>120</formula1>
    </dataValidation>
    <dataValidation sqref="H27" showDropDown="0" showInputMessage="0" showErrorMessage="1" allowBlank="1" errorTitle="Texto longo" error="Prazo: até 120 caracteres." type="textLength" errorStyle="warning" operator="lessThanOrEqual">
      <formula1>120</formula1>
    </dataValidation>
    <dataValidation sqref="I27" showDropDown="0" showInputMessage="0" showErrorMessage="1" allowBlank="1" errorTitle="Fora da lista" error="Estado: escolha um valor da lista. A planilha pode não reconhecer outro valor." type="list" errorStyle="warning">
      <formula1>'Dados'!$BV$6:$BV$10</formula1>
    </dataValidation>
    <dataValidation sqref="J27" showDropDown="0" showInputMessage="0" showErrorMessage="1" allowBlank="1" errorTitle="Texto longo" error="Recompensa combinada: até 200 caracteres." type="textLength" errorStyle="warning" operator="lessThanOrEqual">
      <formula1>200</formula1>
    </dataValidation>
    <dataValidation sqref="A28" showDropDown="0" showInputMessage="0" showErrorMessage="1" allowBlank="1" errorTitle="Texto longo" error="Missão: até 160 caracteres." type="textLength" errorStyle="warning" operator="lessThanOrEqual">
      <formula1>160</formula1>
    </dataValidation>
    <dataValidation sqref="B28" showDropDown="0" showInputMessage="0" showErrorMessage="1" allowBlank="1" errorTitle="Fora da lista" error="Tipo: escolha um valor da lista. A planilha pode não reconhecer outro valor." type="list" errorStyle="warning">
      <formula1>$AA$5:$AA$104</formula1>
    </dataValidation>
    <dataValidation sqref="C28" showDropDown="0" showInputMessage="0" showErrorMessage="1" allowBlank="1" errorTitle="Texto longo" error="Contratante: até 200 caracteres." type="textLength" errorStyle="warning" operator="lessThanOrEqual">
      <formula1>200</formula1>
    </dataValidation>
    <dataValidation sqref="E28" showDropDown="0" showInputMessage="0" showErrorMessage="1" allowBlank="1" errorTitle="Texto longo" error="Objetivo: até 200 caracteres." type="textLength" errorStyle="warning" operator="lessThanOrEqual">
      <formula1>200</formula1>
    </dataValidation>
    <dataValidation sqref="G28" showDropDown="0" showInputMessage="0" showErrorMessage="1" allowBlank="1" errorTitle="Texto longo" error="Local: até 120 caracteres." type="textLength" errorStyle="warning" operator="lessThanOrEqual">
      <formula1>120</formula1>
    </dataValidation>
    <dataValidation sqref="H28" showDropDown="0" showInputMessage="0" showErrorMessage="1" allowBlank="1" errorTitle="Texto longo" error="Prazo: até 120 caracteres." type="textLength" errorStyle="warning" operator="lessThanOrEqual">
      <formula1>120</formula1>
    </dataValidation>
    <dataValidation sqref="I28" showDropDown="0" showInputMessage="0" showErrorMessage="1" allowBlank="1" errorTitle="Fora da lista" error="Estado: escolha um valor da lista. A planilha pode não reconhecer outro valor." type="list" errorStyle="warning">
      <formula1>'Dados'!$BV$6:$BV$10</formula1>
    </dataValidation>
    <dataValidation sqref="J28" showDropDown="0" showInputMessage="0" showErrorMessage="1" allowBlank="1" errorTitle="Texto longo" error="Recompensa combinada: até 200 caracteres." type="textLength" errorStyle="warning" operator="lessThanOrEqual">
      <formula1>200</formula1>
    </dataValidation>
    <dataValidation sqref="B31" showDropDown="0" showInputMessage="0" showErrorMessage="1" allowBlank="1" errorTitle="Fora da lista" error="É marco de nível?: escolha um valor da lista. A planilha pode não reconhecer outro valor." type="list" errorStyle="warning">
      <formula1>'Dados'!$AT$6:$AT$7</formula1>
    </dataValidation>
    <dataValidation sqref="C31" showDropDown="0" showInputMessage="0" showErrorMessage="1" allowBlank="1" errorTitle="Valor fora da faixa" error="Sessão de início: use um número inteiro de 1 a 999." type="whole" errorStyle="warning" operator="between">
      <formula1>1</formula1>
      <formula2>999</formula2>
    </dataValidation>
    <dataValidation sqref="D31" showDropDown="0" showInputMessage="0" showErrorMessage="1" allowBlank="1" errorTitle="Valor fora da faixa" error="Sessão de fim: use um número inteiro de 1 a 999." type="whole" errorStyle="warning" operator="between">
      <formula1>1</formula1>
      <formula2>999</formula2>
    </dataValidation>
    <dataValidation sqref="E31" showDropDown="0" showInputMessage="0" showErrorMessage="1" allowBlank="1" errorTitle="Texto longo" error="Notas: até 200 caracteres." type="textLength" errorStyle="warning" operator="lessThanOrEqual">
      <formula1>200</formula1>
    </dataValidation>
    <dataValidation sqref="B32" showDropDown="0" showInputMessage="0" showErrorMessage="1" allowBlank="1" errorTitle="Fora da lista" error="É marco de nível?: escolha um valor da lista. A planilha pode não reconhecer outro valor." type="list" errorStyle="warning">
      <formula1>'Dados'!$AT$6:$AT$7</formula1>
    </dataValidation>
    <dataValidation sqref="C32" showDropDown="0" showInputMessage="0" showErrorMessage="1" allowBlank="1" errorTitle="Valor fora da faixa" error="Sessão de início: use um número inteiro de 1 a 999." type="whole" errorStyle="warning" operator="between">
      <formula1>1</formula1>
      <formula2>999</formula2>
    </dataValidation>
    <dataValidation sqref="D32" showDropDown="0" showInputMessage="0" showErrorMessage="1" allowBlank="1" errorTitle="Valor fora da faixa" error="Sessão de fim: use um número inteiro de 1 a 999." type="whole" errorStyle="warning" operator="between">
      <formula1>1</formula1>
      <formula2>999</formula2>
    </dataValidation>
    <dataValidation sqref="E32" showDropDown="0" showInputMessage="0" showErrorMessage="1" allowBlank="1" errorTitle="Texto longo" error="Notas: até 200 caracteres." type="textLength" errorStyle="warning" operator="lessThanOrEqual">
      <formula1>200</formula1>
    </dataValidation>
    <dataValidation sqref="B33" showDropDown="0" showInputMessage="0" showErrorMessage="1" allowBlank="1" errorTitle="Fora da lista" error="É marco de nível?: escolha um valor da lista. A planilha pode não reconhecer outro valor." type="list" errorStyle="warning">
      <formula1>'Dados'!$AT$6:$AT$7</formula1>
    </dataValidation>
    <dataValidation sqref="C33" showDropDown="0" showInputMessage="0" showErrorMessage="1" allowBlank="1" errorTitle="Valor fora da faixa" error="Sessão de início: use um número inteiro de 1 a 999." type="whole" errorStyle="warning" operator="between">
      <formula1>1</formula1>
      <formula2>999</formula2>
    </dataValidation>
    <dataValidation sqref="D33" showDropDown="0" showInputMessage="0" showErrorMessage="1" allowBlank="1" errorTitle="Valor fora da faixa" error="Sessão de fim: use um número inteiro de 1 a 999." type="whole" errorStyle="warning" operator="between">
      <formula1>1</formula1>
      <formula2>999</formula2>
    </dataValidation>
    <dataValidation sqref="E33" showDropDown="0" showInputMessage="0" showErrorMessage="1" allowBlank="1" errorTitle="Texto longo" error="Notas: até 200 caracteres." type="textLength" errorStyle="warning" operator="lessThanOrEqual">
      <formula1>200</formula1>
    </dataValidation>
    <dataValidation sqref="B34" showDropDown="0" showInputMessage="0" showErrorMessage="1" allowBlank="1" errorTitle="Fora da lista" error="É marco de nível?: escolha um valor da lista. A planilha pode não reconhecer outro valor." type="list" errorStyle="warning">
      <formula1>'Dados'!$AT$6:$AT$7</formula1>
    </dataValidation>
    <dataValidation sqref="C34" showDropDown="0" showInputMessage="0" showErrorMessage="1" allowBlank="1" errorTitle="Valor fora da faixa" error="Sessão de início: use um número inteiro de 1 a 999." type="whole" errorStyle="warning" operator="between">
      <formula1>1</formula1>
      <formula2>999</formula2>
    </dataValidation>
    <dataValidation sqref="D34" showDropDown="0" showInputMessage="0" showErrorMessage="1" allowBlank="1" errorTitle="Valor fora da faixa" error="Sessão de fim: use um número inteiro de 1 a 999." type="whole" errorStyle="warning" operator="between">
      <formula1>1</formula1>
      <formula2>999</formula2>
    </dataValidation>
    <dataValidation sqref="E34" showDropDown="0" showInputMessage="0" showErrorMessage="1" allowBlank="1" errorTitle="Texto longo" error="Notas: até 200 caracteres." type="textLength" errorStyle="warning" operator="lessThanOrEqual">
      <formula1>200</formula1>
    </dataValidation>
    <dataValidation sqref="B35" showDropDown="0" showInputMessage="0" showErrorMessage="1" allowBlank="1" errorTitle="Fora da lista" error="É marco de nível?: escolha um valor da lista. A planilha pode não reconhecer outro valor." type="list" errorStyle="warning">
      <formula1>'Dados'!$AT$6:$AT$7</formula1>
    </dataValidation>
    <dataValidation sqref="C35" showDropDown="0" showInputMessage="0" showErrorMessage="1" allowBlank="1" errorTitle="Valor fora da faixa" error="Sessão de início: use um número inteiro de 1 a 999." type="whole" errorStyle="warning" operator="between">
      <formula1>1</formula1>
      <formula2>999</formula2>
    </dataValidation>
    <dataValidation sqref="D35" showDropDown="0" showInputMessage="0" showErrorMessage="1" allowBlank="1" errorTitle="Valor fora da faixa" error="Sessão de fim: use um número inteiro de 1 a 999." type="whole" errorStyle="warning" operator="between">
      <formula1>1</formula1>
      <formula2>999</formula2>
    </dataValidation>
    <dataValidation sqref="E35" showDropDown="0" showInputMessage="0" showErrorMessage="1" allowBlank="1" errorTitle="Texto longo" error="Notas: até 200 caracteres." type="textLength" errorStyle="warning" operator="lessThanOrEqual">
      <formula1>200</formula1>
    </dataValidation>
    <dataValidation sqref="B36" showDropDown="0" showInputMessage="0" showErrorMessage="1" allowBlank="1" errorTitle="Fora da lista" error="É marco de nível?: escolha um valor da lista. A planilha pode não reconhecer outro valor." type="list" errorStyle="warning">
      <formula1>'Dados'!$AT$6:$AT$7</formula1>
    </dataValidation>
    <dataValidation sqref="C36" showDropDown="0" showInputMessage="0" showErrorMessage="1" allowBlank="1" errorTitle="Valor fora da faixa" error="Sessão de início: use um número inteiro de 1 a 999." type="whole" errorStyle="warning" operator="between">
      <formula1>1</formula1>
      <formula2>999</formula2>
    </dataValidation>
    <dataValidation sqref="D36" showDropDown="0" showInputMessage="0" showErrorMessage="1" allowBlank="1" errorTitle="Valor fora da faixa" error="Sessão de fim: use um número inteiro de 1 a 999." type="whole" errorStyle="warning" operator="between">
      <formula1>1</formula1>
      <formula2>999</formula2>
    </dataValidation>
    <dataValidation sqref="E36" showDropDown="0" showInputMessage="0" showErrorMessage="1" allowBlank="1" errorTitle="Texto longo" error="Notas: até 200 caracteres." type="textLength" errorStyle="warning" operator="lessThanOrEqual">
      <formula1>200</formula1>
    </dataValidation>
    <dataValidation sqref="B37" showDropDown="0" showInputMessage="0" showErrorMessage="1" allowBlank="1" errorTitle="Fora da lista" error="É marco de nível?: escolha um valor da lista. A planilha pode não reconhecer outro valor." type="list" errorStyle="warning">
      <formula1>'Dados'!$AT$6:$AT$7</formula1>
    </dataValidation>
    <dataValidation sqref="C37" showDropDown="0" showInputMessage="0" showErrorMessage="1" allowBlank="1" errorTitle="Valor fora da faixa" error="Sessão de início: use um número inteiro de 1 a 999." type="whole" errorStyle="warning" operator="between">
      <formula1>1</formula1>
      <formula2>999</formula2>
    </dataValidation>
    <dataValidation sqref="D37" showDropDown="0" showInputMessage="0" showErrorMessage="1" allowBlank="1" errorTitle="Valor fora da faixa" error="Sessão de fim: use um número inteiro de 1 a 999." type="whole" errorStyle="warning" operator="between">
      <formula1>1</formula1>
      <formula2>999</formula2>
    </dataValidation>
    <dataValidation sqref="E37" showDropDown="0" showInputMessage="0" showErrorMessage="1" allowBlank="1" errorTitle="Texto longo" error="Notas: até 200 caracteres." type="textLength" errorStyle="warning" operator="lessThanOrEqual">
      <formula1>200</formula1>
    </dataValidation>
    <dataValidation sqref="B38" showDropDown="0" showInputMessage="0" showErrorMessage="1" allowBlank="1" errorTitle="Fora da lista" error="É marco de nível?: escolha um valor da lista. A planilha pode não reconhecer outro valor." type="list" errorStyle="warning">
      <formula1>'Dados'!$AT$6:$AT$7</formula1>
    </dataValidation>
    <dataValidation sqref="C38" showDropDown="0" showInputMessage="0" showErrorMessage="1" allowBlank="1" errorTitle="Valor fora da faixa" error="Sessão de início: use um número inteiro de 1 a 999." type="whole" errorStyle="warning" operator="between">
      <formula1>1</formula1>
      <formula2>999</formula2>
    </dataValidation>
    <dataValidation sqref="D38" showDropDown="0" showInputMessage="0" showErrorMessage="1" allowBlank="1" errorTitle="Valor fora da faixa" error="Sessão de fim: use um número inteiro de 1 a 999." type="whole" errorStyle="warning" operator="between">
      <formula1>1</formula1>
      <formula2>999</formula2>
    </dataValidation>
    <dataValidation sqref="E38" showDropDown="0" showInputMessage="0" showErrorMessage="1" allowBlank="1" errorTitle="Texto longo" error="Notas: até 200 caracteres." type="textLength" errorStyle="warning" operator="lessThanOrEqual">
      <formula1>200</formula1>
    </dataValidation>
    <dataValidation sqref="B39" showDropDown="0" showInputMessage="0" showErrorMessage="1" allowBlank="1" errorTitle="Fora da lista" error="É marco de nível?: escolha um valor da lista. A planilha pode não reconhecer outro valor." type="list" errorStyle="warning">
      <formula1>'Dados'!$AT$6:$AT$7</formula1>
    </dataValidation>
    <dataValidation sqref="C39" showDropDown="0" showInputMessage="0" showErrorMessage="1" allowBlank="1" errorTitle="Valor fora da faixa" error="Sessão de início: use um número inteiro de 1 a 999." type="whole" errorStyle="warning" operator="between">
      <formula1>1</formula1>
      <formula2>999</formula2>
    </dataValidation>
    <dataValidation sqref="D39" showDropDown="0" showInputMessage="0" showErrorMessage="1" allowBlank="1" errorTitle="Valor fora da faixa" error="Sessão de fim: use um número inteiro de 1 a 999." type="whole" errorStyle="warning" operator="between">
      <formula1>1</formula1>
      <formula2>999</formula2>
    </dataValidation>
    <dataValidation sqref="E39" showDropDown="0" showInputMessage="0" showErrorMessage="1" allowBlank="1" errorTitle="Texto longo" error="Notas: até 200 caracteres." type="textLength" errorStyle="warning" operator="lessThanOrEqual">
      <formula1>200</formula1>
    </dataValidation>
    <dataValidation sqref="B40" showDropDown="0" showInputMessage="0" showErrorMessage="1" allowBlank="1" errorTitle="Fora da lista" error="É marco de nível?: escolha um valor da lista. A planilha pode não reconhecer outro valor." type="list" errorStyle="warning">
      <formula1>'Dados'!$AT$6:$AT$7</formula1>
    </dataValidation>
    <dataValidation sqref="C40" showDropDown="0" showInputMessage="0" showErrorMessage="1" allowBlank="1" errorTitle="Valor fora da faixa" error="Sessão de início: use um número inteiro de 1 a 999." type="whole" errorStyle="warning" operator="between">
      <formula1>1</formula1>
      <formula2>999</formula2>
    </dataValidation>
    <dataValidation sqref="D40" showDropDown="0" showInputMessage="0" showErrorMessage="1" allowBlank="1" errorTitle="Valor fora da faixa" error="Sessão de fim: use um número inteiro de 1 a 999." type="whole" errorStyle="warning" operator="between">
      <formula1>1</formula1>
      <formula2>999</formula2>
    </dataValidation>
    <dataValidation sqref="E40" showDropDown="0" showInputMessage="0" showErrorMessage="1" allowBlank="1" errorTitle="Texto longo" error="Notas: até 200 caracteres." type="textLength" errorStyle="warning" operator="lessThanOrEqual">
      <formula1>200</formula1>
    </dataValidation>
    <dataValidation sqref="B42" showDropDown="0" showInputMessage="0" showErrorMessage="1" allowBlank="1" errorTitle="Fora da lista" error="É marco de nível?: escolha um valor da lista. A planilha pode não reconhecer outro valor." type="list" errorStyle="warning">
      <formula1>'Dados'!$AT$6:$AT$7</formula1>
    </dataValidation>
    <dataValidation sqref="C42" showDropDown="0" showInputMessage="0" showErrorMessage="1" allowBlank="1" errorTitle="Valor fora da faixa" error="Sessão de início: use um número inteiro de 1 a 999." type="whole" errorStyle="warning" operator="between">
      <formula1>1</formula1>
      <formula2>999</formula2>
    </dataValidation>
    <dataValidation sqref="D42" showDropDown="0" showInputMessage="0" showErrorMessage="1" allowBlank="1" errorTitle="Valor fora da faixa" error="Sessão de fim: use um número inteiro de 1 a 999." type="whole" errorStyle="warning" operator="between">
      <formula1>1</formula1>
      <formula2>999</formula2>
    </dataValidation>
    <dataValidation sqref="E42" showDropDown="0" showInputMessage="0" showErrorMessage="1" allowBlank="1" errorTitle="Texto longo" error="Notas: até 200 caracteres." type="textLength" errorStyle="warning" operator="lessThanOrEqual">
      <formula1>200</formula1>
    </dataValidation>
    <dataValidation sqref="B43" showDropDown="0" showInputMessage="0" showErrorMessage="1" allowBlank="1" errorTitle="Fora da lista" error="É marco de nível?: escolha um valor da lista. A planilha pode não reconhecer outro valor." type="list" errorStyle="warning">
      <formula1>'Dados'!$AT$6:$AT$7</formula1>
    </dataValidation>
    <dataValidation sqref="C43" showDropDown="0" showInputMessage="0" showErrorMessage="1" allowBlank="1" errorTitle="Valor fora da faixa" error="Sessão de início: use um número inteiro de 1 a 999." type="whole" errorStyle="warning" operator="between">
      <formula1>1</formula1>
      <formula2>999</formula2>
    </dataValidation>
    <dataValidation sqref="D43" showDropDown="0" showInputMessage="0" showErrorMessage="1" allowBlank="1" errorTitle="Valor fora da faixa" error="Sessão de fim: use um número inteiro de 1 a 999." type="whole" errorStyle="warning" operator="between">
      <formula1>1</formula1>
      <formula2>999</formula2>
    </dataValidation>
    <dataValidation sqref="E43" showDropDown="0" showInputMessage="0" showErrorMessage="1" allowBlank="1" errorTitle="Texto longo" error="Notas: até 200 caracteres." type="textLength" errorStyle="warning" operator="lessThanOrEqual">
      <formula1>200</formula1>
    </dataValidation>
    <dataValidation sqref="B44" showDropDown="0" showInputMessage="0" showErrorMessage="1" allowBlank="1" errorTitle="Fora da lista" error="É marco de nível?: escolha um valor da lista. A planilha pode não reconhecer outro valor." type="list" errorStyle="warning">
      <formula1>'Dados'!$AT$6:$AT$7</formula1>
    </dataValidation>
    <dataValidation sqref="C44" showDropDown="0" showInputMessage="0" showErrorMessage="1" allowBlank="1" errorTitle="Valor fora da faixa" error="Sessão de início: use um número inteiro de 1 a 999." type="whole" errorStyle="warning" operator="between">
      <formula1>1</formula1>
      <formula2>999</formula2>
    </dataValidation>
    <dataValidation sqref="D44" showDropDown="0" showInputMessage="0" showErrorMessage="1" allowBlank="1" errorTitle="Valor fora da faixa" error="Sessão de fim: use um número inteiro de 1 a 999." type="whole" errorStyle="warning" operator="between">
      <formula1>1</formula1>
      <formula2>999</formula2>
    </dataValidation>
    <dataValidation sqref="E44" showDropDown="0" showInputMessage="0" showErrorMessage="1" allowBlank="1" errorTitle="Texto longo" error="Notas: até 200 caracteres." type="textLength" errorStyle="warning" operator="lessThanOrEqual">
      <formula1>200</formula1>
    </dataValidation>
    <dataValidation sqref="B45" showDropDown="0" showInputMessage="0" showErrorMessage="1" allowBlank="1" errorTitle="Fora da lista" error="É marco de nível?: escolha um valor da lista. A planilha pode não reconhecer outro valor." type="list" errorStyle="warning">
      <formula1>'Dados'!$AT$6:$AT$7</formula1>
    </dataValidation>
    <dataValidation sqref="C45" showDropDown="0" showInputMessage="0" showErrorMessage="1" allowBlank="1" errorTitle="Valor fora da faixa" error="Sessão de início: use um número inteiro de 1 a 999." type="whole" errorStyle="warning" operator="between">
      <formula1>1</formula1>
      <formula2>999</formula2>
    </dataValidation>
    <dataValidation sqref="D45" showDropDown="0" showInputMessage="0" showErrorMessage="1" allowBlank="1" errorTitle="Valor fora da faixa" error="Sessão de fim: use um número inteiro de 1 a 999." type="whole" errorStyle="warning" operator="between">
      <formula1>1</formula1>
      <formula2>999</formula2>
    </dataValidation>
    <dataValidation sqref="E45" showDropDown="0" showInputMessage="0" showErrorMessage="1" allowBlank="1" errorTitle="Texto longo" error="Notas: até 200 caracteres." type="textLength" errorStyle="warning" operator="lessThanOrEqual">
      <formula1>200</formula1>
    </dataValidation>
    <dataValidation sqref="B46" showDropDown="0" showInputMessage="0" showErrorMessage="1" allowBlank="1" errorTitle="Fora da lista" error="É marco de nível?: escolha um valor da lista. A planilha pode não reconhecer outro valor." type="list" errorStyle="warning">
      <formula1>'Dados'!$AT$6:$AT$7</formula1>
    </dataValidation>
    <dataValidation sqref="C46" showDropDown="0" showInputMessage="0" showErrorMessage="1" allowBlank="1" errorTitle="Valor fora da faixa" error="Sessão de início: use um número inteiro de 1 a 999." type="whole" errorStyle="warning" operator="between">
      <formula1>1</formula1>
      <formula2>999</formula2>
    </dataValidation>
    <dataValidation sqref="D46" showDropDown="0" showInputMessage="0" showErrorMessage="1" allowBlank="1" errorTitle="Valor fora da faixa" error="Sessão de fim: use um número inteiro de 1 a 999." type="whole" errorStyle="warning" operator="between">
      <formula1>1</formula1>
      <formula2>999</formula2>
    </dataValidation>
    <dataValidation sqref="E46" showDropDown="0" showInputMessage="0" showErrorMessage="1" allowBlank="1" errorTitle="Texto longo" error="Notas: até 200 caracteres." type="textLength" errorStyle="warning" operator="lessThanOrEqual">
      <formula1>200</formula1>
    </dataValidation>
    <dataValidation sqref="B47" showDropDown="0" showInputMessage="0" showErrorMessage="1" allowBlank="1" errorTitle="Fora da lista" error="É marco de nível?: escolha um valor da lista. A planilha pode não reconhecer outro valor." type="list" errorStyle="warning">
      <formula1>'Dados'!$AT$6:$AT$7</formula1>
    </dataValidation>
    <dataValidation sqref="C47" showDropDown="0" showInputMessage="0" showErrorMessage="1" allowBlank="1" errorTitle="Valor fora da faixa" error="Sessão de início: use um número inteiro de 1 a 999." type="whole" errorStyle="warning" operator="between">
      <formula1>1</formula1>
      <formula2>999</formula2>
    </dataValidation>
    <dataValidation sqref="D47" showDropDown="0" showInputMessage="0" showErrorMessage="1" allowBlank="1" errorTitle="Valor fora da faixa" error="Sessão de fim: use um número inteiro de 1 a 999." type="whole" errorStyle="warning" operator="between">
      <formula1>1</formula1>
      <formula2>999</formula2>
    </dataValidation>
    <dataValidation sqref="E47" showDropDown="0" showInputMessage="0" showErrorMessage="1" allowBlank="1" errorTitle="Texto longo" error="Notas: até 200 caracteres." type="textLength" errorStyle="warning" operator="lessThanOrEqual">
      <formula1>200</formula1>
    </dataValidation>
    <dataValidation sqref="B48" showDropDown="0" showInputMessage="0" showErrorMessage="1" allowBlank="1" errorTitle="Fora da lista" error="É marco de nível?: escolha um valor da lista. A planilha pode não reconhecer outro valor." type="list" errorStyle="warning">
      <formula1>'Dados'!$AT$6:$AT$7</formula1>
    </dataValidation>
    <dataValidation sqref="C48" showDropDown="0" showInputMessage="0" showErrorMessage="1" allowBlank="1" errorTitle="Valor fora da faixa" error="Sessão de início: use um número inteiro de 1 a 999." type="whole" errorStyle="warning" operator="between">
      <formula1>1</formula1>
      <formula2>999</formula2>
    </dataValidation>
    <dataValidation sqref="D48" showDropDown="0" showInputMessage="0" showErrorMessage="1" allowBlank="1" errorTitle="Valor fora da faixa" error="Sessão de fim: use um número inteiro de 1 a 999." type="whole" errorStyle="warning" operator="between">
      <formula1>1</formula1>
      <formula2>999</formula2>
    </dataValidation>
    <dataValidation sqref="E48" showDropDown="0" showInputMessage="0" showErrorMessage="1" allowBlank="1" errorTitle="Texto longo" error="Notas: até 200 caracteres." type="textLength" errorStyle="warning" operator="lessThanOrEqual">
      <formula1>200</formula1>
    </dataValidation>
    <dataValidation sqref="B49" showDropDown="0" showInputMessage="0" showErrorMessage="1" allowBlank="1" errorTitle="Fora da lista" error="É marco de nível?: escolha um valor da lista. A planilha pode não reconhecer outro valor." type="list" errorStyle="warning">
      <formula1>'Dados'!$AT$6:$AT$7</formula1>
    </dataValidation>
    <dataValidation sqref="C49" showDropDown="0" showInputMessage="0" showErrorMessage="1" allowBlank="1" errorTitle="Valor fora da faixa" error="Sessão de início: use um número inteiro de 1 a 999." type="whole" errorStyle="warning" operator="between">
      <formula1>1</formula1>
      <formula2>999</formula2>
    </dataValidation>
    <dataValidation sqref="D49" showDropDown="0" showInputMessage="0" showErrorMessage="1" allowBlank="1" errorTitle="Valor fora da faixa" error="Sessão de fim: use um número inteiro de 1 a 999." type="whole" errorStyle="warning" operator="between">
      <formula1>1</formula1>
      <formula2>999</formula2>
    </dataValidation>
    <dataValidation sqref="E49" showDropDown="0" showInputMessage="0" showErrorMessage="1" allowBlank="1" errorTitle="Texto longo" error="Notas: até 200 caracteres." type="textLength" errorStyle="warning" operator="lessThanOrEqual">
      <formula1>200</formula1>
    </dataValidation>
    <dataValidation sqref="B50" showDropDown="0" showInputMessage="0" showErrorMessage="1" allowBlank="1" errorTitle="Fora da lista" error="É marco de nível?: escolha um valor da lista. A planilha pode não reconhecer outro valor." type="list" errorStyle="warning">
      <formula1>'Dados'!$AT$6:$AT$7</formula1>
    </dataValidation>
    <dataValidation sqref="C50" showDropDown="0" showInputMessage="0" showErrorMessage="1" allowBlank="1" errorTitle="Valor fora da faixa" error="Sessão de início: use um número inteiro de 1 a 999." type="whole" errorStyle="warning" operator="between">
      <formula1>1</formula1>
      <formula2>999</formula2>
    </dataValidation>
    <dataValidation sqref="D50" showDropDown="0" showInputMessage="0" showErrorMessage="1" allowBlank="1" errorTitle="Valor fora da faixa" error="Sessão de fim: use um número inteiro de 1 a 999." type="whole" errorStyle="warning" operator="between">
      <formula1>1</formula1>
      <formula2>999</formula2>
    </dataValidation>
    <dataValidation sqref="E50" showDropDown="0" showInputMessage="0" showErrorMessage="1" allowBlank="1" errorTitle="Texto longo" error="Notas: até 200 caracteres." type="textLength" errorStyle="warning" operator="lessThanOrEqual">
      <formula1>200</formula1>
    </dataValidation>
    <dataValidation sqref="B51" showDropDown="0" showInputMessage="0" showErrorMessage="1" allowBlank="1" errorTitle="Fora da lista" error="É marco de nível?: escolha um valor da lista. A planilha pode não reconhecer outro valor." type="list" errorStyle="warning">
      <formula1>'Dados'!$AT$6:$AT$7</formula1>
    </dataValidation>
    <dataValidation sqref="C51" showDropDown="0" showInputMessage="0" showErrorMessage="1" allowBlank="1" errorTitle="Valor fora da faixa" error="Sessão de início: use um número inteiro de 1 a 999." type="whole" errorStyle="warning" operator="between">
      <formula1>1</formula1>
      <formula2>999</formula2>
    </dataValidation>
    <dataValidation sqref="D51" showDropDown="0" showInputMessage="0" showErrorMessage="1" allowBlank="1" errorTitle="Valor fora da faixa" error="Sessão de fim: use um número inteiro de 1 a 999." type="whole" errorStyle="warning" operator="between">
      <formula1>1</formula1>
      <formula2>999</formula2>
    </dataValidation>
    <dataValidation sqref="E51" showDropDown="0" showInputMessage="0" showErrorMessage="1" allowBlank="1" errorTitle="Texto longo" error="Notas: até 200 caracteres." type="textLength" errorStyle="warning" operator="lessThanOrEqual">
      <formula1>200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232"/>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width="13" customWidth="1" min="43" max="43"/>
    <col hidden="1" width="13" customWidth="1" min="44" max="44"/>
    <col width="13" customWidth="1" min="45" max="45"/>
    <col hidden="1" width="13" customWidth="1" min="46" max="46"/>
    <col width="13" customWidth="1" min="47" max="47"/>
    <col hidden="1" width="13" customWidth="1" min="48" max="48"/>
    <col hidden="1" width="13" customWidth="1" min="49" max="49"/>
    <col width="13" customWidth="1" min="50" max="50"/>
    <col hidden="1" width="13" customWidth="1" min="51" max="51"/>
    <col hidden="1" width="13" customWidth="1" min="52" max="52"/>
    <col hidden="1" width="13" customWidth="1" min="53" max="53"/>
    <col hidden="1" width="13" customWidth="1" min="54" max="54"/>
    <col hidden="1" width="13" customWidth="1" min="55" max="55"/>
    <col width="13" customWidth="1" min="56" max="56"/>
    <col hidden="1" width="13" customWidth="1" min="57" max="57"/>
    <col hidden="1" width="13" customWidth="1" min="58" max="58"/>
  </cols>
  <sheetData>
    <row r="1" ht="24" customHeight="1">
      <c r="A1" s="1" t="inlineStr">
        <is>
          <t>NPCs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Gerador de NPCs (nome por cultura, Raça, Caminho, ocupação, voz, segredo, gancho), elenco e cartões.</t>
        </is>
      </c>
    </row>
    <row r="4"/>
    <row r="5" ht="20" customHeight="1">
      <c r="A5" s="13" t="inlineStr">
        <is>
          <t>Gerador de NPCs (G = 200): vazio = Sortear; a semente é a da aba Início</t>
        </is>
      </c>
    </row>
    <row r="6" ht="26" customHeight="1">
      <c r="A6" s="8" t="inlineStr">
        <is>
          <t>Rolagem nº</t>
        </is>
      </c>
      <c r="B6" s="8" t="inlineStr">
        <is>
          <t>Raça</t>
        </is>
      </c>
      <c r="C6" s="20" t="n"/>
      <c r="D6" s="8" t="inlineStr">
        <is>
          <t>Caminho</t>
        </is>
      </c>
      <c r="E6" s="20" t="n"/>
      <c r="F6" s="8" t="inlineStr">
        <is>
          <t>Papel na história</t>
        </is>
      </c>
      <c r="G6" s="20" t="n"/>
      <c r="H6" s="8" t="inlineStr">
        <is>
          <t>Bloco de combate</t>
        </is>
      </c>
      <c r="I6" s="20" t="n"/>
      <c r="J6" s="8" t="inlineStr">
        <is>
          <t>Tipo do bloco</t>
        </is>
      </c>
      <c r="K6" s="8" t="inlineStr">
        <is>
          <t>Aviso</t>
        </is>
      </c>
      <c r="L6" s="20" t="n"/>
    </row>
    <row r="7" ht="26" customHeight="1">
      <c r="A7" s="38" t="n"/>
      <c r="B7" s="4" t="n"/>
      <c r="C7" s="17" t="n"/>
      <c r="D7" s="4" t="n"/>
      <c r="E7" s="17" t="n"/>
      <c r="F7" s="4" t="n"/>
      <c r="G7" s="17" t="n"/>
      <c r="H7" s="4" t="n"/>
      <c r="I7" s="17" t="n"/>
      <c r="J7" s="34" t="n"/>
      <c r="K7" s="19">
        <f>IF(BF7&gt;0,"O Google leu como fórmula: escolha de novo ou digite com ' na frente.",IF(LEN(IF(LEN($AV$7)=0,"",IF(ISNUMBER($AV$7),IF(AND($AV$7&gt;=1,$AV$7&lt;=1000000,INT($AV$7)=$AV$7),"","Rolagem nº fora de 1 a 1.000.000: usando 1"),"Rolagem nº fora de 1 a 1.000.000: usando 1")))&gt;0,IF(LEN($AV$7)=0,"",IF(ISNUMBER($AV$7),IF(AND($AV$7&gt;=1,$AV$7&lt;=1000000,INT($AV$7)=$AV$7),"","Rolagem nº fora de 1 a 1.000.000: usando 1"),"Rolagem nº fora de 1 a 1.000.000: usando 1")),IF(AND(LEN($AW$7)&gt;0,$AW$7&lt;&gt;"Sortear",COUNTIF('Dados'!$A$350:$A$356,$AW$7)=0),"Raça fora da lista do capítulo 05: sorteando",IF(AND(LEN($AY$7)&gt;0,$AY$7&lt;&gt;"Sortear",$AY$7&lt;&gt;"Nenhum",COUNTIF('Dados'!$A$360:$A$368,$AY$7)=0),"Caminho fora da lista: sorteando",IF(AND(LEN($BA$7)&gt;0,$BA$7&lt;&gt;"Sortear",COUNTIF('Dados'!$A$398:$A$404,$BA$7)=0),"Papel fora da lista: sorteando",IF(AND(LEN($BC$7)&gt;0,$BC$7&lt;&gt;"Nenhum",$BC$7&lt;&gt;"Do grupo",LEN(IFERROR(INDEX('Dados'!$B$7:$B$11,MATCH($BC$7,'Dados'!$AP$6:$AP$10,0)),""))=0),"Bloco de combate fora da lista: sem bloco",IF(AND(LEN($BE$7)&gt;0,$BE$7&lt;&gt;"Comum",$BE$7&lt;&gt;"Elite"),"Tipo do bloco fora da lista: usando Comum","")))))))</f>
        <v/>
      </c>
      <c r="AV7" s="2">
        <f>IF(ISERROR($A$7),"",IF(ISBLANK($A$7),"",$A$7))</f>
        <v/>
      </c>
      <c r="AW7" s="2">
        <f>IF(ISERROR($B$7),"",IF(ISBLANK($B$7),"",$B$7))</f>
        <v/>
      </c>
      <c r="AY7" s="2">
        <f>IF(ISERROR($D$7),"",IF(ISBLANK($D$7),"",$D$7))</f>
        <v/>
      </c>
      <c r="BA7" s="2">
        <f>IF(ISERROR($F$7),"",IF(ISBLANK($F$7),"",$F$7))</f>
        <v/>
      </c>
      <c r="BC7" s="2">
        <f>IF(ISERROR($H$7),"",IF(ISBLANK($H$7),"",$H$7))</f>
        <v/>
      </c>
      <c r="BE7" s="2">
        <f>IF(ISERROR($J$7),"",IF(ISBLANK($J$7),"",$J$7))</f>
        <v/>
      </c>
      <c r="BF7" s="2">
        <f>ISERROR($A$7)*1+ISERROR($B$7)*1+ISERROR($D$7)*1+ISERROR($F$7)*1+ISERROR($H$7)*1+ISERROR($J$7)*1</f>
        <v/>
      </c>
    </row>
    <row r="8" ht="26" customHeight="1">
      <c r="A8" s="21" t="inlineStr">
        <is>
          <t>Rolagem efetiva</t>
        </is>
      </c>
      <c r="B8" s="23">
        <f>IF(ISNUMBER($AV$7),IF(AND($AV$7&gt;=1,$AV$7&lt;=1000000,INT($AV$7)=$AV$7),$AV$7,1),1)</f>
        <v/>
      </c>
      <c r="C8" s="42" t="inlineStr">
        <is>
          <t>Mesma semente e mesma Rolagem nº dão o mesmo NPC; para outro, some 1 na Rolagem nº. Bloco de combate vazio = Nenhum; tipo vazio = Comum.</t>
        </is>
      </c>
      <c r="K8" s="30" t="n"/>
      <c r="L8" s="30" t="n"/>
    </row>
    <row r="9"/>
    <row r="10" ht="20" customHeight="1">
      <c r="A10" s="13" t="inlineStr">
        <is>
          <t>NPC sorteado (automático)</t>
        </is>
      </c>
      <c r="N10" s="2">
        <f>IF(COUNTIF('Dados'!$A$350:$A$356,$AW$7)&gt;0,$AW$7,INDEX('Dados'!$A$350:$A$356,INT($AC$10*7/2147483647)+1))</f>
        <v/>
      </c>
      <c r="AA10" s="2">
        <f>MOD(MOD(MOD((MOD('Início'!$E$16+104729*$B$8+2883509,2147483646)+1)*16807,2147483647)*16807,2147483647)*16807,2147483647)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E10" s="2">
        <f>0+IF(AND(LEN($N$15)&gt;0,INDEX('Tabelas'!$X$472:$X$578,1)&amp;""=$N$15,LEN(INDEX('Tabelas'!$Y$472:$Y$578,1)&amp;"")&gt;0),1,0)</f>
        <v/>
      </c>
      <c r="AG10" s="2">
        <f>$AV$46&amp;""</f>
        <v/>
      </c>
      <c r="AH10" s="2">
        <f>$AW$46&amp;""</f>
        <v/>
      </c>
      <c r="AI10" s="2">
        <f>$AY$46&amp;""</f>
        <v/>
      </c>
      <c r="AJ10" s="2">
        <f>$BC$46&amp;""</f>
        <v/>
      </c>
      <c r="AK10" s="2">
        <f>$AW$80&amp;""</f>
        <v/>
      </c>
      <c r="AL10" s="2">
        <f>$AW$148&amp;""</f>
        <v/>
      </c>
      <c r="AM10" s="2">
        <f>$AW$114&amp;""</f>
        <v/>
      </c>
      <c r="AN10" s="2">
        <f>$BA$114&amp;""</f>
        <v/>
      </c>
      <c r="AO10" s="2">
        <f>$AZ$148&amp;""</f>
        <v/>
      </c>
      <c r="AP10" s="2">
        <f>$BA$46&amp;""</f>
        <v/>
      </c>
      <c r="AT10" s="2">
        <f>'Tabelas'!$AE$357&amp;""</f>
        <v/>
      </c>
    </row>
    <row r="11">
      <c r="A11" s="8" t="inlineStr">
        <is>
          <t>Campo</t>
        </is>
      </c>
      <c r="B11" s="8" t="inlineStr">
        <is>
          <t>Sorteado</t>
        </is>
      </c>
      <c r="C11" s="20" t="n"/>
      <c r="D11" s="20" t="n"/>
      <c r="E11" s="20" t="n"/>
      <c r="F11" s="20" t="n"/>
      <c r="G11" s="20" t="n"/>
      <c r="H11" s="20" t="n"/>
      <c r="I11" s="8" t="inlineStr">
        <is>
          <t>De onde vem</t>
        </is>
      </c>
      <c r="J11" s="20" t="n"/>
      <c r="K11" s="8" t="inlineStr">
        <is>
          <t>Aviso</t>
        </is>
      </c>
      <c r="L11" s="20" t="n"/>
      <c r="N11" s="2">
        <f>IFERROR(MATCH($N$10,'Dados'!$A$388:$A$394,0),1)</f>
        <v/>
      </c>
      <c r="AA11" s="2">
        <f>MOD(MOD(MOD((MOD('Início'!$E$16+104729*$B$8+4183218,2147483646)+1)*16807,2147483647)*16807,2147483647)*16807,2147483647)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E11" s="2">
        <f>$AE$10+IF(AND(LEN($N$15)&gt;0,INDEX('Tabelas'!$X$472:$X$578,2)&amp;""=$N$15,LEN(INDEX('Tabelas'!$Y$472:$Y$578,2)&amp;"")&gt;0),1,0)</f>
        <v/>
      </c>
      <c r="AG11" s="2">
        <f>$AV$47&amp;""</f>
        <v/>
      </c>
      <c r="AH11" s="2">
        <f>$AW$47&amp;""</f>
        <v/>
      </c>
      <c r="AI11" s="2">
        <f>$AY$47&amp;""</f>
        <v/>
      </c>
      <c r="AJ11" s="2">
        <f>$BC$47&amp;""</f>
        <v/>
      </c>
      <c r="AK11" s="2">
        <f>$AW$81&amp;""</f>
        <v/>
      </c>
      <c r="AL11" s="2">
        <f>$AW$149&amp;""</f>
        <v/>
      </c>
      <c r="AM11" s="2">
        <f>$AW$115&amp;""</f>
        <v/>
      </c>
      <c r="AN11" s="2">
        <f>$BA$115&amp;""</f>
        <v/>
      </c>
      <c r="AO11" s="2">
        <f>$AZ$149&amp;""</f>
        <v/>
      </c>
      <c r="AP11" s="2">
        <f>$BA$47&amp;""</f>
        <v/>
      </c>
      <c r="AT11" s="2">
        <f>'Tabelas'!$AE$358&amp;""</f>
        <v/>
      </c>
    </row>
    <row r="12" ht="37" customHeight="1">
      <c r="A12" s="9" t="inlineStr">
        <is>
          <t>Nome completo</t>
        </is>
      </c>
      <c r="B12" s="46">
        <f>$N$14</f>
        <v/>
      </c>
      <c r="I12" s="5">
        <f>"Tabelas: nome e sobrenome da cultura "&amp;$N$10&amp;" (estilo de 05)"</f>
        <v/>
      </c>
      <c r="K12" s="19">
        <f>IF($N$11=1,IF('Tabelas'!$B$124+'Tabelas'!$B$239&lt;=0,"Listas de nome da cultura Humano vazias (aba Tabelas)",""),IF($N$11=2,IF('Tabelas'!$C$124+'Tabelas'!$C$239&lt;=0,"Listas de nome da cultura Xianzhouíta vazias (aba Tabelas)",""),IF($N$11=3,IF('Tabelas'!$D$124+'Tabelas'!$D$239&lt;=0,"Listas de nome da cultura Vidyadhara vazias (aba Tabelas)",""),IF($N$11=4,IF('Tabelas'!$E$124+'Tabelas'!$E$239&lt;=0,"Listas de nome da cultura Vulpes vazias (aba Tabelas)",""),IF($N$11=5,IF('Tabelas'!$F$124+'Tabelas'!$F$239&lt;=0,"Listas de nome da cultura Haloviano vazias (aba Tabelas)",""),IF($N$11=6,IF('Tabelas'!$G$124+'Tabelas'!$G$239&lt;=0,"Listas de nome da cultura Avginiano vazias (aba Tabelas)",""),IF('Tabelas'!$H$124+'Tabelas'!$H$239&lt;=0,"Listas de nome da cultura Intellitron vazias (aba Tabelas)","")))))))</f>
        <v/>
      </c>
      <c r="N12" s="2">
        <f>IF($N$11=1,IF('Tabelas'!$B$124&lt;=0,"",IFERROR(INDEX('Tabelas'!$X$127:$X$233,MATCH(IF('Tabelas'!$B$124&lt;=0,0,INT($AC$11*'Tabelas'!$B$124/2147483647)+1),'Tabelas'!$N$127:$N$233,0))&amp;"","")),IF($N$11=2,IF('Tabelas'!$C$124&lt;=0,"",IFERROR(INDEX('Tabelas'!$Y$127:$Y$233,MATCH(IF('Tabelas'!$C$124&lt;=0,0,INT($AC$11*'Tabelas'!$C$124/2147483647)+1),'Tabelas'!$O$127:$O$233,0))&amp;"","")),IF($N$11=3,IF('Tabelas'!$D$124&lt;=0,"",IFERROR(INDEX('Tabelas'!$Z$127:$Z$233,MATCH(IF('Tabelas'!$D$124&lt;=0,0,INT($AC$11*'Tabelas'!$D$124/2147483647)+1),'Tabelas'!$P$127:$P$233,0))&amp;"","")),IF($N$11=4,IF('Tabelas'!$E$124&lt;=0,"",IFERROR(INDEX('Tabelas'!$AA$127:$AA$233,MATCH(IF('Tabelas'!$E$124&lt;=0,0,INT($AC$11*'Tabelas'!$E$124/2147483647)+1),'Tabelas'!$Q$127:$Q$233,0))&amp;"","")),IF($N$11=5,IF('Tabelas'!$F$124&lt;=0,"",IFERROR(INDEX('Tabelas'!$AB$127:$AB$233,MATCH(IF('Tabelas'!$F$124&lt;=0,0,INT($AC$11*'Tabelas'!$F$124/2147483647)+1),'Tabelas'!$R$127:$R$233,0))&amp;"","")),IF($N$11=6,IF('Tabelas'!$G$124&lt;=0,"",IFERROR(INDEX('Tabelas'!$AC$127:$AC$233,MATCH(IF('Tabelas'!$G$124&lt;=0,0,INT($AC$11*'Tabelas'!$G$124/2147483647)+1),'Tabelas'!$S$127:$S$233,0))&amp;"","")),IF('Tabelas'!$H$124&lt;=0,"",IFERROR(INDEX('Tabelas'!$AD$127:$AD$233,MATCH(IF('Tabelas'!$H$124&lt;=0,0,INT($AC$11*'Tabelas'!$H$124/2147483647)+1),'Tabelas'!$T$127:$T$233,0))&amp;"",""))))))))</f>
        <v/>
      </c>
      <c r="AA12" s="2">
        <f>MOD(MOD(MOD((MOD('Início'!$E$16+104729*$B$8+5482927,2147483646)+1)*16807,2147483647)*16807,2147483647)*16807,2147483647)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E12" s="2">
        <f>$AE$11+IF(AND(LEN($N$15)&gt;0,INDEX('Tabelas'!$X$472:$X$578,3)&amp;""=$N$15,LEN(INDEX('Tabelas'!$Y$472:$Y$578,3)&amp;"")&gt;0),1,0)</f>
        <v/>
      </c>
      <c r="AG12" s="2">
        <f>$AV$48&amp;""</f>
        <v/>
      </c>
      <c r="AH12" s="2">
        <f>$AW$48&amp;""</f>
        <v/>
      </c>
      <c r="AI12" s="2">
        <f>$AY$48&amp;""</f>
        <v/>
      </c>
      <c r="AJ12" s="2">
        <f>$BC$48&amp;""</f>
        <v/>
      </c>
      <c r="AK12" s="2">
        <f>$AW$82&amp;""</f>
        <v/>
      </c>
      <c r="AL12" s="2">
        <f>$AW$150&amp;""</f>
        <v/>
      </c>
      <c r="AM12" s="2">
        <f>$AW$116&amp;""</f>
        <v/>
      </c>
      <c r="AN12" s="2">
        <f>$BA$116&amp;""</f>
        <v/>
      </c>
      <c r="AO12" s="2">
        <f>$AZ$150&amp;""</f>
        <v/>
      </c>
      <c r="AP12" s="2">
        <f>$BA$48&amp;""</f>
        <v/>
      </c>
      <c r="AT12" s="2">
        <f>'Tabelas'!$AE$359&amp;""</f>
        <v/>
      </c>
    </row>
    <row r="13" ht="26" customHeight="1">
      <c r="A13" s="21" t="inlineStr">
        <is>
          <t>Raça</t>
        </is>
      </c>
      <c r="B13" s="10">
        <f>$N$10</f>
        <v/>
      </c>
      <c r="I13" s="10">
        <f>IF(COUNTIF('Dados'!$A$350:$A$356,$AW$7)&gt;0,"Escolhida","Sorteada entre as 7 Raças de 05")</f>
        <v/>
      </c>
      <c r="K13" s="30" t="n"/>
      <c r="L13" s="30" t="n"/>
      <c r="N13" s="2">
        <f>IF($N$11=1,IF('Tabelas'!$B$239&lt;=0,"",IFERROR(INDEX('Tabelas'!$X$242:$X$348,MATCH(IF('Tabelas'!$B$239&lt;=0,0,INT($AC$12*'Tabelas'!$B$239/2147483647)+1),'Tabelas'!$N$242:$N$348,0))&amp;"","")),IF($N$11=2,IF('Tabelas'!$C$239&lt;=0,"",IFERROR(INDEX('Tabelas'!$Y$242:$Y$348,MATCH(IF('Tabelas'!$C$239&lt;=0,0,INT($AC$12*'Tabelas'!$C$239/2147483647)+1),'Tabelas'!$O$242:$O$348,0))&amp;"","")),IF($N$11=3,IF('Tabelas'!$D$239&lt;=0,"",IFERROR(INDEX('Tabelas'!$Z$242:$Z$348,MATCH(IF('Tabelas'!$D$239&lt;=0,0,INT($AC$12*'Tabelas'!$D$239/2147483647)+1),'Tabelas'!$P$242:$P$348,0))&amp;"","")),IF($N$11=4,IF('Tabelas'!$E$239&lt;=0,"",IFERROR(INDEX('Tabelas'!$AA$242:$AA$348,MATCH(IF('Tabelas'!$E$239&lt;=0,0,INT($AC$12*'Tabelas'!$E$239/2147483647)+1),'Tabelas'!$Q$242:$Q$348,0))&amp;"","")),IF($N$11=5,IF('Tabelas'!$F$239&lt;=0,"",IFERROR(INDEX('Tabelas'!$AB$242:$AB$348,MATCH(IF('Tabelas'!$F$239&lt;=0,0,INT($AC$12*'Tabelas'!$F$239/2147483647)+1),'Tabelas'!$R$242:$R$348,0))&amp;"","")),IF($N$11=6,IF('Tabelas'!$G$239&lt;=0,"",IFERROR(INDEX('Tabelas'!$AC$242:$AC$348,MATCH(IF('Tabelas'!$G$239&lt;=0,0,INT($AC$12*'Tabelas'!$G$239/2147483647)+1),'Tabelas'!$S$242:$S$348,0))&amp;"","")),IF('Tabelas'!$H$239&lt;=0,"",IFERROR(INDEX('Tabelas'!$AD$242:$AD$348,MATCH(IF('Tabelas'!$H$239&lt;=0,0,INT($AC$12*'Tabelas'!$H$239/2147483647)+1),'Tabelas'!$T$242:$T$348,0))&amp;"",""))))))))</f>
        <v/>
      </c>
      <c r="AA13" s="2">
        <f>MOD(MOD(MOD((MOD('Início'!$E$16+104729*$B$8+6782636,2147483646)+1)*16807,2147483647)*16807,2147483647)*16807,2147483647)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c r="AE13" s="2">
        <f>$AE$12+IF(AND(LEN($N$15)&gt;0,INDEX('Tabelas'!$X$472:$X$578,4)&amp;""=$N$15,LEN(INDEX('Tabelas'!$Y$472:$Y$578,4)&amp;"")&gt;0),1,0)</f>
        <v/>
      </c>
      <c r="AG13" s="2">
        <f>$AV$49&amp;""</f>
        <v/>
      </c>
      <c r="AH13" s="2">
        <f>$AW$49&amp;""</f>
        <v/>
      </c>
      <c r="AI13" s="2">
        <f>$AY$49&amp;""</f>
        <v/>
      </c>
      <c r="AJ13" s="2">
        <f>$BC$49&amp;""</f>
        <v/>
      </c>
      <c r="AK13" s="2">
        <f>$AW$83&amp;""</f>
        <v/>
      </c>
      <c r="AL13" s="2">
        <f>$AW$151&amp;""</f>
        <v/>
      </c>
      <c r="AM13" s="2">
        <f>$AW$117&amp;""</f>
        <v/>
      </c>
      <c r="AN13" s="2">
        <f>$BA$117&amp;""</f>
        <v/>
      </c>
      <c r="AO13" s="2">
        <f>$AZ$151&amp;""</f>
        <v/>
      </c>
      <c r="AP13" s="2">
        <f>$BA$49&amp;""</f>
        <v/>
      </c>
      <c r="AT13" s="2">
        <f>'Tabelas'!$AE$360&amp;""</f>
        <v/>
      </c>
    </row>
    <row r="14" ht="48" customHeight="1">
      <c r="A14" s="9" t="inlineStr">
        <is>
          <t>Caminho</t>
        </is>
      </c>
      <c r="B14" s="5">
        <f>$N$15</f>
        <v/>
      </c>
      <c r="I14" s="5">
        <f>IF(OR($AY$7="Nenhum",COUNTIF('Dados'!$A$360:$A$368,$AY$7)&gt;0),"Escolhido","Tabelas: Caminho do NPC (06.3; Nenhum ×3, 27.12) · Sugestão da planilha — não é regra do livro (H11)")</f>
        <v/>
      </c>
      <c r="N14" s="2">
        <f>IF(LEN($N$13)=0,$N$12,IF(LEN($N$12)=0,$N$13,IF(INDEX('Dados'!$B$388:$B$394,$N$11)=2,$N$13&amp;INDEX('Dados'!$C$388:$C$394,$N$11)&amp;$N$12,$N$12&amp;INDEX('Dados'!$C$388:$C$394,$N$11)&amp;$N$13)))</f>
        <v/>
      </c>
      <c r="AA14" s="2">
        <f>MOD(MOD(MOD((MOD('Início'!$E$16+104729*$B$8+8082345,2147483646)+1)*16807,2147483647)*16807,2147483647)*16807,2147483647)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c r="AE14" s="2">
        <f>$AE$13+IF(AND(LEN($N$15)&gt;0,INDEX('Tabelas'!$X$472:$X$578,5)&amp;""=$N$15,LEN(INDEX('Tabelas'!$Y$472:$Y$578,5)&amp;"")&gt;0),1,0)</f>
        <v/>
      </c>
      <c r="AG14" s="2">
        <f>$AV$50&amp;""</f>
        <v/>
      </c>
      <c r="AH14" s="2">
        <f>$AW$50&amp;""</f>
        <v/>
      </c>
      <c r="AI14" s="2">
        <f>$AY$50&amp;""</f>
        <v/>
      </c>
      <c r="AJ14" s="2">
        <f>$BC$50&amp;""</f>
        <v/>
      </c>
      <c r="AK14" s="2">
        <f>$AW$84&amp;""</f>
        <v/>
      </c>
      <c r="AL14" s="2">
        <f>$AW$152&amp;""</f>
        <v/>
      </c>
      <c r="AM14" s="2">
        <f>$AW$118&amp;""</f>
        <v/>
      </c>
      <c r="AN14" s="2">
        <f>$BA$118&amp;""</f>
        <v/>
      </c>
      <c r="AO14" s="2">
        <f>$AZ$152&amp;""</f>
        <v/>
      </c>
      <c r="AP14" s="2">
        <f>$BA$50&amp;""</f>
        <v/>
      </c>
      <c r="AT14" s="2">
        <f>'Tabelas'!$AE$361&amp;""</f>
        <v/>
      </c>
    </row>
    <row r="15" ht="26" customHeight="1">
      <c r="A15" s="21" t="inlineStr">
        <is>
          <t>Ocupação</t>
        </is>
      </c>
      <c r="B15" s="10">
        <f>$N$16</f>
        <v/>
      </c>
      <c r="I15" s="10">
        <f>"Tabelas: Ocupação (NPC)"</f>
        <v/>
      </c>
      <c r="K15" s="27">
        <f>IF('Tabelas'!$B$354&lt;=0,"Lista 'Ocupação (NPC)' está vazia (aba Tabelas)","")</f>
        <v/>
      </c>
      <c r="N15" s="2">
        <f>IF(OR($AY$7="Nenhum",COUNTIF('Dados'!$A$360:$A$368,$AY$7)&gt;0),$AY$7,IF('Tabelas'!$H$354&lt;=0,"",IFERROR(INDEX('Tabelas'!$AD$357:$AD$463,MATCH(IF('Tabelas'!$H$354&lt;=0,0,INT($AC$13*'Tabelas'!$H$354/2147483647)+1),'Tabelas'!$T$357:$T$463,0))&amp;"","")))</f>
        <v/>
      </c>
      <c r="AA15" s="2">
        <f>MOD(MOD(MOD((MOD('Início'!$E$16+104729*$B$8+9382054,2147483646)+1)*16807,2147483647)*16807,2147483647)*16807,2147483647)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c r="AE15" s="2">
        <f>$AE$14+IF(AND(LEN($N$15)&gt;0,INDEX('Tabelas'!$X$472:$X$578,6)&amp;""=$N$15,LEN(INDEX('Tabelas'!$Y$472:$Y$578,6)&amp;"")&gt;0),1,0)</f>
        <v/>
      </c>
      <c r="AG15" s="2">
        <f>$AV$51&amp;""</f>
        <v/>
      </c>
      <c r="AH15" s="2">
        <f>$AW$51&amp;""</f>
        <v/>
      </c>
      <c r="AI15" s="2">
        <f>$AY$51&amp;""</f>
        <v/>
      </c>
      <c r="AJ15" s="2">
        <f>$BC$51&amp;""</f>
        <v/>
      </c>
      <c r="AK15" s="2">
        <f>$AW$85&amp;""</f>
        <v/>
      </c>
      <c r="AL15" s="2">
        <f>$AW$153&amp;""</f>
        <v/>
      </c>
      <c r="AM15" s="2">
        <f>$AW$119&amp;""</f>
        <v/>
      </c>
      <c r="AN15" s="2">
        <f>$BA$119&amp;""</f>
        <v/>
      </c>
      <c r="AO15" s="2">
        <f>$AZ$153&amp;""</f>
        <v/>
      </c>
      <c r="AP15" s="2">
        <f>$BA$51&amp;""</f>
        <v/>
      </c>
      <c r="AT15" s="2">
        <f>'Tabelas'!$AE$362&amp;""</f>
        <v/>
      </c>
    </row>
    <row r="16" ht="26" customHeight="1">
      <c r="A16" s="9" t="inlineStr">
        <is>
          <t>Aparência</t>
        </is>
      </c>
      <c r="B16" s="5">
        <f>$N$20</f>
        <v/>
      </c>
      <c r="I16" s="12" t="inlineStr">
        <is>
          <t>Sugestão da planilha — não é regra do livro (H25): 2 traços</t>
        </is>
      </c>
      <c r="K16" s="19">
        <f>IF('Tabelas'!$C$354&lt;=0,"Lista 'Traço de aparência' está vazia (aba Tabelas)","")</f>
        <v/>
      </c>
      <c r="N16" s="2">
        <f>IF('Tabelas'!$B$354&lt;=0,"",IFERROR(INDEX('Tabelas'!$X$357:$X$463,MATCH(IF('Tabelas'!$B$354&lt;=0,0,INT($AC$14*'Tabelas'!$B$354/2147483647)+1),'Tabelas'!$N$357:$N$463,0))&amp;"",""))</f>
        <v/>
      </c>
      <c r="AA16" s="2">
        <f>MOD(MOD(MOD((MOD('Início'!$E$16+104729*$B$8+10681763,2147483646)+1)*16807,2147483647)*16807,2147483647)*16807,2147483647)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c r="AE16" s="2">
        <f>$AE$15+IF(AND(LEN($N$15)&gt;0,INDEX('Tabelas'!$X$472:$X$578,7)&amp;""=$N$15,LEN(INDEX('Tabelas'!$Y$472:$Y$578,7)&amp;"")&gt;0),1,0)</f>
        <v/>
      </c>
      <c r="AG16" s="2">
        <f>$AV$52&amp;""</f>
        <v/>
      </c>
      <c r="AH16" s="2">
        <f>$AW$52&amp;""</f>
        <v/>
      </c>
      <c r="AI16" s="2">
        <f>$AY$52&amp;""</f>
        <v/>
      </c>
      <c r="AJ16" s="2">
        <f>$BC$52&amp;""</f>
        <v/>
      </c>
      <c r="AK16" s="2">
        <f>$AW$86&amp;""</f>
        <v/>
      </c>
      <c r="AL16" s="2">
        <f>$AW$154&amp;""</f>
        <v/>
      </c>
      <c r="AM16" s="2">
        <f>$AW$120&amp;""</f>
        <v/>
      </c>
      <c r="AN16" s="2">
        <f>$BA$120&amp;""</f>
        <v/>
      </c>
      <c r="AO16" s="2">
        <f>$AZ$154&amp;""</f>
        <v/>
      </c>
      <c r="AP16" s="2">
        <f>$BA$52&amp;""</f>
        <v/>
      </c>
      <c r="AT16" s="2">
        <f>'Tabelas'!$AE$363&amp;""</f>
        <v/>
      </c>
    </row>
    <row r="17" ht="26" customHeight="1">
      <c r="A17" s="21" t="inlineStr">
        <is>
          <t>Personalidade</t>
        </is>
      </c>
      <c r="B17" s="10">
        <f>$N$21</f>
        <v/>
      </c>
      <c r="I17" s="10">
        <f>"Tabelas: Personalidade"</f>
        <v/>
      </c>
      <c r="K17" s="27">
        <f>IF('Tabelas'!$D$354&lt;=0,"Lista 'Personalidade' está vazia (aba Tabelas)","")</f>
        <v/>
      </c>
      <c r="N17" s="2">
        <f>IF('Tabelas'!$C$354&lt;=0,0,INT($AC$15*'Tabelas'!$C$354/2147483647)+1)</f>
        <v/>
      </c>
      <c r="AA17" s="2">
        <f>MOD(MOD(MOD((MOD('Início'!$E$16+104729*$B$8+11981472,2147483646)+1)*16807,2147483647)*16807,2147483647)*16807,2147483647)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c r="AE17" s="2">
        <f>$AE$16+IF(AND(LEN($N$15)&gt;0,INDEX('Tabelas'!$X$472:$X$578,8)&amp;""=$N$15,LEN(INDEX('Tabelas'!$Y$472:$Y$578,8)&amp;"")&gt;0),1,0)</f>
        <v/>
      </c>
      <c r="AG17" s="2">
        <f>$AV$53&amp;""</f>
        <v/>
      </c>
      <c r="AH17" s="2">
        <f>$AW$53&amp;""</f>
        <v/>
      </c>
      <c r="AI17" s="2">
        <f>$AY$53&amp;""</f>
        <v/>
      </c>
      <c r="AJ17" s="2">
        <f>$BC$53&amp;""</f>
        <v/>
      </c>
      <c r="AK17" s="2">
        <f>$AW$87&amp;""</f>
        <v/>
      </c>
      <c r="AL17" s="2">
        <f>$AW$155&amp;""</f>
        <v/>
      </c>
      <c r="AM17" s="2">
        <f>$AW$121&amp;""</f>
        <v/>
      </c>
      <c r="AN17" s="2">
        <f>$BA$121&amp;""</f>
        <v/>
      </c>
      <c r="AO17" s="2">
        <f>$AZ$155&amp;""</f>
        <v/>
      </c>
      <c r="AP17" s="2">
        <f>$BA$53&amp;""</f>
        <v/>
      </c>
      <c r="AT17" s="2">
        <f>'Tabelas'!$AE$364&amp;""</f>
        <v/>
      </c>
    </row>
    <row r="18" ht="26" customHeight="1">
      <c r="A18" s="9" t="inlineStr">
        <is>
          <t>Motivação</t>
        </is>
      </c>
      <c r="B18" s="5">
        <f>$N$23</f>
        <v/>
      </c>
      <c r="I18" s="5">
        <f>IF(OR($N$15="Nenhum",LEN($N$15)=0,$N$22=0),"Tabelas: Motivação (sem Caminho)","Tabelas: Motivação por Caminho (27.12)")</f>
        <v/>
      </c>
      <c r="K18" s="19">
        <f>IF(AND($N$22=0,'Tabelas'!$E$354&lt;=0),"Listas de motivação vazias (aba Tabelas)","")</f>
        <v/>
      </c>
      <c r="N18" s="2">
        <f>IF('Tabelas'!$C$354&lt;=0,"",IFERROR(INDEX('Tabelas'!$Y$357:$Y$463,MATCH($N$17,'Tabelas'!$O$357:$O$463,0))&amp;"",""))</f>
        <v/>
      </c>
      <c r="AA18" s="2">
        <f>MOD(MOD(MOD((MOD('Início'!$E$16+104729*$B$8+13281181,2147483646)+1)*16807,2147483647)*16807,2147483647)*16807,2147483647)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c r="AE18" s="2">
        <f>$AE$17+IF(AND(LEN($N$15)&gt;0,INDEX('Tabelas'!$X$472:$X$578,9)&amp;""=$N$15,LEN(INDEX('Tabelas'!$Y$472:$Y$578,9)&amp;"")&gt;0),1,0)</f>
        <v/>
      </c>
      <c r="AG18" s="2">
        <f>$AV$54&amp;""</f>
        <v/>
      </c>
      <c r="AH18" s="2">
        <f>$AW$54&amp;""</f>
        <v/>
      </c>
      <c r="AI18" s="2">
        <f>$AY$54&amp;""</f>
        <v/>
      </c>
      <c r="AJ18" s="2">
        <f>$BC$54&amp;""</f>
        <v/>
      </c>
      <c r="AK18" s="2">
        <f>$AW$88&amp;""</f>
        <v/>
      </c>
      <c r="AL18" s="2">
        <f>$AW$156&amp;""</f>
        <v/>
      </c>
      <c r="AM18" s="2">
        <f>$AW$122&amp;""</f>
        <v/>
      </c>
      <c r="AN18" s="2">
        <f>$BA$122&amp;""</f>
        <v/>
      </c>
      <c r="AO18" s="2">
        <f>$AZ$156&amp;""</f>
        <v/>
      </c>
      <c r="AP18" s="2">
        <f>$BA$54&amp;""</f>
        <v/>
      </c>
      <c r="AT18" s="2">
        <f>'Tabelas'!$AE$365&amp;""</f>
        <v/>
      </c>
    </row>
    <row r="19">
      <c r="A19" s="21" t="inlineStr">
        <is>
          <t>Segredo</t>
        </is>
      </c>
      <c r="B19" s="10">
        <f>$N$24</f>
        <v/>
      </c>
      <c r="I19" s="10">
        <f>"Tabelas: Segredo"</f>
        <v/>
      </c>
      <c r="K19" s="27">
        <f>IF('Tabelas'!$F$354&lt;=0,"Lista 'Segredo' está vazia (aba Tabelas)","")</f>
        <v/>
      </c>
      <c r="N19" s="2">
        <f>IF('Tabelas'!$C$354&lt;=0,"",IFERROR(INDEX('Tabelas'!$Y$357:$Y$463,MATCH(IF('Tabelas'!$C$354&lt;=1,$N$17,MOD($N$17-1+1+INT($AC$16*('Tabelas'!$C$354-1)/2147483647),'Tabelas'!$C$354)+1),'Tabelas'!$O$357:$O$463,0))&amp;"",""))</f>
        <v/>
      </c>
      <c r="AA19" s="2">
        <f>MOD(MOD(MOD((MOD('Início'!$E$16+104729*$B$8+14580890,2147483646)+1)*16807,2147483647)*16807,2147483647)*16807,2147483647)</f>
        <v/>
      </c>
      <c r="AB19" s="2">
        <f>MOD(MOD(MOD((MOD(MOD(INT($AA$19/65536)*$AA$19,2147483647)*65536+MOD($AA$19,65536)*$AA$19,2147483647))*16807,2147483647)*16807,2147483647)*16807,2147483647)</f>
        <v/>
      </c>
      <c r="AC19" s="2">
        <f>MOD(MOD(MOD((MOD($AB$19+INT($AB$19/65536)*MOD($AB$19,65536),2147483646)+1)*16807,2147483647)*16807,2147483647)*16807,2147483647)</f>
        <v/>
      </c>
      <c r="AE19" s="2">
        <f>$AE$18+IF(AND(LEN($N$15)&gt;0,INDEX('Tabelas'!$X$472:$X$578,10)&amp;""=$N$15,LEN(INDEX('Tabelas'!$Y$472:$Y$578,10)&amp;"")&gt;0),1,0)</f>
        <v/>
      </c>
      <c r="AG19" s="2">
        <f>$AV$55&amp;""</f>
        <v/>
      </c>
      <c r="AH19" s="2">
        <f>$AW$55&amp;""</f>
        <v/>
      </c>
      <c r="AI19" s="2">
        <f>$AY$55&amp;""</f>
        <v/>
      </c>
      <c r="AJ19" s="2">
        <f>$BC$55&amp;""</f>
        <v/>
      </c>
      <c r="AK19" s="2">
        <f>$AW$89&amp;""</f>
        <v/>
      </c>
      <c r="AL19" s="2">
        <f>$AW$157&amp;""</f>
        <v/>
      </c>
      <c r="AM19" s="2">
        <f>$AW$123&amp;""</f>
        <v/>
      </c>
      <c r="AN19" s="2">
        <f>$BA$123&amp;""</f>
        <v/>
      </c>
      <c r="AO19" s="2">
        <f>$AZ$157&amp;""</f>
        <v/>
      </c>
      <c r="AP19" s="2">
        <f>$BA$55&amp;""</f>
        <v/>
      </c>
      <c r="AT19" s="2">
        <f>'Tabelas'!$AE$366&amp;""</f>
        <v/>
      </c>
    </row>
    <row r="20" ht="26" customHeight="1">
      <c r="A20" s="9" t="inlineStr">
        <is>
          <t>Maneirismo e voz</t>
        </is>
      </c>
      <c r="B20" s="5">
        <f>$N$25</f>
        <v/>
      </c>
      <c r="I20" s="5">
        <f>"Tabelas: Maneirismo e voz"</f>
        <v/>
      </c>
      <c r="K20" s="19">
        <f>IF('Tabelas'!$G$354&lt;=0,"Lista 'Maneirismo e voz' está vazia (aba Tabelas)","")</f>
        <v/>
      </c>
      <c r="N20" s="2">
        <f>IF(LEN($N$18)=0,"",IF(OR($N$19=$N$18,LEN($N$19)=0),$N$18,$N$18&amp;"; "&amp;$N$19))</f>
        <v/>
      </c>
      <c r="AA20" s="2">
        <f>MOD(MOD(MOD((MOD('Início'!$E$16+104729*$B$8+15880599,2147483646)+1)*16807,2147483647)*16807,2147483647)*16807,2147483647)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c r="AE20" s="2">
        <f>$AE$19+IF(AND(LEN($N$15)&gt;0,INDEX('Tabelas'!$X$472:$X$578,11)&amp;""=$N$15,LEN(INDEX('Tabelas'!$Y$472:$Y$578,11)&amp;"")&gt;0),1,0)</f>
        <v/>
      </c>
      <c r="AG20" s="2">
        <f>$AV$57&amp;""</f>
        <v/>
      </c>
      <c r="AH20" s="2">
        <f>$AW$57&amp;""</f>
        <v/>
      </c>
      <c r="AI20" s="2">
        <f>$AY$57&amp;""</f>
        <v/>
      </c>
      <c r="AJ20" s="2">
        <f>$BC$57&amp;""</f>
        <v/>
      </c>
      <c r="AK20" s="2">
        <f>$AW$91&amp;""</f>
        <v/>
      </c>
      <c r="AL20" s="2">
        <f>$AW$159&amp;""</f>
        <v/>
      </c>
      <c r="AM20" s="2">
        <f>$AW$125&amp;""</f>
        <v/>
      </c>
      <c r="AN20" s="2">
        <f>$BA$125&amp;""</f>
        <v/>
      </c>
      <c r="AO20" s="2">
        <f>$AZ$159&amp;""</f>
        <v/>
      </c>
      <c r="AP20" s="2">
        <f>$BA$57&amp;""</f>
        <v/>
      </c>
      <c r="AT20" s="2">
        <f>'Tabelas'!$AE$367&amp;""</f>
        <v/>
      </c>
    </row>
    <row r="21" ht="37" customHeight="1">
      <c r="A21" s="21" t="inlineStr">
        <is>
          <t>Atitude com o grupo</t>
        </is>
      </c>
      <c r="B21" s="10">
        <f>$N$26</f>
        <v/>
      </c>
      <c r="I21" s="10">
        <f>"Tabelas: Atitude com o grupo · Sugestão da planilha — não é regra do livro (H11)"</f>
        <v/>
      </c>
      <c r="K21" s="27">
        <f>IF('Tabelas'!$I$354&lt;=0,"Lista 'Atitude com o grupo' está vazia (aba Tabelas)","")</f>
        <v/>
      </c>
      <c r="N21" s="2">
        <f>IF('Tabelas'!$D$354&lt;=0,"",IFERROR(INDEX('Tabelas'!$Z$357:$Z$463,MATCH(IF('Tabelas'!$D$354&lt;=0,0,INT($AC$17*'Tabelas'!$D$354/2147483647)+1),'Tabelas'!$P$357:$P$463,0))&amp;"",""))</f>
        <v/>
      </c>
      <c r="AA21" s="2">
        <f>MOD(MOD(MOD((MOD('Início'!$E$16+104729*$B$8+17180308,2147483646)+1)*16807,2147483647)*16807,2147483647)*16807,2147483647)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c r="AE21" s="2">
        <f>$AE$20+IF(AND(LEN($N$15)&gt;0,INDEX('Tabelas'!$X$472:$X$578,12)&amp;""=$N$15,LEN(INDEX('Tabelas'!$Y$472:$Y$578,12)&amp;"")&gt;0),1,0)</f>
        <v/>
      </c>
      <c r="AG21" s="2">
        <f>$AV$58&amp;""</f>
        <v/>
      </c>
      <c r="AH21" s="2">
        <f>$AW$58&amp;""</f>
        <v/>
      </c>
      <c r="AI21" s="2">
        <f>$AY$58&amp;""</f>
        <v/>
      </c>
      <c r="AJ21" s="2">
        <f>$BC$58&amp;""</f>
        <v/>
      </c>
      <c r="AK21" s="2">
        <f>$AW$92&amp;""</f>
        <v/>
      </c>
      <c r="AL21" s="2">
        <f>$AW$160&amp;""</f>
        <v/>
      </c>
      <c r="AM21" s="2">
        <f>$AW$126&amp;""</f>
        <v/>
      </c>
      <c r="AN21" s="2">
        <f>$BA$126&amp;""</f>
        <v/>
      </c>
      <c r="AO21" s="2">
        <f>$AZ$160&amp;""</f>
        <v/>
      </c>
      <c r="AP21" s="2">
        <f>$BA$58&amp;""</f>
        <v/>
      </c>
      <c r="AT21" s="2">
        <f>'Tabelas'!$AE$368&amp;""</f>
        <v/>
      </c>
    </row>
    <row r="22" ht="37" customHeight="1">
      <c r="A22" s="9" t="inlineStr">
        <is>
          <t>Gancho</t>
        </is>
      </c>
      <c r="B22" s="5">
        <f>$N$30</f>
        <v/>
      </c>
      <c r="I22" s="5">
        <f>IF($N$27=1,"27.18, faixa "&amp;'Campanha'!$B$19,"Tabelas: Gancho do NPC")&amp;" · Sugestão da planilha — não é regra do livro (H20)"</f>
        <v/>
      </c>
      <c r="K22" s="19">
        <f>IF(LEN($N$30)=0,"Listas de gancho vazias (aba Tabelas)","")</f>
        <v/>
      </c>
      <c r="N22" s="2">
        <f>$AE$116</f>
        <v/>
      </c>
      <c r="AA22" s="2">
        <f>MOD(MOD(MOD((MOD('Início'!$E$16+104729*$B$8+18480017,2147483646)+1)*16807,2147483647)*16807,2147483647)*16807,2147483647)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c r="AE22" s="2">
        <f>$AE$21+IF(AND(LEN($N$15)&gt;0,INDEX('Tabelas'!$X$472:$X$578,13)&amp;""=$N$15,LEN(INDEX('Tabelas'!$Y$472:$Y$578,13)&amp;"")&gt;0),1,0)</f>
        <v/>
      </c>
      <c r="AG22" s="2">
        <f>$AV$59&amp;""</f>
        <v/>
      </c>
      <c r="AH22" s="2">
        <f>$AW$59&amp;""</f>
        <v/>
      </c>
      <c r="AI22" s="2">
        <f>$AY$59&amp;""</f>
        <v/>
      </c>
      <c r="AJ22" s="2">
        <f>$BC$59&amp;""</f>
        <v/>
      </c>
      <c r="AK22" s="2">
        <f>$AW$93&amp;""</f>
        <v/>
      </c>
      <c r="AL22" s="2">
        <f>$AW$161&amp;""</f>
        <v/>
      </c>
      <c r="AM22" s="2">
        <f>$AW$127&amp;""</f>
        <v/>
      </c>
      <c r="AN22" s="2">
        <f>$BA$127&amp;""</f>
        <v/>
      </c>
      <c r="AO22" s="2">
        <f>$AZ$161&amp;""</f>
        <v/>
      </c>
      <c r="AP22" s="2">
        <f>$BA$59&amp;""</f>
        <v/>
      </c>
      <c r="AT22" s="2">
        <f>'Tabelas'!$AE$369&amp;""</f>
        <v/>
      </c>
    </row>
    <row r="23">
      <c r="A23" s="21" t="inlineStr">
        <is>
          <t>Papel na história</t>
        </is>
      </c>
      <c r="B23" s="10">
        <f>$N$31</f>
        <v/>
      </c>
      <c r="I23" s="10">
        <f>IF(COUNTIF('Dados'!$A$398:$A$404,$BA$7)&gt;0,"Escolhido","Sorteado entre os 7 papéis")</f>
        <v/>
      </c>
      <c r="K23" s="30" t="n"/>
      <c r="L23" s="30" t="n"/>
      <c r="N23" s="2">
        <f>IF(OR($N$15="Nenhum",LEN($N$15)=0,$N$22=0),IF('Tabelas'!$E$354&lt;=0,"",IFERROR(INDEX('Tabelas'!$AA$357:$AA$463,MATCH(IF('Tabelas'!$E$354&lt;=0,0,INT($AC$18*'Tabelas'!$E$354/2147483647)+1),'Tabelas'!$Q$357:$Q$463,0))&amp;"","")),IFERROR(INDEX('Tabelas'!$Y$472:$Y$578,MATCH(INT($AC$18*$N$22/2147483647)+1,$AE$10:$AE$116,0))&amp;"",""))</f>
        <v/>
      </c>
      <c r="AA23" s="2">
        <f>MOD(MOD(MOD((MOD('Início'!$E$16+104729*$B$8+19779726,2147483646)+1)*16807,2147483647)*16807,2147483647)*16807,2147483647)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c r="AE23" s="2">
        <f>$AE$22</f>
        <v/>
      </c>
      <c r="AG23" s="2">
        <f>$AV$60&amp;""</f>
        <v/>
      </c>
      <c r="AH23" s="2">
        <f>$AW$60&amp;""</f>
        <v/>
      </c>
      <c r="AI23" s="2">
        <f>$AY$60&amp;""</f>
        <v/>
      </c>
      <c r="AJ23" s="2">
        <f>$BC$60&amp;""</f>
        <v/>
      </c>
      <c r="AK23" s="2">
        <f>$AW$94&amp;""</f>
        <v/>
      </c>
      <c r="AL23" s="2">
        <f>$AW$162&amp;""</f>
        <v/>
      </c>
      <c r="AM23" s="2">
        <f>$AW$128&amp;""</f>
        <v/>
      </c>
      <c r="AN23" s="2">
        <f>$BA$128&amp;""</f>
        <v/>
      </c>
      <c r="AO23" s="2">
        <f>$AZ$162&amp;""</f>
        <v/>
      </c>
      <c r="AP23" s="2">
        <f>$BA$60&amp;""</f>
        <v/>
      </c>
      <c r="AT23" s="2">
        <f>'Tabelas'!$AE$371&amp;""</f>
        <v/>
      </c>
    </row>
    <row r="24">
      <c r="N24" s="2">
        <f>IF('Tabelas'!$F$354&lt;=0,"",IFERROR(INDEX('Tabelas'!$AB$357:$AB$463,MATCH(IF('Tabelas'!$F$354&lt;=0,0,INT($AC$19*'Tabelas'!$F$354/2147483647)+1),'Tabelas'!$R$357:$R$463,0))&amp;"",""))</f>
        <v/>
      </c>
      <c r="AA24" s="2">
        <f>MOD(MOD(MOD((MOD('Início'!$E$16+104729*$B$8+21079435,2147483646)+1)*16807,2147483647)*16807,2147483647)*16807,2147483647)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c r="AE24" s="2">
        <f>$AE$23+IF(AND(LEN($N$15)&gt;0,INDEX('Tabelas'!$X$472:$X$578,15)&amp;""=$N$15,LEN(INDEX('Tabelas'!$Y$472:$Y$578,15)&amp;"")&gt;0),1,0)</f>
        <v/>
      </c>
      <c r="AG24" s="2">
        <f>$AV$61&amp;""</f>
        <v/>
      </c>
      <c r="AH24" s="2">
        <f>$AW$61&amp;""</f>
        <v/>
      </c>
      <c r="AI24" s="2">
        <f>$AY$61&amp;""</f>
        <v/>
      </c>
      <c r="AJ24" s="2">
        <f>$BC$61&amp;""</f>
        <v/>
      </c>
      <c r="AK24" s="2">
        <f>$AW$95&amp;""</f>
        <v/>
      </c>
      <c r="AL24" s="2">
        <f>$AW$163&amp;""</f>
        <v/>
      </c>
      <c r="AM24" s="2">
        <f>$AW$129&amp;""</f>
        <v/>
      </c>
      <c r="AN24" s="2">
        <f>$BA$129&amp;""</f>
        <v/>
      </c>
      <c r="AO24" s="2">
        <f>$AZ$163&amp;""</f>
        <v/>
      </c>
      <c r="AP24" s="2">
        <f>$BA$61&amp;""</f>
        <v/>
      </c>
      <c r="AT24" s="2">
        <f>'Tabelas'!$AE$372&amp;""</f>
        <v/>
      </c>
    </row>
    <row r="25" ht="20" customHeight="1">
      <c r="A25" s="13" t="inlineStr">
        <is>
          <t>Bloco de combate (âncoras de 28.3; o mesmo número do Criador de Inimigos no modo Faixa do livro)</t>
        </is>
      </c>
      <c r="N25" s="2">
        <f>IF('Tabelas'!$G$354&lt;=0,"",IFERROR(INDEX('Tabelas'!$AC$357:$AC$463,MATCH(IF('Tabelas'!$G$354&lt;=0,0,INT($AC$20*'Tabelas'!$G$354/2147483647)+1),'Tabelas'!$S$357:$S$463,0))&amp;"",""))</f>
        <v/>
      </c>
      <c r="AE25" s="2">
        <f>$AE$24+IF(AND(LEN($N$15)&gt;0,INDEX('Tabelas'!$X$472:$X$578,16)&amp;""=$N$15,LEN(INDEX('Tabelas'!$Y$472:$Y$578,16)&amp;"")&gt;0),1,0)</f>
        <v/>
      </c>
      <c r="AG25" s="2">
        <f>$AV$62&amp;""</f>
        <v/>
      </c>
      <c r="AH25" s="2">
        <f>$AW$62&amp;""</f>
        <v/>
      </c>
      <c r="AI25" s="2">
        <f>$AY$62&amp;""</f>
        <v/>
      </c>
      <c r="AJ25" s="2">
        <f>$BC$62&amp;""</f>
        <v/>
      </c>
      <c r="AK25" s="2">
        <f>$AW$96&amp;""</f>
        <v/>
      </c>
      <c r="AL25" s="2">
        <f>$AW$164&amp;""</f>
        <v/>
      </c>
      <c r="AM25" s="2">
        <f>$AW$130&amp;""</f>
        <v/>
      </c>
      <c r="AN25" s="2">
        <f>$BA$130&amp;""</f>
        <v/>
      </c>
      <c r="AO25" s="2">
        <f>$AZ$164&amp;""</f>
        <v/>
      </c>
      <c r="AP25" s="2">
        <f>$BA$62&amp;""</f>
        <v/>
      </c>
      <c r="AT25" s="2">
        <f>'Tabelas'!$AE$373&amp;""</f>
        <v/>
      </c>
    </row>
    <row r="26" ht="26" customHeight="1">
      <c r="A26" s="8" t="inlineStr">
        <is>
          <t>Faixa · tipo</t>
        </is>
      </c>
      <c r="B26" s="8" t="inlineStr">
        <is>
          <t>PV</t>
        </is>
      </c>
      <c r="C26" s="8" t="inlineStr">
        <is>
          <t>Defesa</t>
        </is>
      </c>
      <c r="D26" s="8" t="inlineStr">
        <is>
          <t>RD</t>
        </is>
      </c>
      <c r="E26" s="8" t="inlineStr">
        <is>
          <t>Tenacidade</t>
        </is>
      </c>
      <c r="F26" s="8" t="inlineStr">
        <is>
          <t>VEL</t>
        </is>
      </c>
      <c r="G26" s="8" t="inlineStr">
        <is>
          <t>Ataque</t>
        </is>
      </c>
      <c r="H26" s="8" t="inlineStr">
        <is>
          <t>DT dos efeitos</t>
        </is>
      </c>
      <c r="I26" s="8" t="inlineStr">
        <is>
          <t>Teste de Resistência</t>
        </is>
      </c>
      <c r="J26" s="8" t="inlineStr">
        <is>
          <t>Nº de Fraquezas</t>
        </is>
      </c>
      <c r="K26" s="8" t="inlineStr">
        <is>
          <t>Aviso</t>
        </is>
      </c>
      <c r="L26" s="20" t="n"/>
      <c r="N26" s="2">
        <f>IF('Tabelas'!$I$354&lt;=0,"",IFERROR(INDEX('Tabelas'!$AE$357:$AE$463,MATCH(IF('Tabelas'!$I$354&lt;=0,0,INT($AC$21*'Tabelas'!$I$354/2147483647)+1),'Tabelas'!$U$357:$U$463,0))&amp;"",""))</f>
        <v/>
      </c>
      <c r="AE26" s="2">
        <f>$AE$25+IF(AND(LEN($N$15)&gt;0,INDEX('Tabelas'!$X$472:$X$578,17)&amp;""=$N$15,LEN(INDEX('Tabelas'!$Y$472:$Y$578,17)&amp;"")&gt;0),1,0)</f>
        <v/>
      </c>
      <c r="AG26" s="2">
        <f>$AV$63&amp;""</f>
        <v/>
      </c>
      <c r="AH26" s="2">
        <f>$AW$63&amp;""</f>
        <v/>
      </c>
      <c r="AI26" s="2">
        <f>$AY$63&amp;""</f>
        <v/>
      </c>
      <c r="AJ26" s="2">
        <f>$BC$63&amp;""</f>
        <v/>
      </c>
      <c r="AK26" s="2">
        <f>$AW$97&amp;""</f>
        <v/>
      </c>
      <c r="AL26" s="2">
        <f>$AW$165&amp;""</f>
        <v/>
      </c>
      <c r="AM26" s="2">
        <f>$AW$131&amp;""</f>
        <v/>
      </c>
      <c r="AN26" s="2">
        <f>$BA$131&amp;""</f>
        <v/>
      </c>
      <c r="AO26" s="2">
        <f>$AZ$165&amp;""</f>
        <v/>
      </c>
      <c r="AP26" s="2">
        <f>$BA$63&amp;""</f>
        <v/>
      </c>
      <c r="AT26" s="2">
        <f>'Tabelas'!$AE$374&amp;""</f>
        <v/>
      </c>
    </row>
    <row r="27">
      <c r="A27" s="31">
        <f>IF(LEN($N$35)=0,"Sem bloco",$N$33&amp;" · "&amp;$N$34)</f>
        <v/>
      </c>
      <c r="B27" s="18">
        <f>IF(LEN($N$35)=0,"",IFERROR(INDEX('Dados'!$D$38:$D$52,MATCH($N$35,'Dados'!$A$38:$A$52,0)),""))</f>
        <v/>
      </c>
      <c r="C27" s="18">
        <f>IF(LEN($N$35)=0,"",IFERROR(INDEX('Dados'!$E$38:$E$52,MATCH($N$35,'Dados'!$A$38:$A$52,0)),""))</f>
        <v/>
      </c>
      <c r="D27" s="18">
        <f>IF(LEN($N$35)=0,"",IFERROR(INDEX('Dados'!$F$38:$F$52,MATCH($N$35,'Dados'!$A$38:$A$52,0)),""))</f>
        <v/>
      </c>
      <c r="E27" s="18">
        <f>IF(LEN($N$35)=0,"",IFERROR(INDEX('Dados'!$G$38:$G$52,MATCH($N$35,'Dados'!$A$38:$A$52,0)),""))</f>
        <v/>
      </c>
      <c r="F27" s="18">
        <f>IF(LEN($N$35)=0,"",IFERROR(INDEX('Dados'!$H$38:$H$52,MATCH($N$35,'Dados'!$A$38:$A$52,0)),""))</f>
        <v/>
      </c>
      <c r="G27" s="18">
        <f>IF(LEN($N$35)=0,"","+"&amp;IFERROR(INDEX('Dados'!$I$38:$I$52,MATCH($N$35,'Dados'!$A$38:$A$52,0)),""))</f>
        <v/>
      </c>
      <c r="H27" s="18">
        <f>IF(LEN($N$35)=0,"",IFERROR(INDEX('Dados'!$L$38:$L$52,MATCH($N$35,'Dados'!$A$38:$A$52,0)),""))</f>
        <v/>
      </c>
      <c r="I27" s="18">
        <f>IF(LEN($N$35)=0,"","+"&amp;IFERROR(INDEX('Dados'!$M$38:$M$52,MATCH($N$35,'Dados'!$A$38:$A$52,0)),""))</f>
        <v/>
      </c>
      <c r="J27" s="18">
        <f>IF(LEN($N$35)=0,"",IFERROR(INDEX('Dados'!$N$38:$N$52,MATCH($N$35,'Dados'!$A$38:$A$52,0)),""))</f>
        <v/>
      </c>
      <c r="N27" s="2">
        <f>(1+INT($AC$23*((2)-(1)+1)/2147483647))</f>
        <v/>
      </c>
      <c r="AE27" s="2">
        <f>$AE$26+IF(AND(LEN($N$15)&gt;0,INDEX('Tabelas'!$X$472:$X$578,18)&amp;""=$N$15,LEN(INDEX('Tabelas'!$Y$472:$Y$578,18)&amp;"")&gt;0),1,0)</f>
        <v/>
      </c>
      <c r="AG27" s="2">
        <f>$AV$64&amp;""</f>
        <v/>
      </c>
      <c r="AH27" s="2">
        <f>$AW$64&amp;""</f>
        <v/>
      </c>
      <c r="AI27" s="2">
        <f>$AY$64&amp;""</f>
        <v/>
      </c>
      <c r="AJ27" s="2">
        <f>$BC$64&amp;""</f>
        <v/>
      </c>
      <c r="AK27" s="2">
        <f>$AW$98&amp;""</f>
        <v/>
      </c>
      <c r="AL27" s="2">
        <f>$AW$166&amp;""</f>
        <v/>
      </c>
      <c r="AM27" s="2">
        <f>$AW$132&amp;""</f>
        <v/>
      </c>
      <c r="AN27" s="2">
        <f>$BA$132&amp;""</f>
        <v/>
      </c>
      <c r="AO27" s="2">
        <f>$AZ$166&amp;""</f>
        <v/>
      </c>
      <c r="AP27" s="2">
        <f>$BA$64&amp;""</f>
        <v/>
      </c>
      <c r="AT27" s="2">
        <f>'Tabelas'!$AE$375&amp;""</f>
        <v/>
      </c>
    </row>
    <row r="28">
      <c r="A28" s="21" t="inlineStr">
        <is>
          <t>Dano por acerto</t>
        </is>
      </c>
      <c r="B28" s="10">
        <f>IF(LEN($N$35)=0,"",IFERROR(INDEX('Dados'!$J$38:$J$52,MATCH($N$35,'Dados'!$A$38:$A$52,0)),"")&amp;" · média "&amp;IFERROR(INDEX('Dados'!$K$38:$K$52,MATCH($N$35,'Dados'!$A$38:$A$52,0)),""))</f>
        <v/>
      </c>
      <c r="F28" s="47" t="inlineStr">
        <is>
          <t>Na Fila</t>
        </is>
      </c>
      <c r="G28" s="10">
        <f>IF(LEN($N$35)=0,"","VEL "&amp;IFERROR(INDEX('Dados'!$H$38:$H$52,MATCH($N$35,'Dados'!$A$38:$A$52,0)),"")&amp;", "&amp;IFERROR(INDEX('Dados'!$P$38:$P$52,MATCH($N$35,'Dados'!$A$38:$A$52,0)),""))</f>
        <v/>
      </c>
      <c r="K28" s="30" t="n"/>
      <c r="L28" s="30" t="n"/>
      <c r="N28" s="2">
        <f>IF('Campanha'!$B$18=1,IF('Tabelas'!$D$9&lt;=0,"",IFERROR(INDEX('Tabelas'!$Z$12:$Z$118,MATCH(IF('Tabelas'!$D$9&lt;=0,0,INT($AC$22*'Tabelas'!$D$9/2147483647)+1),'Tabelas'!$P$12:$P$118,0))&amp;"","")),IF('Campanha'!$B$18=2,IF('Tabelas'!$E$9&lt;=0,"",IFERROR(INDEX('Tabelas'!$AA$12:$AA$118,MATCH(IF('Tabelas'!$E$9&lt;=0,0,INT($AC$22*'Tabelas'!$E$9/2147483647)+1),'Tabelas'!$Q$12:$Q$118,0))&amp;"","")),IF('Campanha'!$B$18=3,IF('Tabelas'!$F$9&lt;=0,"",IFERROR(INDEX('Tabelas'!$AB$12:$AB$118,MATCH(IF('Tabelas'!$F$9&lt;=0,0,INT($AC$22*'Tabelas'!$F$9/2147483647)+1),'Tabelas'!$R$12:$R$118,0))&amp;"","")),IF('Campanha'!$B$18=4,IF('Tabelas'!$G$9&lt;=0,"",IFERROR(INDEX('Tabelas'!$AC$12:$AC$118,MATCH(IF('Tabelas'!$G$9&lt;=0,0,INT($AC$22*'Tabelas'!$G$9/2147483647)+1),'Tabelas'!$S$12:$S$118,0))&amp;"","")),IF('Tabelas'!$H$9&lt;=0,"",IFERROR(INDEX('Tabelas'!$AD$12:$AD$118,MATCH(IF('Tabelas'!$H$9&lt;=0,0,INT($AC$22*'Tabelas'!$H$9/2147483647)+1),'Tabelas'!$T$12:$T$118,0))&amp;"",""))))))</f>
        <v/>
      </c>
      <c r="AE28" s="2">
        <f>$AE$27+IF(AND(LEN($N$15)&gt;0,INDEX('Tabelas'!$X$472:$X$578,19)&amp;""=$N$15,LEN(INDEX('Tabelas'!$Y$472:$Y$578,19)&amp;"")&gt;0),1,0)</f>
        <v/>
      </c>
      <c r="AG28" s="2">
        <f>$AV$65&amp;""</f>
        <v/>
      </c>
      <c r="AH28" s="2">
        <f>$AW$65&amp;""</f>
        <v/>
      </c>
      <c r="AI28" s="2">
        <f>$AY$65&amp;""</f>
        <v/>
      </c>
      <c r="AJ28" s="2">
        <f>$BC$65&amp;""</f>
        <v/>
      </c>
      <c r="AK28" s="2">
        <f>$AW$99&amp;""</f>
        <v/>
      </c>
      <c r="AL28" s="2">
        <f>$AW$167&amp;""</f>
        <v/>
      </c>
      <c r="AM28" s="2">
        <f>$AW$133&amp;""</f>
        <v/>
      </c>
      <c r="AN28" s="2">
        <f>$BA$133&amp;""</f>
        <v/>
      </c>
      <c r="AO28" s="2">
        <f>$AZ$167&amp;""</f>
        <v/>
      </c>
      <c r="AP28" s="2">
        <f>$BA$65&amp;""</f>
        <v/>
      </c>
      <c r="AT28" s="2">
        <f>'Tabelas'!$AE$376&amp;""</f>
        <v/>
      </c>
    </row>
    <row r="29">
      <c r="A29" s="31">
        <f>IF(LEN($N$35)=0,"Escolha a faixa do bloco (ou Do grupo) para ver os números.","NPC aliado também usa as âncoras de 28.3 (sem Esquiva, PH, Energia nem Ultimate, 28.2); Execução: ser racional pode Executar (23.5).")</f>
        <v/>
      </c>
      <c r="N29" s="2">
        <f>IF('Tabelas'!$J$354&lt;=0,"",IFERROR(INDEX('Tabelas'!$AF$357:$AF$463,MATCH(IF('Tabelas'!$J$354&lt;=0,0,INT($AC$22*'Tabelas'!$J$354/2147483647)+1),'Tabelas'!$V$357:$V$463,0))&amp;"",""))</f>
        <v/>
      </c>
      <c r="AE29" s="2">
        <f>$AE$28+IF(AND(LEN($N$15)&gt;0,INDEX('Tabelas'!$X$472:$X$578,20)&amp;""=$N$15,LEN(INDEX('Tabelas'!$Y$472:$Y$578,20)&amp;"")&gt;0),1,0)</f>
        <v/>
      </c>
      <c r="AG29" s="2">
        <f>$AV$66&amp;""</f>
        <v/>
      </c>
      <c r="AH29" s="2">
        <f>$AW$66&amp;""</f>
        <v/>
      </c>
      <c r="AI29" s="2">
        <f>$AY$66&amp;""</f>
        <v/>
      </c>
      <c r="AJ29" s="2">
        <f>$BC$66&amp;""</f>
        <v/>
      </c>
      <c r="AK29" s="2">
        <f>$AW$100&amp;""</f>
        <v/>
      </c>
      <c r="AL29" s="2">
        <f>$AW$168&amp;""</f>
        <v/>
      </c>
      <c r="AM29" s="2">
        <f>$AW$134&amp;""</f>
        <v/>
      </c>
      <c r="AN29" s="2">
        <f>$BA$134&amp;""</f>
        <v/>
      </c>
      <c r="AO29" s="2">
        <f>$AZ$168&amp;""</f>
        <v/>
      </c>
      <c r="AP29" s="2">
        <f>$BA$66&amp;""</f>
        <v/>
      </c>
      <c r="AT29" s="2">
        <f>'Tabelas'!$AE$377&amp;""</f>
        <v/>
      </c>
    </row>
    <row r="30" ht="26" customHeight="1">
      <c r="A30" s="43">
        <f>IF(LEN($N$35)=0,"","Para levar ao combate: na aba Inimigos, crie uma linha com o nome "&amp;$N$14&amp;", tipo "&amp;$N$34&amp;" e faixa "&amp;$N$33&amp;" (modo Faixa do livro); ele entra nas listas de Encontros e Combate.")</f>
        <v/>
      </c>
      <c r="N30" s="2">
        <f>IF($N$27=1,IF(LEN($N$28)&gt;0,$N$28,$N$29),IF(LEN($N$29)&gt;0,$N$29,$N$28))</f>
        <v/>
      </c>
      <c r="AE30" s="2">
        <f>$AE$29+IF(AND(LEN($N$15)&gt;0,INDEX('Tabelas'!$X$472:$X$578,21)&amp;""=$N$15,LEN(INDEX('Tabelas'!$Y$472:$Y$578,21)&amp;"")&gt;0),1,0)</f>
        <v/>
      </c>
      <c r="AG30" s="2">
        <f>$AV$68&amp;""</f>
        <v/>
      </c>
      <c r="AH30" s="2">
        <f>$AW$68&amp;""</f>
        <v/>
      </c>
      <c r="AI30" s="2">
        <f>$AY$68&amp;""</f>
        <v/>
      </c>
      <c r="AJ30" s="2">
        <f>$BC$68&amp;""</f>
        <v/>
      </c>
      <c r="AK30" s="2">
        <f>$AW$102&amp;""</f>
        <v/>
      </c>
      <c r="AL30" s="2">
        <f>$AW$170&amp;""</f>
        <v/>
      </c>
      <c r="AM30" s="2">
        <f>$AW$136&amp;""</f>
        <v/>
      </c>
      <c r="AN30" s="2">
        <f>$BA$136&amp;""</f>
        <v/>
      </c>
      <c r="AO30" s="2">
        <f>$AZ$170&amp;""</f>
        <v/>
      </c>
      <c r="AP30" s="2">
        <f>$BA$68&amp;""</f>
        <v/>
      </c>
      <c r="AT30" s="2">
        <f>'Tabelas'!$AE$378&amp;""</f>
        <v/>
      </c>
    </row>
    <row r="31">
      <c r="N31" s="2">
        <f>IF(COUNTIF('Dados'!$A$398:$A$404,$BA$7)&gt;0,$BA$7,INDEX('Dados'!$A$398:$A$404,INT($AC$24*7/2147483647)+1))</f>
        <v/>
      </c>
      <c r="AE31" s="2">
        <f>$AE$30+IF(AND(LEN($N$15)&gt;0,INDEX('Tabelas'!$X$472:$X$578,22)&amp;""=$N$15,LEN(INDEX('Tabelas'!$Y$472:$Y$578,22)&amp;"")&gt;0),1,0)</f>
        <v/>
      </c>
      <c r="AG31" s="2">
        <f>$AV$69&amp;""</f>
        <v/>
      </c>
      <c r="AH31" s="2">
        <f>$AW$69&amp;""</f>
        <v/>
      </c>
      <c r="AI31" s="2">
        <f>$AY$69&amp;""</f>
        <v/>
      </c>
      <c r="AJ31" s="2">
        <f>$BC$69&amp;""</f>
        <v/>
      </c>
      <c r="AK31" s="2">
        <f>$AW$103&amp;""</f>
        <v/>
      </c>
      <c r="AL31" s="2">
        <f>$AW$171&amp;""</f>
        <v/>
      </c>
      <c r="AM31" s="2">
        <f>$AW$137&amp;""</f>
        <v/>
      </c>
      <c r="AN31" s="2">
        <f>$BA$137&amp;""</f>
        <v/>
      </c>
      <c r="AO31" s="2">
        <f>$AZ$171&amp;""</f>
        <v/>
      </c>
      <c r="AP31" s="2">
        <f>$BA$69&amp;""</f>
        <v/>
      </c>
      <c r="AT31" s="2">
        <f>'Tabelas'!$AE$379&amp;""</f>
        <v/>
      </c>
    </row>
    <row r="32" ht="20" customHeight="1">
      <c r="A32" s="13" t="inlineStr">
        <is>
          <t>Linha de saída: copie e cole como valores no Elenco (Colar especial → Somente valores)</t>
        </is>
      </c>
      <c r="AE32" s="2">
        <f>$AE$31+IF(AND(LEN($N$15)&gt;0,INDEX('Tabelas'!$X$472:$X$578,23)&amp;""=$N$15,LEN(INDEX('Tabelas'!$Y$472:$Y$578,23)&amp;"")&gt;0),1,0)</f>
        <v/>
      </c>
      <c r="AG32" s="2">
        <f>$AV$70&amp;""</f>
        <v/>
      </c>
      <c r="AH32" s="2">
        <f>$AW$70&amp;""</f>
        <v/>
      </c>
      <c r="AI32" s="2">
        <f>$AY$70&amp;""</f>
        <v/>
      </c>
      <c r="AJ32" s="2">
        <f>$BC$70&amp;""</f>
        <v/>
      </c>
      <c r="AK32" s="2">
        <f>$AW$104&amp;""</f>
        <v/>
      </c>
      <c r="AL32" s="2">
        <f>$AW$172&amp;""</f>
        <v/>
      </c>
      <c r="AM32" s="2">
        <f>$AW$138&amp;""</f>
        <v/>
      </c>
      <c r="AN32" s="2">
        <f>$BA$138&amp;""</f>
        <v/>
      </c>
      <c r="AO32" s="2">
        <f>$AZ$172&amp;""</f>
        <v/>
      </c>
      <c r="AP32" s="2">
        <f>$BA$70&amp;""</f>
        <v/>
      </c>
      <c r="AT32" s="2">
        <f>'Tabelas'!$AE$380&amp;""</f>
        <v/>
      </c>
    </row>
    <row r="33">
      <c r="A33" s="8" t="inlineStr">
        <is>
          <t>Nome completo</t>
        </is>
      </c>
      <c r="B33" s="8" t="inlineStr">
        <is>
          <t>Raça</t>
        </is>
      </c>
      <c r="C33" s="20" t="n"/>
      <c r="D33" s="8" t="inlineStr">
        <is>
          <t>Caminho</t>
        </is>
      </c>
      <c r="E33" s="20" t="n"/>
      <c r="F33" s="8" t="inlineStr">
        <is>
          <t>Papel</t>
        </is>
      </c>
      <c r="G33" s="20" t="n"/>
      <c r="H33" s="8" t="inlineStr">
        <is>
          <t>Ocupação</t>
        </is>
      </c>
      <c r="I33" s="20" t="n"/>
      <c r="J33" s="20" t="n"/>
      <c r="N33" s="2">
        <f>IF($BC$7="Do grupo",'Campanha'!$B$19,IFERROR(INDEX('Dados'!$B$7:$B$11,MATCH($BC$7,'Dados'!$AP$6:$AP$10,0)),""))</f>
        <v/>
      </c>
      <c r="AE33" s="2">
        <f>$AE$32+IF(AND(LEN($N$15)&gt;0,INDEX('Tabelas'!$X$472:$X$578,24)&amp;""=$N$15,LEN(INDEX('Tabelas'!$Y$472:$Y$578,24)&amp;"")&gt;0),1,0)</f>
        <v/>
      </c>
      <c r="AG33" s="2">
        <f>$AV$71&amp;""</f>
        <v/>
      </c>
      <c r="AH33" s="2">
        <f>$AW$71&amp;""</f>
        <v/>
      </c>
      <c r="AI33" s="2">
        <f>$AY$71&amp;""</f>
        <v/>
      </c>
      <c r="AJ33" s="2">
        <f>$BC$71&amp;""</f>
        <v/>
      </c>
      <c r="AK33" s="2">
        <f>$AW$105&amp;""</f>
        <v/>
      </c>
      <c r="AL33" s="2">
        <f>$AW$173&amp;""</f>
        <v/>
      </c>
      <c r="AM33" s="2">
        <f>$AW$139&amp;""</f>
        <v/>
      </c>
      <c r="AN33" s="2">
        <f>$BA$139&amp;""</f>
        <v/>
      </c>
      <c r="AO33" s="2">
        <f>$AZ$173&amp;""</f>
        <v/>
      </c>
      <c r="AP33" s="2">
        <f>$BA$71&amp;""</f>
        <v/>
      </c>
      <c r="AT33" s="2">
        <f>'Tabelas'!$AE$381&amp;""</f>
        <v/>
      </c>
    </row>
    <row r="34" ht="48" customHeight="1">
      <c r="A34" s="31">
        <f>$N$14</f>
        <v/>
      </c>
      <c r="B34" s="5">
        <f>$N$10</f>
        <v/>
      </c>
      <c r="D34" s="5">
        <f>$N$15</f>
        <v/>
      </c>
      <c r="F34" s="5">
        <f>$N$31</f>
        <v/>
      </c>
      <c r="H34" s="5">
        <f>$N$16</f>
        <v/>
      </c>
      <c r="N34" s="2">
        <f>IF($BE$7="Elite","Elite","Comum")</f>
        <v/>
      </c>
      <c r="AE34" s="2">
        <f>$AE$33+IF(AND(LEN($N$15)&gt;0,INDEX('Tabelas'!$X$472:$X$578,25)&amp;""=$N$15,LEN(INDEX('Tabelas'!$Y$472:$Y$578,25)&amp;"")&gt;0),1,0)</f>
        <v/>
      </c>
      <c r="AG34" s="2">
        <f>$AV$72&amp;""</f>
        <v/>
      </c>
      <c r="AH34" s="2">
        <f>$AW$72&amp;""</f>
        <v/>
      </c>
      <c r="AI34" s="2">
        <f>$AY$72&amp;""</f>
        <v/>
      </c>
      <c r="AJ34" s="2">
        <f>$BC$72&amp;""</f>
        <v/>
      </c>
      <c r="AK34" s="2">
        <f>$AW$106&amp;""</f>
        <v/>
      </c>
      <c r="AL34" s="2">
        <f>$AW$174&amp;""</f>
        <v/>
      </c>
      <c r="AM34" s="2">
        <f>$AW$140&amp;""</f>
        <v/>
      </c>
      <c r="AN34" s="2">
        <f>$BA$140&amp;""</f>
        <v/>
      </c>
      <c r="AO34" s="2">
        <f>$AZ$174&amp;""</f>
        <v/>
      </c>
      <c r="AP34" s="2">
        <f>$BA$72&amp;""</f>
        <v/>
      </c>
      <c r="AT34" s="2">
        <f>'Tabelas'!$AE$382&amp;""</f>
        <v/>
      </c>
    </row>
    <row r="35">
      <c r="A35" s="8" t="inlineStr">
        <is>
          <t>Parte 2</t>
        </is>
      </c>
      <c r="B35" s="8" t="inlineStr">
        <is>
          <t>Aparência</t>
        </is>
      </c>
      <c r="C35" s="20" t="n"/>
      <c r="D35" s="20" t="n"/>
      <c r="E35" s="20" t="n"/>
      <c r="F35" s="8" t="inlineStr">
        <is>
          <t>Personalidade</t>
        </is>
      </c>
      <c r="G35" s="20" t="n"/>
      <c r="H35" s="20" t="n"/>
      <c r="I35" s="20" t="n"/>
      <c r="J35" s="20" t="n"/>
      <c r="N35" s="2">
        <f>IF(LEN($N$33)=0,"",$N$33&amp;"|"&amp;$N$34)</f>
        <v/>
      </c>
      <c r="AE35" s="2">
        <f>$AE$34+IF(AND(LEN($N$15)&gt;0,INDEX('Tabelas'!$X$472:$X$578,26)&amp;""=$N$15,LEN(INDEX('Tabelas'!$Y$472:$Y$578,26)&amp;"")&gt;0),1,0)</f>
        <v/>
      </c>
      <c r="AG35" s="2">
        <f>$AV$73&amp;""</f>
        <v/>
      </c>
      <c r="AH35" s="2">
        <f>$AW$73&amp;""</f>
        <v/>
      </c>
      <c r="AI35" s="2">
        <f>$AY$73&amp;""</f>
        <v/>
      </c>
      <c r="AJ35" s="2">
        <f>$BC$73&amp;""</f>
        <v/>
      </c>
      <c r="AK35" s="2">
        <f>$AW$107&amp;""</f>
        <v/>
      </c>
      <c r="AL35" s="2">
        <f>$AW$175&amp;""</f>
        <v/>
      </c>
      <c r="AM35" s="2">
        <f>$AW$141&amp;""</f>
        <v/>
      </c>
      <c r="AN35" s="2">
        <f>$BA$141&amp;""</f>
        <v/>
      </c>
      <c r="AO35" s="2">
        <f>$AZ$175&amp;""</f>
        <v/>
      </c>
      <c r="AP35" s="2">
        <f>$BA$73&amp;""</f>
        <v/>
      </c>
      <c r="AT35" s="2">
        <f>'Tabelas'!$AE$383&amp;""</f>
        <v/>
      </c>
    </row>
    <row r="36" ht="26" customHeight="1">
      <c r="A36" s="31">
        <f>"Parte 2 de 4"</f>
        <v/>
      </c>
      <c r="B36" s="5">
        <f>$N$20</f>
        <v/>
      </c>
      <c r="F36" s="5">
        <f>$N$21</f>
        <v/>
      </c>
      <c r="AE36" s="2">
        <f>$AE$35+IF(AND(LEN($N$15)&gt;0,INDEX('Tabelas'!$X$472:$X$578,27)&amp;""=$N$15,LEN(INDEX('Tabelas'!$Y$472:$Y$578,27)&amp;"")&gt;0),1,0)</f>
        <v/>
      </c>
      <c r="AG36" s="2">
        <f>$AV$74&amp;""</f>
        <v/>
      </c>
      <c r="AH36" s="2">
        <f>$AW$74&amp;""</f>
        <v/>
      </c>
      <c r="AI36" s="2">
        <f>$AY$74&amp;""</f>
        <v/>
      </c>
      <c r="AJ36" s="2">
        <f>$BC$74&amp;""</f>
        <v/>
      </c>
      <c r="AK36" s="2">
        <f>$AW$108&amp;""</f>
        <v/>
      </c>
      <c r="AL36" s="2">
        <f>$AW$176&amp;""</f>
        <v/>
      </c>
      <c r="AM36" s="2">
        <f>$AW$142&amp;""</f>
        <v/>
      </c>
      <c r="AN36" s="2">
        <f>$BA$142&amp;""</f>
        <v/>
      </c>
      <c r="AO36" s="2">
        <f>$AZ$176&amp;""</f>
        <v/>
      </c>
      <c r="AP36" s="2">
        <f>$BA$74&amp;""</f>
        <v/>
      </c>
      <c r="AT36" s="2">
        <f>'Tabelas'!$AE$385&amp;""</f>
        <v/>
      </c>
    </row>
    <row r="37">
      <c r="A37" s="8" t="inlineStr">
        <is>
          <t>Parte 3</t>
        </is>
      </c>
      <c r="B37" s="8" t="inlineStr">
        <is>
          <t>Motivação</t>
        </is>
      </c>
      <c r="C37" s="20" t="n"/>
      <c r="D37" s="20" t="n"/>
      <c r="E37" s="20" t="n"/>
      <c r="F37" s="8" t="inlineStr">
        <is>
          <t>Segredo</t>
        </is>
      </c>
      <c r="G37" s="20" t="n"/>
      <c r="H37" s="20" t="n"/>
      <c r="I37" s="20" t="n"/>
      <c r="J37" s="20" t="n"/>
      <c r="AE37" s="2">
        <f>$AE$36</f>
        <v/>
      </c>
      <c r="AG37" s="2">
        <f>$AV$75&amp;""</f>
        <v/>
      </c>
      <c r="AH37" s="2">
        <f>$AW$75&amp;""</f>
        <v/>
      </c>
      <c r="AI37" s="2">
        <f>$AY$75&amp;""</f>
        <v/>
      </c>
      <c r="AJ37" s="2">
        <f>$BC$75&amp;""</f>
        <v/>
      </c>
      <c r="AK37" s="2">
        <f>$AW$109&amp;""</f>
        <v/>
      </c>
      <c r="AL37" s="2">
        <f>$AW$177&amp;""</f>
        <v/>
      </c>
      <c r="AM37" s="2">
        <f>$AW$143&amp;""</f>
        <v/>
      </c>
      <c r="AN37" s="2">
        <f>$BA$143&amp;""</f>
        <v/>
      </c>
      <c r="AO37" s="2">
        <f>$AZ$177&amp;""</f>
        <v/>
      </c>
      <c r="AP37" s="2">
        <f>$BA$75&amp;""</f>
        <v/>
      </c>
      <c r="AT37" s="2">
        <f>'Tabelas'!$AE$386&amp;""</f>
        <v/>
      </c>
    </row>
    <row r="38">
      <c r="A38" s="31">
        <f>"Parte 3 de 4"</f>
        <v/>
      </c>
      <c r="B38" s="5">
        <f>$N$23</f>
        <v/>
      </c>
      <c r="F38" s="5">
        <f>$N$24</f>
        <v/>
      </c>
      <c r="AE38" s="2">
        <f>$AE$37+IF(AND(LEN($N$15)&gt;0,INDEX('Tabelas'!$X$472:$X$578,29)&amp;""=$N$15,LEN(INDEX('Tabelas'!$Y$472:$Y$578,29)&amp;"")&gt;0),1,0)</f>
        <v/>
      </c>
      <c r="AG38" s="2">
        <f>$AV$76&amp;""</f>
        <v/>
      </c>
      <c r="AH38" s="2">
        <f>$AW$76&amp;""</f>
        <v/>
      </c>
      <c r="AI38" s="2">
        <f>$AY$76&amp;""</f>
        <v/>
      </c>
      <c r="AJ38" s="2">
        <f>$BC$76&amp;""</f>
        <v/>
      </c>
      <c r="AK38" s="2">
        <f>$AW$110&amp;""</f>
        <v/>
      </c>
      <c r="AL38" s="2">
        <f>$AW$178&amp;""</f>
        <v/>
      </c>
      <c r="AM38" s="2">
        <f>$AW$144&amp;""</f>
        <v/>
      </c>
      <c r="AN38" s="2">
        <f>$BA$144&amp;""</f>
        <v/>
      </c>
      <c r="AO38" s="2">
        <f>$AZ$178&amp;""</f>
        <v/>
      </c>
      <c r="AP38" s="2">
        <f>$BA$76&amp;""</f>
        <v/>
      </c>
      <c r="AT38" s="2">
        <f>'Tabelas'!$AE$387&amp;""</f>
        <v/>
      </c>
    </row>
    <row r="39">
      <c r="A39" s="8" t="inlineStr">
        <is>
          <t>Parte 4</t>
        </is>
      </c>
      <c r="B39" s="8" t="inlineStr">
        <is>
          <t>Maneirismo e voz</t>
        </is>
      </c>
      <c r="C39" s="20" t="n"/>
      <c r="D39" s="20" t="n"/>
      <c r="E39" s="8" t="inlineStr">
        <is>
          <t>Atitude</t>
        </is>
      </c>
      <c r="F39" s="20" t="n"/>
      <c r="G39" s="8" t="inlineStr">
        <is>
          <t>Gancho</t>
        </is>
      </c>
      <c r="H39" s="20" t="n"/>
      <c r="I39" s="20" t="n"/>
      <c r="J39" s="20" t="n"/>
      <c r="AE39" s="2">
        <f>$AE$38+IF(AND(LEN($N$15)&gt;0,INDEX('Tabelas'!$X$472:$X$578,30)&amp;""=$N$15,LEN(INDEX('Tabelas'!$Y$472:$Y$578,30)&amp;"")&gt;0),1,0)</f>
        <v/>
      </c>
      <c r="AG39" s="2">
        <f>$AV$77&amp;""</f>
        <v/>
      </c>
      <c r="AH39" s="2">
        <f>$AW$77&amp;""</f>
        <v/>
      </c>
      <c r="AI39" s="2">
        <f>$AY$77&amp;""</f>
        <v/>
      </c>
      <c r="AJ39" s="2">
        <f>$BC$77&amp;""</f>
        <v/>
      </c>
      <c r="AK39" s="2">
        <f>$AW$111&amp;""</f>
        <v/>
      </c>
      <c r="AL39" s="2">
        <f>$AW$179&amp;""</f>
        <v/>
      </c>
      <c r="AM39" s="2">
        <f>$AW$145&amp;""</f>
        <v/>
      </c>
      <c r="AN39" s="2">
        <f>$BA$145&amp;""</f>
        <v/>
      </c>
      <c r="AO39" s="2">
        <f>$AZ$179&amp;""</f>
        <v/>
      </c>
      <c r="AP39" s="2">
        <f>$BA$77&amp;""</f>
        <v/>
      </c>
      <c r="AT39" s="2">
        <f>'Tabelas'!$AE$388&amp;""</f>
        <v/>
      </c>
    </row>
    <row r="40" ht="26" customHeight="1">
      <c r="A40" s="31">
        <f>"Parte 4 de 4"</f>
        <v/>
      </c>
      <c r="B40" s="5">
        <f>$N$25</f>
        <v/>
      </c>
      <c r="E40" s="5">
        <f>$N$26</f>
        <v/>
      </c>
      <c r="G40" s="5">
        <f>$N$30</f>
        <v/>
      </c>
      <c r="AE40" s="2">
        <f>$AE$39+IF(AND(LEN($N$15)&gt;0,INDEX('Tabelas'!$X$472:$X$578,31)&amp;""=$N$15,LEN(INDEX('Tabelas'!$Y$472:$Y$578,31)&amp;"")&gt;0),1,0)</f>
        <v/>
      </c>
      <c r="AT40" s="2">
        <f>'Tabelas'!$AE$389&amp;""</f>
        <v/>
      </c>
    </row>
    <row r="41">
      <c r="A41" s="32" t="inlineStr">
        <is>
          <t>Parte 1: copie A:J e cole em A:J da linha do Elenco E1. Partes 2 a 4: B:J em E2, E3 e E4 (a mesma ordem de colunas, D6). Depois, preencha a relação e o registro (E5).</t>
        </is>
      </c>
      <c r="AE41" s="2">
        <f>$AE$40+IF(AND(LEN($N$15)&gt;0,INDEX('Tabelas'!$X$472:$X$578,32)&amp;""=$N$15,LEN(INDEX('Tabelas'!$Y$472:$Y$578,32)&amp;"")&gt;0),1,0)</f>
        <v/>
      </c>
      <c r="AT41" s="2">
        <f>'Tabelas'!$AE$390&amp;""</f>
        <v/>
      </c>
    </row>
    <row r="42">
      <c r="AE42" s="2">
        <f>$AE$41+IF(AND(LEN($N$15)&gt;0,INDEX('Tabelas'!$X$472:$X$578,33)&amp;""=$N$15,LEN(INDEX('Tabelas'!$Y$472:$Y$578,33)&amp;"")&gt;0),1,0)</f>
        <v/>
      </c>
      <c r="AT42" s="2">
        <f>'Tabelas'!$AE$391&amp;""</f>
        <v/>
      </c>
    </row>
    <row r="43" ht="20" customHeight="1">
      <c r="A43" s="13" t="inlineStr">
        <is>
          <t>Elenco da campanha (30 NPCs; preencha ou cole a linha de saída)</t>
        </is>
      </c>
      <c r="AE43" s="2">
        <f>$AE$42+IF(AND(LEN($N$15)&gt;0,INDEX('Tabelas'!$X$472:$X$578,34)&amp;""=$N$15,LEN(INDEX('Tabelas'!$Y$472:$Y$578,34)&amp;"")&gt;0),1,0)</f>
        <v/>
      </c>
      <c r="AT43" s="2">
        <f>'Tabelas'!$AE$392&amp;""</f>
        <v/>
      </c>
    </row>
    <row r="44" ht="20" customHeight="1">
      <c r="A44" s="13" t="inlineStr">
        <is>
          <t>E1 · Quem é</t>
        </is>
      </c>
      <c r="AE44" s="2">
        <f>$AE$43+IF(AND(LEN($N$15)&gt;0,INDEX('Tabelas'!$X$472:$X$578,35)&amp;""=$N$15,LEN(INDEX('Tabelas'!$Y$472:$Y$578,35)&amp;"")&gt;0),1,0)</f>
        <v/>
      </c>
      <c r="AT44" s="2">
        <f>'Tabelas'!$AE$393&amp;""</f>
        <v/>
      </c>
    </row>
    <row r="45">
      <c r="A45" s="8" t="inlineStr">
        <is>
          <t>Nome completo</t>
        </is>
      </c>
      <c r="B45" s="8" t="inlineStr">
        <is>
          <t>Raça</t>
        </is>
      </c>
      <c r="C45" s="20" t="n"/>
      <c r="D45" s="8" t="inlineStr">
        <is>
          <t>Caminho</t>
        </is>
      </c>
      <c r="E45" s="20" t="n"/>
      <c r="F45" s="8" t="inlineStr">
        <is>
          <t>Papel</t>
        </is>
      </c>
      <c r="G45" s="20" t="n"/>
      <c r="H45" s="8" t="inlineStr">
        <is>
          <t>Ocupação</t>
        </is>
      </c>
      <c r="I45" s="20" t="n"/>
      <c r="J45" s="20" t="n"/>
      <c r="K45" s="8" t="inlineStr">
        <is>
          <t>Aviso</t>
        </is>
      </c>
      <c r="L45" s="20" t="n"/>
      <c r="AE45" s="2">
        <f>$AE$44+IF(AND(LEN($N$15)&gt;0,INDEX('Tabelas'!$X$472:$X$578,36)&amp;""=$N$15,LEN(INDEX('Tabelas'!$Y$472:$Y$578,36)&amp;"")&gt;0),1,0)</f>
        <v/>
      </c>
      <c r="AT45" s="2">
        <f>'Tabelas'!$AE$394&amp;""</f>
        <v/>
      </c>
    </row>
    <row r="46" ht="48" customHeight="1">
      <c r="A46" s="33" t="n"/>
      <c r="B46" s="4" t="n"/>
      <c r="C46" s="17" t="n"/>
      <c r="D46" s="4" t="n"/>
      <c r="E46" s="17" t="n"/>
      <c r="F46" s="4" t="n"/>
      <c r="G46" s="17" t="n"/>
      <c r="H46" s="4" t="n"/>
      <c r="I46" s="25" t="n"/>
      <c r="J46" s="17" t="n"/>
      <c r="K46" s="19">
        <f>IF(BF46&gt;0,"O Google leu como fórmula: escolha de novo ou digite com ' na frente.",IF(LEN($AV$46)=0,"",IF(COUNTIF($AG$10:$AG$39,$AV$46)&gt;1,"Nome repetido no elenco",IF(COUNTIF('Dados'!$B$92:$B$123,$AV$46)&gt;0,"Nome igual a uma criatura do Bestiário",""))))</f>
        <v/>
      </c>
      <c r="AE46" s="2">
        <f>$AE$45+IF(AND(LEN($N$15)&gt;0,INDEX('Tabelas'!$X$472:$X$578,37)&amp;""=$N$15,LEN(INDEX('Tabelas'!$Y$472:$Y$578,37)&amp;"")&gt;0),1,0)</f>
        <v/>
      </c>
      <c r="AT46" s="2">
        <f>'Tabelas'!$AE$395&amp;""</f>
        <v/>
      </c>
      <c r="AV46" s="2">
        <f>IF(ISERROR($A$46),"",IF(ISBLANK($A$46),"",$A$46))</f>
        <v/>
      </c>
      <c r="AW46" s="2">
        <f>IF(ISERROR($B$46),"",IF(ISBLANK($B$46),"",$B$46))</f>
        <v/>
      </c>
      <c r="AY46" s="2">
        <f>IF(ISERROR($D$46),"",IF(ISBLANK($D$46),"",$D$46))</f>
        <v/>
      </c>
      <c r="BA46" s="2">
        <f>IF(ISERROR($F$46),"",IF(ISBLANK($F$46),"",$F$46))</f>
        <v/>
      </c>
      <c r="BC46" s="2">
        <f>IF(ISERROR($H$46),"",IF(ISBLANK($H$46),"",$H$46))</f>
        <v/>
      </c>
      <c r="BF46" s="2">
        <f>ISERROR($A$46)*1+ISERROR($B$46)*1+ISERROR($D$46)*1+ISERROR($F$46)*1+ISERROR($H$46)*1</f>
        <v/>
      </c>
    </row>
    <row r="47" ht="60" customHeight="1">
      <c r="A47" s="35" t="n"/>
      <c r="B47" s="29" t="n"/>
      <c r="C47" s="17" t="n"/>
      <c r="D47" s="29" t="n"/>
      <c r="E47" s="17" t="n"/>
      <c r="F47" s="29" t="n"/>
      <c r="G47" s="17" t="n"/>
      <c r="H47" s="29" t="n"/>
      <c r="I47" s="25" t="n"/>
      <c r="J47" s="17" t="n"/>
      <c r="K47" s="27">
        <f>IF(BF47&gt;0,"O Google leu como fórmula: escolha de novo ou digite com ' na frente.",IF(LEN($AV$47)=0,"",IF(COUNTIF($AG$10:$AG$39,$AV$47)&gt;1,"Nome repetido no elenco",IF(COUNTIF('Dados'!$B$92:$B$123,$AV$47)&gt;0,"Nome igual a uma criatura do Bestiário",""))))</f>
        <v/>
      </c>
      <c r="AE47" s="2">
        <f>$AE$46+IF(AND(LEN($N$15)&gt;0,INDEX('Tabelas'!$X$472:$X$578,38)&amp;""=$N$15,LEN(INDEX('Tabelas'!$Y$472:$Y$578,38)&amp;"")&gt;0),1,0)</f>
        <v/>
      </c>
      <c r="AT47" s="2">
        <f>'Tabelas'!$AE$396&amp;""</f>
        <v/>
      </c>
      <c r="AV47" s="2">
        <f>IF(ISERROR($A$47),"",IF(ISBLANK($A$47),"",$A$47))</f>
        <v/>
      </c>
      <c r="AW47" s="2">
        <f>IF(ISERROR($B$47),"",IF(ISBLANK($B$47),"",$B$47))</f>
        <v/>
      </c>
      <c r="AY47" s="2">
        <f>IF(ISERROR($D$47),"",IF(ISBLANK($D$47),"",$D$47))</f>
        <v/>
      </c>
      <c r="BA47" s="2">
        <f>IF(ISERROR($F$47),"",IF(ISBLANK($F$47),"",$F$47))</f>
        <v/>
      </c>
      <c r="BC47" s="2">
        <f>IF(ISERROR($H$47),"",IF(ISBLANK($H$47),"",$H$47))</f>
        <v/>
      </c>
      <c r="BF47" s="2">
        <f>ISERROR($A$47)*1+ISERROR($B$47)*1+ISERROR($D$47)*1+ISERROR($F$47)*1+ISERROR($H$47)*1</f>
        <v/>
      </c>
    </row>
    <row r="48" ht="60" customHeight="1">
      <c r="A48" s="33" t="n"/>
      <c r="B48" s="4" t="n"/>
      <c r="C48" s="17" t="n"/>
      <c r="D48" s="4" t="n"/>
      <c r="E48" s="17" t="n"/>
      <c r="F48" s="4" t="n"/>
      <c r="G48" s="17" t="n"/>
      <c r="H48" s="4" t="n"/>
      <c r="I48" s="25" t="n"/>
      <c r="J48" s="17" t="n"/>
      <c r="K48" s="19">
        <f>IF(BF48&gt;0,"O Google leu como fórmula: escolha de novo ou digite com ' na frente.",IF(LEN($AV$48)=0,"",IF(COUNTIF($AG$10:$AG$39,$AV$48)&gt;1,"Nome repetido no elenco",IF(COUNTIF('Dados'!$B$92:$B$123,$AV$48)&gt;0,"Nome igual a uma criatura do Bestiário",""))))</f>
        <v/>
      </c>
      <c r="AE48" s="2">
        <f>$AE$47+IF(AND(LEN($N$15)&gt;0,INDEX('Tabelas'!$X$472:$X$578,39)&amp;""=$N$15,LEN(INDEX('Tabelas'!$Y$472:$Y$578,39)&amp;"")&gt;0),1,0)</f>
        <v/>
      </c>
      <c r="AT48" s="2">
        <f>'Tabelas'!$AE$397&amp;""</f>
        <v/>
      </c>
      <c r="AV48" s="2">
        <f>IF(ISERROR($A$48),"",IF(ISBLANK($A$48),"",$A$48))</f>
        <v/>
      </c>
      <c r="AW48" s="2">
        <f>IF(ISERROR($B$48),"",IF(ISBLANK($B$48),"",$B$48))</f>
        <v/>
      </c>
      <c r="AY48" s="2">
        <f>IF(ISERROR($D$48),"",IF(ISBLANK($D$48),"",$D$48))</f>
        <v/>
      </c>
      <c r="BA48" s="2">
        <f>IF(ISERROR($F$48),"",IF(ISBLANK($F$48),"",$F$48))</f>
        <v/>
      </c>
      <c r="BC48" s="2">
        <f>IF(ISERROR($H$48),"",IF(ISBLANK($H$48),"",$H$48))</f>
        <v/>
      </c>
      <c r="BF48" s="2">
        <f>ISERROR($A$48)*1+ISERROR($B$48)*1+ISERROR($D$48)*1+ISERROR($F$48)*1+ISERROR($H$48)*1</f>
        <v/>
      </c>
    </row>
    <row r="49" ht="60" customHeight="1">
      <c r="A49" s="35" t="n"/>
      <c r="B49" s="29" t="n"/>
      <c r="C49" s="17" t="n"/>
      <c r="D49" s="29" t="n"/>
      <c r="E49" s="17" t="n"/>
      <c r="F49" s="29" t="n"/>
      <c r="G49" s="17" t="n"/>
      <c r="H49" s="29" t="n"/>
      <c r="I49" s="25" t="n"/>
      <c r="J49" s="17" t="n"/>
      <c r="K49" s="27">
        <f>IF(BF49&gt;0,"O Google leu como fórmula: escolha de novo ou digite com ' na frente.",IF(LEN($AV$49)=0,"",IF(COUNTIF($AG$10:$AG$39,$AV$49)&gt;1,"Nome repetido no elenco",IF(COUNTIF('Dados'!$B$92:$B$123,$AV$49)&gt;0,"Nome igual a uma criatura do Bestiário",""))))</f>
        <v/>
      </c>
      <c r="AE49" s="2">
        <f>$AE$48+IF(AND(LEN($N$15)&gt;0,INDEX('Tabelas'!$X$472:$X$578,40)&amp;""=$N$15,LEN(INDEX('Tabelas'!$Y$472:$Y$578,40)&amp;"")&gt;0),1,0)</f>
        <v/>
      </c>
      <c r="AT49" s="2">
        <f>'Tabelas'!$AE$399&amp;""</f>
        <v/>
      </c>
      <c r="AV49" s="2">
        <f>IF(ISERROR($A$49),"",IF(ISBLANK($A$49),"",$A$49))</f>
        <v/>
      </c>
      <c r="AW49" s="2">
        <f>IF(ISERROR($B$49),"",IF(ISBLANK($B$49),"",$B$49))</f>
        <v/>
      </c>
      <c r="AY49" s="2">
        <f>IF(ISERROR($D$49),"",IF(ISBLANK($D$49),"",$D$49))</f>
        <v/>
      </c>
      <c r="BA49" s="2">
        <f>IF(ISERROR($F$49),"",IF(ISBLANK($F$49),"",$F$49))</f>
        <v/>
      </c>
      <c r="BC49" s="2">
        <f>IF(ISERROR($H$49),"",IF(ISBLANK($H$49),"",$H$49))</f>
        <v/>
      </c>
      <c r="BF49" s="2">
        <f>ISERROR($A$49)*1+ISERROR($B$49)*1+ISERROR($D$49)*1+ISERROR($F$49)*1+ISERROR($H$49)*1</f>
        <v/>
      </c>
    </row>
    <row r="50" ht="60" customHeight="1">
      <c r="A50" s="33" t="n"/>
      <c r="B50" s="4" t="n"/>
      <c r="C50" s="17" t="n"/>
      <c r="D50" s="4" t="n"/>
      <c r="E50" s="17" t="n"/>
      <c r="F50" s="4" t="n"/>
      <c r="G50" s="17" t="n"/>
      <c r="H50" s="4" t="n"/>
      <c r="I50" s="25" t="n"/>
      <c r="J50" s="17" t="n"/>
      <c r="K50" s="19">
        <f>IF(BF50&gt;0,"O Google leu como fórmula: escolha de novo ou digite com ' na frente.",IF(LEN($AV$50)=0,"",IF(COUNTIF($AG$10:$AG$39,$AV$50)&gt;1,"Nome repetido no elenco",IF(COUNTIF('Dados'!$B$92:$B$123,$AV$50)&gt;0,"Nome igual a uma criatura do Bestiário",""))))</f>
        <v/>
      </c>
      <c r="AE50" s="2">
        <f>$AE$49+IF(AND(LEN($N$15)&gt;0,INDEX('Tabelas'!$X$472:$X$578,41)&amp;""=$N$15,LEN(INDEX('Tabelas'!$Y$472:$Y$578,41)&amp;"")&gt;0),1,0)</f>
        <v/>
      </c>
      <c r="AT50" s="2">
        <f>'Tabelas'!$AE$400&amp;""</f>
        <v/>
      </c>
      <c r="AV50" s="2">
        <f>IF(ISERROR($A$50),"",IF(ISBLANK($A$50),"",$A$50))</f>
        <v/>
      </c>
      <c r="AW50" s="2">
        <f>IF(ISERROR($B$50),"",IF(ISBLANK($B$50),"",$B$50))</f>
        <v/>
      </c>
      <c r="AY50" s="2">
        <f>IF(ISERROR($D$50),"",IF(ISBLANK($D$50),"",$D$50))</f>
        <v/>
      </c>
      <c r="BA50" s="2">
        <f>IF(ISERROR($F$50),"",IF(ISBLANK($F$50),"",$F$50))</f>
        <v/>
      </c>
      <c r="BC50" s="2">
        <f>IF(ISERROR($H$50),"",IF(ISBLANK($H$50),"",$H$50))</f>
        <v/>
      </c>
      <c r="BF50" s="2">
        <f>ISERROR($A$50)*1+ISERROR($B$50)*1+ISERROR($D$50)*1+ISERROR($F$50)*1+ISERROR($H$50)*1</f>
        <v/>
      </c>
    </row>
    <row r="51" ht="60" customHeight="1">
      <c r="A51" s="35" t="n"/>
      <c r="B51" s="29" t="n"/>
      <c r="C51" s="17" t="n"/>
      <c r="D51" s="29" t="n"/>
      <c r="E51" s="17" t="n"/>
      <c r="F51" s="29" t="n"/>
      <c r="G51" s="17" t="n"/>
      <c r="H51" s="29" t="n"/>
      <c r="I51" s="25" t="n"/>
      <c r="J51" s="17" t="n"/>
      <c r="K51" s="27">
        <f>IF(BF51&gt;0,"O Google leu como fórmula: escolha de novo ou digite com ' na frente.",IF(LEN($AV$51)=0,"",IF(COUNTIF($AG$10:$AG$39,$AV$51)&gt;1,"Nome repetido no elenco",IF(COUNTIF('Dados'!$B$92:$B$123,$AV$51)&gt;0,"Nome igual a uma criatura do Bestiário",""))))</f>
        <v/>
      </c>
      <c r="AE51" s="2">
        <f>$AE$50</f>
        <v/>
      </c>
      <c r="AT51" s="2">
        <f>'Tabelas'!$AE$401&amp;""</f>
        <v/>
      </c>
      <c r="AV51" s="2">
        <f>IF(ISERROR($A$51),"",IF(ISBLANK($A$51),"",$A$51))</f>
        <v/>
      </c>
      <c r="AW51" s="2">
        <f>IF(ISERROR($B$51),"",IF(ISBLANK($B$51),"",$B$51))</f>
        <v/>
      </c>
      <c r="AY51" s="2">
        <f>IF(ISERROR($D$51),"",IF(ISBLANK($D$51),"",$D$51))</f>
        <v/>
      </c>
      <c r="BA51" s="2">
        <f>IF(ISERROR($F$51),"",IF(ISBLANK($F$51),"",$F$51))</f>
        <v/>
      </c>
      <c r="BC51" s="2">
        <f>IF(ISERROR($H$51),"",IF(ISBLANK($H$51),"",$H$51))</f>
        <v/>
      </c>
      <c r="BF51" s="2">
        <f>ISERROR($A$51)*1+ISERROR($B$51)*1+ISERROR($D$51)*1+ISERROR($F$51)*1+ISERROR($H$51)*1</f>
        <v/>
      </c>
    </row>
    <row r="52" ht="71" customHeight="1">
      <c r="A52" s="33" t="n"/>
      <c r="B52" s="4" t="n"/>
      <c r="C52" s="17" t="n"/>
      <c r="D52" s="4" t="n"/>
      <c r="E52" s="17" t="n"/>
      <c r="F52" s="4" t="n"/>
      <c r="G52" s="17" t="n"/>
      <c r="H52" s="4" t="n"/>
      <c r="I52" s="25" t="n"/>
      <c r="J52" s="17" t="n"/>
      <c r="K52" s="19">
        <f>IF(BF52&gt;0,"O Google leu como fórmula: escolha de novo ou digite com ' na frente.",IF(LEN($AV$52)=0,"",IF(COUNTIF($AG$10:$AG$39,$AV$52)&gt;1,"Nome repetido no elenco",IF(COUNTIF('Dados'!$B$92:$B$123,$AV$52)&gt;0,"Nome igual a uma criatura do Bestiário",""))))</f>
        <v/>
      </c>
      <c r="AE52" s="2">
        <f>$AE$51+IF(AND(LEN($N$15)&gt;0,INDEX('Tabelas'!$X$472:$X$578,43)&amp;""=$N$15,LEN(INDEX('Tabelas'!$Y$472:$Y$578,43)&amp;"")&gt;0),1,0)</f>
        <v/>
      </c>
      <c r="AT52" s="2">
        <f>'Tabelas'!$AE$402&amp;""</f>
        <v/>
      </c>
      <c r="AV52" s="2">
        <f>IF(ISERROR($A$52),"",IF(ISBLANK($A$52),"",$A$52))</f>
        <v/>
      </c>
      <c r="AW52" s="2">
        <f>IF(ISERROR($B$52),"",IF(ISBLANK($B$52),"",$B$52))</f>
        <v/>
      </c>
      <c r="AY52" s="2">
        <f>IF(ISERROR($D$52),"",IF(ISBLANK($D$52),"",$D$52))</f>
        <v/>
      </c>
      <c r="BA52" s="2">
        <f>IF(ISERROR($F$52),"",IF(ISBLANK($F$52),"",$F$52))</f>
        <v/>
      </c>
      <c r="BC52" s="2">
        <f>IF(ISERROR($H$52),"",IF(ISBLANK($H$52),"",$H$52))</f>
        <v/>
      </c>
      <c r="BF52" s="2">
        <f>ISERROR($A$52)*1+ISERROR($B$52)*1+ISERROR($D$52)*1+ISERROR($F$52)*1+ISERROR($H$52)*1</f>
        <v/>
      </c>
    </row>
    <row r="53" ht="60" customHeight="1">
      <c r="A53" s="35" t="n"/>
      <c r="B53" s="29" t="n"/>
      <c r="C53" s="17" t="n"/>
      <c r="D53" s="29" t="n"/>
      <c r="E53" s="17" t="n"/>
      <c r="F53" s="29" t="n"/>
      <c r="G53" s="17" t="n"/>
      <c r="H53" s="29" t="n"/>
      <c r="I53" s="25" t="n"/>
      <c r="J53" s="17" t="n"/>
      <c r="K53" s="27">
        <f>IF(BF53&gt;0,"O Google leu como fórmula: escolha de novo ou digite com ' na frente.",IF(LEN($AV$53)=0,"",IF(COUNTIF($AG$10:$AG$39,$AV$53)&gt;1,"Nome repetido no elenco",IF(COUNTIF('Dados'!$B$92:$B$123,$AV$53)&gt;0,"Nome igual a uma criatura do Bestiário",""))))</f>
        <v/>
      </c>
      <c r="AE53" s="2">
        <f>$AE$52+IF(AND(LEN($N$15)&gt;0,INDEX('Tabelas'!$X$472:$X$578,44)&amp;""=$N$15,LEN(INDEX('Tabelas'!$Y$472:$Y$578,44)&amp;"")&gt;0),1,0)</f>
        <v/>
      </c>
      <c r="AT53" s="2">
        <f>'Tabelas'!$AE$403&amp;""</f>
        <v/>
      </c>
      <c r="AV53" s="2">
        <f>IF(ISERROR($A$53),"",IF(ISBLANK($A$53),"",$A$53))</f>
        <v/>
      </c>
      <c r="AW53" s="2">
        <f>IF(ISERROR($B$53),"",IF(ISBLANK($B$53),"",$B$53))</f>
        <v/>
      </c>
      <c r="AY53" s="2">
        <f>IF(ISERROR($D$53),"",IF(ISBLANK($D$53),"",$D$53))</f>
        <v/>
      </c>
      <c r="BA53" s="2">
        <f>IF(ISERROR($F$53),"",IF(ISBLANK($F$53),"",$F$53))</f>
        <v/>
      </c>
      <c r="BC53" s="2">
        <f>IF(ISERROR($H$53),"",IF(ISBLANK($H$53),"",$H$53))</f>
        <v/>
      </c>
      <c r="BF53" s="2">
        <f>ISERROR($A$53)*1+ISERROR($B$53)*1+ISERROR($D$53)*1+ISERROR($F$53)*1+ISERROR($H$53)*1</f>
        <v/>
      </c>
    </row>
    <row r="54" ht="60" customHeight="1">
      <c r="A54" s="33" t="n"/>
      <c r="B54" s="4" t="n"/>
      <c r="C54" s="17" t="n"/>
      <c r="D54" s="4" t="n"/>
      <c r="E54" s="17" t="n"/>
      <c r="F54" s="4" t="n"/>
      <c r="G54" s="17" t="n"/>
      <c r="H54" s="4" t="n"/>
      <c r="I54" s="25" t="n"/>
      <c r="J54" s="17" t="n"/>
      <c r="K54" s="19">
        <f>IF(BF54&gt;0,"O Google leu como fórmula: escolha de novo ou digite com ' na frente.",IF(LEN($AV$54)=0,"",IF(COUNTIF($AG$10:$AG$39,$AV$54)&gt;1,"Nome repetido no elenco",IF(COUNTIF('Dados'!$B$92:$B$123,$AV$54)&gt;0,"Nome igual a uma criatura do Bestiário",""))))</f>
        <v/>
      </c>
      <c r="AE54" s="2">
        <f>$AE$53+IF(AND(LEN($N$15)&gt;0,INDEX('Tabelas'!$X$472:$X$578,45)&amp;""=$N$15,LEN(INDEX('Tabelas'!$Y$472:$Y$578,45)&amp;"")&gt;0),1,0)</f>
        <v/>
      </c>
      <c r="AT54" s="2">
        <f>'Tabelas'!$AE$404&amp;""</f>
        <v/>
      </c>
      <c r="AV54" s="2">
        <f>IF(ISERROR($A$54),"",IF(ISBLANK($A$54),"",$A$54))</f>
        <v/>
      </c>
      <c r="AW54" s="2">
        <f>IF(ISERROR($B$54),"",IF(ISBLANK($B$54),"",$B$54))</f>
        <v/>
      </c>
      <c r="AY54" s="2">
        <f>IF(ISERROR($D$54),"",IF(ISBLANK($D$54),"",$D$54))</f>
        <v/>
      </c>
      <c r="BA54" s="2">
        <f>IF(ISERROR($F$54),"",IF(ISBLANK($F$54),"",$F$54))</f>
        <v/>
      </c>
      <c r="BC54" s="2">
        <f>IF(ISERROR($H$54),"",IF(ISBLANK($H$54),"",$H$54))</f>
        <v/>
      </c>
      <c r="BF54" s="2">
        <f>ISERROR($A$54)*1+ISERROR($B$54)*1+ISERROR($D$54)*1+ISERROR($F$54)*1+ISERROR($H$54)*1</f>
        <v/>
      </c>
    </row>
    <row r="55" ht="60" customHeight="1">
      <c r="A55" s="35" t="n"/>
      <c r="B55" s="29" t="n"/>
      <c r="C55" s="17" t="n"/>
      <c r="D55" s="29" t="n"/>
      <c r="E55" s="17" t="n"/>
      <c r="F55" s="29" t="n"/>
      <c r="G55" s="17" t="n"/>
      <c r="H55" s="29" t="n"/>
      <c r="I55" s="25" t="n"/>
      <c r="J55" s="17" t="n"/>
      <c r="K55" s="27">
        <f>IF(BF55&gt;0,"O Google leu como fórmula: escolha de novo ou digite com ' na frente.",IF(LEN($AV$55)=0,"",IF(COUNTIF($AG$10:$AG$39,$AV$55)&gt;1,"Nome repetido no elenco",IF(COUNTIF('Dados'!$B$92:$B$123,$AV$55)&gt;0,"Nome igual a uma criatura do Bestiário",""))))</f>
        <v/>
      </c>
      <c r="AE55" s="2">
        <f>$AE$54+IF(AND(LEN($N$15)&gt;0,INDEX('Tabelas'!$X$472:$X$578,46)&amp;""=$N$15,LEN(INDEX('Tabelas'!$Y$472:$Y$578,46)&amp;"")&gt;0),1,0)</f>
        <v/>
      </c>
      <c r="AT55" s="2">
        <f>'Tabelas'!$AE$405&amp;""</f>
        <v/>
      </c>
      <c r="AV55" s="2">
        <f>IF(ISERROR($A$55),"",IF(ISBLANK($A$55),"",$A$55))</f>
        <v/>
      </c>
      <c r="AW55" s="2">
        <f>IF(ISERROR($B$55),"",IF(ISBLANK($B$55),"",$B$55))</f>
        <v/>
      </c>
      <c r="AY55" s="2">
        <f>IF(ISERROR($D$55),"",IF(ISBLANK($D$55),"",$D$55))</f>
        <v/>
      </c>
      <c r="BA55" s="2">
        <f>IF(ISERROR($F$55),"",IF(ISBLANK($F$55),"",$F$55))</f>
        <v/>
      </c>
      <c r="BC55" s="2">
        <f>IF(ISERROR($H$55),"",IF(ISBLANK($H$55),"",$H$55))</f>
        <v/>
      </c>
      <c r="BF55" s="2">
        <f>ISERROR($A$55)*1+ISERROR($B$55)*1+ISERROR($D$55)*1+ISERROR($F$55)*1+ISERROR($H$55)*1</f>
        <v/>
      </c>
    </row>
    <row r="56">
      <c r="A56" s="8" t="inlineStr">
        <is>
          <t>Nome completo</t>
        </is>
      </c>
      <c r="B56" s="8" t="inlineStr">
        <is>
          <t>Raça</t>
        </is>
      </c>
      <c r="C56" s="20" t="n"/>
      <c r="D56" s="8" t="inlineStr">
        <is>
          <t>Caminho</t>
        </is>
      </c>
      <c r="E56" s="20" t="n"/>
      <c r="F56" s="8" t="inlineStr">
        <is>
          <t>Papel</t>
        </is>
      </c>
      <c r="G56" s="20" t="n"/>
      <c r="H56" s="8" t="inlineStr">
        <is>
          <t>Ocupação</t>
        </is>
      </c>
      <c r="I56" s="20" t="n"/>
      <c r="J56" s="20" t="n"/>
      <c r="K56" s="8" t="inlineStr">
        <is>
          <t>Aviso</t>
        </is>
      </c>
      <c r="L56" s="20" t="n"/>
      <c r="AE56" s="2">
        <f>$AE$55+IF(AND(LEN($N$15)&gt;0,INDEX('Tabelas'!$X$472:$X$578,47)&amp;""=$N$15,LEN(INDEX('Tabelas'!$Y$472:$Y$578,47)&amp;"")&gt;0),1,0)</f>
        <v/>
      </c>
      <c r="AT56" s="2">
        <f>'Tabelas'!$AE$406&amp;""</f>
        <v/>
      </c>
    </row>
    <row r="57" ht="48" customHeight="1">
      <c r="A57" s="33" t="n"/>
      <c r="B57" s="4" t="n"/>
      <c r="C57" s="17" t="n"/>
      <c r="D57" s="4" t="n"/>
      <c r="E57" s="17" t="n"/>
      <c r="F57" s="4" t="n"/>
      <c r="G57" s="17" t="n"/>
      <c r="H57" s="4" t="n"/>
      <c r="I57" s="25" t="n"/>
      <c r="J57" s="17" t="n"/>
      <c r="K57" s="19">
        <f>IF(BF57&gt;0,"O Google leu como fórmula: escolha de novo ou digite com ' na frente.",IF(LEN($AV$57)=0,"",IF(COUNTIF($AG$10:$AG$39,$AV$57)&gt;1,"Nome repetido no elenco",IF(COUNTIF('Dados'!$B$92:$B$123,$AV$57)&gt;0,"Nome igual a uma criatura do Bestiário",""))))</f>
        <v/>
      </c>
      <c r="AE57" s="2">
        <f>$AE$56+IF(AND(LEN($N$15)&gt;0,INDEX('Tabelas'!$X$472:$X$578,48)&amp;""=$N$15,LEN(INDEX('Tabelas'!$Y$472:$Y$578,48)&amp;"")&gt;0),1,0)</f>
        <v/>
      </c>
      <c r="AT57" s="2">
        <f>'Tabelas'!$AE$407&amp;""</f>
        <v/>
      </c>
      <c r="AV57" s="2">
        <f>IF(ISERROR($A$57),"",IF(ISBLANK($A$57),"",$A$57))</f>
        <v/>
      </c>
      <c r="AW57" s="2">
        <f>IF(ISERROR($B$57),"",IF(ISBLANK($B$57),"",$B$57))</f>
        <v/>
      </c>
      <c r="AY57" s="2">
        <f>IF(ISERROR($D$57),"",IF(ISBLANK($D$57),"",$D$57))</f>
        <v/>
      </c>
      <c r="BA57" s="2">
        <f>IF(ISERROR($F$57),"",IF(ISBLANK($F$57),"",$F$57))</f>
        <v/>
      </c>
      <c r="BC57" s="2">
        <f>IF(ISERROR($H$57),"",IF(ISBLANK($H$57),"",$H$57))</f>
        <v/>
      </c>
      <c r="BF57" s="2">
        <f>ISERROR($A$57)*1+ISERROR($B$57)*1+ISERROR($D$57)*1+ISERROR($F$57)*1+ISERROR($H$57)*1</f>
        <v/>
      </c>
    </row>
    <row r="58" ht="48" customHeight="1">
      <c r="A58" s="35" t="n"/>
      <c r="B58" s="29" t="n"/>
      <c r="C58" s="17" t="n"/>
      <c r="D58" s="29" t="n"/>
      <c r="E58" s="17" t="n"/>
      <c r="F58" s="29" t="n"/>
      <c r="G58" s="17" t="n"/>
      <c r="H58" s="29" t="n"/>
      <c r="I58" s="25" t="n"/>
      <c r="J58" s="17" t="n"/>
      <c r="K58" s="27">
        <f>IF(BF58&gt;0,"O Google leu como fórmula: escolha de novo ou digite com ' na frente.",IF(LEN($AV$58)=0,"",IF(COUNTIF($AG$10:$AG$39,$AV$58)&gt;1,"Nome repetido no elenco",IF(COUNTIF('Dados'!$B$92:$B$123,$AV$58)&gt;0,"Nome igual a uma criatura do Bestiário",""))))</f>
        <v/>
      </c>
      <c r="AE58" s="2">
        <f>$AE$57+IF(AND(LEN($N$15)&gt;0,INDEX('Tabelas'!$X$472:$X$578,49)&amp;""=$N$15,LEN(INDEX('Tabelas'!$Y$472:$Y$578,49)&amp;"")&gt;0),1,0)</f>
        <v/>
      </c>
      <c r="AT58" s="2">
        <f>'Tabelas'!$AE$408&amp;""</f>
        <v/>
      </c>
      <c r="AV58" s="2">
        <f>IF(ISERROR($A$58),"",IF(ISBLANK($A$58),"",$A$58))</f>
        <v/>
      </c>
      <c r="AW58" s="2">
        <f>IF(ISERROR($B$58),"",IF(ISBLANK($B$58),"",$B$58))</f>
        <v/>
      </c>
      <c r="AY58" s="2">
        <f>IF(ISERROR($D$58),"",IF(ISBLANK($D$58),"",$D$58))</f>
        <v/>
      </c>
      <c r="BA58" s="2">
        <f>IF(ISERROR($F$58),"",IF(ISBLANK($F$58),"",$F$58))</f>
        <v/>
      </c>
      <c r="BC58" s="2">
        <f>IF(ISERROR($H$58),"",IF(ISBLANK($H$58),"",$H$58))</f>
        <v/>
      </c>
      <c r="BF58" s="2">
        <f>ISERROR($A$58)*1+ISERROR($B$58)*1+ISERROR($D$58)*1+ISERROR($F$58)*1+ISERROR($H$58)*1</f>
        <v/>
      </c>
    </row>
    <row r="59" ht="82" customHeight="1">
      <c r="A59" s="33" t="n"/>
      <c r="B59" s="4" t="n"/>
      <c r="C59" s="17" t="n"/>
      <c r="D59" s="4" t="n"/>
      <c r="E59" s="17" t="n"/>
      <c r="F59" s="4" t="n"/>
      <c r="G59" s="17" t="n"/>
      <c r="H59" s="4" t="n"/>
      <c r="I59" s="25" t="n"/>
      <c r="J59" s="17" t="n"/>
      <c r="K59" s="19">
        <f>IF(BF59&gt;0,"O Google leu como fórmula: escolha de novo ou digite com ' na frente.",IF(LEN($AV$59)=0,"",IF(COUNTIF($AG$10:$AG$39,$AV$59)&gt;1,"Nome repetido no elenco",IF(COUNTIF('Dados'!$B$92:$B$123,$AV$59)&gt;0,"Nome igual a uma criatura do Bestiário",""))))</f>
        <v/>
      </c>
      <c r="AE59" s="2">
        <f>$AE$58+IF(AND(LEN($N$15)&gt;0,INDEX('Tabelas'!$X$472:$X$578,50)&amp;""=$N$15,LEN(INDEX('Tabelas'!$Y$472:$Y$578,50)&amp;"")&gt;0),1,0)</f>
        <v/>
      </c>
      <c r="AT59" s="2">
        <f>'Tabelas'!$AE$409&amp;""</f>
        <v/>
      </c>
      <c r="AV59" s="2">
        <f>IF(ISERROR($A$59),"",IF(ISBLANK($A$59),"",$A$59))</f>
        <v/>
      </c>
      <c r="AW59" s="2">
        <f>IF(ISERROR($B$59),"",IF(ISBLANK($B$59),"",$B$59))</f>
        <v/>
      </c>
      <c r="AY59" s="2">
        <f>IF(ISERROR($D$59),"",IF(ISBLANK($D$59),"",$D$59))</f>
        <v/>
      </c>
      <c r="BA59" s="2">
        <f>IF(ISERROR($F$59),"",IF(ISBLANK($F$59),"",$F$59))</f>
        <v/>
      </c>
      <c r="BC59" s="2">
        <f>IF(ISERROR($H$59),"",IF(ISBLANK($H$59),"",$H$59))</f>
        <v/>
      </c>
      <c r="BF59" s="2">
        <f>ISERROR($A$59)*1+ISERROR($B$59)*1+ISERROR($D$59)*1+ISERROR($F$59)*1+ISERROR($H$59)*1</f>
        <v/>
      </c>
    </row>
    <row r="60" ht="48" customHeight="1">
      <c r="A60" s="35" t="n"/>
      <c r="B60" s="29" t="n"/>
      <c r="C60" s="17" t="n"/>
      <c r="D60" s="29" t="n"/>
      <c r="E60" s="17" t="n"/>
      <c r="F60" s="29" t="n"/>
      <c r="G60" s="17" t="n"/>
      <c r="H60" s="29" t="n"/>
      <c r="I60" s="25" t="n"/>
      <c r="J60" s="17" t="n"/>
      <c r="K60" s="27">
        <f>IF(BF60&gt;0,"O Google leu como fórmula: escolha de novo ou digite com ' na frente.",IF(LEN($AV$60)=0,"",IF(COUNTIF($AG$10:$AG$39,$AV$60)&gt;1,"Nome repetido no elenco",IF(COUNTIF('Dados'!$B$92:$B$123,$AV$60)&gt;0,"Nome igual a uma criatura do Bestiário",""))))</f>
        <v/>
      </c>
      <c r="AE60" s="2">
        <f>$AE$59+IF(AND(LEN($N$15)&gt;0,INDEX('Tabelas'!$X$472:$X$578,51)&amp;""=$N$15,LEN(INDEX('Tabelas'!$Y$472:$Y$578,51)&amp;"")&gt;0),1,0)</f>
        <v/>
      </c>
      <c r="AT60" s="2">
        <f>'Tabelas'!$AE$410&amp;""</f>
        <v/>
      </c>
      <c r="AV60" s="2">
        <f>IF(ISERROR($A$60),"",IF(ISBLANK($A$60),"",$A$60))</f>
        <v/>
      </c>
      <c r="AW60" s="2">
        <f>IF(ISERROR($B$60),"",IF(ISBLANK($B$60),"",$B$60))</f>
        <v/>
      </c>
      <c r="AY60" s="2">
        <f>IF(ISERROR($D$60),"",IF(ISBLANK($D$60),"",$D$60))</f>
        <v/>
      </c>
      <c r="BA60" s="2">
        <f>IF(ISERROR($F$60),"",IF(ISBLANK($F$60),"",$F$60))</f>
        <v/>
      </c>
      <c r="BC60" s="2">
        <f>IF(ISERROR($H$60),"",IF(ISBLANK($H$60),"",$H$60))</f>
        <v/>
      </c>
      <c r="BF60" s="2">
        <f>ISERROR($A$60)*1+ISERROR($B$60)*1+ISERROR($D$60)*1+ISERROR($F$60)*1+ISERROR($H$60)*1</f>
        <v/>
      </c>
    </row>
    <row r="61" ht="60" customHeight="1">
      <c r="A61" s="33" t="n"/>
      <c r="B61" s="4" t="n"/>
      <c r="C61" s="17" t="n"/>
      <c r="D61" s="4" t="n"/>
      <c r="E61" s="17" t="n"/>
      <c r="F61" s="4" t="n"/>
      <c r="G61" s="17" t="n"/>
      <c r="H61" s="4" t="n"/>
      <c r="I61" s="25" t="n"/>
      <c r="J61" s="17" t="n"/>
      <c r="K61" s="19">
        <f>IF(BF61&gt;0,"O Google leu como fórmula: escolha de novo ou digite com ' na frente.",IF(LEN($AV$61)=0,"",IF(COUNTIF($AG$10:$AG$39,$AV$61)&gt;1,"Nome repetido no elenco",IF(COUNTIF('Dados'!$B$92:$B$123,$AV$61)&gt;0,"Nome igual a uma criatura do Bestiário",""))))</f>
        <v/>
      </c>
      <c r="AE61" s="2">
        <f>$AE$60+IF(AND(LEN($N$15)&gt;0,INDEX('Tabelas'!$X$472:$X$578,52)&amp;""=$N$15,LEN(INDEX('Tabelas'!$Y$472:$Y$578,52)&amp;"")&gt;0),1,0)</f>
        <v/>
      </c>
      <c r="AT61" s="2">
        <f>'Tabelas'!$AE$411&amp;""</f>
        <v/>
      </c>
      <c r="AV61" s="2">
        <f>IF(ISERROR($A$61),"",IF(ISBLANK($A$61),"",$A$61))</f>
        <v/>
      </c>
      <c r="AW61" s="2">
        <f>IF(ISERROR($B$61),"",IF(ISBLANK($B$61),"",$B$61))</f>
        <v/>
      </c>
      <c r="AY61" s="2">
        <f>IF(ISERROR($D$61),"",IF(ISBLANK($D$61),"",$D$61))</f>
        <v/>
      </c>
      <c r="BA61" s="2">
        <f>IF(ISERROR($F$61),"",IF(ISBLANK($F$61),"",$F$61))</f>
        <v/>
      </c>
      <c r="BC61" s="2">
        <f>IF(ISERROR($H$61),"",IF(ISBLANK($H$61),"",$H$61))</f>
        <v/>
      </c>
      <c r="BF61" s="2">
        <f>ISERROR($A$61)*1+ISERROR($B$61)*1+ISERROR($D$61)*1+ISERROR($F$61)*1+ISERROR($H$61)*1</f>
        <v/>
      </c>
    </row>
    <row r="62" ht="60" customHeight="1">
      <c r="A62" s="35" t="n"/>
      <c r="B62" s="29" t="n"/>
      <c r="C62" s="17" t="n"/>
      <c r="D62" s="29" t="n"/>
      <c r="E62" s="17" t="n"/>
      <c r="F62" s="29" t="n"/>
      <c r="G62" s="17" t="n"/>
      <c r="H62" s="29" t="n"/>
      <c r="I62" s="25" t="n"/>
      <c r="J62" s="17" t="n"/>
      <c r="K62" s="27">
        <f>IF(BF62&gt;0,"O Google leu como fórmula: escolha de novo ou digite com ' na frente.",IF(LEN($AV$62)=0,"",IF(COUNTIF($AG$10:$AG$39,$AV$62)&gt;1,"Nome repetido no elenco",IF(COUNTIF('Dados'!$B$92:$B$123,$AV$62)&gt;0,"Nome igual a uma criatura do Bestiário",""))))</f>
        <v/>
      </c>
      <c r="AE62" s="2">
        <f>$AE$61+IF(AND(LEN($N$15)&gt;0,INDEX('Tabelas'!$X$472:$X$578,53)&amp;""=$N$15,LEN(INDEX('Tabelas'!$Y$472:$Y$578,53)&amp;"")&gt;0),1,0)</f>
        <v/>
      </c>
      <c r="AT62" s="2">
        <f>'Tabelas'!$AE$413&amp;""</f>
        <v/>
      </c>
      <c r="AV62" s="2">
        <f>IF(ISERROR($A$62),"",IF(ISBLANK($A$62),"",$A$62))</f>
        <v/>
      </c>
      <c r="AW62" s="2">
        <f>IF(ISERROR($B$62),"",IF(ISBLANK($B$62),"",$B$62))</f>
        <v/>
      </c>
      <c r="AY62" s="2">
        <f>IF(ISERROR($D$62),"",IF(ISBLANK($D$62),"",$D$62))</f>
        <v/>
      </c>
      <c r="BA62" s="2">
        <f>IF(ISERROR($F$62),"",IF(ISBLANK($F$62),"",$F$62))</f>
        <v/>
      </c>
      <c r="BC62" s="2">
        <f>IF(ISERROR($H$62),"",IF(ISBLANK($H$62),"",$H$62))</f>
        <v/>
      </c>
      <c r="BF62" s="2">
        <f>ISERROR($A$62)*1+ISERROR($B$62)*1+ISERROR($D$62)*1+ISERROR($F$62)*1+ISERROR($H$62)*1</f>
        <v/>
      </c>
    </row>
    <row r="63" ht="71" customHeight="1">
      <c r="A63" s="33" t="n"/>
      <c r="B63" s="4" t="n"/>
      <c r="C63" s="17" t="n"/>
      <c r="D63" s="4" t="n"/>
      <c r="E63" s="17" t="n"/>
      <c r="F63" s="4" t="n"/>
      <c r="G63" s="17" t="n"/>
      <c r="H63" s="4" t="n"/>
      <c r="I63" s="25" t="n"/>
      <c r="J63" s="17" t="n"/>
      <c r="K63" s="19">
        <f>IF(BF63&gt;0,"O Google leu como fórmula: escolha de novo ou digite com ' na frente.",IF(LEN($AV$63)=0,"",IF(COUNTIF($AG$10:$AG$39,$AV$63)&gt;1,"Nome repetido no elenco",IF(COUNTIF('Dados'!$B$92:$B$123,$AV$63)&gt;0,"Nome igual a uma criatura do Bestiário",""))))</f>
        <v/>
      </c>
      <c r="AE63" s="2">
        <f>$AE$62+IF(AND(LEN($N$15)&gt;0,INDEX('Tabelas'!$X$472:$X$578,54)&amp;""=$N$15,LEN(INDEX('Tabelas'!$Y$472:$Y$578,54)&amp;"")&gt;0),1,0)</f>
        <v/>
      </c>
      <c r="AT63" s="2">
        <f>'Tabelas'!$AE$414&amp;""</f>
        <v/>
      </c>
      <c r="AV63" s="2">
        <f>IF(ISERROR($A$63),"",IF(ISBLANK($A$63),"",$A$63))</f>
        <v/>
      </c>
      <c r="AW63" s="2">
        <f>IF(ISERROR($B$63),"",IF(ISBLANK($B$63),"",$B$63))</f>
        <v/>
      </c>
      <c r="AY63" s="2">
        <f>IF(ISERROR($D$63),"",IF(ISBLANK($D$63),"",$D$63))</f>
        <v/>
      </c>
      <c r="BA63" s="2">
        <f>IF(ISERROR($F$63),"",IF(ISBLANK($F$63),"",$F$63))</f>
        <v/>
      </c>
      <c r="BC63" s="2">
        <f>IF(ISERROR($H$63),"",IF(ISBLANK($H$63),"",$H$63))</f>
        <v/>
      </c>
      <c r="BF63" s="2">
        <f>ISERROR($A$63)*1+ISERROR($B$63)*1+ISERROR($D$63)*1+ISERROR($F$63)*1+ISERROR($H$63)*1</f>
        <v/>
      </c>
    </row>
    <row r="64" ht="48" customHeight="1">
      <c r="A64" s="35" t="n"/>
      <c r="B64" s="29" t="n"/>
      <c r="C64" s="17" t="n"/>
      <c r="D64" s="29" t="n"/>
      <c r="E64" s="17" t="n"/>
      <c r="F64" s="29" t="n"/>
      <c r="G64" s="17" t="n"/>
      <c r="H64" s="29" t="n"/>
      <c r="I64" s="25" t="n"/>
      <c r="J64" s="17" t="n"/>
      <c r="K64" s="27">
        <f>IF(BF64&gt;0,"O Google leu como fórmula: escolha de novo ou digite com ' na frente.",IF(LEN($AV$64)=0,"",IF(COUNTIF($AG$10:$AG$39,$AV$64)&gt;1,"Nome repetido no elenco",IF(COUNTIF('Dados'!$B$92:$B$123,$AV$64)&gt;0,"Nome igual a uma criatura do Bestiário",""))))</f>
        <v/>
      </c>
      <c r="AE64" s="2">
        <f>$AE$63+IF(AND(LEN($N$15)&gt;0,INDEX('Tabelas'!$X$472:$X$578,55)&amp;""=$N$15,LEN(INDEX('Tabelas'!$Y$472:$Y$578,55)&amp;"")&gt;0),1,0)</f>
        <v/>
      </c>
      <c r="AT64" s="2">
        <f>'Tabelas'!$AE$415&amp;""</f>
        <v/>
      </c>
      <c r="AV64" s="2">
        <f>IF(ISERROR($A$64),"",IF(ISBLANK($A$64),"",$A$64))</f>
        <v/>
      </c>
      <c r="AW64" s="2">
        <f>IF(ISERROR($B$64),"",IF(ISBLANK($B$64),"",$B$64))</f>
        <v/>
      </c>
      <c r="AY64" s="2">
        <f>IF(ISERROR($D$64),"",IF(ISBLANK($D$64),"",$D$64))</f>
        <v/>
      </c>
      <c r="BA64" s="2">
        <f>IF(ISERROR($F$64),"",IF(ISBLANK($F$64),"",$F$64))</f>
        <v/>
      </c>
      <c r="BC64" s="2">
        <f>IF(ISERROR($H$64),"",IF(ISBLANK($H$64),"",$H$64))</f>
        <v/>
      </c>
      <c r="BF64" s="2">
        <f>ISERROR($A$64)*1+ISERROR($B$64)*1+ISERROR($D$64)*1+ISERROR($F$64)*1+ISERROR($H$64)*1</f>
        <v/>
      </c>
    </row>
    <row r="65" ht="60" customHeight="1">
      <c r="A65" s="33" t="n"/>
      <c r="B65" s="4" t="n"/>
      <c r="C65" s="17" t="n"/>
      <c r="D65" s="4" t="n"/>
      <c r="E65" s="17" t="n"/>
      <c r="F65" s="4" t="n"/>
      <c r="G65" s="17" t="n"/>
      <c r="H65" s="4" t="n"/>
      <c r="I65" s="25" t="n"/>
      <c r="J65" s="17" t="n"/>
      <c r="K65" s="19">
        <f>IF(BF65&gt;0,"O Google leu como fórmula: escolha de novo ou digite com ' na frente.",IF(LEN($AV$65)=0,"",IF(COUNTIF($AG$10:$AG$39,$AV$65)&gt;1,"Nome repetido no elenco",IF(COUNTIF('Dados'!$B$92:$B$123,$AV$65)&gt;0,"Nome igual a uma criatura do Bestiário",""))))</f>
        <v/>
      </c>
      <c r="AE65" s="2">
        <f>$AE$64</f>
        <v/>
      </c>
      <c r="AT65" s="2">
        <f>'Tabelas'!$AE$416&amp;""</f>
        <v/>
      </c>
      <c r="AV65" s="2">
        <f>IF(ISERROR($A$65),"",IF(ISBLANK($A$65),"",$A$65))</f>
        <v/>
      </c>
      <c r="AW65" s="2">
        <f>IF(ISERROR($B$65),"",IF(ISBLANK($B$65),"",$B$65))</f>
        <v/>
      </c>
      <c r="AY65" s="2">
        <f>IF(ISERROR($D$65),"",IF(ISBLANK($D$65),"",$D$65))</f>
        <v/>
      </c>
      <c r="BA65" s="2">
        <f>IF(ISERROR($F$65),"",IF(ISBLANK($F$65),"",$F$65))</f>
        <v/>
      </c>
      <c r="BC65" s="2">
        <f>IF(ISERROR($H$65),"",IF(ISBLANK($H$65),"",$H$65))</f>
        <v/>
      </c>
      <c r="BF65" s="2">
        <f>ISERROR($A$65)*1+ISERROR($B$65)*1+ISERROR($D$65)*1+ISERROR($F$65)*1+ISERROR($H$65)*1</f>
        <v/>
      </c>
    </row>
    <row r="66" ht="60" customHeight="1">
      <c r="A66" s="35" t="n"/>
      <c r="B66" s="29" t="n"/>
      <c r="C66" s="17" t="n"/>
      <c r="D66" s="29" t="n"/>
      <c r="E66" s="17" t="n"/>
      <c r="F66" s="29" t="n"/>
      <c r="G66" s="17" t="n"/>
      <c r="H66" s="29" t="n"/>
      <c r="I66" s="25" t="n"/>
      <c r="J66" s="17" t="n"/>
      <c r="K66" s="27">
        <f>IF(BF66&gt;0,"O Google leu como fórmula: escolha de novo ou digite com ' na frente.",IF(LEN($AV$66)=0,"",IF(COUNTIF($AG$10:$AG$39,$AV$66)&gt;1,"Nome repetido no elenco",IF(COUNTIF('Dados'!$B$92:$B$123,$AV$66)&gt;0,"Nome igual a uma criatura do Bestiário",""))))</f>
        <v/>
      </c>
      <c r="AE66" s="2">
        <f>$AE$65+IF(AND(LEN($N$15)&gt;0,INDEX('Tabelas'!$X$472:$X$578,57)&amp;""=$N$15,LEN(INDEX('Tabelas'!$Y$472:$Y$578,57)&amp;"")&gt;0),1,0)</f>
        <v/>
      </c>
      <c r="AT66" s="2">
        <f>'Tabelas'!$AE$417&amp;""</f>
        <v/>
      </c>
      <c r="AV66" s="2">
        <f>IF(ISERROR($A$66),"",IF(ISBLANK($A$66),"",$A$66))</f>
        <v/>
      </c>
      <c r="AW66" s="2">
        <f>IF(ISERROR($B$66),"",IF(ISBLANK($B$66),"",$B$66))</f>
        <v/>
      </c>
      <c r="AY66" s="2">
        <f>IF(ISERROR($D$66),"",IF(ISBLANK($D$66),"",$D$66))</f>
        <v/>
      </c>
      <c r="BA66" s="2">
        <f>IF(ISERROR($F$66),"",IF(ISBLANK($F$66),"",$F$66))</f>
        <v/>
      </c>
      <c r="BC66" s="2">
        <f>IF(ISERROR($H$66),"",IF(ISBLANK($H$66),"",$H$66))</f>
        <v/>
      </c>
      <c r="BF66" s="2">
        <f>ISERROR($A$66)*1+ISERROR($B$66)*1+ISERROR($D$66)*1+ISERROR($F$66)*1+ISERROR($H$66)*1</f>
        <v/>
      </c>
    </row>
    <row r="67">
      <c r="A67" s="8" t="inlineStr">
        <is>
          <t>Nome completo</t>
        </is>
      </c>
      <c r="B67" s="8" t="inlineStr">
        <is>
          <t>Raça</t>
        </is>
      </c>
      <c r="C67" s="20" t="n"/>
      <c r="D67" s="8" t="inlineStr">
        <is>
          <t>Caminho</t>
        </is>
      </c>
      <c r="E67" s="20" t="n"/>
      <c r="F67" s="8" t="inlineStr">
        <is>
          <t>Papel</t>
        </is>
      </c>
      <c r="G67" s="20" t="n"/>
      <c r="H67" s="8" t="inlineStr">
        <is>
          <t>Ocupação</t>
        </is>
      </c>
      <c r="I67" s="20" t="n"/>
      <c r="J67" s="20" t="n"/>
      <c r="K67" s="8" t="inlineStr">
        <is>
          <t>Aviso</t>
        </is>
      </c>
      <c r="L67" s="20" t="n"/>
      <c r="AE67" s="2">
        <f>$AE$66+IF(AND(LEN($N$15)&gt;0,INDEX('Tabelas'!$X$472:$X$578,58)&amp;""=$N$15,LEN(INDEX('Tabelas'!$Y$472:$Y$578,58)&amp;"")&gt;0),1,0)</f>
        <v/>
      </c>
      <c r="AT67" s="2">
        <f>'Tabelas'!$AE$418&amp;""</f>
        <v/>
      </c>
    </row>
    <row r="68" ht="60" customHeight="1">
      <c r="A68" s="33" t="n"/>
      <c r="B68" s="4" t="n"/>
      <c r="C68" s="17" t="n"/>
      <c r="D68" s="4" t="n"/>
      <c r="E68" s="17" t="n"/>
      <c r="F68" s="4" t="n"/>
      <c r="G68" s="17" t="n"/>
      <c r="H68" s="4" t="n"/>
      <c r="I68" s="25" t="n"/>
      <c r="J68" s="17" t="n"/>
      <c r="K68" s="19">
        <f>IF(BF68&gt;0,"O Google leu como fórmula: escolha de novo ou digite com ' na frente.",IF(LEN($AV$68)=0,"",IF(COUNTIF($AG$10:$AG$39,$AV$68)&gt;1,"Nome repetido no elenco",IF(COUNTIF('Dados'!$B$92:$B$123,$AV$68)&gt;0,"Nome igual a uma criatura do Bestiário",""))))</f>
        <v/>
      </c>
      <c r="AE68" s="2">
        <f>$AE$67+IF(AND(LEN($N$15)&gt;0,INDEX('Tabelas'!$X$472:$X$578,59)&amp;""=$N$15,LEN(INDEX('Tabelas'!$Y$472:$Y$578,59)&amp;"")&gt;0),1,0)</f>
        <v/>
      </c>
      <c r="AT68" s="2">
        <f>'Tabelas'!$AE$419&amp;""</f>
        <v/>
      </c>
      <c r="AV68" s="2">
        <f>IF(ISERROR($A$68),"",IF(ISBLANK($A$68),"",$A$68))</f>
        <v/>
      </c>
      <c r="AW68" s="2">
        <f>IF(ISERROR($B$68),"",IF(ISBLANK($B$68),"",$B$68))</f>
        <v/>
      </c>
      <c r="AY68" s="2">
        <f>IF(ISERROR($D$68),"",IF(ISBLANK($D$68),"",$D$68))</f>
        <v/>
      </c>
      <c r="BA68" s="2">
        <f>IF(ISERROR($F$68),"",IF(ISBLANK($F$68),"",$F$68))</f>
        <v/>
      </c>
      <c r="BC68" s="2">
        <f>IF(ISERROR($H$68),"",IF(ISBLANK($H$68),"",$H$68))</f>
        <v/>
      </c>
      <c r="BF68" s="2">
        <f>ISERROR($A$68)*1+ISERROR($B$68)*1+ISERROR($D$68)*1+ISERROR($F$68)*1+ISERROR($H$68)*1</f>
        <v/>
      </c>
    </row>
    <row r="69" ht="60" customHeight="1">
      <c r="A69" s="35" t="n"/>
      <c r="B69" s="29" t="n"/>
      <c r="C69" s="17" t="n"/>
      <c r="D69" s="29" t="n"/>
      <c r="E69" s="17" t="n"/>
      <c r="F69" s="29" t="n"/>
      <c r="G69" s="17" t="n"/>
      <c r="H69" s="29" t="n"/>
      <c r="I69" s="25" t="n"/>
      <c r="J69" s="17" t="n"/>
      <c r="K69" s="27">
        <f>IF(BF69&gt;0,"O Google leu como fórmula: escolha de novo ou digite com ' na frente.",IF(LEN($AV$69)=0,"",IF(COUNTIF($AG$10:$AG$39,$AV$69)&gt;1,"Nome repetido no elenco",IF(COUNTIF('Dados'!$B$92:$B$123,$AV$69)&gt;0,"Nome igual a uma criatura do Bestiário",""))))</f>
        <v/>
      </c>
      <c r="AE69" s="2">
        <f>$AE$68+IF(AND(LEN($N$15)&gt;0,INDEX('Tabelas'!$X$472:$X$578,60)&amp;""=$N$15,LEN(INDEX('Tabelas'!$Y$472:$Y$578,60)&amp;"")&gt;0),1,0)</f>
        <v/>
      </c>
      <c r="AT69" s="2">
        <f>'Tabelas'!$AE$420&amp;""</f>
        <v/>
      </c>
      <c r="AV69" s="2">
        <f>IF(ISERROR($A$69),"",IF(ISBLANK($A$69),"",$A$69))</f>
        <v/>
      </c>
      <c r="AW69" s="2">
        <f>IF(ISERROR($B$69),"",IF(ISBLANK($B$69),"",$B$69))</f>
        <v/>
      </c>
      <c r="AY69" s="2">
        <f>IF(ISERROR($D$69),"",IF(ISBLANK($D$69),"",$D$69))</f>
        <v/>
      </c>
      <c r="BA69" s="2">
        <f>IF(ISERROR($F$69),"",IF(ISBLANK($F$69),"",$F$69))</f>
        <v/>
      </c>
      <c r="BC69" s="2">
        <f>IF(ISERROR($H$69),"",IF(ISBLANK($H$69),"",$H$69))</f>
        <v/>
      </c>
      <c r="BF69" s="2">
        <f>ISERROR($A$69)*1+ISERROR($B$69)*1+ISERROR($D$69)*1+ISERROR($F$69)*1+ISERROR($H$69)*1</f>
        <v/>
      </c>
    </row>
    <row r="70" ht="60" customHeight="1">
      <c r="A70" s="33" t="n"/>
      <c r="B70" s="4" t="n"/>
      <c r="C70" s="17" t="n"/>
      <c r="D70" s="4" t="n"/>
      <c r="E70" s="17" t="n"/>
      <c r="F70" s="4" t="n"/>
      <c r="G70" s="17" t="n"/>
      <c r="H70" s="4" t="n"/>
      <c r="I70" s="25" t="n"/>
      <c r="J70" s="17" t="n"/>
      <c r="K70" s="19">
        <f>IF(BF70&gt;0,"O Google leu como fórmula: escolha de novo ou digite com ' na frente.",IF(LEN($AV$70)=0,"",IF(COUNTIF($AG$10:$AG$39,$AV$70)&gt;1,"Nome repetido no elenco",IF(COUNTIF('Dados'!$B$92:$B$123,$AV$70)&gt;0,"Nome igual a uma criatura do Bestiário",""))))</f>
        <v/>
      </c>
      <c r="AE70" s="2">
        <f>$AE$69+IF(AND(LEN($N$15)&gt;0,INDEX('Tabelas'!$X$472:$X$578,61)&amp;""=$N$15,LEN(INDEX('Tabelas'!$Y$472:$Y$578,61)&amp;"")&gt;0),1,0)</f>
        <v/>
      </c>
      <c r="AT70" s="2">
        <f>'Tabelas'!$AE$421&amp;""</f>
        <v/>
      </c>
      <c r="AV70" s="2">
        <f>IF(ISERROR($A$70),"",IF(ISBLANK($A$70),"",$A$70))</f>
        <v/>
      </c>
      <c r="AW70" s="2">
        <f>IF(ISERROR($B$70),"",IF(ISBLANK($B$70),"",$B$70))</f>
        <v/>
      </c>
      <c r="AY70" s="2">
        <f>IF(ISERROR($D$70),"",IF(ISBLANK($D$70),"",$D$70))</f>
        <v/>
      </c>
      <c r="BA70" s="2">
        <f>IF(ISERROR($F$70),"",IF(ISBLANK($F$70),"",$F$70))</f>
        <v/>
      </c>
      <c r="BC70" s="2">
        <f>IF(ISERROR($H$70),"",IF(ISBLANK($H$70),"",$H$70))</f>
        <v/>
      </c>
      <c r="BF70" s="2">
        <f>ISERROR($A$70)*1+ISERROR($B$70)*1+ISERROR($D$70)*1+ISERROR($F$70)*1+ISERROR($H$70)*1</f>
        <v/>
      </c>
    </row>
    <row r="71" ht="60" customHeight="1">
      <c r="A71" s="35" t="n"/>
      <c r="B71" s="29" t="n"/>
      <c r="C71" s="17" t="n"/>
      <c r="D71" s="29" t="n"/>
      <c r="E71" s="17" t="n"/>
      <c r="F71" s="29" t="n"/>
      <c r="G71" s="17" t="n"/>
      <c r="H71" s="29" t="n"/>
      <c r="I71" s="25" t="n"/>
      <c r="J71" s="17" t="n"/>
      <c r="K71" s="27">
        <f>IF(BF71&gt;0,"O Google leu como fórmula: escolha de novo ou digite com ' na frente.",IF(LEN($AV$71)=0,"",IF(COUNTIF($AG$10:$AG$39,$AV$71)&gt;1,"Nome repetido no elenco",IF(COUNTIF('Dados'!$B$92:$B$123,$AV$71)&gt;0,"Nome igual a uma criatura do Bestiário",""))))</f>
        <v/>
      </c>
      <c r="AE71" s="2">
        <f>$AE$70+IF(AND(LEN($N$15)&gt;0,INDEX('Tabelas'!$X$472:$X$578,62)&amp;""=$N$15,LEN(INDEX('Tabelas'!$Y$472:$Y$578,62)&amp;"")&gt;0),1,0)</f>
        <v/>
      </c>
      <c r="AT71" s="2">
        <f>'Tabelas'!$AE$422&amp;""</f>
        <v/>
      </c>
      <c r="AV71" s="2">
        <f>IF(ISERROR($A$71),"",IF(ISBLANK($A$71),"",$A$71))</f>
        <v/>
      </c>
      <c r="AW71" s="2">
        <f>IF(ISERROR($B$71),"",IF(ISBLANK($B$71),"",$B$71))</f>
        <v/>
      </c>
      <c r="AY71" s="2">
        <f>IF(ISERROR($D$71),"",IF(ISBLANK($D$71),"",$D$71))</f>
        <v/>
      </c>
      <c r="BA71" s="2">
        <f>IF(ISERROR($F$71),"",IF(ISBLANK($F$71),"",$F$71))</f>
        <v/>
      </c>
      <c r="BC71" s="2">
        <f>IF(ISERROR($H$71),"",IF(ISBLANK($H$71),"",$H$71))</f>
        <v/>
      </c>
      <c r="BF71" s="2">
        <f>ISERROR($A$71)*1+ISERROR($B$71)*1+ISERROR($D$71)*1+ISERROR($F$71)*1+ISERROR($H$71)*1</f>
        <v/>
      </c>
    </row>
    <row r="72" ht="60" customHeight="1">
      <c r="A72" s="33" t="n"/>
      <c r="B72" s="4" t="n"/>
      <c r="C72" s="17" t="n"/>
      <c r="D72" s="4" t="n"/>
      <c r="E72" s="17" t="n"/>
      <c r="F72" s="4" t="n"/>
      <c r="G72" s="17" t="n"/>
      <c r="H72" s="4" t="n"/>
      <c r="I72" s="25" t="n"/>
      <c r="J72" s="17" t="n"/>
      <c r="K72" s="19">
        <f>IF(BF72&gt;0,"O Google leu como fórmula: escolha de novo ou digite com ' na frente.",IF(LEN($AV$72)=0,"",IF(COUNTIF($AG$10:$AG$39,$AV$72)&gt;1,"Nome repetido no elenco",IF(COUNTIF('Dados'!$B$92:$B$123,$AV$72)&gt;0,"Nome igual a uma criatura do Bestiário",""))))</f>
        <v/>
      </c>
      <c r="AE72" s="2">
        <f>$AE$71+IF(AND(LEN($N$15)&gt;0,INDEX('Tabelas'!$X$472:$X$578,63)&amp;""=$N$15,LEN(INDEX('Tabelas'!$Y$472:$Y$578,63)&amp;"")&gt;0),1,0)</f>
        <v/>
      </c>
      <c r="AT72" s="2">
        <f>'Tabelas'!$AE$423&amp;""</f>
        <v/>
      </c>
      <c r="AV72" s="2">
        <f>IF(ISERROR($A$72),"",IF(ISBLANK($A$72),"",$A$72))</f>
        <v/>
      </c>
      <c r="AW72" s="2">
        <f>IF(ISERROR($B$72),"",IF(ISBLANK($B$72),"",$B$72))</f>
        <v/>
      </c>
      <c r="AY72" s="2">
        <f>IF(ISERROR($D$72),"",IF(ISBLANK($D$72),"",$D$72))</f>
        <v/>
      </c>
      <c r="BA72" s="2">
        <f>IF(ISERROR($F$72),"",IF(ISBLANK($F$72),"",$F$72))</f>
        <v/>
      </c>
      <c r="BC72" s="2">
        <f>IF(ISERROR($H$72),"",IF(ISBLANK($H$72),"",$H$72))</f>
        <v/>
      </c>
      <c r="BF72" s="2">
        <f>ISERROR($A$72)*1+ISERROR($B$72)*1+ISERROR($D$72)*1+ISERROR($F$72)*1+ISERROR($H$72)*1</f>
        <v/>
      </c>
    </row>
    <row r="73" ht="60" customHeight="1">
      <c r="A73" s="35" t="n"/>
      <c r="B73" s="29" t="n"/>
      <c r="C73" s="17" t="n"/>
      <c r="D73" s="29" t="n"/>
      <c r="E73" s="17" t="n"/>
      <c r="F73" s="29" t="n"/>
      <c r="G73" s="17" t="n"/>
      <c r="H73" s="29" t="n"/>
      <c r="I73" s="25" t="n"/>
      <c r="J73" s="17" t="n"/>
      <c r="K73" s="27">
        <f>IF(BF73&gt;0,"O Google leu como fórmula: escolha de novo ou digite com ' na frente.",IF(LEN($AV$73)=0,"",IF(COUNTIF($AG$10:$AG$39,$AV$73)&gt;1,"Nome repetido no elenco",IF(COUNTIF('Dados'!$B$92:$B$123,$AV$73)&gt;0,"Nome igual a uma criatura do Bestiário",""))))</f>
        <v/>
      </c>
      <c r="AE73" s="2">
        <f>$AE$72+IF(AND(LEN($N$15)&gt;0,INDEX('Tabelas'!$X$472:$X$578,64)&amp;""=$N$15,LEN(INDEX('Tabelas'!$Y$472:$Y$578,64)&amp;"")&gt;0),1,0)</f>
        <v/>
      </c>
      <c r="AT73" s="2">
        <f>'Tabelas'!$AE$424&amp;""</f>
        <v/>
      </c>
      <c r="AV73" s="2">
        <f>IF(ISERROR($A$73),"",IF(ISBLANK($A$73),"",$A$73))</f>
        <v/>
      </c>
      <c r="AW73" s="2">
        <f>IF(ISERROR($B$73),"",IF(ISBLANK($B$73),"",$B$73))</f>
        <v/>
      </c>
      <c r="AY73" s="2">
        <f>IF(ISERROR($D$73),"",IF(ISBLANK($D$73),"",$D$73))</f>
        <v/>
      </c>
      <c r="BA73" s="2">
        <f>IF(ISERROR($F$73),"",IF(ISBLANK($F$73),"",$F$73))</f>
        <v/>
      </c>
      <c r="BC73" s="2">
        <f>IF(ISERROR($H$73),"",IF(ISBLANK($H$73),"",$H$73))</f>
        <v/>
      </c>
      <c r="BF73" s="2">
        <f>ISERROR($A$73)*1+ISERROR($B$73)*1+ISERROR($D$73)*1+ISERROR($F$73)*1+ISERROR($H$73)*1</f>
        <v/>
      </c>
    </row>
    <row r="74" ht="60" customHeight="1">
      <c r="A74" s="33" t="n"/>
      <c r="B74" s="4" t="n"/>
      <c r="C74" s="17" t="n"/>
      <c r="D74" s="4" t="n"/>
      <c r="E74" s="17" t="n"/>
      <c r="F74" s="4" t="n"/>
      <c r="G74" s="17" t="n"/>
      <c r="H74" s="4" t="n"/>
      <c r="I74" s="25" t="n"/>
      <c r="J74" s="17" t="n"/>
      <c r="K74" s="19">
        <f>IF(BF74&gt;0,"O Google leu como fórmula: escolha de novo ou digite com ' na frente.",IF(LEN($AV$74)=0,"",IF(COUNTIF($AG$10:$AG$39,$AV$74)&gt;1,"Nome repetido no elenco",IF(COUNTIF('Dados'!$B$92:$B$123,$AV$74)&gt;0,"Nome igual a uma criatura do Bestiário",""))))</f>
        <v/>
      </c>
      <c r="AE74" s="2">
        <f>$AE$73+IF(AND(LEN($N$15)&gt;0,INDEX('Tabelas'!$X$472:$X$578,65)&amp;""=$N$15,LEN(INDEX('Tabelas'!$Y$472:$Y$578,65)&amp;"")&gt;0),1,0)</f>
        <v/>
      </c>
      <c r="AT74" s="2">
        <f>'Tabelas'!$AE$425&amp;""</f>
        <v/>
      </c>
      <c r="AV74" s="2">
        <f>IF(ISERROR($A$74),"",IF(ISBLANK($A$74),"",$A$74))</f>
        <v/>
      </c>
      <c r="AW74" s="2">
        <f>IF(ISERROR($B$74),"",IF(ISBLANK($B$74),"",$B$74))</f>
        <v/>
      </c>
      <c r="AY74" s="2">
        <f>IF(ISERROR($D$74),"",IF(ISBLANK($D$74),"",$D$74))</f>
        <v/>
      </c>
      <c r="BA74" s="2">
        <f>IF(ISERROR($F$74),"",IF(ISBLANK($F$74),"",$F$74))</f>
        <v/>
      </c>
      <c r="BC74" s="2">
        <f>IF(ISERROR($H$74),"",IF(ISBLANK($H$74),"",$H$74))</f>
        <v/>
      </c>
      <c r="BF74" s="2">
        <f>ISERROR($A$74)*1+ISERROR($B$74)*1+ISERROR($D$74)*1+ISERROR($F$74)*1+ISERROR($H$74)*1</f>
        <v/>
      </c>
    </row>
    <row r="75" ht="60" customHeight="1">
      <c r="A75" s="35" t="n"/>
      <c r="B75" s="29" t="n"/>
      <c r="C75" s="17" t="n"/>
      <c r="D75" s="29" t="n"/>
      <c r="E75" s="17" t="n"/>
      <c r="F75" s="29" t="n"/>
      <c r="G75" s="17" t="n"/>
      <c r="H75" s="29" t="n"/>
      <c r="I75" s="25" t="n"/>
      <c r="J75" s="17" t="n"/>
      <c r="K75" s="27">
        <f>IF(BF75&gt;0,"O Google leu como fórmula: escolha de novo ou digite com ' na frente.",IF(LEN($AV$75)=0,"",IF(COUNTIF($AG$10:$AG$39,$AV$75)&gt;1,"Nome repetido no elenco",IF(COUNTIF('Dados'!$B$92:$B$123,$AV$75)&gt;0,"Nome igual a uma criatura do Bestiário",""))))</f>
        <v/>
      </c>
      <c r="AE75" s="2">
        <f>$AE$74+IF(AND(LEN($N$15)&gt;0,INDEX('Tabelas'!$X$472:$X$578,66)&amp;""=$N$15,LEN(INDEX('Tabelas'!$Y$472:$Y$578,66)&amp;"")&gt;0),1,0)</f>
        <v/>
      </c>
      <c r="AT75" s="2">
        <f>'Tabelas'!$AE$427&amp;""</f>
        <v/>
      </c>
      <c r="AV75" s="2">
        <f>IF(ISERROR($A$75),"",IF(ISBLANK($A$75),"",$A$75))</f>
        <v/>
      </c>
      <c r="AW75" s="2">
        <f>IF(ISERROR($B$75),"",IF(ISBLANK($B$75),"",$B$75))</f>
        <v/>
      </c>
      <c r="AY75" s="2">
        <f>IF(ISERROR($D$75),"",IF(ISBLANK($D$75),"",$D$75))</f>
        <v/>
      </c>
      <c r="BA75" s="2">
        <f>IF(ISERROR($F$75),"",IF(ISBLANK($F$75),"",$F$75))</f>
        <v/>
      </c>
      <c r="BC75" s="2">
        <f>IF(ISERROR($H$75),"",IF(ISBLANK($H$75),"",$H$75))</f>
        <v/>
      </c>
      <c r="BF75" s="2">
        <f>ISERROR($A$75)*1+ISERROR($B$75)*1+ISERROR($D$75)*1+ISERROR($F$75)*1+ISERROR($H$75)*1</f>
        <v/>
      </c>
    </row>
    <row r="76" ht="60" customHeight="1">
      <c r="A76" s="33" t="n"/>
      <c r="B76" s="4" t="n"/>
      <c r="C76" s="17" t="n"/>
      <c r="D76" s="4" t="n"/>
      <c r="E76" s="17" t="n"/>
      <c r="F76" s="4" t="n"/>
      <c r="G76" s="17" t="n"/>
      <c r="H76" s="4" t="n"/>
      <c r="I76" s="25" t="n"/>
      <c r="J76" s="17" t="n"/>
      <c r="K76" s="19">
        <f>IF(BF76&gt;0,"O Google leu como fórmula: escolha de novo ou digite com ' na frente.",IF(LEN($AV$76)=0,"",IF(COUNTIF($AG$10:$AG$39,$AV$76)&gt;1,"Nome repetido no elenco",IF(COUNTIF('Dados'!$B$92:$B$123,$AV$76)&gt;0,"Nome igual a uma criatura do Bestiário",""))))</f>
        <v/>
      </c>
      <c r="AE76" s="2">
        <f>$AE$75+IF(AND(LEN($N$15)&gt;0,INDEX('Tabelas'!$X$472:$X$578,67)&amp;""=$N$15,LEN(INDEX('Tabelas'!$Y$472:$Y$578,67)&amp;"")&gt;0),1,0)</f>
        <v/>
      </c>
      <c r="AT76" s="2">
        <f>'Tabelas'!$AE$428&amp;""</f>
        <v/>
      </c>
      <c r="AV76" s="2">
        <f>IF(ISERROR($A$76),"",IF(ISBLANK($A$76),"",$A$76))</f>
        <v/>
      </c>
      <c r="AW76" s="2">
        <f>IF(ISERROR($B$76),"",IF(ISBLANK($B$76),"",$B$76))</f>
        <v/>
      </c>
      <c r="AY76" s="2">
        <f>IF(ISERROR($D$76),"",IF(ISBLANK($D$76),"",$D$76))</f>
        <v/>
      </c>
      <c r="BA76" s="2">
        <f>IF(ISERROR($F$76),"",IF(ISBLANK($F$76),"",$F$76))</f>
        <v/>
      </c>
      <c r="BC76" s="2">
        <f>IF(ISERROR($H$76),"",IF(ISBLANK($H$76),"",$H$76))</f>
        <v/>
      </c>
      <c r="BF76" s="2">
        <f>ISERROR($A$76)*1+ISERROR($B$76)*1+ISERROR($D$76)*1+ISERROR($F$76)*1+ISERROR($H$76)*1</f>
        <v/>
      </c>
    </row>
    <row r="77" ht="60" customHeight="1">
      <c r="A77" s="35" t="n"/>
      <c r="B77" s="29" t="n"/>
      <c r="C77" s="17" t="n"/>
      <c r="D77" s="29" t="n"/>
      <c r="E77" s="17" t="n"/>
      <c r="F77" s="29" t="n"/>
      <c r="G77" s="17" t="n"/>
      <c r="H77" s="29" t="n"/>
      <c r="I77" s="25" t="n"/>
      <c r="J77" s="17" t="n"/>
      <c r="K77" s="27">
        <f>IF(BF77&gt;0,"O Google leu como fórmula: escolha de novo ou digite com ' na frente.",IF(LEN($AV$77)=0,"",IF(COUNTIF($AG$10:$AG$39,$AV$77)&gt;1,"Nome repetido no elenco",IF(COUNTIF('Dados'!$B$92:$B$123,$AV$77)&gt;0,"Nome igual a uma criatura do Bestiário",""))))</f>
        <v/>
      </c>
      <c r="AE77" s="2">
        <f>$AE$76+IF(AND(LEN($N$15)&gt;0,INDEX('Tabelas'!$X$472:$X$578,68)&amp;""=$N$15,LEN(INDEX('Tabelas'!$Y$472:$Y$578,68)&amp;"")&gt;0),1,0)</f>
        <v/>
      </c>
      <c r="AT77" s="2">
        <f>'Tabelas'!$AE$429&amp;""</f>
        <v/>
      </c>
      <c r="AV77" s="2">
        <f>IF(ISERROR($A$77),"",IF(ISBLANK($A$77),"",$A$77))</f>
        <v/>
      </c>
      <c r="AW77" s="2">
        <f>IF(ISERROR($B$77),"",IF(ISBLANK($B$77),"",$B$77))</f>
        <v/>
      </c>
      <c r="AY77" s="2">
        <f>IF(ISERROR($D$77),"",IF(ISBLANK($D$77),"",$D$77))</f>
        <v/>
      </c>
      <c r="BA77" s="2">
        <f>IF(ISERROR($F$77),"",IF(ISBLANK($F$77),"",$F$77))</f>
        <v/>
      </c>
      <c r="BC77" s="2">
        <f>IF(ISERROR($H$77),"",IF(ISBLANK($H$77),"",$H$77))</f>
        <v/>
      </c>
      <c r="BF77" s="2">
        <f>ISERROR($A$77)*1+ISERROR($B$77)*1+ISERROR($D$77)*1+ISERROR($F$77)*1+ISERROR($H$77)*1</f>
        <v/>
      </c>
    </row>
    <row r="78" ht="20" customHeight="1">
      <c r="A78" s="13" t="inlineStr">
        <is>
          <t>E2 · Como é</t>
        </is>
      </c>
      <c r="AE78" s="2">
        <f>$AE$77+IF(AND(LEN($N$15)&gt;0,INDEX('Tabelas'!$X$472:$X$578,69)&amp;""=$N$15,LEN(INDEX('Tabelas'!$Y$472:$Y$578,69)&amp;"")&gt;0),1,0)</f>
        <v/>
      </c>
      <c r="AT78" s="2">
        <f>'Tabelas'!$AE$430&amp;""</f>
        <v/>
      </c>
    </row>
    <row r="79">
      <c r="A79" s="8" t="inlineStr">
        <is>
          <t>NPC</t>
        </is>
      </c>
      <c r="B79" s="8" t="inlineStr">
        <is>
          <t>Aparência</t>
        </is>
      </c>
      <c r="C79" s="20" t="n"/>
      <c r="D79" s="20" t="n"/>
      <c r="E79" s="20" t="n"/>
      <c r="F79" s="8" t="inlineStr">
        <is>
          <t>Personalidade</t>
        </is>
      </c>
      <c r="G79" s="20" t="n"/>
      <c r="H79" s="20" t="n"/>
      <c r="I79" s="20" t="n"/>
      <c r="J79" s="20" t="n"/>
      <c r="K79" s="8" t="inlineStr">
        <is>
          <t>Aviso</t>
        </is>
      </c>
      <c r="L79" s="20" t="n"/>
      <c r="AE79" s="2">
        <f>$AE$78</f>
        <v/>
      </c>
      <c r="AT79" s="2">
        <f>'Tabelas'!$AE$431&amp;""</f>
        <v/>
      </c>
    </row>
    <row r="80" ht="48" customHeight="1">
      <c r="A80" s="31">
        <f>IF(LEN($AV$46)&gt;0,$AV$46,"NPC 1")</f>
        <v/>
      </c>
      <c r="B80" s="4" t="n"/>
      <c r="C80" s="25" t="n"/>
      <c r="D80" s="25" t="n"/>
      <c r="E80" s="17" t="n"/>
      <c r="F80" s="4" t="n"/>
      <c r="G80" s="25" t="n"/>
      <c r="H80" s="25" t="n"/>
      <c r="I80" s="25" t="n"/>
      <c r="J80" s="17" t="n"/>
      <c r="K80" s="19">
        <f>IF(BF80&gt;0,"O Google leu como fórmula: digite de novo com ' na frente.","")</f>
        <v/>
      </c>
      <c r="AE80" s="2">
        <f>$AE$79+IF(AND(LEN($N$15)&gt;0,INDEX('Tabelas'!$X$472:$X$578,71)&amp;""=$N$15,LEN(INDEX('Tabelas'!$Y$472:$Y$578,71)&amp;"")&gt;0),1,0)</f>
        <v/>
      </c>
      <c r="AT80" s="2">
        <f>'Tabelas'!$AE$432&amp;""</f>
        <v/>
      </c>
      <c r="AW80" s="2">
        <f>IF(ISERROR($B$80),"",IF(ISBLANK($B$80),"",$B$80))</f>
        <v/>
      </c>
      <c r="BF80" s="2">
        <f>ISERROR($B$80)*1+ISERROR($F$80)*1</f>
        <v/>
      </c>
    </row>
    <row r="81" ht="60" customHeight="1">
      <c r="A81" s="43">
        <f>IF(LEN($AV$47)&gt;0,$AV$47,"NPC 2")</f>
        <v/>
      </c>
      <c r="B81" s="29" t="n"/>
      <c r="C81" s="25" t="n"/>
      <c r="D81" s="25" t="n"/>
      <c r="E81" s="17" t="n"/>
      <c r="F81" s="29" t="n"/>
      <c r="G81" s="25" t="n"/>
      <c r="H81" s="25" t="n"/>
      <c r="I81" s="25" t="n"/>
      <c r="J81" s="17" t="n"/>
      <c r="K81" s="27">
        <f>IF(BF81&gt;0,"O Google leu como fórmula: digite de novo com ' na frente.","")</f>
        <v/>
      </c>
      <c r="AE81" s="2">
        <f>$AE$80+IF(AND(LEN($N$15)&gt;0,INDEX('Tabelas'!$X$472:$X$578,72)&amp;""=$N$15,LEN(INDEX('Tabelas'!$Y$472:$Y$578,72)&amp;"")&gt;0),1,0)</f>
        <v/>
      </c>
      <c r="AT81" s="2">
        <f>'Tabelas'!$AE$433&amp;""</f>
        <v/>
      </c>
      <c r="AW81" s="2">
        <f>IF(ISERROR($B$81),"",IF(ISBLANK($B$81),"",$B$81))</f>
        <v/>
      </c>
      <c r="BF81" s="2">
        <f>ISERROR($B$81)*1+ISERROR($F$81)*1</f>
        <v/>
      </c>
    </row>
    <row r="82" ht="60" customHeight="1">
      <c r="A82" s="31">
        <f>IF(LEN($AV$48)&gt;0,$AV$48,"NPC 3")</f>
        <v/>
      </c>
      <c r="B82" s="4" t="n"/>
      <c r="C82" s="25" t="n"/>
      <c r="D82" s="25" t="n"/>
      <c r="E82" s="17" t="n"/>
      <c r="F82" s="4" t="n"/>
      <c r="G82" s="25" t="n"/>
      <c r="H82" s="25" t="n"/>
      <c r="I82" s="25" t="n"/>
      <c r="J82" s="17" t="n"/>
      <c r="K82" s="19">
        <f>IF(BF82&gt;0,"O Google leu como fórmula: digite de novo com ' na frente.","")</f>
        <v/>
      </c>
      <c r="AE82" s="2">
        <f>$AE$81+IF(AND(LEN($N$15)&gt;0,INDEX('Tabelas'!$X$472:$X$578,73)&amp;""=$N$15,LEN(INDEX('Tabelas'!$Y$472:$Y$578,73)&amp;"")&gt;0),1,0)</f>
        <v/>
      </c>
      <c r="AT82" s="2">
        <f>'Tabelas'!$AE$434&amp;""</f>
        <v/>
      </c>
      <c r="AW82" s="2">
        <f>IF(ISERROR($B$82),"",IF(ISBLANK($B$82),"",$B$82))</f>
        <v/>
      </c>
      <c r="BF82" s="2">
        <f>ISERROR($B$82)*1+ISERROR($F$82)*1</f>
        <v/>
      </c>
    </row>
    <row r="83" ht="60" customHeight="1">
      <c r="A83" s="43">
        <f>IF(LEN($AV$49)&gt;0,$AV$49,"NPC 4")</f>
        <v/>
      </c>
      <c r="B83" s="29" t="n"/>
      <c r="C83" s="25" t="n"/>
      <c r="D83" s="25" t="n"/>
      <c r="E83" s="17" t="n"/>
      <c r="F83" s="29" t="n"/>
      <c r="G83" s="25" t="n"/>
      <c r="H83" s="25" t="n"/>
      <c r="I83" s="25" t="n"/>
      <c r="J83" s="17" t="n"/>
      <c r="K83" s="27">
        <f>IF(BF83&gt;0,"O Google leu como fórmula: digite de novo com ' na frente.","")</f>
        <v/>
      </c>
      <c r="AE83" s="2">
        <f>$AE$82+IF(AND(LEN($N$15)&gt;0,INDEX('Tabelas'!$X$472:$X$578,74)&amp;""=$N$15,LEN(INDEX('Tabelas'!$Y$472:$Y$578,74)&amp;"")&gt;0),1,0)</f>
        <v/>
      </c>
      <c r="AT83" s="2">
        <f>'Tabelas'!$AE$435&amp;""</f>
        <v/>
      </c>
      <c r="AW83" s="2">
        <f>IF(ISERROR($B$83),"",IF(ISBLANK($B$83),"",$B$83))</f>
        <v/>
      </c>
      <c r="BF83" s="2">
        <f>ISERROR($B$83)*1+ISERROR($F$83)*1</f>
        <v/>
      </c>
    </row>
    <row r="84" ht="60" customHeight="1">
      <c r="A84" s="31">
        <f>IF(LEN($AV$50)&gt;0,$AV$50,"NPC 5")</f>
        <v/>
      </c>
      <c r="B84" s="4" t="n"/>
      <c r="C84" s="25" t="n"/>
      <c r="D84" s="25" t="n"/>
      <c r="E84" s="17" t="n"/>
      <c r="F84" s="4" t="n"/>
      <c r="G84" s="25" t="n"/>
      <c r="H84" s="25" t="n"/>
      <c r="I84" s="25" t="n"/>
      <c r="J84" s="17" t="n"/>
      <c r="K84" s="19">
        <f>IF(BF84&gt;0,"O Google leu como fórmula: digite de novo com ' na frente.","")</f>
        <v/>
      </c>
      <c r="AE84" s="2">
        <f>$AE$83+IF(AND(LEN($N$15)&gt;0,INDEX('Tabelas'!$X$472:$X$578,75)&amp;""=$N$15,LEN(INDEX('Tabelas'!$Y$472:$Y$578,75)&amp;"")&gt;0),1,0)</f>
        <v/>
      </c>
      <c r="AT84" s="2">
        <f>'Tabelas'!$AE$436&amp;""</f>
        <v/>
      </c>
      <c r="AW84" s="2">
        <f>IF(ISERROR($B$84),"",IF(ISBLANK($B$84),"",$B$84))</f>
        <v/>
      </c>
      <c r="BF84" s="2">
        <f>ISERROR($B$84)*1+ISERROR($F$84)*1</f>
        <v/>
      </c>
    </row>
    <row r="85" ht="60" customHeight="1">
      <c r="A85" s="43">
        <f>IF(LEN($AV$51)&gt;0,$AV$51,"NPC 6")</f>
        <v/>
      </c>
      <c r="B85" s="29" t="n"/>
      <c r="C85" s="25" t="n"/>
      <c r="D85" s="25" t="n"/>
      <c r="E85" s="17" t="n"/>
      <c r="F85" s="29" t="n"/>
      <c r="G85" s="25" t="n"/>
      <c r="H85" s="25" t="n"/>
      <c r="I85" s="25" t="n"/>
      <c r="J85" s="17" t="n"/>
      <c r="K85" s="27">
        <f>IF(BF85&gt;0,"O Google leu como fórmula: digite de novo com ' na frente.","")</f>
        <v/>
      </c>
      <c r="AE85" s="2">
        <f>$AE$84+IF(AND(LEN($N$15)&gt;0,INDEX('Tabelas'!$X$472:$X$578,76)&amp;""=$N$15,LEN(INDEX('Tabelas'!$Y$472:$Y$578,76)&amp;"")&gt;0),1,0)</f>
        <v/>
      </c>
      <c r="AT85" s="2">
        <f>'Tabelas'!$AE$437&amp;""</f>
        <v/>
      </c>
      <c r="AW85" s="2">
        <f>IF(ISERROR($B$85),"",IF(ISBLANK($B$85),"",$B$85))</f>
        <v/>
      </c>
      <c r="BF85" s="2">
        <f>ISERROR($B$85)*1+ISERROR($F$85)*1</f>
        <v/>
      </c>
    </row>
    <row r="86" ht="71" customHeight="1">
      <c r="A86" s="31">
        <f>IF(LEN($AV$52)&gt;0,$AV$52,"NPC 7")</f>
        <v/>
      </c>
      <c r="B86" s="4" t="n"/>
      <c r="C86" s="25" t="n"/>
      <c r="D86" s="25" t="n"/>
      <c r="E86" s="17" t="n"/>
      <c r="F86" s="4" t="n"/>
      <c r="G86" s="25" t="n"/>
      <c r="H86" s="25" t="n"/>
      <c r="I86" s="25" t="n"/>
      <c r="J86" s="17" t="n"/>
      <c r="K86" s="19">
        <f>IF(BF86&gt;0,"O Google leu como fórmula: digite de novo com ' na frente.","")</f>
        <v/>
      </c>
      <c r="AE86" s="2">
        <f>$AE$85+IF(AND(LEN($N$15)&gt;0,INDEX('Tabelas'!$X$472:$X$578,77)&amp;""=$N$15,LEN(INDEX('Tabelas'!$Y$472:$Y$578,77)&amp;"")&gt;0),1,0)</f>
        <v/>
      </c>
      <c r="AT86" s="2">
        <f>'Tabelas'!$AE$438&amp;""</f>
        <v/>
      </c>
      <c r="AW86" s="2">
        <f>IF(ISERROR($B$86),"",IF(ISBLANK($B$86),"",$B$86))</f>
        <v/>
      </c>
      <c r="BF86" s="2">
        <f>ISERROR($B$86)*1+ISERROR($F$86)*1</f>
        <v/>
      </c>
    </row>
    <row r="87" ht="60" customHeight="1">
      <c r="A87" s="43">
        <f>IF(LEN($AV$53)&gt;0,$AV$53,"NPC 8")</f>
        <v/>
      </c>
      <c r="B87" s="29" t="n"/>
      <c r="C87" s="25" t="n"/>
      <c r="D87" s="25" t="n"/>
      <c r="E87" s="17" t="n"/>
      <c r="F87" s="29" t="n"/>
      <c r="G87" s="25" t="n"/>
      <c r="H87" s="25" t="n"/>
      <c r="I87" s="25" t="n"/>
      <c r="J87" s="17" t="n"/>
      <c r="K87" s="27">
        <f>IF(BF87&gt;0,"O Google leu como fórmula: digite de novo com ' na frente.","")</f>
        <v/>
      </c>
      <c r="AE87" s="2">
        <f>$AE$86+IF(AND(LEN($N$15)&gt;0,INDEX('Tabelas'!$X$472:$X$578,78)&amp;""=$N$15,LEN(INDEX('Tabelas'!$Y$472:$Y$578,78)&amp;"")&gt;0),1,0)</f>
        <v/>
      </c>
      <c r="AT87" s="2">
        <f>'Tabelas'!$AE$439&amp;""</f>
        <v/>
      </c>
      <c r="AW87" s="2">
        <f>IF(ISERROR($B$87),"",IF(ISBLANK($B$87),"",$B$87))</f>
        <v/>
      </c>
      <c r="BF87" s="2">
        <f>ISERROR($B$87)*1+ISERROR($F$87)*1</f>
        <v/>
      </c>
    </row>
    <row r="88" ht="60" customHeight="1">
      <c r="A88" s="31">
        <f>IF(LEN($AV$54)&gt;0,$AV$54,"NPC 9")</f>
        <v/>
      </c>
      <c r="B88" s="4" t="n"/>
      <c r="C88" s="25" t="n"/>
      <c r="D88" s="25" t="n"/>
      <c r="E88" s="17" t="n"/>
      <c r="F88" s="4" t="n"/>
      <c r="G88" s="25" t="n"/>
      <c r="H88" s="25" t="n"/>
      <c r="I88" s="25" t="n"/>
      <c r="J88" s="17" t="n"/>
      <c r="K88" s="19">
        <f>IF(BF88&gt;0,"O Google leu como fórmula: digite de novo com ' na frente.","")</f>
        <v/>
      </c>
      <c r="AE88" s="2">
        <f>$AE$87+IF(AND(LEN($N$15)&gt;0,INDEX('Tabelas'!$X$472:$X$578,79)&amp;""=$N$15,LEN(INDEX('Tabelas'!$Y$472:$Y$578,79)&amp;"")&gt;0),1,0)</f>
        <v/>
      </c>
      <c r="AT88" s="2">
        <f>'Tabelas'!$AE$441&amp;""</f>
        <v/>
      </c>
      <c r="AW88" s="2">
        <f>IF(ISERROR($B$88),"",IF(ISBLANK($B$88),"",$B$88))</f>
        <v/>
      </c>
      <c r="BF88" s="2">
        <f>ISERROR($B$88)*1+ISERROR($F$88)*1</f>
        <v/>
      </c>
    </row>
    <row r="89" ht="60" customHeight="1">
      <c r="A89" s="43">
        <f>IF(LEN($AV$55)&gt;0,$AV$55,"NPC 10")</f>
        <v/>
      </c>
      <c r="B89" s="29" t="n"/>
      <c r="C89" s="25" t="n"/>
      <c r="D89" s="25" t="n"/>
      <c r="E89" s="17" t="n"/>
      <c r="F89" s="29" t="n"/>
      <c r="G89" s="25" t="n"/>
      <c r="H89" s="25" t="n"/>
      <c r="I89" s="25" t="n"/>
      <c r="J89" s="17" t="n"/>
      <c r="K89" s="27">
        <f>IF(BF89&gt;0,"O Google leu como fórmula: digite de novo com ' na frente.","")</f>
        <v/>
      </c>
      <c r="AE89" s="2">
        <f>$AE$88+IF(AND(LEN($N$15)&gt;0,INDEX('Tabelas'!$X$472:$X$578,80)&amp;""=$N$15,LEN(INDEX('Tabelas'!$Y$472:$Y$578,80)&amp;"")&gt;0),1,0)</f>
        <v/>
      </c>
      <c r="AT89" s="2">
        <f>'Tabelas'!$AE$442&amp;""</f>
        <v/>
      </c>
      <c r="AW89" s="2">
        <f>IF(ISERROR($B$89),"",IF(ISBLANK($B$89),"",$B$89))</f>
        <v/>
      </c>
      <c r="BF89" s="2">
        <f>ISERROR($B$89)*1+ISERROR($F$89)*1</f>
        <v/>
      </c>
    </row>
    <row r="90">
      <c r="A90" s="8" t="inlineStr">
        <is>
          <t>NPC</t>
        </is>
      </c>
      <c r="B90" s="8" t="inlineStr">
        <is>
          <t>Aparência</t>
        </is>
      </c>
      <c r="C90" s="20" t="n"/>
      <c r="D90" s="20" t="n"/>
      <c r="E90" s="20" t="n"/>
      <c r="F90" s="8" t="inlineStr">
        <is>
          <t>Personalidade</t>
        </is>
      </c>
      <c r="G90" s="20" t="n"/>
      <c r="H90" s="20" t="n"/>
      <c r="I90" s="20" t="n"/>
      <c r="J90" s="20" t="n"/>
      <c r="K90" s="8" t="inlineStr">
        <is>
          <t>Aviso</t>
        </is>
      </c>
      <c r="L90" s="20" t="n"/>
      <c r="AE90" s="2">
        <f>$AE$89+IF(AND(LEN($N$15)&gt;0,INDEX('Tabelas'!$X$472:$X$578,81)&amp;""=$N$15,LEN(INDEX('Tabelas'!$Y$472:$Y$578,81)&amp;"")&gt;0),1,0)</f>
        <v/>
      </c>
      <c r="AT90" s="2">
        <f>'Tabelas'!$AE$443&amp;""</f>
        <v/>
      </c>
    </row>
    <row r="91" ht="48" customHeight="1">
      <c r="A91" s="31">
        <f>IF(LEN($AV$57)&gt;0,$AV$57,"NPC 11")</f>
        <v/>
      </c>
      <c r="B91" s="4" t="n"/>
      <c r="C91" s="25" t="n"/>
      <c r="D91" s="25" t="n"/>
      <c r="E91" s="17" t="n"/>
      <c r="F91" s="4" t="n"/>
      <c r="G91" s="25" t="n"/>
      <c r="H91" s="25" t="n"/>
      <c r="I91" s="25" t="n"/>
      <c r="J91" s="17" t="n"/>
      <c r="K91" s="19">
        <f>IF(BF91&gt;0,"O Google leu como fórmula: digite de novo com ' na frente.","")</f>
        <v/>
      </c>
      <c r="AE91" s="2">
        <f>$AE$90+IF(AND(LEN($N$15)&gt;0,INDEX('Tabelas'!$X$472:$X$578,82)&amp;""=$N$15,LEN(INDEX('Tabelas'!$Y$472:$Y$578,82)&amp;"")&gt;0),1,0)</f>
        <v/>
      </c>
      <c r="AT91" s="2">
        <f>'Tabelas'!$AE$444&amp;""</f>
        <v/>
      </c>
      <c r="AW91" s="2">
        <f>IF(ISERROR($B$91),"",IF(ISBLANK($B$91),"",$B$91))</f>
        <v/>
      </c>
      <c r="BF91" s="2">
        <f>ISERROR($B$91)*1+ISERROR($F$91)*1</f>
        <v/>
      </c>
    </row>
    <row r="92" ht="48" customHeight="1">
      <c r="A92" s="43">
        <f>IF(LEN($AV$58)&gt;0,$AV$58,"NPC 12")</f>
        <v/>
      </c>
      <c r="B92" s="29" t="n"/>
      <c r="C92" s="25" t="n"/>
      <c r="D92" s="25" t="n"/>
      <c r="E92" s="17" t="n"/>
      <c r="F92" s="29" t="n"/>
      <c r="G92" s="25" t="n"/>
      <c r="H92" s="25" t="n"/>
      <c r="I92" s="25" t="n"/>
      <c r="J92" s="17" t="n"/>
      <c r="K92" s="27">
        <f>IF(BF92&gt;0,"O Google leu como fórmula: digite de novo com ' na frente.","")</f>
        <v/>
      </c>
      <c r="AE92" s="2">
        <f>$AE$91+IF(AND(LEN($N$15)&gt;0,INDEX('Tabelas'!$X$472:$X$578,83)&amp;""=$N$15,LEN(INDEX('Tabelas'!$Y$472:$Y$578,83)&amp;"")&gt;0),1,0)</f>
        <v/>
      </c>
      <c r="AT92" s="2">
        <f>'Tabelas'!$AE$445&amp;""</f>
        <v/>
      </c>
      <c r="AW92" s="2">
        <f>IF(ISERROR($B$92),"",IF(ISBLANK($B$92),"",$B$92))</f>
        <v/>
      </c>
      <c r="BF92" s="2">
        <f>ISERROR($B$92)*1+ISERROR($F$92)*1</f>
        <v/>
      </c>
    </row>
    <row r="93" ht="82" customHeight="1">
      <c r="A93" s="31">
        <f>IF(LEN($AV$59)&gt;0,$AV$59,"NPC 13")</f>
        <v/>
      </c>
      <c r="B93" s="4" t="n"/>
      <c r="C93" s="25" t="n"/>
      <c r="D93" s="25" t="n"/>
      <c r="E93" s="17" t="n"/>
      <c r="F93" s="4" t="n"/>
      <c r="G93" s="25" t="n"/>
      <c r="H93" s="25" t="n"/>
      <c r="I93" s="25" t="n"/>
      <c r="J93" s="17" t="n"/>
      <c r="K93" s="19">
        <f>IF(BF93&gt;0,"O Google leu como fórmula: digite de novo com ' na frente.","")</f>
        <v/>
      </c>
      <c r="AE93" s="2">
        <f>$AE$92</f>
        <v/>
      </c>
      <c r="AT93" s="2">
        <f>'Tabelas'!$AE$446&amp;""</f>
        <v/>
      </c>
      <c r="AW93" s="2">
        <f>IF(ISERROR($B$93),"",IF(ISBLANK($B$93),"",$B$93))</f>
        <v/>
      </c>
      <c r="BF93" s="2">
        <f>ISERROR($B$93)*1+ISERROR($F$93)*1</f>
        <v/>
      </c>
    </row>
    <row r="94" ht="48" customHeight="1">
      <c r="A94" s="43">
        <f>IF(LEN($AV$60)&gt;0,$AV$60,"NPC 14")</f>
        <v/>
      </c>
      <c r="B94" s="29" t="n"/>
      <c r="C94" s="25" t="n"/>
      <c r="D94" s="25" t="n"/>
      <c r="E94" s="17" t="n"/>
      <c r="F94" s="29" t="n"/>
      <c r="G94" s="25" t="n"/>
      <c r="H94" s="25" t="n"/>
      <c r="I94" s="25" t="n"/>
      <c r="J94" s="17" t="n"/>
      <c r="K94" s="27">
        <f>IF(BF94&gt;0,"O Google leu como fórmula: digite de novo com ' na frente.","")</f>
        <v/>
      </c>
      <c r="AE94" s="2">
        <f>$AE$93+IF(AND(LEN($N$15)&gt;0,INDEX('Tabelas'!$X$472:$X$578,85)&amp;""=$N$15,LEN(INDEX('Tabelas'!$Y$472:$Y$578,85)&amp;"")&gt;0),1,0)</f>
        <v/>
      </c>
      <c r="AT94" s="2">
        <f>'Tabelas'!$AE$447&amp;""</f>
        <v/>
      </c>
      <c r="AW94" s="2">
        <f>IF(ISERROR($B$94),"",IF(ISBLANK($B$94),"",$B$94))</f>
        <v/>
      </c>
      <c r="BF94" s="2">
        <f>ISERROR($B$94)*1+ISERROR($F$94)*1</f>
        <v/>
      </c>
    </row>
    <row r="95" ht="60" customHeight="1">
      <c r="A95" s="31">
        <f>IF(LEN($AV$61)&gt;0,$AV$61,"NPC 15")</f>
        <v/>
      </c>
      <c r="B95" s="4" t="n"/>
      <c r="C95" s="25" t="n"/>
      <c r="D95" s="25" t="n"/>
      <c r="E95" s="17" t="n"/>
      <c r="F95" s="4" t="n"/>
      <c r="G95" s="25" t="n"/>
      <c r="H95" s="25" t="n"/>
      <c r="I95" s="25" t="n"/>
      <c r="J95" s="17" t="n"/>
      <c r="K95" s="19">
        <f>IF(BF95&gt;0,"O Google leu como fórmula: digite de novo com ' na frente.","")</f>
        <v/>
      </c>
      <c r="AE95" s="2">
        <f>$AE$94+IF(AND(LEN($N$15)&gt;0,INDEX('Tabelas'!$X$472:$X$578,86)&amp;""=$N$15,LEN(INDEX('Tabelas'!$Y$472:$Y$578,86)&amp;"")&gt;0),1,0)</f>
        <v/>
      </c>
      <c r="AT95" s="2">
        <f>'Tabelas'!$AE$448&amp;""</f>
        <v/>
      </c>
      <c r="AW95" s="2">
        <f>IF(ISERROR($B$95),"",IF(ISBLANK($B$95),"",$B$95))</f>
        <v/>
      </c>
      <c r="BF95" s="2">
        <f>ISERROR($B$95)*1+ISERROR($F$95)*1</f>
        <v/>
      </c>
    </row>
    <row r="96" ht="60" customHeight="1">
      <c r="A96" s="43">
        <f>IF(LEN($AV$62)&gt;0,$AV$62,"NPC 16")</f>
        <v/>
      </c>
      <c r="B96" s="29" t="n"/>
      <c r="C96" s="25" t="n"/>
      <c r="D96" s="25" t="n"/>
      <c r="E96" s="17" t="n"/>
      <c r="F96" s="29" t="n"/>
      <c r="G96" s="25" t="n"/>
      <c r="H96" s="25" t="n"/>
      <c r="I96" s="25" t="n"/>
      <c r="J96" s="17" t="n"/>
      <c r="K96" s="27">
        <f>IF(BF96&gt;0,"O Google leu como fórmula: digite de novo com ' na frente.","")</f>
        <v/>
      </c>
      <c r="AE96" s="2">
        <f>$AE$95+IF(AND(LEN($N$15)&gt;0,INDEX('Tabelas'!$X$472:$X$578,87)&amp;""=$N$15,LEN(INDEX('Tabelas'!$Y$472:$Y$578,87)&amp;"")&gt;0),1,0)</f>
        <v/>
      </c>
      <c r="AT96" s="2">
        <f>'Tabelas'!$AE$449&amp;""</f>
        <v/>
      </c>
      <c r="AW96" s="2">
        <f>IF(ISERROR($B$96),"",IF(ISBLANK($B$96),"",$B$96))</f>
        <v/>
      </c>
      <c r="BF96" s="2">
        <f>ISERROR($B$96)*1+ISERROR($F$96)*1</f>
        <v/>
      </c>
    </row>
    <row r="97" ht="71" customHeight="1">
      <c r="A97" s="31">
        <f>IF(LEN($AV$63)&gt;0,$AV$63,"NPC 17")</f>
        <v/>
      </c>
      <c r="B97" s="4" t="n"/>
      <c r="C97" s="25" t="n"/>
      <c r="D97" s="25" t="n"/>
      <c r="E97" s="17" t="n"/>
      <c r="F97" s="4" t="n"/>
      <c r="G97" s="25" t="n"/>
      <c r="H97" s="25" t="n"/>
      <c r="I97" s="25" t="n"/>
      <c r="J97" s="17" t="n"/>
      <c r="K97" s="19">
        <f>IF(BF97&gt;0,"O Google leu como fórmula: digite de novo com ' na frente.","")</f>
        <v/>
      </c>
      <c r="AE97" s="2">
        <f>$AE$96+IF(AND(LEN($N$15)&gt;0,INDEX('Tabelas'!$X$472:$X$578,88)&amp;""=$N$15,LEN(INDEX('Tabelas'!$Y$472:$Y$578,88)&amp;"")&gt;0),1,0)</f>
        <v/>
      </c>
      <c r="AT97" s="2">
        <f>'Tabelas'!$AE$450&amp;""</f>
        <v/>
      </c>
      <c r="AW97" s="2">
        <f>IF(ISERROR($B$97),"",IF(ISBLANK($B$97),"",$B$97))</f>
        <v/>
      </c>
      <c r="BF97" s="2">
        <f>ISERROR($B$97)*1+ISERROR($F$97)*1</f>
        <v/>
      </c>
    </row>
    <row r="98" ht="48" customHeight="1">
      <c r="A98" s="43">
        <f>IF(LEN($AV$64)&gt;0,$AV$64,"NPC 18")</f>
        <v/>
      </c>
      <c r="B98" s="29" t="n"/>
      <c r="C98" s="25" t="n"/>
      <c r="D98" s="25" t="n"/>
      <c r="E98" s="17" t="n"/>
      <c r="F98" s="29" t="n"/>
      <c r="G98" s="25" t="n"/>
      <c r="H98" s="25" t="n"/>
      <c r="I98" s="25" t="n"/>
      <c r="J98" s="17" t="n"/>
      <c r="K98" s="27">
        <f>IF(BF98&gt;0,"O Google leu como fórmula: digite de novo com ' na frente.","")</f>
        <v/>
      </c>
      <c r="AE98" s="2">
        <f>$AE$97+IF(AND(LEN($N$15)&gt;0,INDEX('Tabelas'!$X$472:$X$578,89)&amp;""=$N$15,LEN(INDEX('Tabelas'!$Y$472:$Y$578,89)&amp;"")&gt;0),1,0)</f>
        <v/>
      </c>
      <c r="AT98" s="2">
        <f>'Tabelas'!$AE$451&amp;""</f>
        <v/>
      </c>
      <c r="AW98" s="2">
        <f>IF(ISERROR($B$98),"",IF(ISBLANK($B$98),"",$B$98))</f>
        <v/>
      </c>
      <c r="BF98" s="2">
        <f>ISERROR($B$98)*1+ISERROR($F$98)*1</f>
        <v/>
      </c>
    </row>
    <row r="99" ht="60" customHeight="1">
      <c r="A99" s="31">
        <f>IF(LEN($AV$65)&gt;0,$AV$65,"NPC 19")</f>
        <v/>
      </c>
      <c r="B99" s="4" t="n"/>
      <c r="C99" s="25" t="n"/>
      <c r="D99" s="25" t="n"/>
      <c r="E99" s="17" t="n"/>
      <c r="F99" s="4" t="n"/>
      <c r="G99" s="25" t="n"/>
      <c r="H99" s="25" t="n"/>
      <c r="I99" s="25" t="n"/>
      <c r="J99" s="17" t="n"/>
      <c r="K99" s="19">
        <f>IF(BF99&gt;0,"O Google leu como fórmula: digite de novo com ' na frente.","")</f>
        <v/>
      </c>
      <c r="AE99" s="2">
        <f>$AE$98+IF(AND(LEN($N$15)&gt;0,INDEX('Tabelas'!$X$472:$X$578,90)&amp;""=$N$15,LEN(INDEX('Tabelas'!$Y$472:$Y$578,90)&amp;"")&gt;0),1,0)</f>
        <v/>
      </c>
      <c r="AT99" s="2">
        <f>'Tabelas'!$AE$452&amp;""</f>
        <v/>
      </c>
      <c r="AW99" s="2">
        <f>IF(ISERROR($B$99),"",IF(ISBLANK($B$99),"",$B$99))</f>
        <v/>
      </c>
      <c r="BF99" s="2">
        <f>ISERROR($B$99)*1+ISERROR($F$99)*1</f>
        <v/>
      </c>
    </row>
    <row r="100" ht="60" customHeight="1">
      <c r="A100" s="43">
        <f>IF(LEN($AV$66)&gt;0,$AV$66,"NPC 20")</f>
        <v/>
      </c>
      <c r="B100" s="29" t="n"/>
      <c r="C100" s="25" t="n"/>
      <c r="D100" s="25" t="n"/>
      <c r="E100" s="17" t="n"/>
      <c r="F100" s="29" t="n"/>
      <c r="G100" s="25" t="n"/>
      <c r="H100" s="25" t="n"/>
      <c r="I100" s="25" t="n"/>
      <c r="J100" s="17" t="n"/>
      <c r="K100" s="27">
        <f>IF(BF100&gt;0,"O Google leu como fórmula: digite de novo com ' na frente.","")</f>
        <v/>
      </c>
      <c r="AE100" s="2">
        <f>$AE$99+IF(AND(LEN($N$15)&gt;0,INDEX('Tabelas'!$X$472:$X$578,91)&amp;""=$N$15,LEN(INDEX('Tabelas'!$Y$472:$Y$578,91)&amp;"")&gt;0),1,0)</f>
        <v/>
      </c>
      <c r="AT100" s="2">
        <f>'Tabelas'!$AE$453&amp;""</f>
        <v/>
      </c>
      <c r="AW100" s="2">
        <f>IF(ISERROR($B$100),"",IF(ISBLANK($B$100),"",$B$100))</f>
        <v/>
      </c>
      <c r="BF100" s="2">
        <f>ISERROR($B$100)*1+ISERROR($F$100)*1</f>
        <v/>
      </c>
    </row>
    <row r="101">
      <c r="A101" s="8" t="inlineStr">
        <is>
          <t>NPC</t>
        </is>
      </c>
      <c r="B101" s="8" t="inlineStr">
        <is>
          <t>Aparência</t>
        </is>
      </c>
      <c r="C101" s="20" t="n"/>
      <c r="D101" s="20" t="n"/>
      <c r="E101" s="20" t="n"/>
      <c r="F101" s="8" t="inlineStr">
        <is>
          <t>Personalidade</t>
        </is>
      </c>
      <c r="G101" s="20" t="n"/>
      <c r="H101" s="20" t="n"/>
      <c r="I101" s="20" t="n"/>
      <c r="J101" s="20" t="n"/>
      <c r="K101" s="8" t="inlineStr">
        <is>
          <t>Aviso</t>
        </is>
      </c>
      <c r="L101" s="20" t="n"/>
      <c r="AE101" s="2">
        <f>$AE$100+IF(AND(LEN($N$15)&gt;0,INDEX('Tabelas'!$X$472:$X$578,92)&amp;""=$N$15,LEN(INDEX('Tabelas'!$Y$472:$Y$578,92)&amp;"")&gt;0),1,0)</f>
        <v/>
      </c>
      <c r="AT101" s="2">
        <f>'Tabelas'!$AE$455&amp;""</f>
        <v/>
      </c>
    </row>
    <row r="102" ht="60" customHeight="1">
      <c r="A102" s="31">
        <f>IF(LEN($AV$68)&gt;0,$AV$68,"NPC 21")</f>
        <v/>
      </c>
      <c r="B102" s="4" t="n"/>
      <c r="C102" s="25" t="n"/>
      <c r="D102" s="25" t="n"/>
      <c r="E102" s="17" t="n"/>
      <c r="F102" s="4" t="n"/>
      <c r="G102" s="25" t="n"/>
      <c r="H102" s="25" t="n"/>
      <c r="I102" s="25" t="n"/>
      <c r="J102" s="17" t="n"/>
      <c r="K102" s="19">
        <f>IF(BF102&gt;0,"O Google leu como fórmula: digite de novo com ' na frente.","")</f>
        <v/>
      </c>
      <c r="AE102" s="2">
        <f>$AE$101+IF(AND(LEN($N$15)&gt;0,INDEX('Tabelas'!$X$472:$X$578,93)&amp;""=$N$15,LEN(INDEX('Tabelas'!$Y$472:$Y$578,93)&amp;"")&gt;0),1,0)</f>
        <v/>
      </c>
      <c r="AT102" s="2">
        <f>'Tabelas'!$AE$456&amp;""</f>
        <v/>
      </c>
      <c r="AW102" s="2">
        <f>IF(ISERROR($B$102),"",IF(ISBLANK($B$102),"",$B$102))</f>
        <v/>
      </c>
      <c r="BF102" s="2">
        <f>ISERROR($B$102)*1+ISERROR($F$102)*1</f>
        <v/>
      </c>
    </row>
    <row r="103" ht="60" customHeight="1">
      <c r="A103" s="43">
        <f>IF(LEN($AV$69)&gt;0,$AV$69,"NPC 22")</f>
        <v/>
      </c>
      <c r="B103" s="29" t="n"/>
      <c r="C103" s="25" t="n"/>
      <c r="D103" s="25" t="n"/>
      <c r="E103" s="17" t="n"/>
      <c r="F103" s="29" t="n"/>
      <c r="G103" s="25" t="n"/>
      <c r="H103" s="25" t="n"/>
      <c r="I103" s="25" t="n"/>
      <c r="J103" s="17" t="n"/>
      <c r="K103" s="27">
        <f>IF(BF103&gt;0,"O Google leu como fórmula: digite de novo com ' na frente.","")</f>
        <v/>
      </c>
      <c r="AE103" s="2">
        <f>$AE$102+IF(AND(LEN($N$15)&gt;0,INDEX('Tabelas'!$X$472:$X$578,94)&amp;""=$N$15,LEN(INDEX('Tabelas'!$Y$472:$Y$578,94)&amp;"")&gt;0),1,0)</f>
        <v/>
      </c>
      <c r="AT103" s="2">
        <f>'Tabelas'!$AE$457&amp;""</f>
        <v/>
      </c>
      <c r="AW103" s="2">
        <f>IF(ISERROR($B$103),"",IF(ISBLANK($B$103),"",$B$103))</f>
        <v/>
      </c>
      <c r="BF103" s="2">
        <f>ISERROR($B$103)*1+ISERROR($F$103)*1</f>
        <v/>
      </c>
    </row>
    <row r="104" ht="60" customHeight="1">
      <c r="A104" s="31">
        <f>IF(LEN($AV$70)&gt;0,$AV$70,"NPC 23")</f>
        <v/>
      </c>
      <c r="B104" s="4" t="n"/>
      <c r="C104" s="25" t="n"/>
      <c r="D104" s="25" t="n"/>
      <c r="E104" s="17" t="n"/>
      <c r="F104" s="4" t="n"/>
      <c r="G104" s="25" t="n"/>
      <c r="H104" s="25" t="n"/>
      <c r="I104" s="25" t="n"/>
      <c r="J104" s="17" t="n"/>
      <c r="K104" s="19">
        <f>IF(BF104&gt;0,"O Google leu como fórmula: digite de novo com ' na frente.","")</f>
        <v/>
      </c>
      <c r="AE104" s="2">
        <f>$AE$103+IF(AND(LEN($N$15)&gt;0,INDEX('Tabelas'!$X$472:$X$578,95)&amp;""=$N$15,LEN(INDEX('Tabelas'!$Y$472:$Y$578,95)&amp;"")&gt;0),1,0)</f>
        <v/>
      </c>
      <c r="AT104" s="2">
        <f>'Tabelas'!$AE$458&amp;""</f>
        <v/>
      </c>
      <c r="AW104" s="2">
        <f>IF(ISERROR($B$104),"",IF(ISBLANK($B$104),"",$B$104))</f>
        <v/>
      </c>
      <c r="BF104" s="2">
        <f>ISERROR($B$104)*1+ISERROR($F$104)*1</f>
        <v/>
      </c>
    </row>
    <row r="105" ht="60" customHeight="1">
      <c r="A105" s="43">
        <f>IF(LEN($AV$71)&gt;0,$AV$71,"NPC 24")</f>
        <v/>
      </c>
      <c r="B105" s="29" t="n"/>
      <c r="C105" s="25" t="n"/>
      <c r="D105" s="25" t="n"/>
      <c r="E105" s="17" t="n"/>
      <c r="F105" s="29" t="n"/>
      <c r="G105" s="25" t="n"/>
      <c r="H105" s="25" t="n"/>
      <c r="I105" s="25" t="n"/>
      <c r="J105" s="17" t="n"/>
      <c r="K105" s="27">
        <f>IF(BF105&gt;0,"O Google leu como fórmula: digite de novo com ' na frente.","")</f>
        <v/>
      </c>
      <c r="AE105" s="2">
        <f>$AE$104+IF(AND(LEN($N$15)&gt;0,INDEX('Tabelas'!$X$472:$X$578,96)&amp;""=$N$15,LEN(INDEX('Tabelas'!$Y$472:$Y$578,96)&amp;"")&gt;0),1,0)</f>
        <v/>
      </c>
      <c r="AT105" s="2">
        <f>'Tabelas'!$AE$459&amp;""</f>
        <v/>
      </c>
      <c r="AW105" s="2">
        <f>IF(ISERROR($B$105),"",IF(ISBLANK($B$105),"",$B$105))</f>
        <v/>
      </c>
      <c r="BF105" s="2">
        <f>ISERROR($B$105)*1+ISERROR($F$105)*1</f>
        <v/>
      </c>
    </row>
    <row r="106" ht="60" customHeight="1">
      <c r="A106" s="31">
        <f>IF(LEN($AV$72)&gt;0,$AV$72,"NPC 25")</f>
        <v/>
      </c>
      <c r="B106" s="4" t="n"/>
      <c r="C106" s="25" t="n"/>
      <c r="D106" s="25" t="n"/>
      <c r="E106" s="17" t="n"/>
      <c r="F106" s="4" t="n"/>
      <c r="G106" s="25" t="n"/>
      <c r="H106" s="25" t="n"/>
      <c r="I106" s="25" t="n"/>
      <c r="J106" s="17" t="n"/>
      <c r="K106" s="19">
        <f>IF(BF106&gt;0,"O Google leu como fórmula: digite de novo com ' na frente.","")</f>
        <v/>
      </c>
      <c r="AE106" s="2">
        <f>$AE$105+IF(AND(LEN($N$15)&gt;0,INDEX('Tabelas'!$X$472:$X$578,97)&amp;""=$N$15,LEN(INDEX('Tabelas'!$Y$472:$Y$578,97)&amp;"")&gt;0),1,0)</f>
        <v/>
      </c>
      <c r="AT106" s="2">
        <f>'Tabelas'!$AE$460&amp;""</f>
        <v/>
      </c>
      <c r="AW106" s="2">
        <f>IF(ISERROR($B$106),"",IF(ISBLANK($B$106),"",$B$106))</f>
        <v/>
      </c>
      <c r="BF106" s="2">
        <f>ISERROR($B$106)*1+ISERROR($F$106)*1</f>
        <v/>
      </c>
    </row>
    <row r="107" ht="60" customHeight="1">
      <c r="A107" s="43">
        <f>IF(LEN($AV$73)&gt;0,$AV$73,"NPC 26")</f>
        <v/>
      </c>
      <c r="B107" s="29" t="n"/>
      <c r="C107" s="25" t="n"/>
      <c r="D107" s="25" t="n"/>
      <c r="E107" s="17" t="n"/>
      <c r="F107" s="29" t="n"/>
      <c r="G107" s="25" t="n"/>
      <c r="H107" s="25" t="n"/>
      <c r="I107" s="25" t="n"/>
      <c r="J107" s="17" t="n"/>
      <c r="K107" s="27">
        <f>IF(BF107&gt;0,"O Google leu como fórmula: digite de novo com ' na frente.","")</f>
        <v/>
      </c>
      <c r="AE107" s="2">
        <f>$AE$106</f>
        <v/>
      </c>
      <c r="AT107" s="2">
        <f>'Tabelas'!$AE$461&amp;""</f>
        <v/>
      </c>
      <c r="AW107" s="2">
        <f>IF(ISERROR($B$107),"",IF(ISBLANK($B$107),"",$B$107))</f>
        <v/>
      </c>
      <c r="BF107" s="2">
        <f>ISERROR($B$107)*1+ISERROR($F$107)*1</f>
        <v/>
      </c>
    </row>
    <row r="108" ht="60" customHeight="1">
      <c r="A108" s="31">
        <f>IF(LEN($AV$74)&gt;0,$AV$74,"NPC 27")</f>
        <v/>
      </c>
      <c r="B108" s="4" t="n"/>
      <c r="C108" s="25" t="n"/>
      <c r="D108" s="25" t="n"/>
      <c r="E108" s="17" t="n"/>
      <c r="F108" s="4" t="n"/>
      <c r="G108" s="25" t="n"/>
      <c r="H108" s="25" t="n"/>
      <c r="I108" s="25" t="n"/>
      <c r="J108" s="17" t="n"/>
      <c r="K108" s="19">
        <f>IF(BF108&gt;0,"O Google leu como fórmula: digite de novo com ' na frente.","")</f>
        <v/>
      </c>
      <c r="AE108" s="2">
        <f>$AE$107+IF(AND(LEN($N$15)&gt;0,INDEX('Tabelas'!$X$472:$X$578,99)&amp;""=$N$15,LEN(INDEX('Tabelas'!$Y$472:$Y$578,99)&amp;"")&gt;0),1,0)</f>
        <v/>
      </c>
      <c r="AT108" s="2">
        <f>'Tabelas'!$AE$462&amp;""</f>
        <v/>
      </c>
      <c r="AW108" s="2">
        <f>IF(ISERROR($B$108),"",IF(ISBLANK($B$108),"",$B$108))</f>
        <v/>
      </c>
      <c r="BF108" s="2">
        <f>ISERROR($B$108)*1+ISERROR($F$108)*1</f>
        <v/>
      </c>
    </row>
    <row r="109" ht="60" customHeight="1">
      <c r="A109" s="43">
        <f>IF(LEN($AV$75)&gt;0,$AV$75,"NPC 28")</f>
        <v/>
      </c>
      <c r="B109" s="29" t="n"/>
      <c r="C109" s="25" t="n"/>
      <c r="D109" s="25" t="n"/>
      <c r="E109" s="17" t="n"/>
      <c r="F109" s="29" t="n"/>
      <c r="G109" s="25" t="n"/>
      <c r="H109" s="25" t="n"/>
      <c r="I109" s="25" t="n"/>
      <c r="J109" s="17" t="n"/>
      <c r="K109" s="27">
        <f>IF(BF109&gt;0,"O Google leu como fórmula: digite de novo com ' na frente.","")</f>
        <v/>
      </c>
      <c r="AE109" s="2">
        <f>$AE$108+IF(AND(LEN($N$15)&gt;0,INDEX('Tabelas'!$X$472:$X$578,100)&amp;""=$N$15,LEN(INDEX('Tabelas'!$Y$472:$Y$578,100)&amp;"")&gt;0),1,0)</f>
        <v/>
      </c>
      <c r="AT109" s="2">
        <f>'Tabelas'!$AE$463&amp;""</f>
        <v/>
      </c>
      <c r="AW109" s="2">
        <f>IF(ISERROR($B$109),"",IF(ISBLANK($B$109),"",$B$109))</f>
        <v/>
      </c>
      <c r="BF109" s="2">
        <f>ISERROR($B$109)*1+ISERROR($F$109)*1</f>
        <v/>
      </c>
    </row>
    <row r="110" ht="60" customHeight="1">
      <c r="A110" s="31">
        <f>IF(LEN($AV$76)&gt;0,$AV$76,"NPC 29")</f>
        <v/>
      </c>
      <c r="B110" s="4" t="n"/>
      <c r="C110" s="25" t="n"/>
      <c r="D110" s="25" t="n"/>
      <c r="E110" s="17" t="n"/>
      <c r="F110" s="4" t="n"/>
      <c r="G110" s="25" t="n"/>
      <c r="H110" s="25" t="n"/>
      <c r="I110" s="25" t="n"/>
      <c r="J110" s="17" t="n"/>
      <c r="K110" s="19">
        <f>IF(BF110&gt;0,"O Google leu como fórmula: digite de novo com ' na frente.","")</f>
        <v/>
      </c>
      <c r="AE110" s="2">
        <f>$AE$109+IF(AND(LEN($N$15)&gt;0,INDEX('Tabelas'!$X$472:$X$578,101)&amp;""=$N$15,LEN(INDEX('Tabelas'!$Y$472:$Y$578,101)&amp;"")&gt;0),1,0)</f>
        <v/>
      </c>
      <c r="AW110" s="2">
        <f>IF(ISERROR($B$110),"",IF(ISBLANK($B$110),"",$B$110))</f>
        <v/>
      </c>
      <c r="BF110" s="2">
        <f>ISERROR($B$110)*1+ISERROR($F$110)*1</f>
        <v/>
      </c>
    </row>
    <row r="111" ht="60" customHeight="1">
      <c r="A111" s="43">
        <f>IF(LEN($AV$77)&gt;0,$AV$77,"NPC 30")</f>
        <v/>
      </c>
      <c r="B111" s="29" t="n"/>
      <c r="C111" s="25" t="n"/>
      <c r="D111" s="25" t="n"/>
      <c r="E111" s="17" t="n"/>
      <c r="F111" s="29" t="n"/>
      <c r="G111" s="25" t="n"/>
      <c r="H111" s="25" t="n"/>
      <c r="I111" s="25" t="n"/>
      <c r="J111" s="17" t="n"/>
      <c r="K111" s="27">
        <f>IF(BF111&gt;0,"O Google leu como fórmula: digite de novo com ' na frente.","")</f>
        <v/>
      </c>
      <c r="AE111" s="2">
        <f>$AE$110+IF(AND(LEN($N$15)&gt;0,INDEX('Tabelas'!$X$472:$X$578,102)&amp;""=$N$15,LEN(INDEX('Tabelas'!$Y$472:$Y$578,102)&amp;"")&gt;0),1,0)</f>
        <v/>
      </c>
      <c r="AW111" s="2">
        <f>IF(ISERROR($B$111),"",IF(ISBLANK($B$111),"",$B$111))</f>
        <v/>
      </c>
      <c r="BF111" s="2">
        <f>ISERROR($B$111)*1+ISERROR($F$111)*1</f>
        <v/>
      </c>
    </row>
    <row r="112" ht="20" customHeight="1">
      <c r="A112" s="13" t="inlineStr">
        <is>
          <t>E3 · Por dentro</t>
        </is>
      </c>
      <c r="AE112" s="2">
        <f>$AE$111+IF(AND(LEN($N$15)&gt;0,INDEX('Tabelas'!$X$472:$X$578,103)&amp;""=$N$15,LEN(INDEX('Tabelas'!$Y$472:$Y$578,103)&amp;"")&gt;0),1,0)</f>
        <v/>
      </c>
    </row>
    <row r="113">
      <c r="A113" s="8" t="inlineStr">
        <is>
          <t>NPC</t>
        </is>
      </c>
      <c r="B113" s="8" t="inlineStr">
        <is>
          <t>Motivação</t>
        </is>
      </c>
      <c r="C113" s="20" t="n"/>
      <c r="D113" s="20" t="n"/>
      <c r="E113" s="20" t="n"/>
      <c r="F113" s="8" t="inlineStr">
        <is>
          <t>Segredo</t>
        </is>
      </c>
      <c r="G113" s="20" t="n"/>
      <c r="H113" s="20" t="n"/>
      <c r="I113" s="20" t="n"/>
      <c r="J113" s="20" t="n"/>
      <c r="K113" s="8" t="inlineStr">
        <is>
          <t>Aviso</t>
        </is>
      </c>
      <c r="L113" s="20" t="n"/>
      <c r="AE113" s="2">
        <f>$AE$112+IF(AND(LEN($N$15)&gt;0,INDEX('Tabelas'!$X$472:$X$578,104)&amp;""=$N$15,LEN(INDEX('Tabelas'!$Y$472:$Y$578,104)&amp;"")&gt;0),1,0)</f>
        <v/>
      </c>
    </row>
    <row r="114" ht="48" customHeight="1">
      <c r="A114" s="31">
        <f>IF(LEN($AV$46)&gt;0,$AV$46,"NPC 1")</f>
        <v/>
      </c>
      <c r="B114" s="4" t="n"/>
      <c r="C114" s="25" t="n"/>
      <c r="D114" s="25" t="n"/>
      <c r="E114" s="17" t="n"/>
      <c r="F114" s="4" t="n"/>
      <c r="G114" s="25" t="n"/>
      <c r="H114" s="25" t="n"/>
      <c r="I114" s="25" t="n"/>
      <c r="J114" s="17" t="n"/>
      <c r="K114" s="19">
        <f>IF(BF114&gt;0,"O Google leu como fórmula: digite de novo com ' na frente.","")</f>
        <v/>
      </c>
      <c r="AE114" s="2">
        <f>$AE$113+IF(AND(LEN($N$15)&gt;0,INDEX('Tabelas'!$X$472:$X$578,105)&amp;""=$N$15,LEN(INDEX('Tabelas'!$Y$472:$Y$578,105)&amp;"")&gt;0),1,0)</f>
        <v/>
      </c>
      <c r="AW114" s="2">
        <f>IF(ISERROR($B$114),"",IF(ISBLANK($B$114),"",$B$114))</f>
        <v/>
      </c>
      <c r="BA114" s="2">
        <f>IF(ISERROR($F$114),"",IF(ISBLANK($F$114),"",$F$114))</f>
        <v/>
      </c>
      <c r="BF114" s="2">
        <f>ISERROR($B$114)*1+ISERROR($F$114)*1</f>
        <v/>
      </c>
    </row>
    <row r="115" ht="60" customHeight="1">
      <c r="A115" s="43">
        <f>IF(LEN($AV$47)&gt;0,$AV$47,"NPC 2")</f>
        <v/>
      </c>
      <c r="B115" s="29" t="n"/>
      <c r="C115" s="25" t="n"/>
      <c r="D115" s="25" t="n"/>
      <c r="E115" s="17" t="n"/>
      <c r="F115" s="29" t="n"/>
      <c r="G115" s="25" t="n"/>
      <c r="H115" s="25" t="n"/>
      <c r="I115" s="25" t="n"/>
      <c r="J115" s="17" t="n"/>
      <c r="K115" s="27">
        <f>IF(BF115&gt;0,"O Google leu como fórmula: digite de novo com ' na frente.","")</f>
        <v/>
      </c>
      <c r="AE115" s="2">
        <f>$AE$114+IF(AND(LEN($N$15)&gt;0,INDEX('Tabelas'!$X$472:$X$578,106)&amp;""=$N$15,LEN(INDEX('Tabelas'!$Y$472:$Y$578,106)&amp;"")&gt;0),1,0)</f>
        <v/>
      </c>
      <c r="AW115" s="2">
        <f>IF(ISERROR($B$115),"",IF(ISBLANK($B$115),"",$B$115))</f>
        <v/>
      </c>
      <c r="BA115" s="2">
        <f>IF(ISERROR($F$115),"",IF(ISBLANK($F$115),"",$F$115))</f>
        <v/>
      </c>
      <c r="BF115" s="2">
        <f>ISERROR($B$115)*1+ISERROR($F$115)*1</f>
        <v/>
      </c>
    </row>
    <row r="116" ht="60" customHeight="1">
      <c r="A116" s="31">
        <f>IF(LEN($AV$48)&gt;0,$AV$48,"NPC 3")</f>
        <v/>
      </c>
      <c r="B116" s="4" t="n"/>
      <c r="C116" s="25" t="n"/>
      <c r="D116" s="25" t="n"/>
      <c r="E116" s="17" t="n"/>
      <c r="F116" s="4" t="n"/>
      <c r="G116" s="25" t="n"/>
      <c r="H116" s="25" t="n"/>
      <c r="I116" s="25" t="n"/>
      <c r="J116" s="17" t="n"/>
      <c r="K116" s="19">
        <f>IF(BF116&gt;0,"O Google leu como fórmula: digite de novo com ' na frente.","")</f>
        <v/>
      </c>
      <c r="AE116" s="2">
        <f>$AE$115+IF(AND(LEN($N$15)&gt;0,INDEX('Tabelas'!$X$472:$X$578,107)&amp;""=$N$15,LEN(INDEX('Tabelas'!$Y$472:$Y$578,107)&amp;"")&gt;0),1,0)</f>
        <v/>
      </c>
      <c r="AW116" s="2">
        <f>IF(ISERROR($B$116),"",IF(ISBLANK($B$116),"",$B$116))</f>
        <v/>
      </c>
      <c r="BA116" s="2">
        <f>IF(ISERROR($F$116),"",IF(ISBLANK($F$116),"",$F$116))</f>
        <v/>
      </c>
      <c r="BF116" s="2">
        <f>ISERROR($B$116)*1+ISERROR($F$116)*1</f>
        <v/>
      </c>
    </row>
    <row r="117" ht="60" customHeight="1">
      <c r="A117" s="43">
        <f>IF(LEN($AV$49)&gt;0,$AV$49,"NPC 4")</f>
        <v/>
      </c>
      <c r="B117" s="29" t="n"/>
      <c r="C117" s="25" t="n"/>
      <c r="D117" s="25" t="n"/>
      <c r="E117" s="17" t="n"/>
      <c r="F117" s="29" t="n"/>
      <c r="G117" s="25" t="n"/>
      <c r="H117" s="25" t="n"/>
      <c r="I117" s="25" t="n"/>
      <c r="J117" s="17" t="n"/>
      <c r="K117" s="27">
        <f>IF(BF117&gt;0,"O Google leu como fórmula: digite de novo com ' na frente.","")</f>
        <v/>
      </c>
      <c r="AW117" s="2">
        <f>IF(ISERROR($B$117),"",IF(ISBLANK($B$117),"",$B$117))</f>
        <v/>
      </c>
      <c r="BA117" s="2">
        <f>IF(ISERROR($F$117),"",IF(ISBLANK($F$117),"",$F$117))</f>
        <v/>
      </c>
      <c r="BF117" s="2">
        <f>ISERROR($B$117)*1+ISERROR($F$117)*1</f>
        <v/>
      </c>
    </row>
    <row r="118" ht="60" customHeight="1">
      <c r="A118" s="31">
        <f>IF(LEN($AV$50)&gt;0,$AV$50,"NPC 5")</f>
        <v/>
      </c>
      <c r="B118" s="4" t="n"/>
      <c r="C118" s="25" t="n"/>
      <c r="D118" s="25" t="n"/>
      <c r="E118" s="17" t="n"/>
      <c r="F118" s="4" t="n"/>
      <c r="G118" s="25" t="n"/>
      <c r="H118" s="25" t="n"/>
      <c r="I118" s="25" t="n"/>
      <c r="J118" s="17" t="n"/>
      <c r="K118" s="19">
        <f>IF(BF118&gt;0,"O Google leu como fórmula: digite de novo com ' na frente.","")</f>
        <v/>
      </c>
      <c r="AW118" s="2">
        <f>IF(ISERROR($B$118),"",IF(ISBLANK($B$118),"",$B$118))</f>
        <v/>
      </c>
      <c r="BA118" s="2">
        <f>IF(ISERROR($F$118),"",IF(ISBLANK($F$118),"",$F$118))</f>
        <v/>
      </c>
      <c r="BF118" s="2">
        <f>ISERROR($B$118)*1+ISERROR($F$118)*1</f>
        <v/>
      </c>
    </row>
    <row r="119" ht="60" customHeight="1">
      <c r="A119" s="43">
        <f>IF(LEN($AV$51)&gt;0,$AV$51,"NPC 6")</f>
        <v/>
      </c>
      <c r="B119" s="29" t="n"/>
      <c r="C119" s="25" t="n"/>
      <c r="D119" s="25" t="n"/>
      <c r="E119" s="17" t="n"/>
      <c r="F119" s="29" t="n"/>
      <c r="G119" s="25" t="n"/>
      <c r="H119" s="25" t="n"/>
      <c r="I119" s="25" t="n"/>
      <c r="J119" s="17" t="n"/>
      <c r="K119" s="27">
        <f>IF(BF119&gt;0,"O Google leu como fórmula: digite de novo com ' na frente.","")</f>
        <v/>
      </c>
      <c r="AW119" s="2">
        <f>IF(ISERROR($B$119),"",IF(ISBLANK($B$119),"",$B$119))</f>
        <v/>
      </c>
      <c r="BA119" s="2">
        <f>IF(ISERROR($F$119),"",IF(ISBLANK($F$119),"",$F$119))</f>
        <v/>
      </c>
      <c r="BF119" s="2">
        <f>ISERROR($B$119)*1+ISERROR($F$119)*1</f>
        <v/>
      </c>
    </row>
    <row r="120" ht="71" customHeight="1">
      <c r="A120" s="31">
        <f>IF(LEN($AV$52)&gt;0,$AV$52,"NPC 7")</f>
        <v/>
      </c>
      <c r="B120" s="4" t="n"/>
      <c r="C120" s="25" t="n"/>
      <c r="D120" s="25" t="n"/>
      <c r="E120" s="17" t="n"/>
      <c r="F120" s="4" t="n"/>
      <c r="G120" s="25" t="n"/>
      <c r="H120" s="25" t="n"/>
      <c r="I120" s="25" t="n"/>
      <c r="J120" s="17" t="n"/>
      <c r="K120" s="19">
        <f>IF(BF120&gt;0,"O Google leu como fórmula: digite de novo com ' na frente.","")</f>
        <v/>
      </c>
      <c r="AW120" s="2">
        <f>IF(ISERROR($B$120),"",IF(ISBLANK($B$120),"",$B$120))</f>
        <v/>
      </c>
      <c r="BA120" s="2">
        <f>IF(ISERROR($F$120),"",IF(ISBLANK($F$120),"",$F$120))</f>
        <v/>
      </c>
      <c r="BF120" s="2">
        <f>ISERROR($B$120)*1+ISERROR($F$120)*1</f>
        <v/>
      </c>
    </row>
    <row r="121" ht="60" customHeight="1">
      <c r="A121" s="43">
        <f>IF(LEN($AV$53)&gt;0,$AV$53,"NPC 8")</f>
        <v/>
      </c>
      <c r="B121" s="29" t="n"/>
      <c r="C121" s="25" t="n"/>
      <c r="D121" s="25" t="n"/>
      <c r="E121" s="17" t="n"/>
      <c r="F121" s="29" t="n"/>
      <c r="G121" s="25" t="n"/>
      <c r="H121" s="25" t="n"/>
      <c r="I121" s="25" t="n"/>
      <c r="J121" s="17" t="n"/>
      <c r="K121" s="27">
        <f>IF(BF121&gt;0,"O Google leu como fórmula: digite de novo com ' na frente.","")</f>
        <v/>
      </c>
      <c r="AW121" s="2">
        <f>IF(ISERROR($B$121),"",IF(ISBLANK($B$121),"",$B$121))</f>
        <v/>
      </c>
      <c r="BA121" s="2">
        <f>IF(ISERROR($F$121),"",IF(ISBLANK($F$121),"",$F$121))</f>
        <v/>
      </c>
      <c r="BF121" s="2">
        <f>ISERROR($B$121)*1+ISERROR($F$121)*1</f>
        <v/>
      </c>
    </row>
    <row r="122" ht="60" customHeight="1">
      <c r="A122" s="31">
        <f>IF(LEN($AV$54)&gt;0,$AV$54,"NPC 9")</f>
        <v/>
      </c>
      <c r="B122" s="4" t="n"/>
      <c r="C122" s="25" t="n"/>
      <c r="D122" s="25" t="n"/>
      <c r="E122" s="17" t="n"/>
      <c r="F122" s="4" t="n"/>
      <c r="G122" s="25" t="n"/>
      <c r="H122" s="25" t="n"/>
      <c r="I122" s="25" t="n"/>
      <c r="J122" s="17" t="n"/>
      <c r="K122" s="19">
        <f>IF(BF122&gt;0,"O Google leu como fórmula: digite de novo com ' na frente.","")</f>
        <v/>
      </c>
      <c r="AW122" s="2">
        <f>IF(ISERROR($B$122),"",IF(ISBLANK($B$122),"",$B$122))</f>
        <v/>
      </c>
      <c r="BA122" s="2">
        <f>IF(ISERROR($F$122),"",IF(ISBLANK($F$122),"",$F$122))</f>
        <v/>
      </c>
      <c r="BF122" s="2">
        <f>ISERROR($B$122)*1+ISERROR($F$122)*1</f>
        <v/>
      </c>
    </row>
    <row r="123" ht="60" customHeight="1">
      <c r="A123" s="43">
        <f>IF(LEN($AV$55)&gt;0,$AV$55,"NPC 10")</f>
        <v/>
      </c>
      <c r="B123" s="29" t="n"/>
      <c r="C123" s="25" t="n"/>
      <c r="D123" s="25" t="n"/>
      <c r="E123" s="17" t="n"/>
      <c r="F123" s="29" t="n"/>
      <c r="G123" s="25" t="n"/>
      <c r="H123" s="25" t="n"/>
      <c r="I123" s="25" t="n"/>
      <c r="J123" s="17" t="n"/>
      <c r="K123" s="27">
        <f>IF(BF123&gt;0,"O Google leu como fórmula: digite de novo com ' na frente.","")</f>
        <v/>
      </c>
      <c r="AW123" s="2">
        <f>IF(ISERROR($B$123),"",IF(ISBLANK($B$123),"",$B$123))</f>
        <v/>
      </c>
      <c r="BA123" s="2">
        <f>IF(ISERROR($F$123),"",IF(ISBLANK($F$123),"",$F$123))</f>
        <v/>
      </c>
      <c r="BF123" s="2">
        <f>ISERROR($B$123)*1+ISERROR($F$123)*1</f>
        <v/>
      </c>
    </row>
    <row r="124">
      <c r="A124" s="8" t="inlineStr">
        <is>
          <t>NPC</t>
        </is>
      </c>
      <c r="B124" s="8" t="inlineStr">
        <is>
          <t>Motivação</t>
        </is>
      </c>
      <c r="C124" s="20" t="n"/>
      <c r="D124" s="20" t="n"/>
      <c r="E124" s="20" t="n"/>
      <c r="F124" s="8" t="inlineStr">
        <is>
          <t>Segredo</t>
        </is>
      </c>
      <c r="G124" s="20" t="n"/>
      <c r="H124" s="20" t="n"/>
      <c r="I124" s="20" t="n"/>
      <c r="J124" s="20" t="n"/>
      <c r="K124" s="8" t="inlineStr">
        <is>
          <t>Aviso</t>
        </is>
      </c>
      <c r="L124" s="20" t="n"/>
    </row>
    <row r="125" ht="48" customHeight="1">
      <c r="A125" s="31">
        <f>IF(LEN($AV$57)&gt;0,$AV$57,"NPC 11")</f>
        <v/>
      </c>
      <c r="B125" s="4" t="n"/>
      <c r="C125" s="25" t="n"/>
      <c r="D125" s="25" t="n"/>
      <c r="E125" s="17" t="n"/>
      <c r="F125" s="4" t="n"/>
      <c r="G125" s="25" t="n"/>
      <c r="H125" s="25" t="n"/>
      <c r="I125" s="25" t="n"/>
      <c r="J125" s="17" t="n"/>
      <c r="K125" s="19">
        <f>IF(BF125&gt;0,"O Google leu como fórmula: digite de novo com ' na frente.","")</f>
        <v/>
      </c>
      <c r="AW125" s="2">
        <f>IF(ISERROR($B$125),"",IF(ISBLANK($B$125),"",$B$125))</f>
        <v/>
      </c>
      <c r="BA125" s="2">
        <f>IF(ISERROR($F$125),"",IF(ISBLANK($F$125),"",$F$125))</f>
        <v/>
      </c>
      <c r="BF125" s="2">
        <f>ISERROR($B$125)*1+ISERROR($F$125)*1</f>
        <v/>
      </c>
    </row>
    <row r="126" ht="48" customHeight="1">
      <c r="A126" s="43">
        <f>IF(LEN($AV$58)&gt;0,$AV$58,"NPC 12")</f>
        <v/>
      </c>
      <c r="B126" s="29" t="n"/>
      <c r="C126" s="25" t="n"/>
      <c r="D126" s="25" t="n"/>
      <c r="E126" s="17" t="n"/>
      <c r="F126" s="29" t="n"/>
      <c r="G126" s="25" t="n"/>
      <c r="H126" s="25" t="n"/>
      <c r="I126" s="25" t="n"/>
      <c r="J126" s="17" t="n"/>
      <c r="K126" s="27">
        <f>IF(BF126&gt;0,"O Google leu como fórmula: digite de novo com ' na frente.","")</f>
        <v/>
      </c>
      <c r="AW126" s="2">
        <f>IF(ISERROR($B$126),"",IF(ISBLANK($B$126),"",$B$126))</f>
        <v/>
      </c>
      <c r="BA126" s="2">
        <f>IF(ISERROR($F$126),"",IF(ISBLANK($F$126),"",$F$126))</f>
        <v/>
      </c>
      <c r="BF126" s="2">
        <f>ISERROR($B$126)*1+ISERROR($F$126)*1</f>
        <v/>
      </c>
    </row>
    <row r="127" ht="82" customHeight="1">
      <c r="A127" s="31">
        <f>IF(LEN($AV$59)&gt;0,$AV$59,"NPC 13")</f>
        <v/>
      </c>
      <c r="B127" s="4" t="n"/>
      <c r="C127" s="25" t="n"/>
      <c r="D127" s="25" t="n"/>
      <c r="E127" s="17" t="n"/>
      <c r="F127" s="4" t="n"/>
      <c r="G127" s="25" t="n"/>
      <c r="H127" s="25" t="n"/>
      <c r="I127" s="25" t="n"/>
      <c r="J127" s="17" t="n"/>
      <c r="K127" s="19">
        <f>IF(BF127&gt;0,"O Google leu como fórmula: digite de novo com ' na frente.","")</f>
        <v/>
      </c>
      <c r="AW127" s="2">
        <f>IF(ISERROR($B$127),"",IF(ISBLANK($B$127),"",$B$127))</f>
        <v/>
      </c>
      <c r="BA127" s="2">
        <f>IF(ISERROR($F$127),"",IF(ISBLANK($F$127),"",$F$127))</f>
        <v/>
      </c>
      <c r="BF127" s="2">
        <f>ISERROR($B$127)*1+ISERROR($F$127)*1</f>
        <v/>
      </c>
    </row>
    <row r="128" ht="48" customHeight="1">
      <c r="A128" s="43">
        <f>IF(LEN($AV$60)&gt;0,$AV$60,"NPC 14")</f>
        <v/>
      </c>
      <c r="B128" s="29" t="n"/>
      <c r="C128" s="25" t="n"/>
      <c r="D128" s="25" t="n"/>
      <c r="E128" s="17" t="n"/>
      <c r="F128" s="29" t="n"/>
      <c r="G128" s="25" t="n"/>
      <c r="H128" s="25" t="n"/>
      <c r="I128" s="25" t="n"/>
      <c r="J128" s="17" t="n"/>
      <c r="K128" s="27">
        <f>IF(BF128&gt;0,"O Google leu como fórmula: digite de novo com ' na frente.","")</f>
        <v/>
      </c>
      <c r="AW128" s="2">
        <f>IF(ISERROR($B$128),"",IF(ISBLANK($B$128),"",$B$128))</f>
        <v/>
      </c>
      <c r="BA128" s="2">
        <f>IF(ISERROR($F$128),"",IF(ISBLANK($F$128),"",$F$128))</f>
        <v/>
      </c>
      <c r="BF128" s="2">
        <f>ISERROR($B$128)*1+ISERROR($F$128)*1</f>
        <v/>
      </c>
    </row>
    <row r="129" ht="60" customHeight="1">
      <c r="A129" s="31">
        <f>IF(LEN($AV$61)&gt;0,$AV$61,"NPC 15")</f>
        <v/>
      </c>
      <c r="B129" s="4" t="n"/>
      <c r="C129" s="25" t="n"/>
      <c r="D129" s="25" t="n"/>
      <c r="E129" s="17" t="n"/>
      <c r="F129" s="4" t="n"/>
      <c r="G129" s="25" t="n"/>
      <c r="H129" s="25" t="n"/>
      <c r="I129" s="25" t="n"/>
      <c r="J129" s="17" t="n"/>
      <c r="K129" s="19">
        <f>IF(BF129&gt;0,"O Google leu como fórmula: digite de novo com ' na frente.","")</f>
        <v/>
      </c>
      <c r="AW129" s="2">
        <f>IF(ISERROR($B$129),"",IF(ISBLANK($B$129),"",$B$129))</f>
        <v/>
      </c>
      <c r="BA129" s="2">
        <f>IF(ISERROR($F$129),"",IF(ISBLANK($F$129),"",$F$129))</f>
        <v/>
      </c>
      <c r="BF129" s="2">
        <f>ISERROR($B$129)*1+ISERROR($F$129)*1</f>
        <v/>
      </c>
    </row>
    <row r="130" ht="60" customHeight="1">
      <c r="A130" s="43">
        <f>IF(LEN($AV$62)&gt;0,$AV$62,"NPC 16")</f>
        <v/>
      </c>
      <c r="B130" s="29" t="n"/>
      <c r="C130" s="25" t="n"/>
      <c r="D130" s="25" t="n"/>
      <c r="E130" s="17" t="n"/>
      <c r="F130" s="29" t="n"/>
      <c r="G130" s="25" t="n"/>
      <c r="H130" s="25" t="n"/>
      <c r="I130" s="25" t="n"/>
      <c r="J130" s="17" t="n"/>
      <c r="K130" s="27">
        <f>IF(BF130&gt;0,"O Google leu como fórmula: digite de novo com ' na frente.","")</f>
        <v/>
      </c>
      <c r="AW130" s="2">
        <f>IF(ISERROR($B$130),"",IF(ISBLANK($B$130),"",$B$130))</f>
        <v/>
      </c>
      <c r="BA130" s="2">
        <f>IF(ISERROR($F$130),"",IF(ISBLANK($F$130),"",$F$130))</f>
        <v/>
      </c>
      <c r="BF130" s="2">
        <f>ISERROR($B$130)*1+ISERROR($F$130)*1</f>
        <v/>
      </c>
    </row>
    <row r="131" ht="71" customHeight="1">
      <c r="A131" s="31">
        <f>IF(LEN($AV$63)&gt;0,$AV$63,"NPC 17")</f>
        <v/>
      </c>
      <c r="B131" s="4" t="n"/>
      <c r="C131" s="25" t="n"/>
      <c r="D131" s="25" t="n"/>
      <c r="E131" s="17" t="n"/>
      <c r="F131" s="4" t="n"/>
      <c r="G131" s="25" t="n"/>
      <c r="H131" s="25" t="n"/>
      <c r="I131" s="25" t="n"/>
      <c r="J131" s="17" t="n"/>
      <c r="K131" s="19">
        <f>IF(BF131&gt;0,"O Google leu como fórmula: digite de novo com ' na frente.","")</f>
        <v/>
      </c>
      <c r="AW131" s="2">
        <f>IF(ISERROR($B$131),"",IF(ISBLANK($B$131),"",$B$131))</f>
        <v/>
      </c>
      <c r="BA131" s="2">
        <f>IF(ISERROR($F$131),"",IF(ISBLANK($F$131),"",$F$131))</f>
        <v/>
      </c>
      <c r="BF131" s="2">
        <f>ISERROR($B$131)*1+ISERROR($F$131)*1</f>
        <v/>
      </c>
    </row>
    <row r="132" ht="48" customHeight="1">
      <c r="A132" s="43">
        <f>IF(LEN($AV$64)&gt;0,$AV$64,"NPC 18")</f>
        <v/>
      </c>
      <c r="B132" s="29" t="n"/>
      <c r="C132" s="25" t="n"/>
      <c r="D132" s="25" t="n"/>
      <c r="E132" s="17" t="n"/>
      <c r="F132" s="29" t="n"/>
      <c r="G132" s="25" t="n"/>
      <c r="H132" s="25" t="n"/>
      <c r="I132" s="25" t="n"/>
      <c r="J132" s="17" t="n"/>
      <c r="K132" s="27">
        <f>IF(BF132&gt;0,"O Google leu como fórmula: digite de novo com ' na frente.","")</f>
        <v/>
      </c>
      <c r="AW132" s="2">
        <f>IF(ISERROR($B$132),"",IF(ISBLANK($B$132),"",$B$132))</f>
        <v/>
      </c>
      <c r="BA132" s="2">
        <f>IF(ISERROR($F$132),"",IF(ISBLANK($F$132),"",$F$132))</f>
        <v/>
      </c>
      <c r="BF132" s="2">
        <f>ISERROR($B$132)*1+ISERROR($F$132)*1</f>
        <v/>
      </c>
    </row>
    <row r="133" ht="60" customHeight="1">
      <c r="A133" s="31">
        <f>IF(LEN($AV$65)&gt;0,$AV$65,"NPC 19")</f>
        <v/>
      </c>
      <c r="B133" s="4" t="n"/>
      <c r="C133" s="25" t="n"/>
      <c r="D133" s="25" t="n"/>
      <c r="E133" s="17" t="n"/>
      <c r="F133" s="4" t="n"/>
      <c r="G133" s="25" t="n"/>
      <c r="H133" s="25" t="n"/>
      <c r="I133" s="25" t="n"/>
      <c r="J133" s="17" t="n"/>
      <c r="K133" s="19">
        <f>IF(BF133&gt;0,"O Google leu como fórmula: digite de novo com ' na frente.","")</f>
        <v/>
      </c>
      <c r="AW133" s="2">
        <f>IF(ISERROR($B$133),"",IF(ISBLANK($B$133),"",$B$133))</f>
        <v/>
      </c>
      <c r="BA133" s="2">
        <f>IF(ISERROR($F$133),"",IF(ISBLANK($F$133),"",$F$133))</f>
        <v/>
      </c>
      <c r="BF133" s="2">
        <f>ISERROR($B$133)*1+ISERROR($F$133)*1</f>
        <v/>
      </c>
    </row>
    <row r="134" ht="60" customHeight="1">
      <c r="A134" s="43">
        <f>IF(LEN($AV$66)&gt;0,$AV$66,"NPC 20")</f>
        <v/>
      </c>
      <c r="B134" s="29" t="n"/>
      <c r="C134" s="25" t="n"/>
      <c r="D134" s="25" t="n"/>
      <c r="E134" s="17" t="n"/>
      <c r="F134" s="29" t="n"/>
      <c r="G134" s="25" t="n"/>
      <c r="H134" s="25" t="n"/>
      <c r="I134" s="25" t="n"/>
      <c r="J134" s="17" t="n"/>
      <c r="K134" s="27">
        <f>IF(BF134&gt;0,"O Google leu como fórmula: digite de novo com ' na frente.","")</f>
        <v/>
      </c>
      <c r="AW134" s="2">
        <f>IF(ISERROR($B$134),"",IF(ISBLANK($B$134),"",$B$134))</f>
        <v/>
      </c>
      <c r="BA134" s="2">
        <f>IF(ISERROR($F$134),"",IF(ISBLANK($F$134),"",$F$134))</f>
        <v/>
      </c>
      <c r="BF134" s="2">
        <f>ISERROR($B$134)*1+ISERROR($F$134)*1</f>
        <v/>
      </c>
    </row>
    <row r="135">
      <c r="A135" s="8" t="inlineStr">
        <is>
          <t>NPC</t>
        </is>
      </c>
      <c r="B135" s="8" t="inlineStr">
        <is>
          <t>Motivação</t>
        </is>
      </c>
      <c r="C135" s="20" t="n"/>
      <c r="D135" s="20" t="n"/>
      <c r="E135" s="20" t="n"/>
      <c r="F135" s="8" t="inlineStr">
        <is>
          <t>Segredo</t>
        </is>
      </c>
      <c r="G135" s="20" t="n"/>
      <c r="H135" s="20" t="n"/>
      <c r="I135" s="20" t="n"/>
      <c r="J135" s="20" t="n"/>
      <c r="K135" s="8" t="inlineStr">
        <is>
          <t>Aviso</t>
        </is>
      </c>
      <c r="L135" s="20" t="n"/>
    </row>
    <row r="136" ht="60" customHeight="1">
      <c r="A136" s="31">
        <f>IF(LEN($AV$68)&gt;0,$AV$68,"NPC 21")</f>
        <v/>
      </c>
      <c r="B136" s="4" t="n"/>
      <c r="C136" s="25" t="n"/>
      <c r="D136" s="25" t="n"/>
      <c r="E136" s="17" t="n"/>
      <c r="F136" s="4" t="n"/>
      <c r="G136" s="25" t="n"/>
      <c r="H136" s="25" t="n"/>
      <c r="I136" s="25" t="n"/>
      <c r="J136" s="17" t="n"/>
      <c r="K136" s="19">
        <f>IF(BF136&gt;0,"O Google leu como fórmula: digite de novo com ' na frente.","")</f>
        <v/>
      </c>
      <c r="AW136" s="2">
        <f>IF(ISERROR($B$136),"",IF(ISBLANK($B$136),"",$B$136))</f>
        <v/>
      </c>
      <c r="BA136" s="2">
        <f>IF(ISERROR($F$136),"",IF(ISBLANK($F$136),"",$F$136))</f>
        <v/>
      </c>
      <c r="BF136" s="2">
        <f>ISERROR($B$136)*1+ISERROR($F$136)*1</f>
        <v/>
      </c>
    </row>
    <row r="137" ht="60" customHeight="1">
      <c r="A137" s="43">
        <f>IF(LEN($AV$69)&gt;0,$AV$69,"NPC 22")</f>
        <v/>
      </c>
      <c r="B137" s="29" t="n"/>
      <c r="C137" s="25" t="n"/>
      <c r="D137" s="25" t="n"/>
      <c r="E137" s="17" t="n"/>
      <c r="F137" s="29" t="n"/>
      <c r="G137" s="25" t="n"/>
      <c r="H137" s="25" t="n"/>
      <c r="I137" s="25" t="n"/>
      <c r="J137" s="17" t="n"/>
      <c r="K137" s="27">
        <f>IF(BF137&gt;0,"O Google leu como fórmula: digite de novo com ' na frente.","")</f>
        <v/>
      </c>
      <c r="AW137" s="2">
        <f>IF(ISERROR($B$137),"",IF(ISBLANK($B$137),"",$B$137))</f>
        <v/>
      </c>
      <c r="BA137" s="2">
        <f>IF(ISERROR($F$137),"",IF(ISBLANK($F$137),"",$F$137))</f>
        <v/>
      </c>
      <c r="BF137" s="2">
        <f>ISERROR($B$137)*1+ISERROR($F$137)*1</f>
        <v/>
      </c>
    </row>
    <row r="138" ht="60" customHeight="1">
      <c r="A138" s="31">
        <f>IF(LEN($AV$70)&gt;0,$AV$70,"NPC 23")</f>
        <v/>
      </c>
      <c r="B138" s="4" t="n"/>
      <c r="C138" s="25" t="n"/>
      <c r="D138" s="25" t="n"/>
      <c r="E138" s="17" t="n"/>
      <c r="F138" s="4" t="n"/>
      <c r="G138" s="25" t="n"/>
      <c r="H138" s="25" t="n"/>
      <c r="I138" s="25" t="n"/>
      <c r="J138" s="17" t="n"/>
      <c r="K138" s="19">
        <f>IF(BF138&gt;0,"O Google leu como fórmula: digite de novo com ' na frente.","")</f>
        <v/>
      </c>
      <c r="AW138" s="2">
        <f>IF(ISERROR($B$138),"",IF(ISBLANK($B$138),"",$B$138))</f>
        <v/>
      </c>
      <c r="BA138" s="2">
        <f>IF(ISERROR($F$138),"",IF(ISBLANK($F$138),"",$F$138))</f>
        <v/>
      </c>
      <c r="BF138" s="2">
        <f>ISERROR($B$138)*1+ISERROR($F$138)*1</f>
        <v/>
      </c>
    </row>
    <row r="139" ht="60" customHeight="1">
      <c r="A139" s="43">
        <f>IF(LEN($AV$71)&gt;0,$AV$71,"NPC 24")</f>
        <v/>
      </c>
      <c r="B139" s="29" t="n"/>
      <c r="C139" s="25" t="n"/>
      <c r="D139" s="25" t="n"/>
      <c r="E139" s="17" t="n"/>
      <c r="F139" s="29" t="n"/>
      <c r="G139" s="25" t="n"/>
      <c r="H139" s="25" t="n"/>
      <c r="I139" s="25" t="n"/>
      <c r="J139" s="17" t="n"/>
      <c r="K139" s="27">
        <f>IF(BF139&gt;0,"O Google leu como fórmula: digite de novo com ' na frente.","")</f>
        <v/>
      </c>
      <c r="AW139" s="2">
        <f>IF(ISERROR($B$139),"",IF(ISBLANK($B$139),"",$B$139))</f>
        <v/>
      </c>
      <c r="BA139" s="2">
        <f>IF(ISERROR($F$139),"",IF(ISBLANK($F$139),"",$F$139))</f>
        <v/>
      </c>
      <c r="BF139" s="2">
        <f>ISERROR($B$139)*1+ISERROR($F$139)*1</f>
        <v/>
      </c>
    </row>
    <row r="140" ht="60" customHeight="1">
      <c r="A140" s="31">
        <f>IF(LEN($AV$72)&gt;0,$AV$72,"NPC 25")</f>
        <v/>
      </c>
      <c r="B140" s="4" t="n"/>
      <c r="C140" s="25" t="n"/>
      <c r="D140" s="25" t="n"/>
      <c r="E140" s="17" t="n"/>
      <c r="F140" s="4" t="n"/>
      <c r="G140" s="25" t="n"/>
      <c r="H140" s="25" t="n"/>
      <c r="I140" s="25" t="n"/>
      <c r="J140" s="17" t="n"/>
      <c r="K140" s="19">
        <f>IF(BF140&gt;0,"O Google leu como fórmula: digite de novo com ' na frente.","")</f>
        <v/>
      </c>
      <c r="AW140" s="2">
        <f>IF(ISERROR($B$140),"",IF(ISBLANK($B$140),"",$B$140))</f>
        <v/>
      </c>
      <c r="BA140" s="2">
        <f>IF(ISERROR($F$140),"",IF(ISBLANK($F$140),"",$F$140))</f>
        <v/>
      </c>
      <c r="BF140" s="2">
        <f>ISERROR($B$140)*1+ISERROR($F$140)*1</f>
        <v/>
      </c>
    </row>
    <row r="141" ht="60" customHeight="1">
      <c r="A141" s="43">
        <f>IF(LEN($AV$73)&gt;0,$AV$73,"NPC 26")</f>
        <v/>
      </c>
      <c r="B141" s="29" t="n"/>
      <c r="C141" s="25" t="n"/>
      <c r="D141" s="25" t="n"/>
      <c r="E141" s="17" t="n"/>
      <c r="F141" s="29" t="n"/>
      <c r="G141" s="25" t="n"/>
      <c r="H141" s="25" t="n"/>
      <c r="I141" s="25" t="n"/>
      <c r="J141" s="17" t="n"/>
      <c r="K141" s="27">
        <f>IF(BF141&gt;0,"O Google leu como fórmula: digite de novo com ' na frente.","")</f>
        <v/>
      </c>
      <c r="AW141" s="2">
        <f>IF(ISERROR($B$141),"",IF(ISBLANK($B$141),"",$B$141))</f>
        <v/>
      </c>
      <c r="BA141" s="2">
        <f>IF(ISERROR($F$141),"",IF(ISBLANK($F$141),"",$F$141))</f>
        <v/>
      </c>
      <c r="BF141" s="2">
        <f>ISERROR($B$141)*1+ISERROR($F$141)*1</f>
        <v/>
      </c>
    </row>
    <row r="142" ht="60" customHeight="1">
      <c r="A142" s="31">
        <f>IF(LEN($AV$74)&gt;0,$AV$74,"NPC 27")</f>
        <v/>
      </c>
      <c r="B142" s="4" t="n"/>
      <c r="C142" s="25" t="n"/>
      <c r="D142" s="25" t="n"/>
      <c r="E142" s="17" t="n"/>
      <c r="F142" s="4" t="n"/>
      <c r="G142" s="25" t="n"/>
      <c r="H142" s="25" t="n"/>
      <c r="I142" s="25" t="n"/>
      <c r="J142" s="17" t="n"/>
      <c r="K142" s="19">
        <f>IF(BF142&gt;0,"O Google leu como fórmula: digite de novo com ' na frente.","")</f>
        <v/>
      </c>
      <c r="AW142" s="2">
        <f>IF(ISERROR($B$142),"",IF(ISBLANK($B$142),"",$B$142))</f>
        <v/>
      </c>
      <c r="BA142" s="2">
        <f>IF(ISERROR($F$142),"",IF(ISBLANK($F$142),"",$F$142))</f>
        <v/>
      </c>
      <c r="BF142" s="2">
        <f>ISERROR($B$142)*1+ISERROR($F$142)*1</f>
        <v/>
      </c>
    </row>
    <row r="143" ht="60" customHeight="1">
      <c r="A143" s="43">
        <f>IF(LEN($AV$75)&gt;0,$AV$75,"NPC 28")</f>
        <v/>
      </c>
      <c r="B143" s="29" t="n"/>
      <c r="C143" s="25" t="n"/>
      <c r="D143" s="25" t="n"/>
      <c r="E143" s="17" t="n"/>
      <c r="F143" s="29" t="n"/>
      <c r="G143" s="25" t="n"/>
      <c r="H143" s="25" t="n"/>
      <c r="I143" s="25" t="n"/>
      <c r="J143" s="17" t="n"/>
      <c r="K143" s="27">
        <f>IF(BF143&gt;0,"O Google leu como fórmula: digite de novo com ' na frente.","")</f>
        <v/>
      </c>
      <c r="AW143" s="2">
        <f>IF(ISERROR($B$143),"",IF(ISBLANK($B$143),"",$B$143))</f>
        <v/>
      </c>
      <c r="BA143" s="2">
        <f>IF(ISERROR($F$143),"",IF(ISBLANK($F$143),"",$F$143))</f>
        <v/>
      </c>
      <c r="BF143" s="2">
        <f>ISERROR($B$143)*1+ISERROR($F$143)*1</f>
        <v/>
      </c>
    </row>
    <row r="144" ht="60" customHeight="1">
      <c r="A144" s="31">
        <f>IF(LEN($AV$76)&gt;0,$AV$76,"NPC 29")</f>
        <v/>
      </c>
      <c r="B144" s="4" t="n"/>
      <c r="C144" s="25" t="n"/>
      <c r="D144" s="25" t="n"/>
      <c r="E144" s="17" t="n"/>
      <c r="F144" s="4" t="n"/>
      <c r="G144" s="25" t="n"/>
      <c r="H144" s="25" t="n"/>
      <c r="I144" s="25" t="n"/>
      <c r="J144" s="17" t="n"/>
      <c r="K144" s="19">
        <f>IF(BF144&gt;0,"O Google leu como fórmula: digite de novo com ' na frente.","")</f>
        <v/>
      </c>
      <c r="AW144" s="2">
        <f>IF(ISERROR($B$144),"",IF(ISBLANK($B$144),"",$B$144))</f>
        <v/>
      </c>
      <c r="BA144" s="2">
        <f>IF(ISERROR($F$144),"",IF(ISBLANK($F$144),"",$F$144))</f>
        <v/>
      </c>
      <c r="BF144" s="2">
        <f>ISERROR($B$144)*1+ISERROR($F$144)*1</f>
        <v/>
      </c>
    </row>
    <row r="145" ht="60" customHeight="1">
      <c r="A145" s="43">
        <f>IF(LEN($AV$77)&gt;0,$AV$77,"NPC 30")</f>
        <v/>
      </c>
      <c r="B145" s="29" t="n"/>
      <c r="C145" s="25" t="n"/>
      <c r="D145" s="25" t="n"/>
      <c r="E145" s="17" t="n"/>
      <c r="F145" s="29" t="n"/>
      <c r="G145" s="25" t="n"/>
      <c r="H145" s="25" t="n"/>
      <c r="I145" s="25" t="n"/>
      <c r="J145" s="17" t="n"/>
      <c r="K145" s="27">
        <f>IF(BF145&gt;0,"O Google leu como fórmula: digite de novo com ' na frente.","")</f>
        <v/>
      </c>
      <c r="AW145" s="2">
        <f>IF(ISERROR($B$145),"",IF(ISBLANK($B$145),"",$B$145))</f>
        <v/>
      </c>
      <c r="BA145" s="2">
        <f>IF(ISERROR($F$145),"",IF(ISBLANK($F$145),"",$F$145))</f>
        <v/>
      </c>
      <c r="BF145" s="2">
        <f>ISERROR($B$145)*1+ISERROR($F$145)*1</f>
        <v/>
      </c>
    </row>
    <row r="146" ht="20" customHeight="1">
      <c r="A146" s="13" t="inlineStr">
        <is>
          <t>E4 · Na mesa</t>
        </is>
      </c>
    </row>
    <row r="147">
      <c r="A147" s="8" t="inlineStr">
        <is>
          <t>NPC</t>
        </is>
      </c>
      <c r="B147" s="8" t="inlineStr">
        <is>
          <t>Maneirismo e voz</t>
        </is>
      </c>
      <c r="C147" s="20" t="n"/>
      <c r="D147" s="20" t="n"/>
      <c r="E147" s="8" t="inlineStr">
        <is>
          <t>Atitude</t>
        </is>
      </c>
      <c r="F147" s="20" t="n"/>
      <c r="G147" s="8" t="inlineStr">
        <is>
          <t>Gancho</t>
        </is>
      </c>
      <c r="H147" s="20" t="n"/>
      <c r="I147" s="20" t="n"/>
      <c r="J147" s="20" t="n"/>
      <c r="K147" s="8" t="inlineStr">
        <is>
          <t>Aviso</t>
        </is>
      </c>
      <c r="L147" s="20" t="n"/>
    </row>
    <row r="148" ht="60" customHeight="1">
      <c r="A148" s="31">
        <f>IF(LEN($AV$46)&gt;0,$AV$46,"NPC 1")</f>
        <v/>
      </c>
      <c r="B148" s="4" t="n"/>
      <c r="C148" s="25" t="n"/>
      <c r="D148" s="17" t="n"/>
      <c r="E148" s="4" t="n"/>
      <c r="F148" s="17" t="n"/>
      <c r="G148" s="4" t="n"/>
      <c r="H148" s="25" t="n"/>
      <c r="I148" s="25" t="n"/>
      <c r="J148" s="17" t="n"/>
      <c r="K148" s="19">
        <f>IF(BF148&gt;0,"O Google leu como fórmula: escolha de novo ou digite com ' na frente.","")</f>
        <v/>
      </c>
      <c r="AW148" s="2">
        <f>IF(ISERROR($B$148),"",IF(ISBLANK($B$148),"",$B$148))</f>
        <v/>
      </c>
      <c r="AZ148" s="2">
        <f>IF(ISERROR($E$148),"",IF(ISBLANK($E$148),"",$E$148))</f>
        <v/>
      </c>
      <c r="BF148" s="2">
        <f>ISERROR($B$148)*1+ISERROR($E$148)*1+ISERROR($G$148)*1</f>
        <v/>
      </c>
    </row>
    <row r="149" ht="60" customHeight="1">
      <c r="A149" s="43">
        <f>IF(LEN($AV$47)&gt;0,$AV$47,"NPC 2")</f>
        <v/>
      </c>
      <c r="B149" s="29" t="n"/>
      <c r="C149" s="25" t="n"/>
      <c r="D149" s="17" t="n"/>
      <c r="E149" s="29" t="n"/>
      <c r="F149" s="17" t="n"/>
      <c r="G149" s="29" t="n"/>
      <c r="H149" s="25" t="n"/>
      <c r="I149" s="25" t="n"/>
      <c r="J149" s="17" t="n"/>
      <c r="K149" s="27">
        <f>IF(BF149&gt;0,"O Google leu como fórmula: escolha de novo ou digite com ' na frente.","")</f>
        <v/>
      </c>
      <c r="AW149" s="2">
        <f>IF(ISERROR($B$149),"",IF(ISBLANK($B$149),"",$B$149))</f>
        <v/>
      </c>
      <c r="AZ149" s="2">
        <f>IF(ISERROR($E$149),"",IF(ISBLANK($E$149),"",$E$149))</f>
        <v/>
      </c>
      <c r="BF149" s="2">
        <f>ISERROR($B$149)*1+ISERROR($E$149)*1+ISERROR($G$149)*1</f>
        <v/>
      </c>
    </row>
    <row r="150" ht="60" customHeight="1">
      <c r="A150" s="31">
        <f>IF(LEN($AV$48)&gt;0,$AV$48,"NPC 3")</f>
        <v/>
      </c>
      <c r="B150" s="4" t="n"/>
      <c r="C150" s="25" t="n"/>
      <c r="D150" s="17" t="n"/>
      <c r="E150" s="4" t="n"/>
      <c r="F150" s="17" t="n"/>
      <c r="G150" s="4" t="n"/>
      <c r="H150" s="25" t="n"/>
      <c r="I150" s="25" t="n"/>
      <c r="J150" s="17" t="n"/>
      <c r="K150" s="19">
        <f>IF(BF150&gt;0,"O Google leu como fórmula: escolha de novo ou digite com ' na frente.","")</f>
        <v/>
      </c>
      <c r="AW150" s="2">
        <f>IF(ISERROR($B$150),"",IF(ISBLANK($B$150),"",$B$150))</f>
        <v/>
      </c>
      <c r="AZ150" s="2">
        <f>IF(ISERROR($E$150),"",IF(ISBLANK($E$150),"",$E$150))</f>
        <v/>
      </c>
      <c r="BF150" s="2">
        <f>ISERROR($B$150)*1+ISERROR($E$150)*1+ISERROR($G$150)*1</f>
        <v/>
      </c>
    </row>
    <row r="151" ht="60" customHeight="1">
      <c r="A151" s="43">
        <f>IF(LEN($AV$49)&gt;0,$AV$49,"NPC 4")</f>
        <v/>
      </c>
      <c r="B151" s="29" t="n"/>
      <c r="C151" s="25" t="n"/>
      <c r="D151" s="17" t="n"/>
      <c r="E151" s="29" t="n"/>
      <c r="F151" s="17" t="n"/>
      <c r="G151" s="29" t="n"/>
      <c r="H151" s="25" t="n"/>
      <c r="I151" s="25" t="n"/>
      <c r="J151" s="17" t="n"/>
      <c r="K151" s="27">
        <f>IF(BF151&gt;0,"O Google leu como fórmula: escolha de novo ou digite com ' na frente.","")</f>
        <v/>
      </c>
      <c r="AW151" s="2">
        <f>IF(ISERROR($B$151),"",IF(ISBLANK($B$151),"",$B$151))</f>
        <v/>
      </c>
      <c r="AZ151" s="2">
        <f>IF(ISERROR($E$151),"",IF(ISBLANK($E$151),"",$E$151))</f>
        <v/>
      </c>
      <c r="BF151" s="2">
        <f>ISERROR($B$151)*1+ISERROR($E$151)*1+ISERROR($G$151)*1</f>
        <v/>
      </c>
    </row>
    <row r="152" ht="60" customHeight="1">
      <c r="A152" s="31">
        <f>IF(LEN($AV$50)&gt;0,$AV$50,"NPC 5")</f>
        <v/>
      </c>
      <c r="B152" s="4" t="n"/>
      <c r="C152" s="25" t="n"/>
      <c r="D152" s="17" t="n"/>
      <c r="E152" s="4" t="n"/>
      <c r="F152" s="17" t="n"/>
      <c r="G152" s="4" t="n"/>
      <c r="H152" s="25" t="n"/>
      <c r="I152" s="25" t="n"/>
      <c r="J152" s="17" t="n"/>
      <c r="K152" s="19">
        <f>IF(BF152&gt;0,"O Google leu como fórmula: escolha de novo ou digite com ' na frente.","")</f>
        <v/>
      </c>
      <c r="AW152" s="2">
        <f>IF(ISERROR($B$152),"",IF(ISBLANK($B$152),"",$B$152))</f>
        <v/>
      </c>
      <c r="AZ152" s="2">
        <f>IF(ISERROR($E$152),"",IF(ISBLANK($E$152),"",$E$152))</f>
        <v/>
      </c>
      <c r="BF152" s="2">
        <f>ISERROR($B$152)*1+ISERROR($E$152)*1+ISERROR($G$152)*1</f>
        <v/>
      </c>
    </row>
    <row r="153" ht="60" customHeight="1">
      <c r="A153" s="43">
        <f>IF(LEN($AV$51)&gt;0,$AV$51,"NPC 6")</f>
        <v/>
      </c>
      <c r="B153" s="29" t="n"/>
      <c r="C153" s="25" t="n"/>
      <c r="D153" s="17" t="n"/>
      <c r="E153" s="29" t="n"/>
      <c r="F153" s="17" t="n"/>
      <c r="G153" s="29" t="n"/>
      <c r="H153" s="25" t="n"/>
      <c r="I153" s="25" t="n"/>
      <c r="J153" s="17" t="n"/>
      <c r="K153" s="27">
        <f>IF(BF153&gt;0,"O Google leu como fórmula: escolha de novo ou digite com ' na frente.","")</f>
        <v/>
      </c>
      <c r="AW153" s="2">
        <f>IF(ISERROR($B$153),"",IF(ISBLANK($B$153),"",$B$153))</f>
        <v/>
      </c>
      <c r="AZ153" s="2">
        <f>IF(ISERROR($E$153),"",IF(ISBLANK($E$153),"",$E$153))</f>
        <v/>
      </c>
      <c r="BF153" s="2">
        <f>ISERROR($B$153)*1+ISERROR($E$153)*1+ISERROR($G$153)*1</f>
        <v/>
      </c>
    </row>
    <row r="154" ht="71" customHeight="1">
      <c r="A154" s="31">
        <f>IF(LEN($AV$52)&gt;0,$AV$52,"NPC 7")</f>
        <v/>
      </c>
      <c r="B154" s="4" t="n"/>
      <c r="C154" s="25" t="n"/>
      <c r="D154" s="17" t="n"/>
      <c r="E154" s="4" t="n"/>
      <c r="F154" s="17" t="n"/>
      <c r="G154" s="4" t="n"/>
      <c r="H154" s="25" t="n"/>
      <c r="I154" s="25" t="n"/>
      <c r="J154" s="17" t="n"/>
      <c r="K154" s="19">
        <f>IF(BF154&gt;0,"O Google leu como fórmula: escolha de novo ou digite com ' na frente.","")</f>
        <v/>
      </c>
      <c r="AW154" s="2">
        <f>IF(ISERROR($B$154),"",IF(ISBLANK($B$154),"",$B$154))</f>
        <v/>
      </c>
      <c r="AZ154" s="2">
        <f>IF(ISERROR($E$154),"",IF(ISBLANK($E$154),"",$E$154))</f>
        <v/>
      </c>
      <c r="BF154" s="2">
        <f>ISERROR($B$154)*1+ISERROR($E$154)*1+ISERROR($G$154)*1</f>
        <v/>
      </c>
    </row>
    <row r="155" ht="71" customHeight="1">
      <c r="A155" s="43">
        <f>IF(LEN($AV$53)&gt;0,$AV$53,"NPC 8")</f>
        <v/>
      </c>
      <c r="B155" s="29" t="n"/>
      <c r="C155" s="25" t="n"/>
      <c r="D155" s="17" t="n"/>
      <c r="E155" s="29" t="n"/>
      <c r="F155" s="17" t="n"/>
      <c r="G155" s="29" t="n"/>
      <c r="H155" s="25" t="n"/>
      <c r="I155" s="25" t="n"/>
      <c r="J155" s="17" t="n"/>
      <c r="K155" s="27">
        <f>IF(BF155&gt;0,"O Google leu como fórmula: escolha de novo ou digite com ' na frente.","")</f>
        <v/>
      </c>
      <c r="AW155" s="2">
        <f>IF(ISERROR($B$155),"",IF(ISBLANK($B$155),"",$B$155))</f>
        <v/>
      </c>
      <c r="AZ155" s="2">
        <f>IF(ISERROR($E$155),"",IF(ISBLANK($E$155),"",$E$155))</f>
        <v/>
      </c>
      <c r="BF155" s="2">
        <f>ISERROR($B$155)*1+ISERROR($E$155)*1+ISERROR($G$155)*1</f>
        <v/>
      </c>
    </row>
    <row r="156" ht="60" customHeight="1">
      <c r="A156" s="31">
        <f>IF(LEN($AV$54)&gt;0,$AV$54,"NPC 9")</f>
        <v/>
      </c>
      <c r="B156" s="4" t="n"/>
      <c r="C156" s="25" t="n"/>
      <c r="D156" s="17" t="n"/>
      <c r="E156" s="4" t="n"/>
      <c r="F156" s="17" t="n"/>
      <c r="G156" s="4" t="n"/>
      <c r="H156" s="25" t="n"/>
      <c r="I156" s="25" t="n"/>
      <c r="J156" s="17" t="n"/>
      <c r="K156" s="19">
        <f>IF(BF156&gt;0,"O Google leu como fórmula: escolha de novo ou digite com ' na frente.","")</f>
        <v/>
      </c>
      <c r="AW156" s="2">
        <f>IF(ISERROR($B$156),"",IF(ISBLANK($B$156),"",$B$156))</f>
        <v/>
      </c>
      <c r="AZ156" s="2">
        <f>IF(ISERROR($E$156),"",IF(ISBLANK($E$156),"",$E$156))</f>
        <v/>
      </c>
      <c r="BF156" s="2">
        <f>ISERROR($B$156)*1+ISERROR($E$156)*1+ISERROR($G$156)*1</f>
        <v/>
      </c>
    </row>
    <row r="157" ht="71" customHeight="1">
      <c r="A157" s="43">
        <f>IF(LEN($AV$55)&gt;0,$AV$55,"NPC 10")</f>
        <v/>
      </c>
      <c r="B157" s="29" t="n"/>
      <c r="C157" s="25" t="n"/>
      <c r="D157" s="17" t="n"/>
      <c r="E157" s="29" t="n"/>
      <c r="F157" s="17" t="n"/>
      <c r="G157" s="29" t="n"/>
      <c r="H157" s="25" t="n"/>
      <c r="I157" s="25" t="n"/>
      <c r="J157" s="17" t="n"/>
      <c r="K157" s="27">
        <f>IF(BF157&gt;0,"O Google leu como fórmula: escolha de novo ou digite com ' na frente.","")</f>
        <v/>
      </c>
      <c r="AW157" s="2">
        <f>IF(ISERROR($B$157),"",IF(ISBLANK($B$157),"",$B$157))</f>
        <v/>
      </c>
      <c r="AZ157" s="2">
        <f>IF(ISERROR($E$157),"",IF(ISBLANK($E$157),"",$E$157))</f>
        <v/>
      </c>
      <c r="BF157" s="2">
        <f>ISERROR($B$157)*1+ISERROR($E$157)*1+ISERROR($G$157)*1</f>
        <v/>
      </c>
    </row>
    <row r="158">
      <c r="A158" s="8" t="inlineStr">
        <is>
          <t>NPC</t>
        </is>
      </c>
      <c r="B158" s="8" t="inlineStr">
        <is>
          <t>Maneirismo e voz</t>
        </is>
      </c>
      <c r="C158" s="20" t="n"/>
      <c r="D158" s="20" t="n"/>
      <c r="E158" s="8" t="inlineStr">
        <is>
          <t>Atitude</t>
        </is>
      </c>
      <c r="F158" s="20" t="n"/>
      <c r="G158" s="8" t="inlineStr">
        <is>
          <t>Gancho</t>
        </is>
      </c>
      <c r="H158" s="20" t="n"/>
      <c r="I158" s="20" t="n"/>
      <c r="J158" s="20" t="n"/>
      <c r="K158" s="8" t="inlineStr">
        <is>
          <t>Aviso</t>
        </is>
      </c>
      <c r="L158" s="20" t="n"/>
    </row>
    <row r="159" ht="60" customHeight="1">
      <c r="A159" s="31">
        <f>IF(LEN($AV$57)&gt;0,$AV$57,"NPC 11")</f>
        <v/>
      </c>
      <c r="B159" s="4" t="n"/>
      <c r="C159" s="25" t="n"/>
      <c r="D159" s="17" t="n"/>
      <c r="E159" s="4" t="n"/>
      <c r="F159" s="17" t="n"/>
      <c r="G159" s="4" t="n"/>
      <c r="H159" s="25" t="n"/>
      <c r="I159" s="25" t="n"/>
      <c r="J159" s="17" t="n"/>
      <c r="K159" s="19">
        <f>IF(BF159&gt;0,"O Google leu como fórmula: escolha de novo ou digite com ' na frente.","")</f>
        <v/>
      </c>
      <c r="AW159" s="2">
        <f>IF(ISERROR($B$159),"",IF(ISBLANK($B$159),"",$B$159))</f>
        <v/>
      </c>
      <c r="AZ159" s="2">
        <f>IF(ISERROR($E$159),"",IF(ISBLANK($E$159),"",$E$159))</f>
        <v/>
      </c>
      <c r="BF159" s="2">
        <f>ISERROR($B$159)*1+ISERROR($E$159)*1+ISERROR($G$159)*1</f>
        <v/>
      </c>
    </row>
    <row r="160" ht="60" customHeight="1">
      <c r="A160" s="43">
        <f>IF(LEN($AV$58)&gt;0,$AV$58,"NPC 12")</f>
        <v/>
      </c>
      <c r="B160" s="29" t="n"/>
      <c r="C160" s="25" t="n"/>
      <c r="D160" s="17" t="n"/>
      <c r="E160" s="29" t="n"/>
      <c r="F160" s="17" t="n"/>
      <c r="G160" s="29" t="n"/>
      <c r="H160" s="25" t="n"/>
      <c r="I160" s="25" t="n"/>
      <c r="J160" s="17" t="n"/>
      <c r="K160" s="27">
        <f>IF(BF160&gt;0,"O Google leu como fórmula: escolha de novo ou digite com ' na frente.","")</f>
        <v/>
      </c>
      <c r="AW160" s="2">
        <f>IF(ISERROR($B$160),"",IF(ISBLANK($B$160),"",$B$160))</f>
        <v/>
      </c>
      <c r="AZ160" s="2">
        <f>IF(ISERROR($E$160),"",IF(ISBLANK($E$160),"",$E$160))</f>
        <v/>
      </c>
      <c r="BF160" s="2">
        <f>ISERROR($B$160)*1+ISERROR($E$160)*1+ISERROR($G$160)*1</f>
        <v/>
      </c>
    </row>
    <row r="161" ht="82" customHeight="1">
      <c r="A161" s="31">
        <f>IF(LEN($AV$59)&gt;0,$AV$59,"NPC 13")</f>
        <v/>
      </c>
      <c r="B161" s="4" t="n"/>
      <c r="C161" s="25" t="n"/>
      <c r="D161" s="17" t="n"/>
      <c r="E161" s="4" t="n"/>
      <c r="F161" s="17" t="n"/>
      <c r="G161" s="4" t="n"/>
      <c r="H161" s="25" t="n"/>
      <c r="I161" s="25" t="n"/>
      <c r="J161" s="17" t="n"/>
      <c r="K161" s="19">
        <f>IF(BF161&gt;0,"O Google leu como fórmula: escolha de novo ou digite com ' na frente.","")</f>
        <v/>
      </c>
      <c r="AW161" s="2">
        <f>IF(ISERROR($B$161),"",IF(ISBLANK($B$161),"",$B$161))</f>
        <v/>
      </c>
      <c r="AZ161" s="2">
        <f>IF(ISERROR($E$161),"",IF(ISBLANK($E$161),"",$E$161))</f>
        <v/>
      </c>
      <c r="BF161" s="2">
        <f>ISERROR($B$161)*1+ISERROR($E$161)*1+ISERROR($G$161)*1</f>
        <v/>
      </c>
    </row>
    <row r="162" ht="60" customHeight="1">
      <c r="A162" s="43">
        <f>IF(LEN($AV$60)&gt;0,$AV$60,"NPC 14")</f>
        <v/>
      </c>
      <c r="B162" s="29" t="n"/>
      <c r="C162" s="25" t="n"/>
      <c r="D162" s="17" t="n"/>
      <c r="E162" s="29" t="n"/>
      <c r="F162" s="17" t="n"/>
      <c r="G162" s="29" t="n"/>
      <c r="H162" s="25" t="n"/>
      <c r="I162" s="25" t="n"/>
      <c r="J162" s="17" t="n"/>
      <c r="K162" s="27">
        <f>IF(BF162&gt;0,"O Google leu como fórmula: escolha de novo ou digite com ' na frente.","")</f>
        <v/>
      </c>
      <c r="AW162" s="2">
        <f>IF(ISERROR($B$162),"",IF(ISBLANK($B$162),"",$B$162))</f>
        <v/>
      </c>
      <c r="AZ162" s="2">
        <f>IF(ISERROR($E$162),"",IF(ISBLANK($E$162),"",$E$162))</f>
        <v/>
      </c>
      <c r="BF162" s="2">
        <f>ISERROR($B$162)*1+ISERROR($E$162)*1+ISERROR($G$162)*1</f>
        <v/>
      </c>
    </row>
    <row r="163" ht="60" customHeight="1">
      <c r="A163" s="31">
        <f>IF(LEN($AV$61)&gt;0,$AV$61,"NPC 15")</f>
        <v/>
      </c>
      <c r="B163" s="4" t="n"/>
      <c r="C163" s="25" t="n"/>
      <c r="D163" s="17" t="n"/>
      <c r="E163" s="4" t="n"/>
      <c r="F163" s="17" t="n"/>
      <c r="G163" s="4" t="n"/>
      <c r="H163" s="25" t="n"/>
      <c r="I163" s="25" t="n"/>
      <c r="J163" s="17" t="n"/>
      <c r="K163" s="19">
        <f>IF(BF163&gt;0,"O Google leu como fórmula: escolha de novo ou digite com ' na frente.","")</f>
        <v/>
      </c>
      <c r="AW163" s="2">
        <f>IF(ISERROR($B$163),"",IF(ISBLANK($B$163),"",$B$163))</f>
        <v/>
      </c>
      <c r="AZ163" s="2">
        <f>IF(ISERROR($E$163),"",IF(ISBLANK($E$163),"",$E$163))</f>
        <v/>
      </c>
      <c r="BF163" s="2">
        <f>ISERROR($B$163)*1+ISERROR($E$163)*1+ISERROR($G$163)*1</f>
        <v/>
      </c>
    </row>
    <row r="164" ht="60" customHeight="1">
      <c r="A164" s="43">
        <f>IF(LEN($AV$62)&gt;0,$AV$62,"NPC 16")</f>
        <v/>
      </c>
      <c r="B164" s="29" t="n"/>
      <c r="C164" s="25" t="n"/>
      <c r="D164" s="17" t="n"/>
      <c r="E164" s="29" t="n"/>
      <c r="F164" s="17" t="n"/>
      <c r="G164" s="29" t="n"/>
      <c r="H164" s="25" t="n"/>
      <c r="I164" s="25" t="n"/>
      <c r="J164" s="17" t="n"/>
      <c r="K164" s="27">
        <f>IF(BF164&gt;0,"O Google leu como fórmula: escolha de novo ou digite com ' na frente.","")</f>
        <v/>
      </c>
      <c r="AW164" s="2">
        <f>IF(ISERROR($B$164),"",IF(ISBLANK($B$164),"",$B$164))</f>
        <v/>
      </c>
      <c r="AZ164" s="2">
        <f>IF(ISERROR($E$164),"",IF(ISBLANK($E$164),"",$E$164))</f>
        <v/>
      </c>
      <c r="BF164" s="2">
        <f>ISERROR($B$164)*1+ISERROR($E$164)*1+ISERROR($G$164)*1</f>
        <v/>
      </c>
    </row>
    <row r="165" ht="71" customHeight="1">
      <c r="A165" s="31">
        <f>IF(LEN($AV$63)&gt;0,$AV$63,"NPC 17")</f>
        <v/>
      </c>
      <c r="B165" s="4" t="n"/>
      <c r="C165" s="25" t="n"/>
      <c r="D165" s="17" t="n"/>
      <c r="E165" s="4" t="n"/>
      <c r="F165" s="17" t="n"/>
      <c r="G165" s="4" t="n"/>
      <c r="H165" s="25" t="n"/>
      <c r="I165" s="25" t="n"/>
      <c r="J165" s="17" t="n"/>
      <c r="K165" s="19">
        <f>IF(BF165&gt;0,"O Google leu como fórmula: escolha de novo ou digite com ' na frente.","")</f>
        <v/>
      </c>
      <c r="AW165" s="2">
        <f>IF(ISERROR($B$165),"",IF(ISBLANK($B$165),"",$B$165))</f>
        <v/>
      </c>
      <c r="AZ165" s="2">
        <f>IF(ISERROR($E$165),"",IF(ISBLANK($E$165),"",$E$165))</f>
        <v/>
      </c>
      <c r="BF165" s="2">
        <f>ISERROR($B$165)*1+ISERROR($E$165)*1+ISERROR($G$165)*1</f>
        <v/>
      </c>
    </row>
    <row r="166" ht="60" customHeight="1">
      <c r="A166" s="43">
        <f>IF(LEN($AV$64)&gt;0,$AV$64,"NPC 18")</f>
        <v/>
      </c>
      <c r="B166" s="29" t="n"/>
      <c r="C166" s="25" t="n"/>
      <c r="D166" s="17" t="n"/>
      <c r="E166" s="29" t="n"/>
      <c r="F166" s="17" t="n"/>
      <c r="G166" s="29" t="n"/>
      <c r="H166" s="25" t="n"/>
      <c r="I166" s="25" t="n"/>
      <c r="J166" s="17" t="n"/>
      <c r="K166" s="27">
        <f>IF(BF166&gt;0,"O Google leu como fórmula: escolha de novo ou digite com ' na frente.","")</f>
        <v/>
      </c>
      <c r="AW166" s="2">
        <f>IF(ISERROR($B$166),"",IF(ISBLANK($B$166),"",$B$166))</f>
        <v/>
      </c>
      <c r="AZ166" s="2">
        <f>IF(ISERROR($E$166),"",IF(ISBLANK($E$166),"",$E$166))</f>
        <v/>
      </c>
      <c r="BF166" s="2">
        <f>ISERROR($B$166)*1+ISERROR($E$166)*1+ISERROR($G$166)*1</f>
        <v/>
      </c>
    </row>
    <row r="167" ht="60" customHeight="1">
      <c r="A167" s="31">
        <f>IF(LEN($AV$65)&gt;0,$AV$65,"NPC 19")</f>
        <v/>
      </c>
      <c r="B167" s="4" t="n"/>
      <c r="C167" s="25" t="n"/>
      <c r="D167" s="17" t="n"/>
      <c r="E167" s="4" t="n"/>
      <c r="F167" s="17" t="n"/>
      <c r="G167" s="4" t="n"/>
      <c r="H167" s="25" t="n"/>
      <c r="I167" s="25" t="n"/>
      <c r="J167" s="17" t="n"/>
      <c r="K167" s="19">
        <f>IF(BF167&gt;0,"O Google leu como fórmula: escolha de novo ou digite com ' na frente.","")</f>
        <v/>
      </c>
      <c r="AW167" s="2">
        <f>IF(ISERROR($B$167),"",IF(ISBLANK($B$167),"",$B$167))</f>
        <v/>
      </c>
      <c r="AZ167" s="2">
        <f>IF(ISERROR($E$167),"",IF(ISBLANK($E$167),"",$E$167))</f>
        <v/>
      </c>
      <c r="BF167" s="2">
        <f>ISERROR($B$167)*1+ISERROR($E$167)*1+ISERROR($G$167)*1</f>
        <v/>
      </c>
    </row>
    <row r="168" ht="60" customHeight="1">
      <c r="A168" s="43">
        <f>IF(LEN($AV$66)&gt;0,$AV$66,"NPC 20")</f>
        <v/>
      </c>
      <c r="B168" s="29" t="n"/>
      <c r="C168" s="25" t="n"/>
      <c r="D168" s="17" t="n"/>
      <c r="E168" s="29" t="n"/>
      <c r="F168" s="17" t="n"/>
      <c r="G168" s="29" t="n"/>
      <c r="H168" s="25" t="n"/>
      <c r="I168" s="25" t="n"/>
      <c r="J168" s="17" t="n"/>
      <c r="K168" s="27">
        <f>IF(BF168&gt;0,"O Google leu como fórmula: escolha de novo ou digite com ' na frente.","")</f>
        <v/>
      </c>
      <c r="AW168" s="2">
        <f>IF(ISERROR($B$168),"",IF(ISBLANK($B$168),"",$B$168))</f>
        <v/>
      </c>
      <c r="AZ168" s="2">
        <f>IF(ISERROR($E$168),"",IF(ISBLANK($E$168),"",$E$168))</f>
        <v/>
      </c>
      <c r="BF168" s="2">
        <f>ISERROR($B$168)*1+ISERROR($E$168)*1+ISERROR($G$168)*1</f>
        <v/>
      </c>
    </row>
    <row r="169">
      <c r="A169" s="8" t="inlineStr">
        <is>
          <t>NPC</t>
        </is>
      </c>
      <c r="B169" s="8" t="inlineStr">
        <is>
          <t>Maneirismo e voz</t>
        </is>
      </c>
      <c r="C169" s="20" t="n"/>
      <c r="D169" s="20" t="n"/>
      <c r="E169" s="8" t="inlineStr">
        <is>
          <t>Atitude</t>
        </is>
      </c>
      <c r="F169" s="20" t="n"/>
      <c r="G169" s="8" t="inlineStr">
        <is>
          <t>Gancho</t>
        </is>
      </c>
      <c r="H169" s="20" t="n"/>
      <c r="I169" s="20" t="n"/>
      <c r="J169" s="20" t="n"/>
      <c r="K169" s="8" t="inlineStr">
        <is>
          <t>Aviso</t>
        </is>
      </c>
      <c r="L169" s="20" t="n"/>
    </row>
    <row r="170" ht="60" customHeight="1">
      <c r="A170" s="31">
        <f>IF(LEN($AV$68)&gt;0,$AV$68,"NPC 21")</f>
        <v/>
      </c>
      <c r="B170" s="4" t="n"/>
      <c r="C170" s="25" t="n"/>
      <c r="D170" s="17" t="n"/>
      <c r="E170" s="4" t="n"/>
      <c r="F170" s="17" t="n"/>
      <c r="G170" s="4" t="n"/>
      <c r="H170" s="25" t="n"/>
      <c r="I170" s="25" t="n"/>
      <c r="J170" s="17" t="n"/>
      <c r="K170" s="19">
        <f>IF(BF170&gt;0,"O Google leu como fórmula: escolha de novo ou digite com ' na frente.","")</f>
        <v/>
      </c>
      <c r="AW170" s="2">
        <f>IF(ISERROR($B$170),"",IF(ISBLANK($B$170),"",$B$170))</f>
        <v/>
      </c>
      <c r="AZ170" s="2">
        <f>IF(ISERROR($E$170),"",IF(ISBLANK($E$170),"",$E$170))</f>
        <v/>
      </c>
      <c r="BF170" s="2">
        <f>ISERROR($B$170)*1+ISERROR($E$170)*1+ISERROR($G$170)*1</f>
        <v/>
      </c>
    </row>
    <row r="171" ht="60" customHeight="1">
      <c r="A171" s="43">
        <f>IF(LEN($AV$69)&gt;0,$AV$69,"NPC 22")</f>
        <v/>
      </c>
      <c r="B171" s="29" t="n"/>
      <c r="C171" s="25" t="n"/>
      <c r="D171" s="17" t="n"/>
      <c r="E171" s="29" t="n"/>
      <c r="F171" s="17" t="n"/>
      <c r="G171" s="29" t="n"/>
      <c r="H171" s="25" t="n"/>
      <c r="I171" s="25" t="n"/>
      <c r="J171" s="17" t="n"/>
      <c r="K171" s="27">
        <f>IF(BF171&gt;0,"O Google leu como fórmula: escolha de novo ou digite com ' na frente.","")</f>
        <v/>
      </c>
      <c r="AW171" s="2">
        <f>IF(ISERROR($B$171),"",IF(ISBLANK($B$171),"",$B$171))</f>
        <v/>
      </c>
      <c r="AZ171" s="2">
        <f>IF(ISERROR($E$171),"",IF(ISBLANK($E$171),"",$E$171))</f>
        <v/>
      </c>
      <c r="BF171" s="2">
        <f>ISERROR($B$171)*1+ISERROR($E$171)*1+ISERROR($G$171)*1</f>
        <v/>
      </c>
    </row>
    <row r="172" ht="60" customHeight="1">
      <c r="A172" s="31">
        <f>IF(LEN($AV$70)&gt;0,$AV$70,"NPC 23")</f>
        <v/>
      </c>
      <c r="B172" s="4" t="n"/>
      <c r="C172" s="25" t="n"/>
      <c r="D172" s="17" t="n"/>
      <c r="E172" s="4" t="n"/>
      <c r="F172" s="17" t="n"/>
      <c r="G172" s="4" t="n"/>
      <c r="H172" s="25" t="n"/>
      <c r="I172" s="25" t="n"/>
      <c r="J172" s="17" t="n"/>
      <c r="K172" s="19">
        <f>IF(BF172&gt;0,"O Google leu como fórmula: escolha de novo ou digite com ' na frente.","")</f>
        <v/>
      </c>
      <c r="AW172" s="2">
        <f>IF(ISERROR($B$172),"",IF(ISBLANK($B$172),"",$B$172))</f>
        <v/>
      </c>
      <c r="AZ172" s="2">
        <f>IF(ISERROR($E$172),"",IF(ISBLANK($E$172),"",$E$172))</f>
        <v/>
      </c>
      <c r="BF172" s="2">
        <f>ISERROR($B$172)*1+ISERROR($E$172)*1+ISERROR($G$172)*1</f>
        <v/>
      </c>
    </row>
    <row r="173" ht="60" customHeight="1">
      <c r="A173" s="43">
        <f>IF(LEN($AV$71)&gt;0,$AV$71,"NPC 24")</f>
        <v/>
      </c>
      <c r="B173" s="29" t="n"/>
      <c r="C173" s="25" t="n"/>
      <c r="D173" s="17" t="n"/>
      <c r="E173" s="29" t="n"/>
      <c r="F173" s="17" t="n"/>
      <c r="G173" s="29" t="n"/>
      <c r="H173" s="25" t="n"/>
      <c r="I173" s="25" t="n"/>
      <c r="J173" s="17" t="n"/>
      <c r="K173" s="27">
        <f>IF(BF173&gt;0,"O Google leu como fórmula: escolha de novo ou digite com ' na frente.","")</f>
        <v/>
      </c>
      <c r="AW173" s="2">
        <f>IF(ISERROR($B$173),"",IF(ISBLANK($B$173),"",$B$173))</f>
        <v/>
      </c>
      <c r="AZ173" s="2">
        <f>IF(ISERROR($E$173),"",IF(ISBLANK($E$173),"",$E$173))</f>
        <v/>
      </c>
      <c r="BF173" s="2">
        <f>ISERROR($B$173)*1+ISERROR($E$173)*1+ISERROR($G$173)*1</f>
        <v/>
      </c>
    </row>
    <row r="174" ht="60" customHeight="1">
      <c r="A174" s="31">
        <f>IF(LEN($AV$72)&gt;0,$AV$72,"NPC 25")</f>
        <v/>
      </c>
      <c r="B174" s="4" t="n"/>
      <c r="C174" s="25" t="n"/>
      <c r="D174" s="17" t="n"/>
      <c r="E174" s="4" t="n"/>
      <c r="F174" s="17" t="n"/>
      <c r="G174" s="4" t="n"/>
      <c r="H174" s="25" t="n"/>
      <c r="I174" s="25" t="n"/>
      <c r="J174" s="17" t="n"/>
      <c r="K174" s="19">
        <f>IF(BF174&gt;0,"O Google leu como fórmula: escolha de novo ou digite com ' na frente.","")</f>
        <v/>
      </c>
      <c r="AW174" s="2">
        <f>IF(ISERROR($B$174),"",IF(ISBLANK($B$174),"",$B$174))</f>
        <v/>
      </c>
      <c r="AZ174" s="2">
        <f>IF(ISERROR($E$174),"",IF(ISBLANK($E$174),"",$E$174))</f>
        <v/>
      </c>
      <c r="BF174" s="2">
        <f>ISERROR($B$174)*1+ISERROR($E$174)*1+ISERROR($G$174)*1</f>
        <v/>
      </c>
    </row>
    <row r="175" ht="60" customHeight="1">
      <c r="A175" s="43">
        <f>IF(LEN($AV$73)&gt;0,$AV$73,"NPC 26")</f>
        <v/>
      </c>
      <c r="B175" s="29" t="n"/>
      <c r="C175" s="25" t="n"/>
      <c r="D175" s="17" t="n"/>
      <c r="E175" s="29" t="n"/>
      <c r="F175" s="17" t="n"/>
      <c r="G175" s="29" t="n"/>
      <c r="H175" s="25" t="n"/>
      <c r="I175" s="25" t="n"/>
      <c r="J175" s="17" t="n"/>
      <c r="K175" s="27">
        <f>IF(BF175&gt;0,"O Google leu como fórmula: escolha de novo ou digite com ' na frente.","")</f>
        <v/>
      </c>
      <c r="AW175" s="2">
        <f>IF(ISERROR($B$175),"",IF(ISBLANK($B$175),"",$B$175))</f>
        <v/>
      </c>
      <c r="AZ175" s="2">
        <f>IF(ISERROR($E$175),"",IF(ISBLANK($E$175),"",$E$175))</f>
        <v/>
      </c>
      <c r="BF175" s="2">
        <f>ISERROR($B$175)*1+ISERROR($E$175)*1+ISERROR($G$175)*1</f>
        <v/>
      </c>
    </row>
    <row r="176" ht="60" customHeight="1">
      <c r="A176" s="31">
        <f>IF(LEN($AV$74)&gt;0,$AV$74,"NPC 27")</f>
        <v/>
      </c>
      <c r="B176" s="4" t="n"/>
      <c r="C176" s="25" t="n"/>
      <c r="D176" s="17" t="n"/>
      <c r="E176" s="4" t="n"/>
      <c r="F176" s="17" t="n"/>
      <c r="G176" s="4" t="n"/>
      <c r="H176" s="25" t="n"/>
      <c r="I176" s="25" t="n"/>
      <c r="J176" s="17" t="n"/>
      <c r="K176" s="19">
        <f>IF(BF176&gt;0,"O Google leu como fórmula: escolha de novo ou digite com ' na frente.","")</f>
        <v/>
      </c>
      <c r="AW176" s="2">
        <f>IF(ISERROR($B$176),"",IF(ISBLANK($B$176),"",$B$176))</f>
        <v/>
      </c>
      <c r="AZ176" s="2">
        <f>IF(ISERROR($E$176),"",IF(ISBLANK($E$176),"",$E$176))</f>
        <v/>
      </c>
      <c r="BF176" s="2">
        <f>ISERROR($B$176)*1+ISERROR($E$176)*1+ISERROR($G$176)*1</f>
        <v/>
      </c>
    </row>
    <row r="177" ht="60" customHeight="1">
      <c r="A177" s="43">
        <f>IF(LEN($AV$75)&gt;0,$AV$75,"NPC 28")</f>
        <v/>
      </c>
      <c r="B177" s="29" t="n"/>
      <c r="C177" s="25" t="n"/>
      <c r="D177" s="17" t="n"/>
      <c r="E177" s="29" t="n"/>
      <c r="F177" s="17" t="n"/>
      <c r="G177" s="29" t="n"/>
      <c r="H177" s="25" t="n"/>
      <c r="I177" s="25" t="n"/>
      <c r="J177" s="17" t="n"/>
      <c r="K177" s="27">
        <f>IF(BF177&gt;0,"O Google leu como fórmula: escolha de novo ou digite com ' na frente.","")</f>
        <v/>
      </c>
      <c r="AW177" s="2">
        <f>IF(ISERROR($B$177),"",IF(ISBLANK($B$177),"",$B$177))</f>
        <v/>
      </c>
      <c r="AZ177" s="2">
        <f>IF(ISERROR($E$177),"",IF(ISBLANK($E$177),"",$E$177))</f>
        <v/>
      </c>
      <c r="BF177" s="2">
        <f>ISERROR($B$177)*1+ISERROR($E$177)*1+ISERROR($G$177)*1</f>
        <v/>
      </c>
    </row>
    <row r="178" ht="60" customHeight="1">
      <c r="A178" s="31">
        <f>IF(LEN($AV$76)&gt;0,$AV$76,"NPC 29")</f>
        <v/>
      </c>
      <c r="B178" s="4" t="n"/>
      <c r="C178" s="25" t="n"/>
      <c r="D178" s="17" t="n"/>
      <c r="E178" s="4" t="n"/>
      <c r="F178" s="17" t="n"/>
      <c r="G178" s="4" t="n"/>
      <c r="H178" s="25" t="n"/>
      <c r="I178" s="25" t="n"/>
      <c r="J178" s="17" t="n"/>
      <c r="K178" s="19">
        <f>IF(BF178&gt;0,"O Google leu como fórmula: escolha de novo ou digite com ' na frente.","")</f>
        <v/>
      </c>
      <c r="AW178" s="2">
        <f>IF(ISERROR($B$178),"",IF(ISBLANK($B$178),"",$B$178))</f>
        <v/>
      </c>
      <c r="AZ178" s="2">
        <f>IF(ISERROR($E$178),"",IF(ISBLANK($E$178),"",$E$178))</f>
        <v/>
      </c>
      <c r="BF178" s="2">
        <f>ISERROR($B$178)*1+ISERROR($E$178)*1+ISERROR($G$178)*1</f>
        <v/>
      </c>
    </row>
    <row r="179" ht="60" customHeight="1">
      <c r="A179" s="43">
        <f>IF(LEN($AV$77)&gt;0,$AV$77,"NPC 30")</f>
        <v/>
      </c>
      <c r="B179" s="29" t="n"/>
      <c r="C179" s="25" t="n"/>
      <c r="D179" s="17" t="n"/>
      <c r="E179" s="29" t="n"/>
      <c r="F179" s="17" t="n"/>
      <c r="G179" s="29" t="n"/>
      <c r="H179" s="25" t="n"/>
      <c r="I179" s="25" t="n"/>
      <c r="J179" s="17" t="n"/>
      <c r="K179" s="27">
        <f>IF(BF179&gt;0,"O Google leu como fórmula: escolha de novo ou digite com ' na frente.","")</f>
        <v/>
      </c>
      <c r="AW179" s="2">
        <f>IF(ISERROR($B$179),"",IF(ISBLANK($B$179),"",$B$179))</f>
        <v/>
      </c>
      <c r="AZ179" s="2">
        <f>IF(ISERROR($E$179),"",IF(ISBLANK($E$179),"",$E$179))</f>
        <v/>
      </c>
      <c r="BF179" s="2">
        <f>ISERROR($B$179)*1+ISERROR($E$179)*1+ISERROR($G$179)*1</f>
        <v/>
      </c>
    </row>
    <row r="180" ht="26" customHeight="1">
      <c r="A180" s="13" t="inlineStr">
        <is>
          <t>E5 · Registro (a relação usa a escala −3 a +3 da planilha)</t>
        </is>
      </c>
      <c r="K180" s="12" t="inlineStr">
        <is>
          <t>Sugestão da planilha — não é regra do livro (H17)</t>
        </is>
      </c>
    </row>
    <row r="181" ht="26" customHeight="1">
      <c r="A181" s="8" t="inlineStr">
        <is>
          <t>NPC</t>
        </is>
      </c>
      <c r="B181" s="8" t="inlineStr">
        <is>
          <t>Relação (−3 a +3)</t>
        </is>
      </c>
      <c r="C181" s="8" t="inlineStr">
        <is>
          <t>Vivo?</t>
        </is>
      </c>
      <c r="D181" s="8" t="inlineStr">
        <is>
          <t>Sessão em que apareceu</t>
        </is>
      </c>
      <c r="E181" s="8" t="inlineStr">
        <is>
          <t>Onde está</t>
        </is>
      </c>
      <c r="F181" s="20" t="n"/>
      <c r="G181" s="20" t="n"/>
      <c r="H181" s="8" t="inlineStr">
        <is>
          <t>Notas</t>
        </is>
      </c>
      <c r="I181" s="20" t="n"/>
      <c r="J181" s="20" t="n"/>
      <c r="K181" s="8" t="inlineStr">
        <is>
          <t>Aviso</t>
        </is>
      </c>
      <c r="L181" s="20" t="n"/>
    </row>
    <row r="182" ht="60" customHeight="1">
      <c r="A182" s="31">
        <f>IF(LEN($AV$46)&gt;0,$AV$46,"NPC 1")</f>
        <v/>
      </c>
      <c r="B182" s="16" t="n"/>
      <c r="C182" s="4" t="n"/>
      <c r="D182" s="16" t="n"/>
      <c r="E182" s="4" t="n"/>
      <c r="F182" s="25" t="n"/>
      <c r="G182" s="17" t="n"/>
      <c r="H182" s="4" t="n"/>
      <c r="I182" s="25" t="n"/>
      <c r="J182" s="17" t="n"/>
      <c r="K182" s="19">
        <f>IF(BF182&gt;0,"O Google leu como fórmula: escolha de novo ou digite com ' na frente.",IF(LEN($AW$182)=0,"",IF(NOT(ISNUMBER($AW$182)),"Relação não é número (−3 a +3)",IF(OR($AW$182&lt;-3,$AW$182&gt;3,INT($AW$182)&lt;&gt;$AW$182),"Relação fora de −3 a +3",""))))</f>
        <v/>
      </c>
      <c r="AW182" s="2">
        <f>IF(ISERROR($B$182),"",IF(ISBLANK($B$182),"",$B$182))</f>
        <v/>
      </c>
      <c r="BF182" s="2">
        <f>ISERROR($B$182)*1+ISERROR($C$182)*1+ISERROR($D$182)*1+ISERROR($E$182)*1+ISERROR($H$182)*1</f>
        <v/>
      </c>
    </row>
    <row r="183" ht="60" customHeight="1">
      <c r="A183" s="43">
        <f>IF(LEN($AV$47)&gt;0,$AV$47,"NPC 2")</f>
        <v/>
      </c>
      <c r="B183" s="37" t="n"/>
      <c r="C183" s="29" t="n"/>
      <c r="D183" s="37" t="n"/>
      <c r="E183" s="29" t="n"/>
      <c r="F183" s="25" t="n"/>
      <c r="G183" s="17" t="n"/>
      <c r="H183" s="29" t="n"/>
      <c r="I183" s="25" t="n"/>
      <c r="J183" s="17" t="n"/>
      <c r="K183" s="27">
        <f>IF(BF183&gt;0,"O Google leu como fórmula: escolha de novo ou digite com ' na frente.",IF(LEN($AW$183)=0,"",IF(NOT(ISNUMBER($AW$183)),"Relação não é número (−3 a +3)",IF(OR($AW$183&lt;-3,$AW$183&gt;3,INT($AW$183)&lt;&gt;$AW$183),"Relação fora de −3 a +3",""))))</f>
        <v/>
      </c>
      <c r="AW183" s="2">
        <f>IF(ISERROR($B$183),"",IF(ISBLANK($B$183),"",$B$183))</f>
        <v/>
      </c>
      <c r="BF183" s="2">
        <f>ISERROR($B$183)*1+ISERROR($C$183)*1+ISERROR($D$183)*1+ISERROR($E$183)*1+ISERROR($H$183)*1</f>
        <v/>
      </c>
    </row>
    <row r="184" ht="60" customHeight="1">
      <c r="A184" s="31">
        <f>IF(LEN($AV$48)&gt;0,$AV$48,"NPC 3")</f>
        <v/>
      </c>
      <c r="B184" s="16" t="n"/>
      <c r="C184" s="4" t="n"/>
      <c r="D184" s="16" t="n"/>
      <c r="E184" s="4" t="n"/>
      <c r="F184" s="25" t="n"/>
      <c r="G184" s="17" t="n"/>
      <c r="H184" s="4" t="n"/>
      <c r="I184" s="25" t="n"/>
      <c r="J184" s="17" t="n"/>
      <c r="K184" s="19">
        <f>IF(BF184&gt;0,"O Google leu como fórmula: escolha de novo ou digite com ' na frente.",IF(LEN($AW$184)=0,"",IF(NOT(ISNUMBER($AW$184)),"Relação não é número (−3 a +3)",IF(OR($AW$184&lt;-3,$AW$184&gt;3,INT($AW$184)&lt;&gt;$AW$184),"Relação fora de −3 a +3",""))))</f>
        <v/>
      </c>
      <c r="AW184" s="2">
        <f>IF(ISERROR($B$184),"",IF(ISBLANK($B$184),"",$B$184))</f>
        <v/>
      </c>
      <c r="BF184" s="2">
        <f>ISERROR($B$184)*1+ISERROR($C$184)*1+ISERROR($D$184)*1+ISERROR($E$184)*1+ISERROR($H$184)*1</f>
        <v/>
      </c>
    </row>
    <row r="185" ht="60" customHeight="1">
      <c r="A185" s="43">
        <f>IF(LEN($AV$49)&gt;0,$AV$49,"NPC 4")</f>
        <v/>
      </c>
      <c r="B185" s="37" t="n"/>
      <c r="C185" s="29" t="n"/>
      <c r="D185" s="37" t="n"/>
      <c r="E185" s="29" t="n"/>
      <c r="F185" s="25" t="n"/>
      <c r="G185" s="17" t="n"/>
      <c r="H185" s="29" t="n"/>
      <c r="I185" s="25" t="n"/>
      <c r="J185" s="17" t="n"/>
      <c r="K185" s="27">
        <f>IF(BF185&gt;0,"O Google leu como fórmula: escolha de novo ou digite com ' na frente.",IF(LEN($AW$185)=0,"",IF(NOT(ISNUMBER($AW$185)),"Relação não é número (−3 a +3)",IF(OR($AW$185&lt;-3,$AW$185&gt;3,INT($AW$185)&lt;&gt;$AW$185),"Relação fora de −3 a +3",""))))</f>
        <v/>
      </c>
      <c r="AW185" s="2">
        <f>IF(ISERROR($B$185),"",IF(ISBLANK($B$185),"",$B$185))</f>
        <v/>
      </c>
      <c r="BF185" s="2">
        <f>ISERROR($B$185)*1+ISERROR($C$185)*1+ISERROR($D$185)*1+ISERROR($E$185)*1+ISERROR($H$185)*1</f>
        <v/>
      </c>
    </row>
    <row r="186" ht="60" customHeight="1">
      <c r="A186" s="31">
        <f>IF(LEN($AV$50)&gt;0,$AV$50,"NPC 5")</f>
        <v/>
      </c>
      <c r="B186" s="16" t="n"/>
      <c r="C186" s="4" t="n"/>
      <c r="D186" s="16" t="n"/>
      <c r="E186" s="4" t="n"/>
      <c r="F186" s="25" t="n"/>
      <c r="G186" s="17" t="n"/>
      <c r="H186" s="4" t="n"/>
      <c r="I186" s="25" t="n"/>
      <c r="J186" s="17" t="n"/>
      <c r="K186" s="19">
        <f>IF(BF186&gt;0,"O Google leu como fórmula: escolha de novo ou digite com ' na frente.",IF(LEN($AW$186)=0,"",IF(NOT(ISNUMBER($AW$186)),"Relação não é número (−3 a +3)",IF(OR($AW$186&lt;-3,$AW$186&gt;3,INT($AW$186)&lt;&gt;$AW$186),"Relação fora de −3 a +3",""))))</f>
        <v/>
      </c>
      <c r="AW186" s="2">
        <f>IF(ISERROR($B$186),"",IF(ISBLANK($B$186),"",$B$186))</f>
        <v/>
      </c>
      <c r="BF186" s="2">
        <f>ISERROR($B$186)*1+ISERROR($C$186)*1+ISERROR($D$186)*1+ISERROR($E$186)*1+ISERROR($H$186)*1</f>
        <v/>
      </c>
    </row>
    <row r="187" ht="60" customHeight="1">
      <c r="A187" s="43">
        <f>IF(LEN($AV$51)&gt;0,$AV$51,"NPC 6")</f>
        <v/>
      </c>
      <c r="B187" s="37" t="n"/>
      <c r="C187" s="29" t="n"/>
      <c r="D187" s="37" t="n"/>
      <c r="E187" s="29" t="n"/>
      <c r="F187" s="25" t="n"/>
      <c r="G187" s="17" t="n"/>
      <c r="H187" s="29" t="n"/>
      <c r="I187" s="25" t="n"/>
      <c r="J187" s="17" t="n"/>
      <c r="K187" s="27">
        <f>IF(BF187&gt;0,"O Google leu como fórmula: escolha de novo ou digite com ' na frente.",IF(LEN($AW$187)=0,"",IF(NOT(ISNUMBER($AW$187)),"Relação não é número (−3 a +3)",IF(OR($AW$187&lt;-3,$AW$187&gt;3,INT($AW$187)&lt;&gt;$AW$187),"Relação fora de −3 a +3",""))))</f>
        <v/>
      </c>
      <c r="AW187" s="2">
        <f>IF(ISERROR($B$187),"",IF(ISBLANK($B$187),"",$B$187))</f>
        <v/>
      </c>
      <c r="BF187" s="2">
        <f>ISERROR($B$187)*1+ISERROR($C$187)*1+ISERROR($D$187)*1+ISERROR($E$187)*1+ISERROR($H$187)*1</f>
        <v/>
      </c>
    </row>
    <row r="188" ht="71" customHeight="1">
      <c r="A188" s="31">
        <f>IF(LEN($AV$52)&gt;0,$AV$52,"NPC 7")</f>
        <v/>
      </c>
      <c r="B188" s="16" t="n"/>
      <c r="C188" s="4" t="n"/>
      <c r="D188" s="16" t="n"/>
      <c r="E188" s="4" t="n"/>
      <c r="F188" s="25" t="n"/>
      <c r="G188" s="17" t="n"/>
      <c r="H188" s="4" t="n"/>
      <c r="I188" s="25" t="n"/>
      <c r="J188" s="17" t="n"/>
      <c r="K188" s="19">
        <f>IF(BF188&gt;0,"O Google leu como fórmula: escolha de novo ou digite com ' na frente.",IF(LEN($AW$188)=0,"",IF(NOT(ISNUMBER($AW$188)),"Relação não é número (−3 a +3)",IF(OR($AW$188&lt;-3,$AW$188&gt;3,INT($AW$188)&lt;&gt;$AW$188),"Relação fora de −3 a +3",""))))</f>
        <v/>
      </c>
      <c r="AW188" s="2">
        <f>IF(ISERROR($B$188),"",IF(ISBLANK($B$188),"",$B$188))</f>
        <v/>
      </c>
      <c r="BF188" s="2">
        <f>ISERROR($B$188)*1+ISERROR($C$188)*1+ISERROR($D$188)*1+ISERROR($E$188)*1+ISERROR($H$188)*1</f>
        <v/>
      </c>
    </row>
    <row r="189" ht="60" customHeight="1">
      <c r="A189" s="43">
        <f>IF(LEN($AV$53)&gt;0,$AV$53,"NPC 8")</f>
        <v/>
      </c>
      <c r="B189" s="37" t="n"/>
      <c r="C189" s="29" t="n"/>
      <c r="D189" s="37" t="n"/>
      <c r="E189" s="29" t="n"/>
      <c r="F189" s="25" t="n"/>
      <c r="G189" s="17" t="n"/>
      <c r="H189" s="29" t="n"/>
      <c r="I189" s="25" t="n"/>
      <c r="J189" s="17" t="n"/>
      <c r="K189" s="27">
        <f>IF(BF189&gt;0,"O Google leu como fórmula: escolha de novo ou digite com ' na frente.",IF(LEN($AW$189)=0,"",IF(NOT(ISNUMBER($AW$189)),"Relação não é número (−3 a +3)",IF(OR($AW$189&lt;-3,$AW$189&gt;3,INT($AW$189)&lt;&gt;$AW$189),"Relação fora de −3 a +3",""))))</f>
        <v/>
      </c>
      <c r="AW189" s="2">
        <f>IF(ISERROR($B$189),"",IF(ISBLANK($B$189),"",$B$189))</f>
        <v/>
      </c>
      <c r="BF189" s="2">
        <f>ISERROR($B$189)*1+ISERROR($C$189)*1+ISERROR($D$189)*1+ISERROR($E$189)*1+ISERROR($H$189)*1</f>
        <v/>
      </c>
    </row>
    <row r="190" ht="71" customHeight="1">
      <c r="A190" s="31">
        <f>IF(LEN($AV$54)&gt;0,$AV$54,"NPC 9")</f>
        <v/>
      </c>
      <c r="B190" s="16" t="n"/>
      <c r="C190" s="4" t="n"/>
      <c r="D190" s="16" t="n"/>
      <c r="E190" s="4" t="n"/>
      <c r="F190" s="25" t="n"/>
      <c r="G190" s="17" t="n"/>
      <c r="H190" s="4" t="n"/>
      <c r="I190" s="25" t="n"/>
      <c r="J190" s="17" t="n"/>
      <c r="K190" s="19">
        <f>IF(BF190&gt;0,"O Google leu como fórmula: escolha de novo ou digite com ' na frente.",IF(LEN($AW$190)=0,"",IF(NOT(ISNUMBER($AW$190)),"Relação não é número (−3 a +3)",IF(OR($AW$190&lt;-3,$AW$190&gt;3,INT($AW$190)&lt;&gt;$AW$190),"Relação fora de −3 a +3",""))))</f>
        <v/>
      </c>
      <c r="AW190" s="2">
        <f>IF(ISERROR($B$190),"",IF(ISBLANK($B$190),"",$B$190))</f>
        <v/>
      </c>
      <c r="BF190" s="2">
        <f>ISERROR($B$190)*1+ISERROR($C$190)*1+ISERROR($D$190)*1+ISERROR($E$190)*1+ISERROR($H$190)*1</f>
        <v/>
      </c>
    </row>
    <row r="191" ht="71" customHeight="1">
      <c r="A191" s="43">
        <f>IF(LEN($AV$55)&gt;0,$AV$55,"NPC 10")</f>
        <v/>
      </c>
      <c r="B191" s="37" t="n"/>
      <c r="C191" s="29" t="n"/>
      <c r="D191" s="37" t="n"/>
      <c r="E191" s="29" t="n"/>
      <c r="F191" s="25" t="n"/>
      <c r="G191" s="17" t="n"/>
      <c r="H191" s="29" t="n"/>
      <c r="I191" s="25" t="n"/>
      <c r="J191" s="17" t="n"/>
      <c r="K191" s="27">
        <f>IF(BF191&gt;0,"O Google leu como fórmula: escolha de novo ou digite com ' na frente.",IF(LEN($AW$191)=0,"",IF(NOT(ISNUMBER($AW$191)),"Relação não é número (−3 a +3)",IF(OR($AW$191&lt;-3,$AW$191&gt;3,INT($AW$191)&lt;&gt;$AW$191),"Relação fora de −3 a +3",""))))</f>
        <v/>
      </c>
      <c r="AW191" s="2">
        <f>IF(ISERROR($B$191),"",IF(ISBLANK($B$191),"",$B$191))</f>
        <v/>
      </c>
      <c r="BF191" s="2">
        <f>ISERROR($B$191)*1+ISERROR($C$191)*1+ISERROR($D$191)*1+ISERROR($E$191)*1+ISERROR($H$191)*1</f>
        <v/>
      </c>
    </row>
    <row r="192" ht="26" customHeight="1">
      <c r="A192" s="8" t="inlineStr">
        <is>
          <t>NPC</t>
        </is>
      </c>
      <c r="B192" s="8" t="inlineStr">
        <is>
          <t>Relação (−3 a +3)</t>
        </is>
      </c>
      <c r="C192" s="8" t="inlineStr">
        <is>
          <t>Vivo?</t>
        </is>
      </c>
      <c r="D192" s="8" t="inlineStr">
        <is>
          <t>Sessão em que apareceu</t>
        </is>
      </c>
      <c r="E192" s="8" t="inlineStr">
        <is>
          <t>Onde está</t>
        </is>
      </c>
      <c r="F192" s="20" t="n"/>
      <c r="G192" s="20" t="n"/>
      <c r="H192" s="8" t="inlineStr">
        <is>
          <t>Notas</t>
        </is>
      </c>
      <c r="I192" s="20" t="n"/>
      <c r="J192" s="20" t="n"/>
      <c r="K192" s="8" t="inlineStr">
        <is>
          <t>Aviso</t>
        </is>
      </c>
      <c r="L192" s="20" t="n"/>
    </row>
    <row r="193" ht="60" customHeight="1">
      <c r="A193" s="31">
        <f>IF(LEN($AV$57)&gt;0,$AV$57,"NPC 11")</f>
        <v/>
      </c>
      <c r="B193" s="16" t="n"/>
      <c r="C193" s="4" t="n"/>
      <c r="D193" s="16" t="n"/>
      <c r="E193" s="4" t="n"/>
      <c r="F193" s="25" t="n"/>
      <c r="G193" s="17" t="n"/>
      <c r="H193" s="4" t="n"/>
      <c r="I193" s="25" t="n"/>
      <c r="J193" s="17" t="n"/>
      <c r="K193" s="19">
        <f>IF(BF193&gt;0,"O Google leu como fórmula: escolha de novo ou digite com ' na frente.",IF(LEN($AW$193)=0,"",IF(NOT(ISNUMBER($AW$193)),"Relação não é número (−3 a +3)",IF(OR($AW$193&lt;-3,$AW$193&gt;3,INT($AW$193)&lt;&gt;$AW$193),"Relação fora de −3 a +3",""))))</f>
        <v/>
      </c>
      <c r="AW193" s="2">
        <f>IF(ISERROR($B$193),"",IF(ISBLANK($B$193),"",$B$193))</f>
        <v/>
      </c>
      <c r="BF193" s="2">
        <f>ISERROR($B$193)*1+ISERROR($C$193)*1+ISERROR($D$193)*1+ISERROR($E$193)*1+ISERROR($H$193)*1</f>
        <v/>
      </c>
    </row>
    <row r="194" ht="60" customHeight="1">
      <c r="A194" s="43">
        <f>IF(LEN($AV$58)&gt;0,$AV$58,"NPC 12")</f>
        <v/>
      </c>
      <c r="B194" s="37" t="n"/>
      <c r="C194" s="29" t="n"/>
      <c r="D194" s="37" t="n"/>
      <c r="E194" s="29" t="n"/>
      <c r="F194" s="25" t="n"/>
      <c r="G194" s="17" t="n"/>
      <c r="H194" s="29" t="n"/>
      <c r="I194" s="25" t="n"/>
      <c r="J194" s="17" t="n"/>
      <c r="K194" s="27">
        <f>IF(BF194&gt;0,"O Google leu como fórmula: escolha de novo ou digite com ' na frente.",IF(LEN($AW$194)=0,"",IF(NOT(ISNUMBER($AW$194)),"Relação não é número (−3 a +3)",IF(OR($AW$194&lt;-3,$AW$194&gt;3,INT($AW$194)&lt;&gt;$AW$194),"Relação fora de −3 a +3",""))))</f>
        <v/>
      </c>
      <c r="AW194" s="2">
        <f>IF(ISERROR($B$194),"",IF(ISBLANK($B$194),"",$B$194))</f>
        <v/>
      </c>
      <c r="BF194" s="2">
        <f>ISERROR($B$194)*1+ISERROR($C$194)*1+ISERROR($D$194)*1+ISERROR($E$194)*1+ISERROR($H$194)*1</f>
        <v/>
      </c>
    </row>
    <row r="195" ht="82" customHeight="1">
      <c r="A195" s="31">
        <f>IF(LEN($AV$59)&gt;0,$AV$59,"NPC 13")</f>
        <v/>
      </c>
      <c r="B195" s="16" t="n"/>
      <c r="C195" s="4" t="n"/>
      <c r="D195" s="16" t="n"/>
      <c r="E195" s="4" t="n"/>
      <c r="F195" s="25" t="n"/>
      <c r="G195" s="17" t="n"/>
      <c r="H195" s="4" t="n"/>
      <c r="I195" s="25" t="n"/>
      <c r="J195" s="17" t="n"/>
      <c r="K195" s="19">
        <f>IF(BF195&gt;0,"O Google leu como fórmula: escolha de novo ou digite com ' na frente.",IF(LEN($AW$195)=0,"",IF(NOT(ISNUMBER($AW$195)),"Relação não é número (−3 a +3)",IF(OR($AW$195&lt;-3,$AW$195&gt;3,INT($AW$195)&lt;&gt;$AW$195),"Relação fora de −3 a +3",""))))</f>
        <v/>
      </c>
      <c r="AW195" s="2">
        <f>IF(ISERROR($B$195),"",IF(ISBLANK($B$195),"",$B$195))</f>
        <v/>
      </c>
      <c r="BF195" s="2">
        <f>ISERROR($B$195)*1+ISERROR($C$195)*1+ISERROR($D$195)*1+ISERROR($E$195)*1+ISERROR($H$195)*1</f>
        <v/>
      </c>
    </row>
    <row r="196" ht="60" customHeight="1">
      <c r="A196" s="43">
        <f>IF(LEN($AV$60)&gt;0,$AV$60,"NPC 14")</f>
        <v/>
      </c>
      <c r="B196" s="37" t="n"/>
      <c r="C196" s="29" t="n"/>
      <c r="D196" s="37" t="n"/>
      <c r="E196" s="29" t="n"/>
      <c r="F196" s="25" t="n"/>
      <c r="G196" s="17" t="n"/>
      <c r="H196" s="29" t="n"/>
      <c r="I196" s="25" t="n"/>
      <c r="J196" s="17" t="n"/>
      <c r="K196" s="27">
        <f>IF(BF196&gt;0,"O Google leu como fórmula: escolha de novo ou digite com ' na frente.",IF(LEN($AW$196)=0,"",IF(NOT(ISNUMBER($AW$196)),"Relação não é número (−3 a +3)",IF(OR($AW$196&lt;-3,$AW$196&gt;3,INT($AW$196)&lt;&gt;$AW$196),"Relação fora de −3 a +3",""))))</f>
        <v/>
      </c>
      <c r="AW196" s="2">
        <f>IF(ISERROR($B$196),"",IF(ISBLANK($B$196),"",$B$196))</f>
        <v/>
      </c>
      <c r="BF196" s="2">
        <f>ISERROR($B$196)*1+ISERROR($C$196)*1+ISERROR($D$196)*1+ISERROR($E$196)*1+ISERROR($H$196)*1</f>
        <v/>
      </c>
    </row>
    <row r="197" ht="60" customHeight="1">
      <c r="A197" s="31">
        <f>IF(LEN($AV$61)&gt;0,$AV$61,"NPC 15")</f>
        <v/>
      </c>
      <c r="B197" s="16" t="n"/>
      <c r="C197" s="4" t="n"/>
      <c r="D197" s="16" t="n"/>
      <c r="E197" s="4" t="n"/>
      <c r="F197" s="25" t="n"/>
      <c r="G197" s="17" t="n"/>
      <c r="H197" s="4" t="n"/>
      <c r="I197" s="25" t="n"/>
      <c r="J197" s="17" t="n"/>
      <c r="K197" s="19">
        <f>IF(BF197&gt;0,"O Google leu como fórmula: escolha de novo ou digite com ' na frente.",IF(LEN($AW$197)=0,"",IF(NOT(ISNUMBER($AW$197)),"Relação não é número (−3 a +3)",IF(OR($AW$197&lt;-3,$AW$197&gt;3,INT($AW$197)&lt;&gt;$AW$197),"Relação fora de −3 a +3",""))))</f>
        <v/>
      </c>
      <c r="AW197" s="2">
        <f>IF(ISERROR($B$197),"",IF(ISBLANK($B$197),"",$B$197))</f>
        <v/>
      </c>
      <c r="BF197" s="2">
        <f>ISERROR($B$197)*1+ISERROR($C$197)*1+ISERROR($D$197)*1+ISERROR($E$197)*1+ISERROR($H$197)*1</f>
        <v/>
      </c>
    </row>
    <row r="198" ht="71" customHeight="1">
      <c r="A198" s="43">
        <f>IF(LEN($AV$62)&gt;0,$AV$62,"NPC 16")</f>
        <v/>
      </c>
      <c r="B198" s="37" t="n"/>
      <c r="C198" s="29" t="n"/>
      <c r="D198" s="37" t="n"/>
      <c r="E198" s="29" t="n"/>
      <c r="F198" s="25" t="n"/>
      <c r="G198" s="17" t="n"/>
      <c r="H198" s="29" t="n"/>
      <c r="I198" s="25" t="n"/>
      <c r="J198" s="17" t="n"/>
      <c r="K198" s="27">
        <f>IF(BF198&gt;0,"O Google leu como fórmula: escolha de novo ou digite com ' na frente.",IF(LEN($AW$198)=0,"",IF(NOT(ISNUMBER($AW$198)),"Relação não é número (−3 a +3)",IF(OR($AW$198&lt;-3,$AW$198&gt;3,INT($AW$198)&lt;&gt;$AW$198),"Relação fora de −3 a +3",""))))</f>
        <v/>
      </c>
      <c r="AW198" s="2">
        <f>IF(ISERROR($B$198),"",IF(ISBLANK($B$198),"",$B$198))</f>
        <v/>
      </c>
      <c r="BF198" s="2">
        <f>ISERROR($B$198)*1+ISERROR($C$198)*1+ISERROR($D$198)*1+ISERROR($E$198)*1+ISERROR($H$198)*1</f>
        <v/>
      </c>
    </row>
    <row r="199" ht="71" customHeight="1">
      <c r="A199" s="31">
        <f>IF(LEN($AV$63)&gt;0,$AV$63,"NPC 17")</f>
        <v/>
      </c>
      <c r="B199" s="16" t="n"/>
      <c r="C199" s="4" t="n"/>
      <c r="D199" s="16" t="n"/>
      <c r="E199" s="4" t="n"/>
      <c r="F199" s="25" t="n"/>
      <c r="G199" s="17" t="n"/>
      <c r="H199" s="4" t="n"/>
      <c r="I199" s="25" t="n"/>
      <c r="J199" s="17" t="n"/>
      <c r="K199" s="19">
        <f>IF(BF199&gt;0,"O Google leu como fórmula: escolha de novo ou digite com ' na frente.",IF(LEN($AW$199)=0,"",IF(NOT(ISNUMBER($AW$199)),"Relação não é número (−3 a +3)",IF(OR($AW$199&lt;-3,$AW$199&gt;3,INT($AW$199)&lt;&gt;$AW$199),"Relação fora de −3 a +3",""))))</f>
        <v/>
      </c>
      <c r="AW199" s="2">
        <f>IF(ISERROR($B$199),"",IF(ISBLANK($B$199),"",$B$199))</f>
        <v/>
      </c>
      <c r="BF199" s="2">
        <f>ISERROR($B$199)*1+ISERROR($C$199)*1+ISERROR($D$199)*1+ISERROR($E$199)*1+ISERROR($H$199)*1</f>
        <v/>
      </c>
    </row>
    <row r="200" ht="60" customHeight="1">
      <c r="A200" s="43">
        <f>IF(LEN($AV$64)&gt;0,$AV$64,"NPC 18")</f>
        <v/>
      </c>
      <c r="B200" s="37" t="n"/>
      <c r="C200" s="29" t="n"/>
      <c r="D200" s="37" t="n"/>
      <c r="E200" s="29" t="n"/>
      <c r="F200" s="25" t="n"/>
      <c r="G200" s="17" t="n"/>
      <c r="H200" s="29" t="n"/>
      <c r="I200" s="25" t="n"/>
      <c r="J200" s="17" t="n"/>
      <c r="K200" s="27">
        <f>IF(BF200&gt;0,"O Google leu como fórmula: escolha de novo ou digite com ' na frente.",IF(LEN($AW$200)=0,"",IF(NOT(ISNUMBER($AW$200)),"Relação não é número (−3 a +3)",IF(OR($AW$200&lt;-3,$AW$200&gt;3,INT($AW$200)&lt;&gt;$AW$200),"Relação fora de −3 a +3",""))))</f>
        <v/>
      </c>
      <c r="AW200" s="2">
        <f>IF(ISERROR($B$200),"",IF(ISBLANK($B$200),"",$B$200))</f>
        <v/>
      </c>
      <c r="BF200" s="2">
        <f>ISERROR($B$200)*1+ISERROR($C$200)*1+ISERROR($D$200)*1+ISERROR($E$200)*1+ISERROR($H$200)*1</f>
        <v/>
      </c>
    </row>
    <row r="201" ht="60" customHeight="1">
      <c r="A201" s="31">
        <f>IF(LEN($AV$65)&gt;0,$AV$65,"NPC 19")</f>
        <v/>
      </c>
      <c r="B201" s="16" t="n"/>
      <c r="C201" s="4" t="n"/>
      <c r="D201" s="16" t="n"/>
      <c r="E201" s="4" t="n"/>
      <c r="F201" s="25" t="n"/>
      <c r="G201" s="17" t="n"/>
      <c r="H201" s="4" t="n"/>
      <c r="I201" s="25" t="n"/>
      <c r="J201" s="17" t="n"/>
      <c r="K201" s="19">
        <f>IF(BF201&gt;0,"O Google leu como fórmula: escolha de novo ou digite com ' na frente.",IF(LEN($AW$201)=0,"",IF(NOT(ISNUMBER($AW$201)),"Relação não é número (−3 a +3)",IF(OR($AW$201&lt;-3,$AW$201&gt;3,INT($AW$201)&lt;&gt;$AW$201),"Relação fora de −3 a +3",""))))</f>
        <v/>
      </c>
      <c r="AW201" s="2">
        <f>IF(ISERROR($B$201),"",IF(ISBLANK($B$201),"",$B$201))</f>
        <v/>
      </c>
      <c r="BF201" s="2">
        <f>ISERROR($B$201)*1+ISERROR($C$201)*1+ISERROR($D$201)*1+ISERROR($E$201)*1+ISERROR($H$201)*1</f>
        <v/>
      </c>
    </row>
    <row r="202" ht="60" customHeight="1">
      <c r="A202" s="43">
        <f>IF(LEN($AV$66)&gt;0,$AV$66,"NPC 20")</f>
        <v/>
      </c>
      <c r="B202" s="37" t="n"/>
      <c r="C202" s="29" t="n"/>
      <c r="D202" s="37" t="n"/>
      <c r="E202" s="29" t="n"/>
      <c r="F202" s="25" t="n"/>
      <c r="G202" s="17" t="n"/>
      <c r="H202" s="29" t="n"/>
      <c r="I202" s="25" t="n"/>
      <c r="J202" s="17" t="n"/>
      <c r="K202" s="27">
        <f>IF(BF202&gt;0,"O Google leu como fórmula: escolha de novo ou digite com ' na frente.",IF(LEN($AW$202)=0,"",IF(NOT(ISNUMBER($AW$202)),"Relação não é número (−3 a +3)",IF(OR($AW$202&lt;-3,$AW$202&gt;3,INT($AW$202)&lt;&gt;$AW$202),"Relação fora de −3 a +3",""))))</f>
        <v/>
      </c>
      <c r="AW202" s="2">
        <f>IF(ISERROR($B$202),"",IF(ISBLANK($B$202),"",$B$202))</f>
        <v/>
      </c>
      <c r="BF202" s="2">
        <f>ISERROR($B$202)*1+ISERROR($C$202)*1+ISERROR($D$202)*1+ISERROR($E$202)*1+ISERROR($H$202)*1</f>
        <v/>
      </c>
    </row>
    <row r="203" ht="26" customHeight="1">
      <c r="A203" s="8" t="inlineStr">
        <is>
          <t>NPC</t>
        </is>
      </c>
      <c r="B203" s="8" t="inlineStr">
        <is>
          <t>Relação (−3 a +3)</t>
        </is>
      </c>
      <c r="C203" s="8" t="inlineStr">
        <is>
          <t>Vivo?</t>
        </is>
      </c>
      <c r="D203" s="8" t="inlineStr">
        <is>
          <t>Sessão em que apareceu</t>
        </is>
      </c>
      <c r="E203" s="8" t="inlineStr">
        <is>
          <t>Onde está</t>
        </is>
      </c>
      <c r="F203" s="20" t="n"/>
      <c r="G203" s="20" t="n"/>
      <c r="H203" s="8" t="inlineStr">
        <is>
          <t>Notas</t>
        </is>
      </c>
      <c r="I203" s="20" t="n"/>
      <c r="J203" s="20" t="n"/>
      <c r="K203" s="8" t="inlineStr">
        <is>
          <t>Aviso</t>
        </is>
      </c>
      <c r="L203" s="20" t="n"/>
    </row>
    <row r="204" ht="60" customHeight="1">
      <c r="A204" s="31">
        <f>IF(LEN($AV$68)&gt;0,$AV$68,"NPC 21")</f>
        <v/>
      </c>
      <c r="B204" s="16" t="n"/>
      <c r="C204" s="4" t="n"/>
      <c r="D204" s="16" t="n"/>
      <c r="E204" s="4" t="n"/>
      <c r="F204" s="25" t="n"/>
      <c r="G204" s="17" t="n"/>
      <c r="H204" s="4" t="n"/>
      <c r="I204" s="25" t="n"/>
      <c r="J204" s="17" t="n"/>
      <c r="K204" s="19">
        <f>IF(BF204&gt;0,"O Google leu como fórmula: escolha de novo ou digite com ' na frente.",IF(LEN($AW$204)=0,"",IF(NOT(ISNUMBER($AW$204)),"Relação não é número (−3 a +3)",IF(OR($AW$204&lt;-3,$AW$204&gt;3,INT($AW$204)&lt;&gt;$AW$204),"Relação fora de −3 a +3",""))))</f>
        <v/>
      </c>
      <c r="AW204" s="2">
        <f>IF(ISERROR($B$204),"",IF(ISBLANK($B$204),"",$B$204))</f>
        <v/>
      </c>
      <c r="BF204" s="2">
        <f>ISERROR($B$204)*1+ISERROR($C$204)*1+ISERROR($D$204)*1+ISERROR($E$204)*1+ISERROR($H$204)*1</f>
        <v/>
      </c>
    </row>
    <row r="205" ht="60" customHeight="1">
      <c r="A205" s="43">
        <f>IF(LEN($AV$69)&gt;0,$AV$69,"NPC 22")</f>
        <v/>
      </c>
      <c r="B205" s="37" t="n"/>
      <c r="C205" s="29" t="n"/>
      <c r="D205" s="37" t="n"/>
      <c r="E205" s="29" t="n"/>
      <c r="F205" s="25" t="n"/>
      <c r="G205" s="17" t="n"/>
      <c r="H205" s="29" t="n"/>
      <c r="I205" s="25" t="n"/>
      <c r="J205" s="17" t="n"/>
      <c r="K205" s="27">
        <f>IF(BF205&gt;0,"O Google leu como fórmula: escolha de novo ou digite com ' na frente.",IF(LEN($AW$205)=0,"",IF(NOT(ISNUMBER($AW$205)),"Relação não é número (−3 a +3)",IF(OR($AW$205&lt;-3,$AW$205&gt;3,INT($AW$205)&lt;&gt;$AW$205),"Relação fora de −3 a +3",""))))</f>
        <v/>
      </c>
      <c r="AW205" s="2">
        <f>IF(ISERROR($B$205),"",IF(ISBLANK($B$205),"",$B$205))</f>
        <v/>
      </c>
      <c r="BF205" s="2">
        <f>ISERROR($B$205)*1+ISERROR($C$205)*1+ISERROR($D$205)*1+ISERROR($E$205)*1+ISERROR($H$205)*1</f>
        <v/>
      </c>
    </row>
    <row r="206" ht="60" customHeight="1">
      <c r="A206" s="31">
        <f>IF(LEN($AV$70)&gt;0,$AV$70,"NPC 23")</f>
        <v/>
      </c>
      <c r="B206" s="16" t="n"/>
      <c r="C206" s="4" t="n"/>
      <c r="D206" s="16" t="n"/>
      <c r="E206" s="4" t="n"/>
      <c r="F206" s="25" t="n"/>
      <c r="G206" s="17" t="n"/>
      <c r="H206" s="4" t="n"/>
      <c r="I206" s="25" t="n"/>
      <c r="J206" s="17" t="n"/>
      <c r="K206" s="19">
        <f>IF(BF206&gt;0,"O Google leu como fórmula: escolha de novo ou digite com ' na frente.",IF(LEN($AW$206)=0,"",IF(NOT(ISNUMBER($AW$206)),"Relação não é número (−3 a +3)",IF(OR($AW$206&lt;-3,$AW$206&gt;3,INT($AW$206)&lt;&gt;$AW$206),"Relação fora de −3 a +3",""))))</f>
        <v/>
      </c>
      <c r="AW206" s="2">
        <f>IF(ISERROR($B$206),"",IF(ISBLANK($B$206),"",$B$206))</f>
        <v/>
      </c>
      <c r="BF206" s="2">
        <f>ISERROR($B$206)*1+ISERROR($C$206)*1+ISERROR($D$206)*1+ISERROR($E$206)*1+ISERROR($H$206)*1</f>
        <v/>
      </c>
    </row>
    <row r="207" ht="60" customHeight="1">
      <c r="A207" s="43">
        <f>IF(LEN($AV$71)&gt;0,$AV$71,"NPC 24")</f>
        <v/>
      </c>
      <c r="B207" s="37" t="n"/>
      <c r="C207" s="29" t="n"/>
      <c r="D207" s="37" t="n"/>
      <c r="E207" s="29" t="n"/>
      <c r="F207" s="25" t="n"/>
      <c r="G207" s="17" t="n"/>
      <c r="H207" s="29" t="n"/>
      <c r="I207" s="25" t="n"/>
      <c r="J207" s="17" t="n"/>
      <c r="K207" s="27">
        <f>IF(BF207&gt;0,"O Google leu como fórmula: escolha de novo ou digite com ' na frente.",IF(LEN($AW$207)=0,"",IF(NOT(ISNUMBER($AW$207)),"Relação não é número (−3 a +3)",IF(OR($AW$207&lt;-3,$AW$207&gt;3,INT($AW$207)&lt;&gt;$AW$207),"Relação fora de −3 a +3",""))))</f>
        <v/>
      </c>
      <c r="AW207" s="2">
        <f>IF(ISERROR($B$207),"",IF(ISBLANK($B$207),"",$B$207))</f>
        <v/>
      </c>
      <c r="BF207" s="2">
        <f>ISERROR($B$207)*1+ISERROR($C$207)*1+ISERROR($D$207)*1+ISERROR($E$207)*1+ISERROR($H$207)*1</f>
        <v/>
      </c>
    </row>
    <row r="208" ht="60" customHeight="1">
      <c r="A208" s="31">
        <f>IF(LEN($AV$72)&gt;0,$AV$72,"NPC 25")</f>
        <v/>
      </c>
      <c r="B208" s="16" t="n"/>
      <c r="C208" s="4" t="n"/>
      <c r="D208" s="16" t="n"/>
      <c r="E208" s="4" t="n"/>
      <c r="F208" s="25" t="n"/>
      <c r="G208" s="17" t="n"/>
      <c r="H208" s="4" t="n"/>
      <c r="I208" s="25" t="n"/>
      <c r="J208" s="17" t="n"/>
      <c r="K208" s="19">
        <f>IF(BF208&gt;0,"O Google leu como fórmula: escolha de novo ou digite com ' na frente.",IF(LEN($AW$208)=0,"",IF(NOT(ISNUMBER($AW$208)),"Relação não é número (−3 a +3)",IF(OR($AW$208&lt;-3,$AW$208&gt;3,INT($AW$208)&lt;&gt;$AW$208),"Relação fora de −3 a +3",""))))</f>
        <v/>
      </c>
      <c r="AW208" s="2">
        <f>IF(ISERROR($B$208),"",IF(ISBLANK($B$208),"",$B$208))</f>
        <v/>
      </c>
      <c r="BF208" s="2">
        <f>ISERROR($B$208)*1+ISERROR($C$208)*1+ISERROR($D$208)*1+ISERROR($E$208)*1+ISERROR($H$208)*1</f>
        <v/>
      </c>
    </row>
    <row r="209" ht="60" customHeight="1">
      <c r="A209" s="43">
        <f>IF(LEN($AV$73)&gt;0,$AV$73,"NPC 26")</f>
        <v/>
      </c>
      <c r="B209" s="37" t="n"/>
      <c r="C209" s="29" t="n"/>
      <c r="D209" s="37" t="n"/>
      <c r="E209" s="29" t="n"/>
      <c r="F209" s="25" t="n"/>
      <c r="G209" s="17" t="n"/>
      <c r="H209" s="29" t="n"/>
      <c r="I209" s="25" t="n"/>
      <c r="J209" s="17" t="n"/>
      <c r="K209" s="27">
        <f>IF(BF209&gt;0,"O Google leu como fórmula: escolha de novo ou digite com ' na frente.",IF(LEN($AW$209)=0,"",IF(NOT(ISNUMBER($AW$209)),"Relação não é número (−3 a +3)",IF(OR($AW$209&lt;-3,$AW$209&gt;3,INT($AW$209)&lt;&gt;$AW$209),"Relação fora de −3 a +3",""))))</f>
        <v/>
      </c>
      <c r="AW209" s="2">
        <f>IF(ISERROR($B$209),"",IF(ISBLANK($B$209),"",$B$209))</f>
        <v/>
      </c>
      <c r="BF209" s="2">
        <f>ISERROR($B$209)*1+ISERROR($C$209)*1+ISERROR($D$209)*1+ISERROR($E$209)*1+ISERROR($H$209)*1</f>
        <v/>
      </c>
    </row>
    <row r="210" ht="60" customHeight="1">
      <c r="A210" s="31">
        <f>IF(LEN($AV$74)&gt;0,$AV$74,"NPC 27")</f>
        <v/>
      </c>
      <c r="B210" s="16" t="n"/>
      <c r="C210" s="4" t="n"/>
      <c r="D210" s="16" t="n"/>
      <c r="E210" s="4" t="n"/>
      <c r="F210" s="25" t="n"/>
      <c r="G210" s="17" t="n"/>
      <c r="H210" s="4" t="n"/>
      <c r="I210" s="25" t="n"/>
      <c r="J210" s="17" t="n"/>
      <c r="K210" s="19">
        <f>IF(BF210&gt;0,"O Google leu como fórmula: escolha de novo ou digite com ' na frente.",IF(LEN($AW$210)=0,"",IF(NOT(ISNUMBER($AW$210)),"Relação não é número (−3 a +3)",IF(OR($AW$210&lt;-3,$AW$210&gt;3,INT($AW$210)&lt;&gt;$AW$210),"Relação fora de −3 a +3",""))))</f>
        <v/>
      </c>
      <c r="AW210" s="2">
        <f>IF(ISERROR($B$210),"",IF(ISBLANK($B$210),"",$B$210))</f>
        <v/>
      </c>
      <c r="BF210" s="2">
        <f>ISERROR($B$210)*1+ISERROR($C$210)*1+ISERROR($D$210)*1+ISERROR($E$210)*1+ISERROR($H$210)*1</f>
        <v/>
      </c>
    </row>
    <row r="211" ht="60" customHeight="1">
      <c r="A211" s="43">
        <f>IF(LEN($AV$75)&gt;0,$AV$75,"NPC 28")</f>
        <v/>
      </c>
      <c r="B211" s="37" t="n"/>
      <c r="C211" s="29" t="n"/>
      <c r="D211" s="37" t="n"/>
      <c r="E211" s="29" t="n"/>
      <c r="F211" s="25" t="n"/>
      <c r="G211" s="17" t="n"/>
      <c r="H211" s="29" t="n"/>
      <c r="I211" s="25" t="n"/>
      <c r="J211" s="17" t="n"/>
      <c r="K211" s="27">
        <f>IF(BF211&gt;0,"O Google leu como fórmula: escolha de novo ou digite com ' na frente.",IF(LEN($AW$211)=0,"",IF(NOT(ISNUMBER($AW$211)),"Relação não é número (−3 a +3)",IF(OR($AW$211&lt;-3,$AW$211&gt;3,INT($AW$211)&lt;&gt;$AW$211),"Relação fora de −3 a +3",""))))</f>
        <v/>
      </c>
      <c r="AW211" s="2">
        <f>IF(ISERROR($B$211),"",IF(ISBLANK($B$211),"",$B$211))</f>
        <v/>
      </c>
      <c r="BF211" s="2">
        <f>ISERROR($B$211)*1+ISERROR($C$211)*1+ISERROR($D$211)*1+ISERROR($E$211)*1+ISERROR($H$211)*1</f>
        <v/>
      </c>
    </row>
    <row r="212" ht="71" customHeight="1">
      <c r="A212" s="31">
        <f>IF(LEN($AV$76)&gt;0,$AV$76,"NPC 29")</f>
        <v/>
      </c>
      <c r="B212" s="16" t="n"/>
      <c r="C212" s="4" t="n"/>
      <c r="D212" s="16" t="n"/>
      <c r="E212" s="4" t="n"/>
      <c r="F212" s="25" t="n"/>
      <c r="G212" s="17" t="n"/>
      <c r="H212" s="4" t="n"/>
      <c r="I212" s="25" t="n"/>
      <c r="J212" s="17" t="n"/>
      <c r="K212" s="19">
        <f>IF(BF212&gt;0,"O Google leu como fórmula: escolha de novo ou digite com ' na frente.",IF(LEN($AW$212)=0,"",IF(NOT(ISNUMBER($AW$212)),"Relação não é número (−3 a +3)",IF(OR($AW$212&lt;-3,$AW$212&gt;3,INT($AW$212)&lt;&gt;$AW$212),"Relação fora de −3 a +3",""))))</f>
        <v/>
      </c>
      <c r="AW212" s="2">
        <f>IF(ISERROR($B$212),"",IF(ISBLANK($B$212),"",$B$212))</f>
        <v/>
      </c>
      <c r="BF212" s="2">
        <f>ISERROR($B$212)*1+ISERROR($C$212)*1+ISERROR($D$212)*1+ISERROR($E$212)*1+ISERROR($H$212)*1</f>
        <v/>
      </c>
    </row>
    <row r="213" ht="60" customHeight="1">
      <c r="A213" s="43">
        <f>IF(LEN($AV$77)&gt;0,$AV$77,"NPC 30")</f>
        <v/>
      </c>
      <c r="B213" s="37" t="n"/>
      <c r="C213" s="29" t="n"/>
      <c r="D213" s="37" t="n"/>
      <c r="E213" s="29" t="n"/>
      <c r="F213" s="25" t="n"/>
      <c r="G213" s="17" t="n"/>
      <c r="H213" s="29" t="n"/>
      <c r="I213" s="25" t="n"/>
      <c r="J213" s="17" t="n"/>
      <c r="K213" s="27">
        <f>IF(BF213&gt;0,"O Google leu como fórmula: escolha de novo ou digite com ' na frente.",IF(LEN($AW$213)=0,"",IF(NOT(ISNUMBER($AW$213)),"Relação não é número (−3 a +3)",IF(OR($AW$213&lt;-3,$AW$213&gt;3,INT($AW$213)&lt;&gt;$AW$213),"Relação fora de −3 a +3",""))))</f>
        <v/>
      </c>
      <c r="AW213" s="2">
        <f>IF(ISERROR($B$213),"",IF(ISBLANK($B$213),"",$B$213))</f>
        <v/>
      </c>
      <c r="BF213" s="2">
        <f>ISERROR($B$213)*1+ISERROR($C$213)*1+ISERROR($D$213)*1+ISERROR($E$213)*1+ISERROR($H$213)*1</f>
        <v/>
      </c>
    </row>
    <row r="214"/>
    <row r="215" ht="20" customHeight="1">
      <c r="A215" s="13" t="inlineStr">
        <is>
          <t>Cartões de NPC (escolha um NPC do Elenco; imprima em A4 paisagem)</t>
        </is>
      </c>
    </row>
    <row r="216" ht="26" customHeight="1">
      <c r="A216" s="9" t="inlineStr">
        <is>
          <t>Cartão 1: NPC</t>
        </is>
      </c>
      <c r="B216" s="4" t="n"/>
      <c r="C216" s="25" t="n"/>
      <c r="D216" s="25" t="n"/>
      <c r="E216" s="17" t="n"/>
      <c r="F216" s="15" t="inlineStr">
        <is>
          <t>Cartão 2: NPC</t>
        </is>
      </c>
      <c r="G216" s="4" t="n"/>
      <c r="H216" s="25" t="n"/>
      <c r="I216" s="25" t="n"/>
      <c r="J216" s="17" t="n"/>
      <c r="K216" s="19">
        <f>IF(BF216&gt;0,"O Google leu como fórmula: escolha de novo na lista.",IF(AND(LEN($AW$216)&gt;0,NOT(ISNUMBER($AR$216))),"Cartão 1: NPC fora do Elenco",IF(AND(LEN($BB$216)&gt;0,NOT(ISNUMBER($AR$217))),"Cartão 2: NPC fora do Elenco","")))</f>
        <v/>
      </c>
      <c r="AR216" s="2">
        <f>IF(LEN($AW$216)=0,"",IFERROR(MATCH($AW$216,$AG$10:$AG$39,0),""))</f>
        <v/>
      </c>
      <c r="AW216" s="2">
        <f>IF(ISERROR($B$216),"",IF(ISBLANK($B$216),"",$B$216))</f>
        <v/>
      </c>
      <c r="BB216" s="2">
        <f>IF(ISERROR($G$216),"",IF(ISBLANK($G$216),"",$G$216))</f>
        <v/>
      </c>
      <c r="BF216" s="2">
        <f>ISERROR($B$216)*1+ISERROR($G$216)*1</f>
        <v/>
      </c>
    </row>
    <row r="217" ht="26" customHeight="1">
      <c r="A217" s="46">
        <f>IF(ISNUMBER($AR$216),INDEX($AG$10:$AG$39,$AR$216),"")</f>
        <v/>
      </c>
      <c r="F217" s="46">
        <f>IF(ISNUMBER($AR$217),INDEX($AG$10:$AG$39,$AR$217),"")</f>
        <v/>
      </c>
      <c r="AR217" s="2">
        <f>IF(LEN($BB$216)=0,"",IFERROR(MATCH($BB$216,$AG$10:$AG$39,0),""))</f>
        <v/>
      </c>
    </row>
    <row r="218" ht="26" customHeight="1">
      <c r="A218" s="5">
        <f>IF(ISNUMBER($AR$216),INDEX($AH$10:$AH$39,$AR$216)&amp;" · "&amp;INDEX($AI$10:$AI$39,$AR$216)&amp;" · "&amp;INDEX($AJ$10:$AJ$39,$AR$216),"")</f>
        <v/>
      </c>
      <c r="F218" s="5">
        <f>IF(ISNUMBER($AR$217),INDEX($AH$10:$AH$39,$AR$217)&amp;" · "&amp;INDEX($AI$10:$AI$39,$AR$217)&amp;" · "&amp;INDEX($AJ$10:$AJ$39,$AR$217),"")</f>
        <v/>
      </c>
      <c r="AR218" s="2">
        <f>IF(LEN($AW$225)=0,"",IFERROR(MATCH($AW$225,$AG$10:$AG$39,0),""))</f>
        <v/>
      </c>
    </row>
    <row r="219" ht="37" customHeight="1">
      <c r="A219" s="5">
        <f>IF(ISNUMBER($AR$216),"Aparência: "&amp;INDEX($AK$10:$AK$39,$AR$216),"")</f>
        <v/>
      </c>
      <c r="F219" s="5">
        <f>IF(ISNUMBER($AR$217),"Aparência: "&amp;INDEX($AK$10:$AK$39,$AR$217),"")</f>
        <v/>
      </c>
      <c r="AR219" s="2">
        <f>IF(LEN($BB$225)=0,"",IFERROR(MATCH($BB$225,$AG$10:$AG$39,0),""))</f>
        <v/>
      </c>
    </row>
    <row r="220" ht="37" customHeight="1">
      <c r="A220" s="5">
        <f>IF(ISNUMBER($AR$216),"Voz: "&amp;INDEX($AL$10:$AL$39,$AR$216),"")</f>
        <v/>
      </c>
      <c r="F220" s="5">
        <f>IF(ISNUMBER($AR$217),"Voz: "&amp;INDEX($AL$10:$AL$39,$AR$217),"")</f>
        <v/>
      </c>
    </row>
    <row r="221" ht="37" customHeight="1">
      <c r="A221" s="5">
        <f>IF(ISNUMBER($AR$216),"Quer: "&amp;INDEX($AM$10:$AM$39,$AR$216),"")</f>
        <v/>
      </c>
      <c r="F221" s="5">
        <f>IF(ISNUMBER($AR$217),"Quer: "&amp;INDEX($AM$10:$AM$39,$AR$217),"")</f>
        <v/>
      </c>
    </row>
    <row r="222" ht="37" customHeight="1">
      <c r="A222" s="5">
        <f>IF(ISNUMBER($AR$216),"Esconde: "&amp;INDEX($AN$10:$AN$39,$AR$216),"")</f>
        <v/>
      </c>
      <c r="F222" s="5">
        <f>IF(ISNUMBER($AR$217),"Esconde: "&amp;INDEX($AN$10:$AN$39,$AR$217),"")</f>
        <v/>
      </c>
    </row>
    <row r="223">
      <c r="A223" s="5">
        <f>IF(ISNUMBER($AR$216),"Atitude: "&amp;INDEX($AO$10:$AO$39,$AR$216)&amp;" · Papel: "&amp;INDEX($AP$10:$AP$39,$AR$216),"")</f>
        <v/>
      </c>
      <c r="F223" s="5">
        <f>IF(ISNUMBER($AR$217),"Atitude: "&amp;INDEX($AO$10:$AO$39,$AR$217)&amp;" · Papel: "&amp;INDEX($AP$10:$AP$39,$AR$217),"")</f>
        <v/>
      </c>
    </row>
    <row r="224"/>
    <row r="225" ht="26" customHeight="1">
      <c r="A225" s="9" t="inlineStr">
        <is>
          <t>Cartão 3: NPC</t>
        </is>
      </c>
      <c r="B225" s="4" t="n"/>
      <c r="C225" s="25" t="n"/>
      <c r="D225" s="25" t="n"/>
      <c r="E225" s="17" t="n"/>
      <c r="F225" s="15" t="inlineStr">
        <is>
          <t>Cartão 4: NPC</t>
        </is>
      </c>
      <c r="G225" s="4" t="n"/>
      <c r="H225" s="25" t="n"/>
      <c r="I225" s="25" t="n"/>
      <c r="J225" s="17" t="n"/>
      <c r="K225" s="19">
        <f>IF(BF225&gt;0,"O Google leu como fórmula: escolha de novo na lista.",IF(AND(LEN($AW$225)&gt;0,NOT(ISNUMBER($AR$218))),"Cartão 3: NPC fora do Elenco",IF(AND(LEN($BB$225)&gt;0,NOT(ISNUMBER($AR$219))),"Cartão 4: NPC fora do Elenco","")))</f>
        <v/>
      </c>
      <c r="AW225" s="2">
        <f>IF(ISERROR($B$225),"",IF(ISBLANK($B$225),"",$B$225))</f>
        <v/>
      </c>
      <c r="BB225" s="2">
        <f>IF(ISERROR($G$225),"",IF(ISBLANK($G$225),"",$G$225))</f>
        <v/>
      </c>
      <c r="BF225" s="2">
        <f>ISERROR($B$225)*1+ISERROR($G$225)*1</f>
        <v/>
      </c>
    </row>
    <row r="226" ht="26" customHeight="1">
      <c r="A226" s="46">
        <f>IF(ISNUMBER($AR$218),INDEX($AG$10:$AG$39,$AR$218),"")</f>
        <v/>
      </c>
      <c r="F226" s="46">
        <f>IF(ISNUMBER($AR$219),INDEX($AG$10:$AG$39,$AR$219),"")</f>
        <v/>
      </c>
    </row>
    <row r="227" ht="26" customHeight="1">
      <c r="A227" s="5">
        <f>IF(ISNUMBER($AR$218),INDEX($AH$10:$AH$39,$AR$218)&amp;" · "&amp;INDEX($AI$10:$AI$39,$AR$218)&amp;" · "&amp;INDEX($AJ$10:$AJ$39,$AR$218),"")</f>
        <v/>
      </c>
      <c r="F227" s="5">
        <f>IF(ISNUMBER($AR$219),INDEX($AH$10:$AH$39,$AR$219)&amp;" · "&amp;INDEX($AI$10:$AI$39,$AR$219)&amp;" · "&amp;INDEX($AJ$10:$AJ$39,$AR$219),"")</f>
        <v/>
      </c>
    </row>
    <row r="228" ht="37" customHeight="1">
      <c r="A228" s="5">
        <f>IF(ISNUMBER($AR$218),"Aparência: "&amp;INDEX($AK$10:$AK$39,$AR$218),"")</f>
        <v/>
      </c>
      <c r="F228" s="5">
        <f>IF(ISNUMBER($AR$219),"Aparência: "&amp;INDEX($AK$10:$AK$39,$AR$219),"")</f>
        <v/>
      </c>
    </row>
    <row r="229" ht="37" customHeight="1">
      <c r="A229" s="5">
        <f>IF(ISNUMBER($AR$218),"Voz: "&amp;INDEX($AL$10:$AL$39,$AR$218),"")</f>
        <v/>
      </c>
      <c r="F229" s="5">
        <f>IF(ISNUMBER($AR$219),"Voz: "&amp;INDEX($AL$10:$AL$39,$AR$219),"")</f>
        <v/>
      </c>
    </row>
    <row r="230" ht="37" customHeight="1">
      <c r="A230" s="5">
        <f>IF(ISNUMBER($AR$218),"Quer: "&amp;INDEX($AM$10:$AM$39,$AR$218),"")</f>
        <v/>
      </c>
      <c r="F230" s="5">
        <f>IF(ISNUMBER($AR$219),"Quer: "&amp;INDEX($AM$10:$AM$39,$AR$219),"")</f>
        <v/>
      </c>
    </row>
    <row r="231" ht="37" customHeight="1">
      <c r="A231" s="5">
        <f>IF(ISNUMBER($AR$218),"Esconde: "&amp;INDEX($AN$10:$AN$39,$AR$218),"")</f>
        <v/>
      </c>
      <c r="F231" s="5">
        <f>IF(ISNUMBER($AR$219),"Esconde: "&amp;INDEX($AN$10:$AN$39,$AR$219),"")</f>
        <v/>
      </c>
    </row>
    <row r="232">
      <c r="A232" s="5">
        <f>IF(ISNUMBER($AR$218),"Atitude: "&amp;INDEX($AO$10:$AO$39,$AR$218)&amp;" · Papel: "&amp;INDEX($AP$10:$AP$39,$AR$218),"")</f>
        <v/>
      </c>
      <c r="F232" s="5">
        <f>IF(ISNUMBER($AR$219),"Atitude: "&amp;INDEX($AO$10:$AO$39,$AR$219)&amp;" · Papel: "&amp;INDEX($AP$10:$AP$39,$AR$219),"")</f>
        <v/>
      </c>
    </row>
  </sheetData>
  <mergeCells count="717">
    <mergeCell ref="D60:E60"/>
    <mergeCell ref="G225:J225"/>
    <mergeCell ref="K177:L177"/>
    <mergeCell ref="K104:L104"/>
    <mergeCell ref="B139:E139"/>
    <mergeCell ref="D45:E45"/>
    <mergeCell ref="E171:F171"/>
    <mergeCell ref="K81:L81"/>
    <mergeCell ref="H75:J75"/>
    <mergeCell ref="F36:J36"/>
    <mergeCell ref="K99:L99"/>
    <mergeCell ref="D70:E70"/>
    <mergeCell ref="E173:F173"/>
    <mergeCell ref="F70:G70"/>
    <mergeCell ref="E212:G212"/>
    <mergeCell ref="E148:F148"/>
    <mergeCell ref="F100:J100"/>
    <mergeCell ref="K180:L180"/>
    <mergeCell ref="D7:E7"/>
    <mergeCell ref="F231:J231"/>
    <mergeCell ref="E166:F166"/>
    <mergeCell ref="K155:L155"/>
    <mergeCell ref="F102:J102"/>
    <mergeCell ref="D71:E71"/>
    <mergeCell ref="F71:G71"/>
    <mergeCell ref="E168:F168"/>
    <mergeCell ref="K157:L157"/>
    <mergeCell ref="B55:C55"/>
    <mergeCell ref="G171:J171"/>
    <mergeCell ref="K101:L101"/>
    <mergeCell ref="D73:E73"/>
    <mergeCell ref="K172:L172"/>
    <mergeCell ref="B87:E87"/>
    <mergeCell ref="A78:L78"/>
    <mergeCell ref="K92:L92"/>
    <mergeCell ref="K152:L152"/>
    <mergeCell ref="E205:G205"/>
    <mergeCell ref="F128:J128"/>
    <mergeCell ref="B15:H15"/>
    <mergeCell ref="E161:F161"/>
    <mergeCell ref="F113:J113"/>
    <mergeCell ref="B138:E138"/>
    <mergeCell ref="K185:L185"/>
    <mergeCell ref="F45:G45"/>
    <mergeCell ref="K106:L106"/>
    <mergeCell ref="D66:E66"/>
    <mergeCell ref="B53:C53"/>
    <mergeCell ref="F66:G66"/>
    <mergeCell ref="D53:E53"/>
    <mergeCell ref="K56:L56"/>
    <mergeCell ref="D47:E47"/>
    <mergeCell ref="K105:L105"/>
    <mergeCell ref="B140:E140"/>
    <mergeCell ref="F47:G47"/>
    <mergeCell ref="K170:L170"/>
    <mergeCell ref="K120:L120"/>
    <mergeCell ref="F46:G46"/>
    <mergeCell ref="K107:L107"/>
    <mergeCell ref="F61:G61"/>
    <mergeCell ref="E195:G195"/>
    <mergeCell ref="H196:J196"/>
    <mergeCell ref="B150:D150"/>
    <mergeCell ref="F48:G48"/>
    <mergeCell ref="E174:F174"/>
    <mergeCell ref="B152:D152"/>
    <mergeCell ref="F73:G73"/>
    <mergeCell ref="F116:J116"/>
    <mergeCell ref="K196:L196"/>
    <mergeCell ref="H191:J191"/>
    <mergeCell ref="G154:J154"/>
    <mergeCell ref="F103:J103"/>
    <mergeCell ref="K183:L183"/>
    <mergeCell ref="E182:G182"/>
    <mergeCell ref="I11:J11"/>
    <mergeCell ref="B95:E95"/>
    <mergeCell ref="F118:J118"/>
    <mergeCell ref="K198:L198"/>
    <mergeCell ref="K54:L54"/>
    <mergeCell ref="B89:E89"/>
    <mergeCell ref="K173:L173"/>
    <mergeCell ref="H203:J203"/>
    <mergeCell ref="B97:E97"/>
    <mergeCell ref="A215:L215"/>
    <mergeCell ref="E158:F158"/>
    <mergeCell ref="H71:J71"/>
    <mergeCell ref="F129:J129"/>
    <mergeCell ref="B21:H21"/>
    <mergeCell ref="B34:C34"/>
    <mergeCell ref="E208:G208"/>
    <mergeCell ref="B163:D163"/>
    <mergeCell ref="F121:J121"/>
    <mergeCell ref="K176:L176"/>
    <mergeCell ref="F131:J131"/>
    <mergeCell ref="K97:L97"/>
    <mergeCell ref="E162:F162"/>
    <mergeCell ref="B23:H23"/>
    <mergeCell ref="E210:G210"/>
    <mergeCell ref="B165:D165"/>
    <mergeCell ref="H181:J181"/>
    <mergeCell ref="D55:E55"/>
    <mergeCell ref="F37:J37"/>
    <mergeCell ref="E185:G185"/>
    <mergeCell ref="K191:L191"/>
    <mergeCell ref="D67:E67"/>
    <mergeCell ref="B76:C76"/>
    <mergeCell ref="E164:F164"/>
    <mergeCell ref="K57:L57"/>
    <mergeCell ref="K128:L128"/>
    <mergeCell ref="K184:L184"/>
    <mergeCell ref="K171:L171"/>
    <mergeCell ref="D69:E69"/>
    <mergeCell ref="B108:E108"/>
    <mergeCell ref="F69:G69"/>
    <mergeCell ref="K121:L121"/>
    <mergeCell ref="B83:E83"/>
    <mergeCell ref="B143:E143"/>
    <mergeCell ref="K123:L123"/>
    <mergeCell ref="E201:G201"/>
    <mergeCell ref="F84:J84"/>
    <mergeCell ref="B85:E85"/>
    <mergeCell ref="K110:L110"/>
    <mergeCell ref="G173:J173"/>
    <mergeCell ref="H72:J72"/>
    <mergeCell ref="H199:J199"/>
    <mergeCell ref="F51:G51"/>
    <mergeCell ref="F86:J86"/>
    <mergeCell ref="F142:J142"/>
    <mergeCell ref="K174:L174"/>
    <mergeCell ref="F80:J80"/>
    <mergeCell ref="H186:J186"/>
    <mergeCell ref="A217:E217"/>
    <mergeCell ref="K75:L75"/>
    <mergeCell ref="G155:J155"/>
    <mergeCell ref="E196:G196"/>
    <mergeCell ref="E183:G183"/>
    <mergeCell ref="I12:J12"/>
    <mergeCell ref="F144:J144"/>
    <mergeCell ref="K12:L12"/>
    <mergeCell ref="G170:J170"/>
    <mergeCell ref="B96:E96"/>
    <mergeCell ref="G157:J157"/>
    <mergeCell ref="E198:G198"/>
    <mergeCell ref="B153:D153"/>
    <mergeCell ref="I14:J14"/>
    <mergeCell ref="B111:E111"/>
    <mergeCell ref="K70:L70"/>
    <mergeCell ref="E179:F179"/>
    <mergeCell ref="G172:J172"/>
    <mergeCell ref="F67:G67"/>
    <mergeCell ref="G28:J28"/>
    <mergeCell ref="B98:E98"/>
    <mergeCell ref="B225:E225"/>
    <mergeCell ref="H54:J54"/>
    <mergeCell ref="K103:L103"/>
    <mergeCell ref="E159:F159"/>
    <mergeCell ref="A230:E230"/>
    <mergeCell ref="H56:J56"/>
    <mergeCell ref="K167:L167"/>
    <mergeCell ref="A232:E232"/>
    <mergeCell ref="B148:D148"/>
    <mergeCell ref="B179:D179"/>
    <mergeCell ref="F137:J137"/>
    <mergeCell ref="B166:D166"/>
    <mergeCell ref="F124:J124"/>
    <mergeCell ref="F99:J99"/>
    <mergeCell ref="K192:L192"/>
    <mergeCell ref="E186:G186"/>
    <mergeCell ref="H187:J187"/>
    <mergeCell ref="G150:J150"/>
    <mergeCell ref="B77:C77"/>
    <mergeCell ref="D6:E6"/>
    <mergeCell ref="D77:E77"/>
    <mergeCell ref="F139:J139"/>
    <mergeCell ref="K129:L129"/>
    <mergeCell ref="B168:D168"/>
    <mergeCell ref="B91:E91"/>
    <mergeCell ref="K194:L194"/>
    <mergeCell ref="K50:L50"/>
    <mergeCell ref="F138:J138"/>
    <mergeCell ref="K181:L181"/>
    <mergeCell ref="B109:E109"/>
    <mergeCell ref="K131:L131"/>
    <mergeCell ref="K58:L58"/>
    <mergeCell ref="B93:E93"/>
    <mergeCell ref="K52:L52"/>
    <mergeCell ref="D72:E72"/>
    <mergeCell ref="F72:G72"/>
    <mergeCell ref="K195:L195"/>
    <mergeCell ref="G160:J160"/>
    <mergeCell ref="B86:E86"/>
    <mergeCell ref="G147:J147"/>
    <mergeCell ref="G174:J174"/>
    <mergeCell ref="B49:C49"/>
    <mergeCell ref="H200:J200"/>
    <mergeCell ref="B101:E101"/>
    <mergeCell ref="E204:G204"/>
    <mergeCell ref="B159:D159"/>
    <mergeCell ref="K53:L53"/>
    <mergeCell ref="F92:J92"/>
    <mergeCell ref="I20:J20"/>
    <mergeCell ref="B38:E38"/>
    <mergeCell ref="H202:J202"/>
    <mergeCell ref="H58:J58"/>
    <mergeCell ref="B167:D167"/>
    <mergeCell ref="E206:G206"/>
    <mergeCell ref="I13:J13"/>
    <mergeCell ref="B63:C63"/>
    <mergeCell ref="B161:D161"/>
    <mergeCell ref="A220:E220"/>
    <mergeCell ref="H73:J73"/>
    <mergeCell ref="K205:L205"/>
    <mergeCell ref="G163:J163"/>
    <mergeCell ref="H60:J60"/>
    <mergeCell ref="F87:J87"/>
    <mergeCell ref="F54:G54"/>
    <mergeCell ref="I15:J15"/>
    <mergeCell ref="F218:J218"/>
    <mergeCell ref="K15:L15"/>
    <mergeCell ref="A222:E222"/>
    <mergeCell ref="K142:L142"/>
    <mergeCell ref="B175:D175"/>
    <mergeCell ref="K80:L80"/>
    <mergeCell ref="F6:G6"/>
    <mergeCell ref="B104:E104"/>
    <mergeCell ref="B162:D162"/>
    <mergeCell ref="K175:L175"/>
    <mergeCell ref="A3:L3"/>
    <mergeCell ref="K55:L55"/>
    <mergeCell ref="G165:J165"/>
    <mergeCell ref="F89:J89"/>
    <mergeCell ref="K79:L79"/>
    <mergeCell ref="B114:E114"/>
    <mergeCell ref="K144:L144"/>
    <mergeCell ref="B35:E35"/>
    <mergeCell ref="E147:F147"/>
    <mergeCell ref="B106:E106"/>
    <mergeCell ref="G158:J158"/>
    <mergeCell ref="H57:J57"/>
    <mergeCell ref="A5:L5"/>
    <mergeCell ref="K119:L119"/>
    <mergeCell ref="A32:L32"/>
    <mergeCell ref="K208:L208"/>
    <mergeCell ref="E40:F40"/>
    <mergeCell ref="F101:J101"/>
    <mergeCell ref="H213:J213"/>
    <mergeCell ref="G176:J176"/>
    <mergeCell ref="B130:E130"/>
    <mergeCell ref="B117:E117"/>
    <mergeCell ref="F140:J140"/>
    <mergeCell ref="F115:J115"/>
    <mergeCell ref="F229:J229"/>
    <mergeCell ref="B132:E132"/>
    <mergeCell ref="B119:E119"/>
    <mergeCell ref="E181:G181"/>
    <mergeCell ref="K66:L66"/>
    <mergeCell ref="K197:L197"/>
    <mergeCell ref="K124:L124"/>
    <mergeCell ref="K74:L74"/>
    <mergeCell ref="K68:L68"/>
    <mergeCell ref="B7:C7"/>
    <mergeCell ref="B127:E127"/>
    <mergeCell ref="A226:E226"/>
    <mergeCell ref="D63:E63"/>
    <mergeCell ref="H52:J52"/>
    <mergeCell ref="E160:F160"/>
    <mergeCell ref="H70:J70"/>
    <mergeCell ref="B71:C71"/>
    <mergeCell ref="A228:E228"/>
    <mergeCell ref="H45:J45"/>
    <mergeCell ref="B58:C58"/>
    <mergeCell ref="B52:C52"/>
    <mergeCell ref="K213:L213"/>
    <mergeCell ref="D52:E52"/>
    <mergeCell ref="E207:G207"/>
    <mergeCell ref="H208:J208"/>
    <mergeCell ref="F95:J95"/>
    <mergeCell ref="A221:E221"/>
    <mergeCell ref="H47:J47"/>
    <mergeCell ref="B60:C60"/>
    <mergeCell ref="K150:L150"/>
    <mergeCell ref="B177:D177"/>
    <mergeCell ref="F232:J232"/>
    <mergeCell ref="B164:D164"/>
    <mergeCell ref="F97:J97"/>
    <mergeCell ref="I21:J21"/>
    <mergeCell ref="F219:J219"/>
    <mergeCell ref="B122:E122"/>
    <mergeCell ref="A223:E223"/>
    <mergeCell ref="A29:L29"/>
    <mergeCell ref="G179:J179"/>
    <mergeCell ref="H76:J76"/>
    <mergeCell ref="B105:E105"/>
    <mergeCell ref="G39:J39"/>
    <mergeCell ref="G166:J166"/>
    <mergeCell ref="F90:J90"/>
    <mergeCell ref="A44:L44"/>
    <mergeCell ref="I23:J23"/>
    <mergeCell ref="B120:E120"/>
    <mergeCell ref="K145:L145"/>
    <mergeCell ref="K216:L216"/>
    <mergeCell ref="B107:E107"/>
    <mergeCell ref="K210:L210"/>
    <mergeCell ref="H63:J63"/>
    <mergeCell ref="K160:L160"/>
    <mergeCell ref="H50:J50"/>
    <mergeCell ref="K147:L147"/>
    <mergeCell ref="G167:J167"/>
    <mergeCell ref="B45:C45"/>
    <mergeCell ref="K18:L18"/>
    <mergeCell ref="F123:J123"/>
    <mergeCell ref="B47:C47"/>
    <mergeCell ref="B59:C59"/>
    <mergeCell ref="B46:C46"/>
    <mergeCell ref="D46:E46"/>
    <mergeCell ref="F108:J108"/>
    <mergeCell ref="B133:E133"/>
    <mergeCell ref="K163:L163"/>
    <mergeCell ref="F143:J143"/>
    <mergeCell ref="B48:C48"/>
    <mergeCell ref="K100:L100"/>
    <mergeCell ref="B135:E135"/>
    <mergeCell ref="E197:G197"/>
    <mergeCell ref="K94:L94"/>
    <mergeCell ref="K165:L165"/>
    <mergeCell ref="K140:L140"/>
    <mergeCell ref="B73:C73"/>
    <mergeCell ref="K102:L102"/>
    <mergeCell ref="E167:F167"/>
    <mergeCell ref="K77:L77"/>
    <mergeCell ref="K204:L204"/>
    <mergeCell ref="H7:I7"/>
    <mergeCell ref="F134:J134"/>
    <mergeCell ref="E169:F169"/>
    <mergeCell ref="H209:J209"/>
    <mergeCell ref="H184:J184"/>
    <mergeCell ref="F96:J96"/>
    <mergeCell ref="B74:C74"/>
    <mergeCell ref="A231:E231"/>
    <mergeCell ref="B68:C68"/>
    <mergeCell ref="D74:E74"/>
    <mergeCell ref="D68:E68"/>
    <mergeCell ref="B88:E88"/>
    <mergeCell ref="H211:J211"/>
    <mergeCell ref="B82:E82"/>
    <mergeCell ref="F98:J98"/>
    <mergeCell ref="B128:E128"/>
    <mergeCell ref="K87:L87"/>
    <mergeCell ref="D59:E59"/>
    <mergeCell ref="G216:J216"/>
    <mergeCell ref="K49:L49"/>
    <mergeCell ref="F227:J227"/>
    <mergeCell ref="K95:L95"/>
    <mergeCell ref="K89:L89"/>
    <mergeCell ref="K113:L113"/>
    <mergeCell ref="K88:L88"/>
    <mergeCell ref="B123:E123"/>
    <mergeCell ref="K26:L26"/>
    <mergeCell ref="K153:L153"/>
    <mergeCell ref="B110:E110"/>
    <mergeCell ref="G40:J40"/>
    <mergeCell ref="E156:F156"/>
    <mergeCell ref="E153:F153"/>
    <mergeCell ref="H66:J66"/>
    <mergeCell ref="B67:C67"/>
    <mergeCell ref="B61:C61"/>
    <mergeCell ref="K90:L90"/>
    <mergeCell ref="E155:F155"/>
    <mergeCell ref="B16:H16"/>
    <mergeCell ref="D61:E61"/>
    <mergeCell ref="B158:D158"/>
    <mergeCell ref="D48:E48"/>
    <mergeCell ref="B141:E141"/>
    <mergeCell ref="B69:C69"/>
    <mergeCell ref="F126:J126"/>
    <mergeCell ref="E157:F157"/>
    <mergeCell ref="B18:H18"/>
    <mergeCell ref="F109:J109"/>
    <mergeCell ref="B160:D160"/>
    <mergeCell ref="K115:L115"/>
    <mergeCell ref="D62:E62"/>
    <mergeCell ref="B11:H11"/>
    <mergeCell ref="D56:E56"/>
    <mergeCell ref="F56:G56"/>
    <mergeCell ref="F111:J111"/>
    <mergeCell ref="K179:L179"/>
    <mergeCell ref="B136:E136"/>
    <mergeCell ref="K166:L166"/>
    <mergeCell ref="B64:C64"/>
    <mergeCell ref="D64:E64"/>
    <mergeCell ref="B51:C51"/>
    <mergeCell ref="K116:L116"/>
    <mergeCell ref="K141:L141"/>
    <mergeCell ref="D51:E51"/>
    <mergeCell ref="K168:L168"/>
    <mergeCell ref="F57:G57"/>
    <mergeCell ref="H192:J192"/>
    <mergeCell ref="K143:L143"/>
    <mergeCell ref="K118:L118"/>
    <mergeCell ref="E175:F175"/>
    <mergeCell ref="G168:J168"/>
    <mergeCell ref="K21:L21"/>
    <mergeCell ref="E191:G191"/>
    <mergeCell ref="B129:E129"/>
    <mergeCell ref="E170:F170"/>
    <mergeCell ref="K63:L63"/>
    <mergeCell ref="F33:G33"/>
    <mergeCell ref="K134:L134"/>
    <mergeCell ref="F114:J114"/>
    <mergeCell ref="F35:J35"/>
    <mergeCell ref="F228:J228"/>
    <mergeCell ref="D75:E75"/>
    <mergeCell ref="K96:L96"/>
    <mergeCell ref="F75:G75"/>
    <mergeCell ref="B131:E131"/>
    <mergeCell ref="F62:G62"/>
    <mergeCell ref="K98:L98"/>
    <mergeCell ref="E154:F154"/>
    <mergeCell ref="H67:J67"/>
    <mergeCell ref="B6:C6"/>
    <mergeCell ref="F130:J130"/>
    <mergeCell ref="E172:F172"/>
    <mergeCell ref="B17:H17"/>
    <mergeCell ref="H205:J205"/>
    <mergeCell ref="K156:L156"/>
    <mergeCell ref="F117:J117"/>
    <mergeCell ref="K93:L93"/>
    <mergeCell ref="F132:J132"/>
    <mergeCell ref="A146:L146"/>
    <mergeCell ref="B19:H19"/>
    <mergeCell ref="F64:G64"/>
    <mergeCell ref="F119:J119"/>
    <mergeCell ref="B84:E84"/>
    <mergeCell ref="K16:L16"/>
    <mergeCell ref="K187:L187"/>
    <mergeCell ref="B72:C72"/>
    <mergeCell ref="B142:E142"/>
    <mergeCell ref="K189:L189"/>
    <mergeCell ref="K45:L45"/>
    <mergeCell ref="B80:E80"/>
    <mergeCell ref="B20:H20"/>
    <mergeCell ref="D65:E65"/>
    <mergeCell ref="F127:J127"/>
    <mergeCell ref="K188:L188"/>
    <mergeCell ref="B79:E79"/>
    <mergeCell ref="K11:L11"/>
    <mergeCell ref="K126:L126"/>
    <mergeCell ref="K182:L182"/>
    <mergeCell ref="H194:J194"/>
    <mergeCell ref="K109:L109"/>
    <mergeCell ref="B144:E144"/>
    <mergeCell ref="K47:L47"/>
    <mergeCell ref="K169:L169"/>
    <mergeCell ref="E177:F177"/>
    <mergeCell ref="K46:L46"/>
    <mergeCell ref="F50:G50"/>
    <mergeCell ref="B81:E81"/>
    <mergeCell ref="F145:J145"/>
    <mergeCell ref="E149:F149"/>
    <mergeCell ref="K111:L111"/>
    <mergeCell ref="E176:F176"/>
    <mergeCell ref="G169:J169"/>
    <mergeCell ref="H195:J195"/>
    <mergeCell ref="H189:J189"/>
    <mergeCell ref="E199:G199"/>
    <mergeCell ref="B154:D154"/>
    <mergeCell ref="F38:J38"/>
    <mergeCell ref="E178:F178"/>
    <mergeCell ref="K71:L71"/>
    <mergeCell ref="E192:G192"/>
    <mergeCell ref="H197:J197"/>
    <mergeCell ref="H53:J53"/>
    <mergeCell ref="B156:D156"/>
    <mergeCell ref="K73:L73"/>
    <mergeCell ref="B13:H13"/>
    <mergeCell ref="B155:D155"/>
    <mergeCell ref="E194:G194"/>
    <mergeCell ref="H55:J55"/>
    <mergeCell ref="B149:D149"/>
    <mergeCell ref="F82:J82"/>
    <mergeCell ref="F49:G49"/>
    <mergeCell ref="K162:L162"/>
    <mergeCell ref="K137:L137"/>
    <mergeCell ref="B28:E28"/>
    <mergeCell ref="B99:E99"/>
    <mergeCell ref="B151:D151"/>
    <mergeCell ref="A41:L41"/>
    <mergeCell ref="K201:L201"/>
    <mergeCell ref="K164:L164"/>
    <mergeCell ref="B92:E92"/>
    <mergeCell ref="F65:G65"/>
    <mergeCell ref="K139:L139"/>
    <mergeCell ref="G153:J153"/>
    <mergeCell ref="K114:L114"/>
    <mergeCell ref="H182:J182"/>
    <mergeCell ref="G164:J164"/>
    <mergeCell ref="B94:E94"/>
    <mergeCell ref="F55:G55"/>
    <mergeCell ref="H190:J190"/>
    <mergeCell ref="H6:I6"/>
    <mergeCell ref="F133:J133"/>
    <mergeCell ref="B40:D40"/>
    <mergeCell ref="H183:J183"/>
    <mergeCell ref="B125:E125"/>
    <mergeCell ref="E187:G187"/>
    <mergeCell ref="H48:J48"/>
    <mergeCell ref="F135:J135"/>
    <mergeCell ref="B22:H22"/>
    <mergeCell ref="K59:L59"/>
    <mergeCell ref="F122:J122"/>
    <mergeCell ref="K130:L130"/>
    <mergeCell ref="K190:L190"/>
    <mergeCell ref="H185:J185"/>
    <mergeCell ref="K117:L117"/>
    <mergeCell ref="E189:G189"/>
    <mergeCell ref="D58:E58"/>
    <mergeCell ref="K61:L61"/>
    <mergeCell ref="K132:L132"/>
    <mergeCell ref="F58:G58"/>
    <mergeCell ref="B145:E145"/>
    <mergeCell ref="K48:L48"/>
    <mergeCell ref="F52:G52"/>
    <mergeCell ref="K125:L125"/>
    <mergeCell ref="A1:L1"/>
    <mergeCell ref="F60:G60"/>
    <mergeCell ref="H74:J74"/>
    <mergeCell ref="K62:L62"/>
    <mergeCell ref="H68:J68"/>
    <mergeCell ref="E200:G200"/>
    <mergeCell ref="K193:L193"/>
    <mergeCell ref="K127:L127"/>
    <mergeCell ref="F53:G53"/>
    <mergeCell ref="F88:J88"/>
    <mergeCell ref="H188:J188"/>
    <mergeCell ref="H201:J201"/>
    <mergeCell ref="B170:D170"/>
    <mergeCell ref="F68:G68"/>
    <mergeCell ref="E202:G202"/>
    <mergeCell ref="B157:D157"/>
    <mergeCell ref="F217:J217"/>
    <mergeCell ref="H69:J69"/>
    <mergeCell ref="B36:E36"/>
    <mergeCell ref="B172:D172"/>
    <mergeCell ref="G159:J159"/>
    <mergeCell ref="F83:J83"/>
    <mergeCell ref="A218:E218"/>
    <mergeCell ref="I16:J16"/>
    <mergeCell ref="B113:E113"/>
    <mergeCell ref="K138:L138"/>
    <mergeCell ref="K76:L76"/>
    <mergeCell ref="K209:L209"/>
    <mergeCell ref="B100:E100"/>
    <mergeCell ref="K203:L203"/>
    <mergeCell ref="H198:J198"/>
    <mergeCell ref="G161:J161"/>
    <mergeCell ref="F110:J110"/>
    <mergeCell ref="F85:J85"/>
    <mergeCell ref="K178:L178"/>
    <mergeCell ref="I18:J18"/>
    <mergeCell ref="B115:E115"/>
    <mergeCell ref="K67:L67"/>
    <mergeCell ref="B102:E102"/>
    <mergeCell ref="K186:L186"/>
    <mergeCell ref="E184:G184"/>
    <mergeCell ref="F141:J141"/>
    <mergeCell ref="H210:J210"/>
    <mergeCell ref="E163:F163"/>
    <mergeCell ref="G156:J156"/>
    <mergeCell ref="F230:J230"/>
    <mergeCell ref="E213:G213"/>
    <mergeCell ref="B33:C33"/>
    <mergeCell ref="D33:E33"/>
    <mergeCell ref="E188:G188"/>
    <mergeCell ref="H193:J193"/>
    <mergeCell ref="F136:J136"/>
    <mergeCell ref="B176:D176"/>
    <mergeCell ref="K69:L69"/>
    <mergeCell ref="H64:J64"/>
    <mergeCell ref="A229:E229"/>
    <mergeCell ref="E190:G190"/>
    <mergeCell ref="H51:J51"/>
    <mergeCell ref="K158:L158"/>
    <mergeCell ref="D34:E34"/>
    <mergeCell ref="K133:L133"/>
    <mergeCell ref="F63:G63"/>
    <mergeCell ref="F34:G34"/>
    <mergeCell ref="B66:C66"/>
    <mergeCell ref="B147:D147"/>
    <mergeCell ref="F74:G74"/>
    <mergeCell ref="B171:D171"/>
    <mergeCell ref="K64:L64"/>
    <mergeCell ref="K135:L135"/>
    <mergeCell ref="K51:L51"/>
    <mergeCell ref="G149:J149"/>
    <mergeCell ref="K122:L122"/>
    <mergeCell ref="D76:E76"/>
    <mergeCell ref="K72:L72"/>
    <mergeCell ref="F76:G76"/>
    <mergeCell ref="B90:E90"/>
    <mergeCell ref="G151:J151"/>
    <mergeCell ref="G178:J178"/>
    <mergeCell ref="H77:J77"/>
    <mergeCell ref="H33:J33"/>
    <mergeCell ref="H204:J204"/>
    <mergeCell ref="F91:J91"/>
    <mergeCell ref="A43:L43"/>
    <mergeCell ref="B173:D173"/>
    <mergeCell ref="K211:L211"/>
    <mergeCell ref="H206:J206"/>
    <mergeCell ref="F93:J93"/>
    <mergeCell ref="I17:J17"/>
    <mergeCell ref="A219:E219"/>
    <mergeCell ref="F220:J220"/>
    <mergeCell ref="K17:L17"/>
    <mergeCell ref="G175:J175"/>
    <mergeCell ref="K148:L148"/>
    <mergeCell ref="K82:L82"/>
    <mergeCell ref="G162:J162"/>
    <mergeCell ref="E203:G203"/>
    <mergeCell ref="I19:J19"/>
    <mergeCell ref="B116:E116"/>
    <mergeCell ref="F222:J222"/>
    <mergeCell ref="K19:L19"/>
    <mergeCell ref="K212:L212"/>
    <mergeCell ref="G177:J177"/>
    <mergeCell ref="B103:E103"/>
    <mergeCell ref="B37:E37"/>
    <mergeCell ref="K6:L6"/>
    <mergeCell ref="B39:D39"/>
    <mergeCell ref="G148:J148"/>
    <mergeCell ref="K206:L206"/>
    <mergeCell ref="H59:J59"/>
    <mergeCell ref="H46:J46"/>
    <mergeCell ref="B54:C54"/>
    <mergeCell ref="K83:L83"/>
    <mergeCell ref="A25:L25"/>
    <mergeCell ref="B118:E118"/>
    <mergeCell ref="E151:F151"/>
    <mergeCell ref="H61:J61"/>
    <mergeCell ref="B56:C56"/>
    <mergeCell ref="E150:F150"/>
    <mergeCell ref="E39:F39"/>
    <mergeCell ref="B178:D178"/>
    <mergeCell ref="F7:G7"/>
    <mergeCell ref="K60:L60"/>
    <mergeCell ref="D49:E49"/>
    <mergeCell ref="E152:F152"/>
    <mergeCell ref="H65:J65"/>
    <mergeCell ref="F104:J104"/>
    <mergeCell ref="B134:E134"/>
    <mergeCell ref="F79:J79"/>
    <mergeCell ref="K159:L159"/>
    <mergeCell ref="B57:C57"/>
    <mergeCell ref="B121:E121"/>
    <mergeCell ref="F106:J106"/>
    <mergeCell ref="K199:L199"/>
    <mergeCell ref="E193:G193"/>
    <mergeCell ref="A112:L112"/>
    <mergeCell ref="F81:J81"/>
    <mergeCell ref="K161:L161"/>
    <mergeCell ref="K136:L136"/>
    <mergeCell ref="K207:L207"/>
    <mergeCell ref="K225:L225"/>
    <mergeCell ref="C8:J8"/>
    <mergeCell ref="F77:G77"/>
    <mergeCell ref="K7:L7"/>
    <mergeCell ref="H212:J212"/>
    <mergeCell ref="K200:L200"/>
    <mergeCell ref="K65:L65"/>
    <mergeCell ref="G152:J152"/>
    <mergeCell ref="F226:J226"/>
    <mergeCell ref="H34:J34"/>
    <mergeCell ref="D54:E54"/>
    <mergeCell ref="E209:G209"/>
    <mergeCell ref="K202:L202"/>
    <mergeCell ref="B75:C75"/>
    <mergeCell ref="H49:J49"/>
    <mergeCell ref="B62:C62"/>
    <mergeCell ref="H207:J207"/>
    <mergeCell ref="E211:G211"/>
    <mergeCell ref="K108:L108"/>
    <mergeCell ref="F221:J221"/>
    <mergeCell ref="B124:E124"/>
    <mergeCell ref="A180:J180"/>
    <mergeCell ref="E165:F165"/>
    <mergeCell ref="K154:L154"/>
    <mergeCell ref="B216:E216"/>
    <mergeCell ref="B174:D174"/>
    <mergeCell ref="F59:G59"/>
    <mergeCell ref="B70:C70"/>
    <mergeCell ref="F223:J223"/>
    <mergeCell ref="K20:L20"/>
    <mergeCell ref="A227:E227"/>
    <mergeCell ref="K91:L91"/>
    <mergeCell ref="B126:E126"/>
    <mergeCell ref="K85:L85"/>
    <mergeCell ref="D57:E57"/>
    <mergeCell ref="F94:J94"/>
    <mergeCell ref="I22:J22"/>
    <mergeCell ref="K84:L84"/>
    <mergeCell ref="K22:L22"/>
    <mergeCell ref="K149:L149"/>
    <mergeCell ref="B169:D169"/>
    <mergeCell ref="H62:J62"/>
    <mergeCell ref="A10:L10"/>
    <mergeCell ref="K86:L86"/>
    <mergeCell ref="F125:J125"/>
    <mergeCell ref="B12:H12"/>
    <mergeCell ref="K151:L151"/>
    <mergeCell ref="B65:C65"/>
    <mergeCell ref="A30:L30"/>
    <mergeCell ref="B14:H14"/>
    <mergeCell ref="F105:J105"/>
    <mergeCell ref="F120:J120"/>
    <mergeCell ref="B50:C50"/>
    <mergeCell ref="F107:J107"/>
    <mergeCell ref="D50:E50"/>
    <mergeCell ref="B137:E137"/>
  </mergeCells>
  <conditionalFormatting sqref="K7">
    <cfRule type="expression" priority="1" dxfId="0">
      <formula>LEN(K7)&gt;0</formula>
    </cfRule>
  </conditionalFormatting>
  <conditionalFormatting sqref="K15">
    <cfRule type="expression" priority="2" dxfId="0">
      <formula>LEN(K15)&gt;0</formula>
    </cfRule>
  </conditionalFormatting>
  <conditionalFormatting sqref="K16">
    <cfRule type="expression" priority="3" dxfId="0">
      <formula>LEN(K16)&gt;0</formula>
    </cfRule>
  </conditionalFormatting>
  <conditionalFormatting sqref="K17">
    <cfRule type="expression" priority="4" dxfId="0">
      <formula>LEN(K17)&gt;0</formula>
    </cfRule>
  </conditionalFormatting>
  <conditionalFormatting sqref="K19">
    <cfRule type="expression" priority="5" dxfId="0">
      <formula>LEN(K19)&gt;0</formula>
    </cfRule>
  </conditionalFormatting>
  <conditionalFormatting sqref="K20">
    <cfRule type="expression" priority="6" dxfId="0">
      <formula>LEN(K20)&gt;0</formula>
    </cfRule>
  </conditionalFormatting>
  <conditionalFormatting sqref="K21">
    <cfRule type="expression" priority="7" dxfId="0">
      <formula>LEN(K21)&gt;0</formula>
    </cfRule>
  </conditionalFormatting>
  <conditionalFormatting sqref="K12">
    <cfRule type="expression" priority="8" dxfId="0">
      <formula>LEN(K12)&gt;0</formula>
    </cfRule>
  </conditionalFormatting>
  <conditionalFormatting sqref="K18">
    <cfRule type="expression" priority="9" dxfId="0">
      <formula>LEN(K18)&gt;0</formula>
    </cfRule>
  </conditionalFormatting>
  <conditionalFormatting sqref="K22">
    <cfRule type="expression" priority="10" dxfId="0">
      <formula>LEN(K22)&gt;0</formula>
    </cfRule>
  </conditionalFormatting>
  <conditionalFormatting sqref="K46">
    <cfRule type="expression" priority="11" dxfId="0">
      <formula>LEN(K46)&gt;0</formula>
    </cfRule>
  </conditionalFormatting>
  <conditionalFormatting sqref="K47">
    <cfRule type="expression" priority="12" dxfId="0">
      <formula>LEN(K47)&gt;0</formula>
    </cfRule>
  </conditionalFormatting>
  <conditionalFormatting sqref="K48">
    <cfRule type="expression" priority="13" dxfId="0">
      <formula>LEN(K48)&gt;0</formula>
    </cfRule>
  </conditionalFormatting>
  <conditionalFormatting sqref="K49">
    <cfRule type="expression" priority="14" dxfId="0">
      <formula>LEN(K49)&gt;0</formula>
    </cfRule>
  </conditionalFormatting>
  <conditionalFormatting sqref="K50">
    <cfRule type="expression" priority="15" dxfId="0">
      <formula>LEN(K50)&gt;0</formula>
    </cfRule>
  </conditionalFormatting>
  <conditionalFormatting sqref="K51">
    <cfRule type="expression" priority="16" dxfId="0">
      <formula>LEN(K51)&gt;0</formula>
    </cfRule>
  </conditionalFormatting>
  <conditionalFormatting sqref="K52">
    <cfRule type="expression" priority="17" dxfId="0">
      <formula>LEN(K52)&gt;0</formula>
    </cfRule>
  </conditionalFormatting>
  <conditionalFormatting sqref="K53">
    <cfRule type="expression" priority="18" dxfId="0">
      <formula>LEN(K53)&gt;0</formula>
    </cfRule>
  </conditionalFormatting>
  <conditionalFormatting sqref="K54">
    <cfRule type="expression" priority="19" dxfId="0">
      <formula>LEN(K54)&gt;0</formula>
    </cfRule>
  </conditionalFormatting>
  <conditionalFormatting sqref="K55">
    <cfRule type="expression" priority="20" dxfId="0">
      <formula>LEN(K55)&gt;0</formula>
    </cfRule>
  </conditionalFormatting>
  <conditionalFormatting sqref="K57">
    <cfRule type="expression" priority="21" dxfId="0">
      <formula>LEN(K57)&gt;0</formula>
    </cfRule>
  </conditionalFormatting>
  <conditionalFormatting sqref="K58">
    <cfRule type="expression" priority="22" dxfId="0">
      <formula>LEN(K58)&gt;0</formula>
    </cfRule>
  </conditionalFormatting>
  <conditionalFormatting sqref="K59">
    <cfRule type="expression" priority="23" dxfId="0">
      <formula>LEN(K59)&gt;0</formula>
    </cfRule>
  </conditionalFormatting>
  <conditionalFormatting sqref="K60">
    <cfRule type="expression" priority="24" dxfId="0">
      <formula>LEN(K60)&gt;0</formula>
    </cfRule>
  </conditionalFormatting>
  <conditionalFormatting sqref="K61">
    <cfRule type="expression" priority="25" dxfId="0">
      <formula>LEN(K61)&gt;0</formula>
    </cfRule>
  </conditionalFormatting>
  <conditionalFormatting sqref="K62">
    <cfRule type="expression" priority="26" dxfId="0">
      <formula>LEN(K62)&gt;0</formula>
    </cfRule>
  </conditionalFormatting>
  <conditionalFormatting sqref="K63">
    <cfRule type="expression" priority="27" dxfId="0">
      <formula>LEN(K63)&gt;0</formula>
    </cfRule>
  </conditionalFormatting>
  <conditionalFormatting sqref="K64">
    <cfRule type="expression" priority="28" dxfId="0">
      <formula>LEN(K64)&gt;0</formula>
    </cfRule>
  </conditionalFormatting>
  <conditionalFormatting sqref="K65">
    <cfRule type="expression" priority="29" dxfId="0">
      <formula>LEN(K65)&gt;0</formula>
    </cfRule>
  </conditionalFormatting>
  <conditionalFormatting sqref="K66">
    <cfRule type="expression" priority="30" dxfId="0">
      <formula>LEN(K66)&gt;0</formula>
    </cfRule>
  </conditionalFormatting>
  <conditionalFormatting sqref="K68">
    <cfRule type="expression" priority="31" dxfId="0">
      <formula>LEN(K68)&gt;0</formula>
    </cfRule>
  </conditionalFormatting>
  <conditionalFormatting sqref="K69">
    <cfRule type="expression" priority="32" dxfId="0">
      <formula>LEN(K69)&gt;0</formula>
    </cfRule>
  </conditionalFormatting>
  <conditionalFormatting sqref="K70">
    <cfRule type="expression" priority="33" dxfId="0">
      <formula>LEN(K70)&gt;0</formula>
    </cfRule>
  </conditionalFormatting>
  <conditionalFormatting sqref="K71">
    <cfRule type="expression" priority="34" dxfId="0">
      <formula>LEN(K71)&gt;0</formula>
    </cfRule>
  </conditionalFormatting>
  <conditionalFormatting sqref="K72">
    <cfRule type="expression" priority="35" dxfId="0">
      <formula>LEN(K72)&gt;0</formula>
    </cfRule>
  </conditionalFormatting>
  <conditionalFormatting sqref="K73">
    <cfRule type="expression" priority="36" dxfId="0">
      <formula>LEN(K73)&gt;0</formula>
    </cfRule>
  </conditionalFormatting>
  <conditionalFormatting sqref="K74">
    <cfRule type="expression" priority="37" dxfId="0">
      <formula>LEN(K74)&gt;0</formula>
    </cfRule>
  </conditionalFormatting>
  <conditionalFormatting sqref="K75">
    <cfRule type="expression" priority="38" dxfId="0">
      <formula>LEN(K75)&gt;0</formula>
    </cfRule>
  </conditionalFormatting>
  <conditionalFormatting sqref="K76">
    <cfRule type="expression" priority="39" dxfId="0">
      <formula>LEN(K76)&gt;0</formula>
    </cfRule>
  </conditionalFormatting>
  <conditionalFormatting sqref="K77">
    <cfRule type="expression" priority="40" dxfId="0">
      <formula>LEN(K77)&gt;0</formula>
    </cfRule>
  </conditionalFormatting>
  <conditionalFormatting sqref="K80">
    <cfRule type="expression" priority="41" dxfId="0">
      <formula>LEN(K80)&gt;0</formula>
    </cfRule>
  </conditionalFormatting>
  <conditionalFormatting sqref="K81">
    <cfRule type="expression" priority="42" dxfId="0">
      <formula>LEN(K81)&gt;0</formula>
    </cfRule>
  </conditionalFormatting>
  <conditionalFormatting sqref="K82">
    <cfRule type="expression" priority="43" dxfId="0">
      <formula>LEN(K82)&gt;0</formula>
    </cfRule>
  </conditionalFormatting>
  <conditionalFormatting sqref="K83">
    <cfRule type="expression" priority="44" dxfId="0">
      <formula>LEN(K83)&gt;0</formula>
    </cfRule>
  </conditionalFormatting>
  <conditionalFormatting sqref="K84">
    <cfRule type="expression" priority="45" dxfId="0">
      <formula>LEN(K84)&gt;0</formula>
    </cfRule>
  </conditionalFormatting>
  <conditionalFormatting sqref="K85">
    <cfRule type="expression" priority="46" dxfId="0">
      <formula>LEN(K85)&gt;0</formula>
    </cfRule>
  </conditionalFormatting>
  <conditionalFormatting sqref="K86">
    <cfRule type="expression" priority="47" dxfId="0">
      <formula>LEN(K86)&gt;0</formula>
    </cfRule>
  </conditionalFormatting>
  <conditionalFormatting sqref="K87">
    <cfRule type="expression" priority="48" dxfId="0">
      <formula>LEN(K87)&gt;0</formula>
    </cfRule>
  </conditionalFormatting>
  <conditionalFormatting sqref="K88">
    <cfRule type="expression" priority="49" dxfId="0">
      <formula>LEN(K88)&gt;0</formula>
    </cfRule>
  </conditionalFormatting>
  <conditionalFormatting sqref="K89">
    <cfRule type="expression" priority="50" dxfId="0">
      <formula>LEN(K89)&gt;0</formula>
    </cfRule>
  </conditionalFormatting>
  <conditionalFormatting sqref="K91">
    <cfRule type="expression" priority="51" dxfId="0">
      <formula>LEN(K91)&gt;0</formula>
    </cfRule>
  </conditionalFormatting>
  <conditionalFormatting sqref="K92">
    <cfRule type="expression" priority="52" dxfId="0">
      <formula>LEN(K92)&gt;0</formula>
    </cfRule>
  </conditionalFormatting>
  <conditionalFormatting sqref="K93">
    <cfRule type="expression" priority="53" dxfId="0">
      <formula>LEN(K93)&gt;0</formula>
    </cfRule>
  </conditionalFormatting>
  <conditionalFormatting sqref="K94">
    <cfRule type="expression" priority="54" dxfId="0">
      <formula>LEN(K94)&gt;0</formula>
    </cfRule>
  </conditionalFormatting>
  <conditionalFormatting sqref="K95">
    <cfRule type="expression" priority="55" dxfId="0">
      <formula>LEN(K95)&gt;0</formula>
    </cfRule>
  </conditionalFormatting>
  <conditionalFormatting sqref="K96">
    <cfRule type="expression" priority="56" dxfId="0">
      <formula>LEN(K96)&gt;0</formula>
    </cfRule>
  </conditionalFormatting>
  <conditionalFormatting sqref="K97">
    <cfRule type="expression" priority="57" dxfId="0">
      <formula>LEN(K97)&gt;0</formula>
    </cfRule>
  </conditionalFormatting>
  <conditionalFormatting sqref="K98">
    <cfRule type="expression" priority="58" dxfId="0">
      <formula>LEN(K98)&gt;0</formula>
    </cfRule>
  </conditionalFormatting>
  <conditionalFormatting sqref="K99">
    <cfRule type="expression" priority="59" dxfId="0">
      <formula>LEN(K99)&gt;0</formula>
    </cfRule>
  </conditionalFormatting>
  <conditionalFormatting sqref="K100">
    <cfRule type="expression" priority="60" dxfId="0">
      <formula>LEN(K100)&gt;0</formula>
    </cfRule>
  </conditionalFormatting>
  <conditionalFormatting sqref="K102">
    <cfRule type="expression" priority="61" dxfId="0">
      <formula>LEN(K102)&gt;0</formula>
    </cfRule>
  </conditionalFormatting>
  <conditionalFormatting sqref="K103">
    <cfRule type="expression" priority="62" dxfId="0">
      <formula>LEN(K103)&gt;0</formula>
    </cfRule>
  </conditionalFormatting>
  <conditionalFormatting sqref="K104">
    <cfRule type="expression" priority="63" dxfId="0">
      <formula>LEN(K104)&gt;0</formula>
    </cfRule>
  </conditionalFormatting>
  <conditionalFormatting sqref="K105">
    <cfRule type="expression" priority="64" dxfId="0">
      <formula>LEN(K105)&gt;0</formula>
    </cfRule>
  </conditionalFormatting>
  <conditionalFormatting sqref="K106">
    <cfRule type="expression" priority="65" dxfId="0">
      <formula>LEN(K106)&gt;0</formula>
    </cfRule>
  </conditionalFormatting>
  <conditionalFormatting sqref="K107">
    <cfRule type="expression" priority="66" dxfId="0">
      <formula>LEN(K107)&gt;0</formula>
    </cfRule>
  </conditionalFormatting>
  <conditionalFormatting sqref="K108">
    <cfRule type="expression" priority="67" dxfId="0">
      <formula>LEN(K108)&gt;0</formula>
    </cfRule>
  </conditionalFormatting>
  <conditionalFormatting sqref="K109">
    <cfRule type="expression" priority="68" dxfId="0">
      <formula>LEN(K109)&gt;0</formula>
    </cfRule>
  </conditionalFormatting>
  <conditionalFormatting sqref="K110">
    <cfRule type="expression" priority="69" dxfId="0">
      <formula>LEN(K110)&gt;0</formula>
    </cfRule>
  </conditionalFormatting>
  <conditionalFormatting sqref="K111">
    <cfRule type="expression" priority="70" dxfId="0">
      <formula>LEN(K111)&gt;0</formula>
    </cfRule>
  </conditionalFormatting>
  <conditionalFormatting sqref="K114">
    <cfRule type="expression" priority="71" dxfId="0">
      <formula>LEN(K114)&gt;0</formula>
    </cfRule>
  </conditionalFormatting>
  <conditionalFormatting sqref="K115">
    <cfRule type="expression" priority="72" dxfId="0">
      <formula>LEN(K115)&gt;0</formula>
    </cfRule>
  </conditionalFormatting>
  <conditionalFormatting sqref="K116">
    <cfRule type="expression" priority="73" dxfId="0">
      <formula>LEN(K116)&gt;0</formula>
    </cfRule>
  </conditionalFormatting>
  <conditionalFormatting sqref="K117">
    <cfRule type="expression" priority="74" dxfId="0">
      <formula>LEN(K117)&gt;0</formula>
    </cfRule>
  </conditionalFormatting>
  <conditionalFormatting sqref="K118">
    <cfRule type="expression" priority="75" dxfId="0">
      <formula>LEN(K118)&gt;0</formula>
    </cfRule>
  </conditionalFormatting>
  <conditionalFormatting sqref="K119">
    <cfRule type="expression" priority="76" dxfId="0">
      <formula>LEN(K119)&gt;0</formula>
    </cfRule>
  </conditionalFormatting>
  <conditionalFormatting sqref="K120">
    <cfRule type="expression" priority="77" dxfId="0">
      <formula>LEN(K120)&gt;0</formula>
    </cfRule>
  </conditionalFormatting>
  <conditionalFormatting sqref="K121">
    <cfRule type="expression" priority="78" dxfId="0">
      <formula>LEN(K121)&gt;0</formula>
    </cfRule>
  </conditionalFormatting>
  <conditionalFormatting sqref="K122">
    <cfRule type="expression" priority="79" dxfId="0">
      <formula>LEN(K122)&gt;0</formula>
    </cfRule>
  </conditionalFormatting>
  <conditionalFormatting sqref="K123">
    <cfRule type="expression" priority="80" dxfId="0">
      <formula>LEN(K123)&gt;0</formula>
    </cfRule>
  </conditionalFormatting>
  <conditionalFormatting sqref="K125">
    <cfRule type="expression" priority="81" dxfId="0">
      <formula>LEN(K125)&gt;0</formula>
    </cfRule>
  </conditionalFormatting>
  <conditionalFormatting sqref="K126">
    <cfRule type="expression" priority="82" dxfId="0">
      <formula>LEN(K126)&gt;0</formula>
    </cfRule>
  </conditionalFormatting>
  <conditionalFormatting sqref="K127">
    <cfRule type="expression" priority="83" dxfId="0">
      <formula>LEN(K127)&gt;0</formula>
    </cfRule>
  </conditionalFormatting>
  <conditionalFormatting sqref="K128">
    <cfRule type="expression" priority="84" dxfId="0">
      <formula>LEN(K128)&gt;0</formula>
    </cfRule>
  </conditionalFormatting>
  <conditionalFormatting sqref="K129">
    <cfRule type="expression" priority="85" dxfId="0">
      <formula>LEN(K129)&gt;0</formula>
    </cfRule>
  </conditionalFormatting>
  <conditionalFormatting sqref="K130">
    <cfRule type="expression" priority="86" dxfId="0">
      <formula>LEN(K130)&gt;0</formula>
    </cfRule>
  </conditionalFormatting>
  <conditionalFormatting sqref="K131">
    <cfRule type="expression" priority="87" dxfId="0">
      <formula>LEN(K131)&gt;0</formula>
    </cfRule>
  </conditionalFormatting>
  <conditionalFormatting sqref="K132">
    <cfRule type="expression" priority="88" dxfId="0">
      <formula>LEN(K132)&gt;0</formula>
    </cfRule>
  </conditionalFormatting>
  <conditionalFormatting sqref="K133">
    <cfRule type="expression" priority="89" dxfId="0">
      <formula>LEN(K133)&gt;0</formula>
    </cfRule>
  </conditionalFormatting>
  <conditionalFormatting sqref="K134">
    <cfRule type="expression" priority="90" dxfId="0">
      <formula>LEN(K134)&gt;0</formula>
    </cfRule>
  </conditionalFormatting>
  <conditionalFormatting sqref="K136">
    <cfRule type="expression" priority="91" dxfId="0">
      <formula>LEN(K136)&gt;0</formula>
    </cfRule>
  </conditionalFormatting>
  <conditionalFormatting sqref="K137">
    <cfRule type="expression" priority="92" dxfId="0">
      <formula>LEN(K137)&gt;0</formula>
    </cfRule>
  </conditionalFormatting>
  <conditionalFormatting sqref="K138">
    <cfRule type="expression" priority="93" dxfId="0">
      <formula>LEN(K138)&gt;0</formula>
    </cfRule>
  </conditionalFormatting>
  <conditionalFormatting sqref="K139">
    <cfRule type="expression" priority="94" dxfId="0">
      <formula>LEN(K139)&gt;0</formula>
    </cfRule>
  </conditionalFormatting>
  <conditionalFormatting sqref="K140">
    <cfRule type="expression" priority="95" dxfId="0">
      <formula>LEN(K140)&gt;0</formula>
    </cfRule>
  </conditionalFormatting>
  <conditionalFormatting sqref="K141">
    <cfRule type="expression" priority="96" dxfId="0">
      <formula>LEN(K141)&gt;0</formula>
    </cfRule>
  </conditionalFormatting>
  <conditionalFormatting sqref="K142">
    <cfRule type="expression" priority="97" dxfId="0">
      <formula>LEN(K142)&gt;0</formula>
    </cfRule>
  </conditionalFormatting>
  <conditionalFormatting sqref="K143">
    <cfRule type="expression" priority="98" dxfId="0">
      <formula>LEN(K143)&gt;0</formula>
    </cfRule>
  </conditionalFormatting>
  <conditionalFormatting sqref="K144">
    <cfRule type="expression" priority="99" dxfId="0">
      <formula>LEN(K144)&gt;0</formula>
    </cfRule>
  </conditionalFormatting>
  <conditionalFormatting sqref="K145">
    <cfRule type="expression" priority="100" dxfId="0">
      <formula>LEN(K145)&gt;0</formula>
    </cfRule>
  </conditionalFormatting>
  <conditionalFormatting sqref="K148">
    <cfRule type="expression" priority="101" dxfId="0">
      <formula>LEN(K148)&gt;0</formula>
    </cfRule>
  </conditionalFormatting>
  <conditionalFormatting sqref="K149">
    <cfRule type="expression" priority="102" dxfId="0">
      <formula>LEN(K149)&gt;0</formula>
    </cfRule>
  </conditionalFormatting>
  <conditionalFormatting sqref="K150">
    <cfRule type="expression" priority="103" dxfId="0">
      <formula>LEN(K150)&gt;0</formula>
    </cfRule>
  </conditionalFormatting>
  <conditionalFormatting sqref="K151">
    <cfRule type="expression" priority="104" dxfId="0">
      <formula>LEN(K151)&gt;0</formula>
    </cfRule>
  </conditionalFormatting>
  <conditionalFormatting sqref="K152">
    <cfRule type="expression" priority="105" dxfId="0">
      <formula>LEN(K152)&gt;0</formula>
    </cfRule>
  </conditionalFormatting>
  <conditionalFormatting sqref="K153">
    <cfRule type="expression" priority="106" dxfId="0">
      <formula>LEN(K153)&gt;0</formula>
    </cfRule>
  </conditionalFormatting>
  <conditionalFormatting sqref="K154">
    <cfRule type="expression" priority="107" dxfId="0">
      <formula>LEN(K154)&gt;0</formula>
    </cfRule>
  </conditionalFormatting>
  <conditionalFormatting sqref="K155">
    <cfRule type="expression" priority="108" dxfId="0">
      <formula>LEN(K155)&gt;0</formula>
    </cfRule>
  </conditionalFormatting>
  <conditionalFormatting sqref="K156">
    <cfRule type="expression" priority="109" dxfId="0">
      <formula>LEN(K156)&gt;0</formula>
    </cfRule>
  </conditionalFormatting>
  <conditionalFormatting sqref="K157">
    <cfRule type="expression" priority="110" dxfId="0">
      <formula>LEN(K157)&gt;0</formula>
    </cfRule>
  </conditionalFormatting>
  <conditionalFormatting sqref="K159">
    <cfRule type="expression" priority="111" dxfId="0">
      <formula>LEN(K159)&gt;0</formula>
    </cfRule>
  </conditionalFormatting>
  <conditionalFormatting sqref="K160">
    <cfRule type="expression" priority="112" dxfId="0">
      <formula>LEN(K160)&gt;0</formula>
    </cfRule>
  </conditionalFormatting>
  <conditionalFormatting sqref="K161">
    <cfRule type="expression" priority="113" dxfId="0">
      <formula>LEN(K161)&gt;0</formula>
    </cfRule>
  </conditionalFormatting>
  <conditionalFormatting sqref="K162">
    <cfRule type="expression" priority="114" dxfId="0">
      <formula>LEN(K162)&gt;0</formula>
    </cfRule>
  </conditionalFormatting>
  <conditionalFormatting sqref="K163">
    <cfRule type="expression" priority="115" dxfId="0">
      <formula>LEN(K163)&gt;0</formula>
    </cfRule>
  </conditionalFormatting>
  <conditionalFormatting sqref="K164">
    <cfRule type="expression" priority="116" dxfId="0">
      <formula>LEN(K164)&gt;0</formula>
    </cfRule>
  </conditionalFormatting>
  <conditionalFormatting sqref="K165">
    <cfRule type="expression" priority="117" dxfId="0">
      <formula>LEN(K165)&gt;0</formula>
    </cfRule>
  </conditionalFormatting>
  <conditionalFormatting sqref="K166">
    <cfRule type="expression" priority="118" dxfId="0">
      <formula>LEN(K166)&gt;0</formula>
    </cfRule>
  </conditionalFormatting>
  <conditionalFormatting sqref="K167">
    <cfRule type="expression" priority="119" dxfId="0">
      <formula>LEN(K167)&gt;0</formula>
    </cfRule>
  </conditionalFormatting>
  <conditionalFormatting sqref="K168">
    <cfRule type="expression" priority="120" dxfId="0">
      <formula>LEN(K168)&gt;0</formula>
    </cfRule>
  </conditionalFormatting>
  <conditionalFormatting sqref="K170">
    <cfRule type="expression" priority="121" dxfId="0">
      <formula>LEN(K170)&gt;0</formula>
    </cfRule>
  </conditionalFormatting>
  <conditionalFormatting sqref="K171">
    <cfRule type="expression" priority="122" dxfId="0">
      <formula>LEN(K171)&gt;0</formula>
    </cfRule>
  </conditionalFormatting>
  <conditionalFormatting sqref="K172">
    <cfRule type="expression" priority="123" dxfId="0">
      <formula>LEN(K172)&gt;0</formula>
    </cfRule>
  </conditionalFormatting>
  <conditionalFormatting sqref="K173">
    <cfRule type="expression" priority="124" dxfId="0">
      <formula>LEN(K173)&gt;0</formula>
    </cfRule>
  </conditionalFormatting>
  <conditionalFormatting sqref="K174">
    <cfRule type="expression" priority="125" dxfId="0">
      <formula>LEN(K174)&gt;0</formula>
    </cfRule>
  </conditionalFormatting>
  <conditionalFormatting sqref="K175">
    <cfRule type="expression" priority="126" dxfId="0">
      <formula>LEN(K175)&gt;0</formula>
    </cfRule>
  </conditionalFormatting>
  <conditionalFormatting sqref="K176">
    <cfRule type="expression" priority="127" dxfId="0">
      <formula>LEN(K176)&gt;0</formula>
    </cfRule>
  </conditionalFormatting>
  <conditionalFormatting sqref="K177">
    <cfRule type="expression" priority="128" dxfId="0">
      <formula>LEN(K177)&gt;0</formula>
    </cfRule>
  </conditionalFormatting>
  <conditionalFormatting sqref="K178">
    <cfRule type="expression" priority="129" dxfId="0">
      <formula>LEN(K178)&gt;0</formula>
    </cfRule>
  </conditionalFormatting>
  <conditionalFormatting sqref="K179">
    <cfRule type="expression" priority="130" dxfId="0">
      <formula>LEN(K179)&gt;0</formula>
    </cfRule>
  </conditionalFormatting>
  <conditionalFormatting sqref="K182">
    <cfRule type="expression" priority="131" dxfId="0">
      <formula>LEN(K182)&gt;0</formula>
    </cfRule>
  </conditionalFormatting>
  <conditionalFormatting sqref="K183">
    <cfRule type="expression" priority="132" dxfId="0">
      <formula>LEN(K183)&gt;0</formula>
    </cfRule>
  </conditionalFormatting>
  <conditionalFormatting sqref="K184">
    <cfRule type="expression" priority="133" dxfId="0">
      <formula>LEN(K184)&gt;0</formula>
    </cfRule>
  </conditionalFormatting>
  <conditionalFormatting sqref="K185">
    <cfRule type="expression" priority="134" dxfId="0">
      <formula>LEN(K185)&gt;0</formula>
    </cfRule>
  </conditionalFormatting>
  <conditionalFormatting sqref="K186">
    <cfRule type="expression" priority="135" dxfId="0">
      <formula>LEN(K186)&gt;0</formula>
    </cfRule>
  </conditionalFormatting>
  <conditionalFormatting sqref="K187">
    <cfRule type="expression" priority="136" dxfId="0">
      <formula>LEN(K187)&gt;0</formula>
    </cfRule>
  </conditionalFormatting>
  <conditionalFormatting sqref="K188">
    <cfRule type="expression" priority="137" dxfId="0">
      <formula>LEN(K188)&gt;0</formula>
    </cfRule>
  </conditionalFormatting>
  <conditionalFormatting sqref="K189">
    <cfRule type="expression" priority="138" dxfId="0">
      <formula>LEN(K189)&gt;0</formula>
    </cfRule>
  </conditionalFormatting>
  <conditionalFormatting sqref="K190">
    <cfRule type="expression" priority="139" dxfId="0">
      <formula>LEN(K190)&gt;0</formula>
    </cfRule>
  </conditionalFormatting>
  <conditionalFormatting sqref="K191">
    <cfRule type="expression" priority="140" dxfId="0">
      <formula>LEN(K191)&gt;0</formula>
    </cfRule>
  </conditionalFormatting>
  <conditionalFormatting sqref="K193">
    <cfRule type="expression" priority="141" dxfId="0">
      <formula>LEN(K193)&gt;0</formula>
    </cfRule>
  </conditionalFormatting>
  <conditionalFormatting sqref="K194">
    <cfRule type="expression" priority="142" dxfId="0">
      <formula>LEN(K194)&gt;0</formula>
    </cfRule>
  </conditionalFormatting>
  <conditionalFormatting sqref="K195">
    <cfRule type="expression" priority="143" dxfId="0">
      <formula>LEN(K195)&gt;0</formula>
    </cfRule>
  </conditionalFormatting>
  <conditionalFormatting sqref="K196">
    <cfRule type="expression" priority="144" dxfId="0">
      <formula>LEN(K196)&gt;0</formula>
    </cfRule>
  </conditionalFormatting>
  <conditionalFormatting sqref="K197">
    <cfRule type="expression" priority="145" dxfId="0">
      <formula>LEN(K197)&gt;0</formula>
    </cfRule>
  </conditionalFormatting>
  <conditionalFormatting sqref="K198">
    <cfRule type="expression" priority="146" dxfId="0">
      <formula>LEN(K198)&gt;0</formula>
    </cfRule>
  </conditionalFormatting>
  <conditionalFormatting sqref="K199">
    <cfRule type="expression" priority="147" dxfId="0">
      <formula>LEN(K199)&gt;0</formula>
    </cfRule>
  </conditionalFormatting>
  <conditionalFormatting sqref="K200">
    <cfRule type="expression" priority="148" dxfId="0">
      <formula>LEN(K200)&gt;0</formula>
    </cfRule>
  </conditionalFormatting>
  <conditionalFormatting sqref="K201">
    <cfRule type="expression" priority="149" dxfId="0">
      <formula>LEN(K201)&gt;0</formula>
    </cfRule>
  </conditionalFormatting>
  <conditionalFormatting sqref="K202">
    <cfRule type="expression" priority="150" dxfId="0">
      <formula>LEN(K202)&gt;0</formula>
    </cfRule>
  </conditionalFormatting>
  <conditionalFormatting sqref="K204">
    <cfRule type="expression" priority="151" dxfId="0">
      <formula>LEN(K204)&gt;0</formula>
    </cfRule>
  </conditionalFormatting>
  <conditionalFormatting sqref="K205">
    <cfRule type="expression" priority="152" dxfId="0">
      <formula>LEN(K205)&gt;0</formula>
    </cfRule>
  </conditionalFormatting>
  <conditionalFormatting sqref="K206">
    <cfRule type="expression" priority="153" dxfId="0">
      <formula>LEN(K206)&gt;0</formula>
    </cfRule>
  </conditionalFormatting>
  <conditionalFormatting sqref="K207">
    <cfRule type="expression" priority="154" dxfId="0">
      <formula>LEN(K207)&gt;0</formula>
    </cfRule>
  </conditionalFormatting>
  <conditionalFormatting sqref="K208">
    <cfRule type="expression" priority="155" dxfId="0">
      <formula>LEN(K208)&gt;0</formula>
    </cfRule>
  </conditionalFormatting>
  <conditionalFormatting sqref="K209">
    <cfRule type="expression" priority="156" dxfId="0">
      <formula>LEN(K209)&gt;0</formula>
    </cfRule>
  </conditionalFormatting>
  <conditionalFormatting sqref="K210">
    <cfRule type="expression" priority="157" dxfId="0">
      <formula>LEN(K210)&gt;0</formula>
    </cfRule>
  </conditionalFormatting>
  <conditionalFormatting sqref="K211">
    <cfRule type="expression" priority="158" dxfId="0">
      <formula>LEN(K211)&gt;0</formula>
    </cfRule>
  </conditionalFormatting>
  <conditionalFormatting sqref="K212">
    <cfRule type="expression" priority="159" dxfId="0">
      <formula>LEN(K212)&gt;0</formula>
    </cfRule>
  </conditionalFormatting>
  <conditionalFormatting sqref="K213">
    <cfRule type="expression" priority="160" dxfId="0">
      <formula>LEN(K213)&gt;0</formula>
    </cfRule>
  </conditionalFormatting>
  <conditionalFormatting sqref="K216">
    <cfRule type="expression" priority="161" dxfId="0">
      <formula>LEN(K216)&gt;0</formula>
    </cfRule>
  </conditionalFormatting>
  <conditionalFormatting sqref="K225">
    <cfRule type="expression" priority="162" dxfId="0">
      <formula>LEN(K225)&gt;0</formula>
    </cfRule>
  </conditionalFormatting>
  <dataValidations count="520">
    <dataValidation sqref="A7" showDropDown="0" showInputMessage="0" showErrorMessage="1" allowBlank="1" errorTitle="Valor fora da faixa" error="Rolagem nº: use um número inteiro de 1 a 1000000." type="whole" errorStyle="warning" operator="between">
      <formula1>1</formula1>
      <formula2>1000000</formula2>
    </dataValidation>
    <dataValidation sqref="B7" showDropDown="0" showInputMessage="0" showErrorMessage="1" allowBlank="1" errorTitle="Fora da lista" error="Raça: escolha um valor da lista. A planilha pode não reconhecer outro valor." type="list" errorStyle="warning">
      <formula1>'Dados'!$BM$6:$BM$13</formula1>
    </dataValidation>
    <dataValidation sqref="D7" showDropDown="0" showInputMessage="0" showErrorMessage="1" allowBlank="1" errorTitle="Fora da lista" error="Caminho: escolha um valor da lista. A planilha pode não reconhecer outro valor." type="list" errorStyle="warning">
      <formula1>'Dados'!$BN$6:$BN$16</formula1>
    </dataValidation>
    <dataValidation sqref="F7" showDropDown="0" showInputMessage="0" showErrorMessage="1" allowBlank="1" errorTitle="Fora da lista" error="Papel na história: escolha um valor da lista. A planilha pode não reconhecer outro valor." type="list" errorStyle="warning">
      <formula1>'Dados'!$BO$6:$BO$13</formula1>
    </dataValidation>
    <dataValidation sqref="H7" showDropDown="0" showInputMessage="0" showErrorMessage="1" allowBlank="1" errorTitle="Fora da lista" error="Bloco de combate: escolha um valor da lista. A planilha pode não reconhecer outro valor." type="list" errorStyle="warning">
      <formula1>'Dados'!$BR$6:$BR$12</formula1>
    </dataValidation>
    <dataValidation sqref="J7" showDropDown="0" showInputMessage="0" showErrorMessage="1" allowBlank="1" errorTitle="Fora da lista" error="Tipo do bloco: escolha um valor da lista. A planilha pode não reconhecer outro valor." type="list" errorStyle="warning">
      <formula1>'Dados'!$BS$6:$BS$7</formula1>
    </dataValidation>
    <dataValidation sqref="A46" showDropDown="0" showInputMessage="0" showErrorMessage="1" allowBlank="1" errorTitle="Texto longo" error="Nome completo: até 80 caracteres." type="textLength" errorStyle="warning" operator="lessThanOrEqual">
      <formula1>80</formula1>
    </dataValidation>
    <dataValidation sqref="B46" showDropDown="0" showInputMessage="0" showErrorMessage="1" allowBlank="1" errorTitle="Fora da lista" error="Raça: escolha um valor da lista. A planilha pode não reconhecer outro valor." type="list" errorStyle="warning">
      <formula1>'Dados'!$AR$6:$AR$12</formula1>
    </dataValidation>
    <dataValidation sqref="D46" showDropDown="0" showInputMessage="0" showErrorMessage="1" allowBlank="1" errorTitle="Fora da lista" error="Caminho: escolha um valor da lista. A planilha pode não reconhecer outro valor." type="list" errorStyle="warning">
      <formula1>'Dados'!$BP$6:$BP$15</formula1>
    </dataValidation>
    <dataValidation sqref="F46" showDropDown="0" showInputMessage="0" showErrorMessage="1" allowBlank="1" errorTitle="Fora da lista" error="Papel: escolha um valor da lista. A planilha pode não reconhecer outro valor." type="list" errorStyle="warning">
      <formula1>'Dados'!$BQ$6:$BQ$12</formula1>
    </dataValidation>
    <dataValidation sqref="H46" showDropDown="0" showInputMessage="0" showErrorMessage="1" allowBlank="1" errorTitle="Texto longo" error="Ocupação: até 120 caracteres." type="textLength" errorStyle="warning" operator="lessThanOrEqual">
      <formula1>120</formula1>
    </dataValidation>
    <dataValidation sqref="A47" showDropDown="0" showInputMessage="0" showErrorMessage="1" allowBlank="1" errorTitle="Texto longo" error="Nome completo: até 80 caracteres." type="textLength" errorStyle="warning" operator="lessThanOrEqual">
      <formula1>80</formula1>
    </dataValidation>
    <dataValidation sqref="B47" showDropDown="0" showInputMessage="0" showErrorMessage="1" allowBlank="1" errorTitle="Fora da lista" error="Raça: escolha um valor da lista. A planilha pode não reconhecer outro valor." type="list" errorStyle="warning">
      <formula1>'Dados'!$AR$6:$AR$12</formula1>
    </dataValidation>
    <dataValidation sqref="D47" showDropDown="0" showInputMessage="0" showErrorMessage="1" allowBlank="1" errorTitle="Fora da lista" error="Caminho: escolha um valor da lista. A planilha pode não reconhecer outro valor." type="list" errorStyle="warning">
      <formula1>'Dados'!$BP$6:$BP$15</formula1>
    </dataValidation>
    <dataValidation sqref="F47" showDropDown="0" showInputMessage="0" showErrorMessage="1" allowBlank="1" errorTitle="Fora da lista" error="Papel: escolha um valor da lista. A planilha pode não reconhecer outro valor." type="list" errorStyle="warning">
      <formula1>'Dados'!$BQ$6:$BQ$12</formula1>
    </dataValidation>
    <dataValidation sqref="H47" showDropDown="0" showInputMessage="0" showErrorMessage="1" allowBlank="1" errorTitle="Texto longo" error="Ocupação: até 120 caracteres." type="textLength" errorStyle="warning" operator="lessThanOrEqual">
      <formula1>120</formula1>
    </dataValidation>
    <dataValidation sqref="A48" showDropDown="0" showInputMessage="0" showErrorMessage="1" allowBlank="1" errorTitle="Texto longo" error="Nome completo: até 80 caracteres." type="textLength" errorStyle="warning" operator="lessThanOrEqual">
      <formula1>80</formula1>
    </dataValidation>
    <dataValidation sqref="B48" showDropDown="0" showInputMessage="0" showErrorMessage="1" allowBlank="1" errorTitle="Fora da lista" error="Raça: escolha um valor da lista. A planilha pode não reconhecer outro valor." type="list" errorStyle="warning">
      <formula1>'Dados'!$AR$6:$AR$12</formula1>
    </dataValidation>
    <dataValidation sqref="D48" showDropDown="0" showInputMessage="0" showErrorMessage="1" allowBlank="1" errorTitle="Fora da lista" error="Caminho: escolha um valor da lista. A planilha pode não reconhecer outro valor." type="list" errorStyle="warning">
      <formula1>'Dados'!$BP$6:$BP$15</formula1>
    </dataValidation>
    <dataValidation sqref="F48" showDropDown="0" showInputMessage="0" showErrorMessage="1" allowBlank="1" errorTitle="Fora da lista" error="Papel: escolha um valor da lista. A planilha pode não reconhecer outro valor." type="list" errorStyle="warning">
      <formula1>'Dados'!$BQ$6:$BQ$12</formula1>
    </dataValidation>
    <dataValidation sqref="H48" showDropDown="0" showInputMessage="0" showErrorMessage="1" allowBlank="1" errorTitle="Texto longo" error="Ocupação: até 120 caracteres." type="textLength" errorStyle="warning" operator="lessThanOrEqual">
      <formula1>120</formula1>
    </dataValidation>
    <dataValidation sqref="A49" showDropDown="0" showInputMessage="0" showErrorMessage="1" allowBlank="1" errorTitle="Texto longo" error="Nome completo: até 80 caracteres." type="textLength" errorStyle="warning" operator="lessThanOrEqual">
      <formula1>80</formula1>
    </dataValidation>
    <dataValidation sqref="B49" showDropDown="0" showInputMessage="0" showErrorMessage="1" allowBlank="1" errorTitle="Fora da lista" error="Raça: escolha um valor da lista. A planilha pode não reconhecer outro valor." type="list" errorStyle="warning">
      <formula1>'Dados'!$AR$6:$AR$12</formula1>
    </dataValidation>
    <dataValidation sqref="D49" showDropDown="0" showInputMessage="0" showErrorMessage="1" allowBlank="1" errorTitle="Fora da lista" error="Caminho: escolha um valor da lista. A planilha pode não reconhecer outro valor." type="list" errorStyle="warning">
      <formula1>'Dados'!$BP$6:$BP$15</formula1>
    </dataValidation>
    <dataValidation sqref="F49" showDropDown="0" showInputMessage="0" showErrorMessage="1" allowBlank="1" errorTitle="Fora da lista" error="Papel: escolha um valor da lista. A planilha pode não reconhecer outro valor." type="list" errorStyle="warning">
      <formula1>'Dados'!$BQ$6:$BQ$12</formula1>
    </dataValidation>
    <dataValidation sqref="H49" showDropDown="0" showInputMessage="0" showErrorMessage="1" allowBlank="1" errorTitle="Texto longo" error="Ocupação: até 120 caracteres." type="textLength" errorStyle="warning" operator="lessThanOrEqual">
      <formula1>120</formula1>
    </dataValidation>
    <dataValidation sqref="A50" showDropDown="0" showInputMessage="0" showErrorMessage="1" allowBlank="1" errorTitle="Texto longo" error="Nome completo: até 80 caracteres." type="textLength" errorStyle="warning" operator="lessThanOrEqual">
      <formula1>80</formula1>
    </dataValidation>
    <dataValidation sqref="B50" showDropDown="0" showInputMessage="0" showErrorMessage="1" allowBlank="1" errorTitle="Fora da lista" error="Raça: escolha um valor da lista. A planilha pode não reconhecer outro valor." type="list" errorStyle="warning">
      <formula1>'Dados'!$AR$6:$AR$12</formula1>
    </dataValidation>
    <dataValidation sqref="D50" showDropDown="0" showInputMessage="0" showErrorMessage="1" allowBlank="1" errorTitle="Fora da lista" error="Caminho: escolha um valor da lista. A planilha pode não reconhecer outro valor." type="list" errorStyle="warning">
      <formula1>'Dados'!$BP$6:$BP$15</formula1>
    </dataValidation>
    <dataValidation sqref="F50" showDropDown="0" showInputMessage="0" showErrorMessage="1" allowBlank="1" errorTitle="Fora da lista" error="Papel: escolha um valor da lista. A planilha pode não reconhecer outro valor." type="list" errorStyle="warning">
      <formula1>'Dados'!$BQ$6:$BQ$12</formula1>
    </dataValidation>
    <dataValidation sqref="H50" showDropDown="0" showInputMessage="0" showErrorMessage="1" allowBlank="1" errorTitle="Texto longo" error="Ocupação: até 120 caracteres." type="textLength" errorStyle="warning" operator="lessThanOrEqual">
      <formula1>120</formula1>
    </dataValidation>
    <dataValidation sqref="A51" showDropDown="0" showInputMessage="0" showErrorMessage="1" allowBlank="1" errorTitle="Texto longo" error="Nome completo: até 80 caracteres." type="textLength" errorStyle="warning" operator="lessThanOrEqual">
      <formula1>80</formula1>
    </dataValidation>
    <dataValidation sqref="B51" showDropDown="0" showInputMessage="0" showErrorMessage="1" allowBlank="1" errorTitle="Fora da lista" error="Raça: escolha um valor da lista. A planilha pode não reconhecer outro valor." type="list" errorStyle="warning">
      <formula1>'Dados'!$AR$6:$AR$12</formula1>
    </dataValidation>
    <dataValidation sqref="D51" showDropDown="0" showInputMessage="0" showErrorMessage="1" allowBlank="1" errorTitle="Fora da lista" error="Caminho: escolha um valor da lista. A planilha pode não reconhecer outro valor." type="list" errorStyle="warning">
      <formula1>'Dados'!$BP$6:$BP$15</formula1>
    </dataValidation>
    <dataValidation sqref="F51" showDropDown="0" showInputMessage="0" showErrorMessage="1" allowBlank="1" errorTitle="Fora da lista" error="Papel: escolha um valor da lista. A planilha pode não reconhecer outro valor." type="list" errorStyle="warning">
      <formula1>'Dados'!$BQ$6:$BQ$12</formula1>
    </dataValidation>
    <dataValidation sqref="H51" showDropDown="0" showInputMessage="0" showErrorMessage="1" allowBlank="1" errorTitle="Texto longo" error="Ocupação: até 120 caracteres." type="textLength" errorStyle="warning" operator="lessThanOrEqual">
      <formula1>120</formula1>
    </dataValidation>
    <dataValidation sqref="A52" showDropDown="0" showInputMessage="0" showErrorMessage="1" allowBlank="1" errorTitle="Texto longo" error="Nome completo: até 80 caracteres." type="textLength" errorStyle="warning" operator="lessThanOrEqual">
      <formula1>80</formula1>
    </dataValidation>
    <dataValidation sqref="B52" showDropDown="0" showInputMessage="0" showErrorMessage="1" allowBlank="1" errorTitle="Fora da lista" error="Raça: escolha um valor da lista. A planilha pode não reconhecer outro valor." type="list" errorStyle="warning">
      <formula1>'Dados'!$AR$6:$AR$12</formula1>
    </dataValidation>
    <dataValidation sqref="D52" showDropDown="0" showInputMessage="0" showErrorMessage="1" allowBlank="1" errorTitle="Fora da lista" error="Caminho: escolha um valor da lista. A planilha pode não reconhecer outro valor." type="list" errorStyle="warning">
      <formula1>'Dados'!$BP$6:$BP$15</formula1>
    </dataValidation>
    <dataValidation sqref="F52" showDropDown="0" showInputMessage="0" showErrorMessage="1" allowBlank="1" errorTitle="Fora da lista" error="Papel: escolha um valor da lista. A planilha pode não reconhecer outro valor." type="list" errorStyle="warning">
      <formula1>'Dados'!$BQ$6:$BQ$12</formula1>
    </dataValidation>
    <dataValidation sqref="H52" showDropDown="0" showInputMessage="0" showErrorMessage="1" allowBlank="1" errorTitle="Texto longo" error="Ocupação: até 120 caracteres." type="textLength" errorStyle="warning" operator="lessThanOrEqual">
      <formula1>120</formula1>
    </dataValidation>
    <dataValidation sqref="A53" showDropDown="0" showInputMessage="0" showErrorMessage="1" allowBlank="1" errorTitle="Texto longo" error="Nome completo: até 80 caracteres." type="textLength" errorStyle="warning" operator="lessThanOrEqual">
      <formula1>80</formula1>
    </dataValidation>
    <dataValidation sqref="B53" showDropDown="0" showInputMessage="0" showErrorMessage="1" allowBlank="1" errorTitle="Fora da lista" error="Raça: escolha um valor da lista. A planilha pode não reconhecer outro valor." type="list" errorStyle="warning">
      <formula1>'Dados'!$AR$6:$AR$12</formula1>
    </dataValidation>
    <dataValidation sqref="D53" showDropDown="0" showInputMessage="0" showErrorMessage="1" allowBlank="1" errorTitle="Fora da lista" error="Caminho: escolha um valor da lista. A planilha pode não reconhecer outro valor." type="list" errorStyle="warning">
      <formula1>'Dados'!$BP$6:$BP$15</formula1>
    </dataValidation>
    <dataValidation sqref="F53" showDropDown="0" showInputMessage="0" showErrorMessage="1" allowBlank="1" errorTitle="Fora da lista" error="Papel: escolha um valor da lista. A planilha pode não reconhecer outro valor." type="list" errorStyle="warning">
      <formula1>'Dados'!$BQ$6:$BQ$12</formula1>
    </dataValidation>
    <dataValidation sqref="H53" showDropDown="0" showInputMessage="0" showErrorMessage="1" allowBlank="1" errorTitle="Texto longo" error="Ocupação: até 120 caracteres." type="textLength" errorStyle="warning" operator="lessThanOrEqual">
      <formula1>120</formula1>
    </dataValidation>
    <dataValidation sqref="A54" showDropDown="0" showInputMessage="0" showErrorMessage="1" allowBlank="1" errorTitle="Texto longo" error="Nome completo: até 80 caracteres." type="textLength" errorStyle="warning" operator="lessThanOrEqual">
      <formula1>80</formula1>
    </dataValidation>
    <dataValidation sqref="B54" showDropDown="0" showInputMessage="0" showErrorMessage="1" allowBlank="1" errorTitle="Fora da lista" error="Raça: escolha um valor da lista. A planilha pode não reconhecer outro valor." type="list" errorStyle="warning">
      <formula1>'Dados'!$AR$6:$AR$12</formula1>
    </dataValidation>
    <dataValidation sqref="D54" showDropDown="0" showInputMessage="0" showErrorMessage="1" allowBlank="1" errorTitle="Fora da lista" error="Caminho: escolha um valor da lista. A planilha pode não reconhecer outro valor." type="list" errorStyle="warning">
      <formula1>'Dados'!$BP$6:$BP$15</formula1>
    </dataValidation>
    <dataValidation sqref="F54" showDropDown="0" showInputMessage="0" showErrorMessage="1" allowBlank="1" errorTitle="Fora da lista" error="Papel: escolha um valor da lista. A planilha pode não reconhecer outro valor." type="list" errorStyle="warning">
      <formula1>'Dados'!$BQ$6:$BQ$12</formula1>
    </dataValidation>
    <dataValidation sqref="H54" showDropDown="0" showInputMessage="0" showErrorMessage="1" allowBlank="1" errorTitle="Texto longo" error="Ocupação: até 120 caracteres." type="textLength" errorStyle="warning" operator="lessThanOrEqual">
      <formula1>120</formula1>
    </dataValidation>
    <dataValidation sqref="A55" showDropDown="0" showInputMessage="0" showErrorMessage="1" allowBlank="1" errorTitle="Texto longo" error="Nome completo: até 80 caracteres." type="textLength" errorStyle="warning" operator="lessThanOrEqual">
      <formula1>80</formula1>
    </dataValidation>
    <dataValidation sqref="B55" showDropDown="0" showInputMessage="0" showErrorMessage="1" allowBlank="1" errorTitle="Fora da lista" error="Raça: escolha um valor da lista. A planilha pode não reconhecer outro valor." type="list" errorStyle="warning">
      <formula1>'Dados'!$AR$6:$AR$12</formula1>
    </dataValidation>
    <dataValidation sqref="D55" showDropDown="0" showInputMessage="0" showErrorMessage="1" allowBlank="1" errorTitle="Fora da lista" error="Caminho: escolha um valor da lista. A planilha pode não reconhecer outro valor." type="list" errorStyle="warning">
      <formula1>'Dados'!$BP$6:$BP$15</formula1>
    </dataValidation>
    <dataValidation sqref="F55" showDropDown="0" showInputMessage="0" showErrorMessage="1" allowBlank="1" errorTitle="Fora da lista" error="Papel: escolha um valor da lista. A planilha pode não reconhecer outro valor." type="list" errorStyle="warning">
      <formula1>'Dados'!$BQ$6:$BQ$12</formula1>
    </dataValidation>
    <dataValidation sqref="H55" showDropDown="0" showInputMessage="0" showErrorMessage="1" allowBlank="1" errorTitle="Texto longo" error="Ocupação: até 120 caracteres." type="textLength" errorStyle="warning" operator="lessThanOrEqual">
      <formula1>120</formula1>
    </dataValidation>
    <dataValidation sqref="A57" showDropDown="0" showInputMessage="0" showErrorMessage="1" allowBlank="1" errorTitle="Texto longo" error="Nome completo: até 80 caracteres." type="textLength" errorStyle="warning" operator="lessThanOrEqual">
      <formula1>80</formula1>
    </dataValidation>
    <dataValidation sqref="B57" showDropDown="0" showInputMessage="0" showErrorMessage="1" allowBlank="1" errorTitle="Fora da lista" error="Raça: escolha um valor da lista. A planilha pode não reconhecer outro valor." type="list" errorStyle="warning">
      <formula1>'Dados'!$AR$6:$AR$12</formula1>
    </dataValidation>
    <dataValidation sqref="D57" showDropDown="0" showInputMessage="0" showErrorMessage="1" allowBlank="1" errorTitle="Fora da lista" error="Caminho: escolha um valor da lista. A planilha pode não reconhecer outro valor." type="list" errorStyle="warning">
      <formula1>'Dados'!$BP$6:$BP$15</formula1>
    </dataValidation>
    <dataValidation sqref="F57" showDropDown="0" showInputMessage="0" showErrorMessage="1" allowBlank="1" errorTitle="Fora da lista" error="Papel: escolha um valor da lista. A planilha pode não reconhecer outro valor." type="list" errorStyle="warning">
      <formula1>'Dados'!$BQ$6:$BQ$12</formula1>
    </dataValidation>
    <dataValidation sqref="H57" showDropDown="0" showInputMessage="0" showErrorMessage="1" allowBlank="1" errorTitle="Texto longo" error="Ocupação: até 120 caracteres." type="textLength" errorStyle="warning" operator="lessThanOrEqual">
      <formula1>120</formula1>
    </dataValidation>
    <dataValidation sqref="A58" showDropDown="0" showInputMessage="0" showErrorMessage="1" allowBlank="1" errorTitle="Texto longo" error="Nome completo: até 80 caracteres." type="textLength" errorStyle="warning" operator="lessThanOrEqual">
      <formula1>80</formula1>
    </dataValidation>
    <dataValidation sqref="B58" showDropDown="0" showInputMessage="0" showErrorMessage="1" allowBlank="1" errorTitle="Fora da lista" error="Raça: escolha um valor da lista. A planilha pode não reconhecer outro valor." type="list" errorStyle="warning">
      <formula1>'Dados'!$AR$6:$AR$12</formula1>
    </dataValidation>
    <dataValidation sqref="D58" showDropDown="0" showInputMessage="0" showErrorMessage="1" allowBlank="1" errorTitle="Fora da lista" error="Caminho: escolha um valor da lista. A planilha pode não reconhecer outro valor." type="list" errorStyle="warning">
      <formula1>'Dados'!$BP$6:$BP$15</formula1>
    </dataValidation>
    <dataValidation sqref="F58" showDropDown="0" showInputMessage="0" showErrorMessage="1" allowBlank="1" errorTitle="Fora da lista" error="Papel: escolha um valor da lista. A planilha pode não reconhecer outro valor." type="list" errorStyle="warning">
      <formula1>'Dados'!$BQ$6:$BQ$12</formula1>
    </dataValidation>
    <dataValidation sqref="H58" showDropDown="0" showInputMessage="0" showErrorMessage="1" allowBlank="1" errorTitle="Texto longo" error="Ocupação: até 120 caracteres." type="textLength" errorStyle="warning" operator="lessThanOrEqual">
      <formula1>120</formula1>
    </dataValidation>
    <dataValidation sqref="A59" showDropDown="0" showInputMessage="0" showErrorMessage="1" allowBlank="1" errorTitle="Texto longo" error="Nome completo: até 80 caracteres." type="textLength" errorStyle="warning" operator="lessThanOrEqual">
      <formula1>80</formula1>
    </dataValidation>
    <dataValidation sqref="B59" showDropDown="0" showInputMessage="0" showErrorMessage="1" allowBlank="1" errorTitle="Fora da lista" error="Raça: escolha um valor da lista. A planilha pode não reconhecer outro valor." type="list" errorStyle="warning">
      <formula1>'Dados'!$AR$6:$AR$12</formula1>
    </dataValidation>
    <dataValidation sqref="D59" showDropDown="0" showInputMessage="0" showErrorMessage="1" allowBlank="1" errorTitle="Fora da lista" error="Caminho: escolha um valor da lista. A planilha pode não reconhecer outro valor." type="list" errorStyle="warning">
      <formula1>'Dados'!$BP$6:$BP$15</formula1>
    </dataValidation>
    <dataValidation sqref="F59" showDropDown="0" showInputMessage="0" showErrorMessage="1" allowBlank="1" errorTitle="Fora da lista" error="Papel: escolha um valor da lista. A planilha pode não reconhecer outro valor." type="list" errorStyle="warning">
      <formula1>'Dados'!$BQ$6:$BQ$12</formula1>
    </dataValidation>
    <dataValidation sqref="H59" showDropDown="0" showInputMessage="0" showErrorMessage="1" allowBlank="1" errorTitle="Texto longo" error="Ocupação: até 120 caracteres." type="textLength" errorStyle="warning" operator="lessThanOrEqual">
      <formula1>120</formula1>
    </dataValidation>
    <dataValidation sqref="A60" showDropDown="0" showInputMessage="0" showErrorMessage="1" allowBlank="1" errorTitle="Texto longo" error="Nome completo: até 80 caracteres." type="textLength" errorStyle="warning" operator="lessThanOrEqual">
      <formula1>80</formula1>
    </dataValidation>
    <dataValidation sqref="B60" showDropDown="0" showInputMessage="0" showErrorMessage="1" allowBlank="1" errorTitle="Fora da lista" error="Raça: escolha um valor da lista. A planilha pode não reconhecer outro valor." type="list" errorStyle="warning">
      <formula1>'Dados'!$AR$6:$AR$12</formula1>
    </dataValidation>
    <dataValidation sqref="D60" showDropDown="0" showInputMessage="0" showErrorMessage="1" allowBlank="1" errorTitle="Fora da lista" error="Caminho: escolha um valor da lista. A planilha pode não reconhecer outro valor." type="list" errorStyle="warning">
      <formula1>'Dados'!$BP$6:$BP$15</formula1>
    </dataValidation>
    <dataValidation sqref="F60" showDropDown="0" showInputMessage="0" showErrorMessage="1" allowBlank="1" errorTitle="Fora da lista" error="Papel: escolha um valor da lista. A planilha pode não reconhecer outro valor." type="list" errorStyle="warning">
      <formula1>'Dados'!$BQ$6:$BQ$12</formula1>
    </dataValidation>
    <dataValidation sqref="H60" showDropDown="0" showInputMessage="0" showErrorMessage="1" allowBlank="1" errorTitle="Texto longo" error="Ocupação: até 120 caracteres." type="textLength" errorStyle="warning" operator="lessThanOrEqual">
      <formula1>120</formula1>
    </dataValidation>
    <dataValidation sqref="A61" showDropDown="0" showInputMessage="0" showErrorMessage="1" allowBlank="1" errorTitle="Texto longo" error="Nome completo: até 80 caracteres." type="textLength" errorStyle="warning" operator="lessThanOrEqual">
      <formula1>80</formula1>
    </dataValidation>
    <dataValidation sqref="B61" showDropDown="0" showInputMessage="0" showErrorMessage="1" allowBlank="1" errorTitle="Fora da lista" error="Raça: escolha um valor da lista. A planilha pode não reconhecer outro valor." type="list" errorStyle="warning">
      <formula1>'Dados'!$AR$6:$AR$12</formula1>
    </dataValidation>
    <dataValidation sqref="D61" showDropDown="0" showInputMessage="0" showErrorMessage="1" allowBlank="1" errorTitle="Fora da lista" error="Caminho: escolha um valor da lista. A planilha pode não reconhecer outro valor." type="list" errorStyle="warning">
      <formula1>'Dados'!$BP$6:$BP$15</formula1>
    </dataValidation>
    <dataValidation sqref="F61" showDropDown="0" showInputMessage="0" showErrorMessage="1" allowBlank="1" errorTitle="Fora da lista" error="Papel: escolha um valor da lista. A planilha pode não reconhecer outro valor." type="list" errorStyle="warning">
      <formula1>'Dados'!$BQ$6:$BQ$12</formula1>
    </dataValidation>
    <dataValidation sqref="H61" showDropDown="0" showInputMessage="0" showErrorMessage="1" allowBlank="1" errorTitle="Texto longo" error="Ocupação: até 120 caracteres." type="textLength" errorStyle="warning" operator="lessThanOrEqual">
      <formula1>120</formula1>
    </dataValidation>
    <dataValidation sqref="A62" showDropDown="0" showInputMessage="0" showErrorMessage="1" allowBlank="1" errorTitle="Texto longo" error="Nome completo: até 80 caracteres." type="textLength" errorStyle="warning" operator="lessThanOrEqual">
      <formula1>80</formula1>
    </dataValidation>
    <dataValidation sqref="B62" showDropDown="0" showInputMessage="0" showErrorMessage="1" allowBlank="1" errorTitle="Fora da lista" error="Raça: escolha um valor da lista. A planilha pode não reconhecer outro valor." type="list" errorStyle="warning">
      <formula1>'Dados'!$AR$6:$AR$12</formula1>
    </dataValidation>
    <dataValidation sqref="D62" showDropDown="0" showInputMessage="0" showErrorMessage="1" allowBlank="1" errorTitle="Fora da lista" error="Caminho: escolha um valor da lista. A planilha pode não reconhecer outro valor." type="list" errorStyle="warning">
      <formula1>'Dados'!$BP$6:$BP$15</formula1>
    </dataValidation>
    <dataValidation sqref="F62" showDropDown="0" showInputMessage="0" showErrorMessage="1" allowBlank="1" errorTitle="Fora da lista" error="Papel: escolha um valor da lista. A planilha pode não reconhecer outro valor." type="list" errorStyle="warning">
      <formula1>'Dados'!$BQ$6:$BQ$12</formula1>
    </dataValidation>
    <dataValidation sqref="H62" showDropDown="0" showInputMessage="0" showErrorMessage="1" allowBlank="1" errorTitle="Texto longo" error="Ocupação: até 120 caracteres." type="textLength" errorStyle="warning" operator="lessThanOrEqual">
      <formula1>120</formula1>
    </dataValidation>
    <dataValidation sqref="A63" showDropDown="0" showInputMessage="0" showErrorMessage="1" allowBlank="1" errorTitle="Texto longo" error="Nome completo: até 80 caracteres." type="textLength" errorStyle="warning" operator="lessThanOrEqual">
      <formula1>80</formula1>
    </dataValidation>
    <dataValidation sqref="B63" showDropDown="0" showInputMessage="0" showErrorMessage="1" allowBlank="1" errorTitle="Fora da lista" error="Raça: escolha um valor da lista. A planilha pode não reconhecer outro valor." type="list" errorStyle="warning">
      <formula1>'Dados'!$AR$6:$AR$12</formula1>
    </dataValidation>
    <dataValidation sqref="D63" showDropDown="0" showInputMessage="0" showErrorMessage="1" allowBlank="1" errorTitle="Fora da lista" error="Caminho: escolha um valor da lista. A planilha pode não reconhecer outro valor." type="list" errorStyle="warning">
      <formula1>'Dados'!$BP$6:$BP$15</formula1>
    </dataValidation>
    <dataValidation sqref="F63" showDropDown="0" showInputMessage="0" showErrorMessage="1" allowBlank="1" errorTitle="Fora da lista" error="Papel: escolha um valor da lista. A planilha pode não reconhecer outro valor." type="list" errorStyle="warning">
      <formula1>'Dados'!$BQ$6:$BQ$12</formula1>
    </dataValidation>
    <dataValidation sqref="H63" showDropDown="0" showInputMessage="0" showErrorMessage="1" allowBlank="1" errorTitle="Texto longo" error="Ocupação: até 120 caracteres." type="textLength" errorStyle="warning" operator="lessThanOrEqual">
      <formula1>120</formula1>
    </dataValidation>
    <dataValidation sqref="A64" showDropDown="0" showInputMessage="0" showErrorMessage="1" allowBlank="1" errorTitle="Texto longo" error="Nome completo: até 80 caracteres." type="textLength" errorStyle="warning" operator="lessThanOrEqual">
      <formula1>80</formula1>
    </dataValidation>
    <dataValidation sqref="B64" showDropDown="0" showInputMessage="0" showErrorMessage="1" allowBlank="1" errorTitle="Fora da lista" error="Raça: escolha um valor da lista. A planilha pode não reconhecer outro valor." type="list" errorStyle="warning">
      <formula1>'Dados'!$AR$6:$AR$12</formula1>
    </dataValidation>
    <dataValidation sqref="D64" showDropDown="0" showInputMessage="0" showErrorMessage="1" allowBlank="1" errorTitle="Fora da lista" error="Caminho: escolha um valor da lista. A planilha pode não reconhecer outro valor." type="list" errorStyle="warning">
      <formula1>'Dados'!$BP$6:$BP$15</formula1>
    </dataValidation>
    <dataValidation sqref="F64" showDropDown="0" showInputMessage="0" showErrorMessage="1" allowBlank="1" errorTitle="Fora da lista" error="Papel: escolha um valor da lista. A planilha pode não reconhecer outro valor." type="list" errorStyle="warning">
      <formula1>'Dados'!$BQ$6:$BQ$12</formula1>
    </dataValidation>
    <dataValidation sqref="H64" showDropDown="0" showInputMessage="0" showErrorMessage="1" allowBlank="1" errorTitle="Texto longo" error="Ocupação: até 120 caracteres." type="textLength" errorStyle="warning" operator="lessThanOrEqual">
      <formula1>120</formula1>
    </dataValidation>
    <dataValidation sqref="A65" showDropDown="0" showInputMessage="0" showErrorMessage="1" allowBlank="1" errorTitle="Texto longo" error="Nome completo: até 80 caracteres." type="textLength" errorStyle="warning" operator="lessThanOrEqual">
      <formula1>80</formula1>
    </dataValidation>
    <dataValidation sqref="B65" showDropDown="0" showInputMessage="0" showErrorMessage="1" allowBlank="1" errorTitle="Fora da lista" error="Raça: escolha um valor da lista. A planilha pode não reconhecer outro valor." type="list" errorStyle="warning">
      <formula1>'Dados'!$AR$6:$AR$12</formula1>
    </dataValidation>
    <dataValidation sqref="D65" showDropDown="0" showInputMessage="0" showErrorMessage="1" allowBlank="1" errorTitle="Fora da lista" error="Caminho: escolha um valor da lista. A planilha pode não reconhecer outro valor." type="list" errorStyle="warning">
      <formula1>'Dados'!$BP$6:$BP$15</formula1>
    </dataValidation>
    <dataValidation sqref="F65" showDropDown="0" showInputMessage="0" showErrorMessage="1" allowBlank="1" errorTitle="Fora da lista" error="Papel: escolha um valor da lista. A planilha pode não reconhecer outro valor." type="list" errorStyle="warning">
      <formula1>'Dados'!$BQ$6:$BQ$12</formula1>
    </dataValidation>
    <dataValidation sqref="H65" showDropDown="0" showInputMessage="0" showErrorMessage="1" allowBlank="1" errorTitle="Texto longo" error="Ocupação: até 120 caracteres." type="textLength" errorStyle="warning" operator="lessThanOrEqual">
      <formula1>120</formula1>
    </dataValidation>
    <dataValidation sqref="A66" showDropDown="0" showInputMessage="0" showErrorMessage="1" allowBlank="1" errorTitle="Texto longo" error="Nome completo: até 80 caracteres." type="textLength" errorStyle="warning" operator="lessThanOrEqual">
      <formula1>80</formula1>
    </dataValidation>
    <dataValidation sqref="B66" showDropDown="0" showInputMessage="0" showErrorMessage="1" allowBlank="1" errorTitle="Fora da lista" error="Raça: escolha um valor da lista. A planilha pode não reconhecer outro valor." type="list" errorStyle="warning">
      <formula1>'Dados'!$AR$6:$AR$12</formula1>
    </dataValidation>
    <dataValidation sqref="D66" showDropDown="0" showInputMessage="0" showErrorMessage="1" allowBlank="1" errorTitle="Fora da lista" error="Caminho: escolha um valor da lista. A planilha pode não reconhecer outro valor." type="list" errorStyle="warning">
      <formula1>'Dados'!$BP$6:$BP$15</formula1>
    </dataValidation>
    <dataValidation sqref="F66" showDropDown="0" showInputMessage="0" showErrorMessage="1" allowBlank="1" errorTitle="Fora da lista" error="Papel: escolha um valor da lista. A planilha pode não reconhecer outro valor." type="list" errorStyle="warning">
      <formula1>'Dados'!$BQ$6:$BQ$12</formula1>
    </dataValidation>
    <dataValidation sqref="H66" showDropDown="0" showInputMessage="0" showErrorMessage="1" allowBlank="1" errorTitle="Texto longo" error="Ocupação: até 120 caracteres." type="textLength" errorStyle="warning" operator="lessThanOrEqual">
      <formula1>120</formula1>
    </dataValidation>
    <dataValidation sqref="A68" showDropDown="0" showInputMessage="0" showErrorMessage="1" allowBlank="1" errorTitle="Texto longo" error="Nome completo: até 80 caracteres." type="textLength" errorStyle="warning" operator="lessThanOrEqual">
      <formula1>80</formula1>
    </dataValidation>
    <dataValidation sqref="B68" showDropDown="0" showInputMessage="0" showErrorMessage="1" allowBlank="1" errorTitle="Fora da lista" error="Raça: escolha um valor da lista. A planilha pode não reconhecer outro valor." type="list" errorStyle="warning">
      <formula1>'Dados'!$AR$6:$AR$12</formula1>
    </dataValidation>
    <dataValidation sqref="D68" showDropDown="0" showInputMessage="0" showErrorMessage="1" allowBlank="1" errorTitle="Fora da lista" error="Caminho: escolha um valor da lista. A planilha pode não reconhecer outro valor." type="list" errorStyle="warning">
      <formula1>'Dados'!$BP$6:$BP$15</formula1>
    </dataValidation>
    <dataValidation sqref="F68" showDropDown="0" showInputMessage="0" showErrorMessage="1" allowBlank="1" errorTitle="Fora da lista" error="Papel: escolha um valor da lista. A planilha pode não reconhecer outro valor." type="list" errorStyle="warning">
      <formula1>'Dados'!$BQ$6:$BQ$12</formula1>
    </dataValidation>
    <dataValidation sqref="H68" showDropDown="0" showInputMessage="0" showErrorMessage="1" allowBlank="1" errorTitle="Texto longo" error="Ocupação: até 120 caracteres." type="textLength" errorStyle="warning" operator="lessThanOrEqual">
      <formula1>120</formula1>
    </dataValidation>
    <dataValidation sqref="A69" showDropDown="0" showInputMessage="0" showErrorMessage="1" allowBlank="1" errorTitle="Texto longo" error="Nome completo: até 80 caracteres." type="textLength" errorStyle="warning" operator="lessThanOrEqual">
      <formula1>80</formula1>
    </dataValidation>
    <dataValidation sqref="B69" showDropDown="0" showInputMessage="0" showErrorMessage="1" allowBlank="1" errorTitle="Fora da lista" error="Raça: escolha um valor da lista. A planilha pode não reconhecer outro valor." type="list" errorStyle="warning">
      <formula1>'Dados'!$AR$6:$AR$12</formula1>
    </dataValidation>
    <dataValidation sqref="D69" showDropDown="0" showInputMessage="0" showErrorMessage="1" allowBlank="1" errorTitle="Fora da lista" error="Caminho: escolha um valor da lista. A planilha pode não reconhecer outro valor." type="list" errorStyle="warning">
      <formula1>'Dados'!$BP$6:$BP$15</formula1>
    </dataValidation>
    <dataValidation sqref="F69" showDropDown="0" showInputMessage="0" showErrorMessage="1" allowBlank="1" errorTitle="Fora da lista" error="Papel: escolha um valor da lista. A planilha pode não reconhecer outro valor." type="list" errorStyle="warning">
      <formula1>'Dados'!$BQ$6:$BQ$12</formula1>
    </dataValidation>
    <dataValidation sqref="H69" showDropDown="0" showInputMessage="0" showErrorMessage="1" allowBlank="1" errorTitle="Texto longo" error="Ocupação: até 120 caracteres." type="textLength" errorStyle="warning" operator="lessThanOrEqual">
      <formula1>120</formula1>
    </dataValidation>
    <dataValidation sqref="A70" showDropDown="0" showInputMessage="0" showErrorMessage="1" allowBlank="1" errorTitle="Texto longo" error="Nome completo: até 80 caracteres." type="textLength" errorStyle="warning" operator="lessThanOrEqual">
      <formula1>80</formula1>
    </dataValidation>
    <dataValidation sqref="B70" showDropDown="0" showInputMessage="0" showErrorMessage="1" allowBlank="1" errorTitle="Fora da lista" error="Raça: escolha um valor da lista. A planilha pode não reconhecer outro valor." type="list" errorStyle="warning">
      <formula1>'Dados'!$AR$6:$AR$12</formula1>
    </dataValidation>
    <dataValidation sqref="D70" showDropDown="0" showInputMessage="0" showErrorMessage="1" allowBlank="1" errorTitle="Fora da lista" error="Caminho: escolha um valor da lista. A planilha pode não reconhecer outro valor." type="list" errorStyle="warning">
      <formula1>'Dados'!$BP$6:$BP$15</formula1>
    </dataValidation>
    <dataValidation sqref="F70" showDropDown="0" showInputMessage="0" showErrorMessage="1" allowBlank="1" errorTitle="Fora da lista" error="Papel: escolha um valor da lista. A planilha pode não reconhecer outro valor." type="list" errorStyle="warning">
      <formula1>'Dados'!$BQ$6:$BQ$12</formula1>
    </dataValidation>
    <dataValidation sqref="H70" showDropDown="0" showInputMessage="0" showErrorMessage="1" allowBlank="1" errorTitle="Texto longo" error="Ocupação: até 120 caracteres." type="textLength" errorStyle="warning" operator="lessThanOrEqual">
      <formula1>120</formula1>
    </dataValidation>
    <dataValidation sqref="A71" showDropDown="0" showInputMessage="0" showErrorMessage="1" allowBlank="1" errorTitle="Texto longo" error="Nome completo: até 80 caracteres." type="textLength" errorStyle="warning" operator="lessThanOrEqual">
      <formula1>80</formula1>
    </dataValidation>
    <dataValidation sqref="B71" showDropDown="0" showInputMessage="0" showErrorMessage="1" allowBlank="1" errorTitle="Fora da lista" error="Raça: escolha um valor da lista. A planilha pode não reconhecer outro valor." type="list" errorStyle="warning">
      <formula1>'Dados'!$AR$6:$AR$12</formula1>
    </dataValidation>
    <dataValidation sqref="D71" showDropDown="0" showInputMessage="0" showErrorMessage="1" allowBlank="1" errorTitle="Fora da lista" error="Caminho: escolha um valor da lista. A planilha pode não reconhecer outro valor." type="list" errorStyle="warning">
      <formula1>'Dados'!$BP$6:$BP$15</formula1>
    </dataValidation>
    <dataValidation sqref="F71" showDropDown="0" showInputMessage="0" showErrorMessage="1" allowBlank="1" errorTitle="Fora da lista" error="Papel: escolha um valor da lista. A planilha pode não reconhecer outro valor." type="list" errorStyle="warning">
      <formula1>'Dados'!$BQ$6:$BQ$12</formula1>
    </dataValidation>
    <dataValidation sqref="H71" showDropDown="0" showInputMessage="0" showErrorMessage="1" allowBlank="1" errorTitle="Texto longo" error="Ocupação: até 120 caracteres." type="textLength" errorStyle="warning" operator="lessThanOrEqual">
      <formula1>120</formula1>
    </dataValidation>
    <dataValidation sqref="A72" showDropDown="0" showInputMessage="0" showErrorMessage="1" allowBlank="1" errorTitle="Texto longo" error="Nome completo: até 80 caracteres." type="textLength" errorStyle="warning" operator="lessThanOrEqual">
      <formula1>80</formula1>
    </dataValidation>
    <dataValidation sqref="B72" showDropDown="0" showInputMessage="0" showErrorMessage="1" allowBlank="1" errorTitle="Fora da lista" error="Raça: escolha um valor da lista. A planilha pode não reconhecer outro valor." type="list" errorStyle="warning">
      <formula1>'Dados'!$AR$6:$AR$12</formula1>
    </dataValidation>
    <dataValidation sqref="D72" showDropDown="0" showInputMessage="0" showErrorMessage="1" allowBlank="1" errorTitle="Fora da lista" error="Caminho: escolha um valor da lista. A planilha pode não reconhecer outro valor." type="list" errorStyle="warning">
      <formula1>'Dados'!$BP$6:$BP$15</formula1>
    </dataValidation>
    <dataValidation sqref="F72" showDropDown="0" showInputMessage="0" showErrorMessage="1" allowBlank="1" errorTitle="Fora da lista" error="Papel: escolha um valor da lista. A planilha pode não reconhecer outro valor." type="list" errorStyle="warning">
      <formula1>'Dados'!$BQ$6:$BQ$12</formula1>
    </dataValidation>
    <dataValidation sqref="H72" showDropDown="0" showInputMessage="0" showErrorMessage="1" allowBlank="1" errorTitle="Texto longo" error="Ocupação: até 120 caracteres." type="textLength" errorStyle="warning" operator="lessThanOrEqual">
      <formula1>120</formula1>
    </dataValidation>
    <dataValidation sqref="A73" showDropDown="0" showInputMessage="0" showErrorMessage="1" allowBlank="1" errorTitle="Texto longo" error="Nome completo: até 80 caracteres." type="textLength" errorStyle="warning" operator="lessThanOrEqual">
      <formula1>80</formula1>
    </dataValidation>
    <dataValidation sqref="B73" showDropDown="0" showInputMessage="0" showErrorMessage="1" allowBlank="1" errorTitle="Fora da lista" error="Raça: escolha um valor da lista. A planilha pode não reconhecer outro valor." type="list" errorStyle="warning">
      <formula1>'Dados'!$AR$6:$AR$12</formula1>
    </dataValidation>
    <dataValidation sqref="D73" showDropDown="0" showInputMessage="0" showErrorMessage="1" allowBlank="1" errorTitle="Fora da lista" error="Caminho: escolha um valor da lista. A planilha pode não reconhecer outro valor." type="list" errorStyle="warning">
      <formula1>'Dados'!$BP$6:$BP$15</formula1>
    </dataValidation>
    <dataValidation sqref="F73" showDropDown="0" showInputMessage="0" showErrorMessage="1" allowBlank="1" errorTitle="Fora da lista" error="Papel: escolha um valor da lista. A planilha pode não reconhecer outro valor." type="list" errorStyle="warning">
      <formula1>'Dados'!$BQ$6:$BQ$12</formula1>
    </dataValidation>
    <dataValidation sqref="H73" showDropDown="0" showInputMessage="0" showErrorMessage="1" allowBlank="1" errorTitle="Texto longo" error="Ocupação: até 120 caracteres." type="textLength" errorStyle="warning" operator="lessThanOrEqual">
      <formula1>120</formula1>
    </dataValidation>
    <dataValidation sqref="A74" showDropDown="0" showInputMessage="0" showErrorMessage="1" allowBlank="1" errorTitle="Texto longo" error="Nome completo: até 80 caracteres." type="textLength" errorStyle="warning" operator="lessThanOrEqual">
      <formula1>80</formula1>
    </dataValidation>
    <dataValidation sqref="B74" showDropDown="0" showInputMessage="0" showErrorMessage="1" allowBlank="1" errorTitle="Fora da lista" error="Raça: escolha um valor da lista. A planilha pode não reconhecer outro valor." type="list" errorStyle="warning">
      <formula1>'Dados'!$AR$6:$AR$12</formula1>
    </dataValidation>
    <dataValidation sqref="D74" showDropDown="0" showInputMessage="0" showErrorMessage="1" allowBlank="1" errorTitle="Fora da lista" error="Caminho: escolha um valor da lista. A planilha pode não reconhecer outro valor." type="list" errorStyle="warning">
      <formula1>'Dados'!$BP$6:$BP$15</formula1>
    </dataValidation>
    <dataValidation sqref="F74" showDropDown="0" showInputMessage="0" showErrorMessage="1" allowBlank="1" errorTitle="Fora da lista" error="Papel: escolha um valor da lista. A planilha pode não reconhecer outro valor." type="list" errorStyle="warning">
      <formula1>'Dados'!$BQ$6:$BQ$12</formula1>
    </dataValidation>
    <dataValidation sqref="H74" showDropDown="0" showInputMessage="0" showErrorMessage="1" allowBlank="1" errorTitle="Texto longo" error="Ocupação: até 120 caracteres." type="textLength" errorStyle="warning" operator="lessThanOrEqual">
      <formula1>120</formula1>
    </dataValidation>
    <dataValidation sqref="A75" showDropDown="0" showInputMessage="0" showErrorMessage="1" allowBlank="1" errorTitle="Texto longo" error="Nome completo: até 80 caracteres." type="textLength" errorStyle="warning" operator="lessThanOrEqual">
      <formula1>80</formula1>
    </dataValidation>
    <dataValidation sqref="B75" showDropDown="0" showInputMessage="0" showErrorMessage="1" allowBlank="1" errorTitle="Fora da lista" error="Raça: escolha um valor da lista. A planilha pode não reconhecer outro valor." type="list" errorStyle="warning">
      <formula1>'Dados'!$AR$6:$AR$12</formula1>
    </dataValidation>
    <dataValidation sqref="D75" showDropDown="0" showInputMessage="0" showErrorMessage="1" allowBlank="1" errorTitle="Fora da lista" error="Caminho: escolha um valor da lista. A planilha pode não reconhecer outro valor." type="list" errorStyle="warning">
      <formula1>'Dados'!$BP$6:$BP$15</formula1>
    </dataValidation>
    <dataValidation sqref="F75" showDropDown="0" showInputMessage="0" showErrorMessage="1" allowBlank="1" errorTitle="Fora da lista" error="Papel: escolha um valor da lista. A planilha pode não reconhecer outro valor." type="list" errorStyle="warning">
      <formula1>'Dados'!$BQ$6:$BQ$12</formula1>
    </dataValidation>
    <dataValidation sqref="H75" showDropDown="0" showInputMessage="0" showErrorMessage="1" allowBlank="1" errorTitle="Texto longo" error="Ocupação: até 120 caracteres." type="textLength" errorStyle="warning" operator="lessThanOrEqual">
      <formula1>120</formula1>
    </dataValidation>
    <dataValidation sqref="A76" showDropDown="0" showInputMessage="0" showErrorMessage="1" allowBlank="1" errorTitle="Texto longo" error="Nome completo: até 80 caracteres." type="textLength" errorStyle="warning" operator="lessThanOrEqual">
      <formula1>80</formula1>
    </dataValidation>
    <dataValidation sqref="B76" showDropDown="0" showInputMessage="0" showErrorMessage="1" allowBlank="1" errorTitle="Fora da lista" error="Raça: escolha um valor da lista. A planilha pode não reconhecer outro valor." type="list" errorStyle="warning">
      <formula1>'Dados'!$AR$6:$AR$12</formula1>
    </dataValidation>
    <dataValidation sqref="D76" showDropDown="0" showInputMessage="0" showErrorMessage="1" allowBlank="1" errorTitle="Fora da lista" error="Caminho: escolha um valor da lista. A planilha pode não reconhecer outro valor." type="list" errorStyle="warning">
      <formula1>'Dados'!$BP$6:$BP$15</formula1>
    </dataValidation>
    <dataValidation sqref="F76" showDropDown="0" showInputMessage="0" showErrorMessage="1" allowBlank="1" errorTitle="Fora da lista" error="Papel: escolha um valor da lista. A planilha pode não reconhecer outro valor." type="list" errorStyle="warning">
      <formula1>'Dados'!$BQ$6:$BQ$12</formula1>
    </dataValidation>
    <dataValidation sqref="H76" showDropDown="0" showInputMessage="0" showErrorMessage="1" allowBlank="1" errorTitle="Texto longo" error="Ocupação: até 120 caracteres." type="textLength" errorStyle="warning" operator="lessThanOrEqual">
      <formula1>120</formula1>
    </dataValidation>
    <dataValidation sqref="A77" showDropDown="0" showInputMessage="0" showErrorMessage="1" allowBlank="1" errorTitle="Texto longo" error="Nome completo: até 80 caracteres." type="textLength" errorStyle="warning" operator="lessThanOrEqual">
      <formula1>80</formula1>
    </dataValidation>
    <dataValidation sqref="B77" showDropDown="0" showInputMessage="0" showErrorMessage="1" allowBlank="1" errorTitle="Fora da lista" error="Raça: escolha um valor da lista. A planilha pode não reconhecer outro valor." type="list" errorStyle="warning">
      <formula1>'Dados'!$AR$6:$AR$12</formula1>
    </dataValidation>
    <dataValidation sqref="D77" showDropDown="0" showInputMessage="0" showErrorMessage="1" allowBlank="1" errorTitle="Fora da lista" error="Caminho: escolha um valor da lista. A planilha pode não reconhecer outro valor." type="list" errorStyle="warning">
      <formula1>'Dados'!$BP$6:$BP$15</formula1>
    </dataValidation>
    <dataValidation sqref="F77" showDropDown="0" showInputMessage="0" showErrorMessage="1" allowBlank="1" errorTitle="Fora da lista" error="Papel: escolha um valor da lista. A planilha pode não reconhecer outro valor." type="list" errorStyle="warning">
      <formula1>'Dados'!$BQ$6:$BQ$12</formula1>
    </dataValidation>
    <dataValidation sqref="H77" showDropDown="0" showInputMessage="0" showErrorMessage="1" allowBlank="1" errorTitle="Texto longo" error="Ocupação: até 120 caracteres." type="textLength" errorStyle="warning" operator="lessThanOrEqual">
      <formula1>120</formula1>
    </dataValidation>
    <dataValidation sqref="B80" showDropDown="0" showInputMessage="0" showErrorMessage="1" allowBlank="1" errorTitle="Texto longo" error="Aparência: até 200 caracteres." type="textLength" errorStyle="warning" operator="lessThanOrEqual">
      <formula1>200</formula1>
    </dataValidation>
    <dataValidation sqref="F80" showDropDown="0" showInputMessage="0" showErrorMessage="1" allowBlank="1" errorTitle="Texto longo" error="Personalidade: até 200 caracteres." type="textLength" errorStyle="warning" operator="lessThanOrEqual">
      <formula1>200</formula1>
    </dataValidation>
    <dataValidation sqref="B81" showDropDown="0" showInputMessage="0" showErrorMessage="1" allowBlank="1" errorTitle="Texto longo" error="Aparência: até 200 caracteres." type="textLength" errorStyle="warning" operator="lessThanOrEqual">
      <formula1>200</formula1>
    </dataValidation>
    <dataValidation sqref="F81" showDropDown="0" showInputMessage="0" showErrorMessage="1" allowBlank="1" errorTitle="Texto longo" error="Personalidade: até 200 caracteres." type="textLength" errorStyle="warning" operator="lessThanOrEqual">
      <formula1>200</formula1>
    </dataValidation>
    <dataValidation sqref="B82" showDropDown="0" showInputMessage="0" showErrorMessage="1" allowBlank="1" errorTitle="Texto longo" error="Aparência: até 200 caracteres." type="textLength" errorStyle="warning" operator="lessThanOrEqual">
      <formula1>200</formula1>
    </dataValidation>
    <dataValidation sqref="F82" showDropDown="0" showInputMessage="0" showErrorMessage="1" allowBlank="1" errorTitle="Texto longo" error="Personalidade: até 200 caracteres." type="textLength" errorStyle="warning" operator="lessThanOrEqual">
      <formula1>200</formula1>
    </dataValidation>
    <dataValidation sqref="B83" showDropDown="0" showInputMessage="0" showErrorMessage="1" allowBlank="1" errorTitle="Texto longo" error="Aparência: até 200 caracteres." type="textLength" errorStyle="warning" operator="lessThanOrEqual">
      <formula1>200</formula1>
    </dataValidation>
    <dataValidation sqref="F83" showDropDown="0" showInputMessage="0" showErrorMessage="1" allowBlank="1" errorTitle="Texto longo" error="Personalidade: até 200 caracteres." type="textLength" errorStyle="warning" operator="lessThanOrEqual">
      <formula1>200</formula1>
    </dataValidation>
    <dataValidation sqref="B84" showDropDown="0" showInputMessage="0" showErrorMessage="1" allowBlank="1" errorTitle="Texto longo" error="Aparência: até 200 caracteres." type="textLength" errorStyle="warning" operator="lessThanOrEqual">
      <formula1>200</formula1>
    </dataValidation>
    <dataValidation sqref="F84" showDropDown="0" showInputMessage="0" showErrorMessage="1" allowBlank="1" errorTitle="Texto longo" error="Personalidade: até 200 caracteres." type="textLength" errorStyle="warning" operator="lessThanOrEqual">
      <formula1>200</formula1>
    </dataValidation>
    <dataValidation sqref="B85" showDropDown="0" showInputMessage="0" showErrorMessage="1" allowBlank="1" errorTitle="Texto longo" error="Aparência: até 200 caracteres." type="textLength" errorStyle="warning" operator="lessThanOrEqual">
      <formula1>200</formula1>
    </dataValidation>
    <dataValidation sqref="F85" showDropDown="0" showInputMessage="0" showErrorMessage="1" allowBlank="1" errorTitle="Texto longo" error="Personalidade: até 200 caracteres." type="textLength" errorStyle="warning" operator="lessThanOrEqual">
      <formula1>200</formula1>
    </dataValidation>
    <dataValidation sqref="B86" showDropDown="0" showInputMessage="0" showErrorMessage="1" allowBlank="1" errorTitle="Texto longo" error="Aparência: até 200 caracteres." type="textLength" errorStyle="warning" operator="lessThanOrEqual">
      <formula1>200</formula1>
    </dataValidation>
    <dataValidation sqref="F86" showDropDown="0" showInputMessage="0" showErrorMessage="1" allowBlank="1" errorTitle="Texto longo" error="Personalidade: até 200 caracteres." type="textLength" errorStyle="warning" operator="lessThanOrEqual">
      <formula1>200</formula1>
    </dataValidation>
    <dataValidation sqref="B87" showDropDown="0" showInputMessage="0" showErrorMessage="1" allowBlank="1" errorTitle="Texto longo" error="Aparência: até 200 caracteres." type="textLength" errorStyle="warning" operator="lessThanOrEqual">
      <formula1>200</formula1>
    </dataValidation>
    <dataValidation sqref="F87" showDropDown="0" showInputMessage="0" showErrorMessage="1" allowBlank="1" errorTitle="Texto longo" error="Personalidade: até 200 caracteres." type="textLength" errorStyle="warning" operator="lessThanOrEqual">
      <formula1>200</formula1>
    </dataValidation>
    <dataValidation sqref="B88" showDropDown="0" showInputMessage="0" showErrorMessage="1" allowBlank="1" errorTitle="Texto longo" error="Aparência: até 200 caracteres." type="textLength" errorStyle="warning" operator="lessThanOrEqual">
      <formula1>200</formula1>
    </dataValidation>
    <dataValidation sqref="F88" showDropDown="0" showInputMessage="0" showErrorMessage="1" allowBlank="1" errorTitle="Texto longo" error="Personalidade: até 200 caracteres." type="textLength" errorStyle="warning" operator="lessThanOrEqual">
      <formula1>200</formula1>
    </dataValidation>
    <dataValidation sqref="B89" showDropDown="0" showInputMessage="0" showErrorMessage="1" allowBlank="1" errorTitle="Texto longo" error="Aparência: até 200 caracteres." type="textLength" errorStyle="warning" operator="lessThanOrEqual">
      <formula1>200</formula1>
    </dataValidation>
    <dataValidation sqref="F89" showDropDown="0" showInputMessage="0" showErrorMessage="1" allowBlank="1" errorTitle="Texto longo" error="Personalidade: até 200 caracteres." type="textLength" errorStyle="warning" operator="lessThanOrEqual">
      <formula1>200</formula1>
    </dataValidation>
    <dataValidation sqref="B91" showDropDown="0" showInputMessage="0" showErrorMessage="1" allowBlank="1" errorTitle="Texto longo" error="Aparência: até 200 caracteres." type="textLength" errorStyle="warning" operator="lessThanOrEqual">
      <formula1>200</formula1>
    </dataValidation>
    <dataValidation sqref="F91" showDropDown="0" showInputMessage="0" showErrorMessage="1" allowBlank="1" errorTitle="Texto longo" error="Personalidade: até 200 caracteres." type="textLength" errorStyle="warning" operator="lessThanOrEqual">
      <formula1>200</formula1>
    </dataValidation>
    <dataValidation sqref="B92" showDropDown="0" showInputMessage="0" showErrorMessage="1" allowBlank="1" errorTitle="Texto longo" error="Aparência: até 200 caracteres." type="textLength" errorStyle="warning" operator="lessThanOrEqual">
      <formula1>200</formula1>
    </dataValidation>
    <dataValidation sqref="F92" showDropDown="0" showInputMessage="0" showErrorMessage="1" allowBlank="1" errorTitle="Texto longo" error="Personalidade: até 200 caracteres." type="textLength" errorStyle="warning" operator="lessThanOrEqual">
      <formula1>200</formula1>
    </dataValidation>
    <dataValidation sqref="B93" showDropDown="0" showInputMessage="0" showErrorMessage="1" allowBlank="1" errorTitle="Texto longo" error="Aparência: até 200 caracteres." type="textLength" errorStyle="warning" operator="lessThanOrEqual">
      <formula1>200</formula1>
    </dataValidation>
    <dataValidation sqref="F93" showDropDown="0" showInputMessage="0" showErrorMessage="1" allowBlank="1" errorTitle="Texto longo" error="Personalidade: até 200 caracteres." type="textLength" errorStyle="warning" operator="lessThanOrEqual">
      <formula1>200</formula1>
    </dataValidation>
    <dataValidation sqref="B94" showDropDown="0" showInputMessage="0" showErrorMessage="1" allowBlank="1" errorTitle="Texto longo" error="Aparência: até 200 caracteres." type="textLength" errorStyle="warning" operator="lessThanOrEqual">
      <formula1>200</formula1>
    </dataValidation>
    <dataValidation sqref="F94" showDropDown="0" showInputMessage="0" showErrorMessage="1" allowBlank="1" errorTitle="Texto longo" error="Personalidade: até 200 caracteres." type="textLength" errorStyle="warning" operator="lessThanOrEqual">
      <formula1>200</formula1>
    </dataValidation>
    <dataValidation sqref="B95" showDropDown="0" showInputMessage="0" showErrorMessage="1" allowBlank="1" errorTitle="Texto longo" error="Aparência: até 200 caracteres." type="textLength" errorStyle="warning" operator="lessThanOrEqual">
      <formula1>200</formula1>
    </dataValidation>
    <dataValidation sqref="F95" showDropDown="0" showInputMessage="0" showErrorMessage="1" allowBlank="1" errorTitle="Texto longo" error="Personalidade: até 200 caracteres." type="textLength" errorStyle="warning" operator="lessThanOrEqual">
      <formula1>200</formula1>
    </dataValidation>
    <dataValidation sqref="B96" showDropDown="0" showInputMessage="0" showErrorMessage="1" allowBlank="1" errorTitle="Texto longo" error="Aparência: até 200 caracteres." type="textLength" errorStyle="warning" operator="lessThanOrEqual">
      <formula1>200</formula1>
    </dataValidation>
    <dataValidation sqref="F96" showDropDown="0" showInputMessage="0" showErrorMessage="1" allowBlank="1" errorTitle="Texto longo" error="Personalidade: até 200 caracteres." type="textLength" errorStyle="warning" operator="lessThanOrEqual">
      <formula1>200</formula1>
    </dataValidation>
    <dataValidation sqref="B97" showDropDown="0" showInputMessage="0" showErrorMessage="1" allowBlank="1" errorTitle="Texto longo" error="Aparência: até 200 caracteres." type="textLength" errorStyle="warning" operator="lessThanOrEqual">
      <formula1>200</formula1>
    </dataValidation>
    <dataValidation sqref="F97" showDropDown="0" showInputMessage="0" showErrorMessage="1" allowBlank="1" errorTitle="Texto longo" error="Personalidade: até 200 caracteres." type="textLength" errorStyle="warning" operator="lessThanOrEqual">
      <formula1>200</formula1>
    </dataValidation>
    <dataValidation sqref="B98" showDropDown="0" showInputMessage="0" showErrorMessage="1" allowBlank="1" errorTitle="Texto longo" error="Aparência: até 200 caracteres." type="textLength" errorStyle="warning" operator="lessThanOrEqual">
      <formula1>200</formula1>
    </dataValidation>
    <dataValidation sqref="F98" showDropDown="0" showInputMessage="0" showErrorMessage="1" allowBlank="1" errorTitle="Texto longo" error="Personalidade: até 200 caracteres." type="textLength" errorStyle="warning" operator="lessThanOrEqual">
      <formula1>200</formula1>
    </dataValidation>
    <dataValidation sqref="B99" showDropDown="0" showInputMessage="0" showErrorMessage="1" allowBlank="1" errorTitle="Texto longo" error="Aparência: até 200 caracteres." type="textLength" errorStyle="warning" operator="lessThanOrEqual">
      <formula1>200</formula1>
    </dataValidation>
    <dataValidation sqref="F99" showDropDown="0" showInputMessage="0" showErrorMessage="1" allowBlank="1" errorTitle="Texto longo" error="Personalidade: até 200 caracteres." type="textLength" errorStyle="warning" operator="lessThanOrEqual">
      <formula1>200</formula1>
    </dataValidation>
    <dataValidation sqref="B100" showDropDown="0" showInputMessage="0" showErrorMessage="1" allowBlank="1" errorTitle="Texto longo" error="Aparência: até 200 caracteres." type="textLength" errorStyle="warning" operator="lessThanOrEqual">
      <formula1>200</formula1>
    </dataValidation>
    <dataValidation sqref="F100" showDropDown="0" showInputMessage="0" showErrorMessage="1" allowBlank="1" errorTitle="Texto longo" error="Personalidade: até 200 caracteres." type="textLength" errorStyle="warning" operator="lessThanOrEqual">
      <formula1>200</formula1>
    </dataValidation>
    <dataValidation sqref="B102" showDropDown="0" showInputMessage="0" showErrorMessage="1" allowBlank="1" errorTitle="Texto longo" error="Aparência: até 200 caracteres." type="textLength" errorStyle="warning" operator="lessThanOrEqual">
      <formula1>200</formula1>
    </dataValidation>
    <dataValidation sqref="F102" showDropDown="0" showInputMessage="0" showErrorMessage="1" allowBlank="1" errorTitle="Texto longo" error="Personalidade: até 200 caracteres." type="textLength" errorStyle="warning" operator="lessThanOrEqual">
      <formula1>200</formula1>
    </dataValidation>
    <dataValidation sqref="B103" showDropDown="0" showInputMessage="0" showErrorMessage="1" allowBlank="1" errorTitle="Texto longo" error="Aparência: até 200 caracteres." type="textLength" errorStyle="warning" operator="lessThanOrEqual">
      <formula1>200</formula1>
    </dataValidation>
    <dataValidation sqref="F103" showDropDown="0" showInputMessage="0" showErrorMessage="1" allowBlank="1" errorTitle="Texto longo" error="Personalidade: até 200 caracteres." type="textLength" errorStyle="warning" operator="lessThanOrEqual">
      <formula1>200</formula1>
    </dataValidation>
    <dataValidation sqref="B104" showDropDown="0" showInputMessage="0" showErrorMessage="1" allowBlank="1" errorTitle="Texto longo" error="Aparência: até 200 caracteres." type="textLength" errorStyle="warning" operator="lessThanOrEqual">
      <formula1>200</formula1>
    </dataValidation>
    <dataValidation sqref="F104" showDropDown="0" showInputMessage="0" showErrorMessage="1" allowBlank="1" errorTitle="Texto longo" error="Personalidade: até 200 caracteres." type="textLength" errorStyle="warning" operator="lessThanOrEqual">
      <formula1>200</formula1>
    </dataValidation>
    <dataValidation sqref="B105" showDropDown="0" showInputMessage="0" showErrorMessage="1" allowBlank="1" errorTitle="Texto longo" error="Aparência: até 200 caracteres." type="textLength" errorStyle="warning" operator="lessThanOrEqual">
      <formula1>200</formula1>
    </dataValidation>
    <dataValidation sqref="F105" showDropDown="0" showInputMessage="0" showErrorMessage="1" allowBlank="1" errorTitle="Texto longo" error="Personalidade: até 200 caracteres." type="textLength" errorStyle="warning" operator="lessThanOrEqual">
      <formula1>200</formula1>
    </dataValidation>
    <dataValidation sqref="B106" showDropDown="0" showInputMessage="0" showErrorMessage="1" allowBlank="1" errorTitle="Texto longo" error="Aparência: até 200 caracteres." type="textLength" errorStyle="warning" operator="lessThanOrEqual">
      <formula1>200</formula1>
    </dataValidation>
    <dataValidation sqref="F106" showDropDown="0" showInputMessage="0" showErrorMessage="1" allowBlank="1" errorTitle="Texto longo" error="Personalidade: até 200 caracteres." type="textLength" errorStyle="warning" operator="lessThanOrEqual">
      <formula1>200</formula1>
    </dataValidation>
    <dataValidation sqref="B107" showDropDown="0" showInputMessage="0" showErrorMessage="1" allowBlank="1" errorTitle="Texto longo" error="Aparência: até 200 caracteres." type="textLength" errorStyle="warning" operator="lessThanOrEqual">
      <formula1>200</formula1>
    </dataValidation>
    <dataValidation sqref="F107" showDropDown="0" showInputMessage="0" showErrorMessage="1" allowBlank="1" errorTitle="Texto longo" error="Personalidade: até 200 caracteres." type="textLength" errorStyle="warning" operator="lessThanOrEqual">
      <formula1>200</formula1>
    </dataValidation>
    <dataValidation sqref="B108" showDropDown="0" showInputMessage="0" showErrorMessage="1" allowBlank="1" errorTitle="Texto longo" error="Aparência: até 200 caracteres." type="textLength" errorStyle="warning" operator="lessThanOrEqual">
      <formula1>200</formula1>
    </dataValidation>
    <dataValidation sqref="F108" showDropDown="0" showInputMessage="0" showErrorMessage="1" allowBlank="1" errorTitle="Texto longo" error="Personalidade: até 200 caracteres." type="textLength" errorStyle="warning" operator="lessThanOrEqual">
      <formula1>200</formula1>
    </dataValidation>
    <dataValidation sqref="B109" showDropDown="0" showInputMessage="0" showErrorMessage="1" allowBlank="1" errorTitle="Texto longo" error="Aparência: até 200 caracteres." type="textLength" errorStyle="warning" operator="lessThanOrEqual">
      <formula1>200</formula1>
    </dataValidation>
    <dataValidation sqref="F109" showDropDown="0" showInputMessage="0" showErrorMessage="1" allowBlank="1" errorTitle="Texto longo" error="Personalidade: até 200 caracteres." type="textLength" errorStyle="warning" operator="lessThanOrEqual">
      <formula1>200</formula1>
    </dataValidation>
    <dataValidation sqref="B110" showDropDown="0" showInputMessage="0" showErrorMessage="1" allowBlank="1" errorTitle="Texto longo" error="Aparência: até 200 caracteres." type="textLength" errorStyle="warning" operator="lessThanOrEqual">
      <formula1>200</formula1>
    </dataValidation>
    <dataValidation sqref="F110" showDropDown="0" showInputMessage="0" showErrorMessage="1" allowBlank="1" errorTitle="Texto longo" error="Personalidade: até 200 caracteres." type="textLength" errorStyle="warning" operator="lessThanOrEqual">
      <formula1>200</formula1>
    </dataValidation>
    <dataValidation sqref="B111" showDropDown="0" showInputMessage="0" showErrorMessage="1" allowBlank="1" errorTitle="Texto longo" error="Aparência: até 200 caracteres." type="textLength" errorStyle="warning" operator="lessThanOrEqual">
      <formula1>200</formula1>
    </dataValidation>
    <dataValidation sqref="F111" showDropDown="0" showInputMessage="0" showErrorMessage="1" allowBlank="1" errorTitle="Texto longo" error="Personalidade: até 200 caracteres." type="textLength" errorStyle="warning" operator="lessThanOrEqual">
      <formula1>200</formula1>
    </dataValidation>
    <dataValidation sqref="B114" showDropDown="0" showInputMessage="0" showErrorMessage="1" allowBlank="1" errorTitle="Texto longo" error="Motivação: até 200 caracteres." type="textLength" errorStyle="warning" operator="lessThanOrEqual">
      <formula1>200</formula1>
    </dataValidation>
    <dataValidation sqref="F114" showDropDown="0" showInputMessage="0" showErrorMessage="1" allowBlank="1" errorTitle="Texto longo" error="Segredo: até 200 caracteres." type="textLength" errorStyle="warning" operator="lessThanOrEqual">
      <formula1>200</formula1>
    </dataValidation>
    <dataValidation sqref="B115" showDropDown="0" showInputMessage="0" showErrorMessage="1" allowBlank="1" errorTitle="Texto longo" error="Motivação: até 200 caracteres." type="textLength" errorStyle="warning" operator="lessThanOrEqual">
      <formula1>200</formula1>
    </dataValidation>
    <dataValidation sqref="F115" showDropDown="0" showInputMessage="0" showErrorMessage="1" allowBlank="1" errorTitle="Texto longo" error="Segredo: até 200 caracteres." type="textLength" errorStyle="warning" operator="lessThanOrEqual">
      <formula1>200</formula1>
    </dataValidation>
    <dataValidation sqref="B116" showDropDown="0" showInputMessage="0" showErrorMessage="1" allowBlank="1" errorTitle="Texto longo" error="Motivação: até 200 caracteres." type="textLength" errorStyle="warning" operator="lessThanOrEqual">
      <formula1>200</formula1>
    </dataValidation>
    <dataValidation sqref="F116" showDropDown="0" showInputMessage="0" showErrorMessage="1" allowBlank="1" errorTitle="Texto longo" error="Segredo: até 200 caracteres." type="textLength" errorStyle="warning" operator="lessThanOrEqual">
      <formula1>200</formula1>
    </dataValidation>
    <dataValidation sqref="B117" showDropDown="0" showInputMessage="0" showErrorMessage="1" allowBlank="1" errorTitle="Texto longo" error="Motivação: até 200 caracteres." type="textLength" errorStyle="warning" operator="lessThanOrEqual">
      <formula1>200</formula1>
    </dataValidation>
    <dataValidation sqref="F117" showDropDown="0" showInputMessage="0" showErrorMessage="1" allowBlank="1" errorTitle="Texto longo" error="Segredo: até 200 caracteres." type="textLength" errorStyle="warning" operator="lessThanOrEqual">
      <formula1>200</formula1>
    </dataValidation>
    <dataValidation sqref="B118" showDropDown="0" showInputMessage="0" showErrorMessage="1" allowBlank="1" errorTitle="Texto longo" error="Motivação: até 200 caracteres." type="textLength" errorStyle="warning" operator="lessThanOrEqual">
      <formula1>200</formula1>
    </dataValidation>
    <dataValidation sqref="F118" showDropDown="0" showInputMessage="0" showErrorMessage="1" allowBlank="1" errorTitle="Texto longo" error="Segredo: até 200 caracteres." type="textLength" errorStyle="warning" operator="lessThanOrEqual">
      <formula1>200</formula1>
    </dataValidation>
    <dataValidation sqref="B119" showDropDown="0" showInputMessage="0" showErrorMessage="1" allowBlank="1" errorTitle="Texto longo" error="Motivação: até 200 caracteres." type="textLength" errorStyle="warning" operator="lessThanOrEqual">
      <formula1>200</formula1>
    </dataValidation>
    <dataValidation sqref="F119" showDropDown="0" showInputMessage="0" showErrorMessage="1" allowBlank="1" errorTitle="Texto longo" error="Segredo: até 200 caracteres." type="textLength" errorStyle="warning" operator="lessThanOrEqual">
      <formula1>200</formula1>
    </dataValidation>
    <dataValidation sqref="B120" showDropDown="0" showInputMessage="0" showErrorMessage="1" allowBlank="1" errorTitle="Texto longo" error="Motivação: até 200 caracteres." type="textLength" errorStyle="warning" operator="lessThanOrEqual">
      <formula1>200</formula1>
    </dataValidation>
    <dataValidation sqref="F120" showDropDown="0" showInputMessage="0" showErrorMessage="1" allowBlank="1" errorTitle="Texto longo" error="Segredo: até 200 caracteres." type="textLength" errorStyle="warning" operator="lessThanOrEqual">
      <formula1>200</formula1>
    </dataValidation>
    <dataValidation sqref="B121" showDropDown="0" showInputMessage="0" showErrorMessage="1" allowBlank="1" errorTitle="Texto longo" error="Motivação: até 200 caracteres." type="textLength" errorStyle="warning" operator="lessThanOrEqual">
      <formula1>200</formula1>
    </dataValidation>
    <dataValidation sqref="F121" showDropDown="0" showInputMessage="0" showErrorMessage="1" allowBlank="1" errorTitle="Texto longo" error="Segredo: até 200 caracteres." type="textLength" errorStyle="warning" operator="lessThanOrEqual">
      <formula1>200</formula1>
    </dataValidation>
    <dataValidation sqref="B122" showDropDown="0" showInputMessage="0" showErrorMessage="1" allowBlank="1" errorTitle="Texto longo" error="Motivação: até 200 caracteres." type="textLength" errorStyle="warning" operator="lessThanOrEqual">
      <formula1>200</formula1>
    </dataValidation>
    <dataValidation sqref="F122" showDropDown="0" showInputMessage="0" showErrorMessage="1" allowBlank="1" errorTitle="Texto longo" error="Segredo: até 200 caracteres." type="textLength" errorStyle="warning" operator="lessThanOrEqual">
      <formula1>200</formula1>
    </dataValidation>
    <dataValidation sqref="B123" showDropDown="0" showInputMessage="0" showErrorMessage="1" allowBlank="1" errorTitle="Texto longo" error="Motivação: até 200 caracteres." type="textLength" errorStyle="warning" operator="lessThanOrEqual">
      <formula1>200</formula1>
    </dataValidation>
    <dataValidation sqref="F123" showDropDown="0" showInputMessage="0" showErrorMessage="1" allowBlank="1" errorTitle="Texto longo" error="Segredo: até 200 caracteres." type="textLength" errorStyle="warning" operator="lessThanOrEqual">
      <formula1>200</formula1>
    </dataValidation>
    <dataValidation sqref="B125" showDropDown="0" showInputMessage="0" showErrorMessage="1" allowBlank="1" errorTitle="Texto longo" error="Motivação: até 200 caracteres." type="textLength" errorStyle="warning" operator="lessThanOrEqual">
      <formula1>200</formula1>
    </dataValidation>
    <dataValidation sqref="F125" showDropDown="0" showInputMessage="0" showErrorMessage="1" allowBlank="1" errorTitle="Texto longo" error="Segredo: até 200 caracteres." type="textLength" errorStyle="warning" operator="lessThanOrEqual">
      <formula1>200</formula1>
    </dataValidation>
    <dataValidation sqref="B126" showDropDown="0" showInputMessage="0" showErrorMessage="1" allowBlank="1" errorTitle="Texto longo" error="Motivação: até 200 caracteres." type="textLength" errorStyle="warning" operator="lessThanOrEqual">
      <formula1>200</formula1>
    </dataValidation>
    <dataValidation sqref="F126" showDropDown="0" showInputMessage="0" showErrorMessage="1" allowBlank="1" errorTitle="Texto longo" error="Segredo: até 200 caracteres." type="textLength" errorStyle="warning" operator="lessThanOrEqual">
      <formula1>200</formula1>
    </dataValidation>
    <dataValidation sqref="B127" showDropDown="0" showInputMessage="0" showErrorMessage="1" allowBlank="1" errorTitle="Texto longo" error="Motivação: até 200 caracteres." type="textLength" errorStyle="warning" operator="lessThanOrEqual">
      <formula1>200</formula1>
    </dataValidation>
    <dataValidation sqref="F127" showDropDown="0" showInputMessage="0" showErrorMessage="1" allowBlank="1" errorTitle="Texto longo" error="Segredo: até 200 caracteres." type="textLength" errorStyle="warning" operator="lessThanOrEqual">
      <formula1>200</formula1>
    </dataValidation>
    <dataValidation sqref="B128" showDropDown="0" showInputMessage="0" showErrorMessage="1" allowBlank="1" errorTitle="Texto longo" error="Motivação: até 200 caracteres." type="textLength" errorStyle="warning" operator="lessThanOrEqual">
      <formula1>200</formula1>
    </dataValidation>
    <dataValidation sqref="F128" showDropDown="0" showInputMessage="0" showErrorMessage="1" allowBlank="1" errorTitle="Texto longo" error="Segredo: até 200 caracteres." type="textLength" errorStyle="warning" operator="lessThanOrEqual">
      <formula1>200</formula1>
    </dataValidation>
    <dataValidation sqref="B129" showDropDown="0" showInputMessage="0" showErrorMessage="1" allowBlank="1" errorTitle="Texto longo" error="Motivação: até 200 caracteres." type="textLength" errorStyle="warning" operator="lessThanOrEqual">
      <formula1>200</formula1>
    </dataValidation>
    <dataValidation sqref="F129" showDropDown="0" showInputMessage="0" showErrorMessage="1" allowBlank="1" errorTitle="Texto longo" error="Segredo: até 200 caracteres." type="textLength" errorStyle="warning" operator="lessThanOrEqual">
      <formula1>200</formula1>
    </dataValidation>
    <dataValidation sqref="B130" showDropDown="0" showInputMessage="0" showErrorMessage="1" allowBlank="1" errorTitle="Texto longo" error="Motivação: até 200 caracteres." type="textLength" errorStyle="warning" operator="lessThanOrEqual">
      <formula1>200</formula1>
    </dataValidation>
    <dataValidation sqref="F130" showDropDown="0" showInputMessage="0" showErrorMessage="1" allowBlank="1" errorTitle="Texto longo" error="Segredo: até 200 caracteres." type="textLength" errorStyle="warning" operator="lessThanOrEqual">
      <formula1>200</formula1>
    </dataValidation>
    <dataValidation sqref="B131" showDropDown="0" showInputMessage="0" showErrorMessage="1" allowBlank="1" errorTitle="Texto longo" error="Motivação: até 200 caracteres." type="textLength" errorStyle="warning" operator="lessThanOrEqual">
      <formula1>200</formula1>
    </dataValidation>
    <dataValidation sqref="F131" showDropDown="0" showInputMessage="0" showErrorMessage="1" allowBlank="1" errorTitle="Texto longo" error="Segredo: até 200 caracteres." type="textLength" errorStyle="warning" operator="lessThanOrEqual">
      <formula1>200</formula1>
    </dataValidation>
    <dataValidation sqref="B132" showDropDown="0" showInputMessage="0" showErrorMessage="1" allowBlank="1" errorTitle="Texto longo" error="Motivação: até 200 caracteres." type="textLength" errorStyle="warning" operator="lessThanOrEqual">
      <formula1>200</formula1>
    </dataValidation>
    <dataValidation sqref="F132" showDropDown="0" showInputMessage="0" showErrorMessage="1" allowBlank="1" errorTitle="Texto longo" error="Segredo: até 200 caracteres." type="textLength" errorStyle="warning" operator="lessThanOrEqual">
      <formula1>200</formula1>
    </dataValidation>
    <dataValidation sqref="B133" showDropDown="0" showInputMessage="0" showErrorMessage="1" allowBlank="1" errorTitle="Texto longo" error="Motivação: até 200 caracteres." type="textLength" errorStyle="warning" operator="lessThanOrEqual">
      <formula1>200</formula1>
    </dataValidation>
    <dataValidation sqref="F133" showDropDown="0" showInputMessage="0" showErrorMessage="1" allowBlank="1" errorTitle="Texto longo" error="Segredo: até 200 caracteres." type="textLength" errorStyle="warning" operator="lessThanOrEqual">
      <formula1>200</formula1>
    </dataValidation>
    <dataValidation sqref="B134" showDropDown="0" showInputMessage="0" showErrorMessage="1" allowBlank="1" errorTitle="Texto longo" error="Motivação: até 200 caracteres." type="textLength" errorStyle="warning" operator="lessThanOrEqual">
      <formula1>200</formula1>
    </dataValidation>
    <dataValidation sqref="F134" showDropDown="0" showInputMessage="0" showErrorMessage="1" allowBlank="1" errorTitle="Texto longo" error="Segredo: até 200 caracteres." type="textLength" errorStyle="warning" operator="lessThanOrEqual">
      <formula1>200</formula1>
    </dataValidation>
    <dataValidation sqref="B136" showDropDown="0" showInputMessage="0" showErrorMessage="1" allowBlank="1" errorTitle="Texto longo" error="Motivação: até 200 caracteres." type="textLength" errorStyle="warning" operator="lessThanOrEqual">
      <formula1>200</formula1>
    </dataValidation>
    <dataValidation sqref="F136" showDropDown="0" showInputMessage="0" showErrorMessage="1" allowBlank="1" errorTitle="Texto longo" error="Segredo: até 200 caracteres." type="textLength" errorStyle="warning" operator="lessThanOrEqual">
      <formula1>200</formula1>
    </dataValidation>
    <dataValidation sqref="B137" showDropDown="0" showInputMessage="0" showErrorMessage="1" allowBlank="1" errorTitle="Texto longo" error="Motivação: até 200 caracteres." type="textLength" errorStyle="warning" operator="lessThanOrEqual">
      <formula1>200</formula1>
    </dataValidation>
    <dataValidation sqref="F137" showDropDown="0" showInputMessage="0" showErrorMessage="1" allowBlank="1" errorTitle="Texto longo" error="Segredo: até 200 caracteres." type="textLength" errorStyle="warning" operator="lessThanOrEqual">
      <formula1>200</formula1>
    </dataValidation>
    <dataValidation sqref="B138" showDropDown="0" showInputMessage="0" showErrorMessage="1" allowBlank="1" errorTitle="Texto longo" error="Motivação: até 200 caracteres." type="textLength" errorStyle="warning" operator="lessThanOrEqual">
      <formula1>200</formula1>
    </dataValidation>
    <dataValidation sqref="F138" showDropDown="0" showInputMessage="0" showErrorMessage="1" allowBlank="1" errorTitle="Texto longo" error="Segredo: até 200 caracteres." type="textLength" errorStyle="warning" operator="lessThanOrEqual">
      <formula1>200</formula1>
    </dataValidation>
    <dataValidation sqref="B139" showDropDown="0" showInputMessage="0" showErrorMessage="1" allowBlank="1" errorTitle="Texto longo" error="Motivação: até 200 caracteres." type="textLength" errorStyle="warning" operator="lessThanOrEqual">
      <formula1>200</formula1>
    </dataValidation>
    <dataValidation sqref="F139" showDropDown="0" showInputMessage="0" showErrorMessage="1" allowBlank="1" errorTitle="Texto longo" error="Segredo: até 200 caracteres." type="textLength" errorStyle="warning" operator="lessThanOrEqual">
      <formula1>200</formula1>
    </dataValidation>
    <dataValidation sqref="B140" showDropDown="0" showInputMessage="0" showErrorMessage="1" allowBlank="1" errorTitle="Texto longo" error="Motivação: até 200 caracteres." type="textLength" errorStyle="warning" operator="lessThanOrEqual">
      <formula1>200</formula1>
    </dataValidation>
    <dataValidation sqref="F140" showDropDown="0" showInputMessage="0" showErrorMessage="1" allowBlank="1" errorTitle="Texto longo" error="Segredo: até 200 caracteres." type="textLength" errorStyle="warning" operator="lessThanOrEqual">
      <formula1>200</formula1>
    </dataValidation>
    <dataValidation sqref="B141" showDropDown="0" showInputMessage="0" showErrorMessage="1" allowBlank="1" errorTitle="Texto longo" error="Motivação: até 200 caracteres." type="textLength" errorStyle="warning" operator="lessThanOrEqual">
      <formula1>200</formula1>
    </dataValidation>
    <dataValidation sqref="F141" showDropDown="0" showInputMessage="0" showErrorMessage="1" allowBlank="1" errorTitle="Texto longo" error="Segredo: até 200 caracteres." type="textLength" errorStyle="warning" operator="lessThanOrEqual">
      <formula1>200</formula1>
    </dataValidation>
    <dataValidation sqref="B142" showDropDown="0" showInputMessage="0" showErrorMessage="1" allowBlank="1" errorTitle="Texto longo" error="Motivação: até 200 caracteres." type="textLength" errorStyle="warning" operator="lessThanOrEqual">
      <formula1>200</formula1>
    </dataValidation>
    <dataValidation sqref="F142" showDropDown="0" showInputMessage="0" showErrorMessage="1" allowBlank="1" errorTitle="Texto longo" error="Segredo: até 200 caracteres." type="textLength" errorStyle="warning" operator="lessThanOrEqual">
      <formula1>200</formula1>
    </dataValidation>
    <dataValidation sqref="B143" showDropDown="0" showInputMessage="0" showErrorMessage="1" allowBlank="1" errorTitle="Texto longo" error="Motivação: até 200 caracteres." type="textLength" errorStyle="warning" operator="lessThanOrEqual">
      <formula1>200</formula1>
    </dataValidation>
    <dataValidation sqref="F143" showDropDown="0" showInputMessage="0" showErrorMessage="1" allowBlank="1" errorTitle="Texto longo" error="Segredo: até 200 caracteres." type="textLength" errorStyle="warning" operator="lessThanOrEqual">
      <formula1>200</formula1>
    </dataValidation>
    <dataValidation sqref="B144" showDropDown="0" showInputMessage="0" showErrorMessage="1" allowBlank="1" errorTitle="Texto longo" error="Motivação: até 200 caracteres." type="textLength" errorStyle="warning" operator="lessThanOrEqual">
      <formula1>200</formula1>
    </dataValidation>
    <dataValidation sqref="F144" showDropDown="0" showInputMessage="0" showErrorMessage="1" allowBlank="1" errorTitle="Texto longo" error="Segredo: até 200 caracteres." type="textLength" errorStyle="warning" operator="lessThanOrEqual">
      <formula1>200</formula1>
    </dataValidation>
    <dataValidation sqref="B145" showDropDown="0" showInputMessage="0" showErrorMessage="1" allowBlank="1" errorTitle="Texto longo" error="Motivação: até 200 caracteres." type="textLength" errorStyle="warning" operator="lessThanOrEqual">
      <formula1>200</formula1>
    </dataValidation>
    <dataValidation sqref="F145" showDropDown="0" showInputMessage="0" showErrorMessage="1" allowBlank="1" errorTitle="Texto longo" error="Segredo: até 200 caracteres." type="textLength" errorStyle="warning" operator="lessThanOrEqual">
      <formula1>200</formula1>
    </dataValidation>
    <dataValidation sqref="B148" showDropDown="0" showInputMessage="0" showErrorMessage="1" allowBlank="1" errorTitle="Texto longo" error="Maneirismo e voz: até 200 caracteres." type="textLength" errorStyle="warning" operator="lessThanOrEqual">
      <formula1>200</formula1>
    </dataValidation>
    <dataValidation sqref="E148" showDropDown="0" showInputMessage="0" showErrorMessage="1" allowBlank="1" errorTitle="Fora da lista" error="Atitude: escolha um valor da lista. A planilha pode não reconhecer outro valor." type="list" errorStyle="warning">
      <formula1>$AT$10:$AT$109</formula1>
    </dataValidation>
    <dataValidation sqref="G148" showDropDown="0" showInputMessage="0" showErrorMessage="1" allowBlank="1" errorTitle="Texto longo" error="Gancho: até 200 caracteres." type="textLength" errorStyle="warning" operator="lessThanOrEqual">
      <formula1>200</formula1>
    </dataValidation>
    <dataValidation sqref="B149" showDropDown="0" showInputMessage="0" showErrorMessage="1" allowBlank="1" errorTitle="Texto longo" error="Maneirismo e voz: até 200 caracteres." type="textLength" errorStyle="warning" operator="lessThanOrEqual">
      <formula1>200</formula1>
    </dataValidation>
    <dataValidation sqref="E149" showDropDown="0" showInputMessage="0" showErrorMessage="1" allowBlank="1" errorTitle="Fora da lista" error="Atitude: escolha um valor da lista. A planilha pode não reconhecer outro valor." type="list" errorStyle="warning">
      <formula1>$AT$10:$AT$109</formula1>
    </dataValidation>
    <dataValidation sqref="G149" showDropDown="0" showInputMessage="0" showErrorMessage="1" allowBlank="1" errorTitle="Texto longo" error="Gancho: até 200 caracteres." type="textLength" errorStyle="warning" operator="lessThanOrEqual">
      <formula1>200</formula1>
    </dataValidation>
    <dataValidation sqref="B150" showDropDown="0" showInputMessage="0" showErrorMessage="1" allowBlank="1" errorTitle="Texto longo" error="Maneirismo e voz: até 200 caracteres." type="textLength" errorStyle="warning" operator="lessThanOrEqual">
      <formula1>200</formula1>
    </dataValidation>
    <dataValidation sqref="E150" showDropDown="0" showInputMessage="0" showErrorMessage="1" allowBlank="1" errorTitle="Fora da lista" error="Atitude: escolha um valor da lista. A planilha pode não reconhecer outro valor." type="list" errorStyle="warning">
      <formula1>$AT$10:$AT$109</formula1>
    </dataValidation>
    <dataValidation sqref="G150" showDropDown="0" showInputMessage="0" showErrorMessage="1" allowBlank="1" errorTitle="Texto longo" error="Gancho: até 200 caracteres." type="textLength" errorStyle="warning" operator="lessThanOrEqual">
      <formula1>200</formula1>
    </dataValidation>
    <dataValidation sqref="B151" showDropDown="0" showInputMessage="0" showErrorMessage="1" allowBlank="1" errorTitle="Texto longo" error="Maneirismo e voz: até 200 caracteres." type="textLength" errorStyle="warning" operator="lessThanOrEqual">
      <formula1>200</formula1>
    </dataValidation>
    <dataValidation sqref="E151" showDropDown="0" showInputMessage="0" showErrorMessage="1" allowBlank="1" errorTitle="Fora da lista" error="Atitude: escolha um valor da lista. A planilha pode não reconhecer outro valor." type="list" errorStyle="warning">
      <formula1>$AT$10:$AT$109</formula1>
    </dataValidation>
    <dataValidation sqref="G151" showDropDown="0" showInputMessage="0" showErrorMessage="1" allowBlank="1" errorTitle="Texto longo" error="Gancho: até 200 caracteres." type="textLength" errorStyle="warning" operator="lessThanOrEqual">
      <formula1>200</formula1>
    </dataValidation>
    <dataValidation sqref="B152" showDropDown="0" showInputMessage="0" showErrorMessage="1" allowBlank="1" errorTitle="Texto longo" error="Maneirismo e voz: até 200 caracteres." type="textLength" errorStyle="warning" operator="lessThanOrEqual">
      <formula1>200</formula1>
    </dataValidation>
    <dataValidation sqref="E152" showDropDown="0" showInputMessage="0" showErrorMessage="1" allowBlank="1" errorTitle="Fora da lista" error="Atitude: escolha um valor da lista. A planilha pode não reconhecer outro valor." type="list" errorStyle="warning">
      <formula1>$AT$10:$AT$109</formula1>
    </dataValidation>
    <dataValidation sqref="G152" showDropDown="0" showInputMessage="0" showErrorMessage="1" allowBlank="1" errorTitle="Texto longo" error="Gancho: até 200 caracteres." type="textLength" errorStyle="warning" operator="lessThanOrEqual">
      <formula1>200</formula1>
    </dataValidation>
    <dataValidation sqref="B153" showDropDown="0" showInputMessage="0" showErrorMessage="1" allowBlank="1" errorTitle="Texto longo" error="Maneirismo e voz: até 200 caracteres." type="textLength" errorStyle="warning" operator="lessThanOrEqual">
      <formula1>200</formula1>
    </dataValidation>
    <dataValidation sqref="E153" showDropDown="0" showInputMessage="0" showErrorMessage="1" allowBlank="1" errorTitle="Fora da lista" error="Atitude: escolha um valor da lista. A planilha pode não reconhecer outro valor." type="list" errorStyle="warning">
      <formula1>$AT$10:$AT$109</formula1>
    </dataValidation>
    <dataValidation sqref="G153" showDropDown="0" showInputMessage="0" showErrorMessage="1" allowBlank="1" errorTitle="Texto longo" error="Gancho: até 200 caracteres." type="textLength" errorStyle="warning" operator="lessThanOrEqual">
      <formula1>200</formula1>
    </dataValidation>
    <dataValidation sqref="B154" showDropDown="0" showInputMessage="0" showErrorMessage="1" allowBlank="1" errorTitle="Texto longo" error="Maneirismo e voz: até 200 caracteres." type="textLength" errorStyle="warning" operator="lessThanOrEqual">
      <formula1>200</formula1>
    </dataValidation>
    <dataValidation sqref="E154" showDropDown="0" showInputMessage="0" showErrorMessage="1" allowBlank="1" errorTitle="Fora da lista" error="Atitude: escolha um valor da lista. A planilha pode não reconhecer outro valor." type="list" errorStyle="warning">
      <formula1>$AT$10:$AT$109</formula1>
    </dataValidation>
    <dataValidation sqref="G154" showDropDown="0" showInputMessage="0" showErrorMessage="1" allowBlank="1" errorTitle="Texto longo" error="Gancho: até 200 caracteres." type="textLength" errorStyle="warning" operator="lessThanOrEqual">
      <formula1>200</formula1>
    </dataValidation>
    <dataValidation sqref="B155" showDropDown="0" showInputMessage="0" showErrorMessage="1" allowBlank="1" errorTitle="Texto longo" error="Maneirismo e voz: até 200 caracteres." type="textLength" errorStyle="warning" operator="lessThanOrEqual">
      <formula1>200</formula1>
    </dataValidation>
    <dataValidation sqref="E155" showDropDown="0" showInputMessage="0" showErrorMessage="1" allowBlank="1" errorTitle="Fora da lista" error="Atitude: escolha um valor da lista. A planilha pode não reconhecer outro valor." type="list" errorStyle="warning">
      <formula1>$AT$10:$AT$109</formula1>
    </dataValidation>
    <dataValidation sqref="G155" showDropDown="0" showInputMessage="0" showErrorMessage="1" allowBlank="1" errorTitle="Texto longo" error="Gancho: até 200 caracteres." type="textLength" errorStyle="warning" operator="lessThanOrEqual">
      <formula1>200</formula1>
    </dataValidation>
    <dataValidation sqref="B156" showDropDown="0" showInputMessage="0" showErrorMessage="1" allowBlank="1" errorTitle="Texto longo" error="Maneirismo e voz: até 200 caracteres." type="textLength" errorStyle="warning" operator="lessThanOrEqual">
      <formula1>200</formula1>
    </dataValidation>
    <dataValidation sqref="E156" showDropDown="0" showInputMessage="0" showErrorMessage="1" allowBlank="1" errorTitle="Fora da lista" error="Atitude: escolha um valor da lista. A planilha pode não reconhecer outro valor." type="list" errorStyle="warning">
      <formula1>$AT$10:$AT$109</formula1>
    </dataValidation>
    <dataValidation sqref="G156" showDropDown="0" showInputMessage="0" showErrorMessage="1" allowBlank="1" errorTitle="Texto longo" error="Gancho: até 200 caracteres." type="textLength" errorStyle="warning" operator="lessThanOrEqual">
      <formula1>200</formula1>
    </dataValidation>
    <dataValidation sqref="B157" showDropDown="0" showInputMessage="0" showErrorMessage="1" allowBlank="1" errorTitle="Texto longo" error="Maneirismo e voz: até 200 caracteres." type="textLength" errorStyle="warning" operator="lessThanOrEqual">
      <formula1>200</formula1>
    </dataValidation>
    <dataValidation sqref="E157" showDropDown="0" showInputMessage="0" showErrorMessage="1" allowBlank="1" errorTitle="Fora da lista" error="Atitude: escolha um valor da lista. A planilha pode não reconhecer outro valor." type="list" errorStyle="warning">
      <formula1>$AT$10:$AT$109</formula1>
    </dataValidation>
    <dataValidation sqref="G157" showDropDown="0" showInputMessage="0" showErrorMessage="1" allowBlank="1" errorTitle="Texto longo" error="Gancho: até 200 caracteres." type="textLength" errorStyle="warning" operator="lessThanOrEqual">
      <formula1>200</formula1>
    </dataValidation>
    <dataValidation sqref="B159" showDropDown="0" showInputMessage="0" showErrorMessage="1" allowBlank="1" errorTitle="Texto longo" error="Maneirismo e voz: até 200 caracteres." type="textLength" errorStyle="warning" operator="lessThanOrEqual">
      <formula1>200</formula1>
    </dataValidation>
    <dataValidation sqref="E159" showDropDown="0" showInputMessage="0" showErrorMessage="1" allowBlank="1" errorTitle="Fora da lista" error="Atitude: escolha um valor da lista. A planilha pode não reconhecer outro valor." type="list" errorStyle="warning">
      <formula1>$AT$10:$AT$109</formula1>
    </dataValidation>
    <dataValidation sqref="G159" showDropDown="0" showInputMessage="0" showErrorMessage="1" allowBlank="1" errorTitle="Texto longo" error="Gancho: até 200 caracteres." type="textLength" errorStyle="warning" operator="lessThanOrEqual">
      <formula1>200</formula1>
    </dataValidation>
    <dataValidation sqref="B160" showDropDown="0" showInputMessage="0" showErrorMessage="1" allowBlank="1" errorTitle="Texto longo" error="Maneirismo e voz: até 200 caracteres." type="textLength" errorStyle="warning" operator="lessThanOrEqual">
      <formula1>200</formula1>
    </dataValidation>
    <dataValidation sqref="E160" showDropDown="0" showInputMessage="0" showErrorMessage="1" allowBlank="1" errorTitle="Fora da lista" error="Atitude: escolha um valor da lista. A planilha pode não reconhecer outro valor." type="list" errorStyle="warning">
      <formula1>$AT$10:$AT$109</formula1>
    </dataValidation>
    <dataValidation sqref="G160" showDropDown="0" showInputMessage="0" showErrorMessage="1" allowBlank="1" errorTitle="Texto longo" error="Gancho: até 200 caracteres." type="textLength" errorStyle="warning" operator="lessThanOrEqual">
      <formula1>200</formula1>
    </dataValidation>
    <dataValidation sqref="B161" showDropDown="0" showInputMessage="0" showErrorMessage="1" allowBlank="1" errorTitle="Texto longo" error="Maneirismo e voz: até 200 caracteres." type="textLength" errorStyle="warning" operator="lessThanOrEqual">
      <formula1>200</formula1>
    </dataValidation>
    <dataValidation sqref="E161" showDropDown="0" showInputMessage="0" showErrorMessage="1" allowBlank="1" errorTitle="Fora da lista" error="Atitude: escolha um valor da lista. A planilha pode não reconhecer outro valor." type="list" errorStyle="warning">
      <formula1>$AT$10:$AT$109</formula1>
    </dataValidation>
    <dataValidation sqref="G161" showDropDown="0" showInputMessage="0" showErrorMessage="1" allowBlank="1" errorTitle="Texto longo" error="Gancho: até 200 caracteres." type="textLength" errorStyle="warning" operator="lessThanOrEqual">
      <formula1>200</formula1>
    </dataValidation>
    <dataValidation sqref="B162" showDropDown="0" showInputMessage="0" showErrorMessage="1" allowBlank="1" errorTitle="Texto longo" error="Maneirismo e voz: até 200 caracteres." type="textLength" errorStyle="warning" operator="lessThanOrEqual">
      <formula1>200</formula1>
    </dataValidation>
    <dataValidation sqref="E162" showDropDown="0" showInputMessage="0" showErrorMessage="1" allowBlank="1" errorTitle="Fora da lista" error="Atitude: escolha um valor da lista. A planilha pode não reconhecer outro valor." type="list" errorStyle="warning">
      <formula1>$AT$10:$AT$109</formula1>
    </dataValidation>
    <dataValidation sqref="G162" showDropDown="0" showInputMessage="0" showErrorMessage="1" allowBlank="1" errorTitle="Texto longo" error="Gancho: até 200 caracteres." type="textLength" errorStyle="warning" operator="lessThanOrEqual">
      <formula1>200</formula1>
    </dataValidation>
    <dataValidation sqref="B163" showDropDown="0" showInputMessage="0" showErrorMessage="1" allowBlank="1" errorTitle="Texto longo" error="Maneirismo e voz: até 200 caracteres." type="textLength" errorStyle="warning" operator="lessThanOrEqual">
      <formula1>200</formula1>
    </dataValidation>
    <dataValidation sqref="E163" showDropDown="0" showInputMessage="0" showErrorMessage="1" allowBlank="1" errorTitle="Fora da lista" error="Atitude: escolha um valor da lista. A planilha pode não reconhecer outro valor." type="list" errorStyle="warning">
      <formula1>$AT$10:$AT$109</formula1>
    </dataValidation>
    <dataValidation sqref="G163" showDropDown="0" showInputMessage="0" showErrorMessage="1" allowBlank="1" errorTitle="Texto longo" error="Gancho: até 200 caracteres." type="textLength" errorStyle="warning" operator="lessThanOrEqual">
      <formula1>200</formula1>
    </dataValidation>
    <dataValidation sqref="B164" showDropDown="0" showInputMessage="0" showErrorMessage="1" allowBlank="1" errorTitle="Texto longo" error="Maneirismo e voz: até 200 caracteres." type="textLength" errorStyle="warning" operator="lessThanOrEqual">
      <formula1>200</formula1>
    </dataValidation>
    <dataValidation sqref="E164" showDropDown="0" showInputMessage="0" showErrorMessage="1" allowBlank="1" errorTitle="Fora da lista" error="Atitude: escolha um valor da lista. A planilha pode não reconhecer outro valor." type="list" errorStyle="warning">
      <formula1>$AT$10:$AT$109</formula1>
    </dataValidation>
    <dataValidation sqref="G164" showDropDown="0" showInputMessage="0" showErrorMessage="1" allowBlank="1" errorTitle="Texto longo" error="Gancho: até 200 caracteres." type="textLength" errorStyle="warning" operator="lessThanOrEqual">
      <formula1>200</formula1>
    </dataValidation>
    <dataValidation sqref="B165" showDropDown="0" showInputMessage="0" showErrorMessage="1" allowBlank="1" errorTitle="Texto longo" error="Maneirismo e voz: até 200 caracteres." type="textLength" errorStyle="warning" operator="lessThanOrEqual">
      <formula1>200</formula1>
    </dataValidation>
    <dataValidation sqref="E165" showDropDown="0" showInputMessage="0" showErrorMessage="1" allowBlank="1" errorTitle="Fora da lista" error="Atitude: escolha um valor da lista. A planilha pode não reconhecer outro valor." type="list" errorStyle="warning">
      <formula1>$AT$10:$AT$109</formula1>
    </dataValidation>
    <dataValidation sqref="G165" showDropDown="0" showInputMessage="0" showErrorMessage="1" allowBlank="1" errorTitle="Texto longo" error="Gancho: até 200 caracteres." type="textLength" errorStyle="warning" operator="lessThanOrEqual">
      <formula1>200</formula1>
    </dataValidation>
    <dataValidation sqref="B166" showDropDown="0" showInputMessage="0" showErrorMessage="1" allowBlank="1" errorTitle="Texto longo" error="Maneirismo e voz: até 200 caracteres." type="textLength" errorStyle="warning" operator="lessThanOrEqual">
      <formula1>200</formula1>
    </dataValidation>
    <dataValidation sqref="E166" showDropDown="0" showInputMessage="0" showErrorMessage="1" allowBlank="1" errorTitle="Fora da lista" error="Atitude: escolha um valor da lista. A planilha pode não reconhecer outro valor." type="list" errorStyle="warning">
      <formula1>$AT$10:$AT$109</formula1>
    </dataValidation>
    <dataValidation sqref="G166" showDropDown="0" showInputMessage="0" showErrorMessage="1" allowBlank="1" errorTitle="Texto longo" error="Gancho: até 200 caracteres." type="textLength" errorStyle="warning" operator="lessThanOrEqual">
      <formula1>200</formula1>
    </dataValidation>
    <dataValidation sqref="B167" showDropDown="0" showInputMessage="0" showErrorMessage="1" allowBlank="1" errorTitle="Texto longo" error="Maneirismo e voz: até 200 caracteres." type="textLength" errorStyle="warning" operator="lessThanOrEqual">
      <formula1>200</formula1>
    </dataValidation>
    <dataValidation sqref="E167" showDropDown="0" showInputMessage="0" showErrorMessage="1" allowBlank="1" errorTitle="Fora da lista" error="Atitude: escolha um valor da lista. A planilha pode não reconhecer outro valor." type="list" errorStyle="warning">
      <formula1>$AT$10:$AT$109</formula1>
    </dataValidation>
    <dataValidation sqref="G167" showDropDown="0" showInputMessage="0" showErrorMessage="1" allowBlank="1" errorTitle="Texto longo" error="Gancho: até 200 caracteres." type="textLength" errorStyle="warning" operator="lessThanOrEqual">
      <formula1>200</formula1>
    </dataValidation>
    <dataValidation sqref="B168" showDropDown="0" showInputMessage="0" showErrorMessage="1" allowBlank="1" errorTitle="Texto longo" error="Maneirismo e voz: até 200 caracteres." type="textLength" errorStyle="warning" operator="lessThanOrEqual">
      <formula1>200</formula1>
    </dataValidation>
    <dataValidation sqref="E168" showDropDown="0" showInputMessage="0" showErrorMessage="1" allowBlank="1" errorTitle="Fora da lista" error="Atitude: escolha um valor da lista. A planilha pode não reconhecer outro valor." type="list" errorStyle="warning">
      <formula1>$AT$10:$AT$109</formula1>
    </dataValidation>
    <dataValidation sqref="G168" showDropDown="0" showInputMessage="0" showErrorMessage="1" allowBlank="1" errorTitle="Texto longo" error="Gancho: até 200 caracteres." type="textLength" errorStyle="warning" operator="lessThanOrEqual">
      <formula1>200</formula1>
    </dataValidation>
    <dataValidation sqref="B170" showDropDown="0" showInputMessage="0" showErrorMessage="1" allowBlank="1" errorTitle="Texto longo" error="Maneirismo e voz: até 200 caracteres." type="textLength" errorStyle="warning" operator="lessThanOrEqual">
      <formula1>200</formula1>
    </dataValidation>
    <dataValidation sqref="E170" showDropDown="0" showInputMessage="0" showErrorMessage="1" allowBlank="1" errorTitle="Fora da lista" error="Atitude: escolha um valor da lista. A planilha pode não reconhecer outro valor." type="list" errorStyle="warning">
      <formula1>$AT$10:$AT$109</formula1>
    </dataValidation>
    <dataValidation sqref="G170" showDropDown="0" showInputMessage="0" showErrorMessage="1" allowBlank="1" errorTitle="Texto longo" error="Gancho: até 200 caracteres." type="textLength" errorStyle="warning" operator="lessThanOrEqual">
      <formula1>200</formula1>
    </dataValidation>
    <dataValidation sqref="B171" showDropDown="0" showInputMessage="0" showErrorMessage="1" allowBlank="1" errorTitle="Texto longo" error="Maneirismo e voz: até 200 caracteres." type="textLength" errorStyle="warning" operator="lessThanOrEqual">
      <formula1>200</formula1>
    </dataValidation>
    <dataValidation sqref="E171" showDropDown="0" showInputMessage="0" showErrorMessage="1" allowBlank="1" errorTitle="Fora da lista" error="Atitude: escolha um valor da lista. A planilha pode não reconhecer outro valor." type="list" errorStyle="warning">
      <formula1>$AT$10:$AT$109</formula1>
    </dataValidation>
    <dataValidation sqref="G171" showDropDown="0" showInputMessage="0" showErrorMessage="1" allowBlank="1" errorTitle="Texto longo" error="Gancho: até 200 caracteres." type="textLength" errorStyle="warning" operator="lessThanOrEqual">
      <formula1>200</formula1>
    </dataValidation>
    <dataValidation sqref="B172" showDropDown="0" showInputMessage="0" showErrorMessage="1" allowBlank="1" errorTitle="Texto longo" error="Maneirismo e voz: até 200 caracteres." type="textLength" errorStyle="warning" operator="lessThanOrEqual">
      <formula1>200</formula1>
    </dataValidation>
    <dataValidation sqref="E172" showDropDown="0" showInputMessage="0" showErrorMessage="1" allowBlank="1" errorTitle="Fora da lista" error="Atitude: escolha um valor da lista. A planilha pode não reconhecer outro valor." type="list" errorStyle="warning">
      <formula1>$AT$10:$AT$109</formula1>
    </dataValidation>
    <dataValidation sqref="G172" showDropDown="0" showInputMessage="0" showErrorMessage="1" allowBlank="1" errorTitle="Texto longo" error="Gancho: até 200 caracteres." type="textLength" errorStyle="warning" operator="lessThanOrEqual">
      <formula1>200</formula1>
    </dataValidation>
    <dataValidation sqref="B173" showDropDown="0" showInputMessage="0" showErrorMessage="1" allowBlank="1" errorTitle="Texto longo" error="Maneirismo e voz: até 200 caracteres." type="textLength" errorStyle="warning" operator="lessThanOrEqual">
      <formula1>200</formula1>
    </dataValidation>
    <dataValidation sqref="E173" showDropDown="0" showInputMessage="0" showErrorMessage="1" allowBlank="1" errorTitle="Fora da lista" error="Atitude: escolha um valor da lista. A planilha pode não reconhecer outro valor." type="list" errorStyle="warning">
      <formula1>$AT$10:$AT$109</formula1>
    </dataValidation>
    <dataValidation sqref="G173" showDropDown="0" showInputMessage="0" showErrorMessage="1" allowBlank="1" errorTitle="Texto longo" error="Gancho: até 200 caracteres." type="textLength" errorStyle="warning" operator="lessThanOrEqual">
      <formula1>200</formula1>
    </dataValidation>
    <dataValidation sqref="B174" showDropDown="0" showInputMessage="0" showErrorMessage="1" allowBlank="1" errorTitle="Texto longo" error="Maneirismo e voz: até 200 caracteres." type="textLength" errorStyle="warning" operator="lessThanOrEqual">
      <formula1>200</formula1>
    </dataValidation>
    <dataValidation sqref="E174" showDropDown="0" showInputMessage="0" showErrorMessage="1" allowBlank="1" errorTitle="Fora da lista" error="Atitude: escolha um valor da lista. A planilha pode não reconhecer outro valor." type="list" errorStyle="warning">
      <formula1>$AT$10:$AT$109</formula1>
    </dataValidation>
    <dataValidation sqref="G174" showDropDown="0" showInputMessage="0" showErrorMessage="1" allowBlank="1" errorTitle="Texto longo" error="Gancho: até 200 caracteres." type="textLength" errorStyle="warning" operator="lessThanOrEqual">
      <formula1>200</formula1>
    </dataValidation>
    <dataValidation sqref="B175" showDropDown="0" showInputMessage="0" showErrorMessage="1" allowBlank="1" errorTitle="Texto longo" error="Maneirismo e voz: até 200 caracteres." type="textLength" errorStyle="warning" operator="lessThanOrEqual">
      <formula1>200</formula1>
    </dataValidation>
    <dataValidation sqref="E175" showDropDown="0" showInputMessage="0" showErrorMessage="1" allowBlank="1" errorTitle="Fora da lista" error="Atitude: escolha um valor da lista. A planilha pode não reconhecer outro valor." type="list" errorStyle="warning">
      <formula1>$AT$10:$AT$109</formula1>
    </dataValidation>
    <dataValidation sqref="G175" showDropDown="0" showInputMessage="0" showErrorMessage="1" allowBlank="1" errorTitle="Texto longo" error="Gancho: até 200 caracteres." type="textLength" errorStyle="warning" operator="lessThanOrEqual">
      <formula1>200</formula1>
    </dataValidation>
    <dataValidation sqref="B176" showDropDown="0" showInputMessage="0" showErrorMessage="1" allowBlank="1" errorTitle="Texto longo" error="Maneirismo e voz: até 200 caracteres." type="textLength" errorStyle="warning" operator="lessThanOrEqual">
      <formula1>200</formula1>
    </dataValidation>
    <dataValidation sqref="E176" showDropDown="0" showInputMessage="0" showErrorMessage="1" allowBlank="1" errorTitle="Fora da lista" error="Atitude: escolha um valor da lista. A planilha pode não reconhecer outro valor." type="list" errorStyle="warning">
      <formula1>$AT$10:$AT$109</formula1>
    </dataValidation>
    <dataValidation sqref="G176" showDropDown="0" showInputMessage="0" showErrorMessage="1" allowBlank="1" errorTitle="Texto longo" error="Gancho: até 200 caracteres." type="textLength" errorStyle="warning" operator="lessThanOrEqual">
      <formula1>200</formula1>
    </dataValidation>
    <dataValidation sqref="B177" showDropDown="0" showInputMessage="0" showErrorMessage="1" allowBlank="1" errorTitle="Texto longo" error="Maneirismo e voz: até 200 caracteres." type="textLength" errorStyle="warning" operator="lessThanOrEqual">
      <formula1>200</formula1>
    </dataValidation>
    <dataValidation sqref="E177" showDropDown="0" showInputMessage="0" showErrorMessage="1" allowBlank="1" errorTitle="Fora da lista" error="Atitude: escolha um valor da lista. A planilha pode não reconhecer outro valor." type="list" errorStyle="warning">
      <formula1>$AT$10:$AT$109</formula1>
    </dataValidation>
    <dataValidation sqref="G177" showDropDown="0" showInputMessage="0" showErrorMessage="1" allowBlank="1" errorTitle="Texto longo" error="Gancho: até 200 caracteres." type="textLength" errorStyle="warning" operator="lessThanOrEqual">
      <formula1>200</formula1>
    </dataValidation>
    <dataValidation sqref="B178" showDropDown="0" showInputMessage="0" showErrorMessage="1" allowBlank="1" errorTitle="Texto longo" error="Maneirismo e voz: até 200 caracteres." type="textLength" errorStyle="warning" operator="lessThanOrEqual">
      <formula1>200</formula1>
    </dataValidation>
    <dataValidation sqref="E178" showDropDown="0" showInputMessage="0" showErrorMessage="1" allowBlank="1" errorTitle="Fora da lista" error="Atitude: escolha um valor da lista. A planilha pode não reconhecer outro valor." type="list" errorStyle="warning">
      <formula1>$AT$10:$AT$109</formula1>
    </dataValidation>
    <dataValidation sqref="G178" showDropDown="0" showInputMessage="0" showErrorMessage="1" allowBlank="1" errorTitle="Texto longo" error="Gancho: até 200 caracteres." type="textLength" errorStyle="warning" operator="lessThanOrEqual">
      <formula1>200</formula1>
    </dataValidation>
    <dataValidation sqref="B179" showDropDown="0" showInputMessage="0" showErrorMessage="1" allowBlank="1" errorTitle="Texto longo" error="Maneirismo e voz: até 200 caracteres." type="textLength" errorStyle="warning" operator="lessThanOrEqual">
      <formula1>200</formula1>
    </dataValidation>
    <dataValidation sqref="E179" showDropDown="0" showInputMessage="0" showErrorMessage="1" allowBlank="1" errorTitle="Fora da lista" error="Atitude: escolha um valor da lista. A planilha pode não reconhecer outro valor." type="list" errorStyle="warning">
      <formula1>$AT$10:$AT$109</formula1>
    </dataValidation>
    <dataValidation sqref="G179" showDropDown="0" showInputMessage="0" showErrorMessage="1" allowBlank="1" errorTitle="Texto longo" error="Gancho: até 200 caracteres." type="textLength" errorStyle="warning" operator="lessThanOrEqual">
      <formula1>200</formula1>
    </dataValidation>
    <dataValidation sqref="B182" showDropDown="0" showInputMessage="0" showErrorMessage="1" allowBlank="1" errorTitle="Valor fora da faixa" error="Relação (−3 a +3): use um número inteiro de -3 a 3." type="whole" errorStyle="warning" operator="between">
      <formula1>-3</formula1>
      <formula2>3</formula2>
    </dataValidation>
    <dataValidation sqref="C182" showDropDown="0" showInputMessage="0" showErrorMessage="1" allowBlank="1" errorTitle="Fora da lista" error="Vivo?: escolha um valor da lista. A planilha pode não reconhecer outro valor." type="list" errorStyle="warning">
      <formula1>'Dados'!$AT$6:$AT$7</formula1>
    </dataValidation>
    <dataValidation sqref="D182" showDropDown="0" showInputMessage="0" showErrorMessage="1" allowBlank="1" errorTitle="Valor fora da faixa" error="Sessão em que apareceu: use um número inteiro de 1 a 999." type="whole" errorStyle="warning" operator="between">
      <formula1>1</formula1>
      <formula2>999</formula2>
    </dataValidation>
    <dataValidation sqref="E182" showDropDown="0" showInputMessage="0" showErrorMessage="1" allowBlank="1" errorTitle="Texto longo" error="Onde está: até 120 caracteres." type="textLength" errorStyle="warning" operator="lessThanOrEqual">
      <formula1>120</formula1>
    </dataValidation>
    <dataValidation sqref="H182" showDropDown="0" showInputMessage="0" showErrorMessage="1" allowBlank="1" errorTitle="Texto longo" error="Notas: até 200 caracteres." type="textLength" errorStyle="warning" operator="lessThanOrEqual">
      <formula1>200</formula1>
    </dataValidation>
    <dataValidation sqref="B183" showDropDown="0" showInputMessage="0" showErrorMessage="1" allowBlank="1" errorTitle="Valor fora da faixa" error="Relação (−3 a +3): use um número inteiro de -3 a 3." type="whole" errorStyle="warning" operator="between">
      <formula1>-3</formula1>
      <formula2>3</formula2>
    </dataValidation>
    <dataValidation sqref="C183" showDropDown="0" showInputMessage="0" showErrorMessage="1" allowBlank="1" errorTitle="Fora da lista" error="Vivo?: escolha um valor da lista. A planilha pode não reconhecer outro valor." type="list" errorStyle="warning">
      <formula1>'Dados'!$AT$6:$AT$7</formula1>
    </dataValidation>
    <dataValidation sqref="D183" showDropDown="0" showInputMessage="0" showErrorMessage="1" allowBlank="1" errorTitle="Valor fora da faixa" error="Sessão em que apareceu: use um número inteiro de 1 a 999." type="whole" errorStyle="warning" operator="between">
      <formula1>1</formula1>
      <formula2>999</formula2>
    </dataValidation>
    <dataValidation sqref="E183" showDropDown="0" showInputMessage="0" showErrorMessage="1" allowBlank="1" errorTitle="Texto longo" error="Onde está: até 120 caracteres." type="textLength" errorStyle="warning" operator="lessThanOrEqual">
      <formula1>120</formula1>
    </dataValidation>
    <dataValidation sqref="H183" showDropDown="0" showInputMessage="0" showErrorMessage="1" allowBlank="1" errorTitle="Texto longo" error="Notas: até 200 caracteres." type="textLength" errorStyle="warning" operator="lessThanOrEqual">
      <formula1>200</formula1>
    </dataValidation>
    <dataValidation sqref="B184" showDropDown="0" showInputMessage="0" showErrorMessage="1" allowBlank="1" errorTitle="Valor fora da faixa" error="Relação (−3 a +3): use um número inteiro de -3 a 3." type="whole" errorStyle="warning" operator="between">
      <formula1>-3</formula1>
      <formula2>3</formula2>
    </dataValidation>
    <dataValidation sqref="C184" showDropDown="0" showInputMessage="0" showErrorMessage="1" allowBlank="1" errorTitle="Fora da lista" error="Vivo?: escolha um valor da lista. A planilha pode não reconhecer outro valor." type="list" errorStyle="warning">
      <formula1>'Dados'!$AT$6:$AT$7</formula1>
    </dataValidation>
    <dataValidation sqref="D184" showDropDown="0" showInputMessage="0" showErrorMessage="1" allowBlank="1" errorTitle="Valor fora da faixa" error="Sessão em que apareceu: use um número inteiro de 1 a 999." type="whole" errorStyle="warning" operator="between">
      <formula1>1</formula1>
      <formula2>999</formula2>
    </dataValidation>
    <dataValidation sqref="E184" showDropDown="0" showInputMessage="0" showErrorMessage="1" allowBlank="1" errorTitle="Texto longo" error="Onde está: até 120 caracteres." type="textLength" errorStyle="warning" operator="lessThanOrEqual">
      <formula1>120</formula1>
    </dataValidation>
    <dataValidation sqref="H184" showDropDown="0" showInputMessage="0" showErrorMessage="1" allowBlank="1" errorTitle="Texto longo" error="Notas: até 200 caracteres." type="textLength" errorStyle="warning" operator="lessThanOrEqual">
      <formula1>200</formula1>
    </dataValidation>
    <dataValidation sqref="B185" showDropDown="0" showInputMessage="0" showErrorMessage="1" allowBlank="1" errorTitle="Valor fora da faixa" error="Relação (−3 a +3): use um número inteiro de -3 a 3." type="whole" errorStyle="warning" operator="between">
      <formula1>-3</formula1>
      <formula2>3</formula2>
    </dataValidation>
    <dataValidation sqref="C185" showDropDown="0" showInputMessage="0" showErrorMessage="1" allowBlank="1" errorTitle="Fora da lista" error="Vivo?: escolha um valor da lista. A planilha pode não reconhecer outro valor." type="list" errorStyle="warning">
      <formula1>'Dados'!$AT$6:$AT$7</formula1>
    </dataValidation>
    <dataValidation sqref="D185" showDropDown="0" showInputMessage="0" showErrorMessage="1" allowBlank="1" errorTitle="Valor fora da faixa" error="Sessão em que apareceu: use um número inteiro de 1 a 999." type="whole" errorStyle="warning" operator="between">
      <formula1>1</formula1>
      <formula2>999</formula2>
    </dataValidation>
    <dataValidation sqref="E185" showDropDown="0" showInputMessage="0" showErrorMessage="1" allowBlank="1" errorTitle="Texto longo" error="Onde está: até 120 caracteres." type="textLength" errorStyle="warning" operator="lessThanOrEqual">
      <formula1>120</formula1>
    </dataValidation>
    <dataValidation sqref="H185" showDropDown="0" showInputMessage="0" showErrorMessage="1" allowBlank="1" errorTitle="Texto longo" error="Notas: até 200 caracteres." type="textLength" errorStyle="warning" operator="lessThanOrEqual">
      <formula1>200</formula1>
    </dataValidation>
    <dataValidation sqref="B186" showDropDown="0" showInputMessage="0" showErrorMessage="1" allowBlank="1" errorTitle="Valor fora da faixa" error="Relação (−3 a +3): use um número inteiro de -3 a 3." type="whole" errorStyle="warning" operator="between">
      <formula1>-3</formula1>
      <formula2>3</formula2>
    </dataValidation>
    <dataValidation sqref="C186" showDropDown="0" showInputMessage="0" showErrorMessage="1" allowBlank="1" errorTitle="Fora da lista" error="Vivo?: escolha um valor da lista. A planilha pode não reconhecer outro valor." type="list" errorStyle="warning">
      <formula1>'Dados'!$AT$6:$AT$7</formula1>
    </dataValidation>
    <dataValidation sqref="D186" showDropDown="0" showInputMessage="0" showErrorMessage="1" allowBlank="1" errorTitle="Valor fora da faixa" error="Sessão em que apareceu: use um número inteiro de 1 a 999." type="whole" errorStyle="warning" operator="between">
      <formula1>1</formula1>
      <formula2>999</formula2>
    </dataValidation>
    <dataValidation sqref="E186" showDropDown="0" showInputMessage="0" showErrorMessage="1" allowBlank="1" errorTitle="Texto longo" error="Onde está: até 120 caracteres." type="textLength" errorStyle="warning" operator="lessThanOrEqual">
      <formula1>120</formula1>
    </dataValidation>
    <dataValidation sqref="H186" showDropDown="0" showInputMessage="0" showErrorMessage="1" allowBlank="1" errorTitle="Texto longo" error="Notas: até 200 caracteres." type="textLength" errorStyle="warning" operator="lessThanOrEqual">
      <formula1>200</formula1>
    </dataValidation>
    <dataValidation sqref="B187" showDropDown="0" showInputMessage="0" showErrorMessage="1" allowBlank="1" errorTitle="Valor fora da faixa" error="Relação (−3 a +3): use um número inteiro de -3 a 3." type="whole" errorStyle="warning" operator="between">
      <formula1>-3</formula1>
      <formula2>3</formula2>
    </dataValidation>
    <dataValidation sqref="C187" showDropDown="0" showInputMessage="0" showErrorMessage="1" allowBlank="1" errorTitle="Fora da lista" error="Vivo?: escolha um valor da lista. A planilha pode não reconhecer outro valor." type="list" errorStyle="warning">
      <formula1>'Dados'!$AT$6:$AT$7</formula1>
    </dataValidation>
    <dataValidation sqref="D187" showDropDown="0" showInputMessage="0" showErrorMessage="1" allowBlank="1" errorTitle="Valor fora da faixa" error="Sessão em que apareceu: use um número inteiro de 1 a 999." type="whole" errorStyle="warning" operator="between">
      <formula1>1</formula1>
      <formula2>999</formula2>
    </dataValidation>
    <dataValidation sqref="E187" showDropDown="0" showInputMessage="0" showErrorMessage="1" allowBlank="1" errorTitle="Texto longo" error="Onde está: até 120 caracteres." type="textLength" errorStyle="warning" operator="lessThanOrEqual">
      <formula1>120</formula1>
    </dataValidation>
    <dataValidation sqref="H187" showDropDown="0" showInputMessage="0" showErrorMessage="1" allowBlank="1" errorTitle="Texto longo" error="Notas: até 200 caracteres." type="textLength" errorStyle="warning" operator="lessThanOrEqual">
      <formula1>200</formula1>
    </dataValidation>
    <dataValidation sqref="B188" showDropDown="0" showInputMessage="0" showErrorMessage="1" allowBlank="1" errorTitle="Valor fora da faixa" error="Relação (−3 a +3): use um número inteiro de -3 a 3." type="whole" errorStyle="warning" operator="between">
      <formula1>-3</formula1>
      <formula2>3</formula2>
    </dataValidation>
    <dataValidation sqref="C188" showDropDown="0" showInputMessage="0" showErrorMessage="1" allowBlank="1" errorTitle="Fora da lista" error="Vivo?: escolha um valor da lista. A planilha pode não reconhecer outro valor." type="list" errorStyle="warning">
      <formula1>'Dados'!$AT$6:$AT$7</formula1>
    </dataValidation>
    <dataValidation sqref="D188" showDropDown="0" showInputMessage="0" showErrorMessage="1" allowBlank="1" errorTitle="Valor fora da faixa" error="Sessão em que apareceu: use um número inteiro de 1 a 999." type="whole" errorStyle="warning" operator="between">
      <formula1>1</formula1>
      <formula2>999</formula2>
    </dataValidation>
    <dataValidation sqref="E188" showDropDown="0" showInputMessage="0" showErrorMessage="1" allowBlank="1" errorTitle="Texto longo" error="Onde está: até 120 caracteres." type="textLength" errorStyle="warning" operator="lessThanOrEqual">
      <formula1>120</formula1>
    </dataValidation>
    <dataValidation sqref="H188" showDropDown="0" showInputMessage="0" showErrorMessage="1" allowBlank="1" errorTitle="Texto longo" error="Notas: até 200 caracteres." type="textLength" errorStyle="warning" operator="lessThanOrEqual">
      <formula1>200</formula1>
    </dataValidation>
    <dataValidation sqref="B189" showDropDown="0" showInputMessage="0" showErrorMessage="1" allowBlank="1" errorTitle="Valor fora da faixa" error="Relação (−3 a +3): use um número inteiro de -3 a 3." type="whole" errorStyle="warning" operator="between">
      <formula1>-3</formula1>
      <formula2>3</formula2>
    </dataValidation>
    <dataValidation sqref="C189" showDropDown="0" showInputMessage="0" showErrorMessage="1" allowBlank="1" errorTitle="Fora da lista" error="Vivo?: escolha um valor da lista. A planilha pode não reconhecer outro valor." type="list" errorStyle="warning">
      <formula1>'Dados'!$AT$6:$AT$7</formula1>
    </dataValidation>
    <dataValidation sqref="D189" showDropDown="0" showInputMessage="0" showErrorMessage="1" allowBlank="1" errorTitle="Valor fora da faixa" error="Sessão em que apareceu: use um número inteiro de 1 a 999." type="whole" errorStyle="warning" operator="between">
      <formula1>1</formula1>
      <formula2>999</formula2>
    </dataValidation>
    <dataValidation sqref="E189" showDropDown="0" showInputMessage="0" showErrorMessage="1" allowBlank="1" errorTitle="Texto longo" error="Onde está: até 120 caracteres." type="textLength" errorStyle="warning" operator="lessThanOrEqual">
      <formula1>120</formula1>
    </dataValidation>
    <dataValidation sqref="H189" showDropDown="0" showInputMessage="0" showErrorMessage="1" allowBlank="1" errorTitle="Texto longo" error="Notas: até 200 caracteres." type="textLength" errorStyle="warning" operator="lessThanOrEqual">
      <formula1>200</formula1>
    </dataValidation>
    <dataValidation sqref="B190" showDropDown="0" showInputMessage="0" showErrorMessage="1" allowBlank="1" errorTitle="Valor fora da faixa" error="Relação (−3 a +3): use um número inteiro de -3 a 3." type="whole" errorStyle="warning" operator="between">
      <formula1>-3</formula1>
      <formula2>3</formula2>
    </dataValidation>
    <dataValidation sqref="C190" showDropDown="0" showInputMessage="0" showErrorMessage="1" allowBlank="1" errorTitle="Fora da lista" error="Vivo?: escolha um valor da lista. A planilha pode não reconhecer outro valor." type="list" errorStyle="warning">
      <formula1>'Dados'!$AT$6:$AT$7</formula1>
    </dataValidation>
    <dataValidation sqref="D190" showDropDown="0" showInputMessage="0" showErrorMessage="1" allowBlank="1" errorTitle="Valor fora da faixa" error="Sessão em que apareceu: use um número inteiro de 1 a 999." type="whole" errorStyle="warning" operator="between">
      <formula1>1</formula1>
      <formula2>999</formula2>
    </dataValidation>
    <dataValidation sqref="E190" showDropDown="0" showInputMessage="0" showErrorMessage="1" allowBlank="1" errorTitle="Texto longo" error="Onde está: até 120 caracteres." type="textLength" errorStyle="warning" operator="lessThanOrEqual">
      <formula1>120</formula1>
    </dataValidation>
    <dataValidation sqref="H190" showDropDown="0" showInputMessage="0" showErrorMessage="1" allowBlank="1" errorTitle="Texto longo" error="Notas: até 200 caracteres." type="textLength" errorStyle="warning" operator="lessThanOrEqual">
      <formula1>200</formula1>
    </dataValidation>
    <dataValidation sqref="B191" showDropDown="0" showInputMessage="0" showErrorMessage="1" allowBlank="1" errorTitle="Valor fora da faixa" error="Relação (−3 a +3): use um número inteiro de -3 a 3." type="whole" errorStyle="warning" operator="between">
      <formula1>-3</formula1>
      <formula2>3</formula2>
    </dataValidation>
    <dataValidation sqref="C191" showDropDown="0" showInputMessage="0" showErrorMessage="1" allowBlank="1" errorTitle="Fora da lista" error="Vivo?: escolha um valor da lista. A planilha pode não reconhecer outro valor." type="list" errorStyle="warning">
      <formula1>'Dados'!$AT$6:$AT$7</formula1>
    </dataValidation>
    <dataValidation sqref="D191" showDropDown="0" showInputMessage="0" showErrorMessage="1" allowBlank="1" errorTitle="Valor fora da faixa" error="Sessão em que apareceu: use um número inteiro de 1 a 999." type="whole" errorStyle="warning" operator="between">
      <formula1>1</formula1>
      <formula2>999</formula2>
    </dataValidation>
    <dataValidation sqref="E191" showDropDown="0" showInputMessage="0" showErrorMessage="1" allowBlank="1" errorTitle="Texto longo" error="Onde está: até 120 caracteres." type="textLength" errorStyle="warning" operator="lessThanOrEqual">
      <formula1>120</formula1>
    </dataValidation>
    <dataValidation sqref="H191" showDropDown="0" showInputMessage="0" showErrorMessage="1" allowBlank="1" errorTitle="Texto longo" error="Notas: até 200 caracteres." type="textLength" errorStyle="warning" operator="lessThanOrEqual">
      <formula1>200</formula1>
    </dataValidation>
    <dataValidation sqref="B193" showDropDown="0" showInputMessage="0" showErrorMessage="1" allowBlank="1" errorTitle="Valor fora da faixa" error="Relação (−3 a +3): use um número inteiro de -3 a 3." type="whole" errorStyle="warning" operator="between">
      <formula1>-3</formula1>
      <formula2>3</formula2>
    </dataValidation>
    <dataValidation sqref="C193" showDropDown="0" showInputMessage="0" showErrorMessage="1" allowBlank="1" errorTitle="Fora da lista" error="Vivo?: escolha um valor da lista. A planilha pode não reconhecer outro valor." type="list" errorStyle="warning">
      <formula1>'Dados'!$AT$6:$AT$7</formula1>
    </dataValidation>
    <dataValidation sqref="D193" showDropDown="0" showInputMessage="0" showErrorMessage="1" allowBlank="1" errorTitle="Valor fora da faixa" error="Sessão em que apareceu: use um número inteiro de 1 a 999." type="whole" errorStyle="warning" operator="between">
      <formula1>1</formula1>
      <formula2>999</formula2>
    </dataValidation>
    <dataValidation sqref="E193" showDropDown="0" showInputMessage="0" showErrorMessage="1" allowBlank="1" errorTitle="Texto longo" error="Onde está: até 120 caracteres." type="textLength" errorStyle="warning" operator="lessThanOrEqual">
      <formula1>120</formula1>
    </dataValidation>
    <dataValidation sqref="H193" showDropDown="0" showInputMessage="0" showErrorMessage="1" allowBlank="1" errorTitle="Texto longo" error="Notas: até 200 caracteres." type="textLength" errorStyle="warning" operator="lessThanOrEqual">
      <formula1>200</formula1>
    </dataValidation>
    <dataValidation sqref="B194" showDropDown="0" showInputMessage="0" showErrorMessage="1" allowBlank="1" errorTitle="Valor fora da faixa" error="Relação (−3 a +3): use um número inteiro de -3 a 3." type="whole" errorStyle="warning" operator="between">
      <formula1>-3</formula1>
      <formula2>3</formula2>
    </dataValidation>
    <dataValidation sqref="C194" showDropDown="0" showInputMessage="0" showErrorMessage="1" allowBlank="1" errorTitle="Fora da lista" error="Vivo?: escolha um valor da lista. A planilha pode não reconhecer outro valor." type="list" errorStyle="warning">
      <formula1>'Dados'!$AT$6:$AT$7</formula1>
    </dataValidation>
    <dataValidation sqref="D194" showDropDown="0" showInputMessage="0" showErrorMessage="1" allowBlank="1" errorTitle="Valor fora da faixa" error="Sessão em que apareceu: use um número inteiro de 1 a 999." type="whole" errorStyle="warning" operator="between">
      <formula1>1</formula1>
      <formula2>999</formula2>
    </dataValidation>
    <dataValidation sqref="E194" showDropDown="0" showInputMessage="0" showErrorMessage="1" allowBlank="1" errorTitle="Texto longo" error="Onde está: até 120 caracteres." type="textLength" errorStyle="warning" operator="lessThanOrEqual">
      <formula1>120</formula1>
    </dataValidation>
    <dataValidation sqref="H194" showDropDown="0" showInputMessage="0" showErrorMessage="1" allowBlank="1" errorTitle="Texto longo" error="Notas: até 200 caracteres." type="textLength" errorStyle="warning" operator="lessThanOrEqual">
      <formula1>200</formula1>
    </dataValidation>
    <dataValidation sqref="B195" showDropDown="0" showInputMessage="0" showErrorMessage="1" allowBlank="1" errorTitle="Valor fora da faixa" error="Relação (−3 a +3): use um número inteiro de -3 a 3." type="whole" errorStyle="warning" operator="between">
      <formula1>-3</formula1>
      <formula2>3</formula2>
    </dataValidation>
    <dataValidation sqref="C195" showDropDown="0" showInputMessage="0" showErrorMessage="1" allowBlank="1" errorTitle="Fora da lista" error="Vivo?: escolha um valor da lista. A planilha pode não reconhecer outro valor." type="list" errorStyle="warning">
      <formula1>'Dados'!$AT$6:$AT$7</formula1>
    </dataValidation>
    <dataValidation sqref="D195" showDropDown="0" showInputMessage="0" showErrorMessage="1" allowBlank="1" errorTitle="Valor fora da faixa" error="Sessão em que apareceu: use um número inteiro de 1 a 999." type="whole" errorStyle="warning" operator="between">
      <formula1>1</formula1>
      <formula2>999</formula2>
    </dataValidation>
    <dataValidation sqref="E195" showDropDown="0" showInputMessage="0" showErrorMessage="1" allowBlank="1" errorTitle="Texto longo" error="Onde está: até 120 caracteres." type="textLength" errorStyle="warning" operator="lessThanOrEqual">
      <formula1>120</formula1>
    </dataValidation>
    <dataValidation sqref="H195" showDropDown="0" showInputMessage="0" showErrorMessage="1" allowBlank="1" errorTitle="Texto longo" error="Notas: até 200 caracteres." type="textLength" errorStyle="warning" operator="lessThanOrEqual">
      <formula1>200</formula1>
    </dataValidation>
    <dataValidation sqref="B196" showDropDown="0" showInputMessage="0" showErrorMessage="1" allowBlank="1" errorTitle="Valor fora da faixa" error="Relação (−3 a +3): use um número inteiro de -3 a 3." type="whole" errorStyle="warning" operator="between">
      <formula1>-3</formula1>
      <formula2>3</formula2>
    </dataValidation>
    <dataValidation sqref="C196" showDropDown="0" showInputMessage="0" showErrorMessage="1" allowBlank="1" errorTitle="Fora da lista" error="Vivo?: escolha um valor da lista. A planilha pode não reconhecer outro valor." type="list" errorStyle="warning">
      <formula1>'Dados'!$AT$6:$AT$7</formula1>
    </dataValidation>
    <dataValidation sqref="D196" showDropDown="0" showInputMessage="0" showErrorMessage="1" allowBlank="1" errorTitle="Valor fora da faixa" error="Sessão em que apareceu: use um número inteiro de 1 a 999." type="whole" errorStyle="warning" operator="between">
      <formula1>1</formula1>
      <formula2>999</formula2>
    </dataValidation>
    <dataValidation sqref="E196" showDropDown="0" showInputMessage="0" showErrorMessage="1" allowBlank="1" errorTitle="Texto longo" error="Onde está: até 120 caracteres." type="textLength" errorStyle="warning" operator="lessThanOrEqual">
      <formula1>120</formula1>
    </dataValidation>
    <dataValidation sqref="H196" showDropDown="0" showInputMessage="0" showErrorMessage="1" allowBlank="1" errorTitle="Texto longo" error="Notas: até 200 caracteres." type="textLength" errorStyle="warning" operator="lessThanOrEqual">
      <formula1>200</formula1>
    </dataValidation>
    <dataValidation sqref="B197" showDropDown="0" showInputMessage="0" showErrorMessage="1" allowBlank="1" errorTitle="Valor fora da faixa" error="Relação (−3 a +3): use um número inteiro de -3 a 3." type="whole" errorStyle="warning" operator="between">
      <formula1>-3</formula1>
      <formula2>3</formula2>
    </dataValidation>
    <dataValidation sqref="C197" showDropDown="0" showInputMessage="0" showErrorMessage="1" allowBlank="1" errorTitle="Fora da lista" error="Vivo?: escolha um valor da lista. A planilha pode não reconhecer outro valor." type="list" errorStyle="warning">
      <formula1>'Dados'!$AT$6:$AT$7</formula1>
    </dataValidation>
    <dataValidation sqref="D197" showDropDown="0" showInputMessage="0" showErrorMessage="1" allowBlank="1" errorTitle="Valor fora da faixa" error="Sessão em que apareceu: use um número inteiro de 1 a 999." type="whole" errorStyle="warning" operator="between">
      <formula1>1</formula1>
      <formula2>999</formula2>
    </dataValidation>
    <dataValidation sqref="E197" showDropDown="0" showInputMessage="0" showErrorMessage="1" allowBlank="1" errorTitle="Texto longo" error="Onde está: até 120 caracteres." type="textLength" errorStyle="warning" operator="lessThanOrEqual">
      <formula1>120</formula1>
    </dataValidation>
    <dataValidation sqref="H197" showDropDown="0" showInputMessage="0" showErrorMessage="1" allowBlank="1" errorTitle="Texto longo" error="Notas: até 200 caracteres." type="textLength" errorStyle="warning" operator="lessThanOrEqual">
      <formula1>200</formula1>
    </dataValidation>
    <dataValidation sqref="B198" showDropDown="0" showInputMessage="0" showErrorMessage="1" allowBlank="1" errorTitle="Valor fora da faixa" error="Relação (−3 a +3): use um número inteiro de -3 a 3." type="whole" errorStyle="warning" operator="between">
      <formula1>-3</formula1>
      <formula2>3</formula2>
    </dataValidation>
    <dataValidation sqref="C198" showDropDown="0" showInputMessage="0" showErrorMessage="1" allowBlank="1" errorTitle="Fora da lista" error="Vivo?: escolha um valor da lista. A planilha pode não reconhecer outro valor." type="list" errorStyle="warning">
      <formula1>'Dados'!$AT$6:$AT$7</formula1>
    </dataValidation>
    <dataValidation sqref="D198" showDropDown="0" showInputMessage="0" showErrorMessage="1" allowBlank="1" errorTitle="Valor fora da faixa" error="Sessão em que apareceu: use um número inteiro de 1 a 999." type="whole" errorStyle="warning" operator="between">
      <formula1>1</formula1>
      <formula2>999</formula2>
    </dataValidation>
    <dataValidation sqref="E198" showDropDown="0" showInputMessage="0" showErrorMessage="1" allowBlank="1" errorTitle="Texto longo" error="Onde está: até 120 caracteres." type="textLength" errorStyle="warning" operator="lessThanOrEqual">
      <formula1>120</formula1>
    </dataValidation>
    <dataValidation sqref="H198" showDropDown="0" showInputMessage="0" showErrorMessage="1" allowBlank="1" errorTitle="Texto longo" error="Notas: até 200 caracteres." type="textLength" errorStyle="warning" operator="lessThanOrEqual">
      <formula1>200</formula1>
    </dataValidation>
    <dataValidation sqref="B199" showDropDown="0" showInputMessage="0" showErrorMessage="1" allowBlank="1" errorTitle="Valor fora da faixa" error="Relação (−3 a +3): use um número inteiro de -3 a 3." type="whole" errorStyle="warning" operator="between">
      <formula1>-3</formula1>
      <formula2>3</formula2>
    </dataValidation>
    <dataValidation sqref="C199" showDropDown="0" showInputMessage="0" showErrorMessage="1" allowBlank="1" errorTitle="Fora da lista" error="Vivo?: escolha um valor da lista. A planilha pode não reconhecer outro valor." type="list" errorStyle="warning">
      <formula1>'Dados'!$AT$6:$AT$7</formula1>
    </dataValidation>
    <dataValidation sqref="D199" showDropDown="0" showInputMessage="0" showErrorMessage="1" allowBlank="1" errorTitle="Valor fora da faixa" error="Sessão em que apareceu: use um número inteiro de 1 a 999." type="whole" errorStyle="warning" operator="between">
      <formula1>1</formula1>
      <formula2>999</formula2>
    </dataValidation>
    <dataValidation sqref="E199" showDropDown="0" showInputMessage="0" showErrorMessage="1" allowBlank="1" errorTitle="Texto longo" error="Onde está: até 120 caracteres." type="textLength" errorStyle="warning" operator="lessThanOrEqual">
      <formula1>120</formula1>
    </dataValidation>
    <dataValidation sqref="H199" showDropDown="0" showInputMessage="0" showErrorMessage="1" allowBlank="1" errorTitle="Texto longo" error="Notas: até 200 caracteres." type="textLength" errorStyle="warning" operator="lessThanOrEqual">
      <formula1>200</formula1>
    </dataValidation>
    <dataValidation sqref="B200" showDropDown="0" showInputMessage="0" showErrorMessage="1" allowBlank="1" errorTitle="Valor fora da faixa" error="Relação (−3 a +3): use um número inteiro de -3 a 3." type="whole" errorStyle="warning" operator="between">
      <formula1>-3</formula1>
      <formula2>3</formula2>
    </dataValidation>
    <dataValidation sqref="C200" showDropDown="0" showInputMessage="0" showErrorMessage="1" allowBlank="1" errorTitle="Fora da lista" error="Vivo?: escolha um valor da lista. A planilha pode não reconhecer outro valor." type="list" errorStyle="warning">
      <formula1>'Dados'!$AT$6:$AT$7</formula1>
    </dataValidation>
    <dataValidation sqref="D200" showDropDown="0" showInputMessage="0" showErrorMessage="1" allowBlank="1" errorTitle="Valor fora da faixa" error="Sessão em que apareceu: use um número inteiro de 1 a 999." type="whole" errorStyle="warning" operator="between">
      <formula1>1</formula1>
      <formula2>999</formula2>
    </dataValidation>
    <dataValidation sqref="E200" showDropDown="0" showInputMessage="0" showErrorMessage="1" allowBlank="1" errorTitle="Texto longo" error="Onde está: até 120 caracteres." type="textLength" errorStyle="warning" operator="lessThanOrEqual">
      <formula1>120</formula1>
    </dataValidation>
    <dataValidation sqref="H200" showDropDown="0" showInputMessage="0" showErrorMessage="1" allowBlank="1" errorTitle="Texto longo" error="Notas: até 200 caracteres." type="textLength" errorStyle="warning" operator="lessThanOrEqual">
      <formula1>200</formula1>
    </dataValidation>
    <dataValidation sqref="B201" showDropDown="0" showInputMessage="0" showErrorMessage="1" allowBlank="1" errorTitle="Valor fora da faixa" error="Relação (−3 a +3): use um número inteiro de -3 a 3." type="whole" errorStyle="warning" operator="between">
      <formula1>-3</formula1>
      <formula2>3</formula2>
    </dataValidation>
    <dataValidation sqref="C201" showDropDown="0" showInputMessage="0" showErrorMessage="1" allowBlank="1" errorTitle="Fora da lista" error="Vivo?: escolha um valor da lista. A planilha pode não reconhecer outro valor." type="list" errorStyle="warning">
      <formula1>'Dados'!$AT$6:$AT$7</formula1>
    </dataValidation>
    <dataValidation sqref="D201" showDropDown="0" showInputMessage="0" showErrorMessage="1" allowBlank="1" errorTitle="Valor fora da faixa" error="Sessão em que apareceu: use um número inteiro de 1 a 999." type="whole" errorStyle="warning" operator="between">
      <formula1>1</formula1>
      <formula2>999</formula2>
    </dataValidation>
    <dataValidation sqref="E201" showDropDown="0" showInputMessage="0" showErrorMessage="1" allowBlank="1" errorTitle="Texto longo" error="Onde está: até 120 caracteres." type="textLength" errorStyle="warning" operator="lessThanOrEqual">
      <formula1>120</formula1>
    </dataValidation>
    <dataValidation sqref="H201" showDropDown="0" showInputMessage="0" showErrorMessage="1" allowBlank="1" errorTitle="Texto longo" error="Notas: até 200 caracteres." type="textLength" errorStyle="warning" operator="lessThanOrEqual">
      <formula1>200</formula1>
    </dataValidation>
    <dataValidation sqref="B202" showDropDown="0" showInputMessage="0" showErrorMessage="1" allowBlank="1" errorTitle="Valor fora da faixa" error="Relação (−3 a +3): use um número inteiro de -3 a 3." type="whole" errorStyle="warning" operator="between">
      <formula1>-3</formula1>
      <formula2>3</formula2>
    </dataValidation>
    <dataValidation sqref="C202" showDropDown="0" showInputMessage="0" showErrorMessage="1" allowBlank="1" errorTitle="Fora da lista" error="Vivo?: escolha um valor da lista. A planilha pode não reconhecer outro valor." type="list" errorStyle="warning">
      <formula1>'Dados'!$AT$6:$AT$7</formula1>
    </dataValidation>
    <dataValidation sqref="D202" showDropDown="0" showInputMessage="0" showErrorMessage="1" allowBlank="1" errorTitle="Valor fora da faixa" error="Sessão em que apareceu: use um número inteiro de 1 a 999." type="whole" errorStyle="warning" operator="between">
      <formula1>1</formula1>
      <formula2>999</formula2>
    </dataValidation>
    <dataValidation sqref="E202" showDropDown="0" showInputMessage="0" showErrorMessage="1" allowBlank="1" errorTitle="Texto longo" error="Onde está: até 120 caracteres." type="textLength" errorStyle="warning" operator="lessThanOrEqual">
      <formula1>120</formula1>
    </dataValidation>
    <dataValidation sqref="H202" showDropDown="0" showInputMessage="0" showErrorMessage="1" allowBlank="1" errorTitle="Texto longo" error="Notas: até 200 caracteres." type="textLength" errorStyle="warning" operator="lessThanOrEqual">
      <formula1>200</formula1>
    </dataValidation>
    <dataValidation sqref="B204" showDropDown="0" showInputMessage="0" showErrorMessage="1" allowBlank="1" errorTitle="Valor fora da faixa" error="Relação (−3 a +3): use um número inteiro de -3 a 3." type="whole" errorStyle="warning" operator="between">
      <formula1>-3</formula1>
      <formula2>3</formula2>
    </dataValidation>
    <dataValidation sqref="C204" showDropDown="0" showInputMessage="0" showErrorMessage="1" allowBlank="1" errorTitle="Fora da lista" error="Vivo?: escolha um valor da lista. A planilha pode não reconhecer outro valor." type="list" errorStyle="warning">
      <formula1>'Dados'!$AT$6:$AT$7</formula1>
    </dataValidation>
    <dataValidation sqref="D204" showDropDown="0" showInputMessage="0" showErrorMessage="1" allowBlank="1" errorTitle="Valor fora da faixa" error="Sessão em que apareceu: use um número inteiro de 1 a 999." type="whole" errorStyle="warning" operator="between">
      <formula1>1</formula1>
      <formula2>999</formula2>
    </dataValidation>
    <dataValidation sqref="E204" showDropDown="0" showInputMessage="0" showErrorMessage="1" allowBlank="1" errorTitle="Texto longo" error="Onde está: até 120 caracteres." type="textLength" errorStyle="warning" operator="lessThanOrEqual">
      <formula1>120</formula1>
    </dataValidation>
    <dataValidation sqref="H204" showDropDown="0" showInputMessage="0" showErrorMessage="1" allowBlank="1" errorTitle="Texto longo" error="Notas: até 200 caracteres." type="textLength" errorStyle="warning" operator="lessThanOrEqual">
      <formula1>200</formula1>
    </dataValidation>
    <dataValidation sqref="B205" showDropDown="0" showInputMessage="0" showErrorMessage="1" allowBlank="1" errorTitle="Valor fora da faixa" error="Relação (−3 a +3): use um número inteiro de -3 a 3." type="whole" errorStyle="warning" operator="between">
      <formula1>-3</formula1>
      <formula2>3</formula2>
    </dataValidation>
    <dataValidation sqref="C205" showDropDown="0" showInputMessage="0" showErrorMessage="1" allowBlank="1" errorTitle="Fora da lista" error="Vivo?: escolha um valor da lista. A planilha pode não reconhecer outro valor." type="list" errorStyle="warning">
      <formula1>'Dados'!$AT$6:$AT$7</formula1>
    </dataValidation>
    <dataValidation sqref="D205" showDropDown="0" showInputMessage="0" showErrorMessage="1" allowBlank="1" errorTitle="Valor fora da faixa" error="Sessão em que apareceu: use um número inteiro de 1 a 999." type="whole" errorStyle="warning" operator="between">
      <formula1>1</formula1>
      <formula2>999</formula2>
    </dataValidation>
    <dataValidation sqref="E205" showDropDown="0" showInputMessage="0" showErrorMessage="1" allowBlank="1" errorTitle="Texto longo" error="Onde está: até 120 caracteres." type="textLength" errorStyle="warning" operator="lessThanOrEqual">
      <formula1>120</formula1>
    </dataValidation>
    <dataValidation sqref="H205" showDropDown="0" showInputMessage="0" showErrorMessage="1" allowBlank="1" errorTitle="Texto longo" error="Notas: até 200 caracteres." type="textLength" errorStyle="warning" operator="lessThanOrEqual">
      <formula1>200</formula1>
    </dataValidation>
    <dataValidation sqref="B206" showDropDown="0" showInputMessage="0" showErrorMessage="1" allowBlank="1" errorTitle="Valor fora da faixa" error="Relação (−3 a +3): use um número inteiro de -3 a 3." type="whole" errorStyle="warning" operator="between">
      <formula1>-3</formula1>
      <formula2>3</formula2>
    </dataValidation>
    <dataValidation sqref="C206" showDropDown="0" showInputMessage="0" showErrorMessage="1" allowBlank="1" errorTitle="Fora da lista" error="Vivo?: escolha um valor da lista. A planilha pode não reconhecer outro valor." type="list" errorStyle="warning">
      <formula1>'Dados'!$AT$6:$AT$7</formula1>
    </dataValidation>
    <dataValidation sqref="D206" showDropDown="0" showInputMessage="0" showErrorMessage="1" allowBlank="1" errorTitle="Valor fora da faixa" error="Sessão em que apareceu: use um número inteiro de 1 a 999." type="whole" errorStyle="warning" operator="between">
      <formula1>1</formula1>
      <formula2>999</formula2>
    </dataValidation>
    <dataValidation sqref="E206" showDropDown="0" showInputMessage="0" showErrorMessage="1" allowBlank="1" errorTitle="Texto longo" error="Onde está: até 120 caracteres." type="textLength" errorStyle="warning" operator="lessThanOrEqual">
      <formula1>120</formula1>
    </dataValidation>
    <dataValidation sqref="H206" showDropDown="0" showInputMessage="0" showErrorMessage="1" allowBlank="1" errorTitle="Texto longo" error="Notas: até 200 caracteres." type="textLength" errorStyle="warning" operator="lessThanOrEqual">
      <formula1>200</formula1>
    </dataValidation>
    <dataValidation sqref="B207" showDropDown="0" showInputMessage="0" showErrorMessage="1" allowBlank="1" errorTitle="Valor fora da faixa" error="Relação (−3 a +3): use um número inteiro de -3 a 3." type="whole" errorStyle="warning" operator="between">
      <formula1>-3</formula1>
      <formula2>3</formula2>
    </dataValidation>
    <dataValidation sqref="C207" showDropDown="0" showInputMessage="0" showErrorMessage="1" allowBlank="1" errorTitle="Fora da lista" error="Vivo?: escolha um valor da lista. A planilha pode não reconhecer outro valor." type="list" errorStyle="warning">
      <formula1>'Dados'!$AT$6:$AT$7</formula1>
    </dataValidation>
    <dataValidation sqref="D207" showDropDown="0" showInputMessage="0" showErrorMessage="1" allowBlank="1" errorTitle="Valor fora da faixa" error="Sessão em que apareceu: use um número inteiro de 1 a 999." type="whole" errorStyle="warning" operator="between">
      <formula1>1</formula1>
      <formula2>999</formula2>
    </dataValidation>
    <dataValidation sqref="E207" showDropDown="0" showInputMessage="0" showErrorMessage="1" allowBlank="1" errorTitle="Texto longo" error="Onde está: até 120 caracteres." type="textLength" errorStyle="warning" operator="lessThanOrEqual">
      <formula1>120</formula1>
    </dataValidation>
    <dataValidation sqref="H207" showDropDown="0" showInputMessage="0" showErrorMessage="1" allowBlank="1" errorTitle="Texto longo" error="Notas: até 200 caracteres." type="textLength" errorStyle="warning" operator="lessThanOrEqual">
      <formula1>200</formula1>
    </dataValidation>
    <dataValidation sqref="B208" showDropDown="0" showInputMessage="0" showErrorMessage="1" allowBlank="1" errorTitle="Valor fora da faixa" error="Relação (−3 a +3): use um número inteiro de -3 a 3." type="whole" errorStyle="warning" operator="between">
      <formula1>-3</formula1>
      <formula2>3</formula2>
    </dataValidation>
    <dataValidation sqref="C208" showDropDown="0" showInputMessage="0" showErrorMessage="1" allowBlank="1" errorTitle="Fora da lista" error="Vivo?: escolha um valor da lista. A planilha pode não reconhecer outro valor." type="list" errorStyle="warning">
      <formula1>'Dados'!$AT$6:$AT$7</formula1>
    </dataValidation>
    <dataValidation sqref="D208" showDropDown="0" showInputMessage="0" showErrorMessage="1" allowBlank="1" errorTitle="Valor fora da faixa" error="Sessão em que apareceu: use um número inteiro de 1 a 999." type="whole" errorStyle="warning" operator="between">
      <formula1>1</formula1>
      <formula2>999</formula2>
    </dataValidation>
    <dataValidation sqref="E208" showDropDown="0" showInputMessage="0" showErrorMessage="1" allowBlank="1" errorTitle="Texto longo" error="Onde está: até 120 caracteres." type="textLength" errorStyle="warning" operator="lessThanOrEqual">
      <formula1>120</formula1>
    </dataValidation>
    <dataValidation sqref="H208" showDropDown="0" showInputMessage="0" showErrorMessage="1" allowBlank="1" errorTitle="Texto longo" error="Notas: até 200 caracteres." type="textLength" errorStyle="warning" operator="lessThanOrEqual">
      <formula1>200</formula1>
    </dataValidation>
    <dataValidation sqref="B209" showDropDown="0" showInputMessage="0" showErrorMessage="1" allowBlank="1" errorTitle="Valor fora da faixa" error="Relação (−3 a +3): use um número inteiro de -3 a 3." type="whole" errorStyle="warning" operator="between">
      <formula1>-3</formula1>
      <formula2>3</formula2>
    </dataValidation>
    <dataValidation sqref="C209" showDropDown="0" showInputMessage="0" showErrorMessage="1" allowBlank="1" errorTitle="Fora da lista" error="Vivo?: escolha um valor da lista. A planilha pode não reconhecer outro valor." type="list" errorStyle="warning">
      <formula1>'Dados'!$AT$6:$AT$7</formula1>
    </dataValidation>
    <dataValidation sqref="D209" showDropDown="0" showInputMessage="0" showErrorMessage="1" allowBlank="1" errorTitle="Valor fora da faixa" error="Sessão em que apareceu: use um número inteiro de 1 a 999." type="whole" errorStyle="warning" operator="between">
      <formula1>1</formula1>
      <formula2>999</formula2>
    </dataValidation>
    <dataValidation sqref="E209" showDropDown="0" showInputMessage="0" showErrorMessage="1" allowBlank="1" errorTitle="Texto longo" error="Onde está: até 120 caracteres." type="textLength" errorStyle="warning" operator="lessThanOrEqual">
      <formula1>120</formula1>
    </dataValidation>
    <dataValidation sqref="H209" showDropDown="0" showInputMessage="0" showErrorMessage="1" allowBlank="1" errorTitle="Texto longo" error="Notas: até 200 caracteres." type="textLength" errorStyle="warning" operator="lessThanOrEqual">
      <formula1>200</formula1>
    </dataValidation>
    <dataValidation sqref="B210" showDropDown="0" showInputMessage="0" showErrorMessage="1" allowBlank="1" errorTitle="Valor fora da faixa" error="Relação (−3 a +3): use um número inteiro de -3 a 3." type="whole" errorStyle="warning" operator="between">
      <formula1>-3</formula1>
      <formula2>3</formula2>
    </dataValidation>
    <dataValidation sqref="C210" showDropDown="0" showInputMessage="0" showErrorMessage="1" allowBlank="1" errorTitle="Fora da lista" error="Vivo?: escolha um valor da lista. A planilha pode não reconhecer outro valor." type="list" errorStyle="warning">
      <formula1>'Dados'!$AT$6:$AT$7</formula1>
    </dataValidation>
    <dataValidation sqref="D210" showDropDown="0" showInputMessage="0" showErrorMessage="1" allowBlank="1" errorTitle="Valor fora da faixa" error="Sessão em que apareceu: use um número inteiro de 1 a 999." type="whole" errorStyle="warning" operator="between">
      <formula1>1</formula1>
      <formula2>999</formula2>
    </dataValidation>
    <dataValidation sqref="E210" showDropDown="0" showInputMessage="0" showErrorMessage="1" allowBlank="1" errorTitle="Texto longo" error="Onde está: até 120 caracteres." type="textLength" errorStyle="warning" operator="lessThanOrEqual">
      <formula1>120</formula1>
    </dataValidation>
    <dataValidation sqref="H210" showDropDown="0" showInputMessage="0" showErrorMessage="1" allowBlank="1" errorTitle="Texto longo" error="Notas: até 200 caracteres." type="textLength" errorStyle="warning" operator="lessThanOrEqual">
      <formula1>200</formula1>
    </dataValidation>
    <dataValidation sqref="B211" showDropDown="0" showInputMessage="0" showErrorMessage="1" allowBlank="1" errorTitle="Valor fora da faixa" error="Relação (−3 a +3): use um número inteiro de -3 a 3." type="whole" errorStyle="warning" operator="between">
      <formula1>-3</formula1>
      <formula2>3</formula2>
    </dataValidation>
    <dataValidation sqref="C211" showDropDown="0" showInputMessage="0" showErrorMessage="1" allowBlank="1" errorTitle="Fora da lista" error="Vivo?: escolha um valor da lista. A planilha pode não reconhecer outro valor." type="list" errorStyle="warning">
      <formula1>'Dados'!$AT$6:$AT$7</formula1>
    </dataValidation>
    <dataValidation sqref="D211" showDropDown="0" showInputMessage="0" showErrorMessage="1" allowBlank="1" errorTitle="Valor fora da faixa" error="Sessão em que apareceu: use um número inteiro de 1 a 999." type="whole" errorStyle="warning" operator="between">
      <formula1>1</formula1>
      <formula2>999</formula2>
    </dataValidation>
    <dataValidation sqref="E211" showDropDown="0" showInputMessage="0" showErrorMessage="1" allowBlank="1" errorTitle="Texto longo" error="Onde está: até 120 caracteres." type="textLength" errorStyle="warning" operator="lessThanOrEqual">
      <formula1>120</formula1>
    </dataValidation>
    <dataValidation sqref="H211" showDropDown="0" showInputMessage="0" showErrorMessage="1" allowBlank="1" errorTitle="Texto longo" error="Notas: até 200 caracteres." type="textLength" errorStyle="warning" operator="lessThanOrEqual">
      <formula1>200</formula1>
    </dataValidation>
    <dataValidation sqref="B212" showDropDown="0" showInputMessage="0" showErrorMessage="1" allowBlank="1" errorTitle="Valor fora da faixa" error="Relação (−3 a +3): use um número inteiro de -3 a 3." type="whole" errorStyle="warning" operator="between">
      <formula1>-3</formula1>
      <formula2>3</formula2>
    </dataValidation>
    <dataValidation sqref="C212" showDropDown="0" showInputMessage="0" showErrorMessage="1" allowBlank="1" errorTitle="Fora da lista" error="Vivo?: escolha um valor da lista. A planilha pode não reconhecer outro valor." type="list" errorStyle="warning">
      <formula1>'Dados'!$AT$6:$AT$7</formula1>
    </dataValidation>
    <dataValidation sqref="D212" showDropDown="0" showInputMessage="0" showErrorMessage="1" allowBlank="1" errorTitle="Valor fora da faixa" error="Sessão em que apareceu: use um número inteiro de 1 a 999." type="whole" errorStyle="warning" operator="between">
      <formula1>1</formula1>
      <formula2>999</formula2>
    </dataValidation>
    <dataValidation sqref="E212" showDropDown="0" showInputMessage="0" showErrorMessage="1" allowBlank="1" errorTitle="Texto longo" error="Onde está: até 120 caracteres." type="textLength" errorStyle="warning" operator="lessThanOrEqual">
      <formula1>120</formula1>
    </dataValidation>
    <dataValidation sqref="H212" showDropDown="0" showInputMessage="0" showErrorMessage="1" allowBlank="1" errorTitle="Texto longo" error="Notas: até 200 caracteres." type="textLength" errorStyle="warning" operator="lessThanOrEqual">
      <formula1>200</formula1>
    </dataValidation>
    <dataValidation sqref="B213" showDropDown="0" showInputMessage="0" showErrorMessage="1" allowBlank="1" errorTitle="Valor fora da faixa" error="Relação (−3 a +3): use um número inteiro de -3 a 3." type="whole" errorStyle="warning" operator="between">
      <formula1>-3</formula1>
      <formula2>3</formula2>
    </dataValidation>
    <dataValidation sqref="C213" showDropDown="0" showInputMessage="0" showErrorMessage="1" allowBlank="1" errorTitle="Fora da lista" error="Vivo?: escolha um valor da lista. A planilha pode não reconhecer outro valor." type="list" errorStyle="warning">
      <formula1>'Dados'!$AT$6:$AT$7</formula1>
    </dataValidation>
    <dataValidation sqref="D213" showDropDown="0" showInputMessage="0" showErrorMessage="1" allowBlank="1" errorTitle="Valor fora da faixa" error="Sessão em que apareceu: use um número inteiro de 1 a 999." type="whole" errorStyle="warning" operator="between">
      <formula1>1</formula1>
      <formula2>999</formula2>
    </dataValidation>
    <dataValidation sqref="E213" showDropDown="0" showInputMessage="0" showErrorMessage="1" allowBlank="1" errorTitle="Texto longo" error="Onde está: até 120 caracteres." type="textLength" errorStyle="warning" operator="lessThanOrEqual">
      <formula1>120</formula1>
    </dataValidation>
    <dataValidation sqref="H213" showDropDown="0" showInputMessage="0" showErrorMessage="1" allowBlank="1" errorTitle="Texto longo" error="Notas: até 200 caracteres." type="textLength" errorStyle="warning" operator="lessThanOrEqual">
      <formula1>200</formula1>
    </dataValidation>
    <dataValidation sqref="B216" showDropDown="0" showInputMessage="0" showErrorMessage="1" allowBlank="1" errorTitle="Fora da lista" error="NPC do Elenco: escolha um valor da lista. A planilha pode não reconhecer outro valor." type="list" errorStyle="warning">
      <formula1>'NPCs'!$AG$10:$AG$39</formula1>
    </dataValidation>
    <dataValidation sqref="G216" showDropDown="0" showInputMessage="0" showErrorMessage="1" allowBlank="1" errorTitle="Fora da lista" error="NPC do Elenco: escolha um valor da lista. A planilha pode não reconhecer outro valor." type="list" errorStyle="warning">
      <formula1>'NPCs'!$AG$10:$AG$39</formula1>
    </dataValidation>
    <dataValidation sqref="B225" showDropDown="0" showInputMessage="0" showErrorMessage="1" allowBlank="1" errorTitle="Fora da lista" error="NPC do Elenco: escolha um valor da lista. A planilha pode não reconhecer outro valor." type="list" errorStyle="warning">
      <formula1>'NPCs'!$AG$10:$AG$39</formula1>
    </dataValidation>
    <dataValidation sqref="G225" showDropDown="0" showInputMessage="0" showErrorMessage="1" allowBlank="1" errorTitle="Fora da lista" error="NPC do Elenco: escolha um valor da lista. A planilha pode não reconhecer outro valor." type="list" errorStyle="warning">
      <formula1>'NPCs'!$AG$10:$AG$39</formula1>
    </dataValidation>
  </dataValidations>
  <pageMargins left="0.75" right="0.75" top="1" bottom="1" header="0.5" footer="0.5"/>
  <pageSetup orientation="landscape" paperSize="9"/>
</worksheet>
</file>

<file path=xl/worksheets/sheet7.xml><?xml version="1.0" encoding="utf-8"?>
<worksheet xmlns="http://schemas.openxmlformats.org/spreadsheetml/2006/main">
  <sheetPr>
    <outlinePr summaryBelow="1" summaryRight="1"/>
    <pageSetUpPr/>
  </sheetPr>
  <dimension ref="A1:EA219"/>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width="13" customWidth="1" min="61" max="61"/>
    <col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s>
  <sheetData>
    <row r="1" ht="24" customHeight="1">
      <c r="A1" s="1" t="inlineStr">
        <is>
          <t>Inimigos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Criador de Inimigos: uma linha por inimigo da campanha, com a ficha de 28.1 pronta.</t>
        </is>
      </c>
    </row>
    <row r="4"/>
    <row r="5" ht="20" customHeight="1">
      <c r="A5" s="13" t="inlineStr">
        <is>
          <t>Criador de Inimigos — uma linha por inimigo da campanha (28.1, 28.3, 28.4)</t>
        </is>
      </c>
    </row>
    <row r="6">
      <c r="A6" s="12" t="inlineStr">
        <is>
          <t>Modo vazio = Faixa do livro; Faixa vazia = faixa do grupo; Tipo vazio = Comum (no modo Ajustar, o da base). A tabela já alimenta as listas de Encontros e Combate: não precisa copiar nada.</t>
        </is>
      </c>
    </row>
    <row r="7" ht="37" customHeight="1">
      <c r="A7" s="9" t="inlineStr">
        <is>
          <t>Rolagem nº (Fraquezas sugeridas)</t>
        </is>
      </c>
      <c r="B7" s="16" t="n"/>
      <c r="C7" s="18">
        <f>IF(ISNUMBER($DR$7),IF(AND($DR$7&gt;=1,$DR$7&lt;=1000000,INT($DR$7)=$DR$7),$DR$7,1),1)</f>
        <v/>
      </c>
      <c r="D7" s="12" t="inlineStr">
        <is>
          <t>Some 1 para sortear outra ordem de Fraquezas sugeridas.</t>
        </is>
      </c>
      <c r="K7" s="19">
        <f>IF(EA7&gt;0,"O Google leu como fórmula: digite de novo com ' na frente.",IF(LEN($DR$7)=0,"",IF(ISNUMBER($DR$7),IF(AND($DR$7&gt;=1,$DR$7&lt;=1000000,INT($DR$7)=$DR$7),"","Rolagem nº fora de 1 a 1.000.000: usando 1"),"Rolagem nº fora de 1 a 1.000.000: usando 1")))</f>
        <v/>
      </c>
      <c r="DR7" s="2">
        <f>IF(ISERROR($B$7),"",IF(ISBLANK($B$7),"",$B$7))</f>
        <v/>
      </c>
      <c r="EA7" s="2">
        <f>ISERROR($B$7)*1</f>
        <v/>
      </c>
    </row>
    <row r="8"/>
    <row r="9" ht="20" customHeight="1">
      <c r="A9" s="13" t="inlineStr">
        <is>
          <t>I1 · Conceito (preencha)</t>
        </is>
      </c>
    </row>
    <row r="10" ht="26" customHeight="1">
      <c r="A10" s="8" t="inlineStr">
        <is>
          <t>Nome</t>
        </is>
      </c>
      <c r="B10" s="8" t="inlineStr">
        <is>
          <t>Modo</t>
        </is>
      </c>
      <c r="C10" s="20" t="n"/>
      <c r="D10" s="8" t="inlineStr">
        <is>
          <t>Base do bestiário (modo Ajustar)</t>
        </is>
      </c>
      <c r="E10" s="20" t="n"/>
      <c r="F10" s="20" t="n"/>
      <c r="G10" s="8" t="inlineStr">
        <is>
          <t>Faixa</t>
        </is>
      </c>
      <c r="H10" s="8" t="inlineStr">
        <is>
          <t>Nível (modo Por nível)</t>
        </is>
      </c>
      <c r="I10" s="8" t="inlineStr">
        <is>
          <t>Tipo</t>
        </is>
      </c>
      <c r="J10" s="8" t="inlineStr">
        <is>
          <t>Fases (Boss, 1 a 3)</t>
        </is>
      </c>
      <c r="K10" s="8" t="inlineStr">
        <is>
          <t>Aviso</t>
        </is>
      </c>
      <c r="L10" s="20" t="n"/>
    </row>
    <row r="11" ht="26" customHeight="1">
      <c r="A11" s="33" t="n"/>
      <c r="B11" s="4" t="n"/>
      <c r="C11" s="17" t="n"/>
      <c r="D11" s="4" t="n"/>
      <c r="E11" s="25" t="n"/>
      <c r="F11" s="17" t="n"/>
      <c r="G11" s="34" t="n"/>
      <c r="H11" s="16" t="n"/>
      <c r="I11" s="34" t="n"/>
      <c r="J11" s="16" t="n"/>
      <c r="K11" s="19">
        <f>IF(EA11&gt;0,"O Google leu como fórmula: escolha de novo ou digite com ' na frente.",IF(LEN($DQ$11)=0,IF(LEN($DR$11&amp;$DT$11&amp;$DY$11)&gt;0,"Linha sem nome: o inimigo não entra nas listas",""),IF(COUNTIF($DQ$11:$DQ$22,$DQ$11)&gt;1,"Nome repetido na tabela",IF(COUNTIF('Dados'!$B$92:$B$123,$DQ$11)&gt;0,"Nome igual a uma criatura do bestiário: dê outro nome",IF(AND($BK$11="Ajustar do bestiário",$BL$11=0),"Modo Ajustar sem base do bestiário válida",IF(AND(LEN($DZ$11)&gt;0,$BN$11&lt;&gt;"Boss"),"Fases só valem para Boss (28.5)",IF(AND(ISNUMBER($DX$11),OR($DX$11&lt;1,$DX$11&gt;20)),"Nível fora de 1 a 20: usando o limite",IF(AND(LEN($DY$11)&gt;0,COUNTIF('Dados'!$AO$6:$AO$8,$DY$11)=0),"Tipo fora da lista: usando Comum",""))))))))</f>
        <v/>
      </c>
      <c r="N11" s="2">
        <f>IF(LEN($DQ$11)=0,"",$DQ$11)</f>
        <v/>
      </c>
      <c r="O11" s="2">
        <f>IF(LEN($DQ$11)=0,"",$BN$11)</f>
        <v/>
      </c>
      <c r="P11" s="2">
        <f>IF(LEN($DQ$11)=0,"",$BQ$11)</f>
        <v/>
      </c>
      <c r="Q11" s="2">
        <f>IF(LEN($DQ$11)=0,"",$BU$11)</f>
        <v/>
      </c>
      <c r="R11" s="2">
        <f>IF(LEN($DQ$11)=0,"",IFERROR(INDEX('Dados'!$E$38:$E$52,MATCH($BS$11,'Dados'!$A$38:$A$52,0)),""))</f>
        <v/>
      </c>
      <c r="S11" s="2">
        <f>IF(LEN($DQ$11)=0,"",IFERROR(INDEX('Dados'!$F$38:$F$52,MATCH($BS$11,'Dados'!$A$38:$A$52,0)),""))</f>
        <v/>
      </c>
      <c r="T11" s="2">
        <f>IF(LEN($DQ$11)=0,"",IFERROR(INDEX('Dados'!$G$38:$G$52,MATCH($BS$11,'Dados'!$A$38:$A$52,0)),""))</f>
        <v/>
      </c>
      <c r="U11" s="2">
        <f>IF(LEN($DQ$11)=0,"",IFERROR(INDEX('Dados'!$H$38:$H$52,MATCH($BS$11,'Dados'!$A$38:$A$52,0)),""))</f>
        <v/>
      </c>
      <c r="V11" s="2">
        <f>IF(LEN($DQ$11)=0,"",IFERROR(INDEX('Dados'!$I$38:$I$52,MATCH($BS$11,'Dados'!$A$38:$A$52,0)),""))</f>
        <v/>
      </c>
      <c r="W11" s="2">
        <f>IF(LEN($DQ$11)=0,"",IFERROR(INDEX('Dados'!$J$38:$J$52,MATCH($BS$11,'Dados'!$A$38:$A$52,0)),""))</f>
        <v/>
      </c>
      <c r="X11" s="2">
        <f>IF(LEN($DQ$11)=0,"",IFERROR(INDEX('Dados'!$K$38:$K$52,MATCH($BS$11,'Dados'!$A$38:$A$52,0)),""))</f>
        <v/>
      </c>
      <c r="Y11" s="2">
        <f>IF(LEN($DQ$11)=0,"",IFERROR(INDEX('Dados'!$L$38:$L$52,MATCH($BS$11,'Dados'!$A$38:$A$52,0)),""))</f>
        <v/>
      </c>
      <c r="Z11" s="2">
        <f>IF(LEN($DQ$11)=0,"",IFERROR(INDEX('Dados'!$M$38:$M$52,MATCH($BS$11,'Dados'!$A$38:$A$52,0)),""))</f>
        <v/>
      </c>
      <c r="AA11" s="2">
        <f>IF(LEN($DQ$11)=0,"",$BY$11)</f>
        <v/>
      </c>
      <c r="AB11" s="2">
        <f>IF(LEN($DQ$11)=0,"",$BZ$11)</f>
        <v/>
      </c>
      <c r="AC11" s="2">
        <f>IF(LEN($DQ$11)=0,"",$CA$11)</f>
        <v/>
      </c>
      <c r="AD11" s="2">
        <f>IF(LEN($DQ$11)=0,"",$CB$11)</f>
        <v/>
      </c>
      <c r="AE11" s="2">
        <f>IF(LEN($DQ$11)=0,"",$CC$11)</f>
        <v/>
      </c>
      <c r="AF11" s="2">
        <f>IF(LEN($DQ$11)=0,"",IF($DV$26="Sim","Pode",IF($DV$26="Não","Não",IF($BL$11=1,IFERROR(INDEX('Dados'!$V$92:$V$123,$BM$11)&amp;"",""),"Não declarado"))))</f>
        <v/>
      </c>
      <c r="AG11" s="2">
        <f>IF(LEN($DQ$11)=0,"",$BV$11)</f>
        <v/>
      </c>
      <c r="AH11" s="2">
        <f>IF(LEN($DQ$11)=0,"",IFERROR(INDEX('Dados'!$Q$38:$Q$52,MATCH($BS$11,'Dados'!$A$38:$A$52,0)),""))</f>
        <v/>
      </c>
      <c r="AI11" s="2">
        <f>IF(LEN($DQ$11)=0,"",IF(AND($BL$11=1,$DT$11="Escória de Stellaron"),1.5,1)*$BU$11)</f>
        <v/>
      </c>
      <c r="AJ11" s="2">
        <f>IF(LEN($DQ$11)=0,"",IFERROR(INDEX('Dados'!$P$38:$P$52,MATCH($BS$11,'Dados'!$A$38:$A$52,0)),""))</f>
        <v/>
      </c>
      <c r="AK11" s="2">
        <f>IF(LEN($DQ$11)=0,"",IF($BV$11=2,INT($BU$11/2),IF($BV$11=3,INT(2*$BU$11/3),"")))</f>
        <v/>
      </c>
      <c r="AL11" s="2">
        <f>IF(LEN($DQ$11)=0,"",IF($BV$11=3,INT($BU$11/3),""))</f>
        <v/>
      </c>
      <c r="AM11" s="2">
        <f>IF(OR(LEN($DQ$11)=0,$BV$11&lt;2),"",IFERROR(INDEX($DT$88:$DT$112,MATCH($DQ$11&amp;"|2",$N$88:$N$112,0))&amp;"",IF($BL$11=1,IFERROR(INDEX('Dados'!$G$127:$G$138,MATCH($DT$11&amp;"|2",'Dados'!$A$127:$A$138,0)),""),"")))</f>
        <v/>
      </c>
      <c r="AN11" s="2">
        <f>IF(OR(LEN($DQ$11)=0,$BV$11&lt;2),"",IFERROR(INDEX($DU$88:$DU$112,MATCH($DQ$11&amp;"|2",$N$88:$N$112,0))&amp;"",IF($BL$11=1,IFERROR(INDEX('Dados'!$H$127:$H$138,MATCH($DT$11&amp;"|2",'Dados'!$A$127:$A$138,0)),""),"")))</f>
        <v/>
      </c>
      <c r="AO11" s="2">
        <f>IF(OR(LEN($DQ$11)=0,$BV$11&lt;2),"",IFERROR(INDEX($DV$88:$DV$112,MATCH($DQ$11&amp;"|2",$N$88:$N$112,0))&amp;"",IF($BL$11=1,IFERROR(INDEX('Dados'!$I$127:$I$138,MATCH($DT$11&amp;"|2",'Dados'!$A$127:$A$138,0)),""),"")))</f>
        <v/>
      </c>
      <c r="AP11" s="2">
        <f>IF(OR(LEN($DQ$11)=0,$BV$11&lt;2),"",IFERROR(INDEX($DW$88:$DW$112,MATCH($DQ$11&amp;"|2",$N$88:$N$112,0))&amp;"",IF($BL$11=1,IFERROR(INDEX('Dados'!$J$127:$J$138,MATCH($DT$11&amp;"|2",'Dados'!$A$127:$A$138,0)),""),"")))</f>
        <v/>
      </c>
      <c r="AQ11" s="2">
        <f>IF(OR(LEN($DQ$11)=0,$BV$11&lt;2),"",IF(ISNUMBER(MATCH($DQ$11&amp;"|2",$N$88:$N$112,0)),IF(ISNUMBER(INDEX($DX$88:$DX$112,MATCH($DQ$11&amp;"|2",$N$88:$N$112,0))),MIN(IFERROR(INDEX('Dados'!$G$38:$G$52,MATCH($BS$11,'Dados'!$A$38:$A$52,0)),""),INDEX($DX$88:$DX$112,MATCH($DQ$11&amp;"|2",$N$88:$N$112,0))),IFERROR(INDEX('Dados'!$G$38:$G$52,MATCH($BS$11,'Dados'!$A$38:$A$52,0)),"")),IF($BL$11=1,IFERROR(MIN(IFERROR(INDEX('Dados'!$G$38:$G$52,MATCH($BS$11,'Dados'!$A$38:$A$52,0)),""),INT(INDEX('Dados'!$K$127:$K$138,MATCH($DT$11&amp;"|2",'Dados'!$A$127:$A$138,0))*IFERROR(INDEX('Dados'!$G$38:$G$52,MATCH($BS$11,'Dados'!$A$38:$A$52,0)),"")/$CH$11)),IFERROR(INDEX('Dados'!$G$38:$G$52,MATCH($BS$11,'Dados'!$A$38:$A$52,0)),"")),IFERROR(INDEX('Dados'!$G$38:$G$52,MATCH($BS$11,'Dados'!$A$38:$A$52,0)),""))))</f>
        <v/>
      </c>
      <c r="AR11" s="2">
        <f>IF(OR(LEN($DQ$11)=0,$BV$11&lt;3),"",IFERROR(INDEX($DT$88:$DT$112,MATCH($DQ$11&amp;"|3",$N$88:$N$112,0))&amp;"",IF($BL$11=1,IFERROR(INDEX('Dados'!$G$127:$G$138,MATCH($DT$11&amp;"|3",'Dados'!$A$127:$A$138,0)),""),"")))</f>
        <v/>
      </c>
      <c r="AS11" s="2">
        <f>IF(OR(LEN($DQ$11)=0,$BV$11&lt;3),"",IFERROR(INDEX($DU$88:$DU$112,MATCH($DQ$11&amp;"|3",$N$88:$N$112,0))&amp;"",IF($BL$11=1,IFERROR(INDEX('Dados'!$H$127:$H$138,MATCH($DT$11&amp;"|3",'Dados'!$A$127:$A$138,0)),""),"")))</f>
        <v/>
      </c>
      <c r="AT11" s="2">
        <f>IF(OR(LEN($DQ$11)=0,$BV$11&lt;3),"",IFERROR(INDEX($DV$88:$DV$112,MATCH($DQ$11&amp;"|3",$N$88:$N$112,0))&amp;"",IF($BL$11=1,IFERROR(INDEX('Dados'!$I$127:$I$138,MATCH($DT$11&amp;"|3",'Dados'!$A$127:$A$138,0)),""),"")))</f>
        <v/>
      </c>
      <c r="AU11" s="2">
        <f>IF(OR(LEN($DQ$11)=0,$BV$11&lt;3),"",IFERROR(INDEX($DW$88:$DW$112,MATCH($DQ$11&amp;"|3",$N$88:$N$112,0))&amp;"",IF($BL$11=1,IFERROR(INDEX('Dados'!$J$127:$J$138,MATCH($DT$11&amp;"|3",'Dados'!$A$127:$A$138,0)),""),"")))</f>
        <v/>
      </c>
      <c r="AV11" s="2">
        <f>IF(OR(LEN($DQ$11)=0,$BV$11&lt;3),"",IF(ISNUMBER(MATCH($DQ$11&amp;"|3",$N$88:$N$112,0)),IF(ISNUMBER(INDEX($DX$88:$DX$112,MATCH($DQ$11&amp;"|3",$N$88:$N$112,0))),MIN(IFERROR(INDEX('Dados'!$G$38:$G$52,MATCH($BS$11,'Dados'!$A$38:$A$52,0)),""),INDEX($DX$88:$DX$112,MATCH($DQ$11&amp;"|3",$N$88:$N$112,0))),IFERROR(INDEX('Dados'!$G$38:$G$52,MATCH($BS$11,'Dados'!$A$38:$A$52,0)),"")),IF($BL$11=1,IFERROR(MIN(IFERROR(INDEX('Dados'!$G$38:$G$52,MATCH($BS$11,'Dados'!$A$38:$A$52,0)),""),INT(INDEX('Dados'!$K$127:$K$138,MATCH($DT$11&amp;"|3",'Dados'!$A$127:$A$138,0))*IFERROR(INDEX('Dados'!$G$38:$G$52,MATCH($BS$11,'Dados'!$A$38:$A$52,0)),"")/$CH$11)),IFERROR(INDEX('Dados'!$G$38:$G$52,MATCH($BS$11,'Dados'!$A$38:$A$52,0)),"")),IFERROR(INDEX('Dados'!$G$38:$G$52,MATCH($BS$11,'Dados'!$A$38:$A$52,0)),""))))</f>
        <v/>
      </c>
      <c r="AW11" s="2">
        <f>IF(LEN($DQ$11)=0,"",IF($BL$11=1,IFERROR(INDEX('Dados'!$AF$92:$AF$123,$BM$11)&amp;"",""),IFERROR(INDEX($DU$116:$DU$153,MATCH($DQ$11&amp;"|1",$Q$116:$Q$153,0))&amp;"","")))</f>
        <v/>
      </c>
      <c r="AX11" s="2">
        <f>IF(LEN($DQ$11)=0,"",IF($BL$11=1,IF(ISNUMBER(IFERROR(INDEX('Dados'!$AG$92:$AG$123,$BM$11),"")),IF(IFERROR(INDEX('Dados'!$AG$92:$AG$123,$BM$11),"")&gt;0,IFERROR(INDEX('Dados'!$AG$92:$AG$123,$BM$11),""),""),""),IFERROR(INDEX($DY$116:$DY$153,MATCH($DQ$11&amp;"|1",$Q$116:$Q$153,0))+0,"")))</f>
        <v/>
      </c>
      <c r="AY11" s="2">
        <f>IF(LEN($DQ$11)=0,"",IF($BL$11=1,IFERROR(INDEX('Dados'!$AH$92:$AH$123,$BM$11)&amp;"",""),IFERROR(INDEX($DU$116:$DU$153,MATCH($DQ$11&amp;"|2",$Q$116:$Q$153,0))&amp;"","")))</f>
        <v/>
      </c>
      <c r="AZ11" s="2">
        <f>IF(LEN($DQ$11)=0,"",IF($BL$11=1,IF(ISNUMBER(IFERROR(INDEX('Dados'!$AI$92:$AI$123,$BM$11),"")),IF(IFERROR(INDEX('Dados'!$AI$92:$AI$123,$BM$11),"")&gt;0,IFERROR(INDEX('Dados'!$AI$92:$AI$123,$BM$11),""),""),""),IFERROR(INDEX($DY$116:$DY$153,MATCH($DQ$11&amp;"|2",$Q$116:$Q$153,0))+0,"")))</f>
        <v/>
      </c>
      <c r="BA11" s="2">
        <f>IF(LEN($DQ$11)=0,"",IF($BL$11=1,IFERROR(INDEX('Dados'!$AJ$92:$AJ$123,$BM$11)&amp;"",""),IFERROR(INDEX($DU$116:$DU$153,MATCH($DQ$11&amp;"|3",$Q$116:$Q$153,0))&amp;"","")))</f>
        <v/>
      </c>
      <c r="BB11" s="2">
        <f>IF(LEN($DQ$11)=0,"",IF($BL$11=1,IF(ISNUMBER(IFERROR(INDEX('Dados'!$AK$92:$AK$123,$BM$11),"")),IF(IFERROR(INDEX('Dados'!$AK$92:$AK$123,$BM$11),"")&gt;0,IFERROR(INDEX('Dados'!$AK$92:$AK$123,$BM$11),""),""),""),IFERROR(INDEX($DY$116:$DY$153,MATCH($DQ$11&amp;"|3",$Q$116:$Q$153,0))+0,"")))</f>
        <v/>
      </c>
      <c r="BC11" s="2">
        <f>IF(LEN($DQ$11)=0,"",IF(LEN($DR$26)&gt;0,$DR$26,IF($BL$11=1,IFERROR(INDEX('Dados'!$E$92:$E$123,$BM$11)&amp;"",""),"")))</f>
        <v/>
      </c>
      <c r="BD11" s="2">
        <f>IF(AND(LEN($DR$26)=0,$BL$11=1),IFERROR(INDEX('Dados'!$AD$92:$AD$123,$BM$11)&amp;"",""),"")</f>
        <v/>
      </c>
      <c r="BE11" s="2">
        <f>IF(LEN($DQ$11)=0,"",INDEX('Dados'!$F$7:$F$11,$BR$11))</f>
        <v/>
      </c>
      <c r="BF11" s="2">
        <f>IF(LEN($DQ$11)=0,"",$BR$11)</f>
        <v/>
      </c>
      <c r="BG11" s="2">
        <f>$G$42</f>
        <v/>
      </c>
      <c r="BH11" s="2">
        <f>"Campanha"</f>
        <v/>
      </c>
      <c r="BK11" s="2">
        <f>IF(COUNTIF('Dados'!$AQ$6:$AQ$8,$DR$11)&gt;0,$DR$11,"Faixa do livro")</f>
        <v/>
      </c>
      <c r="BL11" s="2">
        <f>IF(AND($BK$11="Ajustar do bestiário",ISNUMBER($BM$11)),1,0)</f>
        <v/>
      </c>
      <c r="BM11" s="2">
        <f>IFERROR(MATCH($DT$11,'Dados'!$B$92:$B$123,0),"")</f>
        <v/>
      </c>
      <c r="BN11" s="2">
        <f>IF(COUNTIF('Dados'!$AO$6:$AO$8,$DY$11)&gt;0,$DY$11,IF($BL$11=1,IFERROR(INDEX('Dados'!$C$92:$C$123,$BM$11),""),"Comum"))</f>
        <v/>
      </c>
      <c r="BO11" s="2">
        <f>MATCH($BN$11,'Dados'!$AO$6:$AO$8,0)</f>
        <v/>
      </c>
      <c r="BP11" s="2">
        <f>IF(ISNUMBER($DX$11),MIN(20,MAX(1,INT($DX$11))),'Campanha'!$B$17)</f>
        <v/>
      </c>
      <c r="BQ11" s="2">
        <f>IF($BK$11="Por nível — Sugestão",INDEX('Dados'!$B$7:$B$11,INT(($BP$11-1)/4)+1),IF(LEN(IFERROR(INDEX('Dados'!$B$7:$B$11,MATCH($DW$11,'Dados'!$AP$6:$AP$10,0)),""))&gt;0,IFERROR(INDEX('Dados'!$B$7:$B$11,MATCH($DW$11,'Dados'!$AP$6:$AP$10,0)),""),'Campanha'!$B$19))</f>
        <v/>
      </c>
      <c r="BR11" s="2">
        <f>MATCH($BQ$11,'Dados'!$B$7:$B$11,0)</f>
        <v/>
      </c>
      <c r="BS11" s="2">
        <f>$BQ$11&amp;"|"&amp;$BN$11</f>
        <v/>
      </c>
      <c r="BT11" s="2">
        <f>MIN(4,MAX(1,INT(($BP$11-3)/4)+1))</f>
        <v/>
      </c>
      <c r="BU11" s="2">
        <f>IF($BK$11="Por nível — Sugestão",INT(IF($BP$11&lt;=3,INDEX('Dados'!$D$38:$D$52,$BO$11),IF($BP$11&gt;=19,INDEX('Dados'!$D$38:$D$52,12+$BO$11),INDEX('Dados'!$D$38:$D$52,($BT$11-1)*3+$BO$11)+(INDEX('Dados'!$D$38:$D$52,$BT$11*3+$BO$11)-INDEX('Dados'!$D$38:$D$52,($BT$11-1)*3+$BO$11))*($BP$11-(4*$BT$11-1))/4))),IFERROR(INDEX('Dados'!$D$38:$D$52,MATCH($BS$11,'Dados'!$A$38:$A$52,0)),""))</f>
        <v/>
      </c>
      <c r="BV11" s="2">
        <f>IF($BN$11&lt;&gt;"Boss",1,IF(AND(ISNUMBER($DZ$11),$DZ$11&gt;=1,$DZ$11&lt;=3),INT($DZ$11),IF($BL$11=1,MAX(1,IFERROR(INDEX('Dados'!$F$92:$F$123,$BM$11),"")),1)))</f>
        <v/>
      </c>
      <c r="BW11" s="2">
        <f>IFERROR(INDEX('Dados'!$O$38:$O$52,MATCH($BS$11,'Dados'!$A$38:$A$52,0)),"")</f>
        <v/>
      </c>
      <c r="BX11" s="2">
        <f>IF(AND(LEN($DR$42)=0,LEN($DS$42)=0,LEN($DT$42)=0,LEN($DU$42)=0),1,0)</f>
        <v/>
      </c>
      <c r="BY11" s="2">
        <f>IF(LEN($DQ$11)=0,"",IF($BX$11=0,$DR$42&amp;"",IF($BL$11=1,IFERROR(INDEX('Dados'!$Q$92:$Q$123,$BM$11)&amp;"",""),IF(1&lt;=$BW$11,$CD$11,""))))</f>
        <v/>
      </c>
      <c r="BZ11" s="2">
        <f>IF(LEN($DQ$11)=0,"",IF($BX$11=0,$DS$42&amp;"",IF($BL$11=1,IFERROR(INDEX('Dados'!$R$92:$R$123,$BM$11)&amp;"",""),IF(2&lt;=$BW$11,$CE$11,""))))</f>
        <v/>
      </c>
      <c r="CA11" s="2">
        <f>IF(LEN($DQ$11)=0,"",IF($BX$11=0,$DT$42&amp;"",IF($BL$11=1,IFERROR(INDEX('Dados'!$S$92:$S$123,$BM$11)&amp;"",""),IF(3&lt;=$BW$11,$CF$11,""))))</f>
        <v/>
      </c>
      <c r="CB11" s="2">
        <f>IF(LEN($DQ$11)=0,"",IF($BX$11=0,$DU$42&amp;"",IF($BL$11=1,IFERROR(INDEX('Dados'!$T$92:$T$123,$BM$11)&amp;"",""),IF(4&lt;=$BW$11,$CG$11,""))))</f>
        <v/>
      </c>
      <c r="CC11" s="2">
        <f>IF(LEN($DV$42)&gt;0,$DV$42,IF($BL$11=1,IFERROR(INDEX('Dados'!$U$92:$U$123,$BM$11)&amp;"",""),""))</f>
        <v/>
      </c>
      <c r="CD11" s="2">
        <f>INDEX('Dados'!$A$301:$A$307,MATCH(SMALL($DI$11:$DO$11,1),$DI$11:$DO$11,0))</f>
        <v/>
      </c>
      <c r="CE11" s="2">
        <f>INDEX('Dados'!$A$301:$A$307,MATCH(SMALL($DI$11:$DO$11,2),$DI$11:$DO$11,0))</f>
        <v/>
      </c>
      <c r="CF11" s="2">
        <f>INDEX('Dados'!$A$301:$A$307,MATCH(SMALL($DI$11:$DO$11,3),$DI$11:$DO$11,0))</f>
        <v/>
      </c>
      <c r="CG11" s="2">
        <f>INDEX('Dados'!$A$301:$A$307,MATCH(SMALL($DI$11:$DO$11,4),$DI$11:$DO$11,0))</f>
        <v/>
      </c>
      <c r="CH11" s="2">
        <f>IF($BL$11=1,IFERROR(INDEX('Dados'!$J$92:$J$123,$BM$11),""),"")</f>
        <v/>
      </c>
      <c r="CI11" s="2">
        <f>IF($BL$11=1,IFERROR(INDEX('Dados'!$G$92:$G$123,$BM$11),""),"")</f>
        <v/>
      </c>
      <c r="CJ11" s="2">
        <f>IFERROR(INDEX('Dados'!$S$38:$S$52,MATCH($BS$11,'Dados'!$A$38:$A$52,0)),"")</f>
        <v/>
      </c>
      <c r="CK11" s="2">
        <f>IFERROR(INDEX('Dados'!$T$38:$T$52,MATCH($BS$11,'Dados'!$A$38:$A$52,0)),"")</f>
        <v/>
      </c>
      <c r="CL11" s="2">
        <f>IFERROR(INDEX('Dados'!$J$38:$J$52,MATCH($BQ$11&amp;"|Comum",'Dados'!$A$38:$A$52,0)),"")</f>
        <v/>
      </c>
      <c r="CM11" s="2">
        <f>IFERROR(INDEX('Dados'!$K$38:$K$52,MATCH($BQ$11&amp;"|Comum",'Dados'!$A$38:$A$52,0)),"")</f>
        <v/>
      </c>
      <c r="CN11" s="2">
        <f>MOD(MOD(MOD((MOD('Início'!$E$16+104729*$C$7+15167889,2147483646)+1)*16807,2147483647)*16807,2147483647)*16807,2147483647)</f>
        <v/>
      </c>
      <c r="CO11" s="2">
        <f>MOD(MOD(MOD((MOD(MOD(INT($CN$11/65536)*$CN$11,2147483647)*65536+MOD($CN$11,65536)*$CN$11,2147483647))*16807,2147483647)*16807,2147483647)*16807,2147483647)</f>
        <v/>
      </c>
      <c r="CP11" s="2">
        <f>MOD(MOD(MOD((MOD($CO$11+INT($CO$11/65536)*MOD($CO$11,65536),2147483646)+1)*16807,2147483647)*16807,2147483647)*16807,2147483647)</f>
        <v/>
      </c>
      <c r="CQ11" s="2">
        <f>MOD(MOD(MOD((MOD('Início'!$E$16+104729*$C$7+16467598,2147483646)+1)*16807,2147483647)*16807,2147483647)*16807,2147483647)</f>
        <v/>
      </c>
      <c r="CR11" s="2">
        <f>MOD(MOD(MOD((MOD(MOD(INT($CQ$11/65536)*$CQ$11,2147483647)*65536+MOD($CQ$11,65536)*$CQ$11,2147483647))*16807,2147483647)*16807,2147483647)*16807,2147483647)</f>
        <v/>
      </c>
      <c r="CS11" s="2">
        <f>MOD(MOD(MOD((MOD($CR$11+INT($CR$11/65536)*MOD($CR$11,65536),2147483646)+1)*16807,2147483647)*16807,2147483647)*16807,2147483647)</f>
        <v/>
      </c>
      <c r="CT11" s="2">
        <f>MOD(MOD(MOD((MOD('Início'!$E$16+104729*$C$7+17767307,2147483646)+1)*16807,2147483647)*16807,2147483647)*16807,2147483647)</f>
        <v/>
      </c>
      <c r="CU11" s="2">
        <f>MOD(MOD(MOD((MOD(MOD(INT($CT$11/65536)*$CT$11,2147483647)*65536+MOD($CT$11,65536)*$CT$11,2147483647))*16807,2147483647)*16807,2147483647)*16807,2147483647)</f>
        <v/>
      </c>
      <c r="CV11" s="2">
        <f>MOD(MOD(MOD((MOD($CU$11+INT($CU$11/65536)*MOD($CU$11,65536),2147483646)+1)*16807,2147483647)*16807,2147483647)*16807,2147483647)</f>
        <v/>
      </c>
      <c r="CW11" s="2">
        <f>MOD(MOD(MOD((MOD('Início'!$E$16+104729*$C$7+19067016,2147483646)+1)*16807,2147483647)*16807,2147483647)*16807,2147483647)</f>
        <v/>
      </c>
      <c r="CX11" s="2">
        <f>MOD(MOD(MOD((MOD(MOD(INT($CW$11/65536)*$CW$11,2147483647)*65536+MOD($CW$11,65536)*$CW$11,2147483647))*16807,2147483647)*16807,2147483647)*16807,2147483647)</f>
        <v/>
      </c>
      <c r="CY11" s="2">
        <f>MOD(MOD(MOD((MOD($CX$11+INT($CX$11/65536)*MOD($CX$11,65536),2147483646)+1)*16807,2147483647)*16807,2147483647)*16807,2147483647)</f>
        <v/>
      </c>
      <c r="CZ11" s="2">
        <f>MOD(MOD(MOD((MOD('Início'!$E$16+104729*$C$7+20366725,2147483646)+1)*16807,2147483647)*16807,2147483647)*16807,2147483647)</f>
        <v/>
      </c>
      <c r="DA11" s="2">
        <f>MOD(MOD(MOD((MOD(MOD(INT($CZ$11/65536)*$CZ$11,2147483647)*65536+MOD($CZ$11,65536)*$CZ$11,2147483647))*16807,2147483647)*16807,2147483647)*16807,2147483647)</f>
        <v/>
      </c>
      <c r="DB11" s="2">
        <f>MOD(MOD(MOD((MOD($DA$11+INT($DA$11/65536)*MOD($DA$11,65536),2147483646)+1)*16807,2147483647)*16807,2147483647)*16807,2147483647)</f>
        <v/>
      </c>
      <c r="DC11" s="2">
        <f>MOD(MOD(MOD((MOD('Início'!$E$16+104729*$C$7+21666434,2147483646)+1)*16807,2147483647)*16807,2147483647)*16807,2147483647)</f>
        <v/>
      </c>
      <c r="DD11" s="2">
        <f>MOD(MOD(MOD((MOD(MOD(INT($DC$11/65536)*$DC$11,2147483647)*65536+MOD($DC$11,65536)*$DC$11,2147483647))*16807,2147483647)*16807,2147483647)*16807,2147483647)</f>
        <v/>
      </c>
      <c r="DE11" s="2">
        <f>MOD(MOD(MOD((MOD($DD$11+INT($DD$11/65536)*MOD($DD$11,65536),2147483646)+1)*16807,2147483647)*16807,2147483647)*16807,2147483647)</f>
        <v/>
      </c>
      <c r="DF11" s="2">
        <f>MOD(MOD(MOD((MOD('Início'!$E$16+104729*$C$7+22966143,2147483646)+1)*16807,2147483647)*16807,2147483647)*16807,2147483647)</f>
        <v/>
      </c>
      <c r="DG11" s="2">
        <f>MOD(MOD(MOD((MOD(MOD(INT($DF$11/65536)*$DF$11,2147483647)*65536+MOD($DF$11,65536)*$DF$11,2147483647))*16807,2147483647)*16807,2147483647)*16807,2147483647)</f>
        <v/>
      </c>
      <c r="DH11" s="2">
        <f>MOD(MOD(MOD((MOD($DG$11+INT($DG$11/65536)*MOD($DG$11,65536),2147483646)+1)*16807,2147483647)*16807,2147483647)*16807,2147483647)</f>
        <v/>
      </c>
      <c r="DI11" s="2">
        <f>IF($CC$11="Físico",9000000000,IF(AND('Grupo'!$B$81="Sim",0=0),0,2147483647))+$CP$11+1/10</f>
        <v/>
      </c>
      <c r="DJ11" s="2">
        <f>IF($CC$11="Fogo",9000000000,IF(AND('Grupo'!$C$81="Sim",0=0),0,2147483647))+$CS$11+2/10</f>
        <v/>
      </c>
      <c r="DK11" s="2">
        <f>IF($CC$11="Gelo",9000000000,IF(AND('Grupo'!$D$81="Sim",0=0),0,2147483647))+$CV$11+3/10</f>
        <v/>
      </c>
      <c r="DL11" s="2">
        <f>IF($CC$11="Raio",9000000000,IF(AND('Grupo'!$E$81="Sim",0=0),0,2147483647))+$CY$11+4/10</f>
        <v/>
      </c>
      <c r="DM11" s="2">
        <f>IF($CC$11="Vento",9000000000,IF(AND('Grupo'!$F$81="Sim",0=0),0,2147483647))+$DB$11+5/10</f>
        <v/>
      </c>
      <c r="DN11" s="2">
        <f>IF($CC$11="Quântico",9000000000,IF(AND('Grupo'!$G$81="Sim",0=0),0,2147483647))+$DE$11+6/10</f>
        <v/>
      </c>
      <c r="DO11" s="2">
        <f>IF($CC$11="Imaginário",9000000000,IF(AND('Grupo'!$H$81="Sim",0=0),0,2147483647))+$DH$11+7/10</f>
        <v/>
      </c>
      <c r="DQ11" s="2">
        <f>IF(ISERROR($A$11),"",IF(ISBLANK($A$11),"",$A$11))</f>
        <v/>
      </c>
      <c r="DR11" s="2">
        <f>IF(ISERROR($B$11),"",IF(ISBLANK($B$11),"",$B$11))</f>
        <v/>
      </c>
      <c r="DT11" s="2">
        <f>IF(ISERROR($D$11),"",IF(ISBLANK($D$11),"",$D$11))</f>
        <v/>
      </c>
      <c r="DW11" s="2">
        <f>IF(ISERROR($G$11),"",IF(ISBLANK($G$11),"",$G$11))</f>
        <v/>
      </c>
      <c r="DX11" s="2">
        <f>IF(ISERROR($H$11),"",IF(ISBLANK($H$11),"",$H$11))</f>
        <v/>
      </c>
      <c r="DY11" s="2">
        <f>IF(ISERROR($I$11),"",IF(ISBLANK($I$11),"",$I$11))</f>
        <v/>
      </c>
      <c r="DZ11" s="2">
        <f>IF(ISERROR($J$11),"",IF(ISBLANK($J$11),"",$J$11))</f>
        <v/>
      </c>
      <c r="EA11" s="2">
        <f>ISERROR($A$11)*1+ISERROR($B$11)*1+ISERROR($D$11)*1+ISERROR($G$11)*1+ISERROR($H$11)*1+ISERROR($I$11)*1+ISERROR($J$11)*1</f>
        <v/>
      </c>
    </row>
    <row r="12" ht="26" customHeight="1">
      <c r="A12" s="35" t="n"/>
      <c r="B12" s="29" t="n"/>
      <c r="C12" s="17" t="n"/>
      <c r="D12" s="29" t="n"/>
      <c r="E12" s="25" t="n"/>
      <c r="F12" s="17" t="n"/>
      <c r="G12" s="36" t="n"/>
      <c r="H12" s="37" t="n"/>
      <c r="I12" s="36" t="n"/>
      <c r="J12" s="37" t="n"/>
      <c r="K12" s="27">
        <f>IF(EA12&gt;0,"O Google leu como fórmula: escolha de novo ou digite com ' na frente.",IF(LEN($DQ$12)=0,IF(LEN($DR$12&amp;$DT$12&amp;$DY$12)&gt;0,"Linha sem nome: o inimigo não entra nas listas",""),IF(COUNTIF($DQ$11:$DQ$22,$DQ$12)&gt;1,"Nome repetido na tabela",IF(COUNTIF('Dados'!$B$92:$B$123,$DQ$12)&gt;0,"Nome igual a uma criatura do bestiário: dê outro nome",IF(AND($BK$12="Ajustar do bestiário",$BL$12=0),"Modo Ajustar sem base do bestiário válida",IF(AND(LEN($DZ$12)&gt;0,$BN$12&lt;&gt;"Boss"),"Fases só valem para Boss (28.5)",IF(AND(ISNUMBER($DX$12),OR($DX$12&lt;1,$DX$12&gt;20)),"Nível fora de 1 a 20: usando o limite",IF(AND(LEN($DY$12)&gt;0,COUNTIF('Dados'!$AO$6:$AO$8,$DY$12)=0),"Tipo fora da lista: usando Comum",""))))))))</f>
        <v/>
      </c>
      <c r="N12" s="2">
        <f>IF(LEN($DQ$12)=0,"",$DQ$12)</f>
        <v/>
      </c>
      <c r="O12" s="2">
        <f>IF(LEN($DQ$12)=0,"",$BN$12)</f>
        <v/>
      </c>
      <c r="P12" s="2">
        <f>IF(LEN($DQ$12)=0,"",$BQ$12)</f>
        <v/>
      </c>
      <c r="Q12" s="2">
        <f>IF(LEN($DQ$12)=0,"",$BU$12)</f>
        <v/>
      </c>
      <c r="R12" s="2">
        <f>IF(LEN($DQ$12)=0,"",IFERROR(INDEX('Dados'!$E$38:$E$52,MATCH($BS$12,'Dados'!$A$38:$A$52,0)),""))</f>
        <v/>
      </c>
      <c r="S12" s="2">
        <f>IF(LEN($DQ$12)=0,"",IFERROR(INDEX('Dados'!$F$38:$F$52,MATCH($BS$12,'Dados'!$A$38:$A$52,0)),""))</f>
        <v/>
      </c>
      <c r="T12" s="2">
        <f>IF(LEN($DQ$12)=0,"",IFERROR(INDEX('Dados'!$G$38:$G$52,MATCH($BS$12,'Dados'!$A$38:$A$52,0)),""))</f>
        <v/>
      </c>
      <c r="U12" s="2">
        <f>IF(LEN($DQ$12)=0,"",IFERROR(INDEX('Dados'!$H$38:$H$52,MATCH($BS$12,'Dados'!$A$38:$A$52,0)),""))</f>
        <v/>
      </c>
      <c r="V12" s="2">
        <f>IF(LEN($DQ$12)=0,"",IFERROR(INDEX('Dados'!$I$38:$I$52,MATCH($BS$12,'Dados'!$A$38:$A$52,0)),""))</f>
        <v/>
      </c>
      <c r="W12" s="2">
        <f>IF(LEN($DQ$12)=0,"",IFERROR(INDEX('Dados'!$J$38:$J$52,MATCH($BS$12,'Dados'!$A$38:$A$52,0)),""))</f>
        <v/>
      </c>
      <c r="X12" s="2">
        <f>IF(LEN($DQ$12)=0,"",IFERROR(INDEX('Dados'!$K$38:$K$52,MATCH($BS$12,'Dados'!$A$38:$A$52,0)),""))</f>
        <v/>
      </c>
      <c r="Y12" s="2">
        <f>IF(LEN($DQ$12)=0,"",IFERROR(INDEX('Dados'!$L$38:$L$52,MATCH($BS$12,'Dados'!$A$38:$A$52,0)),""))</f>
        <v/>
      </c>
      <c r="Z12" s="2">
        <f>IF(LEN($DQ$12)=0,"",IFERROR(INDEX('Dados'!$M$38:$M$52,MATCH($BS$12,'Dados'!$A$38:$A$52,0)),""))</f>
        <v/>
      </c>
      <c r="AA12" s="2">
        <f>IF(LEN($DQ$12)=0,"",$BY$12)</f>
        <v/>
      </c>
      <c r="AB12" s="2">
        <f>IF(LEN($DQ$12)=0,"",$BZ$12)</f>
        <v/>
      </c>
      <c r="AC12" s="2">
        <f>IF(LEN($DQ$12)=0,"",$CA$12)</f>
        <v/>
      </c>
      <c r="AD12" s="2">
        <f>IF(LEN($DQ$12)=0,"",$CB$12)</f>
        <v/>
      </c>
      <c r="AE12" s="2">
        <f>IF(LEN($DQ$12)=0,"",$CC$12)</f>
        <v/>
      </c>
      <c r="AF12" s="2">
        <f>IF(LEN($DQ$12)=0,"",IF($DV$27="Sim","Pode",IF($DV$27="Não","Não",IF($BL$12=1,IFERROR(INDEX('Dados'!$V$92:$V$123,$BM$12)&amp;"",""),"Não declarado"))))</f>
        <v/>
      </c>
      <c r="AG12" s="2">
        <f>IF(LEN($DQ$12)=0,"",$BV$12)</f>
        <v/>
      </c>
      <c r="AH12" s="2">
        <f>IF(LEN($DQ$12)=0,"",IFERROR(INDEX('Dados'!$Q$38:$Q$52,MATCH($BS$12,'Dados'!$A$38:$A$52,0)),""))</f>
        <v/>
      </c>
      <c r="AI12" s="2">
        <f>IF(LEN($DQ$12)=0,"",IF(AND($BL$12=1,$DT$12="Escória de Stellaron"),1.5,1)*$BU$12)</f>
        <v/>
      </c>
      <c r="AJ12" s="2">
        <f>IF(LEN($DQ$12)=0,"",IFERROR(INDEX('Dados'!$P$38:$P$52,MATCH($BS$12,'Dados'!$A$38:$A$52,0)),""))</f>
        <v/>
      </c>
      <c r="AK12" s="2">
        <f>IF(LEN($DQ$12)=0,"",IF($BV$12=2,INT($BU$12/2),IF($BV$12=3,INT(2*$BU$12/3),"")))</f>
        <v/>
      </c>
      <c r="AL12" s="2">
        <f>IF(LEN($DQ$12)=0,"",IF($BV$12=3,INT($BU$12/3),""))</f>
        <v/>
      </c>
      <c r="AM12" s="2">
        <f>IF(OR(LEN($DQ$12)=0,$BV$12&lt;2),"",IFERROR(INDEX($DT$88:$DT$112,MATCH($DQ$12&amp;"|2",$N$88:$N$112,0))&amp;"",IF($BL$12=1,IFERROR(INDEX('Dados'!$G$127:$G$138,MATCH($DT$12&amp;"|2",'Dados'!$A$127:$A$138,0)),""),"")))</f>
        <v/>
      </c>
      <c r="AN12" s="2">
        <f>IF(OR(LEN($DQ$12)=0,$BV$12&lt;2),"",IFERROR(INDEX($DU$88:$DU$112,MATCH($DQ$12&amp;"|2",$N$88:$N$112,0))&amp;"",IF($BL$12=1,IFERROR(INDEX('Dados'!$H$127:$H$138,MATCH($DT$12&amp;"|2",'Dados'!$A$127:$A$138,0)),""),"")))</f>
        <v/>
      </c>
      <c r="AO12" s="2">
        <f>IF(OR(LEN($DQ$12)=0,$BV$12&lt;2),"",IFERROR(INDEX($DV$88:$DV$112,MATCH($DQ$12&amp;"|2",$N$88:$N$112,0))&amp;"",IF($BL$12=1,IFERROR(INDEX('Dados'!$I$127:$I$138,MATCH($DT$12&amp;"|2",'Dados'!$A$127:$A$138,0)),""),"")))</f>
        <v/>
      </c>
      <c r="AP12" s="2">
        <f>IF(OR(LEN($DQ$12)=0,$BV$12&lt;2),"",IFERROR(INDEX($DW$88:$DW$112,MATCH($DQ$12&amp;"|2",$N$88:$N$112,0))&amp;"",IF($BL$12=1,IFERROR(INDEX('Dados'!$J$127:$J$138,MATCH($DT$12&amp;"|2",'Dados'!$A$127:$A$138,0)),""),"")))</f>
        <v/>
      </c>
      <c r="AQ12" s="2">
        <f>IF(OR(LEN($DQ$12)=0,$BV$12&lt;2),"",IF(ISNUMBER(MATCH($DQ$12&amp;"|2",$N$88:$N$112,0)),IF(ISNUMBER(INDEX($DX$88:$DX$112,MATCH($DQ$12&amp;"|2",$N$88:$N$112,0))),MIN(IFERROR(INDEX('Dados'!$G$38:$G$52,MATCH($BS$12,'Dados'!$A$38:$A$52,0)),""),INDEX($DX$88:$DX$112,MATCH($DQ$12&amp;"|2",$N$88:$N$112,0))),IFERROR(INDEX('Dados'!$G$38:$G$52,MATCH($BS$12,'Dados'!$A$38:$A$52,0)),"")),IF($BL$12=1,IFERROR(MIN(IFERROR(INDEX('Dados'!$G$38:$G$52,MATCH($BS$12,'Dados'!$A$38:$A$52,0)),""),INT(INDEX('Dados'!$K$127:$K$138,MATCH($DT$12&amp;"|2",'Dados'!$A$127:$A$138,0))*IFERROR(INDEX('Dados'!$G$38:$G$52,MATCH($BS$12,'Dados'!$A$38:$A$52,0)),"")/$CH$12)),IFERROR(INDEX('Dados'!$G$38:$G$52,MATCH($BS$12,'Dados'!$A$38:$A$52,0)),"")),IFERROR(INDEX('Dados'!$G$38:$G$52,MATCH($BS$12,'Dados'!$A$38:$A$52,0)),""))))</f>
        <v/>
      </c>
      <c r="AR12" s="2">
        <f>IF(OR(LEN($DQ$12)=0,$BV$12&lt;3),"",IFERROR(INDEX($DT$88:$DT$112,MATCH($DQ$12&amp;"|3",$N$88:$N$112,0))&amp;"",IF($BL$12=1,IFERROR(INDEX('Dados'!$G$127:$G$138,MATCH($DT$12&amp;"|3",'Dados'!$A$127:$A$138,0)),""),"")))</f>
        <v/>
      </c>
      <c r="AS12" s="2">
        <f>IF(OR(LEN($DQ$12)=0,$BV$12&lt;3),"",IFERROR(INDEX($DU$88:$DU$112,MATCH($DQ$12&amp;"|3",$N$88:$N$112,0))&amp;"",IF($BL$12=1,IFERROR(INDEX('Dados'!$H$127:$H$138,MATCH($DT$12&amp;"|3",'Dados'!$A$127:$A$138,0)),""),"")))</f>
        <v/>
      </c>
      <c r="AT12" s="2">
        <f>IF(OR(LEN($DQ$12)=0,$BV$12&lt;3),"",IFERROR(INDEX($DV$88:$DV$112,MATCH($DQ$12&amp;"|3",$N$88:$N$112,0))&amp;"",IF($BL$12=1,IFERROR(INDEX('Dados'!$I$127:$I$138,MATCH($DT$12&amp;"|3",'Dados'!$A$127:$A$138,0)),""),"")))</f>
        <v/>
      </c>
      <c r="AU12" s="2">
        <f>IF(OR(LEN($DQ$12)=0,$BV$12&lt;3),"",IFERROR(INDEX($DW$88:$DW$112,MATCH($DQ$12&amp;"|3",$N$88:$N$112,0))&amp;"",IF($BL$12=1,IFERROR(INDEX('Dados'!$J$127:$J$138,MATCH($DT$12&amp;"|3",'Dados'!$A$127:$A$138,0)),""),"")))</f>
        <v/>
      </c>
      <c r="AV12" s="2">
        <f>IF(OR(LEN($DQ$12)=0,$BV$12&lt;3),"",IF(ISNUMBER(MATCH($DQ$12&amp;"|3",$N$88:$N$112,0)),IF(ISNUMBER(INDEX($DX$88:$DX$112,MATCH($DQ$12&amp;"|3",$N$88:$N$112,0))),MIN(IFERROR(INDEX('Dados'!$G$38:$G$52,MATCH($BS$12,'Dados'!$A$38:$A$52,0)),""),INDEX($DX$88:$DX$112,MATCH($DQ$12&amp;"|3",$N$88:$N$112,0))),IFERROR(INDEX('Dados'!$G$38:$G$52,MATCH($BS$12,'Dados'!$A$38:$A$52,0)),"")),IF($BL$12=1,IFERROR(MIN(IFERROR(INDEX('Dados'!$G$38:$G$52,MATCH($BS$12,'Dados'!$A$38:$A$52,0)),""),INT(INDEX('Dados'!$K$127:$K$138,MATCH($DT$12&amp;"|3",'Dados'!$A$127:$A$138,0))*IFERROR(INDEX('Dados'!$G$38:$G$52,MATCH($BS$12,'Dados'!$A$38:$A$52,0)),"")/$CH$12)),IFERROR(INDEX('Dados'!$G$38:$G$52,MATCH($BS$12,'Dados'!$A$38:$A$52,0)),"")),IFERROR(INDEX('Dados'!$G$38:$G$52,MATCH($BS$12,'Dados'!$A$38:$A$52,0)),""))))</f>
        <v/>
      </c>
      <c r="AW12" s="2">
        <f>IF(LEN($DQ$12)=0,"",IF($BL$12=1,IFERROR(INDEX('Dados'!$AF$92:$AF$123,$BM$12)&amp;"",""),IFERROR(INDEX($DU$116:$DU$153,MATCH($DQ$12&amp;"|1",$Q$116:$Q$153,0))&amp;"","")))</f>
        <v/>
      </c>
      <c r="AX12" s="2">
        <f>IF(LEN($DQ$12)=0,"",IF($BL$12=1,IF(ISNUMBER(IFERROR(INDEX('Dados'!$AG$92:$AG$123,$BM$12),"")),IF(IFERROR(INDEX('Dados'!$AG$92:$AG$123,$BM$12),"")&gt;0,IFERROR(INDEX('Dados'!$AG$92:$AG$123,$BM$12),""),""),""),IFERROR(INDEX($DY$116:$DY$153,MATCH($DQ$12&amp;"|1",$Q$116:$Q$153,0))+0,"")))</f>
        <v/>
      </c>
      <c r="AY12" s="2">
        <f>IF(LEN($DQ$12)=0,"",IF($BL$12=1,IFERROR(INDEX('Dados'!$AH$92:$AH$123,$BM$12)&amp;"",""),IFERROR(INDEX($DU$116:$DU$153,MATCH($DQ$12&amp;"|2",$Q$116:$Q$153,0))&amp;"","")))</f>
        <v/>
      </c>
      <c r="AZ12" s="2">
        <f>IF(LEN($DQ$12)=0,"",IF($BL$12=1,IF(ISNUMBER(IFERROR(INDEX('Dados'!$AI$92:$AI$123,$BM$12),"")),IF(IFERROR(INDEX('Dados'!$AI$92:$AI$123,$BM$12),"")&gt;0,IFERROR(INDEX('Dados'!$AI$92:$AI$123,$BM$12),""),""),""),IFERROR(INDEX($DY$116:$DY$153,MATCH($DQ$12&amp;"|2",$Q$116:$Q$153,0))+0,"")))</f>
        <v/>
      </c>
      <c r="BA12" s="2">
        <f>IF(LEN($DQ$12)=0,"",IF($BL$12=1,IFERROR(INDEX('Dados'!$AJ$92:$AJ$123,$BM$12)&amp;"",""),IFERROR(INDEX($DU$116:$DU$153,MATCH($DQ$12&amp;"|3",$Q$116:$Q$153,0))&amp;"","")))</f>
        <v/>
      </c>
      <c r="BB12" s="2">
        <f>IF(LEN($DQ$12)=0,"",IF($BL$12=1,IF(ISNUMBER(IFERROR(INDEX('Dados'!$AK$92:$AK$123,$BM$12),"")),IF(IFERROR(INDEX('Dados'!$AK$92:$AK$123,$BM$12),"")&gt;0,IFERROR(INDEX('Dados'!$AK$92:$AK$123,$BM$12),""),""),""),IFERROR(INDEX($DY$116:$DY$153,MATCH($DQ$12&amp;"|3",$Q$116:$Q$153,0))+0,"")))</f>
        <v/>
      </c>
      <c r="BC12" s="2">
        <f>IF(LEN($DQ$12)=0,"",IF(LEN($DR$27)&gt;0,$DR$27,IF($BL$12=1,IFERROR(INDEX('Dados'!$E$92:$E$123,$BM$12)&amp;"",""),"")))</f>
        <v/>
      </c>
      <c r="BD12" s="2">
        <f>IF(AND(LEN($DR$27)=0,$BL$12=1),IFERROR(INDEX('Dados'!$AD$92:$AD$123,$BM$12)&amp;"",""),"")</f>
        <v/>
      </c>
      <c r="BE12" s="2">
        <f>IF(LEN($DQ$12)=0,"",INDEX('Dados'!$F$7:$F$11,$BR$12))</f>
        <v/>
      </c>
      <c r="BF12" s="2">
        <f>IF(LEN($DQ$12)=0,"",$BR$12)</f>
        <v/>
      </c>
      <c r="BG12" s="2">
        <f>$G$43</f>
        <v/>
      </c>
      <c r="BH12" s="2">
        <f>"Campanha"</f>
        <v/>
      </c>
      <c r="BK12" s="2">
        <f>IF(COUNTIF('Dados'!$AQ$6:$AQ$8,$DR$12)&gt;0,$DR$12,"Faixa do livro")</f>
        <v/>
      </c>
      <c r="BL12" s="2">
        <f>IF(AND($BK$12="Ajustar do bestiário",ISNUMBER($BM$12)),1,0)</f>
        <v/>
      </c>
      <c r="BM12" s="2">
        <f>IFERROR(MATCH($DT$12,'Dados'!$B$92:$B$123,0),"")</f>
        <v/>
      </c>
      <c r="BN12" s="2">
        <f>IF(COUNTIF('Dados'!$AO$6:$AO$8,$DY$12)&gt;0,$DY$12,IF($BL$12=1,IFERROR(INDEX('Dados'!$C$92:$C$123,$BM$12),""),"Comum"))</f>
        <v/>
      </c>
      <c r="BO12" s="2">
        <f>MATCH($BN$12,'Dados'!$AO$6:$AO$8,0)</f>
        <v/>
      </c>
      <c r="BP12" s="2">
        <f>IF(ISNUMBER($DX$12),MIN(20,MAX(1,INT($DX$12))),'Campanha'!$B$17)</f>
        <v/>
      </c>
      <c r="BQ12" s="2">
        <f>IF($BK$12="Por nível — Sugestão",INDEX('Dados'!$B$7:$B$11,INT(($BP$12-1)/4)+1),IF(LEN(IFERROR(INDEX('Dados'!$B$7:$B$11,MATCH($DW$12,'Dados'!$AP$6:$AP$10,0)),""))&gt;0,IFERROR(INDEX('Dados'!$B$7:$B$11,MATCH($DW$12,'Dados'!$AP$6:$AP$10,0)),""),'Campanha'!$B$19))</f>
        <v/>
      </c>
      <c r="BR12" s="2">
        <f>MATCH($BQ$12,'Dados'!$B$7:$B$11,0)</f>
        <v/>
      </c>
      <c r="BS12" s="2">
        <f>$BQ$12&amp;"|"&amp;$BN$12</f>
        <v/>
      </c>
      <c r="BT12" s="2">
        <f>MIN(4,MAX(1,INT(($BP$12-3)/4)+1))</f>
        <v/>
      </c>
      <c r="BU12" s="2">
        <f>IF($BK$12="Por nível — Sugestão",INT(IF($BP$12&lt;=3,INDEX('Dados'!$D$38:$D$52,$BO$12),IF($BP$12&gt;=19,INDEX('Dados'!$D$38:$D$52,12+$BO$12),INDEX('Dados'!$D$38:$D$52,($BT$12-1)*3+$BO$12)+(INDEX('Dados'!$D$38:$D$52,$BT$12*3+$BO$12)-INDEX('Dados'!$D$38:$D$52,($BT$12-1)*3+$BO$12))*($BP$12-(4*$BT$12-1))/4))),IFERROR(INDEX('Dados'!$D$38:$D$52,MATCH($BS$12,'Dados'!$A$38:$A$52,0)),""))</f>
        <v/>
      </c>
      <c r="BV12" s="2">
        <f>IF($BN$12&lt;&gt;"Boss",1,IF(AND(ISNUMBER($DZ$12),$DZ$12&gt;=1,$DZ$12&lt;=3),INT($DZ$12),IF($BL$12=1,MAX(1,IFERROR(INDEX('Dados'!$F$92:$F$123,$BM$12),"")),1)))</f>
        <v/>
      </c>
      <c r="BW12" s="2">
        <f>IFERROR(INDEX('Dados'!$O$38:$O$52,MATCH($BS$12,'Dados'!$A$38:$A$52,0)),"")</f>
        <v/>
      </c>
      <c r="BX12" s="2">
        <f>IF(AND(LEN($DR$43)=0,LEN($DS$43)=0,LEN($DT$43)=0,LEN($DU$43)=0),1,0)</f>
        <v/>
      </c>
      <c r="BY12" s="2">
        <f>IF(LEN($DQ$12)=0,"",IF($BX$12=0,$DR$43&amp;"",IF($BL$12=1,IFERROR(INDEX('Dados'!$Q$92:$Q$123,$BM$12)&amp;"",""),IF(1&lt;=$BW$12,$CD$12,""))))</f>
        <v/>
      </c>
      <c r="BZ12" s="2">
        <f>IF(LEN($DQ$12)=0,"",IF($BX$12=0,$DS$43&amp;"",IF($BL$12=1,IFERROR(INDEX('Dados'!$R$92:$R$123,$BM$12)&amp;"",""),IF(2&lt;=$BW$12,$CE$12,""))))</f>
        <v/>
      </c>
      <c r="CA12" s="2">
        <f>IF(LEN($DQ$12)=0,"",IF($BX$12=0,$DT$43&amp;"",IF($BL$12=1,IFERROR(INDEX('Dados'!$S$92:$S$123,$BM$12)&amp;"",""),IF(3&lt;=$BW$12,$CF$12,""))))</f>
        <v/>
      </c>
      <c r="CB12" s="2">
        <f>IF(LEN($DQ$12)=0,"",IF($BX$12=0,$DU$43&amp;"",IF($BL$12=1,IFERROR(INDEX('Dados'!$T$92:$T$123,$BM$12)&amp;"",""),IF(4&lt;=$BW$12,$CG$12,""))))</f>
        <v/>
      </c>
      <c r="CC12" s="2">
        <f>IF(LEN($DV$43)&gt;0,$DV$43,IF($BL$12=1,IFERROR(INDEX('Dados'!$U$92:$U$123,$BM$12)&amp;"",""),""))</f>
        <v/>
      </c>
      <c r="CD12" s="2">
        <f>INDEX('Dados'!$A$301:$A$307,MATCH(SMALL($DI$12:$DO$12,1),$DI$12:$DO$12,0))</f>
        <v/>
      </c>
      <c r="CE12" s="2">
        <f>INDEX('Dados'!$A$301:$A$307,MATCH(SMALL($DI$12:$DO$12,2),$DI$12:$DO$12,0))</f>
        <v/>
      </c>
      <c r="CF12" s="2">
        <f>INDEX('Dados'!$A$301:$A$307,MATCH(SMALL($DI$12:$DO$12,3),$DI$12:$DO$12,0))</f>
        <v/>
      </c>
      <c r="CG12" s="2">
        <f>INDEX('Dados'!$A$301:$A$307,MATCH(SMALL($DI$12:$DO$12,4),$DI$12:$DO$12,0))</f>
        <v/>
      </c>
      <c r="CH12" s="2">
        <f>IF($BL$12=1,IFERROR(INDEX('Dados'!$J$92:$J$123,$BM$12),""),"")</f>
        <v/>
      </c>
      <c r="CI12" s="2">
        <f>IF($BL$12=1,IFERROR(INDEX('Dados'!$G$92:$G$123,$BM$12),""),"")</f>
        <v/>
      </c>
      <c r="CJ12" s="2">
        <f>IFERROR(INDEX('Dados'!$S$38:$S$52,MATCH($BS$12,'Dados'!$A$38:$A$52,0)),"")</f>
        <v/>
      </c>
      <c r="CK12" s="2">
        <f>IFERROR(INDEX('Dados'!$T$38:$T$52,MATCH($BS$12,'Dados'!$A$38:$A$52,0)),"")</f>
        <v/>
      </c>
      <c r="CL12" s="2">
        <f>IFERROR(INDEX('Dados'!$J$38:$J$52,MATCH($BQ$12&amp;"|Comum",'Dados'!$A$38:$A$52,0)),"")</f>
        <v/>
      </c>
      <c r="CM12" s="2">
        <f>IFERROR(INDEX('Dados'!$K$38:$K$52,MATCH($BQ$12&amp;"|Comum",'Dados'!$A$38:$A$52,0)),"")</f>
        <v/>
      </c>
      <c r="CN12" s="2">
        <f>MOD(MOD(MOD((MOD('Início'!$E$16+104729*$C$7+28164979,2147483646)+1)*16807,2147483647)*16807,2147483647)*16807,2147483647)</f>
        <v/>
      </c>
      <c r="CO12" s="2">
        <f>MOD(MOD(MOD((MOD(MOD(INT($CN$12/65536)*$CN$12,2147483647)*65536+MOD($CN$12,65536)*$CN$12,2147483647))*16807,2147483647)*16807,2147483647)*16807,2147483647)</f>
        <v/>
      </c>
      <c r="CP12" s="2">
        <f>MOD(MOD(MOD((MOD($CO$12+INT($CO$12/65536)*MOD($CO$12,65536),2147483646)+1)*16807,2147483647)*16807,2147483647)*16807,2147483647)</f>
        <v/>
      </c>
      <c r="CQ12" s="2">
        <f>MOD(MOD(MOD((MOD('Início'!$E$16+104729*$C$7+29464688,2147483646)+1)*16807,2147483647)*16807,2147483647)*16807,2147483647)</f>
        <v/>
      </c>
      <c r="CR12" s="2">
        <f>MOD(MOD(MOD((MOD(MOD(INT($CQ$12/65536)*$CQ$12,2147483647)*65536+MOD($CQ$12,65536)*$CQ$12,2147483647))*16807,2147483647)*16807,2147483647)*16807,2147483647)</f>
        <v/>
      </c>
      <c r="CS12" s="2">
        <f>MOD(MOD(MOD((MOD($CR$12+INT($CR$12/65536)*MOD($CR$12,65536),2147483646)+1)*16807,2147483647)*16807,2147483647)*16807,2147483647)</f>
        <v/>
      </c>
      <c r="CT12" s="2">
        <f>MOD(MOD(MOD((MOD('Início'!$E$16+104729*$C$7+30764397,2147483646)+1)*16807,2147483647)*16807,2147483647)*16807,2147483647)</f>
        <v/>
      </c>
      <c r="CU12" s="2">
        <f>MOD(MOD(MOD((MOD(MOD(INT($CT$12/65536)*$CT$12,2147483647)*65536+MOD($CT$12,65536)*$CT$12,2147483647))*16807,2147483647)*16807,2147483647)*16807,2147483647)</f>
        <v/>
      </c>
      <c r="CV12" s="2">
        <f>MOD(MOD(MOD((MOD($CU$12+INT($CU$12/65536)*MOD($CU$12,65536),2147483646)+1)*16807,2147483647)*16807,2147483647)*16807,2147483647)</f>
        <v/>
      </c>
      <c r="CW12" s="2">
        <f>MOD(MOD(MOD((MOD('Início'!$E$16+104729*$C$7+32064106,2147483646)+1)*16807,2147483647)*16807,2147483647)*16807,2147483647)</f>
        <v/>
      </c>
      <c r="CX12" s="2">
        <f>MOD(MOD(MOD((MOD(MOD(INT($CW$12/65536)*$CW$12,2147483647)*65536+MOD($CW$12,65536)*$CW$12,2147483647))*16807,2147483647)*16807,2147483647)*16807,2147483647)</f>
        <v/>
      </c>
      <c r="CY12" s="2">
        <f>MOD(MOD(MOD((MOD($CX$12+INT($CX$12/65536)*MOD($CX$12,65536),2147483646)+1)*16807,2147483647)*16807,2147483647)*16807,2147483647)</f>
        <v/>
      </c>
      <c r="CZ12" s="2">
        <f>MOD(MOD(MOD((MOD('Início'!$E$16+104729*$C$7+33363815,2147483646)+1)*16807,2147483647)*16807,2147483647)*16807,2147483647)</f>
        <v/>
      </c>
      <c r="DA12" s="2">
        <f>MOD(MOD(MOD((MOD(MOD(INT($CZ$12/65536)*$CZ$12,2147483647)*65536+MOD($CZ$12,65536)*$CZ$12,2147483647))*16807,2147483647)*16807,2147483647)*16807,2147483647)</f>
        <v/>
      </c>
      <c r="DB12" s="2">
        <f>MOD(MOD(MOD((MOD($DA$12+INT($DA$12/65536)*MOD($DA$12,65536),2147483646)+1)*16807,2147483647)*16807,2147483647)*16807,2147483647)</f>
        <v/>
      </c>
      <c r="DC12" s="2">
        <f>MOD(MOD(MOD((MOD('Início'!$E$16+104729*$C$7+34663524,2147483646)+1)*16807,2147483647)*16807,2147483647)*16807,2147483647)</f>
        <v/>
      </c>
      <c r="DD12" s="2">
        <f>MOD(MOD(MOD((MOD(MOD(INT($DC$12/65536)*$DC$12,2147483647)*65536+MOD($DC$12,65536)*$DC$12,2147483647))*16807,2147483647)*16807,2147483647)*16807,2147483647)</f>
        <v/>
      </c>
      <c r="DE12" s="2">
        <f>MOD(MOD(MOD((MOD($DD$12+INT($DD$12/65536)*MOD($DD$12,65536),2147483646)+1)*16807,2147483647)*16807,2147483647)*16807,2147483647)</f>
        <v/>
      </c>
      <c r="DF12" s="2">
        <f>MOD(MOD(MOD((MOD('Início'!$E$16+104729*$C$7+35963233,2147483646)+1)*16807,2147483647)*16807,2147483647)*16807,2147483647)</f>
        <v/>
      </c>
      <c r="DG12" s="2">
        <f>MOD(MOD(MOD((MOD(MOD(INT($DF$12/65536)*$DF$12,2147483647)*65536+MOD($DF$12,65536)*$DF$12,2147483647))*16807,2147483647)*16807,2147483647)*16807,2147483647)</f>
        <v/>
      </c>
      <c r="DH12" s="2">
        <f>MOD(MOD(MOD((MOD($DG$12+INT($DG$12/65536)*MOD($DG$12,65536),2147483646)+1)*16807,2147483647)*16807,2147483647)*16807,2147483647)</f>
        <v/>
      </c>
      <c r="DI12" s="2">
        <f>IF($CC$12="Físico",9000000000,IF(AND('Grupo'!$B$81="Sim",COUNTIF($BY$11:$CB$11,"Físico")=0),0,2147483647))+$CP$12+1/10</f>
        <v/>
      </c>
      <c r="DJ12" s="2">
        <f>IF($CC$12="Fogo",9000000000,IF(AND('Grupo'!$C$81="Sim",COUNTIF($BY$11:$CB$11,"Fogo")=0),0,2147483647))+$CS$12+2/10</f>
        <v/>
      </c>
      <c r="DK12" s="2">
        <f>IF($CC$12="Gelo",9000000000,IF(AND('Grupo'!$D$81="Sim",COUNTIF($BY$11:$CB$11,"Gelo")=0),0,2147483647))+$CV$12+3/10</f>
        <v/>
      </c>
      <c r="DL12" s="2">
        <f>IF($CC$12="Raio",9000000000,IF(AND('Grupo'!$E$81="Sim",COUNTIF($BY$11:$CB$11,"Raio")=0),0,2147483647))+$CY$12+4/10</f>
        <v/>
      </c>
      <c r="DM12" s="2">
        <f>IF($CC$12="Vento",9000000000,IF(AND('Grupo'!$F$81="Sim",COUNTIF($BY$11:$CB$11,"Vento")=0),0,2147483647))+$DB$12+5/10</f>
        <v/>
      </c>
      <c r="DN12" s="2">
        <f>IF($CC$12="Quântico",9000000000,IF(AND('Grupo'!$G$81="Sim",COUNTIF($BY$11:$CB$11,"Quântico")=0),0,2147483647))+$DE$12+6/10</f>
        <v/>
      </c>
      <c r="DO12" s="2">
        <f>IF($CC$12="Imaginário",9000000000,IF(AND('Grupo'!$H$81="Sim",COUNTIF($BY$11:$CB$11,"Imaginário")=0),0,2147483647))+$DH$12+7/10</f>
        <v/>
      </c>
      <c r="DQ12" s="2">
        <f>IF(ISERROR($A$12),"",IF(ISBLANK($A$12),"",$A$12))</f>
        <v/>
      </c>
      <c r="DR12" s="2">
        <f>IF(ISERROR($B$12),"",IF(ISBLANK($B$12),"",$B$12))</f>
        <v/>
      </c>
      <c r="DT12" s="2">
        <f>IF(ISERROR($D$12),"",IF(ISBLANK($D$12),"",$D$12))</f>
        <v/>
      </c>
      <c r="DW12" s="2">
        <f>IF(ISERROR($G$12),"",IF(ISBLANK($G$12),"",$G$12))</f>
        <v/>
      </c>
      <c r="DX12" s="2">
        <f>IF(ISERROR($H$12),"",IF(ISBLANK($H$12),"",$H$12))</f>
        <v/>
      </c>
      <c r="DY12" s="2">
        <f>IF(ISERROR($I$12),"",IF(ISBLANK($I$12),"",$I$12))</f>
        <v/>
      </c>
      <c r="DZ12" s="2">
        <f>IF(ISERROR($J$12),"",IF(ISBLANK($J$12),"",$J$12))</f>
        <v/>
      </c>
      <c r="EA12" s="2">
        <f>ISERROR($A$12)*1+ISERROR($B$12)*1+ISERROR($D$12)*1+ISERROR($G$12)*1+ISERROR($H$12)*1+ISERROR($I$12)*1+ISERROR($J$12)*1</f>
        <v/>
      </c>
    </row>
    <row r="13" ht="26" customHeight="1">
      <c r="A13" s="33" t="n"/>
      <c r="B13" s="4" t="n"/>
      <c r="C13" s="17" t="n"/>
      <c r="D13" s="4" t="n"/>
      <c r="E13" s="25" t="n"/>
      <c r="F13" s="17" t="n"/>
      <c r="G13" s="34" t="n"/>
      <c r="H13" s="16" t="n"/>
      <c r="I13" s="34" t="n"/>
      <c r="J13" s="16" t="n"/>
      <c r="K13" s="19">
        <f>IF(EA13&gt;0,"O Google leu como fórmula: escolha de novo ou digite com ' na frente.",IF(LEN($DQ$13)=0,IF(LEN($DR$13&amp;$DT$13&amp;$DY$13)&gt;0,"Linha sem nome: o inimigo não entra nas listas",""),IF(COUNTIF($DQ$11:$DQ$22,$DQ$13)&gt;1,"Nome repetido na tabela",IF(COUNTIF('Dados'!$B$92:$B$123,$DQ$13)&gt;0,"Nome igual a uma criatura do bestiário: dê outro nome",IF(AND($BK$13="Ajustar do bestiário",$BL$13=0),"Modo Ajustar sem base do bestiário válida",IF(AND(LEN($DZ$13)&gt;0,$BN$13&lt;&gt;"Boss"),"Fases só valem para Boss (28.5)",IF(AND(ISNUMBER($DX$13),OR($DX$13&lt;1,$DX$13&gt;20)),"Nível fora de 1 a 20: usando o limite",IF(AND(LEN($DY$13)&gt;0,COUNTIF('Dados'!$AO$6:$AO$8,$DY$13)=0),"Tipo fora da lista: usando Comum",""))))))))</f>
        <v/>
      </c>
      <c r="N13" s="2">
        <f>IF(LEN($DQ$13)=0,"",$DQ$13)</f>
        <v/>
      </c>
      <c r="O13" s="2">
        <f>IF(LEN($DQ$13)=0,"",$BN$13)</f>
        <v/>
      </c>
      <c r="P13" s="2">
        <f>IF(LEN($DQ$13)=0,"",$BQ$13)</f>
        <v/>
      </c>
      <c r="Q13" s="2">
        <f>IF(LEN($DQ$13)=0,"",$BU$13)</f>
        <v/>
      </c>
      <c r="R13" s="2">
        <f>IF(LEN($DQ$13)=0,"",IFERROR(INDEX('Dados'!$E$38:$E$52,MATCH($BS$13,'Dados'!$A$38:$A$52,0)),""))</f>
        <v/>
      </c>
      <c r="S13" s="2">
        <f>IF(LEN($DQ$13)=0,"",IFERROR(INDEX('Dados'!$F$38:$F$52,MATCH($BS$13,'Dados'!$A$38:$A$52,0)),""))</f>
        <v/>
      </c>
      <c r="T13" s="2">
        <f>IF(LEN($DQ$13)=0,"",IFERROR(INDEX('Dados'!$G$38:$G$52,MATCH($BS$13,'Dados'!$A$38:$A$52,0)),""))</f>
        <v/>
      </c>
      <c r="U13" s="2">
        <f>IF(LEN($DQ$13)=0,"",IFERROR(INDEX('Dados'!$H$38:$H$52,MATCH($BS$13,'Dados'!$A$38:$A$52,0)),""))</f>
        <v/>
      </c>
      <c r="V13" s="2">
        <f>IF(LEN($DQ$13)=0,"",IFERROR(INDEX('Dados'!$I$38:$I$52,MATCH($BS$13,'Dados'!$A$38:$A$52,0)),""))</f>
        <v/>
      </c>
      <c r="W13" s="2">
        <f>IF(LEN($DQ$13)=0,"",IFERROR(INDEX('Dados'!$J$38:$J$52,MATCH($BS$13,'Dados'!$A$38:$A$52,0)),""))</f>
        <v/>
      </c>
      <c r="X13" s="2">
        <f>IF(LEN($DQ$13)=0,"",IFERROR(INDEX('Dados'!$K$38:$K$52,MATCH($BS$13,'Dados'!$A$38:$A$52,0)),""))</f>
        <v/>
      </c>
      <c r="Y13" s="2">
        <f>IF(LEN($DQ$13)=0,"",IFERROR(INDEX('Dados'!$L$38:$L$52,MATCH($BS$13,'Dados'!$A$38:$A$52,0)),""))</f>
        <v/>
      </c>
      <c r="Z13" s="2">
        <f>IF(LEN($DQ$13)=0,"",IFERROR(INDEX('Dados'!$M$38:$M$52,MATCH($BS$13,'Dados'!$A$38:$A$52,0)),""))</f>
        <v/>
      </c>
      <c r="AA13" s="2">
        <f>IF(LEN($DQ$13)=0,"",$BY$13)</f>
        <v/>
      </c>
      <c r="AB13" s="2">
        <f>IF(LEN($DQ$13)=0,"",$BZ$13)</f>
        <v/>
      </c>
      <c r="AC13" s="2">
        <f>IF(LEN($DQ$13)=0,"",$CA$13)</f>
        <v/>
      </c>
      <c r="AD13" s="2">
        <f>IF(LEN($DQ$13)=0,"",$CB$13)</f>
        <v/>
      </c>
      <c r="AE13" s="2">
        <f>IF(LEN($DQ$13)=0,"",$CC$13)</f>
        <v/>
      </c>
      <c r="AF13" s="2">
        <f>IF(LEN($DQ$13)=0,"",IF($DV$28="Sim","Pode",IF($DV$28="Não","Não",IF($BL$13=1,IFERROR(INDEX('Dados'!$V$92:$V$123,$BM$13)&amp;"",""),"Não declarado"))))</f>
        <v/>
      </c>
      <c r="AG13" s="2">
        <f>IF(LEN($DQ$13)=0,"",$BV$13)</f>
        <v/>
      </c>
      <c r="AH13" s="2">
        <f>IF(LEN($DQ$13)=0,"",IFERROR(INDEX('Dados'!$Q$38:$Q$52,MATCH($BS$13,'Dados'!$A$38:$A$52,0)),""))</f>
        <v/>
      </c>
      <c r="AI13" s="2">
        <f>IF(LEN($DQ$13)=0,"",IF(AND($BL$13=1,$DT$13="Escória de Stellaron"),1.5,1)*$BU$13)</f>
        <v/>
      </c>
      <c r="AJ13" s="2">
        <f>IF(LEN($DQ$13)=0,"",IFERROR(INDEX('Dados'!$P$38:$P$52,MATCH($BS$13,'Dados'!$A$38:$A$52,0)),""))</f>
        <v/>
      </c>
      <c r="AK13" s="2">
        <f>IF(LEN($DQ$13)=0,"",IF($BV$13=2,INT($BU$13/2),IF($BV$13=3,INT(2*$BU$13/3),"")))</f>
        <v/>
      </c>
      <c r="AL13" s="2">
        <f>IF(LEN($DQ$13)=0,"",IF($BV$13=3,INT($BU$13/3),""))</f>
        <v/>
      </c>
      <c r="AM13" s="2">
        <f>IF(OR(LEN($DQ$13)=0,$BV$13&lt;2),"",IFERROR(INDEX($DT$88:$DT$112,MATCH($DQ$13&amp;"|2",$N$88:$N$112,0))&amp;"",IF($BL$13=1,IFERROR(INDEX('Dados'!$G$127:$G$138,MATCH($DT$13&amp;"|2",'Dados'!$A$127:$A$138,0)),""),"")))</f>
        <v/>
      </c>
      <c r="AN13" s="2">
        <f>IF(OR(LEN($DQ$13)=0,$BV$13&lt;2),"",IFERROR(INDEX($DU$88:$DU$112,MATCH($DQ$13&amp;"|2",$N$88:$N$112,0))&amp;"",IF($BL$13=1,IFERROR(INDEX('Dados'!$H$127:$H$138,MATCH($DT$13&amp;"|2",'Dados'!$A$127:$A$138,0)),""),"")))</f>
        <v/>
      </c>
      <c r="AO13" s="2">
        <f>IF(OR(LEN($DQ$13)=0,$BV$13&lt;2),"",IFERROR(INDEX($DV$88:$DV$112,MATCH($DQ$13&amp;"|2",$N$88:$N$112,0))&amp;"",IF($BL$13=1,IFERROR(INDEX('Dados'!$I$127:$I$138,MATCH($DT$13&amp;"|2",'Dados'!$A$127:$A$138,0)),""),"")))</f>
        <v/>
      </c>
      <c r="AP13" s="2">
        <f>IF(OR(LEN($DQ$13)=0,$BV$13&lt;2),"",IFERROR(INDEX($DW$88:$DW$112,MATCH($DQ$13&amp;"|2",$N$88:$N$112,0))&amp;"",IF($BL$13=1,IFERROR(INDEX('Dados'!$J$127:$J$138,MATCH($DT$13&amp;"|2",'Dados'!$A$127:$A$138,0)),""),"")))</f>
        <v/>
      </c>
      <c r="AQ13" s="2">
        <f>IF(OR(LEN($DQ$13)=0,$BV$13&lt;2),"",IF(ISNUMBER(MATCH($DQ$13&amp;"|2",$N$88:$N$112,0)),IF(ISNUMBER(INDEX($DX$88:$DX$112,MATCH($DQ$13&amp;"|2",$N$88:$N$112,0))),MIN(IFERROR(INDEX('Dados'!$G$38:$G$52,MATCH($BS$13,'Dados'!$A$38:$A$52,0)),""),INDEX($DX$88:$DX$112,MATCH($DQ$13&amp;"|2",$N$88:$N$112,0))),IFERROR(INDEX('Dados'!$G$38:$G$52,MATCH($BS$13,'Dados'!$A$38:$A$52,0)),"")),IF($BL$13=1,IFERROR(MIN(IFERROR(INDEX('Dados'!$G$38:$G$52,MATCH($BS$13,'Dados'!$A$38:$A$52,0)),""),INT(INDEX('Dados'!$K$127:$K$138,MATCH($DT$13&amp;"|2",'Dados'!$A$127:$A$138,0))*IFERROR(INDEX('Dados'!$G$38:$G$52,MATCH($BS$13,'Dados'!$A$38:$A$52,0)),"")/$CH$13)),IFERROR(INDEX('Dados'!$G$38:$G$52,MATCH($BS$13,'Dados'!$A$38:$A$52,0)),"")),IFERROR(INDEX('Dados'!$G$38:$G$52,MATCH($BS$13,'Dados'!$A$38:$A$52,0)),""))))</f>
        <v/>
      </c>
      <c r="AR13" s="2">
        <f>IF(OR(LEN($DQ$13)=0,$BV$13&lt;3),"",IFERROR(INDEX($DT$88:$DT$112,MATCH($DQ$13&amp;"|3",$N$88:$N$112,0))&amp;"",IF($BL$13=1,IFERROR(INDEX('Dados'!$G$127:$G$138,MATCH($DT$13&amp;"|3",'Dados'!$A$127:$A$138,0)),""),"")))</f>
        <v/>
      </c>
      <c r="AS13" s="2">
        <f>IF(OR(LEN($DQ$13)=0,$BV$13&lt;3),"",IFERROR(INDEX($DU$88:$DU$112,MATCH($DQ$13&amp;"|3",$N$88:$N$112,0))&amp;"",IF($BL$13=1,IFERROR(INDEX('Dados'!$H$127:$H$138,MATCH($DT$13&amp;"|3",'Dados'!$A$127:$A$138,0)),""),"")))</f>
        <v/>
      </c>
      <c r="AT13" s="2">
        <f>IF(OR(LEN($DQ$13)=0,$BV$13&lt;3),"",IFERROR(INDEX($DV$88:$DV$112,MATCH($DQ$13&amp;"|3",$N$88:$N$112,0))&amp;"",IF($BL$13=1,IFERROR(INDEX('Dados'!$I$127:$I$138,MATCH($DT$13&amp;"|3",'Dados'!$A$127:$A$138,0)),""),"")))</f>
        <v/>
      </c>
      <c r="AU13" s="2">
        <f>IF(OR(LEN($DQ$13)=0,$BV$13&lt;3),"",IFERROR(INDEX($DW$88:$DW$112,MATCH($DQ$13&amp;"|3",$N$88:$N$112,0))&amp;"",IF($BL$13=1,IFERROR(INDEX('Dados'!$J$127:$J$138,MATCH($DT$13&amp;"|3",'Dados'!$A$127:$A$138,0)),""),"")))</f>
        <v/>
      </c>
      <c r="AV13" s="2">
        <f>IF(OR(LEN($DQ$13)=0,$BV$13&lt;3),"",IF(ISNUMBER(MATCH($DQ$13&amp;"|3",$N$88:$N$112,0)),IF(ISNUMBER(INDEX($DX$88:$DX$112,MATCH($DQ$13&amp;"|3",$N$88:$N$112,0))),MIN(IFERROR(INDEX('Dados'!$G$38:$G$52,MATCH($BS$13,'Dados'!$A$38:$A$52,0)),""),INDEX($DX$88:$DX$112,MATCH($DQ$13&amp;"|3",$N$88:$N$112,0))),IFERROR(INDEX('Dados'!$G$38:$G$52,MATCH($BS$13,'Dados'!$A$38:$A$52,0)),"")),IF($BL$13=1,IFERROR(MIN(IFERROR(INDEX('Dados'!$G$38:$G$52,MATCH($BS$13,'Dados'!$A$38:$A$52,0)),""),INT(INDEX('Dados'!$K$127:$K$138,MATCH($DT$13&amp;"|3",'Dados'!$A$127:$A$138,0))*IFERROR(INDEX('Dados'!$G$38:$G$52,MATCH($BS$13,'Dados'!$A$38:$A$52,0)),"")/$CH$13)),IFERROR(INDEX('Dados'!$G$38:$G$52,MATCH($BS$13,'Dados'!$A$38:$A$52,0)),"")),IFERROR(INDEX('Dados'!$G$38:$G$52,MATCH($BS$13,'Dados'!$A$38:$A$52,0)),""))))</f>
        <v/>
      </c>
      <c r="AW13" s="2">
        <f>IF(LEN($DQ$13)=0,"",IF($BL$13=1,IFERROR(INDEX('Dados'!$AF$92:$AF$123,$BM$13)&amp;"",""),IFERROR(INDEX($DU$116:$DU$153,MATCH($DQ$13&amp;"|1",$Q$116:$Q$153,0))&amp;"","")))</f>
        <v/>
      </c>
      <c r="AX13" s="2">
        <f>IF(LEN($DQ$13)=0,"",IF($BL$13=1,IF(ISNUMBER(IFERROR(INDEX('Dados'!$AG$92:$AG$123,$BM$13),"")),IF(IFERROR(INDEX('Dados'!$AG$92:$AG$123,$BM$13),"")&gt;0,IFERROR(INDEX('Dados'!$AG$92:$AG$123,$BM$13),""),""),""),IFERROR(INDEX($DY$116:$DY$153,MATCH($DQ$13&amp;"|1",$Q$116:$Q$153,0))+0,"")))</f>
        <v/>
      </c>
      <c r="AY13" s="2">
        <f>IF(LEN($DQ$13)=0,"",IF($BL$13=1,IFERROR(INDEX('Dados'!$AH$92:$AH$123,$BM$13)&amp;"",""),IFERROR(INDEX($DU$116:$DU$153,MATCH($DQ$13&amp;"|2",$Q$116:$Q$153,0))&amp;"","")))</f>
        <v/>
      </c>
      <c r="AZ13" s="2">
        <f>IF(LEN($DQ$13)=0,"",IF($BL$13=1,IF(ISNUMBER(IFERROR(INDEX('Dados'!$AI$92:$AI$123,$BM$13),"")),IF(IFERROR(INDEX('Dados'!$AI$92:$AI$123,$BM$13),"")&gt;0,IFERROR(INDEX('Dados'!$AI$92:$AI$123,$BM$13),""),""),""),IFERROR(INDEX($DY$116:$DY$153,MATCH($DQ$13&amp;"|2",$Q$116:$Q$153,0))+0,"")))</f>
        <v/>
      </c>
      <c r="BA13" s="2">
        <f>IF(LEN($DQ$13)=0,"",IF($BL$13=1,IFERROR(INDEX('Dados'!$AJ$92:$AJ$123,$BM$13)&amp;"",""),IFERROR(INDEX($DU$116:$DU$153,MATCH($DQ$13&amp;"|3",$Q$116:$Q$153,0))&amp;"","")))</f>
        <v/>
      </c>
      <c r="BB13" s="2">
        <f>IF(LEN($DQ$13)=0,"",IF($BL$13=1,IF(ISNUMBER(IFERROR(INDEX('Dados'!$AK$92:$AK$123,$BM$13),"")),IF(IFERROR(INDEX('Dados'!$AK$92:$AK$123,$BM$13),"")&gt;0,IFERROR(INDEX('Dados'!$AK$92:$AK$123,$BM$13),""),""),""),IFERROR(INDEX($DY$116:$DY$153,MATCH($DQ$13&amp;"|3",$Q$116:$Q$153,0))+0,"")))</f>
        <v/>
      </c>
      <c r="BC13" s="2">
        <f>IF(LEN($DQ$13)=0,"",IF(LEN($DR$28)&gt;0,$DR$28,IF($BL$13=1,IFERROR(INDEX('Dados'!$E$92:$E$123,$BM$13)&amp;"",""),"")))</f>
        <v/>
      </c>
      <c r="BD13" s="2">
        <f>IF(AND(LEN($DR$28)=0,$BL$13=1),IFERROR(INDEX('Dados'!$AD$92:$AD$123,$BM$13)&amp;"",""),"")</f>
        <v/>
      </c>
      <c r="BE13" s="2">
        <f>IF(LEN($DQ$13)=0,"",INDEX('Dados'!$F$7:$F$11,$BR$13))</f>
        <v/>
      </c>
      <c r="BF13" s="2">
        <f>IF(LEN($DQ$13)=0,"",$BR$13)</f>
        <v/>
      </c>
      <c r="BG13" s="2">
        <f>$G$44</f>
        <v/>
      </c>
      <c r="BH13" s="2">
        <f>"Campanha"</f>
        <v/>
      </c>
      <c r="BK13" s="2">
        <f>IF(COUNTIF('Dados'!$AQ$6:$AQ$8,$DR$13)&gt;0,$DR$13,"Faixa do livro")</f>
        <v/>
      </c>
      <c r="BL13" s="2">
        <f>IF(AND($BK$13="Ajustar do bestiário",ISNUMBER($BM$13)),1,0)</f>
        <v/>
      </c>
      <c r="BM13" s="2">
        <f>IFERROR(MATCH($DT$13,'Dados'!$B$92:$B$123,0),"")</f>
        <v/>
      </c>
      <c r="BN13" s="2">
        <f>IF(COUNTIF('Dados'!$AO$6:$AO$8,$DY$13)&gt;0,$DY$13,IF($BL$13=1,IFERROR(INDEX('Dados'!$C$92:$C$123,$BM$13),""),"Comum"))</f>
        <v/>
      </c>
      <c r="BO13" s="2">
        <f>MATCH($BN$13,'Dados'!$AO$6:$AO$8,0)</f>
        <v/>
      </c>
      <c r="BP13" s="2">
        <f>IF(ISNUMBER($DX$13),MIN(20,MAX(1,INT($DX$13))),'Campanha'!$B$17)</f>
        <v/>
      </c>
      <c r="BQ13" s="2">
        <f>IF($BK$13="Por nível — Sugestão",INDEX('Dados'!$B$7:$B$11,INT(($BP$13-1)/4)+1),IF(LEN(IFERROR(INDEX('Dados'!$B$7:$B$11,MATCH($DW$13,'Dados'!$AP$6:$AP$10,0)),""))&gt;0,IFERROR(INDEX('Dados'!$B$7:$B$11,MATCH($DW$13,'Dados'!$AP$6:$AP$10,0)),""),'Campanha'!$B$19))</f>
        <v/>
      </c>
      <c r="BR13" s="2">
        <f>MATCH($BQ$13,'Dados'!$B$7:$B$11,0)</f>
        <v/>
      </c>
      <c r="BS13" s="2">
        <f>$BQ$13&amp;"|"&amp;$BN$13</f>
        <v/>
      </c>
      <c r="BT13" s="2">
        <f>MIN(4,MAX(1,INT(($BP$13-3)/4)+1))</f>
        <v/>
      </c>
      <c r="BU13" s="2">
        <f>IF($BK$13="Por nível — Sugestão",INT(IF($BP$13&lt;=3,INDEX('Dados'!$D$38:$D$52,$BO$13),IF($BP$13&gt;=19,INDEX('Dados'!$D$38:$D$52,12+$BO$13),INDEX('Dados'!$D$38:$D$52,($BT$13-1)*3+$BO$13)+(INDEX('Dados'!$D$38:$D$52,$BT$13*3+$BO$13)-INDEX('Dados'!$D$38:$D$52,($BT$13-1)*3+$BO$13))*($BP$13-(4*$BT$13-1))/4))),IFERROR(INDEX('Dados'!$D$38:$D$52,MATCH($BS$13,'Dados'!$A$38:$A$52,0)),""))</f>
        <v/>
      </c>
      <c r="BV13" s="2">
        <f>IF($BN$13&lt;&gt;"Boss",1,IF(AND(ISNUMBER($DZ$13),$DZ$13&gt;=1,$DZ$13&lt;=3),INT($DZ$13),IF($BL$13=1,MAX(1,IFERROR(INDEX('Dados'!$F$92:$F$123,$BM$13),"")),1)))</f>
        <v/>
      </c>
      <c r="BW13" s="2">
        <f>IFERROR(INDEX('Dados'!$O$38:$O$52,MATCH($BS$13,'Dados'!$A$38:$A$52,0)),"")</f>
        <v/>
      </c>
      <c r="BX13" s="2">
        <f>IF(AND(LEN($DR$44)=0,LEN($DS$44)=0,LEN($DT$44)=0,LEN($DU$44)=0),1,0)</f>
        <v/>
      </c>
      <c r="BY13" s="2">
        <f>IF(LEN($DQ$13)=0,"",IF($BX$13=0,$DR$44&amp;"",IF($BL$13=1,IFERROR(INDEX('Dados'!$Q$92:$Q$123,$BM$13)&amp;"",""),IF(1&lt;=$BW$13,$CD$13,""))))</f>
        <v/>
      </c>
      <c r="BZ13" s="2">
        <f>IF(LEN($DQ$13)=0,"",IF($BX$13=0,$DS$44&amp;"",IF($BL$13=1,IFERROR(INDEX('Dados'!$R$92:$R$123,$BM$13)&amp;"",""),IF(2&lt;=$BW$13,$CE$13,""))))</f>
        <v/>
      </c>
      <c r="CA13" s="2">
        <f>IF(LEN($DQ$13)=0,"",IF($BX$13=0,$DT$44&amp;"",IF($BL$13=1,IFERROR(INDEX('Dados'!$S$92:$S$123,$BM$13)&amp;"",""),IF(3&lt;=$BW$13,$CF$13,""))))</f>
        <v/>
      </c>
      <c r="CB13" s="2">
        <f>IF(LEN($DQ$13)=0,"",IF($BX$13=0,$DU$44&amp;"",IF($BL$13=1,IFERROR(INDEX('Dados'!$T$92:$T$123,$BM$13)&amp;"",""),IF(4&lt;=$BW$13,$CG$13,""))))</f>
        <v/>
      </c>
      <c r="CC13" s="2">
        <f>IF(LEN($DV$44)&gt;0,$DV$44,IF($BL$13=1,IFERROR(INDEX('Dados'!$U$92:$U$123,$BM$13)&amp;"",""),""))</f>
        <v/>
      </c>
      <c r="CD13" s="2">
        <f>INDEX('Dados'!$A$301:$A$307,MATCH(SMALL($DI$13:$DO$13,1),$DI$13:$DO$13,0))</f>
        <v/>
      </c>
      <c r="CE13" s="2">
        <f>INDEX('Dados'!$A$301:$A$307,MATCH(SMALL($DI$13:$DO$13,2),$DI$13:$DO$13,0))</f>
        <v/>
      </c>
      <c r="CF13" s="2">
        <f>INDEX('Dados'!$A$301:$A$307,MATCH(SMALL($DI$13:$DO$13,3),$DI$13:$DO$13,0))</f>
        <v/>
      </c>
      <c r="CG13" s="2">
        <f>INDEX('Dados'!$A$301:$A$307,MATCH(SMALL($DI$13:$DO$13,4),$DI$13:$DO$13,0))</f>
        <v/>
      </c>
      <c r="CH13" s="2">
        <f>IF($BL$13=1,IFERROR(INDEX('Dados'!$J$92:$J$123,$BM$13),""),"")</f>
        <v/>
      </c>
      <c r="CI13" s="2">
        <f>IF($BL$13=1,IFERROR(INDEX('Dados'!$G$92:$G$123,$BM$13),""),"")</f>
        <v/>
      </c>
      <c r="CJ13" s="2">
        <f>IFERROR(INDEX('Dados'!$S$38:$S$52,MATCH($BS$13,'Dados'!$A$38:$A$52,0)),"")</f>
        <v/>
      </c>
      <c r="CK13" s="2">
        <f>IFERROR(INDEX('Dados'!$T$38:$T$52,MATCH($BS$13,'Dados'!$A$38:$A$52,0)),"")</f>
        <v/>
      </c>
      <c r="CL13" s="2">
        <f>IFERROR(INDEX('Dados'!$J$38:$J$52,MATCH($BQ$13&amp;"|Comum",'Dados'!$A$38:$A$52,0)),"")</f>
        <v/>
      </c>
      <c r="CM13" s="2">
        <f>IFERROR(INDEX('Dados'!$K$38:$K$52,MATCH($BQ$13&amp;"|Comum",'Dados'!$A$38:$A$52,0)),"")</f>
        <v/>
      </c>
      <c r="CN13" s="2">
        <f>MOD(MOD(MOD((MOD('Início'!$E$16+104729*$C$7+41162069,2147483646)+1)*16807,2147483647)*16807,2147483647)*16807,2147483647)</f>
        <v/>
      </c>
      <c r="CO13" s="2">
        <f>MOD(MOD(MOD((MOD(MOD(INT($CN$13/65536)*$CN$13,2147483647)*65536+MOD($CN$13,65536)*$CN$13,2147483647))*16807,2147483647)*16807,2147483647)*16807,2147483647)</f>
        <v/>
      </c>
      <c r="CP13" s="2">
        <f>MOD(MOD(MOD((MOD($CO$13+INT($CO$13/65536)*MOD($CO$13,65536),2147483646)+1)*16807,2147483647)*16807,2147483647)*16807,2147483647)</f>
        <v/>
      </c>
      <c r="CQ13" s="2">
        <f>MOD(MOD(MOD((MOD('Início'!$E$16+104729*$C$7+42461778,2147483646)+1)*16807,2147483647)*16807,2147483647)*16807,2147483647)</f>
        <v/>
      </c>
      <c r="CR13" s="2">
        <f>MOD(MOD(MOD((MOD(MOD(INT($CQ$13/65536)*$CQ$13,2147483647)*65536+MOD($CQ$13,65536)*$CQ$13,2147483647))*16807,2147483647)*16807,2147483647)*16807,2147483647)</f>
        <v/>
      </c>
      <c r="CS13" s="2">
        <f>MOD(MOD(MOD((MOD($CR$13+INT($CR$13/65536)*MOD($CR$13,65536),2147483646)+1)*16807,2147483647)*16807,2147483647)*16807,2147483647)</f>
        <v/>
      </c>
      <c r="CT13" s="2">
        <f>MOD(MOD(MOD((MOD('Início'!$E$16+104729*$C$7+43761487,2147483646)+1)*16807,2147483647)*16807,2147483647)*16807,2147483647)</f>
        <v/>
      </c>
      <c r="CU13" s="2">
        <f>MOD(MOD(MOD((MOD(MOD(INT($CT$13/65536)*$CT$13,2147483647)*65536+MOD($CT$13,65536)*$CT$13,2147483647))*16807,2147483647)*16807,2147483647)*16807,2147483647)</f>
        <v/>
      </c>
      <c r="CV13" s="2">
        <f>MOD(MOD(MOD((MOD($CU$13+INT($CU$13/65536)*MOD($CU$13,65536),2147483646)+1)*16807,2147483647)*16807,2147483647)*16807,2147483647)</f>
        <v/>
      </c>
      <c r="CW13" s="2">
        <f>MOD(MOD(MOD((MOD('Início'!$E$16+104729*$C$7+45061196,2147483646)+1)*16807,2147483647)*16807,2147483647)*16807,2147483647)</f>
        <v/>
      </c>
      <c r="CX13" s="2">
        <f>MOD(MOD(MOD((MOD(MOD(INT($CW$13/65536)*$CW$13,2147483647)*65536+MOD($CW$13,65536)*$CW$13,2147483647))*16807,2147483647)*16807,2147483647)*16807,2147483647)</f>
        <v/>
      </c>
      <c r="CY13" s="2">
        <f>MOD(MOD(MOD((MOD($CX$13+INT($CX$13/65536)*MOD($CX$13,65536),2147483646)+1)*16807,2147483647)*16807,2147483647)*16807,2147483647)</f>
        <v/>
      </c>
      <c r="CZ13" s="2">
        <f>MOD(MOD(MOD((MOD('Início'!$E$16+104729*$C$7+46360905,2147483646)+1)*16807,2147483647)*16807,2147483647)*16807,2147483647)</f>
        <v/>
      </c>
      <c r="DA13" s="2">
        <f>MOD(MOD(MOD((MOD(MOD(INT($CZ$13/65536)*$CZ$13,2147483647)*65536+MOD($CZ$13,65536)*$CZ$13,2147483647))*16807,2147483647)*16807,2147483647)*16807,2147483647)</f>
        <v/>
      </c>
      <c r="DB13" s="2">
        <f>MOD(MOD(MOD((MOD($DA$13+INT($DA$13/65536)*MOD($DA$13,65536),2147483646)+1)*16807,2147483647)*16807,2147483647)*16807,2147483647)</f>
        <v/>
      </c>
      <c r="DC13" s="2">
        <f>MOD(MOD(MOD((MOD('Início'!$E$16+104729*$C$7+47660614,2147483646)+1)*16807,2147483647)*16807,2147483647)*16807,2147483647)</f>
        <v/>
      </c>
      <c r="DD13" s="2">
        <f>MOD(MOD(MOD((MOD(MOD(INT($DC$13/65536)*$DC$13,2147483647)*65536+MOD($DC$13,65536)*$DC$13,2147483647))*16807,2147483647)*16807,2147483647)*16807,2147483647)</f>
        <v/>
      </c>
      <c r="DE13" s="2">
        <f>MOD(MOD(MOD((MOD($DD$13+INT($DD$13/65536)*MOD($DD$13,65536),2147483646)+1)*16807,2147483647)*16807,2147483647)*16807,2147483647)</f>
        <v/>
      </c>
      <c r="DF13" s="2">
        <f>MOD(MOD(MOD((MOD('Início'!$E$16+104729*$C$7+48960323,2147483646)+1)*16807,2147483647)*16807,2147483647)*16807,2147483647)</f>
        <v/>
      </c>
      <c r="DG13" s="2">
        <f>MOD(MOD(MOD((MOD(MOD(INT($DF$13/65536)*$DF$13,2147483647)*65536+MOD($DF$13,65536)*$DF$13,2147483647))*16807,2147483647)*16807,2147483647)*16807,2147483647)</f>
        <v/>
      </c>
      <c r="DH13" s="2">
        <f>MOD(MOD(MOD((MOD($DG$13+INT($DG$13/65536)*MOD($DG$13,65536),2147483646)+1)*16807,2147483647)*16807,2147483647)*16807,2147483647)</f>
        <v/>
      </c>
      <c r="DI13" s="2">
        <f>IF($CC$13="Físico",9000000000,IF(AND('Grupo'!$B$81="Sim",COUNTIF($BY$11:$CB$12,"Físico")=0),0,2147483647))+$CP$13+1/10</f>
        <v/>
      </c>
      <c r="DJ13" s="2">
        <f>IF($CC$13="Fogo",9000000000,IF(AND('Grupo'!$C$81="Sim",COUNTIF($BY$11:$CB$12,"Fogo")=0),0,2147483647))+$CS$13+2/10</f>
        <v/>
      </c>
      <c r="DK13" s="2">
        <f>IF($CC$13="Gelo",9000000000,IF(AND('Grupo'!$D$81="Sim",COUNTIF($BY$11:$CB$12,"Gelo")=0),0,2147483647))+$CV$13+3/10</f>
        <v/>
      </c>
      <c r="DL13" s="2">
        <f>IF($CC$13="Raio",9000000000,IF(AND('Grupo'!$E$81="Sim",COUNTIF($BY$11:$CB$12,"Raio")=0),0,2147483647))+$CY$13+4/10</f>
        <v/>
      </c>
      <c r="DM13" s="2">
        <f>IF($CC$13="Vento",9000000000,IF(AND('Grupo'!$F$81="Sim",COUNTIF($BY$11:$CB$12,"Vento")=0),0,2147483647))+$DB$13+5/10</f>
        <v/>
      </c>
      <c r="DN13" s="2">
        <f>IF($CC$13="Quântico",9000000000,IF(AND('Grupo'!$G$81="Sim",COUNTIF($BY$11:$CB$12,"Quântico")=0),0,2147483647))+$DE$13+6/10</f>
        <v/>
      </c>
      <c r="DO13" s="2">
        <f>IF($CC$13="Imaginário",9000000000,IF(AND('Grupo'!$H$81="Sim",COUNTIF($BY$11:$CB$12,"Imaginário")=0),0,2147483647))+$DH$13+7/10</f>
        <v/>
      </c>
      <c r="DQ13" s="2">
        <f>IF(ISERROR($A$13),"",IF(ISBLANK($A$13),"",$A$13))</f>
        <v/>
      </c>
      <c r="DR13" s="2">
        <f>IF(ISERROR($B$13),"",IF(ISBLANK($B$13),"",$B$13))</f>
        <v/>
      </c>
      <c r="DT13" s="2">
        <f>IF(ISERROR($D$13),"",IF(ISBLANK($D$13),"",$D$13))</f>
        <v/>
      </c>
      <c r="DW13" s="2">
        <f>IF(ISERROR($G$13),"",IF(ISBLANK($G$13),"",$G$13))</f>
        <v/>
      </c>
      <c r="DX13" s="2">
        <f>IF(ISERROR($H$13),"",IF(ISBLANK($H$13),"",$H$13))</f>
        <v/>
      </c>
      <c r="DY13" s="2">
        <f>IF(ISERROR($I$13),"",IF(ISBLANK($I$13),"",$I$13))</f>
        <v/>
      </c>
      <c r="DZ13" s="2">
        <f>IF(ISERROR($J$13),"",IF(ISBLANK($J$13),"",$J$13))</f>
        <v/>
      </c>
      <c r="EA13" s="2">
        <f>ISERROR($A$13)*1+ISERROR($B$13)*1+ISERROR($D$13)*1+ISERROR($G$13)*1+ISERROR($H$13)*1+ISERROR($I$13)*1+ISERROR($J$13)*1</f>
        <v/>
      </c>
    </row>
    <row r="14" ht="26" customHeight="1">
      <c r="A14" s="35" t="n"/>
      <c r="B14" s="29" t="n"/>
      <c r="C14" s="17" t="n"/>
      <c r="D14" s="29" t="n"/>
      <c r="E14" s="25" t="n"/>
      <c r="F14" s="17" t="n"/>
      <c r="G14" s="36" t="n"/>
      <c r="H14" s="37" t="n"/>
      <c r="I14" s="36" t="n"/>
      <c r="J14" s="37" t="n"/>
      <c r="K14" s="27">
        <f>IF(EA14&gt;0,"O Google leu como fórmula: escolha de novo ou digite com ' na frente.",IF(LEN($DQ$14)=0,IF(LEN($DR$14&amp;$DT$14&amp;$DY$14)&gt;0,"Linha sem nome: o inimigo não entra nas listas",""),IF(COUNTIF($DQ$11:$DQ$22,$DQ$14)&gt;1,"Nome repetido na tabela",IF(COUNTIF('Dados'!$B$92:$B$123,$DQ$14)&gt;0,"Nome igual a uma criatura do bestiário: dê outro nome",IF(AND($BK$14="Ajustar do bestiário",$BL$14=0),"Modo Ajustar sem base do bestiário válida",IF(AND(LEN($DZ$14)&gt;0,$BN$14&lt;&gt;"Boss"),"Fases só valem para Boss (28.5)",IF(AND(ISNUMBER($DX$14),OR($DX$14&lt;1,$DX$14&gt;20)),"Nível fora de 1 a 20: usando o limite",IF(AND(LEN($DY$14)&gt;0,COUNTIF('Dados'!$AO$6:$AO$8,$DY$14)=0),"Tipo fora da lista: usando Comum",""))))))))</f>
        <v/>
      </c>
      <c r="N14" s="2">
        <f>IF(LEN($DQ$14)=0,"",$DQ$14)</f>
        <v/>
      </c>
      <c r="O14" s="2">
        <f>IF(LEN($DQ$14)=0,"",$BN$14)</f>
        <v/>
      </c>
      <c r="P14" s="2">
        <f>IF(LEN($DQ$14)=0,"",$BQ$14)</f>
        <v/>
      </c>
      <c r="Q14" s="2">
        <f>IF(LEN($DQ$14)=0,"",$BU$14)</f>
        <v/>
      </c>
      <c r="R14" s="2">
        <f>IF(LEN($DQ$14)=0,"",IFERROR(INDEX('Dados'!$E$38:$E$52,MATCH($BS$14,'Dados'!$A$38:$A$52,0)),""))</f>
        <v/>
      </c>
      <c r="S14" s="2">
        <f>IF(LEN($DQ$14)=0,"",IFERROR(INDEX('Dados'!$F$38:$F$52,MATCH($BS$14,'Dados'!$A$38:$A$52,0)),""))</f>
        <v/>
      </c>
      <c r="T14" s="2">
        <f>IF(LEN($DQ$14)=0,"",IFERROR(INDEX('Dados'!$G$38:$G$52,MATCH($BS$14,'Dados'!$A$38:$A$52,0)),""))</f>
        <v/>
      </c>
      <c r="U14" s="2">
        <f>IF(LEN($DQ$14)=0,"",IFERROR(INDEX('Dados'!$H$38:$H$52,MATCH($BS$14,'Dados'!$A$38:$A$52,0)),""))</f>
        <v/>
      </c>
      <c r="V14" s="2">
        <f>IF(LEN($DQ$14)=0,"",IFERROR(INDEX('Dados'!$I$38:$I$52,MATCH($BS$14,'Dados'!$A$38:$A$52,0)),""))</f>
        <v/>
      </c>
      <c r="W14" s="2">
        <f>IF(LEN($DQ$14)=0,"",IFERROR(INDEX('Dados'!$J$38:$J$52,MATCH($BS$14,'Dados'!$A$38:$A$52,0)),""))</f>
        <v/>
      </c>
      <c r="X14" s="2">
        <f>IF(LEN($DQ$14)=0,"",IFERROR(INDEX('Dados'!$K$38:$K$52,MATCH($BS$14,'Dados'!$A$38:$A$52,0)),""))</f>
        <v/>
      </c>
      <c r="Y14" s="2">
        <f>IF(LEN($DQ$14)=0,"",IFERROR(INDEX('Dados'!$L$38:$L$52,MATCH($BS$14,'Dados'!$A$38:$A$52,0)),""))</f>
        <v/>
      </c>
      <c r="Z14" s="2">
        <f>IF(LEN($DQ$14)=0,"",IFERROR(INDEX('Dados'!$M$38:$M$52,MATCH($BS$14,'Dados'!$A$38:$A$52,0)),""))</f>
        <v/>
      </c>
      <c r="AA14" s="2">
        <f>IF(LEN($DQ$14)=0,"",$BY$14)</f>
        <v/>
      </c>
      <c r="AB14" s="2">
        <f>IF(LEN($DQ$14)=0,"",$BZ$14)</f>
        <v/>
      </c>
      <c r="AC14" s="2">
        <f>IF(LEN($DQ$14)=0,"",$CA$14)</f>
        <v/>
      </c>
      <c r="AD14" s="2">
        <f>IF(LEN($DQ$14)=0,"",$CB$14)</f>
        <v/>
      </c>
      <c r="AE14" s="2">
        <f>IF(LEN($DQ$14)=0,"",$CC$14)</f>
        <v/>
      </c>
      <c r="AF14" s="2">
        <f>IF(LEN($DQ$14)=0,"",IF($DV$29="Sim","Pode",IF($DV$29="Não","Não",IF($BL$14=1,IFERROR(INDEX('Dados'!$V$92:$V$123,$BM$14)&amp;"",""),"Não declarado"))))</f>
        <v/>
      </c>
      <c r="AG14" s="2">
        <f>IF(LEN($DQ$14)=0,"",$BV$14)</f>
        <v/>
      </c>
      <c r="AH14" s="2">
        <f>IF(LEN($DQ$14)=0,"",IFERROR(INDEX('Dados'!$Q$38:$Q$52,MATCH($BS$14,'Dados'!$A$38:$A$52,0)),""))</f>
        <v/>
      </c>
      <c r="AI14" s="2">
        <f>IF(LEN($DQ$14)=0,"",IF(AND($BL$14=1,$DT$14="Escória de Stellaron"),1.5,1)*$BU$14)</f>
        <v/>
      </c>
      <c r="AJ14" s="2">
        <f>IF(LEN($DQ$14)=0,"",IFERROR(INDEX('Dados'!$P$38:$P$52,MATCH($BS$14,'Dados'!$A$38:$A$52,0)),""))</f>
        <v/>
      </c>
      <c r="AK14" s="2">
        <f>IF(LEN($DQ$14)=0,"",IF($BV$14=2,INT($BU$14/2),IF($BV$14=3,INT(2*$BU$14/3),"")))</f>
        <v/>
      </c>
      <c r="AL14" s="2">
        <f>IF(LEN($DQ$14)=0,"",IF($BV$14=3,INT($BU$14/3),""))</f>
        <v/>
      </c>
      <c r="AM14" s="2">
        <f>IF(OR(LEN($DQ$14)=0,$BV$14&lt;2),"",IFERROR(INDEX($DT$88:$DT$112,MATCH($DQ$14&amp;"|2",$N$88:$N$112,0))&amp;"",IF($BL$14=1,IFERROR(INDEX('Dados'!$G$127:$G$138,MATCH($DT$14&amp;"|2",'Dados'!$A$127:$A$138,0)),""),"")))</f>
        <v/>
      </c>
      <c r="AN14" s="2">
        <f>IF(OR(LEN($DQ$14)=0,$BV$14&lt;2),"",IFERROR(INDEX($DU$88:$DU$112,MATCH($DQ$14&amp;"|2",$N$88:$N$112,0))&amp;"",IF($BL$14=1,IFERROR(INDEX('Dados'!$H$127:$H$138,MATCH($DT$14&amp;"|2",'Dados'!$A$127:$A$138,0)),""),"")))</f>
        <v/>
      </c>
      <c r="AO14" s="2">
        <f>IF(OR(LEN($DQ$14)=0,$BV$14&lt;2),"",IFERROR(INDEX($DV$88:$DV$112,MATCH($DQ$14&amp;"|2",$N$88:$N$112,0))&amp;"",IF($BL$14=1,IFERROR(INDEX('Dados'!$I$127:$I$138,MATCH($DT$14&amp;"|2",'Dados'!$A$127:$A$138,0)),""),"")))</f>
        <v/>
      </c>
      <c r="AP14" s="2">
        <f>IF(OR(LEN($DQ$14)=0,$BV$14&lt;2),"",IFERROR(INDEX($DW$88:$DW$112,MATCH($DQ$14&amp;"|2",$N$88:$N$112,0))&amp;"",IF($BL$14=1,IFERROR(INDEX('Dados'!$J$127:$J$138,MATCH($DT$14&amp;"|2",'Dados'!$A$127:$A$138,0)),""),"")))</f>
        <v/>
      </c>
      <c r="AQ14" s="2">
        <f>IF(OR(LEN($DQ$14)=0,$BV$14&lt;2),"",IF(ISNUMBER(MATCH($DQ$14&amp;"|2",$N$88:$N$112,0)),IF(ISNUMBER(INDEX($DX$88:$DX$112,MATCH($DQ$14&amp;"|2",$N$88:$N$112,0))),MIN(IFERROR(INDEX('Dados'!$G$38:$G$52,MATCH($BS$14,'Dados'!$A$38:$A$52,0)),""),INDEX($DX$88:$DX$112,MATCH($DQ$14&amp;"|2",$N$88:$N$112,0))),IFERROR(INDEX('Dados'!$G$38:$G$52,MATCH($BS$14,'Dados'!$A$38:$A$52,0)),"")),IF($BL$14=1,IFERROR(MIN(IFERROR(INDEX('Dados'!$G$38:$G$52,MATCH($BS$14,'Dados'!$A$38:$A$52,0)),""),INT(INDEX('Dados'!$K$127:$K$138,MATCH($DT$14&amp;"|2",'Dados'!$A$127:$A$138,0))*IFERROR(INDEX('Dados'!$G$38:$G$52,MATCH($BS$14,'Dados'!$A$38:$A$52,0)),"")/$CH$14)),IFERROR(INDEX('Dados'!$G$38:$G$52,MATCH($BS$14,'Dados'!$A$38:$A$52,0)),"")),IFERROR(INDEX('Dados'!$G$38:$G$52,MATCH($BS$14,'Dados'!$A$38:$A$52,0)),""))))</f>
        <v/>
      </c>
      <c r="AR14" s="2">
        <f>IF(OR(LEN($DQ$14)=0,$BV$14&lt;3),"",IFERROR(INDEX($DT$88:$DT$112,MATCH($DQ$14&amp;"|3",$N$88:$N$112,0))&amp;"",IF($BL$14=1,IFERROR(INDEX('Dados'!$G$127:$G$138,MATCH($DT$14&amp;"|3",'Dados'!$A$127:$A$138,0)),""),"")))</f>
        <v/>
      </c>
      <c r="AS14" s="2">
        <f>IF(OR(LEN($DQ$14)=0,$BV$14&lt;3),"",IFERROR(INDEX($DU$88:$DU$112,MATCH($DQ$14&amp;"|3",$N$88:$N$112,0))&amp;"",IF($BL$14=1,IFERROR(INDEX('Dados'!$H$127:$H$138,MATCH($DT$14&amp;"|3",'Dados'!$A$127:$A$138,0)),""),"")))</f>
        <v/>
      </c>
      <c r="AT14" s="2">
        <f>IF(OR(LEN($DQ$14)=0,$BV$14&lt;3),"",IFERROR(INDEX($DV$88:$DV$112,MATCH($DQ$14&amp;"|3",$N$88:$N$112,0))&amp;"",IF($BL$14=1,IFERROR(INDEX('Dados'!$I$127:$I$138,MATCH($DT$14&amp;"|3",'Dados'!$A$127:$A$138,0)),""),"")))</f>
        <v/>
      </c>
      <c r="AU14" s="2">
        <f>IF(OR(LEN($DQ$14)=0,$BV$14&lt;3),"",IFERROR(INDEX($DW$88:$DW$112,MATCH($DQ$14&amp;"|3",$N$88:$N$112,0))&amp;"",IF($BL$14=1,IFERROR(INDEX('Dados'!$J$127:$J$138,MATCH($DT$14&amp;"|3",'Dados'!$A$127:$A$138,0)),""),"")))</f>
        <v/>
      </c>
      <c r="AV14" s="2">
        <f>IF(OR(LEN($DQ$14)=0,$BV$14&lt;3),"",IF(ISNUMBER(MATCH($DQ$14&amp;"|3",$N$88:$N$112,0)),IF(ISNUMBER(INDEX($DX$88:$DX$112,MATCH($DQ$14&amp;"|3",$N$88:$N$112,0))),MIN(IFERROR(INDEX('Dados'!$G$38:$G$52,MATCH($BS$14,'Dados'!$A$38:$A$52,0)),""),INDEX($DX$88:$DX$112,MATCH($DQ$14&amp;"|3",$N$88:$N$112,0))),IFERROR(INDEX('Dados'!$G$38:$G$52,MATCH($BS$14,'Dados'!$A$38:$A$52,0)),"")),IF($BL$14=1,IFERROR(MIN(IFERROR(INDEX('Dados'!$G$38:$G$52,MATCH($BS$14,'Dados'!$A$38:$A$52,0)),""),INT(INDEX('Dados'!$K$127:$K$138,MATCH($DT$14&amp;"|3",'Dados'!$A$127:$A$138,0))*IFERROR(INDEX('Dados'!$G$38:$G$52,MATCH($BS$14,'Dados'!$A$38:$A$52,0)),"")/$CH$14)),IFERROR(INDEX('Dados'!$G$38:$G$52,MATCH($BS$14,'Dados'!$A$38:$A$52,0)),"")),IFERROR(INDEX('Dados'!$G$38:$G$52,MATCH($BS$14,'Dados'!$A$38:$A$52,0)),""))))</f>
        <v/>
      </c>
      <c r="AW14" s="2">
        <f>IF(LEN($DQ$14)=0,"",IF($BL$14=1,IFERROR(INDEX('Dados'!$AF$92:$AF$123,$BM$14)&amp;"",""),IFERROR(INDEX($DU$116:$DU$153,MATCH($DQ$14&amp;"|1",$Q$116:$Q$153,0))&amp;"","")))</f>
        <v/>
      </c>
      <c r="AX14" s="2">
        <f>IF(LEN($DQ$14)=0,"",IF($BL$14=1,IF(ISNUMBER(IFERROR(INDEX('Dados'!$AG$92:$AG$123,$BM$14),"")),IF(IFERROR(INDEX('Dados'!$AG$92:$AG$123,$BM$14),"")&gt;0,IFERROR(INDEX('Dados'!$AG$92:$AG$123,$BM$14),""),""),""),IFERROR(INDEX($DY$116:$DY$153,MATCH($DQ$14&amp;"|1",$Q$116:$Q$153,0))+0,"")))</f>
        <v/>
      </c>
      <c r="AY14" s="2">
        <f>IF(LEN($DQ$14)=0,"",IF($BL$14=1,IFERROR(INDEX('Dados'!$AH$92:$AH$123,$BM$14)&amp;"",""),IFERROR(INDEX($DU$116:$DU$153,MATCH($DQ$14&amp;"|2",$Q$116:$Q$153,0))&amp;"","")))</f>
        <v/>
      </c>
      <c r="AZ14" s="2">
        <f>IF(LEN($DQ$14)=0,"",IF($BL$14=1,IF(ISNUMBER(IFERROR(INDEX('Dados'!$AI$92:$AI$123,$BM$14),"")),IF(IFERROR(INDEX('Dados'!$AI$92:$AI$123,$BM$14),"")&gt;0,IFERROR(INDEX('Dados'!$AI$92:$AI$123,$BM$14),""),""),""),IFERROR(INDEX($DY$116:$DY$153,MATCH($DQ$14&amp;"|2",$Q$116:$Q$153,0))+0,"")))</f>
        <v/>
      </c>
      <c r="BA14" s="2">
        <f>IF(LEN($DQ$14)=0,"",IF($BL$14=1,IFERROR(INDEX('Dados'!$AJ$92:$AJ$123,$BM$14)&amp;"",""),IFERROR(INDEX($DU$116:$DU$153,MATCH($DQ$14&amp;"|3",$Q$116:$Q$153,0))&amp;"","")))</f>
        <v/>
      </c>
      <c r="BB14" s="2">
        <f>IF(LEN($DQ$14)=0,"",IF($BL$14=1,IF(ISNUMBER(IFERROR(INDEX('Dados'!$AK$92:$AK$123,$BM$14),"")),IF(IFERROR(INDEX('Dados'!$AK$92:$AK$123,$BM$14),"")&gt;0,IFERROR(INDEX('Dados'!$AK$92:$AK$123,$BM$14),""),""),""),IFERROR(INDEX($DY$116:$DY$153,MATCH($DQ$14&amp;"|3",$Q$116:$Q$153,0))+0,"")))</f>
        <v/>
      </c>
      <c r="BC14" s="2">
        <f>IF(LEN($DQ$14)=0,"",IF(LEN($DR$29)&gt;0,$DR$29,IF($BL$14=1,IFERROR(INDEX('Dados'!$E$92:$E$123,$BM$14)&amp;"",""),"")))</f>
        <v/>
      </c>
      <c r="BD14" s="2">
        <f>IF(AND(LEN($DR$29)=0,$BL$14=1),IFERROR(INDEX('Dados'!$AD$92:$AD$123,$BM$14)&amp;"",""),"")</f>
        <v/>
      </c>
      <c r="BE14" s="2">
        <f>IF(LEN($DQ$14)=0,"",INDEX('Dados'!$F$7:$F$11,$BR$14))</f>
        <v/>
      </c>
      <c r="BF14" s="2">
        <f>IF(LEN($DQ$14)=0,"",$BR$14)</f>
        <v/>
      </c>
      <c r="BG14" s="2">
        <f>$G$45</f>
        <v/>
      </c>
      <c r="BH14" s="2">
        <f>"Campanha"</f>
        <v/>
      </c>
      <c r="BK14" s="2">
        <f>IF(COUNTIF('Dados'!$AQ$6:$AQ$8,$DR$14)&gt;0,$DR$14,"Faixa do livro")</f>
        <v/>
      </c>
      <c r="BL14" s="2">
        <f>IF(AND($BK$14="Ajustar do bestiário",ISNUMBER($BM$14)),1,0)</f>
        <v/>
      </c>
      <c r="BM14" s="2">
        <f>IFERROR(MATCH($DT$14,'Dados'!$B$92:$B$123,0),"")</f>
        <v/>
      </c>
      <c r="BN14" s="2">
        <f>IF(COUNTIF('Dados'!$AO$6:$AO$8,$DY$14)&gt;0,$DY$14,IF($BL$14=1,IFERROR(INDEX('Dados'!$C$92:$C$123,$BM$14),""),"Comum"))</f>
        <v/>
      </c>
      <c r="BO14" s="2">
        <f>MATCH($BN$14,'Dados'!$AO$6:$AO$8,0)</f>
        <v/>
      </c>
      <c r="BP14" s="2">
        <f>IF(ISNUMBER($DX$14),MIN(20,MAX(1,INT($DX$14))),'Campanha'!$B$17)</f>
        <v/>
      </c>
      <c r="BQ14" s="2">
        <f>IF($BK$14="Por nível — Sugestão",INDEX('Dados'!$B$7:$B$11,INT(($BP$14-1)/4)+1),IF(LEN(IFERROR(INDEX('Dados'!$B$7:$B$11,MATCH($DW$14,'Dados'!$AP$6:$AP$10,0)),""))&gt;0,IFERROR(INDEX('Dados'!$B$7:$B$11,MATCH($DW$14,'Dados'!$AP$6:$AP$10,0)),""),'Campanha'!$B$19))</f>
        <v/>
      </c>
      <c r="BR14" s="2">
        <f>MATCH($BQ$14,'Dados'!$B$7:$B$11,0)</f>
        <v/>
      </c>
      <c r="BS14" s="2">
        <f>$BQ$14&amp;"|"&amp;$BN$14</f>
        <v/>
      </c>
      <c r="BT14" s="2">
        <f>MIN(4,MAX(1,INT(($BP$14-3)/4)+1))</f>
        <v/>
      </c>
      <c r="BU14" s="2">
        <f>IF($BK$14="Por nível — Sugestão",INT(IF($BP$14&lt;=3,INDEX('Dados'!$D$38:$D$52,$BO$14),IF($BP$14&gt;=19,INDEX('Dados'!$D$38:$D$52,12+$BO$14),INDEX('Dados'!$D$38:$D$52,($BT$14-1)*3+$BO$14)+(INDEX('Dados'!$D$38:$D$52,$BT$14*3+$BO$14)-INDEX('Dados'!$D$38:$D$52,($BT$14-1)*3+$BO$14))*($BP$14-(4*$BT$14-1))/4))),IFERROR(INDEX('Dados'!$D$38:$D$52,MATCH($BS$14,'Dados'!$A$38:$A$52,0)),""))</f>
        <v/>
      </c>
      <c r="BV14" s="2">
        <f>IF($BN$14&lt;&gt;"Boss",1,IF(AND(ISNUMBER($DZ$14),$DZ$14&gt;=1,$DZ$14&lt;=3),INT($DZ$14),IF($BL$14=1,MAX(1,IFERROR(INDEX('Dados'!$F$92:$F$123,$BM$14),"")),1)))</f>
        <v/>
      </c>
      <c r="BW14" s="2">
        <f>IFERROR(INDEX('Dados'!$O$38:$O$52,MATCH($BS$14,'Dados'!$A$38:$A$52,0)),"")</f>
        <v/>
      </c>
      <c r="BX14" s="2">
        <f>IF(AND(LEN($DR$45)=0,LEN($DS$45)=0,LEN($DT$45)=0,LEN($DU$45)=0),1,0)</f>
        <v/>
      </c>
      <c r="BY14" s="2">
        <f>IF(LEN($DQ$14)=0,"",IF($BX$14=0,$DR$45&amp;"",IF($BL$14=1,IFERROR(INDEX('Dados'!$Q$92:$Q$123,$BM$14)&amp;"",""),IF(1&lt;=$BW$14,$CD$14,""))))</f>
        <v/>
      </c>
      <c r="BZ14" s="2">
        <f>IF(LEN($DQ$14)=0,"",IF($BX$14=0,$DS$45&amp;"",IF($BL$14=1,IFERROR(INDEX('Dados'!$R$92:$R$123,$BM$14)&amp;"",""),IF(2&lt;=$BW$14,$CE$14,""))))</f>
        <v/>
      </c>
      <c r="CA14" s="2">
        <f>IF(LEN($DQ$14)=0,"",IF($BX$14=0,$DT$45&amp;"",IF($BL$14=1,IFERROR(INDEX('Dados'!$S$92:$S$123,$BM$14)&amp;"",""),IF(3&lt;=$BW$14,$CF$14,""))))</f>
        <v/>
      </c>
      <c r="CB14" s="2">
        <f>IF(LEN($DQ$14)=0,"",IF($BX$14=0,$DU$45&amp;"",IF($BL$14=1,IFERROR(INDEX('Dados'!$T$92:$T$123,$BM$14)&amp;"",""),IF(4&lt;=$BW$14,$CG$14,""))))</f>
        <v/>
      </c>
      <c r="CC14" s="2">
        <f>IF(LEN($DV$45)&gt;0,$DV$45,IF($BL$14=1,IFERROR(INDEX('Dados'!$U$92:$U$123,$BM$14)&amp;"",""),""))</f>
        <v/>
      </c>
      <c r="CD14" s="2">
        <f>INDEX('Dados'!$A$301:$A$307,MATCH(SMALL($DI$14:$DO$14,1),$DI$14:$DO$14,0))</f>
        <v/>
      </c>
      <c r="CE14" s="2">
        <f>INDEX('Dados'!$A$301:$A$307,MATCH(SMALL($DI$14:$DO$14,2),$DI$14:$DO$14,0))</f>
        <v/>
      </c>
      <c r="CF14" s="2">
        <f>INDEX('Dados'!$A$301:$A$307,MATCH(SMALL($DI$14:$DO$14,3),$DI$14:$DO$14,0))</f>
        <v/>
      </c>
      <c r="CG14" s="2">
        <f>INDEX('Dados'!$A$301:$A$307,MATCH(SMALL($DI$14:$DO$14,4),$DI$14:$DO$14,0))</f>
        <v/>
      </c>
      <c r="CH14" s="2">
        <f>IF($BL$14=1,IFERROR(INDEX('Dados'!$J$92:$J$123,$BM$14),""),"")</f>
        <v/>
      </c>
      <c r="CI14" s="2">
        <f>IF($BL$14=1,IFERROR(INDEX('Dados'!$G$92:$G$123,$BM$14),""),"")</f>
        <v/>
      </c>
      <c r="CJ14" s="2">
        <f>IFERROR(INDEX('Dados'!$S$38:$S$52,MATCH($BS$14,'Dados'!$A$38:$A$52,0)),"")</f>
        <v/>
      </c>
      <c r="CK14" s="2">
        <f>IFERROR(INDEX('Dados'!$T$38:$T$52,MATCH($BS$14,'Dados'!$A$38:$A$52,0)),"")</f>
        <v/>
      </c>
      <c r="CL14" s="2">
        <f>IFERROR(INDEX('Dados'!$J$38:$J$52,MATCH($BQ$14&amp;"|Comum",'Dados'!$A$38:$A$52,0)),"")</f>
        <v/>
      </c>
      <c r="CM14" s="2">
        <f>IFERROR(INDEX('Dados'!$K$38:$K$52,MATCH($BQ$14&amp;"|Comum",'Dados'!$A$38:$A$52,0)),"")</f>
        <v/>
      </c>
      <c r="CN14" s="2">
        <f>MOD(MOD(MOD((MOD('Início'!$E$16+104729*$C$7+54159159,2147483646)+1)*16807,2147483647)*16807,2147483647)*16807,2147483647)</f>
        <v/>
      </c>
      <c r="CO14" s="2">
        <f>MOD(MOD(MOD((MOD(MOD(INT($CN$14/65536)*$CN$14,2147483647)*65536+MOD($CN$14,65536)*$CN$14,2147483647))*16807,2147483647)*16807,2147483647)*16807,2147483647)</f>
        <v/>
      </c>
      <c r="CP14" s="2">
        <f>MOD(MOD(MOD((MOD($CO$14+INT($CO$14/65536)*MOD($CO$14,65536),2147483646)+1)*16807,2147483647)*16807,2147483647)*16807,2147483647)</f>
        <v/>
      </c>
      <c r="CQ14" s="2">
        <f>MOD(MOD(MOD((MOD('Início'!$E$16+104729*$C$7+55458868,2147483646)+1)*16807,2147483647)*16807,2147483647)*16807,2147483647)</f>
        <v/>
      </c>
      <c r="CR14" s="2">
        <f>MOD(MOD(MOD((MOD(MOD(INT($CQ$14/65536)*$CQ$14,2147483647)*65536+MOD($CQ$14,65536)*$CQ$14,2147483647))*16807,2147483647)*16807,2147483647)*16807,2147483647)</f>
        <v/>
      </c>
      <c r="CS14" s="2">
        <f>MOD(MOD(MOD((MOD($CR$14+INT($CR$14/65536)*MOD($CR$14,65536),2147483646)+1)*16807,2147483647)*16807,2147483647)*16807,2147483647)</f>
        <v/>
      </c>
      <c r="CT14" s="2">
        <f>MOD(MOD(MOD((MOD('Início'!$E$16+104729*$C$7+56758577,2147483646)+1)*16807,2147483647)*16807,2147483647)*16807,2147483647)</f>
        <v/>
      </c>
      <c r="CU14" s="2">
        <f>MOD(MOD(MOD((MOD(MOD(INT($CT$14/65536)*$CT$14,2147483647)*65536+MOD($CT$14,65536)*$CT$14,2147483647))*16807,2147483647)*16807,2147483647)*16807,2147483647)</f>
        <v/>
      </c>
      <c r="CV14" s="2">
        <f>MOD(MOD(MOD((MOD($CU$14+INT($CU$14/65536)*MOD($CU$14,65536),2147483646)+1)*16807,2147483647)*16807,2147483647)*16807,2147483647)</f>
        <v/>
      </c>
      <c r="CW14" s="2">
        <f>MOD(MOD(MOD((MOD('Início'!$E$16+104729*$C$7+58058286,2147483646)+1)*16807,2147483647)*16807,2147483647)*16807,2147483647)</f>
        <v/>
      </c>
      <c r="CX14" s="2">
        <f>MOD(MOD(MOD((MOD(MOD(INT($CW$14/65536)*$CW$14,2147483647)*65536+MOD($CW$14,65536)*$CW$14,2147483647))*16807,2147483647)*16807,2147483647)*16807,2147483647)</f>
        <v/>
      </c>
      <c r="CY14" s="2">
        <f>MOD(MOD(MOD((MOD($CX$14+INT($CX$14/65536)*MOD($CX$14,65536),2147483646)+1)*16807,2147483647)*16807,2147483647)*16807,2147483647)</f>
        <v/>
      </c>
      <c r="CZ14" s="2">
        <f>MOD(MOD(MOD((MOD('Início'!$E$16+104729*$C$7+59357995,2147483646)+1)*16807,2147483647)*16807,2147483647)*16807,2147483647)</f>
        <v/>
      </c>
      <c r="DA14" s="2">
        <f>MOD(MOD(MOD((MOD(MOD(INT($CZ$14/65536)*$CZ$14,2147483647)*65536+MOD($CZ$14,65536)*$CZ$14,2147483647))*16807,2147483647)*16807,2147483647)*16807,2147483647)</f>
        <v/>
      </c>
      <c r="DB14" s="2">
        <f>MOD(MOD(MOD((MOD($DA$14+INT($DA$14/65536)*MOD($DA$14,65536),2147483646)+1)*16807,2147483647)*16807,2147483647)*16807,2147483647)</f>
        <v/>
      </c>
      <c r="DC14" s="2">
        <f>MOD(MOD(MOD((MOD('Início'!$E$16+104729*$C$7+60657704,2147483646)+1)*16807,2147483647)*16807,2147483647)*16807,2147483647)</f>
        <v/>
      </c>
      <c r="DD14" s="2">
        <f>MOD(MOD(MOD((MOD(MOD(INT($DC$14/65536)*$DC$14,2147483647)*65536+MOD($DC$14,65536)*$DC$14,2147483647))*16807,2147483647)*16807,2147483647)*16807,2147483647)</f>
        <v/>
      </c>
      <c r="DE14" s="2">
        <f>MOD(MOD(MOD((MOD($DD$14+INT($DD$14/65536)*MOD($DD$14,65536),2147483646)+1)*16807,2147483647)*16807,2147483647)*16807,2147483647)</f>
        <v/>
      </c>
      <c r="DF14" s="2">
        <f>MOD(MOD(MOD((MOD('Início'!$E$16+104729*$C$7+61957413,2147483646)+1)*16807,2147483647)*16807,2147483647)*16807,2147483647)</f>
        <v/>
      </c>
      <c r="DG14" s="2">
        <f>MOD(MOD(MOD((MOD(MOD(INT($DF$14/65536)*$DF$14,2147483647)*65536+MOD($DF$14,65536)*$DF$14,2147483647))*16807,2147483647)*16807,2147483647)*16807,2147483647)</f>
        <v/>
      </c>
      <c r="DH14" s="2">
        <f>MOD(MOD(MOD((MOD($DG$14+INT($DG$14/65536)*MOD($DG$14,65536),2147483646)+1)*16807,2147483647)*16807,2147483647)*16807,2147483647)</f>
        <v/>
      </c>
      <c r="DI14" s="2">
        <f>IF($CC$14="Físico",9000000000,IF(AND('Grupo'!$B$81="Sim",COUNTIF($BY$11:$CB$13,"Físico")=0),0,2147483647))+$CP$14+1/10</f>
        <v/>
      </c>
      <c r="DJ14" s="2">
        <f>IF($CC$14="Fogo",9000000000,IF(AND('Grupo'!$C$81="Sim",COUNTIF($BY$11:$CB$13,"Fogo")=0),0,2147483647))+$CS$14+2/10</f>
        <v/>
      </c>
      <c r="DK14" s="2">
        <f>IF($CC$14="Gelo",9000000000,IF(AND('Grupo'!$D$81="Sim",COUNTIF($BY$11:$CB$13,"Gelo")=0),0,2147483647))+$CV$14+3/10</f>
        <v/>
      </c>
      <c r="DL14" s="2">
        <f>IF($CC$14="Raio",9000000000,IF(AND('Grupo'!$E$81="Sim",COUNTIF($BY$11:$CB$13,"Raio")=0),0,2147483647))+$CY$14+4/10</f>
        <v/>
      </c>
      <c r="DM14" s="2">
        <f>IF($CC$14="Vento",9000000000,IF(AND('Grupo'!$F$81="Sim",COUNTIF($BY$11:$CB$13,"Vento")=0),0,2147483647))+$DB$14+5/10</f>
        <v/>
      </c>
      <c r="DN14" s="2">
        <f>IF($CC$14="Quântico",9000000000,IF(AND('Grupo'!$G$81="Sim",COUNTIF($BY$11:$CB$13,"Quântico")=0),0,2147483647))+$DE$14+6/10</f>
        <v/>
      </c>
      <c r="DO14" s="2">
        <f>IF($CC$14="Imaginário",9000000000,IF(AND('Grupo'!$H$81="Sim",COUNTIF($BY$11:$CB$13,"Imaginário")=0),0,2147483647))+$DH$14+7/10</f>
        <v/>
      </c>
      <c r="DQ14" s="2">
        <f>IF(ISERROR($A$14),"",IF(ISBLANK($A$14),"",$A$14))</f>
        <v/>
      </c>
      <c r="DR14" s="2">
        <f>IF(ISERROR($B$14),"",IF(ISBLANK($B$14),"",$B$14))</f>
        <v/>
      </c>
      <c r="DT14" s="2">
        <f>IF(ISERROR($D$14),"",IF(ISBLANK($D$14),"",$D$14))</f>
        <v/>
      </c>
      <c r="DW14" s="2">
        <f>IF(ISERROR($G$14),"",IF(ISBLANK($G$14),"",$G$14))</f>
        <v/>
      </c>
      <c r="DX14" s="2">
        <f>IF(ISERROR($H$14),"",IF(ISBLANK($H$14),"",$H$14))</f>
        <v/>
      </c>
      <c r="DY14" s="2">
        <f>IF(ISERROR($I$14),"",IF(ISBLANK($I$14),"",$I$14))</f>
        <v/>
      </c>
      <c r="DZ14" s="2">
        <f>IF(ISERROR($J$14),"",IF(ISBLANK($J$14),"",$J$14))</f>
        <v/>
      </c>
      <c r="EA14" s="2">
        <f>ISERROR($A$14)*1+ISERROR($B$14)*1+ISERROR($D$14)*1+ISERROR($G$14)*1+ISERROR($H$14)*1+ISERROR($I$14)*1+ISERROR($J$14)*1</f>
        <v/>
      </c>
    </row>
    <row r="15" ht="26" customHeight="1">
      <c r="A15" s="33" t="n"/>
      <c r="B15" s="4" t="n"/>
      <c r="C15" s="17" t="n"/>
      <c r="D15" s="4" t="n"/>
      <c r="E15" s="25" t="n"/>
      <c r="F15" s="17" t="n"/>
      <c r="G15" s="34" t="n"/>
      <c r="H15" s="16" t="n"/>
      <c r="I15" s="34" t="n"/>
      <c r="J15" s="16" t="n"/>
      <c r="K15" s="19">
        <f>IF(EA15&gt;0,"O Google leu como fórmula: escolha de novo ou digite com ' na frente.",IF(LEN($DQ$15)=0,IF(LEN($DR$15&amp;$DT$15&amp;$DY$15)&gt;0,"Linha sem nome: o inimigo não entra nas listas",""),IF(COUNTIF($DQ$11:$DQ$22,$DQ$15)&gt;1,"Nome repetido na tabela",IF(COUNTIF('Dados'!$B$92:$B$123,$DQ$15)&gt;0,"Nome igual a uma criatura do bestiário: dê outro nome",IF(AND($BK$15="Ajustar do bestiário",$BL$15=0),"Modo Ajustar sem base do bestiário válida",IF(AND(LEN($DZ$15)&gt;0,$BN$15&lt;&gt;"Boss"),"Fases só valem para Boss (28.5)",IF(AND(ISNUMBER($DX$15),OR($DX$15&lt;1,$DX$15&gt;20)),"Nível fora de 1 a 20: usando o limite",IF(AND(LEN($DY$15)&gt;0,COUNTIF('Dados'!$AO$6:$AO$8,$DY$15)=0),"Tipo fora da lista: usando Comum",""))))))))</f>
        <v/>
      </c>
      <c r="N15" s="2">
        <f>IF(LEN($DQ$15)=0,"",$DQ$15)</f>
        <v/>
      </c>
      <c r="O15" s="2">
        <f>IF(LEN($DQ$15)=0,"",$BN$15)</f>
        <v/>
      </c>
      <c r="P15" s="2">
        <f>IF(LEN($DQ$15)=0,"",$BQ$15)</f>
        <v/>
      </c>
      <c r="Q15" s="2">
        <f>IF(LEN($DQ$15)=0,"",$BU$15)</f>
        <v/>
      </c>
      <c r="R15" s="2">
        <f>IF(LEN($DQ$15)=0,"",IFERROR(INDEX('Dados'!$E$38:$E$52,MATCH($BS$15,'Dados'!$A$38:$A$52,0)),""))</f>
        <v/>
      </c>
      <c r="S15" s="2">
        <f>IF(LEN($DQ$15)=0,"",IFERROR(INDEX('Dados'!$F$38:$F$52,MATCH($BS$15,'Dados'!$A$38:$A$52,0)),""))</f>
        <v/>
      </c>
      <c r="T15" s="2">
        <f>IF(LEN($DQ$15)=0,"",IFERROR(INDEX('Dados'!$G$38:$G$52,MATCH($BS$15,'Dados'!$A$38:$A$52,0)),""))</f>
        <v/>
      </c>
      <c r="U15" s="2">
        <f>IF(LEN($DQ$15)=0,"",IFERROR(INDEX('Dados'!$H$38:$H$52,MATCH($BS$15,'Dados'!$A$38:$A$52,0)),""))</f>
        <v/>
      </c>
      <c r="V15" s="2">
        <f>IF(LEN($DQ$15)=0,"",IFERROR(INDEX('Dados'!$I$38:$I$52,MATCH($BS$15,'Dados'!$A$38:$A$52,0)),""))</f>
        <v/>
      </c>
      <c r="W15" s="2">
        <f>IF(LEN($DQ$15)=0,"",IFERROR(INDEX('Dados'!$J$38:$J$52,MATCH($BS$15,'Dados'!$A$38:$A$52,0)),""))</f>
        <v/>
      </c>
      <c r="X15" s="2">
        <f>IF(LEN($DQ$15)=0,"",IFERROR(INDEX('Dados'!$K$38:$K$52,MATCH($BS$15,'Dados'!$A$38:$A$52,0)),""))</f>
        <v/>
      </c>
      <c r="Y15" s="2">
        <f>IF(LEN($DQ$15)=0,"",IFERROR(INDEX('Dados'!$L$38:$L$52,MATCH($BS$15,'Dados'!$A$38:$A$52,0)),""))</f>
        <v/>
      </c>
      <c r="Z15" s="2">
        <f>IF(LEN($DQ$15)=0,"",IFERROR(INDEX('Dados'!$M$38:$M$52,MATCH($BS$15,'Dados'!$A$38:$A$52,0)),""))</f>
        <v/>
      </c>
      <c r="AA15" s="2">
        <f>IF(LEN($DQ$15)=0,"",$BY$15)</f>
        <v/>
      </c>
      <c r="AB15" s="2">
        <f>IF(LEN($DQ$15)=0,"",$BZ$15)</f>
        <v/>
      </c>
      <c r="AC15" s="2">
        <f>IF(LEN($DQ$15)=0,"",$CA$15)</f>
        <v/>
      </c>
      <c r="AD15" s="2">
        <f>IF(LEN($DQ$15)=0,"",$CB$15)</f>
        <v/>
      </c>
      <c r="AE15" s="2">
        <f>IF(LEN($DQ$15)=0,"",$CC$15)</f>
        <v/>
      </c>
      <c r="AF15" s="2">
        <f>IF(LEN($DQ$15)=0,"",IF($DV$30="Sim","Pode",IF($DV$30="Não","Não",IF($BL$15=1,IFERROR(INDEX('Dados'!$V$92:$V$123,$BM$15)&amp;"",""),"Não declarado"))))</f>
        <v/>
      </c>
      <c r="AG15" s="2">
        <f>IF(LEN($DQ$15)=0,"",$BV$15)</f>
        <v/>
      </c>
      <c r="AH15" s="2">
        <f>IF(LEN($DQ$15)=0,"",IFERROR(INDEX('Dados'!$Q$38:$Q$52,MATCH($BS$15,'Dados'!$A$38:$A$52,0)),""))</f>
        <v/>
      </c>
      <c r="AI15" s="2">
        <f>IF(LEN($DQ$15)=0,"",IF(AND($BL$15=1,$DT$15="Escória de Stellaron"),1.5,1)*$BU$15)</f>
        <v/>
      </c>
      <c r="AJ15" s="2">
        <f>IF(LEN($DQ$15)=0,"",IFERROR(INDEX('Dados'!$P$38:$P$52,MATCH($BS$15,'Dados'!$A$38:$A$52,0)),""))</f>
        <v/>
      </c>
      <c r="AK15" s="2">
        <f>IF(LEN($DQ$15)=0,"",IF($BV$15=2,INT($BU$15/2),IF($BV$15=3,INT(2*$BU$15/3),"")))</f>
        <v/>
      </c>
      <c r="AL15" s="2">
        <f>IF(LEN($DQ$15)=0,"",IF($BV$15=3,INT($BU$15/3),""))</f>
        <v/>
      </c>
      <c r="AM15" s="2">
        <f>IF(OR(LEN($DQ$15)=0,$BV$15&lt;2),"",IFERROR(INDEX($DT$88:$DT$112,MATCH($DQ$15&amp;"|2",$N$88:$N$112,0))&amp;"",IF($BL$15=1,IFERROR(INDEX('Dados'!$G$127:$G$138,MATCH($DT$15&amp;"|2",'Dados'!$A$127:$A$138,0)),""),"")))</f>
        <v/>
      </c>
      <c r="AN15" s="2">
        <f>IF(OR(LEN($DQ$15)=0,$BV$15&lt;2),"",IFERROR(INDEX($DU$88:$DU$112,MATCH($DQ$15&amp;"|2",$N$88:$N$112,0))&amp;"",IF($BL$15=1,IFERROR(INDEX('Dados'!$H$127:$H$138,MATCH($DT$15&amp;"|2",'Dados'!$A$127:$A$138,0)),""),"")))</f>
        <v/>
      </c>
      <c r="AO15" s="2">
        <f>IF(OR(LEN($DQ$15)=0,$BV$15&lt;2),"",IFERROR(INDEX($DV$88:$DV$112,MATCH($DQ$15&amp;"|2",$N$88:$N$112,0))&amp;"",IF($BL$15=1,IFERROR(INDEX('Dados'!$I$127:$I$138,MATCH($DT$15&amp;"|2",'Dados'!$A$127:$A$138,0)),""),"")))</f>
        <v/>
      </c>
      <c r="AP15" s="2">
        <f>IF(OR(LEN($DQ$15)=0,$BV$15&lt;2),"",IFERROR(INDEX($DW$88:$DW$112,MATCH($DQ$15&amp;"|2",$N$88:$N$112,0))&amp;"",IF($BL$15=1,IFERROR(INDEX('Dados'!$J$127:$J$138,MATCH($DT$15&amp;"|2",'Dados'!$A$127:$A$138,0)),""),"")))</f>
        <v/>
      </c>
      <c r="AQ15" s="2">
        <f>IF(OR(LEN($DQ$15)=0,$BV$15&lt;2),"",IF(ISNUMBER(MATCH($DQ$15&amp;"|2",$N$88:$N$112,0)),IF(ISNUMBER(INDEX($DX$88:$DX$112,MATCH($DQ$15&amp;"|2",$N$88:$N$112,0))),MIN(IFERROR(INDEX('Dados'!$G$38:$G$52,MATCH($BS$15,'Dados'!$A$38:$A$52,0)),""),INDEX($DX$88:$DX$112,MATCH($DQ$15&amp;"|2",$N$88:$N$112,0))),IFERROR(INDEX('Dados'!$G$38:$G$52,MATCH($BS$15,'Dados'!$A$38:$A$52,0)),"")),IF($BL$15=1,IFERROR(MIN(IFERROR(INDEX('Dados'!$G$38:$G$52,MATCH($BS$15,'Dados'!$A$38:$A$52,0)),""),INT(INDEX('Dados'!$K$127:$K$138,MATCH($DT$15&amp;"|2",'Dados'!$A$127:$A$138,0))*IFERROR(INDEX('Dados'!$G$38:$G$52,MATCH($BS$15,'Dados'!$A$38:$A$52,0)),"")/$CH$15)),IFERROR(INDEX('Dados'!$G$38:$G$52,MATCH($BS$15,'Dados'!$A$38:$A$52,0)),"")),IFERROR(INDEX('Dados'!$G$38:$G$52,MATCH($BS$15,'Dados'!$A$38:$A$52,0)),""))))</f>
        <v/>
      </c>
      <c r="AR15" s="2">
        <f>IF(OR(LEN($DQ$15)=0,$BV$15&lt;3),"",IFERROR(INDEX($DT$88:$DT$112,MATCH($DQ$15&amp;"|3",$N$88:$N$112,0))&amp;"",IF($BL$15=1,IFERROR(INDEX('Dados'!$G$127:$G$138,MATCH($DT$15&amp;"|3",'Dados'!$A$127:$A$138,0)),""),"")))</f>
        <v/>
      </c>
      <c r="AS15" s="2">
        <f>IF(OR(LEN($DQ$15)=0,$BV$15&lt;3),"",IFERROR(INDEX($DU$88:$DU$112,MATCH($DQ$15&amp;"|3",$N$88:$N$112,0))&amp;"",IF($BL$15=1,IFERROR(INDEX('Dados'!$H$127:$H$138,MATCH($DT$15&amp;"|3",'Dados'!$A$127:$A$138,0)),""),"")))</f>
        <v/>
      </c>
      <c r="AT15" s="2">
        <f>IF(OR(LEN($DQ$15)=0,$BV$15&lt;3),"",IFERROR(INDEX($DV$88:$DV$112,MATCH($DQ$15&amp;"|3",$N$88:$N$112,0))&amp;"",IF($BL$15=1,IFERROR(INDEX('Dados'!$I$127:$I$138,MATCH($DT$15&amp;"|3",'Dados'!$A$127:$A$138,0)),""),"")))</f>
        <v/>
      </c>
      <c r="AU15" s="2">
        <f>IF(OR(LEN($DQ$15)=0,$BV$15&lt;3),"",IFERROR(INDEX($DW$88:$DW$112,MATCH($DQ$15&amp;"|3",$N$88:$N$112,0))&amp;"",IF($BL$15=1,IFERROR(INDEX('Dados'!$J$127:$J$138,MATCH($DT$15&amp;"|3",'Dados'!$A$127:$A$138,0)),""),"")))</f>
        <v/>
      </c>
      <c r="AV15" s="2">
        <f>IF(OR(LEN($DQ$15)=0,$BV$15&lt;3),"",IF(ISNUMBER(MATCH($DQ$15&amp;"|3",$N$88:$N$112,0)),IF(ISNUMBER(INDEX($DX$88:$DX$112,MATCH($DQ$15&amp;"|3",$N$88:$N$112,0))),MIN(IFERROR(INDEX('Dados'!$G$38:$G$52,MATCH($BS$15,'Dados'!$A$38:$A$52,0)),""),INDEX($DX$88:$DX$112,MATCH($DQ$15&amp;"|3",$N$88:$N$112,0))),IFERROR(INDEX('Dados'!$G$38:$G$52,MATCH($BS$15,'Dados'!$A$38:$A$52,0)),"")),IF($BL$15=1,IFERROR(MIN(IFERROR(INDEX('Dados'!$G$38:$G$52,MATCH($BS$15,'Dados'!$A$38:$A$52,0)),""),INT(INDEX('Dados'!$K$127:$K$138,MATCH($DT$15&amp;"|3",'Dados'!$A$127:$A$138,0))*IFERROR(INDEX('Dados'!$G$38:$G$52,MATCH($BS$15,'Dados'!$A$38:$A$52,0)),"")/$CH$15)),IFERROR(INDEX('Dados'!$G$38:$G$52,MATCH($BS$15,'Dados'!$A$38:$A$52,0)),"")),IFERROR(INDEX('Dados'!$G$38:$G$52,MATCH($BS$15,'Dados'!$A$38:$A$52,0)),""))))</f>
        <v/>
      </c>
      <c r="AW15" s="2">
        <f>IF(LEN($DQ$15)=0,"",IF($BL$15=1,IFERROR(INDEX('Dados'!$AF$92:$AF$123,$BM$15)&amp;"",""),IFERROR(INDEX($DU$116:$DU$153,MATCH($DQ$15&amp;"|1",$Q$116:$Q$153,0))&amp;"","")))</f>
        <v/>
      </c>
      <c r="AX15" s="2">
        <f>IF(LEN($DQ$15)=0,"",IF($BL$15=1,IF(ISNUMBER(IFERROR(INDEX('Dados'!$AG$92:$AG$123,$BM$15),"")),IF(IFERROR(INDEX('Dados'!$AG$92:$AG$123,$BM$15),"")&gt;0,IFERROR(INDEX('Dados'!$AG$92:$AG$123,$BM$15),""),""),""),IFERROR(INDEX($DY$116:$DY$153,MATCH($DQ$15&amp;"|1",$Q$116:$Q$153,0))+0,"")))</f>
        <v/>
      </c>
      <c r="AY15" s="2">
        <f>IF(LEN($DQ$15)=0,"",IF($BL$15=1,IFERROR(INDEX('Dados'!$AH$92:$AH$123,$BM$15)&amp;"",""),IFERROR(INDEX($DU$116:$DU$153,MATCH($DQ$15&amp;"|2",$Q$116:$Q$153,0))&amp;"","")))</f>
        <v/>
      </c>
      <c r="AZ15" s="2">
        <f>IF(LEN($DQ$15)=0,"",IF($BL$15=1,IF(ISNUMBER(IFERROR(INDEX('Dados'!$AI$92:$AI$123,$BM$15),"")),IF(IFERROR(INDEX('Dados'!$AI$92:$AI$123,$BM$15),"")&gt;0,IFERROR(INDEX('Dados'!$AI$92:$AI$123,$BM$15),""),""),""),IFERROR(INDEX($DY$116:$DY$153,MATCH($DQ$15&amp;"|2",$Q$116:$Q$153,0))+0,"")))</f>
        <v/>
      </c>
      <c r="BA15" s="2">
        <f>IF(LEN($DQ$15)=0,"",IF($BL$15=1,IFERROR(INDEX('Dados'!$AJ$92:$AJ$123,$BM$15)&amp;"",""),IFERROR(INDEX($DU$116:$DU$153,MATCH($DQ$15&amp;"|3",$Q$116:$Q$153,0))&amp;"","")))</f>
        <v/>
      </c>
      <c r="BB15" s="2">
        <f>IF(LEN($DQ$15)=0,"",IF($BL$15=1,IF(ISNUMBER(IFERROR(INDEX('Dados'!$AK$92:$AK$123,$BM$15),"")),IF(IFERROR(INDEX('Dados'!$AK$92:$AK$123,$BM$15),"")&gt;0,IFERROR(INDEX('Dados'!$AK$92:$AK$123,$BM$15),""),""),""),IFERROR(INDEX($DY$116:$DY$153,MATCH($DQ$15&amp;"|3",$Q$116:$Q$153,0))+0,"")))</f>
        <v/>
      </c>
      <c r="BC15" s="2">
        <f>IF(LEN($DQ$15)=0,"",IF(LEN($DR$30)&gt;0,$DR$30,IF($BL$15=1,IFERROR(INDEX('Dados'!$E$92:$E$123,$BM$15)&amp;"",""),"")))</f>
        <v/>
      </c>
      <c r="BD15" s="2">
        <f>IF(AND(LEN($DR$30)=0,$BL$15=1),IFERROR(INDEX('Dados'!$AD$92:$AD$123,$BM$15)&amp;"",""),"")</f>
        <v/>
      </c>
      <c r="BE15" s="2">
        <f>IF(LEN($DQ$15)=0,"",INDEX('Dados'!$F$7:$F$11,$BR$15))</f>
        <v/>
      </c>
      <c r="BF15" s="2">
        <f>IF(LEN($DQ$15)=0,"",$BR$15)</f>
        <v/>
      </c>
      <c r="BG15" s="2">
        <f>$G$46</f>
        <v/>
      </c>
      <c r="BH15" s="2">
        <f>"Campanha"</f>
        <v/>
      </c>
      <c r="BK15" s="2">
        <f>IF(COUNTIF('Dados'!$AQ$6:$AQ$8,$DR$15)&gt;0,$DR$15,"Faixa do livro")</f>
        <v/>
      </c>
      <c r="BL15" s="2">
        <f>IF(AND($BK$15="Ajustar do bestiário",ISNUMBER($BM$15)),1,0)</f>
        <v/>
      </c>
      <c r="BM15" s="2">
        <f>IFERROR(MATCH($DT$15,'Dados'!$B$92:$B$123,0),"")</f>
        <v/>
      </c>
      <c r="BN15" s="2">
        <f>IF(COUNTIF('Dados'!$AO$6:$AO$8,$DY$15)&gt;0,$DY$15,IF($BL$15=1,IFERROR(INDEX('Dados'!$C$92:$C$123,$BM$15),""),"Comum"))</f>
        <v/>
      </c>
      <c r="BO15" s="2">
        <f>MATCH($BN$15,'Dados'!$AO$6:$AO$8,0)</f>
        <v/>
      </c>
      <c r="BP15" s="2">
        <f>IF(ISNUMBER($DX$15),MIN(20,MAX(1,INT($DX$15))),'Campanha'!$B$17)</f>
        <v/>
      </c>
      <c r="BQ15" s="2">
        <f>IF($BK$15="Por nível — Sugestão",INDEX('Dados'!$B$7:$B$11,INT(($BP$15-1)/4)+1),IF(LEN(IFERROR(INDEX('Dados'!$B$7:$B$11,MATCH($DW$15,'Dados'!$AP$6:$AP$10,0)),""))&gt;0,IFERROR(INDEX('Dados'!$B$7:$B$11,MATCH($DW$15,'Dados'!$AP$6:$AP$10,0)),""),'Campanha'!$B$19))</f>
        <v/>
      </c>
      <c r="BR15" s="2">
        <f>MATCH($BQ$15,'Dados'!$B$7:$B$11,0)</f>
        <v/>
      </c>
      <c r="BS15" s="2">
        <f>$BQ$15&amp;"|"&amp;$BN$15</f>
        <v/>
      </c>
      <c r="BT15" s="2">
        <f>MIN(4,MAX(1,INT(($BP$15-3)/4)+1))</f>
        <v/>
      </c>
      <c r="BU15" s="2">
        <f>IF($BK$15="Por nível — Sugestão",INT(IF($BP$15&lt;=3,INDEX('Dados'!$D$38:$D$52,$BO$15),IF($BP$15&gt;=19,INDEX('Dados'!$D$38:$D$52,12+$BO$15),INDEX('Dados'!$D$38:$D$52,($BT$15-1)*3+$BO$15)+(INDEX('Dados'!$D$38:$D$52,$BT$15*3+$BO$15)-INDEX('Dados'!$D$38:$D$52,($BT$15-1)*3+$BO$15))*($BP$15-(4*$BT$15-1))/4))),IFERROR(INDEX('Dados'!$D$38:$D$52,MATCH($BS$15,'Dados'!$A$38:$A$52,0)),""))</f>
        <v/>
      </c>
      <c r="BV15" s="2">
        <f>IF($BN$15&lt;&gt;"Boss",1,IF(AND(ISNUMBER($DZ$15),$DZ$15&gt;=1,$DZ$15&lt;=3),INT($DZ$15),IF($BL$15=1,MAX(1,IFERROR(INDEX('Dados'!$F$92:$F$123,$BM$15),"")),1)))</f>
        <v/>
      </c>
      <c r="BW15" s="2">
        <f>IFERROR(INDEX('Dados'!$O$38:$O$52,MATCH($BS$15,'Dados'!$A$38:$A$52,0)),"")</f>
        <v/>
      </c>
      <c r="BX15" s="2">
        <f>IF(AND(LEN($DR$46)=0,LEN($DS$46)=0,LEN($DT$46)=0,LEN($DU$46)=0),1,0)</f>
        <v/>
      </c>
      <c r="BY15" s="2">
        <f>IF(LEN($DQ$15)=0,"",IF($BX$15=0,$DR$46&amp;"",IF($BL$15=1,IFERROR(INDEX('Dados'!$Q$92:$Q$123,$BM$15)&amp;"",""),IF(1&lt;=$BW$15,$CD$15,""))))</f>
        <v/>
      </c>
      <c r="BZ15" s="2">
        <f>IF(LEN($DQ$15)=0,"",IF($BX$15=0,$DS$46&amp;"",IF($BL$15=1,IFERROR(INDEX('Dados'!$R$92:$R$123,$BM$15)&amp;"",""),IF(2&lt;=$BW$15,$CE$15,""))))</f>
        <v/>
      </c>
      <c r="CA15" s="2">
        <f>IF(LEN($DQ$15)=0,"",IF($BX$15=0,$DT$46&amp;"",IF($BL$15=1,IFERROR(INDEX('Dados'!$S$92:$S$123,$BM$15)&amp;"",""),IF(3&lt;=$BW$15,$CF$15,""))))</f>
        <v/>
      </c>
      <c r="CB15" s="2">
        <f>IF(LEN($DQ$15)=0,"",IF($BX$15=0,$DU$46&amp;"",IF($BL$15=1,IFERROR(INDEX('Dados'!$T$92:$T$123,$BM$15)&amp;"",""),IF(4&lt;=$BW$15,$CG$15,""))))</f>
        <v/>
      </c>
      <c r="CC15" s="2">
        <f>IF(LEN($DV$46)&gt;0,$DV$46,IF($BL$15=1,IFERROR(INDEX('Dados'!$U$92:$U$123,$BM$15)&amp;"",""),""))</f>
        <v/>
      </c>
      <c r="CD15" s="2">
        <f>INDEX('Dados'!$A$301:$A$307,MATCH(SMALL($DI$15:$DO$15,1),$DI$15:$DO$15,0))</f>
        <v/>
      </c>
      <c r="CE15" s="2">
        <f>INDEX('Dados'!$A$301:$A$307,MATCH(SMALL($DI$15:$DO$15,2),$DI$15:$DO$15,0))</f>
        <v/>
      </c>
      <c r="CF15" s="2">
        <f>INDEX('Dados'!$A$301:$A$307,MATCH(SMALL($DI$15:$DO$15,3),$DI$15:$DO$15,0))</f>
        <v/>
      </c>
      <c r="CG15" s="2">
        <f>INDEX('Dados'!$A$301:$A$307,MATCH(SMALL($DI$15:$DO$15,4),$DI$15:$DO$15,0))</f>
        <v/>
      </c>
      <c r="CH15" s="2">
        <f>IF($BL$15=1,IFERROR(INDEX('Dados'!$J$92:$J$123,$BM$15),""),"")</f>
        <v/>
      </c>
      <c r="CI15" s="2">
        <f>IF($BL$15=1,IFERROR(INDEX('Dados'!$G$92:$G$123,$BM$15),""),"")</f>
        <v/>
      </c>
      <c r="CJ15" s="2">
        <f>IFERROR(INDEX('Dados'!$S$38:$S$52,MATCH($BS$15,'Dados'!$A$38:$A$52,0)),"")</f>
        <v/>
      </c>
      <c r="CK15" s="2">
        <f>IFERROR(INDEX('Dados'!$T$38:$T$52,MATCH($BS$15,'Dados'!$A$38:$A$52,0)),"")</f>
        <v/>
      </c>
      <c r="CL15" s="2">
        <f>IFERROR(INDEX('Dados'!$J$38:$J$52,MATCH($BQ$15&amp;"|Comum",'Dados'!$A$38:$A$52,0)),"")</f>
        <v/>
      </c>
      <c r="CM15" s="2">
        <f>IFERROR(INDEX('Dados'!$K$38:$K$52,MATCH($BQ$15&amp;"|Comum",'Dados'!$A$38:$A$52,0)),"")</f>
        <v/>
      </c>
      <c r="CN15" s="2">
        <f>MOD(MOD(MOD((MOD('Início'!$E$16+104729*$C$7+67156249,2147483646)+1)*16807,2147483647)*16807,2147483647)*16807,2147483647)</f>
        <v/>
      </c>
      <c r="CO15" s="2">
        <f>MOD(MOD(MOD((MOD(MOD(INT($CN$15/65536)*$CN$15,2147483647)*65536+MOD($CN$15,65536)*$CN$15,2147483647))*16807,2147483647)*16807,2147483647)*16807,2147483647)</f>
        <v/>
      </c>
      <c r="CP15" s="2">
        <f>MOD(MOD(MOD((MOD($CO$15+INT($CO$15/65536)*MOD($CO$15,65536),2147483646)+1)*16807,2147483647)*16807,2147483647)*16807,2147483647)</f>
        <v/>
      </c>
      <c r="CQ15" s="2">
        <f>MOD(MOD(MOD((MOD('Início'!$E$16+104729*$C$7+68455958,2147483646)+1)*16807,2147483647)*16807,2147483647)*16807,2147483647)</f>
        <v/>
      </c>
      <c r="CR15" s="2">
        <f>MOD(MOD(MOD((MOD(MOD(INT($CQ$15/65536)*$CQ$15,2147483647)*65536+MOD($CQ$15,65536)*$CQ$15,2147483647))*16807,2147483647)*16807,2147483647)*16807,2147483647)</f>
        <v/>
      </c>
      <c r="CS15" s="2">
        <f>MOD(MOD(MOD((MOD($CR$15+INT($CR$15/65536)*MOD($CR$15,65536),2147483646)+1)*16807,2147483647)*16807,2147483647)*16807,2147483647)</f>
        <v/>
      </c>
      <c r="CT15" s="2">
        <f>MOD(MOD(MOD((MOD('Início'!$E$16+104729*$C$7+69755667,2147483646)+1)*16807,2147483647)*16807,2147483647)*16807,2147483647)</f>
        <v/>
      </c>
      <c r="CU15" s="2">
        <f>MOD(MOD(MOD((MOD(MOD(INT($CT$15/65536)*$CT$15,2147483647)*65536+MOD($CT$15,65536)*$CT$15,2147483647))*16807,2147483647)*16807,2147483647)*16807,2147483647)</f>
        <v/>
      </c>
      <c r="CV15" s="2">
        <f>MOD(MOD(MOD((MOD($CU$15+INT($CU$15/65536)*MOD($CU$15,65536),2147483646)+1)*16807,2147483647)*16807,2147483647)*16807,2147483647)</f>
        <v/>
      </c>
      <c r="CW15" s="2">
        <f>MOD(MOD(MOD((MOD('Início'!$E$16+104729*$C$7+71055376,2147483646)+1)*16807,2147483647)*16807,2147483647)*16807,2147483647)</f>
        <v/>
      </c>
      <c r="CX15" s="2">
        <f>MOD(MOD(MOD((MOD(MOD(INT($CW$15/65536)*$CW$15,2147483647)*65536+MOD($CW$15,65536)*$CW$15,2147483647))*16807,2147483647)*16807,2147483647)*16807,2147483647)</f>
        <v/>
      </c>
      <c r="CY15" s="2">
        <f>MOD(MOD(MOD((MOD($CX$15+INT($CX$15/65536)*MOD($CX$15,65536),2147483646)+1)*16807,2147483647)*16807,2147483647)*16807,2147483647)</f>
        <v/>
      </c>
      <c r="CZ15" s="2">
        <f>MOD(MOD(MOD((MOD('Início'!$E$16+104729*$C$7+72355085,2147483646)+1)*16807,2147483647)*16807,2147483647)*16807,2147483647)</f>
        <v/>
      </c>
      <c r="DA15" s="2">
        <f>MOD(MOD(MOD((MOD(MOD(INT($CZ$15/65536)*$CZ$15,2147483647)*65536+MOD($CZ$15,65536)*$CZ$15,2147483647))*16807,2147483647)*16807,2147483647)*16807,2147483647)</f>
        <v/>
      </c>
      <c r="DB15" s="2">
        <f>MOD(MOD(MOD((MOD($DA$15+INT($DA$15/65536)*MOD($DA$15,65536),2147483646)+1)*16807,2147483647)*16807,2147483647)*16807,2147483647)</f>
        <v/>
      </c>
      <c r="DC15" s="2">
        <f>MOD(MOD(MOD((MOD('Início'!$E$16+104729*$C$7+73654794,2147483646)+1)*16807,2147483647)*16807,2147483647)*16807,2147483647)</f>
        <v/>
      </c>
      <c r="DD15" s="2">
        <f>MOD(MOD(MOD((MOD(MOD(INT($DC$15/65536)*$DC$15,2147483647)*65536+MOD($DC$15,65536)*$DC$15,2147483647))*16807,2147483647)*16807,2147483647)*16807,2147483647)</f>
        <v/>
      </c>
      <c r="DE15" s="2">
        <f>MOD(MOD(MOD((MOD($DD$15+INT($DD$15/65536)*MOD($DD$15,65536),2147483646)+1)*16807,2147483647)*16807,2147483647)*16807,2147483647)</f>
        <v/>
      </c>
      <c r="DF15" s="2">
        <f>MOD(MOD(MOD((MOD('Início'!$E$16+104729*$C$7+74954503,2147483646)+1)*16807,2147483647)*16807,2147483647)*16807,2147483647)</f>
        <v/>
      </c>
      <c r="DG15" s="2">
        <f>MOD(MOD(MOD((MOD(MOD(INT($DF$15/65536)*$DF$15,2147483647)*65536+MOD($DF$15,65536)*$DF$15,2147483647))*16807,2147483647)*16807,2147483647)*16807,2147483647)</f>
        <v/>
      </c>
      <c r="DH15" s="2">
        <f>MOD(MOD(MOD((MOD($DG$15+INT($DG$15/65536)*MOD($DG$15,65536),2147483646)+1)*16807,2147483647)*16807,2147483647)*16807,2147483647)</f>
        <v/>
      </c>
      <c r="DI15" s="2">
        <f>IF($CC$15="Físico",9000000000,IF(AND('Grupo'!$B$81="Sim",COUNTIF($BY$11:$CB$14,"Físico")=0),0,2147483647))+$CP$15+1/10</f>
        <v/>
      </c>
      <c r="DJ15" s="2">
        <f>IF($CC$15="Fogo",9000000000,IF(AND('Grupo'!$C$81="Sim",COUNTIF($BY$11:$CB$14,"Fogo")=0),0,2147483647))+$CS$15+2/10</f>
        <v/>
      </c>
      <c r="DK15" s="2">
        <f>IF($CC$15="Gelo",9000000000,IF(AND('Grupo'!$D$81="Sim",COUNTIF($BY$11:$CB$14,"Gelo")=0),0,2147483647))+$CV$15+3/10</f>
        <v/>
      </c>
      <c r="DL15" s="2">
        <f>IF($CC$15="Raio",9000000000,IF(AND('Grupo'!$E$81="Sim",COUNTIF($BY$11:$CB$14,"Raio")=0),0,2147483647))+$CY$15+4/10</f>
        <v/>
      </c>
      <c r="DM15" s="2">
        <f>IF($CC$15="Vento",9000000000,IF(AND('Grupo'!$F$81="Sim",COUNTIF($BY$11:$CB$14,"Vento")=0),0,2147483647))+$DB$15+5/10</f>
        <v/>
      </c>
      <c r="DN15" s="2">
        <f>IF($CC$15="Quântico",9000000000,IF(AND('Grupo'!$G$81="Sim",COUNTIF($BY$11:$CB$14,"Quântico")=0),0,2147483647))+$DE$15+6/10</f>
        <v/>
      </c>
      <c r="DO15" s="2">
        <f>IF($CC$15="Imaginário",9000000000,IF(AND('Grupo'!$H$81="Sim",COUNTIF($BY$11:$CB$14,"Imaginário")=0),0,2147483647))+$DH$15+7/10</f>
        <v/>
      </c>
      <c r="DQ15" s="2">
        <f>IF(ISERROR($A$15),"",IF(ISBLANK($A$15),"",$A$15))</f>
        <v/>
      </c>
      <c r="DR15" s="2">
        <f>IF(ISERROR($B$15),"",IF(ISBLANK($B$15),"",$B$15))</f>
        <v/>
      </c>
      <c r="DT15" s="2">
        <f>IF(ISERROR($D$15),"",IF(ISBLANK($D$15),"",$D$15))</f>
        <v/>
      </c>
      <c r="DW15" s="2">
        <f>IF(ISERROR($G$15),"",IF(ISBLANK($G$15),"",$G$15))</f>
        <v/>
      </c>
      <c r="DX15" s="2">
        <f>IF(ISERROR($H$15),"",IF(ISBLANK($H$15),"",$H$15))</f>
        <v/>
      </c>
      <c r="DY15" s="2">
        <f>IF(ISERROR($I$15),"",IF(ISBLANK($I$15),"",$I$15))</f>
        <v/>
      </c>
      <c r="DZ15" s="2">
        <f>IF(ISERROR($J$15),"",IF(ISBLANK($J$15),"",$J$15))</f>
        <v/>
      </c>
      <c r="EA15" s="2">
        <f>ISERROR($A$15)*1+ISERROR($B$15)*1+ISERROR($D$15)*1+ISERROR($G$15)*1+ISERROR($H$15)*1+ISERROR($I$15)*1+ISERROR($J$15)*1</f>
        <v/>
      </c>
    </row>
    <row r="16" ht="26" customHeight="1">
      <c r="A16" s="35" t="n"/>
      <c r="B16" s="29" t="n"/>
      <c r="C16" s="17" t="n"/>
      <c r="D16" s="29" t="n"/>
      <c r="E16" s="25" t="n"/>
      <c r="F16" s="17" t="n"/>
      <c r="G16" s="36" t="n"/>
      <c r="H16" s="37" t="n"/>
      <c r="I16" s="36" t="n"/>
      <c r="J16" s="37" t="n"/>
      <c r="K16" s="27">
        <f>IF(EA16&gt;0,"O Google leu como fórmula: escolha de novo ou digite com ' na frente.",IF(LEN($DQ$16)=0,IF(LEN($DR$16&amp;$DT$16&amp;$DY$16)&gt;0,"Linha sem nome: o inimigo não entra nas listas",""),IF(COUNTIF($DQ$11:$DQ$22,$DQ$16)&gt;1,"Nome repetido na tabela",IF(COUNTIF('Dados'!$B$92:$B$123,$DQ$16)&gt;0,"Nome igual a uma criatura do bestiário: dê outro nome",IF(AND($BK$16="Ajustar do bestiário",$BL$16=0),"Modo Ajustar sem base do bestiário válida",IF(AND(LEN($DZ$16)&gt;0,$BN$16&lt;&gt;"Boss"),"Fases só valem para Boss (28.5)",IF(AND(ISNUMBER($DX$16),OR($DX$16&lt;1,$DX$16&gt;20)),"Nível fora de 1 a 20: usando o limite",IF(AND(LEN($DY$16)&gt;0,COUNTIF('Dados'!$AO$6:$AO$8,$DY$16)=0),"Tipo fora da lista: usando Comum",""))))))))</f>
        <v/>
      </c>
      <c r="N16" s="2">
        <f>IF(LEN($DQ$16)=0,"",$DQ$16)</f>
        <v/>
      </c>
      <c r="O16" s="2">
        <f>IF(LEN($DQ$16)=0,"",$BN$16)</f>
        <v/>
      </c>
      <c r="P16" s="2">
        <f>IF(LEN($DQ$16)=0,"",$BQ$16)</f>
        <v/>
      </c>
      <c r="Q16" s="2">
        <f>IF(LEN($DQ$16)=0,"",$BU$16)</f>
        <v/>
      </c>
      <c r="R16" s="2">
        <f>IF(LEN($DQ$16)=0,"",IFERROR(INDEX('Dados'!$E$38:$E$52,MATCH($BS$16,'Dados'!$A$38:$A$52,0)),""))</f>
        <v/>
      </c>
      <c r="S16" s="2">
        <f>IF(LEN($DQ$16)=0,"",IFERROR(INDEX('Dados'!$F$38:$F$52,MATCH($BS$16,'Dados'!$A$38:$A$52,0)),""))</f>
        <v/>
      </c>
      <c r="T16" s="2">
        <f>IF(LEN($DQ$16)=0,"",IFERROR(INDEX('Dados'!$G$38:$G$52,MATCH($BS$16,'Dados'!$A$38:$A$52,0)),""))</f>
        <v/>
      </c>
      <c r="U16" s="2">
        <f>IF(LEN($DQ$16)=0,"",IFERROR(INDEX('Dados'!$H$38:$H$52,MATCH($BS$16,'Dados'!$A$38:$A$52,0)),""))</f>
        <v/>
      </c>
      <c r="V16" s="2">
        <f>IF(LEN($DQ$16)=0,"",IFERROR(INDEX('Dados'!$I$38:$I$52,MATCH($BS$16,'Dados'!$A$38:$A$52,0)),""))</f>
        <v/>
      </c>
      <c r="W16" s="2">
        <f>IF(LEN($DQ$16)=0,"",IFERROR(INDEX('Dados'!$J$38:$J$52,MATCH($BS$16,'Dados'!$A$38:$A$52,0)),""))</f>
        <v/>
      </c>
      <c r="X16" s="2">
        <f>IF(LEN($DQ$16)=0,"",IFERROR(INDEX('Dados'!$K$38:$K$52,MATCH($BS$16,'Dados'!$A$38:$A$52,0)),""))</f>
        <v/>
      </c>
      <c r="Y16" s="2">
        <f>IF(LEN($DQ$16)=0,"",IFERROR(INDEX('Dados'!$L$38:$L$52,MATCH($BS$16,'Dados'!$A$38:$A$52,0)),""))</f>
        <v/>
      </c>
      <c r="Z16" s="2">
        <f>IF(LEN($DQ$16)=0,"",IFERROR(INDEX('Dados'!$M$38:$M$52,MATCH($BS$16,'Dados'!$A$38:$A$52,0)),""))</f>
        <v/>
      </c>
      <c r="AA16" s="2">
        <f>IF(LEN($DQ$16)=0,"",$BY$16)</f>
        <v/>
      </c>
      <c r="AB16" s="2">
        <f>IF(LEN($DQ$16)=0,"",$BZ$16)</f>
        <v/>
      </c>
      <c r="AC16" s="2">
        <f>IF(LEN($DQ$16)=0,"",$CA$16)</f>
        <v/>
      </c>
      <c r="AD16" s="2">
        <f>IF(LEN($DQ$16)=0,"",$CB$16)</f>
        <v/>
      </c>
      <c r="AE16" s="2">
        <f>IF(LEN($DQ$16)=0,"",$CC$16)</f>
        <v/>
      </c>
      <c r="AF16" s="2">
        <f>IF(LEN($DQ$16)=0,"",IF($DV$31="Sim","Pode",IF($DV$31="Não","Não",IF($BL$16=1,IFERROR(INDEX('Dados'!$V$92:$V$123,$BM$16)&amp;"",""),"Não declarado"))))</f>
        <v/>
      </c>
      <c r="AG16" s="2">
        <f>IF(LEN($DQ$16)=0,"",$BV$16)</f>
        <v/>
      </c>
      <c r="AH16" s="2">
        <f>IF(LEN($DQ$16)=0,"",IFERROR(INDEX('Dados'!$Q$38:$Q$52,MATCH($BS$16,'Dados'!$A$38:$A$52,0)),""))</f>
        <v/>
      </c>
      <c r="AI16" s="2">
        <f>IF(LEN($DQ$16)=0,"",IF(AND($BL$16=1,$DT$16="Escória de Stellaron"),1.5,1)*$BU$16)</f>
        <v/>
      </c>
      <c r="AJ16" s="2">
        <f>IF(LEN($DQ$16)=0,"",IFERROR(INDEX('Dados'!$P$38:$P$52,MATCH($BS$16,'Dados'!$A$38:$A$52,0)),""))</f>
        <v/>
      </c>
      <c r="AK16" s="2">
        <f>IF(LEN($DQ$16)=0,"",IF($BV$16=2,INT($BU$16/2),IF($BV$16=3,INT(2*$BU$16/3),"")))</f>
        <v/>
      </c>
      <c r="AL16" s="2">
        <f>IF(LEN($DQ$16)=0,"",IF($BV$16=3,INT($BU$16/3),""))</f>
        <v/>
      </c>
      <c r="AM16" s="2">
        <f>IF(OR(LEN($DQ$16)=0,$BV$16&lt;2),"",IFERROR(INDEX($DT$88:$DT$112,MATCH($DQ$16&amp;"|2",$N$88:$N$112,0))&amp;"",IF($BL$16=1,IFERROR(INDEX('Dados'!$G$127:$G$138,MATCH($DT$16&amp;"|2",'Dados'!$A$127:$A$138,0)),""),"")))</f>
        <v/>
      </c>
      <c r="AN16" s="2">
        <f>IF(OR(LEN($DQ$16)=0,$BV$16&lt;2),"",IFERROR(INDEX($DU$88:$DU$112,MATCH($DQ$16&amp;"|2",$N$88:$N$112,0))&amp;"",IF($BL$16=1,IFERROR(INDEX('Dados'!$H$127:$H$138,MATCH($DT$16&amp;"|2",'Dados'!$A$127:$A$138,0)),""),"")))</f>
        <v/>
      </c>
      <c r="AO16" s="2">
        <f>IF(OR(LEN($DQ$16)=0,$BV$16&lt;2),"",IFERROR(INDEX($DV$88:$DV$112,MATCH($DQ$16&amp;"|2",$N$88:$N$112,0))&amp;"",IF($BL$16=1,IFERROR(INDEX('Dados'!$I$127:$I$138,MATCH($DT$16&amp;"|2",'Dados'!$A$127:$A$138,0)),""),"")))</f>
        <v/>
      </c>
      <c r="AP16" s="2">
        <f>IF(OR(LEN($DQ$16)=0,$BV$16&lt;2),"",IFERROR(INDEX($DW$88:$DW$112,MATCH($DQ$16&amp;"|2",$N$88:$N$112,0))&amp;"",IF($BL$16=1,IFERROR(INDEX('Dados'!$J$127:$J$138,MATCH($DT$16&amp;"|2",'Dados'!$A$127:$A$138,0)),""),"")))</f>
        <v/>
      </c>
      <c r="AQ16" s="2">
        <f>IF(OR(LEN($DQ$16)=0,$BV$16&lt;2),"",IF(ISNUMBER(MATCH($DQ$16&amp;"|2",$N$88:$N$112,0)),IF(ISNUMBER(INDEX($DX$88:$DX$112,MATCH($DQ$16&amp;"|2",$N$88:$N$112,0))),MIN(IFERROR(INDEX('Dados'!$G$38:$G$52,MATCH($BS$16,'Dados'!$A$38:$A$52,0)),""),INDEX($DX$88:$DX$112,MATCH($DQ$16&amp;"|2",$N$88:$N$112,0))),IFERROR(INDEX('Dados'!$G$38:$G$52,MATCH($BS$16,'Dados'!$A$38:$A$52,0)),"")),IF($BL$16=1,IFERROR(MIN(IFERROR(INDEX('Dados'!$G$38:$G$52,MATCH($BS$16,'Dados'!$A$38:$A$52,0)),""),INT(INDEX('Dados'!$K$127:$K$138,MATCH($DT$16&amp;"|2",'Dados'!$A$127:$A$138,0))*IFERROR(INDEX('Dados'!$G$38:$G$52,MATCH($BS$16,'Dados'!$A$38:$A$52,0)),"")/$CH$16)),IFERROR(INDEX('Dados'!$G$38:$G$52,MATCH($BS$16,'Dados'!$A$38:$A$52,0)),"")),IFERROR(INDEX('Dados'!$G$38:$G$52,MATCH($BS$16,'Dados'!$A$38:$A$52,0)),""))))</f>
        <v/>
      </c>
      <c r="AR16" s="2">
        <f>IF(OR(LEN($DQ$16)=0,$BV$16&lt;3),"",IFERROR(INDEX($DT$88:$DT$112,MATCH($DQ$16&amp;"|3",$N$88:$N$112,0))&amp;"",IF($BL$16=1,IFERROR(INDEX('Dados'!$G$127:$G$138,MATCH($DT$16&amp;"|3",'Dados'!$A$127:$A$138,0)),""),"")))</f>
        <v/>
      </c>
      <c r="AS16" s="2">
        <f>IF(OR(LEN($DQ$16)=0,$BV$16&lt;3),"",IFERROR(INDEX($DU$88:$DU$112,MATCH($DQ$16&amp;"|3",$N$88:$N$112,0))&amp;"",IF($BL$16=1,IFERROR(INDEX('Dados'!$H$127:$H$138,MATCH($DT$16&amp;"|3",'Dados'!$A$127:$A$138,0)),""),"")))</f>
        <v/>
      </c>
      <c r="AT16" s="2">
        <f>IF(OR(LEN($DQ$16)=0,$BV$16&lt;3),"",IFERROR(INDEX($DV$88:$DV$112,MATCH($DQ$16&amp;"|3",$N$88:$N$112,0))&amp;"",IF($BL$16=1,IFERROR(INDEX('Dados'!$I$127:$I$138,MATCH($DT$16&amp;"|3",'Dados'!$A$127:$A$138,0)),""),"")))</f>
        <v/>
      </c>
      <c r="AU16" s="2">
        <f>IF(OR(LEN($DQ$16)=0,$BV$16&lt;3),"",IFERROR(INDEX($DW$88:$DW$112,MATCH($DQ$16&amp;"|3",$N$88:$N$112,0))&amp;"",IF($BL$16=1,IFERROR(INDEX('Dados'!$J$127:$J$138,MATCH($DT$16&amp;"|3",'Dados'!$A$127:$A$138,0)),""),"")))</f>
        <v/>
      </c>
      <c r="AV16" s="2">
        <f>IF(OR(LEN($DQ$16)=0,$BV$16&lt;3),"",IF(ISNUMBER(MATCH($DQ$16&amp;"|3",$N$88:$N$112,0)),IF(ISNUMBER(INDEX($DX$88:$DX$112,MATCH($DQ$16&amp;"|3",$N$88:$N$112,0))),MIN(IFERROR(INDEX('Dados'!$G$38:$G$52,MATCH($BS$16,'Dados'!$A$38:$A$52,0)),""),INDEX($DX$88:$DX$112,MATCH($DQ$16&amp;"|3",$N$88:$N$112,0))),IFERROR(INDEX('Dados'!$G$38:$G$52,MATCH($BS$16,'Dados'!$A$38:$A$52,0)),"")),IF($BL$16=1,IFERROR(MIN(IFERROR(INDEX('Dados'!$G$38:$G$52,MATCH($BS$16,'Dados'!$A$38:$A$52,0)),""),INT(INDEX('Dados'!$K$127:$K$138,MATCH($DT$16&amp;"|3",'Dados'!$A$127:$A$138,0))*IFERROR(INDEX('Dados'!$G$38:$G$52,MATCH($BS$16,'Dados'!$A$38:$A$52,0)),"")/$CH$16)),IFERROR(INDEX('Dados'!$G$38:$G$52,MATCH($BS$16,'Dados'!$A$38:$A$52,0)),"")),IFERROR(INDEX('Dados'!$G$38:$G$52,MATCH($BS$16,'Dados'!$A$38:$A$52,0)),""))))</f>
        <v/>
      </c>
      <c r="AW16" s="2">
        <f>IF(LEN($DQ$16)=0,"",IF($BL$16=1,IFERROR(INDEX('Dados'!$AF$92:$AF$123,$BM$16)&amp;"",""),IFERROR(INDEX($DU$116:$DU$153,MATCH($DQ$16&amp;"|1",$Q$116:$Q$153,0))&amp;"","")))</f>
        <v/>
      </c>
      <c r="AX16" s="2">
        <f>IF(LEN($DQ$16)=0,"",IF($BL$16=1,IF(ISNUMBER(IFERROR(INDEX('Dados'!$AG$92:$AG$123,$BM$16),"")),IF(IFERROR(INDEX('Dados'!$AG$92:$AG$123,$BM$16),"")&gt;0,IFERROR(INDEX('Dados'!$AG$92:$AG$123,$BM$16),""),""),""),IFERROR(INDEX($DY$116:$DY$153,MATCH($DQ$16&amp;"|1",$Q$116:$Q$153,0))+0,"")))</f>
        <v/>
      </c>
      <c r="AY16" s="2">
        <f>IF(LEN($DQ$16)=0,"",IF($BL$16=1,IFERROR(INDEX('Dados'!$AH$92:$AH$123,$BM$16)&amp;"",""),IFERROR(INDEX($DU$116:$DU$153,MATCH($DQ$16&amp;"|2",$Q$116:$Q$153,0))&amp;"","")))</f>
        <v/>
      </c>
      <c r="AZ16" s="2">
        <f>IF(LEN($DQ$16)=0,"",IF($BL$16=1,IF(ISNUMBER(IFERROR(INDEX('Dados'!$AI$92:$AI$123,$BM$16),"")),IF(IFERROR(INDEX('Dados'!$AI$92:$AI$123,$BM$16),"")&gt;0,IFERROR(INDEX('Dados'!$AI$92:$AI$123,$BM$16),""),""),""),IFERROR(INDEX($DY$116:$DY$153,MATCH($DQ$16&amp;"|2",$Q$116:$Q$153,0))+0,"")))</f>
        <v/>
      </c>
      <c r="BA16" s="2">
        <f>IF(LEN($DQ$16)=0,"",IF($BL$16=1,IFERROR(INDEX('Dados'!$AJ$92:$AJ$123,$BM$16)&amp;"",""),IFERROR(INDEX($DU$116:$DU$153,MATCH($DQ$16&amp;"|3",$Q$116:$Q$153,0))&amp;"","")))</f>
        <v/>
      </c>
      <c r="BB16" s="2">
        <f>IF(LEN($DQ$16)=0,"",IF($BL$16=1,IF(ISNUMBER(IFERROR(INDEX('Dados'!$AK$92:$AK$123,$BM$16),"")),IF(IFERROR(INDEX('Dados'!$AK$92:$AK$123,$BM$16),"")&gt;0,IFERROR(INDEX('Dados'!$AK$92:$AK$123,$BM$16),""),""),""),IFERROR(INDEX($DY$116:$DY$153,MATCH($DQ$16&amp;"|3",$Q$116:$Q$153,0))+0,"")))</f>
        <v/>
      </c>
      <c r="BC16" s="2">
        <f>IF(LEN($DQ$16)=0,"",IF(LEN($DR$31)&gt;0,$DR$31,IF($BL$16=1,IFERROR(INDEX('Dados'!$E$92:$E$123,$BM$16)&amp;"",""),"")))</f>
        <v/>
      </c>
      <c r="BD16" s="2">
        <f>IF(AND(LEN($DR$31)=0,$BL$16=1),IFERROR(INDEX('Dados'!$AD$92:$AD$123,$BM$16)&amp;"",""),"")</f>
        <v/>
      </c>
      <c r="BE16" s="2">
        <f>IF(LEN($DQ$16)=0,"",INDEX('Dados'!$F$7:$F$11,$BR$16))</f>
        <v/>
      </c>
      <c r="BF16" s="2">
        <f>IF(LEN($DQ$16)=0,"",$BR$16)</f>
        <v/>
      </c>
      <c r="BG16" s="2">
        <f>$G$47</f>
        <v/>
      </c>
      <c r="BH16" s="2">
        <f>"Campanha"</f>
        <v/>
      </c>
      <c r="BK16" s="2">
        <f>IF(COUNTIF('Dados'!$AQ$6:$AQ$8,$DR$16)&gt;0,$DR$16,"Faixa do livro")</f>
        <v/>
      </c>
      <c r="BL16" s="2">
        <f>IF(AND($BK$16="Ajustar do bestiário",ISNUMBER($BM$16)),1,0)</f>
        <v/>
      </c>
      <c r="BM16" s="2">
        <f>IFERROR(MATCH($DT$16,'Dados'!$B$92:$B$123,0),"")</f>
        <v/>
      </c>
      <c r="BN16" s="2">
        <f>IF(COUNTIF('Dados'!$AO$6:$AO$8,$DY$16)&gt;0,$DY$16,IF($BL$16=1,IFERROR(INDEX('Dados'!$C$92:$C$123,$BM$16),""),"Comum"))</f>
        <v/>
      </c>
      <c r="BO16" s="2">
        <f>MATCH($BN$16,'Dados'!$AO$6:$AO$8,0)</f>
        <v/>
      </c>
      <c r="BP16" s="2">
        <f>IF(ISNUMBER($DX$16),MIN(20,MAX(1,INT($DX$16))),'Campanha'!$B$17)</f>
        <v/>
      </c>
      <c r="BQ16" s="2">
        <f>IF($BK$16="Por nível — Sugestão",INDEX('Dados'!$B$7:$B$11,INT(($BP$16-1)/4)+1),IF(LEN(IFERROR(INDEX('Dados'!$B$7:$B$11,MATCH($DW$16,'Dados'!$AP$6:$AP$10,0)),""))&gt;0,IFERROR(INDEX('Dados'!$B$7:$B$11,MATCH($DW$16,'Dados'!$AP$6:$AP$10,0)),""),'Campanha'!$B$19))</f>
        <v/>
      </c>
      <c r="BR16" s="2">
        <f>MATCH($BQ$16,'Dados'!$B$7:$B$11,0)</f>
        <v/>
      </c>
      <c r="BS16" s="2">
        <f>$BQ$16&amp;"|"&amp;$BN$16</f>
        <v/>
      </c>
      <c r="BT16" s="2">
        <f>MIN(4,MAX(1,INT(($BP$16-3)/4)+1))</f>
        <v/>
      </c>
      <c r="BU16" s="2">
        <f>IF($BK$16="Por nível — Sugestão",INT(IF($BP$16&lt;=3,INDEX('Dados'!$D$38:$D$52,$BO$16),IF($BP$16&gt;=19,INDEX('Dados'!$D$38:$D$52,12+$BO$16),INDEX('Dados'!$D$38:$D$52,($BT$16-1)*3+$BO$16)+(INDEX('Dados'!$D$38:$D$52,$BT$16*3+$BO$16)-INDEX('Dados'!$D$38:$D$52,($BT$16-1)*3+$BO$16))*($BP$16-(4*$BT$16-1))/4))),IFERROR(INDEX('Dados'!$D$38:$D$52,MATCH($BS$16,'Dados'!$A$38:$A$52,0)),""))</f>
        <v/>
      </c>
      <c r="BV16" s="2">
        <f>IF($BN$16&lt;&gt;"Boss",1,IF(AND(ISNUMBER($DZ$16),$DZ$16&gt;=1,$DZ$16&lt;=3),INT($DZ$16),IF($BL$16=1,MAX(1,IFERROR(INDEX('Dados'!$F$92:$F$123,$BM$16),"")),1)))</f>
        <v/>
      </c>
      <c r="BW16" s="2">
        <f>IFERROR(INDEX('Dados'!$O$38:$O$52,MATCH($BS$16,'Dados'!$A$38:$A$52,0)),"")</f>
        <v/>
      </c>
      <c r="BX16" s="2">
        <f>IF(AND(LEN($DR$47)=0,LEN($DS$47)=0,LEN($DT$47)=0,LEN($DU$47)=0),1,0)</f>
        <v/>
      </c>
      <c r="BY16" s="2">
        <f>IF(LEN($DQ$16)=0,"",IF($BX$16=0,$DR$47&amp;"",IF($BL$16=1,IFERROR(INDEX('Dados'!$Q$92:$Q$123,$BM$16)&amp;"",""),IF(1&lt;=$BW$16,$CD$16,""))))</f>
        <v/>
      </c>
      <c r="BZ16" s="2">
        <f>IF(LEN($DQ$16)=0,"",IF($BX$16=0,$DS$47&amp;"",IF($BL$16=1,IFERROR(INDEX('Dados'!$R$92:$R$123,$BM$16)&amp;"",""),IF(2&lt;=$BW$16,$CE$16,""))))</f>
        <v/>
      </c>
      <c r="CA16" s="2">
        <f>IF(LEN($DQ$16)=0,"",IF($BX$16=0,$DT$47&amp;"",IF($BL$16=1,IFERROR(INDEX('Dados'!$S$92:$S$123,$BM$16)&amp;"",""),IF(3&lt;=$BW$16,$CF$16,""))))</f>
        <v/>
      </c>
      <c r="CB16" s="2">
        <f>IF(LEN($DQ$16)=0,"",IF($BX$16=0,$DU$47&amp;"",IF($BL$16=1,IFERROR(INDEX('Dados'!$T$92:$T$123,$BM$16)&amp;"",""),IF(4&lt;=$BW$16,$CG$16,""))))</f>
        <v/>
      </c>
      <c r="CC16" s="2">
        <f>IF(LEN($DV$47)&gt;0,$DV$47,IF($BL$16=1,IFERROR(INDEX('Dados'!$U$92:$U$123,$BM$16)&amp;"",""),""))</f>
        <v/>
      </c>
      <c r="CD16" s="2">
        <f>INDEX('Dados'!$A$301:$A$307,MATCH(SMALL($DI$16:$DO$16,1),$DI$16:$DO$16,0))</f>
        <v/>
      </c>
      <c r="CE16" s="2">
        <f>INDEX('Dados'!$A$301:$A$307,MATCH(SMALL($DI$16:$DO$16,2),$DI$16:$DO$16,0))</f>
        <v/>
      </c>
      <c r="CF16" s="2">
        <f>INDEX('Dados'!$A$301:$A$307,MATCH(SMALL($DI$16:$DO$16,3),$DI$16:$DO$16,0))</f>
        <v/>
      </c>
      <c r="CG16" s="2">
        <f>INDEX('Dados'!$A$301:$A$307,MATCH(SMALL($DI$16:$DO$16,4),$DI$16:$DO$16,0))</f>
        <v/>
      </c>
      <c r="CH16" s="2">
        <f>IF($BL$16=1,IFERROR(INDEX('Dados'!$J$92:$J$123,$BM$16),""),"")</f>
        <v/>
      </c>
      <c r="CI16" s="2">
        <f>IF($BL$16=1,IFERROR(INDEX('Dados'!$G$92:$G$123,$BM$16),""),"")</f>
        <v/>
      </c>
      <c r="CJ16" s="2">
        <f>IFERROR(INDEX('Dados'!$S$38:$S$52,MATCH($BS$16,'Dados'!$A$38:$A$52,0)),"")</f>
        <v/>
      </c>
      <c r="CK16" s="2">
        <f>IFERROR(INDEX('Dados'!$T$38:$T$52,MATCH($BS$16,'Dados'!$A$38:$A$52,0)),"")</f>
        <v/>
      </c>
      <c r="CL16" s="2">
        <f>IFERROR(INDEX('Dados'!$J$38:$J$52,MATCH($BQ$16&amp;"|Comum",'Dados'!$A$38:$A$52,0)),"")</f>
        <v/>
      </c>
      <c r="CM16" s="2">
        <f>IFERROR(INDEX('Dados'!$K$38:$K$52,MATCH($BQ$16&amp;"|Comum",'Dados'!$A$38:$A$52,0)),"")</f>
        <v/>
      </c>
      <c r="CN16" s="2">
        <f>MOD(MOD(MOD((MOD('Início'!$E$16+104729*$C$7+80153339,2147483646)+1)*16807,2147483647)*16807,2147483647)*16807,2147483647)</f>
        <v/>
      </c>
      <c r="CO16" s="2">
        <f>MOD(MOD(MOD((MOD(MOD(INT($CN$16/65536)*$CN$16,2147483647)*65536+MOD($CN$16,65536)*$CN$16,2147483647))*16807,2147483647)*16807,2147483647)*16807,2147483647)</f>
        <v/>
      </c>
      <c r="CP16" s="2">
        <f>MOD(MOD(MOD((MOD($CO$16+INT($CO$16/65536)*MOD($CO$16,65536),2147483646)+1)*16807,2147483647)*16807,2147483647)*16807,2147483647)</f>
        <v/>
      </c>
      <c r="CQ16" s="2">
        <f>MOD(MOD(MOD((MOD('Início'!$E$16+104729*$C$7+81453048,2147483646)+1)*16807,2147483647)*16807,2147483647)*16807,2147483647)</f>
        <v/>
      </c>
      <c r="CR16" s="2">
        <f>MOD(MOD(MOD((MOD(MOD(INT($CQ$16/65536)*$CQ$16,2147483647)*65536+MOD($CQ$16,65536)*$CQ$16,2147483647))*16807,2147483647)*16807,2147483647)*16807,2147483647)</f>
        <v/>
      </c>
      <c r="CS16" s="2">
        <f>MOD(MOD(MOD((MOD($CR$16+INT($CR$16/65536)*MOD($CR$16,65536),2147483646)+1)*16807,2147483647)*16807,2147483647)*16807,2147483647)</f>
        <v/>
      </c>
      <c r="CT16" s="2">
        <f>MOD(MOD(MOD((MOD('Início'!$E$16+104729*$C$7+82752757,2147483646)+1)*16807,2147483647)*16807,2147483647)*16807,2147483647)</f>
        <v/>
      </c>
      <c r="CU16" s="2">
        <f>MOD(MOD(MOD((MOD(MOD(INT($CT$16/65536)*$CT$16,2147483647)*65536+MOD($CT$16,65536)*$CT$16,2147483647))*16807,2147483647)*16807,2147483647)*16807,2147483647)</f>
        <v/>
      </c>
      <c r="CV16" s="2">
        <f>MOD(MOD(MOD((MOD($CU$16+INT($CU$16/65536)*MOD($CU$16,65536),2147483646)+1)*16807,2147483647)*16807,2147483647)*16807,2147483647)</f>
        <v/>
      </c>
      <c r="CW16" s="2">
        <f>MOD(MOD(MOD((MOD('Início'!$E$16+104729*$C$7+84052466,2147483646)+1)*16807,2147483647)*16807,2147483647)*16807,2147483647)</f>
        <v/>
      </c>
      <c r="CX16" s="2">
        <f>MOD(MOD(MOD((MOD(MOD(INT($CW$16/65536)*$CW$16,2147483647)*65536+MOD($CW$16,65536)*$CW$16,2147483647))*16807,2147483647)*16807,2147483647)*16807,2147483647)</f>
        <v/>
      </c>
      <c r="CY16" s="2">
        <f>MOD(MOD(MOD((MOD($CX$16+INT($CX$16/65536)*MOD($CX$16,65536),2147483646)+1)*16807,2147483647)*16807,2147483647)*16807,2147483647)</f>
        <v/>
      </c>
      <c r="CZ16" s="2">
        <f>MOD(MOD(MOD((MOD('Início'!$E$16+104729*$C$7+85352175,2147483646)+1)*16807,2147483647)*16807,2147483647)*16807,2147483647)</f>
        <v/>
      </c>
      <c r="DA16" s="2">
        <f>MOD(MOD(MOD((MOD(MOD(INT($CZ$16/65536)*$CZ$16,2147483647)*65536+MOD($CZ$16,65536)*$CZ$16,2147483647))*16807,2147483647)*16807,2147483647)*16807,2147483647)</f>
        <v/>
      </c>
      <c r="DB16" s="2">
        <f>MOD(MOD(MOD((MOD($DA$16+INT($DA$16/65536)*MOD($DA$16,65536),2147483646)+1)*16807,2147483647)*16807,2147483647)*16807,2147483647)</f>
        <v/>
      </c>
      <c r="DC16" s="2">
        <f>MOD(MOD(MOD((MOD('Início'!$E$16+104729*$C$7+86651884,2147483646)+1)*16807,2147483647)*16807,2147483647)*16807,2147483647)</f>
        <v/>
      </c>
      <c r="DD16" s="2">
        <f>MOD(MOD(MOD((MOD(MOD(INT($DC$16/65536)*$DC$16,2147483647)*65536+MOD($DC$16,65536)*$DC$16,2147483647))*16807,2147483647)*16807,2147483647)*16807,2147483647)</f>
        <v/>
      </c>
      <c r="DE16" s="2">
        <f>MOD(MOD(MOD((MOD($DD$16+INT($DD$16/65536)*MOD($DD$16,65536),2147483646)+1)*16807,2147483647)*16807,2147483647)*16807,2147483647)</f>
        <v/>
      </c>
      <c r="DF16" s="2">
        <f>MOD(MOD(MOD((MOD('Início'!$E$16+104729*$C$7+87951593,2147483646)+1)*16807,2147483647)*16807,2147483647)*16807,2147483647)</f>
        <v/>
      </c>
      <c r="DG16" s="2">
        <f>MOD(MOD(MOD((MOD(MOD(INT($DF$16/65536)*$DF$16,2147483647)*65536+MOD($DF$16,65536)*$DF$16,2147483647))*16807,2147483647)*16807,2147483647)*16807,2147483647)</f>
        <v/>
      </c>
      <c r="DH16" s="2">
        <f>MOD(MOD(MOD((MOD($DG$16+INT($DG$16/65536)*MOD($DG$16,65536),2147483646)+1)*16807,2147483647)*16807,2147483647)*16807,2147483647)</f>
        <v/>
      </c>
      <c r="DI16" s="2">
        <f>IF($CC$16="Físico",9000000000,IF(AND('Grupo'!$B$81="Sim",COUNTIF($BY$11:$CB$15,"Físico")=0),0,2147483647))+$CP$16+1/10</f>
        <v/>
      </c>
      <c r="DJ16" s="2">
        <f>IF($CC$16="Fogo",9000000000,IF(AND('Grupo'!$C$81="Sim",COUNTIF($BY$11:$CB$15,"Fogo")=0),0,2147483647))+$CS$16+2/10</f>
        <v/>
      </c>
      <c r="DK16" s="2">
        <f>IF($CC$16="Gelo",9000000000,IF(AND('Grupo'!$D$81="Sim",COUNTIF($BY$11:$CB$15,"Gelo")=0),0,2147483647))+$CV$16+3/10</f>
        <v/>
      </c>
      <c r="DL16" s="2">
        <f>IF($CC$16="Raio",9000000000,IF(AND('Grupo'!$E$81="Sim",COUNTIF($BY$11:$CB$15,"Raio")=0),0,2147483647))+$CY$16+4/10</f>
        <v/>
      </c>
      <c r="DM16" s="2">
        <f>IF($CC$16="Vento",9000000000,IF(AND('Grupo'!$F$81="Sim",COUNTIF($BY$11:$CB$15,"Vento")=0),0,2147483647))+$DB$16+5/10</f>
        <v/>
      </c>
      <c r="DN16" s="2">
        <f>IF($CC$16="Quântico",9000000000,IF(AND('Grupo'!$G$81="Sim",COUNTIF($BY$11:$CB$15,"Quântico")=0),0,2147483647))+$DE$16+6/10</f>
        <v/>
      </c>
      <c r="DO16" s="2">
        <f>IF($CC$16="Imaginário",9000000000,IF(AND('Grupo'!$H$81="Sim",COUNTIF($BY$11:$CB$15,"Imaginário")=0),0,2147483647))+$DH$16+7/10</f>
        <v/>
      </c>
      <c r="DQ16" s="2">
        <f>IF(ISERROR($A$16),"",IF(ISBLANK($A$16),"",$A$16))</f>
        <v/>
      </c>
      <c r="DR16" s="2">
        <f>IF(ISERROR($B$16),"",IF(ISBLANK($B$16),"",$B$16))</f>
        <v/>
      </c>
      <c r="DT16" s="2">
        <f>IF(ISERROR($D$16),"",IF(ISBLANK($D$16),"",$D$16))</f>
        <v/>
      </c>
      <c r="DW16" s="2">
        <f>IF(ISERROR($G$16),"",IF(ISBLANK($G$16),"",$G$16))</f>
        <v/>
      </c>
      <c r="DX16" s="2">
        <f>IF(ISERROR($H$16),"",IF(ISBLANK($H$16),"",$H$16))</f>
        <v/>
      </c>
      <c r="DY16" s="2">
        <f>IF(ISERROR($I$16),"",IF(ISBLANK($I$16),"",$I$16))</f>
        <v/>
      </c>
      <c r="DZ16" s="2">
        <f>IF(ISERROR($J$16),"",IF(ISBLANK($J$16),"",$J$16))</f>
        <v/>
      </c>
      <c r="EA16" s="2">
        <f>ISERROR($A$16)*1+ISERROR($B$16)*1+ISERROR($D$16)*1+ISERROR($G$16)*1+ISERROR($H$16)*1+ISERROR($I$16)*1+ISERROR($J$16)*1</f>
        <v/>
      </c>
    </row>
    <row r="17" ht="26" customHeight="1">
      <c r="A17" s="33" t="n"/>
      <c r="B17" s="4" t="n"/>
      <c r="C17" s="17" t="n"/>
      <c r="D17" s="4" t="n"/>
      <c r="E17" s="25" t="n"/>
      <c r="F17" s="17" t="n"/>
      <c r="G17" s="34" t="n"/>
      <c r="H17" s="16" t="n"/>
      <c r="I17" s="34" t="n"/>
      <c r="J17" s="16" t="n"/>
      <c r="K17" s="19">
        <f>IF(EA17&gt;0,"O Google leu como fórmula: escolha de novo ou digite com ' na frente.",IF(LEN($DQ$17)=0,IF(LEN($DR$17&amp;$DT$17&amp;$DY$17)&gt;0,"Linha sem nome: o inimigo não entra nas listas",""),IF(COUNTIF($DQ$11:$DQ$22,$DQ$17)&gt;1,"Nome repetido na tabela",IF(COUNTIF('Dados'!$B$92:$B$123,$DQ$17)&gt;0,"Nome igual a uma criatura do bestiário: dê outro nome",IF(AND($BK$17="Ajustar do bestiário",$BL$17=0),"Modo Ajustar sem base do bestiário válida",IF(AND(LEN($DZ$17)&gt;0,$BN$17&lt;&gt;"Boss"),"Fases só valem para Boss (28.5)",IF(AND(ISNUMBER($DX$17),OR($DX$17&lt;1,$DX$17&gt;20)),"Nível fora de 1 a 20: usando o limite",IF(AND(LEN($DY$17)&gt;0,COUNTIF('Dados'!$AO$6:$AO$8,$DY$17)=0),"Tipo fora da lista: usando Comum",""))))))))</f>
        <v/>
      </c>
      <c r="N17" s="2">
        <f>IF(LEN($DQ$17)=0,"",$DQ$17)</f>
        <v/>
      </c>
      <c r="O17" s="2">
        <f>IF(LEN($DQ$17)=0,"",$BN$17)</f>
        <v/>
      </c>
      <c r="P17" s="2">
        <f>IF(LEN($DQ$17)=0,"",$BQ$17)</f>
        <v/>
      </c>
      <c r="Q17" s="2">
        <f>IF(LEN($DQ$17)=0,"",$BU$17)</f>
        <v/>
      </c>
      <c r="R17" s="2">
        <f>IF(LEN($DQ$17)=0,"",IFERROR(INDEX('Dados'!$E$38:$E$52,MATCH($BS$17,'Dados'!$A$38:$A$52,0)),""))</f>
        <v/>
      </c>
      <c r="S17" s="2">
        <f>IF(LEN($DQ$17)=0,"",IFERROR(INDEX('Dados'!$F$38:$F$52,MATCH($BS$17,'Dados'!$A$38:$A$52,0)),""))</f>
        <v/>
      </c>
      <c r="T17" s="2">
        <f>IF(LEN($DQ$17)=0,"",IFERROR(INDEX('Dados'!$G$38:$G$52,MATCH($BS$17,'Dados'!$A$38:$A$52,0)),""))</f>
        <v/>
      </c>
      <c r="U17" s="2">
        <f>IF(LEN($DQ$17)=0,"",IFERROR(INDEX('Dados'!$H$38:$H$52,MATCH($BS$17,'Dados'!$A$38:$A$52,0)),""))</f>
        <v/>
      </c>
      <c r="V17" s="2">
        <f>IF(LEN($DQ$17)=0,"",IFERROR(INDEX('Dados'!$I$38:$I$52,MATCH($BS$17,'Dados'!$A$38:$A$52,0)),""))</f>
        <v/>
      </c>
      <c r="W17" s="2">
        <f>IF(LEN($DQ$17)=0,"",IFERROR(INDEX('Dados'!$J$38:$J$52,MATCH($BS$17,'Dados'!$A$38:$A$52,0)),""))</f>
        <v/>
      </c>
      <c r="X17" s="2">
        <f>IF(LEN($DQ$17)=0,"",IFERROR(INDEX('Dados'!$K$38:$K$52,MATCH($BS$17,'Dados'!$A$38:$A$52,0)),""))</f>
        <v/>
      </c>
      <c r="Y17" s="2">
        <f>IF(LEN($DQ$17)=0,"",IFERROR(INDEX('Dados'!$L$38:$L$52,MATCH($BS$17,'Dados'!$A$38:$A$52,0)),""))</f>
        <v/>
      </c>
      <c r="Z17" s="2">
        <f>IF(LEN($DQ$17)=0,"",IFERROR(INDEX('Dados'!$M$38:$M$52,MATCH($BS$17,'Dados'!$A$38:$A$52,0)),""))</f>
        <v/>
      </c>
      <c r="AA17" s="2">
        <f>IF(LEN($DQ$17)=0,"",$BY$17)</f>
        <v/>
      </c>
      <c r="AB17" s="2">
        <f>IF(LEN($DQ$17)=0,"",$BZ$17)</f>
        <v/>
      </c>
      <c r="AC17" s="2">
        <f>IF(LEN($DQ$17)=0,"",$CA$17)</f>
        <v/>
      </c>
      <c r="AD17" s="2">
        <f>IF(LEN($DQ$17)=0,"",$CB$17)</f>
        <v/>
      </c>
      <c r="AE17" s="2">
        <f>IF(LEN($DQ$17)=0,"",$CC$17)</f>
        <v/>
      </c>
      <c r="AF17" s="2">
        <f>IF(LEN($DQ$17)=0,"",IF($DV$32="Sim","Pode",IF($DV$32="Não","Não",IF($BL$17=1,IFERROR(INDEX('Dados'!$V$92:$V$123,$BM$17)&amp;"",""),"Não declarado"))))</f>
        <v/>
      </c>
      <c r="AG17" s="2">
        <f>IF(LEN($DQ$17)=0,"",$BV$17)</f>
        <v/>
      </c>
      <c r="AH17" s="2">
        <f>IF(LEN($DQ$17)=0,"",IFERROR(INDEX('Dados'!$Q$38:$Q$52,MATCH($BS$17,'Dados'!$A$38:$A$52,0)),""))</f>
        <v/>
      </c>
      <c r="AI17" s="2">
        <f>IF(LEN($DQ$17)=0,"",IF(AND($BL$17=1,$DT$17="Escória de Stellaron"),1.5,1)*$BU$17)</f>
        <v/>
      </c>
      <c r="AJ17" s="2">
        <f>IF(LEN($DQ$17)=0,"",IFERROR(INDEX('Dados'!$P$38:$P$52,MATCH($BS$17,'Dados'!$A$38:$A$52,0)),""))</f>
        <v/>
      </c>
      <c r="AK17" s="2">
        <f>IF(LEN($DQ$17)=0,"",IF($BV$17=2,INT($BU$17/2),IF($BV$17=3,INT(2*$BU$17/3),"")))</f>
        <v/>
      </c>
      <c r="AL17" s="2">
        <f>IF(LEN($DQ$17)=0,"",IF($BV$17=3,INT($BU$17/3),""))</f>
        <v/>
      </c>
      <c r="AM17" s="2">
        <f>IF(OR(LEN($DQ$17)=0,$BV$17&lt;2),"",IFERROR(INDEX($DT$88:$DT$112,MATCH($DQ$17&amp;"|2",$N$88:$N$112,0))&amp;"",IF($BL$17=1,IFERROR(INDEX('Dados'!$G$127:$G$138,MATCH($DT$17&amp;"|2",'Dados'!$A$127:$A$138,0)),""),"")))</f>
        <v/>
      </c>
      <c r="AN17" s="2">
        <f>IF(OR(LEN($DQ$17)=0,$BV$17&lt;2),"",IFERROR(INDEX($DU$88:$DU$112,MATCH($DQ$17&amp;"|2",$N$88:$N$112,0))&amp;"",IF($BL$17=1,IFERROR(INDEX('Dados'!$H$127:$H$138,MATCH($DT$17&amp;"|2",'Dados'!$A$127:$A$138,0)),""),"")))</f>
        <v/>
      </c>
      <c r="AO17" s="2">
        <f>IF(OR(LEN($DQ$17)=0,$BV$17&lt;2),"",IFERROR(INDEX($DV$88:$DV$112,MATCH($DQ$17&amp;"|2",$N$88:$N$112,0))&amp;"",IF($BL$17=1,IFERROR(INDEX('Dados'!$I$127:$I$138,MATCH($DT$17&amp;"|2",'Dados'!$A$127:$A$138,0)),""),"")))</f>
        <v/>
      </c>
      <c r="AP17" s="2">
        <f>IF(OR(LEN($DQ$17)=0,$BV$17&lt;2),"",IFERROR(INDEX($DW$88:$DW$112,MATCH($DQ$17&amp;"|2",$N$88:$N$112,0))&amp;"",IF($BL$17=1,IFERROR(INDEX('Dados'!$J$127:$J$138,MATCH($DT$17&amp;"|2",'Dados'!$A$127:$A$138,0)),""),"")))</f>
        <v/>
      </c>
      <c r="AQ17" s="2">
        <f>IF(OR(LEN($DQ$17)=0,$BV$17&lt;2),"",IF(ISNUMBER(MATCH($DQ$17&amp;"|2",$N$88:$N$112,0)),IF(ISNUMBER(INDEX($DX$88:$DX$112,MATCH($DQ$17&amp;"|2",$N$88:$N$112,0))),MIN(IFERROR(INDEX('Dados'!$G$38:$G$52,MATCH($BS$17,'Dados'!$A$38:$A$52,0)),""),INDEX($DX$88:$DX$112,MATCH($DQ$17&amp;"|2",$N$88:$N$112,0))),IFERROR(INDEX('Dados'!$G$38:$G$52,MATCH($BS$17,'Dados'!$A$38:$A$52,0)),"")),IF($BL$17=1,IFERROR(MIN(IFERROR(INDEX('Dados'!$G$38:$G$52,MATCH($BS$17,'Dados'!$A$38:$A$52,0)),""),INT(INDEX('Dados'!$K$127:$K$138,MATCH($DT$17&amp;"|2",'Dados'!$A$127:$A$138,0))*IFERROR(INDEX('Dados'!$G$38:$G$52,MATCH($BS$17,'Dados'!$A$38:$A$52,0)),"")/$CH$17)),IFERROR(INDEX('Dados'!$G$38:$G$52,MATCH($BS$17,'Dados'!$A$38:$A$52,0)),"")),IFERROR(INDEX('Dados'!$G$38:$G$52,MATCH($BS$17,'Dados'!$A$38:$A$52,0)),""))))</f>
        <v/>
      </c>
      <c r="AR17" s="2">
        <f>IF(OR(LEN($DQ$17)=0,$BV$17&lt;3),"",IFERROR(INDEX($DT$88:$DT$112,MATCH($DQ$17&amp;"|3",$N$88:$N$112,0))&amp;"",IF($BL$17=1,IFERROR(INDEX('Dados'!$G$127:$G$138,MATCH($DT$17&amp;"|3",'Dados'!$A$127:$A$138,0)),""),"")))</f>
        <v/>
      </c>
      <c r="AS17" s="2">
        <f>IF(OR(LEN($DQ$17)=0,$BV$17&lt;3),"",IFERROR(INDEX($DU$88:$DU$112,MATCH($DQ$17&amp;"|3",$N$88:$N$112,0))&amp;"",IF($BL$17=1,IFERROR(INDEX('Dados'!$H$127:$H$138,MATCH($DT$17&amp;"|3",'Dados'!$A$127:$A$138,0)),""),"")))</f>
        <v/>
      </c>
      <c r="AT17" s="2">
        <f>IF(OR(LEN($DQ$17)=0,$BV$17&lt;3),"",IFERROR(INDEX($DV$88:$DV$112,MATCH($DQ$17&amp;"|3",$N$88:$N$112,0))&amp;"",IF($BL$17=1,IFERROR(INDEX('Dados'!$I$127:$I$138,MATCH($DT$17&amp;"|3",'Dados'!$A$127:$A$138,0)),""),"")))</f>
        <v/>
      </c>
      <c r="AU17" s="2">
        <f>IF(OR(LEN($DQ$17)=0,$BV$17&lt;3),"",IFERROR(INDEX($DW$88:$DW$112,MATCH($DQ$17&amp;"|3",$N$88:$N$112,0))&amp;"",IF($BL$17=1,IFERROR(INDEX('Dados'!$J$127:$J$138,MATCH($DT$17&amp;"|3",'Dados'!$A$127:$A$138,0)),""),"")))</f>
        <v/>
      </c>
      <c r="AV17" s="2">
        <f>IF(OR(LEN($DQ$17)=0,$BV$17&lt;3),"",IF(ISNUMBER(MATCH($DQ$17&amp;"|3",$N$88:$N$112,0)),IF(ISNUMBER(INDEX($DX$88:$DX$112,MATCH($DQ$17&amp;"|3",$N$88:$N$112,0))),MIN(IFERROR(INDEX('Dados'!$G$38:$G$52,MATCH($BS$17,'Dados'!$A$38:$A$52,0)),""),INDEX($DX$88:$DX$112,MATCH($DQ$17&amp;"|3",$N$88:$N$112,0))),IFERROR(INDEX('Dados'!$G$38:$G$52,MATCH($BS$17,'Dados'!$A$38:$A$52,0)),"")),IF($BL$17=1,IFERROR(MIN(IFERROR(INDEX('Dados'!$G$38:$G$52,MATCH($BS$17,'Dados'!$A$38:$A$52,0)),""),INT(INDEX('Dados'!$K$127:$K$138,MATCH($DT$17&amp;"|3",'Dados'!$A$127:$A$138,0))*IFERROR(INDEX('Dados'!$G$38:$G$52,MATCH($BS$17,'Dados'!$A$38:$A$52,0)),"")/$CH$17)),IFERROR(INDEX('Dados'!$G$38:$G$52,MATCH($BS$17,'Dados'!$A$38:$A$52,0)),"")),IFERROR(INDEX('Dados'!$G$38:$G$52,MATCH($BS$17,'Dados'!$A$38:$A$52,0)),""))))</f>
        <v/>
      </c>
      <c r="AW17" s="2">
        <f>IF(LEN($DQ$17)=0,"",IF($BL$17=1,IFERROR(INDEX('Dados'!$AF$92:$AF$123,$BM$17)&amp;"",""),IFERROR(INDEX($DU$116:$DU$153,MATCH($DQ$17&amp;"|1",$Q$116:$Q$153,0))&amp;"","")))</f>
        <v/>
      </c>
      <c r="AX17" s="2">
        <f>IF(LEN($DQ$17)=0,"",IF($BL$17=1,IF(ISNUMBER(IFERROR(INDEX('Dados'!$AG$92:$AG$123,$BM$17),"")),IF(IFERROR(INDEX('Dados'!$AG$92:$AG$123,$BM$17),"")&gt;0,IFERROR(INDEX('Dados'!$AG$92:$AG$123,$BM$17),""),""),""),IFERROR(INDEX($DY$116:$DY$153,MATCH($DQ$17&amp;"|1",$Q$116:$Q$153,0))+0,"")))</f>
        <v/>
      </c>
      <c r="AY17" s="2">
        <f>IF(LEN($DQ$17)=0,"",IF($BL$17=1,IFERROR(INDEX('Dados'!$AH$92:$AH$123,$BM$17)&amp;"",""),IFERROR(INDEX($DU$116:$DU$153,MATCH($DQ$17&amp;"|2",$Q$116:$Q$153,0))&amp;"","")))</f>
        <v/>
      </c>
      <c r="AZ17" s="2">
        <f>IF(LEN($DQ$17)=0,"",IF($BL$17=1,IF(ISNUMBER(IFERROR(INDEX('Dados'!$AI$92:$AI$123,$BM$17),"")),IF(IFERROR(INDEX('Dados'!$AI$92:$AI$123,$BM$17),"")&gt;0,IFERROR(INDEX('Dados'!$AI$92:$AI$123,$BM$17),""),""),""),IFERROR(INDEX($DY$116:$DY$153,MATCH($DQ$17&amp;"|2",$Q$116:$Q$153,0))+0,"")))</f>
        <v/>
      </c>
      <c r="BA17" s="2">
        <f>IF(LEN($DQ$17)=0,"",IF($BL$17=1,IFERROR(INDEX('Dados'!$AJ$92:$AJ$123,$BM$17)&amp;"",""),IFERROR(INDEX($DU$116:$DU$153,MATCH($DQ$17&amp;"|3",$Q$116:$Q$153,0))&amp;"","")))</f>
        <v/>
      </c>
      <c r="BB17" s="2">
        <f>IF(LEN($DQ$17)=0,"",IF($BL$17=1,IF(ISNUMBER(IFERROR(INDEX('Dados'!$AK$92:$AK$123,$BM$17),"")),IF(IFERROR(INDEX('Dados'!$AK$92:$AK$123,$BM$17),"")&gt;0,IFERROR(INDEX('Dados'!$AK$92:$AK$123,$BM$17),""),""),""),IFERROR(INDEX($DY$116:$DY$153,MATCH($DQ$17&amp;"|3",$Q$116:$Q$153,0))+0,"")))</f>
        <v/>
      </c>
      <c r="BC17" s="2">
        <f>IF(LEN($DQ$17)=0,"",IF(LEN($DR$32)&gt;0,$DR$32,IF($BL$17=1,IFERROR(INDEX('Dados'!$E$92:$E$123,$BM$17)&amp;"",""),"")))</f>
        <v/>
      </c>
      <c r="BD17" s="2">
        <f>IF(AND(LEN($DR$32)=0,$BL$17=1),IFERROR(INDEX('Dados'!$AD$92:$AD$123,$BM$17)&amp;"",""),"")</f>
        <v/>
      </c>
      <c r="BE17" s="2">
        <f>IF(LEN($DQ$17)=0,"",INDEX('Dados'!$F$7:$F$11,$BR$17))</f>
        <v/>
      </c>
      <c r="BF17" s="2">
        <f>IF(LEN($DQ$17)=0,"",$BR$17)</f>
        <v/>
      </c>
      <c r="BG17" s="2">
        <f>$G$48</f>
        <v/>
      </c>
      <c r="BH17" s="2">
        <f>"Campanha"</f>
        <v/>
      </c>
      <c r="BK17" s="2">
        <f>IF(COUNTIF('Dados'!$AQ$6:$AQ$8,$DR$17)&gt;0,$DR$17,"Faixa do livro")</f>
        <v/>
      </c>
      <c r="BL17" s="2">
        <f>IF(AND($BK$17="Ajustar do bestiário",ISNUMBER($BM$17)),1,0)</f>
        <v/>
      </c>
      <c r="BM17" s="2">
        <f>IFERROR(MATCH($DT$17,'Dados'!$B$92:$B$123,0),"")</f>
        <v/>
      </c>
      <c r="BN17" s="2">
        <f>IF(COUNTIF('Dados'!$AO$6:$AO$8,$DY$17)&gt;0,$DY$17,IF($BL$17=1,IFERROR(INDEX('Dados'!$C$92:$C$123,$BM$17),""),"Comum"))</f>
        <v/>
      </c>
      <c r="BO17" s="2">
        <f>MATCH($BN$17,'Dados'!$AO$6:$AO$8,0)</f>
        <v/>
      </c>
      <c r="BP17" s="2">
        <f>IF(ISNUMBER($DX$17),MIN(20,MAX(1,INT($DX$17))),'Campanha'!$B$17)</f>
        <v/>
      </c>
      <c r="BQ17" s="2">
        <f>IF($BK$17="Por nível — Sugestão",INDEX('Dados'!$B$7:$B$11,INT(($BP$17-1)/4)+1),IF(LEN(IFERROR(INDEX('Dados'!$B$7:$B$11,MATCH($DW$17,'Dados'!$AP$6:$AP$10,0)),""))&gt;0,IFERROR(INDEX('Dados'!$B$7:$B$11,MATCH($DW$17,'Dados'!$AP$6:$AP$10,0)),""),'Campanha'!$B$19))</f>
        <v/>
      </c>
      <c r="BR17" s="2">
        <f>MATCH($BQ$17,'Dados'!$B$7:$B$11,0)</f>
        <v/>
      </c>
      <c r="BS17" s="2">
        <f>$BQ$17&amp;"|"&amp;$BN$17</f>
        <v/>
      </c>
      <c r="BT17" s="2">
        <f>MIN(4,MAX(1,INT(($BP$17-3)/4)+1))</f>
        <v/>
      </c>
      <c r="BU17" s="2">
        <f>IF($BK$17="Por nível — Sugestão",INT(IF($BP$17&lt;=3,INDEX('Dados'!$D$38:$D$52,$BO$17),IF($BP$17&gt;=19,INDEX('Dados'!$D$38:$D$52,12+$BO$17),INDEX('Dados'!$D$38:$D$52,($BT$17-1)*3+$BO$17)+(INDEX('Dados'!$D$38:$D$52,$BT$17*3+$BO$17)-INDEX('Dados'!$D$38:$D$52,($BT$17-1)*3+$BO$17))*($BP$17-(4*$BT$17-1))/4))),IFERROR(INDEX('Dados'!$D$38:$D$52,MATCH($BS$17,'Dados'!$A$38:$A$52,0)),""))</f>
        <v/>
      </c>
      <c r="BV17" s="2">
        <f>IF($BN$17&lt;&gt;"Boss",1,IF(AND(ISNUMBER($DZ$17),$DZ$17&gt;=1,$DZ$17&lt;=3),INT($DZ$17),IF($BL$17=1,MAX(1,IFERROR(INDEX('Dados'!$F$92:$F$123,$BM$17),"")),1)))</f>
        <v/>
      </c>
      <c r="BW17" s="2">
        <f>IFERROR(INDEX('Dados'!$O$38:$O$52,MATCH($BS$17,'Dados'!$A$38:$A$52,0)),"")</f>
        <v/>
      </c>
      <c r="BX17" s="2">
        <f>IF(AND(LEN($DR$48)=0,LEN($DS$48)=0,LEN($DT$48)=0,LEN($DU$48)=0),1,0)</f>
        <v/>
      </c>
      <c r="BY17" s="2">
        <f>IF(LEN($DQ$17)=0,"",IF($BX$17=0,$DR$48&amp;"",IF($BL$17=1,IFERROR(INDEX('Dados'!$Q$92:$Q$123,$BM$17)&amp;"",""),IF(1&lt;=$BW$17,$CD$17,""))))</f>
        <v/>
      </c>
      <c r="BZ17" s="2">
        <f>IF(LEN($DQ$17)=0,"",IF($BX$17=0,$DS$48&amp;"",IF($BL$17=1,IFERROR(INDEX('Dados'!$R$92:$R$123,$BM$17)&amp;"",""),IF(2&lt;=$BW$17,$CE$17,""))))</f>
        <v/>
      </c>
      <c r="CA17" s="2">
        <f>IF(LEN($DQ$17)=0,"",IF($BX$17=0,$DT$48&amp;"",IF($BL$17=1,IFERROR(INDEX('Dados'!$S$92:$S$123,$BM$17)&amp;"",""),IF(3&lt;=$BW$17,$CF$17,""))))</f>
        <v/>
      </c>
      <c r="CB17" s="2">
        <f>IF(LEN($DQ$17)=0,"",IF($BX$17=0,$DU$48&amp;"",IF($BL$17=1,IFERROR(INDEX('Dados'!$T$92:$T$123,$BM$17)&amp;"",""),IF(4&lt;=$BW$17,$CG$17,""))))</f>
        <v/>
      </c>
      <c r="CC17" s="2">
        <f>IF(LEN($DV$48)&gt;0,$DV$48,IF($BL$17=1,IFERROR(INDEX('Dados'!$U$92:$U$123,$BM$17)&amp;"",""),""))</f>
        <v/>
      </c>
      <c r="CD17" s="2">
        <f>INDEX('Dados'!$A$301:$A$307,MATCH(SMALL($DI$17:$DO$17,1),$DI$17:$DO$17,0))</f>
        <v/>
      </c>
      <c r="CE17" s="2">
        <f>INDEX('Dados'!$A$301:$A$307,MATCH(SMALL($DI$17:$DO$17,2),$DI$17:$DO$17,0))</f>
        <v/>
      </c>
      <c r="CF17" s="2">
        <f>INDEX('Dados'!$A$301:$A$307,MATCH(SMALL($DI$17:$DO$17,3),$DI$17:$DO$17,0))</f>
        <v/>
      </c>
      <c r="CG17" s="2">
        <f>INDEX('Dados'!$A$301:$A$307,MATCH(SMALL($DI$17:$DO$17,4),$DI$17:$DO$17,0))</f>
        <v/>
      </c>
      <c r="CH17" s="2">
        <f>IF($BL$17=1,IFERROR(INDEX('Dados'!$J$92:$J$123,$BM$17),""),"")</f>
        <v/>
      </c>
      <c r="CI17" s="2">
        <f>IF($BL$17=1,IFERROR(INDEX('Dados'!$G$92:$G$123,$BM$17),""),"")</f>
        <v/>
      </c>
      <c r="CJ17" s="2">
        <f>IFERROR(INDEX('Dados'!$S$38:$S$52,MATCH($BS$17,'Dados'!$A$38:$A$52,0)),"")</f>
        <v/>
      </c>
      <c r="CK17" s="2">
        <f>IFERROR(INDEX('Dados'!$T$38:$T$52,MATCH($BS$17,'Dados'!$A$38:$A$52,0)),"")</f>
        <v/>
      </c>
      <c r="CL17" s="2">
        <f>IFERROR(INDEX('Dados'!$J$38:$J$52,MATCH($BQ$17&amp;"|Comum",'Dados'!$A$38:$A$52,0)),"")</f>
        <v/>
      </c>
      <c r="CM17" s="2">
        <f>IFERROR(INDEX('Dados'!$K$38:$K$52,MATCH($BQ$17&amp;"|Comum",'Dados'!$A$38:$A$52,0)),"")</f>
        <v/>
      </c>
      <c r="CN17" s="2">
        <f>MOD(MOD(MOD((MOD('Início'!$E$16+104729*$C$7+93150429,2147483646)+1)*16807,2147483647)*16807,2147483647)*16807,2147483647)</f>
        <v/>
      </c>
      <c r="CO17" s="2">
        <f>MOD(MOD(MOD((MOD(MOD(INT($CN$17/65536)*$CN$17,2147483647)*65536+MOD($CN$17,65536)*$CN$17,2147483647))*16807,2147483647)*16807,2147483647)*16807,2147483647)</f>
        <v/>
      </c>
      <c r="CP17" s="2">
        <f>MOD(MOD(MOD((MOD($CO$17+INT($CO$17/65536)*MOD($CO$17,65536),2147483646)+1)*16807,2147483647)*16807,2147483647)*16807,2147483647)</f>
        <v/>
      </c>
      <c r="CQ17" s="2">
        <f>MOD(MOD(MOD((MOD('Início'!$E$16+104729*$C$7+94450138,2147483646)+1)*16807,2147483647)*16807,2147483647)*16807,2147483647)</f>
        <v/>
      </c>
      <c r="CR17" s="2">
        <f>MOD(MOD(MOD((MOD(MOD(INT($CQ$17/65536)*$CQ$17,2147483647)*65536+MOD($CQ$17,65536)*$CQ$17,2147483647))*16807,2147483647)*16807,2147483647)*16807,2147483647)</f>
        <v/>
      </c>
      <c r="CS17" s="2">
        <f>MOD(MOD(MOD((MOD($CR$17+INT($CR$17/65536)*MOD($CR$17,65536),2147483646)+1)*16807,2147483647)*16807,2147483647)*16807,2147483647)</f>
        <v/>
      </c>
      <c r="CT17" s="2">
        <f>MOD(MOD(MOD((MOD('Início'!$E$16+104729*$C$7+95749847,2147483646)+1)*16807,2147483647)*16807,2147483647)*16807,2147483647)</f>
        <v/>
      </c>
      <c r="CU17" s="2">
        <f>MOD(MOD(MOD((MOD(MOD(INT($CT$17/65536)*$CT$17,2147483647)*65536+MOD($CT$17,65536)*$CT$17,2147483647))*16807,2147483647)*16807,2147483647)*16807,2147483647)</f>
        <v/>
      </c>
      <c r="CV17" s="2">
        <f>MOD(MOD(MOD((MOD($CU$17+INT($CU$17/65536)*MOD($CU$17,65536),2147483646)+1)*16807,2147483647)*16807,2147483647)*16807,2147483647)</f>
        <v/>
      </c>
      <c r="CW17" s="2">
        <f>MOD(MOD(MOD((MOD('Início'!$E$16+104729*$C$7+97049556,2147483646)+1)*16807,2147483647)*16807,2147483647)*16807,2147483647)</f>
        <v/>
      </c>
      <c r="CX17" s="2">
        <f>MOD(MOD(MOD((MOD(MOD(INT($CW$17/65536)*$CW$17,2147483647)*65536+MOD($CW$17,65536)*$CW$17,2147483647))*16807,2147483647)*16807,2147483647)*16807,2147483647)</f>
        <v/>
      </c>
      <c r="CY17" s="2">
        <f>MOD(MOD(MOD((MOD($CX$17+INT($CX$17/65536)*MOD($CX$17,65536),2147483646)+1)*16807,2147483647)*16807,2147483647)*16807,2147483647)</f>
        <v/>
      </c>
      <c r="CZ17" s="2">
        <f>MOD(MOD(MOD((MOD('Início'!$E$16+104729*$C$7+98349265,2147483646)+1)*16807,2147483647)*16807,2147483647)*16807,2147483647)</f>
        <v/>
      </c>
      <c r="DA17" s="2">
        <f>MOD(MOD(MOD((MOD(MOD(INT($CZ$17/65536)*$CZ$17,2147483647)*65536+MOD($CZ$17,65536)*$CZ$17,2147483647))*16807,2147483647)*16807,2147483647)*16807,2147483647)</f>
        <v/>
      </c>
      <c r="DB17" s="2">
        <f>MOD(MOD(MOD((MOD($DA$17+INT($DA$17/65536)*MOD($DA$17,65536),2147483646)+1)*16807,2147483647)*16807,2147483647)*16807,2147483647)</f>
        <v/>
      </c>
      <c r="DC17" s="2">
        <f>MOD(MOD(MOD((MOD('Início'!$E$16+104729*$C$7+99648974,2147483646)+1)*16807,2147483647)*16807,2147483647)*16807,2147483647)</f>
        <v/>
      </c>
      <c r="DD17" s="2">
        <f>MOD(MOD(MOD((MOD(MOD(INT($DC$17/65536)*$DC$17,2147483647)*65536+MOD($DC$17,65536)*$DC$17,2147483647))*16807,2147483647)*16807,2147483647)*16807,2147483647)</f>
        <v/>
      </c>
      <c r="DE17" s="2">
        <f>MOD(MOD(MOD((MOD($DD$17+INT($DD$17/65536)*MOD($DD$17,65536),2147483646)+1)*16807,2147483647)*16807,2147483647)*16807,2147483647)</f>
        <v/>
      </c>
      <c r="DF17" s="2">
        <f>MOD(MOD(MOD((MOD('Início'!$E$16+104729*$C$7+100948683,2147483646)+1)*16807,2147483647)*16807,2147483647)*16807,2147483647)</f>
        <v/>
      </c>
      <c r="DG17" s="2">
        <f>MOD(MOD(MOD((MOD(MOD(INT($DF$17/65536)*$DF$17,2147483647)*65536+MOD($DF$17,65536)*$DF$17,2147483647))*16807,2147483647)*16807,2147483647)*16807,2147483647)</f>
        <v/>
      </c>
      <c r="DH17" s="2">
        <f>MOD(MOD(MOD((MOD($DG$17+INT($DG$17/65536)*MOD($DG$17,65536),2147483646)+1)*16807,2147483647)*16807,2147483647)*16807,2147483647)</f>
        <v/>
      </c>
      <c r="DI17" s="2">
        <f>IF($CC$17="Físico",9000000000,IF(AND('Grupo'!$B$81="Sim",COUNTIF($BY$11:$CB$16,"Físico")=0),0,2147483647))+$CP$17+1/10</f>
        <v/>
      </c>
      <c r="DJ17" s="2">
        <f>IF($CC$17="Fogo",9000000000,IF(AND('Grupo'!$C$81="Sim",COUNTIF($BY$11:$CB$16,"Fogo")=0),0,2147483647))+$CS$17+2/10</f>
        <v/>
      </c>
      <c r="DK17" s="2">
        <f>IF($CC$17="Gelo",9000000000,IF(AND('Grupo'!$D$81="Sim",COUNTIF($BY$11:$CB$16,"Gelo")=0),0,2147483647))+$CV$17+3/10</f>
        <v/>
      </c>
      <c r="DL17" s="2">
        <f>IF($CC$17="Raio",9000000000,IF(AND('Grupo'!$E$81="Sim",COUNTIF($BY$11:$CB$16,"Raio")=0),0,2147483647))+$CY$17+4/10</f>
        <v/>
      </c>
      <c r="DM17" s="2">
        <f>IF($CC$17="Vento",9000000000,IF(AND('Grupo'!$F$81="Sim",COUNTIF($BY$11:$CB$16,"Vento")=0),0,2147483647))+$DB$17+5/10</f>
        <v/>
      </c>
      <c r="DN17" s="2">
        <f>IF($CC$17="Quântico",9000000000,IF(AND('Grupo'!$G$81="Sim",COUNTIF($BY$11:$CB$16,"Quântico")=0),0,2147483647))+$DE$17+6/10</f>
        <v/>
      </c>
      <c r="DO17" s="2">
        <f>IF($CC$17="Imaginário",9000000000,IF(AND('Grupo'!$H$81="Sim",COUNTIF($BY$11:$CB$16,"Imaginário")=0),0,2147483647))+$DH$17+7/10</f>
        <v/>
      </c>
      <c r="DQ17" s="2">
        <f>IF(ISERROR($A$17),"",IF(ISBLANK($A$17),"",$A$17))</f>
        <v/>
      </c>
      <c r="DR17" s="2">
        <f>IF(ISERROR($B$17),"",IF(ISBLANK($B$17),"",$B$17))</f>
        <v/>
      </c>
      <c r="DT17" s="2">
        <f>IF(ISERROR($D$17),"",IF(ISBLANK($D$17),"",$D$17))</f>
        <v/>
      </c>
      <c r="DW17" s="2">
        <f>IF(ISERROR($G$17),"",IF(ISBLANK($G$17),"",$G$17))</f>
        <v/>
      </c>
      <c r="DX17" s="2">
        <f>IF(ISERROR($H$17),"",IF(ISBLANK($H$17),"",$H$17))</f>
        <v/>
      </c>
      <c r="DY17" s="2">
        <f>IF(ISERROR($I$17),"",IF(ISBLANK($I$17),"",$I$17))</f>
        <v/>
      </c>
      <c r="DZ17" s="2">
        <f>IF(ISERROR($J$17),"",IF(ISBLANK($J$17),"",$J$17))</f>
        <v/>
      </c>
      <c r="EA17" s="2">
        <f>ISERROR($A$17)*1+ISERROR($B$17)*1+ISERROR($D$17)*1+ISERROR($G$17)*1+ISERROR($H$17)*1+ISERROR($I$17)*1+ISERROR($J$17)*1</f>
        <v/>
      </c>
    </row>
    <row r="18" ht="26" customHeight="1">
      <c r="A18" s="35" t="n"/>
      <c r="B18" s="29" t="n"/>
      <c r="C18" s="17" t="n"/>
      <c r="D18" s="29" t="n"/>
      <c r="E18" s="25" t="n"/>
      <c r="F18" s="17" t="n"/>
      <c r="G18" s="36" t="n"/>
      <c r="H18" s="37" t="n"/>
      <c r="I18" s="36" t="n"/>
      <c r="J18" s="37" t="n"/>
      <c r="K18" s="27">
        <f>IF(EA18&gt;0,"O Google leu como fórmula: escolha de novo ou digite com ' na frente.",IF(LEN($DQ$18)=0,IF(LEN($DR$18&amp;$DT$18&amp;$DY$18)&gt;0,"Linha sem nome: o inimigo não entra nas listas",""),IF(COUNTIF($DQ$11:$DQ$22,$DQ$18)&gt;1,"Nome repetido na tabela",IF(COUNTIF('Dados'!$B$92:$B$123,$DQ$18)&gt;0,"Nome igual a uma criatura do bestiário: dê outro nome",IF(AND($BK$18="Ajustar do bestiário",$BL$18=0),"Modo Ajustar sem base do bestiário válida",IF(AND(LEN($DZ$18)&gt;0,$BN$18&lt;&gt;"Boss"),"Fases só valem para Boss (28.5)",IF(AND(ISNUMBER($DX$18),OR($DX$18&lt;1,$DX$18&gt;20)),"Nível fora de 1 a 20: usando o limite",IF(AND(LEN($DY$18)&gt;0,COUNTIF('Dados'!$AO$6:$AO$8,$DY$18)=0),"Tipo fora da lista: usando Comum",""))))))))</f>
        <v/>
      </c>
      <c r="N18" s="2">
        <f>IF(LEN($DQ$18)=0,"",$DQ$18)</f>
        <v/>
      </c>
      <c r="O18" s="2">
        <f>IF(LEN($DQ$18)=0,"",$BN$18)</f>
        <v/>
      </c>
      <c r="P18" s="2">
        <f>IF(LEN($DQ$18)=0,"",$BQ$18)</f>
        <v/>
      </c>
      <c r="Q18" s="2">
        <f>IF(LEN($DQ$18)=0,"",$BU$18)</f>
        <v/>
      </c>
      <c r="R18" s="2">
        <f>IF(LEN($DQ$18)=0,"",IFERROR(INDEX('Dados'!$E$38:$E$52,MATCH($BS$18,'Dados'!$A$38:$A$52,0)),""))</f>
        <v/>
      </c>
      <c r="S18" s="2">
        <f>IF(LEN($DQ$18)=0,"",IFERROR(INDEX('Dados'!$F$38:$F$52,MATCH($BS$18,'Dados'!$A$38:$A$52,0)),""))</f>
        <v/>
      </c>
      <c r="T18" s="2">
        <f>IF(LEN($DQ$18)=0,"",IFERROR(INDEX('Dados'!$G$38:$G$52,MATCH($BS$18,'Dados'!$A$38:$A$52,0)),""))</f>
        <v/>
      </c>
      <c r="U18" s="2">
        <f>IF(LEN($DQ$18)=0,"",IFERROR(INDEX('Dados'!$H$38:$H$52,MATCH($BS$18,'Dados'!$A$38:$A$52,0)),""))</f>
        <v/>
      </c>
      <c r="V18" s="2">
        <f>IF(LEN($DQ$18)=0,"",IFERROR(INDEX('Dados'!$I$38:$I$52,MATCH($BS$18,'Dados'!$A$38:$A$52,0)),""))</f>
        <v/>
      </c>
      <c r="W18" s="2">
        <f>IF(LEN($DQ$18)=0,"",IFERROR(INDEX('Dados'!$J$38:$J$52,MATCH($BS$18,'Dados'!$A$38:$A$52,0)),""))</f>
        <v/>
      </c>
      <c r="X18" s="2">
        <f>IF(LEN($DQ$18)=0,"",IFERROR(INDEX('Dados'!$K$38:$K$52,MATCH($BS$18,'Dados'!$A$38:$A$52,0)),""))</f>
        <v/>
      </c>
      <c r="Y18" s="2">
        <f>IF(LEN($DQ$18)=0,"",IFERROR(INDEX('Dados'!$L$38:$L$52,MATCH($BS$18,'Dados'!$A$38:$A$52,0)),""))</f>
        <v/>
      </c>
      <c r="Z18" s="2">
        <f>IF(LEN($DQ$18)=0,"",IFERROR(INDEX('Dados'!$M$38:$M$52,MATCH($BS$18,'Dados'!$A$38:$A$52,0)),""))</f>
        <v/>
      </c>
      <c r="AA18" s="2">
        <f>IF(LEN($DQ$18)=0,"",$BY$18)</f>
        <v/>
      </c>
      <c r="AB18" s="2">
        <f>IF(LEN($DQ$18)=0,"",$BZ$18)</f>
        <v/>
      </c>
      <c r="AC18" s="2">
        <f>IF(LEN($DQ$18)=0,"",$CA$18)</f>
        <v/>
      </c>
      <c r="AD18" s="2">
        <f>IF(LEN($DQ$18)=0,"",$CB$18)</f>
        <v/>
      </c>
      <c r="AE18" s="2">
        <f>IF(LEN($DQ$18)=0,"",$CC$18)</f>
        <v/>
      </c>
      <c r="AF18" s="2">
        <f>IF(LEN($DQ$18)=0,"",IF($DV$33="Sim","Pode",IF($DV$33="Não","Não",IF($BL$18=1,IFERROR(INDEX('Dados'!$V$92:$V$123,$BM$18)&amp;"",""),"Não declarado"))))</f>
        <v/>
      </c>
      <c r="AG18" s="2">
        <f>IF(LEN($DQ$18)=0,"",$BV$18)</f>
        <v/>
      </c>
      <c r="AH18" s="2">
        <f>IF(LEN($DQ$18)=0,"",IFERROR(INDEX('Dados'!$Q$38:$Q$52,MATCH($BS$18,'Dados'!$A$38:$A$52,0)),""))</f>
        <v/>
      </c>
      <c r="AI18" s="2">
        <f>IF(LEN($DQ$18)=0,"",IF(AND($BL$18=1,$DT$18="Escória de Stellaron"),1.5,1)*$BU$18)</f>
        <v/>
      </c>
      <c r="AJ18" s="2">
        <f>IF(LEN($DQ$18)=0,"",IFERROR(INDEX('Dados'!$P$38:$P$52,MATCH($BS$18,'Dados'!$A$38:$A$52,0)),""))</f>
        <v/>
      </c>
      <c r="AK18" s="2">
        <f>IF(LEN($DQ$18)=0,"",IF($BV$18=2,INT($BU$18/2),IF($BV$18=3,INT(2*$BU$18/3),"")))</f>
        <v/>
      </c>
      <c r="AL18" s="2">
        <f>IF(LEN($DQ$18)=0,"",IF($BV$18=3,INT($BU$18/3),""))</f>
        <v/>
      </c>
      <c r="AM18" s="2">
        <f>IF(OR(LEN($DQ$18)=0,$BV$18&lt;2),"",IFERROR(INDEX($DT$88:$DT$112,MATCH($DQ$18&amp;"|2",$N$88:$N$112,0))&amp;"",IF($BL$18=1,IFERROR(INDEX('Dados'!$G$127:$G$138,MATCH($DT$18&amp;"|2",'Dados'!$A$127:$A$138,0)),""),"")))</f>
        <v/>
      </c>
      <c r="AN18" s="2">
        <f>IF(OR(LEN($DQ$18)=0,$BV$18&lt;2),"",IFERROR(INDEX($DU$88:$DU$112,MATCH($DQ$18&amp;"|2",$N$88:$N$112,0))&amp;"",IF($BL$18=1,IFERROR(INDEX('Dados'!$H$127:$H$138,MATCH($DT$18&amp;"|2",'Dados'!$A$127:$A$138,0)),""),"")))</f>
        <v/>
      </c>
      <c r="AO18" s="2">
        <f>IF(OR(LEN($DQ$18)=0,$BV$18&lt;2),"",IFERROR(INDEX($DV$88:$DV$112,MATCH($DQ$18&amp;"|2",$N$88:$N$112,0))&amp;"",IF($BL$18=1,IFERROR(INDEX('Dados'!$I$127:$I$138,MATCH($DT$18&amp;"|2",'Dados'!$A$127:$A$138,0)),""),"")))</f>
        <v/>
      </c>
      <c r="AP18" s="2">
        <f>IF(OR(LEN($DQ$18)=0,$BV$18&lt;2),"",IFERROR(INDEX($DW$88:$DW$112,MATCH($DQ$18&amp;"|2",$N$88:$N$112,0))&amp;"",IF($BL$18=1,IFERROR(INDEX('Dados'!$J$127:$J$138,MATCH($DT$18&amp;"|2",'Dados'!$A$127:$A$138,0)),""),"")))</f>
        <v/>
      </c>
      <c r="AQ18" s="2">
        <f>IF(OR(LEN($DQ$18)=0,$BV$18&lt;2),"",IF(ISNUMBER(MATCH($DQ$18&amp;"|2",$N$88:$N$112,0)),IF(ISNUMBER(INDEX($DX$88:$DX$112,MATCH($DQ$18&amp;"|2",$N$88:$N$112,0))),MIN(IFERROR(INDEX('Dados'!$G$38:$G$52,MATCH($BS$18,'Dados'!$A$38:$A$52,0)),""),INDEX($DX$88:$DX$112,MATCH($DQ$18&amp;"|2",$N$88:$N$112,0))),IFERROR(INDEX('Dados'!$G$38:$G$52,MATCH($BS$18,'Dados'!$A$38:$A$52,0)),"")),IF($BL$18=1,IFERROR(MIN(IFERROR(INDEX('Dados'!$G$38:$G$52,MATCH($BS$18,'Dados'!$A$38:$A$52,0)),""),INT(INDEX('Dados'!$K$127:$K$138,MATCH($DT$18&amp;"|2",'Dados'!$A$127:$A$138,0))*IFERROR(INDEX('Dados'!$G$38:$G$52,MATCH($BS$18,'Dados'!$A$38:$A$52,0)),"")/$CH$18)),IFERROR(INDEX('Dados'!$G$38:$G$52,MATCH($BS$18,'Dados'!$A$38:$A$52,0)),"")),IFERROR(INDEX('Dados'!$G$38:$G$52,MATCH($BS$18,'Dados'!$A$38:$A$52,0)),""))))</f>
        <v/>
      </c>
      <c r="AR18" s="2">
        <f>IF(OR(LEN($DQ$18)=0,$BV$18&lt;3),"",IFERROR(INDEX($DT$88:$DT$112,MATCH($DQ$18&amp;"|3",$N$88:$N$112,0))&amp;"",IF($BL$18=1,IFERROR(INDEX('Dados'!$G$127:$G$138,MATCH($DT$18&amp;"|3",'Dados'!$A$127:$A$138,0)),""),"")))</f>
        <v/>
      </c>
      <c r="AS18" s="2">
        <f>IF(OR(LEN($DQ$18)=0,$BV$18&lt;3),"",IFERROR(INDEX($DU$88:$DU$112,MATCH($DQ$18&amp;"|3",$N$88:$N$112,0))&amp;"",IF($BL$18=1,IFERROR(INDEX('Dados'!$H$127:$H$138,MATCH($DT$18&amp;"|3",'Dados'!$A$127:$A$138,0)),""),"")))</f>
        <v/>
      </c>
      <c r="AT18" s="2">
        <f>IF(OR(LEN($DQ$18)=0,$BV$18&lt;3),"",IFERROR(INDEX($DV$88:$DV$112,MATCH($DQ$18&amp;"|3",$N$88:$N$112,0))&amp;"",IF($BL$18=1,IFERROR(INDEX('Dados'!$I$127:$I$138,MATCH($DT$18&amp;"|3",'Dados'!$A$127:$A$138,0)),""),"")))</f>
        <v/>
      </c>
      <c r="AU18" s="2">
        <f>IF(OR(LEN($DQ$18)=0,$BV$18&lt;3),"",IFERROR(INDEX($DW$88:$DW$112,MATCH($DQ$18&amp;"|3",$N$88:$N$112,0))&amp;"",IF($BL$18=1,IFERROR(INDEX('Dados'!$J$127:$J$138,MATCH($DT$18&amp;"|3",'Dados'!$A$127:$A$138,0)),""),"")))</f>
        <v/>
      </c>
      <c r="AV18" s="2">
        <f>IF(OR(LEN($DQ$18)=0,$BV$18&lt;3),"",IF(ISNUMBER(MATCH($DQ$18&amp;"|3",$N$88:$N$112,0)),IF(ISNUMBER(INDEX($DX$88:$DX$112,MATCH($DQ$18&amp;"|3",$N$88:$N$112,0))),MIN(IFERROR(INDEX('Dados'!$G$38:$G$52,MATCH($BS$18,'Dados'!$A$38:$A$52,0)),""),INDEX($DX$88:$DX$112,MATCH($DQ$18&amp;"|3",$N$88:$N$112,0))),IFERROR(INDEX('Dados'!$G$38:$G$52,MATCH($BS$18,'Dados'!$A$38:$A$52,0)),"")),IF($BL$18=1,IFERROR(MIN(IFERROR(INDEX('Dados'!$G$38:$G$52,MATCH($BS$18,'Dados'!$A$38:$A$52,0)),""),INT(INDEX('Dados'!$K$127:$K$138,MATCH($DT$18&amp;"|3",'Dados'!$A$127:$A$138,0))*IFERROR(INDEX('Dados'!$G$38:$G$52,MATCH($BS$18,'Dados'!$A$38:$A$52,0)),"")/$CH$18)),IFERROR(INDEX('Dados'!$G$38:$G$52,MATCH($BS$18,'Dados'!$A$38:$A$52,0)),"")),IFERROR(INDEX('Dados'!$G$38:$G$52,MATCH($BS$18,'Dados'!$A$38:$A$52,0)),""))))</f>
        <v/>
      </c>
      <c r="AW18" s="2">
        <f>IF(LEN($DQ$18)=0,"",IF($BL$18=1,IFERROR(INDEX('Dados'!$AF$92:$AF$123,$BM$18)&amp;"",""),IFERROR(INDEX($DU$116:$DU$153,MATCH($DQ$18&amp;"|1",$Q$116:$Q$153,0))&amp;"","")))</f>
        <v/>
      </c>
      <c r="AX18" s="2">
        <f>IF(LEN($DQ$18)=0,"",IF($BL$18=1,IF(ISNUMBER(IFERROR(INDEX('Dados'!$AG$92:$AG$123,$BM$18),"")),IF(IFERROR(INDEX('Dados'!$AG$92:$AG$123,$BM$18),"")&gt;0,IFERROR(INDEX('Dados'!$AG$92:$AG$123,$BM$18),""),""),""),IFERROR(INDEX($DY$116:$DY$153,MATCH($DQ$18&amp;"|1",$Q$116:$Q$153,0))+0,"")))</f>
        <v/>
      </c>
      <c r="AY18" s="2">
        <f>IF(LEN($DQ$18)=0,"",IF($BL$18=1,IFERROR(INDEX('Dados'!$AH$92:$AH$123,$BM$18)&amp;"",""),IFERROR(INDEX($DU$116:$DU$153,MATCH($DQ$18&amp;"|2",$Q$116:$Q$153,0))&amp;"","")))</f>
        <v/>
      </c>
      <c r="AZ18" s="2">
        <f>IF(LEN($DQ$18)=0,"",IF($BL$18=1,IF(ISNUMBER(IFERROR(INDEX('Dados'!$AI$92:$AI$123,$BM$18),"")),IF(IFERROR(INDEX('Dados'!$AI$92:$AI$123,$BM$18),"")&gt;0,IFERROR(INDEX('Dados'!$AI$92:$AI$123,$BM$18),""),""),""),IFERROR(INDEX($DY$116:$DY$153,MATCH($DQ$18&amp;"|2",$Q$116:$Q$153,0))+0,"")))</f>
        <v/>
      </c>
      <c r="BA18" s="2">
        <f>IF(LEN($DQ$18)=0,"",IF($BL$18=1,IFERROR(INDEX('Dados'!$AJ$92:$AJ$123,$BM$18)&amp;"",""),IFERROR(INDEX($DU$116:$DU$153,MATCH($DQ$18&amp;"|3",$Q$116:$Q$153,0))&amp;"","")))</f>
        <v/>
      </c>
      <c r="BB18" s="2">
        <f>IF(LEN($DQ$18)=0,"",IF($BL$18=1,IF(ISNUMBER(IFERROR(INDEX('Dados'!$AK$92:$AK$123,$BM$18),"")),IF(IFERROR(INDEX('Dados'!$AK$92:$AK$123,$BM$18),"")&gt;0,IFERROR(INDEX('Dados'!$AK$92:$AK$123,$BM$18),""),""),""),IFERROR(INDEX($DY$116:$DY$153,MATCH($DQ$18&amp;"|3",$Q$116:$Q$153,0))+0,"")))</f>
        <v/>
      </c>
      <c r="BC18" s="2">
        <f>IF(LEN($DQ$18)=0,"",IF(LEN($DR$33)&gt;0,$DR$33,IF($BL$18=1,IFERROR(INDEX('Dados'!$E$92:$E$123,$BM$18)&amp;"",""),"")))</f>
        <v/>
      </c>
      <c r="BD18" s="2">
        <f>IF(AND(LEN($DR$33)=0,$BL$18=1),IFERROR(INDEX('Dados'!$AD$92:$AD$123,$BM$18)&amp;"",""),"")</f>
        <v/>
      </c>
      <c r="BE18" s="2">
        <f>IF(LEN($DQ$18)=0,"",INDEX('Dados'!$F$7:$F$11,$BR$18))</f>
        <v/>
      </c>
      <c r="BF18" s="2">
        <f>IF(LEN($DQ$18)=0,"",$BR$18)</f>
        <v/>
      </c>
      <c r="BG18" s="2">
        <f>$G$49</f>
        <v/>
      </c>
      <c r="BH18" s="2">
        <f>"Campanha"</f>
        <v/>
      </c>
      <c r="BK18" s="2">
        <f>IF(COUNTIF('Dados'!$AQ$6:$AQ$8,$DR$18)&gt;0,$DR$18,"Faixa do livro")</f>
        <v/>
      </c>
      <c r="BL18" s="2">
        <f>IF(AND($BK$18="Ajustar do bestiário",ISNUMBER($BM$18)),1,0)</f>
        <v/>
      </c>
      <c r="BM18" s="2">
        <f>IFERROR(MATCH($DT$18,'Dados'!$B$92:$B$123,0),"")</f>
        <v/>
      </c>
      <c r="BN18" s="2">
        <f>IF(COUNTIF('Dados'!$AO$6:$AO$8,$DY$18)&gt;0,$DY$18,IF($BL$18=1,IFERROR(INDEX('Dados'!$C$92:$C$123,$BM$18),""),"Comum"))</f>
        <v/>
      </c>
      <c r="BO18" s="2">
        <f>MATCH($BN$18,'Dados'!$AO$6:$AO$8,0)</f>
        <v/>
      </c>
      <c r="BP18" s="2">
        <f>IF(ISNUMBER($DX$18),MIN(20,MAX(1,INT($DX$18))),'Campanha'!$B$17)</f>
        <v/>
      </c>
      <c r="BQ18" s="2">
        <f>IF($BK$18="Por nível — Sugestão",INDEX('Dados'!$B$7:$B$11,INT(($BP$18-1)/4)+1),IF(LEN(IFERROR(INDEX('Dados'!$B$7:$B$11,MATCH($DW$18,'Dados'!$AP$6:$AP$10,0)),""))&gt;0,IFERROR(INDEX('Dados'!$B$7:$B$11,MATCH($DW$18,'Dados'!$AP$6:$AP$10,0)),""),'Campanha'!$B$19))</f>
        <v/>
      </c>
      <c r="BR18" s="2">
        <f>MATCH($BQ$18,'Dados'!$B$7:$B$11,0)</f>
        <v/>
      </c>
      <c r="BS18" s="2">
        <f>$BQ$18&amp;"|"&amp;$BN$18</f>
        <v/>
      </c>
      <c r="BT18" s="2">
        <f>MIN(4,MAX(1,INT(($BP$18-3)/4)+1))</f>
        <v/>
      </c>
      <c r="BU18" s="2">
        <f>IF($BK$18="Por nível — Sugestão",INT(IF($BP$18&lt;=3,INDEX('Dados'!$D$38:$D$52,$BO$18),IF($BP$18&gt;=19,INDEX('Dados'!$D$38:$D$52,12+$BO$18),INDEX('Dados'!$D$38:$D$52,($BT$18-1)*3+$BO$18)+(INDEX('Dados'!$D$38:$D$52,$BT$18*3+$BO$18)-INDEX('Dados'!$D$38:$D$52,($BT$18-1)*3+$BO$18))*($BP$18-(4*$BT$18-1))/4))),IFERROR(INDEX('Dados'!$D$38:$D$52,MATCH($BS$18,'Dados'!$A$38:$A$52,0)),""))</f>
        <v/>
      </c>
      <c r="BV18" s="2">
        <f>IF($BN$18&lt;&gt;"Boss",1,IF(AND(ISNUMBER($DZ$18),$DZ$18&gt;=1,$DZ$18&lt;=3),INT($DZ$18),IF($BL$18=1,MAX(1,IFERROR(INDEX('Dados'!$F$92:$F$123,$BM$18),"")),1)))</f>
        <v/>
      </c>
      <c r="BW18" s="2">
        <f>IFERROR(INDEX('Dados'!$O$38:$O$52,MATCH($BS$18,'Dados'!$A$38:$A$52,0)),"")</f>
        <v/>
      </c>
      <c r="BX18" s="2">
        <f>IF(AND(LEN($DR$49)=0,LEN($DS$49)=0,LEN($DT$49)=0,LEN($DU$49)=0),1,0)</f>
        <v/>
      </c>
      <c r="BY18" s="2">
        <f>IF(LEN($DQ$18)=0,"",IF($BX$18=0,$DR$49&amp;"",IF($BL$18=1,IFERROR(INDEX('Dados'!$Q$92:$Q$123,$BM$18)&amp;"",""),IF(1&lt;=$BW$18,$CD$18,""))))</f>
        <v/>
      </c>
      <c r="BZ18" s="2">
        <f>IF(LEN($DQ$18)=0,"",IF($BX$18=0,$DS$49&amp;"",IF($BL$18=1,IFERROR(INDEX('Dados'!$R$92:$R$123,$BM$18)&amp;"",""),IF(2&lt;=$BW$18,$CE$18,""))))</f>
        <v/>
      </c>
      <c r="CA18" s="2">
        <f>IF(LEN($DQ$18)=0,"",IF($BX$18=0,$DT$49&amp;"",IF($BL$18=1,IFERROR(INDEX('Dados'!$S$92:$S$123,$BM$18)&amp;"",""),IF(3&lt;=$BW$18,$CF$18,""))))</f>
        <v/>
      </c>
      <c r="CB18" s="2">
        <f>IF(LEN($DQ$18)=0,"",IF($BX$18=0,$DU$49&amp;"",IF($BL$18=1,IFERROR(INDEX('Dados'!$T$92:$T$123,$BM$18)&amp;"",""),IF(4&lt;=$BW$18,$CG$18,""))))</f>
        <v/>
      </c>
      <c r="CC18" s="2">
        <f>IF(LEN($DV$49)&gt;0,$DV$49,IF($BL$18=1,IFERROR(INDEX('Dados'!$U$92:$U$123,$BM$18)&amp;"",""),""))</f>
        <v/>
      </c>
      <c r="CD18" s="2">
        <f>INDEX('Dados'!$A$301:$A$307,MATCH(SMALL($DI$18:$DO$18,1),$DI$18:$DO$18,0))</f>
        <v/>
      </c>
      <c r="CE18" s="2">
        <f>INDEX('Dados'!$A$301:$A$307,MATCH(SMALL($DI$18:$DO$18,2),$DI$18:$DO$18,0))</f>
        <v/>
      </c>
      <c r="CF18" s="2">
        <f>INDEX('Dados'!$A$301:$A$307,MATCH(SMALL($DI$18:$DO$18,3),$DI$18:$DO$18,0))</f>
        <v/>
      </c>
      <c r="CG18" s="2">
        <f>INDEX('Dados'!$A$301:$A$307,MATCH(SMALL($DI$18:$DO$18,4),$DI$18:$DO$18,0))</f>
        <v/>
      </c>
      <c r="CH18" s="2">
        <f>IF($BL$18=1,IFERROR(INDEX('Dados'!$J$92:$J$123,$BM$18),""),"")</f>
        <v/>
      </c>
      <c r="CI18" s="2">
        <f>IF($BL$18=1,IFERROR(INDEX('Dados'!$G$92:$G$123,$BM$18),""),"")</f>
        <v/>
      </c>
      <c r="CJ18" s="2">
        <f>IFERROR(INDEX('Dados'!$S$38:$S$52,MATCH($BS$18,'Dados'!$A$38:$A$52,0)),"")</f>
        <v/>
      </c>
      <c r="CK18" s="2">
        <f>IFERROR(INDEX('Dados'!$T$38:$T$52,MATCH($BS$18,'Dados'!$A$38:$A$52,0)),"")</f>
        <v/>
      </c>
      <c r="CL18" s="2">
        <f>IFERROR(INDEX('Dados'!$J$38:$J$52,MATCH($BQ$18&amp;"|Comum",'Dados'!$A$38:$A$52,0)),"")</f>
        <v/>
      </c>
      <c r="CM18" s="2">
        <f>IFERROR(INDEX('Dados'!$K$38:$K$52,MATCH($BQ$18&amp;"|Comum",'Dados'!$A$38:$A$52,0)),"")</f>
        <v/>
      </c>
      <c r="CN18" s="2">
        <f>MOD(MOD(MOD((MOD('Início'!$E$16+104729*$C$7+106147519,2147483646)+1)*16807,2147483647)*16807,2147483647)*16807,2147483647)</f>
        <v/>
      </c>
      <c r="CO18" s="2">
        <f>MOD(MOD(MOD((MOD(MOD(INT($CN$18/65536)*$CN$18,2147483647)*65536+MOD($CN$18,65536)*$CN$18,2147483647))*16807,2147483647)*16807,2147483647)*16807,2147483647)</f>
        <v/>
      </c>
      <c r="CP18" s="2">
        <f>MOD(MOD(MOD((MOD($CO$18+INT($CO$18/65536)*MOD($CO$18,65536),2147483646)+1)*16807,2147483647)*16807,2147483647)*16807,2147483647)</f>
        <v/>
      </c>
      <c r="CQ18" s="2">
        <f>MOD(MOD(MOD((MOD('Início'!$E$16+104729*$C$7+107447228,2147483646)+1)*16807,2147483647)*16807,2147483647)*16807,2147483647)</f>
        <v/>
      </c>
      <c r="CR18" s="2">
        <f>MOD(MOD(MOD((MOD(MOD(INT($CQ$18/65536)*$CQ$18,2147483647)*65536+MOD($CQ$18,65536)*$CQ$18,2147483647))*16807,2147483647)*16807,2147483647)*16807,2147483647)</f>
        <v/>
      </c>
      <c r="CS18" s="2">
        <f>MOD(MOD(MOD((MOD($CR$18+INT($CR$18/65536)*MOD($CR$18,65536),2147483646)+1)*16807,2147483647)*16807,2147483647)*16807,2147483647)</f>
        <v/>
      </c>
      <c r="CT18" s="2">
        <f>MOD(MOD(MOD((MOD('Início'!$E$16+104729*$C$7+108746937,2147483646)+1)*16807,2147483647)*16807,2147483647)*16807,2147483647)</f>
        <v/>
      </c>
      <c r="CU18" s="2">
        <f>MOD(MOD(MOD((MOD(MOD(INT($CT$18/65536)*$CT$18,2147483647)*65536+MOD($CT$18,65536)*$CT$18,2147483647))*16807,2147483647)*16807,2147483647)*16807,2147483647)</f>
        <v/>
      </c>
      <c r="CV18" s="2">
        <f>MOD(MOD(MOD((MOD($CU$18+INT($CU$18/65536)*MOD($CU$18,65536),2147483646)+1)*16807,2147483647)*16807,2147483647)*16807,2147483647)</f>
        <v/>
      </c>
      <c r="CW18" s="2">
        <f>MOD(MOD(MOD((MOD('Início'!$E$16+104729*$C$7+110046646,2147483646)+1)*16807,2147483647)*16807,2147483647)*16807,2147483647)</f>
        <v/>
      </c>
      <c r="CX18" s="2">
        <f>MOD(MOD(MOD((MOD(MOD(INT($CW$18/65536)*$CW$18,2147483647)*65536+MOD($CW$18,65536)*$CW$18,2147483647))*16807,2147483647)*16807,2147483647)*16807,2147483647)</f>
        <v/>
      </c>
      <c r="CY18" s="2">
        <f>MOD(MOD(MOD((MOD($CX$18+INT($CX$18/65536)*MOD($CX$18,65536),2147483646)+1)*16807,2147483647)*16807,2147483647)*16807,2147483647)</f>
        <v/>
      </c>
      <c r="CZ18" s="2">
        <f>MOD(MOD(MOD((MOD('Início'!$E$16+104729*$C$7+111346355,2147483646)+1)*16807,2147483647)*16807,2147483647)*16807,2147483647)</f>
        <v/>
      </c>
      <c r="DA18" s="2">
        <f>MOD(MOD(MOD((MOD(MOD(INT($CZ$18/65536)*$CZ$18,2147483647)*65536+MOD($CZ$18,65536)*$CZ$18,2147483647))*16807,2147483647)*16807,2147483647)*16807,2147483647)</f>
        <v/>
      </c>
      <c r="DB18" s="2">
        <f>MOD(MOD(MOD((MOD($DA$18+INT($DA$18/65536)*MOD($DA$18,65536),2147483646)+1)*16807,2147483647)*16807,2147483647)*16807,2147483647)</f>
        <v/>
      </c>
      <c r="DC18" s="2">
        <f>MOD(MOD(MOD((MOD('Início'!$E$16+104729*$C$7+112646064,2147483646)+1)*16807,2147483647)*16807,2147483647)*16807,2147483647)</f>
        <v/>
      </c>
      <c r="DD18" s="2">
        <f>MOD(MOD(MOD((MOD(MOD(INT($DC$18/65536)*$DC$18,2147483647)*65536+MOD($DC$18,65536)*$DC$18,2147483647))*16807,2147483647)*16807,2147483647)*16807,2147483647)</f>
        <v/>
      </c>
      <c r="DE18" s="2">
        <f>MOD(MOD(MOD((MOD($DD$18+INT($DD$18/65536)*MOD($DD$18,65536),2147483646)+1)*16807,2147483647)*16807,2147483647)*16807,2147483647)</f>
        <v/>
      </c>
      <c r="DF18" s="2">
        <f>MOD(MOD(MOD((MOD('Início'!$E$16+104729*$C$7+113945773,2147483646)+1)*16807,2147483647)*16807,2147483647)*16807,2147483647)</f>
        <v/>
      </c>
      <c r="DG18" s="2">
        <f>MOD(MOD(MOD((MOD(MOD(INT($DF$18/65536)*$DF$18,2147483647)*65536+MOD($DF$18,65536)*$DF$18,2147483647))*16807,2147483647)*16807,2147483647)*16807,2147483647)</f>
        <v/>
      </c>
      <c r="DH18" s="2">
        <f>MOD(MOD(MOD((MOD($DG$18+INT($DG$18/65536)*MOD($DG$18,65536),2147483646)+1)*16807,2147483647)*16807,2147483647)*16807,2147483647)</f>
        <v/>
      </c>
      <c r="DI18" s="2">
        <f>IF($CC$18="Físico",9000000000,IF(AND('Grupo'!$B$81="Sim",COUNTIF($BY$11:$CB$17,"Físico")=0),0,2147483647))+$CP$18+1/10</f>
        <v/>
      </c>
      <c r="DJ18" s="2">
        <f>IF($CC$18="Fogo",9000000000,IF(AND('Grupo'!$C$81="Sim",COUNTIF($BY$11:$CB$17,"Fogo")=0),0,2147483647))+$CS$18+2/10</f>
        <v/>
      </c>
      <c r="DK18" s="2">
        <f>IF($CC$18="Gelo",9000000000,IF(AND('Grupo'!$D$81="Sim",COUNTIF($BY$11:$CB$17,"Gelo")=0),0,2147483647))+$CV$18+3/10</f>
        <v/>
      </c>
      <c r="DL18" s="2">
        <f>IF($CC$18="Raio",9000000000,IF(AND('Grupo'!$E$81="Sim",COUNTIF($BY$11:$CB$17,"Raio")=0),0,2147483647))+$CY$18+4/10</f>
        <v/>
      </c>
      <c r="DM18" s="2">
        <f>IF($CC$18="Vento",9000000000,IF(AND('Grupo'!$F$81="Sim",COUNTIF($BY$11:$CB$17,"Vento")=0),0,2147483647))+$DB$18+5/10</f>
        <v/>
      </c>
      <c r="DN18" s="2">
        <f>IF($CC$18="Quântico",9000000000,IF(AND('Grupo'!$G$81="Sim",COUNTIF($BY$11:$CB$17,"Quântico")=0),0,2147483647))+$DE$18+6/10</f>
        <v/>
      </c>
      <c r="DO18" s="2">
        <f>IF($CC$18="Imaginário",9000000000,IF(AND('Grupo'!$H$81="Sim",COUNTIF($BY$11:$CB$17,"Imaginário")=0),0,2147483647))+$DH$18+7/10</f>
        <v/>
      </c>
      <c r="DQ18" s="2">
        <f>IF(ISERROR($A$18),"",IF(ISBLANK($A$18),"",$A$18))</f>
        <v/>
      </c>
      <c r="DR18" s="2">
        <f>IF(ISERROR($B$18),"",IF(ISBLANK($B$18),"",$B$18))</f>
        <v/>
      </c>
      <c r="DT18" s="2">
        <f>IF(ISERROR($D$18),"",IF(ISBLANK($D$18),"",$D$18))</f>
        <v/>
      </c>
      <c r="DW18" s="2">
        <f>IF(ISERROR($G$18),"",IF(ISBLANK($G$18),"",$G$18))</f>
        <v/>
      </c>
      <c r="DX18" s="2">
        <f>IF(ISERROR($H$18),"",IF(ISBLANK($H$18),"",$H$18))</f>
        <v/>
      </c>
      <c r="DY18" s="2">
        <f>IF(ISERROR($I$18),"",IF(ISBLANK($I$18),"",$I$18))</f>
        <v/>
      </c>
      <c r="DZ18" s="2">
        <f>IF(ISERROR($J$18),"",IF(ISBLANK($J$18),"",$J$18))</f>
        <v/>
      </c>
      <c r="EA18" s="2">
        <f>ISERROR($A$18)*1+ISERROR($B$18)*1+ISERROR($D$18)*1+ISERROR($G$18)*1+ISERROR($H$18)*1+ISERROR($I$18)*1+ISERROR($J$18)*1</f>
        <v/>
      </c>
    </row>
    <row r="19" ht="26" customHeight="1">
      <c r="A19" s="33" t="n"/>
      <c r="B19" s="4" t="n"/>
      <c r="C19" s="17" t="n"/>
      <c r="D19" s="4" t="n"/>
      <c r="E19" s="25" t="n"/>
      <c r="F19" s="17" t="n"/>
      <c r="G19" s="34" t="n"/>
      <c r="H19" s="16" t="n"/>
      <c r="I19" s="34" t="n"/>
      <c r="J19" s="16" t="n"/>
      <c r="K19" s="19">
        <f>IF(EA19&gt;0,"O Google leu como fórmula: escolha de novo ou digite com ' na frente.",IF(LEN($DQ$19)=0,IF(LEN($DR$19&amp;$DT$19&amp;$DY$19)&gt;0,"Linha sem nome: o inimigo não entra nas listas",""),IF(COUNTIF($DQ$11:$DQ$22,$DQ$19)&gt;1,"Nome repetido na tabela",IF(COUNTIF('Dados'!$B$92:$B$123,$DQ$19)&gt;0,"Nome igual a uma criatura do bestiário: dê outro nome",IF(AND($BK$19="Ajustar do bestiário",$BL$19=0),"Modo Ajustar sem base do bestiário válida",IF(AND(LEN($DZ$19)&gt;0,$BN$19&lt;&gt;"Boss"),"Fases só valem para Boss (28.5)",IF(AND(ISNUMBER($DX$19),OR($DX$19&lt;1,$DX$19&gt;20)),"Nível fora de 1 a 20: usando o limite",IF(AND(LEN($DY$19)&gt;0,COUNTIF('Dados'!$AO$6:$AO$8,$DY$19)=0),"Tipo fora da lista: usando Comum",""))))))))</f>
        <v/>
      </c>
      <c r="N19" s="2">
        <f>IF(LEN($DQ$19)=0,"",$DQ$19)</f>
        <v/>
      </c>
      <c r="O19" s="2">
        <f>IF(LEN($DQ$19)=0,"",$BN$19)</f>
        <v/>
      </c>
      <c r="P19" s="2">
        <f>IF(LEN($DQ$19)=0,"",$BQ$19)</f>
        <v/>
      </c>
      <c r="Q19" s="2">
        <f>IF(LEN($DQ$19)=0,"",$BU$19)</f>
        <v/>
      </c>
      <c r="R19" s="2">
        <f>IF(LEN($DQ$19)=0,"",IFERROR(INDEX('Dados'!$E$38:$E$52,MATCH($BS$19,'Dados'!$A$38:$A$52,0)),""))</f>
        <v/>
      </c>
      <c r="S19" s="2">
        <f>IF(LEN($DQ$19)=0,"",IFERROR(INDEX('Dados'!$F$38:$F$52,MATCH($BS$19,'Dados'!$A$38:$A$52,0)),""))</f>
        <v/>
      </c>
      <c r="T19" s="2">
        <f>IF(LEN($DQ$19)=0,"",IFERROR(INDEX('Dados'!$G$38:$G$52,MATCH($BS$19,'Dados'!$A$38:$A$52,0)),""))</f>
        <v/>
      </c>
      <c r="U19" s="2">
        <f>IF(LEN($DQ$19)=0,"",IFERROR(INDEX('Dados'!$H$38:$H$52,MATCH($BS$19,'Dados'!$A$38:$A$52,0)),""))</f>
        <v/>
      </c>
      <c r="V19" s="2">
        <f>IF(LEN($DQ$19)=0,"",IFERROR(INDEX('Dados'!$I$38:$I$52,MATCH($BS$19,'Dados'!$A$38:$A$52,0)),""))</f>
        <v/>
      </c>
      <c r="W19" s="2">
        <f>IF(LEN($DQ$19)=0,"",IFERROR(INDEX('Dados'!$J$38:$J$52,MATCH($BS$19,'Dados'!$A$38:$A$52,0)),""))</f>
        <v/>
      </c>
      <c r="X19" s="2">
        <f>IF(LEN($DQ$19)=0,"",IFERROR(INDEX('Dados'!$K$38:$K$52,MATCH($BS$19,'Dados'!$A$38:$A$52,0)),""))</f>
        <v/>
      </c>
      <c r="Y19" s="2">
        <f>IF(LEN($DQ$19)=0,"",IFERROR(INDEX('Dados'!$L$38:$L$52,MATCH($BS$19,'Dados'!$A$38:$A$52,0)),""))</f>
        <v/>
      </c>
      <c r="Z19" s="2">
        <f>IF(LEN($DQ$19)=0,"",IFERROR(INDEX('Dados'!$M$38:$M$52,MATCH($BS$19,'Dados'!$A$38:$A$52,0)),""))</f>
        <v/>
      </c>
      <c r="AA19" s="2">
        <f>IF(LEN($DQ$19)=0,"",$BY$19)</f>
        <v/>
      </c>
      <c r="AB19" s="2">
        <f>IF(LEN($DQ$19)=0,"",$BZ$19)</f>
        <v/>
      </c>
      <c r="AC19" s="2">
        <f>IF(LEN($DQ$19)=0,"",$CA$19)</f>
        <v/>
      </c>
      <c r="AD19" s="2">
        <f>IF(LEN($DQ$19)=0,"",$CB$19)</f>
        <v/>
      </c>
      <c r="AE19" s="2">
        <f>IF(LEN($DQ$19)=0,"",$CC$19)</f>
        <v/>
      </c>
      <c r="AF19" s="2">
        <f>IF(LEN($DQ$19)=0,"",IF($DV$34="Sim","Pode",IF($DV$34="Não","Não",IF($BL$19=1,IFERROR(INDEX('Dados'!$V$92:$V$123,$BM$19)&amp;"",""),"Não declarado"))))</f>
        <v/>
      </c>
      <c r="AG19" s="2">
        <f>IF(LEN($DQ$19)=0,"",$BV$19)</f>
        <v/>
      </c>
      <c r="AH19" s="2">
        <f>IF(LEN($DQ$19)=0,"",IFERROR(INDEX('Dados'!$Q$38:$Q$52,MATCH($BS$19,'Dados'!$A$38:$A$52,0)),""))</f>
        <v/>
      </c>
      <c r="AI19" s="2">
        <f>IF(LEN($DQ$19)=0,"",IF(AND($BL$19=1,$DT$19="Escória de Stellaron"),1.5,1)*$BU$19)</f>
        <v/>
      </c>
      <c r="AJ19" s="2">
        <f>IF(LEN($DQ$19)=0,"",IFERROR(INDEX('Dados'!$P$38:$P$52,MATCH($BS$19,'Dados'!$A$38:$A$52,0)),""))</f>
        <v/>
      </c>
      <c r="AK19" s="2">
        <f>IF(LEN($DQ$19)=0,"",IF($BV$19=2,INT($BU$19/2),IF($BV$19=3,INT(2*$BU$19/3),"")))</f>
        <v/>
      </c>
      <c r="AL19" s="2">
        <f>IF(LEN($DQ$19)=0,"",IF($BV$19=3,INT($BU$19/3),""))</f>
        <v/>
      </c>
      <c r="AM19" s="2">
        <f>IF(OR(LEN($DQ$19)=0,$BV$19&lt;2),"",IFERROR(INDEX($DT$88:$DT$112,MATCH($DQ$19&amp;"|2",$N$88:$N$112,0))&amp;"",IF($BL$19=1,IFERROR(INDEX('Dados'!$G$127:$G$138,MATCH($DT$19&amp;"|2",'Dados'!$A$127:$A$138,0)),""),"")))</f>
        <v/>
      </c>
      <c r="AN19" s="2">
        <f>IF(OR(LEN($DQ$19)=0,$BV$19&lt;2),"",IFERROR(INDEX($DU$88:$DU$112,MATCH($DQ$19&amp;"|2",$N$88:$N$112,0))&amp;"",IF($BL$19=1,IFERROR(INDEX('Dados'!$H$127:$H$138,MATCH($DT$19&amp;"|2",'Dados'!$A$127:$A$138,0)),""),"")))</f>
        <v/>
      </c>
      <c r="AO19" s="2">
        <f>IF(OR(LEN($DQ$19)=0,$BV$19&lt;2),"",IFERROR(INDEX($DV$88:$DV$112,MATCH($DQ$19&amp;"|2",$N$88:$N$112,0))&amp;"",IF($BL$19=1,IFERROR(INDEX('Dados'!$I$127:$I$138,MATCH($DT$19&amp;"|2",'Dados'!$A$127:$A$138,0)),""),"")))</f>
        <v/>
      </c>
      <c r="AP19" s="2">
        <f>IF(OR(LEN($DQ$19)=0,$BV$19&lt;2),"",IFERROR(INDEX($DW$88:$DW$112,MATCH($DQ$19&amp;"|2",$N$88:$N$112,0))&amp;"",IF($BL$19=1,IFERROR(INDEX('Dados'!$J$127:$J$138,MATCH($DT$19&amp;"|2",'Dados'!$A$127:$A$138,0)),""),"")))</f>
        <v/>
      </c>
      <c r="AQ19" s="2">
        <f>IF(OR(LEN($DQ$19)=0,$BV$19&lt;2),"",IF(ISNUMBER(MATCH($DQ$19&amp;"|2",$N$88:$N$112,0)),IF(ISNUMBER(INDEX($DX$88:$DX$112,MATCH($DQ$19&amp;"|2",$N$88:$N$112,0))),MIN(IFERROR(INDEX('Dados'!$G$38:$G$52,MATCH($BS$19,'Dados'!$A$38:$A$52,0)),""),INDEX($DX$88:$DX$112,MATCH($DQ$19&amp;"|2",$N$88:$N$112,0))),IFERROR(INDEX('Dados'!$G$38:$G$52,MATCH($BS$19,'Dados'!$A$38:$A$52,0)),"")),IF($BL$19=1,IFERROR(MIN(IFERROR(INDEX('Dados'!$G$38:$G$52,MATCH($BS$19,'Dados'!$A$38:$A$52,0)),""),INT(INDEX('Dados'!$K$127:$K$138,MATCH($DT$19&amp;"|2",'Dados'!$A$127:$A$138,0))*IFERROR(INDEX('Dados'!$G$38:$G$52,MATCH($BS$19,'Dados'!$A$38:$A$52,0)),"")/$CH$19)),IFERROR(INDEX('Dados'!$G$38:$G$52,MATCH($BS$19,'Dados'!$A$38:$A$52,0)),"")),IFERROR(INDEX('Dados'!$G$38:$G$52,MATCH($BS$19,'Dados'!$A$38:$A$52,0)),""))))</f>
        <v/>
      </c>
      <c r="AR19" s="2">
        <f>IF(OR(LEN($DQ$19)=0,$BV$19&lt;3),"",IFERROR(INDEX($DT$88:$DT$112,MATCH($DQ$19&amp;"|3",$N$88:$N$112,0))&amp;"",IF($BL$19=1,IFERROR(INDEX('Dados'!$G$127:$G$138,MATCH($DT$19&amp;"|3",'Dados'!$A$127:$A$138,0)),""),"")))</f>
        <v/>
      </c>
      <c r="AS19" s="2">
        <f>IF(OR(LEN($DQ$19)=0,$BV$19&lt;3),"",IFERROR(INDEX($DU$88:$DU$112,MATCH($DQ$19&amp;"|3",$N$88:$N$112,0))&amp;"",IF($BL$19=1,IFERROR(INDEX('Dados'!$H$127:$H$138,MATCH($DT$19&amp;"|3",'Dados'!$A$127:$A$138,0)),""),"")))</f>
        <v/>
      </c>
      <c r="AT19" s="2">
        <f>IF(OR(LEN($DQ$19)=0,$BV$19&lt;3),"",IFERROR(INDEX($DV$88:$DV$112,MATCH($DQ$19&amp;"|3",$N$88:$N$112,0))&amp;"",IF($BL$19=1,IFERROR(INDEX('Dados'!$I$127:$I$138,MATCH($DT$19&amp;"|3",'Dados'!$A$127:$A$138,0)),""),"")))</f>
        <v/>
      </c>
      <c r="AU19" s="2">
        <f>IF(OR(LEN($DQ$19)=0,$BV$19&lt;3),"",IFERROR(INDEX($DW$88:$DW$112,MATCH($DQ$19&amp;"|3",$N$88:$N$112,0))&amp;"",IF($BL$19=1,IFERROR(INDEX('Dados'!$J$127:$J$138,MATCH($DT$19&amp;"|3",'Dados'!$A$127:$A$138,0)),""),"")))</f>
        <v/>
      </c>
      <c r="AV19" s="2">
        <f>IF(OR(LEN($DQ$19)=0,$BV$19&lt;3),"",IF(ISNUMBER(MATCH($DQ$19&amp;"|3",$N$88:$N$112,0)),IF(ISNUMBER(INDEX($DX$88:$DX$112,MATCH($DQ$19&amp;"|3",$N$88:$N$112,0))),MIN(IFERROR(INDEX('Dados'!$G$38:$G$52,MATCH($BS$19,'Dados'!$A$38:$A$52,0)),""),INDEX($DX$88:$DX$112,MATCH($DQ$19&amp;"|3",$N$88:$N$112,0))),IFERROR(INDEX('Dados'!$G$38:$G$52,MATCH($BS$19,'Dados'!$A$38:$A$52,0)),"")),IF($BL$19=1,IFERROR(MIN(IFERROR(INDEX('Dados'!$G$38:$G$52,MATCH($BS$19,'Dados'!$A$38:$A$52,0)),""),INT(INDEX('Dados'!$K$127:$K$138,MATCH($DT$19&amp;"|3",'Dados'!$A$127:$A$138,0))*IFERROR(INDEX('Dados'!$G$38:$G$52,MATCH($BS$19,'Dados'!$A$38:$A$52,0)),"")/$CH$19)),IFERROR(INDEX('Dados'!$G$38:$G$52,MATCH($BS$19,'Dados'!$A$38:$A$52,0)),"")),IFERROR(INDEX('Dados'!$G$38:$G$52,MATCH($BS$19,'Dados'!$A$38:$A$52,0)),""))))</f>
        <v/>
      </c>
      <c r="AW19" s="2">
        <f>IF(LEN($DQ$19)=0,"",IF($BL$19=1,IFERROR(INDEX('Dados'!$AF$92:$AF$123,$BM$19)&amp;"",""),IFERROR(INDEX($DU$116:$DU$153,MATCH($DQ$19&amp;"|1",$Q$116:$Q$153,0))&amp;"","")))</f>
        <v/>
      </c>
      <c r="AX19" s="2">
        <f>IF(LEN($DQ$19)=0,"",IF($BL$19=1,IF(ISNUMBER(IFERROR(INDEX('Dados'!$AG$92:$AG$123,$BM$19),"")),IF(IFERROR(INDEX('Dados'!$AG$92:$AG$123,$BM$19),"")&gt;0,IFERROR(INDEX('Dados'!$AG$92:$AG$123,$BM$19),""),""),""),IFERROR(INDEX($DY$116:$DY$153,MATCH($DQ$19&amp;"|1",$Q$116:$Q$153,0))+0,"")))</f>
        <v/>
      </c>
      <c r="AY19" s="2">
        <f>IF(LEN($DQ$19)=0,"",IF($BL$19=1,IFERROR(INDEX('Dados'!$AH$92:$AH$123,$BM$19)&amp;"",""),IFERROR(INDEX($DU$116:$DU$153,MATCH($DQ$19&amp;"|2",$Q$116:$Q$153,0))&amp;"","")))</f>
        <v/>
      </c>
      <c r="AZ19" s="2">
        <f>IF(LEN($DQ$19)=0,"",IF($BL$19=1,IF(ISNUMBER(IFERROR(INDEX('Dados'!$AI$92:$AI$123,$BM$19),"")),IF(IFERROR(INDEX('Dados'!$AI$92:$AI$123,$BM$19),"")&gt;0,IFERROR(INDEX('Dados'!$AI$92:$AI$123,$BM$19),""),""),""),IFERROR(INDEX($DY$116:$DY$153,MATCH($DQ$19&amp;"|2",$Q$116:$Q$153,0))+0,"")))</f>
        <v/>
      </c>
      <c r="BA19" s="2">
        <f>IF(LEN($DQ$19)=0,"",IF($BL$19=1,IFERROR(INDEX('Dados'!$AJ$92:$AJ$123,$BM$19)&amp;"",""),IFERROR(INDEX($DU$116:$DU$153,MATCH($DQ$19&amp;"|3",$Q$116:$Q$153,0))&amp;"","")))</f>
        <v/>
      </c>
      <c r="BB19" s="2">
        <f>IF(LEN($DQ$19)=0,"",IF($BL$19=1,IF(ISNUMBER(IFERROR(INDEX('Dados'!$AK$92:$AK$123,$BM$19),"")),IF(IFERROR(INDEX('Dados'!$AK$92:$AK$123,$BM$19),"")&gt;0,IFERROR(INDEX('Dados'!$AK$92:$AK$123,$BM$19),""),""),""),IFERROR(INDEX($DY$116:$DY$153,MATCH($DQ$19&amp;"|3",$Q$116:$Q$153,0))+0,"")))</f>
        <v/>
      </c>
      <c r="BC19" s="2">
        <f>IF(LEN($DQ$19)=0,"",IF(LEN($DR$34)&gt;0,$DR$34,IF($BL$19=1,IFERROR(INDEX('Dados'!$E$92:$E$123,$BM$19)&amp;"",""),"")))</f>
        <v/>
      </c>
      <c r="BD19" s="2">
        <f>IF(AND(LEN($DR$34)=0,$BL$19=1),IFERROR(INDEX('Dados'!$AD$92:$AD$123,$BM$19)&amp;"",""),"")</f>
        <v/>
      </c>
      <c r="BE19" s="2">
        <f>IF(LEN($DQ$19)=0,"",INDEX('Dados'!$F$7:$F$11,$BR$19))</f>
        <v/>
      </c>
      <c r="BF19" s="2">
        <f>IF(LEN($DQ$19)=0,"",$BR$19)</f>
        <v/>
      </c>
      <c r="BG19" s="2">
        <f>$G$50</f>
        <v/>
      </c>
      <c r="BH19" s="2">
        <f>"Campanha"</f>
        <v/>
      </c>
      <c r="BK19" s="2">
        <f>IF(COUNTIF('Dados'!$AQ$6:$AQ$8,$DR$19)&gt;0,$DR$19,"Faixa do livro")</f>
        <v/>
      </c>
      <c r="BL19" s="2">
        <f>IF(AND($BK$19="Ajustar do bestiário",ISNUMBER($BM$19)),1,0)</f>
        <v/>
      </c>
      <c r="BM19" s="2">
        <f>IFERROR(MATCH($DT$19,'Dados'!$B$92:$B$123,0),"")</f>
        <v/>
      </c>
      <c r="BN19" s="2">
        <f>IF(COUNTIF('Dados'!$AO$6:$AO$8,$DY$19)&gt;0,$DY$19,IF($BL$19=1,IFERROR(INDEX('Dados'!$C$92:$C$123,$BM$19),""),"Comum"))</f>
        <v/>
      </c>
      <c r="BO19" s="2">
        <f>MATCH($BN$19,'Dados'!$AO$6:$AO$8,0)</f>
        <v/>
      </c>
      <c r="BP19" s="2">
        <f>IF(ISNUMBER($DX$19),MIN(20,MAX(1,INT($DX$19))),'Campanha'!$B$17)</f>
        <v/>
      </c>
      <c r="BQ19" s="2">
        <f>IF($BK$19="Por nível — Sugestão",INDEX('Dados'!$B$7:$B$11,INT(($BP$19-1)/4)+1),IF(LEN(IFERROR(INDEX('Dados'!$B$7:$B$11,MATCH($DW$19,'Dados'!$AP$6:$AP$10,0)),""))&gt;0,IFERROR(INDEX('Dados'!$B$7:$B$11,MATCH($DW$19,'Dados'!$AP$6:$AP$10,0)),""),'Campanha'!$B$19))</f>
        <v/>
      </c>
      <c r="BR19" s="2">
        <f>MATCH($BQ$19,'Dados'!$B$7:$B$11,0)</f>
        <v/>
      </c>
      <c r="BS19" s="2">
        <f>$BQ$19&amp;"|"&amp;$BN$19</f>
        <v/>
      </c>
      <c r="BT19" s="2">
        <f>MIN(4,MAX(1,INT(($BP$19-3)/4)+1))</f>
        <v/>
      </c>
      <c r="BU19" s="2">
        <f>IF($BK$19="Por nível — Sugestão",INT(IF($BP$19&lt;=3,INDEX('Dados'!$D$38:$D$52,$BO$19),IF($BP$19&gt;=19,INDEX('Dados'!$D$38:$D$52,12+$BO$19),INDEX('Dados'!$D$38:$D$52,($BT$19-1)*3+$BO$19)+(INDEX('Dados'!$D$38:$D$52,$BT$19*3+$BO$19)-INDEX('Dados'!$D$38:$D$52,($BT$19-1)*3+$BO$19))*($BP$19-(4*$BT$19-1))/4))),IFERROR(INDEX('Dados'!$D$38:$D$52,MATCH($BS$19,'Dados'!$A$38:$A$52,0)),""))</f>
        <v/>
      </c>
      <c r="BV19" s="2">
        <f>IF($BN$19&lt;&gt;"Boss",1,IF(AND(ISNUMBER($DZ$19),$DZ$19&gt;=1,$DZ$19&lt;=3),INT($DZ$19),IF($BL$19=1,MAX(1,IFERROR(INDEX('Dados'!$F$92:$F$123,$BM$19),"")),1)))</f>
        <v/>
      </c>
      <c r="BW19" s="2">
        <f>IFERROR(INDEX('Dados'!$O$38:$O$52,MATCH($BS$19,'Dados'!$A$38:$A$52,0)),"")</f>
        <v/>
      </c>
      <c r="BX19" s="2">
        <f>IF(AND(LEN($DR$50)=0,LEN($DS$50)=0,LEN($DT$50)=0,LEN($DU$50)=0),1,0)</f>
        <v/>
      </c>
      <c r="BY19" s="2">
        <f>IF(LEN($DQ$19)=0,"",IF($BX$19=0,$DR$50&amp;"",IF($BL$19=1,IFERROR(INDEX('Dados'!$Q$92:$Q$123,$BM$19)&amp;"",""),IF(1&lt;=$BW$19,$CD$19,""))))</f>
        <v/>
      </c>
      <c r="BZ19" s="2">
        <f>IF(LEN($DQ$19)=0,"",IF($BX$19=0,$DS$50&amp;"",IF($BL$19=1,IFERROR(INDEX('Dados'!$R$92:$R$123,$BM$19)&amp;"",""),IF(2&lt;=$BW$19,$CE$19,""))))</f>
        <v/>
      </c>
      <c r="CA19" s="2">
        <f>IF(LEN($DQ$19)=0,"",IF($BX$19=0,$DT$50&amp;"",IF($BL$19=1,IFERROR(INDEX('Dados'!$S$92:$S$123,$BM$19)&amp;"",""),IF(3&lt;=$BW$19,$CF$19,""))))</f>
        <v/>
      </c>
      <c r="CB19" s="2">
        <f>IF(LEN($DQ$19)=0,"",IF($BX$19=0,$DU$50&amp;"",IF($BL$19=1,IFERROR(INDEX('Dados'!$T$92:$T$123,$BM$19)&amp;"",""),IF(4&lt;=$BW$19,$CG$19,""))))</f>
        <v/>
      </c>
      <c r="CC19" s="2">
        <f>IF(LEN($DV$50)&gt;0,$DV$50,IF($BL$19=1,IFERROR(INDEX('Dados'!$U$92:$U$123,$BM$19)&amp;"",""),""))</f>
        <v/>
      </c>
      <c r="CD19" s="2">
        <f>INDEX('Dados'!$A$301:$A$307,MATCH(SMALL($DI$19:$DO$19,1),$DI$19:$DO$19,0))</f>
        <v/>
      </c>
      <c r="CE19" s="2">
        <f>INDEX('Dados'!$A$301:$A$307,MATCH(SMALL($DI$19:$DO$19,2),$DI$19:$DO$19,0))</f>
        <v/>
      </c>
      <c r="CF19" s="2">
        <f>INDEX('Dados'!$A$301:$A$307,MATCH(SMALL($DI$19:$DO$19,3),$DI$19:$DO$19,0))</f>
        <v/>
      </c>
      <c r="CG19" s="2">
        <f>INDEX('Dados'!$A$301:$A$307,MATCH(SMALL($DI$19:$DO$19,4),$DI$19:$DO$19,0))</f>
        <v/>
      </c>
      <c r="CH19" s="2">
        <f>IF($BL$19=1,IFERROR(INDEX('Dados'!$J$92:$J$123,$BM$19),""),"")</f>
        <v/>
      </c>
      <c r="CI19" s="2">
        <f>IF($BL$19=1,IFERROR(INDEX('Dados'!$G$92:$G$123,$BM$19),""),"")</f>
        <v/>
      </c>
      <c r="CJ19" s="2">
        <f>IFERROR(INDEX('Dados'!$S$38:$S$52,MATCH($BS$19,'Dados'!$A$38:$A$52,0)),"")</f>
        <v/>
      </c>
      <c r="CK19" s="2">
        <f>IFERROR(INDEX('Dados'!$T$38:$T$52,MATCH($BS$19,'Dados'!$A$38:$A$52,0)),"")</f>
        <v/>
      </c>
      <c r="CL19" s="2">
        <f>IFERROR(INDEX('Dados'!$J$38:$J$52,MATCH($BQ$19&amp;"|Comum",'Dados'!$A$38:$A$52,0)),"")</f>
        <v/>
      </c>
      <c r="CM19" s="2">
        <f>IFERROR(INDEX('Dados'!$K$38:$K$52,MATCH($BQ$19&amp;"|Comum",'Dados'!$A$38:$A$52,0)),"")</f>
        <v/>
      </c>
      <c r="CN19" s="2">
        <f>MOD(MOD(MOD((MOD('Início'!$E$16+104729*$C$7+119144609,2147483646)+1)*16807,2147483647)*16807,2147483647)*16807,2147483647)</f>
        <v/>
      </c>
      <c r="CO19" s="2">
        <f>MOD(MOD(MOD((MOD(MOD(INT($CN$19/65536)*$CN$19,2147483647)*65536+MOD($CN$19,65536)*$CN$19,2147483647))*16807,2147483647)*16807,2147483647)*16807,2147483647)</f>
        <v/>
      </c>
      <c r="CP19" s="2">
        <f>MOD(MOD(MOD((MOD($CO$19+INT($CO$19/65536)*MOD($CO$19,65536),2147483646)+1)*16807,2147483647)*16807,2147483647)*16807,2147483647)</f>
        <v/>
      </c>
      <c r="CQ19" s="2">
        <f>MOD(MOD(MOD((MOD('Início'!$E$16+104729*$C$7+120444318,2147483646)+1)*16807,2147483647)*16807,2147483647)*16807,2147483647)</f>
        <v/>
      </c>
      <c r="CR19" s="2">
        <f>MOD(MOD(MOD((MOD(MOD(INT($CQ$19/65536)*$CQ$19,2147483647)*65536+MOD($CQ$19,65536)*$CQ$19,2147483647))*16807,2147483647)*16807,2147483647)*16807,2147483647)</f>
        <v/>
      </c>
      <c r="CS19" s="2">
        <f>MOD(MOD(MOD((MOD($CR$19+INT($CR$19/65536)*MOD($CR$19,65536),2147483646)+1)*16807,2147483647)*16807,2147483647)*16807,2147483647)</f>
        <v/>
      </c>
      <c r="CT19" s="2">
        <f>MOD(MOD(MOD((MOD('Início'!$E$16+104729*$C$7+121744027,2147483646)+1)*16807,2147483647)*16807,2147483647)*16807,2147483647)</f>
        <v/>
      </c>
      <c r="CU19" s="2">
        <f>MOD(MOD(MOD((MOD(MOD(INT($CT$19/65536)*$CT$19,2147483647)*65536+MOD($CT$19,65536)*$CT$19,2147483647))*16807,2147483647)*16807,2147483647)*16807,2147483647)</f>
        <v/>
      </c>
      <c r="CV19" s="2">
        <f>MOD(MOD(MOD((MOD($CU$19+INT($CU$19/65536)*MOD($CU$19,65536),2147483646)+1)*16807,2147483647)*16807,2147483647)*16807,2147483647)</f>
        <v/>
      </c>
      <c r="CW19" s="2">
        <f>MOD(MOD(MOD((MOD('Início'!$E$16+104729*$C$7+123043736,2147483646)+1)*16807,2147483647)*16807,2147483647)*16807,2147483647)</f>
        <v/>
      </c>
      <c r="CX19" s="2">
        <f>MOD(MOD(MOD((MOD(MOD(INT($CW$19/65536)*$CW$19,2147483647)*65536+MOD($CW$19,65536)*$CW$19,2147483647))*16807,2147483647)*16807,2147483647)*16807,2147483647)</f>
        <v/>
      </c>
      <c r="CY19" s="2">
        <f>MOD(MOD(MOD((MOD($CX$19+INT($CX$19/65536)*MOD($CX$19,65536),2147483646)+1)*16807,2147483647)*16807,2147483647)*16807,2147483647)</f>
        <v/>
      </c>
      <c r="CZ19" s="2">
        <f>MOD(MOD(MOD((MOD('Início'!$E$16+104729*$C$7+124343445,2147483646)+1)*16807,2147483647)*16807,2147483647)*16807,2147483647)</f>
        <v/>
      </c>
      <c r="DA19" s="2">
        <f>MOD(MOD(MOD((MOD(MOD(INT($CZ$19/65536)*$CZ$19,2147483647)*65536+MOD($CZ$19,65536)*$CZ$19,2147483647))*16807,2147483647)*16807,2147483647)*16807,2147483647)</f>
        <v/>
      </c>
      <c r="DB19" s="2">
        <f>MOD(MOD(MOD((MOD($DA$19+INT($DA$19/65536)*MOD($DA$19,65536),2147483646)+1)*16807,2147483647)*16807,2147483647)*16807,2147483647)</f>
        <v/>
      </c>
      <c r="DC19" s="2">
        <f>MOD(MOD(MOD((MOD('Início'!$E$16+104729*$C$7+125643154,2147483646)+1)*16807,2147483647)*16807,2147483647)*16807,2147483647)</f>
        <v/>
      </c>
      <c r="DD19" s="2">
        <f>MOD(MOD(MOD((MOD(MOD(INT($DC$19/65536)*$DC$19,2147483647)*65536+MOD($DC$19,65536)*$DC$19,2147483647))*16807,2147483647)*16807,2147483647)*16807,2147483647)</f>
        <v/>
      </c>
      <c r="DE19" s="2">
        <f>MOD(MOD(MOD((MOD($DD$19+INT($DD$19/65536)*MOD($DD$19,65536),2147483646)+1)*16807,2147483647)*16807,2147483647)*16807,2147483647)</f>
        <v/>
      </c>
      <c r="DF19" s="2">
        <f>MOD(MOD(MOD((MOD('Início'!$E$16+104729*$C$7+126942863,2147483646)+1)*16807,2147483647)*16807,2147483647)*16807,2147483647)</f>
        <v/>
      </c>
      <c r="DG19" s="2">
        <f>MOD(MOD(MOD((MOD(MOD(INT($DF$19/65536)*$DF$19,2147483647)*65536+MOD($DF$19,65536)*$DF$19,2147483647))*16807,2147483647)*16807,2147483647)*16807,2147483647)</f>
        <v/>
      </c>
      <c r="DH19" s="2">
        <f>MOD(MOD(MOD((MOD($DG$19+INT($DG$19/65536)*MOD($DG$19,65536),2147483646)+1)*16807,2147483647)*16807,2147483647)*16807,2147483647)</f>
        <v/>
      </c>
      <c r="DI19" s="2">
        <f>IF($CC$19="Físico",9000000000,IF(AND('Grupo'!$B$81="Sim",COUNTIF($BY$11:$CB$18,"Físico")=0),0,2147483647))+$CP$19+1/10</f>
        <v/>
      </c>
      <c r="DJ19" s="2">
        <f>IF($CC$19="Fogo",9000000000,IF(AND('Grupo'!$C$81="Sim",COUNTIF($BY$11:$CB$18,"Fogo")=0),0,2147483647))+$CS$19+2/10</f>
        <v/>
      </c>
      <c r="DK19" s="2">
        <f>IF($CC$19="Gelo",9000000000,IF(AND('Grupo'!$D$81="Sim",COUNTIF($BY$11:$CB$18,"Gelo")=0),0,2147483647))+$CV$19+3/10</f>
        <v/>
      </c>
      <c r="DL19" s="2">
        <f>IF($CC$19="Raio",9000000000,IF(AND('Grupo'!$E$81="Sim",COUNTIF($BY$11:$CB$18,"Raio")=0),0,2147483647))+$CY$19+4/10</f>
        <v/>
      </c>
      <c r="DM19" s="2">
        <f>IF($CC$19="Vento",9000000000,IF(AND('Grupo'!$F$81="Sim",COUNTIF($BY$11:$CB$18,"Vento")=0),0,2147483647))+$DB$19+5/10</f>
        <v/>
      </c>
      <c r="DN19" s="2">
        <f>IF($CC$19="Quântico",9000000000,IF(AND('Grupo'!$G$81="Sim",COUNTIF($BY$11:$CB$18,"Quântico")=0),0,2147483647))+$DE$19+6/10</f>
        <v/>
      </c>
      <c r="DO19" s="2">
        <f>IF($CC$19="Imaginário",9000000000,IF(AND('Grupo'!$H$81="Sim",COUNTIF($BY$11:$CB$18,"Imaginário")=0),0,2147483647))+$DH$19+7/10</f>
        <v/>
      </c>
      <c r="DQ19" s="2">
        <f>IF(ISERROR($A$19),"",IF(ISBLANK($A$19),"",$A$19))</f>
        <v/>
      </c>
      <c r="DR19" s="2">
        <f>IF(ISERROR($B$19),"",IF(ISBLANK($B$19),"",$B$19))</f>
        <v/>
      </c>
      <c r="DT19" s="2">
        <f>IF(ISERROR($D$19),"",IF(ISBLANK($D$19),"",$D$19))</f>
        <v/>
      </c>
      <c r="DW19" s="2">
        <f>IF(ISERROR($G$19),"",IF(ISBLANK($G$19),"",$G$19))</f>
        <v/>
      </c>
      <c r="DX19" s="2">
        <f>IF(ISERROR($H$19),"",IF(ISBLANK($H$19),"",$H$19))</f>
        <v/>
      </c>
      <c r="DY19" s="2">
        <f>IF(ISERROR($I$19),"",IF(ISBLANK($I$19),"",$I$19))</f>
        <v/>
      </c>
      <c r="DZ19" s="2">
        <f>IF(ISERROR($J$19),"",IF(ISBLANK($J$19),"",$J$19))</f>
        <v/>
      </c>
      <c r="EA19" s="2">
        <f>ISERROR($A$19)*1+ISERROR($B$19)*1+ISERROR($D$19)*1+ISERROR($G$19)*1+ISERROR($H$19)*1+ISERROR($I$19)*1+ISERROR($J$19)*1</f>
        <v/>
      </c>
    </row>
    <row r="20" ht="26" customHeight="1">
      <c r="A20" s="35" t="n"/>
      <c r="B20" s="29" t="n"/>
      <c r="C20" s="17" t="n"/>
      <c r="D20" s="29" t="n"/>
      <c r="E20" s="25" t="n"/>
      <c r="F20" s="17" t="n"/>
      <c r="G20" s="36" t="n"/>
      <c r="H20" s="37" t="n"/>
      <c r="I20" s="36" t="n"/>
      <c r="J20" s="37" t="n"/>
      <c r="K20" s="27">
        <f>IF(EA20&gt;0,"O Google leu como fórmula: escolha de novo ou digite com ' na frente.",IF(LEN($DQ$20)=0,IF(LEN($DR$20&amp;$DT$20&amp;$DY$20)&gt;0,"Linha sem nome: o inimigo não entra nas listas",""),IF(COUNTIF($DQ$11:$DQ$22,$DQ$20)&gt;1,"Nome repetido na tabela",IF(COUNTIF('Dados'!$B$92:$B$123,$DQ$20)&gt;0,"Nome igual a uma criatura do bestiário: dê outro nome",IF(AND($BK$20="Ajustar do bestiário",$BL$20=0),"Modo Ajustar sem base do bestiário válida",IF(AND(LEN($DZ$20)&gt;0,$BN$20&lt;&gt;"Boss"),"Fases só valem para Boss (28.5)",IF(AND(ISNUMBER($DX$20),OR($DX$20&lt;1,$DX$20&gt;20)),"Nível fora de 1 a 20: usando o limite",IF(AND(LEN($DY$20)&gt;0,COUNTIF('Dados'!$AO$6:$AO$8,$DY$20)=0),"Tipo fora da lista: usando Comum",""))))))))</f>
        <v/>
      </c>
      <c r="N20" s="2">
        <f>IF(LEN($DQ$20)=0,"",$DQ$20)</f>
        <v/>
      </c>
      <c r="O20" s="2">
        <f>IF(LEN($DQ$20)=0,"",$BN$20)</f>
        <v/>
      </c>
      <c r="P20" s="2">
        <f>IF(LEN($DQ$20)=0,"",$BQ$20)</f>
        <v/>
      </c>
      <c r="Q20" s="2">
        <f>IF(LEN($DQ$20)=0,"",$BU$20)</f>
        <v/>
      </c>
      <c r="R20" s="2">
        <f>IF(LEN($DQ$20)=0,"",IFERROR(INDEX('Dados'!$E$38:$E$52,MATCH($BS$20,'Dados'!$A$38:$A$52,0)),""))</f>
        <v/>
      </c>
      <c r="S20" s="2">
        <f>IF(LEN($DQ$20)=0,"",IFERROR(INDEX('Dados'!$F$38:$F$52,MATCH($BS$20,'Dados'!$A$38:$A$52,0)),""))</f>
        <v/>
      </c>
      <c r="T20" s="2">
        <f>IF(LEN($DQ$20)=0,"",IFERROR(INDEX('Dados'!$G$38:$G$52,MATCH($BS$20,'Dados'!$A$38:$A$52,0)),""))</f>
        <v/>
      </c>
      <c r="U20" s="2">
        <f>IF(LEN($DQ$20)=0,"",IFERROR(INDEX('Dados'!$H$38:$H$52,MATCH($BS$20,'Dados'!$A$38:$A$52,0)),""))</f>
        <v/>
      </c>
      <c r="V20" s="2">
        <f>IF(LEN($DQ$20)=0,"",IFERROR(INDEX('Dados'!$I$38:$I$52,MATCH($BS$20,'Dados'!$A$38:$A$52,0)),""))</f>
        <v/>
      </c>
      <c r="W20" s="2">
        <f>IF(LEN($DQ$20)=0,"",IFERROR(INDEX('Dados'!$J$38:$J$52,MATCH($BS$20,'Dados'!$A$38:$A$52,0)),""))</f>
        <v/>
      </c>
      <c r="X20" s="2">
        <f>IF(LEN($DQ$20)=0,"",IFERROR(INDEX('Dados'!$K$38:$K$52,MATCH($BS$20,'Dados'!$A$38:$A$52,0)),""))</f>
        <v/>
      </c>
      <c r="Y20" s="2">
        <f>IF(LEN($DQ$20)=0,"",IFERROR(INDEX('Dados'!$L$38:$L$52,MATCH($BS$20,'Dados'!$A$38:$A$52,0)),""))</f>
        <v/>
      </c>
      <c r="Z20" s="2">
        <f>IF(LEN($DQ$20)=0,"",IFERROR(INDEX('Dados'!$M$38:$M$52,MATCH($BS$20,'Dados'!$A$38:$A$52,0)),""))</f>
        <v/>
      </c>
      <c r="AA20" s="2">
        <f>IF(LEN($DQ$20)=0,"",$BY$20)</f>
        <v/>
      </c>
      <c r="AB20" s="2">
        <f>IF(LEN($DQ$20)=0,"",$BZ$20)</f>
        <v/>
      </c>
      <c r="AC20" s="2">
        <f>IF(LEN($DQ$20)=0,"",$CA$20)</f>
        <v/>
      </c>
      <c r="AD20" s="2">
        <f>IF(LEN($DQ$20)=0,"",$CB$20)</f>
        <v/>
      </c>
      <c r="AE20" s="2">
        <f>IF(LEN($DQ$20)=0,"",$CC$20)</f>
        <v/>
      </c>
      <c r="AF20" s="2">
        <f>IF(LEN($DQ$20)=0,"",IF($DV$35="Sim","Pode",IF($DV$35="Não","Não",IF($BL$20=1,IFERROR(INDEX('Dados'!$V$92:$V$123,$BM$20)&amp;"",""),"Não declarado"))))</f>
        <v/>
      </c>
      <c r="AG20" s="2">
        <f>IF(LEN($DQ$20)=0,"",$BV$20)</f>
        <v/>
      </c>
      <c r="AH20" s="2">
        <f>IF(LEN($DQ$20)=0,"",IFERROR(INDEX('Dados'!$Q$38:$Q$52,MATCH($BS$20,'Dados'!$A$38:$A$52,0)),""))</f>
        <v/>
      </c>
      <c r="AI20" s="2">
        <f>IF(LEN($DQ$20)=0,"",IF(AND($BL$20=1,$DT$20="Escória de Stellaron"),1.5,1)*$BU$20)</f>
        <v/>
      </c>
      <c r="AJ20" s="2">
        <f>IF(LEN($DQ$20)=0,"",IFERROR(INDEX('Dados'!$P$38:$P$52,MATCH($BS$20,'Dados'!$A$38:$A$52,0)),""))</f>
        <v/>
      </c>
      <c r="AK20" s="2">
        <f>IF(LEN($DQ$20)=0,"",IF($BV$20=2,INT($BU$20/2),IF($BV$20=3,INT(2*$BU$20/3),"")))</f>
        <v/>
      </c>
      <c r="AL20" s="2">
        <f>IF(LEN($DQ$20)=0,"",IF($BV$20=3,INT($BU$20/3),""))</f>
        <v/>
      </c>
      <c r="AM20" s="2">
        <f>IF(OR(LEN($DQ$20)=0,$BV$20&lt;2),"",IFERROR(INDEX($DT$88:$DT$112,MATCH($DQ$20&amp;"|2",$N$88:$N$112,0))&amp;"",IF($BL$20=1,IFERROR(INDEX('Dados'!$G$127:$G$138,MATCH($DT$20&amp;"|2",'Dados'!$A$127:$A$138,0)),""),"")))</f>
        <v/>
      </c>
      <c r="AN20" s="2">
        <f>IF(OR(LEN($DQ$20)=0,$BV$20&lt;2),"",IFERROR(INDEX($DU$88:$DU$112,MATCH($DQ$20&amp;"|2",$N$88:$N$112,0))&amp;"",IF($BL$20=1,IFERROR(INDEX('Dados'!$H$127:$H$138,MATCH($DT$20&amp;"|2",'Dados'!$A$127:$A$138,0)),""),"")))</f>
        <v/>
      </c>
      <c r="AO20" s="2">
        <f>IF(OR(LEN($DQ$20)=0,$BV$20&lt;2),"",IFERROR(INDEX($DV$88:$DV$112,MATCH($DQ$20&amp;"|2",$N$88:$N$112,0))&amp;"",IF($BL$20=1,IFERROR(INDEX('Dados'!$I$127:$I$138,MATCH($DT$20&amp;"|2",'Dados'!$A$127:$A$138,0)),""),"")))</f>
        <v/>
      </c>
      <c r="AP20" s="2">
        <f>IF(OR(LEN($DQ$20)=0,$BV$20&lt;2),"",IFERROR(INDEX($DW$88:$DW$112,MATCH($DQ$20&amp;"|2",$N$88:$N$112,0))&amp;"",IF($BL$20=1,IFERROR(INDEX('Dados'!$J$127:$J$138,MATCH($DT$20&amp;"|2",'Dados'!$A$127:$A$138,0)),""),"")))</f>
        <v/>
      </c>
      <c r="AQ20" s="2">
        <f>IF(OR(LEN($DQ$20)=0,$BV$20&lt;2),"",IF(ISNUMBER(MATCH($DQ$20&amp;"|2",$N$88:$N$112,0)),IF(ISNUMBER(INDEX($DX$88:$DX$112,MATCH($DQ$20&amp;"|2",$N$88:$N$112,0))),MIN(IFERROR(INDEX('Dados'!$G$38:$G$52,MATCH($BS$20,'Dados'!$A$38:$A$52,0)),""),INDEX($DX$88:$DX$112,MATCH($DQ$20&amp;"|2",$N$88:$N$112,0))),IFERROR(INDEX('Dados'!$G$38:$G$52,MATCH($BS$20,'Dados'!$A$38:$A$52,0)),"")),IF($BL$20=1,IFERROR(MIN(IFERROR(INDEX('Dados'!$G$38:$G$52,MATCH($BS$20,'Dados'!$A$38:$A$52,0)),""),INT(INDEX('Dados'!$K$127:$K$138,MATCH($DT$20&amp;"|2",'Dados'!$A$127:$A$138,0))*IFERROR(INDEX('Dados'!$G$38:$G$52,MATCH($BS$20,'Dados'!$A$38:$A$52,0)),"")/$CH$20)),IFERROR(INDEX('Dados'!$G$38:$G$52,MATCH($BS$20,'Dados'!$A$38:$A$52,0)),"")),IFERROR(INDEX('Dados'!$G$38:$G$52,MATCH($BS$20,'Dados'!$A$38:$A$52,0)),""))))</f>
        <v/>
      </c>
      <c r="AR20" s="2">
        <f>IF(OR(LEN($DQ$20)=0,$BV$20&lt;3),"",IFERROR(INDEX($DT$88:$DT$112,MATCH($DQ$20&amp;"|3",$N$88:$N$112,0))&amp;"",IF($BL$20=1,IFERROR(INDEX('Dados'!$G$127:$G$138,MATCH($DT$20&amp;"|3",'Dados'!$A$127:$A$138,0)),""),"")))</f>
        <v/>
      </c>
      <c r="AS20" s="2">
        <f>IF(OR(LEN($DQ$20)=0,$BV$20&lt;3),"",IFERROR(INDEX($DU$88:$DU$112,MATCH($DQ$20&amp;"|3",$N$88:$N$112,0))&amp;"",IF($BL$20=1,IFERROR(INDEX('Dados'!$H$127:$H$138,MATCH($DT$20&amp;"|3",'Dados'!$A$127:$A$138,0)),""),"")))</f>
        <v/>
      </c>
      <c r="AT20" s="2">
        <f>IF(OR(LEN($DQ$20)=0,$BV$20&lt;3),"",IFERROR(INDEX($DV$88:$DV$112,MATCH($DQ$20&amp;"|3",$N$88:$N$112,0))&amp;"",IF($BL$20=1,IFERROR(INDEX('Dados'!$I$127:$I$138,MATCH($DT$20&amp;"|3",'Dados'!$A$127:$A$138,0)),""),"")))</f>
        <v/>
      </c>
      <c r="AU20" s="2">
        <f>IF(OR(LEN($DQ$20)=0,$BV$20&lt;3),"",IFERROR(INDEX($DW$88:$DW$112,MATCH($DQ$20&amp;"|3",$N$88:$N$112,0))&amp;"",IF($BL$20=1,IFERROR(INDEX('Dados'!$J$127:$J$138,MATCH($DT$20&amp;"|3",'Dados'!$A$127:$A$138,0)),""),"")))</f>
        <v/>
      </c>
      <c r="AV20" s="2">
        <f>IF(OR(LEN($DQ$20)=0,$BV$20&lt;3),"",IF(ISNUMBER(MATCH($DQ$20&amp;"|3",$N$88:$N$112,0)),IF(ISNUMBER(INDEX($DX$88:$DX$112,MATCH($DQ$20&amp;"|3",$N$88:$N$112,0))),MIN(IFERROR(INDEX('Dados'!$G$38:$G$52,MATCH($BS$20,'Dados'!$A$38:$A$52,0)),""),INDEX($DX$88:$DX$112,MATCH($DQ$20&amp;"|3",$N$88:$N$112,0))),IFERROR(INDEX('Dados'!$G$38:$G$52,MATCH($BS$20,'Dados'!$A$38:$A$52,0)),"")),IF($BL$20=1,IFERROR(MIN(IFERROR(INDEX('Dados'!$G$38:$G$52,MATCH($BS$20,'Dados'!$A$38:$A$52,0)),""),INT(INDEX('Dados'!$K$127:$K$138,MATCH($DT$20&amp;"|3",'Dados'!$A$127:$A$138,0))*IFERROR(INDEX('Dados'!$G$38:$G$52,MATCH($BS$20,'Dados'!$A$38:$A$52,0)),"")/$CH$20)),IFERROR(INDEX('Dados'!$G$38:$G$52,MATCH($BS$20,'Dados'!$A$38:$A$52,0)),"")),IFERROR(INDEX('Dados'!$G$38:$G$52,MATCH($BS$20,'Dados'!$A$38:$A$52,0)),""))))</f>
        <v/>
      </c>
      <c r="AW20" s="2">
        <f>IF(LEN($DQ$20)=0,"",IF($BL$20=1,IFERROR(INDEX('Dados'!$AF$92:$AF$123,$BM$20)&amp;"",""),IFERROR(INDEX($DU$116:$DU$153,MATCH($DQ$20&amp;"|1",$Q$116:$Q$153,0))&amp;"","")))</f>
        <v/>
      </c>
      <c r="AX20" s="2">
        <f>IF(LEN($DQ$20)=0,"",IF($BL$20=1,IF(ISNUMBER(IFERROR(INDEX('Dados'!$AG$92:$AG$123,$BM$20),"")),IF(IFERROR(INDEX('Dados'!$AG$92:$AG$123,$BM$20),"")&gt;0,IFERROR(INDEX('Dados'!$AG$92:$AG$123,$BM$20),""),""),""),IFERROR(INDEX($DY$116:$DY$153,MATCH($DQ$20&amp;"|1",$Q$116:$Q$153,0))+0,"")))</f>
        <v/>
      </c>
      <c r="AY20" s="2">
        <f>IF(LEN($DQ$20)=0,"",IF($BL$20=1,IFERROR(INDEX('Dados'!$AH$92:$AH$123,$BM$20)&amp;"",""),IFERROR(INDEX($DU$116:$DU$153,MATCH($DQ$20&amp;"|2",$Q$116:$Q$153,0))&amp;"","")))</f>
        <v/>
      </c>
      <c r="AZ20" s="2">
        <f>IF(LEN($DQ$20)=0,"",IF($BL$20=1,IF(ISNUMBER(IFERROR(INDEX('Dados'!$AI$92:$AI$123,$BM$20),"")),IF(IFERROR(INDEX('Dados'!$AI$92:$AI$123,$BM$20),"")&gt;0,IFERROR(INDEX('Dados'!$AI$92:$AI$123,$BM$20),""),""),""),IFERROR(INDEX($DY$116:$DY$153,MATCH($DQ$20&amp;"|2",$Q$116:$Q$153,0))+0,"")))</f>
        <v/>
      </c>
      <c r="BA20" s="2">
        <f>IF(LEN($DQ$20)=0,"",IF($BL$20=1,IFERROR(INDEX('Dados'!$AJ$92:$AJ$123,$BM$20)&amp;"",""),IFERROR(INDEX($DU$116:$DU$153,MATCH($DQ$20&amp;"|3",$Q$116:$Q$153,0))&amp;"","")))</f>
        <v/>
      </c>
      <c r="BB20" s="2">
        <f>IF(LEN($DQ$20)=0,"",IF($BL$20=1,IF(ISNUMBER(IFERROR(INDEX('Dados'!$AK$92:$AK$123,$BM$20),"")),IF(IFERROR(INDEX('Dados'!$AK$92:$AK$123,$BM$20),"")&gt;0,IFERROR(INDEX('Dados'!$AK$92:$AK$123,$BM$20),""),""),""),IFERROR(INDEX($DY$116:$DY$153,MATCH($DQ$20&amp;"|3",$Q$116:$Q$153,0))+0,"")))</f>
        <v/>
      </c>
      <c r="BC20" s="2">
        <f>IF(LEN($DQ$20)=0,"",IF(LEN($DR$35)&gt;0,$DR$35,IF($BL$20=1,IFERROR(INDEX('Dados'!$E$92:$E$123,$BM$20)&amp;"",""),"")))</f>
        <v/>
      </c>
      <c r="BD20" s="2">
        <f>IF(AND(LEN($DR$35)=0,$BL$20=1),IFERROR(INDEX('Dados'!$AD$92:$AD$123,$BM$20)&amp;"",""),"")</f>
        <v/>
      </c>
      <c r="BE20" s="2">
        <f>IF(LEN($DQ$20)=0,"",INDEX('Dados'!$F$7:$F$11,$BR$20))</f>
        <v/>
      </c>
      <c r="BF20" s="2">
        <f>IF(LEN($DQ$20)=0,"",$BR$20)</f>
        <v/>
      </c>
      <c r="BG20" s="2">
        <f>$G$51</f>
        <v/>
      </c>
      <c r="BH20" s="2">
        <f>"Campanha"</f>
        <v/>
      </c>
      <c r="BK20" s="2">
        <f>IF(COUNTIF('Dados'!$AQ$6:$AQ$8,$DR$20)&gt;0,$DR$20,"Faixa do livro")</f>
        <v/>
      </c>
      <c r="BL20" s="2">
        <f>IF(AND($BK$20="Ajustar do bestiário",ISNUMBER($BM$20)),1,0)</f>
        <v/>
      </c>
      <c r="BM20" s="2">
        <f>IFERROR(MATCH($DT$20,'Dados'!$B$92:$B$123,0),"")</f>
        <v/>
      </c>
      <c r="BN20" s="2">
        <f>IF(COUNTIF('Dados'!$AO$6:$AO$8,$DY$20)&gt;0,$DY$20,IF($BL$20=1,IFERROR(INDEX('Dados'!$C$92:$C$123,$BM$20),""),"Comum"))</f>
        <v/>
      </c>
      <c r="BO20" s="2">
        <f>MATCH($BN$20,'Dados'!$AO$6:$AO$8,0)</f>
        <v/>
      </c>
      <c r="BP20" s="2">
        <f>IF(ISNUMBER($DX$20),MIN(20,MAX(1,INT($DX$20))),'Campanha'!$B$17)</f>
        <v/>
      </c>
      <c r="BQ20" s="2">
        <f>IF($BK$20="Por nível — Sugestão",INDEX('Dados'!$B$7:$B$11,INT(($BP$20-1)/4)+1),IF(LEN(IFERROR(INDEX('Dados'!$B$7:$B$11,MATCH($DW$20,'Dados'!$AP$6:$AP$10,0)),""))&gt;0,IFERROR(INDEX('Dados'!$B$7:$B$11,MATCH($DW$20,'Dados'!$AP$6:$AP$10,0)),""),'Campanha'!$B$19))</f>
        <v/>
      </c>
      <c r="BR20" s="2">
        <f>MATCH($BQ$20,'Dados'!$B$7:$B$11,0)</f>
        <v/>
      </c>
      <c r="BS20" s="2">
        <f>$BQ$20&amp;"|"&amp;$BN$20</f>
        <v/>
      </c>
      <c r="BT20" s="2">
        <f>MIN(4,MAX(1,INT(($BP$20-3)/4)+1))</f>
        <v/>
      </c>
      <c r="BU20" s="2">
        <f>IF($BK$20="Por nível — Sugestão",INT(IF($BP$20&lt;=3,INDEX('Dados'!$D$38:$D$52,$BO$20),IF($BP$20&gt;=19,INDEX('Dados'!$D$38:$D$52,12+$BO$20),INDEX('Dados'!$D$38:$D$52,($BT$20-1)*3+$BO$20)+(INDEX('Dados'!$D$38:$D$52,$BT$20*3+$BO$20)-INDEX('Dados'!$D$38:$D$52,($BT$20-1)*3+$BO$20))*($BP$20-(4*$BT$20-1))/4))),IFERROR(INDEX('Dados'!$D$38:$D$52,MATCH($BS$20,'Dados'!$A$38:$A$52,0)),""))</f>
        <v/>
      </c>
      <c r="BV20" s="2">
        <f>IF($BN$20&lt;&gt;"Boss",1,IF(AND(ISNUMBER($DZ$20),$DZ$20&gt;=1,$DZ$20&lt;=3),INT($DZ$20),IF($BL$20=1,MAX(1,IFERROR(INDEX('Dados'!$F$92:$F$123,$BM$20),"")),1)))</f>
        <v/>
      </c>
      <c r="BW20" s="2">
        <f>IFERROR(INDEX('Dados'!$O$38:$O$52,MATCH($BS$20,'Dados'!$A$38:$A$52,0)),"")</f>
        <v/>
      </c>
      <c r="BX20" s="2">
        <f>IF(AND(LEN($DR$51)=0,LEN($DS$51)=0,LEN($DT$51)=0,LEN($DU$51)=0),1,0)</f>
        <v/>
      </c>
      <c r="BY20" s="2">
        <f>IF(LEN($DQ$20)=0,"",IF($BX$20=0,$DR$51&amp;"",IF($BL$20=1,IFERROR(INDEX('Dados'!$Q$92:$Q$123,$BM$20)&amp;"",""),IF(1&lt;=$BW$20,$CD$20,""))))</f>
        <v/>
      </c>
      <c r="BZ20" s="2">
        <f>IF(LEN($DQ$20)=0,"",IF($BX$20=0,$DS$51&amp;"",IF($BL$20=1,IFERROR(INDEX('Dados'!$R$92:$R$123,$BM$20)&amp;"",""),IF(2&lt;=$BW$20,$CE$20,""))))</f>
        <v/>
      </c>
      <c r="CA20" s="2">
        <f>IF(LEN($DQ$20)=0,"",IF($BX$20=0,$DT$51&amp;"",IF($BL$20=1,IFERROR(INDEX('Dados'!$S$92:$S$123,$BM$20)&amp;"",""),IF(3&lt;=$BW$20,$CF$20,""))))</f>
        <v/>
      </c>
      <c r="CB20" s="2">
        <f>IF(LEN($DQ$20)=0,"",IF($BX$20=0,$DU$51&amp;"",IF($BL$20=1,IFERROR(INDEX('Dados'!$T$92:$T$123,$BM$20)&amp;"",""),IF(4&lt;=$BW$20,$CG$20,""))))</f>
        <v/>
      </c>
      <c r="CC20" s="2">
        <f>IF(LEN($DV$51)&gt;0,$DV$51,IF($BL$20=1,IFERROR(INDEX('Dados'!$U$92:$U$123,$BM$20)&amp;"",""),""))</f>
        <v/>
      </c>
      <c r="CD20" s="2">
        <f>INDEX('Dados'!$A$301:$A$307,MATCH(SMALL($DI$20:$DO$20,1),$DI$20:$DO$20,0))</f>
        <v/>
      </c>
      <c r="CE20" s="2">
        <f>INDEX('Dados'!$A$301:$A$307,MATCH(SMALL($DI$20:$DO$20,2),$DI$20:$DO$20,0))</f>
        <v/>
      </c>
      <c r="CF20" s="2">
        <f>INDEX('Dados'!$A$301:$A$307,MATCH(SMALL($DI$20:$DO$20,3),$DI$20:$DO$20,0))</f>
        <v/>
      </c>
      <c r="CG20" s="2">
        <f>INDEX('Dados'!$A$301:$A$307,MATCH(SMALL($DI$20:$DO$20,4),$DI$20:$DO$20,0))</f>
        <v/>
      </c>
      <c r="CH20" s="2">
        <f>IF($BL$20=1,IFERROR(INDEX('Dados'!$J$92:$J$123,$BM$20),""),"")</f>
        <v/>
      </c>
      <c r="CI20" s="2">
        <f>IF($BL$20=1,IFERROR(INDEX('Dados'!$G$92:$G$123,$BM$20),""),"")</f>
        <v/>
      </c>
      <c r="CJ20" s="2">
        <f>IFERROR(INDEX('Dados'!$S$38:$S$52,MATCH($BS$20,'Dados'!$A$38:$A$52,0)),"")</f>
        <v/>
      </c>
      <c r="CK20" s="2">
        <f>IFERROR(INDEX('Dados'!$T$38:$T$52,MATCH($BS$20,'Dados'!$A$38:$A$52,0)),"")</f>
        <v/>
      </c>
      <c r="CL20" s="2">
        <f>IFERROR(INDEX('Dados'!$J$38:$J$52,MATCH($BQ$20&amp;"|Comum",'Dados'!$A$38:$A$52,0)),"")</f>
        <v/>
      </c>
      <c r="CM20" s="2">
        <f>IFERROR(INDEX('Dados'!$K$38:$K$52,MATCH($BQ$20&amp;"|Comum",'Dados'!$A$38:$A$52,0)),"")</f>
        <v/>
      </c>
      <c r="CN20" s="2">
        <f>MOD(MOD(MOD((MOD('Início'!$E$16+104729*$C$7+132141699,2147483646)+1)*16807,2147483647)*16807,2147483647)*16807,2147483647)</f>
        <v/>
      </c>
      <c r="CO20" s="2">
        <f>MOD(MOD(MOD((MOD(MOD(INT($CN$20/65536)*$CN$20,2147483647)*65536+MOD($CN$20,65536)*$CN$20,2147483647))*16807,2147483647)*16807,2147483647)*16807,2147483647)</f>
        <v/>
      </c>
      <c r="CP20" s="2">
        <f>MOD(MOD(MOD((MOD($CO$20+INT($CO$20/65536)*MOD($CO$20,65536),2147483646)+1)*16807,2147483647)*16807,2147483647)*16807,2147483647)</f>
        <v/>
      </c>
      <c r="CQ20" s="2">
        <f>MOD(MOD(MOD((MOD('Início'!$E$16+104729*$C$7+133441408,2147483646)+1)*16807,2147483647)*16807,2147483647)*16807,2147483647)</f>
        <v/>
      </c>
      <c r="CR20" s="2">
        <f>MOD(MOD(MOD((MOD(MOD(INT($CQ$20/65536)*$CQ$20,2147483647)*65536+MOD($CQ$20,65536)*$CQ$20,2147483647))*16807,2147483647)*16807,2147483647)*16807,2147483647)</f>
        <v/>
      </c>
      <c r="CS20" s="2">
        <f>MOD(MOD(MOD((MOD($CR$20+INT($CR$20/65536)*MOD($CR$20,65536),2147483646)+1)*16807,2147483647)*16807,2147483647)*16807,2147483647)</f>
        <v/>
      </c>
      <c r="CT20" s="2">
        <f>MOD(MOD(MOD((MOD('Início'!$E$16+104729*$C$7+134741117,2147483646)+1)*16807,2147483647)*16807,2147483647)*16807,2147483647)</f>
        <v/>
      </c>
      <c r="CU20" s="2">
        <f>MOD(MOD(MOD((MOD(MOD(INT($CT$20/65536)*$CT$20,2147483647)*65536+MOD($CT$20,65536)*$CT$20,2147483647))*16807,2147483647)*16807,2147483647)*16807,2147483647)</f>
        <v/>
      </c>
      <c r="CV20" s="2">
        <f>MOD(MOD(MOD((MOD($CU$20+INT($CU$20/65536)*MOD($CU$20,65536),2147483646)+1)*16807,2147483647)*16807,2147483647)*16807,2147483647)</f>
        <v/>
      </c>
      <c r="CW20" s="2">
        <f>MOD(MOD(MOD((MOD('Início'!$E$16+104729*$C$7+136040826,2147483646)+1)*16807,2147483647)*16807,2147483647)*16807,2147483647)</f>
        <v/>
      </c>
      <c r="CX20" s="2">
        <f>MOD(MOD(MOD((MOD(MOD(INT($CW$20/65536)*$CW$20,2147483647)*65536+MOD($CW$20,65536)*$CW$20,2147483647))*16807,2147483647)*16807,2147483647)*16807,2147483647)</f>
        <v/>
      </c>
      <c r="CY20" s="2">
        <f>MOD(MOD(MOD((MOD($CX$20+INT($CX$20/65536)*MOD($CX$20,65536),2147483646)+1)*16807,2147483647)*16807,2147483647)*16807,2147483647)</f>
        <v/>
      </c>
      <c r="CZ20" s="2">
        <f>MOD(MOD(MOD((MOD('Início'!$E$16+104729*$C$7+137340535,2147483646)+1)*16807,2147483647)*16807,2147483647)*16807,2147483647)</f>
        <v/>
      </c>
      <c r="DA20" s="2">
        <f>MOD(MOD(MOD((MOD(MOD(INT($CZ$20/65536)*$CZ$20,2147483647)*65536+MOD($CZ$20,65536)*$CZ$20,2147483647))*16807,2147483647)*16807,2147483647)*16807,2147483647)</f>
        <v/>
      </c>
      <c r="DB20" s="2">
        <f>MOD(MOD(MOD((MOD($DA$20+INT($DA$20/65536)*MOD($DA$20,65536),2147483646)+1)*16807,2147483647)*16807,2147483647)*16807,2147483647)</f>
        <v/>
      </c>
      <c r="DC20" s="2">
        <f>MOD(MOD(MOD((MOD('Início'!$E$16+104729*$C$7+138640244,2147483646)+1)*16807,2147483647)*16807,2147483647)*16807,2147483647)</f>
        <v/>
      </c>
      <c r="DD20" s="2">
        <f>MOD(MOD(MOD((MOD(MOD(INT($DC$20/65536)*$DC$20,2147483647)*65536+MOD($DC$20,65536)*$DC$20,2147483647))*16807,2147483647)*16807,2147483647)*16807,2147483647)</f>
        <v/>
      </c>
      <c r="DE20" s="2">
        <f>MOD(MOD(MOD((MOD($DD$20+INT($DD$20/65536)*MOD($DD$20,65536),2147483646)+1)*16807,2147483647)*16807,2147483647)*16807,2147483647)</f>
        <v/>
      </c>
      <c r="DF20" s="2">
        <f>MOD(MOD(MOD((MOD('Início'!$E$16+104729*$C$7+139939953,2147483646)+1)*16807,2147483647)*16807,2147483647)*16807,2147483647)</f>
        <v/>
      </c>
      <c r="DG20" s="2">
        <f>MOD(MOD(MOD((MOD(MOD(INT($DF$20/65536)*$DF$20,2147483647)*65536+MOD($DF$20,65536)*$DF$20,2147483647))*16807,2147483647)*16807,2147483647)*16807,2147483647)</f>
        <v/>
      </c>
      <c r="DH20" s="2">
        <f>MOD(MOD(MOD((MOD($DG$20+INT($DG$20/65536)*MOD($DG$20,65536),2147483646)+1)*16807,2147483647)*16807,2147483647)*16807,2147483647)</f>
        <v/>
      </c>
      <c r="DI20" s="2">
        <f>IF($CC$20="Físico",9000000000,IF(AND('Grupo'!$B$81="Sim",COUNTIF($BY$11:$CB$19,"Físico")=0),0,2147483647))+$CP$20+1/10</f>
        <v/>
      </c>
      <c r="DJ20" s="2">
        <f>IF($CC$20="Fogo",9000000000,IF(AND('Grupo'!$C$81="Sim",COUNTIF($BY$11:$CB$19,"Fogo")=0),0,2147483647))+$CS$20+2/10</f>
        <v/>
      </c>
      <c r="DK20" s="2">
        <f>IF($CC$20="Gelo",9000000000,IF(AND('Grupo'!$D$81="Sim",COUNTIF($BY$11:$CB$19,"Gelo")=0),0,2147483647))+$CV$20+3/10</f>
        <v/>
      </c>
      <c r="DL20" s="2">
        <f>IF($CC$20="Raio",9000000000,IF(AND('Grupo'!$E$81="Sim",COUNTIF($BY$11:$CB$19,"Raio")=0),0,2147483647))+$CY$20+4/10</f>
        <v/>
      </c>
      <c r="DM20" s="2">
        <f>IF($CC$20="Vento",9000000000,IF(AND('Grupo'!$F$81="Sim",COUNTIF($BY$11:$CB$19,"Vento")=0),0,2147483647))+$DB$20+5/10</f>
        <v/>
      </c>
      <c r="DN20" s="2">
        <f>IF($CC$20="Quântico",9000000000,IF(AND('Grupo'!$G$81="Sim",COUNTIF($BY$11:$CB$19,"Quântico")=0),0,2147483647))+$DE$20+6/10</f>
        <v/>
      </c>
      <c r="DO20" s="2">
        <f>IF($CC$20="Imaginário",9000000000,IF(AND('Grupo'!$H$81="Sim",COUNTIF($BY$11:$CB$19,"Imaginário")=0),0,2147483647))+$DH$20+7/10</f>
        <v/>
      </c>
      <c r="DQ20" s="2">
        <f>IF(ISERROR($A$20),"",IF(ISBLANK($A$20),"",$A$20))</f>
        <v/>
      </c>
      <c r="DR20" s="2">
        <f>IF(ISERROR($B$20),"",IF(ISBLANK($B$20),"",$B$20))</f>
        <v/>
      </c>
      <c r="DT20" s="2">
        <f>IF(ISERROR($D$20),"",IF(ISBLANK($D$20),"",$D$20))</f>
        <v/>
      </c>
      <c r="DW20" s="2">
        <f>IF(ISERROR($G$20),"",IF(ISBLANK($G$20),"",$G$20))</f>
        <v/>
      </c>
      <c r="DX20" s="2">
        <f>IF(ISERROR($H$20),"",IF(ISBLANK($H$20),"",$H$20))</f>
        <v/>
      </c>
      <c r="DY20" s="2">
        <f>IF(ISERROR($I$20),"",IF(ISBLANK($I$20),"",$I$20))</f>
        <v/>
      </c>
      <c r="DZ20" s="2">
        <f>IF(ISERROR($J$20),"",IF(ISBLANK($J$20),"",$J$20))</f>
        <v/>
      </c>
      <c r="EA20" s="2">
        <f>ISERROR($A$20)*1+ISERROR($B$20)*1+ISERROR($D$20)*1+ISERROR($G$20)*1+ISERROR($H$20)*1+ISERROR($I$20)*1+ISERROR($J$20)*1</f>
        <v/>
      </c>
    </row>
    <row r="21" ht="26" customHeight="1">
      <c r="A21" s="33" t="n"/>
      <c r="B21" s="4" t="n"/>
      <c r="C21" s="17" t="n"/>
      <c r="D21" s="4" t="n"/>
      <c r="E21" s="25" t="n"/>
      <c r="F21" s="17" t="n"/>
      <c r="G21" s="34" t="n"/>
      <c r="H21" s="16" t="n"/>
      <c r="I21" s="34" t="n"/>
      <c r="J21" s="16" t="n"/>
      <c r="K21" s="19">
        <f>IF(EA21&gt;0,"O Google leu como fórmula: escolha de novo ou digite com ' na frente.",IF(LEN($DQ$21)=0,IF(LEN($DR$21&amp;$DT$21&amp;$DY$21)&gt;0,"Linha sem nome: o inimigo não entra nas listas",""),IF(COUNTIF($DQ$11:$DQ$22,$DQ$21)&gt;1,"Nome repetido na tabela",IF(COUNTIF('Dados'!$B$92:$B$123,$DQ$21)&gt;0,"Nome igual a uma criatura do bestiário: dê outro nome",IF(AND($BK$21="Ajustar do bestiário",$BL$21=0),"Modo Ajustar sem base do bestiário válida",IF(AND(LEN($DZ$21)&gt;0,$BN$21&lt;&gt;"Boss"),"Fases só valem para Boss (28.5)",IF(AND(ISNUMBER($DX$21),OR($DX$21&lt;1,$DX$21&gt;20)),"Nível fora de 1 a 20: usando o limite",IF(AND(LEN($DY$21)&gt;0,COUNTIF('Dados'!$AO$6:$AO$8,$DY$21)=0),"Tipo fora da lista: usando Comum",""))))))))</f>
        <v/>
      </c>
      <c r="N21" s="2">
        <f>IF(LEN($DQ$21)=0,"",$DQ$21)</f>
        <v/>
      </c>
      <c r="O21" s="2">
        <f>IF(LEN($DQ$21)=0,"",$BN$21)</f>
        <v/>
      </c>
      <c r="P21" s="2">
        <f>IF(LEN($DQ$21)=0,"",$BQ$21)</f>
        <v/>
      </c>
      <c r="Q21" s="2">
        <f>IF(LEN($DQ$21)=0,"",$BU$21)</f>
        <v/>
      </c>
      <c r="R21" s="2">
        <f>IF(LEN($DQ$21)=0,"",IFERROR(INDEX('Dados'!$E$38:$E$52,MATCH($BS$21,'Dados'!$A$38:$A$52,0)),""))</f>
        <v/>
      </c>
      <c r="S21" s="2">
        <f>IF(LEN($DQ$21)=0,"",IFERROR(INDEX('Dados'!$F$38:$F$52,MATCH($BS$21,'Dados'!$A$38:$A$52,0)),""))</f>
        <v/>
      </c>
      <c r="T21" s="2">
        <f>IF(LEN($DQ$21)=0,"",IFERROR(INDEX('Dados'!$G$38:$G$52,MATCH($BS$21,'Dados'!$A$38:$A$52,0)),""))</f>
        <v/>
      </c>
      <c r="U21" s="2">
        <f>IF(LEN($DQ$21)=0,"",IFERROR(INDEX('Dados'!$H$38:$H$52,MATCH($BS$21,'Dados'!$A$38:$A$52,0)),""))</f>
        <v/>
      </c>
      <c r="V21" s="2">
        <f>IF(LEN($DQ$21)=0,"",IFERROR(INDEX('Dados'!$I$38:$I$52,MATCH($BS$21,'Dados'!$A$38:$A$52,0)),""))</f>
        <v/>
      </c>
      <c r="W21" s="2">
        <f>IF(LEN($DQ$21)=0,"",IFERROR(INDEX('Dados'!$J$38:$J$52,MATCH($BS$21,'Dados'!$A$38:$A$52,0)),""))</f>
        <v/>
      </c>
      <c r="X21" s="2">
        <f>IF(LEN($DQ$21)=0,"",IFERROR(INDEX('Dados'!$K$38:$K$52,MATCH($BS$21,'Dados'!$A$38:$A$52,0)),""))</f>
        <v/>
      </c>
      <c r="Y21" s="2">
        <f>IF(LEN($DQ$21)=0,"",IFERROR(INDEX('Dados'!$L$38:$L$52,MATCH($BS$21,'Dados'!$A$38:$A$52,0)),""))</f>
        <v/>
      </c>
      <c r="Z21" s="2">
        <f>IF(LEN($DQ$21)=0,"",IFERROR(INDEX('Dados'!$M$38:$M$52,MATCH($BS$21,'Dados'!$A$38:$A$52,0)),""))</f>
        <v/>
      </c>
      <c r="AA21" s="2">
        <f>IF(LEN($DQ$21)=0,"",$BY$21)</f>
        <v/>
      </c>
      <c r="AB21" s="2">
        <f>IF(LEN($DQ$21)=0,"",$BZ$21)</f>
        <v/>
      </c>
      <c r="AC21" s="2">
        <f>IF(LEN($DQ$21)=0,"",$CA$21)</f>
        <v/>
      </c>
      <c r="AD21" s="2">
        <f>IF(LEN($DQ$21)=0,"",$CB$21)</f>
        <v/>
      </c>
      <c r="AE21" s="2">
        <f>IF(LEN($DQ$21)=0,"",$CC$21)</f>
        <v/>
      </c>
      <c r="AF21" s="2">
        <f>IF(LEN($DQ$21)=0,"",IF($DV$36="Sim","Pode",IF($DV$36="Não","Não",IF($BL$21=1,IFERROR(INDEX('Dados'!$V$92:$V$123,$BM$21)&amp;"",""),"Não declarado"))))</f>
        <v/>
      </c>
      <c r="AG21" s="2">
        <f>IF(LEN($DQ$21)=0,"",$BV$21)</f>
        <v/>
      </c>
      <c r="AH21" s="2">
        <f>IF(LEN($DQ$21)=0,"",IFERROR(INDEX('Dados'!$Q$38:$Q$52,MATCH($BS$21,'Dados'!$A$38:$A$52,0)),""))</f>
        <v/>
      </c>
      <c r="AI21" s="2">
        <f>IF(LEN($DQ$21)=0,"",IF(AND($BL$21=1,$DT$21="Escória de Stellaron"),1.5,1)*$BU$21)</f>
        <v/>
      </c>
      <c r="AJ21" s="2">
        <f>IF(LEN($DQ$21)=0,"",IFERROR(INDEX('Dados'!$P$38:$P$52,MATCH($BS$21,'Dados'!$A$38:$A$52,0)),""))</f>
        <v/>
      </c>
      <c r="AK21" s="2">
        <f>IF(LEN($DQ$21)=0,"",IF($BV$21=2,INT($BU$21/2),IF($BV$21=3,INT(2*$BU$21/3),"")))</f>
        <v/>
      </c>
      <c r="AL21" s="2">
        <f>IF(LEN($DQ$21)=0,"",IF($BV$21=3,INT($BU$21/3),""))</f>
        <v/>
      </c>
      <c r="AM21" s="2">
        <f>IF(OR(LEN($DQ$21)=0,$BV$21&lt;2),"",IFERROR(INDEX($DT$88:$DT$112,MATCH($DQ$21&amp;"|2",$N$88:$N$112,0))&amp;"",IF($BL$21=1,IFERROR(INDEX('Dados'!$G$127:$G$138,MATCH($DT$21&amp;"|2",'Dados'!$A$127:$A$138,0)),""),"")))</f>
        <v/>
      </c>
      <c r="AN21" s="2">
        <f>IF(OR(LEN($DQ$21)=0,$BV$21&lt;2),"",IFERROR(INDEX($DU$88:$DU$112,MATCH($DQ$21&amp;"|2",$N$88:$N$112,0))&amp;"",IF($BL$21=1,IFERROR(INDEX('Dados'!$H$127:$H$138,MATCH($DT$21&amp;"|2",'Dados'!$A$127:$A$138,0)),""),"")))</f>
        <v/>
      </c>
      <c r="AO21" s="2">
        <f>IF(OR(LEN($DQ$21)=0,$BV$21&lt;2),"",IFERROR(INDEX($DV$88:$DV$112,MATCH($DQ$21&amp;"|2",$N$88:$N$112,0))&amp;"",IF($BL$21=1,IFERROR(INDEX('Dados'!$I$127:$I$138,MATCH($DT$21&amp;"|2",'Dados'!$A$127:$A$138,0)),""),"")))</f>
        <v/>
      </c>
      <c r="AP21" s="2">
        <f>IF(OR(LEN($DQ$21)=0,$BV$21&lt;2),"",IFERROR(INDEX($DW$88:$DW$112,MATCH($DQ$21&amp;"|2",$N$88:$N$112,0))&amp;"",IF($BL$21=1,IFERROR(INDEX('Dados'!$J$127:$J$138,MATCH($DT$21&amp;"|2",'Dados'!$A$127:$A$138,0)),""),"")))</f>
        <v/>
      </c>
      <c r="AQ21" s="2">
        <f>IF(OR(LEN($DQ$21)=0,$BV$21&lt;2),"",IF(ISNUMBER(MATCH($DQ$21&amp;"|2",$N$88:$N$112,0)),IF(ISNUMBER(INDEX($DX$88:$DX$112,MATCH($DQ$21&amp;"|2",$N$88:$N$112,0))),MIN(IFERROR(INDEX('Dados'!$G$38:$G$52,MATCH($BS$21,'Dados'!$A$38:$A$52,0)),""),INDEX($DX$88:$DX$112,MATCH($DQ$21&amp;"|2",$N$88:$N$112,0))),IFERROR(INDEX('Dados'!$G$38:$G$52,MATCH($BS$21,'Dados'!$A$38:$A$52,0)),"")),IF($BL$21=1,IFERROR(MIN(IFERROR(INDEX('Dados'!$G$38:$G$52,MATCH($BS$21,'Dados'!$A$38:$A$52,0)),""),INT(INDEX('Dados'!$K$127:$K$138,MATCH($DT$21&amp;"|2",'Dados'!$A$127:$A$138,0))*IFERROR(INDEX('Dados'!$G$38:$G$52,MATCH($BS$21,'Dados'!$A$38:$A$52,0)),"")/$CH$21)),IFERROR(INDEX('Dados'!$G$38:$G$52,MATCH($BS$21,'Dados'!$A$38:$A$52,0)),"")),IFERROR(INDEX('Dados'!$G$38:$G$52,MATCH($BS$21,'Dados'!$A$38:$A$52,0)),""))))</f>
        <v/>
      </c>
      <c r="AR21" s="2">
        <f>IF(OR(LEN($DQ$21)=0,$BV$21&lt;3),"",IFERROR(INDEX($DT$88:$DT$112,MATCH($DQ$21&amp;"|3",$N$88:$N$112,0))&amp;"",IF($BL$21=1,IFERROR(INDEX('Dados'!$G$127:$G$138,MATCH($DT$21&amp;"|3",'Dados'!$A$127:$A$138,0)),""),"")))</f>
        <v/>
      </c>
      <c r="AS21" s="2">
        <f>IF(OR(LEN($DQ$21)=0,$BV$21&lt;3),"",IFERROR(INDEX($DU$88:$DU$112,MATCH($DQ$21&amp;"|3",$N$88:$N$112,0))&amp;"",IF($BL$21=1,IFERROR(INDEX('Dados'!$H$127:$H$138,MATCH($DT$21&amp;"|3",'Dados'!$A$127:$A$138,0)),""),"")))</f>
        <v/>
      </c>
      <c r="AT21" s="2">
        <f>IF(OR(LEN($DQ$21)=0,$BV$21&lt;3),"",IFERROR(INDEX($DV$88:$DV$112,MATCH($DQ$21&amp;"|3",$N$88:$N$112,0))&amp;"",IF($BL$21=1,IFERROR(INDEX('Dados'!$I$127:$I$138,MATCH($DT$21&amp;"|3",'Dados'!$A$127:$A$138,0)),""),"")))</f>
        <v/>
      </c>
      <c r="AU21" s="2">
        <f>IF(OR(LEN($DQ$21)=0,$BV$21&lt;3),"",IFERROR(INDEX($DW$88:$DW$112,MATCH($DQ$21&amp;"|3",$N$88:$N$112,0))&amp;"",IF($BL$21=1,IFERROR(INDEX('Dados'!$J$127:$J$138,MATCH($DT$21&amp;"|3",'Dados'!$A$127:$A$138,0)),""),"")))</f>
        <v/>
      </c>
      <c r="AV21" s="2">
        <f>IF(OR(LEN($DQ$21)=0,$BV$21&lt;3),"",IF(ISNUMBER(MATCH($DQ$21&amp;"|3",$N$88:$N$112,0)),IF(ISNUMBER(INDEX($DX$88:$DX$112,MATCH($DQ$21&amp;"|3",$N$88:$N$112,0))),MIN(IFERROR(INDEX('Dados'!$G$38:$G$52,MATCH($BS$21,'Dados'!$A$38:$A$52,0)),""),INDEX($DX$88:$DX$112,MATCH($DQ$21&amp;"|3",$N$88:$N$112,0))),IFERROR(INDEX('Dados'!$G$38:$G$52,MATCH($BS$21,'Dados'!$A$38:$A$52,0)),"")),IF($BL$21=1,IFERROR(MIN(IFERROR(INDEX('Dados'!$G$38:$G$52,MATCH($BS$21,'Dados'!$A$38:$A$52,0)),""),INT(INDEX('Dados'!$K$127:$K$138,MATCH($DT$21&amp;"|3",'Dados'!$A$127:$A$138,0))*IFERROR(INDEX('Dados'!$G$38:$G$52,MATCH($BS$21,'Dados'!$A$38:$A$52,0)),"")/$CH$21)),IFERROR(INDEX('Dados'!$G$38:$G$52,MATCH($BS$21,'Dados'!$A$38:$A$52,0)),"")),IFERROR(INDEX('Dados'!$G$38:$G$52,MATCH($BS$21,'Dados'!$A$38:$A$52,0)),""))))</f>
        <v/>
      </c>
      <c r="AW21" s="2">
        <f>IF(LEN($DQ$21)=0,"",IF($BL$21=1,IFERROR(INDEX('Dados'!$AF$92:$AF$123,$BM$21)&amp;"",""),IFERROR(INDEX($DU$116:$DU$153,MATCH($DQ$21&amp;"|1",$Q$116:$Q$153,0))&amp;"","")))</f>
        <v/>
      </c>
      <c r="AX21" s="2">
        <f>IF(LEN($DQ$21)=0,"",IF($BL$21=1,IF(ISNUMBER(IFERROR(INDEX('Dados'!$AG$92:$AG$123,$BM$21),"")),IF(IFERROR(INDEX('Dados'!$AG$92:$AG$123,$BM$21),"")&gt;0,IFERROR(INDEX('Dados'!$AG$92:$AG$123,$BM$21),""),""),""),IFERROR(INDEX($DY$116:$DY$153,MATCH($DQ$21&amp;"|1",$Q$116:$Q$153,0))+0,"")))</f>
        <v/>
      </c>
      <c r="AY21" s="2">
        <f>IF(LEN($DQ$21)=0,"",IF($BL$21=1,IFERROR(INDEX('Dados'!$AH$92:$AH$123,$BM$21)&amp;"",""),IFERROR(INDEX($DU$116:$DU$153,MATCH($DQ$21&amp;"|2",$Q$116:$Q$153,0))&amp;"","")))</f>
        <v/>
      </c>
      <c r="AZ21" s="2">
        <f>IF(LEN($DQ$21)=0,"",IF($BL$21=1,IF(ISNUMBER(IFERROR(INDEX('Dados'!$AI$92:$AI$123,$BM$21),"")),IF(IFERROR(INDEX('Dados'!$AI$92:$AI$123,$BM$21),"")&gt;0,IFERROR(INDEX('Dados'!$AI$92:$AI$123,$BM$21),""),""),""),IFERROR(INDEX($DY$116:$DY$153,MATCH($DQ$21&amp;"|2",$Q$116:$Q$153,0))+0,"")))</f>
        <v/>
      </c>
      <c r="BA21" s="2">
        <f>IF(LEN($DQ$21)=0,"",IF($BL$21=1,IFERROR(INDEX('Dados'!$AJ$92:$AJ$123,$BM$21)&amp;"",""),IFERROR(INDEX($DU$116:$DU$153,MATCH($DQ$21&amp;"|3",$Q$116:$Q$153,0))&amp;"","")))</f>
        <v/>
      </c>
      <c r="BB21" s="2">
        <f>IF(LEN($DQ$21)=0,"",IF($BL$21=1,IF(ISNUMBER(IFERROR(INDEX('Dados'!$AK$92:$AK$123,$BM$21),"")),IF(IFERROR(INDEX('Dados'!$AK$92:$AK$123,$BM$21),"")&gt;0,IFERROR(INDEX('Dados'!$AK$92:$AK$123,$BM$21),""),""),""),IFERROR(INDEX($DY$116:$DY$153,MATCH($DQ$21&amp;"|3",$Q$116:$Q$153,0))+0,"")))</f>
        <v/>
      </c>
      <c r="BC21" s="2">
        <f>IF(LEN($DQ$21)=0,"",IF(LEN($DR$36)&gt;0,$DR$36,IF($BL$21=1,IFERROR(INDEX('Dados'!$E$92:$E$123,$BM$21)&amp;"",""),"")))</f>
        <v/>
      </c>
      <c r="BD21" s="2">
        <f>IF(AND(LEN($DR$36)=0,$BL$21=1),IFERROR(INDEX('Dados'!$AD$92:$AD$123,$BM$21)&amp;"",""),"")</f>
        <v/>
      </c>
      <c r="BE21" s="2">
        <f>IF(LEN($DQ$21)=0,"",INDEX('Dados'!$F$7:$F$11,$BR$21))</f>
        <v/>
      </c>
      <c r="BF21" s="2">
        <f>IF(LEN($DQ$21)=0,"",$BR$21)</f>
        <v/>
      </c>
      <c r="BG21" s="2">
        <f>$G$52</f>
        <v/>
      </c>
      <c r="BH21" s="2">
        <f>"Campanha"</f>
        <v/>
      </c>
      <c r="BK21" s="2">
        <f>IF(COUNTIF('Dados'!$AQ$6:$AQ$8,$DR$21)&gt;0,$DR$21,"Faixa do livro")</f>
        <v/>
      </c>
      <c r="BL21" s="2">
        <f>IF(AND($BK$21="Ajustar do bestiário",ISNUMBER($BM$21)),1,0)</f>
        <v/>
      </c>
      <c r="BM21" s="2">
        <f>IFERROR(MATCH($DT$21,'Dados'!$B$92:$B$123,0),"")</f>
        <v/>
      </c>
      <c r="BN21" s="2">
        <f>IF(COUNTIF('Dados'!$AO$6:$AO$8,$DY$21)&gt;0,$DY$21,IF($BL$21=1,IFERROR(INDEX('Dados'!$C$92:$C$123,$BM$21),""),"Comum"))</f>
        <v/>
      </c>
      <c r="BO21" s="2">
        <f>MATCH($BN$21,'Dados'!$AO$6:$AO$8,0)</f>
        <v/>
      </c>
      <c r="BP21" s="2">
        <f>IF(ISNUMBER($DX$21),MIN(20,MAX(1,INT($DX$21))),'Campanha'!$B$17)</f>
        <v/>
      </c>
      <c r="BQ21" s="2">
        <f>IF($BK$21="Por nível — Sugestão",INDEX('Dados'!$B$7:$B$11,INT(($BP$21-1)/4)+1),IF(LEN(IFERROR(INDEX('Dados'!$B$7:$B$11,MATCH($DW$21,'Dados'!$AP$6:$AP$10,0)),""))&gt;0,IFERROR(INDEX('Dados'!$B$7:$B$11,MATCH($DW$21,'Dados'!$AP$6:$AP$10,0)),""),'Campanha'!$B$19))</f>
        <v/>
      </c>
      <c r="BR21" s="2">
        <f>MATCH($BQ$21,'Dados'!$B$7:$B$11,0)</f>
        <v/>
      </c>
      <c r="BS21" s="2">
        <f>$BQ$21&amp;"|"&amp;$BN$21</f>
        <v/>
      </c>
      <c r="BT21" s="2">
        <f>MIN(4,MAX(1,INT(($BP$21-3)/4)+1))</f>
        <v/>
      </c>
      <c r="BU21" s="2">
        <f>IF($BK$21="Por nível — Sugestão",INT(IF($BP$21&lt;=3,INDEX('Dados'!$D$38:$D$52,$BO$21),IF($BP$21&gt;=19,INDEX('Dados'!$D$38:$D$52,12+$BO$21),INDEX('Dados'!$D$38:$D$52,($BT$21-1)*3+$BO$21)+(INDEX('Dados'!$D$38:$D$52,$BT$21*3+$BO$21)-INDEX('Dados'!$D$38:$D$52,($BT$21-1)*3+$BO$21))*($BP$21-(4*$BT$21-1))/4))),IFERROR(INDEX('Dados'!$D$38:$D$52,MATCH($BS$21,'Dados'!$A$38:$A$52,0)),""))</f>
        <v/>
      </c>
      <c r="BV21" s="2">
        <f>IF($BN$21&lt;&gt;"Boss",1,IF(AND(ISNUMBER($DZ$21),$DZ$21&gt;=1,$DZ$21&lt;=3),INT($DZ$21),IF($BL$21=1,MAX(1,IFERROR(INDEX('Dados'!$F$92:$F$123,$BM$21),"")),1)))</f>
        <v/>
      </c>
      <c r="BW21" s="2">
        <f>IFERROR(INDEX('Dados'!$O$38:$O$52,MATCH($BS$21,'Dados'!$A$38:$A$52,0)),"")</f>
        <v/>
      </c>
      <c r="BX21" s="2">
        <f>IF(AND(LEN($DR$52)=0,LEN($DS$52)=0,LEN($DT$52)=0,LEN($DU$52)=0),1,0)</f>
        <v/>
      </c>
      <c r="BY21" s="2">
        <f>IF(LEN($DQ$21)=0,"",IF($BX$21=0,$DR$52&amp;"",IF($BL$21=1,IFERROR(INDEX('Dados'!$Q$92:$Q$123,$BM$21)&amp;"",""),IF(1&lt;=$BW$21,$CD$21,""))))</f>
        <v/>
      </c>
      <c r="BZ21" s="2">
        <f>IF(LEN($DQ$21)=0,"",IF($BX$21=0,$DS$52&amp;"",IF($BL$21=1,IFERROR(INDEX('Dados'!$R$92:$R$123,$BM$21)&amp;"",""),IF(2&lt;=$BW$21,$CE$21,""))))</f>
        <v/>
      </c>
      <c r="CA21" s="2">
        <f>IF(LEN($DQ$21)=0,"",IF($BX$21=0,$DT$52&amp;"",IF($BL$21=1,IFERROR(INDEX('Dados'!$S$92:$S$123,$BM$21)&amp;"",""),IF(3&lt;=$BW$21,$CF$21,""))))</f>
        <v/>
      </c>
      <c r="CB21" s="2">
        <f>IF(LEN($DQ$21)=0,"",IF($BX$21=0,$DU$52&amp;"",IF($BL$21=1,IFERROR(INDEX('Dados'!$T$92:$T$123,$BM$21)&amp;"",""),IF(4&lt;=$BW$21,$CG$21,""))))</f>
        <v/>
      </c>
      <c r="CC21" s="2">
        <f>IF(LEN($DV$52)&gt;0,$DV$52,IF($BL$21=1,IFERROR(INDEX('Dados'!$U$92:$U$123,$BM$21)&amp;"",""),""))</f>
        <v/>
      </c>
      <c r="CD21" s="2">
        <f>INDEX('Dados'!$A$301:$A$307,MATCH(SMALL($DI$21:$DO$21,1),$DI$21:$DO$21,0))</f>
        <v/>
      </c>
      <c r="CE21" s="2">
        <f>INDEX('Dados'!$A$301:$A$307,MATCH(SMALL($DI$21:$DO$21,2),$DI$21:$DO$21,0))</f>
        <v/>
      </c>
      <c r="CF21" s="2">
        <f>INDEX('Dados'!$A$301:$A$307,MATCH(SMALL($DI$21:$DO$21,3),$DI$21:$DO$21,0))</f>
        <v/>
      </c>
      <c r="CG21" s="2">
        <f>INDEX('Dados'!$A$301:$A$307,MATCH(SMALL($DI$21:$DO$21,4),$DI$21:$DO$21,0))</f>
        <v/>
      </c>
      <c r="CH21" s="2">
        <f>IF($BL$21=1,IFERROR(INDEX('Dados'!$J$92:$J$123,$BM$21),""),"")</f>
        <v/>
      </c>
      <c r="CI21" s="2">
        <f>IF($BL$21=1,IFERROR(INDEX('Dados'!$G$92:$G$123,$BM$21),""),"")</f>
        <v/>
      </c>
      <c r="CJ21" s="2">
        <f>IFERROR(INDEX('Dados'!$S$38:$S$52,MATCH($BS$21,'Dados'!$A$38:$A$52,0)),"")</f>
        <v/>
      </c>
      <c r="CK21" s="2">
        <f>IFERROR(INDEX('Dados'!$T$38:$T$52,MATCH($BS$21,'Dados'!$A$38:$A$52,0)),"")</f>
        <v/>
      </c>
      <c r="CL21" s="2">
        <f>IFERROR(INDEX('Dados'!$J$38:$J$52,MATCH($BQ$21&amp;"|Comum",'Dados'!$A$38:$A$52,0)),"")</f>
        <v/>
      </c>
      <c r="CM21" s="2">
        <f>IFERROR(INDEX('Dados'!$K$38:$K$52,MATCH($BQ$21&amp;"|Comum",'Dados'!$A$38:$A$52,0)),"")</f>
        <v/>
      </c>
      <c r="CN21" s="2">
        <f>MOD(MOD(MOD((MOD('Início'!$E$16+104729*$C$7+145138789,2147483646)+1)*16807,2147483647)*16807,2147483647)*16807,2147483647)</f>
        <v/>
      </c>
      <c r="CO21" s="2">
        <f>MOD(MOD(MOD((MOD(MOD(INT($CN$21/65536)*$CN$21,2147483647)*65536+MOD($CN$21,65536)*$CN$21,2147483647))*16807,2147483647)*16807,2147483647)*16807,2147483647)</f>
        <v/>
      </c>
      <c r="CP21" s="2">
        <f>MOD(MOD(MOD((MOD($CO$21+INT($CO$21/65536)*MOD($CO$21,65536),2147483646)+1)*16807,2147483647)*16807,2147483647)*16807,2147483647)</f>
        <v/>
      </c>
      <c r="CQ21" s="2">
        <f>MOD(MOD(MOD((MOD('Início'!$E$16+104729*$C$7+146438498,2147483646)+1)*16807,2147483647)*16807,2147483647)*16807,2147483647)</f>
        <v/>
      </c>
      <c r="CR21" s="2">
        <f>MOD(MOD(MOD((MOD(MOD(INT($CQ$21/65536)*$CQ$21,2147483647)*65536+MOD($CQ$21,65536)*$CQ$21,2147483647))*16807,2147483647)*16807,2147483647)*16807,2147483647)</f>
        <v/>
      </c>
      <c r="CS21" s="2">
        <f>MOD(MOD(MOD((MOD($CR$21+INT($CR$21/65536)*MOD($CR$21,65536),2147483646)+1)*16807,2147483647)*16807,2147483647)*16807,2147483647)</f>
        <v/>
      </c>
      <c r="CT21" s="2">
        <f>MOD(MOD(MOD((MOD('Início'!$E$16+104729*$C$7+147738207,2147483646)+1)*16807,2147483647)*16807,2147483647)*16807,2147483647)</f>
        <v/>
      </c>
      <c r="CU21" s="2">
        <f>MOD(MOD(MOD((MOD(MOD(INT($CT$21/65536)*$CT$21,2147483647)*65536+MOD($CT$21,65536)*$CT$21,2147483647))*16807,2147483647)*16807,2147483647)*16807,2147483647)</f>
        <v/>
      </c>
      <c r="CV21" s="2">
        <f>MOD(MOD(MOD((MOD($CU$21+INT($CU$21/65536)*MOD($CU$21,65536),2147483646)+1)*16807,2147483647)*16807,2147483647)*16807,2147483647)</f>
        <v/>
      </c>
      <c r="CW21" s="2">
        <f>MOD(MOD(MOD((MOD('Início'!$E$16+104729*$C$7+149037916,2147483646)+1)*16807,2147483647)*16807,2147483647)*16807,2147483647)</f>
        <v/>
      </c>
      <c r="CX21" s="2">
        <f>MOD(MOD(MOD((MOD(MOD(INT($CW$21/65536)*$CW$21,2147483647)*65536+MOD($CW$21,65536)*$CW$21,2147483647))*16807,2147483647)*16807,2147483647)*16807,2147483647)</f>
        <v/>
      </c>
      <c r="CY21" s="2">
        <f>MOD(MOD(MOD((MOD($CX$21+INT($CX$21/65536)*MOD($CX$21,65536),2147483646)+1)*16807,2147483647)*16807,2147483647)*16807,2147483647)</f>
        <v/>
      </c>
      <c r="CZ21" s="2">
        <f>MOD(MOD(MOD((MOD('Início'!$E$16+104729*$C$7+150337625,2147483646)+1)*16807,2147483647)*16807,2147483647)*16807,2147483647)</f>
        <v/>
      </c>
      <c r="DA21" s="2">
        <f>MOD(MOD(MOD((MOD(MOD(INT($CZ$21/65536)*$CZ$21,2147483647)*65536+MOD($CZ$21,65536)*$CZ$21,2147483647))*16807,2147483647)*16807,2147483647)*16807,2147483647)</f>
        <v/>
      </c>
      <c r="DB21" s="2">
        <f>MOD(MOD(MOD((MOD($DA$21+INT($DA$21/65536)*MOD($DA$21,65536),2147483646)+1)*16807,2147483647)*16807,2147483647)*16807,2147483647)</f>
        <v/>
      </c>
      <c r="DC21" s="2">
        <f>MOD(MOD(MOD((MOD('Início'!$E$16+104729*$C$7+151637334,2147483646)+1)*16807,2147483647)*16807,2147483647)*16807,2147483647)</f>
        <v/>
      </c>
      <c r="DD21" s="2">
        <f>MOD(MOD(MOD((MOD(MOD(INT($DC$21/65536)*$DC$21,2147483647)*65536+MOD($DC$21,65536)*$DC$21,2147483647))*16807,2147483647)*16807,2147483647)*16807,2147483647)</f>
        <v/>
      </c>
      <c r="DE21" s="2">
        <f>MOD(MOD(MOD((MOD($DD$21+INT($DD$21/65536)*MOD($DD$21,65536),2147483646)+1)*16807,2147483647)*16807,2147483647)*16807,2147483647)</f>
        <v/>
      </c>
      <c r="DF21" s="2">
        <f>MOD(MOD(MOD((MOD('Início'!$E$16+104729*$C$7+152937043,2147483646)+1)*16807,2147483647)*16807,2147483647)*16807,2147483647)</f>
        <v/>
      </c>
      <c r="DG21" s="2">
        <f>MOD(MOD(MOD((MOD(MOD(INT($DF$21/65536)*$DF$21,2147483647)*65536+MOD($DF$21,65536)*$DF$21,2147483647))*16807,2147483647)*16807,2147483647)*16807,2147483647)</f>
        <v/>
      </c>
      <c r="DH21" s="2">
        <f>MOD(MOD(MOD((MOD($DG$21+INT($DG$21/65536)*MOD($DG$21,65536),2147483646)+1)*16807,2147483647)*16807,2147483647)*16807,2147483647)</f>
        <v/>
      </c>
      <c r="DI21" s="2">
        <f>IF($CC$21="Físico",9000000000,IF(AND('Grupo'!$B$81="Sim",COUNTIF($BY$11:$CB$20,"Físico")=0),0,2147483647))+$CP$21+1/10</f>
        <v/>
      </c>
      <c r="DJ21" s="2">
        <f>IF($CC$21="Fogo",9000000000,IF(AND('Grupo'!$C$81="Sim",COUNTIF($BY$11:$CB$20,"Fogo")=0),0,2147483647))+$CS$21+2/10</f>
        <v/>
      </c>
      <c r="DK21" s="2">
        <f>IF($CC$21="Gelo",9000000000,IF(AND('Grupo'!$D$81="Sim",COUNTIF($BY$11:$CB$20,"Gelo")=0),0,2147483647))+$CV$21+3/10</f>
        <v/>
      </c>
      <c r="DL21" s="2">
        <f>IF($CC$21="Raio",9000000000,IF(AND('Grupo'!$E$81="Sim",COUNTIF($BY$11:$CB$20,"Raio")=0),0,2147483647))+$CY$21+4/10</f>
        <v/>
      </c>
      <c r="DM21" s="2">
        <f>IF($CC$21="Vento",9000000000,IF(AND('Grupo'!$F$81="Sim",COUNTIF($BY$11:$CB$20,"Vento")=0),0,2147483647))+$DB$21+5/10</f>
        <v/>
      </c>
      <c r="DN21" s="2">
        <f>IF($CC$21="Quântico",9000000000,IF(AND('Grupo'!$G$81="Sim",COUNTIF($BY$11:$CB$20,"Quântico")=0),0,2147483647))+$DE$21+6/10</f>
        <v/>
      </c>
      <c r="DO21" s="2">
        <f>IF($CC$21="Imaginário",9000000000,IF(AND('Grupo'!$H$81="Sim",COUNTIF($BY$11:$CB$20,"Imaginário")=0),0,2147483647))+$DH$21+7/10</f>
        <v/>
      </c>
      <c r="DQ21" s="2">
        <f>IF(ISERROR($A$21),"",IF(ISBLANK($A$21),"",$A$21))</f>
        <v/>
      </c>
      <c r="DR21" s="2">
        <f>IF(ISERROR($B$21),"",IF(ISBLANK($B$21),"",$B$21))</f>
        <v/>
      </c>
      <c r="DT21" s="2">
        <f>IF(ISERROR($D$21),"",IF(ISBLANK($D$21),"",$D$21))</f>
        <v/>
      </c>
      <c r="DW21" s="2">
        <f>IF(ISERROR($G$21),"",IF(ISBLANK($G$21),"",$G$21))</f>
        <v/>
      </c>
      <c r="DX21" s="2">
        <f>IF(ISERROR($H$21),"",IF(ISBLANK($H$21),"",$H$21))</f>
        <v/>
      </c>
      <c r="DY21" s="2">
        <f>IF(ISERROR($I$21),"",IF(ISBLANK($I$21),"",$I$21))</f>
        <v/>
      </c>
      <c r="DZ21" s="2">
        <f>IF(ISERROR($J$21),"",IF(ISBLANK($J$21),"",$J$21))</f>
        <v/>
      </c>
      <c r="EA21" s="2">
        <f>ISERROR($A$21)*1+ISERROR($B$21)*1+ISERROR($D$21)*1+ISERROR($G$21)*1+ISERROR($H$21)*1+ISERROR($I$21)*1+ISERROR($J$21)*1</f>
        <v/>
      </c>
    </row>
    <row r="22" ht="26" customHeight="1">
      <c r="A22" s="35" t="n"/>
      <c r="B22" s="29" t="n"/>
      <c r="C22" s="17" t="n"/>
      <c r="D22" s="29" t="n"/>
      <c r="E22" s="25" t="n"/>
      <c r="F22" s="17" t="n"/>
      <c r="G22" s="36" t="n"/>
      <c r="H22" s="37" t="n"/>
      <c r="I22" s="36" t="n"/>
      <c r="J22" s="37" t="n"/>
      <c r="K22" s="27">
        <f>IF(EA22&gt;0,"O Google leu como fórmula: escolha de novo ou digite com ' na frente.",IF(LEN($DQ$22)=0,IF(LEN($DR$22&amp;$DT$22&amp;$DY$22)&gt;0,"Linha sem nome: o inimigo não entra nas listas",""),IF(COUNTIF($DQ$11:$DQ$22,$DQ$22)&gt;1,"Nome repetido na tabela",IF(COUNTIF('Dados'!$B$92:$B$123,$DQ$22)&gt;0,"Nome igual a uma criatura do bestiário: dê outro nome",IF(AND($BK$22="Ajustar do bestiário",$BL$22=0),"Modo Ajustar sem base do bestiário válida",IF(AND(LEN($DZ$22)&gt;0,$BN$22&lt;&gt;"Boss"),"Fases só valem para Boss (28.5)",IF(AND(ISNUMBER($DX$22),OR($DX$22&lt;1,$DX$22&gt;20)),"Nível fora de 1 a 20: usando o limite",IF(AND(LEN($DY$22)&gt;0,COUNTIF('Dados'!$AO$6:$AO$8,$DY$22)=0),"Tipo fora da lista: usando Comum",""))))))))</f>
        <v/>
      </c>
      <c r="N22" s="2">
        <f>IF(LEN($DQ$22)=0,"",$DQ$22)</f>
        <v/>
      </c>
      <c r="O22" s="2">
        <f>IF(LEN($DQ$22)=0,"",$BN$22)</f>
        <v/>
      </c>
      <c r="P22" s="2">
        <f>IF(LEN($DQ$22)=0,"",$BQ$22)</f>
        <v/>
      </c>
      <c r="Q22" s="2">
        <f>IF(LEN($DQ$22)=0,"",$BU$22)</f>
        <v/>
      </c>
      <c r="R22" s="2">
        <f>IF(LEN($DQ$22)=0,"",IFERROR(INDEX('Dados'!$E$38:$E$52,MATCH($BS$22,'Dados'!$A$38:$A$52,0)),""))</f>
        <v/>
      </c>
      <c r="S22" s="2">
        <f>IF(LEN($DQ$22)=0,"",IFERROR(INDEX('Dados'!$F$38:$F$52,MATCH($BS$22,'Dados'!$A$38:$A$52,0)),""))</f>
        <v/>
      </c>
      <c r="T22" s="2">
        <f>IF(LEN($DQ$22)=0,"",IFERROR(INDEX('Dados'!$G$38:$G$52,MATCH($BS$22,'Dados'!$A$38:$A$52,0)),""))</f>
        <v/>
      </c>
      <c r="U22" s="2">
        <f>IF(LEN($DQ$22)=0,"",IFERROR(INDEX('Dados'!$H$38:$H$52,MATCH($BS$22,'Dados'!$A$38:$A$52,0)),""))</f>
        <v/>
      </c>
      <c r="V22" s="2">
        <f>IF(LEN($DQ$22)=0,"",IFERROR(INDEX('Dados'!$I$38:$I$52,MATCH($BS$22,'Dados'!$A$38:$A$52,0)),""))</f>
        <v/>
      </c>
      <c r="W22" s="2">
        <f>IF(LEN($DQ$22)=0,"",IFERROR(INDEX('Dados'!$J$38:$J$52,MATCH($BS$22,'Dados'!$A$38:$A$52,0)),""))</f>
        <v/>
      </c>
      <c r="X22" s="2">
        <f>IF(LEN($DQ$22)=0,"",IFERROR(INDEX('Dados'!$K$38:$K$52,MATCH($BS$22,'Dados'!$A$38:$A$52,0)),""))</f>
        <v/>
      </c>
      <c r="Y22" s="2">
        <f>IF(LEN($DQ$22)=0,"",IFERROR(INDEX('Dados'!$L$38:$L$52,MATCH($BS$22,'Dados'!$A$38:$A$52,0)),""))</f>
        <v/>
      </c>
      <c r="Z22" s="2">
        <f>IF(LEN($DQ$22)=0,"",IFERROR(INDEX('Dados'!$M$38:$M$52,MATCH($BS$22,'Dados'!$A$38:$A$52,0)),""))</f>
        <v/>
      </c>
      <c r="AA22" s="2">
        <f>IF(LEN($DQ$22)=0,"",$BY$22)</f>
        <v/>
      </c>
      <c r="AB22" s="2">
        <f>IF(LEN($DQ$22)=0,"",$BZ$22)</f>
        <v/>
      </c>
      <c r="AC22" s="2">
        <f>IF(LEN($DQ$22)=0,"",$CA$22)</f>
        <v/>
      </c>
      <c r="AD22" s="2">
        <f>IF(LEN($DQ$22)=0,"",$CB$22)</f>
        <v/>
      </c>
      <c r="AE22" s="2">
        <f>IF(LEN($DQ$22)=0,"",$CC$22)</f>
        <v/>
      </c>
      <c r="AF22" s="2">
        <f>IF(LEN($DQ$22)=0,"",IF($DV$37="Sim","Pode",IF($DV$37="Não","Não",IF($BL$22=1,IFERROR(INDEX('Dados'!$V$92:$V$123,$BM$22)&amp;"",""),"Não declarado"))))</f>
        <v/>
      </c>
      <c r="AG22" s="2">
        <f>IF(LEN($DQ$22)=0,"",$BV$22)</f>
        <v/>
      </c>
      <c r="AH22" s="2">
        <f>IF(LEN($DQ$22)=0,"",IFERROR(INDEX('Dados'!$Q$38:$Q$52,MATCH($BS$22,'Dados'!$A$38:$A$52,0)),""))</f>
        <v/>
      </c>
      <c r="AI22" s="2">
        <f>IF(LEN($DQ$22)=0,"",IF(AND($BL$22=1,$DT$22="Escória de Stellaron"),1.5,1)*$BU$22)</f>
        <v/>
      </c>
      <c r="AJ22" s="2">
        <f>IF(LEN($DQ$22)=0,"",IFERROR(INDEX('Dados'!$P$38:$P$52,MATCH($BS$22,'Dados'!$A$38:$A$52,0)),""))</f>
        <v/>
      </c>
      <c r="AK22" s="2">
        <f>IF(LEN($DQ$22)=0,"",IF($BV$22=2,INT($BU$22/2),IF($BV$22=3,INT(2*$BU$22/3),"")))</f>
        <v/>
      </c>
      <c r="AL22" s="2">
        <f>IF(LEN($DQ$22)=0,"",IF($BV$22=3,INT($BU$22/3),""))</f>
        <v/>
      </c>
      <c r="AM22" s="2">
        <f>IF(OR(LEN($DQ$22)=0,$BV$22&lt;2),"",IFERROR(INDEX($DT$88:$DT$112,MATCH($DQ$22&amp;"|2",$N$88:$N$112,0))&amp;"",IF($BL$22=1,IFERROR(INDEX('Dados'!$G$127:$G$138,MATCH($DT$22&amp;"|2",'Dados'!$A$127:$A$138,0)),""),"")))</f>
        <v/>
      </c>
      <c r="AN22" s="2">
        <f>IF(OR(LEN($DQ$22)=0,$BV$22&lt;2),"",IFERROR(INDEX($DU$88:$DU$112,MATCH($DQ$22&amp;"|2",$N$88:$N$112,0))&amp;"",IF($BL$22=1,IFERROR(INDEX('Dados'!$H$127:$H$138,MATCH($DT$22&amp;"|2",'Dados'!$A$127:$A$138,0)),""),"")))</f>
        <v/>
      </c>
      <c r="AO22" s="2">
        <f>IF(OR(LEN($DQ$22)=0,$BV$22&lt;2),"",IFERROR(INDEX($DV$88:$DV$112,MATCH($DQ$22&amp;"|2",$N$88:$N$112,0))&amp;"",IF($BL$22=1,IFERROR(INDEX('Dados'!$I$127:$I$138,MATCH($DT$22&amp;"|2",'Dados'!$A$127:$A$138,0)),""),"")))</f>
        <v/>
      </c>
      <c r="AP22" s="2">
        <f>IF(OR(LEN($DQ$22)=0,$BV$22&lt;2),"",IFERROR(INDEX($DW$88:$DW$112,MATCH($DQ$22&amp;"|2",$N$88:$N$112,0))&amp;"",IF($BL$22=1,IFERROR(INDEX('Dados'!$J$127:$J$138,MATCH($DT$22&amp;"|2",'Dados'!$A$127:$A$138,0)),""),"")))</f>
        <v/>
      </c>
      <c r="AQ22" s="2">
        <f>IF(OR(LEN($DQ$22)=0,$BV$22&lt;2),"",IF(ISNUMBER(MATCH($DQ$22&amp;"|2",$N$88:$N$112,0)),IF(ISNUMBER(INDEX($DX$88:$DX$112,MATCH($DQ$22&amp;"|2",$N$88:$N$112,0))),MIN(IFERROR(INDEX('Dados'!$G$38:$G$52,MATCH($BS$22,'Dados'!$A$38:$A$52,0)),""),INDEX($DX$88:$DX$112,MATCH($DQ$22&amp;"|2",$N$88:$N$112,0))),IFERROR(INDEX('Dados'!$G$38:$G$52,MATCH($BS$22,'Dados'!$A$38:$A$52,0)),"")),IF($BL$22=1,IFERROR(MIN(IFERROR(INDEX('Dados'!$G$38:$G$52,MATCH($BS$22,'Dados'!$A$38:$A$52,0)),""),INT(INDEX('Dados'!$K$127:$K$138,MATCH($DT$22&amp;"|2",'Dados'!$A$127:$A$138,0))*IFERROR(INDEX('Dados'!$G$38:$G$52,MATCH($BS$22,'Dados'!$A$38:$A$52,0)),"")/$CH$22)),IFERROR(INDEX('Dados'!$G$38:$G$52,MATCH($BS$22,'Dados'!$A$38:$A$52,0)),"")),IFERROR(INDEX('Dados'!$G$38:$G$52,MATCH($BS$22,'Dados'!$A$38:$A$52,0)),""))))</f>
        <v/>
      </c>
      <c r="AR22" s="2">
        <f>IF(OR(LEN($DQ$22)=0,$BV$22&lt;3),"",IFERROR(INDEX($DT$88:$DT$112,MATCH($DQ$22&amp;"|3",$N$88:$N$112,0))&amp;"",IF($BL$22=1,IFERROR(INDEX('Dados'!$G$127:$G$138,MATCH($DT$22&amp;"|3",'Dados'!$A$127:$A$138,0)),""),"")))</f>
        <v/>
      </c>
      <c r="AS22" s="2">
        <f>IF(OR(LEN($DQ$22)=0,$BV$22&lt;3),"",IFERROR(INDEX($DU$88:$DU$112,MATCH($DQ$22&amp;"|3",$N$88:$N$112,0))&amp;"",IF($BL$22=1,IFERROR(INDEX('Dados'!$H$127:$H$138,MATCH($DT$22&amp;"|3",'Dados'!$A$127:$A$138,0)),""),"")))</f>
        <v/>
      </c>
      <c r="AT22" s="2">
        <f>IF(OR(LEN($DQ$22)=0,$BV$22&lt;3),"",IFERROR(INDEX($DV$88:$DV$112,MATCH($DQ$22&amp;"|3",$N$88:$N$112,0))&amp;"",IF($BL$22=1,IFERROR(INDEX('Dados'!$I$127:$I$138,MATCH($DT$22&amp;"|3",'Dados'!$A$127:$A$138,0)),""),"")))</f>
        <v/>
      </c>
      <c r="AU22" s="2">
        <f>IF(OR(LEN($DQ$22)=0,$BV$22&lt;3),"",IFERROR(INDEX($DW$88:$DW$112,MATCH($DQ$22&amp;"|3",$N$88:$N$112,0))&amp;"",IF($BL$22=1,IFERROR(INDEX('Dados'!$J$127:$J$138,MATCH($DT$22&amp;"|3",'Dados'!$A$127:$A$138,0)),""),"")))</f>
        <v/>
      </c>
      <c r="AV22" s="2">
        <f>IF(OR(LEN($DQ$22)=0,$BV$22&lt;3),"",IF(ISNUMBER(MATCH($DQ$22&amp;"|3",$N$88:$N$112,0)),IF(ISNUMBER(INDEX($DX$88:$DX$112,MATCH($DQ$22&amp;"|3",$N$88:$N$112,0))),MIN(IFERROR(INDEX('Dados'!$G$38:$G$52,MATCH($BS$22,'Dados'!$A$38:$A$52,0)),""),INDEX($DX$88:$DX$112,MATCH($DQ$22&amp;"|3",$N$88:$N$112,0))),IFERROR(INDEX('Dados'!$G$38:$G$52,MATCH($BS$22,'Dados'!$A$38:$A$52,0)),"")),IF($BL$22=1,IFERROR(MIN(IFERROR(INDEX('Dados'!$G$38:$G$52,MATCH($BS$22,'Dados'!$A$38:$A$52,0)),""),INT(INDEX('Dados'!$K$127:$K$138,MATCH($DT$22&amp;"|3",'Dados'!$A$127:$A$138,0))*IFERROR(INDEX('Dados'!$G$38:$G$52,MATCH($BS$22,'Dados'!$A$38:$A$52,0)),"")/$CH$22)),IFERROR(INDEX('Dados'!$G$38:$G$52,MATCH($BS$22,'Dados'!$A$38:$A$52,0)),"")),IFERROR(INDEX('Dados'!$G$38:$G$52,MATCH($BS$22,'Dados'!$A$38:$A$52,0)),""))))</f>
        <v/>
      </c>
      <c r="AW22" s="2">
        <f>IF(LEN($DQ$22)=0,"",IF($BL$22=1,IFERROR(INDEX('Dados'!$AF$92:$AF$123,$BM$22)&amp;"",""),IFERROR(INDEX($DU$116:$DU$153,MATCH($DQ$22&amp;"|1",$Q$116:$Q$153,0))&amp;"","")))</f>
        <v/>
      </c>
      <c r="AX22" s="2">
        <f>IF(LEN($DQ$22)=0,"",IF($BL$22=1,IF(ISNUMBER(IFERROR(INDEX('Dados'!$AG$92:$AG$123,$BM$22),"")),IF(IFERROR(INDEX('Dados'!$AG$92:$AG$123,$BM$22),"")&gt;0,IFERROR(INDEX('Dados'!$AG$92:$AG$123,$BM$22),""),""),""),IFERROR(INDEX($DY$116:$DY$153,MATCH($DQ$22&amp;"|1",$Q$116:$Q$153,0))+0,"")))</f>
        <v/>
      </c>
      <c r="AY22" s="2">
        <f>IF(LEN($DQ$22)=0,"",IF($BL$22=1,IFERROR(INDEX('Dados'!$AH$92:$AH$123,$BM$22)&amp;"",""),IFERROR(INDEX($DU$116:$DU$153,MATCH($DQ$22&amp;"|2",$Q$116:$Q$153,0))&amp;"","")))</f>
        <v/>
      </c>
      <c r="AZ22" s="2">
        <f>IF(LEN($DQ$22)=0,"",IF($BL$22=1,IF(ISNUMBER(IFERROR(INDEX('Dados'!$AI$92:$AI$123,$BM$22),"")),IF(IFERROR(INDEX('Dados'!$AI$92:$AI$123,$BM$22),"")&gt;0,IFERROR(INDEX('Dados'!$AI$92:$AI$123,$BM$22),""),""),""),IFERROR(INDEX($DY$116:$DY$153,MATCH($DQ$22&amp;"|2",$Q$116:$Q$153,0))+0,"")))</f>
        <v/>
      </c>
      <c r="BA22" s="2">
        <f>IF(LEN($DQ$22)=0,"",IF($BL$22=1,IFERROR(INDEX('Dados'!$AJ$92:$AJ$123,$BM$22)&amp;"",""),IFERROR(INDEX($DU$116:$DU$153,MATCH($DQ$22&amp;"|3",$Q$116:$Q$153,0))&amp;"","")))</f>
        <v/>
      </c>
      <c r="BB22" s="2">
        <f>IF(LEN($DQ$22)=0,"",IF($BL$22=1,IF(ISNUMBER(IFERROR(INDEX('Dados'!$AK$92:$AK$123,$BM$22),"")),IF(IFERROR(INDEX('Dados'!$AK$92:$AK$123,$BM$22),"")&gt;0,IFERROR(INDEX('Dados'!$AK$92:$AK$123,$BM$22),""),""),""),IFERROR(INDEX($DY$116:$DY$153,MATCH($DQ$22&amp;"|3",$Q$116:$Q$153,0))+0,"")))</f>
        <v/>
      </c>
      <c r="BC22" s="2">
        <f>IF(LEN($DQ$22)=0,"",IF(LEN($DR$37)&gt;0,$DR$37,IF($BL$22=1,IFERROR(INDEX('Dados'!$E$92:$E$123,$BM$22)&amp;"",""),"")))</f>
        <v/>
      </c>
      <c r="BD22" s="2">
        <f>IF(AND(LEN($DR$37)=0,$BL$22=1),IFERROR(INDEX('Dados'!$AD$92:$AD$123,$BM$22)&amp;"",""),"")</f>
        <v/>
      </c>
      <c r="BE22" s="2">
        <f>IF(LEN($DQ$22)=0,"",INDEX('Dados'!$F$7:$F$11,$BR$22))</f>
        <v/>
      </c>
      <c r="BF22" s="2">
        <f>IF(LEN($DQ$22)=0,"",$BR$22)</f>
        <v/>
      </c>
      <c r="BG22" s="2">
        <f>$G$53</f>
        <v/>
      </c>
      <c r="BH22" s="2">
        <f>"Campanha"</f>
        <v/>
      </c>
      <c r="BK22" s="2">
        <f>IF(COUNTIF('Dados'!$AQ$6:$AQ$8,$DR$22)&gt;0,$DR$22,"Faixa do livro")</f>
        <v/>
      </c>
      <c r="BL22" s="2">
        <f>IF(AND($BK$22="Ajustar do bestiário",ISNUMBER($BM$22)),1,0)</f>
        <v/>
      </c>
      <c r="BM22" s="2">
        <f>IFERROR(MATCH($DT$22,'Dados'!$B$92:$B$123,0),"")</f>
        <v/>
      </c>
      <c r="BN22" s="2">
        <f>IF(COUNTIF('Dados'!$AO$6:$AO$8,$DY$22)&gt;0,$DY$22,IF($BL$22=1,IFERROR(INDEX('Dados'!$C$92:$C$123,$BM$22),""),"Comum"))</f>
        <v/>
      </c>
      <c r="BO22" s="2">
        <f>MATCH($BN$22,'Dados'!$AO$6:$AO$8,0)</f>
        <v/>
      </c>
      <c r="BP22" s="2">
        <f>IF(ISNUMBER($DX$22),MIN(20,MAX(1,INT($DX$22))),'Campanha'!$B$17)</f>
        <v/>
      </c>
      <c r="BQ22" s="2">
        <f>IF($BK$22="Por nível — Sugestão",INDEX('Dados'!$B$7:$B$11,INT(($BP$22-1)/4)+1),IF(LEN(IFERROR(INDEX('Dados'!$B$7:$B$11,MATCH($DW$22,'Dados'!$AP$6:$AP$10,0)),""))&gt;0,IFERROR(INDEX('Dados'!$B$7:$B$11,MATCH($DW$22,'Dados'!$AP$6:$AP$10,0)),""),'Campanha'!$B$19))</f>
        <v/>
      </c>
      <c r="BR22" s="2">
        <f>MATCH($BQ$22,'Dados'!$B$7:$B$11,0)</f>
        <v/>
      </c>
      <c r="BS22" s="2">
        <f>$BQ$22&amp;"|"&amp;$BN$22</f>
        <v/>
      </c>
      <c r="BT22" s="2">
        <f>MIN(4,MAX(1,INT(($BP$22-3)/4)+1))</f>
        <v/>
      </c>
      <c r="BU22" s="2">
        <f>IF($BK$22="Por nível — Sugestão",INT(IF($BP$22&lt;=3,INDEX('Dados'!$D$38:$D$52,$BO$22),IF($BP$22&gt;=19,INDEX('Dados'!$D$38:$D$52,12+$BO$22),INDEX('Dados'!$D$38:$D$52,($BT$22-1)*3+$BO$22)+(INDEX('Dados'!$D$38:$D$52,$BT$22*3+$BO$22)-INDEX('Dados'!$D$38:$D$52,($BT$22-1)*3+$BO$22))*($BP$22-(4*$BT$22-1))/4))),IFERROR(INDEX('Dados'!$D$38:$D$52,MATCH($BS$22,'Dados'!$A$38:$A$52,0)),""))</f>
        <v/>
      </c>
      <c r="BV22" s="2">
        <f>IF($BN$22&lt;&gt;"Boss",1,IF(AND(ISNUMBER($DZ$22),$DZ$22&gt;=1,$DZ$22&lt;=3),INT($DZ$22),IF($BL$22=1,MAX(1,IFERROR(INDEX('Dados'!$F$92:$F$123,$BM$22),"")),1)))</f>
        <v/>
      </c>
      <c r="BW22" s="2">
        <f>IFERROR(INDEX('Dados'!$O$38:$O$52,MATCH($BS$22,'Dados'!$A$38:$A$52,0)),"")</f>
        <v/>
      </c>
      <c r="BX22" s="2">
        <f>IF(AND(LEN($DR$53)=0,LEN($DS$53)=0,LEN($DT$53)=0,LEN($DU$53)=0),1,0)</f>
        <v/>
      </c>
      <c r="BY22" s="2">
        <f>IF(LEN($DQ$22)=0,"",IF($BX$22=0,$DR$53&amp;"",IF($BL$22=1,IFERROR(INDEX('Dados'!$Q$92:$Q$123,$BM$22)&amp;"",""),IF(1&lt;=$BW$22,$CD$22,""))))</f>
        <v/>
      </c>
      <c r="BZ22" s="2">
        <f>IF(LEN($DQ$22)=0,"",IF($BX$22=0,$DS$53&amp;"",IF($BL$22=1,IFERROR(INDEX('Dados'!$R$92:$R$123,$BM$22)&amp;"",""),IF(2&lt;=$BW$22,$CE$22,""))))</f>
        <v/>
      </c>
      <c r="CA22" s="2">
        <f>IF(LEN($DQ$22)=0,"",IF($BX$22=0,$DT$53&amp;"",IF($BL$22=1,IFERROR(INDEX('Dados'!$S$92:$S$123,$BM$22)&amp;"",""),IF(3&lt;=$BW$22,$CF$22,""))))</f>
        <v/>
      </c>
      <c r="CB22" s="2">
        <f>IF(LEN($DQ$22)=0,"",IF($BX$22=0,$DU$53&amp;"",IF($BL$22=1,IFERROR(INDEX('Dados'!$T$92:$T$123,$BM$22)&amp;"",""),IF(4&lt;=$BW$22,$CG$22,""))))</f>
        <v/>
      </c>
      <c r="CC22" s="2">
        <f>IF(LEN($DV$53)&gt;0,$DV$53,IF($BL$22=1,IFERROR(INDEX('Dados'!$U$92:$U$123,$BM$22)&amp;"",""),""))</f>
        <v/>
      </c>
      <c r="CD22" s="2">
        <f>INDEX('Dados'!$A$301:$A$307,MATCH(SMALL($DI$22:$DO$22,1),$DI$22:$DO$22,0))</f>
        <v/>
      </c>
      <c r="CE22" s="2">
        <f>INDEX('Dados'!$A$301:$A$307,MATCH(SMALL($DI$22:$DO$22,2),$DI$22:$DO$22,0))</f>
        <v/>
      </c>
      <c r="CF22" s="2">
        <f>INDEX('Dados'!$A$301:$A$307,MATCH(SMALL($DI$22:$DO$22,3),$DI$22:$DO$22,0))</f>
        <v/>
      </c>
      <c r="CG22" s="2">
        <f>INDEX('Dados'!$A$301:$A$307,MATCH(SMALL($DI$22:$DO$22,4),$DI$22:$DO$22,0))</f>
        <v/>
      </c>
      <c r="CH22" s="2">
        <f>IF($BL$22=1,IFERROR(INDEX('Dados'!$J$92:$J$123,$BM$22),""),"")</f>
        <v/>
      </c>
      <c r="CI22" s="2">
        <f>IF($BL$22=1,IFERROR(INDEX('Dados'!$G$92:$G$123,$BM$22),""),"")</f>
        <v/>
      </c>
      <c r="CJ22" s="2">
        <f>IFERROR(INDEX('Dados'!$S$38:$S$52,MATCH($BS$22,'Dados'!$A$38:$A$52,0)),"")</f>
        <v/>
      </c>
      <c r="CK22" s="2">
        <f>IFERROR(INDEX('Dados'!$T$38:$T$52,MATCH($BS$22,'Dados'!$A$38:$A$52,0)),"")</f>
        <v/>
      </c>
      <c r="CL22" s="2">
        <f>IFERROR(INDEX('Dados'!$J$38:$J$52,MATCH($BQ$22&amp;"|Comum",'Dados'!$A$38:$A$52,0)),"")</f>
        <v/>
      </c>
      <c r="CM22" s="2">
        <f>IFERROR(INDEX('Dados'!$K$38:$K$52,MATCH($BQ$22&amp;"|Comum",'Dados'!$A$38:$A$52,0)),"")</f>
        <v/>
      </c>
      <c r="CN22" s="2">
        <f>MOD(MOD(MOD((MOD('Início'!$E$16+104729*$C$7+158135879,2147483646)+1)*16807,2147483647)*16807,2147483647)*16807,2147483647)</f>
        <v/>
      </c>
      <c r="CO22" s="2">
        <f>MOD(MOD(MOD((MOD(MOD(INT($CN$22/65536)*$CN$22,2147483647)*65536+MOD($CN$22,65536)*$CN$22,2147483647))*16807,2147483647)*16807,2147483647)*16807,2147483647)</f>
        <v/>
      </c>
      <c r="CP22" s="2">
        <f>MOD(MOD(MOD((MOD($CO$22+INT($CO$22/65536)*MOD($CO$22,65536),2147483646)+1)*16807,2147483647)*16807,2147483647)*16807,2147483647)</f>
        <v/>
      </c>
      <c r="CQ22" s="2">
        <f>MOD(MOD(MOD((MOD('Início'!$E$16+104729*$C$7+159435588,2147483646)+1)*16807,2147483647)*16807,2147483647)*16807,2147483647)</f>
        <v/>
      </c>
      <c r="CR22" s="2">
        <f>MOD(MOD(MOD((MOD(MOD(INT($CQ$22/65536)*$CQ$22,2147483647)*65536+MOD($CQ$22,65536)*$CQ$22,2147483647))*16807,2147483647)*16807,2147483647)*16807,2147483647)</f>
        <v/>
      </c>
      <c r="CS22" s="2">
        <f>MOD(MOD(MOD((MOD($CR$22+INT($CR$22/65536)*MOD($CR$22,65536),2147483646)+1)*16807,2147483647)*16807,2147483647)*16807,2147483647)</f>
        <v/>
      </c>
      <c r="CT22" s="2">
        <f>MOD(MOD(MOD((MOD('Início'!$E$16+104729*$C$7+160735297,2147483646)+1)*16807,2147483647)*16807,2147483647)*16807,2147483647)</f>
        <v/>
      </c>
      <c r="CU22" s="2">
        <f>MOD(MOD(MOD((MOD(MOD(INT($CT$22/65536)*$CT$22,2147483647)*65536+MOD($CT$22,65536)*$CT$22,2147483647))*16807,2147483647)*16807,2147483647)*16807,2147483647)</f>
        <v/>
      </c>
      <c r="CV22" s="2">
        <f>MOD(MOD(MOD((MOD($CU$22+INT($CU$22/65536)*MOD($CU$22,65536),2147483646)+1)*16807,2147483647)*16807,2147483647)*16807,2147483647)</f>
        <v/>
      </c>
      <c r="CW22" s="2">
        <f>MOD(MOD(MOD((MOD('Início'!$E$16+104729*$C$7+162035006,2147483646)+1)*16807,2147483647)*16807,2147483647)*16807,2147483647)</f>
        <v/>
      </c>
      <c r="CX22" s="2">
        <f>MOD(MOD(MOD((MOD(MOD(INT($CW$22/65536)*$CW$22,2147483647)*65536+MOD($CW$22,65536)*$CW$22,2147483647))*16807,2147483647)*16807,2147483647)*16807,2147483647)</f>
        <v/>
      </c>
      <c r="CY22" s="2">
        <f>MOD(MOD(MOD((MOD($CX$22+INT($CX$22/65536)*MOD($CX$22,65536),2147483646)+1)*16807,2147483647)*16807,2147483647)*16807,2147483647)</f>
        <v/>
      </c>
      <c r="CZ22" s="2">
        <f>MOD(MOD(MOD((MOD('Início'!$E$16+104729*$C$7+163334715,2147483646)+1)*16807,2147483647)*16807,2147483647)*16807,2147483647)</f>
        <v/>
      </c>
      <c r="DA22" s="2">
        <f>MOD(MOD(MOD((MOD(MOD(INT($CZ$22/65536)*$CZ$22,2147483647)*65536+MOD($CZ$22,65536)*$CZ$22,2147483647))*16807,2147483647)*16807,2147483647)*16807,2147483647)</f>
        <v/>
      </c>
      <c r="DB22" s="2">
        <f>MOD(MOD(MOD((MOD($DA$22+INT($DA$22/65536)*MOD($DA$22,65536),2147483646)+1)*16807,2147483647)*16807,2147483647)*16807,2147483647)</f>
        <v/>
      </c>
      <c r="DC22" s="2">
        <f>MOD(MOD(MOD((MOD('Início'!$E$16+104729*$C$7+164634424,2147483646)+1)*16807,2147483647)*16807,2147483647)*16807,2147483647)</f>
        <v/>
      </c>
      <c r="DD22" s="2">
        <f>MOD(MOD(MOD((MOD(MOD(INT($DC$22/65536)*$DC$22,2147483647)*65536+MOD($DC$22,65536)*$DC$22,2147483647))*16807,2147483647)*16807,2147483647)*16807,2147483647)</f>
        <v/>
      </c>
      <c r="DE22" s="2">
        <f>MOD(MOD(MOD((MOD($DD$22+INT($DD$22/65536)*MOD($DD$22,65536),2147483646)+1)*16807,2147483647)*16807,2147483647)*16807,2147483647)</f>
        <v/>
      </c>
      <c r="DF22" s="2">
        <f>MOD(MOD(MOD((MOD('Início'!$E$16+104729*$C$7+165934133,2147483646)+1)*16807,2147483647)*16807,2147483647)*16807,2147483647)</f>
        <v/>
      </c>
      <c r="DG22" s="2">
        <f>MOD(MOD(MOD((MOD(MOD(INT($DF$22/65536)*$DF$22,2147483647)*65536+MOD($DF$22,65536)*$DF$22,2147483647))*16807,2147483647)*16807,2147483647)*16807,2147483647)</f>
        <v/>
      </c>
      <c r="DH22" s="2">
        <f>MOD(MOD(MOD((MOD($DG$22+INT($DG$22/65536)*MOD($DG$22,65536),2147483646)+1)*16807,2147483647)*16807,2147483647)*16807,2147483647)</f>
        <v/>
      </c>
      <c r="DI22" s="2">
        <f>IF($CC$22="Físico",9000000000,IF(AND('Grupo'!$B$81="Sim",COUNTIF($BY$11:$CB$21,"Físico")=0),0,2147483647))+$CP$22+1/10</f>
        <v/>
      </c>
      <c r="DJ22" s="2">
        <f>IF($CC$22="Fogo",9000000000,IF(AND('Grupo'!$C$81="Sim",COUNTIF($BY$11:$CB$21,"Fogo")=0),0,2147483647))+$CS$22+2/10</f>
        <v/>
      </c>
      <c r="DK22" s="2">
        <f>IF($CC$22="Gelo",9000000000,IF(AND('Grupo'!$D$81="Sim",COUNTIF($BY$11:$CB$21,"Gelo")=0),0,2147483647))+$CV$22+3/10</f>
        <v/>
      </c>
      <c r="DL22" s="2">
        <f>IF($CC$22="Raio",9000000000,IF(AND('Grupo'!$E$81="Sim",COUNTIF($BY$11:$CB$21,"Raio")=0),0,2147483647))+$CY$22+4/10</f>
        <v/>
      </c>
      <c r="DM22" s="2">
        <f>IF($CC$22="Vento",9000000000,IF(AND('Grupo'!$F$81="Sim",COUNTIF($BY$11:$CB$21,"Vento")=0),0,2147483647))+$DB$22+5/10</f>
        <v/>
      </c>
      <c r="DN22" s="2">
        <f>IF($CC$22="Quântico",9000000000,IF(AND('Grupo'!$G$81="Sim",COUNTIF($BY$11:$CB$21,"Quântico")=0),0,2147483647))+$DE$22+6/10</f>
        <v/>
      </c>
      <c r="DO22" s="2">
        <f>IF($CC$22="Imaginário",9000000000,IF(AND('Grupo'!$H$81="Sim",COUNTIF($BY$11:$CB$21,"Imaginário")=0),0,2147483647))+$DH$22+7/10</f>
        <v/>
      </c>
      <c r="DQ22" s="2">
        <f>IF(ISERROR($A$22),"",IF(ISBLANK($A$22),"",$A$22))</f>
        <v/>
      </c>
      <c r="DR22" s="2">
        <f>IF(ISERROR($B$22),"",IF(ISBLANK($B$22),"",$B$22))</f>
        <v/>
      </c>
      <c r="DT22" s="2">
        <f>IF(ISERROR($D$22),"",IF(ISBLANK($D$22),"",$D$22))</f>
        <v/>
      </c>
      <c r="DW22" s="2">
        <f>IF(ISERROR($G$22),"",IF(ISBLANK($G$22),"",$G$22))</f>
        <v/>
      </c>
      <c r="DX22" s="2">
        <f>IF(ISERROR($H$22),"",IF(ISBLANK($H$22),"",$H$22))</f>
        <v/>
      </c>
      <c r="DY22" s="2">
        <f>IF(ISERROR($I$22),"",IF(ISBLANK($I$22),"",$I$22))</f>
        <v/>
      </c>
      <c r="DZ22" s="2">
        <f>IF(ISERROR($J$22),"",IF(ISBLANK($J$22),"",$J$22))</f>
        <v/>
      </c>
      <c r="EA22" s="2">
        <f>ISERROR($A$22)*1+ISERROR($B$22)*1+ISERROR($D$22)*1+ISERROR($G$22)*1+ISERROR($H$22)*1+ISERROR($I$22)*1+ISERROR($J$22)*1</f>
        <v/>
      </c>
    </row>
    <row r="23">
      <c r="N23" s="2">
        <f>'Dados'!$B$92</f>
        <v/>
      </c>
      <c r="O23" s="2">
        <f>'Dados'!$C$92</f>
        <v/>
      </c>
      <c r="P23" s="2">
        <f>'Dados'!$D$92</f>
        <v/>
      </c>
      <c r="Q23" s="2">
        <f>'Dados'!$G$92</f>
        <v/>
      </c>
      <c r="R23" s="2">
        <f>'Dados'!$H$92</f>
        <v/>
      </c>
      <c r="S23" s="2">
        <f>'Dados'!$I$92</f>
        <v/>
      </c>
      <c r="T23" s="2">
        <f>'Dados'!$J$92</f>
        <v/>
      </c>
      <c r="U23" s="2">
        <f>'Dados'!$K$92</f>
        <v/>
      </c>
      <c r="V23" s="2">
        <f>'Dados'!$L$92</f>
        <v/>
      </c>
      <c r="W23" s="2">
        <f>'Dados'!$M$92</f>
        <v/>
      </c>
      <c r="X23" s="2">
        <f>'Dados'!$N$92</f>
        <v/>
      </c>
      <c r="Y23" s="2">
        <f>'Dados'!$O$92</f>
        <v/>
      </c>
      <c r="Z23" s="2">
        <f>'Dados'!$P$92</f>
        <v/>
      </c>
      <c r="AA23" s="2">
        <f>'Dados'!$Q$92&amp;""</f>
        <v/>
      </c>
      <c r="AB23" s="2">
        <f>'Dados'!$R$92&amp;""</f>
        <v/>
      </c>
      <c r="AC23" s="2">
        <f>'Dados'!$S$92&amp;""</f>
        <v/>
      </c>
      <c r="AD23" s="2">
        <f>'Dados'!$T$92&amp;""</f>
        <v/>
      </c>
      <c r="AE23" s="2">
        <f>'Dados'!$U$92&amp;""</f>
        <v/>
      </c>
      <c r="AF23" s="2">
        <f>'Dados'!$V$92&amp;""</f>
        <v/>
      </c>
      <c r="AG23" s="2">
        <f>'Dados'!$F$92</f>
        <v/>
      </c>
      <c r="AH23" s="2">
        <f>'Dados'!$Z$92</f>
        <v/>
      </c>
      <c r="AI23" s="2">
        <f>'Dados'!$AA$92</f>
        <v/>
      </c>
      <c r="AJ23" s="2">
        <f>'Dados'!$W$92</f>
        <v/>
      </c>
      <c r="AK23" s="2">
        <f>""</f>
        <v/>
      </c>
      <c r="AL23" s="2">
        <f>""</f>
        <v/>
      </c>
      <c r="AM23" s="2">
        <f>""</f>
        <v/>
      </c>
      <c r="AN23" s="2">
        <f>""</f>
        <v/>
      </c>
      <c r="AO23" s="2">
        <f>""</f>
        <v/>
      </c>
      <c r="AP23" s="2">
        <f>""</f>
        <v/>
      </c>
      <c r="AQ23" s="2">
        <f>""</f>
        <v/>
      </c>
      <c r="AR23" s="2">
        <f>""</f>
        <v/>
      </c>
      <c r="AS23" s="2">
        <f>""</f>
        <v/>
      </c>
      <c r="AT23" s="2">
        <f>""</f>
        <v/>
      </c>
      <c r="AU23" s="2">
        <f>""</f>
        <v/>
      </c>
      <c r="AV23" s="2">
        <f>""</f>
        <v/>
      </c>
      <c r="AW23" s="2">
        <f>'Dados'!$AF$92&amp;""</f>
        <v/>
      </c>
      <c r="AX23" s="2">
        <f>IF(ISNUMBER('Dados'!$AG$92),IF('Dados'!$AG$92&gt;0,'Dados'!$AG$92,""),"")</f>
        <v/>
      </c>
      <c r="AY23" s="2">
        <f>'Dados'!$AH$92&amp;""</f>
        <v/>
      </c>
      <c r="AZ23" s="2">
        <f>IF(ISNUMBER('Dados'!$AI$92),IF('Dados'!$AI$92&gt;0,'Dados'!$AI$92,""),"")</f>
        <v/>
      </c>
      <c r="BA23" s="2">
        <f>'Dados'!$AJ$92&amp;""</f>
        <v/>
      </c>
      <c r="BB23" s="2">
        <f>IF(ISNUMBER('Dados'!$AK$92),IF('Dados'!$AK$92&gt;0,'Dados'!$AK$92,""),"")</f>
        <v/>
      </c>
      <c r="BC23" s="2">
        <f>'Dados'!$E$92&amp;""</f>
        <v/>
      </c>
      <c r="BD23" s="2">
        <f>'Dados'!$AD$92&amp;""</f>
        <v/>
      </c>
      <c r="BE23" s="2">
        <f>INDEX('Dados'!$F$7:$F$11,'Dados'!$AB$92)</f>
        <v/>
      </c>
      <c r="BF23" s="2">
        <f>'Dados'!$AB$92</f>
        <v/>
      </c>
      <c r="BG23" s="2">
        <f>'Dados'!$AE$92</f>
        <v/>
      </c>
      <c r="BH23" s="2">
        <f>"Bestiário"</f>
        <v/>
      </c>
    </row>
    <row r="24" ht="20" customHeight="1">
      <c r="A24" s="13" t="inlineStr">
        <is>
          <t>I1b · Origem e comportamento (preencha)</t>
        </is>
      </c>
      <c r="N24" s="2">
        <f>'Dados'!$B$93</f>
        <v/>
      </c>
      <c r="O24" s="2">
        <f>'Dados'!$C$93</f>
        <v/>
      </c>
      <c r="P24" s="2">
        <f>'Dados'!$D$93</f>
        <v/>
      </c>
      <c r="Q24" s="2">
        <f>'Dados'!$G$93</f>
        <v/>
      </c>
      <c r="R24" s="2">
        <f>'Dados'!$H$93</f>
        <v/>
      </c>
      <c r="S24" s="2">
        <f>'Dados'!$I$93</f>
        <v/>
      </c>
      <c r="T24" s="2">
        <f>'Dados'!$J$93</f>
        <v/>
      </c>
      <c r="U24" s="2">
        <f>'Dados'!$K$93</f>
        <v/>
      </c>
      <c r="V24" s="2">
        <f>'Dados'!$L$93</f>
        <v/>
      </c>
      <c r="W24" s="2">
        <f>'Dados'!$M$93</f>
        <v/>
      </c>
      <c r="X24" s="2">
        <f>'Dados'!$N$93</f>
        <v/>
      </c>
      <c r="Y24" s="2">
        <f>'Dados'!$O$93</f>
        <v/>
      </c>
      <c r="Z24" s="2">
        <f>'Dados'!$P$93</f>
        <v/>
      </c>
      <c r="AA24" s="2">
        <f>'Dados'!$Q$93&amp;""</f>
        <v/>
      </c>
      <c r="AB24" s="2">
        <f>'Dados'!$R$93&amp;""</f>
        <v/>
      </c>
      <c r="AC24" s="2">
        <f>'Dados'!$S$93&amp;""</f>
        <v/>
      </c>
      <c r="AD24" s="2">
        <f>'Dados'!$T$93&amp;""</f>
        <v/>
      </c>
      <c r="AE24" s="2">
        <f>'Dados'!$U$93&amp;""</f>
        <v/>
      </c>
      <c r="AF24" s="2">
        <f>'Dados'!$V$93&amp;""</f>
        <v/>
      </c>
      <c r="AG24" s="2">
        <f>'Dados'!$F$93</f>
        <v/>
      </c>
      <c r="AH24" s="2">
        <f>'Dados'!$Z$93</f>
        <v/>
      </c>
      <c r="AI24" s="2">
        <f>'Dados'!$AA$93</f>
        <v/>
      </c>
      <c r="AJ24" s="2">
        <f>'Dados'!$W$93</f>
        <v/>
      </c>
      <c r="AK24" s="2">
        <f>""</f>
        <v/>
      </c>
      <c r="AL24" s="2">
        <f>""</f>
        <v/>
      </c>
      <c r="AM24" s="2">
        <f>""</f>
        <v/>
      </c>
      <c r="AN24" s="2">
        <f>""</f>
        <v/>
      </c>
      <c r="AO24" s="2">
        <f>""</f>
        <v/>
      </c>
      <c r="AP24" s="2">
        <f>""</f>
        <v/>
      </c>
      <c r="AQ24" s="2">
        <f>""</f>
        <v/>
      </c>
      <c r="AR24" s="2">
        <f>""</f>
        <v/>
      </c>
      <c r="AS24" s="2">
        <f>""</f>
        <v/>
      </c>
      <c r="AT24" s="2">
        <f>""</f>
        <v/>
      </c>
      <c r="AU24" s="2">
        <f>""</f>
        <v/>
      </c>
      <c r="AV24" s="2">
        <f>""</f>
        <v/>
      </c>
      <c r="AW24" s="2">
        <f>'Dados'!$AF$93&amp;""</f>
        <v/>
      </c>
      <c r="AX24" s="2">
        <f>IF(ISNUMBER('Dados'!$AG$93),IF('Dados'!$AG$93&gt;0,'Dados'!$AG$93,""),"")</f>
        <v/>
      </c>
      <c r="AY24" s="2">
        <f>'Dados'!$AH$93&amp;""</f>
        <v/>
      </c>
      <c r="AZ24" s="2">
        <f>IF(ISNUMBER('Dados'!$AI$93),IF('Dados'!$AI$93&gt;0,'Dados'!$AI$93,""),"")</f>
        <v/>
      </c>
      <c r="BA24" s="2">
        <f>'Dados'!$AJ$93&amp;""</f>
        <v/>
      </c>
      <c r="BB24" s="2">
        <f>IF(ISNUMBER('Dados'!$AK$93),IF('Dados'!$AK$93&gt;0,'Dados'!$AK$93,""),"")</f>
        <v/>
      </c>
      <c r="BC24" s="2">
        <f>'Dados'!$E$93&amp;""</f>
        <v/>
      </c>
      <c r="BD24" s="2">
        <f>'Dados'!$AD$93&amp;""</f>
        <v/>
      </c>
      <c r="BE24" s="2">
        <f>INDEX('Dados'!$F$7:$F$11,'Dados'!$AB$93)</f>
        <v/>
      </c>
      <c r="BF24" s="2">
        <f>'Dados'!$AB$93</f>
        <v/>
      </c>
      <c r="BG24" s="2">
        <f>'Dados'!$AE$93</f>
        <v/>
      </c>
      <c r="BH24" s="2">
        <f>"Bestiário"</f>
        <v/>
      </c>
    </row>
    <row r="25" ht="37" customHeight="1">
      <c r="A25" s="8" t="inlineStr">
        <is>
          <t>Inimigo</t>
        </is>
      </c>
      <c r="B25" s="8" t="inlineStr">
        <is>
          <t>Facção ou origem</t>
        </is>
      </c>
      <c r="C25" s="20" t="n"/>
      <c r="D25" s="20" t="n"/>
      <c r="E25" s="8" t="inlineStr">
        <is>
          <t>Elemento dos ataques</t>
        </is>
      </c>
      <c r="F25" s="8" t="inlineStr">
        <is>
          <t>Pode Executar? (ser racional)</t>
        </is>
      </c>
      <c r="G25" s="8" t="inlineStr">
        <is>
          <t>Comportamento na Fila (28.4 passo 6)</t>
        </is>
      </c>
      <c r="H25" s="20" t="n"/>
      <c r="I25" s="20" t="n"/>
      <c r="J25" s="20" t="n"/>
      <c r="K25" s="8" t="inlineStr">
        <is>
          <t>Aviso</t>
        </is>
      </c>
      <c r="L25" s="20" t="n"/>
      <c r="N25" s="2">
        <f>'Dados'!$B$94</f>
        <v/>
      </c>
      <c r="O25" s="2">
        <f>'Dados'!$C$94</f>
        <v/>
      </c>
      <c r="P25" s="2">
        <f>'Dados'!$D$94</f>
        <v/>
      </c>
      <c r="Q25" s="2">
        <f>'Dados'!$G$94</f>
        <v/>
      </c>
      <c r="R25" s="2">
        <f>'Dados'!$H$94</f>
        <v/>
      </c>
      <c r="S25" s="2">
        <f>'Dados'!$I$94</f>
        <v/>
      </c>
      <c r="T25" s="2">
        <f>'Dados'!$J$94</f>
        <v/>
      </c>
      <c r="U25" s="2">
        <f>'Dados'!$K$94</f>
        <v/>
      </c>
      <c r="V25" s="2">
        <f>'Dados'!$L$94</f>
        <v/>
      </c>
      <c r="W25" s="2">
        <f>'Dados'!$M$94</f>
        <v/>
      </c>
      <c r="X25" s="2">
        <f>'Dados'!$N$94</f>
        <v/>
      </c>
      <c r="Y25" s="2">
        <f>'Dados'!$O$94</f>
        <v/>
      </c>
      <c r="Z25" s="2">
        <f>'Dados'!$P$94</f>
        <v/>
      </c>
      <c r="AA25" s="2">
        <f>'Dados'!$Q$94&amp;""</f>
        <v/>
      </c>
      <c r="AB25" s="2">
        <f>'Dados'!$R$94&amp;""</f>
        <v/>
      </c>
      <c r="AC25" s="2">
        <f>'Dados'!$S$94&amp;""</f>
        <v/>
      </c>
      <c r="AD25" s="2">
        <f>'Dados'!$T$94&amp;""</f>
        <v/>
      </c>
      <c r="AE25" s="2">
        <f>'Dados'!$U$94&amp;""</f>
        <v/>
      </c>
      <c r="AF25" s="2">
        <f>'Dados'!$V$94&amp;""</f>
        <v/>
      </c>
      <c r="AG25" s="2">
        <f>'Dados'!$F$94</f>
        <v/>
      </c>
      <c r="AH25" s="2">
        <f>'Dados'!$Z$94</f>
        <v/>
      </c>
      <c r="AI25" s="2">
        <f>'Dados'!$AA$94</f>
        <v/>
      </c>
      <c r="AJ25" s="2">
        <f>'Dados'!$W$94</f>
        <v/>
      </c>
      <c r="AK25" s="2">
        <f>""</f>
        <v/>
      </c>
      <c r="AL25" s="2">
        <f>""</f>
        <v/>
      </c>
      <c r="AM25" s="2">
        <f>""</f>
        <v/>
      </c>
      <c r="AN25" s="2">
        <f>""</f>
        <v/>
      </c>
      <c r="AO25" s="2">
        <f>""</f>
        <v/>
      </c>
      <c r="AP25" s="2">
        <f>""</f>
        <v/>
      </c>
      <c r="AQ25" s="2">
        <f>""</f>
        <v/>
      </c>
      <c r="AR25" s="2">
        <f>""</f>
        <v/>
      </c>
      <c r="AS25" s="2">
        <f>""</f>
        <v/>
      </c>
      <c r="AT25" s="2">
        <f>""</f>
        <v/>
      </c>
      <c r="AU25" s="2">
        <f>""</f>
        <v/>
      </c>
      <c r="AV25" s="2">
        <f>""</f>
        <v/>
      </c>
      <c r="AW25" s="2">
        <f>'Dados'!$AF$94&amp;""</f>
        <v/>
      </c>
      <c r="AX25" s="2">
        <f>IF(ISNUMBER('Dados'!$AG$94),IF('Dados'!$AG$94&gt;0,'Dados'!$AG$94,""),"")</f>
        <v/>
      </c>
      <c r="AY25" s="2">
        <f>'Dados'!$AH$94&amp;""</f>
        <v/>
      </c>
      <c r="AZ25" s="2">
        <f>IF(ISNUMBER('Dados'!$AI$94),IF('Dados'!$AI$94&gt;0,'Dados'!$AI$94,""),"")</f>
        <v/>
      </c>
      <c r="BA25" s="2">
        <f>'Dados'!$AJ$94&amp;""</f>
        <v/>
      </c>
      <c r="BB25" s="2">
        <f>IF(ISNUMBER('Dados'!$AK$94),IF('Dados'!$AK$94&gt;0,'Dados'!$AK$94,""),"")</f>
        <v/>
      </c>
      <c r="BC25" s="2">
        <f>'Dados'!$E$94&amp;""</f>
        <v/>
      </c>
      <c r="BD25" s="2">
        <f>'Dados'!$AD$94&amp;""</f>
        <v/>
      </c>
      <c r="BE25" s="2">
        <f>INDEX('Dados'!$F$7:$F$11,'Dados'!$AB$94)</f>
        <v/>
      </c>
      <c r="BF25" s="2">
        <f>'Dados'!$AB$94</f>
        <v/>
      </c>
      <c r="BG25" s="2">
        <f>'Dados'!$AE$94</f>
        <v/>
      </c>
      <c r="BH25" s="2">
        <f>"Bestiário"</f>
        <v/>
      </c>
    </row>
    <row r="26" ht="37" customHeight="1">
      <c r="A26" s="31">
        <f>IF(LEN($DQ$11)&gt;0,"1 · "&amp;$DQ$11,"1 · (vazio)")</f>
        <v/>
      </c>
      <c r="B26" s="4" t="n"/>
      <c r="C26" s="25" t="n"/>
      <c r="D26" s="17" t="n"/>
      <c r="E26" s="34" t="n"/>
      <c r="F26" s="34" t="n"/>
      <c r="G26" s="4" t="n"/>
      <c r="H26" s="25" t="n"/>
      <c r="I26" s="25" t="n"/>
      <c r="J26" s="17" t="n"/>
      <c r="K26" s="19">
        <f>IF(EA26&gt;0,"O Google leu como fórmula: escolha de novo ou digite com ' na frente.",IF(AND(LEN($DQ$11)&gt;0,LEN($DV$26)=0,$BL$11=0),"Diga se ele é ser racional (só ser racional Executa, 23.5)",""))</f>
        <v/>
      </c>
      <c r="N26" s="2">
        <f>'Dados'!$B$95</f>
        <v/>
      </c>
      <c r="O26" s="2">
        <f>'Dados'!$C$95</f>
        <v/>
      </c>
      <c r="P26" s="2">
        <f>'Dados'!$D$95</f>
        <v/>
      </c>
      <c r="Q26" s="2">
        <f>'Dados'!$G$95</f>
        <v/>
      </c>
      <c r="R26" s="2">
        <f>'Dados'!$H$95</f>
        <v/>
      </c>
      <c r="S26" s="2">
        <f>'Dados'!$I$95</f>
        <v/>
      </c>
      <c r="T26" s="2">
        <f>'Dados'!$J$95</f>
        <v/>
      </c>
      <c r="U26" s="2">
        <f>'Dados'!$K$95</f>
        <v/>
      </c>
      <c r="V26" s="2">
        <f>'Dados'!$L$95</f>
        <v/>
      </c>
      <c r="W26" s="2">
        <f>'Dados'!$M$95</f>
        <v/>
      </c>
      <c r="X26" s="2">
        <f>'Dados'!$N$95</f>
        <v/>
      </c>
      <c r="Y26" s="2">
        <f>'Dados'!$O$95</f>
        <v/>
      </c>
      <c r="Z26" s="2">
        <f>'Dados'!$P$95</f>
        <v/>
      </c>
      <c r="AA26" s="2">
        <f>'Dados'!$Q$95&amp;""</f>
        <v/>
      </c>
      <c r="AB26" s="2">
        <f>'Dados'!$R$95&amp;""</f>
        <v/>
      </c>
      <c r="AC26" s="2">
        <f>'Dados'!$S$95&amp;""</f>
        <v/>
      </c>
      <c r="AD26" s="2">
        <f>'Dados'!$T$95&amp;""</f>
        <v/>
      </c>
      <c r="AE26" s="2">
        <f>'Dados'!$U$95&amp;""</f>
        <v/>
      </c>
      <c r="AF26" s="2">
        <f>'Dados'!$V$95&amp;""</f>
        <v/>
      </c>
      <c r="AG26" s="2">
        <f>'Dados'!$F$95</f>
        <v/>
      </c>
      <c r="AH26" s="2">
        <f>'Dados'!$Z$95</f>
        <v/>
      </c>
      <c r="AI26" s="2">
        <f>'Dados'!$AA$95</f>
        <v/>
      </c>
      <c r="AJ26" s="2">
        <f>'Dados'!$W$95</f>
        <v/>
      </c>
      <c r="AK26" s="2">
        <f>""</f>
        <v/>
      </c>
      <c r="AL26" s="2">
        <f>""</f>
        <v/>
      </c>
      <c r="AM26" s="2">
        <f>""</f>
        <v/>
      </c>
      <c r="AN26" s="2">
        <f>""</f>
        <v/>
      </c>
      <c r="AO26" s="2">
        <f>""</f>
        <v/>
      </c>
      <c r="AP26" s="2">
        <f>""</f>
        <v/>
      </c>
      <c r="AQ26" s="2">
        <f>""</f>
        <v/>
      </c>
      <c r="AR26" s="2">
        <f>""</f>
        <v/>
      </c>
      <c r="AS26" s="2">
        <f>""</f>
        <v/>
      </c>
      <c r="AT26" s="2">
        <f>""</f>
        <v/>
      </c>
      <c r="AU26" s="2">
        <f>""</f>
        <v/>
      </c>
      <c r="AV26" s="2">
        <f>""</f>
        <v/>
      </c>
      <c r="AW26" s="2">
        <f>'Dados'!$AF$95&amp;""</f>
        <v/>
      </c>
      <c r="AX26" s="2">
        <f>IF(ISNUMBER('Dados'!$AG$95),IF('Dados'!$AG$95&gt;0,'Dados'!$AG$95,""),"")</f>
        <v/>
      </c>
      <c r="AY26" s="2">
        <f>'Dados'!$AH$95&amp;""</f>
        <v/>
      </c>
      <c r="AZ26" s="2">
        <f>IF(ISNUMBER('Dados'!$AI$95),IF('Dados'!$AI$95&gt;0,'Dados'!$AI$95,""),"")</f>
        <v/>
      </c>
      <c r="BA26" s="2">
        <f>'Dados'!$AJ$95&amp;""</f>
        <v/>
      </c>
      <c r="BB26" s="2">
        <f>IF(ISNUMBER('Dados'!$AK$95),IF('Dados'!$AK$95&gt;0,'Dados'!$AK$95,""),"")</f>
        <v/>
      </c>
      <c r="BC26" s="2">
        <f>'Dados'!$E$95&amp;""</f>
        <v/>
      </c>
      <c r="BD26" s="2">
        <f>'Dados'!$AD$95&amp;""</f>
        <v/>
      </c>
      <c r="BE26" s="2">
        <f>INDEX('Dados'!$F$7:$F$11,'Dados'!$AB$95)</f>
        <v/>
      </c>
      <c r="BF26" s="2">
        <f>'Dados'!$AB$95</f>
        <v/>
      </c>
      <c r="BG26" s="2">
        <f>'Dados'!$AE$95</f>
        <v/>
      </c>
      <c r="BH26" s="2">
        <f>"Bestiário"</f>
        <v/>
      </c>
      <c r="DR26" s="2">
        <f>IF(ISERROR($B$26),"",IF(ISBLANK($B$26),"",$B$26))</f>
        <v/>
      </c>
      <c r="DV26" s="2">
        <f>IF(ISERROR($F$26),"",IF(ISBLANK($F$26),"",$F$26))</f>
        <v/>
      </c>
      <c r="DW26" s="2">
        <f>IF(ISERROR($G$26),"",IF(ISBLANK($G$26),"",$G$26))</f>
        <v/>
      </c>
      <c r="EA26" s="2">
        <f>ISERROR($B$26)*1+ISERROR($E$26)*1+ISERROR($F$26)*1+ISERROR($G$26)*1</f>
        <v/>
      </c>
    </row>
    <row r="27" ht="37" customHeight="1">
      <c r="A27" s="43">
        <f>IF(LEN($DQ$12)&gt;0,"2 · "&amp;$DQ$12,"2 · (vazio)")</f>
        <v/>
      </c>
      <c r="B27" s="29" t="n"/>
      <c r="C27" s="25" t="n"/>
      <c r="D27" s="17" t="n"/>
      <c r="E27" s="36" t="n"/>
      <c r="F27" s="36" t="n"/>
      <c r="G27" s="29" t="n"/>
      <c r="H27" s="25" t="n"/>
      <c r="I27" s="25" t="n"/>
      <c r="J27" s="17" t="n"/>
      <c r="K27" s="27">
        <f>IF(EA27&gt;0,"O Google leu como fórmula: escolha de novo ou digite com ' na frente.",IF(AND(LEN($DQ$12)&gt;0,LEN($DV$27)=0,$BL$12=0),"Diga se ele é ser racional (só ser racional Executa, 23.5)",""))</f>
        <v/>
      </c>
      <c r="N27" s="2">
        <f>'Dados'!$B$96</f>
        <v/>
      </c>
      <c r="O27" s="2">
        <f>'Dados'!$C$96</f>
        <v/>
      </c>
      <c r="P27" s="2">
        <f>'Dados'!$D$96</f>
        <v/>
      </c>
      <c r="Q27" s="2">
        <f>'Dados'!$G$96</f>
        <v/>
      </c>
      <c r="R27" s="2">
        <f>'Dados'!$H$96</f>
        <v/>
      </c>
      <c r="S27" s="2">
        <f>'Dados'!$I$96</f>
        <v/>
      </c>
      <c r="T27" s="2">
        <f>'Dados'!$J$96</f>
        <v/>
      </c>
      <c r="U27" s="2">
        <f>'Dados'!$K$96</f>
        <v/>
      </c>
      <c r="V27" s="2">
        <f>'Dados'!$L$96</f>
        <v/>
      </c>
      <c r="W27" s="2">
        <f>'Dados'!$M$96</f>
        <v/>
      </c>
      <c r="X27" s="2">
        <f>'Dados'!$N$96</f>
        <v/>
      </c>
      <c r="Y27" s="2">
        <f>'Dados'!$O$96</f>
        <v/>
      </c>
      <c r="Z27" s="2">
        <f>'Dados'!$P$96</f>
        <v/>
      </c>
      <c r="AA27" s="2">
        <f>'Dados'!$Q$96&amp;""</f>
        <v/>
      </c>
      <c r="AB27" s="2">
        <f>'Dados'!$R$96&amp;""</f>
        <v/>
      </c>
      <c r="AC27" s="2">
        <f>'Dados'!$S$96&amp;""</f>
        <v/>
      </c>
      <c r="AD27" s="2">
        <f>'Dados'!$T$96&amp;""</f>
        <v/>
      </c>
      <c r="AE27" s="2">
        <f>'Dados'!$U$96&amp;""</f>
        <v/>
      </c>
      <c r="AF27" s="2">
        <f>'Dados'!$V$96&amp;""</f>
        <v/>
      </c>
      <c r="AG27" s="2">
        <f>'Dados'!$F$96</f>
        <v/>
      </c>
      <c r="AH27" s="2">
        <f>'Dados'!$Z$96</f>
        <v/>
      </c>
      <c r="AI27" s="2">
        <f>'Dados'!$AA$96</f>
        <v/>
      </c>
      <c r="AJ27" s="2">
        <f>'Dados'!$W$96</f>
        <v/>
      </c>
      <c r="AK27" s="2">
        <f>""</f>
        <v/>
      </c>
      <c r="AL27" s="2">
        <f>""</f>
        <v/>
      </c>
      <c r="AM27" s="2">
        <f>""</f>
        <v/>
      </c>
      <c r="AN27" s="2">
        <f>""</f>
        <v/>
      </c>
      <c r="AO27" s="2">
        <f>""</f>
        <v/>
      </c>
      <c r="AP27" s="2">
        <f>""</f>
        <v/>
      </c>
      <c r="AQ27" s="2">
        <f>""</f>
        <v/>
      </c>
      <c r="AR27" s="2">
        <f>""</f>
        <v/>
      </c>
      <c r="AS27" s="2">
        <f>""</f>
        <v/>
      </c>
      <c r="AT27" s="2">
        <f>""</f>
        <v/>
      </c>
      <c r="AU27" s="2">
        <f>""</f>
        <v/>
      </c>
      <c r="AV27" s="2">
        <f>""</f>
        <v/>
      </c>
      <c r="AW27" s="2">
        <f>'Dados'!$AF$96&amp;""</f>
        <v/>
      </c>
      <c r="AX27" s="2">
        <f>IF(ISNUMBER('Dados'!$AG$96),IF('Dados'!$AG$96&gt;0,'Dados'!$AG$96,""),"")</f>
        <v/>
      </c>
      <c r="AY27" s="2">
        <f>'Dados'!$AH$96&amp;""</f>
        <v/>
      </c>
      <c r="AZ27" s="2">
        <f>IF(ISNUMBER('Dados'!$AI$96),IF('Dados'!$AI$96&gt;0,'Dados'!$AI$96,""),"")</f>
        <v/>
      </c>
      <c r="BA27" s="2">
        <f>'Dados'!$AJ$96&amp;""</f>
        <v/>
      </c>
      <c r="BB27" s="2">
        <f>IF(ISNUMBER('Dados'!$AK$96),IF('Dados'!$AK$96&gt;0,'Dados'!$AK$96,""),"")</f>
        <v/>
      </c>
      <c r="BC27" s="2">
        <f>'Dados'!$E$96&amp;""</f>
        <v/>
      </c>
      <c r="BD27" s="2">
        <f>'Dados'!$AD$96&amp;""</f>
        <v/>
      </c>
      <c r="BE27" s="2">
        <f>INDEX('Dados'!$F$7:$F$11,'Dados'!$AB$96)</f>
        <v/>
      </c>
      <c r="BF27" s="2">
        <f>'Dados'!$AB$96</f>
        <v/>
      </c>
      <c r="BG27" s="2">
        <f>'Dados'!$AE$96</f>
        <v/>
      </c>
      <c r="BH27" s="2">
        <f>"Bestiário"</f>
        <v/>
      </c>
      <c r="DR27" s="2">
        <f>IF(ISERROR($B$27),"",IF(ISBLANK($B$27),"",$B$27))</f>
        <v/>
      </c>
      <c r="DV27" s="2">
        <f>IF(ISERROR($F$27),"",IF(ISBLANK($F$27),"",$F$27))</f>
        <v/>
      </c>
      <c r="DW27" s="2">
        <f>IF(ISERROR($G$27),"",IF(ISBLANK($G$27),"",$G$27))</f>
        <v/>
      </c>
      <c r="EA27" s="2">
        <f>ISERROR($B$27)*1+ISERROR($E$27)*1+ISERROR($F$27)*1+ISERROR($G$27)*1</f>
        <v/>
      </c>
    </row>
    <row r="28" ht="37" customHeight="1">
      <c r="A28" s="31">
        <f>IF(LEN($DQ$13)&gt;0,"3 · "&amp;$DQ$13,"3 · (vazio)")</f>
        <v/>
      </c>
      <c r="B28" s="4" t="n"/>
      <c r="C28" s="25" t="n"/>
      <c r="D28" s="17" t="n"/>
      <c r="E28" s="34" t="n"/>
      <c r="F28" s="34" t="n"/>
      <c r="G28" s="4" t="n"/>
      <c r="H28" s="25" t="n"/>
      <c r="I28" s="25" t="n"/>
      <c r="J28" s="17" t="n"/>
      <c r="K28" s="19">
        <f>IF(EA28&gt;0,"O Google leu como fórmula: escolha de novo ou digite com ' na frente.",IF(AND(LEN($DQ$13)&gt;0,LEN($DV$28)=0,$BL$13=0),"Diga se ele é ser racional (só ser racional Executa, 23.5)",""))</f>
        <v/>
      </c>
      <c r="N28" s="2">
        <f>'Dados'!$B$97</f>
        <v/>
      </c>
      <c r="O28" s="2">
        <f>'Dados'!$C$97</f>
        <v/>
      </c>
      <c r="P28" s="2">
        <f>'Dados'!$D$97</f>
        <v/>
      </c>
      <c r="Q28" s="2">
        <f>'Dados'!$G$97</f>
        <v/>
      </c>
      <c r="R28" s="2">
        <f>'Dados'!$H$97</f>
        <v/>
      </c>
      <c r="S28" s="2">
        <f>'Dados'!$I$97</f>
        <v/>
      </c>
      <c r="T28" s="2">
        <f>'Dados'!$J$97</f>
        <v/>
      </c>
      <c r="U28" s="2">
        <f>'Dados'!$K$97</f>
        <v/>
      </c>
      <c r="V28" s="2">
        <f>'Dados'!$L$97</f>
        <v/>
      </c>
      <c r="W28" s="2">
        <f>'Dados'!$M$97</f>
        <v/>
      </c>
      <c r="X28" s="2">
        <f>'Dados'!$N$97</f>
        <v/>
      </c>
      <c r="Y28" s="2">
        <f>'Dados'!$O$97</f>
        <v/>
      </c>
      <c r="Z28" s="2">
        <f>'Dados'!$P$97</f>
        <v/>
      </c>
      <c r="AA28" s="2">
        <f>'Dados'!$Q$97&amp;""</f>
        <v/>
      </c>
      <c r="AB28" s="2">
        <f>'Dados'!$R$97&amp;""</f>
        <v/>
      </c>
      <c r="AC28" s="2">
        <f>'Dados'!$S$97&amp;""</f>
        <v/>
      </c>
      <c r="AD28" s="2">
        <f>'Dados'!$T$97&amp;""</f>
        <v/>
      </c>
      <c r="AE28" s="2">
        <f>'Dados'!$U$97&amp;""</f>
        <v/>
      </c>
      <c r="AF28" s="2">
        <f>'Dados'!$V$97&amp;""</f>
        <v/>
      </c>
      <c r="AG28" s="2">
        <f>'Dados'!$F$97</f>
        <v/>
      </c>
      <c r="AH28" s="2">
        <f>'Dados'!$Z$97</f>
        <v/>
      </c>
      <c r="AI28" s="2">
        <f>'Dados'!$AA$97</f>
        <v/>
      </c>
      <c r="AJ28" s="2">
        <f>'Dados'!$W$97</f>
        <v/>
      </c>
      <c r="AK28" s="2">
        <f>""</f>
        <v/>
      </c>
      <c r="AL28" s="2">
        <f>""</f>
        <v/>
      </c>
      <c r="AM28" s="2">
        <f>""</f>
        <v/>
      </c>
      <c r="AN28" s="2">
        <f>""</f>
        <v/>
      </c>
      <c r="AO28" s="2">
        <f>""</f>
        <v/>
      </c>
      <c r="AP28" s="2">
        <f>""</f>
        <v/>
      </c>
      <c r="AQ28" s="2">
        <f>""</f>
        <v/>
      </c>
      <c r="AR28" s="2">
        <f>""</f>
        <v/>
      </c>
      <c r="AS28" s="2">
        <f>""</f>
        <v/>
      </c>
      <c r="AT28" s="2">
        <f>""</f>
        <v/>
      </c>
      <c r="AU28" s="2">
        <f>""</f>
        <v/>
      </c>
      <c r="AV28" s="2">
        <f>""</f>
        <v/>
      </c>
      <c r="AW28" s="2">
        <f>'Dados'!$AF$97&amp;""</f>
        <v/>
      </c>
      <c r="AX28" s="2">
        <f>IF(ISNUMBER('Dados'!$AG$97),IF('Dados'!$AG$97&gt;0,'Dados'!$AG$97,""),"")</f>
        <v/>
      </c>
      <c r="AY28" s="2">
        <f>'Dados'!$AH$97&amp;""</f>
        <v/>
      </c>
      <c r="AZ28" s="2">
        <f>IF(ISNUMBER('Dados'!$AI$97),IF('Dados'!$AI$97&gt;0,'Dados'!$AI$97,""),"")</f>
        <v/>
      </c>
      <c r="BA28" s="2">
        <f>'Dados'!$AJ$97&amp;""</f>
        <v/>
      </c>
      <c r="BB28" s="2">
        <f>IF(ISNUMBER('Dados'!$AK$97),IF('Dados'!$AK$97&gt;0,'Dados'!$AK$97,""),"")</f>
        <v/>
      </c>
      <c r="BC28" s="2">
        <f>'Dados'!$E$97&amp;""</f>
        <v/>
      </c>
      <c r="BD28" s="2">
        <f>'Dados'!$AD$97&amp;""</f>
        <v/>
      </c>
      <c r="BE28" s="2">
        <f>INDEX('Dados'!$F$7:$F$11,'Dados'!$AB$97)</f>
        <v/>
      </c>
      <c r="BF28" s="2">
        <f>'Dados'!$AB$97</f>
        <v/>
      </c>
      <c r="BG28" s="2">
        <f>'Dados'!$AE$97</f>
        <v/>
      </c>
      <c r="BH28" s="2">
        <f>"Bestiário"</f>
        <v/>
      </c>
      <c r="DR28" s="2">
        <f>IF(ISERROR($B$28),"",IF(ISBLANK($B$28),"",$B$28))</f>
        <v/>
      </c>
      <c r="DV28" s="2">
        <f>IF(ISERROR($F$28),"",IF(ISBLANK($F$28),"",$F$28))</f>
        <v/>
      </c>
      <c r="DW28" s="2">
        <f>IF(ISERROR($G$28),"",IF(ISBLANK($G$28),"",$G$28))</f>
        <v/>
      </c>
      <c r="EA28" s="2">
        <f>ISERROR($B$28)*1+ISERROR($E$28)*1+ISERROR($F$28)*1+ISERROR($G$28)*1</f>
        <v/>
      </c>
    </row>
    <row r="29" ht="37" customHeight="1">
      <c r="A29" s="43">
        <f>IF(LEN($DQ$14)&gt;0,"4 · "&amp;$DQ$14,"4 · (vazio)")</f>
        <v/>
      </c>
      <c r="B29" s="29" t="n"/>
      <c r="C29" s="25" t="n"/>
      <c r="D29" s="17" t="n"/>
      <c r="E29" s="36" t="n"/>
      <c r="F29" s="36" t="n"/>
      <c r="G29" s="29" t="n"/>
      <c r="H29" s="25" t="n"/>
      <c r="I29" s="25" t="n"/>
      <c r="J29" s="17" t="n"/>
      <c r="K29" s="27">
        <f>IF(EA29&gt;0,"O Google leu como fórmula: escolha de novo ou digite com ' na frente.",IF(AND(LEN($DQ$14)&gt;0,LEN($DV$29)=0,$BL$14=0),"Diga se ele é ser racional (só ser racional Executa, 23.5)",""))</f>
        <v/>
      </c>
      <c r="N29" s="2">
        <f>'Dados'!$B$98</f>
        <v/>
      </c>
      <c r="O29" s="2">
        <f>'Dados'!$C$98</f>
        <v/>
      </c>
      <c r="P29" s="2">
        <f>'Dados'!$D$98</f>
        <v/>
      </c>
      <c r="Q29" s="2">
        <f>'Dados'!$G$98</f>
        <v/>
      </c>
      <c r="R29" s="2">
        <f>'Dados'!$H$98</f>
        <v/>
      </c>
      <c r="S29" s="2">
        <f>'Dados'!$I$98</f>
        <v/>
      </c>
      <c r="T29" s="2">
        <f>'Dados'!$J$98</f>
        <v/>
      </c>
      <c r="U29" s="2">
        <f>'Dados'!$K$98</f>
        <v/>
      </c>
      <c r="V29" s="2">
        <f>'Dados'!$L$98</f>
        <v/>
      </c>
      <c r="W29" s="2">
        <f>'Dados'!$M$98</f>
        <v/>
      </c>
      <c r="X29" s="2">
        <f>'Dados'!$N$98</f>
        <v/>
      </c>
      <c r="Y29" s="2">
        <f>'Dados'!$O$98</f>
        <v/>
      </c>
      <c r="Z29" s="2">
        <f>'Dados'!$P$98</f>
        <v/>
      </c>
      <c r="AA29" s="2">
        <f>'Dados'!$Q$98&amp;""</f>
        <v/>
      </c>
      <c r="AB29" s="2">
        <f>'Dados'!$R$98&amp;""</f>
        <v/>
      </c>
      <c r="AC29" s="2">
        <f>'Dados'!$S$98&amp;""</f>
        <v/>
      </c>
      <c r="AD29" s="2">
        <f>'Dados'!$T$98&amp;""</f>
        <v/>
      </c>
      <c r="AE29" s="2">
        <f>'Dados'!$U$98&amp;""</f>
        <v/>
      </c>
      <c r="AF29" s="2">
        <f>'Dados'!$V$98&amp;""</f>
        <v/>
      </c>
      <c r="AG29" s="2">
        <f>'Dados'!$F$98</f>
        <v/>
      </c>
      <c r="AH29" s="2">
        <f>'Dados'!$Z$98</f>
        <v/>
      </c>
      <c r="AI29" s="2">
        <f>'Dados'!$AA$98</f>
        <v/>
      </c>
      <c r="AJ29" s="2">
        <f>'Dados'!$W$98</f>
        <v/>
      </c>
      <c r="AK29" s="2">
        <f>""</f>
        <v/>
      </c>
      <c r="AL29" s="2">
        <f>""</f>
        <v/>
      </c>
      <c r="AM29" s="2">
        <f>""</f>
        <v/>
      </c>
      <c r="AN29" s="2">
        <f>""</f>
        <v/>
      </c>
      <c r="AO29" s="2">
        <f>""</f>
        <v/>
      </c>
      <c r="AP29" s="2">
        <f>""</f>
        <v/>
      </c>
      <c r="AQ29" s="2">
        <f>""</f>
        <v/>
      </c>
      <c r="AR29" s="2">
        <f>""</f>
        <v/>
      </c>
      <c r="AS29" s="2">
        <f>""</f>
        <v/>
      </c>
      <c r="AT29" s="2">
        <f>""</f>
        <v/>
      </c>
      <c r="AU29" s="2">
        <f>""</f>
        <v/>
      </c>
      <c r="AV29" s="2">
        <f>""</f>
        <v/>
      </c>
      <c r="AW29" s="2">
        <f>'Dados'!$AF$98&amp;""</f>
        <v/>
      </c>
      <c r="AX29" s="2">
        <f>IF(ISNUMBER('Dados'!$AG$98),IF('Dados'!$AG$98&gt;0,'Dados'!$AG$98,""),"")</f>
        <v/>
      </c>
      <c r="AY29" s="2">
        <f>'Dados'!$AH$98&amp;""</f>
        <v/>
      </c>
      <c r="AZ29" s="2">
        <f>IF(ISNUMBER('Dados'!$AI$98),IF('Dados'!$AI$98&gt;0,'Dados'!$AI$98,""),"")</f>
        <v/>
      </c>
      <c r="BA29" s="2">
        <f>'Dados'!$AJ$98&amp;""</f>
        <v/>
      </c>
      <c r="BB29" s="2">
        <f>IF(ISNUMBER('Dados'!$AK$98),IF('Dados'!$AK$98&gt;0,'Dados'!$AK$98,""),"")</f>
        <v/>
      </c>
      <c r="BC29" s="2">
        <f>'Dados'!$E$98&amp;""</f>
        <v/>
      </c>
      <c r="BD29" s="2">
        <f>'Dados'!$AD$98&amp;""</f>
        <v/>
      </c>
      <c r="BE29" s="2">
        <f>INDEX('Dados'!$F$7:$F$11,'Dados'!$AB$98)</f>
        <v/>
      </c>
      <c r="BF29" s="2">
        <f>'Dados'!$AB$98</f>
        <v/>
      </c>
      <c r="BG29" s="2">
        <f>'Dados'!$AE$98</f>
        <v/>
      </c>
      <c r="BH29" s="2">
        <f>"Bestiário"</f>
        <v/>
      </c>
      <c r="DR29" s="2">
        <f>IF(ISERROR($B$29),"",IF(ISBLANK($B$29),"",$B$29))</f>
        <v/>
      </c>
      <c r="DV29" s="2">
        <f>IF(ISERROR($F$29),"",IF(ISBLANK($F$29),"",$F$29))</f>
        <v/>
      </c>
      <c r="DW29" s="2">
        <f>IF(ISERROR($G$29),"",IF(ISBLANK($G$29),"",$G$29))</f>
        <v/>
      </c>
      <c r="EA29" s="2">
        <f>ISERROR($B$29)*1+ISERROR($E$29)*1+ISERROR($F$29)*1+ISERROR($G$29)*1</f>
        <v/>
      </c>
    </row>
    <row r="30" ht="37" customHeight="1">
      <c r="A30" s="31">
        <f>IF(LEN($DQ$15)&gt;0,"5 · "&amp;$DQ$15,"5 · (vazio)")</f>
        <v/>
      </c>
      <c r="B30" s="4" t="n"/>
      <c r="C30" s="25" t="n"/>
      <c r="D30" s="17" t="n"/>
      <c r="E30" s="34" t="n"/>
      <c r="F30" s="34" t="n"/>
      <c r="G30" s="4" t="n"/>
      <c r="H30" s="25" t="n"/>
      <c r="I30" s="25" t="n"/>
      <c r="J30" s="17" t="n"/>
      <c r="K30" s="19">
        <f>IF(EA30&gt;0,"O Google leu como fórmula: escolha de novo ou digite com ' na frente.",IF(AND(LEN($DQ$15)&gt;0,LEN($DV$30)=0,$BL$15=0),"Diga se ele é ser racional (só ser racional Executa, 23.5)",""))</f>
        <v/>
      </c>
      <c r="N30" s="2">
        <f>'Dados'!$B$99</f>
        <v/>
      </c>
      <c r="O30" s="2">
        <f>'Dados'!$C$99</f>
        <v/>
      </c>
      <c r="P30" s="2">
        <f>'Dados'!$D$99</f>
        <v/>
      </c>
      <c r="Q30" s="2">
        <f>'Dados'!$G$99</f>
        <v/>
      </c>
      <c r="R30" s="2">
        <f>'Dados'!$H$99</f>
        <v/>
      </c>
      <c r="S30" s="2">
        <f>'Dados'!$I$99</f>
        <v/>
      </c>
      <c r="T30" s="2">
        <f>'Dados'!$J$99</f>
        <v/>
      </c>
      <c r="U30" s="2">
        <f>'Dados'!$K$99</f>
        <v/>
      </c>
      <c r="V30" s="2">
        <f>'Dados'!$L$99</f>
        <v/>
      </c>
      <c r="W30" s="2">
        <f>'Dados'!$M$99</f>
        <v/>
      </c>
      <c r="X30" s="2">
        <f>'Dados'!$N$99</f>
        <v/>
      </c>
      <c r="Y30" s="2">
        <f>'Dados'!$O$99</f>
        <v/>
      </c>
      <c r="Z30" s="2">
        <f>'Dados'!$P$99</f>
        <v/>
      </c>
      <c r="AA30" s="2">
        <f>'Dados'!$Q$99&amp;""</f>
        <v/>
      </c>
      <c r="AB30" s="2">
        <f>'Dados'!$R$99&amp;""</f>
        <v/>
      </c>
      <c r="AC30" s="2">
        <f>'Dados'!$S$99&amp;""</f>
        <v/>
      </c>
      <c r="AD30" s="2">
        <f>'Dados'!$T$99&amp;""</f>
        <v/>
      </c>
      <c r="AE30" s="2">
        <f>'Dados'!$U$99&amp;""</f>
        <v/>
      </c>
      <c r="AF30" s="2">
        <f>'Dados'!$V$99&amp;""</f>
        <v/>
      </c>
      <c r="AG30" s="2">
        <f>'Dados'!$F$99</f>
        <v/>
      </c>
      <c r="AH30" s="2">
        <f>'Dados'!$Z$99</f>
        <v/>
      </c>
      <c r="AI30" s="2">
        <f>'Dados'!$AA$99</f>
        <v/>
      </c>
      <c r="AJ30" s="2">
        <f>'Dados'!$W$99</f>
        <v/>
      </c>
      <c r="AK30" s="2">
        <f>'Dados'!$E$128</f>
        <v/>
      </c>
      <c r="AL30" s="2">
        <f>""</f>
        <v/>
      </c>
      <c r="AM30" s="2">
        <f>'Dados'!$G$128</f>
        <v/>
      </c>
      <c r="AN30" s="2">
        <f>'Dados'!$H$128</f>
        <v/>
      </c>
      <c r="AO30" s="2">
        <f>'Dados'!$I$128</f>
        <v/>
      </c>
      <c r="AP30" s="2">
        <f>'Dados'!$J$128</f>
        <v/>
      </c>
      <c r="AQ30" s="2">
        <f>'Dados'!$K$128</f>
        <v/>
      </c>
      <c r="AR30" s="2">
        <f>""</f>
        <v/>
      </c>
      <c r="AS30" s="2">
        <f>""</f>
        <v/>
      </c>
      <c r="AT30" s="2">
        <f>""</f>
        <v/>
      </c>
      <c r="AU30" s="2">
        <f>""</f>
        <v/>
      </c>
      <c r="AV30" s="2">
        <f>""</f>
        <v/>
      </c>
      <c r="AW30" s="2">
        <f>'Dados'!$AF$99&amp;""</f>
        <v/>
      </c>
      <c r="AX30" s="2">
        <f>IF(ISNUMBER('Dados'!$AG$99),IF('Dados'!$AG$99&gt;0,'Dados'!$AG$99,""),"")</f>
        <v/>
      </c>
      <c r="AY30" s="2">
        <f>'Dados'!$AH$99&amp;""</f>
        <v/>
      </c>
      <c r="AZ30" s="2">
        <f>IF(ISNUMBER('Dados'!$AI$99),IF('Dados'!$AI$99&gt;0,'Dados'!$AI$99,""),"")</f>
        <v/>
      </c>
      <c r="BA30" s="2">
        <f>'Dados'!$AJ$99&amp;""</f>
        <v/>
      </c>
      <c r="BB30" s="2">
        <f>IF(ISNUMBER('Dados'!$AK$99),IF('Dados'!$AK$99&gt;0,'Dados'!$AK$99,""),"")</f>
        <v/>
      </c>
      <c r="BC30" s="2">
        <f>'Dados'!$E$99&amp;""</f>
        <v/>
      </c>
      <c r="BD30" s="2">
        <f>'Dados'!$AD$99&amp;""</f>
        <v/>
      </c>
      <c r="BE30" s="2">
        <f>INDEX('Dados'!$F$7:$F$11,'Dados'!$AB$99)</f>
        <v/>
      </c>
      <c r="BF30" s="2">
        <f>'Dados'!$AB$99</f>
        <v/>
      </c>
      <c r="BG30" s="2">
        <f>'Dados'!$AE$99</f>
        <v/>
      </c>
      <c r="BH30" s="2">
        <f>"Bestiário"</f>
        <v/>
      </c>
      <c r="DR30" s="2">
        <f>IF(ISERROR($B$30),"",IF(ISBLANK($B$30),"",$B$30))</f>
        <v/>
      </c>
      <c r="DV30" s="2">
        <f>IF(ISERROR($F$30),"",IF(ISBLANK($F$30),"",$F$30))</f>
        <v/>
      </c>
      <c r="DW30" s="2">
        <f>IF(ISERROR($G$30),"",IF(ISBLANK($G$30),"",$G$30))</f>
        <v/>
      </c>
      <c r="EA30" s="2">
        <f>ISERROR($B$30)*1+ISERROR($E$30)*1+ISERROR($F$30)*1+ISERROR($G$30)*1</f>
        <v/>
      </c>
    </row>
    <row r="31" ht="37" customHeight="1">
      <c r="A31" s="43">
        <f>IF(LEN($DQ$16)&gt;0,"6 · "&amp;$DQ$16,"6 · (vazio)")</f>
        <v/>
      </c>
      <c r="B31" s="29" t="n"/>
      <c r="C31" s="25" t="n"/>
      <c r="D31" s="17" t="n"/>
      <c r="E31" s="36" t="n"/>
      <c r="F31" s="36" t="n"/>
      <c r="G31" s="29" t="n"/>
      <c r="H31" s="25" t="n"/>
      <c r="I31" s="25" t="n"/>
      <c r="J31" s="17" t="n"/>
      <c r="K31" s="27">
        <f>IF(EA31&gt;0,"O Google leu como fórmula: escolha de novo ou digite com ' na frente.",IF(AND(LEN($DQ$16)&gt;0,LEN($DV$31)=0,$BL$16=0),"Diga se ele é ser racional (só ser racional Executa, 23.5)",""))</f>
        <v/>
      </c>
      <c r="N31" s="2">
        <f>'Dados'!$B$100</f>
        <v/>
      </c>
      <c r="O31" s="2">
        <f>'Dados'!$C$100</f>
        <v/>
      </c>
      <c r="P31" s="2">
        <f>'Dados'!$D$100</f>
        <v/>
      </c>
      <c r="Q31" s="2">
        <f>'Dados'!$G$100</f>
        <v/>
      </c>
      <c r="R31" s="2">
        <f>'Dados'!$H$100</f>
        <v/>
      </c>
      <c r="S31" s="2">
        <f>'Dados'!$I$100</f>
        <v/>
      </c>
      <c r="T31" s="2">
        <f>'Dados'!$J$100</f>
        <v/>
      </c>
      <c r="U31" s="2">
        <f>'Dados'!$K$100</f>
        <v/>
      </c>
      <c r="V31" s="2">
        <f>'Dados'!$L$100</f>
        <v/>
      </c>
      <c r="W31" s="2">
        <f>'Dados'!$M$100</f>
        <v/>
      </c>
      <c r="X31" s="2">
        <f>'Dados'!$N$100</f>
        <v/>
      </c>
      <c r="Y31" s="2">
        <f>'Dados'!$O$100</f>
        <v/>
      </c>
      <c r="Z31" s="2">
        <f>'Dados'!$P$100</f>
        <v/>
      </c>
      <c r="AA31" s="2">
        <f>'Dados'!$Q$100&amp;""</f>
        <v/>
      </c>
      <c r="AB31" s="2">
        <f>'Dados'!$R$100&amp;""</f>
        <v/>
      </c>
      <c r="AC31" s="2">
        <f>'Dados'!$S$100&amp;""</f>
        <v/>
      </c>
      <c r="AD31" s="2">
        <f>'Dados'!$T$100&amp;""</f>
        <v/>
      </c>
      <c r="AE31" s="2">
        <f>'Dados'!$U$100&amp;""</f>
        <v/>
      </c>
      <c r="AF31" s="2">
        <f>'Dados'!$V$100&amp;""</f>
        <v/>
      </c>
      <c r="AG31" s="2">
        <f>'Dados'!$F$100</f>
        <v/>
      </c>
      <c r="AH31" s="2">
        <f>'Dados'!$Z$100</f>
        <v/>
      </c>
      <c r="AI31" s="2">
        <f>'Dados'!$AA$100</f>
        <v/>
      </c>
      <c r="AJ31" s="2">
        <f>'Dados'!$W$100</f>
        <v/>
      </c>
      <c r="AK31" s="2">
        <f>""</f>
        <v/>
      </c>
      <c r="AL31" s="2">
        <f>""</f>
        <v/>
      </c>
      <c r="AM31" s="2">
        <f>""</f>
        <v/>
      </c>
      <c r="AN31" s="2">
        <f>""</f>
        <v/>
      </c>
      <c r="AO31" s="2">
        <f>""</f>
        <v/>
      </c>
      <c r="AP31" s="2">
        <f>""</f>
        <v/>
      </c>
      <c r="AQ31" s="2">
        <f>""</f>
        <v/>
      </c>
      <c r="AR31" s="2">
        <f>""</f>
        <v/>
      </c>
      <c r="AS31" s="2">
        <f>""</f>
        <v/>
      </c>
      <c r="AT31" s="2">
        <f>""</f>
        <v/>
      </c>
      <c r="AU31" s="2">
        <f>""</f>
        <v/>
      </c>
      <c r="AV31" s="2">
        <f>""</f>
        <v/>
      </c>
      <c r="AW31" s="2">
        <f>'Dados'!$AF$100&amp;""</f>
        <v/>
      </c>
      <c r="AX31" s="2">
        <f>IF(ISNUMBER('Dados'!$AG$100),IF('Dados'!$AG$100&gt;0,'Dados'!$AG$100,""),"")</f>
        <v/>
      </c>
      <c r="AY31" s="2">
        <f>'Dados'!$AH$100&amp;""</f>
        <v/>
      </c>
      <c r="AZ31" s="2">
        <f>IF(ISNUMBER('Dados'!$AI$100),IF('Dados'!$AI$100&gt;0,'Dados'!$AI$100,""),"")</f>
        <v/>
      </c>
      <c r="BA31" s="2">
        <f>'Dados'!$AJ$100&amp;""</f>
        <v/>
      </c>
      <c r="BB31" s="2">
        <f>IF(ISNUMBER('Dados'!$AK$100),IF('Dados'!$AK$100&gt;0,'Dados'!$AK$100,""),"")</f>
        <v/>
      </c>
      <c r="BC31" s="2">
        <f>'Dados'!$E$100&amp;""</f>
        <v/>
      </c>
      <c r="BD31" s="2">
        <f>'Dados'!$AD$100&amp;""</f>
        <v/>
      </c>
      <c r="BE31" s="2">
        <f>INDEX('Dados'!$F$7:$F$11,'Dados'!$AB$100)</f>
        <v/>
      </c>
      <c r="BF31" s="2">
        <f>'Dados'!$AB$100</f>
        <v/>
      </c>
      <c r="BG31" s="2">
        <f>'Dados'!$AE$100</f>
        <v/>
      </c>
      <c r="BH31" s="2">
        <f>"Bestiário"</f>
        <v/>
      </c>
      <c r="DR31" s="2">
        <f>IF(ISERROR($B$31),"",IF(ISBLANK($B$31),"",$B$31))</f>
        <v/>
      </c>
      <c r="DV31" s="2">
        <f>IF(ISERROR($F$31),"",IF(ISBLANK($F$31),"",$F$31))</f>
        <v/>
      </c>
      <c r="DW31" s="2">
        <f>IF(ISERROR($G$31),"",IF(ISBLANK($G$31),"",$G$31))</f>
        <v/>
      </c>
      <c r="EA31" s="2">
        <f>ISERROR($B$31)*1+ISERROR($E$31)*1+ISERROR($F$31)*1+ISERROR($G$31)*1</f>
        <v/>
      </c>
    </row>
    <row r="32" ht="37" customHeight="1">
      <c r="A32" s="31">
        <f>IF(LEN($DQ$17)&gt;0,"7 · "&amp;$DQ$17,"7 · (vazio)")</f>
        <v/>
      </c>
      <c r="B32" s="4" t="n"/>
      <c r="C32" s="25" t="n"/>
      <c r="D32" s="17" t="n"/>
      <c r="E32" s="34" t="n"/>
      <c r="F32" s="34" t="n"/>
      <c r="G32" s="4" t="n"/>
      <c r="H32" s="25" t="n"/>
      <c r="I32" s="25" t="n"/>
      <c r="J32" s="17" t="n"/>
      <c r="K32" s="19">
        <f>IF(EA32&gt;0,"O Google leu como fórmula: escolha de novo ou digite com ' na frente.",IF(AND(LEN($DQ$17)&gt;0,LEN($DV$32)=0,$BL$17=0),"Diga se ele é ser racional (só ser racional Executa, 23.5)",""))</f>
        <v/>
      </c>
      <c r="N32" s="2">
        <f>'Dados'!$B$101</f>
        <v/>
      </c>
      <c r="O32" s="2">
        <f>'Dados'!$C$101</f>
        <v/>
      </c>
      <c r="P32" s="2">
        <f>'Dados'!$D$101</f>
        <v/>
      </c>
      <c r="Q32" s="2">
        <f>'Dados'!$G$101</f>
        <v/>
      </c>
      <c r="R32" s="2">
        <f>'Dados'!$H$101</f>
        <v/>
      </c>
      <c r="S32" s="2">
        <f>'Dados'!$I$101</f>
        <v/>
      </c>
      <c r="T32" s="2">
        <f>'Dados'!$J$101</f>
        <v/>
      </c>
      <c r="U32" s="2">
        <f>'Dados'!$K$101</f>
        <v/>
      </c>
      <c r="V32" s="2">
        <f>'Dados'!$L$101</f>
        <v/>
      </c>
      <c r="W32" s="2">
        <f>'Dados'!$M$101</f>
        <v/>
      </c>
      <c r="X32" s="2">
        <f>'Dados'!$N$101</f>
        <v/>
      </c>
      <c r="Y32" s="2">
        <f>'Dados'!$O$101</f>
        <v/>
      </c>
      <c r="Z32" s="2">
        <f>'Dados'!$P$101</f>
        <v/>
      </c>
      <c r="AA32" s="2">
        <f>'Dados'!$Q$101&amp;""</f>
        <v/>
      </c>
      <c r="AB32" s="2">
        <f>'Dados'!$R$101&amp;""</f>
        <v/>
      </c>
      <c r="AC32" s="2">
        <f>'Dados'!$S$101&amp;""</f>
        <v/>
      </c>
      <c r="AD32" s="2">
        <f>'Dados'!$T$101&amp;""</f>
        <v/>
      </c>
      <c r="AE32" s="2">
        <f>'Dados'!$U$101&amp;""</f>
        <v/>
      </c>
      <c r="AF32" s="2">
        <f>'Dados'!$V$101&amp;""</f>
        <v/>
      </c>
      <c r="AG32" s="2">
        <f>'Dados'!$F$101</f>
        <v/>
      </c>
      <c r="AH32" s="2">
        <f>'Dados'!$Z$101</f>
        <v/>
      </c>
      <c r="AI32" s="2">
        <f>'Dados'!$AA$101</f>
        <v/>
      </c>
      <c r="AJ32" s="2">
        <f>'Dados'!$W$101</f>
        <v/>
      </c>
      <c r="AK32" s="2">
        <f>""</f>
        <v/>
      </c>
      <c r="AL32" s="2">
        <f>""</f>
        <v/>
      </c>
      <c r="AM32" s="2">
        <f>""</f>
        <v/>
      </c>
      <c r="AN32" s="2">
        <f>""</f>
        <v/>
      </c>
      <c r="AO32" s="2">
        <f>""</f>
        <v/>
      </c>
      <c r="AP32" s="2">
        <f>""</f>
        <v/>
      </c>
      <c r="AQ32" s="2">
        <f>""</f>
        <v/>
      </c>
      <c r="AR32" s="2">
        <f>""</f>
        <v/>
      </c>
      <c r="AS32" s="2">
        <f>""</f>
        <v/>
      </c>
      <c r="AT32" s="2">
        <f>""</f>
        <v/>
      </c>
      <c r="AU32" s="2">
        <f>""</f>
        <v/>
      </c>
      <c r="AV32" s="2">
        <f>""</f>
        <v/>
      </c>
      <c r="AW32" s="2">
        <f>'Dados'!$AF$101&amp;""</f>
        <v/>
      </c>
      <c r="AX32" s="2">
        <f>IF(ISNUMBER('Dados'!$AG$101),IF('Dados'!$AG$101&gt;0,'Dados'!$AG$101,""),"")</f>
        <v/>
      </c>
      <c r="AY32" s="2">
        <f>'Dados'!$AH$101&amp;""</f>
        <v/>
      </c>
      <c r="AZ32" s="2">
        <f>IF(ISNUMBER('Dados'!$AI$101),IF('Dados'!$AI$101&gt;0,'Dados'!$AI$101,""),"")</f>
        <v/>
      </c>
      <c r="BA32" s="2">
        <f>'Dados'!$AJ$101&amp;""</f>
        <v/>
      </c>
      <c r="BB32" s="2">
        <f>IF(ISNUMBER('Dados'!$AK$101),IF('Dados'!$AK$101&gt;0,'Dados'!$AK$101,""),"")</f>
        <v/>
      </c>
      <c r="BC32" s="2">
        <f>'Dados'!$E$101&amp;""</f>
        <v/>
      </c>
      <c r="BD32" s="2">
        <f>'Dados'!$AD$101&amp;""</f>
        <v/>
      </c>
      <c r="BE32" s="2">
        <f>INDEX('Dados'!$F$7:$F$11,'Dados'!$AB$101)</f>
        <v/>
      </c>
      <c r="BF32" s="2">
        <f>'Dados'!$AB$101</f>
        <v/>
      </c>
      <c r="BG32" s="2">
        <f>'Dados'!$AE$101</f>
        <v/>
      </c>
      <c r="BH32" s="2">
        <f>"Bestiário"</f>
        <v/>
      </c>
      <c r="DR32" s="2">
        <f>IF(ISERROR($B$32),"",IF(ISBLANK($B$32),"",$B$32))</f>
        <v/>
      </c>
      <c r="DV32" s="2">
        <f>IF(ISERROR($F$32),"",IF(ISBLANK($F$32),"",$F$32))</f>
        <v/>
      </c>
      <c r="DW32" s="2">
        <f>IF(ISERROR($G$32),"",IF(ISBLANK($G$32),"",$G$32))</f>
        <v/>
      </c>
      <c r="EA32" s="2">
        <f>ISERROR($B$32)*1+ISERROR($E$32)*1+ISERROR($F$32)*1+ISERROR($G$32)*1</f>
        <v/>
      </c>
    </row>
    <row r="33" ht="37" customHeight="1">
      <c r="A33" s="43">
        <f>IF(LEN($DQ$18)&gt;0,"8 · "&amp;$DQ$18,"8 · (vazio)")</f>
        <v/>
      </c>
      <c r="B33" s="29" t="n"/>
      <c r="C33" s="25" t="n"/>
      <c r="D33" s="17" t="n"/>
      <c r="E33" s="36" t="n"/>
      <c r="F33" s="36" t="n"/>
      <c r="G33" s="29" t="n"/>
      <c r="H33" s="25" t="n"/>
      <c r="I33" s="25" t="n"/>
      <c r="J33" s="17" t="n"/>
      <c r="K33" s="27">
        <f>IF(EA33&gt;0,"O Google leu como fórmula: escolha de novo ou digite com ' na frente.",IF(AND(LEN($DQ$18)&gt;0,LEN($DV$33)=0,$BL$18=0),"Diga se ele é ser racional (só ser racional Executa, 23.5)",""))</f>
        <v/>
      </c>
      <c r="N33" s="2">
        <f>'Dados'!$B$102</f>
        <v/>
      </c>
      <c r="O33" s="2">
        <f>'Dados'!$C$102</f>
        <v/>
      </c>
      <c r="P33" s="2">
        <f>'Dados'!$D$102</f>
        <v/>
      </c>
      <c r="Q33" s="2">
        <f>'Dados'!$G$102</f>
        <v/>
      </c>
      <c r="R33" s="2">
        <f>'Dados'!$H$102</f>
        <v/>
      </c>
      <c r="S33" s="2">
        <f>'Dados'!$I$102</f>
        <v/>
      </c>
      <c r="T33" s="2">
        <f>'Dados'!$J$102</f>
        <v/>
      </c>
      <c r="U33" s="2">
        <f>'Dados'!$K$102</f>
        <v/>
      </c>
      <c r="V33" s="2">
        <f>'Dados'!$L$102</f>
        <v/>
      </c>
      <c r="W33" s="2">
        <f>'Dados'!$M$102</f>
        <v/>
      </c>
      <c r="X33" s="2">
        <f>'Dados'!$N$102</f>
        <v/>
      </c>
      <c r="Y33" s="2">
        <f>'Dados'!$O$102</f>
        <v/>
      </c>
      <c r="Z33" s="2">
        <f>'Dados'!$P$102</f>
        <v/>
      </c>
      <c r="AA33" s="2">
        <f>'Dados'!$Q$102&amp;""</f>
        <v/>
      </c>
      <c r="AB33" s="2">
        <f>'Dados'!$R$102&amp;""</f>
        <v/>
      </c>
      <c r="AC33" s="2">
        <f>'Dados'!$S$102&amp;""</f>
        <v/>
      </c>
      <c r="AD33" s="2">
        <f>'Dados'!$T$102&amp;""</f>
        <v/>
      </c>
      <c r="AE33" s="2">
        <f>'Dados'!$U$102&amp;""</f>
        <v/>
      </c>
      <c r="AF33" s="2">
        <f>'Dados'!$V$102&amp;""</f>
        <v/>
      </c>
      <c r="AG33" s="2">
        <f>'Dados'!$F$102</f>
        <v/>
      </c>
      <c r="AH33" s="2">
        <f>'Dados'!$Z$102</f>
        <v/>
      </c>
      <c r="AI33" s="2">
        <f>'Dados'!$AA$102</f>
        <v/>
      </c>
      <c r="AJ33" s="2">
        <f>'Dados'!$W$102</f>
        <v/>
      </c>
      <c r="AK33" s="2">
        <f>""</f>
        <v/>
      </c>
      <c r="AL33" s="2">
        <f>""</f>
        <v/>
      </c>
      <c r="AM33" s="2">
        <f>""</f>
        <v/>
      </c>
      <c r="AN33" s="2">
        <f>""</f>
        <v/>
      </c>
      <c r="AO33" s="2">
        <f>""</f>
        <v/>
      </c>
      <c r="AP33" s="2">
        <f>""</f>
        <v/>
      </c>
      <c r="AQ33" s="2">
        <f>""</f>
        <v/>
      </c>
      <c r="AR33" s="2">
        <f>""</f>
        <v/>
      </c>
      <c r="AS33" s="2">
        <f>""</f>
        <v/>
      </c>
      <c r="AT33" s="2">
        <f>""</f>
        <v/>
      </c>
      <c r="AU33" s="2">
        <f>""</f>
        <v/>
      </c>
      <c r="AV33" s="2">
        <f>""</f>
        <v/>
      </c>
      <c r="AW33" s="2">
        <f>'Dados'!$AF$102&amp;""</f>
        <v/>
      </c>
      <c r="AX33" s="2">
        <f>IF(ISNUMBER('Dados'!$AG$102),IF('Dados'!$AG$102&gt;0,'Dados'!$AG$102,""),"")</f>
        <v/>
      </c>
      <c r="AY33" s="2">
        <f>'Dados'!$AH$102&amp;""</f>
        <v/>
      </c>
      <c r="AZ33" s="2">
        <f>IF(ISNUMBER('Dados'!$AI$102),IF('Dados'!$AI$102&gt;0,'Dados'!$AI$102,""),"")</f>
        <v/>
      </c>
      <c r="BA33" s="2">
        <f>'Dados'!$AJ$102&amp;""</f>
        <v/>
      </c>
      <c r="BB33" s="2">
        <f>IF(ISNUMBER('Dados'!$AK$102),IF('Dados'!$AK$102&gt;0,'Dados'!$AK$102,""),"")</f>
        <v/>
      </c>
      <c r="BC33" s="2">
        <f>'Dados'!$E$102&amp;""</f>
        <v/>
      </c>
      <c r="BD33" s="2">
        <f>'Dados'!$AD$102&amp;""</f>
        <v/>
      </c>
      <c r="BE33" s="2">
        <f>INDEX('Dados'!$F$7:$F$11,'Dados'!$AB$102)</f>
        <v/>
      </c>
      <c r="BF33" s="2">
        <f>'Dados'!$AB$102</f>
        <v/>
      </c>
      <c r="BG33" s="2">
        <f>'Dados'!$AE$102</f>
        <v/>
      </c>
      <c r="BH33" s="2">
        <f>"Bestiário"</f>
        <v/>
      </c>
      <c r="DR33" s="2">
        <f>IF(ISERROR($B$33),"",IF(ISBLANK($B$33),"",$B$33))</f>
        <v/>
      </c>
      <c r="DV33" s="2">
        <f>IF(ISERROR($F$33),"",IF(ISBLANK($F$33),"",$F$33))</f>
        <v/>
      </c>
      <c r="DW33" s="2">
        <f>IF(ISERROR($G$33),"",IF(ISBLANK($G$33),"",$G$33))</f>
        <v/>
      </c>
      <c r="EA33" s="2">
        <f>ISERROR($B$33)*1+ISERROR($E$33)*1+ISERROR($F$33)*1+ISERROR($G$33)*1</f>
        <v/>
      </c>
    </row>
    <row r="34" ht="37" customHeight="1">
      <c r="A34" s="31">
        <f>IF(LEN($DQ$19)&gt;0,"9 · "&amp;$DQ$19,"9 · (vazio)")</f>
        <v/>
      </c>
      <c r="B34" s="4" t="n"/>
      <c r="C34" s="25" t="n"/>
      <c r="D34" s="17" t="n"/>
      <c r="E34" s="34" t="n"/>
      <c r="F34" s="34" t="n"/>
      <c r="G34" s="4" t="n"/>
      <c r="H34" s="25" t="n"/>
      <c r="I34" s="25" t="n"/>
      <c r="J34" s="17" t="n"/>
      <c r="K34" s="19">
        <f>IF(EA34&gt;0,"O Google leu como fórmula: escolha de novo ou digite com ' na frente.",IF(AND(LEN($DQ$19)&gt;0,LEN($DV$34)=0,$BL$19=0),"Diga se ele é ser racional (só ser racional Executa, 23.5)",""))</f>
        <v/>
      </c>
      <c r="N34" s="2">
        <f>'Dados'!$B$103</f>
        <v/>
      </c>
      <c r="O34" s="2">
        <f>'Dados'!$C$103</f>
        <v/>
      </c>
      <c r="P34" s="2">
        <f>'Dados'!$D$103</f>
        <v/>
      </c>
      <c r="Q34" s="2">
        <f>'Dados'!$G$103</f>
        <v/>
      </c>
      <c r="R34" s="2">
        <f>'Dados'!$H$103</f>
        <v/>
      </c>
      <c r="S34" s="2">
        <f>'Dados'!$I$103</f>
        <v/>
      </c>
      <c r="T34" s="2">
        <f>'Dados'!$J$103</f>
        <v/>
      </c>
      <c r="U34" s="2">
        <f>'Dados'!$K$103</f>
        <v/>
      </c>
      <c r="V34" s="2">
        <f>'Dados'!$L$103</f>
        <v/>
      </c>
      <c r="W34" s="2">
        <f>'Dados'!$M$103</f>
        <v/>
      </c>
      <c r="X34" s="2">
        <f>'Dados'!$N$103</f>
        <v/>
      </c>
      <c r="Y34" s="2">
        <f>'Dados'!$O$103</f>
        <v/>
      </c>
      <c r="Z34" s="2">
        <f>'Dados'!$P$103</f>
        <v/>
      </c>
      <c r="AA34" s="2">
        <f>'Dados'!$Q$103&amp;""</f>
        <v/>
      </c>
      <c r="AB34" s="2">
        <f>'Dados'!$R$103&amp;""</f>
        <v/>
      </c>
      <c r="AC34" s="2">
        <f>'Dados'!$S$103&amp;""</f>
        <v/>
      </c>
      <c r="AD34" s="2">
        <f>'Dados'!$T$103&amp;""</f>
        <v/>
      </c>
      <c r="AE34" s="2">
        <f>'Dados'!$U$103&amp;""</f>
        <v/>
      </c>
      <c r="AF34" s="2">
        <f>'Dados'!$V$103&amp;""</f>
        <v/>
      </c>
      <c r="AG34" s="2">
        <f>'Dados'!$F$103</f>
        <v/>
      </c>
      <c r="AH34" s="2">
        <f>'Dados'!$Z$103</f>
        <v/>
      </c>
      <c r="AI34" s="2">
        <f>'Dados'!$AA$103</f>
        <v/>
      </c>
      <c r="AJ34" s="2">
        <f>'Dados'!$W$103</f>
        <v/>
      </c>
      <c r="AK34" s="2">
        <f>""</f>
        <v/>
      </c>
      <c r="AL34" s="2">
        <f>""</f>
        <v/>
      </c>
      <c r="AM34" s="2">
        <f>""</f>
        <v/>
      </c>
      <c r="AN34" s="2">
        <f>""</f>
        <v/>
      </c>
      <c r="AO34" s="2">
        <f>""</f>
        <v/>
      </c>
      <c r="AP34" s="2">
        <f>""</f>
        <v/>
      </c>
      <c r="AQ34" s="2">
        <f>""</f>
        <v/>
      </c>
      <c r="AR34" s="2">
        <f>""</f>
        <v/>
      </c>
      <c r="AS34" s="2">
        <f>""</f>
        <v/>
      </c>
      <c r="AT34" s="2">
        <f>""</f>
        <v/>
      </c>
      <c r="AU34" s="2">
        <f>""</f>
        <v/>
      </c>
      <c r="AV34" s="2">
        <f>""</f>
        <v/>
      </c>
      <c r="AW34" s="2">
        <f>'Dados'!$AF$103&amp;""</f>
        <v/>
      </c>
      <c r="AX34" s="2">
        <f>IF(ISNUMBER('Dados'!$AG$103),IF('Dados'!$AG$103&gt;0,'Dados'!$AG$103,""),"")</f>
        <v/>
      </c>
      <c r="AY34" s="2">
        <f>'Dados'!$AH$103&amp;""</f>
        <v/>
      </c>
      <c r="AZ34" s="2">
        <f>IF(ISNUMBER('Dados'!$AI$103),IF('Dados'!$AI$103&gt;0,'Dados'!$AI$103,""),"")</f>
        <v/>
      </c>
      <c r="BA34" s="2">
        <f>'Dados'!$AJ$103&amp;""</f>
        <v/>
      </c>
      <c r="BB34" s="2">
        <f>IF(ISNUMBER('Dados'!$AK$103),IF('Dados'!$AK$103&gt;0,'Dados'!$AK$103,""),"")</f>
        <v/>
      </c>
      <c r="BC34" s="2">
        <f>'Dados'!$E$103&amp;""</f>
        <v/>
      </c>
      <c r="BD34" s="2">
        <f>'Dados'!$AD$103&amp;""</f>
        <v/>
      </c>
      <c r="BE34" s="2">
        <f>INDEX('Dados'!$F$7:$F$11,'Dados'!$AB$103)</f>
        <v/>
      </c>
      <c r="BF34" s="2">
        <f>'Dados'!$AB$103</f>
        <v/>
      </c>
      <c r="BG34" s="2">
        <f>'Dados'!$AE$103</f>
        <v/>
      </c>
      <c r="BH34" s="2">
        <f>"Bestiário"</f>
        <v/>
      </c>
      <c r="DR34" s="2">
        <f>IF(ISERROR($B$34),"",IF(ISBLANK($B$34),"",$B$34))</f>
        <v/>
      </c>
      <c r="DV34" s="2">
        <f>IF(ISERROR($F$34),"",IF(ISBLANK($F$34),"",$F$34))</f>
        <v/>
      </c>
      <c r="DW34" s="2">
        <f>IF(ISERROR($G$34),"",IF(ISBLANK($G$34),"",$G$34))</f>
        <v/>
      </c>
      <c r="EA34" s="2">
        <f>ISERROR($B$34)*1+ISERROR($E$34)*1+ISERROR($F$34)*1+ISERROR($G$34)*1</f>
        <v/>
      </c>
    </row>
    <row r="35" ht="37" customHeight="1">
      <c r="A35" s="43">
        <f>IF(LEN($DQ$20)&gt;0,"10 · "&amp;$DQ$20,"10 · (vazio)")</f>
        <v/>
      </c>
      <c r="B35" s="29" t="n"/>
      <c r="C35" s="25" t="n"/>
      <c r="D35" s="17" t="n"/>
      <c r="E35" s="36" t="n"/>
      <c r="F35" s="36" t="n"/>
      <c r="G35" s="29" t="n"/>
      <c r="H35" s="25" t="n"/>
      <c r="I35" s="25" t="n"/>
      <c r="J35" s="17" t="n"/>
      <c r="K35" s="27">
        <f>IF(EA35&gt;0,"O Google leu como fórmula: escolha de novo ou digite com ' na frente.",IF(AND(LEN($DQ$20)&gt;0,LEN($DV$35)=0,$BL$20=0),"Diga se ele é ser racional (só ser racional Executa, 23.5)",""))</f>
        <v/>
      </c>
      <c r="N35" s="2">
        <f>'Dados'!$B$104</f>
        <v/>
      </c>
      <c r="O35" s="2">
        <f>'Dados'!$C$104</f>
        <v/>
      </c>
      <c r="P35" s="2">
        <f>'Dados'!$D$104</f>
        <v/>
      </c>
      <c r="Q35" s="2">
        <f>'Dados'!$G$104</f>
        <v/>
      </c>
      <c r="R35" s="2">
        <f>'Dados'!$H$104</f>
        <v/>
      </c>
      <c r="S35" s="2">
        <f>'Dados'!$I$104</f>
        <v/>
      </c>
      <c r="T35" s="2">
        <f>'Dados'!$J$104</f>
        <v/>
      </c>
      <c r="U35" s="2">
        <f>'Dados'!$K$104</f>
        <v/>
      </c>
      <c r="V35" s="2">
        <f>'Dados'!$L$104</f>
        <v/>
      </c>
      <c r="W35" s="2">
        <f>'Dados'!$M$104</f>
        <v/>
      </c>
      <c r="X35" s="2">
        <f>'Dados'!$N$104</f>
        <v/>
      </c>
      <c r="Y35" s="2">
        <f>'Dados'!$O$104</f>
        <v/>
      </c>
      <c r="Z35" s="2">
        <f>'Dados'!$P$104</f>
        <v/>
      </c>
      <c r="AA35" s="2">
        <f>'Dados'!$Q$104&amp;""</f>
        <v/>
      </c>
      <c r="AB35" s="2">
        <f>'Dados'!$R$104&amp;""</f>
        <v/>
      </c>
      <c r="AC35" s="2">
        <f>'Dados'!$S$104&amp;""</f>
        <v/>
      </c>
      <c r="AD35" s="2">
        <f>'Dados'!$T$104&amp;""</f>
        <v/>
      </c>
      <c r="AE35" s="2">
        <f>'Dados'!$U$104&amp;""</f>
        <v/>
      </c>
      <c r="AF35" s="2">
        <f>'Dados'!$V$104&amp;""</f>
        <v/>
      </c>
      <c r="AG35" s="2">
        <f>'Dados'!$F$104</f>
        <v/>
      </c>
      <c r="AH35" s="2">
        <f>'Dados'!$Z$104</f>
        <v/>
      </c>
      <c r="AI35" s="2">
        <f>'Dados'!$AA$104</f>
        <v/>
      </c>
      <c r="AJ35" s="2">
        <f>'Dados'!$W$104</f>
        <v/>
      </c>
      <c r="AK35" s="2">
        <f>""</f>
        <v/>
      </c>
      <c r="AL35" s="2">
        <f>""</f>
        <v/>
      </c>
      <c r="AM35" s="2">
        <f>""</f>
        <v/>
      </c>
      <c r="AN35" s="2">
        <f>""</f>
        <v/>
      </c>
      <c r="AO35" s="2">
        <f>""</f>
        <v/>
      </c>
      <c r="AP35" s="2">
        <f>""</f>
        <v/>
      </c>
      <c r="AQ35" s="2">
        <f>""</f>
        <v/>
      </c>
      <c r="AR35" s="2">
        <f>""</f>
        <v/>
      </c>
      <c r="AS35" s="2">
        <f>""</f>
        <v/>
      </c>
      <c r="AT35" s="2">
        <f>""</f>
        <v/>
      </c>
      <c r="AU35" s="2">
        <f>""</f>
        <v/>
      </c>
      <c r="AV35" s="2">
        <f>""</f>
        <v/>
      </c>
      <c r="AW35" s="2">
        <f>'Dados'!$AF$104&amp;""</f>
        <v/>
      </c>
      <c r="AX35" s="2">
        <f>IF(ISNUMBER('Dados'!$AG$104),IF('Dados'!$AG$104&gt;0,'Dados'!$AG$104,""),"")</f>
        <v/>
      </c>
      <c r="AY35" s="2">
        <f>'Dados'!$AH$104&amp;""</f>
        <v/>
      </c>
      <c r="AZ35" s="2">
        <f>IF(ISNUMBER('Dados'!$AI$104),IF('Dados'!$AI$104&gt;0,'Dados'!$AI$104,""),"")</f>
        <v/>
      </c>
      <c r="BA35" s="2">
        <f>'Dados'!$AJ$104&amp;""</f>
        <v/>
      </c>
      <c r="BB35" s="2">
        <f>IF(ISNUMBER('Dados'!$AK$104),IF('Dados'!$AK$104&gt;0,'Dados'!$AK$104,""),"")</f>
        <v/>
      </c>
      <c r="BC35" s="2">
        <f>'Dados'!$E$104&amp;""</f>
        <v/>
      </c>
      <c r="BD35" s="2">
        <f>'Dados'!$AD$104&amp;""</f>
        <v/>
      </c>
      <c r="BE35" s="2">
        <f>INDEX('Dados'!$F$7:$F$11,'Dados'!$AB$104)</f>
        <v/>
      </c>
      <c r="BF35" s="2">
        <f>'Dados'!$AB$104</f>
        <v/>
      </c>
      <c r="BG35" s="2">
        <f>'Dados'!$AE$104</f>
        <v/>
      </c>
      <c r="BH35" s="2">
        <f>"Bestiário"</f>
        <v/>
      </c>
      <c r="DR35" s="2">
        <f>IF(ISERROR($B$35),"",IF(ISBLANK($B$35),"",$B$35))</f>
        <v/>
      </c>
      <c r="DV35" s="2">
        <f>IF(ISERROR($F$35),"",IF(ISBLANK($F$35),"",$F$35))</f>
        <v/>
      </c>
      <c r="DW35" s="2">
        <f>IF(ISERROR($G$35),"",IF(ISBLANK($G$35),"",$G$35))</f>
        <v/>
      </c>
      <c r="EA35" s="2">
        <f>ISERROR($B$35)*1+ISERROR($E$35)*1+ISERROR($F$35)*1+ISERROR($G$35)*1</f>
        <v/>
      </c>
    </row>
    <row r="36" ht="37" customHeight="1">
      <c r="A36" s="31">
        <f>IF(LEN($DQ$21)&gt;0,"11 · "&amp;$DQ$21,"11 · (vazio)")</f>
        <v/>
      </c>
      <c r="B36" s="4" t="n"/>
      <c r="C36" s="25" t="n"/>
      <c r="D36" s="17" t="n"/>
      <c r="E36" s="34" t="n"/>
      <c r="F36" s="34" t="n"/>
      <c r="G36" s="4" t="n"/>
      <c r="H36" s="25" t="n"/>
      <c r="I36" s="25" t="n"/>
      <c r="J36" s="17" t="n"/>
      <c r="K36" s="19">
        <f>IF(EA36&gt;0,"O Google leu como fórmula: escolha de novo ou digite com ' na frente.",IF(AND(LEN($DQ$21)&gt;0,LEN($DV$36)=0,$BL$21=0),"Diga se ele é ser racional (só ser racional Executa, 23.5)",""))</f>
        <v/>
      </c>
      <c r="N36" s="2">
        <f>'Dados'!$B$105</f>
        <v/>
      </c>
      <c r="O36" s="2">
        <f>'Dados'!$C$105</f>
        <v/>
      </c>
      <c r="P36" s="2">
        <f>'Dados'!$D$105</f>
        <v/>
      </c>
      <c r="Q36" s="2">
        <f>'Dados'!$G$105</f>
        <v/>
      </c>
      <c r="R36" s="2">
        <f>'Dados'!$H$105</f>
        <v/>
      </c>
      <c r="S36" s="2">
        <f>'Dados'!$I$105</f>
        <v/>
      </c>
      <c r="T36" s="2">
        <f>'Dados'!$J$105</f>
        <v/>
      </c>
      <c r="U36" s="2">
        <f>'Dados'!$K$105</f>
        <v/>
      </c>
      <c r="V36" s="2">
        <f>'Dados'!$L$105</f>
        <v/>
      </c>
      <c r="W36" s="2">
        <f>'Dados'!$M$105</f>
        <v/>
      </c>
      <c r="X36" s="2">
        <f>'Dados'!$N$105</f>
        <v/>
      </c>
      <c r="Y36" s="2">
        <f>'Dados'!$O$105</f>
        <v/>
      </c>
      <c r="Z36" s="2">
        <f>'Dados'!$P$105</f>
        <v/>
      </c>
      <c r="AA36" s="2">
        <f>'Dados'!$Q$105&amp;""</f>
        <v/>
      </c>
      <c r="AB36" s="2">
        <f>'Dados'!$R$105&amp;""</f>
        <v/>
      </c>
      <c r="AC36" s="2">
        <f>'Dados'!$S$105&amp;""</f>
        <v/>
      </c>
      <c r="AD36" s="2">
        <f>'Dados'!$T$105&amp;""</f>
        <v/>
      </c>
      <c r="AE36" s="2">
        <f>'Dados'!$U$105&amp;""</f>
        <v/>
      </c>
      <c r="AF36" s="2">
        <f>'Dados'!$V$105&amp;""</f>
        <v/>
      </c>
      <c r="AG36" s="2">
        <f>'Dados'!$F$105</f>
        <v/>
      </c>
      <c r="AH36" s="2">
        <f>'Dados'!$Z$105</f>
        <v/>
      </c>
      <c r="AI36" s="2">
        <f>'Dados'!$AA$105</f>
        <v/>
      </c>
      <c r="AJ36" s="2">
        <f>'Dados'!$W$105</f>
        <v/>
      </c>
      <c r="AK36" s="2">
        <f>""</f>
        <v/>
      </c>
      <c r="AL36" s="2">
        <f>""</f>
        <v/>
      </c>
      <c r="AM36" s="2">
        <f>""</f>
        <v/>
      </c>
      <c r="AN36" s="2">
        <f>""</f>
        <v/>
      </c>
      <c r="AO36" s="2">
        <f>""</f>
        <v/>
      </c>
      <c r="AP36" s="2">
        <f>""</f>
        <v/>
      </c>
      <c r="AQ36" s="2">
        <f>""</f>
        <v/>
      </c>
      <c r="AR36" s="2">
        <f>""</f>
        <v/>
      </c>
      <c r="AS36" s="2">
        <f>""</f>
        <v/>
      </c>
      <c r="AT36" s="2">
        <f>""</f>
        <v/>
      </c>
      <c r="AU36" s="2">
        <f>""</f>
        <v/>
      </c>
      <c r="AV36" s="2">
        <f>""</f>
        <v/>
      </c>
      <c r="AW36" s="2">
        <f>'Dados'!$AF$105&amp;""</f>
        <v/>
      </c>
      <c r="AX36" s="2">
        <f>IF(ISNUMBER('Dados'!$AG$105),IF('Dados'!$AG$105&gt;0,'Dados'!$AG$105,""),"")</f>
        <v/>
      </c>
      <c r="AY36" s="2">
        <f>'Dados'!$AH$105&amp;""</f>
        <v/>
      </c>
      <c r="AZ36" s="2">
        <f>IF(ISNUMBER('Dados'!$AI$105),IF('Dados'!$AI$105&gt;0,'Dados'!$AI$105,""),"")</f>
        <v/>
      </c>
      <c r="BA36" s="2">
        <f>'Dados'!$AJ$105&amp;""</f>
        <v/>
      </c>
      <c r="BB36" s="2">
        <f>IF(ISNUMBER('Dados'!$AK$105),IF('Dados'!$AK$105&gt;0,'Dados'!$AK$105,""),"")</f>
        <v/>
      </c>
      <c r="BC36" s="2">
        <f>'Dados'!$E$105&amp;""</f>
        <v/>
      </c>
      <c r="BD36" s="2">
        <f>'Dados'!$AD$105&amp;""</f>
        <v/>
      </c>
      <c r="BE36" s="2">
        <f>INDEX('Dados'!$F$7:$F$11,'Dados'!$AB$105)</f>
        <v/>
      </c>
      <c r="BF36" s="2">
        <f>'Dados'!$AB$105</f>
        <v/>
      </c>
      <c r="BG36" s="2">
        <f>'Dados'!$AE$105</f>
        <v/>
      </c>
      <c r="BH36" s="2">
        <f>"Bestiário"</f>
        <v/>
      </c>
      <c r="DR36" s="2">
        <f>IF(ISERROR($B$36),"",IF(ISBLANK($B$36),"",$B$36))</f>
        <v/>
      </c>
      <c r="DV36" s="2">
        <f>IF(ISERROR($F$36),"",IF(ISBLANK($F$36),"",$F$36))</f>
        <v/>
      </c>
      <c r="DW36" s="2">
        <f>IF(ISERROR($G$36),"",IF(ISBLANK($G$36),"",$G$36))</f>
        <v/>
      </c>
      <c r="EA36" s="2">
        <f>ISERROR($B$36)*1+ISERROR($E$36)*1+ISERROR($F$36)*1+ISERROR($G$36)*1</f>
        <v/>
      </c>
    </row>
    <row r="37" ht="37" customHeight="1">
      <c r="A37" s="43">
        <f>IF(LEN($DQ$22)&gt;0,"12 · "&amp;$DQ$22,"12 · (vazio)")</f>
        <v/>
      </c>
      <c r="B37" s="29" t="n"/>
      <c r="C37" s="25" t="n"/>
      <c r="D37" s="17" t="n"/>
      <c r="E37" s="36" t="n"/>
      <c r="F37" s="36" t="n"/>
      <c r="G37" s="29" t="n"/>
      <c r="H37" s="25" t="n"/>
      <c r="I37" s="25" t="n"/>
      <c r="J37" s="17" t="n"/>
      <c r="K37" s="27">
        <f>IF(EA37&gt;0,"O Google leu como fórmula: escolha de novo ou digite com ' na frente.",IF(AND(LEN($DQ$22)&gt;0,LEN($DV$37)=0,$BL$22=0),"Diga se ele é ser racional (só ser racional Executa, 23.5)",""))</f>
        <v/>
      </c>
      <c r="N37" s="2">
        <f>'Dados'!$B$106</f>
        <v/>
      </c>
      <c r="O37" s="2">
        <f>'Dados'!$C$106</f>
        <v/>
      </c>
      <c r="P37" s="2">
        <f>'Dados'!$D$106</f>
        <v/>
      </c>
      <c r="Q37" s="2">
        <f>'Dados'!$G$106</f>
        <v/>
      </c>
      <c r="R37" s="2">
        <f>'Dados'!$H$106</f>
        <v/>
      </c>
      <c r="S37" s="2">
        <f>'Dados'!$I$106</f>
        <v/>
      </c>
      <c r="T37" s="2">
        <f>'Dados'!$J$106</f>
        <v/>
      </c>
      <c r="U37" s="2">
        <f>'Dados'!$K$106</f>
        <v/>
      </c>
      <c r="V37" s="2">
        <f>'Dados'!$L$106</f>
        <v/>
      </c>
      <c r="W37" s="2">
        <f>'Dados'!$M$106</f>
        <v/>
      </c>
      <c r="X37" s="2">
        <f>'Dados'!$N$106</f>
        <v/>
      </c>
      <c r="Y37" s="2">
        <f>'Dados'!$O$106</f>
        <v/>
      </c>
      <c r="Z37" s="2">
        <f>'Dados'!$P$106</f>
        <v/>
      </c>
      <c r="AA37" s="2">
        <f>'Dados'!$Q$106&amp;""</f>
        <v/>
      </c>
      <c r="AB37" s="2">
        <f>'Dados'!$R$106&amp;""</f>
        <v/>
      </c>
      <c r="AC37" s="2">
        <f>'Dados'!$S$106&amp;""</f>
        <v/>
      </c>
      <c r="AD37" s="2">
        <f>'Dados'!$T$106&amp;""</f>
        <v/>
      </c>
      <c r="AE37" s="2">
        <f>'Dados'!$U$106&amp;""</f>
        <v/>
      </c>
      <c r="AF37" s="2">
        <f>'Dados'!$V$106&amp;""</f>
        <v/>
      </c>
      <c r="AG37" s="2">
        <f>'Dados'!$F$106</f>
        <v/>
      </c>
      <c r="AH37" s="2">
        <f>'Dados'!$Z$106</f>
        <v/>
      </c>
      <c r="AI37" s="2">
        <f>'Dados'!$AA$106</f>
        <v/>
      </c>
      <c r="AJ37" s="2">
        <f>'Dados'!$W$106</f>
        <v/>
      </c>
      <c r="AK37" s="2">
        <f>""</f>
        <v/>
      </c>
      <c r="AL37" s="2">
        <f>""</f>
        <v/>
      </c>
      <c r="AM37" s="2">
        <f>""</f>
        <v/>
      </c>
      <c r="AN37" s="2">
        <f>""</f>
        <v/>
      </c>
      <c r="AO37" s="2">
        <f>""</f>
        <v/>
      </c>
      <c r="AP37" s="2">
        <f>""</f>
        <v/>
      </c>
      <c r="AQ37" s="2">
        <f>""</f>
        <v/>
      </c>
      <c r="AR37" s="2">
        <f>""</f>
        <v/>
      </c>
      <c r="AS37" s="2">
        <f>""</f>
        <v/>
      </c>
      <c r="AT37" s="2">
        <f>""</f>
        <v/>
      </c>
      <c r="AU37" s="2">
        <f>""</f>
        <v/>
      </c>
      <c r="AV37" s="2">
        <f>""</f>
        <v/>
      </c>
      <c r="AW37" s="2">
        <f>'Dados'!$AF$106&amp;""</f>
        <v/>
      </c>
      <c r="AX37" s="2">
        <f>IF(ISNUMBER('Dados'!$AG$106),IF('Dados'!$AG$106&gt;0,'Dados'!$AG$106,""),"")</f>
        <v/>
      </c>
      <c r="AY37" s="2">
        <f>'Dados'!$AH$106&amp;""</f>
        <v/>
      </c>
      <c r="AZ37" s="2">
        <f>IF(ISNUMBER('Dados'!$AI$106),IF('Dados'!$AI$106&gt;0,'Dados'!$AI$106,""),"")</f>
        <v/>
      </c>
      <c r="BA37" s="2">
        <f>'Dados'!$AJ$106&amp;""</f>
        <v/>
      </c>
      <c r="BB37" s="2">
        <f>IF(ISNUMBER('Dados'!$AK$106),IF('Dados'!$AK$106&gt;0,'Dados'!$AK$106,""),"")</f>
        <v/>
      </c>
      <c r="BC37" s="2">
        <f>'Dados'!$E$106&amp;""</f>
        <v/>
      </c>
      <c r="BD37" s="2">
        <f>'Dados'!$AD$106&amp;""</f>
        <v/>
      </c>
      <c r="BE37" s="2">
        <f>INDEX('Dados'!$F$7:$F$11,'Dados'!$AB$106)</f>
        <v/>
      </c>
      <c r="BF37" s="2">
        <f>'Dados'!$AB$106</f>
        <v/>
      </c>
      <c r="BG37" s="2">
        <f>'Dados'!$AE$106</f>
        <v/>
      </c>
      <c r="BH37" s="2">
        <f>"Bestiário"</f>
        <v/>
      </c>
      <c r="DR37" s="2">
        <f>IF(ISERROR($B$37),"",IF(ISBLANK($B$37),"",$B$37))</f>
        <v/>
      </c>
      <c r="DV37" s="2">
        <f>IF(ISERROR($F$37),"",IF(ISBLANK($F$37),"",$F$37))</f>
        <v/>
      </c>
      <c r="DW37" s="2">
        <f>IF(ISERROR($G$37),"",IF(ISBLANK($G$37),"",$G$37))</f>
        <v/>
      </c>
      <c r="EA37" s="2">
        <f>ISERROR($B$37)*1+ISERROR($E$37)*1+ISERROR($F$37)*1+ISERROR($G$37)*1</f>
        <v/>
      </c>
    </row>
    <row r="38">
      <c r="N38" s="2">
        <f>'Dados'!$B$107</f>
        <v/>
      </c>
      <c r="O38" s="2">
        <f>'Dados'!$C$107</f>
        <v/>
      </c>
      <c r="P38" s="2">
        <f>'Dados'!$D$107</f>
        <v/>
      </c>
      <c r="Q38" s="2">
        <f>'Dados'!$G$107</f>
        <v/>
      </c>
      <c r="R38" s="2">
        <f>'Dados'!$H$107</f>
        <v/>
      </c>
      <c r="S38" s="2">
        <f>'Dados'!$I$107</f>
        <v/>
      </c>
      <c r="T38" s="2">
        <f>'Dados'!$J$107</f>
        <v/>
      </c>
      <c r="U38" s="2">
        <f>'Dados'!$K$107</f>
        <v/>
      </c>
      <c r="V38" s="2">
        <f>'Dados'!$L$107</f>
        <v/>
      </c>
      <c r="W38" s="2">
        <f>'Dados'!$M$107</f>
        <v/>
      </c>
      <c r="X38" s="2">
        <f>'Dados'!$N$107</f>
        <v/>
      </c>
      <c r="Y38" s="2">
        <f>'Dados'!$O$107</f>
        <v/>
      </c>
      <c r="Z38" s="2">
        <f>'Dados'!$P$107</f>
        <v/>
      </c>
      <c r="AA38" s="2">
        <f>'Dados'!$Q$107&amp;""</f>
        <v/>
      </c>
      <c r="AB38" s="2">
        <f>'Dados'!$R$107&amp;""</f>
        <v/>
      </c>
      <c r="AC38" s="2">
        <f>'Dados'!$S$107&amp;""</f>
        <v/>
      </c>
      <c r="AD38" s="2">
        <f>'Dados'!$T$107&amp;""</f>
        <v/>
      </c>
      <c r="AE38" s="2">
        <f>'Dados'!$U$107&amp;""</f>
        <v/>
      </c>
      <c r="AF38" s="2">
        <f>'Dados'!$V$107&amp;""</f>
        <v/>
      </c>
      <c r="AG38" s="2">
        <f>'Dados'!$F$107</f>
        <v/>
      </c>
      <c r="AH38" s="2">
        <f>'Dados'!$Z$107</f>
        <v/>
      </c>
      <c r="AI38" s="2">
        <f>'Dados'!$AA$107</f>
        <v/>
      </c>
      <c r="AJ38" s="2">
        <f>'Dados'!$W$107</f>
        <v/>
      </c>
      <c r="AK38" s="2">
        <f>""</f>
        <v/>
      </c>
      <c r="AL38" s="2">
        <f>""</f>
        <v/>
      </c>
      <c r="AM38" s="2">
        <f>""</f>
        <v/>
      </c>
      <c r="AN38" s="2">
        <f>""</f>
        <v/>
      </c>
      <c r="AO38" s="2">
        <f>""</f>
        <v/>
      </c>
      <c r="AP38" s="2">
        <f>""</f>
        <v/>
      </c>
      <c r="AQ38" s="2">
        <f>""</f>
        <v/>
      </c>
      <c r="AR38" s="2">
        <f>""</f>
        <v/>
      </c>
      <c r="AS38" s="2">
        <f>""</f>
        <v/>
      </c>
      <c r="AT38" s="2">
        <f>""</f>
        <v/>
      </c>
      <c r="AU38" s="2">
        <f>""</f>
        <v/>
      </c>
      <c r="AV38" s="2">
        <f>""</f>
        <v/>
      </c>
      <c r="AW38" s="2">
        <f>'Dados'!$AF$107&amp;""</f>
        <v/>
      </c>
      <c r="AX38" s="2">
        <f>IF(ISNUMBER('Dados'!$AG$107),IF('Dados'!$AG$107&gt;0,'Dados'!$AG$107,""),"")</f>
        <v/>
      </c>
      <c r="AY38" s="2">
        <f>'Dados'!$AH$107&amp;""</f>
        <v/>
      </c>
      <c r="AZ38" s="2">
        <f>IF(ISNUMBER('Dados'!$AI$107),IF('Dados'!$AI$107&gt;0,'Dados'!$AI$107,""),"")</f>
        <v/>
      </c>
      <c r="BA38" s="2">
        <f>'Dados'!$AJ$107&amp;""</f>
        <v/>
      </c>
      <c r="BB38" s="2">
        <f>IF(ISNUMBER('Dados'!$AK$107),IF('Dados'!$AK$107&gt;0,'Dados'!$AK$107,""),"")</f>
        <v/>
      </c>
      <c r="BC38" s="2">
        <f>'Dados'!$E$107&amp;""</f>
        <v/>
      </c>
      <c r="BD38" s="2">
        <f>'Dados'!$AD$107&amp;""</f>
        <v/>
      </c>
      <c r="BE38" s="2">
        <f>INDEX('Dados'!$F$7:$F$11,'Dados'!$AB$107)</f>
        <v/>
      </c>
      <c r="BF38" s="2">
        <f>'Dados'!$AB$107</f>
        <v/>
      </c>
      <c r="BG38" s="2">
        <f>'Dados'!$AE$107</f>
        <v/>
      </c>
      <c r="BH38" s="2">
        <f>"Bestiário"</f>
        <v/>
      </c>
    </row>
    <row r="39" ht="20" customHeight="1">
      <c r="A39" s="13" t="inlineStr">
        <is>
          <t>I2 · Fraquezas e Resistência (preencha; vazias = sugeridas pela planilha)</t>
        </is>
      </c>
      <c r="N39" s="2">
        <f>'Dados'!$B$108</f>
        <v/>
      </c>
      <c r="O39" s="2">
        <f>'Dados'!$C$108</f>
        <v/>
      </c>
      <c r="P39" s="2">
        <f>'Dados'!$D$108</f>
        <v/>
      </c>
      <c r="Q39" s="2">
        <f>'Dados'!$G$108</f>
        <v/>
      </c>
      <c r="R39" s="2">
        <f>'Dados'!$H$108</f>
        <v/>
      </c>
      <c r="S39" s="2">
        <f>'Dados'!$I$108</f>
        <v/>
      </c>
      <c r="T39" s="2">
        <f>'Dados'!$J$108</f>
        <v/>
      </c>
      <c r="U39" s="2">
        <f>'Dados'!$K$108</f>
        <v/>
      </c>
      <c r="V39" s="2">
        <f>'Dados'!$L$108</f>
        <v/>
      </c>
      <c r="W39" s="2">
        <f>'Dados'!$M$108</f>
        <v/>
      </c>
      <c r="X39" s="2">
        <f>'Dados'!$N$108</f>
        <v/>
      </c>
      <c r="Y39" s="2">
        <f>'Dados'!$O$108</f>
        <v/>
      </c>
      <c r="Z39" s="2">
        <f>'Dados'!$P$108</f>
        <v/>
      </c>
      <c r="AA39" s="2">
        <f>'Dados'!$Q$108&amp;""</f>
        <v/>
      </c>
      <c r="AB39" s="2">
        <f>'Dados'!$R$108&amp;""</f>
        <v/>
      </c>
      <c r="AC39" s="2">
        <f>'Dados'!$S$108&amp;""</f>
        <v/>
      </c>
      <c r="AD39" s="2">
        <f>'Dados'!$T$108&amp;""</f>
        <v/>
      </c>
      <c r="AE39" s="2">
        <f>'Dados'!$U$108&amp;""</f>
        <v/>
      </c>
      <c r="AF39" s="2">
        <f>'Dados'!$V$108&amp;""</f>
        <v/>
      </c>
      <c r="AG39" s="2">
        <f>'Dados'!$F$108</f>
        <v/>
      </c>
      <c r="AH39" s="2">
        <f>'Dados'!$Z$108</f>
        <v/>
      </c>
      <c r="AI39" s="2">
        <f>'Dados'!$AA$108</f>
        <v/>
      </c>
      <c r="AJ39" s="2">
        <f>'Dados'!$W$108</f>
        <v/>
      </c>
      <c r="AK39" s="2">
        <f>""</f>
        <v/>
      </c>
      <c r="AL39" s="2">
        <f>""</f>
        <v/>
      </c>
      <c r="AM39" s="2">
        <f>""</f>
        <v/>
      </c>
      <c r="AN39" s="2">
        <f>""</f>
        <v/>
      </c>
      <c r="AO39" s="2">
        <f>""</f>
        <v/>
      </c>
      <c r="AP39" s="2">
        <f>""</f>
        <v/>
      </c>
      <c r="AQ39" s="2">
        <f>""</f>
        <v/>
      </c>
      <c r="AR39" s="2">
        <f>""</f>
        <v/>
      </c>
      <c r="AS39" s="2">
        <f>""</f>
        <v/>
      </c>
      <c r="AT39" s="2">
        <f>""</f>
        <v/>
      </c>
      <c r="AU39" s="2">
        <f>""</f>
        <v/>
      </c>
      <c r="AV39" s="2">
        <f>""</f>
        <v/>
      </c>
      <c r="AW39" s="2">
        <f>'Dados'!$AF$108&amp;""</f>
        <v/>
      </c>
      <c r="AX39" s="2">
        <f>IF(ISNUMBER('Dados'!$AG$108),IF('Dados'!$AG$108&gt;0,'Dados'!$AG$108,""),"")</f>
        <v/>
      </c>
      <c r="AY39" s="2">
        <f>'Dados'!$AH$108&amp;""</f>
        <v/>
      </c>
      <c r="AZ39" s="2">
        <f>IF(ISNUMBER('Dados'!$AI$108),IF('Dados'!$AI$108&gt;0,'Dados'!$AI$108,""),"")</f>
        <v/>
      </c>
      <c r="BA39" s="2">
        <f>'Dados'!$AJ$108&amp;""</f>
        <v/>
      </c>
      <c r="BB39" s="2">
        <f>IF(ISNUMBER('Dados'!$AK$108),IF('Dados'!$AK$108&gt;0,'Dados'!$AK$108,""),"")</f>
        <v/>
      </c>
      <c r="BC39" s="2">
        <f>'Dados'!$E$108&amp;""</f>
        <v/>
      </c>
      <c r="BD39" s="2">
        <f>'Dados'!$AD$108&amp;""</f>
        <v/>
      </c>
      <c r="BE39" s="2">
        <f>INDEX('Dados'!$F$7:$F$11,'Dados'!$AB$108)</f>
        <v/>
      </c>
      <c r="BF39" s="2">
        <f>'Dados'!$AB$108</f>
        <v/>
      </c>
      <c r="BG39" s="2">
        <f>'Dados'!$AE$108</f>
        <v/>
      </c>
      <c r="BH39" s="2">
        <f>"Bestiário"</f>
        <v/>
      </c>
    </row>
    <row r="40" ht="26" customHeight="1">
      <c r="A40" s="12" t="inlineStr">
        <is>
          <t>Sugestão da planilha — não é regra do livro (H12): Fraquezas vazias são sugeridas primeiro com os Elementos do grupo que ainda faltam no contrato (27.5), depois em ordem sorteada; Comum recebe 2. Quantas é regra; quais, decisão sua (28.1).</t>
        </is>
      </c>
      <c r="N40" s="2">
        <f>'Dados'!$B$109</f>
        <v/>
      </c>
      <c r="O40" s="2">
        <f>'Dados'!$C$109</f>
        <v/>
      </c>
      <c r="P40" s="2">
        <f>'Dados'!$D$109</f>
        <v/>
      </c>
      <c r="Q40" s="2">
        <f>'Dados'!$G$109</f>
        <v/>
      </c>
      <c r="R40" s="2">
        <f>'Dados'!$H$109</f>
        <v/>
      </c>
      <c r="S40" s="2">
        <f>'Dados'!$I$109</f>
        <v/>
      </c>
      <c r="T40" s="2">
        <f>'Dados'!$J$109</f>
        <v/>
      </c>
      <c r="U40" s="2">
        <f>'Dados'!$K$109</f>
        <v/>
      </c>
      <c r="V40" s="2">
        <f>'Dados'!$L$109</f>
        <v/>
      </c>
      <c r="W40" s="2">
        <f>'Dados'!$M$109</f>
        <v/>
      </c>
      <c r="X40" s="2">
        <f>'Dados'!$N$109</f>
        <v/>
      </c>
      <c r="Y40" s="2">
        <f>'Dados'!$O$109</f>
        <v/>
      </c>
      <c r="Z40" s="2">
        <f>'Dados'!$P$109</f>
        <v/>
      </c>
      <c r="AA40" s="2">
        <f>'Dados'!$Q$109&amp;""</f>
        <v/>
      </c>
      <c r="AB40" s="2">
        <f>'Dados'!$R$109&amp;""</f>
        <v/>
      </c>
      <c r="AC40" s="2">
        <f>'Dados'!$S$109&amp;""</f>
        <v/>
      </c>
      <c r="AD40" s="2">
        <f>'Dados'!$T$109&amp;""</f>
        <v/>
      </c>
      <c r="AE40" s="2">
        <f>'Dados'!$U$109&amp;""</f>
        <v/>
      </c>
      <c r="AF40" s="2">
        <f>'Dados'!$V$109&amp;""</f>
        <v/>
      </c>
      <c r="AG40" s="2">
        <f>'Dados'!$F$109</f>
        <v/>
      </c>
      <c r="AH40" s="2">
        <f>'Dados'!$Z$109</f>
        <v/>
      </c>
      <c r="AI40" s="2">
        <f>'Dados'!$AA$109</f>
        <v/>
      </c>
      <c r="AJ40" s="2">
        <f>'Dados'!$W$109</f>
        <v/>
      </c>
      <c r="AK40" s="2">
        <f>""</f>
        <v/>
      </c>
      <c r="AL40" s="2">
        <f>""</f>
        <v/>
      </c>
      <c r="AM40" s="2">
        <f>""</f>
        <v/>
      </c>
      <c r="AN40" s="2">
        <f>""</f>
        <v/>
      </c>
      <c r="AO40" s="2">
        <f>""</f>
        <v/>
      </c>
      <c r="AP40" s="2">
        <f>""</f>
        <v/>
      </c>
      <c r="AQ40" s="2">
        <f>""</f>
        <v/>
      </c>
      <c r="AR40" s="2">
        <f>""</f>
        <v/>
      </c>
      <c r="AS40" s="2">
        <f>""</f>
        <v/>
      </c>
      <c r="AT40" s="2">
        <f>""</f>
        <v/>
      </c>
      <c r="AU40" s="2">
        <f>""</f>
        <v/>
      </c>
      <c r="AV40" s="2">
        <f>""</f>
        <v/>
      </c>
      <c r="AW40" s="2">
        <f>'Dados'!$AF$109&amp;""</f>
        <v/>
      </c>
      <c r="AX40" s="2">
        <f>IF(ISNUMBER('Dados'!$AG$109),IF('Dados'!$AG$109&gt;0,'Dados'!$AG$109,""),"")</f>
        <v/>
      </c>
      <c r="AY40" s="2">
        <f>'Dados'!$AH$109&amp;""</f>
        <v/>
      </c>
      <c r="AZ40" s="2">
        <f>IF(ISNUMBER('Dados'!$AI$109),IF('Dados'!$AI$109&gt;0,'Dados'!$AI$109,""),"")</f>
        <v/>
      </c>
      <c r="BA40" s="2">
        <f>'Dados'!$AJ$109&amp;""</f>
        <v/>
      </c>
      <c r="BB40" s="2">
        <f>IF(ISNUMBER('Dados'!$AK$109),IF('Dados'!$AK$109&gt;0,'Dados'!$AK$109,""),"")</f>
        <v/>
      </c>
      <c r="BC40" s="2">
        <f>'Dados'!$E$109&amp;""</f>
        <v/>
      </c>
      <c r="BD40" s="2">
        <f>'Dados'!$AD$109&amp;""</f>
        <v/>
      </c>
      <c r="BE40" s="2">
        <f>INDEX('Dados'!$F$7:$F$11,'Dados'!$AB$109)</f>
        <v/>
      </c>
      <c r="BF40" s="2">
        <f>'Dados'!$AB$109</f>
        <v/>
      </c>
      <c r="BG40" s="2">
        <f>'Dados'!$AE$109</f>
        <v/>
      </c>
      <c r="BH40" s="2">
        <f>"Bestiário"</f>
        <v/>
      </c>
    </row>
    <row r="41">
      <c r="A41" s="8" t="inlineStr">
        <is>
          <t>Inimigo</t>
        </is>
      </c>
      <c r="B41" s="8" t="inlineStr">
        <is>
          <t>Fraqueza 1</t>
        </is>
      </c>
      <c r="C41" s="8" t="inlineStr">
        <is>
          <t>Fraqueza 2</t>
        </is>
      </c>
      <c r="D41" s="8" t="inlineStr">
        <is>
          <t>Fraqueza 3</t>
        </is>
      </c>
      <c r="E41" s="8" t="inlineStr">
        <is>
          <t>Fraqueza 4</t>
        </is>
      </c>
      <c r="F41" s="8" t="inlineStr">
        <is>
          <t>Resistência</t>
        </is>
      </c>
      <c r="G41" s="8" t="inlineStr">
        <is>
          <t>Fraquezas efetivas</t>
        </is>
      </c>
      <c r="H41" s="20" t="n"/>
      <c r="I41" s="20" t="n"/>
      <c r="J41" s="20" t="n"/>
      <c r="K41" s="8" t="inlineStr">
        <is>
          <t>Aviso</t>
        </is>
      </c>
      <c r="L41" s="20" t="n"/>
      <c r="N41" s="2">
        <f>'Dados'!$B$110</f>
        <v/>
      </c>
      <c r="O41" s="2">
        <f>'Dados'!$C$110</f>
        <v/>
      </c>
      <c r="P41" s="2">
        <f>'Dados'!$D$110</f>
        <v/>
      </c>
      <c r="Q41" s="2">
        <f>'Dados'!$G$110</f>
        <v/>
      </c>
      <c r="R41" s="2">
        <f>'Dados'!$H$110</f>
        <v/>
      </c>
      <c r="S41" s="2">
        <f>'Dados'!$I$110</f>
        <v/>
      </c>
      <c r="T41" s="2">
        <f>'Dados'!$J$110</f>
        <v/>
      </c>
      <c r="U41" s="2">
        <f>'Dados'!$K$110</f>
        <v/>
      </c>
      <c r="V41" s="2">
        <f>'Dados'!$L$110</f>
        <v/>
      </c>
      <c r="W41" s="2">
        <f>'Dados'!$M$110</f>
        <v/>
      </c>
      <c r="X41" s="2">
        <f>'Dados'!$N$110</f>
        <v/>
      </c>
      <c r="Y41" s="2">
        <f>'Dados'!$O$110</f>
        <v/>
      </c>
      <c r="Z41" s="2">
        <f>'Dados'!$P$110</f>
        <v/>
      </c>
      <c r="AA41" s="2">
        <f>'Dados'!$Q$110&amp;""</f>
        <v/>
      </c>
      <c r="AB41" s="2">
        <f>'Dados'!$R$110&amp;""</f>
        <v/>
      </c>
      <c r="AC41" s="2">
        <f>'Dados'!$S$110&amp;""</f>
        <v/>
      </c>
      <c r="AD41" s="2">
        <f>'Dados'!$T$110&amp;""</f>
        <v/>
      </c>
      <c r="AE41" s="2">
        <f>'Dados'!$U$110&amp;""</f>
        <v/>
      </c>
      <c r="AF41" s="2">
        <f>'Dados'!$V$110&amp;""</f>
        <v/>
      </c>
      <c r="AG41" s="2">
        <f>'Dados'!$F$110</f>
        <v/>
      </c>
      <c r="AH41" s="2">
        <f>'Dados'!$Z$110</f>
        <v/>
      </c>
      <c r="AI41" s="2">
        <f>'Dados'!$AA$110</f>
        <v/>
      </c>
      <c r="AJ41" s="2">
        <f>'Dados'!$W$110</f>
        <v/>
      </c>
      <c r="AK41" s="2">
        <f>""</f>
        <v/>
      </c>
      <c r="AL41" s="2">
        <f>""</f>
        <v/>
      </c>
      <c r="AM41" s="2">
        <f>""</f>
        <v/>
      </c>
      <c r="AN41" s="2">
        <f>""</f>
        <v/>
      </c>
      <c r="AO41" s="2">
        <f>""</f>
        <v/>
      </c>
      <c r="AP41" s="2">
        <f>""</f>
        <v/>
      </c>
      <c r="AQ41" s="2">
        <f>""</f>
        <v/>
      </c>
      <c r="AR41" s="2">
        <f>""</f>
        <v/>
      </c>
      <c r="AS41" s="2">
        <f>""</f>
        <v/>
      </c>
      <c r="AT41" s="2">
        <f>""</f>
        <v/>
      </c>
      <c r="AU41" s="2">
        <f>""</f>
        <v/>
      </c>
      <c r="AV41" s="2">
        <f>""</f>
        <v/>
      </c>
      <c r="AW41" s="2">
        <f>'Dados'!$AF$110&amp;""</f>
        <v/>
      </c>
      <c r="AX41" s="2">
        <f>IF(ISNUMBER('Dados'!$AG$110),IF('Dados'!$AG$110&gt;0,'Dados'!$AG$110,""),"")</f>
        <v/>
      </c>
      <c r="AY41" s="2">
        <f>'Dados'!$AH$110&amp;""</f>
        <v/>
      </c>
      <c r="AZ41" s="2">
        <f>IF(ISNUMBER('Dados'!$AI$110),IF('Dados'!$AI$110&gt;0,'Dados'!$AI$110,""),"")</f>
        <v/>
      </c>
      <c r="BA41" s="2">
        <f>'Dados'!$AJ$110&amp;""</f>
        <v/>
      </c>
      <c r="BB41" s="2">
        <f>IF(ISNUMBER('Dados'!$AK$110),IF('Dados'!$AK$110&gt;0,'Dados'!$AK$110,""),"")</f>
        <v/>
      </c>
      <c r="BC41" s="2">
        <f>'Dados'!$E$110&amp;""</f>
        <v/>
      </c>
      <c r="BD41" s="2">
        <f>'Dados'!$AD$110&amp;""</f>
        <v/>
      </c>
      <c r="BE41" s="2">
        <f>INDEX('Dados'!$F$7:$F$11,'Dados'!$AB$110)</f>
        <v/>
      </c>
      <c r="BF41" s="2">
        <f>'Dados'!$AB$110</f>
        <v/>
      </c>
      <c r="BG41" s="2">
        <f>'Dados'!$AE$110</f>
        <v/>
      </c>
      <c r="BH41" s="2">
        <f>"Bestiário"</f>
        <v/>
      </c>
    </row>
    <row r="42" ht="26" customHeight="1">
      <c r="A42" s="31">
        <f>IF(LEN($DQ$11)&gt;0,"1 · "&amp;$DQ$11,"1 · (vazio)")</f>
        <v/>
      </c>
      <c r="B42" s="34" t="n"/>
      <c r="C42" s="34" t="n"/>
      <c r="D42" s="34" t="n"/>
      <c r="E42" s="34" t="n"/>
      <c r="F42" s="34" t="n"/>
      <c r="G42" s="5">
        <f>IF(LEN($DQ$11)=0,"",$BY$11&amp;IF(LEN($BZ$11)&gt;0,", "&amp;$BZ$11,"")&amp;IF(LEN($CA$11)&gt;0,", "&amp;$CA$11,"")&amp;IF(LEN($CB$11)&gt;0,", "&amp;$CB$11,"")&amp;IF(AND($BX$11=1,$BL$11=0)," (sugeridas)",IF(AND($BX$11=1,$BL$11=1)," (da base)","")))</f>
        <v/>
      </c>
      <c r="K42" s="19">
        <f>IF(EA42&gt;0,"O Google leu como fórmula: escolha de novo na lista.",IF(LEN($DQ$11)=0,"",IF((IF(AND(LEN($DR$42)&gt;0,$DR$42=$DS$42),1,0)+IF(AND(LEN($DR$42)&gt;0,$DR$42=$DT$42),1,0)+IF(AND(LEN($DR$42)&gt;0,$DR$42=$DU$42),1,0)+IF(AND(LEN($DS$42)&gt;0,$DS$42=$DT$42),1,0)+IF(AND(LEN($DS$42)&gt;0,$DS$42=$DU$42),1,0)+IF(AND(LEN($DT$42)&gt;0,$DT$42=$DU$42),1,0))&gt;0,"Fraqueza repetida",IF(AND(LEN($CC$11)&gt;0,COUNTIF($BY$11:$CB$11,$CC$11)&gt;0),"Resistência igual a uma Fraqueza",IF(AND($BN$11="Comum",(IF(LEN($DR$42)&gt;0,1,0)+IF(LEN($DS$42)&gt;0,1,0)+IF(LEN($DT$42)&gt;0,1,0)+IF(LEN($DU$42)&gt;0,1,0))&gt;2),"Comum tem 1 a 2 Fraquezas (20.2)",IF(AND($BN$11="Elite",(IF(LEN($DR$42)&gt;0,1,0)+IF(LEN($DS$42)&gt;0,1,0)+IF(LEN($DT$42)&gt;0,1,0)+IF(LEN($DU$42)&gt;0,1,0))&gt;3),"Elite tem 3 Fraquezas (20.2)",IF(AND(LEN($CC$11)&gt;0,COUNTIF('Grupo'!$T$7:$T$12,$CC$11)&gt;=2),"Nunca aponte uma Resistência para o Elemento de dois personagens (27.5)","")))))))</f>
        <v/>
      </c>
      <c r="N42" s="2">
        <f>'Dados'!$B$111</f>
        <v/>
      </c>
      <c r="O42" s="2">
        <f>'Dados'!$C$111</f>
        <v/>
      </c>
      <c r="P42" s="2">
        <f>'Dados'!$D$111</f>
        <v/>
      </c>
      <c r="Q42" s="2">
        <f>'Dados'!$G$111</f>
        <v/>
      </c>
      <c r="R42" s="2">
        <f>'Dados'!$H$111</f>
        <v/>
      </c>
      <c r="S42" s="2">
        <f>'Dados'!$I$111</f>
        <v/>
      </c>
      <c r="T42" s="2">
        <f>'Dados'!$J$111</f>
        <v/>
      </c>
      <c r="U42" s="2">
        <f>'Dados'!$K$111</f>
        <v/>
      </c>
      <c r="V42" s="2">
        <f>'Dados'!$L$111</f>
        <v/>
      </c>
      <c r="W42" s="2">
        <f>'Dados'!$M$111</f>
        <v/>
      </c>
      <c r="X42" s="2">
        <f>'Dados'!$N$111</f>
        <v/>
      </c>
      <c r="Y42" s="2">
        <f>'Dados'!$O$111</f>
        <v/>
      </c>
      <c r="Z42" s="2">
        <f>'Dados'!$P$111</f>
        <v/>
      </c>
      <c r="AA42" s="2">
        <f>'Dados'!$Q$111&amp;""</f>
        <v/>
      </c>
      <c r="AB42" s="2">
        <f>'Dados'!$R$111&amp;""</f>
        <v/>
      </c>
      <c r="AC42" s="2">
        <f>'Dados'!$S$111&amp;""</f>
        <v/>
      </c>
      <c r="AD42" s="2">
        <f>'Dados'!$T$111&amp;""</f>
        <v/>
      </c>
      <c r="AE42" s="2">
        <f>'Dados'!$U$111&amp;""</f>
        <v/>
      </c>
      <c r="AF42" s="2">
        <f>'Dados'!$V$111&amp;""</f>
        <v/>
      </c>
      <c r="AG42" s="2">
        <f>'Dados'!$F$111</f>
        <v/>
      </c>
      <c r="AH42" s="2">
        <f>'Dados'!$Z$111</f>
        <v/>
      </c>
      <c r="AI42" s="2">
        <f>'Dados'!$AA$111</f>
        <v/>
      </c>
      <c r="AJ42" s="2">
        <f>'Dados'!$W$111</f>
        <v/>
      </c>
      <c r="AK42" s="2">
        <f>'Dados'!$E$130</f>
        <v/>
      </c>
      <c r="AL42" s="2">
        <f>""</f>
        <v/>
      </c>
      <c r="AM42" s="2">
        <f>'Dados'!$G$130</f>
        <v/>
      </c>
      <c r="AN42" s="2">
        <f>'Dados'!$H$130</f>
        <v/>
      </c>
      <c r="AO42" s="2">
        <f>'Dados'!$I$130</f>
        <v/>
      </c>
      <c r="AP42" s="2">
        <f>'Dados'!$J$130</f>
        <v/>
      </c>
      <c r="AQ42" s="2">
        <f>'Dados'!$K$130</f>
        <v/>
      </c>
      <c r="AR42" s="2">
        <f>""</f>
        <v/>
      </c>
      <c r="AS42" s="2">
        <f>""</f>
        <v/>
      </c>
      <c r="AT42" s="2">
        <f>""</f>
        <v/>
      </c>
      <c r="AU42" s="2">
        <f>""</f>
        <v/>
      </c>
      <c r="AV42" s="2">
        <f>""</f>
        <v/>
      </c>
      <c r="AW42" s="2">
        <f>'Dados'!$AF$111&amp;""</f>
        <v/>
      </c>
      <c r="AX42" s="2">
        <f>IF(ISNUMBER('Dados'!$AG$111),IF('Dados'!$AG$111&gt;0,'Dados'!$AG$111,""),"")</f>
        <v/>
      </c>
      <c r="AY42" s="2">
        <f>'Dados'!$AH$111&amp;""</f>
        <v/>
      </c>
      <c r="AZ42" s="2">
        <f>IF(ISNUMBER('Dados'!$AI$111),IF('Dados'!$AI$111&gt;0,'Dados'!$AI$111,""),"")</f>
        <v/>
      </c>
      <c r="BA42" s="2">
        <f>'Dados'!$AJ$111&amp;""</f>
        <v/>
      </c>
      <c r="BB42" s="2">
        <f>IF(ISNUMBER('Dados'!$AK$111),IF('Dados'!$AK$111&gt;0,'Dados'!$AK$111,""),"")</f>
        <v/>
      </c>
      <c r="BC42" s="2">
        <f>'Dados'!$E$111&amp;""</f>
        <v/>
      </c>
      <c r="BD42" s="2">
        <f>'Dados'!$AD$111&amp;""</f>
        <v/>
      </c>
      <c r="BE42" s="2">
        <f>INDEX('Dados'!$F$7:$F$11,'Dados'!$AB$111)</f>
        <v/>
      </c>
      <c r="BF42" s="2">
        <f>'Dados'!$AB$111</f>
        <v/>
      </c>
      <c r="BG42" s="2">
        <f>'Dados'!$AE$111</f>
        <v/>
      </c>
      <c r="BH42" s="2">
        <f>"Bestiário"</f>
        <v/>
      </c>
      <c r="DR42" s="2">
        <f>IF(ISERROR($B$42),"",IF(ISBLANK($B$42),"",$B$42))</f>
        <v/>
      </c>
      <c r="DS42" s="2">
        <f>IF(ISERROR($C$42),"",IF(ISBLANK($C$42),"",$C$42))</f>
        <v/>
      </c>
      <c r="DT42" s="2">
        <f>IF(ISERROR($D$42),"",IF(ISBLANK($D$42),"",$D$42))</f>
        <v/>
      </c>
      <c r="DU42" s="2">
        <f>IF(ISERROR($E$42),"",IF(ISBLANK($E$42),"",$E$42))</f>
        <v/>
      </c>
      <c r="DV42" s="2">
        <f>IF(ISERROR($F$42),"",IF(ISBLANK($F$42),"",$F$42))</f>
        <v/>
      </c>
      <c r="EA42" s="2">
        <f>ISERROR($B$42)*1+ISERROR($C$42)*1+ISERROR($D$42)*1+ISERROR($E$42)*1+ISERROR($F$42)*1</f>
        <v/>
      </c>
    </row>
    <row r="43" ht="26" customHeight="1">
      <c r="A43" s="43">
        <f>IF(LEN($DQ$12)&gt;0,"2 · "&amp;$DQ$12,"2 · (vazio)")</f>
        <v/>
      </c>
      <c r="B43" s="36" t="n"/>
      <c r="C43" s="36" t="n"/>
      <c r="D43" s="36" t="n"/>
      <c r="E43" s="36" t="n"/>
      <c r="F43" s="36" t="n"/>
      <c r="G43" s="10">
        <f>IF(LEN($DQ$12)=0,"",$BY$12&amp;IF(LEN($BZ$12)&gt;0,", "&amp;$BZ$12,"")&amp;IF(LEN($CA$12)&gt;0,", "&amp;$CA$12,"")&amp;IF(LEN($CB$12)&gt;0,", "&amp;$CB$12,"")&amp;IF(AND($BX$12=1,$BL$12=0)," (sugeridas)",IF(AND($BX$12=1,$BL$12=1)," (da base)","")))</f>
        <v/>
      </c>
      <c r="K43" s="27">
        <f>IF(EA43&gt;0,"O Google leu como fórmula: escolha de novo na lista.",IF(LEN($DQ$12)=0,"",IF((IF(AND(LEN($DR$43)&gt;0,$DR$43=$DS$43),1,0)+IF(AND(LEN($DR$43)&gt;0,$DR$43=$DT$43),1,0)+IF(AND(LEN($DR$43)&gt;0,$DR$43=$DU$43),1,0)+IF(AND(LEN($DS$43)&gt;0,$DS$43=$DT$43),1,0)+IF(AND(LEN($DS$43)&gt;0,$DS$43=$DU$43),1,0)+IF(AND(LEN($DT$43)&gt;0,$DT$43=$DU$43),1,0))&gt;0,"Fraqueza repetida",IF(AND(LEN($CC$12)&gt;0,COUNTIF($BY$12:$CB$12,$CC$12)&gt;0),"Resistência igual a uma Fraqueza",IF(AND($BN$12="Comum",(IF(LEN($DR$43)&gt;0,1,0)+IF(LEN($DS$43)&gt;0,1,0)+IF(LEN($DT$43)&gt;0,1,0)+IF(LEN($DU$43)&gt;0,1,0))&gt;2),"Comum tem 1 a 2 Fraquezas (20.2)",IF(AND($BN$12="Elite",(IF(LEN($DR$43)&gt;0,1,0)+IF(LEN($DS$43)&gt;0,1,0)+IF(LEN($DT$43)&gt;0,1,0)+IF(LEN($DU$43)&gt;0,1,0))&gt;3),"Elite tem 3 Fraquezas (20.2)",IF(AND(LEN($CC$12)&gt;0,COUNTIF('Grupo'!$T$7:$T$12,$CC$12)&gt;=2),"Nunca aponte uma Resistência para o Elemento de dois personagens (27.5)","")))))))</f>
        <v/>
      </c>
      <c r="N43" s="2">
        <f>'Dados'!$B$112</f>
        <v/>
      </c>
      <c r="O43" s="2">
        <f>'Dados'!$C$112</f>
        <v/>
      </c>
      <c r="P43" s="2">
        <f>'Dados'!$D$112</f>
        <v/>
      </c>
      <c r="Q43" s="2">
        <f>'Dados'!$G$112</f>
        <v/>
      </c>
      <c r="R43" s="2">
        <f>'Dados'!$H$112</f>
        <v/>
      </c>
      <c r="S43" s="2">
        <f>'Dados'!$I$112</f>
        <v/>
      </c>
      <c r="T43" s="2">
        <f>'Dados'!$J$112</f>
        <v/>
      </c>
      <c r="U43" s="2">
        <f>'Dados'!$K$112</f>
        <v/>
      </c>
      <c r="V43" s="2">
        <f>'Dados'!$L$112</f>
        <v/>
      </c>
      <c r="W43" s="2">
        <f>'Dados'!$M$112</f>
        <v/>
      </c>
      <c r="X43" s="2">
        <f>'Dados'!$N$112</f>
        <v/>
      </c>
      <c r="Y43" s="2">
        <f>'Dados'!$O$112</f>
        <v/>
      </c>
      <c r="Z43" s="2">
        <f>'Dados'!$P$112</f>
        <v/>
      </c>
      <c r="AA43" s="2">
        <f>'Dados'!$Q$112&amp;""</f>
        <v/>
      </c>
      <c r="AB43" s="2">
        <f>'Dados'!$R$112&amp;""</f>
        <v/>
      </c>
      <c r="AC43" s="2">
        <f>'Dados'!$S$112&amp;""</f>
        <v/>
      </c>
      <c r="AD43" s="2">
        <f>'Dados'!$T$112&amp;""</f>
        <v/>
      </c>
      <c r="AE43" s="2">
        <f>'Dados'!$U$112&amp;""</f>
        <v/>
      </c>
      <c r="AF43" s="2">
        <f>'Dados'!$V$112&amp;""</f>
        <v/>
      </c>
      <c r="AG43" s="2">
        <f>'Dados'!$F$112</f>
        <v/>
      </c>
      <c r="AH43" s="2">
        <f>'Dados'!$Z$112</f>
        <v/>
      </c>
      <c r="AI43" s="2">
        <f>'Dados'!$AA$112</f>
        <v/>
      </c>
      <c r="AJ43" s="2">
        <f>'Dados'!$W$112</f>
        <v/>
      </c>
      <c r="AK43" s="2">
        <f>""</f>
        <v/>
      </c>
      <c r="AL43" s="2">
        <f>""</f>
        <v/>
      </c>
      <c r="AM43" s="2">
        <f>""</f>
        <v/>
      </c>
      <c r="AN43" s="2">
        <f>""</f>
        <v/>
      </c>
      <c r="AO43" s="2">
        <f>""</f>
        <v/>
      </c>
      <c r="AP43" s="2">
        <f>""</f>
        <v/>
      </c>
      <c r="AQ43" s="2">
        <f>""</f>
        <v/>
      </c>
      <c r="AR43" s="2">
        <f>""</f>
        <v/>
      </c>
      <c r="AS43" s="2">
        <f>""</f>
        <v/>
      </c>
      <c r="AT43" s="2">
        <f>""</f>
        <v/>
      </c>
      <c r="AU43" s="2">
        <f>""</f>
        <v/>
      </c>
      <c r="AV43" s="2">
        <f>""</f>
        <v/>
      </c>
      <c r="AW43" s="2">
        <f>'Dados'!$AF$112&amp;""</f>
        <v/>
      </c>
      <c r="AX43" s="2">
        <f>IF(ISNUMBER('Dados'!$AG$112),IF('Dados'!$AG$112&gt;0,'Dados'!$AG$112,""),"")</f>
        <v/>
      </c>
      <c r="AY43" s="2">
        <f>'Dados'!$AH$112&amp;""</f>
        <v/>
      </c>
      <c r="AZ43" s="2">
        <f>IF(ISNUMBER('Dados'!$AI$112),IF('Dados'!$AI$112&gt;0,'Dados'!$AI$112,""),"")</f>
        <v/>
      </c>
      <c r="BA43" s="2">
        <f>'Dados'!$AJ$112&amp;""</f>
        <v/>
      </c>
      <c r="BB43" s="2">
        <f>IF(ISNUMBER('Dados'!$AK$112),IF('Dados'!$AK$112&gt;0,'Dados'!$AK$112,""),"")</f>
        <v/>
      </c>
      <c r="BC43" s="2">
        <f>'Dados'!$E$112&amp;""</f>
        <v/>
      </c>
      <c r="BD43" s="2">
        <f>'Dados'!$AD$112&amp;""</f>
        <v/>
      </c>
      <c r="BE43" s="2">
        <f>INDEX('Dados'!$F$7:$F$11,'Dados'!$AB$112)</f>
        <v/>
      </c>
      <c r="BF43" s="2">
        <f>'Dados'!$AB$112</f>
        <v/>
      </c>
      <c r="BG43" s="2">
        <f>'Dados'!$AE$112</f>
        <v/>
      </c>
      <c r="BH43" s="2">
        <f>"Bestiário"</f>
        <v/>
      </c>
      <c r="DR43" s="2">
        <f>IF(ISERROR($B$43),"",IF(ISBLANK($B$43),"",$B$43))</f>
        <v/>
      </c>
      <c r="DS43" s="2">
        <f>IF(ISERROR($C$43),"",IF(ISBLANK($C$43),"",$C$43))</f>
        <v/>
      </c>
      <c r="DT43" s="2">
        <f>IF(ISERROR($D$43),"",IF(ISBLANK($D$43),"",$D$43))</f>
        <v/>
      </c>
      <c r="DU43" s="2">
        <f>IF(ISERROR($E$43),"",IF(ISBLANK($E$43),"",$E$43))</f>
        <v/>
      </c>
      <c r="DV43" s="2">
        <f>IF(ISERROR($F$43),"",IF(ISBLANK($F$43),"",$F$43))</f>
        <v/>
      </c>
      <c r="EA43" s="2">
        <f>ISERROR($B$43)*1+ISERROR($C$43)*1+ISERROR($D$43)*1+ISERROR($E$43)*1+ISERROR($F$43)*1</f>
        <v/>
      </c>
    </row>
    <row r="44" ht="26" customHeight="1">
      <c r="A44" s="31">
        <f>IF(LEN($DQ$13)&gt;0,"3 · "&amp;$DQ$13,"3 · (vazio)")</f>
        <v/>
      </c>
      <c r="B44" s="34" t="n"/>
      <c r="C44" s="34" t="n"/>
      <c r="D44" s="34" t="n"/>
      <c r="E44" s="34" t="n"/>
      <c r="F44" s="34" t="n"/>
      <c r="G44" s="5">
        <f>IF(LEN($DQ$13)=0,"",$BY$13&amp;IF(LEN($BZ$13)&gt;0,", "&amp;$BZ$13,"")&amp;IF(LEN($CA$13)&gt;0,", "&amp;$CA$13,"")&amp;IF(LEN($CB$13)&gt;0,", "&amp;$CB$13,"")&amp;IF(AND($BX$13=1,$BL$13=0)," (sugeridas)",IF(AND($BX$13=1,$BL$13=1)," (da base)","")))</f>
        <v/>
      </c>
      <c r="K44" s="19">
        <f>IF(EA44&gt;0,"O Google leu como fórmula: escolha de novo na lista.",IF(LEN($DQ$13)=0,"",IF((IF(AND(LEN($DR$44)&gt;0,$DR$44=$DS$44),1,0)+IF(AND(LEN($DR$44)&gt;0,$DR$44=$DT$44),1,0)+IF(AND(LEN($DR$44)&gt;0,$DR$44=$DU$44),1,0)+IF(AND(LEN($DS$44)&gt;0,$DS$44=$DT$44),1,0)+IF(AND(LEN($DS$44)&gt;0,$DS$44=$DU$44),1,0)+IF(AND(LEN($DT$44)&gt;0,$DT$44=$DU$44),1,0))&gt;0,"Fraqueza repetida",IF(AND(LEN($CC$13)&gt;0,COUNTIF($BY$13:$CB$13,$CC$13)&gt;0),"Resistência igual a uma Fraqueza",IF(AND($BN$13="Comum",(IF(LEN($DR$44)&gt;0,1,0)+IF(LEN($DS$44)&gt;0,1,0)+IF(LEN($DT$44)&gt;0,1,0)+IF(LEN($DU$44)&gt;0,1,0))&gt;2),"Comum tem 1 a 2 Fraquezas (20.2)",IF(AND($BN$13="Elite",(IF(LEN($DR$44)&gt;0,1,0)+IF(LEN($DS$44)&gt;0,1,0)+IF(LEN($DT$44)&gt;0,1,0)+IF(LEN($DU$44)&gt;0,1,0))&gt;3),"Elite tem 3 Fraquezas (20.2)",IF(AND(LEN($CC$13)&gt;0,COUNTIF('Grupo'!$T$7:$T$12,$CC$13)&gt;=2),"Nunca aponte uma Resistência para o Elemento de dois personagens (27.5)","")))))))</f>
        <v/>
      </c>
      <c r="N44" s="2">
        <f>'Dados'!$B$113</f>
        <v/>
      </c>
      <c r="O44" s="2">
        <f>'Dados'!$C$113</f>
        <v/>
      </c>
      <c r="P44" s="2">
        <f>'Dados'!$D$113</f>
        <v/>
      </c>
      <c r="Q44" s="2">
        <f>'Dados'!$G$113</f>
        <v/>
      </c>
      <c r="R44" s="2">
        <f>'Dados'!$H$113</f>
        <v/>
      </c>
      <c r="S44" s="2">
        <f>'Dados'!$I$113</f>
        <v/>
      </c>
      <c r="T44" s="2">
        <f>'Dados'!$J$113</f>
        <v/>
      </c>
      <c r="U44" s="2">
        <f>'Dados'!$K$113</f>
        <v/>
      </c>
      <c r="V44" s="2">
        <f>'Dados'!$L$113</f>
        <v/>
      </c>
      <c r="W44" s="2">
        <f>'Dados'!$M$113</f>
        <v/>
      </c>
      <c r="X44" s="2">
        <f>'Dados'!$N$113</f>
        <v/>
      </c>
      <c r="Y44" s="2">
        <f>'Dados'!$O$113</f>
        <v/>
      </c>
      <c r="Z44" s="2">
        <f>'Dados'!$P$113</f>
        <v/>
      </c>
      <c r="AA44" s="2">
        <f>'Dados'!$Q$113&amp;""</f>
        <v/>
      </c>
      <c r="AB44" s="2">
        <f>'Dados'!$R$113&amp;""</f>
        <v/>
      </c>
      <c r="AC44" s="2">
        <f>'Dados'!$S$113&amp;""</f>
        <v/>
      </c>
      <c r="AD44" s="2">
        <f>'Dados'!$T$113&amp;""</f>
        <v/>
      </c>
      <c r="AE44" s="2">
        <f>'Dados'!$U$113&amp;""</f>
        <v/>
      </c>
      <c r="AF44" s="2">
        <f>'Dados'!$V$113&amp;""</f>
        <v/>
      </c>
      <c r="AG44" s="2">
        <f>'Dados'!$F$113</f>
        <v/>
      </c>
      <c r="AH44" s="2">
        <f>'Dados'!$Z$113</f>
        <v/>
      </c>
      <c r="AI44" s="2">
        <f>'Dados'!$AA$113</f>
        <v/>
      </c>
      <c r="AJ44" s="2">
        <f>'Dados'!$W$113</f>
        <v/>
      </c>
      <c r="AK44" s="2">
        <f>""</f>
        <v/>
      </c>
      <c r="AL44" s="2">
        <f>""</f>
        <v/>
      </c>
      <c r="AM44" s="2">
        <f>""</f>
        <v/>
      </c>
      <c r="AN44" s="2">
        <f>""</f>
        <v/>
      </c>
      <c r="AO44" s="2">
        <f>""</f>
        <v/>
      </c>
      <c r="AP44" s="2">
        <f>""</f>
        <v/>
      </c>
      <c r="AQ44" s="2">
        <f>""</f>
        <v/>
      </c>
      <c r="AR44" s="2">
        <f>""</f>
        <v/>
      </c>
      <c r="AS44" s="2">
        <f>""</f>
        <v/>
      </c>
      <c r="AT44" s="2">
        <f>""</f>
        <v/>
      </c>
      <c r="AU44" s="2">
        <f>""</f>
        <v/>
      </c>
      <c r="AV44" s="2">
        <f>""</f>
        <v/>
      </c>
      <c r="AW44" s="2">
        <f>'Dados'!$AF$113&amp;""</f>
        <v/>
      </c>
      <c r="AX44" s="2">
        <f>IF(ISNUMBER('Dados'!$AG$113),IF('Dados'!$AG$113&gt;0,'Dados'!$AG$113,""),"")</f>
        <v/>
      </c>
      <c r="AY44" s="2">
        <f>'Dados'!$AH$113&amp;""</f>
        <v/>
      </c>
      <c r="AZ44" s="2">
        <f>IF(ISNUMBER('Dados'!$AI$113),IF('Dados'!$AI$113&gt;0,'Dados'!$AI$113,""),"")</f>
        <v/>
      </c>
      <c r="BA44" s="2">
        <f>'Dados'!$AJ$113&amp;""</f>
        <v/>
      </c>
      <c r="BB44" s="2">
        <f>IF(ISNUMBER('Dados'!$AK$113),IF('Dados'!$AK$113&gt;0,'Dados'!$AK$113,""),"")</f>
        <v/>
      </c>
      <c r="BC44" s="2">
        <f>'Dados'!$E$113&amp;""</f>
        <v/>
      </c>
      <c r="BD44" s="2">
        <f>'Dados'!$AD$113&amp;""</f>
        <v/>
      </c>
      <c r="BE44" s="2">
        <f>INDEX('Dados'!$F$7:$F$11,'Dados'!$AB$113)</f>
        <v/>
      </c>
      <c r="BF44" s="2">
        <f>'Dados'!$AB$113</f>
        <v/>
      </c>
      <c r="BG44" s="2">
        <f>'Dados'!$AE$113</f>
        <v/>
      </c>
      <c r="BH44" s="2">
        <f>"Bestiário"</f>
        <v/>
      </c>
      <c r="DR44" s="2">
        <f>IF(ISERROR($B$44),"",IF(ISBLANK($B$44),"",$B$44))</f>
        <v/>
      </c>
      <c r="DS44" s="2">
        <f>IF(ISERROR($C$44),"",IF(ISBLANK($C$44),"",$C$44))</f>
        <v/>
      </c>
      <c r="DT44" s="2">
        <f>IF(ISERROR($D$44),"",IF(ISBLANK($D$44),"",$D$44))</f>
        <v/>
      </c>
      <c r="DU44" s="2">
        <f>IF(ISERROR($E$44),"",IF(ISBLANK($E$44),"",$E$44))</f>
        <v/>
      </c>
      <c r="DV44" s="2">
        <f>IF(ISERROR($F$44),"",IF(ISBLANK($F$44),"",$F$44))</f>
        <v/>
      </c>
      <c r="EA44" s="2">
        <f>ISERROR($B$44)*1+ISERROR($C$44)*1+ISERROR($D$44)*1+ISERROR($E$44)*1+ISERROR($F$44)*1</f>
        <v/>
      </c>
    </row>
    <row r="45" ht="26" customHeight="1">
      <c r="A45" s="43">
        <f>IF(LEN($DQ$14)&gt;0,"4 · "&amp;$DQ$14,"4 · (vazio)")</f>
        <v/>
      </c>
      <c r="B45" s="36" t="n"/>
      <c r="C45" s="36" t="n"/>
      <c r="D45" s="36" t="n"/>
      <c r="E45" s="36" t="n"/>
      <c r="F45" s="36" t="n"/>
      <c r="G45" s="10">
        <f>IF(LEN($DQ$14)=0,"",$BY$14&amp;IF(LEN($BZ$14)&gt;0,", "&amp;$BZ$14,"")&amp;IF(LEN($CA$14)&gt;0,", "&amp;$CA$14,"")&amp;IF(LEN($CB$14)&gt;0,", "&amp;$CB$14,"")&amp;IF(AND($BX$14=1,$BL$14=0)," (sugeridas)",IF(AND($BX$14=1,$BL$14=1)," (da base)","")))</f>
        <v/>
      </c>
      <c r="K45" s="27">
        <f>IF(EA45&gt;0,"O Google leu como fórmula: escolha de novo na lista.",IF(LEN($DQ$14)=0,"",IF((IF(AND(LEN($DR$45)&gt;0,$DR$45=$DS$45),1,0)+IF(AND(LEN($DR$45)&gt;0,$DR$45=$DT$45),1,0)+IF(AND(LEN($DR$45)&gt;0,$DR$45=$DU$45),1,0)+IF(AND(LEN($DS$45)&gt;0,$DS$45=$DT$45),1,0)+IF(AND(LEN($DS$45)&gt;0,$DS$45=$DU$45),1,0)+IF(AND(LEN($DT$45)&gt;0,$DT$45=$DU$45),1,0))&gt;0,"Fraqueza repetida",IF(AND(LEN($CC$14)&gt;0,COUNTIF($BY$14:$CB$14,$CC$14)&gt;0),"Resistência igual a uma Fraqueza",IF(AND($BN$14="Comum",(IF(LEN($DR$45)&gt;0,1,0)+IF(LEN($DS$45)&gt;0,1,0)+IF(LEN($DT$45)&gt;0,1,0)+IF(LEN($DU$45)&gt;0,1,0))&gt;2),"Comum tem 1 a 2 Fraquezas (20.2)",IF(AND($BN$14="Elite",(IF(LEN($DR$45)&gt;0,1,0)+IF(LEN($DS$45)&gt;0,1,0)+IF(LEN($DT$45)&gt;0,1,0)+IF(LEN($DU$45)&gt;0,1,0))&gt;3),"Elite tem 3 Fraquezas (20.2)",IF(AND(LEN($CC$14)&gt;0,COUNTIF('Grupo'!$T$7:$T$12,$CC$14)&gt;=2),"Nunca aponte uma Resistência para o Elemento de dois personagens (27.5)","")))))))</f>
        <v/>
      </c>
      <c r="N45" s="2">
        <f>'Dados'!$B$114</f>
        <v/>
      </c>
      <c r="O45" s="2">
        <f>'Dados'!$C$114</f>
        <v/>
      </c>
      <c r="P45" s="2">
        <f>'Dados'!$D$114</f>
        <v/>
      </c>
      <c r="Q45" s="2">
        <f>'Dados'!$G$114</f>
        <v/>
      </c>
      <c r="R45" s="2">
        <f>'Dados'!$H$114</f>
        <v/>
      </c>
      <c r="S45" s="2">
        <f>'Dados'!$I$114</f>
        <v/>
      </c>
      <c r="T45" s="2">
        <f>'Dados'!$J$114</f>
        <v/>
      </c>
      <c r="U45" s="2">
        <f>'Dados'!$K$114</f>
        <v/>
      </c>
      <c r="V45" s="2">
        <f>'Dados'!$L$114</f>
        <v/>
      </c>
      <c r="W45" s="2">
        <f>'Dados'!$M$114</f>
        <v/>
      </c>
      <c r="X45" s="2">
        <f>'Dados'!$N$114</f>
        <v/>
      </c>
      <c r="Y45" s="2">
        <f>'Dados'!$O$114</f>
        <v/>
      </c>
      <c r="Z45" s="2">
        <f>'Dados'!$P$114</f>
        <v/>
      </c>
      <c r="AA45" s="2">
        <f>'Dados'!$Q$114&amp;""</f>
        <v/>
      </c>
      <c r="AB45" s="2">
        <f>'Dados'!$R$114&amp;""</f>
        <v/>
      </c>
      <c r="AC45" s="2">
        <f>'Dados'!$S$114&amp;""</f>
        <v/>
      </c>
      <c r="AD45" s="2">
        <f>'Dados'!$T$114&amp;""</f>
        <v/>
      </c>
      <c r="AE45" s="2">
        <f>'Dados'!$U$114&amp;""</f>
        <v/>
      </c>
      <c r="AF45" s="2">
        <f>'Dados'!$V$114&amp;""</f>
        <v/>
      </c>
      <c r="AG45" s="2">
        <f>'Dados'!$F$114</f>
        <v/>
      </c>
      <c r="AH45" s="2">
        <f>'Dados'!$Z$114</f>
        <v/>
      </c>
      <c r="AI45" s="2">
        <f>'Dados'!$AA$114</f>
        <v/>
      </c>
      <c r="AJ45" s="2">
        <f>'Dados'!$W$114</f>
        <v/>
      </c>
      <c r="AK45" s="2">
        <f>""</f>
        <v/>
      </c>
      <c r="AL45" s="2">
        <f>""</f>
        <v/>
      </c>
      <c r="AM45" s="2">
        <f>""</f>
        <v/>
      </c>
      <c r="AN45" s="2">
        <f>""</f>
        <v/>
      </c>
      <c r="AO45" s="2">
        <f>""</f>
        <v/>
      </c>
      <c r="AP45" s="2">
        <f>""</f>
        <v/>
      </c>
      <c r="AQ45" s="2">
        <f>""</f>
        <v/>
      </c>
      <c r="AR45" s="2">
        <f>""</f>
        <v/>
      </c>
      <c r="AS45" s="2">
        <f>""</f>
        <v/>
      </c>
      <c r="AT45" s="2">
        <f>""</f>
        <v/>
      </c>
      <c r="AU45" s="2">
        <f>""</f>
        <v/>
      </c>
      <c r="AV45" s="2">
        <f>""</f>
        <v/>
      </c>
      <c r="AW45" s="2">
        <f>'Dados'!$AF$114&amp;""</f>
        <v/>
      </c>
      <c r="AX45" s="2">
        <f>IF(ISNUMBER('Dados'!$AG$114),IF('Dados'!$AG$114&gt;0,'Dados'!$AG$114,""),"")</f>
        <v/>
      </c>
      <c r="AY45" s="2">
        <f>'Dados'!$AH$114&amp;""</f>
        <v/>
      </c>
      <c r="AZ45" s="2">
        <f>IF(ISNUMBER('Dados'!$AI$114),IF('Dados'!$AI$114&gt;0,'Dados'!$AI$114,""),"")</f>
        <v/>
      </c>
      <c r="BA45" s="2">
        <f>'Dados'!$AJ$114&amp;""</f>
        <v/>
      </c>
      <c r="BB45" s="2">
        <f>IF(ISNUMBER('Dados'!$AK$114),IF('Dados'!$AK$114&gt;0,'Dados'!$AK$114,""),"")</f>
        <v/>
      </c>
      <c r="BC45" s="2">
        <f>'Dados'!$E$114&amp;""</f>
        <v/>
      </c>
      <c r="BD45" s="2">
        <f>'Dados'!$AD$114&amp;""</f>
        <v/>
      </c>
      <c r="BE45" s="2">
        <f>INDEX('Dados'!$F$7:$F$11,'Dados'!$AB$114)</f>
        <v/>
      </c>
      <c r="BF45" s="2">
        <f>'Dados'!$AB$114</f>
        <v/>
      </c>
      <c r="BG45" s="2">
        <f>'Dados'!$AE$114</f>
        <v/>
      </c>
      <c r="BH45" s="2">
        <f>"Bestiário"</f>
        <v/>
      </c>
      <c r="DR45" s="2">
        <f>IF(ISERROR($B$45),"",IF(ISBLANK($B$45),"",$B$45))</f>
        <v/>
      </c>
      <c r="DS45" s="2">
        <f>IF(ISERROR($C$45),"",IF(ISBLANK($C$45),"",$C$45))</f>
        <v/>
      </c>
      <c r="DT45" s="2">
        <f>IF(ISERROR($D$45),"",IF(ISBLANK($D$45),"",$D$45))</f>
        <v/>
      </c>
      <c r="DU45" s="2">
        <f>IF(ISERROR($E$45),"",IF(ISBLANK($E$45),"",$E$45))</f>
        <v/>
      </c>
      <c r="DV45" s="2">
        <f>IF(ISERROR($F$45),"",IF(ISBLANK($F$45),"",$F$45))</f>
        <v/>
      </c>
      <c r="EA45" s="2">
        <f>ISERROR($B$45)*1+ISERROR($C$45)*1+ISERROR($D$45)*1+ISERROR($E$45)*1+ISERROR($F$45)*1</f>
        <v/>
      </c>
    </row>
    <row r="46" ht="26" customHeight="1">
      <c r="A46" s="31">
        <f>IF(LEN($DQ$15)&gt;0,"5 · "&amp;$DQ$15,"5 · (vazio)")</f>
        <v/>
      </c>
      <c r="B46" s="34" t="n"/>
      <c r="C46" s="34" t="n"/>
      <c r="D46" s="34" t="n"/>
      <c r="E46" s="34" t="n"/>
      <c r="F46" s="34" t="n"/>
      <c r="G46" s="5">
        <f>IF(LEN($DQ$15)=0,"",$BY$15&amp;IF(LEN($BZ$15)&gt;0,", "&amp;$BZ$15,"")&amp;IF(LEN($CA$15)&gt;0,", "&amp;$CA$15,"")&amp;IF(LEN($CB$15)&gt;0,", "&amp;$CB$15,"")&amp;IF(AND($BX$15=1,$BL$15=0)," (sugeridas)",IF(AND($BX$15=1,$BL$15=1)," (da base)","")))</f>
        <v/>
      </c>
      <c r="K46" s="19">
        <f>IF(EA46&gt;0,"O Google leu como fórmula: escolha de novo na lista.",IF(LEN($DQ$15)=0,"",IF((IF(AND(LEN($DR$46)&gt;0,$DR$46=$DS$46),1,0)+IF(AND(LEN($DR$46)&gt;0,$DR$46=$DT$46),1,0)+IF(AND(LEN($DR$46)&gt;0,$DR$46=$DU$46),1,0)+IF(AND(LEN($DS$46)&gt;0,$DS$46=$DT$46),1,0)+IF(AND(LEN($DS$46)&gt;0,$DS$46=$DU$46),1,0)+IF(AND(LEN($DT$46)&gt;0,$DT$46=$DU$46),1,0))&gt;0,"Fraqueza repetida",IF(AND(LEN($CC$15)&gt;0,COUNTIF($BY$15:$CB$15,$CC$15)&gt;0),"Resistência igual a uma Fraqueza",IF(AND($BN$15="Comum",(IF(LEN($DR$46)&gt;0,1,0)+IF(LEN($DS$46)&gt;0,1,0)+IF(LEN($DT$46)&gt;0,1,0)+IF(LEN($DU$46)&gt;0,1,0))&gt;2),"Comum tem 1 a 2 Fraquezas (20.2)",IF(AND($BN$15="Elite",(IF(LEN($DR$46)&gt;0,1,0)+IF(LEN($DS$46)&gt;0,1,0)+IF(LEN($DT$46)&gt;0,1,0)+IF(LEN($DU$46)&gt;0,1,0))&gt;3),"Elite tem 3 Fraquezas (20.2)",IF(AND(LEN($CC$15)&gt;0,COUNTIF('Grupo'!$T$7:$T$12,$CC$15)&gt;=2),"Nunca aponte uma Resistência para o Elemento de dois personagens (27.5)","")))))))</f>
        <v/>
      </c>
      <c r="N46" s="2">
        <f>'Dados'!$B$115</f>
        <v/>
      </c>
      <c r="O46" s="2">
        <f>'Dados'!$C$115</f>
        <v/>
      </c>
      <c r="P46" s="2">
        <f>'Dados'!$D$115</f>
        <v/>
      </c>
      <c r="Q46" s="2">
        <f>'Dados'!$G$115</f>
        <v/>
      </c>
      <c r="R46" s="2">
        <f>'Dados'!$H$115</f>
        <v/>
      </c>
      <c r="S46" s="2">
        <f>'Dados'!$I$115</f>
        <v/>
      </c>
      <c r="T46" s="2">
        <f>'Dados'!$J$115</f>
        <v/>
      </c>
      <c r="U46" s="2">
        <f>'Dados'!$K$115</f>
        <v/>
      </c>
      <c r="V46" s="2">
        <f>'Dados'!$L$115</f>
        <v/>
      </c>
      <c r="W46" s="2">
        <f>'Dados'!$M$115</f>
        <v/>
      </c>
      <c r="X46" s="2">
        <f>'Dados'!$N$115</f>
        <v/>
      </c>
      <c r="Y46" s="2">
        <f>'Dados'!$O$115</f>
        <v/>
      </c>
      <c r="Z46" s="2">
        <f>'Dados'!$P$115</f>
        <v/>
      </c>
      <c r="AA46" s="2">
        <f>'Dados'!$Q$115&amp;""</f>
        <v/>
      </c>
      <c r="AB46" s="2">
        <f>'Dados'!$R$115&amp;""</f>
        <v/>
      </c>
      <c r="AC46" s="2">
        <f>'Dados'!$S$115&amp;""</f>
        <v/>
      </c>
      <c r="AD46" s="2">
        <f>'Dados'!$T$115&amp;""</f>
        <v/>
      </c>
      <c r="AE46" s="2">
        <f>'Dados'!$U$115&amp;""</f>
        <v/>
      </c>
      <c r="AF46" s="2">
        <f>'Dados'!$V$115&amp;""</f>
        <v/>
      </c>
      <c r="AG46" s="2">
        <f>'Dados'!$F$115</f>
        <v/>
      </c>
      <c r="AH46" s="2">
        <f>'Dados'!$Z$115</f>
        <v/>
      </c>
      <c r="AI46" s="2">
        <f>'Dados'!$AA$115</f>
        <v/>
      </c>
      <c r="AJ46" s="2">
        <f>'Dados'!$W$115</f>
        <v/>
      </c>
      <c r="AK46" s="2">
        <f>""</f>
        <v/>
      </c>
      <c r="AL46" s="2">
        <f>""</f>
        <v/>
      </c>
      <c r="AM46" s="2">
        <f>""</f>
        <v/>
      </c>
      <c r="AN46" s="2">
        <f>""</f>
        <v/>
      </c>
      <c r="AO46" s="2">
        <f>""</f>
        <v/>
      </c>
      <c r="AP46" s="2">
        <f>""</f>
        <v/>
      </c>
      <c r="AQ46" s="2">
        <f>""</f>
        <v/>
      </c>
      <c r="AR46" s="2">
        <f>""</f>
        <v/>
      </c>
      <c r="AS46" s="2">
        <f>""</f>
        <v/>
      </c>
      <c r="AT46" s="2">
        <f>""</f>
        <v/>
      </c>
      <c r="AU46" s="2">
        <f>""</f>
        <v/>
      </c>
      <c r="AV46" s="2">
        <f>""</f>
        <v/>
      </c>
      <c r="AW46" s="2">
        <f>'Dados'!$AF$115&amp;""</f>
        <v/>
      </c>
      <c r="AX46" s="2">
        <f>IF(ISNUMBER('Dados'!$AG$115),IF('Dados'!$AG$115&gt;0,'Dados'!$AG$115,""),"")</f>
        <v/>
      </c>
      <c r="AY46" s="2">
        <f>'Dados'!$AH$115&amp;""</f>
        <v/>
      </c>
      <c r="AZ46" s="2">
        <f>IF(ISNUMBER('Dados'!$AI$115),IF('Dados'!$AI$115&gt;0,'Dados'!$AI$115,""),"")</f>
        <v/>
      </c>
      <c r="BA46" s="2">
        <f>'Dados'!$AJ$115&amp;""</f>
        <v/>
      </c>
      <c r="BB46" s="2">
        <f>IF(ISNUMBER('Dados'!$AK$115),IF('Dados'!$AK$115&gt;0,'Dados'!$AK$115,""),"")</f>
        <v/>
      </c>
      <c r="BC46" s="2">
        <f>'Dados'!$E$115&amp;""</f>
        <v/>
      </c>
      <c r="BD46" s="2">
        <f>'Dados'!$AD$115&amp;""</f>
        <v/>
      </c>
      <c r="BE46" s="2">
        <f>INDEX('Dados'!$F$7:$F$11,'Dados'!$AB$115)</f>
        <v/>
      </c>
      <c r="BF46" s="2">
        <f>'Dados'!$AB$115</f>
        <v/>
      </c>
      <c r="BG46" s="2">
        <f>'Dados'!$AE$115</f>
        <v/>
      </c>
      <c r="BH46" s="2">
        <f>"Bestiário"</f>
        <v/>
      </c>
      <c r="DR46" s="2">
        <f>IF(ISERROR($B$46),"",IF(ISBLANK($B$46),"",$B$46))</f>
        <v/>
      </c>
      <c r="DS46" s="2">
        <f>IF(ISERROR($C$46),"",IF(ISBLANK($C$46),"",$C$46))</f>
        <v/>
      </c>
      <c r="DT46" s="2">
        <f>IF(ISERROR($D$46),"",IF(ISBLANK($D$46),"",$D$46))</f>
        <v/>
      </c>
      <c r="DU46" s="2">
        <f>IF(ISERROR($E$46),"",IF(ISBLANK($E$46),"",$E$46))</f>
        <v/>
      </c>
      <c r="DV46" s="2">
        <f>IF(ISERROR($F$46),"",IF(ISBLANK($F$46),"",$F$46))</f>
        <v/>
      </c>
      <c r="EA46" s="2">
        <f>ISERROR($B$46)*1+ISERROR($C$46)*1+ISERROR($D$46)*1+ISERROR($E$46)*1+ISERROR($F$46)*1</f>
        <v/>
      </c>
    </row>
    <row r="47" ht="26" customHeight="1">
      <c r="A47" s="43">
        <f>IF(LEN($DQ$16)&gt;0,"6 · "&amp;$DQ$16,"6 · (vazio)")</f>
        <v/>
      </c>
      <c r="B47" s="36" t="n"/>
      <c r="C47" s="36" t="n"/>
      <c r="D47" s="36" t="n"/>
      <c r="E47" s="36" t="n"/>
      <c r="F47" s="36" t="n"/>
      <c r="G47" s="10">
        <f>IF(LEN($DQ$16)=0,"",$BY$16&amp;IF(LEN($BZ$16)&gt;0,", "&amp;$BZ$16,"")&amp;IF(LEN($CA$16)&gt;0,", "&amp;$CA$16,"")&amp;IF(LEN($CB$16)&gt;0,", "&amp;$CB$16,"")&amp;IF(AND($BX$16=1,$BL$16=0)," (sugeridas)",IF(AND($BX$16=1,$BL$16=1)," (da base)","")))</f>
        <v/>
      </c>
      <c r="K47" s="27">
        <f>IF(EA47&gt;0,"O Google leu como fórmula: escolha de novo na lista.",IF(LEN($DQ$16)=0,"",IF((IF(AND(LEN($DR$47)&gt;0,$DR$47=$DS$47),1,0)+IF(AND(LEN($DR$47)&gt;0,$DR$47=$DT$47),1,0)+IF(AND(LEN($DR$47)&gt;0,$DR$47=$DU$47),1,0)+IF(AND(LEN($DS$47)&gt;0,$DS$47=$DT$47),1,0)+IF(AND(LEN($DS$47)&gt;0,$DS$47=$DU$47),1,0)+IF(AND(LEN($DT$47)&gt;0,$DT$47=$DU$47),1,0))&gt;0,"Fraqueza repetida",IF(AND(LEN($CC$16)&gt;0,COUNTIF($BY$16:$CB$16,$CC$16)&gt;0),"Resistência igual a uma Fraqueza",IF(AND($BN$16="Comum",(IF(LEN($DR$47)&gt;0,1,0)+IF(LEN($DS$47)&gt;0,1,0)+IF(LEN($DT$47)&gt;0,1,0)+IF(LEN($DU$47)&gt;0,1,0))&gt;2),"Comum tem 1 a 2 Fraquezas (20.2)",IF(AND($BN$16="Elite",(IF(LEN($DR$47)&gt;0,1,0)+IF(LEN($DS$47)&gt;0,1,0)+IF(LEN($DT$47)&gt;0,1,0)+IF(LEN($DU$47)&gt;0,1,0))&gt;3),"Elite tem 3 Fraquezas (20.2)",IF(AND(LEN($CC$16)&gt;0,COUNTIF('Grupo'!$T$7:$T$12,$CC$16)&gt;=2),"Nunca aponte uma Resistência para o Elemento de dois personagens (27.5)","")))))))</f>
        <v/>
      </c>
      <c r="N47" s="2">
        <f>'Dados'!$B$116</f>
        <v/>
      </c>
      <c r="O47" s="2">
        <f>'Dados'!$C$116</f>
        <v/>
      </c>
      <c r="P47" s="2">
        <f>'Dados'!$D$116</f>
        <v/>
      </c>
      <c r="Q47" s="2">
        <f>'Dados'!$G$116</f>
        <v/>
      </c>
      <c r="R47" s="2">
        <f>'Dados'!$H$116</f>
        <v/>
      </c>
      <c r="S47" s="2">
        <f>'Dados'!$I$116</f>
        <v/>
      </c>
      <c r="T47" s="2">
        <f>'Dados'!$J$116</f>
        <v/>
      </c>
      <c r="U47" s="2">
        <f>'Dados'!$K$116</f>
        <v/>
      </c>
      <c r="V47" s="2">
        <f>'Dados'!$L$116</f>
        <v/>
      </c>
      <c r="W47" s="2">
        <f>'Dados'!$M$116</f>
        <v/>
      </c>
      <c r="X47" s="2">
        <f>'Dados'!$N$116</f>
        <v/>
      </c>
      <c r="Y47" s="2">
        <f>'Dados'!$O$116</f>
        <v/>
      </c>
      <c r="Z47" s="2">
        <f>'Dados'!$P$116</f>
        <v/>
      </c>
      <c r="AA47" s="2">
        <f>'Dados'!$Q$116&amp;""</f>
        <v/>
      </c>
      <c r="AB47" s="2">
        <f>'Dados'!$R$116&amp;""</f>
        <v/>
      </c>
      <c r="AC47" s="2">
        <f>'Dados'!$S$116&amp;""</f>
        <v/>
      </c>
      <c r="AD47" s="2">
        <f>'Dados'!$T$116&amp;""</f>
        <v/>
      </c>
      <c r="AE47" s="2">
        <f>'Dados'!$U$116&amp;""</f>
        <v/>
      </c>
      <c r="AF47" s="2">
        <f>'Dados'!$V$116&amp;""</f>
        <v/>
      </c>
      <c r="AG47" s="2">
        <f>'Dados'!$F$116</f>
        <v/>
      </c>
      <c r="AH47" s="2">
        <f>'Dados'!$Z$116</f>
        <v/>
      </c>
      <c r="AI47" s="2">
        <f>'Dados'!$AA$116</f>
        <v/>
      </c>
      <c r="AJ47" s="2">
        <f>'Dados'!$W$116</f>
        <v/>
      </c>
      <c r="AK47" s="2">
        <f>""</f>
        <v/>
      </c>
      <c r="AL47" s="2">
        <f>""</f>
        <v/>
      </c>
      <c r="AM47" s="2">
        <f>""</f>
        <v/>
      </c>
      <c r="AN47" s="2">
        <f>""</f>
        <v/>
      </c>
      <c r="AO47" s="2">
        <f>""</f>
        <v/>
      </c>
      <c r="AP47" s="2">
        <f>""</f>
        <v/>
      </c>
      <c r="AQ47" s="2">
        <f>""</f>
        <v/>
      </c>
      <c r="AR47" s="2">
        <f>""</f>
        <v/>
      </c>
      <c r="AS47" s="2">
        <f>""</f>
        <v/>
      </c>
      <c r="AT47" s="2">
        <f>""</f>
        <v/>
      </c>
      <c r="AU47" s="2">
        <f>""</f>
        <v/>
      </c>
      <c r="AV47" s="2">
        <f>""</f>
        <v/>
      </c>
      <c r="AW47" s="2">
        <f>'Dados'!$AF$116&amp;""</f>
        <v/>
      </c>
      <c r="AX47" s="2">
        <f>IF(ISNUMBER('Dados'!$AG$116),IF('Dados'!$AG$116&gt;0,'Dados'!$AG$116,""),"")</f>
        <v/>
      </c>
      <c r="AY47" s="2">
        <f>'Dados'!$AH$116&amp;""</f>
        <v/>
      </c>
      <c r="AZ47" s="2">
        <f>IF(ISNUMBER('Dados'!$AI$116),IF('Dados'!$AI$116&gt;0,'Dados'!$AI$116,""),"")</f>
        <v/>
      </c>
      <c r="BA47" s="2">
        <f>'Dados'!$AJ$116&amp;""</f>
        <v/>
      </c>
      <c r="BB47" s="2">
        <f>IF(ISNUMBER('Dados'!$AK$116),IF('Dados'!$AK$116&gt;0,'Dados'!$AK$116,""),"")</f>
        <v/>
      </c>
      <c r="BC47" s="2">
        <f>'Dados'!$E$116&amp;""</f>
        <v/>
      </c>
      <c r="BD47" s="2">
        <f>'Dados'!$AD$116&amp;""</f>
        <v/>
      </c>
      <c r="BE47" s="2">
        <f>INDEX('Dados'!$F$7:$F$11,'Dados'!$AB$116)</f>
        <v/>
      </c>
      <c r="BF47" s="2">
        <f>'Dados'!$AB$116</f>
        <v/>
      </c>
      <c r="BG47" s="2">
        <f>'Dados'!$AE$116</f>
        <v/>
      </c>
      <c r="BH47" s="2">
        <f>"Bestiário"</f>
        <v/>
      </c>
      <c r="DR47" s="2">
        <f>IF(ISERROR($B$47),"",IF(ISBLANK($B$47),"",$B$47))</f>
        <v/>
      </c>
      <c r="DS47" s="2">
        <f>IF(ISERROR($C$47),"",IF(ISBLANK($C$47),"",$C$47))</f>
        <v/>
      </c>
      <c r="DT47" s="2">
        <f>IF(ISERROR($D$47),"",IF(ISBLANK($D$47),"",$D$47))</f>
        <v/>
      </c>
      <c r="DU47" s="2">
        <f>IF(ISERROR($E$47),"",IF(ISBLANK($E$47),"",$E$47))</f>
        <v/>
      </c>
      <c r="DV47" s="2">
        <f>IF(ISERROR($F$47),"",IF(ISBLANK($F$47),"",$F$47))</f>
        <v/>
      </c>
      <c r="EA47" s="2">
        <f>ISERROR($B$47)*1+ISERROR($C$47)*1+ISERROR($D$47)*1+ISERROR($E$47)*1+ISERROR($F$47)*1</f>
        <v/>
      </c>
    </row>
    <row r="48" ht="26" customHeight="1">
      <c r="A48" s="31">
        <f>IF(LEN($DQ$17)&gt;0,"7 · "&amp;$DQ$17,"7 · (vazio)")</f>
        <v/>
      </c>
      <c r="B48" s="34" t="n"/>
      <c r="C48" s="34" t="n"/>
      <c r="D48" s="34" t="n"/>
      <c r="E48" s="34" t="n"/>
      <c r="F48" s="34" t="n"/>
      <c r="G48" s="5">
        <f>IF(LEN($DQ$17)=0,"",$BY$17&amp;IF(LEN($BZ$17)&gt;0,", "&amp;$BZ$17,"")&amp;IF(LEN($CA$17)&gt;0,", "&amp;$CA$17,"")&amp;IF(LEN($CB$17)&gt;0,", "&amp;$CB$17,"")&amp;IF(AND($BX$17=1,$BL$17=0)," (sugeridas)",IF(AND($BX$17=1,$BL$17=1)," (da base)","")))</f>
        <v/>
      </c>
      <c r="K48" s="19">
        <f>IF(EA48&gt;0,"O Google leu como fórmula: escolha de novo na lista.",IF(LEN($DQ$17)=0,"",IF((IF(AND(LEN($DR$48)&gt;0,$DR$48=$DS$48),1,0)+IF(AND(LEN($DR$48)&gt;0,$DR$48=$DT$48),1,0)+IF(AND(LEN($DR$48)&gt;0,$DR$48=$DU$48),1,0)+IF(AND(LEN($DS$48)&gt;0,$DS$48=$DT$48),1,0)+IF(AND(LEN($DS$48)&gt;0,$DS$48=$DU$48),1,0)+IF(AND(LEN($DT$48)&gt;0,$DT$48=$DU$48),1,0))&gt;0,"Fraqueza repetida",IF(AND(LEN($CC$17)&gt;0,COUNTIF($BY$17:$CB$17,$CC$17)&gt;0),"Resistência igual a uma Fraqueza",IF(AND($BN$17="Comum",(IF(LEN($DR$48)&gt;0,1,0)+IF(LEN($DS$48)&gt;0,1,0)+IF(LEN($DT$48)&gt;0,1,0)+IF(LEN($DU$48)&gt;0,1,0))&gt;2),"Comum tem 1 a 2 Fraquezas (20.2)",IF(AND($BN$17="Elite",(IF(LEN($DR$48)&gt;0,1,0)+IF(LEN($DS$48)&gt;0,1,0)+IF(LEN($DT$48)&gt;0,1,0)+IF(LEN($DU$48)&gt;0,1,0))&gt;3),"Elite tem 3 Fraquezas (20.2)",IF(AND(LEN($CC$17)&gt;0,COUNTIF('Grupo'!$T$7:$T$12,$CC$17)&gt;=2),"Nunca aponte uma Resistência para o Elemento de dois personagens (27.5)","")))))))</f>
        <v/>
      </c>
      <c r="N48" s="2">
        <f>'Dados'!$B$117</f>
        <v/>
      </c>
      <c r="O48" s="2">
        <f>'Dados'!$C$117</f>
        <v/>
      </c>
      <c r="P48" s="2">
        <f>'Dados'!$D$117</f>
        <v/>
      </c>
      <c r="Q48" s="2">
        <f>'Dados'!$G$117</f>
        <v/>
      </c>
      <c r="R48" s="2">
        <f>'Dados'!$H$117</f>
        <v/>
      </c>
      <c r="S48" s="2">
        <f>'Dados'!$I$117</f>
        <v/>
      </c>
      <c r="T48" s="2">
        <f>'Dados'!$J$117</f>
        <v/>
      </c>
      <c r="U48" s="2">
        <f>'Dados'!$K$117</f>
        <v/>
      </c>
      <c r="V48" s="2">
        <f>'Dados'!$L$117</f>
        <v/>
      </c>
      <c r="W48" s="2">
        <f>'Dados'!$M$117</f>
        <v/>
      </c>
      <c r="X48" s="2">
        <f>'Dados'!$N$117</f>
        <v/>
      </c>
      <c r="Y48" s="2">
        <f>'Dados'!$O$117</f>
        <v/>
      </c>
      <c r="Z48" s="2">
        <f>'Dados'!$P$117</f>
        <v/>
      </c>
      <c r="AA48" s="2">
        <f>'Dados'!$Q$117&amp;""</f>
        <v/>
      </c>
      <c r="AB48" s="2">
        <f>'Dados'!$R$117&amp;""</f>
        <v/>
      </c>
      <c r="AC48" s="2">
        <f>'Dados'!$S$117&amp;""</f>
        <v/>
      </c>
      <c r="AD48" s="2">
        <f>'Dados'!$T$117&amp;""</f>
        <v/>
      </c>
      <c r="AE48" s="2">
        <f>'Dados'!$U$117&amp;""</f>
        <v/>
      </c>
      <c r="AF48" s="2">
        <f>'Dados'!$V$117&amp;""</f>
        <v/>
      </c>
      <c r="AG48" s="2">
        <f>'Dados'!$F$117</f>
        <v/>
      </c>
      <c r="AH48" s="2">
        <f>'Dados'!$Z$117</f>
        <v/>
      </c>
      <c r="AI48" s="2">
        <f>'Dados'!$AA$117</f>
        <v/>
      </c>
      <c r="AJ48" s="2">
        <f>'Dados'!$W$117</f>
        <v/>
      </c>
      <c r="AK48" s="2">
        <f>'Dados'!$E$132</f>
        <v/>
      </c>
      <c r="AL48" s="2">
        <f>""</f>
        <v/>
      </c>
      <c r="AM48" s="2">
        <f>'Dados'!$G$132</f>
        <v/>
      </c>
      <c r="AN48" s="2">
        <f>'Dados'!$H$132</f>
        <v/>
      </c>
      <c r="AO48" s="2">
        <f>'Dados'!$I$132</f>
        <v/>
      </c>
      <c r="AP48" s="2">
        <f>'Dados'!$J$132</f>
        <v/>
      </c>
      <c r="AQ48" s="2">
        <f>'Dados'!$K$132</f>
        <v/>
      </c>
      <c r="AR48" s="2">
        <f>""</f>
        <v/>
      </c>
      <c r="AS48" s="2">
        <f>""</f>
        <v/>
      </c>
      <c r="AT48" s="2">
        <f>""</f>
        <v/>
      </c>
      <c r="AU48" s="2">
        <f>""</f>
        <v/>
      </c>
      <c r="AV48" s="2">
        <f>""</f>
        <v/>
      </c>
      <c r="AW48" s="2">
        <f>'Dados'!$AF$117&amp;""</f>
        <v/>
      </c>
      <c r="AX48" s="2">
        <f>IF(ISNUMBER('Dados'!$AG$117),IF('Dados'!$AG$117&gt;0,'Dados'!$AG$117,""),"")</f>
        <v/>
      </c>
      <c r="AY48" s="2">
        <f>'Dados'!$AH$117&amp;""</f>
        <v/>
      </c>
      <c r="AZ48" s="2">
        <f>IF(ISNUMBER('Dados'!$AI$117),IF('Dados'!$AI$117&gt;0,'Dados'!$AI$117,""),"")</f>
        <v/>
      </c>
      <c r="BA48" s="2">
        <f>'Dados'!$AJ$117&amp;""</f>
        <v/>
      </c>
      <c r="BB48" s="2">
        <f>IF(ISNUMBER('Dados'!$AK$117),IF('Dados'!$AK$117&gt;0,'Dados'!$AK$117,""),"")</f>
        <v/>
      </c>
      <c r="BC48" s="2">
        <f>'Dados'!$E$117&amp;""</f>
        <v/>
      </c>
      <c r="BD48" s="2">
        <f>'Dados'!$AD$117&amp;""</f>
        <v/>
      </c>
      <c r="BE48" s="2">
        <f>INDEX('Dados'!$F$7:$F$11,'Dados'!$AB$117)</f>
        <v/>
      </c>
      <c r="BF48" s="2">
        <f>'Dados'!$AB$117</f>
        <v/>
      </c>
      <c r="BG48" s="2">
        <f>'Dados'!$AE$117</f>
        <v/>
      </c>
      <c r="BH48" s="2">
        <f>"Bestiário"</f>
        <v/>
      </c>
      <c r="DR48" s="2">
        <f>IF(ISERROR($B$48),"",IF(ISBLANK($B$48),"",$B$48))</f>
        <v/>
      </c>
      <c r="DS48" s="2">
        <f>IF(ISERROR($C$48),"",IF(ISBLANK($C$48),"",$C$48))</f>
        <v/>
      </c>
      <c r="DT48" s="2">
        <f>IF(ISERROR($D$48),"",IF(ISBLANK($D$48),"",$D$48))</f>
        <v/>
      </c>
      <c r="DU48" s="2">
        <f>IF(ISERROR($E$48),"",IF(ISBLANK($E$48),"",$E$48))</f>
        <v/>
      </c>
      <c r="DV48" s="2">
        <f>IF(ISERROR($F$48),"",IF(ISBLANK($F$48),"",$F$48))</f>
        <v/>
      </c>
      <c r="EA48" s="2">
        <f>ISERROR($B$48)*1+ISERROR($C$48)*1+ISERROR($D$48)*1+ISERROR($E$48)*1+ISERROR($F$48)*1</f>
        <v/>
      </c>
    </row>
    <row r="49" ht="26" customHeight="1">
      <c r="A49" s="43">
        <f>IF(LEN($DQ$18)&gt;0,"8 · "&amp;$DQ$18,"8 · (vazio)")</f>
        <v/>
      </c>
      <c r="B49" s="36" t="n"/>
      <c r="C49" s="36" t="n"/>
      <c r="D49" s="36" t="n"/>
      <c r="E49" s="36" t="n"/>
      <c r="F49" s="36" t="n"/>
      <c r="G49" s="10">
        <f>IF(LEN($DQ$18)=0,"",$BY$18&amp;IF(LEN($BZ$18)&gt;0,", "&amp;$BZ$18,"")&amp;IF(LEN($CA$18)&gt;0,", "&amp;$CA$18,"")&amp;IF(LEN($CB$18)&gt;0,", "&amp;$CB$18,"")&amp;IF(AND($BX$18=1,$BL$18=0)," (sugeridas)",IF(AND($BX$18=1,$BL$18=1)," (da base)","")))</f>
        <v/>
      </c>
      <c r="K49" s="27">
        <f>IF(EA49&gt;0,"O Google leu como fórmula: escolha de novo na lista.",IF(LEN($DQ$18)=0,"",IF((IF(AND(LEN($DR$49)&gt;0,$DR$49=$DS$49),1,0)+IF(AND(LEN($DR$49)&gt;0,$DR$49=$DT$49),1,0)+IF(AND(LEN($DR$49)&gt;0,$DR$49=$DU$49),1,0)+IF(AND(LEN($DS$49)&gt;0,$DS$49=$DT$49),1,0)+IF(AND(LEN($DS$49)&gt;0,$DS$49=$DU$49),1,0)+IF(AND(LEN($DT$49)&gt;0,$DT$49=$DU$49),1,0))&gt;0,"Fraqueza repetida",IF(AND(LEN($CC$18)&gt;0,COUNTIF($BY$18:$CB$18,$CC$18)&gt;0),"Resistência igual a uma Fraqueza",IF(AND($BN$18="Comum",(IF(LEN($DR$49)&gt;0,1,0)+IF(LEN($DS$49)&gt;0,1,0)+IF(LEN($DT$49)&gt;0,1,0)+IF(LEN($DU$49)&gt;0,1,0))&gt;2),"Comum tem 1 a 2 Fraquezas (20.2)",IF(AND($BN$18="Elite",(IF(LEN($DR$49)&gt;0,1,0)+IF(LEN($DS$49)&gt;0,1,0)+IF(LEN($DT$49)&gt;0,1,0)+IF(LEN($DU$49)&gt;0,1,0))&gt;3),"Elite tem 3 Fraquezas (20.2)",IF(AND(LEN($CC$18)&gt;0,COUNTIF('Grupo'!$T$7:$T$12,$CC$18)&gt;=2),"Nunca aponte uma Resistência para o Elemento de dois personagens (27.5)","")))))))</f>
        <v/>
      </c>
      <c r="N49" s="2">
        <f>'Dados'!$B$118</f>
        <v/>
      </c>
      <c r="O49" s="2">
        <f>'Dados'!$C$118</f>
        <v/>
      </c>
      <c r="P49" s="2">
        <f>'Dados'!$D$118</f>
        <v/>
      </c>
      <c r="Q49" s="2">
        <f>'Dados'!$G$118</f>
        <v/>
      </c>
      <c r="R49" s="2">
        <f>'Dados'!$H$118</f>
        <v/>
      </c>
      <c r="S49" s="2">
        <f>'Dados'!$I$118</f>
        <v/>
      </c>
      <c r="T49" s="2">
        <f>'Dados'!$J$118</f>
        <v/>
      </c>
      <c r="U49" s="2">
        <f>'Dados'!$K$118</f>
        <v/>
      </c>
      <c r="V49" s="2">
        <f>'Dados'!$L$118</f>
        <v/>
      </c>
      <c r="W49" s="2">
        <f>'Dados'!$M$118</f>
        <v/>
      </c>
      <c r="X49" s="2">
        <f>'Dados'!$N$118</f>
        <v/>
      </c>
      <c r="Y49" s="2">
        <f>'Dados'!$O$118</f>
        <v/>
      </c>
      <c r="Z49" s="2">
        <f>'Dados'!$P$118</f>
        <v/>
      </c>
      <c r="AA49" s="2">
        <f>'Dados'!$Q$118&amp;""</f>
        <v/>
      </c>
      <c r="AB49" s="2">
        <f>'Dados'!$R$118&amp;""</f>
        <v/>
      </c>
      <c r="AC49" s="2">
        <f>'Dados'!$S$118&amp;""</f>
        <v/>
      </c>
      <c r="AD49" s="2">
        <f>'Dados'!$T$118&amp;""</f>
        <v/>
      </c>
      <c r="AE49" s="2">
        <f>'Dados'!$U$118&amp;""</f>
        <v/>
      </c>
      <c r="AF49" s="2">
        <f>'Dados'!$V$118&amp;""</f>
        <v/>
      </c>
      <c r="AG49" s="2">
        <f>'Dados'!$F$118</f>
        <v/>
      </c>
      <c r="AH49" s="2">
        <f>'Dados'!$Z$118</f>
        <v/>
      </c>
      <c r="AI49" s="2">
        <f>'Dados'!$AA$118</f>
        <v/>
      </c>
      <c r="AJ49" s="2">
        <f>'Dados'!$W$118</f>
        <v/>
      </c>
      <c r="AK49" s="2">
        <f>""</f>
        <v/>
      </c>
      <c r="AL49" s="2">
        <f>""</f>
        <v/>
      </c>
      <c r="AM49" s="2">
        <f>""</f>
        <v/>
      </c>
      <c r="AN49" s="2">
        <f>""</f>
        <v/>
      </c>
      <c r="AO49" s="2">
        <f>""</f>
        <v/>
      </c>
      <c r="AP49" s="2">
        <f>""</f>
        <v/>
      </c>
      <c r="AQ49" s="2">
        <f>""</f>
        <v/>
      </c>
      <c r="AR49" s="2">
        <f>""</f>
        <v/>
      </c>
      <c r="AS49" s="2">
        <f>""</f>
        <v/>
      </c>
      <c r="AT49" s="2">
        <f>""</f>
        <v/>
      </c>
      <c r="AU49" s="2">
        <f>""</f>
        <v/>
      </c>
      <c r="AV49" s="2">
        <f>""</f>
        <v/>
      </c>
      <c r="AW49" s="2">
        <f>'Dados'!$AF$118&amp;""</f>
        <v/>
      </c>
      <c r="AX49" s="2">
        <f>IF(ISNUMBER('Dados'!$AG$118),IF('Dados'!$AG$118&gt;0,'Dados'!$AG$118,""),"")</f>
        <v/>
      </c>
      <c r="AY49" s="2">
        <f>'Dados'!$AH$118&amp;""</f>
        <v/>
      </c>
      <c r="AZ49" s="2">
        <f>IF(ISNUMBER('Dados'!$AI$118),IF('Dados'!$AI$118&gt;0,'Dados'!$AI$118,""),"")</f>
        <v/>
      </c>
      <c r="BA49" s="2">
        <f>'Dados'!$AJ$118&amp;""</f>
        <v/>
      </c>
      <c r="BB49" s="2">
        <f>IF(ISNUMBER('Dados'!$AK$118),IF('Dados'!$AK$118&gt;0,'Dados'!$AK$118,""),"")</f>
        <v/>
      </c>
      <c r="BC49" s="2">
        <f>'Dados'!$E$118&amp;""</f>
        <v/>
      </c>
      <c r="BD49" s="2">
        <f>'Dados'!$AD$118&amp;""</f>
        <v/>
      </c>
      <c r="BE49" s="2">
        <f>INDEX('Dados'!$F$7:$F$11,'Dados'!$AB$118)</f>
        <v/>
      </c>
      <c r="BF49" s="2">
        <f>'Dados'!$AB$118</f>
        <v/>
      </c>
      <c r="BG49" s="2">
        <f>'Dados'!$AE$118</f>
        <v/>
      </c>
      <c r="BH49" s="2">
        <f>"Bestiário"</f>
        <v/>
      </c>
      <c r="DR49" s="2">
        <f>IF(ISERROR($B$49),"",IF(ISBLANK($B$49),"",$B$49))</f>
        <v/>
      </c>
      <c r="DS49" s="2">
        <f>IF(ISERROR($C$49),"",IF(ISBLANK($C$49),"",$C$49))</f>
        <v/>
      </c>
      <c r="DT49" s="2">
        <f>IF(ISERROR($D$49),"",IF(ISBLANK($D$49),"",$D$49))</f>
        <v/>
      </c>
      <c r="DU49" s="2">
        <f>IF(ISERROR($E$49),"",IF(ISBLANK($E$49),"",$E$49))</f>
        <v/>
      </c>
      <c r="DV49" s="2">
        <f>IF(ISERROR($F$49),"",IF(ISBLANK($F$49),"",$F$49))</f>
        <v/>
      </c>
      <c r="EA49" s="2">
        <f>ISERROR($B$49)*1+ISERROR($C$49)*1+ISERROR($D$49)*1+ISERROR($E$49)*1+ISERROR($F$49)*1</f>
        <v/>
      </c>
    </row>
    <row r="50" ht="26" customHeight="1">
      <c r="A50" s="31">
        <f>IF(LEN($DQ$19)&gt;0,"9 · "&amp;$DQ$19,"9 · (vazio)")</f>
        <v/>
      </c>
      <c r="B50" s="34" t="n"/>
      <c r="C50" s="34" t="n"/>
      <c r="D50" s="34" t="n"/>
      <c r="E50" s="34" t="n"/>
      <c r="F50" s="34" t="n"/>
      <c r="G50" s="5">
        <f>IF(LEN($DQ$19)=0,"",$BY$19&amp;IF(LEN($BZ$19)&gt;0,", "&amp;$BZ$19,"")&amp;IF(LEN($CA$19)&gt;0,", "&amp;$CA$19,"")&amp;IF(LEN($CB$19)&gt;0,", "&amp;$CB$19,"")&amp;IF(AND($BX$19=1,$BL$19=0)," (sugeridas)",IF(AND($BX$19=1,$BL$19=1)," (da base)","")))</f>
        <v/>
      </c>
      <c r="K50" s="19">
        <f>IF(EA50&gt;0,"O Google leu como fórmula: escolha de novo na lista.",IF(LEN($DQ$19)=0,"",IF((IF(AND(LEN($DR$50)&gt;0,$DR$50=$DS$50),1,0)+IF(AND(LEN($DR$50)&gt;0,$DR$50=$DT$50),1,0)+IF(AND(LEN($DR$50)&gt;0,$DR$50=$DU$50),1,0)+IF(AND(LEN($DS$50)&gt;0,$DS$50=$DT$50),1,0)+IF(AND(LEN($DS$50)&gt;0,$DS$50=$DU$50),1,0)+IF(AND(LEN($DT$50)&gt;0,$DT$50=$DU$50),1,0))&gt;0,"Fraqueza repetida",IF(AND(LEN($CC$19)&gt;0,COUNTIF($BY$19:$CB$19,$CC$19)&gt;0),"Resistência igual a uma Fraqueza",IF(AND($BN$19="Comum",(IF(LEN($DR$50)&gt;0,1,0)+IF(LEN($DS$50)&gt;0,1,0)+IF(LEN($DT$50)&gt;0,1,0)+IF(LEN($DU$50)&gt;0,1,0))&gt;2),"Comum tem 1 a 2 Fraquezas (20.2)",IF(AND($BN$19="Elite",(IF(LEN($DR$50)&gt;0,1,0)+IF(LEN($DS$50)&gt;0,1,0)+IF(LEN($DT$50)&gt;0,1,0)+IF(LEN($DU$50)&gt;0,1,0))&gt;3),"Elite tem 3 Fraquezas (20.2)",IF(AND(LEN($CC$19)&gt;0,COUNTIF('Grupo'!$T$7:$T$12,$CC$19)&gt;=2),"Nunca aponte uma Resistência para o Elemento de dois personagens (27.5)","")))))))</f>
        <v/>
      </c>
      <c r="N50" s="2">
        <f>'Dados'!$B$119</f>
        <v/>
      </c>
      <c r="O50" s="2">
        <f>'Dados'!$C$119</f>
        <v/>
      </c>
      <c r="P50" s="2">
        <f>'Dados'!$D$119</f>
        <v/>
      </c>
      <c r="Q50" s="2">
        <f>'Dados'!$G$119</f>
        <v/>
      </c>
      <c r="R50" s="2">
        <f>'Dados'!$H$119</f>
        <v/>
      </c>
      <c r="S50" s="2">
        <f>'Dados'!$I$119</f>
        <v/>
      </c>
      <c r="T50" s="2">
        <f>'Dados'!$J$119</f>
        <v/>
      </c>
      <c r="U50" s="2">
        <f>'Dados'!$K$119</f>
        <v/>
      </c>
      <c r="V50" s="2">
        <f>'Dados'!$L$119</f>
        <v/>
      </c>
      <c r="W50" s="2">
        <f>'Dados'!$M$119</f>
        <v/>
      </c>
      <c r="X50" s="2">
        <f>'Dados'!$N$119</f>
        <v/>
      </c>
      <c r="Y50" s="2">
        <f>'Dados'!$O$119</f>
        <v/>
      </c>
      <c r="Z50" s="2">
        <f>'Dados'!$P$119</f>
        <v/>
      </c>
      <c r="AA50" s="2">
        <f>'Dados'!$Q$119&amp;""</f>
        <v/>
      </c>
      <c r="AB50" s="2">
        <f>'Dados'!$R$119&amp;""</f>
        <v/>
      </c>
      <c r="AC50" s="2">
        <f>'Dados'!$S$119&amp;""</f>
        <v/>
      </c>
      <c r="AD50" s="2">
        <f>'Dados'!$T$119&amp;""</f>
        <v/>
      </c>
      <c r="AE50" s="2">
        <f>'Dados'!$U$119&amp;""</f>
        <v/>
      </c>
      <c r="AF50" s="2">
        <f>'Dados'!$V$119&amp;""</f>
        <v/>
      </c>
      <c r="AG50" s="2">
        <f>'Dados'!$F$119</f>
        <v/>
      </c>
      <c r="AH50" s="2">
        <f>'Dados'!$Z$119</f>
        <v/>
      </c>
      <c r="AI50" s="2">
        <f>'Dados'!$AA$119</f>
        <v/>
      </c>
      <c r="AJ50" s="2">
        <f>'Dados'!$W$119</f>
        <v/>
      </c>
      <c r="AK50" s="2">
        <f>""</f>
        <v/>
      </c>
      <c r="AL50" s="2">
        <f>""</f>
        <v/>
      </c>
      <c r="AM50" s="2">
        <f>""</f>
        <v/>
      </c>
      <c r="AN50" s="2">
        <f>""</f>
        <v/>
      </c>
      <c r="AO50" s="2">
        <f>""</f>
        <v/>
      </c>
      <c r="AP50" s="2">
        <f>""</f>
        <v/>
      </c>
      <c r="AQ50" s="2">
        <f>""</f>
        <v/>
      </c>
      <c r="AR50" s="2">
        <f>""</f>
        <v/>
      </c>
      <c r="AS50" s="2">
        <f>""</f>
        <v/>
      </c>
      <c r="AT50" s="2">
        <f>""</f>
        <v/>
      </c>
      <c r="AU50" s="2">
        <f>""</f>
        <v/>
      </c>
      <c r="AV50" s="2">
        <f>""</f>
        <v/>
      </c>
      <c r="AW50" s="2">
        <f>'Dados'!$AF$119&amp;""</f>
        <v/>
      </c>
      <c r="AX50" s="2">
        <f>IF(ISNUMBER('Dados'!$AG$119),IF('Dados'!$AG$119&gt;0,'Dados'!$AG$119,""),"")</f>
        <v/>
      </c>
      <c r="AY50" s="2">
        <f>'Dados'!$AH$119&amp;""</f>
        <v/>
      </c>
      <c r="AZ50" s="2">
        <f>IF(ISNUMBER('Dados'!$AI$119),IF('Dados'!$AI$119&gt;0,'Dados'!$AI$119,""),"")</f>
        <v/>
      </c>
      <c r="BA50" s="2">
        <f>'Dados'!$AJ$119&amp;""</f>
        <v/>
      </c>
      <c r="BB50" s="2">
        <f>IF(ISNUMBER('Dados'!$AK$119),IF('Dados'!$AK$119&gt;0,'Dados'!$AK$119,""),"")</f>
        <v/>
      </c>
      <c r="BC50" s="2">
        <f>'Dados'!$E$119&amp;""</f>
        <v/>
      </c>
      <c r="BD50" s="2">
        <f>'Dados'!$AD$119&amp;""</f>
        <v/>
      </c>
      <c r="BE50" s="2">
        <f>INDEX('Dados'!$F$7:$F$11,'Dados'!$AB$119)</f>
        <v/>
      </c>
      <c r="BF50" s="2">
        <f>'Dados'!$AB$119</f>
        <v/>
      </c>
      <c r="BG50" s="2">
        <f>'Dados'!$AE$119</f>
        <v/>
      </c>
      <c r="BH50" s="2">
        <f>"Bestiário"</f>
        <v/>
      </c>
      <c r="DR50" s="2">
        <f>IF(ISERROR($B$50),"",IF(ISBLANK($B$50),"",$B$50))</f>
        <v/>
      </c>
      <c r="DS50" s="2">
        <f>IF(ISERROR($C$50),"",IF(ISBLANK($C$50),"",$C$50))</f>
        <v/>
      </c>
      <c r="DT50" s="2">
        <f>IF(ISERROR($D$50),"",IF(ISBLANK($D$50),"",$D$50))</f>
        <v/>
      </c>
      <c r="DU50" s="2">
        <f>IF(ISERROR($E$50),"",IF(ISBLANK($E$50),"",$E$50))</f>
        <v/>
      </c>
      <c r="DV50" s="2">
        <f>IF(ISERROR($F$50),"",IF(ISBLANK($F$50),"",$F$50))</f>
        <v/>
      </c>
      <c r="EA50" s="2">
        <f>ISERROR($B$50)*1+ISERROR($C$50)*1+ISERROR($D$50)*1+ISERROR($E$50)*1+ISERROR($F$50)*1</f>
        <v/>
      </c>
    </row>
    <row r="51" ht="37" customHeight="1">
      <c r="A51" s="43">
        <f>IF(LEN($DQ$20)&gt;0,"10 · "&amp;$DQ$20,"10 · (vazio)")</f>
        <v/>
      </c>
      <c r="B51" s="36" t="n"/>
      <c r="C51" s="36" t="n"/>
      <c r="D51" s="36" t="n"/>
      <c r="E51" s="36" t="n"/>
      <c r="F51" s="36" t="n"/>
      <c r="G51" s="10">
        <f>IF(LEN($DQ$20)=0,"",$BY$20&amp;IF(LEN($BZ$20)&gt;0,", "&amp;$BZ$20,"")&amp;IF(LEN($CA$20)&gt;0,", "&amp;$CA$20,"")&amp;IF(LEN($CB$20)&gt;0,", "&amp;$CB$20,"")&amp;IF(AND($BX$20=1,$BL$20=0)," (sugeridas)",IF(AND($BX$20=1,$BL$20=1)," (da base)","")))</f>
        <v/>
      </c>
      <c r="K51" s="27">
        <f>IF(EA51&gt;0,"O Google leu como fórmula: escolha de novo na lista.",IF(LEN($DQ$20)=0,"",IF((IF(AND(LEN($DR$51)&gt;0,$DR$51=$DS$51),1,0)+IF(AND(LEN($DR$51)&gt;0,$DR$51=$DT$51),1,0)+IF(AND(LEN($DR$51)&gt;0,$DR$51=$DU$51),1,0)+IF(AND(LEN($DS$51)&gt;0,$DS$51=$DT$51),1,0)+IF(AND(LEN($DS$51)&gt;0,$DS$51=$DU$51),1,0)+IF(AND(LEN($DT$51)&gt;0,$DT$51=$DU$51),1,0))&gt;0,"Fraqueza repetida",IF(AND(LEN($CC$20)&gt;0,COUNTIF($BY$20:$CB$20,$CC$20)&gt;0),"Resistência igual a uma Fraqueza",IF(AND($BN$20="Comum",(IF(LEN($DR$51)&gt;0,1,0)+IF(LEN($DS$51)&gt;0,1,0)+IF(LEN($DT$51)&gt;0,1,0)+IF(LEN($DU$51)&gt;0,1,0))&gt;2),"Comum tem 1 a 2 Fraquezas (20.2)",IF(AND($BN$20="Elite",(IF(LEN($DR$51)&gt;0,1,0)+IF(LEN($DS$51)&gt;0,1,0)+IF(LEN($DT$51)&gt;0,1,0)+IF(LEN($DU$51)&gt;0,1,0))&gt;3),"Elite tem 3 Fraquezas (20.2)",IF(AND(LEN($CC$20)&gt;0,COUNTIF('Grupo'!$T$7:$T$12,$CC$20)&gt;=2),"Nunca aponte uma Resistência para o Elemento de dois personagens (27.5)","")))))))</f>
        <v/>
      </c>
      <c r="N51" s="2">
        <f>'Dados'!$B$120</f>
        <v/>
      </c>
      <c r="O51" s="2">
        <f>'Dados'!$C$120</f>
        <v/>
      </c>
      <c r="P51" s="2">
        <f>'Dados'!$D$120</f>
        <v/>
      </c>
      <c r="Q51" s="2">
        <f>'Dados'!$G$120</f>
        <v/>
      </c>
      <c r="R51" s="2">
        <f>'Dados'!$H$120</f>
        <v/>
      </c>
      <c r="S51" s="2">
        <f>'Dados'!$I$120</f>
        <v/>
      </c>
      <c r="T51" s="2">
        <f>'Dados'!$J$120</f>
        <v/>
      </c>
      <c r="U51" s="2">
        <f>'Dados'!$K$120</f>
        <v/>
      </c>
      <c r="V51" s="2">
        <f>'Dados'!$L$120</f>
        <v/>
      </c>
      <c r="W51" s="2">
        <f>'Dados'!$M$120</f>
        <v/>
      </c>
      <c r="X51" s="2">
        <f>'Dados'!$N$120</f>
        <v/>
      </c>
      <c r="Y51" s="2">
        <f>'Dados'!$O$120</f>
        <v/>
      </c>
      <c r="Z51" s="2">
        <f>'Dados'!$P$120</f>
        <v/>
      </c>
      <c r="AA51" s="2">
        <f>'Dados'!$Q$120&amp;""</f>
        <v/>
      </c>
      <c r="AB51" s="2">
        <f>'Dados'!$R$120&amp;""</f>
        <v/>
      </c>
      <c r="AC51" s="2">
        <f>'Dados'!$S$120&amp;""</f>
        <v/>
      </c>
      <c r="AD51" s="2">
        <f>'Dados'!$T$120&amp;""</f>
        <v/>
      </c>
      <c r="AE51" s="2">
        <f>'Dados'!$U$120&amp;""</f>
        <v/>
      </c>
      <c r="AF51" s="2">
        <f>'Dados'!$V$120&amp;""</f>
        <v/>
      </c>
      <c r="AG51" s="2">
        <f>'Dados'!$F$120</f>
        <v/>
      </c>
      <c r="AH51" s="2">
        <f>'Dados'!$Z$120</f>
        <v/>
      </c>
      <c r="AI51" s="2">
        <f>'Dados'!$AA$120</f>
        <v/>
      </c>
      <c r="AJ51" s="2">
        <f>'Dados'!$W$120</f>
        <v/>
      </c>
      <c r="AK51" s="2">
        <f>""</f>
        <v/>
      </c>
      <c r="AL51" s="2">
        <f>""</f>
        <v/>
      </c>
      <c r="AM51" s="2">
        <f>""</f>
        <v/>
      </c>
      <c r="AN51" s="2">
        <f>""</f>
        <v/>
      </c>
      <c r="AO51" s="2">
        <f>""</f>
        <v/>
      </c>
      <c r="AP51" s="2">
        <f>""</f>
        <v/>
      </c>
      <c r="AQ51" s="2">
        <f>""</f>
        <v/>
      </c>
      <c r="AR51" s="2">
        <f>""</f>
        <v/>
      </c>
      <c r="AS51" s="2">
        <f>""</f>
        <v/>
      </c>
      <c r="AT51" s="2">
        <f>""</f>
        <v/>
      </c>
      <c r="AU51" s="2">
        <f>""</f>
        <v/>
      </c>
      <c r="AV51" s="2">
        <f>""</f>
        <v/>
      </c>
      <c r="AW51" s="2">
        <f>'Dados'!$AF$120&amp;""</f>
        <v/>
      </c>
      <c r="AX51" s="2">
        <f>IF(ISNUMBER('Dados'!$AG$120),IF('Dados'!$AG$120&gt;0,'Dados'!$AG$120,""),"")</f>
        <v/>
      </c>
      <c r="AY51" s="2">
        <f>'Dados'!$AH$120&amp;""</f>
        <v/>
      </c>
      <c r="AZ51" s="2">
        <f>IF(ISNUMBER('Dados'!$AI$120),IF('Dados'!$AI$120&gt;0,'Dados'!$AI$120,""),"")</f>
        <v/>
      </c>
      <c r="BA51" s="2">
        <f>'Dados'!$AJ$120&amp;""</f>
        <v/>
      </c>
      <c r="BB51" s="2">
        <f>IF(ISNUMBER('Dados'!$AK$120),IF('Dados'!$AK$120&gt;0,'Dados'!$AK$120,""),"")</f>
        <v/>
      </c>
      <c r="BC51" s="2">
        <f>'Dados'!$E$120&amp;""</f>
        <v/>
      </c>
      <c r="BD51" s="2">
        <f>'Dados'!$AD$120&amp;""</f>
        <v/>
      </c>
      <c r="BE51" s="2">
        <f>INDEX('Dados'!$F$7:$F$11,'Dados'!$AB$120)</f>
        <v/>
      </c>
      <c r="BF51" s="2">
        <f>'Dados'!$AB$120</f>
        <v/>
      </c>
      <c r="BG51" s="2">
        <f>'Dados'!$AE$120</f>
        <v/>
      </c>
      <c r="BH51" s="2">
        <f>"Bestiário"</f>
        <v/>
      </c>
      <c r="DR51" s="2">
        <f>IF(ISERROR($B$51),"",IF(ISBLANK($B$51),"",$B$51))</f>
        <v/>
      </c>
      <c r="DS51" s="2">
        <f>IF(ISERROR($C$51),"",IF(ISBLANK($C$51),"",$C$51))</f>
        <v/>
      </c>
      <c r="DT51" s="2">
        <f>IF(ISERROR($D$51),"",IF(ISBLANK($D$51),"",$D$51))</f>
        <v/>
      </c>
      <c r="DU51" s="2">
        <f>IF(ISERROR($E$51),"",IF(ISBLANK($E$51),"",$E$51))</f>
        <v/>
      </c>
      <c r="DV51" s="2">
        <f>IF(ISERROR($F$51),"",IF(ISBLANK($F$51),"",$F$51))</f>
        <v/>
      </c>
      <c r="EA51" s="2">
        <f>ISERROR($B$51)*1+ISERROR($C$51)*1+ISERROR($D$51)*1+ISERROR($E$51)*1+ISERROR($F$51)*1</f>
        <v/>
      </c>
    </row>
    <row r="52" ht="26" customHeight="1">
      <c r="A52" s="31">
        <f>IF(LEN($DQ$21)&gt;0,"11 · "&amp;$DQ$21,"11 · (vazio)")</f>
        <v/>
      </c>
      <c r="B52" s="34" t="n"/>
      <c r="C52" s="34" t="n"/>
      <c r="D52" s="34" t="n"/>
      <c r="E52" s="34" t="n"/>
      <c r="F52" s="34" t="n"/>
      <c r="G52" s="5">
        <f>IF(LEN($DQ$21)=0,"",$BY$21&amp;IF(LEN($BZ$21)&gt;0,", "&amp;$BZ$21,"")&amp;IF(LEN($CA$21)&gt;0,", "&amp;$CA$21,"")&amp;IF(LEN($CB$21)&gt;0,", "&amp;$CB$21,"")&amp;IF(AND($BX$21=1,$BL$21=0)," (sugeridas)",IF(AND($BX$21=1,$BL$21=1)," (da base)","")))</f>
        <v/>
      </c>
      <c r="K52" s="19">
        <f>IF(EA52&gt;0,"O Google leu como fórmula: escolha de novo na lista.",IF(LEN($DQ$21)=0,"",IF((IF(AND(LEN($DR$52)&gt;0,$DR$52=$DS$52),1,0)+IF(AND(LEN($DR$52)&gt;0,$DR$52=$DT$52),1,0)+IF(AND(LEN($DR$52)&gt;0,$DR$52=$DU$52),1,0)+IF(AND(LEN($DS$52)&gt;0,$DS$52=$DT$52),1,0)+IF(AND(LEN($DS$52)&gt;0,$DS$52=$DU$52),1,0)+IF(AND(LEN($DT$52)&gt;0,$DT$52=$DU$52),1,0))&gt;0,"Fraqueza repetida",IF(AND(LEN($CC$21)&gt;0,COUNTIF($BY$21:$CB$21,$CC$21)&gt;0),"Resistência igual a uma Fraqueza",IF(AND($BN$21="Comum",(IF(LEN($DR$52)&gt;0,1,0)+IF(LEN($DS$52)&gt;0,1,0)+IF(LEN($DT$52)&gt;0,1,0)+IF(LEN($DU$52)&gt;0,1,0))&gt;2),"Comum tem 1 a 2 Fraquezas (20.2)",IF(AND($BN$21="Elite",(IF(LEN($DR$52)&gt;0,1,0)+IF(LEN($DS$52)&gt;0,1,0)+IF(LEN($DT$52)&gt;0,1,0)+IF(LEN($DU$52)&gt;0,1,0))&gt;3),"Elite tem 3 Fraquezas (20.2)",IF(AND(LEN($CC$21)&gt;0,COUNTIF('Grupo'!$T$7:$T$12,$CC$21)&gt;=2),"Nunca aponte uma Resistência para o Elemento de dois personagens (27.5)","")))))))</f>
        <v/>
      </c>
      <c r="N52" s="2">
        <f>'Dados'!$B$121</f>
        <v/>
      </c>
      <c r="O52" s="2">
        <f>'Dados'!$C$121</f>
        <v/>
      </c>
      <c r="P52" s="2">
        <f>'Dados'!$D$121</f>
        <v/>
      </c>
      <c r="Q52" s="2">
        <f>'Dados'!$G$121</f>
        <v/>
      </c>
      <c r="R52" s="2">
        <f>'Dados'!$H$121</f>
        <v/>
      </c>
      <c r="S52" s="2">
        <f>'Dados'!$I$121</f>
        <v/>
      </c>
      <c r="T52" s="2">
        <f>'Dados'!$J$121</f>
        <v/>
      </c>
      <c r="U52" s="2">
        <f>'Dados'!$K$121</f>
        <v/>
      </c>
      <c r="V52" s="2">
        <f>'Dados'!$L$121</f>
        <v/>
      </c>
      <c r="W52" s="2">
        <f>'Dados'!$M$121</f>
        <v/>
      </c>
      <c r="X52" s="2">
        <f>'Dados'!$N$121</f>
        <v/>
      </c>
      <c r="Y52" s="2">
        <f>'Dados'!$O$121</f>
        <v/>
      </c>
      <c r="Z52" s="2">
        <f>'Dados'!$P$121</f>
        <v/>
      </c>
      <c r="AA52" s="2">
        <f>'Dados'!$Q$121&amp;""</f>
        <v/>
      </c>
      <c r="AB52" s="2">
        <f>'Dados'!$R$121&amp;""</f>
        <v/>
      </c>
      <c r="AC52" s="2">
        <f>'Dados'!$S$121&amp;""</f>
        <v/>
      </c>
      <c r="AD52" s="2">
        <f>'Dados'!$T$121&amp;""</f>
        <v/>
      </c>
      <c r="AE52" s="2">
        <f>'Dados'!$U$121&amp;""</f>
        <v/>
      </c>
      <c r="AF52" s="2">
        <f>'Dados'!$V$121&amp;""</f>
        <v/>
      </c>
      <c r="AG52" s="2">
        <f>'Dados'!$F$121</f>
        <v/>
      </c>
      <c r="AH52" s="2">
        <f>'Dados'!$Z$121</f>
        <v/>
      </c>
      <c r="AI52" s="2">
        <f>'Dados'!$AA$121</f>
        <v/>
      </c>
      <c r="AJ52" s="2">
        <f>'Dados'!$W$121</f>
        <v/>
      </c>
      <c r="AK52" s="2">
        <f>""</f>
        <v/>
      </c>
      <c r="AL52" s="2">
        <f>""</f>
        <v/>
      </c>
      <c r="AM52" s="2">
        <f>""</f>
        <v/>
      </c>
      <c r="AN52" s="2">
        <f>""</f>
        <v/>
      </c>
      <c r="AO52" s="2">
        <f>""</f>
        <v/>
      </c>
      <c r="AP52" s="2">
        <f>""</f>
        <v/>
      </c>
      <c r="AQ52" s="2">
        <f>""</f>
        <v/>
      </c>
      <c r="AR52" s="2">
        <f>""</f>
        <v/>
      </c>
      <c r="AS52" s="2">
        <f>""</f>
        <v/>
      </c>
      <c r="AT52" s="2">
        <f>""</f>
        <v/>
      </c>
      <c r="AU52" s="2">
        <f>""</f>
        <v/>
      </c>
      <c r="AV52" s="2">
        <f>""</f>
        <v/>
      </c>
      <c r="AW52" s="2">
        <f>'Dados'!$AF$121&amp;""</f>
        <v/>
      </c>
      <c r="AX52" s="2">
        <f>IF(ISNUMBER('Dados'!$AG$121),IF('Dados'!$AG$121&gt;0,'Dados'!$AG$121,""),"")</f>
        <v/>
      </c>
      <c r="AY52" s="2">
        <f>'Dados'!$AH$121&amp;""</f>
        <v/>
      </c>
      <c r="AZ52" s="2">
        <f>IF(ISNUMBER('Dados'!$AI$121),IF('Dados'!$AI$121&gt;0,'Dados'!$AI$121,""),"")</f>
        <v/>
      </c>
      <c r="BA52" s="2">
        <f>'Dados'!$AJ$121&amp;""</f>
        <v/>
      </c>
      <c r="BB52" s="2">
        <f>IF(ISNUMBER('Dados'!$AK$121),IF('Dados'!$AK$121&gt;0,'Dados'!$AK$121,""),"")</f>
        <v/>
      </c>
      <c r="BC52" s="2">
        <f>'Dados'!$E$121&amp;""</f>
        <v/>
      </c>
      <c r="BD52" s="2">
        <f>'Dados'!$AD$121&amp;""</f>
        <v/>
      </c>
      <c r="BE52" s="2">
        <f>INDEX('Dados'!$F$7:$F$11,'Dados'!$AB$121)</f>
        <v/>
      </c>
      <c r="BF52" s="2">
        <f>'Dados'!$AB$121</f>
        <v/>
      </c>
      <c r="BG52" s="2">
        <f>'Dados'!$AE$121</f>
        <v/>
      </c>
      <c r="BH52" s="2">
        <f>"Bestiário"</f>
        <v/>
      </c>
      <c r="DR52" s="2">
        <f>IF(ISERROR($B$52),"",IF(ISBLANK($B$52),"",$B$52))</f>
        <v/>
      </c>
      <c r="DS52" s="2">
        <f>IF(ISERROR($C$52),"",IF(ISBLANK($C$52),"",$C$52))</f>
        <v/>
      </c>
      <c r="DT52" s="2">
        <f>IF(ISERROR($D$52),"",IF(ISBLANK($D$52),"",$D$52))</f>
        <v/>
      </c>
      <c r="DU52" s="2">
        <f>IF(ISERROR($E$52),"",IF(ISBLANK($E$52),"",$E$52))</f>
        <v/>
      </c>
      <c r="DV52" s="2">
        <f>IF(ISERROR($F$52),"",IF(ISBLANK($F$52),"",$F$52))</f>
        <v/>
      </c>
      <c r="EA52" s="2">
        <f>ISERROR($B$52)*1+ISERROR($C$52)*1+ISERROR($D$52)*1+ISERROR($E$52)*1+ISERROR($F$52)*1</f>
        <v/>
      </c>
    </row>
    <row r="53" ht="26" customHeight="1">
      <c r="A53" s="43">
        <f>IF(LEN($DQ$22)&gt;0,"12 · "&amp;$DQ$22,"12 · (vazio)")</f>
        <v/>
      </c>
      <c r="B53" s="36" t="n"/>
      <c r="C53" s="36" t="n"/>
      <c r="D53" s="36" t="n"/>
      <c r="E53" s="36" t="n"/>
      <c r="F53" s="36" t="n"/>
      <c r="G53" s="10">
        <f>IF(LEN($DQ$22)=0,"",$BY$22&amp;IF(LEN($BZ$22)&gt;0,", "&amp;$BZ$22,"")&amp;IF(LEN($CA$22)&gt;0,", "&amp;$CA$22,"")&amp;IF(LEN($CB$22)&gt;0,", "&amp;$CB$22,"")&amp;IF(AND($BX$22=1,$BL$22=0)," (sugeridas)",IF(AND($BX$22=1,$BL$22=1)," (da base)","")))</f>
        <v/>
      </c>
      <c r="K53" s="27">
        <f>IF(EA53&gt;0,"O Google leu como fórmula: escolha de novo na lista.",IF(LEN($DQ$22)=0,"",IF((IF(AND(LEN($DR$53)&gt;0,$DR$53=$DS$53),1,0)+IF(AND(LEN($DR$53)&gt;0,$DR$53=$DT$53),1,0)+IF(AND(LEN($DR$53)&gt;0,$DR$53=$DU$53),1,0)+IF(AND(LEN($DS$53)&gt;0,$DS$53=$DT$53),1,0)+IF(AND(LEN($DS$53)&gt;0,$DS$53=$DU$53),1,0)+IF(AND(LEN($DT$53)&gt;0,$DT$53=$DU$53),1,0))&gt;0,"Fraqueza repetida",IF(AND(LEN($CC$22)&gt;0,COUNTIF($BY$22:$CB$22,$CC$22)&gt;0),"Resistência igual a uma Fraqueza",IF(AND($BN$22="Comum",(IF(LEN($DR$53)&gt;0,1,0)+IF(LEN($DS$53)&gt;0,1,0)+IF(LEN($DT$53)&gt;0,1,0)+IF(LEN($DU$53)&gt;0,1,0))&gt;2),"Comum tem 1 a 2 Fraquezas (20.2)",IF(AND($BN$22="Elite",(IF(LEN($DR$53)&gt;0,1,0)+IF(LEN($DS$53)&gt;0,1,0)+IF(LEN($DT$53)&gt;0,1,0)+IF(LEN($DU$53)&gt;0,1,0))&gt;3),"Elite tem 3 Fraquezas (20.2)",IF(AND(LEN($CC$22)&gt;0,COUNTIF('Grupo'!$T$7:$T$12,$CC$22)&gt;=2),"Nunca aponte uma Resistência para o Elemento de dois personagens (27.5)","")))))))</f>
        <v/>
      </c>
      <c r="N53" s="2">
        <f>'Dados'!$B$122</f>
        <v/>
      </c>
      <c r="O53" s="2">
        <f>'Dados'!$C$122</f>
        <v/>
      </c>
      <c r="P53" s="2">
        <f>'Dados'!$D$122</f>
        <v/>
      </c>
      <c r="Q53" s="2">
        <f>'Dados'!$G$122</f>
        <v/>
      </c>
      <c r="R53" s="2">
        <f>'Dados'!$H$122</f>
        <v/>
      </c>
      <c r="S53" s="2">
        <f>'Dados'!$I$122</f>
        <v/>
      </c>
      <c r="T53" s="2">
        <f>'Dados'!$J$122</f>
        <v/>
      </c>
      <c r="U53" s="2">
        <f>'Dados'!$K$122</f>
        <v/>
      </c>
      <c r="V53" s="2">
        <f>'Dados'!$L$122</f>
        <v/>
      </c>
      <c r="W53" s="2">
        <f>'Dados'!$M$122</f>
        <v/>
      </c>
      <c r="X53" s="2">
        <f>'Dados'!$N$122</f>
        <v/>
      </c>
      <c r="Y53" s="2">
        <f>'Dados'!$O$122</f>
        <v/>
      </c>
      <c r="Z53" s="2">
        <f>'Dados'!$P$122</f>
        <v/>
      </c>
      <c r="AA53" s="2">
        <f>'Dados'!$Q$122&amp;""</f>
        <v/>
      </c>
      <c r="AB53" s="2">
        <f>'Dados'!$R$122&amp;""</f>
        <v/>
      </c>
      <c r="AC53" s="2">
        <f>'Dados'!$S$122&amp;""</f>
        <v/>
      </c>
      <c r="AD53" s="2">
        <f>'Dados'!$T$122&amp;""</f>
        <v/>
      </c>
      <c r="AE53" s="2">
        <f>'Dados'!$U$122&amp;""</f>
        <v/>
      </c>
      <c r="AF53" s="2">
        <f>'Dados'!$V$122&amp;""</f>
        <v/>
      </c>
      <c r="AG53" s="2">
        <f>'Dados'!$F$122</f>
        <v/>
      </c>
      <c r="AH53" s="2">
        <f>'Dados'!$Z$122</f>
        <v/>
      </c>
      <c r="AI53" s="2">
        <f>'Dados'!$AA$122</f>
        <v/>
      </c>
      <c r="AJ53" s="2">
        <f>'Dados'!$W$122</f>
        <v/>
      </c>
      <c r="AK53" s="2">
        <f>'Dados'!$E$134</f>
        <v/>
      </c>
      <c r="AL53" s="2">
        <f>'Dados'!$E$135</f>
        <v/>
      </c>
      <c r="AM53" s="2">
        <f>'Dados'!$G$134</f>
        <v/>
      </c>
      <c r="AN53" s="2">
        <f>'Dados'!$H$134</f>
        <v/>
      </c>
      <c r="AO53" s="2">
        <f>'Dados'!$I$134</f>
        <v/>
      </c>
      <c r="AP53" s="2">
        <f>'Dados'!$J$134</f>
        <v/>
      </c>
      <c r="AQ53" s="2">
        <f>'Dados'!$K$134</f>
        <v/>
      </c>
      <c r="AR53" s="2">
        <f>'Dados'!$G$135</f>
        <v/>
      </c>
      <c r="AS53" s="2">
        <f>'Dados'!$H$135</f>
        <v/>
      </c>
      <c r="AT53" s="2">
        <f>'Dados'!$I$135</f>
        <v/>
      </c>
      <c r="AU53" s="2">
        <f>'Dados'!$J$135</f>
        <v/>
      </c>
      <c r="AV53" s="2">
        <f>'Dados'!$K$135</f>
        <v/>
      </c>
      <c r="AW53" s="2">
        <f>'Dados'!$AF$122&amp;""</f>
        <v/>
      </c>
      <c r="AX53" s="2">
        <f>IF(ISNUMBER('Dados'!$AG$122),IF('Dados'!$AG$122&gt;0,'Dados'!$AG$122,""),"")</f>
        <v/>
      </c>
      <c r="AY53" s="2">
        <f>'Dados'!$AH$122&amp;""</f>
        <v/>
      </c>
      <c r="AZ53" s="2">
        <f>IF(ISNUMBER('Dados'!$AI$122),IF('Dados'!$AI$122&gt;0,'Dados'!$AI$122,""),"")</f>
        <v/>
      </c>
      <c r="BA53" s="2">
        <f>'Dados'!$AJ$122&amp;""</f>
        <v/>
      </c>
      <c r="BB53" s="2">
        <f>IF(ISNUMBER('Dados'!$AK$122),IF('Dados'!$AK$122&gt;0,'Dados'!$AK$122,""),"")</f>
        <v/>
      </c>
      <c r="BC53" s="2">
        <f>'Dados'!$E$122&amp;""</f>
        <v/>
      </c>
      <c r="BD53" s="2">
        <f>'Dados'!$AD$122&amp;""</f>
        <v/>
      </c>
      <c r="BE53" s="2">
        <f>INDEX('Dados'!$F$7:$F$11,'Dados'!$AB$122)</f>
        <v/>
      </c>
      <c r="BF53" s="2">
        <f>'Dados'!$AB$122</f>
        <v/>
      </c>
      <c r="BG53" s="2">
        <f>'Dados'!$AE$122</f>
        <v/>
      </c>
      <c r="BH53" s="2">
        <f>"Bestiário"</f>
        <v/>
      </c>
      <c r="DR53" s="2">
        <f>IF(ISERROR($B$53),"",IF(ISBLANK($B$53),"",$B$53))</f>
        <v/>
      </c>
      <c r="DS53" s="2">
        <f>IF(ISERROR($C$53),"",IF(ISBLANK($C$53),"",$C$53))</f>
        <v/>
      </c>
      <c r="DT53" s="2">
        <f>IF(ISERROR($D$53),"",IF(ISBLANK($D$53),"",$D$53))</f>
        <v/>
      </c>
      <c r="DU53" s="2">
        <f>IF(ISERROR($E$53),"",IF(ISBLANK($E$53),"",$E$53))</f>
        <v/>
      </c>
      <c r="DV53" s="2">
        <f>IF(ISERROR($F$53),"",IF(ISBLANK($F$53),"",$F$53))</f>
        <v/>
      </c>
      <c r="EA53" s="2">
        <f>ISERROR($B$53)*1+ISERROR($C$53)*1+ISERROR($D$53)*1+ISERROR($E$53)*1+ISERROR($F$53)*1</f>
        <v/>
      </c>
    </row>
    <row r="54">
      <c r="N54" s="2">
        <f>'Dados'!$B$123</f>
        <v/>
      </c>
      <c r="O54" s="2">
        <f>'Dados'!$C$123</f>
        <v/>
      </c>
      <c r="P54" s="2">
        <f>'Dados'!$D$123</f>
        <v/>
      </c>
      <c r="Q54" s="2">
        <f>'Dados'!$G$123</f>
        <v/>
      </c>
      <c r="R54" s="2">
        <f>'Dados'!$H$123</f>
        <v/>
      </c>
      <c r="S54" s="2">
        <f>'Dados'!$I$123</f>
        <v/>
      </c>
      <c r="T54" s="2">
        <f>'Dados'!$J$123</f>
        <v/>
      </c>
      <c r="U54" s="2">
        <f>'Dados'!$K$123</f>
        <v/>
      </c>
      <c r="V54" s="2">
        <f>'Dados'!$L$123</f>
        <v/>
      </c>
      <c r="W54" s="2">
        <f>'Dados'!$M$123</f>
        <v/>
      </c>
      <c r="X54" s="2">
        <f>'Dados'!$N$123</f>
        <v/>
      </c>
      <c r="Y54" s="2">
        <f>'Dados'!$O$123</f>
        <v/>
      </c>
      <c r="Z54" s="2">
        <f>'Dados'!$P$123</f>
        <v/>
      </c>
      <c r="AA54" s="2">
        <f>'Dados'!$Q$123&amp;""</f>
        <v/>
      </c>
      <c r="AB54" s="2">
        <f>'Dados'!$R$123&amp;""</f>
        <v/>
      </c>
      <c r="AC54" s="2">
        <f>'Dados'!$S$123&amp;""</f>
        <v/>
      </c>
      <c r="AD54" s="2">
        <f>'Dados'!$T$123&amp;""</f>
        <v/>
      </c>
      <c r="AE54" s="2">
        <f>'Dados'!$U$123&amp;""</f>
        <v/>
      </c>
      <c r="AF54" s="2">
        <f>'Dados'!$V$123&amp;""</f>
        <v/>
      </c>
      <c r="AG54" s="2">
        <f>'Dados'!$F$123</f>
        <v/>
      </c>
      <c r="AH54" s="2">
        <f>'Dados'!$Z$123</f>
        <v/>
      </c>
      <c r="AI54" s="2">
        <f>'Dados'!$AA$123</f>
        <v/>
      </c>
      <c r="AJ54" s="2">
        <f>'Dados'!$W$123</f>
        <v/>
      </c>
      <c r="AK54" s="2">
        <f>'Dados'!$E$137</f>
        <v/>
      </c>
      <c r="AL54" s="2">
        <f>'Dados'!$E$138</f>
        <v/>
      </c>
      <c r="AM54" s="2">
        <f>'Dados'!$G$137</f>
        <v/>
      </c>
      <c r="AN54" s="2">
        <f>'Dados'!$H$137</f>
        <v/>
      </c>
      <c r="AO54" s="2">
        <f>'Dados'!$I$137</f>
        <v/>
      </c>
      <c r="AP54" s="2">
        <f>'Dados'!$J$137</f>
        <v/>
      </c>
      <c r="AQ54" s="2">
        <f>'Dados'!$K$137</f>
        <v/>
      </c>
      <c r="AR54" s="2">
        <f>'Dados'!$G$138</f>
        <v/>
      </c>
      <c r="AS54" s="2">
        <f>'Dados'!$H$138</f>
        <v/>
      </c>
      <c r="AT54" s="2">
        <f>'Dados'!$I$138</f>
        <v/>
      </c>
      <c r="AU54" s="2">
        <f>'Dados'!$J$138</f>
        <v/>
      </c>
      <c r="AV54" s="2">
        <f>'Dados'!$K$138</f>
        <v/>
      </c>
      <c r="AW54" s="2">
        <f>'Dados'!$AF$123&amp;""</f>
        <v/>
      </c>
      <c r="AX54" s="2">
        <f>IF(ISNUMBER('Dados'!$AG$123),IF('Dados'!$AG$123&gt;0,'Dados'!$AG$123,""),"")</f>
        <v/>
      </c>
      <c r="AY54" s="2">
        <f>'Dados'!$AH$123&amp;""</f>
        <v/>
      </c>
      <c r="AZ54" s="2">
        <f>IF(ISNUMBER('Dados'!$AI$123),IF('Dados'!$AI$123&gt;0,'Dados'!$AI$123,""),"")</f>
        <v/>
      </c>
      <c r="BA54" s="2">
        <f>'Dados'!$AJ$123&amp;""</f>
        <v/>
      </c>
      <c r="BB54" s="2">
        <f>IF(ISNUMBER('Dados'!$AK$123),IF('Dados'!$AK$123&gt;0,'Dados'!$AK$123,""),"")</f>
        <v/>
      </c>
      <c r="BC54" s="2">
        <f>'Dados'!$E$123&amp;""</f>
        <v/>
      </c>
      <c r="BD54" s="2">
        <f>'Dados'!$AD$123&amp;""</f>
        <v/>
      </c>
      <c r="BE54" s="2">
        <f>INDEX('Dados'!$F$7:$F$11,'Dados'!$AB$123)</f>
        <v/>
      </c>
      <c r="BF54" s="2">
        <f>'Dados'!$AB$123</f>
        <v/>
      </c>
      <c r="BG54" s="2">
        <f>'Dados'!$AE$123</f>
        <v/>
      </c>
      <c r="BH54" s="2">
        <f>"Bestiário"</f>
        <v/>
      </c>
    </row>
    <row r="55" ht="20" customHeight="1">
      <c r="A55" s="13" t="inlineStr">
        <is>
          <t>I3 · Ficha — números (automático: a linha de 28.3 da faixa e do tipo)</t>
        </is>
      </c>
    </row>
    <row r="56" ht="26" customHeight="1">
      <c r="A56" s="8" t="inlineStr">
        <is>
          <t>Inimigo</t>
        </is>
      </c>
      <c r="B56" s="8" t="inlineStr">
        <is>
          <t>Faixa efetiva</t>
        </is>
      </c>
      <c r="C56" s="8" t="inlineStr">
        <is>
          <t>PV</t>
        </is>
      </c>
      <c r="D56" s="8" t="inlineStr">
        <is>
          <t>Defesa</t>
        </is>
      </c>
      <c r="E56" s="8" t="inlineStr">
        <is>
          <t>RD</t>
        </is>
      </c>
      <c r="F56" s="8" t="inlineStr">
        <is>
          <t>Tenacidade</t>
        </is>
      </c>
      <c r="G56" s="8" t="inlineStr">
        <is>
          <t>VEL</t>
        </is>
      </c>
      <c r="H56" s="8" t="inlineStr">
        <is>
          <t>Teste de Ataque</t>
        </is>
      </c>
      <c r="I56" s="8" t="inlineStr">
        <is>
          <t>DT dos efeitos</t>
        </is>
      </c>
      <c r="J56" s="8" t="inlineStr">
        <is>
          <t>Teste de Resistência</t>
        </is>
      </c>
      <c r="K56" s="8" t="inlineStr">
        <is>
          <t>Observação</t>
        </is>
      </c>
      <c r="L56" s="20" t="n"/>
    </row>
    <row r="57" ht="26" customHeight="1">
      <c r="A57" s="31">
        <f>IF(LEN($DQ$11)&gt;0,"1 · "&amp;$DQ$11,"1 · (vazio)")</f>
        <v/>
      </c>
      <c r="B57" s="18">
        <f>IF(LEN($DQ$11)=0,"",$BQ$11)</f>
        <v/>
      </c>
      <c r="C57" s="18">
        <f>IF(LEN($DQ$11)=0,"",$BU$11)</f>
        <v/>
      </c>
      <c r="D57" s="18">
        <f>IF(LEN($DQ$11)=0,"",IFERROR(INDEX('Dados'!$E$38:$E$52,MATCH($BS$11,'Dados'!$A$38:$A$52,0)),""))</f>
        <v/>
      </c>
      <c r="E57" s="18">
        <f>IF(LEN($DQ$11)=0,"",IFERROR(INDEX('Dados'!$F$38:$F$52,MATCH($BS$11,'Dados'!$A$38:$A$52,0)),""))</f>
        <v/>
      </c>
      <c r="F57" s="18">
        <f>IF(LEN($DQ$11)=0,"",IFERROR(INDEX('Dados'!$G$38:$G$52,MATCH($BS$11,'Dados'!$A$38:$A$52,0)),""))</f>
        <v/>
      </c>
      <c r="G57" s="18">
        <f>IF(LEN($DQ$11)=0,"",IFERROR(INDEX('Dados'!$H$38:$H$52,MATCH($BS$11,'Dados'!$A$38:$A$52,0)),""))</f>
        <v/>
      </c>
      <c r="H57" s="18">
        <f>IF(LEN($DQ$11)=0,"","+"&amp;IFERROR(INDEX('Dados'!$I$38:$I$52,MATCH($BS$11,'Dados'!$A$38:$A$52,0)),""))</f>
        <v/>
      </c>
      <c r="I57" s="18">
        <f>IF(LEN($DQ$11)=0,"",IFERROR(INDEX('Dados'!$L$38:$L$52,MATCH($BS$11,'Dados'!$A$38:$A$52,0)),""))</f>
        <v/>
      </c>
      <c r="J57" s="18">
        <f>IF(LEN($DQ$11)=0,"","+"&amp;IFERROR(INDEX('Dados'!$M$38:$M$52,MATCH($BS$11,'Dados'!$A$38:$A$52,0)),""))</f>
        <v/>
      </c>
      <c r="K57" s="5">
        <f>IF(LEN($DQ$11)=0,"",IF($BK$11="Por nível — Sugestão","PV do nível "&amp;$BP$11&amp;": Sugestão da planilha — não é regra do livro (H1)",IF($BL$11=1,"Ajustado de "&amp;$DT$11&amp;" (28.4 passo 3)","")))</f>
        <v/>
      </c>
    </row>
    <row r="58" ht="26" customHeight="1">
      <c r="A58" s="43">
        <f>IF(LEN($DQ$12)&gt;0,"2 · "&amp;$DQ$12,"2 · (vazio)")</f>
        <v/>
      </c>
      <c r="B58" s="23">
        <f>IF(LEN($DQ$12)=0,"",$BQ$12)</f>
        <v/>
      </c>
      <c r="C58" s="23">
        <f>IF(LEN($DQ$12)=0,"",$BU$12)</f>
        <v/>
      </c>
      <c r="D58" s="23">
        <f>IF(LEN($DQ$12)=0,"",IFERROR(INDEX('Dados'!$E$38:$E$52,MATCH($BS$12,'Dados'!$A$38:$A$52,0)),""))</f>
        <v/>
      </c>
      <c r="E58" s="23">
        <f>IF(LEN($DQ$12)=0,"",IFERROR(INDEX('Dados'!$F$38:$F$52,MATCH($BS$12,'Dados'!$A$38:$A$52,0)),""))</f>
        <v/>
      </c>
      <c r="F58" s="23">
        <f>IF(LEN($DQ$12)=0,"",IFERROR(INDEX('Dados'!$G$38:$G$52,MATCH($BS$12,'Dados'!$A$38:$A$52,0)),""))</f>
        <v/>
      </c>
      <c r="G58" s="23">
        <f>IF(LEN($DQ$12)=0,"",IFERROR(INDEX('Dados'!$H$38:$H$52,MATCH($BS$12,'Dados'!$A$38:$A$52,0)),""))</f>
        <v/>
      </c>
      <c r="H58" s="23">
        <f>IF(LEN($DQ$12)=0,"","+"&amp;IFERROR(INDEX('Dados'!$I$38:$I$52,MATCH($BS$12,'Dados'!$A$38:$A$52,0)),""))</f>
        <v/>
      </c>
      <c r="I58" s="23">
        <f>IF(LEN($DQ$12)=0,"",IFERROR(INDEX('Dados'!$L$38:$L$52,MATCH($BS$12,'Dados'!$A$38:$A$52,0)),""))</f>
        <v/>
      </c>
      <c r="J58" s="23">
        <f>IF(LEN($DQ$12)=0,"","+"&amp;IFERROR(INDEX('Dados'!$M$38:$M$52,MATCH($BS$12,'Dados'!$A$38:$A$52,0)),""))</f>
        <v/>
      </c>
      <c r="K58" s="10">
        <f>IF(LEN($DQ$12)=0,"",IF($BK$12="Por nível — Sugestão","PV do nível "&amp;$BP$12&amp;": Sugestão da planilha — não é regra do livro (H1)",IF($BL$12=1,"Ajustado de "&amp;$DT$12&amp;" (28.4 passo 3)","")))</f>
        <v/>
      </c>
    </row>
    <row r="59" ht="26" customHeight="1">
      <c r="A59" s="31">
        <f>IF(LEN($DQ$13)&gt;0,"3 · "&amp;$DQ$13,"3 · (vazio)")</f>
        <v/>
      </c>
      <c r="B59" s="18">
        <f>IF(LEN($DQ$13)=0,"",$BQ$13)</f>
        <v/>
      </c>
      <c r="C59" s="18">
        <f>IF(LEN($DQ$13)=0,"",$BU$13)</f>
        <v/>
      </c>
      <c r="D59" s="18">
        <f>IF(LEN($DQ$13)=0,"",IFERROR(INDEX('Dados'!$E$38:$E$52,MATCH($BS$13,'Dados'!$A$38:$A$52,0)),""))</f>
        <v/>
      </c>
      <c r="E59" s="18">
        <f>IF(LEN($DQ$13)=0,"",IFERROR(INDEX('Dados'!$F$38:$F$52,MATCH($BS$13,'Dados'!$A$38:$A$52,0)),""))</f>
        <v/>
      </c>
      <c r="F59" s="18">
        <f>IF(LEN($DQ$13)=0,"",IFERROR(INDEX('Dados'!$G$38:$G$52,MATCH($BS$13,'Dados'!$A$38:$A$52,0)),""))</f>
        <v/>
      </c>
      <c r="G59" s="18">
        <f>IF(LEN($DQ$13)=0,"",IFERROR(INDEX('Dados'!$H$38:$H$52,MATCH($BS$13,'Dados'!$A$38:$A$52,0)),""))</f>
        <v/>
      </c>
      <c r="H59" s="18">
        <f>IF(LEN($DQ$13)=0,"","+"&amp;IFERROR(INDEX('Dados'!$I$38:$I$52,MATCH($BS$13,'Dados'!$A$38:$A$52,0)),""))</f>
        <v/>
      </c>
      <c r="I59" s="18">
        <f>IF(LEN($DQ$13)=0,"",IFERROR(INDEX('Dados'!$L$38:$L$52,MATCH($BS$13,'Dados'!$A$38:$A$52,0)),""))</f>
        <v/>
      </c>
      <c r="J59" s="18">
        <f>IF(LEN($DQ$13)=0,"","+"&amp;IFERROR(INDEX('Dados'!$M$38:$M$52,MATCH($BS$13,'Dados'!$A$38:$A$52,0)),""))</f>
        <v/>
      </c>
      <c r="K59" s="5">
        <f>IF(LEN($DQ$13)=0,"",IF($BK$13="Por nível — Sugestão","PV do nível "&amp;$BP$13&amp;": Sugestão da planilha — não é regra do livro (H1)",IF($BL$13=1,"Ajustado de "&amp;$DT$13&amp;" (28.4 passo 3)","")))</f>
        <v/>
      </c>
    </row>
    <row r="60" ht="26" customHeight="1">
      <c r="A60" s="43">
        <f>IF(LEN($DQ$14)&gt;0,"4 · "&amp;$DQ$14,"4 · (vazio)")</f>
        <v/>
      </c>
      <c r="B60" s="23">
        <f>IF(LEN($DQ$14)=0,"",$BQ$14)</f>
        <v/>
      </c>
      <c r="C60" s="23">
        <f>IF(LEN($DQ$14)=0,"",$BU$14)</f>
        <v/>
      </c>
      <c r="D60" s="23">
        <f>IF(LEN($DQ$14)=0,"",IFERROR(INDEX('Dados'!$E$38:$E$52,MATCH($BS$14,'Dados'!$A$38:$A$52,0)),""))</f>
        <v/>
      </c>
      <c r="E60" s="23">
        <f>IF(LEN($DQ$14)=0,"",IFERROR(INDEX('Dados'!$F$38:$F$52,MATCH($BS$14,'Dados'!$A$38:$A$52,0)),""))</f>
        <v/>
      </c>
      <c r="F60" s="23">
        <f>IF(LEN($DQ$14)=0,"",IFERROR(INDEX('Dados'!$G$38:$G$52,MATCH($BS$14,'Dados'!$A$38:$A$52,0)),""))</f>
        <v/>
      </c>
      <c r="G60" s="23">
        <f>IF(LEN($DQ$14)=0,"",IFERROR(INDEX('Dados'!$H$38:$H$52,MATCH($BS$14,'Dados'!$A$38:$A$52,0)),""))</f>
        <v/>
      </c>
      <c r="H60" s="23">
        <f>IF(LEN($DQ$14)=0,"","+"&amp;IFERROR(INDEX('Dados'!$I$38:$I$52,MATCH($BS$14,'Dados'!$A$38:$A$52,0)),""))</f>
        <v/>
      </c>
      <c r="I60" s="23">
        <f>IF(LEN($DQ$14)=0,"",IFERROR(INDEX('Dados'!$L$38:$L$52,MATCH($BS$14,'Dados'!$A$38:$A$52,0)),""))</f>
        <v/>
      </c>
      <c r="J60" s="23">
        <f>IF(LEN($DQ$14)=0,"","+"&amp;IFERROR(INDEX('Dados'!$M$38:$M$52,MATCH($BS$14,'Dados'!$A$38:$A$52,0)),""))</f>
        <v/>
      </c>
      <c r="K60" s="10">
        <f>IF(LEN($DQ$14)=0,"",IF($BK$14="Por nível — Sugestão","PV do nível "&amp;$BP$14&amp;": Sugestão da planilha — não é regra do livro (H1)",IF($BL$14=1,"Ajustado de "&amp;$DT$14&amp;" (28.4 passo 3)","")))</f>
        <v/>
      </c>
    </row>
    <row r="61" ht="26" customHeight="1">
      <c r="A61" s="31">
        <f>IF(LEN($DQ$15)&gt;0,"5 · "&amp;$DQ$15,"5 · (vazio)")</f>
        <v/>
      </c>
      <c r="B61" s="18">
        <f>IF(LEN($DQ$15)=0,"",$BQ$15)</f>
        <v/>
      </c>
      <c r="C61" s="18">
        <f>IF(LEN($DQ$15)=0,"",$BU$15)</f>
        <v/>
      </c>
      <c r="D61" s="18">
        <f>IF(LEN($DQ$15)=0,"",IFERROR(INDEX('Dados'!$E$38:$E$52,MATCH($BS$15,'Dados'!$A$38:$A$52,0)),""))</f>
        <v/>
      </c>
      <c r="E61" s="18">
        <f>IF(LEN($DQ$15)=0,"",IFERROR(INDEX('Dados'!$F$38:$F$52,MATCH($BS$15,'Dados'!$A$38:$A$52,0)),""))</f>
        <v/>
      </c>
      <c r="F61" s="18">
        <f>IF(LEN($DQ$15)=0,"",IFERROR(INDEX('Dados'!$G$38:$G$52,MATCH($BS$15,'Dados'!$A$38:$A$52,0)),""))</f>
        <v/>
      </c>
      <c r="G61" s="18">
        <f>IF(LEN($DQ$15)=0,"",IFERROR(INDEX('Dados'!$H$38:$H$52,MATCH($BS$15,'Dados'!$A$38:$A$52,0)),""))</f>
        <v/>
      </c>
      <c r="H61" s="18">
        <f>IF(LEN($DQ$15)=0,"","+"&amp;IFERROR(INDEX('Dados'!$I$38:$I$52,MATCH($BS$15,'Dados'!$A$38:$A$52,0)),""))</f>
        <v/>
      </c>
      <c r="I61" s="18">
        <f>IF(LEN($DQ$15)=0,"",IFERROR(INDEX('Dados'!$L$38:$L$52,MATCH($BS$15,'Dados'!$A$38:$A$52,0)),""))</f>
        <v/>
      </c>
      <c r="J61" s="18">
        <f>IF(LEN($DQ$15)=0,"","+"&amp;IFERROR(INDEX('Dados'!$M$38:$M$52,MATCH($BS$15,'Dados'!$A$38:$A$52,0)),""))</f>
        <v/>
      </c>
      <c r="K61" s="5">
        <f>IF(LEN($DQ$15)=0,"",IF($BK$15="Por nível — Sugestão","PV do nível "&amp;$BP$15&amp;": Sugestão da planilha — não é regra do livro (H1)",IF($BL$15=1,"Ajustado de "&amp;$DT$15&amp;" (28.4 passo 3)","")))</f>
        <v/>
      </c>
    </row>
    <row r="62" ht="26" customHeight="1">
      <c r="A62" s="43">
        <f>IF(LEN($DQ$16)&gt;0,"6 · "&amp;$DQ$16,"6 · (vazio)")</f>
        <v/>
      </c>
      <c r="B62" s="23">
        <f>IF(LEN($DQ$16)=0,"",$BQ$16)</f>
        <v/>
      </c>
      <c r="C62" s="23">
        <f>IF(LEN($DQ$16)=0,"",$BU$16)</f>
        <v/>
      </c>
      <c r="D62" s="23">
        <f>IF(LEN($DQ$16)=0,"",IFERROR(INDEX('Dados'!$E$38:$E$52,MATCH($BS$16,'Dados'!$A$38:$A$52,0)),""))</f>
        <v/>
      </c>
      <c r="E62" s="23">
        <f>IF(LEN($DQ$16)=0,"",IFERROR(INDEX('Dados'!$F$38:$F$52,MATCH($BS$16,'Dados'!$A$38:$A$52,0)),""))</f>
        <v/>
      </c>
      <c r="F62" s="23">
        <f>IF(LEN($DQ$16)=0,"",IFERROR(INDEX('Dados'!$G$38:$G$52,MATCH($BS$16,'Dados'!$A$38:$A$52,0)),""))</f>
        <v/>
      </c>
      <c r="G62" s="23">
        <f>IF(LEN($DQ$16)=0,"",IFERROR(INDEX('Dados'!$H$38:$H$52,MATCH($BS$16,'Dados'!$A$38:$A$52,0)),""))</f>
        <v/>
      </c>
      <c r="H62" s="23">
        <f>IF(LEN($DQ$16)=0,"","+"&amp;IFERROR(INDEX('Dados'!$I$38:$I$52,MATCH($BS$16,'Dados'!$A$38:$A$52,0)),""))</f>
        <v/>
      </c>
      <c r="I62" s="23">
        <f>IF(LEN($DQ$16)=0,"",IFERROR(INDEX('Dados'!$L$38:$L$52,MATCH($BS$16,'Dados'!$A$38:$A$52,0)),""))</f>
        <v/>
      </c>
      <c r="J62" s="23">
        <f>IF(LEN($DQ$16)=0,"","+"&amp;IFERROR(INDEX('Dados'!$M$38:$M$52,MATCH($BS$16,'Dados'!$A$38:$A$52,0)),""))</f>
        <v/>
      </c>
      <c r="K62" s="10">
        <f>IF(LEN($DQ$16)=0,"",IF($BK$16="Por nível — Sugestão","PV do nível "&amp;$BP$16&amp;": Sugestão da planilha — não é regra do livro (H1)",IF($BL$16=1,"Ajustado de "&amp;$DT$16&amp;" (28.4 passo 3)","")))</f>
        <v/>
      </c>
    </row>
    <row r="63" ht="26" customHeight="1">
      <c r="A63" s="31">
        <f>IF(LEN($DQ$17)&gt;0,"7 · "&amp;$DQ$17,"7 · (vazio)")</f>
        <v/>
      </c>
      <c r="B63" s="18">
        <f>IF(LEN($DQ$17)=0,"",$BQ$17)</f>
        <v/>
      </c>
      <c r="C63" s="18">
        <f>IF(LEN($DQ$17)=0,"",$BU$17)</f>
        <v/>
      </c>
      <c r="D63" s="18">
        <f>IF(LEN($DQ$17)=0,"",IFERROR(INDEX('Dados'!$E$38:$E$52,MATCH($BS$17,'Dados'!$A$38:$A$52,0)),""))</f>
        <v/>
      </c>
      <c r="E63" s="18">
        <f>IF(LEN($DQ$17)=0,"",IFERROR(INDEX('Dados'!$F$38:$F$52,MATCH($BS$17,'Dados'!$A$38:$A$52,0)),""))</f>
        <v/>
      </c>
      <c r="F63" s="18">
        <f>IF(LEN($DQ$17)=0,"",IFERROR(INDEX('Dados'!$G$38:$G$52,MATCH($BS$17,'Dados'!$A$38:$A$52,0)),""))</f>
        <v/>
      </c>
      <c r="G63" s="18">
        <f>IF(LEN($DQ$17)=0,"",IFERROR(INDEX('Dados'!$H$38:$H$52,MATCH($BS$17,'Dados'!$A$38:$A$52,0)),""))</f>
        <v/>
      </c>
      <c r="H63" s="18">
        <f>IF(LEN($DQ$17)=0,"","+"&amp;IFERROR(INDEX('Dados'!$I$38:$I$52,MATCH($BS$17,'Dados'!$A$38:$A$52,0)),""))</f>
        <v/>
      </c>
      <c r="I63" s="18">
        <f>IF(LEN($DQ$17)=0,"",IFERROR(INDEX('Dados'!$L$38:$L$52,MATCH($BS$17,'Dados'!$A$38:$A$52,0)),""))</f>
        <v/>
      </c>
      <c r="J63" s="18">
        <f>IF(LEN($DQ$17)=0,"","+"&amp;IFERROR(INDEX('Dados'!$M$38:$M$52,MATCH($BS$17,'Dados'!$A$38:$A$52,0)),""))</f>
        <v/>
      </c>
      <c r="K63" s="5">
        <f>IF(LEN($DQ$17)=0,"",IF($BK$17="Por nível — Sugestão","PV do nível "&amp;$BP$17&amp;": Sugestão da planilha — não é regra do livro (H1)",IF($BL$17=1,"Ajustado de "&amp;$DT$17&amp;" (28.4 passo 3)","")))</f>
        <v/>
      </c>
    </row>
    <row r="64" ht="26" customHeight="1">
      <c r="A64" s="43">
        <f>IF(LEN($DQ$18)&gt;0,"8 · "&amp;$DQ$18,"8 · (vazio)")</f>
        <v/>
      </c>
      <c r="B64" s="23">
        <f>IF(LEN($DQ$18)=0,"",$BQ$18)</f>
        <v/>
      </c>
      <c r="C64" s="23">
        <f>IF(LEN($DQ$18)=0,"",$BU$18)</f>
        <v/>
      </c>
      <c r="D64" s="23">
        <f>IF(LEN($DQ$18)=0,"",IFERROR(INDEX('Dados'!$E$38:$E$52,MATCH($BS$18,'Dados'!$A$38:$A$52,0)),""))</f>
        <v/>
      </c>
      <c r="E64" s="23">
        <f>IF(LEN($DQ$18)=0,"",IFERROR(INDEX('Dados'!$F$38:$F$52,MATCH($BS$18,'Dados'!$A$38:$A$52,0)),""))</f>
        <v/>
      </c>
      <c r="F64" s="23">
        <f>IF(LEN($DQ$18)=0,"",IFERROR(INDEX('Dados'!$G$38:$G$52,MATCH($BS$18,'Dados'!$A$38:$A$52,0)),""))</f>
        <v/>
      </c>
      <c r="G64" s="23">
        <f>IF(LEN($DQ$18)=0,"",IFERROR(INDEX('Dados'!$H$38:$H$52,MATCH($BS$18,'Dados'!$A$38:$A$52,0)),""))</f>
        <v/>
      </c>
      <c r="H64" s="23">
        <f>IF(LEN($DQ$18)=0,"","+"&amp;IFERROR(INDEX('Dados'!$I$38:$I$52,MATCH($BS$18,'Dados'!$A$38:$A$52,0)),""))</f>
        <v/>
      </c>
      <c r="I64" s="23">
        <f>IF(LEN($DQ$18)=0,"",IFERROR(INDEX('Dados'!$L$38:$L$52,MATCH($BS$18,'Dados'!$A$38:$A$52,0)),""))</f>
        <v/>
      </c>
      <c r="J64" s="23">
        <f>IF(LEN($DQ$18)=0,"","+"&amp;IFERROR(INDEX('Dados'!$M$38:$M$52,MATCH($BS$18,'Dados'!$A$38:$A$52,0)),""))</f>
        <v/>
      </c>
      <c r="K64" s="10">
        <f>IF(LEN($DQ$18)=0,"",IF($BK$18="Por nível — Sugestão","PV do nível "&amp;$BP$18&amp;": Sugestão da planilha — não é regra do livro (H1)",IF($BL$18=1,"Ajustado de "&amp;$DT$18&amp;" (28.4 passo 3)","")))</f>
        <v/>
      </c>
    </row>
    <row r="65" ht="26" customHeight="1">
      <c r="A65" s="31">
        <f>IF(LEN($DQ$19)&gt;0,"9 · "&amp;$DQ$19,"9 · (vazio)")</f>
        <v/>
      </c>
      <c r="B65" s="18">
        <f>IF(LEN($DQ$19)=0,"",$BQ$19)</f>
        <v/>
      </c>
      <c r="C65" s="18">
        <f>IF(LEN($DQ$19)=0,"",$BU$19)</f>
        <v/>
      </c>
      <c r="D65" s="18">
        <f>IF(LEN($DQ$19)=0,"",IFERROR(INDEX('Dados'!$E$38:$E$52,MATCH($BS$19,'Dados'!$A$38:$A$52,0)),""))</f>
        <v/>
      </c>
      <c r="E65" s="18">
        <f>IF(LEN($DQ$19)=0,"",IFERROR(INDEX('Dados'!$F$38:$F$52,MATCH($BS$19,'Dados'!$A$38:$A$52,0)),""))</f>
        <v/>
      </c>
      <c r="F65" s="18">
        <f>IF(LEN($DQ$19)=0,"",IFERROR(INDEX('Dados'!$G$38:$G$52,MATCH($BS$19,'Dados'!$A$38:$A$52,0)),""))</f>
        <v/>
      </c>
      <c r="G65" s="18">
        <f>IF(LEN($DQ$19)=0,"",IFERROR(INDEX('Dados'!$H$38:$H$52,MATCH($BS$19,'Dados'!$A$38:$A$52,0)),""))</f>
        <v/>
      </c>
      <c r="H65" s="18">
        <f>IF(LEN($DQ$19)=0,"","+"&amp;IFERROR(INDEX('Dados'!$I$38:$I$52,MATCH($BS$19,'Dados'!$A$38:$A$52,0)),""))</f>
        <v/>
      </c>
      <c r="I65" s="18">
        <f>IF(LEN($DQ$19)=0,"",IFERROR(INDEX('Dados'!$L$38:$L$52,MATCH($BS$19,'Dados'!$A$38:$A$52,0)),""))</f>
        <v/>
      </c>
      <c r="J65" s="18">
        <f>IF(LEN($DQ$19)=0,"","+"&amp;IFERROR(INDEX('Dados'!$M$38:$M$52,MATCH($BS$19,'Dados'!$A$38:$A$52,0)),""))</f>
        <v/>
      </c>
      <c r="K65" s="5">
        <f>IF(LEN($DQ$19)=0,"",IF($BK$19="Por nível — Sugestão","PV do nível "&amp;$BP$19&amp;": Sugestão da planilha — não é regra do livro (H1)",IF($BL$19=1,"Ajustado de "&amp;$DT$19&amp;" (28.4 passo 3)","")))</f>
        <v/>
      </c>
    </row>
    <row r="66" ht="37" customHeight="1">
      <c r="A66" s="43">
        <f>IF(LEN($DQ$20)&gt;0,"10 · "&amp;$DQ$20,"10 · (vazio)")</f>
        <v/>
      </c>
      <c r="B66" s="23">
        <f>IF(LEN($DQ$20)=0,"",$BQ$20)</f>
        <v/>
      </c>
      <c r="C66" s="23">
        <f>IF(LEN($DQ$20)=0,"",$BU$20)</f>
        <v/>
      </c>
      <c r="D66" s="23">
        <f>IF(LEN($DQ$20)=0,"",IFERROR(INDEX('Dados'!$E$38:$E$52,MATCH($BS$20,'Dados'!$A$38:$A$52,0)),""))</f>
        <v/>
      </c>
      <c r="E66" s="23">
        <f>IF(LEN($DQ$20)=0,"",IFERROR(INDEX('Dados'!$F$38:$F$52,MATCH($BS$20,'Dados'!$A$38:$A$52,0)),""))</f>
        <v/>
      </c>
      <c r="F66" s="23">
        <f>IF(LEN($DQ$20)=0,"",IFERROR(INDEX('Dados'!$G$38:$G$52,MATCH($BS$20,'Dados'!$A$38:$A$52,0)),""))</f>
        <v/>
      </c>
      <c r="G66" s="23">
        <f>IF(LEN($DQ$20)=0,"",IFERROR(INDEX('Dados'!$H$38:$H$52,MATCH($BS$20,'Dados'!$A$38:$A$52,0)),""))</f>
        <v/>
      </c>
      <c r="H66" s="23">
        <f>IF(LEN($DQ$20)=0,"","+"&amp;IFERROR(INDEX('Dados'!$I$38:$I$52,MATCH($BS$20,'Dados'!$A$38:$A$52,0)),""))</f>
        <v/>
      </c>
      <c r="I66" s="23">
        <f>IF(LEN($DQ$20)=0,"",IFERROR(INDEX('Dados'!$L$38:$L$52,MATCH($BS$20,'Dados'!$A$38:$A$52,0)),""))</f>
        <v/>
      </c>
      <c r="J66" s="23">
        <f>IF(LEN($DQ$20)=0,"","+"&amp;IFERROR(INDEX('Dados'!$M$38:$M$52,MATCH($BS$20,'Dados'!$A$38:$A$52,0)),""))</f>
        <v/>
      </c>
      <c r="K66" s="10">
        <f>IF(LEN($DQ$20)=0,"",IF($BK$20="Por nível — Sugestão","PV do nível "&amp;$BP$20&amp;": Sugestão da planilha — não é regra do livro (H1)",IF($BL$20=1,"Ajustado de "&amp;$DT$20&amp;" (28.4 passo 3)","")))</f>
        <v/>
      </c>
    </row>
    <row r="67" ht="26" customHeight="1">
      <c r="A67" s="31">
        <f>IF(LEN($DQ$21)&gt;0,"11 · "&amp;$DQ$21,"11 · (vazio)")</f>
        <v/>
      </c>
      <c r="B67" s="18">
        <f>IF(LEN($DQ$21)=0,"",$BQ$21)</f>
        <v/>
      </c>
      <c r="C67" s="18">
        <f>IF(LEN($DQ$21)=0,"",$BU$21)</f>
        <v/>
      </c>
      <c r="D67" s="18">
        <f>IF(LEN($DQ$21)=0,"",IFERROR(INDEX('Dados'!$E$38:$E$52,MATCH($BS$21,'Dados'!$A$38:$A$52,0)),""))</f>
        <v/>
      </c>
      <c r="E67" s="18">
        <f>IF(LEN($DQ$21)=0,"",IFERROR(INDEX('Dados'!$F$38:$F$52,MATCH($BS$21,'Dados'!$A$38:$A$52,0)),""))</f>
        <v/>
      </c>
      <c r="F67" s="18">
        <f>IF(LEN($DQ$21)=0,"",IFERROR(INDEX('Dados'!$G$38:$G$52,MATCH($BS$21,'Dados'!$A$38:$A$52,0)),""))</f>
        <v/>
      </c>
      <c r="G67" s="18">
        <f>IF(LEN($DQ$21)=0,"",IFERROR(INDEX('Dados'!$H$38:$H$52,MATCH($BS$21,'Dados'!$A$38:$A$52,0)),""))</f>
        <v/>
      </c>
      <c r="H67" s="18">
        <f>IF(LEN($DQ$21)=0,"","+"&amp;IFERROR(INDEX('Dados'!$I$38:$I$52,MATCH($BS$21,'Dados'!$A$38:$A$52,0)),""))</f>
        <v/>
      </c>
      <c r="I67" s="18">
        <f>IF(LEN($DQ$21)=0,"",IFERROR(INDEX('Dados'!$L$38:$L$52,MATCH($BS$21,'Dados'!$A$38:$A$52,0)),""))</f>
        <v/>
      </c>
      <c r="J67" s="18">
        <f>IF(LEN($DQ$21)=0,"","+"&amp;IFERROR(INDEX('Dados'!$M$38:$M$52,MATCH($BS$21,'Dados'!$A$38:$A$52,0)),""))</f>
        <v/>
      </c>
      <c r="K67" s="5">
        <f>IF(LEN($DQ$21)=0,"",IF($BK$21="Por nível — Sugestão","PV do nível "&amp;$BP$21&amp;": Sugestão da planilha — não é regra do livro (H1)",IF($BL$21=1,"Ajustado de "&amp;$DT$21&amp;" (28.4 passo 3)","")))</f>
        <v/>
      </c>
    </row>
    <row r="68" ht="26" customHeight="1">
      <c r="A68" s="43">
        <f>IF(LEN($DQ$22)&gt;0,"12 · "&amp;$DQ$22,"12 · (vazio)")</f>
        <v/>
      </c>
      <c r="B68" s="23">
        <f>IF(LEN($DQ$22)=0,"",$BQ$22)</f>
        <v/>
      </c>
      <c r="C68" s="23">
        <f>IF(LEN($DQ$22)=0,"",$BU$22)</f>
        <v/>
      </c>
      <c r="D68" s="23">
        <f>IF(LEN($DQ$22)=0,"",IFERROR(INDEX('Dados'!$E$38:$E$52,MATCH($BS$22,'Dados'!$A$38:$A$52,0)),""))</f>
        <v/>
      </c>
      <c r="E68" s="23">
        <f>IF(LEN($DQ$22)=0,"",IFERROR(INDEX('Dados'!$F$38:$F$52,MATCH($BS$22,'Dados'!$A$38:$A$52,0)),""))</f>
        <v/>
      </c>
      <c r="F68" s="23">
        <f>IF(LEN($DQ$22)=0,"",IFERROR(INDEX('Dados'!$G$38:$G$52,MATCH($BS$22,'Dados'!$A$38:$A$52,0)),""))</f>
        <v/>
      </c>
      <c r="G68" s="23">
        <f>IF(LEN($DQ$22)=0,"",IFERROR(INDEX('Dados'!$H$38:$H$52,MATCH($BS$22,'Dados'!$A$38:$A$52,0)),""))</f>
        <v/>
      </c>
      <c r="H68" s="23">
        <f>IF(LEN($DQ$22)=0,"","+"&amp;IFERROR(INDEX('Dados'!$I$38:$I$52,MATCH($BS$22,'Dados'!$A$38:$A$52,0)),""))</f>
        <v/>
      </c>
      <c r="I68" s="23">
        <f>IF(LEN($DQ$22)=0,"",IFERROR(INDEX('Dados'!$L$38:$L$52,MATCH($BS$22,'Dados'!$A$38:$A$52,0)),""))</f>
        <v/>
      </c>
      <c r="J68" s="23">
        <f>IF(LEN($DQ$22)=0,"","+"&amp;IFERROR(INDEX('Dados'!$M$38:$M$52,MATCH($BS$22,'Dados'!$A$38:$A$52,0)),""))</f>
        <v/>
      </c>
      <c r="K68" s="10">
        <f>IF(LEN($DQ$22)=0,"",IF($BK$22="Por nível — Sugestão","PV do nível "&amp;$BP$22&amp;": Sugestão da planilha — não é regra do livro (H1)",IF($BL$22=1,"Ajustado de "&amp;$DT$22&amp;" (28.4 passo 3)","")))</f>
        <v/>
      </c>
    </row>
    <row r="69"/>
    <row r="70" ht="20" customHeight="1">
      <c r="A70" s="13" t="inlineStr">
        <is>
          <t>I4 · Ficha — dano e regras (automático: 28.2, 28.3, 27.4)</t>
        </is>
      </c>
    </row>
    <row r="71" ht="37" customHeight="1">
      <c r="A71" s="8" t="inlineStr">
        <is>
          <t>Inimigo</t>
        </is>
      </c>
      <c r="B71" s="8" t="inlineStr">
        <is>
          <t>Dano por acerto</t>
        </is>
      </c>
      <c r="C71" s="20" t="n"/>
      <c r="D71" s="20" t="n"/>
      <c r="E71" s="8" t="inlineStr">
        <is>
          <t>Nº de Fraquezas (regra)</t>
        </is>
      </c>
      <c r="F71" s="8" t="inlineStr">
        <is>
          <t>Na Fila</t>
        </is>
      </c>
      <c r="G71" s="20" t="n"/>
      <c r="H71" s="8" t="inlineStr">
        <is>
          <t>Ações agressivas por Ciclo</t>
        </is>
      </c>
      <c r="I71" s="8" t="inlineStr">
        <is>
          <t>Custo no orçamento</t>
        </is>
      </c>
      <c r="J71" s="8" t="inlineStr">
        <is>
          <t>Execução</t>
        </is>
      </c>
      <c r="K71" s="8" t="inlineStr">
        <is>
          <t>Aviso</t>
        </is>
      </c>
      <c r="L71" s="20" t="n"/>
    </row>
    <row r="72" ht="26" customHeight="1">
      <c r="A72" s="31">
        <f>IF(LEN($DQ$11)&gt;0,"1 · "&amp;$DQ$11,"1 · (vazio)")</f>
        <v/>
      </c>
      <c r="B72" s="5">
        <f>IF(LEN($DQ$11)=0,"",IFERROR(INDEX('Dados'!$J$38:$J$52,MATCH($BS$11,'Dados'!$A$38:$A$52,0)),"")&amp;" · média "&amp;IFERROR(INDEX('Dados'!$K$38:$K$52,MATCH($BS$11,'Dados'!$A$38:$A$52,0)),""))</f>
        <v/>
      </c>
      <c r="E72" s="18">
        <f>IF(LEN($DQ$11)=0,"",IFERROR(INDEX('Dados'!$N$38:$N$52,MATCH($BS$11,'Dados'!$A$38:$A$52,0)),""))</f>
        <v/>
      </c>
      <c r="F72" s="5">
        <f>IF(LEN($DQ$11)=0,"","VEL "&amp;IFERROR(INDEX('Dados'!$H$38:$H$52,MATCH($BS$11,'Dados'!$A$38:$A$52,0)),"")&amp;", "&amp;IFERROR(INDEX('Dados'!$P$38:$P$52,MATCH($BS$11,'Dados'!$A$38:$A$52,0)),""))</f>
        <v/>
      </c>
      <c r="H72" s="18">
        <f>IF(LEN($DQ$11)=0,"",IFERROR(INDEX('Dados'!$Q$38:$Q$52,MATCH($BS$11,'Dados'!$A$38:$A$52,0)),""))</f>
        <v/>
      </c>
      <c r="I72" s="18">
        <f>IF(LEN($DQ$11)=0,"",$AI$11)</f>
        <v/>
      </c>
      <c r="J72" s="18">
        <f>IF(LEN($DQ$11)=0,"",$AF$11)</f>
        <v/>
      </c>
      <c r="K72" s="19">
        <f>IF(LEN($DQ$11)=0,"",IF(AND($BN$11="Boss",(IF(LEN($BY$11)&gt;0,1,0)+IF(LEN($BZ$11)&gt;0,1,0)+IF(LEN($CA$11)&gt;0,1,0)+IF(LEN($CB$11)&gt;0,1,0))&lt;4),"Boss tem 4 Fraquezas (20.2): faltam "&amp;(4-(IF(LEN($BY$11)&gt;0,1,0)+IF(LEN($BZ$11)&gt;0,1,0)+IF(LEN($CA$11)&gt;0,1,0)+IF(LEN($CB$11)&gt;0,1,0))),IF(AND($BN$11="Elite",(IF(LEN($BY$11)&gt;0,1,0)+IF(LEN($BZ$11)&gt;0,1,0)+IF(LEN($CA$11)&gt;0,1,0)+IF(LEN($CB$11)&gt;0,1,0))&lt;3),"Elite tem 3 Fraquezas (20.2): faltam "&amp;(3-(IF(LEN($BY$11)&gt;0,1,0)+IF(LEN($BZ$11)&gt;0,1,0)+IF(LEN($CA$11)&gt;0,1,0)+IF(LEN($CB$11)&gt;0,1,0))),IF((IF(LEN($BY$11)&gt;0,1,0)+IF(LEN($BZ$11)&gt;0,1,0)+IF(LEN($CA$11)&gt;0,1,0)+IF(LEN($CB$11)&gt;0,1,0))=0,"Sem Fraqueza: todo inimigo tem pelo menos 1 (20.2)",""))))</f>
        <v/>
      </c>
    </row>
    <row r="73" ht="26" customHeight="1">
      <c r="A73" s="43">
        <f>IF(LEN($DQ$12)&gt;0,"2 · "&amp;$DQ$12,"2 · (vazio)")</f>
        <v/>
      </c>
      <c r="B73" s="10">
        <f>IF(LEN($DQ$12)=0,"",IFERROR(INDEX('Dados'!$J$38:$J$52,MATCH($BS$12,'Dados'!$A$38:$A$52,0)),"")&amp;" · média "&amp;IFERROR(INDEX('Dados'!$K$38:$K$52,MATCH($BS$12,'Dados'!$A$38:$A$52,0)),""))</f>
        <v/>
      </c>
      <c r="E73" s="23">
        <f>IF(LEN($DQ$12)=0,"",IFERROR(INDEX('Dados'!$N$38:$N$52,MATCH($BS$12,'Dados'!$A$38:$A$52,0)),""))</f>
        <v/>
      </c>
      <c r="F73" s="10">
        <f>IF(LEN($DQ$12)=0,"","VEL "&amp;IFERROR(INDEX('Dados'!$H$38:$H$52,MATCH($BS$12,'Dados'!$A$38:$A$52,0)),"")&amp;", "&amp;IFERROR(INDEX('Dados'!$P$38:$P$52,MATCH($BS$12,'Dados'!$A$38:$A$52,0)),""))</f>
        <v/>
      </c>
      <c r="H73" s="23">
        <f>IF(LEN($DQ$12)=0,"",IFERROR(INDEX('Dados'!$Q$38:$Q$52,MATCH($BS$12,'Dados'!$A$38:$A$52,0)),""))</f>
        <v/>
      </c>
      <c r="I73" s="23">
        <f>IF(LEN($DQ$12)=0,"",$AI$12)</f>
        <v/>
      </c>
      <c r="J73" s="23">
        <f>IF(LEN($DQ$12)=0,"",$AF$12)</f>
        <v/>
      </c>
      <c r="K73" s="27">
        <f>IF(LEN($DQ$12)=0,"",IF(AND($BN$12="Boss",(IF(LEN($BY$12)&gt;0,1,0)+IF(LEN($BZ$12)&gt;0,1,0)+IF(LEN($CA$12)&gt;0,1,0)+IF(LEN($CB$12)&gt;0,1,0))&lt;4),"Boss tem 4 Fraquezas (20.2): faltam "&amp;(4-(IF(LEN($BY$12)&gt;0,1,0)+IF(LEN($BZ$12)&gt;0,1,0)+IF(LEN($CA$12)&gt;0,1,0)+IF(LEN($CB$12)&gt;0,1,0))),IF(AND($BN$12="Elite",(IF(LEN($BY$12)&gt;0,1,0)+IF(LEN($BZ$12)&gt;0,1,0)+IF(LEN($CA$12)&gt;0,1,0)+IF(LEN($CB$12)&gt;0,1,0))&lt;3),"Elite tem 3 Fraquezas (20.2): faltam "&amp;(3-(IF(LEN($BY$12)&gt;0,1,0)+IF(LEN($BZ$12)&gt;0,1,0)+IF(LEN($CA$12)&gt;0,1,0)+IF(LEN($CB$12)&gt;0,1,0))),IF((IF(LEN($BY$12)&gt;0,1,0)+IF(LEN($BZ$12)&gt;0,1,0)+IF(LEN($CA$12)&gt;0,1,0)+IF(LEN($CB$12)&gt;0,1,0))=0,"Sem Fraqueza: todo inimigo tem pelo menos 1 (20.2)",""))))</f>
        <v/>
      </c>
    </row>
    <row r="74" ht="26" customHeight="1">
      <c r="A74" s="31">
        <f>IF(LEN($DQ$13)&gt;0,"3 · "&amp;$DQ$13,"3 · (vazio)")</f>
        <v/>
      </c>
      <c r="B74" s="5">
        <f>IF(LEN($DQ$13)=0,"",IFERROR(INDEX('Dados'!$J$38:$J$52,MATCH($BS$13,'Dados'!$A$38:$A$52,0)),"")&amp;" · média "&amp;IFERROR(INDEX('Dados'!$K$38:$K$52,MATCH($BS$13,'Dados'!$A$38:$A$52,0)),""))</f>
        <v/>
      </c>
      <c r="E74" s="18">
        <f>IF(LEN($DQ$13)=0,"",IFERROR(INDEX('Dados'!$N$38:$N$52,MATCH($BS$13,'Dados'!$A$38:$A$52,0)),""))</f>
        <v/>
      </c>
      <c r="F74" s="5">
        <f>IF(LEN($DQ$13)=0,"","VEL "&amp;IFERROR(INDEX('Dados'!$H$38:$H$52,MATCH($BS$13,'Dados'!$A$38:$A$52,0)),"")&amp;", "&amp;IFERROR(INDEX('Dados'!$P$38:$P$52,MATCH($BS$13,'Dados'!$A$38:$A$52,0)),""))</f>
        <v/>
      </c>
      <c r="H74" s="18">
        <f>IF(LEN($DQ$13)=0,"",IFERROR(INDEX('Dados'!$Q$38:$Q$52,MATCH($BS$13,'Dados'!$A$38:$A$52,0)),""))</f>
        <v/>
      </c>
      <c r="I74" s="18">
        <f>IF(LEN($DQ$13)=0,"",$AI$13)</f>
        <v/>
      </c>
      <c r="J74" s="18">
        <f>IF(LEN($DQ$13)=0,"",$AF$13)</f>
        <v/>
      </c>
      <c r="K74" s="19">
        <f>IF(LEN($DQ$13)=0,"",IF(AND($BN$13="Boss",(IF(LEN($BY$13)&gt;0,1,0)+IF(LEN($BZ$13)&gt;0,1,0)+IF(LEN($CA$13)&gt;0,1,0)+IF(LEN($CB$13)&gt;0,1,0))&lt;4),"Boss tem 4 Fraquezas (20.2): faltam "&amp;(4-(IF(LEN($BY$13)&gt;0,1,0)+IF(LEN($BZ$13)&gt;0,1,0)+IF(LEN($CA$13)&gt;0,1,0)+IF(LEN($CB$13)&gt;0,1,0))),IF(AND($BN$13="Elite",(IF(LEN($BY$13)&gt;0,1,0)+IF(LEN($BZ$13)&gt;0,1,0)+IF(LEN($CA$13)&gt;0,1,0)+IF(LEN($CB$13)&gt;0,1,0))&lt;3),"Elite tem 3 Fraquezas (20.2): faltam "&amp;(3-(IF(LEN($BY$13)&gt;0,1,0)+IF(LEN($BZ$13)&gt;0,1,0)+IF(LEN($CA$13)&gt;0,1,0)+IF(LEN($CB$13)&gt;0,1,0))),IF((IF(LEN($BY$13)&gt;0,1,0)+IF(LEN($BZ$13)&gt;0,1,0)+IF(LEN($CA$13)&gt;0,1,0)+IF(LEN($CB$13)&gt;0,1,0))=0,"Sem Fraqueza: todo inimigo tem pelo menos 1 (20.2)",""))))</f>
        <v/>
      </c>
    </row>
    <row r="75" ht="26" customHeight="1">
      <c r="A75" s="43">
        <f>IF(LEN($DQ$14)&gt;0,"4 · "&amp;$DQ$14,"4 · (vazio)")</f>
        <v/>
      </c>
      <c r="B75" s="10">
        <f>IF(LEN($DQ$14)=0,"",IFERROR(INDEX('Dados'!$J$38:$J$52,MATCH($BS$14,'Dados'!$A$38:$A$52,0)),"")&amp;" · média "&amp;IFERROR(INDEX('Dados'!$K$38:$K$52,MATCH($BS$14,'Dados'!$A$38:$A$52,0)),""))</f>
        <v/>
      </c>
      <c r="E75" s="23">
        <f>IF(LEN($DQ$14)=0,"",IFERROR(INDEX('Dados'!$N$38:$N$52,MATCH($BS$14,'Dados'!$A$38:$A$52,0)),""))</f>
        <v/>
      </c>
      <c r="F75" s="10">
        <f>IF(LEN($DQ$14)=0,"","VEL "&amp;IFERROR(INDEX('Dados'!$H$38:$H$52,MATCH($BS$14,'Dados'!$A$38:$A$52,0)),"")&amp;", "&amp;IFERROR(INDEX('Dados'!$P$38:$P$52,MATCH($BS$14,'Dados'!$A$38:$A$52,0)),""))</f>
        <v/>
      </c>
      <c r="H75" s="23">
        <f>IF(LEN($DQ$14)=0,"",IFERROR(INDEX('Dados'!$Q$38:$Q$52,MATCH($BS$14,'Dados'!$A$38:$A$52,0)),""))</f>
        <v/>
      </c>
      <c r="I75" s="23">
        <f>IF(LEN($DQ$14)=0,"",$AI$14)</f>
        <v/>
      </c>
      <c r="J75" s="23">
        <f>IF(LEN($DQ$14)=0,"",$AF$14)</f>
        <v/>
      </c>
      <c r="K75" s="27">
        <f>IF(LEN($DQ$14)=0,"",IF(AND($BN$14="Boss",(IF(LEN($BY$14)&gt;0,1,0)+IF(LEN($BZ$14)&gt;0,1,0)+IF(LEN($CA$14)&gt;0,1,0)+IF(LEN($CB$14)&gt;0,1,0))&lt;4),"Boss tem 4 Fraquezas (20.2): faltam "&amp;(4-(IF(LEN($BY$14)&gt;0,1,0)+IF(LEN($BZ$14)&gt;0,1,0)+IF(LEN($CA$14)&gt;0,1,0)+IF(LEN($CB$14)&gt;0,1,0))),IF(AND($BN$14="Elite",(IF(LEN($BY$14)&gt;0,1,0)+IF(LEN($BZ$14)&gt;0,1,0)+IF(LEN($CA$14)&gt;0,1,0)+IF(LEN($CB$14)&gt;0,1,0))&lt;3),"Elite tem 3 Fraquezas (20.2): faltam "&amp;(3-(IF(LEN($BY$14)&gt;0,1,0)+IF(LEN($BZ$14)&gt;0,1,0)+IF(LEN($CA$14)&gt;0,1,0)+IF(LEN($CB$14)&gt;0,1,0))),IF((IF(LEN($BY$14)&gt;0,1,0)+IF(LEN($BZ$14)&gt;0,1,0)+IF(LEN($CA$14)&gt;0,1,0)+IF(LEN($CB$14)&gt;0,1,0))=0,"Sem Fraqueza: todo inimigo tem pelo menos 1 (20.2)",""))))</f>
        <v/>
      </c>
    </row>
    <row r="76" ht="26" customHeight="1">
      <c r="A76" s="31">
        <f>IF(LEN($DQ$15)&gt;0,"5 · "&amp;$DQ$15,"5 · (vazio)")</f>
        <v/>
      </c>
      <c r="B76" s="5">
        <f>IF(LEN($DQ$15)=0,"",IFERROR(INDEX('Dados'!$J$38:$J$52,MATCH($BS$15,'Dados'!$A$38:$A$52,0)),"")&amp;" · média "&amp;IFERROR(INDEX('Dados'!$K$38:$K$52,MATCH($BS$15,'Dados'!$A$38:$A$52,0)),""))</f>
        <v/>
      </c>
      <c r="E76" s="18">
        <f>IF(LEN($DQ$15)=0,"",IFERROR(INDEX('Dados'!$N$38:$N$52,MATCH($BS$15,'Dados'!$A$38:$A$52,0)),""))</f>
        <v/>
      </c>
      <c r="F76" s="5">
        <f>IF(LEN($DQ$15)=0,"","VEL "&amp;IFERROR(INDEX('Dados'!$H$38:$H$52,MATCH($BS$15,'Dados'!$A$38:$A$52,0)),"")&amp;", "&amp;IFERROR(INDEX('Dados'!$P$38:$P$52,MATCH($BS$15,'Dados'!$A$38:$A$52,0)),""))</f>
        <v/>
      </c>
      <c r="H76" s="18">
        <f>IF(LEN($DQ$15)=0,"",IFERROR(INDEX('Dados'!$Q$38:$Q$52,MATCH($BS$15,'Dados'!$A$38:$A$52,0)),""))</f>
        <v/>
      </c>
      <c r="I76" s="18">
        <f>IF(LEN($DQ$15)=0,"",$AI$15)</f>
        <v/>
      </c>
      <c r="J76" s="18">
        <f>IF(LEN($DQ$15)=0,"",$AF$15)</f>
        <v/>
      </c>
      <c r="K76" s="19">
        <f>IF(LEN($DQ$15)=0,"",IF(AND($BN$15="Boss",(IF(LEN($BY$15)&gt;0,1,0)+IF(LEN($BZ$15)&gt;0,1,0)+IF(LEN($CA$15)&gt;0,1,0)+IF(LEN($CB$15)&gt;0,1,0))&lt;4),"Boss tem 4 Fraquezas (20.2): faltam "&amp;(4-(IF(LEN($BY$15)&gt;0,1,0)+IF(LEN($BZ$15)&gt;0,1,0)+IF(LEN($CA$15)&gt;0,1,0)+IF(LEN($CB$15)&gt;0,1,0))),IF(AND($BN$15="Elite",(IF(LEN($BY$15)&gt;0,1,0)+IF(LEN($BZ$15)&gt;0,1,0)+IF(LEN($CA$15)&gt;0,1,0)+IF(LEN($CB$15)&gt;0,1,0))&lt;3),"Elite tem 3 Fraquezas (20.2): faltam "&amp;(3-(IF(LEN($BY$15)&gt;0,1,0)+IF(LEN($BZ$15)&gt;0,1,0)+IF(LEN($CA$15)&gt;0,1,0)+IF(LEN($CB$15)&gt;0,1,0))),IF((IF(LEN($BY$15)&gt;0,1,0)+IF(LEN($BZ$15)&gt;0,1,0)+IF(LEN($CA$15)&gt;0,1,0)+IF(LEN($CB$15)&gt;0,1,0))=0,"Sem Fraqueza: todo inimigo tem pelo menos 1 (20.2)",""))))</f>
        <v/>
      </c>
    </row>
    <row r="77" ht="26" customHeight="1">
      <c r="A77" s="43">
        <f>IF(LEN($DQ$16)&gt;0,"6 · "&amp;$DQ$16,"6 · (vazio)")</f>
        <v/>
      </c>
      <c r="B77" s="10">
        <f>IF(LEN($DQ$16)=0,"",IFERROR(INDEX('Dados'!$J$38:$J$52,MATCH($BS$16,'Dados'!$A$38:$A$52,0)),"")&amp;" · média "&amp;IFERROR(INDEX('Dados'!$K$38:$K$52,MATCH($BS$16,'Dados'!$A$38:$A$52,0)),""))</f>
        <v/>
      </c>
      <c r="E77" s="23">
        <f>IF(LEN($DQ$16)=0,"",IFERROR(INDEX('Dados'!$N$38:$N$52,MATCH($BS$16,'Dados'!$A$38:$A$52,0)),""))</f>
        <v/>
      </c>
      <c r="F77" s="10">
        <f>IF(LEN($DQ$16)=0,"","VEL "&amp;IFERROR(INDEX('Dados'!$H$38:$H$52,MATCH($BS$16,'Dados'!$A$38:$A$52,0)),"")&amp;", "&amp;IFERROR(INDEX('Dados'!$P$38:$P$52,MATCH($BS$16,'Dados'!$A$38:$A$52,0)),""))</f>
        <v/>
      </c>
      <c r="H77" s="23">
        <f>IF(LEN($DQ$16)=0,"",IFERROR(INDEX('Dados'!$Q$38:$Q$52,MATCH($BS$16,'Dados'!$A$38:$A$52,0)),""))</f>
        <v/>
      </c>
      <c r="I77" s="23">
        <f>IF(LEN($DQ$16)=0,"",$AI$16)</f>
        <v/>
      </c>
      <c r="J77" s="23">
        <f>IF(LEN($DQ$16)=0,"",$AF$16)</f>
        <v/>
      </c>
      <c r="K77" s="27">
        <f>IF(LEN($DQ$16)=0,"",IF(AND($BN$16="Boss",(IF(LEN($BY$16)&gt;0,1,0)+IF(LEN($BZ$16)&gt;0,1,0)+IF(LEN($CA$16)&gt;0,1,0)+IF(LEN($CB$16)&gt;0,1,0))&lt;4),"Boss tem 4 Fraquezas (20.2): faltam "&amp;(4-(IF(LEN($BY$16)&gt;0,1,0)+IF(LEN($BZ$16)&gt;0,1,0)+IF(LEN($CA$16)&gt;0,1,0)+IF(LEN($CB$16)&gt;0,1,0))),IF(AND($BN$16="Elite",(IF(LEN($BY$16)&gt;0,1,0)+IF(LEN($BZ$16)&gt;0,1,0)+IF(LEN($CA$16)&gt;0,1,0)+IF(LEN($CB$16)&gt;0,1,0))&lt;3),"Elite tem 3 Fraquezas (20.2): faltam "&amp;(3-(IF(LEN($BY$16)&gt;0,1,0)+IF(LEN($BZ$16)&gt;0,1,0)+IF(LEN($CA$16)&gt;0,1,0)+IF(LEN($CB$16)&gt;0,1,0))),IF((IF(LEN($BY$16)&gt;0,1,0)+IF(LEN($BZ$16)&gt;0,1,0)+IF(LEN($CA$16)&gt;0,1,0)+IF(LEN($CB$16)&gt;0,1,0))=0,"Sem Fraqueza: todo inimigo tem pelo menos 1 (20.2)",""))))</f>
        <v/>
      </c>
    </row>
    <row r="78" ht="26" customHeight="1">
      <c r="A78" s="31">
        <f>IF(LEN($DQ$17)&gt;0,"7 · "&amp;$DQ$17,"7 · (vazio)")</f>
        <v/>
      </c>
      <c r="B78" s="5">
        <f>IF(LEN($DQ$17)=0,"",IFERROR(INDEX('Dados'!$J$38:$J$52,MATCH($BS$17,'Dados'!$A$38:$A$52,0)),"")&amp;" · média "&amp;IFERROR(INDEX('Dados'!$K$38:$K$52,MATCH($BS$17,'Dados'!$A$38:$A$52,0)),""))</f>
        <v/>
      </c>
      <c r="E78" s="18">
        <f>IF(LEN($DQ$17)=0,"",IFERROR(INDEX('Dados'!$N$38:$N$52,MATCH($BS$17,'Dados'!$A$38:$A$52,0)),""))</f>
        <v/>
      </c>
      <c r="F78" s="5">
        <f>IF(LEN($DQ$17)=0,"","VEL "&amp;IFERROR(INDEX('Dados'!$H$38:$H$52,MATCH($BS$17,'Dados'!$A$38:$A$52,0)),"")&amp;", "&amp;IFERROR(INDEX('Dados'!$P$38:$P$52,MATCH($BS$17,'Dados'!$A$38:$A$52,0)),""))</f>
        <v/>
      </c>
      <c r="H78" s="18">
        <f>IF(LEN($DQ$17)=0,"",IFERROR(INDEX('Dados'!$Q$38:$Q$52,MATCH($BS$17,'Dados'!$A$38:$A$52,0)),""))</f>
        <v/>
      </c>
      <c r="I78" s="18">
        <f>IF(LEN($DQ$17)=0,"",$AI$17)</f>
        <v/>
      </c>
      <c r="J78" s="18">
        <f>IF(LEN($DQ$17)=0,"",$AF$17)</f>
        <v/>
      </c>
      <c r="K78" s="19">
        <f>IF(LEN($DQ$17)=0,"",IF(AND($BN$17="Boss",(IF(LEN($BY$17)&gt;0,1,0)+IF(LEN($BZ$17)&gt;0,1,0)+IF(LEN($CA$17)&gt;0,1,0)+IF(LEN($CB$17)&gt;0,1,0))&lt;4),"Boss tem 4 Fraquezas (20.2): faltam "&amp;(4-(IF(LEN($BY$17)&gt;0,1,0)+IF(LEN($BZ$17)&gt;0,1,0)+IF(LEN($CA$17)&gt;0,1,0)+IF(LEN($CB$17)&gt;0,1,0))),IF(AND($BN$17="Elite",(IF(LEN($BY$17)&gt;0,1,0)+IF(LEN($BZ$17)&gt;0,1,0)+IF(LEN($CA$17)&gt;0,1,0)+IF(LEN($CB$17)&gt;0,1,0))&lt;3),"Elite tem 3 Fraquezas (20.2): faltam "&amp;(3-(IF(LEN($BY$17)&gt;0,1,0)+IF(LEN($BZ$17)&gt;0,1,0)+IF(LEN($CA$17)&gt;0,1,0)+IF(LEN($CB$17)&gt;0,1,0))),IF((IF(LEN($BY$17)&gt;0,1,0)+IF(LEN($BZ$17)&gt;0,1,0)+IF(LEN($CA$17)&gt;0,1,0)+IF(LEN($CB$17)&gt;0,1,0))=0,"Sem Fraqueza: todo inimigo tem pelo menos 1 (20.2)",""))))</f>
        <v/>
      </c>
    </row>
    <row r="79" ht="26" customHeight="1">
      <c r="A79" s="43">
        <f>IF(LEN($DQ$18)&gt;0,"8 · "&amp;$DQ$18,"8 · (vazio)")</f>
        <v/>
      </c>
      <c r="B79" s="10">
        <f>IF(LEN($DQ$18)=0,"",IFERROR(INDEX('Dados'!$J$38:$J$52,MATCH($BS$18,'Dados'!$A$38:$A$52,0)),"")&amp;" · média "&amp;IFERROR(INDEX('Dados'!$K$38:$K$52,MATCH($BS$18,'Dados'!$A$38:$A$52,0)),""))</f>
        <v/>
      </c>
      <c r="E79" s="23">
        <f>IF(LEN($DQ$18)=0,"",IFERROR(INDEX('Dados'!$N$38:$N$52,MATCH($BS$18,'Dados'!$A$38:$A$52,0)),""))</f>
        <v/>
      </c>
      <c r="F79" s="10">
        <f>IF(LEN($DQ$18)=0,"","VEL "&amp;IFERROR(INDEX('Dados'!$H$38:$H$52,MATCH($BS$18,'Dados'!$A$38:$A$52,0)),"")&amp;", "&amp;IFERROR(INDEX('Dados'!$P$38:$P$52,MATCH($BS$18,'Dados'!$A$38:$A$52,0)),""))</f>
        <v/>
      </c>
      <c r="H79" s="23">
        <f>IF(LEN($DQ$18)=0,"",IFERROR(INDEX('Dados'!$Q$38:$Q$52,MATCH($BS$18,'Dados'!$A$38:$A$52,0)),""))</f>
        <v/>
      </c>
      <c r="I79" s="23">
        <f>IF(LEN($DQ$18)=0,"",$AI$18)</f>
        <v/>
      </c>
      <c r="J79" s="23">
        <f>IF(LEN($DQ$18)=0,"",$AF$18)</f>
        <v/>
      </c>
      <c r="K79" s="27">
        <f>IF(LEN($DQ$18)=0,"",IF(AND($BN$18="Boss",(IF(LEN($BY$18)&gt;0,1,0)+IF(LEN($BZ$18)&gt;0,1,0)+IF(LEN($CA$18)&gt;0,1,0)+IF(LEN($CB$18)&gt;0,1,0))&lt;4),"Boss tem 4 Fraquezas (20.2): faltam "&amp;(4-(IF(LEN($BY$18)&gt;0,1,0)+IF(LEN($BZ$18)&gt;0,1,0)+IF(LEN($CA$18)&gt;0,1,0)+IF(LEN($CB$18)&gt;0,1,0))),IF(AND($BN$18="Elite",(IF(LEN($BY$18)&gt;0,1,0)+IF(LEN($BZ$18)&gt;0,1,0)+IF(LEN($CA$18)&gt;0,1,0)+IF(LEN($CB$18)&gt;0,1,0))&lt;3),"Elite tem 3 Fraquezas (20.2): faltam "&amp;(3-(IF(LEN($BY$18)&gt;0,1,0)+IF(LEN($BZ$18)&gt;0,1,0)+IF(LEN($CA$18)&gt;0,1,0)+IF(LEN($CB$18)&gt;0,1,0))),IF((IF(LEN($BY$18)&gt;0,1,0)+IF(LEN($BZ$18)&gt;0,1,0)+IF(LEN($CA$18)&gt;0,1,0)+IF(LEN($CB$18)&gt;0,1,0))=0,"Sem Fraqueza: todo inimigo tem pelo menos 1 (20.2)",""))))</f>
        <v/>
      </c>
    </row>
    <row r="80" ht="26" customHeight="1">
      <c r="A80" s="31">
        <f>IF(LEN($DQ$19)&gt;0,"9 · "&amp;$DQ$19,"9 · (vazio)")</f>
        <v/>
      </c>
      <c r="B80" s="5">
        <f>IF(LEN($DQ$19)=0,"",IFERROR(INDEX('Dados'!$J$38:$J$52,MATCH($BS$19,'Dados'!$A$38:$A$52,0)),"")&amp;" · média "&amp;IFERROR(INDEX('Dados'!$K$38:$K$52,MATCH($BS$19,'Dados'!$A$38:$A$52,0)),""))</f>
        <v/>
      </c>
      <c r="E80" s="18">
        <f>IF(LEN($DQ$19)=0,"",IFERROR(INDEX('Dados'!$N$38:$N$52,MATCH($BS$19,'Dados'!$A$38:$A$52,0)),""))</f>
        <v/>
      </c>
      <c r="F80" s="5">
        <f>IF(LEN($DQ$19)=0,"","VEL "&amp;IFERROR(INDEX('Dados'!$H$38:$H$52,MATCH($BS$19,'Dados'!$A$38:$A$52,0)),"")&amp;", "&amp;IFERROR(INDEX('Dados'!$P$38:$P$52,MATCH($BS$19,'Dados'!$A$38:$A$52,0)),""))</f>
        <v/>
      </c>
      <c r="H80" s="18">
        <f>IF(LEN($DQ$19)=0,"",IFERROR(INDEX('Dados'!$Q$38:$Q$52,MATCH($BS$19,'Dados'!$A$38:$A$52,0)),""))</f>
        <v/>
      </c>
      <c r="I80" s="18">
        <f>IF(LEN($DQ$19)=0,"",$AI$19)</f>
        <v/>
      </c>
      <c r="J80" s="18">
        <f>IF(LEN($DQ$19)=0,"",$AF$19)</f>
        <v/>
      </c>
      <c r="K80" s="19">
        <f>IF(LEN($DQ$19)=0,"",IF(AND($BN$19="Boss",(IF(LEN($BY$19)&gt;0,1,0)+IF(LEN($BZ$19)&gt;0,1,0)+IF(LEN($CA$19)&gt;0,1,0)+IF(LEN($CB$19)&gt;0,1,0))&lt;4),"Boss tem 4 Fraquezas (20.2): faltam "&amp;(4-(IF(LEN($BY$19)&gt;0,1,0)+IF(LEN($BZ$19)&gt;0,1,0)+IF(LEN($CA$19)&gt;0,1,0)+IF(LEN($CB$19)&gt;0,1,0))),IF(AND($BN$19="Elite",(IF(LEN($BY$19)&gt;0,1,0)+IF(LEN($BZ$19)&gt;0,1,0)+IF(LEN($CA$19)&gt;0,1,0)+IF(LEN($CB$19)&gt;0,1,0))&lt;3),"Elite tem 3 Fraquezas (20.2): faltam "&amp;(3-(IF(LEN($BY$19)&gt;0,1,0)+IF(LEN($BZ$19)&gt;0,1,0)+IF(LEN($CA$19)&gt;0,1,0)+IF(LEN($CB$19)&gt;0,1,0))),IF((IF(LEN($BY$19)&gt;0,1,0)+IF(LEN($BZ$19)&gt;0,1,0)+IF(LEN($CA$19)&gt;0,1,0)+IF(LEN($CB$19)&gt;0,1,0))=0,"Sem Fraqueza: todo inimigo tem pelo menos 1 (20.2)",""))))</f>
        <v/>
      </c>
    </row>
    <row r="81" ht="37" customHeight="1">
      <c r="A81" s="43">
        <f>IF(LEN($DQ$20)&gt;0,"10 · "&amp;$DQ$20,"10 · (vazio)")</f>
        <v/>
      </c>
      <c r="B81" s="10">
        <f>IF(LEN($DQ$20)=0,"",IFERROR(INDEX('Dados'!$J$38:$J$52,MATCH($BS$20,'Dados'!$A$38:$A$52,0)),"")&amp;" · média "&amp;IFERROR(INDEX('Dados'!$K$38:$K$52,MATCH($BS$20,'Dados'!$A$38:$A$52,0)),""))</f>
        <v/>
      </c>
      <c r="E81" s="23">
        <f>IF(LEN($DQ$20)=0,"",IFERROR(INDEX('Dados'!$N$38:$N$52,MATCH($BS$20,'Dados'!$A$38:$A$52,0)),""))</f>
        <v/>
      </c>
      <c r="F81" s="10">
        <f>IF(LEN($DQ$20)=0,"","VEL "&amp;IFERROR(INDEX('Dados'!$H$38:$H$52,MATCH($BS$20,'Dados'!$A$38:$A$52,0)),"")&amp;", "&amp;IFERROR(INDEX('Dados'!$P$38:$P$52,MATCH($BS$20,'Dados'!$A$38:$A$52,0)),""))</f>
        <v/>
      </c>
      <c r="H81" s="23">
        <f>IF(LEN($DQ$20)=0,"",IFERROR(INDEX('Dados'!$Q$38:$Q$52,MATCH($BS$20,'Dados'!$A$38:$A$52,0)),""))</f>
        <v/>
      </c>
      <c r="I81" s="23">
        <f>IF(LEN($DQ$20)=0,"",$AI$20)</f>
        <v/>
      </c>
      <c r="J81" s="23">
        <f>IF(LEN($DQ$20)=0,"",$AF$20)</f>
        <v/>
      </c>
      <c r="K81" s="27">
        <f>IF(LEN($DQ$20)=0,"",IF(AND($BN$20="Boss",(IF(LEN($BY$20)&gt;0,1,0)+IF(LEN($BZ$20)&gt;0,1,0)+IF(LEN($CA$20)&gt;0,1,0)+IF(LEN($CB$20)&gt;0,1,0))&lt;4),"Boss tem 4 Fraquezas (20.2): faltam "&amp;(4-(IF(LEN($BY$20)&gt;0,1,0)+IF(LEN($BZ$20)&gt;0,1,0)+IF(LEN($CA$20)&gt;0,1,0)+IF(LEN($CB$20)&gt;0,1,0))),IF(AND($BN$20="Elite",(IF(LEN($BY$20)&gt;0,1,0)+IF(LEN($BZ$20)&gt;0,1,0)+IF(LEN($CA$20)&gt;0,1,0)+IF(LEN($CB$20)&gt;0,1,0))&lt;3),"Elite tem 3 Fraquezas (20.2): faltam "&amp;(3-(IF(LEN($BY$20)&gt;0,1,0)+IF(LEN($BZ$20)&gt;0,1,0)+IF(LEN($CA$20)&gt;0,1,0)+IF(LEN($CB$20)&gt;0,1,0))),IF((IF(LEN($BY$20)&gt;0,1,0)+IF(LEN($BZ$20)&gt;0,1,0)+IF(LEN($CA$20)&gt;0,1,0)+IF(LEN($CB$20)&gt;0,1,0))=0,"Sem Fraqueza: todo inimigo tem pelo menos 1 (20.2)",""))))</f>
        <v/>
      </c>
    </row>
    <row r="82" ht="26" customHeight="1">
      <c r="A82" s="31">
        <f>IF(LEN($DQ$21)&gt;0,"11 · "&amp;$DQ$21,"11 · (vazio)")</f>
        <v/>
      </c>
      <c r="B82" s="5">
        <f>IF(LEN($DQ$21)=0,"",IFERROR(INDEX('Dados'!$J$38:$J$52,MATCH($BS$21,'Dados'!$A$38:$A$52,0)),"")&amp;" · média "&amp;IFERROR(INDEX('Dados'!$K$38:$K$52,MATCH($BS$21,'Dados'!$A$38:$A$52,0)),""))</f>
        <v/>
      </c>
      <c r="E82" s="18">
        <f>IF(LEN($DQ$21)=0,"",IFERROR(INDEX('Dados'!$N$38:$N$52,MATCH($BS$21,'Dados'!$A$38:$A$52,0)),""))</f>
        <v/>
      </c>
      <c r="F82" s="5">
        <f>IF(LEN($DQ$21)=0,"","VEL "&amp;IFERROR(INDEX('Dados'!$H$38:$H$52,MATCH($BS$21,'Dados'!$A$38:$A$52,0)),"")&amp;", "&amp;IFERROR(INDEX('Dados'!$P$38:$P$52,MATCH($BS$21,'Dados'!$A$38:$A$52,0)),""))</f>
        <v/>
      </c>
      <c r="H82" s="18">
        <f>IF(LEN($DQ$21)=0,"",IFERROR(INDEX('Dados'!$Q$38:$Q$52,MATCH($BS$21,'Dados'!$A$38:$A$52,0)),""))</f>
        <v/>
      </c>
      <c r="I82" s="18">
        <f>IF(LEN($DQ$21)=0,"",$AI$21)</f>
        <v/>
      </c>
      <c r="J82" s="18">
        <f>IF(LEN($DQ$21)=0,"",$AF$21)</f>
        <v/>
      </c>
      <c r="K82" s="19">
        <f>IF(LEN($DQ$21)=0,"",IF(AND($BN$21="Boss",(IF(LEN($BY$21)&gt;0,1,0)+IF(LEN($BZ$21)&gt;0,1,0)+IF(LEN($CA$21)&gt;0,1,0)+IF(LEN($CB$21)&gt;0,1,0))&lt;4),"Boss tem 4 Fraquezas (20.2): faltam "&amp;(4-(IF(LEN($BY$21)&gt;0,1,0)+IF(LEN($BZ$21)&gt;0,1,0)+IF(LEN($CA$21)&gt;0,1,0)+IF(LEN($CB$21)&gt;0,1,0))),IF(AND($BN$21="Elite",(IF(LEN($BY$21)&gt;0,1,0)+IF(LEN($BZ$21)&gt;0,1,0)+IF(LEN($CA$21)&gt;0,1,0)+IF(LEN($CB$21)&gt;0,1,0))&lt;3),"Elite tem 3 Fraquezas (20.2): faltam "&amp;(3-(IF(LEN($BY$21)&gt;0,1,0)+IF(LEN($BZ$21)&gt;0,1,0)+IF(LEN($CA$21)&gt;0,1,0)+IF(LEN($CB$21)&gt;0,1,0))),IF((IF(LEN($BY$21)&gt;0,1,0)+IF(LEN($BZ$21)&gt;0,1,0)+IF(LEN($CA$21)&gt;0,1,0)+IF(LEN($CB$21)&gt;0,1,0))=0,"Sem Fraqueza: todo inimigo tem pelo menos 1 (20.2)",""))))</f>
        <v/>
      </c>
    </row>
    <row r="83" ht="26" customHeight="1">
      <c r="A83" s="43">
        <f>IF(LEN($DQ$22)&gt;0,"12 · "&amp;$DQ$22,"12 · (vazio)")</f>
        <v/>
      </c>
      <c r="B83" s="10">
        <f>IF(LEN($DQ$22)=0,"",IFERROR(INDEX('Dados'!$J$38:$J$52,MATCH($BS$22,'Dados'!$A$38:$A$52,0)),"")&amp;" · média "&amp;IFERROR(INDEX('Dados'!$K$38:$K$52,MATCH($BS$22,'Dados'!$A$38:$A$52,0)),""))</f>
        <v/>
      </c>
      <c r="E83" s="23">
        <f>IF(LEN($DQ$22)=0,"",IFERROR(INDEX('Dados'!$N$38:$N$52,MATCH($BS$22,'Dados'!$A$38:$A$52,0)),""))</f>
        <v/>
      </c>
      <c r="F83" s="10">
        <f>IF(LEN($DQ$22)=0,"","VEL "&amp;IFERROR(INDEX('Dados'!$H$38:$H$52,MATCH($BS$22,'Dados'!$A$38:$A$52,0)),"")&amp;", "&amp;IFERROR(INDEX('Dados'!$P$38:$P$52,MATCH($BS$22,'Dados'!$A$38:$A$52,0)),""))</f>
        <v/>
      </c>
      <c r="H83" s="23">
        <f>IF(LEN($DQ$22)=0,"",IFERROR(INDEX('Dados'!$Q$38:$Q$52,MATCH($BS$22,'Dados'!$A$38:$A$52,0)),""))</f>
        <v/>
      </c>
      <c r="I83" s="23">
        <f>IF(LEN($DQ$22)=0,"",$AI$22)</f>
        <v/>
      </c>
      <c r="J83" s="23">
        <f>IF(LEN($DQ$22)=0,"",$AF$22)</f>
        <v/>
      </c>
      <c r="K83" s="27">
        <f>IF(LEN($DQ$22)=0,"",IF(AND($BN$22="Boss",(IF(LEN($BY$22)&gt;0,1,0)+IF(LEN($BZ$22)&gt;0,1,0)+IF(LEN($CA$22)&gt;0,1,0)+IF(LEN($CB$22)&gt;0,1,0))&lt;4),"Boss tem 4 Fraquezas (20.2): faltam "&amp;(4-(IF(LEN($BY$22)&gt;0,1,0)+IF(LEN($BZ$22)&gt;0,1,0)+IF(LEN($CA$22)&gt;0,1,0)+IF(LEN($CB$22)&gt;0,1,0))),IF(AND($BN$22="Elite",(IF(LEN($BY$22)&gt;0,1,0)+IF(LEN($BZ$22)&gt;0,1,0)+IF(LEN($CA$22)&gt;0,1,0)+IF(LEN($CB$22)&gt;0,1,0))&lt;3),"Elite tem 3 Fraquezas (20.2): faltam "&amp;(3-(IF(LEN($BY$22)&gt;0,1,0)+IF(LEN($BZ$22)&gt;0,1,0)+IF(LEN($CA$22)&gt;0,1,0)+IF(LEN($CB$22)&gt;0,1,0))),IF((IF(LEN($BY$22)&gt;0,1,0)+IF(LEN($BZ$22)&gt;0,1,0)+IF(LEN($CA$22)&gt;0,1,0)+IF(LEN($CB$22)&gt;0,1,0))=0,"Sem Fraqueza: todo inimigo tem pelo menos 1 (20.2)",""))))</f>
        <v/>
      </c>
    </row>
    <row r="84"/>
    <row r="85" ht="20" customHeight="1">
      <c r="A85" s="13" t="inlineStr">
        <is>
          <t>I5 · Fases dos Bosses criados (28.5: a fase troca, não soma; Tenacidade ≤ âncora)</t>
        </is>
      </c>
    </row>
    <row r="86">
      <c r="A86" s="12" t="inlineStr">
        <is>
          <t>Sugestão da planilha — não é regra do livro (H4): limiares em partes iguais: 2 fases → topo da fase 2 = metade dos PV; 3 fases → 2/3 e 1/3. No modo Ajustar, as fases vêm da base (a I5 vence se preenchida).</t>
        </is>
      </c>
    </row>
    <row r="87" ht="26" customHeight="1">
      <c r="A87" s="8" t="inlineStr">
        <is>
          <t>Inimigo</t>
        </is>
      </c>
      <c r="B87" s="20" t="n"/>
      <c r="C87" s="8" t="inlineStr">
        <is>
          <t>Fase (2 ou 3)</t>
        </is>
      </c>
      <c r="D87" s="8" t="inlineStr">
        <is>
          <t>Fraqueza 1</t>
        </is>
      </c>
      <c r="E87" s="8" t="inlineStr">
        <is>
          <t>Fraqueza 2</t>
        </is>
      </c>
      <c r="F87" s="8" t="inlineStr">
        <is>
          <t>Fraqueza 3</t>
        </is>
      </c>
      <c r="G87" s="8" t="inlineStr">
        <is>
          <t>Fraqueza 4</t>
        </is>
      </c>
      <c r="H87" s="8" t="inlineStr">
        <is>
          <t>Tenacidade da fase</t>
        </is>
      </c>
      <c r="I87" s="8" t="inlineStr">
        <is>
          <t>Ritmo</t>
        </is>
      </c>
      <c r="J87" s="20" t="n"/>
      <c r="K87" s="8" t="inlineStr">
        <is>
          <t>Aviso</t>
        </is>
      </c>
      <c r="L87" s="20" t="n"/>
    </row>
    <row r="88" ht="48" customHeight="1">
      <c r="A88" s="33" t="n"/>
      <c r="B88" s="17" t="n"/>
      <c r="C88" s="16" t="n"/>
      <c r="D88" s="34" t="n"/>
      <c r="E88" s="34" t="n"/>
      <c r="F88" s="34" t="n"/>
      <c r="G88" s="34" t="n"/>
      <c r="H88" s="16" t="n"/>
      <c r="I88" s="4" t="n"/>
      <c r="J88" s="17" t="n"/>
      <c r="K88" s="19">
        <f>IF(EA88&gt;0,"O Google leu como fórmula: escolha de novo ou digite com ' na frente.",IF(LEN($DQ$88)=0,"",IF(NOT(ISNUMBER($O$88)),"Inimigo fora da tabela I1",IF(NOT(ISNUMBER($DS$88)),"Diga a fase (2 ou 3)",IF($DS$88&gt;INDEX($BV$11:$BV$22,$O$88),"Fase para inimigo sem essa fase: confira Fases na I1",IF(AND(ISNUMBER($DX$88),$DX$88&gt;INDEX($T$11:$T$22,$O$88)),"Tenacidade acima da âncora: a planilha usa a âncora (28.5 regra 3)",IF((IF(LEN($DT$88)&gt;0,1,0)+IF(LEN($DU$88)&gt;0,1,0)+IF(LEN($DV$88)&gt;0,1,0)+IF(LEN($DW$88)&gt;0,1,0))&lt;4,"Boss tem 4 Fraquezas em cada fase (28.5 regra 4)","")))))))</f>
        <v/>
      </c>
      <c r="N88" s="2">
        <f>IF(LEN($DQ$88)&gt;0,$DQ$88&amp;"|"&amp;$DS$88,"")</f>
        <v/>
      </c>
      <c r="O88" s="2">
        <f>IFERROR(MATCH($DQ$88,$DQ$11:$DQ$22,0),"")</f>
        <v/>
      </c>
      <c r="DQ88" s="2">
        <f>IF(ISERROR($A$88),"",IF(ISBLANK($A$88),"",$A$88))</f>
        <v/>
      </c>
      <c r="DS88" s="2">
        <f>IF(ISERROR($C$88),"",IF(ISBLANK($C$88),"",$C$88))</f>
        <v/>
      </c>
      <c r="DT88" s="2">
        <f>IF(ISERROR($D$88),"",IF(ISBLANK($D$88),"",$D$88))</f>
        <v/>
      </c>
      <c r="DU88" s="2">
        <f>IF(ISERROR($E$88),"",IF(ISBLANK($E$88),"",$E$88))</f>
        <v/>
      </c>
      <c r="DV88" s="2">
        <f>IF(ISERROR($F$88),"",IF(ISBLANK($F$88),"",$F$88))</f>
        <v/>
      </c>
      <c r="DW88" s="2">
        <f>IF(ISERROR($G$88),"",IF(ISBLANK($G$88),"",$G$88))</f>
        <v/>
      </c>
      <c r="DX88" s="2">
        <f>IF(ISERROR($H$88),"",IF(ISBLANK($H$88),"",$H$88))</f>
        <v/>
      </c>
      <c r="EA88" s="2">
        <f>ISERROR($A$88)*1+ISERROR($C$88)*1+ISERROR($D$88)*1+ISERROR($E$88)*1+ISERROR($F$88)*1+ISERROR($G$88)*1+ISERROR($H$88)*1+ISERROR($I$88)*1</f>
        <v/>
      </c>
    </row>
    <row r="89" ht="48" customHeight="1">
      <c r="A89" s="35" t="n"/>
      <c r="B89" s="17" t="n"/>
      <c r="C89" s="37" t="n"/>
      <c r="D89" s="36" t="n"/>
      <c r="E89" s="36" t="n"/>
      <c r="F89" s="36" t="n"/>
      <c r="G89" s="36" t="n"/>
      <c r="H89" s="37" t="n"/>
      <c r="I89" s="29" t="n"/>
      <c r="J89" s="17" t="n"/>
      <c r="K89" s="27">
        <f>IF(EA89&gt;0,"O Google leu como fórmula: escolha de novo ou digite com ' na frente.",IF(LEN($DQ$89)=0,"",IF(NOT(ISNUMBER($O$89)),"Inimigo fora da tabela I1",IF(NOT(ISNUMBER($DS$89)),"Diga a fase (2 ou 3)",IF($DS$89&gt;INDEX($BV$11:$BV$22,$O$89),"Fase para inimigo sem essa fase: confira Fases na I1",IF(AND(ISNUMBER($DX$89),$DX$89&gt;INDEX($T$11:$T$22,$O$89)),"Tenacidade acima da âncora: a planilha usa a âncora (28.5 regra 3)",IF((IF(LEN($DT$89)&gt;0,1,0)+IF(LEN($DU$89)&gt;0,1,0)+IF(LEN($DV$89)&gt;0,1,0)+IF(LEN($DW$89)&gt;0,1,0))&lt;4,"Boss tem 4 Fraquezas em cada fase (28.5 regra 4)","")))))))</f>
        <v/>
      </c>
      <c r="N89" s="2">
        <f>IF(LEN($DQ$89)&gt;0,$DQ$89&amp;"|"&amp;$DS$89,"")</f>
        <v/>
      </c>
      <c r="O89" s="2">
        <f>IFERROR(MATCH($DQ$89,$DQ$11:$DQ$22,0),"")</f>
        <v/>
      </c>
      <c r="DQ89" s="2">
        <f>IF(ISERROR($A$89),"",IF(ISBLANK($A$89),"",$A$89))</f>
        <v/>
      </c>
      <c r="DS89" s="2">
        <f>IF(ISERROR($C$89),"",IF(ISBLANK($C$89),"",$C$89))</f>
        <v/>
      </c>
      <c r="DT89" s="2">
        <f>IF(ISERROR($D$89),"",IF(ISBLANK($D$89),"",$D$89))</f>
        <v/>
      </c>
      <c r="DU89" s="2">
        <f>IF(ISERROR($E$89),"",IF(ISBLANK($E$89),"",$E$89))</f>
        <v/>
      </c>
      <c r="DV89" s="2">
        <f>IF(ISERROR($F$89),"",IF(ISBLANK($F$89),"",$F$89))</f>
        <v/>
      </c>
      <c r="DW89" s="2">
        <f>IF(ISERROR($G$89),"",IF(ISBLANK($G$89),"",$G$89))</f>
        <v/>
      </c>
      <c r="DX89" s="2">
        <f>IF(ISERROR($H$89),"",IF(ISBLANK($H$89),"",$H$89))</f>
        <v/>
      </c>
      <c r="EA89" s="2">
        <f>ISERROR($A$89)*1+ISERROR($C$89)*1+ISERROR($D$89)*1+ISERROR($E$89)*1+ISERROR($F$89)*1+ISERROR($G$89)*1+ISERROR($H$89)*1+ISERROR($I$89)*1</f>
        <v/>
      </c>
    </row>
    <row r="90" ht="37" customHeight="1">
      <c r="A90" s="33" t="n"/>
      <c r="B90" s="17" t="n"/>
      <c r="C90" s="16" t="n"/>
      <c r="D90" s="34" t="n"/>
      <c r="E90" s="34" t="n"/>
      <c r="F90" s="34" t="n"/>
      <c r="G90" s="34" t="n"/>
      <c r="H90" s="16" t="n"/>
      <c r="I90" s="4" t="n"/>
      <c r="J90" s="17" t="n"/>
      <c r="K90" s="19">
        <f>IF(EA90&gt;0,"O Google leu como fórmula: escolha de novo ou digite com ' na frente.",IF(LEN($DQ$90)=0,"",IF(NOT(ISNUMBER($O$90)),"Inimigo fora da tabela I1",IF(NOT(ISNUMBER($DS$90)),"Diga a fase (2 ou 3)",IF($DS$90&gt;INDEX($BV$11:$BV$22,$O$90),"Fase para inimigo sem essa fase: confira Fases na I1",IF(AND(ISNUMBER($DX$90),$DX$90&gt;INDEX($T$11:$T$22,$O$90)),"Tenacidade acima da âncora: a planilha usa a âncora (28.5 regra 3)",IF((IF(LEN($DT$90)&gt;0,1,0)+IF(LEN($DU$90)&gt;0,1,0)+IF(LEN($DV$90)&gt;0,1,0)+IF(LEN($DW$90)&gt;0,1,0))&lt;4,"Boss tem 4 Fraquezas em cada fase (28.5 regra 4)","")))))))</f>
        <v/>
      </c>
      <c r="N90" s="2">
        <f>IF(LEN($DQ$90)&gt;0,$DQ$90&amp;"|"&amp;$DS$90,"")</f>
        <v/>
      </c>
      <c r="O90" s="2">
        <f>IFERROR(MATCH($DQ$90,$DQ$11:$DQ$22,0),"")</f>
        <v/>
      </c>
      <c r="DQ90" s="2">
        <f>IF(ISERROR($A$90),"",IF(ISBLANK($A$90),"",$A$90))</f>
        <v/>
      </c>
      <c r="DS90" s="2">
        <f>IF(ISERROR($C$90),"",IF(ISBLANK($C$90),"",$C$90))</f>
        <v/>
      </c>
      <c r="DT90" s="2">
        <f>IF(ISERROR($D$90),"",IF(ISBLANK($D$90),"",$D$90))</f>
        <v/>
      </c>
      <c r="DU90" s="2">
        <f>IF(ISERROR($E$90),"",IF(ISBLANK($E$90),"",$E$90))</f>
        <v/>
      </c>
      <c r="DV90" s="2">
        <f>IF(ISERROR($F$90),"",IF(ISBLANK($F$90),"",$F$90))</f>
        <v/>
      </c>
      <c r="DW90" s="2">
        <f>IF(ISERROR($G$90),"",IF(ISBLANK($G$90),"",$G$90))</f>
        <v/>
      </c>
      <c r="DX90" s="2">
        <f>IF(ISERROR($H$90),"",IF(ISBLANK($H$90),"",$H$90))</f>
        <v/>
      </c>
      <c r="EA90" s="2">
        <f>ISERROR($A$90)*1+ISERROR($C$90)*1+ISERROR($D$90)*1+ISERROR($E$90)*1+ISERROR($F$90)*1+ISERROR($G$90)*1+ISERROR($H$90)*1+ISERROR($I$90)*1</f>
        <v/>
      </c>
    </row>
    <row r="91" ht="48" customHeight="1">
      <c r="A91" s="35" t="n"/>
      <c r="B91" s="17" t="n"/>
      <c r="C91" s="37" t="n"/>
      <c r="D91" s="36" t="n"/>
      <c r="E91" s="36" t="n"/>
      <c r="F91" s="36" t="n"/>
      <c r="G91" s="36" t="n"/>
      <c r="H91" s="37" t="n"/>
      <c r="I91" s="29" t="n"/>
      <c r="J91" s="17" t="n"/>
      <c r="K91" s="27">
        <f>IF(EA91&gt;0,"O Google leu como fórmula: escolha de novo ou digite com ' na frente.",IF(LEN($DQ$91)=0,"",IF(NOT(ISNUMBER($O$91)),"Inimigo fora da tabela I1",IF(NOT(ISNUMBER($DS$91)),"Diga a fase (2 ou 3)",IF($DS$91&gt;INDEX($BV$11:$BV$22,$O$91),"Fase para inimigo sem essa fase: confira Fases na I1",IF(AND(ISNUMBER($DX$91),$DX$91&gt;INDEX($T$11:$T$22,$O$91)),"Tenacidade acima da âncora: a planilha usa a âncora (28.5 regra 3)",IF((IF(LEN($DT$91)&gt;0,1,0)+IF(LEN($DU$91)&gt;0,1,0)+IF(LEN($DV$91)&gt;0,1,0)+IF(LEN($DW$91)&gt;0,1,0))&lt;4,"Boss tem 4 Fraquezas em cada fase (28.5 regra 4)","")))))))</f>
        <v/>
      </c>
      <c r="N91" s="2">
        <f>IF(LEN($DQ$91)&gt;0,$DQ$91&amp;"|"&amp;$DS$91,"")</f>
        <v/>
      </c>
      <c r="O91" s="2">
        <f>IFERROR(MATCH($DQ$91,$DQ$11:$DQ$22,0),"")</f>
        <v/>
      </c>
      <c r="DQ91" s="2">
        <f>IF(ISERROR($A$91),"",IF(ISBLANK($A$91),"",$A$91))</f>
        <v/>
      </c>
      <c r="DS91" s="2">
        <f>IF(ISERROR($C$91),"",IF(ISBLANK($C$91),"",$C$91))</f>
        <v/>
      </c>
      <c r="DT91" s="2">
        <f>IF(ISERROR($D$91),"",IF(ISBLANK($D$91),"",$D$91))</f>
        <v/>
      </c>
      <c r="DU91" s="2">
        <f>IF(ISERROR($E$91),"",IF(ISBLANK($E$91),"",$E$91))</f>
        <v/>
      </c>
      <c r="DV91" s="2">
        <f>IF(ISERROR($F$91),"",IF(ISBLANK($F$91),"",$F$91))</f>
        <v/>
      </c>
      <c r="DW91" s="2">
        <f>IF(ISERROR($G$91),"",IF(ISBLANK($G$91),"",$G$91))</f>
        <v/>
      </c>
      <c r="DX91" s="2">
        <f>IF(ISERROR($H$91),"",IF(ISBLANK($H$91),"",$H$91))</f>
        <v/>
      </c>
      <c r="EA91" s="2">
        <f>ISERROR($A$91)*1+ISERROR($C$91)*1+ISERROR($D$91)*1+ISERROR($E$91)*1+ISERROR($F$91)*1+ISERROR($G$91)*1+ISERROR($H$91)*1+ISERROR($I$91)*1</f>
        <v/>
      </c>
    </row>
    <row r="92" ht="37" customHeight="1">
      <c r="A92" s="33" t="n"/>
      <c r="B92" s="17" t="n"/>
      <c r="C92" s="16" t="n"/>
      <c r="D92" s="34" t="n"/>
      <c r="E92" s="34" t="n"/>
      <c r="F92" s="34" t="n"/>
      <c r="G92" s="34" t="n"/>
      <c r="H92" s="16" t="n"/>
      <c r="I92" s="4" t="n"/>
      <c r="J92" s="17" t="n"/>
      <c r="K92" s="19">
        <f>IF(EA92&gt;0,"O Google leu como fórmula: escolha de novo ou digite com ' na frente.",IF(LEN($DQ$92)=0,"",IF(NOT(ISNUMBER($O$92)),"Inimigo fora da tabela I1",IF(NOT(ISNUMBER($DS$92)),"Diga a fase (2 ou 3)",IF($DS$92&gt;INDEX($BV$11:$BV$22,$O$92),"Fase para inimigo sem essa fase: confira Fases na I1",IF(AND(ISNUMBER($DX$92),$DX$92&gt;INDEX($T$11:$T$22,$O$92)),"Tenacidade acima da âncora: a planilha usa a âncora (28.5 regra 3)",IF((IF(LEN($DT$92)&gt;0,1,0)+IF(LEN($DU$92)&gt;0,1,0)+IF(LEN($DV$92)&gt;0,1,0)+IF(LEN($DW$92)&gt;0,1,0))&lt;4,"Boss tem 4 Fraquezas em cada fase (28.5 regra 4)","")))))))</f>
        <v/>
      </c>
      <c r="N92" s="2">
        <f>IF(LEN($DQ$92)&gt;0,$DQ$92&amp;"|"&amp;$DS$92,"")</f>
        <v/>
      </c>
      <c r="O92" s="2">
        <f>IFERROR(MATCH($DQ$92,$DQ$11:$DQ$22,0),"")</f>
        <v/>
      </c>
      <c r="DQ92" s="2">
        <f>IF(ISERROR($A$92),"",IF(ISBLANK($A$92),"",$A$92))</f>
        <v/>
      </c>
      <c r="DS92" s="2">
        <f>IF(ISERROR($C$92),"",IF(ISBLANK($C$92),"",$C$92))</f>
        <v/>
      </c>
      <c r="DT92" s="2">
        <f>IF(ISERROR($D$92),"",IF(ISBLANK($D$92),"",$D$92))</f>
        <v/>
      </c>
      <c r="DU92" s="2">
        <f>IF(ISERROR($E$92),"",IF(ISBLANK($E$92),"",$E$92))</f>
        <v/>
      </c>
      <c r="DV92" s="2">
        <f>IF(ISERROR($F$92),"",IF(ISBLANK($F$92),"",$F$92))</f>
        <v/>
      </c>
      <c r="DW92" s="2">
        <f>IF(ISERROR($G$92),"",IF(ISBLANK($G$92),"",$G$92))</f>
        <v/>
      </c>
      <c r="DX92" s="2">
        <f>IF(ISERROR($H$92),"",IF(ISBLANK($H$92),"",$H$92))</f>
        <v/>
      </c>
      <c r="EA92" s="2">
        <f>ISERROR($A$92)*1+ISERROR($C$92)*1+ISERROR($D$92)*1+ISERROR($E$92)*1+ISERROR($F$92)*1+ISERROR($G$92)*1+ISERROR($H$92)*1+ISERROR($I$92)*1</f>
        <v/>
      </c>
    </row>
    <row r="93" ht="37" customHeight="1">
      <c r="A93" s="35" t="n"/>
      <c r="B93" s="17" t="n"/>
      <c r="C93" s="37" t="n"/>
      <c r="D93" s="36" t="n"/>
      <c r="E93" s="36" t="n"/>
      <c r="F93" s="36" t="n"/>
      <c r="G93" s="36" t="n"/>
      <c r="H93" s="37" t="n"/>
      <c r="I93" s="29" t="n"/>
      <c r="J93" s="17" t="n"/>
      <c r="K93" s="27">
        <f>IF(EA93&gt;0,"O Google leu como fórmula: escolha de novo ou digite com ' na frente.",IF(LEN($DQ$93)=0,"",IF(NOT(ISNUMBER($O$93)),"Inimigo fora da tabela I1",IF(NOT(ISNUMBER($DS$93)),"Diga a fase (2 ou 3)",IF($DS$93&gt;INDEX($BV$11:$BV$22,$O$93),"Fase para inimigo sem essa fase: confira Fases na I1",IF(AND(ISNUMBER($DX$93),$DX$93&gt;INDEX($T$11:$T$22,$O$93)),"Tenacidade acima da âncora: a planilha usa a âncora (28.5 regra 3)",IF((IF(LEN($DT$93)&gt;0,1,0)+IF(LEN($DU$93)&gt;0,1,0)+IF(LEN($DV$93)&gt;0,1,0)+IF(LEN($DW$93)&gt;0,1,0))&lt;4,"Boss tem 4 Fraquezas em cada fase (28.5 regra 4)","")))))))</f>
        <v/>
      </c>
      <c r="N93" s="2">
        <f>IF(LEN($DQ$93)&gt;0,$DQ$93&amp;"|"&amp;$DS$93,"")</f>
        <v/>
      </c>
      <c r="O93" s="2">
        <f>IFERROR(MATCH($DQ$93,$DQ$11:$DQ$22,0),"")</f>
        <v/>
      </c>
      <c r="DQ93" s="2">
        <f>IF(ISERROR($A$93),"",IF(ISBLANK($A$93),"",$A$93))</f>
        <v/>
      </c>
      <c r="DS93" s="2">
        <f>IF(ISERROR($C$93),"",IF(ISBLANK($C$93),"",$C$93))</f>
        <v/>
      </c>
      <c r="DT93" s="2">
        <f>IF(ISERROR($D$93),"",IF(ISBLANK($D$93),"",$D$93))</f>
        <v/>
      </c>
      <c r="DU93" s="2">
        <f>IF(ISERROR($E$93),"",IF(ISBLANK($E$93),"",$E$93))</f>
        <v/>
      </c>
      <c r="DV93" s="2">
        <f>IF(ISERROR($F$93),"",IF(ISBLANK($F$93),"",$F$93))</f>
        <v/>
      </c>
      <c r="DW93" s="2">
        <f>IF(ISERROR($G$93),"",IF(ISBLANK($G$93),"",$G$93))</f>
        <v/>
      </c>
      <c r="DX93" s="2">
        <f>IF(ISERROR($H$93),"",IF(ISBLANK($H$93),"",$H$93))</f>
        <v/>
      </c>
      <c r="EA93" s="2">
        <f>ISERROR($A$93)*1+ISERROR($C$93)*1+ISERROR($D$93)*1+ISERROR($E$93)*1+ISERROR($F$93)*1+ISERROR($G$93)*1+ISERROR($H$93)*1+ISERROR($I$93)*1</f>
        <v/>
      </c>
    </row>
    <row r="94" ht="37" customHeight="1">
      <c r="A94" s="33" t="n"/>
      <c r="B94" s="17" t="n"/>
      <c r="C94" s="16" t="n"/>
      <c r="D94" s="34" t="n"/>
      <c r="E94" s="34" t="n"/>
      <c r="F94" s="34" t="n"/>
      <c r="G94" s="34" t="n"/>
      <c r="H94" s="16" t="n"/>
      <c r="I94" s="4" t="n"/>
      <c r="J94" s="17" t="n"/>
      <c r="K94" s="19">
        <f>IF(EA94&gt;0,"O Google leu como fórmula: escolha de novo ou digite com ' na frente.",IF(LEN($DQ$94)=0,"",IF(NOT(ISNUMBER($O$94)),"Inimigo fora da tabela I1",IF(NOT(ISNUMBER($DS$94)),"Diga a fase (2 ou 3)",IF($DS$94&gt;INDEX($BV$11:$BV$22,$O$94),"Fase para inimigo sem essa fase: confira Fases na I1",IF(AND(ISNUMBER($DX$94),$DX$94&gt;INDEX($T$11:$T$22,$O$94)),"Tenacidade acima da âncora: a planilha usa a âncora (28.5 regra 3)",IF((IF(LEN($DT$94)&gt;0,1,0)+IF(LEN($DU$94)&gt;0,1,0)+IF(LEN($DV$94)&gt;0,1,0)+IF(LEN($DW$94)&gt;0,1,0))&lt;4,"Boss tem 4 Fraquezas em cada fase (28.5 regra 4)","")))))))</f>
        <v/>
      </c>
      <c r="N94" s="2">
        <f>IF(LEN($DQ$94)&gt;0,$DQ$94&amp;"|"&amp;$DS$94,"")</f>
        <v/>
      </c>
      <c r="O94" s="2">
        <f>IFERROR(MATCH($DQ$94,$DQ$11:$DQ$22,0),"")</f>
        <v/>
      </c>
      <c r="DQ94" s="2">
        <f>IF(ISERROR($A$94),"",IF(ISBLANK($A$94),"",$A$94))</f>
        <v/>
      </c>
      <c r="DS94" s="2">
        <f>IF(ISERROR($C$94),"",IF(ISBLANK($C$94),"",$C$94))</f>
        <v/>
      </c>
      <c r="DT94" s="2">
        <f>IF(ISERROR($D$94),"",IF(ISBLANK($D$94),"",$D$94))</f>
        <v/>
      </c>
      <c r="DU94" s="2">
        <f>IF(ISERROR($E$94),"",IF(ISBLANK($E$94),"",$E$94))</f>
        <v/>
      </c>
      <c r="DV94" s="2">
        <f>IF(ISERROR($F$94),"",IF(ISBLANK($F$94),"",$F$94))</f>
        <v/>
      </c>
      <c r="DW94" s="2">
        <f>IF(ISERROR($G$94),"",IF(ISBLANK($G$94),"",$G$94))</f>
        <v/>
      </c>
      <c r="DX94" s="2">
        <f>IF(ISERROR($H$94),"",IF(ISBLANK($H$94),"",$H$94))</f>
        <v/>
      </c>
      <c r="EA94" s="2">
        <f>ISERROR($A$94)*1+ISERROR($C$94)*1+ISERROR($D$94)*1+ISERROR($E$94)*1+ISERROR($F$94)*1+ISERROR($G$94)*1+ISERROR($H$94)*1+ISERROR($I$94)*1</f>
        <v/>
      </c>
    </row>
    <row r="95" ht="48" customHeight="1">
      <c r="A95" s="35" t="n"/>
      <c r="B95" s="17" t="n"/>
      <c r="C95" s="37" t="n"/>
      <c r="D95" s="36" t="n"/>
      <c r="E95" s="36" t="n"/>
      <c r="F95" s="36" t="n"/>
      <c r="G95" s="36" t="n"/>
      <c r="H95" s="37" t="n"/>
      <c r="I95" s="29" t="n"/>
      <c r="J95" s="17" t="n"/>
      <c r="K95" s="27">
        <f>IF(EA95&gt;0,"O Google leu como fórmula: escolha de novo ou digite com ' na frente.",IF(LEN($DQ$95)=0,"",IF(NOT(ISNUMBER($O$95)),"Inimigo fora da tabela I1",IF(NOT(ISNUMBER($DS$95)),"Diga a fase (2 ou 3)",IF($DS$95&gt;INDEX($BV$11:$BV$22,$O$95),"Fase para inimigo sem essa fase: confira Fases na I1",IF(AND(ISNUMBER($DX$95),$DX$95&gt;INDEX($T$11:$T$22,$O$95)),"Tenacidade acima da âncora: a planilha usa a âncora (28.5 regra 3)",IF((IF(LEN($DT$95)&gt;0,1,0)+IF(LEN($DU$95)&gt;0,1,0)+IF(LEN($DV$95)&gt;0,1,0)+IF(LEN($DW$95)&gt;0,1,0))&lt;4,"Boss tem 4 Fraquezas em cada fase (28.5 regra 4)","")))))))</f>
        <v/>
      </c>
      <c r="N95" s="2">
        <f>IF(LEN($DQ$95)&gt;0,$DQ$95&amp;"|"&amp;$DS$95,"")</f>
        <v/>
      </c>
      <c r="O95" s="2">
        <f>IFERROR(MATCH($DQ$95,$DQ$11:$DQ$22,0),"")</f>
        <v/>
      </c>
      <c r="DQ95" s="2">
        <f>IF(ISERROR($A$95),"",IF(ISBLANK($A$95),"",$A$95))</f>
        <v/>
      </c>
      <c r="DS95" s="2">
        <f>IF(ISERROR($C$95),"",IF(ISBLANK($C$95),"",$C$95))</f>
        <v/>
      </c>
      <c r="DT95" s="2">
        <f>IF(ISERROR($D$95),"",IF(ISBLANK($D$95),"",$D$95))</f>
        <v/>
      </c>
      <c r="DU95" s="2">
        <f>IF(ISERROR($E$95),"",IF(ISBLANK($E$95),"",$E$95))</f>
        <v/>
      </c>
      <c r="DV95" s="2">
        <f>IF(ISERROR($F$95),"",IF(ISBLANK($F$95),"",$F$95))</f>
        <v/>
      </c>
      <c r="DW95" s="2">
        <f>IF(ISERROR($G$95),"",IF(ISBLANK($G$95),"",$G$95))</f>
        <v/>
      </c>
      <c r="DX95" s="2">
        <f>IF(ISERROR($H$95),"",IF(ISBLANK($H$95),"",$H$95))</f>
        <v/>
      </c>
      <c r="EA95" s="2">
        <f>ISERROR($A$95)*1+ISERROR($C$95)*1+ISERROR($D$95)*1+ISERROR($E$95)*1+ISERROR($F$95)*1+ISERROR($G$95)*1+ISERROR($H$95)*1+ISERROR($I$95)*1</f>
        <v/>
      </c>
    </row>
    <row r="96" ht="48" customHeight="1">
      <c r="A96" s="33" t="n"/>
      <c r="B96" s="17" t="n"/>
      <c r="C96" s="16" t="n"/>
      <c r="D96" s="34" t="n"/>
      <c r="E96" s="34" t="n"/>
      <c r="F96" s="34" t="n"/>
      <c r="G96" s="34" t="n"/>
      <c r="H96" s="16" t="n"/>
      <c r="I96" s="4" t="n"/>
      <c r="J96" s="17" t="n"/>
      <c r="K96" s="19">
        <f>IF(EA96&gt;0,"O Google leu como fórmula: escolha de novo ou digite com ' na frente.",IF(LEN($DQ$96)=0,"",IF(NOT(ISNUMBER($O$96)),"Inimigo fora da tabela I1",IF(NOT(ISNUMBER($DS$96)),"Diga a fase (2 ou 3)",IF($DS$96&gt;INDEX($BV$11:$BV$22,$O$96),"Fase para inimigo sem essa fase: confira Fases na I1",IF(AND(ISNUMBER($DX$96),$DX$96&gt;INDEX($T$11:$T$22,$O$96)),"Tenacidade acima da âncora: a planilha usa a âncora (28.5 regra 3)",IF((IF(LEN($DT$96)&gt;0,1,0)+IF(LEN($DU$96)&gt;0,1,0)+IF(LEN($DV$96)&gt;0,1,0)+IF(LEN($DW$96)&gt;0,1,0))&lt;4,"Boss tem 4 Fraquezas em cada fase (28.5 regra 4)","")))))))</f>
        <v/>
      </c>
      <c r="N96" s="2">
        <f>IF(LEN($DQ$96)&gt;0,$DQ$96&amp;"|"&amp;$DS$96,"")</f>
        <v/>
      </c>
      <c r="O96" s="2">
        <f>IFERROR(MATCH($DQ$96,$DQ$11:$DQ$22,0),"")</f>
        <v/>
      </c>
      <c r="DQ96" s="2">
        <f>IF(ISERROR($A$96),"",IF(ISBLANK($A$96),"",$A$96))</f>
        <v/>
      </c>
      <c r="DS96" s="2">
        <f>IF(ISERROR($C$96),"",IF(ISBLANK($C$96),"",$C$96))</f>
        <v/>
      </c>
      <c r="DT96" s="2">
        <f>IF(ISERROR($D$96),"",IF(ISBLANK($D$96),"",$D$96))</f>
        <v/>
      </c>
      <c r="DU96" s="2">
        <f>IF(ISERROR($E$96),"",IF(ISBLANK($E$96),"",$E$96))</f>
        <v/>
      </c>
      <c r="DV96" s="2">
        <f>IF(ISERROR($F$96),"",IF(ISBLANK($F$96),"",$F$96))</f>
        <v/>
      </c>
      <c r="DW96" s="2">
        <f>IF(ISERROR($G$96),"",IF(ISBLANK($G$96),"",$G$96))</f>
        <v/>
      </c>
      <c r="DX96" s="2">
        <f>IF(ISERROR($H$96),"",IF(ISBLANK($H$96),"",$H$96))</f>
        <v/>
      </c>
      <c r="EA96" s="2">
        <f>ISERROR($A$96)*1+ISERROR($C$96)*1+ISERROR($D$96)*1+ISERROR($E$96)*1+ISERROR($F$96)*1+ISERROR($G$96)*1+ISERROR($H$96)*1+ISERROR($I$96)*1</f>
        <v/>
      </c>
    </row>
    <row r="97" ht="48" customHeight="1">
      <c r="A97" s="35" t="n"/>
      <c r="B97" s="17" t="n"/>
      <c r="C97" s="37" t="n"/>
      <c r="D97" s="36" t="n"/>
      <c r="E97" s="36" t="n"/>
      <c r="F97" s="36" t="n"/>
      <c r="G97" s="36" t="n"/>
      <c r="H97" s="37" t="n"/>
      <c r="I97" s="29" t="n"/>
      <c r="J97" s="17" t="n"/>
      <c r="K97" s="27">
        <f>IF(EA97&gt;0,"O Google leu como fórmula: escolha de novo ou digite com ' na frente.",IF(LEN($DQ$97)=0,"",IF(NOT(ISNUMBER($O$97)),"Inimigo fora da tabela I1",IF(NOT(ISNUMBER($DS$97)),"Diga a fase (2 ou 3)",IF($DS$97&gt;INDEX($BV$11:$BV$22,$O$97),"Fase para inimigo sem essa fase: confira Fases na I1",IF(AND(ISNUMBER($DX$97),$DX$97&gt;INDEX($T$11:$T$22,$O$97)),"Tenacidade acima da âncora: a planilha usa a âncora (28.5 regra 3)",IF((IF(LEN($DT$97)&gt;0,1,0)+IF(LEN($DU$97)&gt;0,1,0)+IF(LEN($DV$97)&gt;0,1,0)+IF(LEN($DW$97)&gt;0,1,0))&lt;4,"Boss tem 4 Fraquezas em cada fase (28.5 regra 4)","")))))))</f>
        <v/>
      </c>
      <c r="N97" s="2">
        <f>IF(LEN($DQ$97)&gt;0,$DQ$97&amp;"|"&amp;$DS$97,"")</f>
        <v/>
      </c>
      <c r="O97" s="2">
        <f>IFERROR(MATCH($DQ$97,$DQ$11:$DQ$22,0),"")</f>
        <v/>
      </c>
      <c r="DQ97" s="2">
        <f>IF(ISERROR($A$97),"",IF(ISBLANK($A$97),"",$A$97))</f>
        <v/>
      </c>
      <c r="DS97" s="2">
        <f>IF(ISERROR($C$97),"",IF(ISBLANK($C$97),"",$C$97))</f>
        <v/>
      </c>
      <c r="DT97" s="2">
        <f>IF(ISERROR($D$97),"",IF(ISBLANK($D$97),"",$D$97))</f>
        <v/>
      </c>
      <c r="DU97" s="2">
        <f>IF(ISERROR($E$97),"",IF(ISBLANK($E$97),"",$E$97))</f>
        <v/>
      </c>
      <c r="DV97" s="2">
        <f>IF(ISERROR($F$97),"",IF(ISBLANK($F$97),"",$F$97))</f>
        <v/>
      </c>
      <c r="DW97" s="2">
        <f>IF(ISERROR($G$97),"",IF(ISBLANK($G$97),"",$G$97))</f>
        <v/>
      </c>
      <c r="DX97" s="2">
        <f>IF(ISERROR($H$97),"",IF(ISBLANK($H$97),"",$H$97))</f>
        <v/>
      </c>
      <c r="EA97" s="2">
        <f>ISERROR($A$97)*1+ISERROR($C$97)*1+ISERROR($D$97)*1+ISERROR($E$97)*1+ISERROR($F$97)*1+ISERROR($G$97)*1+ISERROR($H$97)*1+ISERROR($I$97)*1</f>
        <v/>
      </c>
    </row>
    <row r="98" ht="48" customHeight="1">
      <c r="A98" s="33" t="n"/>
      <c r="B98" s="17" t="n"/>
      <c r="C98" s="16" t="n"/>
      <c r="D98" s="34" t="n"/>
      <c r="E98" s="34" t="n"/>
      <c r="F98" s="34" t="n"/>
      <c r="G98" s="34" t="n"/>
      <c r="H98" s="16" t="n"/>
      <c r="I98" s="4" t="n"/>
      <c r="J98" s="17" t="n"/>
      <c r="K98" s="19">
        <f>IF(EA98&gt;0,"O Google leu como fórmula: escolha de novo ou digite com ' na frente.",IF(LEN($DQ$98)=0,"",IF(NOT(ISNUMBER($O$98)),"Inimigo fora da tabela I1",IF(NOT(ISNUMBER($DS$98)),"Diga a fase (2 ou 3)",IF($DS$98&gt;INDEX($BV$11:$BV$22,$O$98),"Fase para inimigo sem essa fase: confira Fases na I1",IF(AND(ISNUMBER($DX$98),$DX$98&gt;INDEX($T$11:$T$22,$O$98)),"Tenacidade acima da âncora: a planilha usa a âncora (28.5 regra 3)",IF((IF(LEN($DT$98)&gt;0,1,0)+IF(LEN($DU$98)&gt;0,1,0)+IF(LEN($DV$98)&gt;0,1,0)+IF(LEN($DW$98)&gt;0,1,0))&lt;4,"Boss tem 4 Fraquezas em cada fase (28.5 regra 4)","")))))))</f>
        <v/>
      </c>
      <c r="N98" s="2">
        <f>IF(LEN($DQ$98)&gt;0,$DQ$98&amp;"|"&amp;$DS$98,"")</f>
        <v/>
      </c>
      <c r="O98" s="2">
        <f>IFERROR(MATCH($DQ$98,$DQ$11:$DQ$22,0),"")</f>
        <v/>
      </c>
      <c r="DQ98" s="2">
        <f>IF(ISERROR($A$98),"",IF(ISBLANK($A$98),"",$A$98))</f>
        <v/>
      </c>
      <c r="DS98" s="2">
        <f>IF(ISERROR($C$98),"",IF(ISBLANK($C$98),"",$C$98))</f>
        <v/>
      </c>
      <c r="DT98" s="2">
        <f>IF(ISERROR($D$98),"",IF(ISBLANK($D$98),"",$D$98))</f>
        <v/>
      </c>
      <c r="DU98" s="2">
        <f>IF(ISERROR($E$98),"",IF(ISBLANK($E$98),"",$E$98))</f>
        <v/>
      </c>
      <c r="DV98" s="2">
        <f>IF(ISERROR($F$98),"",IF(ISBLANK($F$98),"",$F$98))</f>
        <v/>
      </c>
      <c r="DW98" s="2">
        <f>IF(ISERROR($G$98),"",IF(ISBLANK($G$98),"",$G$98))</f>
        <v/>
      </c>
      <c r="DX98" s="2">
        <f>IF(ISERROR($H$98),"",IF(ISBLANK($H$98),"",$H$98))</f>
        <v/>
      </c>
      <c r="EA98" s="2">
        <f>ISERROR($A$98)*1+ISERROR($C$98)*1+ISERROR($D$98)*1+ISERROR($E$98)*1+ISERROR($F$98)*1+ISERROR($G$98)*1+ISERROR($H$98)*1+ISERROR($I$98)*1</f>
        <v/>
      </c>
    </row>
    <row r="99" ht="37" customHeight="1">
      <c r="A99" s="35" t="n"/>
      <c r="B99" s="17" t="n"/>
      <c r="C99" s="37" t="n"/>
      <c r="D99" s="36" t="n"/>
      <c r="E99" s="36" t="n"/>
      <c r="F99" s="36" t="n"/>
      <c r="G99" s="36" t="n"/>
      <c r="H99" s="37" t="n"/>
      <c r="I99" s="29" t="n"/>
      <c r="J99" s="17" t="n"/>
      <c r="K99" s="27">
        <f>IF(EA99&gt;0,"O Google leu como fórmula: escolha de novo ou digite com ' na frente.",IF(LEN($DQ$99)=0,"",IF(NOT(ISNUMBER($O$99)),"Inimigo fora da tabela I1",IF(NOT(ISNUMBER($DS$99)),"Diga a fase (2 ou 3)",IF($DS$99&gt;INDEX($BV$11:$BV$22,$O$99),"Fase para inimigo sem essa fase: confira Fases na I1",IF(AND(ISNUMBER($DX$99),$DX$99&gt;INDEX($T$11:$T$22,$O$99)),"Tenacidade acima da âncora: a planilha usa a âncora (28.5 regra 3)",IF((IF(LEN($DT$99)&gt;0,1,0)+IF(LEN($DU$99)&gt;0,1,0)+IF(LEN($DV$99)&gt;0,1,0)+IF(LEN($DW$99)&gt;0,1,0))&lt;4,"Boss tem 4 Fraquezas em cada fase (28.5 regra 4)","")))))))</f>
        <v/>
      </c>
      <c r="N99" s="2">
        <f>IF(LEN($DQ$99)&gt;0,$DQ$99&amp;"|"&amp;$DS$99,"")</f>
        <v/>
      </c>
      <c r="O99" s="2">
        <f>IFERROR(MATCH($DQ$99,$DQ$11:$DQ$22,0),"")</f>
        <v/>
      </c>
      <c r="DQ99" s="2">
        <f>IF(ISERROR($A$99),"",IF(ISBLANK($A$99),"",$A$99))</f>
        <v/>
      </c>
      <c r="DS99" s="2">
        <f>IF(ISERROR($C$99),"",IF(ISBLANK($C$99),"",$C$99))</f>
        <v/>
      </c>
      <c r="DT99" s="2">
        <f>IF(ISERROR($D$99),"",IF(ISBLANK($D$99),"",$D$99))</f>
        <v/>
      </c>
      <c r="DU99" s="2">
        <f>IF(ISERROR($E$99),"",IF(ISBLANK($E$99),"",$E$99))</f>
        <v/>
      </c>
      <c r="DV99" s="2">
        <f>IF(ISERROR($F$99),"",IF(ISBLANK($F$99),"",$F$99))</f>
        <v/>
      </c>
      <c r="DW99" s="2">
        <f>IF(ISERROR($G$99),"",IF(ISBLANK($G$99),"",$G$99))</f>
        <v/>
      </c>
      <c r="DX99" s="2">
        <f>IF(ISERROR($H$99),"",IF(ISBLANK($H$99),"",$H$99))</f>
        <v/>
      </c>
      <c r="EA99" s="2">
        <f>ISERROR($A$99)*1+ISERROR($C$99)*1+ISERROR($D$99)*1+ISERROR($E$99)*1+ISERROR($F$99)*1+ISERROR($G$99)*1+ISERROR($H$99)*1+ISERROR($I$99)*1</f>
        <v/>
      </c>
    </row>
    <row r="100" ht="26" customHeight="1">
      <c r="A100" s="8" t="inlineStr">
        <is>
          <t>Inimigo</t>
        </is>
      </c>
      <c r="B100" s="20" t="n"/>
      <c r="C100" s="8" t="inlineStr">
        <is>
          <t>Fase (2 ou 3)</t>
        </is>
      </c>
      <c r="D100" s="8" t="inlineStr">
        <is>
          <t>Fraqueza 1</t>
        </is>
      </c>
      <c r="E100" s="8" t="inlineStr">
        <is>
          <t>Fraqueza 2</t>
        </is>
      </c>
      <c r="F100" s="8" t="inlineStr">
        <is>
          <t>Fraqueza 3</t>
        </is>
      </c>
      <c r="G100" s="8" t="inlineStr">
        <is>
          <t>Fraqueza 4</t>
        </is>
      </c>
      <c r="H100" s="8" t="inlineStr">
        <is>
          <t>Tenacidade da fase</t>
        </is>
      </c>
      <c r="I100" s="8" t="inlineStr">
        <is>
          <t>Ritmo</t>
        </is>
      </c>
      <c r="J100" s="20" t="n"/>
      <c r="K100" s="8" t="inlineStr">
        <is>
          <t>Aviso</t>
        </is>
      </c>
      <c r="L100" s="20" t="n"/>
      <c r="DT100" s="2">
        <f>IF(ISERROR($D$100),"",IF(ISBLANK($D$100),"",$D$100))</f>
        <v/>
      </c>
      <c r="DU100" s="2">
        <f>IF(ISERROR($E$100),"",IF(ISBLANK($E$100),"",$E$100))</f>
        <v/>
      </c>
      <c r="DV100" s="2">
        <f>IF(ISERROR($F$100),"",IF(ISBLANK($F$100),"",$F$100))</f>
        <v/>
      </c>
      <c r="DW100" s="2">
        <f>IF(ISERROR($G$100),"",IF(ISBLANK($G$100),"",$G$100))</f>
        <v/>
      </c>
      <c r="DX100" s="2">
        <f>IF(ISERROR($H$100),"",IF(ISBLANK($H$100),"",$H$100))</f>
        <v/>
      </c>
    </row>
    <row r="101" ht="37" customHeight="1">
      <c r="A101" s="33" t="n"/>
      <c r="B101" s="17" t="n"/>
      <c r="C101" s="16" t="n"/>
      <c r="D101" s="34" t="n"/>
      <c r="E101" s="34" t="n"/>
      <c r="F101" s="34" t="n"/>
      <c r="G101" s="34" t="n"/>
      <c r="H101" s="16" t="n"/>
      <c r="I101" s="4" t="n"/>
      <c r="J101" s="17" t="n"/>
      <c r="K101" s="19">
        <f>IF(EA101&gt;0,"O Google leu como fórmula: escolha de novo ou digite com ' na frente.",IF(LEN($DQ$101)=0,"",IF(NOT(ISNUMBER($O$101)),"Inimigo fora da tabela I1",IF(NOT(ISNUMBER($DS$101)),"Diga a fase (2 ou 3)",IF($DS$101&gt;INDEX($BV$11:$BV$22,$O$101),"Fase para inimigo sem essa fase: confira Fases na I1",IF(AND(ISNUMBER($DX$101),$DX$101&gt;INDEX($T$11:$T$22,$O$101)),"Tenacidade acima da âncora: a planilha usa a âncora (28.5 regra 3)",IF((IF(LEN($DT$101)&gt;0,1,0)+IF(LEN($DU$101)&gt;0,1,0)+IF(LEN($DV$101)&gt;0,1,0)+IF(LEN($DW$101)&gt;0,1,0))&lt;4,"Boss tem 4 Fraquezas em cada fase (28.5 regra 4)","")))))))</f>
        <v/>
      </c>
      <c r="N101" s="2">
        <f>IF(LEN($DQ$101)&gt;0,$DQ$101&amp;"|"&amp;$DS$101,"")</f>
        <v/>
      </c>
      <c r="O101" s="2">
        <f>IFERROR(MATCH($DQ$101,$DQ$11:$DQ$22,0),"")</f>
        <v/>
      </c>
      <c r="DQ101" s="2">
        <f>IF(ISERROR($A$101),"",IF(ISBLANK($A$101),"",$A$101))</f>
        <v/>
      </c>
      <c r="DS101" s="2">
        <f>IF(ISERROR($C$101),"",IF(ISBLANK($C$101),"",$C$101))</f>
        <v/>
      </c>
      <c r="DT101" s="2">
        <f>IF(ISERROR($D$101),"",IF(ISBLANK($D$101),"",$D$101))</f>
        <v/>
      </c>
      <c r="DU101" s="2">
        <f>IF(ISERROR($E$101),"",IF(ISBLANK($E$101),"",$E$101))</f>
        <v/>
      </c>
      <c r="DV101" s="2">
        <f>IF(ISERROR($F$101),"",IF(ISBLANK($F$101),"",$F$101))</f>
        <v/>
      </c>
      <c r="DW101" s="2">
        <f>IF(ISERROR($G$101),"",IF(ISBLANK($G$101),"",$G$101))</f>
        <v/>
      </c>
      <c r="DX101" s="2">
        <f>IF(ISERROR($H$101),"",IF(ISBLANK($H$101),"",$H$101))</f>
        <v/>
      </c>
      <c r="EA101" s="2">
        <f>ISERROR($A$101)*1+ISERROR($C$101)*1+ISERROR($D$101)*1+ISERROR($E$101)*1+ISERROR($F$101)*1+ISERROR($G$101)*1+ISERROR($H$101)*1+ISERROR($I$101)*1</f>
        <v/>
      </c>
    </row>
    <row r="102" ht="37" customHeight="1">
      <c r="A102" s="35" t="n"/>
      <c r="B102" s="17" t="n"/>
      <c r="C102" s="37" t="n"/>
      <c r="D102" s="36" t="n"/>
      <c r="E102" s="36" t="n"/>
      <c r="F102" s="36" t="n"/>
      <c r="G102" s="36" t="n"/>
      <c r="H102" s="37" t="n"/>
      <c r="I102" s="29" t="n"/>
      <c r="J102" s="17" t="n"/>
      <c r="K102" s="27">
        <f>IF(EA102&gt;0,"O Google leu como fórmula: escolha de novo ou digite com ' na frente.",IF(LEN($DQ$102)=0,"",IF(NOT(ISNUMBER($O$102)),"Inimigo fora da tabela I1",IF(NOT(ISNUMBER($DS$102)),"Diga a fase (2 ou 3)",IF($DS$102&gt;INDEX($BV$11:$BV$22,$O$102),"Fase para inimigo sem essa fase: confira Fases na I1",IF(AND(ISNUMBER($DX$102),$DX$102&gt;INDEX($T$11:$T$22,$O$102)),"Tenacidade acima da âncora: a planilha usa a âncora (28.5 regra 3)",IF((IF(LEN($DT$102)&gt;0,1,0)+IF(LEN($DU$102)&gt;0,1,0)+IF(LEN($DV$102)&gt;0,1,0)+IF(LEN($DW$102)&gt;0,1,0))&lt;4,"Boss tem 4 Fraquezas em cada fase (28.5 regra 4)","")))))))</f>
        <v/>
      </c>
      <c r="N102" s="2">
        <f>IF(LEN($DQ$102)&gt;0,$DQ$102&amp;"|"&amp;$DS$102,"")</f>
        <v/>
      </c>
      <c r="O102" s="2">
        <f>IFERROR(MATCH($DQ$102,$DQ$11:$DQ$22,0),"")</f>
        <v/>
      </c>
      <c r="DQ102" s="2">
        <f>IF(ISERROR($A$102),"",IF(ISBLANK($A$102),"",$A$102))</f>
        <v/>
      </c>
      <c r="DS102" s="2">
        <f>IF(ISERROR($C$102),"",IF(ISBLANK($C$102),"",$C$102))</f>
        <v/>
      </c>
      <c r="DT102" s="2">
        <f>IF(ISERROR($D$102),"",IF(ISBLANK($D$102),"",$D$102))</f>
        <v/>
      </c>
      <c r="DU102" s="2">
        <f>IF(ISERROR($E$102),"",IF(ISBLANK($E$102),"",$E$102))</f>
        <v/>
      </c>
      <c r="DV102" s="2">
        <f>IF(ISERROR($F$102),"",IF(ISBLANK($F$102),"",$F$102))</f>
        <v/>
      </c>
      <c r="DW102" s="2">
        <f>IF(ISERROR($G$102),"",IF(ISBLANK($G$102),"",$G$102))</f>
        <v/>
      </c>
      <c r="DX102" s="2">
        <f>IF(ISERROR($H$102),"",IF(ISBLANK($H$102),"",$H$102))</f>
        <v/>
      </c>
      <c r="EA102" s="2">
        <f>ISERROR($A$102)*1+ISERROR($C$102)*1+ISERROR($D$102)*1+ISERROR($E$102)*1+ISERROR($F$102)*1+ISERROR($G$102)*1+ISERROR($H$102)*1+ISERROR($I$102)*1</f>
        <v/>
      </c>
    </row>
    <row r="103" ht="37" customHeight="1">
      <c r="A103" s="33" t="n"/>
      <c r="B103" s="17" t="n"/>
      <c r="C103" s="16" t="n"/>
      <c r="D103" s="34" t="n"/>
      <c r="E103" s="34" t="n"/>
      <c r="F103" s="34" t="n"/>
      <c r="G103" s="34" t="n"/>
      <c r="H103" s="16" t="n"/>
      <c r="I103" s="4" t="n"/>
      <c r="J103" s="17" t="n"/>
      <c r="K103" s="19">
        <f>IF(EA103&gt;0,"O Google leu como fórmula: escolha de novo ou digite com ' na frente.",IF(LEN($DQ$103)=0,"",IF(NOT(ISNUMBER($O$103)),"Inimigo fora da tabela I1",IF(NOT(ISNUMBER($DS$103)),"Diga a fase (2 ou 3)",IF($DS$103&gt;INDEX($BV$11:$BV$22,$O$103),"Fase para inimigo sem essa fase: confira Fases na I1",IF(AND(ISNUMBER($DX$103),$DX$103&gt;INDEX($T$11:$T$22,$O$103)),"Tenacidade acima da âncora: a planilha usa a âncora (28.5 regra 3)",IF((IF(LEN($DT$103)&gt;0,1,0)+IF(LEN($DU$103)&gt;0,1,0)+IF(LEN($DV$103)&gt;0,1,0)+IF(LEN($DW$103)&gt;0,1,0))&lt;4,"Boss tem 4 Fraquezas em cada fase (28.5 regra 4)","")))))))</f>
        <v/>
      </c>
      <c r="N103" s="2">
        <f>IF(LEN($DQ$103)&gt;0,$DQ$103&amp;"|"&amp;$DS$103,"")</f>
        <v/>
      </c>
      <c r="O103" s="2">
        <f>IFERROR(MATCH($DQ$103,$DQ$11:$DQ$22,0),"")</f>
        <v/>
      </c>
      <c r="DQ103" s="2">
        <f>IF(ISERROR($A$103),"",IF(ISBLANK($A$103),"",$A$103))</f>
        <v/>
      </c>
      <c r="DS103" s="2">
        <f>IF(ISERROR($C$103),"",IF(ISBLANK($C$103),"",$C$103))</f>
        <v/>
      </c>
      <c r="DT103" s="2">
        <f>IF(ISERROR($D$103),"",IF(ISBLANK($D$103),"",$D$103))</f>
        <v/>
      </c>
      <c r="DU103" s="2">
        <f>IF(ISERROR($E$103),"",IF(ISBLANK($E$103),"",$E$103))</f>
        <v/>
      </c>
      <c r="DV103" s="2">
        <f>IF(ISERROR($F$103),"",IF(ISBLANK($F$103),"",$F$103))</f>
        <v/>
      </c>
      <c r="DW103" s="2">
        <f>IF(ISERROR($G$103),"",IF(ISBLANK($G$103),"",$G$103))</f>
        <v/>
      </c>
      <c r="DX103" s="2">
        <f>IF(ISERROR($H$103),"",IF(ISBLANK($H$103),"",$H$103))</f>
        <v/>
      </c>
      <c r="EA103" s="2">
        <f>ISERROR($A$103)*1+ISERROR($C$103)*1+ISERROR($D$103)*1+ISERROR($E$103)*1+ISERROR($F$103)*1+ISERROR($G$103)*1+ISERROR($H$103)*1+ISERROR($I$103)*1</f>
        <v/>
      </c>
    </row>
    <row r="104" ht="37" customHeight="1">
      <c r="A104" s="35" t="n"/>
      <c r="B104" s="17" t="n"/>
      <c r="C104" s="37" t="n"/>
      <c r="D104" s="36" t="n"/>
      <c r="E104" s="36" t="n"/>
      <c r="F104" s="36" t="n"/>
      <c r="G104" s="36" t="n"/>
      <c r="H104" s="37" t="n"/>
      <c r="I104" s="29" t="n"/>
      <c r="J104" s="17" t="n"/>
      <c r="K104" s="27">
        <f>IF(EA104&gt;0,"O Google leu como fórmula: escolha de novo ou digite com ' na frente.",IF(LEN($DQ$104)=0,"",IF(NOT(ISNUMBER($O$104)),"Inimigo fora da tabela I1",IF(NOT(ISNUMBER($DS$104)),"Diga a fase (2 ou 3)",IF($DS$104&gt;INDEX($BV$11:$BV$22,$O$104),"Fase para inimigo sem essa fase: confira Fases na I1",IF(AND(ISNUMBER($DX$104),$DX$104&gt;INDEX($T$11:$T$22,$O$104)),"Tenacidade acima da âncora: a planilha usa a âncora (28.5 regra 3)",IF((IF(LEN($DT$104)&gt;0,1,0)+IF(LEN($DU$104)&gt;0,1,0)+IF(LEN($DV$104)&gt;0,1,0)+IF(LEN($DW$104)&gt;0,1,0))&lt;4,"Boss tem 4 Fraquezas em cada fase (28.5 regra 4)","")))))))</f>
        <v/>
      </c>
      <c r="N104" s="2">
        <f>IF(LEN($DQ$104)&gt;0,$DQ$104&amp;"|"&amp;$DS$104,"")</f>
        <v/>
      </c>
      <c r="O104" s="2">
        <f>IFERROR(MATCH($DQ$104,$DQ$11:$DQ$22,0),"")</f>
        <v/>
      </c>
      <c r="DQ104" s="2">
        <f>IF(ISERROR($A$104),"",IF(ISBLANK($A$104),"",$A$104))</f>
        <v/>
      </c>
      <c r="DS104" s="2">
        <f>IF(ISERROR($C$104),"",IF(ISBLANK($C$104),"",$C$104))</f>
        <v/>
      </c>
      <c r="DT104" s="2">
        <f>IF(ISERROR($D$104),"",IF(ISBLANK($D$104),"",$D$104))</f>
        <v/>
      </c>
      <c r="DU104" s="2">
        <f>IF(ISERROR($E$104),"",IF(ISBLANK($E$104),"",$E$104))</f>
        <v/>
      </c>
      <c r="DV104" s="2">
        <f>IF(ISERROR($F$104),"",IF(ISBLANK($F$104),"",$F$104))</f>
        <v/>
      </c>
      <c r="DW104" s="2">
        <f>IF(ISERROR($G$104),"",IF(ISBLANK($G$104),"",$G$104))</f>
        <v/>
      </c>
      <c r="DX104" s="2">
        <f>IF(ISERROR($H$104),"",IF(ISBLANK($H$104),"",$H$104))</f>
        <v/>
      </c>
      <c r="EA104" s="2">
        <f>ISERROR($A$104)*1+ISERROR($C$104)*1+ISERROR($D$104)*1+ISERROR($E$104)*1+ISERROR($F$104)*1+ISERROR($G$104)*1+ISERROR($H$104)*1+ISERROR($I$104)*1</f>
        <v/>
      </c>
    </row>
    <row r="105" ht="37" customHeight="1">
      <c r="A105" s="33" t="n"/>
      <c r="B105" s="17" t="n"/>
      <c r="C105" s="16" t="n"/>
      <c r="D105" s="34" t="n"/>
      <c r="E105" s="34" t="n"/>
      <c r="F105" s="34" t="n"/>
      <c r="G105" s="34" t="n"/>
      <c r="H105" s="16" t="n"/>
      <c r="I105" s="4" t="n"/>
      <c r="J105" s="17" t="n"/>
      <c r="K105" s="19">
        <f>IF(EA105&gt;0,"O Google leu como fórmula: escolha de novo ou digite com ' na frente.",IF(LEN($DQ$105)=0,"",IF(NOT(ISNUMBER($O$105)),"Inimigo fora da tabela I1",IF(NOT(ISNUMBER($DS$105)),"Diga a fase (2 ou 3)",IF($DS$105&gt;INDEX($BV$11:$BV$22,$O$105),"Fase para inimigo sem essa fase: confira Fases na I1",IF(AND(ISNUMBER($DX$105),$DX$105&gt;INDEX($T$11:$T$22,$O$105)),"Tenacidade acima da âncora: a planilha usa a âncora (28.5 regra 3)",IF((IF(LEN($DT$105)&gt;0,1,0)+IF(LEN($DU$105)&gt;0,1,0)+IF(LEN($DV$105)&gt;0,1,0)+IF(LEN($DW$105)&gt;0,1,0))&lt;4,"Boss tem 4 Fraquezas em cada fase (28.5 regra 4)","")))))))</f>
        <v/>
      </c>
      <c r="N105" s="2">
        <f>IF(LEN($DQ$105)&gt;0,$DQ$105&amp;"|"&amp;$DS$105,"")</f>
        <v/>
      </c>
      <c r="O105" s="2">
        <f>IFERROR(MATCH($DQ$105,$DQ$11:$DQ$22,0),"")</f>
        <v/>
      </c>
      <c r="DQ105" s="2">
        <f>IF(ISERROR($A$105),"",IF(ISBLANK($A$105),"",$A$105))</f>
        <v/>
      </c>
      <c r="DS105" s="2">
        <f>IF(ISERROR($C$105),"",IF(ISBLANK($C$105),"",$C$105))</f>
        <v/>
      </c>
      <c r="DT105" s="2">
        <f>IF(ISERROR($D$105),"",IF(ISBLANK($D$105),"",$D$105))</f>
        <v/>
      </c>
      <c r="DU105" s="2">
        <f>IF(ISERROR($E$105),"",IF(ISBLANK($E$105),"",$E$105))</f>
        <v/>
      </c>
      <c r="DV105" s="2">
        <f>IF(ISERROR($F$105),"",IF(ISBLANK($F$105),"",$F$105))</f>
        <v/>
      </c>
      <c r="DW105" s="2">
        <f>IF(ISERROR($G$105),"",IF(ISBLANK($G$105),"",$G$105))</f>
        <v/>
      </c>
      <c r="DX105" s="2">
        <f>IF(ISERROR($H$105),"",IF(ISBLANK($H$105),"",$H$105))</f>
        <v/>
      </c>
      <c r="EA105" s="2">
        <f>ISERROR($A$105)*1+ISERROR($C$105)*1+ISERROR($D$105)*1+ISERROR($E$105)*1+ISERROR($F$105)*1+ISERROR($G$105)*1+ISERROR($H$105)*1+ISERROR($I$105)*1</f>
        <v/>
      </c>
    </row>
    <row r="106" ht="37" customHeight="1">
      <c r="A106" s="35" t="n"/>
      <c r="B106" s="17" t="n"/>
      <c r="C106" s="37" t="n"/>
      <c r="D106" s="36" t="n"/>
      <c r="E106" s="36" t="n"/>
      <c r="F106" s="36" t="n"/>
      <c r="G106" s="36" t="n"/>
      <c r="H106" s="37" t="n"/>
      <c r="I106" s="29" t="n"/>
      <c r="J106" s="17" t="n"/>
      <c r="K106" s="27">
        <f>IF(EA106&gt;0,"O Google leu como fórmula: escolha de novo ou digite com ' na frente.",IF(LEN($DQ$106)=0,"",IF(NOT(ISNUMBER($O$106)),"Inimigo fora da tabela I1",IF(NOT(ISNUMBER($DS$106)),"Diga a fase (2 ou 3)",IF($DS$106&gt;INDEX($BV$11:$BV$22,$O$106),"Fase para inimigo sem essa fase: confira Fases na I1",IF(AND(ISNUMBER($DX$106),$DX$106&gt;INDEX($T$11:$T$22,$O$106)),"Tenacidade acima da âncora: a planilha usa a âncora (28.5 regra 3)",IF((IF(LEN($DT$106)&gt;0,1,0)+IF(LEN($DU$106)&gt;0,1,0)+IF(LEN($DV$106)&gt;0,1,0)+IF(LEN($DW$106)&gt;0,1,0))&lt;4,"Boss tem 4 Fraquezas em cada fase (28.5 regra 4)","")))))))</f>
        <v/>
      </c>
      <c r="N106" s="2">
        <f>IF(LEN($DQ$106)&gt;0,$DQ$106&amp;"|"&amp;$DS$106,"")</f>
        <v/>
      </c>
      <c r="O106" s="2">
        <f>IFERROR(MATCH($DQ$106,$DQ$11:$DQ$22,0),"")</f>
        <v/>
      </c>
      <c r="DQ106" s="2">
        <f>IF(ISERROR($A$106),"",IF(ISBLANK($A$106),"",$A$106))</f>
        <v/>
      </c>
      <c r="DS106" s="2">
        <f>IF(ISERROR($C$106),"",IF(ISBLANK($C$106),"",$C$106))</f>
        <v/>
      </c>
      <c r="DT106" s="2">
        <f>IF(ISERROR($D$106),"",IF(ISBLANK($D$106),"",$D$106))</f>
        <v/>
      </c>
      <c r="DU106" s="2">
        <f>IF(ISERROR($E$106),"",IF(ISBLANK($E$106),"",$E$106))</f>
        <v/>
      </c>
      <c r="DV106" s="2">
        <f>IF(ISERROR($F$106),"",IF(ISBLANK($F$106),"",$F$106))</f>
        <v/>
      </c>
      <c r="DW106" s="2">
        <f>IF(ISERROR($G$106),"",IF(ISBLANK($G$106),"",$G$106))</f>
        <v/>
      </c>
      <c r="DX106" s="2">
        <f>IF(ISERROR($H$106),"",IF(ISBLANK($H$106),"",$H$106))</f>
        <v/>
      </c>
      <c r="EA106" s="2">
        <f>ISERROR($A$106)*1+ISERROR($C$106)*1+ISERROR($D$106)*1+ISERROR($E$106)*1+ISERROR($F$106)*1+ISERROR($G$106)*1+ISERROR($H$106)*1+ISERROR($I$106)*1</f>
        <v/>
      </c>
    </row>
    <row r="107" ht="37" customHeight="1">
      <c r="A107" s="33" t="n"/>
      <c r="B107" s="17" t="n"/>
      <c r="C107" s="16" t="n"/>
      <c r="D107" s="34" t="n"/>
      <c r="E107" s="34" t="n"/>
      <c r="F107" s="34" t="n"/>
      <c r="G107" s="34" t="n"/>
      <c r="H107" s="16" t="n"/>
      <c r="I107" s="4" t="n"/>
      <c r="J107" s="17" t="n"/>
      <c r="K107" s="19">
        <f>IF(EA107&gt;0,"O Google leu como fórmula: escolha de novo ou digite com ' na frente.",IF(LEN($DQ$107)=0,"",IF(NOT(ISNUMBER($O$107)),"Inimigo fora da tabela I1",IF(NOT(ISNUMBER($DS$107)),"Diga a fase (2 ou 3)",IF($DS$107&gt;INDEX($BV$11:$BV$22,$O$107),"Fase para inimigo sem essa fase: confira Fases na I1",IF(AND(ISNUMBER($DX$107),$DX$107&gt;INDEX($T$11:$T$22,$O$107)),"Tenacidade acima da âncora: a planilha usa a âncora (28.5 regra 3)",IF((IF(LEN($DT$107)&gt;0,1,0)+IF(LEN($DU$107)&gt;0,1,0)+IF(LEN($DV$107)&gt;0,1,0)+IF(LEN($DW$107)&gt;0,1,0))&lt;4,"Boss tem 4 Fraquezas em cada fase (28.5 regra 4)","")))))))</f>
        <v/>
      </c>
      <c r="N107" s="2">
        <f>IF(LEN($DQ$107)&gt;0,$DQ$107&amp;"|"&amp;$DS$107,"")</f>
        <v/>
      </c>
      <c r="O107" s="2">
        <f>IFERROR(MATCH($DQ$107,$DQ$11:$DQ$22,0),"")</f>
        <v/>
      </c>
      <c r="DQ107" s="2">
        <f>IF(ISERROR($A$107),"",IF(ISBLANK($A$107),"",$A$107))</f>
        <v/>
      </c>
      <c r="DS107" s="2">
        <f>IF(ISERROR($C$107),"",IF(ISBLANK($C$107),"",$C$107))</f>
        <v/>
      </c>
      <c r="DT107" s="2">
        <f>IF(ISERROR($D$107),"",IF(ISBLANK($D$107),"",$D$107))</f>
        <v/>
      </c>
      <c r="DU107" s="2">
        <f>IF(ISERROR($E$107),"",IF(ISBLANK($E$107),"",$E$107))</f>
        <v/>
      </c>
      <c r="DV107" s="2">
        <f>IF(ISERROR($F$107),"",IF(ISBLANK($F$107),"",$F$107))</f>
        <v/>
      </c>
      <c r="DW107" s="2">
        <f>IF(ISERROR($G$107),"",IF(ISBLANK($G$107),"",$G$107))</f>
        <v/>
      </c>
      <c r="DX107" s="2">
        <f>IF(ISERROR($H$107),"",IF(ISBLANK($H$107),"",$H$107))</f>
        <v/>
      </c>
      <c r="EA107" s="2">
        <f>ISERROR($A$107)*1+ISERROR($C$107)*1+ISERROR($D$107)*1+ISERROR($E$107)*1+ISERROR($F$107)*1+ISERROR($G$107)*1+ISERROR($H$107)*1+ISERROR($I$107)*1</f>
        <v/>
      </c>
    </row>
    <row r="108" ht="37" customHeight="1">
      <c r="A108" s="35" t="n"/>
      <c r="B108" s="17" t="n"/>
      <c r="C108" s="37" t="n"/>
      <c r="D108" s="36" t="n"/>
      <c r="E108" s="36" t="n"/>
      <c r="F108" s="36" t="n"/>
      <c r="G108" s="36" t="n"/>
      <c r="H108" s="37" t="n"/>
      <c r="I108" s="29" t="n"/>
      <c r="J108" s="17" t="n"/>
      <c r="K108" s="27">
        <f>IF(EA108&gt;0,"O Google leu como fórmula: escolha de novo ou digite com ' na frente.",IF(LEN($DQ$108)=0,"",IF(NOT(ISNUMBER($O$108)),"Inimigo fora da tabela I1",IF(NOT(ISNUMBER($DS$108)),"Diga a fase (2 ou 3)",IF($DS$108&gt;INDEX($BV$11:$BV$22,$O$108),"Fase para inimigo sem essa fase: confira Fases na I1",IF(AND(ISNUMBER($DX$108),$DX$108&gt;INDEX($T$11:$T$22,$O$108)),"Tenacidade acima da âncora: a planilha usa a âncora (28.5 regra 3)",IF((IF(LEN($DT$108)&gt;0,1,0)+IF(LEN($DU$108)&gt;0,1,0)+IF(LEN($DV$108)&gt;0,1,0)+IF(LEN($DW$108)&gt;0,1,0))&lt;4,"Boss tem 4 Fraquezas em cada fase (28.5 regra 4)","")))))))</f>
        <v/>
      </c>
      <c r="N108" s="2">
        <f>IF(LEN($DQ$108)&gt;0,$DQ$108&amp;"|"&amp;$DS$108,"")</f>
        <v/>
      </c>
      <c r="O108" s="2">
        <f>IFERROR(MATCH($DQ$108,$DQ$11:$DQ$22,0),"")</f>
        <v/>
      </c>
      <c r="DQ108" s="2">
        <f>IF(ISERROR($A$108),"",IF(ISBLANK($A$108),"",$A$108))</f>
        <v/>
      </c>
      <c r="DS108" s="2">
        <f>IF(ISERROR($C$108),"",IF(ISBLANK($C$108),"",$C$108))</f>
        <v/>
      </c>
      <c r="DT108" s="2">
        <f>IF(ISERROR($D$108),"",IF(ISBLANK($D$108),"",$D$108))</f>
        <v/>
      </c>
      <c r="DU108" s="2">
        <f>IF(ISERROR($E$108),"",IF(ISBLANK($E$108),"",$E$108))</f>
        <v/>
      </c>
      <c r="DV108" s="2">
        <f>IF(ISERROR($F$108),"",IF(ISBLANK($F$108),"",$F$108))</f>
        <v/>
      </c>
      <c r="DW108" s="2">
        <f>IF(ISERROR($G$108),"",IF(ISBLANK($G$108),"",$G$108))</f>
        <v/>
      </c>
      <c r="DX108" s="2">
        <f>IF(ISERROR($H$108),"",IF(ISBLANK($H$108),"",$H$108))</f>
        <v/>
      </c>
      <c r="EA108" s="2">
        <f>ISERROR($A$108)*1+ISERROR($C$108)*1+ISERROR($D$108)*1+ISERROR($E$108)*1+ISERROR($F$108)*1+ISERROR($G$108)*1+ISERROR($H$108)*1+ISERROR($I$108)*1</f>
        <v/>
      </c>
    </row>
    <row r="109" ht="37" customHeight="1">
      <c r="A109" s="33" t="n"/>
      <c r="B109" s="17" t="n"/>
      <c r="C109" s="16" t="n"/>
      <c r="D109" s="34" t="n"/>
      <c r="E109" s="34" t="n"/>
      <c r="F109" s="34" t="n"/>
      <c r="G109" s="34" t="n"/>
      <c r="H109" s="16" t="n"/>
      <c r="I109" s="4" t="n"/>
      <c r="J109" s="17" t="n"/>
      <c r="K109" s="19">
        <f>IF(EA109&gt;0,"O Google leu como fórmula: escolha de novo ou digite com ' na frente.",IF(LEN($DQ$109)=0,"",IF(NOT(ISNUMBER($O$109)),"Inimigo fora da tabela I1",IF(NOT(ISNUMBER($DS$109)),"Diga a fase (2 ou 3)",IF($DS$109&gt;INDEX($BV$11:$BV$22,$O$109),"Fase para inimigo sem essa fase: confira Fases na I1",IF(AND(ISNUMBER($DX$109),$DX$109&gt;INDEX($T$11:$T$22,$O$109)),"Tenacidade acima da âncora: a planilha usa a âncora (28.5 regra 3)",IF((IF(LEN($DT$109)&gt;0,1,0)+IF(LEN($DU$109)&gt;0,1,0)+IF(LEN($DV$109)&gt;0,1,0)+IF(LEN($DW$109)&gt;0,1,0))&lt;4,"Boss tem 4 Fraquezas em cada fase (28.5 regra 4)","")))))))</f>
        <v/>
      </c>
      <c r="N109" s="2">
        <f>IF(LEN($DQ$109)&gt;0,$DQ$109&amp;"|"&amp;$DS$109,"")</f>
        <v/>
      </c>
      <c r="O109" s="2">
        <f>IFERROR(MATCH($DQ$109,$DQ$11:$DQ$22,0),"")</f>
        <v/>
      </c>
      <c r="DQ109" s="2">
        <f>IF(ISERROR($A$109),"",IF(ISBLANK($A$109),"",$A$109))</f>
        <v/>
      </c>
      <c r="DS109" s="2">
        <f>IF(ISERROR($C$109),"",IF(ISBLANK($C$109),"",$C$109))</f>
        <v/>
      </c>
      <c r="DT109" s="2">
        <f>IF(ISERROR($D$109),"",IF(ISBLANK($D$109),"",$D$109))</f>
        <v/>
      </c>
      <c r="DU109" s="2">
        <f>IF(ISERROR($E$109),"",IF(ISBLANK($E$109),"",$E$109))</f>
        <v/>
      </c>
      <c r="DV109" s="2">
        <f>IF(ISERROR($F$109),"",IF(ISBLANK($F$109),"",$F$109))</f>
        <v/>
      </c>
      <c r="DW109" s="2">
        <f>IF(ISERROR($G$109),"",IF(ISBLANK($G$109),"",$G$109))</f>
        <v/>
      </c>
      <c r="DX109" s="2">
        <f>IF(ISERROR($H$109),"",IF(ISBLANK($H$109),"",$H$109))</f>
        <v/>
      </c>
      <c r="EA109" s="2">
        <f>ISERROR($A$109)*1+ISERROR($C$109)*1+ISERROR($D$109)*1+ISERROR($E$109)*1+ISERROR($F$109)*1+ISERROR($G$109)*1+ISERROR($H$109)*1+ISERROR($I$109)*1</f>
        <v/>
      </c>
    </row>
    <row r="110" ht="48" customHeight="1">
      <c r="A110" s="35" t="n"/>
      <c r="B110" s="17" t="n"/>
      <c r="C110" s="37" t="n"/>
      <c r="D110" s="36" t="n"/>
      <c r="E110" s="36" t="n"/>
      <c r="F110" s="36" t="n"/>
      <c r="G110" s="36" t="n"/>
      <c r="H110" s="37" t="n"/>
      <c r="I110" s="29" t="n"/>
      <c r="J110" s="17" t="n"/>
      <c r="K110" s="27">
        <f>IF(EA110&gt;0,"O Google leu como fórmula: escolha de novo ou digite com ' na frente.",IF(LEN($DQ$110)=0,"",IF(NOT(ISNUMBER($O$110)),"Inimigo fora da tabela I1",IF(NOT(ISNUMBER($DS$110)),"Diga a fase (2 ou 3)",IF($DS$110&gt;INDEX($BV$11:$BV$22,$O$110),"Fase para inimigo sem essa fase: confira Fases na I1",IF(AND(ISNUMBER($DX$110),$DX$110&gt;INDEX($T$11:$T$22,$O$110)),"Tenacidade acima da âncora: a planilha usa a âncora (28.5 regra 3)",IF((IF(LEN($DT$110)&gt;0,1,0)+IF(LEN($DU$110)&gt;0,1,0)+IF(LEN($DV$110)&gt;0,1,0)+IF(LEN($DW$110)&gt;0,1,0))&lt;4,"Boss tem 4 Fraquezas em cada fase (28.5 regra 4)","")))))))</f>
        <v/>
      </c>
      <c r="N110" s="2">
        <f>IF(LEN($DQ$110)&gt;0,$DQ$110&amp;"|"&amp;$DS$110,"")</f>
        <v/>
      </c>
      <c r="O110" s="2">
        <f>IFERROR(MATCH($DQ$110,$DQ$11:$DQ$22,0),"")</f>
        <v/>
      </c>
      <c r="DQ110" s="2">
        <f>IF(ISERROR($A$110),"",IF(ISBLANK($A$110),"",$A$110))</f>
        <v/>
      </c>
      <c r="DS110" s="2">
        <f>IF(ISERROR($C$110),"",IF(ISBLANK($C$110),"",$C$110))</f>
        <v/>
      </c>
      <c r="DT110" s="2">
        <f>IF(ISERROR($D$110),"",IF(ISBLANK($D$110),"",$D$110))</f>
        <v/>
      </c>
      <c r="DU110" s="2">
        <f>IF(ISERROR($E$110),"",IF(ISBLANK($E$110),"",$E$110))</f>
        <v/>
      </c>
      <c r="DV110" s="2">
        <f>IF(ISERROR($F$110),"",IF(ISBLANK($F$110),"",$F$110))</f>
        <v/>
      </c>
      <c r="DW110" s="2">
        <f>IF(ISERROR($G$110),"",IF(ISBLANK($G$110),"",$G$110))</f>
        <v/>
      </c>
      <c r="DX110" s="2">
        <f>IF(ISERROR($H$110),"",IF(ISBLANK($H$110),"",$H$110))</f>
        <v/>
      </c>
      <c r="EA110" s="2">
        <f>ISERROR($A$110)*1+ISERROR($C$110)*1+ISERROR($D$110)*1+ISERROR($E$110)*1+ISERROR($F$110)*1+ISERROR($G$110)*1+ISERROR($H$110)*1+ISERROR($I$110)*1</f>
        <v/>
      </c>
    </row>
    <row r="111" ht="48" customHeight="1">
      <c r="A111" s="33" t="n"/>
      <c r="B111" s="17" t="n"/>
      <c r="C111" s="16" t="n"/>
      <c r="D111" s="34" t="n"/>
      <c r="E111" s="34" t="n"/>
      <c r="F111" s="34" t="n"/>
      <c r="G111" s="34" t="n"/>
      <c r="H111" s="16" t="n"/>
      <c r="I111" s="4" t="n"/>
      <c r="J111" s="17" t="n"/>
      <c r="K111" s="19">
        <f>IF(EA111&gt;0,"O Google leu como fórmula: escolha de novo ou digite com ' na frente.",IF(LEN($DQ$111)=0,"",IF(NOT(ISNUMBER($O$111)),"Inimigo fora da tabela I1",IF(NOT(ISNUMBER($DS$111)),"Diga a fase (2 ou 3)",IF($DS$111&gt;INDEX($BV$11:$BV$22,$O$111),"Fase para inimigo sem essa fase: confira Fases na I1",IF(AND(ISNUMBER($DX$111),$DX$111&gt;INDEX($T$11:$T$22,$O$111)),"Tenacidade acima da âncora: a planilha usa a âncora (28.5 regra 3)",IF((IF(LEN($DT$111)&gt;0,1,0)+IF(LEN($DU$111)&gt;0,1,0)+IF(LEN($DV$111)&gt;0,1,0)+IF(LEN($DW$111)&gt;0,1,0))&lt;4,"Boss tem 4 Fraquezas em cada fase (28.5 regra 4)","")))))))</f>
        <v/>
      </c>
      <c r="N111" s="2">
        <f>IF(LEN($DQ$111)&gt;0,$DQ$111&amp;"|"&amp;$DS$111,"")</f>
        <v/>
      </c>
      <c r="O111" s="2">
        <f>IFERROR(MATCH($DQ$111,$DQ$11:$DQ$22,0),"")</f>
        <v/>
      </c>
      <c r="DQ111" s="2">
        <f>IF(ISERROR($A$111),"",IF(ISBLANK($A$111),"",$A$111))</f>
        <v/>
      </c>
      <c r="DS111" s="2">
        <f>IF(ISERROR($C$111),"",IF(ISBLANK($C$111),"",$C$111))</f>
        <v/>
      </c>
      <c r="DT111" s="2">
        <f>IF(ISERROR($D$111),"",IF(ISBLANK($D$111),"",$D$111))</f>
        <v/>
      </c>
      <c r="DU111" s="2">
        <f>IF(ISERROR($E$111),"",IF(ISBLANK($E$111),"",$E$111))</f>
        <v/>
      </c>
      <c r="DV111" s="2">
        <f>IF(ISERROR($F$111),"",IF(ISBLANK($F$111),"",$F$111))</f>
        <v/>
      </c>
      <c r="DW111" s="2">
        <f>IF(ISERROR($G$111),"",IF(ISBLANK($G$111),"",$G$111))</f>
        <v/>
      </c>
      <c r="DX111" s="2">
        <f>IF(ISERROR($H$111),"",IF(ISBLANK($H$111),"",$H$111))</f>
        <v/>
      </c>
      <c r="EA111" s="2">
        <f>ISERROR($A$111)*1+ISERROR($C$111)*1+ISERROR($D$111)*1+ISERROR($E$111)*1+ISERROR($F$111)*1+ISERROR($G$111)*1+ISERROR($H$111)*1+ISERROR($I$111)*1</f>
        <v/>
      </c>
    </row>
    <row r="112" ht="37" customHeight="1">
      <c r="A112" s="35" t="n"/>
      <c r="B112" s="17" t="n"/>
      <c r="C112" s="37" t="n"/>
      <c r="D112" s="36" t="n"/>
      <c r="E112" s="36" t="n"/>
      <c r="F112" s="36" t="n"/>
      <c r="G112" s="36" t="n"/>
      <c r="H112" s="37" t="n"/>
      <c r="I112" s="29" t="n"/>
      <c r="J112" s="17" t="n"/>
      <c r="K112" s="27">
        <f>IF(EA112&gt;0,"O Google leu como fórmula: escolha de novo ou digite com ' na frente.",IF(LEN($DQ$112)=0,"",IF(NOT(ISNUMBER($O$112)),"Inimigo fora da tabela I1",IF(NOT(ISNUMBER($DS$112)),"Diga a fase (2 ou 3)",IF($DS$112&gt;INDEX($BV$11:$BV$22,$O$112),"Fase para inimigo sem essa fase: confira Fases na I1",IF(AND(ISNUMBER($DX$112),$DX$112&gt;INDEX($T$11:$T$22,$O$112)),"Tenacidade acima da âncora: a planilha usa a âncora (28.5 regra 3)",IF((IF(LEN($DT$112)&gt;0,1,0)+IF(LEN($DU$112)&gt;0,1,0)+IF(LEN($DV$112)&gt;0,1,0)+IF(LEN($DW$112)&gt;0,1,0))&lt;4,"Boss tem 4 Fraquezas em cada fase (28.5 regra 4)","")))))))</f>
        <v/>
      </c>
      <c r="N112" s="2">
        <f>IF(LEN($DQ$112)&gt;0,$DQ$112&amp;"|"&amp;$DS$112,"")</f>
        <v/>
      </c>
      <c r="O112" s="2">
        <f>IFERROR(MATCH($DQ$112,$DQ$11:$DQ$22,0),"")</f>
        <v/>
      </c>
      <c r="DQ112" s="2">
        <f>IF(ISERROR($A$112),"",IF(ISBLANK($A$112),"",$A$112))</f>
        <v/>
      </c>
      <c r="DS112" s="2">
        <f>IF(ISERROR($C$112),"",IF(ISBLANK($C$112),"",$C$112))</f>
        <v/>
      </c>
      <c r="DT112" s="2">
        <f>IF(ISERROR($D$112),"",IF(ISBLANK($D$112),"",$D$112))</f>
        <v/>
      </c>
      <c r="DU112" s="2">
        <f>IF(ISERROR($E$112),"",IF(ISBLANK($E$112),"",$E$112))</f>
        <v/>
      </c>
      <c r="DV112" s="2">
        <f>IF(ISERROR($F$112),"",IF(ISBLANK($F$112),"",$F$112))</f>
        <v/>
      </c>
      <c r="DW112" s="2">
        <f>IF(ISERROR($G$112),"",IF(ISBLANK($G$112),"",$G$112))</f>
        <v/>
      </c>
      <c r="DX112" s="2">
        <f>IF(ISERROR($H$112),"",IF(ISBLANK($H$112),"",$H$112))</f>
        <v/>
      </c>
      <c r="EA112" s="2">
        <f>ISERROR($A$112)*1+ISERROR($C$112)*1+ISERROR($D$112)*1+ISERROR($E$112)*1+ISERROR($F$112)*1+ISERROR($G$112)*1+ISERROR($H$112)*1+ISERROR($I$112)*1</f>
        <v/>
      </c>
    </row>
    <row r="113"/>
    <row r="114" ht="20" customHeight="1">
      <c r="A114" s="13" t="inlineStr">
        <is>
          <t>Ações dos inimigos criados — entradas (régua de 28.4; modo Ajustar usa as da base)</t>
        </is>
      </c>
    </row>
    <row r="115" ht="26" customHeight="1">
      <c r="A115" s="8" t="inlineStr">
        <is>
          <t>Inimigo</t>
        </is>
      </c>
      <c r="B115" s="20" t="n"/>
      <c r="C115" s="8" t="inlineStr">
        <is>
          <t>Tipo de ação</t>
        </is>
      </c>
      <c r="D115" s="20" t="n"/>
      <c r="E115" s="8" t="inlineStr">
        <is>
          <t>Nome da ação</t>
        </is>
      </c>
      <c r="F115" s="20" t="n"/>
      <c r="G115" s="8" t="inlineStr">
        <is>
          <t>Alcance</t>
        </is>
      </c>
      <c r="H115" s="8" t="inlineStr">
        <is>
          <t>Elemento</t>
        </is>
      </c>
      <c r="I115" s="8" t="inlineStr">
        <is>
          <t>Recarga (Ciclos)</t>
        </is>
      </c>
      <c r="J115" s="8" t="inlineStr">
        <is>
          <t>Duração (turnos)</t>
        </is>
      </c>
      <c r="K115" s="8" t="inlineStr">
        <is>
          <t>Aviso</t>
        </is>
      </c>
      <c r="L115" s="20" t="n"/>
    </row>
    <row r="116" ht="37" customHeight="1">
      <c r="A116" s="33" t="n"/>
      <c r="B116" s="17" t="n"/>
      <c r="C116" s="4" t="n"/>
      <c r="D116" s="17" t="n"/>
      <c r="E116" s="4" t="n"/>
      <c r="F116" s="17" t="n"/>
      <c r="G116" s="34" t="n"/>
      <c r="H116" s="34" t="n"/>
      <c r="I116" s="16" t="n"/>
      <c r="J116" s="16" t="n"/>
      <c r="K116" s="19">
        <f>IF(EA116&gt;0,"O Google leu como fórmula: escolha de novo ou digite com ' na frente.",IF(LEN($DQ$116)=0,"",IF(NOT(ISNUMBER($R$116)),"Inimigo fora da tabela I1",IF(AND($O$116=1,$DS$116&lt;&gt;"Reação",NOT(ISNUMBER($DY$116))),"Ação especial precisa de recarga de 2 ou 3 Ciclos (28.4)",IF(COUNTIFS($DQ$116:$DQ$153,$DQ$116,$O$116:$O$153,1)&gt;3,"Mais de 3 ações especiais neste inimigo (28.1: de 1 a 3)",IF(AND($DS$116="Especial de dano 1 alvo (até 1,5×)",INDEX($O$11:$O$22,$R$116)="Comum"),"Pico de dano: ocupa a ação do turno (28.4)",""))))))</f>
        <v/>
      </c>
      <c r="N116" s="2">
        <f>IF(AND(LEN($DQ$116)&gt;0,LEN($DS$116)&gt;0),1,0)</f>
        <v/>
      </c>
      <c r="O116" s="2">
        <f>IF(AND($N$116=1,$DS$116&lt;&gt;"Ataque normal"),1,0)</f>
        <v/>
      </c>
      <c r="P116" s="2">
        <f>IF($N$116=1,$DQ$116&amp;"|"&amp;COUNTIFS($DQ$116,$DQ$116,$N$116:N116,1),"")</f>
        <v/>
      </c>
      <c r="Q116" s="2">
        <f>IF($O$116=1,$DQ$116&amp;"|"&amp;COUNTIFS($DQ$116,$DQ$116,$O$116:O116,1),"")</f>
        <v/>
      </c>
      <c r="R116" s="2">
        <f>IFERROR(MATCH($DQ$116,$DQ$11:$DQ$22,0),"")</f>
        <v/>
      </c>
      <c r="S116" s="2">
        <f>$F$157</f>
        <v/>
      </c>
      <c r="DQ116" s="2">
        <f>IF(ISERROR($A$116),"",IF(ISBLANK($A$116),"",$A$116))</f>
        <v/>
      </c>
      <c r="DS116" s="2">
        <f>IF(ISERROR($C$116),"",IF(ISBLANK($C$116),"",$C$116))</f>
        <v/>
      </c>
      <c r="DU116" s="2">
        <f>IF(ISERROR($E$116),"",IF(ISBLANK($E$116),"",$E$116))</f>
        <v/>
      </c>
      <c r="DW116" s="2">
        <f>IF(ISERROR($G$116),"",IF(ISBLANK($G$116),"",$G$116))</f>
        <v/>
      </c>
      <c r="DX116" s="2">
        <f>IF(ISERROR($H$116),"",IF(ISBLANK($H$116),"",$H$116))</f>
        <v/>
      </c>
      <c r="DY116" s="2">
        <f>IF(ISERROR($I$116),"",IF(ISBLANK($I$116),"",$I$116))</f>
        <v/>
      </c>
      <c r="DZ116" s="2">
        <f>IF(ISERROR($J$116),"",IF(ISBLANK($J$116),"",$J$116))</f>
        <v/>
      </c>
      <c r="EA116" s="2">
        <f>ISERROR($A$116)*1+ISERROR($C$116)*1+ISERROR($E$116)*1+ISERROR($G$116)*1+ISERROR($H$116)*1+ISERROR($I$116)*1+ISERROR($J$116)*1</f>
        <v/>
      </c>
    </row>
    <row r="117" ht="37" customHeight="1">
      <c r="A117" s="35" t="n"/>
      <c r="B117" s="17" t="n"/>
      <c r="C117" s="29" t="n"/>
      <c r="D117" s="17" t="n"/>
      <c r="E117" s="29" t="n"/>
      <c r="F117" s="17" t="n"/>
      <c r="G117" s="36" t="n"/>
      <c r="H117" s="36" t="n"/>
      <c r="I117" s="37" t="n"/>
      <c r="J117" s="37" t="n"/>
      <c r="K117" s="27">
        <f>IF(EA117&gt;0,"O Google leu como fórmula: escolha de novo ou digite com ' na frente.",IF(LEN($DQ$117)=0,"",IF(NOT(ISNUMBER($R$117)),"Inimigo fora da tabela I1",IF(AND($O$117=1,$DS$117&lt;&gt;"Reação",NOT(ISNUMBER($DY$117))),"Ação especial precisa de recarga de 2 ou 3 Ciclos (28.4)",IF(COUNTIFS($DQ$116:$DQ$153,$DQ$117,$O$116:$O$153,1)&gt;3,"Mais de 3 ações especiais neste inimigo (28.1: de 1 a 3)",IF(AND($DS$117="Especial de dano 1 alvo (até 1,5×)",INDEX($O$11:$O$22,$R$117)="Comum"),"Pico de dano: ocupa a ação do turno (28.4)",""))))))</f>
        <v/>
      </c>
      <c r="N117" s="2">
        <f>IF(AND(LEN($DQ$117)&gt;0,LEN($DS$117)&gt;0),1,0)</f>
        <v/>
      </c>
      <c r="O117" s="2">
        <f>IF(AND($N$117=1,$DS$117&lt;&gt;"Ataque normal"),1,0)</f>
        <v/>
      </c>
      <c r="P117" s="2">
        <f>IF($N$117=1,$DQ$117&amp;"|"&amp;COUNTIFS($DQ$116:$DQ$117,$DQ$117,$N$116:N117,1),"")</f>
        <v/>
      </c>
      <c r="Q117" s="2">
        <f>IF($O$117=1,$DQ$117&amp;"|"&amp;COUNTIFS($DQ$116:$DQ$117,$DQ$117,$O$116:O117,1),"")</f>
        <v/>
      </c>
      <c r="R117" s="2">
        <f>IFERROR(MATCH($DQ$117,$DQ$11:$DQ$22,0),"")</f>
        <v/>
      </c>
      <c r="S117" s="2">
        <f>$F$158</f>
        <v/>
      </c>
      <c r="DQ117" s="2">
        <f>IF(ISERROR($A$117),"",IF(ISBLANK($A$117),"",$A$117))</f>
        <v/>
      </c>
      <c r="DS117" s="2">
        <f>IF(ISERROR($C$117),"",IF(ISBLANK($C$117),"",$C$117))</f>
        <v/>
      </c>
      <c r="DU117" s="2">
        <f>IF(ISERROR($E$117),"",IF(ISBLANK($E$117),"",$E$117))</f>
        <v/>
      </c>
      <c r="DW117" s="2">
        <f>IF(ISERROR($G$117),"",IF(ISBLANK($G$117),"",$G$117))</f>
        <v/>
      </c>
      <c r="DX117" s="2">
        <f>IF(ISERROR($H$117),"",IF(ISBLANK($H$117),"",$H$117))</f>
        <v/>
      </c>
      <c r="DY117" s="2">
        <f>IF(ISERROR($I$117),"",IF(ISBLANK($I$117),"",$I$117))</f>
        <v/>
      </c>
      <c r="DZ117" s="2">
        <f>IF(ISERROR($J$117),"",IF(ISBLANK($J$117),"",$J$117))</f>
        <v/>
      </c>
      <c r="EA117" s="2">
        <f>ISERROR($A$117)*1+ISERROR($C$117)*1+ISERROR($E$117)*1+ISERROR($G$117)*1+ISERROR($H$117)*1+ISERROR($I$117)*1+ISERROR($J$117)*1</f>
        <v/>
      </c>
    </row>
    <row r="118" ht="37" customHeight="1">
      <c r="A118" s="33" t="n"/>
      <c r="B118" s="17" t="n"/>
      <c r="C118" s="4" t="n"/>
      <c r="D118" s="17" t="n"/>
      <c r="E118" s="4" t="n"/>
      <c r="F118" s="17" t="n"/>
      <c r="G118" s="34" t="n"/>
      <c r="H118" s="34" t="n"/>
      <c r="I118" s="16" t="n"/>
      <c r="J118" s="16" t="n"/>
      <c r="K118" s="19">
        <f>IF(EA118&gt;0,"O Google leu como fórmula: escolha de novo ou digite com ' na frente.",IF(LEN($DQ$118)=0,"",IF(NOT(ISNUMBER($R$118)),"Inimigo fora da tabela I1",IF(AND($O$118=1,$DS$118&lt;&gt;"Reação",NOT(ISNUMBER($DY$118))),"Ação especial precisa de recarga de 2 ou 3 Ciclos (28.4)",IF(COUNTIFS($DQ$116:$DQ$153,$DQ$118,$O$116:$O$153,1)&gt;3,"Mais de 3 ações especiais neste inimigo (28.1: de 1 a 3)",IF(AND($DS$118="Especial de dano 1 alvo (até 1,5×)",INDEX($O$11:$O$22,$R$118)="Comum"),"Pico de dano: ocupa a ação do turno (28.4)",""))))))</f>
        <v/>
      </c>
      <c r="N118" s="2">
        <f>IF(AND(LEN($DQ$118)&gt;0,LEN($DS$118)&gt;0),1,0)</f>
        <v/>
      </c>
      <c r="O118" s="2">
        <f>IF(AND($N$118=1,$DS$118&lt;&gt;"Ataque normal"),1,0)</f>
        <v/>
      </c>
      <c r="P118" s="2">
        <f>IF($N$118=1,$DQ$118&amp;"|"&amp;COUNTIFS($DQ$116:$DQ$118,$DQ$118,$N$116:N118,1),"")</f>
        <v/>
      </c>
      <c r="Q118" s="2">
        <f>IF($O$118=1,$DQ$118&amp;"|"&amp;COUNTIFS($DQ$116:$DQ$118,$DQ$118,$O$116:O118,1),"")</f>
        <v/>
      </c>
      <c r="R118" s="2">
        <f>IFERROR(MATCH($DQ$118,$DQ$11:$DQ$22,0),"")</f>
        <v/>
      </c>
      <c r="S118" s="2">
        <f>$F$159</f>
        <v/>
      </c>
      <c r="DQ118" s="2">
        <f>IF(ISERROR($A$118),"",IF(ISBLANK($A$118),"",$A$118))</f>
        <v/>
      </c>
      <c r="DS118" s="2">
        <f>IF(ISERROR($C$118),"",IF(ISBLANK($C$118),"",$C$118))</f>
        <v/>
      </c>
      <c r="DU118" s="2">
        <f>IF(ISERROR($E$118),"",IF(ISBLANK($E$118),"",$E$118))</f>
        <v/>
      </c>
      <c r="DW118" s="2">
        <f>IF(ISERROR($G$118),"",IF(ISBLANK($G$118),"",$G$118))</f>
        <v/>
      </c>
      <c r="DX118" s="2">
        <f>IF(ISERROR($H$118),"",IF(ISBLANK($H$118),"",$H$118))</f>
        <v/>
      </c>
      <c r="DY118" s="2">
        <f>IF(ISERROR($I$118),"",IF(ISBLANK($I$118),"",$I$118))</f>
        <v/>
      </c>
      <c r="DZ118" s="2">
        <f>IF(ISERROR($J$118),"",IF(ISBLANK($J$118),"",$J$118))</f>
        <v/>
      </c>
      <c r="EA118" s="2">
        <f>ISERROR($A$118)*1+ISERROR($C$118)*1+ISERROR($E$118)*1+ISERROR($G$118)*1+ISERROR($H$118)*1+ISERROR($I$118)*1+ISERROR($J$118)*1</f>
        <v/>
      </c>
    </row>
    <row r="119" ht="37" customHeight="1">
      <c r="A119" s="35" t="n"/>
      <c r="B119" s="17" t="n"/>
      <c r="C119" s="29" t="n"/>
      <c r="D119" s="17" t="n"/>
      <c r="E119" s="29" t="n"/>
      <c r="F119" s="17" t="n"/>
      <c r="G119" s="36" t="n"/>
      <c r="H119" s="36" t="n"/>
      <c r="I119" s="37" t="n"/>
      <c r="J119" s="37" t="n"/>
      <c r="K119" s="27">
        <f>IF(EA119&gt;0,"O Google leu como fórmula: escolha de novo ou digite com ' na frente.",IF(LEN($DQ$119)=0,"",IF(NOT(ISNUMBER($R$119)),"Inimigo fora da tabela I1",IF(AND($O$119=1,$DS$119&lt;&gt;"Reação",NOT(ISNUMBER($DY$119))),"Ação especial precisa de recarga de 2 ou 3 Ciclos (28.4)",IF(COUNTIFS($DQ$116:$DQ$153,$DQ$119,$O$116:$O$153,1)&gt;3,"Mais de 3 ações especiais neste inimigo (28.1: de 1 a 3)",IF(AND($DS$119="Especial de dano 1 alvo (até 1,5×)",INDEX($O$11:$O$22,$R$119)="Comum"),"Pico de dano: ocupa a ação do turno (28.4)",""))))))</f>
        <v/>
      </c>
      <c r="N119" s="2">
        <f>IF(AND(LEN($DQ$119)&gt;0,LEN($DS$119)&gt;0),1,0)</f>
        <v/>
      </c>
      <c r="O119" s="2">
        <f>IF(AND($N$119=1,$DS$119&lt;&gt;"Ataque normal"),1,0)</f>
        <v/>
      </c>
      <c r="P119" s="2">
        <f>IF($N$119=1,$DQ$119&amp;"|"&amp;COUNTIFS($DQ$116:$DQ$119,$DQ$119,$N$116:N119,1),"")</f>
        <v/>
      </c>
      <c r="Q119" s="2">
        <f>IF($O$119=1,$DQ$119&amp;"|"&amp;COUNTIFS($DQ$116:$DQ$119,$DQ$119,$O$116:O119,1),"")</f>
        <v/>
      </c>
      <c r="R119" s="2">
        <f>IFERROR(MATCH($DQ$119,$DQ$11:$DQ$22,0),"")</f>
        <v/>
      </c>
      <c r="S119" s="2">
        <f>$F$160</f>
        <v/>
      </c>
      <c r="DQ119" s="2">
        <f>IF(ISERROR($A$119),"",IF(ISBLANK($A$119),"",$A$119))</f>
        <v/>
      </c>
      <c r="DS119" s="2">
        <f>IF(ISERROR($C$119),"",IF(ISBLANK($C$119),"",$C$119))</f>
        <v/>
      </c>
      <c r="DU119" s="2">
        <f>IF(ISERROR($E$119),"",IF(ISBLANK($E$119),"",$E$119))</f>
        <v/>
      </c>
      <c r="DW119" s="2">
        <f>IF(ISERROR($G$119),"",IF(ISBLANK($G$119),"",$G$119))</f>
        <v/>
      </c>
      <c r="DX119" s="2">
        <f>IF(ISERROR($H$119),"",IF(ISBLANK($H$119),"",$H$119))</f>
        <v/>
      </c>
      <c r="DY119" s="2">
        <f>IF(ISERROR($I$119),"",IF(ISBLANK($I$119),"",$I$119))</f>
        <v/>
      </c>
      <c r="DZ119" s="2">
        <f>IF(ISERROR($J$119),"",IF(ISBLANK($J$119),"",$J$119))</f>
        <v/>
      </c>
      <c r="EA119" s="2">
        <f>ISERROR($A$119)*1+ISERROR($C$119)*1+ISERROR($E$119)*1+ISERROR($G$119)*1+ISERROR($H$119)*1+ISERROR($I$119)*1+ISERROR($J$119)*1</f>
        <v/>
      </c>
    </row>
    <row r="120" ht="37" customHeight="1">
      <c r="A120" s="33" t="n"/>
      <c r="B120" s="17" t="n"/>
      <c r="C120" s="4" t="n"/>
      <c r="D120" s="17" t="n"/>
      <c r="E120" s="4" t="n"/>
      <c r="F120" s="17" t="n"/>
      <c r="G120" s="34" t="n"/>
      <c r="H120" s="34" t="n"/>
      <c r="I120" s="16" t="n"/>
      <c r="J120" s="16" t="n"/>
      <c r="K120" s="19">
        <f>IF(EA120&gt;0,"O Google leu como fórmula: escolha de novo ou digite com ' na frente.",IF(LEN($DQ$120)=0,"",IF(NOT(ISNUMBER($R$120)),"Inimigo fora da tabela I1",IF(AND($O$120=1,$DS$120&lt;&gt;"Reação",NOT(ISNUMBER($DY$120))),"Ação especial precisa de recarga de 2 ou 3 Ciclos (28.4)",IF(COUNTIFS($DQ$116:$DQ$153,$DQ$120,$O$116:$O$153,1)&gt;3,"Mais de 3 ações especiais neste inimigo (28.1: de 1 a 3)",IF(AND($DS$120="Especial de dano 1 alvo (até 1,5×)",INDEX($O$11:$O$22,$R$120)="Comum"),"Pico de dano: ocupa a ação do turno (28.4)",""))))))</f>
        <v/>
      </c>
      <c r="N120" s="2">
        <f>IF(AND(LEN($DQ$120)&gt;0,LEN($DS$120)&gt;0),1,0)</f>
        <v/>
      </c>
      <c r="O120" s="2">
        <f>IF(AND($N$120=1,$DS$120&lt;&gt;"Ataque normal"),1,0)</f>
        <v/>
      </c>
      <c r="P120" s="2">
        <f>IF($N$120=1,$DQ$120&amp;"|"&amp;COUNTIFS($DQ$116:$DQ$120,$DQ$120,$N$116:N120,1),"")</f>
        <v/>
      </c>
      <c r="Q120" s="2">
        <f>IF($O$120=1,$DQ$120&amp;"|"&amp;COUNTIFS($DQ$116:$DQ$120,$DQ$120,$O$116:O120,1),"")</f>
        <v/>
      </c>
      <c r="R120" s="2">
        <f>IFERROR(MATCH($DQ$120,$DQ$11:$DQ$22,0),"")</f>
        <v/>
      </c>
      <c r="S120" s="2">
        <f>$F$161</f>
        <v/>
      </c>
      <c r="DQ120" s="2">
        <f>IF(ISERROR($A$120),"",IF(ISBLANK($A$120),"",$A$120))</f>
        <v/>
      </c>
      <c r="DS120" s="2">
        <f>IF(ISERROR($C$120),"",IF(ISBLANK($C$120),"",$C$120))</f>
        <v/>
      </c>
      <c r="DU120" s="2">
        <f>IF(ISERROR($E$120),"",IF(ISBLANK($E$120),"",$E$120))</f>
        <v/>
      </c>
      <c r="DW120" s="2">
        <f>IF(ISERROR($G$120),"",IF(ISBLANK($G$120),"",$G$120))</f>
        <v/>
      </c>
      <c r="DX120" s="2">
        <f>IF(ISERROR($H$120),"",IF(ISBLANK($H$120),"",$H$120))</f>
        <v/>
      </c>
      <c r="DY120" s="2">
        <f>IF(ISERROR($I$120),"",IF(ISBLANK($I$120),"",$I$120))</f>
        <v/>
      </c>
      <c r="DZ120" s="2">
        <f>IF(ISERROR($J$120),"",IF(ISBLANK($J$120),"",$J$120))</f>
        <v/>
      </c>
      <c r="EA120" s="2">
        <f>ISERROR($A$120)*1+ISERROR($C$120)*1+ISERROR($E$120)*1+ISERROR($G$120)*1+ISERROR($H$120)*1+ISERROR($I$120)*1+ISERROR($J$120)*1</f>
        <v/>
      </c>
    </row>
    <row r="121" ht="37" customHeight="1">
      <c r="A121" s="35" t="n"/>
      <c r="B121" s="17" t="n"/>
      <c r="C121" s="29" t="n"/>
      <c r="D121" s="17" t="n"/>
      <c r="E121" s="29" t="n"/>
      <c r="F121" s="17" t="n"/>
      <c r="G121" s="36" t="n"/>
      <c r="H121" s="36" t="n"/>
      <c r="I121" s="37" t="n"/>
      <c r="J121" s="37" t="n"/>
      <c r="K121" s="27">
        <f>IF(EA121&gt;0,"O Google leu como fórmula: escolha de novo ou digite com ' na frente.",IF(LEN($DQ$121)=0,"",IF(NOT(ISNUMBER($R$121)),"Inimigo fora da tabela I1",IF(AND($O$121=1,$DS$121&lt;&gt;"Reação",NOT(ISNUMBER($DY$121))),"Ação especial precisa de recarga de 2 ou 3 Ciclos (28.4)",IF(COUNTIFS($DQ$116:$DQ$153,$DQ$121,$O$116:$O$153,1)&gt;3,"Mais de 3 ações especiais neste inimigo (28.1: de 1 a 3)",IF(AND($DS$121="Especial de dano 1 alvo (até 1,5×)",INDEX($O$11:$O$22,$R$121)="Comum"),"Pico de dano: ocupa a ação do turno (28.4)",""))))))</f>
        <v/>
      </c>
      <c r="N121" s="2">
        <f>IF(AND(LEN($DQ$121)&gt;0,LEN($DS$121)&gt;0),1,0)</f>
        <v/>
      </c>
      <c r="O121" s="2">
        <f>IF(AND($N$121=1,$DS$121&lt;&gt;"Ataque normal"),1,0)</f>
        <v/>
      </c>
      <c r="P121" s="2">
        <f>IF($N$121=1,$DQ$121&amp;"|"&amp;COUNTIFS($DQ$116:$DQ$121,$DQ$121,$N$116:N121,1),"")</f>
        <v/>
      </c>
      <c r="Q121" s="2">
        <f>IF($O$121=1,$DQ$121&amp;"|"&amp;COUNTIFS($DQ$116:$DQ$121,$DQ$121,$O$116:O121,1),"")</f>
        <v/>
      </c>
      <c r="R121" s="2">
        <f>IFERROR(MATCH($DQ$121,$DQ$11:$DQ$22,0),"")</f>
        <v/>
      </c>
      <c r="S121" s="2">
        <f>$F$162</f>
        <v/>
      </c>
      <c r="DQ121" s="2">
        <f>IF(ISERROR($A$121),"",IF(ISBLANK($A$121),"",$A$121))</f>
        <v/>
      </c>
      <c r="DS121" s="2">
        <f>IF(ISERROR($C$121),"",IF(ISBLANK($C$121),"",$C$121))</f>
        <v/>
      </c>
      <c r="DU121" s="2">
        <f>IF(ISERROR($E$121),"",IF(ISBLANK($E$121),"",$E$121))</f>
        <v/>
      </c>
      <c r="DW121" s="2">
        <f>IF(ISERROR($G$121),"",IF(ISBLANK($G$121),"",$G$121))</f>
        <v/>
      </c>
      <c r="DX121" s="2">
        <f>IF(ISERROR($H$121),"",IF(ISBLANK($H$121),"",$H$121))</f>
        <v/>
      </c>
      <c r="DY121" s="2">
        <f>IF(ISERROR($I$121),"",IF(ISBLANK($I$121),"",$I$121))</f>
        <v/>
      </c>
      <c r="DZ121" s="2">
        <f>IF(ISERROR($J$121),"",IF(ISBLANK($J$121),"",$J$121))</f>
        <v/>
      </c>
      <c r="EA121" s="2">
        <f>ISERROR($A$121)*1+ISERROR($C$121)*1+ISERROR($E$121)*1+ISERROR($G$121)*1+ISERROR($H$121)*1+ISERROR($I$121)*1+ISERROR($J$121)*1</f>
        <v/>
      </c>
    </row>
    <row r="122" ht="37" customHeight="1">
      <c r="A122" s="33" t="n"/>
      <c r="B122" s="17" t="n"/>
      <c r="C122" s="4" t="n"/>
      <c r="D122" s="17" t="n"/>
      <c r="E122" s="4" t="n"/>
      <c r="F122" s="17" t="n"/>
      <c r="G122" s="34" t="n"/>
      <c r="H122" s="34" t="n"/>
      <c r="I122" s="16" t="n"/>
      <c r="J122" s="16" t="n"/>
      <c r="K122" s="19">
        <f>IF(EA122&gt;0,"O Google leu como fórmula: escolha de novo ou digite com ' na frente.",IF(LEN($DQ$122)=0,"",IF(NOT(ISNUMBER($R$122)),"Inimigo fora da tabela I1",IF(AND($O$122=1,$DS$122&lt;&gt;"Reação",NOT(ISNUMBER($DY$122))),"Ação especial precisa de recarga de 2 ou 3 Ciclos (28.4)",IF(COUNTIFS($DQ$116:$DQ$153,$DQ$122,$O$116:$O$153,1)&gt;3,"Mais de 3 ações especiais neste inimigo (28.1: de 1 a 3)",IF(AND($DS$122="Especial de dano 1 alvo (até 1,5×)",INDEX($O$11:$O$22,$R$122)="Comum"),"Pico de dano: ocupa a ação do turno (28.4)",""))))))</f>
        <v/>
      </c>
      <c r="N122" s="2">
        <f>IF(AND(LEN($DQ$122)&gt;0,LEN($DS$122)&gt;0),1,0)</f>
        <v/>
      </c>
      <c r="O122" s="2">
        <f>IF(AND($N$122=1,$DS$122&lt;&gt;"Ataque normal"),1,0)</f>
        <v/>
      </c>
      <c r="P122" s="2">
        <f>IF($N$122=1,$DQ$122&amp;"|"&amp;COUNTIFS($DQ$116:$DQ$122,$DQ$122,$N$116:N122,1),"")</f>
        <v/>
      </c>
      <c r="Q122" s="2">
        <f>IF($O$122=1,$DQ$122&amp;"|"&amp;COUNTIFS($DQ$116:$DQ$122,$DQ$122,$O$116:O122,1),"")</f>
        <v/>
      </c>
      <c r="R122" s="2">
        <f>IFERROR(MATCH($DQ$122,$DQ$11:$DQ$22,0),"")</f>
        <v/>
      </c>
      <c r="S122" s="2">
        <f>$F$163</f>
        <v/>
      </c>
      <c r="DQ122" s="2">
        <f>IF(ISERROR($A$122),"",IF(ISBLANK($A$122),"",$A$122))</f>
        <v/>
      </c>
      <c r="DS122" s="2">
        <f>IF(ISERROR($C$122),"",IF(ISBLANK($C$122),"",$C$122))</f>
        <v/>
      </c>
      <c r="DU122" s="2">
        <f>IF(ISERROR($E$122),"",IF(ISBLANK($E$122),"",$E$122))</f>
        <v/>
      </c>
      <c r="DW122" s="2">
        <f>IF(ISERROR($G$122),"",IF(ISBLANK($G$122),"",$G$122))</f>
        <v/>
      </c>
      <c r="DX122" s="2">
        <f>IF(ISERROR($H$122),"",IF(ISBLANK($H$122),"",$H$122))</f>
        <v/>
      </c>
      <c r="DY122" s="2">
        <f>IF(ISERROR($I$122),"",IF(ISBLANK($I$122),"",$I$122))</f>
        <v/>
      </c>
      <c r="DZ122" s="2">
        <f>IF(ISERROR($J$122),"",IF(ISBLANK($J$122),"",$J$122))</f>
        <v/>
      </c>
      <c r="EA122" s="2">
        <f>ISERROR($A$122)*1+ISERROR($C$122)*1+ISERROR($E$122)*1+ISERROR($G$122)*1+ISERROR($H$122)*1+ISERROR($I$122)*1+ISERROR($J$122)*1</f>
        <v/>
      </c>
    </row>
    <row r="123" ht="37" customHeight="1">
      <c r="A123" s="35" t="n"/>
      <c r="B123" s="17" t="n"/>
      <c r="C123" s="29" t="n"/>
      <c r="D123" s="17" t="n"/>
      <c r="E123" s="29" t="n"/>
      <c r="F123" s="17" t="n"/>
      <c r="G123" s="36" t="n"/>
      <c r="H123" s="36" t="n"/>
      <c r="I123" s="37" t="n"/>
      <c r="J123" s="37" t="n"/>
      <c r="K123" s="27">
        <f>IF(EA123&gt;0,"O Google leu como fórmula: escolha de novo ou digite com ' na frente.",IF(LEN($DQ$123)=0,"",IF(NOT(ISNUMBER($R$123)),"Inimigo fora da tabela I1",IF(AND($O$123=1,$DS$123&lt;&gt;"Reação",NOT(ISNUMBER($DY$123))),"Ação especial precisa de recarga de 2 ou 3 Ciclos (28.4)",IF(COUNTIFS($DQ$116:$DQ$153,$DQ$123,$O$116:$O$153,1)&gt;3,"Mais de 3 ações especiais neste inimigo (28.1: de 1 a 3)",IF(AND($DS$123="Especial de dano 1 alvo (até 1,5×)",INDEX($O$11:$O$22,$R$123)="Comum"),"Pico de dano: ocupa a ação do turno (28.4)",""))))))</f>
        <v/>
      </c>
      <c r="N123" s="2">
        <f>IF(AND(LEN($DQ$123)&gt;0,LEN($DS$123)&gt;0),1,0)</f>
        <v/>
      </c>
      <c r="O123" s="2">
        <f>IF(AND($N$123=1,$DS$123&lt;&gt;"Ataque normal"),1,0)</f>
        <v/>
      </c>
      <c r="P123" s="2">
        <f>IF($N$123=1,$DQ$123&amp;"|"&amp;COUNTIFS($DQ$116:$DQ$123,$DQ$123,$N$116:N123,1),"")</f>
        <v/>
      </c>
      <c r="Q123" s="2">
        <f>IF($O$123=1,$DQ$123&amp;"|"&amp;COUNTIFS($DQ$116:$DQ$123,$DQ$123,$O$116:O123,1),"")</f>
        <v/>
      </c>
      <c r="R123" s="2">
        <f>IFERROR(MATCH($DQ$123,$DQ$11:$DQ$22,0),"")</f>
        <v/>
      </c>
      <c r="S123" s="2">
        <f>$F$164</f>
        <v/>
      </c>
      <c r="DQ123" s="2">
        <f>IF(ISERROR($A$123),"",IF(ISBLANK($A$123),"",$A$123))</f>
        <v/>
      </c>
      <c r="DS123" s="2">
        <f>IF(ISERROR($C$123),"",IF(ISBLANK($C$123),"",$C$123))</f>
        <v/>
      </c>
      <c r="DU123" s="2">
        <f>IF(ISERROR($E$123),"",IF(ISBLANK($E$123),"",$E$123))</f>
        <v/>
      </c>
      <c r="DW123" s="2">
        <f>IF(ISERROR($G$123),"",IF(ISBLANK($G$123),"",$G$123))</f>
        <v/>
      </c>
      <c r="DX123" s="2">
        <f>IF(ISERROR($H$123),"",IF(ISBLANK($H$123),"",$H$123))</f>
        <v/>
      </c>
      <c r="DY123" s="2">
        <f>IF(ISERROR($I$123),"",IF(ISBLANK($I$123),"",$I$123))</f>
        <v/>
      </c>
      <c r="DZ123" s="2">
        <f>IF(ISERROR($J$123),"",IF(ISBLANK($J$123),"",$J$123))</f>
        <v/>
      </c>
      <c r="EA123" s="2">
        <f>ISERROR($A$123)*1+ISERROR($C$123)*1+ISERROR($E$123)*1+ISERROR($G$123)*1+ISERROR($H$123)*1+ISERROR($I$123)*1+ISERROR($J$123)*1</f>
        <v/>
      </c>
    </row>
    <row r="124" ht="37" customHeight="1">
      <c r="A124" s="33" t="n"/>
      <c r="B124" s="17" t="n"/>
      <c r="C124" s="4" t="n"/>
      <c r="D124" s="17" t="n"/>
      <c r="E124" s="4" t="n"/>
      <c r="F124" s="17" t="n"/>
      <c r="G124" s="34" t="n"/>
      <c r="H124" s="34" t="n"/>
      <c r="I124" s="16" t="n"/>
      <c r="J124" s="16" t="n"/>
      <c r="K124" s="19">
        <f>IF(EA124&gt;0,"O Google leu como fórmula: escolha de novo ou digite com ' na frente.",IF(LEN($DQ$124)=0,"",IF(NOT(ISNUMBER($R$124)),"Inimigo fora da tabela I1",IF(AND($O$124=1,$DS$124&lt;&gt;"Reação",NOT(ISNUMBER($DY$124))),"Ação especial precisa de recarga de 2 ou 3 Ciclos (28.4)",IF(COUNTIFS($DQ$116:$DQ$153,$DQ$124,$O$116:$O$153,1)&gt;3,"Mais de 3 ações especiais neste inimigo (28.1: de 1 a 3)",IF(AND($DS$124="Especial de dano 1 alvo (até 1,5×)",INDEX($O$11:$O$22,$R$124)="Comum"),"Pico de dano: ocupa a ação do turno (28.4)",""))))))</f>
        <v/>
      </c>
      <c r="N124" s="2">
        <f>IF(AND(LEN($DQ$124)&gt;0,LEN($DS$124)&gt;0),1,0)</f>
        <v/>
      </c>
      <c r="O124" s="2">
        <f>IF(AND($N$124=1,$DS$124&lt;&gt;"Ataque normal"),1,0)</f>
        <v/>
      </c>
      <c r="P124" s="2">
        <f>IF($N$124=1,$DQ$124&amp;"|"&amp;COUNTIFS($DQ$116:$DQ$124,$DQ$124,$N$116:N124,1),"")</f>
        <v/>
      </c>
      <c r="Q124" s="2">
        <f>IF($O$124=1,$DQ$124&amp;"|"&amp;COUNTIFS($DQ$116:$DQ$124,$DQ$124,$O$116:O124,1),"")</f>
        <v/>
      </c>
      <c r="R124" s="2">
        <f>IFERROR(MATCH($DQ$124,$DQ$11:$DQ$22,0),"")</f>
        <v/>
      </c>
      <c r="S124" s="2">
        <f>$F$165</f>
        <v/>
      </c>
      <c r="DQ124" s="2">
        <f>IF(ISERROR($A$124),"",IF(ISBLANK($A$124),"",$A$124))</f>
        <v/>
      </c>
      <c r="DS124" s="2">
        <f>IF(ISERROR($C$124),"",IF(ISBLANK($C$124),"",$C$124))</f>
        <v/>
      </c>
      <c r="DU124" s="2">
        <f>IF(ISERROR($E$124),"",IF(ISBLANK($E$124),"",$E$124))</f>
        <v/>
      </c>
      <c r="DW124" s="2">
        <f>IF(ISERROR($G$124),"",IF(ISBLANK($G$124),"",$G$124))</f>
        <v/>
      </c>
      <c r="DX124" s="2">
        <f>IF(ISERROR($H$124),"",IF(ISBLANK($H$124),"",$H$124))</f>
        <v/>
      </c>
      <c r="DY124" s="2">
        <f>IF(ISERROR($I$124),"",IF(ISBLANK($I$124),"",$I$124))</f>
        <v/>
      </c>
      <c r="DZ124" s="2">
        <f>IF(ISERROR($J$124),"",IF(ISBLANK($J$124),"",$J$124))</f>
        <v/>
      </c>
      <c r="EA124" s="2">
        <f>ISERROR($A$124)*1+ISERROR($C$124)*1+ISERROR($E$124)*1+ISERROR($G$124)*1+ISERROR($H$124)*1+ISERROR($I$124)*1+ISERROR($J$124)*1</f>
        <v/>
      </c>
    </row>
    <row r="125" ht="37" customHeight="1">
      <c r="A125" s="35" t="n"/>
      <c r="B125" s="17" t="n"/>
      <c r="C125" s="29" t="n"/>
      <c r="D125" s="17" t="n"/>
      <c r="E125" s="29" t="n"/>
      <c r="F125" s="17" t="n"/>
      <c r="G125" s="36" t="n"/>
      <c r="H125" s="36" t="n"/>
      <c r="I125" s="37" t="n"/>
      <c r="J125" s="37" t="n"/>
      <c r="K125" s="27">
        <f>IF(EA125&gt;0,"O Google leu como fórmula: escolha de novo ou digite com ' na frente.",IF(LEN($DQ$125)=0,"",IF(NOT(ISNUMBER($R$125)),"Inimigo fora da tabela I1",IF(AND($O$125=1,$DS$125&lt;&gt;"Reação",NOT(ISNUMBER($DY$125))),"Ação especial precisa de recarga de 2 ou 3 Ciclos (28.4)",IF(COUNTIFS($DQ$116:$DQ$153,$DQ$125,$O$116:$O$153,1)&gt;3,"Mais de 3 ações especiais neste inimigo (28.1: de 1 a 3)",IF(AND($DS$125="Especial de dano 1 alvo (até 1,5×)",INDEX($O$11:$O$22,$R$125)="Comum"),"Pico de dano: ocupa a ação do turno (28.4)",""))))))</f>
        <v/>
      </c>
      <c r="N125" s="2">
        <f>IF(AND(LEN($DQ$125)&gt;0,LEN($DS$125)&gt;0),1,0)</f>
        <v/>
      </c>
      <c r="O125" s="2">
        <f>IF(AND($N$125=1,$DS$125&lt;&gt;"Ataque normal"),1,0)</f>
        <v/>
      </c>
      <c r="P125" s="2">
        <f>IF($N$125=1,$DQ$125&amp;"|"&amp;COUNTIFS($DQ$116:$DQ$125,$DQ$125,$N$116:N125,1),"")</f>
        <v/>
      </c>
      <c r="Q125" s="2">
        <f>IF($O$125=1,$DQ$125&amp;"|"&amp;COUNTIFS($DQ$116:$DQ$125,$DQ$125,$O$116:O125,1),"")</f>
        <v/>
      </c>
      <c r="R125" s="2">
        <f>IFERROR(MATCH($DQ$125,$DQ$11:$DQ$22,0),"")</f>
        <v/>
      </c>
      <c r="S125" s="2">
        <f>$F$166</f>
        <v/>
      </c>
      <c r="DQ125" s="2">
        <f>IF(ISERROR($A$125),"",IF(ISBLANK($A$125),"",$A$125))</f>
        <v/>
      </c>
      <c r="DS125" s="2">
        <f>IF(ISERROR($C$125),"",IF(ISBLANK($C$125),"",$C$125))</f>
        <v/>
      </c>
      <c r="DU125" s="2">
        <f>IF(ISERROR($E$125),"",IF(ISBLANK($E$125),"",$E$125))</f>
        <v/>
      </c>
      <c r="DW125" s="2">
        <f>IF(ISERROR($G$125),"",IF(ISBLANK($G$125),"",$G$125))</f>
        <v/>
      </c>
      <c r="DX125" s="2">
        <f>IF(ISERROR($H$125),"",IF(ISBLANK($H$125),"",$H$125))</f>
        <v/>
      </c>
      <c r="DY125" s="2">
        <f>IF(ISERROR($I$125),"",IF(ISBLANK($I$125),"",$I$125))</f>
        <v/>
      </c>
      <c r="DZ125" s="2">
        <f>IF(ISERROR($J$125),"",IF(ISBLANK($J$125),"",$J$125))</f>
        <v/>
      </c>
      <c r="EA125" s="2">
        <f>ISERROR($A$125)*1+ISERROR($C$125)*1+ISERROR($E$125)*1+ISERROR($G$125)*1+ISERROR($H$125)*1+ISERROR($I$125)*1+ISERROR($J$125)*1</f>
        <v/>
      </c>
    </row>
    <row r="126" ht="37" customHeight="1">
      <c r="A126" s="33" t="n"/>
      <c r="B126" s="17" t="n"/>
      <c r="C126" s="4" t="n"/>
      <c r="D126" s="17" t="n"/>
      <c r="E126" s="4" t="n"/>
      <c r="F126" s="17" t="n"/>
      <c r="G126" s="34" t="n"/>
      <c r="H126" s="34" t="n"/>
      <c r="I126" s="16" t="n"/>
      <c r="J126" s="16" t="n"/>
      <c r="K126" s="19">
        <f>IF(EA126&gt;0,"O Google leu como fórmula: escolha de novo ou digite com ' na frente.",IF(LEN($DQ$126)=0,"",IF(NOT(ISNUMBER($R$126)),"Inimigo fora da tabela I1",IF(AND($O$126=1,$DS$126&lt;&gt;"Reação",NOT(ISNUMBER($DY$126))),"Ação especial precisa de recarga de 2 ou 3 Ciclos (28.4)",IF(COUNTIFS($DQ$116:$DQ$153,$DQ$126,$O$116:$O$153,1)&gt;3,"Mais de 3 ações especiais neste inimigo (28.1: de 1 a 3)",IF(AND($DS$126="Especial de dano 1 alvo (até 1,5×)",INDEX($O$11:$O$22,$R$126)="Comum"),"Pico de dano: ocupa a ação do turno (28.4)",""))))))</f>
        <v/>
      </c>
      <c r="N126" s="2">
        <f>IF(AND(LEN($DQ$126)&gt;0,LEN($DS$126)&gt;0),1,0)</f>
        <v/>
      </c>
      <c r="O126" s="2">
        <f>IF(AND($N$126=1,$DS$126&lt;&gt;"Ataque normal"),1,0)</f>
        <v/>
      </c>
      <c r="P126" s="2">
        <f>IF($N$126=1,$DQ$126&amp;"|"&amp;COUNTIFS($DQ$116:$DQ$126,$DQ$126,$N$116:N126,1),"")</f>
        <v/>
      </c>
      <c r="Q126" s="2">
        <f>IF($O$126=1,$DQ$126&amp;"|"&amp;COUNTIFS($DQ$116:$DQ$126,$DQ$126,$O$116:O126,1),"")</f>
        <v/>
      </c>
      <c r="R126" s="2">
        <f>IFERROR(MATCH($DQ$126,$DQ$11:$DQ$22,0),"")</f>
        <v/>
      </c>
      <c r="S126" s="2">
        <f>$F$167</f>
        <v/>
      </c>
      <c r="DQ126" s="2">
        <f>IF(ISERROR($A$126),"",IF(ISBLANK($A$126),"",$A$126))</f>
        <v/>
      </c>
      <c r="DS126" s="2">
        <f>IF(ISERROR($C$126),"",IF(ISBLANK($C$126),"",$C$126))</f>
        <v/>
      </c>
      <c r="DU126" s="2">
        <f>IF(ISERROR($E$126),"",IF(ISBLANK($E$126),"",$E$126))</f>
        <v/>
      </c>
      <c r="DW126" s="2">
        <f>IF(ISERROR($G$126),"",IF(ISBLANK($G$126),"",$G$126))</f>
        <v/>
      </c>
      <c r="DX126" s="2">
        <f>IF(ISERROR($H$126),"",IF(ISBLANK($H$126),"",$H$126))</f>
        <v/>
      </c>
      <c r="DY126" s="2">
        <f>IF(ISERROR($I$126),"",IF(ISBLANK($I$126),"",$I$126))</f>
        <v/>
      </c>
      <c r="DZ126" s="2">
        <f>IF(ISERROR($J$126),"",IF(ISBLANK($J$126),"",$J$126))</f>
        <v/>
      </c>
      <c r="EA126" s="2">
        <f>ISERROR($A$126)*1+ISERROR($C$126)*1+ISERROR($E$126)*1+ISERROR($G$126)*1+ISERROR($H$126)*1+ISERROR($I$126)*1+ISERROR($J$126)*1</f>
        <v/>
      </c>
    </row>
    <row r="127" ht="37" customHeight="1">
      <c r="A127" s="35" t="n"/>
      <c r="B127" s="17" t="n"/>
      <c r="C127" s="29" t="n"/>
      <c r="D127" s="17" t="n"/>
      <c r="E127" s="29" t="n"/>
      <c r="F127" s="17" t="n"/>
      <c r="G127" s="36" t="n"/>
      <c r="H127" s="36" t="n"/>
      <c r="I127" s="37" t="n"/>
      <c r="J127" s="37" t="n"/>
      <c r="K127" s="27">
        <f>IF(EA127&gt;0,"O Google leu como fórmula: escolha de novo ou digite com ' na frente.",IF(LEN($DQ$127)=0,"",IF(NOT(ISNUMBER($R$127)),"Inimigo fora da tabela I1",IF(AND($O$127=1,$DS$127&lt;&gt;"Reação",NOT(ISNUMBER($DY$127))),"Ação especial precisa de recarga de 2 ou 3 Ciclos (28.4)",IF(COUNTIFS($DQ$116:$DQ$153,$DQ$127,$O$116:$O$153,1)&gt;3,"Mais de 3 ações especiais neste inimigo (28.1: de 1 a 3)",IF(AND($DS$127="Especial de dano 1 alvo (até 1,5×)",INDEX($O$11:$O$22,$R$127)="Comum"),"Pico de dano: ocupa a ação do turno (28.4)",""))))))</f>
        <v/>
      </c>
      <c r="N127" s="2">
        <f>IF(AND(LEN($DQ$127)&gt;0,LEN($DS$127)&gt;0),1,0)</f>
        <v/>
      </c>
      <c r="O127" s="2">
        <f>IF(AND($N$127=1,$DS$127&lt;&gt;"Ataque normal"),1,0)</f>
        <v/>
      </c>
      <c r="P127" s="2">
        <f>IF($N$127=1,$DQ$127&amp;"|"&amp;COUNTIFS($DQ$116:$DQ$127,$DQ$127,$N$116:N127,1),"")</f>
        <v/>
      </c>
      <c r="Q127" s="2">
        <f>IF($O$127=1,$DQ$127&amp;"|"&amp;COUNTIFS($DQ$116:$DQ$127,$DQ$127,$O$116:O127,1),"")</f>
        <v/>
      </c>
      <c r="R127" s="2">
        <f>IFERROR(MATCH($DQ$127,$DQ$11:$DQ$22,0),"")</f>
        <v/>
      </c>
      <c r="S127" s="2">
        <f>$F$168</f>
        <v/>
      </c>
      <c r="DQ127" s="2">
        <f>IF(ISERROR($A$127),"",IF(ISBLANK($A$127),"",$A$127))</f>
        <v/>
      </c>
      <c r="DS127" s="2">
        <f>IF(ISERROR($C$127),"",IF(ISBLANK($C$127),"",$C$127))</f>
        <v/>
      </c>
      <c r="DU127" s="2">
        <f>IF(ISERROR($E$127),"",IF(ISBLANK($E$127),"",$E$127))</f>
        <v/>
      </c>
      <c r="DW127" s="2">
        <f>IF(ISERROR($G$127),"",IF(ISBLANK($G$127),"",$G$127))</f>
        <v/>
      </c>
      <c r="DX127" s="2">
        <f>IF(ISERROR($H$127),"",IF(ISBLANK($H$127),"",$H$127))</f>
        <v/>
      </c>
      <c r="DY127" s="2">
        <f>IF(ISERROR($I$127),"",IF(ISBLANK($I$127),"",$I$127))</f>
        <v/>
      </c>
      <c r="DZ127" s="2">
        <f>IF(ISERROR($J$127),"",IF(ISBLANK($J$127),"",$J$127))</f>
        <v/>
      </c>
      <c r="EA127" s="2">
        <f>ISERROR($A$127)*1+ISERROR($C$127)*1+ISERROR($E$127)*1+ISERROR($G$127)*1+ISERROR($H$127)*1+ISERROR($I$127)*1+ISERROR($J$127)*1</f>
        <v/>
      </c>
    </row>
    <row r="128" ht="26" customHeight="1">
      <c r="A128" s="8" t="inlineStr">
        <is>
          <t>Inimigo</t>
        </is>
      </c>
      <c r="B128" s="20" t="n"/>
      <c r="C128" s="8" t="inlineStr">
        <is>
          <t>Tipo de ação</t>
        </is>
      </c>
      <c r="D128" s="20" t="n"/>
      <c r="E128" s="8" t="inlineStr">
        <is>
          <t>Nome da ação</t>
        </is>
      </c>
      <c r="F128" s="20" t="n"/>
      <c r="G128" s="8" t="inlineStr">
        <is>
          <t>Alcance</t>
        </is>
      </c>
      <c r="H128" s="8" t="inlineStr">
        <is>
          <t>Elemento</t>
        </is>
      </c>
      <c r="I128" s="8" t="inlineStr">
        <is>
          <t>Recarga (Ciclos)</t>
        </is>
      </c>
      <c r="J128" s="8" t="inlineStr">
        <is>
          <t>Duração (turnos)</t>
        </is>
      </c>
      <c r="K128" s="8" t="inlineStr">
        <is>
          <t>Aviso</t>
        </is>
      </c>
      <c r="L128" s="20" t="n"/>
      <c r="DQ128" s="2">
        <f>IF(ISERROR($A$128),"",IF(ISBLANK($A$128),"",$A$128))</f>
        <v/>
      </c>
      <c r="DU128" s="2">
        <f>IF(ISERROR($E$128),"",IF(ISBLANK($E$128),"",$E$128))</f>
        <v/>
      </c>
      <c r="DY128" s="2">
        <f>IF(ISERROR($I$128),"",IF(ISBLANK($I$128),"",$I$128))</f>
        <v/>
      </c>
    </row>
    <row r="129" ht="37" customHeight="1">
      <c r="A129" s="33" t="n"/>
      <c r="B129" s="17" t="n"/>
      <c r="C129" s="4" t="n"/>
      <c r="D129" s="17" t="n"/>
      <c r="E129" s="4" t="n"/>
      <c r="F129" s="17" t="n"/>
      <c r="G129" s="34" t="n"/>
      <c r="H129" s="34" t="n"/>
      <c r="I129" s="16" t="n"/>
      <c r="J129" s="16" t="n"/>
      <c r="K129" s="19">
        <f>IF(EA129&gt;0,"O Google leu como fórmula: escolha de novo ou digite com ' na frente.",IF(LEN($DQ$129)=0,"",IF(NOT(ISNUMBER($R$129)),"Inimigo fora da tabela I1",IF(AND($O$129=1,$DS$129&lt;&gt;"Reação",NOT(ISNUMBER($DY$129))),"Ação especial precisa de recarga de 2 ou 3 Ciclos (28.4)",IF(COUNTIFS($DQ$116:$DQ$153,$DQ$129,$O$116:$O$153,1)&gt;3,"Mais de 3 ações especiais neste inimigo (28.1: de 1 a 3)",IF(AND($DS$129="Especial de dano 1 alvo (até 1,5×)",INDEX($O$11:$O$22,$R$129)="Comum"),"Pico de dano: ocupa a ação do turno (28.4)",""))))))</f>
        <v/>
      </c>
      <c r="N129" s="2">
        <f>IF(AND(LEN($DQ$129)&gt;0,LEN($DS$129)&gt;0),1,0)</f>
        <v/>
      </c>
      <c r="O129" s="2">
        <f>IF(AND($N$129=1,$DS$129&lt;&gt;"Ataque normal"),1,0)</f>
        <v/>
      </c>
      <c r="P129" s="2">
        <f>IF($N$129=1,$DQ$129&amp;"|"&amp;COUNTIFS($DQ$116:$DQ$129,$DQ$129,$N$116:N129,1),"")</f>
        <v/>
      </c>
      <c r="Q129" s="2">
        <f>IF($O$129=1,$DQ$129&amp;"|"&amp;COUNTIFS($DQ$116:$DQ$129,$DQ$129,$O$116:O129,1),"")</f>
        <v/>
      </c>
      <c r="R129" s="2">
        <f>IFERROR(MATCH($DQ$129,$DQ$11:$DQ$22,0),"")</f>
        <v/>
      </c>
      <c r="S129" s="2">
        <f>$F$170</f>
        <v/>
      </c>
      <c r="DQ129" s="2">
        <f>IF(ISERROR($A$129),"",IF(ISBLANK($A$129),"",$A$129))</f>
        <v/>
      </c>
      <c r="DS129" s="2">
        <f>IF(ISERROR($C$129),"",IF(ISBLANK($C$129),"",$C$129))</f>
        <v/>
      </c>
      <c r="DU129" s="2">
        <f>IF(ISERROR($E$129),"",IF(ISBLANK($E$129),"",$E$129))</f>
        <v/>
      </c>
      <c r="DW129" s="2">
        <f>IF(ISERROR($G$129),"",IF(ISBLANK($G$129),"",$G$129))</f>
        <v/>
      </c>
      <c r="DX129" s="2">
        <f>IF(ISERROR($H$129),"",IF(ISBLANK($H$129),"",$H$129))</f>
        <v/>
      </c>
      <c r="DY129" s="2">
        <f>IF(ISERROR($I$129),"",IF(ISBLANK($I$129),"",$I$129))</f>
        <v/>
      </c>
      <c r="DZ129" s="2">
        <f>IF(ISERROR($J$129),"",IF(ISBLANK($J$129),"",$J$129))</f>
        <v/>
      </c>
      <c r="EA129" s="2">
        <f>ISERROR($A$129)*1+ISERROR($C$129)*1+ISERROR($E$129)*1+ISERROR($G$129)*1+ISERROR($H$129)*1+ISERROR($I$129)*1+ISERROR($J$129)*1</f>
        <v/>
      </c>
    </row>
    <row r="130" ht="37" customHeight="1">
      <c r="A130" s="35" t="n"/>
      <c r="B130" s="17" t="n"/>
      <c r="C130" s="29" t="n"/>
      <c r="D130" s="17" t="n"/>
      <c r="E130" s="29" t="n"/>
      <c r="F130" s="17" t="n"/>
      <c r="G130" s="36" t="n"/>
      <c r="H130" s="36" t="n"/>
      <c r="I130" s="37" t="n"/>
      <c r="J130" s="37" t="n"/>
      <c r="K130" s="27">
        <f>IF(EA130&gt;0,"O Google leu como fórmula: escolha de novo ou digite com ' na frente.",IF(LEN($DQ$130)=0,"",IF(NOT(ISNUMBER($R$130)),"Inimigo fora da tabela I1",IF(AND($O$130=1,$DS$130&lt;&gt;"Reação",NOT(ISNUMBER($DY$130))),"Ação especial precisa de recarga de 2 ou 3 Ciclos (28.4)",IF(COUNTIFS($DQ$116:$DQ$153,$DQ$130,$O$116:$O$153,1)&gt;3,"Mais de 3 ações especiais neste inimigo (28.1: de 1 a 3)",IF(AND($DS$130="Especial de dano 1 alvo (até 1,5×)",INDEX($O$11:$O$22,$R$130)="Comum"),"Pico de dano: ocupa a ação do turno (28.4)",""))))))</f>
        <v/>
      </c>
      <c r="N130" s="2">
        <f>IF(AND(LEN($DQ$130)&gt;0,LEN($DS$130)&gt;0),1,0)</f>
        <v/>
      </c>
      <c r="O130" s="2">
        <f>IF(AND($N$130=1,$DS$130&lt;&gt;"Ataque normal"),1,0)</f>
        <v/>
      </c>
      <c r="P130" s="2">
        <f>IF($N$130=1,$DQ$130&amp;"|"&amp;COUNTIFS($DQ$116:$DQ$130,$DQ$130,$N$116:N130,1),"")</f>
        <v/>
      </c>
      <c r="Q130" s="2">
        <f>IF($O$130=1,$DQ$130&amp;"|"&amp;COUNTIFS($DQ$116:$DQ$130,$DQ$130,$O$116:O130,1),"")</f>
        <v/>
      </c>
      <c r="R130" s="2">
        <f>IFERROR(MATCH($DQ$130,$DQ$11:$DQ$22,0),"")</f>
        <v/>
      </c>
      <c r="S130" s="2">
        <f>$F$171</f>
        <v/>
      </c>
      <c r="DQ130" s="2">
        <f>IF(ISERROR($A$130),"",IF(ISBLANK($A$130),"",$A$130))</f>
        <v/>
      </c>
      <c r="DS130" s="2">
        <f>IF(ISERROR($C$130),"",IF(ISBLANK($C$130),"",$C$130))</f>
        <v/>
      </c>
      <c r="DU130" s="2">
        <f>IF(ISERROR($E$130),"",IF(ISBLANK($E$130),"",$E$130))</f>
        <v/>
      </c>
      <c r="DW130" s="2">
        <f>IF(ISERROR($G$130),"",IF(ISBLANK($G$130),"",$G$130))</f>
        <v/>
      </c>
      <c r="DX130" s="2">
        <f>IF(ISERROR($H$130),"",IF(ISBLANK($H$130),"",$H$130))</f>
        <v/>
      </c>
      <c r="DY130" s="2">
        <f>IF(ISERROR($I$130),"",IF(ISBLANK($I$130),"",$I$130))</f>
        <v/>
      </c>
      <c r="DZ130" s="2">
        <f>IF(ISERROR($J$130),"",IF(ISBLANK($J$130),"",$J$130))</f>
        <v/>
      </c>
      <c r="EA130" s="2">
        <f>ISERROR($A$130)*1+ISERROR($C$130)*1+ISERROR($E$130)*1+ISERROR($G$130)*1+ISERROR($H$130)*1+ISERROR($I$130)*1+ISERROR($J$130)*1</f>
        <v/>
      </c>
    </row>
    <row r="131" ht="37" customHeight="1">
      <c r="A131" s="33" t="n"/>
      <c r="B131" s="17" t="n"/>
      <c r="C131" s="4" t="n"/>
      <c r="D131" s="17" t="n"/>
      <c r="E131" s="4" t="n"/>
      <c r="F131" s="17" t="n"/>
      <c r="G131" s="34" t="n"/>
      <c r="H131" s="34" t="n"/>
      <c r="I131" s="16" t="n"/>
      <c r="J131" s="16" t="n"/>
      <c r="K131" s="19">
        <f>IF(EA131&gt;0,"O Google leu como fórmula: escolha de novo ou digite com ' na frente.",IF(LEN($DQ$131)=0,"",IF(NOT(ISNUMBER($R$131)),"Inimigo fora da tabela I1",IF(AND($O$131=1,$DS$131&lt;&gt;"Reação",NOT(ISNUMBER($DY$131))),"Ação especial precisa de recarga de 2 ou 3 Ciclos (28.4)",IF(COUNTIFS($DQ$116:$DQ$153,$DQ$131,$O$116:$O$153,1)&gt;3,"Mais de 3 ações especiais neste inimigo (28.1: de 1 a 3)",IF(AND($DS$131="Especial de dano 1 alvo (até 1,5×)",INDEX($O$11:$O$22,$R$131)="Comum"),"Pico de dano: ocupa a ação do turno (28.4)",""))))))</f>
        <v/>
      </c>
      <c r="N131" s="2">
        <f>IF(AND(LEN($DQ$131)&gt;0,LEN($DS$131)&gt;0),1,0)</f>
        <v/>
      </c>
      <c r="O131" s="2">
        <f>IF(AND($N$131=1,$DS$131&lt;&gt;"Ataque normal"),1,0)</f>
        <v/>
      </c>
      <c r="P131" s="2">
        <f>IF($N$131=1,$DQ$131&amp;"|"&amp;COUNTIFS($DQ$116:$DQ$131,$DQ$131,$N$116:N131,1),"")</f>
        <v/>
      </c>
      <c r="Q131" s="2">
        <f>IF($O$131=1,$DQ$131&amp;"|"&amp;COUNTIFS($DQ$116:$DQ$131,$DQ$131,$O$116:O131,1),"")</f>
        <v/>
      </c>
      <c r="R131" s="2">
        <f>IFERROR(MATCH($DQ$131,$DQ$11:$DQ$22,0),"")</f>
        <v/>
      </c>
      <c r="S131" s="2">
        <f>$F$172</f>
        <v/>
      </c>
      <c r="DQ131" s="2">
        <f>IF(ISERROR($A$131),"",IF(ISBLANK($A$131),"",$A$131))</f>
        <v/>
      </c>
      <c r="DS131" s="2">
        <f>IF(ISERROR($C$131),"",IF(ISBLANK($C$131),"",$C$131))</f>
        <v/>
      </c>
      <c r="DU131" s="2">
        <f>IF(ISERROR($E$131),"",IF(ISBLANK($E$131),"",$E$131))</f>
        <v/>
      </c>
      <c r="DW131" s="2">
        <f>IF(ISERROR($G$131),"",IF(ISBLANK($G$131),"",$G$131))</f>
        <v/>
      </c>
      <c r="DX131" s="2">
        <f>IF(ISERROR($H$131),"",IF(ISBLANK($H$131),"",$H$131))</f>
        <v/>
      </c>
      <c r="DY131" s="2">
        <f>IF(ISERROR($I$131),"",IF(ISBLANK($I$131),"",$I$131))</f>
        <v/>
      </c>
      <c r="DZ131" s="2">
        <f>IF(ISERROR($J$131),"",IF(ISBLANK($J$131),"",$J$131))</f>
        <v/>
      </c>
      <c r="EA131" s="2">
        <f>ISERROR($A$131)*1+ISERROR($C$131)*1+ISERROR($E$131)*1+ISERROR($G$131)*1+ISERROR($H$131)*1+ISERROR($I$131)*1+ISERROR($J$131)*1</f>
        <v/>
      </c>
    </row>
    <row r="132" ht="37" customHeight="1">
      <c r="A132" s="35" t="n"/>
      <c r="B132" s="17" t="n"/>
      <c r="C132" s="29" t="n"/>
      <c r="D132" s="17" t="n"/>
      <c r="E132" s="29" t="n"/>
      <c r="F132" s="17" t="n"/>
      <c r="G132" s="36" t="n"/>
      <c r="H132" s="36" t="n"/>
      <c r="I132" s="37" t="n"/>
      <c r="J132" s="37" t="n"/>
      <c r="K132" s="27">
        <f>IF(EA132&gt;0,"O Google leu como fórmula: escolha de novo ou digite com ' na frente.",IF(LEN($DQ$132)=0,"",IF(NOT(ISNUMBER($R$132)),"Inimigo fora da tabela I1",IF(AND($O$132=1,$DS$132&lt;&gt;"Reação",NOT(ISNUMBER($DY$132))),"Ação especial precisa de recarga de 2 ou 3 Ciclos (28.4)",IF(COUNTIFS($DQ$116:$DQ$153,$DQ$132,$O$116:$O$153,1)&gt;3,"Mais de 3 ações especiais neste inimigo (28.1: de 1 a 3)",IF(AND($DS$132="Especial de dano 1 alvo (até 1,5×)",INDEX($O$11:$O$22,$R$132)="Comum"),"Pico de dano: ocupa a ação do turno (28.4)",""))))))</f>
        <v/>
      </c>
      <c r="N132" s="2">
        <f>IF(AND(LEN($DQ$132)&gt;0,LEN($DS$132)&gt;0),1,0)</f>
        <v/>
      </c>
      <c r="O132" s="2">
        <f>IF(AND($N$132=1,$DS$132&lt;&gt;"Ataque normal"),1,0)</f>
        <v/>
      </c>
      <c r="P132" s="2">
        <f>IF($N$132=1,$DQ$132&amp;"|"&amp;COUNTIFS($DQ$116:$DQ$132,$DQ$132,$N$116:N132,1),"")</f>
        <v/>
      </c>
      <c r="Q132" s="2">
        <f>IF($O$132=1,$DQ$132&amp;"|"&amp;COUNTIFS($DQ$116:$DQ$132,$DQ$132,$O$116:O132,1),"")</f>
        <v/>
      </c>
      <c r="R132" s="2">
        <f>IFERROR(MATCH($DQ$132,$DQ$11:$DQ$22,0),"")</f>
        <v/>
      </c>
      <c r="S132" s="2">
        <f>$F$173</f>
        <v/>
      </c>
      <c r="DQ132" s="2">
        <f>IF(ISERROR($A$132),"",IF(ISBLANK($A$132),"",$A$132))</f>
        <v/>
      </c>
      <c r="DS132" s="2">
        <f>IF(ISERROR($C$132),"",IF(ISBLANK($C$132),"",$C$132))</f>
        <v/>
      </c>
      <c r="DU132" s="2">
        <f>IF(ISERROR($E$132),"",IF(ISBLANK($E$132),"",$E$132))</f>
        <v/>
      </c>
      <c r="DW132" s="2">
        <f>IF(ISERROR($G$132),"",IF(ISBLANK($G$132),"",$G$132))</f>
        <v/>
      </c>
      <c r="DX132" s="2">
        <f>IF(ISERROR($H$132),"",IF(ISBLANK($H$132),"",$H$132))</f>
        <v/>
      </c>
      <c r="DY132" s="2">
        <f>IF(ISERROR($I$132),"",IF(ISBLANK($I$132),"",$I$132))</f>
        <v/>
      </c>
      <c r="DZ132" s="2">
        <f>IF(ISERROR($J$132),"",IF(ISBLANK($J$132),"",$J$132))</f>
        <v/>
      </c>
      <c r="EA132" s="2">
        <f>ISERROR($A$132)*1+ISERROR($C$132)*1+ISERROR($E$132)*1+ISERROR($G$132)*1+ISERROR($H$132)*1+ISERROR($I$132)*1+ISERROR($J$132)*1</f>
        <v/>
      </c>
    </row>
    <row r="133" ht="37" customHeight="1">
      <c r="A133" s="33" t="n"/>
      <c r="B133" s="17" t="n"/>
      <c r="C133" s="4" t="n"/>
      <c r="D133" s="17" t="n"/>
      <c r="E133" s="4" t="n"/>
      <c r="F133" s="17" t="n"/>
      <c r="G133" s="34" t="n"/>
      <c r="H133" s="34" t="n"/>
      <c r="I133" s="16" t="n"/>
      <c r="J133" s="16" t="n"/>
      <c r="K133" s="19">
        <f>IF(EA133&gt;0,"O Google leu como fórmula: escolha de novo ou digite com ' na frente.",IF(LEN($DQ$133)=0,"",IF(NOT(ISNUMBER($R$133)),"Inimigo fora da tabela I1",IF(AND($O$133=1,$DS$133&lt;&gt;"Reação",NOT(ISNUMBER($DY$133))),"Ação especial precisa de recarga de 2 ou 3 Ciclos (28.4)",IF(COUNTIFS($DQ$116:$DQ$153,$DQ$133,$O$116:$O$153,1)&gt;3,"Mais de 3 ações especiais neste inimigo (28.1: de 1 a 3)",IF(AND($DS$133="Especial de dano 1 alvo (até 1,5×)",INDEX($O$11:$O$22,$R$133)="Comum"),"Pico de dano: ocupa a ação do turno (28.4)",""))))))</f>
        <v/>
      </c>
      <c r="N133" s="2">
        <f>IF(AND(LEN($DQ$133)&gt;0,LEN($DS$133)&gt;0),1,0)</f>
        <v/>
      </c>
      <c r="O133" s="2">
        <f>IF(AND($N$133=1,$DS$133&lt;&gt;"Ataque normal"),1,0)</f>
        <v/>
      </c>
      <c r="P133" s="2">
        <f>IF($N$133=1,$DQ$133&amp;"|"&amp;COUNTIFS($DQ$116:$DQ$133,$DQ$133,$N$116:N133,1),"")</f>
        <v/>
      </c>
      <c r="Q133" s="2">
        <f>IF($O$133=1,$DQ$133&amp;"|"&amp;COUNTIFS($DQ$116:$DQ$133,$DQ$133,$O$116:O133,1),"")</f>
        <v/>
      </c>
      <c r="R133" s="2">
        <f>IFERROR(MATCH($DQ$133,$DQ$11:$DQ$22,0),"")</f>
        <v/>
      </c>
      <c r="S133" s="2">
        <f>$F$174</f>
        <v/>
      </c>
      <c r="DQ133" s="2">
        <f>IF(ISERROR($A$133),"",IF(ISBLANK($A$133),"",$A$133))</f>
        <v/>
      </c>
      <c r="DS133" s="2">
        <f>IF(ISERROR($C$133),"",IF(ISBLANK($C$133),"",$C$133))</f>
        <v/>
      </c>
      <c r="DU133" s="2">
        <f>IF(ISERROR($E$133),"",IF(ISBLANK($E$133),"",$E$133))</f>
        <v/>
      </c>
      <c r="DW133" s="2">
        <f>IF(ISERROR($G$133),"",IF(ISBLANK($G$133),"",$G$133))</f>
        <v/>
      </c>
      <c r="DX133" s="2">
        <f>IF(ISERROR($H$133),"",IF(ISBLANK($H$133),"",$H$133))</f>
        <v/>
      </c>
      <c r="DY133" s="2">
        <f>IF(ISERROR($I$133),"",IF(ISBLANK($I$133),"",$I$133))</f>
        <v/>
      </c>
      <c r="DZ133" s="2">
        <f>IF(ISERROR($J$133),"",IF(ISBLANK($J$133),"",$J$133))</f>
        <v/>
      </c>
      <c r="EA133" s="2">
        <f>ISERROR($A$133)*1+ISERROR($C$133)*1+ISERROR($E$133)*1+ISERROR($G$133)*1+ISERROR($H$133)*1+ISERROR($I$133)*1+ISERROR($J$133)*1</f>
        <v/>
      </c>
    </row>
    <row r="134" ht="37" customHeight="1">
      <c r="A134" s="35" t="n"/>
      <c r="B134" s="17" t="n"/>
      <c r="C134" s="29" t="n"/>
      <c r="D134" s="17" t="n"/>
      <c r="E134" s="29" t="n"/>
      <c r="F134" s="17" t="n"/>
      <c r="G134" s="36" t="n"/>
      <c r="H134" s="36" t="n"/>
      <c r="I134" s="37" t="n"/>
      <c r="J134" s="37" t="n"/>
      <c r="K134" s="27">
        <f>IF(EA134&gt;0,"O Google leu como fórmula: escolha de novo ou digite com ' na frente.",IF(LEN($DQ$134)=0,"",IF(NOT(ISNUMBER($R$134)),"Inimigo fora da tabela I1",IF(AND($O$134=1,$DS$134&lt;&gt;"Reação",NOT(ISNUMBER($DY$134))),"Ação especial precisa de recarga de 2 ou 3 Ciclos (28.4)",IF(COUNTIFS($DQ$116:$DQ$153,$DQ$134,$O$116:$O$153,1)&gt;3,"Mais de 3 ações especiais neste inimigo (28.1: de 1 a 3)",IF(AND($DS$134="Especial de dano 1 alvo (até 1,5×)",INDEX($O$11:$O$22,$R$134)="Comum"),"Pico de dano: ocupa a ação do turno (28.4)",""))))))</f>
        <v/>
      </c>
      <c r="N134" s="2">
        <f>IF(AND(LEN($DQ$134)&gt;0,LEN($DS$134)&gt;0),1,0)</f>
        <v/>
      </c>
      <c r="O134" s="2">
        <f>IF(AND($N$134=1,$DS$134&lt;&gt;"Ataque normal"),1,0)</f>
        <v/>
      </c>
      <c r="P134" s="2">
        <f>IF($N$134=1,$DQ$134&amp;"|"&amp;COUNTIFS($DQ$116:$DQ$134,$DQ$134,$N$116:N134,1),"")</f>
        <v/>
      </c>
      <c r="Q134" s="2">
        <f>IF($O$134=1,$DQ$134&amp;"|"&amp;COUNTIFS($DQ$116:$DQ$134,$DQ$134,$O$116:O134,1),"")</f>
        <v/>
      </c>
      <c r="R134" s="2">
        <f>IFERROR(MATCH($DQ$134,$DQ$11:$DQ$22,0),"")</f>
        <v/>
      </c>
      <c r="S134" s="2">
        <f>$F$175</f>
        <v/>
      </c>
      <c r="DQ134" s="2">
        <f>IF(ISERROR($A$134),"",IF(ISBLANK($A$134),"",$A$134))</f>
        <v/>
      </c>
      <c r="DS134" s="2">
        <f>IF(ISERROR($C$134),"",IF(ISBLANK($C$134),"",$C$134))</f>
        <v/>
      </c>
      <c r="DU134" s="2">
        <f>IF(ISERROR($E$134),"",IF(ISBLANK($E$134),"",$E$134))</f>
        <v/>
      </c>
      <c r="DW134" s="2">
        <f>IF(ISERROR($G$134),"",IF(ISBLANK($G$134),"",$G$134))</f>
        <v/>
      </c>
      <c r="DX134" s="2">
        <f>IF(ISERROR($H$134),"",IF(ISBLANK($H$134),"",$H$134))</f>
        <v/>
      </c>
      <c r="DY134" s="2">
        <f>IF(ISERROR($I$134),"",IF(ISBLANK($I$134),"",$I$134))</f>
        <v/>
      </c>
      <c r="DZ134" s="2">
        <f>IF(ISERROR($J$134),"",IF(ISBLANK($J$134),"",$J$134))</f>
        <v/>
      </c>
      <c r="EA134" s="2">
        <f>ISERROR($A$134)*1+ISERROR($C$134)*1+ISERROR($E$134)*1+ISERROR($G$134)*1+ISERROR($H$134)*1+ISERROR($I$134)*1+ISERROR($J$134)*1</f>
        <v/>
      </c>
    </row>
    <row r="135" ht="37" customHeight="1">
      <c r="A135" s="33" t="n"/>
      <c r="B135" s="17" t="n"/>
      <c r="C135" s="4" t="n"/>
      <c r="D135" s="17" t="n"/>
      <c r="E135" s="4" t="n"/>
      <c r="F135" s="17" t="n"/>
      <c r="G135" s="34" t="n"/>
      <c r="H135" s="34" t="n"/>
      <c r="I135" s="16" t="n"/>
      <c r="J135" s="16" t="n"/>
      <c r="K135" s="19">
        <f>IF(EA135&gt;0,"O Google leu como fórmula: escolha de novo ou digite com ' na frente.",IF(LEN($DQ$135)=0,"",IF(NOT(ISNUMBER($R$135)),"Inimigo fora da tabela I1",IF(AND($O$135=1,$DS$135&lt;&gt;"Reação",NOT(ISNUMBER($DY$135))),"Ação especial precisa de recarga de 2 ou 3 Ciclos (28.4)",IF(COUNTIFS($DQ$116:$DQ$153,$DQ$135,$O$116:$O$153,1)&gt;3,"Mais de 3 ações especiais neste inimigo (28.1: de 1 a 3)",IF(AND($DS$135="Especial de dano 1 alvo (até 1,5×)",INDEX($O$11:$O$22,$R$135)="Comum"),"Pico de dano: ocupa a ação do turno (28.4)",""))))))</f>
        <v/>
      </c>
      <c r="N135" s="2">
        <f>IF(AND(LEN($DQ$135)&gt;0,LEN($DS$135)&gt;0),1,0)</f>
        <v/>
      </c>
      <c r="O135" s="2">
        <f>IF(AND($N$135=1,$DS$135&lt;&gt;"Ataque normal"),1,0)</f>
        <v/>
      </c>
      <c r="P135" s="2">
        <f>IF($N$135=1,$DQ$135&amp;"|"&amp;COUNTIFS($DQ$116:$DQ$135,$DQ$135,$N$116:N135,1),"")</f>
        <v/>
      </c>
      <c r="Q135" s="2">
        <f>IF($O$135=1,$DQ$135&amp;"|"&amp;COUNTIFS($DQ$116:$DQ$135,$DQ$135,$O$116:O135,1),"")</f>
        <v/>
      </c>
      <c r="R135" s="2">
        <f>IFERROR(MATCH($DQ$135,$DQ$11:$DQ$22,0),"")</f>
        <v/>
      </c>
      <c r="S135" s="2">
        <f>$F$176</f>
        <v/>
      </c>
      <c r="DQ135" s="2">
        <f>IF(ISERROR($A$135),"",IF(ISBLANK($A$135),"",$A$135))</f>
        <v/>
      </c>
      <c r="DS135" s="2">
        <f>IF(ISERROR($C$135),"",IF(ISBLANK($C$135),"",$C$135))</f>
        <v/>
      </c>
      <c r="DU135" s="2">
        <f>IF(ISERROR($E$135),"",IF(ISBLANK($E$135),"",$E$135))</f>
        <v/>
      </c>
      <c r="DW135" s="2">
        <f>IF(ISERROR($G$135),"",IF(ISBLANK($G$135),"",$G$135))</f>
        <v/>
      </c>
      <c r="DX135" s="2">
        <f>IF(ISERROR($H$135),"",IF(ISBLANK($H$135),"",$H$135))</f>
        <v/>
      </c>
      <c r="DY135" s="2">
        <f>IF(ISERROR($I$135),"",IF(ISBLANK($I$135),"",$I$135))</f>
        <v/>
      </c>
      <c r="DZ135" s="2">
        <f>IF(ISERROR($J$135),"",IF(ISBLANK($J$135),"",$J$135))</f>
        <v/>
      </c>
      <c r="EA135" s="2">
        <f>ISERROR($A$135)*1+ISERROR($C$135)*1+ISERROR($E$135)*1+ISERROR($G$135)*1+ISERROR($H$135)*1+ISERROR($I$135)*1+ISERROR($J$135)*1</f>
        <v/>
      </c>
    </row>
    <row r="136" ht="37" customHeight="1">
      <c r="A136" s="35" t="n"/>
      <c r="B136" s="17" t="n"/>
      <c r="C136" s="29" t="n"/>
      <c r="D136" s="17" t="n"/>
      <c r="E136" s="29" t="n"/>
      <c r="F136" s="17" t="n"/>
      <c r="G136" s="36" t="n"/>
      <c r="H136" s="36" t="n"/>
      <c r="I136" s="37" t="n"/>
      <c r="J136" s="37" t="n"/>
      <c r="K136" s="27">
        <f>IF(EA136&gt;0,"O Google leu como fórmula: escolha de novo ou digite com ' na frente.",IF(LEN($DQ$136)=0,"",IF(NOT(ISNUMBER($R$136)),"Inimigo fora da tabela I1",IF(AND($O$136=1,$DS$136&lt;&gt;"Reação",NOT(ISNUMBER($DY$136))),"Ação especial precisa de recarga de 2 ou 3 Ciclos (28.4)",IF(COUNTIFS($DQ$116:$DQ$153,$DQ$136,$O$116:$O$153,1)&gt;3,"Mais de 3 ações especiais neste inimigo (28.1: de 1 a 3)",IF(AND($DS$136="Especial de dano 1 alvo (até 1,5×)",INDEX($O$11:$O$22,$R$136)="Comum"),"Pico de dano: ocupa a ação do turno (28.4)",""))))))</f>
        <v/>
      </c>
      <c r="N136" s="2">
        <f>IF(AND(LEN($DQ$136)&gt;0,LEN($DS$136)&gt;0),1,0)</f>
        <v/>
      </c>
      <c r="O136" s="2">
        <f>IF(AND($N$136=1,$DS$136&lt;&gt;"Ataque normal"),1,0)</f>
        <v/>
      </c>
      <c r="P136" s="2">
        <f>IF($N$136=1,$DQ$136&amp;"|"&amp;COUNTIFS($DQ$116:$DQ$136,$DQ$136,$N$116:N136,1),"")</f>
        <v/>
      </c>
      <c r="Q136" s="2">
        <f>IF($O$136=1,$DQ$136&amp;"|"&amp;COUNTIFS($DQ$116:$DQ$136,$DQ$136,$O$116:O136,1),"")</f>
        <v/>
      </c>
      <c r="R136" s="2">
        <f>IFERROR(MATCH($DQ$136,$DQ$11:$DQ$22,0),"")</f>
        <v/>
      </c>
      <c r="S136" s="2">
        <f>$F$177</f>
        <v/>
      </c>
      <c r="DQ136" s="2">
        <f>IF(ISERROR($A$136),"",IF(ISBLANK($A$136),"",$A$136))</f>
        <v/>
      </c>
      <c r="DS136" s="2">
        <f>IF(ISERROR($C$136),"",IF(ISBLANK($C$136),"",$C$136))</f>
        <v/>
      </c>
      <c r="DU136" s="2">
        <f>IF(ISERROR($E$136),"",IF(ISBLANK($E$136),"",$E$136))</f>
        <v/>
      </c>
      <c r="DW136" s="2">
        <f>IF(ISERROR($G$136),"",IF(ISBLANK($G$136),"",$G$136))</f>
        <v/>
      </c>
      <c r="DX136" s="2">
        <f>IF(ISERROR($H$136),"",IF(ISBLANK($H$136),"",$H$136))</f>
        <v/>
      </c>
      <c r="DY136" s="2">
        <f>IF(ISERROR($I$136),"",IF(ISBLANK($I$136),"",$I$136))</f>
        <v/>
      </c>
      <c r="DZ136" s="2">
        <f>IF(ISERROR($J$136),"",IF(ISBLANK($J$136),"",$J$136))</f>
        <v/>
      </c>
      <c r="EA136" s="2">
        <f>ISERROR($A$136)*1+ISERROR($C$136)*1+ISERROR($E$136)*1+ISERROR($G$136)*1+ISERROR($H$136)*1+ISERROR($I$136)*1+ISERROR($J$136)*1</f>
        <v/>
      </c>
    </row>
    <row r="137" ht="37" customHeight="1">
      <c r="A137" s="33" t="n"/>
      <c r="B137" s="17" t="n"/>
      <c r="C137" s="4" t="n"/>
      <c r="D137" s="17" t="n"/>
      <c r="E137" s="4" t="n"/>
      <c r="F137" s="17" t="n"/>
      <c r="G137" s="34" t="n"/>
      <c r="H137" s="34" t="n"/>
      <c r="I137" s="16" t="n"/>
      <c r="J137" s="16" t="n"/>
      <c r="K137" s="19">
        <f>IF(EA137&gt;0,"O Google leu como fórmula: escolha de novo ou digite com ' na frente.",IF(LEN($DQ$137)=0,"",IF(NOT(ISNUMBER($R$137)),"Inimigo fora da tabela I1",IF(AND($O$137=1,$DS$137&lt;&gt;"Reação",NOT(ISNUMBER($DY$137))),"Ação especial precisa de recarga de 2 ou 3 Ciclos (28.4)",IF(COUNTIFS($DQ$116:$DQ$153,$DQ$137,$O$116:$O$153,1)&gt;3,"Mais de 3 ações especiais neste inimigo (28.1: de 1 a 3)",IF(AND($DS$137="Especial de dano 1 alvo (até 1,5×)",INDEX($O$11:$O$22,$R$137)="Comum"),"Pico de dano: ocupa a ação do turno (28.4)",""))))))</f>
        <v/>
      </c>
      <c r="N137" s="2">
        <f>IF(AND(LEN($DQ$137)&gt;0,LEN($DS$137)&gt;0),1,0)</f>
        <v/>
      </c>
      <c r="O137" s="2">
        <f>IF(AND($N$137=1,$DS$137&lt;&gt;"Ataque normal"),1,0)</f>
        <v/>
      </c>
      <c r="P137" s="2">
        <f>IF($N$137=1,$DQ$137&amp;"|"&amp;COUNTIFS($DQ$116:$DQ$137,$DQ$137,$N$116:N137,1),"")</f>
        <v/>
      </c>
      <c r="Q137" s="2">
        <f>IF($O$137=1,$DQ$137&amp;"|"&amp;COUNTIFS($DQ$116:$DQ$137,$DQ$137,$O$116:O137,1),"")</f>
        <v/>
      </c>
      <c r="R137" s="2">
        <f>IFERROR(MATCH($DQ$137,$DQ$11:$DQ$22,0),"")</f>
        <v/>
      </c>
      <c r="S137" s="2">
        <f>$F$178</f>
        <v/>
      </c>
      <c r="DQ137" s="2">
        <f>IF(ISERROR($A$137),"",IF(ISBLANK($A$137),"",$A$137))</f>
        <v/>
      </c>
      <c r="DS137" s="2">
        <f>IF(ISERROR($C$137),"",IF(ISBLANK($C$137),"",$C$137))</f>
        <v/>
      </c>
      <c r="DU137" s="2">
        <f>IF(ISERROR($E$137),"",IF(ISBLANK($E$137),"",$E$137))</f>
        <v/>
      </c>
      <c r="DW137" s="2">
        <f>IF(ISERROR($G$137),"",IF(ISBLANK($G$137),"",$G$137))</f>
        <v/>
      </c>
      <c r="DX137" s="2">
        <f>IF(ISERROR($H$137),"",IF(ISBLANK($H$137),"",$H$137))</f>
        <v/>
      </c>
      <c r="DY137" s="2">
        <f>IF(ISERROR($I$137),"",IF(ISBLANK($I$137),"",$I$137))</f>
        <v/>
      </c>
      <c r="DZ137" s="2">
        <f>IF(ISERROR($J$137),"",IF(ISBLANK($J$137),"",$J$137))</f>
        <v/>
      </c>
      <c r="EA137" s="2">
        <f>ISERROR($A$137)*1+ISERROR($C$137)*1+ISERROR($E$137)*1+ISERROR($G$137)*1+ISERROR($H$137)*1+ISERROR($I$137)*1+ISERROR($J$137)*1</f>
        <v/>
      </c>
    </row>
    <row r="138" ht="37" customHeight="1">
      <c r="A138" s="35" t="n"/>
      <c r="B138" s="17" t="n"/>
      <c r="C138" s="29" t="n"/>
      <c r="D138" s="17" t="n"/>
      <c r="E138" s="29" t="n"/>
      <c r="F138" s="17" t="n"/>
      <c r="G138" s="36" t="n"/>
      <c r="H138" s="36" t="n"/>
      <c r="I138" s="37" t="n"/>
      <c r="J138" s="37" t="n"/>
      <c r="K138" s="27">
        <f>IF(EA138&gt;0,"O Google leu como fórmula: escolha de novo ou digite com ' na frente.",IF(LEN($DQ$138)=0,"",IF(NOT(ISNUMBER($R$138)),"Inimigo fora da tabela I1",IF(AND($O$138=1,$DS$138&lt;&gt;"Reação",NOT(ISNUMBER($DY$138))),"Ação especial precisa de recarga de 2 ou 3 Ciclos (28.4)",IF(COUNTIFS($DQ$116:$DQ$153,$DQ$138,$O$116:$O$153,1)&gt;3,"Mais de 3 ações especiais neste inimigo (28.1: de 1 a 3)",IF(AND($DS$138="Especial de dano 1 alvo (até 1,5×)",INDEX($O$11:$O$22,$R$138)="Comum"),"Pico de dano: ocupa a ação do turno (28.4)",""))))))</f>
        <v/>
      </c>
      <c r="N138" s="2">
        <f>IF(AND(LEN($DQ$138)&gt;0,LEN($DS$138)&gt;0),1,0)</f>
        <v/>
      </c>
      <c r="O138" s="2">
        <f>IF(AND($N$138=1,$DS$138&lt;&gt;"Ataque normal"),1,0)</f>
        <v/>
      </c>
      <c r="P138" s="2">
        <f>IF($N$138=1,$DQ$138&amp;"|"&amp;COUNTIFS($DQ$116:$DQ$138,$DQ$138,$N$116:N138,1),"")</f>
        <v/>
      </c>
      <c r="Q138" s="2">
        <f>IF($O$138=1,$DQ$138&amp;"|"&amp;COUNTIFS($DQ$116:$DQ$138,$DQ$138,$O$116:O138,1),"")</f>
        <v/>
      </c>
      <c r="R138" s="2">
        <f>IFERROR(MATCH($DQ$138,$DQ$11:$DQ$22,0),"")</f>
        <v/>
      </c>
      <c r="S138" s="2">
        <f>$F$179</f>
        <v/>
      </c>
      <c r="DQ138" s="2">
        <f>IF(ISERROR($A$138),"",IF(ISBLANK($A$138),"",$A$138))</f>
        <v/>
      </c>
      <c r="DS138" s="2">
        <f>IF(ISERROR($C$138),"",IF(ISBLANK($C$138),"",$C$138))</f>
        <v/>
      </c>
      <c r="DU138" s="2">
        <f>IF(ISERROR($E$138),"",IF(ISBLANK($E$138),"",$E$138))</f>
        <v/>
      </c>
      <c r="DW138" s="2">
        <f>IF(ISERROR($G$138),"",IF(ISBLANK($G$138),"",$G$138))</f>
        <v/>
      </c>
      <c r="DX138" s="2">
        <f>IF(ISERROR($H$138),"",IF(ISBLANK($H$138),"",$H$138))</f>
        <v/>
      </c>
      <c r="DY138" s="2">
        <f>IF(ISERROR($I$138),"",IF(ISBLANK($I$138),"",$I$138))</f>
        <v/>
      </c>
      <c r="DZ138" s="2">
        <f>IF(ISERROR($J$138),"",IF(ISBLANK($J$138),"",$J$138))</f>
        <v/>
      </c>
      <c r="EA138" s="2">
        <f>ISERROR($A$138)*1+ISERROR($C$138)*1+ISERROR($E$138)*1+ISERROR($G$138)*1+ISERROR($H$138)*1+ISERROR($I$138)*1+ISERROR($J$138)*1</f>
        <v/>
      </c>
    </row>
    <row r="139" ht="37" customHeight="1">
      <c r="A139" s="33" t="n"/>
      <c r="B139" s="17" t="n"/>
      <c r="C139" s="4" t="n"/>
      <c r="D139" s="17" t="n"/>
      <c r="E139" s="4" t="n"/>
      <c r="F139" s="17" t="n"/>
      <c r="G139" s="34" t="n"/>
      <c r="H139" s="34" t="n"/>
      <c r="I139" s="16" t="n"/>
      <c r="J139" s="16" t="n"/>
      <c r="K139" s="19">
        <f>IF(EA139&gt;0,"O Google leu como fórmula: escolha de novo ou digite com ' na frente.",IF(LEN($DQ$139)=0,"",IF(NOT(ISNUMBER($R$139)),"Inimigo fora da tabela I1",IF(AND($O$139=1,$DS$139&lt;&gt;"Reação",NOT(ISNUMBER($DY$139))),"Ação especial precisa de recarga de 2 ou 3 Ciclos (28.4)",IF(COUNTIFS($DQ$116:$DQ$153,$DQ$139,$O$116:$O$153,1)&gt;3,"Mais de 3 ações especiais neste inimigo (28.1: de 1 a 3)",IF(AND($DS$139="Especial de dano 1 alvo (até 1,5×)",INDEX($O$11:$O$22,$R$139)="Comum"),"Pico de dano: ocupa a ação do turno (28.4)",""))))))</f>
        <v/>
      </c>
      <c r="N139" s="2">
        <f>IF(AND(LEN($DQ$139)&gt;0,LEN($DS$139)&gt;0),1,0)</f>
        <v/>
      </c>
      <c r="O139" s="2">
        <f>IF(AND($N$139=1,$DS$139&lt;&gt;"Ataque normal"),1,0)</f>
        <v/>
      </c>
      <c r="P139" s="2">
        <f>IF($N$139=1,$DQ$139&amp;"|"&amp;COUNTIFS($DQ$116:$DQ$139,$DQ$139,$N$116:N139,1),"")</f>
        <v/>
      </c>
      <c r="Q139" s="2">
        <f>IF($O$139=1,$DQ$139&amp;"|"&amp;COUNTIFS($DQ$116:$DQ$139,$DQ$139,$O$116:O139,1),"")</f>
        <v/>
      </c>
      <c r="R139" s="2">
        <f>IFERROR(MATCH($DQ$139,$DQ$11:$DQ$22,0),"")</f>
        <v/>
      </c>
      <c r="S139" s="2">
        <f>$F$180</f>
        <v/>
      </c>
      <c r="DQ139" s="2">
        <f>IF(ISERROR($A$139),"",IF(ISBLANK($A$139),"",$A$139))</f>
        <v/>
      </c>
      <c r="DS139" s="2">
        <f>IF(ISERROR($C$139),"",IF(ISBLANK($C$139),"",$C$139))</f>
        <v/>
      </c>
      <c r="DU139" s="2">
        <f>IF(ISERROR($E$139),"",IF(ISBLANK($E$139),"",$E$139))</f>
        <v/>
      </c>
      <c r="DW139" s="2">
        <f>IF(ISERROR($G$139),"",IF(ISBLANK($G$139),"",$G$139))</f>
        <v/>
      </c>
      <c r="DX139" s="2">
        <f>IF(ISERROR($H$139),"",IF(ISBLANK($H$139),"",$H$139))</f>
        <v/>
      </c>
      <c r="DY139" s="2">
        <f>IF(ISERROR($I$139),"",IF(ISBLANK($I$139),"",$I$139))</f>
        <v/>
      </c>
      <c r="DZ139" s="2">
        <f>IF(ISERROR($J$139),"",IF(ISBLANK($J$139),"",$J$139))</f>
        <v/>
      </c>
      <c r="EA139" s="2">
        <f>ISERROR($A$139)*1+ISERROR($C$139)*1+ISERROR($E$139)*1+ISERROR($G$139)*1+ISERROR($H$139)*1+ISERROR($I$139)*1+ISERROR($J$139)*1</f>
        <v/>
      </c>
    </row>
    <row r="140" ht="37" customHeight="1">
      <c r="A140" s="35" t="n"/>
      <c r="B140" s="17" t="n"/>
      <c r="C140" s="29" t="n"/>
      <c r="D140" s="17" t="n"/>
      <c r="E140" s="29" t="n"/>
      <c r="F140" s="17" t="n"/>
      <c r="G140" s="36" t="n"/>
      <c r="H140" s="36" t="n"/>
      <c r="I140" s="37" t="n"/>
      <c r="J140" s="37" t="n"/>
      <c r="K140" s="27">
        <f>IF(EA140&gt;0,"O Google leu como fórmula: escolha de novo ou digite com ' na frente.",IF(LEN($DQ$140)=0,"",IF(NOT(ISNUMBER($R$140)),"Inimigo fora da tabela I1",IF(AND($O$140=1,$DS$140&lt;&gt;"Reação",NOT(ISNUMBER($DY$140))),"Ação especial precisa de recarga de 2 ou 3 Ciclos (28.4)",IF(COUNTIFS($DQ$116:$DQ$153,$DQ$140,$O$116:$O$153,1)&gt;3,"Mais de 3 ações especiais neste inimigo (28.1: de 1 a 3)",IF(AND($DS$140="Especial de dano 1 alvo (até 1,5×)",INDEX($O$11:$O$22,$R$140)="Comum"),"Pico de dano: ocupa a ação do turno (28.4)",""))))))</f>
        <v/>
      </c>
      <c r="N140" s="2">
        <f>IF(AND(LEN($DQ$140)&gt;0,LEN($DS$140)&gt;0),1,0)</f>
        <v/>
      </c>
      <c r="O140" s="2">
        <f>IF(AND($N$140=1,$DS$140&lt;&gt;"Ataque normal"),1,0)</f>
        <v/>
      </c>
      <c r="P140" s="2">
        <f>IF($N$140=1,$DQ$140&amp;"|"&amp;COUNTIFS($DQ$116:$DQ$140,$DQ$140,$N$116:N140,1),"")</f>
        <v/>
      </c>
      <c r="Q140" s="2">
        <f>IF($O$140=1,$DQ$140&amp;"|"&amp;COUNTIFS($DQ$116:$DQ$140,$DQ$140,$O$116:O140,1),"")</f>
        <v/>
      </c>
      <c r="R140" s="2">
        <f>IFERROR(MATCH($DQ$140,$DQ$11:$DQ$22,0),"")</f>
        <v/>
      </c>
      <c r="S140" s="2">
        <f>$F$181</f>
        <v/>
      </c>
      <c r="DQ140" s="2">
        <f>IF(ISERROR($A$140),"",IF(ISBLANK($A$140),"",$A$140))</f>
        <v/>
      </c>
      <c r="DS140" s="2">
        <f>IF(ISERROR($C$140),"",IF(ISBLANK($C$140),"",$C$140))</f>
        <v/>
      </c>
      <c r="DU140" s="2">
        <f>IF(ISERROR($E$140),"",IF(ISBLANK($E$140),"",$E$140))</f>
        <v/>
      </c>
      <c r="DW140" s="2">
        <f>IF(ISERROR($G$140),"",IF(ISBLANK($G$140),"",$G$140))</f>
        <v/>
      </c>
      <c r="DX140" s="2">
        <f>IF(ISERROR($H$140),"",IF(ISBLANK($H$140),"",$H$140))</f>
        <v/>
      </c>
      <c r="DY140" s="2">
        <f>IF(ISERROR($I$140),"",IF(ISBLANK($I$140),"",$I$140))</f>
        <v/>
      </c>
      <c r="DZ140" s="2">
        <f>IF(ISERROR($J$140),"",IF(ISBLANK($J$140),"",$J$140))</f>
        <v/>
      </c>
      <c r="EA140" s="2">
        <f>ISERROR($A$140)*1+ISERROR($C$140)*1+ISERROR($E$140)*1+ISERROR($G$140)*1+ISERROR($H$140)*1+ISERROR($I$140)*1+ISERROR($J$140)*1</f>
        <v/>
      </c>
    </row>
    <row r="141" ht="26" customHeight="1">
      <c r="A141" s="8" t="inlineStr">
        <is>
          <t>Inimigo</t>
        </is>
      </c>
      <c r="B141" s="20" t="n"/>
      <c r="C141" s="8" t="inlineStr">
        <is>
          <t>Tipo de ação</t>
        </is>
      </c>
      <c r="D141" s="20" t="n"/>
      <c r="E141" s="8" t="inlineStr">
        <is>
          <t>Nome da ação</t>
        </is>
      </c>
      <c r="F141" s="20" t="n"/>
      <c r="G141" s="8" t="inlineStr">
        <is>
          <t>Alcance</t>
        </is>
      </c>
      <c r="H141" s="8" t="inlineStr">
        <is>
          <t>Elemento</t>
        </is>
      </c>
      <c r="I141" s="8" t="inlineStr">
        <is>
          <t>Recarga (Ciclos)</t>
        </is>
      </c>
      <c r="J141" s="8" t="inlineStr">
        <is>
          <t>Duração (turnos)</t>
        </is>
      </c>
      <c r="K141" s="8" t="inlineStr">
        <is>
          <t>Aviso</t>
        </is>
      </c>
      <c r="L141" s="20" t="n"/>
      <c r="DQ141" s="2">
        <f>IF(ISERROR($A$141),"",IF(ISBLANK($A$141),"",$A$141))</f>
        <v/>
      </c>
      <c r="DU141" s="2">
        <f>IF(ISERROR($E$141),"",IF(ISBLANK($E$141),"",$E$141))</f>
        <v/>
      </c>
      <c r="DY141" s="2">
        <f>IF(ISERROR($I$141),"",IF(ISBLANK($I$141),"",$I$141))</f>
        <v/>
      </c>
    </row>
    <row r="142" ht="37" customHeight="1">
      <c r="A142" s="33" t="n"/>
      <c r="B142" s="17" t="n"/>
      <c r="C142" s="4" t="n"/>
      <c r="D142" s="17" t="n"/>
      <c r="E142" s="4" t="n"/>
      <c r="F142" s="17" t="n"/>
      <c r="G142" s="34" t="n"/>
      <c r="H142" s="34" t="n"/>
      <c r="I142" s="16" t="n"/>
      <c r="J142" s="16" t="n"/>
      <c r="K142" s="19">
        <f>IF(EA142&gt;0,"O Google leu como fórmula: escolha de novo ou digite com ' na frente.",IF(LEN($DQ$142)=0,"",IF(NOT(ISNUMBER($R$142)),"Inimigo fora da tabela I1",IF(AND($O$142=1,$DS$142&lt;&gt;"Reação",NOT(ISNUMBER($DY$142))),"Ação especial precisa de recarga de 2 ou 3 Ciclos (28.4)",IF(COUNTIFS($DQ$116:$DQ$153,$DQ$142,$O$116:$O$153,1)&gt;3,"Mais de 3 ações especiais neste inimigo (28.1: de 1 a 3)",IF(AND($DS$142="Especial de dano 1 alvo (até 1,5×)",INDEX($O$11:$O$22,$R$142)="Comum"),"Pico de dano: ocupa a ação do turno (28.4)",""))))))</f>
        <v/>
      </c>
      <c r="N142" s="2">
        <f>IF(AND(LEN($DQ$142)&gt;0,LEN($DS$142)&gt;0),1,0)</f>
        <v/>
      </c>
      <c r="O142" s="2">
        <f>IF(AND($N$142=1,$DS$142&lt;&gt;"Ataque normal"),1,0)</f>
        <v/>
      </c>
      <c r="P142" s="2">
        <f>IF($N$142=1,$DQ$142&amp;"|"&amp;COUNTIFS($DQ$116:$DQ$142,$DQ$142,$N$116:N142,1),"")</f>
        <v/>
      </c>
      <c r="Q142" s="2">
        <f>IF($O$142=1,$DQ$142&amp;"|"&amp;COUNTIFS($DQ$116:$DQ$142,$DQ$142,$O$116:O142,1),"")</f>
        <v/>
      </c>
      <c r="R142" s="2">
        <f>IFERROR(MATCH($DQ$142,$DQ$11:$DQ$22,0),"")</f>
        <v/>
      </c>
      <c r="S142" s="2">
        <f>$F$183</f>
        <v/>
      </c>
      <c r="DQ142" s="2">
        <f>IF(ISERROR($A$142),"",IF(ISBLANK($A$142),"",$A$142))</f>
        <v/>
      </c>
      <c r="DS142" s="2">
        <f>IF(ISERROR($C$142),"",IF(ISBLANK($C$142),"",$C$142))</f>
        <v/>
      </c>
      <c r="DU142" s="2">
        <f>IF(ISERROR($E$142),"",IF(ISBLANK($E$142),"",$E$142))</f>
        <v/>
      </c>
      <c r="DW142" s="2">
        <f>IF(ISERROR($G$142),"",IF(ISBLANK($G$142),"",$G$142))</f>
        <v/>
      </c>
      <c r="DX142" s="2">
        <f>IF(ISERROR($H$142),"",IF(ISBLANK($H$142),"",$H$142))</f>
        <v/>
      </c>
      <c r="DY142" s="2">
        <f>IF(ISERROR($I$142),"",IF(ISBLANK($I$142),"",$I$142))</f>
        <v/>
      </c>
      <c r="DZ142" s="2">
        <f>IF(ISERROR($J$142),"",IF(ISBLANK($J$142),"",$J$142))</f>
        <v/>
      </c>
      <c r="EA142" s="2">
        <f>ISERROR($A$142)*1+ISERROR($C$142)*1+ISERROR($E$142)*1+ISERROR($G$142)*1+ISERROR($H$142)*1+ISERROR($I$142)*1+ISERROR($J$142)*1</f>
        <v/>
      </c>
    </row>
    <row r="143" ht="37" customHeight="1">
      <c r="A143" s="35" t="n"/>
      <c r="B143" s="17" t="n"/>
      <c r="C143" s="29" t="n"/>
      <c r="D143" s="17" t="n"/>
      <c r="E143" s="29" t="n"/>
      <c r="F143" s="17" t="n"/>
      <c r="G143" s="36" t="n"/>
      <c r="H143" s="36" t="n"/>
      <c r="I143" s="37" t="n"/>
      <c r="J143" s="37" t="n"/>
      <c r="K143" s="27">
        <f>IF(EA143&gt;0,"O Google leu como fórmula: escolha de novo ou digite com ' na frente.",IF(LEN($DQ$143)=0,"",IF(NOT(ISNUMBER($R$143)),"Inimigo fora da tabela I1",IF(AND($O$143=1,$DS$143&lt;&gt;"Reação",NOT(ISNUMBER($DY$143))),"Ação especial precisa de recarga de 2 ou 3 Ciclos (28.4)",IF(COUNTIFS($DQ$116:$DQ$153,$DQ$143,$O$116:$O$153,1)&gt;3,"Mais de 3 ações especiais neste inimigo (28.1: de 1 a 3)",IF(AND($DS$143="Especial de dano 1 alvo (até 1,5×)",INDEX($O$11:$O$22,$R$143)="Comum"),"Pico de dano: ocupa a ação do turno (28.4)",""))))))</f>
        <v/>
      </c>
      <c r="N143" s="2">
        <f>IF(AND(LEN($DQ$143)&gt;0,LEN($DS$143)&gt;0),1,0)</f>
        <v/>
      </c>
      <c r="O143" s="2">
        <f>IF(AND($N$143=1,$DS$143&lt;&gt;"Ataque normal"),1,0)</f>
        <v/>
      </c>
      <c r="P143" s="2">
        <f>IF($N$143=1,$DQ$143&amp;"|"&amp;COUNTIFS($DQ$116:$DQ$143,$DQ$143,$N$116:N143,1),"")</f>
        <v/>
      </c>
      <c r="Q143" s="2">
        <f>IF($O$143=1,$DQ$143&amp;"|"&amp;COUNTIFS($DQ$116:$DQ$143,$DQ$143,$O$116:O143,1),"")</f>
        <v/>
      </c>
      <c r="R143" s="2">
        <f>IFERROR(MATCH($DQ$143,$DQ$11:$DQ$22,0),"")</f>
        <v/>
      </c>
      <c r="S143" s="2">
        <f>$F$184</f>
        <v/>
      </c>
      <c r="DQ143" s="2">
        <f>IF(ISERROR($A$143),"",IF(ISBLANK($A$143),"",$A$143))</f>
        <v/>
      </c>
      <c r="DS143" s="2">
        <f>IF(ISERROR($C$143),"",IF(ISBLANK($C$143),"",$C$143))</f>
        <v/>
      </c>
      <c r="DU143" s="2">
        <f>IF(ISERROR($E$143),"",IF(ISBLANK($E$143),"",$E$143))</f>
        <v/>
      </c>
      <c r="DW143" s="2">
        <f>IF(ISERROR($G$143),"",IF(ISBLANK($G$143),"",$G$143))</f>
        <v/>
      </c>
      <c r="DX143" s="2">
        <f>IF(ISERROR($H$143),"",IF(ISBLANK($H$143),"",$H$143))</f>
        <v/>
      </c>
      <c r="DY143" s="2">
        <f>IF(ISERROR($I$143),"",IF(ISBLANK($I$143),"",$I$143))</f>
        <v/>
      </c>
      <c r="DZ143" s="2">
        <f>IF(ISERROR($J$143),"",IF(ISBLANK($J$143),"",$J$143))</f>
        <v/>
      </c>
      <c r="EA143" s="2">
        <f>ISERROR($A$143)*1+ISERROR($C$143)*1+ISERROR($E$143)*1+ISERROR($G$143)*1+ISERROR($H$143)*1+ISERROR($I$143)*1+ISERROR($J$143)*1</f>
        <v/>
      </c>
    </row>
    <row r="144" ht="37" customHeight="1">
      <c r="A144" s="33" t="n"/>
      <c r="B144" s="17" t="n"/>
      <c r="C144" s="4" t="n"/>
      <c r="D144" s="17" t="n"/>
      <c r="E144" s="4" t="n"/>
      <c r="F144" s="17" t="n"/>
      <c r="G144" s="34" t="n"/>
      <c r="H144" s="34" t="n"/>
      <c r="I144" s="16" t="n"/>
      <c r="J144" s="16" t="n"/>
      <c r="K144" s="19">
        <f>IF(EA144&gt;0,"O Google leu como fórmula: escolha de novo ou digite com ' na frente.",IF(LEN($DQ$144)=0,"",IF(NOT(ISNUMBER($R$144)),"Inimigo fora da tabela I1",IF(AND($O$144=1,$DS$144&lt;&gt;"Reação",NOT(ISNUMBER($DY$144))),"Ação especial precisa de recarga de 2 ou 3 Ciclos (28.4)",IF(COUNTIFS($DQ$116:$DQ$153,$DQ$144,$O$116:$O$153,1)&gt;3,"Mais de 3 ações especiais neste inimigo (28.1: de 1 a 3)",IF(AND($DS$144="Especial de dano 1 alvo (até 1,5×)",INDEX($O$11:$O$22,$R$144)="Comum"),"Pico de dano: ocupa a ação do turno (28.4)",""))))))</f>
        <v/>
      </c>
      <c r="N144" s="2">
        <f>IF(AND(LEN($DQ$144)&gt;0,LEN($DS$144)&gt;0),1,0)</f>
        <v/>
      </c>
      <c r="O144" s="2">
        <f>IF(AND($N$144=1,$DS$144&lt;&gt;"Ataque normal"),1,0)</f>
        <v/>
      </c>
      <c r="P144" s="2">
        <f>IF($N$144=1,$DQ$144&amp;"|"&amp;COUNTIFS($DQ$116:$DQ$144,$DQ$144,$N$116:N144,1),"")</f>
        <v/>
      </c>
      <c r="Q144" s="2">
        <f>IF($O$144=1,$DQ$144&amp;"|"&amp;COUNTIFS($DQ$116:$DQ$144,$DQ$144,$O$116:O144,1),"")</f>
        <v/>
      </c>
      <c r="R144" s="2">
        <f>IFERROR(MATCH($DQ$144,$DQ$11:$DQ$22,0),"")</f>
        <v/>
      </c>
      <c r="S144" s="2">
        <f>$F$185</f>
        <v/>
      </c>
      <c r="DQ144" s="2">
        <f>IF(ISERROR($A$144),"",IF(ISBLANK($A$144),"",$A$144))</f>
        <v/>
      </c>
      <c r="DS144" s="2">
        <f>IF(ISERROR($C$144),"",IF(ISBLANK($C$144),"",$C$144))</f>
        <v/>
      </c>
      <c r="DU144" s="2">
        <f>IF(ISERROR($E$144),"",IF(ISBLANK($E$144),"",$E$144))</f>
        <v/>
      </c>
      <c r="DW144" s="2">
        <f>IF(ISERROR($G$144),"",IF(ISBLANK($G$144),"",$G$144))</f>
        <v/>
      </c>
      <c r="DX144" s="2">
        <f>IF(ISERROR($H$144),"",IF(ISBLANK($H$144),"",$H$144))</f>
        <v/>
      </c>
      <c r="DY144" s="2">
        <f>IF(ISERROR($I$144),"",IF(ISBLANK($I$144),"",$I$144))</f>
        <v/>
      </c>
      <c r="DZ144" s="2">
        <f>IF(ISERROR($J$144),"",IF(ISBLANK($J$144),"",$J$144))</f>
        <v/>
      </c>
      <c r="EA144" s="2">
        <f>ISERROR($A$144)*1+ISERROR($C$144)*1+ISERROR($E$144)*1+ISERROR($G$144)*1+ISERROR($H$144)*1+ISERROR($I$144)*1+ISERROR($J$144)*1</f>
        <v/>
      </c>
    </row>
    <row r="145" ht="37" customHeight="1">
      <c r="A145" s="35" t="n"/>
      <c r="B145" s="17" t="n"/>
      <c r="C145" s="29" t="n"/>
      <c r="D145" s="17" t="n"/>
      <c r="E145" s="29" t="n"/>
      <c r="F145" s="17" t="n"/>
      <c r="G145" s="36" t="n"/>
      <c r="H145" s="36" t="n"/>
      <c r="I145" s="37" t="n"/>
      <c r="J145" s="37" t="n"/>
      <c r="K145" s="27">
        <f>IF(EA145&gt;0,"O Google leu como fórmula: escolha de novo ou digite com ' na frente.",IF(LEN($DQ$145)=0,"",IF(NOT(ISNUMBER($R$145)),"Inimigo fora da tabela I1",IF(AND($O$145=1,$DS$145&lt;&gt;"Reação",NOT(ISNUMBER($DY$145))),"Ação especial precisa de recarga de 2 ou 3 Ciclos (28.4)",IF(COUNTIFS($DQ$116:$DQ$153,$DQ$145,$O$116:$O$153,1)&gt;3,"Mais de 3 ações especiais neste inimigo (28.1: de 1 a 3)",IF(AND($DS$145="Especial de dano 1 alvo (até 1,5×)",INDEX($O$11:$O$22,$R$145)="Comum"),"Pico de dano: ocupa a ação do turno (28.4)",""))))))</f>
        <v/>
      </c>
      <c r="N145" s="2">
        <f>IF(AND(LEN($DQ$145)&gt;0,LEN($DS$145)&gt;0),1,0)</f>
        <v/>
      </c>
      <c r="O145" s="2">
        <f>IF(AND($N$145=1,$DS$145&lt;&gt;"Ataque normal"),1,0)</f>
        <v/>
      </c>
      <c r="P145" s="2">
        <f>IF($N$145=1,$DQ$145&amp;"|"&amp;COUNTIFS($DQ$116:$DQ$145,$DQ$145,$N$116:N145,1),"")</f>
        <v/>
      </c>
      <c r="Q145" s="2">
        <f>IF($O$145=1,$DQ$145&amp;"|"&amp;COUNTIFS($DQ$116:$DQ$145,$DQ$145,$O$116:O145,1),"")</f>
        <v/>
      </c>
      <c r="R145" s="2">
        <f>IFERROR(MATCH($DQ$145,$DQ$11:$DQ$22,0),"")</f>
        <v/>
      </c>
      <c r="S145" s="2">
        <f>$F$186</f>
        <v/>
      </c>
      <c r="DQ145" s="2">
        <f>IF(ISERROR($A$145),"",IF(ISBLANK($A$145),"",$A$145))</f>
        <v/>
      </c>
      <c r="DS145" s="2">
        <f>IF(ISERROR($C$145),"",IF(ISBLANK($C$145),"",$C$145))</f>
        <v/>
      </c>
      <c r="DU145" s="2">
        <f>IF(ISERROR($E$145),"",IF(ISBLANK($E$145),"",$E$145))</f>
        <v/>
      </c>
      <c r="DW145" s="2">
        <f>IF(ISERROR($G$145),"",IF(ISBLANK($G$145),"",$G$145))</f>
        <v/>
      </c>
      <c r="DX145" s="2">
        <f>IF(ISERROR($H$145),"",IF(ISBLANK($H$145),"",$H$145))</f>
        <v/>
      </c>
      <c r="DY145" s="2">
        <f>IF(ISERROR($I$145),"",IF(ISBLANK($I$145),"",$I$145))</f>
        <v/>
      </c>
      <c r="DZ145" s="2">
        <f>IF(ISERROR($J$145),"",IF(ISBLANK($J$145),"",$J$145))</f>
        <v/>
      </c>
      <c r="EA145" s="2">
        <f>ISERROR($A$145)*1+ISERROR($C$145)*1+ISERROR($E$145)*1+ISERROR($G$145)*1+ISERROR($H$145)*1+ISERROR($I$145)*1+ISERROR($J$145)*1</f>
        <v/>
      </c>
    </row>
    <row r="146" ht="37" customHeight="1">
      <c r="A146" s="33" t="n"/>
      <c r="B146" s="17" t="n"/>
      <c r="C146" s="4" t="n"/>
      <c r="D146" s="17" t="n"/>
      <c r="E146" s="4" t="n"/>
      <c r="F146" s="17" t="n"/>
      <c r="G146" s="34" t="n"/>
      <c r="H146" s="34" t="n"/>
      <c r="I146" s="16" t="n"/>
      <c r="J146" s="16" t="n"/>
      <c r="K146" s="19">
        <f>IF(EA146&gt;0,"O Google leu como fórmula: escolha de novo ou digite com ' na frente.",IF(LEN($DQ$146)=0,"",IF(NOT(ISNUMBER($R$146)),"Inimigo fora da tabela I1",IF(AND($O$146=1,$DS$146&lt;&gt;"Reação",NOT(ISNUMBER($DY$146))),"Ação especial precisa de recarga de 2 ou 3 Ciclos (28.4)",IF(COUNTIFS($DQ$116:$DQ$153,$DQ$146,$O$116:$O$153,1)&gt;3,"Mais de 3 ações especiais neste inimigo (28.1: de 1 a 3)",IF(AND($DS$146="Especial de dano 1 alvo (até 1,5×)",INDEX($O$11:$O$22,$R$146)="Comum"),"Pico de dano: ocupa a ação do turno (28.4)",""))))))</f>
        <v/>
      </c>
      <c r="N146" s="2">
        <f>IF(AND(LEN($DQ$146)&gt;0,LEN($DS$146)&gt;0),1,0)</f>
        <v/>
      </c>
      <c r="O146" s="2">
        <f>IF(AND($N$146=1,$DS$146&lt;&gt;"Ataque normal"),1,0)</f>
        <v/>
      </c>
      <c r="P146" s="2">
        <f>IF($N$146=1,$DQ$146&amp;"|"&amp;COUNTIFS($DQ$116:$DQ$146,$DQ$146,$N$116:N146,1),"")</f>
        <v/>
      </c>
      <c r="Q146" s="2">
        <f>IF($O$146=1,$DQ$146&amp;"|"&amp;COUNTIFS($DQ$116:$DQ$146,$DQ$146,$O$116:O146,1),"")</f>
        <v/>
      </c>
      <c r="R146" s="2">
        <f>IFERROR(MATCH($DQ$146,$DQ$11:$DQ$22,0),"")</f>
        <v/>
      </c>
      <c r="S146" s="2">
        <f>$F$187</f>
        <v/>
      </c>
      <c r="DQ146" s="2">
        <f>IF(ISERROR($A$146),"",IF(ISBLANK($A$146),"",$A$146))</f>
        <v/>
      </c>
      <c r="DS146" s="2">
        <f>IF(ISERROR($C$146),"",IF(ISBLANK($C$146),"",$C$146))</f>
        <v/>
      </c>
      <c r="DU146" s="2">
        <f>IF(ISERROR($E$146),"",IF(ISBLANK($E$146),"",$E$146))</f>
        <v/>
      </c>
      <c r="DW146" s="2">
        <f>IF(ISERROR($G$146),"",IF(ISBLANK($G$146),"",$G$146))</f>
        <v/>
      </c>
      <c r="DX146" s="2">
        <f>IF(ISERROR($H$146),"",IF(ISBLANK($H$146),"",$H$146))</f>
        <v/>
      </c>
      <c r="DY146" s="2">
        <f>IF(ISERROR($I$146),"",IF(ISBLANK($I$146),"",$I$146))</f>
        <v/>
      </c>
      <c r="DZ146" s="2">
        <f>IF(ISERROR($J$146),"",IF(ISBLANK($J$146),"",$J$146))</f>
        <v/>
      </c>
      <c r="EA146" s="2">
        <f>ISERROR($A$146)*1+ISERROR($C$146)*1+ISERROR($E$146)*1+ISERROR($G$146)*1+ISERROR($H$146)*1+ISERROR($I$146)*1+ISERROR($J$146)*1</f>
        <v/>
      </c>
    </row>
    <row r="147" ht="37" customHeight="1">
      <c r="A147" s="35" t="n"/>
      <c r="B147" s="17" t="n"/>
      <c r="C147" s="29" t="n"/>
      <c r="D147" s="17" t="n"/>
      <c r="E147" s="29" t="n"/>
      <c r="F147" s="17" t="n"/>
      <c r="G147" s="36" t="n"/>
      <c r="H147" s="36" t="n"/>
      <c r="I147" s="37" t="n"/>
      <c r="J147" s="37" t="n"/>
      <c r="K147" s="27">
        <f>IF(EA147&gt;0,"O Google leu como fórmula: escolha de novo ou digite com ' na frente.",IF(LEN($DQ$147)=0,"",IF(NOT(ISNUMBER($R$147)),"Inimigo fora da tabela I1",IF(AND($O$147=1,$DS$147&lt;&gt;"Reação",NOT(ISNUMBER($DY$147))),"Ação especial precisa de recarga de 2 ou 3 Ciclos (28.4)",IF(COUNTIFS($DQ$116:$DQ$153,$DQ$147,$O$116:$O$153,1)&gt;3,"Mais de 3 ações especiais neste inimigo (28.1: de 1 a 3)",IF(AND($DS$147="Especial de dano 1 alvo (até 1,5×)",INDEX($O$11:$O$22,$R$147)="Comum"),"Pico de dano: ocupa a ação do turno (28.4)",""))))))</f>
        <v/>
      </c>
      <c r="N147" s="2">
        <f>IF(AND(LEN($DQ$147)&gt;0,LEN($DS$147)&gt;0),1,0)</f>
        <v/>
      </c>
      <c r="O147" s="2">
        <f>IF(AND($N$147=1,$DS$147&lt;&gt;"Ataque normal"),1,0)</f>
        <v/>
      </c>
      <c r="P147" s="2">
        <f>IF($N$147=1,$DQ$147&amp;"|"&amp;COUNTIFS($DQ$116:$DQ$147,$DQ$147,$N$116:N147,1),"")</f>
        <v/>
      </c>
      <c r="Q147" s="2">
        <f>IF($O$147=1,$DQ$147&amp;"|"&amp;COUNTIFS($DQ$116:$DQ$147,$DQ$147,$O$116:O147,1),"")</f>
        <v/>
      </c>
      <c r="R147" s="2">
        <f>IFERROR(MATCH($DQ$147,$DQ$11:$DQ$22,0),"")</f>
        <v/>
      </c>
      <c r="S147" s="2">
        <f>$F$188</f>
        <v/>
      </c>
      <c r="DQ147" s="2">
        <f>IF(ISERROR($A$147),"",IF(ISBLANK($A$147),"",$A$147))</f>
        <v/>
      </c>
      <c r="DS147" s="2">
        <f>IF(ISERROR($C$147),"",IF(ISBLANK($C$147),"",$C$147))</f>
        <v/>
      </c>
      <c r="DU147" s="2">
        <f>IF(ISERROR($E$147),"",IF(ISBLANK($E$147),"",$E$147))</f>
        <v/>
      </c>
      <c r="DW147" s="2">
        <f>IF(ISERROR($G$147),"",IF(ISBLANK($G$147),"",$G$147))</f>
        <v/>
      </c>
      <c r="DX147" s="2">
        <f>IF(ISERROR($H$147),"",IF(ISBLANK($H$147),"",$H$147))</f>
        <v/>
      </c>
      <c r="DY147" s="2">
        <f>IF(ISERROR($I$147),"",IF(ISBLANK($I$147),"",$I$147))</f>
        <v/>
      </c>
      <c r="DZ147" s="2">
        <f>IF(ISERROR($J$147),"",IF(ISBLANK($J$147),"",$J$147))</f>
        <v/>
      </c>
      <c r="EA147" s="2">
        <f>ISERROR($A$147)*1+ISERROR($C$147)*1+ISERROR($E$147)*1+ISERROR($G$147)*1+ISERROR($H$147)*1+ISERROR($I$147)*1+ISERROR($J$147)*1</f>
        <v/>
      </c>
    </row>
    <row r="148" ht="37" customHeight="1">
      <c r="A148" s="33" t="n"/>
      <c r="B148" s="17" t="n"/>
      <c r="C148" s="4" t="n"/>
      <c r="D148" s="17" t="n"/>
      <c r="E148" s="4" t="n"/>
      <c r="F148" s="17" t="n"/>
      <c r="G148" s="34" t="n"/>
      <c r="H148" s="34" t="n"/>
      <c r="I148" s="16" t="n"/>
      <c r="J148" s="16" t="n"/>
      <c r="K148" s="19">
        <f>IF(EA148&gt;0,"O Google leu como fórmula: escolha de novo ou digite com ' na frente.",IF(LEN($DQ$148)=0,"",IF(NOT(ISNUMBER($R$148)),"Inimigo fora da tabela I1",IF(AND($O$148=1,$DS$148&lt;&gt;"Reação",NOT(ISNUMBER($DY$148))),"Ação especial precisa de recarga de 2 ou 3 Ciclos (28.4)",IF(COUNTIFS($DQ$116:$DQ$153,$DQ$148,$O$116:$O$153,1)&gt;3,"Mais de 3 ações especiais neste inimigo (28.1: de 1 a 3)",IF(AND($DS$148="Especial de dano 1 alvo (até 1,5×)",INDEX($O$11:$O$22,$R$148)="Comum"),"Pico de dano: ocupa a ação do turno (28.4)",""))))))</f>
        <v/>
      </c>
      <c r="N148" s="2">
        <f>IF(AND(LEN($DQ$148)&gt;0,LEN($DS$148)&gt;0),1,0)</f>
        <v/>
      </c>
      <c r="O148" s="2">
        <f>IF(AND($N$148=1,$DS$148&lt;&gt;"Ataque normal"),1,0)</f>
        <v/>
      </c>
      <c r="P148" s="2">
        <f>IF($N$148=1,$DQ$148&amp;"|"&amp;COUNTIFS($DQ$116:$DQ$148,$DQ$148,$N$116:N148,1),"")</f>
        <v/>
      </c>
      <c r="Q148" s="2">
        <f>IF($O$148=1,$DQ$148&amp;"|"&amp;COUNTIFS($DQ$116:$DQ$148,$DQ$148,$O$116:O148,1),"")</f>
        <v/>
      </c>
      <c r="R148" s="2">
        <f>IFERROR(MATCH($DQ$148,$DQ$11:$DQ$22,0),"")</f>
        <v/>
      </c>
      <c r="S148" s="2">
        <f>$F$189</f>
        <v/>
      </c>
      <c r="DQ148" s="2">
        <f>IF(ISERROR($A$148),"",IF(ISBLANK($A$148),"",$A$148))</f>
        <v/>
      </c>
      <c r="DS148" s="2">
        <f>IF(ISERROR($C$148),"",IF(ISBLANK($C$148),"",$C$148))</f>
        <v/>
      </c>
      <c r="DU148" s="2">
        <f>IF(ISERROR($E$148),"",IF(ISBLANK($E$148),"",$E$148))</f>
        <v/>
      </c>
      <c r="DW148" s="2">
        <f>IF(ISERROR($G$148),"",IF(ISBLANK($G$148),"",$G$148))</f>
        <v/>
      </c>
      <c r="DX148" s="2">
        <f>IF(ISERROR($H$148),"",IF(ISBLANK($H$148),"",$H$148))</f>
        <v/>
      </c>
      <c r="DY148" s="2">
        <f>IF(ISERROR($I$148),"",IF(ISBLANK($I$148),"",$I$148))</f>
        <v/>
      </c>
      <c r="DZ148" s="2">
        <f>IF(ISERROR($J$148),"",IF(ISBLANK($J$148),"",$J$148))</f>
        <v/>
      </c>
      <c r="EA148" s="2">
        <f>ISERROR($A$148)*1+ISERROR($C$148)*1+ISERROR($E$148)*1+ISERROR($G$148)*1+ISERROR($H$148)*1+ISERROR($I$148)*1+ISERROR($J$148)*1</f>
        <v/>
      </c>
    </row>
    <row r="149" ht="37" customHeight="1">
      <c r="A149" s="35" t="n"/>
      <c r="B149" s="17" t="n"/>
      <c r="C149" s="29" t="n"/>
      <c r="D149" s="17" t="n"/>
      <c r="E149" s="29" t="n"/>
      <c r="F149" s="17" t="n"/>
      <c r="G149" s="36" t="n"/>
      <c r="H149" s="36" t="n"/>
      <c r="I149" s="37" t="n"/>
      <c r="J149" s="37" t="n"/>
      <c r="K149" s="27">
        <f>IF(EA149&gt;0,"O Google leu como fórmula: escolha de novo ou digite com ' na frente.",IF(LEN($DQ$149)=0,"",IF(NOT(ISNUMBER($R$149)),"Inimigo fora da tabela I1",IF(AND($O$149=1,$DS$149&lt;&gt;"Reação",NOT(ISNUMBER($DY$149))),"Ação especial precisa de recarga de 2 ou 3 Ciclos (28.4)",IF(COUNTIFS($DQ$116:$DQ$153,$DQ$149,$O$116:$O$153,1)&gt;3,"Mais de 3 ações especiais neste inimigo (28.1: de 1 a 3)",IF(AND($DS$149="Especial de dano 1 alvo (até 1,5×)",INDEX($O$11:$O$22,$R$149)="Comum"),"Pico de dano: ocupa a ação do turno (28.4)",""))))))</f>
        <v/>
      </c>
      <c r="N149" s="2">
        <f>IF(AND(LEN($DQ$149)&gt;0,LEN($DS$149)&gt;0),1,0)</f>
        <v/>
      </c>
      <c r="O149" s="2">
        <f>IF(AND($N$149=1,$DS$149&lt;&gt;"Ataque normal"),1,0)</f>
        <v/>
      </c>
      <c r="P149" s="2">
        <f>IF($N$149=1,$DQ$149&amp;"|"&amp;COUNTIFS($DQ$116:$DQ$149,$DQ$149,$N$116:N149,1),"")</f>
        <v/>
      </c>
      <c r="Q149" s="2">
        <f>IF($O$149=1,$DQ$149&amp;"|"&amp;COUNTIFS($DQ$116:$DQ$149,$DQ$149,$O$116:O149,1),"")</f>
        <v/>
      </c>
      <c r="R149" s="2">
        <f>IFERROR(MATCH($DQ$149,$DQ$11:$DQ$22,0),"")</f>
        <v/>
      </c>
      <c r="S149" s="2">
        <f>$F$190</f>
        <v/>
      </c>
      <c r="DQ149" s="2">
        <f>IF(ISERROR($A$149),"",IF(ISBLANK($A$149),"",$A$149))</f>
        <v/>
      </c>
      <c r="DS149" s="2">
        <f>IF(ISERROR($C$149),"",IF(ISBLANK($C$149),"",$C$149))</f>
        <v/>
      </c>
      <c r="DU149" s="2">
        <f>IF(ISERROR($E$149),"",IF(ISBLANK($E$149),"",$E$149))</f>
        <v/>
      </c>
      <c r="DW149" s="2">
        <f>IF(ISERROR($G$149),"",IF(ISBLANK($G$149),"",$G$149))</f>
        <v/>
      </c>
      <c r="DX149" s="2">
        <f>IF(ISERROR($H$149),"",IF(ISBLANK($H$149),"",$H$149))</f>
        <v/>
      </c>
      <c r="DY149" s="2">
        <f>IF(ISERROR($I$149),"",IF(ISBLANK($I$149),"",$I$149))</f>
        <v/>
      </c>
      <c r="DZ149" s="2">
        <f>IF(ISERROR($J$149),"",IF(ISBLANK($J$149),"",$J$149))</f>
        <v/>
      </c>
      <c r="EA149" s="2">
        <f>ISERROR($A$149)*1+ISERROR($C$149)*1+ISERROR($E$149)*1+ISERROR($G$149)*1+ISERROR($H$149)*1+ISERROR($I$149)*1+ISERROR($J$149)*1</f>
        <v/>
      </c>
    </row>
    <row r="150" ht="37" customHeight="1">
      <c r="A150" s="33" t="n"/>
      <c r="B150" s="17" t="n"/>
      <c r="C150" s="4" t="n"/>
      <c r="D150" s="17" t="n"/>
      <c r="E150" s="4" t="n"/>
      <c r="F150" s="17" t="n"/>
      <c r="G150" s="34" t="n"/>
      <c r="H150" s="34" t="n"/>
      <c r="I150" s="16" t="n"/>
      <c r="J150" s="16" t="n"/>
      <c r="K150" s="19">
        <f>IF(EA150&gt;0,"O Google leu como fórmula: escolha de novo ou digite com ' na frente.",IF(LEN($DQ$150)=0,"",IF(NOT(ISNUMBER($R$150)),"Inimigo fora da tabela I1",IF(AND($O$150=1,$DS$150&lt;&gt;"Reação",NOT(ISNUMBER($DY$150))),"Ação especial precisa de recarga de 2 ou 3 Ciclos (28.4)",IF(COUNTIFS($DQ$116:$DQ$153,$DQ$150,$O$116:$O$153,1)&gt;3,"Mais de 3 ações especiais neste inimigo (28.1: de 1 a 3)",IF(AND($DS$150="Especial de dano 1 alvo (até 1,5×)",INDEX($O$11:$O$22,$R$150)="Comum"),"Pico de dano: ocupa a ação do turno (28.4)",""))))))</f>
        <v/>
      </c>
      <c r="N150" s="2">
        <f>IF(AND(LEN($DQ$150)&gt;0,LEN($DS$150)&gt;0),1,0)</f>
        <v/>
      </c>
      <c r="O150" s="2">
        <f>IF(AND($N$150=1,$DS$150&lt;&gt;"Ataque normal"),1,0)</f>
        <v/>
      </c>
      <c r="P150" s="2">
        <f>IF($N$150=1,$DQ$150&amp;"|"&amp;COUNTIFS($DQ$116:$DQ$150,$DQ$150,$N$116:N150,1),"")</f>
        <v/>
      </c>
      <c r="Q150" s="2">
        <f>IF($O$150=1,$DQ$150&amp;"|"&amp;COUNTIFS($DQ$116:$DQ$150,$DQ$150,$O$116:O150,1),"")</f>
        <v/>
      </c>
      <c r="R150" s="2">
        <f>IFERROR(MATCH($DQ$150,$DQ$11:$DQ$22,0),"")</f>
        <v/>
      </c>
      <c r="S150" s="2">
        <f>$F$191</f>
        <v/>
      </c>
      <c r="DQ150" s="2">
        <f>IF(ISERROR($A$150),"",IF(ISBLANK($A$150),"",$A$150))</f>
        <v/>
      </c>
      <c r="DS150" s="2">
        <f>IF(ISERROR($C$150),"",IF(ISBLANK($C$150),"",$C$150))</f>
        <v/>
      </c>
      <c r="DU150" s="2">
        <f>IF(ISERROR($E$150),"",IF(ISBLANK($E$150),"",$E$150))</f>
        <v/>
      </c>
      <c r="DW150" s="2">
        <f>IF(ISERROR($G$150),"",IF(ISBLANK($G$150),"",$G$150))</f>
        <v/>
      </c>
      <c r="DX150" s="2">
        <f>IF(ISERROR($H$150),"",IF(ISBLANK($H$150),"",$H$150))</f>
        <v/>
      </c>
      <c r="DY150" s="2">
        <f>IF(ISERROR($I$150),"",IF(ISBLANK($I$150),"",$I$150))</f>
        <v/>
      </c>
      <c r="DZ150" s="2">
        <f>IF(ISERROR($J$150),"",IF(ISBLANK($J$150),"",$J$150))</f>
        <v/>
      </c>
      <c r="EA150" s="2">
        <f>ISERROR($A$150)*1+ISERROR($C$150)*1+ISERROR($E$150)*1+ISERROR($G$150)*1+ISERROR($H$150)*1+ISERROR($I$150)*1+ISERROR($J$150)*1</f>
        <v/>
      </c>
    </row>
    <row r="151" ht="37" customHeight="1">
      <c r="A151" s="35" t="n"/>
      <c r="B151" s="17" t="n"/>
      <c r="C151" s="29" t="n"/>
      <c r="D151" s="17" t="n"/>
      <c r="E151" s="29" t="n"/>
      <c r="F151" s="17" t="n"/>
      <c r="G151" s="36" t="n"/>
      <c r="H151" s="36" t="n"/>
      <c r="I151" s="37" t="n"/>
      <c r="J151" s="37" t="n"/>
      <c r="K151" s="27">
        <f>IF(EA151&gt;0,"O Google leu como fórmula: escolha de novo ou digite com ' na frente.",IF(LEN($DQ$151)=0,"",IF(NOT(ISNUMBER($R$151)),"Inimigo fora da tabela I1",IF(AND($O$151=1,$DS$151&lt;&gt;"Reação",NOT(ISNUMBER($DY$151))),"Ação especial precisa de recarga de 2 ou 3 Ciclos (28.4)",IF(COUNTIFS($DQ$116:$DQ$153,$DQ$151,$O$116:$O$153,1)&gt;3,"Mais de 3 ações especiais neste inimigo (28.1: de 1 a 3)",IF(AND($DS$151="Especial de dano 1 alvo (até 1,5×)",INDEX($O$11:$O$22,$R$151)="Comum"),"Pico de dano: ocupa a ação do turno (28.4)",""))))))</f>
        <v/>
      </c>
      <c r="N151" s="2">
        <f>IF(AND(LEN($DQ$151)&gt;0,LEN($DS$151)&gt;0),1,0)</f>
        <v/>
      </c>
      <c r="O151" s="2">
        <f>IF(AND($N$151=1,$DS$151&lt;&gt;"Ataque normal"),1,0)</f>
        <v/>
      </c>
      <c r="P151" s="2">
        <f>IF($N$151=1,$DQ$151&amp;"|"&amp;COUNTIFS($DQ$116:$DQ$151,$DQ$151,$N$116:N151,1),"")</f>
        <v/>
      </c>
      <c r="Q151" s="2">
        <f>IF($O$151=1,$DQ$151&amp;"|"&amp;COUNTIFS($DQ$116:$DQ$151,$DQ$151,$O$116:O151,1),"")</f>
        <v/>
      </c>
      <c r="R151" s="2">
        <f>IFERROR(MATCH($DQ$151,$DQ$11:$DQ$22,0),"")</f>
        <v/>
      </c>
      <c r="S151" s="2">
        <f>$F$192</f>
        <v/>
      </c>
      <c r="DQ151" s="2">
        <f>IF(ISERROR($A$151),"",IF(ISBLANK($A$151),"",$A$151))</f>
        <v/>
      </c>
      <c r="DS151" s="2">
        <f>IF(ISERROR($C$151),"",IF(ISBLANK($C$151),"",$C$151))</f>
        <v/>
      </c>
      <c r="DU151" s="2">
        <f>IF(ISERROR($E$151),"",IF(ISBLANK($E$151),"",$E$151))</f>
        <v/>
      </c>
      <c r="DW151" s="2">
        <f>IF(ISERROR($G$151),"",IF(ISBLANK($G$151),"",$G$151))</f>
        <v/>
      </c>
      <c r="DX151" s="2">
        <f>IF(ISERROR($H$151),"",IF(ISBLANK($H$151),"",$H$151))</f>
        <v/>
      </c>
      <c r="DY151" s="2">
        <f>IF(ISERROR($I$151),"",IF(ISBLANK($I$151),"",$I$151))</f>
        <v/>
      </c>
      <c r="DZ151" s="2">
        <f>IF(ISERROR($J$151),"",IF(ISBLANK($J$151),"",$J$151))</f>
        <v/>
      </c>
      <c r="EA151" s="2">
        <f>ISERROR($A$151)*1+ISERROR($C$151)*1+ISERROR($E$151)*1+ISERROR($G$151)*1+ISERROR($H$151)*1+ISERROR($I$151)*1+ISERROR($J$151)*1</f>
        <v/>
      </c>
    </row>
    <row r="152" ht="37" customHeight="1">
      <c r="A152" s="33" t="n"/>
      <c r="B152" s="17" t="n"/>
      <c r="C152" s="4" t="n"/>
      <c r="D152" s="17" t="n"/>
      <c r="E152" s="4" t="n"/>
      <c r="F152" s="17" t="n"/>
      <c r="G152" s="34" t="n"/>
      <c r="H152" s="34" t="n"/>
      <c r="I152" s="16" t="n"/>
      <c r="J152" s="16" t="n"/>
      <c r="K152" s="19">
        <f>IF(EA152&gt;0,"O Google leu como fórmula: escolha de novo ou digite com ' na frente.",IF(LEN($DQ$152)=0,"",IF(NOT(ISNUMBER($R$152)),"Inimigo fora da tabela I1",IF(AND($O$152=1,$DS$152&lt;&gt;"Reação",NOT(ISNUMBER($DY$152))),"Ação especial precisa de recarga de 2 ou 3 Ciclos (28.4)",IF(COUNTIFS($DQ$116:$DQ$153,$DQ$152,$O$116:$O$153,1)&gt;3,"Mais de 3 ações especiais neste inimigo (28.1: de 1 a 3)",IF(AND($DS$152="Especial de dano 1 alvo (até 1,5×)",INDEX($O$11:$O$22,$R$152)="Comum"),"Pico de dano: ocupa a ação do turno (28.4)",""))))))</f>
        <v/>
      </c>
      <c r="N152" s="2">
        <f>IF(AND(LEN($DQ$152)&gt;0,LEN($DS$152)&gt;0),1,0)</f>
        <v/>
      </c>
      <c r="O152" s="2">
        <f>IF(AND($N$152=1,$DS$152&lt;&gt;"Ataque normal"),1,0)</f>
        <v/>
      </c>
      <c r="P152" s="2">
        <f>IF($N$152=1,$DQ$152&amp;"|"&amp;COUNTIFS($DQ$116:$DQ$152,$DQ$152,$N$116:N152,1),"")</f>
        <v/>
      </c>
      <c r="Q152" s="2">
        <f>IF($O$152=1,$DQ$152&amp;"|"&amp;COUNTIFS($DQ$116:$DQ$152,$DQ$152,$O$116:O152,1),"")</f>
        <v/>
      </c>
      <c r="R152" s="2">
        <f>IFERROR(MATCH($DQ$152,$DQ$11:$DQ$22,0),"")</f>
        <v/>
      </c>
      <c r="S152" s="2">
        <f>$F$193</f>
        <v/>
      </c>
      <c r="DQ152" s="2">
        <f>IF(ISERROR($A$152),"",IF(ISBLANK($A$152),"",$A$152))</f>
        <v/>
      </c>
      <c r="DS152" s="2">
        <f>IF(ISERROR($C$152),"",IF(ISBLANK($C$152),"",$C$152))</f>
        <v/>
      </c>
      <c r="DU152" s="2">
        <f>IF(ISERROR($E$152),"",IF(ISBLANK($E$152),"",$E$152))</f>
        <v/>
      </c>
      <c r="DW152" s="2">
        <f>IF(ISERROR($G$152),"",IF(ISBLANK($G$152),"",$G$152))</f>
        <v/>
      </c>
      <c r="DX152" s="2">
        <f>IF(ISERROR($H$152),"",IF(ISBLANK($H$152),"",$H$152))</f>
        <v/>
      </c>
      <c r="DY152" s="2">
        <f>IF(ISERROR($I$152),"",IF(ISBLANK($I$152),"",$I$152))</f>
        <v/>
      </c>
      <c r="DZ152" s="2">
        <f>IF(ISERROR($J$152),"",IF(ISBLANK($J$152),"",$J$152))</f>
        <v/>
      </c>
      <c r="EA152" s="2">
        <f>ISERROR($A$152)*1+ISERROR($C$152)*1+ISERROR($E$152)*1+ISERROR($G$152)*1+ISERROR($H$152)*1+ISERROR($I$152)*1+ISERROR($J$152)*1</f>
        <v/>
      </c>
    </row>
    <row r="153" ht="37" customHeight="1">
      <c r="A153" s="35" t="n"/>
      <c r="B153" s="17" t="n"/>
      <c r="C153" s="29" t="n"/>
      <c r="D153" s="17" t="n"/>
      <c r="E153" s="29" t="n"/>
      <c r="F153" s="17" t="n"/>
      <c r="G153" s="36" t="n"/>
      <c r="H153" s="36" t="n"/>
      <c r="I153" s="37" t="n"/>
      <c r="J153" s="37" t="n"/>
      <c r="K153" s="27">
        <f>IF(EA153&gt;0,"O Google leu como fórmula: escolha de novo ou digite com ' na frente.",IF(LEN($DQ$153)=0,"",IF(NOT(ISNUMBER($R$153)),"Inimigo fora da tabela I1",IF(AND($O$153=1,$DS$153&lt;&gt;"Reação",NOT(ISNUMBER($DY$153))),"Ação especial precisa de recarga de 2 ou 3 Ciclos (28.4)",IF(COUNTIFS($DQ$116:$DQ$153,$DQ$153,$O$116:$O$153,1)&gt;3,"Mais de 3 ações especiais neste inimigo (28.1: de 1 a 3)",IF(AND($DS$153="Especial de dano 1 alvo (até 1,5×)",INDEX($O$11:$O$22,$R$153)="Comum"),"Pico de dano: ocupa a ação do turno (28.4)",""))))))</f>
        <v/>
      </c>
      <c r="N153" s="2">
        <f>IF(AND(LEN($DQ$153)&gt;0,LEN($DS$153)&gt;0),1,0)</f>
        <v/>
      </c>
      <c r="O153" s="2">
        <f>IF(AND($N$153=1,$DS$153&lt;&gt;"Ataque normal"),1,0)</f>
        <v/>
      </c>
      <c r="P153" s="2">
        <f>IF($N$153=1,$DQ$153&amp;"|"&amp;COUNTIFS($DQ$116:$DQ$153,$DQ$153,$N$116:N153,1),"")</f>
        <v/>
      </c>
      <c r="Q153" s="2">
        <f>IF($O$153=1,$DQ$153&amp;"|"&amp;COUNTIFS($DQ$116:$DQ$153,$DQ$153,$O$116:O153,1),"")</f>
        <v/>
      </c>
      <c r="R153" s="2">
        <f>IFERROR(MATCH($DQ$153,$DQ$11:$DQ$22,0),"")</f>
        <v/>
      </c>
      <c r="S153" s="2">
        <f>$F$194</f>
        <v/>
      </c>
      <c r="DQ153" s="2">
        <f>IF(ISERROR($A$153),"",IF(ISBLANK($A$153),"",$A$153))</f>
        <v/>
      </c>
      <c r="DS153" s="2">
        <f>IF(ISERROR($C$153),"",IF(ISBLANK($C$153),"",$C$153))</f>
        <v/>
      </c>
      <c r="DU153" s="2">
        <f>IF(ISERROR($E$153),"",IF(ISBLANK($E$153),"",$E$153))</f>
        <v/>
      </c>
      <c r="DW153" s="2">
        <f>IF(ISERROR($G$153),"",IF(ISBLANK($G$153),"",$G$153))</f>
        <v/>
      </c>
      <c r="DX153" s="2">
        <f>IF(ISERROR($H$153),"",IF(ISBLANK($H$153),"",$H$153))</f>
        <v/>
      </c>
      <c r="DY153" s="2">
        <f>IF(ISERROR($I$153),"",IF(ISBLANK($I$153),"",$I$153))</f>
        <v/>
      </c>
      <c r="DZ153" s="2">
        <f>IF(ISERROR($J$153),"",IF(ISBLANK($J$153),"",$J$153))</f>
        <v/>
      </c>
      <c r="EA153" s="2">
        <f>ISERROR($A$153)*1+ISERROR($C$153)*1+ISERROR($E$153)*1+ISERROR($G$153)*1+ISERROR($H$153)*1+ISERROR($I$153)*1+ISERROR($J$153)*1</f>
        <v/>
      </c>
    </row>
    <row r="154"/>
    <row r="155" ht="20" customHeight="1">
      <c r="A155" s="13" t="inlineStr">
        <is>
          <t>Ações — texto pronto (automático, com o dano e a DT da ficha do inimigo)</t>
        </is>
      </c>
    </row>
    <row r="156" ht="26" customHeight="1">
      <c r="A156" s="8" t="inlineStr">
        <is>
          <t>Ação</t>
        </is>
      </c>
      <c r="B156" s="8" t="inlineStr">
        <is>
          <t>Condição (capítulo 21)</t>
        </is>
      </c>
      <c r="C156" s="20" t="n"/>
      <c r="D156" s="8" t="inlineStr">
        <is>
          <t>Teste de Resistência do alvo</t>
        </is>
      </c>
      <c r="E156" s="20" t="n"/>
      <c r="F156" s="8" t="inlineStr">
        <is>
          <t>Texto pronto</t>
        </is>
      </c>
      <c r="G156" s="20" t="n"/>
      <c r="H156" s="20" t="n"/>
      <c r="I156" s="20" t="n"/>
      <c r="J156" s="20" t="n"/>
      <c r="K156" s="8" t="inlineStr">
        <is>
          <t>Aviso</t>
        </is>
      </c>
      <c r="L156" s="20" t="n"/>
    </row>
    <row r="157" ht="48" customHeight="1">
      <c r="A157" s="31">
        <f>IF(LEN($DQ$116)&gt;0,"1 · "&amp;$DQ$116,"1 · (vazia)")</f>
        <v/>
      </c>
      <c r="B157" s="4" t="n"/>
      <c r="C157" s="17" t="n"/>
      <c r="D157" s="4" t="n"/>
      <c r="E157" s="17" t="n"/>
      <c r="F157" s="5">
        <f>IF(OR(LEN($DQ$116)=0,NOT(ISNUMBER($R$116))),"",IF($DS$116="Ataque normal",IF(LEN($DU$116)&gt;0,$DU$116,"Ação")&amp;" ("&amp;IF(LEN($DW$116)&gt;0,$DW$116,"Pessoal")&amp;", "&amp;IF(LEN($DX$116)&gt;0,$DX$116,"Físico")&amp;"): "&amp;INDEX($W$11:$W$22,$R$116)&amp;" · média "&amp;INDEX($X$11:$X$22,$R$116)&amp;IF(LEN($DR$157)&gt;0,", e o alvo recebe "&amp;$DR$157&amp;" por "&amp;IF(ISNUMBER($DZ$116),$DZ$116,1)&amp;IF(AND(ISNUMBER($DZ$116),$DZ$116&gt;1)," turnos"," turno"),""),IF($DS$116="Especial de dano 1 alvo (até 1,5×)",IF(LEN($DU$116)&gt;0,$DU$116,"Ação")&amp;IF(ISNUMBER($DY$116)," (recarga "&amp;$DY$116&amp;" Ciclos)","")&amp;": um alvo a até Distância "&amp;IF(LEN($DW$116)&gt;0,$DW$116,"Pessoal")&amp;IF(LEN($DT$157)&gt;0," faz "&amp;"Teste de "&amp;$DT$157&amp;" contra DT "&amp;INDEX($Y$11:$Y$22,$R$116)&amp;"; se falhar, recebe "," recebe ")&amp;INDEX($CJ$11:$CJ$22,$R$116)&amp;" · média "&amp;INDEX($CK$11:$CK$22,$R$116)&amp;" de dano "&amp;IF(LEN($DX$116)&gt;0,$DX$116,"Físico")&amp;IF(LEN($DR$157)&gt;0," e "&amp;$DR$157&amp;" por "&amp;IF(ISNUMBER($DZ$116),$DZ$116,1)&amp;IF(AND(ISNUMBER($DZ$116),$DZ$116&gt;1)," turnos"," turno"),"")&amp;".",IF($DS$116="Especial de dano 2–3 alvos (dano cheio por alvo)",IF(LEN($DU$116)&gt;0,$DU$116,"Ação")&amp;IF(ISNUMBER($DY$116)," (recarga "&amp;$DY$116&amp;" Ciclos)","")&amp;": até 3 alvos a até uma Distância um do outro "&amp;IF(LEN($DT$157)&gt;0,"fazem "&amp;"Teste de "&amp;$DT$157&amp;" contra DT "&amp;INDEX($Y$11:$Y$22,$R$116)&amp;". Quem falha recebe "&amp;INDEX($W$11:$W$22,$R$116)&amp;" · média "&amp;INDEX($X$11:$X$22,$R$116)&amp;" de dano "&amp;IF(LEN($DX$116)&gt;0,$DX$116,"Físico")&amp;IF(LEN($DR$157)&gt;0," e "&amp;$DR$157&amp;" por "&amp;IF(ISNUMBER($DZ$116),$DZ$116,1)&amp;IF(AND(ISNUMBER($DZ$116),$DZ$116&gt;1)," turnos"," turno"),"")&amp;"; quem passa recebe metade do dano.","recebem, cada um, "&amp;INDEX($W$11:$W$22,$R$116)&amp;" · média "&amp;INDEX($X$11:$X$22,$R$116)&amp;" de dano "&amp;IF(LEN($DX$116)&gt;0,$DX$116,"Físico")&amp;IF(LEN($DR$157)&gt;0," e "&amp;$DR$157&amp;" por "&amp;IF(ISNUMBER($DZ$116),$DZ$116,1)&amp;IF(AND(ISNUMBER($DZ$116),$DZ$116&gt;1)," turnos"," turno"),"")&amp;"."),IF($DS$116="Especial de controle",IF(LEN($DU$116)&gt;0,$DU$116,"Ação")&amp;IF(ISNUMBER($DY$116)," (recarga "&amp;$DY$116&amp;" Ciclos)","")&amp;": o alvo faz "&amp;IF(LEN($DT$157)&gt;0,"Teste de "&amp;$DT$157&amp;" contra DT "&amp;INDEX($Y$11:$Y$22,$R$116),"Teste de Resistência contra DT "&amp;INDEX($Y$11:$Y$22,$R$116))&amp;"; se falhar, recebe "&amp;IF(LEN($DR$157)&gt;0,$DR$157,"(escolha a condição)")&amp;" por "&amp;IF(ISNUMBER($DZ$116),$DZ$116,1)&amp;IF(AND(ISNUMBER($DZ$116),$DZ$116&gt;1)," turnos"," turno")&amp;".",IF($DS$116="Reação",IF(LEN($DU$116)&gt;0,$DU$116,"Ação")&amp;" (Reação"&amp;IF(ISNUMBER($DY$116),", recarga "&amp;$DY$116&amp;" Ciclos","")&amp;")"&amp;IF(LEN($DR$157)&gt;0,": o alvo faz "&amp;IF(LEN($DT$157)&gt;0,"Teste de "&amp;$DT$157&amp;" contra DT "&amp;INDEX($Y$11:$Y$22,$R$116),"Teste de Resistência contra DT "&amp;INDEX($Y$11:$Y$22,$R$116))&amp;"; se falhar, recebe "&amp;$DR$157&amp;" por "&amp;IF(ISNUMBER($DZ$116),$DZ$116,1)&amp;IF(AND(ISNUMBER($DZ$116),$DZ$116&gt;1)," turnos"," turno")&amp;".","."),""))))))</f>
        <v/>
      </c>
      <c r="K157" s="19">
        <f>IF(EA157&gt;0,"O Google leu como fórmula: escolha de novo na lista.",IF(LEN($DQ$116)=0,"",IF(AND($DS$116="Especial de controle",LEN($DR$157)=0),"Ação de controle aplica uma condição do capítulo 21 (28.4)",IF(AND($DS$116="Especial de controle",LEN($DT$157)=0),"Diga o Teste de Resistência do alvo",IF($DR$157="Congelado","Inimigo não aplica Congelamento em personagem (28.2 regra 9)",IF(AND(LEN($DR$157)&gt;0,COUNTIF('Dados'!$BH$6:$BH$18,$DR$157)=0),"Condição fora do capítulo 21: nada de condição nova (28.4)",""))))))</f>
        <v/>
      </c>
      <c r="DR157" s="2">
        <f>IF(ISERROR($B$157),"",IF(ISBLANK($B$157),"",$B$157))</f>
        <v/>
      </c>
      <c r="DT157" s="2">
        <f>IF(ISERROR($D$157),"",IF(ISBLANK($D$157),"",$D$157))</f>
        <v/>
      </c>
      <c r="EA157" s="2">
        <f>ISERROR($B$157)*1+ISERROR($D$157)*1</f>
        <v/>
      </c>
    </row>
    <row r="158" ht="48" customHeight="1">
      <c r="A158" s="43">
        <f>IF(LEN($DQ$117)&gt;0,"2 · "&amp;$DQ$117,"2 · (vazia)")</f>
        <v/>
      </c>
      <c r="B158" s="29" t="n"/>
      <c r="C158" s="17" t="n"/>
      <c r="D158" s="29" t="n"/>
      <c r="E158" s="17" t="n"/>
      <c r="F158" s="10">
        <f>IF(OR(LEN($DQ$117)=0,NOT(ISNUMBER($R$117))),"",IF($DS$117="Ataque normal",IF(LEN($DU$117)&gt;0,$DU$117,"Ação")&amp;" ("&amp;IF(LEN($DW$117)&gt;0,$DW$117,"Pessoal")&amp;", "&amp;IF(LEN($DX$117)&gt;0,$DX$117,"Físico")&amp;"): "&amp;INDEX($W$11:$W$22,$R$117)&amp;" · média "&amp;INDEX($X$11:$X$22,$R$117)&amp;IF(LEN($DR$158)&gt;0,", e o alvo recebe "&amp;$DR$158&amp;" por "&amp;IF(ISNUMBER($DZ$117),$DZ$117,1)&amp;IF(AND(ISNUMBER($DZ$117),$DZ$117&gt;1)," turnos"," turno"),""),IF($DS$117="Especial de dano 1 alvo (até 1,5×)",IF(LEN($DU$117)&gt;0,$DU$117,"Ação")&amp;IF(ISNUMBER($DY$117)," (recarga "&amp;$DY$117&amp;" Ciclos)","")&amp;": um alvo a até Distância "&amp;IF(LEN($DW$117)&gt;0,$DW$117,"Pessoal")&amp;IF(LEN($DT$158)&gt;0," faz "&amp;"Teste de "&amp;$DT$158&amp;" contra DT "&amp;INDEX($Y$11:$Y$22,$R$117)&amp;"; se falhar, recebe "," recebe ")&amp;INDEX($CJ$11:$CJ$22,$R$117)&amp;" · média "&amp;INDEX($CK$11:$CK$22,$R$117)&amp;" de dano "&amp;IF(LEN($DX$117)&gt;0,$DX$117,"Físico")&amp;IF(LEN($DR$158)&gt;0," e "&amp;$DR$158&amp;" por "&amp;IF(ISNUMBER($DZ$117),$DZ$117,1)&amp;IF(AND(ISNUMBER($DZ$117),$DZ$117&gt;1)," turnos"," turno"),"")&amp;".",IF($DS$117="Especial de dano 2–3 alvos (dano cheio por alvo)",IF(LEN($DU$117)&gt;0,$DU$117,"Ação")&amp;IF(ISNUMBER($DY$117)," (recarga "&amp;$DY$117&amp;" Ciclos)","")&amp;": até 3 alvos a até uma Distância um do outro "&amp;IF(LEN($DT$158)&gt;0,"fazem "&amp;"Teste de "&amp;$DT$158&amp;" contra DT "&amp;INDEX($Y$11:$Y$22,$R$117)&amp;". Quem falha recebe "&amp;INDEX($W$11:$W$22,$R$117)&amp;" · média "&amp;INDEX($X$11:$X$22,$R$117)&amp;" de dano "&amp;IF(LEN($DX$117)&gt;0,$DX$117,"Físico")&amp;IF(LEN($DR$158)&gt;0," e "&amp;$DR$158&amp;" por "&amp;IF(ISNUMBER($DZ$117),$DZ$117,1)&amp;IF(AND(ISNUMBER($DZ$117),$DZ$117&gt;1)," turnos"," turno"),"")&amp;"; quem passa recebe metade do dano.","recebem, cada um, "&amp;INDEX($W$11:$W$22,$R$117)&amp;" · média "&amp;INDEX($X$11:$X$22,$R$117)&amp;" de dano "&amp;IF(LEN($DX$117)&gt;0,$DX$117,"Físico")&amp;IF(LEN($DR$158)&gt;0," e "&amp;$DR$158&amp;" por "&amp;IF(ISNUMBER($DZ$117),$DZ$117,1)&amp;IF(AND(ISNUMBER($DZ$117),$DZ$117&gt;1)," turnos"," turno"),"")&amp;"."),IF($DS$117="Especial de controle",IF(LEN($DU$117)&gt;0,$DU$117,"Ação")&amp;IF(ISNUMBER($DY$117)," (recarga "&amp;$DY$117&amp;" Ciclos)","")&amp;": o alvo faz "&amp;IF(LEN($DT$158)&gt;0,"Teste de "&amp;$DT$158&amp;" contra DT "&amp;INDEX($Y$11:$Y$22,$R$117),"Teste de Resistência contra DT "&amp;INDEX($Y$11:$Y$22,$R$117))&amp;"; se falhar, recebe "&amp;IF(LEN($DR$158)&gt;0,$DR$158,"(escolha a condição)")&amp;" por "&amp;IF(ISNUMBER($DZ$117),$DZ$117,1)&amp;IF(AND(ISNUMBER($DZ$117),$DZ$117&gt;1)," turnos"," turno")&amp;".",IF($DS$117="Reação",IF(LEN($DU$117)&gt;0,$DU$117,"Ação")&amp;" (Reação"&amp;IF(ISNUMBER($DY$117),", recarga "&amp;$DY$117&amp;" Ciclos","")&amp;")"&amp;IF(LEN($DR$158)&gt;0,": o alvo faz "&amp;IF(LEN($DT$158)&gt;0,"Teste de "&amp;$DT$158&amp;" contra DT "&amp;INDEX($Y$11:$Y$22,$R$117),"Teste de Resistência contra DT "&amp;INDEX($Y$11:$Y$22,$R$117))&amp;"; se falhar, recebe "&amp;$DR$158&amp;" por "&amp;IF(ISNUMBER($DZ$117),$DZ$117,1)&amp;IF(AND(ISNUMBER($DZ$117),$DZ$117&gt;1)," turnos"," turno")&amp;".","."),""))))))</f>
        <v/>
      </c>
      <c r="K158" s="27">
        <f>IF(EA158&gt;0,"O Google leu como fórmula: escolha de novo na lista.",IF(LEN($DQ$117)=0,"",IF(AND($DS$117="Especial de controle",LEN($DR$158)=0),"Ação de controle aplica uma condição do capítulo 21 (28.4)",IF(AND($DS$117="Especial de controle",LEN($DT$158)=0),"Diga o Teste de Resistência do alvo",IF($DR$158="Congelado","Inimigo não aplica Congelamento em personagem (28.2 regra 9)",IF(AND(LEN($DR$158)&gt;0,COUNTIF('Dados'!$BH$6:$BH$18,$DR$158)=0),"Condição fora do capítulo 21: nada de condição nova (28.4)",""))))))</f>
        <v/>
      </c>
      <c r="DR158" s="2">
        <f>IF(ISERROR($B$158),"",IF(ISBLANK($B$158),"",$B$158))</f>
        <v/>
      </c>
      <c r="DT158" s="2">
        <f>IF(ISERROR($D$158),"",IF(ISBLANK($D$158),"",$D$158))</f>
        <v/>
      </c>
      <c r="EA158" s="2">
        <f>ISERROR($B$158)*1+ISERROR($D$158)*1</f>
        <v/>
      </c>
    </row>
    <row r="159" ht="48" customHeight="1">
      <c r="A159" s="31">
        <f>IF(LEN($DQ$118)&gt;0,"3 · "&amp;$DQ$118,"3 · (vazia)")</f>
        <v/>
      </c>
      <c r="B159" s="4" t="n"/>
      <c r="C159" s="17" t="n"/>
      <c r="D159" s="4" t="n"/>
      <c r="E159" s="17" t="n"/>
      <c r="F159" s="5">
        <f>IF(OR(LEN($DQ$118)=0,NOT(ISNUMBER($R$118))),"",IF($DS$118="Ataque normal",IF(LEN($DU$118)&gt;0,$DU$118,"Ação")&amp;" ("&amp;IF(LEN($DW$118)&gt;0,$DW$118,"Pessoal")&amp;", "&amp;IF(LEN($DX$118)&gt;0,$DX$118,"Físico")&amp;"): "&amp;INDEX($W$11:$W$22,$R$118)&amp;" · média "&amp;INDEX($X$11:$X$22,$R$118)&amp;IF(LEN($DR$159)&gt;0,", e o alvo recebe "&amp;$DR$159&amp;" por "&amp;IF(ISNUMBER($DZ$118),$DZ$118,1)&amp;IF(AND(ISNUMBER($DZ$118),$DZ$118&gt;1)," turnos"," turno"),""),IF($DS$118="Especial de dano 1 alvo (até 1,5×)",IF(LEN($DU$118)&gt;0,$DU$118,"Ação")&amp;IF(ISNUMBER($DY$118)," (recarga "&amp;$DY$118&amp;" Ciclos)","")&amp;": um alvo a até Distância "&amp;IF(LEN($DW$118)&gt;0,$DW$118,"Pessoal")&amp;IF(LEN($DT$159)&gt;0," faz "&amp;"Teste de "&amp;$DT$159&amp;" contra DT "&amp;INDEX($Y$11:$Y$22,$R$118)&amp;"; se falhar, recebe "," recebe ")&amp;INDEX($CJ$11:$CJ$22,$R$118)&amp;" · média "&amp;INDEX($CK$11:$CK$22,$R$118)&amp;" de dano "&amp;IF(LEN($DX$118)&gt;0,$DX$118,"Físico")&amp;IF(LEN($DR$159)&gt;0," e "&amp;$DR$159&amp;" por "&amp;IF(ISNUMBER($DZ$118),$DZ$118,1)&amp;IF(AND(ISNUMBER($DZ$118),$DZ$118&gt;1)," turnos"," turno"),"")&amp;".",IF($DS$118="Especial de dano 2–3 alvos (dano cheio por alvo)",IF(LEN($DU$118)&gt;0,$DU$118,"Ação")&amp;IF(ISNUMBER($DY$118)," (recarga "&amp;$DY$118&amp;" Ciclos)","")&amp;": até 3 alvos a até uma Distância um do outro "&amp;IF(LEN($DT$159)&gt;0,"fazem "&amp;"Teste de "&amp;$DT$159&amp;" contra DT "&amp;INDEX($Y$11:$Y$22,$R$118)&amp;". Quem falha recebe "&amp;INDEX($W$11:$W$22,$R$118)&amp;" · média "&amp;INDEX($X$11:$X$22,$R$118)&amp;" de dano "&amp;IF(LEN($DX$118)&gt;0,$DX$118,"Físico")&amp;IF(LEN($DR$159)&gt;0," e "&amp;$DR$159&amp;" por "&amp;IF(ISNUMBER($DZ$118),$DZ$118,1)&amp;IF(AND(ISNUMBER($DZ$118),$DZ$118&gt;1)," turnos"," turno"),"")&amp;"; quem passa recebe metade do dano.","recebem, cada um, "&amp;INDEX($W$11:$W$22,$R$118)&amp;" · média "&amp;INDEX($X$11:$X$22,$R$118)&amp;" de dano "&amp;IF(LEN($DX$118)&gt;0,$DX$118,"Físico")&amp;IF(LEN($DR$159)&gt;0," e "&amp;$DR$159&amp;" por "&amp;IF(ISNUMBER($DZ$118),$DZ$118,1)&amp;IF(AND(ISNUMBER($DZ$118),$DZ$118&gt;1)," turnos"," turno"),"")&amp;"."),IF($DS$118="Especial de controle",IF(LEN($DU$118)&gt;0,$DU$118,"Ação")&amp;IF(ISNUMBER($DY$118)," (recarga "&amp;$DY$118&amp;" Ciclos)","")&amp;": o alvo faz "&amp;IF(LEN($DT$159)&gt;0,"Teste de "&amp;$DT$159&amp;" contra DT "&amp;INDEX($Y$11:$Y$22,$R$118),"Teste de Resistência contra DT "&amp;INDEX($Y$11:$Y$22,$R$118))&amp;"; se falhar, recebe "&amp;IF(LEN($DR$159)&gt;0,$DR$159,"(escolha a condição)")&amp;" por "&amp;IF(ISNUMBER($DZ$118),$DZ$118,1)&amp;IF(AND(ISNUMBER($DZ$118),$DZ$118&gt;1)," turnos"," turno")&amp;".",IF($DS$118="Reação",IF(LEN($DU$118)&gt;0,$DU$118,"Ação")&amp;" (Reação"&amp;IF(ISNUMBER($DY$118),", recarga "&amp;$DY$118&amp;" Ciclos","")&amp;")"&amp;IF(LEN($DR$159)&gt;0,": o alvo faz "&amp;IF(LEN($DT$159)&gt;0,"Teste de "&amp;$DT$159&amp;" contra DT "&amp;INDEX($Y$11:$Y$22,$R$118),"Teste de Resistência contra DT "&amp;INDEX($Y$11:$Y$22,$R$118))&amp;"; se falhar, recebe "&amp;$DR$159&amp;" por "&amp;IF(ISNUMBER($DZ$118),$DZ$118,1)&amp;IF(AND(ISNUMBER($DZ$118),$DZ$118&gt;1)," turnos"," turno")&amp;".","."),""))))))</f>
        <v/>
      </c>
      <c r="K159" s="19">
        <f>IF(EA159&gt;0,"O Google leu como fórmula: escolha de novo na lista.",IF(LEN($DQ$118)=0,"",IF(AND($DS$118="Especial de controle",LEN($DR$159)=0),"Ação de controle aplica uma condição do capítulo 21 (28.4)",IF(AND($DS$118="Especial de controle",LEN($DT$159)=0),"Diga o Teste de Resistência do alvo",IF($DR$159="Congelado","Inimigo não aplica Congelamento em personagem (28.2 regra 9)",IF(AND(LEN($DR$159)&gt;0,COUNTIF('Dados'!$BH$6:$BH$18,$DR$159)=0),"Condição fora do capítulo 21: nada de condição nova (28.4)",""))))))</f>
        <v/>
      </c>
      <c r="DR159" s="2">
        <f>IF(ISERROR($B$159),"",IF(ISBLANK($B$159),"",$B$159))</f>
        <v/>
      </c>
      <c r="DT159" s="2">
        <f>IF(ISERROR($D$159),"",IF(ISBLANK($D$159),"",$D$159))</f>
        <v/>
      </c>
      <c r="EA159" s="2">
        <f>ISERROR($B$159)*1+ISERROR($D$159)*1</f>
        <v/>
      </c>
    </row>
    <row r="160" ht="48" customHeight="1">
      <c r="A160" s="43">
        <f>IF(LEN($DQ$119)&gt;0,"4 · "&amp;$DQ$119,"4 · (vazia)")</f>
        <v/>
      </c>
      <c r="B160" s="29" t="n"/>
      <c r="C160" s="17" t="n"/>
      <c r="D160" s="29" t="n"/>
      <c r="E160" s="17" t="n"/>
      <c r="F160" s="10">
        <f>IF(OR(LEN($DQ$119)=0,NOT(ISNUMBER($R$119))),"",IF($DS$119="Ataque normal",IF(LEN($DU$119)&gt;0,$DU$119,"Ação")&amp;" ("&amp;IF(LEN($DW$119)&gt;0,$DW$119,"Pessoal")&amp;", "&amp;IF(LEN($DX$119)&gt;0,$DX$119,"Físico")&amp;"): "&amp;INDEX($W$11:$W$22,$R$119)&amp;" · média "&amp;INDEX($X$11:$X$22,$R$119)&amp;IF(LEN($DR$160)&gt;0,", e o alvo recebe "&amp;$DR$160&amp;" por "&amp;IF(ISNUMBER($DZ$119),$DZ$119,1)&amp;IF(AND(ISNUMBER($DZ$119),$DZ$119&gt;1)," turnos"," turno"),""),IF($DS$119="Especial de dano 1 alvo (até 1,5×)",IF(LEN($DU$119)&gt;0,$DU$119,"Ação")&amp;IF(ISNUMBER($DY$119)," (recarga "&amp;$DY$119&amp;" Ciclos)","")&amp;": um alvo a até Distância "&amp;IF(LEN($DW$119)&gt;0,$DW$119,"Pessoal")&amp;IF(LEN($DT$160)&gt;0," faz "&amp;"Teste de "&amp;$DT$160&amp;" contra DT "&amp;INDEX($Y$11:$Y$22,$R$119)&amp;"; se falhar, recebe "," recebe ")&amp;INDEX($CJ$11:$CJ$22,$R$119)&amp;" · média "&amp;INDEX($CK$11:$CK$22,$R$119)&amp;" de dano "&amp;IF(LEN($DX$119)&gt;0,$DX$119,"Físico")&amp;IF(LEN($DR$160)&gt;0," e "&amp;$DR$160&amp;" por "&amp;IF(ISNUMBER($DZ$119),$DZ$119,1)&amp;IF(AND(ISNUMBER($DZ$119),$DZ$119&gt;1)," turnos"," turno"),"")&amp;".",IF($DS$119="Especial de dano 2–3 alvos (dano cheio por alvo)",IF(LEN($DU$119)&gt;0,$DU$119,"Ação")&amp;IF(ISNUMBER($DY$119)," (recarga "&amp;$DY$119&amp;" Ciclos)","")&amp;": até 3 alvos a até uma Distância um do outro "&amp;IF(LEN($DT$160)&gt;0,"fazem "&amp;"Teste de "&amp;$DT$160&amp;" contra DT "&amp;INDEX($Y$11:$Y$22,$R$119)&amp;". Quem falha recebe "&amp;INDEX($W$11:$W$22,$R$119)&amp;" · média "&amp;INDEX($X$11:$X$22,$R$119)&amp;" de dano "&amp;IF(LEN($DX$119)&gt;0,$DX$119,"Físico")&amp;IF(LEN($DR$160)&gt;0," e "&amp;$DR$160&amp;" por "&amp;IF(ISNUMBER($DZ$119),$DZ$119,1)&amp;IF(AND(ISNUMBER($DZ$119),$DZ$119&gt;1)," turnos"," turno"),"")&amp;"; quem passa recebe metade do dano.","recebem, cada um, "&amp;INDEX($W$11:$W$22,$R$119)&amp;" · média "&amp;INDEX($X$11:$X$22,$R$119)&amp;" de dano "&amp;IF(LEN($DX$119)&gt;0,$DX$119,"Físico")&amp;IF(LEN($DR$160)&gt;0," e "&amp;$DR$160&amp;" por "&amp;IF(ISNUMBER($DZ$119),$DZ$119,1)&amp;IF(AND(ISNUMBER($DZ$119),$DZ$119&gt;1)," turnos"," turno"),"")&amp;"."),IF($DS$119="Especial de controle",IF(LEN($DU$119)&gt;0,$DU$119,"Ação")&amp;IF(ISNUMBER($DY$119)," (recarga "&amp;$DY$119&amp;" Ciclos)","")&amp;": o alvo faz "&amp;IF(LEN($DT$160)&gt;0,"Teste de "&amp;$DT$160&amp;" contra DT "&amp;INDEX($Y$11:$Y$22,$R$119),"Teste de Resistência contra DT "&amp;INDEX($Y$11:$Y$22,$R$119))&amp;"; se falhar, recebe "&amp;IF(LEN($DR$160)&gt;0,$DR$160,"(escolha a condição)")&amp;" por "&amp;IF(ISNUMBER($DZ$119),$DZ$119,1)&amp;IF(AND(ISNUMBER($DZ$119),$DZ$119&gt;1)," turnos"," turno")&amp;".",IF($DS$119="Reação",IF(LEN($DU$119)&gt;0,$DU$119,"Ação")&amp;" (Reação"&amp;IF(ISNUMBER($DY$119),", recarga "&amp;$DY$119&amp;" Ciclos","")&amp;")"&amp;IF(LEN($DR$160)&gt;0,": o alvo faz "&amp;IF(LEN($DT$160)&gt;0,"Teste de "&amp;$DT$160&amp;" contra DT "&amp;INDEX($Y$11:$Y$22,$R$119),"Teste de Resistência contra DT "&amp;INDEX($Y$11:$Y$22,$R$119))&amp;"; se falhar, recebe "&amp;$DR$160&amp;" por "&amp;IF(ISNUMBER($DZ$119),$DZ$119,1)&amp;IF(AND(ISNUMBER($DZ$119),$DZ$119&gt;1)," turnos"," turno")&amp;".","."),""))))))</f>
        <v/>
      </c>
      <c r="K160" s="27">
        <f>IF(EA160&gt;0,"O Google leu como fórmula: escolha de novo na lista.",IF(LEN($DQ$119)=0,"",IF(AND($DS$119="Especial de controle",LEN($DR$160)=0),"Ação de controle aplica uma condição do capítulo 21 (28.4)",IF(AND($DS$119="Especial de controle",LEN($DT$160)=0),"Diga o Teste de Resistência do alvo",IF($DR$160="Congelado","Inimigo não aplica Congelamento em personagem (28.2 regra 9)",IF(AND(LEN($DR$160)&gt;0,COUNTIF('Dados'!$BH$6:$BH$18,$DR$160)=0),"Condição fora do capítulo 21: nada de condição nova (28.4)",""))))))</f>
        <v/>
      </c>
      <c r="DR160" s="2">
        <f>IF(ISERROR($B$160),"",IF(ISBLANK($B$160),"",$B$160))</f>
        <v/>
      </c>
      <c r="DT160" s="2">
        <f>IF(ISERROR($D$160),"",IF(ISBLANK($D$160),"",$D$160))</f>
        <v/>
      </c>
      <c r="EA160" s="2">
        <f>ISERROR($B$160)*1+ISERROR($D$160)*1</f>
        <v/>
      </c>
    </row>
    <row r="161" ht="48" customHeight="1">
      <c r="A161" s="31">
        <f>IF(LEN($DQ$120)&gt;0,"5 · "&amp;$DQ$120,"5 · (vazia)")</f>
        <v/>
      </c>
      <c r="B161" s="4" t="n"/>
      <c r="C161" s="17" t="n"/>
      <c r="D161" s="4" t="n"/>
      <c r="E161" s="17" t="n"/>
      <c r="F161" s="5">
        <f>IF(OR(LEN($DQ$120)=0,NOT(ISNUMBER($R$120))),"",IF($DS$120="Ataque normal",IF(LEN($DU$120)&gt;0,$DU$120,"Ação")&amp;" ("&amp;IF(LEN($DW$120)&gt;0,$DW$120,"Pessoal")&amp;", "&amp;IF(LEN($DX$120)&gt;0,$DX$120,"Físico")&amp;"): "&amp;INDEX($W$11:$W$22,$R$120)&amp;" · média "&amp;INDEX($X$11:$X$22,$R$120)&amp;IF(LEN($DR$161)&gt;0,", e o alvo recebe "&amp;$DR$161&amp;" por "&amp;IF(ISNUMBER($DZ$120),$DZ$120,1)&amp;IF(AND(ISNUMBER($DZ$120),$DZ$120&gt;1)," turnos"," turno"),""),IF($DS$120="Especial de dano 1 alvo (até 1,5×)",IF(LEN($DU$120)&gt;0,$DU$120,"Ação")&amp;IF(ISNUMBER($DY$120)," (recarga "&amp;$DY$120&amp;" Ciclos)","")&amp;": um alvo a até Distância "&amp;IF(LEN($DW$120)&gt;0,$DW$120,"Pessoal")&amp;IF(LEN($DT$161)&gt;0," faz "&amp;"Teste de "&amp;$DT$161&amp;" contra DT "&amp;INDEX($Y$11:$Y$22,$R$120)&amp;"; se falhar, recebe "," recebe ")&amp;INDEX($CJ$11:$CJ$22,$R$120)&amp;" · média "&amp;INDEX($CK$11:$CK$22,$R$120)&amp;" de dano "&amp;IF(LEN($DX$120)&gt;0,$DX$120,"Físico")&amp;IF(LEN($DR$161)&gt;0," e "&amp;$DR$161&amp;" por "&amp;IF(ISNUMBER($DZ$120),$DZ$120,1)&amp;IF(AND(ISNUMBER($DZ$120),$DZ$120&gt;1)," turnos"," turno"),"")&amp;".",IF($DS$120="Especial de dano 2–3 alvos (dano cheio por alvo)",IF(LEN($DU$120)&gt;0,$DU$120,"Ação")&amp;IF(ISNUMBER($DY$120)," (recarga "&amp;$DY$120&amp;" Ciclos)","")&amp;": até 3 alvos a até uma Distância um do outro "&amp;IF(LEN($DT$161)&gt;0,"fazem "&amp;"Teste de "&amp;$DT$161&amp;" contra DT "&amp;INDEX($Y$11:$Y$22,$R$120)&amp;". Quem falha recebe "&amp;INDEX($W$11:$W$22,$R$120)&amp;" · média "&amp;INDEX($X$11:$X$22,$R$120)&amp;" de dano "&amp;IF(LEN($DX$120)&gt;0,$DX$120,"Físico")&amp;IF(LEN($DR$161)&gt;0," e "&amp;$DR$161&amp;" por "&amp;IF(ISNUMBER($DZ$120),$DZ$120,1)&amp;IF(AND(ISNUMBER($DZ$120),$DZ$120&gt;1)," turnos"," turno"),"")&amp;"; quem passa recebe metade do dano.","recebem, cada um, "&amp;INDEX($W$11:$W$22,$R$120)&amp;" · média "&amp;INDEX($X$11:$X$22,$R$120)&amp;" de dano "&amp;IF(LEN($DX$120)&gt;0,$DX$120,"Físico")&amp;IF(LEN($DR$161)&gt;0," e "&amp;$DR$161&amp;" por "&amp;IF(ISNUMBER($DZ$120),$DZ$120,1)&amp;IF(AND(ISNUMBER($DZ$120),$DZ$120&gt;1)," turnos"," turno"),"")&amp;"."),IF($DS$120="Especial de controle",IF(LEN($DU$120)&gt;0,$DU$120,"Ação")&amp;IF(ISNUMBER($DY$120)," (recarga "&amp;$DY$120&amp;" Ciclos)","")&amp;": o alvo faz "&amp;IF(LEN($DT$161)&gt;0,"Teste de "&amp;$DT$161&amp;" contra DT "&amp;INDEX($Y$11:$Y$22,$R$120),"Teste de Resistência contra DT "&amp;INDEX($Y$11:$Y$22,$R$120))&amp;"; se falhar, recebe "&amp;IF(LEN($DR$161)&gt;0,$DR$161,"(escolha a condição)")&amp;" por "&amp;IF(ISNUMBER($DZ$120),$DZ$120,1)&amp;IF(AND(ISNUMBER($DZ$120),$DZ$120&gt;1)," turnos"," turno")&amp;".",IF($DS$120="Reação",IF(LEN($DU$120)&gt;0,$DU$120,"Ação")&amp;" (Reação"&amp;IF(ISNUMBER($DY$120),", recarga "&amp;$DY$120&amp;" Ciclos","")&amp;")"&amp;IF(LEN($DR$161)&gt;0,": o alvo faz "&amp;IF(LEN($DT$161)&gt;0,"Teste de "&amp;$DT$161&amp;" contra DT "&amp;INDEX($Y$11:$Y$22,$R$120),"Teste de Resistência contra DT "&amp;INDEX($Y$11:$Y$22,$R$120))&amp;"; se falhar, recebe "&amp;$DR$161&amp;" por "&amp;IF(ISNUMBER($DZ$120),$DZ$120,1)&amp;IF(AND(ISNUMBER($DZ$120),$DZ$120&gt;1)," turnos"," turno")&amp;".","."),""))))))</f>
        <v/>
      </c>
      <c r="K161" s="19">
        <f>IF(EA161&gt;0,"O Google leu como fórmula: escolha de novo na lista.",IF(LEN($DQ$120)=0,"",IF(AND($DS$120="Especial de controle",LEN($DR$161)=0),"Ação de controle aplica uma condição do capítulo 21 (28.4)",IF(AND($DS$120="Especial de controle",LEN($DT$161)=0),"Diga o Teste de Resistência do alvo",IF($DR$161="Congelado","Inimigo não aplica Congelamento em personagem (28.2 regra 9)",IF(AND(LEN($DR$161)&gt;0,COUNTIF('Dados'!$BH$6:$BH$18,$DR$161)=0),"Condição fora do capítulo 21: nada de condição nova (28.4)",""))))))</f>
        <v/>
      </c>
      <c r="DR161" s="2">
        <f>IF(ISERROR($B$161),"",IF(ISBLANK($B$161),"",$B$161))</f>
        <v/>
      </c>
      <c r="DT161" s="2">
        <f>IF(ISERROR($D$161),"",IF(ISBLANK($D$161),"",$D$161))</f>
        <v/>
      </c>
      <c r="EA161" s="2">
        <f>ISERROR($B$161)*1+ISERROR($D$161)*1</f>
        <v/>
      </c>
    </row>
    <row r="162" ht="48" customHeight="1">
      <c r="A162" s="43">
        <f>IF(LEN($DQ$121)&gt;0,"6 · "&amp;$DQ$121,"6 · (vazia)")</f>
        <v/>
      </c>
      <c r="B162" s="29" t="n"/>
      <c r="C162" s="17" t="n"/>
      <c r="D162" s="29" t="n"/>
      <c r="E162" s="17" t="n"/>
      <c r="F162" s="10">
        <f>IF(OR(LEN($DQ$121)=0,NOT(ISNUMBER($R$121))),"",IF($DS$121="Ataque normal",IF(LEN($DU$121)&gt;0,$DU$121,"Ação")&amp;" ("&amp;IF(LEN($DW$121)&gt;0,$DW$121,"Pessoal")&amp;", "&amp;IF(LEN($DX$121)&gt;0,$DX$121,"Físico")&amp;"): "&amp;INDEX($W$11:$W$22,$R$121)&amp;" · média "&amp;INDEX($X$11:$X$22,$R$121)&amp;IF(LEN($DR$162)&gt;0,", e o alvo recebe "&amp;$DR$162&amp;" por "&amp;IF(ISNUMBER($DZ$121),$DZ$121,1)&amp;IF(AND(ISNUMBER($DZ$121),$DZ$121&gt;1)," turnos"," turno"),""),IF($DS$121="Especial de dano 1 alvo (até 1,5×)",IF(LEN($DU$121)&gt;0,$DU$121,"Ação")&amp;IF(ISNUMBER($DY$121)," (recarga "&amp;$DY$121&amp;" Ciclos)","")&amp;": um alvo a até Distância "&amp;IF(LEN($DW$121)&gt;0,$DW$121,"Pessoal")&amp;IF(LEN($DT$162)&gt;0," faz "&amp;"Teste de "&amp;$DT$162&amp;" contra DT "&amp;INDEX($Y$11:$Y$22,$R$121)&amp;"; se falhar, recebe "," recebe ")&amp;INDEX($CJ$11:$CJ$22,$R$121)&amp;" · média "&amp;INDEX($CK$11:$CK$22,$R$121)&amp;" de dano "&amp;IF(LEN($DX$121)&gt;0,$DX$121,"Físico")&amp;IF(LEN($DR$162)&gt;0," e "&amp;$DR$162&amp;" por "&amp;IF(ISNUMBER($DZ$121),$DZ$121,1)&amp;IF(AND(ISNUMBER($DZ$121),$DZ$121&gt;1)," turnos"," turno"),"")&amp;".",IF($DS$121="Especial de dano 2–3 alvos (dano cheio por alvo)",IF(LEN($DU$121)&gt;0,$DU$121,"Ação")&amp;IF(ISNUMBER($DY$121)," (recarga "&amp;$DY$121&amp;" Ciclos)","")&amp;": até 3 alvos a até uma Distância um do outro "&amp;IF(LEN($DT$162)&gt;0,"fazem "&amp;"Teste de "&amp;$DT$162&amp;" contra DT "&amp;INDEX($Y$11:$Y$22,$R$121)&amp;". Quem falha recebe "&amp;INDEX($W$11:$W$22,$R$121)&amp;" · média "&amp;INDEX($X$11:$X$22,$R$121)&amp;" de dano "&amp;IF(LEN($DX$121)&gt;0,$DX$121,"Físico")&amp;IF(LEN($DR$162)&gt;0," e "&amp;$DR$162&amp;" por "&amp;IF(ISNUMBER($DZ$121),$DZ$121,1)&amp;IF(AND(ISNUMBER($DZ$121),$DZ$121&gt;1)," turnos"," turno"),"")&amp;"; quem passa recebe metade do dano.","recebem, cada um, "&amp;INDEX($W$11:$W$22,$R$121)&amp;" · média "&amp;INDEX($X$11:$X$22,$R$121)&amp;" de dano "&amp;IF(LEN($DX$121)&gt;0,$DX$121,"Físico")&amp;IF(LEN($DR$162)&gt;0," e "&amp;$DR$162&amp;" por "&amp;IF(ISNUMBER($DZ$121),$DZ$121,1)&amp;IF(AND(ISNUMBER($DZ$121),$DZ$121&gt;1)," turnos"," turno"),"")&amp;"."),IF($DS$121="Especial de controle",IF(LEN($DU$121)&gt;0,$DU$121,"Ação")&amp;IF(ISNUMBER($DY$121)," (recarga "&amp;$DY$121&amp;" Ciclos)","")&amp;": o alvo faz "&amp;IF(LEN($DT$162)&gt;0,"Teste de "&amp;$DT$162&amp;" contra DT "&amp;INDEX($Y$11:$Y$22,$R$121),"Teste de Resistência contra DT "&amp;INDEX($Y$11:$Y$22,$R$121))&amp;"; se falhar, recebe "&amp;IF(LEN($DR$162)&gt;0,$DR$162,"(escolha a condição)")&amp;" por "&amp;IF(ISNUMBER($DZ$121),$DZ$121,1)&amp;IF(AND(ISNUMBER($DZ$121),$DZ$121&gt;1)," turnos"," turno")&amp;".",IF($DS$121="Reação",IF(LEN($DU$121)&gt;0,$DU$121,"Ação")&amp;" (Reação"&amp;IF(ISNUMBER($DY$121),", recarga "&amp;$DY$121&amp;" Ciclos","")&amp;")"&amp;IF(LEN($DR$162)&gt;0,": o alvo faz "&amp;IF(LEN($DT$162)&gt;0,"Teste de "&amp;$DT$162&amp;" contra DT "&amp;INDEX($Y$11:$Y$22,$R$121),"Teste de Resistência contra DT "&amp;INDEX($Y$11:$Y$22,$R$121))&amp;"; se falhar, recebe "&amp;$DR$162&amp;" por "&amp;IF(ISNUMBER($DZ$121),$DZ$121,1)&amp;IF(AND(ISNUMBER($DZ$121),$DZ$121&gt;1)," turnos"," turno")&amp;".","."),""))))))</f>
        <v/>
      </c>
      <c r="K162" s="27">
        <f>IF(EA162&gt;0,"O Google leu como fórmula: escolha de novo na lista.",IF(LEN($DQ$121)=0,"",IF(AND($DS$121="Especial de controle",LEN($DR$162)=0),"Ação de controle aplica uma condição do capítulo 21 (28.4)",IF(AND($DS$121="Especial de controle",LEN($DT$162)=0),"Diga o Teste de Resistência do alvo",IF($DR$162="Congelado","Inimigo não aplica Congelamento em personagem (28.2 regra 9)",IF(AND(LEN($DR$162)&gt;0,COUNTIF('Dados'!$BH$6:$BH$18,$DR$162)=0),"Condição fora do capítulo 21: nada de condição nova (28.4)",""))))))</f>
        <v/>
      </c>
      <c r="DR162" s="2">
        <f>IF(ISERROR($B$162),"",IF(ISBLANK($B$162),"",$B$162))</f>
        <v/>
      </c>
      <c r="DT162" s="2">
        <f>IF(ISERROR($D$162),"",IF(ISBLANK($D$162),"",$D$162))</f>
        <v/>
      </c>
      <c r="EA162" s="2">
        <f>ISERROR($B$162)*1+ISERROR($D$162)*1</f>
        <v/>
      </c>
    </row>
    <row r="163" ht="48" customHeight="1">
      <c r="A163" s="31">
        <f>IF(LEN($DQ$122)&gt;0,"7 · "&amp;$DQ$122,"7 · (vazia)")</f>
        <v/>
      </c>
      <c r="B163" s="4" t="n"/>
      <c r="C163" s="17" t="n"/>
      <c r="D163" s="4" t="n"/>
      <c r="E163" s="17" t="n"/>
      <c r="F163" s="5">
        <f>IF(OR(LEN($DQ$122)=0,NOT(ISNUMBER($R$122))),"",IF($DS$122="Ataque normal",IF(LEN($DU$122)&gt;0,$DU$122,"Ação")&amp;" ("&amp;IF(LEN($DW$122)&gt;0,$DW$122,"Pessoal")&amp;", "&amp;IF(LEN($DX$122)&gt;0,$DX$122,"Físico")&amp;"): "&amp;INDEX($W$11:$W$22,$R$122)&amp;" · média "&amp;INDEX($X$11:$X$22,$R$122)&amp;IF(LEN($DR$163)&gt;0,", e o alvo recebe "&amp;$DR$163&amp;" por "&amp;IF(ISNUMBER($DZ$122),$DZ$122,1)&amp;IF(AND(ISNUMBER($DZ$122),$DZ$122&gt;1)," turnos"," turno"),""),IF($DS$122="Especial de dano 1 alvo (até 1,5×)",IF(LEN($DU$122)&gt;0,$DU$122,"Ação")&amp;IF(ISNUMBER($DY$122)," (recarga "&amp;$DY$122&amp;" Ciclos)","")&amp;": um alvo a até Distância "&amp;IF(LEN($DW$122)&gt;0,$DW$122,"Pessoal")&amp;IF(LEN($DT$163)&gt;0," faz "&amp;"Teste de "&amp;$DT$163&amp;" contra DT "&amp;INDEX($Y$11:$Y$22,$R$122)&amp;"; se falhar, recebe "," recebe ")&amp;INDEX($CJ$11:$CJ$22,$R$122)&amp;" · média "&amp;INDEX($CK$11:$CK$22,$R$122)&amp;" de dano "&amp;IF(LEN($DX$122)&gt;0,$DX$122,"Físico")&amp;IF(LEN($DR$163)&gt;0," e "&amp;$DR$163&amp;" por "&amp;IF(ISNUMBER($DZ$122),$DZ$122,1)&amp;IF(AND(ISNUMBER($DZ$122),$DZ$122&gt;1)," turnos"," turno"),"")&amp;".",IF($DS$122="Especial de dano 2–3 alvos (dano cheio por alvo)",IF(LEN($DU$122)&gt;0,$DU$122,"Ação")&amp;IF(ISNUMBER($DY$122)," (recarga "&amp;$DY$122&amp;" Ciclos)","")&amp;": até 3 alvos a até uma Distância um do outro "&amp;IF(LEN($DT$163)&gt;0,"fazem "&amp;"Teste de "&amp;$DT$163&amp;" contra DT "&amp;INDEX($Y$11:$Y$22,$R$122)&amp;". Quem falha recebe "&amp;INDEX($W$11:$W$22,$R$122)&amp;" · média "&amp;INDEX($X$11:$X$22,$R$122)&amp;" de dano "&amp;IF(LEN($DX$122)&gt;0,$DX$122,"Físico")&amp;IF(LEN($DR$163)&gt;0," e "&amp;$DR$163&amp;" por "&amp;IF(ISNUMBER($DZ$122),$DZ$122,1)&amp;IF(AND(ISNUMBER($DZ$122),$DZ$122&gt;1)," turnos"," turno"),"")&amp;"; quem passa recebe metade do dano.","recebem, cada um, "&amp;INDEX($W$11:$W$22,$R$122)&amp;" · média "&amp;INDEX($X$11:$X$22,$R$122)&amp;" de dano "&amp;IF(LEN($DX$122)&gt;0,$DX$122,"Físico")&amp;IF(LEN($DR$163)&gt;0," e "&amp;$DR$163&amp;" por "&amp;IF(ISNUMBER($DZ$122),$DZ$122,1)&amp;IF(AND(ISNUMBER($DZ$122),$DZ$122&gt;1)," turnos"," turno"),"")&amp;"."),IF($DS$122="Especial de controle",IF(LEN($DU$122)&gt;0,$DU$122,"Ação")&amp;IF(ISNUMBER($DY$122)," (recarga "&amp;$DY$122&amp;" Ciclos)","")&amp;": o alvo faz "&amp;IF(LEN($DT$163)&gt;0,"Teste de "&amp;$DT$163&amp;" contra DT "&amp;INDEX($Y$11:$Y$22,$R$122),"Teste de Resistência contra DT "&amp;INDEX($Y$11:$Y$22,$R$122))&amp;"; se falhar, recebe "&amp;IF(LEN($DR$163)&gt;0,$DR$163,"(escolha a condição)")&amp;" por "&amp;IF(ISNUMBER($DZ$122),$DZ$122,1)&amp;IF(AND(ISNUMBER($DZ$122),$DZ$122&gt;1)," turnos"," turno")&amp;".",IF($DS$122="Reação",IF(LEN($DU$122)&gt;0,$DU$122,"Ação")&amp;" (Reação"&amp;IF(ISNUMBER($DY$122),", recarga "&amp;$DY$122&amp;" Ciclos","")&amp;")"&amp;IF(LEN($DR$163)&gt;0,": o alvo faz "&amp;IF(LEN($DT$163)&gt;0,"Teste de "&amp;$DT$163&amp;" contra DT "&amp;INDEX($Y$11:$Y$22,$R$122),"Teste de Resistência contra DT "&amp;INDEX($Y$11:$Y$22,$R$122))&amp;"; se falhar, recebe "&amp;$DR$163&amp;" por "&amp;IF(ISNUMBER($DZ$122),$DZ$122,1)&amp;IF(AND(ISNUMBER($DZ$122),$DZ$122&gt;1)," turnos"," turno")&amp;".","."),""))))))</f>
        <v/>
      </c>
      <c r="K163" s="19">
        <f>IF(EA163&gt;0,"O Google leu como fórmula: escolha de novo na lista.",IF(LEN($DQ$122)=0,"",IF(AND($DS$122="Especial de controle",LEN($DR$163)=0),"Ação de controle aplica uma condição do capítulo 21 (28.4)",IF(AND($DS$122="Especial de controle",LEN($DT$163)=0),"Diga o Teste de Resistência do alvo",IF($DR$163="Congelado","Inimigo não aplica Congelamento em personagem (28.2 regra 9)",IF(AND(LEN($DR$163)&gt;0,COUNTIF('Dados'!$BH$6:$BH$18,$DR$163)=0),"Condição fora do capítulo 21: nada de condição nova (28.4)",""))))))</f>
        <v/>
      </c>
      <c r="DR163" s="2">
        <f>IF(ISERROR($B$163),"",IF(ISBLANK($B$163),"",$B$163))</f>
        <v/>
      </c>
      <c r="DT163" s="2">
        <f>IF(ISERROR($D$163),"",IF(ISBLANK($D$163),"",$D$163))</f>
        <v/>
      </c>
      <c r="EA163" s="2">
        <f>ISERROR($B$163)*1+ISERROR($D$163)*1</f>
        <v/>
      </c>
    </row>
    <row r="164" ht="48" customHeight="1">
      <c r="A164" s="43">
        <f>IF(LEN($DQ$123)&gt;0,"8 · "&amp;$DQ$123,"8 · (vazia)")</f>
        <v/>
      </c>
      <c r="B164" s="29" t="n"/>
      <c r="C164" s="17" t="n"/>
      <c r="D164" s="29" t="n"/>
      <c r="E164" s="17" t="n"/>
      <c r="F164" s="10">
        <f>IF(OR(LEN($DQ$123)=0,NOT(ISNUMBER($R$123))),"",IF($DS$123="Ataque normal",IF(LEN($DU$123)&gt;0,$DU$123,"Ação")&amp;" ("&amp;IF(LEN($DW$123)&gt;0,$DW$123,"Pessoal")&amp;", "&amp;IF(LEN($DX$123)&gt;0,$DX$123,"Físico")&amp;"): "&amp;INDEX($W$11:$W$22,$R$123)&amp;" · média "&amp;INDEX($X$11:$X$22,$R$123)&amp;IF(LEN($DR$164)&gt;0,", e o alvo recebe "&amp;$DR$164&amp;" por "&amp;IF(ISNUMBER($DZ$123),$DZ$123,1)&amp;IF(AND(ISNUMBER($DZ$123),$DZ$123&gt;1)," turnos"," turno"),""),IF($DS$123="Especial de dano 1 alvo (até 1,5×)",IF(LEN($DU$123)&gt;0,$DU$123,"Ação")&amp;IF(ISNUMBER($DY$123)," (recarga "&amp;$DY$123&amp;" Ciclos)","")&amp;": um alvo a até Distância "&amp;IF(LEN($DW$123)&gt;0,$DW$123,"Pessoal")&amp;IF(LEN($DT$164)&gt;0," faz "&amp;"Teste de "&amp;$DT$164&amp;" contra DT "&amp;INDEX($Y$11:$Y$22,$R$123)&amp;"; se falhar, recebe "," recebe ")&amp;INDEX($CJ$11:$CJ$22,$R$123)&amp;" · média "&amp;INDEX($CK$11:$CK$22,$R$123)&amp;" de dano "&amp;IF(LEN($DX$123)&gt;0,$DX$123,"Físico")&amp;IF(LEN($DR$164)&gt;0," e "&amp;$DR$164&amp;" por "&amp;IF(ISNUMBER($DZ$123),$DZ$123,1)&amp;IF(AND(ISNUMBER($DZ$123),$DZ$123&gt;1)," turnos"," turno"),"")&amp;".",IF($DS$123="Especial de dano 2–3 alvos (dano cheio por alvo)",IF(LEN($DU$123)&gt;0,$DU$123,"Ação")&amp;IF(ISNUMBER($DY$123)," (recarga "&amp;$DY$123&amp;" Ciclos)","")&amp;": até 3 alvos a até uma Distância um do outro "&amp;IF(LEN($DT$164)&gt;0,"fazem "&amp;"Teste de "&amp;$DT$164&amp;" contra DT "&amp;INDEX($Y$11:$Y$22,$R$123)&amp;". Quem falha recebe "&amp;INDEX($W$11:$W$22,$R$123)&amp;" · média "&amp;INDEX($X$11:$X$22,$R$123)&amp;" de dano "&amp;IF(LEN($DX$123)&gt;0,$DX$123,"Físico")&amp;IF(LEN($DR$164)&gt;0," e "&amp;$DR$164&amp;" por "&amp;IF(ISNUMBER($DZ$123),$DZ$123,1)&amp;IF(AND(ISNUMBER($DZ$123),$DZ$123&gt;1)," turnos"," turno"),"")&amp;"; quem passa recebe metade do dano.","recebem, cada um, "&amp;INDEX($W$11:$W$22,$R$123)&amp;" · média "&amp;INDEX($X$11:$X$22,$R$123)&amp;" de dano "&amp;IF(LEN($DX$123)&gt;0,$DX$123,"Físico")&amp;IF(LEN($DR$164)&gt;0," e "&amp;$DR$164&amp;" por "&amp;IF(ISNUMBER($DZ$123),$DZ$123,1)&amp;IF(AND(ISNUMBER($DZ$123),$DZ$123&gt;1)," turnos"," turno"),"")&amp;"."),IF($DS$123="Especial de controle",IF(LEN($DU$123)&gt;0,$DU$123,"Ação")&amp;IF(ISNUMBER($DY$123)," (recarga "&amp;$DY$123&amp;" Ciclos)","")&amp;": o alvo faz "&amp;IF(LEN($DT$164)&gt;0,"Teste de "&amp;$DT$164&amp;" contra DT "&amp;INDEX($Y$11:$Y$22,$R$123),"Teste de Resistência contra DT "&amp;INDEX($Y$11:$Y$22,$R$123))&amp;"; se falhar, recebe "&amp;IF(LEN($DR$164)&gt;0,$DR$164,"(escolha a condição)")&amp;" por "&amp;IF(ISNUMBER($DZ$123),$DZ$123,1)&amp;IF(AND(ISNUMBER($DZ$123),$DZ$123&gt;1)," turnos"," turno")&amp;".",IF($DS$123="Reação",IF(LEN($DU$123)&gt;0,$DU$123,"Ação")&amp;" (Reação"&amp;IF(ISNUMBER($DY$123),", recarga "&amp;$DY$123&amp;" Ciclos","")&amp;")"&amp;IF(LEN($DR$164)&gt;0,": o alvo faz "&amp;IF(LEN($DT$164)&gt;0,"Teste de "&amp;$DT$164&amp;" contra DT "&amp;INDEX($Y$11:$Y$22,$R$123),"Teste de Resistência contra DT "&amp;INDEX($Y$11:$Y$22,$R$123))&amp;"; se falhar, recebe "&amp;$DR$164&amp;" por "&amp;IF(ISNUMBER($DZ$123),$DZ$123,1)&amp;IF(AND(ISNUMBER($DZ$123),$DZ$123&gt;1)," turnos"," turno")&amp;".","."),""))))))</f>
        <v/>
      </c>
      <c r="K164" s="27">
        <f>IF(EA164&gt;0,"O Google leu como fórmula: escolha de novo na lista.",IF(LEN($DQ$123)=0,"",IF(AND($DS$123="Especial de controle",LEN($DR$164)=0),"Ação de controle aplica uma condição do capítulo 21 (28.4)",IF(AND($DS$123="Especial de controle",LEN($DT$164)=0),"Diga o Teste de Resistência do alvo",IF($DR$164="Congelado","Inimigo não aplica Congelamento em personagem (28.2 regra 9)",IF(AND(LEN($DR$164)&gt;0,COUNTIF('Dados'!$BH$6:$BH$18,$DR$164)=0),"Condição fora do capítulo 21: nada de condição nova (28.4)",""))))))</f>
        <v/>
      </c>
      <c r="DR164" s="2">
        <f>IF(ISERROR($B$164),"",IF(ISBLANK($B$164),"",$B$164))</f>
        <v/>
      </c>
      <c r="DT164" s="2">
        <f>IF(ISERROR($D$164),"",IF(ISBLANK($D$164),"",$D$164))</f>
        <v/>
      </c>
      <c r="EA164" s="2">
        <f>ISERROR($B$164)*1+ISERROR($D$164)*1</f>
        <v/>
      </c>
    </row>
    <row r="165" ht="48" customHeight="1">
      <c r="A165" s="31">
        <f>IF(LEN($DQ$124)&gt;0,"9 · "&amp;$DQ$124,"9 · (vazia)")</f>
        <v/>
      </c>
      <c r="B165" s="4" t="n"/>
      <c r="C165" s="17" t="n"/>
      <c r="D165" s="4" t="n"/>
      <c r="E165" s="17" t="n"/>
      <c r="F165" s="5">
        <f>IF(OR(LEN($DQ$124)=0,NOT(ISNUMBER($R$124))),"",IF($DS$124="Ataque normal",IF(LEN($DU$124)&gt;0,$DU$124,"Ação")&amp;" ("&amp;IF(LEN($DW$124)&gt;0,$DW$124,"Pessoal")&amp;", "&amp;IF(LEN($DX$124)&gt;0,$DX$124,"Físico")&amp;"): "&amp;INDEX($W$11:$W$22,$R$124)&amp;" · média "&amp;INDEX($X$11:$X$22,$R$124)&amp;IF(LEN($DR$165)&gt;0,", e o alvo recebe "&amp;$DR$165&amp;" por "&amp;IF(ISNUMBER($DZ$124),$DZ$124,1)&amp;IF(AND(ISNUMBER($DZ$124),$DZ$124&gt;1)," turnos"," turno"),""),IF($DS$124="Especial de dano 1 alvo (até 1,5×)",IF(LEN($DU$124)&gt;0,$DU$124,"Ação")&amp;IF(ISNUMBER($DY$124)," (recarga "&amp;$DY$124&amp;" Ciclos)","")&amp;": um alvo a até Distância "&amp;IF(LEN($DW$124)&gt;0,$DW$124,"Pessoal")&amp;IF(LEN($DT$165)&gt;0," faz "&amp;"Teste de "&amp;$DT$165&amp;" contra DT "&amp;INDEX($Y$11:$Y$22,$R$124)&amp;"; se falhar, recebe "," recebe ")&amp;INDEX($CJ$11:$CJ$22,$R$124)&amp;" · média "&amp;INDEX($CK$11:$CK$22,$R$124)&amp;" de dano "&amp;IF(LEN($DX$124)&gt;0,$DX$124,"Físico")&amp;IF(LEN($DR$165)&gt;0," e "&amp;$DR$165&amp;" por "&amp;IF(ISNUMBER($DZ$124),$DZ$124,1)&amp;IF(AND(ISNUMBER($DZ$124),$DZ$124&gt;1)," turnos"," turno"),"")&amp;".",IF($DS$124="Especial de dano 2–3 alvos (dano cheio por alvo)",IF(LEN($DU$124)&gt;0,$DU$124,"Ação")&amp;IF(ISNUMBER($DY$124)," (recarga "&amp;$DY$124&amp;" Ciclos)","")&amp;": até 3 alvos a até uma Distância um do outro "&amp;IF(LEN($DT$165)&gt;0,"fazem "&amp;"Teste de "&amp;$DT$165&amp;" contra DT "&amp;INDEX($Y$11:$Y$22,$R$124)&amp;". Quem falha recebe "&amp;INDEX($W$11:$W$22,$R$124)&amp;" · média "&amp;INDEX($X$11:$X$22,$R$124)&amp;" de dano "&amp;IF(LEN($DX$124)&gt;0,$DX$124,"Físico")&amp;IF(LEN($DR$165)&gt;0," e "&amp;$DR$165&amp;" por "&amp;IF(ISNUMBER($DZ$124),$DZ$124,1)&amp;IF(AND(ISNUMBER($DZ$124),$DZ$124&gt;1)," turnos"," turno"),"")&amp;"; quem passa recebe metade do dano.","recebem, cada um, "&amp;INDEX($W$11:$W$22,$R$124)&amp;" · média "&amp;INDEX($X$11:$X$22,$R$124)&amp;" de dano "&amp;IF(LEN($DX$124)&gt;0,$DX$124,"Físico")&amp;IF(LEN($DR$165)&gt;0," e "&amp;$DR$165&amp;" por "&amp;IF(ISNUMBER($DZ$124),$DZ$124,1)&amp;IF(AND(ISNUMBER($DZ$124),$DZ$124&gt;1)," turnos"," turno"),"")&amp;"."),IF($DS$124="Especial de controle",IF(LEN($DU$124)&gt;0,$DU$124,"Ação")&amp;IF(ISNUMBER($DY$124)," (recarga "&amp;$DY$124&amp;" Ciclos)","")&amp;": o alvo faz "&amp;IF(LEN($DT$165)&gt;0,"Teste de "&amp;$DT$165&amp;" contra DT "&amp;INDEX($Y$11:$Y$22,$R$124),"Teste de Resistência contra DT "&amp;INDEX($Y$11:$Y$22,$R$124))&amp;"; se falhar, recebe "&amp;IF(LEN($DR$165)&gt;0,$DR$165,"(escolha a condição)")&amp;" por "&amp;IF(ISNUMBER($DZ$124),$DZ$124,1)&amp;IF(AND(ISNUMBER($DZ$124),$DZ$124&gt;1)," turnos"," turno")&amp;".",IF($DS$124="Reação",IF(LEN($DU$124)&gt;0,$DU$124,"Ação")&amp;" (Reação"&amp;IF(ISNUMBER($DY$124),", recarga "&amp;$DY$124&amp;" Ciclos","")&amp;")"&amp;IF(LEN($DR$165)&gt;0,": o alvo faz "&amp;IF(LEN($DT$165)&gt;0,"Teste de "&amp;$DT$165&amp;" contra DT "&amp;INDEX($Y$11:$Y$22,$R$124),"Teste de Resistência contra DT "&amp;INDEX($Y$11:$Y$22,$R$124))&amp;"; se falhar, recebe "&amp;$DR$165&amp;" por "&amp;IF(ISNUMBER($DZ$124),$DZ$124,1)&amp;IF(AND(ISNUMBER($DZ$124),$DZ$124&gt;1)," turnos"," turno")&amp;".","."),""))))))</f>
        <v/>
      </c>
      <c r="K165" s="19">
        <f>IF(EA165&gt;0,"O Google leu como fórmula: escolha de novo na lista.",IF(LEN($DQ$124)=0,"",IF(AND($DS$124="Especial de controle",LEN($DR$165)=0),"Ação de controle aplica uma condição do capítulo 21 (28.4)",IF(AND($DS$124="Especial de controle",LEN($DT$165)=0),"Diga o Teste de Resistência do alvo",IF($DR$165="Congelado","Inimigo não aplica Congelamento em personagem (28.2 regra 9)",IF(AND(LEN($DR$165)&gt;0,COUNTIF('Dados'!$BH$6:$BH$18,$DR$165)=0),"Condição fora do capítulo 21: nada de condição nova (28.4)",""))))))</f>
        <v/>
      </c>
      <c r="DR165" s="2">
        <f>IF(ISERROR($B$165),"",IF(ISBLANK($B$165),"",$B$165))</f>
        <v/>
      </c>
      <c r="DT165" s="2">
        <f>IF(ISERROR($D$165),"",IF(ISBLANK($D$165),"",$D$165))</f>
        <v/>
      </c>
      <c r="EA165" s="2">
        <f>ISERROR($B$165)*1+ISERROR($D$165)*1</f>
        <v/>
      </c>
    </row>
    <row r="166" ht="48" customHeight="1">
      <c r="A166" s="43">
        <f>IF(LEN($DQ$125)&gt;0,"10 · "&amp;$DQ$125,"10 · (vazia)")</f>
        <v/>
      </c>
      <c r="B166" s="29" t="n"/>
      <c r="C166" s="17" t="n"/>
      <c r="D166" s="29" t="n"/>
      <c r="E166" s="17" t="n"/>
      <c r="F166" s="10">
        <f>IF(OR(LEN($DQ$125)=0,NOT(ISNUMBER($R$125))),"",IF($DS$125="Ataque normal",IF(LEN($DU$125)&gt;0,$DU$125,"Ação")&amp;" ("&amp;IF(LEN($DW$125)&gt;0,$DW$125,"Pessoal")&amp;", "&amp;IF(LEN($DX$125)&gt;0,$DX$125,"Físico")&amp;"): "&amp;INDEX($W$11:$W$22,$R$125)&amp;" · média "&amp;INDEX($X$11:$X$22,$R$125)&amp;IF(LEN($DR$166)&gt;0,", e o alvo recebe "&amp;$DR$166&amp;" por "&amp;IF(ISNUMBER($DZ$125),$DZ$125,1)&amp;IF(AND(ISNUMBER($DZ$125),$DZ$125&gt;1)," turnos"," turno"),""),IF($DS$125="Especial de dano 1 alvo (até 1,5×)",IF(LEN($DU$125)&gt;0,$DU$125,"Ação")&amp;IF(ISNUMBER($DY$125)," (recarga "&amp;$DY$125&amp;" Ciclos)","")&amp;": um alvo a até Distância "&amp;IF(LEN($DW$125)&gt;0,$DW$125,"Pessoal")&amp;IF(LEN($DT$166)&gt;0," faz "&amp;"Teste de "&amp;$DT$166&amp;" contra DT "&amp;INDEX($Y$11:$Y$22,$R$125)&amp;"; se falhar, recebe "," recebe ")&amp;INDEX($CJ$11:$CJ$22,$R$125)&amp;" · média "&amp;INDEX($CK$11:$CK$22,$R$125)&amp;" de dano "&amp;IF(LEN($DX$125)&gt;0,$DX$125,"Físico")&amp;IF(LEN($DR$166)&gt;0," e "&amp;$DR$166&amp;" por "&amp;IF(ISNUMBER($DZ$125),$DZ$125,1)&amp;IF(AND(ISNUMBER($DZ$125),$DZ$125&gt;1)," turnos"," turno"),"")&amp;".",IF($DS$125="Especial de dano 2–3 alvos (dano cheio por alvo)",IF(LEN($DU$125)&gt;0,$DU$125,"Ação")&amp;IF(ISNUMBER($DY$125)," (recarga "&amp;$DY$125&amp;" Ciclos)","")&amp;": até 3 alvos a até uma Distância um do outro "&amp;IF(LEN($DT$166)&gt;0,"fazem "&amp;"Teste de "&amp;$DT$166&amp;" contra DT "&amp;INDEX($Y$11:$Y$22,$R$125)&amp;". Quem falha recebe "&amp;INDEX($W$11:$W$22,$R$125)&amp;" · média "&amp;INDEX($X$11:$X$22,$R$125)&amp;" de dano "&amp;IF(LEN($DX$125)&gt;0,$DX$125,"Físico")&amp;IF(LEN($DR$166)&gt;0," e "&amp;$DR$166&amp;" por "&amp;IF(ISNUMBER($DZ$125),$DZ$125,1)&amp;IF(AND(ISNUMBER($DZ$125),$DZ$125&gt;1)," turnos"," turno"),"")&amp;"; quem passa recebe metade do dano.","recebem, cada um, "&amp;INDEX($W$11:$W$22,$R$125)&amp;" · média "&amp;INDEX($X$11:$X$22,$R$125)&amp;" de dano "&amp;IF(LEN($DX$125)&gt;0,$DX$125,"Físico")&amp;IF(LEN($DR$166)&gt;0," e "&amp;$DR$166&amp;" por "&amp;IF(ISNUMBER($DZ$125),$DZ$125,1)&amp;IF(AND(ISNUMBER($DZ$125),$DZ$125&gt;1)," turnos"," turno"),"")&amp;"."),IF($DS$125="Especial de controle",IF(LEN($DU$125)&gt;0,$DU$125,"Ação")&amp;IF(ISNUMBER($DY$125)," (recarga "&amp;$DY$125&amp;" Ciclos)","")&amp;": o alvo faz "&amp;IF(LEN($DT$166)&gt;0,"Teste de "&amp;$DT$166&amp;" contra DT "&amp;INDEX($Y$11:$Y$22,$R$125),"Teste de Resistência contra DT "&amp;INDEX($Y$11:$Y$22,$R$125))&amp;"; se falhar, recebe "&amp;IF(LEN($DR$166)&gt;0,$DR$166,"(escolha a condição)")&amp;" por "&amp;IF(ISNUMBER($DZ$125),$DZ$125,1)&amp;IF(AND(ISNUMBER($DZ$125),$DZ$125&gt;1)," turnos"," turno")&amp;".",IF($DS$125="Reação",IF(LEN($DU$125)&gt;0,$DU$125,"Ação")&amp;" (Reação"&amp;IF(ISNUMBER($DY$125),", recarga "&amp;$DY$125&amp;" Ciclos","")&amp;")"&amp;IF(LEN($DR$166)&gt;0,": o alvo faz "&amp;IF(LEN($DT$166)&gt;0,"Teste de "&amp;$DT$166&amp;" contra DT "&amp;INDEX($Y$11:$Y$22,$R$125),"Teste de Resistência contra DT "&amp;INDEX($Y$11:$Y$22,$R$125))&amp;"; se falhar, recebe "&amp;$DR$166&amp;" por "&amp;IF(ISNUMBER($DZ$125),$DZ$125,1)&amp;IF(AND(ISNUMBER($DZ$125),$DZ$125&gt;1)," turnos"," turno")&amp;".","."),""))))))</f>
        <v/>
      </c>
      <c r="K166" s="27">
        <f>IF(EA166&gt;0,"O Google leu como fórmula: escolha de novo na lista.",IF(LEN($DQ$125)=0,"",IF(AND($DS$125="Especial de controle",LEN($DR$166)=0),"Ação de controle aplica uma condição do capítulo 21 (28.4)",IF(AND($DS$125="Especial de controle",LEN($DT$166)=0),"Diga o Teste de Resistência do alvo",IF($DR$166="Congelado","Inimigo não aplica Congelamento em personagem (28.2 regra 9)",IF(AND(LEN($DR$166)&gt;0,COUNTIF('Dados'!$BH$6:$BH$18,$DR$166)=0),"Condição fora do capítulo 21: nada de condição nova (28.4)",""))))))</f>
        <v/>
      </c>
      <c r="DR166" s="2">
        <f>IF(ISERROR($B$166),"",IF(ISBLANK($B$166),"",$B$166))</f>
        <v/>
      </c>
      <c r="DT166" s="2">
        <f>IF(ISERROR($D$166),"",IF(ISBLANK($D$166),"",$D$166))</f>
        <v/>
      </c>
      <c r="EA166" s="2">
        <f>ISERROR($B$166)*1+ISERROR($D$166)*1</f>
        <v/>
      </c>
    </row>
    <row r="167" ht="48" customHeight="1">
      <c r="A167" s="31">
        <f>IF(LEN($DQ$126)&gt;0,"11 · "&amp;$DQ$126,"11 · (vazia)")</f>
        <v/>
      </c>
      <c r="B167" s="4" t="n"/>
      <c r="C167" s="17" t="n"/>
      <c r="D167" s="4" t="n"/>
      <c r="E167" s="17" t="n"/>
      <c r="F167" s="5">
        <f>IF(OR(LEN($DQ$126)=0,NOT(ISNUMBER($R$126))),"",IF($DS$126="Ataque normal",IF(LEN($DU$126)&gt;0,$DU$126,"Ação")&amp;" ("&amp;IF(LEN($DW$126)&gt;0,$DW$126,"Pessoal")&amp;", "&amp;IF(LEN($DX$126)&gt;0,$DX$126,"Físico")&amp;"): "&amp;INDEX($W$11:$W$22,$R$126)&amp;" · média "&amp;INDEX($X$11:$X$22,$R$126)&amp;IF(LEN($DR$167)&gt;0,", e o alvo recebe "&amp;$DR$167&amp;" por "&amp;IF(ISNUMBER($DZ$126),$DZ$126,1)&amp;IF(AND(ISNUMBER($DZ$126),$DZ$126&gt;1)," turnos"," turno"),""),IF($DS$126="Especial de dano 1 alvo (até 1,5×)",IF(LEN($DU$126)&gt;0,$DU$126,"Ação")&amp;IF(ISNUMBER($DY$126)," (recarga "&amp;$DY$126&amp;" Ciclos)","")&amp;": um alvo a até Distância "&amp;IF(LEN($DW$126)&gt;0,$DW$126,"Pessoal")&amp;IF(LEN($DT$167)&gt;0," faz "&amp;"Teste de "&amp;$DT$167&amp;" contra DT "&amp;INDEX($Y$11:$Y$22,$R$126)&amp;"; se falhar, recebe "," recebe ")&amp;INDEX($CJ$11:$CJ$22,$R$126)&amp;" · média "&amp;INDEX($CK$11:$CK$22,$R$126)&amp;" de dano "&amp;IF(LEN($DX$126)&gt;0,$DX$126,"Físico")&amp;IF(LEN($DR$167)&gt;0," e "&amp;$DR$167&amp;" por "&amp;IF(ISNUMBER($DZ$126),$DZ$126,1)&amp;IF(AND(ISNUMBER($DZ$126),$DZ$126&gt;1)," turnos"," turno"),"")&amp;".",IF($DS$126="Especial de dano 2–3 alvos (dano cheio por alvo)",IF(LEN($DU$126)&gt;0,$DU$126,"Ação")&amp;IF(ISNUMBER($DY$126)," (recarga "&amp;$DY$126&amp;" Ciclos)","")&amp;": até 3 alvos a até uma Distância um do outro "&amp;IF(LEN($DT$167)&gt;0,"fazem "&amp;"Teste de "&amp;$DT$167&amp;" contra DT "&amp;INDEX($Y$11:$Y$22,$R$126)&amp;". Quem falha recebe "&amp;INDEX($W$11:$W$22,$R$126)&amp;" · média "&amp;INDEX($X$11:$X$22,$R$126)&amp;" de dano "&amp;IF(LEN($DX$126)&gt;0,$DX$126,"Físico")&amp;IF(LEN($DR$167)&gt;0," e "&amp;$DR$167&amp;" por "&amp;IF(ISNUMBER($DZ$126),$DZ$126,1)&amp;IF(AND(ISNUMBER($DZ$126),$DZ$126&gt;1)," turnos"," turno"),"")&amp;"; quem passa recebe metade do dano.","recebem, cada um, "&amp;INDEX($W$11:$W$22,$R$126)&amp;" · média "&amp;INDEX($X$11:$X$22,$R$126)&amp;" de dano "&amp;IF(LEN($DX$126)&gt;0,$DX$126,"Físico")&amp;IF(LEN($DR$167)&gt;0," e "&amp;$DR$167&amp;" por "&amp;IF(ISNUMBER($DZ$126),$DZ$126,1)&amp;IF(AND(ISNUMBER($DZ$126),$DZ$126&gt;1)," turnos"," turno"),"")&amp;"."),IF($DS$126="Especial de controle",IF(LEN($DU$126)&gt;0,$DU$126,"Ação")&amp;IF(ISNUMBER($DY$126)," (recarga "&amp;$DY$126&amp;" Ciclos)","")&amp;": o alvo faz "&amp;IF(LEN($DT$167)&gt;0,"Teste de "&amp;$DT$167&amp;" contra DT "&amp;INDEX($Y$11:$Y$22,$R$126),"Teste de Resistência contra DT "&amp;INDEX($Y$11:$Y$22,$R$126))&amp;"; se falhar, recebe "&amp;IF(LEN($DR$167)&gt;0,$DR$167,"(escolha a condição)")&amp;" por "&amp;IF(ISNUMBER($DZ$126),$DZ$126,1)&amp;IF(AND(ISNUMBER($DZ$126),$DZ$126&gt;1)," turnos"," turno")&amp;".",IF($DS$126="Reação",IF(LEN($DU$126)&gt;0,$DU$126,"Ação")&amp;" (Reação"&amp;IF(ISNUMBER($DY$126),", recarga "&amp;$DY$126&amp;" Ciclos","")&amp;")"&amp;IF(LEN($DR$167)&gt;0,": o alvo faz "&amp;IF(LEN($DT$167)&gt;0,"Teste de "&amp;$DT$167&amp;" contra DT "&amp;INDEX($Y$11:$Y$22,$R$126),"Teste de Resistência contra DT "&amp;INDEX($Y$11:$Y$22,$R$126))&amp;"; se falhar, recebe "&amp;$DR$167&amp;" por "&amp;IF(ISNUMBER($DZ$126),$DZ$126,1)&amp;IF(AND(ISNUMBER($DZ$126),$DZ$126&gt;1)," turnos"," turno")&amp;".","."),""))))))</f>
        <v/>
      </c>
      <c r="K167" s="19">
        <f>IF(EA167&gt;0,"O Google leu como fórmula: escolha de novo na lista.",IF(LEN($DQ$126)=0,"",IF(AND($DS$126="Especial de controle",LEN($DR$167)=0),"Ação de controle aplica uma condição do capítulo 21 (28.4)",IF(AND($DS$126="Especial de controle",LEN($DT$167)=0),"Diga o Teste de Resistência do alvo",IF($DR$167="Congelado","Inimigo não aplica Congelamento em personagem (28.2 regra 9)",IF(AND(LEN($DR$167)&gt;0,COUNTIF('Dados'!$BH$6:$BH$18,$DR$167)=0),"Condição fora do capítulo 21: nada de condição nova (28.4)",""))))))</f>
        <v/>
      </c>
      <c r="DR167" s="2">
        <f>IF(ISERROR($B$167),"",IF(ISBLANK($B$167),"",$B$167))</f>
        <v/>
      </c>
      <c r="DT167" s="2">
        <f>IF(ISERROR($D$167),"",IF(ISBLANK($D$167),"",$D$167))</f>
        <v/>
      </c>
      <c r="EA167" s="2">
        <f>ISERROR($B$167)*1+ISERROR($D$167)*1</f>
        <v/>
      </c>
    </row>
    <row r="168" ht="48" customHeight="1">
      <c r="A168" s="43">
        <f>IF(LEN($DQ$127)&gt;0,"12 · "&amp;$DQ$127,"12 · (vazia)")</f>
        <v/>
      </c>
      <c r="B168" s="29" t="n"/>
      <c r="C168" s="17" t="n"/>
      <c r="D168" s="29" t="n"/>
      <c r="E168" s="17" t="n"/>
      <c r="F168" s="10">
        <f>IF(OR(LEN($DQ$127)=0,NOT(ISNUMBER($R$127))),"",IF($DS$127="Ataque normal",IF(LEN($DU$127)&gt;0,$DU$127,"Ação")&amp;" ("&amp;IF(LEN($DW$127)&gt;0,$DW$127,"Pessoal")&amp;", "&amp;IF(LEN($DX$127)&gt;0,$DX$127,"Físico")&amp;"): "&amp;INDEX($W$11:$W$22,$R$127)&amp;" · média "&amp;INDEX($X$11:$X$22,$R$127)&amp;IF(LEN($DR$168)&gt;0,", e o alvo recebe "&amp;$DR$168&amp;" por "&amp;IF(ISNUMBER($DZ$127),$DZ$127,1)&amp;IF(AND(ISNUMBER($DZ$127),$DZ$127&gt;1)," turnos"," turno"),""),IF($DS$127="Especial de dano 1 alvo (até 1,5×)",IF(LEN($DU$127)&gt;0,$DU$127,"Ação")&amp;IF(ISNUMBER($DY$127)," (recarga "&amp;$DY$127&amp;" Ciclos)","")&amp;": um alvo a até Distância "&amp;IF(LEN($DW$127)&gt;0,$DW$127,"Pessoal")&amp;IF(LEN($DT$168)&gt;0," faz "&amp;"Teste de "&amp;$DT$168&amp;" contra DT "&amp;INDEX($Y$11:$Y$22,$R$127)&amp;"; se falhar, recebe "," recebe ")&amp;INDEX($CJ$11:$CJ$22,$R$127)&amp;" · média "&amp;INDEX($CK$11:$CK$22,$R$127)&amp;" de dano "&amp;IF(LEN($DX$127)&gt;0,$DX$127,"Físico")&amp;IF(LEN($DR$168)&gt;0," e "&amp;$DR$168&amp;" por "&amp;IF(ISNUMBER($DZ$127),$DZ$127,1)&amp;IF(AND(ISNUMBER($DZ$127),$DZ$127&gt;1)," turnos"," turno"),"")&amp;".",IF($DS$127="Especial de dano 2–3 alvos (dano cheio por alvo)",IF(LEN($DU$127)&gt;0,$DU$127,"Ação")&amp;IF(ISNUMBER($DY$127)," (recarga "&amp;$DY$127&amp;" Ciclos)","")&amp;": até 3 alvos a até uma Distância um do outro "&amp;IF(LEN($DT$168)&gt;0,"fazem "&amp;"Teste de "&amp;$DT$168&amp;" contra DT "&amp;INDEX($Y$11:$Y$22,$R$127)&amp;". Quem falha recebe "&amp;INDEX($W$11:$W$22,$R$127)&amp;" · média "&amp;INDEX($X$11:$X$22,$R$127)&amp;" de dano "&amp;IF(LEN($DX$127)&gt;0,$DX$127,"Físico")&amp;IF(LEN($DR$168)&gt;0," e "&amp;$DR$168&amp;" por "&amp;IF(ISNUMBER($DZ$127),$DZ$127,1)&amp;IF(AND(ISNUMBER($DZ$127),$DZ$127&gt;1)," turnos"," turno"),"")&amp;"; quem passa recebe metade do dano.","recebem, cada um, "&amp;INDEX($W$11:$W$22,$R$127)&amp;" · média "&amp;INDEX($X$11:$X$22,$R$127)&amp;" de dano "&amp;IF(LEN($DX$127)&gt;0,$DX$127,"Físico")&amp;IF(LEN($DR$168)&gt;0," e "&amp;$DR$168&amp;" por "&amp;IF(ISNUMBER($DZ$127),$DZ$127,1)&amp;IF(AND(ISNUMBER($DZ$127),$DZ$127&gt;1)," turnos"," turno"),"")&amp;"."),IF($DS$127="Especial de controle",IF(LEN($DU$127)&gt;0,$DU$127,"Ação")&amp;IF(ISNUMBER($DY$127)," (recarga "&amp;$DY$127&amp;" Ciclos)","")&amp;": o alvo faz "&amp;IF(LEN($DT$168)&gt;0,"Teste de "&amp;$DT$168&amp;" contra DT "&amp;INDEX($Y$11:$Y$22,$R$127),"Teste de Resistência contra DT "&amp;INDEX($Y$11:$Y$22,$R$127))&amp;"; se falhar, recebe "&amp;IF(LEN($DR$168)&gt;0,$DR$168,"(escolha a condição)")&amp;" por "&amp;IF(ISNUMBER($DZ$127),$DZ$127,1)&amp;IF(AND(ISNUMBER($DZ$127),$DZ$127&gt;1)," turnos"," turno")&amp;".",IF($DS$127="Reação",IF(LEN($DU$127)&gt;0,$DU$127,"Ação")&amp;" (Reação"&amp;IF(ISNUMBER($DY$127),", recarga "&amp;$DY$127&amp;" Ciclos","")&amp;")"&amp;IF(LEN($DR$168)&gt;0,": o alvo faz "&amp;IF(LEN($DT$168)&gt;0,"Teste de "&amp;$DT$168&amp;" contra DT "&amp;INDEX($Y$11:$Y$22,$R$127),"Teste de Resistência contra DT "&amp;INDEX($Y$11:$Y$22,$R$127))&amp;"; se falhar, recebe "&amp;$DR$168&amp;" por "&amp;IF(ISNUMBER($DZ$127),$DZ$127,1)&amp;IF(AND(ISNUMBER($DZ$127),$DZ$127&gt;1)," turnos"," turno")&amp;".","."),""))))))</f>
        <v/>
      </c>
      <c r="K168" s="27">
        <f>IF(EA168&gt;0,"O Google leu como fórmula: escolha de novo na lista.",IF(LEN($DQ$127)=0,"",IF(AND($DS$127="Especial de controle",LEN($DR$168)=0),"Ação de controle aplica uma condição do capítulo 21 (28.4)",IF(AND($DS$127="Especial de controle",LEN($DT$168)=0),"Diga o Teste de Resistência do alvo",IF($DR$168="Congelado","Inimigo não aplica Congelamento em personagem (28.2 regra 9)",IF(AND(LEN($DR$168)&gt;0,COUNTIF('Dados'!$BH$6:$BH$18,$DR$168)=0),"Condição fora do capítulo 21: nada de condição nova (28.4)",""))))))</f>
        <v/>
      </c>
      <c r="DR168" s="2">
        <f>IF(ISERROR($B$168),"",IF(ISBLANK($B$168),"",$B$168))</f>
        <v/>
      </c>
      <c r="DT168" s="2">
        <f>IF(ISERROR($D$168),"",IF(ISBLANK($D$168),"",$D$168))</f>
        <v/>
      </c>
      <c r="EA168" s="2">
        <f>ISERROR($B$168)*1+ISERROR($D$168)*1</f>
        <v/>
      </c>
    </row>
    <row r="169" ht="26" customHeight="1">
      <c r="A169" s="8" t="inlineStr">
        <is>
          <t>Ação</t>
        </is>
      </c>
      <c r="B169" s="8" t="inlineStr">
        <is>
          <t>Condição (capítulo 21)</t>
        </is>
      </c>
      <c r="C169" s="20" t="n"/>
      <c r="D169" s="8" t="inlineStr">
        <is>
          <t>Teste de Resistência do alvo</t>
        </is>
      </c>
      <c r="E169" s="20" t="n"/>
      <c r="F169" s="8" t="inlineStr">
        <is>
          <t>Texto pronto</t>
        </is>
      </c>
      <c r="G169" s="20" t="n"/>
      <c r="H169" s="20" t="n"/>
      <c r="I169" s="20" t="n"/>
      <c r="J169" s="20" t="n"/>
      <c r="K169" s="8" t="inlineStr">
        <is>
          <t>Aviso</t>
        </is>
      </c>
      <c r="L169" s="20" t="n"/>
    </row>
    <row r="170" ht="48" customHeight="1">
      <c r="A170" s="31">
        <f>IF(LEN($DQ$129)&gt;0,"13 · "&amp;$DQ$129,"13 · (vazia)")</f>
        <v/>
      </c>
      <c r="B170" s="4" t="n"/>
      <c r="C170" s="17" t="n"/>
      <c r="D170" s="4" t="n"/>
      <c r="E170" s="17" t="n"/>
      <c r="F170" s="5">
        <f>IF(OR(LEN($DQ$129)=0,NOT(ISNUMBER($R$129))),"",IF($DS$129="Ataque normal",IF(LEN($DU$129)&gt;0,$DU$129,"Ação")&amp;" ("&amp;IF(LEN($DW$129)&gt;0,$DW$129,"Pessoal")&amp;", "&amp;IF(LEN($DX$129)&gt;0,$DX$129,"Físico")&amp;"): "&amp;INDEX($W$11:$W$22,$R$129)&amp;" · média "&amp;INDEX($X$11:$X$22,$R$129)&amp;IF(LEN($DR$170)&gt;0,", e o alvo recebe "&amp;$DR$170&amp;" por "&amp;IF(ISNUMBER($DZ$129),$DZ$129,1)&amp;IF(AND(ISNUMBER($DZ$129),$DZ$129&gt;1)," turnos"," turno"),""),IF($DS$129="Especial de dano 1 alvo (até 1,5×)",IF(LEN($DU$129)&gt;0,$DU$129,"Ação")&amp;IF(ISNUMBER($DY$129)," (recarga "&amp;$DY$129&amp;" Ciclos)","")&amp;": um alvo a até Distância "&amp;IF(LEN($DW$129)&gt;0,$DW$129,"Pessoal")&amp;IF(LEN($DT$170)&gt;0," faz "&amp;"Teste de "&amp;$DT$170&amp;" contra DT "&amp;INDEX($Y$11:$Y$22,$R$129)&amp;"; se falhar, recebe "," recebe ")&amp;INDEX($CJ$11:$CJ$22,$R$129)&amp;" · média "&amp;INDEX($CK$11:$CK$22,$R$129)&amp;" de dano "&amp;IF(LEN($DX$129)&gt;0,$DX$129,"Físico")&amp;IF(LEN($DR$170)&gt;0," e "&amp;$DR$170&amp;" por "&amp;IF(ISNUMBER($DZ$129),$DZ$129,1)&amp;IF(AND(ISNUMBER($DZ$129),$DZ$129&gt;1)," turnos"," turno"),"")&amp;".",IF($DS$129="Especial de dano 2–3 alvos (dano cheio por alvo)",IF(LEN($DU$129)&gt;0,$DU$129,"Ação")&amp;IF(ISNUMBER($DY$129)," (recarga "&amp;$DY$129&amp;" Ciclos)","")&amp;": até 3 alvos a até uma Distância um do outro "&amp;IF(LEN($DT$170)&gt;0,"fazem "&amp;"Teste de "&amp;$DT$170&amp;" contra DT "&amp;INDEX($Y$11:$Y$22,$R$129)&amp;". Quem falha recebe "&amp;INDEX($W$11:$W$22,$R$129)&amp;" · média "&amp;INDEX($X$11:$X$22,$R$129)&amp;" de dano "&amp;IF(LEN($DX$129)&gt;0,$DX$129,"Físico")&amp;IF(LEN($DR$170)&gt;0," e "&amp;$DR$170&amp;" por "&amp;IF(ISNUMBER($DZ$129),$DZ$129,1)&amp;IF(AND(ISNUMBER($DZ$129),$DZ$129&gt;1)," turnos"," turno"),"")&amp;"; quem passa recebe metade do dano.","recebem, cada um, "&amp;INDEX($W$11:$W$22,$R$129)&amp;" · média "&amp;INDEX($X$11:$X$22,$R$129)&amp;" de dano "&amp;IF(LEN($DX$129)&gt;0,$DX$129,"Físico")&amp;IF(LEN($DR$170)&gt;0," e "&amp;$DR$170&amp;" por "&amp;IF(ISNUMBER($DZ$129),$DZ$129,1)&amp;IF(AND(ISNUMBER($DZ$129),$DZ$129&gt;1)," turnos"," turno"),"")&amp;"."),IF($DS$129="Especial de controle",IF(LEN($DU$129)&gt;0,$DU$129,"Ação")&amp;IF(ISNUMBER($DY$129)," (recarga "&amp;$DY$129&amp;" Ciclos)","")&amp;": o alvo faz "&amp;IF(LEN($DT$170)&gt;0,"Teste de "&amp;$DT$170&amp;" contra DT "&amp;INDEX($Y$11:$Y$22,$R$129),"Teste de Resistência contra DT "&amp;INDEX($Y$11:$Y$22,$R$129))&amp;"; se falhar, recebe "&amp;IF(LEN($DR$170)&gt;0,$DR$170,"(escolha a condição)")&amp;" por "&amp;IF(ISNUMBER($DZ$129),$DZ$129,1)&amp;IF(AND(ISNUMBER($DZ$129),$DZ$129&gt;1)," turnos"," turno")&amp;".",IF($DS$129="Reação",IF(LEN($DU$129)&gt;0,$DU$129,"Ação")&amp;" (Reação"&amp;IF(ISNUMBER($DY$129),", recarga "&amp;$DY$129&amp;" Ciclos","")&amp;")"&amp;IF(LEN($DR$170)&gt;0,": o alvo faz "&amp;IF(LEN($DT$170)&gt;0,"Teste de "&amp;$DT$170&amp;" contra DT "&amp;INDEX($Y$11:$Y$22,$R$129),"Teste de Resistência contra DT "&amp;INDEX($Y$11:$Y$22,$R$129))&amp;"; se falhar, recebe "&amp;$DR$170&amp;" por "&amp;IF(ISNUMBER($DZ$129),$DZ$129,1)&amp;IF(AND(ISNUMBER($DZ$129),$DZ$129&gt;1)," turnos"," turno")&amp;".","."),""))))))</f>
        <v/>
      </c>
      <c r="K170" s="19">
        <f>IF(EA170&gt;0,"O Google leu como fórmula: escolha de novo na lista.",IF(LEN($DQ$129)=0,"",IF(AND($DS$129="Especial de controle",LEN($DR$170)=0),"Ação de controle aplica uma condição do capítulo 21 (28.4)",IF(AND($DS$129="Especial de controle",LEN($DT$170)=0),"Diga o Teste de Resistência do alvo",IF($DR$170="Congelado","Inimigo não aplica Congelamento em personagem (28.2 regra 9)",IF(AND(LEN($DR$170)&gt;0,COUNTIF('Dados'!$BH$6:$BH$18,$DR$170)=0),"Condição fora do capítulo 21: nada de condição nova (28.4)",""))))))</f>
        <v/>
      </c>
      <c r="DR170" s="2">
        <f>IF(ISERROR($B$170),"",IF(ISBLANK($B$170),"",$B$170))</f>
        <v/>
      </c>
      <c r="DT170" s="2">
        <f>IF(ISERROR($D$170),"",IF(ISBLANK($D$170),"",$D$170))</f>
        <v/>
      </c>
      <c r="EA170" s="2">
        <f>ISERROR($B$170)*1+ISERROR($D$170)*1</f>
        <v/>
      </c>
    </row>
    <row r="171" ht="48" customHeight="1">
      <c r="A171" s="43">
        <f>IF(LEN($DQ$130)&gt;0,"14 · "&amp;$DQ$130,"14 · (vazia)")</f>
        <v/>
      </c>
      <c r="B171" s="29" t="n"/>
      <c r="C171" s="17" t="n"/>
      <c r="D171" s="29" t="n"/>
      <c r="E171" s="17" t="n"/>
      <c r="F171" s="10">
        <f>IF(OR(LEN($DQ$130)=0,NOT(ISNUMBER($R$130))),"",IF($DS$130="Ataque normal",IF(LEN($DU$130)&gt;0,$DU$130,"Ação")&amp;" ("&amp;IF(LEN($DW$130)&gt;0,$DW$130,"Pessoal")&amp;", "&amp;IF(LEN($DX$130)&gt;0,$DX$130,"Físico")&amp;"): "&amp;INDEX($W$11:$W$22,$R$130)&amp;" · média "&amp;INDEX($X$11:$X$22,$R$130)&amp;IF(LEN($DR$171)&gt;0,", e o alvo recebe "&amp;$DR$171&amp;" por "&amp;IF(ISNUMBER($DZ$130),$DZ$130,1)&amp;IF(AND(ISNUMBER($DZ$130),$DZ$130&gt;1)," turnos"," turno"),""),IF($DS$130="Especial de dano 1 alvo (até 1,5×)",IF(LEN($DU$130)&gt;0,$DU$130,"Ação")&amp;IF(ISNUMBER($DY$130)," (recarga "&amp;$DY$130&amp;" Ciclos)","")&amp;": um alvo a até Distância "&amp;IF(LEN($DW$130)&gt;0,$DW$130,"Pessoal")&amp;IF(LEN($DT$171)&gt;0," faz "&amp;"Teste de "&amp;$DT$171&amp;" contra DT "&amp;INDEX($Y$11:$Y$22,$R$130)&amp;"; se falhar, recebe "," recebe ")&amp;INDEX($CJ$11:$CJ$22,$R$130)&amp;" · média "&amp;INDEX($CK$11:$CK$22,$R$130)&amp;" de dano "&amp;IF(LEN($DX$130)&gt;0,$DX$130,"Físico")&amp;IF(LEN($DR$171)&gt;0," e "&amp;$DR$171&amp;" por "&amp;IF(ISNUMBER($DZ$130),$DZ$130,1)&amp;IF(AND(ISNUMBER($DZ$130),$DZ$130&gt;1)," turnos"," turno"),"")&amp;".",IF($DS$130="Especial de dano 2–3 alvos (dano cheio por alvo)",IF(LEN($DU$130)&gt;0,$DU$130,"Ação")&amp;IF(ISNUMBER($DY$130)," (recarga "&amp;$DY$130&amp;" Ciclos)","")&amp;": até 3 alvos a até uma Distância um do outro "&amp;IF(LEN($DT$171)&gt;0,"fazem "&amp;"Teste de "&amp;$DT$171&amp;" contra DT "&amp;INDEX($Y$11:$Y$22,$R$130)&amp;". Quem falha recebe "&amp;INDEX($W$11:$W$22,$R$130)&amp;" · média "&amp;INDEX($X$11:$X$22,$R$130)&amp;" de dano "&amp;IF(LEN($DX$130)&gt;0,$DX$130,"Físico")&amp;IF(LEN($DR$171)&gt;0," e "&amp;$DR$171&amp;" por "&amp;IF(ISNUMBER($DZ$130),$DZ$130,1)&amp;IF(AND(ISNUMBER($DZ$130),$DZ$130&gt;1)," turnos"," turno"),"")&amp;"; quem passa recebe metade do dano.","recebem, cada um, "&amp;INDEX($W$11:$W$22,$R$130)&amp;" · média "&amp;INDEX($X$11:$X$22,$R$130)&amp;" de dano "&amp;IF(LEN($DX$130)&gt;0,$DX$130,"Físico")&amp;IF(LEN($DR$171)&gt;0," e "&amp;$DR$171&amp;" por "&amp;IF(ISNUMBER($DZ$130),$DZ$130,1)&amp;IF(AND(ISNUMBER($DZ$130),$DZ$130&gt;1)," turnos"," turno"),"")&amp;"."),IF($DS$130="Especial de controle",IF(LEN($DU$130)&gt;0,$DU$130,"Ação")&amp;IF(ISNUMBER($DY$130)," (recarga "&amp;$DY$130&amp;" Ciclos)","")&amp;": o alvo faz "&amp;IF(LEN($DT$171)&gt;0,"Teste de "&amp;$DT$171&amp;" contra DT "&amp;INDEX($Y$11:$Y$22,$R$130),"Teste de Resistência contra DT "&amp;INDEX($Y$11:$Y$22,$R$130))&amp;"; se falhar, recebe "&amp;IF(LEN($DR$171)&gt;0,$DR$171,"(escolha a condição)")&amp;" por "&amp;IF(ISNUMBER($DZ$130),$DZ$130,1)&amp;IF(AND(ISNUMBER($DZ$130),$DZ$130&gt;1)," turnos"," turno")&amp;".",IF($DS$130="Reação",IF(LEN($DU$130)&gt;0,$DU$130,"Ação")&amp;" (Reação"&amp;IF(ISNUMBER($DY$130),", recarga "&amp;$DY$130&amp;" Ciclos","")&amp;")"&amp;IF(LEN($DR$171)&gt;0,": o alvo faz "&amp;IF(LEN($DT$171)&gt;0,"Teste de "&amp;$DT$171&amp;" contra DT "&amp;INDEX($Y$11:$Y$22,$R$130),"Teste de Resistência contra DT "&amp;INDEX($Y$11:$Y$22,$R$130))&amp;"; se falhar, recebe "&amp;$DR$171&amp;" por "&amp;IF(ISNUMBER($DZ$130),$DZ$130,1)&amp;IF(AND(ISNUMBER($DZ$130),$DZ$130&gt;1)," turnos"," turno")&amp;".","."),""))))))</f>
        <v/>
      </c>
      <c r="K171" s="27">
        <f>IF(EA171&gt;0,"O Google leu como fórmula: escolha de novo na lista.",IF(LEN($DQ$130)=0,"",IF(AND($DS$130="Especial de controle",LEN($DR$171)=0),"Ação de controle aplica uma condição do capítulo 21 (28.4)",IF(AND($DS$130="Especial de controle",LEN($DT$171)=0),"Diga o Teste de Resistência do alvo",IF($DR$171="Congelado","Inimigo não aplica Congelamento em personagem (28.2 regra 9)",IF(AND(LEN($DR$171)&gt;0,COUNTIF('Dados'!$BH$6:$BH$18,$DR$171)=0),"Condição fora do capítulo 21: nada de condição nova (28.4)",""))))))</f>
        <v/>
      </c>
      <c r="DR171" s="2">
        <f>IF(ISERROR($B$171),"",IF(ISBLANK($B$171),"",$B$171))</f>
        <v/>
      </c>
      <c r="DT171" s="2">
        <f>IF(ISERROR($D$171),"",IF(ISBLANK($D$171),"",$D$171))</f>
        <v/>
      </c>
      <c r="EA171" s="2">
        <f>ISERROR($B$171)*1+ISERROR($D$171)*1</f>
        <v/>
      </c>
    </row>
    <row r="172" ht="48" customHeight="1">
      <c r="A172" s="31">
        <f>IF(LEN($DQ$131)&gt;0,"15 · "&amp;$DQ$131,"15 · (vazia)")</f>
        <v/>
      </c>
      <c r="B172" s="4" t="n"/>
      <c r="C172" s="17" t="n"/>
      <c r="D172" s="4" t="n"/>
      <c r="E172" s="17" t="n"/>
      <c r="F172" s="5">
        <f>IF(OR(LEN($DQ$131)=0,NOT(ISNUMBER($R$131))),"",IF($DS$131="Ataque normal",IF(LEN($DU$131)&gt;0,$DU$131,"Ação")&amp;" ("&amp;IF(LEN($DW$131)&gt;0,$DW$131,"Pessoal")&amp;", "&amp;IF(LEN($DX$131)&gt;0,$DX$131,"Físico")&amp;"): "&amp;INDEX($W$11:$W$22,$R$131)&amp;" · média "&amp;INDEX($X$11:$X$22,$R$131)&amp;IF(LEN($DR$172)&gt;0,", e o alvo recebe "&amp;$DR$172&amp;" por "&amp;IF(ISNUMBER($DZ$131),$DZ$131,1)&amp;IF(AND(ISNUMBER($DZ$131),$DZ$131&gt;1)," turnos"," turno"),""),IF($DS$131="Especial de dano 1 alvo (até 1,5×)",IF(LEN($DU$131)&gt;0,$DU$131,"Ação")&amp;IF(ISNUMBER($DY$131)," (recarga "&amp;$DY$131&amp;" Ciclos)","")&amp;": um alvo a até Distância "&amp;IF(LEN($DW$131)&gt;0,$DW$131,"Pessoal")&amp;IF(LEN($DT$172)&gt;0," faz "&amp;"Teste de "&amp;$DT$172&amp;" contra DT "&amp;INDEX($Y$11:$Y$22,$R$131)&amp;"; se falhar, recebe "," recebe ")&amp;INDEX($CJ$11:$CJ$22,$R$131)&amp;" · média "&amp;INDEX($CK$11:$CK$22,$R$131)&amp;" de dano "&amp;IF(LEN($DX$131)&gt;0,$DX$131,"Físico")&amp;IF(LEN($DR$172)&gt;0," e "&amp;$DR$172&amp;" por "&amp;IF(ISNUMBER($DZ$131),$DZ$131,1)&amp;IF(AND(ISNUMBER($DZ$131),$DZ$131&gt;1)," turnos"," turno"),"")&amp;".",IF($DS$131="Especial de dano 2–3 alvos (dano cheio por alvo)",IF(LEN($DU$131)&gt;0,$DU$131,"Ação")&amp;IF(ISNUMBER($DY$131)," (recarga "&amp;$DY$131&amp;" Ciclos)","")&amp;": até 3 alvos a até uma Distância um do outro "&amp;IF(LEN($DT$172)&gt;0,"fazem "&amp;"Teste de "&amp;$DT$172&amp;" contra DT "&amp;INDEX($Y$11:$Y$22,$R$131)&amp;". Quem falha recebe "&amp;INDEX($W$11:$W$22,$R$131)&amp;" · média "&amp;INDEX($X$11:$X$22,$R$131)&amp;" de dano "&amp;IF(LEN($DX$131)&gt;0,$DX$131,"Físico")&amp;IF(LEN($DR$172)&gt;0," e "&amp;$DR$172&amp;" por "&amp;IF(ISNUMBER($DZ$131),$DZ$131,1)&amp;IF(AND(ISNUMBER($DZ$131),$DZ$131&gt;1)," turnos"," turno"),"")&amp;"; quem passa recebe metade do dano.","recebem, cada um, "&amp;INDEX($W$11:$W$22,$R$131)&amp;" · média "&amp;INDEX($X$11:$X$22,$R$131)&amp;" de dano "&amp;IF(LEN($DX$131)&gt;0,$DX$131,"Físico")&amp;IF(LEN($DR$172)&gt;0," e "&amp;$DR$172&amp;" por "&amp;IF(ISNUMBER($DZ$131),$DZ$131,1)&amp;IF(AND(ISNUMBER($DZ$131),$DZ$131&gt;1)," turnos"," turno"),"")&amp;"."),IF($DS$131="Especial de controle",IF(LEN($DU$131)&gt;0,$DU$131,"Ação")&amp;IF(ISNUMBER($DY$131)," (recarga "&amp;$DY$131&amp;" Ciclos)","")&amp;": o alvo faz "&amp;IF(LEN($DT$172)&gt;0,"Teste de "&amp;$DT$172&amp;" contra DT "&amp;INDEX($Y$11:$Y$22,$R$131),"Teste de Resistência contra DT "&amp;INDEX($Y$11:$Y$22,$R$131))&amp;"; se falhar, recebe "&amp;IF(LEN($DR$172)&gt;0,$DR$172,"(escolha a condição)")&amp;" por "&amp;IF(ISNUMBER($DZ$131),$DZ$131,1)&amp;IF(AND(ISNUMBER($DZ$131),$DZ$131&gt;1)," turnos"," turno")&amp;".",IF($DS$131="Reação",IF(LEN($DU$131)&gt;0,$DU$131,"Ação")&amp;" (Reação"&amp;IF(ISNUMBER($DY$131),", recarga "&amp;$DY$131&amp;" Ciclos","")&amp;")"&amp;IF(LEN($DR$172)&gt;0,": o alvo faz "&amp;IF(LEN($DT$172)&gt;0,"Teste de "&amp;$DT$172&amp;" contra DT "&amp;INDEX($Y$11:$Y$22,$R$131),"Teste de Resistência contra DT "&amp;INDEX($Y$11:$Y$22,$R$131))&amp;"; se falhar, recebe "&amp;$DR$172&amp;" por "&amp;IF(ISNUMBER($DZ$131),$DZ$131,1)&amp;IF(AND(ISNUMBER($DZ$131),$DZ$131&gt;1)," turnos"," turno")&amp;".","."),""))))))</f>
        <v/>
      </c>
      <c r="K172" s="19">
        <f>IF(EA172&gt;0,"O Google leu como fórmula: escolha de novo na lista.",IF(LEN($DQ$131)=0,"",IF(AND($DS$131="Especial de controle",LEN($DR$172)=0),"Ação de controle aplica uma condição do capítulo 21 (28.4)",IF(AND($DS$131="Especial de controle",LEN($DT$172)=0),"Diga o Teste de Resistência do alvo",IF($DR$172="Congelado","Inimigo não aplica Congelamento em personagem (28.2 regra 9)",IF(AND(LEN($DR$172)&gt;0,COUNTIF('Dados'!$BH$6:$BH$18,$DR$172)=0),"Condição fora do capítulo 21: nada de condição nova (28.4)",""))))))</f>
        <v/>
      </c>
      <c r="DR172" s="2">
        <f>IF(ISERROR($B$172),"",IF(ISBLANK($B$172),"",$B$172))</f>
        <v/>
      </c>
      <c r="DT172" s="2">
        <f>IF(ISERROR($D$172),"",IF(ISBLANK($D$172),"",$D$172))</f>
        <v/>
      </c>
      <c r="EA172" s="2">
        <f>ISERROR($B$172)*1+ISERROR($D$172)*1</f>
        <v/>
      </c>
    </row>
    <row r="173" ht="48" customHeight="1">
      <c r="A173" s="43">
        <f>IF(LEN($DQ$132)&gt;0,"16 · "&amp;$DQ$132,"16 · (vazia)")</f>
        <v/>
      </c>
      <c r="B173" s="29" t="n"/>
      <c r="C173" s="17" t="n"/>
      <c r="D173" s="29" t="n"/>
      <c r="E173" s="17" t="n"/>
      <c r="F173" s="10">
        <f>IF(OR(LEN($DQ$132)=0,NOT(ISNUMBER($R$132))),"",IF($DS$132="Ataque normal",IF(LEN($DU$132)&gt;0,$DU$132,"Ação")&amp;" ("&amp;IF(LEN($DW$132)&gt;0,$DW$132,"Pessoal")&amp;", "&amp;IF(LEN($DX$132)&gt;0,$DX$132,"Físico")&amp;"): "&amp;INDEX($W$11:$W$22,$R$132)&amp;" · média "&amp;INDEX($X$11:$X$22,$R$132)&amp;IF(LEN($DR$173)&gt;0,", e o alvo recebe "&amp;$DR$173&amp;" por "&amp;IF(ISNUMBER($DZ$132),$DZ$132,1)&amp;IF(AND(ISNUMBER($DZ$132),$DZ$132&gt;1)," turnos"," turno"),""),IF($DS$132="Especial de dano 1 alvo (até 1,5×)",IF(LEN($DU$132)&gt;0,$DU$132,"Ação")&amp;IF(ISNUMBER($DY$132)," (recarga "&amp;$DY$132&amp;" Ciclos)","")&amp;": um alvo a até Distância "&amp;IF(LEN($DW$132)&gt;0,$DW$132,"Pessoal")&amp;IF(LEN($DT$173)&gt;0," faz "&amp;"Teste de "&amp;$DT$173&amp;" contra DT "&amp;INDEX($Y$11:$Y$22,$R$132)&amp;"; se falhar, recebe "," recebe ")&amp;INDEX($CJ$11:$CJ$22,$R$132)&amp;" · média "&amp;INDEX($CK$11:$CK$22,$R$132)&amp;" de dano "&amp;IF(LEN($DX$132)&gt;0,$DX$132,"Físico")&amp;IF(LEN($DR$173)&gt;0," e "&amp;$DR$173&amp;" por "&amp;IF(ISNUMBER($DZ$132),$DZ$132,1)&amp;IF(AND(ISNUMBER($DZ$132),$DZ$132&gt;1)," turnos"," turno"),"")&amp;".",IF($DS$132="Especial de dano 2–3 alvos (dano cheio por alvo)",IF(LEN($DU$132)&gt;0,$DU$132,"Ação")&amp;IF(ISNUMBER($DY$132)," (recarga "&amp;$DY$132&amp;" Ciclos)","")&amp;": até 3 alvos a até uma Distância um do outro "&amp;IF(LEN($DT$173)&gt;0,"fazem "&amp;"Teste de "&amp;$DT$173&amp;" contra DT "&amp;INDEX($Y$11:$Y$22,$R$132)&amp;". Quem falha recebe "&amp;INDEX($W$11:$W$22,$R$132)&amp;" · média "&amp;INDEX($X$11:$X$22,$R$132)&amp;" de dano "&amp;IF(LEN($DX$132)&gt;0,$DX$132,"Físico")&amp;IF(LEN($DR$173)&gt;0," e "&amp;$DR$173&amp;" por "&amp;IF(ISNUMBER($DZ$132),$DZ$132,1)&amp;IF(AND(ISNUMBER($DZ$132),$DZ$132&gt;1)," turnos"," turno"),"")&amp;"; quem passa recebe metade do dano.","recebem, cada um, "&amp;INDEX($W$11:$W$22,$R$132)&amp;" · média "&amp;INDEX($X$11:$X$22,$R$132)&amp;" de dano "&amp;IF(LEN($DX$132)&gt;0,$DX$132,"Físico")&amp;IF(LEN($DR$173)&gt;0," e "&amp;$DR$173&amp;" por "&amp;IF(ISNUMBER($DZ$132),$DZ$132,1)&amp;IF(AND(ISNUMBER($DZ$132),$DZ$132&gt;1)," turnos"," turno"),"")&amp;"."),IF($DS$132="Especial de controle",IF(LEN($DU$132)&gt;0,$DU$132,"Ação")&amp;IF(ISNUMBER($DY$132)," (recarga "&amp;$DY$132&amp;" Ciclos)","")&amp;": o alvo faz "&amp;IF(LEN($DT$173)&gt;0,"Teste de "&amp;$DT$173&amp;" contra DT "&amp;INDEX($Y$11:$Y$22,$R$132),"Teste de Resistência contra DT "&amp;INDEX($Y$11:$Y$22,$R$132))&amp;"; se falhar, recebe "&amp;IF(LEN($DR$173)&gt;0,$DR$173,"(escolha a condição)")&amp;" por "&amp;IF(ISNUMBER($DZ$132),$DZ$132,1)&amp;IF(AND(ISNUMBER($DZ$132),$DZ$132&gt;1)," turnos"," turno")&amp;".",IF($DS$132="Reação",IF(LEN($DU$132)&gt;0,$DU$132,"Ação")&amp;" (Reação"&amp;IF(ISNUMBER($DY$132),", recarga "&amp;$DY$132&amp;" Ciclos","")&amp;")"&amp;IF(LEN($DR$173)&gt;0,": o alvo faz "&amp;IF(LEN($DT$173)&gt;0,"Teste de "&amp;$DT$173&amp;" contra DT "&amp;INDEX($Y$11:$Y$22,$R$132),"Teste de Resistência contra DT "&amp;INDEX($Y$11:$Y$22,$R$132))&amp;"; se falhar, recebe "&amp;$DR$173&amp;" por "&amp;IF(ISNUMBER($DZ$132),$DZ$132,1)&amp;IF(AND(ISNUMBER($DZ$132),$DZ$132&gt;1)," turnos"," turno")&amp;".","."),""))))))</f>
        <v/>
      </c>
      <c r="K173" s="27">
        <f>IF(EA173&gt;0,"O Google leu como fórmula: escolha de novo na lista.",IF(LEN($DQ$132)=0,"",IF(AND($DS$132="Especial de controle",LEN($DR$173)=0),"Ação de controle aplica uma condição do capítulo 21 (28.4)",IF(AND($DS$132="Especial de controle",LEN($DT$173)=0),"Diga o Teste de Resistência do alvo",IF($DR$173="Congelado","Inimigo não aplica Congelamento em personagem (28.2 regra 9)",IF(AND(LEN($DR$173)&gt;0,COUNTIF('Dados'!$BH$6:$BH$18,$DR$173)=0),"Condição fora do capítulo 21: nada de condição nova (28.4)",""))))))</f>
        <v/>
      </c>
      <c r="DR173" s="2">
        <f>IF(ISERROR($B$173),"",IF(ISBLANK($B$173),"",$B$173))</f>
        <v/>
      </c>
      <c r="DT173" s="2">
        <f>IF(ISERROR($D$173),"",IF(ISBLANK($D$173),"",$D$173))</f>
        <v/>
      </c>
      <c r="EA173" s="2">
        <f>ISERROR($B$173)*1+ISERROR($D$173)*1</f>
        <v/>
      </c>
    </row>
    <row r="174" ht="48" customHeight="1">
      <c r="A174" s="31">
        <f>IF(LEN($DQ$133)&gt;0,"17 · "&amp;$DQ$133,"17 · (vazia)")</f>
        <v/>
      </c>
      <c r="B174" s="4" t="n"/>
      <c r="C174" s="17" t="n"/>
      <c r="D174" s="4" t="n"/>
      <c r="E174" s="17" t="n"/>
      <c r="F174" s="5">
        <f>IF(OR(LEN($DQ$133)=0,NOT(ISNUMBER($R$133))),"",IF($DS$133="Ataque normal",IF(LEN($DU$133)&gt;0,$DU$133,"Ação")&amp;" ("&amp;IF(LEN($DW$133)&gt;0,$DW$133,"Pessoal")&amp;", "&amp;IF(LEN($DX$133)&gt;0,$DX$133,"Físico")&amp;"): "&amp;INDEX($W$11:$W$22,$R$133)&amp;" · média "&amp;INDEX($X$11:$X$22,$R$133)&amp;IF(LEN($DR$174)&gt;0,", e o alvo recebe "&amp;$DR$174&amp;" por "&amp;IF(ISNUMBER($DZ$133),$DZ$133,1)&amp;IF(AND(ISNUMBER($DZ$133),$DZ$133&gt;1)," turnos"," turno"),""),IF($DS$133="Especial de dano 1 alvo (até 1,5×)",IF(LEN($DU$133)&gt;0,$DU$133,"Ação")&amp;IF(ISNUMBER($DY$133)," (recarga "&amp;$DY$133&amp;" Ciclos)","")&amp;": um alvo a até Distância "&amp;IF(LEN($DW$133)&gt;0,$DW$133,"Pessoal")&amp;IF(LEN($DT$174)&gt;0," faz "&amp;"Teste de "&amp;$DT$174&amp;" contra DT "&amp;INDEX($Y$11:$Y$22,$R$133)&amp;"; se falhar, recebe "," recebe ")&amp;INDEX($CJ$11:$CJ$22,$R$133)&amp;" · média "&amp;INDEX($CK$11:$CK$22,$R$133)&amp;" de dano "&amp;IF(LEN($DX$133)&gt;0,$DX$133,"Físico")&amp;IF(LEN($DR$174)&gt;0," e "&amp;$DR$174&amp;" por "&amp;IF(ISNUMBER($DZ$133),$DZ$133,1)&amp;IF(AND(ISNUMBER($DZ$133),$DZ$133&gt;1)," turnos"," turno"),"")&amp;".",IF($DS$133="Especial de dano 2–3 alvos (dano cheio por alvo)",IF(LEN($DU$133)&gt;0,$DU$133,"Ação")&amp;IF(ISNUMBER($DY$133)," (recarga "&amp;$DY$133&amp;" Ciclos)","")&amp;": até 3 alvos a até uma Distância um do outro "&amp;IF(LEN($DT$174)&gt;0,"fazem "&amp;"Teste de "&amp;$DT$174&amp;" contra DT "&amp;INDEX($Y$11:$Y$22,$R$133)&amp;". Quem falha recebe "&amp;INDEX($W$11:$W$22,$R$133)&amp;" · média "&amp;INDEX($X$11:$X$22,$R$133)&amp;" de dano "&amp;IF(LEN($DX$133)&gt;0,$DX$133,"Físico")&amp;IF(LEN($DR$174)&gt;0," e "&amp;$DR$174&amp;" por "&amp;IF(ISNUMBER($DZ$133),$DZ$133,1)&amp;IF(AND(ISNUMBER($DZ$133),$DZ$133&gt;1)," turnos"," turno"),"")&amp;"; quem passa recebe metade do dano.","recebem, cada um, "&amp;INDEX($W$11:$W$22,$R$133)&amp;" · média "&amp;INDEX($X$11:$X$22,$R$133)&amp;" de dano "&amp;IF(LEN($DX$133)&gt;0,$DX$133,"Físico")&amp;IF(LEN($DR$174)&gt;0," e "&amp;$DR$174&amp;" por "&amp;IF(ISNUMBER($DZ$133),$DZ$133,1)&amp;IF(AND(ISNUMBER($DZ$133),$DZ$133&gt;1)," turnos"," turno"),"")&amp;"."),IF($DS$133="Especial de controle",IF(LEN($DU$133)&gt;0,$DU$133,"Ação")&amp;IF(ISNUMBER($DY$133)," (recarga "&amp;$DY$133&amp;" Ciclos)","")&amp;": o alvo faz "&amp;IF(LEN($DT$174)&gt;0,"Teste de "&amp;$DT$174&amp;" contra DT "&amp;INDEX($Y$11:$Y$22,$R$133),"Teste de Resistência contra DT "&amp;INDEX($Y$11:$Y$22,$R$133))&amp;"; se falhar, recebe "&amp;IF(LEN($DR$174)&gt;0,$DR$174,"(escolha a condição)")&amp;" por "&amp;IF(ISNUMBER($DZ$133),$DZ$133,1)&amp;IF(AND(ISNUMBER($DZ$133),$DZ$133&gt;1)," turnos"," turno")&amp;".",IF($DS$133="Reação",IF(LEN($DU$133)&gt;0,$DU$133,"Ação")&amp;" (Reação"&amp;IF(ISNUMBER($DY$133),", recarga "&amp;$DY$133&amp;" Ciclos","")&amp;")"&amp;IF(LEN($DR$174)&gt;0,": o alvo faz "&amp;IF(LEN($DT$174)&gt;0,"Teste de "&amp;$DT$174&amp;" contra DT "&amp;INDEX($Y$11:$Y$22,$R$133),"Teste de Resistência contra DT "&amp;INDEX($Y$11:$Y$22,$R$133))&amp;"; se falhar, recebe "&amp;$DR$174&amp;" por "&amp;IF(ISNUMBER($DZ$133),$DZ$133,1)&amp;IF(AND(ISNUMBER($DZ$133),$DZ$133&gt;1)," turnos"," turno")&amp;".","."),""))))))</f>
        <v/>
      </c>
      <c r="K174" s="19">
        <f>IF(EA174&gt;0,"O Google leu como fórmula: escolha de novo na lista.",IF(LEN($DQ$133)=0,"",IF(AND($DS$133="Especial de controle",LEN($DR$174)=0),"Ação de controle aplica uma condição do capítulo 21 (28.4)",IF(AND($DS$133="Especial de controle",LEN($DT$174)=0),"Diga o Teste de Resistência do alvo",IF($DR$174="Congelado","Inimigo não aplica Congelamento em personagem (28.2 regra 9)",IF(AND(LEN($DR$174)&gt;0,COUNTIF('Dados'!$BH$6:$BH$18,$DR$174)=0),"Condição fora do capítulo 21: nada de condição nova (28.4)",""))))))</f>
        <v/>
      </c>
      <c r="DR174" s="2">
        <f>IF(ISERROR($B$174),"",IF(ISBLANK($B$174),"",$B$174))</f>
        <v/>
      </c>
      <c r="DT174" s="2">
        <f>IF(ISERROR($D$174),"",IF(ISBLANK($D$174),"",$D$174))</f>
        <v/>
      </c>
      <c r="EA174" s="2">
        <f>ISERROR($B$174)*1+ISERROR($D$174)*1</f>
        <v/>
      </c>
    </row>
    <row r="175" ht="48" customHeight="1">
      <c r="A175" s="43">
        <f>IF(LEN($DQ$134)&gt;0,"18 · "&amp;$DQ$134,"18 · (vazia)")</f>
        <v/>
      </c>
      <c r="B175" s="29" t="n"/>
      <c r="C175" s="17" t="n"/>
      <c r="D175" s="29" t="n"/>
      <c r="E175" s="17" t="n"/>
      <c r="F175" s="10">
        <f>IF(OR(LEN($DQ$134)=0,NOT(ISNUMBER($R$134))),"",IF($DS$134="Ataque normal",IF(LEN($DU$134)&gt;0,$DU$134,"Ação")&amp;" ("&amp;IF(LEN($DW$134)&gt;0,$DW$134,"Pessoal")&amp;", "&amp;IF(LEN($DX$134)&gt;0,$DX$134,"Físico")&amp;"): "&amp;INDEX($W$11:$W$22,$R$134)&amp;" · média "&amp;INDEX($X$11:$X$22,$R$134)&amp;IF(LEN($DR$175)&gt;0,", e o alvo recebe "&amp;$DR$175&amp;" por "&amp;IF(ISNUMBER($DZ$134),$DZ$134,1)&amp;IF(AND(ISNUMBER($DZ$134),$DZ$134&gt;1)," turnos"," turno"),""),IF($DS$134="Especial de dano 1 alvo (até 1,5×)",IF(LEN($DU$134)&gt;0,$DU$134,"Ação")&amp;IF(ISNUMBER($DY$134)," (recarga "&amp;$DY$134&amp;" Ciclos)","")&amp;": um alvo a até Distância "&amp;IF(LEN($DW$134)&gt;0,$DW$134,"Pessoal")&amp;IF(LEN($DT$175)&gt;0," faz "&amp;"Teste de "&amp;$DT$175&amp;" contra DT "&amp;INDEX($Y$11:$Y$22,$R$134)&amp;"; se falhar, recebe "," recebe ")&amp;INDEX($CJ$11:$CJ$22,$R$134)&amp;" · média "&amp;INDEX($CK$11:$CK$22,$R$134)&amp;" de dano "&amp;IF(LEN($DX$134)&gt;0,$DX$134,"Físico")&amp;IF(LEN($DR$175)&gt;0," e "&amp;$DR$175&amp;" por "&amp;IF(ISNUMBER($DZ$134),$DZ$134,1)&amp;IF(AND(ISNUMBER($DZ$134),$DZ$134&gt;1)," turnos"," turno"),"")&amp;".",IF($DS$134="Especial de dano 2–3 alvos (dano cheio por alvo)",IF(LEN($DU$134)&gt;0,$DU$134,"Ação")&amp;IF(ISNUMBER($DY$134)," (recarga "&amp;$DY$134&amp;" Ciclos)","")&amp;": até 3 alvos a até uma Distância um do outro "&amp;IF(LEN($DT$175)&gt;0,"fazem "&amp;"Teste de "&amp;$DT$175&amp;" contra DT "&amp;INDEX($Y$11:$Y$22,$R$134)&amp;". Quem falha recebe "&amp;INDEX($W$11:$W$22,$R$134)&amp;" · média "&amp;INDEX($X$11:$X$22,$R$134)&amp;" de dano "&amp;IF(LEN($DX$134)&gt;0,$DX$134,"Físico")&amp;IF(LEN($DR$175)&gt;0," e "&amp;$DR$175&amp;" por "&amp;IF(ISNUMBER($DZ$134),$DZ$134,1)&amp;IF(AND(ISNUMBER($DZ$134),$DZ$134&gt;1)," turnos"," turno"),"")&amp;"; quem passa recebe metade do dano.","recebem, cada um, "&amp;INDEX($W$11:$W$22,$R$134)&amp;" · média "&amp;INDEX($X$11:$X$22,$R$134)&amp;" de dano "&amp;IF(LEN($DX$134)&gt;0,$DX$134,"Físico")&amp;IF(LEN($DR$175)&gt;0," e "&amp;$DR$175&amp;" por "&amp;IF(ISNUMBER($DZ$134),$DZ$134,1)&amp;IF(AND(ISNUMBER($DZ$134),$DZ$134&gt;1)," turnos"," turno"),"")&amp;"."),IF($DS$134="Especial de controle",IF(LEN($DU$134)&gt;0,$DU$134,"Ação")&amp;IF(ISNUMBER($DY$134)," (recarga "&amp;$DY$134&amp;" Ciclos)","")&amp;": o alvo faz "&amp;IF(LEN($DT$175)&gt;0,"Teste de "&amp;$DT$175&amp;" contra DT "&amp;INDEX($Y$11:$Y$22,$R$134),"Teste de Resistência contra DT "&amp;INDEX($Y$11:$Y$22,$R$134))&amp;"; se falhar, recebe "&amp;IF(LEN($DR$175)&gt;0,$DR$175,"(escolha a condição)")&amp;" por "&amp;IF(ISNUMBER($DZ$134),$DZ$134,1)&amp;IF(AND(ISNUMBER($DZ$134),$DZ$134&gt;1)," turnos"," turno")&amp;".",IF($DS$134="Reação",IF(LEN($DU$134)&gt;0,$DU$134,"Ação")&amp;" (Reação"&amp;IF(ISNUMBER($DY$134),", recarga "&amp;$DY$134&amp;" Ciclos","")&amp;")"&amp;IF(LEN($DR$175)&gt;0,": o alvo faz "&amp;IF(LEN($DT$175)&gt;0,"Teste de "&amp;$DT$175&amp;" contra DT "&amp;INDEX($Y$11:$Y$22,$R$134),"Teste de Resistência contra DT "&amp;INDEX($Y$11:$Y$22,$R$134))&amp;"; se falhar, recebe "&amp;$DR$175&amp;" por "&amp;IF(ISNUMBER($DZ$134),$DZ$134,1)&amp;IF(AND(ISNUMBER($DZ$134),$DZ$134&gt;1)," turnos"," turno")&amp;".","."),""))))))</f>
        <v/>
      </c>
      <c r="K175" s="27">
        <f>IF(EA175&gt;0,"O Google leu como fórmula: escolha de novo na lista.",IF(LEN($DQ$134)=0,"",IF(AND($DS$134="Especial de controle",LEN($DR$175)=0),"Ação de controle aplica uma condição do capítulo 21 (28.4)",IF(AND($DS$134="Especial de controle",LEN($DT$175)=0),"Diga o Teste de Resistência do alvo",IF($DR$175="Congelado","Inimigo não aplica Congelamento em personagem (28.2 regra 9)",IF(AND(LEN($DR$175)&gt;0,COUNTIF('Dados'!$BH$6:$BH$18,$DR$175)=0),"Condição fora do capítulo 21: nada de condição nova (28.4)",""))))))</f>
        <v/>
      </c>
      <c r="DR175" s="2">
        <f>IF(ISERROR($B$175),"",IF(ISBLANK($B$175),"",$B$175))</f>
        <v/>
      </c>
      <c r="DT175" s="2">
        <f>IF(ISERROR($D$175),"",IF(ISBLANK($D$175),"",$D$175))</f>
        <v/>
      </c>
      <c r="EA175" s="2">
        <f>ISERROR($B$175)*1+ISERROR($D$175)*1</f>
        <v/>
      </c>
    </row>
    <row r="176" ht="48" customHeight="1">
      <c r="A176" s="31">
        <f>IF(LEN($DQ$135)&gt;0,"19 · "&amp;$DQ$135,"19 · (vazia)")</f>
        <v/>
      </c>
      <c r="B176" s="4" t="n"/>
      <c r="C176" s="17" t="n"/>
      <c r="D176" s="4" t="n"/>
      <c r="E176" s="17" t="n"/>
      <c r="F176" s="5">
        <f>IF(OR(LEN($DQ$135)=0,NOT(ISNUMBER($R$135))),"",IF($DS$135="Ataque normal",IF(LEN($DU$135)&gt;0,$DU$135,"Ação")&amp;" ("&amp;IF(LEN($DW$135)&gt;0,$DW$135,"Pessoal")&amp;", "&amp;IF(LEN($DX$135)&gt;0,$DX$135,"Físico")&amp;"): "&amp;INDEX($W$11:$W$22,$R$135)&amp;" · média "&amp;INDEX($X$11:$X$22,$R$135)&amp;IF(LEN($DR$176)&gt;0,", e o alvo recebe "&amp;$DR$176&amp;" por "&amp;IF(ISNUMBER($DZ$135),$DZ$135,1)&amp;IF(AND(ISNUMBER($DZ$135),$DZ$135&gt;1)," turnos"," turno"),""),IF($DS$135="Especial de dano 1 alvo (até 1,5×)",IF(LEN($DU$135)&gt;0,$DU$135,"Ação")&amp;IF(ISNUMBER($DY$135)," (recarga "&amp;$DY$135&amp;" Ciclos)","")&amp;": um alvo a até Distância "&amp;IF(LEN($DW$135)&gt;0,$DW$135,"Pessoal")&amp;IF(LEN($DT$176)&gt;0," faz "&amp;"Teste de "&amp;$DT$176&amp;" contra DT "&amp;INDEX($Y$11:$Y$22,$R$135)&amp;"; se falhar, recebe "," recebe ")&amp;INDEX($CJ$11:$CJ$22,$R$135)&amp;" · média "&amp;INDEX($CK$11:$CK$22,$R$135)&amp;" de dano "&amp;IF(LEN($DX$135)&gt;0,$DX$135,"Físico")&amp;IF(LEN($DR$176)&gt;0," e "&amp;$DR$176&amp;" por "&amp;IF(ISNUMBER($DZ$135),$DZ$135,1)&amp;IF(AND(ISNUMBER($DZ$135),$DZ$135&gt;1)," turnos"," turno"),"")&amp;".",IF($DS$135="Especial de dano 2–3 alvos (dano cheio por alvo)",IF(LEN($DU$135)&gt;0,$DU$135,"Ação")&amp;IF(ISNUMBER($DY$135)," (recarga "&amp;$DY$135&amp;" Ciclos)","")&amp;": até 3 alvos a até uma Distância um do outro "&amp;IF(LEN($DT$176)&gt;0,"fazem "&amp;"Teste de "&amp;$DT$176&amp;" contra DT "&amp;INDEX($Y$11:$Y$22,$R$135)&amp;". Quem falha recebe "&amp;INDEX($W$11:$W$22,$R$135)&amp;" · média "&amp;INDEX($X$11:$X$22,$R$135)&amp;" de dano "&amp;IF(LEN($DX$135)&gt;0,$DX$135,"Físico")&amp;IF(LEN($DR$176)&gt;0," e "&amp;$DR$176&amp;" por "&amp;IF(ISNUMBER($DZ$135),$DZ$135,1)&amp;IF(AND(ISNUMBER($DZ$135),$DZ$135&gt;1)," turnos"," turno"),"")&amp;"; quem passa recebe metade do dano.","recebem, cada um, "&amp;INDEX($W$11:$W$22,$R$135)&amp;" · média "&amp;INDEX($X$11:$X$22,$R$135)&amp;" de dano "&amp;IF(LEN($DX$135)&gt;0,$DX$135,"Físico")&amp;IF(LEN($DR$176)&gt;0," e "&amp;$DR$176&amp;" por "&amp;IF(ISNUMBER($DZ$135),$DZ$135,1)&amp;IF(AND(ISNUMBER($DZ$135),$DZ$135&gt;1)," turnos"," turno"),"")&amp;"."),IF($DS$135="Especial de controle",IF(LEN($DU$135)&gt;0,$DU$135,"Ação")&amp;IF(ISNUMBER($DY$135)," (recarga "&amp;$DY$135&amp;" Ciclos)","")&amp;": o alvo faz "&amp;IF(LEN($DT$176)&gt;0,"Teste de "&amp;$DT$176&amp;" contra DT "&amp;INDEX($Y$11:$Y$22,$R$135),"Teste de Resistência contra DT "&amp;INDEX($Y$11:$Y$22,$R$135))&amp;"; se falhar, recebe "&amp;IF(LEN($DR$176)&gt;0,$DR$176,"(escolha a condição)")&amp;" por "&amp;IF(ISNUMBER($DZ$135),$DZ$135,1)&amp;IF(AND(ISNUMBER($DZ$135),$DZ$135&gt;1)," turnos"," turno")&amp;".",IF($DS$135="Reação",IF(LEN($DU$135)&gt;0,$DU$135,"Ação")&amp;" (Reação"&amp;IF(ISNUMBER($DY$135),", recarga "&amp;$DY$135&amp;" Ciclos","")&amp;")"&amp;IF(LEN($DR$176)&gt;0,": o alvo faz "&amp;IF(LEN($DT$176)&gt;0,"Teste de "&amp;$DT$176&amp;" contra DT "&amp;INDEX($Y$11:$Y$22,$R$135),"Teste de Resistência contra DT "&amp;INDEX($Y$11:$Y$22,$R$135))&amp;"; se falhar, recebe "&amp;$DR$176&amp;" por "&amp;IF(ISNUMBER($DZ$135),$DZ$135,1)&amp;IF(AND(ISNUMBER($DZ$135),$DZ$135&gt;1)," turnos"," turno")&amp;".","."),""))))))</f>
        <v/>
      </c>
      <c r="K176" s="19">
        <f>IF(EA176&gt;0,"O Google leu como fórmula: escolha de novo na lista.",IF(LEN($DQ$135)=0,"",IF(AND($DS$135="Especial de controle",LEN($DR$176)=0),"Ação de controle aplica uma condição do capítulo 21 (28.4)",IF(AND($DS$135="Especial de controle",LEN($DT$176)=0),"Diga o Teste de Resistência do alvo",IF($DR$176="Congelado","Inimigo não aplica Congelamento em personagem (28.2 regra 9)",IF(AND(LEN($DR$176)&gt;0,COUNTIF('Dados'!$BH$6:$BH$18,$DR$176)=0),"Condição fora do capítulo 21: nada de condição nova (28.4)",""))))))</f>
        <v/>
      </c>
      <c r="DR176" s="2">
        <f>IF(ISERROR($B$176),"",IF(ISBLANK($B$176),"",$B$176))</f>
        <v/>
      </c>
      <c r="DT176" s="2">
        <f>IF(ISERROR($D$176),"",IF(ISBLANK($D$176),"",$D$176))</f>
        <v/>
      </c>
      <c r="EA176" s="2">
        <f>ISERROR($B$176)*1+ISERROR($D$176)*1</f>
        <v/>
      </c>
    </row>
    <row r="177" ht="48" customHeight="1">
      <c r="A177" s="43">
        <f>IF(LEN($DQ$136)&gt;0,"20 · "&amp;$DQ$136,"20 · (vazia)")</f>
        <v/>
      </c>
      <c r="B177" s="29" t="n"/>
      <c r="C177" s="17" t="n"/>
      <c r="D177" s="29" t="n"/>
      <c r="E177" s="17" t="n"/>
      <c r="F177" s="10">
        <f>IF(OR(LEN($DQ$136)=0,NOT(ISNUMBER($R$136))),"",IF($DS$136="Ataque normal",IF(LEN($DU$136)&gt;0,$DU$136,"Ação")&amp;" ("&amp;IF(LEN($DW$136)&gt;0,$DW$136,"Pessoal")&amp;", "&amp;IF(LEN($DX$136)&gt;0,$DX$136,"Físico")&amp;"): "&amp;INDEX($W$11:$W$22,$R$136)&amp;" · média "&amp;INDEX($X$11:$X$22,$R$136)&amp;IF(LEN($DR$177)&gt;0,", e o alvo recebe "&amp;$DR$177&amp;" por "&amp;IF(ISNUMBER($DZ$136),$DZ$136,1)&amp;IF(AND(ISNUMBER($DZ$136),$DZ$136&gt;1)," turnos"," turno"),""),IF($DS$136="Especial de dano 1 alvo (até 1,5×)",IF(LEN($DU$136)&gt;0,$DU$136,"Ação")&amp;IF(ISNUMBER($DY$136)," (recarga "&amp;$DY$136&amp;" Ciclos)","")&amp;": um alvo a até Distância "&amp;IF(LEN($DW$136)&gt;0,$DW$136,"Pessoal")&amp;IF(LEN($DT$177)&gt;0," faz "&amp;"Teste de "&amp;$DT$177&amp;" contra DT "&amp;INDEX($Y$11:$Y$22,$R$136)&amp;"; se falhar, recebe "," recebe ")&amp;INDEX($CJ$11:$CJ$22,$R$136)&amp;" · média "&amp;INDEX($CK$11:$CK$22,$R$136)&amp;" de dano "&amp;IF(LEN($DX$136)&gt;0,$DX$136,"Físico")&amp;IF(LEN($DR$177)&gt;0," e "&amp;$DR$177&amp;" por "&amp;IF(ISNUMBER($DZ$136),$DZ$136,1)&amp;IF(AND(ISNUMBER($DZ$136),$DZ$136&gt;1)," turnos"," turno"),"")&amp;".",IF($DS$136="Especial de dano 2–3 alvos (dano cheio por alvo)",IF(LEN($DU$136)&gt;0,$DU$136,"Ação")&amp;IF(ISNUMBER($DY$136)," (recarga "&amp;$DY$136&amp;" Ciclos)","")&amp;": até 3 alvos a até uma Distância um do outro "&amp;IF(LEN($DT$177)&gt;0,"fazem "&amp;"Teste de "&amp;$DT$177&amp;" contra DT "&amp;INDEX($Y$11:$Y$22,$R$136)&amp;". Quem falha recebe "&amp;INDEX($W$11:$W$22,$R$136)&amp;" · média "&amp;INDEX($X$11:$X$22,$R$136)&amp;" de dano "&amp;IF(LEN($DX$136)&gt;0,$DX$136,"Físico")&amp;IF(LEN($DR$177)&gt;0," e "&amp;$DR$177&amp;" por "&amp;IF(ISNUMBER($DZ$136),$DZ$136,1)&amp;IF(AND(ISNUMBER($DZ$136),$DZ$136&gt;1)," turnos"," turno"),"")&amp;"; quem passa recebe metade do dano.","recebem, cada um, "&amp;INDEX($W$11:$W$22,$R$136)&amp;" · média "&amp;INDEX($X$11:$X$22,$R$136)&amp;" de dano "&amp;IF(LEN($DX$136)&gt;0,$DX$136,"Físico")&amp;IF(LEN($DR$177)&gt;0," e "&amp;$DR$177&amp;" por "&amp;IF(ISNUMBER($DZ$136),$DZ$136,1)&amp;IF(AND(ISNUMBER($DZ$136),$DZ$136&gt;1)," turnos"," turno"),"")&amp;"."),IF($DS$136="Especial de controle",IF(LEN($DU$136)&gt;0,$DU$136,"Ação")&amp;IF(ISNUMBER($DY$136)," (recarga "&amp;$DY$136&amp;" Ciclos)","")&amp;": o alvo faz "&amp;IF(LEN($DT$177)&gt;0,"Teste de "&amp;$DT$177&amp;" contra DT "&amp;INDEX($Y$11:$Y$22,$R$136),"Teste de Resistência contra DT "&amp;INDEX($Y$11:$Y$22,$R$136))&amp;"; se falhar, recebe "&amp;IF(LEN($DR$177)&gt;0,$DR$177,"(escolha a condição)")&amp;" por "&amp;IF(ISNUMBER($DZ$136),$DZ$136,1)&amp;IF(AND(ISNUMBER($DZ$136),$DZ$136&gt;1)," turnos"," turno")&amp;".",IF($DS$136="Reação",IF(LEN($DU$136)&gt;0,$DU$136,"Ação")&amp;" (Reação"&amp;IF(ISNUMBER($DY$136),", recarga "&amp;$DY$136&amp;" Ciclos","")&amp;")"&amp;IF(LEN($DR$177)&gt;0,": o alvo faz "&amp;IF(LEN($DT$177)&gt;0,"Teste de "&amp;$DT$177&amp;" contra DT "&amp;INDEX($Y$11:$Y$22,$R$136),"Teste de Resistência contra DT "&amp;INDEX($Y$11:$Y$22,$R$136))&amp;"; se falhar, recebe "&amp;$DR$177&amp;" por "&amp;IF(ISNUMBER($DZ$136),$DZ$136,1)&amp;IF(AND(ISNUMBER($DZ$136),$DZ$136&gt;1)," turnos"," turno")&amp;".","."),""))))))</f>
        <v/>
      </c>
      <c r="K177" s="27">
        <f>IF(EA177&gt;0,"O Google leu como fórmula: escolha de novo na lista.",IF(LEN($DQ$136)=0,"",IF(AND($DS$136="Especial de controle",LEN($DR$177)=0),"Ação de controle aplica uma condição do capítulo 21 (28.4)",IF(AND($DS$136="Especial de controle",LEN($DT$177)=0),"Diga o Teste de Resistência do alvo",IF($DR$177="Congelado","Inimigo não aplica Congelamento em personagem (28.2 regra 9)",IF(AND(LEN($DR$177)&gt;0,COUNTIF('Dados'!$BH$6:$BH$18,$DR$177)=0),"Condição fora do capítulo 21: nada de condição nova (28.4)",""))))))</f>
        <v/>
      </c>
      <c r="DR177" s="2">
        <f>IF(ISERROR($B$177),"",IF(ISBLANK($B$177),"",$B$177))</f>
        <v/>
      </c>
      <c r="DT177" s="2">
        <f>IF(ISERROR($D$177),"",IF(ISBLANK($D$177),"",$D$177))</f>
        <v/>
      </c>
      <c r="EA177" s="2">
        <f>ISERROR($B$177)*1+ISERROR($D$177)*1</f>
        <v/>
      </c>
    </row>
    <row r="178" ht="48" customHeight="1">
      <c r="A178" s="31">
        <f>IF(LEN($DQ$137)&gt;0,"21 · "&amp;$DQ$137,"21 · (vazia)")</f>
        <v/>
      </c>
      <c r="B178" s="4" t="n"/>
      <c r="C178" s="17" t="n"/>
      <c r="D178" s="4" t="n"/>
      <c r="E178" s="17" t="n"/>
      <c r="F178" s="5">
        <f>IF(OR(LEN($DQ$137)=0,NOT(ISNUMBER($R$137))),"",IF($DS$137="Ataque normal",IF(LEN($DU$137)&gt;0,$DU$137,"Ação")&amp;" ("&amp;IF(LEN($DW$137)&gt;0,$DW$137,"Pessoal")&amp;", "&amp;IF(LEN($DX$137)&gt;0,$DX$137,"Físico")&amp;"): "&amp;INDEX($W$11:$W$22,$R$137)&amp;" · média "&amp;INDEX($X$11:$X$22,$R$137)&amp;IF(LEN($DR$178)&gt;0,", e o alvo recebe "&amp;$DR$178&amp;" por "&amp;IF(ISNUMBER($DZ$137),$DZ$137,1)&amp;IF(AND(ISNUMBER($DZ$137),$DZ$137&gt;1)," turnos"," turno"),""),IF($DS$137="Especial de dano 1 alvo (até 1,5×)",IF(LEN($DU$137)&gt;0,$DU$137,"Ação")&amp;IF(ISNUMBER($DY$137)," (recarga "&amp;$DY$137&amp;" Ciclos)","")&amp;": um alvo a até Distância "&amp;IF(LEN($DW$137)&gt;0,$DW$137,"Pessoal")&amp;IF(LEN($DT$178)&gt;0," faz "&amp;"Teste de "&amp;$DT$178&amp;" contra DT "&amp;INDEX($Y$11:$Y$22,$R$137)&amp;"; se falhar, recebe "," recebe ")&amp;INDEX($CJ$11:$CJ$22,$R$137)&amp;" · média "&amp;INDEX($CK$11:$CK$22,$R$137)&amp;" de dano "&amp;IF(LEN($DX$137)&gt;0,$DX$137,"Físico")&amp;IF(LEN($DR$178)&gt;0," e "&amp;$DR$178&amp;" por "&amp;IF(ISNUMBER($DZ$137),$DZ$137,1)&amp;IF(AND(ISNUMBER($DZ$137),$DZ$137&gt;1)," turnos"," turno"),"")&amp;".",IF($DS$137="Especial de dano 2–3 alvos (dano cheio por alvo)",IF(LEN($DU$137)&gt;0,$DU$137,"Ação")&amp;IF(ISNUMBER($DY$137)," (recarga "&amp;$DY$137&amp;" Ciclos)","")&amp;": até 3 alvos a até uma Distância um do outro "&amp;IF(LEN($DT$178)&gt;0,"fazem "&amp;"Teste de "&amp;$DT$178&amp;" contra DT "&amp;INDEX($Y$11:$Y$22,$R$137)&amp;". Quem falha recebe "&amp;INDEX($W$11:$W$22,$R$137)&amp;" · média "&amp;INDEX($X$11:$X$22,$R$137)&amp;" de dano "&amp;IF(LEN($DX$137)&gt;0,$DX$137,"Físico")&amp;IF(LEN($DR$178)&gt;0," e "&amp;$DR$178&amp;" por "&amp;IF(ISNUMBER($DZ$137),$DZ$137,1)&amp;IF(AND(ISNUMBER($DZ$137),$DZ$137&gt;1)," turnos"," turno"),"")&amp;"; quem passa recebe metade do dano.","recebem, cada um, "&amp;INDEX($W$11:$W$22,$R$137)&amp;" · média "&amp;INDEX($X$11:$X$22,$R$137)&amp;" de dano "&amp;IF(LEN($DX$137)&gt;0,$DX$137,"Físico")&amp;IF(LEN($DR$178)&gt;0," e "&amp;$DR$178&amp;" por "&amp;IF(ISNUMBER($DZ$137),$DZ$137,1)&amp;IF(AND(ISNUMBER($DZ$137),$DZ$137&gt;1)," turnos"," turno"),"")&amp;"."),IF($DS$137="Especial de controle",IF(LEN($DU$137)&gt;0,$DU$137,"Ação")&amp;IF(ISNUMBER($DY$137)," (recarga "&amp;$DY$137&amp;" Ciclos)","")&amp;": o alvo faz "&amp;IF(LEN($DT$178)&gt;0,"Teste de "&amp;$DT$178&amp;" contra DT "&amp;INDEX($Y$11:$Y$22,$R$137),"Teste de Resistência contra DT "&amp;INDEX($Y$11:$Y$22,$R$137))&amp;"; se falhar, recebe "&amp;IF(LEN($DR$178)&gt;0,$DR$178,"(escolha a condição)")&amp;" por "&amp;IF(ISNUMBER($DZ$137),$DZ$137,1)&amp;IF(AND(ISNUMBER($DZ$137),$DZ$137&gt;1)," turnos"," turno")&amp;".",IF($DS$137="Reação",IF(LEN($DU$137)&gt;0,$DU$137,"Ação")&amp;" (Reação"&amp;IF(ISNUMBER($DY$137),", recarga "&amp;$DY$137&amp;" Ciclos","")&amp;")"&amp;IF(LEN($DR$178)&gt;0,": o alvo faz "&amp;IF(LEN($DT$178)&gt;0,"Teste de "&amp;$DT$178&amp;" contra DT "&amp;INDEX($Y$11:$Y$22,$R$137),"Teste de Resistência contra DT "&amp;INDEX($Y$11:$Y$22,$R$137))&amp;"; se falhar, recebe "&amp;$DR$178&amp;" por "&amp;IF(ISNUMBER($DZ$137),$DZ$137,1)&amp;IF(AND(ISNUMBER($DZ$137),$DZ$137&gt;1)," turnos"," turno")&amp;".","."),""))))))</f>
        <v/>
      </c>
      <c r="K178" s="19">
        <f>IF(EA178&gt;0,"O Google leu como fórmula: escolha de novo na lista.",IF(LEN($DQ$137)=0,"",IF(AND($DS$137="Especial de controle",LEN($DR$178)=0),"Ação de controle aplica uma condição do capítulo 21 (28.4)",IF(AND($DS$137="Especial de controle",LEN($DT$178)=0),"Diga o Teste de Resistência do alvo",IF($DR$178="Congelado","Inimigo não aplica Congelamento em personagem (28.2 regra 9)",IF(AND(LEN($DR$178)&gt;0,COUNTIF('Dados'!$BH$6:$BH$18,$DR$178)=0),"Condição fora do capítulo 21: nada de condição nova (28.4)",""))))))</f>
        <v/>
      </c>
      <c r="DR178" s="2">
        <f>IF(ISERROR($B$178),"",IF(ISBLANK($B$178),"",$B$178))</f>
        <v/>
      </c>
      <c r="DT178" s="2">
        <f>IF(ISERROR($D$178),"",IF(ISBLANK($D$178),"",$D$178))</f>
        <v/>
      </c>
      <c r="EA178" s="2">
        <f>ISERROR($B$178)*1+ISERROR($D$178)*1</f>
        <v/>
      </c>
    </row>
    <row r="179" ht="48" customHeight="1">
      <c r="A179" s="43">
        <f>IF(LEN($DQ$138)&gt;0,"22 · "&amp;$DQ$138,"22 · (vazia)")</f>
        <v/>
      </c>
      <c r="B179" s="29" t="n"/>
      <c r="C179" s="17" t="n"/>
      <c r="D179" s="29" t="n"/>
      <c r="E179" s="17" t="n"/>
      <c r="F179" s="10">
        <f>IF(OR(LEN($DQ$138)=0,NOT(ISNUMBER($R$138))),"",IF($DS$138="Ataque normal",IF(LEN($DU$138)&gt;0,$DU$138,"Ação")&amp;" ("&amp;IF(LEN($DW$138)&gt;0,$DW$138,"Pessoal")&amp;", "&amp;IF(LEN($DX$138)&gt;0,$DX$138,"Físico")&amp;"): "&amp;INDEX($W$11:$W$22,$R$138)&amp;" · média "&amp;INDEX($X$11:$X$22,$R$138)&amp;IF(LEN($DR$179)&gt;0,", e o alvo recebe "&amp;$DR$179&amp;" por "&amp;IF(ISNUMBER($DZ$138),$DZ$138,1)&amp;IF(AND(ISNUMBER($DZ$138),$DZ$138&gt;1)," turnos"," turno"),""),IF($DS$138="Especial de dano 1 alvo (até 1,5×)",IF(LEN($DU$138)&gt;0,$DU$138,"Ação")&amp;IF(ISNUMBER($DY$138)," (recarga "&amp;$DY$138&amp;" Ciclos)","")&amp;": um alvo a até Distância "&amp;IF(LEN($DW$138)&gt;0,$DW$138,"Pessoal")&amp;IF(LEN($DT$179)&gt;0," faz "&amp;"Teste de "&amp;$DT$179&amp;" contra DT "&amp;INDEX($Y$11:$Y$22,$R$138)&amp;"; se falhar, recebe "," recebe ")&amp;INDEX($CJ$11:$CJ$22,$R$138)&amp;" · média "&amp;INDEX($CK$11:$CK$22,$R$138)&amp;" de dano "&amp;IF(LEN($DX$138)&gt;0,$DX$138,"Físico")&amp;IF(LEN($DR$179)&gt;0," e "&amp;$DR$179&amp;" por "&amp;IF(ISNUMBER($DZ$138),$DZ$138,1)&amp;IF(AND(ISNUMBER($DZ$138),$DZ$138&gt;1)," turnos"," turno"),"")&amp;".",IF($DS$138="Especial de dano 2–3 alvos (dano cheio por alvo)",IF(LEN($DU$138)&gt;0,$DU$138,"Ação")&amp;IF(ISNUMBER($DY$138)," (recarga "&amp;$DY$138&amp;" Ciclos)","")&amp;": até 3 alvos a até uma Distância um do outro "&amp;IF(LEN($DT$179)&gt;0,"fazem "&amp;"Teste de "&amp;$DT$179&amp;" contra DT "&amp;INDEX($Y$11:$Y$22,$R$138)&amp;". Quem falha recebe "&amp;INDEX($W$11:$W$22,$R$138)&amp;" · média "&amp;INDEX($X$11:$X$22,$R$138)&amp;" de dano "&amp;IF(LEN($DX$138)&gt;0,$DX$138,"Físico")&amp;IF(LEN($DR$179)&gt;0," e "&amp;$DR$179&amp;" por "&amp;IF(ISNUMBER($DZ$138),$DZ$138,1)&amp;IF(AND(ISNUMBER($DZ$138),$DZ$138&gt;1)," turnos"," turno"),"")&amp;"; quem passa recebe metade do dano.","recebem, cada um, "&amp;INDEX($W$11:$W$22,$R$138)&amp;" · média "&amp;INDEX($X$11:$X$22,$R$138)&amp;" de dano "&amp;IF(LEN($DX$138)&gt;0,$DX$138,"Físico")&amp;IF(LEN($DR$179)&gt;0," e "&amp;$DR$179&amp;" por "&amp;IF(ISNUMBER($DZ$138),$DZ$138,1)&amp;IF(AND(ISNUMBER($DZ$138),$DZ$138&gt;1)," turnos"," turno"),"")&amp;"."),IF($DS$138="Especial de controle",IF(LEN($DU$138)&gt;0,$DU$138,"Ação")&amp;IF(ISNUMBER($DY$138)," (recarga "&amp;$DY$138&amp;" Ciclos)","")&amp;": o alvo faz "&amp;IF(LEN($DT$179)&gt;0,"Teste de "&amp;$DT$179&amp;" contra DT "&amp;INDEX($Y$11:$Y$22,$R$138),"Teste de Resistência contra DT "&amp;INDEX($Y$11:$Y$22,$R$138))&amp;"; se falhar, recebe "&amp;IF(LEN($DR$179)&gt;0,$DR$179,"(escolha a condição)")&amp;" por "&amp;IF(ISNUMBER($DZ$138),$DZ$138,1)&amp;IF(AND(ISNUMBER($DZ$138),$DZ$138&gt;1)," turnos"," turno")&amp;".",IF($DS$138="Reação",IF(LEN($DU$138)&gt;0,$DU$138,"Ação")&amp;" (Reação"&amp;IF(ISNUMBER($DY$138),", recarga "&amp;$DY$138&amp;" Ciclos","")&amp;")"&amp;IF(LEN($DR$179)&gt;0,": o alvo faz "&amp;IF(LEN($DT$179)&gt;0,"Teste de "&amp;$DT$179&amp;" contra DT "&amp;INDEX($Y$11:$Y$22,$R$138),"Teste de Resistência contra DT "&amp;INDEX($Y$11:$Y$22,$R$138))&amp;"; se falhar, recebe "&amp;$DR$179&amp;" por "&amp;IF(ISNUMBER($DZ$138),$DZ$138,1)&amp;IF(AND(ISNUMBER($DZ$138),$DZ$138&gt;1)," turnos"," turno")&amp;".","."),""))))))</f>
        <v/>
      </c>
      <c r="K179" s="27">
        <f>IF(EA179&gt;0,"O Google leu como fórmula: escolha de novo na lista.",IF(LEN($DQ$138)=0,"",IF(AND($DS$138="Especial de controle",LEN($DR$179)=0),"Ação de controle aplica uma condição do capítulo 21 (28.4)",IF(AND($DS$138="Especial de controle",LEN($DT$179)=0),"Diga o Teste de Resistência do alvo",IF($DR$179="Congelado","Inimigo não aplica Congelamento em personagem (28.2 regra 9)",IF(AND(LEN($DR$179)&gt;0,COUNTIF('Dados'!$BH$6:$BH$18,$DR$179)=0),"Condição fora do capítulo 21: nada de condição nova (28.4)",""))))))</f>
        <v/>
      </c>
      <c r="DR179" s="2">
        <f>IF(ISERROR($B$179),"",IF(ISBLANK($B$179),"",$B$179))</f>
        <v/>
      </c>
      <c r="DT179" s="2">
        <f>IF(ISERROR($D$179),"",IF(ISBLANK($D$179),"",$D$179))</f>
        <v/>
      </c>
      <c r="EA179" s="2">
        <f>ISERROR($B$179)*1+ISERROR($D$179)*1</f>
        <v/>
      </c>
    </row>
    <row r="180" ht="48" customHeight="1">
      <c r="A180" s="31">
        <f>IF(LEN($DQ$139)&gt;0,"23 · "&amp;$DQ$139,"23 · (vazia)")</f>
        <v/>
      </c>
      <c r="B180" s="4" t="n"/>
      <c r="C180" s="17" t="n"/>
      <c r="D180" s="4" t="n"/>
      <c r="E180" s="17" t="n"/>
      <c r="F180" s="5">
        <f>IF(OR(LEN($DQ$139)=0,NOT(ISNUMBER($R$139))),"",IF($DS$139="Ataque normal",IF(LEN($DU$139)&gt;0,$DU$139,"Ação")&amp;" ("&amp;IF(LEN($DW$139)&gt;0,$DW$139,"Pessoal")&amp;", "&amp;IF(LEN($DX$139)&gt;0,$DX$139,"Físico")&amp;"): "&amp;INDEX($W$11:$W$22,$R$139)&amp;" · média "&amp;INDEX($X$11:$X$22,$R$139)&amp;IF(LEN($DR$180)&gt;0,", e o alvo recebe "&amp;$DR$180&amp;" por "&amp;IF(ISNUMBER($DZ$139),$DZ$139,1)&amp;IF(AND(ISNUMBER($DZ$139),$DZ$139&gt;1)," turnos"," turno"),""),IF($DS$139="Especial de dano 1 alvo (até 1,5×)",IF(LEN($DU$139)&gt;0,$DU$139,"Ação")&amp;IF(ISNUMBER($DY$139)," (recarga "&amp;$DY$139&amp;" Ciclos)","")&amp;": um alvo a até Distância "&amp;IF(LEN($DW$139)&gt;0,$DW$139,"Pessoal")&amp;IF(LEN($DT$180)&gt;0," faz "&amp;"Teste de "&amp;$DT$180&amp;" contra DT "&amp;INDEX($Y$11:$Y$22,$R$139)&amp;"; se falhar, recebe "," recebe ")&amp;INDEX($CJ$11:$CJ$22,$R$139)&amp;" · média "&amp;INDEX($CK$11:$CK$22,$R$139)&amp;" de dano "&amp;IF(LEN($DX$139)&gt;0,$DX$139,"Físico")&amp;IF(LEN($DR$180)&gt;0," e "&amp;$DR$180&amp;" por "&amp;IF(ISNUMBER($DZ$139),$DZ$139,1)&amp;IF(AND(ISNUMBER($DZ$139),$DZ$139&gt;1)," turnos"," turno"),"")&amp;".",IF($DS$139="Especial de dano 2–3 alvos (dano cheio por alvo)",IF(LEN($DU$139)&gt;0,$DU$139,"Ação")&amp;IF(ISNUMBER($DY$139)," (recarga "&amp;$DY$139&amp;" Ciclos)","")&amp;": até 3 alvos a até uma Distância um do outro "&amp;IF(LEN($DT$180)&gt;0,"fazem "&amp;"Teste de "&amp;$DT$180&amp;" contra DT "&amp;INDEX($Y$11:$Y$22,$R$139)&amp;". Quem falha recebe "&amp;INDEX($W$11:$W$22,$R$139)&amp;" · média "&amp;INDEX($X$11:$X$22,$R$139)&amp;" de dano "&amp;IF(LEN($DX$139)&gt;0,$DX$139,"Físico")&amp;IF(LEN($DR$180)&gt;0," e "&amp;$DR$180&amp;" por "&amp;IF(ISNUMBER($DZ$139),$DZ$139,1)&amp;IF(AND(ISNUMBER($DZ$139),$DZ$139&gt;1)," turnos"," turno"),"")&amp;"; quem passa recebe metade do dano.","recebem, cada um, "&amp;INDEX($W$11:$W$22,$R$139)&amp;" · média "&amp;INDEX($X$11:$X$22,$R$139)&amp;" de dano "&amp;IF(LEN($DX$139)&gt;0,$DX$139,"Físico")&amp;IF(LEN($DR$180)&gt;0," e "&amp;$DR$180&amp;" por "&amp;IF(ISNUMBER($DZ$139),$DZ$139,1)&amp;IF(AND(ISNUMBER($DZ$139),$DZ$139&gt;1)," turnos"," turno"),"")&amp;"."),IF($DS$139="Especial de controle",IF(LEN($DU$139)&gt;0,$DU$139,"Ação")&amp;IF(ISNUMBER($DY$139)," (recarga "&amp;$DY$139&amp;" Ciclos)","")&amp;": o alvo faz "&amp;IF(LEN($DT$180)&gt;0,"Teste de "&amp;$DT$180&amp;" contra DT "&amp;INDEX($Y$11:$Y$22,$R$139),"Teste de Resistência contra DT "&amp;INDEX($Y$11:$Y$22,$R$139))&amp;"; se falhar, recebe "&amp;IF(LEN($DR$180)&gt;0,$DR$180,"(escolha a condição)")&amp;" por "&amp;IF(ISNUMBER($DZ$139),$DZ$139,1)&amp;IF(AND(ISNUMBER($DZ$139),$DZ$139&gt;1)," turnos"," turno")&amp;".",IF($DS$139="Reação",IF(LEN($DU$139)&gt;0,$DU$139,"Ação")&amp;" (Reação"&amp;IF(ISNUMBER($DY$139),", recarga "&amp;$DY$139&amp;" Ciclos","")&amp;")"&amp;IF(LEN($DR$180)&gt;0,": o alvo faz "&amp;IF(LEN($DT$180)&gt;0,"Teste de "&amp;$DT$180&amp;" contra DT "&amp;INDEX($Y$11:$Y$22,$R$139),"Teste de Resistência contra DT "&amp;INDEX($Y$11:$Y$22,$R$139))&amp;"; se falhar, recebe "&amp;$DR$180&amp;" por "&amp;IF(ISNUMBER($DZ$139),$DZ$139,1)&amp;IF(AND(ISNUMBER($DZ$139),$DZ$139&gt;1)," turnos"," turno")&amp;".","."),""))))))</f>
        <v/>
      </c>
      <c r="K180" s="19">
        <f>IF(EA180&gt;0,"O Google leu como fórmula: escolha de novo na lista.",IF(LEN($DQ$139)=0,"",IF(AND($DS$139="Especial de controle",LEN($DR$180)=0),"Ação de controle aplica uma condição do capítulo 21 (28.4)",IF(AND($DS$139="Especial de controle",LEN($DT$180)=0),"Diga o Teste de Resistência do alvo",IF($DR$180="Congelado","Inimigo não aplica Congelamento em personagem (28.2 regra 9)",IF(AND(LEN($DR$180)&gt;0,COUNTIF('Dados'!$BH$6:$BH$18,$DR$180)=0),"Condição fora do capítulo 21: nada de condição nova (28.4)",""))))))</f>
        <v/>
      </c>
      <c r="DR180" s="2">
        <f>IF(ISERROR($B$180),"",IF(ISBLANK($B$180),"",$B$180))</f>
        <v/>
      </c>
      <c r="DT180" s="2">
        <f>IF(ISERROR($D$180),"",IF(ISBLANK($D$180),"",$D$180))</f>
        <v/>
      </c>
      <c r="EA180" s="2">
        <f>ISERROR($B$180)*1+ISERROR($D$180)*1</f>
        <v/>
      </c>
    </row>
    <row r="181" ht="48" customHeight="1">
      <c r="A181" s="43">
        <f>IF(LEN($DQ$140)&gt;0,"24 · "&amp;$DQ$140,"24 · (vazia)")</f>
        <v/>
      </c>
      <c r="B181" s="29" t="n"/>
      <c r="C181" s="17" t="n"/>
      <c r="D181" s="29" t="n"/>
      <c r="E181" s="17" t="n"/>
      <c r="F181" s="10">
        <f>IF(OR(LEN($DQ$140)=0,NOT(ISNUMBER($R$140))),"",IF($DS$140="Ataque normal",IF(LEN($DU$140)&gt;0,$DU$140,"Ação")&amp;" ("&amp;IF(LEN($DW$140)&gt;0,$DW$140,"Pessoal")&amp;", "&amp;IF(LEN($DX$140)&gt;0,$DX$140,"Físico")&amp;"): "&amp;INDEX($W$11:$W$22,$R$140)&amp;" · média "&amp;INDEX($X$11:$X$22,$R$140)&amp;IF(LEN($DR$181)&gt;0,", e o alvo recebe "&amp;$DR$181&amp;" por "&amp;IF(ISNUMBER($DZ$140),$DZ$140,1)&amp;IF(AND(ISNUMBER($DZ$140),$DZ$140&gt;1)," turnos"," turno"),""),IF($DS$140="Especial de dano 1 alvo (até 1,5×)",IF(LEN($DU$140)&gt;0,$DU$140,"Ação")&amp;IF(ISNUMBER($DY$140)," (recarga "&amp;$DY$140&amp;" Ciclos)","")&amp;": um alvo a até Distância "&amp;IF(LEN($DW$140)&gt;0,$DW$140,"Pessoal")&amp;IF(LEN($DT$181)&gt;0," faz "&amp;"Teste de "&amp;$DT$181&amp;" contra DT "&amp;INDEX($Y$11:$Y$22,$R$140)&amp;"; se falhar, recebe "," recebe ")&amp;INDEX($CJ$11:$CJ$22,$R$140)&amp;" · média "&amp;INDEX($CK$11:$CK$22,$R$140)&amp;" de dano "&amp;IF(LEN($DX$140)&gt;0,$DX$140,"Físico")&amp;IF(LEN($DR$181)&gt;0," e "&amp;$DR$181&amp;" por "&amp;IF(ISNUMBER($DZ$140),$DZ$140,1)&amp;IF(AND(ISNUMBER($DZ$140),$DZ$140&gt;1)," turnos"," turno"),"")&amp;".",IF($DS$140="Especial de dano 2–3 alvos (dano cheio por alvo)",IF(LEN($DU$140)&gt;0,$DU$140,"Ação")&amp;IF(ISNUMBER($DY$140)," (recarga "&amp;$DY$140&amp;" Ciclos)","")&amp;": até 3 alvos a até uma Distância um do outro "&amp;IF(LEN($DT$181)&gt;0,"fazem "&amp;"Teste de "&amp;$DT$181&amp;" contra DT "&amp;INDEX($Y$11:$Y$22,$R$140)&amp;". Quem falha recebe "&amp;INDEX($W$11:$W$22,$R$140)&amp;" · média "&amp;INDEX($X$11:$X$22,$R$140)&amp;" de dano "&amp;IF(LEN($DX$140)&gt;0,$DX$140,"Físico")&amp;IF(LEN($DR$181)&gt;0," e "&amp;$DR$181&amp;" por "&amp;IF(ISNUMBER($DZ$140),$DZ$140,1)&amp;IF(AND(ISNUMBER($DZ$140),$DZ$140&gt;1)," turnos"," turno"),"")&amp;"; quem passa recebe metade do dano.","recebem, cada um, "&amp;INDEX($W$11:$W$22,$R$140)&amp;" · média "&amp;INDEX($X$11:$X$22,$R$140)&amp;" de dano "&amp;IF(LEN($DX$140)&gt;0,$DX$140,"Físico")&amp;IF(LEN($DR$181)&gt;0," e "&amp;$DR$181&amp;" por "&amp;IF(ISNUMBER($DZ$140),$DZ$140,1)&amp;IF(AND(ISNUMBER($DZ$140),$DZ$140&gt;1)," turnos"," turno"),"")&amp;"."),IF($DS$140="Especial de controle",IF(LEN($DU$140)&gt;0,$DU$140,"Ação")&amp;IF(ISNUMBER($DY$140)," (recarga "&amp;$DY$140&amp;" Ciclos)","")&amp;": o alvo faz "&amp;IF(LEN($DT$181)&gt;0,"Teste de "&amp;$DT$181&amp;" contra DT "&amp;INDEX($Y$11:$Y$22,$R$140),"Teste de Resistência contra DT "&amp;INDEX($Y$11:$Y$22,$R$140))&amp;"; se falhar, recebe "&amp;IF(LEN($DR$181)&gt;0,$DR$181,"(escolha a condição)")&amp;" por "&amp;IF(ISNUMBER($DZ$140),$DZ$140,1)&amp;IF(AND(ISNUMBER($DZ$140),$DZ$140&gt;1)," turnos"," turno")&amp;".",IF($DS$140="Reação",IF(LEN($DU$140)&gt;0,$DU$140,"Ação")&amp;" (Reação"&amp;IF(ISNUMBER($DY$140),", recarga "&amp;$DY$140&amp;" Ciclos","")&amp;")"&amp;IF(LEN($DR$181)&gt;0,": o alvo faz "&amp;IF(LEN($DT$181)&gt;0,"Teste de "&amp;$DT$181&amp;" contra DT "&amp;INDEX($Y$11:$Y$22,$R$140),"Teste de Resistência contra DT "&amp;INDEX($Y$11:$Y$22,$R$140))&amp;"; se falhar, recebe "&amp;$DR$181&amp;" por "&amp;IF(ISNUMBER($DZ$140),$DZ$140,1)&amp;IF(AND(ISNUMBER($DZ$140),$DZ$140&gt;1)," turnos"," turno")&amp;".","."),""))))))</f>
        <v/>
      </c>
      <c r="K181" s="27">
        <f>IF(EA181&gt;0,"O Google leu como fórmula: escolha de novo na lista.",IF(LEN($DQ$140)=0,"",IF(AND($DS$140="Especial de controle",LEN($DR$181)=0),"Ação de controle aplica uma condição do capítulo 21 (28.4)",IF(AND($DS$140="Especial de controle",LEN($DT$181)=0),"Diga o Teste de Resistência do alvo",IF($DR$181="Congelado","Inimigo não aplica Congelamento em personagem (28.2 regra 9)",IF(AND(LEN($DR$181)&gt;0,COUNTIF('Dados'!$BH$6:$BH$18,$DR$181)=0),"Condição fora do capítulo 21: nada de condição nova (28.4)",""))))))</f>
        <v/>
      </c>
      <c r="DR181" s="2">
        <f>IF(ISERROR($B$181),"",IF(ISBLANK($B$181),"",$B$181))</f>
        <v/>
      </c>
      <c r="DT181" s="2">
        <f>IF(ISERROR($D$181),"",IF(ISBLANK($D$181),"",$D$181))</f>
        <v/>
      </c>
      <c r="EA181" s="2">
        <f>ISERROR($B$181)*1+ISERROR($D$181)*1</f>
        <v/>
      </c>
    </row>
    <row r="182" ht="26" customHeight="1">
      <c r="A182" s="8" t="inlineStr">
        <is>
          <t>Ação</t>
        </is>
      </c>
      <c r="B182" s="8" t="inlineStr">
        <is>
          <t>Condição (capítulo 21)</t>
        </is>
      </c>
      <c r="C182" s="20" t="n"/>
      <c r="D182" s="8" t="inlineStr">
        <is>
          <t>Teste de Resistência do alvo</t>
        </is>
      </c>
      <c r="E182" s="20" t="n"/>
      <c r="F182" s="8" t="inlineStr">
        <is>
          <t>Texto pronto</t>
        </is>
      </c>
      <c r="G182" s="20" t="n"/>
      <c r="H182" s="20" t="n"/>
      <c r="I182" s="20" t="n"/>
      <c r="J182" s="20" t="n"/>
      <c r="K182" s="8" t="inlineStr">
        <is>
          <t>Aviso</t>
        </is>
      </c>
      <c r="L182" s="20" t="n"/>
    </row>
    <row r="183" ht="48" customHeight="1">
      <c r="A183" s="31">
        <f>IF(LEN($DQ$142)&gt;0,"25 · "&amp;$DQ$142,"25 · (vazia)")</f>
        <v/>
      </c>
      <c r="B183" s="4" t="n"/>
      <c r="C183" s="17" t="n"/>
      <c r="D183" s="4" t="n"/>
      <c r="E183" s="17" t="n"/>
      <c r="F183" s="5">
        <f>IF(OR(LEN($DQ$142)=0,NOT(ISNUMBER($R$142))),"",IF($DS$142="Ataque normal",IF(LEN($DU$142)&gt;0,$DU$142,"Ação")&amp;" ("&amp;IF(LEN($DW$142)&gt;0,$DW$142,"Pessoal")&amp;", "&amp;IF(LEN($DX$142)&gt;0,$DX$142,"Físico")&amp;"): "&amp;INDEX($W$11:$W$22,$R$142)&amp;" · média "&amp;INDEX($X$11:$X$22,$R$142)&amp;IF(LEN($DR$183)&gt;0,", e o alvo recebe "&amp;$DR$183&amp;" por "&amp;IF(ISNUMBER($DZ$142),$DZ$142,1)&amp;IF(AND(ISNUMBER($DZ$142),$DZ$142&gt;1)," turnos"," turno"),""),IF($DS$142="Especial de dano 1 alvo (até 1,5×)",IF(LEN($DU$142)&gt;0,$DU$142,"Ação")&amp;IF(ISNUMBER($DY$142)," (recarga "&amp;$DY$142&amp;" Ciclos)","")&amp;": um alvo a até Distância "&amp;IF(LEN($DW$142)&gt;0,$DW$142,"Pessoal")&amp;IF(LEN($DT$183)&gt;0," faz "&amp;"Teste de "&amp;$DT$183&amp;" contra DT "&amp;INDEX($Y$11:$Y$22,$R$142)&amp;"; se falhar, recebe "," recebe ")&amp;INDEX($CJ$11:$CJ$22,$R$142)&amp;" · média "&amp;INDEX($CK$11:$CK$22,$R$142)&amp;" de dano "&amp;IF(LEN($DX$142)&gt;0,$DX$142,"Físico")&amp;IF(LEN($DR$183)&gt;0," e "&amp;$DR$183&amp;" por "&amp;IF(ISNUMBER($DZ$142),$DZ$142,1)&amp;IF(AND(ISNUMBER($DZ$142),$DZ$142&gt;1)," turnos"," turno"),"")&amp;".",IF($DS$142="Especial de dano 2–3 alvos (dano cheio por alvo)",IF(LEN($DU$142)&gt;0,$DU$142,"Ação")&amp;IF(ISNUMBER($DY$142)," (recarga "&amp;$DY$142&amp;" Ciclos)","")&amp;": até 3 alvos a até uma Distância um do outro "&amp;IF(LEN($DT$183)&gt;0,"fazem "&amp;"Teste de "&amp;$DT$183&amp;" contra DT "&amp;INDEX($Y$11:$Y$22,$R$142)&amp;". Quem falha recebe "&amp;INDEX($W$11:$W$22,$R$142)&amp;" · média "&amp;INDEX($X$11:$X$22,$R$142)&amp;" de dano "&amp;IF(LEN($DX$142)&gt;0,$DX$142,"Físico")&amp;IF(LEN($DR$183)&gt;0," e "&amp;$DR$183&amp;" por "&amp;IF(ISNUMBER($DZ$142),$DZ$142,1)&amp;IF(AND(ISNUMBER($DZ$142),$DZ$142&gt;1)," turnos"," turno"),"")&amp;"; quem passa recebe metade do dano.","recebem, cada um, "&amp;INDEX($W$11:$W$22,$R$142)&amp;" · média "&amp;INDEX($X$11:$X$22,$R$142)&amp;" de dano "&amp;IF(LEN($DX$142)&gt;0,$DX$142,"Físico")&amp;IF(LEN($DR$183)&gt;0," e "&amp;$DR$183&amp;" por "&amp;IF(ISNUMBER($DZ$142),$DZ$142,1)&amp;IF(AND(ISNUMBER($DZ$142),$DZ$142&gt;1)," turnos"," turno"),"")&amp;"."),IF($DS$142="Especial de controle",IF(LEN($DU$142)&gt;0,$DU$142,"Ação")&amp;IF(ISNUMBER($DY$142)," (recarga "&amp;$DY$142&amp;" Ciclos)","")&amp;": o alvo faz "&amp;IF(LEN($DT$183)&gt;0,"Teste de "&amp;$DT$183&amp;" contra DT "&amp;INDEX($Y$11:$Y$22,$R$142),"Teste de Resistência contra DT "&amp;INDEX($Y$11:$Y$22,$R$142))&amp;"; se falhar, recebe "&amp;IF(LEN($DR$183)&gt;0,$DR$183,"(escolha a condição)")&amp;" por "&amp;IF(ISNUMBER($DZ$142),$DZ$142,1)&amp;IF(AND(ISNUMBER($DZ$142),$DZ$142&gt;1)," turnos"," turno")&amp;".",IF($DS$142="Reação",IF(LEN($DU$142)&gt;0,$DU$142,"Ação")&amp;" (Reação"&amp;IF(ISNUMBER($DY$142),", recarga "&amp;$DY$142&amp;" Ciclos","")&amp;")"&amp;IF(LEN($DR$183)&gt;0,": o alvo faz "&amp;IF(LEN($DT$183)&gt;0,"Teste de "&amp;$DT$183&amp;" contra DT "&amp;INDEX($Y$11:$Y$22,$R$142),"Teste de Resistência contra DT "&amp;INDEX($Y$11:$Y$22,$R$142))&amp;"; se falhar, recebe "&amp;$DR$183&amp;" por "&amp;IF(ISNUMBER($DZ$142),$DZ$142,1)&amp;IF(AND(ISNUMBER($DZ$142),$DZ$142&gt;1)," turnos"," turno")&amp;".","."),""))))))</f>
        <v/>
      </c>
      <c r="K183" s="19">
        <f>IF(EA183&gt;0,"O Google leu como fórmula: escolha de novo na lista.",IF(LEN($DQ$142)=0,"",IF(AND($DS$142="Especial de controle",LEN($DR$183)=0),"Ação de controle aplica uma condição do capítulo 21 (28.4)",IF(AND($DS$142="Especial de controle",LEN($DT$183)=0),"Diga o Teste de Resistência do alvo",IF($DR$183="Congelado","Inimigo não aplica Congelamento em personagem (28.2 regra 9)",IF(AND(LEN($DR$183)&gt;0,COUNTIF('Dados'!$BH$6:$BH$18,$DR$183)=0),"Condição fora do capítulo 21: nada de condição nova (28.4)",""))))))</f>
        <v/>
      </c>
      <c r="DR183" s="2">
        <f>IF(ISERROR($B$183),"",IF(ISBLANK($B$183),"",$B$183))</f>
        <v/>
      </c>
      <c r="DT183" s="2">
        <f>IF(ISERROR($D$183),"",IF(ISBLANK($D$183),"",$D$183))</f>
        <v/>
      </c>
      <c r="EA183" s="2">
        <f>ISERROR($B$183)*1+ISERROR($D$183)*1</f>
        <v/>
      </c>
    </row>
    <row r="184" ht="48" customHeight="1">
      <c r="A184" s="43">
        <f>IF(LEN($DQ$143)&gt;0,"26 · "&amp;$DQ$143,"26 · (vazia)")</f>
        <v/>
      </c>
      <c r="B184" s="29" t="n"/>
      <c r="C184" s="17" t="n"/>
      <c r="D184" s="29" t="n"/>
      <c r="E184" s="17" t="n"/>
      <c r="F184" s="10">
        <f>IF(OR(LEN($DQ$143)=0,NOT(ISNUMBER($R$143))),"",IF($DS$143="Ataque normal",IF(LEN($DU$143)&gt;0,$DU$143,"Ação")&amp;" ("&amp;IF(LEN($DW$143)&gt;0,$DW$143,"Pessoal")&amp;", "&amp;IF(LEN($DX$143)&gt;0,$DX$143,"Físico")&amp;"): "&amp;INDEX($W$11:$W$22,$R$143)&amp;" · média "&amp;INDEX($X$11:$X$22,$R$143)&amp;IF(LEN($DR$184)&gt;0,", e o alvo recebe "&amp;$DR$184&amp;" por "&amp;IF(ISNUMBER($DZ$143),$DZ$143,1)&amp;IF(AND(ISNUMBER($DZ$143),$DZ$143&gt;1)," turnos"," turno"),""),IF($DS$143="Especial de dano 1 alvo (até 1,5×)",IF(LEN($DU$143)&gt;0,$DU$143,"Ação")&amp;IF(ISNUMBER($DY$143)," (recarga "&amp;$DY$143&amp;" Ciclos)","")&amp;": um alvo a até Distância "&amp;IF(LEN($DW$143)&gt;0,$DW$143,"Pessoal")&amp;IF(LEN($DT$184)&gt;0," faz "&amp;"Teste de "&amp;$DT$184&amp;" contra DT "&amp;INDEX($Y$11:$Y$22,$R$143)&amp;"; se falhar, recebe "," recebe ")&amp;INDEX($CJ$11:$CJ$22,$R$143)&amp;" · média "&amp;INDEX($CK$11:$CK$22,$R$143)&amp;" de dano "&amp;IF(LEN($DX$143)&gt;0,$DX$143,"Físico")&amp;IF(LEN($DR$184)&gt;0," e "&amp;$DR$184&amp;" por "&amp;IF(ISNUMBER($DZ$143),$DZ$143,1)&amp;IF(AND(ISNUMBER($DZ$143),$DZ$143&gt;1)," turnos"," turno"),"")&amp;".",IF($DS$143="Especial de dano 2–3 alvos (dano cheio por alvo)",IF(LEN($DU$143)&gt;0,$DU$143,"Ação")&amp;IF(ISNUMBER($DY$143)," (recarga "&amp;$DY$143&amp;" Ciclos)","")&amp;": até 3 alvos a até uma Distância um do outro "&amp;IF(LEN($DT$184)&gt;0,"fazem "&amp;"Teste de "&amp;$DT$184&amp;" contra DT "&amp;INDEX($Y$11:$Y$22,$R$143)&amp;". Quem falha recebe "&amp;INDEX($W$11:$W$22,$R$143)&amp;" · média "&amp;INDEX($X$11:$X$22,$R$143)&amp;" de dano "&amp;IF(LEN($DX$143)&gt;0,$DX$143,"Físico")&amp;IF(LEN($DR$184)&gt;0," e "&amp;$DR$184&amp;" por "&amp;IF(ISNUMBER($DZ$143),$DZ$143,1)&amp;IF(AND(ISNUMBER($DZ$143),$DZ$143&gt;1)," turnos"," turno"),"")&amp;"; quem passa recebe metade do dano.","recebem, cada um, "&amp;INDEX($W$11:$W$22,$R$143)&amp;" · média "&amp;INDEX($X$11:$X$22,$R$143)&amp;" de dano "&amp;IF(LEN($DX$143)&gt;0,$DX$143,"Físico")&amp;IF(LEN($DR$184)&gt;0," e "&amp;$DR$184&amp;" por "&amp;IF(ISNUMBER($DZ$143),$DZ$143,1)&amp;IF(AND(ISNUMBER($DZ$143),$DZ$143&gt;1)," turnos"," turno"),"")&amp;"."),IF($DS$143="Especial de controle",IF(LEN($DU$143)&gt;0,$DU$143,"Ação")&amp;IF(ISNUMBER($DY$143)," (recarga "&amp;$DY$143&amp;" Ciclos)","")&amp;": o alvo faz "&amp;IF(LEN($DT$184)&gt;0,"Teste de "&amp;$DT$184&amp;" contra DT "&amp;INDEX($Y$11:$Y$22,$R$143),"Teste de Resistência contra DT "&amp;INDEX($Y$11:$Y$22,$R$143))&amp;"; se falhar, recebe "&amp;IF(LEN($DR$184)&gt;0,$DR$184,"(escolha a condição)")&amp;" por "&amp;IF(ISNUMBER($DZ$143),$DZ$143,1)&amp;IF(AND(ISNUMBER($DZ$143),$DZ$143&gt;1)," turnos"," turno")&amp;".",IF($DS$143="Reação",IF(LEN($DU$143)&gt;0,$DU$143,"Ação")&amp;" (Reação"&amp;IF(ISNUMBER($DY$143),", recarga "&amp;$DY$143&amp;" Ciclos","")&amp;")"&amp;IF(LEN($DR$184)&gt;0,": o alvo faz "&amp;IF(LEN($DT$184)&gt;0,"Teste de "&amp;$DT$184&amp;" contra DT "&amp;INDEX($Y$11:$Y$22,$R$143),"Teste de Resistência contra DT "&amp;INDEX($Y$11:$Y$22,$R$143))&amp;"; se falhar, recebe "&amp;$DR$184&amp;" por "&amp;IF(ISNUMBER($DZ$143),$DZ$143,1)&amp;IF(AND(ISNUMBER($DZ$143),$DZ$143&gt;1)," turnos"," turno")&amp;".","."),""))))))</f>
        <v/>
      </c>
      <c r="K184" s="27">
        <f>IF(EA184&gt;0,"O Google leu como fórmula: escolha de novo na lista.",IF(LEN($DQ$143)=0,"",IF(AND($DS$143="Especial de controle",LEN($DR$184)=0),"Ação de controle aplica uma condição do capítulo 21 (28.4)",IF(AND($DS$143="Especial de controle",LEN($DT$184)=0),"Diga o Teste de Resistência do alvo",IF($DR$184="Congelado","Inimigo não aplica Congelamento em personagem (28.2 regra 9)",IF(AND(LEN($DR$184)&gt;0,COUNTIF('Dados'!$BH$6:$BH$18,$DR$184)=0),"Condição fora do capítulo 21: nada de condição nova (28.4)",""))))))</f>
        <v/>
      </c>
      <c r="DR184" s="2">
        <f>IF(ISERROR($B$184),"",IF(ISBLANK($B$184),"",$B$184))</f>
        <v/>
      </c>
      <c r="DT184" s="2">
        <f>IF(ISERROR($D$184),"",IF(ISBLANK($D$184),"",$D$184))</f>
        <v/>
      </c>
      <c r="EA184" s="2">
        <f>ISERROR($B$184)*1+ISERROR($D$184)*1</f>
        <v/>
      </c>
    </row>
    <row r="185" ht="48" customHeight="1">
      <c r="A185" s="31">
        <f>IF(LEN($DQ$144)&gt;0,"27 · "&amp;$DQ$144,"27 · (vazia)")</f>
        <v/>
      </c>
      <c r="B185" s="4" t="n"/>
      <c r="C185" s="17" t="n"/>
      <c r="D185" s="4" t="n"/>
      <c r="E185" s="17" t="n"/>
      <c r="F185" s="5">
        <f>IF(OR(LEN($DQ$144)=0,NOT(ISNUMBER($R$144))),"",IF($DS$144="Ataque normal",IF(LEN($DU$144)&gt;0,$DU$144,"Ação")&amp;" ("&amp;IF(LEN($DW$144)&gt;0,$DW$144,"Pessoal")&amp;", "&amp;IF(LEN($DX$144)&gt;0,$DX$144,"Físico")&amp;"): "&amp;INDEX($W$11:$W$22,$R$144)&amp;" · média "&amp;INDEX($X$11:$X$22,$R$144)&amp;IF(LEN($DR$185)&gt;0,", e o alvo recebe "&amp;$DR$185&amp;" por "&amp;IF(ISNUMBER($DZ$144),$DZ$144,1)&amp;IF(AND(ISNUMBER($DZ$144),$DZ$144&gt;1)," turnos"," turno"),""),IF($DS$144="Especial de dano 1 alvo (até 1,5×)",IF(LEN($DU$144)&gt;0,$DU$144,"Ação")&amp;IF(ISNUMBER($DY$144)," (recarga "&amp;$DY$144&amp;" Ciclos)","")&amp;": um alvo a até Distância "&amp;IF(LEN($DW$144)&gt;0,$DW$144,"Pessoal")&amp;IF(LEN($DT$185)&gt;0," faz "&amp;"Teste de "&amp;$DT$185&amp;" contra DT "&amp;INDEX($Y$11:$Y$22,$R$144)&amp;"; se falhar, recebe "," recebe ")&amp;INDEX($CJ$11:$CJ$22,$R$144)&amp;" · média "&amp;INDEX($CK$11:$CK$22,$R$144)&amp;" de dano "&amp;IF(LEN($DX$144)&gt;0,$DX$144,"Físico")&amp;IF(LEN($DR$185)&gt;0," e "&amp;$DR$185&amp;" por "&amp;IF(ISNUMBER($DZ$144),$DZ$144,1)&amp;IF(AND(ISNUMBER($DZ$144),$DZ$144&gt;1)," turnos"," turno"),"")&amp;".",IF($DS$144="Especial de dano 2–3 alvos (dano cheio por alvo)",IF(LEN($DU$144)&gt;0,$DU$144,"Ação")&amp;IF(ISNUMBER($DY$144)," (recarga "&amp;$DY$144&amp;" Ciclos)","")&amp;": até 3 alvos a até uma Distância um do outro "&amp;IF(LEN($DT$185)&gt;0,"fazem "&amp;"Teste de "&amp;$DT$185&amp;" contra DT "&amp;INDEX($Y$11:$Y$22,$R$144)&amp;". Quem falha recebe "&amp;INDEX($W$11:$W$22,$R$144)&amp;" · média "&amp;INDEX($X$11:$X$22,$R$144)&amp;" de dano "&amp;IF(LEN($DX$144)&gt;0,$DX$144,"Físico")&amp;IF(LEN($DR$185)&gt;0," e "&amp;$DR$185&amp;" por "&amp;IF(ISNUMBER($DZ$144),$DZ$144,1)&amp;IF(AND(ISNUMBER($DZ$144),$DZ$144&gt;1)," turnos"," turno"),"")&amp;"; quem passa recebe metade do dano.","recebem, cada um, "&amp;INDEX($W$11:$W$22,$R$144)&amp;" · média "&amp;INDEX($X$11:$X$22,$R$144)&amp;" de dano "&amp;IF(LEN($DX$144)&gt;0,$DX$144,"Físico")&amp;IF(LEN($DR$185)&gt;0," e "&amp;$DR$185&amp;" por "&amp;IF(ISNUMBER($DZ$144),$DZ$144,1)&amp;IF(AND(ISNUMBER($DZ$144),$DZ$144&gt;1)," turnos"," turno"),"")&amp;"."),IF($DS$144="Especial de controle",IF(LEN($DU$144)&gt;0,$DU$144,"Ação")&amp;IF(ISNUMBER($DY$144)," (recarga "&amp;$DY$144&amp;" Ciclos)","")&amp;": o alvo faz "&amp;IF(LEN($DT$185)&gt;0,"Teste de "&amp;$DT$185&amp;" contra DT "&amp;INDEX($Y$11:$Y$22,$R$144),"Teste de Resistência contra DT "&amp;INDEX($Y$11:$Y$22,$R$144))&amp;"; se falhar, recebe "&amp;IF(LEN($DR$185)&gt;0,$DR$185,"(escolha a condição)")&amp;" por "&amp;IF(ISNUMBER($DZ$144),$DZ$144,1)&amp;IF(AND(ISNUMBER($DZ$144),$DZ$144&gt;1)," turnos"," turno")&amp;".",IF($DS$144="Reação",IF(LEN($DU$144)&gt;0,$DU$144,"Ação")&amp;" (Reação"&amp;IF(ISNUMBER($DY$144),", recarga "&amp;$DY$144&amp;" Ciclos","")&amp;")"&amp;IF(LEN($DR$185)&gt;0,": o alvo faz "&amp;IF(LEN($DT$185)&gt;0,"Teste de "&amp;$DT$185&amp;" contra DT "&amp;INDEX($Y$11:$Y$22,$R$144),"Teste de Resistência contra DT "&amp;INDEX($Y$11:$Y$22,$R$144))&amp;"; se falhar, recebe "&amp;$DR$185&amp;" por "&amp;IF(ISNUMBER($DZ$144),$DZ$144,1)&amp;IF(AND(ISNUMBER($DZ$144),$DZ$144&gt;1)," turnos"," turno")&amp;".","."),""))))))</f>
        <v/>
      </c>
      <c r="K185" s="19">
        <f>IF(EA185&gt;0,"O Google leu como fórmula: escolha de novo na lista.",IF(LEN($DQ$144)=0,"",IF(AND($DS$144="Especial de controle",LEN($DR$185)=0),"Ação de controle aplica uma condição do capítulo 21 (28.4)",IF(AND($DS$144="Especial de controle",LEN($DT$185)=0),"Diga o Teste de Resistência do alvo",IF($DR$185="Congelado","Inimigo não aplica Congelamento em personagem (28.2 regra 9)",IF(AND(LEN($DR$185)&gt;0,COUNTIF('Dados'!$BH$6:$BH$18,$DR$185)=0),"Condição fora do capítulo 21: nada de condição nova (28.4)",""))))))</f>
        <v/>
      </c>
      <c r="DR185" s="2">
        <f>IF(ISERROR($B$185),"",IF(ISBLANK($B$185),"",$B$185))</f>
        <v/>
      </c>
      <c r="DT185" s="2">
        <f>IF(ISERROR($D$185),"",IF(ISBLANK($D$185),"",$D$185))</f>
        <v/>
      </c>
      <c r="EA185" s="2">
        <f>ISERROR($B$185)*1+ISERROR($D$185)*1</f>
        <v/>
      </c>
    </row>
    <row r="186" ht="48" customHeight="1">
      <c r="A186" s="43">
        <f>IF(LEN($DQ$145)&gt;0,"28 · "&amp;$DQ$145,"28 · (vazia)")</f>
        <v/>
      </c>
      <c r="B186" s="29" t="n"/>
      <c r="C186" s="17" t="n"/>
      <c r="D186" s="29" t="n"/>
      <c r="E186" s="17" t="n"/>
      <c r="F186" s="10">
        <f>IF(OR(LEN($DQ$145)=0,NOT(ISNUMBER($R$145))),"",IF($DS$145="Ataque normal",IF(LEN($DU$145)&gt;0,$DU$145,"Ação")&amp;" ("&amp;IF(LEN($DW$145)&gt;0,$DW$145,"Pessoal")&amp;", "&amp;IF(LEN($DX$145)&gt;0,$DX$145,"Físico")&amp;"): "&amp;INDEX($W$11:$W$22,$R$145)&amp;" · média "&amp;INDEX($X$11:$X$22,$R$145)&amp;IF(LEN($DR$186)&gt;0,", e o alvo recebe "&amp;$DR$186&amp;" por "&amp;IF(ISNUMBER($DZ$145),$DZ$145,1)&amp;IF(AND(ISNUMBER($DZ$145),$DZ$145&gt;1)," turnos"," turno"),""),IF($DS$145="Especial de dano 1 alvo (até 1,5×)",IF(LEN($DU$145)&gt;0,$DU$145,"Ação")&amp;IF(ISNUMBER($DY$145)," (recarga "&amp;$DY$145&amp;" Ciclos)","")&amp;": um alvo a até Distância "&amp;IF(LEN($DW$145)&gt;0,$DW$145,"Pessoal")&amp;IF(LEN($DT$186)&gt;0," faz "&amp;"Teste de "&amp;$DT$186&amp;" contra DT "&amp;INDEX($Y$11:$Y$22,$R$145)&amp;"; se falhar, recebe "," recebe ")&amp;INDEX($CJ$11:$CJ$22,$R$145)&amp;" · média "&amp;INDEX($CK$11:$CK$22,$R$145)&amp;" de dano "&amp;IF(LEN($DX$145)&gt;0,$DX$145,"Físico")&amp;IF(LEN($DR$186)&gt;0," e "&amp;$DR$186&amp;" por "&amp;IF(ISNUMBER($DZ$145),$DZ$145,1)&amp;IF(AND(ISNUMBER($DZ$145),$DZ$145&gt;1)," turnos"," turno"),"")&amp;".",IF($DS$145="Especial de dano 2–3 alvos (dano cheio por alvo)",IF(LEN($DU$145)&gt;0,$DU$145,"Ação")&amp;IF(ISNUMBER($DY$145)," (recarga "&amp;$DY$145&amp;" Ciclos)","")&amp;": até 3 alvos a até uma Distância um do outro "&amp;IF(LEN($DT$186)&gt;0,"fazem "&amp;"Teste de "&amp;$DT$186&amp;" contra DT "&amp;INDEX($Y$11:$Y$22,$R$145)&amp;". Quem falha recebe "&amp;INDEX($W$11:$W$22,$R$145)&amp;" · média "&amp;INDEX($X$11:$X$22,$R$145)&amp;" de dano "&amp;IF(LEN($DX$145)&gt;0,$DX$145,"Físico")&amp;IF(LEN($DR$186)&gt;0," e "&amp;$DR$186&amp;" por "&amp;IF(ISNUMBER($DZ$145),$DZ$145,1)&amp;IF(AND(ISNUMBER($DZ$145),$DZ$145&gt;1)," turnos"," turno"),"")&amp;"; quem passa recebe metade do dano.","recebem, cada um, "&amp;INDEX($W$11:$W$22,$R$145)&amp;" · média "&amp;INDEX($X$11:$X$22,$R$145)&amp;" de dano "&amp;IF(LEN($DX$145)&gt;0,$DX$145,"Físico")&amp;IF(LEN($DR$186)&gt;0," e "&amp;$DR$186&amp;" por "&amp;IF(ISNUMBER($DZ$145),$DZ$145,1)&amp;IF(AND(ISNUMBER($DZ$145),$DZ$145&gt;1)," turnos"," turno"),"")&amp;"."),IF($DS$145="Especial de controle",IF(LEN($DU$145)&gt;0,$DU$145,"Ação")&amp;IF(ISNUMBER($DY$145)," (recarga "&amp;$DY$145&amp;" Ciclos)","")&amp;": o alvo faz "&amp;IF(LEN($DT$186)&gt;0,"Teste de "&amp;$DT$186&amp;" contra DT "&amp;INDEX($Y$11:$Y$22,$R$145),"Teste de Resistência contra DT "&amp;INDEX($Y$11:$Y$22,$R$145))&amp;"; se falhar, recebe "&amp;IF(LEN($DR$186)&gt;0,$DR$186,"(escolha a condição)")&amp;" por "&amp;IF(ISNUMBER($DZ$145),$DZ$145,1)&amp;IF(AND(ISNUMBER($DZ$145),$DZ$145&gt;1)," turnos"," turno")&amp;".",IF($DS$145="Reação",IF(LEN($DU$145)&gt;0,$DU$145,"Ação")&amp;" (Reação"&amp;IF(ISNUMBER($DY$145),", recarga "&amp;$DY$145&amp;" Ciclos","")&amp;")"&amp;IF(LEN($DR$186)&gt;0,": o alvo faz "&amp;IF(LEN($DT$186)&gt;0,"Teste de "&amp;$DT$186&amp;" contra DT "&amp;INDEX($Y$11:$Y$22,$R$145),"Teste de Resistência contra DT "&amp;INDEX($Y$11:$Y$22,$R$145))&amp;"; se falhar, recebe "&amp;$DR$186&amp;" por "&amp;IF(ISNUMBER($DZ$145),$DZ$145,1)&amp;IF(AND(ISNUMBER($DZ$145),$DZ$145&gt;1)," turnos"," turno")&amp;".","."),""))))))</f>
        <v/>
      </c>
      <c r="K186" s="27">
        <f>IF(EA186&gt;0,"O Google leu como fórmula: escolha de novo na lista.",IF(LEN($DQ$145)=0,"",IF(AND($DS$145="Especial de controle",LEN($DR$186)=0),"Ação de controle aplica uma condição do capítulo 21 (28.4)",IF(AND($DS$145="Especial de controle",LEN($DT$186)=0),"Diga o Teste de Resistência do alvo",IF($DR$186="Congelado","Inimigo não aplica Congelamento em personagem (28.2 regra 9)",IF(AND(LEN($DR$186)&gt;0,COUNTIF('Dados'!$BH$6:$BH$18,$DR$186)=0),"Condição fora do capítulo 21: nada de condição nova (28.4)",""))))))</f>
        <v/>
      </c>
      <c r="DR186" s="2">
        <f>IF(ISERROR($B$186),"",IF(ISBLANK($B$186),"",$B$186))</f>
        <v/>
      </c>
      <c r="DT186" s="2">
        <f>IF(ISERROR($D$186),"",IF(ISBLANK($D$186),"",$D$186))</f>
        <v/>
      </c>
      <c r="EA186" s="2">
        <f>ISERROR($B$186)*1+ISERROR($D$186)*1</f>
        <v/>
      </c>
    </row>
    <row r="187" ht="48" customHeight="1">
      <c r="A187" s="31">
        <f>IF(LEN($DQ$146)&gt;0,"29 · "&amp;$DQ$146,"29 · (vazia)")</f>
        <v/>
      </c>
      <c r="B187" s="4" t="n"/>
      <c r="C187" s="17" t="n"/>
      <c r="D187" s="4" t="n"/>
      <c r="E187" s="17" t="n"/>
      <c r="F187" s="5">
        <f>IF(OR(LEN($DQ$146)=0,NOT(ISNUMBER($R$146))),"",IF($DS$146="Ataque normal",IF(LEN($DU$146)&gt;0,$DU$146,"Ação")&amp;" ("&amp;IF(LEN($DW$146)&gt;0,$DW$146,"Pessoal")&amp;", "&amp;IF(LEN($DX$146)&gt;0,$DX$146,"Físico")&amp;"): "&amp;INDEX($W$11:$W$22,$R$146)&amp;" · média "&amp;INDEX($X$11:$X$22,$R$146)&amp;IF(LEN($DR$187)&gt;0,", e o alvo recebe "&amp;$DR$187&amp;" por "&amp;IF(ISNUMBER($DZ$146),$DZ$146,1)&amp;IF(AND(ISNUMBER($DZ$146),$DZ$146&gt;1)," turnos"," turno"),""),IF($DS$146="Especial de dano 1 alvo (até 1,5×)",IF(LEN($DU$146)&gt;0,$DU$146,"Ação")&amp;IF(ISNUMBER($DY$146)," (recarga "&amp;$DY$146&amp;" Ciclos)","")&amp;": um alvo a até Distância "&amp;IF(LEN($DW$146)&gt;0,$DW$146,"Pessoal")&amp;IF(LEN($DT$187)&gt;0," faz "&amp;"Teste de "&amp;$DT$187&amp;" contra DT "&amp;INDEX($Y$11:$Y$22,$R$146)&amp;"; se falhar, recebe "," recebe ")&amp;INDEX($CJ$11:$CJ$22,$R$146)&amp;" · média "&amp;INDEX($CK$11:$CK$22,$R$146)&amp;" de dano "&amp;IF(LEN($DX$146)&gt;0,$DX$146,"Físico")&amp;IF(LEN($DR$187)&gt;0," e "&amp;$DR$187&amp;" por "&amp;IF(ISNUMBER($DZ$146),$DZ$146,1)&amp;IF(AND(ISNUMBER($DZ$146),$DZ$146&gt;1)," turnos"," turno"),"")&amp;".",IF($DS$146="Especial de dano 2–3 alvos (dano cheio por alvo)",IF(LEN($DU$146)&gt;0,$DU$146,"Ação")&amp;IF(ISNUMBER($DY$146)," (recarga "&amp;$DY$146&amp;" Ciclos)","")&amp;": até 3 alvos a até uma Distância um do outro "&amp;IF(LEN($DT$187)&gt;0,"fazem "&amp;"Teste de "&amp;$DT$187&amp;" contra DT "&amp;INDEX($Y$11:$Y$22,$R$146)&amp;". Quem falha recebe "&amp;INDEX($W$11:$W$22,$R$146)&amp;" · média "&amp;INDEX($X$11:$X$22,$R$146)&amp;" de dano "&amp;IF(LEN($DX$146)&gt;0,$DX$146,"Físico")&amp;IF(LEN($DR$187)&gt;0," e "&amp;$DR$187&amp;" por "&amp;IF(ISNUMBER($DZ$146),$DZ$146,1)&amp;IF(AND(ISNUMBER($DZ$146),$DZ$146&gt;1)," turnos"," turno"),"")&amp;"; quem passa recebe metade do dano.","recebem, cada um, "&amp;INDEX($W$11:$W$22,$R$146)&amp;" · média "&amp;INDEX($X$11:$X$22,$R$146)&amp;" de dano "&amp;IF(LEN($DX$146)&gt;0,$DX$146,"Físico")&amp;IF(LEN($DR$187)&gt;0," e "&amp;$DR$187&amp;" por "&amp;IF(ISNUMBER($DZ$146),$DZ$146,1)&amp;IF(AND(ISNUMBER($DZ$146),$DZ$146&gt;1)," turnos"," turno"),"")&amp;"."),IF($DS$146="Especial de controle",IF(LEN($DU$146)&gt;0,$DU$146,"Ação")&amp;IF(ISNUMBER($DY$146)," (recarga "&amp;$DY$146&amp;" Ciclos)","")&amp;": o alvo faz "&amp;IF(LEN($DT$187)&gt;0,"Teste de "&amp;$DT$187&amp;" contra DT "&amp;INDEX($Y$11:$Y$22,$R$146),"Teste de Resistência contra DT "&amp;INDEX($Y$11:$Y$22,$R$146))&amp;"; se falhar, recebe "&amp;IF(LEN($DR$187)&gt;0,$DR$187,"(escolha a condição)")&amp;" por "&amp;IF(ISNUMBER($DZ$146),$DZ$146,1)&amp;IF(AND(ISNUMBER($DZ$146),$DZ$146&gt;1)," turnos"," turno")&amp;".",IF($DS$146="Reação",IF(LEN($DU$146)&gt;0,$DU$146,"Ação")&amp;" (Reação"&amp;IF(ISNUMBER($DY$146),", recarga "&amp;$DY$146&amp;" Ciclos","")&amp;")"&amp;IF(LEN($DR$187)&gt;0,": o alvo faz "&amp;IF(LEN($DT$187)&gt;0,"Teste de "&amp;$DT$187&amp;" contra DT "&amp;INDEX($Y$11:$Y$22,$R$146),"Teste de Resistência contra DT "&amp;INDEX($Y$11:$Y$22,$R$146))&amp;"; se falhar, recebe "&amp;$DR$187&amp;" por "&amp;IF(ISNUMBER($DZ$146),$DZ$146,1)&amp;IF(AND(ISNUMBER($DZ$146),$DZ$146&gt;1)," turnos"," turno")&amp;".","."),""))))))</f>
        <v/>
      </c>
      <c r="K187" s="19">
        <f>IF(EA187&gt;0,"O Google leu como fórmula: escolha de novo na lista.",IF(LEN($DQ$146)=0,"",IF(AND($DS$146="Especial de controle",LEN($DR$187)=0),"Ação de controle aplica uma condição do capítulo 21 (28.4)",IF(AND($DS$146="Especial de controle",LEN($DT$187)=0),"Diga o Teste de Resistência do alvo",IF($DR$187="Congelado","Inimigo não aplica Congelamento em personagem (28.2 regra 9)",IF(AND(LEN($DR$187)&gt;0,COUNTIF('Dados'!$BH$6:$BH$18,$DR$187)=0),"Condição fora do capítulo 21: nada de condição nova (28.4)",""))))))</f>
        <v/>
      </c>
      <c r="DR187" s="2">
        <f>IF(ISERROR($B$187),"",IF(ISBLANK($B$187),"",$B$187))</f>
        <v/>
      </c>
      <c r="DT187" s="2">
        <f>IF(ISERROR($D$187),"",IF(ISBLANK($D$187),"",$D$187))</f>
        <v/>
      </c>
      <c r="EA187" s="2">
        <f>ISERROR($B$187)*1+ISERROR($D$187)*1</f>
        <v/>
      </c>
    </row>
    <row r="188" ht="48" customHeight="1">
      <c r="A188" s="43">
        <f>IF(LEN($DQ$147)&gt;0,"30 · "&amp;$DQ$147,"30 · (vazia)")</f>
        <v/>
      </c>
      <c r="B188" s="29" t="n"/>
      <c r="C188" s="17" t="n"/>
      <c r="D188" s="29" t="n"/>
      <c r="E188" s="17" t="n"/>
      <c r="F188" s="10">
        <f>IF(OR(LEN($DQ$147)=0,NOT(ISNUMBER($R$147))),"",IF($DS$147="Ataque normal",IF(LEN($DU$147)&gt;0,$DU$147,"Ação")&amp;" ("&amp;IF(LEN($DW$147)&gt;0,$DW$147,"Pessoal")&amp;", "&amp;IF(LEN($DX$147)&gt;0,$DX$147,"Físico")&amp;"): "&amp;INDEX($W$11:$W$22,$R$147)&amp;" · média "&amp;INDEX($X$11:$X$22,$R$147)&amp;IF(LEN($DR$188)&gt;0,", e o alvo recebe "&amp;$DR$188&amp;" por "&amp;IF(ISNUMBER($DZ$147),$DZ$147,1)&amp;IF(AND(ISNUMBER($DZ$147),$DZ$147&gt;1)," turnos"," turno"),""),IF($DS$147="Especial de dano 1 alvo (até 1,5×)",IF(LEN($DU$147)&gt;0,$DU$147,"Ação")&amp;IF(ISNUMBER($DY$147)," (recarga "&amp;$DY$147&amp;" Ciclos)","")&amp;": um alvo a até Distância "&amp;IF(LEN($DW$147)&gt;0,$DW$147,"Pessoal")&amp;IF(LEN($DT$188)&gt;0," faz "&amp;"Teste de "&amp;$DT$188&amp;" contra DT "&amp;INDEX($Y$11:$Y$22,$R$147)&amp;"; se falhar, recebe "," recebe ")&amp;INDEX($CJ$11:$CJ$22,$R$147)&amp;" · média "&amp;INDEX($CK$11:$CK$22,$R$147)&amp;" de dano "&amp;IF(LEN($DX$147)&gt;0,$DX$147,"Físico")&amp;IF(LEN($DR$188)&gt;0," e "&amp;$DR$188&amp;" por "&amp;IF(ISNUMBER($DZ$147),$DZ$147,1)&amp;IF(AND(ISNUMBER($DZ$147),$DZ$147&gt;1)," turnos"," turno"),"")&amp;".",IF($DS$147="Especial de dano 2–3 alvos (dano cheio por alvo)",IF(LEN($DU$147)&gt;0,$DU$147,"Ação")&amp;IF(ISNUMBER($DY$147)," (recarga "&amp;$DY$147&amp;" Ciclos)","")&amp;": até 3 alvos a até uma Distância um do outro "&amp;IF(LEN($DT$188)&gt;0,"fazem "&amp;"Teste de "&amp;$DT$188&amp;" contra DT "&amp;INDEX($Y$11:$Y$22,$R$147)&amp;". Quem falha recebe "&amp;INDEX($W$11:$W$22,$R$147)&amp;" · média "&amp;INDEX($X$11:$X$22,$R$147)&amp;" de dano "&amp;IF(LEN($DX$147)&gt;0,$DX$147,"Físico")&amp;IF(LEN($DR$188)&gt;0," e "&amp;$DR$188&amp;" por "&amp;IF(ISNUMBER($DZ$147),$DZ$147,1)&amp;IF(AND(ISNUMBER($DZ$147),$DZ$147&gt;1)," turnos"," turno"),"")&amp;"; quem passa recebe metade do dano.","recebem, cada um, "&amp;INDEX($W$11:$W$22,$R$147)&amp;" · média "&amp;INDEX($X$11:$X$22,$R$147)&amp;" de dano "&amp;IF(LEN($DX$147)&gt;0,$DX$147,"Físico")&amp;IF(LEN($DR$188)&gt;0," e "&amp;$DR$188&amp;" por "&amp;IF(ISNUMBER($DZ$147),$DZ$147,1)&amp;IF(AND(ISNUMBER($DZ$147),$DZ$147&gt;1)," turnos"," turno"),"")&amp;"."),IF($DS$147="Especial de controle",IF(LEN($DU$147)&gt;0,$DU$147,"Ação")&amp;IF(ISNUMBER($DY$147)," (recarga "&amp;$DY$147&amp;" Ciclos)","")&amp;": o alvo faz "&amp;IF(LEN($DT$188)&gt;0,"Teste de "&amp;$DT$188&amp;" contra DT "&amp;INDEX($Y$11:$Y$22,$R$147),"Teste de Resistência contra DT "&amp;INDEX($Y$11:$Y$22,$R$147))&amp;"; se falhar, recebe "&amp;IF(LEN($DR$188)&gt;0,$DR$188,"(escolha a condição)")&amp;" por "&amp;IF(ISNUMBER($DZ$147),$DZ$147,1)&amp;IF(AND(ISNUMBER($DZ$147),$DZ$147&gt;1)," turnos"," turno")&amp;".",IF($DS$147="Reação",IF(LEN($DU$147)&gt;0,$DU$147,"Ação")&amp;" (Reação"&amp;IF(ISNUMBER($DY$147),", recarga "&amp;$DY$147&amp;" Ciclos","")&amp;")"&amp;IF(LEN($DR$188)&gt;0,": o alvo faz "&amp;IF(LEN($DT$188)&gt;0,"Teste de "&amp;$DT$188&amp;" contra DT "&amp;INDEX($Y$11:$Y$22,$R$147),"Teste de Resistência contra DT "&amp;INDEX($Y$11:$Y$22,$R$147))&amp;"; se falhar, recebe "&amp;$DR$188&amp;" por "&amp;IF(ISNUMBER($DZ$147),$DZ$147,1)&amp;IF(AND(ISNUMBER($DZ$147),$DZ$147&gt;1)," turnos"," turno")&amp;".","."),""))))))</f>
        <v/>
      </c>
      <c r="K188" s="27">
        <f>IF(EA188&gt;0,"O Google leu como fórmula: escolha de novo na lista.",IF(LEN($DQ$147)=0,"",IF(AND($DS$147="Especial de controle",LEN($DR$188)=0),"Ação de controle aplica uma condição do capítulo 21 (28.4)",IF(AND($DS$147="Especial de controle",LEN($DT$188)=0),"Diga o Teste de Resistência do alvo",IF($DR$188="Congelado","Inimigo não aplica Congelamento em personagem (28.2 regra 9)",IF(AND(LEN($DR$188)&gt;0,COUNTIF('Dados'!$BH$6:$BH$18,$DR$188)=0),"Condição fora do capítulo 21: nada de condição nova (28.4)",""))))))</f>
        <v/>
      </c>
      <c r="DR188" s="2">
        <f>IF(ISERROR($B$188),"",IF(ISBLANK($B$188),"",$B$188))</f>
        <v/>
      </c>
      <c r="DT188" s="2">
        <f>IF(ISERROR($D$188),"",IF(ISBLANK($D$188),"",$D$188))</f>
        <v/>
      </c>
      <c r="EA188" s="2">
        <f>ISERROR($B$188)*1+ISERROR($D$188)*1</f>
        <v/>
      </c>
    </row>
    <row r="189" ht="48" customHeight="1">
      <c r="A189" s="31">
        <f>IF(LEN($DQ$148)&gt;0,"31 · "&amp;$DQ$148,"31 · (vazia)")</f>
        <v/>
      </c>
      <c r="B189" s="4" t="n"/>
      <c r="C189" s="17" t="n"/>
      <c r="D189" s="4" t="n"/>
      <c r="E189" s="17" t="n"/>
      <c r="F189" s="5">
        <f>IF(OR(LEN($DQ$148)=0,NOT(ISNUMBER($R$148))),"",IF($DS$148="Ataque normal",IF(LEN($DU$148)&gt;0,$DU$148,"Ação")&amp;" ("&amp;IF(LEN($DW$148)&gt;0,$DW$148,"Pessoal")&amp;", "&amp;IF(LEN($DX$148)&gt;0,$DX$148,"Físico")&amp;"): "&amp;INDEX($W$11:$W$22,$R$148)&amp;" · média "&amp;INDEX($X$11:$X$22,$R$148)&amp;IF(LEN($DR$189)&gt;0,", e o alvo recebe "&amp;$DR$189&amp;" por "&amp;IF(ISNUMBER($DZ$148),$DZ$148,1)&amp;IF(AND(ISNUMBER($DZ$148),$DZ$148&gt;1)," turnos"," turno"),""),IF($DS$148="Especial de dano 1 alvo (até 1,5×)",IF(LEN($DU$148)&gt;0,$DU$148,"Ação")&amp;IF(ISNUMBER($DY$148)," (recarga "&amp;$DY$148&amp;" Ciclos)","")&amp;": um alvo a até Distância "&amp;IF(LEN($DW$148)&gt;0,$DW$148,"Pessoal")&amp;IF(LEN($DT$189)&gt;0," faz "&amp;"Teste de "&amp;$DT$189&amp;" contra DT "&amp;INDEX($Y$11:$Y$22,$R$148)&amp;"; se falhar, recebe "," recebe ")&amp;INDEX($CJ$11:$CJ$22,$R$148)&amp;" · média "&amp;INDEX($CK$11:$CK$22,$R$148)&amp;" de dano "&amp;IF(LEN($DX$148)&gt;0,$DX$148,"Físico")&amp;IF(LEN($DR$189)&gt;0," e "&amp;$DR$189&amp;" por "&amp;IF(ISNUMBER($DZ$148),$DZ$148,1)&amp;IF(AND(ISNUMBER($DZ$148),$DZ$148&gt;1)," turnos"," turno"),"")&amp;".",IF($DS$148="Especial de dano 2–3 alvos (dano cheio por alvo)",IF(LEN($DU$148)&gt;0,$DU$148,"Ação")&amp;IF(ISNUMBER($DY$148)," (recarga "&amp;$DY$148&amp;" Ciclos)","")&amp;": até 3 alvos a até uma Distância um do outro "&amp;IF(LEN($DT$189)&gt;0,"fazem "&amp;"Teste de "&amp;$DT$189&amp;" contra DT "&amp;INDEX($Y$11:$Y$22,$R$148)&amp;". Quem falha recebe "&amp;INDEX($W$11:$W$22,$R$148)&amp;" · média "&amp;INDEX($X$11:$X$22,$R$148)&amp;" de dano "&amp;IF(LEN($DX$148)&gt;0,$DX$148,"Físico")&amp;IF(LEN($DR$189)&gt;0," e "&amp;$DR$189&amp;" por "&amp;IF(ISNUMBER($DZ$148),$DZ$148,1)&amp;IF(AND(ISNUMBER($DZ$148),$DZ$148&gt;1)," turnos"," turno"),"")&amp;"; quem passa recebe metade do dano.","recebem, cada um, "&amp;INDEX($W$11:$W$22,$R$148)&amp;" · média "&amp;INDEX($X$11:$X$22,$R$148)&amp;" de dano "&amp;IF(LEN($DX$148)&gt;0,$DX$148,"Físico")&amp;IF(LEN($DR$189)&gt;0," e "&amp;$DR$189&amp;" por "&amp;IF(ISNUMBER($DZ$148),$DZ$148,1)&amp;IF(AND(ISNUMBER($DZ$148),$DZ$148&gt;1)," turnos"," turno"),"")&amp;"."),IF($DS$148="Especial de controle",IF(LEN($DU$148)&gt;0,$DU$148,"Ação")&amp;IF(ISNUMBER($DY$148)," (recarga "&amp;$DY$148&amp;" Ciclos)","")&amp;": o alvo faz "&amp;IF(LEN($DT$189)&gt;0,"Teste de "&amp;$DT$189&amp;" contra DT "&amp;INDEX($Y$11:$Y$22,$R$148),"Teste de Resistência contra DT "&amp;INDEX($Y$11:$Y$22,$R$148))&amp;"; se falhar, recebe "&amp;IF(LEN($DR$189)&gt;0,$DR$189,"(escolha a condição)")&amp;" por "&amp;IF(ISNUMBER($DZ$148),$DZ$148,1)&amp;IF(AND(ISNUMBER($DZ$148),$DZ$148&gt;1)," turnos"," turno")&amp;".",IF($DS$148="Reação",IF(LEN($DU$148)&gt;0,$DU$148,"Ação")&amp;" (Reação"&amp;IF(ISNUMBER($DY$148),", recarga "&amp;$DY$148&amp;" Ciclos","")&amp;")"&amp;IF(LEN($DR$189)&gt;0,": o alvo faz "&amp;IF(LEN($DT$189)&gt;0,"Teste de "&amp;$DT$189&amp;" contra DT "&amp;INDEX($Y$11:$Y$22,$R$148),"Teste de Resistência contra DT "&amp;INDEX($Y$11:$Y$22,$R$148))&amp;"; se falhar, recebe "&amp;$DR$189&amp;" por "&amp;IF(ISNUMBER($DZ$148),$DZ$148,1)&amp;IF(AND(ISNUMBER($DZ$148),$DZ$148&gt;1)," turnos"," turno")&amp;".","."),""))))))</f>
        <v/>
      </c>
      <c r="K189" s="19">
        <f>IF(EA189&gt;0,"O Google leu como fórmula: escolha de novo na lista.",IF(LEN($DQ$148)=0,"",IF(AND($DS$148="Especial de controle",LEN($DR$189)=0),"Ação de controle aplica uma condição do capítulo 21 (28.4)",IF(AND($DS$148="Especial de controle",LEN($DT$189)=0),"Diga o Teste de Resistência do alvo",IF($DR$189="Congelado","Inimigo não aplica Congelamento em personagem (28.2 regra 9)",IF(AND(LEN($DR$189)&gt;0,COUNTIF('Dados'!$BH$6:$BH$18,$DR$189)=0),"Condição fora do capítulo 21: nada de condição nova (28.4)",""))))))</f>
        <v/>
      </c>
      <c r="DR189" s="2">
        <f>IF(ISERROR($B$189),"",IF(ISBLANK($B$189),"",$B$189))</f>
        <v/>
      </c>
      <c r="DT189" s="2">
        <f>IF(ISERROR($D$189),"",IF(ISBLANK($D$189),"",$D$189))</f>
        <v/>
      </c>
      <c r="EA189" s="2">
        <f>ISERROR($B$189)*1+ISERROR($D$189)*1</f>
        <v/>
      </c>
    </row>
    <row r="190" ht="48" customHeight="1">
      <c r="A190" s="43">
        <f>IF(LEN($DQ$149)&gt;0,"32 · "&amp;$DQ$149,"32 · (vazia)")</f>
        <v/>
      </c>
      <c r="B190" s="29" t="n"/>
      <c r="C190" s="17" t="n"/>
      <c r="D190" s="29" t="n"/>
      <c r="E190" s="17" t="n"/>
      <c r="F190" s="10">
        <f>IF(OR(LEN($DQ$149)=0,NOT(ISNUMBER($R$149))),"",IF($DS$149="Ataque normal",IF(LEN($DU$149)&gt;0,$DU$149,"Ação")&amp;" ("&amp;IF(LEN($DW$149)&gt;0,$DW$149,"Pessoal")&amp;", "&amp;IF(LEN($DX$149)&gt;0,$DX$149,"Físico")&amp;"): "&amp;INDEX($W$11:$W$22,$R$149)&amp;" · média "&amp;INDEX($X$11:$X$22,$R$149)&amp;IF(LEN($DR$190)&gt;0,", e o alvo recebe "&amp;$DR$190&amp;" por "&amp;IF(ISNUMBER($DZ$149),$DZ$149,1)&amp;IF(AND(ISNUMBER($DZ$149),$DZ$149&gt;1)," turnos"," turno"),""),IF($DS$149="Especial de dano 1 alvo (até 1,5×)",IF(LEN($DU$149)&gt;0,$DU$149,"Ação")&amp;IF(ISNUMBER($DY$149)," (recarga "&amp;$DY$149&amp;" Ciclos)","")&amp;": um alvo a até Distância "&amp;IF(LEN($DW$149)&gt;0,$DW$149,"Pessoal")&amp;IF(LEN($DT$190)&gt;0," faz "&amp;"Teste de "&amp;$DT$190&amp;" contra DT "&amp;INDEX($Y$11:$Y$22,$R$149)&amp;"; se falhar, recebe "," recebe ")&amp;INDEX($CJ$11:$CJ$22,$R$149)&amp;" · média "&amp;INDEX($CK$11:$CK$22,$R$149)&amp;" de dano "&amp;IF(LEN($DX$149)&gt;0,$DX$149,"Físico")&amp;IF(LEN($DR$190)&gt;0," e "&amp;$DR$190&amp;" por "&amp;IF(ISNUMBER($DZ$149),$DZ$149,1)&amp;IF(AND(ISNUMBER($DZ$149),$DZ$149&gt;1)," turnos"," turno"),"")&amp;".",IF($DS$149="Especial de dano 2–3 alvos (dano cheio por alvo)",IF(LEN($DU$149)&gt;0,$DU$149,"Ação")&amp;IF(ISNUMBER($DY$149)," (recarga "&amp;$DY$149&amp;" Ciclos)","")&amp;": até 3 alvos a até uma Distância um do outro "&amp;IF(LEN($DT$190)&gt;0,"fazem "&amp;"Teste de "&amp;$DT$190&amp;" contra DT "&amp;INDEX($Y$11:$Y$22,$R$149)&amp;". Quem falha recebe "&amp;INDEX($W$11:$W$22,$R$149)&amp;" · média "&amp;INDEX($X$11:$X$22,$R$149)&amp;" de dano "&amp;IF(LEN($DX$149)&gt;0,$DX$149,"Físico")&amp;IF(LEN($DR$190)&gt;0," e "&amp;$DR$190&amp;" por "&amp;IF(ISNUMBER($DZ$149),$DZ$149,1)&amp;IF(AND(ISNUMBER($DZ$149),$DZ$149&gt;1)," turnos"," turno"),"")&amp;"; quem passa recebe metade do dano.","recebem, cada um, "&amp;INDEX($W$11:$W$22,$R$149)&amp;" · média "&amp;INDEX($X$11:$X$22,$R$149)&amp;" de dano "&amp;IF(LEN($DX$149)&gt;0,$DX$149,"Físico")&amp;IF(LEN($DR$190)&gt;0," e "&amp;$DR$190&amp;" por "&amp;IF(ISNUMBER($DZ$149),$DZ$149,1)&amp;IF(AND(ISNUMBER($DZ$149),$DZ$149&gt;1)," turnos"," turno"),"")&amp;"."),IF($DS$149="Especial de controle",IF(LEN($DU$149)&gt;0,$DU$149,"Ação")&amp;IF(ISNUMBER($DY$149)," (recarga "&amp;$DY$149&amp;" Ciclos)","")&amp;": o alvo faz "&amp;IF(LEN($DT$190)&gt;0,"Teste de "&amp;$DT$190&amp;" contra DT "&amp;INDEX($Y$11:$Y$22,$R$149),"Teste de Resistência contra DT "&amp;INDEX($Y$11:$Y$22,$R$149))&amp;"; se falhar, recebe "&amp;IF(LEN($DR$190)&gt;0,$DR$190,"(escolha a condição)")&amp;" por "&amp;IF(ISNUMBER($DZ$149),$DZ$149,1)&amp;IF(AND(ISNUMBER($DZ$149),$DZ$149&gt;1)," turnos"," turno")&amp;".",IF($DS$149="Reação",IF(LEN($DU$149)&gt;0,$DU$149,"Ação")&amp;" (Reação"&amp;IF(ISNUMBER($DY$149),", recarga "&amp;$DY$149&amp;" Ciclos","")&amp;")"&amp;IF(LEN($DR$190)&gt;0,": o alvo faz "&amp;IF(LEN($DT$190)&gt;0,"Teste de "&amp;$DT$190&amp;" contra DT "&amp;INDEX($Y$11:$Y$22,$R$149),"Teste de Resistência contra DT "&amp;INDEX($Y$11:$Y$22,$R$149))&amp;"; se falhar, recebe "&amp;$DR$190&amp;" por "&amp;IF(ISNUMBER($DZ$149),$DZ$149,1)&amp;IF(AND(ISNUMBER($DZ$149),$DZ$149&gt;1)," turnos"," turno")&amp;".","."),""))))))</f>
        <v/>
      </c>
      <c r="K190" s="27">
        <f>IF(EA190&gt;0,"O Google leu como fórmula: escolha de novo na lista.",IF(LEN($DQ$149)=0,"",IF(AND($DS$149="Especial de controle",LEN($DR$190)=0),"Ação de controle aplica uma condição do capítulo 21 (28.4)",IF(AND($DS$149="Especial de controle",LEN($DT$190)=0),"Diga o Teste de Resistência do alvo",IF($DR$190="Congelado","Inimigo não aplica Congelamento em personagem (28.2 regra 9)",IF(AND(LEN($DR$190)&gt;0,COUNTIF('Dados'!$BH$6:$BH$18,$DR$190)=0),"Condição fora do capítulo 21: nada de condição nova (28.4)",""))))))</f>
        <v/>
      </c>
      <c r="DR190" s="2">
        <f>IF(ISERROR($B$190),"",IF(ISBLANK($B$190),"",$B$190))</f>
        <v/>
      </c>
      <c r="DT190" s="2">
        <f>IF(ISERROR($D$190),"",IF(ISBLANK($D$190),"",$D$190))</f>
        <v/>
      </c>
      <c r="EA190" s="2">
        <f>ISERROR($B$190)*1+ISERROR($D$190)*1</f>
        <v/>
      </c>
    </row>
    <row r="191" ht="48" customHeight="1">
      <c r="A191" s="31">
        <f>IF(LEN($DQ$150)&gt;0,"33 · "&amp;$DQ$150,"33 · (vazia)")</f>
        <v/>
      </c>
      <c r="B191" s="4" t="n"/>
      <c r="C191" s="17" t="n"/>
      <c r="D191" s="4" t="n"/>
      <c r="E191" s="17" t="n"/>
      <c r="F191" s="5">
        <f>IF(OR(LEN($DQ$150)=0,NOT(ISNUMBER($R$150))),"",IF($DS$150="Ataque normal",IF(LEN($DU$150)&gt;0,$DU$150,"Ação")&amp;" ("&amp;IF(LEN($DW$150)&gt;0,$DW$150,"Pessoal")&amp;", "&amp;IF(LEN($DX$150)&gt;0,$DX$150,"Físico")&amp;"): "&amp;INDEX($W$11:$W$22,$R$150)&amp;" · média "&amp;INDEX($X$11:$X$22,$R$150)&amp;IF(LEN($DR$191)&gt;0,", e o alvo recebe "&amp;$DR$191&amp;" por "&amp;IF(ISNUMBER($DZ$150),$DZ$150,1)&amp;IF(AND(ISNUMBER($DZ$150),$DZ$150&gt;1)," turnos"," turno"),""),IF($DS$150="Especial de dano 1 alvo (até 1,5×)",IF(LEN($DU$150)&gt;0,$DU$150,"Ação")&amp;IF(ISNUMBER($DY$150)," (recarga "&amp;$DY$150&amp;" Ciclos)","")&amp;": um alvo a até Distância "&amp;IF(LEN($DW$150)&gt;0,$DW$150,"Pessoal")&amp;IF(LEN($DT$191)&gt;0," faz "&amp;"Teste de "&amp;$DT$191&amp;" contra DT "&amp;INDEX($Y$11:$Y$22,$R$150)&amp;"; se falhar, recebe "," recebe ")&amp;INDEX($CJ$11:$CJ$22,$R$150)&amp;" · média "&amp;INDEX($CK$11:$CK$22,$R$150)&amp;" de dano "&amp;IF(LEN($DX$150)&gt;0,$DX$150,"Físico")&amp;IF(LEN($DR$191)&gt;0," e "&amp;$DR$191&amp;" por "&amp;IF(ISNUMBER($DZ$150),$DZ$150,1)&amp;IF(AND(ISNUMBER($DZ$150),$DZ$150&gt;1)," turnos"," turno"),"")&amp;".",IF($DS$150="Especial de dano 2–3 alvos (dano cheio por alvo)",IF(LEN($DU$150)&gt;0,$DU$150,"Ação")&amp;IF(ISNUMBER($DY$150)," (recarga "&amp;$DY$150&amp;" Ciclos)","")&amp;": até 3 alvos a até uma Distância um do outro "&amp;IF(LEN($DT$191)&gt;0,"fazem "&amp;"Teste de "&amp;$DT$191&amp;" contra DT "&amp;INDEX($Y$11:$Y$22,$R$150)&amp;". Quem falha recebe "&amp;INDEX($W$11:$W$22,$R$150)&amp;" · média "&amp;INDEX($X$11:$X$22,$R$150)&amp;" de dano "&amp;IF(LEN($DX$150)&gt;0,$DX$150,"Físico")&amp;IF(LEN($DR$191)&gt;0," e "&amp;$DR$191&amp;" por "&amp;IF(ISNUMBER($DZ$150),$DZ$150,1)&amp;IF(AND(ISNUMBER($DZ$150),$DZ$150&gt;1)," turnos"," turno"),"")&amp;"; quem passa recebe metade do dano.","recebem, cada um, "&amp;INDEX($W$11:$W$22,$R$150)&amp;" · média "&amp;INDEX($X$11:$X$22,$R$150)&amp;" de dano "&amp;IF(LEN($DX$150)&gt;0,$DX$150,"Físico")&amp;IF(LEN($DR$191)&gt;0," e "&amp;$DR$191&amp;" por "&amp;IF(ISNUMBER($DZ$150),$DZ$150,1)&amp;IF(AND(ISNUMBER($DZ$150),$DZ$150&gt;1)," turnos"," turno"),"")&amp;"."),IF($DS$150="Especial de controle",IF(LEN($DU$150)&gt;0,$DU$150,"Ação")&amp;IF(ISNUMBER($DY$150)," (recarga "&amp;$DY$150&amp;" Ciclos)","")&amp;": o alvo faz "&amp;IF(LEN($DT$191)&gt;0,"Teste de "&amp;$DT$191&amp;" contra DT "&amp;INDEX($Y$11:$Y$22,$R$150),"Teste de Resistência contra DT "&amp;INDEX($Y$11:$Y$22,$R$150))&amp;"; se falhar, recebe "&amp;IF(LEN($DR$191)&gt;0,$DR$191,"(escolha a condição)")&amp;" por "&amp;IF(ISNUMBER($DZ$150),$DZ$150,1)&amp;IF(AND(ISNUMBER($DZ$150),$DZ$150&gt;1)," turnos"," turno")&amp;".",IF($DS$150="Reação",IF(LEN($DU$150)&gt;0,$DU$150,"Ação")&amp;" (Reação"&amp;IF(ISNUMBER($DY$150),", recarga "&amp;$DY$150&amp;" Ciclos","")&amp;")"&amp;IF(LEN($DR$191)&gt;0,": o alvo faz "&amp;IF(LEN($DT$191)&gt;0,"Teste de "&amp;$DT$191&amp;" contra DT "&amp;INDEX($Y$11:$Y$22,$R$150),"Teste de Resistência contra DT "&amp;INDEX($Y$11:$Y$22,$R$150))&amp;"; se falhar, recebe "&amp;$DR$191&amp;" por "&amp;IF(ISNUMBER($DZ$150),$DZ$150,1)&amp;IF(AND(ISNUMBER($DZ$150),$DZ$150&gt;1)," turnos"," turno")&amp;".","."),""))))))</f>
        <v/>
      </c>
      <c r="K191" s="19">
        <f>IF(EA191&gt;0,"O Google leu como fórmula: escolha de novo na lista.",IF(LEN($DQ$150)=0,"",IF(AND($DS$150="Especial de controle",LEN($DR$191)=0),"Ação de controle aplica uma condição do capítulo 21 (28.4)",IF(AND($DS$150="Especial de controle",LEN($DT$191)=0),"Diga o Teste de Resistência do alvo",IF($DR$191="Congelado","Inimigo não aplica Congelamento em personagem (28.2 regra 9)",IF(AND(LEN($DR$191)&gt;0,COUNTIF('Dados'!$BH$6:$BH$18,$DR$191)=0),"Condição fora do capítulo 21: nada de condição nova (28.4)",""))))))</f>
        <v/>
      </c>
      <c r="DR191" s="2">
        <f>IF(ISERROR($B$191),"",IF(ISBLANK($B$191),"",$B$191))</f>
        <v/>
      </c>
      <c r="DT191" s="2">
        <f>IF(ISERROR($D$191),"",IF(ISBLANK($D$191),"",$D$191))</f>
        <v/>
      </c>
      <c r="EA191" s="2">
        <f>ISERROR($B$191)*1+ISERROR($D$191)*1</f>
        <v/>
      </c>
    </row>
    <row r="192" ht="48" customHeight="1">
      <c r="A192" s="43">
        <f>IF(LEN($DQ$151)&gt;0,"34 · "&amp;$DQ$151,"34 · (vazia)")</f>
        <v/>
      </c>
      <c r="B192" s="29" t="n"/>
      <c r="C192" s="17" t="n"/>
      <c r="D192" s="29" t="n"/>
      <c r="E192" s="17" t="n"/>
      <c r="F192" s="10">
        <f>IF(OR(LEN($DQ$151)=0,NOT(ISNUMBER($R$151))),"",IF($DS$151="Ataque normal",IF(LEN($DU$151)&gt;0,$DU$151,"Ação")&amp;" ("&amp;IF(LEN($DW$151)&gt;0,$DW$151,"Pessoal")&amp;", "&amp;IF(LEN($DX$151)&gt;0,$DX$151,"Físico")&amp;"): "&amp;INDEX($W$11:$W$22,$R$151)&amp;" · média "&amp;INDEX($X$11:$X$22,$R$151)&amp;IF(LEN($DR$192)&gt;0,", e o alvo recebe "&amp;$DR$192&amp;" por "&amp;IF(ISNUMBER($DZ$151),$DZ$151,1)&amp;IF(AND(ISNUMBER($DZ$151),$DZ$151&gt;1)," turnos"," turno"),""),IF($DS$151="Especial de dano 1 alvo (até 1,5×)",IF(LEN($DU$151)&gt;0,$DU$151,"Ação")&amp;IF(ISNUMBER($DY$151)," (recarga "&amp;$DY$151&amp;" Ciclos)","")&amp;": um alvo a até Distância "&amp;IF(LEN($DW$151)&gt;0,$DW$151,"Pessoal")&amp;IF(LEN($DT$192)&gt;0," faz "&amp;"Teste de "&amp;$DT$192&amp;" contra DT "&amp;INDEX($Y$11:$Y$22,$R$151)&amp;"; se falhar, recebe "," recebe ")&amp;INDEX($CJ$11:$CJ$22,$R$151)&amp;" · média "&amp;INDEX($CK$11:$CK$22,$R$151)&amp;" de dano "&amp;IF(LEN($DX$151)&gt;0,$DX$151,"Físico")&amp;IF(LEN($DR$192)&gt;0," e "&amp;$DR$192&amp;" por "&amp;IF(ISNUMBER($DZ$151),$DZ$151,1)&amp;IF(AND(ISNUMBER($DZ$151),$DZ$151&gt;1)," turnos"," turno"),"")&amp;".",IF($DS$151="Especial de dano 2–3 alvos (dano cheio por alvo)",IF(LEN($DU$151)&gt;0,$DU$151,"Ação")&amp;IF(ISNUMBER($DY$151)," (recarga "&amp;$DY$151&amp;" Ciclos)","")&amp;": até 3 alvos a até uma Distância um do outro "&amp;IF(LEN($DT$192)&gt;0,"fazem "&amp;"Teste de "&amp;$DT$192&amp;" contra DT "&amp;INDEX($Y$11:$Y$22,$R$151)&amp;". Quem falha recebe "&amp;INDEX($W$11:$W$22,$R$151)&amp;" · média "&amp;INDEX($X$11:$X$22,$R$151)&amp;" de dano "&amp;IF(LEN($DX$151)&gt;0,$DX$151,"Físico")&amp;IF(LEN($DR$192)&gt;0," e "&amp;$DR$192&amp;" por "&amp;IF(ISNUMBER($DZ$151),$DZ$151,1)&amp;IF(AND(ISNUMBER($DZ$151),$DZ$151&gt;1)," turnos"," turno"),"")&amp;"; quem passa recebe metade do dano.","recebem, cada um, "&amp;INDEX($W$11:$W$22,$R$151)&amp;" · média "&amp;INDEX($X$11:$X$22,$R$151)&amp;" de dano "&amp;IF(LEN($DX$151)&gt;0,$DX$151,"Físico")&amp;IF(LEN($DR$192)&gt;0," e "&amp;$DR$192&amp;" por "&amp;IF(ISNUMBER($DZ$151),$DZ$151,1)&amp;IF(AND(ISNUMBER($DZ$151),$DZ$151&gt;1)," turnos"," turno"),"")&amp;"."),IF($DS$151="Especial de controle",IF(LEN($DU$151)&gt;0,$DU$151,"Ação")&amp;IF(ISNUMBER($DY$151)," (recarga "&amp;$DY$151&amp;" Ciclos)","")&amp;": o alvo faz "&amp;IF(LEN($DT$192)&gt;0,"Teste de "&amp;$DT$192&amp;" contra DT "&amp;INDEX($Y$11:$Y$22,$R$151),"Teste de Resistência contra DT "&amp;INDEX($Y$11:$Y$22,$R$151))&amp;"; se falhar, recebe "&amp;IF(LEN($DR$192)&gt;0,$DR$192,"(escolha a condição)")&amp;" por "&amp;IF(ISNUMBER($DZ$151),$DZ$151,1)&amp;IF(AND(ISNUMBER($DZ$151),$DZ$151&gt;1)," turnos"," turno")&amp;".",IF($DS$151="Reação",IF(LEN($DU$151)&gt;0,$DU$151,"Ação")&amp;" (Reação"&amp;IF(ISNUMBER($DY$151),", recarga "&amp;$DY$151&amp;" Ciclos","")&amp;")"&amp;IF(LEN($DR$192)&gt;0,": o alvo faz "&amp;IF(LEN($DT$192)&gt;0,"Teste de "&amp;$DT$192&amp;" contra DT "&amp;INDEX($Y$11:$Y$22,$R$151),"Teste de Resistência contra DT "&amp;INDEX($Y$11:$Y$22,$R$151))&amp;"; se falhar, recebe "&amp;$DR$192&amp;" por "&amp;IF(ISNUMBER($DZ$151),$DZ$151,1)&amp;IF(AND(ISNUMBER($DZ$151),$DZ$151&gt;1)," turnos"," turno")&amp;".","."),""))))))</f>
        <v/>
      </c>
      <c r="K192" s="27">
        <f>IF(EA192&gt;0,"O Google leu como fórmula: escolha de novo na lista.",IF(LEN($DQ$151)=0,"",IF(AND($DS$151="Especial de controle",LEN($DR$192)=0),"Ação de controle aplica uma condição do capítulo 21 (28.4)",IF(AND($DS$151="Especial de controle",LEN($DT$192)=0),"Diga o Teste de Resistência do alvo",IF($DR$192="Congelado","Inimigo não aplica Congelamento em personagem (28.2 regra 9)",IF(AND(LEN($DR$192)&gt;0,COUNTIF('Dados'!$BH$6:$BH$18,$DR$192)=0),"Condição fora do capítulo 21: nada de condição nova (28.4)",""))))))</f>
        <v/>
      </c>
      <c r="DR192" s="2">
        <f>IF(ISERROR($B$192),"",IF(ISBLANK($B$192),"",$B$192))</f>
        <v/>
      </c>
      <c r="DT192" s="2">
        <f>IF(ISERROR($D$192),"",IF(ISBLANK($D$192),"",$D$192))</f>
        <v/>
      </c>
      <c r="EA192" s="2">
        <f>ISERROR($B$192)*1+ISERROR($D$192)*1</f>
        <v/>
      </c>
    </row>
    <row r="193" ht="48" customHeight="1">
      <c r="A193" s="31">
        <f>IF(LEN($DQ$152)&gt;0,"35 · "&amp;$DQ$152,"35 · (vazia)")</f>
        <v/>
      </c>
      <c r="B193" s="4" t="n"/>
      <c r="C193" s="17" t="n"/>
      <c r="D193" s="4" t="n"/>
      <c r="E193" s="17" t="n"/>
      <c r="F193" s="5">
        <f>IF(OR(LEN($DQ$152)=0,NOT(ISNUMBER($R$152))),"",IF($DS$152="Ataque normal",IF(LEN($DU$152)&gt;0,$DU$152,"Ação")&amp;" ("&amp;IF(LEN($DW$152)&gt;0,$DW$152,"Pessoal")&amp;", "&amp;IF(LEN($DX$152)&gt;0,$DX$152,"Físico")&amp;"): "&amp;INDEX($W$11:$W$22,$R$152)&amp;" · média "&amp;INDEX($X$11:$X$22,$R$152)&amp;IF(LEN($DR$193)&gt;0,", e o alvo recebe "&amp;$DR$193&amp;" por "&amp;IF(ISNUMBER($DZ$152),$DZ$152,1)&amp;IF(AND(ISNUMBER($DZ$152),$DZ$152&gt;1)," turnos"," turno"),""),IF($DS$152="Especial de dano 1 alvo (até 1,5×)",IF(LEN($DU$152)&gt;0,$DU$152,"Ação")&amp;IF(ISNUMBER($DY$152)," (recarga "&amp;$DY$152&amp;" Ciclos)","")&amp;": um alvo a até Distância "&amp;IF(LEN($DW$152)&gt;0,$DW$152,"Pessoal")&amp;IF(LEN($DT$193)&gt;0," faz "&amp;"Teste de "&amp;$DT$193&amp;" contra DT "&amp;INDEX($Y$11:$Y$22,$R$152)&amp;"; se falhar, recebe "," recebe ")&amp;INDEX($CJ$11:$CJ$22,$R$152)&amp;" · média "&amp;INDEX($CK$11:$CK$22,$R$152)&amp;" de dano "&amp;IF(LEN($DX$152)&gt;0,$DX$152,"Físico")&amp;IF(LEN($DR$193)&gt;0," e "&amp;$DR$193&amp;" por "&amp;IF(ISNUMBER($DZ$152),$DZ$152,1)&amp;IF(AND(ISNUMBER($DZ$152),$DZ$152&gt;1)," turnos"," turno"),"")&amp;".",IF($DS$152="Especial de dano 2–3 alvos (dano cheio por alvo)",IF(LEN($DU$152)&gt;0,$DU$152,"Ação")&amp;IF(ISNUMBER($DY$152)," (recarga "&amp;$DY$152&amp;" Ciclos)","")&amp;": até 3 alvos a até uma Distância um do outro "&amp;IF(LEN($DT$193)&gt;0,"fazem "&amp;"Teste de "&amp;$DT$193&amp;" contra DT "&amp;INDEX($Y$11:$Y$22,$R$152)&amp;". Quem falha recebe "&amp;INDEX($W$11:$W$22,$R$152)&amp;" · média "&amp;INDEX($X$11:$X$22,$R$152)&amp;" de dano "&amp;IF(LEN($DX$152)&gt;0,$DX$152,"Físico")&amp;IF(LEN($DR$193)&gt;0," e "&amp;$DR$193&amp;" por "&amp;IF(ISNUMBER($DZ$152),$DZ$152,1)&amp;IF(AND(ISNUMBER($DZ$152),$DZ$152&gt;1)," turnos"," turno"),"")&amp;"; quem passa recebe metade do dano.","recebem, cada um, "&amp;INDEX($W$11:$W$22,$R$152)&amp;" · média "&amp;INDEX($X$11:$X$22,$R$152)&amp;" de dano "&amp;IF(LEN($DX$152)&gt;0,$DX$152,"Físico")&amp;IF(LEN($DR$193)&gt;0," e "&amp;$DR$193&amp;" por "&amp;IF(ISNUMBER($DZ$152),$DZ$152,1)&amp;IF(AND(ISNUMBER($DZ$152),$DZ$152&gt;1)," turnos"," turno"),"")&amp;"."),IF($DS$152="Especial de controle",IF(LEN($DU$152)&gt;0,$DU$152,"Ação")&amp;IF(ISNUMBER($DY$152)," (recarga "&amp;$DY$152&amp;" Ciclos)","")&amp;": o alvo faz "&amp;IF(LEN($DT$193)&gt;0,"Teste de "&amp;$DT$193&amp;" contra DT "&amp;INDEX($Y$11:$Y$22,$R$152),"Teste de Resistência contra DT "&amp;INDEX($Y$11:$Y$22,$R$152))&amp;"; se falhar, recebe "&amp;IF(LEN($DR$193)&gt;0,$DR$193,"(escolha a condição)")&amp;" por "&amp;IF(ISNUMBER($DZ$152),$DZ$152,1)&amp;IF(AND(ISNUMBER($DZ$152),$DZ$152&gt;1)," turnos"," turno")&amp;".",IF($DS$152="Reação",IF(LEN($DU$152)&gt;0,$DU$152,"Ação")&amp;" (Reação"&amp;IF(ISNUMBER($DY$152),", recarga "&amp;$DY$152&amp;" Ciclos","")&amp;")"&amp;IF(LEN($DR$193)&gt;0,": o alvo faz "&amp;IF(LEN($DT$193)&gt;0,"Teste de "&amp;$DT$193&amp;" contra DT "&amp;INDEX($Y$11:$Y$22,$R$152),"Teste de Resistência contra DT "&amp;INDEX($Y$11:$Y$22,$R$152))&amp;"; se falhar, recebe "&amp;$DR$193&amp;" por "&amp;IF(ISNUMBER($DZ$152),$DZ$152,1)&amp;IF(AND(ISNUMBER($DZ$152),$DZ$152&gt;1)," turnos"," turno")&amp;".","."),""))))))</f>
        <v/>
      </c>
      <c r="K193" s="19">
        <f>IF(EA193&gt;0,"O Google leu como fórmula: escolha de novo na lista.",IF(LEN($DQ$152)=0,"",IF(AND($DS$152="Especial de controle",LEN($DR$193)=0),"Ação de controle aplica uma condição do capítulo 21 (28.4)",IF(AND($DS$152="Especial de controle",LEN($DT$193)=0),"Diga o Teste de Resistência do alvo",IF($DR$193="Congelado","Inimigo não aplica Congelamento em personagem (28.2 regra 9)",IF(AND(LEN($DR$193)&gt;0,COUNTIF('Dados'!$BH$6:$BH$18,$DR$193)=0),"Condição fora do capítulo 21: nada de condição nova (28.4)",""))))))</f>
        <v/>
      </c>
      <c r="DR193" s="2">
        <f>IF(ISERROR($B$193),"",IF(ISBLANK($B$193),"",$B$193))</f>
        <v/>
      </c>
      <c r="DT193" s="2">
        <f>IF(ISERROR($D$193),"",IF(ISBLANK($D$193),"",$D$193))</f>
        <v/>
      </c>
      <c r="EA193" s="2">
        <f>ISERROR($B$193)*1+ISERROR($D$193)*1</f>
        <v/>
      </c>
    </row>
    <row r="194" ht="48" customHeight="1">
      <c r="A194" s="43">
        <f>IF(LEN($DQ$153)&gt;0,"36 · "&amp;$DQ$153,"36 · (vazia)")</f>
        <v/>
      </c>
      <c r="B194" s="29" t="n"/>
      <c r="C194" s="17" t="n"/>
      <c r="D194" s="29" t="n"/>
      <c r="E194" s="17" t="n"/>
      <c r="F194" s="10">
        <f>IF(OR(LEN($DQ$153)=0,NOT(ISNUMBER($R$153))),"",IF($DS$153="Ataque normal",IF(LEN($DU$153)&gt;0,$DU$153,"Ação")&amp;" ("&amp;IF(LEN($DW$153)&gt;0,$DW$153,"Pessoal")&amp;", "&amp;IF(LEN($DX$153)&gt;0,$DX$153,"Físico")&amp;"): "&amp;INDEX($W$11:$W$22,$R$153)&amp;" · média "&amp;INDEX($X$11:$X$22,$R$153)&amp;IF(LEN($DR$194)&gt;0,", e o alvo recebe "&amp;$DR$194&amp;" por "&amp;IF(ISNUMBER($DZ$153),$DZ$153,1)&amp;IF(AND(ISNUMBER($DZ$153),$DZ$153&gt;1)," turnos"," turno"),""),IF($DS$153="Especial de dano 1 alvo (até 1,5×)",IF(LEN($DU$153)&gt;0,$DU$153,"Ação")&amp;IF(ISNUMBER($DY$153)," (recarga "&amp;$DY$153&amp;" Ciclos)","")&amp;": um alvo a até Distância "&amp;IF(LEN($DW$153)&gt;0,$DW$153,"Pessoal")&amp;IF(LEN($DT$194)&gt;0," faz "&amp;"Teste de "&amp;$DT$194&amp;" contra DT "&amp;INDEX($Y$11:$Y$22,$R$153)&amp;"; se falhar, recebe "," recebe ")&amp;INDEX($CJ$11:$CJ$22,$R$153)&amp;" · média "&amp;INDEX($CK$11:$CK$22,$R$153)&amp;" de dano "&amp;IF(LEN($DX$153)&gt;0,$DX$153,"Físico")&amp;IF(LEN($DR$194)&gt;0," e "&amp;$DR$194&amp;" por "&amp;IF(ISNUMBER($DZ$153),$DZ$153,1)&amp;IF(AND(ISNUMBER($DZ$153),$DZ$153&gt;1)," turnos"," turno"),"")&amp;".",IF($DS$153="Especial de dano 2–3 alvos (dano cheio por alvo)",IF(LEN($DU$153)&gt;0,$DU$153,"Ação")&amp;IF(ISNUMBER($DY$153)," (recarga "&amp;$DY$153&amp;" Ciclos)","")&amp;": até 3 alvos a até uma Distância um do outro "&amp;IF(LEN($DT$194)&gt;0,"fazem "&amp;"Teste de "&amp;$DT$194&amp;" contra DT "&amp;INDEX($Y$11:$Y$22,$R$153)&amp;". Quem falha recebe "&amp;INDEX($W$11:$W$22,$R$153)&amp;" · média "&amp;INDEX($X$11:$X$22,$R$153)&amp;" de dano "&amp;IF(LEN($DX$153)&gt;0,$DX$153,"Físico")&amp;IF(LEN($DR$194)&gt;0," e "&amp;$DR$194&amp;" por "&amp;IF(ISNUMBER($DZ$153),$DZ$153,1)&amp;IF(AND(ISNUMBER($DZ$153),$DZ$153&gt;1)," turnos"," turno"),"")&amp;"; quem passa recebe metade do dano.","recebem, cada um, "&amp;INDEX($W$11:$W$22,$R$153)&amp;" · média "&amp;INDEX($X$11:$X$22,$R$153)&amp;" de dano "&amp;IF(LEN($DX$153)&gt;0,$DX$153,"Físico")&amp;IF(LEN($DR$194)&gt;0," e "&amp;$DR$194&amp;" por "&amp;IF(ISNUMBER($DZ$153),$DZ$153,1)&amp;IF(AND(ISNUMBER($DZ$153),$DZ$153&gt;1)," turnos"," turno"),"")&amp;"."),IF($DS$153="Especial de controle",IF(LEN($DU$153)&gt;0,$DU$153,"Ação")&amp;IF(ISNUMBER($DY$153)," (recarga "&amp;$DY$153&amp;" Ciclos)","")&amp;": o alvo faz "&amp;IF(LEN($DT$194)&gt;0,"Teste de "&amp;$DT$194&amp;" contra DT "&amp;INDEX($Y$11:$Y$22,$R$153),"Teste de Resistência contra DT "&amp;INDEX($Y$11:$Y$22,$R$153))&amp;"; se falhar, recebe "&amp;IF(LEN($DR$194)&gt;0,$DR$194,"(escolha a condição)")&amp;" por "&amp;IF(ISNUMBER($DZ$153),$DZ$153,1)&amp;IF(AND(ISNUMBER($DZ$153),$DZ$153&gt;1)," turnos"," turno")&amp;".",IF($DS$153="Reação",IF(LEN($DU$153)&gt;0,$DU$153,"Ação")&amp;" (Reação"&amp;IF(ISNUMBER($DY$153),", recarga "&amp;$DY$153&amp;" Ciclos","")&amp;")"&amp;IF(LEN($DR$194)&gt;0,": o alvo faz "&amp;IF(LEN($DT$194)&gt;0,"Teste de "&amp;$DT$194&amp;" contra DT "&amp;INDEX($Y$11:$Y$22,$R$153),"Teste de Resistência contra DT "&amp;INDEX($Y$11:$Y$22,$R$153))&amp;"; se falhar, recebe "&amp;$DR$194&amp;" por "&amp;IF(ISNUMBER($DZ$153),$DZ$153,1)&amp;IF(AND(ISNUMBER($DZ$153),$DZ$153&gt;1)," turnos"," turno")&amp;".","."),""))))))</f>
        <v/>
      </c>
      <c r="K194" s="27">
        <f>IF(EA194&gt;0,"O Google leu como fórmula: escolha de novo na lista.",IF(EA197&gt;0,"Linha 197: O Google leu como fórmula: escolha de novo na lista.",IF(LEN($DQ$153)=0,"",IF(AND($DS$153="Especial de controle",LEN($DR$194)=0),"Ação de controle aplica uma condição do capítulo 21 (28.4)",IF(AND($DS$153="Especial de controle",LEN($DT$194)=0),"Diga o Teste de Resistência do alvo",IF($DR$194="Congelado","Inimigo não aplica Congelamento em personagem (28.2 regra 9)",IF(AND(LEN($DR$194)&gt;0,COUNTIF('Dados'!$BH$6:$BH$18,$DR$194)=0),"Condição fora do capítulo 21: nada de condição nova (28.4)","")))))))</f>
        <v/>
      </c>
      <c r="DR194" s="2">
        <f>IF(ISERROR($B$194),"",IF(ISBLANK($B$194),"",$B$194))</f>
        <v/>
      </c>
      <c r="DT194" s="2">
        <f>IF(ISERROR($D$194),"",IF(ISBLANK($D$194),"",$D$194))</f>
        <v/>
      </c>
      <c r="EA194" s="2">
        <f>ISERROR($B$194)*1+ISERROR($D$194)*1</f>
        <v/>
      </c>
    </row>
    <row r="195"/>
    <row r="196" ht="20" customHeight="1">
      <c r="A196" s="13" t="inlineStr">
        <is>
          <t>Ficha detalhada (formato do cartão de 28.1)</t>
        </is>
      </c>
    </row>
    <row r="197">
      <c r="A197" s="9" t="inlineStr">
        <is>
          <t>Ver ficha de</t>
        </is>
      </c>
      <c r="B197" s="4" t="n"/>
      <c r="C197" s="25" t="n"/>
      <c r="D197" s="17" t="n"/>
      <c r="E197" s="12" t="inlineStr">
        <is>
          <t>Números sem marcador são os do livro, na faixa original. Limiares de PV reescritos: Sugestão da planilha — não é regra do livro (H3).</t>
        </is>
      </c>
      <c r="N197" s="2">
        <f>IF(LEN($DR$197)=0,"",IFERROR(MATCH($DR$197,$DQ$11:$DQ$22,0),""))</f>
        <v/>
      </c>
      <c r="DR197" s="2">
        <f>IF(ISERROR($B$197),"",IF(ISBLANK($B$197),"",$B$197))</f>
        <v/>
      </c>
      <c r="EA197" s="2">
        <f>ISERROR($B$197)*1</f>
        <v/>
      </c>
    </row>
    <row r="198">
      <c r="A198" s="5">
        <f>IF(ISNUMBER($N$197),INDEX($N$11:$N$54,$N$197)&amp;"  ·  "&amp;INDEX($O$11:$O$54,$N$197)&amp;" · "&amp;IF(LEN(INDEX($BC$11:$BC$54,$N$197))&gt;0,INDEX($BC$11:$BC$54,$N$197)&amp;" · ","")&amp;"faixa "&amp;INDEX($P$11:$P$54,$N$197)&amp;IF(INDEX($AG$11:$AG$54,$N$197)&gt;1," · "&amp;INDEX($AG$11:$AG$54,$N$197)&amp;" fases",""),"")</f>
        <v/>
      </c>
    </row>
    <row r="199">
      <c r="A199" s="5">
        <f>IF(ISNUMBER($N$197),"PV "&amp;INDEX($Q$11:$Q$54,$N$197)&amp;"   Defesa "&amp;INDEX($R$11:$R$54,$N$197)&amp;"   RD "&amp;INDEX($S$11:$S$54,$N$197)&amp;"   Tenacidade "&amp;INDEX($T$11:$T$54,$N$197)&amp;"   VEL "&amp;INDEX($U$11:$U$54,$N$197),"")</f>
        <v/>
      </c>
    </row>
    <row r="200">
      <c r="A200" s="5">
        <f>IF(ISNUMBER($N$197),"Ataque +"&amp;INDEX($V$11:$V$54,$N$197)&amp;"    DT dos efeitos "&amp;INDEX($Y$11:$Y$54,$N$197)&amp;"    Teste de Resistência +"&amp;INDEX($Z$11:$Z$54,$N$197)&amp;"    Dano por acerto "&amp;INDEX($W$11:$W$54,$N$197)&amp;" · média "&amp;INDEX($X$11:$X$54,$N$197),"")</f>
        <v/>
      </c>
    </row>
    <row r="201">
      <c r="A201" s="5">
        <f>IF(ISNUMBER($N$197),"Fraquezas: "&amp;INDEX($BG$11:$BG$54,$N$197)&amp;"    Resistências: "&amp;IF(LEN(INDEX($AE$11:$AE$54,$N$197))&gt;0,INDEX($AE$11:$AE$54,$N$197),"—"),"")</f>
        <v/>
      </c>
    </row>
    <row r="202">
      <c r="A202" s="8" t="inlineStr">
        <is>
          <t>Ataques e ações</t>
        </is>
      </c>
      <c r="B202" s="8" t="inlineStr">
        <is>
          <t>Texto (modo Ajustar: ações da base reescritas para a faixa nova)</t>
        </is>
      </c>
      <c r="C202" s="20" t="n"/>
      <c r="D202" s="20" t="n"/>
      <c r="E202" s="20" t="n"/>
      <c r="F202" s="20" t="n"/>
      <c r="G202" s="20" t="n"/>
      <c r="H202" s="20" t="n"/>
      <c r="I202" s="20" t="n"/>
      <c r="J202" s="20" t="n"/>
      <c r="K202" s="20" t="n"/>
      <c r="L202" s="20" t="n"/>
    </row>
    <row r="203" ht="37" customHeight="1">
      <c r="A203" s="31">
        <f>IF(NOT(ISNUMBER($N$197)),"",IF(INDEX($BL$11:$BL$22,$N$197)=1,IF(ISNUMBER($O$203),IF(INDEX('Dados'!$C$142:$C$257,$O$203)=0,INDEX('Dados'!$E$142:$E$257,$O$203),"Fase "&amp;INDEX('Dados'!$C$142:$C$257,$O$203)&amp;" · "&amp;INDEX('Dados'!$E$142:$E$257,$O$203)),""),IF(LEN(IFERROR(INDEX($S$116:$S$153,MATCH(INDEX($N$11:$N$54,$N$197)&amp;"|1",$P$116:$P$153,0)),""))&gt;0,"Ação 1","")))</f>
        <v/>
      </c>
      <c r="B203" s="5">
        <f>IF(NOT(ISNUMBER($N$197)),"",IF(INDEX($BL$11:$BL$22,$N$197)=1,IF(ISNUMBER($O$203),INDEX('Dados'!$I$142:$I$257,$O$203)&amp;IF(INDEX('Dados'!$J$142:$J$257,$O$203)="","",IF(INDEX('Dados'!$J$142:$J$257,$O$203)="DANO.e",INDEX($W$11:$W$54,$N$197),IF(INDEX('Dados'!$J$142:$J$257,$O$203)="DANO.m",INDEX($X$11:$X$54,$N$197),IF(INDEX('Dados'!$J$142:$J$257,$O$203)="DANO15.e",INDEX($CJ$11:$CJ$22,$N$197),IF(INDEX('Dados'!$J$142:$J$257,$O$203)="DANO15.m",INDEX($CK$11:$CK$22,$N$197),IF(INDEX('Dados'!$J$142:$J$257,$O$203)="COMUM.e",INDEX($CL$11:$CL$22,$N$197),IF(INDEX('Dados'!$J$142:$J$257,$O$203)="COMUM.m",INDEX($CM$11:$CM$22,$N$197),IF(INDEX('Dados'!$J$142:$J$257,$O$203)="DT",INDEX($Y$11:$Y$54,$N$197),IF(INDEX('Dados'!$J$142:$J$257,$O$203)="PV",INT(INDEX('Dados'!$K$142:$K$257,$O$203)*INDEX($Q$11:$Q$54,$N$197)/INDEX($CI$11:$CI$22,$N$197)),"")))))))))&amp;INDEX('Dados'!$L$142:$L$257,$O$203)&amp;IF(INDEX('Dados'!$M$142:$M$257,$O$203)="","",IF(INDEX('Dados'!$M$142:$M$257,$O$203)="DANO.e",INDEX($W$11:$W$54,$N$197),IF(INDEX('Dados'!$M$142:$M$257,$O$203)="DANO.m",INDEX($X$11:$X$54,$N$197),IF(INDEX('Dados'!$M$142:$M$257,$O$203)="DANO15.e",INDEX($CJ$11:$CJ$22,$N$197),IF(INDEX('Dados'!$M$142:$M$257,$O$203)="DANO15.m",INDEX($CK$11:$CK$22,$N$197),IF(INDEX('Dados'!$M$142:$M$257,$O$203)="COMUM.e",INDEX($CL$11:$CL$22,$N$197),IF(INDEX('Dados'!$M$142:$M$257,$O$203)="COMUM.m",INDEX($CM$11:$CM$22,$N$197),IF(INDEX('Dados'!$M$142:$M$257,$O$203)="DT",INDEX($Y$11:$Y$54,$N$197),IF(INDEX('Dados'!$M$142:$M$257,$O$203)="PV",INT(INDEX('Dados'!$N$142:$N$257,$O$203)*INDEX($Q$11:$Q$54,$N$197)/INDEX($CI$11:$CI$22,$N$197)),"")))))))))&amp;INDEX('Dados'!$O$142:$O$257,$O$203)&amp;IF(INDEX('Dados'!$P$142:$P$257,$O$203)="","",IF(INDEX('Dados'!$P$142:$P$257,$O$203)="DANO.e",INDEX($W$11:$W$54,$N$197),IF(INDEX('Dados'!$P$142:$P$257,$O$203)="DANO.m",INDEX($X$11:$X$54,$N$197),IF(INDEX('Dados'!$P$142:$P$257,$O$203)="DANO15.e",INDEX($CJ$11:$CJ$22,$N$197),IF(INDEX('Dados'!$P$142:$P$257,$O$203)="DANO15.m",INDEX($CK$11:$CK$22,$N$197),IF(INDEX('Dados'!$P$142:$P$257,$O$203)="COMUM.e",INDEX($CL$11:$CL$22,$N$197),IF(INDEX('Dados'!$P$142:$P$257,$O$203)="COMUM.m",INDEX($CM$11:$CM$22,$N$197),IF(INDEX('Dados'!$P$142:$P$257,$O$203)="DT",INDEX($Y$11:$Y$54,$N$197),IF(INDEX('Dados'!$P$142:$P$257,$O$203)="PV",INT(INDEX('Dados'!$Q$142:$Q$257,$O$203)*INDEX($Q$11:$Q$54,$N$197)/INDEX($CI$11:$CI$22,$N$197)),"")))))))))&amp;INDEX('Dados'!$R$142:$R$257,$O$203)&amp;IF(INDEX('Dados'!$S$142:$S$257,$O$203)="","",IF(INDEX('Dados'!$S$142:$S$257,$O$203)="DANO.e",INDEX($W$11:$W$54,$N$197),IF(INDEX('Dados'!$S$142:$S$257,$O$203)="DANO.m",INDEX($X$11:$X$54,$N$197),IF(INDEX('Dados'!$S$142:$S$257,$O$203)="DANO15.e",INDEX($CJ$11:$CJ$22,$N$197),IF(INDEX('Dados'!$S$142:$S$257,$O$203)="DANO15.m",INDEX($CK$11:$CK$22,$N$197),IF(INDEX('Dados'!$S$142:$S$257,$O$203)="COMUM.e",INDEX($CL$11:$CL$22,$N$197),IF(INDEX('Dados'!$S$142:$S$257,$O$203)="COMUM.m",INDEX($CM$11:$CM$22,$N$197),IF(INDEX('Dados'!$S$142:$S$257,$O$203)="DT",INDEX($Y$11:$Y$54,$N$197),IF(INDEX('Dados'!$S$142:$S$257,$O$203)="PV",INT(INDEX('Dados'!$T$142:$T$257,$O$203)*INDEX($Q$11:$Q$54,$N$197)/INDEX($CI$11:$CI$22,$N$197)),"")))))))))&amp;INDEX('Dados'!$U$142:$U$257,$O$203),""),IFERROR(INDEX($S$116:$S$153,MATCH(INDEX($N$11:$N$54,$N$197)&amp;"|1",$P$116:$P$153,0)),"")))</f>
        <v/>
      </c>
      <c r="O203" s="2">
        <f>IF(ISNUMBER($N$197),IFERROR(IF(INDEX($BL$11:$BL$22,$N$197)=1,MATCH(INDEX($DT$11:$DT$22,$N$197)&amp;"|1",'Dados'!$A$142:$A$257,0),""),""),"")</f>
        <v/>
      </c>
    </row>
    <row r="204" ht="37" customHeight="1">
      <c r="A204" s="43">
        <f>IF(NOT(ISNUMBER($N$197)),"",IF(INDEX($BL$11:$BL$22,$N$197)=1,IF(ISNUMBER($O$204),IF(INDEX('Dados'!$C$142:$C$257,$O$204)=0,INDEX('Dados'!$E$142:$E$257,$O$204),"Fase "&amp;INDEX('Dados'!$C$142:$C$257,$O$204)&amp;" · "&amp;INDEX('Dados'!$E$142:$E$257,$O$204)),""),IF(LEN(IFERROR(INDEX($S$116:$S$153,MATCH(INDEX($N$11:$N$54,$N$197)&amp;"|2",$P$116:$P$153,0)),""))&gt;0,"Ação 2","")))</f>
        <v/>
      </c>
      <c r="B204" s="10">
        <f>IF(NOT(ISNUMBER($N$197)),"",IF(INDEX($BL$11:$BL$22,$N$197)=1,IF(ISNUMBER($O$204),INDEX('Dados'!$I$142:$I$257,$O$204)&amp;IF(INDEX('Dados'!$J$142:$J$257,$O$204)="","",IF(INDEX('Dados'!$J$142:$J$257,$O$204)="DANO.e",INDEX($W$11:$W$54,$N$197),IF(INDEX('Dados'!$J$142:$J$257,$O$204)="DANO.m",INDEX($X$11:$X$54,$N$197),IF(INDEX('Dados'!$J$142:$J$257,$O$204)="DANO15.e",INDEX($CJ$11:$CJ$22,$N$197),IF(INDEX('Dados'!$J$142:$J$257,$O$204)="DANO15.m",INDEX($CK$11:$CK$22,$N$197),IF(INDEX('Dados'!$J$142:$J$257,$O$204)="COMUM.e",INDEX($CL$11:$CL$22,$N$197),IF(INDEX('Dados'!$J$142:$J$257,$O$204)="COMUM.m",INDEX($CM$11:$CM$22,$N$197),IF(INDEX('Dados'!$J$142:$J$257,$O$204)="DT",INDEX($Y$11:$Y$54,$N$197),IF(INDEX('Dados'!$J$142:$J$257,$O$204)="PV",INT(INDEX('Dados'!$K$142:$K$257,$O$204)*INDEX($Q$11:$Q$54,$N$197)/INDEX($CI$11:$CI$22,$N$197)),"")))))))))&amp;INDEX('Dados'!$L$142:$L$257,$O$204)&amp;IF(INDEX('Dados'!$M$142:$M$257,$O$204)="","",IF(INDEX('Dados'!$M$142:$M$257,$O$204)="DANO.e",INDEX($W$11:$W$54,$N$197),IF(INDEX('Dados'!$M$142:$M$257,$O$204)="DANO.m",INDEX($X$11:$X$54,$N$197),IF(INDEX('Dados'!$M$142:$M$257,$O$204)="DANO15.e",INDEX($CJ$11:$CJ$22,$N$197),IF(INDEX('Dados'!$M$142:$M$257,$O$204)="DANO15.m",INDEX($CK$11:$CK$22,$N$197),IF(INDEX('Dados'!$M$142:$M$257,$O$204)="COMUM.e",INDEX($CL$11:$CL$22,$N$197),IF(INDEX('Dados'!$M$142:$M$257,$O$204)="COMUM.m",INDEX($CM$11:$CM$22,$N$197),IF(INDEX('Dados'!$M$142:$M$257,$O$204)="DT",INDEX($Y$11:$Y$54,$N$197),IF(INDEX('Dados'!$M$142:$M$257,$O$204)="PV",INT(INDEX('Dados'!$N$142:$N$257,$O$204)*INDEX($Q$11:$Q$54,$N$197)/INDEX($CI$11:$CI$22,$N$197)),"")))))))))&amp;INDEX('Dados'!$O$142:$O$257,$O$204)&amp;IF(INDEX('Dados'!$P$142:$P$257,$O$204)="","",IF(INDEX('Dados'!$P$142:$P$257,$O$204)="DANO.e",INDEX($W$11:$W$54,$N$197),IF(INDEX('Dados'!$P$142:$P$257,$O$204)="DANO.m",INDEX($X$11:$X$54,$N$197),IF(INDEX('Dados'!$P$142:$P$257,$O$204)="DANO15.e",INDEX($CJ$11:$CJ$22,$N$197),IF(INDEX('Dados'!$P$142:$P$257,$O$204)="DANO15.m",INDEX($CK$11:$CK$22,$N$197),IF(INDEX('Dados'!$P$142:$P$257,$O$204)="COMUM.e",INDEX($CL$11:$CL$22,$N$197),IF(INDEX('Dados'!$P$142:$P$257,$O$204)="COMUM.m",INDEX($CM$11:$CM$22,$N$197),IF(INDEX('Dados'!$P$142:$P$257,$O$204)="DT",INDEX($Y$11:$Y$54,$N$197),IF(INDEX('Dados'!$P$142:$P$257,$O$204)="PV",INT(INDEX('Dados'!$Q$142:$Q$257,$O$204)*INDEX($Q$11:$Q$54,$N$197)/INDEX($CI$11:$CI$22,$N$197)),"")))))))))&amp;INDEX('Dados'!$R$142:$R$257,$O$204)&amp;IF(INDEX('Dados'!$S$142:$S$257,$O$204)="","",IF(INDEX('Dados'!$S$142:$S$257,$O$204)="DANO.e",INDEX($W$11:$W$54,$N$197),IF(INDEX('Dados'!$S$142:$S$257,$O$204)="DANO.m",INDEX($X$11:$X$54,$N$197),IF(INDEX('Dados'!$S$142:$S$257,$O$204)="DANO15.e",INDEX($CJ$11:$CJ$22,$N$197),IF(INDEX('Dados'!$S$142:$S$257,$O$204)="DANO15.m",INDEX($CK$11:$CK$22,$N$197),IF(INDEX('Dados'!$S$142:$S$257,$O$204)="COMUM.e",INDEX($CL$11:$CL$22,$N$197),IF(INDEX('Dados'!$S$142:$S$257,$O$204)="COMUM.m",INDEX($CM$11:$CM$22,$N$197),IF(INDEX('Dados'!$S$142:$S$257,$O$204)="DT",INDEX($Y$11:$Y$54,$N$197),IF(INDEX('Dados'!$S$142:$S$257,$O$204)="PV",INT(INDEX('Dados'!$T$142:$T$257,$O$204)*INDEX($Q$11:$Q$54,$N$197)/INDEX($CI$11:$CI$22,$N$197)),"")))))))))&amp;INDEX('Dados'!$U$142:$U$257,$O$204),""),IFERROR(INDEX($S$116:$S$153,MATCH(INDEX($N$11:$N$54,$N$197)&amp;"|2",$P$116:$P$153,0)),"")))</f>
        <v/>
      </c>
      <c r="O204" s="2">
        <f>IF(ISNUMBER($N$197),IFERROR(IF(INDEX($BL$11:$BL$22,$N$197)=1,MATCH(INDEX($DT$11:$DT$22,$N$197)&amp;"|2",'Dados'!$A$142:$A$257,0),""),""),"")</f>
        <v/>
      </c>
    </row>
    <row r="205" ht="37" customHeight="1">
      <c r="A205" s="31">
        <f>IF(NOT(ISNUMBER($N$197)),"",IF(INDEX($BL$11:$BL$22,$N$197)=1,IF(ISNUMBER($O$205),IF(INDEX('Dados'!$C$142:$C$257,$O$205)=0,INDEX('Dados'!$E$142:$E$257,$O$205),"Fase "&amp;INDEX('Dados'!$C$142:$C$257,$O$205)&amp;" · "&amp;INDEX('Dados'!$E$142:$E$257,$O$205)),""),IF(LEN(IFERROR(INDEX($S$116:$S$153,MATCH(INDEX($N$11:$N$54,$N$197)&amp;"|3",$P$116:$P$153,0)),""))&gt;0,"Ação 3","")))</f>
        <v/>
      </c>
      <c r="B205" s="5">
        <f>IF(NOT(ISNUMBER($N$197)),"",IF(INDEX($BL$11:$BL$22,$N$197)=1,IF(ISNUMBER($O$205),INDEX('Dados'!$I$142:$I$257,$O$205)&amp;IF(INDEX('Dados'!$J$142:$J$257,$O$205)="","",IF(INDEX('Dados'!$J$142:$J$257,$O$205)="DANO.e",INDEX($W$11:$W$54,$N$197),IF(INDEX('Dados'!$J$142:$J$257,$O$205)="DANO.m",INDEX($X$11:$X$54,$N$197),IF(INDEX('Dados'!$J$142:$J$257,$O$205)="DANO15.e",INDEX($CJ$11:$CJ$22,$N$197),IF(INDEX('Dados'!$J$142:$J$257,$O$205)="DANO15.m",INDEX($CK$11:$CK$22,$N$197),IF(INDEX('Dados'!$J$142:$J$257,$O$205)="COMUM.e",INDEX($CL$11:$CL$22,$N$197),IF(INDEX('Dados'!$J$142:$J$257,$O$205)="COMUM.m",INDEX($CM$11:$CM$22,$N$197),IF(INDEX('Dados'!$J$142:$J$257,$O$205)="DT",INDEX($Y$11:$Y$54,$N$197),IF(INDEX('Dados'!$J$142:$J$257,$O$205)="PV",INT(INDEX('Dados'!$K$142:$K$257,$O$205)*INDEX($Q$11:$Q$54,$N$197)/INDEX($CI$11:$CI$22,$N$197)),"")))))))))&amp;INDEX('Dados'!$L$142:$L$257,$O$205)&amp;IF(INDEX('Dados'!$M$142:$M$257,$O$205)="","",IF(INDEX('Dados'!$M$142:$M$257,$O$205)="DANO.e",INDEX($W$11:$W$54,$N$197),IF(INDEX('Dados'!$M$142:$M$257,$O$205)="DANO.m",INDEX($X$11:$X$54,$N$197),IF(INDEX('Dados'!$M$142:$M$257,$O$205)="DANO15.e",INDEX($CJ$11:$CJ$22,$N$197),IF(INDEX('Dados'!$M$142:$M$257,$O$205)="DANO15.m",INDEX($CK$11:$CK$22,$N$197),IF(INDEX('Dados'!$M$142:$M$257,$O$205)="COMUM.e",INDEX($CL$11:$CL$22,$N$197),IF(INDEX('Dados'!$M$142:$M$257,$O$205)="COMUM.m",INDEX($CM$11:$CM$22,$N$197),IF(INDEX('Dados'!$M$142:$M$257,$O$205)="DT",INDEX($Y$11:$Y$54,$N$197),IF(INDEX('Dados'!$M$142:$M$257,$O$205)="PV",INT(INDEX('Dados'!$N$142:$N$257,$O$205)*INDEX($Q$11:$Q$54,$N$197)/INDEX($CI$11:$CI$22,$N$197)),"")))))))))&amp;INDEX('Dados'!$O$142:$O$257,$O$205)&amp;IF(INDEX('Dados'!$P$142:$P$257,$O$205)="","",IF(INDEX('Dados'!$P$142:$P$257,$O$205)="DANO.e",INDEX($W$11:$W$54,$N$197),IF(INDEX('Dados'!$P$142:$P$257,$O$205)="DANO.m",INDEX($X$11:$X$54,$N$197),IF(INDEX('Dados'!$P$142:$P$257,$O$205)="DANO15.e",INDEX($CJ$11:$CJ$22,$N$197),IF(INDEX('Dados'!$P$142:$P$257,$O$205)="DANO15.m",INDEX($CK$11:$CK$22,$N$197),IF(INDEX('Dados'!$P$142:$P$257,$O$205)="COMUM.e",INDEX($CL$11:$CL$22,$N$197),IF(INDEX('Dados'!$P$142:$P$257,$O$205)="COMUM.m",INDEX($CM$11:$CM$22,$N$197),IF(INDEX('Dados'!$P$142:$P$257,$O$205)="DT",INDEX($Y$11:$Y$54,$N$197),IF(INDEX('Dados'!$P$142:$P$257,$O$205)="PV",INT(INDEX('Dados'!$Q$142:$Q$257,$O$205)*INDEX($Q$11:$Q$54,$N$197)/INDEX($CI$11:$CI$22,$N$197)),"")))))))))&amp;INDEX('Dados'!$R$142:$R$257,$O$205)&amp;IF(INDEX('Dados'!$S$142:$S$257,$O$205)="","",IF(INDEX('Dados'!$S$142:$S$257,$O$205)="DANO.e",INDEX($W$11:$W$54,$N$197),IF(INDEX('Dados'!$S$142:$S$257,$O$205)="DANO.m",INDEX($X$11:$X$54,$N$197),IF(INDEX('Dados'!$S$142:$S$257,$O$205)="DANO15.e",INDEX($CJ$11:$CJ$22,$N$197),IF(INDEX('Dados'!$S$142:$S$257,$O$205)="DANO15.m",INDEX($CK$11:$CK$22,$N$197),IF(INDEX('Dados'!$S$142:$S$257,$O$205)="COMUM.e",INDEX($CL$11:$CL$22,$N$197),IF(INDEX('Dados'!$S$142:$S$257,$O$205)="COMUM.m",INDEX($CM$11:$CM$22,$N$197),IF(INDEX('Dados'!$S$142:$S$257,$O$205)="DT",INDEX($Y$11:$Y$54,$N$197),IF(INDEX('Dados'!$S$142:$S$257,$O$205)="PV",INT(INDEX('Dados'!$T$142:$T$257,$O$205)*INDEX($Q$11:$Q$54,$N$197)/INDEX($CI$11:$CI$22,$N$197)),"")))))))))&amp;INDEX('Dados'!$U$142:$U$257,$O$205),""),IFERROR(INDEX($S$116:$S$153,MATCH(INDEX($N$11:$N$54,$N$197)&amp;"|3",$P$116:$P$153,0)),"")))</f>
        <v/>
      </c>
      <c r="O205" s="2">
        <f>IF(ISNUMBER($N$197),IFERROR(IF(INDEX($BL$11:$BL$22,$N$197)=1,MATCH(INDEX($DT$11:$DT$22,$N$197)&amp;"|3",'Dados'!$A$142:$A$257,0),""),""),"")</f>
        <v/>
      </c>
    </row>
    <row r="206" ht="37" customHeight="1">
      <c r="A206" s="43">
        <f>IF(NOT(ISNUMBER($N$197)),"",IF(INDEX($BL$11:$BL$22,$N$197)=1,IF(ISNUMBER($O$206),IF(INDEX('Dados'!$C$142:$C$257,$O$206)=0,INDEX('Dados'!$E$142:$E$257,$O$206),"Fase "&amp;INDEX('Dados'!$C$142:$C$257,$O$206)&amp;" · "&amp;INDEX('Dados'!$E$142:$E$257,$O$206)),""),IF(LEN(IFERROR(INDEX($S$116:$S$153,MATCH(INDEX($N$11:$N$54,$N$197)&amp;"|4",$P$116:$P$153,0)),""))&gt;0,"Ação 4","")))</f>
        <v/>
      </c>
      <c r="B206" s="10">
        <f>IF(NOT(ISNUMBER($N$197)),"",IF(INDEX($BL$11:$BL$22,$N$197)=1,IF(ISNUMBER($O$206),INDEX('Dados'!$I$142:$I$257,$O$206)&amp;IF(INDEX('Dados'!$J$142:$J$257,$O$206)="","",IF(INDEX('Dados'!$J$142:$J$257,$O$206)="DANO.e",INDEX($W$11:$W$54,$N$197),IF(INDEX('Dados'!$J$142:$J$257,$O$206)="DANO.m",INDEX($X$11:$X$54,$N$197),IF(INDEX('Dados'!$J$142:$J$257,$O$206)="DANO15.e",INDEX($CJ$11:$CJ$22,$N$197),IF(INDEX('Dados'!$J$142:$J$257,$O$206)="DANO15.m",INDEX($CK$11:$CK$22,$N$197),IF(INDEX('Dados'!$J$142:$J$257,$O$206)="COMUM.e",INDEX($CL$11:$CL$22,$N$197),IF(INDEX('Dados'!$J$142:$J$257,$O$206)="COMUM.m",INDEX($CM$11:$CM$22,$N$197),IF(INDEX('Dados'!$J$142:$J$257,$O$206)="DT",INDEX($Y$11:$Y$54,$N$197),IF(INDEX('Dados'!$J$142:$J$257,$O$206)="PV",INT(INDEX('Dados'!$K$142:$K$257,$O$206)*INDEX($Q$11:$Q$54,$N$197)/INDEX($CI$11:$CI$22,$N$197)),"")))))))))&amp;INDEX('Dados'!$L$142:$L$257,$O$206)&amp;IF(INDEX('Dados'!$M$142:$M$257,$O$206)="","",IF(INDEX('Dados'!$M$142:$M$257,$O$206)="DANO.e",INDEX($W$11:$W$54,$N$197),IF(INDEX('Dados'!$M$142:$M$257,$O$206)="DANO.m",INDEX($X$11:$X$54,$N$197),IF(INDEX('Dados'!$M$142:$M$257,$O$206)="DANO15.e",INDEX($CJ$11:$CJ$22,$N$197),IF(INDEX('Dados'!$M$142:$M$257,$O$206)="DANO15.m",INDEX($CK$11:$CK$22,$N$197),IF(INDEX('Dados'!$M$142:$M$257,$O$206)="COMUM.e",INDEX($CL$11:$CL$22,$N$197),IF(INDEX('Dados'!$M$142:$M$257,$O$206)="COMUM.m",INDEX($CM$11:$CM$22,$N$197),IF(INDEX('Dados'!$M$142:$M$257,$O$206)="DT",INDEX($Y$11:$Y$54,$N$197),IF(INDEX('Dados'!$M$142:$M$257,$O$206)="PV",INT(INDEX('Dados'!$N$142:$N$257,$O$206)*INDEX($Q$11:$Q$54,$N$197)/INDEX($CI$11:$CI$22,$N$197)),"")))))))))&amp;INDEX('Dados'!$O$142:$O$257,$O$206)&amp;IF(INDEX('Dados'!$P$142:$P$257,$O$206)="","",IF(INDEX('Dados'!$P$142:$P$257,$O$206)="DANO.e",INDEX($W$11:$W$54,$N$197),IF(INDEX('Dados'!$P$142:$P$257,$O$206)="DANO.m",INDEX($X$11:$X$54,$N$197),IF(INDEX('Dados'!$P$142:$P$257,$O$206)="DANO15.e",INDEX($CJ$11:$CJ$22,$N$197),IF(INDEX('Dados'!$P$142:$P$257,$O$206)="DANO15.m",INDEX($CK$11:$CK$22,$N$197),IF(INDEX('Dados'!$P$142:$P$257,$O$206)="COMUM.e",INDEX($CL$11:$CL$22,$N$197),IF(INDEX('Dados'!$P$142:$P$257,$O$206)="COMUM.m",INDEX($CM$11:$CM$22,$N$197),IF(INDEX('Dados'!$P$142:$P$257,$O$206)="DT",INDEX($Y$11:$Y$54,$N$197),IF(INDEX('Dados'!$P$142:$P$257,$O$206)="PV",INT(INDEX('Dados'!$Q$142:$Q$257,$O$206)*INDEX($Q$11:$Q$54,$N$197)/INDEX($CI$11:$CI$22,$N$197)),"")))))))))&amp;INDEX('Dados'!$R$142:$R$257,$O$206)&amp;IF(INDEX('Dados'!$S$142:$S$257,$O$206)="","",IF(INDEX('Dados'!$S$142:$S$257,$O$206)="DANO.e",INDEX($W$11:$W$54,$N$197),IF(INDEX('Dados'!$S$142:$S$257,$O$206)="DANO.m",INDEX($X$11:$X$54,$N$197),IF(INDEX('Dados'!$S$142:$S$257,$O$206)="DANO15.e",INDEX($CJ$11:$CJ$22,$N$197),IF(INDEX('Dados'!$S$142:$S$257,$O$206)="DANO15.m",INDEX($CK$11:$CK$22,$N$197),IF(INDEX('Dados'!$S$142:$S$257,$O$206)="COMUM.e",INDEX($CL$11:$CL$22,$N$197),IF(INDEX('Dados'!$S$142:$S$257,$O$206)="COMUM.m",INDEX($CM$11:$CM$22,$N$197),IF(INDEX('Dados'!$S$142:$S$257,$O$206)="DT",INDEX($Y$11:$Y$54,$N$197),IF(INDEX('Dados'!$S$142:$S$257,$O$206)="PV",INT(INDEX('Dados'!$T$142:$T$257,$O$206)*INDEX($Q$11:$Q$54,$N$197)/INDEX($CI$11:$CI$22,$N$197)),"")))))))))&amp;INDEX('Dados'!$U$142:$U$257,$O$206),""),IFERROR(INDEX($S$116:$S$153,MATCH(INDEX($N$11:$N$54,$N$197)&amp;"|4",$P$116:$P$153,0)),"")))</f>
        <v/>
      </c>
      <c r="O206" s="2">
        <f>IF(ISNUMBER($N$197),IFERROR(IF(INDEX($BL$11:$BL$22,$N$197)=1,MATCH(INDEX($DT$11:$DT$22,$N$197)&amp;"|4",'Dados'!$A$142:$A$257,0),""),""),"")</f>
        <v/>
      </c>
    </row>
    <row r="207" ht="37" customHeight="1">
      <c r="A207" s="31">
        <f>IF(NOT(ISNUMBER($N$197)),"",IF(INDEX($BL$11:$BL$22,$N$197)=1,IF(ISNUMBER($O$207),IF(INDEX('Dados'!$C$142:$C$257,$O$207)=0,INDEX('Dados'!$E$142:$E$257,$O$207),"Fase "&amp;INDEX('Dados'!$C$142:$C$257,$O$207)&amp;" · "&amp;INDEX('Dados'!$E$142:$E$257,$O$207)),""),IF(LEN(IFERROR(INDEX($S$116:$S$153,MATCH(INDEX($N$11:$N$54,$N$197)&amp;"|5",$P$116:$P$153,0)),""))&gt;0,"Ação 5","")))</f>
        <v/>
      </c>
      <c r="B207" s="5">
        <f>IF(NOT(ISNUMBER($N$197)),"",IF(INDEX($BL$11:$BL$22,$N$197)=1,IF(ISNUMBER($O$207),INDEX('Dados'!$I$142:$I$257,$O$207)&amp;IF(INDEX('Dados'!$J$142:$J$257,$O$207)="","",IF(INDEX('Dados'!$J$142:$J$257,$O$207)="DANO.e",INDEX($W$11:$W$54,$N$197),IF(INDEX('Dados'!$J$142:$J$257,$O$207)="DANO.m",INDEX($X$11:$X$54,$N$197),IF(INDEX('Dados'!$J$142:$J$257,$O$207)="DANO15.e",INDEX($CJ$11:$CJ$22,$N$197),IF(INDEX('Dados'!$J$142:$J$257,$O$207)="DANO15.m",INDEX($CK$11:$CK$22,$N$197),IF(INDEX('Dados'!$J$142:$J$257,$O$207)="COMUM.e",INDEX($CL$11:$CL$22,$N$197),IF(INDEX('Dados'!$J$142:$J$257,$O$207)="COMUM.m",INDEX($CM$11:$CM$22,$N$197),IF(INDEX('Dados'!$J$142:$J$257,$O$207)="DT",INDEX($Y$11:$Y$54,$N$197),IF(INDEX('Dados'!$J$142:$J$257,$O$207)="PV",INT(INDEX('Dados'!$K$142:$K$257,$O$207)*INDEX($Q$11:$Q$54,$N$197)/INDEX($CI$11:$CI$22,$N$197)),"")))))))))&amp;INDEX('Dados'!$L$142:$L$257,$O$207)&amp;IF(INDEX('Dados'!$M$142:$M$257,$O$207)="","",IF(INDEX('Dados'!$M$142:$M$257,$O$207)="DANO.e",INDEX($W$11:$W$54,$N$197),IF(INDEX('Dados'!$M$142:$M$257,$O$207)="DANO.m",INDEX($X$11:$X$54,$N$197),IF(INDEX('Dados'!$M$142:$M$257,$O$207)="DANO15.e",INDEX($CJ$11:$CJ$22,$N$197),IF(INDEX('Dados'!$M$142:$M$257,$O$207)="DANO15.m",INDEX($CK$11:$CK$22,$N$197),IF(INDEX('Dados'!$M$142:$M$257,$O$207)="COMUM.e",INDEX($CL$11:$CL$22,$N$197),IF(INDEX('Dados'!$M$142:$M$257,$O$207)="COMUM.m",INDEX($CM$11:$CM$22,$N$197),IF(INDEX('Dados'!$M$142:$M$257,$O$207)="DT",INDEX($Y$11:$Y$54,$N$197),IF(INDEX('Dados'!$M$142:$M$257,$O$207)="PV",INT(INDEX('Dados'!$N$142:$N$257,$O$207)*INDEX($Q$11:$Q$54,$N$197)/INDEX($CI$11:$CI$22,$N$197)),"")))))))))&amp;INDEX('Dados'!$O$142:$O$257,$O$207)&amp;IF(INDEX('Dados'!$P$142:$P$257,$O$207)="","",IF(INDEX('Dados'!$P$142:$P$257,$O$207)="DANO.e",INDEX($W$11:$W$54,$N$197),IF(INDEX('Dados'!$P$142:$P$257,$O$207)="DANO.m",INDEX($X$11:$X$54,$N$197),IF(INDEX('Dados'!$P$142:$P$257,$O$207)="DANO15.e",INDEX($CJ$11:$CJ$22,$N$197),IF(INDEX('Dados'!$P$142:$P$257,$O$207)="DANO15.m",INDEX($CK$11:$CK$22,$N$197),IF(INDEX('Dados'!$P$142:$P$257,$O$207)="COMUM.e",INDEX($CL$11:$CL$22,$N$197),IF(INDEX('Dados'!$P$142:$P$257,$O$207)="COMUM.m",INDEX($CM$11:$CM$22,$N$197),IF(INDEX('Dados'!$P$142:$P$257,$O$207)="DT",INDEX($Y$11:$Y$54,$N$197),IF(INDEX('Dados'!$P$142:$P$257,$O$207)="PV",INT(INDEX('Dados'!$Q$142:$Q$257,$O$207)*INDEX($Q$11:$Q$54,$N$197)/INDEX($CI$11:$CI$22,$N$197)),"")))))))))&amp;INDEX('Dados'!$R$142:$R$257,$O$207)&amp;IF(INDEX('Dados'!$S$142:$S$257,$O$207)="","",IF(INDEX('Dados'!$S$142:$S$257,$O$207)="DANO.e",INDEX($W$11:$W$54,$N$197),IF(INDEX('Dados'!$S$142:$S$257,$O$207)="DANO.m",INDEX($X$11:$X$54,$N$197),IF(INDEX('Dados'!$S$142:$S$257,$O$207)="DANO15.e",INDEX($CJ$11:$CJ$22,$N$197),IF(INDEX('Dados'!$S$142:$S$257,$O$207)="DANO15.m",INDEX($CK$11:$CK$22,$N$197),IF(INDEX('Dados'!$S$142:$S$257,$O$207)="COMUM.e",INDEX($CL$11:$CL$22,$N$197),IF(INDEX('Dados'!$S$142:$S$257,$O$207)="COMUM.m",INDEX($CM$11:$CM$22,$N$197),IF(INDEX('Dados'!$S$142:$S$257,$O$207)="DT",INDEX($Y$11:$Y$54,$N$197),IF(INDEX('Dados'!$S$142:$S$257,$O$207)="PV",INT(INDEX('Dados'!$T$142:$T$257,$O$207)*INDEX($Q$11:$Q$54,$N$197)/INDEX($CI$11:$CI$22,$N$197)),"")))))))))&amp;INDEX('Dados'!$U$142:$U$257,$O$207),""),IFERROR(INDEX($S$116:$S$153,MATCH(INDEX($N$11:$N$54,$N$197)&amp;"|5",$P$116:$P$153,0)),"")))</f>
        <v/>
      </c>
      <c r="O207" s="2">
        <f>IF(ISNUMBER($N$197),IFERROR(IF(INDEX($BL$11:$BL$22,$N$197)=1,MATCH(INDEX($DT$11:$DT$22,$N$197)&amp;"|5",'Dados'!$A$142:$A$257,0),""),""),"")</f>
        <v/>
      </c>
    </row>
    <row r="208" ht="37" customHeight="1">
      <c r="A208" s="43">
        <f>IF(NOT(ISNUMBER($N$197)),"",IF(INDEX($BL$11:$BL$22,$N$197)=1,IF(ISNUMBER($O$208),IF(INDEX('Dados'!$C$142:$C$257,$O$208)=0,INDEX('Dados'!$E$142:$E$257,$O$208),"Fase "&amp;INDEX('Dados'!$C$142:$C$257,$O$208)&amp;" · "&amp;INDEX('Dados'!$E$142:$E$257,$O$208)),""),IF(LEN(IFERROR(INDEX($S$116:$S$153,MATCH(INDEX($N$11:$N$54,$N$197)&amp;"|6",$P$116:$P$153,0)),""))&gt;0,"Ação 6","")))</f>
        <v/>
      </c>
      <c r="B208" s="10">
        <f>IF(NOT(ISNUMBER($N$197)),"",IF(INDEX($BL$11:$BL$22,$N$197)=1,IF(ISNUMBER($O$208),INDEX('Dados'!$I$142:$I$257,$O$208)&amp;IF(INDEX('Dados'!$J$142:$J$257,$O$208)="","",IF(INDEX('Dados'!$J$142:$J$257,$O$208)="DANO.e",INDEX($W$11:$W$54,$N$197),IF(INDEX('Dados'!$J$142:$J$257,$O$208)="DANO.m",INDEX($X$11:$X$54,$N$197),IF(INDEX('Dados'!$J$142:$J$257,$O$208)="DANO15.e",INDEX($CJ$11:$CJ$22,$N$197),IF(INDEX('Dados'!$J$142:$J$257,$O$208)="DANO15.m",INDEX($CK$11:$CK$22,$N$197),IF(INDEX('Dados'!$J$142:$J$257,$O$208)="COMUM.e",INDEX($CL$11:$CL$22,$N$197),IF(INDEX('Dados'!$J$142:$J$257,$O$208)="COMUM.m",INDEX($CM$11:$CM$22,$N$197),IF(INDEX('Dados'!$J$142:$J$257,$O$208)="DT",INDEX($Y$11:$Y$54,$N$197),IF(INDEX('Dados'!$J$142:$J$257,$O$208)="PV",INT(INDEX('Dados'!$K$142:$K$257,$O$208)*INDEX($Q$11:$Q$54,$N$197)/INDEX($CI$11:$CI$22,$N$197)),"")))))))))&amp;INDEX('Dados'!$L$142:$L$257,$O$208)&amp;IF(INDEX('Dados'!$M$142:$M$257,$O$208)="","",IF(INDEX('Dados'!$M$142:$M$257,$O$208)="DANO.e",INDEX($W$11:$W$54,$N$197),IF(INDEX('Dados'!$M$142:$M$257,$O$208)="DANO.m",INDEX($X$11:$X$54,$N$197),IF(INDEX('Dados'!$M$142:$M$257,$O$208)="DANO15.e",INDEX($CJ$11:$CJ$22,$N$197),IF(INDEX('Dados'!$M$142:$M$257,$O$208)="DANO15.m",INDEX($CK$11:$CK$22,$N$197),IF(INDEX('Dados'!$M$142:$M$257,$O$208)="COMUM.e",INDEX($CL$11:$CL$22,$N$197),IF(INDEX('Dados'!$M$142:$M$257,$O$208)="COMUM.m",INDEX($CM$11:$CM$22,$N$197),IF(INDEX('Dados'!$M$142:$M$257,$O$208)="DT",INDEX($Y$11:$Y$54,$N$197),IF(INDEX('Dados'!$M$142:$M$257,$O$208)="PV",INT(INDEX('Dados'!$N$142:$N$257,$O$208)*INDEX($Q$11:$Q$54,$N$197)/INDEX($CI$11:$CI$22,$N$197)),"")))))))))&amp;INDEX('Dados'!$O$142:$O$257,$O$208)&amp;IF(INDEX('Dados'!$P$142:$P$257,$O$208)="","",IF(INDEX('Dados'!$P$142:$P$257,$O$208)="DANO.e",INDEX($W$11:$W$54,$N$197),IF(INDEX('Dados'!$P$142:$P$257,$O$208)="DANO.m",INDEX($X$11:$X$54,$N$197),IF(INDEX('Dados'!$P$142:$P$257,$O$208)="DANO15.e",INDEX($CJ$11:$CJ$22,$N$197),IF(INDEX('Dados'!$P$142:$P$257,$O$208)="DANO15.m",INDEX($CK$11:$CK$22,$N$197),IF(INDEX('Dados'!$P$142:$P$257,$O$208)="COMUM.e",INDEX($CL$11:$CL$22,$N$197),IF(INDEX('Dados'!$P$142:$P$257,$O$208)="COMUM.m",INDEX($CM$11:$CM$22,$N$197),IF(INDEX('Dados'!$P$142:$P$257,$O$208)="DT",INDEX($Y$11:$Y$54,$N$197),IF(INDEX('Dados'!$P$142:$P$257,$O$208)="PV",INT(INDEX('Dados'!$Q$142:$Q$257,$O$208)*INDEX($Q$11:$Q$54,$N$197)/INDEX($CI$11:$CI$22,$N$197)),"")))))))))&amp;INDEX('Dados'!$R$142:$R$257,$O$208)&amp;IF(INDEX('Dados'!$S$142:$S$257,$O$208)="","",IF(INDEX('Dados'!$S$142:$S$257,$O$208)="DANO.e",INDEX($W$11:$W$54,$N$197),IF(INDEX('Dados'!$S$142:$S$257,$O$208)="DANO.m",INDEX($X$11:$X$54,$N$197),IF(INDEX('Dados'!$S$142:$S$257,$O$208)="DANO15.e",INDEX($CJ$11:$CJ$22,$N$197),IF(INDEX('Dados'!$S$142:$S$257,$O$208)="DANO15.m",INDEX($CK$11:$CK$22,$N$197),IF(INDEX('Dados'!$S$142:$S$257,$O$208)="COMUM.e",INDEX($CL$11:$CL$22,$N$197),IF(INDEX('Dados'!$S$142:$S$257,$O$208)="COMUM.m",INDEX($CM$11:$CM$22,$N$197),IF(INDEX('Dados'!$S$142:$S$257,$O$208)="DT",INDEX($Y$11:$Y$54,$N$197),IF(INDEX('Dados'!$S$142:$S$257,$O$208)="PV",INT(INDEX('Dados'!$T$142:$T$257,$O$208)*INDEX($Q$11:$Q$54,$N$197)/INDEX($CI$11:$CI$22,$N$197)),"")))))))))&amp;INDEX('Dados'!$U$142:$U$257,$O$208),""),IFERROR(INDEX($S$116:$S$153,MATCH(INDEX($N$11:$N$54,$N$197)&amp;"|6",$P$116:$P$153,0)),"")))</f>
        <v/>
      </c>
      <c r="O208" s="2">
        <f>IF(ISNUMBER($N$197),IFERROR(IF(INDEX($BL$11:$BL$22,$N$197)=1,MATCH(INDEX($DT$11:$DT$22,$N$197)&amp;"|6",'Dados'!$A$142:$A$257,0),""),""),"")</f>
        <v/>
      </c>
    </row>
    <row r="209" ht="37" customHeight="1">
      <c r="A209" s="31">
        <f>IF(NOT(ISNUMBER($N$197)),"",IF(INDEX($BL$11:$BL$22,$N$197)=1,IF(ISNUMBER($O$209),IF(INDEX('Dados'!$C$142:$C$257,$O$209)=0,INDEX('Dados'!$E$142:$E$257,$O$209),"Fase "&amp;INDEX('Dados'!$C$142:$C$257,$O$209)&amp;" · "&amp;INDEX('Dados'!$E$142:$E$257,$O$209)),""),IF(LEN(IFERROR(INDEX($S$116:$S$153,MATCH(INDEX($N$11:$N$54,$N$197)&amp;"|7",$P$116:$P$153,0)),""))&gt;0,"Ação 7","")))</f>
        <v/>
      </c>
      <c r="B209" s="5">
        <f>IF(NOT(ISNUMBER($N$197)),"",IF(INDEX($BL$11:$BL$22,$N$197)=1,IF(ISNUMBER($O$209),INDEX('Dados'!$I$142:$I$257,$O$209)&amp;IF(INDEX('Dados'!$J$142:$J$257,$O$209)="","",IF(INDEX('Dados'!$J$142:$J$257,$O$209)="DANO.e",INDEX($W$11:$W$54,$N$197),IF(INDEX('Dados'!$J$142:$J$257,$O$209)="DANO.m",INDEX($X$11:$X$54,$N$197),IF(INDEX('Dados'!$J$142:$J$257,$O$209)="DANO15.e",INDEX($CJ$11:$CJ$22,$N$197),IF(INDEX('Dados'!$J$142:$J$257,$O$209)="DANO15.m",INDEX($CK$11:$CK$22,$N$197),IF(INDEX('Dados'!$J$142:$J$257,$O$209)="COMUM.e",INDEX($CL$11:$CL$22,$N$197),IF(INDEX('Dados'!$J$142:$J$257,$O$209)="COMUM.m",INDEX($CM$11:$CM$22,$N$197),IF(INDEX('Dados'!$J$142:$J$257,$O$209)="DT",INDEX($Y$11:$Y$54,$N$197),IF(INDEX('Dados'!$J$142:$J$257,$O$209)="PV",INT(INDEX('Dados'!$K$142:$K$257,$O$209)*INDEX($Q$11:$Q$54,$N$197)/INDEX($CI$11:$CI$22,$N$197)),"")))))))))&amp;INDEX('Dados'!$L$142:$L$257,$O$209)&amp;IF(INDEX('Dados'!$M$142:$M$257,$O$209)="","",IF(INDEX('Dados'!$M$142:$M$257,$O$209)="DANO.e",INDEX($W$11:$W$54,$N$197),IF(INDEX('Dados'!$M$142:$M$257,$O$209)="DANO.m",INDEX($X$11:$X$54,$N$197),IF(INDEX('Dados'!$M$142:$M$257,$O$209)="DANO15.e",INDEX($CJ$11:$CJ$22,$N$197),IF(INDEX('Dados'!$M$142:$M$257,$O$209)="DANO15.m",INDEX($CK$11:$CK$22,$N$197),IF(INDEX('Dados'!$M$142:$M$257,$O$209)="COMUM.e",INDEX($CL$11:$CL$22,$N$197),IF(INDEX('Dados'!$M$142:$M$257,$O$209)="COMUM.m",INDEX($CM$11:$CM$22,$N$197),IF(INDEX('Dados'!$M$142:$M$257,$O$209)="DT",INDEX($Y$11:$Y$54,$N$197),IF(INDEX('Dados'!$M$142:$M$257,$O$209)="PV",INT(INDEX('Dados'!$N$142:$N$257,$O$209)*INDEX($Q$11:$Q$54,$N$197)/INDEX($CI$11:$CI$22,$N$197)),"")))))))))&amp;INDEX('Dados'!$O$142:$O$257,$O$209)&amp;IF(INDEX('Dados'!$P$142:$P$257,$O$209)="","",IF(INDEX('Dados'!$P$142:$P$257,$O$209)="DANO.e",INDEX($W$11:$W$54,$N$197),IF(INDEX('Dados'!$P$142:$P$257,$O$209)="DANO.m",INDEX($X$11:$X$54,$N$197),IF(INDEX('Dados'!$P$142:$P$257,$O$209)="DANO15.e",INDEX($CJ$11:$CJ$22,$N$197),IF(INDEX('Dados'!$P$142:$P$257,$O$209)="DANO15.m",INDEX($CK$11:$CK$22,$N$197),IF(INDEX('Dados'!$P$142:$P$257,$O$209)="COMUM.e",INDEX($CL$11:$CL$22,$N$197),IF(INDEX('Dados'!$P$142:$P$257,$O$209)="COMUM.m",INDEX($CM$11:$CM$22,$N$197),IF(INDEX('Dados'!$P$142:$P$257,$O$209)="DT",INDEX($Y$11:$Y$54,$N$197),IF(INDEX('Dados'!$P$142:$P$257,$O$209)="PV",INT(INDEX('Dados'!$Q$142:$Q$257,$O$209)*INDEX($Q$11:$Q$54,$N$197)/INDEX($CI$11:$CI$22,$N$197)),"")))))))))&amp;INDEX('Dados'!$R$142:$R$257,$O$209)&amp;IF(INDEX('Dados'!$S$142:$S$257,$O$209)="","",IF(INDEX('Dados'!$S$142:$S$257,$O$209)="DANO.e",INDEX($W$11:$W$54,$N$197),IF(INDEX('Dados'!$S$142:$S$257,$O$209)="DANO.m",INDEX($X$11:$X$54,$N$197),IF(INDEX('Dados'!$S$142:$S$257,$O$209)="DANO15.e",INDEX($CJ$11:$CJ$22,$N$197),IF(INDEX('Dados'!$S$142:$S$257,$O$209)="DANO15.m",INDEX($CK$11:$CK$22,$N$197),IF(INDEX('Dados'!$S$142:$S$257,$O$209)="COMUM.e",INDEX($CL$11:$CL$22,$N$197),IF(INDEX('Dados'!$S$142:$S$257,$O$209)="COMUM.m",INDEX($CM$11:$CM$22,$N$197),IF(INDEX('Dados'!$S$142:$S$257,$O$209)="DT",INDEX($Y$11:$Y$54,$N$197),IF(INDEX('Dados'!$S$142:$S$257,$O$209)="PV",INT(INDEX('Dados'!$T$142:$T$257,$O$209)*INDEX($Q$11:$Q$54,$N$197)/INDEX($CI$11:$CI$22,$N$197)),"")))))))))&amp;INDEX('Dados'!$U$142:$U$257,$O$209),""),IFERROR(INDEX($S$116:$S$153,MATCH(INDEX($N$11:$N$54,$N$197)&amp;"|7",$P$116:$P$153,0)),"")))</f>
        <v/>
      </c>
      <c r="O209" s="2">
        <f>IF(ISNUMBER($N$197),IFERROR(IF(INDEX($BL$11:$BL$22,$N$197)=1,MATCH(INDEX($DT$11:$DT$22,$N$197)&amp;"|7",'Dados'!$A$142:$A$257,0),""),""),"")</f>
        <v/>
      </c>
    </row>
    <row r="210" ht="37" customHeight="1">
      <c r="A210" s="43">
        <f>IF(NOT(ISNUMBER($N$197)),"",IF(INDEX($BL$11:$BL$22,$N$197)=1,IF(ISNUMBER($O$210),IF(INDEX('Dados'!$C$142:$C$257,$O$210)=0,INDEX('Dados'!$E$142:$E$257,$O$210),"Fase "&amp;INDEX('Dados'!$C$142:$C$257,$O$210)&amp;" · "&amp;INDEX('Dados'!$E$142:$E$257,$O$210)),""),IF(LEN(IFERROR(INDEX($S$116:$S$153,MATCH(INDEX($N$11:$N$54,$N$197)&amp;"|8",$P$116:$P$153,0)),""))&gt;0,"Ação 8","")))</f>
        <v/>
      </c>
      <c r="B210" s="10">
        <f>IF(NOT(ISNUMBER($N$197)),"",IF(INDEX($BL$11:$BL$22,$N$197)=1,IF(ISNUMBER($O$210),INDEX('Dados'!$I$142:$I$257,$O$210)&amp;IF(INDEX('Dados'!$J$142:$J$257,$O$210)="","",IF(INDEX('Dados'!$J$142:$J$257,$O$210)="DANO.e",INDEX($W$11:$W$54,$N$197),IF(INDEX('Dados'!$J$142:$J$257,$O$210)="DANO.m",INDEX($X$11:$X$54,$N$197),IF(INDEX('Dados'!$J$142:$J$257,$O$210)="DANO15.e",INDEX($CJ$11:$CJ$22,$N$197),IF(INDEX('Dados'!$J$142:$J$257,$O$210)="DANO15.m",INDEX($CK$11:$CK$22,$N$197),IF(INDEX('Dados'!$J$142:$J$257,$O$210)="COMUM.e",INDEX($CL$11:$CL$22,$N$197),IF(INDEX('Dados'!$J$142:$J$257,$O$210)="COMUM.m",INDEX($CM$11:$CM$22,$N$197),IF(INDEX('Dados'!$J$142:$J$257,$O$210)="DT",INDEX($Y$11:$Y$54,$N$197),IF(INDEX('Dados'!$J$142:$J$257,$O$210)="PV",INT(INDEX('Dados'!$K$142:$K$257,$O$210)*INDEX($Q$11:$Q$54,$N$197)/INDEX($CI$11:$CI$22,$N$197)),"")))))))))&amp;INDEX('Dados'!$L$142:$L$257,$O$210)&amp;IF(INDEX('Dados'!$M$142:$M$257,$O$210)="","",IF(INDEX('Dados'!$M$142:$M$257,$O$210)="DANO.e",INDEX($W$11:$W$54,$N$197),IF(INDEX('Dados'!$M$142:$M$257,$O$210)="DANO.m",INDEX($X$11:$X$54,$N$197),IF(INDEX('Dados'!$M$142:$M$257,$O$210)="DANO15.e",INDEX($CJ$11:$CJ$22,$N$197),IF(INDEX('Dados'!$M$142:$M$257,$O$210)="DANO15.m",INDEX($CK$11:$CK$22,$N$197),IF(INDEX('Dados'!$M$142:$M$257,$O$210)="COMUM.e",INDEX($CL$11:$CL$22,$N$197),IF(INDEX('Dados'!$M$142:$M$257,$O$210)="COMUM.m",INDEX($CM$11:$CM$22,$N$197),IF(INDEX('Dados'!$M$142:$M$257,$O$210)="DT",INDEX($Y$11:$Y$54,$N$197),IF(INDEX('Dados'!$M$142:$M$257,$O$210)="PV",INT(INDEX('Dados'!$N$142:$N$257,$O$210)*INDEX($Q$11:$Q$54,$N$197)/INDEX($CI$11:$CI$22,$N$197)),"")))))))))&amp;INDEX('Dados'!$O$142:$O$257,$O$210)&amp;IF(INDEX('Dados'!$P$142:$P$257,$O$210)="","",IF(INDEX('Dados'!$P$142:$P$257,$O$210)="DANO.e",INDEX($W$11:$W$54,$N$197),IF(INDEX('Dados'!$P$142:$P$257,$O$210)="DANO.m",INDEX($X$11:$X$54,$N$197),IF(INDEX('Dados'!$P$142:$P$257,$O$210)="DANO15.e",INDEX($CJ$11:$CJ$22,$N$197),IF(INDEX('Dados'!$P$142:$P$257,$O$210)="DANO15.m",INDEX($CK$11:$CK$22,$N$197),IF(INDEX('Dados'!$P$142:$P$257,$O$210)="COMUM.e",INDEX($CL$11:$CL$22,$N$197),IF(INDEX('Dados'!$P$142:$P$257,$O$210)="COMUM.m",INDEX($CM$11:$CM$22,$N$197),IF(INDEX('Dados'!$P$142:$P$257,$O$210)="DT",INDEX($Y$11:$Y$54,$N$197),IF(INDEX('Dados'!$P$142:$P$257,$O$210)="PV",INT(INDEX('Dados'!$Q$142:$Q$257,$O$210)*INDEX($Q$11:$Q$54,$N$197)/INDEX($CI$11:$CI$22,$N$197)),"")))))))))&amp;INDEX('Dados'!$R$142:$R$257,$O$210)&amp;IF(INDEX('Dados'!$S$142:$S$257,$O$210)="","",IF(INDEX('Dados'!$S$142:$S$257,$O$210)="DANO.e",INDEX($W$11:$W$54,$N$197),IF(INDEX('Dados'!$S$142:$S$257,$O$210)="DANO.m",INDEX($X$11:$X$54,$N$197),IF(INDEX('Dados'!$S$142:$S$257,$O$210)="DANO15.e",INDEX($CJ$11:$CJ$22,$N$197),IF(INDEX('Dados'!$S$142:$S$257,$O$210)="DANO15.m",INDEX($CK$11:$CK$22,$N$197),IF(INDEX('Dados'!$S$142:$S$257,$O$210)="COMUM.e",INDEX($CL$11:$CL$22,$N$197),IF(INDEX('Dados'!$S$142:$S$257,$O$210)="COMUM.m",INDEX($CM$11:$CM$22,$N$197),IF(INDEX('Dados'!$S$142:$S$257,$O$210)="DT",INDEX($Y$11:$Y$54,$N$197),IF(INDEX('Dados'!$S$142:$S$257,$O$210)="PV",INT(INDEX('Dados'!$T$142:$T$257,$O$210)*INDEX($Q$11:$Q$54,$N$197)/INDEX($CI$11:$CI$22,$N$197)),"")))))))))&amp;INDEX('Dados'!$U$142:$U$257,$O$210),""),IFERROR(INDEX($S$116:$S$153,MATCH(INDEX($N$11:$N$54,$N$197)&amp;"|8",$P$116:$P$153,0)),"")))</f>
        <v/>
      </c>
      <c r="O210" s="2">
        <f>IF(ISNUMBER($N$197),IFERROR(IF(INDEX($BL$11:$BL$22,$N$197)=1,MATCH(INDEX($DT$11:$DT$22,$N$197)&amp;"|8",'Dados'!$A$142:$A$257,0),""),""),"")</f>
        <v/>
      </c>
    </row>
    <row r="211" ht="37" customHeight="1">
      <c r="A211" s="31">
        <f>IF(NOT(ISNUMBER($N$197)),"",IF(INDEX($BL$11:$BL$22,$N$197)=1,IF(ISNUMBER($O$211),IF(INDEX('Dados'!$C$142:$C$257,$O$211)=0,INDEX('Dados'!$E$142:$E$257,$O$211),"Fase "&amp;INDEX('Dados'!$C$142:$C$257,$O$211)&amp;" · "&amp;INDEX('Dados'!$E$142:$E$257,$O$211)),""),IF(LEN(IFERROR(INDEX($S$116:$S$153,MATCH(INDEX($N$11:$N$54,$N$197)&amp;"|9",$P$116:$P$153,0)),""))&gt;0,"Ação 9","")))</f>
        <v/>
      </c>
      <c r="B211" s="5">
        <f>IF(NOT(ISNUMBER($N$197)),"",IF(INDEX($BL$11:$BL$22,$N$197)=1,IF(ISNUMBER($O$211),INDEX('Dados'!$I$142:$I$257,$O$211)&amp;IF(INDEX('Dados'!$J$142:$J$257,$O$211)="","",IF(INDEX('Dados'!$J$142:$J$257,$O$211)="DANO.e",INDEX($W$11:$W$54,$N$197),IF(INDEX('Dados'!$J$142:$J$257,$O$211)="DANO.m",INDEX($X$11:$X$54,$N$197),IF(INDEX('Dados'!$J$142:$J$257,$O$211)="DANO15.e",INDEX($CJ$11:$CJ$22,$N$197),IF(INDEX('Dados'!$J$142:$J$257,$O$211)="DANO15.m",INDEX($CK$11:$CK$22,$N$197),IF(INDEX('Dados'!$J$142:$J$257,$O$211)="COMUM.e",INDEX($CL$11:$CL$22,$N$197),IF(INDEX('Dados'!$J$142:$J$257,$O$211)="COMUM.m",INDEX($CM$11:$CM$22,$N$197),IF(INDEX('Dados'!$J$142:$J$257,$O$211)="DT",INDEX($Y$11:$Y$54,$N$197),IF(INDEX('Dados'!$J$142:$J$257,$O$211)="PV",INT(INDEX('Dados'!$K$142:$K$257,$O$211)*INDEX($Q$11:$Q$54,$N$197)/INDEX($CI$11:$CI$22,$N$197)),"")))))))))&amp;INDEX('Dados'!$L$142:$L$257,$O$211)&amp;IF(INDEX('Dados'!$M$142:$M$257,$O$211)="","",IF(INDEX('Dados'!$M$142:$M$257,$O$211)="DANO.e",INDEX($W$11:$W$54,$N$197),IF(INDEX('Dados'!$M$142:$M$257,$O$211)="DANO.m",INDEX($X$11:$X$54,$N$197),IF(INDEX('Dados'!$M$142:$M$257,$O$211)="DANO15.e",INDEX($CJ$11:$CJ$22,$N$197),IF(INDEX('Dados'!$M$142:$M$257,$O$211)="DANO15.m",INDEX($CK$11:$CK$22,$N$197),IF(INDEX('Dados'!$M$142:$M$257,$O$211)="COMUM.e",INDEX($CL$11:$CL$22,$N$197),IF(INDEX('Dados'!$M$142:$M$257,$O$211)="COMUM.m",INDEX($CM$11:$CM$22,$N$197),IF(INDEX('Dados'!$M$142:$M$257,$O$211)="DT",INDEX($Y$11:$Y$54,$N$197),IF(INDEX('Dados'!$M$142:$M$257,$O$211)="PV",INT(INDEX('Dados'!$N$142:$N$257,$O$211)*INDEX($Q$11:$Q$54,$N$197)/INDEX($CI$11:$CI$22,$N$197)),"")))))))))&amp;INDEX('Dados'!$O$142:$O$257,$O$211)&amp;IF(INDEX('Dados'!$P$142:$P$257,$O$211)="","",IF(INDEX('Dados'!$P$142:$P$257,$O$211)="DANO.e",INDEX($W$11:$W$54,$N$197),IF(INDEX('Dados'!$P$142:$P$257,$O$211)="DANO.m",INDEX($X$11:$X$54,$N$197),IF(INDEX('Dados'!$P$142:$P$257,$O$211)="DANO15.e",INDEX($CJ$11:$CJ$22,$N$197),IF(INDEX('Dados'!$P$142:$P$257,$O$211)="DANO15.m",INDEX($CK$11:$CK$22,$N$197),IF(INDEX('Dados'!$P$142:$P$257,$O$211)="COMUM.e",INDEX($CL$11:$CL$22,$N$197),IF(INDEX('Dados'!$P$142:$P$257,$O$211)="COMUM.m",INDEX($CM$11:$CM$22,$N$197),IF(INDEX('Dados'!$P$142:$P$257,$O$211)="DT",INDEX($Y$11:$Y$54,$N$197),IF(INDEX('Dados'!$P$142:$P$257,$O$211)="PV",INT(INDEX('Dados'!$Q$142:$Q$257,$O$211)*INDEX($Q$11:$Q$54,$N$197)/INDEX($CI$11:$CI$22,$N$197)),"")))))))))&amp;INDEX('Dados'!$R$142:$R$257,$O$211)&amp;IF(INDEX('Dados'!$S$142:$S$257,$O$211)="","",IF(INDEX('Dados'!$S$142:$S$257,$O$211)="DANO.e",INDEX($W$11:$W$54,$N$197),IF(INDEX('Dados'!$S$142:$S$257,$O$211)="DANO.m",INDEX($X$11:$X$54,$N$197),IF(INDEX('Dados'!$S$142:$S$257,$O$211)="DANO15.e",INDEX($CJ$11:$CJ$22,$N$197),IF(INDEX('Dados'!$S$142:$S$257,$O$211)="DANO15.m",INDEX($CK$11:$CK$22,$N$197),IF(INDEX('Dados'!$S$142:$S$257,$O$211)="COMUM.e",INDEX($CL$11:$CL$22,$N$197),IF(INDEX('Dados'!$S$142:$S$257,$O$211)="COMUM.m",INDEX($CM$11:$CM$22,$N$197),IF(INDEX('Dados'!$S$142:$S$257,$O$211)="DT",INDEX($Y$11:$Y$54,$N$197),IF(INDEX('Dados'!$S$142:$S$257,$O$211)="PV",INT(INDEX('Dados'!$T$142:$T$257,$O$211)*INDEX($Q$11:$Q$54,$N$197)/INDEX($CI$11:$CI$22,$N$197)),"")))))))))&amp;INDEX('Dados'!$U$142:$U$257,$O$211),""),IFERROR(INDEX($S$116:$S$153,MATCH(INDEX($N$11:$N$54,$N$197)&amp;"|9",$P$116:$P$153,0)),"")))</f>
        <v/>
      </c>
      <c r="O211" s="2">
        <f>IF(ISNUMBER($N$197),IFERROR(IF(INDEX($BL$11:$BL$22,$N$197)=1,MATCH(INDEX($DT$11:$DT$22,$N$197)&amp;"|9",'Dados'!$A$142:$A$257,0),""),""),"")</f>
        <v/>
      </c>
    </row>
    <row r="212" ht="37" customHeight="1">
      <c r="A212" s="43">
        <f>IF(NOT(ISNUMBER($N$197)),"",IF(INDEX($BL$11:$BL$22,$N$197)=1,IF(ISNUMBER($O$212),IF(INDEX('Dados'!$C$142:$C$257,$O$212)=0,INDEX('Dados'!$E$142:$E$257,$O$212),"Fase "&amp;INDEX('Dados'!$C$142:$C$257,$O$212)&amp;" · "&amp;INDEX('Dados'!$E$142:$E$257,$O$212)),""),IF(LEN(IFERROR(INDEX($S$116:$S$153,MATCH(INDEX($N$11:$N$54,$N$197)&amp;"|10",$P$116:$P$153,0)),""))&gt;0,"Ação 10","")))</f>
        <v/>
      </c>
      <c r="B212" s="10">
        <f>IF(NOT(ISNUMBER($N$197)),"",IF(INDEX($BL$11:$BL$22,$N$197)=1,IF(ISNUMBER($O$212),INDEX('Dados'!$I$142:$I$257,$O$212)&amp;IF(INDEX('Dados'!$J$142:$J$257,$O$212)="","",IF(INDEX('Dados'!$J$142:$J$257,$O$212)="DANO.e",INDEX($W$11:$W$54,$N$197),IF(INDEX('Dados'!$J$142:$J$257,$O$212)="DANO.m",INDEX($X$11:$X$54,$N$197),IF(INDEX('Dados'!$J$142:$J$257,$O$212)="DANO15.e",INDEX($CJ$11:$CJ$22,$N$197),IF(INDEX('Dados'!$J$142:$J$257,$O$212)="DANO15.m",INDEX($CK$11:$CK$22,$N$197),IF(INDEX('Dados'!$J$142:$J$257,$O$212)="COMUM.e",INDEX($CL$11:$CL$22,$N$197),IF(INDEX('Dados'!$J$142:$J$257,$O$212)="COMUM.m",INDEX($CM$11:$CM$22,$N$197),IF(INDEX('Dados'!$J$142:$J$257,$O$212)="DT",INDEX($Y$11:$Y$54,$N$197),IF(INDEX('Dados'!$J$142:$J$257,$O$212)="PV",INT(INDEX('Dados'!$K$142:$K$257,$O$212)*INDEX($Q$11:$Q$54,$N$197)/INDEX($CI$11:$CI$22,$N$197)),"")))))))))&amp;INDEX('Dados'!$L$142:$L$257,$O$212)&amp;IF(INDEX('Dados'!$M$142:$M$257,$O$212)="","",IF(INDEX('Dados'!$M$142:$M$257,$O$212)="DANO.e",INDEX($W$11:$W$54,$N$197),IF(INDEX('Dados'!$M$142:$M$257,$O$212)="DANO.m",INDEX($X$11:$X$54,$N$197),IF(INDEX('Dados'!$M$142:$M$257,$O$212)="DANO15.e",INDEX($CJ$11:$CJ$22,$N$197),IF(INDEX('Dados'!$M$142:$M$257,$O$212)="DANO15.m",INDEX($CK$11:$CK$22,$N$197),IF(INDEX('Dados'!$M$142:$M$257,$O$212)="COMUM.e",INDEX($CL$11:$CL$22,$N$197),IF(INDEX('Dados'!$M$142:$M$257,$O$212)="COMUM.m",INDEX($CM$11:$CM$22,$N$197),IF(INDEX('Dados'!$M$142:$M$257,$O$212)="DT",INDEX($Y$11:$Y$54,$N$197),IF(INDEX('Dados'!$M$142:$M$257,$O$212)="PV",INT(INDEX('Dados'!$N$142:$N$257,$O$212)*INDEX($Q$11:$Q$54,$N$197)/INDEX($CI$11:$CI$22,$N$197)),"")))))))))&amp;INDEX('Dados'!$O$142:$O$257,$O$212)&amp;IF(INDEX('Dados'!$P$142:$P$257,$O$212)="","",IF(INDEX('Dados'!$P$142:$P$257,$O$212)="DANO.e",INDEX($W$11:$W$54,$N$197),IF(INDEX('Dados'!$P$142:$P$257,$O$212)="DANO.m",INDEX($X$11:$X$54,$N$197),IF(INDEX('Dados'!$P$142:$P$257,$O$212)="DANO15.e",INDEX($CJ$11:$CJ$22,$N$197),IF(INDEX('Dados'!$P$142:$P$257,$O$212)="DANO15.m",INDEX($CK$11:$CK$22,$N$197),IF(INDEX('Dados'!$P$142:$P$257,$O$212)="COMUM.e",INDEX($CL$11:$CL$22,$N$197),IF(INDEX('Dados'!$P$142:$P$257,$O$212)="COMUM.m",INDEX($CM$11:$CM$22,$N$197),IF(INDEX('Dados'!$P$142:$P$257,$O$212)="DT",INDEX($Y$11:$Y$54,$N$197),IF(INDEX('Dados'!$P$142:$P$257,$O$212)="PV",INT(INDEX('Dados'!$Q$142:$Q$257,$O$212)*INDEX($Q$11:$Q$54,$N$197)/INDEX($CI$11:$CI$22,$N$197)),"")))))))))&amp;INDEX('Dados'!$R$142:$R$257,$O$212)&amp;IF(INDEX('Dados'!$S$142:$S$257,$O$212)="","",IF(INDEX('Dados'!$S$142:$S$257,$O$212)="DANO.e",INDEX($W$11:$W$54,$N$197),IF(INDEX('Dados'!$S$142:$S$257,$O$212)="DANO.m",INDEX($X$11:$X$54,$N$197),IF(INDEX('Dados'!$S$142:$S$257,$O$212)="DANO15.e",INDEX($CJ$11:$CJ$22,$N$197),IF(INDEX('Dados'!$S$142:$S$257,$O$212)="DANO15.m",INDEX($CK$11:$CK$22,$N$197),IF(INDEX('Dados'!$S$142:$S$257,$O$212)="COMUM.e",INDEX($CL$11:$CL$22,$N$197),IF(INDEX('Dados'!$S$142:$S$257,$O$212)="COMUM.m",INDEX($CM$11:$CM$22,$N$197),IF(INDEX('Dados'!$S$142:$S$257,$O$212)="DT",INDEX($Y$11:$Y$54,$N$197),IF(INDEX('Dados'!$S$142:$S$257,$O$212)="PV",INT(INDEX('Dados'!$T$142:$T$257,$O$212)*INDEX($Q$11:$Q$54,$N$197)/INDEX($CI$11:$CI$22,$N$197)),"")))))))))&amp;INDEX('Dados'!$U$142:$U$257,$O$212),""),IFERROR(INDEX($S$116:$S$153,MATCH(INDEX($N$11:$N$54,$N$197)&amp;"|10",$P$116:$P$153,0)),"")))</f>
        <v/>
      </c>
      <c r="O212" s="2">
        <f>IF(ISNUMBER($N$197),IFERROR(IF(INDEX($BL$11:$BL$22,$N$197)=1,MATCH(INDEX($DT$11:$DT$22,$N$197)&amp;"|10",'Dados'!$A$142:$A$257,0),""),""),"")</f>
        <v/>
      </c>
    </row>
    <row r="213" ht="37" customHeight="1">
      <c r="A213" s="31">
        <f>IF(NOT(ISNUMBER($N$197)),"",IF(INDEX($BL$11:$BL$22,$N$197)=1,IF(ISNUMBER($O$213),IF(INDEX('Dados'!$C$142:$C$257,$O$213)=0,INDEX('Dados'!$E$142:$E$257,$O$213),"Fase "&amp;INDEX('Dados'!$C$142:$C$257,$O$213)&amp;" · "&amp;INDEX('Dados'!$E$142:$E$257,$O$213)),""),IF(LEN(IFERROR(INDEX($S$116:$S$153,MATCH(INDEX($N$11:$N$54,$N$197)&amp;"|11",$P$116:$P$153,0)),""))&gt;0,"Ação 11","")))</f>
        <v/>
      </c>
      <c r="B213" s="5">
        <f>IF(NOT(ISNUMBER($N$197)),"",IF(INDEX($BL$11:$BL$22,$N$197)=1,IF(ISNUMBER($O$213),INDEX('Dados'!$I$142:$I$257,$O$213)&amp;IF(INDEX('Dados'!$J$142:$J$257,$O$213)="","",IF(INDEX('Dados'!$J$142:$J$257,$O$213)="DANO.e",INDEX($W$11:$W$54,$N$197),IF(INDEX('Dados'!$J$142:$J$257,$O$213)="DANO.m",INDEX($X$11:$X$54,$N$197),IF(INDEX('Dados'!$J$142:$J$257,$O$213)="DANO15.e",INDEX($CJ$11:$CJ$22,$N$197),IF(INDEX('Dados'!$J$142:$J$257,$O$213)="DANO15.m",INDEX($CK$11:$CK$22,$N$197),IF(INDEX('Dados'!$J$142:$J$257,$O$213)="COMUM.e",INDEX($CL$11:$CL$22,$N$197),IF(INDEX('Dados'!$J$142:$J$257,$O$213)="COMUM.m",INDEX($CM$11:$CM$22,$N$197),IF(INDEX('Dados'!$J$142:$J$257,$O$213)="DT",INDEX($Y$11:$Y$54,$N$197),IF(INDEX('Dados'!$J$142:$J$257,$O$213)="PV",INT(INDEX('Dados'!$K$142:$K$257,$O$213)*INDEX($Q$11:$Q$54,$N$197)/INDEX($CI$11:$CI$22,$N$197)),"")))))))))&amp;INDEX('Dados'!$L$142:$L$257,$O$213)&amp;IF(INDEX('Dados'!$M$142:$M$257,$O$213)="","",IF(INDEX('Dados'!$M$142:$M$257,$O$213)="DANO.e",INDEX($W$11:$W$54,$N$197),IF(INDEX('Dados'!$M$142:$M$257,$O$213)="DANO.m",INDEX($X$11:$X$54,$N$197),IF(INDEX('Dados'!$M$142:$M$257,$O$213)="DANO15.e",INDEX($CJ$11:$CJ$22,$N$197),IF(INDEX('Dados'!$M$142:$M$257,$O$213)="DANO15.m",INDEX($CK$11:$CK$22,$N$197),IF(INDEX('Dados'!$M$142:$M$257,$O$213)="COMUM.e",INDEX($CL$11:$CL$22,$N$197),IF(INDEX('Dados'!$M$142:$M$257,$O$213)="COMUM.m",INDEX($CM$11:$CM$22,$N$197),IF(INDEX('Dados'!$M$142:$M$257,$O$213)="DT",INDEX($Y$11:$Y$54,$N$197),IF(INDEX('Dados'!$M$142:$M$257,$O$213)="PV",INT(INDEX('Dados'!$N$142:$N$257,$O$213)*INDEX($Q$11:$Q$54,$N$197)/INDEX($CI$11:$CI$22,$N$197)),"")))))))))&amp;INDEX('Dados'!$O$142:$O$257,$O$213)&amp;IF(INDEX('Dados'!$P$142:$P$257,$O$213)="","",IF(INDEX('Dados'!$P$142:$P$257,$O$213)="DANO.e",INDEX($W$11:$W$54,$N$197),IF(INDEX('Dados'!$P$142:$P$257,$O$213)="DANO.m",INDEX($X$11:$X$54,$N$197),IF(INDEX('Dados'!$P$142:$P$257,$O$213)="DANO15.e",INDEX($CJ$11:$CJ$22,$N$197),IF(INDEX('Dados'!$P$142:$P$257,$O$213)="DANO15.m",INDEX($CK$11:$CK$22,$N$197),IF(INDEX('Dados'!$P$142:$P$257,$O$213)="COMUM.e",INDEX($CL$11:$CL$22,$N$197),IF(INDEX('Dados'!$P$142:$P$257,$O$213)="COMUM.m",INDEX($CM$11:$CM$22,$N$197),IF(INDEX('Dados'!$P$142:$P$257,$O$213)="DT",INDEX($Y$11:$Y$54,$N$197),IF(INDEX('Dados'!$P$142:$P$257,$O$213)="PV",INT(INDEX('Dados'!$Q$142:$Q$257,$O$213)*INDEX($Q$11:$Q$54,$N$197)/INDEX($CI$11:$CI$22,$N$197)),"")))))))))&amp;INDEX('Dados'!$R$142:$R$257,$O$213)&amp;IF(INDEX('Dados'!$S$142:$S$257,$O$213)="","",IF(INDEX('Dados'!$S$142:$S$257,$O$213)="DANO.e",INDEX($W$11:$W$54,$N$197),IF(INDEX('Dados'!$S$142:$S$257,$O$213)="DANO.m",INDEX($X$11:$X$54,$N$197),IF(INDEX('Dados'!$S$142:$S$257,$O$213)="DANO15.e",INDEX($CJ$11:$CJ$22,$N$197),IF(INDEX('Dados'!$S$142:$S$257,$O$213)="DANO15.m",INDEX($CK$11:$CK$22,$N$197),IF(INDEX('Dados'!$S$142:$S$257,$O$213)="COMUM.e",INDEX($CL$11:$CL$22,$N$197),IF(INDEX('Dados'!$S$142:$S$257,$O$213)="COMUM.m",INDEX($CM$11:$CM$22,$N$197),IF(INDEX('Dados'!$S$142:$S$257,$O$213)="DT",INDEX($Y$11:$Y$54,$N$197),IF(INDEX('Dados'!$S$142:$S$257,$O$213)="PV",INT(INDEX('Dados'!$T$142:$T$257,$O$213)*INDEX($Q$11:$Q$54,$N$197)/INDEX($CI$11:$CI$22,$N$197)),"")))))))))&amp;INDEX('Dados'!$U$142:$U$257,$O$213),""),IFERROR(INDEX($S$116:$S$153,MATCH(INDEX($N$11:$N$54,$N$197)&amp;"|11",$P$116:$P$153,0)),"")))</f>
        <v/>
      </c>
      <c r="O213" s="2">
        <f>IF(ISNUMBER($N$197),IFERROR(IF(INDEX($BL$11:$BL$22,$N$197)=1,MATCH(INDEX($DT$11:$DT$22,$N$197)&amp;"|11",'Dados'!$A$142:$A$257,0),""),""),"")</f>
        <v/>
      </c>
    </row>
    <row r="214" ht="37" customHeight="1">
      <c r="A214" s="43">
        <f>IF(NOT(ISNUMBER($N$197)),"",IF(INDEX($BL$11:$BL$22,$N$197)=1,IF(ISNUMBER($O$214),IF(INDEX('Dados'!$C$142:$C$257,$O$214)=0,INDEX('Dados'!$E$142:$E$257,$O$214),"Fase "&amp;INDEX('Dados'!$C$142:$C$257,$O$214)&amp;" · "&amp;INDEX('Dados'!$E$142:$E$257,$O$214)),""),IF(LEN(IFERROR(INDEX($S$116:$S$153,MATCH(INDEX($N$11:$N$54,$N$197)&amp;"|12",$P$116:$P$153,0)),""))&gt;0,"Ação 12","")))</f>
        <v/>
      </c>
      <c r="B214" s="10">
        <f>IF(NOT(ISNUMBER($N$197)),"",IF(INDEX($BL$11:$BL$22,$N$197)=1,IF(ISNUMBER($O$214),INDEX('Dados'!$I$142:$I$257,$O$214)&amp;IF(INDEX('Dados'!$J$142:$J$257,$O$214)="","",IF(INDEX('Dados'!$J$142:$J$257,$O$214)="DANO.e",INDEX($W$11:$W$54,$N$197),IF(INDEX('Dados'!$J$142:$J$257,$O$214)="DANO.m",INDEX($X$11:$X$54,$N$197),IF(INDEX('Dados'!$J$142:$J$257,$O$214)="DANO15.e",INDEX($CJ$11:$CJ$22,$N$197),IF(INDEX('Dados'!$J$142:$J$257,$O$214)="DANO15.m",INDEX($CK$11:$CK$22,$N$197),IF(INDEX('Dados'!$J$142:$J$257,$O$214)="COMUM.e",INDEX($CL$11:$CL$22,$N$197),IF(INDEX('Dados'!$J$142:$J$257,$O$214)="COMUM.m",INDEX($CM$11:$CM$22,$N$197),IF(INDEX('Dados'!$J$142:$J$257,$O$214)="DT",INDEX($Y$11:$Y$54,$N$197),IF(INDEX('Dados'!$J$142:$J$257,$O$214)="PV",INT(INDEX('Dados'!$K$142:$K$257,$O$214)*INDEX($Q$11:$Q$54,$N$197)/INDEX($CI$11:$CI$22,$N$197)),"")))))))))&amp;INDEX('Dados'!$L$142:$L$257,$O$214)&amp;IF(INDEX('Dados'!$M$142:$M$257,$O$214)="","",IF(INDEX('Dados'!$M$142:$M$257,$O$214)="DANO.e",INDEX($W$11:$W$54,$N$197),IF(INDEX('Dados'!$M$142:$M$257,$O$214)="DANO.m",INDEX($X$11:$X$54,$N$197),IF(INDEX('Dados'!$M$142:$M$257,$O$214)="DANO15.e",INDEX($CJ$11:$CJ$22,$N$197),IF(INDEX('Dados'!$M$142:$M$257,$O$214)="DANO15.m",INDEX($CK$11:$CK$22,$N$197),IF(INDEX('Dados'!$M$142:$M$257,$O$214)="COMUM.e",INDEX($CL$11:$CL$22,$N$197),IF(INDEX('Dados'!$M$142:$M$257,$O$214)="COMUM.m",INDEX($CM$11:$CM$22,$N$197),IF(INDEX('Dados'!$M$142:$M$257,$O$214)="DT",INDEX($Y$11:$Y$54,$N$197),IF(INDEX('Dados'!$M$142:$M$257,$O$214)="PV",INT(INDEX('Dados'!$N$142:$N$257,$O$214)*INDEX($Q$11:$Q$54,$N$197)/INDEX($CI$11:$CI$22,$N$197)),"")))))))))&amp;INDEX('Dados'!$O$142:$O$257,$O$214)&amp;IF(INDEX('Dados'!$P$142:$P$257,$O$214)="","",IF(INDEX('Dados'!$P$142:$P$257,$O$214)="DANO.e",INDEX($W$11:$W$54,$N$197),IF(INDEX('Dados'!$P$142:$P$257,$O$214)="DANO.m",INDEX($X$11:$X$54,$N$197),IF(INDEX('Dados'!$P$142:$P$257,$O$214)="DANO15.e",INDEX($CJ$11:$CJ$22,$N$197),IF(INDEX('Dados'!$P$142:$P$257,$O$214)="DANO15.m",INDEX($CK$11:$CK$22,$N$197),IF(INDEX('Dados'!$P$142:$P$257,$O$214)="COMUM.e",INDEX($CL$11:$CL$22,$N$197),IF(INDEX('Dados'!$P$142:$P$257,$O$214)="COMUM.m",INDEX($CM$11:$CM$22,$N$197),IF(INDEX('Dados'!$P$142:$P$257,$O$214)="DT",INDEX($Y$11:$Y$54,$N$197),IF(INDEX('Dados'!$P$142:$P$257,$O$214)="PV",INT(INDEX('Dados'!$Q$142:$Q$257,$O$214)*INDEX($Q$11:$Q$54,$N$197)/INDEX($CI$11:$CI$22,$N$197)),"")))))))))&amp;INDEX('Dados'!$R$142:$R$257,$O$214)&amp;IF(INDEX('Dados'!$S$142:$S$257,$O$214)="","",IF(INDEX('Dados'!$S$142:$S$257,$O$214)="DANO.e",INDEX($W$11:$W$54,$N$197),IF(INDEX('Dados'!$S$142:$S$257,$O$214)="DANO.m",INDEX($X$11:$X$54,$N$197),IF(INDEX('Dados'!$S$142:$S$257,$O$214)="DANO15.e",INDEX($CJ$11:$CJ$22,$N$197),IF(INDEX('Dados'!$S$142:$S$257,$O$214)="DANO15.m",INDEX($CK$11:$CK$22,$N$197),IF(INDEX('Dados'!$S$142:$S$257,$O$214)="COMUM.e",INDEX($CL$11:$CL$22,$N$197),IF(INDEX('Dados'!$S$142:$S$257,$O$214)="COMUM.m",INDEX($CM$11:$CM$22,$N$197),IF(INDEX('Dados'!$S$142:$S$257,$O$214)="DT",INDEX($Y$11:$Y$54,$N$197),IF(INDEX('Dados'!$S$142:$S$257,$O$214)="PV",INT(INDEX('Dados'!$T$142:$T$257,$O$214)*INDEX($Q$11:$Q$54,$N$197)/INDEX($CI$11:$CI$22,$N$197)),"")))))))))&amp;INDEX('Dados'!$U$142:$U$257,$O$214),""),IFERROR(INDEX($S$116:$S$153,MATCH(INDEX($N$11:$N$54,$N$197)&amp;"|12",$P$116:$P$153,0)),"")))</f>
        <v/>
      </c>
      <c r="O214" s="2">
        <f>IF(ISNUMBER($N$197),IFERROR(IF(INDEX($BL$11:$BL$22,$N$197)=1,MATCH(INDEX($DT$11:$DT$22,$N$197)&amp;"|12",'Dados'!$A$142:$A$257,0),""),""),"")</f>
        <v/>
      </c>
    </row>
    <row r="215"/>
    <row r="216" ht="26" customHeight="1">
      <c r="A216" s="5">
        <f>IF(ISNUMBER($N$197),"Na Fila: VEL "&amp;INDEX($U$11:$U$54,$N$197)&amp;", "&amp;INDEX($AJ$11:$AJ$54,$N$197)&amp;"."&amp;IF(LEN(INDEX($DW$26:$DW$37,$N$197))&gt;0," "&amp;INDEX($DW$26:$DW$37,$N$197),IF(INDEX($BL$11:$BL$22,$N$197)=1," "&amp;IFERROR(INDEX('Dados'!$X$92:$X$123,INDEX($BM$11:$BM$22,$N$197))&amp;"",""),""))&amp;IF(INDEX($AF$11:$AF$54,$N$197)="Pode"," Pode Executar (ser racional, 23.5).",IF(INDEX($AF$11:$AF$54,$N$197)="Não"," Não Executa (23.5).","")),"")</f>
        <v/>
      </c>
    </row>
    <row r="217">
      <c r="A217" s="5">
        <f>IF(NOT(ISNUMBER($N$197)),"",IFERROR(IF(AND(INDEX($AG$11:$AG$54,$N$197)&gt;=1,INDEX($AG$11:$AG$54,$N$197)&gt;1),"Fase 1 ("&amp;INDEX($Q$11:$Q$54,$N$197)&amp;" a "&amp;IF(INDEX($AG$11:$AG$54,$N$197)&gt;=2,INDEX($AK$11:$AK$54,$N$197)+1,0)&amp;" PV): Fraquezas "&amp;INDEX($BG$11:$BG$54,$N$197)&amp;"; Tenacidade "&amp;INDEX($T$11:$T$54,$N$197)&amp;" (volta ao máximo na virada)",""),""))</f>
        <v/>
      </c>
    </row>
    <row r="218">
      <c r="A218" s="5">
        <f>IF(NOT(ISNUMBER($N$197)),"",IFERROR(IF(AND(INDEX($AG$11:$AG$54,$N$197)&gt;=2,INDEX($AG$11:$AG$54,$N$197)&gt;1),"Fase 2 ("&amp;INDEX($AK$11:$AK$54,$N$197)&amp;" a "&amp;IF(INDEX($AG$11:$AG$54,$N$197)&gt;2,INDEX($AL$11:$AL$54,$N$197)+1,0)&amp;" PV): Fraquezas "&amp;INDEX($AM$11:$AM$54,$N$197)&amp;IF(LEN(INDEX($AN$11:$AN$54,$N$197))&gt;0,", "&amp;INDEX($AN$11:$AN$54,$N$197),"")&amp;IF(LEN(INDEX($AO$11:$AO$54,$N$197))&gt;0,", "&amp;INDEX($AO$11:$AO$54,$N$197),"")&amp;IF(LEN(INDEX($AP$11:$AP$54,$N$197))&gt;0,", "&amp;INDEX($AP$11:$AP$54,$N$197),"")&amp;"; Tenacidade "&amp;INDEX($AQ$11:$AQ$54,$N$197)&amp;" (volta ao máximo na virada)",""),""))</f>
        <v/>
      </c>
    </row>
    <row r="219">
      <c r="A219" s="5">
        <f>IF(NOT(ISNUMBER($N$197)),"",IFERROR(IF(AND(INDEX($AG$11:$AG$54,$N$197)&gt;=3,INDEX($AG$11:$AG$54,$N$197)&gt;1),"Fase 3 ("&amp;INDEX($AL$11:$AL$54,$N$197)&amp;" a "&amp;0&amp;" PV): Fraquezas "&amp;INDEX($AR$11:$AR$54,$N$197)&amp;IF(LEN(INDEX($AS$11:$AS$54,$N$197))&gt;0,", "&amp;INDEX($AS$11:$AS$54,$N$197),"")&amp;IF(LEN(INDEX($AT$11:$AT$54,$N$197))&gt;0,", "&amp;INDEX($AT$11:$AT$54,$N$197),"")&amp;IF(LEN(INDEX($AU$11:$AU$54,$N$197))&gt;0,", "&amp;INDEX($AU$11:$AU$54,$N$197),"")&amp;"; Tenacidade "&amp;INDEX($AV$11:$AV$54,$N$197)&amp;" (volta ao máximo na virada)",""),""))</f>
        <v/>
      </c>
    </row>
  </sheetData>
  <mergeCells count="586">
    <mergeCell ref="D187:E187"/>
    <mergeCell ref="F171:J171"/>
    <mergeCell ref="D174:E174"/>
    <mergeCell ref="I104:J104"/>
    <mergeCell ref="K33:L33"/>
    <mergeCell ref="A107:B107"/>
    <mergeCell ref="K104:L104"/>
    <mergeCell ref="E142:F142"/>
    <mergeCell ref="K177:L177"/>
    <mergeCell ref="B12:C12"/>
    <mergeCell ref="I106:J106"/>
    <mergeCell ref="K35:L35"/>
    <mergeCell ref="C121:D121"/>
    <mergeCell ref="K81:L81"/>
    <mergeCell ref="B14:C14"/>
    <mergeCell ref="K99:L99"/>
    <mergeCell ref="E137:F137"/>
    <mergeCell ref="C148:D148"/>
    <mergeCell ref="B13:C13"/>
    <mergeCell ref="E148:F148"/>
    <mergeCell ref="K180:L180"/>
    <mergeCell ref="B80:D80"/>
    <mergeCell ref="B205:L205"/>
    <mergeCell ref="F71:G71"/>
    <mergeCell ref="K157:L157"/>
    <mergeCell ref="F166:J166"/>
    <mergeCell ref="K101:L101"/>
    <mergeCell ref="K172:L172"/>
    <mergeCell ref="K28:L28"/>
    <mergeCell ref="K92:L92"/>
    <mergeCell ref="K30:L30"/>
    <mergeCell ref="K152:L152"/>
    <mergeCell ref="F191:J191"/>
    <mergeCell ref="E117:F117"/>
    <mergeCell ref="F178:J178"/>
    <mergeCell ref="B156:C156"/>
    <mergeCell ref="A103:B103"/>
    <mergeCell ref="B73:D73"/>
    <mergeCell ref="A55:L55"/>
    <mergeCell ref="A153:B153"/>
    <mergeCell ref="F192:J192"/>
    <mergeCell ref="A128:B128"/>
    <mergeCell ref="D189:E189"/>
    <mergeCell ref="K185:L185"/>
    <mergeCell ref="I112:J112"/>
    <mergeCell ref="K41:L41"/>
    <mergeCell ref="B74:D74"/>
    <mergeCell ref="K106:L106"/>
    <mergeCell ref="F194:J194"/>
    <mergeCell ref="A136:B136"/>
    <mergeCell ref="A200:L200"/>
    <mergeCell ref="K56:L56"/>
    <mergeCell ref="F181:J181"/>
    <mergeCell ref="K105:L105"/>
    <mergeCell ref="K43:L43"/>
    <mergeCell ref="B76:D76"/>
    <mergeCell ref="K170:L170"/>
    <mergeCell ref="A129:B129"/>
    <mergeCell ref="K120:L120"/>
    <mergeCell ref="C123:D123"/>
    <mergeCell ref="I107:J107"/>
    <mergeCell ref="K107:L107"/>
    <mergeCell ref="A131:B131"/>
    <mergeCell ref="A24:L24"/>
    <mergeCell ref="B15:C15"/>
    <mergeCell ref="D21:F21"/>
    <mergeCell ref="A143:B143"/>
    <mergeCell ref="F73:G73"/>
    <mergeCell ref="K25:L25"/>
    <mergeCell ref="K183:L183"/>
    <mergeCell ref="B208:L208"/>
    <mergeCell ref="G25:J25"/>
    <mergeCell ref="D16:F16"/>
    <mergeCell ref="C128:D128"/>
    <mergeCell ref="K173:L173"/>
    <mergeCell ref="K29:L29"/>
    <mergeCell ref="A86:L86"/>
    <mergeCell ref="B210:L210"/>
    <mergeCell ref="D18:F18"/>
    <mergeCell ref="K44:L44"/>
    <mergeCell ref="F169:J169"/>
    <mergeCell ref="K31:L31"/>
    <mergeCell ref="C142:D142"/>
    <mergeCell ref="B170:C170"/>
    <mergeCell ref="C129:D129"/>
    <mergeCell ref="I87:J87"/>
    <mergeCell ref="E133:F133"/>
    <mergeCell ref="B172:C172"/>
    <mergeCell ref="K176:L176"/>
    <mergeCell ref="K97:L97"/>
    <mergeCell ref="K191:L191"/>
    <mergeCell ref="K57:L57"/>
    <mergeCell ref="K128:L128"/>
    <mergeCell ref="C131:D131"/>
    <mergeCell ref="A70:L70"/>
    <mergeCell ref="K184:L184"/>
    <mergeCell ref="B77:D77"/>
    <mergeCell ref="K171:L171"/>
    <mergeCell ref="K121:L121"/>
    <mergeCell ref="B29:D29"/>
    <mergeCell ref="K123:L123"/>
    <mergeCell ref="C126:D126"/>
    <mergeCell ref="A124:B124"/>
    <mergeCell ref="E126:F126"/>
    <mergeCell ref="K110:L110"/>
    <mergeCell ref="C117:D117"/>
    <mergeCell ref="K174:L174"/>
    <mergeCell ref="A149:B149"/>
    <mergeCell ref="K75:L75"/>
    <mergeCell ref="B181:C181"/>
    <mergeCell ref="K12:L12"/>
    <mergeCell ref="C115:D115"/>
    <mergeCell ref="A151:B151"/>
    <mergeCell ref="B32:D32"/>
    <mergeCell ref="B26:D26"/>
    <mergeCell ref="B197:D197"/>
    <mergeCell ref="A150:B150"/>
    <mergeCell ref="K14:L14"/>
    <mergeCell ref="A144:B144"/>
    <mergeCell ref="C150:D150"/>
    <mergeCell ref="C144:D144"/>
    <mergeCell ref="G28:J28"/>
    <mergeCell ref="D19:F19"/>
    <mergeCell ref="K103:L103"/>
    <mergeCell ref="F82:G82"/>
    <mergeCell ref="A152:B152"/>
    <mergeCell ref="A216:L216"/>
    <mergeCell ref="B27:D27"/>
    <mergeCell ref="G30:J30"/>
    <mergeCell ref="B163:C163"/>
    <mergeCell ref="B207:L207"/>
    <mergeCell ref="K167:L167"/>
    <mergeCell ref="C145:D145"/>
    <mergeCell ref="E145:F145"/>
    <mergeCell ref="A218:L218"/>
    <mergeCell ref="E139:F139"/>
    <mergeCell ref="B165:C165"/>
    <mergeCell ref="K192:L192"/>
    <mergeCell ref="D158:E158"/>
    <mergeCell ref="B37:D37"/>
    <mergeCell ref="K129:L129"/>
    <mergeCell ref="K194:L194"/>
    <mergeCell ref="C134:D134"/>
    <mergeCell ref="K50:L50"/>
    <mergeCell ref="A99:B99"/>
    <mergeCell ref="D12:F12"/>
    <mergeCell ref="D160:E160"/>
    <mergeCell ref="K181:L181"/>
    <mergeCell ref="K131:L131"/>
    <mergeCell ref="K58:L58"/>
    <mergeCell ref="K52:L52"/>
    <mergeCell ref="A101:B101"/>
    <mergeCell ref="D14:F14"/>
    <mergeCell ref="B191:C191"/>
    <mergeCell ref="F72:G72"/>
    <mergeCell ref="C138:D138"/>
    <mergeCell ref="B178:C178"/>
    <mergeCell ref="C119:D119"/>
    <mergeCell ref="E119:F119"/>
    <mergeCell ref="E116:F116"/>
    <mergeCell ref="A140:B140"/>
    <mergeCell ref="K53:L53"/>
    <mergeCell ref="G34:J34"/>
    <mergeCell ref="A6:L6"/>
    <mergeCell ref="K13:L13"/>
    <mergeCell ref="K78:L78"/>
    <mergeCell ref="E122:F122"/>
    <mergeCell ref="K15:L15"/>
    <mergeCell ref="K142:L142"/>
    <mergeCell ref="G29:J29"/>
    <mergeCell ref="K80:L80"/>
    <mergeCell ref="F193:J193"/>
    <mergeCell ref="A3:L3"/>
    <mergeCell ref="K79:L79"/>
    <mergeCell ref="G44:J44"/>
    <mergeCell ref="F83:G83"/>
    <mergeCell ref="A87:B87"/>
    <mergeCell ref="K144:L144"/>
    <mergeCell ref="C147:D147"/>
    <mergeCell ref="G31:J31"/>
    <mergeCell ref="E147:F147"/>
    <mergeCell ref="K119:L119"/>
    <mergeCell ref="A5:L5"/>
    <mergeCell ref="A89:B89"/>
    <mergeCell ref="A219:L219"/>
    <mergeCell ref="B179:C179"/>
    <mergeCell ref="D179:E179"/>
    <mergeCell ref="F163:J163"/>
    <mergeCell ref="B166:C166"/>
    <mergeCell ref="A105:B105"/>
    <mergeCell ref="D166:E166"/>
    <mergeCell ref="B174:C174"/>
    <mergeCell ref="F165:J165"/>
    <mergeCell ref="B168:C168"/>
    <mergeCell ref="D168:E168"/>
    <mergeCell ref="D180:E180"/>
    <mergeCell ref="D167:E167"/>
    <mergeCell ref="A100:B100"/>
    <mergeCell ref="D161:E161"/>
    <mergeCell ref="G49:J49"/>
    <mergeCell ref="K10:L10"/>
    <mergeCell ref="K66:L66"/>
    <mergeCell ref="A115:B115"/>
    <mergeCell ref="B169:C169"/>
    <mergeCell ref="D169:E169"/>
    <mergeCell ref="I99:J99"/>
    <mergeCell ref="A102:B102"/>
    <mergeCell ref="K124:L124"/>
    <mergeCell ref="K74:L74"/>
    <mergeCell ref="K68:L68"/>
    <mergeCell ref="G26:J26"/>
    <mergeCell ref="E130:F130"/>
    <mergeCell ref="B194:C194"/>
    <mergeCell ref="C141:D141"/>
    <mergeCell ref="E141:F141"/>
    <mergeCell ref="E135:F135"/>
    <mergeCell ref="E132:F132"/>
    <mergeCell ref="C143:D143"/>
    <mergeCell ref="E143:F143"/>
    <mergeCell ref="K150:L150"/>
    <mergeCell ref="A120:B120"/>
    <mergeCell ref="F159:J159"/>
    <mergeCell ref="B162:C162"/>
    <mergeCell ref="D162:E162"/>
    <mergeCell ref="D156:E156"/>
    <mergeCell ref="B35:D35"/>
    <mergeCell ref="K145:L145"/>
    <mergeCell ref="F184:J184"/>
    <mergeCell ref="B187:C187"/>
    <mergeCell ref="E197:L197"/>
    <mergeCell ref="G37:J37"/>
    <mergeCell ref="A96:B96"/>
    <mergeCell ref="C125:D125"/>
    <mergeCell ref="D157:E157"/>
    <mergeCell ref="K160:L160"/>
    <mergeCell ref="E125:F125"/>
    <mergeCell ref="K147:L147"/>
    <mergeCell ref="B189:C189"/>
    <mergeCell ref="B213:L213"/>
    <mergeCell ref="B188:C188"/>
    <mergeCell ref="K18:L18"/>
    <mergeCell ref="F179:J179"/>
    <mergeCell ref="D182:E182"/>
    <mergeCell ref="I105:J105"/>
    <mergeCell ref="K34:L34"/>
    <mergeCell ref="F187:J187"/>
    <mergeCell ref="B190:C190"/>
    <mergeCell ref="D190:E190"/>
    <mergeCell ref="A123:B123"/>
    <mergeCell ref="F174:J174"/>
    <mergeCell ref="F168:J168"/>
    <mergeCell ref="A110:B110"/>
    <mergeCell ref="K36:L36"/>
    <mergeCell ref="I101:J101"/>
    <mergeCell ref="K163:L163"/>
    <mergeCell ref="G50:J50"/>
    <mergeCell ref="D183:E183"/>
    <mergeCell ref="I100:J100"/>
    <mergeCell ref="E138:F138"/>
    <mergeCell ref="K100:L100"/>
    <mergeCell ref="A108:B108"/>
    <mergeCell ref="K94:L94"/>
    <mergeCell ref="K165:L165"/>
    <mergeCell ref="G52:J52"/>
    <mergeCell ref="D185:E185"/>
    <mergeCell ref="A118:B118"/>
    <mergeCell ref="K140:L140"/>
    <mergeCell ref="C118:D118"/>
    <mergeCell ref="G27:J27"/>
    <mergeCell ref="I102:J102"/>
    <mergeCell ref="K102:L102"/>
    <mergeCell ref="K77:L77"/>
    <mergeCell ref="B10:C10"/>
    <mergeCell ref="F167:J167"/>
    <mergeCell ref="F161:J161"/>
    <mergeCell ref="A134:B134"/>
    <mergeCell ref="D188:E188"/>
    <mergeCell ref="A121:B121"/>
    <mergeCell ref="K87:L87"/>
    <mergeCell ref="B203:L203"/>
    <mergeCell ref="F175:J175"/>
    <mergeCell ref="G45:J45"/>
    <mergeCell ref="K49:L49"/>
    <mergeCell ref="D178:E178"/>
    <mergeCell ref="D11:F11"/>
    <mergeCell ref="F162:J162"/>
    <mergeCell ref="D172:E172"/>
    <mergeCell ref="I95:J95"/>
    <mergeCell ref="A98:B98"/>
    <mergeCell ref="I89:J89"/>
    <mergeCell ref="K95:L95"/>
    <mergeCell ref="K89:L89"/>
    <mergeCell ref="G47:J47"/>
    <mergeCell ref="C116:D116"/>
    <mergeCell ref="K88:L88"/>
    <mergeCell ref="K26:L26"/>
    <mergeCell ref="G46:J46"/>
    <mergeCell ref="K153:L153"/>
    <mergeCell ref="B21:C21"/>
    <mergeCell ref="E153:F153"/>
    <mergeCell ref="E128:F128"/>
    <mergeCell ref="K90:L90"/>
    <mergeCell ref="F189:J189"/>
    <mergeCell ref="F188:J188"/>
    <mergeCell ref="F180:J180"/>
    <mergeCell ref="K115:L115"/>
    <mergeCell ref="K42:L42"/>
    <mergeCell ref="F190:J190"/>
    <mergeCell ref="D193:E193"/>
    <mergeCell ref="A126:B126"/>
    <mergeCell ref="D176:E176"/>
    <mergeCell ref="A109:B109"/>
    <mergeCell ref="I110:J110"/>
    <mergeCell ref="K179:L179"/>
    <mergeCell ref="B72:D72"/>
    <mergeCell ref="K166:L166"/>
    <mergeCell ref="G53:J53"/>
    <mergeCell ref="K141:L141"/>
    <mergeCell ref="K116:L116"/>
    <mergeCell ref="A117:B117"/>
    <mergeCell ref="A111:B111"/>
    <mergeCell ref="K37:L37"/>
    <mergeCell ref="E146:F146"/>
    <mergeCell ref="K168:L168"/>
    <mergeCell ref="K143:L143"/>
    <mergeCell ref="K118:L118"/>
    <mergeCell ref="A196:L196"/>
    <mergeCell ref="B16:C16"/>
    <mergeCell ref="A142:B142"/>
    <mergeCell ref="B209:L209"/>
    <mergeCell ref="D17:F17"/>
    <mergeCell ref="A198:L198"/>
    <mergeCell ref="B82:D82"/>
    <mergeCell ref="B18:C18"/>
    <mergeCell ref="K21:L21"/>
    <mergeCell ref="F177:J177"/>
    <mergeCell ref="B11:C11"/>
    <mergeCell ref="F164:J164"/>
    <mergeCell ref="K32:L32"/>
    <mergeCell ref="A137:B137"/>
    <mergeCell ref="K63:L63"/>
    <mergeCell ref="K134:L134"/>
    <mergeCell ref="C137:D137"/>
    <mergeCell ref="B83:D83"/>
    <mergeCell ref="C124:D124"/>
    <mergeCell ref="I96:J96"/>
    <mergeCell ref="K96:L96"/>
    <mergeCell ref="F75:G75"/>
    <mergeCell ref="A145:B145"/>
    <mergeCell ref="A139:B139"/>
    <mergeCell ref="C139:D139"/>
    <mergeCell ref="G48:J48"/>
    <mergeCell ref="D181:E181"/>
    <mergeCell ref="I111:J111"/>
    <mergeCell ref="I98:J98"/>
    <mergeCell ref="K27:L27"/>
    <mergeCell ref="K98:L98"/>
    <mergeCell ref="A40:L40"/>
    <mergeCell ref="C132:D132"/>
    <mergeCell ref="B158:C158"/>
    <mergeCell ref="K156:L156"/>
    <mergeCell ref="B160:C160"/>
    <mergeCell ref="K93:L93"/>
    <mergeCell ref="K16:L16"/>
    <mergeCell ref="K187:L187"/>
    <mergeCell ref="A92:B92"/>
    <mergeCell ref="F183:J183"/>
    <mergeCell ref="D186:E186"/>
    <mergeCell ref="A119:B119"/>
    <mergeCell ref="K45:L45"/>
    <mergeCell ref="B78:D78"/>
    <mergeCell ref="A94:B94"/>
    <mergeCell ref="B184:C184"/>
    <mergeCell ref="K189:L189"/>
    <mergeCell ref="K188:L188"/>
    <mergeCell ref="K126:L126"/>
    <mergeCell ref="K11:L11"/>
    <mergeCell ref="K182:L182"/>
    <mergeCell ref="K109:L109"/>
    <mergeCell ref="K47:L47"/>
    <mergeCell ref="K169:L169"/>
    <mergeCell ref="A133:B133"/>
    <mergeCell ref="D194:E194"/>
    <mergeCell ref="C133:D133"/>
    <mergeCell ref="C127:D127"/>
    <mergeCell ref="B17:C17"/>
    <mergeCell ref="K46:L46"/>
    <mergeCell ref="E149:F149"/>
    <mergeCell ref="K111:L111"/>
    <mergeCell ref="A199:L199"/>
    <mergeCell ref="B19:C19"/>
    <mergeCell ref="K71:L71"/>
    <mergeCell ref="D20:F20"/>
    <mergeCell ref="B25:D25"/>
    <mergeCell ref="E144:F144"/>
    <mergeCell ref="A147:B147"/>
    <mergeCell ref="K73:L73"/>
    <mergeCell ref="F186:J186"/>
    <mergeCell ref="B20:C20"/>
    <mergeCell ref="D7:J7"/>
    <mergeCell ref="D22:F22"/>
    <mergeCell ref="K162:L162"/>
    <mergeCell ref="K137:L137"/>
    <mergeCell ref="C140:D140"/>
    <mergeCell ref="D13:F13"/>
    <mergeCell ref="A148:B148"/>
    <mergeCell ref="F78:G78"/>
    <mergeCell ref="K164:L164"/>
    <mergeCell ref="K139:L139"/>
    <mergeCell ref="G51:J51"/>
    <mergeCell ref="A217:L217"/>
    <mergeCell ref="B159:C159"/>
    <mergeCell ref="D159:E159"/>
    <mergeCell ref="A146:B146"/>
    <mergeCell ref="B167:C167"/>
    <mergeCell ref="F158:J158"/>
    <mergeCell ref="B161:C161"/>
    <mergeCell ref="A85:L85"/>
    <mergeCell ref="F160:J160"/>
    <mergeCell ref="D15:F15"/>
    <mergeCell ref="G42:J42"/>
    <mergeCell ref="B33:D33"/>
    <mergeCell ref="B175:C175"/>
    <mergeCell ref="K59:L59"/>
    <mergeCell ref="K130:L130"/>
    <mergeCell ref="K190:L190"/>
    <mergeCell ref="C130:D130"/>
    <mergeCell ref="I92:J92"/>
    <mergeCell ref="B79:D79"/>
    <mergeCell ref="A95:B95"/>
    <mergeCell ref="K117:L117"/>
    <mergeCell ref="A141:B141"/>
    <mergeCell ref="A9:L9"/>
    <mergeCell ref="K61:L61"/>
    <mergeCell ref="A135:B135"/>
    <mergeCell ref="K132:L132"/>
    <mergeCell ref="C135:D135"/>
    <mergeCell ref="A122:B122"/>
    <mergeCell ref="K48:L48"/>
    <mergeCell ref="B81:D81"/>
    <mergeCell ref="D10:F10"/>
    <mergeCell ref="A97:B97"/>
    <mergeCell ref="C122:D122"/>
    <mergeCell ref="C153:D153"/>
    <mergeCell ref="K125:L125"/>
    <mergeCell ref="A1:L1"/>
    <mergeCell ref="K112:L112"/>
    <mergeCell ref="K62:L62"/>
    <mergeCell ref="C136:D136"/>
    <mergeCell ref="K193:L193"/>
    <mergeCell ref="K127:L127"/>
    <mergeCell ref="E129:F129"/>
    <mergeCell ref="B22:C22"/>
    <mergeCell ref="B193:C193"/>
    <mergeCell ref="A88:B88"/>
    <mergeCell ref="G32:J32"/>
    <mergeCell ref="B34:D34"/>
    <mergeCell ref="B28:D28"/>
    <mergeCell ref="E131:F131"/>
    <mergeCell ref="A90:B90"/>
    <mergeCell ref="K138:L138"/>
    <mergeCell ref="K76:L76"/>
    <mergeCell ref="F80:G80"/>
    <mergeCell ref="C146:D146"/>
    <mergeCell ref="B30:D30"/>
    <mergeCell ref="K178:L178"/>
    <mergeCell ref="F79:G79"/>
    <mergeCell ref="B182:C182"/>
    <mergeCell ref="K67:L67"/>
    <mergeCell ref="K186:L186"/>
    <mergeCell ref="C120:D120"/>
    <mergeCell ref="F81:G81"/>
    <mergeCell ref="A155:L155"/>
    <mergeCell ref="B211:L211"/>
    <mergeCell ref="B183:C183"/>
    <mergeCell ref="C149:D149"/>
    <mergeCell ref="B177:C177"/>
    <mergeCell ref="D177:E177"/>
    <mergeCell ref="B164:C164"/>
    <mergeCell ref="E136:F136"/>
    <mergeCell ref="D164:E164"/>
    <mergeCell ref="I94:J94"/>
    <mergeCell ref="E115:F115"/>
    <mergeCell ref="B212:L212"/>
    <mergeCell ref="B206:L206"/>
    <mergeCell ref="K158:L158"/>
    <mergeCell ref="I108:J108"/>
    <mergeCell ref="K133:L133"/>
    <mergeCell ref="E127:F127"/>
    <mergeCell ref="F74:G74"/>
    <mergeCell ref="B180:C180"/>
    <mergeCell ref="K64:L64"/>
    <mergeCell ref="K135:L135"/>
    <mergeCell ref="K51:L51"/>
    <mergeCell ref="K122:L122"/>
    <mergeCell ref="K72:L72"/>
    <mergeCell ref="F76:G76"/>
    <mergeCell ref="B157:C157"/>
    <mergeCell ref="D175:E175"/>
    <mergeCell ref="B36:D36"/>
    <mergeCell ref="F156:J156"/>
    <mergeCell ref="B186:C186"/>
    <mergeCell ref="A116:B116"/>
    <mergeCell ref="B75:D75"/>
    <mergeCell ref="D165:E165"/>
    <mergeCell ref="I88:J88"/>
    <mergeCell ref="K17:L17"/>
    <mergeCell ref="A91:B91"/>
    <mergeCell ref="E124:F124"/>
    <mergeCell ref="E120:F120"/>
    <mergeCell ref="K82:L82"/>
    <mergeCell ref="K148:L148"/>
    <mergeCell ref="A201:L201"/>
    <mergeCell ref="B31:D31"/>
    <mergeCell ref="A93:B93"/>
    <mergeCell ref="K19:L19"/>
    <mergeCell ref="K146:L146"/>
    <mergeCell ref="G33:J33"/>
    <mergeCell ref="E121:F121"/>
    <mergeCell ref="K83:L83"/>
    <mergeCell ref="F182:J182"/>
    <mergeCell ref="B185:C185"/>
    <mergeCell ref="C151:D151"/>
    <mergeCell ref="G35:J35"/>
    <mergeCell ref="E151:F151"/>
    <mergeCell ref="E123:F123"/>
    <mergeCell ref="E150:F150"/>
    <mergeCell ref="B176:C176"/>
    <mergeCell ref="K60:L60"/>
    <mergeCell ref="B214:L214"/>
    <mergeCell ref="D170:E170"/>
    <mergeCell ref="C152:D152"/>
    <mergeCell ref="E152:F152"/>
    <mergeCell ref="I103:J103"/>
    <mergeCell ref="D163:E163"/>
    <mergeCell ref="I97:J97"/>
    <mergeCell ref="K159:L159"/>
    <mergeCell ref="E118:F118"/>
    <mergeCell ref="B171:C171"/>
    <mergeCell ref="D171:E171"/>
    <mergeCell ref="A104:B104"/>
    <mergeCell ref="K161:L161"/>
    <mergeCell ref="K136:L136"/>
    <mergeCell ref="A106:B106"/>
    <mergeCell ref="A114:L114"/>
    <mergeCell ref="F77:G77"/>
    <mergeCell ref="K7:L7"/>
    <mergeCell ref="K65:L65"/>
    <mergeCell ref="E134:F134"/>
    <mergeCell ref="B204:L204"/>
    <mergeCell ref="B173:C173"/>
    <mergeCell ref="F157:J157"/>
    <mergeCell ref="A130:B130"/>
    <mergeCell ref="I90:J90"/>
    <mergeCell ref="D191:E191"/>
    <mergeCell ref="F172:J172"/>
    <mergeCell ref="K108:L108"/>
    <mergeCell ref="A138:B138"/>
    <mergeCell ref="B202:L202"/>
    <mergeCell ref="A132:B132"/>
    <mergeCell ref="G41:J41"/>
    <mergeCell ref="E140:F140"/>
    <mergeCell ref="I91:J91"/>
    <mergeCell ref="K20:L20"/>
    <mergeCell ref="K91:L91"/>
    <mergeCell ref="F173:J173"/>
    <mergeCell ref="G43:J43"/>
    <mergeCell ref="I93:J93"/>
    <mergeCell ref="K22:L22"/>
    <mergeCell ref="K149:L149"/>
    <mergeCell ref="G36:J36"/>
    <mergeCell ref="F185:J185"/>
    <mergeCell ref="K151:L151"/>
    <mergeCell ref="D184:E184"/>
    <mergeCell ref="A39:L39"/>
    <mergeCell ref="B192:C192"/>
    <mergeCell ref="D192:E192"/>
    <mergeCell ref="A125:B125"/>
    <mergeCell ref="F176:J176"/>
    <mergeCell ref="F170:J170"/>
    <mergeCell ref="I109:J109"/>
    <mergeCell ref="A112:B112"/>
    <mergeCell ref="B71:D71"/>
    <mergeCell ref="D173:E173"/>
    <mergeCell ref="A127:B127"/>
    <mergeCell ref="K175:L175"/>
  </mergeCells>
  <conditionalFormatting sqref="K7">
    <cfRule type="expression" priority="1" dxfId="0">
      <formula>LEN(K7)&gt;0</formula>
    </cfRule>
  </conditionalFormatting>
  <conditionalFormatting sqref="K11">
    <cfRule type="expression" priority="2" dxfId="0">
      <formula>LEN(K11)&gt;0</formula>
    </cfRule>
  </conditionalFormatting>
  <conditionalFormatting sqref="K12">
    <cfRule type="expression" priority="3" dxfId="0">
      <formula>LEN(K12)&gt;0</formula>
    </cfRule>
  </conditionalFormatting>
  <conditionalFormatting sqref="K13">
    <cfRule type="expression" priority="4" dxfId="0">
      <formula>LEN(K13)&gt;0</formula>
    </cfRule>
  </conditionalFormatting>
  <conditionalFormatting sqref="K14">
    <cfRule type="expression" priority="5" dxfId="0">
      <formula>LEN(K14)&gt;0</formula>
    </cfRule>
  </conditionalFormatting>
  <conditionalFormatting sqref="K15">
    <cfRule type="expression" priority="6" dxfId="0">
      <formula>LEN(K15)&gt;0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19">
    <cfRule type="expression" priority="10" dxfId="0">
      <formula>LEN(K19)&gt;0</formula>
    </cfRule>
  </conditionalFormatting>
  <conditionalFormatting sqref="K20">
    <cfRule type="expression" priority="11" dxfId="0">
      <formula>LEN(K20)&gt;0</formula>
    </cfRule>
  </conditionalFormatting>
  <conditionalFormatting sqref="K21">
    <cfRule type="expression" priority="12" dxfId="0">
      <formula>LEN(K21)&gt;0</formula>
    </cfRule>
  </conditionalFormatting>
  <conditionalFormatting sqref="K22">
    <cfRule type="expression" priority="13" dxfId="0">
      <formula>LEN(K22)&gt;0</formula>
    </cfRule>
  </conditionalFormatting>
  <conditionalFormatting sqref="K26">
    <cfRule type="expression" priority="14" dxfId="0">
      <formula>LEN(K26)&gt;0</formula>
    </cfRule>
  </conditionalFormatting>
  <conditionalFormatting sqref="K27">
    <cfRule type="expression" priority="15" dxfId="0">
      <formula>LEN(K27)&gt;0</formula>
    </cfRule>
  </conditionalFormatting>
  <conditionalFormatting sqref="K28">
    <cfRule type="expression" priority="16" dxfId="0">
      <formula>LEN(K28)&gt;0</formula>
    </cfRule>
  </conditionalFormatting>
  <conditionalFormatting sqref="K29">
    <cfRule type="expression" priority="17" dxfId="0">
      <formula>LEN(K29)&gt;0</formula>
    </cfRule>
  </conditionalFormatting>
  <conditionalFormatting sqref="K30">
    <cfRule type="expression" priority="18" dxfId="0">
      <formula>LEN(K30)&gt;0</formula>
    </cfRule>
  </conditionalFormatting>
  <conditionalFormatting sqref="K31">
    <cfRule type="expression" priority="19" dxfId="0">
      <formula>LEN(K31)&gt;0</formula>
    </cfRule>
  </conditionalFormatting>
  <conditionalFormatting sqref="K32">
    <cfRule type="expression" priority="20" dxfId="0">
      <formula>LEN(K32)&gt;0</formula>
    </cfRule>
  </conditionalFormatting>
  <conditionalFormatting sqref="K33">
    <cfRule type="expression" priority="21" dxfId="0">
      <formula>LEN(K33)&gt;0</formula>
    </cfRule>
  </conditionalFormatting>
  <conditionalFormatting sqref="K34">
    <cfRule type="expression" priority="22" dxfId="0">
      <formula>LEN(K34)&gt;0</formula>
    </cfRule>
  </conditionalFormatting>
  <conditionalFormatting sqref="K35">
    <cfRule type="expression" priority="23" dxfId="0">
      <formula>LEN(K35)&gt;0</formula>
    </cfRule>
  </conditionalFormatting>
  <conditionalFormatting sqref="K36">
    <cfRule type="expression" priority="24" dxfId="0">
      <formula>LEN(K36)&gt;0</formula>
    </cfRule>
  </conditionalFormatting>
  <conditionalFormatting sqref="K37">
    <cfRule type="expression" priority="25" dxfId="0">
      <formula>LEN(K37)&gt;0</formula>
    </cfRule>
  </conditionalFormatting>
  <conditionalFormatting sqref="K42">
    <cfRule type="expression" priority="26" dxfId="0">
      <formula>LEN(K42)&gt;0</formula>
    </cfRule>
  </conditionalFormatting>
  <conditionalFormatting sqref="K43">
    <cfRule type="expression" priority="27" dxfId="0">
      <formula>LEN(K43)&gt;0</formula>
    </cfRule>
  </conditionalFormatting>
  <conditionalFormatting sqref="K44">
    <cfRule type="expression" priority="28" dxfId="0">
      <formula>LEN(K44)&gt;0</formula>
    </cfRule>
  </conditionalFormatting>
  <conditionalFormatting sqref="K45">
    <cfRule type="expression" priority="29" dxfId="0">
      <formula>LEN(K45)&gt;0</formula>
    </cfRule>
  </conditionalFormatting>
  <conditionalFormatting sqref="K46">
    <cfRule type="expression" priority="30" dxfId="0">
      <formula>LEN(K46)&gt;0</formula>
    </cfRule>
  </conditionalFormatting>
  <conditionalFormatting sqref="K47">
    <cfRule type="expression" priority="31" dxfId="0">
      <formula>LEN(K47)&gt;0</formula>
    </cfRule>
  </conditionalFormatting>
  <conditionalFormatting sqref="K48">
    <cfRule type="expression" priority="32" dxfId="0">
      <formula>LEN(K48)&gt;0</formula>
    </cfRule>
  </conditionalFormatting>
  <conditionalFormatting sqref="K49">
    <cfRule type="expression" priority="33" dxfId="0">
      <formula>LEN(K49)&gt;0</formula>
    </cfRule>
  </conditionalFormatting>
  <conditionalFormatting sqref="K50">
    <cfRule type="expression" priority="34" dxfId="0">
      <formula>LEN(K50)&gt;0</formula>
    </cfRule>
  </conditionalFormatting>
  <conditionalFormatting sqref="K51">
    <cfRule type="expression" priority="35" dxfId="0">
      <formula>LEN(K51)&gt;0</formula>
    </cfRule>
  </conditionalFormatting>
  <conditionalFormatting sqref="K52">
    <cfRule type="expression" priority="36" dxfId="0">
      <formula>LEN(K52)&gt;0</formula>
    </cfRule>
  </conditionalFormatting>
  <conditionalFormatting sqref="K53">
    <cfRule type="expression" priority="37" dxfId="0">
      <formula>LEN(K53)&gt;0</formula>
    </cfRule>
  </conditionalFormatting>
  <conditionalFormatting sqref="K72">
    <cfRule type="expression" priority="38" dxfId="0">
      <formula>LEN(K72)&gt;0</formula>
    </cfRule>
  </conditionalFormatting>
  <conditionalFormatting sqref="K73">
    <cfRule type="expression" priority="39" dxfId="0">
      <formula>LEN(K73)&gt;0</formula>
    </cfRule>
  </conditionalFormatting>
  <conditionalFormatting sqref="K74">
    <cfRule type="expression" priority="40" dxfId="0">
      <formula>LEN(K74)&gt;0</formula>
    </cfRule>
  </conditionalFormatting>
  <conditionalFormatting sqref="K75">
    <cfRule type="expression" priority="41" dxfId="0">
      <formula>LEN(K75)&gt;0</formula>
    </cfRule>
  </conditionalFormatting>
  <conditionalFormatting sqref="K76">
    <cfRule type="expression" priority="42" dxfId="0">
      <formula>LEN(K76)&gt;0</formula>
    </cfRule>
  </conditionalFormatting>
  <conditionalFormatting sqref="K77">
    <cfRule type="expression" priority="43" dxfId="0">
      <formula>LEN(K77)&gt;0</formula>
    </cfRule>
  </conditionalFormatting>
  <conditionalFormatting sqref="K78">
    <cfRule type="expression" priority="44" dxfId="0">
      <formula>LEN(K78)&gt;0</formula>
    </cfRule>
  </conditionalFormatting>
  <conditionalFormatting sqref="K79">
    <cfRule type="expression" priority="45" dxfId="0">
      <formula>LEN(K79)&gt;0</formula>
    </cfRule>
  </conditionalFormatting>
  <conditionalFormatting sqref="K80">
    <cfRule type="expression" priority="46" dxfId="0">
      <formula>LEN(K80)&gt;0</formula>
    </cfRule>
  </conditionalFormatting>
  <conditionalFormatting sqref="K81">
    <cfRule type="expression" priority="47" dxfId="0">
      <formula>LEN(K81)&gt;0</formula>
    </cfRule>
  </conditionalFormatting>
  <conditionalFormatting sqref="K82">
    <cfRule type="expression" priority="48" dxfId="0">
      <formula>LEN(K82)&gt;0</formula>
    </cfRule>
  </conditionalFormatting>
  <conditionalFormatting sqref="K83">
    <cfRule type="expression" priority="49" dxfId="0">
      <formula>LEN(K83)&gt;0</formula>
    </cfRule>
  </conditionalFormatting>
  <conditionalFormatting sqref="K88">
    <cfRule type="expression" priority="50" dxfId="0">
      <formula>LEN(K88)&gt;0</formula>
    </cfRule>
  </conditionalFormatting>
  <conditionalFormatting sqref="K89">
    <cfRule type="expression" priority="51" dxfId="0">
      <formula>LEN(K89)&gt;0</formula>
    </cfRule>
  </conditionalFormatting>
  <conditionalFormatting sqref="K90">
    <cfRule type="expression" priority="52" dxfId="0">
      <formula>LEN(K90)&gt;0</formula>
    </cfRule>
  </conditionalFormatting>
  <conditionalFormatting sqref="K91">
    <cfRule type="expression" priority="53" dxfId="0">
      <formula>LEN(K91)&gt;0</formula>
    </cfRule>
  </conditionalFormatting>
  <conditionalFormatting sqref="K92">
    <cfRule type="expression" priority="54" dxfId="0">
      <formula>LEN(K92)&gt;0</formula>
    </cfRule>
  </conditionalFormatting>
  <conditionalFormatting sqref="K93">
    <cfRule type="expression" priority="55" dxfId="0">
      <formula>LEN(K93)&gt;0</formula>
    </cfRule>
  </conditionalFormatting>
  <conditionalFormatting sqref="K94">
    <cfRule type="expression" priority="56" dxfId="0">
      <formula>LEN(K94)&gt;0</formula>
    </cfRule>
  </conditionalFormatting>
  <conditionalFormatting sqref="K95">
    <cfRule type="expression" priority="57" dxfId="0">
      <formula>LEN(K95)&gt;0</formula>
    </cfRule>
  </conditionalFormatting>
  <conditionalFormatting sqref="K96">
    <cfRule type="expression" priority="58" dxfId="0">
      <formula>LEN(K96)&gt;0</formula>
    </cfRule>
  </conditionalFormatting>
  <conditionalFormatting sqref="K97">
    <cfRule type="expression" priority="59" dxfId="0">
      <formula>LEN(K97)&gt;0</formula>
    </cfRule>
  </conditionalFormatting>
  <conditionalFormatting sqref="K98">
    <cfRule type="expression" priority="60" dxfId="0">
      <formula>LEN(K98)&gt;0</formula>
    </cfRule>
  </conditionalFormatting>
  <conditionalFormatting sqref="K99">
    <cfRule type="expression" priority="61" dxfId="0">
      <formula>LEN(K99)&gt;0</formula>
    </cfRule>
  </conditionalFormatting>
  <conditionalFormatting sqref="K101">
    <cfRule type="expression" priority="62" dxfId="0">
      <formula>LEN(K101)&gt;0</formula>
    </cfRule>
  </conditionalFormatting>
  <conditionalFormatting sqref="K102">
    <cfRule type="expression" priority="63" dxfId="0">
      <formula>LEN(K102)&gt;0</formula>
    </cfRule>
  </conditionalFormatting>
  <conditionalFormatting sqref="K103">
    <cfRule type="expression" priority="64" dxfId="0">
      <formula>LEN(K103)&gt;0</formula>
    </cfRule>
  </conditionalFormatting>
  <conditionalFormatting sqref="K104">
    <cfRule type="expression" priority="65" dxfId="0">
      <formula>LEN(K104)&gt;0</formula>
    </cfRule>
  </conditionalFormatting>
  <conditionalFormatting sqref="K105">
    <cfRule type="expression" priority="66" dxfId="0">
      <formula>LEN(K105)&gt;0</formula>
    </cfRule>
  </conditionalFormatting>
  <conditionalFormatting sqref="K106">
    <cfRule type="expression" priority="67" dxfId="0">
      <formula>LEN(K106)&gt;0</formula>
    </cfRule>
  </conditionalFormatting>
  <conditionalFormatting sqref="K107">
    <cfRule type="expression" priority="68" dxfId="0">
      <formula>LEN(K107)&gt;0</formula>
    </cfRule>
  </conditionalFormatting>
  <conditionalFormatting sqref="K108">
    <cfRule type="expression" priority="69" dxfId="0">
      <formula>LEN(K108)&gt;0</formula>
    </cfRule>
  </conditionalFormatting>
  <conditionalFormatting sqref="K109">
    <cfRule type="expression" priority="70" dxfId="0">
      <formula>LEN(K109)&gt;0</formula>
    </cfRule>
  </conditionalFormatting>
  <conditionalFormatting sqref="K110">
    <cfRule type="expression" priority="71" dxfId="0">
      <formula>LEN(K110)&gt;0</formula>
    </cfRule>
  </conditionalFormatting>
  <conditionalFormatting sqref="K111">
    <cfRule type="expression" priority="72" dxfId="0">
      <formula>LEN(K111)&gt;0</formula>
    </cfRule>
  </conditionalFormatting>
  <conditionalFormatting sqref="K112">
    <cfRule type="expression" priority="73" dxfId="0">
      <formula>LEN(K112)&gt;0</formula>
    </cfRule>
  </conditionalFormatting>
  <conditionalFormatting sqref="K116">
    <cfRule type="expression" priority="74" dxfId="0">
      <formula>LEN(K116)&gt;0</formula>
    </cfRule>
  </conditionalFormatting>
  <conditionalFormatting sqref="K117">
    <cfRule type="expression" priority="75" dxfId="0">
      <formula>LEN(K117)&gt;0</formula>
    </cfRule>
  </conditionalFormatting>
  <conditionalFormatting sqref="K118">
    <cfRule type="expression" priority="76" dxfId="0">
      <formula>LEN(K118)&gt;0</formula>
    </cfRule>
  </conditionalFormatting>
  <conditionalFormatting sqref="K119">
    <cfRule type="expression" priority="77" dxfId="0">
      <formula>LEN(K119)&gt;0</formula>
    </cfRule>
  </conditionalFormatting>
  <conditionalFormatting sqref="K120">
    <cfRule type="expression" priority="78" dxfId="0">
      <formula>LEN(K120)&gt;0</formula>
    </cfRule>
  </conditionalFormatting>
  <conditionalFormatting sqref="K121">
    <cfRule type="expression" priority="79" dxfId="0">
      <formula>LEN(K121)&gt;0</formula>
    </cfRule>
  </conditionalFormatting>
  <conditionalFormatting sqref="K122">
    <cfRule type="expression" priority="80" dxfId="0">
      <formula>LEN(K122)&gt;0</formula>
    </cfRule>
  </conditionalFormatting>
  <conditionalFormatting sqref="K123">
    <cfRule type="expression" priority="81" dxfId="0">
      <formula>LEN(K123)&gt;0</formula>
    </cfRule>
  </conditionalFormatting>
  <conditionalFormatting sqref="K124">
    <cfRule type="expression" priority="82" dxfId="0">
      <formula>LEN(K124)&gt;0</formula>
    </cfRule>
  </conditionalFormatting>
  <conditionalFormatting sqref="K125">
    <cfRule type="expression" priority="83" dxfId="0">
      <formula>LEN(K125)&gt;0</formula>
    </cfRule>
  </conditionalFormatting>
  <conditionalFormatting sqref="K126">
    <cfRule type="expression" priority="84" dxfId="0">
      <formula>LEN(K126)&gt;0</formula>
    </cfRule>
  </conditionalFormatting>
  <conditionalFormatting sqref="K127">
    <cfRule type="expression" priority="85" dxfId="0">
      <formula>LEN(K127)&gt;0</formula>
    </cfRule>
  </conditionalFormatting>
  <conditionalFormatting sqref="K129">
    <cfRule type="expression" priority="86" dxfId="0">
      <formula>LEN(K129)&gt;0</formula>
    </cfRule>
  </conditionalFormatting>
  <conditionalFormatting sqref="K130">
    <cfRule type="expression" priority="87" dxfId="0">
      <formula>LEN(K130)&gt;0</formula>
    </cfRule>
  </conditionalFormatting>
  <conditionalFormatting sqref="K131">
    <cfRule type="expression" priority="88" dxfId="0">
      <formula>LEN(K131)&gt;0</formula>
    </cfRule>
  </conditionalFormatting>
  <conditionalFormatting sqref="K132">
    <cfRule type="expression" priority="89" dxfId="0">
      <formula>LEN(K132)&gt;0</formula>
    </cfRule>
  </conditionalFormatting>
  <conditionalFormatting sqref="K133">
    <cfRule type="expression" priority="90" dxfId="0">
      <formula>LEN(K133)&gt;0</formula>
    </cfRule>
  </conditionalFormatting>
  <conditionalFormatting sqref="K134">
    <cfRule type="expression" priority="91" dxfId="0">
      <formula>LEN(K134)&gt;0</formula>
    </cfRule>
  </conditionalFormatting>
  <conditionalFormatting sqref="K135">
    <cfRule type="expression" priority="92" dxfId="0">
      <formula>LEN(K135)&gt;0</formula>
    </cfRule>
  </conditionalFormatting>
  <conditionalFormatting sqref="K136">
    <cfRule type="expression" priority="93" dxfId="0">
      <formula>LEN(K136)&gt;0</formula>
    </cfRule>
  </conditionalFormatting>
  <conditionalFormatting sqref="K137">
    <cfRule type="expression" priority="94" dxfId="0">
      <formula>LEN(K137)&gt;0</formula>
    </cfRule>
  </conditionalFormatting>
  <conditionalFormatting sqref="K138">
    <cfRule type="expression" priority="95" dxfId="0">
      <formula>LEN(K138)&gt;0</formula>
    </cfRule>
  </conditionalFormatting>
  <conditionalFormatting sqref="K139">
    <cfRule type="expression" priority="96" dxfId="0">
      <formula>LEN(K139)&gt;0</formula>
    </cfRule>
  </conditionalFormatting>
  <conditionalFormatting sqref="K140">
    <cfRule type="expression" priority="97" dxfId="0">
      <formula>LEN(K140)&gt;0</formula>
    </cfRule>
  </conditionalFormatting>
  <conditionalFormatting sqref="K142">
    <cfRule type="expression" priority="98" dxfId="0">
      <formula>LEN(K142)&gt;0</formula>
    </cfRule>
  </conditionalFormatting>
  <conditionalFormatting sqref="K143">
    <cfRule type="expression" priority="99" dxfId="0">
      <formula>LEN(K143)&gt;0</formula>
    </cfRule>
  </conditionalFormatting>
  <conditionalFormatting sqref="K144">
    <cfRule type="expression" priority="100" dxfId="0">
      <formula>LEN(K144)&gt;0</formula>
    </cfRule>
  </conditionalFormatting>
  <conditionalFormatting sqref="K145">
    <cfRule type="expression" priority="101" dxfId="0">
      <formula>LEN(K145)&gt;0</formula>
    </cfRule>
  </conditionalFormatting>
  <conditionalFormatting sqref="K146">
    <cfRule type="expression" priority="102" dxfId="0">
      <formula>LEN(K146)&gt;0</formula>
    </cfRule>
  </conditionalFormatting>
  <conditionalFormatting sqref="K147">
    <cfRule type="expression" priority="103" dxfId="0">
      <formula>LEN(K147)&gt;0</formula>
    </cfRule>
  </conditionalFormatting>
  <conditionalFormatting sqref="K148">
    <cfRule type="expression" priority="104" dxfId="0">
      <formula>LEN(K148)&gt;0</formula>
    </cfRule>
  </conditionalFormatting>
  <conditionalFormatting sqref="K149">
    <cfRule type="expression" priority="105" dxfId="0">
      <formula>LEN(K149)&gt;0</formula>
    </cfRule>
  </conditionalFormatting>
  <conditionalFormatting sqref="K150">
    <cfRule type="expression" priority="106" dxfId="0">
      <formula>LEN(K150)&gt;0</formula>
    </cfRule>
  </conditionalFormatting>
  <conditionalFormatting sqref="K151">
    <cfRule type="expression" priority="107" dxfId="0">
      <formula>LEN(K151)&gt;0</formula>
    </cfRule>
  </conditionalFormatting>
  <conditionalFormatting sqref="K152">
    <cfRule type="expression" priority="108" dxfId="0">
      <formula>LEN(K152)&gt;0</formula>
    </cfRule>
  </conditionalFormatting>
  <conditionalFormatting sqref="K153">
    <cfRule type="expression" priority="109" dxfId="0">
      <formula>LEN(K153)&gt;0</formula>
    </cfRule>
  </conditionalFormatting>
  <conditionalFormatting sqref="K157">
    <cfRule type="expression" priority="110" dxfId="0">
      <formula>LEN(K157)&gt;0</formula>
    </cfRule>
  </conditionalFormatting>
  <conditionalFormatting sqref="K158">
    <cfRule type="expression" priority="111" dxfId="0">
      <formula>LEN(K158)&gt;0</formula>
    </cfRule>
  </conditionalFormatting>
  <conditionalFormatting sqref="K159">
    <cfRule type="expression" priority="112" dxfId="0">
      <formula>LEN(K159)&gt;0</formula>
    </cfRule>
  </conditionalFormatting>
  <conditionalFormatting sqref="K160">
    <cfRule type="expression" priority="113" dxfId="0">
      <formula>LEN(K160)&gt;0</formula>
    </cfRule>
  </conditionalFormatting>
  <conditionalFormatting sqref="K161">
    <cfRule type="expression" priority="114" dxfId="0">
      <formula>LEN(K161)&gt;0</formula>
    </cfRule>
  </conditionalFormatting>
  <conditionalFormatting sqref="K162">
    <cfRule type="expression" priority="115" dxfId="0">
      <formula>LEN(K162)&gt;0</formula>
    </cfRule>
  </conditionalFormatting>
  <conditionalFormatting sqref="K163">
    <cfRule type="expression" priority="116" dxfId="0">
      <formula>LEN(K163)&gt;0</formula>
    </cfRule>
  </conditionalFormatting>
  <conditionalFormatting sqref="K164">
    <cfRule type="expression" priority="117" dxfId="0">
      <formula>LEN(K164)&gt;0</formula>
    </cfRule>
  </conditionalFormatting>
  <conditionalFormatting sqref="K165">
    <cfRule type="expression" priority="118" dxfId="0">
      <formula>LEN(K165)&gt;0</formula>
    </cfRule>
  </conditionalFormatting>
  <conditionalFormatting sqref="K166">
    <cfRule type="expression" priority="119" dxfId="0">
      <formula>LEN(K166)&gt;0</formula>
    </cfRule>
  </conditionalFormatting>
  <conditionalFormatting sqref="K167">
    <cfRule type="expression" priority="120" dxfId="0">
      <formula>LEN(K167)&gt;0</formula>
    </cfRule>
  </conditionalFormatting>
  <conditionalFormatting sqref="K168">
    <cfRule type="expression" priority="121" dxfId="0">
      <formula>LEN(K168)&gt;0</formula>
    </cfRule>
  </conditionalFormatting>
  <conditionalFormatting sqref="K170">
    <cfRule type="expression" priority="122" dxfId="0">
      <formula>LEN(K170)&gt;0</formula>
    </cfRule>
  </conditionalFormatting>
  <conditionalFormatting sqref="K171">
    <cfRule type="expression" priority="123" dxfId="0">
      <formula>LEN(K171)&gt;0</formula>
    </cfRule>
  </conditionalFormatting>
  <conditionalFormatting sqref="K172">
    <cfRule type="expression" priority="124" dxfId="0">
      <formula>LEN(K172)&gt;0</formula>
    </cfRule>
  </conditionalFormatting>
  <conditionalFormatting sqref="K173">
    <cfRule type="expression" priority="125" dxfId="0">
      <formula>LEN(K173)&gt;0</formula>
    </cfRule>
  </conditionalFormatting>
  <conditionalFormatting sqref="K174">
    <cfRule type="expression" priority="126" dxfId="0">
      <formula>LEN(K174)&gt;0</formula>
    </cfRule>
  </conditionalFormatting>
  <conditionalFormatting sqref="K175">
    <cfRule type="expression" priority="127" dxfId="0">
      <formula>LEN(K175)&gt;0</formula>
    </cfRule>
  </conditionalFormatting>
  <conditionalFormatting sqref="K176">
    <cfRule type="expression" priority="128" dxfId="0">
      <formula>LEN(K176)&gt;0</formula>
    </cfRule>
  </conditionalFormatting>
  <conditionalFormatting sqref="K177">
    <cfRule type="expression" priority="129" dxfId="0">
      <formula>LEN(K177)&gt;0</formula>
    </cfRule>
  </conditionalFormatting>
  <conditionalFormatting sqref="K178">
    <cfRule type="expression" priority="130" dxfId="0">
      <formula>LEN(K178)&gt;0</formula>
    </cfRule>
  </conditionalFormatting>
  <conditionalFormatting sqref="K179">
    <cfRule type="expression" priority="131" dxfId="0">
      <formula>LEN(K179)&gt;0</formula>
    </cfRule>
  </conditionalFormatting>
  <conditionalFormatting sqref="K180">
    <cfRule type="expression" priority="132" dxfId="0">
      <formula>LEN(K180)&gt;0</formula>
    </cfRule>
  </conditionalFormatting>
  <conditionalFormatting sqref="K181">
    <cfRule type="expression" priority="133" dxfId="0">
      <formula>LEN(K181)&gt;0</formula>
    </cfRule>
  </conditionalFormatting>
  <conditionalFormatting sqref="K183">
    <cfRule type="expression" priority="134" dxfId="0">
      <formula>LEN(K183)&gt;0</formula>
    </cfRule>
  </conditionalFormatting>
  <conditionalFormatting sqref="K184">
    <cfRule type="expression" priority="135" dxfId="0">
      <formula>LEN(K184)&gt;0</formula>
    </cfRule>
  </conditionalFormatting>
  <conditionalFormatting sqref="K185">
    <cfRule type="expression" priority="136" dxfId="0">
      <formula>LEN(K185)&gt;0</formula>
    </cfRule>
  </conditionalFormatting>
  <conditionalFormatting sqref="K186">
    <cfRule type="expression" priority="137" dxfId="0">
      <formula>LEN(K186)&gt;0</formula>
    </cfRule>
  </conditionalFormatting>
  <conditionalFormatting sqref="K187">
    <cfRule type="expression" priority="138" dxfId="0">
      <formula>LEN(K187)&gt;0</formula>
    </cfRule>
  </conditionalFormatting>
  <conditionalFormatting sqref="K188">
    <cfRule type="expression" priority="139" dxfId="0">
      <formula>LEN(K188)&gt;0</formula>
    </cfRule>
  </conditionalFormatting>
  <conditionalFormatting sqref="K189">
    <cfRule type="expression" priority="140" dxfId="0">
      <formula>LEN(K189)&gt;0</formula>
    </cfRule>
  </conditionalFormatting>
  <conditionalFormatting sqref="K190">
    <cfRule type="expression" priority="141" dxfId="0">
      <formula>LEN(K190)&gt;0</formula>
    </cfRule>
  </conditionalFormatting>
  <conditionalFormatting sqref="K191">
    <cfRule type="expression" priority="142" dxfId="0">
      <formula>LEN(K191)&gt;0</formula>
    </cfRule>
  </conditionalFormatting>
  <conditionalFormatting sqref="K192">
    <cfRule type="expression" priority="143" dxfId="0">
      <formula>LEN(K192)&gt;0</formula>
    </cfRule>
  </conditionalFormatting>
  <conditionalFormatting sqref="K193">
    <cfRule type="expression" priority="144" dxfId="0">
      <formula>LEN(K193)&gt;0</formula>
    </cfRule>
  </conditionalFormatting>
  <conditionalFormatting sqref="K194">
    <cfRule type="expression" priority="145" dxfId="0">
      <formula>LEN(K194)&gt;0</formula>
    </cfRule>
  </conditionalFormatting>
  <dataValidations count="710">
    <dataValidation sqref="B7" showDropDown="0" showInputMessage="0" showErrorMessage="1" allowBlank="1" errorTitle="Valor fora da faixa" error="Rolagem nº: use um número inteiro de 1 a 1000000." type="whole" errorStyle="warning" operator="between">
      <formula1>1</formula1>
      <formula2>1000000</formula2>
    </dataValidation>
    <dataValidation sqref="A11" showDropDown="0" showInputMessage="0" showErrorMessage="1" allowBlank="1" errorTitle="Texto longo" error="Nome do inimigo: até 30 caracteres." type="textLength" errorStyle="warning" operator="lessThanOrEqual">
      <formula1>30</formula1>
    </dataValidation>
    <dataValidation sqref="B11" showDropDown="0" showInputMessage="0" showErrorMessage="1" allowBlank="1" errorTitle="Fora da lista" error="Modo: escolha um valor da lista. A planilha pode não reconhecer outro valor." type="list" errorStyle="warning">
      <formula1>'Dados'!$AQ$6:$AQ$8</formula1>
    </dataValidation>
    <dataValidation sqref="D11" showDropDown="0" showInputMessage="0" showErrorMessage="1" allowBlank="1" errorTitle="Fora da lista" error="Base do bestiário: escolha um valor da lista. A planilha pode não reconhecer outro valor." type="list" errorStyle="warning">
      <formula1>'Dados'!$AW$6:$AW$37</formula1>
    </dataValidation>
    <dataValidation sqref="G11" showDropDown="0" showInputMessage="0" showErrorMessage="1" allowBlank="1" errorTitle="Fora da lista" error="Faixa: escolha um valor da lista. A planilha pode não reconhecer outro valor." type="list" errorStyle="warning">
      <formula1>'Dados'!$AP$6:$AP$10</formula1>
    </dataValidation>
    <dataValidation sqref="H11" showDropDown="0" showInputMessage="0" showErrorMessage="1" allowBlank="1" errorTitle="Valor fora da faixa" error="Nível: use um número inteiro de 1 a 20." type="whole" errorStyle="warning" operator="between">
      <formula1>1</formula1>
      <formula2>20</formula2>
    </dataValidation>
    <dataValidation sqref="I11" showDropDown="0" showInputMessage="0" showErrorMessage="1" allowBlank="1" errorTitle="Fora da lista" error="Tipo: escolha um valor da lista. A planilha pode não reconhecer outro valor." type="list" errorStyle="warning">
      <formula1>'Dados'!$AO$6:$AO$8</formula1>
    </dataValidation>
    <dataValidation sqref="J11" showDropDown="0" showInputMessage="0" showErrorMessage="1" allowBlank="1" errorTitle="Valor fora da faixa" error="Fases: use um número inteiro de 1 a 3." type="whole" errorStyle="warning" operator="between">
      <formula1>1</formula1>
      <formula2>3</formula2>
    </dataValidation>
    <dataValidation sqref="A12" showDropDown="0" showInputMessage="0" showErrorMessage="1" allowBlank="1" errorTitle="Texto longo" error="Nome do inimigo: até 30 caracteres." type="textLength" errorStyle="warning" operator="lessThanOrEqual">
      <formula1>30</formula1>
    </dataValidation>
    <dataValidation sqref="B12" showDropDown="0" showInputMessage="0" showErrorMessage="1" allowBlank="1" errorTitle="Fora da lista" error="Modo: escolha um valor da lista. A planilha pode não reconhecer outro valor." type="list" errorStyle="warning">
      <formula1>'Dados'!$AQ$6:$AQ$8</formula1>
    </dataValidation>
    <dataValidation sqref="D12" showDropDown="0" showInputMessage="0" showErrorMessage="1" allowBlank="1" errorTitle="Fora da lista" error="Base do bestiário: escolha um valor da lista. A planilha pode não reconhecer outro valor." type="list" errorStyle="warning">
      <formula1>'Dados'!$AW$6:$AW$37</formula1>
    </dataValidation>
    <dataValidation sqref="G12" showDropDown="0" showInputMessage="0" showErrorMessage="1" allowBlank="1" errorTitle="Fora da lista" error="Faixa: escolha um valor da lista. A planilha pode não reconhecer outro valor." type="list" errorStyle="warning">
      <formula1>'Dados'!$AP$6:$AP$10</formula1>
    </dataValidation>
    <dataValidation sqref="H12" showDropDown="0" showInputMessage="0" showErrorMessage="1" allowBlank="1" errorTitle="Valor fora da faixa" error="Nível: use um número inteiro de 1 a 20." type="whole" errorStyle="warning" operator="between">
      <formula1>1</formula1>
      <formula2>20</formula2>
    </dataValidation>
    <dataValidation sqref="I12" showDropDown="0" showInputMessage="0" showErrorMessage="1" allowBlank="1" errorTitle="Fora da lista" error="Tipo: escolha um valor da lista. A planilha pode não reconhecer outro valor." type="list" errorStyle="warning">
      <formula1>'Dados'!$AO$6:$AO$8</formula1>
    </dataValidation>
    <dataValidation sqref="J12" showDropDown="0" showInputMessage="0" showErrorMessage="1" allowBlank="1" errorTitle="Valor fora da faixa" error="Fases: use um número inteiro de 1 a 3." type="whole" errorStyle="warning" operator="between">
      <formula1>1</formula1>
      <formula2>3</formula2>
    </dataValidation>
    <dataValidation sqref="A13" showDropDown="0" showInputMessage="0" showErrorMessage="1" allowBlank="1" errorTitle="Texto longo" error="Nome do inimigo: até 30 caracteres." type="textLength" errorStyle="warning" operator="lessThanOrEqual">
      <formula1>30</formula1>
    </dataValidation>
    <dataValidation sqref="B13" showDropDown="0" showInputMessage="0" showErrorMessage="1" allowBlank="1" errorTitle="Fora da lista" error="Modo: escolha um valor da lista. A planilha pode não reconhecer outro valor." type="list" errorStyle="warning">
      <formula1>'Dados'!$AQ$6:$AQ$8</formula1>
    </dataValidation>
    <dataValidation sqref="D13" showDropDown="0" showInputMessage="0" showErrorMessage="1" allowBlank="1" errorTitle="Fora da lista" error="Base do bestiário: escolha um valor da lista. A planilha pode não reconhecer outro valor." type="list" errorStyle="warning">
      <formula1>'Dados'!$AW$6:$AW$37</formula1>
    </dataValidation>
    <dataValidation sqref="G13" showDropDown="0" showInputMessage="0" showErrorMessage="1" allowBlank="1" errorTitle="Fora da lista" error="Faixa: escolha um valor da lista. A planilha pode não reconhecer outro valor." type="list" errorStyle="warning">
      <formula1>'Dados'!$AP$6:$AP$10</formula1>
    </dataValidation>
    <dataValidation sqref="H13" showDropDown="0" showInputMessage="0" showErrorMessage="1" allowBlank="1" errorTitle="Valor fora da faixa" error="Nível: use um número inteiro de 1 a 20." type="whole" errorStyle="warning" operator="between">
      <formula1>1</formula1>
      <formula2>20</formula2>
    </dataValidation>
    <dataValidation sqref="I13" showDropDown="0" showInputMessage="0" showErrorMessage="1" allowBlank="1" errorTitle="Fora da lista" error="Tipo: escolha um valor da lista. A planilha pode não reconhecer outro valor." type="list" errorStyle="warning">
      <formula1>'Dados'!$AO$6:$AO$8</formula1>
    </dataValidation>
    <dataValidation sqref="J13" showDropDown="0" showInputMessage="0" showErrorMessage="1" allowBlank="1" errorTitle="Valor fora da faixa" error="Fases: use um número inteiro de 1 a 3." type="whole" errorStyle="warning" operator="between">
      <formula1>1</formula1>
      <formula2>3</formula2>
    </dataValidation>
    <dataValidation sqref="A14" showDropDown="0" showInputMessage="0" showErrorMessage="1" allowBlank="1" errorTitle="Texto longo" error="Nome do inimigo: até 30 caracteres." type="textLength" errorStyle="warning" operator="lessThanOrEqual">
      <formula1>30</formula1>
    </dataValidation>
    <dataValidation sqref="B14" showDropDown="0" showInputMessage="0" showErrorMessage="1" allowBlank="1" errorTitle="Fora da lista" error="Modo: escolha um valor da lista. A planilha pode não reconhecer outro valor." type="list" errorStyle="warning">
      <formula1>'Dados'!$AQ$6:$AQ$8</formula1>
    </dataValidation>
    <dataValidation sqref="D14" showDropDown="0" showInputMessage="0" showErrorMessage="1" allowBlank="1" errorTitle="Fora da lista" error="Base do bestiário: escolha um valor da lista. A planilha pode não reconhecer outro valor." type="list" errorStyle="warning">
      <formula1>'Dados'!$AW$6:$AW$37</formula1>
    </dataValidation>
    <dataValidation sqref="G14" showDropDown="0" showInputMessage="0" showErrorMessage="1" allowBlank="1" errorTitle="Fora da lista" error="Faixa: escolha um valor da lista. A planilha pode não reconhecer outro valor." type="list" errorStyle="warning">
      <formula1>'Dados'!$AP$6:$AP$10</formula1>
    </dataValidation>
    <dataValidation sqref="H14" showDropDown="0" showInputMessage="0" showErrorMessage="1" allowBlank="1" errorTitle="Valor fora da faixa" error="Nível: use um número inteiro de 1 a 20." type="whole" errorStyle="warning" operator="between">
      <formula1>1</formula1>
      <formula2>20</formula2>
    </dataValidation>
    <dataValidation sqref="I14" showDropDown="0" showInputMessage="0" showErrorMessage="1" allowBlank="1" errorTitle="Fora da lista" error="Tipo: escolha um valor da lista. A planilha pode não reconhecer outro valor." type="list" errorStyle="warning">
      <formula1>'Dados'!$AO$6:$AO$8</formula1>
    </dataValidation>
    <dataValidation sqref="J14" showDropDown="0" showInputMessage="0" showErrorMessage="1" allowBlank="1" errorTitle="Valor fora da faixa" error="Fases: use um número inteiro de 1 a 3." type="whole" errorStyle="warning" operator="between">
      <formula1>1</formula1>
      <formula2>3</formula2>
    </dataValidation>
    <dataValidation sqref="A15" showDropDown="0" showInputMessage="0" showErrorMessage="1" allowBlank="1" errorTitle="Texto longo" error="Nome do inimigo: até 30 caracteres." type="textLength" errorStyle="warning" operator="lessThanOrEqual">
      <formula1>30</formula1>
    </dataValidation>
    <dataValidation sqref="B15" showDropDown="0" showInputMessage="0" showErrorMessage="1" allowBlank="1" errorTitle="Fora da lista" error="Modo: escolha um valor da lista. A planilha pode não reconhecer outro valor." type="list" errorStyle="warning">
      <formula1>'Dados'!$AQ$6:$AQ$8</formula1>
    </dataValidation>
    <dataValidation sqref="D15" showDropDown="0" showInputMessage="0" showErrorMessage="1" allowBlank="1" errorTitle="Fora da lista" error="Base do bestiário: escolha um valor da lista. A planilha pode não reconhecer outro valor." type="list" errorStyle="warning">
      <formula1>'Dados'!$AW$6:$AW$37</formula1>
    </dataValidation>
    <dataValidation sqref="G15" showDropDown="0" showInputMessage="0" showErrorMessage="1" allowBlank="1" errorTitle="Fora da lista" error="Faixa: escolha um valor da lista. A planilha pode não reconhecer outro valor." type="list" errorStyle="warning">
      <formula1>'Dados'!$AP$6:$AP$10</formula1>
    </dataValidation>
    <dataValidation sqref="H15" showDropDown="0" showInputMessage="0" showErrorMessage="1" allowBlank="1" errorTitle="Valor fora da faixa" error="Nível: use um número inteiro de 1 a 20." type="whole" errorStyle="warning" operator="between">
      <formula1>1</formula1>
      <formula2>20</formula2>
    </dataValidation>
    <dataValidation sqref="I15" showDropDown="0" showInputMessage="0" showErrorMessage="1" allowBlank="1" errorTitle="Fora da lista" error="Tipo: escolha um valor da lista. A planilha pode não reconhecer outro valor." type="list" errorStyle="warning">
      <formula1>'Dados'!$AO$6:$AO$8</formula1>
    </dataValidation>
    <dataValidation sqref="J15" showDropDown="0" showInputMessage="0" showErrorMessage="1" allowBlank="1" errorTitle="Valor fora da faixa" error="Fases: use um número inteiro de 1 a 3." type="whole" errorStyle="warning" operator="between">
      <formula1>1</formula1>
      <formula2>3</formula2>
    </dataValidation>
    <dataValidation sqref="A16" showDropDown="0" showInputMessage="0" showErrorMessage="1" allowBlank="1" errorTitle="Texto longo" error="Nome do inimigo: até 30 caracteres." type="textLength" errorStyle="warning" operator="lessThanOrEqual">
      <formula1>30</formula1>
    </dataValidation>
    <dataValidation sqref="B16" showDropDown="0" showInputMessage="0" showErrorMessage="1" allowBlank="1" errorTitle="Fora da lista" error="Modo: escolha um valor da lista. A planilha pode não reconhecer outro valor." type="list" errorStyle="warning">
      <formula1>'Dados'!$AQ$6:$AQ$8</formula1>
    </dataValidation>
    <dataValidation sqref="D16" showDropDown="0" showInputMessage="0" showErrorMessage="1" allowBlank="1" errorTitle="Fora da lista" error="Base do bestiário: escolha um valor da lista. A planilha pode não reconhecer outro valor." type="list" errorStyle="warning">
      <formula1>'Dados'!$AW$6:$AW$37</formula1>
    </dataValidation>
    <dataValidation sqref="G16" showDropDown="0" showInputMessage="0" showErrorMessage="1" allowBlank="1" errorTitle="Fora da lista" error="Faixa: escolha um valor da lista. A planilha pode não reconhecer outro valor." type="list" errorStyle="warning">
      <formula1>'Dados'!$AP$6:$AP$10</formula1>
    </dataValidation>
    <dataValidation sqref="H16" showDropDown="0" showInputMessage="0" showErrorMessage="1" allowBlank="1" errorTitle="Valor fora da faixa" error="Nível: use um número inteiro de 1 a 20." type="whole" errorStyle="warning" operator="between">
      <formula1>1</formula1>
      <formula2>20</formula2>
    </dataValidation>
    <dataValidation sqref="I16" showDropDown="0" showInputMessage="0" showErrorMessage="1" allowBlank="1" errorTitle="Fora da lista" error="Tipo: escolha um valor da lista. A planilha pode não reconhecer outro valor." type="list" errorStyle="warning">
      <formula1>'Dados'!$AO$6:$AO$8</formula1>
    </dataValidation>
    <dataValidation sqref="J16" showDropDown="0" showInputMessage="0" showErrorMessage="1" allowBlank="1" errorTitle="Valor fora da faixa" error="Fases: use um número inteiro de 1 a 3." type="whole" errorStyle="warning" operator="between">
      <formula1>1</formula1>
      <formula2>3</formula2>
    </dataValidation>
    <dataValidation sqref="A17" showDropDown="0" showInputMessage="0" showErrorMessage="1" allowBlank="1" errorTitle="Texto longo" error="Nome do inimigo: até 30 caracteres." type="textLength" errorStyle="warning" operator="lessThanOrEqual">
      <formula1>30</formula1>
    </dataValidation>
    <dataValidation sqref="B17" showDropDown="0" showInputMessage="0" showErrorMessage="1" allowBlank="1" errorTitle="Fora da lista" error="Modo: escolha um valor da lista. A planilha pode não reconhecer outro valor." type="list" errorStyle="warning">
      <formula1>'Dados'!$AQ$6:$AQ$8</formula1>
    </dataValidation>
    <dataValidation sqref="D17" showDropDown="0" showInputMessage="0" showErrorMessage="1" allowBlank="1" errorTitle="Fora da lista" error="Base do bestiário: escolha um valor da lista. A planilha pode não reconhecer outro valor." type="list" errorStyle="warning">
      <formula1>'Dados'!$AW$6:$AW$37</formula1>
    </dataValidation>
    <dataValidation sqref="G17" showDropDown="0" showInputMessage="0" showErrorMessage="1" allowBlank="1" errorTitle="Fora da lista" error="Faixa: escolha um valor da lista. A planilha pode não reconhecer outro valor." type="list" errorStyle="warning">
      <formula1>'Dados'!$AP$6:$AP$10</formula1>
    </dataValidation>
    <dataValidation sqref="H17" showDropDown="0" showInputMessage="0" showErrorMessage="1" allowBlank="1" errorTitle="Valor fora da faixa" error="Nível: use um número inteiro de 1 a 20." type="whole" errorStyle="warning" operator="between">
      <formula1>1</formula1>
      <formula2>20</formula2>
    </dataValidation>
    <dataValidation sqref="I17" showDropDown="0" showInputMessage="0" showErrorMessage="1" allowBlank="1" errorTitle="Fora da lista" error="Tipo: escolha um valor da lista. A planilha pode não reconhecer outro valor." type="list" errorStyle="warning">
      <formula1>'Dados'!$AO$6:$AO$8</formula1>
    </dataValidation>
    <dataValidation sqref="J17" showDropDown="0" showInputMessage="0" showErrorMessage="1" allowBlank="1" errorTitle="Valor fora da faixa" error="Fases: use um número inteiro de 1 a 3." type="whole" errorStyle="warning" operator="between">
      <formula1>1</formula1>
      <formula2>3</formula2>
    </dataValidation>
    <dataValidation sqref="A18" showDropDown="0" showInputMessage="0" showErrorMessage="1" allowBlank="1" errorTitle="Texto longo" error="Nome do inimigo: até 30 caracteres." type="textLength" errorStyle="warning" operator="lessThanOrEqual">
      <formula1>30</formula1>
    </dataValidation>
    <dataValidation sqref="B18" showDropDown="0" showInputMessage="0" showErrorMessage="1" allowBlank="1" errorTitle="Fora da lista" error="Modo: escolha um valor da lista. A planilha pode não reconhecer outro valor." type="list" errorStyle="warning">
      <formula1>'Dados'!$AQ$6:$AQ$8</formula1>
    </dataValidation>
    <dataValidation sqref="D18" showDropDown="0" showInputMessage="0" showErrorMessage="1" allowBlank="1" errorTitle="Fora da lista" error="Base do bestiário: escolha um valor da lista. A planilha pode não reconhecer outro valor." type="list" errorStyle="warning">
      <formula1>'Dados'!$AW$6:$AW$37</formula1>
    </dataValidation>
    <dataValidation sqref="G18" showDropDown="0" showInputMessage="0" showErrorMessage="1" allowBlank="1" errorTitle="Fora da lista" error="Faixa: escolha um valor da lista. A planilha pode não reconhecer outro valor." type="list" errorStyle="warning">
      <formula1>'Dados'!$AP$6:$AP$10</formula1>
    </dataValidation>
    <dataValidation sqref="H18" showDropDown="0" showInputMessage="0" showErrorMessage="1" allowBlank="1" errorTitle="Valor fora da faixa" error="Nível: use um número inteiro de 1 a 20." type="whole" errorStyle="warning" operator="between">
      <formula1>1</formula1>
      <formula2>20</formula2>
    </dataValidation>
    <dataValidation sqref="I18" showDropDown="0" showInputMessage="0" showErrorMessage="1" allowBlank="1" errorTitle="Fora da lista" error="Tipo: escolha um valor da lista. A planilha pode não reconhecer outro valor." type="list" errorStyle="warning">
      <formula1>'Dados'!$AO$6:$AO$8</formula1>
    </dataValidation>
    <dataValidation sqref="J18" showDropDown="0" showInputMessage="0" showErrorMessage="1" allowBlank="1" errorTitle="Valor fora da faixa" error="Fases: use um número inteiro de 1 a 3." type="whole" errorStyle="warning" operator="between">
      <formula1>1</formula1>
      <formula2>3</formula2>
    </dataValidation>
    <dataValidation sqref="A19" showDropDown="0" showInputMessage="0" showErrorMessage="1" allowBlank="1" errorTitle="Texto longo" error="Nome do inimigo: até 30 caracteres." type="textLength" errorStyle="warning" operator="lessThanOrEqual">
      <formula1>30</formula1>
    </dataValidation>
    <dataValidation sqref="B19" showDropDown="0" showInputMessage="0" showErrorMessage="1" allowBlank="1" errorTitle="Fora da lista" error="Modo: escolha um valor da lista. A planilha pode não reconhecer outro valor." type="list" errorStyle="warning">
      <formula1>'Dados'!$AQ$6:$AQ$8</formula1>
    </dataValidation>
    <dataValidation sqref="D19" showDropDown="0" showInputMessage="0" showErrorMessage="1" allowBlank="1" errorTitle="Fora da lista" error="Base do bestiário: escolha um valor da lista. A planilha pode não reconhecer outro valor." type="list" errorStyle="warning">
      <formula1>'Dados'!$AW$6:$AW$37</formula1>
    </dataValidation>
    <dataValidation sqref="G19" showDropDown="0" showInputMessage="0" showErrorMessage="1" allowBlank="1" errorTitle="Fora da lista" error="Faixa: escolha um valor da lista. A planilha pode não reconhecer outro valor." type="list" errorStyle="warning">
      <formula1>'Dados'!$AP$6:$AP$10</formula1>
    </dataValidation>
    <dataValidation sqref="H19" showDropDown="0" showInputMessage="0" showErrorMessage="1" allowBlank="1" errorTitle="Valor fora da faixa" error="Nível: use um número inteiro de 1 a 20." type="whole" errorStyle="warning" operator="between">
      <formula1>1</formula1>
      <formula2>20</formula2>
    </dataValidation>
    <dataValidation sqref="I19" showDropDown="0" showInputMessage="0" showErrorMessage="1" allowBlank="1" errorTitle="Fora da lista" error="Tipo: escolha um valor da lista. A planilha pode não reconhecer outro valor." type="list" errorStyle="warning">
      <formula1>'Dados'!$AO$6:$AO$8</formula1>
    </dataValidation>
    <dataValidation sqref="J19" showDropDown="0" showInputMessage="0" showErrorMessage="1" allowBlank="1" errorTitle="Valor fora da faixa" error="Fases: use um número inteiro de 1 a 3." type="whole" errorStyle="warning" operator="between">
      <formula1>1</formula1>
      <formula2>3</formula2>
    </dataValidation>
    <dataValidation sqref="A20" showDropDown="0" showInputMessage="0" showErrorMessage="1" allowBlank="1" errorTitle="Texto longo" error="Nome do inimigo: até 30 caracteres." type="textLength" errorStyle="warning" operator="lessThanOrEqual">
      <formula1>30</formula1>
    </dataValidation>
    <dataValidation sqref="B20" showDropDown="0" showInputMessage="0" showErrorMessage="1" allowBlank="1" errorTitle="Fora da lista" error="Modo: escolha um valor da lista. A planilha pode não reconhecer outro valor." type="list" errorStyle="warning">
      <formula1>'Dados'!$AQ$6:$AQ$8</formula1>
    </dataValidation>
    <dataValidation sqref="D20" showDropDown="0" showInputMessage="0" showErrorMessage="1" allowBlank="1" errorTitle="Fora da lista" error="Base do bestiário: escolha um valor da lista. A planilha pode não reconhecer outro valor." type="list" errorStyle="warning">
      <formula1>'Dados'!$AW$6:$AW$37</formula1>
    </dataValidation>
    <dataValidation sqref="G20" showDropDown="0" showInputMessage="0" showErrorMessage="1" allowBlank="1" errorTitle="Fora da lista" error="Faixa: escolha um valor da lista. A planilha pode não reconhecer outro valor." type="list" errorStyle="warning">
      <formula1>'Dados'!$AP$6:$AP$10</formula1>
    </dataValidation>
    <dataValidation sqref="H20" showDropDown="0" showInputMessage="0" showErrorMessage="1" allowBlank="1" errorTitle="Valor fora da faixa" error="Nível: use um número inteiro de 1 a 20." type="whole" errorStyle="warning" operator="between">
      <formula1>1</formula1>
      <formula2>20</formula2>
    </dataValidation>
    <dataValidation sqref="I20" showDropDown="0" showInputMessage="0" showErrorMessage="1" allowBlank="1" errorTitle="Fora da lista" error="Tipo: escolha um valor da lista. A planilha pode não reconhecer outro valor." type="list" errorStyle="warning">
      <formula1>'Dados'!$AO$6:$AO$8</formula1>
    </dataValidation>
    <dataValidation sqref="J20" showDropDown="0" showInputMessage="0" showErrorMessage="1" allowBlank="1" errorTitle="Valor fora da faixa" error="Fases: use um número inteiro de 1 a 3." type="whole" errorStyle="warning" operator="between">
      <formula1>1</formula1>
      <formula2>3</formula2>
    </dataValidation>
    <dataValidation sqref="A21" showDropDown="0" showInputMessage="0" showErrorMessage="1" allowBlank="1" errorTitle="Texto longo" error="Nome do inimigo: até 30 caracteres." type="textLength" errorStyle="warning" operator="lessThanOrEqual">
      <formula1>30</formula1>
    </dataValidation>
    <dataValidation sqref="B21" showDropDown="0" showInputMessage="0" showErrorMessage="1" allowBlank="1" errorTitle="Fora da lista" error="Modo: escolha um valor da lista. A planilha pode não reconhecer outro valor." type="list" errorStyle="warning">
      <formula1>'Dados'!$AQ$6:$AQ$8</formula1>
    </dataValidation>
    <dataValidation sqref="D21" showDropDown="0" showInputMessage="0" showErrorMessage="1" allowBlank="1" errorTitle="Fora da lista" error="Base do bestiário: escolha um valor da lista. A planilha pode não reconhecer outro valor." type="list" errorStyle="warning">
      <formula1>'Dados'!$AW$6:$AW$37</formula1>
    </dataValidation>
    <dataValidation sqref="G21" showDropDown="0" showInputMessage="0" showErrorMessage="1" allowBlank="1" errorTitle="Fora da lista" error="Faixa: escolha um valor da lista. A planilha pode não reconhecer outro valor." type="list" errorStyle="warning">
      <formula1>'Dados'!$AP$6:$AP$10</formula1>
    </dataValidation>
    <dataValidation sqref="H21" showDropDown="0" showInputMessage="0" showErrorMessage="1" allowBlank="1" errorTitle="Valor fora da faixa" error="Nível: use um número inteiro de 1 a 20." type="whole" errorStyle="warning" operator="between">
      <formula1>1</formula1>
      <formula2>20</formula2>
    </dataValidation>
    <dataValidation sqref="I21" showDropDown="0" showInputMessage="0" showErrorMessage="1" allowBlank="1" errorTitle="Fora da lista" error="Tipo: escolha um valor da lista. A planilha pode não reconhecer outro valor." type="list" errorStyle="warning">
      <formula1>'Dados'!$AO$6:$AO$8</formula1>
    </dataValidation>
    <dataValidation sqref="J21" showDropDown="0" showInputMessage="0" showErrorMessage="1" allowBlank="1" errorTitle="Valor fora da faixa" error="Fases: use um número inteiro de 1 a 3." type="whole" errorStyle="warning" operator="between">
      <formula1>1</formula1>
      <formula2>3</formula2>
    </dataValidation>
    <dataValidation sqref="A22" showDropDown="0" showInputMessage="0" showErrorMessage="1" allowBlank="1" errorTitle="Texto longo" error="Nome do inimigo: até 30 caracteres." type="textLength" errorStyle="warning" operator="lessThanOrEqual">
      <formula1>30</formula1>
    </dataValidation>
    <dataValidation sqref="B22" showDropDown="0" showInputMessage="0" showErrorMessage="1" allowBlank="1" errorTitle="Fora da lista" error="Modo: escolha um valor da lista. A planilha pode não reconhecer outro valor." type="list" errorStyle="warning">
      <formula1>'Dados'!$AQ$6:$AQ$8</formula1>
    </dataValidation>
    <dataValidation sqref="D22" showDropDown="0" showInputMessage="0" showErrorMessage="1" allowBlank="1" errorTitle="Fora da lista" error="Base do bestiário: escolha um valor da lista. A planilha pode não reconhecer outro valor." type="list" errorStyle="warning">
      <formula1>'Dados'!$AW$6:$AW$37</formula1>
    </dataValidation>
    <dataValidation sqref="G22" showDropDown="0" showInputMessage="0" showErrorMessage="1" allowBlank="1" errorTitle="Fora da lista" error="Faixa: escolha um valor da lista. A planilha pode não reconhecer outro valor." type="list" errorStyle="warning">
      <formula1>'Dados'!$AP$6:$AP$10</formula1>
    </dataValidation>
    <dataValidation sqref="H22" showDropDown="0" showInputMessage="0" showErrorMessage="1" allowBlank="1" errorTitle="Valor fora da faixa" error="Nível: use um número inteiro de 1 a 20." type="whole" errorStyle="warning" operator="between">
      <formula1>1</formula1>
      <formula2>20</formula2>
    </dataValidation>
    <dataValidation sqref="I22" showDropDown="0" showInputMessage="0" showErrorMessage="1" allowBlank="1" errorTitle="Fora da lista" error="Tipo: escolha um valor da lista. A planilha pode não reconhecer outro valor." type="list" errorStyle="warning">
      <formula1>'Dados'!$AO$6:$AO$8</formula1>
    </dataValidation>
    <dataValidation sqref="J22" showDropDown="0" showInputMessage="0" showErrorMessage="1" allowBlank="1" errorTitle="Valor fora da faixa" error="Fases: use um número inteiro de 1 a 3." type="whole" errorStyle="warning" operator="between">
      <formula1>1</formula1>
      <formula2>3</formula2>
    </dataValidation>
    <dataValidation sqref="B26" showDropDown="0" showInputMessage="0" showErrorMessage="1" allowBlank="1" errorTitle="Fora da lista" error="Facção: escolha um valor da lista. A planilha pode não reconhecer outro valor." type="list" errorStyle="warning">
      <formula1>'Dados'!$AV$6:$AV$17</formula1>
    </dataValidation>
    <dataValidation sqref="E26" showDropDown="0" showInputMessage="0" showErrorMessage="1" allowBlank="1" errorTitle="Fora da lista" error="Elemento: escolha um valor da lista. A planilha pode não reconhecer outro valor." type="list" errorStyle="warning">
      <formula1>'Dados'!$AN$6:$AN$12</formula1>
    </dataValidation>
    <dataValidation sqref="F26" showDropDown="0" showInputMessage="0" showErrorMessage="1" allowBlank="1" errorTitle="Fora da lista" error="Pode Executar?: escolha um valor da lista. A planilha pode não reconhecer outro valor." type="list" errorStyle="warning">
      <formula1>'Dados'!$AT$6:$AT$7</formula1>
    </dataValidation>
    <dataValidation sqref="G26" showDropDown="0" showInputMessage="0" showErrorMessage="1" allowBlank="1" errorTitle="Texto longo" error="Comportamento na Fila: até 120 caracteres." type="textLength" errorStyle="warning" operator="lessThanOrEqual">
      <formula1>120</formula1>
    </dataValidation>
    <dataValidation sqref="B27" showDropDown="0" showInputMessage="0" showErrorMessage="1" allowBlank="1" errorTitle="Fora da lista" error="Facção: escolha um valor da lista. A planilha pode não reconhecer outro valor." type="list" errorStyle="warning">
      <formula1>'Dados'!$AV$6:$AV$17</formula1>
    </dataValidation>
    <dataValidation sqref="E27" showDropDown="0" showInputMessage="0" showErrorMessage="1" allowBlank="1" errorTitle="Fora da lista" error="Elemento: escolha um valor da lista. A planilha pode não reconhecer outro valor." type="list" errorStyle="warning">
      <formula1>'Dados'!$AN$6:$AN$12</formula1>
    </dataValidation>
    <dataValidation sqref="F27" showDropDown="0" showInputMessage="0" showErrorMessage="1" allowBlank="1" errorTitle="Fora da lista" error="Pode Executar?: escolha um valor da lista. A planilha pode não reconhecer outro valor." type="list" errorStyle="warning">
      <formula1>'Dados'!$AT$6:$AT$7</formula1>
    </dataValidation>
    <dataValidation sqref="G27" showDropDown="0" showInputMessage="0" showErrorMessage="1" allowBlank="1" errorTitle="Texto longo" error="Comportamento na Fila: até 120 caracteres." type="textLength" errorStyle="warning" operator="lessThanOrEqual">
      <formula1>120</formula1>
    </dataValidation>
    <dataValidation sqref="B28" showDropDown="0" showInputMessage="0" showErrorMessage="1" allowBlank="1" errorTitle="Fora da lista" error="Facção: escolha um valor da lista. A planilha pode não reconhecer outro valor." type="list" errorStyle="warning">
      <formula1>'Dados'!$AV$6:$AV$17</formula1>
    </dataValidation>
    <dataValidation sqref="E28" showDropDown="0" showInputMessage="0" showErrorMessage="1" allowBlank="1" errorTitle="Fora da lista" error="Elemento: escolha um valor da lista. A planilha pode não reconhecer outro valor." type="list" errorStyle="warning">
      <formula1>'Dados'!$AN$6:$AN$12</formula1>
    </dataValidation>
    <dataValidation sqref="F28" showDropDown="0" showInputMessage="0" showErrorMessage="1" allowBlank="1" errorTitle="Fora da lista" error="Pode Executar?: escolha um valor da lista. A planilha pode não reconhecer outro valor." type="list" errorStyle="warning">
      <formula1>'Dados'!$AT$6:$AT$7</formula1>
    </dataValidation>
    <dataValidation sqref="G28" showDropDown="0" showInputMessage="0" showErrorMessage="1" allowBlank="1" errorTitle="Texto longo" error="Comportamento na Fila: até 120 caracteres." type="textLength" errorStyle="warning" operator="lessThanOrEqual">
      <formula1>120</formula1>
    </dataValidation>
    <dataValidation sqref="B29" showDropDown="0" showInputMessage="0" showErrorMessage="1" allowBlank="1" errorTitle="Fora da lista" error="Facção: escolha um valor da lista. A planilha pode não reconhecer outro valor." type="list" errorStyle="warning">
      <formula1>'Dados'!$AV$6:$AV$17</formula1>
    </dataValidation>
    <dataValidation sqref="E29" showDropDown="0" showInputMessage="0" showErrorMessage="1" allowBlank="1" errorTitle="Fora da lista" error="Elemento: escolha um valor da lista. A planilha pode não reconhecer outro valor." type="list" errorStyle="warning">
      <formula1>'Dados'!$AN$6:$AN$12</formula1>
    </dataValidation>
    <dataValidation sqref="F29" showDropDown="0" showInputMessage="0" showErrorMessage="1" allowBlank="1" errorTitle="Fora da lista" error="Pode Executar?: escolha um valor da lista. A planilha pode não reconhecer outro valor." type="list" errorStyle="warning">
      <formula1>'Dados'!$AT$6:$AT$7</formula1>
    </dataValidation>
    <dataValidation sqref="G29" showDropDown="0" showInputMessage="0" showErrorMessage="1" allowBlank="1" errorTitle="Texto longo" error="Comportamento na Fila: até 120 caracteres." type="textLength" errorStyle="warning" operator="lessThanOrEqual">
      <formula1>120</formula1>
    </dataValidation>
    <dataValidation sqref="B30" showDropDown="0" showInputMessage="0" showErrorMessage="1" allowBlank="1" errorTitle="Fora da lista" error="Facção: escolha um valor da lista. A planilha pode não reconhecer outro valor." type="list" errorStyle="warning">
      <formula1>'Dados'!$AV$6:$AV$17</formula1>
    </dataValidation>
    <dataValidation sqref="E30" showDropDown="0" showInputMessage="0" showErrorMessage="1" allowBlank="1" errorTitle="Fora da lista" error="Elemento: escolha um valor da lista. A planilha pode não reconhecer outro valor." type="list" errorStyle="warning">
      <formula1>'Dados'!$AN$6:$AN$12</formula1>
    </dataValidation>
    <dataValidation sqref="F30" showDropDown="0" showInputMessage="0" showErrorMessage="1" allowBlank="1" errorTitle="Fora da lista" error="Pode Executar?: escolha um valor da lista. A planilha pode não reconhecer outro valor." type="list" errorStyle="warning">
      <formula1>'Dados'!$AT$6:$AT$7</formula1>
    </dataValidation>
    <dataValidation sqref="G30" showDropDown="0" showInputMessage="0" showErrorMessage="1" allowBlank="1" errorTitle="Texto longo" error="Comportamento na Fila: até 120 caracteres." type="textLength" errorStyle="warning" operator="lessThanOrEqual">
      <formula1>120</formula1>
    </dataValidation>
    <dataValidation sqref="B31" showDropDown="0" showInputMessage="0" showErrorMessage="1" allowBlank="1" errorTitle="Fora da lista" error="Facção: escolha um valor da lista. A planilha pode não reconhecer outro valor." type="list" errorStyle="warning">
      <formula1>'Dados'!$AV$6:$AV$17</formula1>
    </dataValidation>
    <dataValidation sqref="E31" showDropDown="0" showInputMessage="0" showErrorMessage="1" allowBlank="1" errorTitle="Fora da lista" error="Elemento: escolha um valor da lista. A planilha pode não reconhecer outro valor." type="list" errorStyle="warning">
      <formula1>'Dados'!$AN$6:$AN$12</formula1>
    </dataValidation>
    <dataValidation sqref="F31" showDropDown="0" showInputMessage="0" showErrorMessage="1" allowBlank="1" errorTitle="Fora da lista" error="Pode Executar?: escolha um valor da lista. A planilha pode não reconhecer outro valor." type="list" errorStyle="warning">
      <formula1>'Dados'!$AT$6:$AT$7</formula1>
    </dataValidation>
    <dataValidation sqref="G31" showDropDown="0" showInputMessage="0" showErrorMessage="1" allowBlank="1" errorTitle="Texto longo" error="Comportamento na Fila: até 120 caracteres." type="textLength" errorStyle="warning" operator="lessThanOrEqual">
      <formula1>120</formula1>
    </dataValidation>
    <dataValidation sqref="B32" showDropDown="0" showInputMessage="0" showErrorMessage="1" allowBlank="1" errorTitle="Fora da lista" error="Facção: escolha um valor da lista. A planilha pode não reconhecer outro valor." type="list" errorStyle="warning">
      <formula1>'Dados'!$AV$6:$AV$17</formula1>
    </dataValidation>
    <dataValidation sqref="E32" showDropDown="0" showInputMessage="0" showErrorMessage="1" allowBlank="1" errorTitle="Fora da lista" error="Elemento: escolha um valor da lista. A planilha pode não reconhecer outro valor." type="list" errorStyle="warning">
      <formula1>'Dados'!$AN$6:$AN$12</formula1>
    </dataValidation>
    <dataValidation sqref="F32" showDropDown="0" showInputMessage="0" showErrorMessage="1" allowBlank="1" errorTitle="Fora da lista" error="Pode Executar?: escolha um valor da lista. A planilha pode não reconhecer outro valor." type="list" errorStyle="warning">
      <formula1>'Dados'!$AT$6:$AT$7</formula1>
    </dataValidation>
    <dataValidation sqref="G32" showDropDown="0" showInputMessage="0" showErrorMessage="1" allowBlank="1" errorTitle="Texto longo" error="Comportamento na Fila: até 120 caracteres." type="textLength" errorStyle="warning" operator="lessThanOrEqual">
      <formula1>120</formula1>
    </dataValidation>
    <dataValidation sqref="B33" showDropDown="0" showInputMessage="0" showErrorMessage="1" allowBlank="1" errorTitle="Fora da lista" error="Facção: escolha um valor da lista. A planilha pode não reconhecer outro valor." type="list" errorStyle="warning">
      <formula1>'Dados'!$AV$6:$AV$17</formula1>
    </dataValidation>
    <dataValidation sqref="E33" showDropDown="0" showInputMessage="0" showErrorMessage="1" allowBlank="1" errorTitle="Fora da lista" error="Elemento: escolha um valor da lista. A planilha pode não reconhecer outro valor." type="list" errorStyle="warning">
      <formula1>'Dados'!$AN$6:$AN$12</formula1>
    </dataValidation>
    <dataValidation sqref="F33" showDropDown="0" showInputMessage="0" showErrorMessage="1" allowBlank="1" errorTitle="Fora da lista" error="Pode Executar?: escolha um valor da lista. A planilha pode não reconhecer outro valor." type="list" errorStyle="warning">
      <formula1>'Dados'!$AT$6:$AT$7</formula1>
    </dataValidation>
    <dataValidation sqref="G33" showDropDown="0" showInputMessage="0" showErrorMessage="1" allowBlank="1" errorTitle="Texto longo" error="Comportamento na Fila: até 120 caracteres." type="textLength" errorStyle="warning" operator="lessThanOrEqual">
      <formula1>120</formula1>
    </dataValidation>
    <dataValidation sqref="B34" showDropDown="0" showInputMessage="0" showErrorMessage="1" allowBlank="1" errorTitle="Fora da lista" error="Facção: escolha um valor da lista. A planilha pode não reconhecer outro valor." type="list" errorStyle="warning">
      <formula1>'Dados'!$AV$6:$AV$17</formula1>
    </dataValidation>
    <dataValidation sqref="E34" showDropDown="0" showInputMessage="0" showErrorMessage="1" allowBlank="1" errorTitle="Fora da lista" error="Elemento: escolha um valor da lista. A planilha pode não reconhecer outro valor." type="list" errorStyle="warning">
      <formula1>'Dados'!$AN$6:$AN$12</formula1>
    </dataValidation>
    <dataValidation sqref="F34" showDropDown="0" showInputMessage="0" showErrorMessage="1" allowBlank="1" errorTitle="Fora da lista" error="Pode Executar?: escolha um valor da lista. A planilha pode não reconhecer outro valor." type="list" errorStyle="warning">
      <formula1>'Dados'!$AT$6:$AT$7</formula1>
    </dataValidation>
    <dataValidation sqref="G34" showDropDown="0" showInputMessage="0" showErrorMessage="1" allowBlank="1" errorTitle="Texto longo" error="Comportamento na Fila: até 120 caracteres." type="textLength" errorStyle="warning" operator="lessThanOrEqual">
      <formula1>120</formula1>
    </dataValidation>
    <dataValidation sqref="B35" showDropDown="0" showInputMessage="0" showErrorMessage="1" allowBlank="1" errorTitle="Fora da lista" error="Facção: escolha um valor da lista. A planilha pode não reconhecer outro valor." type="list" errorStyle="warning">
      <formula1>'Dados'!$AV$6:$AV$17</formula1>
    </dataValidation>
    <dataValidation sqref="E35" showDropDown="0" showInputMessage="0" showErrorMessage="1" allowBlank="1" errorTitle="Fora da lista" error="Elemento: escolha um valor da lista. A planilha pode não reconhecer outro valor." type="list" errorStyle="warning">
      <formula1>'Dados'!$AN$6:$AN$12</formula1>
    </dataValidation>
    <dataValidation sqref="F35" showDropDown="0" showInputMessage="0" showErrorMessage="1" allowBlank="1" errorTitle="Fora da lista" error="Pode Executar?: escolha um valor da lista. A planilha pode não reconhecer outro valor." type="list" errorStyle="warning">
      <formula1>'Dados'!$AT$6:$AT$7</formula1>
    </dataValidation>
    <dataValidation sqref="G35" showDropDown="0" showInputMessage="0" showErrorMessage="1" allowBlank="1" errorTitle="Texto longo" error="Comportamento na Fila: até 120 caracteres." type="textLength" errorStyle="warning" operator="lessThanOrEqual">
      <formula1>120</formula1>
    </dataValidation>
    <dataValidation sqref="B36" showDropDown="0" showInputMessage="0" showErrorMessage="1" allowBlank="1" errorTitle="Fora da lista" error="Facção: escolha um valor da lista. A planilha pode não reconhecer outro valor." type="list" errorStyle="warning">
      <formula1>'Dados'!$AV$6:$AV$17</formula1>
    </dataValidation>
    <dataValidation sqref="E36" showDropDown="0" showInputMessage="0" showErrorMessage="1" allowBlank="1" errorTitle="Fora da lista" error="Elemento: escolha um valor da lista. A planilha pode não reconhecer outro valor." type="list" errorStyle="warning">
      <formula1>'Dados'!$AN$6:$AN$12</formula1>
    </dataValidation>
    <dataValidation sqref="F36" showDropDown="0" showInputMessage="0" showErrorMessage="1" allowBlank="1" errorTitle="Fora da lista" error="Pode Executar?: escolha um valor da lista. A planilha pode não reconhecer outro valor." type="list" errorStyle="warning">
      <formula1>'Dados'!$AT$6:$AT$7</formula1>
    </dataValidation>
    <dataValidation sqref="G36" showDropDown="0" showInputMessage="0" showErrorMessage="1" allowBlank="1" errorTitle="Texto longo" error="Comportamento na Fila: até 120 caracteres." type="textLength" errorStyle="warning" operator="lessThanOrEqual">
      <formula1>120</formula1>
    </dataValidation>
    <dataValidation sqref="B37" showDropDown="0" showInputMessage="0" showErrorMessage="1" allowBlank="1" errorTitle="Fora da lista" error="Facção: escolha um valor da lista. A planilha pode não reconhecer outro valor." type="list" errorStyle="warning">
      <formula1>'Dados'!$AV$6:$AV$17</formula1>
    </dataValidation>
    <dataValidation sqref="E37" showDropDown="0" showInputMessage="0" showErrorMessage="1" allowBlank="1" errorTitle="Fora da lista" error="Elemento: escolha um valor da lista. A planilha pode não reconhecer outro valor." type="list" errorStyle="warning">
      <formula1>'Dados'!$AN$6:$AN$12</formula1>
    </dataValidation>
    <dataValidation sqref="F37" showDropDown="0" showInputMessage="0" showErrorMessage="1" allowBlank="1" errorTitle="Fora da lista" error="Pode Executar?: escolha um valor da lista. A planilha pode não reconhecer outro valor." type="list" errorStyle="warning">
      <formula1>'Dados'!$AT$6:$AT$7</formula1>
    </dataValidation>
    <dataValidation sqref="G37" showDropDown="0" showInputMessage="0" showErrorMessage="1" allowBlank="1" errorTitle="Texto longo" error="Comportamento na Fila: até 120 caracteres." type="textLength" errorStyle="warning" operator="lessThanOrEqual">
      <formula1>120</formula1>
    </dataValidation>
    <dataValidation sqref="B42" showDropDown="0" showInputMessage="0" showErrorMessage="1" allowBlank="1" errorTitle="Fora da lista" error="Fraqueza 1: escolha um valor da lista. A planilha pode não reconhecer outro valor." type="list" errorStyle="warning">
      <formula1>'Dados'!$AN$6:$AN$12</formula1>
    </dataValidation>
    <dataValidation sqref="C42" showDropDown="0" showInputMessage="0" showErrorMessage="1" allowBlank="1" errorTitle="Fora da lista" error="Fraqueza 2: escolha um valor da lista. A planilha pode não reconhecer outro valor." type="list" errorStyle="warning">
      <formula1>'Dados'!$AN$6:$AN$12</formula1>
    </dataValidation>
    <dataValidation sqref="D42" showDropDown="0" showInputMessage="0" showErrorMessage="1" allowBlank="1" errorTitle="Fora da lista" error="Fraqueza 3: escolha um valor da lista. A planilha pode não reconhecer outro valor." type="list" errorStyle="warning">
      <formula1>'Dados'!$AN$6:$AN$12</formula1>
    </dataValidation>
    <dataValidation sqref="E42" showDropDown="0" showInputMessage="0" showErrorMessage="1" allowBlank="1" errorTitle="Fora da lista" error="Fraqueza 4: escolha um valor da lista. A planilha pode não reconhecer outro valor." type="list" errorStyle="warning">
      <formula1>'Dados'!$AN$6:$AN$12</formula1>
    </dataValidation>
    <dataValidation sqref="F42" showDropDown="0" showInputMessage="0" showErrorMessage="1" allowBlank="1" errorTitle="Fora da lista" error="Resistência: escolha um valor da lista. A planilha pode não reconhecer outro valor." type="list" errorStyle="warning">
      <formula1>'Dados'!$AN$6:$AN$12</formula1>
    </dataValidation>
    <dataValidation sqref="B43" showDropDown="0" showInputMessage="0" showErrorMessage="1" allowBlank="1" errorTitle="Fora da lista" error="Fraqueza 1: escolha um valor da lista. A planilha pode não reconhecer outro valor." type="list" errorStyle="warning">
      <formula1>'Dados'!$AN$6:$AN$12</formula1>
    </dataValidation>
    <dataValidation sqref="C43" showDropDown="0" showInputMessage="0" showErrorMessage="1" allowBlank="1" errorTitle="Fora da lista" error="Fraqueza 2: escolha um valor da lista. A planilha pode não reconhecer outro valor." type="list" errorStyle="warning">
      <formula1>'Dados'!$AN$6:$AN$12</formula1>
    </dataValidation>
    <dataValidation sqref="D43" showDropDown="0" showInputMessage="0" showErrorMessage="1" allowBlank="1" errorTitle="Fora da lista" error="Fraqueza 3: escolha um valor da lista. A planilha pode não reconhecer outro valor." type="list" errorStyle="warning">
      <formula1>'Dados'!$AN$6:$AN$12</formula1>
    </dataValidation>
    <dataValidation sqref="E43" showDropDown="0" showInputMessage="0" showErrorMessage="1" allowBlank="1" errorTitle="Fora da lista" error="Fraqueza 4: escolha um valor da lista. A planilha pode não reconhecer outro valor." type="list" errorStyle="warning">
      <formula1>'Dados'!$AN$6:$AN$12</formula1>
    </dataValidation>
    <dataValidation sqref="F43" showDropDown="0" showInputMessage="0" showErrorMessage="1" allowBlank="1" errorTitle="Fora da lista" error="Resistência: escolha um valor da lista. A planilha pode não reconhecer outro valor." type="list" errorStyle="warning">
      <formula1>'Dados'!$AN$6:$AN$12</formula1>
    </dataValidation>
    <dataValidation sqref="B44" showDropDown="0" showInputMessage="0" showErrorMessage="1" allowBlank="1" errorTitle="Fora da lista" error="Fraqueza 1: escolha um valor da lista. A planilha pode não reconhecer outro valor." type="list" errorStyle="warning">
      <formula1>'Dados'!$AN$6:$AN$12</formula1>
    </dataValidation>
    <dataValidation sqref="C44" showDropDown="0" showInputMessage="0" showErrorMessage="1" allowBlank="1" errorTitle="Fora da lista" error="Fraqueza 2: escolha um valor da lista. A planilha pode não reconhecer outro valor." type="list" errorStyle="warning">
      <formula1>'Dados'!$AN$6:$AN$12</formula1>
    </dataValidation>
    <dataValidation sqref="D44" showDropDown="0" showInputMessage="0" showErrorMessage="1" allowBlank="1" errorTitle="Fora da lista" error="Fraqueza 3: escolha um valor da lista. A planilha pode não reconhecer outro valor." type="list" errorStyle="warning">
      <formula1>'Dados'!$AN$6:$AN$12</formula1>
    </dataValidation>
    <dataValidation sqref="E44" showDropDown="0" showInputMessage="0" showErrorMessage="1" allowBlank="1" errorTitle="Fora da lista" error="Fraqueza 4: escolha um valor da lista. A planilha pode não reconhecer outro valor." type="list" errorStyle="warning">
      <formula1>'Dados'!$AN$6:$AN$12</formula1>
    </dataValidation>
    <dataValidation sqref="F44" showDropDown="0" showInputMessage="0" showErrorMessage="1" allowBlank="1" errorTitle="Fora da lista" error="Resistência: escolha um valor da lista. A planilha pode não reconhecer outro valor." type="list" errorStyle="warning">
      <formula1>'Dados'!$AN$6:$AN$12</formula1>
    </dataValidation>
    <dataValidation sqref="B45" showDropDown="0" showInputMessage="0" showErrorMessage="1" allowBlank="1" errorTitle="Fora da lista" error="Fraqueza 1: escolha um valor da lista. A planilha pode não reconhecer outro valor." type="list" errorStyle="warning">
      <formula1>'Dados'!$AN$6:$AN$12</formula1>
    </dataValidation>
    <dataValidation sqref="C45" showDropDown="0" showInputMessage="0" showErrorMessage="1" allowBlank="1" errorTitle="Fora da lista" error="Fraqueza 2: escolha um valor da lista. A planilha pode não reconhecer outro valor." type="list" errorStyle="warning">
      <formula1>'Dados'!$AN$6:$AN$12</formula1>
    </dataValidation>
    <dataValidation sqref="D45" showDropDown="0" showInputMessage="0" showErrorMessage="1" allowBlank="1" errorTitle="Fora da lista" error="Fraqueza 3: escolha um valor da lista. A planilha pode não reconhecer outro valor." type="list" errorStyle="warning">
      <formula1>'Dados'!$AN$6:$AN$12</formula1>
    </dataValidation>
    <dataValidation sqref="E45" showDropDown="0" showInputMessage="0" showErrorMessage="1" allowBlank="1" errorTitle="Fora da lista" error="Fraqueza 4: escolha um valor da lista. A planilha pode não reconhecer outro valor." type="list" errorStyle="warning">
      <formula1>'Dados'!$AN$6:$AN$12</formula1>
    </dataValidation>
    <dataValidation sqref="F45" showDropDown="0" showInputMessage="0" showErrorMessage="1" allowBlank="1" errorTitle="Fora da lista" error="Resistência: escolha um valor da lista. A planilha pode não reconhecer outro valor." type="list" errorStyle="warning">
      <formula1>'Dados'!$AN$6:$AN$12</formula1>
    </dataValidation>
    <dataValidation sqref="B46" showDropDown="0" showInputMessage="0" showErrorMessage="1" allowBlank="1" errorTitle="Fora da lista" error="Fraqueza 1: escolha um valor da lista. A planilha pode não reconhecer outro valor." type="list" errorStyle="warning">
      <formula1>'Dados'!$AN$6:$AN$12</formula1>
    </dataValidation>
    <dataValidation sqref="C46" showDropDown="0" showInputMessage="0" showErrorMessage="1" allowBlank="1" errorTitle="Fora da lista" error="Fraqueza 2: escolha um valor da lista. A planilha pode não reconhecer outro valor." type="list" errorStyle="warning">
      <formula1>'Dados'!$AN$6:$AN$12</formula1>
    </dataValidation>
    <dataValidation sqref="D46" showDropDown="0" showInputMessage="0" showErrorMessage="1" allowBlank="1" errorTitle="Fora da lista" error="Fraqueza 3: escolha um valor da lista. A planilha pode não reconhecer outro valor." type="list" errorStyle="warning">
      <formula1>'Dados'!$AN$6:$AN$12</formula1>
    </dataValidation>
    <dataValidation sqref="E46" showDropDown="0" showInputMessage="0" showErrorMessage="1" allowBlank="1" errorTitle="Fora da lista" error="Fraqueza 4: escolha um valor da lista. A planilha pode não reconhecer outro valor." type="list" errorStyle="warning">
      <formula1>'Dados'!$AN$6:$AN$12</formula1>
    </dataValidation>
    <dataValidation sqref="F46" showDropDown="0" showInputMessage="0" showErrorMessage="1" allowBlank="1" errorTitle="Fora da lista" error="Resistência: escolha um valor da lista. A planilha pode não reconhecer outro valor." type="list" errorStyle="warning">
      <formula1>'Dados'!$AN$6:$AN$12</formula1>
    </dataValidation>
    <dataValidation sqref="B47" showDropDown="0" showInputMessage="0" showErrorMessage="1" allowBlank="1" errorTitle="Fora da lista" error="Fraqueza 1: escolha um valor da lista. A planilha pode não reconhecer outro valor." type="list" errorStyle="warning">
      <formula1>'Dados'!$AN$6:$AN$12</formula1>
    </dataValidation>
    <dataValidation sqref="C47" showDropDown="0" showInputMessage="0" showErrorMessage="1" allowBlank="1" errorTitle="Fora da lista" error="Fraqueza 2: escolha um valor da lista. A planilha pode não reconhecer outro valor." type="list" errorStyle="warning">
      <formula1>'Dados'!$AN$6:$AN$12</formula1>
    </dataValidation>
    <dataValidation sqref="D47" showDropDown="0" showInputMessage="0" showErrorMessage="1" allowBlank="1" errorTitle="Fora da lista" error="Fraqueza 3: escolha um valor da lista. A planilha pode não reconhecer outro valor." type="list" errorStyle="warning">
      <formula1>'Dados'!$AN$6:$AN$12</formula1>
    </dataValidation>
    <dataValidation sqref="E47" showDropDown="0" showInputMessage="0" showErrorMessage="1" allowBlank="1" errorTitle="Fora da lista" error="Fraqueza 4: escolha um valor da lista. A planilha pode não reconhecer outro valor." type="list" errorStyle="warning">
      <formula1>'Dados'!$AN$6:$AN$12</formula1>
    </dataValidation>
    <dataValidation sqref="F47" showDropDown="0" showInputMessage="0" showErrorMessage="1" allowBlank="1" errorTitle="Fora da lista" error="Resistência: escolha um valor da lista. A planilha pode não reconhecer outro valor." type="list" errorStyle="warning">
      <formula1>'Dados'!$AN$6:$AN$12</formula1>
    </dataValidation>
    <dataValidation sqref="B48" showDropDown="0" showInputMessage="0" showErrorMessage="1" allowBlank="1" errorTitle="Fora da lista" error="Fraqueza 1: escolha um valor da lista. A planilha pode não reconhecer outro valor." type="list" errorStyle="warning">
      <formula1>'Dados'!$AN$6:$AN$12</formula1>
    </dataValidation>
    <dataValidation sqref="C48" showDropDown="0" showInputMessage="0" showErrorMessage="1" allowBlank="1" errorTitle="Fora da lista" error="Fraqueza 2: escolha um valor da lista. A planilha pode não reconhecer outro valor." type="list" errorStyle="warning">
      <formula1>'Dados'!$AN$6:$AN$12</formula1>
    </dataValidation>
    <dataValidation sqref="D48" showDropDown="0" showInputMessage="0" showErrorMessage="1" allowBlank="1" errorTitle="Fora da lista" error="Fraqueza 3: escolha um valor da lista. A planilha pode não reconhecer outro valor." type="list" errorStyle="warning">
      <formula1>'Dados'!$AN$6:$AN$12</formula1>
    </dataValidation>
    <dataValidation sqref="E48" showDropDown="0" showInputMessage="0" showErrorMessage="1" allowBlank="1" errorTitle="Fora da lista" error="Fraqueza 4: escolha um valor da lista. A planilha pode não reconhecer outro valor." type="list" errorStyle="warning">
      <formula1>'Dados'!$AN$6:$AN$12</formula1>
    </dataValidation>
    <dataValidation sqref="F48" showDropDown="0" showInputMessage="0" showErrorMessage="1" allowBlank="1" errorTitle="Fora da lista" error="Resistência: escolha um valor da lista. A planilha pode não reconhecer outro valor." type="list" errorStyle="warning">
      <formula1>'Dados'!$AN$6:$AN$12</formula1>
    </dataValidation>
    <dataValidation sqref="B49" showDropDown="0" showInputMessage="0" showErrorMessage="1" allowBlank="1" errorTitle="Fora da lista" error="Fraqueza 1: escolha um valor da lista. A planilha pode não reconhecer outro valor." type="list" errorStyle="warning">
      <formula1>'Dados'!$AN$6:$AN$12</formula1>
    </dataValidation>
    <dataValidation sqref="C49" showDropDown="0" showInputMessage="0" showErrorMessage="1" allowBlank="1" errorTitle="Fora da lista" error="Fraqueza 2: escolha um valor da lista. A planilha pode não reconhecer outro valor." type="list" errorStyle="warning">
      <formula1>'Dados'!$AN$6:$AN$12</formula1>
    </dataValidation>
    <dataValidation sqref="D49" showDropDown="0" showInputMessage="0" showErrorMessage="1" allowBlank="1" errorTitle="Fora da lista" error="Fraqueza 3: escolha um valor da lista. A planilha pode não reconhecer outro valor." type="list" errorStyle="warning">
      <formula1>'Dados'!$AN$6:$AN$12</formula1>
    </dataValidation>
    <dataValidation sqref="E49" showDropDown="0" showInputMessage="0" showErrorMessage="1" allowBlank="1" errorTitle="Fora da lista" error="Fraqueza 4: escolha um valor da lista. A planilha pode não reconhecer outro valor." type="list" errorStyle="warning">
      <formula1>'Dados'!$AN$6:$AN$12</formula1>
    </dataValidation>
    <dataValidation sqref="F49" showDropDown="0" showInputMessage="0" showErrorMessage="1" allowBlank="1" errorTitle="Fora da lista" error="Resistência: escolha um valor da lista. A planilha pode não reconhecer outro valor." type="list" errorStyle="warning">
      <formula1>'Dados'!$AN$6:$AN$12</formula1>
    </dataValidation>
    <dataValidation sqref="B50" showDropDown="0" showInputMessage="0" showErrorMessage="1" allowBlank="1" errorTitle="Fora da lista" error="Fraqueza 1: escolha um valor da lista. A planilha pode não reconhecer outro valor." type="list" errorStyle="warning">
      <formula1>'Dados'!$AN$6:$AN$12</formula1>
    </dataValidation>
    <dataValidation sqref="C50" showDropDown="0" showInputMessage="0" showErrorMessage="1" allowBlank="1" errorTitle="Fora da lista" error="Fraqueza 2: escolha um valor da lista. A planilha pode não reconhecer outro valor." type="list" errorStyle="warning">
      <formula1>'Dados'!$AN$6:$AN$12</formula1>
    </dataValidation>
    <dataValidation sqref="D50" showDropDown="0" showInputMessage="0" showErrorMessage="1" allowBlank="1" errorTitle="Fora da lista" error="Fraqueza 3: escolha um valor da lista. A planilha pode não reconhecer outro valor." type="list" errorStyle="warning">
      <formula1>'Dados'!$AN$6:$AN$12</formula1>
    </dataValidation>
    <dataValidation sqref="E50" showDropDown="0" showInputMessage="0" showErrorMessage="1" allowBlank="1" errorTitle="Fora da lista" error="Fraqueza 4: escolha um valor da lista. A planilha pode não reconhecer outro valor." type="list" errorStyle="warning">
      <formula1>'Dados'!$AN$6:$AN$12</formula1>
    </dataValidation>
    <dataValidation sqref="F50" showDropDown="0" showInputMessage="0" showErrorMessage="1" allowBlank="1" errorTitle="Fora da lista" error="Resistência: escolha um valor da lista. A planilha pode não reconhecer outro valor." type="list" errorStyle="warning">
      <formula1>'Dados'!$AN$6:$AN$12</formula1>
    </dataValidation>
    <dataValidation sqref="B51" showDropDown="0" showInputMessage="0" showErrorMessage="1" allowBlank="1" errorTitle="Fora da lista" error="Fraqueza 1: escolha um valor da lista. A planilha pode não reconhecer outro valor." type="list" errorStyle="warning">
      <formula1>'Dados'!$AN$6:$AN$12</formula1>
    </dataValidation>
    <dataValidation sqref="C51" showDropDown="0" showInputMessage="0" showErrorMessage="1" allowBlank="1" errorTitle="Fora da lista" error="Fraqueza 2: escolha um valor da lista. A planilha pode não reconhecer outro valor." type="list" errorStyle="warning">
      <formula1>'Dados'!$AN$6:$AN$12</formula1>
    </dataValidation>
    <dataValidation sqref="D51" showDropDown="0" showInputMessage="0" showErrorMessage="1" allowBlank="1" errorTitle="Fora da lista" error="Fraqueza 3: escolha um valor da lista. A planilha pode não reconhecer outro valor." type="list" errorStyle="warning">
      <formula1>'Dados'!$AN$6:$AN$12</formula1>
    </dataValidation>
    <dataValidation sqref="E51" showDropDown="0" showInputMessage="0" showErrorMessage="1" allowBlank="1" errorTitle="Fora da lista" error="Fraqueza 4: escolha um valor da lista. A planilha pode não reconhecer outro valor." type="list" errorStyle="warning">
      <formula1>'Dados'!$AN$6:$AN$12</formula1>
    </dataValidation>
    <dataValidation sqref="F51" showDropDown="0" showInputMessage="0" showErrorMessage="1" allowBlank="1" errorTitle="Fora da lista" error="Resistência: escolha um valor da lista. A planilha pode não reconhecer outro valor." type="list" errorStyle="warning">
      <formula1>'Dados'!$AN$6:$AN$12</formula1>
    </dataValidation>
    <dataValidation sqref="B52" showDropDown="0" showInputMessage="0" showErrorMessage="1" allowBlank="1" errorTitle="Fora da lista" error="Fraqueza 1: escolha um valor da lista. A planilha pode não reconhecer outro valor." type="list" errorStyle="warning">
      <formula1>'Dados'!$AN$6:$AN$12</formula1>
    </dataValidation>
    <dataValidation sqref="C52" showDropDown="0" showInputMessage="0" showErrorMessage="1" allowBlank="1" errorTitle="Fora da lista" error="Fraqueza 2: escolha um valor da lista. A planilha pode não reconhecer outro valor." type="list" errorStyle="warning">
      <formula1>'Dados'!$AN$6:$AN$12</formula1>
    </dataValidation>
    <dataValidation sqref="D52" showDropDown="0" showInputMessage="0" showErrorMessage="1" allowBlank="1" errorTitle="Fora da lista" error="Fraqueza 3: escolha um valor da lista. A planilha pode não reconhecer outro valor." type="list" errorStyle="warning">
      <formula1>'Dados'!$AN$6:$AN$12</formula1>
    </dataValidation>
    <dataValidation sqref="E52" showDropDown="0" showInputMessage="0" showErrorMessage="1" allowBlank="1" errorTitle="Fora da lista" error="Fraqueza 4: escolha um valor da lista. A planilha pode não reconhecer outro valor." type="list" errorStyle="warning">
      <formula1>'Dados'!$AN$6:$AN$12</formula1>
    </dataValidation>
    <dataValidation sqref="F52" showDropDown="0" showInputMessage="0" showErrorMessage="1" allowBlank="1" errorTitle="Fora da lista" error="Resistência: escolha um valor da lista. A planilha pode não reconhecer outro valor." type="list" errorStyle="warning">
      <formula1>'Dados'!$AN$6:$AN$12</formula1>
    </dataValidation>
    <dataValidation sqref="B53" showDropDown="0" showInputMessage="0" showErrorMessage="1" allowBlank="1" errorTitle="Fora da lista" error="Fraqueza 1: escolha um valor da lista. A planilha pode não reconhecer outro valor." type="list" errorStyle="warning">
      <formula1>'Dados'!$AN$6:$AN$12</formula1>
    </dataValidation>
    <dataValidation sqref="C53" showDropDown="0" showInputMessage="0" showErrorMessage="1" allowBlank="1" errorTitle="Fora da lista" error="Fraqueza 2: escolha um valor da lista. A planilha pode não reconhecer outro valor." type="list" errorStyle="warning">
      <formula1>'Dados'!$AN$6:$AN$12</formula1>
    </dataValidation>
    <dataValidation sqref="D53" showDropDown="0" showInputMessage="0" showErrorMessage="1" allowBlank="1" errorTitle="Fora da lista" error="Fraqueza 3: escolha um valor da lista. A planilha pode não reconhecer outro valor." type="list" errorStyle="warning">
      <formula1>'Dados'!$AN$6:$AN$12</formula1>
    </dataValidation>
    <dataValidation sqref="E53" showDropDown="0" showInputMessage="0" showErrorMessage="1" allowBlank="1" errorTitle="Fora da lista" error="Fraqueza 4: escolha um valor da lista. A planilha pode não reconhecer outro valor." type="list" errorStyle="warning">
      <formula1>'Dados'!$AN$6:$AN$12</formula1>
    </dataValidation>
    <dataValidation sqref="F53" showDropDown="0" showInputMessage="0" showErrorMessage="1" allowBlank="1" errorTitle="Fora da lista" error="Resistência: escolha um valor da lista. A planilha pode não reconhecer outro valor." type="list" errorStyle="warning">
      <formula1>'Dados'!$AN$6:$AN$12</formula1>
    </dataValidation>
    <dataValidation sqref="A88" showDropDown="0" showInputMessage="0" showErrorMessage="1" allowBlank="1" errorTitle="Fora da lista" error="Inimigo: escolha um valor da lista. A planilha pode não reconhecer outro valor." type="list" errorStyle="warning">
      <formula1>'Inimigos'!$A$11:$A$22</formula1>
    </dataValidation>
    <dataValidation sqref="C88" showDropDown="0" showInputMessage="0" showErrorMessage="1" allowBlank="1" errorTitle="Valor fora da faixa" error="Fase: use um número inteiro de 2 a 3." type="whole" errorStyle="warning" operator="between">
      <formula1>2</formula1>
      <formula2>3</formula2>
    </dataValidation>
    <dataValidation sqref="D88" showDropDown="0" showInputMessage="0" showErrorMessage="1" allowBlank="1" errorTitle="Fora da lista" error="Fraqueza 1: escolha um valor da lista. A planilha pode não reconhecer outro valor." type="list" errorStyle="warning">
      <formula1>'Dados'!$AN$6:$AN$12</formula1>
    </dataValidation>
    <dataValidation sqref="E88" showDropDown="0" showInputMessage="0" showErrorMessage="1" allowBlank="1" errorTitle="Fora da lista" error="Fraqueza 2: escolha um valor da lista. A planilha pode não reconhecer outro valor." type="list" errorStyle="warning">
      <formula1>'Dados'!$AN$6:$AN$12</formula1>
    </dataValidation>
    <dataValidation sqref="F88" showDropDown="0" showInputMessage="0" showErrorMessage="1" allowBlank="1" errorTitle="Fora da lista" error="Fraqueza 3: escolha um valor da lista. A planilha pode não reconhecer outro valor." type="list" errorStyle="warning">
      <formula1>'Dados'!$AN$6:$AN$12</formula1>
    </dataValidation>
    <dataValidation sqref="G88" showDropDown="0" showInputMessage="0" showErrorMessage="1" allowBlank="1" errorTitle="Fora da lista" error="Fraqueza 4: escolha um valor da lista. A planilha pode não reconhecer outro valor." type="list" errorStyle="warning">
      <formula1>'Dados'!$AN$6:$AN$12</formula1>
    </dataValidation>
    <dataValidation sqref="H88" showDropDown="0" showInputMessage="0" showErrorMessage="1" allowBlank="1" errorTitle="Valor fora da faixa" error="Tenacidade: use um número inteiro de 0 a 13." type="whole" errorStyle="warning" operator="between">
      <formula1>0</formula1>
      <formula2>13</formula2>
    </dataValidation>
    <dataValidation sqref="I88" showDropDown="0" showInputMessage="0" showErrorMessage="1" allowBlank="1" errorTitle="Texto longo" error="Ritmo: até 80 caracteres." type="textLength" errorStyle="warning" operator="lessThanOrEqual">
      <formula1>80</formula1>
    </dataValidation>
    <dataValidation sqref="A89" showDropDown="0" showInputMessage="0" showErrorMessage="1" allowBlank="1" errorTitle="Fora da lista" error="Inimigo: escolha um valor da lista. A planilha pode não reconhecer outro valor." type="list" errorStyle="warning">
      <formula1>'Inimigos'!$A$11:$A$22</formula1>
    </dataValidation>
    <dataValidation sqref="C89" showDropDown="0" showInputMessage="0" showErrorMessage="1" allowBlank="1" errorTitle="Valor fora da faixa" error="Fase: use um número inteiro de 2 a 3." type="whole" errorStyle="warning" operator="between">
      <formula1>2</formula1>
      <formula2>3</formula2>
    </dataValidation>
    <dataValidation sqref="D89" showDropDown="0" showInputMessage="0" showErrorMessage="1" allowBlank="1" errorTitle="Fora da lista" error="Fraqueza 1: escolha um valor da lista. A planilha pode não reconhecer outro valor." type="list" errorStyle="warning">
      <formula1>'Dados'!$AN$6:$AN$12</formula1>
    </dataValidation>
    <dataValidation sqref="E89" showDropDown="0" showInputMessage="0" showErrorMessage="1" allowBlank="1" errorTitle="Fora da lista" error="Fraqueza 2: escolha um valor da lista. A planilha pode não reconhecer outro valor." type="list" errorStyle="warning">
      <formula1>'Dados'!$AN$6:$AN$12</formula1>
    </dataValidation>
    <dataValidation sqref="F89" showDropDown="0" showInputMessage="0" showErrorMessage="1" allowBlank="1" errorTitle="Fora da lista" error="Fraqueza 3: escolha um valor da lista. A planilha pode não reconhecer outro valor." type="list" errorStyle="warning">
      <formula1>'Dados'!$AN$6:$AN$12</formula1>
    </dataValidation>
    <dataValidation sqref="G89" showDropDown="0" showInputMessage="0" showErrorMessage="1" allowBlank="1" errorTitle="Fora da lista" error="Fraqueza 4: escolha um valor da lista. A planilha pode não reconhecer outro valor." type="list" errorStyle="warning">
      <formula1>'Dados'!$AN$6:$AN$12</formula1>
    </dataValidation>
    <dataValidation sqref="H89" showDropDown="0" showInputMessage="0" showErrorMessage="1" allowBlank="1" errorTitle="Valor fora da faixa" error="Tenacidade: use um número inteiro de 0 a 13." type="whole" errorStyle="warning" operator="between">
      <formula1>0</formula1>
      <formula2>13</formula2>
    </dataValidation>
    <dataValidation sqref="I89" showDropDown="0" showInputMessage="0" showErrorMessage="1" allowBlank="1" errorTitle="Texto longo" error="Ritmo: até 80 caracteres." type="textLength" errorStyle="warning" operator="lessThanOrEqual">
      <formula1>80</formula1>
    </dataValidation>
    <dataValidation sqref="A90" showDropDown="0" showInputMessage="0" showErrorMessage="1" allowBlank="1" errorTitle="Fora da lista" error="Inimigo: escolha um valor da lista. A planilha pode não reconhecer outro valor." type="list" errorStyle="warning">
      <formula1>'Inimigos'!$A$11:$A$22</formula1>
    </dataValidation>
    <dataValidation sqref="C90" showDropDown="0" showInputMessage="0" showErrorMessage="1" allowBlank="1" errorTitle="Valor fora da faixa" error="Fase: use um número inteiro de 2 a 3." type="whole" errorStyle="warning" operator="between">
      <formula1>2</formula1>
      <formula2>3</formula2>
    </dataValidation>
    <dataValidation sqref="D90" showDropDown="0" showInputMessage="0" showErrorMessage="1" allowBlank="1" errorTitle="Fora da lista" error="Fraqueza 1: escolha um valor da lista. A planilha pode não reconhecer outro valor." type="list" errorStyle="warning">
      <formula1>'Dados'!$AN$6:$AN$12</formula1>
    </dataValidation>
    <dataValidation sqref="E90" showDropDown="0" showInputMessage="0" showErrorMessage="1" allowBlank="1" errorTitle="Fora da lista" error="Fraqueza 2: escolha um valor da lista. A planilha pode não reconhecer outro valor." type="list" errorStyle="warning">
      <formula1>'Dados'!$AN$6:$AN$12</formula1>
    </dataValidation>
    <dataValidation sqref="F90" showDropDown="0" showInputMessage="0" showErrorMessage="1" allowBlank="1" errorTitle="Fora da lista" error="Fraqueza 3: escolha um valor da lista. A planilha pode não reconhecer outro valor." type="list" errorStyle="warning">
      <formula1>'Dados'!$AN$6:$AN$12</formula1>
    </dataValidation>
    <dataValidation sqref="G90" showDropDown="0" showInputMessage="0" showErrorMessage="1" allowBlank="1" errorTitle="Fora da lista" error="Fraqueza 4: escolha um valor da lista. A planilha pode não reconhecer outro valor." type="list" errorStyle="warning">
      <formula1>'Dados'!$AN$6:$AN$12</formula1>
    </dataValidation>
    <dataValidation sqref="H90" showDropDown="0" showInputMessage="0" showErrorMessage="1" allowBlank="1" errorTitle="Valor fora da faixa" error="Tenacidade: use um número inteiro de 0 a 13." type="whole" errorStyle="warning" operator="between">
      <formula1>0</formula1>
      <formula2>13</formula2>
    </dataValidation>
    <dataValidation sqref="I90" showDropDown="0" showInputMessage="0" showErrorMessage="1" allowBlank="1" errorTitle="Texto longo" error="Ritmo: até 80 caracteres." type="textLength" errorStyle="warning" operator="lessThanOrEqual">
      <formula1>80</formula1>
    </dataValidation>
    <dataValidation sqref="A91" showDropDown="0" showInputMessage="0" showErrorMessage="1" allowBlank="1" errorTitle="Fora da lista" error="Inimigo: escolha um valor da lista. A planilha pode não reconhecer outro valor." type="list" errorStyle="warning">
      <formula1>'Inimigos'!$A$11:$A$22</formula1>
    </dataValidation>
    <dataValidation sqref="C91" showDropDown="0" showInputMessage="0" showErrorMessage="1" allowBlank="1" errorTitle="Valor fora da faixa" error="Fase: use um número inteiro de 2 a 3." type="whole" errorStyle="warning" operator="between">
      <formula1>2</formula1>
      <formula2>3</formula2>
    </dataValidation>
    <dataValidation sqref="D91" showDropDown="0" showInputMessage="0" showErrorMessage="1" allowBlank="1" errorTitle="Fora da lista" error="Fraqueza 1: escolha um valor da lista. A planilha pode não reconhecer outro valor." type="list" errorStyle="warning">
      <formula1>'Dados'!$AN$6:$AN$12</formula1>
    </dataValidation>
    <dataValidation sqref="E91" showDropDown="0" showInputMessage="0" showErrorMessage="1" allowBlank="1" errorTitle="Fora da lista" error="Fraqueza 2: escolha um valor da lista. A planilha pode não reconhecer outro valor." type="list" errorStyle="warning">
      <formula1>'Dados'!$AN$6:$AN$12</formula1>
    </dataValidation>
    <dataValidation sqref="F91" showDropDown="0" showInputMessage="0" showErrorMessage="1" allowBlank="1" errorTitle="Fora da lista" error="Fraqueza 3: escolha um valor da lista. A planilha pode não reconhecer outro valor." type="list" errorStyle="warning">
      <formula1>'Dados'!$AN$6:$AN$12</formula1>
    </dataValidation>
    <dataValidation sqref="G91" showDropDown="0" showInputMessage="0" showErrorMessage="1" allowBlank="1" errorTitle="Fora da lista" error="Fraqueza 4: escolha um valor da lista. A planilha pode não reconhecer outro valor." type="list" errorStyle="warning">
      <formula1>'Dados'!$AN$6:$AN$12</formula1>
    </dataValidation>
    <dataValidation sqref="H91" showDropDown="0" showInputMessage="0" showErrorMessage="1" allowBlank="1" errorTitle="Valor fora da faixa" error="Tenacidade: use um número inteiro de 0 a 13." type="whole" errorStyle="warning" operator="between">
      <formula1>0</formula1>
      <formula2>13</formula2>
    </dataValidation>
    <dataValidation sqref="I91" showDropDown="0" showInputMessage="0" showErrorMessage="1" allowBlank="1" errorTitle="Texto longo" error="Ritmo: até 80 caracteres." type="textLength" errorStyle="warning" operator="lessThanOrEqual">
      <formula1>80</formula1>
    </dataValidation>
    <dataValidation sqref="A92" showDropDown="0" showInputMessage="0" showErrorMessage="1" allowBlank="1" errorTitle="Fora da lista" error="Inimigo: escolha um valor da lista. A planilha pode não reconhecer outro valor." type="list" errorStyle="warning">
      <formula1>'Inimigos'!$A$11:$A$22</formula1>
    </dataValidation>
    <dataValidation sqref="C92" showDropDown="0" showInputMessage="0" showErrorMessage="1" allowBlank="1" errorTitle="Valor fora da faixa" error="Fase: use um número inteiro de 2 a 3." type="whole" errorStyle="warning" operator="between">
      <formula1>2</formula1>
      <formula2>3</formula2>
    </dataValidation>
    <dataValidation sqref="D92" showDropDown="0" showInputMessage="0" showErrorMessage="1" allowBlank="1" errorTitle="Fora da lista" error="Fraqueza 1: escolha um valor da lista. A planilha pode não reconhecer outro valor." type="list" errorStyle="warning">
      <formula1>'Dados'!$AN$6:$AN$12</formula1>
    </dataValidation>
    <dataValidation sqref="E92" showDropDown="0" showInputMessage="0" showErrorMessage="1" allowBlank="1" errorTitle="Fora da lista" error="Fraqueza 2: escolha um valor da lista. A planilha pode não reconhecer outro valor." type="list" errorStyle="warning">
      <formula1>'Dados'!$AN$6:$AN$12</formula1>
    </dataValidation>
    <dataValidation sqref="F92" showDropDown="0" showInputMessage="0" showErrorMessage="1" allowBlank="1" errorTitle="Fora da lista" error="Fraqueza 3: escolha um valor da lista. A planilha pode não reconhecer outro valor." type="list" errorStyle="warning">
      <formula1>'Dados'!$AN$6:$AN$12</formula1>
    </dataValidation>
    <dataValidation sqref="G92" showDropDown="0" showInputMessage="0" showErrorMessage="1" allowBlank="1" errorTitle="Fora da lista" error="Fraqueza 4: escolha um valor da lista. A planilha pode não reconhecer outro valor." type="list" errorStyle="warning">
      <formula1>'Dados'!$AN$6:$AN$12</formula1>
    </dataValidation>
    <dataValidation sqref="H92" showDropDown="0" showInputMessage="0" showErrorMessage="1" allowBlank="1" errorTitle="Valor fora da faixa" error="Tenacidade: use um número inteiro de 0 a 13." type="whole" errorStyle="warning" operator="between">
      <formula1>0</formula1>
      <formula2>13</formula2>
    </dataValidation>
    <dataValidation sqref="I92" showDropDown="0" showInputMessage="0" showErrorMessage="1" allowBlank="1" errorTitle="Texto longo" error="Ritmo: até 80 caracteres." type="textLength" errorStyle="warning" operator="lessThanOrEqual">
      <formula1>80</formula1>
    </dataValidation>
    <dataValidation sqref="A93" showDropDown="0" showInputMessage="0" showErrorMessage="1" allowBlank="1" errorTitle="Fora da lista" error="Inimigo: escolha um valor da lista. A planilha pode não reconhecer outro valor." type="list" errorStyle="warning">
      <formula1>'Inimigos'!$A$11:$A$22</formula1>
    </dataValidation>
    <dataValidation sqref="C93" showDropDown="0" showInputMessage="0" showErrorMessage="1" allowBlank="1" errorTitle="Valor fora da faixa" error="Fase: use um número inteiro de 2 a 3." type="whole" errorStyle="warning" operator="between">
      <formula1>2</formula1>
      <formula2>3</formula2>
    </dataValidation>
    <dataValidation sqref="D93" showDropDown="0" showInputMessage="0" showErrorMessage="1" allowBlank="1" errorTitle="Fora da lista" error="Fraqueza 1: escolha um valor da lista. A planilha pode não reconhecer outro valor." type="list" errorStyle="warning">
      <formula1>'Dados'!$AN$6:$AN$12</formula1>
    </dataValidation>
    <dataValidation sqref="E93" showDropDown="0" showInputMessage="0" showErrorMessage="1" allowBlank="1" errorTitle="Fora da lista" error="Fraqueza 2: escolha um valor da lista. A planilha pode não reconhecer outro valor." type="list" errorStyle="warning">
      <formula1>'Dados'!$AN$6:$AN$12</formula1>
    </dataValidation>
    <dataValidation sqref="F93" showDropDown="0" showInputMessage="0" showErrorMessage="1" allowBlank="1" errorTitle="Fora da lista" error="Fraqueza 3: escolha um valor da lista. A planilha pode não reconhecer outro valor." type="list" errorStyle="warning">
      <formula1>'Dados'!$AN$6:$AN$12</formula1>
    </dataValidation>
    <dataValidation sqref="G93" showDropDown="0" showInputMessage="0" showErrorMessage="1" allowBlank="1" errorTitle="Fora da lista" error="Fraqueza 4: escolha um valor da lista. A planilha pode não reconhecer outro valor." type="list" errorStyle="warning">
      <formula1>'Dados'!$AN$6:$AN$12</formula1>
    </dataValidation>
    <dataValidation sqref="H93" showDropDown="0" showInputMessage="0" showErrorMessage="1" allowBlank="1" errorTitle="Valor fora da faixa" error="Tenacidade: use um número inteiro de 0 a 13." type="whole" errorStyle="warning" operator="between">
      <formula1>0</formula1>
      <formula2>13</formula2>
    </dataValidation>
    <dataValidation sqref="I93" showDropDown="0" showInputMessage="0" showErrorMessage="1" allowBlank="1" errorTitle="Texto longo" error="Ritmo: até 80 caracteres." type="textLength" errorStyle="warning" operator="lessThanOrEqual">
      <formula1>80</formula1>
    </dataValidation>
    <dataValidation sqref="A94" showDropDown="0" showInputMessage="0" showErrorMessage="1" allowBlank="1" errorTitle="Fora da lista" error="Inimigo: escolha um valor da lista. A planilha pode não reconhecer outro valor." type="list" errorStyle="warning">
      <formula1>'Inimigos'!$A$11:$A$22</formula1>
    </dataValidation>
    <dataValidation sqref="C94" showDropDown="0" showInputMessage="0" showErrorMessage="1" allowBlank="1" errorTitle="Valor fora da faixa" error="Fase: use um número inteiro de 2 a 3." type="whole" errorStyle="warning" operator="between">
      <formula1>2</formula1>
      <formula2>3</formula2>
    </dataValidation>
    <dataValidation sqref="D94" showDropDown="0" showInputMessage="0" showErrorMessage="1" allowBlank="1" errorTitle="Fora da lista" error="Fraqueza 1: escolha um valor da lista. A planilha pode não reconhecer outro valor." type="list" errorStyle="warning">
      <formula1>'Dados'!$AN$6:$AN$12</formula1>
    </dataValidation>
    <dataValidation sqref="E94" showDropDown="0" showInputMessage="0" showErrorMessage="1" allowBlank="1" errorTitle="Fora da lista" error="Fraqueza 2: escolha um valor da lista. A planilha pode não reconhecer outro valor." type="list" errorStyle="warning">
      <formula1>'Dados'!$AN$6:$AN$12</formula1>
    </dataValidation>
    <dataValidation sqref="F94" showDropDown="0" showInputMessage="0" showErrorMessage="1" allowBlank="1" errorTitle="Fora da lista" error="Fraqueza 3: escolha um valor da lista. A planilha pode não reconhecer outro valor." type="list" errorStyle="warning">
      <formula1>'Dados'!$AN$6:$AN$12</formula1>
    </dataValidation>
    <dataValidation sqref="G94" showDropDown="0" showInputMessage="0" showErrorMessage="1" allowBlank="1" errorTitle="Fora da lista" error="Fraqueza 4: escolha um valor da lista. A planilha pode não reconhecer outro valor." type="list" errorStyle="warning">
      <formula1>'Dados'!$AN$6:$AN$12</formula1>
    </dataValidation>
    <dataValidation sqref="H94" showDropDown="0" showInputMessage="0" showErrorMessage="1" allowBlank="1" errorTitle="Valor fora da faixa" error="Tenacidade: use um número inteiro de 0 a 13." type="whole" errorStyle="warning" operator="between">
      <formula1>0</formula1>
      <formula2>13</formula2>
    </dataValidation>
    <dataValidation sqref="I94" showDropDown="0" showInputMessage="0" showErrorMessage="1" allowBlank="1" errorTitle="Texto longo" error="Ritmo: até 80 caracteres." type="textLength" errorStyle="warning" operator="lessThanOrEqual">
      <formula1>80</formula1>
    </dataValidation>
    <dataValidation sqref="A95" showDropDown="0" showInputMessage="0" showErrorMessage="1" allowBlank="1" errorTitle="Fora da lista" error="Inimigo: escolha um valor da lista. A planilha pode não reconhecer outro valor." type="list" errorStyle="warning">
      <formula1>'Inimigos'!$A$11:$A$22</formula1>
    </dataValidation>
    <dataValidation sqref="C95" showDropDown="0" showInputMessage="0" showErrorMessage="1" allowBlank="1" errorTitle="Valor fora da faixa" error="Fase: use um número inteiro de 2 a 3." type="whole" errorStyle="warning" operator="between">
      <formula1>2</formula1>
      <formula2>3</formula2>
    </dataValidation>
    <dataValidation sqref="D95" showDropDown="0" showInputMessage="0" showErrorMessage="1" allowBlank="1" errorTitle="Fora da lista" error="Fraqueza 1: escolha um valor da lista. A planilha pode não reconhecer outro valor." type="list" errorStyle="warning">
      <formula1>'Dados'!$AN$6:$AN$12</formula1>
    </dataValidation>
    <dataValidation sqref="E95" showDropDown="0" showInputMessage="0" showErrorMessage="1" allowBlank="1" errorTitle="Fora da lista" error="Fraqueza 2: escolha um valor da lista. A planilha pode não reconhecer outro valor." type="list" errorStyle="warning">
      <formula1>'Dados'!$AN$6:$AN$12</formula1>
    </dataValidation>
    <dataValidation sqref="F95" showDropDown="0" showInputMessage="0" showErrorMessage="1" allowBlank="1" errorTitle="Fora da lista" error="Fraqueza 3: escolha um valor da lista. A planilha pode não reconhecer outro valor." type="list" errorStyle="warning">
      <formula1>'Dados'!$AN$6:$AN$12</formula1>
    </dataValidation>
    <dataValidation sqref="G95" showDropDown="0" showInputMessage="0" showErrorMessage="1" allowBlank="1" errorTitle="Fora da lista" error="Fraqueza 4: escolha um valor da lista. A planilha pode não reconhecer outro valor." type="list" errorStyle="warning">
      <formula1>'Dados'!$AN$6:$AN$12</formula1>
    </dataValidation>
    <dataValidation sqref="H95" showDropDown="0" showInputMessage="0" showErrorMessage="1" allowBlank="1" errorTitle="Valor fora da faixa" error="Tenacidade: use um número inteiro de 0 a 13." type="whole" errorStyle="warning" operator="between">
      <formula1>0</formula1>
      <formula2>13</formula2>
    </dataValidation>
    <dataValidation sqref="I95" showDropDown="0" showInputMessage="0" showErrorMessage="1" allowBlank="1" errorTitle="Texto longo" error="Ritmo: até 80 caracteres." type="textLength" errorStyle="warning" operator="lessThanOrEqual">
      <formula1>80</formula1>
    </dataValidation>
    <dataValidation sqref="A96" showDropDown="0" showInputMessage="0" showErrorMessage="1" allowBlank="1" errorTitle="Fora da lista" error="Inimigo: escolha um valor da lista. A planilha pode não reconhecer outro valor." type="list" errorStyle="warning">
      <formula1>'Inimigos'!$A$11:$A$22</formula1>
    </dataValidation>
    <dataValidation sqref="C96" showDropDown="0" showInputMessage="0" showErrorMessage="1" allowBlank="1" errorTitle="Valor fora da faixa" error="Fase: use um número inteiro de 2 a 3." type="whole" errorStyle="warning" operator="between">
      <formula1>2</formula1>
      <formula2>3</formula2>
    </dataValidation>
    <dataValidation sqref="D96" showDropDown="0" showInputMessage="0" showErrorMessage="1" allowBlank="1" errorTitle="Fora da lista" error="Fraqueza 1: escolha um valor da lista. A planilha pode não reconhecer outro valor." type="list" errorStyle="warning">
      <formula1>'Dados'!$AN$6:$AN$12</formula1>
    </dataValidation>
    <dataValidation sqref="E96" showDropDown="0" showInputMessage="0" showErrorMessage="1" allowBlank="1" errorTitle="Fora da lista" error="Fraqueza 2: escolha um valor da lista. A planilha pode não reconhecer outro valor." type="list" errorStyle="warning">
      <formula1>'Dados'!$AN$6:$AN$12</formula1>
    </dataValidation>
    <dataValidation sqref="F96" showDropDown="0" showInputMessage="0" showErrorMessage="1" allowBlank="1" errorTitle="Fora da lista" error="Fraqueza 3: escolha um valor da lista. A planilha pode não reconhecer outro valor." type="list" errorStyle="warning">
      <formula1>'Dados'!$AN$6:$AN$12</formula1>
    </dataValidation>
    <dataValidation sqref="G96" showDropDown="0" showInputMessage="0" showErrorMessage="1" allowBlank="1" errorTitle="Fora da lista" error="Fraqueza 4: escolha um valor da lista. A planilha pode não reconhecer outro valor." type="list" errorStyle="warning">
      <formula1>'Dados'!$AN$6:$AN$12</formula1>
    </dataValidation>
    <dataValidation sqref="H96" showDropDown="0" showInputMessage="0" showErrorMessage="1" allowBlank="1" errorTitle="Valor fora da faixa" error="Tenacidade: use um número inteiro de 0 a 13." type="whole" errorStyle="warning" operator="between">
      <formula1>0</formula1>
      <formula2>13</formula2>
    </dataValidation>
    <dataValidation sqref="I96" showDropDown="0" showInputMessage="0" showErrorMessage="1" allowBlank="1" errorTitle="Texto longo" error="Ritmo: até 80 caracteres." type="textLength" errorStyle="warning" operator="lessThanOrEqual">
      <formula1>80</formula1>
    </dataValidation>
    <dataValidation sqref="A97" showDropDown="0" showInputMessage="0" showErrorMessage="1" allowBlank="1" errorTitle="Fora da lista" error="Inimigo: escolha um valor da lista. A planilha pode não reconhecer outro valor." type="list" errorStyle="warning">
      <formula1>'Inimigos'!$A$11:$A$22</formula1>
    </dataValidation>
    <dataValidation sqref="C97" showDropDown="0" showInputMessage="0" showErrorMessage="1" allowBlank="1" errorTitle="Valor fora da faixa" error="Fase: use um número inteiro de 2 a 3." type="whole" errorStyle="warning" operator="between">
      <formula1>2</formula1>
      <formula2>3</formula2>
    </dataValidation>
    <dataValidation sqref="D97" showDropDown="0" showInputMessage="0" showErrorMessage="1" allowBlank="1" errorTitle="Fora da lista" error="Fraqueza 1: escolha um valor da lista. A planilha pode não reconhecer outro valor." type="list" errorStyle="warning">
      <formula1>'Dados'!$AN$6:$AN$12</formula1>
    </dataValidation>
    <dataValidation sqref="E97" showDropDown="0" showInputMessage="0" showErrorMessage="1" allowBlank="1" errorTitle="Fora da lista" error="Fraqueza 2: escolha um valor da lista. A planilha pode não reconhecer outro valor." type="list" errorStyle="warning">
      <formula1>'Dados'!$AN$6:$AN$12</formula1>
    </dataValidation>
    <dataValidation sqref="F97" showDropDown="0" showInputMessage="0" showErrorMessage="1" allowBlank="1" errorTitle="Fora da lista" error="Fraqueza 3: escolha um valor da lista. A planilha pode não reconhecer outro valor." type="list" errorStyle="warning">
      <formula1>'Dados'!$AN$6:$AN$12</formula1>
    </dataValidation>
    <dataValidation sqref="G97" showDropDown="0" showInputMessage="0" showErrorMessage="1" allowBlank="1" errorTitle="Fora da lista" error="Fraqueza 4: escolha um valor da lista. A planilha pode não reconhecer outro valor." type="list" errorStyle="warning">
      <formula1>'Dados'!$AN$6:$AN$12</formula1>
    </dataValidation>
    <dataValidation sqref="H97" showDropDown="0" showInputMessage="0" showErrorMessage="1" allowBlank="1" errorTitle="Valor fora da faixa" error="Tenacidade: use um número inteiro de 0 a 13." type="whole" errorStyle="warning" operator="between">
      <formula1>0</formula1>
      <formula2>13</formula2>
    </dataValidation>
    <dataValidation sqref="I97" showDropDown="0" showInputMessage="0" showErrorMessage="1" allowBlank="1" errorTitle="Texto longo" error="Ritmo: até 80 caracteres." type="textLength" errorStyle="warning" operator="lessThanOrEqual">
      <formula1>80</formula1>
    </dataValidation>
    <dataValidation sqref="A98" showDropDown="0" showInputMessage="0" showErrorMessage="1" allowBlank="1" errorTitle="Fora da lista" error="Inimigo: escolha um valor da lista. A planilha pode não reconhecer outro valor." type="list" errorStyle="warning">
      <formula1>'Inimigos'!$A$11:$A$22</formula1>
    </dataValidation>
    <dataValidation sqref="C98" showDropDown="0" showInputMessage="0" showErrorMessage="1" allowBlank="1" errorTitle="Valor fora da faixa" error="Fase: use um número inteiro de 2 a 3." type="whole" errorStyle="warning" operator="between">
      <formula1>2</formula1>
      <formula2>3</formula2>
    </dataValidation>
    <dataValidation sqref="D98" showDropDown="0" showInputMessage="0" showErrorMessage="1" allowBlank="1" errorTitle="Fora da lista" error="Fraqueza 1: escolha um valor da lista. A planilha pode não reconhecer outro valor." type="list" errorStyle="warning">
      <formula1>'Dados'!$AN$6:$AN$12</formula1>
    </dataValidation>
    <dataValidation sqref="E98" showDropDown="0" showInputMessage="0" showErrorMessage="1" allowBlank="1" errorTitle="Fora da lista" error="Fraqueza 2: escolha um valor da lista. A planilha pode não reconhecer outro valor." type="list" errorStyle="warning">
      <formula1>'Dados'!$AN$6:$AN$12</formula1>
    </dataValidation>
    <dataValidation sqref="F98" showDropDown="0" showInputMessage="0" showErrorMessage="1" allowBlank="1" errorTitle="Fora da lista" error="Fraqueza 3: escolha um valor da lista. A planilha pode não reconhecer outro valor." type="list" errorStyle="warning">
      <formula1>'Dados'!$AN$6:$AN$12</formula1>
    </dataValidation>
    <dataValidation sqref="G98" showDropDown="0" showInputMessage="0" showErrorMessage="1" allowBlank="1" errorTitle="Fora da lista" error="Fraqueza 4: escolha um valor da lista. A planilha pode não reconhecer outro valor." type="list" errorStyle="warning">
      <formula1>'Dados'!$AN$6:$AN$12</formula1>
    </dataValidation>
    <dataValidation sqref="H98" showDropDown="0" showInputMessage="0" showErrorMessage="1" allowBlank="1" errorTitle="Valor fora da faixa" error="Tenacidade: use um número inteiro de 0 a 13." type="whole" errorStyle="warning" operator="between">
      <formula1>0</formula1>
      <formula2>13</formula2>
    </dataValidation>
    <dataValidation sqref="I98" showDropDown="0" showInputMessage="0" showErrorMessage="1" allowBlank="1" errorTitle="Texto longo" error="Ritmo: até 80 caracteres." type="textLength" errorStyle="warning" operator="lessThanOrEqual">
      <formula1>80</formula1>
    </dataValidation>
    <dataValidation sqref="A99" showDropDown="0" showInputMessage="0" showErrorMessage="1" allowBlank="1" errorTitle="Fora da lista" error="Inimigo: escolha um valor da lista. A planilha pode não reconhecer outro valor." type="list" errorStyle="warning">
      <formula1>'Inimigos'!$A$11:$A$22</formula1>
    </dataValidation>
    <dataValidation sqref="C99" showDropDown="0" showInputMessage="0" showErrorMessage="1" allowBlank="1" errorTitle="Valor fora da faixa" error="Fase: use um número inteiro de 2 a 3." type="whole" errorStyle="warning" operator="between">
      <formula1>2</formula1>
      <formula2>3</formula2>
    </dataValidation>
    <dataValidation sqref="D99" showDropDown="0" showInputMessage="0" showErrorMessage="1" allowBlank="1" errorTitle="Fora da lista" error="Fraqueza 1: escolha um valor da lista. A planilha pode não reconhecer outro valor." type="list" errorStyle="warning">
      <formula1>'Dados'!$AN$6:$AN$12</formula1>
    </dataValidation>
    <dataValidation sqref="E99" showDropDown="0" showInputMessage="0" showErrorMessage="1" allowBlank="1" errorTitle="Fora da lista" error="Fraqueza 2: escolha um valor da lista. A planilha pode não reconhecer outro valor." type="list" errorStyle="warning">
      <formula1>'Dados'!$AN$6:$AN$12</formula1>
    </dataValidation>
    <dataValidation sqref="F99" showDropDown="0" showInputMessage="0" showErrorMessage="1" allowBlank="1" errorTitle="Fora da lista" error="Fraqueza 3: escolha um valor da lista. A planilha pode não reconhecer outro valor." type="list" errorStyle="warning">
      <formula1>'Dados'!$AN$6:$AN$12</formula1>
    </dataValidation>
    <dataValidation sqref="G99" showDropDown="0" showInputMessage="0" showErrorMessage="1" allowBlank="1" errorTitle="Fora da lista" error="Fraqueza 4: escolha um valor da lista. A planilha pode não reconhecer outro valor." type="list" errorStyle="warning">
      <formula1>'Dados'!$AN$6:$AN$12</formula1>
    </dataValidation>
    <dataValidation sqref="H99" showDropDown="0" showInputMessage="0" showErrorMessage="1" allowBlank="1" errorTitle="Valor fora da faixa" error="Tenacidade: use um número inteiro de 0 a 13." type="whole" errorStyle="warning" operator="between">
      <formula1>0</formula1>
      <formula2>13</formula2>
    </dataValidation>
    <dataValidation sqref="I99" showDropDown="0" showInputMessage="0" showErrorMessage="1" allowBlank="1" errorTitle="Texto longo" error="Ritmo: até 80 caracteres." type="textLength" errorStyle="warning" operator="lessThanOrEqual">
      <formula1>80</formula1>
    </dataValidation>
    <dataValidation sqref="A101" showDropDown="0" showInputMessage="0" showErrorMessage="1" allowBlank="1" errorTitle="Fora da lista" error="Inimigo: escolha um valor da lista. A planilha pode não reconhecer outro valor." type="list" errorStyle="warning">
      <formula1>'Inimigos'!$A$11:$A$22</formula1>
    </dataValidation>
    <dataValidation sqref="C101" showDropDown="0" showInputMessage="0" showErrorMessage="1" allowBlank="1" errorTitle="Valor fora da faixa" error="Fase: use um número inteiro de 2 a 3." type="whole" errorStyle="warning" operator="between">
      <formula1>2</formula1>
      <formula2>3</formula2>
    </dataValidation>
    <dataValidation sqref="D101" showDropDown="0" showInputMessage="0" showErrorMessage="1" allowBlank="1" errorTitle="Fora da lista" error="Fraqueza 1: escolha um valor da lista. A planilha pode não reconhecer outro valor." type="list" errorStyle="warning">
      <formula1>'Dados'!$AN$6:$AN$12</formula1>
    </dataValidation>
    <dataValidation sqref="E101" showDropDown="0" showInputMessage="0" showErrorMessage="1" allowBlank="1" errorTitle="Fora da lista" error="Fraqueza 2: escolha um valor da lista. A planilha pode não reconhecer outro valor." type="list" errorStyle="warning">
      <formula1>'Dados'!$AN$6:$AN$12</formula1>
    </dataValidation>
    <dataValidation sqref="F101" showDropDown="0" showInputMessage="0" showErrorMessage="1" allowBlank="1" errorTitle="Fora da lista" error="Fraqueza 3: escolha um valor da lista. A planilha pode não reconhecer outro valor." type="list" errorStyle="warning">
      <formula1>'Dados'!$AN$6:$AN$12</formula1>
    </dataValidation>
    <dataValidation sqref="G101" showDropDown="0" showInputMessage="0" showErrorMessage="1" allowBlank="1" errorTitle="Fora da lista" error="Fraqueza 4: escolha um valor da lista. A planilha pode não reconhecer outro valor." type="list" errorStyle="warning">
      <formula1>'Dados'!$AN$6:$AN$12</formula1>
    </dataValidation>
    <dataValidation sqref="H101" showDropDown="0" showInputMessage="0" showErrorMessage="1" allowBlank="1" errorTitle="Valor fora da faixa" error="Tenacidade: use um número inteiro de 0 a 13." type="whole" errorStyle="warning" operator="between">
      <formula1>0</formula1>
      <formula2>13</formula2>
    </dataValidation>
    <dataValidation sqref="I101" showDropDown="0" showInputMessage="0" showErrorMessage="1" allowBlank="1" errorTitle="Texto longo" error="Ritmo: até 80 caracteres." type="textLength" errorStyle="warning" operator="lessThanOrEqual">
      <formula1>80</formula1>
    </dataValidation>
    <dataValidation sqref="A102" showDropDown="0" showInputMessage="0" showErrorMessage="1" allowBlank="1" errorTitle="Fora da lista" error="Inimigo: escolha um valor da lista. A planilha pode não reconhecer outro valor." type="list" errorStyle="warning">
      <formula1>'Inimigos'!$A$11:$A$22</formula1>
    </dataValidation>
    <dataValidation sqref="C102" showDropDown="0" showInputMessage="0" showErrorMessage="1" allowBlank="1" errorTitle="Valor fora da faixa" error="Fase: use um número inteiro de 2 a 3." type="whole" errorStyle="warning" operator="between">
      <formula1>2</formula1>
      <formula2>3</formula2>
    </dataValidation>
    <dataValidation sqref="D102" showDropDown="0" showInputMessage="0" showErrorMessage="1" allowBlank="1" errorTitle="Fora da lista" error="Fraqueza 1: escolha um valor da lista. A planilha pode não reconhecer outro valor." type="list" errorStyle="warning">
      <formula1>'Dados'!$AN$6:$AN$12</formula1>
    </dataValidation>
    <dataValidation sqref="E102" showDropDown="0" showInputMessage="0" showErrorMessage="1" allowBlank="1" errorTitle="Fora da lista" error="Fraqueza 2: escolha um valor da lista. A planilha pode não reconhecer outro valor." type="list" errorStyle="warning">
      <formula1>'Dados'!$AN$6:$AN$12</formula1>
    </dataValidation>
    <dataValidation sqref="F102" showDropDown="0" showInputMessage="0" showErrorMessage="1" allowBlank="1" errorTitle="Fora da lista" error="Fraqueza 3: escolha um valor da lista. A planilha pode não reconhecer outro valor." type="list" errorStyle="warning">
      <formula1>'Dados'!$AN$6:$AN$12</formula1>
    </dataValidation>
    <dataValidation sqref="G102" showDropDown="0" showInputMessage="0" showErrorMessage="1" allowBlank="1" errorTitle="Fora da lista" error="Fraqueza 4: escolha um valor da lista. A planilha pode não reconhecer outro valor." type="list" errorStyle="warning">
      <formula1>'Dados'!$AN$6:$AN$12</formula1>
    </dataValidation>
    <dataValidation sqref="H102" showDropDown="0" showInputMessage="0" showErrorMessage="1" allowBlank="1" errorTitle="Valor fora da faixa" error="Tenacidade: use um número inteiro de 0 a 13." type="whole" errorStyle="warning" operator="between">
      <formula1>0</formula1>
      <formula2>13</formula2>
    </dataValidation>
    <dataValidation sqref="I102" showDropDown="0" showInputMessage="0" showErrorMessage="1" allowBlank="1" errorTitle="Texto longo" error="Ritmo: até 80 caracteres." type="textLength" errorStyle="warning" operator="lessThanOrEqual">
      <formula1>80</formula1>
    </dataValidation>
    <dataValidation sqref="A103" showDropDown="0" showInputMessage="0" showErrorMessage="1" allowBlank="1" errorTitle="Fora da lista" error="Inimigo: escolha um valor da lista. A planilha pode não reconhecer outro valor." type="list" errorStyle="warning">
      <formula1>'Inimigos'!$A$11:$A$22</formula1>
    </dataValidation>
    <dataValidation sqref="C103" showDropDown="0" showInputMessage="0" showErrorMessage="1" allowBlank="1" errorTitle="Valor fora da faixa" error="Fase: use um número inteiro de 2 a 3." type="whole" errorStyle="warning" operator="between">
      <formula1>2</formula1>
      <formula2>3</formula2>
    </dataValidation>
    <dataValidation sqref="D103" showDropDown="0" showInputMessage="0" showErrorMessage="1" allowBlank="1" errorTitle="Fora da lista" error="Fraqueza 1: escolha um valor da lista. A planilha pode não reconhecer outro valor." type="list" errorStyle="warning">
      <formula1>'Dados'!$AN$6:$AN$12</formula1>
    </dataValidation>
    <dataValidation sqref="E103" showDropDown="0" showInputMessage="0" showErrorMessage="1" allowBlank="1" errorTitle="Fora da lista" error="Fraqueza 2: escolha um valor da lista. A planilha pode não reconhecer outro valor." type="list" errorStyle="warning">
      <formula1>'Dados'!$AN$6:$AN$12</formula1>
    </dataValidation>
    <dataValidation sqref="F103" showDropDown="0" showInputMessage="0" showErrorMessage="1" allowBlank="1" errorTitle="Fora da lista" error="Fraqueza 3: escolha um valor da lista. A planilha pode não reconhecer outro valor." type="list" errorStyle="warning">
      <formula1>'Dados'!$AN$6:$AN$12</formula1>
    </dataValidation>
    <dataValidation sqref="G103" showDropDown="0" showInputMessage="0" showErrorMessage="1" allowBlank="1" errorTitle="Fora da lista" error="Fraqueza 4: escolha um valor da lista. A planilha pode não reconhecer outro valor." type="list" errorStyle="warning">
      <formula1>'Dados'!$AN$6:$AN$12</formula1>
    </dataValidation>
    <dataValidation sqref="H103" showDropDown="0" showInputMessage="0" showErrorMessage="1" allowBlank="1" errorTitle="Valor fora da faixa" error="Tenacidade: use um número inteiro de 0 a 13." type="whole" errorStyle="warning" operator="between">
      <formula1>0</formula1>
      <formula2>13</formula2>
    </dataValidation>
    <dataValidation sqref="I103" showDropDown="0" showInputMessage="0" showErrorMessage="1" allowBlank="1" errorTitle="Texto longo" error="Ritmo: até 80 caracteres." type="textLength" errorStyle="warning" operator="lessThanOrEqual">
      <formula1>80</formula1>
    </dataValidation>
    <dataValidation sqref="A104" showDropDown="0" showInputMessage="0" showErrorMessage="1" allowBlank="1" errorTitle="Fora da lista" error="Inimigo: escolha um valor da lista. A planilha pode não reconhecer outro valor." type="list" errorStyle="warning">
      <formula1>'Inimigos'!$A$11:$A$22</formula1>
    </dataValidation>
    <dataValidation sqref="C104" showDropDown="0" showInputMessage="0" showErrorMessage="1" allowBlank="1" errorTitle="Valor fora da faixa" error="Fase: use um número inteiro de 2 a 3." type="whole" errorStyle="warning" operator="between">
      <formula1>2</formula1>
      <formula2>3</formula2>
    </dataValidation>
    <dataValidation sqref="D104" showDropDown="0" showInputMessage="0" showErrorMessage="1" allowBlank="1" errorTitle="Fora da lista" error="Fraqueza 1: escolha um valor da lista. A planilha pode não reconhecer outro valor." type="list" errorStyle="warning">
      <formula1>'Dados'!$AN$6:$AN$12</formula1>
    </dataValidation>
    <dataValidation sqref="E104" showDropDown="0" showInputMessage="0" showErrorMessage="1" allowBlank="1" errorTitle="Fora da lista" error="Fraqueza 2: escolha um valor da lista. A planilha pode não reconhecer outro valor." type="list" errorStyle="warning">
      <formula1>'Dados'!$AN$6:$AN$12</formula1>
    </dataValidation>
    <dataValidation sqref="F104" showDropDown="0" showInputMessage="0" showErrorMessage="1" allowBlank="1" errorTitle="Fora da lista" error="Fraqueza 3: escolha um valor da lista. A planilha pode não reconhecer outro valor." type="list" errorStyle="warning">
      <formula1>'Dados'!$AN$6:$AN$12</formula1>
    </dataValidation>
    <dataValidation sqref="G104" showDropDown="0" showInputMessage="0" showErrorMessage="1" allowBlank="1" errorTitle="Fora da lista" error="Fraqueza 4: escolha um valor da lista. A planilha pode não reconhecer outro valor." type="list" errorStyle="warning">
      <formula1>'Dados'!$AN$6:$AN$12</formula1>
    </dataValidation>
    <dataValidation sqref="H104" showDropDown="0" showInputMessage="0" showErrorMessage="1" allowBlank="1" errorTitle="Valor fora da faixa" error="Tenacidade: use um número inteiro de 0 a 13." type="whole" errorStyle="warning" operator="between">
      <formula1>0</formula1>
      <formula2>13</formula2>
    </dataValidation>
    <dataValidation sqref="I104" showDropDown="0" showInputMessage="0" showErrorMessage="1" allowBlank="1" errorTitle="Texto longo" error="Ritmo: até 80 caracteres." type="textLength" errorStyle="warning" operator="lessThanOrEqual">
      <formula1>80</formula1>
    </dataValidation>
    <dataValidation sqref="A105" showDropDown="0" showInputMessage="0" showErrorMessage="1" allowBlank="1" errorTitle="Fora da lista" error="Inimigo: escolha um valor da lista. A planilha pode não reconhecer outro valor." type="list" errorStyle="warning">
      <formula1>'Inimigos'!$A$11:$A$22</formula1>
    </dataValidation>
    <dataValidation sqref="C105" showDropDown="0" showInputMessage="0" showErrorMessage="1" allowBlank="1" errorTitle="Valor fora da faixa" error="Fase: use um número inteiro de 2 a 3." type="whole" errorStyle="warning" operator="between">
      <formula1>2</formula1>
      <formula2>3</formula2>
    </dataValidation>
    <dataValidation sqref="D105" showDropDown="0" showInputMessage="0" showErrorMessage="1" allowBlank="1" errorTitle="Fora da lista" error="Fraqueza 1: escolha um valor da lista. A planilha pode não reconhecer outro valor." type="list" errorStyle="warning">
      <formula1>'Dados'!$AN$6:$AN$12</formula1>
    </dataValidation>
    <dataValidation sqref="E105" showDropDown="0" showInputMessage="0" showErrorMessage="1" allowBlank="1" errorTitle="Fora da lista" error="Fraqueza 2: escolha um valor da lista. A planilha pode não reconhecer outro valor." type="list" errorStyle="warning">
      <formula1>'Dados'!$AN$6:$AN$12</formula1>
    </dataValidation>
    <dataValidation sqref="F105" showDropDown="0" showInputMessage="0" showErrorMessage="1" allowBlank="1" errorTitle="Fora da lista" error="Fraqueza 3: escolha um valor da lista. A planilha pode não reconhecer outro valor." type="list" errorStyle="warning">
      <formula1>'Dados'!$AN$6:$AN$12</formula1>
    </dataValidation>
    <dataValidation sqref="G105" showDropDown="0" showInputMessage="0" showErrorMessage="1" allowBlank="1" errorTitle="Fora da lista" error="Fraqueza 4: escolha um valor da lista. A planilha pode não reconhecer outro valor." type="list" errorStyle="warning">
      <formula1>'Dados'!$AN$6:$AN$12</formula1>
    </dataValidation>
    <dataValidation sqref="H105" showDropDown="0" showInputMessage="0" showErrorMessage="1" allowBlank="1" errorTitle="Valor fora da faixa" error="Tenacidade: use um número inteiro de 0 a 13." type="whole" errorStyle="warning" operator="between">
      <formula1>0</formula1>
      <formula2>13</formula2>
    </dataValidation>
    <dataValidation sqref="I105" showDropDown="0" showInputMessage="0" showErrorMessage="1" allowBlank="1" errorTitle="Texto longo" error="Ritmo: até 80 caracteres." type="textLength" errorStyle="warning" operator="lessThanOrEqual">
      <formula1>80</formula1>
    </dataValidation>
    <dataValidation sqref="A106" showDropDown="0" showInputMessage="0" showErrorMessage="1" allowBlank="1" errorTitle="Fora da lista" error="Inimigo: escolha um valor da lista. A planilha pode não reconhecer outro valor." type="list" errorStyle="warning">
      <formula1>'Inimigos'!$A$11:$A$22</formula1>
    </dataValidation>
    <dataValidation sqref="C106" showDropDown="0" showInputMessage="0" showErrorMessage="1" allowBlank="1" errorTitle="Valor fora da faixa" error="Fase: use um número inteiro de 2 a 3." type="whole" errorStyle="warning" operator="between">
      <formula1>2</formula1>
      <formula2>3</formula2>
    </dataValidation>
    <dataValidation sqref="D106" showDropDown="0" showInputMessage="0" showErrorMessage="1" allowBlank="1" errorTitle="Fora da lista" error="Fraqueza 1: escolha um valor da lista. A planilha pode não reconhecer outro valor." type="list" errorStyle="warning">
      <formula1>'Dados'!$AN$6:$AN$12</formula1>
    </dataValidation>
    <dataValidation sqref="E106" showDropDown="0" showInputMessage="0" showErrorMessage="1" allowBlank="1" errorTitle="Fora da lista" error="Fraqueza 2: escolha um valor da lista. A planilha pode não reconhecer outro valor." type="list" errorStyle="warning">
      <formula1>'Dados'!$AN$6:$AN$12</formula1>
    </dataValidation>
    <dataValidation sqref="F106" showDropDown="0" showInputMessage="0" showErrorMessage="1" allowBlank="1" errorTitle="Fora da lista" error="Fraqueza 3: escolha um valor da lista. A planilha pode não reconhecer outro valor." type="list" errorStyle="warning">
      <formula1>'Dados'!$AN$6:$AN$12</formula1>
    </dataValidation>
    <dataValidation sqref="G106" showDropDown="0" showInputMessage="0" showErrorMessage="1" allowBlank="1" errorTitle="Fora da lista" error="Fraqueza 4: escolha um valor da lista. A planilha pode não reconhecer outro valor." type="list" errorStyle="warning">
      <formula1>'Dados'!$AN$6:$AN$12</formula1>
    </dataValidation>
    <dataValidation sqref="H106" showDropDown="0" showInputMessage="0" showErrorMessage="1" allowBlank="1" errorTitle="Valor fora da faixa" error="Tenacidade: use um número inteiro de 0 a 13." type="whole" errorStyle="warning" operator="between">
      <formula1>0</formula1>
      <formula2>13</formula2>
    </dataValidation>
    <dataValidation sqref="I106" showDropDown="0" showInputMessage="0" showErrorMessage="1" allowBlank="1" errorTitle="Texto longo" error="Ritmo: até 80 caracteres." type="textLength" errorStyle="warning" operator="lessThanOrEqual">
      <formula1>80</formula1>
    </dataValidation>
    <dataValidation sqref="A107" showDropDown="0" showInputMessage="0" showErrorMessage="1" allowBlank="1" errorTitle="Fora da lista" error="Inimigo: escolha um valor da lista. A planilha pode não reconhecer outro valor." type="list" errorStyle="warning">
      <formula1>'Inimigos'!$A$11:$A$22</formula1>
    </dataValidation>
    <dataValidation sqref="C107" showDropDown="0" showInputMessage="0" showErrorMessage="1" allowBlank="1" errorTitle="Valor fora da faixa" error="Fase: use um número inteiro de 2 a 3." type="whole" errorStyle="warning" operator="between">
      <formula1>2</formula1>
      <formula2>3</formula2>
    </dataValidation>
    <dataValidation sqref="D107" showDropDown="0" showInputMessage="0" showErrorMessage="1" allowBlank="1" errorTitle="Fora da lista" error="Fraqueza 1: escolha um valor da lista. A planilha pode não reconhecer outro valor." type="list" errorStyle="warning">
      <formula1>'Dados'!$AN$6:$AN$12</formula1>
    </dataValidation>
    <dataValidation sqref="E107" showDropDown="0" showInputMessage="0" showErrorMessage="1" allowBlank="1" errorTitle="Fora da lista" error="Fraqueza 2: escolha um valor da lista. A planilha pode não reconhecer outro valor." type="list" errorStyle="warning">
      <formula1>'Dados'!$AN$6:$AN$12</formula1>
    </dataValidation>
    <dataValidation sqref="F107" showDropDown="0" showInputMessage="0" showErrorMessage="1" allowBlank="1" errorTitle="Fora da lista" error="Fraqueza 3: escolha um valor da lista. A planilha pode não reconhecer outro valor." type="list" errorStyle="warning">
      <formula1>'Dados'!$AN$6:$AN$12</formula1>
    </dataValidation>
    <dataValidation sqref="G107" showDropDown="0" showInputMessage="0" showErrorMessage="1" allowBlank="1" errorTitle="Fora da lista" error="Fraqueza 4: escolha um valor da lista. A planilha pode não reconhecer outro valor." type="list" errorStyle="warning">
      <formula1>'Dados'!$AN$6:$AN$12</formula1>
    </dataValidation>
    <dataValidation sqref="H107" showDropDown="0" showInputMessage="0" showErrorMessage="1" allowBlank="1" errorTitle="Valor fora da faixa" error="Tenacidade: use um número inteiro de 0 a 13." type="whole" errorStyle="warning" operator="between">
      <formula1>0</formula1>
      <formula2>13</formula2>
    </dataValidation>
    <dataValidation sqref="I107" showDropDown="0" showInputMessage="0" showErrorMessage="1" allowBlank="1" errorTitle="Texto longo" error="Ritmo: até 80 caracteres." type="textLength" errorStyle="warning" operator="lessThanOrEqual">
      <formula1>80</formula1>
    </dataValidation>
    <dataValidation sqref="A108" showDropDown="0" showInputMessage="0" showErrorMessage="1" allowBlank="1" errorTitle="Fora da lista" error="Inimigo: escolha um valor da lista. A planilha pode não reconhecer outro valor." type="list" errorStyle="warning">
      <formula1>'Inimigos'!$A$11:$A$22</formula1>
    </dataValidation>
    <dataValidation sqref="C108" showDropDown="0" showInputMessage="0" showErrorMessage="1" allowBlank="1" errorTitle="Valor fora da faixa" error="Fase: use um número inteiro de 2 a 3." type="whole" errorStyle="warning" operator="between">
      <formula1>2</formula1>
      <formula2>3</formula2>
    </dataValidation>
    <dataValidation sqref="D108" showDropDown="0" showInputMessage="0" showErrorMessage="1" allowBlank="1" errorTitle="Fora da lista" error="Fraqueza 1: escolha um valor da lista. A planilha pode não reconhecer outro valor." type="list" errorStyle="warning">
      <formula1>'Dados'!$AN$6:$AN$12</formula1>
    </dataValidation>
    <dataValidation sqref="E108" showDropDown="0" showInputMessage="0" showErrorMessage="1" allowBlank="1" errorTitle="Fora da lista" error="Fraqueza 2: escolha um valor da lista. A planilha pode não reconhecer outro valor." type="list" errorStyle="warning">
      <formula1>'Dados'!$AN$6:$AN$12</formula1>
    </dataValidation>
    <dataValidation sqref="F108" showDropDown="0" showInputMessage="0" showErrorMessage="1" allowBlank="1" errorTitle="Fora da lista" error="Fraqueza 3: escolha um valor da lista. A planilha pode não reconhecer outro valor." type="list" errorStyle="warning">
      <formula1>'Dados'!$AN$6:$AN$12</formula1>
    </dataValidation>
    <dataValidation sqref="G108" showDropDown="0" showInputMessage="0" showErrorMessage="1" allowBlank="1" errorTitle="Fora da lista" error="Fraqueza 4: escolha um valor da lista. A planilha pode não reconhecer outro valor." type="list" errorStyle="warning">
      <formula1>'Dados'!$AN$6:$AN$12</formula1>
    </dataValidation>
    <dataValidation sqref="H108" showDropDown="0" showInputMessage="0" showErrorMessage="1" allowBlank="1" errorTitle="Valor fora da faixa" error="Tenacidade: use um número inteiro de 0 a 13." type="whole" errorStyle="warning" operator="between">
      <formula1>0</formula1>
      <formula2>13</formula2>
    </dataValidation>
    <dataValidation sqref="I108" showDropDown="0" showInputMessage="0" showErrorMessage="1" allowBlank="1" errorTitle="Texto longo" error="Ritmo: até 80 caracteres." type="textLength" errorStyle="warning" operator="lessThanOrEqual">
      <formula1>80</formula1>
    </dataValidation>
    <dataValidation sqref="A109" showDropDown="0" showInputMessage="0" showErrorMessage="1" allowBlank="1" errorTitle="Fora da lista" error="Inimigo: escolha um valor da lista. A planilha pode não reconhecer outro valor." type="list" errorStyle="warning">
      <formula1>'Inimigos'!$A$11:$A$22</formula1>
    </dataValidation>
    <dataValidation sqref="C109" showDropDown="0" showInputMessage="0" showErrorMessage="1" allowBlank="1" errorTitle="Valor fora da faixa" error="Fase: use um número inteiro de 2 a 3." type="whole" errorStyle="warning" operator="between">
      <formula1>2</formula1>
      <formula2>3</formula2>
    </dataValidation>
    <dataValidation sqref="D109" showDropDown="0" showInputMessage="0" showErrorMessage="1" allowBlank="1" errorTitle="Fora da lista" error="Fraqueza 1: escolha um valor da lista. A planilha pode não reconhecer outro valor." type="list" errorStyle="warning">
      <formula1>'Dados'!$AN$6:$AN$12</formula1>
    </dataValidation>
    <dataValidation sqref="E109" showDropDown="0" showInputMessage="0" showErrorMessage="1" allowBlank="1" errorTitle="Fora da lista" error="Fraqueza 2: escolha um valor da lista. A planilha pode não reconhecer outro valor." type="list" errorStyle="warning">
      <formula1>'Dados'!$AN$6:$AN$12</formula1>
    </dataValidation>
    <dataValidation sqref="F109" showDropDown="0" showInputMessage="0" showErrorMessage="1" allowBlank="1" errorTitle="Fora da lista" error="Fraqueza 3: escolha um valor da lista. A planilha pode não reconhecer outro valor." type="list" errorStyle="warning">
      <formula1>'Dados'!$AN$6:$AN$12</formula1>
    </dataValidation>
    <dataValidation sqref="G109" showDropDown="0" showInputMessage="0" showErrorMessage="1" allowBlank="1" errorTitle="Fora da lista" error="Fraqueza 4: escolha um valor da lista. A planilha pode não reconhecer outro valor." type="list" errorStyle="warning">
      <formula1>'Dados'!$AN$6:$AN$12</formula1>
    </dataValidation>
    <dataValidation sqref="H109" showDropDown="0" showInputMessage="0" showErrorMessage="1" allowBlank="1" errorTitle="Valor fora da faixa" error="Tenacidade: use um número inteiro de 0 a 13." type="whole" errorStyle="warning" operator="between">
      <formula1>0</formula1>
      <formula2>13</formula2>
    </dataValidation>
    <dataValidation sqref="I109" showDropDown="0" showInputMessage="0" showErrorMessage="1" allowBlank="1" errorTitle="Texto longo" error="Ritmo: até 80 caracteres." type="textLength" errorStyle="warning" operator="lessThanOrEqual">
      <formula1>80</formula1>
    </dataValidation>
    <dataValidation sqref="A110" showDropDown="0" showInputMessage="0" showErrorMessage="1" allowBlank="1" errorTitle="Fora da lista" error="Inimigo: escolha um valor da lista. A planilha pode não reconhecer outro valor." type="list" errorStyle="warning">
      <formula1>'Inimigos'!$A$11:$A$22</formula1>
    </dataValidation>
    <dataValidation sqref="C110" showDropDown="0" showInputMessage="0" showErrorMessage="1" allowBlank="1" errorTitle="Valor fora da faixa" error="Fase: use um número inteiro de 2 a 3." type="whole" errorStyle="warning" operator="between">
      <formula1>2</formula1>
      <formula2>3</formula2>
    </dataValidation>
    <dataValidation sqref="D110" showDropDown="0" showInputMessage="0" showErrorMessage="1" allowBlank="1" errorTitle="Fora da lista" error="Fraqueza 1: escolha um valor da lista. A planilha pode não reconhecer outro valor." type="list" errorStyle="warning">
      <formula1>'Dados'!$AN$6:$AN$12</formula1>
    </dataValidation>
    <dataValidation sqref="E110" showDropDown="0" showInputMessage="0" showErrorMessage="1" allowBlank="1" errorTitle="Fora da lista" error="Fraqueza 2: escolha um valor da lista. A planilha pode não reconhecer outro valor." type="list" errorStyle="warning">
      <formula1>'Dados'!$AN$6:$AN$12</formula1>
    </dataValidation>
    <dataValidation sqref="F110" showDropDown="0" showInputMessage="0" showErrorMessage="1" allowBlank="1" errorTitle="Fora da lista" error="Fraqueza 3: escolha um valor da lista. A planilha pode não reconhecer outro valor." type="list" errorStyle="warning">
      <formula1>'Dados'!$AN$6:$AN$12</formula1>
    </dataValidation>
    <dataValidation sqref="G110" showDropDown="0" showInputMessage="0" showErrorMessage="1" allowBlank="1" errorTitle="Fora da lista" error="Fraqueza 4: escolha um valor da lista. A planilha pode não reconhecer outro valor." type="list" errorStyle="warning">
      <formula1>'Dados'!$AN$6:$AN$12</formula1>
    </dataValidation>
    <dataValidation sqref="H110" showDropDown="0" showInputMessage="0" showErrorMessage="1" allowBlank="1" errorTitle="Valor fora da faixa" error="Tenacidade: use um número inteiro de 0 a 13." type="whole" errorStyle="warning" operator="between">
      <formula1>0</formula1>
      <formula2>13</formula2>
    </dataValidation>
    <dataValidation sqref="I110" showDropDown="0" showInputMessage="0" showErrorMessage="1" allowBlank="1" errorTitle="Texto longo" error="Ritmo: até 80 caracteres." type="textLength" errorStyle="warning" operator="lessThanOrEqual">
      <formula1>80</formula1>
    </dataValidation>
    <dataValidation sqref="A111" showDropDown="0" showInputMessage="0" showErrorMessage="1" allowBlank="1" errorTitle="Fora da lista" error="Inimigo: escolha um valor da lista. A planilha pode não reconhecer outro valor." type="list" errorStyle="warning">
      <formula1>'Inimigos'!$A$11:$A$22</formula1>
    </dataValidation>
    <dataValidation sqref="C111" showDropDown="0" showInputMessage="0" showErrorMessage="1" allowBlank="1" errorTitle="Valor fora da faixa" error="Fase: use um número inteiro de 2 a 3." type="whole" errorStyle="warning" operator="between">
      <formula1>2</formula1>
      <formula2>3</formula2>
    </dataValidation>
    <dataValidation sqref="D111" showDropDown="0" showInputMessage="0" showErrorMessage="1" allowBlank="1" errorTitle="Fora da lista" error="Fraqueza 1: escolha um valor da lista. A planilha pode não reconhecer outro valor." type="list" errorStyle="warning">
      <formula1>'Dados'!$AN$6:$AN$12</formula1>
    </dataValidation>
    <dataValidation sqref="E111" showDropDown="0" showInputMessage="0" showErrorMessage="1" allowBlank="1" errorTitle="Fora da lista" error="Fraqueza 2: escolha um valor da lista. A planilha pode não reconhecer outro valor." type="list" errorStyle="warning">
      <formula1>'Dados'!$AN$6:$AN$12</formula1>
    </dataValidation>
    <dataValidation sqref="F111" showDropDown="0" showInputMessage="0" showErrorMessage="1" allowBlank="1" errorTitle="Fora da lista" error="Fraqueza 3: escolha um valor da lista. A planilha pode não reconhecer outro valor." type="list" errorStyle="warning">
      <formula1>'Dados'!$AN$6:$AN$12</formula1>
    </dataValidation>
    <dataValidation sqref="G111" showDropDown="0" showInputMessage="0" showErrorMessage="1" allowBlank="1" errorTitle="Fora da lista" error="Fraqueza 4: escolha um valor da lista. A planilha pode não reconhecer outro valor." type="list" errorStyle="warning">
      <formula1>'Dados'!$AN$6:$AN$12</formula1>
    </dataValidation>
    <dataValidation sqref="H111" showDropDown="0" showInputMessage="0" showErrorMessage="1" allowBlank="1" errorTitle="Valor fora da faixa" error="Tenacidade: use um número inteiro de 0 a 13." type="whole" errorStyle="warning" operator="between">
      <formula1>0</formula1>
      <formula2>13</formula2>
    </dataValidation>
    <dataValidation sqref="I111" showDropDown="0" showInputMessage="0" showErrorMessage="1" allowBlank="1" errorTitle="Texto longo" error="Ritmo: até 80 caracteres." type="textLength" errorStyle="warning" operator="lessThanOrEqual">
      <formula1>80</formula1>
    </dataValidation>
    <dataValidation sqref="A112" showDropDown="0" showInputMessage="0" showErrorMessage="1" allowBlank="1" errorTitle="Fora da lista" error="Inimigo: escolha um valor da lista. A planilha pode não reconhecer outro valor." type="list" errorStyle="warning">
      <formula1>'Inimigos'!$A$11:$A$22</formula1>
    </dataValidation>
    <dataValidation sqref="C112" showDropDown="0" showInputMessage="0" showErrorMessage="1" allowBlank="1" errorTitle="Valor fora da faixa" error="Fase: use um número inteiro de 2 a 3." type="whole" errorStyle="warning" operator="between">
      <formula1>2</formula1>
      <formula2>3</formula2>
    </dataValidation>
    <dataValidation sqref="D112" showDropDown="0" showInputMessage="0" showErrorMessage="1" allowBlank="1" errorTitle="Fora da lista" error="Fraqueza 1: escolha um valor da lista. A planilha pode não reconhecer outro valor." type="list" errorStyle="warning">
      <formula1>'Dados'!$AN$6:$AN$12</formula1>
    </dataValidation>
    <dataValidation sqref="E112" showDropDown="0" showInputMessage="0" showErrorMessage="1" allowBlank="1" errorTitle="Fora da lista" error="Fraqueza 2: escolha um valor da lista. A planilha pode não reconhecer outro valor." type="list" errorStyle="warning">
      <formula1>'Dados'!$AN$6:$AN$12</formula1>
    </dataValidation>
    <dataValidation sqref="F112" showDropDown="0" showInputMessage="0" showErrorMessage="1" allowBlank="1" errorTitle="Fora da lista" error="Fraqueza 3: escolha um valor da lista. A planilha pode não reconhecer outro valor." type="list" errorStyle="warning">
      <formula1>'Dados'!$AN$6:$AN$12</formula1>
    </dataValidation>
    <dataValidation sqref="G112" showDropDown="0" showInputMessage="0" showErrorMessage="1" allowBlank="1" errorTitle="Fora da lista" error="Fraqueza 4: escolha um valor da lista. A planilha pode não reconhecer outro valor." type="list" errorStyle="warning">
      <formula1>'Dados'!$AN$6:$AN$12</formula1>
    </dataValidation>
    <dataValidation sqref="H112" showDropDown="0" showInputMessage="0" showErrorMessage="1" allowBlank="1" errorTitle="Valor fora da faixa" error="Tenacidade: use um número inteiro de 0 a 13." type="whole" errorStyle="warning" operator="between">
      <formula1>0</formula1>
      <formula2>13</formula2>
    </dataValidation>
    <dataValidation sqref="I112" showDropDown="0" showInputMessage="0" showErrorMessage="1" allowBlank="1" errorTitle="Texto longo" error="Ritmo: até 80 caracteres." type="textLength" errorStyle="warning" operator="lessThanOrEqual">
      <formula1>80</formula1>
    </dataValidation>
    <dataValidation sqref="A116" showDropDown="0" showInputMessage="0" showErrorMessage="1" allowBlank="1" errorTitle="Fora da lista" error="Inimigo: escolha um valor da lista. A planilha pode não reconhecer outro valor." type="list" errorStyle="warning">
      <formula1>'Inimigos'!$A$11:$A$22</formula1>
    </dataValidation>
    <dataValidation sqref="C116" showDropDown="0" showInputMessage="0" showErrorMessage="1" allowBlank="1" errorTitle="Fora da lista" error="Tipo de ação: escolha um valor da lista. A planilha pode não reconhecer outro valor." type="list" errorStyle="warning">
      <formula1>'Dados'!$BJ$6:$BJ$10</formula1>
    </dataValidation>
    <dataValidation sqref="E116" showDropDown="0" showInputMessage="0" showErrorMessage="1" allowBlank="1" errorTitle="Texto longo" error="Nome da ação: até 40 caracteres." type="textLength" errorStyle="warning" operator="lessThanOrEqual">
      <formula1>40</formula1>
    </dataValidation>
    <dataValidation sqref="G116" showDropDown="0" showInputMessage="0" showErrorMessage="1" allowBlank="1" errorTitle="Fora da lista" error="Alcance: escolha um valor da lista. A planilha pode não reconhecer outro valor." type="list" errorStyle="warning">
      <formula1>'Dados'!$BK$6:$BK$10</formula1>
    </dataValidation>
    <dataValidation sqref="H116" showDropDown="0" showInputMessage="0" showErrorMessage="1" allowBlank="1" errorTitle="Fora da lista" error="Elemento: escolha um valor da lista. A planilha pode não reconhecer outro valor." type="list" errorStyle="warning">
      <formula1>'Dados'!$AN$6:$AN$12</formula1>
    </dataValidation>
    <dataValidation sqref="I116" showDropDown="0" showInputMessage="0" showErrorMessage="1" allowBlank="1" errorTitle="Valor fora da faixa" error="Recarga: use um número inteiro de 2 a 3." type="whole" errorStyle="warning" operator="between">
      <formula1>2</formula1>
      <formula2>3</formula2>
    </dataValidation>
    <dataValidation sqref="J116" showDropDown="0" showInputMessage="0" showErrorMessage="1" allowBlank="1" errorTitle="Valor fora da faixa" error="Duração: use um número inteiro de 1 a 5." type="whole" errorStyle="warning" operator="between">
      <formula1>1</formula1>
      <formula2>5</formula2>
    </dataValidation>
    <dataValidation sqref="A117" showDropDown="0" showInputMessage="0" showErrorMessage="1" allowBlank="1" errorTitle="Fora da lista" error="Inimigo: escolha um valor da lista. A planilha pode não reconhecer outro valor." type="list" errorStyle="warning">
      <formula1>'Inimigos'!$A$11:$A$22</formula1>
    </dataValidation>
    <dataValidation sqref="C117" showDropDown="0" showInputMessage="0" showErrorMessage="1" allowBlank="1" errorTitle="Fora da lista" error="Tipo de ação: escolha um valor da lista. A planilha pode não reconhecer outro valor." type="list" errorStyle="warning">
      <formula1>'Dados'!$BJ$6:$BJ$10</formula1>
    </dataValidation>
    <dataValidation sqref="E117" showDropDown="0" showInputMessage="0" showErrorMessage="1" allowBlank="1" errorTitle="Texto longo" error="Nome da ação: até 40 caracteres." type="textLength" errorStyle="warning" operator="lessThanOrEqual">
      <formula1>40</formula1>
    </dataValidation>
    <dataValidation sqref="G117" showDropDown="0" showInputMessage="0" showErrorMessage="1" allowBlank="1" errorTitle="Fora da lista" error="Alcance: escolha um valor da lista. A planilha pode não reconhecer outro valor." type="list" errorStyle="warning">
      <formula1>'Dados'!$BK$6:$BK$10</formula1>
    </dataValidation>
    <dataValidation sqref="H117" showDropDown="0" showInputMessage="0" showErrorMessage="1" allowBlank="1" errorTitle="Fora da lista" error="Elemento: escolha um valor da lista. A planilha pode não reconhecer outro valor." type="list" errorStyle="warning">
      <formula1>'Dados'!$AN$6:$AN$12</formula1>
    </dataValidation>
    <dataValidation sqref="I117" showDropDown="0" showInputMessage="0" showErrorMessage="1" allowBlank="1" errorTitle="Valor fora da faixa" error="Recarga: use um número inteiro de 2 a 3." type="whole" errorStyle="warning" operator="between">
      <formula1>2</formula1>
      <formula2>3</formula2>
    </dataValidation>
    <dataValidation sqref="J117" showDropDown="0" showInputMessage="0" showErrorMessage="1" allowBlank="1" errorTitle="Valor fora da faixa" error="Duração: use um número inteiro de 1 a 5." type="whole" errorStyle="warning" operator="between">
      <formula1>1</formula1>
      <formula2>5</formula2>
    </dataValidation>
    <dataValidation sqref="A118" showDropDown="0" showInputMessage="0" showErrorMessage="1" allowBlank="1" errorTitle="Fora da lista" error="Inimigo: escolha um valor da lista. A planilha pode não reconhecer outro valor." type="list" errorStyle="warning">
      <formula1>'Inimigos'!$A$11:$A$22</formula1>
    </dataValidation>
    <dataValidation sqref="C118" showDropDown="0" showInputMessage="0" showErrorMessage="1" allowBlank="1" errorTitle="Fora da lista" error="Tipo de ação: escolha um valor da lista. A planilha pode não reconhecer outro valor." type="list" errorStyle="warning">
      <formula1>'Dados'!$BJ$6:$BJ$10</formula1>
    </dataValidation>
    <dataValidation sqref="E118" showDropDown="0" showInputMessage="0" showErrorMessage="1" allowBlank="1" errorTitle="Texto longo" error="Nome da ação: até 40 caracteres." type="textLength" errorStyle="warning" operator="lessThanOrEqual">
      <formula1>40</formula1>
    </dataValidation>
    <dataValidation sqref="G118" showDropDown="0" showInputMessage="0" showErrorMessage="1" allowBlank="1" errorTitle="Fora da lista" error="Alcance: escolha um valor da lista. A planilha pode não reconhecer outro valor." type="list" errorStyle="warning">
      <formula1>'Dados'!$BK$6:$BK$10</formula1>
    </dataValidation>
    <dataValidation sqref="H118" showDropDown="0" showInputMessage="0" showErrorMessage="1" allowBlank="1" errorTitle="Fora da lista" error="Elemento: escolha um valor da lista. A planilha pode não reconhecer outro valor." type="list" errorStyle="warning">
      <formula1>'Dados'!$AN$6:$AN$12</formula1>
    </dataValidation>
    <dataValidation sqref="I118" showDropDown="0" showInputMessage="0" showErrorMessage="1" allowBlank="1" errorTitle="Valor fora da faixa" error="Recarga: use um número inteiro de 2 a 3." type="whole" errorStyle="warning" operator="between">
      <formula1>2</formula1>
      <formula2>3</formula2>
    </dataValidation>
    <dataValidation sqref="J118" showDropDown="0" showInputMessage="0" showErrorMessage="1" allowBlank="1" errorTitle="Valor fora da faixa" error="Duração: use um número inteiro de 1 a 5." type="whole" errorStyle="warning" operator="between">
      <formula1>1</formula1>
      <formula2>5</formula2>
    </dataValidation>
    <dataValidation sqref="A119" showDropDown="0" showInputMessage="0" showErrorMessage="1" allowBlank="1" errorTitle="Fora da lista" error="Inimigo: escolha um valor da lista. A planilha pode não reconhecer outro valor." type="list" errorStyle="warning">
      <formula1>'Inimigos'!$A$11:$A$22</formula1>
    </dataValidation>
    <dataValidation sqref="C119" showDropDown="0" showInputMessage="0" showErrorMessage="1" allowBlank="1" errorTitle="Fora da lista" error="Tipo de ação: escolha um valor da lista. A planilha pode não reconhecer outro valor." type="list" errorStyle="warning">
      <formula1>'Dados'!$BJ$6:$BJ$10</formula1>
    </dataValidation>
    <dataValidation sqref="E119" showDropDown="0" showInputMessage="0" showErrorMessage="1" allowBlank="1" errorTitle="Texto longo" error="Nome da ação: até 40 caracteres." type="textLength" errorStyle="warning" operator="lessThanOrEqual">
      <formula1>40</formula1>
    </dataValidation>
    <dataValidation sqref="G119" showDropDown="0" showInputMessage="0" showErrorMessage="1" allowBlank="1" errorTitle="Fora da lista" error="Alcance: escolha um valor da lista. A planilha pode não reconhecer outro valor." type="list" errorStyle="warning">
      <formula1>'Dados'!$BK$6:$BK$10</formula1>
    </dataValidation>
    <dataValidation sqref="H119" showDropDown="0" showInputMessage="0" showErrorMessage="1" allowBlank="1" errorTitle="Fora da lista" error="Elemento: escolha um valor da lista. A planilha pode não reconhecer outro valor." type="list" errorStyle="warning">
      <formula1>'Dados'!$AN$6:$AN$12</formula1>
    </dataValidation>
    <dataValidation sqref="I119" showDropDown="0" showInputMessage="0" showErrorMessage="1" allowBlank="1" errorTitle="Valor fora da faixa" error="Recarga: use um número inteiro de 2 a 3." type="whole" errorStyle="warning" operator="between">
      <formula1>2</formula1>
      <formula2>3</formula2>
    </dataValidation>
    <dataValidation sqref="J119" showDropDown="0" showInputMessage="0" showErrorMessage="1" allowBlank="1" errorTitle="Valor fora da faixa" error="Duração: use um número inteiro de 1 a 5." type="whole" errorStyle="warning" operator="between">
      <formula1>1</formula1>
      <formula2>5</formula2>
    </dataValidation>
    <dataValidation sqref="A120" showDropDown="0" showInputMessage="0" showErrorMessage="1" allowBlank="1" errorTitle="Fora da lista" error="Inimigo: escolha um valor da lista. A planilha pode não reconhecer outro valor." type="list" errorStyle="warning">
      <formula1>'Inimigos'!$A$11:$A$22</formula1>
    </dataValidation>
    <dataValidation sqref="C120" showDropDown="0" showInputMessage="0" showErrorMessage="1" allowBlank="1" errorTitle="Fora da lista" error="Tipo de ação: escolha um valor da lista. A planilha pode não reconhecer outro valor." type="list" errorStyle="warning">
      <formula1>'Dados'!$BJ$6:$BJ$10</formula1>
    </dataValidation>
    <dataValidation sqref="E120" showDropDown="0" showInputMessage="0" showErrorMessage="1" allowBlank="1" errorTitle="Texto longo" error="Nome da ação: até 40 caracteres." type="textLength" errorStyle="warning" operator="lessThanOrEqual">
      <formula1>40</formula1>
    </dataValidation>
    <dataValidation sqref="G120" showDropDown="0" showInputMessage="0" showErrorMessage="1" allowBlank="1" errorTitle="Fora da lista" error="Alcance: escolha um valor da lista. A planilha pode não reconhecer outro valor." type="list" errorStyle="warning">
      <formula1>'Dados'!$BK$6:$BK$10</formula1>
    </dataValidation>
    <dataValidation sqref="H120" showDropDown="0" showInputMessage="0" showErrorMessage="1" allowBlank="1" errorTitle="Fora da lista" error="Elemento: escolha um valor da lista. A planilha pode não reconhecer outro valor." type="list" errorStyle="warning">
      <formula1>'Dados'!$AN$6:$AN$12</formula1>
    </dataValidation>
    <dataValidation sqref="I120" showDropDown="0" showInputMessage="0" showErrorMessage="1" allowBlank="1" errorTitle="Valor fora da faixa" error="Recarga: use um número inteiro de 2 a 3." type="whole" errorStyle="warning" operator="between">
      <formula1>2</formula1>
      <formula2>3</formula2>
    </dataValidation>
    <dataValidation sqref="J120" showDropDown="0" showInputMessage="0" showErrorMessage="1" allowBlank="1" errorTitle="Valor fora da faixa" error="Duração: use um número inteiro de 1 a 5." type="whole" errorStyle="warning" operator="between">
      <formula1>1</formula1>
      <formula2>5</formula2>
    </dataValidation>
    <dataValidation sqref="A121" showDropDown="0" showInputMessage="0" showErrorMessage="1" allowBlank="1" errorTitle="Fora da lista" error="Inimigo: escolha um valor da lista. A planilha pode não reconhecer outro valor." type="list" errorStyle="warning">
      <formula1>'Inimigos'!$A$11:$A$22</formula1>
    </dataValidation>
    <dataValidation sqref="C121" showDropDown="0" showInputMessage="0" showErrorMessage="1" allowBlank="1" errorTitle="Fora da lista" error="Tipo de ação: escolha um valor da lista. A planilha pode não reconhecer outro valor." type="list" errorStyle="warning">
      <formula1>'Dados'!$BJ$6:$BJ$10</formula1>
    </dataValidation>
    <dataValidation sqref="E121" showDropDown="0" showInputMessage="0" showErrorMessage="1" allowBlank="1" errorTitle="Texto longo" error="Nome da ação: até 40 caracteres." type="textLength" errorStyle="warning" operator="lessThanOrEqual">
      <formula1>40</formula1>
    </dataValidation>
    <dataValidation sqref="G121" showDropDown="0" showInputMessage="0" showErrorMessage="1" allowBlank="1" errorTitle="Fora da lista" error="Alcance: escolha um valor da lista. A planilha pode não reconhecer outro valor." type="list" errorStyle="warning">
      <formula1>'Dados'!$BK$6:$BK$10</formula1>
    </dataValidation>
    <dataValidation sqref="H121" showDropDown="0" showInputMessage="0" showErrorMessage="1" allowBlank="1" errorTitle="Fora da lista" error="Elemento: escolha um valor da lista. A planilha pode não reconhecer outro valor." type="list" errorStyle="warning">
      <formula1>'Dados'!$AN$6:$AN$12</formula1>
    </dataValidation>
    <dataValidation sqref="I121" showDropDown="0" showInputMessage="0" showErrorMessage="1" allowBlank="1" errorTitle="Valor fora da faixa" error="Recarga: use um número inteiro de 2 a 3." type="whole" errorStyle="warning" operator="between">
      <formula1>2</formula1>
      <formula2>3</formula2>
    </dataValidation>
    <dataValidation sqref="J121" showDropDown="0" showInputMessage="0" showErrorMessage="1" allowBlank="1" errorTitle="Valor fora da faixa" error="Duração: use um número inteiro de 1 a 5." type="whole" errorStyle="warning" operator="between">
      <formula1>1</formula1>
      <formula2>5</formula2>
    </dataValidation>
    <dataValidation sqref="A122" showDropDown="0" showInputMessage="0" showErrorMessage="1" allowBlank="1" errorTitle="Fora da lista" error="Inimigo: escolha um valor da lista. A planilha pode não reconhecer outro valor." type="list" errorStyle="warning">
      <formula1>'Inimigos'!$A$11:$A$22</formula1>
    </dataValidation>
    <dataValidation sqref="C122" showDropDown="0" showInputMessage="0" showErrorMessage="1" allowBlank="1" errorTitle="Fora da lista" error="Tipo de ação: escolha um valor da lista. A planilha pode não reconhecer outro valor." type="list" errorStyle="warning">
      <formula1>'Dados'!$BJ$6:$BJ$10</formula1>
    </dataValidation>
    <dataValidation sqref="E122" showDropDown="0" showInputMessage="0" showErrorMessage="1" allowBlank="1" errorTitle="Texto longo" error="Nome da ação: até 40 caracteres." type="textLength" errorStyle="warning" operator="lessThanOrEqual">
      <formula1>40</formula1>
    </dataValidation>
    <dataValidation sqref="G122" showDropDown="0" showInputMessage="0" showErrorMessage="1" allowBlank="1" errorTitle="Fora da lista" error="Alcance: escolha um valor da lista. A planilha pode não reconhecer outro valor." type="list" errorStyle="warning">
      <formula1>'Dados'!$BK$6:$BK$10</formula1>
    </dataValidation>
    <dataValidation sqref="H122" showDropDown="0" showInputMessage="0" showErrorMessage="1" allowBlank="1" errorTitle="Fora da lista" error="Elemento: escolha um valor da lista. A planilha pode não reconhecer outro valor." type="list" errorStyle="warning">
      <formula1>'Dados'!$AN$6:$AN$12</formula1>
    </dataValidation>
    <dataValidation sqref="I122" showDropDown="0" showInputMessage="0" showErrorMessage="1" allowBlank="1" errorTitle="Valor fora da faixa" error="Recarga: use um número inteiro de 2 a 3." type="whole" errorStyle="warning" operator="between">
      <formula1>2</formula1>
      <formula2>3</formula2>
    </dataValidation>
    <dataValidation sqref="J122" showDropDown="0" showInputMessage="0" showErrorMessage="1" allowBlank="1" errorTitle="Valor fora da faixa" error="Duração: use um número inteiro de 1 a 5." type="whole" errorStyle="warning" operator="between">
      <formula1>1</formula1>
      <formula2>5</formula2>
    </dataValidation>
    <dataValidation sqref="A123" showDropDown="0" showInputMessage="0" showErrorMessage="1" allowBlank="1" errorTitle="Fora da lista" error="Inimigo: escolha um valor da lista. A planilha pode não reconhecer outro valor." type="list" errorStyle="warning">
      <formula1>'Inimigos'!$A$11:$A$22</formula1>
    </dataValidation>
    <dataValidation sqref="C123" showDropDown="0" showInputMessage="0" showErrorMessage="1" allowBlank="1" errorTitle="Fora da lista" error="Tipo de ação: escolha um valor da lista. A planilha pode não reconhecer outro valor." type="list" errorStyle="warning">
      <formula1>'Dados'!$BJ$6:$BJ$10</formula1>
    </dataValidation>
    <dataValidation sqref="E123" showDropDown="0" showInputMessage="0" showErrorMessage="1" allowBlank="1" errorTitle="Texto longo" error="Nome da ação: até 40 caracteres." type="textLength" errorStyle="warning" operator="lessThanOrEqual">
      <formula1>40</formula1>
    </dataValidation>
    <dataValidation sqref="G123" showDropDown="0" showInputMessage="0" showErrorMessage="1" allowBlank="1" errorTitle="Fora da lista" error="Alcance: escolha um valor da lista. A planilha pode não reconhecer outro valor." type="list" errorStyle="warning">
      <formula1>'Dados'!$BK$6:$BK$10</formula1>
    </dataValidation>
    <dataValidation sqref="H123" showDropDown="0" showInputMessage="0" showErrorMessage="1" allowBlank="1" errorTitle="Fora da lista" error="Elemento: escolha um valor da lista. A planilha pode não reconhecer outro valor." type="list" errorStyle="warning">
      <formula1>'Dados'!$AN$6:$AN$12</formula1>
    </dataValidation>
    <dataValidation sqref="I123" showDropDown="0" showInputMessage="0" showErrorMessage="1" allowBlank="1" errorTitle="Valor fora da faixa" error="Recarga: use um número inteiro de 2 a 3." type="whole" errorStyle="warning" operator="between">
      <formula1>2</formula1>
      <formula2>3</formula2>
    </dataValidation>
    <dataValidation sqref="J123" showDropDown="0" showInputMessage="0" showErrorMessage="1" allowBlank="1" errorTitle="Valor fora da faixa" error="Duração: use um número inteiro de 1 a 5." type="whole" errorStyle="warning" operator="between">
      <formula1>1</formula1>
      <formula2>5</formula2>
    </dataValidation>
    <dataValidation sqref="A124" showDropDown="0" showInputMessage="0" showErrorMessage="1" allowBlank="1" errorTitle="Fora da lista" error="Inimigo: escolha um valor da lista. A planilha pode não reconhecer outro valor." type="list" errorStyle="warning">
      <formula1>'Inimigos'!$A$11:$A$22</formula1>
    </dataValidation>
    <dataValidation sqref="C124" showDropDown="0" showInputMessage="0" showErrorMessage="1" allowBlank="1" errorTitle="Fora da lista" error="Tipo de ação: escolha um valor da lista. A planilha pode não reconhecer outro valor." type="list" errorStyle="warning">
      <formula1>'Dados'!$BJ$6:$BJ$10</formula1>
    </dataValidation>
    <dataValidation sqref="E124" showDropDown="0" showInputMessage="0" showErrorMessage="1" allowBlank="1" errorTitle="Texto longo" error="Nome da ação: até 40 caracteres." type="textLength" errorStyle="warning" operator="lessThanOrEqual">
      <formula1>40</formula1>
    </dataValidation>
    <dataValidation sqref="G124" showDropDown="0" showInputMessage="0" showErrorMessage="1" allowBlank="1" errorTitle="Fora da lista" error="Alcance: escolha um valor da lista. A planilha pode não reconhecer outro valor." type="list" errorStyle="warning">
      <formula1>'Dados'!$BK$6:$BK$10</formula1>
    </dataValidation>
    <dataValidation sqref="H124" showDropDown="0" showInputMessage="0" showErrorMessage="1" allowBlank="1" errorTitle="Fora da lista" error="Elemento: escolha um valor da lista. A planilha pode não reconhecer outro valor." type="list" errorStyle="warning">
      <formula1>'Dados'!$AN$6:$AN$12</formula1>
    </dataValidation>
    <dataValidation sqref="I124" showDropDown="0" showInputMessage="0" showErrorMessage="1" allowBlank="1" errorTitle="Valor fora da faixa" error="Recarga: use um número inteiro de 2 a 3." type="whole" errorStyle="warning" operator="between">
      <formula1>2</formula1>
      <formula2>3</formula2>
    </dataValidation>
    <dataValidation sqref="J124" showDropDown="0" showInputMessage="0" showErrorMessage="1" allowBlank="1" errorTitle="Valor fora da faixa" error="Duração: use um número inteiro de 1 a 5." type="whole" errorStyle="warning" operator="between">
      <formula1>1</formula1>
      <formula2>5</formula2>
    </dataValidation>
    <dataValidation sqref="A125" showDropDown="0" showInputMessage="0" showErrorMessage="1" allowBlank="1" errorTitle="Fora da lista" error="Inimigo: escolha um valor da lista. A planilha pode não reconhecer outro valor." type="list" errorStyle="warning">
      <formula1>'Inimigos'!$A$11:$A$22</formula1>
    </dataValidation>
    <dataValidation sqref="C125" showDropDown="0" showInputMessage="0" showErrorMessage="1" allowBlank="1" errorTitle="Fora da lista" error="Tipo de ação: escolha um valor da lista. A planilha pode não reconhecer outro valor." type="list" errorStyle="warning">
      <formula1>'Dados'!$BJ$6:$BJ$10</formula1>
    </dataValidation>
    <dataValidation sqref="E125" showDropDown="0" showInputMessage="0" showErrorMessage="1" allowBlank="1" errorTitle="Texto longo" error="Nome da ação: até 40 caracteres." type="textLength" errorStyle="warning" operator="lessThanOrEqual">
      <formula1>40</formula1>
    </dataValidation>
    <dataValidation sqref="G125" showDropDown="0" showInputMessage="0" showErrorMessage="1" allowBlank="1" errorTitle="Fora da lista" error="Alcance: escolha um valor da lista. A planilha pode não reconhecer outro valor." type="list" errorStyle="warning">
      <formula1>'Dados'!$BK$6:$BK$10</formula1>
    </dataValidation>
    <dataValidation sqref="H125" showDropDown="0" showInputMessage="0" showErrorMessage="1" allowBlank="1" errorTitle="Fora da lista" error="Elemento: escolha um valor da lista. A planilha pode não reconhecer outro valor." type="list" errorStyle="warning">
      <formula1>'Dados'!$AN$6:$AN$12</formula1>
    </dataValidation>
    <dataValidation sqref="I125" showDropDown="0" showInputMessage="0" showErrorMessage="1" allowBlank="1" errorTitle="Valor fora da faixa" error="Recarga: use um número inteiro de 2 a 3." type="whole" errorStyle="warning" operator="between">
      <formula1>2</formula1>
      <formula2>3</formula2>
    </dataValidation>
    <dataValidation sqref="J125" showDropDown="0" showInputMessage="0" showErrorMessage="1" allowBlank="1" errorTitle="Valor fora da faixa" error="Duração: use um número inteiro de 1 a 5." type="whole" errorStyle="warning" operator="between">
      <formula1>1</formula1>
      <formula2>5</formula2>
    </dataValidation>
    <dataValidation sqref="A126" showDropDown="0" showInputMessage="0" showErrorMessage="1" allowBlank="1" errorTitle="Fora da lista" error="Inimigo: escolha um valor da lista. A planilha pode não reconhecer outro valor." type="list" errorStyle="warning">
      <formula1>'Inimigos'!$A$11:$A$22</formula1>
    </dataValidation>
    <dataValidation sqref="C126" showDropDown="0" showInputMessage="0" showErrorMessage="1" allowBlank="1" errorTitle="Fora da lista" error="Tipo de ação: escolha um valor da lista. A planilha pode não reconhecer outro valor." type="list" errorStyle="warning">
      <formula1>'Dados'!$BJ$6:$BJ$10</formula1>
    </dataValidation>
    <dataValidation sqref="E126" showDropDown="0" showInputMessage="0" showErrorMessage="1" allowBlank="1" errorTitle="Texto longo" error="Nome da ação: até 40 caracteres." type="textLength" errorStyle="warning" operator="lessThanOrEqual">
      <formula1>40</formula1>
    </dataValidation>
    <dataValidation sqref="G126" showDropDown="0" showInputMessage="0" showErrorMessage="1" allowBlank="1" errorTitle="Fora da lista" error="Alcance: escolha um valor da lista. A planilha pode não reconhecer outro valor." type="list" errorStyle="warning">
      <formula1>'Dados'!$BK$6:$BK$10</formula1>
    </dataValidation>
    <dataValidation sqref="H126" showDropDown="0" showInputMessage="0" showErrorMessage="1" allowBlank="1" errorTitle="Fora da lista" error="Elemento: escolha um valor da lista. A planilha pode não reconhecer outro valor." type="list" errorStyle="warning">
      <formula1>'Dados'!$AN$6:$AN$12</formula1>
    </dataValidation>
    <dataValidation sqref="I126" showDropDown="0" showInputMessage="0" showErrorMessage="1" allowBlank="1" errorTitle="Valor fora da faixa" error="Recarga: use um número inteiro de 2 a 3." type="whole" errorStyle="warning" operator="between">
      <formula1>2</formula1>
      <formula2>3</formula2>
    </dataValidation>
    <dataValidation sqref="J126" showDropDown="0" showInputMessage="0" showErrorMessage="1" allowBlank="1" errorTitle="Valor fora da faixa" error="Duração: use um número inteiro de 1 a 5." type="whole" errorStyle="warning" operator="between">
      <formula1>1</formula1>
      <formula2>5</formula2>
    </dataValidation>
    <dataValidation sqref="A127" showDropDown="0" showInputMessage="0" showErrorMessage="1" allowBlank="1" errorTitle="Fora da lista" error="Inimigo: escolha um valor da lista. A planilha pode não reconhecer outro valor." type="list" errorStyle="warning">
      <formula1>'Inimigos'!$A$11:$A$22</formula1>
    </dataValidation>
    <dataValidation sqref="C127" showDropDown="0" showInputMessage="0" showErrorMessage="1" allowBlank="1" errorTitle="Fora da lista" error="Tipo de ação: escolha um valor da lista. A planilha pode não reconhecer outro valor." type="list" errorStyle="warning">
      <formula1>'Dados'!$BJ$6:$BJ$10</formula1>
    </dataValidation>
    <dataValidation sqref="E127" showDropDown="0" showInputMessage="0" showErrorMessage="1" allowBlank="1" errorTitle="Texto longo" error="Nome da ação: até 40 caracteres." type="textLength" errorStyle="warning" operator="lessThanOrEqual">
      <formula1>40</formula1>
    </dataValidation>
    <dataValidation sqref="G127" showDropDown="0" showInputMessage="0" showErrorMessage="1" allowBlank="1" errorTitle="Fora da lista" error="Alcance: escolha um valor da lista. A planilha pode não reconhecer outro valor." type="list" errorStyle="warning">
      <formula1>'Dados'!$BK$6:$BK$10</formula1>
    </dataValidation>
    <dataValidation sqref="H127" showDropDown="0" showInputMessage="0" showErrorMessage="1" allowBlank="1" errorTitle="Fora da lista" error="Elemento: escolha um valor da lista. A planilha pode não reconhecer outro valor." type="list" errorStyle="warning">
      <formula1>'Dados'!$AN$6:$AN$12</formula1>
    </dataValidation>
    <dataValidation sqref="I127" showDropDown="0" showInputMessage="0" showErrorMessage="1" allowBlank="1" errorTitle="Valor fora da faixa" error="Recarga: use um número inteiro de 2 a 3." type="whole" errorStyle="warning" operator="between">
      <formula1>2</formula1>
      <formula2>3</formula2>
    </dataValidation>
    <dataValidation sqref="J127" showDropDown="0" showInputMessage="0" showErrorMessage="1" allowBlank="1" errorTitle="Valor fora da faixa" error="Duração: use um número inteiro de 1 a 5." type="whole" errorStyle="warning" operator="between">
      <formula1>1</formula1>
      <formula2>5</formula2>
    </dataValidation>
    <dataValidation sqref="A129" showDropDown="0" showInputMessage="0" showErrorMessage="1" allowBlank="1" errorTitle="Fora da lista" error="Inimigo: escolha um valor da lista. A planilha pode não reconhecer outro valor." type="list" errorStyle="warning">
      <formula1>'Inimigos'!$A$11:$A$22</formula1>
    </dataValidation>
    <dataValidation sqref="C129" showDropDown="0" showInputMessage="0" showErrorMessage="1" allowBlank="1" errorTitle="Fora da lista" error="Tipo de ação: escolha um valor da lista. A planilha pode não reconhecer outro valor." type="list" errorStyle="warning">
      <formula1>'Dados'!$BJ$6:$BJ$10</formula1>
    </dataValidation>
    <dataValidation sqref="E129" showDropDown="0" showInputMessage="0" showErrorMessage="1" allowBlank="1" errorTitle="Texto longo" error="Nome da ação: até 40 caracteres." type="textLength" errorStyle="warning" operator="lessThanOrEqual">
      <formula1>40</formula1>
    </dataValidation>
    <dataValidation sqref="G129" showDropDown="0" showInputMessage="0" showErrorMessage="1" allowBlank="1" errorTitle="Fora da lista" error="Alcance: escolha um valor da lista. A planilha pode não reconhecer outro valor." type="list" errorStyle="warning">
      <formula1>'Dados'!$BK$6:$BK$10</formula1>
    </dataValidation>
    <dataValidation sqref="H129" showDropDown="0" showInputMessage="0" showErrorMessage="1" allowBlank="1" errorTitle="Fora da lista" error="Elemento: escolha um valor da lista. A planilha pode não reconhecer outro valor." type="list" errorStyle="warning">
      <formula1>'Dados'!$AN$6:$AN$12</formula1>
    </dataValidation>
    <dataValidation sqref="I129" showDropDown="0" showInputMessage="0" showErrorMessage="1" allowBlank="1" errorTitle="Valor fora da faixa" error="Recarga: use um número inteiro de 2 a 3." type="whole" errorStyle="warning" operator="between">
      <formula1>2</formula1>
      <formula2>3</formula2>
    </dataValidation>
    <dataValidation sqref="J129" showDropDown="0" showInputMessage="0" showErrorMessage="1" allowBlank="1" errorTitle="Valor fora da faixa" error="Duração: use um número inteiro de 1 a 5." type="whole" errorStyle="warning" operator="between">
      <formula1>1</formula1>
      <formula2>5</formula2>
    </dataValidation>
    <dataValidation sqref="A130" showDropDown="0" showInputMessage="0" showErrorMessage="1" allowBlank="1" errorTitle="Fora da lista" error="Inimigo: escolha um valor da lista. A planilha pode não reconhecer outro valor." type="list" errorStyle="warning">
      <formula1>'Inimigos'!$A$11:$A$22</formula1>
    </dataValidation>
    <dataValidation sqref="C130" showDropDown="0" showInputMessage="0" showErrorMessage="1" allowBlank="1" errorTitle="Fora da lista" error="Tipo de ação: escolha um valor da lista. A planilha pode não reconhecer outro valor." type="list" errorStyle="warning">
      <formula1>'Dados'!$BJ$6:$BJ$10</formula1>
    </dataValidation>
    <dataValidation sqref="E130" showDropDown="0" showInputMessage="0" showErrorMessage="1" allowBlank="1" errorTitle="Texto longo" error="Nome da ação: até 40 caracteres." type="textLength" errorStyle="warning" operator="lessThanOrEqual">
      <formula1>40</formula1>
    </dataValidation>
    <dataValidation sqref="G130" showDropDown="0" showInputMessage="0" showErrorMessage="1" allowBlank="1" errorTitle="Fora da lista" error="Alcance: escolha um valor da lista. A planilha pode não reconhecer outro valor." type="list" errorStyle="warning">
      <formula1>'Dados'!$BK$6:$BK$10</formula1>
    </dataValidation>
    <dataValidation sqref="H130" showDropDown="0" showInputMessage="0" showErrorMessage="1" allowBlank="1" errorTitle="Fora da lista" error="Elemento: escolha um valor da lista. A planilha pode não reconhecer outro valor." type="list" errorStyle="warning">
      <formula1>'Dados'!$AN$6:$AN$12</formula1>
    </dataValidation>
    <dataValidation sqref="I130" showDropDown="0" showInputMessage="0" showErrorMessage="1" allowBlank="1" errorTitle="Valor fora da faixa" error="Recarga: use um número inteiro de 2 a 3." type="whole" errorStyle="warning" operator="between">
      <formula1>2</formula1>
      <formula2>3</formula2>
    </dataValidation>
    <dataValidation sqref="J130" showDropDown="0" showInputMessage="0" showErrorMessage="1" allowBlank="1" errorTitle="Valor fora da faixa" error="Duração: use um número inteiro de 1 a 5." type="whole" errorStyle="warning" operator="between">
      <formula1>1</formula1>
      <formula2>5</formula2>
    </dataValidation>
    <dataValidation sqref="A131" showDropDown="0" showInputMessage="0" showErrorMessage="1" allowBlank="1" errorTitle="Fora da lista" error="Inimigo: escolha um valor da lista. A planilha pode não reconhecer outro valor." type="list" errorStyle="warning">
      <formula1>'Inimigos'!$A$11:$A$22</formula1>
    </dataValidation>
    <dataValidation sqref="C131" showDropDown="0" showInputMessage="0" showErrorMessage="1" allowBlank="1" errorTitle="Fora da lista" error="Tipo de ação: escolha um valor da lista. A planilha pode não reconhecer outro valor." type="list" errorStyle="warning">
      <formula1>'Dados'!$BJ$6:$BJ$10</formula1>
    </dataValidation>
    <dataValidation sqref="E131" showDropDown="0" showInputMessage="0" showErrorMessage="1" allowBlank="1" errorTitle="Texto longo" error="Nome da ação: até 40 caracteres." type="textLength" errorStyle="warning" operator="lessThanOrEqual">
      <formula1>40</formula1>
    </dataValidation>
    <dataValidation sqref="G131" showDropDown="0" showInputMessage="0" showErrorMessage="1" allowBlank="1" errorTitle="Fora da lista" error="Alcance: escolha um valor da lista. A planilha pode não reconhecer outro valor." type="list" errorStyle="warning">
      <formula1>'Dados'!$BK$6:$BK$10</formula1>
    </dataValidation>
    <dataValidation sqref="H131" showDropDown="0" showInputMessage="0" showErrorMessage="1" allowBlank="1" errorTitle="Fora da lista" error="Elemento: escolha um valor da lista. A planilha pode não reconhecer outro valor." type="list" errorStyle="warning">
      <formula1>'Dados'!$AN$6:$AN$12</formula1>
    </dataValidation>
    <dataValidation sqref="I131" showDropDown="0" showInputMessage="0" showErrorMessage="1" allowBlank="1" errorTitle="Valor fora da faixa" error="Recarga: use um número inteiro de 2 a 3." type="whole" errorStyle="warning" operator="between">
      <formula1>2</formula1>
      <formula2>3</formula2>
    </dataValidation>
    <dataValidation sqref="J131" showDropDown="0" showInputMessage="0" showErrorMessage="1" allowBlank="1" errorTitle="Valor fora da faixa" error="Duração: use um número inteiro de 1 a 5." type="whole" errorStyle="warning" operator="between">
      <formula1>1</formula1>
      <formula2>5</formula2>
    </dataValidation>
    <dataValidation sqref="A132" showDropDown="0" showInputMessage="0" showErrorMessage="1" allowBlank="1" errorTitle="Fora da lista" error="Inimigo: escolha um valor da lista. A planilha pode não reconhecer outro valor." type="list" errorStyle="warning">
      <formula1>'Inimigos'!$A$11:$A$22</formula1>
    </dataValidation>
    <dataValidation sqref="C132" showDropDown="0" showInputMessage="0" showErrorMessage="1" allowBlank="1" errorTitle="Fora da lista" error="Tipo de ação: escolha um valor da lista. A planilha pode não reconhecer outro valor." type="list" errorStyle="warning">
      <formula1>'Dados'!$BJ$6:$BJ$10</formula1>
    </dataValidation>
    <dataValidation sqref="E132" showDropDown="0" showInputMessage="0" showErrorMessage="1" allowBlank="1" errorTitle="Texto longo" error="Nome da ação: até 40 caracteres." type="textLength" errorStyle="warning" operator="lessThanOrEqual">
      <formula1>40</formula1>
    </dataValidation>
    <dataValidation sqref="G132" showDropDown="0" showInputMessage="0" showErrorMessage="1" allowBlank="1" errorTitle="Fora da lista" error="Alcance: escolha um valor da lista. A planilha pode não reconhecer outro valor." type="list" errorStyle="warning">
      <formula1>'Dados'!$BK$6:$BK$10</formula1>
    </dataValidation>
    <dataValidation sqref="H132" showDropDown="0" showInputMessage="0" showErrorMessage="1" allowBlank="1" errorTitle="Fora da lista" error="Elemento: escolha um valor da lista. A planilha pode não reconhecer outro valor." type="list" errorStyle="warning">
      <formula1>'Dados'!$AN$6:$AN$12</formula1>
    </dataValidation>
    <dataValidation sqref="I132" showDropDown="0" showInputMessage="0" showErrorMessage="1" allowBlank="1" errorTitle="Valor fora da faixa" error="Recarga: use um número inteiro de 2 a 3." type="whole" errorStyle="warning" operator="between">
      <formula1>2</formula1>
      <formula2>3</formula2>
    </dataValidation>
    <dataValidation sqref="J132" showDropDown="0" showInputMessage="0" showErrorMessage="1" allowBlank="1" errorTitle="Valor fora da faixa" error="Duração: use um número inteiro de 1 a 5." type="whole" errorStyle="warning" operator="between">
      <formula1>1</formula1>
      <formula2>5</formula2>
    </dataValidation>
    <dataValidation sqref="A133" showDropDown="0" showInputMessage="0" showErrorMessage="1" allowBlank="1" errorTitle="Fora da lista" error="Inimigo: escolha um valor da lista. A planilha pode não reconhecer outro valor." type="list" errorStyle="warning">
      <formula1>'Inimigos'!$A$11:$A$22</formula1>
    </dataValidation>
    <dataValidation sqref="C133" showDropDown="0" showInputMessage="0" showErrorMessage="1" allowBlank="1" errorTitle="Fora da lista" error="Tipo de ação: escolha um valor da lista. A planilha pode não reconhecer outro valor." type="list" errorStyle="warning">
      <formula1>'Dados'!$BJ$6:$BJ$10</formula1>
    </dataValidation>
    <dataValidation sqref="E133" showDropDown="0" showInputMessage="0" showErrorMessage="1" allowBlank="1" errorTitle="Texto longo" error="Nome da ação: até 40 caracteres." type="textLength" errorStyle="warning" operator="lessThanOrEqual">
      <formula1>40</formula1>
    </dataValidation>
    <dataValidation sqref="G133" showDropDown="0" showInputMessage="0" showErrorMessage="1" allowBlank="1" errorTitle="Fora da lista" error="Alcance: escolha um valor da lista. A planilha pode não reconhecer outro valor." type="list" errorStyle="warning">
      <formula1>'Dados'!$BK$6:$BK$10</formula1>
    </dataValidation>
    <dataValidation sqref="H133" showDropDown="0" showInputMessage="0" showErrorMessage="1" allowBlank="1" errorTitle="Fora da lista" error="Elemento: escolha um valor da lista. A planilha pode não reconhecer outro valor." type="list" errorStyle="warning">
      <formula1>'Dados'!$AN$6:$AN$12</formula1>
    </dataValidation>
    <dataValidation sqref="I133" showDropDown="0" showInputMessage="0" showErrorMessage="1" allowBlank="1" errorTitle="Valor fora da faixa" error="Recarga: use um número inteiro de 2 a 3." type="whole" errorStyle="warning" operator="between">
      <formula1>2</formula1>
      <formula2>3</formula2>
    </dataValidation>
    <dataValidation sqref="J133" showDropDown="0" showInputMessage="0" showErrorMessage="1" allowBlank="1" errorTitle="Valor fora da faixa" error="Duração: use um número inteiro de 1 a 5." type="whole" errorStyle="warning" operator="between">
      <formula1>1</formula1>
      <formula2>5</formula2>
    </dataValidation>
    <dataValidation sqref="A134" showDropDown="0" showInputMessage="0" showErrorMessage="1" allowBlank="1" errorTitle="Fora da lista" error="Inimigo: escolha um valor da lista. A planilha pode não reconhecer outro valor." type="list" errorStyle="warning">
      <formula1>'Inimigos'!$A$11:$A$22</formula1>
    </dataValidation>
    <dataValidation sqref="C134" showDropDown="0" showInputMessage="0" showErrorMessage="1" allowBlank="1" errorTitle="Fora da lista" error="Tipo de ação: escolha um valor da lista. A planilha pode não reconhecer outro valor." type="list" errorStyle="warning">
      <formula1>'Dados'!$BJ$6:$BJ$10</formula1>
    </dataValidation>
    <dataValidation sqref="E134" showDropDown="0" showInputMessage="0" showErrorMessage="1" allowBlank="1" errorTitle="Texto longo" error="Nome da ação: até 40 caracteres." type="textLength" errorStyle="warning" operator="lessThanOrEqual">
      <formula1>40</formula1>
    </dataValidation>
    <dataValidation sqref="G134" showDropDown="0" showInputMessage="0" showErrorMessage="1" allowBlank="1" errorTitle="Fora da lista" error="Alcance: escolha um valor da lista. A planilha pode não reconhecer outro valor." type="list" errorStyle="warning">
      <formula1>'Dados'!$BK$6:$BK$10</formula1>
    </dataValidation>
    <dataValidation sqref="H134" showDropDown="0" showInputMessage="0" showErrorMessage="1" allowBlank="1" errorTitle="Fora da lista" error="Elemento: escolha um valor da lista. A planilha pode não reconhecer outro valor." type="list" errorStyle="warning">
      <formula1>'Dados'!$AN$6:$AN$12</formula1>
    </dataValidation>
    <dataValidation sqref="I134" showDropDown="0" showInputMessage="0" showErrorMessage="1" allowBlank="1" errorTitle="Valor fora da faixa" error="Recarga: use um número inteiro de 2 a 3." type="whole" errorStyle="warning" operator="between">
      <formula1>2</formula1>
      <formula2>3</formula2>
    </dataValidation>
    <dataValidation sqref="J134" showDropDown="0" showInputMessage="0" showErrorMessage="1" allowBlank="1" errorTitle="Valor fora da faixa" error="Duração: use um número inteiro de 1 a 5." type="whole" errorStyle="warning" operator="between">
      <formula1>1</formula1>
      <formula2>5</formula2>
    </dataValidation>
    <dataValidation sqref="A135" showDropDown="0" showInputMessage="0" showErrorMessage="1" allowBlank="1" errorTitle="Fora da lista" error="Inimigo: escolha um valor da lista. A planilha pode não reconhecer outro valor." type="list" errorStyle="warning">
      <formula1>'Inimigos'!$A$11:$A$22</formula1>
    </dataValidation>
    <dataValidation sqref="C135" showDropDown="0" showInputMessage="0" showErrorMessage="1" allowBlank="1" errorTitle="Fora da lista" error="Tipo de ação: escolha um valor da lista. A planilha pode não reconhecer outro valor." type="list" errorStyle="warning">
      <formula1>'Dados'!$BJ$6:$BJ$10</formula1>
    </dataValidation>
    <dataValidation sqref="E135" showDropDown="0" showInputMessage="0" showErrorMessage="1" allowBlank="1" errorTitle="Texto longo" error="Nome da ação: até 40 caracteres." type="textLength" errorStyle="warning" operator="lessThanOrEqual">
      <formula1>40</formula1>
    </dataValidation>
    <dataValidation sqref="G135" showDropDown="0" showInputMessage="0" showErrorMessage="1" allowBlank="1" errorTitle="Fora da lista" error="Alcance: escolha um valor da lista. A planilha pode não reconhecer outro valor." type="list" errorStyle="warning">
      <formula1>'Dados'!$BK$6:$BK$10</formula1>
    </dataValidation>
    <dataValidation sqref="H135" showDropDown="0" showInputMessage="0" showErrorMessage="1" allowBlank="1" errorTitle="Fora da lista" error="Elemento: escolha um valor da lista. A planilha pode não reconhecer outro valor." type="list" errorStyle="warning">
      <formula1>'Dados'!$AN$6:$AN$12</formula1>
    </dataValidation>
    <dataValidation sqref="I135" showDropDown="0" showInputMessage="0" showErrorMessage="1" allowBlank="1" errorTitle="Valor fora da faixa" error="Recarga: use um número inteiro de 2 a 3." type="whole" errorStyle="warning" operator="between">
      <formula1>2</formula1>
      <formula2>3</formula2>
    </dataValidation>
    <dataValidation sqref="J135" showDropDown="0" showInputMessage="0" showErrorMessage="1" allowBlank="1" errorTitle="Valor fora da faixa" error="Duração: use um número inteiro de 1 a 5." type="whole" errorStyle="warning" operator="between">
      <formula1>1</formula1>
      <formula2>5</formula2>
    </dataValidation>
    <dataValidation sqref="A136" showDropDown="0" showInputMessage="0" showErrorMessage="1" allowBlank="1" errorTitle="Fora da lista" error="Inimigo: escolha um valor da lista. A planilha pode não reconhecer outro valor." type="list" errorStyle="warning">
      <formula1>'Inimigos'!$A$11:$A$22</formula1>
    </dataValidation>
    <dataValidation sqref="C136" showDropDown="0" showInputMessage="0" showErrorMessage="1" allowBlank="1" errorTitle="Fora da lista" error="Tipo de ação: escolha um valor da lista. A planilha pode não reconhecer outro valor." type="list" errorStyle="warning">
      <formula1>'Dados'!$BJ$6:$BJ$10</formula1>
    </dataValidation>
    <dataValidation sqref="E136" showDropDown="0" showInputMessage="0" showErrorMessage="1" allowBlank="1" errorTitle="Texto longo" error="Nome da ação: até 40 caracteres." type="textLength" errorStyle="warning" operator="lessThanOrEqual">
      <formula1>40</formula1>
    </dataValidation>
    <dataValidation sqref="G136" showDropDown="0" showInputMessage="0" showErrorMessage="1" allowBlank="1" errorTitle="Fora da lista" error="Alcance: escolha um valor da lista. A planilha pode não reconhecer outro valor." type="list" errorStyle="warning">
      <formula1>'Dados'!$BK$6:$BK$10</formula1>
    </dataValidation>
    <dataValidation sqref="H136" showDropDown="0" showInputMessage="0" showErrorMessage="1" allowBlank="1" errorTitle="Fora da lista" error="Elemento: escolha um valor da lista. A planilha pode não reconhecer outro valor." type="list" errorStyle="warning">
      <formula1>'Dados'!$AN$6:$AN$12</formula1>
    </dataValidation>
    <dataValidation sqref="I136" showDropDown="0" showInputMessage="0" showErrorMessage="1" allowBlank="1" errorTitle="Valor fora da faixa" error="Recarga: use um número inteiro de 2 a 3." type="whole" errorStyle="warning" operator="between">
      <formula1>2</formula1>
      <formula2>3</formula2>
    </dataValidation>
    <dataValidation sqref="J136" showDropDown="0" showInputMessage="0" showErrorMessage="1" allowBlank="1" errorTitle="Valor fora da faixa" error="Duração: use um número inteiro de 1 a 5." type="whole" errorStyle="warning" operator="between">
      <formula1>1</formula1>
      <formula2>5</formula2>
    </dataValidation>
    <dataValidation sqref="A137" showDropDown="0" showInputMessage="0" showErrorMessage="1" allowBlank="1" errorTitle="Fora da lista" error="Inimigo: escolha um valor da lista. A planilha pode não reconhecer outro valor." type="list" errorStyle="warning">
      <formula1>'Inimigos'!$A$11:$A$22</formula1>
    </dataValidation>
    <dataValidation sqref="C137" showDropDown="0" showInputMessage="0" showErrorMessage="1" allowBlank="1" errorTitle="Fora da lista" error="Tipo de ação: escolha um valor da lista. A planilha pode não reconhecer outro valor." type="list" errorStyle="warning">
      <formula1>'Dados'!$BJ$6:$BJ$10</formula1>
    </dataValidation>
    <dataValidation sqref="E137" showDropDown="0" showInputMessage="0" showErrorMessage="1" allowBlank="1" errorTitle="Texto longo" error="Nome da ação: até 40 caracteres." type="textLength" errorStyle="warning" operator="lessThanOrEqual">
      <formula1>40</formula1>
    </dataValidation>
    <dataValidation sqref="G137" showDropDown="0" showInputMessage="0" showErrorMessage="1" allowBlank="1" errorTitle="Fora da lista" error="Alcance: escolha um valor da lista. A planilha pode não reconhecer outro valor." type="list" errorStyle="warning">
      <formula1>'Dados'!$BK$6:$BK$10</formula1>
    </dataValidation>
    <dataValidation sqref="H137" showDropDown="0" showInputMessage="0" showErrorMessage="1" allowBlank="1" errorTitle="Fora da lista" error="Elemento: escolha um valor da lista. A planilha pode não reconhecer outro valor." type="list" errorStyle="warning">
      <formula1>'Dados'!$AN$6:$AN$12</formula1>
    </dataValidation>
    <dataValidation sqref="I137" showDropDown="0" showInputMessage="0" showErrorMessage="1" allowBlank="1" errorTitle="Valor fora da faixa" error="Recarga: use um número inteiro de 2 a 3." type="whole" errorStyle="warning" operator="between">
      <formula1>2</formula1>
      <formula2>3</formula2>
    </dataValidation>
    <dataValidation sqref="J137" showDropDown="0" showInputMessage="0" showErrorMessage="1" allowBlank="1" errorTitle="Valor fora da faixa" error="Duração: use um número inteiro de 1 a 5." type="whole" errorStyle="warning" operator="between">
      <formula1>1</formula1>
      <formula2>5</formula2>
    </dataValidation>
    <dataValidation sqref="A138" showDropDown="0" showInputMessage="0" showErrorMessage="1" allowBlank="1" errorTitle="Fora da lista" error="Inimigo: escolha um valor da lista. A planilha pode não reconhecer outro valor." type="list" errorStyle="warning">
      <formula1>'Inimigos'!$A$11:$A$22</formula1>
    </dataValidation>
    <dataValidation sqref="C138" showDropDown="0" showInputMessage="0" showErrorMessage="1" allowBlank="1" errorTitle="Fora da lista" error="Tipo de ação: escolha um valor da lista. A planilha pode não reconhecer outro valor." type="list" errorStyle="warning">
      <formula1>'Dados'!$BJ$6:$BJ$10</formula1>
    </dataValidation>
    <dataValidation sqref="E138" showDropDown="0" showInputMessage="0" showErrorMessage="1" allowBlank="1" errorTitle="Texto longo" error="Nome da ação: até 40 caracteres." type="textLength" errorStyle="warning" operator="lessThanOrEqual">
      <formula1>40</formula1>
    </dataValidation>
    <dataValidation sqref="G138" showDropDown="0" showInputMessage="0" showErrorMessage="1" allowBlank="1" errorTitle="Fora da lista" error="Alcance: escolha um valor da lista. A planilha pode não reconhecer outro valor." type="list" errorStyle="warning">
      <formula1>'Dados'!$BK$6:$BK$10</formula1>
    </dataValidation>
    <dataValidation sqref="H138" showDropDown="0" showInputMessage="0" showErrorMessage="1" allowBlank="1" errorTitle="Fora da lista" error="Elemento: escolha um valor da lista. A planilha pode não reconhecer outro valor." type="list" errorStyle="warning">
      <formula1>'Dados'!$AN$6:$AN$12</formula1>
    </dataValidation>
    <dataValidation sqref="I138" showDropDown="0" showInputMessage="0" showErrorMessage="1" allowBlank="1" errorTitle="Valor fora da faixa" error="Recarga: use um número inteiro de 2 a 3." type="whole" errorStyle="warning" operator="between">
      <formula1>2</formula1>
      <formula2>3</formula2>
    </dataValidation>
    <dataValidation sqref="J138" showDropDown="0" showInputMessage="0" showErrorMessage="1" allowBlank="1" errorTitle="Valor fora da faixa" error="Duração: use um número inteiro de 1 a 5." type="whole" errorStyle="warning" operator="between">
      <formula1>1</formula1>
      <formula2>5</formula2>
    </dataValidation>
    <dataValidation sqref="A139" showDropDown="0" showInputMessage="0" showErrorMessage="1" allowBlank="1" errorTitle="Fora da lista" error="Inimigo: escolha um valor da lista. A planilha pode não reconhecer outro valor." type="list" errorStyle="warning">
      <formula1>'Inimigos'!$A$11:$A$22</formula1>
    </dataValidation>
    <dataValidation sqref="C139" showDropDown="0" showInputMessage="0" showErrorMessage="1" allowBlank="1" errorTitle="Fora da lista" error="Tipo de ação: escolha um valor da lista. A planilha pode não reconhecer outro valor." type="list" errorStyle="warning">
      <formula1>'Dados'!$BJ$6:$BJ$10</formula1>
    </dataValidation>
    <dataValidation sqref="E139" showDropDown="0" showInputMessage="0" showErrorMessage="1" allowBlank="1" errorTitle="Texto longo" error="Nome da ação: até 40 caracteres." type="textLength" errorStyle="warning" operator="lessThanOrEqual">
      <formula1>40</formula1>
    </dataValidation>
    <dataValidation sqref="G139" showDropDown="0" showInputMessage="0" showErrorMessage="1" allowBlank="1" errorTitle="Fora da lista" error="Alcance: escolha um valor da lista. A planilha pode não reconhecer outro valor." type="list" errorStyle="warning">
      <formula1>'Dados'!$BK$6:$BK$10</formula1>
    </dataValidation>
    <dataValidation sqref="H139" showDropDown="0" showInputMessage="0" showErrorMessage="1" allowBlank="1" errorTitle="Fora da lista" error="Elemento: escolha um valor da lista. A planilha pode não reconhecer outro valor." type="list" errorStyle="warning">
      <formula1>'Dados'!$AN$6:$AN$12</formula1>
    </dataValidation>
    <dataValidation sqref="I139" showDropDown="0" showInputMessage="0" showErrorMessage="1" allowBlank="1" errorTitle="Valor fora da faixa" error="Recarga: use um número inteiro de 2 a 3." type="whole" errorStyle="warning" operator="between">
      <formula1>2</formula1>
      <formula2>3</formula2>
    </dataValidation>
    <dataValidation sqref="J139" showDropDown="0" showInputMessage="0" showErrorMessage="1" allowBlank="1" errorTitle="Valor fora da faixa" error="Duração: use um número inteiro de 1 a 5." type="whole" errorStyle="warning" operator="between">
      <formula1>1</formula1>
      <formula2>5</formula2>
    </dataValidation>
    <dataValidation sqref="A140" showDropDown="0" showInputMessage="0" showErrorMessage="1" allowBlank="1" errorTitle="Fora da lista" error="Inimigo: escolha um valor da lista. A planilha pode não reconhecer outro valor." type="list" errorStyle="warning">
      <formula1>'Inimigos'!$A$11:$A$22</formula1>
    </dataValidation>
    <dataValidation sqref="C140" showDropDown="0" showInputMessage="0" showErrorMessage="1" allowBlank="1" errorTitle="Fora da lista" error="Tipo de ação: escolha um valor da lista. A planilha pode não reconhecer outro valor." type="list" errorStyle="warning">
      <formula1>'Dados'!$BJ$6:$BJ$10</formula1>
    </dataValidation>
    <dataValidation sqref="E140" showDropDown="0" showInputMessage="0" showErrorMessage="1" allowBlank="1" errorTitle="Texto longo" error="Nome da ação: até 40 caracteres." type="textLength" errorStyle="warning" operator="lessThanOrEqual">
      <formula1>40</formula1>
    </dataValidation>
    <dataValidation sqref="G140" showDropDown="0" showInputMessage="0" showErrorMessage="1" allowBlank="1" errorTitle="Fora da lista" error="Alcance: escolha um valor da lista. A planilha pode não reconhecer outro valor." type="list" errorStyle="warning">
      <formula1>'Dados'!$BK$6:$BK$10</formula1>
    </dataValidation>
    <dataValidation sqref="H140" showDropDown="0" showInputMessage="0" showErrorMessage="1" allowBlank="1" errorTitle="Fora da lista" error="Elemento: escolha um valor da lista. A planilha pode não reconhecer outro valor." type="list" errorStyle="warning">
      <formula1>'Dados'!$AN$6:$AN$12</formula1>
    </dataValidation>
    <dataValidation sqref="I140" showDropDown="0" showInputMessage="0" showErrorMessage="1" allowBlank="1" errorTitle="Valor fora da faixa" error="Recarga: use um número inteiro de 2 a 3." type="whole" errorStyle="warning" operator="between">
      <formula1>2</formula1>
      <formula2>3</formula2>
    </dataValidation>
    <dataValidation sqref="J140" showDropDown="0" showInputMessage="0" showErrorMessage="1" allowBlank="1" errorTitle="Valor fora da faixa" error="Duração: use um número inteiro de 1 a 5." type="whole" errorStyle="warning" operator="between">
      <formula1>1</formula1>
      <formula2>5</formula2>
    </dataValidation>
    <dataValidation sqref="A142" showDropDown="0" showInputMessage="0" showErrorMessage="1" allowBlank="1" errorTitle="Fora da lista" error="Inimigo: escolha um valor da lista. A planilha pode não reconhecer outro valor." type="list" errorStyle="warning">
      <formula1>'Inimigos'!$A$11:$A$22</formula1>
    </dataValidation>
    <dataValidation sqref="C142" showDropDown="0" showInputMessage="0" showErrorMessage="1" allowBlank="1" errorTitle="Fora da lista" error="Tipo de ação: escolha um valor da lista. A planilha pode não reconhecer outro valor." type="list" errorStyle="warning">
      <formula1>'Dados'!$BJ$6:$BJ$10</formula1>
    </dataValidation>
    <dataValidation sqref="E142" showDropDown="0" showInputMessage="0" showErrorMessage="1" allowBlank="1" errorTitle="Texto longo" error="Nome da ação: até 40 caracteres." type="textLength" errorStyle="warning" operator="lessThanOrEqual">
      <formula1>40</formula1>
    </dataValidation>
    <dataValidation sqref="G142" showDropDown="0" showInputMessage="0" showErrorMessage="1" allowBlank="1" errorTitle="Fora da lista" error="Alcance: escolha um valor da lista. A planilha pode não reconhecer outro valor." type="list" errorStyle="warning">
      <formula1>'Dados'!$BK$6:$BK$10</formula1>
    </dataValidation>
    <dataValidation sqref="H142" showDropDown="0" showInputMessage="0" showErrorMessage="1" allowBlank="1" errorTitle="Fora da lista" error="Elemento: escolha um valor da lista. A planilha pode não reconhecer outro valor." type="list" errorStyle="warning">
      <formula1>'Dados'!$AN$6:$AN$12</formula1>
    </dataValidation>
    <dataValidation sqref="I142" showDropDown="0" showInputMessage="0" showErrorMessage="1" allowBlank="1" errorTitle="Valor fora da faixa" error="Recarga: use um número inteiro de 2 a 3." type="whole" errorStyle="warning" operator="between">
      <formula1>2</formula1>
      <formula2>3</formula2>
    </dataValidation>
    <dataValidation sqref="J142" showDropDown="0" showInputMessage="0" showErrorMessage="1" allowBlank="1" errorTitle="Valor fora da faixa" error="Duração: use um número inteiro de 1 a 5." type="whole" errorStyle="warning" operator="between">
      <formula1>1</formula1>
      <formula2>5</formula2>
    </dataValidation>
    <dataValidation sqref="A143" showDropDown="0" showInputMessage="0" showErrorMessage="1" allowBlank="1" errorTitle="Fora da lista" error="Inimigo: escolha um valor da lista. A planilha pode não reconhecer outro valor." type="list" errorStyle="warning">
      <formula1>'Inimigos'!$A$11:$A$22</formula1>
    </dataValidation>
    <dataValidation sqref="C143" showDropDown="0" showInputMessage="0" showErrorMessage="1" allowBlank="1" errorTitle="Fora da lista" error="Tipo de ação: escolha um valor da lista. A planilha pode não reconhecer outro valor." type="list" errorStyle="warning">
      <formula1>'Dados'!$BJ$6:$BJ$10</formula1>
    </dataValidation>
    <dataValidation sqref="E143" showDropDown="0" showInputMessage="0" showErrorMessage="1" allowBlank="1" errorTitle="Texto longo" error="Nome da ação: até 40 caracteres." type="textLength" errorStyle="warning" operator="lessThanOrEqual">
      <formula1>40</formula1>
    </dataValidation>
    <dataValidation sqref="G143" showDropDown="0" showInputMessage="0" showErrorMessage="1" allowBlank="1" errorTitle="Fora da lista" error="Alcance: escolha um valor da lista. A planilha pode não reconhecer outro valor." type="list" errorStyle="warning">
      <formula1>'Dados'!$BK$6:$BK$10</formula1>
    </dataValidation>
    <dataValidation sqref="H143" showDropDown="0" showInputMessage="0" showErrorMessage="1" allowBlank="1" errorTitle="Fora da lista" error="Elemento: escolha um valor da lista. A planilha pode não reconhecer outro valor." type="list" errorStyle="warning">
      <formula1>'Dados'!$AN$6:$AN$12</formula1>
    </dataValidation>
    <dataValidation sqref="I143" showDropDown="0" showInputMessage="0" showErrorMessage="1" allowBlank="1" errorTitle="Valor fora da faixa" error="Recarga: use um número inteiro de 2 a 3." type="whole" errorStyle="warning" operator="between">
      <formula1>2</formula1>
      <formula2>3</formula2>
    </dataValidation>
    <dataValidation sqref="J143" showDropDown="0" showInputMessage="0" showErrorMessage="1" allowBlank="1" errorTitle="Valor fora da faixa" error="Duração: use um número inteiro de 1 a 5." type="whole" errorStyle="warning" operator="between">
      <formula1>1</formula1>
      <formula2>5</formula2>
    </dataValidation>
    <dataValidation sqref="A144" showDropDown="0" showInputMessage="0" showErrorMessage="1" allowBlank="1" errorTitle="Fora da lista" error="Inimigo: escolha um valor da lista. A planilha pode não reconhecer outro valor." type="list" errorStyle="warning">
      <formula1>'Inimigos'!$A$11:$A$22</formula1>
    </dataValidation>
    <dataValidation sqref="C144" showDropDown="0" showInputMessage="0" showErrorMessage="1" allowBlank="1" errorTitle="Fora da lista" error="Tipo de ação: escolha um valor da lista. A planilha pode não reconhecer outro valor." type="list" errorStyle="warning">
      <formula1>'Dados'!$BJ$6:$BJ$10</formula1>
    </dataValidation>
    <dataValidation sqref="E144" showDropDown="0" showInputMessage="0" showErrorMessage="1" allowBlank="1" errorTitle="Texto longo" error="Nome da ação: até 40 caracteres." type="textLength" errorStyle="warning" operator="lessThanOrEqual">
      <formula1>40</formula1>
    </dataValidation>
    <dataValidation sqref="G144" showDropDown="0" showInputMessage="0" showErrorMessage="1" allowBlank="1" errorTitle="Fora da lista" error="Alcance: escolha um valor da lista. A planilha pode não reconhecer outro valor." type="list" errorStyle="warning">
      <formula1>'Dados'!$BK$6:$BK$10</formula1>
    </dataValidation>
    <dataValidation sqref="H144" showDropDown="0" showInputMessage="0" showErrorMessage="1" allowBlank="1" errorTitle="Fora da lista" error="Elemento: escolha um valor da lista. A planilha pode não reconhecer outro valor." type="list" errorStyle="warning">
      <formula1>'Dados'!$AN$6:$AN$12</formula1>
    </dataValidation>
    <dataValidation sqref="I144" showDropDown="0" showInputMessage="0" showErrorMessage="1" allowBlank="1" errorTitle="Valor fora da faixa" error="Recarga: use um número inteiro de 2 a 3." type="whole" errorStyle="warning" operator="between">
      <formula1>2</formula1>
      <formula2>3</formula2>
    </dataValidation>
    <dataValidation sqref="J144" showDropDown="0" showInputMessage="0" showErrorMessage="1" allowBlank="1" errorTitle="Valor fora da faixa" error="Duração: use um número inteiro de 1 a 5." type="whole" errorStyle="warning" operator="between">
      <formula1>1</formula1>
      <formula2>5</formula2>
    </dataValidation>
    <dataValidation sqref="A145" showDropDown="0" showInputMessage="0" showErrorMessage="1" allowBlank="1" errorTitle="Fora da lista" error="Inimigo: escolha um valor da lista. A planilha pode não reconhecer outro valor." type="list" errorStyle="warning">
      <formula1>'Inimigos'!$A$11:$A$22</formula1>
    </dataValidation>
    <dataValidation sqref="C145" showDropDown="0" showInputMessage="0" showErrorMessage="1" allowBlank="1" errorTitle="Fora da lista" error="Tipo de ação: escolha um valor da lista. A planilha pode não reconhecer outro valor." type="list" errorStyle="warning">
      <formula1>'Dados'!$BJ$6:$BJ$10</formula1>
    </dataValidation>
    <dataValidation sqref="E145" showDropDown="0" showInputMessage="0" showErrorMessage="1" allowBlank="1" errorTitle="Texto longo" error="Nome da ação: até 40 caracteres." type="textLength" errorStyle="warning" operator="lessThanOrEqual">
      <formula1>40</formula1>
    </dataValidation>
    <dataValidation sqref="G145" showDropDown="0" showInputMessage="0" showErrorMessage="1" allowBlank="1" errorTitle="Fora da lista" error="Alcance: escolha um valor da lista. A planilha pode não reconhecer outro valor." type="list" errorStyle="warning">
      <formula1>'Dados'!$BK$6:$BK$10</formula1>
    </dataValidation>
    <dataValidation sqref="H145" showDropDown="0" showInputMessage="0" showErrorMessage="1" allowBlank="1" errorTitle="Fora da lista" error="Elemento: escolha um valor da lista. A planilha pode não reconhecer outro valor." type="list" errorStyle="warning">
      <formula1>'Dados'!$AN$6:$AN$12</formula1>
    </dataValidation>
    <dataValidation sqref="I145" showDropDown="0" showInputMessage="0" showErrorMessage="1" allowBlank="1" errorTitle="Valor fora da faixa" error="Recarga: use um número inteiro de 2 a 3." type="whole" errorStyle="warning" operator="between">
      <formula1>2</formula1>
      <formula2>3</formula2>
    </dataValidation>
    <dataValidation sqref="J145" showDropDown="0" showInputMessage="0" showErrorMessage="1" allowBlank="1" errorTitle="Valor fora da faixa" error="Duração: use um número inteiro de 1 a 5." type="whole" errorStyle="warning" operator="between">
      <formula1>1</formula1>
      <formula2>5</formula2>
    </dataValidation>
    <dataValidation sqref="A146" showDropDown="0" showInputMessage="0" showErrorMessage="1" allowBlank="1" errorTitle="Fora da lista" error="Inimigo: escolha um valor da lista. A planilha pode não reconhecer outro valor." type="list" errorStyle="warning">
      <formula1>'Inimigos'!$A$11:$A$22</formula1>
    </dataValidation>
    <dataValidation sqref="C146" showDropDown="0" showInputMessage="0" showErrorMessage="1" allowBlank="1" errorTitle="Fora da lista" error="Tipo de ação: escolha um valor da lista. A planilha pode não reconhecer outro valor." type="list" errorStyle="warning">
      <formula1>'Dados'!$BJ$6:$BJ$10</formula1>
    </dataValidation>
    <dataValidation sqref="E146" showDropDown="0" showInputMessage="0" showErrorMessage="1" allowBlank="1" errorTitle="Texto longo" error="Nome da ação: até 40 caracteres." type="textLength" errorStyle="warning" operator="lessThanOrEqual">
      <formula1>40</formula1>
    </dataValidation>
    <dataValidation sqref="G146" showDropDown="0" showInputMessage="0" showErrorMessage="1" allowBlank="1" errorTitle="Fora da lista" error="Alcance: escolha um valor da lista. A planilha pode não reconhecer outro valor." type="list" errorStyle="warning">
      <formula1>'Dados'!$BK$6:$BK$10</formula1>
    </dataValidation>
    <dataValidation sqref="H146" showDropDown="0" showInputMessage="0" showErrorMessage="1" allowBlank="1" errorTitle="Fora da lista" error="Elemento: escolha um valor da lista. A planilha pode não reconhecer outro valor." type="list" errorStyle="warning">
      <formula1>'Dados'!$AN$6:$AN$12</formula1>
    </dataValidation>
    <dataValidation sqref="I146" showDropDown="0" showInputMessage="0" showErrorMessage="1" allowBlank="1" errorTitle="Valor fora da faixa" error="Recarga: use um número inteiro de 2 a 3." type="whole" errorStyle="warning" operator="between">
      <formula1>2</formula1>
      <formula2>3</formula2>
    </dataValidation>
    <dataValidation sqref="J146" showDropDown="0" showInputMessage="0" showErrorMessage="1" allowBlank="1" errorTitle="Valor fora da faixa" error="Duração: use um número inteiro de 1 a 5." type="whole" errorStyle="warning" operator="between">
      <formula1>1</formula1>
      <formula2>5</formula2>
    </dataValidation>
    <dataValidation sqref="A147" showDropDown="0" showInputMessage="0" showErrorMessage="1" allowBlank="1" errorTitle="Fora da lista" error="Inimigo: escolha um valor da lista. A planilha pode não reconhecer outro valor." type="list" errorStyle="warning">
      <formula1>'Inimigos'!$A$11:$A$22</formula1>
    </dataValidation>
    <dataValidation sqref="C147" showDropDown="0" showInputMessage="0" showErrorMessage="1" allowBlank="1" errorTitle="Fora da lista" error="Tipo de ação: escolha um valor da lista. A planilha pode não reconhecer outro valor." type="list" errorStyle="warning">
      <formula1>'Dados'!$BJ$6:$BJ$10</formula1>
    </dataValidation>
    <dataValidation sqref="E147" showDropDown="0" showInputMessage="0" showErrorMessage="1" allowBlank="1" errorTitle="Texto longo" error="Nome da ação: até 40 caracteres." type="textLength" errorStyle="warning" operator="lessThanOrEqual">
      <formula1>40</formula1>
    </dataValidation>
    <dataValidation sqref="G147" showDropDown="0" showInputMessage="0" showErrorMessage="1" allowBlank="1" errorTitle="Fora da lista" error="Alcance: escolha um valor da lista. A planilha pode não reconhecer outro valor." type="list" errorStyle="warning">
      <formula1>'Dados'!$BK$6:$BK$10</formula1>
    </dataValidation>
    <dataValidation sqref="H147" showDropDown="0" showInputMessage="0" showErrorMessage="1" allowBlank="1" errorTitle="Fora da lista" error="Elemento: escolha um valor da lista. A planilha pode não reconhecer outro valor." type="list" errorStyle="warning">
      <formula1>'Dados'!$AN$6:$AN$12</formula1>
    </dataValidation>
    <dataValidation sqref="I147" showDropDown="0" showInputMessage="0" showErrorMessage="1" allowBlank="1" errorTitle="Valor fora da faixa" error="Recarga: use um número inteiro de 2 a 3." type="whole" errorStyle="warning" operator="between">
      <formula1>2</formula1>
      <formula2>3</formula2>
    </dataValidation>
    <dataValidation sqref="J147" showDropDown="0" showInputMessage="0" showErrorMessage="1" allowBlank="1" errorTitle="Valor fora da faixa" error="Duração: use um número inteiro de 1 a 5." type="whole" errorStyle="warning" operator="between">
      <formula1>1</formula1>
      <formula2>5</formula2>
    </dataValidation>
    <dataValidation sqref="A148" showDropDown="0" showInputMessage="0" showErrorMessage="1" allowBlank="1" errorTitle="Fora da lista" error="Inimigo: escolha um valor da lista. A planilha pode não reconhecer outro valor." type="list" errorStyle="warning">
      <formula1>'Inimigos'!$A$11:$A$22</formula1>
    </dataValidation>
    <dataValidation sqref="C148" showDropDown="0" showInputMessage="0" showErrorMessage="1" allowBlank="1" errorTitle="Fora da lista" error="Tipo de ação: escolha um valor da lista. A planilha pode não reconhecer outro valor." type="list" errorStyle="warning">
      <formula1>'Dados'!$BJ$6:$BJ$10</formula1>
    </dataValidation>
    <dataValidation sqref="E148" showDropDown="0" showInputMessage="0" showErrorMessage="1" allowBlank="1" errorTitle="Texto longo" error="Nome da ação: até 40 caracteres." type="textLength" errorStyle="warning" operator="lessThanOrEqual">
      <formula1>40</formula1>
    </dataValidation>
    <dataValidation sqref="G148" showDropDown="0" showInputMessage="0" showErrorMessage="1" allowBlank="1" errorTitle="Fora da lista" error="Alcance: escolha um valor da lista. A planilha pode não reconhecer outro valor." type="list" errorStyle="warning">
      <formula1>'Dados'!$BK$6:$BK$10</formula1>
    </dataValidation>
    <dataValidation sqref="H148" showDropDown="0" showInputMessage="0" showErrorMessage="1" allowBlank="1" errorTitle="Fora da lista" error="Elemento: escolha um valor da lista. A planilha pode não reconhecer outro valor." type="list" errorStyle="warning">
      <formula1>'Dados'!$AN$6:$AN$12</formula1>
    </dataValidation>
    <dataValidation sqref="I148" showDropDown="0" showInputMessage="0" showErrorMessage="1" allowBlank="1" errorTitle="Valor fora da faixa" error="Recarga: use um número inteiro de 2 a 3." type="whole" errorStyle="warning" operator="between">
      <formula1>2</formula1>
      <formula2>3</formula2>
    </dataValidation>
    <dataValidation sqref="J148" showDropDown="0" showInputMessage="0" showErrorMessage="1" allowBlank="1" errorTitle="Valor fora da faixa" error="Duração: use um número inteiro de 1 a 5." type="whole" errorStyle="warning" operator="between">
      <formula1>1</formula1>
      <formula2>5</formula2>
    </dataValidation>
    <dataValidation sqref="A149" showDropDown="0" showInputMessage="0" showErrorMessage="1" allowBlank="1" errorTitle="Fora da lista" error="Inimigo: escolha um valor da lista. A planilha pode não reconhecer outro valor." type="list" errorStyle="warning">
      <formula1>'Inimigos'!$A$11:$A$22</formula1>
    </dataValidation>
    <dataValidation sqref="C149" showDropDown="0" showInputMessage="0" showErrorMessage="1" allowBlank="1" errorTitle="Fora da lista" error="Tipo de ação: escolha um valor da lista. A planilha pode não reconhecer outro valor." type="list" errorStyle="warning">
      <formula1>'Dados'!$BJ$6:$BJ$10</formula1>
    </dataValidation>
    <dataValidation sqref="E149" showDropDown="0" showInputMessage="0" showErrorMessage="1" allowBlank="1" errorTitle="Texto longo" error="Nome da ação: até 40 caracteres." type="textLength" errorStyle="warning" operator="lessThanOrEqual">
      <formula1>40</formula1>
    </dataValidation>
    <dataValidation sqref="G149" showDropDown="0" showInputMessage="0" showErrorMessage="1" allowBlank="1" errorTitle="Fora da lista" error="Alcance: escolha um valor da lista. A planilha pode não reconhecer outro valor." type="list" errorStyle="warning">
      <formula1>'Dados'!$BK$6:$BK$10</formula1>
    </dataValidation>
    <dataValidation sqref="H149" showDropDown="0" showInputMessage="0" showErrorMessage="1" allowBlank="1" errorTitle="Fora da lista" error="Elemento: escolha um valor da lista. A planilha pode não reconhecer outro valor." type="list" errorStyle="warning">
      <formula1>'Dados'!$AN$6:$AN$12</formula1>
    </dataValidation>
    <dataValidation sqref="I149" showDropDown="0" showInputMessage="0" showErrorMessage="1" allowBlank="1" errorTitle="Valor fora da faixa" error="Recarga: use um número inteiro de 2 a 3." type="whole" errorStyle="warning" operator="between">
      <formula1>2</formula1>
      <formula2>3</formula2>
    </dataValidation>
    <dataValidation sqref="J149" showDropDown="0" showInputMessage="0" showErrorMessage="1" allowBlank="1" errorTitle="Valor fora da faixa" error="Duração: use um número inteiro de 1 a 5." type="whole" errorStyle="warning" operator="between">
      <formula1>1</formula1>
      <formula2>5</formula2>
    </dataValidation>
    <dataValidation sqref="A150" showDropDown="0" showInputMessage="0" showErrorMessage="1" allowBlank="1" errorTitle="Fora da lista" error="Inimigo: escolha um valor da lista. A planilha pode não reconhecer outro valor." type="list" errorStyle="warning">
      <formula1>'Inimigos'!$A$11:$A$22</formula1>
    </dataValidation>
    <dataValidation sqref="C150" showDropDown="0" showInputMessage="0" showErrorMessage="1" allowBlank="1" errorTitle="Fora da lista" error="Tipo de ação: escolha um valor da lista. A planilha pode não reconhecer outro valor." type="list" errorStyle="warning">
      <formula1>'Dados'!$BJ$6:$BJ$10</formula1>
    </dataValidation>
    <dataValidation sqref="E150" showDropDown="0" showInputMessage="0" showErrorMessage="1" allowBlank="1" errorTitle="Texto longo" error="Nome da ação: até 40 caracteres." type="textLength" errorStyle="warning" operator="lessThanOrEqual">
      <formula1>40</formula1>
    </dataValidation>
    <dataValidation sqref="G150" showDropDown="0" showInputMessage="0" showErrorMessage="1" allowBlank="1" errorTitle="Fora da lista" error="Alcance: escolha um valor da lista. A planilha pode não reconhecer outro valor." type="list" errorStyle="warning">
      <formula1>'Dados'!$BK$6:$BK$10</formula1>
    </dataValidation>
    <dataValidation sqref="H150" showDropDown="0" showInputMessage="0" showErrorMessage="1" allowBlank="1" errorTitle="Fora da lista" error="Elemento: escolha um valor da lista. A planilha pode não reconhecer outro valor." type="list" errorStyle="warning">
      <formula1>'Dados'!$AN$6:$AN$12</formula1>
    </dataValidation>
    <dataValidation sqref="I150" showDropDown="0" showInputMessage="0" showErrorMessage="1" allowBlank="1" errorTitle="Valor fora da faixa" error="Recarga: use um número inteiro de 2 a 3." type="whole" errorStyle="warning" operator="between">
      <formula1>2</formula1>
      <formula2>3</formula2>
    </dataValidation>
    <dataValidation sqref="J150" showDropDown="0" showInputMessage="0" showErrorMessage="1" allowBlank="1" errorTitle="Valor fora da faixa" error="Duração: use um número inteiro de 1 a 5." type="whole" errorStyle="warning" operator="between">
      <formula1>1</formula1>
      <formula2>5</formula2>
    </dataValidation>
    <dataValidation sqref="A151" showDropDown="0" showInputMessage="0" showErrorMessage="1" allowBlank="1" errorTitle="Fora da lista" error="Inimigo: escolha um valor da lista. A planilha pode não reconhecer outro valor." type="list" errorStyle="warning">
      <formula1>'Inimigos'!$A$11:$A$22</formula1>
    </dataValidation>
    <dataValidation sqref="C151" showDropDown="0" showInputMessage="0" showErrorMessage="1" allowBlank="1" errorTitle="Fora da lista" error="Tipo de ação: escolha um valor da lista. A planilha pode não reconhecer outro valor." type="list" errorStyle="warning">
      <formula1>'Dados'!$BJ$6:$BJ$10</formula1>
    </dataValidation>
    <dataValidation sqref="E151" showDropDown="0" showInputMessage="0" showErrorMessage="1" allowBlank="1" errorTitle="Texto longo" error="Nome da ação: até 40 caracteres." type="textLength" errorStyle="warning" operator="lessThanOrEqual">
      <formula1>40</formula1>
    </dataValidation>
    <dataValidation sqref="G151" showDropDown="0" showInputMessage="0" showErrorMessage="1" allowBlank="1" errorTitle="Fora da lista" error="Alcance: escolha um valor da lista. A planilha pode não reconhecer outro valor." type="list" errorStyle="warning">
      <formula1>'Dados'!$BK$6:$BK$10</formula1>
    </dataValidation>
    <dataValidation sqref="H151" showDropDown="0" showInputMessage="0" showErrorMessage="1" allowBlank="1" errorTitle="Fora da lista" error="Elemento: escolha um valor da lista. A planilha pode não reconhecer outro valor." type="list" errorStyle="warning">
      <formula1>'Dados'!$AN$6:$AN$12</formula1>
    </dataValidation>
    <dataValidation sqref="I151" showDropDown="0" showInputMessage="0" showErrorMessage="1" allowBlank="1" errorTitle="Valor fora da faixa" error="Recarga: use um número inteiro de 2 a 3." type="whole" errorStyle="warning" operator="between">
      <formula1>2</formula1>
      <formula2>3</formula2>
    </dataValidation>
    <dataValidation sqref="J151" showDropDown="0" showInputMessage="0" showErrorMessage="1" allowBlank="1" errorTitle="Valor fora da faixa" error="Duração: use um número inteiro de 1 a 5." type="whole" errorStyle="warning" operator="between">
      <formula1>1</formula1>
      <formula2>5</formula2>
    </dataValidation>
    <dataValidation sqref="A152" showDropDown="0" showInputMessage="0" showErrorMessage="1" allowBlank="1" errorTitle="Fora da lista" error="Inimigo: escolha um valor da lista. A planilha pode não reconhecer outro valor." type="list" errorStyle="warning">
      <formula1>'Inimigos'!$A$11:$A$22</formula1>
    </dataValidation>
    <dataValidation sqref="C152" showDropDown="0" showInputMessage="0" showErrorMessage="1" allowBlank="1" errorTitle="Fora da lista" error="Tipo de ação: escolha um valor da lista. A planilha pode não reconhecer outro valor." type="list" errorStyle="warning">
      <formula1>'Dados'!$BJ$6:$BJ$10</formula1>
    </dataValidation>
    <dataValidation sqref="E152" showDropDown="0" showInputMessage="0" showErrorMessage="1" allowBlank="1" errorTitle="Texto longo" error="Nome da ação: até 40 caracteres." type="textLength" errorStyle="warning" operator="lessThanOrEqual">
      <formula1>40</formula1>
    </dataValidation>
    <dataValidation sqref="G152" showDropDown="0" showInputMessage="0" showErrorMessage="1" allowBlank="1" errorTitle="Fora da lista" error="Alcance: escolha um valor da lista. A planilha pode não reconhecer outro valor." type="list" errorStyle="warning">
      <formula1>'Dados'!$BK$6:$BK$10</formula1>
    </dataValidation>
    <dataValidation sqref="H152" showDropDown="0" showInputMessage="0" showErrorMessage="1" allowBlank="1" errorTitle="Fora da lista" error="Elemento: escolha um valor da lista. A planilha pode não reconhecer outro valor." type="list" errorStyle="warning">
      <formula1>'Dados'!$AN$6:$AN$12</formula1>
    </dataValidation>
    <dataValidation sqref="I152" showDropDown="0" showInputMessage="0" showErrorMessage="1" allowBlank="1" errorTitle="Valor fora da faixa" error="Recarga: use um número inteiro de 2 a 3." type="whole" errorStyle="warning" operator="between">
      <formula1>2</formula1>
      <formula2>3</formula2>
    </dataValidation>
    <dataValidation sqref="J152" showDropDown="0" showInputMessage="0" showErrorMessage="1" allowBlank="1" errorTitle="Valor fora da faixa" error="Duração: use um número inteiro de 1 a 5." type="whole" errorStyle="warning" operator="between">
      <formula1>1</formula1>
      <formula2>5</formula2>
    </dataValidation>
    <dataValidation sqref="A153" showDropDown="0" showInputMessage="0" showErrorMessage="1" allowBlank="1" errorTitle="Fora da lista" error="Inimigo: escolha um valor da lista. A planilha pode não reconhecer outro valor." type="list" errorStyle="warning">
      <formula1>'Inimigos'!$A$11:$A$22</formula1>
    </dataValidation>
    <dataValidation sqref="C153" showDropDown="0" showInputMessage="0" showErrorMessage="1" allowBlank="1" errorTitle="Fora da lista" error="Tipo de ação: escolha um valor da lista. A planilha pode não reconhecer outro valor." type="list" errorStyle="warning">
      <formula1>'Dados'!$BJ$6:$BJ$10</formula1>
    </dataValidation>
    <dataValidation sqref="E153" showDropDown="0" showInputMessage="0" showErrorMessage="1" allowBlank="1" errorTitle="Texto longo" error="Nome da ação: até 40 caracteres." type="textLength" errorStyle="warning" operator="lessThanOrEqual">
      <formula1>40</formula1>
    </dataValidation>
    <dataValidation sqref="G153" showDropDown="0" showInputMessage="0" showErrorMessage="1" allowBlank="1" errorTitle="Fora da lista" error="Alcance: escolha um valor da lista. A planilha pode não reconhecer outro valor." type="list" errorStyle="warning">
      <formula1>'Dados'!$BK$6:$BK$10</formula1>
    </dataValidation>
    <dataValidation sqref="H153" showDropDown="0" showInputMessage="0" showErrorMessage="1" allowBlank="1" errorTitle="Fora da lista" error="Elemento: escolha um valor da lista. A planilha pode não reconhecer outro valor." type="list" errorStyle="warning">
      <formula1>'Dados'!$AN$6:$AN$12</formula1>
    </dataValidation>
    <dataValidation sqref="I153" showDropDown="0" showInputMessage="0" showErrorMessage="1" allowBlank="1" errorTitle="Valor fora da faixa" error="Recarga: use um número inteiro de 2 a 3." type="whole" errorStyle="warning" operator="between">
      <formula1>2</formula1>
      <formula2>3</formula2>
    </dataValidation>
    <dataValidation sqref="J153" showDropDown="0" showInputMessage="0" showErrorMessage="1" allowBlank="1" errorTitle="Valor fora da faixa" error="Duração: use um número inteiro de 1 a 5." type="whole" errorStyle="warning" operator="between">
      <formula1>1</formula1>
      <formula2>5</formula2>
    </dataValidation>
    <dataValidation sqref="B157" showDropDown="0" showInputMessage="0" showErrorMessage="1" allowBlank="1" errorTitle="Fora da lista" error="Condição: escolha um valor da lista. A planilha pode não reconhecer outro valor." type="list" errorStyle="warning">
      <formula1>'Dados'!$BH$6:$BH$18</formula1>
    </dataValidation>
    <dataValidation sqref="D157" showDropDown="0" showInputMessage="0" showErrorMessage="1" allowBlank="1" errorTitle="Fora da lista" error="Teste de Resistência: escolha um valor da lista. A planilha pode não reconhecer outro valor." type="list" errorStyle="warning">
      <formula1>'Dados'!$BL$6:$BL$11</formula1>
    </dataValidation>
    <dataValidation sqref="B158" showDropDown="0" showInputMessage="0" showErrorMessage="1" allowBlank="1" errorTitle="Fora da lista" error="Condição: escolha um valor da lista. A planilha pode não reconhecer outro valor." type="list" errorStyle="warning">
      <formula1>'Dados'!$BH$6:$BH$18</formula1>
    </dataValidation>
    <dataValidation sqref="D158" showDropDown="0" showInputMessage="0" showErrorMessage="1" allowBlank="1" errorTitle="Fora da lista" error="Teste de Resistência: escolha um valor da lista. A planilha pode não reconhecer outro valor." type="list" errorStyle="warning">
      <formula1>'Dados'!$BL$6:$BL$11</formula1>
    </dataValidation>
    <dataValidation sqref="B159" showDropDown="0" showInputMessage="0" showErrorMessage="1" allowBlank="1" errorTitle="Fora da lista" error="Condição: escolha um valor da lista. A planilha pode não reconhecer outro valor." type="list" errorStyle="warning">
      <formula1>'Dados'!$BH$6:$BH$18</formula1>
    </dataValidation>
    <dataValidation sqref="D159" showDropDown="0" showInputMessage="0" showErrorMessage="1" allowBlank="1" errorTitle="Fora da lista" error="Teste de Resistência: escolha um valor da lista. A planilha pode não reconhecer outro valor." type="list" errorStyle="warning">
      <formula1>'Dados'!$BL$6:$BL$11</formula1>
    </dataValidation>
    <dataValidation sqref="B160" showDropDown="0" showInputMessage="0" showErrorMessage="1" allowBlank="1" errorTitle="Fora da lista" error="Condição: escolha um valor da lista. A planilha pode não reconhecer outro valor." type="list" errorStyle="warning">
      <formula1>'Dados'!$BH$6:$BH$18</formula1>
    </dataValidation>
    <dataValidation sqref="D160" showDropDown="0" showInputMessage="0" showErrorMessage="1" allowBlank="1" errorTitle="Fora da lista" error="Teste de Resistência: escolha um valor da lista. A planilha pode não reconhecer outro valor." type="list" errorStyle="warning">
      <formula1>'Dados'!$BL$6:$BL$11</formula1>
    </dataValidation>
    <dataValidation sqref="B161" showDropDown="0" showInputMessage="0" showErrorMessage="1" allowBlank="1" errorTitle="Fora da lista" error="Condição: escolha um valor da lista. A planilha pode não reconhecer outro valor." type="list" errorStyle="warning">
      <formula1>'Dados'!$BH$6:$BH$18</formula1>
    </dataValidation>
    <dataValidation sqref="D161" showDropDown="0" showInputMessage="0" showErrorMessage="1" allowBlank="1" errorTitle="Fora da lista" error="Teste de Resistência: escolha um valor da lista. A planilha pode não reconhecer outro valor." type="list" errorStyle="warning">
      <formula1>'Dados'!$BL$6:$BL$11</formula1>
    </dataValidation>
    <dataValidation sqref="B162" showDropDown="0" showInputMessage="0" showErrorMessage="1" allowBlank="1" errorTitle="Fora da lista" error="Condição: escolha um valor da lista. A planilha pode não reconhecer outro valor." type="list" errorStyle="warning">
      <formula1>'Dados'!$BH$6:$BH$18</formula1>
    </dataValidation>
    <dataValidation sqref="D162" showDropDown="0" showInputMessage="0" showErrorMessage="1" allowBlank="1" errorTitle="Fora da lista" error="Teste de Resistência: escolha um valor da lista. A planilha pode não reconhecer outro valor." type="list" errorStyle="warning">
      <formula1>'Dados'!$BL$6:$BL$11</formula1>
    </dataValidation>
    <dataValidation sqref="B163" showDropDown="0" showInputMessage="0" showErrorMessage="1" allowBlank="1" errorTitle="Fora da lista" error="Condição: escolha um valor da lista. A planilha pode não reconhecer outro valor." type="list" errorStyle="warning">
      <formula1>'Dados'!$BH$6:$BH$18</formula1>
    </dataValidation>
    <dataValidation sqref="D163" showDropDown="0" showInputMessage="0" showErrorMessage="1" allowBlank="1" errorTitle="Fora da lista" error="Teste de Resistência: escolha um valor da lista. A planilha pode não reconhecer outro valor." type="list" errorStyle="warning">
      <formula1>'Dados'!$BL$6:$BL$11</formula1>
    </dataValidation>
    <dataValidation sqref="B164" showDropDown="0" showInputMessage="0" showErrorMessage="1" allowBlank="1" errorTitle="Fora da lista" error="Condição: escolha um valor da lista. A planilha pode não reconhecer outro valor." type="list" errorStyle="warning">
      <formula1>'Dados'!$BH$6:$BH$18</formula1>
    </dataValidation>
    <dataValidation sqref="D164" showDropDown="0" showInputMessage="0" showErrorMessage="1" allowBlank="1" errorTitle="Fora da lista" error="Teste de Resistência: escolha um valor da lista. A planilha pode não reconhecer outro valor." type="list" errorStyle="warning">
      <formula1>'Dados'!$BL$6:$BL$11</formula1>
    </dataValidation>
    <dataValidation sqref="B165" showDropDown="0" showInputMessage="0" showErrorMessage="1" allowBlank="1" errorTitle="Fora da lista" error="Condição: escolha um valor da lista. A planilha pode não reconhecer outro valor." type="list" errorStyle="warning">
      <formula1>'Dados'!$BH$6:$BH$18</formula1>
    </dataValidation>
    <dataValidation sqref="D165" showDropDown="0" showInputMessage="0" showErrorMessage="1" allowBlank="1" errorTitle="Fora da lista" error="Teste de Resistência: escolha um valor da lista. A planilha pode não reconhecer outro valor." type="list" errorStyle="warning">
      <formula1>'Dados'!$BL$6:$BL$11</formula1>
    </dataValidation>
    <dataValidation sqref="B166" showDropDown="0" showInputMessage="0" showErrorMessage="1" allowBlank="1" errorTitle="Fora da lista" error="Condição: escolha um valor da lista. A planilha pode não reconhecer outro valor." type="list" errorStyle="warning">
      <formula1>'Dados'!$BH$6:$BH$18</formula1>
    </dataValidation>
    <dataValidation sqref="D166" showDropDown="0" showInputMessage="0" showErrorMessage="1" allowBlank="1" errorTitle="Fora da lista" error="Teste de Resistência: escolha um valor da lista. A planilha pode não reconhecer outro valor." type="list" errorStyle="warning">
      <formula1>'Dados'!$BL$6:$BL$11</formula1>
    </dataValidation>
    <dataValidation sqref="B167" showDropDown="0" showInputMessage="0" showErrorMessage="1" allowBlank="1" errorTitle="Fora da lista" error="Condição: escolha um valor da lista. A planilha pode não reconhecer outro valor." type="list" errorStyle="warning">
      <formula1>'Dados'!$BH$6:$BH$18</formula1>
    </dataValidation>
    <dataValidation sqref="D167" showDropDown="0" showInputMessage="0" showErrorMessage="1" allowBlank="1" errorTitle="Fora da lista" error="Teste de Resistência: escolha um valor da lista. A planilha pode não reconhecer outro valor." type="list" errorStyle="warning">
      <formula1>'Dados'!$BL$6:$BL$11</formula1>
    </dataValidation>
    <dataValidation sqref="B168" showDropDown="0" showInputMessage="0" showErrorMessage="1" allowBlank="1" errorTitle="Fora da lista" error="Condição: escolha um valor da lista. A planilha pode não reconhecer outro valor." type="list" errorStyle="warning">
      <formula1>'Dados'!$BH$6:$BH$18</formula1>
    </dataValidation>
    <dataValidation sqref="D168" showDropDown="0" showInputMessage="0" showErrorMessage="1" allowBlank="1" errorTitle="Fora da lista" error="Teste de Resistência: escolha um valor da lista. A planilha pode não reconhecer outro valor." type="list" errorStyle="warning">
      <formula1>'Dados'!$BL$6:$BL$11</formula1>
    </dataValidation>
    <dataValidation sqref="B170" showDropDown="0" showInputMessage="0" showErrorMessage="1" allowBlank="1" errorTitle="Fora da lista" error="Condição: escolha um valor da lista. A planilha pode não reconhecer outro valor." type="list" errorStyle="warning">
      <formula1>'Dados'!$BH$6:$BH$18</formula1>
    </dataValidation>
    <dataValidation sqref="D170" showDropDown="0" showInputMessage="0" showErrorMessage="1" allowBlank="1" errorTitle="Fora da lista" error="Teste de Resistência: escolha um valor da lista. A planilha pode não reconhecer outro valor." type="list" errorStyle="warning">
      <formula1>'Dados'!$BL$6:$BL$11</formula1>
    </dataValidation>
    <dataValidation sqref="B171" showDropDown="0" showInputMessage="0" showErrorMessage="1" allowBlank="1" errorTitle="Fora da lista" error="Condição: escolha um valor da lista. A planilha pode não reconhecer outro valor." type="list" errorStyle="warning">
      <formula1>'Dados'!$BH$6:$BH$18</formula1>
    </dataValidation>
    <dataValidation sqref="D171" showDropDown="0" showInputMessage="0" showErrorMessage="1" allowBlank="1" errorTitle="Fora da lista" error="Teste de Resistência: escolha um valor da lista. A planilha pode não reconhecer outro valor." type="list" errorStyle="warning">
      <formula1>'Dados'!$BL$6:$BL$11</formula1>
    </dataValidation>
    <dataValidation sqref="B172" showDropDown="0" showInputMessage="0" showErrorMessage="1" allowBlank="1" errorTitle="Fora da lista" error="Condição: escolha um valor da lista. A planilha pode não reconhecer outro valor." type="list" errorStyle="warning">
      <formula1>'Dados'!$BH$6:$BH$18</formula1>
    </dataValidation>
    <dataValidation sqref="D172" showDropDown="0" showInputMessage="0" showErrorMessage="1" allowBlank="1" errorTitle="Fora da lista" error="Teste de Resistência: escolha um valor da lista. A planilha pode não reconhecer outro valor." type="list" errorStyle="warning">
      <formula1>'Dados'!$BL$6:$BL$11</formula1>
    </dataValidation>
    <dataValidation sqref="B173" showDropDown="0" showInputMessage="0" showErrorMessage="1" allowBlank="1" errorTitle="Fora da lista" error="Condição: escolha um valor da lista. A planilha pode não reconhecer outro valor." type="list" errorStyle="warning">
      <formula1>'Dados'!$BH$6:$BH$18</formula1>
    </dataValidation>
    <dataValidation sqref="D173" showDropDown="0" showInputMessage="0" showErrorMessage="1" allowBlank="1" errorTitle="Fora da lista" error="Teste de Resistência: escolha um valor da lista. A planilha pode não reconhecer outro valor." type="list" errorStyle="warning">
      <formula1>'Dados'!$BL$6:$BL$11</formula1>
    </dataValidation>
    <dataValidation sqref="B174" showDropDown="0" showInputMessage="0" showErrorMessage="1" allowBlank="1" errorTitle="Fora da lista" error="Condição: escolha um valor da lista. A planilha pode não reconhecer outro valor." type="list" errorStyle="warning">
      <formula1>'Dados'!$BH$6:$BH$18</formula1>
    </dataValidation>
    <dataValidation sqref="D174" showDropDown="0" showInputMessage="0" showErrorMessage="1" allowBlank="1" errorTitle="Fora da lista" error="Teste de Resistência: escolha um valor da lista. A planilha pode não reconhecer outro valor." type="list" errorStyle="warning">
      <formula1>'Dados'!$BL$6:$BL$11</formula1>
    </dataValidation>
    <dataValidation sqref="B175" showDropDown="0" showInputMessage="0" showErrorMessage="1" allowBlank="1" errorTitle="Fora da lista" error="Condição: escolha um valor da lista. A planilha pode não reconhecer outro valor." type="list" errorStyle="warning">
      <formula1>'Dados'!$BH$6:$BH$18</formula1>
    </dataValidation>
    <dataValidation sqref="D175" showDropDown="0" showInputMessage="0" showErrorMessage="1" allowBlank="1" errorTitle="Fora da lista" error="Teste de Resistência: escolha um valor da lista. A planilha pode não reconhecer outro valor." type="list" errorStyle="warning">
      <formula1>'Dados'!$BL$6:$BL$11</formula1>
    </dataValidation>
    <dataValidation sqref="B176" showDropDown="0" showInputMessage="0" showErrorMessage="1" allowBlank="1" errorTitle="Fora da lista" error="Condição: escolha um valor da lista. A planilha pode não reconhecer outro valor." type="list" errorStyle="warning">
      <formula1>'Dados'!$BH$6:$BH$18</formula1>
    </dataValidation>
    <dataValidation sqref="D176" showDropDown="0" showInputMessage="0" showErrorMessage="1" allowBlank="1" errorTitle="Fora da lista" error="Teste de Resistência: escolha um valor da lista. A planilha pode não reconhecer outro valor." type="list" errorStyle="warning">
      <formula1>'Dados'!$BL$6:$BL$11</formula1>
    </dataValidation>
    <dataValidation sqref="B177" showDropDown="0" showInputMessage="0" showErrorMessage="1" allowBlank="1" errorTitle="Fora da lista" error="Condição: escolha um valor da lista. A planilha pode não reconhecer outro valor." type="list" errorStyle="warning">
      <formula1>'Dados'!$BH$6:$BH$18</formula1>
    </dataValidation>
    <dataValidation sqref="D177" showDropDown="0" showInputMessage="0" showErrorMessage="1" allowBlank="1" errorTitle="Fora da lista" error="Teste de Resistência: escolha um valor da lista. A planilha pode não reconhecer outro valor." type="list" errorStyle="warning">
      <formula1>'Dados'!$BL$6:$BL$11</formula1>
    </dataValidation>
    <dataValidation sqref="B178" showDropDown="0" showInputMessage="0" showErrorMessage="1" allowBlank="1" errorTitle="Fora da lista" error="Condição: escolha um valor da lista. A planilha pode não reconhecer outro valor." type="list" errorStyle="warning">
      <formula1>'Dados'!$BH$6:$BH$18</formula1>
    </dataValidation>
    <dataValidation sqref="D178" showDropDown="0" showInputMessage="0" showErrorMessage="1" allowBlank="1" errorTitle="Fora da lista" error="Teste de Resistência: escolha um valor da lista. A planilha pode não reconhecer outro valor." type="list" errorStyle="warning">
      <formula1>'Dados'!$BL$6:$BL$11</formula1>
    </dataValidation>
    <dataValidation sqref="B179" showDropDown="0" showInputMessage="0" showErrorMessage="1" allowBlank="1" errorTitle="Fora da lista" error="Condição: escolha um valor da lista. A planilha pode não reconhecer outro valor." type="list" errorStyle="warning">
      <formula1>'Dados'!$BH$6:$BH$18</formula1>
    </dataValidation>
    <dataValidation sqref="D179" showDropDown="0" showInputMessage="0" showErrorMessage="1" allowBlank="1" errorTitle="Fora da lista" error="Teste de Resistência: escolha um valor da lista. A planilha pode não reconhecer outro valor." type="list" errorStyle="warning">
      <formula1>'Dados'!$BL$6:$BL$11</formula1>
    </dataValidation>
    <dataValidation sqref="B180" showDropDown="0" showInputMessage="0" showErrorMessage="1" allowBlank="1" errorTitle="Fora da lista" error="Condição: escolha um valor da lista. A planilha pode não reconhecer outro valor." type="list" errorStyle="warning">
      <formula1>'Dados'!$BH$6:$BH$18</formula1>
    </dataValidation>
    <dataValidation sqref="D180" showDropDown="0" showInputMessage="0" showErrorMessage="1" allowBlank="1" errorTitle="Fora da lista" error="Teste de Resistência: escolha um valor da lista. A planilha pode não reconhecer outro valor." type="list" errorStyle="warning">
      <formula1>'Dados'!$BL$6:$BL$11</formula1>
    </dataValidation>
    <dataValidation sqref="B181" showDropDown="0" showInputMessage="0" showErrorMessage="1" allowBlank="1" errorTitle="Fora da lista" error="Condição: escolha um valor da lista. A planilha pode não reconhecer outro valor." type="list" errorStyle="warning">
      <formula1>'Dados'!$BH$6:$BH$18</formula1>
    </dataValidation>
    <dataValidation sqref="D181" showDropDown="0" showInputMessage="0" showErrorMessage="1" allowBlank="1" errorTitle="Fora da lista" error="Teste de Resistência: escolha um valor da lista. A planilha pode não reconhecer outro valor." type="list" errorStyle="warning">
      <formula1>'Dados'!$BL$6:$BL$11</formula1>
    </dataValidation>
    <dataValidation sqref="B183" showDropDown="0" showInputMessage="0" showErrorMessage="1" allowBlank="1" errorTitle="Fora da lista" error="Condição: escolha um valor da lista. A planilha pode não reconhecer outro valor." type="list" errorStyle="warning">
      <formula1>'Dados'!$BH$6:$BH$18</formula1>
    </dataValidation>
    <dataValidation sqref="D183" showDropDown="0" showInputMessage="0" showErrorMessage="1" allowBlank="1" errorTitle="Fora da lista" error="Teste de Resistência: escolha um valor da lista. A planilha pode não reconhecer outro valor." type="list" errorStyle="warning">
      <formula1>'Dados'!$BL$6:$BL$11</formula1>
    </dataValidation>
    <dataValidation sqref="B184" showDropDown="0" showInputMessage="0" showErrorMessage="1" allowBlank="1" errorTitle="Fora da lista" error="Condição: escolha um valor da lista. A planilha pode não reconhecer outro valor." type="list" errorStyle="warning">
      <formula1>'Dados'!$BH$6:$BH$18</formula1>
    </dataValidation>
    <dataValidation sqref="D184" showDropDown="0" showInputMessage="0" showErrorMessage="1" allowBlank="1" errorTitle="Fora da lista" error="Teste de Resistência: escolha um valor da lista. A planilha pode não reconhecer outro valor." type="list" errorStyle="warning">
      <formula1>'Dados'!$BL$6:$BL$11</formula1>
    </dataValidation>
    <dataValidation sqref="B185" showDropDown="0" showInputMessage="0" showErrorMessage="1" allowBlank="1" errorTitle="Fora da lista" error="Condição: escolha um valor da lista. A planilha pode não reconhecer outro valor." type="list" errorStyle="warning">
      <formula1>'Dados'!$BH$6:$BH$18</formula1>
    </dataValidation>
    <dataValidation sqref="D185" showDropDown="0" showInputMessage="0" showErrorMessage="1" allowBlank="1" errorTitle="Fora da lista" error="Teste de Resistência: escolha um valor da lista. A planilha pode não reconhecer outro valor." type="list" errorStyle="warning">
      <formula1>'Dados'!$BL$6:$BL$11</formula1>
    </dataValidation>
    <dataValidation sqref="B186" showDropDown="0" showInputMessage="0" showErrorMessage="1" allowBlank="1" errorTitle="Fora da lista" error="Condição: escolha um valor da lista. A planilha pode não reconhecer outro valor." type="list" errorStyle="warning">
      <formula1>'Dados'!$BH$6:$BH$18</formula1>
    </dataValidation>
    <dataValidation sqref="D186" showDropDown="0" showInputMessage="0" showErrorMessage="1" allowBlank="1" errorTitle="Fora da lista" error="Teste de Resistência: escolha um valor da lista. A planilha pode não reconhecer outro valor." type="list" errorStyle="warning">
      <formula1>'Dados'!$BL$6:$BL$11</formula1>
    </dataValidation>
    <dataValidation sqref="B187" showDropDown="0" showInputMessage="0" showErrorMessage="1" allowBlank="1" errorTitle="Fora da lista" error="Condição: escolha um valor da lista. A planilha pode não reconhecer outro valor." type="list" errorStyle="warning">
      <formula1>'Dados'!$BH$6:$BH$18</formula1>
    </dataValidation>
    <dataValidation sqref="D187" showDropDown="0" showInputMessage="0" showErrorMessage="1" allowBlank="1" errorTitle="Fora da lista" error="Teste de Resistência: escolha um valor da lista. A planilha pode não reconhecer outro valor." type="list" errorStyle="warning">
      <formula1>'Dados'!$BL$6:$BL$11</formula1>
    </dataValidation>
    <dataValidation sqref="B188" showDropDown="0" showInputMessage="0" showErrorMessage="1" allowBlank="1" errorTitle="Fora da lista" error="Condição: escolha um valor da lista. A planilha pode não reconhecer outro valor." type="list" errorStyle="warning">
      <formula1>'Dados'!$BH$6:$BH$18</formula1>
    </dataValidation>
    <dataValidation sqref="D188" showDropDown="0" showInputMessage="0" showErrorMessage="1" allowBlank="1" errorTitle="Fora da lista" error="Teste de Resistência: escolha um valor da lista. A planilha pode não reconhecer outro valor." type="list" errorStyle="warning">
      <formula1>'Dados'!$BL$6:$BL$11</formula1>
    </dataValidation>
    <dataValidation sqref="B189" showDropDown="0" showInputMessage="0" showErrorMessage="1" allowBlank="1" errorTitle="Fora da lista" error="Condição: escolha um valor da lista. A planilha pode não reconhecer outro valor." type="list" errorStyle="warning">
      <formula1>'Dados'!$BH$6:$BH$18</formula1>
    </dataValidation>
    <dataValidation sqref="D189" showDropDown="0" showInputMessage="0" showErrorMessage="1" allowBlank="1" errorTitle="Fora da lista" error="Teste de Resistência: escolha um valor da lista. A planilha pode não reconhecer outro valor." type="list" errorStyle="warning">
      <formula1>'Dados'!$BL$6:$BL$11</formula1>
    </dataValidation>
    <dataValidation sqref="B190" showDropDown="0" showInputMessage="0" showErrorMessage="1" allowBlank="1" errorTitle="Fora da lista" error="Condição: escolha um valor da lista. A planilha pode não reconhecer outro valor." type="list" errorStyle="warning">
      <formula1>'Dados'!$BH$6:$BH$18</formula1>
    </dataValidation>
    <dataValidation sqref="D190" showDropDown="0" showInputMessage="0" showErrorMessage="1" allowBlank="1" errorTitle="Fora da lista" error="Teste de Resistência: escolha um valor da lista. A planilha pode não reconhecer outro valor." type="list" errorStyle="warning">
      <formula1>'Dados'!$BL$6:$BL$11</formula1>
    </dataValidation>
    <dataValidation sqref="B191" showDropDown="0" showInputMessage="0" showErrorMessage="1" allowBlank="1" errorTitle="Fora da lista" error="Condição: escolha um valor da lista. A planilha pode não reconhecer outro valor." type="list" errorStyle="warning">
      <formula1>'Dados'!$BH$6:$BH$18</formula1>
    </dataValidation>
    <dataValidation sqref="D191" showDropDown="0" showInputMessage="0" showErrorMessage="1" allowBlank="1" errorTitle="Fora da lista" error="Teste de Resistência: escolha um valor da lista. A planilha pode não reconhecer outro valor." type="list" errorStyle="warning">
      <formula1>'Dados'!$BL$6:$BL$11</formula1>
    </dataValidation>
    <dataValidation sqref="B192" showDropDown="0" showInputMessage="0" showErrorMessage="1" allowBlank="1" errorTitle="Fora da lista" error="Condição: escolha um valor da lista. A planilha pode não reconhecer outro valor." type="list" errorStyle="warning">
      <formula1>'Dados'!$BH$6:$BH$18</formula1>
    </dataValidation>
    <dataValidation sqref="D192" showDropDown="0" showInputMessage="0" showErrorMessage="1" allowBlank="1" errorTitle="Fora da lista" error="Teste de Resistência: escolha um valor da lista. A planilha pode não reconhecer outro valor." type="list" errorStyle="warning">
      <formula1>'Dados'!$BL$6:$BL$11</formula1>
    </dataValidation>
    <dataValidation sqref="B193" showDropDown="0" showInputMessage="0" showErrorMessage="1" allowBlank="1" errorTitle="Fora da lista" error="Condição: escolha um valor da lista. A planilha pode não reconhecer outro valor." type="list" errorStyle="warning">
      <formula1>'Dados'!$BH$6:$BH$18</formula1>
    </dataValidation>
    <dataValidation sqref="D193" showDropDown="0" showInputMessage="0" showErrorMessage="1" allowBlank="1" errorTitle="Fora da lista" error="Teste de Resistência: escolha um valor da lista. A planilha pode não reconhecer outro valor." type="list" errorStyle="warning">
      <formula1>'Dados'!$BL$6:$BL$11</formula1>
    </dataValidation>
    <dataValidation sqref="B194" showDropDown="0" showInputMessage="0" showErrorMessage="1" allowBlank="1" errorTitle="Fora da lista" error="Condição: escolha um valor da lista. A planilha pode não reconhecer outro valor." type="list" errorStyle="warning">
      <formula1>'Dados'!$BH$6:$BH$18</formula1>
    </dataValidation>
    <dataValidation sqref="D194" showDropDown="0" showInputMessage="0" showErrorMessage="1" allowBlank="1" errorTitle="Fora da lista" error="Teste de Resistência: escolha um valor da lista. A planilha pode não reconhecer outro valor." type="list" errorStyle="warning">
      <formula1>'Dados'!$BL$6:$BL$11</formula1>
    </dataValidation>
    <dataValidation sqref="B197" showDropDown="0" showInputMessage="0" showErrorMessage="1" allowBlank="1" errorTitle="Fora da lista" error="Ver ficha de: escolha um valor da lista. A planilha pode não reconhecer outro valor." type="list" errorStyle="warning">
      <formula1>'Inimigos'!$A$11:$A$22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21"/>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width="13" customWidth="1" min="17" max="17"/>
    <col hidden="1" width="13" customWidth="1" min="18" max="18"/>
    <col hidden="1" width="13" customWidth="1" min="19" max="19"/>
  </cols>
  <sheetData>
    <row r="1" ht="24" customHeight="1">
      <c r="A1" s="1" t="inlineStr">
        <is>
          <t>Bestiário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As 32 fichas do capítulo 28, com filtro e ficha completa.</t>
        </is>
      </c>
    </row>
    <row r="4"/>
    <row r="5" ht="20" customHeight="1">
      <c r="A5" s="13" t="inlineStr">
        <is>
          <t>Filtro (preencha; vazio = todas as fichas)</t>
        </is>
      </c>
      <c r="O5" s="2">
        <f>SUMPRODUCT(ISNUMBER($N$11:$N$42)*1)</f>
        <v/>
      </c>
    </row>
    <row r="6" ht="26" customHeight="1">
      <c r="A6" s="9" t="inlineStr">
        <is>
          <t>Faixa</t>
        </is>
      </c>
      <c r="B6" s="34" t="n"/>
      <c r="E6" s="12" t="inlineStr">
        <is>
          <t>As Fraquezas sugeridas podem ser trocadas livremente para cumprir o contrato de encontro (28.2 regra 7).</t>
        </is>
      </c>
      <c r="R6" s="2">
        <f>IF(ISERROR($B$6),"",IF(ISBLANK($B$6),"",$B$6))</f>
        <v/>
      </c>
      <c r="S6" s="2">
        <f>ISERROR($B$6)*1</f>
        <v/>
      </c>
    </row>
    <row r="7" ht="26" customHeight="1">
      <c r="A7" s="9" t="inlineStr">
        <is>
          <t>Tipo</t>
        </is>
      </c>
      <c r="B7" s="34" t="n"/>
      <c r="K7" s="19">
        <f>IF(S7&gt;0,"O Google leu como fórmula: escolha de novo na lista.",IF(S6&gt;0,"Linha 6: O Google leu como fórmula: escolha de novo na lista.",""))</f>
        <v/>
      </c>
      <c r="R7" s="2">
        <f>IF(ISERROR($B$7),"",IF(ISBLANK($B$7),"",$B$7))</f>
        <v/>
      </c>
      <c r="S7" s="2">
        <f>ISERROR($B$7)*1</f>
        <v/>
      </c>
    </row>
    <row r="8" ht="26" customHeight="1">
      <c r="A8" s="9" t="inlineStr">
        <is>
          <t>Fraqueza (fase 1)</t>
        </is>
      </c>
      <c r="B8" s="34" t="n"/>
      <c r="C8" s="17" t="n"/>
      <c r="K8" s="19">
        <f>IF(S8&gt;0,"O Google leu como fórmula: escolha de novo na lista.","")</f>
        <v/>
      </c>
      <c r="R8" s="2">
        <f>IF(ISERROR($B$8),"",IF(ISBLANK($B$8),"",$B$8))</f>
        <v/>
      </c>
      <c r="S8" s="2">
        <f>ISERROR($B$8)*1</f>
        <v/>
      </c>
    </row>
    <row r="9" ht="26" customHeight="1">
      <c r="A9" s="9" t="inlineStr">
        <is>
          <t>Facção ou origem</t>
        </is>
      </c>
      <c r="B9" s="34" t="n"/>
      <c r="C9" s="25" t="n"/>
      <c r="D9" s="17" t="n"/>
      <c r="K9" s="19">
        <f>IF(S9&gt;0,"O Google leu como fórmula: escolha de novo na lista.",IF(S10&gt;0,"Linha 10: O Google leu como fórmula: escolha de novo na lista.",""))</f>
        <v/>
      </c>
      <c r="R9" s="2">
        <f>IF(ISERROR($B$9),"",IF(ISBLANK($B$9),"",$B$9))</f>
        <v/>
      </c>
      <c r="S9" s="2">
        <f>ISERROR($B$9)*1</f>
        <v/>
      </c>
    </row>
    <row r="10">
      <c r="A10" s="9" t="inlineStr">
        <is>
          <t>Ambiente</t>
        </is>
      </c>
      <c r="B10" s="34" t="n"/>
      <c r="C10" s="25" t="n"/>
      <c r="D10" s="17" t="n"/>
      <c r="E10" s="12" t="inlineStr">
        <is>
          <t>Sugestão da planilha — não é regra do livro (H8): o ambiente de cada facção vem da aba Tabelas.</t>
        </is>
      </c>
      <c r="R10" s="2">
        <f>IF(ISERROR($B$10),"",IF(ISBLANK($B$10),"",$B$10))</f>
        <v/>
      </c>
      <c r="S10" s="2">
        <f>ISERROR($B$10)*1</f>
        <v/>
      </c>
    </row>
    <row r="11" ht="26" customHeight="1">
      <c r="A11" s="9" t="inlineStr">
        <is>
          <t>Só com Resistência?</t>
        </is>
      </c>
      <c r="B11" s="34" t="n"/>
      <c r="K11" s="19">
        <f>IF(S11&gt;0,"O Google leu como fórmula: escolha de novo na lista.","")</f>
        <v/>
      </c>
      <c r="N11" s="2">
        <f>IF(AND(OR(LEN($R$6)=0,$R$6="Todas",$R$6="Faixa "&amp;'Dados'!$D$92),OR(LEN($R$7)=0,$R$7="Todos",$R$7='Dados'!$C$92),OR(LEN($R$8)=0,$R$8="Qualquer",COUNTIF('Dados'!$Q$92:'Dados'!$T$92,$R$8)&gt;0),OR(LEN($R$9)=0,$R$9="Todas",$R$9='Dados'!$E$92),OR(LEN($R$10)=0,$R$10="Todos",COUNTIFS('Tabelas'!$AE$12:$AE$118,'Dados'!$E$92,'Tabelas'!$AF$12:$AF$118,$R$10)+IF(LEN('Dados'!$AD$92)=0,0,COUNTIFS('Tabelas'!$AE$12:$AE$118,'Dados'!$AD$92,'Tabelas'!$AF$12:$AF$118,$R$10))&gt;0),OR($R$11&lt;&gt;"Sim",LEN('Dados'!$U$92)&gt;0),OR($R$12&lt;&gt;"Sim",'Dados'!$F$92&gt;1)),'Dados'!$AB$92*1000+'Dados'!$AC$92*100+1,"")</f>
        <v/>
      </c>
      <c r="R11" s="2">
        <f>IF(ISERROR($B$11),"",IF(ISBLANK($B$11),"",$B$11))</f>
        <v/>
      </c>
      <c r="S11" s="2">
        <f>ISERROR($B$11)*1</f>
        <v/>
      </c>
    </row>
    <row r="12" ht="26" customHeight="1">
      <c r="A12" s="9" t="inlineStr">
        <is>
          <t>Só com fases?</t>
        </is>
      </c>
      <c r="B12" s="34" t="n"/>
      <c r="K12" s="19">
        <f>IF(S12&gt;0,"O Google leu como fórmula: escolha de novo na lista.","")</f>
        <v/>
      </c>
      <c r="N12" s="2">
        <f>IF(AND(OR(LEN($R$6)=0,$R$6="Todas",$R$6="Faixa "&amp;'Dados'!$D$93),OR(LEN($R$7)=0,$R$7="Todos",$R$7='Dados'!$C$93),OR(LEN($R$8)=0,$R$8="Qualquer",COUNTIF('Dados'!$Q$93:'Dados'!$T$93,$R$8)&gt;0),OR(LEN($R$9)=0,$R$9="Todas",$R$9='Dados'!$E$93),OR(LEN($R$10)=0,$R$10="Todos",COUNTIFS('Tabelas'!$AE$12:$AE$118,'Dados'!$E$93,'Tabelas'!$AF$12:$AF$118,$R$10)+IF(LEN('Dados'!$AD$93)=0,0,COUNTIFS('Tabelas'!$AE$12:$AE$118,'Dados'!$AD$93,'Tabelas'!$AF$12:$AF$118,$R$10))&gt;0),OR($R$11&lt;&gt;"Sim",LEN('Dados'!$U$93)&gt;0),OR($R$12&lt;&gt;"Sim",'Dados'!$F$93&gt;1)),'Dados'!$AB$93*1000+'Dados'!$AC$93*100+2,"")</f>
        <v/>
      </c>
      <c r="R12" s="2">
        <f>IF(ISERROR($B$12),"",IF(ISBLANK($B$12),"",$B$12))</f>
        <v/>
      </c>
      <c r="S12" s="2">
        <f>ISERROR($B$12)*1</f>
        <v/>
      </c>
    </row>
    <row r="13">
      <c r="A13" s="9" t="inlineStr">
        <is>
          <t>Resultado</t>
        </is>
      </c>
      <c r="B13" s="5">
        <f>$O$5&amp;" de 32 fichas"</f>
        <v/>
      </c>
      <c r="N13" s="2">
        <f>IF(AND(OR(LEN($R$6)=0,$R$6="Todas",$R$6="Faixa "&amp;'Dados'!$D$94),OR(LEN($R$7)=0,$R$7="Todos",$R$7='Dados'!$C$94),OR(LEN($R$8)=0,$R$8="Qualquer",COUNTIF('Dados'!$Q$94:'Dados'!$T$94,$R$8)&gt;0),OR(LEN($R$9)=0,$R$9="Todas",$R$9='Dados'!$E$94),OR(LEN($R$10)=0,$R$10="Todos",COUNTIFS('Tabelas'!$AE$12:$AE$118,'Dados'!$E$94,'Tabelas'!$AF$12:$AF$118,$R$10)+IF(LEN('Dados'!$AD$94)=0,0,COUNTIFS('Tabelas'!$AE$12:$AE$118,'Dados'!$AD$94,'Tabelas'!$AF$12:$AF$118,$R$10))&gt;0),OR($R$11&lt;&gt;"Sim",LEN('Dados'!$U$94)&gt;0),OR($R$12&lt;&gt;"Sim",'Dados'!$F$94&gt;1)),'Dados'!$AB$94*1000+'Dados'!$AC$94*100+3,"")</f>
        <v/>
      </c>
    </row>
    <row r="14">
      <c r="N14" s="2">
        <f>IF(AND(OR(LEN($R$6)=0,$R$6="Todas",$R$6="Faixa "&amp;'Dados'!$D$95),OR(LEN($R$7)=0,$R$7="Todos",$R$7='Dados'!$C$95),OR(LEN($R$8)=0,$R$8="Qualquer",COUNTIF('Dados'!$Q$95:'Dados'!$T$95,$R$8)&gt;0),OR(LEN($R$9)=0,$R$9="Todas",$R$9='Dados'!$E$95),OR(LEN($R$10)=0,$R$10="Todos",COUNTIFS('Tabelas'!$AE$12:$AE$118,'Dados'!$E$95,'Tabelas'!$AF$12:$AF$118,$R$10)+IF(LEN('Dados'!$AD$95)=0,0,COUNTIFS('Tabelas'!$AE$12:$AE$118,'Dados'!$AD$95,'Tabelas'!$AF$12:$AF$118,$R$10))&gt;0),OR($R$11&lt;&gt;"Sim",LEN('Dados'!$U$95)&gt;0),OR($R$12&lt;&gt;"Sim",'Dados'!$F$95&gt;1)),'Dados'!$AB$95*1000+'Dados'!$AC$95*100+4,"")</f>
        <v/>
      </c>
    </row>
    <row r="15" ht="20" customHeight="1">
      <c r="A15" s="13" t="inlineStr">
        <is>
          <t>B1 · Números (automático, ordenado por faixa e tipo)</t>
        </is>
      </c>
      <c r="N15" s="2">
        <f>IF(AND(OR(LEN($R$6)=0,$R$6="Todas",$R$6="Faixa "&amp;'Dados'!$D$96),OR(LEN($R$7)=0,$R$7="Todos",$R$7='Dados'!$C$96),OR(LEN($R$8)=0,$R$8="Qualquer",COUNTIF('Dados'!$Q$96:'Dados'!$T$96,$R$8)&gt;0),OR(LEN($R$9)=0,$R$9="Todas",$R$9='Dados'!$E$96),OR(LEN($R$10)=0,$R$10="Todos",COUNTIFS('Tabelas'!$AE$12:$AE$118,'Dados'!$E$96,'Tabelas'!$AF$12:$AF$118,$R$10)+IF(LEN('Dados'!$AD$96)=0,0,COUNTIFS('Tabelas'!$AE$12:$AE$118,'Dados'!$AD$96,'Tabelas'!$AF$12:$AF$118,$R$10))&gt;0),OR($R$11&lt;&gt;"Sim",LEN('Dados'!$U$96)&gt;0),OR($R$12&lt;&gt;"Sim",'Dados'!$F$96&gt;1)),'Dados'!$AB$96*1000+'Dados'!$AC$96*100+5,"")</f>
        <v/>
      </c>
    </row>
    <row r="16" ht="26" customHeight="1">
      <c r="A16" s="8" t="inlineStr">
        <is>
          <t>Nome</t>
        </is>
      </c>
      <c r="B16" s="8" t="inlineStr">
        <is>
          <t>Tipo</t>
        </is>
      </c>
      <c r="C16" s="8" t="inlineStr">
        <is>
          <t>Faixa</t>
        </is>
      </c>
      <c r="D16" s="8" t="inlineStr">
        <is>
          <t>Facção ou origem</t>
        </is>
      </c>
      <c r="E16" s="8" t="inlineStr">
        <is>
          <t>PV</t>
        </is>
      </c>
      <c r="F16" s="8" t="inlineStr">
        <is>
          <t>Defesa</t>
        </is>
      </c>
      <c r="G16" s="8" t="inlineStr">
        <is>
          <t>RD</t>
        </is>
      </c>
      <c r="H16" s="8" t="inlineStr">
        <is>
          <t>Tenacidade</t>
        </is>
      </c>
      <c r="I16" s="8" t="inlineStr">
        <is>
          <t>VEL</t>
        </is>
      </c>
      <c r="J16" s="8" t="inlineStr">
        <is>
          <t>Teste de Ataque</t>
        </is>
      </c>
      <c r="N16" s="2">
        <f>IF(AND(OR(LEN($R$6)=0,$R$6="Todas",$R$6="Faixa "&amp;'Dados'!$D$97),OR(LEN($R$7)=0,$R$7="Todos",$R$7='Dados'!$C$97),OR(LEN($R$8)=0,$R$8="Qualquer",COUNTIF('Dados'!$Q$97:'Dados'!$T$97,$R$8)&gt;0),OR(LEN($R$9)=0,$R$9="Todas",$R$9='Dados'!$E$97),OR(LEN($R$10)=0,$R$10="Todos",COUNTIFS('Tabelas'!$AE$12:$AE$118,'Dados'!$E$97,'Tabelas'!$AF$12:$AF$118,$R$10)+IF(LEN('Dados'!$AD$97)=0,0,COUNTIFS('Tabelas'!$AE$12:$AE$118,'Dados'!$AD$97,'Tabelas'!$AF$12:$AF$118,$R$10))&gt;0),OR($R$11&lt;&gt;"Sim",LEN('Dados'!$U$97)&gt;0),OR($R$12&lt;&gt;"Sim",'Dados'!$F$97&gt;1)),'Dados'!$AB$97*1000+'Dados'!$AC$97*100+6,"")</f>
        <v/>
      </c>
    </row>
    <row r="17" ht="37" customHeight="1">
      <c r="A17" s="31">
        <f>IF($P$17="","",INDEX('Dados'!$B$92:$B$123,$P$17))</f>
        <v/>
      </c>
      <c r="B17" s="18">
        <f>IF($P$17="","",INDEX('Dados'!$C$92:$C$123,$P$17))</f>
        <v/>
      </c>
      <c r="C17" s="18">
        <f>IF($P$17="","",INDEX('Dados'!$D$92:$D$123,$P$17))</f>
        <v/>
      </c>
      <c r="D17" s="5">
        <f>IF($P$17="","",INDEX('Dados'!$E$92:$E$123,$P$17))</f>
        <v/>
      </c>
      <c r="E17" s="18">
        <f>IF($P$17="","",INDEX('Dados'!$G$92:$G$123,$P$17))</f>
        <v/>
      </c>
      <c r="F17" s="18">
        <f>IF($P$17="","",INDEX('Dados'!$H$92:$H$123,$P$17))</f>
        <v/>
      </c>
      <c r="G17" s="18">
        <f>IF($P$17="","",INDEX('Dados'!$I$92:$I$123,$P$17))</f>
        <v/>
      </c>
      <c r="H17" s="18">
        <f>IF($P$17="","",INDEX('Dados'!$J$92:$J$123,$P$17))</f>
        <v/>
      </c>
      <c r="I17" s="18">
        <f>IF($P$17="","",INDEX('Dados'!$K$92:$K$123,$P$17))</f>
        <v/>
      </c>
      <c r="J17" s="18">
        <f>IF($P$17="","","+"&amp;INDEX('Dados'!$L$92:$L$123,$P$17))</f>
        <v/>
      </c>
      <c r="N17" s="2">
        <f>IF(AND(OR(LEN($R$6)=0,$R$6="Todas",$R$6="Faixa "&amp;'Dados'!$D$98),OR(LEN($R$7)=0,$R$7="Todos",$R$7='Dados'!$C$98),OR(LEN($R$8)=0,$R$8="Qualquer",COUNTIF('Dados'!$Q$98:'Dados'!$T$98,$R$8)&gt;0),OR(LEN($R$9)=0,$R$9="Todas",$R$9='Dados'!$E$98),OR(LEN($R$10)=0,$R$10="Todos",COUNTIFS('Tabelas'!$AE$12:$AE$118,'Dados'!$E$98,'Tabelas'!$AF$12:$AF$118,$R$10)+IF(LEN('Dados'!$AD$98)=0,0,COUNTIFS('Tabelas'!$AE$12:$AE$118,'Dados'!$AD$98,'Tabelas'!$AF$12:$AF$118,$R$10))&gt;0),OR($R$11&lt;&gt;"Sim",LEN('Dados'!$U$98)&gt;0),OR($R$12&lt;&gt;"Sim",'Dados'!$F$98&gt;1)),'Dados'!$AB$98*1000+'Dados'!$AC$98*100+7,"")</f>
        <v/>
      </c>
      <c r="P17" s="2">
        <f>IF(1&gt;$O$5,"",MATCH(SMALL($N$11:$N$42,1),$N$11:$N$42,0))</f>
        <v/>
      </c>
    </row>
    <row r="18" ht="37" customHeight="1">
      <c r="A18" s="43">
        <f>IF($P$18="","",INDEX('Dados'!$B$92:$B$123,$P$18))</f>
        <v/>
      </c>
      <c r="B18" s="23">
        <f>IF($P$18="","",INDEX('Dados'!$C$92:$C$123,$P$18))</f>
        <v/>
      </c>
      <c r="C18" s="23">
        <f>IF($P$18="","",INDEX('Dados'!$D$92:$D$123,$P$18))</f>
        <v/>
      </c>
      <c r="D18" s="10">
        <f>IF($P$18="","",INDEX('Dados'!$E$92:$E$123,$P$18))</f>
        <v/>
      </c>
      <c r="E18" s="23">
        <f>IF($P$18="","",INDEX('Dados'!$G$92:$G$123,$P$18))</f>
        <v/>
      </c>
      <c r="F18" s="23">
        <f>IF($P$18="","",INDEX('Dados'!$H$92:$H$123,$P$18))</f>
        <v/>
      </c>
      <c r="G18" s="23">
        <f>IF($P$18="","",INDEX('Dados'!$I$92:$I$123,$P$18))</f>
        <v/>
      </c>
      <c r="H18" s="23">
        <f>IF($P$18="","",INDEX('Dados'!$J$92:$J$123,$P$18))</f>
        <v/>
      </c>
      <c r="I18" s="23">
        <f>IF($P$18="","",INDEX('Dados'!$K$92:$K$123,$P$18))</f>
        <v/>
      </c>
      <c r="J18" s="23">
        <f>IF($P$18="","","+"&amp;INDEX('Dados'!$L$92:$L$123,$P$18))</f>
        <v/>
      </c>
      <c r="N18" s="2">
        <f>IF(AND(OR(LEN($R$6)=0,$R$6="Todas",$R$6="Faixa "&amp;'Dados'!$D$99),OR(LEN($R$7)=0,$R$7="Todos",$R$7='Dados'!$C$99),OR(LEN($R$8)=0,$R$8="Qualquer",COUNTIF('Dados'!$Q$99:'Dados'!$T$99,$R$8)&gt;0),OR(LEN($R$9)=0,$R$9="Todas",$R$9='Dados'!$E$99),OR(LEN($R$10)=0,$R$10="Todos",COUNTIFS('Tabelas'!$AE$12:$AE$118,'Dados'!$E$99,'Tabelas'!$AF$12:$AF$118,$R$10)+IF(LEN('Dados'!$AD$99)=0,0,COUNTIFS('Tabelas'!$AE$12:$AE$118,'Dados'!$AD$99,'Tabelas'!$AF$12:$AF$118,$R$10))&gt;0),OR($R$11&lt;&gt;"Sim",LEN('Dados'!$U$99)&gt;0),OR($R$12&lt;&gt;"Sim",'Dados'!$F$99&gt;1)),'Dados'!$AB$99*1000+'Dados'!$AC$99*100+8,"")</f>
        <v/>
      </c>
      <c r="P18" s="2">
        <f>IF(2&gt;$O$5,"",MATCH(SMALL($N$11:$N$42,2),$N$11:$N$42,0))</f>
        <v/>
      </c>
    </row>
    <row r="19" ht="37" customHeight="1">
      <c r="A19" s="31">
        <f>IF($P$19="","",INDEX('Dados'!$B$92:$B$123,$P$19))</f>
        <v/>
      </c>
      <c r="B19" s="18">
        <f>IF($P$19="","",INDEX('Dados'!$C$92:$C$123,$P$19))</f>
        <v/>
      </c>
      <c r="C19" s="18">
        <f>IF($P$19="","",INDEX('Dados'!$D$92:$D$123,$P$19))</f>
        <v/>
      </c>
      <c r="D19" s="5">
        <f>IF($P$19="","",INDEX('Dados'!$E$92:$E$123,$P$19))</f>
        <v/>
      </c>
      <c r="E19" s="18">
        <f>IF($P$19="","",INDEX('Dados'!$G$92:$G$123,$P$19))</f>
        <v/>
      </c>
      <c r="F19" s="18">
        <f>IF($P$19="","",INDEX('Dados'!$H$92:$H$123,$P$19))</f>
        <v/>
      </c>
      <c r="G19" s="18">
        <f>IF($P$19="","",INDEX('Dados'!$I$92:$I$123,$P$19))</f>
        <v/>
      </c>
      <c r="H19" s="18">
        <f>IF($P$19="","",INDEX('Dados'!$J$92:$J$123,$P$19))</f>
        <v/>
      </c>
      <c r="I19" s="18">
        <f>IF($P$19="","",INDEX('Dados'!$K$92:$K$123,$P$19))</f>
        <v/>
      </c>
      <c r="J19" s="18">
        <f>IF($P$19="","","+"&amp;INDEX('Dados'!$L$92:$L$123,$P$19))</f>
        <v/>
      </c>
      <c r="N19" s="2">
        <f>IF(AND(OR(LEN($R$6)=0,$R$6="Todas",$R$6="Faixa "&amp;'Dados'!$D$100),OR(LEN($R$7)=0,$R$7="Todos",$R$7='Dados'!$C$100),OR(LEN($R$8)=0,$R$8="Qualquer",COUNTIF('Dados'!$Q$100:'Dados'!$T$100,$R$8)&gt;0),OR(LEN($R$9)=0,$R$9="Todas",$R$9='Dados'!$E$100),OR(LEN($R$10)=0,$R$10="Todos",COUNTIFS('Tabelas'!$AE$12:$AE$118,'Dados'!$E$100,'Tabelas'!$AF$12:$AF$118,$R$10)+IF(LEN('Dados'!$AD$100)=0,0,COUNTIFS('Tabelas'!$AE$12:$AE$118,'Dados'!$AD$100,'Tabelas'!$AF$12:$AF$118,$R$10))&gt;0),OR($R$11&lt;&gt;"Sim",LEN('Dados'!$U$100)&gt;0),OR($R$12&lt;&gt;"Sim",'Dados'!$F$100&gt;1)),'Dados'!$AB$100*1000+'Dados'!$AC$100*100+9,"")</f>
        <v/>
      </c>
      <c r="P19" s="2">
        <f>IF(3&gt;$O$5,"",MATCH(SMALL($N$11:$N$42,3),$N$11:$N$42,0))</f>
        <v/>
      </c>
    </row>
    <row r="20" ht="37" customHeight="1">
      <c r="A20" s="43">
        <f>IF($P$20="","",INDEX('Dados'!$B$92:$B$123,$P$20))</f>
        <v/>
      </c>
      <c r="B20" s="23">
        <f>IF($P$20="","",INDEX('Dados'!$C$92:$C$123,$P$20))</f>
        <v/>
      </c>
      <c r="C20" s="23">
        <f>IF($P$20="","",INDEX('Dados'!$D$92:$D$123,$P$20))</f>
        <v/>
      </c>
      <c r="D20" s="10">
        <f>IF($P$20="","",INDEX('Dados'!$E$92:$E$123,$P$20))</f>
        <v/>
      </c>
      <c r="E20" s="23">
        <f>IF($P$20="","",INDEX('Dados'!$G$92:$G$123,$P$20))</f>
        <v/>
      </c>
      <c r="F20" s="23">
        <f>IF($P$20="","",INDEX('Dados'!$H$92:$H$123,$P$20))</f>
        <v/>
      </c>
      <c r="G20" s="23">
        <f>IF($P$20="","",INDEX('Dados'!$I$92:$I$123,$P$20))</f>
        <v/>
      </c>
      <c r="H20" s="23">
        <f>IF($P$20="","",INDEX('Dados'!$J$92:$J$123,$P$20))</f>
        <v/>
      </c>
      <c r="I20" s="23">
        <f>IF($P$20="","",INDEX('Dados'!$K$92:$K$123,$P$20))</f>
        <v/>
      </c>
      <c r="J20" s="23">
        <f>IF($P$20="","","+"&amp;INDEX('Dados'!$L$92:$L$123,$P$20))</f>
        <v/>
      </c>
      <c r="N20" s="2">
        <f>IF(AND(OR(LEN($R$6)=0,$R$6="Todas",$R$6="Faixa "&amp;'Dados'!$D$101),OR(LEN($R$7)=0,$R$7="Todos",$R$7='Dados'!$C$101),OR(LEN($R$8)=0,$R$8="Qualquer",COUNTIF('Dados'!$Q$101:'Dados'!$T$101,$R$8)&gt;0),OR(LEN($R$9)=0,$R$9="Todas",$R$9='Dados'!$E$101),OR(LEN($R$10)=0,$R$10="Todos",COUNTIFS('Tabelas'!$AE$12:$AE$118,'Dados'!$E$101,'Tabelas'!$AF$12:$AF$118,$R$10)+IF(LEN('Dados'!$AD$101)=0,0,COUNTIFS('Tabelas'!$AE$12:$AE$118,'Dados'!$AD$101,'Tabelas'!$AF$12:$AF$118,$R$10))&gt;0),OR($R$11&lt;&gt;"Sim",LEN('Dados'!$U$101)&gt;0),OR($R$12&lt;&gt;"Sim",'Dados'!$F$101&gt;1)),'Dados'!$AB$101*1000+'Dados'!$AC$101*100+10,"")</f>
        <v/>
      </c>
      <c r="P20" s="2">
        <f>IF(4&gt;$O$5,"",MATCH(SMALL($N$11:$N$42,4),$N$11:$N$42,0))</f>
        <v/>
      </c>
    </row>
    <row r="21" ht="37" customHeight="1">
      <c r="A21" s="31">
        <f>IF($P$21="","",INDEX('Dados'!$B$92:$B$123,$P$21))</f>
        <v/>
      </c>
      <c r="B21" s="18">
        <f>IF($P$21="","",INDEX('Dados'!$C$92:$C$123,$P$21))</f>
        <v/>
      </c>
      <c r="C21" s="18">
        <f>IF($P$21="","",INDEX('Dados'!$D$92:$D$123,$P$21))</f>
        <v/>
      </c>
      <c r="D21" s="5">
        <f>IF($P$21="","",INDEX('Dados'!$E$92:$E$123,$P$21))</f>
        <v/>
      </c>
      <c r="E21" s="18">
        <f>IF($P$21="","",INDEX('Dados'!$G$92:$G$123,$P$21))</f>
        <v/>
      </c>
      <c r="F21" s="18">
        <f>IF($P$21="","",INDEX('Dados'!$H$92:$H$123,$P$21))</f>
        <v/>
      </c>
      <c r="G21" s="18">
        <f>IF($P$21="","",INDEX('Dados'!$I$92:$I$123,$P$21))</f>
        <v/>
      </c>
      <c r="H21" s="18">
        <f>IF($P$21="","",INDEX('Dados'!$J$92:$J$123,$P$21))</f>
        <v/>
      </c>
      <c r="I21" s="18">
        <f>IF($P$21="","",INDEX('Dados'!$K$92:$K$123,$P$21))</f>
        <v/>
      </c>
      <c r="J21" s="18">
        <f>IF($P$21="","","+"&amp;INDEX('Dados'!$L$92:$L$123,$P$21))</f>
        <v/>
      </c>
      <c r="N21" s="2">
        <f>IF(AND(OR(LEN($R$6)=0,$R$6="Todas",$R$6="Faixa "&amp;'Dados'!$D$102),OR(LEN($R$7)=0,$R$7="Todos",$R$7='Dados'!$C$102),OR(LEN($R$8)=0,$R$8="Qualquer",COUNTIF('Dados'!$Q$102:'Dados'!$T$102,$R$8)&gt;0),OR(LEN($R$9)=0,$R$9="Todas",$R$9='Dados'!$E$102),OR(LEN($R$10)=0,$R$10="Todos",COUNTIFS('Tabelas'!$AE$12:$AE$118,'Dados'!$E$102,'Tabelas'!$AF$12:$AF$118,$R$10)+IF(LEN('Dados'!$AD$102)=0,0,COUNTIFS('Tabelas'!$AE$12:$AE$118,'Dados'!$AD$102,'Tabelas'!$AF$12:$AF$118,$R$10))&gt;0),OR($R$11&lt;&gt;"Sim",LEN('Dados'!$U$102)&gt;0),OR($R$12&lt;&gt;"Sim",'Dados'!$F$102&gt;1)),'Dados'!$AB$102*1000+'Dados'!$AC$102*100+11,"")</f>
        <v/>
      </c>
      <c r="P21" s="2">
        <f>IF(5&gt;$O$5,"",MATCH(SMALL($N$11:$N$42,5),$N$11:$N$42,0))</f>
        <v/>
      </c>
    </row>
    <row r="22" ht="37" customHeight="1">
      <c r="A22" s="43">
        <f>IF($P$22="","",INDEX('Dados'!$B$92:$B$123,$P$22))</f>
        <v/>
      </c>
      <c r="B22" s="23">
        <f>IF($P$22="","",INDEX('Dados'!$C$92:$C$123,$P$22))</f>
        <v/>
      </c>
      <c r="C22" s="23">
        <f>IF($P$22="","",INDEX('Dados'!$D$92:$D$123,$P$22))</f>
        <v/>
      </c>
      <c r="D22" s="10">
        <f>IF($P$22="","",INDEX('Dados'!$E$92:$E$123,$P$22))</f>
        <v/>
      </c>
      <c r="E22" s="23">
        <f>IF($P$22="","",INDEX('Dados'!$G$92:$G$123,$P$22))</f>
        <v/>
      </c>
      <c r="F22" s="23">
        <f>IF($P$22="","",INDEX('Dados'!$H$92:$H$123,$P$22))</f>
        <v/>
      </c>
      <c r="G22" s="23">
        <f>IF($P$22="","",INDEX('Dados'!$I$92:$I$123,$P$22))</f>
        <v/>
      </c>
      <c r="H22" s="23">
        <f>IF($P$22="","",INDEX('Dados'!$J$92:$J$123,$P$22))</f>
        <v/>
      </c>
      <c r="I22" s="23">
        <f>IF($P$22="","",INDEX('Dados'!$K$92:$K$123,$P$22))</f>
        <v/>
      </c>
      <c r="J22" s="23">
        <f>IF($P$22="","","+"&amp;INDEX('Dados'!$L$92:$L$123,$P$22))</f>
        <v/>
      </c>
      <c r="N22" s="2">
        <f>IF(AND(OR(LEN($R$6)=0,$R$6="Todas",$R$6="Faixa "&amp;'Dados'!$D$103),OR(LEN($R$7)=0,$R$7="Todos",$R$7='Dados'!$C$103),OR(LEN($R$8)=0,$R$8="Qualquer",COUNTIF('Dados'!$Q$103:'Dados'!$T$103,$R$8)&gt;0),OR(LEN($R$9)=0,$R$9="Todas",$R$9='Dados'!$E$103),OR(LEN($R$10)=0,$R$10="Todos",COUNTIFS('Tabelas'!$AE$12:$AE$118,'Dados'!$E$103,'Tabelas'!$AF$12:$AF$118,$R$10)+IF(LEN('Dados'!$AD$103)=0,0,COUNTIFS('Tabelas'!$AE$12:$AE$118,'Dados'!$AD$103,'Tabelas'!$AF$12:$AF$118,$R$10))&gt;0),OR($R$11&lt;&gt;"Sim",LEN('Dados'!$U$103)&gt;0),OR($R$12&lt;&gt;"Sim",'Dados'!$F$103&gt;1)),'Dados'!$AB$103*1000+'Dados'!$AC$103*100+12,"")</f>
        <v/>
      </c>
      <c r="P22" s="2">
        <f>IF(6&gt;$O$5,"",MATCH(SMALL($N$11:$N$42,6),$N$11:$N$42,0))</f>
        <v/>
      </c>
    </row>
    <row r="23" ht="37" customHeight="1">
      <c r="A23" s="31">
        <f>IF($P$23="","",INDEX('Dados'!$B$92:$B$123,$P$23))</f>
        <v/>
      </c>
      <c r="B23" s="18">
        <f>IF($P$23="","",INDEX('Dados'!$C$92:$C$123,$P$23))</f>
        <v/>
      </c>
      <c r="C23" s="18">
        <f>IF($P$23="","",INDEX('Dados'!$D$92:$D$123,$P$23))</f>
        <v/>
      </c>
      <c r="D23" s="5">
        <f>IF($P$23="","",INDEX('Dados'!$E$92:$E$123,$P$23))</f>
        <v/>
      </c>
      <c r="E23" s="18">
        <f>IF($P$23="","",INDEX('Dados'!$G$92:$G$123,$P$23))</f>
        <v/>
      </c>
      <c r="F23" s="18">
        <f>IF($P$23="","",INDEX('Dados'!$H$92:$H$123,$P$23))</f>
        <v/>
      </c>
      <c r="G23" s="18">
        <f>IF($P$23="","",INDEX('Dados'!$I$92:$I$123,$P$23))</f>
        <v/>
      </c>
      <c r="H23" s="18">
        <f>IF($P$23="","",INDEX('Dados'!$J$92:$J$123,$P$23))</f>
        <v/>
      </c>
      <c r="I23" s="18">
        <f>IF($P$23="","",INDEX('Dados'!$K$92:$K$123,$P$23))</f>
        <v/>
      </c>
      <c r="J23" s="18">
        <f>IF($P$23="","","+"&amp;INDEX('Dados'!$L$92:$L$123,$P$23))</f>
        <v/>
      </c>
      <c r="N23" s="2">
        <f>IF(AND(OR(LEN($R$6)=0,$R$6="Todas",$R$6="Faixa "&amp;'Dados'!$D$104),OR(LEN($R$7)=0,$R$7="Todos",$R$7='Dados'!$C$104),OR(LEN($R$8)=0,$R$8="Qualquer",COUNTIF('Dados'!$Q$104:'Dados'!$T$104,$R$8)&gt;0),OR(LEN($R$9)=0,$R$9="Todas",$R$9='Dados'!$E$104),OR(LEN($R$10)=0,$R$10="Todos",COUNTIFS('Tabelas'!$AE$12:$AE$118,'Dados'!$E$104,'Tabelas'!$AF$12:$AF$118,$R$10)+IF(LEN('Dados'!$AD$104)=0,0,COUNTIFS('Tabelas'!$AE$12:$AE$118,'Dados'!$AD$104,'Tabelas'!$AF$12:$AF$118,$R$10))&gt;0),OR($R$11&lt;&gt;"Sim",LEN('Dados'!$U$104)&gt;0),OR($R$12&lt;&gt;"Sim",'Dados'!$F$104&gt;1)),'Dados'!$AB$104*1000+'Dados'!$AC$104*100+13,"")</f>
        <v/>
      </c>
      <c r="P23" s="2">
        <f>IF(7&gt;$O$5,"",MATCH(SMALL($N$11:$N$42,7),$N$11:$N$42,0))</f>
        <v/>
      </c>
    </row>
    <row r="24" ht="37" customHeight="1">
      <c r="A24" s="43">
        <f>IF($P$24="","",INDEX('Dados'!$B$92:$B$123,$P$24))</f>
        <v/>
      </c>
      <c r="B24" s="23">
        <f>IF($P$24="","",INDEX('Dados'!$C$92:$C$123,$P$24))</f>
        <v/>
      </c>
      <c r="C24" s="23">
        <f>IF($P$24="","",INDEX('Dados'!$D$92:$D$123,$P$24))</f>
        <v/>
      </c>
      <c r="D24" s="10">
        <f>IF($P$24="","",INDEX('Dados'!$E$92:$E$123,$P$24))</f>
        <v/>
      </c>
      <c r="E24" s="23">
        <f>IF($P$24="","",INDEX('Dados'!$G$92:$G$123,$P$24))</f>
        <v/>
      </c>
      <c r="F24" s="23">
        <f>IF($P$24="","",INDEX('Dados'!$H$92:$H$123,$P$24))</f>
        <v/>
      </c>
      <c r="G24" s="23">
        <f>IF($P$24="","",INDEX('Dados'!$I$92:$I$123,$P$24))</f>
        <v/>
      </c>
      <c r="H24" s="23">
        <f>IF($P$24="","",INDEX('Dados'!$J$92:$J$123,$P$24))</f>
        <v/>
      </c>
      <c r="I24" s="23">
        <f>IF($P$24="","",INDEX('Dados'!$K$92:$K$123,$P$24))</f>
        <v/>
      </c>
      <c r="J24" s="23">
        <f>IF($P$24="","","+"&amp;INDEX('Dados'!$L$92:$L$123,$P$24))</f>
        <v/>
      </c>
      <c r="N24" s="2">
        <f>IF(AND(OR(LEN($R$6)=0,$R$6="Todas",$R$6="Faixa "&amp;'Dados'!$D$105),OR(LEN($R$7)=0,$R$7="Todos",$R$7='Dados'!$C$105),OR(LEN($R$8)=0,$R$8="Qualquer",COUNTIF('Dados'!$Q$105:'Dados'!$T$105,$R$8)&gt;0),OR(LEN($R$9)=0,$R$9="Todas",$R$9='Dados'!$E$105),OR(LEN($R$10)=0,$R$10="Todos",COUNTIFS('Tabelas'!$AE$12:$AE$118,'Dados'!$E$105,'Tabelas'!$AF$12:$AF$118,$R$10)+IF(LEN('Dados'!$AD$105)=0,0,COUNTIFS('Tabelas'!$AE$12:$AE$118,'Dados'!$AD$105,'Tabelas'!$AF$12:$AF$118,$R$10))&gt;0),OR($R$11&lt;&gt;"Sim",LEN('Dados'!$U$105)&gt;0),OR($R$12&lt;&gt;"Sim",'Dados'!$F$105&gt;1)),'Dados'!$AB$105*1000+'Dados'!$AC$105*100+14,"")</f>
        <v/>
      </c>
      <c r="P24" s="2">
        <f>IF(8&gt;$O$5,"",MATCH(SMALL($N$11:$N$42,8),$N$11:$N$42,0))</f>
        <v/>
      </c>
    </row>
    <row r="25" ht="37" customHeight="1">
      <c r="A25" s="31">
        <f>IF($P$25="","",INDEX('Dados'!$B$92:$B$123,$P$25))</f>
        <v/>
      </c>
      <c r="B25" s="18">
        <f>IF($P$25="","",INDEX('Dados'!$C$92:$C$123,$P$25))</f>
        <v/>
      </c>
      <c r="C25" s="18">
        <f>IF($P$25="","",INDEX('Dados'!$D$92:$D$123,$P$25))</f>
        <v/>
      </c>
      <c r="D25" s="5">
        <f>IF($P$25="","",INDEX('Dados'!$E$92:$E$123,$P$25))</f>
        <v/>
      </c>
      <c r="E25" s="18">
        <f>IF($P$25="","",INDEX('Dados'!$G$92:$G$123,$P$25))</f>
        <v/>
      </c>
      <c r="F25" s="18">
        <f>IF($P$25="","",INDEX('Dados'!$H$92:$H$123,$P$25))</f>
        <v/>
      </c>
      <c r="G25" s="18">
        <f>IF($P$25="","",INDEX('Dados'!$I$92:$I$123,$P$25))</f>
        <v/>
      </c>
      <c r="H25" s="18">
        <f>IF($P$25="","",INDEX('Dados'!$J$92:$J$123,$P$25))</f>
        <v/>
      </c>
      <c r="I25" s="18">
        <f>IF($P$25="","",INDEX('Dados'!$K$92:$K$123,$P$25))</f>
        <v/>
      </c>
      <c r="J25" s="18">
        <f>IF($P$25="","","+"&amp;INDEX('Dados'!$L$92:$L$123,$P$25))</f>
        <v/>
      </c>
      <c r="N25" s="2">
        <f>IF(AND(OR(LEN($R$6)=0,$R$6="Todas",$R$6="Faixa "&amp;'Dados'!$D$106),OR(LEN($R$7)=0,$R$7="Todos",$R$7='Dados'!$C$106),OR(LEN($R$8)=0,$R$8="Qualquer",COUNTIF('Dados'!$Q$106:'Dados'!$T$106,$R$8)&gt;0),OR(LEN($R$9)=0,$R$9="Todas",$R$9='Dados'!$E$106),OR(LEN($R$10)=0,$R$10="Todos",COUNTIFS('Tabelas'!$AE$12:$AE$118,'Dados'!$E$106,'Tabelas'!$AF$12:$AF$118,$R$10)+IF(LEN('Dados'!$AD$106)=0,0,COUNTIFS('Tabelas'!$AE$12:$AE$118,'Dados'!$AD$106,'Tabelas'!$AF$12:$AF$118,$R$10))&gt;0),OR($R$11&lt;&gt;"Sim",LEN('Dados'!$U$106)&gt;0),OR($R$12&lt;&gt;"Sim",'Dados'!$F$106&gt;1)),'Dados'!$AB$106*1000+'Dados'!$AC$106*100+15,"")</f>
        <v/>
      </c>
      <c r="P25" s="2">
        <f>IF(9&gt;$O$5,"",MATCH(SMALL($N$11:$N$42,9),$N$11:$N$42,0))</f>
        <v/>
      </c>
    </row>
    <row r="26" ht="37" customHeight="1">
      <c r="A26" s="43">
        <f>IF($P$26="","",INDEX('Dados'!$B$92:$B$123,$P$26))</f>
        <v/>
      </c>
      <c r="B26" s="23">
        <f>IF($P$26="","",INDEX('Dados'!$C$92:$C$123,$P$26))</f>
        <v/>
      </c>
      <c r="C26" s="23">
        <f>IF($P$26="","",INDEX('Dados'!$D$92:$D$123,$P$26))</f>
        <v/>
      </c>
      <c r="D26" s="10">
        <f>IF($P$26="","",INDEX('Dados'!$E$92:$E$123,$P$26))</f>
        <v/>
      </c>
      <c r="E26" s="23">
        <f>IF($P$26="","",INDEX('Dados'!$G$92:$G$123,$P$26))</f>
        <v/>
      </c>
      <c r="F26" s="23">
        <f>IF($P$26="","",INDEX('Dados'!$H$92:$H$123,$P$26))</f>
        <v/>
      </c>
      <c r="G26" s="23">
        <f>IF($P$26="","",INDEX('Dados'!$I$92:$I$123,$P$26))</f>
        <v/>
      </c>
      <c r="H26" s="23">
        <f>IF($P$26="","",INDEX('Dados'!$J$92:$J$123,$P$26))</f>
        <v/>
      </c>
      <c r="I26" s="23">
        <f>IF($P$26="","",INDEX('Dados'!$K$92:$K$123,$P$26))</f>
        <v/>
      </c>
      <c r="J26" s="23">
        <f>IF($P$26="","","+"&amp;INDEX('Dados'!$L$92:$L$123,$P$26))</f>
        <v/>
      </c>
      <c r="N26" s="2">
        <f>IF(AND(OR(LEN($R$6)=0,$R$6="Todas",$R$6="Faixa "&amp;'Dados'!$D$107),OR(LEN($R$7)=0,$R$7="Todos",$R$7='Dados'!$C$107),OR(LEN($R$8)=0,$R$8="Qualquer",COUNTIF('Dados'!$Q$107:'Dados'!$T$107,$R$8)&gt;0),OR(LEN($R$9)=0,$R$9="Todas",$R$9='Dados'!$E$107),OR(LEN($R$10)=0,$R$10="Todos",COUNTIFS('Tabelas'!$AE$12:$AE$118,'Dados'!$E$107,'Tabelas'!$AF$12:$AF$118,$R$10)+IF(LEN('Dados'!$AD$107)=0,0,COUNTIFS('Tabelas'!$AE$12:$AE$118,'Dados'!$AD$107,'Tabelas'!$AF$12:$AF$118,$R$10))&gt;0),OR($R$11&lt;&gt;"Sim",LEN('Dados'!$U$107)&gt;0),OR($R$12&lt;&gt;"Sim",'Dados'!$F$107&gt;1)),'Dados'!$AB$107*1000+'Dados'!$AC$107*100+16,"")</f>
        <v/>
      </c>
      <c r="P26" s="2">
        <f>IF(10&gt;$O$5,"",MATCH(SMALL($N$11:$N$42,10),$N$11:$N$42,0))</f>
        <v/>
      </c>
    </row>
    <row r="27" ht="37" customHeight="1">
      <c r="A27" s="31">
        <f>IF($P$27="","",INDEX('Dados'!$B$92:$B$123,$P$27))</f>
        <v/>
      </c>
      <c r="B27" s="18">
        <f>IF($P$27="","",INDEX('Dados'!$C$92:$C$123,$P$27))</f>
        <v/>
      </c>
      <c r="C27" s="18">
        <f>IF($P$27="","",INDEX('Dados'!$D$92:$D$123,$P$27))</f>
        <v/>
      </c>
      <c r="D27" s="5">
        <f>IF($P$27="","",INDEX('Dados'!$E$92:$E$123,$P$27))</f>
        <v/>
      </c>
      <c r="E27" s="18">
        <f>IF($P$27="","",INDEX('Dados'!$G$92:$G$123,$P$27))</f>
        <v/>
      </c>
      <c r="F27" s="18">
        <f>IF($P$27="","",INDEX('Dados'!$H$92:$H$123,$P$27))</f>
        <v/>
      </c>
      <c r="G27" s="18">
        <f>IF($P$27="","",INDEX('Dados'!$I$92:$I$123,$P$27))</f>
        <v/>
      </c>
      <c r="H27" s="18">
        <f>IF($P$27="","",INDEX('Dados'!$J$92:$J$123,$P$27))</f>
        <v/>
      </c>
      <c r="I27" s="18">
        <f>IF($P$27="","",INDEX('Dados'!$K$92:$K$123,$P$27))</f>
        <v/>
      </c>
      <c r="J27" s="18">
        <f>IF($P$27="","","+"&amp;INDEX('Dados'!$L$92:$L$123,$P$27))</f>
        <v/>
      </c>
      <c r="N27" s="2">
        <f>IF(AND(OR(LEN($R$6)=0,$R$6="Todas",$R$6="Faixa "&amp;'Dados'!$D$108),OR(LEN($R$7)=0,$R$7="Todos",$R$7='Dados'!$C$108),OR(LEN($R$8)=0,$R$8="Qualquer",COUNTIF('Dados'!$Q$108:'Dados'!$T$108,$R$8)&gt;0),OR(LEN($R$9)=0,$R$9="Todas",$R$9='Dados'!$E$108),OR(LEN($R$10)=0,$R$10="Todos",COUNTIFS('Tabelas'!$AE$12:$AE$118,'Dados'!$E$108,'Tabelas'!$AF$12:$AF$118,$R$10)+IF(LEN('Dados'!$AD$108)=0,0,COUNTIFS('Tabelas'!$AE$12:$AE$118,'Dados'!$AD$108,'Tabelas'!$AF$12:$AF$118,$R$10))&gt;0),OR($R$11&lt;&gt;"Sim",LEN('Dados'!$U$108)&gt;0),OR($R$12&lt;&gt;"Sim",'Dados'!$F$108&gt;1)),'Dados'!$AB$108*1000+'Dados'!$AC$108*100+17,"")</f>
        <v/>
      </c>
      <c r="P27" s="2">
        <f>IF(11&gt;$O$5,"",MATCH(SMALL($N$11:$N$42,11),$N$11:$N$42,0))</f>
        <v/>
      </c>
    </row>
    <row r="28">
      <c r="N28" s="2">
        <f>IF(AND(OR(LEN($R$6)=0,$R$6="Todas",$R$6="Faixa "&amp;'Dados'!$D$109),OR(LEN($R$7)=0,$R$7="Todos",$R$7='Dados'!$C$109),OR(LEN($R$8)=0,$R$8="Qualquer",COUNTIF('Dados'!$Q$109:'Dados'!$T$109,$R$8)&gt;0),OR(LEN($R$9)=0,$R$9="Todas",$R$9='Dados'!$E$109),OR(LEN($R$10)=0,$R$10="Todos",COUNTIFS('Tabelas'!$AE$12:$AE$118,'Dados'!$E$109,'Tabelas'!$AF$12:$AF$118,$R$10)+IF(LEN('Dados'!$AD$109)=0,0,COUNTIFS('Tabelas'!$AE$12:$AE$118,'Dados'!$AD$109,'Tabelas'!$AF$12:$AF$118,$R$10))&gt;0),OR($R$11&lt;&gt;"Sim",LEN('Dados'!$U$109)&gt;0),OR($R$12&lt;&gt;"Sim",'Dados'!$F$109&gt;1)),'Dados'!$AB$109*1000+'Dados'!$AC$109*100+18,"")</f>
        <v/>
      </c>
    </row>
    <row r="29" ht="26" customHeight="1">
      <c r="A29" s="8" t="inlineStr">
        <is>
          <t>Nome</t>
        </is>
      </c>
      <c r="B29" s="8" t="inlineStr">
        <is>
          <t>Tipo</t>
        </is>
      </c>
      <c r="C29" s="8" t="inlineStr">
        <is>
          <t>Faixa</t>
        </is>
      </c>
      <c r="D29" s="8" t="inlineStr">
        <is>
          <t>Facção ou origem</t>
        </is>
      </c>
      <c r="E29" s="8" t="inlineStr">
        <is>
          <t>PV</t>
        </is>
      </c>
      <c r="F29" s="8" t="inlineStr">
        <is>
          <t>Defesa</t>
        </is>
      </c>
      <c r="G29" s="8" t="inlineStr">
        <is>
          <t>RD</t>
        </is>
      </c>
      <c r="H29" s="8" t="inlineStr">
        <is>
          <t>Tenacidade</t>
        </is>
      </c>
      <c r="I29" s="8" t="inlineStr">
        <is>
          <t>VEL</t>
        </is>
      </c>
      <c r="J29" s="8" t="inlineStr">
        <is>
          <t>Teste de Ataque</t>
        </is>
      </c>
      <c r="N29" s="2">
        <f>IF(AND(OR(LEN($R$6)=0,$R$6="Todas",$R$6="Faixa "&amp;'Dados'!$D$110),OR(LEN($R$7)=0,$R$7="Todos",$R$7='Dados'!$C$110),OR(LEN($R$8)=0,$R$8="Qualquer",COUNTIF('Dados'!$Q$110:'Dados'!$T$110,$R$8)&gt;0),OR(LEN($R$9)=0,$R$9="Todas",$R$9='Dados'!$E$110),OR(LEN($R$10)=0,$R$10="Todos",COUNTIFS('Tabelas'!$AE$12:$AE$118,'Dados'!$E$110,'Tabelas'!$AF$12:$AF$118,$R$10)+IF(LEN('Dados'!$AD$110)=0,0,COUNTIFS('Tabelas'!$AE$12:$AE$118,'Dados'!$AD$110,'Tabelas'!$AF$12:$AF$118,$R$10))&gt;0),OR($R$11&lt;&gt;"Sim",LEN('Dados'!$U$110)&gt;0),OR($R$12&lt;&gt;"Sim",'Dados'!$F$110&gt;1)),'Dados'!$AB$110*1000+'Dados'!$AC$110*100+19,"")</f>
        <v/>
      </c>
    </row>
    <row r="30" ht="37" customHeight="1">
      <c r="A30" s="31">
        <f>IF($P$30="","",INDEX('Dados'!$B$92:$B$123,$P$30))</f>
        <v/>
      </c>
      <c r="B30" s="18">
        <f>IF($P$30="","",INDEX('Dados'!$C$92:$C$123,$P$30))</f>
        <v/>
      </c>
      <c r="C30" s="18">
        <f>IF($P$30="","",INDEX('Dados'!$D$92:$D$123,$P$30))</f>
        <v/>
      </c>
      <c r="D30" s="5">
        <f>IF($P$30="","",INDEX('Dados'!$E$92:$E$123,$P$30))</f>
        <v/>
      </c>
      <c r="E30" s="18">
        <f>IF($P$30="","",INDEX('Dados'!$G$92:$G$123,$P$30))</f>
        <v/>
      </c>
      <c r="F30" s="18">
        <f>IF($P$30="","",INDEX('Dados'!$H$92:$H$123,$P$30))</f>
        <v/>
      </c>
      <c r="G30" s="18">
        <f>IF($P$30="","",INDEX('Dados'!$I$92:$I$123,$P$30))</f>
        <v/>
      </c>
      <c r="H30" s="18">
        <f>IF($P$30="","",INDEX('Dados'!$J$92:$J$123,$P$30))</f>
        <v/>
      </c>
      <c r="I30" s="18">
        <f>IF($P$30="","",INDEX('Dados'!$K$92:$K$123,$P$30))</f>
        <v/>
      </c>
      <c r="J30" s="18">
        <f>IF($P$30="","","+"&amp;INDEX('Dados'!$L$92:$L$123,$P$30))</f>
        <v/>
      </c>
      <c r="N30" s="2">
        <f>IF(AND(OR(LEN($R$6)=0,$R$6="Todas",$R$6="Faixa "&amp;'Dados'!$D$111),OR(LEN($R$7)=0,$R$7="Todos",$R$7='Dados'!$C$111),OR(LEN($R$8)=0,$R$8="Qualquer",COUNTIF('Dados'!$Q$111:'Dados'!$T$111,$R$8)&gt;0),OR(LEN($R$9)=0,$R$9="Todas",$R$9='Dados'!$E$111),OR(LEN($R$10)=0,$R$10="Todos",COUNTIFS('Tabelas'!$AE$12:$AE$118,'Dados'!$E$111,'Tabelas'!$AF$12:$AF$118,$R$10)+IF(LEN('Dados'!$AD$111)=0,0,COUNTIFS('Tabelas'!$AE$12:$AE$118,'Dados'!$AD$111,'Tabelas'!$AF$12:$AF$118,$R$10))&gt;0),OR($R$11&lt;&gt;"Sim",LEN('Dados'!$U$111)&gt;0),OR($R$12&lt;&gt;"Sim",'Dados'!$F$111&gt;1)),'Dados'!$AB$111*1000+'Dados'!$AC$111*100+20,"")</f>
        <v/>
      </c>
      <c r="P30" s="2">
        <f>IF(12&gt;$O$5,"",MATCH(SMALL($N$11:$N$42,12),$N$11:$N$42,0))</f>
        <v/>
      </c>
    </row>
    <row r="31" ht="37" customHeight="1">
      <c r="A31" s="43">
        <f>IF($P$31="","",INDEX('Dados'!$B$92:$B$123,$P$31))</f>
        <v/>
      </c>
      <c r="B31" s="23">
        <f>IF($P$31="","",INDEX('Dados'!$C$92:$C$123,$P$31))</f>
        <v/>
      </c>
      <c r="C31" s="23">
        <f>IF($P$31="","",INDEX('Dados'!$D$92:$D$123,$P$31))</f>
        <v/>
      </c>
      <c r="D31" s="10">
        <f>IF($P$31="","",INDEX('Dados'!$E$92:$E$123,$P$31))</f>
        <v/>
      </c>
      <c r="E31" s="23">
        <f>IF($P$31="","",INDEX('Dados'!$G$92:$G$123,$P$31))</f>
        <v/>
      </c>
      <c r="F31" s="23">
        <f>IF($P$31="","",INDEX('Dados'!$H$92:$H$123,$P$31))</f>
        <v/>
      </c>
      <c r="G31" s="23">
        <f>IF($P$31="","",INDEX('Dados'!$I$92:$I$123,$P$31))</f>
        <v/>
      </c>
      <c r="H31" s="23">
        <f>IF($P$31="","",INDEX('Dados'!$J$92:$J$123,$P$31))</f>
        <v/>
      </c>
      <c r="I31" s="23">
        <f>IF($P$31="","",INDEX('Dados'!$K$92:$K$123,$P$31))</f>
        <v/>
      </c>
      <c r="J31" s="23">
        <f>IF($P$31="","","+"&amp;INDEX('Dados'!$L$92:$L$123,$P$31))</f>
        <v/>
      </c>
      <c r="N31" s="2">
        <f>IF(AND(OR(LEN($R$6)=0,$R$6="Todas",$R$6="Faixa "&amp;'Dados'!$D$112),OR(LEN($R$7)=0,$R$7="Todos",$R$7='Dados'!$C$112),OR(LEN($R$8)=0,$R$8="Qualquer",COUNTIF('Dados'!$Q$112:'Dados'!$T$112,$R$8)&gt;0),OR(LEN($R$9)=0,$R$9="Todas",$R$9='Dados'!$E$112),OR(LEN($R$10)=0,$R$10="Todos",COUNTIFS('Tabelas'!$AE$12:$AE$118,'Dados'!$E$112,'Tabelas'!$AF$12:$AF$118,$R$10)+IF(LEN('Dados'!$AD$112)=0,0,COUNTIFS('Tabelas'!$AE$12:$AE$118,'Dados'!$AD$112,'Tabelas'!$AF$12:$AF$118,$R$10))&gt;0),OR($R$11&lt;&gt;"Sim",LEN('Dados'!$U$112)&gt;0),OR($R$12&lt;&gt;"Sim",'Dados'!$F$112&gt;1)),'Dados'!$AB$112*1000+'Dados'!$AC$112*100+21,"")</f>
        <v/>
      </c>
      <c r="P31" s="2">
        <f>IF(13&gt;$O$5,"",MATCH(SMALL($N$11:$N$42,13),$N$11:$N$42,0))</f>
        <v/>
      </c>
    </row>
    <row r="32" ht="37" customHeight="1">
      <c r="A32" s="31">
        <f>IF($P$32="","",INDEX('Dados'!$B$92:$B$123,$P$32))</f>
        <v/>
      </c>
      <c r="B32" s="18">
        <f>IF($P$32="","",INDEX('Dados'!$C$92:$C$123,$P$32))</f>
        <v/>
      </c>
      <c r="C32" s="18">
        <f>IF($P$32="","",INDEX('Dados'!$D$92:$D$123,$P$32))</f>
        <v/>
      </c>
      <c r="D32" s="5">
        <f>IF($P$32="","",INDEX('Dados'!$E$92:$E$123,$P$32))</f>
        <v/>
      </c>
      <c r="E32" s="18">
        <f>IF($P$32="","",INDEX('Dados'!$G$92:$G$123,$P$32))</f>
        <v/>
      </c>
      <c r="F32" s="18">
        <f>IF($P$32="","",INDEX('Dados'!$H$92:$H$123,$P$32))</f>
        <v/>
      </c>
      <c r="G32" s="18">
        <f>IF($P$32="","",INDEX('Dados'!$I$92:$I$123,$P$32))</f>
        <v/>
      </c>
      <c r="H32" s="18">
        <f>IF($P$32="","",INDEX('Dados'!$J$92:$J$123,$P$32))</f>
        <v/>
      </c>
      <c r="I32" s="18">
        <f>IF($P$32="","",INDEX('Dados'!$K$92:$K$123,$P$32))</f>
        <v/>
      </c>
      <c r="J32" s="18">
        <f>IF($P$32="","","+"&amp;INDEX('Dados'!$L$92:$L$123,$P$32))</f>
        <v/>
      </c>
      <c r="N32" s="2">
        <f>IF(AND(OR(LEN($R$6)=0,$R$6="Todas",$R$6="Faixa "&amp;'Dados'!$D$113),OR(LEN($R$7)=0,$R$7="Todos",$R$7='Dados'!$C$113),OR(LEN($R$8)=0,$R$8="Qualquer",COUNTIF('Dados'!$Q$113:'Dados'!$T$113,$R$8)&gt;0),OR(LEN($R$9)=0,$R$9="Todas",$R$9='Dados'!$E$113),OR(LEN($R$10)=0,$R$10="Todos",COUNTIFS('Tabelas'!$AE$12:$AE$118,'Dados'!$E$113,'Tabelas'!$AF$12:$AF$118,$R$10)+IF(LEN('Dados'!$AD$113)=0,0,COUNTIFS('Tabelas'!$AE$12:$AE$118,'Dados'!$AD$113,'Tabelas'!$AF$12:$AF$118,$R$10))&gt;0),OR($R$11&lt;&gt;"Sim",LEN('Dados'!$U$113)&gt;0),OR($R$12&lt;&gt;"Sim",'Dados'!$F$113&gt;1)),'Dados'!$AB$113*1000+'Dados'!$AC$113*100+22,"")</f>
        <v/>
      </c>
      <c r="P32" s="2">
        <f>IF(14&gt;$O$5,"",MATCH(SMALL($N$11:$N$42,14),$N$11:$N$42,0))</f>
        <v/>
      </c>
    </row>
    <row r="33" ht="37" customHeight="1">
      <c r="A33" s="43">
        <f>IF($P$33="","",INDEX('Dados'!$B$92:$B$123,$P$33))</f>
        <v/>
      </c>
      <c r="B33" s="23">
        <f>IF($P$33="","",INDEX('Dados'!$C$92:$C$123,$P$33))</f>
        <v/>
      </c>
      <c r="C33" s="23">
        <f>IF($P$33="","",INDEX('Dados'!$D$92:$D$123,$P$33))</f>
        <v/>
      </c>
      <c r="D33" s="10">
        <f>IF($P$33="","",INDEX('Dados'!$E$92:$E$123,$P$33))</f>
        <v/>
      </c>
      <c r="E33" s="23">
        <f>IF($P$33="","",INDEX('Dados'!$G$92:$G$123,$P$33))</f>
        <v/>
      </c>
      <c r="F33" s="23">
        <f>IF($P$33="","",INDEX('Dados'!$H$92:$H$123,$P$33))</f>
        <v/>
      </c>
      <c r="G33" s="23">
        <f>IF($P$33="","",INDEX('Dados'!$I$92:$I$123,$P$33))</f>
        <v/>
      </c>
      <c r="H33" s="23">
        <f>IF($P$33="","",INDEX('Dados'!$J$92:$J$123,$P$33))</f>
        <v/>
      </c>
      <c r="I33" s="23">
        <f>IF($P$33="","",INDEX('Dados'!$K$92:$K$123,$P$33))</f>
        <v/>
      </c>
      <c r="J33" s="23">
        <f>IF($P$33="","","+"&amp;INDEX('Dados'!$L$92:$L$123,$P$33))</f>
        <v/>
      </c>
      <c r="N33" s="2">
        <f>IF(AND(OR(LEN($R$6)=0,$R$6="Todas",$R$6="Faixa "&amp;'Dados'!$D$114),OR(LEN($R$7)=0,$R$7="Todos",$R$7='Dados'!$C$114),OR(LEN($R$8)=0,$R$8="Qualquer",COUNTIF('Dados'!$Q$114:'Dados'!$T$114,$R$8)&gt;0),OR(LEN($R$9)=0,$R$9="Todas",$R$9='Dados'!$E$114),OR(LEN($R$10)=0,$R$10="Todos",COUNTIFS('Tabelas'!$AE$12:$AE$118,'Dados'!$E$114,'Tabelas'!$AF$12:$AF$118,$R$10)+IF(LEN('Dados'!$AD$114)=0,0,COUNTIFS('Tabelas'!$AE$12:$AE$118,'Dados'!$AD$114,'Tabelas'!$AF$12:$AF$118,$R$10))&gt;0),OR($R$11&lt;&gt;"Sim",LEN('Dados'!$U$114)&gt;0),OR($R$12&lt;&gt;"Sim",'Dados'!$F$114&gt;1)),'Dados'!$AB$114*1000+'Dados'!$AC$114*100+23,"")</f>
        <v/>
      </c>
      <c r="P33" s="2">
        <f>IF(15&gt;$O$5,"",MATCH(SMALL($N$11:$N$42,15),$N$11:$N$42,0))</f>
        <v/>
      </c>
    </row>
    <row r="34" ht="37" customHeight="1">
      <c r="A34" s="31">
        <f>IF($P$34="","",INDEX('Dados'!$B$92:$B$123,$P$34))</f>
        <v/>
      </c>
      <c r="B34" s="18">
        <f>IF($P$34="","",INDEX('Dados'!$C$92:$C$123,$P$34))</f>
        <v/>
      </c>
      <c r="C34" s="18">
        <f>IF($P$34="","",INDEX('Dados'!$D$92:$D$123,$P$34))</f>
        <v/>
      </c>
      <c r="D34" s="5">
        <f>IF($P$34="","",INDEX('Dados'!$E$92:$E$123,$P$34))</f>
        <v/>
      </c>
      <c r="E34" s="18">
        <f>IF($P$34="","",INDEX('Dados'!$G$92:$G$123,$P$34))</f>
        <v/>
      </c>
      <c r="F34" s="18">
        <f>IF($P$34="","",INDEX('Dados'!$H$92:$H$123,$P$34))</f>
        <v/>
      </c>
      <c r="G34" s="18">
        <f>IF($P$34="","",INDEX('Dados'!$I$92:$I$123,$P$34))</f>
        <v/>
      </c>
      <c r="H34" s="18">
        <f>IF($P$34="","",INDEX('Dados'!$J$92:$J$123,$P$34))</f>
        <v/>
      </c>
      <c r="I34" s="18">
        <f>IF($P$34="","",INDEX('Dados'!$K$92:$K$123,$P$34))</f>
        <v/>
      </c>
      <c r="J34" s="18">
        <f>IF($P$34="","","+"&amp;INDEX('Dados'!$L$92:$L$123,$P$34))</f>
        <v/>
      </c>
      <c r="N34" s="2">
        <f>IF(AND(OR(LEN($R$6)=0,$R$6="Todas",$R$6="Faixa "&amp;'Dados'!$D$115),OR(LEN($R$7)=0,$R$7="Todos",$R$7='Dados'!$C$115),OR(LEN($R$8)=0,$R$8="Qualquer",COUNTIF('Dados'!$Q$115:'Dados'!$T$115,$R$8)&gt;0),OR(LEN($R$9)=0,$R$9="Todas",$R$9='Dados'!$E$115),OR(LEN($R$10)=0,$R$10="Todos",COUNTIFS('Tabelas'!$AE$12:$AE$118,'Dados'!$E$115,'Tabelas'!$AF$12:$AF$118,$R$10)+IF(LEN('Dados'!$AD$115)=0,0,COUNTIFS('Tabelas'!$AE$12:$AE$118,'Dados'!$AD$115,'Tabelas'!$AF$12:$AF$118,$R$10))&gt;0),OR($R$11&lt;&gt;"Sim",LEN('Dados'!$U$115)&gt;0),OR($R$12&lt;&gt;"Sim",'Dados'!$F$115&gt;1)),'Dados'!$AB$115*1000+'Dados'!$AC$115*100+24,"")</f>
        <v/>
      </c>
      <c r="P34" s="2">
        <f>IF(16&gt;$O$5,"",MATCH(SMALL($N$11:$N$42,16),$N$11:$N$42,0))</f>
        <v/>
      </c>
    </row>
    <row r="35" ht="37" customHeight="1">
      <c r="A35" s="43">
        <f>IF($P$35="","",INDEX('Dados'!$B$92:$B$123,$P$35))</f>
        <v/>
      </c>
      <c r="B35" s="23">
        <f>IF($P$35="","",INDEX('Dados'!$C$92:$C$123,$P$35))</f>
        <v/>
      </c>
      <c r="C35" s="23">
        <f>IF($P$35="","",INDEX('Dados'!$D$92:$D$123,$P$35))</f>
        <v/>
      </c>
      <c r="D35" s="10">
        <f>IF($P$35="","",INDEX('Dados'!$E$92:$E$123,$P$35))</f>
        <v/>
      </c>
      <c r="E35" s="23">
        <f>IF($P$35="","",INDEX('Dados'!$G$92:$G$123,$P$35))</f>
        <v/>
      </c>
      <c r="F35" s="23">
        <f>IF($P$35="","",INDEX('Dados'!$H$92:$H$123,$P$35))</f>
        <v/>
      </c>
      <c r="G35" s="23">
        <f>IF($P$35="","",INDEX('Dados'!$I$92:$I$123,$P$35))</f>
        <v/>
      </c>
      <c r="H35" s="23">
        <f>IF($P$35="","",INDEX('Dados'!$J$92:$J$123,$P$35))</f>
        <v/>
      </c>
      <c r="I35" s="23">
        <f>IF($P$35="","",INDEX('Dados'!$K$92:$K$123,$P$35))</f>
        <v/>
      </c>
      <c r="J35" s="23">
        <f>IF($P$35="","","+"&amp;INDEX('Dados'!$L$92:$L$123,$P$35))</f>
        <v/>
      </c>
      <c r="N35" s="2">
        <f>IF(AND(OR(LEN($R$6)=0,$R$6="Todas",$R$6="Faixa "&amp;'Dados'!$D$116),OR(LEN($R$7)=0,$R$7="Todos",$R$7='Dados'!$C$116),OR(LEN($R$8)=0,$R$8="Qualquer",COUNTIF('Dados'!$Q$116:'Dados'!$T$116,$R$8)&gt;0),OR(LEN($R$9)=0,$R$9="Todas",$R$9='Dados'!$E$116),OR(LEN($R$10)=0,$R$10="Todos",COUNTIFS('Tabelas'!$AE$12:$AE$118,'Dados'!$E$116,'Tabelas'!$AF$12:$AF$118,$R$10)+IF(LEN('Dados'!$AD$116)=0,0,COUNTIFS('Tabelas'!$AE$12:$AE$118,'Dados'!$AD$116,'Tabelas'!$AF$12:$AF$118,$R$10))&gt;0),OR($R$11&lt;&gt;"Sim",LEN('Dados'!$U$116)&gt;0),OR($R$12&lt;&gt;"Sim",'Dados'!$F$116&gt;1)),'Dados'!$AB$116*1000+'Dados'!$AC$116*100+25,"")</f>
        <v/>
      </c>
      <c r="P35" s="2">
        <f>IF(17&gt;$O$5,"",MATCH(SMALL($N$11:$N$42,17),$N$11:$N$42,0))</f>
        <v/>
      </c>
    </row>
    <row r="36" ht="37" customHeight="1">
      <c r="A36" s="31">
        <f>IF($P$36="","",INDEX('Dados'!$B$92:$B$123,$P$36))</f>
        <v/>
      </c>
      <c r="B36" s="18">
        <f>IF($P$36="","",INDEX('Dados'!$C$92:$C$123,$P$36))</f>
        <v/>
      </c>
      <c r="C36" s="18">
        <f>IF($P$36="","",INDEX('Dados'!$D$92:$D$123,$P$36))</f>
        <v/>
      </c>
      <c r="D36" s="5">
        <f>IF($P$36="","",INDEX('Dados'!$E$92:$E$123,$P$36))</f>
        <v/>
      </c>
      <c r="E36" s="18">
        <f>IF($P$36="","",INDEX('Dados'!$G$92:$G$123,$P$36))</f>
        <v/>
      </c>
      <c r="F36" s="18">
        <f>IF($P$36="","",INDEX('Dados'!$H$92:$H$123,$P$36))</f>
        <v/>
      </c>
      <c r="G36" s="18">
        <f>IF($P$36="","",INDEX('Dados'!$I$92:$I$123,$P$36))</f>
        <v/>
      </c>
      <c r="H36" s="18">
        <f>IF($P$36="","",INDEX('Dados'!$J$92:$J$123,$P$36))</f>
        <v/>
      </c>
      <c r="I36" s="18">
        <f>IF($P$36="","",INDEX('Dados'!$K$92:$K$123,$P$36))</f>
        <v/>
      </c>
      <c r="J36" s="18">
        <f>IF($P$36="","","+"&amp;INDEX('Dados'!$L$92:$L$123,$P$36))</f>
        <v/>
      </c>
      <c r="N36" s="2">
        <f>IF(AND(OR(LEN($R$6)=0,$R$6="Todas",$R$6="Faixa "&amp;'Dados'!$D$117),OR(LEN($R$7)=0,$R$7="Todos",$R$7='Dados'!$C$117),OR(LEN($R$8)=0,$R$8="Qualquer",COUNTIF('Dados'!$Q$117:'Dados'!$T$117,$R$8)&gt;0),OR(LEN($R$9)=0,$R$9="Todas",$R$9='Dados'!$E$117),OR(LEN($R$10)=0,$R$10="Todos",COUNTIFS('Tabelas'!$AE$12:$AE$118,'Dados'!$E$117,'Tabelas'!$AF$12:$AF$118,$R$10)+IF(LEN('Dados'!$AD$117)=0,0,COUNTIFS('Tabelas'!$AE$12:$AE$118,'Dados'!$AD$117,'Tabelas'!$AF$12:$AF$118,$R$10))&gt;0),OR($R$11&lt;&gt;"Sim",LEN('Dados'!$U$117)&gt;0),OR($R$12&lt;&gt;"Sim",'Dados'!$F$117&gt;1)),'Dados'!$AB$117*1000+'Dados'!$AC$117*100+26,"")</f>
        <v/>
      </c>
      <c r="P36" s="2">
        <f>IF(18&gt;$O$5,"",MATCH(SMALL($N$11:$N$42,18),$N$11:$N$42,0))</f>
        <v/>
      </c>
    </row>
    <row r="37" ht="37" customHeight="1">
      <c r="A37" s="43">
        <f>IF($P$37="","",INDEX('Dados'!$B$92:$B$123,$P$37))</f>
        <v/>
      </c>
      <c r="B37" s="23">
        <f>IF($P$37="","",INDEX('Dados'!$C$92:$C$123,$P$37))</f>
        <v/>
      </c>
      <c r="C37" s="23">
        <f>IF($P$37="","",INDEX('Dados'!$D$92:$D$123,$P$37))</f>
        <v/>
      </c>
      <c r="D37" s="10">
        <f>IF($P$37="","",INDEX('Dados'!$E$92:$E$123,$P$37))</f>
        <v/>
      </c>
      <c r="E37" s="23">
        <f>IF($P$37="","",INDEX('Dados'!$G$92:$G$123,$P$37))</f>
        <v/>
      </c>
      <c r="F37" s="23">
        <f>IF($P$37="","",INDEX('Dados'!$H$92:$H$123,$P$37))</f>
        <v/>
      </c>
      <c r="G37" s="23">
        <f>IF($P$37="","",INDEX('Dados'!$I$92:$I$123,$P$37))</f>
        <v/>
      </c>
      <c r="H37" s="23">
        <f>IF($P$37="","",INDEX('Dados'!$J$92:$J$123,$P$37))</f>
        <v/>
      </c>
      <c r="I37" s="23">
        <f>IF($P$37="","",INDEX('Dados'!$K$92:$K$123,$P$37))</f>
        <v/>
      </c>
      <c r="J37" s="23">
        <f>IF($P$37="","","+"&amp;INDEX('Dados'!$L$92:$L$123,$P$37))</f>
        <v/>
      </c>
      <c r="N37" s="2">
        <f>IF(AND(OR(LEN($R$6)=0,$R$6="Todas",$R$6="Faixa "&amp;'Dados'!$D$118),OR(LEN($R$7)=0,$R$7="Todos",$R$7='Dados'!$C$118),OR(LEN($R$8)=0,$R$8="Qualquer",COUNTIF('Dados'!$Q$118:'Dados'!$T$118,$R$8)&gt;0),OR(LEN($R$9)=0,$R$9="Todas",$R$9='Dados'!$E$118),OR(LEN($R$10)=0,$R$10="Todos",COUNTIFS('Tabelas'!$AE$12:$AE$118,'Dados'!$E$118,'Tabelas'!$AF$12:$AF$118,$R$10)+IF(LEN('Dados'!$AD$118)=0,0,COUNTIFS('Tabelas'!$AE$12:$AE$118,'Dados'!$AD$118,'Tabelas'!$AF$12:$AF$118,$R$10))&gt;0),OR($R$11&lt;&gt;"Sim",LEN('Dados'!$U$118)&gt;0),OR($R$12&lt;&gt;"Sim",'Dados'!$F$118&gt;1)),'Dados'!$AB$118*1000+'Dados'!$AC$118*100+27,"")</f>
        <v/>
      </c>
      <c r="P37" s="2">
        <f>IF(19&gt;$O$5,"",MATCH(SMALL($N$11:$N$42,19),$N$11:$N$42,0))</f>
        <v/>
      </c>
    </row>
    <row r="38" ht="37" customHeight="1">
      <c r="A38" s="31">
        <f>IF($P$38="","",INDEX('Dados'!$B$92:$B$123,$P$38))</f>
        <v/>
      </c>
      <c r="B38" s="18">
        <f>IF($P$38="","",INDEX('Dados'!$C$92:$C$123,$P$38))</f>
        <v/>
      </c>
      <c r="C38" s="18">
        <f>IF($P$38="","",INDEX('Dados'!$D$92:$D$123,$P$38))</f>
        <v/>
      </c>
      <c r="D38" s="5">
        <f>IF($P$38="","",INDEX('Dados'!$E$92:$E$123,$P$38))</f>
        <v/>
      </c>
      <c r="E38" s="18">
        <f>IF($P$38="","",INDEX('Dados'!$G$92:$G$123,$P$38))</f>
        <v/>
      </c>
      <c r="F38" s="18">
        <f>IF($P$38="","",INDEX('Dados'!$H$92:$H$123,$P$38))</f>
        <v/>
      </c>
      <c r="G38" s="18">
        <f>IF($P$38="","",INDEX('Dados'!$I$92:$I$123,$P$38))</f>
        <v/>
      </c>
      <c r="H38" s="18">
        <f>IF($P$38="","",INDEX('Dados'!$J$92:$J$123,$P$38))</f>
        <v/>
      </c>
      <c r="I38" s="18">
        <f>IF($P$38="","",INDEX('Dados'!$K$92:$K$123,$P$38))</f>
        <v/>
      </c>
      <c r="J38" s="18">
        <f>IF($P$38="","","+"&amp;INDEX('Dados'!$L$92:$L$123,$P$38))</f>
        <v/>
      </c>
      <c r="N38" s="2">
        <f>IF(AND(OR(LEN($R$6)=0,$R$6="Todas",$R$6="Faixa "&amp;'Dados'!$D$119),OR(LEN($R$7)=0,$R$7="Todos",$R$7='Dados'!$C$119),OR(LEN($R$8)=0,$R$8="Qualquer",COUNTIF('Dados'!$Q$119:'Dados'!$T$119,$R$8)&gt;0),OR(LEN($R$9)=0,$R$9="Todas",$R$9='Dados'!$E$119),OR(LEN($R$10)=0,$R$10="Todos",COUNTIFS('Tabelas'!$AE$12:$AE$118,'Dados'!$E$119,'Tabelas'!$AF$12:$AF$118,$R$10)+IF(LEN('Dados'!$AD$119)=0,0,COUNTIFS('Tabelas'!$AE$12:$AE$118,'Dados'!$AD$119,'Tabelas'!$AF$12:$AF$118,$R$10))&gt;0),OR($R$11&lt;&gt;"Sim",LEN('Dados'!$U$119)&gt;0),OR($R$12&lt;&gt;"Sim",'Dados'!$F$119&gt;1)),'Dados'!$AB$119*1000+'Dados'!$AC$119*100+28,"")</f>
        <v/>
      </c>
      <c r="P38" s="2">
        <f>IF(20&gt;$O$5,"",MATCH(SMALL($N$11:$N$42,20),$N$11:$N$42,0))</f>
        <v/>
      </c>
    </row>
    <row r="39" ht="37" customHeight="1">
      <c r="A39" s="43">
        <f>IF($P$39="","",INDEX('Dados'!$B$92:$B$123,$P$39))</f>
        <v/>
      </c>
      <c r="B39" s="23">
        <f>IF($P$39="","",INDEX('Dados'!$C$92:$C$123,$P$39))</f>
        <v/>
      </c>
      <c r="C39" s="23">
        <f>IF($P$39="","",INDEX('Dados'!$D$92:$D$123,$P$39))</f>
        <v/>
      </c>
      <c r="D39" s="10">
        <f>IF($P$39="","",INDEX('Dados'!$E$92:$E$123,$P$39))</f>
        <v/>
      </c>
      <c r="E39" s="23">
        <f>IF($P$39="","",INDEX('Dados'!$G$92:$G$123,$P$39))</f>
        <v/>
      </c>
      <c r="F39" s="23">
        <f>IF($P$39="","",INDEX('Dados'!$H$92:$H$123,$P$39))</f>
        <v/>
      </c>
      <c r="G39" s="23">
        <f>IF($P$39="","",INDEX('Dados'!$I$92:$I$123,$P$39))</f>
        <v/>
      </c>
      <c r="H39" s="23">
        <f>IF($P$39="","",INDEX('Dados'!$J$92:$J$123,$P$39))</f>
        <v/>
      </c>
      <c r="I39" s="23">
        <f>IF($P$39="","",INDEX('Dados'!$K$92:$K$123,$P$39))</f>
        <v/>
      </c>
      <c r="J39" s="23">
        <f>IF($P$39="","","+"&amp;INDEX('Dados'!$L$92:$L$123,$P$39))</f>
        <v/>
      </c>
      <c r="N39" s="2">
        <f>IF(AND(OR(LEN($R$6)=0,$R$6="Todas",$R$6="Faixa "&amp;'Dados'!$D$120),OR(LEN($R$7)=0,$R$7="Todos",$R$7='Dados'!$C$120),OR(LEN($R$8)=0,$R$8="Qualquer",COUNTIF('Dados'!$Q$120:'Dados'!$T$120,$R$8)&gt;0),OR(LEN($R$9)=0,$R$9="Todas",$R$9='Dados'!$E$120),OR(LEN($R$10)=0,$R$10="Todos",COUNTIFS('Tabelas'!$AE$12:$AE$118,'Dados'!$E$120,'Tabelas'!$AF$12:$AF$118,$R$10)+IF(LEN('Dados'!$AD$120)=0,0,COUNTIFS('Tabelas'!$AE$12:$AE$118,'Dados'!$AD$120,'Tabelas'!$AF$12:$AF$118,$R$10))&gt;0),OR($R$11&lt;&gt;"Sim",LEN('Dados'!$U$120)&gt;0),OR($R$12&lt;&gt;"Sim",'Dados'!$F$120&gt;1)),'Dados'!$AB$120*1000+'Dados'!$AC$120*100+29,"")</f>
        <v/>
      </c>
      <c r="P39" s="2">
        <f>IF(21&gt;$O$5,"",MATCH(SMALL($N$11:$N$42,21),$N$11:$N$42,0))</f>
        <v/>
      </c>
    </row>
    <row r="40" ht="37" customHeight="1">
      <c r="A40" s="31">
        <f>IF($P$40="","",INDEX('Dados'!$B$92:$B$123,$P$40))</f>
        <v/>
      </c>
      <c r="B40" s="18">
        <f>IF($P$40="","",INDEX('Dados'!$C$92:$C$123,$P$40))</f>
        <v/>
      </c>
      <c r="C40" s="18">
        <f>IF($P$40="","",INDEX('Dados'!$D$92:$D$123,$P$40))</f>
        <v/>
      </c>
      <c r="D40" s="5">
        <f>IF($P$40="","",INDEX('Dados'!$E$92:$E$123,$P$40))</f>
        <v/>
      </c>
      <c r="E40" s="18">
        <f>IF($P$40="","",INDEX('Dados'!$G$92:$G$123,$P$40))</f>
        <v/>
      </c>
      <c r="F40" s="18">
        <f>IF($P$40="","",INDEX('Dados'!$H$92:$H$123,$P$40))</f>
        <v/>
      </c>
      <c r="G40" s="18">
        <f>IF($P$40="","",INDEX('Dados'!$I$92:$I$123,$P$40))</f>
        <v/>
      </c>
      <c r="H40" s="18">
        <f>IF($P$40="","",INDEX('Dados'!$J$92:$J$123,$P$40))</f>
        <v/>
      </c>
      <c r="I40" s="18">
        <f>IF($P$40="","",INDEX('Dados'!$K$92:$K$123,$P$40))</f>
        <v/>
      </c>
      <c r="J40" s="18">
        <f>IF($P$40="","","+"&amp;INDEX('Dados'!$L$92:$L$123,$P$40))</f>
        <v/>
      </c>
      <c r="N40" s="2">
        <f>IF(AND(OR(LEN($R$6)=0,$R$6="Todas",$R$6="Faixa "&amp;'Dados'!$D$121),OR(LEN($R$7)=0,$R$7="Todos",$R$7='Dados'!$C$121),OR(LEN($R$8)=0,$R$8="Qualquer",COUNTIF('Dados'!$Q$121:'Dados'!$T$121,$R$8)&gt;0),OR(LEN($R$9)=0,$R$9="Todas",$R$9='Dados'!$E$121),OR(LEN($R$10)=0,$R$10="Todos",COUNTIFS('Tabelas'!$AE$12:$AE$118,'Dados'!$E$121,'Tabelas'!$AF$12:$AF$118,$R$10)+IF(LEN('Dados'!$AD$121)=0,0,COUNTIFS('Tabelas'!$AE$12:$AE$118,'Dados'!$AD$121,'Tabelas'!$AF$12:$AF$118,$R$10))&gt;0),OR($R$11&lt;&gt;"Sim",LEN('Dados'!$U$121)&gt;0),OR($R$12&lt;&gt;"Sim",'Dados'!$F$121&gt;1)),'Dados'!$AB$121*1000+'Dados'!$AC$121*100+30,"")</f>
        <v/>
      </c>
      <c r="P40" s="2">
        <f>IF(22&gt;$O$5,"",MATCH(SMALL($N$11:$N$42,22),$N$11:$N$42,0))</f>
        <v/>
      </c>
    </row>
    <row r="41">
      <c r="N41" s="2">
        <f>IF(AND(OR(LEN($R$6)=0,$R$6="Todas",$R$6="Faixa "&amp;'Dados'!$D$122),OR(LEN($R$7)=0,$R$7="Todos",$R$7='Dados'!$C$122),OR(LEN($R$8)=0,$R$8="Qualquer",COUNTIF('Dados'!$Q$122:'Dados'!$T$122,$R$8)&gt;0),OR(LEN($R$9)=0,$R$9="Todas",$R$9='Dados'!$E$122),OR(LEN($R$10)=0,$R$10="Todos",COUNTIFS('Tabelas'!$AE$12:$AE$118,'Dados'!$E$122,'Tabelas'!$AF$12:$AF$118,$R$10)+IF(LEN('Dados'!$AD$122)=0,0,COUNTIFS('Tabelas'!$AE$12:$AE$118,'Dados'!$AD$122,'Tabelas'!$AF$12:$AF$118,$R$10))&gt;0),OR($R$11&lt;&gt;"Sim",LEN('Dados'!$U$122)&gt;0),OR($R$12&lt;&gt;"Sim",'Dados'!$F$122&gt;1)),'Dados'!$AB$122*1000+'Dados'!$AC$122*100+31,"")</f>
        <v/>
      </c>
    </row>
    <row r="42" ht="26" customHeight="1">
      <c r="A42" s="8" t="inlineStr">
        <is>
          <t>Nome</t>
        </is>
      </c>
      <c r="B42" s="8" t="inlineStr">
        <is>
          <t>Tipo</t>
        </is>
      </c>
      <c r="C42" s="8" t="inlineStr">
        <is>
          <t>Faixa</t>
        </is>
      </c>
      <c r="D42" s="8" t="inlineStr">
        <is>
          <t>Facção ou origem</t>
        </is>
      </c>
      <c r="E42" s="8" t="inlineStr">
        <is>
          <t>PV</t>
        </is>
      </c>
      <c r="F42" s="8" t="inlineStr">
        <is>
          <t>Defesa</t>
        </is>
      </c>
      <c r="G42" s="8" t="inlineStr">
        <is>
          <t>RD</t>
        </is>
      </c>
      <c r="H42" s="8" t="inlineStr">
        <is>
          <t>Tenacidade</t>
        </is>
      </c>
      <c r="I42" s="8" t="inlineStr">
        <is>
          <t>VEL</t>
        </is>
      </c>
      <c r="J42" s="8" t="inlineStr">
        <is>
          <t>Teste de Ataque</t>
        </is>
      </c>
      <c r="N42" s="2">
        <f>IF(AND(OR(LEN($R$6)=0,$R$6="Todas",$R$6="Faixa "&amp;'Dados'!$D$123),OR(LEN($R$7)=0,$R$7="Todos",$R$7='Dados'!$C$123),OR(LEN($R$8)=0,$R$8="Qualquer",COUNTIF('Dados'!$Q$123:'Dados'!$T$123,$R$8)&gt;0),OR(LEN($R$9)=0,$R$9="Todas",$R$9='Dados'!$E$123),OR(LEN($R$10)=0,$R$10="Todos",COUNTIFS('Tabelas'!$AE$12:$AE$118,'Dados'!$E$123,'Tabelas'!$AF$12:$AF$118,$R$10)+IF(LEN('Dados'!$AD$123)=0,0,COUNTIFS('Tabelas'!$AE$12:$AE$118,'Dados'!$AD$123,'Tabelas'!$AF$12:$AF$118,$R$10))&gt;0),OR($R$11&lt;&gt;"Sim",LEN('Dados'!$U$123)&gt;0),OR($R$12&lt;&gt;"Sim",'Dados'!$F$123&gt;1)),'Dados'!$AB$123*1000+'Dados'!$AC$123*100+32,"")</f>
        <v/>
      </c>
    </row>
    <row r="43" ht="37" customHeight="1">
      <c r="A43" s="31">
        <f>IF($P$43="","",INDEX('Dados'!$B$92:$B$123,$P$43))</f>
        <v/>
      </c>
      <c r="B43" s="18">
        <f>IF($P$43="","",INDEX('Dados'!$C$92:$C$123,$P$43))</f>
        <v/>
      </c>
      <c r="C43" s="18">
        <f>IF($P$43="","",INDEX('Dados'!$D$92:$D$123,$P$43))</f>
        <v/>
      </c>
      <c r="D43" s="5">
        <f>IF($P$43="","",INDEX('Dados'!$E$92:$E$123,$P$43))</f>
        <v/>
      </c>
      <c r="E43" s="18">
        <f>IF($P$43="","",INDEX('Dados'!$G$92:$G$123,$P$43))</f>
        <v/>
      </c>
      <c r="F43" s="18">
        <f>IF($P$43="","",INDEX('Dados'!$H$92:$H$123,$P$43))</f>
        <v/>
      </c>
      <c r="G43" s="18">
        <f>IF($P$43="","",INDEX('Dados'!$I$92:$I$123,$P$43))</f>
        <v/>
      </c>
      <c r="H43" s="18">
        <f>IF($P$43="","",INDEX('Dados'!$J$92:$J$123,$P$43))</f>
        <v/>
      </c>
      <c r="I43" s="18">
        <f>IF($P$43="","",INDEX('Dados'!$K$92:$K$123,$P$43))</f>
        <v/>
      </c>
      <c r="J43" s="18">
        <f>IF($P$43="","","+"&amp;INDEX('Dados'!$L$92:$L$123,$P$43))</f>
        <v/>
      </c>
      <c r="P43" s="2">
        <f>IF(23&gt;$O$5,"",MATCH(SMALL($N$11:$N$42,23),$N$11:$N$42,0))</f>
        <v/>
      </c>
    </row>
    <row r="44" ht="37" customHeight="1">
      <c r="A44" s="43">
        <f>IF($P$44="","",INDEX('Dados'!$B$92:$B$123,$P$44))</f>
        <v/>
      </c>
      <c r="B44" s="23">
        <f>IF($P$44="","",INDEX('Dados'!$C$92:$C$123,$P$44))</f>
        <v/>
      </c>
      <c r="C44" s="23">
        <f>IF($P$44="","",INDEX('Dados'!$D$92:$D$123,$P$44))</f>
        <v/>
      </c>
      <c r="D44" s="10">
        <f>IF($P$44="","",INDEX('Dados'!$E$92:$E$123,$P$44))</f>
        <v/>
      </c>
      <c r="E44" s="23">
        <f>IF($P$44="","",INDEX('Dados'!$G$92:$G$123,$P$44))</f>
        <v/>
      </c>
      <c r="F44" s="23">
        <f>IF($P$44="","",INDEX('Dados'!$H$92:$H$123,$P$44))</f>
        <v/>
      </c>
      <c r="G44" s="23">
        <f>IF($P$44="","",INDEX('Dados'!$I$92:$I$123,$P$44))</f>
        <v/>
      </c>
      <c r="H44" s="23">
        <f>IF($P$44="","",INDEX('Dados'!$J$92:$J$123,$P$44))</f>
        <v/>
      </c>
      <c r="I44" s="23">
        <f>IF($P$44="","",INDEX('Dados'!$K$92:$K$123,$P$44))</f>
        <v/>
      </c>
      <c r="J44" s="23">
        <f>IF($P$44="","","+"&amp;INDEX('Dados'!$L$92:$L$123,$P$44))</f>
        <v/>
      </c>
      <c r="P44" s="2">
        <f>IF(24&gt;$O$5,"",MATCH(SMALL($N$11:$N$42,24),$N$11:$N$42,0))</f>
        <v/>
      </c>
    </row>
    <row r="45" ht="37" customHeight="1">
      <c r="A45" s="31">
        <f>IF($P$45="","",INDEX('Dados'!$B$92:$B$123,$P$45))</f>
        <v/>
      </c>
      <c r="B45" s="18">
        <f>IF($P$45="","",INDEX('Dados'!$C$92:$C$123,$P$45))</f>
        <v/>
      </c>
      <c r="C45" s="18">
        <f>IF($P$45="","",INDEX('Dados'!$D$92:$D$123,$P$45))</f>
        <v/>
      </c>
      <c r="D45" s="5">
        <f>IF($P$45="","",INDEX('Dados'!$E$92:$E$123,$P$45))</f>
        <v/>
      </c>
      <c r="E45" s="18">
        <f>IF($P$45="","",INDEX('Dados'!$G$92:$G$123,$P$45))</f>
        <v/>
      </c>
      <c r="F45" s="18">
        <f>IF($P$45="","",INDEX('Dados'!$H$92:$H$123,$P$45))</f>
        <v/>
      </c>
      <c r="G45" s="18">
        <f>IF($P$45="","",INDEX('Dados'!$I$92:$I$123,$P$45))</f>
        <v/>
      </c>
      <c r="H45" s="18">
        <f>IF($P$45="","",INDEX('Dados'!$J$92:$J$123,$P$45))</f>
        <v/>
      </c>
      <c r="I45" s="18">
        <f>IF($P$45="","",INDEX('Dados'!$K$92:$K$123,$P$45))</f>
        <v/>
      </c>
      <c r="J45" s="18">
        <f>IF($P$45="","","+"&amp;INDEX('Dados'!$L$92:$L$123,$P$45))</f>
        <v/>
      </c>
      <c r="P45" s="2">
        <f>IF(25&gt;$O$5,"",MATCH(SMALL($N$11:$N$42,25),$N$11:$N$42,0))</f>
        <v/>
      </c>
    </row>
    <row r="46" ht="37" customHeight="1">
      <c r="A46" s="43">
        <f>IF($P$46="","",INDEX('Dados'!$B$92:$B$123,$P$46))</f>
        <v/>
      </c>
      <c r="B46" s="23">
        <f>IF($P$46="","",INDEX('Dados'!$C$92:$C$123,$P$46))</f>
        <v/>
      </c>
      <c r="C46" s="23">
        <f>IF($P$46="","",INDEX('Dados'!$D$92:$D$123,$P$46))</f>
        <v/>
      </c>
      <c r="D46" s="10">
        <f>IF($P$46="","",INDEX('Dados'!$E$92:$E$123,$P$46))</f>
        <v/>
      </c>
      <c r="E46" s="23">
        <f>IF($P$46="","",INDEX('Dados'!$G$92:$G$123,$P$46))</f>
        <v/>
      </c>
      <c r="F46" s="23">
        <f>IF($P$46="","",INDEX('Dados'!$H$92:$H$123,$P$46))</f>
        <v/>
      </c>
      <c r="G46" s="23">
        <f>IF($P$46="","",INDEX('Dados'!$I$92:$I$123,$P$46))</f>
        <v/>
      </c>
      <c r="H46" s="23">
        <f>IF($P$46="","",INDEX('Dados'!$J$92:$J$123,$P$46))</f>
        <v/>
      </c>
      <c r="I46" s="23">
        <f>IF($P$46="","",INDEX('Dados'!$K$92:$K$123,$P$46))</f>
        <v/>
      </c>
      <c r="J46" s="23">
        <f>IF($P$46="","","+"&amp;INDEX('Dados'!$L$92:$L$123,$P$46))</f>
        <v/>
      </c>
      <c r="P46" s="2">
        <f>IF(26&gt;$O$5,"",MATCH(SMALL($N$11:$N$42,26),$N$11:$N$42,0))</f>
        <v/>
      </c>
    </row>
    <row r="47" ht="37" customHeight="1">
      <c r="A47" s="31">
        <f>IF($P$47="","",INDEX('Dados'!$B$92:$B$123,$P$47))</f>
        <v/>
      </c>
      <c r="B47" s="18">
        <f>IF($P$47="","",INDEX('Dados'!$C$92:$C$123,$P$47))</f>
        <v/>
      </c>
      <c r="C47" s="18">
        <f>IF($P$47="","",INDEX('Dados'!$D$92:$D$123,$P$47))</f>
        <v/>
      </c>
      <c r="D47" s="5">
        <f>IF($P$47="","",INDEX('Dados'!$E$92:$E$123,$P$47))</f>
        <v/>
      </c>
      <c r="E47" s="18">
        <f>IF($P$47="","",INDEX('Dados'!$G$92:$G$123,$P$47))</f>
        <v/>
      </c>
      <c r="F47" s="18">
        <f>IF($P$47="","",INDEX('Dados'!$H$92:$H$123,$P$47))</f>
        <v/>
      </c>
      <c r="G47" s="18">
        <f>IF($P$47="","",INDEX('Dados'!$I$92:$I$123,$P$47))</f>
        <v/>
      </c>
      <c r="H47" s="18">
        <f>IF($P$47="","",INDEX('Dados'!$J$92:$J$123,$P$47))</f>
        <v/>
      </c>
      <c r="I47" s="18">
        <f>IF($P$47="","",INDEX('Dados'!$K$92:$K$123,$P$47))</f>
        <v/>
      </c>
      <c r="J47" s="18">
        <f>IF($P$47="","","+"&amp;INDEX('Dados'!$L$92:$L$123,$P$47))</f>
        <v/>
      </c>
      <c r="P47" s="2">
        <f>IF(27&gt;$O$5,"",MATCH(SMALL($N$11:$N$42,27),$N$11:$N$42,0))</f>
        <v/>
      </c>
    </row>
    <row r="48" ht="37" customHeight="1">
      <c r="A48" s="43">
        <f>IF($P$48="","",INDEX('Dados'!$B$92:$B$123,$P$48))</f>
        <v/>
      </c>
      <c r="B48" s="23">
        <f>IF($P$48="","",INDEX('Dados'!$C$92:$C$123,$P$48))</f>
        <v/>
      </c>
      <c r="C48" s="23">
        <f>IF($P$48="","",INDEX('Dados'!$D$92:$D$123,$P$48))</f>
        <v/>
      </c>
      <c r="D48" s="10">
        <f>IF($P$48="","",INDEX('Dados'!$E$92:$E$123,$P$48))</f>
        <v/>
      </c>
      <c r="E48" s="23">
        <f>IF($P$48="","",INDEX('Dados'!$G$92:$G$123,$P$48))</f>
        <v/>
      </c>
      <c r="F48" s="23">
        <f>IF($P$48="","",INDEX('Dados'!$H$92:$H$123,$P$48))</f>
        <v/>
      </c>
      <c r="G48" s="23">
        <f>IF($P$48="","",INDEX('Dados'!$I$92:$I$123,$P$48))</f>
        <v/>
      </c>
      <c r="H48" s="23">
        <f>IF($P$48="","",INDEX('Dados'!$J$92:$J$123,$P$48))</f>
        <v/>
      </c>
      <c r="I48" s="23">
        <f>IF($P$48="","",INDEX('Dados'!$K$92:$K$123,$P$48))</f>
        <v/>
      </c>
      <c r="J48" s="23">
        <f>IF($P$48="","","+"&amp;INDEX('Dados'!$L$92:$L$123,$P$48))</f>
        <v/>
      </c>
      <c r="P48" s="2">
        <f>IF(28&gt;$O$5,"",MATCH(SMALL($N$11:$N$42,28),$N$11:$N$42,0))</f>
        <v/>
      </c>
    </row>
    <row r="49" ht="37" customHeight="1">
      <c r="A49" s="31">
        <f>IF($P$49="","",INDEX('Dados'!$B$92:$B$123,$P$49))</f>
        <v/>
      </c>
      <c r="B49" s="18">
        <f>IF($P$49="","",INDEX('Dados'!$C$92:$C$123,$P$49))</f>
        <v/>
      </c>
      <c r="C49" s="18">
        <f>IF($P$49="","",INDEX('Dados'!$D$92:$D$123,$P$49))</f>
        <v/>
      </c>
      <c r="D49" s="5">
        <f>IF($P$49="","",INDEX('Dados'!$E$92:$E$123,$P$49))</f>
        <v/>
      </c>
      <c r="E49" s="18">
        <f>IF($P$49="","",INDEX('Dados'!$G$92:$G$123,$P$49))</f>
        <v/>
      </c>
      <c r="F49" s="18">
        <f>IF($P$49="","",INDEX('Dados'!$H$92:$H$123,$P$49))</f>
        <v/>
      </c>
      <c r="G49" s="18">
        <f>IF($P$49="","",INDEX('Dados'!$I$92:$I$123,$P$49))</f>
        <v/>
      </c>
      <c r="H49" s="18">
        <f>IF($P$49="","",INDEX('Dados'!$J$92:$J$123,$P$49))</f>
        <v/>
      </c>
      <c r="I49" s="18">
        <f>IF($P$49="","",INDEX('Dados'!$K$92:$K$123,$P$49))</f>
        <v/>
      </c>
      <c r="J49" s="18">
        <f>IF($P$49="","","+"&amp;INDEX('Dados'!$L$92:$L$123,$P$49))</f>
        <v/>
      </c>
      <c r="P49" s="2">
        <f>IF(29&gt;$O$5,"",MATCH(SMALL($N$11:$N$42,29),$N$11:$N$42,0))</f>
        <v/>
      </c>
    </row>
    <row r="50" ht="37" customHeight="1">
      <c r="A50" s="43">
        <f>IF($P$50="","",INDEX('Dados'!$B$92:$B$123,$P$50))</f>
        <v/>
      </c>
      <c r="B50" s="23">
        <f>IF($P$50="","",INDEX('Dados'!$C$92:$C$123,$P$50))</f>
        <v/>
      </c>
      <c r="C50" s="23">
        <f>IF($P$50="","",INDEX('Dados'!$D$92:$D$123,$P$50))</f>
        <v/>
      </c>
      <c r="D50" s="10">
        <f>IF($P$50="","",INDEX('Dados'!$E$92:$E$123,$P$50))</f>
        <v/>
      </c>
      <c r="E50" s="23">
        <f>IF($P$50="","",INDEX('Dados'!$G$92:$G$123,$P$50))</f>
        <v/>
      </c>
      <c r="F50" s="23">
        <f>IF($P$50="","",INDEX('Dados'!$H$92:$H$123,$P$50))</f>
        <v/>
      </c>
      <c r="G50" s="23">
        <f>IF($P$50="","",INDEX('Dados'!$I$92:$I$123,$P$50))</f>
        <v/>
      </c>
      <c r="H50" s="23">
        <f>IF($P$50="","",INDEX('Dados'!$J$92:$J$123,$P$50))</f>
        <v/>
      </c>
      <c r="I50" s="23">
        <f>IF($P$50="","",INDEX('Dados'!$K$92:$K$123,$P$50))</f>
        <v/>
      </c>
      <c r="J50" s="23">
        <f>IF($P$50="","","+"&amp;INDEX('Dados'!$L$92:$L$123,$P$50))</f>
        <v/>
      </c>
      <c r="P50" s="2">
        <f>IF(30&gt;$O$5,"",MATCH(SMALL($N$11:$N$42,30),$N$11:$N$42,0))</f>
        <v/>
      </c>
    </row>
    <row r="51" ht="37" customHeight="1">
      <c r="A51" s="31">
        <f>IF($P$51="","",INDEX('Dados'!$B$92:$B$123,$P$51))</f>
        <v/>
      </c>
      <c r="B51" s="18">
        <f>IF($P$51="","",INDEX('Dados'!$C$92:$C$123,$P$51))</f>
        <v/>
      </c>
      <c r="C51" s="18">
        <f>IF($P$51="","",INDEX('Dados'!$D$92:$D$123,$P$51))</f>
        <v/>
      </c>
      <c r="D51" s="5">
        <f>IF($P$51="","",INDEX('Dados'!$E$92:$E$123,$P$51))</f>
        <v/>
      </c>
      <c r="E51" s="18">
        <f>IF($P$51="","",INDEX('Dados'!$G$92:$G$123,$P$51))</f>
        <v/>
      </c>
      <c r="F51" s="18">
        <f>IF($P$51="","",INDEX('Dados'!$H$92:$H$123,$P$51))</f>
        <v/>
      </c>
      <c r="G51" s="18">
        <f>IF($P$51="","",INDEX('Dados'!$I$92:$I$123,$P$51))</f>
        <v/>
      </c>
      <c r="H51" s="18">
        <f>IF($P$51="","",INDEX('Dados'!$J$92:$J$123,$P$51))</f>
        <v/>
      </c>
      <c r="I51" s="18">
        <f>IF($P$51="","",INDEX('Dados'!$K$92:$K$123,$P$51))</f>
        <v/>
      </c>
      <c r="J51" s="18">
        <f>IF($P$51="","","+"&amp;INDEX('Dados'!$L$92:$L$123,$P$51))</f>
        <v/>
      </c>
      <c r="P51" s="2">
        <f>IF(31&gt;$O$5,"",MATCH(SMALL($N$11:$N$42,31),$N$11:$N$42,0))</f>
        <v/>
      </c>
    </row>
    <row r="52" ht="37" customHeight="1">
      <c r="A52" s="43">
        <f>IF($P$52="","",INDEX('Dados'!$B$92:$B$123,$P$52))</f>
        <v/>
      </c>
      <c r="B52" s="23">
        <f>IF($P$52="","",INDEX('Dados'!$C$92:$C$123,$P$52))</f>
        <v/>
      </c>
      <c r="C52" s="23">
        <f>IF($P$52="","",INDEX('Dados'!$D$92:$D$123,$P$52))</f>
        <v/>
      </c>
      <c r="D52" s="10">
        <f>IF($P$52="","",INDEX('Dados'!$E$92:$E$123,$P$52))</f>
        <v/>
      </c>
      <c r="E52" s="23">
        <f>IF($P$52="","",INDEX('Dados'!$G$92:$G$123,$P$52))</f>
        <v/>
      </c>
      <c r="F52" s="23">
        <f>IF($P$52="","",INDEX('Dados'!$H$92:$H$123,$P$52))</f>
        <v/>
      </c>
      <c r="G52" s="23">
        <f>IF($P$52="","",INDEX('Dados'!$I$92:$I$123,$P$52))</f>
        <v/>
      </c>
      <c r="H52" s="23">
        <f>IF($P$52="","",INDEX('Dados'!$J$92:$J$123,$P$52))</f>
        <v/>
      </c>
      <c r="I52" s="23">
        <f>IF($P$52="","",INDEX('Dados'!$K$92:$K$123,$P$52))</f>
        <v/>
      </c>
      <c r="J52" s="23">
        <f>IF($P$52="","","+"&amp;INDEX('Dados'!$L$92:$L$123,$P$52))</f>
        <v/>
      </c>
      <c r="P52" s="2">
        <f>IF(32&gt;$O$5,"",MATCH(SMALL($N$11:$N$42,32),$N$11:$N$42,0))</f>
        <v/>
      </c>
    </row>
    <row r="53"/>
    <row r="54"/>
    <row r="55" ht="20" customHeight="1">
      <c r="A55" s="13" t="inlineStr">
        <is>
          <t>B2 · Dano, Fraquezas e Execução (automático)</t>
        </is>
      </c>
    </row>
    <row r="56">
      <c r="A56" s="8" t="inlineStr">
        <is>
          <t>Nome</t>
        </is>
      </c>
      <c r="B56" s="8" t="inlineStr">
        <is>
          <t>Dano por acerto</t>
        </is>
      </c>
      <c r="C56" s="20" t="n"/>
      <c r="D56" s="8" t="inlineStr">
        <is>
          <t>DT · Teste de Resistência</t>
        </is>
      </c>
      <c r="E56" s="20" t="n"/>
      <c r="F56" s="8" t="inlineStr">
        <is>
          <t>Fraquezas da fase 1</t>
        </is>
      </c>
      <c r="G56" s="20" t="n"/>
      <c r="H56" s="8" t="inlineStr">
        <is>
          <t>Resistência</t>
        </is>
      </c>
      <c r="I56" s="8" t="inlineStr">
        <is>
          <t>Fases</t>
        </is>
      </c>
      <c r="J56" s="8" t="inlineStr">
        <is>
          <t>Execução</t>
        </is>
      </c>
    </row>
    <row r="57" ht="37" customHeight="1">
      <c r="A57" s="31">
        <f>IF($P$17="","",INDEX('Dados'!$B$92:$B$123,$P$17))</f>
        <v/>
      </c>
      <c r="B57" s="5">
        <f>IF($P$17="","",INDEX('Dados'!$M$92:$M$123,$P$17)&amp;" · média "&amp;INDEX('Dados'!$N$92:$N$123,$P$17))</f>
        <v/>
      </c>
      <c r="D57" s="18">
        <f>IF($P$17="","","DT "&amp;INDEX('Dados'!$O$92:$O$123,$P$17)&amp;" · TR +"&amp;INDEX('Dados'!$P$92:$P$123,$P$17))</f>
        <v/>
      </c>
      <c r="F57" s="5">
        <f>IF($P$17="","",INDEX('Dados'!$AE$92:$AE$123,$P$17))</f>
        <v/>
      </c>
      <c r="H57" s="18">
        <f>IF($P$17="","",IF(LEN(INDEX('Dados'!$U$92:$U$123,$P$17))&gt;0,INDEX('Dados'!$U$92:$U$123,$P$17),"—"))</f>
        <v/>
      </c>
      <c r="I57" s="18">
        <f>IF($P$17="","",INDEX('Dados'!$F$92:$F$123,$P$17))</f>
        <v/>
      </c>
      <c r="J57" s="18">
        <f>IF($P$17="","",INDEX('Dados'!$V$92:$V$123,$P$17))</f>
        <v/>
      </c>
    </row>
    <row r="58" ht="37" customHeight="1">
      <c r="A58" s="43">
        <f>IF($P$18="","",INDEX('Dados'!$B$92:$B$123,$P$18))</f>
        <v/>
      </c>
      <c r="B58" s="10">
        <f>IF($P$18="","",INDEX('Dados'!$M$92:$M$123,$P$18)&amp;" · média "&amp;INDEX('Dados'!$N$92:$N$123,$P$18))</f>
        <v/>
      </c>
      <c r="D58" s="23">
        <f>IF($P$18="","","DT "&amp;INDEX('Dados'!$O$92:$O$123,$P$18)&amp;" · TR +"&amp;INDEX('Dados'!$P$92:$P$123,$P$18))</f>
        <v/>
      </c>
      <c r="F58" s="10">
        <f>IF($P$18="","",INDEX('Dados'!$AE$92:$AE$123,$P$18))</f>
        <v/>
      </c>
      <c r="H58" s="23">
        <f>IF($P$18="","",IF(LEN(INDEX('Dados'!$U$92:$U$123,$P$18))&gt;0,INDEX('Dados'!$U$92:$U$123,$P$18),"—"))</f>
        <v/>
      </c>
      <c r="I58" s="23">
        <f>IF($P$18="","",INDEX('Dados'!$F$92:$F$123,$P$18))</f>
        <v/>
      </c>
      <c r="J58" s="23">
        <f>IF($P$18="","",INDEX('Dados'!$V$92:$V$123,$P$18))</f>
        <v/>
      </c>
    </row>
    <row r="59" ht="37" customHeight="1">
      <c r="A59" s="31">
        <f>IF($P$19="","",INDEX('Dados'!$B$92:$B$123,$P$19))</f>
        <v/>
      </c>
      <c r="B59" s="5">
        <f>IF($P$19="","",INDEX('Dados'!$M$92:$M$123,$P$19)&amp;" · média "&amp;INDEX('Dados'!$N$92:$N$123,$P$19))</f>
        <v/>
      </c>
      <c r="D59" s="18">
        <f>IF($P$19="","","DT "&amp;INDEX('Dados'!$O$92:$O$123,$P$19)&amp;" · TR +"&amp;INDEX('Dados'!$P$92:$P$123,$P$19))</f>
        <v/>
      </c>
      <c r="F59" s="5">
        <f>IF($P$19="","",INDEX('Dados'!$AE$92:$AE$123,$P$19))</f>
        <v/>
      </c>
      <c r="H59" s="18">
        <f>IF($P$19="","",IF(LEN(INDEX('Dados'!$U$92:$U$123,$P$19))&gt;0,INDEX('Dados'!$U$92:$U$123,$P$19),"—"))</f>
        <v/>
      </c>
      <c r="I59" s="18">
        <f>IF($P$19="","",INDEX('Dados'!$F$92:$F$123,$P$19))</f>
        <v/>
      </c>
      <c r="J59" s="18">
        <f>IF($P$19="","",INDEX('Dados'!$V$92:$V$123,$P$19))</f>
        <v/>
      </c>
    </row>
    <row r="60" ht="37" customHeight="1">
      <c r="A60" s="43">
        <f>IF($P$20="","",INDEX('Dados'!$B$92:$B$123,$P$20))</f>
        <v/>
      </c>
      <c r="B60" s="10">
        <f>IF($P$20="","",INDEX('Dados'!$M$92:$M$123,$P$20)&amp;" · média "&amp;INDEX('Dados'!$N$92:$N$123,$P$20))</f>
        <v/>
      </c>
      <c r="D60" s="23">
        <f>IF($P$20="","","DT "&amp;INDEX('Dados'!$O$92:$O$123,$P$20)&amp;" · TR +"&amp;INDEX('Dados'!$P$92:$P$123,$P$20))</f>
        <v/>
      </c>
      <c r="F60" s="10">
        <f>IF($P$20="","",INDEX('Dados'!$AE$92:$AE$123,$P$20))</f>
        <v/>
      </c>
      <c r="H60" s="23">
        <f>IF($P$20="","",IF(LEN(INDEX('Dados'!$U$92:$U$123,$P$20))&gt;0,INDEX('Dados'!$U$92:$U$123,$P$20),"—"))</f>
        <v/>
      </c>
      <c r="I60" s="23">
        <f>IF($P$20="","",INDEX('Dados'!$F$92:$F$123,$P$20))</f>
        <v/>
      </c>
      <c r="J60" s="23">
        <f>IF($P$20="","",INDEX('Dados'!$V$92:$V$123,$P$20))</f>
        <v/>
      </c>
    </row>
    <row r="61" ht="37" customHeight="1">
      <c r="A61" s="31">
        <f>IF($P$21="","",INDEX('Dados'!$B$92:$B$123,$P$21))</f>
        <v/>
      </c>
      <c r="B61" s="5">
        <f>IF($P$21="","",INDEX('Dados'!$M$92:$M$123,$P$21)&amp;" · média "&amp;INDEX('Dados'!$N$92:$N$123,$P$21))</f>
        <v/>
      </c>
      <c r="D61" s="18">
        <f>IF($P$21="","","DT "&amp;INDEX('Dados'!$O$92:$O$123,$P$21)&amp;" · TR +"&amp;INDEX('Dados'!$P$92:$P$123,$P$21))</f>
        <v/>
      </c>
      <c r="F61" s="5">
        <f>IF($P$21="","",INDEX('Dados'!$AE$92:$AE$123,$P$21))</f>
        <v/>
      </c>
      <c r="H61" s="18">
        <f>IF($P$21="","",IF(LEN(INDEX('Dados'!$U$92:$U$123,$P$21))&gt;0,INDEX('Dados'!$U$92:$U$123,$P$21),"—"))</f>
        <v/>
      </c>
      <c r="I61" s="18">
        <f>IF($P$21="","",INDEX('Dados'!$F$92:$F$123,$P$21))</f>
        <v/>
      </c>
      <c r="J61" s="18">
        <f>IF($P$21="","",INDEX('Dados'!$V$92:$V$123,$P$21))</f>
        <v/>
      </c>
    </row>
    <row r="62" ht="37" customHeight="1">
      <c r="A62" s="43">
        <f>IF($P$22="","",INDEX('Dados'!$B$92:$B$123,$P$22))</f>
        <v/>
      </c>
      <c r="B62" s="10">
        <f>IF($P$22="","",INDEX('Dados'!$M$92:$M$123,$P$22)&amp;" · média "&amp;INDEX('Dados'!$N$92:$N$123,$P$22))</f>
        <v/>
      </c>
      <c r="D62" s="23">
        <f>IF($P$22="","","DT "&amp;INDEX('Dados'!$O$92:$O$123,$P$22)&amp;" · TR +"&amp;INDEX('Dados'!$P$92:$P$123,$P$22))</f>
        <v/>
      </c>
      <c r="F62" s="10">
        <f>IF($P$22="","",INDEX('Dados'!$AE$92:$AE$123,$P$22))</f>
        <v/>
      </c>
      <c r="H62" s="23">
        <f>IF($P$22="","",IF(LEN(INDEX('Dados'!$U$92:$U$123,$P$22))&gt;0,INDEX('Dados'!$U$92:$U$123,$P$22),"—"))</f>
        <v/>
      </c>
      <c r="I62" s="23">
        <f>IF($P$22="","",INDEX('Dados'!$F$92:$F$123,$P$22))</f>
        <v/>
      </c>
      <c r="J62" s="23">
        <f>IF($P$22="","",INDEX('Dados'!$V$92:$V$123,$P$22))</f>
        <v/>
      </c>
    </row>
    <row r="63" ht="37" customHeight="1">
      <c r="A63" s="31">
        <f>IF($P$23="","",INDEX('Dados'!$B$92:$B$123,$P$23))</f>
        <v/>
      </c>
      <c r="B63" s="5">
        <f>IF($P$23="","",INDEX('Dados'!$M$92:$M$123,$P$23)&amp;" · média "&amp;INDEX('Dados'!$N$92:$N$123,$P$23))</f>
        <v/>
      </c>
      <c r="D63" s="18">
        <f>IF($P$23="","","DT "&amp;INDEX('Dados'!$O$92:$O$123,$P$23)&amp;" · TR +"&amp;INDEX('Dados'!$P$92:$P$123,$P$23))</f>
        <v/>
      </c>
      <c r="F63" s="5">
        <f>IF($P$23="","",INDEX('Dados'!$AE$92:$AE$123,$P$23))</f>
        <v/>
      </c>
      <c r="H63" s="18">
        <f>IF($P$23="","",IF(LEN(INDEX('Dados'!$U$92:$U$123,$P$23))&gt;0,INDEX('Dados'!$U$92:$U$123,$P$23),"—"))</f>
        <v/>
      </c>
      <c r="I63" s="18">
        <f>IF($P$23="","",INDEX('Dados'!$F$92:$F$123,$P$23))</f>
        <v/>
      </c>
      <c r="J63" s="18">
        <f>IF($P$23="","",INDEX('Dados'!$V$92:$V$123,$P$23))</f>
        <v/>
      </c>
    </row>
    <row r="64" ht="37" customHeight="1">
      <c r="A64" s="43">
        <f>IF($P$24="","",INDEX('Dados'!$B$92:$B$123,$P$24))</f>
        <v/>
      </c>
      <c r="B64" s="10">
        <f>IF($P$24="","",INDEX('Dados'!$M$92:$M$123,$P$24)&amp;" · média "&amp;INDEX('Dados'!$N$92:$N$123,$P$24))</f>
        <v/>
      </c>
      <c r="D64" s="23">
        <f>IF($P$24="","","DT "&amp;INDEX('Dados'!$O$92:$O$123,$P$24)&amp;" · TR +"&amp;INDEX('Dados'!$P$92:$P$123,$P$24))</f>
        <v/>
      </c>
      <c r="F64" s="10">
        <f>IF($P$24="","",INDEX('Dados'!$AE$92:$AE$123,$P$24))</f>
        <v/>
      </c>
      <c r="H64" s="23">
        <f>IF($P$24="","",IF(LEN(INDEX('Dados'!$U$92:$U$123,$P$24))&gt;0,INDEX('Dados'!$U$92:$U$123,$P$24),"—"))</f>
        <v/>
      </c>
      <c r="I64" s="23">
        <f>IF($P$24="","",INDEX('Dados'!$F$92:$F$123,$P$24))</f>
        <v/>
      </c>
      <c r="J64" s="23">
        <f>IF($P$24="","",INDEX('Dados'!$V$92:$V$123,$P$24))</f>
        <v/>
      </c>
    </row>
    <row r="65" ht="37" customHeight="1">
      <c r="A65" s="31">
        <f>IF($P$25="","",INDEX('Dados'!$B$92:$B$123,$P$25))</f>
        <v/>
      </c>
      <c r="B65" s="5">
        <f>IF($P$25="","",INDEX('Dados'!$M$92:$M$123,$P$25)&amp;" · média "&amp;INDEX('Dados'!$N$92:$N$123,$P$25))</f>
        <v/>
      </c>
      <c r="D65" s="18">
        <f>IF($P$25="","","DT "&amp;INDEX('Dados'!$O$92:$O$123,$P$25)&amp;" · TR +"&amp;INDEX('Dados'!$P$92:$P$123,$P$25))</f>
        <v/>
      </c>
      <c r="F65" s="5">
        <f>IF($P$25="","",INDEX('Dados'!$AE$92:$AE$123,$P$25))</f>
        <v/>
      </c>
      <c r="H65" s="18">
        <f>IF($P$25="","",IF(LEN(INDEX('Dados'!$U$92:$U$123,$P$25))&gt;0,INDEX('Dados'!$U$92:$U$123,$P$25),"—"))</f>
        <v/>
      </c>
      <c r="I65" s="18">
        <f>IF($P$25="","",INDEX('Dados'!$F$92:$F$123,$P$25))</f>
        <v/>
      </c>
      <c r="J65" s="18">
        <f>IF($P$25="","",INDEX('Dados'!$V$92:$V$123,$P$25))</f>
        <v/>
      </c>
    </row>
    <row r="66" ht="37" customHeight="1">
      <c r="A66" s="43">
        <f>IF($P$26="","",INDEX('Dados'!$B$92:$B$123,$P$26))</f>
        <v/>
      </c>
      <c r="B66" s="10">
        <f>IF($P$26="","",INDEX('Dados'!$M$92:$M$123,$P$26)&amp;" · média "&amp;INDEX('Dados'!$N$92:$N$123,$P$26))</f>
        <v/>
      </c>
      <c r="D66" s="23">
        <f>IF($P$26="","","DT "&amp;INDEX('Dados'!$O$92:$O$123,$P$26)&amp;" · TR +"&amp;INDEX('Dados'!$P$92:$P$123,$P$26))</f>
        <v/>
      </c>
      <c r="F66" s="10">
        <f>IF($P$26="","",INDEX('Dados'!$AE$92:$AE$123,$P$26))</f>
        <v/>
      </c>
      <c r="H66" s="23">
        <f>IF($P$26="","",IF(LEN(INDEX('Dados'!$U$92:$U$123,$P$26))&gt;0,INDEX('Dados'!$U$92:$U$123,$P$26),"—"))</f>
        <v/>
      </c>
      <c r="I66" s="23">
        <f>IF($P$26="","",INDEX('Dados'!$F$92:$F$123,$P$26))</f>
        <v/>
      </c>
      <c r="J66" s="23">
        <f>IF($P$26="","",INDEX('Dados'!$V$92:$V$123,$P$26))</f>
        <v/>
      </c>
    </row>
    <row r="67" ht="37" customHeight="1">
      <c r="A67" s="31">
        <f>IF($P$27="","",INDEX('Dados'!$B$92:$B$123,$P$27))</f>
        <v/>
      </c>
      <c r="B67" s="5">
        <f>IF($P$27="","",INDEX('Dados'!$M$92:$M$123,$P$27)&amp;" · média "&amp;INDEX('Dados'!$N$92:$N$123,$P$27))</f>
        <v/>
      </c>
      <c r="D67" s="18">
        <f>IF($P$27="","","DT "&amp;INDEX('Dados'!$O$92:$O$123,$P$27)&amp;" · TR +"&amp;INDEX('Dados'!$P$92:$P$123,$P$27))</f>
        <v/>
      </c>
      <c r="F67" s="5">
        <f>IF($P$27="","",INDEX('Dados'!$AE$92:$AE$123,$P$27))</f>
        <v/>
      </c>
      <c r="H67" s="18">
        <f>IF($P$27="","",IF(LEN(INDEX('Dados'!$U$92:$U$123,$P$27))&gt;0,INDEX('Dados'!$U$92:$U$123,$P$27),"—"))</f>
        <v/>
      </c>
      <c r="I67" s="18">
        <f>IF($P$27="","",INDEX('Dados'!$F$92:$F$123,$P$27))</f>
        <v/>
      </c>
      <c r="J67" s="18">
        <f>IF($P$27="","",INDEX('Dados'!$V$92:$V$123,$P$27))</f>
        <v/>
      </c>
    </row>
    <row r="68"/>
    <row r="69">
      <c r="A69" s="8" t="inlineStr">
        <is>
          <t>Nome</t>
        </is>
      </c>
      <c r="B69" s="8" t="inlineStr">
        <is>
          <t>Dano por acerto</t>
        </is>
      </c>
      <c r="C69" s="20" t="n"/>
      <c r="D69" s="8" t="inlineStr">
        <is>
          <t>DT · Teste de Resistência</t>
        </is>
      </c>
      <c r="E69" s="20" t="n"/>
      <c r="F69" s="8" t="inlineStr">
        <is>
          <t>Fraquezas da fase 1</t>
        </is>
      </c>
      <c r="G69" s="20" t="n"/>
      <c r="H69" s="8" t="inlineStr">
        <is>
          <t>Resistência</t>
        </is>
      </c>
      <c r="I69" s="8" t="inlineStr">
        <is>
          <t>Fases</t>
        </is>
      </c>
      <c r="J69" s="8" t="inlineStr">
        <is>
          <t>Execução</t>
        </is>
      </c>
    </row>
    <row r="70" ht="37" customHeight="1">
      <c r="A70" s="31">
        <f>IF($P$30="","",INDEX('Dados'!$B$92:$B$123,$P$30))</f>
        <v/>
      </c>
      <c r="B70" s="5">
        <f>IF($P$30="","",INDEX('Dados'!$M$92:$M$123,$P$30)&amp;" · média "&amp;INDEX('Dados'!$N$92:$N$123,$P$30))</f>
        <v/>
      </c>
      <c r="D70" s="18">
        <f>IF($P$30="","","DT "&amp;INDEX('Dados'!$O$92:$O$123,$P$30)&amp;" · TR +"&amp;INDEX('Dados'!$P$92:$P$123,$P$30))</f>
        <v/>
      </c>
      <c r="F70" s="5">
        <f>IF($P$30="","",INDEX('Dados'!$AE$92:$AE$123,$P$30))</f>
        <v/>
      </c>
      <c r="H70" s="18">
        <f>IF($P$30="","",IF(LEN(INDEX('Dados'!$U$92:$U$123,$P$30))&gt;0,INDEX('Dados'!$U$92:$U$123,$P$30),"—"))</f>
        <v/>
      </c>
      <c r="I70" s="18">
        <f>IF($P$30="","",INDEX('Dados'!$F$92:$F$123,$P$30))</f>
        <v/>
      </c>
      <c r="J70" s="18">
        <f>IF($P$30="","",INDEX('Dados'!$V$92:$V$123,$P$30))</f>
        <v/>
      </c>
    </row>
    <row r="71" ht="37" customHeight="1">
      <c r="A71" s="43">
        <f>IF($P$31="","",INDEX('Dados'!$B$92:$B$123,$P$31))</f>
        <v/>
      </c>
      <c r="B71" s="10">
        <f>IF($P$31="","",INDEX('Dados'!$M$92:$M$123,$P$31)&amp;" · média "&amp;INDEX('Dados'!$N$92:$N$123,$P$31))</f>
        <v/>
      </c>
      <c r="D71" s="23">
        <f>IF($P$31="","","DT "&amp;INDEX('Dados'!$O$92:$O$123,$P$31)&amp;" · TR +"&amp;INDEX('Dados'!$P$92:$P$123,$P$31))</f>
        <v/>
      </c>
      <c r="F71" s="10">
        <f>IF($P$31="","",INDEX('Dados'!$AE$92:$AE$123,$P$31))</f>
        <v/>
      </c>
      <c r="H71" s="23">
        <f>IF($P$31="","",IF(LEN(INDEX('Dados'!$U$92:$U$123,$P$31))&gt;0,INDEX('Dados'!$U$92:$U$123,$P$31),"—"))</f>
        <v/>
      </c>
      <c r="I71" s="23">
        <f>IF($P$31="","",INDEX('Dados'!$F$92:$F$123,$P$31))</f>
        <v/>
      </c>
      <c r="J71" s="23">
        <f>IF($P$31="","",INDEX('Dados'!$V$92:$V$123,$P$31))</f>
        <v/>
      </c>
    </row>
    <row r="72" ht="37" customHeight="1">
      <c r="A72" s="31">
        <f>IF($P$32="","",INDEX('Dados'!$B$92:$B$123,$P$32))</f>
        <v/>
      </c>
      <c r="B72" s="5">
        <f>IF($P$32="","",INDEX('Dados'!$M$92:$M$123,$P$32)&amp;" · média "&amp;INDEX('Dados'!$N$92:$N$123,$P$32))</f>
        <v/>
      </c>
      <c r="D72" s="18">
        <f>IF($P$32="","","DT "&amp;INDEX('Dados'!$O$92:$O$123,$P$32)&amp;" · TR +"&amp;INDEX('Dados'!$P$92:$P$123,$P$32))</f>
        <v/>
      </c>
      <c r="F72" s="5">
        <f>IF($P$32="","",INDEX('Dados'!$AE$92:$AE$123,$P$32))</f>
        <v/>
      </c>
      <c r="H72" s="18">
        <f>IF($P$32="","",IF(LEN(INDEX('Dados'!$U$92:$U$123,$P$32))&gt;0,INDEX('Dados'!$U$92:$U$123,$P$32),"—"))</f>
        <v/>
      </c>
      <c r="I72" s="18">
        <f>IF($P$32="","",INDEX('Dados'!$F$92:$F$123,$P$32))</f>
        <v/>
      </c>
      <c r="J72" s="18">
        <f>IF($P$32="","",INDEX('Dados'!$V$92:$V$123,$P$32))</f>
        <v/>
      </c>
    </row>
    <row r="73" ht="37" customHeight="1">
      <c r="A73" s="43">
        <f>IF($P$33="","",INDEX('Dados'!$B$92:$B$123,$P$33))</f>
        <v/>
      </c>
      <c r="B73" s="10">
        <f>IF($P$33="","",INDEX('Dados'!$M$92:$M$123,$P$33)&amp;" · média "&amp;INDEX('Dados'!$N$92:$N$123,$P$33))</f>
        <v/>
      </c>
      <c r="D73" s="23">
        <f>IF($P$33="","","DT "&amp;INDEX('Dados'!$O$92:$O$123,$P$33)&amp;" · TR +"&amp;INDEX('Dados'!$P$92:$P$123,$P$33))</f>
        <v/>
      </c>
      <c r="F73" s="10">
        <f>IF($P$33="","",INDEX('Dados'!$AE$92:$AE$123,$P$33))</f>
        <v/>
      </c>
      <c r="H73" s="23">
        <f>IF($P$33="","",IF(LEN(INDEX('Dados'!$U$92:$U$123,$P$33))&gt;0,INDEX('Dados'!$U$92:$U$123,$P$33),"—"))</f>
        <v/>
      </c>
      <c r="I73" s="23">
        <f>IF($P$33="","",INDEX('Dados'!$F$92:$F$123,$P$33))</f>
        <v/>
      </c>
      <c r="J73" s="23">
        <f>IF($P$33="","",INDEX('Dados'!$V$92:$V$123,$P$33))</f>
        <v/>
      </c>
    </row>
    <row r="74" ht="37" customHeight="1">
      <c r="A74" s="31">
        <f>IF($P$34="","",INDEX('Dados'!$B$92:$B$123,$P$34))</f>
        <v/>
      </c>
      <c r="B74" s="5">
        <f>IF($P$34="","",INDEX('Dados'!$M$92:$M$123,$P$34)&amp;" · média "&amp;INDEX('Dados'!$N$92:$N$123,$P$34))</f>
        <v/>
      </c>
      <c r="D74" s="18">
        <f>IF($P$34="","","DT "&amp;INDEX('Dados'!$O$92:$O$123,$P$34)&amp;" · TR +"&amp;INDEX('Dados'!$P$92:$P$123,$P$34))</f>
        <v/>
      </c>
      <c r="F74" s="5">
        <f>IF($P$34="","",INDEX('Dados'!$AE$92:$AE$123,$P$34))</f>
        <v/>
      </c>
      <c r="H74" s="18">
        <f>IF($P$34="","",IF(LEN(INDEX('Dados'!$U$92:$U$123,$P$34))&gt;0,INDEX('Dados'!$U$92:$U$123,$P$34),"—"))</f>
        <v/>
      </c>
      <c r="I74" s="18">
        <f>IF($P$34="","",INDEX('Dados'!$F$92:$F$123,$P$34))</f>
        <v/>
      </c>
      <c r="J74" s="18">
        <f>IF($P$34="","",INDEX('Dados'!$V$92:$V$123,$P$34))</f>
        <v/>
      </c>
    </row>
    <row r="75" ht="37" customHeight="1">
      <c r="A75" s="43">
        <f>IF($P$35="","",INDEX('Dados'!$B$92:$B$123,$P$35))</f>
        <v/>
      </c>
      <c r="B75" s="10">
        <f>IF($P$35="","",INDEX('Dados'!$M$92:$M$123,$P$35)&amp;" · média "&amp;INDEX('Dados'!$N$92:$N$123,$P$35))</f>
        <v/>
      </c>
      <c r="D75" s="23">
        <f>IF($P$35="","","DT "&amp;INDEX('Dados'!$O$92:$O$123,$P$35)&amp;" · TR +"&amp;INDEX('Dados'!$P$92:$P$123,$P$35))</f>
        <v/>
      </c>
      <c r="F75" s="10">
        <f>IF($P$35="","",INDEX('Dados'!$AE$92:$AE$123,$P$35))</f>
        <v/>
      </c>
      <c r="H75" s="23">
        <f>IF($P$35="","",IF(LEN(INDEX('Dados'!$U$92:$U$123,$P$35))&gt;0,INDEX('Dados'!$U$92:$U$123,$P$35),"—"))</f>
        <v/>
      </c>
      <c r="I75" s="23">
        <f>IF($P$35="","",INDEX('Dados'!$F$92:$F$123,$P$35))</f>
        <v/>
      </c>
      <c r="J75" s="23">
        <f>IF($P$35="","",INDEX('Dados'!$V$92:$V$123,$P$35))</f>
        <v/>
      </c>
    </row>
    <row r="76" ht="37" customHeight="1">
      <c r="A76" s="31">
        <f>IF($P$36="","",INDEX('Dados'!$B$92:$B$123,$P$36))</f>
        <v/>
      </c>
      <c r="B76" s="5">
        <f>IF($P$36="","",INDEX('Dados'!$M$92:$M$123,$P$36)&amp;" · média "&amp;INDEX('Dados'!$N$92:$N$123,$P$36))</f>
        <v/>
      </c>
      <c r="D76" s="18">
        <f>IF($P$36="","","DT "&amp;INDEX('Dados'!$O$92:$O$123,$P$36)&amp;" · TR +"&amp;INDEX('Dados'!$P$92:$P$123,$P$36))</f>
        <v/>
      </c>
      <c r="F76" s="5">
        <f>IF($P$36="","",INDEX('Dados'!$AE$92:$AE$123,$P$36))</f>
        <v/>
      </c>
      <c r="H76" s="18">
        <f>IF($P$36="","",IF(LEN(INDEX('Dados'!$U$92:$U$123,$P$36))&gt;0,INDEX('Dados'!$U$92:$U$123,$P$36),"—"))</f>
        <v/>
      </c>
      <c r="I76" s="18">
        <f>IF($P$36="","",INDEX('Dados'!$F$92:$F$123,$P$36))</f>
        <v/>
      </c>
      <c r="J76" s="18">
        <f>IF($P$36="","",INDEX('Dados'!$V$92:$V$123,$P$36))</f>
        <v/>
      </c>
    </row>
    <row r="77" ht="37" customHeight="1">
      <c r="A77" s="43">
        <f>IF($P$37="","",INDEX('Dados'!$B$92:$B$123,$P$37))</f>
        <v/>
      </c>
      <c r="B77" s="10">
        <f>IF($P$37="","",INDEX('Dados'!$M$92:$M$123,$P$37)&amp;" · média "&amp;INDEX('Dados'!$N$92:$N$123,$P$37))</f>
        <v/>
      </c>
      <c r="D77" s="23">
        <f>IF($P$37="","","DT "&amp;INDEX('Dados'!$O$92:$O$123,$P$37)&amp;" · TR +"&amp;INDEX('Dados'!$P$92:$P$123,$P$37))</f>
        <v/>
      </c>
      <c r="F77" s="10">
        <f>IF($P$37="","",INDEX('Dados'!$AE$92:$AE$123,$P$37))</f>
        <v/>
      </c>
      <c r="H77" s="23">
        <f>IF($P$37="","",IF(LEN(INDEX('Dados'!$U$92:$U$123,$P$37))&gt;0,INDEX('Dados'!$U$92:$U$123,$P$37),"—"))</f>
        <v/>
      </c>
      <c r="I77" s="23">
        <f>IF($P$37="","",INDEX('Dados'!$F$92:$F$123,$P$37))</f>
        <v/>
      </c>
      <c r="J77" s="23">
        <f>IF($P$37="","",INDEX('Dados'!$V$92:$V$123,$P$37))</f>
        <v/>
      </c>
    </row>
    <row r="78" ht="37" customHeight="1">
      <c r="A78" s="31">
        <f>IF($P$38="","",INDEX('Dados'!$B$92:$B$123,$P$38))</f>
        <v/>
      </c>
      <c r="B78" s="5">
        <f>IF($P$38="","",INDEX('Dados'!$M$92:$M$123,$P$38)&amp;" · média "&amp;INDEX('Dados'!$N$92:$N$123,$P$38))</f>
        <v/>
      </c>
      <c r="D78" s="18">
        <f>IF($P$38="","","DT "&amp;INDEX('Dados'!$O$92:$O$123,$P$38)&amp;" · TR +"&amp;INDEX('Dados'!$P$92:$P$123,$P$38))</f>
        <v/>
      </c>
      <c r="F78" s="5">
        <f>IF($P$38="","",INDEX('Dados'!$AE$92:$AE$123,$P$38))</f>
        <v/>
      </c>
      <c r="H78" s="18">
        <f>IF($P$38="","",IF(LEN(INDEX('Dados'!$U$92:$U$123,$P$38))&gt;0,INDEX('Dados'!$U$92:$U$123,$P$38),"—"))</f>
        <v/>
      </c>
      <c r="I78" s="18">
        <f>IF($P$38="","",INDEX('Dados'!$F$92:$F$123,$P$38))</f>
        <v/>
      </c>
      <c r="J78" s="18">
        <f>IF($P$38="","",INDEX('Dados'!$V$92:$V$123,$P$38))</f>
        <v/>
      </c>
    </row>
    <row r="79" ht="37" customHeight="1">
      <c r="A79" s="43">
        <f>IF($P$39="","",INDEX('Dados'!$B$92:$B$123,$P$39))</f>
        <v/>
      </c>
      <c r="B79" s="10">
        <f>IF($P$39="","",INDEX('Dados'!$M$92:$M$123,$P$39)&amp;" · média "&amp;INDEX('Dados'!$N$92:$N$123,$P$39))</f>
        <v/>
      </c>
      <c r="D79" s="23">
        <f>IF($P$39="","","DT "&amp;INDEX('Dados'!$O$92:$O$123,$P$39)&amp;" · TR +"&amp;INDEX('Dados'!$P$92:$P$123,$P$39))</f>
        <v/>
      </c>
      <c r="F79" s="10">
        <f>IF($P$39="","",INDEX('Dados'!$AE$92:$AE$123,$P$39))</f>
        <v/>
      </c>
      <c r="H79" s="23">
        <f>IF($P$39="","",IF(LEN(INDEX('Dados'!$U$92:$U$123,$P$39))&gt;0,INDEX('Dados'!$U$92:$U$123,$P$39),"—"))</f>
        <v/>
      </c>
      <c r="I79" s="23">
        <f>IF($P$39="","",INDEX('Dados'!$F$92:$F$123,$P$39))</f>
        <v/>
      </c>
      <c r="J79" s="23">
        <f>IF($P$39="","",INDEX('Dados'!$V$92:$V$123,$P$39))</f>
        <v/>
      </c>
    </row>
    <row r="80" ht="37" customHeight="1">
      <c r="A80" s="31">
        <f>IF($P$40="","",INDEX('Dados'!$B$92:$B$123,$P$40))</f>
        <v/>
      </c>
      <c r="B80" s="5">
        <f>IF($P$40="","",INDEX('Dados'!$M$92:$M$123,$P$40)&amp;" · média "&amp;INDEX('Dados'!$N$92:$N$123,$P$40))</f>
        <v/>
      </c>
      <c r="D80" s="18">
        <f>IF($P$40="","","DT "&amp;INDEX('Dados'!$O$92:$O$123,$P$40)&amp;" · TR +"&amp;INDEX('Dados'!$P$92:$P$123,$P$40))</f>
        <v/>
      </c>
      <c r="F80" s="5">
        <f>IF($P$40="","",INDEX('Dados'!$AE$92:$AE$123,$P$40))</f>
        <v/>
      </c>
      <c r="H80" s="18">
        <f>IF($P$40="","",IF(LEN(INDEX('Dados'!$U$92:$U$123,$P$40))&gt;0,INDEX('Dados'!$U$92:$U$123,$P$40),"—"))</f>
        <v/>
      </c>
      <c r="I80" s="18">
        <f>IF($P$40="","",INDEX('Dados'!$F$92:$F$123,$P$40))</f>
        <v/>
      </c>
      <c r="J80" s="18">
        <f>IF($P$40="","",INDEX('Dados'!$V$92:$V$123,$P$40))</f>
        <v/>
      </c>
    </row>
    <row r="81"/>
    <row r="82">
      <c r="A82" s="8" t="inlineStr">
        <is>
          <t>Nome</t>
        </is>
      </c>
      <c r="B82" s="8" t="inlineStr">
        <is>
          <t>Dano por acerto</t>
        </is>
      </c>
      <c r="C82" s="20" t="n"/>
      <c r="D82" s="8" t="inlineStr">
        <is>
          <t>DT · Teste de Resistência</t>
        </is>
      </c>
      <c r="E82" s="20" t="n"/>
      <c r="F82" s="8" t="inlineStr">
        <is>
          <t>Fraquezas da fase 1</t>
        </is>
      </c>
      <c r="G82" s="20" t="n"/>
      <c r="H82" s="8" t="inlineStr">
        <is>
          <t>Resistência</t>
        </is>
      </c>
      <c r="I82" s="8" t="inlineStr">
        <is>
          <t>Fases</t>
        </is>
      </c>
      <c r="J82" s="8" t="inlineStr">
        <is>
          <t>Execução</t>
        </is>
      </c>
    </row>
    <row r="83" ht="37" customHeight="1">
      <c r="A83" s="31">
        <f>IF($P$43="","",INDEX('Dados'!$B$92:$B$123,$P$43))</f>
        <v/>
      </c>
      <c r="B83" s="5">
        <f>IF($P$43="","",INDEX('Dados'!$M$92:$M$123,$P$43)&amp;" · média "&amp;INDEX('Dados'!$N$92:$N$123,$P$43))</f>
        <v/>
      </c>
      <c r="D83" s="18">
        <f>IF($P$43="","","DT "&amp;INDEX('Dados'!$O$92:$O$123,$P$43)&amp;" · TR +"&amp;INDEX('Dados'!$P$92:$P$123,$P$43))</f>
        <v/>
      </c>
      <c r="F83" s="5">
        <f>IF($P$43="","",INDEX('Dados'!$AE$92:$AE$123,$P$43))</f>
        <v/>
      </c>
      <c r="H83" s="18">
        <f>IF($P$43="","",IF(LEN(INDEX('Dados'!$U$92:$U$123,$P$43))&gt;0,INDEX('Dados'!$U$92:$U$123,$P$43),"—"))</f>
        <v/>
      </c>
      <c r="I83" s="18">
        <f>IF($P$43="","",INDEX('Dados'!$F$92:$F$123,$P$43))</f>
        <v/>
      </c>
      <c r="J83" s="18">
        <f>IF($P$43="","",INDEX('Dados'!$V$92:$V$123,$P$43))</f>
        <v/>
      </c>
    </row>
    <row r="84" ht="37" customHeight="1">
      <c r="A84" s="43">
        <f>IF($P$44="","",INDEX('Dados'!$B$92:$B$123,$P$44))</f>
        <v/>
      </c>
      <c r="B84" s="10">
        <f>IF($P$44="","",INDEX('Dados'!$M$92:$M$123,$P$44)&amp;" · média "&amp;INDEX('Dados'!$N$92:$N$123,$P$44))</f>
        <v/>
      </c>
      <c r="D84" s="23">
        <f>IF($P$44="","","DT "&amp;INDEX('Dados'!$O$92:$O$123,$P$44)&amp;" · TR +"&amp;INDEX('Dados'!$P$92:$P$123,$P$44))</f>
        <v/>
      </c>
      <c r="F84" s="10">
        <f>IF($P$44="","",INDEX('Dados'!$AE$92:$AE$123,$P$44))</f>
        <v/>
      </c>
      <c r="H84" s="23">
        <f>IF($P$44="","",IF(LEN(INDEX('Dados'!$U$92:$U$123,$P$44))&gt;0,INDEX('Dados'!$U$92:$U$123,$P$44),"—"))</f>
        <v/>
      </c>
      <c r="I84" s="23">
        <f>IF($P$44="","",INDEX('Dados'!$F$92:$F$123,$P$44))</f>
        <v/>
      </c>
      <c r="J84" s="23">
        <f>IF($P$44="","",INDEX('Dados'!$V$92:$V$123,$P$44))</f>
        <v/>
      </c>
    </row>
    <row r="85" ht="37" customHeight="1">
      <c r="A85" s="31">
        <f>IF($P$45="","",INDEX('Dados'!$B$92:$B$123,$P$45))</f>
        <v/>
      </c>
      <c r="B85" s="5">
        <f>IF($P$45="","",INDEX('Dados'!$M$92:$M$123,$P$45)&amp;" · média "&amp;INDEX('Dados'!$N$92:$N$123,$P$45))</f>
        <v/>
      </c>
      <c r="D85" s="18">
        <f>IF($P$45="","","DT "&amp;INDEX('Dados'!$O$92:$O$123,$P$45)&amp;" · TR +"&amp;INDEX('Dados'!$P$92:$P$123,$P$45))</f>
        <v/>
      </c>
      <c r="F85" s="5">
        <f>IF($P$45="","",INDEX('Dados'!$AE$92:$AE$123,$P$45))</f>
        <v/>
      </c>
      <c r="H85" s="18">
        <f>IF($P$45="","",IF(LEN(INDEX('Dados'!$U$92:$U$123,$P$45))&gt;0,INDEX('Dados'!$U$92:$U$123,$P$45),"—"))</f>
        <v/>
      </c>
      <c r="I85" s="18">
        <f>IF($P$45="","",INDEX('Dados'!$F$92:$F$123,$P$45))</f>
        <v/>
      </c>
      <c r="J85" s="18">
        <f>IF($P$45="","",INDEX('Dados'!$V$92:$V$123,$P$45))</f>
        <v/>
      </c>
    </row>
    <row r="86" ht="37" customHeight="1">
      <c r="A86" s="43">
        <f>IF($P$46="","",INDEX('Dados'!$B$92:$B$123,$P$46))</f>
        <v/>
      </c>
      <c r="B86" s="10">
        <f>IF($P$46="","",INDEX('Dados'!$M$92:$M$123,$P$46)&amp;" · média "&amp;INDEX('Dados'!$N$92:$N$123,$P$46))</f>
        <v/>
      </c>
      <c r="D86" s="23">
        <f>IF($P$46="","","DT "&amp;INDEX('Dados'!$O$92:$O$123,$P$46)&amp;" · TR +"&amp;INDEX('Dados'!$P$92:$P$123,$P$46))</f>
        <v/>
      </c>
      <c r="F86" s="10">
        <f>IF($P$46="","",INDEX('Dados'!$AE$92:$AE$123,$P$46))</f>
        <v/>
      </c>
      <c r="H86" s="23">
        <f>IF($P$46="","",IF(LEN(INDEX('Dados'!$U$92:$U$123,$P$46))&gt;0,INDEX('Dados'!$U$92:$U$123,$P$46),"—"))</f>
        <v/>
      </c>
      <c r="I86" s="23">
        <f>IF($P$46="","",INDEX('Dados'!$F$92:$F$123,$P$46))</f>
        <v/>
      </c>
      <c r="J86" s="23">
        <f>IF($P$46="","",INDEX('Dados'!$V$92:$V$123,$P$46))</f>
        <v/>
      </c>
    </row>
    <row r="87" ht="37" customHeight="1">
      <c r="A87" s="31">
        <f>IF($P$47="","",INDEX('Dados'!$B$92:$B$123,$P$47))</f>
        <v/>
      </c>
      <c r="B87" s="5">
        <f>IF($P$47="","",INDEX('Dados'!$M$92:$M$123,$P$47)&amp;" · média "&amp;INDEX('Dados'!$N$92:$N$123,$P$47))</f>
        <v/>
      </c>
      <c r="D87" s="18">
        <f>IF($P$47="","","DT "&amp;INDEX('Dados'!$O$92:$O$123,$P$47)&amp;" · TR +"&amp;INDEX('Dados'!$P$92:$P$123,$P$47))</f>
        <v/>
      </c>
      <c r="F87" s="5">
        <f>IF($P$47="","",INDEX('Dados'!$AE$92:$AE$123,$P$47))</f>
        <v/>
      </c>
      <c r="H87" s="18">
        <f>IF($P$47="","",IF(LEN(INDEX('Dados'!$U$92:$U$123,$P$47))&gt;0,INDEX('Dados'!$U$92:$U$123,$P$47),"—"))</f>
        <v/>
      </c>
      <c r="I87" s="18">
        <f>IF($P$47="","",INDEX('Dados'!$F$92:$F$123,$P$47))</f>
        <v/>
      </c>
      <c r="J87" s="18">
        <f>IF($P$47="","",INDEX('Dados'!$V$92:$V$123,$P$47))</f>
        <v/>
      </c>
    </row>
    <row r="88" ht="37" customHeight="1">
      <c r="A88" s="43">
        <f>IF($P$48="","",INDEX('Dados'!$B$92:$B$123,$P$48))</f>
        <v/>
      </c>
      <c r="B88" s="10">
        <f>IF($P$48="","",INDEX('Dados'!$M$92:$M$123,$P$48)&amp;" · média "&amp;INDEX('Dados'!$N$92:$N$123,$P$48))</f>
        <v/>
      </c>
      <c r="D88" s="23">
        <f>IF($P$48="","","DT "&amp;INDEX('Dados'!$O$92:$O$123,$P$48)&amp;" · TR +"&amp;INDEX('Dados'!$P$92:$P$123,$P$48))</f>
        <v/>
      </c>
      <c r="F88" s="10">
        <f>IF($P$48="","",INDEX('Dados'!$AE$92:$AE$123,$P$48))</f>
        <v/>
      </c>
      <c r="H88" s="23">
        <f>IF($P$48="","",IF(LEN(INDEX('Dados'!$U$92:$U$123,$P$48))&gt;0,INDEX('Dados'!$U$92:$U$123,$P$48),"—"))</f>
        <v/>
      </c>
      <c r="I88" s="23">
        <f>IF($P$48="","",INDEX('Dados'!$F$92:$F$123,$P$48))</f>
        <v/>
      </c>
      <c r="J88" s="23">
        <f>IF($P$48="","",INDEX('Dados'!$V$92:$V$123,$P$48))</f>
        <v/>
      </c>
    </row>
    <row r="89" ht="37" customHeight="1">
      <c r="A89" s="31">
        <f>IF($P$49="","",INDEX('Dados'!$B$92:$B$123,$P$49))</f>
        <v/>
      </c>
      <c r="B89" s="5">
        <f>IF($P$49="","",INDEX('Dados'!$M$92:$M$123,$P$49)&amp;" · média "&amp;INDEX('Dados'!$N$92:$N$123,$P$49))</f>
        <v/>
      </c>
      <c r="D89" s="18">
        <f>IF($P$49="","","DT "&amp;INDEX('Dados'!$O$92:$O$123,$P$49)&amp;" · TR +"&amp;INDEX('Dados'!$P$92:$P$123,$P$49))</f>
        <v/>
      </c>
      <c r="F89" s="5">
        <f>IF($P$49="","",INDEX('Dados'!$AE$92:$AE$123,$P$49))</f>
        <v/>
      </c>
      <c r="H89" s="18">
        <f>IF($P$49="","",IF(LEN(INDEX('Dados'!$U$92:$U$123,$P$49))&gt;0,INDEX('Dados'!$U$92:$U$123,$P$49),"—"))</f>
        <v/>
      </c>
      <c r="I89" s="18">
        <f>IF($P$49="","",INDEX('Dados'!$F$92:$F$123,$P$49))</f>
        <v/>
      </c>
      <c r="J89" s="18">
        <f>IF($P$49="","",INDEX('Dados'!$V$92:$V$123,$P$49))</f>
        <v/>
      </c>
    </row>
    <row r="90" ht="37" customHeight="1">
      <c r="A90" s="43">
        <f>IF($P$50="","",INDEX('Dados'!$B$92:$B$123,$P$50))</f>
        <v/>
      </c>
      <c r="B90" s="10">
        <f>IF($P$50="","",INDEX('Dados'!$M$92:$M$123,$P$50)&amp;" · média "&amp;INDEX('Dados'!$N$92:$N$123,$P$50))</f>
        <v/>
      </c>
      <c r="D90" s="23">
        <f>IF($P$50="","","DT "&amp;INDEX('Dados'!$O$92:$O$123,$P$50)&amp;" · TR +"&amp;INDEX('Dados'!$P$92:$P$123,$P$50))</f>
        <v/>
      </c>
      <c r="F90" s="10">
        <f>IF($P$50="","",INDEX('Dados'!$AE$92:$AE$123,$P$50))</f>
        <v/>
      </c>
      <c r="H90" s="23">
        <f>IF($P$50="","",IF(LEN(INDEX('Dados'!$U$92:$U$123,$P$50))&gt;0,INDEX('Dados'!$U$92:$U$123,$P$50),"—"))</f>
        <v/>
      </c>
      <c r="I90" s="23">
        <f>IF($P$50="","",INDEX('Dados'!$F$92:$F$123,$P$50))</f>
        <v/>
      </c>
      <c r="J90" s="23">
        <f>IF($P$50="","",INDEX('Dados'!$V$92:$V$123,$P$50))</f>
        <v/>
      </c>
    </row>
    <row r="91" ht="37" customHeight="1">
      <c r="A91" s="31">
        <f>IF($P$51="","",INDEX('Dados'!$B$92:$B$123,$P$51))</f>
        <v/>
      </c>
      <c r="B91" s="5">
        <f>IF($P$51="","",INDEX('Dados'!$M$92:$M$123,$P$51)&amp;" · média "&amp;INDEX('Dados'!$N$92:$N$123,$P$51))</f>
        <v/>
      </c>
      <c r="D91" s="18">
        <f>IF($P$51="","","DT "&amp;INDEX('Dados'!$O$92:$O$123,$P$51)&amp;" · TR +"&amp;INDEX('Dados'!$P$92:$P$123,$P$51))</f>
        <v/>
      </c>
      <c r="F91" s="5">
        <f>IF($P$51="","",INDEX('Dados'!$AE$92:$AE$123,$P$51))</f>
        <v/>
      </c>
      <c r="H91" s="18">
        <f>IF($P$51="","",IF(LEN(INDEX('Dados'!$U$92:$U$123,$P$51))&gt;0,INDEX('Dados'!$U$92:$U$123,$P$51),"—"))</f>
        <v/>
      </c>
      <c r="I91" s="18">
        <f>IF($P$51="","",INDEX('Dados'!$F$92:$F$123,$P$51))</f>
        <v/>
      </c>
      <c r="J91" s="18">
        <f>IF($P$51="","",INDEX('Dados'!$V$92:$V$123,$P$51))</f>
        <v/>
      </c>
    </row>
    <row r="92" ht="37" customHeight="1">
      <c r="A92" s="43">
        <f>IF($P$52="","",INDEX('Dados'!$B$92:$B$123,$P$52))</f>
        <v/>
      </c>
      <c r="B92" s="10">
        <f>IF($P$52="","",INDEX('Dados'!$M$92:$M$123,$P$52)&amp;" · média "&amp;INDEX('Dados'!$N$92:$N$123,$P$52))</f>
        <v/>
      </c>
      <c r="D92" s="23">
        <f>IF($P$52="","","DT "&amp;INDEX('Dados'!$O$92:$O$123,$P$52)&amp;" · TR +"&amp;INDEX('Dados'!$P$92:$P$123,$P$52))</f>
        <v/>
      </c>
      <c r="F92" s="10">
        <f>IF($P$52="","",INDEX('Dados'!$AE$92:$AE$123,$P$52))</f>
        <v/>
      </c>
      <c r="H92" s="23">
        <f>IF($P$52="","",IF(LEN(INDEX('Dados'!$U$92:$U$123,$P$52))&gt;0,INDEX('Dados'!$U$92:$U$123,$P$52),"—"))</f>
        <v/>
      </c>
      <c r="I92" s="23">
        <f>IF($P$52="","",INDEX('Dados'!$F$92:$F$123,$P$52))</f>
        <v/>
      </c>
      <c r="J92" s="23">
        <f>IF($P$52="","",INDEX('Dados'!$V$92:$V$123,$P$52))</f>
        <v/>
      </c>
    </row>
    <row r="93"/>
    <row r="94"/>
    <row r="95"/>
    <row r="96" ht="20" customHeight="1">
      <c r="A96" s="13" t="inlineStr">
        <is>
          <t>Ficha completa (texto do livro)</t>
        </is>
      </c>
    </row>
    <row r="97" ht="26" customHeight="1">
      <c r="A97" s="9" t="inlineStr">
        <is>
          <t>Ver criatura</t>
        </is>
      </c>
      <c r="B97" s="4" t="n"/>
      <c r="C97" s="25" t="n"/>
      <c r="D97" s="17" t="n"/>
      <c r="K97" s="19">
        <f>IF(S97&gt;0,"O Google leu como fórmula: escolha de novo na lista.","")</f>
        <v/>
      </c>
      <c r="N97" s="2">
        <f>IFERROR(MATCH($R$97,'Dados'!$B$92:$B$123,0),"")</f>
        <v/>
      </c>
      <c r="R97" s="2">
        <f>IF(ISERROR($B$97),"",IF(ISBLANK($B$97),"",$B$97))</f>
        <v/>
      </c>
      <c r="S97" s="2">
        <f>ISERROR($B$97)*1</f>
        <v/>
      </c>
    </row>
    <row r="98">
      <c r="A98" s="5">
        <f>IF(ISNUMBER($N$97),INDEX('Dados'!$B$92:$B$123,$N$97)&amp;"  ·  "&amp;INDEX('Dados'!$C$92:$C$123,$N$97)&amp;" · "&amp;INDEX('Dados'!$AL$92:$AL$123,$N$97)&amp;" · faixa "&amp;INDEX('Dados'!$D$92:$D$123,$N$97)&amp;IF(INDEX('Dados'!$F$92:$F$123,$N$97)&gt;1," · "&amp;INDEX('Dados'!$F$92:$F$123,$N$97)&amp;" fases",IF(INDEX('Dados'!$C$92:$C$123,$N$97)="Boss"," · fase única","")),"")</f>
        <v/>
      </c>
    </row>
    <row r="99">
      <c r="A99" s="5">
        <f>IF(ISNUMBER($N$97),INDEX('Dados'!$Y$92:$Y$123,$N$97),"")</f>
        <v/>
      </c>
    </row>
    <row r="100">
      <c r="A100" s="5">
        <f>IF(ISNUMBER($N$97),"PV "&amp;INDEX('Dados'!$G$92:$G$123,$N$97)&amp;"   Defesa "&amp;INDEX('Dados'!$H$92:$H$123,$N$97)&amp;"   RD "&amp;INDEX('Dados'!$I$92:$I$123,$N$97)&amp;"   Tenacidade "&amp;INDEX('Dados'!$J$92:$J$123,$N$97)&amp;"   VEL "&amp;INDEX('Dados'!$K$92:$K$123,$N$97),"")</f>
        <v/>
      </c>
    </row>
    <row r="101">
      <c r="A101" s="5">
        <f>IF(ISNUMBER($N$97),"Ataque +"&amp;INDEX('Dados'!$L$92:$L$123,$N$97)&amp;"    DT dos efeitos "&amp;INDEX('Dados'!$O$92:$O$123,$N$97)&amp;"    Teste de Resistência +"&amp;INDEX('Dados'!$P$92:$P$123,$N$97),"")</f>
        <v/>
      </c>
    </row>
    <row r="102">
      <c r="A102" s="5">
        <f>IF(ISNUMBER($N$97),"Fraquezas: "&amp;INDEX('Dados'!$AE$92:$AE$123,$N$97)&amp;"    Resistências: "&amp;IF(LEN(INDEX('Dados'!$U$92:$U$123,$N$97))&gt;0,INDEX('Dados'!$U$92:$U$123,$N$97),"—"),"")</f>
        <v/>
      </c>
    </row>
    <row r="103">
      <c r="A103" s="8" t="inlineStr">
        <is>
          <t>Fase · tipo</t>
        </is>
      </c>
      <c r="B103" s="8" t="inlineStr">
        <is>
          <t>Ataques e ações (texto do livro)</t>
        </is>
      </c>
      <c r="C103" s="20" t="n"/>
      <c r="D103" s="20" t="n"/>
      <c r="E103" s="20" t="n"/>
      <c r="F103" s="20" t="n"/>
      <c r="G103" s="20" t="n"/>
      <c r="H103" s="20" t="n"/>
      <c r="I103" s="20" t="n"/>
      <c r="J103" s="20" t="n"/>
      <c r="K103" s="20" t="n"/>
      <c r="L103" s="20" t="n"/>
    </row>
    <row r="104" ht="37" customHeight="1">
      <c r="A104" s="31">
        <f>IF(ISNUMBER($O$104),IF(INDEX('Dados'!$C$142:$C$257,$O$104)=0,INDEX('Dados'!$E$142:$E$257,$O$104),"Fase "&amp;INDEX('Dados'!$C$142:$C$257,$O$104)&amp;" · "&amp;INDEX('Dados'!$E$142:$E$257,$O$104)),"")</f>
        <v/>
      </c>
      <c r="B104" s="5">
        <f>IF(ISNUMBER($O$104),INDEX('Dados'!$H$142:$H$257,$O$104),"")</f>
        <v/>
      </c>
      <c r="O104" s="2">
        <f>IF(ISNUMBER($N$97),IFERROR(MATCH(INDEX('Dados'!$B$92:$B$123,$N$97)&amp;"|1",'Dados'!$A$142:$A$257,0),""),"")</f>
        <v/>
      </c>
    </row>
    <row r="105" ht="37" customHeight="1">
      <c r="A105" s="43">
        <f>IF(ISNUMBER($O$105),IF(INDEX('Dados'!$C$142:$C$257,$O$105)=0,INDEX('Dados'!$E$142:$E$257,$O$105),"Fase "&amp;INDEX('Dados'!$C$142:$C$257,$O$105)&amp;" · "&amp;INDEX('Dados'!$E$142:$E$257,$O$105)),"")</f>
        <v/>
      </c>
      <c r="B105" s="10">
        <f>IF(ISNUMBER($O$105),INDEX('Dados'!$H$142:$H$257,$O$105),"")</f>
        <v/>
      </c>
      <c r="O105" s="2">
        <f>IF(ISNUMBER($N$97),IFERROR(MATCH(INDEX('Dados'!$B$92:$B$123,$N$97)&amp;"|2",'Dados'!$A$142:$A$257,0),""),"")</f>
        <v/>
      </c>
    </row>
    <row r="106" ht="37" customHeight="1">
      <c r="A106" s="31">
        <f>IF(ISNUMBER($O$106),IF(INDEX('Dados'!$C$142:$C$257,$O$106)=0,INDEX('Dados'!$E$142:$E$257,$O$106),"Fase "&amp;INDEX('Dados'!$C$142:$C$257,$O$106)&amp;" · "&amp;INDEX('Dados'!$E$142:$E$257,$O$106)),"")</f>
        <v/>
      </c>
      <c r="B106" s="5">
        <f>IF(ISNUMBER($O$106),INDEX('Dados'!$H$142:$H$257,$O$106),"")</f>
        <v/>
      </c>
      <c r="O106" s="2">
        <f>IF(ISNUMBER($N$97),IFERROR(MATCH(INDEX('Dados'!$B$92:$B$123,$N$97)&amp;"|3",'Dados'!$A$142:$A$257,0),""),"")</f>
        <v/>
      </c>
    </row>
    <row r="107" ht="37" customHeight="1">
      <c r="A107" s="43">
        <f>IF(ISNUMBER($O$107),IF(INDEX('Dados'!$C$142:$C$257,$O$107)=0,INDEX('Dados'!$E$142:$E$257,$O$107),"Fase "&amp;INDEX('Dados'!$C$142:$C$257,$O$107)&amp;" · "&amp;INDEX('Dados'!$E$142:$E$257,$O$107)),"")</f>
        <v/>
      </c>
      <c r="B107" s="10">
        <f>IF(ISNUMBER($O$107),INDEX('Dados'!$H$142:$H$257,$O$107),"")</f>
        <v/>
      </c>
      <c r="O107" s="2">
        <f>IF(ISNUMBER($N$97),IFERROR(MATCH(INDEX('Dados'!$B$92:$B$123,$N$97)&amp;"|4",'Dados'!$A$142:$A$257,0),""),"")</f>
        <v/>
      </c>
    </row>
    <row r="108" ht="37" customHeight="1">
      <c r="A108" s="31">
        <f>IF(ISNUMBER($O$108),IF(INDEX('Dados'!$C$142:$C$257,$O$108)=0,INDEX('Dados'!$E$142:$E$257,$O$108),"Fase "&amp;INDEX('Dados'!$C$142:$C$257,$O$108)&amp;" · "&amp;INDEX('Dados'!$E$142:$E$257,$O$108)),"")</f>
        <v/>
      </c>
      <c r="B108" s="5">
        <f>IF(ISNUMBER($O$108),INDEX('Dados'!$H$142:$H$257,$O$108),"")</f>
        <v/>
      </c>
      <c r="O108" s="2">
        <f>IF(ISNUMBER($N$97),IFERROR(MATCH(INDEX('Dados'!$B$92:$B$123,$N$97)&amp;"|5",'Dados'!$A$142:$A$257,0),""),"")</f>
        <v/>
      </c>
    </row>
    <row r="109" ht="37" customHeight="1">
      <c r="A109" s="43">
        <f>IF(ISNUMBER($O$109),IF(INDEX('Dados'!$C$142:$C$257,$O$109)=0,INDEX('Dados'!$E$142:$E$257,$O$109),"Fase "&amp;INDEX('Dados'!$C$142:$C$257,$O$109)&amp;" · "&amp;INDEX('Dados'!$E$142:$E$257,$O$109)),"")</f>
        <v/>
      </c>
      <c r="B109" s="10">
        <f>IF(ISNUMBER($O$109),INDEX('Dados'!$H$142:$H$257,$O$109),"")</f>
        <v/>
      </c>
      <c r="O109" s="2">
        <f>IF(ISNUMBER($N$97),IFERROR(MATCH(INDEX('Dados'!$B$92:$B$123,$N$97)&amp;"|6",'Dados'!$A$142:$A$257,0),""),"")</f>
        <v/>
      </c>
    </row>
    <row r="110" ht="37" customHeight="1">
      <c r="A110" s="31">
        <f>IF(ISNUMBER($O$110),IF(INDEX('Dados'!$C$142:$C$257,$O$110)=0,INDEX('Dados'!$E$142:$E$257,$O$110),"Fase "&amp;INDEX('Dados'!$C$142:$C$257,$O$110)&amp;" · "&amp;INDEX('Dados'!$E$142:$E$257,$O$110)),"")</f>
        <v/>
      </c>
      <c r="B110" s="5">
        <f>IF(ISNUMBER($O$110),INDEX('Dados'!$H$142:$H$257,$O$110),"")</f>
        <v/>
      </c>
      <c r="O110" s="2">
        <f>IF(ISNUMBER($N$97),IFERROR(MATCH(INDEX('Dados'!$B$92:$B$123,$N$97)&amp;"|7",'Dados'!$A$142:$A$257,0),""),"")</f>
        <v/>
      </c>
    </row>
    <row r="111" ht="37" customHeight="1">
      <c r="A111" s="43">
        <f>IF(ISNUMBER($O$111),IF(INDEX('Dados'!$C$142:$C$257,$O$111)=0,INDEX('Dados'!$E$142:$E$257,$O$111),"Fase "&amp;INDEX('Dados'!$C$142:$C$257,$O$111)&amp;" · "&amp;INDEX('Dados'!$E$142:$E$257,$O$111)),"")</f>
        <v/>
      </c>
      <c r="B111" s="10">
        <f>IF(ISNUMBER($O$111),INDEX('Dados'!$H$142:$H$257,$O$111),"")</f>
        <v/>
      </c>
      <c r="O111" s="2">
        <f>IF(ISNUMBER($N$97),IFERROR(MATCH(INDEX('Dados'!$B$92:$B$123,$N$97)&amp;"|8",'Dados'!$A$142:$A$257,0),""),"")</f>
        <v/>
      </c>
    </row>
    <row r="112" ht="37" customHeight="1">
      <c r="A112" s="31">
        <f>IF(ISNUMBER($O$112),IF(INDEX('Dados'!$C$142:$C$257,$O$112)=0,INDEX('Dados'!$E$142:$E$257,$O$112),"Fase "&amp;INDEX('Dados'!$C$142:$C$257,$O$112)&amp;" · "&amp;INDEX('Dados'!$E$142:$E$257,$O$112)),"")</f>
        <v/>
      </c>
      <c r="B112" s="5">
        <f>IF(ISNUMBER($O$112),INDEX('Dados'!$H$142:$H$257,$O$112),"")</f>
        <v/>
      </c>
      <c r="O112" s="2">
        <f>IF(ISNUMBER($N$97),IFERROR(MATCH(INDEX('Dados'!$B$92:$B$123,$N$97)&amp;"|9",'Dados'!$A$142:$A$257,0),""),"")</f>
        <v/>
      </c>
    </row>
    <row r="113" ht="37" customHeight="1">
      <c r="A113" s="43">
        <f>IF(ISNUMBER($O$113),IF(INDEX('Dados'!$C$142:$C$257,$O$113)=0,INDEX('Dados'!$E$142:$E$257,$O$113),"Fase "&amp;INDEX('Dados'!$C$142:$C$257,$O$113)&amp;" · "&amp;INDEX('Dados'!$E$142:$E$257,$O$113)),"")</f>
        <v/>
      </c>
      <c r="B113" s="10">
        <f>IF(ISNUMBER($O$113),INDEX('Dados'!$H$142:$H$257,$O$113),"")</f>
        <v/>
      </c>
      <c r="O113" s="2">
        <f>IF(ISNUMBER($N$97),IFERROR(MATCH(INDEX('Dados'!$B$92:$B$123,$N$97)&amp;"|10",'Dados'!$A$142:$A$257,0),""),"")</f>
        <v/>
      </c>
    </row>
    <row r="114" ht="37" customHeight="1">
      <c r="A114" s="31">
        <f>IF(ISNUMBER($O$114),IF(INDEX('Dados'!$C$142:$C$257,$O$114)=0,INDEX('Dados'!$E$142:$E$257,$O$114),"Fase "&amp;INDEX('Dados'!$C$142:$C$257,$O$114)&amp;" · "&amp;INDEX('Dados'!$E$142:$E$257,$O$114)),"")</f>
        <v/>
      </c>
      <c r="B114" s="5">
        <f>IF(ISNUMBER($O$114),INDEX('Dados'!$H$142:$H$257,$O$114),"")</f>
        <v/>
      </c>
      <c r="O114" s="2">
        <f>IF(ISNUMBER($N$97),IFERROR(MATCH(INDEX('Dados'!$B$92:$B$123,$N$97)&amp;"|11",'Dados'!$A$142:$A$257,0),""),"")</f>
        <v/>
      </c>
    </row>
    <row r="115" ht="37" customHeight="1">
      <c r="A115" s="43">
        <f>IF(ISNUMBER($O$115),IF(INDEX('Dados'!$C$142:$C$257,$O$115)=0,INDEX('Dados'!$E$142:$E$257,$O$115),"Fase "&amp;INDEX('Dados'!$C$142:$C$257,$O$115)&amp;" · "&amp;INDEX('Dados'!$E$142:$E$257,$O$115)),"")</f>
        <v/>
      </c>
      <c r="B115" s="10">
        <f>IF(ISNUMBER($O$115),INDEX('Dados'!$H$142:$H$257,$O$115),"")</f>
        <v/>
      </c>
      <c r="O115" s="2">
        <f>IF(ISNUMBER($N$97),IFERROR(MATCH(INDEX('Dados'!$B$92:$B$123,$N$97)&amp;"|12",'Dados'!$A$142:$A$257,0),""),"")</f>
        <v/>
      </c>
    </row>
    <row r="116"/>
    <row r="117" ht="26" customHeight="1">
      <c r="A117" s="5">
        <f>IF(ISNUMBER($N$97),"Na Fila: VEL "&amp;INDEX('Dados'!$K$92:$K$123,$N$97)&amp;", "&amp;INDEX('Dados'!$W$92:$W$123,$N$97)&amp;". "&amp;INDEX('Dados'!$X$92:$X$123,$N$97),"")</f>
        <v/>
      </c>
    </row>
    <row r="118">
      <c r="A118" s="5">
        <f>IF(ISNUMBER($N$97),IFERROR("Fase 1 — "&amp;INDEX('Dados'!$D$127:$D$138,MATCH(INDEX('Dados'!$B$92:$B$123,$N$97)&amp;"|1",'Dados'!$A$127:$A$138,0))&amp;" ("&amp;INDEX('Dados'!$E$127:$E$138,MATCH(INDEX('Dados'!$B$92:$B$123,$N$97)&amp;"|1",'Dados'!$A$127:$A$138,0))&amp;" a "&amp;INDEX('Dados'!$F$127:$F$138,MATCH(INDEX('Dados'!$B$92:$B$123,$N$97)&amp;"|1",'Dados'!$A$127:$A$138,0))&amp;" PV): Fraquezas "&amp;INDEX('Dados'!$G$127:$G$138,MATCH(INDEX('Dados'!$B$92:$B$123,$N$97)&amp;"|1",'Dados'!$A$127:$A$138,0))&amp;", "&amp;INDEX('Dados'!$H$127:$H$138,MATCH(INDEX('Dados'!$B$92:$B$123,$N$97)&amp;"|1",'Dados'!$A$127:$A$138,0))&amp;", "&amp;INDEX('Dados'!$I$127:$I$138,MATCH(INDEX('Dados'!$B$92:$B$123,$N$97)&amp;"|1",'Dados'!$A$127:$A$138,0))&amp;", "&amp;INDEX('Dados'!$J$127:$J$138,MATCH(INDEX('Dados'!$B$92:$B$123,$N$97)&amp;"|1",'Dados'!$A$127:$A$138,0))&amp;"; Tenacidade "&amp;INDEX('Dados'!$K$127:$K$138,MATCH(INDEX('Dados'!$B$92:$B$123,$N$97)&amp;"|1",'Dados'!$A$127:$A$138,0))&amp;"; "&amp;INDEX('Dados'!$L$127:$L$138,MATCH(INDEX('Dados'!$B$92:$B$123,$N$97)&amp;"|1",'Dados'!$A$127:$A$138,0)),""),"")</f>
        <v/>
      </c>
    </row>
    <row r="119">
      <c r="A119" s="5">
        <f>IF(ISNUMBER($N$97),IFERROR("Fase 2 — "&amp;INDEX('Dados'!$D$127:$D$138,MATCH(INDEX('Dados'!$B$92:$B$123,$N$97)&amp;"|2",'Dados'!$A$127:$A$138,0))&amp;" ("&amp;INDEX('Dados'!$E$127:$E$138,MATCH(INDEX('Dados'!$B$92:$B$123,$N$97)&amp;"|2",'Dados'!$A$127:$A$138,0))&amp;" a "&amp;INDEX('Dados'!$F$127:$F$138,MATCH(INDEX('Dados'!$B$92:$B$123,$N$97)&amp;"|2",'Dados'!$A$127:$A$138,0))&amp;" PV): Fraquezas "&amp;INDEX('Dados'!$G$127:$G$138,MATCH(INDEX('Dados'!$B$92:$B$123,$N$97)&amp;"|2",'Dados'!$A$127:$A$138,0))&amp;", "&amp;INDEX('Dados'!$H$127:$H$138,MATCH(INDEX('Dados'!$B$92:$B$123,$N$97)&amp;"|2",'Dados'!$A$127:$A$138,0))&amp;", "&amp;INDEX('Dados'!$I$127:$I$138,MATCH(INDEX('Dados'!$B$92:$B$123,$N$97)&amp;"|2",'Dados'!$A$127:$A$138,0))&amp;", "&amp;INDEX('Dados'!$J$127:$J$138,MATCH(INDEX('Dados'!$B$92:$B$123,$N$97)&amp;"|2",'Dados'!$A$127:$A$138,0))&amp;"; Tenacidade "&amp;INDEX('Dados'!$K$127:$K$138,MATCH(INDEX('Dados'!$B$92:$B$123,$N$97)&amp;"|2",'Dados'!$A$127:$A$138,0))&amp;"; "&amp;INDEX('Dados'!$L$127:$L$138,MATCH(INDEX('Dados'!$B$92:$B$123,$N$97)&amp;"|2",'Dados'!$A$127:$A$138,0)),""),"")</f>
        <v/>
      </c>
    </row>
    <row r="120">
      <c r="A120" s="5">
        <f>IF(ISNUMBER($N$97),IFERROR("Fase 3 — "&amp;INDEX('Dados'!$D$127:$D$138,MATCH(INDEX('Dados'!$B$92:$B$123,$N$97)&amp;"|3",'Dados'!$A$127:$A$138,0))&amp;" ("&amp;INDEX('Dados'!$E$127:$E$138,MATCH(INDEX('Dados'!$B$92:$B$123,$N$97)&amp;"|3",'Dados'!$A$127:$A$138,0))&amp;" a "&amp;INDEX('Dados'!$F$127:$F$138,MATCH(INDEX('Dados'!$B$92:$B$123,$N$97)&amp;"|3",'Dados'!$A$127:$A$138,0))&amp;" PV): Fraquezas "&amp;INDEX('Dados'!$G$127:$G$138,MATCH(INDEX('Dados'!$B$92:$B$123,$N$97)&amp;"|3",'Dados'!$A$127:$A$138,0))&amp;", "&amp;INDEX('Dados'!$H$127:$H$138,MATCH(INDEX('Dados'!$B$92:$B$123,$N$97)&amp;"|3",'Dados'!$A$127:$A$138,0))&amp;", "&amp;INDEX('Dados'!$I$127:$I$138,MATCH(INDEX('Dados'!$B$92:$B$123,$N$97)&amp;"|3",'Dados'!$A$127:$A$138,0))&amp;", "&amp;INDEX('Dados'!$J$127:$J$138,MATCH(INDEX('Dados'!$B$92:$B$123,$N$97)&amp;"|3",'Dados'!$A$127:$A$138,0))&amp;"; Tenacidade "&amp;INDEX('Dados'!$K$127:$K$138,MATCH(INDEX('Dados'!$B$92:$B$123,$N$97)&amp;"|3",'Dados'!$A$127:$A$138,0))&amp;"; "&amp;INDEX('Dados'!$L$127:$L$138,MATCH(INDEX('Dados'!$B$92:$B$123,$N$97)&amp;"|3",'Dados'!$A$127:$A$138,0)),""),"")</f>
        <v/>
      </c>
    </row>
    <row r="121" ht="26" customHeight="1">
      <c r="A121" s="12" t="inlineStr">
        <is>
          <t>Os cinco inimigos com Resistência: Capataz Oco, Centurião Catafracto, Mestre de Cerimônias Mascarado, Executora de Contrato, Arcanjo de Ferro-Vazio (28.11). As listas de Encontros e Combate leem o Bestiário e os inimigos da campanha.</t>
        </is>
      </c>
    </row>
  </sheetData>
  <mergeCells count="147">
    <mergeCell ref="B91:C91"/>
    <mergeCell ref="D60:E60"/>
    <mergeCell ref="B113:L113"/>
    <mergeCell ref="B109:L109"/>
    <mergeCell ref="D84:E84"/>
    <mergeCell ref="F84:G84"/>
    <mergeCell ref="B115:L115"/>
    <mergeCell ref="B77:C77"/>
    <mergeCell ref="D77:E77"/>
    <mergeCell ref="B86:C86"/>
    <mergeCell ref="D86:E86"/>
    <mergeCell ref="F86:G86"/>
    <mergeCell ref="B67:C67"/>
    <mergeCell ref="F80:G80"/>
    <mergeCell ref="B61:C61"/>
    <mergeCell ref="D61:E61"/>
    <mergeCell ref="D70:E70"/>
    <mergeCell ref="F70:G70"/>
    <mergeCell ref="F79:G79"/>
    <mergeCell ref="A100:L100"/>
    <mergeCell ref="B69:C69"/>
    <mergeCell ref="B78:C78"/>
    <mergeCell ref="D72:E72"/>
    <mergeCell ref="D78:E78"/>
    <mergeCell ref="F72:G72"/>
    <mergeCell ref="E6:L6"/>
    <mergeCell ref="B112:L112"/>
    <mergeCell ref="A102:L102"/>
    <mergeCell ref="D62:E62"/>
    <mergeCell ref="D56:E56"/>
    <mergeCell ref="D71:E71"/>
    <mergeCell ref="F56:G56"/>
    <mergeCell ref="F71:G71"/>
    <mergeCell ref="B64:C64"/>
    <mergeCell ref="D64:E64"/>
    <mergeCell ref="D73:E73"/>
    <mergeCell ref="B104:L104"/>
    <mergeCell ref="A119:L119"/>
    <mergeCell ref="B63:C63"/>
    <mergeCell ref="D88:E88"/>
    <mergeCell ref="B114:L114"/>
    <mergeCell ref="F57:G57"/>
    <mergeCell ref="F88:G88"/>
    <mergeCell ref="B106:L106"/>
    <mergeCell ref="B90:C90"/>
    <mergeCell ref="D90:E90"/>
    <mergeCell ref="F63:G63"/>
    <mergeCell ref="B66:C66"/>
    <mergeCell ref="A120:L120"/>
    <mergeCell ref="A3:L3"/>
    <mergeCell ref="F74:G74"/>
    <mergeCell ref="A55:L55"/>
    <mergeCell ref="F83:G83"/>
    <mergeCell ref="B10:D10"/>
    <mergeCell ref="D76:E76"/>
    <mergeCell ref="A5:L5"/>
    <mergeCell ref="F76:G76"/>
    <mergeCell ref="B9:D9"/>
    <mergeCell ref="E10:L10"/>
    <mergeCell ref="F85:G85"/>
    <mergeCell ref="D66:E66"/>
    <mergeCell ref="F66:G66"/>
    <mergeCell ref="D75:E75"/>
    <mergeCell ref="F75:G75"/>
    <mergeCell ref="A96:L96"/>
    <mergeCell ref="F62:G62"/>
    <mergeCell ref="B103:L103"/>
    <mergeCell ref="B84:C84"/>
    <mergeCell ref="F61:G61"/>
    <mergeCell ref="B80:C80"/>
    <mergeCell ref="B89:C89"/>
    <mergeCell ref="D89:E89"/>
    <mergeCell ref="B79:C79"/>
    <mergeCell ref="D79:E79"/>
    <mergeCell ref="F64:G64"/>
    <mergeCell ref="F73:G73"/>
    <mergeCell ref="F87:G87"/>
    <mergeCell ref="B72:C72"/>
    <mergeCell ref="D63:E63"/>
    <mergeCell ref="K9:L9"/>
    <mergeCell ref="B13:D13"/>
    <mergeCell ref="A118:L118"/>
    <mergeCell ref="B56:C56"/>
    <mergeCell ref="B71:C71"/>
    <mergeCell ref="F89:G89"/>
    <mergeCell ref="D65:E65"/>
    <mergeCell ref="B58:C58"/>
    <mergeCell ref="B105:L105"/>
    <mergeCell ref="K11:L11"/>
    <mergeCell ref="B60:C60"/>
    <mergeCell ref="B107:L107"/>
    <mergeCell ref="B57:C57"/>
    <mergeCell ref="B88:C88"/>
    <mergeCell ref="B82:C82"/>
    <mergeCell ref="D91:E91"/>
    <mergeCell ref="F91:G91"/>
    <mergeCell ref="K8:L8"/>
    <mergeCell ref="A121:L121"/>
    <mergeCell ref="B108:L108"/>
    <mergeCell ref="K97:L97"/>
    <mergeCell ref="B83:C83"/>
    <mergeCell ref="D83:E83"/>
    <mergeCell ref="B92:C92"/>
    <mergeCell ref="F77:G77"/>
    <mergeCell ref="K7:L7"/>
    <mergeCell ref="A15:L15"/>
    <mergeCell ref="D92:E92"/>
    <mergeCell ref="F92:G92"/>
    <mergeCell ref="A98:L98"/>
    <mergeCell ref="D67:E67"/>
    <mergeCell ref="B76:C76"/>
    <mergeCell ref="B85:C85"/>
    <mergeCell ref="D85:E85"/>
    <mergeCell ref="B75:C75"/>
    <mergeCell ref="D69:E69"/>
    <mergeCell ref="F69:G69"/>
    <mergeCell ref="B62:C62"/>
    <mergeCell ref="F78:G78"/>
    <mergeCell ref="B59:C59"/>
    <mergeCell ref="A99:L99"/>
    <mergeCell ref="F65:G65"/>
    <mergeCell ref="D80:E80"/>
    <mergeCell ref="A101:L101"/>
    <mergeCell ref="F59:G59"/>
    <mergeCell ref="B70:C70"/>
    <mergeCell ref="D57:E57"/>
    <mergeCell ref="B111:L111"/>
    <mergeCell ref="B8:C8"/>
    <mergeCell ref="B73:C73"/>
    <mergeCell ref="B87:C87"/>
    <mergeCell ref="D87:E87"/>
    <mergeCell ref="K12:L12"/>
    <mergeCell ref="F90:G90"/>
    <mergeCell ref="A117:L117"/>
    <mergeCell ref="B97:D97"/>
    <mergeCell ref="D58:E58"/>
    <mergeCell ref="F58:G58"/>
    <mergeCell ref="B65:C65"/>
    <mergeCell ref="F67:G67"/>
    <mergeCell ref="B74:C74"/>
    <mergeCell ref="D74:E74"/>
    <mergeCell ref="D82:E82"/>
    <mergeCell ref="F82:G82"/>
    <mergeCell ref="A1:L1"/>
    <mergeCell ref="F60:G60"/>
    <mergeCell ref="B110:L110"/>
    <mergeCell ref="D59:E59"/>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1">
    <cfRule type="expression" priority="4" dxfId="0">
      <formula>LEN(K11)&gt;0</formula>
    </cfRule>
  </conditionalFormatting>
  <conditionalFormatting sqref="K12">
    <cfRule type="expression" priority="5" dxfId="0">
      <formula>LEN(K12)&gt;0</formula>
    </cfRule>
  </conditionalFormatting>
  <conditionalFormatting sqref="K97">
    <cfRule type="expression" priority="6" dxfId="0">
      <formula>LEN(K97)&gt;0</formula>
    </cfRule>
  </conditionalFormatting>
  <dataValidations count="8">
    <dataValidation sqref="B6" showDropDown="0" showInputMessage="0" showErrorMessage="1" allowBlank="1" errorTitle="Fora da lista" error="Faixa: escolha um valor da lista. A planilha pode não reconhecer outro valor." type="list" errorStyle="warning">
      <formula1>'Dados'!$AX$6:$AX$11</formula1>
    </dataValidation>
    <dataValidation sqref="B7" showDropDown="0" showInputMessage="0" showErrorMessage="1" allowBlank="1" errorTitle="Fora da lista" error="Tipo: escolha um valor da lista. A planilha pode não reconhecer outro valor." type="list" errorStyle="warning">
      <formula1>'Dados'!$AY$6:$AY$9</formula1>
    </dataValidation>
    <dataValidation sqref="B8" showDropDown="0" showInputMessage="0" showErrorMessage="1" allowBlank="1" errorTitle="Fora da lista" error="Fraqueza (fase 1): escolha um valor da lista. A planilha pode não reconhecer outro valor." type="list" errorStyle="warning">
      <formula1>'Dados'!$AZ$6:$AZ$13</formula1>
    </dataValidation>
    <dataValidation sqref="B9" showDropDown="0" showInputMessage="0" showErrorMessage="1" allowBlank="1" errorTitle="Fora da lista" error="Facção ou origem: escolha um valor da lista. A planilha pode não reconhecer outro valor." type="list" errorStyle="warning">
      <formula1>'Dados'!$BA$6:$BA$19</formula1>
    </dataValidation>
    <dataValidation sqref="B10" showDropDown="0" showInputMessage="0" showErrorMessage="1" allowBlank="1" errorTitle="Fora da lista" error="Ambiente: escolha um valor da lista. A planilha pode não reconhecer outro valor." type="list" errorStyle="warning">
      <formula1>'Dados'!$BB$6:$BB$19</formula1>
    </dataValidation>
    <dataValidation sqref="B11" showDropDown="0" showInputMessage="0" showErrorMessage="1" allowBlank="1" errorTitle="Fora da lista" error="Só com Resistência?: escolha um valor da lista. A planilha pode não reconhecer outro valor." type="list" errorStyle="warning">
      <formula1>'Dados'!$AT$6:$AT$7</formula1>
    </dataValidation>
    <dataValidation sqref="B12" showDropDown="0" showInputMessage="0" showErrorMessage="1" allowBlank="1" errorTitle="Fora da lista" error="Só com fases?: escolha um valor da lista. A planilha pode não reconhecer outro valor." type="list" errorStyle="warning">
      <formula1>'Dados'!$AT$6:$AT$7</formula1>
    </dataValidation>
    <dataValidation sqref="B97" showDropDown="0" showInputMessage="0" showErrorMessage="1" allowBlank="1" errorTitle="Fora da lista" error="Ver criatura: escolha um valor da lista. A planilha pode não reconhecer outro valor." type="list" errorStyle="warning">
      <formula1>'Dados'!$AW$6:$AW$37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N122"/>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width="13" customWidth="1" min="44" max="44"/>
    <col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width="13" customWidth="1" min="52" max="52"/>
    <col hidden="1" width="13" customWidth="1" min="53" max="53"/>
    <col hidden="1" width="13" customWidth="1" min="54" max="54"/>
    <col hidden="1" width="13" customWidth="1" min="55" max="55"/>
    <col hidden="1" width="13" customWidth="1" min="56" max="56"/>
    <col hidden="1" width="13" customWidth="1" min="57" max="57"/>
    <col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s>
  <sheetData>
    <row r="1" ht="24" customHeight="1">
      <c r="A1" s="1" t="inlineStr">
        <is>
          <t>Encontros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Orçamento de 27.4, três encontros salvos, contrato da Fraqueza e encontro aleatório.</t>
        </is>
      </c>
    </row>
    <row r="4"/>
    <row r="5" ht="20" customHeight="1">
      <c r="A5" s="13" t="inlineStr">
        <is>
          <t>Parâmetros e orçamento (27.4)</t>
        </is>
      </c>
    </row>
    <row r="6">
      <c r="A6" s="8" t="inlineStr">
        <is>
          <t>Campo</t>
        </is>
      </c>
      <c r="B6" s="8" t="inlineStr">
        <is>
          <t>Valor</t>
        </is>
      </c>
      <c r="C6" s="20" t="n"/>
      <c r="D6" s="8" t="inlineStr">
        <is>
          <t>Troca opcional (preencha)</t>
        </is>
      </c>
      <c r="E6" s="20" t="n"/>
      <c r="F6" s="8" t="inlineStr">
        <is>
          <t>De onde vem</t>
        </is>
      </c>
      <c r="G6" s="20" t="n"/>
      <c r="H6" s="20" t="n"/>
      <c r="I6" s="20" t="n"/>
      <c r="J6" s="20" t="n"/>
      <c r="K6" s="8" t="inlineStr">
        <is>
          <t>Aviso</t>
        </is>
      </c>
      <c r="L6" s="20" t="n"/>
    </row>
    <row r="7" ht="26" customHeight="1">
      <c r="A7" s="9" t="inlineStr">
        <is>
          <t>Nº de PJs</t>
        </is>
      </c>
      <c r="B7" s="18">
        <f>IF(ISNUMBER($BJ$7),MIN(6,MAX(1,INT($BJ$7))),'Campanha'!$B$21)</f>
        <v/>
      </c>
      <c r="D7" s="16" t="n"/>
      <c r="E7" s="17" t="n"/>
      <c r="F7" s="14" t="inlineStr">
        <is>
          <t>Aba Campanha (nº de jogadores; vazio = nº de PJs do Grupo).</t>
        </is>
      </c>
      <c r="K7" s="19">
        <f>IF(BN7&gt;0,"O Google leu como fórmula: digite de novo com ' na frente.",IF(AND(ISNUMBER($BJ$7),OR($BJ$7&lt;1,$BJ$7&gt;6)),"Nº de PJs fora de 1 a 6: usando o limite",""))</f>
        <v/>
      </c>
      <c r="BJ7" s="2">
        <f>IF(ISERROR($D$7),"",IF(ISBLANK($D$7),"",$D$7))</f>
        <v/>
      </c>
      <c r="BN7" s="2">
        <f>ISERROR($D$7)*1</f>
        <v/>
      </c>
    </row>
    <row r="8" ht="26" customHeight="1">
      <c r="A8" s="21" t="inlineStr">
        <is>
          <t>Faixa do encontro</t>
        </is>
      </c>
      <c r="B8" s="23">
        <f>IF(LEN(IFERROR(INDEX('Dados'!$B$7:$B$11,MATCH($BJ$8,'Dados'!$AP$6:$AP$10,0)),""))&gt;0,IFERROR(INDEX('Dados'!$B$7:$B$11,MATCH($BJ$8,'Dados'!$AP$6:$AP$10,0)),""),'Campanha'!$B$19)</f>
        <v/>
      </c>
      <c r="D8" s="36" t="n"/>
      <c r="E8" s="17" t="n"/>
      <c r="F8" s="22" t="inlineStr">
        <is>
          <t>A faixa do inimigo é a faixa do grupo (28.4 passo 1).</t>
        </is>
      </c>
      <c r="K8" s="27">
        <f>IF(BN8&gt;0,"O Google leu como fórmula: escolha de novo na lista.","")</f>
        <v/>
      </c>
      <c r="N8" s="2">
        <f>MATCH($B$8,'Dados'!$B$7:$B$11,0)</f>
        <v/>
      </c>
      <c r="BJ8" s="2">
        <f>IF(ISERROR($D$8),"",IF(ISBLANK($D$8),"",$D$8))</f>
        <v/>
      </c>
      <c r="BN8" s="2">
        <f>ISERROR($D$8)*1</f>
        <v/>
      </c>
    </row>
    <row r="9" ht="26" customHeight="1">
      <c r="A9" s="9" t="inlineStr">
        <is>
          <t>Orçamento (grupo de 4)</t>
        </is>
      </c>
      <c r="B9" s="18">
        <f>INDEX('Dados'!$C$261:$C$265,$N$8)</f>
        <v/>
      </c>
      <c r="F9" s="14" t="inlineStr">
        <is>
          <t>27.4: orçamento = o dano que o grupo entrega em 4 Ciclos.</t>
        </is>
      </c>
    </row>
    <row r="10" ht="26" customHeight="1">
      <c r="A10" s="21" t="inlineStr">
        <is>
          <t>Dano do grupo por Ciclo (4)</t>
        </is>
      </c>
      <c r="B10" s="23">
        <f>INDEX('Dados'!$B$261:$B$265,$N$8)</f>
        <v/>
      </c>
      <c r="D10" s="30" t="n"/>
      <c r="E10" s="30" t="n"/>
      <c r="F10" s="22" t="inlineStr">
        <is>
          <t>27.4 (mesa de 4 personagens, 29.1).</t>
        </is>
      </c>
      <c r="K10" s="30" t="n"/>
      <c r="L10" s="30" t="n"/>
    </row>
    <row r="11" ht="26" customHeight="1">
      <c r="A11" s="9" t="inlineStr">
        <is>
          <t>Orçamento deste grupo</t>
        </is>
      </c>
      <c r="B11" s="18">
        <f>IF($B$7=4,$B$9,INT($B$9*$B$7/4))</f>
        <v/>
      </c>
      <c r="F11" s="5">
        <f>IF($B$7=4,"Igual a 27.4 (4 personagens).","Grupo de "&amp;$B$7&amp;": 27.4 × "&amp;$B$7&amp;"/4 — Sugestão da planilha — não é regra do livro (H5)")</f>
        <v/>
      </c>
      <c r="AK11" s="2">
        <f>IF(OR(LEN($BH$105)=0,$BH$105="Qualquer"),1,IF(COUNTIFS('Tabelas'!$AE$12:$AE$118,'Dados'!$E$92,'Tabelas'!$AF$12:$AF$118,$BH$105)+IF(LEN('Dados'!$AD$92)=0,0,COUNTIFS('Tabelas'!$AE$12:$AE$118,'Dados'!$AD$92,'Tabelas'!$AF$12:$AF$118,$BH$105))&gt;0,1,0))</f>
        <v/>
      </c>
      <c r="AL11" s="2">
        <f>0+IF(AND('Dados'!$C$92="Comum",'Dados'!$D$92=$N$105),1,0)*$AK$11</f>
        <v/>
      </c>
      <c r="AM11" s="2">
        <f>0+IF(AND('Dados'!$C$92="Elite",'Dados'!$D$92=$N$105),1,0)*$AK$11</f>
        <v/>
      </c>
      <c r="AN11" s="2">
        <f>0+IF(AND('Dados'!$C$92="Boss",'Dados'!$D$92=$N$105),1,0)*$AK$11</f>
        <v/>
      </c>
      <c r="AO11" s="2">
        <f>0+IF(AND('Dados'!$C$92="Comum",'Dados'!$D$92=$N$105),1,0)</f>
        <v/>
      </c>
      <c r="AP11" s="2">
        <f>0+IF(AND('Dados'!$C$92="Elite",'Dados'!$D$92=$N$105),1,0)</f>
        <v/>
      </c>
      <c r="AQ11" s="2">
        <f>0+IF(AND('Dados'!$C$92="Boss",'Dados'!$D$92=$N$105),1,0)</f>
        <v/>
      </c>
      <c r="AT11" s="2">
        <f>IF(ISNUMBER($R$108),INDEX('Dados'!$Q$92:$Q$123,$R$108)&amp;"","")</f>
        <v/>
      </c>
      <c r="AU11" s="2">
        <f>IF(ISNUMBER($R$108),INDEX('Dados'!$U$92:$U$123,$R$108)&amp;"","")</f>
        <v/>
      </c>
      <c r="AV11" s="2">
        <f>IF(LEN($AT$11)=0,0,IF(COUNTIF('Grupo'!$T$7:$T$12,$AT$11)&gt;0,0,1))</f>
        <v/>
      </c>
      <c r="AW11" s="2">
        <f>0+IF(AND($AV$11=1,0&lt;$BE$12),IF(INDEX($BC$11:$BC$17,0+1)&lt;&gt;$AU$11,1,0),0)</f>
        <v/>
      </c>
      <c r="AX11" s="2">
        <f>IF($AW$11&gt;0,INDEX($BC$11:$BC$17,$AW$11),$AT$11)</f>
        <v/>
      </c>
      <c r="AY11" s="2">
        <f>IF($AW$11&gt;0,$S$108&amp;": "&amp;$AT$11&amp;" → "&amp;$AX$11&amp;"; ","")</f>
        <v/>
      </c>
      <c r="BA11" s="2">
        <f>IF(AND('Grupo'!$B$81="Sim",COUNTIF($AT$11:$AT$38,"Físico")=0),1,0)</f>
        <v/>
      </c>
      <c r="BB11" s="2">
        <f>$BA$11</f>
        <v/>
      </c>
      <c r="BC11" s="2">
        <f>IFERROR(INDEX('Dados'!$A$301:$A$307,MATCH(1,$BB$11:$BB$17,0)),"")</f>
        <v/>
      </c>
      <c r="BD11" s="2">
        <f>IF(AND('Grupo'!$B$81="Sim",COUNTIF($AT$11:$AT$38,"Físico")&gt;0),1,0)</f>
        <v/>
      </c>
      <c r="BE11" s="2">
        <f>SUM($BD$11:$BD$17)</f>
        <v/>
      </c>
    </row>
    <row r="12" ht="26" customHeight="1">
      <c r="A12" s="21" t="inlineStr">
        <is>
          <t>Dano por Ciclo deste grupo</t>
        </is>
      </c>
      <c r="B12" s="23">
        <f>IF($B$7=4,$B$10,INT($B$10*$B$7/4))</f>
        <v/>
      </c>
      <c r="D12" s="30" t="n"/>
      <c r="E12" s="30" t="n"/>
      <c r="F12" s="30" t="n"/>
      <c r="G12" s="30" t="n"/>
      <c r="H12" s="30" t="n"/>
      <c r="I12" s="30" t="n"/>
      <c r="J12" s="30" t="n"/>
      <c r="K12" s="30" t="n"/>
      <c r="L12" s="30" t="n"/>
      <c r="AK12" s="2">
        <f>IF(OR(LEN($BH$105)=0,$BH$105="Qualquer"),1,IF(COUNTIFS('Tabelas'!$AE$12:$AE$118,'Dados'!$E$93,'Tabelas'!$AF$12:$AF$118,$BH$105)+IF(LEN('Dados'!$AD$93)=0,0,COUNTIFS('Tabelas'!$AE$12:$AE$118,'Dados'!$AD$93,'Tabelas'!$AF$12:$AF$118,$BH$105))&gt;0,1,0))</f>
        <v/>
      </c>
      <c r="AL12" s="2">
        <f>$AL$11+IF(AND('Dados'!$C$93="Comum",'Dados'!$D$93=$N$105),1,0)*$AK$12</f>
        <v/>
      </c>
      <c r="AM12" s="2">
        <f>$AM$11+IF(AND('Dados'!$C$93="Elite",'Dados'!$D$93=$N$105),1,0)*$AK$12</f>
        <v/>
      </c>
      <c r="AN12" s="2">
        <f>$AN$11+IF(AND('Dados'!$C$93="Boss",'Dados'!$D$93=$N$105),1,0)*$AK$12</f>
        <v/>
      </c>
      <c r="AO12" s="2">
        <f>$AO$11+IF(AND('Dados'!$C$93="Comum",'Dados'!$D$93=$N$105),1,0)</f>
        <v/>
      </c>
      <c r="AP12" s="2">
        <f>$AP$11+IF(AND('Dados'!$C$93="Elite",'Dados'!$D$93=$N$105),1,0)</f>
        <v/>
      </c>
      <c r="AQ12" s="2">
        <f>$AQ$11+IF(AND('Dados'!$C$93="Boss",'Dados'!$D$93=$N$105),1,0)</f>
        <v/>
      </c>
      <c r="AT12" s="2">
        <f>IF(ISNUMBER($R$108),INDEX('Dados'!$R$92:$R$123,$R$108)&amp;"","")</f>
        <v/>
      </c>
      <c r="AU12" s="2">
        <f>IF(ISNUMBER($R$108),INDEX('Dados'!$U$92:$U$123,$R$108)&amp;"","")</f>
        <v/>
      </c>
      <c r="AV12" s="2">
        <f>IF(LEN($AT$12)=0,0,IF(COUNTIF('Grupo'!$T$7:$T$12,$AT$12)&gt;0,0,1))</f>
        <v/>
      </c>
      <c r="AW12" s="2">
        <f>$AW$11+IF(AND($AV$12=1,$AW$11&lt;$BE$12),IF(INDEX($BC$11:$BC$17,$AW$11+1)&lt;&gt;$AU$12,1,0),0)</f>
        <v/>
      </c>
      <c r="AX12" s="2">
        <f>IF($AW$12&gt;$AW$11,INDEX($BC$11:$BC$17,$AW$12),$AT$12)</f>
        <v/>
      </c>
      <c r="AY12" s="2">
        <f>IF($AW$12&gt;$AW$11,$S$108&amp;": "&amp;$AT$12&amp;" → "&amp;$AX$12&amp;"; ","")</f>
        <v/>
      </c>
      <c r="BA12" s="2">
        <f>IF(AND('Grupo'!$C$81="Sim",COUNTIF($AT$11:$AT$38,"Fogo")=0),1,0)</f>
        <v/>
      </c>
      <c r="BB12" s="2">
        <f>$BB$11+$BA$12</f>
        <v/>
      </c>
      <c r="BC12" s="2">
        <f>IFERROR(INDEX('Dados'!$A$301:$A$307,MATCH(2,$BB$11:$BB$17,0)),"")</f>
        <v/>
      </c>
      <c r="BD12" s="2">
        <f>IF(AND('Grupo'!$C$81="Sim",COUNTIF($AT$11:$AT$38,"Fogo")&gt;0),1,0)</f>
        <v/>
      </c>
      <c r="BE12" s="2">
        <f>MIN(MAX(0,3-$BE$11),$BB$17)</f>
        <v/>
      </c>
    </row>
    <row r="13">
      <c r="AK13" s="2">
        <f>IF(OR(LEN($BH$105)=0,$BH$105="Qualquer"),1,IF(COUNTIFS('Tabelas'!$AE$12:$AE$118,'Dados'!$E$94,'Tabelas'!$AF$12:$AF$118,$BH$105)+IF(LEN('Dados'!$AD$94)=0,0,COUNTIFS('Tabelas'!$AE$12:$AE$118,'Dados'!$AD$94,'Tabelas'!$AF$12:$AF$118,$BH$105))&gt;0,1,0))</f>
        <v/>
      </c>
      <c r="AL13" s="2">
        <f>$AL$12+IF(AND('Dados'!$C$94="Comum",'Dados'!$D$94=$N$105),1,0)*$AK$13</f>
        <v/>
      </c>
      <c r="AM13" s="2">
        <f>$AM$12+IF(AND('Dados'!$C$94="Elite",'Dados'!$D$94=$N$105),1,0)*$AK$13</f>
        <v/>
      </c>
      <c r="AN13" s="2">
        <f>$AN$12+IF(AND('Dados'!$C$94="Boss",'Dados'!$D$94=$N$105),1,0)*$AK$13</f>
        <v/>
      </c>
      <c r="AO13" s="2">
        <f>$AO$12+IF(AND('Dados'!$C$94="Comum",'Dados'!$D$94=$N$105),1,0)</f>
        <v/>
      </c>
      <c r="AP13" s="2">
        <f>$AP$12+IF(AND('Dados'!$C$94="Elite",'Dados'!$D$94=$N$105),1,0)</f>
        <v/>
      </c>
      <c r="AQ13" s="2">
        <f>$AQ$12+IF(AND('Dados'!$C$94="Boss",'Dados'!$D$94=$N$105),1,0)</f>
        <v/>
      </c>
      <c r="AT13" s="2">
        <f>IF(ISNUMBER($R$108),INDEX('Dados'!$S$92:$S$123,$R$108)&amp;"","")</f>
        <v/>
      </c>
      <c r="AU13" s="2">
        <f>IF(ISNUMBER($R$108),INDEX('Dados'!$U$92:$U$123,$R$108)&amp;"","")</f>
        <v/>
      </c>
      <c r="AV13" s="2">
        <f>IF(LEN($AT$13)=0,0,IF(COUNTIF('Grupo'!$T$7:$T$12,$AT$13)&gt;0,0,1))</f>
        <v/>
      </c>
      <c r="AW13" s="2">
        <f>$AW$12+IF(AND($AV$13=1,$AW$12&lt;$BE$12),IF(INDEX($BC$11:$BC$17,$AW$12+1)&lt;&gt;$AU$13,1,0),0)</f>
        <v/>
      </c>
      <c r="AX13" s="2">
        <f>IF($AW$13&gt;$AW$12,INDEX($BC$11:$BC$17,$AW$13),$AT$13)</f>
        <v/>
      </c>
      <c r="AY13" s="2">
        <f>IF($AW$13&gt;$AW$12,$S$108&amp;": "&amp;$AT$13&amp;" → "&amp;$AX$13&amp;"; ","")</f>
        <v/>
      </c>
      <c r="BA13" s="2">
        <f>IF(AND('Grupo'!$D$81="Sim",COUNTIF($AT$11:$AT$38,"Gelo")=0),1,0)</f>
        <v/>
      </c>
      <c r="BB13" s="2">
        <f>$BB$12+$BA$13</f>
        <v/>
      </c>
      <c r="BC13" s="2">
        <f>IFERROR(INDEX('Dados'!$A$301:$A$307,MATCH(3,$BB$11:$BB$17,0)),"")</f>
        <v/>
      </c>
      <c r="BD13" s="2">
        <f>IF(AND('Grupo'!$D$81="Sim",COUNTIF($AT$11:$AT$38,"Gelo")&gt;0),1,0)</f>
        <v/>
      </c>
      <c r="BE13" s="2">
        <f>$BE$11+$AW$38</f>
        <v/>
      </c>
    </row>
    <row r="14">
      <c r="A14" s="12" t="inlineStr">
        <is>
          <t>Montar em quatro passos (27.4): (1) leia a faixa; (2) gaste o orçamento escolhendo tipos; (3) escolha as Fraquezas cumprindo o contrato de 27.5; (4) confira as ações agressivas por Ciclo.</t>
        </is>
      </c>
      <c r="AK14" s="2">
        <f>IF(OR(LEN($BH$105)=0,$BH$105="Qualquer"),1,IF(COUNTIFS('Tabelas'!$AE$12:$AE$118,'Dados'!$E$95,'Tabelas'!$AF$12:$AF$118,$BH$105)+IF(LEN('Dados'!$AD$95)=0,0,COUNTIFS('Tabelas'!$AE$12:$AE$118,'Dados'!$AD$95,'Tabelas'!$AF$12:$AF$118,$BH$105))&gt;0,1,0))</f>
        <v/>
      </c>
      <c r="AL14" s="2">
        <f>$AL$13+IF(AND('Dados'!$C$95="Comum",'Dados'!$D$95=$N$105),1,0)*$AK$14</f>
        <v/>
      </c>
      <c r="AM14" s="2">
        <f>$AM$13+IF(AND('Dados'!$C$95="Elite",'Dados'!$D$95=$N$105),1,0)*$AK$14</f>
        <v/>
      </c>
      <c r="AN14" s="2">
        <f>$AN$13+IF(AND('Dados'!$C$95="Boss",'Dados'!$D$95=$N$105),1,0)*$AK$14</f>
        <v/>
      </c>
      <c r="AO14" s="2">
        <f>$AO$13+IF(AND('Dados'!$C$95="Comum",'Dados'!$D$95=$N$105),1,0)</f>
        <v/>
      </c>
      <c r="AP14" s="2">
        <f>$AP$13+IF(AND('Dados'!$C$95="Elite",'Dados'!$D$95=$N$105),1,0)</f>
        <v/>
      </c>
      <c r="AQ14" s="2">
        <f>$AQ$13+IF(AND('Dados'!$C$95="Boss",'Dados'!$D$95=$N$105),1,0)</f>
        <v/>
      </c>
      <c r="AT14" s="2">
        <f>IF(ISNUMBER($R$108),INDEX('Dados'!$T$92:$T$123,$R$108)&amp;"","")</f>
        <v/>
      </c>
      <c r="AU14" s="2">
        <f>IF(ISNUMBER($R$108),INDEX('Dados'!$U$92:$U$123,$R$108)&amp;"","")</f>
        <v/>
      </c>
      <c r="AV14" s="2">
        <f>IF(LEN($AT$14)=0,0,IF(COUNTIF('Grupo'!$T$7:$T$12,$AT$14)&gt;0,0,1))</f>
        <v/>
      </c>
      <c r="AW14" s="2">
        <f>$AW$13+IF(AND($AV$14=1,$AW$13&lt;$BE$12),IF(INDEX($BC$11:$BC$17,$AW$13+1)&lt;&gt;$AU$14,1,0),0)</f>
        <v/>
      </c>
      <c r="AX14" s="2">
        <f>IF($AW$14&gt;$AW$13,INDEX($BC$11:$BC$17,$AW$14),$AT$14)</f>
        <v/>
      </c>
      <c r="AY14" s="2">
        <f>IF($AW$14&gt;$AW$13,$S$108&amp;": "&amp;$AT$14&amp;" → "&amp;$AX$14&amp;"; ","")</f>
        <v/>
      </c>
      <c r="BA14" s="2">
        <f>IF(AND('Grupo'!$E$81="Sim",COUNTIF($AT$11:$AT$38,"Raio")=0),1,0)</f>
        <v/>
      </c>
      <c r="BB14" s="2">
        <f>$BB$13+$BA$14</f>
        <v/>
      </c>
      <c r="BC14" s="2">
        <f>IFERROR(INDEX('Dados'!$A$301:$A$307,MATCH(4,$BB$11:$BB$17,0)),"")</f>
        <v/>
      </c>
      <c r="BD14" s="2">
        <f>IF(AND('Grupo'!$E$81="Sim",COUNTIF($AT$11:$AT$38,"Raio")&gt;0),1,0)</f>
        <v/>
      </c>
    </row>
    <row r="15">
      <c r="A15" s="12" t="inlineStr">
        <is>
          <t>Criatura: inimigos da campanha (aba Inimigos) e as 32 do Bestiário; a lista procura primeiro os da campanha. Quantidade vazia = 1. Fraquezas nesta cena vazias = as da ficha.</t>
        </is>
      </c>
      <c r="AK15" s="2">
        <f>IF(OR(LEN($BH$105)=0,$BH$105="Qualquer"),1,IF(COUNTIFS('Tabelas'!$AE$12:$AE$118,'Dados'!$E$96,'Tabelas'!$AF$12:$AF$118,$BH$105)+IF(LEN('Dados'!$AD$96)=0,0,COUNTIFS('Tabelas'!$AE$12:$AE$118,'Dados'!$AD$96,'Tabelas'!$AF$12:$AF$118,$BH$105))&gt;0,1,0))</f>
        <v/>
      </c>
      <c r="AL15" s="2">
        <f>$AL$14+IF(AND('Dados'!$C$96="Comum",'Dados'!$D$96=$N$105),1,0)*$AK$15</f>
        <v/>
      </c>
      <c r="AM15" s="2">
        <f>$AM$14+IF(AND('Dados'!$C$96="Elite",'Dados'!$D$96=$N$105),1,0)*$AK$15</f>
        <v/>
      </c>
      <c r="AN15" s="2">
        <f>$AN$14+IF(AND('Dados'!$C$96="Boss",'Dados'!$D$96=$N$105),1,0)*$AK$15</f>
        <v/>
      </c>
      <c r="AO15" s="2">
        <f>$AO$14+IF(AND('Dados'!$C$96="Comum",'Dados'!$D$96=$N$105),1,0)</f>
        <v/>
      </c>
      <c r="AP15" s="2">
        <f>$AP$14+IF(AND('Dados'!$C$96="Elite",'Dados'!$D$96=$N$105),1,0)</f>
        <v/>
      </c>
      <c r="AQ15" s="2">
        <f>$AQ$14+IF(AND('Dados'!$C$96="Boss",'Dados'!$D$96=$N$105),1,0)</f>
        <v/>
      </c>
      <c r="AT15" s="2">
        <f>IF(ISNUMBER($R$109),INDEX('Dados'!$Q$92:$Q$123,$R$109)&amp;"","")</f>
        <v/>
      </c>
      <c r="AU15" s="2">
        <f>IF(ISNUMBER($R$109),INDEX('Dados'!$U$92:$U$123,$R$109)&amp;"","")</f>
        <v/>
      </c>
      <c r="AV15" s="2">
        <f>IF(LEN($AT$15)=0,0,IF(COUNTIF('Grupo'!$T$7:$T$12,$AT$15)&gt;0,0,1))</f>
        <v/>
      </c>
      <c r="AW15" s="2">
        <f>$AW$14+IF(AND($AV$15=1,$AW$14&lt;$BE$12),IF(INDEX($BC$11:$BC$17,$AW$14+1)&lt;&gt;$AU$15,1,0),0)</f>
        <v/>
      </c>
      <c r="AX15" s="2">
        <f>IF($AW$15&gt;$AW$14,INDEX($BC$11:$BC$17,$AW$15),$AT$15)</f>
        <v/>
      </c>
      <c r="AY15" s="2">
        <f>IF($AW$15&gt;$AW$14,$S$109&amp;": "&amp;$AT$15&amp;" → "&amp;$AX$15&amp;"; ","")</f>
        <v/>
      </c>
      <c r="BA15" s="2">
        <f>IF(AND('Grupo'!$F$81="Sim",COUNTIF($AT$11:$AT$38,"Vento")=0),1,0)</f>
        <v/>
      </c>
      <c r="BB15" s="2">
        <f>$BB$14+$BA$15</f>
        <v/>
      </c>
      <c r="BC15" s="2">
        <f>IFERROR(INDEX('Dados'!$A$301:$A$307,MATCH(5,$BB$11:$BB$17,0)),"")</f>
        <v/>
      </c>
      <c r="BD15" s="2">
        <f>IF(AND('Grupo'!$F$81="Sim",COUNTIF($AT$11:$AT$38,"Vento")&gt;0),1,0)</f>
        <v/>
      </c>
    </row>
    <row r="16">
      <c r="AK16" s="2">
        <f>IF(OR(LEN($BH$105)=0,$BH$105="Qualquer"),1,IF(COUNTIFS('Tabelas'!$AE$12:$AE$118,'Dados'!$E$97,'Tabelas'!$AF$12:$AF$118,$BH$105)+IF(LEN('Dados'!$AD$97)=0,0,COUNTIFS('Tabelas'!$AE$12:$AE$118,'Dados'!$AD$97,'Tabelas'!$AF$12:$AF$118,$BH$105))&gt;0,1,0))</f>
        <v/>
      </c>
      <c r="AL16" s="2">
        <f>$AL$15+IF(AND('Dados'!$C$97="Comum",'Dados'!$D$97=$N$105),1,0)*$AK$16</f>
        <v/>
      </c>
      <c r="AM16" s="2">
        <f>$AM$15+IF(AND('Dados'!$C$97="Elite",'Dados'!$D$97=$N$105),1,0)*$AK$16</f>
        <v/>
      </c>
      <c r="AN16" s="2">
        <f>$AN$15+IF(AND('Dados'!$C$97="Boss",'Dados'!$D$97=$N$105),1,0)*$AK$16</f>
        <v/>
      </c>
      <c r="AO16" s="2">
        <f>$AO$15+IF(AND('Dados'!$C$97="Comum",'Dados'!$D$97=$N$105),1,0)</f>
        <v/>
      </c>
      <c r="AP16" s="2">
        <f>$AP$15+IF(AND('Dados'!$C$97="Elite",'Dados'!$D$97=$N$105),1,0)</f>
        <v/>
      </c>
      <c r="AQ16" s="2">
        <f>$AQ$15+IF(AND('Dados'!$C$97="Boss",'Dados'!$D$97=$N$105),1,0)</f>
        <v/>
      </c>
      <c r="AT16" s="2">
        <f>IF(ISNUMBER($R$109),INDEX('Dados'!$R$92:$R$123,$R$109)&amp;"","")</f>
        <v/>
      </c>
      <c r="AU16" s="2">
        <f>IF(ISNUMBER($R$109),INDEX('Dados'!$U$92:$U$123,$R$109)&amp;"","")</f>
        <v/>
      </c>
      <c r="AV16" s="2">
        <f>IF(LEN($AT$16)=0,0,IF(COUNTIF('Grupo'!$T$7:$T$12,$AT$16)&gt;0,0,1))</f>
        <v/>
      </c>
      <c r="AW16" s="2">
        <f>$AW$15+IF(AND($AV$16=1,$AW$15&lt;$BE$12),IF(INDEX($BC$11:$BC$17,$AW$15+1)&lt;&gt;$AU$16,1,0),0)</f>
        <v/>
      </c>
      <c r="AX16" s="2">
        <f>IF($AW$16&gt;$AW$15,INDEX($BC$11:$BC$17,$AW$16),$AT$16)</f>
        <v/>
      </c>
      <c r="AY16" s="2">
        <f>IF($AW$16&gt;$AW$15,$S$109&amp;": "&amp;$AT$16&amp;" → "&amp;$AX$16&amp;"; ","")</f>
        <v/>
      </c>
      <c r="BA16" s="2">
        <f>IF(AND('Grupo'!$G$81="Sim",COUNTIF($AT$11:$AT$38,"Quântico")=0),1,0)</f>
        <v/>
      </c>
      <c r="BB16" s="2">
        <f>$BB$15+$BA$16</f>
        <v/>
      </c>
      <c r="BC16" s="2">
        <f>IFERROR(INDEX('Dados'!$A$301:$A$307,MATCH(6,$BB$11:$BB$17,0)),"")</f>
        <v/>
      </c>
      <c r="BD16" s="2">
        <f>IF(AND('Grupo'!$G$81="Sim",COUNTIF($AT$11:$AT$38,"Quântico")&gt;0),1,0)</f>
        <v/>
      </c>
    </row>
    <row r="17">
      <c r="AK17" s="2">
        <f>IF(OR(LEN($BH$105)=0,$BH$105="Qualquer"),1,IF(COUNTIFS('Tabelas'!$AE$12:$AE$118,'Dados'!$E$98,'Tabelas'!$AF$12:$AF$118,$BH$105)+IF(LEN('Dados'!$AD$98)=0,0,COUNTIFS('Tabelas'!$AE$12:$AE$118,'Dados'!$AD$98,'Tabelas'!$AF$12:$AF$118,$BH$105))&gt;0,1,0))</f>
        <v/>
      </c>
      <c r="AL17" s="2">
        <f>$AL$16+IF(AND('Dados'!$C$98="Comum",'Dados'!$D$98=$N$105),1,0)*$AK$17</f>
        <v/>
      </c>
      <c r="AM17" s="2">
        <f>$AM$16+IF(AND('Dados'!$C$98="Elite",'Dados'!$D$98=$N$105),1,0)*$AK$17</f>
        <v/>
      </c>
      <c r="AN17" s="2">
        <f>$AN$16+IF(AND('Dados'!$C$98="Boss",'Dados'!$D$98=$N$105),1,0)*$AK$17</f>
        <v/>
      </c>
      <c r="AO17" s="2">
        <f>$AO$16+IF(AND('Dados'!$C$98="Comum",'Dados'!$D$98=$N$105),1,0)</f>
        <v/>
      </c>
      <c r="AP17" s="2">
        <f>$AP$16+IF(AND('Dados'!$C$98="Elite",'Dados'!$D$98=$N$105),1,0)</f>
        <v/>
      </c>
      <c r="AQ17" s="2">
        <f>$AQ$16+IF(AND('Dados'!$C$98="Boss",'Dados'!$D$98=$N$105),1,0)</f>
        <v/>
      </c>
      <c r="AT17" s="2">
        <f>IF(ISNUMBER($R$109),INDEX('Dados'!$S$92:$S$123,$R$109)&amp;"","")</f>
        <v/>
      </c>
      <c r="AU17" s="2">
        <f>IF(ISNUMBER($R$109),INDEX('Dados'!$U$92:$U$123,$R$109)&amp;"","")</f>
        <v/>
      </c>
      <c r="AV17" s="2">
        <f>IF(LEN($AT$17)=0,0,IF(COUNTIF('Grupo'!$T$7:$T$12,$AT$17)&gt;0,0,1))</f>
        <v/>
      </c>
      <c r="AW17" s="2">
        <f>$AW$16+IF(AND($AV$17=1,$AW$16&lt;$BE$12),IF(INDEX($BC$11:$BC$17,$AW$16+1)&lt;&gt;$AU$17,1,0),0)</f>
        <v/>
      </c>
      <c r="AX17" s="2">
        <f>IF($AW$17&gt;$AW$16,INDEX($BC$11:$BC$17,$AW$17),$AT$17)</f>
        <v/>
      </c>
      <c r="AY17" s="2">
        <f>IF($AW$17&gt;$AW$16,$S$109&amp;": "&amp;$AT$17&amp;" → "&amp;$AX$17&amp;"; ","")</f>
        <v/>
      </c>
      <c r="BA17" s="2">
        <f>IF(AND('Grupo'!$H$81="Sim",COUNTIF($AT$11:$AT$38,"Imaginário")=0),1,0)</f>
        <v/>
      </c>
      <c r="BB17" s="2">
        <f>$BB$16+$BA$17</f>
        <v/>
      </c>
      <c r="BC17" s="2">
        <f>IFERROR(INDEX('Dados'!$A$301:$A$307,MATCH(7,$BB$11:$BB$17,0)),"")</f>
        <v/>
      </c>
      <c r="BD17" s="2">
        <f>IF(AND('Grupo'!$H$81="Sim",COUNTIF($AT$11:$AT$38,"Imaginário")&gt;0),1,0)</f>
        <v/>
      </c>
    </row>
    <row r="18" ht="20" customHeight="1">
      <c r="A18" s="13" t="inlineStr">
        <is>
          <t>Encontro A</t>
        </is>
      </c>
      <c r="AK18" s="2">
        <f>IF(OR(LEN($BH$105)=0,$BH$105="Qualquer"),1,IF(COUNTIFS('Tabelas'!$AE$12:$AE$118,'Dados'!$E$99,'Tabelas'!$AF$12:$AF$118,$BH$105)+IF(LEN('Dados'!$AD$99)=0,0,COUNTIFS('Tabelas'!$AE$12:$AE$118,'Dados'!$AD$99,'Tabelas'!$AF$12:$AF$118,$BH$105))&gt;0,1,0))</f>
        <v/>
      </c>
      <c r="AL18" s="2">
        <f>$AL$17+IF(AND('Dados'!$C$99="Comum",'Dados'!$D$99=$N$105),1,0)*$AK$18</f>
        <v/>
      </c>
      <c r="AM18" s="2">
        <f>$AM$17+IF(AND('Dados'!$C$99="Elite",'Dados'!$D$99=$N$105),1,0)*$AK$18</f>
        <v/>
      </c>
      <c r="AN18" s="2">
        <f>$AN$17+IF(AND('Dados'!$C$99="Boss",'Dados'!$D$99=$N$105),1,0)*$AK$18</f>
        <v/>
      </c>
      <c r="AO18" s="2">
        <f>$AO$17+IF(AND('Dados'!$C$99="Comum",'Dados'!$D$99=$N$105),1,0)</f>
        <v/>
      </c>
      <c r="AP18" s="2">
        <f>$AP$17+IF(AND('Dados'!$C$99="Elite",'Dados'!$D$99=$N$105),1,0)</f>
        <v/>
      </c>
      <c r="AQ18" s="2">
        <f>$AQ$17+IF(AND('Dados'!$C$99="Boss",'Dados'!$D$99=$N$105),1,0)</f>
        <v/>
      </c>
      <c r="AT18" s="2">
        <f>IF(ISNUMBER($R$109),INDEX('Dados'!$T$92:$T$123,$R$109)&amp;"","")</f>
        <v/>
      </c>
      <c r="AU18" s="2">
        <f>IF(ISNUMBER($R$109),INDEX('Dados'!$U$92:$U$123,$R$109)&amp;"","")</f>
        <v/>
      </c>
      <c r="AV18" s="2">
        <f>IF(LEN($AT$18)=0,0,IF(COUNTIF('Grupo'!$T$7:$T$12,$AT$18)&gt;0,0,1))</f>
        <v/>
      </c>
      <c r="AW18" s="2">
        <f>$AW$17+IF(AND($AV$18=1,$AW$17&lt;$BE$12),IF(INDEX($BC$11:$BC$17,$AW$17+1)&lt;&gt;$AU$18,1,0),0)</f>
        <v/>
      </c>
      <c r="AX18" s="2">
        <f>IF($AW$18&gt;$AW$17,INDEX($BC$11:$BC$17,$AW$18),$AT$18)</f>
        <v/>
      </c>
      <c r="AY18" s="2">
        <f>IF($AW$18&gt;$AW$17,$S$109&amp;": "&amp;$AT$18&amp;" → "&amp;$AX$18&amp;"; ","")</f>
        <v/>
      </c>
    </row>
    <row r="19" ht="26" customHeight="1">
      <c r="A19" s="9" t="inlineStr">
        <is>
          <t>Nome do encontro</t>
        </is>
      </c>
      <c r="B19" s="4" t="n"/>
      <c r="C19" s="25" t="n"/>
      <c r="D19" s="25" t="n"/>
      <c r="E19" s="17" t="n"/>
      <c r="F19" s="15" t="inlineStr">
        <is>
          <t>Ambiente</t>
        </is>
      </c>
      <c r="G19" s="4" t="n"/>
      <c r="H19" s="25" t="n"/>
      <c r="I19" s="25" t="n"/>
      <c r="J19" s="17" t="n"/>
      <c r="K19" s="19">
        <f>IF(BN19&gt;0,"O Google leu como fórmula: digite de novo com ' na frente.","")</f>
        <v/>
      </c>
      <c r="AK19" s="2">
        <f>IF(OR(LEN($BH$105)=0,$BH$105="Qualquer"),1,IF(COUNTIFS('Tabelas'!$AE$12:$AE$118,'Dados'!$E$100,'Tabelas'!$AF$12:$AF$118,$BH$105)+IF(LEN('Dados'!$AD$100)=0,0,COUNTIFS('Tabelas'!$AE$12:$AE$118,'Dados'!$AD$100,'Tabelas'!$AF$12:$AF$118,$BH$105))&gt;0,1,0))</f>
        <v/>
      </c>
      <c r="AL19" s="2">
        <f>$AL$18+IF(AND('Dados'!$C$100="Comum",'Dados'!$D$100=$N$105),1,0)*$AK$19</f>
        <v/>
      </c>
      <c r="AM19" s="2">
        <f>$AM$18+IF(AND('Dados'!$C$100="Elite",'Dados'!$D$100=$N$105),1,0)*$AK$19</f>
        <v/>
      </c>
      <c r="AN19" s="2">
        <f>$AN$18+IF(AND('Dados'!$C$100="Boss",'Dados'!$D$100=$N$105),1,0)*$AK$19</f>
        <v/>
      </c>
      <c r="AO19" s="2">
        <f>$AO$18+IF(AND('Dados'!$C$100="Comum",'Dados'!$D$100=$N$105),1,0)</f>
        <v/>
      </c>
      <c r="AP19" s="2">
        <f>$AP$18+IF(AND('Dados'!$C$100="Elite",'Dados'!$D$100=$N$105),1,0)</f>
        <v/>
      </c>
      <c r="AQ19" s="2">
        <f>$AQ$18+IF(AND('Dados'!$C$100="Boss",'Dados'!$D$100=$N$105),1,0)</f>
        <v/>
      </c>
      <c r="AT19" s="2">
        <f>IF(ISNUMBER($R$110),INDEX('Dados'!$Q$92:$Q$123,$R$110)&amp;"","")</f>
        <v/>
      </c>
      <c r="AU19" s="2">
        <f>IF(ISNUMBER($R$110),INDEX('Dados'!$U$92:$U$123,$R$110)&amp;"","")</f>
        <v/>
      </c>
      <c r="AV19" s="2">
        <f>IF(LEN($AT$19)=0,0,IF(COUNTIF('Grupo'!$T$7:$T$12,$AT$19)&gt;0,0,1))</f>
        <v/>
      </c>
      <c r="AW19" s="2">
        <f>$AW$18+IF(AND($AV$19=1,$AW$18&lt;$BE$12),IF(INDEX($BC$11:$BC$17,$AW$18+1)&lt;&gt;$AU$19,1,0),0)</f>
        <v/>
      </c>
      <c r="AX19" s="2">
        <f>IF($AW$19&gt;$AW$18,INDEX($BC$11:$BC$17,$AW$19),$AT$19)</f>
        <v/>
      </c>
      <c r="AY19" s="2">
        <f>IF($AW$19&gt;$AW$18,$S$110&amp;": "&amp;$AT$19&amp;" → "&amp;$AX$19&amp;"; ","")</f>
        <v/>
      </c>
      <c r="BH19" s="2">
        <f>IF(ISERROR($B$19),"",IF(ISBLANK($B$19),"",$B$19))</f>
        <v/>
      </c>
      <c r="BN19" s="2">
        <f>ISERROR($B$19)*1+ISERROR($G$19)*1</f>
        <v/>
      </c>
    </row>
    <row r="20" ht="26" customHeight="1">
      <c r="A20" s="8" t="inlineStr">
        <is>
          <t>Criatura (preencha)</t>
        </is>
      </c>
      <c r="B20" s="20" t="n"/>
      <c r="C20" s="8" t="inlineStr">
        <is>
          <t>Quantidade</t>
        </is>
      </c>
      <c r="D20" s="8" t="inlineStr">
        <is>
          <t>Fraqueza nesta cena 1</t>
        </is>
      </c>
      <c r="E20" s="8" t="inlineStr">
        <is>
          <t>Fraqueza nesta cena 2</t>
        </is>
      </c>
      <c r="F20" s="8" t="inlineStr">
        <is>
          <t>Fraqueza nesta cena 3</t>
        </is>
      </c>
      <c r="G20" s="8" t="inlineStr">
        <is>
          <t>Fraqueza nesta cena 4</t>
        </is>
      </c>
      <c r="H20" s="8" t="inlineStr">
        <is>
          <t>Tipo</t>
        </is>
      </c>
      <c r="I20" s="8" t="inlineStr">
        <is>
          <t>PV</t>
        </is>
      </c>
      <c r="J20" s="8" t="inlineStr">
        <is>
          <t>Custo</t>
        </is>
      </c>
      <c r="K20" s="8" t="inlineStr">
        <is>
          <t>Aviso</t>
        </is>
      </c>
      <c r="L20" s="20" t="n"/>
      <c r="AK20" s="2">
        <f>IF(OR(LEN($BH$105)=0,$BH$105="Qualquer"),1,IF(COUNTIFS('Tabelas'!$AE$12:$AE$118,'Dados'!$E$101,'Tabelas'!$AF$12:$AF$118,$BH$105)+IF(LEN('Dados'!$AD$101)=0,0,COUNTIFS('Tabelas'!$AE$12:$AE$118,'Dados'!$AD$101,'Tabelas'!$AF$12:$AF$118,$BH$105))&gt;0,1,0))</f>
        <v/>
      </c>
      <c r="AL20" s="2">
        <f>$AL$19+IF(AND('Dados'!$C$101="Comum",'Dados'!$D$101=$N$105),1,0)*$AK$20</f>
        <v/>
      </c>
      <c r="AM20" s="2">
        <f>$AM$19+IF(AND('Dados'!$C$101="Elite",'Dados'!$D$101=$N$105),1,0)*$AK$20</f>
        <v/>
      </c>
      <c r="AN20" s="2">
        <f>$AN$19+IF(AND('Dados'!$C$101="Boss",'Dados'!$D$101=$N$105),1,0)*$AK$20</f>
        <v/>
      </c>
      <c r="AO20" s="2">
        <f>$AO$19+IF(AND('Dados'!$C$101="Comum",'Dados'!$D$101=$N$105),1,0)</f>
        <v/>
      </c>
      <c r="AP20" s="2">
        <f>$AP$19+IF(AND('Dados'!$C$101="Elite",'Dados'!$D$101=$N$105),1,0)</f>
        <v/>
      </c>
      <c r="AQ20" s="2">
        <f>$AQ$19+IF(AND('Dados'!$C$101="Boss",'Dados'!$D$101=$N$105),1,0)</f>
        <v/>
      </c>
      <c r="AT20" s="2">
        <f>IF(ISNUMBER($R$110),INDEX('Dados'!$R$92:$R$123,$R$110)&amp;"","")</f>
        <v/>
      </c>
      <c r="AU20" s="2">
        <f>IF(ISNUMBER($R$110),INDEX('Dados'!$U$92:$U$123,$R$110)&amp;"","")</f>
        <v/>
      </c>
      <c r="AV20" s="2">
        <f>IF(LEN($AT$20)=0,0,IF(COUNTIF('Grupo'!$T$7:$T$12,$AT$20)&gt;0,0,1))</f>
        <v/>
      </c>
      <c r="AW20" s="2">
        <f>$AW$19+IF(AND($AV$20=1,$AW$19&lt;$BE$12),IF(INDEX($BC$11:$BC$17,$AW$19+1)&lt;&gt;$AU$20,1,0),0)</f>
        <v/>
      </c>
      <c r="AX20" s="2">
        <f>IF($AW$20&gt;$AW$19,INDEX($BC$11:$BC$17,$AW$20),$AT$20)</f>
        <v/>
      </c>
      <c r="AY20" s="2">
        <f>IF($AW$20&gt;$AW$19,$S$110&amp;": "&amp;$AT$20&amp;" → "&amp;$AX$20&amp;"; ","")</f>
        <v/>
      </c>
    </row>
    <row r="21" ht="26" customHeight="1">
      <c r="A21" s="33" t="n"/>
      <c r="B21" s="17" t="n"/>
      <c r="C21" s="16" t="n"/>
      <c r="D21" s="34" t="n"/>
      <c r="E21" s="34" t="n"/>
      <c r="F21" s="34" t="n"/>
      <c r="G21" s="34" t="n"/>
      <c r="H21" s="18">
        <f>IF(ISNUMBER($N$21),INDEX('Inimigos'!$O$11:$O$54,$N$21)&amp;"","")</f>
        <v/>
      </c>
      <c r="I21" s="18">
        <f>IF(ISNUMBER($N$21),INDEX('Inimigos'!$Q$11:$Q$54,$N$21),"")</f>
        <v/>
      </c>
      <c r="J21" s="18">
        <f>IF(ISNUMBER($N$21),$W$21,"")</f>
        <v/>
      </c>
      <c r="K21" s="19">
        <f>IF(BN21&gt;0,"O Google leu como fórmula: escolha de novo ou digite com ' na frente.",IF(LEN($BG$21)=0,"",IF(NOT(ISNUMBER($N$21)),"Criatura fora da lista (Inimigos e Bestiário)",IF(AND(ISNUMBER($BI$21),OR($BI$21&lt;0,$BI$21&gt;10)),"Quantidade fora de 0 a 10: usando o limite",IF((IF(AND(LEN($BJ$21)&gt;0,$BJ$21=$BK$21),1,0)+IF(AND(LEN($BJ$21)&gt;0,$BJ$21=$BL$21),1,0)+IF(AND(LEN($BJ$21)&gt;0,$BJ$21=$BM$21),1,0)+IF(AND(LEN($BK$21)&gt;0,$BK$21=$BL$21),1,0)+IF(AND(LEN($BK$21)&gt;0,$BK$21=$BM$21),1,0)+IF(AND(LEN($BL$21)&gt;0,$BL$21=$BM$21),1,0))&gt;0,"Fraqueza repetida nesta cena",IF(AND($AF$21&gt;0,$AF$21&lt;&gt;(IF(LEN(INDEX('Inimigos'!$AA$11:$AA$54,$N$21)&amp;"")&gt;0,1,0)+IF(LEN(INDEX('Inimigos'!$AB$11:$AB$54,$N$21)&amp;"")&gt;0,1,0)+IF(LEN(INDEX('Inimigos'!$AC$11:$AC$54,$N$21)&amp;"")&gt;0,1,0)+IF(LEN(INDEX('Inimigos'!$AD$11:$AD$54,$N$21)&amp;"")&gt;0,1,0))),"O nº de Fraquezas é regra (28.2 regra 7): troque, não acrescente nem tire",IF(AND(LEN($T$21)&gt;0,COUNTIF($P$21:$S$21,$T$21)&gt;0),"Fraqueza igual à Resistência da ficha","")))))))</f>
        <v/>
      </c>
      <c r="N21" s="2">
        <f>IF(LEN($BG$21)=0,"",IFERROR(MATCH($BG$21,'Inimigos'!$N$11:$N$54,0),""))</f>
        <v/>
      </c>
      <c r="O21" s="2">
        <f>IF(ISNUMBER($N$21),IF(ISNUMBER($BI$21),MIN(10,MAX(0,INT($BI$21))),1),0)</f>
        <v/>
      </c>
      <c r="P21" s="2">
        <f>IF($O$21=0,"",IF(OR(LEN($BJ$21)&gt;0,LEN($BK$21)&gt;0,LEN($BL$21)&gt;0,LEN($BM$21)&gt;0),$BJ$21&amp;"",INDEX('Inimigos'!$AA$11:$AA$54,$N$21)&amp;""))</f>
        <v/>
      </c>
      <c r="Q21" s="2">
        <f>IF($O$21=0,"",IF(OR(LEN($BJ$21)&gt;0,LEN($BK$21)&gt;0,LEN($BL$21)&gt;0,LEN($BM$21)&gt;0),$BK$21&amp;"",INDEX('Inimigos'!$AB$11:$AB$54,$N$21)&amp;""))</f>
        <v/>
      </c>
      <c r="R21" s="2">
        <f>IF($O$21=0,"",IF(OR(LEN($BJ$21)&gt;0,LEN($BK$21)&gt;0,LEN($BL$21)&gt;0,LEN($BM$21)&gt;0),$BL$21&amp;"",INDEX('Inimigos'!$AC$11:$AC$54,$N$21)&amp;""))</f>
        <v/>
      </c>
      <c r="S21" s="2">
        <f>IF($O$21=0,"",IF(OR(LEN($BJ$21)&gt;0,LEN($BK$21)&gt;0,LEN($BL$21)&gt;0,LEN($BM$21)&gt;0),$BM$21&amp;"",INDEX('Inimigos'!$AD$11:$AD$54,$N$21)&amp;""))</f>
        <v/>
      </c>
      <c r="T21" s="2">
        <f>IF($O$21=0,"",INDEX('Inimigos'!$AE$11:$AE$54,$N$21)&amp;"")</f>
        <v/>
      </c>
      <c r="U21" s="2">
        <f>IF(ISNUMBER($N$21),INDEX('Inimigos'!$O$11:$O$54,$N$21)&amp;"","")</f>
        <v/>
      </c>
      <c r="V21" s="2">
        <f>IF(ISNUMBER($N$21),INDEX('Inimigos'!$BF$11:$BF$54,$N$21),"")</f>
        <v/>
      </c>
      <c r="W21" s="2">
        <f>IF($O$21=0,0,INDEX('Inimigos'!$AI$11:$AI$54,$N$21)*$O$21)</f>
        <v/>
      </c>
      <c r="X21" s="2">
        <f>IF($O$21=0,0,INDEX('Inimigos'!$AH$11:$AH$54,$N$21)*$O$21)</f>
        <v/>
      </c>
      <c r="Y21" s="2">
        <f>$O$21</f>
        <v/>
      </c>
      <c r="Z21" s="2">
        <f>IF(AND($O$21&gt;0,LEN($T$21)&gt;0),IF(COUNTIF('Grupo'!$T$7:$T$12,$T$21)&gt;=2,1,0),0)</f>
        <v/>
      </c>
      <c r="AA21" s="2">
        <f>IF(AND($O$21&gt;0,OR($AE$21="Pretor Vazio-Nove",$AE$21="O Dramaturgo de Mil Faces")),1,0)</f>
        <v/>
      </c>
      <c r="AB21" s="2">
        <f>IF(AND($O$21&gt;0,$AE$21="O Germe de Pavor"),1,0)</f>
        <v/>
      </c>
      <c r="AC21" s="2">
        <f>IF(AND($O$21&gt;0,$V$21&lt;&gt;$N$8),1,0)</f>
        <v/>
      </c>
      <c r="AD21" s="2">
        <f>IF($O$21&gt;0,$V$21,0)</f>
        <v/>
      </c>
      <c r="AE21" s="2">
        <f>IF(ISNUMBER($N$21),INDEX('Inimigos'!$N$11:$N$54,$N$21)&amp;"","")</f>
        <v/>
      </c>
      <c r="AF21" s="2">
        <f>IF(LEN($BJ$21)&gt;0,1,0)+IF(LEN($BK$21)&gt;0,1,0)+IF(LEN($BL$21)&gt;0,1,0)+IF(LEN($BM$21)&gt;0,1,0)</f>
        <v/>
      </c>
      <c r="AG21" s="2">
        <f>$O$21*IF($AE$21="Escória de Stellaron",1.5,1)</f>
        <v/>
      </c>
      <c r="AK21" s="2">
        <f>IF(OR(LEN($BH$105)=0,$BH$105="Qualquer"),1,IF(COUNTIFS('Tabelas'!$AE$12:$AE$118,'Dados'!$E$102,'Tabelas'!$AF$12:$AF$118,$BH$105)+IF(LEN('Dados'!$AD$102)=0,0,COUNTIFS('Tabelas'!$AE$12:$AE$118,'Dados'!$AD$102,'Tabelas'!$AF$12:$AF$118,$BH$105))&gt;0,1,0))</f>
        <v/>
      </c>
      <c r="AL21" s="2">
        <f>$AL$20+IF(AND('Dados'!$C$102="Comum",'Dados'!$D$102=$N$105),1,0)*$AK$21</f>
        <v/>
      </c>
      <c r="AM21" s="2">
        <f>$AM$20+IF(AND('Dados'!$C$102="Elite",'Dados'!$D$102=$N$105),1,0)*$AK$21</f>
        <v/>
      </c>
      <c r="AN21" s="2">
        <f>$AN$20+IF(AND('Dados'!$C$102="Boss",'Dados'!$D$102=$N$105),1,0)*$AK$21</f>
        <v/>
      </c>
      <c r="AO21" s="2">
        <f>$AO$20+IF(AND('Dados'!$C$102="Comum",'Dados'!$D$102=$N$105),1,0)</f>
        <v/>
      </c>
      <c r="AP21" s="2">
        <f>$AP$20+IF(AND('Dados'!$C$102="Elite",'Dados'!$D$102=$N$105),1,0)</f>
        <v/>
      </c>
      <c r="AQ21" s="2">
        <f>$AQ$20+IF(AND('Dados'!$C$102="Boss",'Dados'!$D$102=$N$105),1,0)</f>
        <v/>
      </c>
      <c r="AT21" s="2">
        <f>IF(ISNUMBER($R$110),INDEX('Dados'!$S$92:$S$123,$R$110)&amp;"","")</f>
        <v/>
      </c>
      <c r="AU21" s="2">
        <f>IF(ISNUMBER($R$110),INDEX('Dados'!$U$92:$U$123,$R$110)&amp;"","")</f>
        <v/>
      </c>
      <c r="AV21" s="2">
        <f>IF(LEN($AT$21)=0,0,IF(COUNTIF('Grupo'!$T$7:$T$12,$AT$21)&gt;0,0,1))</f>
        <v/>
      </c>
      <c r="AW21" s="2">
        <f>$AW$20+IF(AND($AV$21=1,$AW$20&lt;$BE$12),IF(INDEX($BC$11:$BC$17,$AW$20+1)&lt;&gt;$AU$21,1,0),0)</f>
        <v/>
      </c>
      <c r="AX21" s="2">
        <f>IF($AW$21&gt;$AW$20,INDEX($BC$11:$BC$17,$AW$21),$AT$21)</f>
        <v/>
      </c>
      <c r="AY21" s="2">
        <f>IF($AW$21&gt;$AW$20,$S$110&amp;": "&amp;$AT$21&amp;" → "&amp;$AX$21&amp;"; ","")</f>
        <v/>
      </c>
      <c r="BG21" s="2">
        <f>IF(ISERROR($A$21),"",IF(ISBLANK($A$21),"",$A$21))</f>
        <v/>
      </c>
      <c r="BI21" s="2">
        <f>IF(ISERROR($C$21),"",IF(ISBLANK($C$21),"",$C$21))</f>
        <v/>
      </c>
      <c r="BJ21" s="2">
        <f>IF(ISERROR($D$21),"",IF(ISBLANK($D$21),"",$D$21))</f>
        <v/>
      </c>
      <c r="BK21" s="2">
        <f>IF(ISERROR($E$21),"",IF(ISBLANK($E$21),"",$E$21))</f>
        <v/>
      </c>
      <c r="BL21" s="2">
        <f>IF(ISERROR($F$21),"",IF(ISBLANK($F$21),"",$F$21))</f>
        <v/>
      </c>
      <c r="BM21" s="2">
        <f>IF(ISERROR($G$21),"",IF(ISBLANK($G$21),"",$G$21))</f>
        <v/>
      </c>
      <c r="BN21" s="2">
        <f>ISERROR($A$21)*1+ISERROR($C$21)*1+ISERROR($D$21)*1+ISERROR($E$21)*1+ISERROR($F$21)*1+ISERROR($G$21)*1</f>
        <v/>
      </c>
    </row>
    <row r="22" ht="26" customHeight="1">
      <c r="A22" s="35" t="n"/>
      <c r="B22" s="17" t="n"/>
      <c r="C22" s="37" t="n"/>
      <c r="D22" s="36" t="n"/>
      <c r="E22" s="36" t="n"/>
      <c r="F22" s="36" t="n"/>
      <c r="G22" s="36" t="n"/>
      <c r="H22" s="23">
        <f>IF(ISNUMBER($N$22),INDEX('Inimigos'!$O$11:$O$54,$N$22)&amp;"","")</f>
        <v/>
      </c>
      <c r="I22" s="23">
        <f>IF(ISNUMBER($N$22),INDEX('Inimigos'!$Q$11:$Q$54,$N$22),"")</f>
        <v/>
      </c>
      <c r="J22" s="23">
        <f>IF(ISNUMBER($N$22),$W$22,"")</f>
        <v/>
      </c>
      <c r="K22" s="27">
        <f>IF(BN22&gt;0,"O Google leu como fórmula: escolha de novo ou digite com ' na frente.",IF(LEN($BG$22)=0,"",IF(NOT(ISNUMBER($N$22)),"Criatura fora da lista (Inimigos e Bestiário)",IF(AND(ISNUMBER($BI$22),OR($BI$22&lt;0,$BI$22&gt;10)),"Quantidade fora de 0 a 10: usando o limite",IF((IF(AND(LEN($BJ$22)&gt;0,$BJ$22=$BK$22),1,0)+IF(AND(LEN($BJ$22)&gt;0,$BJ$22=$BL$22),1,0)+IF(AND(LEN($BJ$22)&gt;0,$BJ$22=$BM$22),1,0)+IF(AND(LEN($BK$22)&gt;0,$BK$22=$BL$22),1,0)+IF(AND(LEN($BK$22)&gt;0,$BK$22=$BM$22),1,0)+IF(AND(LEN($BL$22)&gt;0,$BL$22=$BM$22),1,0))&gt;0,"Fraqueza repetida nesta cena",IF(AND($AF$22&gt;0,$AF$22&lt;&gt;(IF(LEN(INDEX('Inimigos'!$AA$11:$AA$54,$N$22)&amp;"")&gt;0,1,0)+IF(LEN(INDEX('Inimigos'!$AB$11:$AB$54,$N$22)&amp;"")&gt;0,1,0)+IF(LEN(INDEX('Inimigos'!$AC$11:$AC$54,$N$22)&amp;"")&gt;0,1,0)+IF(LEN(INDEX('Inimigos'!$AD$11:$AD$54,$N$22)&amp;"")&gt;0,1,0))),"O nº de Fraquezas é regra (28.2 regra 7): troque, não acrescente nem tire",IF(AND(LEN($T$22)&gt;0,COUNTIF($P$22:$S$22,$T$22)&gt;0),"Fraqueza igual à Resistência da ficha","")))))))</f>
        <v/>
      </c>
      <c r="N22" s="2">
        <f>IF(LEN($BG$22)=0,"",IFERROR(MATCH($BG$22,'Inimigos'!$N$11:$N$54,0),""))</f>
        <v/>
      </c>
      <c r="O22" s="2">
        <f>IF(ISNUMBER($N$22),IF(ISNUMBER($BI$22),MIN(10,MAX(0,INT($BI$22))),1),0)</f>
        <v/>
      </c>
      <c r="P22" s="2">
        <f>IF($O$22=0,"",IF(OR(LEN($BJ$22)&gt;0,LEN($BK$22)&gt;0,LEN($BL$22)&gt;0,LEN($BM$22)&gt;0),$BJ$22&amp;"",INDEX('Inimigos'!$AA$11:$AA$54,$N$22)&amp;""))</f>
        <v/>
      </c>
      <c r="Q22" s="2">
        <f>IF($O$22=0,"",IF(OR(LEN($BJ$22)&gt;0,LEN($BK$22)&gt;0,LEN($BL$22)&gt;0,LEN($BM$22)&gt;0),$BK$22&amp;"",INDEX('Inimigos'!$AB$11:$AB$54,$N$22)&amp;""))</f>
        <v/>
      </c>
      <c r="R22" s="2">
        <f>IF($O$22=0,"",IF(OR(LEN($BJ$22)&gt;0,LEN($BK$22)&gt;0,LEN($BL$22)&gt;0,LEN($BM$22)&gt;0),$BL$22&amp;"",INDEX('Inimigos'!$AC$11:$AC$54,$N$22)&amp;""))</f>
        <v/>
      </c>
      <c r="S22" s="2">
        <f>IF($O$22=0,"",IF(OR(LEN($BJ$22)&gt;0,LEN($BK$22)&gt;0,LEN($BL$22)&gt;0,LEN($BM$22)&gt;0),$BM$22&amp;"",INDEX('Inimigos'!$AD$11:$AD$54,$N$22)&amp;""))</f>
        <v/>
      </c>
      <c r="T22" s="2">
        <f>IF($O$22=0,"",INDEX('Inimigos'!$AE$11:$AE$54,$N$22)&amp;"")</f>
        <v/>
      </c>
      <c r="U22" s="2">
        <f>IF(ISNUMBER($N$22),INDEX('Inimigos'!$O$11:$O$54,$N$22)&amp;"","")</f>
        <v/>
      </c>
      <c r="V22" s="2">
        <f>IF(ISNUMBER($N$22),INDEX('Inimigos'!$BF$11:$BF$54,$N$22),"")</f>
        <v/>
      </c>
      <c r="W22" s="2">
        <f>IF($O$22=0,0,INDEX('Inimigos'!$AI$11:$AI$54,$N$22)*$O$22)</f>
        <v/>
      </c>
      <c r="X22" s="2">
        <f>IF($O$22=0,0,INDEX('Inimigos'!$AH$11:$AH$54,$N$22)*$O$22)</f>
        <v/>
      </c>
      <c r="Y22" s="2">
        <f>$Y$21+$O$22</f>
        <v/>
      </c>
      <c r="Z22" s="2">
        <f>IF(AND($O$22&gt;0,LEN($T$22)&gt;0),IF(COUNTIF('Grupo'!$T$7:$T$12,$T$22)&gt;=2,1,0),0)</f>
        <v/>
      </c>
      <c r="AA22" s="2">
        <f>IF(AND($O$22&gt;0,OR($AE$22="Pretor Vazio-Nove",$AE$22="O Dramaturgo de Mil Faces")),1,0)</f>
        <v/>
      </c>
      <c r="AB22" s="2">
        <f>IF(AND($O$22&gt;0,$AE$22="O Germe de Pavor"),1,0)</f>
        <v/>
      </c>
      <c r="AC22" s="2">
        <f>IF(AND($O$22&gt;0,$V$22&lt;&gt;$N$8),1,0)</f>
        <v/>
      </c>
      <c r="AD22" s="2">
        <f>IF($O$22&gt;0,$V$22,0)</f>
        <v/>
      </c>
      <c r="AE22" s="2">
        <f>IF(ISNUMBER($N$22),INDEX('Inimigos'!$N$11:$N$54,$N$22)&amp;"","")</f>
        <v/>
      </c>
      <c r="AF22" s="2">
        <f>IF(LEN($BJ$22)&gt;0,1,0)+IF(LEN($BK$22)&gt;0,1,0)+IF(LEN($BL$22)&gt;0,1,0)+IF(LEN($BM$22)&gt;0,1,0)</f>
        <v/>
      </c>
      <c r="AG22" s="2">
        <f>$O$22*IF($AE$22="Escória de Stellaron",1.5,1)</f>
        <v/>
      </c>
      <c r="AK22" s="2">
        <f>IF(OR(LEN($BH$105)=0,$BH$105="Qualquer"),1,IF(COUNTIFS('Tabelas'!$AE$12:$AE$118,'Dados'!$E$103,'Tabelas'!$AF$12:$AF$118,$BH$105)+IF(LEN('Dados'!$AD$103)=0,0,COUNTIFS('Tabelas'!$AE$12:$AE$118,'Dados'!$AD$103,'Tabelas'!$AF$12:$AF$118,$BH$105))&gt;0,1,0))</f>
        <v/>
      </c>
      <c r="AL22" s="2">
        <f>$AL$21+IF(AND('Dados'!$C$103="Comum",'Dados'!$D$103=$N$105),1,0)*$AK$22</f>
        <v/>
      </c>
      <c r="AM22" s="2">
        <f>$AM$21+IF(AND('Dados'!$C$103="Elite",'Dados'!$D$103=$N$105),1,0)*$AK$22</f>
        <v/>
      </c>
      <c r="AN22" s="2">
        <f>$AN$21+IF(AND('Dados'!$C$103="Boss",'Dados'!$D$103=$N$105),1,0)*$AK$22</f>
        <v/>
      </c>
      <c r="AO22" s="2">
        <f>$AO$21+IF(AND('Dados'!$C$103="Comum",'Dados'!$D$103=$N$105),1,0)</f>
        <v/>
      </c>
      <c r="AP22" s="2">
        <f>$AP$21+IF(AND('Dados'!$C$103="Elite",'Dados'!$D$103=$N$105),1,0)</f>
        <v/>
      </c>
      <c r="AQ22" s="2">
        <f>$AQ$21+IF(AND('Dados'!$C$103="Boss",'Dados'!$D$103=$N$105),1,0)</f>
        <v/>
      </c>
      <c r="AT22" s="2">
        <f>IF(ISNUMBER($R$110),INDEX('Dados'!$T$92:$T$123,$R$110)&amp;"","")</f>
        <v/>
      </c>
      <c r="AU22" s="2">
        <f>IF(ISNUMBER($R$110),INDEX('Dados'!$U$92:$U$123,$R$110)&amp;"","")</f>
        <v/>
      </c>
      <c r="AV22" s="2">
        <f>IF(LEN($AT$22)=0,0,IF(COUNTIF('Grupo'!$T$7:$T$12,$AT$22)&gt;0,0,1))</f>
        <v/>
      </c>
      <c r="AW22" s="2">
        <f>$AW$21+IF(AND($AV$22=1,$AW$21&lt;$BE$12),IF(INDEX($BC$11:$BC$17,$AW$21+1)&lt;&gt;$AU$22,1,0),0)</f>
        <v/>
      </c>
      <c r="AX22" s="2">
        <f>IF($AW$22&gt;$AW$21,INDEX($BC$11:$BC$17,$AW$22),$AT$22)</f>
        <v/>
      </c>
      <c r="AY22" s="2">
        <f>IF($AW$22&gt;$AW$21,$S$110&amp;": "&amp;$AT$22&amp;" → "&amp;$AX$22&amp;"; ","")</f>
        <v/>
      </c>
      <c r="BG22" s="2">
        <f>IF(ISERROR($A$22),"",IF(ISBLANK($A$22),"",$A$22))</f>
        <v/>
      </c>
      <c r="BI22" s="2">
        <f>IF(ISERROR($C$22),"",IF(ISBLANK($C$22),"",$C$22))</f>
        <v/>
      </c>
      <c r="BJ22" s="2">
        <f>IF(ISERROR($D$22),"",IF(ISBLANK($D$22),"",$D$22))</f>
        <v/>
      </c>
      <c r="BK22" s="2">
        <f>IF(ISERROR($E$22),"",IF(ISBLANK($E$22),"",$E$22))</f>
        <v/>
      </c>
      <c r="BL22" s="2">
        <f>IF(ISERROR($F$22),"",IF(ISBLANK($F$22),"",$F$22))</f>
        <v/>
      </c>
      <c r="BM22" s="2">
        <f>IF(ISERROR($G$22),"",IF(ISBLANK($G$22),"",$G$22))</f>
        <v/>
      </c>
      <c r="BN22" s="2">
        <f>ISERROR($A$22)*1+ISERROR($C$22)*1+ISERROR($D$22)*1+ISERROR($E$22)*1+ISERROR($F$22)*1+ISERROR($G$22)*1</f>
        <v/>
      </c>
    </row>
    <row r="23" ht="26" customHeight="1">
      <c r="A23" s="33" t="n"/>
      <c r="B23" s="17" t="n"/>
      <c r="C23" s="16" t="n"/>
      <c r="D23" s="34" t="n"/>
      <c r="E23" s="34" t="n"/>
      <c r="F23" s="34" t="n"/>
      <c r="G23" s="34" t="n"/>
      <c r="H23" s="18">
        <f>IF(ISNUMBER($N$23),INDEX('Inimigos'!$O$11:$O$54,$N$23)&amp;"","")</f>
        <v/>
      </c>
      <c r="I23" s="18">
        <f>IF(ISNUMBER($N$23),INDEX('Inimigos'!$Q$11:$Q$54,$N$23),"")</f>
        <v/>
      </c>
      <c r="J23" s="18">
        <f>IF(ISNUMBER($N$23),$W$23,"")</f>
        <v/>
      </c>
      <c r="K23" s="19">
        <f>IF(BN23&gt;0,"O Google leu como fórmula: escolha de novo ou digite com ' na frente.",IF(LEN($BG$23)=0,"",IF(NOT(ISNUMBER($N$23)),"Criatura fora da lista (Inimigos e Bestiário)",IF(AND(ISNUMBER($BI$23),OR($BI$23&lt;0,$BI$23&gt;10)),"Quantidade fora de 0 a 10: usando o limite",IF((IF(AND(LEN($BJ$23)&gt;0,$BJ$23=$BK$23),1,0)+IF(AND(LEN($BJ$23)&gt;0,$BJ$23=$BL$23),1,0)+IF(AND(LEN($BJ$23)&gt;0,$BJ$23=$BM$23),1,0)+IF(AND(LEN($BK$23)&gt;0,$BK$23=$BL$23),1,0)+IF(AND(LEN($BK$23)&gt;0,$BK$23=$BM$23),1,0)+IF(AND(LEN($BL$23)&gt;0,$BL$23=$BM$23),1,0))&gt;0,"Fraqueza repetida nesta cena",IF(AND($AF$23&gt;0,$AF$23&lt;&gt;(IF(LEN(INDEX('Inimigos'!$AA$11:$AA$54,$N$23)&amp;"")&gt;0,1,0)+IF(LEN(INDEX('Inimigos'!$AB$11:$AB$54,$N$23)&amp;"")&gt;0,1,0)+IF(LEN(INDEX('Inimigos'!$AC$11:$AC$54,$N$23)&amp;"")&gt;0,1,0)+IF(LEN(INDEX('Inimigos'!$AD$11:$AD$54,$N$23)&amp;"")&gt;0,1,0))),"O nº de Fraquezas é regra (28.2 regra 7): troque, não acrescente nem tire",IF(AND(LEN($T$23)&gt;0,COUNTIF($P$23:$S$23,$T$23)&gt;0),"Fraqueza igual à Resistência da ficha","")))))))</f>
        <v/>
      </c>
      <c r="N23" s="2">
        <f>IF(LEN($BG$23)=0,"",IFERROR(MATCH($BG$23,'Inimigos'!$N$11:$N$54,0),""))</f>
        <v/>
      </c>
      <c r="O23" s="2">
        <f>IF(ISNUMBER($N$23),IF(ISNUMBER($BI$23),MIN(10,MAX(0,INT($BI$23))),1),0)</f>
        <v/>
      </c>
      <c r="P23" s="2">
        <f>IF($O$23=0,"",IF(OR(LEN($BJ$23)&gt;0,LEN($BK$23)&gt;0,LEN($BL$23)&gt;0,LEN($BM$23)&gt;0),$BJ$23&amp;"",INDEX('Inimigos'!$AA$11:$AA$54,$N$23)&amp;""))</f>
        <v/>
      </c>
      <c r="Q23" s="2">
        <f>IF($O$23=0,"",IF(OR(LEN($BJ$23)&gt;0,LEN($BK$23)&gt;0,LEN($BL$23)&gt;0,LEN($BM$23)&gt;0),$BK$23&amp;"",INDEX('Inimigos'!$AB$11:$AB$54,$N$23)&amp;""))</f>
        <v/>
      </c>
      <c r="R23" s="2">
        <f>IF($O$23=0,"",IF(OR(LEN($BJ$23)&gt;0,LEN($BK$23)&gt;0,LEN($BL$23)&gt;0,LEN($BM$23)&gt;0),$BL$23&amp;"",INDEX('Inimigos'!$AC$11:$AC$54,$N$23)&amp;""))</f>
        <v/>
      </c>
      <c r="S23" s="2">
        <f>IF($O$23=0,"",IF(OR(LEN($BJ$23)&gt;0,LEN($BK$23)&gt;0,LEN($BL$23)&gt;0,LEN($BM$23)&gt;0),$BM$23&amp;"",INDEX('Inimigos'!$AD$11:$AD$54,$N$23)&amp;""))</f>
        <v/>
      </c>
      <c r="T23" s="2">
        <f>IF($O$23=0,"",INDEX('Inimigos'!$AE$11:$AE$54,$N$23)&amp;"")</f>
        <v/>
      </c>
      <c r="U23" s="2">
        <f>IF(ISNUMBER($N$23),INDEX('Inimigos'!$O$11:$O$54,$N$23)&amp;"","")</f>
        <v/>
      </c>
      <c r="V23" s="2">
        <f>IF(ISNUMBER($N$23),INDEX('Inimigos'!$BF$11:$BF$54,$N$23),"")</f>
        <v/>
      </c>
      <c r="W23" s="2">
        <f>IF($O$23=0,0,INDEX('Inimigos'!$AI$11:$AI$54,$N$23)*$O$23)</f>
        <v/>
      </c>
      <c r="X23" s="2">
        <f>IF($O$23=0,0,INDEX('Inimigos'!$AH$11:$AH$54,$N$23)*$O$23)</f>
        <v/>
      </c>
      <c r="Y23" s="2">
        <f>$Y$22+$O$23</f>
        <v/>
      </c>
      <c r="Z23" s="2">
        <f>IF(AND($O$23&gt;0,LEN($T$23)&gt;0),IF(COUNTIF('Grupo'!$T$7:$T$12,$T$23)&gt;=2,1,0),0)</f>
        <v/>
      </c>
      <c r="AA23" s="2">
        <f>IF(AND($O$23&gt;0,OR($AE$23="Pretor Vazio-Nove",$AE$23="O Dramaturgo de Mil Faces")),1,0)</f>
        <v/>
      </c>
      <c r="AB23" s="2">
        <f>IF(AND($O$23&gt;0,$AE$23="O Germe de Pavor"),1,0)</f>
        <v/>
      </c>
      <c r="AC23" s="2">
        <f>IF(AND($O$23&gt;0,$V$23&lt;&gt;$N$8),1,0)</f>
        <v/>
      </c>
      <c r="AD23" s="2">
        <f>IF($O$23&gt;0,$V$23,0)</f>
        <v/>
      </c>
      <c r="AE23" s="2">
        <f>IF(ISNUMBER($N$23),INDEX('Inimigos'!$N$11:$N$54,$N$23)&amp;"","")</f>
        <v/>
      </c>
      <c r="AF23" s="2">
        <f>IF(LEN($BJ$23)&gt;0,1,0)+IF(LEN($BK$23)&gt;0,1,0)+IF(LEN($BL$23)&gt;0,1,0)+IF(LEN($BM$23)&gt;0,1,0)</f>
        <v/>
      </c>
      <c r="AG23" s="2">
        <f>$O$23*IF($AE$23="Escória de Stellaron",1.5,1)</f>
        <v/>
      </c>
      <c r="AK23" s="2">
        <f>IF(OR(LEN($BH$105)=0,$BH$105="Qualquer"),1,IF(COUNTIFS('Tabelas'!$AE$12:$AE$118,'Dados'!$E$104,'Tabelas'!$AF$12:$AF$118,$BH$105)+IF(LEN('Dados'!$AD$104)=0,0,COUNTIFS('Tabelas'!$AE$12:$AE$118,'Dados'!$AD$104,'Tabelas'!$AF$12:$AF$118,$BH$105))&gt;0,1,0))</f>
        <v/>
      </c>
      <c r="AL23" s="2">
        <f>$AL$22+IF(AND('Dados'!$C$104="Comum",'Dados'!$D$104=$N$105),1,0)*$AK$23</f>
        <v/>
      </c>
      <c r="AM23" s="2">
        <f>$AM$22+IF(AND('Dados'!$C$104="Elite",'Dados'!$D$104=$N$105),1,0)*$AK$23</f>
        <v/>
      </c>
      <c r="AN23" s="2">
        <f>$AN$22+IF(AND('Dados'!$C$104="Boss",'Dados'!$D$104=$N$105),1,0)*$AK$23</f>
        <v/>
      </c>
      <c r="AO23" s="2">
        <f>$AO$22+IF(AND('Dados'!$C$104="Comum",'Dados'!$D$104=$N$105),1,0)</f>
        <v/>
      </c>
      <c r="AP23" s="2">
        <f>$AP$22+IF(AND('Dados'!$C$104="Elite",'Dados'!$D$104=$N$105),1,0)</f>
        <v/>
      </c>
      <c r="AQ23" s="2">
        <f>$AQ$22+IF(AND('Dados'!$C$104="Boss",'Dados'!$D$104=$N$105),1,0)</f>
        <v/>
      </c>
      <c r="AT23" s="2">
        <f>IF(ISNUMBER($R$111),INDEX('Dados'!$Q$92:$Q$123,$R$111)&amp;"","")</f>
        <v/>
      </c>
      <c r="AU23" s="2">
        <f>IF(ISNUMBER($R$111),INDEX('Dados'!$U$92:$U$123,$R$111)&amp;"","")</f>
        <v/>
      </c>
      <c r="AV23" s="2">
        <f>IF(LEN($AT$23)=0,0,IF(COUNTIF('Grupo'!$T$7:$T$12,$AT$23)&gt;0,0,1))</f>
        <v/>
      </c>
      <c r="AW23" s="2">
        <f>$AW$22+IF(AND($AV$23=1,$AW$22&lt;$BE$12),IF(INDEX($BC$11:$BC$17,$AW$22+1)&lt;&gt;$AU$23,1,0),0)</f>
        <v/>
      </c>
      <c r="AX23" s="2">
        <f>IF($AW$23&gt;$AW$22,INDEX($BC$11:$BC$17,$AW$23),$AT$23)</f>
        <v/>
      </c>
      <c r="AY23" s="2">
        <f>IF($AW$23&gt;$AW$22,$S$111&amp;": "&amp;$AT$23&amp;" → "&amp;$AX$23&amp;"; ","")</f>
        <v/>
      </c>
      <c r="BG23" s="2">
        <f>IF(ISERROR($A$23),"",IF(ISBLANK($A$23),"",$A$23))</f>
        <v/>
      </c>
      <c r="BI23" s="2">
        <f>IF(ISERROR($C$23),"",IF(ISBLANK($C$23),"",$C$23))</f>
        <v/>
      </c>
      <c r="BJ23" s="2">
        <f>IF(ISERROR($D$23),"",IF(ISBLANK($D$23),"",$D$23))</f>
        <v/>
      </c>
      <c r="BK23" s="2">
        <f>IF(ISERROR($E$23),"",IF(ISBLANK($E$23),"",$E$23))</f>
        <v/>
      </c>
      <c r="BL23" s="2">
        <f>IF(ISERROR($F$23),"",IF(ISBLANK($F$23),"",$F$23))</f>
        <v/>
      </c>
      <c r="BM23" s="2">
        <f>IF(ISERROR($G$23),"",IF(ISBLANK($G$23),"",$G$23))</f>
        <v/>
      </c>
      <c r="BN23" s="2">
        <f>ISERROR($A$23)*1+ISERROR($C$23)*1+ISERROR($D$23)*1+ISERROR($E$23)*1+ISERROR($F$23)*1+ISERROR($G$23)*1</f>
        <v/>
      </c>
    </row>
    <row r="24" ht="26" customHeight="1">
      <c r="A24" s="35" t="n"/>
      <c r="B24" s="17" t="n"/>
      <c r="C24" s="37" t="n"/>
      <c r="D24" s="36" t="n"/>
      <c r="E24" s="36" t="n"/>
      <c r="F24" s="36" t="n"/>
      <c r="G24" s="36" t="n"/>
      <c r="H24" s="23">
        <f>IF(ISNUMBER($N$24),INDEX('Inimigos'!$O$11:$O$54,$N$24)&amp;"","")</f>
        <v/>
      </c>
      <c r="I24" s="23">
        <f>IF(ISNUMBER($N$24),INDEX('Inimigos'!$Q$11:$Q$54,$N$24),"")</f>
        <v/>
      </c>
      <c r="J24" s="23">
        <f>IF(ISNUMBER($N$24),$W$24,"")</f>
        <v/>
      </c>
      <c r="K24" s="27">
        <f>IF(BN24&gt;0,"O Google leu como fórmula: escolha de novo ou digite com ' na frente.",IF(LEN($BG$24)=0,"",IF(NOT(ISNUMBER($N$24)),"Criatura fora da lista (Inimigos e Bestiário)",IF(AND(ISNUMBER($BI$24),OR($BI$24&lt;0,$BI$24&gt;10)),"Quantidade fora de 0 a 10: usando o limite",IF((IF(AND(LEN($BJ$24)&gt;0,$BJ$24=$BK$24),1,0)+IF(AND(LEN($BJ$24)&gt;0,$BJ$24=$BL$24),1,0)+IF(AND(LEN($BJ$24)&gt;0,$BJ$24=$BM$24),1,0)+IF(AND(LEN($BK$24)&gt;0,$BK$24=$BL$24),1,0)+IF(AND(LEN($BK$24)&gt;0,$BK$24=$BM$24),1,0)+IF(AND(LEN($BL$24)&gt;0,$BL$24=$BM$24),1,0))&gt;0,"Fraqueza repetida nesta cena",IF(AND($AF$24&gt;0,$AF$24&lt;&gt;(IF(LEN(INDEX('Inimigos'!$AA$11:$AA$54,$N$24)&amp;"")&gt;0,1,0)+IF(LEN(INDEX('Inimigos'!$AB$11:$AB$54,$N$24)&amp;"")&gt;0,1,0)+IF(LEN(INDEX('Inimigos'!$AC$11:$AC$54,$N$24)&amp;"")&gt;0,1,0)+IF(LEN(INDEX('Inimigos'!$AD$11:$AD$54,$N$24)&amp;"")&gt;0,1,0))),"O nº de Fraquezas é regra (28.2 regra 7): troque, não acrescente nem tire",IF(AND(LEN($T$24)&gt;0,COUNTIF($P$24:$S$24,$T$24)&gt;0),"Fraqueza igual à Resistência da ficha","")))))))</f>
        <v/>
      </c>
      <c r="N24" s="2">
        <f>IF(LEN($BG$24)=0,"",IFERROR(MATCH($BG$24,'Inimigos'!$N$11:$N$54,0),""))</f>
        <v/>
      </c>
      <c r="O24" s="2">
        <f>IF(ISNUMBER($N$24),IF(ISNUMBER($BI$24),MIN(10,MAX(0,INT($BI$24))),1),0)</f>
        <v/>
      </c>
      <c r="P24" s="2">
        <f>IF($O$24=0,"",IF(OR(LEN($BJ$24)&gt;0,LEN($BK$24)&gt;0,LEN($BL$24)&gt;0,LEN($BM$24)&gt;0),$BJ$24&amp;"",INDEX('Inimigos'!$AA$11:$AA$54,$N$24)&amp;""))</f>
        <v/>
      </c>
      <c r="Q24" s="2">
        <f>IF($O$24=0,"",IF(OR(LEN($BJ$24)&gt;0,LEN($BK$24)&gt;0,LEN($BL$24)&gt;0,LEN($BM$24)&gt;0),$BK$24&amp;"",INDEX('Inimigos'!$AB$11:$AB$54,$N$24)&amp;""))</f>
        <v/>
      </c>
      <c r="R24" s="2">
        <f>IF($O$24=0,"",IF(OR(LEN($BJ$24)&gt;0,LEN($BK$24)&gt;0,LEN($BL$24)&gt;0,LEN($BM$24)&gt;0),$BL$24&amp;"",INDEX('Inimigos'!$AC$11:$AC$54,$N$24)&amp;""))</f>
        <v/>
      </c>
      <c r="S24" s="2">
        <f>IF($O$24=0,"",IF(OR(LEN($BJ$24)&gt;0,LEN($BK$24)&gt;0,LEN($BL$24)&gt;0,LEN($BM$24)&gt;0),$BM$24&amp;"",INDEX('Inimigos'!$AD$11:$AD$54,$N$24)&amp;""))</f>
        <v/>
      </c>
      <c r="T24" s="2">
        <f>IF($O$24=0,"",INDEX('Inimigos'!$AE$11:$AE$54,$N$24)&amp;"")</f>
        <v/>
      </c>
      <c r="U24" s="2">
        <f>IF(ISNUMBER($N$24),INDEX('Inimigos'!$O$11:$O$54,$N$24)&amp;"","")</f>
        <v/>
      </c>
      <c r="V24" s="2">
        <f>IF(ISNUMBER($N$24),INDEX('Inimigos'!$BF$11:$BF$54,$N$24),"")</f>
        <v/>
      </c>
      <c r="W24" s="2">
        <f>IF($O$24=0,0,INDEX('Inimigos'!$AI$11:$AI$54,$N$24)*$O$24)</f>
        <v/>
      </c>
      <c r="X24" s="2">
        <f>IF($O$24=0,0,INDEX('Inimigos'!$AH$11:$AH$54,$N$24)*$O$24)</f>
        <v/>
      </c>
      <c r="Y24" s="2">
        <f>$Y$23+$O$24</f>
        <v/>
      </c>
      <c r="Z24" s="2">
        <f>IF(AND($O$24&gt;0,LEN($T$24)&gt;0),IF(COUNTIF('Grupo'!$T$7:$T$12,$T$24)&gt;=2,1,0),0)</f>
        <v/>
      </c>
      <c r="AA24" s="2">
        <f>IF(AND($O$24&gt;0,OR($AE$24="Pretor Vazio-Nove",$AE$24="O Dramaturgo de Mil Faces")),1,0)</f>
        <v/>
      </c>
      <c r="AB24" s="2">
        <f>IF(AND($O$24&gt;0,$AE$24="O Germe de Pavor"),1,0)</f>
        <v/>
      </c>
      <c r="AC24" s="2">
        <f>IF(AND($O$24&gt;0,$V$24&lt;&gt;$N$8),1,0)</f>
        <v/>
      </c>
      <c r="AD24" s="2">
        <f>IF($O$24&gt;0,$V$24,0)</f>
        <v/>
      </c>
      <c r="AE24" s="2">
        <f>IF(ISNUMBER($N$24),INDEX('Inimigos'!$N$11:$N$54,$N$24)&amp;"","")</f>
        <v/>
      </c>
      <c r="AF24" s="2">
        <f>IF(LEN($BJ$24)&gt;0,1,0)+IF(LEN($BK$24)&gt;0,1,0)+IF(LEN($BL$24)&gt;0,1,0)+IF(LEN($BM$24)&gt;0,1,0)</f>
        <v/>
      </c>
      <c r="AG24" s="2">
        <f>$O$24*IF($AE$24="Escória de Stellaron",1.5,1)</f>
        <v/>
      </c>
      <c r="AK24" s="2">
        <f>IF(OR(LEN($BH$105)=0,$BH$105="Qualquer"),1,IF(COUNTIFS('Tabelas'!$AE$12:$AE$118,'Dados'!$E$105,'Tabelas'!$AF$12:$AF$118,$BH$105)+IF(LEN('Dados'!$AD$105)=0,0,COUNTIFS('Tabelas'!$AE$12:$AE$118,'Dados'!$AD$105,'Tabelas'!$AF$12:$AF$118,$BH$105))&gt;0,1,0))</f>
        <v/>
      </c>
      <c r="AL24" s="2">
        <f>$AL$23+IF(AND('Dados'!$C$105="Comum",'Dados'!$D$105=$N$105),1,0)*$AK$24</f>
        <v/>
      </c>
      <c r="AM24" s="2">
        <f>$AM$23+IF(AND('Dados'!$C$105="Elite",'Dados'!$D$105=$N$105),1,0)*$AK$24</f>
        <v/>
      </c>
      <c r="AN24" s="2">
        <f>$AN$23+IF(AND('Dados'!$C$105="Boss",'Dados'!$D$105=$N$105),1,0)*$AK$24</f>
        <v/>
      </c>
      <c r="AO24" s="2">
        <f>$AO$23+IF(AND('Dados'!$C$105="Comum",'Dados'!$D$105=$N$105),1,0)</f>
        <v/>
      </c>
      <c r="AP24" s="2">
        <f>$AP$23+IF(AND('Dados'!$C$105="Elite",'Dados'!$D$105=$N$105),1,0)</f>
        <v/>
      </c>
      <c r="AQ24" s="2">
        <f>$AQ$23+IF(AND('Dados'!$C$105="Boss",'Dados'!$D$105=$N$105),1,0)</f>
        <v/>
      </c>
      <c r="AT24" s="2">
        <f>IF(ISNUMBER($R$111),INDEX('Dados'!$R$92:$R$123,$R$111)&amp;"","")</f>
        <v/>
      </c>
      <c r="AU24" s="2">
        <f>IF(ISNUMBER($R$111),INDEX('Dados'!$U$92:$U$123,$R$111)&amp;"","")</f>
        <v/>
      </c>
      <c r="AV24" s="2">
        <f>IF(LEN($AT$24)=0,0,IF(COUNTIF('Grupo'!$T$7:$T$12,$AT$24)&gt;0,0,1))</f>
        <v/>
      </c>
      <c r="AW24" s="2">
        <f>$AW$23+IF(AND($AV$24=1,$AW$23&lt;$BE$12),IF(INDEX($BC$11:$BC$17,$AW$23+1)&lt;&gt;$AU$24,1,0),0)</f>
        <v/>
      </c>
      <c r="AX24" s="2">
        <f>IF($AW$24&gt;$AW$23,INDEX($BC$11:$BC$17,$AW$24),$AT$24)</f>
        <v/>
      </c>
      <c r="AY24" s="2">
        <f>IF($AW$24&gt;$AW$23,$S$111&amp;": "&amp;$AT$24&amp;" → "&amp;$AX$24&amp;"; ","")</f>
        <v/>
      </c>
      <c r="BG24" s="2">
        <f>IF(ISERROR($A$24),"",IF(ISBLANK($A$24),"",$A$24))</f>
        <v/>
      </c>
      <c r="BI24" s="2">
        <f>IF(ISERROR($C$24),"",IF(ISBLANK($C$24),"",$C$24))</f>
        <v/>
      </c>
      <c r="BJ24" s="2">
        <f>IF(ISERROR($D$24),"",IF(ISBLANK($D$24),"",$D$24))</f>
        <v/>
      </c>
      <c r="BK24" s="2">
        <f>IF(ISERROR($E$24),"",IF(ISBLANK($E$24),"",$E$24))</f>
        <v/>
      </c>
      <c r="BL24" s="2">
        <f>IF(ISERROR($F$24),"",IF(ISBLANK($F$24),"",$F$24))</f>
        <v/>
      </c>
      <c r="BM24" s="2">
        <f>IF(ISERROR($G$24),"",IF(ISBLANK($G$24),"",$G$24))</f>
        <v/>
      </c>
      <c r="BN24" s="2">
        <f>ISERROR($A$24)*1+ISERROR($C$24)*1+ISERROR($D$24)*1+ISERROR($E$24)*1+ISERROR($F$24)*1+ISERROR($G$24)*1</f>
        <v/>
      </c>
    </row>
    <row r="25" ht="26" customHeight="1">
      <c r="A25" s="33" t="n"/>
      <c r="B25" s="17" t="n"/>
      <c r="C25" s="16" t="n"/>
      <c r="D25" s="34" t="n"/>
      <c r="E25" s="34" t="n"/>
      <c r="F25" s="34" t="n"/>
      <c r="G25" s="34" t="n"/>
      <c r="H25" s="18">
        <f>IF(ISNUMBER($N$25),INDEX('Inimigos'!$O$11:$O$54,$N$25)&amp;"","")</f>
        <v/>
      </c>
      <c r="I25" s="18">
        <f>IF(ISNUMBER($N$25),INDEX('Inimigos'!$Q$11:$Q$54,$N$25),"")</f>
        <v/>
      </c>
      <c r="J25" s="18">
        <f>IF(ISNUMBER($N$25),$W$25,"")</f>
        <v/>
      </c>
      <c r="K25" s="19">
        <f>IF(BN25&gt;0,"O Google leu como fórmula: escolha de novo ou digite com ' na frente.",IF(LEN($BG$25)=0,"",IF(NOT(ISNUMBER($N$25)),"Criatura fora da lista (Inimigos e Bestiário)",IF(AND(ISNUMBER($BI$25),OR($BI$25&lt;0,$BI$25&gt;10)),"Quantidade fora de 0 a 10: usando o limite",IF((IF(AND(LEN($BJ$25)&gt;0,$BJ$25=$BK$25),1,0)+IF(AND(LEN($BJ$25)&gt;0,$BJ$25=$BL$25),1,0)+IF(AND(LEN($BJ$25)&gt;0,$BJ$25=$BM$25),1,0)+IF(AND(LEN($BK$25)&gt;0,$BK$25=$BL$25),1,0)+IF(AND(LEN($BK$25)&gt;0,$BK$25=$BM$25),1,0)+IF(AND(LEN($BL$25)&gt;0,$BL$25=$BM$25),1,0))&gt;0,"Fraqueza repetida nesta cena",IF(AND($AF$25&gt;0,$AF$25&lt;&gt;(IF(LEN(INDEX('Inimigos'!$AA$11:$AA$54,$N$25)&amp;"")&gt;0,1,0)+IF(LEN(INDEX('Inimigos'!$AB$11:$AB$54,$N$25)&amp;"")&gt;0,1,0)+IF(LEN(INDEX('Inimigos'!$AC$11:$AC$54,$N$25)&amp;"")&gt;0,1,0)+IF(LEN(INDEX('Inimigos'!$AD$11:$AD$54,$N$25)&amp;"")&gt;0,1,0))),"O nº de Fraquezas é regra (28.2 regra 7): troque, não acrescente nem tire",IF(AND(LEN($T$25)&gt;0,COUNTIF($P$25:$S$25,$T$25)&gt;0),"Fraqueza igual à Resistência da ficha","")))))))</f>
        <v/>
      </c>
      <c r="N25" s="2">
        <f>IF(LEN($BG$25)=0,"",IFERROR(MATCH($BG$25,'Inimigos'!$N$11:$N$54,0),""))</f>
        <v/>
      </c>
      <c r="O25" s="2">
        <f>IF(ISNUMBER($N$25),IF(ISNUMBER($BI$25),MIN(10,MAX(0,INT($BI$25))),1),0)</f>
        <v/>
      </c>
      <c r="P25" s="2">
        <f>IF($O$25=0,"",IF(OR(LEN($BJ$25)&gt;0,LEN($BK$25)&gt;0,LEN($BL$25)&gt;0,LEN($BM$25)&gt;0),$BJ$25&amp;"",INDEX('Inimigos'!$AA$11:$AA$54,$N$25)&amp;""))</f>
        <v/>
      </c>
      <c r="Q25" s="2">
        <f>IF($O$25=0,"",IF(OR(LEN($BJ$25)&gt;0,LEN($BK$25)&gt;0,LEN($BL$25)&gt;0,LEN($BM$25)&gt;0),$BK$25&amp;"",INDEX('Inimigos'!$AB$11:$AB$54,$N$25)&amp;""))</f>
        <v/>
      </c>
      <c r="R25" s="2">
        <f>IF($O$25=0,"",IF(OR(LEN($BJ$25)&gt;0,LEN($BK$25)&gt;0,LEN($BL$25)&gt;0,LEN($BM$25)&gt;0),$BL$25&amp;"",INDEX('Inimigos'!$AC$11:$AC$54,$N$25)&amp;""))</f>
        <v/>
      </c>
      <c r="S25" s="2">
        <f>IF($O$25=0,"",IF(OR(LEN($BJ$25)&gt;0,LEN($BK$25)&gt;0,LEN($BL$25)&gt;0,LEN($BM$25)&gt;0),$BM$25&amp;"",INDEX('Inimigos'!$AD$11:$AD$54,$N$25)&amp;""))</f>
        <v/>
      </c>
      <c r="T25" s="2">
        <f>IF($O$25=0,"",INDEX('Inimigos'!$AE$11:$AE$54,$N$25)&amp;"")</f>
        <v/>
      </c>
      <c r="U25" s="2">
        <f>IF(ISNUMBER($N$25),INDEX('Inimigos'!$O$11:$O$54,$N$25)&amp;"","")</f>
        <v/>
      </c>
      <c r="V25" s="2">
        <f>IF(ISNUMBER($N$25),INDEX('Inimigos'!$BF$11:$BF$54,$N$25),"")</f>
        <v/>
      </c>
      <c r="W25" s="2">
        <f>IF($O$25=0,0,INDEX('Inimigos'!$AI$11:$AI$54,$N$25)*$O$25)</f>
        <v/>
      </c>
      <c r="X25" s="2">
        <f>IF($O$25=0,0,INDEX('Inimigos'!$AH$11:$AH$54,$N$25)*$O$25)</f>
        <v/>
      </c>
      <c r="Y25" s="2">
        <f>$Y$24+$O$25</f>
        <v/>
      </c>
      <c r="Z25" s="2">
        <f>IF(AND($O$25&gt;0,LEN($T$25)&gt;0),IF(COUNTIF('Grupo'!$T$7:$T$12,$T$25)&gt;=2,1,0),0)</f>
        <v/>
      </c>
      <c r="AA25" s="2">
        <f>IF(AND($O$25&gt;0,OR($AE$25="Pretor Vazio-Nove",$AE$25="O Dramaturgo de Mil Faces")),1,0)</f>
        <v/>
      </c>
      <c r="AB25" s="2">
        <f>IF(AND($O$25&gt;0,$AE$25="O Germe de Pavor"),1,0)</f>
        <v/>
      </c>
      <c r="AC25" s="2">
        <f>IF(AND($O$25&gt;0,$V$25&lt;&gt;$N$8),1,0)</f>
        <v/>
      </c>
      <c r="AD25" s="2">
        <f>IF($O$25&gt;0,$V$25,0)</f>
        <v/>
      </c>
      <c r="AE25" s="2">
        <f>IF(ISNUMBER($N$25),INDEX('Inimigos'!$N$11:$N$54,$N$25)&amp;"","")</f>
        <v/>
      </c>
      <c r="AF25" s="2">
        <f>IF(LEN($BJ$25)&gt;0,1,0)+IF(LEN($BK$25)&gt;0,1,0)+IF(LEN($BL$25)&gt;0,1,0)+IF(LEN($BM$25)&gt;0,1,0)</f>
        <v/>
      </c>
      <c r="AG25" s="2">
        <f>$O$25*IF($AE$25="Escória de Stellaron",1.5,1)</f>
        <v/>
      </c>
      <c r="AK25" s="2">
        <f>IF(OR(LEN($BH$105)=0,$BH$105="Qualquer"),1,IF(COUNTIFS('Tabelas'!$AE$12:$AE$118,'Dados'!$E$106,'Tabelas'!$AF$12:$AF$118,$BH$105)+IF(LEN('Dados'!$AD$106)=0,0,COUNTIFS('Tabelas'!$AE$12:$AE$118,'Dados'!$AD$106,'Tabelas'!$AF$12:$AF$118,$BH$105))&gt;0,1,0))</f>
        <v/>
      </c>
      <c r="AL25" s="2">
        <f>$AL$24+IF(AND('Dados'!$C$106="Comum",'Dados'!$D$106=$N$105),1,0)*$AK$25</f>
        <v/>
      </c>
      <c r="AM25" s="2">
        <f>$AM$24+IF(AND('Dados'!$C$106="Elite",'Dados'!$D$106=$N$105),1,0)*$AK$25</f>
        <v/>
      </c>
      <c r="AN25" s="2">
        <f>$AN$24+IF(AND('Dados'!$C$106="Boss",'Dados'!$D$106=$N$105),1,0)*$AK$25</f>
        <v/>
      </c>
      <c r="AO25" s="2">
        <f>$AO$24+IF(AND('Dados'!$C$106="Comum",'Dados'!$D$106=$N$105),1,0)</f>
        <v/>
      </c>
      <c r="AP25" s="2">
        <f>$AP$24+IF(AND('Dados'!$C$106="Elite",'Dados'!$D$106=$N$105),1,0)</f>
        <v/>
      </c>
      <c r="AQ25" s="2">
        <f>$AQ$24+IF(AND('Dados'!$C$106="Boss",'Dados'!$D$106=$N$105),1,0)</f>
        <v/>
      </c>
      <c r="AT25" s="2">
        <f>IF(ISNUMBER($R$111),INDEX('Dados'!$S$92:$S$123,$R$111)&amp;"","")</f>
        <v/>
      </c>
      <c r="AU25" s="2">
        <f>IF(ISNUMBER($R$111),INDEX('Dados'!$U$92:$U$123,$R$111)&amp;"","")</f>
        <v/>
      </c>
      <c r="AV25" s="2">
        <f>IF(LEN($AT$25)=0,0,IF(COUNTIF('Grupo'!$T$7:$T$12,$AT$25)&gt;0,0,1))</f>
        <v/>
      </c>
      <c r="AW25" s="2">
        <f>$AW$24+IF(AND($AV$25=1,$AW$24&lt;$BE$12),IF(INDEX($BC$11:$BC$17,$AW$24+1)&lt;&gt;$AU$25,1,0),0)</f>
        <v/>
      </c>
      <c r="AX25" s="2">
        <f>IF($AW$25&gt;$AW$24,INDEX($BC$11:$BC$17,$AW$25),$AT$25)</f>
        <v/>
      </c>
      <c r="AY25" s="2">
        <f>IF($AW$25&gt;$AW$24,$S$111&amp;": "&amp;$AT$25&amp;" → "&amp;$AX$25&amp;"; ","")</f>
        <v/>
      </c>
      <c r="BG25" s="2">
        <f>IF(ISERROR($A$25),"",IF(ISBLANK($A$25),"",$A$25))</f>
        <v/>
      </c>
      <c r="BI25" s="2">
        <f>IF(ISERROR($C$25),"",IF(ISBLANK($C$25),"",$C$25))</f>
        <v/>
      </c>
      <c r="BJ25" s="2">
        <f>IF(ISERROR($D$25),"",IF(ISBLANK($D$25),"",$D$25))</f>
        <v/>
      </c>
      <c r="BK25" s="2">
        <f>IF(ISERROR($E$25),"",IF(ISBLANK($E$25),"",$E$25))</f>
        <v/>
      </c>
      <c r="BL25" s="2">
        <f>IF(ISERROR($F$25),"",IF(ISBLANK($F$25),"",$F$25))</f>
        <v/>
      </c>
      <c r="BM25" s="2">
        <f>IF(ISERROR($G$25),"",IF(ISBLANK($G$25),"",$G$25))</f>
        <v/>
      </c>
      <c r="BN25" s="2">
        <f>ISERROR($A$25)*1+ISERROR($C$25)*1+ISERROR($D$25)*1+ISERROR($E$25)*1+ISERROR($F$25)*1+ISERROR($G$25)*1</f>
        <v/>
      </c>
    </row>
    <row r="26" ht="26" customHeight="1">
      <c r="A26" s="35" t="n"/>
      <c r="B26" s="17" t="n"/>
      <c r="C26" s="37" t="n"/>
      <c r="D26" s="36" t="n"/>
      <c r="E26" s="36" t="n"/>
      <c r="F26" s="36" t="n"/>
      <c r="G26" s="36" t="n"/>
      <c r="H26" s="23">
        <f>IF(ISNUMBER($N$26),INDEX('Inimigos'!$O$11:$O$54,$N$26)&amp;"","")</f>
        <v/>
      </c>
      <c r="I26" s="23">
        <f>IF(ISNUMBER($N$26),INDEX('Inimigos'!$Q$11:$Q$54,$N$26),"")</f>
        <v/>
      </c>
      <c r="J26" s="23">
        <f>IF(ISNUMBER($N$26),$W$26,"")</f>
        <v/>
      </c>
      <c r="K26" s="27">
        <f>IF(BN26&gt;0,"O Google leu como fórmula: escolha de novo ou digite com ' na frente.",IF(LEN($BG$26)=0,"",IF(NOT(ISNUMBER($N$26)),"Criatura fora da lista (Inimigos e Bestiário)",IF(AND(ISNUMBER($BI$26),OR($BI$26&lt;0,$BI$26&gt;10)),"Quantidade fora de 0 a 10: usando o limite",IF((IF(AND(LEN($BJ$26)&gt;0,$BJ$26=$BK$26),1,0)+IF(AND(LEN($BJ$26)&gt;0,$BJ$26=$BL$26),1,0)+IF(AND(LEN($BJ$26)&gt;0,$BJ$26=$BM$26),1,0)+IF(AND(LEN($BK$26)&gt;0,$BK$26=$BL$26),1,0)+IF(AND(LEN($BK$26)&gt;0,$BK$26=$BM$26),1,0)+IF(AND(LEN($BL$26)&gt;0,$BL$26=$BM$26),1,0))&gt;0,"Fraqueza repetida nesta cena",IF(AND($AF$26&gt;0,$AF$26&lt;&gt;(IF(LEN(INDEX('Inimigos'!$AA$11:$AA$54,$N$26)&amp;"")&gt;0,1,0)+IF(LEN(INDEX('Inimigos'!$AB$11:$AB$54,$N$26)&amp;"")&gt;0,1,0)+IF(LEN(INDEX('Inimigos'!$AC$11:$AC$54,$N$26)&amp;"")&gt;0,1,0)+IF(LEN(INDEX('Inimigos'!$AD$11:$AD$54,$N$26)&amp;"")&gt;0,1,0))),"O nº de Fraquezas é regra (28.2 regra 7): troque, não acrescente nem tire",IF(AND(LEN($T$26)&gt;0,COUNTIF($P$26:$S$26,$T$26)&gt;0),"Fraqueza igual à Resistência da ficha","")))))))</f>
        <v/>
      </c>
      <c r="N26" s="2">
        <f>IF(LEN($BG$26)=0,"",IFERROR(MATCH($BG$26,'Inimigos'!$N$11:$N$54,0),""))</f>
        <v/>
      </c>
      <c r="O26" s="2">
        <f>IF(ISNUMBER($N$26),IF(ISNUMBER($BI$26),MIN(10,MAX(0,INT($BI$26))),1),0)</f>
        <v/>
      </c>
      <c r="P26" s="2">
        <f>IF($O$26=0,"",IF(OR(LEN($BJ$26)&gt;0,LEN($BK$26)&gt;0,LEN($BL$26)&gt;0,LEN($BM$26)&gt;0),$BJ$26&amp;"",INDEX('Inimigos'!$AA$11:$AA$54,$N$26)&amp;""))</f>
        <v/>
      </c>
      <c r="Q26" s="2">
        <f>IF($O$26=0,"",IF(OR(LEN($BJ$26)&gt;0,LEN($BK$26)&gt;0,LEN($BL$26)&gt;0,LEN($BM$26)&gt;0),$BK$26&amp;"",INDEX('Inimigos'!$AB$11:$AB$54,$N$26)&amp;""))</f>
        <v/>
      </c>
      <c r="R26" s="2">
        <f>IF($O$26=0,"",IF(OR(LEN($BJ$26)&gt;0,LEN($BK$26)&gt;0,LEN($BL$26)&gt;0,LEN($BM$26)&gt;0),$BL$26&amp;"",INDEX('Inimigos'!$AC$11:$AC$54,$N$26)&amp;""))</f>
        <v/>
      </c>
      <c r="S26" s="2">
        <f>IF($O$26=0,"",IF(OR(LEN($BJ$26)&gt;0,LEN($BK$26)&gt;0,LEN($BL$26)&gt;0,LEN($BM$26)&gt;0),$BM$26&amp;"",INDEX('Inimigos'!$AD$11:$AD$54,$N$26)&amp;""))</f>
        <v/>
      </c>
      <c r="T26" s="2">
        <f>IF($O$26=0,"",INDEX('Inimigos'!$AE$11:$AE$54,$N$26)&amp;"")</f>
        <v/>
      </c>
      <c r="U26" s="2">
        <f>IF(ISNUMBER($N$26),INDEX('Inimigos'!$O$11:$O$54,$N$26)&amp;"","")</f>
        <v/>
      </c>
      <c r="V26" s="2">
        <f>IF(ISNUMBER($N$26),INDEX('Inimigos'!$BF$11:$BF$54,$N$26),"")</f>
        <v/>
      </c>
      <c r="W26" s="2">
        <f>IF($O$26=0,0,INDEX('Inimigos'!$AI$11:$AI$54,$N$26)*$O$26)</f>
        <v/>
      </c>
      <c r="X26" s="2">
        <f>IF($O$26=0,0,INDEX('Inimigos'!$AH$11:$AH$54,$N$26)*$O$26)</f>
        <v/>
      </c>
      <c r="Y26" s="2">
        <f>$Y$25+$O$26</f>
        <v/>
      </c>
      <c r="Z26" s="2">
        <f>IF(AND($O$26&gt;0,LEN($T$26)&gt;0),IF(COUNTIF('Grupo'!$T$7:$T$12,$T$26)&gt;=2,1,0),0)</f>
        <v/>
      </c>
      <c r="AA26" s="2">
        <f>IF(AND($O$26&gt;0,OR($AE$26="Pretor Vazio-Nove",$AE$26="O Dramaturgo de Mil Faces")),1,0)</f>
        <v/>
      </c>
      <c r="AB26" s="2">
        <f>IF(AND($O$26&gt;0,$AE$26="O Germe de Pavor"),1,0)</f>
        <v/>
      </c>
      <c r="AC26" s="2">
        <f>IF(AND($O$26&gt;0,$V$26&lt;&gt;$N$8),1,0)</f>
        <v/>
      </c>
      <c r="AD26" s="2">
        <f>IF($O$26&gt;0,$V$26,0)</f>
        <v/>
      </c>
      <c r="AE26" s="2">
        <f>IF(ISNUMBER($N$26),INDEX('Inimigos'!$N$11:$N$54,$N$26)&amp;"","")</f>
        <v/>
      </c>
      <c r="AF26" s="2">
        <f>IF(LEN($BJ$26)&gt;0,1,0)+IF(LEN($BK$26)&gt;0,1,0)+IF(LEN($BL$26)&gt;0,1,0)+IF(LEN($BM$26)&gt;0,1,0)</f>
        <v/>
      </c>
      <c r="AG26" s="2">
        <f>$O$26*IF($AE$26="Escória de Stellaron",1.5,1)</f>
        <v/>
      </c>
      <c r="AK26" s="2">
        <f>IF(OR(LEN($BH$105)=0,$BH$105="Qualquer"),1,IF(COUNTIFS('Tabelas'!$AE$12:$AE$118,'Dados'!$E$107,'Tabelas'!$AF$12:$AF$118,$BH$105)+IF(LEN('Dados'!$AD$107)=0,0,COUNTIFS('Tabelas'!$AE$12:$AE$118,'Dados'!$AD$107,'Tabelas'!$AF$12:$AF$118,$BH$105))&gt;0,1,0))</f>
        <v/>
      </c>
      <c r="AL26" s="2">
        <f>$AL$25+IF(AND('Dados'!$C$107="Comum",'Dados'!$D$107=$N$105),1,0)*$AK$26</f>
        <v/>
      </c>
      <c r="AM26" s="2">
        <f>$AM$25+IF(AND('Dados'!$C$107="Elite",'Dados'!$D$107=$N$105),1,0)*$AK$26</f>
        <v/>
      </c>
      <c r="AN26" s="2">
        <f>$AN$25+IF(AND('Dados'!$C$107="Boss",'Dados'!$D$107=$N$105),1,0)*$AK$26</f>
        <v/>
      </c>
      <c r="AO26" s="2">
        <f>$AO$25+IF(AND('Dados'!$C$107="Comum",'Dados'!$D$107=$N$105),1,0)</f>
        <v/>
      </c>
      <c r="AP26" s="2">
        <f>$AP$25+IF(AND('Dados'!$C$107="Elite",'Dados'!$D$107=$N$105),1,0)</f>
        <v/>
      </c>
      <c r="AQ26" s="2">
        <f>$AQ$25+IF(AND('Dados'!$C$107="Boss",'Dados'!$D$107=$N$105),1,0)</f>
        <v/>
      </c>
      <c r="AT26" s="2">
        <f>IF(ISNUMBER($R$111),INDEX('Dados'!$T$92:$T$123,$R$111)&amp;"","")</f>
        <v/>
      </c>
      <c r="AU26" s="2">
        <f>IF(ISNUMBER($R$111),INDEX('Dados'!$U$92:$U$123,$R$111)&amp;"","")</f>
        <v/>
      </c>
      <c r="AV26" s="2">
        <f>IF(LEN($AT$26)=0,0,IF(COUNTIF('Grupo'!$T$7:$T$12,$AT$26)&gt;0,0,1))</f>
        <v/>
      </c>
      <c r="AW26" s="2">
        <f>$AW$25+IF(AND($AV$26=1,$AW$25&lt;$BE$12),IF(INDEX($BC$11:$BC$17,$AW$25+1)&lt;&gt;$AU$26,1,0),0)</f>
        <v/>
      </c>
      <c r="AX26" s="2">
        <f>IF($AW$26&gt;$AW$25,INDEX($BC$11:$BC$17,$AW$26),$AT$26)</f>
        <v/>
      </c>
      <c r="AY26" s="2">
        <f>IF($AW$26&gt;$AW$25,$S$111&amp;": "&amp;$AT$26&amp;" → "&amp;$AX$26&amp;"; ","")</f>
        <v/>
      </c>
      <c r="BG26" s="2">
        <f>IF(ISERROR($A$26),"",IF(ISBLANK($A$26),"",$A$26))</f>
        <v/>
      </c>
      <c r="BI26" s="2">
        <f>IF(ISERROR($C$26),"",IF(ISBLANK($C$26),"",$C$26))</f>
        <v/>
      </c>
      <c r="BJ26" s="2">
        <f>IF(ISERROR($D$26),"",IF(ISBLANK($D$26),"",$D$26))</f>
        <v/>
      </c>
      <c r="BK26" s="2">
        <f>IF(ISERROR($E$26),"",IF(ISBLANK($E$26),"",$E$26))</f>
        <v/>
      </c>
      <c r="BL26" s="2">
        <f>IF(ISERROR($F$26),"",IF(ISBLANK($F$26),"",$F$26))</f>
        <v/>
      </c>
      <c r="BM26" s="2">
        <f>IF(ISERROR($G$26),"",IF(ISBLANK($G$26),"",$G$26))</f>
        <v/>
      </c>
      <c r="BN26" s="2">
        <f>ISERROR($A$26)*1+ISERROR($C$26)*1+ISERROR($D$26)*1+ISERROR($E$26)*1+ISERROR($F$26)*1+ISERROR($G$26)*1</f>
        <v/>
      </c>
    </row>
    <row r="27" ht="26" customHeight="1">
      <c r="A27" s="33" t="n"/>
      <c r="B27" s="17" t="n"/>
      <c r="C27" s="16" t="n"/>
      <c r="D27" s="34" t="n"/>
      <c r="E27" s="34" t="n"/>
      <c r="F27" s="34" t="n"/>
      <c r="G27" s="34" t="n"/>
      <c r="H27" s="18">
        <f>IF(ISNUMBER($N$27),INDEX('Inimigos'!$O$11:$O$54,$N$27)&amp;"","")</f>
        <v/>
      </c>
      <c r="I27" s="18">
        <f>IF(ISNUMBER($N$27),INDEX('Inimigos'!$Q$11:$Q$54,$N$27),"")</f>
        <v/>
      </c>
      <c r="J27" s="18">
        <f>IF(ISNUMBER($N$27),$W$27,"")</f>
        <v/>
      </c>
      <c r="K27" s="19">
        <f>IF(BN27&gt;0,"O Google leu como fórmula: escolha de novo ou digite com ' na frente.",IF(LEN($BG$27)=0,"",IF(NOT(ISNUMBER($N$27)),"Criatura fora da lista (Inimigos e Bestiário)",IF(AND(ISNUMBER($BI$27),OR($BI$27&lt;0,$BI$27&gt;10)),"Quantidade fora de 0 a 10: usando o limite",IF((IF(AND(LEN($BJ$27)&gt;0,$BJ$27=$BK$27),1,0)+IF(AND(LEN($BJ$27)&gt;0,$BJ$27=$BL$27),1,0)+IF(AND(LEN($BJ$27)&gt;0,$BJ$27=$BM$27),1,0)+IF(AND(LEN($BK$27)&gt;0,$BK$27=$BL$27),1,0)+IF(AND(LEN($BK$27)&gt;0,$BK$27=$BM$27),1,0)+IF(AND(LEN($BL$27)&gt;0,$BL$27=$BM$27),1,0))&gt;0,"Fraqueza repetida nesta cena",IF(AND($AF$27&gt;0,$AF$27&lt;&gt;(IF(LEN(INDEX('Inimigos'!$AA$11:$AA$54,$N$27)&amp;"")&gt;0,1,0)+IF(LEN(INDEX('Inimigos'!$AB$11:$AB$54,$N$27)&amp;"")&gt;0,1,0)+IF(LEN(INDEX('Inimigos'!$AC$11:$AC$54,$N$27)&amp;"")&gt;0,1,0)+IF(LEN(INDEX('Inimigos'!$AD$11:$AD$54,$N$27)&amp;"")&gt;0,1,0))),"O nº de Fraquezas é regra (28.2 regra 7): troque, não acrescente nem tire",IF(AND(LEN($T$27)&gt;0,COUNTIF($P$27:$S$27,$T$27)&gt;0),"Fraqueza igual à Resistência da ficha","")))))))</f>
        <v/>
      </c>
      <c r="N27" s="2">
        <f>IF(LEN($BG$27)=0,"",IFERROR(MATCH($BG$27,'Inimigos'!$N$11:$N$54,0),""))</f>
        <v/>
      </c>
      <c r="O27" s="2">
        <f>IF(ISNUMBER($N$27),IF(ISNUMBER($BI$27),MIN(10,MAX(0,INT($BI$27))),1),0)</f>
        <v/>
      </c>
      <c r="P27" s="2">
        <f>IF($O$27=0,"",IF(OR(LEN($BJ$27)&gt;0,LEN($BK$27)&gt;0,LEN($BL$27)&gt;0,LEN($BM$27)&gt;0),$BJ$27&amp;"",INDEX('Inimigos'!$AA$11:$AA$54,$N$27)&amp;""))</f>
        <v/>
      </c>
      <c r="Q27" s="2">
        <f>IF($O$27=0,"",IF(OR(LEN($BJ$27)&gt;0,LEN($BK$27)&gt;0,LEN($BL$27)&gt;0,LEN($BM$27)&gt;0),$BK$27&amp;"",INDEX('Inimigos'!$AB$11:$AB$54,$N$27)&amp;""))</f>
        <v/>
      </c>
      <c r="R27" s="2">
        <f>IF($O$27=0,"",IF(OR(LEN($BJ$27)&gt;0,LEN($BK$27)&gt;0,LEN($BL$27)&gt;0,LEN($BM$27)&gt;0),$BL$27&amp;"",INDEX('Inimigos'!$AC$11:$AC$54,$N$27)&amp;""))</f>
        <v/>
      </c>
      <c r="S27" s="2">
        <f>IF($O$27=0,"",IF(OR(LEN($BJ$27)&gt;0,LEN($BK$27)&gt;0,LEN($BL$27)&gt;0,LEN($BM$27)&gt;0),$BM$27&amp;"",INDEX('Inimigos'!$AD$11:$AD$54,$N$27)&amp;""))</f>
        <v/>
      </c>
      <c r="T27" s="2">
        <f>IF($O$27=0,"",INDEX('Inimigos'!$AE$11:$AE$54,$N$27)&amp;"")</f>
        <v/>
      </c>
      <c r="U27" s="2">
        <f>IF(ISNUMBER($N$27),INDEX('Inimigos'!$O$11:$O$54,$N$27)&amp;"","")</f>
        <v/>
      </c>
      <c r="V27" s="2">
        <f>IF(ISNUMBER($N$27),INDEX('Inimigos'!$BF$11:$BF$54,$N$27),"")</f>
        <v/>
      </c>
      <c r="W27" s="2">
        <f>IF($O$27=0,0,INDEX('Inimigos'!$AI$11:$AI$54,$N$27)*$O$27)</f>
        <v/>
      </c>
      <c r="X27" s="2">
        <f>IF($O$27=0,0,INDEX('Inimigos'!$AH$11:$AH$54,$N$27)*$O$27)</f>
        <v/>
      </c>
      <c r="Y27" s="2">
        <f>$Y$26+$O$27</f>
        <v/>
      </c>
      <c r="Z27" s="2">
        <f>IF(AND($O$27&gt;0,LEN($T$27)&gt;0),IF(COUNTIF('Grupo'!$T$7:$T$12,$T$27)&gt;=2,1,0),0)</f>
        <v/>
      </c>
      <c r="AA27" s="2">
        <f>IF(AND($O$27&gt;0,OR($AE$27="Pretor Vazio-Nove",$AE$27="O Dramaturgo de Mil Faces")),1,0)</f>
        <v/>
      </c>
      <c r="AB27" s="2">
        <f>IF(AND($O$27&gt;0,$AE$27="O Germe de Pavor"),1,0)</f>
        <v/>
      </c>
      <c r="AC27" s="2">
        <f>IF(AND($O$27&gt;0,$V$27&lt;&gt;$N$8),1,0)</f>
        <v/>
      </c>
      <c r="AD27" s="2">
        <f>IF($O$27&gt;0,$V$27,0)</f>
        <v/>
      </c>
      <c r="AE27" s="2">
        <f>IF(ISNUMBER($N$27),INDEX('Inimigos'!$N$11:$N$54,$N$27)&amp;"","")</f>
        <v/>
      </c>
      <c r="AF27" s="2">
        <f>IF(LEN($BJ$27)&gt;0,1,0)+IF(LEN($BK$27)&gt;0,1,0)+IF(LEN($BL$27)&gt;0,1,0)+IF(LEN($BM$27)&gt;0,1,0)</f>
        <v/>
      </c>
      <c r="AG27" s="2">
        <f>$O$27*IF($AE$27="Escória de Stellaron",1.5,1)</f>
        <v/>
      </c>
      <c r="AK27" s="2">
        <f>IF(OR(LEN($BH$105)=0,$BH$105="Qualquer"),1,IF(COUNTIFS('Tabelas'!$AE$12:$AE$118,'Dados'!$E$108,'Tabelas'!$AF$12:$AF$118,$BH$105)+IF(LEN('Dados'!$AD$108)=0,0,COUNTIFS('Tabelas'!$AE$12:$AE$118,'Dados'!$AD$108,'Tabelas'!$AF$12:$AF$118,$BH$105))&gt;0,1,0))</f>
        <v/>
      </c>
      <c r="AL27" s="2">
        <f>$AL$26+IF(AND('Dados'!$C$108="Comum",'Dados'!$D$108=$N$105),1,0)*$AK$27</f>
        <v/>
      </c>
      <c r="AM27" s="2">
        <f>$AM$26+IF(AND('Dados'!$C$108="Elite",'Dados'!$D$108=$N$105),1,0)*$AK$27</f>
        <v/>
      </c>
      <c r="AN27" s="2">
        <f>$AN$26+IF(AND('Dados'!$C$108="Boss",'Dados'!$D$108=$N$105),1,0)*$AK$27</f>
        <v/>
      </c>
      <c r="AO27" s="2">
        <f>$AO$26+IF(AND('Dados'!$C$108="Comum",'Dados'!$D$108=$N$105),1,0)</f>
        <v/>
      </c>
      <c r="AP27" s="2">
        <f>$AP$26+IF(AND('Dados'!$C$108="Elite",'Dados'!$D$108=$N$105),1,0)</f>
        <v/>
      </c>
      <c r="AQ27" s="2">
        <f>$AQ$26+IF(AND('Dados'!$C$108="Boss",'Dados'!$D$108=$N$105),1,0)</f>
        <v/>
      </c>
      <c r="AT27" s="2">
        <f>IF(ISNUMBER($R$112),INDEX('Dados'!$Q$92:$Q$123,$R$112)&amp;"","")</f>
        <v/>
      </c>
      <c r="AU27" s="2">
        <f>IF(ISNUMBER($R$112),INDEX('Dados'!$U$92:$U$123,$R$112)&amp;"","")</f>
        <v/>
      </c>
      <c r="AV27" s="2">
        <f>IF(LEN($AT$27)=0,0,IF(COUNTIF('Grupo'!$T$7:$T$12,$AT$27)&gt;0,0,1))</f>
        <v/>
      </c>
      <c r="AW27" s="2">
        <f>$AW$26+IF(AND($AV$27=1,$AW$26&lt;$BE$12),IF(INDEX($BC$11:$BC$17,$AW$26+1)&lt;&gt;$AU$27,1,0),0)</f>
        <v/>
      </c>
      <c r="AX27" s="2">
        <f>IF($AW$27&gt;$AW$26,INDEX($BC$11:$BC$17,$AW$27),$AT$27)</f>
        <v/>
      </c>
      <c r="AY27" s="2">
        <f>IF($AW$27&gt;$AW$26,$S$112&amp;": "&amp;$AT$27&amp;" → "&amp;$AX$27&amp;"; ","")</f>
        <v/>
      </c>
      <c r="BG27" s="2">
        <f>IF(ISERROR($A$27),"",IF(ISBLANK($A$27),"",$A$27))</f>
        <v/>
      </c>
      <c r="BI27" s="2">
        <f>IF(ISERROR($C$27),"",IF(ISBLANK($C$27),"",$C$27))</f>
        <v/>
      </c>
      <c r="BJ27" s="2">
        <f>IF(ISERROR($D$27),"",IF(ISBLANK($D$27),"",$D$27))</f>
        <v/>
      </c>
      <c r="BK27" s="2">
        <f>IF(ISERROR($E$27),"",IF(ISBLANK($E$27),"",$E$27))</f>
        <v/>
      </c>
      <c r="BL27" s="2">
        <f>IF(ISERROR($F$27),"",IF(ISBLANK($F$27),"",$F$27))</f>
        <v/>
      </c>
      <c r="BM27" s="2">
        <f>IF(ISERROR($G$27),"",IF(ISBLANK($G$27),"",$G$27))</f>
        <v/>
      </c>
      <c r="BN27" s="2">
        <f>ISERROR($A$27)*1+ISERROR($C$27)*1+ISERROR($D$27)*1+ISERROR($E$27)*1+ISERROR($F$27)*1+ISERROR($G$27)*1</f>
        <v/>
      </c>
    </row>
    <row r="28" ht="26" customHeight="1">
      <c r="A28" s="35" t="n"/>
      <c r="B28" s="17" t="n"/>
      <c r="C28" s="37" t="n"/>
      <c r="D28" s="36" t="n"/>
      <c r="E28" s="36" t="n"/>
      <c r="F28" s="36" t="n"/>
      <c r="G28" s="36" t="n"/>
      <c r="H28" s="23">
        <f>IF(ISNUMBER($N$28),INDEX('Inimigos'!$O$11:$O$54,$N$28)&amp;"","")</f>
        <v/>
      </c>
      <c r="I28" s="23">
        <f>IF(ISNUMBER($N$28),INDEX('Inimigos'!$Q$11:$Q$54,$N$28),"")</f>
        <v/>
      </c>
      <c r="J28" s="23">
        <f>IF(ISNUMBER($N$28),$W$28,"")</f>
        <v/>
      </c>
      <c r="K28" s="27">
        <f>IF(BN28&gt;0,"O Google leu como fórmula: escolha de novo ou digite com ' na frente.",IF(LEN($BG$28)=0,"",IF(NOT(ISNUMBER($N$28)),"Criatura fora da lista (Inimigos e Bestiário)",IF(AND(ISNUMBER($BI$28),OR($BI$28&lt;0,$BI$28&gt;10)),"Quantidade fora de 0 a 10: usando o limite",IF((IF(AND(LEN($BJ$28)&gt;0,$BJ$28=$BK$28),1,0)+IF(AND(LEN($BJ$28)&gt;0,$BJ$28=$BL$28),1,0)+IF(AND(LEN($BJ$28)&gt;0,$BJ$28=$BM$28),1,0)+IF(AND(LEN($BK$28)&gt;0,$BK$28=$BL$28),1,0)+IF(AND(LEN($BK$28)&gt;0,$BK$28=$BM$28),1,0)+IF(AND(LEN($BL$28)&gt;0,$BL$28=$BM$28),1,0))&gt;0,"Fraqueza repetida nesta cena",IF(AND($AF$28&gt;0,$AF$28&lt;&gt;(IF(LEN(INDEX('Inimigos'!$AA$11:$AA$54,$N$28)&amp;"")&gt;0,1,0)+IF(LEN(INDEX('Inimigos'!$AB$11:$AB$54,$N$28)&amp;"")&gt;0,1,0)+IF(LEN(INDEX('Inimigos'!$AC$11:$AC$54,$N$28)&amp;"")&gt;0,1,0)+IF(LEN(INDEX('Inimigos'!$AD$11:$AD$54,$N$28)&amp;"")&gt;0,1,0))),"O nº de Fraquezas é regra (28.2 regra 7): troque, não acrescente nem tire",IF(AND(LEN($T$28)&gt;0,COUNTIF($P$28:$S$28,$T$28)&gt;0),"Fraqueza igual à Resistência da ficha","")))))))</f>
        <v/>
      </c>
      <c r="N28" s="2">
        <f>IF(LEN($BG$28)=0,"",IFERROR(MATCH($BG$28,'Inimigos'!$N$11:$N$54,0),""))</f>
        <v/>
      </c>
      <c r="O28" s="2">
        <f>IF(ISNUMBER($N$28),IF(ISNUMBER($BI$28),MIN(10,MAX(0,INT($BI$28))),1),0)</f>
        <v/>
      </c>
      <c r="P28" s="2">
        <f>IF($O$28=0,"",IF(OR(LEN($BJ$28)&gt;0,LEN($BK$28)&gt;0,LEN($BL$28)&gt;0,LEN($BM$28)&gt;0),$BJ$28&amp;"",INDEX('Inimigos'!$AA$11:$AA$54,$N$28)&amp;""))</f>
        <v/>
      </c>
      <c r="Q28" s="2">
        <f>IF($O$28=0,"",IF(OR(LEN($BJ$28)&gt;0,LEN($BK$28)&gt;0,LEN($BL$28)&gt;0,LEN($BM$28)&gt;0),$BK$28&amp;"",INDEX('Inimigos'!$AB$11:$AB$54,$N$28)&amp;""))</f>
        <v/>
      </c>
      <c r="R28" s="2">
        <f>IF($O$28=0,"",IF(OR(LEN($BJ$28)&gt;0,LEN($BK$28)&gt;0,LEN($BL$28)&gt;0,LEN($BM$28)&gt;0),$BL$28&amp;"",INDEX('Inimigos'!$AC$11:$AC$54,$N$28)&amp;""))</f>
        <v/>
      </c>
      <c r="S28" s="2">
        <f>IF($O$28=0,"",IF(OR(LEN($BJ$28)&gt;0,LEN($BK$28)&gt;0,LEN($BL$28)&gt;0,LEN($BM$28)&gt;0),$BM$28&amp;"",INDEX('Inimigos'!$AD$11:$AD$54,$N$28)&amp;""))</f>
        <v/>
      </c>
      <c r="T28" s="2">
        <f>IF($O$28=0,"",INDEX('Inimigos'!$AE$11:$AE$54,$N$28)&amp;"")</f>
        <v/>
      </c>
      <c r="U28" s="2">
        <f>IF(ISNUMBER($N$28),INDEX('Inimigos'!$O$11:$O$54,$N$28)&amp;"","")</f>
        <v/>
      </c>
      <c r="V28" s="2">
        <f>IF(ISNUMBER($N$28),INDEX('Inimigos'!$BF$11:$BF$54,$N$28),"")</f>
        <v/>
      </c>
      <c r="W28" s="2">
        <f>IF($O$28=0,0,INDEX('Inimigos'!$AI$11:$AI$54,$N$28)*$O$28)</f>
        <v/>
      </c>
      <c r="X28" s="2">
        <f>IF($O$28=0,0,INDEX('Inimigos'!$AH$11:$AH$54,$N$28)*$O$28)</f>
        <v/>
      </c>
      <c r="Y28" s="2">
        <f>$Y$27+$O$28</f>
        <v/>
      </c>
      <c r="Z28" s="2">
        <f>IF(AND($O$28&gt;0,LEN($T$28)&gt;0),IF(COUNTIF('Grupo'!$T$7:$T$12,$T$28)&gt;=2,1,0),0)</f>
        <v/>
      </c>
      <c r="AA28" s="2">
        <f>IF(AND($O$28&gt;0,OR($AE$28="Pretor Vazio-Nove",$AE$28="O Dramaturgo de Mil Faces")),1,0)</f>
        <v/>
      </c>
      <c r="AB28" s="2">
        <f>IF(AND($O$28&gt;0,$AE$28="O Germe de Pavor"),1,0)</f>
        <v/>
      </c>
      <c r="AC28" s="2">
        <f>IF(AND($O$28&gt;0,$V$28&lt;&gt;$N$8),1,0)</f>
        <v/>
      </c>
      <c r="AD28" s="2">
        <f>IF($O$28&gt;0,$V$28,0)</f>
        <v/>
      </c>
      <c r="AE28" s="2">
        <f>IF(ISNUMBER($N$28),INDEX('Inimigos'!$N$11:$N$54,$N$28)&amp;"","")</f>
        <v/>
      </c>
      <c r="AF28" s="2">
        <f>IF(LEN($BJ$28)&gt;0,1,0)+IF(LEN($BK$28)&gt;0,1,0)+IF(LEN($BL$28)&gt;0,1,0)+IF(LEN($BM$28)&gt;0,1,0)</f>
        <v/>
      </c>
      <c r="AG28" s="2">
        <f>$O$28*IF($AE$28="Escória de Stellaron",1.5,1)</f>
        <v/>
      </c>
      <c r="AK28" s="2">
        <f>IF(OR(LEN($BH$105)=0,$BH$105="Qualquer"),1,IF(COUNTIFS('Tabelas'!$AE$12:$AE$118,'Dados'!$E$109,'Tabelas'!$AF$12:$AF$118,$BH$105)+IF(LEN('Dados'!$AD$109)=0,0,COUNTIFS('Tabelas'!$AE$12:$AE$118,'Dados'!$AD$109,'Tabelas'!$AF$12:$AF$118,$BH$105))&gt;0,1,0))</f>
        <v/>
      </c>
      <c r="AL28" s="2">
        <f>$AL$27+IF(AND('Dados'!$C$109="Comum",'Dados'!$D$109=$N$105),1,0)*$AK$28</f>
        <v/>
      </c>
      <c r="AM28" s="2">
        <f>$AM$27+IF(AND('Dados'!$C$109="Elite",'Dados'!$D$109=$N$105),1,0)*$AK$28</f>
        <v/>
      </c>
      <c r="AN28" s="2">
        <f>$AN$27+IF(AND('Dados'!$C$109="Boss",'Dados'!$D$109=$N$105),1,0)*$AK$28</f>
        <v/>
      </c>
      <c r="AO28" s="2">
        <f>$AO$27+IF(AND('Dados'!$C$109="Comum",'Dados'!$D$109=$N$105),1,0)</f>
        <v/>
      </c>
      <c r="AP28" s="2">
        <f>$AP$27+IF(AND('Dados'!$C$109="Elite",'Dados'!$D$109=$N$105),1,0)</f>
        <v/>
      </c>
      <c r="AQ28" s="2">
        <f>$AQ$27+IF(AND('Dados'!$C$109="Boss",'Dados'!$D$109=$N$105),1,0)</f>
        <v/>
      </c>
      <c r="AT28" s="2">
        <f>IF(ISNUMBER($R$112),INDEX('Dados'!$R$92:$R$123,$R$112)&amp;"","")</f>
        <v/>
      </c>
      <c r="AU28" s="2">
        <f>IF(ISNUMBER($R$112),INDEX('Dados'!$U$92:$U$123,$R$112)&amp;"","")</f>
        <v/>
      </c>
      <c r="AV28" s="2">
        <f>IF(LEN($AT$28)=0,0,IF(COUNTIF('Grupo'!$T$7:$T$12,$AT$28)&gt;0,0,1))</f>
        <v/>
      </c>
      <c r="AW28" s="2">
        <f>$AW$27+IF(AND($AV$28=1,$AW$27&lt;$BE$12),IF(INDEX($BC$11:$BC$17,$AW$27+1)&lt;&gt;$AU$28,1,0),0)</f>
        <v/>
      </c>
      <c r="AX28" s="2">
        <f>IF($AW$28&gt;$AW$27,INDEX($BC$11:$BC$17,$AW$28),$AT$28)</f>
        <v/>
      </c>
      <c r="AY28" s="2">
        <f>IF($AW$28&gt;$AW$27,$S$112&amp;": "&amp;$AT$28&amp;" → "&amp;$AX$28&amp;"; ","")</f>
        <v/>
      </c>
      <c r="BG28" s="2">
        <f>IF(ISERROR($A$28),"",IF(ISBLANK($A$28),"",$A$28))</f>
        <v/>
      </c>
      <c r="BI28" s="2">
        <f>IF(ISERROR($C$28),"",IF(ISBLANK($C$28),"",$C$28))</f>
        <v/>
      </c>
      <c r="BJ28" s="2">
        <f>IF(ISERROR($D$28),"",IF(ISBLANK($D$28),"",$D$28))</f>
        <v/>
      </c>
      <c r="BK28" s="2">
        <f>IF(ISERROR($E$28),"",IF(ISBLANK($E$28),"",$E$28))</f>
        <v/>
      </c>
      <c r="BL28" s="2">
        <f>IF(ISERROR($F$28),"",IF(ISBLANK($F$28),"",$F$28))</f>
        <v/>
      </c>
      <c r="BM28" s="2">
        <f>IF(ISERROR($G$28),"",IF(ISBLANK($G$28),"",$G$28))</f>
        <v/>
      </c>
      <c r="BN28" s="2">
        <f>ISERROR($A$28)*1+ISERROR($C$28)*1+ISERROR($D$28)*1+ISERROR($E$28)*1+ISERROR($F$28)*1+ISERROR($G$28)*1</f>
        <v/>
      </c>
    </row>
    <row r="29" ht="26" customHeight="1">
      <c r="A29" s="8" t="inlineStr">
        <is>
          <t>Criatura</t>
        </is>
      </c>
      <c r="B29" s="8" t="inlineStr">
        <is>
          <t>Faixa</t>
        </is>
      </c>
      <c r="C29" s="8" t="inlineStr">
        <is>
          <t>Fraquezas efetivas</t>
        </is>
      </c>
      <c r="D29" s="20" t="n"/>
      <c r="E29" s="20" t="n"/>
      <c r="F29" s="20" t="n"/>
      <c r="G29" s="8" t="inlineStr">
        <is>
          <t>Resistência</t>
        </is>
      </c>
      <c r="H29" s="8" t="inlineStr">
        <is>
          <t>Ações agressivas</t>
        </is>
      </c>
      <c r="I29" s="8" t="inlineStr">
        <is>
          <t>Execução</t>
        </is>
      </c>
      <c r="J29" s="20" t="n"/>
      <c r="K29" s="8" t="inlineStr">
        <is>
          <t>Aviso</t>
        </is>
      </c>
      <c r="L29" s="20" t="n"/>
      <c r="AK29" s="2">
        <f>IF(OR(LEN($BH$105)=0,$BH$105="Qualquer"),1,IF(COUNTIFS('Tabelas'!$AE$12:$AE$118,'Dados'!$E$110,'Tabelas'!$AF$12:$AF$118,$BH$105)+IF(LEN('Dados'!$AD$110)=0,0,COUNTIFS('Tabelas'!$AE$12:$AE$118,'Dados'!$AD$110,'Tabelas'!$AF$12:$AF$118,$BH$105))&gt;0,1,0))</f>
        <v/>
      </c>
      <c r="AL29" s="2">
        <f>$AL$28+IF(AND('Dados'!$C$110="Comum",'Dados'!$D$110=$N$105),1,0)*$AK$29</f>
        <v/>
      </c>
      <c r="AM29" s="2">
        <f>$AM$28+IF(AND('Dados'!$C$110="Elite",'Dados'!$D$110=$N$105),1,0)*$AK$29</f>
        <v/>
      </c>
      <c r="AN29" s="2">
        <f>$AN$28+IF(AND('Dados'!$C$110="Boss",'Dados'!$D$110=$N$105),1,0)*$AK$29</f>
        <v/>
      </c>
      <c r="AO29" s="2">
        <f>$AO$28+IF(AND('Dados'!$C$110="Comum",'Dados'!$D$110=$N$105),1,0)</f>
        <v/>
      </c>
      <c r="AP29" s="2">
        <f>$AP$28+IF(AND('Dados'!$C$110="Elite",'Dados'!$D$110=$N$105),1,0)</f>
        <v/>
      </c>
      <c r="AQ29" s="2">
        <f>$AQ$28+IF(AND('Dados'!$C$110="Boss",'Dados'!$D$110=$N$105),1,0)</f>
        <v/>
      </c>
      <c r="AT29" s="2">
        <f>IF(ISNUMBER($R$112),INDEX('Dados'!$S$92:$S$123,$R$112)&amp;"","")</f>
        <v/>
      </c>
      <c r="AU29" s="2">
        <f>IF(ISNUMBER($R$112),INDEX('Dados'!$U$92:$U$123,$R$112)&amp;"","")</f>
        <v/>
      </c>
      <c r="AV29" s="2">
        <f>IF(LEN($AT$29)=0,0,IF(COUNTIF('Grupo'!$T$7:$T$12,$AT$29)&gt;0,0,1))</f>
        <v/>
      </c>
      <c r="AW29" s="2">
        <f>$AW$28+IF(AND($AV$29=1,$AW$28&lt;$BE$12),IF(INDEX($BC$11:$BC$17,$AW$28+1)&lt;&gt;$AU$29,1,0),0)</f>
        <v/>
      </c>
      <c r="AX29" s="2">
        <f>IF($AW$29&gt;$AW$28,INDEX($BC$11:$BC$17,$AW$29),$AT$29)</f>
        <v/>
      </c>
      <c r="AY29" s="2">
        <f>IF($AW$29&gt;$AW$28,$S$112&amp;": "&amp;$AT$29&amp;" → "&amp;$AX$29&amp;"; ","")</f>
        <v/>
      </c>
    </row>
    <row r="30" ht="26" customHeight="1">
      <c r="A30" s="31">
        <f>IF(LEN($BG$21)&gt;0,$BG$21,"1 · (vazia)")</f>
        <v/>
      </c>
      <c r="B30" s="18">
        <f>IF(ISNUMBER($N$21),INDEX('Inimigos'!$P$11:$P$54,$N$21)&amp;"","")</f>
        <v/>
      </c>
      <c r="C30" s="5">
        <f>$P$21&amp;IF(LEN($Q$21)&gt;0,", "&amp;$Q$21,"")&amp;IF(LEN($R$21)&gt;0,", "&amp;$R$21,"")&amp;IF(LEN($S$21)&gt;0,", "&amp;$S$21,"")</f>
        <v/>
      </c>
      <c r="G30" s="18">
        <f>IF(ISNUMBER($N$21),IF(LEN($T$21)&gt;0,$T$21,"—"),"")</f>
        <v/>
      </c>
      <c r="H30" s="18">
        <f>IF(ISNUMBER($N$21),$X$21,"")</f>
        <v/>
      </c>
      <c r="I30" s="5">
        <f>IF(ISNUMBER($N$21),IF(INDEX('Inimigos'!$AF$11:$AF$54,$N$21)&amp;""="Pode","Pode Executar (ser racional)",IF(INDEX('Inimigos'!$AF$11:$AF$54,$N$21)&amp;""="Não","Não Executa","Execução não declarada")),"")</f>
        <v/>
      </c>
      <c r="K30" s="19">
        <f>IF($O$21=0,"",IF($AC$21=1,"Faixa diferente da do grupo (28.4 passo 1: a faixa do inimigo é a do grupo)",IF($Z$21=1,"Resistência no Elemento de dois personagens (27.5)","")))</f>
        <v/>
      </c>
      <c r="AK30" s="2">
        <f>IF(OR(LEN($BH$105)=0,$BH$105="Qualquer"),1,IF(COUNTIFS('Tabelas'!$AE$12:$AE$118,'Dados'!$E$111,'Tabelas'!$AF$12:$AF$118,$BH$105)+IF(LEN('Dados'!$AD$111)=0,0,COUNTIFS('Tabelas'!$AE$12:$AE$118,'Dados'!$AD$111,'Tabelas'!$AF$12:$AF$118,$BH$105))&gt;0,1,0))</f>
        <v/>
      </c>
      <c r="AL30" s="2">
        <f>$AL$29+IF(AND('Dados'!$C$111="Comum",'Dados'!$D$111=$N$105),1,0)*$AK$30</f>
        <v/>
      </c>
      <c r="AM30" s="2">
        <f>$AM$29+IF(AND('Dados'!$C$111="Elite",'Dados'!$D$111=$N$105),1,0)*$AK$30</f>
        <v/>
      </c>
      <c r="AN30" s="2">
        <f>$AN$29+IF(AND('Dados'!$C$111="Boss",'Dados'!$D$111=$N$105),1,0)*$AK$30</f>
        <v/>
      </c>
      <c r="AO30" s="2">
        <f>$AO$29+IF(AND('Dados'!$C$111="Comum",'Dados'!$D$111=$N$105),1,0)</f>
        <v/>
      </c>
      <c r="AP30" s="2">
        <f>$AP$29+IF(AND('Dados'!$C$111="Elite",'Dados'!$D$111=$N$105),1,0)</f>
        <v/>
      </c>
      <c r="AQ30" s="2">
        <f>$AQ$29+IF(AND('Dados'!$C$111="Boss",'Dados'!$D$111=$N$105),1,0)</f>
        <v/>
      </c>
      <c r="AT30" s="2">
        <f>IF(ISNUMBER($R$112),INDEX('Dados'!$T$92:$T$123,$R$112)&amp;"","")</f>
        <v/>
      </c>
      <c r="AU30" s="2">
        <f>IF(ISNUMBER($R$112),INDEX('Dados'!$U$92:$U$123,$R$112)&amp;"","")</f>
        <v/>
      </c>
      <c r="AV30" s="2">
        <f>IF(LEN($AT$30)=0,0,IF(COUNTIF('Grupo'!$T$7:$T$12,$AT$30)&gt;0,0,1))</f>
        <v/>
      </c>
      <c r="AW30" s="2">
        <f>$AW$29+IF(AND($AV$30=1,$AW$29&lt;$BE$12),IF(INDEX($BC$11:$BC$17,$AW$29+1)&lt;&gt;$AU$30,1,0),0)</f>
        <v/>
      </c>
      <c r="AX30" s="2">
        <f>IF($AW$30&gt;$AW$29,INDEX($BC$11:$BC$17,$AW$30),$AT$30)</f>
        <v/>
      </c>
      <c r="AY30" s="2">
        <f>IF($AW$30&gt;$AW$29,$S$112&amp;": "&amp;$AT$30&amp;" → "&amp;$AX$30&amp;"; ","")</f>
        <v/>
      </c>
    </row>
    <row r="31" ht="26" customHeight="1">
      <c r="A31" s="43">
        <f>IF(LEN($BG$22)&gt;0,$BG$22,"2 · (vazia)")</f>
        <v/>
      </c>
      <c r="B31" s="23">
        <f>IF(ISNUMBER($N$22),INDEX('Inimigos'!$P$11:$P$54,$N$22)&amp;"","")</f>
        <v/>
      </c>
      <c r="C31" s="10">
        <f>$P$22&amp;IF(LEN($Q$22)&gt;0,", "&amp;$Q$22,"")&amp;IF(LEN($R$22)&gt;0,", "&amp;$R$22,"")&amp;IF(LEN($S$22)&gt;0,", "&amp;$S$22,"")</f>
        <v/>
      </c>
      <c r="G31" s="23">
        <f>IF(ISNUMBER($N$22),IF(LEN($T$22)&gt;0,$T$22,"—"),"")</f>
        <v/>
      </c>
      <c r="H31" s="23">
        <f>IF(ISNUMBER($N$22),$X$22,"")</f>
        <v/>
      </c>
      <c r="I31" s="10">
        <f>IF(ISNUMBER($N$22),IF(INDEX('Inimigos'!$AF$11:$AF$54,$N$22)&amp;""="Pode","Pode Executar (ser racional)",IF(INDEX('Inimigos'!$AF$11:$AF$54,$N$22)&amp;""="Não","Não Executa","Execução não declarada")),"")</f>
        <v/>
      </c>
      <c r="K31" s="27">
        <f>IF($O$22=0,"",IF($AC$22=1,"Faixa diferente da do grupo (28.4 passo 1: a faixa do inimigo é a do grupo)",IF($Z$22=1,"Resistência no Elemento de dois personagens (27.5)","")))</f>
        <v/>
      </c>
      <c r="AK31" s="2">
        <f>IF(OR(LEN($BH$105)=0,$BH$105="Qualquer"),1,IF(COUNTIFS('Tabelas'!$AE$12:$AE$118,'Dados'!$E$112,'Tabelas'!$AF$12:$AF$118,$BH$105)+IF(LEN('Dados'!$AD$112)=0,0,COUNTIFS('Tabelas'!$AE$12:$AE$118,'Dados'!$AD$112,'Tabelas'!$AF$12:$AF$118,$BH$105))&gt;0,1,0))</f>
        <v/>
      </c>
      <c r="AL31" s="2">
        <f>$AL$30+IF(AND('Dados'!$C$112="Comum",'Dados'!$D$112=$N$105),1,0)*$AK$31</f>
        <v/>
      </c>
      <c r="AM31" s="2">
        <f>$AM$30+IF(AND('Dados'!$C$112="Elite",'Dados'!$D$112=$N$105),1,0)*$AK$31</f>
        <v/>
      </c>
      <c r="AN31" s="2">
        <f>$AN$30+IF(AND('Dados'!$C$112="Boss",'Dados'!$D$112=$N$105),1,0)*$AK$31</f>
        <v/>
      </c>
      <c r="AO31" s="2">
        <f>$AO$30+IF(AND('Dados'!$C$112="Comum",'Dados'!$D$112=$N$105),1,0)</f>
        <v/>
      </c>
      <c r="AP31" s="2">
        <f>$AP$30+IF(AND('Dados'!$C$112="Elite",'Dados'!$D$112=$N$105),1,0)</f>
        <v/>
      </c>
      <c r="AQ31" s="2">
        <f>$AQ$30+IF(AND('Dados'!$C$112="Boss",'Dados'!$D$112=$N$105),1,0)</f>
        <v/>
      </c>
      <c r="AT31" s="2">
        <f>IF(ISNUMBER($R$113),INDEX('Dados'!$Q$92:$Q$123,$R$113)&amp;"","")</f>
        <v/>
      </c>
      <c r="AU31" s="2">
        <f>IF(ISNUMBER($R$113),INDEX('Dados'!$U$92:$U$123,$R$113)&amp;"","")</f>
        <v/>
      </c>
      <c r="AV31" s="2">
        <f>IF(LEN($AT$31)=0,0,IF(COUNTIF('Grupo'!$T$7:$T$12,$AT$31)&gt;0,0,1))</f>
        <v/>
      </c>
      <c r="AW31" s="2">
        <f>$AW$30+IF(AND($AV$31=1,$AW$30&lt;$BE$12),IF(INDEX($BC$11:$BC$17,$AW$30+1)&lt;&gt;$AU$31,1,0),0)</f>
        <v/>
      </c>
      <c r="AX31" s="2">
        <f>IF($AW$31&gt;$AW$30,INDEX($BC$11:$BC$17,$AW$31),$AT$31)</f>
        <v/>
      </c>
      <c r="AY31" s="2">
        <f>IF($AW$31&gt;$AW$30,$S$113&amp;": "&amp;$AT$31&amp;" → "&amp;$AX$31&amp;"; ","")</f>
        <v/>
      </c>
    </row>
    <row r="32" ht="26" customHeight="1">
      <c r="A32" s="31">
        <f>IF(LEN($BG$23)&gt;0,$BG$23,"3 · (vazia)")</f>
        <v/>
      </c>
      <c r="B32" s="18">
        <f>IF(ISNUMBER($N$23),INDEX('Inimigos'!$P$11:$P$54,$N$23)&amp;"","")</f>
        <v/>
      </c>
      <c r="C32" s="5">
        <f>$P$23&amp;IF(LEN($Q$23)&gt;0,", "&amp;$Q$23,"")&amp;IF(LEN($R$23)&gt;0,", "&amp;$R$23,"")&amp;IF(LEN($S$23)&gt;0,", "&amp;$S$23,"")</f>
        <v/>
      </c>
      <c r="G32" s="18">
        <f>IF(ISNUMBER($N$23),IF(LEN($T$23)&gt;0,$T$23,"—"),"")</f>
        <v/>
      </c>
      <c r="H32" s="18">
        <f>IF(ISNUMBER($N$23),$X$23,"")</f>
        <v/>
      </c>
      <c r="I32" s="5">
        <f>IF(ISNUMBER($N$23),IF(INDEX('Inimigos'!$AF$11:$AF$54,$N$23)&amp;""="Pode","Pode Executar (ser racional)",IF(INDEX('Inimigos'!$AF$11:$AF$54,$N$23)&amp;""="Não","Não Executa","Execução não declarada")),"")</f>
        <v/>
      </c>
      <c r="K32" s="19">
        <f>IF($O$23=0,"",IF($AC$23=1,"Faixa diferente da do grupo (28.4 passo 1: a faixa do inimigo é a do grupo)",IF($Z$23=1,"Resistência no Elemento de dois personagens (27.5)","")))</f>
        <v/>
      </c>
      <c r="AK32" s="2">
        <f>IF(OR(LEN($BH$105)=0,$BH$105="Qualquer"),1,IF(COUNTIFS('Tabelas'!$AE$12:$AE$118,'Dados'!$E$113,'Tabelas'!$AF$12:$AF$118,$BH$105)+IF(LEN('Dados'!$AD$113)=0,0,COUNTIFS('Tabelas'!$AE$12:$AE$118,'Dados'!$AD$113,'Tabelas'!$AF$12:$AF$118,$BH$105))&gt;0,1,0))</f>
        <v/>
      </c>
      <c r="AL32" s="2">
        <f>$AL$31+IF(AND('Dados'!$C$113="Comum",'Dados'!$D$113=$N$105),1,0)*$AK$32</f>
        <v/>
      </c>
      <c r="AM32" s="2">
        <f>$AM$31+IF(AND('Dados'!$C$113="Elite",'Dados'!$D$113=$N$105),1,0)*$AK$32</f>
        <v/>
      </c>
      <c r="AN32" s="2">
        <f>$AN$31+IF(AND('Dados'!$C$113="Boss",'Dados'!$D$113=$N$105),1,0)*$AK$32</f>
        <v/>
      </c>
      <c r="AO32" s="2">
        <f>$AO$31+IF(AND('Dados'!$C$113="Comum",'Dados'!$D$113=$N$105),1,0)</f>
        <v/>
      </c>
      <c r="AP32" s="2">
        <f>$AP$31+IF(AND('Dados'!$C$113="Elite",'Dados'!$D$113=$N$105),1,0)</f>
        <v/>
      </c>
      <c r="AQ32" s="2">
        <f>$AQ$31+IF(AND('Dados'!$C$113="Boss",'Dados'!$D$113=$N$105),1,0)</f>
        <v/>
      </c>
      <c r="AT32" s="2">
        <f>IF(ISNUMBER($R$113),INDEX('Dados'!$R$92:$R$123,$R$113)&amp;"","")</f>
        <v/>
      </c>
      <c r="AU32" s="2">
        <f>IF(ISNUMBER($R$113),INDEX('Dados'!$U$92:$U$123,$R$113)&amp;"","")</f>
        <v/>
      </c>
      <c r="AV32" s="2">
        <f>IF(LEN($AT$32)=0,0,IF(COUNTIF('Grupo'!$T$7:$T$12,$AT$32)&gt;0,0,1))</f>
        <v/>
      </c>
      <c r="AW32" s="2">
        <f>$AW$31+IF(AND($AV$32=1,$AW$31&lt;$BE$12),IF(INDEX($BC$11:$BC$17,$AW$31+1)&lt;&gt;$AU$32,1,0),0)</f>
        <v/>
      </c>
      <c r="AX32" s="2">
        <f>IF($AW$32&gt;$AW$31,INDEX($BC$11:$BC$17,$AW$32),$AT$32)</f>
        <v/>
      </c>
      <c r="AY32" s="2">
        <f>IF($AW$32&gt;$AW$31,$S$113&amp;": "&amp;$AT$32&amp;" → "&amp;$AX$32&amp;"; ","")</f>
        <v/>
      </c>
    </row>
    <row r="33" ht="26" customHeight="1">
      <c r="A33" s="43">
        <f>IF(LEN($BG$24)&gt;0,$BG$24,"4 · (vazia)")</f>
        <v/>
      </c>
      <c r="B33" s="23">
        <f>IF(ISNUMBER($N$24),INDEX('Inimigos'!$P$11:$P$54,$N$24)&amp;"","")</f>
        <v/>
      </c>
      <c r="C33" s="10">
        <f>$P$24&amp;IF(LEN($Q$24)&gt;0,", "&amp;$Q$24,"")&amp;IF(LEN($R$24)&gt;0,", "&amp;$R$24,"")&amp;IF(LEN($S$24)&gt;0,", "&amp;$S$24,"")</f>
        <v/>
      </c>
      <c r="G33" s="23">
        <f>IF(ISNUMBER($N$24),IF(LEN($T$24)&gt;0,$T$24,"—"),"")</f>
        <v/>
      </c>
      <c r="H33" s="23">
        <f>IF(ISNUMBER($N$24),$X$24,"")</f>
        <v/>
      </c>
      <c r="I33" s="10">
        <f>IF(ISNUMBER($N$24),IF(INDEX('Inimigos'!$AF$11:$AF$54,$N$24)&amp;""="Pode","Pode Executar (ser racional)",IF(INDEX('Inimigos'!$AF$11:$AF$54,$N$24)&amp;""="Não","Não Executa","Execução não declarada")),"")</f>
        <v/>
      </c>
      <c r="K33" s="27">
        <f>IF($O$24=0,"",IF($AC$24=1,"Faixa diferente da do grupo (28.4 passo 1: a faixa do inimigo é a do grupo)",IF($Z$24=1,"Resistência no Elemento de dois personagens (27.5)","")))</f>
        <v/>
      </c>
      <c r="AK33" s="2">
        <f>IF(OR(LEN($BH$105)=0,$BH$105="Qualquer"),1,IF(COUNTIFS('Tabelas'!$AE$12:$AE$118,'Dados'!$E$114,'Tabelas'!$AF$12:$AF$118,$BH$105)+IF(LEN('Dados'!$AD$114)=0,0,COUNTIFS('Tabelas'!$AE$12:$AE$118,'Dados'!$AD$114,'Tabelas'!$AF$12:$AF$118,$BH$105))&gt;0,1,0))</f>
        <v/>
      </c>
      <c r="AL33" s="2">
        <f>$AL$32+IF(AND('Dados'!$C$114="Comum",'Dados'!$D$114=$N$105),1,0)*$AK$33</f>
        <v/>
      </c>
      <c r="AM33" s="2">
        <f>$AM$32+IF(AND('Dados'!$C$114="Elite",'Dados'!$D$114=$N$105),1,0)*$AK$33</f>
        <v/>
      </c>
      <c r="AN33" s="2">
        <f>$AN$32+IF(AND('Dados'!$C$114="Boss",'Dados'!$D$114=$N$105),1,0)*$AK$33</f>
        <v/>
      </c>
      <c r="AO33" s="2">
        <f>$AO$32+IF(AND('Dados'!$C$114="Comum",'Dados'!$D$114=$N$105),1,0)</f>
        <v/>
      </c>
      <c r="AP33" s="2">
        <f>$AP$32+IF(AND('Dados'!$C$114="Elite",'Dados'!$D$114=$N$105),1,0)</f>
        <v/>
      </c>
      <c r="AQ33" s="2">
        <f>$AQ$32+IF(AND('Dados'!$C$114="Boss",'Dados'!$D$114=$N$105),1,0)</f>
        <v/>
      </c>
      <c r="AT33" s="2">
        <f>IF(ISNUMBER($R$113),INDEX('Dados'!$S$92:$S$123,$R$113)&amp;"","")</f>
        <v/>
      </c>
      <c r="AU33" s="2">
        <f>IF(ISNUMBER($R$113),INDEX('Dados'!$U$92:$U$123,$R$113)&amp;"","")</f>
        <v/>
      </c>
      <c r="AV33" s="2">
        <f>IF(LEN($AT$33)=0,0,IF(COUNTIF('Grupo'!$T$7:$T$12,$AT$33)&gt;0,0,1))</f>
        <v/>
      </c>
      <c r="AW33" s="2">
        <f>$AW$32+IF(AND($AV$33=1,$AW$32&lt;$BE$12),IF(INDEX($BC$11:$BC$17,$AW$32+1)&lt;&gt;$AU$33,1,0),0)</f>
        <v/>
      </c>
      <c r="AX33" s="2">
        <f>IF($AW$33&gt;$AW$32,INDEX($BC$11:$BC$17,$AW$33),$AT$33)</f>
        <v/>
      </c>
      <c r="AY33" s="2">
        <f>IF($AW$33&gt;$AW$32,$S$113&amp;": "&amp;$AT$33&amp;" → "&amp;$AX$33&amp;"; ","")</f>
        <v/>
      </c>
    </row>
    <row r="34" ht="26" customHeight="1">
      <c r="A34" s="31">
        <f>IF(LEN($BG$25)&gt;0,$BG$25,"5 · (vazia)")</f>
        <v/>
      </c>
      <c r="B34" s="18">
        <f>IF(ISNUMBER($N$25),INDEX('Inimigos'!$P$11:$P$54,$N$25)&amp;"","")</f>
        <v/>
      </c>
      <c r="C34" s="5">
        <f>$P$25&amp;IF(LEN($Q$25)&gt;0,", "&amp;$Q$25,"")&amp;IF(LEN($R$25)&gt;0,", "&amp;$R$25,"")&amp;IF(LEN($S$25)&gt;0,", "&amp;$S$25,"")</f>
        <v/>
      </c>
      <c r="G34" s="18">
        <f>IF(ISNUMBER($N$25),IF(LEN($T$25)&gt;0,$T$25,"—"),"")</f>
        <v/>
      </c>
      <c r="H34" s="18">
        <f>IF(ISNUMBER($N$25),$X$25,"")</f>
        <v/>
      </c>
      <c r="I34" s="5">
        <f>IF(ISNUMBER($N$25),IF(INDEX('Inimigos'!$AF$11:$AF$54,$N$25)&amp;""="Pode","Pode Executar (ser racional)",IF(INDEX('Inimigos'!$AF$11:$AF$54,$N$25)&amp;""="Não","Não Executa","Execução não declarada")),"")</f>
        <v/>
      </c>
      <c r="K34" s="19">
        <f>IF($O$25=0,"",IF($AC$25=1,"Faixa diferente da do grupo (28.4 passo 1: a faixa do inimigo é a do grupo)",IF($Z$25=1,"Resistência no Elemento de dois personagens (27.5)","")))</f>
        <v/>
      </c>
      <c r="AK34" s="2">
        <f>IF(OR(LEN($BH$105)=0,$BH$105="Qualquer"),1,IF(COUNTIFS('Tabelas'!$AE$12:$AE$118,'Dados'!$E$115,'Tabelas'!$AF$12:$AF$118,$BH$105)+IF(LEN('Dados'!$AD$115)=0,0,COUNTIFS('Tabelas'!$AE$12:$AE$118,'Dados'!$AD$115,'Tabelas'!$AF$12:$AF$118,$BH$105))&gt;0,1,0))</f>
        <v/>
      </c>
      <c r="AL34" s="2">
        <f>$AL$33+IF(AND('Dados'!$C$115="Comum",'Dados'!$D$115=$N$105),1,0)*$AK$34</f>
        <v/>
      </c>
      <c r="AM34" s="2">
        <f>$AM$33+IF(AND('Dados'!$C$115="Elite",'Dados'!$D$115=$N$105),1,0)*$AK$34</f>
        <v/>
      </c>
      <c r="AN34" s="2">
        <f>$AN$33+IF(AND('Dados'!$C$115="Boss",'Dados'!$D$115=$N$105),1,0)*$AK$34</f>
        <v/>
      </c>
      <c r="AO34" s="2">
        <f>$AO$33+IF(AND('Dados'!$C$115="Comum",'Dados'!$D$115=$N$105),1,0)</f>
        <v/>
      </c>
      <c r="AP34" s="2">
        <f>$AP$33+IF(AND('Dados'!$C$115="Elite",'Dados'!$D$115=$N$105),1,0)</f>
        <v/>
      </c>
      <c r="AQ34" s="2">
        <f>$AQ$33+IF(AND('Dados'!$C$115="Boss",'Dados'!$D$115=$N$105),1,0)</f>
        <v/>
      </c>
      <c r="AT34" s="2">
        <f>IF(ISNUMBER($R$113),INDEX('Dados'!$T$92:$T$123,$R$113)&amp;"","")</f>
        <v/>
      </c>
      <c r="AU34" s="2">
        <f>IF(ISNUMBER($R$113),INDEX('Dados'!$U$92:$U$123,$R$113)&amp;"","")</f>
        <v/>
      </c>
      <c r="AV34" s="2">
        <f>IF(LEN($AT$34)=0,0,IF(COUNTIF('Grupo'!$T$7:$T$12,$AT$34)&gt;0,0,1))</f>
        <v/>
      </c>
      <c r="AW34" s="2">
        <f>$AW$33+IF(AND($AV$34=1,$AW$33&lt;$BE$12),IF(INDEX($BC$11:$BC$17,$AW$33+1)&lt;&gt;$AU$34,1,0),0)</f>
        <v/>
      </c>
      <c r="AX34" s="2">
        <f>IF($AW$34&gt;$AW$33,INDEX($BC$11:$BC$17,$AW$34),$AT$34)</f>
        <v/>
      </c>
      <c r="AY34" s="2">
        <f>IF($AW$34&gt;$AW$33,$S$113&amp;": "&amp;$AT$34&amp;" → "&amp;$AX$34&amp;"; ","")</f>
        <v/>
      </c>
    </row>
    <row r="35" ht="26" customHeight="1">
      <c r="A35" s="43">
        <f>IF(LEN($BG$26)&gt;0,$BG$26,"6 · (vazia)")</f>
        <v/>
      </c>
      <c r="B35" s="23">
        <f>IF(ISNUMBER($N$26),INDEX('Inimigos'!$P$11:$P$54,$N$26)&amp;"","")</f>
        <v/>
      </c>
      <c r="C35" s="10">
        <f>$P$26&amp;IF(LEN($Q$26)&gt;0,", "&amp;$Q$26,"")&amp;IF(LEN($R$26)&gt;0,", "&amp;$R$26,"")&amp;IF(LEN($S$26)&gt;0,", "&amp;$S$26,"")</f>
        <v/>
      </c>
      <c r="G35" s="23">
        <f>IF(ISNUMBER($N$26),IF(LEN($T$26)&gt;0,$T$26,"—"),"")</f>
        <v/>
      </c>
      <c r="H35" s="23">
        <f>IF(ISNUMBER($N$26),$X$26,"")</f>
        <v/>
      </c>
      <c r="I35" s="10">
        <f>IF(ISNUMBER($N$26),IF(INDEX('Inimigos'!$AF$11:$AF$54,$N$26)&amp;""="Pode","Pode Executar (ser racional)",IF(INDEX('Inimigos'!$AF$11:$AF$54,$N$26)&amp;""="Não","Não Executa","Execução não declarada")),"")</f>
        <v/>
      </c>
      <c r="K35" s="27">
        <f>IF($O$26=0,"",IF($AC$26=1,"Faixa diferente da do grupo (28.4 passo 1: a faixa do inimigo é a do grupo)",IF($Z$26=1,"Resistência no Elemento de dois personagens (27.5)","")))</f>
        <v/>
      </c>
      <c r="AK35" s="2">
        <f>IF(OR(LEN($BH$105)=0,$BH$105="Qualquer"),1,IF(COUNTIFS('Tabelas'!$AE$12:$AE$118,'Dados'!$E$116,'Tabelas'!$AF$12:$AF$118,$BH$105)+IF(LEN('Dados'!$AD$116)=0,0,COUNTIFS('Tabelas'!$AE$12:$AE$118,'Dados'!$AD$116,'Tabelas'!$AF$12:$AF$118,$BH$105))&gt;0,1,0))</f>
        <v/>
      </c>
      <c r="AL35" s="2">
        <f>$AL$34+IF(AND('Dados'!$C$116="Comum",'Dados'!$D$116=$N$105),1,0)*$AK$35</f>
        <v/>
      </c>
      <c r="AM35" s="2">
        <f>$AM$34+IF(AND('Dados'!$C$116="Elite",'Dados'!$D$116=$N$105),1,0)*$AK$35</f>
        <v/>
      </c>
      <c r="AN35" s="2">
        <f>$AN$34+IF(AND('Dados'!$C$116="Boss",'Dados'!$D$116=$N$105),1,0)*$AK$35</f>
        <v/>
      </c>
      <c r="AO35" s="2">
        <f>$AO$34+IF(AND('Dados'!$C$116="Comum",'Dados'!$D$116=$N$105),1,0)</f>
        <v/>
      </c>
      <c r="AP35" s="2">
        <f>$AP$34+IF(AND('Dados'!$C$116="Elite",'Dados'!$D$116=$N$105),1,0)</f>
        <v/>
      </c>
      <c r="AQ35" s="2">
        <f>$AQ$34+IF(AND('Dados'!$C$116="Boss",'Dados'!$D$116=$N$105),1,0)</f>
        <v/>
      </c>
      <c r="AT35" s="2">
        <f>IF(ISNUMBER($R$114),INDEX('Dados'!$Q$92:$Q$123,$R$114)&amp;"","")</f>
        <v/>
      </c>
      <c r="AU35" s="2">
        <f>IF(ISNUMBER($R$114),INDEX('Dados'!$U$92:$U$123,$R$114)&amp;"","")</f>
        <v/>
      </c>
      <c r="AV35" s="2">
        <f>IF(LEN($AT$35)=0,0,IF(COUNTIF('Grupo'!$T$7:$T$12,$AT$35)&gt;0,0,1))</f>
        <v/>
      </c>
      <c r="AW35" s="2">
        <f>$AW$34+IF(AND($AV$35=1,$AW$34&lt;$BE$12),IF(INDEX($BC$11:$BC$17,$AW$34+1)&lt;&gt;$AU$35,1,0),0)</f>
        <v/>
      </c>
      <c r="AX35" s="2">
        <f>IF($AW$35&gt;$AW$34,INDEX($BC$11:$BC$17,$AW$35),$AT$35)</f>
        <v/>
      </c>
      <c r="AY35" s="2">
        <f>IF($AW$35&gt;$AW$34,$S$114&amp;": "&amp;$AT$35&amp;" → "&amp;$AX$35&amp;"; ","")</f>
        <v/>
      </c>
    </row>
    <row r="36" ht="26" customHeight="1">
      <c r="A36" s="31">
        <f>IF(LEN($BG$27)&gt;0,$BG$27,"7 · (vazia)")</f>
        <v/>
      </c>
      <c r="B36" s="18">
        <f>IF(ISNUMBER($N$27),INDEX('Inimigos'!$P$11:$P$54,$N$27)&amp;"","")</f>
        <v/>
      </c>
      <c r="C36" s="5">
        <f>$P$27&amp;IF(LEN($Q$27)&gt;0,", "&amp;$Q$27,"")&amp;IF(LEN($R$27)&gt;0,", "&amp;$R$27,"")&amp;IF(LEN($S$27)&gt;0,", "&amp;$S$27,"")</f>
        <v/>
      </c>
      <c r="G36" s="18">
        <f>IF(ISNUMBER($N$27),IF(LEN($T$27)&gt;0,$T$27,"—"),"")</f>
        <v/>
      </c>
      <c r="H36" s="18">
        <f>IF(ISNUMBER($N$27),$X$27,"")</f>
        <v/>
      </c>
      <c r="I36" s="5">
        <f>IF(ISNUMBER($N$27),IF(INDEX('Inimigos'!$AF$11:$AF$54,$N$27)&amp;""="Pode","Pode Executar (ser racional)",IF(INDEX('Inimigos'!$AF$11:$AF$54,$N$27)&amp;""="Não","Não Executa","Execução não declarada")),"")</f>
        <v/>
      </c>
      <c r="K36" s="19">
        <f>IF($O$27=0,"",IF($AC$27=1,"Faixa diferente da do grupo (28.4 passo 1: a faixa do inimigo é a do grupo)",IF($Z$27=1,"Resistência no Elemento de dois personagens (27.5)","")))</f>
        <v/>
      </c>
      <c r="AK36" s="2">
        <f>IF(OR(LEN($BH$105)=0,$BH$105="Qualquer"),1,IF(COUNTIFS('Tabelas'!$AE$12:$AE$118,'Dados'!$E$117,'Tabelas'!$AF$12:$AF$118,$BH$105)+IF(LEN('Dados'!$AD$117)=0,0,COUNTIFS('Tabelas'!$AE$12:$AE$118,'Dados'!$AD$117,'Tabelas'!$AF$12:$AF$118,$BH$105))&gt;0,1,0))</f>
        <v/>
      </c>
      <c r="AL36" s="2">
        <f>$AL$35+IF(AND('Dados'!$C$117="Comum",'Dados'!$D$117=$N$105),1,0)*$AK$36</f>
        <v/>
      </c>
      <c r="AM36" s="2">
        <f>$AM$35+IF(AND('Dados'!$C$117="Elite",'Dados'!$D$117=$N$105),1,0)*$AK$36</f>
        <v/>
      </c>
      <c r="AN36" s="2">
        <f>$AN$35+IF(AND('Dados'!$C$117="Boss",'Dados'!$D$117=$N$105),1,0)*$AK$36</f>
        <v/>
      </c>
      <c r="AO36" s="2">
        <f>$AO$35+IF(AND('Dados'!$C$117="Comum",'Dados'!$D$117=$N$105),1,0)</f>
        <v/>
      </c>
      <c r="AP36" s="2">
        <f>$AP$35+IF(AND('Dados'!$C$117="Elite",'Dados'!$D$117=$N$105),1,0)</f>
        <v/>
      </c>
      <c r="AQ36" s="2">
        <f>$AQ$35+IF(AND('Dados'!$C$117="Boss",'Dados'!$D$117=$N$105),1,0)</f>
        <v/>
      </c>
      <c r="AT36" s="2">
        <f>IF(ISNUMBER($R$114),INDEX('Dados'!$R$92:$R$123,$R$114)&amp;"","")</f>
        <v/>
      </c>
      <c r="AU36" s="2">
        <f>IF(ISNUMBER($R$114),INDEX('Dados'!$U$92:$U$123,$R$114)&amp;"","")</f>
        <v/>
      </c>
      <c r="AV36" s="2">
        <f>IF(LEN($AT$36)=0,0,IF(COUNTIF('Grupo'!$T$7:$T$12,$AT$36)&gt;0,0,1))</f>
        <v/>
      </c>
      <c r="AW36" s="2">
        <f>$AW$35+IF(AND($AV$36=1,$AW$35&lt;$BE$12),IF(INDEX($BC$11:$BC$17,$AW$35+1)&lt;&gt;$AU$36,1,0),0)</f>
        <v/>
      </c>
      <c r="AX36" s="2">
        <f>IF($AW$36&gt;$AW$35,INDEX($BC$11:$BC$17,$AW$36),$AT$36)</f>
        <v/>
      </c>
      <c r="AY36" s="2">
        <f>IF($AW$36&gt;$AW$35,$S$114&amp;": "&amp;$AT$36&amp;" → "&amp;$AX$36&amp;"; ","")</f>
        <v/>
      </c>
    </row>
    <row r="37" ht="26" customHeight="1">
      <c r="A37" s="43">
        <f>IF(LEN($BG$28)&gt;0,$BG$28,"8 · (vazia)")</f>
        <v/>
      </c>
      <c r="B37" s="23">
        <f>IF(ISNUMBER($N$28),INDEX('Inimigos'!$P$11:$P$54,$N$28)&amp;"","")</f>
        <v/>
      </c>
      <c r="C37" s="10">
        <f>$P$28&amp;IF(LEN($Q$28)&gt;0,", "&amp;$Q$28,"")&amp;IF(LEN($R$28)&gt;0,", "&amp;$R$28,"")&amp;IF(LEN($S$28)&gt;0,", "&amp;$S$28,"")</f>
        <v/>
      </c>
      <c r="G37" s="23">
        <f>IF(ISNUMBER($N$28),IF(LEN($T$28)&gt;0,$T$28,"—"),"")</f>
        <v/>
      </c>
      <c r="H37" s="23">
        <f>IF(ISNUMBER($N$28),$X$28,"")</f>
        <v/>
      </c>
      <c r="I37" s="10">
        <f>IF(ISNUMBER($N$28),IF(INDEX('Inimigos'!$AF$11:$AF$54,$N$28)&amp;""="Pode","Pode Executar (ser racional)",IF(INDEX('Inimigos'!$AF$11:$AF$54,$N$28)&amp;""="Não","Não Executa","Execução não declarada")),"")</f>
        <v/>
      </c>
      <c r="K37" s="27">
        <f>IF($O$28=0,"",IF($AC$28=1,"Faixa diferente da do grupo (28.4 passo 1: a faixa do inimigo é a do grupo)",IF($Z$28=1,"Resistência no Elemento de dois personagens (27.5)","")))</f>
        <v/>
      </c>
      <c r="AK37" s="2">
        <f>IF(OR(LEN($BH$105)=0,$BH$105="Qualquer"),1,IF(COUNTIFS('Tabelas'!$AE$12:$AE$118,'Dados'!$E$118,'Tabelas'!$AF$12:$AF$118,$BH$105)+IF(LEN('Dados'!$AD$118)=0,0,COUNTIFS('Tabelas'!$AE$12:$AE$118,'Dados'!$AD$118,'Tabelas'!$AF$12:$AF$118,$BH$105))&gt;0,1,0))</f>
        <v/>
      </c>
      <c r="AL37" s="2">
        <f>$AL$36+IF(AND('Dados'!$C$118="Comum",'Dados'!$D$118=$N$105),1,0)*$AK$37</f>
        <v/>
      </c>
      <c r="AM37" s="2">
        <f>$AM$36+IF(AND('Dados'!$C$118="Elite",'Dados'!$D$118=$N$105),1,0)*$AK$37</f>
        <v/>
      </c>
      <c r="AN37" s="2">
        <f>$AN$36+IF(AND('Dados'!$C$118="Boss",'Dados'!$D$118=$N$105),1,0)*$AK$37</f>
        <v/>
      </c>
      <c r="AO37" s="2">
        <f>$AO$36+IF(AND('Dados'!$C$118="Comum",'Dados'!$D$118=$N$105),1,0)</f>
        <v/>
      </c>
      <c r="AP37" s="2">
        <f>$AP$36+IF(AND('Dados'!$C$118="Elite",'Dados'!$D$118=$N$105),1,0)</f>
        <v/>
      </c>
      <c r="AQ37" s="2">
        <f>$AQ$36+IF(AND('Dados'!$C$118="Boss",'Dados'!$D$118=$N$105),1,0)</f>
        <v/>
      </c>
      <c r="AT37" s="2">
        <f>IF(ISNUMBER($R$114),INDEX('Dados'!$S$92:$S$123,$R$114)&amp;"","")</f>
        <v/>
      </c>
      <c r="AU37" s="2">
        <f>IF(ISNUMBER($R$114),INDEX('Dados'!$U$92:$U$123,$R$114)&amp;"","")</f>
        <v/>
      </c>
      <c r="AV37" s="2">
        <f>IF(LEN($AT$37)=0,0,IF(COUNTIF('Grupo'!$T$7:$T$12,$AT$37)&gt;0,0,1))</f>
        <v/>
      </c>
      <c r="AW37" s="2">
        <f>$AW$36+IF(AND($AV$37=1,$AW$36&lt;$BE$12),IF(INDEX($BC$11:$BC$17,$AW$36+1)&lt;&gt;$AU$37,1,0),0)</f>
        <v/>
      </c>
      <c r="AX37" s="2">
        <f>IF($AW$37&gt;$AW$36,INDEX($BC$11:$BC$17,$AW$37),$AT$37)</f>
        <v/>
      </c>
      <c r="AY37" s="2">
        <f>IF($AW$37&gt;$AW$36,$S$114&amp;": "&amp;$AT$37&amp;" → "&amp;$AX$37&amp;"; ","")</f>
        <v/>
      </c>
    </row>
    <row r="38" ht="26" customHeight="1">
      <c r="A38" s="9" t="inlineStr">
        <is>
          <t>Custo total</t>
        </is>
      </c>
      <c r="B38" s="18">
        <f>SUM($W$21:$W$28)</f>
        <v/>
      </c>
      <c r="C38" s="15" t="inlineStr">
        <is>
          <t>% do orçamento</t>
        </is>
      </c>
      <c r="D38" s="18">
        <f>IF($B$11&gt;0,INT((200*$B$38+$B$11)/(2*$B$11)),"")</f>
        <v/>
      </c>
      <c r="E38" s="15" t="inlineStr">
        <is>
          <t>Ciclos estimados</t>
        </is>
      </c>
      <c r="F38" s="18">
        <f>IF(OR($B$38=0,$B$12=0),"",INT((20*$B$38+20*IF($I$41&lt;3,1,0)*$B$12+$B$12)/(2*$B$12))/10)</f>
        <v/>
      </c>
      <c r="G38" s="5">
        <f>IF($B$38=0,"",IF(($B$38/$B$11)&lt;=0.6,"Cena de passagem — cerca de 2 Ciclos (27.4)",IF(($B$38/$B$11)&lt;=1.15,"Encontro típico — 3 a 5 Ciclos (27.4)",IF(($B$38/$B$11)&lt;=1.6,"Pesado","Dois orçamentos num só encontro: passa de 6 Ciclos (27.4)"))))</f>
        <v/>
      </c>
      <c r="K38" s="5">
        <f>IF($B$38=0,"","Ciclos e leitura: Sugestão da planilha — não é regra do livro (H6, H7)")</f>
        <v/>
      </c>
      <c r="AK38" s="2">
        <f>IF(OR(LEN($BH$105)=0,$BH$105="Qualquer"),1,IF(COUNTIFS('Tabelas'!$AE$12:$AE$118,'Dados'!$E$119,'Tabelas'!$AF$12:$AF$118,$BH$105)+IF(LEN('Dados'!$AD$119)=0,0,COUNTIFS('Tabelas'!$AE$12:$AE$118,'Dados'!$AD$119,'Tabelas'!$AF$12:$AF$118,$BH$105))&gt;0,1,0))</f>
        <v/>
      </c>
      <c r="AL38" s="2">
        <f>$AL$37+IF(AND('Dados'!$C$119="Comum",'Dados'!$D$119=$N$105),1,0)*$AK$38</f>
        <v/>
      </c>
      <c r="AM38" s="2">
        <f>$AM$37+IF(AND('Dados'!$C$119="Elite",'Dados'!$D$119=$N$105),1,0)*$AK$38</f>
        <v/>
      </c>
      <c r="AN38" s="2">
        <f>$AN$37+IF(AND('Dados'!$C$119="Boss",'Dados'!$D$119=$N$105),1,0)*$AK$38</f>
        <v/>
      </c>
      <c r="AO38" s="2">
        <f>$AO$37+IF(AND('Dados'!$C$119="Comum",'Dados'!$D$119=$N$105),1,0)</f>
        <v/>
      </c>
      <c r="AP38" s="2">
        <f>$AP$37+IF(AND('Dados'!$C$119="Elite",'Dados'!$D$119=$N$105),1,0)</f>
        <v/>
      </c>
      <c r="AQ38" s="2">
        <f>$AQ$37+IF(AND('Dados'!$C$119="Boss",'Dados'!$D$119=$N$105),1,0)</f>
        <v/>
      </c>
      <c r="AT38" s="2">
        <f>IF(ISNUMBER($R$114),INDEX('Dados'!$T$92:$T$123,$R$114)&amp;"","")</f>
        <v/>
      </c>
      <c r="AU38" s="2">
        <f>IF(ISNUMBER($R$114),INDEX('Dados'!$U$92:$U$123,$R$114)&amp;"","")</f>
        <v/>
      </c>
      <c r="AV38" s="2">
        <f>IF(LEN($AT$38)=0,0,IF(COUNTIF('Grupo'!$T$7:$T$12,$AT$38)&gt;0,0,1))</f>
        <v/>
      </c>
      <c r="AW38" s="2">
        <f>$AW$37+IF(AND($AV$38=1,$AW$37&lt;$BE$12),IF(INDEX($BC$11:$BC$17,$AW$37+1)&lt;&gt;$AU$38,1,0),0)</f>
        <v/>
      </c>
      <c r="AX38" s="2">
        <f>IF($AW$38&gt;$AW$37,INDEX($BC$11:$BC$17,$AW$38),$AT$38)</f>
        <v/>
      </c>
      <c r="AY38" s="2">
        <f>IF($AW$38&gt;$AW$37,$S$114&amp;": "&amp;$AT$38&amp;" → "&amp;$AX$38&amp;"; ","")</f>
        <v/>
      </c>
    </row>
    <row r="39">
      <c r="A39" s="21" t="inlineStr">
        <is>
          <t>Composição</t>
        </is>
      </c>
      <c r="B39" s="10">
        <f>IF($B$38=0,"",IF(IF(AND(SUMIF($U$21:$U$28,"Boss",$O$21:$O$28)=1,SUMIF($U$21:$U$28,"Elite",$O$21:$O$28)=0,SUMIF($U$21:$U$28,"Comum",$AG$21:$AG$28)=1),"1 Boss + 1 Comum — uma ameaça com nome, um estorvo. O combate é um duelo com interrupção (3 a 5 Ciclos, 27.4)",IF(AND(SUMIF($U$21:$U$28,"Boss",$O$21:$O$28)=0,SUMIF($U$21:$U$28,"Elite",$O$21:$O$28)=1,SUMIF($U$21:$U$28,"Comum",$AG$21:$AG$28)=4),"1 Elite + 4 Comuns — um comandante e a tropa dele. O grupo escolhe entre limpar os lados ou ir no chefe (3 a 4 Ciclos, 27.4)",IF(AND(SUMIF($U$21:$U$28,"Boss",$O$21:$O$28)=0,SUMIF($U$21:$U$28,"Elite",$O$21:$O$28)=3,SUMIF($U$21:$U$28,"Comum",$AG$21:$AG$28)=0),"3 Elites — três problemas simultâneos. É a mais pesada das quatro em dano recebido (3 a 4 Ciclos, 27.4)",IF(AND(SUMIF($U$21:$U$28,"Boss",$O$21:$O$28)=0,SUMIF($U$21:$U$28,"Elite",$O$21:$O$28)=0,SUMIF($U$21:$U$28,"Comum",$AG$21:$AG$28)=7),"7 Comuns — pelotão. Morre rápido e ainda assim morde (2 a 3 Ciclos, 27.4)",""))))="",SUMIF($U$21:$U$28,"Boss",$O$21:$O$28)&amp;" Boss, "&amp;SUMIF($U$21:$U$28,"Elite",$O$21:$O$28)&amp;" Elite, "&amp;SUMIF($U$21:$U$28,"Comum",$AG$21:$AG$28)&amp;" Comum: não é uma das quatro composições de 27.4",IF(AND(SUMIF($U$21:$U$28,"Boss",$O$21:$O$28)=1,SUMIF($U$21:$U$28,"Elite",$O$21:$O$28)=0,SUMIF($U$21:$U$28,"Comum",$AG$21:$AG$28)=1),"1 Boss + 1 Comum — uma ameaça com nome, um estorvo. O combate é um duelo com interrupção (3 a 5 Ciclos, 27.4)",IF(AND(SUMIF($U$21:$U$28,"Boss",$O$21:$O$28)=0,SUMIF($U$21:$U$28,"Elite",$O$21:$O$28)=1,SUMIF($U$21:$U$28,"Comum",$AG$21:$AG$28)=4),"1 Elite + 4 Comuns — um comandante e a tropa dele. O grupo escolhe entre limpar os lados ou ir no chefe (3 a 4 Ciclos, 27.4)",IF(AND(SUMIF($U$21:$U$28,"Boss",$O$21:$O$28)=0,SUMIF($U$21:$U$28,"Elite",$O$21:$O$28)=3,SUMIF($U$21:$U$28,"Comum",$AG$21:$AG$28)=0),"3 Elites — três problemas simultâneos. É a mais pesada das quatro em dano recebido (3 a 4 Ciclos, 27.4)",IF(AND(SUMIF($U$21:$U$28,"Boss",$O$21:$O$28)=0,SUMIF($U$21:$U$28,"Elite",$O$21:$O$28)=0,SUMIF($U$21:$U$28,"Comum",$AG$21:$AG$28)=7),"7 Comuns — pelotão. Morre rápido e ainda assim morde (2 a 3 Ciclos, 27.4)",""))))))</f>
        <v/>
      </c>
      <c r="AK39" s="2">
        <f>IF(OR(LEN($BH$105)=0,$BH$105="Qualquer"),1,IF(COUNTIFS('Tabelas'!$AE$12:$AE$118,'Dados'!$E$120,'Tabelas'!$AF$12:$AF$118,$BH$105)+IF(LEN('Dados'!$AD$120)=0,0,COUNTIFS('Tabelas'!$AE$12:$AE$118,'Dados'!$AD$120,'Tabelas'!$AF$12:$AF$118,$BH$105))&gt;0,1,0))</f>
        <v/>
      </c>
      <c r="AL39" s="2">
        <f>$AL$38+IF(AND('Dados'!$C$120="Comum",'Dados'!$D$120=$N$105),1,0)*$AK$39</f>
        <v/>
      </c>
      <c r="AM39" s="2">
        <f>$AM$38+IF(AND('Dados'!$C$120="Elite",'Dados'!$D$120=$N$105),1,0)*$AK$39</f>
        <v/>
      </c>
      <c r="AN39" s="2">
        <f>$AN$38+IF(AND('Dados'!$C$120="Boss",'Dados'!$D$120=$N$105),1,0)*$AK$39</f>
        <v/>
      </c>
      <c r="AO39" s="2">
        <f>$AO$38+IF(AND('Dados'!$C$120="Comum",'Dados'!$D$120=$N$105),1,0)</f>
        <v/>
      </c>
      <c r="AP39" s="2">
        <f>$AP$38+IF(AND('Dados'!$C$120="Elite",'Dados'!$D$120=$N$105),1,0)</f>
        <v/>
      </c>
      <c r="AQ39" s="2">
        <f>$AQ$38+IF(AND('Dados'!$C$120="Boss",'Dados'!$D$120=$N$105),1,0)</f>
        <v/>
      </c>
    </row>
    <row r="40">
      <c r="A40" s="8" t="inlineStr">
        <is>
          <t>Contrato (27.5)</t>
        </is>
      </c>
      <c r="B40" s="8" t="inlineStr">
        <is>
          <t>Físico</t>
        </is>
      </c>
      <c r="C40" s="8" t="inlineStr">
        <is>
          <t>Fogo</t>
        </is>
      </c>
      <c r="D40" s="8" t="inlineStr">
        <is>
          <t>Gelo</t>
        </is>
      </c>
      <c r="E40" s="8" t="inlineStr">
        <is>
          <t>Raio</t>
        </is>
      </c>
      <c r="F40" s="8" t="inlineStr">
        <is>
          <t>Vento</t>
        </is>
      </c>
      <c r="G40" s="8" t="inlineStr">
        <is>
          <t>Quântico</t>
        </is>
      </c>
      <c r="H40" s="8" t="inlineStr">
        <is>
          <t>Imaginário</t>
        </is>
      </c>
      <c r="I40" s="8" t="inlineStr">
        <is>
          <t>Cobertos</t>
        </is>
      </c>
      <c r="J40" s="8" t="inlineStr">
        <is>
          <t>Contrato</t>
        </is>
      </c>
      <c r="K40" s="8" t="inlineStr">
        <is>
          <t>Aviso</t>
        </is>
      </c>
      <c r="L40" s="20" t="n"/>
      <c r="AK40" s="2">
        <f>IF(OR(LEN($BH$105)=0,$BH$105="Qualquer"),1,IF(COUNTIFS('Tabelas'!$AE$12:$AE$118,'Dados'!$E$121,'Tabelas'!$AF$12:$AF$118,$BH$105)+IF(LEN('Dados'!$AD$121)=0,0,COUNTIFS('Tabelas'!$AE$12:$AE$118,'Dados'!$AD$121,'Tabelas'!$AF$12:$AF$118,$BH$105))&gt;0,1,0))</f>
        <v/>
      </c>
      <c r="AL40" s="2">
        <f>$AL$39+IF(AND('Dados'!$C$121="Comum",'Dados'!$D$121=$N$105),1,0)*$AK$40</f>
        <v/>
      </c>
      <c r="AM40" s="2">
        <f>$AM$39+IF(AND('Dados'!$C$121="Elite",'Dados'!$D$121=$N$105),1,0)*$AK$40</f>
        <v/>
      </c>
      <c r="AN40" s="2">
        <f>$AN$39+IF(AND('Dados'!$C$121="Boss",'Dados'!$D$121=$N$105),1,0)*$AK$40</f>
        <v/>
      </c>
      <c r="AO40" s="2">
        <f>$AO$39+IF(AND('Dados'!$C$121="Comum",'Dados'!$D$121=$N$105),1,0)</f>
        <v/>
      </c>
      <c r="AP40" s="2">
        <f>$AP$39+IF(AND('Dados'!$C$121="Elite",'Dados'!$D$121=$N$105),1,0)</f>
        <v/>
      </c>
      <c r="AQ40" s="2">
        <f>$AQ$39+IF(AND('Dados'!$C$121="Boss",'Dados'!$D$121=$N$105),1,0)</f>
        <v/>
      </c>
    </row>
    <row r="41" ht="37" customHeight="1">
      <c r="A41" s="9" t="inlineStr">
        <is>
          <t>Fraqueza na cena?</t>
        </is>
      </c>
      <c r="B41" s="18">
        <f>IF('Grupo'!$B$81="Sim",IF(COUNTIF($P$21:$S$28,"Físico")&gt;0,"Sim","Não"),"—")</f>
        <v/>
      </c>
      <c r="C41" s="18">
        <f>IF('Grupo'!$C$81="Sim",IF(COUNTIF($P$21:$S$28,"Fogo")&gt;0,"Sim","Não"),"—")</f>
        <v/>
      </c>
      <c r="D41" s="18">
        <f>IF('Grupo'!$D$81="Sim",IF(COUNTIF($P$21:$S$28,"Gelo")&gt;0,"Sim","Não"),"—")</f>
        <v/>
      </c>
      <c r="E41" s="18">
        <f>IF('Grupo'!$E$81="Sim",IF(COUNTIF($P$21:$S$28,"Raio")&gt;0,"Sim","Não"),"—")</f>
        <v/>
      </c>
      <c r="F41" s="18">
        <f>IF('Grupo'!$F$81="Sim",IF(COUNTIF($P$21:$S$28,"Vento")&gt;0,"Sim","Não"),"—")</f>
        <v/>
      </c>
      <c r="G41" s="18">
        <f>IF('Grupo'!$G$81="Sim",IF(COUNTIF($P$21:$S$28,"Quântico")&gt;0,"Sim","Não"),"—")</f>
        <v/>
      </c>
      <c r="H41" s="18">
        <f>IF('Grupo'!$H$81="Sim",IF(COUNTIF($P$21:$S$28,"Imaginário")&gt;0,"Sim","Não"),"—")</f>
        <v/>
      </c>
      <c r="I41" s="18">
        <f>COUNTIF(B41:H41,"Sim")</f>
        <v/>
      </c>
      <c r="J41" s="18">
        <f>IF($B$38=0,"",IF($I$41&gt;=3,"Cumprido","Não cumprido"))</f>
        <v/>
      </c>
      <c r="K41" s="19">
        <f>IF(OR($B$38=0,$I$41&gt;=3),"","Contrato não cumprido: encontro deliberadamente mais duro, cerca de 1 Ciclo a mais (27.5)")</f>
        <v/>
      </c>
      <c r="AK41" s="2">
        <f>IF(OR(LEN($BH$105)=0,$BH$105="Qualquer"),1,IF(COUNTIFS('Tabelas'!$AE$12:$AE$118,'Dados'!$E$122,'Tabelas'!$AF$12:$AF$118,$BH$105)+IF(LEN('Dados'!$AD$122)=0,0,COUNTIFS('Tabelas'!$AE$12:$AE$118,'Dados'!$AD$122,'Tabelas'!$AF$12:$AF$118,$BH$105))&gt;0,1,0))</f>
        <v/>
      </c>
      <c r="AL41" s="2">
        <f>$AL$40+IF(AND('Dados'!$C$122="Comum",'Dados'!$D$122=$N$105),1,0)*$AK$41</f>
        <v/>
      </c>
      <c r="AM41" s="2">
        <f>$AM$40+IF(AND('Dados'!$C$122="Elite",'Dados'!$D$122=$N$105),1,0)*$AK$41</f>
        <v/>
      </c>
      <c r="AN41" s="2">
        <f>$AN$40+IF(AND('Dados'!$C$122="Boss",'Dados'!$D$122=$N$105),1,0)*$AK$41</f>
        <v/>
      </c>
      <c r="AO41" s="2">
        <f>$AO$40+IF(AND('Dados'!$C$122="Comum",'Dados'!$D$122=$N$105),1,0)</f>
        <v/>
      </c>
      <c r="AP41" s="2">
        <f>$AP$40+IF(AND('Dados'!$C$122="Elite",'Dados'!$D$122=$N$105),1,0)</f>
        <v/>
      </c>
      <c r="AQ41" s="2">
        <f>$AQ$40+IF(AND('Dados'!$C$122="Boss",'Dados'!$D$122=$N$105),1,0)</f>
        <v/>
      </c>
    </row>
    <row r="42">
      <c r="A42" s="21" t="inlineStr">
        <is>
          <t>Se não cumprir</t>
        </is>
      </c>
      <c r="B42" s="10">
        <f>IF(OR($B$38=0,$I$41&gt;=3),"","Três saídas (27.5): distribua as Fraquezas entre vários inimigos; deixe o grupo criar a Fraqueza (Implante de Fraqueza, 08); aceite o Ciclo extra e avise a mesa.")</f>
        <v/>
      </c>
      <c r="AK42" s="2">
        <f>IF(OR(LEN($BH$105)=0,$BH$105="Qualquer"),1,IF(COUNTIFS('Tabelas'!$AE$12:$AE$118,'Dados'!$E$123,'Tabelas'!$AF$12:$AF$118,$BH$105)+IF(LEN('Dados'!$AD$123)=0,0,COUNTIFS('Tabelas'!$AE$12:$AE$118,'Dados'!$AD$123,'Tabelas'!$AF$12:$AF$118,$BH$105))&gt;0,1,0))</f>
        <v/>
      </c>
      <c r="AL42" s="2">
        <f>$AL$41+IF(AND('Dados'!$C$123="Comum",'Dados'!$D$123=$N$105),1,0)*$AK$42</f>
        <v/>
      </c>
      <c r="AM42" s="2">
        <f>$AM$41+IF(AND('Dados'!$C$123="Elite",'Dados'!$D$123=$N$105),1,0)*$AK$42</f>
        <v/>
      </c>
      <c r="AN42" s="2">
        <f>$AN$41+IF(AND('Dados'!$C$123="Boss",'Dados'!$D$123=$N$105),1,0)*$AK$42</f>
        <v/>
      </c>
      <c r="AO42" s="2">
        <f>$AO$41+IF(AND('Dados'!$C$123="Comum",'Dados'!$D$123=$N$105),1,0)</f>
        <v/>
      </c>
      <c r="AP42" s="2">
        <f>$AP$41+IF(AND('Dados'!$C$123="Elite",'Dados'!$D$123=$N$105),1,0)</f>
        <v/>
      </c>
      <c r="AQ42" s="2">
        <f>$AQ$41+IF(AND('Dados'!$C$123="Boss",'Dados'!$D$123=$N$105),1,0)</f>
        <v/>
      </c>
    </row>
    <row r="43">
      <c r="A43" s="9" t="inlineStr">
        <is>
          <t>Regra irmã e DT</t>
        </is>
      </c>
      <c r="B43" s="5">
        <f>IF($B$38=0,"",IF(SUM($Z$21:$Z$28)&gt;0,"Há Resistência no Elemento de dois personagens: troque-a (27.5)","Nenhuma Resistência aponta para o Elemento de dois personagens (27.5)"))</f>
        <v/>
      </c>
      <c r="G43" s="5">
        <f>IF($B$38=0,"","DT para descobrir Fraqueza: "&amp;INDEX('Dados'!$B$293:$B$297,MAX(1,MAX($AD$21:$AD$28)))&amp;" (20.2, faixa do mais forte)"&amp;IF(COUNTIF('Grupo'!$R$7:$R$12,"Intellitron")&gt;0,"; Intellitron: Vantagem e 2 por sucesso",""))</f>
        <v/>
      </c>
    </row>
    <row r="44">
      <c r="A44" s="21" t="inlineStr">
        <is>
          <t>Avisos de ficha</t>
        </is>
      </c>
      <c r="B44" s="27">
        <f>IF(AND(SUM($AA$21:$AA$28)&gt;0,SUM($O$21:$O$28)&gt;1),"Pretor Vazio-Nove e Dramaturgo: monte sozinho, os reforços são o que ele tem em vez de acompanhantes (28.7, 28.8)",IF(AND(SUM($AB$21:$AB$28)&gt;0,SUMIF($U$21:$U$28,"Comum",$AG$21:$AG$28)&gt;0),"O Germe de Pavor vem sozinho: o Parto falso traz os Comuns (28.11)",""))</f>
        <v/>
      </c>
    </row>
    <row r="45"/>
    <row r="46" ht="20" customHeight="1">
      <c r="A46" s="13" t="inlineStr">
        <is>
          <t>Encontro B</t>
        </is>
      </c>
    </row>
    <row r="47" ht="26" customHeight="1">
      <c r="A47" s="9" t="inlineStr">
        <is>
          <t>Nome do encontro</t>
        </is>
      </c>
      <c r="B47" s="4" t="n"/>
      <c r="C47" s="25" t="n"/>
      <c r="D47" s="25" t="n"/>
      <c r="E47" s="17" t="n"/>
      <c r="F47" s="15" t="inlineStr">
        <is>
          <t>Ambiente</t>
        </is>
      </c>
      <c r="G47" s="4" t="n"/>
      <c r="H47" s="25" t="n"/>
      <c r="I47" s="25" t="n"/>
      <c r="J47" s="17" t="n"/>
      <c r="K47" s="19">
        <f>IF(BN47&gt;0,"O Google leu como fórmula: digite de novo com ' na frente.","")</f>
        <v/>
      </c>
      <c r="BH47" s="2">
        <f>IF(ISERROR($B$47),"",IF(ISBLANK($B$47),"",$B$47))</f>
        <v/>
      </c>
      <c r="BN47" s="2">
        <f>ISERROR($B$47)*1+ISERROR($G$47)*1</f>
        <v/>
      </c>
    </row>
    <row r="48" ht="26" customHeight="1">
      <c r="A48" s="8" t="inlineStr">
        <is>
          <t>Criatura (preencha)</t>
        </is>
      </c>
      <c r="B48" s="20" t="n"/>
      <c r="C48" s="8" t="inlineStr">
        <is>
          <t>Quantidade</t>
        </is>
      </c>
      <c r="D48" s="8" t="inlineStr">
        <is>
          <t>Fraqueza nesta cena 1</t>
        </is>
      </c>
      <c r="E48" s="8" t="inlineStr">
        <is>
          <t>Fraqueza nesta cena 2</t>
        </is>
      </c>
      <c r="F48" s="8" t="inlineStr">
        <is>
          <t>Fraqueza nesta cena 3</t>
        </is>
      </c>
      <c r="G48" s="8" t="inlineStr">
        <is>
          <t>Fraqueza nesta cena 4</t>
        </is>
      </c>
      <c r="H48" s="8" t="inlineStr">
        <is>
          <t>Tipo</t>
        </is>
      </c>
      <c r="I48" s="8" t="inlineStr">
        <is>
          <t>PV</t>
        </is>
      </c>
      <c r="J48" s="8" t="inlineStr">
        <is>
          <t>Custo</t>
        </is>
      </c>
      <c r="K48" s="8" t="inlineStr">
        <is>
          <t>Aviso</t>
        </is>
      </c>
      <c r="L48" s="20" t="n"/>
    </row>
    <row r="49" ht="26" customHeight="1">
      <c r="A49" s="33" t="n"/>
      <c r="B49" s="17" t="n"/>
      <c r="C49" s="16" t="n"/>
      <c r="D49" s="34" t="n"/>
      <c r="E49" s="34" t="n"/>
      <c r="F49" s="34" t="n"/>
      <c r="G49" s="34" t="n"/>
      <c r="H49" s="18">
        <f>IF(ISNUMBER($N$49),INDEX('Inimigos'!$O$11:$O$54,$N$49)&amp;"","")</f>
        <v/>
      </c>
      <c r="I49" s="18">
        <f>IF(ISNUMBER($N$49),INDEX('Inimigos'!$Q$11:$Q$54,$N$49),"")</f>
        <v/>
      </c>
      <c r="J49" s="18">
        <f>IF(ISNUMBER($N$49),$W$49,"")</f>
        <v/>
      </c>
      <c r="K49" s="19">
        <f>IF(BN49&gt;0,"O Google leu como fórmula: escolha de novo ou digite com ' na frente.",IF(LEN($BG$49)=0,"",IF(NOT(ISNUMBER($N$49)),"Criatura fora da lista (Inimigos e Bestiário)",IF(AND(ISNUMBER($BI$49),OR($BI$49&lt;0,$BI$49&gt;10)),"Quantidade fora de 0 a 10: usando o limite",IF((IF(AND(LEN($BJ$49)&gt;0,$BJ$49=$BK$49),1,0)+IF(AND(LEN($BJ$49)&gt;0,$BJ$49=$BL$49),1,0)+IF(AND(LEN($BJ$49)&gt;0,$BJ$49=$BM$49),1,0)+IF(AND(LEN($BK$49)&gt;0,$BK$49=$BL$49),1,0)+IF(AND(LEN($BK$49)&gt;0,$BK$49=$BM$49),1,0)+IF(AND(LEN($BL$49)&gt;0,$BL$49=$BM$49),1,0))&gt;0,"Fraqueza repetida nesta cena",IF(AND($AF$49&gt;0,$AF$49&lt;&gt;(IF(LEN(INDEX('Inimigos'!$AA$11:$AA$54,$N$49)&amp;"")&gt;0,1,0)+IF(LEN(INDEX('Inimigos'!$AB$11:$AB$54,$N$49)&amp;"")&gt;0,1,0)+IF(LEN(INDEX('Inimigos'!$AC$11:$AC$54,$N$49)&amp;"")&gt;0,1,0)+IF(LEN(INDEX('Inimigos'!$AD$11:$AD$54,$N$49)&amp;"")&gt;0,1,0))),"O nº de Fraquezas é regra (28.2 regra 7): troque, não acrescente nem tire",IF(AND(LEN($T$49)&gt;0,COUNTIF($P$49:$S$49,$T$49)&gt;0),"Fraqueza igual à Resistência da ficha","")))))))</f>
        <v/>
      </c>
      <c r="N49" s="2">
        <f>IF(LEN($BG$49)=0,"",IFERROR(MATCH($BG$49,'Inimigos'!$N$11:$N$54,0),""))</f>
        <v/>
      </c>
      <c r="O49" s="2">
        <f>IF(ISNUMBER($N$49),IF(ISNUMBER($BI$49),MIN(10,MAX(0,INT($BI$49))),1),0)</f>
        <v/>
      </c>
      <c r="P49" s="2">
        <f>IF($O$49=0,"",IF(OR(LEN($BJ$49)&gt;0,LEN($BK$49)&gt;0,LEN($BL$49)&gt;0,LEN($BM$49)&gt;0),$BJ$49&amp;"",INDEX('Inimigos'!$AA$11:$AA$54,$N$49)&amp;""))</f>
        <v/>
      </c>
      <c r="Q49" s="2">
        <f>IF($O$49=0,"",IF(OR(LEN($BJ$49)&gt;0,LEN($BK$49)&gt;0,LEN($BL$49)&gt;0,LEN($BM$49)&gt;0),$BK$49&amp;"",INDEX('Inimigos'!$AB$11:$AB$54,$N$49)&amp;""))</f>
        <v/>
      </c>
      <c r="R49" s="2">
        <f>IF($O$49=0,"",IF(OR(LEN($BJ$49)&gt;0,LEN($BK$49)&gt;0,LEN($BL$49)&gt;0,LEN($BM$49)&gt;0),$BL$49&amp;"",INDEX('Inimigos'!$AC$11:$AC$54,$N$49)&amp;""))</f>
        <v/>
      </c>
      <c r="S49" s="2">
        <f>IF($O$49=0,"",IF(OR(LEN($BJ$49)&gt;0,LEN($BK$49)&gt;0,LEN($BL$49)&gt;0,LEN($BM$49)&gt;0),$BM$49&amp;"",INDEX('Inimigos'!$AD$11:$AD$54,$N$49)&amp;""))</f>
        <v/>
      </c>
      <c r="T49" s="2">
        <f>IF($O$49=0,"",INDEX('Inimigos'!$AE$11:$AE$54,$N$49)&amp;"")</f>
        <v/>
      </c>
      <c r="U49" s="2">
        <f>IF(ISNUMBER($N$49),INDEX('Inimigos'!$O$11:$O$54,$N$49)&amp;"","")</f>
        <v/>
      </c>
      <c r="V49" s="2">
        <f>IF(ISNUMBER($N$49),INDEX('Inimigos'!$BF$11:$BF$54,$N$49),"")</f>
        <v/>
      </c>
      <c r="W49" s="2">
        <f>IF($O$49=0,0,INDEX('Inimigos'!$AI$11:$AI$54,$N$49)*$O$49)</f>
        <v/>
      </c>
      <c r="X49" s="2">
        <f>IF($O$49=0,0,INDEX('Inimigos'!$AH$11:$AH$54,$N$49)*$O$49)</f>
        <v/>
      </c>
      <c r="Y49" s="2">
        <f>$O$49</f>
        <v/>
      </c>
      <c r="Z49" s="2">
        <f>IF(AND($O$49&gt;0,LEN($T$49)&gt;0),IF(COUNTIF('Grupo'!$T$7:$T$12,$T$49)&gt;=2,1,0),0)</f>
        <v/>
      </c>
      <c r="AA49" s="2">
        <f>IF(AND($O$49&gt;0,OR($AE$49="Pretor Vazio-Nove",$AE$49="O Dramaturgo de Mil Faces")),1,0)</f>
        <v/>
      </c>
      <c r="AB49" s="2">
        <f>IF(AND($O$49&gt;0,$AE$49="O Germe de Pavor"),1,0)</f>
        <v/>
      </c>
      <c r="AC49" s="2">
        <f>IF(AND($O$49&gt;0,$V$49&lt;&gt;$N$8),1,0)</f>
        <v/>
      </c>
      <c r="AD49" s="2">
        <f>IF($O$49&gt;0,$V$49,0)</f>
        <v/>
      </c>
      <c r="AE49" s="2">
        <f>IF(ISNUMBER($N$49),INDEX('Inimigos'!$N$11:$N$54,$N$49)&amp;"","")</f>
        <v/>
      </c>
      <c r="AF49" s="2">
        <f>IF(LEN($BJ$49)&gt;0,1,0)+IF(LEN($BK$49)&gt;0,1,0)+IF(LEN($BL$49)&gt;0,1,0)+IF(LEN($BM$49)&gt;0,1,0)</f>
        <v/>
      </c>
      <c r="AG49" s="2">
        <f>$O$49*IF($AE$49="Escória de Stellaron",1.5,1)</f>
        <v/>
      </c>
      <c r="BG49" s="2">
        <f>IF(ISERROR($A$49),"",IF(ISBLANK($A$49),"",$A$49))</f>
        <v/>
      </c>
      <c r="BI49" s="2">
        <f>IF(ISERROR($C$49),"",IF(ISBLANK($C$49),"",$C$49))</f>
        <v/>
      </c>
      <c r="BJ49" s="2">
        <f>IF(ISERROR($D$49),"",IF(ISBLANK($D$49),"",$D$49))</f>
        <v/>
      </c>
      <c r="BK49" s="2">
        <f>IF(ISERROR($E$49),"",IF(ISBLANK($E$49),"",$E$49))</f>
        <v/>
      </c>
      <c r="BL49" s="2">
        <f>IF(ISERROR($F$49),"",IF(ISBLANK($F$49),"",$F$49))</f>
        <v/>
      </c>
      <c r="BM49" s="2">
        <f>IF(ISERROR($G$49),"",IF(ISBLANK($G$49),"",$G$49))</f>
        <v/>
      </c>
      <c r="BN49" s="2">
        <f>ISERROR($A$49)*1+ISERROR($C$49)*1+ISERROR($D$49)*1+ISERROR($E$49)*1+ISERROR($F$49)*1+ISERROR($G$49)*1</f>
        <v/>
      </c>
    </row>
    <row r="50" ht="26" customHeight="1">
      <c r="A50" s="35" t="n"/>
      <c r="B50" s="17" t="n"/>
      <c r="C50" s="37" t="n"/>
      <c r="D50" s="36" t="n"/>
      <c r="E50" s="36" t="n"/>
      <c r="F50" s="36" t="n"/>
      <c r="G50" s="36" t="n"/>
      <c r="H50" s="23">
        <f>IF(ISNUMBER($N$50),INDEX('Inimigos'!$O$11:$O$54,$N$50)&amp;"","")</f>
        <v/>
      </c>
      <c r="I50" s="23">
        <f>IF(ISNUMBER($N$50),INDEX('Inimigos'!$Q$11:$Q$54,$N$50),"")</f>
        <v/>
      </c>
      <c r="J50" s="23">
        <f>IF(ISNUMBER($N$50),$W$50,"")</f>
        <v/>
      </c>
      <c r="K50" s="27">
        <f>IF(BN50&gt;0,"O Google leu como fórmula: escolha de novo ou digite com ' na frente.",IF(LEN($BG$50)=0,"",IF(NOT(ISNUMBER($N$50)),"Criatura fora da lista (Inimigos e Bestiário)",IF(AND(ISNUMBER($BI$50),OR($BI$50&lt;0,$BI$50&gt;10)),"Quantidade fora de 0 a 10: usando o limite",IF((IF(AND(LEN($BJ$50)&gt;0,$BJ$50=$BK$50),1,0)+IF(AND(LEN($BJ$50)&gt;0,$BJ$50=$BL$50),1,0)+IF(AND(LEN($BJ$50)&gt;0,$BJ$50=$BM$50),1,0)+IF(AND(LEN($BK$50)&gt;0,$BK$50=$BL$50),1,0)+IF(AND(LEN($BK$50)&gt;0,$BK$50=$BM$50),1,0)+IF(AND(LEN($BL$50)&gt;0,$BL$50=$BM$50),1,0))&gt;0,"Fraqueza repetida nesta cena",IF(AND($AF$50&gt;0,$AF$50&lt;&gt;(IF(LEN(INDEX('Inimigos'!$AA$11:$AA$54,$N$50)&amp;"")&gt;0,1,0)+IF(LEN(INDEX('Inimigos'!$AB$11:$AB$54,$N$50)&amp;"")&gt;0,1,0)+IF(LEN(INDEX('Inimigos'!$AC$11:$AC$54,$N$50)&amp;"")&gt;0,1,0)+IF(LEN(INDEX('Inimigos'!$AD$11:$AD$54,$N$50)&amp;"")&gt;0,1,0))),"O nº de Fraquezas é regra (28.2 regra 7): troque, não acrescente nem tire",IF(AND(LEN($T$50)&gt;0,COUNTIF($P$50:$S$50,$T$50)&gt;0),"Fraqueza igual à Resistência da ficha","")))))))</f>
        <v/>
      </c>
      <c r="N50" s="2">
        <f>IF(LEN($BG$50)=0,"",IFERROR(MATCH($BG$50,'Inimigos'!$N$11:$N$54,0),""))</f>
        <v/>
      </c>
      <c r="O50" s="2">
        <f>IF(ISNUMBER($N$50),IF(ISNUMBER($BI$50),MIN(10,MAX(0,INT($BI$50))),1),0)</f>
        <v/>
      </c>
      <c r="P50" s="2">
        <f>IF($O$50=0,"",IF(OR(LEN($BJ$50)&gt;0,LEN($BK$50)&gt;0,LEN($BL$50)&gt;0,LEN($BM$50)&gt;0),$BJ$50&amp;"",INDEX('Inimigos'!$AA$11:$AA$54,$N$50)&amp;""))</f>
        <v/>
      </c>
      <c r="Q50" s="2">
        <f>IF($O$50=0,"",IF(OR(LEN($BJ$50)&gt;0,LEN($BK$50)&gt;0,LEN($BL$50)&gt;0,LEN($BM$50)&gt;0),$BK$50&amp;"",INDEX('Inimigos'!$AB$11:$AB$54,$N$50)&amp;""))</f>
        <v/>
      </c>
      <c r="R50" s="2">
        <f>IF($O$50=0,"",IF(OR(LEN($BJ$50)&gt;0,LEN($BK$50)&gt;0,LEN($BL$50)&gt;0,LEN($BM$50)&gt;0),$BL$50&amp;"",INDEX('Inimigos'!$AC$11:$AC$54,$N$50)&amp;""))</f>
        <v/>
      </c>
      <c r="S50" s="2">
        <f>IF($O$50=0,"",IF(OR(LEN($BJ$50)&gt;0,LEN($BK$50)&gt;0,LEN($BL$50)&gt;0,LEN($BM$50)&gt;0),$BM$50&amp;"",INDEX('Inimigos'!$AD$11:$AD$54,$N$50)&amp;""))</f>
        <v/>
      </c>
      <c r="T50" s="2">
        <f>IF($O$50=0,"",INDEX('Inimigos'!$AE$11:$AE$54,$N$50)&amp;"")</f>
        <v/>
      </c>
      <c r="U50" s="2">
        <f>IF(ISNUMBER($N$50),INDEX('Inimigos'!$O$11:$O$54,$N$50)&amp;"","")</f>
        <v/>
      </c>
      <c r="V50" s="2">
        <f>IF(ISNUMBER($N$50),INDEX('Inimigos'!$BF$11:$BF$54,$N$50),"")</f>
        <v/>
      </c>
      <c r="W50" s="2">
        <f>IF($O$50=0,0,INDEX('Inimigos'!$AI$11:$AI$54,$N$50)*$O$50)</f>
        <v/>
      </c>
      <c r="X50" s="2">
        <f>IF($O$50=0,0,INDEX('Inimigos'!$AH$11:$AH$54,$N$50)*$O$50)</f>
        <v/>
      </c>
      <c r="Y50" s="2">
        <f>$Y$49+$O$50</f>
        <v/>
      </c>
      <c r="Z50" s="2">
        <f>IF(AND($O$50&gt;0,LEN($T$50)&gt;0),IF(COUNTIF('Grupo'!$T$7:$T$12,$T$50)&gt;=2,1,0),0)</f>
        <v/>
      </c>
      <c r="AA50" s="2">
        <f>IF(AND($O$50&gt;0,OR($AE$50="Pretor Vazio-Nove",$AE$50="O Dramaturgo de Mil Faces")),1,0)</f>
        <v/>
      </c>
      <c r="AB50" s="2">
        <f>IF(AND($O$50&gt;0,$AE$50="O Germe de Pavor"),1,0)</f>
        <v/>
      </c>
      <c r="AC50" s="2">
        <f>IF(AND($O$50&gt;0,$V$50&lt;&gt;$N$8),1,0)</f>
        <v/>
      </c>
      <c r="AD50" s="2">
        <f>IF($O$50&gt;0,$V$50,0)</f>
        <v/>
      </c>
      <c r="AE50" s="2">
        <f>IF(ISNUMBER($N$50),INDEX('Inimigos'!$N$11:$N$54,$N$50)&amp;"","")</f>
        <v/>
      </c>
      <c r="AF50" s="2">
        <f>IF(LEN($BJ$50)&gt;0,1,0)+IF(LEN($BK$50)&gt;0,1,0)+IF(LEN($BL$50)&gt;0,1,0)+IF(LEN($BM$50)&gt;0,1,0)</f>
        <v/>
      </c>
      <c r="AG50" s="2">
        <f>$O$50*IF($AE$50="Escória de Stellaron",1.5,1)</f>
        <v/>
      </c>
      <c r="BG50" s="2">
        <f>IF(ISERROR($A$50),"",IF(ISBLANK($A$50),"",$A$50))</f>
        <v/>
      </c>
      <c r="BI50" s="2">
        <f>IF(ISERROR($C$50),"",IF(ISBLANK($C$50),"",$C$50))</f>
        <v/>
      </c>
      <c r="BJ50" s="2">
        <f>IF(ISERROR($D$50),"",IF(ISBLANK($D$50),"",$D$50))</f>
        <v/>
      </c>
      <c r="BK50" s="2">
        <f>IF(ISERROR($E$50),"",IF(ISBLANK($E$50),"",$E$50))</f>
        <v/>
      </c>
      <c r="BL50" s="2">
        <f>IF(ISERROR($F$50),"",IF(ISBLANK($F$50),"",$F$50))</f>
        <v/>
      </c>
      <c r="BM50" s="2">
        <f>IF(ISERROR($G$50),"",IF(ISBLANK($G$50),"",$G$50))</f>
        <v/>
      </c>
      <c r="BN50" s="2">
        <f>ISERROR($A$50)*1+ISERROR($C$50)*1+ISERROR($D$50)*1+ISERROR($E$50)*1+ISERROR($F$50)*1+ISERROR($G$50)*1</f>
        <v/>
      </c>
    </row>
    <row r="51" ht="26" customHeight="1">
      <c r="A51" s="33" t="n"/>
      <c r="B51" s="17" t="n"/>
      <c r="C51" s="16" t="n"/>
      <c r="D51" s="34" t="n"/>
      <c r="E51" s="34" t="n"/>
      <c r="F51" s="34" t="n"/>
      <c r="G51" s="34" t="n"/>
      <c r="H51" s="18">
        <f>IF(ISNUMBER($N$51),INDEX('Inimigos'!$O$11:$O$54,$N$51)&amp;"","")</f>
        <v/>
      </c>
      <c r="I51" s="18">
        <f>IF(ISNUMBER($N$51),INDEX('Inimigos'!$Q$11:$Q$54,$N$51),"")</f>
        <v/>
      </c>
      <c r="J51" s="18">
        <f>IF(ISNUMBER($N$51),$W$51,"")</f>
        <v/>
      </c>
      <c r="K51" s="19">
        <f>IF(BN51&gt;0,"O Google leu como fórmula: escolha de novo ou digite com ' na frente.",IF(LEN($BG$51)=0,"",IF(NOT(ISNUMBER($N$51)),"Criatura fora da lista (Inimigos e Bestiário)",IF(AND(ISNUMBER($BI$51),OR($BI$51&lt;0,$BI$51&gt;10)),"Quantidade fora de 0 a 10: usando o limite",IF((IF(AND(LEN($BJ$51)&gt;0,$BJ$51=$BK$51),1,0)+IF(AND(LEN($BJ$51)&gt;0,$BJ$51=$BL$51),1,0)+IF(AND(LEN($BJ$51)&gt;0,$BJ$51=$BM$51),1,0)+IF(AND(LEN($BK$51)&gt;0,$BK$51=$BL$51),1,0)+IF(AND(LEN($BK$51)&gt;0,$BK$51=$BM$51),1,0)+IF(AND(LEN($BL$51)&gt;0,$BL$51=$BM$51),1,0))&gt;0,"Fraqueza repetida nesta cena",IF(AND($AF$51&gt;0,$AF$51&lt;&gt;(IF(LEN(INDEX('Inimigos'!$AA$11:$AA$54,$N$51)&amp;"")&gt;0,1,0)+IF(LEN(INDEX('Inimigos'!$AB$11:$AB$54,$N$51)&amp;"")&gt;0,1,0)+IF(LEN(INDEX('Inimigos'!$AC$11:$AC$54,$N$51)&amp;"")&gt;0,1,0)+IF(LEN(INDEX('Inimigos'!$AD$11:$AD$54,$N$51)&amp;"")&gt;0,1,0))),"O nº de Fraquezas é regra (28.2 regra 7): troque, não acrescente nem tire",IF(AND(LEN($T$51)&gt;0,COUNTIF($P$51:$S$51,$T$51)&gt;0),"Fraqueza igual à Resistência da ficha","")))))))</f>
        <v/>
      </c>
      <c r="N51" s="2">
        <f>IF(LEN($BG$51)=0,"",IFERROR(MATCH($BG$51,'Inimigos'!$N$11:$N$54,0),""))</f>
        <v/>
      </c>
      <c r="O51" s="2">
        <f>IF(ISNUMBER($N$51),IF(ISNUMBER($BI$51),MIN(10,MAX(0,INT($BI$51))),1),0)</f>
        <v/>
      </c>
      <c r="P51" s="2">
        <f>IF($O$51=0,"",IF(OR(LEN($BJ$51)&gt;0,LEN($BK$51)&gt;0,LEN($BL$51)&gt;0,LEN($BM$51)&gt;0),$BJ$51&amp;"",INDEX('Inimigos'!$AA$11:$AA$54,$N$51)&amp;""))</f>
        <v/>
      </c>
      <c r="Q51" s="2">
        <f>IF($O$51=0,"",IF(OR(LEN($BJ$51)&gt;0,LEN($BK$51)&gt;0,LEN($BL$51)&gt;0,LEN($BM$51)&gt;0),$BK$51&amp;"",INDEX('Inimigos'!$AB$11:$AB$54,$N$51)&amp;""))</f>
        <v/>
      </c>
      <c r="R51" s="2">
        <f>IF($O$51=0,"",IF(OR(LEN($BJ$51)&gt;0,LEN($BK$51)&gt;0,LEN($BL$51)&gt;0,LEN($BM$51)&gt;0),$BL$51&amp;"",INDEX('Inimigos'!$AC$11:$AC$54,$N$51)&amp;""))</f>
        <v/>
      </c>
      <c r="S51" s="2">
        <f>IF($O$51=0,"",IF(OR(LEN($BJ$51)&gt;0,LEN($BK$51)&gt;0,LEN($BL$51)&gt;0,LEN($BM$51)&gt;0),$BM$51&amp;"",INDEX('Inimigos'!$AD$11:$AD$54,$N$51)&amp;""))</f>
        <v/>
      </c>
      <c r="T51" s="2">
        <f>IF($O$51=0,"",INDEX('Inimigos'!$AE$11:$AE$54,$N$51)&amp;"")</f>
        <v/>
      </c>
      <c r="U51" s="2">
        <f>IF(ISNUMBER($N$51),INDEX('Inimigos'!$O$11:$O$54,$N$51)&amp;"","")</f>
        <v/>
      </c>
      <c r="V51" s="2">
        <f>IF(ISNUMBER($N$51),INDEX('Inimigos'!$BF$11:$BF$54,$N$51),"")</f>
        <v/>
      </c>
      <c r="W51" s="2">
        <f>IF($O$51=0,0,INDEX('Inimigos'!$AI$11:$AI$54,$N$51)*$O$51)</f>
        <v/>
      </c>
      <c r="X51" s="2">
        <f>IF($O$51=0,0,INDEX('Inimigos'!$AH$11:$AH$54,$N$51)*$O$51)</f>
        <v/>
      </c>
      <c r="Y51" s="2">
        <f>$Y$50+$O$51</f>
        <v/>
      </c>
      <c r="Z51" s="2">
        <f>IF(AND($O$51&gt;0,LEN($T$51)&gt;0),IF(COUNTIF('Grupo'!$T$7:$T$12,$T$51)&gt;=2,1,0),0)</f>
        <v/>
      </c>
      <c r="AA51" s="2">
        <f>IF(AND($O$51&gt;0,OR($AE$51="Pretor Vazio-Nove",$AE$51="O Dramaturgo de Mil Faces")),1,0)</f>
        <v/>
      </c>
      <c r="AB51" s="2">
        <f>IF(AND($O$51&gt;0,$AE$51="O Germe de Pavor"),1,0)</f>
        <v/>
      </c>
      <c r="AC51" s="2">
        <f>IF(AND($O$51&gt;0,$V$51&lt;&gt;$N$8),1,0)</f>
        <v/>
      </c>
      <c r="AD51" s="2">
        <f>IF($O$51&gt;0,$V$51,0)</f>
        <v/>
      </c>
      <c r="AE51" s="2">
        <f>IF(ISNUMBER($N$51),INDEX('Inimigos'!$N$11:$N$54,$N$51)&amp;"","")</f>
        <v/>
      </c>
      <c r="AF51" s="2">
        <f>IF(LEN($BJ$51)&gt;0,1,0)+IF(LEN($BK$51)&gt;0,1,0)+IF(LEN($BL$51)&gt;0,1,0)+IF(LEN($BM$51)&gt;0,1,0)</f>
        <v/>
      </c>
      <c r="AG51" s="2">
        <f>$O$51*IF($AE$51="Escória de Stellaron",1.5,1)</f>
        <v/>
      </c>
      <c r="BG51" s="2">
        <f>IF(ISERROR($A$51),"",IF(ISBLANK($A$51),"",$A$51))</f>
        <v/>
      </c>
      <c r="BI51" s="2">
        <f>IF(ISERROR($C$51),"",IF(ISBLANK($C$51),"",$C$51))</f>
        <v/>
      </c>
      <c r="BJ51" s="2">
        <f>IF(ISERROR($D$51),"",IF(ISBLANK($D$51),"",$D$51))</f>
        <v/>
      </c>
      <c r="BK51" s="2">
        <f>IF(ISERROR($E$51),"",IF(ISBLANK($E$51),"",$E$51))</f>
        <v/>
      </c>
      <c r="BL51" s="2">
        <f>IF(ISERROR($F$51),"",IF(ISBLANK($F$51),"",$F$51))</f>
        <v/>
      </c>
      <c r="BM51" s="2">
        <f>IF(ISERROR($G$51),"",IF(ISBLANK($G$51),"",$G$51))</f>
        <v/>
      </c>
      <c r="BN51" s="2">
        <f>ISERROR($A$51)*1+ISERROR($C$51)*1+ISERROR($D$51)*1+ISERROR($E$51)*1+ISERROR($F$51)*1+ISERROR($G$51)*1</f>
        <v/>
      </c>
    </row>
    <row r="52" ht="26" customHeight="1">
      <c r="A52" s="35" t="n"/>
      <c r="B52" s="17" t="n"/>
      <c r="C52" s="37" t="n"/>
      <c r="D52" s="36" t="n"/>
      <c r="E52" s="36" t="n"/>
      <c r="F52" s="36" t="n"/>
      <c r="G52" s="36" t="n"/>
      <c r="H52" s="23">
        <f>IF(ISNUMBER($N$52),INDEX('Inimigos'!$O$11:$O$54,$N$52)&amp;"","")</f>
        <v/>
      </c>
      <c r="I52" s="23">
        <f>IF(ISNUMBER($N$52),INDEX('Inimigos'!$Q$11:$Q$54,$N$52),"")</f>
        <v/>
      </c>
      <c r="J52" s="23">
        <f>IF(ISNUMBER($N$52),$W$52,"")</f>
        <v/>
      </c>
      <c r="K52" s="27">
        <f>IF(BN52&gt;0,"O Google leu como fórmula: escolha de novo ou digite com ' na frente.",IF(LEN($BG$52)=0,"",IF(NOT(ISNUMBER($N$52)),"Criatura fora da lista (Inimigos e Bestiário)",IF(AND(ISNUMBER($BI$52),OR($BI$52&lt;0,$BI$52&gt;10)),"Quantidade fora de 0 a 10: usando o limite",IF((IF(AND(LEN($BJ$52)&gt;0,$BJ$52=$BK$52),1,0)+IF(AND(LEN($BJ$52)&gt;0,$BJ$52=$BL$52),1,0)+IF(AND(LEN($BJ$52)&gt;0,$BJ$52=$BM$52),1,0)+IF(AND(LEN($BK$52)&gt;0,$BK$52=$BL$52),1,0)+IF(AND(LEN($BK$52)&gt;0,$BK$52=$BM$52),1,0)+IF(AND(LEN($BL$52)&gt;0,$BL$52=$BM$52),1,0))&gt;0,"Fraqueza repetida nesta cena",IF(AND($AF$52&gt;0,$AF$52&lt;&gt;(IF(LEN(INDEX('Inimigos'!$AA$11:$AA$54,$N$52)&amp;"")&gt;0,1,0)+IF(LEN(INDEX('Inimigos'!$AB$11:$AB$54,$N$52)&amp;"")&gt;0,1,0)+IF(LEN(INDEX('Inimigos'!$AC$11:$AC$54,$N$52)&amp;"")&gt;0,1,0)+IF(LEN(INDEX('Inimigos'!$AD$11:$AD$54,$N$52)&amp;"")&gt;0,1,0))),"O nº de Fraquezas é regra (28.2 regra 7): troque, não acrescente nem tire",IF(AND(LEN($T$52)&gt;0,COUNTIF($P$52:$S$52,$T$52)&gt;0),"Fraqueza igual à Resistência da ficha","")))))))</f>
        <v/>
      </c>
      <c r="N52" s="2">
        <f>IF(LEN($BG$52)=0,"",IFERROR(MATCH($BG$52,'Inimigos'!$N$11:$N$54,0),""))</f>
        <v/>
      </c>
      <c r="O52" s="2">
        <f>IF(ISNUMBER($N$52),IF(ISNUMBER($BI$52),MIN(10,MAX(0,INT($BI$52))),1),0)</f>
        <v/>
      </c>
      <c r="P52" s="2">
        <f>IF($O$52=0,"",IF(OR(LEN($BJ$52)&gt;0,LEN($BK$52)&gt;0,LEN($BL$52)&gt;0,LEN($BM$52)&gt;0),$BJ$52&amp;"",INDEX('Inimigos'!$AA$11:$AA$54,$N$52)&amp;""))</f>
        <v/>
      </c>
      <c r="Q52" s="2">
        <f>IF($O$52=0,"",IF(OR(LEN($BJ$52)&gt;0,LEN($BK$52)&gt;0,LEN($BL$52)&gt;0,LEN($BM$52)&gt;0),$BK$52&amp;"",INDEX('Inimigos'!$AB$11:$AB$54,$N$52)&amp;""))</f>
        <v/>
      </c>
      <c r="R52" s="2">
        <f>IF($O$52=0,"",IF(OR(LEN($BJ$52)&gt;0,LEN($BK$52)&gt;0,LEN($BL$52)&gt;0,LEN($BM$52)&gt;0),$BL$52&amp;"",INDEX('Inimigos'!$AC$11:$AC$54,$N$52)&amp;""))</f>
        <v/>
      </c>
      <c r="S52" s="2">
        <f>IF($O$52=0,"",IF(OR(LEN($BJ$52)&gt;0,LEN($BK$52)&gt;0,LEN($BL$52)&gt;0,LEN($BM$52)&gt;0),$BM$52&amp;"",INDEX('Inimigos'!$AD$11:$AD$54,$N$52)&amp;""))</f>
        <v/>
      </c>
      <c r="T52" s="2">
        <f>IF($O$52=0,"",INDEX('Inimigos'!$AE$11:$AE$54,$N$52)&amp;"")</f>
        <v/>
      </c>
      <c r="U52" s="2">
        <f>IF(ISNUMBER($N$52),INDEX('Inimigos'!$O$11:$O$54,$N$52)&amp;"","")</f>
        <v/>
      </c>
      <c r="V52" s="2">
        <f>IF(ISNUMBER($N$52),INDEX('Inimigos'!$BF$11:$BF$54,$N$52),"")</f>
        <v/>
      </c>
      <c r="W52" s="2">
        <f>IF($O$52=0,0,INDEX('Inimigos'!$AI$11:$AI$54,$N$52)*$O$52)</f>
        <v/>
      </c>
      <c r="X52" s="2">
        <f>IF($O$52=0,0,INDEX('Inimigos'!$AH$11:$AH$54,$N$52)*$O$52)</f>
        <v/>
      </c>
      <c r="Y52" s="2">
        <f>$Y$51+$O$52</f>
        <v/>
      </c>
      <c r="Z52" s="2">
        <f>IF(AND($O$52&gt;0,LEN($T$52)&gt;0),IF(COUNTIF('Grupo'!$T$7:$T$12,$T$52)&gt;=2,1,0),0)</f>
        <v/>
      </c>
      <c r="AA52" s="2">
        <f>IF(AND($O$52&gt;0,OR($AE$52="Pretor Vazio-Nove",$AE$52="O Dramaturgo de Mil Faces")),1,0)</f>
        <v/>
      </c>
      <c r="AB52" s="2">
        <f>IF(AND($O$52&gt;0,$AE$52="O Germe de Pavor"),1,0)</f>
        <v/>
      </c>
      <c r="AC52" s="2">
        <f>IF(AND($O$52&gt;0,$V$52&lt;&gt;$N$8),1,0)</f>
        <v/>
      </c>
      <c r="AD52" s="2">
        <f>IF($O$52&gt;0,$V$52,0)</f>
        <v/>
      </c>
      <c r="AE52" s="2">
        <f>IF(ISNUMBER($N$52),INDEX('Inimigos'!$N$11:$N$54,$N$52)&amp;"","")</f>
        <v/>
      </c>
      <c r="AF52" s="2">
        <f>IF(LEN($BJ$52)&gt;0,1,0)+IF(LEN($BK$52)&gt;0,1,0)+IF(LEN($BL$52)&gt;0,1,0)+IF(LEN($BM$52)&gt;0,1,0)</f>
        <v/>
      </c>
      <c r="AG52" s="2">
        <f>$O$52*IF($AE$52="Escória de Stellaron",1.5,1)</f>
        <v/>
      </c>
      <c r="BG52" s="2">
        <f>IF(ISERROR($A$52),"",IF(ISBLANK($A$52),"",$A$52))</f>
        <v/>
      </c>
      <c r="BI52" s="2">
        <f>IF(ISERROR($C$52),"",IF(ISBLANK($C$52),"",$C$52))</f>
        <v/>
      </c>
      <c r="BJ52" s="2">
        <f>IF(ISERROR($D$52),"",IF(ISBLANK($D$52),"",$D$52))</f>
        <v/>
      </c>
      <c r="BK52" s="2">
        <f>IF(ISERROR($E$52),"",IF(ISBLANK($E$52),"",$E$52))</f>
        <v/>
      </c>
      <c r="BL52" s="2">
        <f>IF(ISERROR($F$52),"",IF(ISBLANK($F$52),"",$F$52))</f>
        <v/>
      </c>
      <c r="BM52" s="2">
        <f>IF(ISERROR($G$52),"",IF(ISBLANK($G$52),"",$G$52))</f>
        <v/>
      </c>
      <c r="BN52" s="2">
        <f>ISERROR($A$52)*1+ISERROR($C$52)*1+ISERROR($D$52)*1+ISERROR($E$52)*1+ISERROR($F$52)*1+ISERROR($G$52)*1</f>
        <v/>
      </c>
    </row>
    <row r="53" ht="26" customHeight="1">
      <c r="A53" s="33" t="n"/>
      <c r="B53" s="17" t="n"/>
      <c r="C53" s="16" t="n"/>
      <c r="D53" s="34" t="n"/>
      <c r="E53" s="34" t="n"/>
      <c r="F53" s="34" t="n"/>
      <c r="G53" s="34" t="n"/>
      <c r="H53" s="18">
        <f>IF(ISNUMBER($N$53),INDEX('Inimigos'!$O$11:$O$54,$N$53)&amp;"","")</f>
        <v/>
      </c>
      <c r="I53" s="18">
        <f>IF(ISNUMBER($N$53),INDEX('Inimigos'!$Q$11:$Q$54,$N$53),"")</f>
        <v/>
      </c>
      <c r="J53" s="18">
        <f>IF(ISNUMBER($N$53),$W$53,"")</f>
        <v/>
      </c>
      <c r="K53" s="19">
        <f>IF(BN53&gt;0,"O Google leu como fórmula: escolha de novo ou digite com ' na frente.",IF(LEN($BG$53)=0,"",IF(NOT(ISNUMBER($N$53)),"Criatura fora da lista (Inimigos e Bestiário)",IF(AND(ISNUMBER($BI$53),OR($BI$53&lt;0,$BI$53&gt;10)),"Quantidade fora de 0 a 10: usando o limite",IF((IF(AND(LEN($BJ$53)&gt;0,$BJ$53=$BK$53),1,0)+IF(AND(LEN($BJ$53)&gt;0,$BJ$53=$BL$53),1,0)+IF(AND(LEN($BJ$53)&gt;0,$BJ$53=$BM$53),1,0)+IF(AND(LEN($BK$53)&gt;0,$BK$53=$BL$53),1,0)+IF(AND(LEN($BK$53)&gt;0,$BK$53=$BM$53),1,0)+IF(AND(LEN($BL$53)&gt;0,$BL$53=$BM$53),1,0))&gt;0,"Fraqueza repetida nesta cena",IF(AND($AF$53&gt;0,$AF$53&lt;&gt;(IF(LEN(INDEX('Inimigos'!$AA$11:$AA$54,$N$53)&amp;"")&gt;0,1,0)+IF(LEN(INDEX('Inimigos'!$AB$11:$AB$54,$N$53)&amp;"")&gt;0,1,0)+IF(LEN(INDEX('Inimigos'!$AC$11:$AC$54,$N$53)&amp;"")&gt;0,1,0)+IF(LEN(INDEX('Inimigos'!$AD$11:$AD$54,$N$53)&amp;"")&gt;0,1,0))),"O nº de Fraquezas é regra (28.2 regra 7): troque, não acrescente nem tire",IF(AND(LEN($T$53)&gt;0,COUNTIF($P$53:$S$53,$T$53)&gt;0),"Fraqueza igual à Resistência da ficha","")))))))</f>
        <v/>
      </c>
      <c r="N53" s="2">
        <f>IF(LEN($BG$53)=0,"",IFERROR(MATCH($BG$53,'Inimigos'!$N$11:$N$54,0),""))</f>
        <v/>
      </c>
      <c r="O53" s="2">
        <f>IF(ISNUMBER($N$53),IF(ISNUMBER($BI$53),MIN(10,MAX(0,INT($BI$53))),1),0)</f>
        <v/>
      </c>
      <c r="P53" s="2">
        <f>IF($O$53=0,"",IF(OR(LEN($BJ$53)&gt;0,LEN($BK$53)&gt;0,LEN($BL$53)&gt;0,LEN($BM$53)&gt;0),$BJ$53&amp;"",INDEX('Inimigos'!$AA$11:$AA$54,$N$53)&amp;""))</f>
        <v/>
      </c>
      <c r="Q53" s="2">
        <f>IF($O$53=0,"",IF(OR(LEN($BJ$53)&gt;0,LEN($BK$53)&gt;0,LEN($BL$53)&gt;0,LEN($BM$53)&gt;0),$BK$53&amp;"",INDEX('Inimigos'!$AB$11:$AB$54,$N$53)&amp;""))</f>
        <v/>
      </c>
      <c r="R53" s="2">
        <f>IF($O$53=0,"",IF(OR(LEN($BJ$53)&gt;0,LEN($BK$53)&gt;0,LEN($BL$53)&gt;0,LEN($BM$53)&gt;0),$BL$53&amp;"",INDEX('Inimigos'!$AC$11:$AC$54,$N$53)&amp;""))</f>
        <v/>
      </c>
      <c r="S53" s="2">
        <f>IF($O$53=0,"",IF(OR(LEN($BJ$53)&gt;0,LEN($BK$53)&gt;0,LEN($BL$53)&gt;0,LEN($BM$53)&gt;0),$BM$53&amp;"",INDEX('Inimigos'!$AD$11:$AD$54,$N$53)&amp;""))</f>
        <v/>
      </c>
      <c r="T53" s="2">
        <f>IF($O$53=0,"",INDEX('Inimigos'!$AE$11:$AE$54,$N$53)&amp;"")</f>
        <v/>
      </c>
      <c r="U53" s="2">
        <f>IF(ISNUMBER($N$53),INDEX('Inimigos'!$O$11:$O$54,$N$53)&amp;"","")</f>
        <v/>
      </c>
      <c r="V53" s="2">
        <f>IF(ISNUMBER($N$53),INDEX('Inimigos'!$BF$11:$BF$54,$N$53),"")</f>
        <v/>
      </c>
      <c r="W53" s="2">
        <f>IF($O$53=0,0,INDEX('Inimigos'!$AI$11:$AI$54,$N$53)*$O$53)</f>
        <v/>
      </c>
      <c r="X53" s="2">
        <f>IF($O$53=0,0,INDEX('Inimigos'!$AH$11:$AH$54,$N$53)*$O$53)</f>
        <v/>
      </c>
      <c r="Y53" s="2">
        <f>$Y$52+$O$53</f>
        <v/>
      </c>
      <c r="Z53" s="2">
        <f>IF(AND($O$53&gt;0,LEN($T$53)&gt;0),IF(COUNTIF('Grupo'!$T$7:$T$12,$T$53)&gt;=2,1,0),0)</f>
        <v/>
      </c>
      <c r="AA53" s="2">
        <f>IF(AND($O$53&gt;0,OR($AE$53="Pretor Vazio-Nove",$AE$53="O Dramaturgo de Mil Faces")),1,0)</f>
        <v/>
      </c>
      <c r="AB53" s="2">
        <f>IF(AND($O$53&gt;0,$AE$53="O Germe de Pavor"),1,0)</f>
        <v/>
      </c>
      <c r="AC53" s="2">
        <f>IF(AND($O$53&gt;0,$V$53&lt;&gt;$N$8),1,0)</f>
        <v/>
      </c>
      <c r="AD53" s="2">
        <f>IF($O$53&gt;0,$V$53,0)</f>
        <v/>
      </c>
      <c r="AE53" s="2">
        <f>IF(ISNUMBER($N$53),INDEX('Inimigos'!$N$11:$N$54,$N$53)&amp;"","")</f>
        <v/>
      </c>
      <c r="AF53" s="2">
        <f>IF(LEN($BJ$53)&gt;0,1,0)+IF(LEN($BK$53)&gt;0,1,0)+IF(LEN($BL$53)&gt;0,1,0)+IF(LEN($BM$53)&gt;0,1,0)</f>
        <v/>
      </c>
      <c r="AG53" s="2">
        <f>$O$53*IF($AE$53="Escória de Stellaron",1.5,1)</f>
        <v/>
      </c>
      <c r="BG53" s="2">
        <f>IF(ISERROR($A$53),"",IF(ISBLANK($A$53),"",$A$53))</f>
        <v/>
      </c>
      <c r="BI53" s="2">
        <f>IF(ISERROR($C$53),"",IF(ISBLANK($C$53),"",$C$53))</f>
        <v/>
      </c>
      <c r="BJ53" s="2">
        <f>IF(ISERROR($D$53),"",IF(ISBLANK($D$53),"",$D$53))</f>
        <v/>
      </c>
      <c r="BK53" s="2">
        <f>IF(ISERROR($E$53),"",IF(ISBLANK($E$53),"",$E$53))</f>
        <v/>
      </c>
      <c r="BL53" s="2">
        <f>IF(ISERROR($F$53),"",IF(ISBLANK($F$53),"",$F$53))</f>
        <v/>
      </c>
      <c r="BM53" s="2">
        <f>IF(ISERROR($G$53),"",IF(ISBLANK($G$53),"",$G$53))</f>
        <v/>
      </c>
      <c r="BN53" s="2">
        <f>ISERROR($A$53)*1+ISERROR($C$53)*1+ISERROR($D$53)*1+ISERROR($E$53)*1+ISERROR($F$53)*1+ISERROR($G$53)*1</f>
        <v/>
      </c>
    </row>
    <row r="54" ht="26" customHeight="1">
      <c r="A54" s="35" t="n"/>
      <c r="B54" s="17" t="n"/>
      <c r="C54" s="37" t="n"/>
      <c r="D54" s="36" t="n"/>
      <c r="E54" s="36" t="n"/>
      <c r="F54" s="36" t="n"/>
      <c r="G54" s="36" t="n"/>
      <c r="H54" s="23">
        <f>IF(ISNUMBER($N$54),INDEX('Inimigos'!$O$11:$O$54,$N$54)&amp;"","")</f>
        <v/>
      </c>
      <c r="I54" s="23">
        <f>IF(ISNUMBER($N$54),INDEX('Inimigos'!$Q$11:$Q$54,$N$54),"")</f>
        <v/>
      </c>
      <c r="J54" s="23">
        <f>IF(ISNUMBER($N$54),$W$54,"")</f>
        <v/>
      </c>
      <c r="K54" s="27">
        <f>IF(BN54&gt;0,"O Google leu como fórmula: escolha de novo ou digite com ' na frente.",IF(LEN($BG$54)=0,"",IF(NOT(ISNUMBER($N$54)),"Criatura fora da lista (Inimigos e Bestiário)",IF(AND(ISNUMBER($BI$54),OR($BI$54&lt;0,$BI$54&gt;10)),"Quantidade fora de 0 a 10: usando o limite",IF((IF(AND(LEN($BJ$54)&gt;0,$BJ$54=$BK$54),1,0)+IF(AND(LEN($BJ$54)&gt;0,$BJ$54=$BL$54),1,0)+IF(AND(LEN($BJ$54)&gt;0,$BJ$54=$BM$54),1,0)+IF(AND(LEN($BK$54)&gt;0,$BK$54=$BL$54),1,0)+IF(AND(LEN($BK$54)&gt;0,$BK$54=$BM$54),1,0)+IF(AND(LEN($BL$54)&gt;0,$BL$54=$BM$54),1,0))&gt;0,"Fraqueza repetida nesta cena",IF(AND($AF$54&gt;0,$AF$54&lt;&gt;(IF(LEN(INDEX('Inimigos'!$AA$11:$AA$54,$N$54)&amp;"")&gt;0,1,0)+IF(LEN(INDEX('Inimigos'!$AB$11:$AB$54,$N$54)&amp;"")&gt;0,1,0)+IF(LEN(INDEX('Inimigos'!$AC$11:$AC$54,$N$54)&amp;"")&gt;0,1,0)+IF(LEN(INDEX('Inimigos'!$AD$11:$AD$54,$N$54)&amp;"")&gt;0,1,0))),"O nº de Fraquezas é regra (28.2 regra 7): troque, não acrescente nem tire",IF(AND(LEN($T$54)&gt;0,COUNTIF($P$54:$S$54,$T$54)&gt;0),"Fraqueza igual à Resistência da ficha","")))))))</f>
        <v/>
      </c>
      <c r="N54" s="2">
        <f>IF(LEN($BG$54)=0,"",IFERROR(MATCH($BG$54,'Inimigos'!$N$11:$N$54,0),""))</f>
        <v/>
      </c>
      <c r="O54" s="2">
        <f>IF(ISNUMBER($N$54),IF(ISNUMBER($BI$54),MIN(10,MAX(0,INT($BI$54))),1),0)</f>
        <v/>
      </c>
      <c r="P54" s="2">
        <f>IF($O$54=0,"",IF(OR(LEN($BJ$54)&gt;0,LEN($BK$54)&gt;0,LEN($BL$54)&gt;0,LEN($BM$54)&gt;0),$BJ$54&amp;"",INDEX('Inimigos'!$AA$11:$AA$54,$N$54)&amp;""))</f>
        <v/>
      </c>
      <c r="Q54" s="2">
        <f>IF($O$54=0,"",IF(OR(LEN($BJ$54)&gt;0,LEN($BK$54)&gt;0,LEN($BL$54)&gt;0,LEN($BM$54)&gt;0),$BK$54&amp;"",INDEX('Inimigos'!$AB$11:$AB$54,$N$54)&amp;""))</f>
        <v/>
      </c>
      <c r="R54" s="2">
        <f>IF($O$54=0,"",IF(OR(LEN($BJ$54)&gt;0,LEN($BK$54)&gt;0,LEN($BL$54)&gt;0,LEN($BM$54)&gt;0),$BL$54&amp;"",INDEX('Inimigos'!$AC$11:$AC$54,$N$54)&amp;""))</f>
        <v/>
      </c>
      <c r="S54" s="2">
        <f>IF($O$54=0,"",IF(OR(LEN($BJ$54)&gt;0,LEN($BK$54)&gt;0,LEN($BL$54)&gt;0,LEN($BM$54)&gt;0),$BM$54&amp;"",INDEX('Inimigos'!$AD$11:$AD$54,$N$54)&amp;""))</f>
        <v/>
      </c>
      <c r="T54" s="2">
        <f>IF($O$54=0,"",INDEX('Inimigos'!$AE$11:$AE$54,$N$54)&amp;"")</f>
        <v/>
      </c>
      <c r="U54" s="2">
        <f>IF(ISNUMBER($N$54),INDEX('Inimigos'!$O$11:$O$54,$N$54)&amp;"","")</f>
        <v/>
      </c>
      <c r="V54" s="2">
        <f>IF(ISNUMBER($N$54),INDEX('Inimigos'!$BF$11:$BF$54,$N$54),"")</f>
        <v/>
      </c>
      <c r="W54" s="2">
        <f>IF($O$54=0,0,INDEX('Inimigos'!$AI$11:$AI$54,$N$54)*$O$54)</f>
        <v/>
      </c>
      <c r="X54" s="2">
        <f>IF($O$54=0,0,INDEX('Inimigos'!$AH$11:$AH$54,$N$54)*$O$54)</f>
        <v/>
      </c>
      <c r="Y54" s="2">
        <f>$Y$53+$O$54</f>
        <v/>
      </c>
      <c r="Z54" s="2">
        <f>IF(AND($O$54&gt;0,LEN($T$54)&gt;0),IF(COUNTIF('Grupo'!$T$7:$T$12,$T$54)&gt;=2,1,0),0)</f>
        <v/>
      </c>
      <c r="AA54" s="2">
        <f>IF(AND($O$54&gt;0,OR($AE$54="Pretor Vazio-Nove",$AE$54="O Dramaturgo de Mil Faces")),1,0)</f>
        <v/>
      </c>
      <c r="AB54" s="2">
        <f>IF(AND($O$54&gt;0,$AE$54="O Germe de Pavor"),1,0)</f>
        <v/>
      </c>
      <c r="AC54" s="2">
        <f>IF(AND($O$54&gt;0,$V$54&lt;&gt;$N$8),1,0)</f>
        <v/>
      </c>
      <c r="AD54" s="2">
        <f>IF($O$54&gt;0,$V$54,0)</f>
        <v/>
      </c>
      <c r="AE54" s="2">
        <f>IF(ISNUMBER($N$54),INDEX('Inimigos'!$N$11:$N$54,$N$54)&amp;"","")</f>
        <v/>
      </c>
      <c r="AF54" s="2">
        <f>IF(LEN($BJ$54)&gt;0,1,0)+IF(LEN($BK$54)&gt;0,1,0)+IF(LEN($BL$54)&gt;0,1,0)+IF(LEN($BM$54)&gt;0,1,0)</f>
        <v/>
      </c>
      <c r="AG54" s="2">
        <f>$O$54*IF($AE$54="Escória de Stellaron",1.5,1)</f>
        <v/>
      </c>
      <c r="BG54" s="2">
        <f>IF(ISERROR($A$54),"",IF(ISBLANK($A$54),"",$A$54))</f>
        <v/>
      </c>
      <c r="BI54" s="2">
        <f>IF(ISERROR($C$54),"",IF(ISBLANK($C$54),"",$C$54))</f>
        <v/>
      </c>
      <c r="BJ54" s="2">
        <f>IF(ISERROR($D$54),"",IF(ISBLANK($D$54),"",$D$54))</f>
        <v/>
      </c>
      <c r="BK54" s="2">
        <f>IF(ISERROR($E$54),"",IF(ISBLANK($E$54),"",$E$54))</f>
        <v/>
      </c>
      <c r="BL54" s="2">
        <f>IF(ISERROR($F$54),"",IF(ISBLANK($F$54),"",$F$54))</f>
        <v/>
      </c>
      <c r="BM54" s="2">
        <f>IF(ISERROR($G$54),"",IF(ISBLANK($G$54),"",$G$54))</f>
        <v/>
      </c>
      <c r="BN54" s="2">
        <f>ISERROR($A$54)*1+ISERROR($C$54)*1+ISERROR($D$54)*1+ISERROR($E$54)*1+ISERROR($F$54)*1+ISERROR($G$54)*1</f>
        <v/>
      </c>
    </row>
    <row r="55" ht="26" customHeight="1">
      <c r="A55" s="33" t="n"/>
      <c r="B55" s="17" t="n"/>
      <c r="C55" s="16" t="n"/>
      <c r="D55" s="34" t="n"/>
      <c r="E55" s="34" t="n"/>
      <c r="F55" s="34" t="n"/>
      <c r="G55" s="34" t="n"/>
      <c r="H55" s="18">
        <f>IF(ISNUMBER($N$55),INDEX('Inimigos'!$O$11:$O$54,$N$55)&amp;"","")</f>
        <v/>
      </c>
      <c r="I55" s="18">
        <f>IF(ISNUMBER($N$55),INDEX('Inimigos'!$Q$11:$Q$54,$N$55),"")</f>
        <v/>
      </c>
      <c r="J55" s="18">
        <f>IF(ISNUMBER($N$55),$W$55,"")</f>
        <v/>
      </c>
      <c r="K55" s="19">
        <f>IF(BN55&gt;0,"O Google leu como fórmula: escolha de novo ou digite com ' na frente.",IF(LEN($BG$55)=0,"",IF(NOT(ISNUMBER($N$55)),"Criatura fora da lista (Inimigos e Bestiário)",IF(AND(ISNUMBER($BI$55),OR($BI$55&lt;0,$BI$55&gt;10)),"Quantidade fora de 0 a 10: usando o limite",IF((IF(AND(LEN($BJ$55)&gt;0,$BJ$55=$BK$55),1,0)+IF(AND(LEN($BJ$55)&gt;0,$BJ$55=$BL$55),1,0)+IF(AND(LEN($BJ$55)&gt;0,$BJ$55=$BM$55),1,0)+IF(AND(LEN($BK$55)&gt;0,$BK$55=$BL$55),1,0)+IF(AND(LEN($BK$55)&gt;0,$BK$55=$BM$55),1,0)+IF(AND(LEN($BL$55)&gt;0,$BL$55=$BM$55),1,0))&gt;0,"Fraqueza repetida nesta cena",IF(AND($AF$55&gt;0,$AF$55&lt;&gt;(IF(LEN(INDEX('Inimigos'!$AA$11:$AA$54,$N$55)&amp;"")&gt;0,1,0)+IF(LEN(INDEX('Inimigos'!$AB$11:$AB$54,$N$55)&amp;"")&gt;0,1,0)+IF(LEN(INDEX('Inimigos'!$AC$11:$AC$54,$N$55)&amp;"")&gt;0,1,0)+IF(LEN(INDEX('Inimigos'!$AD$11:$AD$54,$N$55)&amp;"")&gt;0,1,0))),"O nº de Fraquezas é regra (28.2 regra 7): troque, não acrescente nem tire",IF(AND(LEN($T$55)&gt;0,COUNTIF($P$55:$S$55,$T$55)&gt;0),"Fraqueza igual à Resistência da ficha","")))))))</f>
        <v/>
      </c>
      <c r="N55" s="2">
        <f>IF(LEN($BG$55)=0,"",IFERROR(MATCH($BG$55,'Inimigos'!$N$11:$N$54,0),""))</f>
        <v/>
      </c>
      <c r="O55" s="2">
        <f>IF(ISNUMBER($N$55),IF(ISNUMBER($BI$55),MIN(10,MAX(0,INT($BI$55))),1),0)</f>
        <v/>
      </c>
      <c r="P55" s="2">
        <f>IF($O$55=0,"",IF(OR(LEN($BJ$55)&gt;0,LEN($BK$55)&gt;0,LEN($BL$55)&gt;0,LEN($BM$55)&gt;0),$BJ$55&amp;"",INDEX('Inimigos'!$AA$11:$AA$54,$N$55)&amp;""))</f>
        <v/>
      </c>
      <c r="Q55" s="2">
        <f>IF($O$55=0,"",IF(OR(LEN($BJ$55)&gt;0,LEN($BK$55)&gt;0,LEN($BL$55)&gt;0,LEN($BM$55)&gt;0),$BK$55&amp;"",INDEX('Inimigos'!$AB$11:$AB$54,$N$55)&amp;""))</f>
        <v/>
      </c>
      <c r="R55" s="2">
        <f>IF($O$55=0,"",IF(OR(LEN($BJ$55)&gt;0,LEN($BK$55)&gt;0,LEN($BL$55)&gt;0,LEN($BM$55)&gt;0),$BL$55&amp;"",INDEX('Inimigos'!$AC$11:$AC$54,$N$55)&amp;""))</f>
        <v/>
      </c>
      <c r="S55" s="2">
        <f>IF($O$55=0,"",IF(OR(LEN($BJ$55)&gt;0,LEN($BK$55)&gt;0,LEN($BL$55)&gt;0,LEN($BM$55)&gt;0),$BM$55&amp;"",INDEX('Inimigos'!$AD$11:$AD$54,$N$55)&amp;""))</f>
        <v/>
      </c>
      <c r="T55" s="2">
        <f>IF($O$55=0,"",INDEX('Inimigos'!$AE$11:$AE$54,$N$55)&amp;"")</f>
        <v/>
      </c>
      <c r="U55" s="2">
        <f>IF(ISNUMBER($N$55),INDEX('Inimigos'!$O$11:$O$54,$N$55)&amp;"","")</f>
        <v/>
      </c>
      <c r="V55" s="2">
        <f>IF(ISNUMBER($N$55),INDEX('Inimigos'!$BF$11:$BF$54,$N$55),"")</f>
        <v/>
      </c>
      <c r="W55" s="2">
        <f>IF($O$55=0,0,INDEX('Inimigos'!$AI$11:$AI$54,$N$55)*$O$55)</f>
        <v/>
      </c>
      <c r="X55" s="2">
        <f>IF($O$55=0,0,INDEX('Inimigos'!$AH$11:$AH$54,$N$55)*$O$55)</f>
        <v/>
      </c>
      <c r="Y55" s="2">
        <f>$Y$54+$O$55</f>
        <v/>
      </c>
      <c r="Z55" s="2">
        <f>IF(AND($O$55&gt;0,LEN($T$55)&gt;0),IF(COUNTIF('Grupo'!$T$7:$T$12,$T$55)&gt;=2,1,0),0)</f>
        <v/>
      </c>
      <c r="AA55" s="2">
        <f>IF(AND($O$55&gt;0,OR($AE$55="Pretor Vazio-Nove",$AE$55="O Dramaturgo de Mil Faces")),1,0)</f>
        <v/>
      </c>
      <c r="AB55" s="2">
        <f>IF(AND($O$55&gt;0,$AE$55="O Germe de Pavor"),1,0)</f>
        <v/>
      </c>
      <c r="AC55" s="2">
        <f>IF(AND($O$55&gt;0,$V$55&lt;&gt;$N$8),1,0)</f>
        <v/>
      </c>
      <c r="AD55" s="2">
        <f>IF($O$55&gt;0,$V$55,0)</f>
        <v/>
      </c>
      <c r="AE55" s="2">
        <f>IF(ISNUMBER($N$55),INDEX('Inimigos'!$N$11:$N$54,$N$55)&amp;"","")</f>
        <v/>
      </c>
      <c r="AF55" s="2">
        <f>IF(LEN($BJ$55)&gt;0,1,0)+IF(LEN($BK$55)&gt;0,1,0)+IF(LEN($BL$55)&gt;0,1,0)+IF(LEN($BM$55)&gt;0,1,0)</f>
        <v/>
      </c>
      <c r="AG55" s="2">
        <f>$O$55*IF($AE$55="Escória de Stellaron",1.5,1)</f>
        <v/>
      </c>
      <c r="BG55" s="2">
        <f>IF(ISERROR($A$55),"",IF(ISBLANK($A$55),"",$A$55))</f>
        <v/>
      </c>
      <c r="BI55" s="2">
        <f>IF(ISERROR($C$55),"",IF(ISBLANK($C$55),"",$C$55))</f>
        <v/>
      </c>
      <c r="BJ55" s="2">
        <f>IF(ISERROR($D$55),"",IF(ISBLANK($D$55),"",$D$55))</f>
        <v/>
      </c>
      <c r="BK55" s="2">
        <f>IF(ISERROR($E$55),"",IF(ISBLANK($E$55),"",$E$55))</f>
        <v/>
      </c>
      <c r="BL55" s="2">
        <f>IF(ISERROR($F$55),"",IF(ISBLANK($F$55),"",$F$55))</f>
        <v/>
      </c>
      <c r="BM55" s="2">
        <f>IF(ISERROR($G$55),"",IF(ISBLANK($G$55),"",$G$55))</f>
        <v/>
      </c>
      <c r="BN55" s="2">
        <f>ISERROR($A$55)*1+ISERROR($C$55)*1+ISERROR($D$55)*1+ISERROR($E$55)*1+ISERROR($F$55)*1+ISERROR($G$55)*1</f>
        <v/>
      </c>
    </row>
    <row r="56" ht="26" customHeight="1">
      <c r="A56" s="35" t="n"/>
      <c r="B56" s="17" t="n"/>
      <c r="C56" s="37" t="n"/>
      <c r="D56" s="36" t="n"/>
      <c r="E56" s="36" t="n"/>
      <c r="F56" s="36" t="n"/>
      <c r="G56" s="36" t="n"/>
      <c r="H56" s="23">
        <f>IF(ISNUMBER($N$56),INDEX('Inimigos'!$O$11:$O$54,$N$56)&amp;"","")</f>
        <v/>
      </c>
      <c r="I56" s="23">
        <f>IF(ISNUMBER($N$56),INDEX('Inimigos'!$Q$11:$Q$54,$N$56),"")</f>
        <v/>
      </c>
      <c r="J56" s="23">
        <f>IF(ISNUMBER($N$56),$W$56,"")</f>
        <v/>
      </c>
      <c r="K56" s="27">
        <f>IF(BN56&gt;0,"O Google leu como fórmula: escolha de novo ou digite com ' na frente.",IF(LEN($BG$56)=0,"",IF(NOT(ISNUMBER($N$56)),"Criatura fora da lista (Inimigos e Bestiário)",IF(AND(ISNUMBER($BI$56),OR($BI$56&lt;0,$BI$56&gt;10)),"Quantidade fora de 0 a 10: usando o limite",IF((IF(AND(LEN($BJ$56)&gt;0,$BJ$56=$BK$56),1,0)+IF(AND(LEN($BJ$56)&gt;0,$BJ$56=$BL$56),1,0)+IF(AND(LEN($BJ$56)&gt;0,$BJ$56=$BM$56),1,0)+IF(AND(LEN($BK$56)&gt;0,$BK$56=$BL$56),1,0)+IF(AND(LEN($BK$56)&gt;0,$BK$56=$BM$56),1,0)+IF(AND(LEN($BL$56)&gt;0,$BL$56=$BM$56),1,0))&gt;0,"Fraqueza repetida nesta cena",IF(AND($AF$56&gt;0,$AF$56&lt;&gt;(IF(LEN(INDEX('Inimigos'!$AA$11:$AA$54,$N$56)&amp;"")&gt;0,1,0)+IF(LEN(INDEX('Inimigos'!$AB$11:$AB$54,$N$56)&amp;"")&gt;0,1,0)+IF(LEN(INDEX('Inimigos'!$AC$11:$AC$54,$N$56)&amp;"")&gt;0,1,0)+IF(LEN(INDEX('Inimigos'!$AD$11:$AD$54,$N$56)&amp;"")&gt;0,1,0))),"O nº de Fraquezas é regra (28.2 regra 7): troque, não acrescente nem tire",IF(AND(LEN($T$56)&gt;0,COUNTIF($P$56:$S$56,$T$56)&gt;0),"Fraqueza igual à Resistência da ficha","")))))))</f>
        <v/>
      </c>
      <c r="N56" s="2">
        <f>IF(LEN($BG$56)=0,"",IFERROR(MATCH($BG$56,'Inimigos'!$N$11:$N$54,0),""))</f>
        <v/>
      </c>
      <c r="O56" s="2">
        <f>IF(ISNUMBER($N$56),IF(ISNUMBER($BI$56),MIN(10,MAX(0,INT($BI$56))),1),0)</f>
        <v/>
      </c>
      <c r="P56" s="2">
        <f>IF($O$56=0,"",IF(OR(LEN($BJ$56)&gt;0,LEN($BK$56)&gt;0,LEN($BL$56)&gt;0,LEN($BM$56)&gt;0),$BJ$56&amp;"",INDEX('Inimigos'!$AA$11:$AA$54,$N$56)&amp;""))</f>
        <v/>
      </c>
      <c r="Q56" s="2">
        <f>IF($O$56=0,"",IF(OR(LEN($BJ$56)&gt;0,LEN($BK$56)&gt;0,LEN($BL$56)&gt;0,LEN($BM$56)&gt;0),$BK$56&amp;"",INDEX('Inimigos'!$AB$11:$AB$54,$N$56)&amp;""))</f>
        <v/>
      </c>
      <c r="R56" s="2">
        <f>IF($O$56=0,"",IF(OR(LEN($BJ$56)&gt;0,LEN($BK$56)&gt;0,LEN($BL$56)&gt;0,LEN($BM$56)&gt;0),$BL$56&amp;"",INDEX('Inimigos'!$AC$11:$AC$54,$N$56)&amp;""))</f>
        <v/>
      </c>
      <c r="S56" s="2">
        <f>IF($O$56=0,"",IF(OR(LEN($BJ$56)&gt;0,LEN($BK$56)&gt;0,LEN($BL$56)&gt;0,LEN($BM$56)&gt;0),$BM$56&amp;"",INDEX('Inimigos'!$AD$11:$AD$54,$N$56)&amp;""))</f>
        <v/>
      </c>
      <c r="T56" s="2">
        <f>IF($O$56=0,"",INDEX('Inimigos'!$AE$11:$AE$54,$N$56)&amp;"")</f>
        <v/>
      </c>
      <c r="U56" s="2">
        <f>IF(ISNUMBER($N$56),INDEX('Inimigos'!$O$11:$O$54,$N$56)&amp;"","")</f>
        <v/>
      </c>
      <c r="V56" s="2">
        <f>IF(ISNUMBER($N$56),INDEX('Inimigos'!$BF$11:$BF$54,$N$56),"")</f>
        <v/>
      </c>
      <c r="W56" s="2">
        <f>IF($O$56=0,0,INDEX('Inimigos'!$AI$11:$AI$54,$N$56)*$O$56)</f>
        <v/>
      </c>
      <c r="X56" s="2">
        <f>IF($O$56=0,0,INDEX('Inimigos'!$AH$11:$AH$54,$N$56)*$O$56)</f>
        <v/>
      </c>
      <c r="Y56" s="2">
        <f>$Y$55+$O$56</f>
        <v/>
      </c>
      <c r="Z56" s="2">
        <f>IF(AND($O$56&gt;0,LEN($T$56)&gt;0),IF(COUNTIF('Grupo'!$T$7:$T$12,$T$56)&gt;=2,1,0),0)</f>
        <v/>
      </c>
      <c r="AA56" s="2">
        <f>IF(AND($O$56&gt;0,OR($AE$56="Pretor Vazio-Nove",$AE$56="O Dramaturgo de Mil Faces")),1,0)</f>
        <v/>
      </c>
      <c r="AB56" s="2">
        <f>IF(AND($O$56&gt;0,$AE$56="O Germe de Pavor"),1,0)</f>
        <v/>
      </c>
      <c r="AC56" s="2">
        <f>IF(AND($O$56&gt;0,$V$56&lt;&gt;$N$8),1,0)</f>
        <v/>
      </c>
      <c r="AD56" s="2">
        <f>IF($O$56&gt;0,$V$56,0)</f>
        <v/>
      </c>
      <c r="AE56" s="2">
        <f>IF(ISNUMBER($N$56),INDEX('Inimigos'!$N$11:$N$54,$N$56)&amp;"","")</f>
        <v/>
      </c>
      <c r="AF56" s="2">
        <f>IF(LEN($BJ$56)&gt;0,1,0)+IF(LEN($BK$56)&gt;0,1,0)+IF(LEN($BL$56)&gt;0,1,0)+IF(LEN($BM$56)&gt;0,1,0)</f>
        <v/>
      </c>
      <c r="AG56" s="2">
        <f>$O$56*IF($AE$56="Escória de Stellaron",1.5,1)</f>
        <v/>
      </c>
      <c r="BG56" s="2">
        <f>IF(ISERROR($A$56),"",IF(ISBLANK($A$56),"",$A$56))</f>
        <v/>
      </c>
      <c r="BI56" s="2">
        <f>IF(ISERROR($C$56),"",IF(ISBLANK($C$56),"",$C$56))</f>
        <v/>
      </c>
      <c r="BJ56" s="2">
        <f>IF(ISERROR($D$56),"",IF(ISBLANK($D$56),"",$D$56))</f>
        <v/>
      </c>
      <c r="BK56" s="2">
        <f>IF(ISERROR($E$56),"",IF(ISBLANK($E$56),"",$E$56))</f>
        <v/>
      </c>
      <c r="BL56" s="2">
        <f>IF(ISERROR($F$56),"",IF(ISBLANK($F$56),"",$F$56))</f>
        <v/>
      </c>
      <c r="BM56" s="2">
        <f>IF(ISERROR($G$56),"",IF(ISBLANK($G$56),"",$G$56))</f>
        <v/>
      </c>
      <c r="BN56" s="2">
        <f>ISERROR($A$56)*1+ISERROR($C$56)*1+ISERROR($D$56)*1+ISERROR($E$56)*1+ISERROR($F$56)*1+ISERROR($G$56)*1</f>
        <v/>
      </c>
    </row>
    <row r="57" ht="26" customHeight="1">
      <c r="A57" s="8" t="inlineStr">
        <is>
          <t>Criatura</t>
        </is>
      </c>
      <c r="B57" s="8" t="inlineStr">
        <is>
          <t>Faixa</t>
        </is>
      </c>
      <c r="C57" s="8" t="inlineStr">
        <is>
          <t>Fraquezas efetivas</t>
        </is>
      </c>
      <c r="D57" s="20" t="n"/>
      <c r="E57" s="20" t="n"/>
      <c r="F57" s="20" t="n"/>
      <c r="G57" s="8" t="inlineStr">
        <is>
          <t>Resistência</t>
        </is>
      </c>
      <c r="H57" s="8" t="inlineStr">
        <is>
          <t>Ações agressivas</t>
        </is>
      </c>
      <c r="I57" s="8" t="inlineStr">
        <is>
          <t>Execução</t>
        </is>
      </c>
      <c r="J57" s="20" t="n"/>
      <c r="K57" s="8" t="inlineStr">
        <is>
          <t>Aviso</t>
        </is>
      </c>
      <c r="L57" s="20" t="n"/>
    </row>
    <row r="58" ht="26" customHeight="1">
      <c r="A58" s="31">
        <f>IF(LEN($BG$49)&gt;0,$BG$49,"1 · (vazia)")</f>
        <v/>
      </c>
      <c r="B58" s="18">
        <f>IF(ISNUMBER($N$49),INDEX('Inimigos'!$P$11:$P$54,$N$49)&amp;"","")</f>
        <v/>
      </c>
      <c r="C58" s="5">
        <f>$P$49&amp;IF(LEN($Q$49)&gt;0,", "&amp;$Q$49,"")&amp;IF(LEN($R$49)&gt;0,", "&amp;$R$49,"")&amp;IF(LEN($S$49)&gt;0,", "&amp;$S$49,"")</f>
        <v/>
      </c>
      <c r="G58" s="18">
        <f>IF(ISNUMBER($N$49),IF(LEN($T$49)&gt;0,$T$49,"—"),"")</f>
        <v/>
      </c>
      <c r="H58" s="18">
        <f>IF(ISNUMBER($N$49),$X$49,"")</f>
        <v/>
      </c>
      <c r="I58" s="5">
        <f>IF(ISNUMBER($N$49),IF(INDEX('Inimigos'!$AF$11:$AF$54,$N$49)&amp;""="Pode","Pode Executar (ser racional)",IF(INDEX('Inimigos'!$AF$11:$AF$54,$N$49)&amp;""="Não","Não Executa","Execução não declarada")),"")</f>
        <v/>
      </c>
      <c r="K58" s="19">
        <f>IF($O$49=0,"",IF($AC$49=1,"Faixa diferente da do grupo (28.4 passo 1: a faixa do inimigo é a do grupo)",IF($Z$49=1,"Resistência no Elemento de dois personagens (27.5)","")))</f>
        <v/>
      </c>
    </row>
    <row r="59" ht="26" customHeight="1">
      <c r="A59" s="43">
        <f>IF(LEN($BG$50)&gt;0,$BG$50,"2 · (vazia)")</f>
        <v/>
      </c>
      <c r="B59" s="23">
        <f>IF(ISNUMBER($N$50),INDEX('Inimigos'!$P$11:$P$54,$N$50)&amp;"","")</f>
        <v/>
      </c>
      <c r="C59" s="10">
        <f>$P$50&amp;IF(LEN($Q$50)&gt;0,", "&amp;$Q$50,"")&amp;IF(LEN($R$50)&gt;0,", "&amp;$R$50,"")&amp;IF(LEN($S$50)&gt;0,", "&amp;$S$50,"")</f>
        <v/>
      </c>
      <c r="G59" s="23">
        <f>IF(ISNUMBER($N$50),IF(LEN($T$50)&gt;0,$T$50,"—"),"")</f>
        <v/>
      </c>
      <c r="H59" s="23">
        <f>IF(ISNUMBER($N$50),$X$50,"")</f>
        <v/>
      </c>
      <c r="I59" s="10">
        <f>IF(ISNUMBER($N$50),IF(INDEX('Inimigos'!$AF$11:$AF$54,$N$50)&amp;""="Pode","Pode Executar (ser racional)",IF(INDEX('Inimigos'!$AF$11:$AF$54,$N$50)&amp;""="Não","Não Executa","Execução não declarada")),"")</f>
        <v/>
      </c>
      <c r="K59" s="27">
        <f>IF($O$50=0,"",IF($AC$50=1,"Faixa diferente da do grupo (28.4 passo 1: a faixa do inimigo é a do grupo)",IF($Z$50=1,"Resistência no Elemento de dois personagens (27.5)","")))</f>
        <v/>
      </c>
    </row>
    <row r="60" ht="26" customHeight="1">
      <c r="A60" s="31">
        <f>IF(LEN($BG$51)&gt;0,$BG$51,"3 · (vazia)")</f>
        <v/>
      </c>
      <c r="B60" s="18">
        <f>IF(ISNUMBER($N$51),INDEX('Inimigos'!$P$11:$P$54,$N$51)&amp;"","")</f>
        <v/>
      </c>
      <c r="C60" s="5">
        <f>$P$51&amp;IF(LEN($Q$51)&gt;0,", "&amp;$Q$51,"")&amp;IF(LEN($R$51)&gt;0,", "&amp;$R$51,"")&amp;IF(LEN($S$51)&gt;0,", "&amp;$S$51,"")</f>
        <v/>
      </c>
      <c r="G60" s="18">
        <f>IF(ISNUMBER($N$51),IF(LEN($T$51)&gt;0,$T$51,"—"),"")</f>
        <v/>
      </c>
      <c r="H60" s="18">
        <f>IF(ISNUMBER($N$51),$X$51,"")</f>
        <v/>
      </c>
      <c r="I60" s="5">
        <f>IF(ISNUMBER($N$51),IF(INDEX('Inimigos'!$AF$11:$AF$54,$N$51)&amp;""="Pode","Pode Executar (ser racional)",IF(INDEX('Inimigos'!$AF$11:$AF$54,$N$51)&amp;""="Não","Não Executa","Execução não declarada")),"")</f>
        <v/>
      </c>
      <c r="K60" s="19">
        <f>IF($O$51=0,"",IF($AC$51=1,"Faixa diferente da do grupo (28.4 passo 1: a faixa do inimigo é a do grupo)",IF($Z$51=1,"Resistência no Elemento de dois personagens (27.5)","")))</f>
        <v/>
      </c>
    </row>
    <row r="61" ht="26" customHeight="1">
      <c r="A61" s="43">
        <f>IF(LEN($BG$52)&gt;0,$BG$52,"4 · (vazia)")</f>
        <v/>
      </c>
      <c r="B61" s="23">
        <f>IF(ISNUMBER($N$52),INDEX('Inimigos'!$P$11:$P$54,$N$52)&amp;"","")</f>
        <v/>
      </c>
      <c r="C61" s="10">
        <f>$P$52&amp;IF(LEN($Q$52)&gt;0,", "&amp;$Q$52,"")&amp;IF(LEN($R$52)&gt;0,", "&amp;$R$52,"")&amp;IF(LEN($S$52)&gt;0,", "&amp;$S$52,"")</f>
        <v/>
      </c>
      <c r="G61" s="23">
        <f>IF(ISNUMBER($N$52),IF(LEN($T$52)&gt;0,$T$52,"—"),"")</f>
        <v/>
      </c>
      <c r="H61" s="23">
        <f>IF(ISNUMBER($N$52),$X$52,"")</f>
        <v/>
      </c>
      <c r="I61" s="10">
        <f>IF(ISNUMBER($N$52),IF(INDEX('Inimigos'!$AF$11:$AF$54,$N$52)&amp;""="Pode","Pode Executar (ser racional)",IF(INDEX('Inimigos'!$AF$11:$AF$54,$N$52)&amp;""="Não","Não Executa","Execução não declarada")),"")</f>
        <v/>
      </c>
      <c r="K61" s="27">
        <f>IF($O$52=0,"",IF($AC$52=1,"Faixa diferente da do grupo (28.4 passo 1: a faixa do inimigo é a do grupo)",IF($Z$52=1,"Resistência no Elemento de dois personagens (27.5)","")))</f>
        <v/>
      </c>
    </row>
    <row r="62" ht="26" customHeight="1">
      <c r="A62" s="31">
        <f>IF(LEN($BG$53)&gt;0,$BG$53,"5 · (vazia)")</f>
        <v/>
      </c>
      <c r="B62" s="18">
        <f>IF(ISNUMBER($N$53),INDEX('Inimigos'!$P$11:$P$54,$N$53)&amp;"","")</f>
        <v/>
      </c>
      <c r="C62" s="5">
        <f>$P$53&amp;IF(LEN($Q$53)&gt;0,", "&amp;$Q$53,"")&amp;IF(LEN($R$53)&gt;0,", "&amp;$R$53,"")&amp;IF(LEN($S$53)&gt;0,", "&amp;$S$53,"")</f>
        <v/>
      </c>
      <c r="G62" s="18">
        <f>IF(ISNUMBER($N$53),IF(LEN($T$53)&gt;0,$T$53,"—"),"")</f>
        <v/>
      </c>
      <c r="H62" s="18">
        <f>IF(ISNUMBER($N$53),$X$53,"")</f>
        <v/>
      </c>
      <c r="I62" s="5">
        <f>IF(ISNUMBER($N$53),IF(INDEX('Inimigos'!$AF$11:$AF$54,$N$53)&amp;""="Pode","Pode Executar (ser racional)",IF(INDEX('Inimigos'!$AF$11:$AF$54,$N$53)&amp;""="Não","Não Executa","Execução não declarada")),"")</f>
        <v/>
      </c>
      <c r="K62" s="19">
        <f>IF($O$53=0,"",IF($AC$53=1,"Faixa diferente da do grupo (28.4 passo 1: a faixa do inimigo é a do grupo)",IF($Z$53=1,"Resistência no Elemento de dois personagens (27.5)","")))</f>
        <v/>
      </c>
    </row>
    <row r="63" ht="26" customHeight="1">
      <c r="A63" s="43">
        <f>IF(LEN($BG$54)&gt;0,$BG$54,"6 · (vazia)")</f>
        <v/>
      </c>
      <c r="B63" s="23">
        <f>IF(ISNUMBER($N$54),INDEX('Inimigos'!$P$11:$P$54,$N$54)&amp;"","")</f>
        <v/>
      </c>
      <c r="C63" s="10">
        <f>$P$54&amp;IF(LEN($Q$54)&gt;0,", "&amp;$Q$54,"")&amp;IF(LEN($R$54)&gt;0,", "&amp;$R$54,"")&amp;IF(LEN($S$54)&gt;0,", "&amp;$S$54,"")</f>
        <v/>
      </c>
      <c r="G63" s="23">
        <f>IF(ISNUMBER($N$54),IF(LEN($T$54)&gt;0,$T$54,"—"),"")</f>
        <v/>
      </c>
      <c r="H63" s="23">
        <f>IF(ISNUMBER($N$54),$X$54,"")</f>
        <v/>
      </c>
      <c r="I63" s="10">
        <f>IF(ISNUMBER($N$54),IF(INDEX('Inimigos'!$AF$11:$AF$54,$N$54)&amp;""="Pode","Pode Executar (ser racional)",IF(INDEX('Inimigos'!$AF$11:$AF$54,$N$54)&amp;""="Não","Não Executa","Execução não declarada")),"")</f>
        <v/>
      </c>
      <c r="K63" s="27">
        <f>IF($O$54=0,"",IF($AC$54=1,"Faixa diferente da do grupo (28.4 passo 1: a faixa do inimigo é a do grupo)",IF($Z$54=1,"Resistência no Elemento de dois personagens (27.5)","")))</f>
        <v/>
      </c>
    </row>
    <row r="64" ht="26" customHeight="1">
      <c r="A64" s="31">
        <f>IF(LEN($BG$55)&gt;0,$BG$55,"7 · (vazia)")</f>
        <v/>
      </c>
      <c r="B64" s="18">
        <f>IF(ISNUMBER($N$55),INDEX('Inimigos'!$P$11:$P$54,$N$55)&amp;"","")</f>
        <v/>
      </c>
      <c r="C64" s="5">
        <f>$P$55&amp;IF(LEN($Q$55)&gt;0,", "&amp;$Q$55,"")&amp;IF(LEN($R$55)&gt;0,", "&amp;$R$55,"")&amp;IF(LEN($S$55)&gt;0,", "&amp;$S$55,"")</f>
        <v/>
      </c>
      <c r="G64" s="18">
        <f>IF(ISNUMBER($N$55),IF(LEN($T$55)&gt;0,$T$55,"—"),"")</f>
        <v/>
      </c>
      <c r="H64" s="18">
        <f>IF(ISNUMBER($N$55),$X$55,"")</f>
        <v/>
      </c>
      <c r="I64" s="5">
        <f>IF(ISNUMBER($N$55),IF(INDEX('Inimigos'!$AF$11:$AF$54,$N$55)&amp;""="Pode","Pode Executar (ser racional)",IF(INDEX('Inimigos'!$AF$11:$AF$54,$N$55)&amp;""="Não","Não Executa","Execução não declarada")),"")</f>
        <v/>
      </c>
      <c r="K64" s="19">
        <f>IF($O$55=0,"",IF($AC$55=1,"Faixa diferente da do grupo (28.4 passo 1: a faixa do inimigo é a do grupo)",IF($Z$55=1,"Resistência no Elemento de dois personagens (27.5)","")))</f>
        <v/>
      </c>
    </row>
    <row r="65" ht="26" customHeight="1">
      <c r="A65" s="43">
        <f>IF(LEN($BG$56)&gt;0,$BG$56,"8 · (vazia)")</f>
        <v/>
      </c>
      <c r="B65" s="23">
        <f>IF(ISNUMBER($N$56),INDEX('Inimigos'!$P$11:$P$54,$N$56)&amp;"","")</f>
        <v/>
      </c>
      <c r="C65" s="10">
        <f>$P$56&amp;IF(LEN($Q$56)&gt;0,", "&amp;$Q$56,"")&amp;IF(LEN($R$56)&gt;0,", "&amp;$R$56,"")&amp;IF(LEN($S$56)&gt;0,", "&amp;$S$56,"")</f>
        <v/>
      </c>
      <c r="G65" s="23">
        <f>IF(ISNUMBER($N$56),IF(LEN($T$56)&gt;0,$T$56,"—"),"")</f>
        <v/>
      </c>
      <c r="H65" s="23">
        <f>IF(ISNUMBER($N$56),$X$56,"")</f>
        <v/>
      </c>
      <c r="I65" s="10">
        <f>IF(ISNUMBER($N$56),IF(INDEX('Inimigos'!$AF$11:$AF$54,$N$56)&amp;""="Pode","Pode Executar (ser racional)",IF(INDEX('Inimigos'!$AF$11:$AF$54,$N$56)&amp;""="Não","Não Executa","Execução não declarada")),"")</f>
        <v/>
      </c>
      <c r="K65" s="27">
        <f>IF($O$56=0,"",IF($AC$56=1,"Faixa diferente da do grupo (28.4 passo 1: a faixa do inimigo é a do grupo)",IF($Z$56=1,"Resistência no Elemento de dois personagens (27.5)","")))</f>
        <v/>
      </c>
    </row>
    <row r="66" ht="26" customHeight="1">
      <c r="A66" s="9" t="inlineStr">
        <is>
          <t>Custo total</t>
        </is>
      </c>
      <c r="B66" s="18">
        <f>SUM($W$49:$W$56)</f>
        <v/>
      </c>
      <c r="C66" s="15" t="inlineStr">
        <is>
          <t>% do orçamento</t>
        </is>
      </c>
      <c r="D66" s="18">
        <f>IF($B$11&gt;0,INT((200*$B$66+$B$11)/(2*$B$11)),"")</f>
        <v/>
      </c>
      <c r="E66" s="15" t="inlineStr">
        <is>
          <t>Ciclos estimados</t>
        </is>
      </c>
      <c r="F66" s="18">
        <f>IF(OR($B$66=0,$B$12=0),"",INT((20*$B$66+20*IF($I$69&lt;3,1,0)*$B$12+$B$12)/(2*$B$12))/10)</f>
        <v/>
      </c>
      <c r="G66" s="5">
        <f>IF($B$66=0,"",IF(($B$66/$B$11)&lt;=0.6,"Cena de passagem — cerca de 2 Ciclos (27.4)",IF(($B$66/$B$11)&lt;=1.15,"Encontro típico — 3 a 5 Ciclos (27.4)",IF(($B$66/$B$11)&lt;=1.6,"Pesado","Dois orçamentos num só encontro: passa de 6 Ciclos (27.4)"))))</f>
        <v/>
      </c>
      <c r="K66" s="5">
        <f>IF($B$66=0,"","Ciclos e leitura: Sugestão da planilha — não é regra do livro (H6, H7)")</f>
        <v/>
      </c>
    </row>
    <row r="67">
      <c r="A67" s="21" t="inlineStr">
        <is>
          <t>Composição</t>
        </is>
      </c>
      <c r="B67" s="10">
        <f>IF($B$66=0,"",IF(IF(AND(SUMIF($U$49:$U$56,"Boss",$O$49:$O$56)=1,SUMIF($U$49:$U$56,"Elite",$O$49:$O$56)=0,SUMIF($U$49:$U$56,"Comum",$AG$49:$AG$56)=1),"1 Boss + 1 Comum — uma ameaça com nome, um estorvo. O combate é um duelo com interrupção (3 a 5 Ciclos, 27.4)",IF(AND(SUMIF($U$49:$U$56,"Boss",$O$49:$O$56)=0,SUMIF($U$49:$U$56,"Elite",$O$49:$O$56)=1,SUMIF($U$49:$U$56,"Comum",$AG$49:$AG$56)=4),"1 Elite + 4 Comuns — um comandante e a tropa dele. O grupo escolhe entre limpar os lados ou ir no chefe (3 a 4 Ciclos, 27.4)",IF(AND(SUMIF($U$49:$U$56,"Boss",$O$49:$O$56)=0,SUMIF($U$49:$U$56,"Elite",$O$49:$O$56)=3,SUMIF($U$49:$U$56,"Comum",$AG$49:$AG$56)=0),"3 Elites — três problemas simultâneos. É a mais pesada das quatro em dano recebido (3 a 4 Ciclos, 27.4)",IF(AND(SUMIF($U$49:$U$56,"Boss",$O$49:$O$56)=0,SUMIF($U$49:$U$56,"Elite",$O$49:$O$56)=0,SUMIF($U$49:$U$56,"Comum",$AG$49:$AG$56)=7),"7 Comuns — pelotão. Morre rápido e ainda assim morde (2 a 3 Ciclos, 27.4)",""))))="",SUMIF($U$49:$U$56,"Boss",$O$49:$O$56)&amp;" Boss, "&amp;SUMIF($U$49:$U$56,"Elite",$O$49:$O$56)&amp;" Elite, "&amp;SUMIF($U$49:$U$56,"Comum",$AG$49:$AG$56)&amp;" Comum: não é uma das quatro composições de 27.4",IF(AND(SUMIF($U$49:$U$56,"Boss",$O$49:$O$56)=1,SUMIF($U$49:$U$56,"Elite",$O$49:$O$56)=0,SUMIF($U$49:$U$56,"Comum",$AG$49:$AG$56)=1),"1 Boss + 1 Comum — uma ameaça com nome, um estorvo. O combate é um duelo com interrupção (3 a 5 Ciclos, 27.4)",IF(AND(SUMIF($U$49:$U$56,"Boss",$O$49:$O$56)=0,SUMIF($U$49:$U$56,"Elite",$O$49:$O$56)=1,SUMIF($U$49:$U$56,"Comum",$AG$49:$AG$56)=4),"1 Elite + 4 Comuns — um comandante e a tropa dele. O grupo escolhe entre limpar os lados ou ir no chefe (3 a 4 Ciclos, 27.4)",IF(AND(SUMIF($U$49:$U$56,"Boss",$O$49:$O$56)=0,SUMIF($U$49:$U$56,"Elite",$O$49:$O$56)=3,SUMIF($U$49:$U$56,"Comum",$AG$49:$AG$56)=0),"3 Elites — três problemas simultâneos. É a mais pesada das quatro em dano recebido (3 a 4 Ciclos, 27.4)",IF(AND(SUMIF($U$49:$U$56,"Boss",$O$49:$O$56)=0,SUMIF($U$49:$U$56,"Elite",$O$49:$O$56)=0,SUMIF($U$49:$U$56,"Comum",$AG$49:$AG$56)=7),"7 Comuns — pelotão. Morre rápido e ainda assim morde (2 a 3 Ciclos, 27.4)",""))))))</f>
        <v/>
      </c>
    </row>
    <row r="68">
      <c r="A68" s="8" t="inlineStr">
        <is>
          <t>Contrato (27.5)</t>
        </is>
      </c>
      <c r="B68" s="8" t="inlineStr">
        <is>
          <t>Físico</t>
        </is>
      </c>
      <c r="C68" s="8" t="inlineStr">
        <is>
          <t>Fogo</t>
        </is>
      </c>
      <c r="D68" s="8" t="inlineStr">
        <is>
          <t>Gelo</t>
        </is>
      </c>
      <c r="E68" s="8" t="inlineStr">
        <is>
          <t>Raio</t>
        </is>
      </c>
      <c r="F68" s="8" t="inlineStr">
        <is>
          <t>Vento</t>
        </is>
      </c>
      <c r="G68" s="8" t="inlineStr">
        <is>
          <t>Quântico</t>
        </is>
      </c>
      <c r="H68" s="8" t="inlineStr">
        <is>
          <t>Imaginário</t>
        </is>
      </c>
      <c r="I68" s="8" t="inlineStr">
        <is>
          <t>Cobertos</t>
        </is>
      </c>
      <c r="J68" s="8" t="inlineStr">
        <is>
          <t>Contrato</t>
        </is>
      </c>
      <c r="K68" s="8" t="inlineStr">
        <is>
          <t>Aviso</t>
        </is>
      </c>
      <c r="L68" s="20" t="n"/>
    </row>
    <row r="69" ht="37" customHeight="1">
      <c r="A69" s="9" t="inlineStr">
        <is>
          <t>Fraqueza na cena?</t>
        </is>
      </c>
      <c r="B69" s="18">
        <f>IF('Grupo'!$B$81="Sim",IF(COUNTIF($P$49:$S$56,"Físico")&gt;0,"Sim","Não"),"—")</f>
        <v/>
      </c>
      <c r="C69" s="18">
        <f>IF('Grupo'!$C$81="Sim",IF(COUNTIF($P$49:$S$56,"Fogo")&gt;0,"Sim","Não"),"—")</f>
        <v/>
      </c>
      <c r="D69" s="18">
        <f>IF('Grupo'!$D$81="Sim",IF(COUNTIF($P$49:$S$56,"Gelo")&gt;0,"Sim","Não"),"—")</f>
        <v/>
      </c>
      <c r="E69" s="18">
        <f>IF('Grupo'!$E$81="Sim",IF(COUNTIF($P$49:$S$56,"Raio")&gt;0,"Sim","Não"),"—")</f>
        <v/>
      </c>
      <c r="F69" s="18">
        <f>IF('Grupo'!$F$81="Sim",IF(COUNTIF($P$49:$S$56,"Vento")&gt;0,"Sim","Não"),"—")</f>
        <v/>
      </c>
      <c r="G69" s="18">
        <f>IF('Grupo'!$G$81="Sim",IF(COUNTIF($P$49:$S$56,"Quântico")&gt;0,"Sim","Não"),"—")</f>
        <v/>
      </c>
      <c r="H69" s="18">
        <f>IF('Grupo'!$H$81="Sim",IF(COUNTIF($P$49:$S$56,"Imaginário")&gt;0,"Sim","Não"),"—")</f>
        <v/>
      </c>
      <c r="I69" s="18">
        <f>COUNTIF(B69:H69,"Sim")</f>
        <v/>
      </c>
      <c r="J69" s="18">
        <f>IF($B$66=0,"",IF($I$69&gt;=3,"Cumprido","Não cumprido"))</f>
        <v/>
      </c>
      <c r="K69" s="19">
        <f>IF(OR($B$66=0,$I$69&gt;=3),"","Contrato não cumprido: encontro deliberadamente mais duro, cerca de 1 Ciclo a mais (27.5)")</f>
        <v/>
      </c>
    </row>
    <row r="70">
      <c r="A70" s="21" t="inlineStr">
        <is>
          <t>Se não cumprir</t>
        </is>
      </c>
      <c r="B70" s="10">
        <f>IF(OR($B$66=0,$I$69&gt;=3),"","Três saídas (27.5): distribua as Fraquezas entre vários inimigos; deixe o grupo criar a Fraqueza (Implante de Fraqueza, 08); aceite o Ciclo extra e avise a mesa.")</f>
        <v/>
      </c>
    </row>
    <row r="71">
      <c r="A71" s="9" t="inlineStr">
        <is>
          <t>Regra irmã e DT</t>
        </is>
      </c>
      <c r="B71" s="5">
        <f>IF($B$66=0,"",IF(SUM($Z$49:$Z$56)&gt;0,"Há Resistência no Elemento de dois personagens: troque-a (27.5)","Nenhuma Resistência aponta para o Elemento de dois personagens (27.5)"))</f>
        <v/>
      </c>
      <c r="G71" s="5">
        <f>IF($B$66=0,"","DT para descobrir Fraqueza: "&amp;INDEX('Dados'!$B$293:$B$297,MAX(1,MAX($AD$49:$AD$56)))&amp;" (20.2, faixa do mais forte)"&amp;IF(COUNTIF('Grupo'!$R$7:$R$12,"Intellitron")&gt;0,"; Intellitron: Vantagem e 2 por sucesso",""))</f>
        <v/>
      </c>
    </row>
    <row r="72">
      <c r="A72" s="21" t="inlineStr">
        <is>
          <t>Avisos de ficha</t>
        </is>
      </c>
      <c r="B72" s="27">
        <f>IF(AND(SUM($AA$49:$AA$56)&gt;0,SUM($O$49:$O$56)&gt;1),"Pretor Vazio-Nove e Dramaturgo: monte sozinho, os reforços são o que ele tem em vez de acompanhantes (28.7, 28.8)",IF(AND(SUM($AB$49:$AB$56)&gt;0,SUMIF($U$49:$U$56,"Comum",$AG$49:$AG$56)&gt;0),"O Germe de Pavor vem sozinho: o Parto falso traz os Comuns (28.11)",""))</f>
        <v/>
      </c>
    </row>
    <row r="73"/>
    <row r="74" ht="20" customHeight="1">
      <c r="A74" s="13" t="inlineStr">
        <is>
          <t>Encontro C</t>
        </is>
      </c>
    </row>
    <row r="75" ht="26" customHeight="1">
      <c r="A75" s="9" t="inlineStr">
        <is>
          <t>Nome do encontro</t>
        </is>
      </c>
      <c r="B75" s="4" t="n"/>
      <c r="C75" s="25" t="n"/>
      <c r="D75" s="25" t="n"/>
      <c r="E75" s="17" t="n"/>
      <c r="F75" s="15" t="inlineStr">
        <is>
          <t>Ambiente</t>
        </is>
      </c>
      <c r="G75" s="4" t="n"/>
      <c r="H75" s="25" t="n"/>
      <c r="I75" s="25" t="n"/>
      <c r="J75" s="17" t="n"/>
      <c r="K75" s="19">
        <f>IF(BN75&gt;0,"O Google leu como fórmula: digite de novo com ' na frente.","")</f>
        <v/>
      </c>
      <c r="BH75" s="2">
        <f>IF(ISERROR($B$75),"",IF(ISBLANK($B$75),"",$B$75))</f>
        <v/>
      </c>
      <c r="BN75" s="2">
        <f>ISERROR($B$75)*1+ISERROR($G$75)*1</f>
        <v/>
      </c>
    </row>
    <row r="76" ht="26" customHeight="1">
      <c r="A76" s="8" t="inlineStr">
        <is>
          <t>Criatura (preencha)</t>
        </is>
      </c>
      <c r="B76" s="20" t="n"/>
      <c r="C76" s="8" t="inlineStr">
        <is>
          <t>Quantidade</t>
        </is>
      </c>
      <c r="D76" s="8" t="inlineStr">
        <is>
          <t>Fraqueza nesta cena 1</t>
        </is>
      </c>
      <c r="E76" s="8" t="inlineStr">
        <is>
          <t>Fraqueza nesta cena 2</t>
        </is>
      </c>
      <c r="F76" s="8" t="inlineStr">
        <is>
          <t>Fraqueza nesta cena 3</t>
        </is>
      </c>
      <c r="G76" s="8" t="inlineStr">
        <is>
          <t>Fraqueza nesta cena 4</t>
        </is>
      </c>
      <c r="H76" s="8" t="inlineStr">
        <is>
          <t>Tipo</t>
        </is>
      </c>
      <c r="I76" s="8" t="inlineStr">
        <is>
          <t>PV</t>
        </is>
      </c>
      <c r="J76" s="8" t="inlineStr">
        <is>
          <t>Custo</t>
        </is>
      </c>
      <c r="K76" s="8" t="inlineStr">
        <is>
          <t>Aviso</t>
        </is>
      </c>
      <c r="L76" s="20" t="n"/>
    </row>
    <row r="77" ht="26" customHeight="1">
      <c r="A77" s="33" t="n"/>
      <c r="B77" s="17" t="n"/>
      <c r="C77" s="16" t="n"/>
      <c r="D77" s="34" t="n"/>
      <c r="E77" s="34" t="n"/>
      <c r="F77" s="34" t="n"/>
      <c r="G77" s="34" t="n"/>
      <c r="H77" s="18">
        <f>IF(ISNUMBER($N$77),INDEX('Inimigos'!$O$11:$O$54,$N$77)&amp;"","")</f>
        <v/>
      </c>
      <c r="I77" s="18">
        <f>IF(ISNUMBER($N$77),INDEX('Inimigos'!$Q$11:$Q$54,$N$77),"")</f>
        <v/>
      </c>
      <c r="J77" s="18">
        <f>IF(ISNUMBER($N$77),$W$77,"")</f>
        <v/>
      </c>
      <c r="K77" s="19">
        <f>IF(BN77&gt;0,"O Google leu como fórmula: escolha de novo ou digite com ' na frente.",IF(LEN($BG$77)=0,"",IF(NOT(ISNUMBER($N$77)),"Criatura fora da lista (Inimigos e Bestiário)",IF(AND(ISNUMBER($BI$77),OR($BI$77&lt;0,$BI$77&gt;10)),"Quantidade fora de 0 a 10: usando o limite",IF((IF(AND(LEN($BJ$77)&gt;0,$BJ$77=$BK$77),1,0)+IF(AND(LEN($BJ$77)&gt;0,$BJ$77=$BL$77),1,0)+IF(AND(LEN($BJ$77)&gt;0,$BJ$77=$BM$77),1,0)+IF(AND(LEN($BK$77)&gt;0,$BK$77=$BL$77),1,0)+IF(AND(LEN($BK$77)&gt;0,$BK$77=$BM$77),1,0)+IF(AND(LEN($BL$77)&gt;0,$BL$77=$BM$77),1,0))&gt;0,"Fraqueza repetida nesta cena",IF(AND($AF$77&gt;0,$AF$77&lt;&gt;(IF(LEN(INDEX('Inimigos'!$AA$11:$AA$54,$N$77)&amp;"")&gt;0,1,0)+IF(LEN(INDEX('Inimigos'!$AB$11:$AB$54,$N$77)&amp;"")&gt;0,1,0)+IF(LEN(INDEX('Inimigos'!$AC$11:$AC$54,$N$77)&amp;"")&gt;0,1,0)+IF(LEN(INDEX('Inimigos'!$AD$11:$AD$54,$N$77)&amp;"")&gt;0,1,0))),"O nº de Fraquezas é regra (28.2 regra 7): troque, não acrescente nem tire",IF(AND(LEN($T$77)&gt;0,COUNTIF($P$77:$S$77,$T$77)&gt;0),"Fraqueza igual à Resistência da ficha","")))))))</f>
        <v/>
      </c>
      <c r="N77" s="2">
        <f>IF(LEN($BG$77)=0,"",IFERROR(MATCH($BG$77,'Inimigos'!$N$11:$N$54,0),""))</f>
        <v/>
      </c>
      <c r="O77" s="2">
        <f>IF(ISNUMBER($N$77),IF(ISNUMBER($BI$77),MIN(10,MAX(0,INT($BI$77))),1),0)</f>
        <v/>
      </c>
      <c r="P77" s="2">
        <f>IF($O$77=0,"",IF(OR(LEN($BJ$77)&gt;0,LEN($BK$77)&gt;0,LEN($BL$77)&gt;0,LEN($BM$77)&gt;0),$BJ$77&amp;"",INDEX('Inimigos'!$AA$11:$AA$54,$N$77)&amp;""))</f>
        <v/>
      </c>
      <c r="Q77" s="2">
        <f>IF($O$77=0,"",IF(OR(LEN($BJ$77)&gt;0,LEN($BK$77)&gt;0,LEN($BL$77)&gt;0,LEN($BM$77)&gt;0),$BK$77&amp;"",INDEX('Inimigos'!$AB$11:$AB$54,$N$77)&amp;""))</f>
        <v/>
      </c>
      <c r="R77" s="2">
        <f>IF($O$77=0,"",IF(OR(LEN($BJ$77)&gt;0,LEN($BK$77)&gt;0,LEN($BL$77)&gt;0,LEN($BM$77)&gt;0),$BL$77&amp;"",INDEX('Inimigos'!$AC$11:$AC$54,$N$77)&amp;""))</f>
        <v/>
      </c>
      <c r="S77" s="2">
        <f>IF($O$77=0,"",IF(OR(LEN($BJ$77)&gt;0,LEN($BK$77)&gt;0,LEN($BL$77)&gt;0,LEN($BM$77)&gt;0),$BM$77&amp;"",INDEX('Inimigos'!$AD$11:$AD$54,$N$77)&amp;""))</f>
        <v/>
      </c>
      <c r="T77" s="2">
        <f>IF($O$77=0,"",INDEX('Inimigos'!$AE$11:$AE$54,$N$77)&amp;"")</f>
        <v/>
      </c>
      <c r="U77" s="2">
        <f>IF(ISNUMBER($N$77),INDEX('Inimigos'!$O$11:$O$54,$N$77)&amp;"","")</f>
        <v/>
      </c>
      <c r="V77" s="2">
        <f>IF(ISNUMBER($N$77),INDEX('Inimigos'!$BF$11:$BF$54,$N$77),"")</f>
        <v/>
      </c>
      <c r="W77" s="2">
        <f>IF($O$77=0,0,INDEX('Inimigos'!$AI$11:$AI$54,$N$77)*$O$77)</f>
        <v/>
      </c>
      <c r="X77" s="2">
        <f>IF($O$77=0,0,INDEX('Inimigos'!$AH$11:$AH$54,$N$77)*$O$77)</f>
        <v/>
      </c>
      <c r="Y77" s="2">
        <f>$O$77</f>
        <v/>
      </c>
      <c r="Z77" s="2">
        <f>IF(AND($O$77&gt;0,LEN($T$77)&gt;0),IF(COUNTIF('Grupo'!$T$7:$T$12,$T$77)&gt;=2,1,0),0)</f>
        <v/>
      </c>
      <c r="AA77" s="2">
        <f>IF(AND($O$77&gt;0,OR($AE$77="Pretor Vazio-Nove",$AE$77="O Dramaturgo de Mil Faces")),1,0)</f>
        <v/>
      </c>
      <c r="AB77" s="2">
        <f>IF(AND($O$77&gt;0,$AE$77="O Germe de Pavor"),1,0)</f>
        <v/>
      </c>
      <c r="AC77" s="2">
        <f>IF(AND($O$77&gt;0,$V$77&lt;&gt;$N$8),1,0)</f>
        <v/>
      </c>
      <c r="AD77" s="2">
        <f>IF($O$77&gt;0,$V$77,0)</f>
        <v/>
      </c>
      <c r="AE77" s="2">
        <f>IF(ISNUMBER($N$77),INDEX('Inimigos'!$N$11:$N$54,$N$77)&amp;"","")</f>
        <v/>
      </c>
      <c r="AF77" s="2">
        <f>IF(LEN($BJ$77)&gt;0,1,0)+IF(LEN($BK$77)&gt;0,1,0)+IF(LEN($BL$77)&gt;0,1,0)+IF(LEN($BM$77)&gt;0,1,0)</f>
        <v/>
      </c>
      <c r="AG77" s="2">
        <f>$O$77*IF($AE$77="Escória de Stellaron",1.5,1)</f>
        <v/>
      </c>
      <c r="BG77" s="2">
        <f>IF(ISERROR($A$77),"",IF(ISBLANK($A$77),"",$A$77))</f>
        <v/>
      </c>
      <c r="BI77" s="2">
        <f>IF(ISERROR($C$77),"",IF(ISBLANK($C$77),"",$C$77))</f>
        <v/>
      </c>
      <c r="BJ77" s="2">
        <f>IF(ISERROR($D$77),"",IF(ISBLANK($D$77),"",$D$77))</f>
        <v/>
      </c>
      <c r="BK77" s="2">
        <f>IF(ISERROR($E$77),"",IF(ISBLANK($E$77),"",$E$77))</f>
        <v/>
      </c>
      <c r="BL77" s="2">
        <f>IF(ISERROR($F$77),"",IF(ISBLANK($F$77),"",$F$77))</f>
        <v/>
      </c>
      <c r="BM77" s="2">
        <f>IF(ISERROR($G$77),"",IF(ISBLANK($G$77),"",$G$77))</f>
        <v/>
      </c>
      <c r="BN77" s="2">
        <f>ISERROR($A$77)*1+ISERROR($C$77)*1+ISERROR($D$77)*1+ISERROR($E$77)*1+ISERROR($F$77)*1+ISERROR($G$77)*1</f>
        <v/>
      </c>
    </row>
    <row r="78" ht="26" customHeight="1">
      <c r="A78" s="35" t="n"/>
      <c r="B78" s="17" t="n"/>
      <c r="C78" s="37" t="n"/>
      <c r="D78" s="36" t="n"/>
      <c r="E78" s="36" t="n"/>
      <c r="F78" s="36" t="n"/>
      <c r="G78" s="36" t="n"/>
      <c r="H78" s="23">
        <f>IF(ISNUMBER($N$78),INDEX('Inimigos'!$O$11:$O$54,$N$78)&amp;"","")</f>
        <v/>
      </c>
      <c r="I78" s="23">
        <f>IF(ISNUMBER($N$78),INDEX('Inimigos'!$Q$11:$Q$54,$N$78),"")</f>
        <v/>
      </c>
      <c r="J78" s="23">
        <f>IF(ISNUMBER($N$78),$W$78,"")</f>
        <v/>
      </c>
      <c r="K78" s="27">
        <f>IF(BN78&gt;0,"O Google leu como fórmula: escolha de novo ou digite com ' na frente.",IF(LEN($BG$78)=0,"",IF(NOT(ISNUMBER($N$78)),"Criatura fora da lista (Inimigos e Bestiário)",IF(AND(ISNUMBER($BI$78),OR($BI$78&lt;0,$BI$78&gt;10)),"Quantidade fora de 0 a 10: usando o limite",IF((IF(AND(LEN($BJ$78)&gt;0,$BJ$78=$BK$78),1,0)+IF(AND(LEN($BJ$78)&gt;0,$BJ$78=$BL$78),1,0)+IF(AND(LEN($BJ$78)&gt;0,$BJ$78=$BM$78),1,0)+IF(AND(LEN($BK$78)&gt;0,$BK$78=$BL$78),1,0)+IF(AND(LEN($BK$78)&gt;0,$BK$78=$BM$78),1,0)+IF(AND(LEN($BL$78)&gt;0,$BL$78=$BM$78),1,0))&gt;0,"Fraqueza repetida nesta cena",IF(AND($AF$78&gt;0,$AF$78&lt;&gt;(IF(LEN(INDEX('Inimigos'!$AA$11:$AA$54,$N$78)&amp;"")&gt;0,1,0)+IF(LEN(INDEX('Inimigos'!$AB$11:$AB$54,$N$78)&amp;"")&gt;0,1,0)+IF(LEN(INDEX('Inimigos'!$AC$11:$AC$54,$N$78)&amp;"")&gt;0,1,0)+IF(LEN(INDEX('Inimigos'!$AD$11:$AD$54,$N$78)&amp;"")&gt;0,1,0))),"O nº de Fraquezas é regra (28.2 regra 7): troque, não acrescente nem tire",IF(AND(LEN($T$78)&gt;0,COUNTIF($P$78:$S$78,$T$78)&gt;0),"Fraqueza igual à Resistência da ficha","")))))))</f>
        <v/>
      </c>
      <c r="N78" s="2">
        <f>IF(LEN($BG$78)=0,"",IFERROR(MATCH($BG$78,'Inimigos'!$N$11:$N$54,0),""))</f>
        <v/>
      </c>
      <c r="O78" s="2">
        <f>IF(ISNUMBER($N$78),IF(ISNUMBER($BI$78),MIN(10,MAX(0,INT($BI$78))),1),0)</f>
        <v/>
      </c>
      <c r="P78" s="2">
        <f>IF($O$78=0,"",IF(OR(LEN($BJ$78)&gt;0,LEN($BK$78)&gt;0,LEN($BL$78)&gt;0,LEN($BM$78)&gt;0),$BJ$78&amp;"",INDEX('Inimigos'!$AA$11:$AA$54,$N$78)&amp;""))</f>
        <v/>
      </c>
      <c r="Q78" s="2">
        <f>IF($O$78=0,"",IF(OR(LEN($BJ$78)&gt;0,LEN($BK$78)&gt;0,LEN($BL$78)&gt;0,LEN($BM$78)&gt;0),$BK$78&amp;"",INDEX('Inimigos'!$AB$11:$AB$54,$N$78)&amp;""))</f>
        <v/>
      </c>
      <c r="R78" s="2">
        <f>IF($O$78=0,"",IF(OR(LEN($BJ$78)&gt;0,LEN($BK$78)&gt;0,LEN($BL$78)&gt;0,LEN($BM$78)&gt;0),$BL$78&amp;"",INDEX('Inimigos'!$AC$11:$AC$54,$N$78)&amp;""))</f>
        <v/>
      </c>
      <c r="S78" s="2">
        <f>IF($O$78=0,"",IF(OR(LEN($BJ$78)&gt;0,LEN($BK$78)&gt;0,LEN($BL$78)&gt;0,LEN($BM$78)&gt;0),$BM$78&amp;"",INDEX('Inimigos'!$AD$11:$AD$54,$N$78)&amp;""))</f>
        <v/>
      </c>
      <c r="T78" s="2">
        <f>IF($O$78=0,"",INDEX('Inimigos'!$AE$11:$AE$54,$N$78)&amp;"")</f>
        <v/>
      </c>
      <c r="U78" s="2">
        <f>IF(ISNUMBER($N$78),INDEX('Inimigos'!$O$11:$O$54,$N$78)&amp;"","")</f>
        <v/>
      </c>
      <c r="V78" s="2">
        <f>IF(ISNUMBER($N$78),INDEX('Inimigos'!$BF$11:$BF$54,$N$78),"")</f>
        <v/>
      </c>
      <c r="W78" s="2">
        <f>IF($O$78=0,0,INDEX('Inimigos'!$AI$11:$AI$54,$N$78)*$O$78)</f>
        <v/>
      </c>
      <c r="X78" s="2">
        <f>IF($O$78=0,0,INDEX('Inimigos'!$AH$11:$AH$54,$N$78)*$O$78)</f>
        <v/>
      </c>
      <c r="Y78" s="2">
        <f>$Y$77+$O$78</f>
        <v/>
      </c>
      <c r="Z78" s="2">
        <f>IF(AND($O$78&gt;0,LEN($T$78)&gt;0),IF(COUNTIF('Grupo'!$T$7:$T$12,$T$78)&gt;=2,1,0),0)</f>
        <v/>
      </c>
      <c r="AA78" s="2">
        <f>IF(AND($O$78&gt;0,OR($AE$78="Pretor Vazio-Nove",$AE$78="O Dramaturgo de Mil Faces")),1,0)</f>
        <v/>
      </c>
      <c r="AB78" s="2">
        <f>IF(AND($O$78&gt;0,$AE$78="O Germe de Pavor"),1,0)</f>
        <v/>
      </c>
      <c r="AC78" s="2">
        <f>IF(AND($O$78&gt;0,$V$78&lt;&gt;$N$8),1,0)</f>
        <v/>
      </c>
      <c r="AD78" s="2">
        <f>IF($O$78&gt;0,$V$78,0)</f>
        <v/>
      </c>
      <c r="AE78" s="2">
        <f>IF(ISNUMBER($N$78),INDEX('Inimigos'!$N$11:$N$54,$N$78)&amp;"","")</f>
        <v/>
      </c>
      <c r="AF78" s="2">
        <f>IF(LEN($BJ$78)&gt;0,1,0)+IF(LEN($BK$78)&gt;0,1,0)+IF(LEN($BL$78)&gt;0,1,0)+IF(LEN($BM$78)&gt;0,1,0)</f>
        <v/>
      </c>
      <c r="AG78" s="2">
        <f>$O$78*IF($AE$78="Escória de Stellaron",1.5,1)</f>
        <v/>
      </c>
      <c r="BG78" s="2">
        <f>IF(ISERROR($A$78),"",IF(ISBLANK($A$78),"",$A$78))</f>
        <v/>
      </c>
      <c r="BI78" s="2">
        <f>IF(ISERROR($C$78),"",IF(ISBLANK($C$78),"",$C$78))</f>
        <v/>
      </c>
      <c r="BJ78" s="2">
        <f>IF(ISERROR($D$78),"",IF(ISBLANK($D$78),"",$D$78))</f>
        <v/>
      </c>
      <c r="BK78" s="2">
        <f>IF(ISERROR($E$78),"",IF(ISBLANK($E$78),"",$E$78))</f>
        <v/>
      </c>
      <c r="BL78" s="2">
        <f>IF(ISERROR($F$78),"",IF(ISBLANK($F$78),"",$F$78))</f>
        <v/>
      </c>
      <c r="BM78" s="2">
        <f>IF(ISERROR($G$78),"",IF(ISBLANK($G$78),"",$G$78))</f>
        <v/>
      </c>
      <c r="BN78" s="2">
        <f>ISERROR($A$78)*1+ISERROR($C$78)*1+ISERROR($D$78)*1+ISERROR($E$78)*1+ISERROR($F$78)*1+ISERROR($G$78)*1</f>
        <v/>
      </c>
    </row>
    <row r="79" ht="26" customHeight="1">
      <c r="A79" s="33" t="n"/>
      <c r="B79" s="17" t="n"/>
      <c r="C79" s="16" t="n"/>
      <c r="D79" s="34" t="n"/>
      <c r="E79" s="34" t="n"/>
      <c r="F79" s="34" t="n"/>
      <c r="G79" s="34" t="n"/>
      <c r="H79" s="18">
        <f>IF(ISNUMBER($N$79),INDEX('Inimigos'!$O$11:$O$54,$N$79)&amp;"","")</f>
        <v/>
      </c>
      <c r="I79" s="18">
        <f>IF(ISNUMBER($N$79),INDEX('Inimigos'!$Q$11:$Q$54,$N$79),"")</f>
        <v/>
      </c>
      <c r="J79" s="18">
        <f>IF(ISNUMBER($N$79),$W$79,"")</f>
        <v/>
      </c>
      <c r="K79" s="19">
        <f>IF(BN79&gt;0,"O Google leu como fórmula: escolha de novo ou digite com ' na frente.",IF(LEN($BG$79)=0,"",IF(NOT(ISNUMBER($N$79)),"Criatura fora da lista (Inimigos e Bestiário)",IF(AND(ISNUMBER($BI$79),OR($BI$79&lt;0,$BI$79&gt;10)),"Quantidade fora de 0 a 10: usando o limite",IF((IF(AND(LEN($BJ$79)&gt;0,$BJ$79=$BK$79),1,0)+IF(AND(LEN($BJ$79)&gt;0,$BJ$79=$BL$79),1,0)+IF(AND(LEN($BJ$79)&gt;0,$BJ$79=$BM$79),1,0)+IF(AND(LEN($BK$79)&gt;0,$BK$79=$BL$79),1,0)+IF(AND(LEN($BK$79)&gt;0,$BK$79=$BM$79),1,0)+IF(AND(LEN($BL$79)&gt;0,$BL$79=$BM$79),1,0))&gt;0,"Fraqueza repetida nesta cena",IF(AND($AF$79&gt;0,$AF$79&lt;&gt;(IF(LEN(INDEX('Inimigos'!$AA$11:$AA$54,$N$79)&amp;"")&gt;0,1,0)+IF(LEN(INDEX('Inimigos'!$AB$11:$AB$54,$N$79)&amp;"")&gt;0,1,0)+IF(LEN(INDEX('Inimigos'!$AC$11:$AC$54,$N$79)&amp;"")&gt;0,1,0)+IF(LEN(INDEX('Inimigos'!$AD$11:$AD$54,$N$79)&amp;"")&gt;0,1,0))),"O nº de Fraquezas é regra (28.2 regra 7): troque, não acrescente nem tire",IF(AND(LEN($T$79)&gt;0,COUNTIF($P$79:$S$79,$T$79)&gt;0),"Fraqueza igual à Resistência da ficha","")))))))</f>
        <v/>
      </c>
      <c r="N79" s="2">
        <f>IF(LEN($BG$79)=0,"",IFERROR(MATCH($BG$79,'Inimigos'!$N$11:$N$54,0),""))</f>
        <v/>
      </c>
      <c r="O79" s="2">
        <f>IF(ISNUMBER($N$79),IF(ISNUMBER($BI$79),MIN(10,MAX(0,INT($BI$79))),1),0)</f>
        <v/>
      </c>
      <c r="P79" s="2">
        <f>IF($O$79=0,"",IF(OR(LEN($BJ$79)&gt;0,LEN($BK$79)&gt;0,LEN($BL$79)&gt;0,LEN($BM$79)&gt;0),$BJ$79&amp;"",INDEX('Inimigos'!$AA$11:$AA$54,$N$79)&amp;""))</f>
        <v/>
      </c>
      <c r="Q79" s="2">
        <f>IF($O$79=0,"",IF(OR(LEN($BJ$79)&gt;0,LEN($BK$79)&gt;0,LEN($BL$79)&gt;0,LEN($BM$79)&gt;0),$BK$79&amp;"",INDEX('Inimigos'!$AB$11:$AB$54,$N$79)&amp;""))</f>
        <v/>
      </c>
      <c r="R79" s="2">
        <f>IF($O$79=0,"",IF(OR(LEN($BJ$79)&gt;0,LEN($BK$79)&gt;0,LEN($BL$79)&gt;0,LEN($BM$79)&gt;0),$BL$79&amp;"",INDEX('Inimigos'!$AC$11:$AC$54,$N$79)&amp;""))</f>
        <v/>
      </c>
      <c r="S79" s="2">
        <f>IF($O$79=0,"",IF(OR(LEN($BJ$79)&gt;0,LEN($BK$79)&gt;0,LEN($BL$79)&gt;0,LEN($BM$79)&gt;0),$BM$79&amp;"",INDEX('Inimigos'!$AD$11:$AD$54,$N$79)&amp;""))</f>
        <v/>
      </c>
      <c r="T79" s="2">
        <f>IF($O$79=0,"",INDEX('Inimigos'!$AE$11:$AE$54,$N$79)&amp;"")</f>
        <v/>
      </c>
      <c r="U79" s="2">
        <f>IF(ISNUMBER($N$79),INDEX('Inimigos'!$O$11:$O$54,$N$79)&amp;"","")</f>
        <v/>
      </c>
      <c r="V79" s="2">
        <f>IF(ISNUMBER($N$79),INDEX('Inimigos'!$BF$11:$BF$54,$N$79),"")</f>
        <v/>
      </c>
      <c r="W79" s="2">
        <f>IF($O$79=0,0,INDEX('Inimigos'!$AI$11:$AI$54,$N$79)*$O$79)</f>
        <v/>
      </c>
      <c r="X79" s="2">
        <f>IF($O$79=0,0,INDEX('Inimigos'!$AH$11:$AH$54,$N$79)*$O$79)</f>
        <v/>
      </c>
      <c r="Y79" s="2">
        <f>$Y$78+$O$79</f>
        <v/>
      </c>
      <c r="Z79" s="2">
        <f>IF(AND($O$79&gt;0,LEN($T$79)&gt;0),IF(COUNTIF('Grupo'!$T$7:$T$12,$T$79)&gt;=2,1,0),0)</f>
        <v/>
      </c>
      <c r="AA79" s="2">
        <f>IF(AND($O$79&gt;0,OR($AE$79="Pretor Vazio-Nove",$AE$79="O Dramaturgo de Mil Faces")),1,0)</f>
        <v/>
      </c>
      <c r="AB79" s="2">
        <f>IF(AND($O$79&gt;0,$AE$79="O Germe de Pavor"),1,0)</f>
        <v/>
      </c>
      <c r="AC79" s="2">
        <f>IF(AND($O$79&gt;0,$V$79&lt;&gt;$N$8),1,0)</f>
        <v/>
      </c>
      <c r="AD79" s="2">
        <f>IF($O$79&gt;0,$V$79,0)</f>
        <v/>
      </c>
      <c r="AE79" s="2">
        <f>IF(ISNUMBER($N$79),INDEX('Inimigos'!$N$11:$N$54,$N$79)&amp;"","")</f>
        <v/>
      </c>
      <c r="AF79" s="2">
        <f>IF(LEN($BJ$79)&gt;0,1,0)+IF(LEN($BK$79)&gt;0,1,0)+IF(LEN($BL$79)&gt;0,1,0)+IF(LEN($BM$79)&gt;0,1,0)</f>
        <v/>
      </c>
      <c r="AG79" s="2">
        <f>$O$79*IF($AE$79="Escória de Stellaron",1.5,1)</f>
        <v/>
      </c>
      <c r="BG79" s="2">
        <f>IF(ISERROR($A$79),"",IF(ISBLANK($A$79),"",$A$79))</f>
        <v/>
      </c>
      <c r="BI79" s="2">
        <f>IF(ISERROR($C$79),"",IF(ISBLANK($C$79),"",$C$79))</f>
        <v/>
      </c>
      <c r="BJ79" s="2">
        <f>IF(ISERROR($D$79),"",IF(ISBLANK($D$79),"",$D$79))</f>
        <v/>
      </c>
      <c r="BK79" s="2">
        <f>IF(ISERROR($E$79),"",IF(ISBLANK($E$79),"",$E$79))</f>
        <v/>
      </c>
      <c r="BL79" s="2">
        <f>IF(ISERROR($F$79),"",IF(ISBLANK($F$79),"",$F$79))</f>
        <v/>
      </c>
      <c r="BM79" s="2">
        <f>IF(ISERROR($G$79),"",IF(ISBLANK($G$79),"",$G$79))</f>
        <v/>
      </c>
      <c r="BN79" s="2">
        <f>ISERROR($A$79)*1+ISERROR($C$79)*1+ISERROR($D$79)*1+ISERROR($E$79)*1+ISERROR($F$79)*1+ISERROR($G$79)*1</f>
        <v/>
      </c>
    </row>
    <row r="80" ht="26" customHeight="1">
      <c r="A80" s="35" t="n"/>
      <c r="B80" s="17" t="n"/>
      <c r="C80" s="37" t="n"/>
      <c r="D80" s="36" t="n"/>
      <c r="E80" s="36" t="n"/>
      <c r="F80" s="36" t="n"/>
      <c r="G80" s="36" t="n"/>
      <c r="H80" s="23">
        <f>IF(ISNUMBER($N$80),INDEX('Inimigos'!$O$11:$O$54,$N$80)&amp;"","")</f>
        <v/>
      </c>
      <c r="I80" s="23">
        <f>IF(ISNUMBER($N$80),INDEX('Inimigos'!$Q$11:$Q$54,$N$80),"")</f>
        <v/>
      </c>
      <c r="J80" s="23">
        <f>IF(ISNUMBER($N$80),$W$80,"")</f>
        <v/>
      </c>
      <c r="K80" s="27">
        <f>IF(BN80&gt;0,"O Google leu como fórmula: escolha de novo ou digite com ' na frente.",IF(LEN($BG$80)=0,"",IF(NOT(ISNUMBER($N$80)),"Criatura fora da lista (Inimigos e Bestiário)",IF(AND(ISNUMBER($BI$80),OR($BI$80&lt;0,$BI$80&gt;10)),"Quantidade fora de 0 a 10: usando o limite",IF((IF(AND(LEN($BJ$80)&gt;0,$BJ$80=$BK$80),1,0)+IF(AND(LEN($BJ$80)&gt;0,$BJ$80=$BL$80),1,0)+IF(AND(LEN($BJ$80)&gt;0,$BJ$80=$BM$80),1,0)+IF(AND(LEN($BK$80)&gt;0,$BK$80=$BL$80),1,0)+IF(AND(LEN($BK$80)&gt;0,$BK$80=$BM$80),1,0)+IF(AND(LEN($BL$80)&gt;0,$BL$80=$BM$80),1,0))&gt;0,"Fraqueza repetida nesta cena",IF(AND($AF$80&gt;0,$AF$80&lt;&gt;(IF(LEN(INDEX('Inimigos'!$AA$11:$AA$54,$N$80)&amp;"")&gt;0,1,0)+IF(LEN(INDEX('Inimigos'!$AB$11:$AB$54,$N$80)&amp;"")&gt;0,1,0)+IF(LEN(INDEX('Inimigos'!$AC$11:$AC$54,$N$80)&amp;"")&gt;0,1,0)+IF(LEN(INDEX('Inimigos'!$AD$11:$AD$54,$N$80)&amp;"")&gt;0,1,0))),"O nº de Fraquezas é regra (28.2 regra 7): troque, não acrescente nem tire",IF(AND(LEN($T$80)&gt;0,COUNTIF($P$80:$S$80,$T$80)&gt;0),"Fraqueza igual à Resistência da ficha","")))))))</f>
        <v/>
      </c>
      <c r="N80" s="2">
        <f>IF(LEN($BG$80)=0,"",IFERROR(MATCH($BG$80,'Inimigos'!$N$11:$N$54,0),""))</f>
        <v/>
      </c>
      <c r="O80" s="2">
        <f>IF(ISNUMBER($N$80),IF(ISNUMBER($BI$80),MIN(10,MAX(0,INT($BI$80))),1),0)</f>
        <v/>
      </c>
      <c r="P80" s="2">
        <f>IF($O$80=0,"",IF(OR(LEN($BJ$80)&gt;0,LEN($BK$80)&gt;0,LEN($BL$80)&gt;0,LEN($BM$80)&gt;0),$BJ$80&amp;"",INDEX('Inimigos'!$AA$11:$AA$54,$N$80)&amp;""))</f>
        <v/>
      </c>
      <c r="Q80" s="2">
        <f>IF($O$80=0,"",IF(OR(LEN($BJ$80)&gt;0,LEN($BK$80)&gt;0,LEN($BL$80)&gt;0,LEN($BM$80)&gt;0),$BK$80&amp;"",INDEX('Inimigos'!$AB$11:$AB$54,$N$80)&amp;""))</f>
        <v/>
      </c>
      <c r="R80" s="2">
        <f>IF($O$80=0,"",IF(OR(LEN($BJ$80)&gt;0,LEN($BK$80)&gt;0,LEN($BL$80)&gt;0,LEN($BM$80)&gt;0),$BL$80&amp;"",INDEX('Inimigos'!$AC$11:$AC$54,$N$80)&amp;""))</f>
        <v/>
      </c>
      <c r="S80" s="2">
        <f>IF($O$80=0,"",IF(OR(LEN($BJ$80)&gt;0,LEN($BK$80)&gt;0,LEN($BL$80)&gt;0,LEN($BM$80)&gt;0),$BM$80&amp;"",INDEX('Inimigos'!$AD$11:$AD$54,$N$80)&amp;""))</f>
        <v/>
      </c>
      <c r="T80" s="2">
        <f>IF($O$80=0,"",INDEX('Inimigos'!$AE$11:$AE$54,$N$80)&amp;"")</f>
        <v/>
      </c>
      <c r="U80" s="2">
        <f>IF(ISNUMBER($N$80),INDEX('Inimigos'!$O$11:$O$54,$N$80)&amp;"","")</f>
        <v/>
      </c>
      <c r="V80" s="2">
        <f>IF(ISNUMBER($N$80),INDEX('Inimigos'!$BF$11:$BF$54,$N$80),"")</f>
        <v/>
      </c>
      <c r="W80" s="2">
        <f>IF($O$80=0,0,INDEX('Inimigos'!$AI$11:$AI$54,$N$80)*$O$80)</f>
        <v/>
      </c>
      <c r="X80" s="2">
        <f>IF($O$80=0,0,INDEX('Inimigos'!$AH$11:$AH$54,$N$80)*$O$80)</f>
        <v/>
      </c>
      <c r="Y80" s="2">
        <f>$Y$79+$O$80</f>
        <v/>
      </c>
      <c r="Z80" s="2">
        <f>IF(AND($O$80&gt;0,LEN($T$80)&gt;0),IF(COUNTIF('Grupo'!$T$7:$T$12,$T$80)&gt;=2,1,0),0)</f>
        <v/>
      </c>
      <c r="AA80" s="2">
        <f>IF(AND($O$80&gt;0,OR($AE$80="Pretor Vazio-Nove",$AE$80="O Dramaturgo de Mil Faces")),1,0)</f>
        <v/>
      </c>
      <c r="AB80" s="2">
        <f>IF(AND($O$80&gt;0,$AE$80="O Germe de Pavor"),1,0)</f>
        <v/>
      </c>
      <c r="AC80" s="2">
        <f>IF(AND($O$80&gt;0,$V$80&lt;&gt;$N$8),1,0)</f>
        <v/>
      </c>
      <c r="AD80" s="2">
        <f>IF($O$80&gt;0,$V$80,0)</f>
        <v/>
      </c>
      <c r="AE80" s="2">
        <f>IF(ISNUMBER($N$80),INDEX('Inimigos'!$N$11:$N$54,$N$80)&amp;"","")</f>
        <v/>
      </c>
      <c r="AF80" s="2">
        <f>IF(LEN($BJ$80)&gt;0,1,0)+IF(LEN($BK$80)&gt;0,1,0)+IF(LEN($BL$80)&gt;0,1,0)+IF(LEN($BM$80)&gt;0,1,0)</f>
        <v/>
      </c>
      <c r="AG80" s="2">
        <f>$O$80*IF($AE$80="Escória de Stellaron",1.5,1)</f>
        <v/>
      </c>
      <c r="BG80" s="2">
        <f>IF(ISERROR($A$80),"",IF(ISBLANK($A$80),"",$A$80))</f>
        <v/>
      </c>
      <c r="BI80" s="2">
        <f>IF(ISERROR($C$80),"",IF(ISBLANK($C$80),"",$C$80))</f>
        <v/>
      </c>
      <c r="BJ80" s="2">
        <f>IF(ISERROR($D$80),"",IF(ISBLANK($D$80),"",$D$80))</f>
        <v/>
      </c>
      <c r="BK80" s="2">
        <f>IF(ISERROR($E$80),"",IF(ISBLANK($E$80),"",$E$80))</f>
        <v/>
      </c>
      <c r="BL80" s="2">
        <f>IF(ISERROR($F$80),"",IF(ISBLANK($F$80),"",$F$80))</f>
        <v/>
      </c>
      <c r="BM80" s="2">
        <f>IF(ISERROR($G$80),"",IF(ISBLANK($G$80),"",$G$80))</f>
        <v/>
      </c>
      <c r="BN80" s="2">
        <f>ISERROR($A$80)*1+ISERROR($C$80)*1+ISERROR($D$80)*1+ISERROR($E$80)*1+ISERROR($F$80)*1+ISERROR($G$80)*1</f>
        <v/>
      </c>
    </row>
    <row r="81" ht="26" customHeight="1">
      <c r="A81" s="33" t="n"/>
      <c r="B81" s="17" t="n"/>
      <c r="C81" s="16" t="n"/>
      <c r="D81" s="34" t="n"/>
      <c r="E81" s="34" t="n"/>
      <c r="F81" s="34" t="n"/>
      <c r="G81" s="34" t="n"/>
      <c r="H81" s="18">
        <f>IF(ISNUMBER($N$81),INDEX('Inimigos'!$O$11:$O$54,$N$81)&amp;"","")</f>
        <v/>
      </c>
      <c r="I81" s="18">
        <f>IF(ISNUMBER($N$81),INDEX('Inimigos'!$Q$11:$Q$54,$N$81),"")</f>
        <v/>
      </c>
      <c r="J81" s="18">
        <f>IF(ISNUMBER($N$81),$W$81,"")</f>
        <v/>
      </c>
      <c r="K81" s="19">
        <f>IF(BN81&gt;0,"O Google leu como fórmula: escolha de novo ou digite com ' na frente.",IF(LEN($BG$81)=0,"",IF(NOT(ISNUMBER($N$81)),"Criatura fora da lista (Inimigos e Bestiário)",IF(AND(ISNUMBER($BI$81),OR($BI$81&lt;0,$BI$81&gt;10)),"Quantidade fora de 0 a 10: usando o limite",IF((IF(AND(LEN($BJ$81)&gt;0,$BJ$81=$BK$81),1,0)+IF(AND(LEN($BJ$81)&gt;0,$BJ$81=$BL$81),1,0)+IF(AND(LEN($BJ$81)&gt;0,$BJ$81=$BM$81),1,0)+IF(AND(LEN($BK$81)&gt;0,$BK$81=$BL$81),1,0)+IF(AND(LEN($BK$81)&gt;0,$BK$81=$BM$81),1,0)+IF(AND(LEN($BL$81)&gt;0,$BL$81=$BM$81),1,0))&gt;0,"Fraqueza repetida nesta cena",IF(AND($AF$81&gt;0,$AF$81&lt;&gt;(IF(LEN(INDEX('Inimigos'!$AA$11:$AA$54,$N$81)&amp;"")&gt;0,1,0)+IF(LEN(INDEX('Inimigos'!$AB$11:$AB$54,$N$81)&amp;"")&gt;0,1,0)+IF(LEN(INDEX('Inimigos'!$AC$11:$AC$54,$N$81)&amp;"")&gt;0,1,0)+IF(LEN(INDEX('Inimigos'!$AD$11:$AD$54,$N$81)&amp;"")&gt;0,1,0))),"O nº de Fraquezas é regra (28.2 regra 7): troque, não acrescente nem tire",IF(AND(LEN($T$81)&gt;0,COUNTIF($P$81:$S$81,$T$81)&gt;0),"Fraqueza igual à Resistência da ficha","")))))))</f>
        <v/>
      </c>
      <c r="N81" s="2">
        <f>IF(LEN($BG$81)=0,"",IFERROR(MATCH($BG$81,'Inimigos'!$N$11:$N$54,0),""))</f>
        <v/>
      </c>
      <c r="O81" s="2">
        <f>IF(ISNUMBER($N$81),IF(ISNUMBER($BI$81),MIN(10,MAX(0,INT($BI$81))),1),0)</f>
        <v/>
      </c>
      <c r="P81" s="2">
        <f>IF($O$81=0,"",IF(OR(LEN($BJ$81)&gt;0,LEN($BK$81)&gt;0,LEN($BL$81)&gt;0,LEN($BM$81)&gt;0),$BJ$81&amp;"",INDEX('Inimigos'!$AA$11:$AA$54,$N$81)&amp;""))</f>
        <v/>
      </c>
      <c r="Q81" s="2">
        <f>IF($O$81=0,"",IF(OR(LEN($BJ$81)&gt;0,LEN($BK$81)&gt;0,LEN($BL$81)&gt;0,LEN($BM$81)&gt;0),$BK$81&amp;"",INDEX('Inimigos'!$AB$11:$AB$54,$N$81)&amp;""))</f>
        <v/>
      </c>
      <c r="R81" s="2">
        <f>IF($O$81=0,"",IF(OR(LEN($BJ$81)&gt;0,LEN($BK$81)&gt;0,LEN($BL$81)&gt;0,LEN($BM$81)&gt;0),$BL$81&amp;"",INDEX('Inimigos'!$AC$11:$AC$54,$N$81)&amp;""))</f>
        <v/>
      </c>
      <c r="S81" s="2">
        <f>IF($O$81=0,"",IF(OR(LEN($BJ$81)&gt;0,LEN($BK$81)&gt;0,LEN($BL$81)&gt;0,LEN($BM$81)&gt;0),$BM$81&amp;"",INDEX('Inimigos'!$AD$11:$AD$54,$N$81)&amp;""))</f>
        <v/>
      </c>
      <c r="T81" s="2">
        <f>IF($O$81=0,"",INDEX('Inimigos'!$AE$11:$AE$54,$N$81)&amp;"")</f>
        <v/>
      </c>
      <c r="U81" s="2">
        <f>IF(ISNUMBER($N$81),INDEX('Inimigos'!$O$11:$O$54,$N$81)&amp;"","")</f>
        <v/>
      </c>
      <c r="V81" s="2">
        <f>IF(ISNUMBER($N$81),INDEX('Inimigos'!$BF$11:$BF$54,$N$81),"")</f>
        <v/>
      </c>
      <c r="W81" s="2">
        <f>IF($O$81=0,0,INDEX('Inimigos'!$AI$11:$AI$54,$N$81)*$O$81)</f>
        <v/>
      </c>
      <c r="X81" s="2">
        <f>IF($O$81=0,0,INDEX('Inimigos'!$AH$11:$AH$54,$N$81)*$O$81)</f>
        <v/>
      </c>
      <c r="Y81" s="2">
        <f>$Y$80+$O$81</f>
        <v/>
      </c>
      <c r="Z81" s="2">
        <f>IF(AND($O$81&gt;0,LEN($T$81)&gt;0),IF(COUNTIF('Grupo'!$T$7:$T$12,$T$81)&gt;=2,1,0),0)</f>
        <v/>
      </c>
      <c r="AA81" s="2">
        <f>IF(AND($O$81&gt;0,OR($AE$81="Pretor Vazio-Nove",$AE$81="O Dramaturgo de Mil Faces")),1,0)</f>
        <v/>
      </c>
      <c r="AB81" s="2">
        <f>IF(AND($O$81&gt;0,$AE$81="O Germe de Pavor"),1,0)</f>
        <v/>
      </c>
      <c r="AC81" s="2">
        <f>IF(AND($O$81&gt;0,$V$81&lt;&gt;$N$8),1,0)</f>
        <v/>
      </c>
      <c r="AD81" s="2">
        <f>IF($O$81&gt;0,$V$81,0)</f>
        <v/>
      </c>
      <c r="AE81" s="2">
        <f>IF(ISNUMBER($N$81),INDEX('Inimigos'!$N$11:$N$54,$N$81)&amp;"","")</f>
        <v/>
      </c>
      <c r="AF81" s="2">
        <f>IF(LEN($BJ$81)&gt;0,1,0)+IF(LEN($BK$81)&gt;0,1,0)+IF(LEN($BL$81)&gt;0,1,0)+IF(LEN($BM$81)&gt;0,1,0)</f>
        <v/>
      </c>
      <c r="AG81" s="2">
        <f>$O$81*IF($AE$81="Escória de Stellaron",1.5,1)</f>
        <v/>
      </c>
      <c r="BG81" s="2">
        <f>IF(ISERROR($A$81),"",IF(ISBLANK($A$81),"",$A$81))</f>
        <v/>
      </c>
      <c r="BI81" s="2">
        <f>IF(ISERROR($C$81),"",IF(ISBLANK($C$81),"",$C$81))</f>
        <v/>
      </c>
      <c r="BJ81" s="2">
        <f>IF(ISERROR($D$81),"",IF(ISBLANK($D$81),"",$D$81))</f>
        <v/>
      </c>
      <c r="BK81" s="2">
        <f>IF(ISERROR($E$81),"",IF(ISBLANK($E$81),"",$E$81))</f>
        <v/>
      </c>
      <c r="BL81" s="2">
        <f>IF(ISERROR($F$81),"",IF(ISBLANK($F$81),"",$F$81))</f>
        <v/>
      </c>
      <c r="BM81" s="2">
        <f>IF(ISERROR($G$81),"",IF(ISBLANK($G$81),"",$G$81))</f>
        <v/>
      </c>
      <c r="BN81" s="2">
        <f>ISERROR($A$81)*1+ISERROR($C$81)*1+ISERROR($D$81)*1+ISERROR($E$81)*1+ISERROR($F$81)*1+ISERROR($G$81)*1</f>
        <v/>
      </c>
    </row>
    <row r="82" ht="26" customHeight="1">
      <c r="A82" s="35" t="n"/>
      <c r="B82" s="17" t="n"/>
      <c r="C82" s="37" t="n"/>
      <c r="D82" s="36" t="n"/>
      <c r="E82" s="36" t="n"/>
      <c r="F82" s="36" t="n"/>
      <c r="G82" s="36" t="n"/>
      <c r="H82" s="23">
        <f>IF(ISNUMBER($N$82),INDEX('Inimigos'!$O$11:$O$54,$N$82)&amp;"","")</f>
        <v/>
      </c>
      <c r="I82" s="23">
        <f>IF(ISNUMBER($N$82),INDEX('Inimigos'!$Q$11:$Q$54,$N$82),"")</f>
        <v/>
      </c>
      <c r="J82" s="23">
        <f>IF(ISNUMBER($N$82),$W$82,"")</f>
        <v/>
      </c>
      <c r="K82" s="27">
        <f>IF(BN82&gt;0,"O Google leu como fórmula: escolha de novo ou digite com ' na frente.",IF(LEN($BG$82)=0,"",IF(NOT(ISNUMBER($N$82)),"Criatura fora da lista (Inimigos e Bestiário)",IF(AND(ISNUMBER($BI$82),OR($BI$82&lt;0,$BI$82&gt;10)),"Quantidade fora de 0 a 10: usando o limite",IF((IF(AND(LEN($BJ$82)&gt;0,$BJ$82=$BK$82),1,0)+IF(AND(LEN($BJ$82)&gt;0,$BJ$82=$BL$82),1,0)+IF(AND(LEN($BJ$82)&gt;0,$BJ$82=$BM$82),1,0)+IF(AND(LEN($BK$82)&gt;0,$BK$82=$BL$82),1,0)+IF(AND(LEN($BK$82)&gt;0,$BK$82=$BM$82),1,0)+IF(AND(LEN($BL$82)&gt;0,$BL$82=$BM$82),1,0))&gt;0,"Fraqueza repetida nesta cena",IF(AND($AF$82&gt;0,$AF$82&lt;&gt;(IF(LEN(INDEX('Inimigos'!$AA$11:$AA$54,$N$82)&amp;"")&gt;0,1,0)+IF(LEN(INDEX('Inimigos'!$AB$11:$AB$54,$N$82)&amp;"")&gt;0,1,0)+IF(LEN(INDEX('Inimigos'!$AC$11:$AC$54,$N$82)&amp;"")&gt;0,1,0)+IF(LEN(INDEX('Inimigos'!$AD$11:$AD$54,$N$82)&amp;"")&gt;0,1,0))),"O nº de Fraquezas é regra (28.2 regra 7): troque, não acrescente nem tire",IF(AND(LEN($T$82)&gt;0,COUNTIF($P$82:$S$82,$T$82)&gt;0),"Fraqueza igual à Resistência da ficha","")))))))</f>
        <v/>
      </c>
      <c r="N82" s="2">
        <f>IF(LEN($BG$82)=0,"",IFERROR(MATCH($BG$82,'Inimigos'!$N$11:$N$54,0),""))</f>
        <v/>
      </c>
      <c r="O82" s="2">
        <f>IF(ISNUMBER($N$82),IF(ISNUMBER($BI$82),MIN(10,MAX(0,INT($BI$82))),1),0)</f>
        <v/>
      </c>
      <c r="P82" s="2">
        <f>IF($O$82=0,"",IF(OR(LEN($BJ$82)&gt;0,LEN($BK$82)&gt;0,LEN($BL$82)&gt;0,LEN($BM$82)&gt;0),$BJ$82&amp;"",INDEX('Inimigos'!$AA$11:$AA$54,$N$82)&amp;""))</f>
        <v/>
      </c>
      <c r="Q82" s="2">
        <f>IF($O$82=0,"",IF(OR(LEN($BJ$82)&gt;0,LEN($BK$82)&gt;0,LEN($BL$82)&gt;0,LEN($BM$82)&gt;0),$BK$82&amp;"",INDEX('Inimigos'!$AB$11:$AB$54,$N$82)&amp;""))</f>
        <v/>
      </c>
      <c r="R82" s="2">
        <f>IF($O$82=0,"",IF(OR(LEN($BJ$82)&gt;0,LEN($BK$82)&gt;0,LEN($BL$82)&gt;0,LEN($BM$82)&gt;0),$BL$82&amp;"",INDEX('Inimigos'!$AC$11:$AC$54,$N$82)&amp;""))</f>
        <v/>
      </c>
      <c r="S82" s="2">
        <f>IF($O$82=0,"",IF(OR(LEN($BJ$82)&gt;0,LEN($BK$82)&gt;0,LEN($BL$82)&gt;0,LEN($BM$82)&gt;0),$BM$82&amp;"",INDEX('Inimigos'!$AD$11:$AD$54,$N$82)&amp;""))</f>
        <v/>
      </c>
      <c r="T82" s="2">
        <f>IF($O$82=0,"",INDEX('Inimigos'!$AE$11:$AE$54,$N$82)&amp;"")</f>
        <v/>
      </c>
      <c r="U82" s="2">
        <f>IF(ISNUMBER($N$82),INDEX('Inimigos'!$O$11:$O$54,$N$82)&amp;"","")</f>
        <v/>
      </c>
      <c r="V82" s="2">
        <f>IF(ISNUMBER($N$82),INDEX('Inimigos'!$BF$11:$BF$54,$N$82),"")</f>
        <v/>
      </c>
      <c r="W82" s="2">
        <f>IF($O$82=0,0,INDEX('Inimigos'!$AI$11:$AI$54,$N$82)*$O$82)</f>
        <v/>
      </c>
      <c r="X82" s="2">
        <f>IF($O$82=0,0,INDEX('Inimigos'!$AH$11:$AH$54,$N$82)*$O$82)</f>
        <v/>
      </c>
      <c r="Y82" s="2">
        <f>$Y$81+$O$82</f>
        <v/>
      </c>
      <c r="Z82" s="2">
        <f>IF(AND($O$82&gt;0,LEN($T$82)&gt;0),IF(COUNTIF('Grupo'!$T$7:$T$12,$T$82)&gt;=2,1,0),0)</f>
        <v/>
      </c>
      <c r="AA82" s="2">
        <f>IF(AND($O$82&gt;0,OR($AE$82="Pretor Vazio-Nove",$AE$82="O Dramaturgo de Mil Faces")),1,0)</f>
        <v/>
      </c>
      <c r="AB82" s="2">
        <f>IF(AND($O$82&gt;0,$AE$82="O Germe de Pavor"),1,0)</f>
        <v/>
      </c>
      <c r="AC82" s="2">
        <f>IF(AND($O$82&gt;0,$V$82&lt;&gt;$N$8),1,0)</f>
        <v/>
      </c>
      <c r="AD82" s="2">
        <f>IF($O$82&gt;0,$V$82,0)</f>
        <v/>
      </c>
      <c r="AE82" s="2">
        <f>IF(ISNUMBER($N$82),INDEX('Inimigos'!$N$11:$N$54,$N$82)&amp;"","")</f>
        <v/>
      </c>
      <c r="AF82" s="2">
        <f>IF(LEN($BJ$82)&gt;0,1,0)+IF(LEN($BK$82)&gt;0,1,0)+IF(LEN($BL$82)&gt;0,1,0)+IF(LEN($BM$82)&gt;0,1,0)</f>
        <v/>
      </c>
      <c r="AG82" s="2">
        <f>$O$82*IF($AE$82="Escória de Stellaron",1.5,1)</f>
        <v/>
      </c>
      <c r="BG82" s="2">
        <f>IF(ISERROR($A$82),"",IF(ISBLANK($A$82),"",$A$82))</f>
        <v/>
      </c>
      <c r="BI82" s="2">
        <f>IF(ISERROR($C$82),"",IF(ISBLANK($C$82),"",$C$82))</f>
        <v/>
      </c>
      <c r="BJ82" s="2">
        <f>IF(ISERROR($D$82),"",IF(ISBLANK($D$82),"",$D$82))</f>
        <v/>
      </c>
      <c r="BK82" s="2">
        <f>IF(ISERROR($E$82),"",IF(ISBLANK($E$82),"",$E$82))</f>
        <v/>
      </c>
      <c r="BL82" s="2">
        <f>IF(ISERROR($F$82),"",IF(ISBLANK($F$82),"",$F$82))</f>
        <v/>
      </c>
      <c r="BM82" s="2">
        <f>IF(ISERROR($G$82),"",IF(ISBLANK($G$82),"",$G$82))</f>
        <v/>
      </c>
      <c r="BN82" s="2">
        <f>ISERROR($A$82)*1+ISERROR($C$82)*1+ISERROR($D$82)*1+ISERROR($E$82)*1+ISERROR($F$82)*1+ISERROR($G$82)*1</f>
        <v/>
      </c>
    </row>
    <row r="83" ht="26" customHeight="1">
      <c r="A83" s="33" t="n"/>
      <c r="B83" s="17" t="n"/>
      <c r="C83" s="16" t="n"/>
      <c r="D83" s="34" t="n"/>
      <c r="E83" s="34" t="n"/>
      <c r="F83" s="34" t="n"/>
      <c r="G83" s="34" t="n"/>
      <c r="H83" s="18">
        <f>IF(ISNUMBER($N$83),INDEX('Inimigos'!$O$11:$O$54,$N$83)&amp;"","")</f>
        <v/>
      </c>
      <c r="I83" s="18">
        <f>IF(ISNUMBER($N$83),INDEX('Inimigos'!$Q$11:$Q$54,$N$83),"")</f>
        <v/>
      </c>
      <c r="J83" s="18">
        <f>IF(ISNUMBER($N$83),$W$83,"")</f>
        <v/>
      </c>
      <c r="K83" s="19">
        <f>IF(BN83&gt;0,"O Google leu como fórmula: escolha de novo ou digite com ' na frente.",IF(LEN($BG$83)=0,"",IF(NOT(ISNUMBER($N$83)),"Criatura fora da lista (Inimigos e Bestiário)",IF(AND(ISNUMBER($BI$83),OR($BI$83&lt;0,$BI$83&gt;10)),"Quantidade fora de 0 a 10: usando o limite",IF((IF(AND(LEN($BJ$83)&gt;0,$BJ$83=$BK$83),1,0)+IF(AND(LEN($BJ$83)&gt;0,$BJ$83=$BL$83),1,0)+IF(AND(LEN($BJ$83)&gt;0,$BJ$83=$BM$83),1,0)+IF(AND(LEN($BK$83)&gt;0,$BK$83=$BL$83),1,0)+IF(AND(LEN($BK$83)&gt;0,$BK$83=$BM$83),1,0)+IF(AND(LEN($BL$83)&gt;0,$BL$83=$BM$83),1,0))&gt;0,"Fraqueza repetida nesta cena",IF(AND($AF$83&gt;0,$AF$83&lt;&gt;(IF(LEN(INDEX('Inimigos'!$AA$11:$AA$54,$N$83)&amp;"")&gt;0,1,0)+IF(LEN(INDEX('Inimigos'!$AB$11:$AB$54,$N$83)&amp;"")&gt;0,1,0)+IF(LEN(INDEX('Inimigos'!$AC$11:$AC$54,$N$83)&amp;"")&gt;0,1,0)+IF(LEN(INDEX('Inimigos'!$AD$11:$AD$54,$N$83)&amp;"")&gt;0,1,0))),"O nº de Fraquezas é regra (28.2 regra 7): troque, não acrescente nem tire",IF(AND(LEN($T$83)&gt;0,COUNTIF($P$83:$S$83,$T$83)&gt;0),"Fraqueza igual à Resistência da ficha","")))))))</f>
        <v/>
      </c>
      <c r="N83" s="2">
        <f>IF(LEN($BG$83)=0,"",IFERROR(MATCH($BG$83,'Inimigos'!$N$11:$N$54,0),""))</f>
        <v/>
      </c>
      <c r="O83" s="2">
        <f>IF(ISNUMBER($N$83),IF(ISNUMBER($BI$83),MIN(10,MAX(0,INT($BI$83))),1),0)</f>
        <v/>
      </c>
      <c r="P83" s="2">
        <f>IF($O$83=0,"",IF(OR(LEN($BJ$83)&gt;0,LEN($BK$83)&gt;0,LEN($BL$83)&gt;0,LEN($BM$83)&gt;0),$BJ$83&amp;"",INDEX('Inimigos'!$AA$11:$AA$54,$N$83)&amp;""))</f>
        <v/>
      </c>
      <c r="Q83" s="2">
        <f>IF($O$83=0,"",IF(OR(LEN($BJ$83)&gt;0,LEN($BK$83)&gt;0,LEN($BL$83)&gt;0,LEN($BM$83)&gt;0),$BK$83&amp;"",INDEX('Inimigos'!$AB$11:$AB$54,$N$83)&amp;""))</f>
        <v/>
      </c>
      <c r="R83" s="2">
        <f>IF($O$83=0,"",IF(OR(LEN($BJ$83)&gt;0,LEN($BK$83)&gt;0,LEN($BL$83)&gt;0,LEN($BM$83)&gt;0),$BL$83&amp;"",INDEX('Inimigos'!$AC$11:$AC$54,$N$83)&amp;""))</f>
        <v/>
      </c>
      <c r="S83" s="2">
        <f>IF($O$83=0,"",IF(OR(LEN($BJ$83)&gt;0,LEN($BK$83)&gt;0,LEN($BL$83)&gt;0,LEN($BM$83)&gt;0),$BM$83&amp;"",INDEX('Inimigos'!$AD$11:$AD$54,$N$83)&amp;""))</f>
        <v/>
      </c>
      <c r="T83" s="2">
        <f>IF($O$83=0,"",INDEX('Inimigos'!$AE$11:$AE$54,$N$83)&amp;"")</f>
        <v/>
      </c>
      <c r="U83" s="2">
        <f>IF(ISNUMBER($N$83),INDEX('Inimigos'!$O$11:$O$54,$N$83)&amp;"","")</f>
        <v/>
      </c>
      <c r="V83" s="2">
        <f>IF(ISNUMBER($N$83),INDEX('Inimigos'!$BF$11:$BF$54,$N$83),"")</f>
        <v/>
      </c>
      <c r="W83" s="2">
        <f>IF($O$83=0,0,INDEX('Inimigos'!$AI$11:$AI$54,$N$83)*$O$83)</f>
        <v/>
      </c>
      <c r="X83" s="2">
        <f>IF($O$83=0,0,INDEX('Inimigos'!$AH$11:$AH$54,$N$83)*$O$83)</f>
        <v/>
      </c>
      <c r="Y83" s="2">
        <f>$Y$82+$O$83</f>
        <v/>
      </c>
      <c r="Z83" s="2">
        <f>IF(AND($O$83&gt;0,LEN($T$83)&gt;0),IF(COUNTIF('Grupo'!$T$7:$T$12,$T$83)&gt;=2,1,0),0)</f>
        <v/>
      </c>
      <c r="AA83" s="2">
        <f>IF(AND($O$83&gt;0,OR($AE$83="Pretor Vazio-Nove",$AE$83="O Dramaturgo de Mil Faces")),1,0)</f>
        <v/>
      </c>
      <c r="AB83" s="2">
        <f>IF(AND($O$83&gt;0,$AE$83="O Germe de Pavor"),1,0)</f>
        <v/>
      </c>
      <c r="AC83" s="2">
        <f>IF(AND($O$83&gt;0,$V$83&lt;&gt;$N$8),1,0)</f>
        <v/>
      </c>
      <c r="AD83" s="2">
        <f>IF($O$83&gt;0,$V$83,0)</f>
        <v/>
      </c>
      <c r="AE83" s="2">
        <f>IF(ISNUMBER($N$83),INDEX('Inimigos'!$N$11:$N$54,$N$83)&amp;"","")</f>
        <v/>
      </c>
      <c r="AF83" s="2">
        <f>IF(LEN($BJ$83)&gt;0,1,0)+IF(LEN($BK$83)&gt;0,1,0)+IF(LEN($BL$83)&gt;0,1,0)+IF(LEN($BM$83)&gt;0,1,0)</f>
        <v/>
      </c>
      <c r="AG83" s="2">
        <f>$O$83*IF($AE$83="Escória de Stellaron",1.5,1)</f>
        <v/>
      </c>
      <c r="BG83" s="2">
        <f>IF(ISERROR($A$83),"",IF(ISBLANK($A$83),"",$A$83))</f>
        <v/>
      </c>
      <c r="BI83" s="2">
        <f>IF(ISERROR($C$83),"",IF(ISBLANK($C$83),"",$C$83))</f>
        <v/>
      </c>
      <c r="BJ83" s="2">
        <f>IF(ISERROR($D$83),"",IF(ISBLANK($D$83),"",$D$83))</f>
        <v/>
      </c>
      <c r="BK83" s="2">
        <f>IF(ISERROR($E$83),"",IF(ISBLANK($E$83),"",$E$83))</f>
        <v/>
      </c>
      <c r="BL83" s="2">
        <f>IF(ISERROR($F$83),"",IF(ISBLANK($F$83),"",$F$83))</f>
        <v/>
      </c>
      <c r="BM83" s="2">
        <f>IF(ISERROR($G$83),"",IF(ISBLANK($G$83),"",$G$83))</f>
        <v/>
      </c>
      <c r="BN83" s="2">
        <f>ISERROR($A$83)*1+ISERROR($C$83)*1+ISERROR($D$83)*1+ISERROR($E$83)*1+ISERROR($F$83)*1+ISERROR($G$83)*1</f>
        <v/>
      </c>
    </row>
    <row r="84" ht="26" customHeight="1">
      <c r="A84" s="35" t="n"/>
      <c r="B84" s="17" t="n"/>
      <c r="C84" s="37" t="n"/>
      <c r="D84" s="36" t="n"/>
      <c r="E84" s="36" t="n"/>
      <c r="F84" s="36" t="n"/>
      <c r="G84" s="36" t="n"/>
      <c r="H84" s="23">
        <f>IF(ISNUMBER($N$84),INDEX('Inimigos'!$O$11:$O$54,$N$84)&amp;"","")</f>
        <v/>
      </c>
      <c r="I84" s="23">
        <f>IF(ISNUMBER($N$84),INDEX('Inimigos'!$Q$11:$Q$54,$N$84),"")</f>
        <v/>
      </c>
      <c r="J84" s="23">
        <f>IF(ISNUMBER($N$84),$W$84,"")</f>
        <v/>
      </c>
      <c r="K84" s="27">
        <f>IF(BN84&gt;0,"O Google leu como fórmula: escolha de novo ou digite com ' na frente.",IF(LEN($BG$84)=0,"",IF(NOT(ISNUMBER($N$84)),"Criatura fora da lista (Inimigos e Bestiário)",IF(AND(ISNUMBER($BI$84),OR($BI$84&lt;0,$BI$84&gt;10)),"Quantidade fora de 0 a 10: usando o limite",IF((IF(AND(LEN($BJ$84)&gt;0,$BJ$84=$BK$84),1,0)+IF(AND(LEN($BJ$84)&gt;0,$BJ$84=$BL$84),1,0)+IF(AND(LEN($BJ$84)&gt;0,$BJ$84=$BM$84),1,0)+IF(AND(LEN($BK$84)&gt;0,$BK$84=$BL$84),1,0)+IF(AND(LEN($BK$84)&gt;0,$BK$84=$BM$84),1,0)+IF(AND(LEN($BL$84)&gt;0,$BL$84=$BM$84),1,0))&gt;0,"Fraqueza repetida nesta cena",IF(AND($AF$84&gt;0,$AF$84&lt;&gt;(IF(LEN(INDEX('Inimigos'!$AA$11:$AA$54,$N$84)&amp;"")&gt;0,1,0)+IF(LEN(INDEX('Inimigos'!$AB$11:$AB$54,$N$84)&amp;"")&gt;0,1,0)+IF(LEN(INDEX('Inimigos'!$AC$11:$AC$54,$N$84)&amp;"")&gt;0,1,0)+IF(LEN(INDEX('Inimigos'!$AD$11:$AD$54,$N$84)&amp;"")&gt;0,1,0))),"O nº de Fraquezas é regra (28.2 regra 7): troque, não acrescente nem tire",IF(AND(LEN($T$84)&gt;0,COUNTIF($P$84:$S$84,$T$84)&gt;0),"Fraqueza igual à Resistência da ficha","")))))))</f>
        <v/>
      </c>
      <c r="N84" s="2">
        <f>IF(LEN($BG$84)=0,"",IFERROR(MATCH($BG$84,'Inimigos'!$N$11:$N$54,0),""))</f>
        <v/>
      </c>
      <c r="O84" s="2">
        <f>IF(ISNUMBER($N$84),IF(ISNUMBER($BI$84),MIN(10,MAX(0,INT($BI$84))),1),0)</f>
        <v/>
      </c>
      <c r="P84" s="2">
        <f>IF($O$84=0,"",IF(OR(LEN($BJ$84)&gt;0,LEN($BK$84)&gt;0,LEN($BL$84)&gt;0,LEN($BM$84)&gt;0),$BJ$84&amp;"",INDEX('Inimigos'!$AA$11:$AA$54,$N$84)&amp;""))</f>
        <v/>
      </c>
      <c r="Q84" s="2">
        <f>IF($O$84=0,"",IF(OR(LEN($BJ$84)&gt;0,LEN($BK$84)&gt;0,LEN($BL$84)&gt;0,LEN($BM$84)&gt;0),$BK$84&amp;"",INDEX('Inimigos'!$AB$11:$AB$54,$N$84)&amp;""))</f>
        <v/>
      </c>
      <c r="R84" s="2">
        <f>IF($O$84=0,"",IF(OR(LEN($BJ$84)&gt;0,LEN($BK$84)&gt;0,LEN($BL$84)&gt;0,LEN($BM$84)&gt;0),$BL$84&amp;"",INDEX('Inimigos'!$AC$11:$AC$54,$N$84)&amp;""))</f>
        <v/>
      </c>
      <c r="S84" s="2">
        <f>IF($O$84=0,"",IF(OR(LEN($BJ$84)&gt;0,LEN($BK$84)&gt;0,LEN($BL$84)&gt;0,LEN($BM$84)&gt;0),$BM$84&amp;"",INDEX('Inimigos'!$AD$11:$AD$54,$N$84)&amp;""))</f>
        <v/>
      </c>
      <c r="T84" s="2">
        <f>IF($O$84=0,"",INDEX('Inimigos'!$AE$11:$AE$54,$N$84)&amp;"")</f>
        <v/>
      </c>
      <c r="U84" s="2">
        <f>IF(ISNUMBER($N$84),INDEX('Inimigos'!$O$11:$O$54,$N$84)&amp;"","")</f>
        <v/>
      </c>
      <c r="V84" s="2">
        <f>IF(ISNUMBER($N$84),INDEX('Inimigos'!$BF$11:$BF$54,$N$84),"")</f>
        <v/>
      </c>
      <c r="W84" s="2">
        <f>IF($O$84=0,0,INDEX('Inimigos'!$AI$11:$AI$54,$N$84)*$O$84)</f>
        <v/>
      </c>
      <c r="X84" s="2">
        <f>IF($O$84=0,0,INDEX('Inimigos'!$AH$11:$AH$54,$N$84)*$O$84)</f>
        <v/>
      </c>
      <c r="Y84" s="2">
        <f>$Y$83+$O$84</f>
        <v/>
      </c>
      <c r="Z84" s="2">
        <f>IF(AND($O$84&gt;0,LEN($T$84)&gt;0),IF(COUNTIF('Grupo'!$T$7:$T$12,$T$84)&gt;=2,1,0),0)</f>
        <v/>
      </c>
      <c r="AA84" s="2">
        <f>IF(AND($O$84&gt;0,OR($AE$84="Pretor Vazio-Nove",$AE$84="O Dramaturgo de Mil Faces")),1,0)</f>
        <v/>
      </c>
      <c r="AB84" s="2">
        <f>IF(AND($O$84&gt;0,$AE$84="O Germe de Pavor"),1,0)</f>
        <v/>
      </c>
      <c r="AC84" s="2">
        <f>IF(AND($O$84&gt;0,$V$84&lt;&gt;$N$8),1,0)</f>
        <v/>
      </c>
      <c r="AD84" s="2">
        <f>IF($O$84&gt;0,$V$84,0)</f>
        <v/>
      </c>
      <c r="AE84" s="2">
        <f>IF(ISNUMBER($N$84),INDEX('Inimigos'!$N$11:$N$54,$N$84)&amp;"","")</f>
        <v/>
      </c>
      <c r="AF84" s="2">
        <f>IF(LEN($BJ$84)&gt;0,1,0)+IF(LEN($BK$84)&gt;0,1,0)+IF(LEN($BL$84)&gt;0,1,0)+IF(LEN($BM$84)&gt;0,1,0)</f>
        <v/>
      </c>
      <c r="AG84" s="2">
        <f>$O$84*IF($AE$84="Escória de Stellaron",1.5,1)</f>
        <v/>
      </c>
      <c r="BG84" s="2">
        <f>IF(ISERROR($A$84),"",IF(ISBLANK($A$84),"",$A$84))</f>
        <v/>
      </c>
      <c r="BI84" s="2">
        <f>IF(ISERROR($C$84),"",IF(ISBLANK($C$84),"",$C$84))</f>
        <v/>
      </c>
      <c r="BJ84" s="2">
        <f>IF(ISERROR($D$84),"",IF(ISBLANK($D$84),"",$D$84))</f>
        <v/>
      </c>
      <c r="BK84" s="2">
        <f>IF(ISERROR($E$84),"",IF(ISBLANK($E$84),"",$E$84))</f>
        <v/>
      </c>
      <c r="BL84" s="2">
        <f>IF(ISERROR($F$84),"",IF(ISBLANK($F$84),"",$F$84))</f>
        <v/>
      </c>
      <c r="BM84" s="2">
        <f>IF(ISERROR($G$84),"",IF(ISBLANK($G$84),"",$G$84))</f>
        <v/>
      </c>
      <c r="BN84" s="2">
        <f>ISERROR($A$84)*1+ISERROR($C$84)*1+ISERROR($D$84)*1+ISERROR($E$84)*1+ISERROR($F$84)*1+ISERROR($G$84)*1</f>
        <v/>
      </c>
    </row>
    <row r="85" ht="26" customHeight="1">
      <c r="A85" s="8" t="inlineStr">
        <is>
          <t>Criatura</t>
        </is>
      </c>
      <c r="B85" s="8" t="inlineStr">
        <is>
          <t>Faixa</t>
        </is>
      </c>
      <c r="C85" s="8" t="inlineStr">
        <is>
          <t>Fraquezas efetivas</t>
        </is>
      </c>
      <c r="D85" s="20" t="n"/>
      <c r="E85" s="20" t="n"/>
      <c r="F85" s="20" t="n"/>
      <c r="G85" s="8" t="inlineStr">
        <is>
          <t>Resistência</t>
        </is>
      </c>
      <c r="H85" s="8" t="inlineStr">
        <is>
          <t>Ações agressivas</t>
        </is>
      </c>
      <c r="I85" s="8" t="inlineStr">
        <is>
          <t>Execução</t>
        </is>
      </c>
      <c r="J85" s="20" t="n"/>
      <c r="K85" s="8" t="inlineStr">
        <is>
          <t>Aviso</t>
        </is>
      </c>
      <c r="L85" s="20" t="n"/>
    </row>
    <row r="86" ht="26" customHeight="1">
      <c r="A86" s="31">
        <f>IF(LEN($BG$77)&gt;0,$BG$77,"1 · (vazia)")</f>
        <v/>
      </c>
      <c r="B86" s="18">
        <f>IF(ISNUMBER($N$77),INDEX('Inimigos'!$P$11:$P$54,$N$77)&amp;"","")</f>
        <v/>
      </c>
      <c r="C86" s="5">
        <f>$P$77&amp;IF(LEN($Q$77)&gt;0,", "&amp;$Q$77,"")&amp;IF(LEN($R$77)&gt;0,", "&amp;$R$77,"")&amp;IF(LEN($S$77)&gt;0,", "&amp;$S$77,"")</f>
        <v/>
      </c>
      <c r="G86" s="18">
        <f>IF(ISNUMBER($N$77),IF(LEN($T$77)&gt;0,$T$77,"—"),"")</f>
        <v/>
      </c>
      <c r="H86" s="18">
        <f>IF(ISNUMBER($N$77),$X$77,"")</f>
        <v/>
      </c>
      <c r="I86" s="5">
        <f>IF(ISNUMBER($N$77),IF(INDEX('Inimigos'!$AF$11:$AF$54,$N$77)&amp;""="Pode","Pode Executar (ser racional)",IF(INDEX('Inimigos'!$AF$11:$AF$54,$N$77)&amp;""="Não","Não Executa","Execução não declarada")),"")</f>
        <v/>
      </c>
      <c r="K86" s="19">
        <f>IF($O$77=0,"",IF($AC$77=1,"Faixa diferente da do grupo (28.4 passo 1: a faixa do inimigo é a do grupo)",IF($Z$77=1,"Resistência no Elemento de dois personagens (27.5)","")))</f>
        <v/>
      </c>
    </row>
    <row r="87" ht="26" customHeight="1">
      <c r="A87" s="43">
        <f>IF(LEN($BG$78)&gt;0,$BG$78,"2 · (vazia)")</f>
        <v/>
      </c>
      <c r="B87" s="23">
        <f>IF(ISNUMBER($N$78),INDEX('Inimigos'!$P$11:$P$54,$N$78)&amp;"","")</f>
        <v/>
      </c>
      <c r="C87" s="10">
        <f>$P$78&amp;IF(LEN($Q$78)&gt;0,", "&amp;$Q$78,"")&amp;IF(LEN($R$78)&gt;0,", "&amp;$R$78,"")&amp;IF(LEN($S$78)&gt;0,", "&amp;$S$78,"")</f>
        <v/>
      </c>
      <c r="G87" s="23">
        <f>IF(ISNUMBER($N$78),IF(LEN($T$78)&gt;0,$T$78,"—"),"")</f>
        <v/>
      </c>
      <c r="H87" s="23">
        <f>IF(ISNUMBER($N$78),$X$78,"")</f>
        <v/>
      </c>
      <c r="I87" s="10">
        <f>IF(ISNUMBER($N$78),IF(INDEX('Inimigos'!$AF$11:$AF$54,$N$78)&amp;""="Pode","Pode Executar (ser racional)",IF(INDEX('Inimigos'!$AF$11:$AF$54,$N$78)&amp;""="Não","Não Executa","Execução não declarada")),"")</f>
        <v/>
      </c>
      <c r="K87" s="27">
        <f>IF($O$78=0,"",IF($AC$78=1,"Faixa diferente da do grupo (28.4 passo 1: a faixa do inimigo é a do grupo)",IF($Z$78=1,"Resistência no Elemento de dois personagens (27.5)","")))</f>
        <v/>
      </c>
    </row>
    <row r="88" ht="26" customHeight="1">
      <c r="A88" s="31">
        <f>IF(LEN($BG$79)&gt;0,$BG$79,"3 · (vazia)")</f>
        <v/>
      </c>
      <c r="B88" s="18">
        <f>IF(ISNUMBER($N$79),INDEX('Inimigos'!$P$11:$P$54,$N$79)&amp;"","")</f>
        <v/>
      </c>
      <c r="C88" s="5">
        <f>$P$79&amp;IF(LEN($Q$79)&gt;0,", "&amp;$Q$79,"")&amp;IF(LEN($R$79)&gt;0,", "&amp;$R$79,"")&amp;IF(LEN($S$79)&gt;0,", "&amp;$S$79,"")</f>
        <v/>
      </c>
      <c r="G88" s="18">
        <f>IF(ISNUMBER($N$79),IF(LEN($T$79)&gt;0,$T$79,"—"),"")</f>
        <v/>
      </c>
      <c r="H88" s="18">
        <f>IF(ISNUMBER($N$79),$X$79,"")</f>
        <v/>
      </c>
      <c r="I88" s="5">
        <f>IF(ISNUMBER($N$79),IF(INDEX('Inimigos'!$AF$11:$AF$54,$N$79)&amp;""="Pode","Pode Executar (ser racional)",IF(INDEX('Inimigos'!$AF$11:$AF$54,$N$79)&amp;""="Não","Não Executa","Execução não declarada")),"")</f>
        <v/>
      </c>
      <c r="K88" s="19">
        <f>IF($O$79=0,"",IF($AC$79=1,"Faixa diferente da do grupo (28.4 passo 1: a faixa do inimigo é a do grupo)",IF($Z$79=1,"Resistência no Elemento de dois personagens (27.5)","")))</f>
        <v/>
      </c>
    </row>
    <row r="89" ht="26" customHeight="1">
      <c r="A89" s="43">
        <f>IF(LEN($BG$80)&gt;0,$BG$80,"4 · (vazia)")</f>
        <v/>
      </c>
      <c r="B89" s="23">
        <f>IF(ISNUMBER($N$80),INDEX('Inimigos'!$P$11:$P$54,$N$80)&amp;"","")</f>
        <v/>
      </c>
      <c r="C89" s="10">
        <f>$P$80&amp;IF(LEN($Q$80)&gt;0,", "&amp;$Q$80,"")&amp;IF(LEN($R$80)&gt;0,", "&amp;$R$80,"")&amp;IF(LEN($S$80)&gt;0,", "&amp;$S$80,"")</f>
        <v/>
      </c>
      <c r="G89" s="23">
        <f>IF(ISNUMBER($N$80),IF(LEN($T$80)&gt;0,$T$80,"—"),"")</f>
        <v/>
      </c>
      <c r="H89" s="23">
        <f>IF(ISNUMBER($N$80),$X$80,"")</f>
        <v/>
      </c>
      <c r="I89" s="10">
        <f>IF(ISNUMBER($N$80),IF(INDEX('Inimigos'!$AF$11:$AF$54,$N$80)&amp;""="Pode","Pode Executar (ser racional)",IF(INDEX('Inimigos'!$AF$11:$AF$54,$N$80)&amp;""="Não","Não Executa","Execução não declarada")),"")</f>
        <v/>
      </c>
      <c r="K89" s="27">
        <f>IF($O$80=0,"",IF($AC$80=1,"Faixa diferente da do grupo (28.4 passo 1: a faixa do inimigo é a do grupo)",IF($Z$80=1,"Resistência no Elemento de dois personagens (27.5)","")))</f>
        <v/>
      </c>
    </row>
    <row r="90" ht="26" customHeight="1">
      <c r="A90" s="31">
        <f>IF(LEN($BG$81)&gt;0,$BG$81,"5 · (vazia)")</f>
        <v/>
      </c>
      <c r="B90" s="18">
        <f>IF(ISNUMBER($N$81),INDEX('Inimigos'!$P$11:$P$54,$N$81)&amp;"","")</f>
        <v/>
      </c>
      <c r="C90" s="5">
        <f>$P$81&amp;IF(LEN($Q$81)&gt;0,", "&amp;$Q$81,"")&amp;IF(LEN($R$81)&gt;0,", "&amp;$R$81,"")&amp;IF(LEN($S$81)&gt;0,", "&amp;$S$81,"")</f>
        <v/>
      </c>
      <c r="G90" s="18">
        <f>IF(ISNUMBER($N$81),IF(LEN($T$81)&gt;0,$T$81,"—"),"")</f>
        <v/>
      </c>
      <c r="H90" s="18">
        <f>IF(ISNUMBER($N$81),$X$81,"")</f>
        <v/>
      </c>
      <c r="I90" s="5">
        <f>IF(ISNUMBER($N$81),IF(INDEX('Inimigos'!$AF$11:$AF$54,$N$81)&amp;""="Pode","Pode Executar (ser racional)",IF(INDEX('Inimigos'!$AF$11:$AF$54,$N$81)&amp;""="Não","Não Executa","Execução não declarada")),"")</f>
        <v/>
      </c>
      <c r="K90" s="19">
        <f>IF($O$81=0,"",IF($AC$81=1,"Faixa diferente da do grupo (28.4 passo 1: a faixa do inimigo é a do grupo)",IF($Z$81=1,"Resistência no Elemento de dois personagens (27.5)","")))</f>
        <v/>
      </c>
    </row>
    <row r="91" ht="26" customHeight="1">
      <c r="A91" s="43">
        <f>IF(LEN($BG$82)&gt;0,$BG$82,"6 · (vazia)")</f>
        <v/>
      </c>
      <c r="B91" s="23">
        <f>IF(ISNUMBER($N$82),INDEX('Inimigos'!$P$11:$P$54,$N$82)&amp;"","")</f>
        <v/>
      </c>
      <c r="C91" s="10">
        <f>$P$82&amp;IF(LEN($Q$82)&gt;0,", "&amp;$Q$82,"")&amp;IF(LEN($R$82)&gt;0,", "&amp;$R$82,"")&amp;IF(LEN($S$82)&gt;0,", "&amp;$S$82,"")</f>
        <v/>
      </c>
      <c r="G91" s="23">
        <f>IF(ISNUMBER($N$82),IF(LEN($T$82)&gt;0,$T$82,"—"),"")</f>
        <v/>
      </c>
      <c r="H91" s="23">
        <f>IF(ISNUMBER($N$82),$X$82,"")</f>
        <v/>
      </c>
      <c r="I91" s="10">
        <f>IF(ISNUMBER($N$82),IF(INDEX('Inimigos'!$AF$11:$AF$54,$N$82)&amp;""="Pode","Pode Executar (ser racional)",IF(INDEX('Inimigos'!$AF$11:$AF$54,$N$82)&amp;""="Não","Não Executa","Execução não declarada")),"")</f>
        <v/>
      </c>
      <c r="K91" s="27">
        <f>IF($O$82=0,"",IF($AC$82=1,"Faixa diferente da do grupo (28.4 passo 1: a faixa do inimigo é a do grupo)",IF($Z$82=1,"Resistência no Elemento de dois personagens (27.5)","")))</f>
        <v/>
      </c>
    </row>
    <row r="92" ht="26" customHeight="1">
      <c r="A92" s="31">
        <f>IF(LEN($BG$83)&gt;0,$BG$83,"7 · (vazia)")</f>
        <v/>
      </c>
      <c r="B92" s="18">
        <f>IF(ISNUMBER($N$83),INDEX('Inimigos'!$P$11:$P$54,$N$83)&amp;"","")</f>
        <v/>
      </c>
      <c r="C92" s="5">
        <f>$P$83&amp;IF(LEN($Q$83)&gt;0,", "&amp;$Q$83,"")&amp;IF(LEN($R$83)&gt;0,", "&amp;$R$83,"")&amp;IF(LEN($S$83)&gt;0,", "&amp;$S$83,"")</f>
        <v/>
      </c>
      <c r="G92" s="18">
        <f>IF(ISNUMBER($N$83),IF(LEN($T$83)&gt;0,$T$83,"—"),"")</f>
        <v/>
      </c>
      <c r="H92" s="18">
        <f>IF(ISNUMBER($N$83),$X$83,"")</f>
        <v/>
      </c>
      <c r="I92" s="5">
        <f>IF(ISNUMBER($N$83),IF(INDEX('Inimigos'!$AF$11:$AF$54,$N$83)&amp;""="Pode","Pode Executar (ser racional)",IF(INDEX('Inimigos'!$AF$11:$AF$54,$N$83)&amp;""="Não","Não Executa","Execução não declarada")),"")</f>
        <v/>
      </c>
      <c r="K92" s="19">
        <f>IF($O$83=0,"",IF($AC$83=1,"Faixa diferente da do grupo (28.4 passo 1: a faixa do inimigo é a do grupo)",IF($Z$83=1,"Resistência no Elemento de dois personagens (27.5)","")))</f>
        <v/>
      </c>
    </row>
    <row r="93" ht="26" customHeight="1">
      <c r="A93" s="43">
        <f>IF(LEN($BG$84)&gt;0,$BG$84,"8 · (vazia)")</f>
        <v/>
      </c>
      <c r="B93" s="23">
        <f>IF(ISNUMBER($N$84),INDEX('Inimigos'!$P$11:$P$54,$N$84)&amp;"","")</f>
        <v/>
      </c>
      <c r="C93" s="10">
        <f>$P$84&amp;IF(LEN($Q$84)&gt;0,", "&amp;$Q$84,"")&amp;IF(LEN($R$84)&gt;0,", "&amp;$R$84,"")&amp;IF(LEN($S$84)&gt;0,", "&amp;$S$84,"")</f>
        <v/>
      </c>
      <c r="G93" s="23">
        <f>IF(ISNUMBER($N$84),IF(LEN($T$84)&gt;0,$T$84,"—"),"")</f>
        <v/>
      </c>
      <c r="H93" s="23">
        <f>IF(ISNUMBER($N$84),$X$84,"")</f>
        <v/>
      </c>
      <c r="I93" s="10">
        <f>IF(ISNUMBER($N$84),IF(INDEX('Inimigos'!$AF$11:$AF$54,$N$84)&amp;""="Pode","Pode Executar (ser racional)",IF(INDEX('Inimigos'!$AF$11:$AF$54,$N$84)&amp;""="Não","Não Executa","Execução não declarada")),"")</f>
        <v/>
      </c>
      <c r="K93" s="27">
        <f>IF($O$84=0,"",IF($AC$84=1,"Faixa diferente da do grupo (28.4 passo 1: a faixa do inimigo é a do grupo)",IF($Z$84=1,"Resistência no Elemento de dois personagens (27.5)","")))</f>
        <v/>
      </c>
    </row>
    <row r="94" ht="26" customHeight="1">
      <c r="A94" s="9" t="inlineStr">
        <is>
          <t>Custo total</t>
        </is>
      </c>
      <c r="B94" s="18">
        <f>SUM($W$77:$W$84)</f>
        <v/>
      </c>
      <c r="C94" s="15" t="inlineStr">
        <is>
          <t>% do orçamento</t>
        </is>
      </c>
      <c r="D94" s="18">
        <f>IF($B$11&gt;0,INT((200*$B$94+$B$11)/(2*$B$11)),"")</f>
        <v/>
      </c>
      <c r="E94" s="15" t="inlineStr">
        <is>
          <t>Ciclos estimados</t>
        </is>
      </c>
      <c r="F94" s="18">
        <f>IF(OR($B$94=0,$B$12=0),"",INT((20*$B$94+20*IF($I$97&lt;3,1,0)*$B$12+$B$12)/(2*$B$12))/10)</f>
        <v/>
      </c>
      <c r="G94" s="5">
        <f>IF($B$94=0,"",IF(($B$94/$B$11)&lt;=0.6,"Cena de passagem — cerca de 2 Ciclos (27.4)",IF(($B$94/$B$11)&lt;=1.15,"Encontro típico — 3 a 5 Ciclos (27.4)",IF(($B$94/$B$11)&lt;=1.6,"Pesado","Dois orçamentos num só encontro: passa de 6 Ciclos (27.4)"))))</f>
        <v/>
      </c>
      <c r="K94" s="5">
        <f>IF($B$94=0,"","Ciclos e leitura: Sugestão da planilha — não é regra do livro (H6, H7)")</f>
        <v/>
      </c>
    </row>
    <row r="95">
      <c r="A95" s="21" t="inlineStr">
        <is>
          <t>Composição</t>
        </is>
      </c>
      <c r="B95" s="10">
        <f>IF($B$94=0,"",IF(IF(AND(SUMIF($U$77:$U$84,"Boss",$O$77:$O$84)=1,SUMIF($U$77:$U$84,"Elite",$O$77:$O$84)=0,SUMIF($U$77:$U$84,"Comum",$AG$77:$AG$84)=1),"1 Boss + 1 Comum — uma ameaça com nome, um estorvo. O combate é um duelo com interrupção (3 a 5 Ciclos, 27.4)",IF(AND(SUMIF($U$77:$U$84,"Boss",$O$77:$O$84)=0,SUMIF($U$77:$U$84,"Elite",$O$77:$O$84)=1,SUMIF($U$77:$U$84,"Comum",$AG$77:$AG$84)=4),"1 Elite + 4 Comuns — um comandante e a tropa dele. O grupo escolhe entre limpar os lados ou ir no chefe (3 a 4 Ciclos, 27.4)",IF(AND(SUMIF($U$77:$U$84,"Boss",$O$77:$O$84)=0,SUMIF($U$77:$U$84,"Elite",$O$77:$O$84)=3,SUMIF($U$77:$U$84,"Comum",$AG$77:$AG$84)=0),"3 Elites — três problemas simultâneos. É a mais pesada das quatro em dano recebido (3 a 4 Ciclos, 27.4)",IF(AND(SUMIF($U$77:$U$84,"Boss",$O$77:$O$84)=0,SUMIF($U$77:$U$84,"Elite",$O$77:$O$84)=0,SUMIF($U$77:$U$84,"Comum",$AG$77:$AG$84)=7),"7 Comuns — pelotão. Morre rápido e ainda assim morde (2 a 3 Ciclos, 27.4)",""))))="",SUMIF($U$77:$U$84,"Boss",$O$77:$O$84)&amp;" Boss, "&amp;SUMIF($U$77:$U$84,"Elite",$O$77:$O$84)&amp;" Elite, "&amp;SUMIF($U$77:$U$84,"Comum",$AG$77:$AG$84)&amp;" Comum: não é uma das quatro composições de 27.4",IF(AND(SUMIF($U$77:$U$84,"Boss",$O$77:$O$84)=1,SUMIF($U$77:$U$84,"Elite",$O$77:$O$84)=0,SUMIF($U$77:$U$84,"Comum",$AG$77:$AG$84)=1),"1 Boss + 1 Comum — uma ameaça com nome, um estorvo. O combate é um duelo com interrupção (3 a 5 Ciclos, 27.4)",IF(AND(SUMIF($U$77:$U$84,"Boss",$O$77:$O$84)=0,SUMIF($U$77:$U$84,"Elite",$O$77:$O$84)=1,SUMIF($U$77:$U$84,"Comum",$AG$77:$AG$84)=4),"1 Elite + 4 Comuns — um comandante e a tropa dele. O grupo escolhe entre limpar os lados ou ir no chefe (3 a 4 Ciclos, 27.4)",IF(AND(SUMIF($U$77:$U$84,"Boss",$O$77:$O$84)=0,SUMIF($U$77:$U$84,"Elite",$O$77:$O$84)=3,SUMIF($U$77:$U$84,"Comum",$AG$77:$AG$84)=0),"3 Elites — três problemas simultâneos. É a mais pesada das quatro em dano recebido (3 a 4 Ciclos, 27.4)",IF(AND(SUMIF($U$77:$U$84,"Boss",$O$77:$O$84)=0,SUMIF($U$77:$U$84,"Elite",$O$77:$O$84)=0,SUMIF($U$77:$U$84,"Comum",$AG$77:$AG$84)=7),"7 Comuns — pelotão. Morre rápido e ainda assim morde (2 a 3 Ciclos, 27.4)",""))))))</f>
        <v/>
      </c>
    </row>
    <row r="96">
      <c r="A96" s="8" t="inlineStr">
        <is>
          <t>Contrato (27.5)</t>
        </is>
      </c>
      <c r="B96" s="8" t="inlineStr">
        <is>
          <t>Físico</t>
        </is>
      </c>
      <c r="C96" s="8" t="inlineStr">
        <is>
          <t>Fogo</t>
        </is>
      </c>
      <c r="D96" s="8" t="inlineStr">
        <is>
          <t>Gelo</t>
        </is>
      </c>
      <c r="E96" s="8" t="inlineStr">
        <is>
          <t>Raio</t>
        </is>
      </c>
      <c r="F96" s="8" t="inlineStr">
        <is>
          <t>Vento</t>
        </is>
      </c>
      <c r="G96" s="8" t="inlineStr">
        <is>
          <t>Quântico</t>
        </is>
      </c>
      <c r="H96" s="8" t="inlineStr">
        <is>
          <t>Imaginário</t>
        </is>
      </c>
      <c r="I96" s="8" t="inlineStr">
        <is>
          <t>Cobertos</t>
        </is>
      </c>
      <c r="J96" s="8" t="inlineStr">
        <is>
          <t>Contrato</t>
        </is>
      </c>
      <c r="K96" s="8" t="inlineStr">
        <is>
          <t>Aviso</t>
        </is>
      </c>
      <c r="L96" s="20" t="n"/>
    </row>
    <row r="97" ht="37" customHeight="1">
      <c r="A97" s="9" t="inlineStr">
        <is>
          <t>Fraqueza na cena?</t>
        </is>
      </c>
      <c r="B97" s="18">
        <f>IF('Grupo'!$B$81="Sim",IF(COUNTIF($P$77:$S$84,"Físico")&gt;0,"Sim","Não"),"—")</f>
        <v/>
      </c>
      <c r="C97" s="18">
        <f>IF('Grupo'!$C$81="Sim",IF(COUNTIF($P$77:$S$84,"Fogo")&gt;0,"Sim","Não"),"—")</f>
        <v/>
      </c>
      <c r="D97" s="18">
        <f>IF('Grupo'!$D$81="Sim",IF(COUNTIF($P$77:$S$84,"Gelo")&gt;0,"Sim","Não"),"—")</f>
        <v/>
      </c>
      <c r="E97" s="18">
        <f>IF('Grupo'!$E$81="Sim",IF(COUNTIF($P$77:$S$84,"Raio")&gt;0,"Sim","Não"),"—")</f>
        <v/>
      </c>
      <c r="F97" s="18">
        <f>IF('Grupo'!$F$81="Sim",IF(COUNTIF($P$77:$S$84,"Vento")&gt;0,"Sim","Não"),"—")</f>
        <v/>
      </c>
      <c r="G97" s="18">
        <f>IF('Grupo'!$G$81="Sim",IF(COUNTIF($P$77:$S$84,"Quântico")&gt;0,"Sim","Não"),"—")</f>
        <v/>
      </c>
      <c r="H97" s="18">
        <f>IF('Grupo'!$H$81="Sim",IF(COUNTIF($P$77:$S$84,"Imaginário")&gt;0,"Sim","Não"),"—")</f>
        <v/>
      </c>
      <c r="I97" s="18">
        <f>COUNTIF(B97:H97,"Sim")</f>
        <v/>
      </c>
      <c r="J97" s="18">
        <f>IF($B$94=0,"",IF($I$97&gt;=3,"Cumprido","Não cumprido"))</f>
        <v/>
      </c>
      <c r="K97" s="19">
        <f>IF(OR($B$94=0,$I$97&gt;=3),"","Contrato não cumprido: encontro deliberadamente mais duro, cerca de 1 Ciclo a mais (27.5)")</f>
        <v/>
      </c>
    </row>
    <row r="98">
      <c r="A98" s="21" t="inlineStr">
        <is>
          <t>Se não cumprir</t>
        </is>
      </c>
      <c r="B98" s="10">
        <f>IF(OR($B$94=0,$I$97&gt;=3),"","Três saídas (27.5): distribua as Fraquezas entre vários inimigos; deixe o grupo criar a Fraqueza (Implante de Fraqueza, 08); aceite o Ciclo extra e avise a mesa.")</f>
        <v/>
      </c>
    </row>
    <row r="99">
      <c r="A99" s="9" t="inlineStr">
        <is>
          <t>Regra irmã e DT</t>
        </is>
      </c>
      <c r="B99" s="5">
        <f>IF($B$94=0,"",IF(SUM($Z$77:$Z$84)&gt;0,"Há Resistência no Elemento de dois personagens: troque-a (27.5)","Nenhuma Resistência aponta para o Elemento de dois personagens (27.5)"))</f>
        <v/>
      </c>
      <c r="G99" s="5">
        <f>IF($B$94=0,"","DT para descobrir Fraqueza: "&amp;INDEX('Dados'!$B$293:$B$297,MAX(1,MAX($AD$77:$AD$84)))&amp;" (20.2, faixa do mais forte)"&amp;IF(COUNTIF('Grupo'!$R$7:$R$12,"Intellitron")&gt;0,"; Intellitron: Vantagem e 2 por sucesso",""))</f>
        <v/>
      </c>
    </row>
    <row r="100">
      <c r="A100" s="21" t="inlineStr">
        <is>
          <t>Avisos de ficha</t>
        </is>
      </c>
      <c r="B100" s="27">
        <f>IF(AND(SUM($AA$77:$AA$84)&gt;0,SUM($O$77:$O$84)&gt;1),"Pretor Vazio-Nove e Dramaturgo: monte sozinho, os reforços são o que ele tem em vez de acompanhantes (28.7, 28.8)",IF(AND(SUM($AB$77:$AB$84)&gt;0,SUMIF($U$77:$U$84,"Comum",$AG$77:$AG$84)&gt;0),"O Germe de Pavor vem sozinho: o Parto falso traz os Comuns (28.11)",""))</f>
        <v/>
      </c>
    </row>
    <row r="101"/>
    <row r="102"/>
    <row r="103" ht="20" customHeight="1">
      <c r="A103" s="13" t="inlineStr">
        <is>
          <t>Encontro aleatório (G = 100): por ambiente e faixa, com a troca de Fraqueza sugerida</t>
        </is>
      </c>
    </row>
    <row r="104">
      <c r="A104" s="8" t="inlineStr">
        <is>
          <t>Rolagem nº</t>
        </is>
      </c>
      <c r="B104" s="8" t="inlineStr">
        <is>
          <t>Ambiente</t>
        </is>
      </c>
      <c r="C104" s="20" t="n"/>
      <c r="D104" s="20" t="n"/>
      <c r="E104" s="8" t="inlineStr">
        <is>
          <t>Faixa</t>
        </is>
      </c>
      <c r="F104" s="8" t="inlineStr">
        <is>
          <t>Composição</t>
        </is>
      </c>
      <c r="G104" s="20" t="n"/>
      <c r="H104" s="8" t="inlineStr">
        <is>
          <t>Rolagem efetiva</t>
        </is>
      </c>
      <c r="I104" s="20" t="n"/>
      <c r="K104" s="8" t="inlineStr">
        <is>
          <t>Aviso</t>
        </is>
      </c>
      <c r="L104" s="20" t="n"/>
    </row>
    <row r="105" ht="26" customHeight="1">
      <c r="A105" s="38" t="n"/>
      <c r="B105" s="4" t="n"/>
      <c r="C105" s="25" t="n"/>
      <c r="D105" s="17" t="n"/>
      <c r="E105" s="34" t="n"/>
      <c r="F105" s="4" t="n"/>
      <c r="G105" s="17" t="n"/>
      <c r="H105" s="18">
        <f>IF(ISNUMBER($BG$105),IF(AND($BG$105&gt;=1,$BG$105&lt;=1000000,INT($BG$105)=$BG$105),$BG$105,1),1)</f>
        <v/>
      </c>
      <c r="K105" s="19">
        <f>IF(BN105&gt;0,"O Google leu como fórmula: escolha de novo ou digite com ' na frente.",IF(LEN($BG$105)=0,"",IF(ISNUMBER($BG$105),IF(AND($BG$105&gt;=1,$BG$105&lt;=1000000,INT($BG$105)=$BG$105),"","Rolagem nº fora de 1 a 1.000.000: usando 1"),"Rolagem nº fora de 1 a 1.000.000: usando 1")))</f>
        <v/>
      </c>
      <c r="N105" s="2">
        <f>IF(LEN(IFERROR(INDEX('Dados'!$B$7:$B$11,MATCH($BK$105,'Dados'!$AP$6:$AP$10,0)),""))&gt;0,IFERROR(INDEX('Dados'!$B$7:$B$11,MATCH($BK$105,'Dados'!$AP$6:$AP$10,0)),""),'Campanha'!$B$19)</f>
        <v/>
      </c>
      <c r="O105" s="2">
        <f>IF(AND(COUNTIF('Dados'!$BD$6:$BD$10,$BL$105)&gt;0,$BL$105&lt;&gt;"Sortear"),MATCH($BL$105,'Dados'!$BD$6:$BD$10,0)-1,IF(4&lt;=0,0,INT($AJ$108*4/2147483647)+1))</f>
        <v/>
      </c>
      <c r="BG105" s="2">
        <f>IF(ISERROR($A$105),"",IF(ISBLANK($A$105),"",$A$105))</f>
        <v/>
      </c>
      <c r="BH105" s="2">
        <f>IF(ISERROR($B$105),"",IF(ISBLANK($B$105),"",$B$105))</f>
        <v/>
      </c>
      <c r="BK105" s="2">
        <f>IF(ISERROR($E$105),"",IF(ISBLANK($E$105),"",$E$105))</f>
        <v/>
      </c>
      <c r="BL105" s="2">
        <f>IF(ISERROR($F$105),"",IF(ISBLANK($F$105),"",$F$105))</f>
        <v/>
      </c>
      <c r="BN105" s="2">
        <f>ISERROR($A$105)*1+ISERROR($B$105)*1+ISERROR($E$105)*1+ISERROR($F$105)*1</f>
        <v/>
      </c>
    </row>
    <row r="106"/>
    <row r="107" ht="26" customHeight="1">
      <c r="A107" s="8" t="inlineStr">
        <is>
          <t>Criatura</t>
        </is>
      </c>
      <c r="B107" s="20" t="n"/>
      <c r="C107" s="8" t="inlineStr">
        <is>
          <t>Quantidade</t>
        </is>
      </c>
      <c r="D107" s="8" t="inlineStr">
        <is>
          <t>Fraqueza nesta cena 1</t>
        </is>
      </c>
      <c r="E107" s="8" t="inlineStr">
        <is>
          <t>Fraqueza nesta cena 2</t>
        </is>
      </c>
      <c r="F107" s="8" t="inlineStr">
        <is>
          <t>Fraqueza nesta cena 3</t>
        </is>
      </c>
      <c r="G107" s="8" t="inlineStr">
        <is>
          <t>Fraqueza nesta cena 4</t>
        </is>
      </c>
      <c r="H107" s="8" t="inlineStr">
        <is>
          <t>Tipo</t>
        </is>
      </c>
      <c r="I107" s="8" t="inlineStr">
        <is>
          <t>PV</t>
        </is>
      </c>
      <c r="J107" s="8" t="inlineStr">
        <is>
          <t>Custo</t>
        </is>
      </c>
      <c r="K107" s="8" t="inlineStr">
        <is>
          <t>Aviso</t>
        </is>
      </c>
      <c r="L107" s="20" t="n"/>
    </row>
    <row r="108" ht="26" customHeight="1">
      <c r="A108" s="31">
        <f>$S$108</f>
        <v/>
      </c>
      <c r="C108" s="18">
        <f>IF(ISNUMBER($R$108),1,"")</f>
        <v/>
      </c>
      <c r="D108" s="18">
        <f>$AX$11</f>
        <v/>
      </c>
      <c r="E108" s="18">
        <f>$AX$12</f>
        <v/>
      </c>
      <c r="F108" s="18">
        <f>$AX$13</f>
        <v/>
      </c>
      <c r="G108" s="18">
        <f>$AX$14</f>
        <v/>
      </c>
      <c r="H108" s="18">
        <f>IF(ISNUMBER($R$108),INDEX('Dados'!$C$92:$C$123,$R$108),"")</f>
        <v/>
      </c>
      <c r="I108" s="18">
        <f>IF(ISNUMBER($R$108),INDEX('Dados'!$G$92:$G$123,$R$108),"")</f>
        <v/>
      </c>
      <c r="J108" s="18">
        <f>IF(ISNUMBER($R$108),INDEX('Dados'!$AA$92:$AA$123,$R$108),"")</f>
        <v/>
      </c>
      <c r="K108" s="19">
        <f>IF(AND(ISNUMBER($R$108),$O$108=0),"Sem criatura deste tipo no ambiente: qualquer ambiente da faixa","")</f>
        <v/>
      </c>
      <c r="N108" s="2">
        <f>IF($O$105=1,IF(1=1,"Boss",IF(1=2,"Comum","")),IF($O$105=2,IF(1=1,"Elite",IF(1&lt;=5,"Comum","")),IF($O$105=3,IF(1&lt;=3,"Elite",""),"Comum")))</f>
        <v/>
      </c>
      <c r="O108" s="2">
        <f>IF($N$108="","",IF($N$108="Comum",INDEX($AL$11:$AL$42,32),IF($N$108="Elite",INDEX($AM$11:$AM$42,32),INDEX($AN$11:$AN$42,32))))</f>
        <v/>
      </c>
      <c r="P108" s="2">
        <f>IF($N$108="","",IF($O$108&gt;0,$O$108,IF($N$108="Comum",INDEX($AO$11:$AO$42,32),IF($N$108="Elite",INDEX($AP$11:$AP$42,32),INDEX($AQ$11:$AQ$42,32)))))</f>
        <v/>
      </c>
      <c r="Q108" s="2">
        <f>IF($N$108="","",IF($P$108&lt;=0,0,INT($AJ$109*$P$108/2147483647)+1))</f>
        <v/>
      </c>
      <c r="R108" s="2">
        <f>IF($N$108="","",IFERROR(IF($N$108="Comum",IF($O$108&gt;0,MATCH($Q$108,$AL$11:$AL$42,0),MATCH($Q$108,$AO$11:$AO$42,0)),IF($N$108="Elite",IF($O$108&gt;0,MATCH($Q$108,$AM$11:$AM$42,0),MATCH($Q$108,$AP$11:$AP$42,0)),IF($O$108&gt;0,MATCH($Q$108,$AN$11:$AN$42,0),MATCH($Q$108,$AQ$11:$AQ$42,0)))),""))</f>
        <v/>
      </c>
      <c r="S108" s="2">
        <f>IF(ISNUMBER($R$108),INDEX('Dados'!$B$92:$B$123,$R$108),"")</f>
        <v/>
      </c>
      <c r="U108" s="2">
        <f>D108</f>
        <v/>
      </c>
      <c r="V108" s="2">
        <f>E108</f>
        <v/>
      </c>
      <c r="W108" s="2">
        <f>F108</f>
        <v/>
      </c>
      <c r="X108" s="2">
        <f>G108</f>
        <v/>
      </c>
      <c r="Y108" s="2">
        <f>IF(LEN($S$108)&gt;0,1,0)</f>
        <v/>
      </c>
      <c r="AH108" s="2">
        <f>MOD(MOD(MOD((MOD('Início'!$E$16+104729*$H$105+2091609,2147483646)+1)*16807,2147483647)*16807,2147483647)*16807,2147483647)</f>
        <v/>
      </c>
      <c r="AI108" s="2">
        <f>MOD(MOD(MOD((MOD(MOD(INT($AH$108/65536)*$AH$108,2147483647)*65536+MOD($AH$108,65536)*$AH$108,2147483647))*16807,2147483647)*16807,2147483647)*16807,2147483647)</f>
        <v/>
      </c>
      <c r="AJ108" s="2">
        <f>MOD(MOD(MOD((MOD($AI$108+INT($AI$108/65536)*MOD($AI$108,65536),2147483646)+1)*16807,2147483647)*16807,2147483647)*16807,2147483647)</f>
        <v/>
      </c>
    </row>
    <row r="109" ht="26" customHeight="1">
      <c r="A109" s="43">
        <f>$S$109</f>
        <v/>
      </c>
      <c r="C109" s="23">
        <f>IF(ISNUMBER($R$109),1,"")</f>
        <v/>
      </c>
      <c r="D109" s="23">
        <f>$AX$15</f>
        <v/>
      </c>
      <c r="E109" s="23">
        <f>$AX$16</f>
        <v/>
      </c>
      <c r="F109" s="23">
        <f>$AX$17</f>
        <v/>
      </c>
      <c r="G109" s="23">
        <f>$AX$18</f>
        <v/>
      </c>
      <c r="H109" s="23">
        <f>IF(ISNUMBER($R$109),INDEX('Dados'!$C$92:$C$123,$R$109),"")</f>
        <v/>
      </c>
      <c r="I109" s="23">
        <f>IF(ISNUMBER($R$109),INDEX('Dados'!$G$92:$G$123,$R$109),"")</f>
        <v/>
      </c>
      <c r="J109" s="23">
        <f>IF(ISNUMBER($R$109),INDEX('Dados'!$AA$92:$AA$123,$R$109),"")</f>
        <v/>
      </c>
      <c r="K109" s="27">
        <f>IF(AND(ISNUMBER($R$109),$O$109=0),"Sem criatura deste tipo no ambiente: qualquer ambiente da faixa","")</f>
        <v/>
      </c>
      <c r="N109" s="2">
        <f>IF($O$105=1,IF(2=1,"Boss",IF(2=2,"Comum","")),IF($O$105=2,IF(2=1,"Elite",IF(2&lt;=5,"Comum","")),IF($O$105=3,IF(2&lt;=3,"Elite",""),"Comum")))</f>
        <v/>
      </c>
      <c r="O109" s="2">
        <f>IF($N$109="","",IF($N$109="Comum",INDEX($AL$11:$AL$42,32),IF($N$109="Elite",INDEX($AM$11:$AM$42,32),INDEX($AN$11:$AN$42,32))))</f>
        <v/>
      </c>
      <c r="P109" s="2">
        <f>IF($N$109="","",IF($O$109&gt;0,$O$109,IF($N$109="Comum",INDEX($AO$11:$AO$42,32),IF($N$109="Elite",INDEX($AP$11:$AP$42,32),INDEX($AQ$11:$AQ$42,32)))))</f>
        <v/>
      </c>
      <c r="Q109" s="2">
        <f>IF($N$109="","",IF($P$109&lt;=0,0,INT($AJ$110*$P$109/2147483647)+1))</f>
        <v/>
      </c>
      <c r="R109" s="2">
        <f>IF($N$109="","",IFERROR(IF($N$109="Comum",IF($O$109&gt;0,MATCH($Q$109,$AL$11:$AL$42,0),MATCH($Q$109,$AO$11:$AO$42,0)),IF($N$109="Elite",IF($O$109&gt;0,MATCH($Q$109,$AM$11:$AM$42,0),MATCH($Q$109,$AP$11:$AP$42,0)),IF($O$109&gt;0,MATCH($Q$109,$AN$11:$AN$42,0),MATCH($Q$109,$AQ$11:$AQ$42,0)))),""))</f>
        <v/>
      </c>
      <c r="S109" s="2">
        <f>IF(ISNUMBER($R$109),INDEX('Dados'!$B$92:$B$123,$R$109),"")</f>
        <v/>
      </c>
      <c r="U109" s="2">
        <f>D109</f>
        <v/>
      </c>
      <c r="V109" s="2">
        <f>E109</f>
        <v/>
      </c>
      <c r="W109" s="2">
        <f>F109</f>
        <v/>
      </c>
      <c r="X109" s="2">
        <f>G109</f>
        <v/>
      </c>
      <c r="Y109" s="2">
        <f>$Y$108+IF(LEN($S$109)&gt;0,1,0)</f>
        <v/>
      </c>
      <c r="AH109" s="2">
        <f>MOD(MOD(MOD((MOD('Início'!$E$16+104729*$H$105+3391318,2147483646)+1)*16807,2147483647)*16807,2147483647)*16807,2147483647)</f>
        <v/>
      </c>
      <c r="AI109" s="2">
        <f>MOD(MOD(MOD((MOD(MOD(INT($AH$109/65536)*$AH$109,2147483647)*65536+MOD($AH$109,65536)*$AH$109,2147483647))*16807,2147483647)*16807,2147483647)*16807,2147483647)</f>
        <v/>
      </c>
      <c r="AJ109" s="2">
        <f>MOD(MOD(MOD((MOD($AI$109+INT($AI$109/65536)*MOD($AI$109,65536),2147483646)+1)*16807,2147483647)*16807,2147483647)*16807,2147483647)</f>
        <v/>
      </c>
    </row>
    <row r="110" ht="26" customHeight="1">
      <c r="A110" s="31">
        <f>$S$110</f>
        <v/>
      </c>
      <c r="C110" s="18">
        <f>IF(ISNUMBER($R$110),1,"")</f>
        <v/>
      </c>
      <c r="D110" s="18">
        <f>$AX$19</f>
        <v/>
      </c>
      <c r="E110" s="18">
        <f>$AX$20</f>
        <v/>
      </c>
      <c r="F110" s="18">
        <f>$AX$21</f>
        <v/>
      </c>
      <c r="G110" s="18">
        <f>$AX$22</f>
        <v/>
      </c>
      <c r="H110" s="18">
        <f>IF(ISNUMBER($R$110),INDEX('Dados'!$C$92:$C$123,$R$110),"")</f>
        <v/>
      </c>
      <c r="I110" s="18">
        <f>IF(ISNUMBER($R$110),INDEX('Dados'!$G$92:$G$123,$R$110),"")</f>
        <v/>
      </c>
      <c r="J110" s="18">
        <f>IF(ISNUMBER($R$110),INDEX('Dados'!$AA$92:$AA$123,$R$110),"")</f>
        <v/>
      </c>
      <c r="K110" s="19">
        <f>IF(AND(ISNUMBER($R$110),$O$110=0),"Sem criatura deste tipo no ambiente: qualquer ambiente da faixa","")</f>
        <v/>
      </c>
      <c r="N110" s="2">
        <f>IF($O$105=1,IF(3=1,"Boss",IF(3=2,"Comum","")),IF($O$105=2,IF(3=1,"Elite",IF(3&lt;=5,"Comum","")),IF($O$105=3,IF(3&lt;=3,"Elite",""),"Comum")))</f>
        <v/>
      </c>
      <c r="O110" s="2">
        <f>IF($N$110="","",IF($N$110="Comum",INDEX($AL$11:$AL$42,32),IF($N$110="Elite",INDEX($AM$11:$AM$42,32),INDEX($AN$11:$AN$42,32))))</f>
        <v/>
      </c>
      <c r="P110" s="2">
        <f>IF($N$110="","",IF($O$110&gt;0,$O$110,IF($N$110="Comum",INDEX($AO$11:$AO$42,32),IF($N$110="Elite",INDEX($AP$11:$AP$42,32),INDEX($AQ$11:$AQ$42,32)))))</f>
        <v/>
      </c>
      <c r="Q110" s="2">
        <f>IF($N$110="","",IF($P$110&lt;=0,0,INT($AJ$111*$P$110/2147483647)+1))</f>
        <v/>
      </c>
      <c r="R110" s="2">
        <f>IF($N$110="","",IFERROR(IF($N$110="Comum",IF($O$110&gt;0,MATCH($Q$110,$AL$11:$AL$42,0),MATCH($Q$110,$AO$11:$AO$42,0)),IF($N$110="Elite",IF($O$110&gt;0,MATCH($Q$110,$AM$11:$AM$42,0),MATCH($Q$110,$AP$11:$AP$42,0)),IF($O$110&gt;0,MATCH($Q$110,$AN$11:$AN$42,0),MATCH($Q$110,$AQ$11:$AQ$42,0)))),""))</f>
        <v/>
      </c>
      <c r="S110" s="2">
        <f>IF(ISNUMBER($R$110),INDEX('Dados'!$B$92:$B$123,$R$110),"")</f>
        <v/>
      </c>
      <c r="U110" s="2">
        <f>D110</f>
        <v/>
      </c>
      <c r="V110" s="2">
        <f>E110</f>
        <v/>
      </c>
      <c r="W110" s="2">
        <f>F110</f>
        <v/>
      </c>
      <c r="X110" s="2">
        <f>G110</f>
        <v/>
      </c>
      <c r="Y110" s="2">
        <f>$Y$109+IF(LEN($S$110)&gt;0,1,0)</f>
        <v/>
      </c>
      <c r="AH110" s="2">
        <f>MOD(MOD(MOD((MOD('Início'!$E$16+104729*$H$105+4691027,2147483646)+1)*16807,2147483647)*16807,2147483647)*16807,2147483647)</f>
        <v/>
      </c>
      <c r="AI110" s="2">
        <f>MOD(MOD(MOD((MOD(MOD(INT($AH$110/65536)*$AH$110,2147483647)*65536+MOD($AH$110,65536)*$AH$110,2147483647))*16807,2147483647)*16807,2147483647)*16807,2147483647)</f>
        <v/>
      </c>
      <c r="AJ110" s="2">
        <f>MOD(MOD(MOD((MOD($AI$110+INT($AI$110/65536)*MOD($AI$110,65536),2147483646)+1)*16807,2147483647)*16807,2147483647)*16807,2147483647)</f>
        <v/>
      </c>
    </row>
    <row r="111" ht="26" customHeight="1">
      <c r="A111" s="43">
        <f>$S$111</f>
        <v/>
      </c>
      <c r="C111" s="23">
        <f>IF(ISNUMBER($R$111),1,"")</f>
        <v/>
      </c>
      <c r="D111" s="23">
        <f>$AX$23</f>
        <v/>
      </c>
      <c r="E111" s="23">
        <f>$AX$24</f>
        <v/>
      </c>
      <c r="F111" s="23">
        <f>$AX$25</f>
        <v/>
      </c>
      <c r="G111" s="23">
        <f>$AX$26</f>
        <v/>
      </c>
      <c r="H111" s="23">
        <f>IF(ISNUMBER($R$111),INDEX('Dados'!$C$92:$C$123,$R$111),"")</f>
        <v/>
      </c>
      <c r="I111" s="23">
        <f>IF(ISNUMBER($R$111),INDEX('Dados'!$G$92:$G$123,$R$111),"")</f>
        <v/>
      </c>
      <c r="J111" s="23">
        <f>IF(ISNUMBER($R$111),INDEX('Dados'!$AA$92:$AA$123,$R$111),"")</f>
        <v/>
      </c>
      <c r="K111" s="27">
        <f>IF(AND(ISNUMBER($R$111),$O$111=0),"Sem criatura deste tipo no ambiente: qualquer ambiente da faixa","")</f>
        <v/>
      </c>
      <c r="N111" s="2">
        <f>IF($O$105=1,IF(4=1,"Boss",IF(4=2,"Comum","")),IF($O$105=2,IF(4=1,"Elite",IF(4&lt;=5,"Comum","")),IF($O$105=3,IF(4&lt;=3,"Elite",""),"Comum")))</f>
        <v/>
      </c>
      <c r="O111" s="2">
        <f>IF($N$111="","",IF($N$111="Comum",INDEX($AL$11:$AL$42,32),IF($N$111="Elite",INDEX($AM$11:$AM$42,32),INDEX($AN$11:$AN$42,32))))</f>
        <v/>
      </c>
      <c r="P111" s="2">
        <f>IF($N$111="","",IF($O$111&gt;0,$O$111,IF($N$111="Comum",INDEX($AO$11:$AO$42,32),IF($N$111="Elite",INDEX($AP$11:$AP$42,32),INDEX($AQ$11:$AQ$42,32)))))</f>
        <v/>
      </c>
      <c r="Q111" s="2">
        <f>IF($N$111="","",IF($P$111&lt;=0,0,INT($AJ$112*$P$111/2147483647)+1))</f>
        <v/>
      </c>
      <c r="R111" s="2">
        <f>IF($N$111="","",IFERROR(IF($N$111="Comum",IF($O$111&gt;0,MATCH($Q$111,$AL$11:$AL$42,0),MATCH($Q$111,$AO$11:$AO$42,0)),IF($N$111="Elite",IF($O$111&gt;0,MATCH($Q$111,$AM$11:$AM$42,0),MATCH($Q$111,$AP$11:$AP$42,0)),IF($O$111&gt;0,MATCH($Q$111,$AN$11:$AN$42,0),MATCH($Q$111,$AQ$11:$AQ$42,0)))),""))</f>
        <v/>
      </c>
      <c r="S111" s="2">
        <f>IF(ISNUMBER($R$111),INDEX('Dados'!$B$92:$B$123,$R$111),"")</f>
        <v/>
      </c>
      <c r="U111" s="2">
        <f>D111</f>
        <v/>
      </c>
      <c r="V111" s="2">
        <f>E111</f>
        <v/>
      </c>
      <c r="W111" s="2">
        <f>F111</f>
        <v/>
      </c>
      <c r="X111" s="2">
        <f>G111</f>
        <v/>
      </c>
      <c r="Y111" s="2">
        <f>$Y$110+IF(LEN($S$111)&gt;0,1,0)</f>
        <v/>
      </c>
      <c r="AH111" s="2">
        <f>MOD(MOD(MOD((MOD('Início'!$E$16+104729*$H$105+5990736,2147483646)+1)*16807,2147483647)*16807,2147483647)*16807,2147483647)</f>
        <v/>
      </c>
      <c r="AI111" s="2">
        <f>MOD(MOD(MOD((MOD(MOD(INT($AH$111/65536)*$AH$111,2147483647)*65536+MOD($AH$111,65536)*$AH$111,2147483647))*16807,2147483647)*16807,2147483647)*16807,2147483647)</f>
        <v/>
      </c>
      <c r="AJ111" s="2">
        <f>MOD(MOD(MOD((MOD($AI$111+INT($AI$111/65536)*MOD($AI$111,65536),2147483646)+1)*16807,2147483647)*16807,2147483647)*16807,2147483647)</f>
        <v/>
      </c>
    </row>
    <row r="112" ht="26" customHeight="1">
      <c r="A112" s="31">
        <f>$S$112</f>
        <v/>
      </c>
      <c r="C112" s="18">
        <f>IF(ISNUMBER($R$112),1,"")</f>
        <v/>
      </c>
      <c r="D112" s="18">
        <f>$AX$27</f>
        <v/>
      </c>
      <c r="E112" s="18">
        <f>$AX$28</f>
        <v/>
      </c>
      <c r="F112" s="18">
        <f>$AX$29</f>
        <v/>
      </c>
      <c r="G112" s="18">
        <f>$AX$30</f>
        <v/>
      </c>
      <c r="H112" s="18">
        <f>IF(ISNUMBER($R$112),INDEX('Dados'!$C$92:$C$123,$R$112),"")</f>
        <v/>
      </c>
      <c r="I112" s="18">
        <f>IF(ISNUMBER($R$112),INDEX('Dados'!$G$92:$G$123,$R$112),"")</f>
        <v/>
      </c>
      <c r="J112" s="18">
        <f>IF(ISNUMBER($R$112),INDEX('Dados'!$AA$92:$AA$123,$R$112),"")</f>
        <v/>
      </c>
      <c r="K112" s="19">
        <f>IF(AND(ISNUMBER($R$112),$O$112=0),"Sem criatura deste tipo no ambiente: qualquer ambiente da faixa","")</f>
        <v/>
      </c>
      <c r="N112" s="2">
        <f>IF($O$105=1,IF(5=1,"Boss",IF(5=2,"Comum","")),IF($O$105=2,IF(5=1,"Elite",IF(5&lt;=5,"Comum","")),IF($O$105=3,IF(5&lt;=3,"Elite",""),"Comum")))</f>
        <v/>
      </c>
      <c r="O112" s="2">
        <f>IF($N$112="","",IF($N$112="Comum",INDEX($AL$11:$AL$42,32),IF($N$112="Elite",INDEX($AM$11:$AM$42,32),INDEX($AN$11:$AN$42,32))))</f>
        <v/>
      </c>
      <c r="P112" s="2">
        <f>IF($N$112="","",IF($O$112&gt;0,$O$112,IF($N$112="Comum",INDEX($AO$11:$AO$42,32),IF($N$112="Elite",INDEX($AP$11:$AP$42,32),INDEX($AQ$11:$AQ$42,32)))))</f>
        <v/>
      </c>
      <c r="Q112" s="2">
        <f>IF($N$112="","",IF($P$112&lt;=0,0,INT($AJ$113*$P$112/2147483647)+1))</f>
        <v/>
      </c>
      <c r="R112" s="2">
        <f>IF($N$112="","",IFERROR(IF($N$112="Comum",IF($O$112&gt;0,MATCH($Q$112,$AL$11:$AL$42,0),MATCH($Q$112,$AO$11:$AO$42,0)),IF($N$112="Elite",IF($O$112&gt;0,MATCH($Q$112,$AM$11:$AM$42,0),MATCH($Q$112,$AP$11:$AP$42,0)),IF($O$112&gt;0,MATCH($Q$112,$AN$11:$AN$42,0),MATCH($Q$112,$AQ$11:$AQ$42,0)))),""))</f>
        <v/>
      </c>
      <c r="S112" s="2">
        <f>IF(ISNUMBER($R$112),INDEX('Dados'!$B$92:$B$123,$R$112),"")</f>
        <v/>
      </c>
      <c r="U112" s="2">
        <f>D112</f>
        <v/>
      </c>
      <c r="V112" s="2">
        <f>E112</f>
        <v/>
      </c>
      <c r="W112" s="2">
        <f>F112</f>
        <v/>
      </c>
      <c r="X112" s="2">
        <f>G112</f>
        <v/>
      </c>
      <c r="Y112" s="2">
        <f>$Y$111+IF(LEN($S$112)&gt;0,1,0)</f>
        <v/>
      </c>
      <c r="AH112" s="2">
        <f>MOD(MOD(MOD((MOD('Início'!$E$16+104729*$H$105+7290445,2147483646)+1)*16807,2147483647)*16807,2147483647)*16807,2147483647)</f>
        <v/>
      </c>
      <c r="AI112" s="2">
        <f>MOD(MOD(MOD((MOD(MOD(INT($AH$112/65536)*$AH$112,2147483647)*65536+MOD($AH$112,65536)*$AH$112,2147483647))*16807,2147483647)*16807,2147483647)*16807,2147483647)</f>
        <v/>
      </c>
      <c r="AJ112" s="2">
        <f>MOD(MOD(MOD((MOD($AI$112+INT($AI$112/65536)*MOD($AI$112,65536),2147483646)+1)*16807,2147483647)*16807,2147483647)*16807,2147483647)</f>
        <v/>
      </c>
    </row>
    <row r="113" ht="26" customHeight="1">
      <c r="A113" s="43">
        <f>$S$113</f>
        <v/>
      </c>
      <c r="C113" s="23">
        <f>IF(ISNUMBER($R$113),1,"")</f>
        <v/>
      </c>
      <c r="D113" s="23">
        <f>$AX$31</f>
        <v/>
      </c>
      <c r="E113" s="23">
        <f>$AX$32</f>
        <v/>
      </c>
      <c r="F113" s="23">
        <f>$AX$33</f>
        <v/>
      </c>
      <c r="G113" s="23">
        <f>$AX$34</f>
        <v/>
      </c>
      <c r="H113" s="23">
        <f>IF(ISNUMBER($R$113),INDEX('Dados'!$C$92:$C$123,$R$113),"")</f>
        <v/>
      </c>
      <c r="I113" s="23">
        <f>IF(ISNUMBER($R$113),INDEX('Dados'!$G$92:$G$123,$R$113),"")</f>
        <v/>
      </c>
      <c r="J113" s="23">
        <f>IF(ISNUMBER($R$113),INDEX('Dados'!$AA$92:$AA$123,$R$113),"")</f>
        <v/>
      </c>
      <c r="K113" s="27">
        <f>IF(AND(ISNUMBER($R$113),$O$113=0),"Sem criatura deste tipo no ambiente: qualquer ambiente da faixa","")</f>
        <v/>
      </c>
      <c r="N113" s="2">
        <f>IF($O$105=1,IF(6=1,"Boss",IF(6=2,"Comum","")),IF($O$105=2,IF(6=1,"Elite",IF(6&lt;=5,"Comum","")),IF($O$105=3,IF(6&lt;=3,"Elite",""),"Comum")))</f>
        <v/>
      </c>
      <c r="O113" s="2">
        <f>IF($N$113="","",IF($N$113="Comum",INDEX($AL$11:$AL$42,32),IF($N$113="Elite",INDEX($AM$11:$AM$42,32),INDEX($AN$11:$AN$42,32))))</f>
        <v/>
      </c>
      <c r="P113" s="2">
        <f>IF($N$113="","",IF($O$113&gt;0,$O$113,IF($N$113="Comum",INDEX($AO$11:$AO$42,32),IF($N$113="Elite",INDEX($AP$11:$AP$42,32),INDEX($AQ$11:$AQ$42,32)))))</f>
        <v/>
      </c>
      <c r="Q113" s="2">
        <f>IF($N$113="","",IF($P$113&lt;=0,0,INT($AJ$114*$P$113/2147483647)+1))</f>
        <v/>
      </c>
      <c r="R113" s="2">
        <f>IF($N$113="","",IFERROR(IF($N$113="Comum",IF($O$113&gt;0,MATCH($Q$113,$AL$11:$AL$42,0),MATCH($Q$113,$AO$11:$AO$42,0)),IF($N$113="Elite",IF($O$113&gt;0,MATCH($Q$113,$AM$11:$AM$42,0),MATCH($Q$113,$AP$11:$AP$42,0)),IF($O$113&gt;0,MATCH($Q$113,$AN$11:$AN$42,0),MATCH($Q$113,$AQ$11:$AQ$42,0)))),""))</f>
        <v/>
      </c>
      <c r="S113" s="2">
        <f>IF(ISNUMBER($R$113),INDEX('Dados'!$B$92:$B$123,$R$113),"")</f>
        <v/>
      </c>
      <c r="U113" s="2">
        <f>D113</f>
        <v/>
      </c>
      <c r="V113" s="2">
        <f>E113</f>
        <v/>
      </c>
      <c r="W113" s="2">
        <f>F113</f>
        <v/>
      </c>
      <c r="X113" s="2">
        <f>G113</f>
        <v/>
      </c>
      <c r="Y113" s="2">
        <f>$Y$112+IF(LEN($S$113)&gt;0,1,0)</f>
        <v/>
      </c>
      <c r="AH113" s="2">
        <f>MOD(MOD(MOD((MOD('Início'!$E$16+104729*$H$105+8590154,2147483646)+1)*16807,2147483647)*16807,2147483647)*16807,2147483647)</f>
        <v/>
      </c>
      <c r="AI113" s="2">
        <f>MOD(MOD(MOD((MOD(MOD(INT($AH$113/65536)*$AH$113,2147483647)*65536+MOD($AH$113,65536)*$AH$113,2147483647))*16807,2147483647)*16807,2147483647)*16807,2147483647)</f>
        <v/>
      </c>
      <c r="AJ113" s="2">
        <f>MOD(MOD(MOD((MOD($AI$113+INT($AI$113/65536)*MOD($AI$113,65536),2147483646)+1)*16807,2147483647)*16807,2147483647)*16807,2147483647)</f>
        <v/>
      </c>
    </row>
    <row r="114" ht="26" customHeight="1">
      <c r="A114" s="31">
        <f>$S$114</f>
        <v/>
      </c>
      <c r="C114" s="18">
        <f>IF(ISNUMBER($R$114),1,"")</f>
        <v/>
      </c>
      <c r="D114" s="18">
        <f>$AX$35</f>
        <v/>
      </c>
      <c r="E114" s="18">
        <f>$AX$36</f>
        <v/>
      </c>
      <c r="F114" s="18">
        <f>$AX$37</f>
        <v/>
      </c>
      <c r="G114" s="18">
        <f>$AX$38</f>
        <v/>
      </c>
      <c r="H114" s="18">
        <f>IF(ISNUMBER($R$114),INDEX('Dados'!$C$92:$C$123,$R$114),"")</f>
        <v/>
      </c>
      <c r="I114" s="18">
        <f>IF(ISNUMBER($R$114),INDEX('Dados'!$G$92:$G$123,$R$114),"")</f>
        <v/>
      </c>
      <c r="J114" s="18">
        <f>IF(ISNUMBER($R$114),INDEX('Dados'!$AA$92:$AA$123,$R$114),"")</f>
        <v/>
      </c>
      <c r="K114" s="19">
        <f>IF(AND(ISNUMBER($R$114),$O$114=0),"Sem criatura deste tipo no ambiente: qualquer ambiente da faixa","")</f>
        <v/>
      </c>
      <c r="N114" s="2">
        <f>IF($O$105=1,IF(7=1,"Boss",IF(7=2,"Comum","")),IF($O$105=2,IF(7=1,"Elite",IF(7&lt;=5,"Comum","")),IF($O$105=3,IF(7&lt;=3,"Elite",""),"Comum")))</f>
        <v/>
      </c>
      <c r="O114" s="2">
        <f>IF($N$114="","",IF($N$114="Comum",INDEX($AL$11:$AL$42,32),IF($N$114="Elite",INDEX($AM$11:$AM$42,32),INDEX($AN$11:$AN$42,32))))</f>
        <v/>
      </c>
      <c r="P114" s="2">
        <f>IF($N$114="","",IF($O$114&gt;0,$O$114,IF($N$114="Comum",INDEX($AO$11:$AO$42,32),IF($N$114="Elite",INDEX($AP$11:$AP$42,32),INDEX($AQ$11:$AQ$42,32)))))</f>
        <v/>
      </c>
      <c r="Q114" s="2">
        <f>IF($N$114="","",IF($P$114&lt;=0,0,INT($AJ$115*$P$114/2147483647)+1))</f>
        <v/>
      </c>
      <c r="R114" s="2">
        <f>IF($N$114="","",IFERROR(IF($N$114="Comum",IF($O$114&gt;0,MATCH($Q$114,$AL$11:$AL$42,0),MATCH($Q$114,$AO$11:$AO$42,0)),IF($N$114="Elite",IF($O$114&gt;0,MATCH($Q$114,$AM$11:$AM$42,0),MATCH($Q$114,$AP$11:$AP$42,0)),IF($O$114&gt;0,MATCH($Q$114,$AN$11:$AN$42,0),MATCH($Q$114,$AQ$11:$AQ$42,0)))),""))</f>
        <v/>
      </c>
      <c r="S114" s="2">
        <f>IF(ISNUMBER($R$114),INDEX('Dados'!$B$92:$B$123,$R$114),"")</f>
        <v/>
      </c>
      <c r="U114" s="2">
        <f>D114</f>
        <v/>
      </c>
      <c r="V114" s="2">
        <f>E114</f>
        <v/>
      </c>
      <c r="W114" s="2">
        <f>F114</f>
        <v/>
      </c>
      <c r="X114" s="2">
        <f>G114</f>
        <v/>
      </c>
      <c r="Y114" s="2">
        <f>$Y$113+IF(LEN($S$114)&gt;0,1,0)</f>
        <v/>
      </c>
      <c r="AH114" s="2">
        <f>MOD(MOD(MOD((MOD('Início'!$E$16+104729*$H$105+9889863,2147483646)+1)*16807,2147483647)*16807,2147483647)*16807,2147483647)</f>
        <v/>
      </c>
      <c r="AI114" s="2">
        <f>MOD(MOD(MOD((MOD(MOD(INT($AH$114/65536)*$AH$114,2147483647)*65536+MOD($AH$114,65536)*$AH$114,2147483647))*16807,2147483647)*16807,2147483647)*16807,2147483647)</f>
        <v/>
      </c>
      <c r="AJ114" s="2">
        <f>MOD(MOD(MOD((MOD($AI$114+INT($AI$114/65536)*MOD($AI$114,65536),2147483646)+1)*16807,2147483647)*16807,2147483647)*16807,2147483647)</f>
        <v/>
      </c>
    </row>
    <row r="115">
      <c r="AH115" s="2">
        <f>MOD(MOD(MOD((MOD('Início'!$E$16+104729*$H$105+11189572,2147483646)+1)*16807,2147483647)*16807,2147483647)*16807,2147483647)</f>
        <v/>
      </c>
      <c r="AI115" s="2">
        <f>MOD(MOD(MOD((MOD(MOD(INT($AH$115/65536)*$AH$115,2147483647)*65536+MOD($AH$115,65536)*$AH$115,2147483647))*16807,2147483647)*16807,2147483647)*16807,2147483647)</f>
        <v/>
      </c>
      <c r="AJ115" s="2">
        <f>MOD(MOD(MOD((MOD($AI$115+INT($AI$115/65536)*MOD($AI$115,65536),2147483646)+1)*16807,2147483647)*16807,2147483647)*16807,2147483647)</f>
        <v/>
      </c>
    </row>
    <row r="116" ht="26" customHeight="1">
      <c r="A116" s="9" t="inlineStr">
        <is>
          <t>Trocas sugeridas</t>
        </is>
      </c>
      <c r="B116" s="5">
        <f>IF(ISNUMBER($R$108),IF(LEN($AY$11&amp;$AY$12&amp;$AY$13&amp;$AY$14&amp;$AY$15&amp;$AY$16&amp;$AY$17&amp;$AY$18&amp;$AY$19&amp;$AY$20&amp;$AY$21&amp;$AY$22&amp;$AY$23&amp;$AY$24&amp;$AY$25&amp;$AY$26&amp;$AY$27&amp;$AY$28&amp;$AY$29&amp;$AY$30&amp;$AY$31&amp;$AY$32&amp;$AY$33&amp;$AY$34&amp;$AY$35&amp;$AY$36&amp;$AY$37&amp;$AY$38)=0,"Nenhuma troca necessária",$AY$11&amp;$AY$12&amp;$AY$13&amp;$AY$14&amp;$AY$15&amp;$AY$16&amp;$AY$17&amp;$AY$18&amp;$AY$19&amp;$AY$20&amp;$AY$21&amp;$AY$22&amp;$AY$23&amp;$AY$24&amp;$AY$25&amp;$AY$26&amp;$AY$27&amp;$AY$28&amp;$AY$29&amp;$AY$30&amp;$AY$31&amp;$AY$32&amp;$AY$33&amp;$AY$34&amp;$AY$35&amp;$AY$36&amp;$AY$37&amp;$AY$38),"")</f>
        <v/>
      </c>
      <c r="K116" s="5">
        <f>"Sugestão da planilha — não é regra do livro (H19)"</f>
        <v/>
      </c>
    </row>
    <row r="117" ht="37" customHeight="1">
      <c r="A117" s="9" t="inlineStr">
        <is>
          <t>Leitura</t>
        </is>
      </c>
      <c r="B117" s="5">
        <f>IF(ISNUMBER($R$108),"Custo "&amp;SUM(J108:J114)&amp;" de "&amp;$B$11&amp;" · contrato: "&amp;($BE$11+$AW$38)&amp;" Elemento(s) do grupo como Fraqueza"&amp;IF($BE$11+$AW$38&gt;=3," (cumprido)"," (não cumprido)")&amp;" · composição: "&amp;INDEX('Dados'!$BD$6:$BD$10,$O$105+1),"")</f>
        <v/>
      </c>
      <c r="K117" s="5">
        <f>"Composição sorteada com peso igual: Sugestão da planilha — não é regra do livro (H11)"</f>
        <v/>
      </c>
    </row>
    <row r="118">
      <c r="A118" s="12" t="inlineStr">
        <is>
          <t>Copie A:G da linha de saída e cole como valores (Colar especial → Somente valores) em A, B ou C: as colunas estão na mesma ordem (D6).</t>
        </is>
      </c>
    </row>
    <row r="119"/>
    <row r="120" ht="20" customHeight="1">
      <c r="A120" s="13" t="inlineStr">
        <is>
          <t>O dia de jogo e as recompensas</t>
        </is>
      </c>
    </row>
    <row r="121">
      <c r="A121" s="5">
        <f>"Attrition de referência (27.7), faixa "&amp;$B$8&amp;": o grupo termina um combate típico com "&amp;INDEX('Dados'!$E$276:$E$280,$N$8)&amp;" dos PV. Dois combates por dia é um dia tranquilo, três é um dia de verdade, quatro é emergência."</f>
        <v/>
      </c>
    </row>
    <row r="122">
      <c r="A122" s="12" t="inlineStr">
        <is>
          <t>Progressão por marco narrativo; não existe experiência por inimigo derrotado (26.1). Recompensas: aba Recompensas.</t>
        </is>
      </c>
    </row>
  </sheetData>
  <mergeCells count="231">
    <mergeCell ref="K49:L49"/>
    <mergeCell ref="C61:F61"/>
    <mergeCell ref="B100:L100"/>
    <mergeCell ref="K24:L24"/>
    <mergeCell ref="A51:B51"/>
    <mergeCell ref="F10:J10"/>
    <mergeCell ref="K33:L33"/>
    <mergeCell ref="A46:L46"/>
    <mergeCell ref="I89:J89"/>
    <mergeCell ref="K89:L89"/>
    <mergeCell ref="K104:L104"/>
    <mergeCell ref="G47:J47"/>
    <mergeCell ref="A107:B107"/>
    <mergeCell ref="K113:L113"/>
    <mergeCell ref="B71:F71"/>
    <mergeCell ref="F6:J6"/>
    <mergeCell ref="C32:F32"/>
    <mergeCell ref="C37:F37"/>
    <mergeCell ref="K88:L88"/>
    <mergeCell ref="K26:L26"/>
    <mergeCell ref="B12:C12"/>
    <mergeCell ref="D6:E6"/>
    <mergeCell ref="K35:L35"/>
    <mergeCell ref="A54:B54"/>
    <mergeCell ref="C87:F87"/>
    <mergeCell ref="B39:L39"/>
    <mergeCell ref="K76:L76"/>
    <mergeCell ref="K50:L50"/>
    <mergeCell ref="K81:L81"/>
    <mergeCell ref="K90:L90"/>
    <mergeCell ref="C62:F62"/>
    <mergeCell ref="B47:E47"/>
    <mergeCell ref="A56:B56"/>
    <mergeCell ref="A27:B27"/>
    <mergeCell ref="F8:J8"/>
    <mergeCell ref="I58:J58"/>
    <mergeCell ref="C89:F89"/>
    <mergeCell ref="K58:L58"/>
    <mergeCell ref="K52:L52"/>
    <mergeCell ref="C64:F64"/>
    <mergeCell ref="D7:E7"/>
    <mergeCell ref="A76:B76"/>
    <mergeCell ref="C88:F88"/>
    <mergeCell ref="C63:F63"/>
    <mergeCell ref="C93:F93"/>
    <mergeCell ref="A22:B22"/>
    <mergeCell ref="A53:B53"/>
    <mergeCell ref="G66:J66"/>
    <mergeCell ref="F105:G105"/>
    <mergeCell ref="F9:J9"/>
    <mergeCell ref="H105:I105"/>
    <mergeCell ref="K53:L53"/>
    <mergeCell ref="A109:B109"/>
    <mergeCell ref="G71:L71"/>
    <mergeCell ref="K116:L116"/>
    <mergeCell ref="A28:B28"/>
    <mergeCell ref="K28:L28"/>
    <mergeCell ref="A111:B111"/>
    <mergeCell ref="K37:L37"/>
    <mergeCell ref="B105:D105"/>
    <mergeCell ref="K69:L69"/>
    <mergeCell ref="C36:F36"/>
    <mergeCell ref="K78:L78"/>
    <mergeCell ref="I30:J30"/>
    <mergeCell ref="A48:B48"/>
    <mergeCell ref="K92:L92"/>
    <mergeCell ref="K30:L30"/>
    <mergeCell ref="B117:J117"/>
    <mergeCell ref="I86:J86"/>
    <mergeCell ref="K80:L80"/>
    <mergeCell ref="G94:J94"/>
    <mergeCell ref="I61:J61"/>
    <mergeCell ref="A3:L3"/>
    <mergeCell ref="K55:L55"/>
    <mergeCell ref="A79:B79"/>
    <mergeCell ref="A120:L120"/>
    <mergeCell ref="K64:L64"/>
    <mergeCell ref="K21:L21"/>
    <mergeCell ref="G75:J75"/>
    <mergeCell ref="K79:L79"/>
    <mergeCell ref="F7:J7"/>
    <mergeCell ref="B43:F43"/>
    <mergeCell ref="I57:J57"/>
    <mergeCell ref="K51:L51"/>
    <mergeCell ref="B116:J116"/>
    <mergeCell ref="B11:C11"/>
    <mergeCell ref="I32:J32"/>
    <mergeCell ref="A5:L5"/>
    <mergeCell ref="K32:L32"/>
    <mergeCell ref="K63:L63"/>
    <mergeCell ref="C92:F92"/>
    <mergeCell ref="A14:L14"/>
    <mergeCell ref="C30:F30"/>
    <mergeCell ref="K41:L41"/>
    <mergeCell ref="B67:L67"/>
    <mergeCell ref="K56:L56"/>
    <mergeCell ref="K96:L96"/>
    <mergeCell ref="A26:B26"/>
    <mergeCell ref="K105:L105"/>
    <mergeCell ref="I33:J33"/>
    <mergeCell ref="K27:L27"/>
    <mergeCell ref="G38:J38"/>
    <mergeCell ref="B99:F99"/>
    <mergeCell ref="K107:L107"/>
    <mergeCell ref="I88:J88"/>
    <mergeCell ref="B6:C6"/>
    <mergeCell ref="I35:J35"/>
    <mergeCell ref="K82:L82"/>
    <mergeCell ref="A52:B52"/>
    <mergeCell ref="H104:I104"/>
    <mergeCell ref="K66:L66"/>
    <mergeCell ref="C90:F90"/>
    <mergeCell ref="B95:L95"/>
    <mergeCell ref="K19:L19"/>
    <mergeCell ref="I59:J59"/>
    <mergeCell ref="K93:L93"/>
    <mergeCell ref="K6:L6"/>
    <mergeCell ref="I60:J60"/>
    <mergeCell ref="A77:B77"/>
    <mergeCell ref="A83:B83"/>
    <mergeCell ref="K68:L68"/>
    <mergeCell ref="K25:L25"/>
    <mergeCell ref="K83:L83"/>
    <mergeCell ref="B7:C7"/>
    <mergeCell ref="F11:J11"/>
    <mergeCell ref="C91:F91"/>
    <mergeCell ref="A49:B49"/>
    <mergeCell ref="B72:L72"/>
    <mergeCell ref="A118:L118"/>
    <mergeCell ref="A18:L18"/>
    <mergeCell ref="C57:F57"/>
    <mergeCell ref="K54:L54"/>
    <mergeCell ref="K60:L60"/>
    <mergeCell ref="K29:L29"/>
    <mergeCell ref="A78:B78"/>
    <mergeCell ref="K109:L109"/>
    <mergeCell ref="K47:L47"/>
    <mergeCell ref="C34:F34"/>
    <mergeCell ref="C86:F86"/>
    <mergeCell ref="I37:J37"/>
    <mergeCell ref="B42:L42"/>
    <mergeCell ref="K31:L31"/>
    <mergeCell ref="A80:B80"/>
    <mergeCell ref="K40:L40"/>
    <mergeCell ref="C58:F58"/>
    <mergeCell ref="K111:L111"/>
    <mergeCell ref="A122:L122"/>
    <mergeCell ref="A55:B55"/>
    <mergeCell ref="A21:B21"/>
    <mergeCell ref="I87:J87"/>
    <mergeCell ref="B44:L44"/>
    <mergeCell ref="G99:L99"/>
    <mergeCell ref="A113:B113"/>
    <mergeCell ref="I62:J62"/>
    <mergeCell ref="A121:L121"/>
    <mergeCell ref="K8:L8"/>
    <mergeCell ref="C29:F29"/>
    <mergeCell ref="C65:F65"/>
    <mergeCell ref="A23:B23"/>
    <mergeCell ref="B9:C9"/>
    <mergeCell ref="K23:L23"/>
    <mergeCell ref="K97:L97"/>
    <mergeCell ref="I64:J64"/>
    <mergeCell ref="K7:L7"/>
    <mergeCell ref="A15:L15"/>
    <mergeCell ref="C31:F31"/>
    <mergeCell ref="K65:L65"/>
    <mergeCell ref="I63:J63"/>
    <mergeCell ref="K57:L57"/>
    <mergeCell ref="B19:E19"/>
    <mergeCell ref="C60:F60"/>
    <mergeCell ref="I65:J65"/>
    <mergeCell ref="I34:J34"/>
    <mergeCell ref="A24:B24"/>
    <mergeCell ref="I90:J90"/>
    <mergeCell ref="K34:L34"/>
    <mergeCell ref="A82:B82"/>
    <mergeCell ref="K108:L108"/>
    <mergeCell ref="A74:L74"/>
    <mergeCell ref="K114:L114"/>
    <mergeCell ref="I36:J36"/>
    <mergeCell ref="A110:B110"/>
    <mergeCell ref="K36:L36"/>
    <mergeCell ref="K110:L110"/>
    <mergeCell ref="I91:J91"/>
    <mergeCell ref="K20:L20"/>
    <mergeCell ref="B70:L70"/>
    <mergeCell ref="A25:B25"/>
    <mergeCell ref="B75:E75"/>
    <mergeCell ref="I85:J85"/>
    <mergeCell ref="K85:L85"/>
    <mergeCell ref="K91:L91"/>
    <mergeCell ref="F104:G104"/>
    <mergeCell ref="K94:L94"/>
    <mergeCell ref="A108:B108"/>
    <mergeCell ref="A84:B84"/>
    <mergeCell ref="C33:F33"/>
    <mergeCell ref="K84:L84"/>
    <mergeCell ref="I93:J93"/>
    <mergeCell ref="K22:L22"/>
    <mergeCell ref="B8:C8"/>
    <mergeCell ref="B98:L98"/>
    <mergeCell ref="K75:L75"/>
    <mergeCell ref="A50:B50"/>
    <mergeCell ref="B104:D104"/>
    <mergeCell ref="K59:L59"/>
    <mergeCell ref="K77:L77"/>
    <mergeCell ref="C35:F35"/>
    <mergeCell ref="I92:J92"/>
    <mergeCell ref="K86:L86"/>
    <mergeCell ref="K117:L117"/>
    <mergeCell ref="B10:C10"/>
    <mergeCell ref="K61:L61"/>
    <mergeCell ref="C85:F85"/>
    <mergeCell ref="G43:L43"/>
    <mergeCell ref="G19:J19"/>
    <mergeCell ref="K48:L48"/>
    <mergeCell ref="D8:E8"/>
    <mergeCell ref="A20:B20"/>
    <mergeCell ref="I29:J29"/>
    <mergeCell ref="A81:B81"/>
    <mergeCell ref="K38:L38"/>
    <mergeCell ref="A112:B112"/>
    <mergeCell ref="A1:L1"/>
    <mergeCell ref="A103:L103"/>
    <mergeCell ref="K112:L112"/>
    <mergeCell ref="C59:F59"/>
    <mergeCell ref="I31:J31"/>
    <mergeCell ref="K62:L62"/>
    <mergeCell ref="K87:L87"/>
    <mergeCell ref="A114:B114"/>
  </mergeCells>
  <conditionalFormatting sqref="K7">
    <cfRule type="expression" priority="1" dxfId="0">
      <formula>LEN(K7)&gt;0</formula>
    </cfRule>
  </conditionalFormatting>
  <conditionalFormatting sqref="K21">
    <cfRule type="expression" priority="2" dxfId="0">
      <formula>LEN(K21)&gt;0</formula>
    </cfRule>
  </conditionalFormatting>
  <conditionalFormatting sqref="K30">
    <cfRule type="expression" priority="3" dxfId="0">
      <formula>LEN(K30)&gt;0</formula>
    </cfRule>
  </conditionalFormatting>
  <conditionalFormatting sqref="K22">
    <cfRule type="expression" priority="4" dxfId="0">
      <formula>LEN(K22)&gt;0</formula>
    </cfRule>
  </conditionalFormatting>
  <conditionalFormatting sqref="K31">
    <cfRule type="expression" priority="5" dxfId="0">
      <formula>LEN(K31)&gt;0</formula>
    </cfRule>
  </conditionalFormatting>
  <conditionalFormatting sqref="K23">
    <cfRule type="expression" priority="6" dxfId="0">
      <formula>LEN(K23)&gt;0</formula>
    </cfRule>
  </conditionalFormatting>
  <conditionalFormatting sqref="K32">
    <cfRule type="expression" priority="7" dxfId="0">
      <formula>LEN(K32)&gt;0</formula>
    </cfRule>
  </conditionalFormatting>
  <conditionalFormatting sqref="K24">
    <cfRule type="expression" priority="8" dxfId="0">
      <formula>LEN(K24)&gt;0</formula>
    </cfRule>
  </conditionalFormatting>
  <conditionalFormatting sqref="K33">
    <cfRule type="expression" priority="9" dxfId="0">
      <formula>LEN(K33)&gt;0</formula>
    </cfRule>
  </conditionalFormatting>
  <conditionalFormatting sqref="K25">
    <cfRule type="expression" priority="10" dxfId="0">
      <formula>LEN(K25)&gt;0</formula>
    </cfRule>
  </conditionalFormatting>
  <conditionalFormatting sqref="K34">
    <cfRule type="expression" priority="11" dxfId="0">
      <formula>LEN(K34)&gt;0</formula>
    </cfRule>
  </conditionalFormatting>
  <conditionalFormatting sqref="K26">
    <cfRule type="expression" priority="12" dxfId="0">
      <formula>LEN(K26)&gt;0</formula>
    </cfRule>
  </conditionalFormatting>
  <conditionalFormatting sqref="K35">
    <cfRule type="expression" priority="13" dxfId="0">
      <formula>LEN(K35)&gt;0</formula>
    </cfRule>
  </conditionalFormatting>
  <conditionalFormatting sqref="K27">
    <cfRule type="expression" priority="14" dxfId="0">
      <formula>LEN(K27)&gt;0</formula>
    </cfRule>
  </conditionalFormatting>
  <conditionalFormatting sqref="K36">
    <cfRule type="expression" priority="15" dxfId="0">
      <formula>LEN(K36)&gt;0</formula>
    </cfRule>
  </conditionalFormatting>
  <conditionalFormatting sqref="K28">
    <cfRule type="expression" priority="16" dxfId="0">
      <formula>LEN(K28)&gt;0</formula>
    </cfRule>
  </conditionalFormatting>
  <conditionalFormatting sqref="K37">
    <cfRule type="expression" priority="17" dxfId="0">
      <formula>LEN(K37)&gt;0</formula>
    </cfRule>
  </conditionalFormatting>
  <conditionalFormatting sqref="K41">
    <cfRule type="expression" priority="18" dxfId="0">
      <formula>LEN(K41)&gt;0</formula>
    </cfRule>
  </conditionalFormatting>
  <conditionalFormatting sqref="B44">
    <cfRule type="expression" priority="19" dxfId="0">
      <formula>LEN(B44)&gt;0</formula>
    </cfRule>
  </conditionalFormatting>
  <conditionalFormatting sqref="K49">
    <cfRule type="expression" priority="20" dxfId="0">
      <formula>LEN(K49)&gt;0</formula>
    </cfRule>
  </conditionalFormatting>
  <conditionalFormatting sqref="K58">
    <cfRule type="expression" priority="21" dxfId="0">
      <formula>LEN(K58)&gt;0</formula>
    </cfRule>
  </conditionalFormatting>
  <conditionalFormatting sqref="K50">
    <cfRule type="expression" priority="22" dxfId="0">
      <formula>LEN(K50)&gt;0</formula>
    </cfRule>
  </conditionalFormatting>
  <conditionalFormatting sqref="K59">
    <cfRule type="expression" priority="23" dxfId="0">
      <formula>LEN(K59)&gt;0</formula>
    </cfRule>
  </conditionalFormatting>
  <conditionalFormatting sqref="K51">
    <cfRule type="expression" priority="24" dxfId="0">
      <formula>LEN(K51)&gt;0</formula>
    </cfRule>
  </conditionalFormatting>
  <conditionalFormatting sqref="K60">
    <cfRule type="expression" priority="25" dxfId="0">
      <formula>LEN(K60)&gt;0</formula>
    </cfRule>
  </conditionalFormatting>
  <conditionalFormatting sqref="K52">
    <cfRule type="expression" priority="26" dxfId="0">
      <formula>LEN(K52)&gt;0</formula>
    </cfRule>
  </conditionalFormatting>
  <conditionalFormatting sqref="K61">
    <cfRule type="expression" priority="27" dxfId="0">
      <formula>LEN(K61)&gt;0</formula>
    </cfRule>
  </conditionalFormatting>
  <conditionalFormatting sqref="K53">
    <cfRule type="expression" priority="28" dxfId="0">
      <formula>LEN(K53)&gt;0</formula>
    </cfRule>
  </conditionalFormatting>
  <conditionalFormatting sqref="K62">
    <cfRule type="expression" priority="29" dxfId="0">
      <formula>LEN(K62)&gt;0</formula>
    </cfRule>
  </conditionalFormatting>
  <conditionalFormatting sqref="K54">
    <cfRule type="expression" priority="30" dxfId="0">
      <formula>LEN(K54)&gt;0</formula>
    </cfRule>
  </conditionalFormatting>
  <conditionalFormatting sqref="K63">
    <cfRule type="expression" priority="31" dxfId="0">
      <formula>LEN(K63)&gt;0</formula>
    </cfRule>
  </conditionalFormatting>
  <conditionalFormatting sqref="K55">
    <cfRule type="expression" priority="32" dxfId="0">
      <formula>LEN(K55)&gt;0</formula>
    </cfRule>
  </conditionalFormatting>
  <conditionalFormatting sqref="K64">
    <cfRule type="expression" priority="33" dxfId="0">
      <formula>LEN(K64)&gt;0</formula>
    </cfRule>
  </conditionalFormatting>
  <conditionalFormatting sqref="K56">
    <cfRule type="expression" priority="34" dxfId="0">
      <formula>LEN(K56)&gt;0</formula>
    </cfRule>
  </conditionalFormatting>
  <conditionalFormatting sqref="K65">
    <cfRule type="expression" priority="35" dxfId="0">
      <formula>LEN(K65)&gt;0</formula>
    </cfRule>
  </conditionalFormatting>
  <conditionalFormatting sqref="K69">
    <cfRule type="expression" priority="36" dxfId="0">
      <formula>LEN(K69)&gt;0</formula>
    </cfRule>
  </conditionalFormatting>
  <conditionalFormatting sqref="B72">
    <cfRule type="expression" priority="37" dxfId="0">
      <formula>LEN(B72)&gt;0</formula>
    </cfRule>
  </conditionalFormatting>
  <conditionalFormatting sqref="K77">
    <cfRule type="expression" priority="38" dxfId="0">
      <formula>LEN(K77)&gt;0</formula>
    </cfRule>
  </conditionalFormatting>
  <conditionalFormatting sqref="K86">
    <cfRule type="expression" priority="39" dxfId="0">
      <formula>LEN(K86)&gt;0</formula>
    </cfRule>
  </conditionalFormatting>
  <conditionalFormatting sqref="K78">
    <cfRule type="expression" priority="40" dxfId="0">
      <formula>LEN(K78)&gt;0</formula>
    </cfRule>
  </conditionalFormatting>
  <conditionalFormatting sqref="K87">
    <cfRule type="expression" priority="41" dxfId="0">
      <formula>LEN(K87)&gt;0</formula>
    </cfRule>
  </conditionalFormatting>
  <conditionalFormatting sqref="K79">
    <cfRule type="expression" priority="42" dxfId="0">
      <formula>LEN(K79)&gt;0</formula>
    </cfRule>
  </conditionalFormatting>
  <conditionalFormatting sqref="K88">
    <cfRule type="expression" priority="43" dxfId="0">
      <formula>LEN(K88)&gt;0</formula>
    </cfRule>
  </conditionalFormatting>
  <conditionalFormatting sqref="K80">
    <cfRule type="expression" priority="44" dxfId="0">
      <formula>LEN(K80)&gt;0</formula>
    </cfRule>
  </conditionalFormatting>
  <conditionalFormatting sqref="K89">
    <cfRule type="expression" priority="45" dxfId="0">
      <formula>LEN(K89)&gt;0</formula>
    </cfRule>
  </conditionalFormatting>
  <conditionalFormatting sqref="K81">
    <cfRule type="expression" priority="46" dxfId="0">
      <formula>LEN(K81)&gt;0</formula>
    </cfRule>
  </conditionalFormatting>
  <conditionalFormatting sqref="K90">
    <cfRule type="expression" priority="47" dxfId="0">
      <formula>LEN(K90)&gt;0</formula>
    </cfRule>
  </conditionalFormatting>
  <conditionalFormatting sqref="K82">
    <cfRule type="expression" priority="48" dxfId="0">
      <formula>LEN(K82)&gt;0</formula>
    </cfRule>
  </conditionalFormatting>
  <conditionalFormatting sqref="K91">
    <cfRule type="expression" priority="49" dxfId="0">
      <formula>LEN(K91)&gt;0</formula>
    </cfRule>
  </conditionalFormatting>
  <conditionalFormatting sqref="K83">
    <cfRule type="expression" priority="50" dxfId="0">
      <formula>LEN(K83)&gt;0</formula>
    </cfRule>
  </conditionalFormatting>
  <conditionalFormatting sqref="K92">
    <cfRule type="expression" priority="51" dxfId="0">
      <formula>LEN(K92)&gt;0</formula>
    </cfRule>
  </conditionalFormatting>
  <conditionalFormatting sqref="K84">
    <cfRule type="expression" priority="52" dxfId="0">
      <formula>LEN(K84)&gt;0</formula>
    </cfRule>
  </conditionalFormatting>
  <conditionalFormatting sqref="K93">
    <cfRule type="expression" priority="53" dxfId="0">
      <formula>LEN(K93)&gt;0</formula>
    </cfRule>
  </conditionalFormatting>
  <conditionalFormatting sqref="K97">
    <cfRule type="expression" priority="54" dxfId="0">
      <formula>LEN(K97)&gt;0</formula>
    </cfRule>
  </conditionalFormatting>
  <conditionalFormatting sqref="B100">
    <cfRule type="expression" priority="55" dxfId="0">
      <formula>LEN(B100)&gt;0</formula>
    </cfRule>
  </conditionalFormatting>
  <conditionalFormatting sqref="K105">
    <cfRule type="expression" priority="56" dxfId="0">
      <formula>LEN(K105)&gt;0</formula>
    </cfRule>
  </conditionalFormatting>
  <conditionalFormatting sqref="K108">
    <cfRule type="expression" priority="57" dxfId="0">
      <formula>LEN(K108)&gt;0</formula>
    </cfRule>
  </conditionalFormatting>
  <conditionalFormatting sqref="K109">
    <cfRule type="expression" priority="58" dxfId="0">
      <formula>LEN(K109)&gt;0</formula>
    </cfRule>
  </conditionalFormatting>
  <conditionalFormatting sqref="K110">
    <cfRule type="expression" priority="59" dxfId="0">
      <formula>LEN(K110)&gt;0</formula>
    </cfRule>
  </conditionalFormatting>
  <conditionalFormatting sqref="K111">
    <cfRule type="expression" priority="60" dxfId="0">
      <formula>LEN(K111)&gt;0</formula>
    </cfRule>
  </conditionalFormatting>
  <conditionalFormatting sqref="K112">
    <cfRule type="expression" priority="61" dxfId="0">
      <formula>LEN(K112)&gt;0</formula>
    </cfRule>
  </conditionalFormatting>
  <conditionalFormatting sqref="K113">
    <cfRule type="expression" priority="62" dxfId="0">
      <formula>LEN(K113)&gt;0</formula>
    </cfRule>
  </conditionalFormatting>
  <conditionalFormatting sqref="K114">
    <cfRule type="expression" priority="63" dxfId="0">
      <formula>LEN(K114)&gt;0</formula>
    </cfRule>
  </conditionalFormatting>
  <conditionalFormatting sqref="K8">
    <cfRule type="expression" priority="64" dxfId="0">
      <formula>LEN(K8)&gt;0</formula>
    </cfRule>
  </conditionalFormatting>
  <conditionalFormatting sqref="K19">
    <cfRule type="expression" priority="65" dxfId="0">
      <formula>LEN(K19)&gt;0</formula>
    </cfRule>
  </conditionalFormatting>
  <conditionalFormatting sqref="K47">
    <cfRule type="expression" priority="66" dxfId="0">
      <formula>LEN(K47)&gt;0</formula>
    </cfRule>
  </conditionalFormatting>
  <conditionalFormatting sqref="K75">
    <cfRule type="expression" priority="67" dxfId="0">
      <formula>LEN(K75)&gt;0</formula>
    </cfRule>
  </conditionalFormatting>
  <dataValidations count="156">
    <dataValidation sqref="D7" showDropDown="0" showInputMessage="0" showErrorMessage="1" allowBlank="1" errorTitle="Valor fora da faixa" error="Nº de PJs: use um número inteiro de 1 a 6." type="whole" errorStyle="warning" operator="between">
      <formula1>1</formula1>
      <formula2>6</formula2>
    </dataValidation>
    <dataValidation sqref="D8" showDropDown="0" showInputMessage="0" showErrorMessage="1" allowBlank="1" errorTitle="Fora da lista" error="Faixa: escolha um valor da lista. A planilha pode não reconhecer outro valor." type="list" errorStyle="warning">
      <formula1>'Dados'!$AP$6:$AP$10</formula1>
    </dataValidation>
    <dataValidation sqref="B19" showDropDown="0" showInputMessage="0" showErrorMessage="1" allowBlank="1" errorTitle="Texto longo" error="Nome do encontro: até 60 caracteres." type="textLength" errorStyle="warning" operator="lessThanOrEqual">
      <formula1>60</formula1>
    </dataValidation>
    <dataValidation sqref="G19" showDropDown="0" showInputMessage="0" showErrorMessage="1" allowBlank="1" errorTitle="Texto longo" error="Ambiente: até 80 caracteres." type="textLength" errorStyle="warning" operator="lessThanOrEqual">
      <formula1>80</formula1>
    </dataValidation>
    <dataValidation sqref="A21" showDropDown="0" showInputMessage="0" showErrorMessage="1" allowBlank="1" errorTitle="Fora da lista" error="Criatura: escolha um valor da lista. A planilha pode não reconhecer outro valor." type="list" errorStyle="warning">
      <formula1>'Inimigos'!$N$11:$N$54</formula1>
    </dataValidation>
    <dataValidation sqref="C21" showDropDown="0" showInputMessage="0" showErrorMessage="1" allowBlank="1" errorTitle="Valor fora da faixa" error="Quantidade: use um número inteiro de 0 a 10." type="whole" errorStyle="warning" operator="between">
      <formula1>0</formula1>
      <formula2>10</formula2>
    </dataValidation>
    <dataValidation sqref="D21" showDropDown="0" showInputMessage="0" showErrorMessage="1" allowBlank="1" errorTitle="Fora da lista" error="Fraqueza 1: escolha um valor da lista. A planilha pode não reconhecer outro valor." type="list" errorStyle="warning">
      <formula1>'Dados'!$AN$6:$AN$12</formula1>
    </dataValidation>
    <dataValidation sqref="E21" showDropDown="0" showInputMessage="0" showErrorMessage="1" allowBlank="1" errorTitle="Fora da lista" error="Fraqueza 2: escolha um valor da lista. A planilha pode não reconhecer outro valor." type="list" errorStyle="warning">
      <formula1>'Dados'!$AN$6:$AN$12</formula1>
    </dataValidation>
    <dataValidation sqref="F21" showDropDown="0" showInputMessage="0" showErrorMessage="1" allowBlank="1" errorTitle="Fora da lista" error="Fraqueza 3: escolha um valor da lista. A planilha pode não reconhecer outro valor." type="list" errorStyle="warning">
      <formula1>'Dados'!$AN$6:$AN$12</formula1>
    </dataValidation>
    <dataValidation sqref="G21" showDropDown="0" showInputMessage="0" showErrorMessage="1" allowBlank="1" errorTitle="Fora da lista" error="Fraqueza 4: escolha um valor da lista. A planilha pode não reconhecer outro valor." type="list" errorStyle="warning">
      <formula1>'Dados'!$AN$6:$AN$12</formula1>
    </dataValidation>
    <dataValidation sqref="A22" showDropDown="0" showInputMessage="0" showErrorMessage="1" allowBlank="1" errorTitle="Fora da lista" error="Criatura: escolha um valor da lista. A planilha pode não reconhecer outro valor." type="list" errorStyle="warning">
      <formula1>'Inimigos'!$N$11:$N$54</formula1>
    </dataValidation>
    <dataValidation sqref="C22" showDropDown="0" showInputMessage="0" showErrorMessage="1" allowBlank="1" errorTitle="Valor fora da faixa" error="Quantidade: use um número inteiro de 0 a 10." type="whole" errorStyle="warning" operator="between">
      <formula1>0</formula1>
      <formula2>10</formula2>
    </dataValidation>
    <dataValidation sqref="D22" showDropDown="0" showInputMessage="0" showErrorMessage="1" allowBlank="1" errorTitle="Fora da lista" error="Fraqueza 1: escolha um valor da lista. A planilha pode não reconhecer outro valor." type="list" errorStyle="warning">
      <formula1>'Dados'!$AN$6:$AN$12</formula1>
    </dataValidation>
    <dataValidation sqref="E22" showDropDown="0" showInputMessage="0" showErrorMessage="1" allowBlank="1" errorTitle="Fora da lista" error="Fraqueza 2: escolha um valor da lista. A planilha pode não reconhecer outro valor." type="list" errorStyle="warning">
      <formula1>'Dados'!$AN$6:$AN$12</formula1>
    </dataValidation>
    <dataValidation sqref="F22" showDropDown="0" showInputMessage="0" showErrorMessage="1" allowBlank="1" errorTitle="Fora da lista" error="Fraqueza 3: escolha um valor da lista. A planilha pode não reconhecer outro valor." type="list" errorStyle="warning">
      <formula1>'Dados'!$AN$6:$AN$12</formula1>
    </dataValidation>
    <dataValidation sqref="G22" showDropDown="0" showInputMessage="0" showErrorMessage="1" allowBlank="1" errorTitle="Fora da lista" error="Fraqueza 4: escolha um valor da lista. A planilha pode não reconhecer outro valor." type="list" errorStyle="warning">
      <formula1>'Dados'!$AN$6:$AN$12</formula1>
    </dataValidation>
    <dataValidation sqref="A23" showDropDown="0" showInputMessage="0" showErrorMessage="1" allowBlank="1" errorTitle="Fora da lista" error="Criatura: escolha um valor da lista. A planilha pode não reconhecer outro valor." type="list" errorStyle="warning">
      <formula1>'Inimigos'!$N$11:$N$54</formula1>
    </dataValidation>
    <dataValidation sqref="C23" showDropDown="0" showInputMessage="0" showErrorMessage="1" allowBlank="1" errorTitle="Valor fora da faixa" error="Quantidade: use um número inteiro de 0 a 10." type="whole" errorStyle="warning" operator="between">
      <formula1>0</formula1>
      <formula2>10</formula2>
    </dataValidation>
    <dataValidation sqref="D23" showDropDown="0" showInputMessage="0" showErrorMessage="1" allowBlank="1" errorTitle="Fora da lista" error="Fraqueza 1: escolha um valor da lista. A planilha pode não reconhecer outro valor." type="list" errorStyle="warning">
      <formula1>'Dados'!$AN$6:$AN$12</formula1>
    </dataValidation>
    <dataValidation sqref="E23" showDropDown="0" showInputMessage="0" showErrorMessage="1" allowBlank="1" errorTitle="Fora da lista" error="Fraqueza 2: escolha um valor da lista. A planilha pode não reconhecer outro valor." type="list" errorStyle="warning">
      <formula1>'Dados'!$AN$6:$AN$12</formula1>
    </dataValidation>
    <dataValidation sqref="F23" showDropDown="0" showInputMessage="0" showErrorMessage="1" allowBlank="1" errorTitle="Fora da lista" error="Fraqueza 3: escolha um valor da lista. A planilha pode não reconhecer outro valor." type="list" errorStyle="warning">
      <formula1>'Dados'!$AN$6:$AN$12</formula1>
    </dataValidation>
    <dataValidation sqref="G23" showDropDown="0" showInputMessage="0" showErrorMessage="1" allowBlank="1" errorTitle="Fora da lista" error="Fraqueza 4: escolha um valor da lista. A planilha pode não reconhecer outro valor." type="list" errorStyle="warning">
      <formula1>'Dados'!$AN$6:$AN$12</formula1>
    </dataValidation>
    <dataValidation sqref="A24" showDropDown="0" showInputMessage="0" showErrorMessage="1" allowBlank="1" errorTitle="Fora da lista" error="Criatura: escolha um valor da lista. A planilha pode não reconhecer outro valor." type="list" errorStyle="warning">
      <formula1>'Inimigos'!$N$11:$N$54</formula1>
    </dataValidation>
    <dataValidation sqref="C24" showDropDown="0" showInputMessage="0" showErrorMessage="1" allowBlank="1" errorTitle="Valor fora da faixa" error="Quantidade: use um número inteiro de 0 a 10." type="whole" errorStyle="warning" operator="between">
      <formula1>0</formula1>
      <formula2>10</formula2>
    </dataValidation>
    <dataValidation sqref="D24" showDropDown="0" showInputMessage="0" showErrorMessage="1" allowBlank="1" errorTitle="Fora da lista" error="Fraqueza 1: escolha um valor da lista. A planilha pode não reconhecer outro valor." type="list" errorStyle="warning">
      <formula1>'Dados'!$AN$6:$AN$12</formula1>
    </dataValidation>
    <dataValidation sqref="E24" showDropDown="0" showInputMessage="0" showErrorMessage="1" allowBlank="1" errorTitle="Fora da lista" error="Fraqueza 2: escolha um valor da lista. A planilha pode não reconhecer outro valor." type="list" errorStyle="warning">
      <formula1>'Dados'!$AN$6:$AN$12</formula1>
    </dataValidation>
    <dataValidation sqref="F24" showDropDown="0" showInputMessage="0" showErrorMessage="1" allowBlank="1" errorTitle="Fora da lista" error="Fraqueza 3: escolha um valor da lista. A planilha pode não reconhecer outro valor." type="list" errorStyle="warning">
      <formula1>'Dados'!$AN$6:$AN$12</formula1>
    </dataValidation>
    <dataValidation sqref="G24" showDropDown="0" showInputMessage="0" showErrorMessage="1" allowBlank="1" errorTitle="Fora da lista" error="Fraqueza 4: escolha um valor da lista. A planilha pode não reconhecer outro valor." type="list" errorStyle="warning">
      <formula1>'Dados'!$AN$6:$AN$12</formula1>
    </dataValidation>
    <dataValidation sqref="A25" showDropDown="0" showInputMessage="0" showErrorMessage="1" allowBlank="1" errorTitle="Fora da lista" error="Criatura: escolha um valor da lista. A planilha pode não reconhecer outro valor." type="list" errorStyle="warning">
      <formula1>'Inimigos'!$N$11:$N$54</formula1>
    </dataValidation>
    <dataValidation sqref="C25" showDropDown="0" showInputMessage="0" showErrorMessage="1" allowBlank="1" errorTitle="Valor fora da faixa" error="Quantidade: use um número inteiro de 0 a 10." type="whole" errorStyle="warning" operator="between">
      <formula1>0</formula1>
      <formula2>10</formula2>
    </dataValidation>
    <dataValidation sqref="D25" showDropDown="0" showInputMessage="0" showErrorMessage="1" allowBlank="1" errorTitle="Fora da lista" error="Fraqueza 1: escolha um valor da lista. A planilha pode não reconhecer outro valor." type="list" errorStyle="warning">
      <formula1>'Dados'!$AN$6:$AN$12</formula1>
    </dataValidation>
    <dataValidation sqref="E25" showDropDown="0" showInputMessage="0" showErrorMessage="1" allowBlank="1" errorTitle="Fora da lista" error="Fraqueza 2: escolha um valor da lista. A planilha pode não reconhecer outro valor." type="list" errorStyle="warning">
      <formula1>'Dados'!$AN$6:$AN$12</formula1>
    </dataValidation>
    <dataValidation sqref="F25" showDropDown="0" showInputMessage="0" showErrorMessage="1" allowBlank="1" errorTitle="Fora da lista" error="Fraqueza 3: escolha um valor da lista. A planilha pode não reconhecer outro valor." type="list" errorStyle="warning">
      <formula1>'Dados'!$AN$6:$AN$12</formula1>
    </dataValidation>
    <dataValidation sqref="G25" showDropDown="0" showInputMessage="0" showErrorMessage="1" allowBlank="1" errorTitle="Fora da lista" error="Fraqueza 4: escolha um valor da lista. A planilha pode não reconhecer outro valor." type="list" errorStyle="warning">
      <formula1>'Dados'!$AN$6:$AN$12</formula1>
    </dataValidation>
    <dataValidation sqref="A26" showDropDown="0" showInputMessage="0" showErrorMessage="1" allowBlank="1" errorTitle="Fora da lista" error="Criatura: escolha um valor da lista. A planilha pode não reconhecer outro valor." type="list" errorStyle="warning">
      <formula1>'Inimigos'!$N$11:$N$54</formula1>
    </dataValidation>
    <dataValidation sqref="C26" showDropDown="0" showInputMessage="0" showErrorMessage="1" allowBlank="1" errorTitle="Valor fora da faixa" error="Quantidade: use um número inteiro de 0 a 10." type="whole" errorStyle="warning" operator="between">
      <formula1>0</formula1>
      <formula2>10</formula2>
    </dataValidation>
    <dataValidation sqref="D26" showDropDown="0" showInputMessage="0" showErrorMessage="1" allowBlank="1" errorTitle="Fora da lista" error="Fraqueza 1: escolha um valor da lista. A planilha pode não reconhecer outro valor." type="list" errorStyle="warning">
      <formula1>'Dados'!$AN$6:$AN$12</formula1>
    </dataValidation>
    <dataValidation sqref="E26" showDropDown="0" showInputMessage="0" showErrorMessage="1" allowBlank="1" errorTitle="Fora da lista" error="Fraqueza 2: escolha um valor da lista. A planilha pode não reconhecer outro valor." type="list" errorStyle="warning">
      <formula1>'Dados'!$AN$6:$AN$12</formula1>
    </dataValidation>
    <dataValidation sqref="F26" showDropDown="0" showInputMessage="0" showErrorMessage="1" allowBlank="1" errorTitle="Fora da lista" error="Fraqueza 3: escolha um valor da lista. A planilha pode não reconhecer outro valor." type="list" errorStyle="warning">
      <formula1>'Dados'!$AN$6:$AN$12</formula1>
    </dataValidation>
    <dataValidation sqref="G26" showDropDown="0" showInputMessage="0" showErrorMessage="1" allowBlank="1" errorTitle="Fora da lista" error="Fraqueza 4: escolha um valor da lista. A planilha pode não reconhecer outro valor." type="list" errorStyle="warning">
      <formula1>'Dados'!$AN$6:$AN$12</formula1>
    </dataValidation>
    <dataValidation sqref="A27" showDropDown="0" showInputMessage="0" showErrorMessage="1" allowBlank="1" errorTitle="Fora da lista" error="Criatura: escolha um valor da lista. A planilha pode não reconhecer outro valor." type="list" errorStyle="warning">
      <formula1>'Inimigos'!$N$11:$N$54</formula1>
    </dataValidation>
    <dataValidation sqref="C27" showDropDown="0" showInputMessage="0" showErrorMessage="1" allowBlank="1" errorTitle="Valor fora da faixa" error="Quantidade: use um número inteiro de 0 a 10." type="whole" errorStyle="warning" operator="between">
      <formula1>0</formula1>
      <formula2>10</formula2>
    </dataValidation>
    <dataValidation sqref="D27" showDropDown="0" showInputMessage="0" showErrorMessage="1" allowBlank="1" errorTitle="Fora da lista" error="Fraqueza 1: escolha um valor da lista. A planilha pode não reconhecer outro valor." type="list" errorStyle="warning">
      <formula1>'Dados'!$AN$6:$AN$12</formula1>
    </dataValidation>
    <dataValidation sqref="E27" showDropDown="0" showInputMessage="0" showErrorMessage="1" allowBlank="1" errorTitle="Fora da lista" error="Fraqueza 2: escolha um valor da lista. A planilha pode não reconhecer outro valor." type="list" errorStyle="warning">
      <formula1>'Dados'!$AN$6:$AN$12</formula1>
    </dataValidation>
    <dataValidation sqref="F27" showDropDown="0" showInputMessage="0" showErrorMessage="1" allowBlank="1" errorTitle="Fora da lista" error="Fraqueza 3: escolha um valor da lista. A planilha pode não reconhecer outro valor." type="list" errorStyle="warning">
      <formula1>'Dados'!$AN$6:$AN$12</formula1>
    </dataValidation>
    <dataValidation sqref="G27" showDropDown="0" showInputMessage="0" showErrorMessage="1" allowBlank="1" errorTitle="Fora da lista" error="Fraqueza 4: escolha um valor da lista. A planilha pode não reconhecer outro valor." type="list" errorStyle="warning">
      <formula1>'Dados'!$AN$6:$AN$12</formula1>
    </dataValidation>
    <dataValidation sqref="A28" showDropDown="0" showInputMessage="0" showErrorMessage="1" allowBlank="1" errorTitle="Fora da lista" error="Criatura: escolha um valor da lista. A planilha pode não reconhecer outro valor." type="list" errorStyle="warning">
      <formula1>'Inimigos'!$N$11:$N$54</formula1>
    </dataValidation>
    <dataValidation sqref="C28" showDropDown="0" showInputMessage="0" showErrorMessage="1" allowBlank="1" errorTitle="Valor fora da faixa" error="Quantidade: use um número inteiro de 0 a 10." type="whole" errorStyle="warning" operator="between">
      <formula1>0</formula1>
      <formula2>10</formula2>
    </dataValidation>
    <dataValidation sqref="D28" showDropDown="0" showInputMessage="0" showErrorMessage="1" allowBlank="1" errorTitle="Fora da lista" error="Fraqueza 1: escolha um valor da lista. A planilha pode não reconhecer outro valor." type="list" errorStyle="warning">
      <formula1>'Dados'!$AN$6:$AN$12</formula1>
    </dataValidation>
    <dataValidation sqref="E28" showDropDown="0" showInputMessage="0" showErrorMessage="1" allowBlank="1" errorTitle="Fora da lista" error="Fraqueza 2: escolha um valor da lista. A planilha pode não reconhecer outro valor." type="list" errorStyle="warning">
      <formula1>'Dados'!$AN$6:$AN$12</formula1>
    </dataValidation>
    <dataValidation sqref="F28" showDropDown="0" showInputMessage="0" showErrorMessage="1" allowBlank="1" errorTitle="Fora da lista" error="Fraqueza 3: escolha um valor da lista. A planilha pode não reconhecer outro valor." type="list" errorStyle="warning">
      <formula1>'Dados'!$AN$6:$AN$12</formula1>
    </dataValidation>
    <dataValidation sqref="G28" showDropDown="0" showInputMessage="0" showErrorMessage="1" allowBlank="1" errorTitle="Fora da lista" error="Fraqueza 4: escolha um valor da lista. A planilha pode não reconhecer outro valor." type="list" errorStyle="warning">
      <formula1>'Dados'!$AN$6:$AN$12</formula1>
    </dataValidation>
    <dataValidation sqref="B47" showDropDown="0" showInputMessage="0" showErrorMessage="1" allowBlank="1" errorTitle="Texto longo" error="Nome do encontro: até 60 caracteres." type="textLength" errorStyle="warning" operator="lessThanOrEqual">
      <formula1>60</formula1>
    </dataValidation>
    <dataValidation sqref="G47" showDropDown="0" showInputMessage="0" showErrorMessage="1" allowBlank="1" errorTitle="Texto longo" error="Ambiente: até 80 caracteres." type="textLength" errorStyle="warning" operator="lessThanOrEqual">
      <formula1>80</formula1>
    </dataValidation>
    <dataValidation sqref="A49" showDropDown="0" showInputMessage="0" showErrorMessage="1" allowBlank="1" errorTitle="Fora da lista" error="Criatura: escolha um valor da lista. A planilha pode não reconhecer outro valor." type="list" errorStyle="warning">
      <formula1>'Inimigos'!$N$11:$N$54</formula1>
    </dataValidation>
    <dataValidation sqref="C49" showDropDown="0" showInputMessage="0" showErrorMessage="1" allowBlank="1" errorTitle="Valor fora da faixa" error="Quantidade: use um número inteiro de 0 a 10." type="whole" errorStyle="warning" operator="between">
      <formula1>0</formula1>
      <formula2>10</formula2>
    </dataValidation>
    <dataValidation sqref="D49" showDropDown="0" showInputMessage="0" showErrorMessage="1" allowBlank="1" errorTitle="Fora da lista" error="Fraqueza 1: escolha um valor da lista. A planilha pode não reconhecer outro valor." type="list" errorStyle="warning">
      <formula1>'Dados'!$AN$6:$AN$12</formula1>
    </dataValidation>
    <dataValidation sqref="E49" showDropDown="0" showInputMessage="0" showErrorMessage="1" allowBlank="1" errorTitle="Fora da lista" error="Fraqueza 2: escolha um valor da lista. A planilha pode não reconhecer outro valor." type="list" errorStyle="warning">
      <formula1>'Dados'!$AN$6:$AN$12</formula1>
    </dataValidation>
    <dataValidation sqref="F49" showDropDown="0" showInputMessage="0" showErrorMessage="1" allowBlank="1" errorTitle="Fora da lista" error="Fraqueza 3: escolha um valor da lista. A planilha pode não reconhecer outro valor." type="list" errorStyle="warning">
      <formula1>'Dados'!$AN$6:$AN$12</formula1>
    </dataValidation>
    <dataValidation sqref="G49" showDropDown="0" showInputMessage="0" showErrorMessage="1" allowBlank="1" errorTitle="Fora da lista" error="Fraqueza 4: escolha um valor da lista. A planilha pode não reconhecer outro valor." type="list" errorStyle="warning">
      <formula1>'Dados'!$AN$6:$AN$12</formula1>
    </dataValidation>
    <dataValidation sqref="A50" showDropDown="0" showInputMessage="0" showErrorMessage="1" allowBlank="1" errorTitle="Fora da lista" error="Criatura: escolha um valor da lista. A planilha pode não reconhecer outro valor." type="list" errorStyle="warning">
      <formula1>'Inimigos'!$N$11:$N$54</formula1>
    </dataValidation>
    <dataValidation sqref="C50" showDropDown="0" showInputMessage="0" showErrorMessage="1" allowBlank="1" errorTitle="Valor fora da faixa" error="Quantidade: use um número inteiro de 0 a 10." type="whole" errorStyle="warning" operator="between">
      <formula1>0</formula1>
      <formula2>10</formula2>
    </dataValidation>
    <dataValidation sqref="D50" showDropDown="0" showInputMessage="0" showErrorMessage="1" allowBlank="1" errorTitle="Fora da lista" error="Fraqueza 1: escolha um valor da lista. A planilha pode não reconhecer outro valor." type="list" errorStyle="warning">
      <formula1>'Dados'!$AN$6:$AN$12</formula1>
    </dataValidation>
    <dataValidation sqref="E50" showDropDown="0" showInputMessage="0" showErrorMessage="1" allowBlank="1" errorTitle="Fora da lista" error="Fraqueza 2: escolha um valor da lista. A planilha pode não reconhecer outro valor." type="list" errorStyle="warning">
      <formula1>'Dados'!$AN$6:$AN$12</formula1>
    </dataValidation>
    <dataValidation sqref="F50" showDropDown="0" showInputMessage="0" showErrorMessage="1" allowBlank="1" errorTitle="Fora da lista" error="Fraqueza 3: escolha um valor da lista. A planilha pode não reconhecer outro valor." type="list" errorStyle="warning">
      <formula1>'Dados'!$AN$6:$AN$12</formula1>
    </dataValidation>
    <dataValidation sqref="G50" showDropDown="0" showInputMessage="0" showErrorMessage="1" allowBlank="1" errorTitle="Fora da lista" error="Fraqueza 4: escolha um valor da lista. A planilha pode não reconhecer outro valor." type="list" errorStyle="warning">
      <formula1>'Dados'!$AN$6:$AN$12</formula1>
    </dataValidation>
    <dataValidation sqref="A51" showDropDown="0" showInputMessage="0" showErrorMessage="1" allowBlank="1" errorTitle="Fora da lista" error="Criatura: escolha um valor da lista. A planilha pode não reconhecer outro valor." type="list" errorStyle="warning">
      <formula1>'Inimigos'!$N$11:$N$54</formula1>
    </dataValidation>
    <dataValidation sqref="C51" showDropDown="0" showInputMessage="0" showErrorMessage="1" allowBlank="1" errorTitle="Valor fora da faixa" error="Quantidade: use um número inteiro de 0 a 10." type="whole" errorStyle="warning" operator="between">
      <formula1>0</formula1>
      <formula2>10</formula2>
    </dataValidation>
    <dataValidation sqref="D51" showDropDown="0" showInputMessage="0" showErrorMessage="1" allowBlank="1" errorTitle="Fora da lista" error="Fraqueza 1: escolha um valor da lista. A planilha pode não reconhecer outro valor." type="list" errorStyle="warning">
      <formula1>'Dados'!$AN$6:$AN$12</formula1>
    </dataValidation>
    <dataValidation sqref="E51" showDropDown="0" showInputMessage="0" showErrorMessage="1" allowBlank="1" errorTitle="Fora da lista" error="Fraqueza 2: escolha um valor da lista. A planilha pode não reconhecer outro valor." type="list" errorStyle="warning">
      <formula1>'Dados'!$AN$6:$AN$12</formula1>
    </dataValidation>
    <dataValidation sqref="F51" showDropDown="0" showInputMessage="0" showErrorMessage="1" allowBlank="1" errorTitle="Fora da lista" error="Fraqueza 3: escolha um valor da lista. A planilha pode não reconhecer outro valor." type="list" errorStyle="warning">
      <formula1>'Dados'!$AN$6:$AN$12</formula1>
    </dataValidation>
    <dataValidation sqref="G51" showDropDown="0" showInputMessage="0" showErrorMessage="1" allowBlank="1" errorTitle="Fora da lista" error="Fraqueza 4: escolha um valor da lista. A planilha pode não reconhecer outro valor." type="list" errorStyle="warning">
      <formula1>'Dados'!$AN$6:$AN$12</formula1>
    </dataValidation>
    <dataValidation sqref="A52" showDropDown="0" showInputMessage="0" showErrorMessage="1" allowBlank="1" errorTitle="Fora da lista" error="Criatura: escolha um valor da lista. A planilha pode não reconhecer outro valor." type="list" errorStyle="warning">
      <formula1>'Inimigos'!$N$11:$N$54</formula1>
    </dataValidation>
    <dataValidation sqref="C52" showDropDown="0" showInputMessage="0" showErrorMessage="1" allowBlank="1" errorTitle="Valor fora da faixa" error="Quantidade: use um número inteiro de 0 a 10." type="whole" errorStyle="warning" operator="between">
      <formula1>0</formula1>
      <formula2>10</formula2>
    </dataValidation>
    <dataValidation sqref="D52" showDropDown="0" showInputMessage="0" showErrorMessage="1" allowBlank="1" errorTitle="Fora da lista" error="Fraqueza 1: escolha um valor da lista. A planilha pode não reconhecer outro valor." type="list" errorStyle="warning">
      <formula1>'Dados'!$AN$6:$AN$12</formula1>
    </dataValidation>
    <dataValidation sqref="E52" showDropDown="0" showInputMessage="0" showErrorMessage="1" allowBlank="1" errorTitle="Fora da lista" error="Fraqueza 2: escolha um valor da lista. A planilha pode não reconhecer outro valor." type="list" errorStyle="warning">
      <formula1>'Dados'!$AN$6:$AN$12</formula1>
    </dataValidation>
    <dataValidation sqref="F52" showDropDown="0" showInputMessage="0" showErrorMessage="1" allowBlank="1" errorTitle="Fora da lista" error="Fraqueza 3: escolha um valor da lista. A planilha pode não reconhecer outro valor." type="list" errorStyle="warning">
      <formula1>'Dados'!$AN$6:$AN$12</formula1>
    </dataValidation>
    <dataValidation sqref="G52" showDropDown="0" showInputMessage="0" showErrorMessage="1" allowBlank="1" errorTitle="Fora da lista" error="Fraqueza 4: escolha um valor da lista. A planilha pode não reconhecer outro valor." type="list" errorStyle="warning">
      <formula1>'Dados'!$AN$6:$AN$12</formula1>
    </dataValidation>
    <dataValidation sqref="A53" showDropDown="0" showInputMessage="0" showErrorMessage="1" allowBlank="1" errorTitle="Fora da lista" error="Criatura: escolha um valor da lista. A planilha pode não reconhecer outro valor." type="list" errorStyle="warning">
      <formula1>'Inimigos'!$N$11:$N$54</formula1>
    </dataValidation>
    <dataValidation sqref="C53" showDropDown="0" showInputMessage="0" showErrorMessage="1" allowBlank="1" errorTitle="Valor fora da faixa" error="Quantidade: use um número inteiro de 0 a 10." type="whole" errorStyle="warning" operator="between">
      <formula1>0</formula1>
      <formula2>10</formula2>
    </dataValidation>
    <dataValidation sqref="D53" showDropDown="0" showInputMessage="0" showErrorMessage="1" allowBlank="1" errorTitle="Fora da lista" error="Fraqueza 1: escolha um valor da lista. A planilha pode não reconhecer outro valor." type="list" errorStyle="warning">
      <formula1>'Dados'!$AN$6:$AN$12</formula1>
    </dataValidation>
    <dataValidation sqref="E53" showDropDown="0" showInputMessage="0" showErrorMessage="1" allowBlank="1" errorTitle="Fora da lista" error="Fraqueza 2: escolha um valor da lista. A planilha pode não reconhecer outro valor." type="list" errorStyle="warning">
      <formula1>'Dados'!$AN$6:$AN$12</formula1>
    </dataValidation>
    <dataValidation sqref="F53" showDropDown="0" showInputMessage="0" showErrorMessage="1" allowBlank="1" errorTitle="Fora da lista" error="Fraqueza 3: escolha um valor da lista. A planilha pode não reconhecer outro valor." type="list" errorStyle="warning">
      <formula1>'Dados'!$AN$6:$AN$12</formula1>
    </dataValidation>
    <dataValidation sqref="G53" showDropDown="0" showInputMessage="0" showErrorMessage="1" allowBlank="1" errorTitle="Fora da lista" error="Fraqueza 4: escolha um valor da lista. A planilha pode não reconhecer outro valor." type="list" errorStyle="warning">
      <formula1>'Dados'!$AN$6:$AN$12</formula1>
    </dataValidation>
    <dataValidation sqref="A54" showDropDown="0" showInputMessage="0" showErrorMessage="1" allowBlank="1" errorTitle="Fora da lista" error="Criatura: escolha um valor da lista. A planilha pode não reconhecer outro valor." type="list" errorStyle="warning">
      <formula1>'Inimigos'!$N$11:$N$54</formula1>
    </dataValidation>
    <dataValidation sqref="C54" showDropDown="0" showInputMessage="0" showErrorMessage="1" allowBlank="1" errorTitle="Valor fora da faixa" error="Quantidade: use um número inteiro de 0 a 10." type="whole" errorStyle="warning" operator="between">
      <formula1>0</formula1>
      <formula2>10</formula2>
    </dataValidation>
    <dataValidation sqref="D54" showDropDown="0" showInputMessage="0" showErrorMessage="1" allowBlank="1" errorTitle="Fora da lista" error="Fraqueza 1: escolha um valor da lista. A planilha pode não reconhecer outro valor." type="list" errorStyle="warning">
      <formula1>'Dados'!$AN$6:$AN$12</formula1>
    </dataValidation>
    <dataValidation sqref="E54" showDropDown="0" showInputMessage="0" showErrorMessage="1" allowBlank="1" errorTitle="Fora da lista" error="Fraqueza 2: escolha um valor da lista. A planilha pode não reconhecer outro valor." type="list" errorStyle="warning">
      <formula1>'Dados'!$AN$6:$AN$12</formula1>
    </dataValidation>
    <dataValidation sqref="F54" showDropDown="0" showInputMessage="0" showErrorMessage="1" allowBlank="1" errorTitle="Fora da lista" error="Fraqueza 3: escolha um valor da lista. A planilha pode não reconhecer outro valor." type="list" errorStyle="warning">
      <formula1>'Dados'!$AN$6:$AN$12</formula1>
    </dataValidation>
    <dataValidation sqref="G54" showDropDown="0" showInputMessage="0" showErrorMessage="1" allowBlank="1" errorTitle="Fora da lista" error="Fraqueza 4: escolha um valor da lista. A planilha pode não reconhecer outro valor." type="list" errorStyle="warning">
      <formula1>'Dados'!$AN$6:$AN$12</formula1>
    </dataValidation>
    <dataValidation sqref="A55" showDropDown="0" showInputMessage="0" showErrorMessage="1" allowBlank="1" errorTitle="Fora da lista" error="Criatura: escolha um valor da lista. A planilha pode não reconhecer outro valor." type="list" errorStyle="warning">
      <formula1>'Inimigos'!$N$11:$N$54</formula1>
    </dataValidation>
    <dataValidation sqref="C55" showDropDown="0" showInputMessage="0" showErrorMessage="1" allowBlank="1" errorTitle="Valor fora da faixa" error="Quantidade: use um número inteiro de 0 a 10." type="whole" errorStyle="warning" operator="between">
      <formula1>0</formula1>
      <formula2>10</formula2>
    </dataValidation>
    <dataValidation sqref="D55" showDropDown="0" showInputMessage="0" showErrorMessage="1" allowBlank="1" errorTitle="Fora da lista" error="Fraqueza 1: escolha um valor da lista. A planilha pode não reconhecer outro valor." type="list" errorStyle="warning">
      <formula1>'Dados'!$AN$6:$AN$12</formula1>
    </dataValidation>
    <dataValidation sqref="E55" showDropDown="0" showInputMessage="0" showErrorMessage="1" allowBlank="1" errorTitle="Fora da lista" error="Fraqueza 2: escolha um valor da lista. A planilha pode não reconhecer outro valor." type="list" errorStyle="warning">
      <formula1>'Dados'!$AN$6:$AN$12</formula1>
    </dataValidation>
    <dataValidation sqref="F55" showDropDown="0" showInputMessage="0" showErrorMessage="1" allowBlank="1" errorTitle="Fora da lista" error="Fraqueza 3: escolha um valor da lista. A planilha pode não reconhecer outro valor." type="list" errorStyle="warning">
      <formula1>'Dados'!$AN$6:$AN$12</formula1>
    </dataValidation>
    <dataValidation sqref="G55" showDropDown="0" showInputMessage="0" showErrorMessage="1" allowBlank="1" errorTitle="Fora da lista" error="Fraqueza 4: escolha um valor da lista. A planilha pode não reconhecer outro valor." type="list" errorStyle="warning">
      <formula1>'Dados'!$AN$6:$AN$12</formula1>
    </dataValidation>
    <dataValidation sqref="A56" showDropDown="0" showInputMessage="0" showErrorMessage="1" allowBlank="1" errorTitle="Fora da lista" error="Criatura: escolha um valor da lista. A planilha pode não reconhecer outro valor." type="list" errorStyle="warning">
      <formula1>'Inimigos'!$N$11:$N$54</formula1>
    </dataValidation>
    <dataValidation sqref="C56" showDropDown="0" showInputMessage="0" showErrorMessage="1" allowBlank="1" errorTitle="Valor fora da faixa" error="Quantidade: use um número inteiro de 0 a 10." type="whole" errorStyle="warning" operator="between">
      <formula1>0</formula1>
      <formula2>10</formula2>
    </dataValidation>
    <dataValidation sqref="D56" showDropDown="0" showInputMessage="0" showErrorMessage="1" allowBlank="1" errorTitle="Fora da lista" error="Fraqueza 1: escolha um valor da lista. A planilha pode não reconhecer outro valor." type="list" errorStyle="warning">
      <formula1>'Dados'!$AN$6:$AN$12</formula1>
    </dataValidation>
    <dataValidation sqref="E56" showDropDown="0" showInputMessage="0" showErrorMessage="1" allowBlank="1" errorTitle="Fora da lista" error="Fraqueza 2: escolha um valor da lista. A planilha pode não reconhecer outro valor." type="list" errorStyle="warning">
      <formula1>'Dados'!$AN$6:$AN$12</formula1>
    </dataValidation>
    <dataValidation sqref="F56" showDropDown="0" showInputMessage="0" showErrorMessage="1" allowBlank="1" errorTitle="Fora da lista" error="Fraqueza 3: escolha um valor da lista. A planilha pode não reconhecer outro valor." type="list" errorStyle="warning">
      <formula1>'Dados'!$AN$6:$AN$12</formula1>
    </dataValidation>
    <dataValidation sqref="G56" showDropDown="0" showInputMessage="0" showErrorMessage="1" allowBlank="1" errorTitle="Fora da lista" error="Fraqueza 4: escolha um valor da lista. A planilha pode não reconhecer outro valor." type="list" errorStyle="warning">
      <formula1>'Dados'!$AN$6:$AN$12</formula1>
    </dataValidation>
    <dataValidation sqref="B75" showDropDown="0" showInputMessage="0" showErrorMessage="1" allowBlank="1" errorTitle="Texto longo" error="Nome do encontro: até 60 caracteres." type="textLength" errorStyle="warning" operator="lessThanOrEqual">
      <formula1>60</formula1>
    </dataValidation>
    <dataValidation sqref="G75" showDropDown="0" showInputMessage="0" showErrorMessage="1" allowBlank="1" errorTitle="Texto longo" error="Ambiente: até 80 caracteres." type="textLength" errorStyle="warning" operator="lessThanOrEqual">
      <formula1>80</formula1>
    </dataValidation>
    <dataValidation sqref="A77" showDropDown="0" showInputMessage="0" showErrorMessage="1" allowBlank="1" errorTitle="Fora da lista" error="Criatura: escolha um valor da lista. A planilha pode não reconhecer outro valor." type="list" errorStyle="warning">
      <formula1>'Inimigos'!$N$11:$N$54</formula1>
    </dataValidation>
    <dataValidation sqref="C77" showDropDown="0" showInputMessage="0" showErrorMessage="1" allowBlank="1" errorTitle="Valor fora da faixa" error="Quantidade: use um número inteiro de 0 a 10." type="whole" errorStyle="warning" operator="between">
      <formula1>0</formula1>
      <formula2>10</formula2>
    </dataValidation>
    <dataValidation sqref="D77" showDropDown="0" showInputMessage="0" showErrorMessage="1" allowBlank="1" errorTitle="Fora da lista" error="Fraqueza 1: escolha um valor da lista. A planilha pode não reconhecer outro valor." type="list" errorStyle="warning">
      <formula1>'Dados'!$AN$6:$AN$12</formula1>
    </dataValidation>
    <dataValidation sqref="E77" showDropDown="0" showInputMessage="0" showErrorMessage="1" allowBlank="1" errorTitle="Fora da lista" error="Fraqueza 2: escolha um valor da lista. A planilha pode não reconhecer outro valor." type="list" errorStyle="warning">
      <formula1>'Dados'!$AN$6:$AN$12</formula1>
    </dataValidation>
    <dataValidation sqref="F77" showDropDown="0" showInputMessage="0" showErrorMessage="1" allowBlank="1" errorTitle="Fora da lista" error="Fraqueza 3: escolha um valor da lista. A planilha pode não reconhecer outro valor." type="list" errorStyle="warning">
      <formula1>'Dados'!$AN$6:$AN$12</formula1>
    </dataValidation>
    <dataValidation sqref="G77" showDropDown="0" showInputMessage="0" showErrorMessage="1" allowBlank="1" errorTitle="Fora da lista" error="Fraqueza 4: escolha um valor da lista. A planilha pode não reconhecer outro valor." type="list" errorStyle="warning">
      <formula1>'Dados'!$AN$6:$AN$12</formula1>
    </dataValidation>
    <dataValidation sqref="A78" showDropDown="0" showInputMessage="0" showErrorMessage="1" allowBlank="1" errorTitle="Fora da lista" error="Criatura: escolha um valor da lista. A planilha pode não reconhecer outro valor." type="list" errorStyle="warning">
      <formula1>'Inimigos'!$N$11:$N$54</formula1>
    </dataValidation>
    <dataValidation sqref="C78" showDropDown="0" showInputMessage="0" showErrorMessage="1" allowBlank="1" errorTitle="Valor fora da faixa" error="Quantidade: use um número inteiro de 0 a 10." type="whole" errorStyle="warning" operator="between">
      <formula1>0</formula1>
      <formula2>10</formula2>
    </dataValidation>
    <dataValidation sqref="D78" showDropDown="0" showInputMessage="0" showErrorMessage="1" allowBlank="1" errorTitle="Fora da lista" error="Fraqueza 1: escolha um valor da lista. A planilha pode não reconhecer outro valor." type="list" errorStyle="warning">
      <formula1>'Dados'!$AN$6:$AN$12</formula1>
    </dataValidation>
    <dataValidation sqref="E78" showDropDown="0" showInputMessage="0" showErrorMessage="1" allowBlank="1" errorTitle="Fora da lista" error="Fraqueza 2: escolha um valor da lista. A planilha pode não reconhecer outro valor." type="list" errorStyle="warning">
      <formula1>'Dados'!$AN$6:$AN$12</formula1>
    </dataValidation>
    <dataValidation sqref="F78" showDropDown="0" showInputMessage="0" showErrorMessage="1" allowBlank="1" errorTitle="Fora da lista" error="Fraqueza 3: escolha um valor da lista. A planilha pode não reconhecer outro valor." type="list" errorStyle="warning">
      <formula1>'Dados'!$AN$6:$AN$12</formula1>
    </dataValidation>
    <dataValidation sqref="G78" showDropDown="0" showInputMessage="0" showErrorMessage="1" allowBlank="1" errorTitle="Fora da lista" error="Fraqueza 4: escolha um valor da lista. A planilha pode não reconhecer outro valor." type="list" errorStyle="warning">
      <formula1>'Dados'!$AN$6:$AN$12</formula1>
    </dataValidation>
    <dataValidation sqref="A79" showDropDown="0" showInputMessage="0" showErrorMessage="1" allowBlank="1" errorTitle="Fora da lista" error="Criatura: escolha um valor da lista. A planilha pode não reconhecer outro valor." type="list" errorStyle="warning">
      <formula1>'Inimigos'!$N$11:$N$54</formula1>
    </dataValidation>
    <dataValidation sqref="C79" showDropDown="0" showInputMessage="0" showErrorMessage="1" allowBlank="1" errorTitle="Valor fora da faixa" error="Quantidade: use um número inteiro de 0 a 10." type="whole" errorStyle="warning" operator="between">
      <formula1>0</formula1>
      <formula2>10</formula2>
    </dataValidation>
    <dataValidation sqref="D79" showDropDown="0" showInputMessage="0" showErrorMessage="1" allowBlank="1" errorTitle="Fora da lista" error="Fraqueza 1: escolha um valor da lista. A planilha pode não reconhecer outro valor." type="list" errorStyle="warning">
      <formula1>'Dados'!$AN$6:$AN$12</formula1>
    </dataValidation>
    <dataValidation sqref="E79" showDropDown="0" showInputMessage="0" showErrorMessage="1" allowBlank="1" errorTitle="Fora da lista" error="Fraqueza 2: escolha um valor da lista. A planilha pode não reconhecer outro valor." type="list" errorStyle="warning">
      <formula1>'Dados'!$AN$6:$AN$12</formula1>
    </dataValidation>
    <dataValidation sqref="F79" showDropDown="0" showInputMessage="0" showErrorMessage="1" allowBlank="1" errorTitle="Fora da lista" error="Fraqueza 3: escolha um valor da lista. A planilha pode não reconhecer outro valor." type="list" errorStyle="warning">
      <formula1>'Dados'!$AN$6:$AN$12</formula1>
    </dataValidation>
    <dataValidation sqref="G79" showDropDown="0" showInputMessage="0" showErrorMessage="1" allowBlank="1" errorTitle="Fora da lista" error="Fraqueza 4: escolha um valor da lista. A planilha pode não reconhecer outro valor." type="list" errorStyle="warning">
      <formula1>'Dados'!$AN$6:$AN$12</formula1>
    </dataValidation>
    <dataValidation sqref="A80" showDropDown="0" showInputMessage="0" showErrorMessage="1" allowBlank="1" errorTitle="Fora da lista" error="Criatura: escolha um valor da lista. A planilha pode não reconhecer outro valor." type="list" errorStyle="warning">
      <formula1>'Inimigos'!$N$11:$N$54</formula1>
    </dataValidation>
    <dataValidation sqref="C80" showDropDown="0" showInputMessage="0" showErrorMessage="1" allowBlank="1" errorTitle="Valor fora da faixa" error="Quantidade: use um número inteiro de 0 a 10." type="whole" errorStyle="warning" operator="between">
      <formula1>0</formula1>
      <formula2>10</formula2>
    </dataValidation>
    <dataValidation sqref="D80" showDropDown="0" showInputMessage="0" showErrorMessage="1" allowBlank="1" errorTitle="Fora da lista" error="Fraqueza 1: escolha um valor da lista. A planilha pode não reconhecer outro valor." type="list" errorStyle="warning">
      <formula1>'Dados'!$AN$6:$AN$12</formula1>
    </dataValidation>
    <dataValidation sqref="E80" showDropDown="0" showInputMessage="0" showErrorMessage="1" allowBlank="1" errorTitle="Fora da lista" error="Fraqueza 2: escolha um valor da lista. A planilha pode não reconhecer outro valor." type="list" errorStyle="warning">
      <formula1>'Dados'!$AN$6:$AN$12</formula1>
    </dataValidation>
    <dataValidation sqref="F80" showDropDown="0" showInputMessage="0" showErrorMessage="1" allowBlank="1" errorTitle="Fora da lista" error="Fraqueza 3: escolha um valor da lista. A planilha pode não reconhecer outro valor." type="list" errorStyle="warning">
      <formula1>'Dados'!$AN$6:$AN$12</formula1>
    </dataValidation>
    <dataValidation sqref="G80" showDropDown="0" showInputMessage="0" showErrorMessage="1" allowBlank="1" errorTitle="Fora da lista" error="Fraqueza 4: escolha um valor da lista. A planilha pode não reconhecer outro valor." type="list" errorStyle="warning">
      <formula1>'Dados'!$AN$6:$AN$12</formula1>
    </dataValidation>
    <dataValidation sqref="A81" showDropDown="0" showInputMessage="0" showErrorMessage="1" allowBlank="1" errorTitle="Fora da lista" error="Criatura: escolha um valor da lista. A planilha pode não reconhecer outro valor." type="list" errorStyle="warning">
      <formula1>'Inimigos'!$N$11:$N$54</formula1>
    </dataValidation>
    <dataValidation sqref="C81" showDropDown="0" showInputMessage="0" showErrorMessage="1" allowBlank="1" errorTitle="Valor fora da faixa" error="Quantidade: use um número inteiro de 0 a 10." type="whole" errorStyle="warning" operator="between">
      <formula1>0</formula1>
      <formula2>10</formula2>
    </dataValidation>
    <dataValidation sqref="D81" showDropDown="0" showInputMessage="0" showErrorMessage="1" allowBlank="1" errorTitle="Fora da lista" error="Fraqueza 1: escolha um valor da lista. A planilha pode não reconhecer outro valor." type="list" errorStyle="warning">
      <formula1>'Dados'!$AN$6:$AN$12</formula1>
    </dataValidation>
    <dataValidation sqref="E81" showDropDown="0" showInputMessage="0" showErrorMessage="1" allowBlank="1" errorTitle="Fora da lista" error="Fraqueza 2: escolha um valor da lista. A planilha pode não reconhecer outro valor." type="list" errorStyle="warning">
      <formula1>'Dados'!$AN$6:$AN$12</formula1>
    </dataValidation>
    <dataValidation sqref="F81" showDropDown="0" showInputMessage="0" showErrorMessage="1" allowBlank="1" errorTitle="Fora da lista" error="Fraqueza 3: escolha um valor da lista. A planilha pode não reconhecer outro valor." type="list" errorStyle="warning">
      <formula1>'Dados'!$AN$6:$AN$12</formula1>
    </dataValidation>
    <dataValidation sqref="G81" showDropDown="0" showInputMessage="0" showErrorMessage="1" allowBlank="1" errorTitle="Fora da lista" error="Fraqueza 4: escolha um valor da lista. A planilha pode não reconhecer outro valor." type="list" errorStyle="warning">
      <formula1>'Dados'!$AN$6:$AN$12</formula1>
    </dataValidation>
    <dataValidation sqref="A82" showDropDown="0" showInputMessage="0" showErrorMessage="1" allowBlank="1" errorTitle="Fora da lista" error="Criatura: escolha um valor da lista. A planilha pode não reconhecer outro valor." type="list" errorStyle="warning">
      <formula1>'Inimigos'!$N$11:$N$54</formula1>
    </dataValidation>
    <dataValidation sqref="C82" showDropDown="0" showInputMessage="0" showErrorMessage="1" allowBlank="1" errorTitle="Valor fora da faixa" error="Quantidade: use um número inteiro de 0 a 10." type="whole" errorStyle="warning" operator="between">
      <formula1>0</formula1>
      <formula2>10</formula2>
    </dataValidation>
    <dataValidation sqref="D82" showDropDown="0" showInputMessage="0" showErrorMessage="1" allowBlank="1" errorTitle="Fora da lista" error="Fraqueza 1: escolha um valor da lista. A planilha pode não reconhecer outro valor." type="list" errorStyle="warning">
      <formula1>'Dados'!$AN$6:$AN$12</formula1>
    </dataValidation>
    <dataValidation sqref="E82" showDropDown="0" showInputMessage="0" showErrorMessage="1" allowBlank="1" errorTitle="Fora da lista" error="Fraqueza 2: escolha um valor da lista. A planilha pode não reconhecer outro valor." type="list" errorStyle="warning">
      <formula1>'Dados'!$AN$6:$AN$12</formula1>
    </dataValidation>
    <dataValidation sqref="F82" showDropDown="0" showInputMessage="0" showErrorMessage="1" allowBlank="1" errorTitle="Fora da lista" error="Fraqueza 3: escolha um valor da lista. A planilha pode não reconhecer outro valor." type="list" errorStyle="warning">
      <formula1>'Dados'!$AN$6:$AN$12</formula1>
    </dataValidation>
    <dataValidation sqref="G82" showDropDown="0" showInputMessage="0" showErrorMessage="1" allowBlank="1" errorTitle="Fora da lista" error="Fraqueza 4: escolha um valor da lista. A planilha pode não reconhecer outro valor." type="list" errorStyle="warning">
      <formula1>'Dados'!$AN$6:$AN$12</formula1>
    </dataValidation>
    <dataValidation sqref="A83" showDropDown="0" showInputMessage="0" showErrorMessage="1" allowBlank="1" errorTitle="Fora da lista" error="Criatura: escolha um valor da lista. A planilha pode não reconhecer outro valor." type="list" errorStyle="warning">
      <formula1>'Inimigos'!$N$11:$N$54</formula1>
    </dataValidation>
    <dataValidation sqref="C83" showDropDown="0" showInputMessage="0" showErrorMessage="1" allowBlank="1" errorTitle="Valor fora da faixa" error="Quantidade: use um número inteiro de 0 a 10." type="whole" errorStyle="warning" operator="between">
      <formula1>0</formula1>
      <formula2>10</formula2>
    </dataValidation>
    <dataValidation sqref="D83" showDropDown="0" showInputMessage="0" showErrorMessage="1" allowBlank="1" errorTitle="Fora da lista" error="Fraqueza 1: escolha um valor da lista. A planilha pode não reconhecer outro valor." type="list" errorStyle="warning">
      <formula1>'Dados'!$AN$6:$AN$12</formula1>
    </dataValidation>
    <dataValidation sqref="E83" showDropDown="0" showInputMessage="0" showErrorMessage="1" allowBlank="1" errorTitle="Fora da lista" error="Fraqueza 2: escolha um valor da lista. A planilha pode não reconhecer outro valor." type="list" errorStyle="warning">
      <formula1>'Dados'!$AN$6:$AN$12</formula1>
    </dataValidation>
    <dataValidation sqref="F83" showDropDown="0" showInputMessage="0" showErrorMessage="1" allowBlank="1" errorTitle="Fora da lista" error="Fraqueza 3: escolha um valor da lista. A planilha pode não reconhecer outro valor." type="list" errorStyle="warning">
      <formula1>'Dados'!$AN$6:$AN$12</formula1>
    </dataValidation>
    <dataValidation sqref="G83" showDropDown="0" showInputMessage="0" showErrorMessage="1" allowBlank="1" errorTitle="Fora da lista" error="Fraqueza 4: escolha um valor da lista. A planilha pode não reconhecer outro valor." type="list" errorStyle="warning">
      <formula1>'Dados'!$AN$6:$AN$12</formula1>
    </dataValidation>
    <dataValidation sqref="A84" showDropDown="0" showInputMessage="0" showErrorMessage="1" allowBlank="1" errorTitle="Fora da lista" error="Criatura: escolha um valor da lista. A planilha pode não reconhecer outro valor." type="list" errorStyle="warning">
      <formula1>'Inimigos'!$N$11:$N$54</formula1>
    </dataValidation>
    <dataValidation sqref="C84" showDropDown="0" showInputMessage="0" showErrorMessage="1" allowBlank="1" errorTitle="Valor fora da faixa" error="Quantidade: use um número inteiro de 0 a 10." type="whole" errorStyle="warning" operator="between">
      <formula1>0</formula1>
      <formula2>10</formula2>
    </dataValidation>
    <dataValidation sqref="D84" showDropDown="0" showInputMessage="0" showErrorMessage="1" allowBlank="1" errorTitle="Fora da lista" error="Fraqueza 1: escolha um valor da lista. A planilha pode não reconhecer outro valor." type="list" errorStyle="warning">
      <formula1>'Dados'!$AN$6:$AN$12</formula1>
    </dataValidation>
    <dataValidation sqref="E84" showDropDown="0" showInputMessage="0" showErrorMessage="1" allowBlank="1" errorTitle="Fora da lista" error="Fraqueza 2: escolha um valor da lista. A planilha pode não reconhecer outro valor." type="list" errorStyle="warning">
      <formula1>'Dados'!$AN$6:$AN$12</formula1>
    </dataValidation>
    <dataValidation sqref="F84" showDropDown="0" showInputMessage="0" showErrorMessage="1" allowBlank="1" errorTitle="Fora da lista" error="Fraqueza 3: escolha um valor da lista. A planilha pode não reconhecer outro valor." type="list" errorStyle="warning">
      <formula1>'Dados'!$AN$6:$AN$12</formula1>
    </dataValidation>
    <dataValidation sqref="G84" showDropDown="0" showInputMessage="0" showErrorMessage="1" allowBlank="1" errorTitle="Fora da lista" error="Fraqueza 4: escolha um valor da lista. A planilha pode não reconhecer outro valor." type="list" errorStyle="warning">
      <formula1>'Dados'!$AN$6:$AN$12</formula1>
    </dataValidation>
    <dataValidation sqref="A105" showDropDown="0" showInputMessage="0" showErrorMessage="1" allowBlank="1" errorTitle="Valor fora da faixa" error="Rolagem nº: use um número inteiro de 1 a 1000000." type="whole" errorStyle="warning" operator="between">
      <formula1>1</formula1>
      <formula2>1000000</formula2>
    </dataValidation>
    <dataValidation sqref="B105" showDropDown="0" showInputMessage="0" showErrorMessage="1" allowBlank="1" errorTitle="Fora da lista" error="Ambiente: escolha um valor da lista. A planilha pode não reconhecer outro valor." type="list" errorStyle="warning">
      <formula1>'Dados'!$BC$6:$BC$19</formula1>
    </dataValidation>
    <dataValidation sqref="E105" showDropDown="0" showInputMessage="0" showErrorMessage="1" allowBlank="1" errorTitle="Fora da lista" error="Faixa: escolha um valor da lista. A planilha pode não reconhecer outro valor." type="list" errorStyle="warning">
      <formula1>'Dados'!$AP$6:$AP$10</formula1>
    </dataValidation>
    <dataValidation sqref="F105" showDropDown="0" showInputMessage="0" showErrorMessage="1" allowBlank="1" errorTitle="Fora da lista" error="Composição: escolha um valor da lista. A planilha pode não reconhecer outro valor." type="list" errorStyle="warning">
      <formula1>'Dados'!$BD$6:$BD$10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J311"/>
  <sheetViews>
    <sheetView showGridLines="1" workbookViewId="0">
      <selection activeCell="A1" sqref="A1"/>
    </sheetView>
  </sheetViews>
  <sheetFormatPr baseColWidth="8" defaultRowHeight="15"/>
  <cols>
    <col width="20.786" customWidth="1" min="1" max="1"/>
    <col width="13.643" customWidth="1" min="2" max="2"/>
    <col width="16.5"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0.071" customWidth="1" min="11" max="11"/>
    <col width="20.071"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width="13" customWidth="1" min="49" max="49"/>
    <col width="13" customWidth="1" min="50" max="50"/>
    <col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ht="24" customHeight="1">
      <c r="A1" s="1" t="inlineStr">
        <is>
          <t>Combate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Fila de Ação, PV, Tenacidade e Quebra, condições, Morrendo e recursos do grupo.</t>
        </is>
      </c>
    </row>
    <row r="4"/>
    <row r="5" ht="20" customHeight="1">
      <c r="A5" s="13" t="inlineStr">
        <is>
          <t>C0 · Controle do combate</t>
        </is>
      </c>
    </row>
    <row r="6">
      <c r="A6" s="8" t="inlineStr">
        <is>
          <t>Combate</t>
        </is>
      </c>
      <c r="B6" s="8" t="inlineStr">
        <is>
          <t>Ciclo atual</t>
        </is>
      </c>
      <c r="C6" s="8" t="inlineStr">
        <is>
          <t>Carregar encontro</t>
        </is>
      </c>
      <c r="D6" s="20" t="n"/>
      <c r="E6" s="8" t="inlineStr">
        <is>
          <t>Surpresa</t>
        </is>
      </c>
      <c r="F6" s="20" t="n"/>
      <c r="G6" s="8" t="inlineStr">
        <is>
          <t>PH atual</t>
        </is>
      </c>
      <c r="H6" s="8" t="inlineStr">
        <is>
          <t>PH máx.</t>
        </is>
      </c>
      <c r="I6" s="8" t="inlineStr">
        <is>
          <t>PH no início</t>
        </is>
      </c>
      <c r="J6" s="8" t="inlineStr">
        <is>
          <t>Na Fila agora</t>
        </is>
      </c>
      <c r="K6" s="8" t="inlineStr">
        <is>
          <t>Aviso</t>
        </is>
      </c>
      <c r="L6" s="20" t="n"/>
    </row>
    <row r="7" ht="37" customHeight="1">
      <c r="A7" s="9" t="inlineStr">
        <is>
          <t>Estado</t>
        </is>
      </c>
      <c r="B7" s="16" t="n"/>
      <c r="C7" s="4" t="n"/>
      <c r="D7" s="17" t="n"/>
      <c r="E7" s="4" t="n"/>
      <c r="F7" s="17" t="n"/>
      <c r="G7" s="16" t="n"/>
      <c r="H7" s="18">
        <f>'Campanha'!$B$24</f>
        <v/>
      </c>
      <c r="I7" s="18">
        <f>'Campanha'!$B$25</f>
        <v/>
      </c>
      <c r="J7" s="18">
        <f>SUM($R$11:$R$32)</f>
        <v/>
      </c>
      <c r="K7" s="19">
        <f>IF(CJ7&gt;0,"O Google leu como fórmula: escolha de novo ou digite com ' na frente.",IF(AND(ISNUMBER($CF$7),$CF$7&lt;0),"Não existe PH negativo (27.10)",IF(AND(ISNUMBER($CF$7),$CF$7&gt;$H$7),"PH acima do máximo do grupo (16.2)",IF(AND($CD$7&lt;&gt;"",$CD$7&lt;&gt;"Ninguém",$N$8=1),"Surpresa: cada um do lado surpreendido faz Percepção Mental DT 13; quem falha recebe Surpreso em C7 (19.3)",""))))</f>
        <v/>
      </c>
      <c r="CA7" s="2">
        <f>IF(ISERROR($B$7),"",IF(ISBLANK($B$7),"",$B$7))</f>
        <v/>
      </c>
      <c r="CB7" s="2">
        <f>IF(ISERROR($C$7),"",IF(ISBLANK($C$7),"",$C$7))</f>
        <v/>
      </c>
      <c r="CD7" s="2">
        <f>IF(ISERROR($E$7),"",IF(ISBLANK($E$7),"",$E$7))</f>
        <v/>
      </c>
      <c r="CF7" s="2">
        <f>IF(ISERROR($G$7),"",IF(ISBLANK($G$7),"",$G$7))</f>
        <v/>
      </c>
      <c r="CJ7" s="2">
        <f>ISERROR($B$7)*1+ISERROR($C$7)*1+ISERROR($E$7)*1+ISERROR($G$7)*1</f>
        <v/>
      </c>
    </row>
    <row r="8">
      <c r="A8" s="21" t="inlineStr">
        <is>
          <t>Avançar o Ciclo (4 passos, como a Trilha de Ação de 29.10): (1) some 1 em Ciclo atual;</t>
        </is>
      </c>
      <c r="N8" s="2">
        <f>IF(ISNUMBER($CA$7),MAX(1,INT($CA$7)),1)</f>
        <v/>
      </c>
      <c r="O8" s="2">
        <f>IF(ISNUMBER($CF$7),$CF$7,$I$7)</f>
        <v/>
      </c>
      <c r="P8" s="2">
        <f>IFERROR(MATCH($CB$7,'Dados'!$BE$6:$BE$10,0)-1,0)</f>
        <v/>
      </c>
    </row>
    <row r="9">
      <c r="A9" s="44" t="inlineStr">
        <is>
          <t>(2) copie a coluna 'Pendente para o Ciclo seguinte' (C8) e cole como valores em 'Atraso pendente do Ciclo anterior';</t>
        </is>
      </c>
    </row>
    <row r="10">
      <c r="A10" s="32" t="inlineStr">
        <is>
          <t>(3) apague 'Atraso deste Ciclo', 'Avançar', 'Já agiu?', 'Avanço Total' e 'Ultimate usada';</t>
        </is>
      </c>
    </row>
    <row r="11">
      <c r="A11" s="44" t="inlineStr">
        <is>
          <t>(4) desconte 1 turno das condições de quem agiu (C7; com 0 ela expira e sai do painel C9b). PV: digite o 'PV depois' no 'PV atual'.</t>
        </is>
      </c>
      <c r="N11" s="2">
        <f>IF(LEN('Grupo'!$P$7)&gt;0,'Grupo'!$P$7,"")</f>
        <v/>
      </c>
      <c r="O11" s="2">
        <f>"PJ"</f>
        <v/>
      </c>
      <c r="P11" s="2">
        <f>IF(AND(LEN('Grupo'!$P$7)&gt;0,$CA$15&lt;&gt;"Não"),1,0)</f>
        <v/>
      </c>
      <c r="Q11" s="2">
        <f>IF(AND($P$11=1,NOT(AND(ISNUMBER($CD$24),$CD$24&gt;=3))),1,0)</f>
        <v/>
      </c>
      <c r="R11" s="2">
        <f>IF(AND($Q$11=1,NOT(AND($AA$11=1,$O$11="Comum"))),1,0)</f>
        <v/>
      </c>
      <c r="S11" s="2">
        <f>$Q$11</f>
        <v/>
      </c>
      <c r="T11" s="2">
        <f>IF(ISNUMBER('Grupo'!$U$16),'Grupo'!$U$16,10)</f>
        <v/>
      </c>
      <c r="U11" s="2">
        <f>MIN(40,MAX(0,$T$11+IF(ISNUMBER($CB$15),MIN(10,MAX(-10,INT($CB$15))),0)))</f>
        <v/>
      </c>
      <c r="V11" s="2">
        <f>MIN(30,MAX(15,IF(ISNUMBER('Grupo'!$V$16),'Grupo'!$V$16,0)+20))</f>
        <v/>
      </c>
      <c r="W11" s="2">
        <f>MIN(30,MAX(15,IF(ISNUMBER('Grupo'!$W$16),'Grupo'!$W$16,0)+20))</f>
        <v/>
      </c>
      <c r="X11" s="2">
        <f>5+(5-IF(ISNUMBER($CB$114),MIN(5,MAX(1,INT($CB$114))),5))</f>
        <v/>
      </c>
      <c r="Y11" s="2">
        <f>0.09</f>
        <v/>
      </c>
      <c r="Z11" s="2">
        <f>$U$11*100000+$V$11*1000+$W$11*10+$X$11+$Y$11</f>
        <v/>
      </c>
      <c r="AA11" s="2">
        <f>0</f>
        <v/>
      </c>
      <c r="AB11" s="2">
        <f>IF(AND($N$8=1,LEN($N$11)&gt;0),IF(COUNTIFS($A$209:$A$303,$N$11,$CA$209:$CA$303,"Surpreso")-COUNTIFS($A$209:$A$303,$N$11,$CA$209:$CA$303,"Surpreso",$CC$209:$CC$303,0)&gt;0,1,0),0)</f>
        <v/>
      </c>
      <c r="AC11" s="2">
        <f>IF(ISNUMBER($CC$114),MAX(0,INT($CC$114)),0)</f>
        <v/>
      </c>
      <c r="AD11" s="2">
        <f>IF(AND($AA$11=1,$O$11&lt;&gt;"Comum"),2,IF($O$11="Comum",MIN(3,$AC$11),IF(OR($O$11="Elite",$O$11="Boss"),IF($AC$11=0,0,MIN(2,MAX(1,INT($AC$11/2)))),$AC$11)))</f>
        <v/>
      </c>
      <c r="AE11" s="2">
        <f>IF(AND($AA$11=1,$O$11="Comum"),0,MIN(IF($O$11="Comum",3,IF(OR($O$11="PJ",$O$11="Memoespírito"),999,2)),IF(ISNUMBER($CD$114),MAX(0,INT($CD$114)),0)))</f>
        <v/>
      </c>
      <c r="AF11" s="2">
        <f>IF($CG$114="Sim",1,0)</f>
        <v/>
      </c>
      <c r="AG11" s="2">
        <f>IF($AF$11=1,0,IF(ISNUMBER($CE$114),MAX(0,INT($CE$114)),0))</f>
        <v/>
      </c>
      <c r="AH11" s="2">
        <f>IF(ISNUMBER($CH$114),$CH$114,"")</f>
        <v/>
      </c>
      <c r="AI11" s="2">
        <f>IF($R$11=1,1+COUNTIFS($R$11:$R$32,1,$Z$11:$Z$32,"&gt;"&amp;$Z$11),"")</f>
        <v/>
      </c>
      <c r="AJ11" s="2">
        <f>IF($R$11=1,$AI$11+($AE$11+IF($AF$11=1,0,$AD$11)),"")</f>
        <v/>
      </c>
      <c r="AK11" s="2">
        <f>IF($R$11=1,MIN($J$7,$AJ$11),"")</f>
        <v/>
      </c>
      <c r="AL11" s="2">
        <f>IF($R$11=1,$AJ$11-$AK$11,0)</f>
        <v/>
      </c>
      <c r="AM11" s="2">
        <f>IF($R$11=0,"",IF(ISNUMBER($AH$11),$AH$11-0.7+1/1000,$AK$11+IF(($AE$11+IF($AF$11=1,0,$AD$11))&gt;0,0.5,0)-$AG$11-IF($AG$11&gt;0,0.5,0)+1/1000))</f>
        <v/>
      </c>
      <c r="AN11" s="2">
        <f>IF(OR($Q$11=0,AND($AA$11=1,$O$11="Comum")),0,MIN(IF($O$11="Comum",3,IF(OR($O$11="PJ",$O$11="Memoespírito"),999,2)),IF($AF$11=1,$AD$11,0)+$AL$11))</f>
        <v/>
      </c>
      <c r="AO11" s="2">
        <f>IF($S$11=1,1+COUNTIFS($S$11:$S$32,1,$Z$11:$Z$32,"&gt;"&amp;$Z$11),"")</f>
        <v/>
      </c>
      <c r="AP11" s="2">
        <f>IF($S$11=1,$AO$11+$AN$11+IF($AN$11&gt;0,0.5,0)+1/1000,"")</f>
        <v/>
      </c>
      <c r="AQ11" s="2">
        <f>IF(ISNUMBER('Grupo'!$Q$16),MAX(1,'Grupo'!$Q$16),1)</f>
        <v/>
      </c>
      <c r="AR11" s="2">
        <f>IF(ISNUMBER($CE$15),MIN($AQ$11,MAX(0,INT($CE$15))),$AQ$11)</f>
        <v/>
      </c>
      <c r="AS11" s="2">
        <f>'Campanha'!$B$20</f>
        <v/>
      </c>
      <c r="AT11" s="2">
        <f>IF(AND($R$11=1,$AF$11=0,$AB$11=0),1,0)</f>
        <v/>
      </c>
      <c r="AU11" s="2">
        <f>IF($CF$114="Sim",1,0)</f>
        <v/>
      </c>
      <c r="AV11" s="2">
        <f>$AD$209+$AD$210+$AD$211+$AD$212</f>
        <v/>
      </c>
    </row>
    <row r="12">
      <c r="A12" s="32" t="inlineStr">
        <is>
          <t>PH: começa cada combate com o máximo menos 2 (vazio = início); gera +1 por Ataque Básico que acerta (níveis 1–8) ou +2 (9–20), 16.2.</t>
        </is>
      </c>
      <c r="N12" s="2">
        <f>IF(LEN('Grupo'!$P$8)&gt;0,'Grupo'!$P$8,"")</f>
        <v/>
      </c>
      <c r="O12" s="2">
        <f>"PJ"</f>
        <v/>
      </c>
      <c r="P12" s="2">
        <f>IF(AND(LEN('Grupo'!$P$8)&gt;0,$CA$16&lt;&gt;"Não"),1,0)</f>
        <v/>
      </c>
      <c r="Q12" s="2">
        <f>IF(AND($P$12=1,NOT(AND(ISNUMBER($CD$25),$CD$25&gt;=3))),1,0)</f>
        <v/>
      </c>
      <c r="R12" s="2">
        <f>IF(AND($Q$12=1,NOT(AND($AA$12=1,$O$12="Comum"))),1,0)</f>
        <v/>
      </c>
      <c r="S12" s="2">
        <f>$Q$12</f>
        <v/>
      </c>
      <c r="T12" s="2">
        <f>IF(ISNUMBER('Grupo'!$U$17),'Grupo'!$U$17,10)</f>
        <v/>
      </c>
      <c r="U12" s="2">
        <f>MIN(40,MAX(0,$T$12+IF(ISNUMBER($CB$16),MIN(10,MAX(-10,INT($CB$16))),0)))</f>
        <v/>
      </c>
      <c r="V12" s="2">
        <f>MIN(30,MAX(15,IF(ISNUMBER('Grupo'!$V$17),'Grupo'!$V$17,0)+20))</f>
        <v/>
      </c>
      <c r="W12" s="2">
        <f>MIN(30,MAX(15,IF(ISNUMBER('Grupo'!$W$17),'Grupo'!$W$17,0)+20))</f>
        <v/>
      </c>
      <c r="X12" s="2">
        <f>5+(5-IF(ISNUMBER($CB$115),MIN(5,MAX(1,INT($CB$115))),5))</f>
        <v/>
      </c>
      <c r="Y12" s="2">
        <f>0.08</f>
        <v/>
      </c>
      <c r="Z12" s="2">
        <f>$U$12*100000+$V$12*1000+$W$12*10+$X$12+$Y$12</f>
        <v/>
      </c>
      <c r="AA12" s="2">
        <f>0</f>
        <v/>
      </c>
      <c r="AB12" s="2">
        <f>IF(AND($N$8=1,LEN($N$12)&gt;0),IF(COUNTIFS($A$209:$A$303,$N$12,$CA$209:$CA$303,"Surpreso")-COUNTIFS($A$209:$A$303,$N$12,$CA$209:$CA$303,"Surpreso",$CC$209:$CC$303,0)&gt;0,1,0),0)</f>
        <v/>
      </c>
      <c r="AC12" s="2">
        <f>IF(ISNUMBER($CC$115),MAX(0,INT($CC$115)),0)</f>
        <v/>
      </c>
      <c r="AD12" s="2">
        <f>IF(AND($AA$12=1,$O$12&lt;&gt;"Comum"),2,IF($O$12="Comum",MIN(3,$AC$12),IF(OR($O$12="Elite",$O$12="Boss"),IF($AC$12=0,0,MIN(2,MAX(1,INT($AC$12/2)))),$AC$12)))</f>
        <v/>
      </c>
      <c r="AE12" s="2">
        <f>IF(AND($AA$12=1,$O$12="Comum"),0,MIN(IF($O$12="Comum",3,IF(OR($O$12="PJ",$O$12="Memoespírito"),999,2)),IF(ISNUMBER($CD$115),MAX(0,INT($CD$115)),0)))</f>
        <v/>
      </c>
      <c r="AF12" s="2">
        <f>IF($CG$115="Sim",1,0)</f>
        <v/>
      </c>
      <c r="AG12" s="2">
        <f>IF($AF$12=1,0,IF(ISNUMBER($CE$115),MAX(0,INT($CE$115)),0))</f>
        <v/>
      </c>
      <c r="AH12" s="2">
        <f>IF(ISNUMBER($CH$115),$CH$115,"")</f>
        <v/>
      </c>
      <c r="AI12" s="2">
        <f>IF($R$12=1,1+COUNTIFS($R$11:$R$32,1,$Z$11:$Z$32,"&gt;"&amp;$Z$12),"")</f>
        <v/>
      </c>
      <c r="AJ12" s="2">
        <f>IF($R$12=1,$AI$12+($AE$12+IF($AF$12=1,0,$AD$12)),"")</f>
        <v/>
      </c>
      <c r="AK12" s="2">
        <f>IF($R$12=1,MIN($J$7,$AJ$12),"")</f>
        <v/>
      </c>
      <c r="AL12" s="2">
        <f>IF($R$12=1,$AJ$12-$AK$12,0)</f>
        <v/>
      </c>
      <c r="AM12" s="2">
        <f>IF($R$12=0,"",IF(ISNUMBER($AH$12),$AH$12-0.7+2/1000,$AK$12+IF(($AE$12+IF($AF$12=1,0,$AD$12))&gt;0,0.5,0)-$AG$12-IF($AG$12&gt;0,0.5,0)+2/1000))</f>
        <v/>
      </c>
      <c r="AN12" s="2">
        <f>IF(OR($Q$12=0,AND($AA$12=1,$O$12="Comum")),0,MIN(IF($O$12="Comum",3,IF(OR($O$12="PJ",$O$12="Memoespírito"),999,2)),IF($AF$12=1,$AD$12,0)+$AL$12))</f>
        <v/>
      </c>
      <c r="AO12" s="2">
        <f>IF($S$12=1,1+COUNTIFS($S$11:$S$32,1,$Z$11:$Z$32,"&gt;"&amp;$Z$12),"")</f>
        <v/>
      </c>
      <c r="AP12" s="2">
        <f>IF($S$12=1,$AO$12+$AN$12+IF($AN$12&gt;0,0.5,0)+2/1000,"")</f>
        <v/>
      </c>
      <c r="AQ12" s="2">
        <f>IF(ISNUMBER('Grupo'!$Q$17),MAX(1,'Grupo'!$Q$17),1)</f>
        <v/>
      </c>
      <c r="AR12" s="2">
        <f>IF(ISNUMBER($CE$16),MIN($AQ$12,MAX(0,INT($CE$16))),$AQ$12)</f>
        <v/>
      </c>
      <c r="AS12" s="2">
        <f>'Campanha'!$B$20</f>
        <v/>
      </c>
      <c r="AT12" s="2">
        <f>IF(AND($R$12=1,$AF$12=0,$AB$12=0),1,0)</f>
        <v/>
      </c>
      <c r="AU12" s="2">
        <f>IF($CF$115="Sim",1,0)</f>
        <v/>
      </c>
      <c r="AV12" s="2">
        <f>$AD$213+$AD$214+$AD$215+$AD$216</f>
        <v/>
      </c>
    </row>
    <row r="13" ht="20" customHeight="1">
      <c r="A13" s="13" t="inlineStr">
        <is>
          <t>C1 · PJs — PV e Energia (os números vêm da aba Grupo)</t>
        </is>
      </c>
      <c r="N13" s="2">
        <f>IF(LEN('Grupo'!$P$9)&gt;0,'Grupo'!$P$9,"")</f>
        <v/>
      </c>
      <c r="O13" s="2">
        <f>"PJ"</f>
        <v/>
      </c>
      <c r="P13" s="2">
        <f>IF(AND(LEN('Grupo'!$P$9)&gt;0,$CA$17&lt;&gt;"Não"),1,0)</f>
        <v/>
      </c>
      <c r="Q13" s="2">
        <f>IF(AND($P$13=1,NOT(AND(ISNUMBER($CD$26),$CD$26&gt;=3))),1,0)</f>
        <v/>
      </c>
      <c r="R13" s="2">
        <f>IF(AND($Q$13=1,NOT(AND($AA$13=1,$O$13="Comum"))),1,0)</f>
        <v/>
      </c>
      <c r="S13" s="2">
        <f>$Q$13</f>
        <v/>
      </c>
      <c r="T13" s="2">
        <f>IF(ISNUMBER('Grupo'!$U$18),'Grupo'!$U$18,10)</f>
        <v/>
      </c>
      <c r="U13" s="2">
        <f>MIN(40,MAX(0,$T$13+IF(ISNUMBER($CB$17),MIN(10,MAX(-10,INT($CB$17))),0)))</f>
        <v/>
      </c>
      <c r="V13" s="2">
        <f>MIN(30,MAX(15,IF(ISNUMBER('Grupo'!$V$18),'Grupo'!$V$18,0)+20))</f>
        <v/>
      </c>
      <c r="W13" s="2">
        <f>MIN(30,MAX(15,IF(ISNUMBER('Grupo'!$W$18),'Grupo'!$W$18,0)+20))</f>
        <v/>
      </c>
      <c r="X13" s="2">
        <f>5+(5-IF(ISNUMBER($CB$116),MIN(5,MAX(1,INT($CB$116))),5))</f>
        <v/>
      </c>
      <c r="Y13" s="2">
        <f>0.07</f>
        <v/>
      </c>
      <c r="Z13" s="2">
        <f>$U$13*100000+$V$13*1000+$W$13*10+$X$13+$Y$13</f>
        <v/>
      </c>
      <c r="AA13" s="2">
        <f>0</f>
        <v/>
      </c>
      <c r="AB13" s="2">
        <f>IF(AND($N$8=1,LEN($N$13)&gt;0),IF(COUNTIFS($A$209:$A$303,$N$13,$CA$209:$CA$303,"Surpreso")-COUNTIFS($A$209:$A$303,$N$13,$CA$209:$CA$303,"Surpreso",$CC$209:$CC$303,0)&gt;0,1,0),0)</f>
        <v/>
      </c>
      <c r="AC13" s="2">
        <f>IF(ISNUMBER($CC$116),MAX(0,INT($CC$116)),0)</f>
        <v/>
      </c>
      <c r="AD13" s="2">
        <f>IF(AND($AA$13=1,$O$13&lt;&gt;"Comum"),2,IF($O$13="Comum",MIN(3,$AC$13),IF(OR($O$13="Elite",$O$13="Boss"),IF($AC$13=0,0,MIN(2,MAX(1,INT($AC$13/2)))),$AC$13)))</f>
        <v/>
      </c>
      <c r="AE13" s="2">
        <f>IF(AND($AA$13=1,$O$13="Comum"),0,MIN(IF($O$13="Comum",3,IF(OR($O$13="PJ",$O$13="Memoespírito"),999,2)),IF(ISNUMBER($CD$116),MAX(0,INT($CD$116)),0)))</f>
        <v/>
      </c>
      <c r="AF13" s="2">
        <f>IF($CG$116="Sim",1,0)</f>
        <v/>
      </c>
      <c r="AG13" s="2">
        <f>IF($AF$13=1,0,IF(ISNUMBER($CE$116),MAX(0,INT($CE$116)),0))</f>
        <v/>
      </c>
      <c r="AH13" s="2">
        <f>IF(ISNUMBER($CH$116),$CH$116,"")</f>
        <v/>
      </c>
      <c r="AI13" s="2">
        <f>IF($R$13=1,1+COUNTIFS($R$11:$R$32,1,$Z$11:$Z$32,"&gt;"&amp;$Z$13),"")</f>
        <v/>
      </c>
      <c r="AJ13" s="2">
        <f>IF($R$13=1,$AI$13+($AE$13+IF($AF$13=1,0,$AD$13)),"")</f>
        <v/>
      </c>
      <c r="AK13" s="2">
        <f>IF($R$13=1,MIN($J$7,$AJ$13),"")</f>
        <v/>
      </c>
      <c r="AL13" s="2">
        <f>IF($R$13=1,$AJ$13-$AK$13,0)</f>
        <v/>
      </c>
      <c r="AM13" s="2">
        <f>IF($R$13=0,"",IF(ISNUMBER($AH$13),$AH$13-0.7+3/1000,$AK$13+IF(($AE$13+IF($AF$13=1,0,$AD$13))&gt;0,0.5,0)-$AG$13-IF($AG$13&gt;0,0.5,0)+3/1000))</f>
        <v/>
      </c>
      <c r="AN13" s="2">
        <f>IF(OR($Q$13=0,AND($AA$13=1,$O$13="Comum")),0,MIN(IF($O$13="Comum",3,IF(OR($O$13="PJ",$O$13="Memoespírito"),999,2)),IF($AF$13=1,$AD$13,0)+$AL$13))</f>
        <v/>
      </c>
      <c r="AO13" s="2">
        <f>IF($S$13=1,1+COUNTIFS($S$11:$S$32,1,$Z$11:$Z$32,"&gt;"&amp;$Z$13),"")</f>
        <v/>
      </c>
      <c r="AP13" s="2">
        <f>IF($S$13=1,$AO$13+$AN$13+IF($AN$13&gt;0,0.5,0)+3/1000,"")</f>
        <v/>
      </c>
      <c r="AQ13" s="2">
        <f>IF(ISNUMBER('Grupo'!$Q$18),MAX(1,'Grupo'!$Q$18),1)</f>
        <v/>
      </c>
      <c r="AR13" s="2">
        <f>IF(ISNUMBER($CE$17),MIN($AQ$13,MAX(0,INT($CE$17))),$AQ$13)</f>
        <v/>
      </c>
      <c r="AS13" s="2">
        <f>'Campanha'!$B$20</f>
        <v/>
      </c>
      <c r="AT13" s="2">
        <f>IF(AND($R$13=1,$AF$13=0,$AB$13=0),1,0)</f>
        <v/>
      </c>
      <c r="AU13" s="2">
        <f>IF($CF$116="Sim",1,0)</f>
        <v/>
      </c>
      <c r="AV13" s="2">
        <f>$AD$217+$AD$218+$AD$219+$AD$220</f>
        <v/>
      </c>
    </row>
    <row r="14" ht="26" customHeight="1">
      <c r="A14" s="8" t="inlineStr">
        <is>
          <t>PJ</t>
        </is>
      </c>
      <c r="B14" s="8" t="inlineStr">
        <is>
          <t>Participa?</t>
        </is>
      </c>
      <c r="C14" s="8" t="inlineStr">
        <is>
          <t>Ajuste de VEL</t>
        </is>
      </c>
      <c r="D14" s="8" t="inlineStr">
        <is>
          <t>VEL efetiva</t>
        </is>
      </c>
      <c r="E14" s="8" t="inlineStr">
        <is>
          <t>PV máx.</t>
        </is>
      </c>
      <c r="F14" s="8" t="inlineStr">
        <is>
          <t>PV atual</t>
        </is>
      </c>
      <c r="G14" s="8" t="inlineStr">
        <is>
          <t>Dano agora (− = cura)</t>
        </is>
      </c>
      <c r="H14" s="8" t="inlineStr">
        <is>
          <t>PV depois</t>
        </is>
      </c>
      <c r="I14" s="8" t="inlineStr">
        <is>
          <t>Energia</t>
        </is>
      </c>
      <c r="J14" s="8" t="inlineStr">
        <is>
          <t>Ultimate pronta?</t>
        </is>
      </c>
      <c r="K14" s="8" t="inlineStr">
        <is>
          <t>Aviso</t>
        </is>
      </c>
      <c r="L14" s="20" t="n"/>
      <c r="N14" s="2">
        <f>IF(LEN('Grupo'!$P$10)&gt;0,'Grupo'!$P$10,"")</f>
        <v/>
      </c>
      <c r="O14" s="2">
        <f>"PJ"</f>
        <v/>
      </c>
      <c r="P14" s="2">
        <f>IF(AND(LEN('Grupo'!$P$10)&gt;0,$CA$18&lt;&gt;"Não"),1,0)</f>
        <v/>
      </c>
      <c r="Q14" s="2">
        <f>IF(AND($P$14=1,NOT(AND(ISNUMBER($CD$27),$CD$27&gt;=3))),1,0)</f>
        <v/>
      </c>
      <c r="R14" s="2">
        <f>IF(AND($Q$14=1,NOT(AND($AA$14=1,$O$14="Comum"))),1,0)</f>
        <v/>
      </c>
      <c r="S14" s="2">
        <f>$Q$14</f>
        <v/>
      </c>
      <c r="T14" s="2">
        <f>IF(ISNUMBER('Grupo'!$U$19),'Grupo'!$U$19,10)</f>
        <v/>
      </c>
      <c r="U14" s="2">
        <f>MIN(40,MAX(0,$T$14+IF(ISNUMBER($CB$18),MIN(10,MAX(-10,INT($CB$18))),0)))</f>
        <v/>
      </c>
      <c r="V14" s="2">
        <f>MIN(30,MAX(15,IF(ISNUMBER('Grupo'!$V$19),'Grupo'!$V$19,0)+20))</f>
        <v/>
      </c>
      <c r="W14" s="2">
        <f>MIN(30,MAX(15,IF(ISNUMBER('Grupo'!$W$19),'Grupo'!$W$19,0)+20))</f>
        <v/>
      </c>
      <c r="X14" s="2">
        <f>5+(5-IF(ISNUMBER($CB$117),MIN(5,MAX(1,INT($CB$117))),5))</f>
        <v/>
      </c>
      <c r="Y14" s="2">
        <f>0.06</f>
        <v/>
      </c>
      <c r="Z14" s="2">
        <f>$U$14*100000+$V$14*1000+$W$14*10+$X$14+$Y$14</f>
        <v/>
      </c>
      <c r="AA14" s="2">
        <f>0</f>
        <v/>
      </c>
      <c r="AB14" s="2">
        <f>IF(AND($N$8=1,LEN($N$14)&gt;0),IF(COUNTIFS($A$209:$A$303,$N$14,$CA$209:$CA$303,"Surpreso")-COUNTIFS($A$209:$A$303,$N$14,$CA$209:$CA$303,"Surpreso",$CC$209:$CC$303,0)&gt;0,1,0),0)</f>
        <v/>
      </c>
      <c r="AC14" s="2">
        <f>IF(ISNUMBER($CC$117),MAX(0,INT($CC$117)),0)</f>
        <v/>
      </c>
      <c r="AD14" s="2">
        <f>IF(AND($AA$14=1,$O$14&lt;&gt;"Comum"),2,IF($O$14="Comum",MIN(3,$AC$14),IF(OR($O$14="Elite",$O$14="Boss"),IF($AC$14=0,0,MIN(2,MAX(1,INT($AC$14/2)))),$AC$14)))</f>
        <v/>
      </c>
      <c r="AE14" s="2">
        <f>IF(AND($AA$14=1,$O$14="Comum"),0,MIN(IF($O$14="Comum",3,IF(OR($O$14="PJ",$O$14="Memoespírito"),999,2)),IF(ISNUMBER($CD$117),MAX(0,INT($CD$117)),0)))</f>
        <v/>
      </c>
      <c r="AF14" s="2">
        <f>IF($CG$117="Sim",1,0)</f>
        <v/>
      </c>
      <c r="AG14" s="2">
        <f>IF($AF$14=1,0,IF(ISNUMBER($CE$117),MAX(0,INT($CE$117)),0))</f>
        <v/>
      </c>
      <c r="AH14" s="2">
        <f>IF(ISNUMBER($CH$117),$CH$117,"")</f>
        <v/>
      </c>
      <c r="AI14" s="2">
        <f>IF($R$14=1,1+COUNTIFS($R$11:$R$32,1,$Z$11:$Z$32,"&gt;"&amp;$Z$14),"")</f>
        <v/>
      </c>
      <c r="AJ14" s="2">
        <f>IF($R$14=1,$AI$14+($AE$14+IF($AF$14=1,0,$AD$14)),"")</f>
        <v/>
      </c>
      <c r="AK14" s="2">
        <f>IF($R$14=1,MIN($J$7,$AJ$14),"")</f>
        <v/>
      </c>
      <c r="AL14" s="2">
        <f>IF($R$14=1,$AJ$14-$AK$14,0)</f>
        <v/>
      </c>
      <c r="AM14" s="2">
        <f>IF($R$14=0,"",IF(ISNUMBER($AH$14),$AH$14-0.7+4/1000,$AK$14+IF(($AE$14+IF($AF$14=1,0,$AD$14))&gt;0,0.5,0)-$AG$14-IF($AG$14&gt;0,0.5,0)+4/1000))</f>
        <v/>
      </c>
      <c r="AN14" s="2">
        <f>IF(OR($Q$14=0,AND($AA$14=1,$O$14="Comum")),0,MIN(IF($O$14="Comum",3,IF(OR($O$14="PJ",$O$14="Memoespírito"),999,2)),IF($AF$14=1,$AD$14,0)+$AL$14))</f>
        <v/>
      </c>
      <c r="AO14" s="2">
        <f>IF($S$14=1,1+COUNTIFS($S$11:$S$32,1,$Z$11:$Z$32,"&gt;"&amp;$Z$14),"")</f>
        <v/>
      </c>
      <c r="AP14" s="2">
        <f>IF($S$14=1,$AO$14+$AN$14+IF($AN$14&gt;0,0.5,0)+4/1000,"")</f>
        <v/>
      </c>
      <c r="AQ14" s="2">
        <f>IF(ISNUMBER('Grupo'!$Q$19),MAX(1,'Grupo'!$Q$19),1)</f>
        <v/>
      </c>
      <c r="AR14" s="2">
        <f>IF(ISNUMBER($CE$18),MIN($AQ$14,MAX(0,INT($CE$18))),$AQ$14)</f>
        <v/>
      </c>
      <c r="AS14" s="2">
        <f>'Campanha'!$B$20</f>
        <v/>
      </c>
      <c r="AT14" s="2">
        <f>IF(AND($R$14=1,$AF$14=0,$AB$14=0),1,0)</f>
        <v/>
      </c>
      <c r="AU14" s="2">
        <f>IF($CF$117="Sim",1,0)</f>
        <v/>
      </c>
      <c r="AV14" s="2">
        <f>$AD$222+$AD$223+$AD$224+$AD$225</f>
        <v/>
      </c>
    </row>
    <row r="15" ht="26" customHeight="1">
      <c r="A15" s="31">
        <f>IF(LEN($N$11)&gt;0,$N$11,"PJ 1")</f>
        <v/>
      </c>
      <c r="B15" s="34" t="n"/>
      <c r="C15" s="16" t="n"/>
      <c r="D15" s="18">
        <f>IF($P$11=1,$U$11,"")</f>
        <v/>
      </c>
      <c r="E15" s="18">
        <f>IF($P$11=1,$AQ$11,"")</f>
        <v/>
      </c>
      <c r="F15" s="16" t="n"/>
      <c r="G15" s="16" t="n"/>
      <c r="H15" s="18">
        <f>IF($P$11=0,"",IF(IF(ISNUMBER($CF$15),INT($CF$15),0)&gt;=0,MAX(0,$AR$11-MAX(0,IF(ISNUMBER($CF$15),INT($CF$15),0)-IF(ISNUMBER($CH$24),MAX(0,$CH$24),0))),MIN($AQ$11,$AR$11-IF(ISNUMBER($CF$15),INT($CF$15),0))))</f>
        <v/>
      </c>
      <c r="I15" s="16" t="n"/>
      <c r="J15" s="18">
        <f>IF($P$11=0,"",IF(AND(ISNUMBER($CH$15),$CH$15&gt;=100),"Sim","Não"))</f>
        <v/>
      </c>
      <c r="K15" s="19">
        <f>IF(CJ15&gt;0,"O Google leu como fórmula: escolha de novo ou digite com ' na frente.",IF($P$11=0,"",IF(AND(ISNUMBER($CE$15),$CE$15&gt;$AQ$11),"PV acima do máximo: usando o máximo",IF(AND(IF(ISNUMBER($CF$15),INT($CF$15),0)&lt;0,$AR$11-IF(ISNUMBER($CF$15),INT($CF$15),0)&gt;$AQ$11),"Cura acima do máximo: "&amp;($AR$11-IF(ISNUMBER($CF$15),INT($CF$15),0)-$AQ$11)&amp;" perdida (23.2)",IF(AND(ISNUMBER($CH$15),OR($CH$15&gt;100,$CH$15&lt;0)),"Energia de 0 a 100: o excedente é perdido (17)",IF(NOT(ISNUMBER('Grupo'!$U$16)),"VEL vazia na aba Grupo: usando 10",""))))))</f>
        <v/>
      </c>
      <c r="N15" s="2">
        <f>IF(LEN('Grupo'!$P$11)&gt;0,'Grupo'!$P$11,"")</f>
        <v/>
      </c>
      <c r="O15" s="2">
        <f>"PJ"</f>
        <v/>
      </c>
      <c r="P15" s="2">
        <f>IF(AND(LEN('Grupo'!$P$11)&gt;0,$CA$19&lt;&gt;"Não"),1,0)</f>
        <v/>
      </c>
      <c r="Q15" s="2">
        <f>IF(AND($P$15=1,NOT(AND(ISNUMBER($CD$28),$CD$28&gt;=3))),1,0)</f>
        <v/>
      </c>
      <c r="R15" s="2">
        <f>IF(AND($Q$15=1,NOT(AND($AA$15=1,$O$15="Comum"))),1,0)</f>
        <v/>
      </c>
      <c r="S15" s="2">
        <f>$Q$15</f>
        <v/>
      </c>
      <c r="T15" s="2">
        <f>IF(ISNUMBER('Grupo'!$U$20),'Grupo'!$U$20,10)</f>
        <v/>
      </c>
      <c r="U15" s="2">
        <f>MIN(40,MAX(0,$T$15+IF(ISNUMBER($CB$19),MIN(10,MAX(-10,INT($CB$19))),0)))</f>
        <v/>
      </c>
      <c r="V15" s="2">
        <f>MIN(30,MAX(15,IF(ISNUMBER('Grupo'!$V$20),'Grupo'!$V$20,0)+20))</f>
        <v/>
      </c>
      <c r="W15" s="2">
        <f>MIN(30,MAX(15,IF(ISNUMBER('Grupo'!$W$20),'Grupo'!$W$20,0)+20))</f>
        <v/>
      </c>
      <c r="X15" s="2">
        <f>5+(5-IF(ISNUMBER($CB$118),MIN(5,MAX(1,INT($CB$118))),5))</f>
        <v/>
      </c>
      <c r="Y15" s="2">
        <f>0.05</f>
        <v/>
      </c>
      <c r="Z15" s="2">
        <f>$U$15*100000+$V$15*1000+$W$15*10+$X$15+$Y$15</f>
        <v/>
      </c>
      <c r="AA15" s="2">
        <f>0</f>
        <v/>
      </c>
      <c r="AB15" s="2">
        <f>IF(AND($N$8=1,LEN($N$15)&gt;0),IF(COUNTIFS($A$209:$A$303,$N$15,$CA$209:$CA$303,"Surpreso")-COUNTIFS($A$209:$A$303,$N$15,$CA$209:$CA$303,"Surpreso",$CC$209:$CC$303,0)&gt;0,1,0),0)</f>
        <v/>
      </c>
      <c r="AC15" s="2">
        <f>IF(ISNUMBER($CC$118),MAX(0,INT($CC$118)),0)</f>
        <v/>
      </c>
      <c r="AD15" s="2">
        <f>IF(AND($AA$15=1,$O$15&lt;&gt;"Comum"),2,IF($O$15="Comum",MIN(3,$AC$15),IF(OR($O$15="Elite",$O$15="Boss"),IF($AC$15=0,0,MIN(2,MAX(1,INT($AC$15/2)))),$AC$15)))</f>
        <v/>
      </c>
      <c r="AE15" s="2">
        <f>IF(AND($AA$15=1,$O$15="Comum"),0,MIN(IF($O$15="Comum",3,IF(OR($O$15="PJ",$O$15="Memoespírito"),999,2)),IF(ISNUMBER($CD$118),MAX(0,INT($CD$118)),0)))</f>
        <v/>
      </c>
      <c r="AF15" s="2">
        <f>IF($CG$118="Sim",1,0)</f>
        <v/>
      </c>
      <c r="AG15" s="2">
        <f>IF($AF$15=1,0,IF(ISNUMBER($CE$118),MAX(0,INT($CE$118)),0))</f>
        <v/>
      </c>
      <c r="AH15" s="2">
        <f>IF(ISNUMBER($CH$118),$CH$118,"")</f>
        <v/>
      </c>
      <c r="AI15" s="2">
        <f>IF($R$15=1,1+COUNTIFS($R$11:$R$32,1,$Z$11:$Z$32,"&gt;"&amp;$Z$15),"")</f>
        <v/>
      </c>
      <c r="AJ15" s="2">
        <f>IF($R$15=1,$AI$15+($AE$15+IF($AF$15=1,0,$AD$15)),"")</f>
        <v/>
      </c>
      <c r="AK15" s="2">
        <f>IF($R$15=1,MIN($J$7,$AJ$15),"")</f>
        <v/>
      </c>
      <c r="AL15" s="2">
        <f>IF($R$15=1,$AJ$15-$AK$15,0)</f>
        <v/>
      </c>
      <c r="AM15" s="2">
        <f>IF($R$15=0,"",IF(ISNUMBER($AH$15),$AH$15-0.7+5/1000,$AK$15+IF(($AE$15+IF($AF$15=1,0,$AD$15))&gt;0,0.5,0)-$AG$15-IF($AG$15&gt;0,0.5,0)+5/1000))</f>
        <v/>
      </c>
      <c r="AN15" s="2">
        <f>IF(OR($Q$15=0,AND($AA$15=1,$O$15="Comum")),0,MIN(IF($O$15="Comum",3,IF(OR($O$15="PJ",$O$15="Memoespírito"),999,2)),IF($AF$15=1,$AD$15,0)+$AL$15))</f>
        <v/>
      </c>
      <c r="AO15" s="2">
        <f>IF($S$15=1,1+COUNTIFS($S$11:$S$32,1,$Z$11:$Z$32,"&gt;"&amp;$Z$15),"")</f>
        <v/>
      </c>
      <c r="AP15" s="2">
        <f>IF($S$15=1,$AO$15+$AN$15+IF($AN$15&gt;0,0.5,0)+5/1000,"")</f>
        <v/>
      </c>
      <c r="AQ15" s="2">
        <f>IF(ISNUMBER('Grupo'!$Q$20),MAX(1,'Grupo'!$Q$20),1)</f>
        <v/>
      </c>
      <c r="AR15" s="2">
        <f>IF(ISNUMBER($CE$19),MIN($AQ$15,MAX(0,INT($CE$19))),$AQ$15)</f>
        <v/>
      </c>
      <c r="AS15" s="2">
        <f>'Campanha'!$B$20</f>
        <v/>
      </c>
      <c r="AT15" s="2">
        <f>IF(AND($R$15=1,$AF$15=0,$AB$15=0),1,0)</f>
        <v/>
      </c>
      <c r="AU15" s="2">
        <f>IF($CF$118="Sim",1,0)</f>
        <v/>
      </c>
      <c r="AV15" s="2">
        <f>$AD$226+$AD$227+$AD$228+$AD$229</f>
        <v/>
      </c>
      <c r="CA15" s="2">
        <f>IF(ISERROR($B$15),"",IF(ISBLANK($B$15),"",$B$15))</f>
        <v/>
      </c>
      <c r="CB15" s="2">
        <f>IF(ISERROR($C$15),"",IF(ISBLANK($C$15),"",$C$15))</f>
        <v/>
      </c>
      <c r="CE15" s="2">
        <f>IF(ISERROR($F$15),"",IF(ISBLANK($F$15),"",$F$15))</f>
        <v/>
      </c>
      <c r="CF15" s="2">
        <f>IF(ISERROR($G$15),"",IF(ISBLANK($G$15),"",$G$15))</f>
        <v/>
      </c>
      <c r="CH15" s="2">
        <f>IF(ISERROR($I$15),"",IF(ISBLANK($I$15),"",$I$15))</f>
        <v/>
      </c>
      <c r="CJ15" s="2">
        <f>ISERROR($B$15)*1+ISERROR($C$15)*1+ISERROR($F$15)*1+ISERROR($G$15)*1+ISERROR($I$15)*1</f>
        <v/>
      </c>
    </row>
    <row r="16" ht="26" customHeight="1">
      <c r="A16" s="43">
        <f>IF(LEN($N$12)&gt;0,$N$12,"PJ 2")</f>
        <v/>
      </c>
      <c r="B16" s="36" t="n"/>
      <c r="C16" s="37" t="n"/>
      <c r="D16" s="23">
        <f>IF($P$12=1,$U$12,"")</f>
        <v/>
      </c>
      <c r="E16" s="23">
        <f>IF($P$12=1,$AQ$12,"")</f>
        <v/>
      </c>
      <c r="F16" s="37" t="n"/>
      <c r="G16" s="37" t="n"/>
      <c r="H16" s="23">
        <f>IF($P$12=0,"",IF(IF(ISNUMBER($CF$16),INT($CF$16),0)&gt;=0,MAX(0,$AR$12-MAX(0,IF(ISNUMBER($CF$16),INT($CF$16),0)-IF(ISNUMBER($CH$25),MAX(0,$CH$25),0))),MIN($AQ$12,$AR$12-IF(ISNUMBER($CF$16),INT($CF$16),0))))</f>
        <v/>
      </c>
      <c r="I16" s="37" t="n"/>
      <c r="J16" s="23">
        <f>IF($P$12=0,"",IF(AND(ISNUMBER($CH$16),$CH$16&gt;=100),"Sim","Não"))</f>
        <v/>
      </c>
      <c r="K16" s="27">
        <f>IF(CJ16&gt;0,"O Google leu como fórmula: escolha de novo ou digite com ' na frente.",IF($P$12=0,"",IF(AND(ISNUMBER($CE$16),$CE$16&gt;$AQ$12),"PV acima do máximo: usando o máximo",IF(AND(IF(ISNUMBER($CF$16),INT($CF$16),0)&lt;0,$AR$12-IF(ISNUMBER($CF$16),INT($CF$16),0)&gt;$AQ$12),"Cura acima do máximo: "&amp;($AR$12-IF(ISNUMBER($CF$16),INT($CF$16),0)-$AQ$12)&amp;" perdida (23.2)",IF(AND(ISNUMBER($CH$16),OR($CH$16&gt;100,$CH$16&lt;0)),"Energia de 0 a 100: o excedente é perdido (17)",IF(NOT(ISNUMBER('Grupo'!$U$17)),"VEL vazia na aba Grupo: usando 10",""))))))</f>
        <v/>
      </c>
      <c r="N16" s="2">
        <f>IF(LEN('Grupo'!$P$12)&gt;0,'Grupo'!$P$12,"")</f>
        <v/>
      </c>
      <c r="O16" s="2">
        <f>"PJ"</f>
        <v/>
      </c>
      <c r="P16" s="2">
        <f>IF(AND(LEN('Grupo'!$P$12)&gt;0,$CA$20&lt;&gt;"Não"),1,0)</f>
        <v/>
      </c>
      <c r="Q16" s="2">
        <f>IF(AND($P$16=1,NOT(AND(ISNUMBER($CD$29),$CD$29&gt;=3))),1,0)</f>
        <v/>
      </c>
      <c r="R16" s="2">
        <f>IF(AND($Q$16=1,NOT(AND($AA$16=1,$O$16="Comum"))),1,0)</f>
        <v/>
      </c>
      <c r="S16" s="2">
        <f>$Q$16</f>
        <v/>
      </c>
      <c r="T16" s="2">
        <f>IF(ISNUMBER('Grupo'!$U$21),'Grupo'!$U$21,10)</f>
        <v/>
      </c>
      <c r="U16" s="2">
        <f>MIN(40,MAX(0,$T$16+IF(ISNUMBER($CB$20),MIN(10,MAX(-10,INT($CB$20))),0)))</f>
        <v/>
      </c>
      <c r="V16" s="2">
        <f>MIN(30,MAX(15,IF(ISNUMBER('Grupo'!$V$21),'Grupo'!$V$21,0)+20))</f>
        <v/>
      </c>
      <c r="W16" s="2">
        <f>MIN(30,MAX(15,IF(ISNUMBER('Grupo'!$W$21),'Grupo'!$W$21,0)+20))</f>
        <v/>
      </c>
      <c r="X16" s="2">
        <f>5+(5-IF(ISNUMBER($CB$119),MIN(5,MAX(1,INT($CB$119))),5))</f>
        <v/>
      </c>
      <c r="Y16" s="2">
        <f>0.04</f>
        <v/>
      </c>
      <c r="Z16" s="2">
        <f>$U$16*100000+$V$16*1000+$W$16*10+$X$16+$Y$16</f>
        <v/>
      </c>
      <c r="AA16" s="2">
        <f>0</f>
        <v/>
      </c>
      <c r="AB16" s="2">
        <f>IF(AND($N$8=1,LEN($N$16)&gt;0),IF(COUNTIFS($A$209:$A$303,$N$16,$CA$209:$CA$303,"Surpreso")-COUNTIFS($A$209:$A$303,$N$16,$CA$209:$CA$303,"Surpreso",$CC$209:$CC$303,0)&gt;0,1,0),0)</f>
        <v/>
      </c>
      <c r="AC16" s="2">
        <f>IF(ISNUMBER($CC$119),MAX(0,INT($CC$119)),0)</f>
        <v/>
      </c>
      <c r="AD16" s="2">
        <f>IF(AND($AA$16=1,$O$16&lt;&gt;"Comum"),2,IF($O$16="Comum",MIN(3,$AC$16),IF(OR($O$16="Elite",$O$16="Boss"),IF($AC$16=0,0,MIN(2,MAX(1,INT($AC$16/2)))),$AC$16)))</f>
        <v/>
      </c>
      <c r="AE16" s="2">
        <f>IF(AND($AA$16=1,$O$16="Comum"),0,MIN(IF($O$16="Comum",3,IF(OR($O$16="PJ",$O$16="Memoespírito"),999,2)),IF(ISNUMBER($CD$119),MAX(0,INT($CD$119)),0)))</f>
        <v/>
      </c>
      <c r="AF16" s="2">
        <f>IF($CG$119="Sim",1,0)</f>
        <v/>
      </c>
      <c r="AG16" s="2">
        <f>IF($AF$16=1,0,IF(ISNUMBER($CE$119),MAX(0,INT($CE$119)),0))</f>
        <v/>
      </c>
      <c r="AH16" s="2">
        <f>IF(ISNUMBER($CH$119),$CH$119,"")</f>
        <v/>
      </c>
      <c r="AI16" s="2">
        <f>IF($R$16=1,1+COUNTIFS($R$11:$R$32,1,$Z$11:$Z$32,"&gt;"&amp;$Z$16),"")</f>
        <v/>
      </c>
      <c r="AJ16" s="2">
        <f>IF($R$16=1,$AI$16+($AE$16+IF($AF$16=1,0,$AD$16)),"")</f>
        <v/>
      </c>
      <c r="AK16" s="2">
        <f>IF($R$16=1,MIN($J$7,$AJ$16),"")</f>
        <v/>
      </c>
      <c r="AL16" s="2">
        <f>IF($R$16=1,$AJ$16-$AK$16,0)</f>
        <v/>
      </c>
      <c r="AM16" s="2">
        <f>IF($R$16=0,"",IF(ISNUMBER($AH$16),$AH$16-0.7+6/1000,$AK$16+IF(($AE$16+IF($AF$16=1,0,$AD$16))&gt;0,0.5,0)-$AG$16-IF($AG$16&gt;0,0.5,0)+6/1000))</f>
        <v/>
      </c>
      <c r="AN16" s="2">
        <f>IF(OR($Q$16=0,AND($AA$16=1,$O$16="Comum")),0,MIN(IF($O$16="Comum",3,IF(OR($O$16="PJ",$O$16="Memoespírito"),999,2)),IF($AF$16=1,$AD$16,0)+$AL$16))</f>
        <v/>
      </c>
      <c r="AO16" s="2">
        <f>IF($S$16=1,1+COUNTIFS($S$11:$S$32,1,$Z$11:$Z$32,"&gt;"&amp;$Z$16),"")</f>
        <v/>
      </c>
      <c r="AP16" s="2">
        <f>IF($S$16=1,$AO$16+$AN$16+IF($AN$16&gt;0,0.5,0)+6/1000,"")</f>
        <v/>
      </c>
      <c r="AQ16" s="2">
        <f>IF(ISNUMBER('Grupo'!$Q$21),MAX(1,'Grupo'!$Q$21),1)</f>
        <v/>
      </c>
      <c r="AR16" s="2">
        <f>IF(ISNUMBER($CE$20),MIN($AQ$16,MAX(0,INT($CE$20))),$AQ$16)</f>
        <v/>
      </c>
      <c r="AS16" s="2">
        <f>'Campanha'!$B$20</f>
        <v/>
      </c>
      <c r="AT16" s="2">
        <f>IF(AND($R$16=1,$AF$16=0,$AB$16=0),1,0)</f>
        <v/>
      </c>
      <c r="AU16" s="2">
        <f>IF($CF$119="Sim",1,0)</f>
        <v/>
      </c>
      <c r="AV16" s="2">
        <f>$AD$230+$AD$231+$AD$232+$AD$233</f>
        <v/>
      </c>
      <c r="CA16" s="2">
        <f>IF(ISERROR($B$16),"",IF(ISBLANK($B$16),"",$B$16))</f>
        <v/>
      </c>
      <c r="CB16" s="2">
        <f>IF(ISERROR($C$16),"",IF(ISBLANK($C$16),"",$C$16))</f>
        <v/>
      </c>
      <c r="CE16" s="2">
        <f>IF(ISERROR($F$16),"",IF(ISBLANK($F$16),"",$F$16))</f>
        <v/>
      </c>
      <c r="CF16" s="2">
        <f>IF(ISERROR($G$16),"",IF(ISBLANK($G$16),"",$G$16))</f>
        <v/>
      </c>
      <c r="CH16" s="2">
        <f>IF(ISERROR($I$16),"",IF(ISBLANK($I$16),"",$I$16))</f>
        <v/>
      </c>
      <c r="CJ16" s="2">
        <f>ISERROR($B$16)*1+ISERROR($C$16)*1+ISERROR($F$16)*1+ISERROR($G$16)*1+ISERROR($I$16)*1</f>
        <v/>
      </c>
    </row>
    <row r="17" ht="26" customHeight="1">
      <c r="A17" s="31">
        <f>IF(LEN($N$13)&gt;0,$N$13,"PJ 3")</f>
        <v/>
      </c>
      <c r="B17" s="34" t="n"/>
      <c r="C17" s="16" t="n"/>
      <c r="D17" s="18">
        <f>IF($P$13=1,$U$13,"")</f>
        <v/>
      </c>
      <c r="E17" s="18">
        <f>IF($P$13=1,$AQ$13,"")</f>
        <v/>
      </c>
      <c r="F17" s="16" t="n"/>
      <c r="G17" s="16" t="n"/>
      <c r="H17" s="18">
        <f>IF($P$13=0,"",IF(IF(ISNUMBER($CF$17),INT($CF$17),0)&gt;=0,MAX(0,$AR$13-MAX(0,IF(ISNUMBER($CF$17),INT($CF$17),0)-IF(ISNUMBER($CH$26),MAX(0,$CH$26),0))),MIN($AQ$13,$AR$13-IF(ISNUMBER($CF$17),INT($CF$17),0))))</f>
        <v/>
      </c>
      <c r="I17" s="16" t="n"/>
      <c r="J17" s="18">
        <f>IF($P$13=0,"",IF(AND(ISNUMBER($CH$17),$CH$17&gt;=100),"Sim","Não"))</f>
        <v/>
      </c>
      <c r="K17" s="19">
        <f>IF(CJ17&gt;0,"O Google leu como fórmula: escolha de novo ou digite com ' na frente.",IF($P$13=0,"",IF(AND(ISNUMBER($CE$17),$CE$17&gt;$AQ$13),"PV acima do máximo: usando o máximo",IF(AND(IF(ISNUMBER($CF$17),INT($CF$17),0)&lt;0,$AR$13-IF(ISNUMBER($CF$17),INT($CF$17),0)&gt;$AQ$13),"Cura acima do máximo: "&amp;($AR$13-IF(ISNUMBER($CF$17),INT($CF$17),0)-$AQ$13)&amp;" perdida (23.2)",IF(AND(ISNUMBER($CH$17),OR($CH$17&gt;100,$CH$17&lt;0)),"Energia de 0 a 100: o excedente é perdido (17)",IF(NOT(ISNUMBER('Grupo'!$U$18)),"VEL vazia na aba Grupo: usando 10",""))))))</f>
        <v/>
      </c>
      <c r="N17" s="2">
        <f>IF(LEN($BB$45)=0,"",$BB$45&amp;IF(COUNTIF($BB$45:$BB$54,$BB$45)&gt;1," "&amp;COUNTIF($BB$45:$BB$45,$BB$45),""))</f>
        <v/>
      </c>
      <c r="O17" s="2">
        <f>IF(ISNUMBER($BC$45),INDEX('Inimigos'!$O$11:$O$54,$BC$45)&amp;"","")</f>
        <v/>
      </c>
      <c r="P17" s="2">
        <f>IF(ISNUMBER($BC$45),1,0)</f>
        <v/>
      </c>
      <c r="Q17" s="2">
        <f>IF(AND($P$17=1,$AR$17&gt;0),1,0)</f>
        <v/>
      </c>
      <c r="R17" s="2">
        <f>IF(AND($Q$17=1,NOT(AND($AA$17=1,$O$17="Comum"))),1,0)</f>
        <v/>
      </c>
      <c r="S17" s="2">
        <f>$Q$17</f>
        <v/>
      </c>
      <c r="T17" s="2">
        <f>IF(ISNUMBER($BC$45),INDEX('Inimigos'!$U$11:$U$54,$BC$45),0)</f>
        <v/>
      </c>
      <c r="U17" s="2">
        <f>MIN(40,MAX(0,$T$17+IF(ISNUMBER($CA$58),MIN(10,MAX(-10,INT($CA$58))),0)))</f>
        <v/>
      </c>
      <c r="V17" s="2">
        <f>0</f>
        <v/>
      </c>
      <c r="W17" s="2">
        <f>0</f>
        <v/>
      </c>
      <c r="X17" s="2">
        <f>0</f>
        <v/>
      </c>
      <c r="Y17" s="2">
        <f>0.19</f>
        <v/>
      </c>
      <c r="Z17" s="2">
        <f>$U$17*100000+$V$17*1000+$W$17*10+$X$17+$Y$17</f>
        <v/>
      </c>
      <c r="AA17" s="2">
        <f>IF(LEN($N$17)=0,0,IF(COUNTIFS($A$209:$A$303,$N$17,$CA$209:$CA$303,"Congelado")-COUNTIFS($A$209:$A$303,$N$17,$CA$209:$CA$303,"Congelado",$CC$209:$CC$303,0)&gt;0,1,0))</f>
        <v/>
      </c>
      <c r="AB17" s="2">
        <f>IF(AND($N$8=1,LEN($N$17)&gt;0),IF(COUNTIFS($A$209:$A$303,$N$17,$CA$209:$CA$303,"Surpreso")-COUNTIFS($A$209:$A$303,$N$17,$CA$209:$CA$303,"Surpreso",$CC$209:$CC$303,0)&gt;0,1,0),0)</f>
        <v/>
      </c>
      <c r="AC17" s="2">
        <f>IF(ISNUMBER($CC$120),MAX(0,INT($CC$120)),0)</f>
        <v/>
      </c>
      <c r="AD17" s="2">
        <f>IF(AND($AA$17=1,$O$17&lt;&gt;"Comum"),2,IF($O$17="Comum",MIN(3,$AC$17),IF(OR($O$17="Elite",$O$17="Boss"),IF($AC$17=0,0,MIN(2,MAX(1,INT($AC$17/2)))),$AC$17)))</f>
        <v/>
      </c>
      <c r="AE17" s="2">
        <f>IF(AND($AA$17=1,$O$17="Comum"),0,MIN(IF($O$17="Comum",3,IF(OR($O$17="PJ",$O$17="Memoespírito"),999,2)),IF(ISNUMBER($CD$120),MAX(0,INT($CD$120)),0)))</f>
        <v/>
      </c>
      <c r="AF17" s="2">
        <f>IF($CG$120="Sim",1,0)</f>
        <v/>
      </c>
      <c r="AG17" s="2">
        <f>IF($AF$17=1,0,IF(ISNUMBER($CE$120),MAX(0,INT($CE$120)),0))</f>
        <v/>
      </c>
      <c r="AH17" s="2">
        <f>IF(ISNUMBER($CH$120),$CH$120,"")</f>
        <v/>
      </c>
      <c r="AI17" s="2">
        <f>IF($R$17=1,1+COUNTIFS($R$11:$R$32,1,$Z$11:$Z$32,"&gt;"&amp;$Z$17),"")</f>
        <v/>
      </c>
      <c r="AJ17" s="2">
        <f>IF($R$17=1,$AI$17+($AE$17+IF($AF$17=1,0,$AD$17)),"")</f>
        <v/>
      </c>
      <c r="AK17" s="2">
        <f>IF($R$17=1,MIN($J$7,$AJ$17),"")</f>
        <v/>
      </c>
      <c r="AL17" s="2">
        <f>IF($R$17=1,$AJ$17-$AK$17,0)</f>
        <v/>
      </c>
      <c r="AM17" s="2">
        <f>IF($R$17=0,"",IF(ISNUMBER($AH$17),$AH$17-0.7+7/1000,$AK$17+IF(($AE$17+IF($AF$17=1,0,$AD$17))&gt;0,0.5,0)-$AG$17-IF($AG$17&gt;0,0.5,0)+7/1000))</f>
        <v/>
      </c>
      <c r="AN17" s="2">
        <f>IF(OR($Q$17=0,AND($AA$17=1,$O$17="Comum")),0,MIN(IF($O$17="Comum",3,IF(OR($O$17="PJ",$O$17="Memoespírito"),999,2)),IF($AF$17=1,$AD$17,0)+$AL$17))</f>
        <v/>
      </c>
      <c r="AO17" s="2">
        <f>IF($S$17=1,1+COUNTIFS($S$11:$S$32,1,$Z$11:$Z$32,"&gt;"&amp;$Z$17),"")</f>
        <v/>
      </c>
      <c r="AP17" s="2">
        <f>IF($S$17=1,$AO$17+$AN$17+IF($AN$17&gt;0,0.5,0)+7/1000,"")</f>
        <v/>
      </c>
      <c r="AQ17" s="2">
        <f>IF(ISNUMBER($BC$45),INDEX('Inimigos'!$Q$11:$Q$54,$BC$45),1)</f>
        <v/>
      </c>
      <c r="AR17" s="2">
        <f>IF(ISNUMBER($CD$58),MIN($AQ$17,MAX(0,INT($CD$58))),$AQ$17)</f>
        <v/>
      </c>
      <c r="AS17" s="2">
        <f>IF(ISNUMBER($BC$45),INDEX('Inimigos'!$BE$11:$BE$54,$BC$45),0)</f>
        <v/>
      </c>
      <c r="AT17" s="2">
        <f>IF(AND($R$17=1,$AF$17=0,$AB$17=0),1,0)</f>
        <v/>
      </c>
      <c r="AU17" s="2">
        <f>IF($CF$120="Sim",1,0)</f>
        <v/>
      </c>
      <c r="AV17" s="2">
        <f>$AD$235+$AD$236+$AD$237+$AD$238</f>
        <v/>
      </c>
      <c r="CA17" s="2">
        <f>IF(ISERROR($B$17),"",IF(ISBLANK($B$17),"",$B$17))</f>
        <v/>
      </c>
      <c r="CB17" s="2">
        <f>IF(ISERROR($C$17),"",IF(ISBLANK($C$17),"",$C$17))</f>
        <v/>
      </c>
      <c r="CE17" s="2">
        <f>IF(ISERROR($F$17),"",IF(ISBLANK($F$17),"",$F$17))</f>
        <v/>
      </c>
      <c r="CF17" s="2">
        <f>IF(ISERROR($G$17),"",IF(ISBLANK($G$17),"",$G$17))</f>
        <v/>
      </c>
      <c r="CH17" s="2">
        <f>IF(ISERROR($I$17),"",IF(ISBLANK($I$17),"",$I$17))</f>
        <v/>
      </c>
      <c r="CJ17" s="2">
        <f>ISERROR($B$17)*1+ISERROR($C$17)*1+ISERROR($F$17)*1+ISERROR($G$17)*1+ISERROR($I$17)*1</f>
        <v/>
      </c>
    </row>
    <row r="18" ht="26" customHeight="1">
      <c r="A18" s="43">
        <f>IF(LEN($N$14)&gt;0,$N$14,"PJ 4")</f>
        <v/>
      </c>
      <c r="B18" s="36" t="n"/>
      <c r="C18" s="37" t="n"/>
      <c r="D18" s="23">
        <f>IF($P$14=1,$U$14,"")</f>
        <v/>
      </c>
      <c r="E18" s="23">
        <f>IF($P$14=1,$AQ$14,"")</f>
        <v/>
      </c>
      <c r="F18" s="37" t="n"/>
      <c r="G18" s="37" t="n"/>
      <c r="H18" s="23">
        <f>IF($P$14=0,"",IF(IF(ISNUMBER($CF$18),INT($CF$18),0)&gt;=0,MAX(0,$AR$14-MAX(0,IF(ISNUMBER($CF$18),INT($CF$18),0)-IF(ISNUMBER($CH$27),MAX(0,$CH$27),0))),MIN($AQ$14,$AR$14-IF(ISNUMBER($CF$18),INT($CF$18),0))))</f>
        <v/>
      </c>
      <c r="I18" s="37" t="n"/>
      <c r="J18" s="23">
        <f>IF($P$14=0,"",IF(AND(ISNUMBER($CH$18),$CH$18&gt;=100),"Sim","Não"))</f>
        <v/>
      </c>
      <c r="K18" s="27">
        <f>IF(CJ18&gt;0,"O Google leu como fórmula: escolha de novo ou digite com ' na frente.",IF($P$14=0,"",IF(AND(ISNUMBER($CE$18),$CE$18&gt;$AQ$14),"PV acima do máximo: usando o máximo",IF(AND(IF(ISNUMBER($CF$18),INT($CF$18),0)&lt;0,$AR$14-IF(ISNUMBER($CF$18),INT($CF$18),0)&gt;$AQ$14),"Cura acima do máximo: "&amp;($AR$14-IF(ISNUMBER($CF$18),INT($CF$18),0)-$AQ$14)&amp;" perdida (23.2)",IF(AND(ISNUMBER($CH$18),OR($CH$18&gt;100,$CH$18&lt;0)),"Energia de 0 a 100: o excedente é perdido (17)",IF(NOT(ISNUMBER('Grupo'!$U$19)),"VEL vazia na aba Grupo: usando 10",""))))))</f>
        <v/>
      </c>
      <c r="N18" s="2">
        <f>IF(LEN($BB$46)=0,"",$BB$46&amp;IF(COUNTIF($BB$45:$BB$54,$BB$46)&gt;1," "&amp;COUNTIF($BB$45:$BB$46,$BB$46),""))</f>
        <v/>
      </c>
      <c r="O18" s="2">
        <f>IF(ISNUMBER($BC$46),INDEX('Inimigos'!$O$11:$O$54,$BC$46)&amp;"","")</f>
        <v/>
      </c>
      <c r="P18" s="2">
        <f>IF(ISNUMBER($BC$46),1,0)</f>
        <v/>
      </c>
      <c r="Q18" s="2">
        <f>IF(AND($P$18=1,$AR$18&gt;0),1,0)</f>
        <v/>
      </c>
      <c r="R18" s="2">
        <f>IF(AND($Q$18=1,NOT(AND($AA$18=1,$O$18="Comum"))),1,0)</f>
        <v/>
      </c>
      <c r="S18" s="2">
        <f>$Q$18</f>
        <v/>
      </c>
      <c r="T18" s="2">
        <f>IF(ISNUMBER($BC$46),INDEX('Inimigos'!$U$11:$U$54,$BC$46),0)</f>
        <v/>
      </c>
      <c r="U18" s="2">
        <f>MIN(40,MAX(0,$T$18+IF(ISNUMBER($CA$59),MIN(10,MAX(-10,INT($CA$59))),0)))</f>
        <v/>
      </c>
      <c r="V18" s="2">
        <f>0</f>
        <v/>
      </c>
      <c r="W18" s="2">
        <f>0</f>
        <v/>
      </c>
      <c r="X18" s="2">
        <f>0</f>
        <v/>
      </c>
      <c r="Y18" s="2">
        <f>0.18</f>
        <v/>
      </c>
      <c r="Z18" s="2">
        <f>$U$18*100000+$V$18*1000+$W$18*10+$X$18+$Y$18</f>
        <v/>
      </c>
      <c r="AA18" s="2">
        <f>IF(LEN($N$18)=0,0,IF(COUNTIFS($A$209:$A$303,$N$18,$CA$209:$CA$303,"Congelado")-COUNTIFS($A$209:$A$303,$N$18,$CA$209:$CA$303,"Congelado",$CC$209:$CC$303,0)&gt;0,1,0))</f>
        <v/>
      </c>
      <c r="AB18" s="2">
        <f>IF(AND($N$8=1,LEN($N$18)&gt;0),IF(COUNTIFS($A$209:$A$303,$N$18,$CA$209:$CA$303,"Surpreso")-COUNTIFS($A$209:$A$303,$N$18,$CA$209:$CA$303,"Surpreso",$CC$209:$CC$303,0)&gt;0,1,0),0)</f>
        <v/>
      </c>
      <c r="AC18" s="2">
        <f>IF(ISNUMBER($CC$121),MAX(0,INT($CC$121)),0)</f>
        <v/>
      </c>
      <c r="AD18" s="2">
        <f>IF(AND($AA$18=1,$O$18&lt;&gt;"Comum"),2,IF($O$18="Comum",MIN(3,$AC$18),IF(OR($O$18="Elite",$O$18="Boss"),IF($AC$18=0,0,MIN(2,MAX(1,INT($AC$18/2)))),$AC$18)))</f>
        <v/>
      </c>
      <c r="AE18" s="2">
        <f>IF(AND($AA$18=1,$O$18="Comum"),0,MIN(IF($O$18="Comum",3,IF(OR($O$18="PJ",$O$18="Memoespírito"),999,2)),IF(ISNUMBER($CD$121),MAX(0,INT($CD$121)),0)))</f>
        <v/>
      </c>
      <c r="AF18" s="2">
        <f>IF($CG$121="Sim",1,0)</f>
        <v/>
      </c>
      <c r="AG18" s="2">
        <f>IF($AF$18=1,0,IF(ISNUMBER($CE$121),MAX(0,INT($CE$121)),0))</f>
        <v/>
      </c>
      <c r="AH18" s="2">
        <f>IF(ISNUMBER($CH$121),$CH$121,"")</f>
        <v/>
      </c>
      <c r="AI18" s="2">
        <f>IF($R$18=1,1+COUNTIFS($R$11:$R$32,1,$Z$11:$Z$32,"&gt;"&amp;$Z$18),"")</f>
        <v/>
      </c>
      <c r="AJ18" s="2">
        <f>IF($R$18=1,$AI$18+($AE$18+IF($AF$18=1,0,$AD$18)),"")</f>
        <v/>
      </c>
      <c r="AK18" s="2">
        <f>IF($R$18=1,MIN($J$7,$AJ$18),"")</f>
        <v/>
      </c>
      <c r="AL18" s="2">
        <f>IF($R$18=1,$AJ$18-$AK$18,0)</f>
        <v/>
      </c>
      <c r="AM18" s="2">
        <f>IF($R$18=0,"",IF(ISNUMBER($AH$18),$AH$18-0.7+8/1000,$AK$18+IF(($AE$18+IF($AF$18=1,0,$AD$18))&gt;0,0.5,0)-$AG$18-IF($AG$18&gt;0,0.5,0)+8/1000))</f>
        <v/>
      </c>
      <c r="AN18" s="2">
        <f>IF(OR($Q$18=0,AND($AA$18=1,$O$18="Comum")),0,MIN(IF($O$18="Comum",3,IF(OR($O$18="PJ",$O$18="Memoespírito"),999,2)),IF($AF$18=1,$AD$18,0)+$AL$18))</f>
        <v/>
      </c>
      <c r="AO18" s="2">
        <f>IF($S$18=1,1+COUNTIFS($S$11:$S$32,1,$Z$11:$Z$32,"&gt;"&amp;$Z$18),"")</f>
        <v/>
      </c>
      <c r="AP18" s="2">
        <f>IF($S$18=1,$AO$18+$AN$18+IF($AN$18&gt;0,0.5,0)+8/1000,"")</f>
        <v/>
      </c>
      <c r="AQ18" s="2">
        <f>IF(ISNUMBER($BC$46),INDEX('Inimigos'!$Q$11:$Q$54,$BC$46),1)</f>
        <v/>
      </c>
      <c r="AR18" s="2">
        <f>IF(ISNUMBER($CD$59),MIN($AQ$18,MAX(0,INT($CD$59))),$AQ$18)</f>
        <v/>
      </c>
      <c r="AS18" s="2">
        <f>IF(ISNUMBER($BC$46),INDEX('Inimigos'!$BE$11:$BE$54,$BC$46),0)</f>
        <v/>
      </c>
      <c r="AT18" s="2">
        <f>IF(AND($R$18=1,$AF$18=0,$AB$18=0),1,0)</f>
        <v/>
      </c>
      <c r="AU18" s="2">
        <f>IF($CF$121="Sim",1,0)</f>
        <v/>
      </c>
      <c r="AV18" s="2">
        <f>$AD$239+$AD$240+$AD$241+$AD$242</f>
        <v/>
      </c>
      <c r="CA18" s="2">
        <f>IF(ISERROR($B$18),"",IF(ISBLANK($B$18),"",$B$18))</f>
        <v/>
      </c>
      <c r="CB18" s="2">
        <f>IF(ISERROR($C$18),"",IF(ISBLANK($C$18),"",$C$18))</f>
        <v/>
      </c>
      <c r="CE18" s="2">
        <f>IF(ISERROR($F$18),"",IF(ISBLANK($F$18),"",$F$18))</f>
        <v/>
      </c>
      <c r="CF18" s="2">
        <f>IF(ISERROR($G$18),"",IF(ISBLANK($G$18),"",$G$18))</f>
        <v/>
      </c>
      <c r="CH18" s="2">
        <f>IF(ISERROR($I$18),"",IF(ISBLANK($I$18),"",$I$18))</f>
        <v/>
      </c>
      <c r="CJ18" s="2">
        <f>ISERROR($B$18)*1+ISERROR($C$18)*1+ISERROR($F$18)*1+ISERROR($G$18)*1+ISERROR($I$18)*1</f>
        <v/>
      </c>
    </row>
    <row r="19" ht="26" customHeight="1">
      <c r="A19" s="31">
        <f>IF(LEN($N$15)&gt;0,$N$15,"PJ 5")</f>
        <v/>
      </c>
      <c r="B19" s="34" t="n"/>
      <c r="C19" s="16" t="n"/>
      <c r="D19" s="18">
        <f>IF($P$15=1,$U$15,"")</f>
        <v/>
      </c>
      <c r="E19" s="18">
        <f>IF($P$15=1,$AQ$15,"")</f>
        <v/>
      </c>
      <c r="F19" s="16" t="n"/>
      <c r="G19" s="16" t="n"/>
      <c r="H19" s="18">
        <f>IF($P$15=0,"",IF(IF(ISNUMBER($CF$19),INT($CF$19),0)&gt;=0,MAX(0,$AR$15-MAX(0,IF(ISNUMBER($CF$19),INT($CF$19),0)-IF(ISNUMBER($CH$28),MAX(0,$CH$28),0))),MIN($AQ$15,$AR$15-IF(ISNUMBER($CF$19),INT($CF$19),0))))</f>
        <v/>
      </c>
      <c r="I19" s="16" t="n"/>
      <c r="J19" s="18">
        <f>IF($P$15=0,"",IF(AND(ISNUMBER($CH$19),$CH$19&gt;=100),"Sim","Não"))</f>
        <v/>
      </c>
      <c r="K19" s="19">
        <f>IF(CJ19&gt;0,"O Google leu como fórmula: escolha de novo ou digite com ' na frente.",IF($P$15=0,"",IF(AND(ISNUMBER($CE$19),$CE$19&gt;$AQ$15),"PV acima do máximo: usando o máximo",IF(AND(IF(ISNUMBER($CF$19),INT($CF$19),0)&lt;0,$AR$15-IF(ISNUMBER($CF$19),INT($CF$19),0)&gt;$AQ$15),"Cura acima do máximo: "&amp;($AR$15-IF(ISNUMBER($CF$19),INT($CF$19),0)-$AQ$15)&amp;" perdida (23.2)",IF(AND(ISNUMBER($CH$19),OR($CH$19&gt;100,$CH$19&lt;0)),"Energia de 0 a 100: o excedente é perdido (17)",IF(NOT(ISNUMBER('Grupo'!$U$20)),"VEL vazia na aba Grupo: usando 10",""))))))</f>
        <v/>
      </c>
      <c r="N19" s="2">
        <f>IF(LEN($BB$47)=0,"",$BB$47&amp;IF(COUNTIF($BB$45:$BB$54,$BB$47)&gt;1," "&amp;COUNTIF($BB$45:$BB$47,$BB$47),""))</f>
        <v/>
      </c>
      <c r="O19" s="2">
        <f>IF(ISNUMBER($BC$47),INDEX('Inimigos'!$O$11:$O$54,$BC$47)&amp;"","")</f>
        <v/>
      </c>
      <c r="P19" s="2">
        <f>IF(ISNUMBER($BC$47),1,0)</f>
        <v/>
      </c>
      <c r="Q19" s="2">
        <f>IF(AND($P$19=1,$AR$19&gt;0),1,0)</f>
        <v/>
      </c>
      <c r="R19" s="2">
        <f>IF(AND($Q$19=1,NOT(AND($AA$19=1,$O$19="Comum"))),1,0)</f>
        <v/>
      </c>
      <c r="S19" s="2">
        <f>$Q$19</f>
        <v/>
      </c>
      <c r="T19" s="2">
        <f>IF(ISNUMBER($BC$47),INDEX('Inimigos'!$U$11:$U$54,$BC$47),0)</f>
        <v/>
      </c>
      <c r="U19" s="2">
        <f>MIN(40,MAX(0,$T$19+IF(ISNUMBER($CA$60),MIN(10,MAX(-10,INT($CA$60))),0)))</f>
        <v/>
      </c>
      <c r="V19" s="2">
        <f>0</f>
        <v/>
      </c>
      <c r="W19" s="2">
        <f>0</f>
        <v/>
      </c>
      <c r="X19" s="2">
        <f>0</f>
        <v/>
      </c>
      <c r="Y19" s="2">
        <f>0.17</f>
        <v/>
      </c>
      <c r="Z19" s="2">
        <f>$U$19*100000+$V$19*1000+$W$19*10+$X$19+$Y$19</f>
        <v/>
      </c>
      <c r="AA19" s="2">
        <f>IF(LEN($N$19)=0,0,IF(COUNTIFS($A$209:$A$303,$N$19,$CA$209:$CA$303,"Congelado")-COUNTIFS($A$209:$A$303,$N$19,$CA$209:$CA$303,"Congelado",$CC$209:$CC$303,0)&gt;0,1,0))</f>
        <v/>
      </c>
      <c r="AB19" s="2">
        <f>IF(AND($N$8=1,LEN($N$19)&gt;0),IF(COUNTIFS($A$209:$A$303,$N$19,$CA$209:$CA$303,"Surpreso")-COUNTIFS($A$209:$A$303,$N$19,$CA$209:$CA$303,"Surpreso",$CC$209:$CC$303,0)&gt;0,1,0),0)</f>
        <v/>
      </c>
      <c r="AC19" s="2">
        <f>IF(ISNUMBER($CC$122),MAX(0,INT($CC$122)),0)</f>
        <v/>
      </c>
      <c r="AD19" s="2">
        <f>IF(AND($AA$19=1,$O$19&lt;&gt;"Comum"),2,IF($O$19="Comum",MIN(3,$AC$19),IF(OR($O$19="Elite",$O$19="Boss"),IF($AC$19=0,0,MIN(2,MAX(1,INT($AC$19/2)))),$AC$19)))</f>
        <v/>
      </c>
      <c r="AE19" s="2">
        <f>IF(AND($AA$19=1,$O$19="Comum"),0,MIN(IF($O$19="Comum",3,IF(OR($O$19="PJ",$O$19="Memoespírito"),999,2)),IF(ISNUMBER($CD$122),MAX(0,INT($CD$122)),0)))</f>
        <v/>
      </c>
      <c r="AF19" s="2">
        <f>IF($CG$122="Sim",1,0)</f>
        <v/>
      </c>
      <c r="AG19" s="2">
        <f>IF($AF$19=1,0,IF(ISNUMBER($CE$122),MAX(0,INT($CE$122)),0))</f>
        <v/>
      </c>
      <c r="AH19" s="2">
        <f>IF(ISNUMBER($CH$122),$CH$122,"")</f>
        <v/>
      </c>
      <c r="AI19" s="2">
        <f>IF($R$19=1,1+COUNTIFS($R$11:$R$32,1,$Z$11:$Z$32,"&gt;"&amp;$Z$19),"")</f>
        <v/>
      </c>
      <c r="AJ19" s="2">
        <f>IF($R$19=1,$AI$19+($AE$19+IF($AF$19=1,0,$AD$19)),"")</f>
        <v/>
      </c>
      <c r="AK19" s="2">
        <f>IF($R$19=1,MIN($J$7,$AJ$19),"")</f>
        <v/>
      </c>
      <c r="AL19" s="2">
        <f>IF($R$19=1,$AJ$19-$AK$19,0)</f>
        <v/>
      </c>
      <c r="AM19" s="2">
        <f>IF($R$19=0,"",IF(ISNUMBER($AH$19),$AH$19-0.7+9/1000,$AK$19+IF(($AE$19+IF($AF$19=1,0,$AD$19))&gt;0,0.5,0)-$AG$19-IF($AG$19&gt;0,0.5,0)+9/1000))</f>
        <v/>
      </c>
      <c r="AN19" s="2">
        <f>IF(OR($Q$19=0,AND($AA$19=1,$O$19="Comum")),0,MIN(IF($O$19="Comum",3,IF(OR($O$19="PJ",$O$19="Memoespírito"),999,2)),IF($AF$19=1,$AD$19,0)+$AL$19))</f>
        <v/>
      </c>
      <c r="AO19" s="2">
        <f>IF($S$19=1,1+COUNTIFS($S$11:$S$32,1,$Z$11:$Z$32,"&gt;"&amp;$Z$19),"")</f>
        <v/>
      </c>
      <c r="AP19" s="2">
        <f>IF($S$19=1,$AO$19+$AN$19+IF($AN$19&gt;0,0.5,0)+9/1000,"")</f>
        <v/>
      </c>
      <c r="AQ19" s="2">
        <f>IF(ISNUMBER($BC$47),INDEX('Inimigos'!$Q$11:$Q$54,$BC$47),1)</f>
        <v/>
      </c>
      <c r="AR19" s="2">
        <f>IF(ISNUMBER($CD$60),MIN($AQ$19,MAX(0,INT($CD$60))),$AQ$19)</f>
        <v/>
      </c>
      <c r="AS19" s="2">
        <f>IF(ISNUMBER($BC$47),INDEX('Inimigos'!$BE$11:$BE$54,$BC$47),0)</f>
        <v/>
      </c>
      <c r="AT19" s="2">
        <f>IF(AND($R$19=1,$AF$19=0,$AB$19=0),1,0)</f>
        <v/>
      </c>
      <c r="AU19" s="2">
        <f>IF($CF$122="Sim",1,0)</f>
        <v/>
      </c>
      <c r="AV19" s="2">
        <f>$AD$243+$AD$244+$AD$245+$AD$246</f>
        <v/>
      </c>
      <c r="CA19" s="2">
        <f>IF(ISERROR($B$19),"",IF(ISBLANK($B$19),"",$B$19))</f>
        <v/>
      </c>
      <c r="CB19" s="2">
        <f>IF(ISERROR($C$19),"",IF(ISBLANK($C$19),"",$C$19))</f>
        <v/>
      </c>
      <c r="CE19" s="2">
        <f>IF(ISERROR($F$19),"",IF(ISBLANK($F$19),"",$F$19))</f>
        <v/>
      </c>
      <c r="CF19" s="2">
        <f>IF(ISERROR($G$19),"",IF(ISBLANK($G$19),"",$G$19))</f>
        <v/>
      </c>
      <c r="CH19" s="2">
        <f>IF(ISERROR($I$19),"",IF(ISBLANK($I$19),"",$I$19))</f>
        <v/>
      </c>
      <c r="CJ19" s="2">
        <f>ISERROR($B$19)*1+ISERROR($C$19)*1+ISERROR($F$19)*1+ISERROR($G$19)*1+ISERROR($I$19)*1</f>
        <v/>
      </c>
    </row>
    <row r="20" ht="26" customHeight="1">
      <c r="A20" s="43">
        <f>IF(LEN($N$16)&gt;0,$N$16,"PJ 6")</f>
        <v/>
      </c>
      <c r="B20" s="36" t="n"/>
      <c r="C20" s="37" t="n"/>
      <c r="D20" s="23">
        <f>IF($P$16=1,$U$16,"")</f>
        <v/>
      </c>
      <c r="E20" s="23">
        <f>IF($P$16=1,$AQ$16,"")</f>
        <v/>
      </c>
      <c r="F20" s="37" t="n"/>
      <c r="G20" s="37" t="n"/>
      <c r="H20" s="23">
        <f>IF($P$16=0,"",IF(IF(ISNUMBER($CF$20),INT($CF$20),0)&gt;=0,MAX(0,$AR$16-MAX(0,IF(ISNUMBER($CF$20),INT($CF$20),0)-IF(ISNUMBER($CH$29),MAX(0,$CH$29),0))),MIN($AQ$16,$AR$16-IF(ISNUMBER($CF$20),INT($CF$20),0))))</f>
        <v/>
      </c>
      <c r="I20" s="37" t="n"/>
      <c r="J20" s="23">
        <f>IF($P$16=0,"",IF(AND(ISNUMBER($CH$20),$CH$20&gt;=100),"Sim","Não"))</f>
        <v/>
      </c>
      <c r="K20" s="27">
        <f>IF(CJ20&gt;0,"O Google leu como fórmula: escolha de novo ou digite com ' na frente.",IF($P$16=0,"",IF(AND(ISNUMBER($CE$20),$CE$20&gt;$AQ$16),"PV acima do máximo: usando o máximo",IF(AND(IF(ISNUMBER($CF$20),INT($CF$20),0)&lt;0,$AR$16-IF(ISNUMBER($CF$20),INT($CF$20),0)&gt;$AQ$16),"Cura acima do máximo: "&amp;($AR$16-IF(ISNUMBER($CF$20),INT($CF$20),0)-$AQ$16)&amp;" perdida (23.2)",IF(AND(ISNUMBER($CH$20),OR($CH$20&gt;100,$CH$20&lt;0)),"Energia de 0 a 100: o excedente é perdido (17)",IF(NOT(ISNUMBER('Grupo'!$U$21)),"VEL vazia na aba Grupo: usando 10",""))))))</f>
        <v/>
      </c>
      <c r="N20" s="2">
        <f>IF(LEN($BB$48)=0,"",$BB$48&amp;IF(COUNTIF($BB$45:$BB$54,$BB$48)&gt;1," "&amp;COUNTIF($BB$45:$BB$48,$BB$48),""))</f>
        <v/>
      </c>
      <c r="O20" s="2">
        <f>IF(ISNUMBER($BC$48),INDEX('Inimigos'!$O$11:$O$54,$BC$48)&amp;"","")</f>
        <v/>
      </c>
      <c r="P20" s="2">
        <f>IF(ISNUMBER($BC$48),1,0)</f>
        <v/>
      </c>
      <c r="Q20" s="2">
        <f>IF(AND($P$20=1,$AR$20&gt;0),1,0)</f>
        <v/>
      </c>
      <c r="R20" s="2">
        <f>IF(AND($Q$20=1,NOT(AND($AA$20=1,$O$20="Comum"))),1,0)</f>
        <v/>
      </c>
      <c r="S20" s="2">
        <f>$Q$20</f>
        <v/>
      </c>
      <c r="T20" s="2">
        <f>IF(ISNUMBER($BC$48),INDEX('Inimigos'!$U$11:$U$54,$BC$48),0)</f>
        <v/>
      </c>
      <c r="U20" s="2">
        <f>MIN(40,MAX(0,$T$20+IF(ISNUMBER($CA$61),MIN(10,MAX(-10,INT($CA$61))),0)))</f>
        <v/>
      </c>
      <c r="V20" s="2">
        <f>0</f>
        <v/>
      </c>
      <c r="W20" s="2">
        <f>0</f>
        <v/>
      </c>
      <c r="X20" s="2">
        <f>0</f>
        <v/>
      </c>
      <c r="Y20" s="2">
        <f>0.16</f>
        <v/>
      </c>
      <c r="Z20" s="2">
        <f>$U$20*100000+$V$20*1000+$W$20*10+$X$20+$Y$20</f>
        <v/>
      </c>
      <c r="AA20" s="2">
        <f>IF(LEN($N$20)=0,0,IF(COUNTIFS($A$209:$A$303,$N$20,$CA$209:$CA$303,"Congelado")-COUNTIFS($A$209:$A$303,$N$20,$CA$209:$CA$303,"Congelado",$CC$209:$CC$303,0)&gt;0,1,0))</f>
        <v/>
      </c>
      <c r="AB20" s="2">
        <f>IF(AND($N$8=1,LEN($N$20)&gt;0),IF(COUNTIFS($A$209:$A$303,$N$20,$CA$209:$CA$303,"Surpreso")-COUNTIFS($A$209:$A$303,$N$20,$CA$209:$CA$303,"Surpreso",$CC$209:$CC$303,0)&gt;0,1,0),0)</f>
        <v/>
      </c>
      <c r="AC20" s="2">
        <f>IF(ISNUMBER($CC$123),MAX(0,INT($CC$123)),0)</f>
        <v/>
      </c>
      <c r="AD20" s="2">
        <f>IF(AND($AA$20=1,$O$20&lt;&gt;"Comum"),2,IF($O$20="Comum",MIN(3,$AC$20),IF(OR($O$20="Elite",$O$20="Boss"),IF($AC$20=0,0,MIN(2,MAX(1,INT($AC$20/2)))),$AC$20)))</f>
        <v/>
      </c>
      <c r="AE20" s="2">
        <f>IF(AND($AA$20=1,$O$20="Comum"),0,MIN(IF($O$20="Comum",3,IF(OR($O$20="PJ",$O$20="Memoespírito"),999,2)),IF(ISNUMBER($CD$123),MAX(0,INT($CD$123)),0)))</f>
        <v/>
      </c>
      <c r="AF20" s="2">
        <f>IF($CG$123="Sim",1,0)</f>
        <v/>
      </c>
      <c r="AG20" s="2">
        <f>IF($AF$20=1,0,IF(ISNUMBER($CE$123),MAX(0,INT($CE$123)),0))</f>
        <v/>
      </c>
      <c r="AH20" s="2">
        <f>IF(ISNUMBER($CH$123),$CH$123,"")</f>
        <v/>
      </c>
      <c r="AI20" s="2">
        <f>IF($R$20=1,1+COUNTIFS($R$11:$R$32,1,$Z$11:$Z$32,"&gt;"&amp;$Z$20),"")</f>
        <v/>
      </c>
      <c r="AJ20" s="2">
        <f>IF($R$20=1,$AI$20+($AE$20+IF($AF$20=1,0,$AD$20)),"")</f>
        <v/>
      </c>
      <c r="AK20" s="2">
        <f>IF($R$20=1,MIN($J$7,$AJ$20),"")</f>
        <v/>
      </c>
      <c r="AL20" s="2">
        <f>IF($R$20=1,$AJ$20-$AK$20,0)</f>
        <v/>
      </c>
      <c r="AM20" s="2">
        <f>IF($R$20=0,"",IF(ISNUMBER($AH$20),$AH$20-0.7+10/1000,$AK$20+IF(($AE$20+IF($AF$20=1,0,$AD$20))&gt;0,0.5,0)-$AG$20-IF($AG$20&gt;0,0.5,0)+10/1000))</f>
        <v/>
      </c>
      <c r="AN20" s="2">
        <f>IF(OR($Q$20=0,AND($AA$20=1,$O$20="Comum")),0,MIN(IF($O$20="Comum",3,IF(OR($O$20="PJ",$O$20="Memoespírito"),999,2)),IF($AF$20=1,$AD$20,0)+$AL$20))</f>
        <v/>
      </c>
      <c r="AO20" s="2">
        <f>IF($S$20=1,1+COUNTIFS($S$11:$S$32,1,$Z$11:$Z$32,"&gt;"&amp;$Z$20),"")</f>
        <v/>
      </c>
      <c r="AP20" s="2">
        <f>IF($S$20=1,$AO$20+$AN$20+IF($AN$20&gt;0,0.5,0)+10/1000,"")</f>
        <v/>
      </c>
      <c r="AQ20" s="2">
        <f>IF(ISNUMBER($BC$48),INDEX('Inimigos'!$Q$11:$Q$54,$BC$48),1)</f>
        <v/>
      </c>
      <c r="AR20" s="2">
        <f>IF(ISNUMBER($CD$61),MIN($AQ$20,MAX(0,INT($CD$61))),$AQ$20)</f>
        <v/>
      </c>
      <c r="AS20" s="2">
        <f>IF(ISNUMBER($BC$48),INDEX('Inimigos'!$BE$11:$BE$54,$BC$48),0)</f>
        <v/>
      </c>
      <c r="AT20" s="2">
        <f>IF(AND($R$20=1,$AF$20=0,$AB$20=0),1,0)</f>
        <v/>
      </c>
      <c r="AU20" s="2">
        <f>IF($CF$123="Sim",1,0)</f>
        <v/>
      </c>
      <c r="AV20" s="2">
        <f>$AD$248+$AD$249+$AD$250+$AD$251</f>
        <v/>
      </c>
      <c r="CA20" s="2">
        <f>IF(ISERROR($B$20),"",IF(ISBLANK($B$20),"",$B$20))</f>
        <v/>
      </c>
      <c r="CB20" s="2">
        <f>IF(ISERROR($C$20),"",IF(ISBLANK($C$20),"",$C$20))</f>
        <v/>
      </c>
      <c r="CE20" s="2">
        <f>IF(ISERROR($F$20),"",IF(ISBLANK($F$20),"",$F$20))</f>
        <v/>
      </c>
      <c r="CF20" s="2">
        <f>IF(ISERROR($G$20),"",IF(ISBLANK($G$20),"",$G$20))</f>
        <v/>
      </c>
      <c r="CH20" s="2">
        <f>IF(ISERROR($I$20),"",IF(ISBLANK($I$20),"",$I$20))</f>
        <v/>
      </c>
      <c r="CJ20" s="2">
        <f>ISERROR($B$20)*1+ISERROR($C$20)*1+ISERROR($F$20)*1+ISERROR($G$20)*1+ISERROR($I$20)*1</f>
        <v/>
      </c>
    </row>
    <row r="21">
      <c r="N21" s="2">
        <f>IF(LEN($BB$49)=0,"",$BB$49&amp;IF(COUNTIF($BB$45:$BB$54,$BB$49)&gt;1," "&amp;COUNTIF($BB$45:$BB$49,$BB$49),""))</f>
        <v/>
      </c>
      <c r="O21" s="2">
        <f>IF(ISNUMBER($BC$49),INDEX('Inimigos'!$O$11:$O$54,$BC$49)&amp;"","")</f>
        <v/>
      </c>
      <c r="P21" s="2">
        <f>IF(ISNUMBER($BC$49),1,0)</f>
        <v/>
      </c>
      <c r="Q21" s="2">
        <f>IF(AND($P$21=1,$AR$21&gt;0),1,0)</f>
        <v/>
      </c>
      <c r="R21" s="2">
        <f>IF(AND($Q$21=1,NOT(AND($AA$21=1,$O$21="Comum"))),1,0)</f>
        <v/>
      </c>
      <c r="S21" s="2">
        <f>$Q$21</f>
        <v/>
      </c>
      <c r="T21" s="2">
        <f>IF(ISNUMBER($BC$49),INDEX('Inimigos'!$U$11:$U$54,$BC$49),0)</f>
        <v/>
      </c>
      <c r="U21" s="2">
        <f>MIN(40,MAX(0,$T$21+IF(ISNUMBER($CA$62),MIN(10,MAX(-10,INT($CA$62))),0)))</f>
        <v/>
      </c>
      <c r="V21" s="2">
        <f>0</f>
        <v/>
      </c>
      <c r="W21" s="2">
        <f>0</f>
        <v/>
      </c>
      <c r="X21" s="2">
        <f>0</f>
        <v/>
      </c>
      <c r="Y21" s="2">
        <f>0.15</f>
        <v/>
      </c>
      <c r="Z21" s="2">
        <f>$U$21*100000+$V$21*1000+$W$21*10+$X$21+$Y$21</f>
        <v/>
      </c>
      <c r="AA21" s="2">
        <f>IF(LEN($N$21)=0,0,IF(COUNTIFS($A$209:$A$303,$N$21,$CA$209:$CA$303,"Congelado")-COUNTIFS($A$209:$A$303,$N$21,$CA$209:$CA$303,"Congelado",$CC$209:$CC$303,0)&gt;0,1,0))</f>
        <v/>
      </c>
      <c r="AB21" s="2">
        <f>IF(AND($N$8=1,LEN($N$21)&gt;0),IF(COUNTIFS($A$209:$A$303,$N$21,$CA$209:$CA$303,"Surpreso")-COUNTIFS($A$209:$A$303,$N$21,$CA$209:$CA$303,"Surpreso",$CC$209:$CC$303,0)&gt;0,1,0),0)</f>
        <v/>
      </c>
      <c r="AC21" s="2">
        <f>IF(ISNUMBER($CC$125),MAX(0,INT($CC$125)),0)</f>
        <v/>
      </c>
      <c r="AD21" s="2">
        <f>IF(AND($AA$21=1,$O$21&lt;&gt;"Comum"),2,IF($O$21="Comum",MIN(3,$AC$21),IF(OR($O$21="Elite",$O$21="Boss"),IF($AC$21=0,0,MIN(2,MAX(1,INT($AC$21/2)))),$AC$21)))</f>
        <v/>
      </c>
      <c r="AE21" s="2">
        <f>IF(AND($AA$21=1,$O$21="Comum"),0,MIN(IF($O$21="Comum",3,IF(OR($O$21="PJ",$O$21="Memoespírito"),999,2)),IF(ISNUMBER($CD$125),MAX(0,INT($CD$125)),0)))</f>
        <v/>
      </c>
      <c r="AF21" s="2">
        <f>IF($CG$125="Sim",1,0)</f>
        <v/>
      </c>
      <c r="AG21" s="2">
        <f>IF($AF$21=1,0,IF(ISNUMBER($CE$125),MAX(0,INT($CE$125)),0))</f>
        <v/>
      </c>
      <c r="AH21" s="2">
        <f>IF(ISNUMBER($CH$125),$CH$125,"")</f>
        <v/>
      </c>
      <c r="AI21" s="2">
        <f>IF($R$21=1,1+COUNTIFS($R$11:$R$32,1,$Z$11:$Z$32,"&gt;"&amp;$Z$21),"")</f>
        <v/>
      </c>
      <c r="AJ21" s="2">
        <f>IF($R$21=1,$AI$21+($AE$21+IF($AF$21=1,0,$AD$21)),"")</f>
        <v/>
      </c>
      <c r="AK21" s="2">
        <f>IF($R$21=1,MIN($J$7,$AJ$21),"")</f>
        <v/>
      </c>
      <c r="AL21" s="2">
        <f>IF($R$21=1,$AJ$21-$AK$21,0)</f>
        <v/>
      </c>
      <c r="AM21" s="2">
        <f>IF($R$21=0,"",IF(ISNUMBER($AH$21),$AH$21-0.7+11/1000,$AK$21+IF(($AE$21+IF($AF$21=1,0,$AD$21))&gt;0,0.5,0)-$AG$21-IF($AG$21&gt;0,0.5,0)+11/1000))</f>
        <v/>
      </c>
      <c r="AN21" s="2">
        <f>IF(OR($Q$21=0,AND($AA$21=1,$O$21="Comum")),0,MIN(IF($O$21="Comum",3,IF(OR($O$21="PJ",$O$21="Memoespírito"),999,2)),IF($AF$21=1,$AD$21,0)+$AL$21))</f>
        <v/>
      </c>
      <c r="AO21" s="2">
        <f>IF($S$21=1,1+COUNTIFS($S$11:$S$32,1,$Z$11:$Z$32,"&gt;"&amp;$Z$21),"")</f>
        <v/>
      </c>
      <c r="AP21" s="2">
        <f>IF($S$21=1,$AO$21+$AN$21+IF($AN$21&gt;0,0.5,0)+11/1000,"")</f>
        <v/>
      </c>
      <c r="AQ21" s="2">
        <f>IF(ISNUMBER($BC$49),INDEX('Inimigos'!$Q$11:$Q$54,$BC$49),1)</f>
        <v/>
      </c>
      <c r="AR21" s="2">
        <f>IF(ISNUMBER($CD$62),MIN($AQ$21,MAX(0,INT($CD$62))),$AQ$21)</f>
        <v/>
      </c>
      <c r="AS21" s="2">
        <f>IF(ISNUMBER($BC$49),INDEX('Inimigos'!$BE$11:$BE$54,$BC$49),0)</f>
        <v/>
      </c>
      <c r="AT21" s="2">
        <f>IF(AND($R$21=1,$AF$21=0,$AB$21=0),1,0)</f>
        <v/>
      </c>
      <c r="AU21" s="2">
        <f>IF($CF$125="Sim",1,0)</f>
        <v/>
      </c>
      <c r="AV21" s="2">
        <f>$AD$252+$AD$253+$AD$254+$AD$255</f>
        <v/>
      </c>
    </row>
    <row r="22" ht="20" customHeight="1">
      <c r="A22" s="13" t="inlineStr">
        <is>
          <t>C2 · PJs — Morrendo e recursos (23.4, 23.5)</t>
        </is>
      </c>
      <c r="N22" s="2">
        <f>IF(LEN($BB$50)=0,"",$BB$50&amp;IF(COUNTIF($BB$45:$BB$54,$BB$50)&gt;1," "&amp;COUNTIF($BB$45:$BB$50,$BB$50),""))</f>
        <v/>
      </c>
      <c r="O22" s="2">
        <f>IF(ISNUMBER($BC$50),INDEX('Inimigos'!$O$11:$O$54,$BC$50)&amp;"","")</f>
        <v/>
      </c>
      <c r="P22" s="2">
        <f>IF(ISNUMBER($BC$50),1,0)</f>
        <v/>
      </c>
      <c r="Q22" s="2">
        <f>IF(AND($P$22=1,$AR$22&gt;0),1,0)</f>
        <v/>
      </c>
      <c r="R22" s="2">
        <f>IF(AND($Q$22=1,NOT(AND($AA$22=1,$O$22="Comum"))),1,0)</f>
        <v/>
      </c>
      <c r="S22" s="2">
        <f>$Q$22</f>
        <v/>
      </c>
      <c r="T22" s="2">
        <f>IF(ISNUMBER($BC$50),INDEX('Inimigos'!$U$11:$U$54,$BC$50),0)</f>
        <v/>
      </c>
      <c r="U22" s="2">
        <f>MIN(40,MAX(0,$T$22+IF(ISNUMBER($CA$63),MIN(10,MAX(-10,INT($CA$63))),0)))</f>
        <v/>
      </c>
      <c r="V22" s="2">
        <f>0</f>
        <v/>
      </c>
      <c r="W22" s="2">
        <f>0</f>
        <v/>
      </c>
      <c r="X22" s="2">
        <f>0</f>
        <v/>
      </c>
      <c r="Y22" s="2">
        <f>0.14</f>
        <v/>
      </c>
      <c r="Z22" s="2">
        <f>$U$22*100000+$V$22*1000+$W$22*10+$X$22+$Y$22</f>
        <v/>
      </c>
      <c r="AA22" s="2">
        <f>IF(LEN($N$22)=0,0,IF(COUNTIFS($A$209:$A$303,$N$22,$CA$209:$CA$303,"Congelado")-COUNTIFS($A$209:$A$303,$N$22,$CA$209:$CA$303,"Congelado",$CC$209:$CC$303,0)&gt;0,1,0))</f>
        <v/>
      </c>
      <c r="AB22" s="2">
        <f>IF(AND($N$8=1,LEN($N$22)&gt;0),IF(COUNTIFS($A$209:$A$303,$N$22,$CA$209:$CA$303,"Surpreso")-COUNTIFS($A$209:$A$303,$N$22,$CA$209:$CA$303,"Surpreso",$CC$209:$CC$303,0)&gt;0,1,0),0)</f>
        <v/>
      </c>
      <c r="AC22" s="2">
        <f>IF(ISNUMBER($CC$126),MAX(0,INT($CC$126)),0)</f>
        <v/>
      </c>
      <c r="AD22" s="2">
        <f>IF(AND($AA$22=1,$O$22&lt;&gt;"Comum"),2,IF($O$22="Comum",MIN(3,$AC$22),IF(OR($O$22="Elite",$O$22="Boss"),IF($AC$22=0,0,MIN(2,MAX(1,INT($AC$22/2)))),$AC$22)))</f>
        <v/>
      </c>
      <c r="AE22" s="2">
        <f>IF(AND($AA$22=1,$O$22="Comum"),0,MIN(IF($O$22="Comum",3,IF(OR($O$22="PJ",$O$22="Memoespírito"),999,2)),IF(ISNUMBER($CD$126),MAX(0,INT($CD$126)),0)))</f>
        <v/>
      </c>
      <c r="AF22" s="2">
        <f>IF($CG$126="Sim",1,0)</f>
        <v/>
      </c>
      <c r="AG22" s="2">
        <f>IF($AF$22=1,0,IF(ISNUMBER($CE$126),MAX(0,INT($CE$126)),0))</f>
        <v/>
      </c>
      <c r="AH22" s="2">
        <f>IF(ISNUMBER($CH$126),$CH$126,"")</f>
        <v/>
      </c>
      <c r="AI22" s="2">
        <f>IF($R$22=1,1+COUNTIFS($R$11:$R$32,1,$Z$11:$Z$32,"&gt;"&amp;$Z$22),"")</f>
        <v/>
      </c>
      <c r="AJ22" s="2">
        <f>IF($R$22=1,$AI$22+($AE$22+IF($AF$22=1,0,$AD$22)),"")</f>
        <v/>
      </c>
      <c r="AK22" s="2">
        <f>IF($R$22=1,MIN($J$7,$AJ$22),"")</f>
        <v/>
      </c>
      <c r="AL22" s="2">
        <f>IF($R$22=1,$AJ$22-$AK$22,0)</f>
        <v/>
      </c>
      <c r="AM22" s="2">
        <f>IF($R$22=0,"",IF(ISNUMBER($AH$22),$AH$22-0.7+12/1000,$AK$22+IF(($AE$22+IF($AF$22=1,0,$AD$22))&gt;0,0.5,0)-$AG$22-IF($AG$22&gt;0,0.5,0)+12/1000))</f>
        <v/>
      </c>
      <c r="AN22" s="2">
        <f>IF(OR($Q$22=0,AND($AA$22=1,$O$22="Comum")),0,MIN(IF($O$22="Comum",3,IF(OR($O$22="PJ",$O$22="Memoespírito"),999,2)),IF($AF$22=1,$AD$22,0)+$AL$22))</f>
        <v/>
      </c>
      <c r="AO22" s="2">
        <f>IF($S$22=1,1+COUNTIFS($S$11:$S$32,1,$Z$11:$Z$32,"&gt;"&amp;$Z$22),"")</f>
        <v/>
      </c>
      <c r="AP22" s="2">
        <f>IF($S$22=1,$AO$22+$AN$22+IF($AN$22&gt;0,0.5,0)+12/1000,"")</f>
        <v/>
      </c>
      <c r="AQ22" s="2">
        <f>IF(ISNUMBER($BC$50),INDEX('Inimigos'!$Q$11:$Q$54,$BC$50),1)</f>
        <v/>
      </c>
      <c r="AR22" s="2">
        <f>IF(ISNUMBER($CD$63),MIN($AQ$22,MAX(0,INT($CD$63))),$AQ$22)</f>
        <v/>
      </c>
      <c r="AS22" s="2">
        <f>IF(ISNUMBER($BC$50),INDEX('Inimigos'!$BE$11:$BE$54,$BC$50),0)</f>
        <v/>
      </c>
      <c r="AT22" s="2">
        <f>IF(AND($R$22=1,$AF$22=0,$AB$22=0),1,0)</f>
        <v/>
      </c>
      <c r="AU22" s="2">
        <f>IF($CF$126="Sim",1,0)</f>
        <v/>
      </c>
      <c r="AV22" s="2">
        <f>$AD$256+$AD$257+$AD$258+$AD$259</f>
        <v/>
      </c>
    </row>
    <row r="23" ht="37" customHeight="1">
      <c r="A23" s="8" t="inlineStr">
        <is>
          <t>PJ</t>
        </is>
      </c>
      <c r="B23" s="8" t="inlineStr">
        <is>
          <t>Ultimate usada neste Ciclo</t>
        </is>
      </c>
      <c r="C23" s="8" t="inlineStr">
        <is>
          <t>Esforço disponível</t>
        </is>
      </c>
      <c r="D23" s="8" t="inlineStr">
        <is>
          <t>Sucessos</t>
        </is>
      </c>
      <c r="E23" s="8" t="inlineStr">
        <is>
          <t>Falhas</t>
        </is>
      </c>
      <c r="F23" s="8" t="inlineStr">
        <is>
          <t>Situação</t>
        </is>
      </c>
      <c r="G23" s="20" t="n"/>
      <c r="H23" s="20" t="n"/>
      <c r="I23" s="8" t="inlineStr">
        <is>
          <t>PV temporário</t>
        </is>
      </c>
      <c r="J23" s="8" t="inlineStr">
        <is>
          <t>Pode ser Executado?</t>
        </is>
      </c>
      <c r="K23" s="8" t="inlineStr">
        <is>
          <t>Aviso</t>
        </is>
      </c>
      <c r="L23" s="20" t="n"/>
      <c r="N23" s="2">
        <f>IF(LEN($BB$51)=0,"",$BB$51&amp;IF(COUNTIF($BB$45:$BB$54,$BB$51)&gt;1," "&amp;COUNTIF($BB$45:$BB$51,$BB$51),""))</f>
        <v/>
      </c>
      <c r="O23" s="2">
        <f>IF(ISNUMBER($BC$51),INDEX('Inimigos'!$O$11:$O$54,$BC$51)&amp;"","")</f>
        <v/>
      </c>
      <c r="P23" s="2">
        <f>IF(ISNUMBER($BC$51),1,0)</f>
        <v/>
      </c>
      <c r="Q23" s="2">
        <f>IF(AND($P$23=1,$AR$23&gt;0),1,0)</f>
        <v/>
      </c>
      <c r="R23" s="2">
        <f>IF(AND($Q$23=1,NOT(AND($AA$23=1,$O$23="Comum"))),1,0)</f>
        <v/>
      </c>
      <c r="S23" s="2">
        <f>$Q$23</f>
        <v/>
      </c>
      <c r="T23" s="2">
        <f>IF(ISNUMBER($BC$51),INDEX('Inimigos'!$U$11:$U$54,$BC$51),0)</f>
        <v/>
      </c>
      <c r="U23" s="2">
        <f>MIN(40,MAX(0,$T$23+IF(ISNUMBER($CA$64),MIN(10,MAX(-10,INT($CA$64))),0)))</f>
        <v/>
      </c>
      <c r="V23" s="2">
        <f>0</f>
        <v/>
      </c>
      <c r="W23" s="2">
        <f>0</f>
        <v/>
      </c>
      <c r="X23" s="2">
        <f>0</f>
        <v/>
      </c>
      <c r="Y23" s="2">
        <f>0.13</f>
        <v/>
      </c>
      <c r="Z23" s="2">
        <f>$U$23*100000+$V$23*1000+$W$23*10+$X$23+$Y$23</f>
        <v/>
      </c>
      <c r="AA23" s="2">
        <f>IF(LEN($N$23)=0,0,IF(COUNTIFS($A$209:$A$303,$N$23,$CA$209:$CA$303,"Congelado")-COUNTIFS($A$209:$A$303,$N$23,$CA$209:$CA$303,"Congelado",$CC$209:$CC$303,0)&gt;0,1,0))</f>
        <v/>
      </c>
      <c r="AB23" s="2">
        <f>IF(AND($N$8=1,LEN($N$23)&gt;0),IF(COUNTIFS($A$209:$A$303,$N$23,$CA$209:$CA$303,"Surpreso")-COUNTIFS($A$209:$A$303,$N$23,$CA$209:$CA$303,"Surpreso",$CC$209:$CC$303,0)&gt;0,1,0),0)</f>
        <v/>
      </c>
      <c r="AC23" s="2">
        <f>IF(ISNUMBER($CC$127),MAX(0,INT($CC$127)),0)</f>
        <v/>
      </c>
      <c r="AD23" s="2">
        <f>IF(AND($AA$23=1,$O$23&lt;&gt;"Comum"),2,IF($O$23="Comum",MIN(3,$AC$23),IF(OR($O$23="Elite",$O$23="Boss"),IF($AC$23=0,0,MIN(2,MAX(1,INT($AC$23/2)))),$AC$23)))</f>
        <v/>
      </c>
      <c r="AE23" s="2">
        <f>IF(AND($AA$23=1,$O$23="Comum"),0,MIN(IF($O$23="Comum",3,IF(OR($O$23="PJ",$O$23="Memoespírito"),999,2)),IF(ISNUMBER($CD$127),MAX(0,INT($CD$127)),0)))</f>
        <v/>
      </c>
      <c r="AF23" s="2">
        <f>IF($CG$127="Sim",1,0)</f>
        <v/>
      </c>
      <c r="AG23" s="2">
        <f>IF($AF$23=1,0,IF(ISNUMBER($CE$127),MAX(0,INT($CE$127)),0))</f>
        <v/>
      </c>
      <c r="AH23" s="2">
        <f>IF(ISNUMBER($CH$127),$CH$127,"")</f>
        <v/>
      </c>
      <c r="AI23" s="2">
        <f>IF($R$23=1,1+COUNTIFS($R$11:$R$32,1,$Z$11:$Z$32,"&gt;"&amp;$Z$23),"")</f>
        <v/>
      </c>
      <c r="AJ23" s="2">
        <f>IF($R$23=1,$AI$23+($AE$23+IF($AF$23=1,0,$AD$23)),"")</f>
        <v/>
      </c>
      <c r="AK23" s="2">
        <f>IF($R$23=1,MIN($J$7,$AJ$23),"")</f>
        <v/>
      </c>
      <c r="AL23" s="2">
        <f>IF($R$23=1,$AJ$23-$AK$23,0)</f>
        <v/>
      </c>
      <c r="AM23" s="2">
        <f>IF($R$23=0,"",IF(ISNUMBER($AH$23),$AH$23-0.7+13/1000,$AK$23+IF(($AE$23+IF($AF$23=1,0,$AD$23))&gt;0,0.5,0)-$AG$23-IF($AG$23&gt;0,0.5,0)+13/1000))</f>
        <v/>
      </c>
      <c r="AN23" s="2">
        <f>IF(OR($Q$23=0,AND($AA$23=1,$O$23="Comum")),0,MIN(IF($O$23="Comum",3,IF(OR($O$23="PJ",$O$23="Memoespírito"),999,2)),IF($AF$23=1,$AD$23,0)+$AL$23))</f>
        <v/>
      </c>
      <c r="AO23" s="2">
        <f>IF($S$23=1,1+COUNTIFS($S$11:$S$32,1,$Z$11:$Z$32,"&gt;"&amp;$Z$23),"")</f>
        <v/>
      </c>
      <c r="AP23" s="2">
        <f>IF($S$23=1,$AO$23+$AN$23+IF($AN$23&gt;0,0.5,0)+13/1000,"")</f>
        <v/>
      </c>
      <c r="AQ23" s="2">
        <f>IF(ISNUMBER($BC$51),INDEX('Inimigos'!$Q$11:$Q$54,$BC$51),1)</f>
        <v/>
      </c>
      <c r="AR23" s="2">
        <f>IF(ISNUMBER($CD$64),MIN($AQ$23,MAX(0,INT($CD$64))),$AQ$23)</f>
        <v/>
      </c>
      <c r="AS23" s="2">
        <f>IF(ISNUMBER($BC$51),INDEX('Inimigos'!$BE$11:$BE$54,$BC$51),0)</f>
        <v/>
      </c>
      <c r="AT23" s="2">
        <f>IF(AND($R$23=1,$AF$23=0,$AB$23=0),1,0)</f>
        <v/>
      </c>
      <c r="AU23" s="2">
        <f>IF($CF$127="Sim",1,0)</f>
        <v/>
      </c>
      <c r="AV23" s="2">
        <f>$AD$261+$AD$262+$AD$263+$AD$264</f>
        <v/>
      </c>
    </row>
    <row r="24" ht="37" customHeight="1">
      <c r="A24" s="31">
        <f>IF(LEN($N$11)&gt;0,$N$11,"PJ 1")</f>
        <v/>
      </c>
      <c r="B24" s="34" t="n"/>
      <c r="C24" s="34" t="n"/>
      <c r="D24" s="16" t="n"/>
      <c r="E24" s="16" t="n"/>
      <c r="F24" s="5">
        <f>IF($P$11=0,"",IF($AR$11&gt;0,"De pé",IF(AND(ISNUMBER($CD$24),$CD$24&gt;=3),"Morre (3 falhas, 23.4)",IF(AND(ISNUMBER($CC$24),$CC$24&gt;=3),"Estabiliza com 1 PV: digite 1 em PV atual","Morrendo: d20"&amp;IF(IF(ISNUMBER('Grupo'!$X$16),'Grupo'!$X$16,0)&gt;=0,"+","")&amp;IF(ISNUMBER('Grupo'!$X$16),'Grupo'!$X$16,0)&amp;", sem Eficiência"&amp;IF('Grupo'!$B$34="Sim",", com Vantagem","")&amp;" contra DT 10. Dano recebido = +1 falha (2 se crítico ou Habilidade de Nível 5+)"))))</f>
        <v/>
      </c>
      <c r="I24" s="16" t="n"/>
      <c r="J24" s="18">
        <f>IF($P$11=0,"",IF(LEN('Grupo'!$C$34)&gt;0,'Grupo'!$C$34,"Sim"))</f>
        <v/>
      </c>
      <c r="K24" s="19">
        <f>IF(CJ24&gt;0,"O Google leu como fórmula: escolha de novo ou digite com ' na frente.",IF($P$11=0,"",IF(AND($AR$11=0,$J$24="Sim",LEN(IFERROR(INDEX($BY$45:$BY$54,MATCH(1,$BV$45:$BV$54,0)),""))&gt;0,NOT(AND(ISNUMBER($CD$24),$CD$24&gt;=3))),"PV 0 e Morrendo: "&amp;IFERROR(INDEX($BY$45:$BY$54,MATCH(1,$BV$45:$BV$54,0)),"")&amp;" pode Executar (23.5); Intervir cancela",IF(AND(ISNUMBER($CH$24),$CH$24&gt;3*'Campanha'!$B$20),"PV temporário acima do teto 3 × Eficiência (23.3)",IF(AND($CB$24="Sim",'Grupo'!$D$34&lt;&gt;"Sim"),"Esforço é traço do Humano (05)","")))))</f>
        <v/>
      </c>
      <c r="N24" s="2">
        <f>IF(LEN($BB$52)=0,"",$BB$52&amp;IF(COUNTIF($BB$45:$BB$54,$BB$52)&gt;1," "&amp;COUNTIF($BB$45:$BB$52,$BB$52),""))</f>
        <v/>
      </c>
      <c r="O24" s="2">
        <f>IF(ISNUMBER($BC$52),INDEX('Inimigos'!$O$11:$O$54,$BC$52)&amp;"","")</f>
        <v/>
      </c>
      <c r="P24" s="2">
        <f>IF(ISNUMBER($BC$52),1,0)</f>
        <v/>
      </c>
      <c r="Q24" s="2">
        <f>IF(AND($P$24=1,$AR$24&gt;0),1,0)</f>
        <v/>
      </c>
      <c r="R24" s="2">
        <f>IF(AND($Q$24=1,NOT(AND($AA$24=1,$O$24="Comum"))),1,0)</f>
        <v/>
      </c>
      <c r="S24" s="2">
        <f>$Q$24</f>
        <v/>
      </c>
      <c r="T24" s="2">
        <f>IF(ISNUMBER($BC$52),INDEX('Inimigos'!$U$11:$U$54,$BC$52),0)</f>
        <v/>
      </c>
      <c r="U24" s="2">
        <f>MIN(40,MAX(0,$T$24+IF(ISNUMBER($CA$65),MIN(10,MAX(-10,INT($CA$65))),0)))</f>
        <v/>
      </c>
      <c r="V24" s="2">
        <f>0</f>
        <v/>
      </c>
      <c r="W24" s="2">
        <f>0</f>
        <v/>
      </c>
      <c r="X24" s="2">
        <f>0</f>
        <v/>
      </c>
      <c r="Y24" s="2">
        <f>0.12</f>
        <v/>
      </c>
      <c r="Z24" s="2">
        <f>$U$24*100000+$V$24*1000+$W$24*10+$X$24+$Y$24</f>
        <v/>
      </c>
      <c r="AA24" s="2">
        <f>IF(LEN($N$24)=0,0,IF(COUNTIFS($A$209:$A$303,$N$24,$CA$209:$CA$303,"Congelado")-COUNTIFS($A$209:$A$303,$N$24,$CA$209:$CA$303,"Congelado",$CC$209:$CC$303,0)&gt;0,1,0))</f>
        <v/>
      </c>
      <c r="AB24" s="2">
        <f>IF(AND($N$8=1,LEN($N$24)&gt;0),IF(COUNTIFS($A$209:$A$303,$N$24,$CA$209:$CA$303,"Surpreso")-COUNTIFS($A$209:$A$303,$N$24,$CA$209:$CA$303,"Surpreso",$CC$209:$CC$303,0)&gt;0,1,0),0)</f>
        <v/>
      </c>
      <c r="AC24" s="2">
        <f>IF(ISNUMBER($CC$128),MAX(0,INT($CC$128)),0)</f>
        <v/>
      </c>
      <c r="AD24" s="2">
        <f>IF(AND($AA$24=1,$O$24&lt;&gt;"Comum"),2,IF($O$24="Comum",MIN(3,$AC$24),IF(OR($O$24="Elite",$O$24="Boss"),IF($AC$24=0,0,MIN(2,MAX(1,INT($AC$24/2)))),$AC$24)))</f>
        <v/>
      </c>
      <c r="AE24" s="2">
        <f>IF(AND($AA$24=1,$O$24="Comum"),0,MIN(IF($O$24="Comum",3,IF(OR($O$24="PJ",$O$24="Memoespírito"),999,2)),IF(ISNUMBER($CD$128),MAX(0,INT($CD$128)),0)))</f>
        <v/>
      </c>
      <c r="AF24" s="2">
        <f>IF($CG$128="Sim",1,0)</f>
        <v/>
      </c>
      <c r="AG24" s="2">
        <f>IF($AF$24=1,0,IF(ISNUMBER($CE$128),MAX(0,INT($CE$128)),0))</f>
        <v/>
      </c>
      <c r="AH24" s="2">
        <f>IF(ISNUMBER($CH$128),$CH$128,"")</f>
        <v/>
      </c>
      <c r="AI24" s="2">
        <f>IF($R$24=1,1+COUNTIFS($R$11:$R$32,1,$Z$11:$Z$32,"&gt;"&amp;$Z$24),"")</f>
        <v/>
      </c>
      <c r="AJ24" s="2">
        <f>IF($R$24=1,$AI$24+($AE$24+IF($AF$24=1,0,$AD$24)),"")</f>
        <v/>
      </c>
      <c r="AK24" s="2">
        <f>IF($R$24=1,MIN($J$7,$AJ$24),"")</f>
        <v/>
      </c>
      <c r="AL24" s="2">
        <f>IF($R$24=1,$AJ$24-$AK$24,0)</f>
        <v/>
      </c>
      <c r="AM24" s="2">
        <f>IF($R$24=0,"",IF(ISNUMBER($AH$24),$AH$24-0.7+14/1000,$AK$24+IF(($AE$24+IF($AF$24=1,0,$AD$24))&gt;0,0.5,0)-$AG$24-IF($AG$24&gt;0,0.5,0)+14/1000))</f>
        <v/>
      </c>
      <c r="AN24" s="2">
        <f>IF(OR($Q$24=0,AND($AA$24=1,$O$24="Comum")),0,MIN(IF($O$24="Comum",3,IF(OR($O$24="PJ",$O$24="Memoespírito"),999,2)),IF($AF$24=1,$AD$24,0)+$AL$24))</f>
        <v/>
      </c>
      <c r="AO24" s="2">
        <f>IF($S$24=1,1+COUNTIFS($S$11:$S$32,1,$Z$11:$Z$32,"&gt;"&amp;$Z$24),"")</f>
        <v/>
      </c>
      <c r="AP24" s="2">
        <f>IF($S$24=1,$AO$24+$AN$24+IF($AN$24&gt;0,0.5,0)+14/1000,"")</f>
        <v/>
      </c>
      <c r="AQ24" s="2">
        <f>IF(ISNUMBER($BC$52),INDEX('Inimigos'!$Q$11:$Q$54,$BC$52),1)</f>
        <v/>
      </c>
      <c r="AR24" s="2">
        <f>IF(ISNUMBER($CD$65),MIN($AQ$24,MAX(0,INT($CD$65))),$AQ$24)</f>
        <v/>
      </c>
      <c r="AS24" s="2">
        <f>IF(ISNUMBER($BC$52),INDEX('Inimigos'!$BE$11:$BE$54,$BC$52),0)</f>
        <v/>
      </c>
      <c r="AT24" s="2">
        <f>IF(AND($R$24=1,$AF$24=0,$AB$24=0),1,0)</f>
        <v/>
      </c>
      <c r="AU24" s="2">
        <f>IF($CF$128="Sim",1,0)</f>
        <v/>
      </c>
      <c r="AV24" s="2">
        <f>$AD$265+$AD$266+$AD$267+$AD$268</f>
        <v/>
      </c>
      <c r="CB24" s="2">
        <f>IF(ISERROR($C$24),"",IF(ISBLANK($C$24),"",$C$24))</f>
        <v/>
      </c>
      <c r="CC24" s="2">
        <f>IF(ISERROR($D$24),"",IF(ISBLANK($D$24),"",$D$24))</f>
        <v/>
      </c>
      <c r="CD24" s="2">
        <f>IF(ISERROR($E$24),"",IF(ISBLANK($E$24),"",$E$24))</f>
        <v/>
      </c>
      <c r="CH24" s="2">
        <f>IF(ISERROR($I$24),"",IF(ISBLANK($I$24),"",$I$24))</f>
        <v/>
      </c>
      <c r="CJ24" s="2">
        <f>ISERROR($B$24)*1+ISERROR($C$24)*1+ISERROR($D$24)*1+ISERROR($E$24)*1+ISERROR($I$24)*1</f>
        <v/>
      </c>
    </row>
    <row r="25" ht="37" customHeight="1">
      <c r="A25" s="43">
        <f>IF(LEN($N$12)&gt;0,$N$12,"PJ 2")</f>
        <v/>
      </c>
      <c r="B25" s="36" t="n"/>
      <c r="C25" s="36" t="n"/>
      <c r="D25" s="37" t="n"/>
      <c r="E25" s="37" t="n"/>
      <c r="F25" s="10">
        <f>IF($P$12=0,"",IF($AR$12&gt;0,"De pé",IF(AND(ISNUMBER($CD$25),$CD$25&gt;=3),"Morre (3 falhas, 23.4)",IF(AND(ISNUMBER($CC$25),$CC$25&gt;=3),"Estabiliza com 1 PV: digite 1 em PV atual","Morrendo: d20"&amp;IF(IF(ISNUMBER('Grupo'!$X$17),'Grupo'!$X$17,0)&gt;=0,"+","")&amp;IF(ISNUMBER('Grupo'!$X$17),'Grupo'!$X$17,0)&amp;", sem Eficiência"&amp;IF('Grupo'!$B$35="Sim",", com Vantagem","")&amp;" contra DT 10. Dano recebido = +1 falha (2 se crítico ou Habilidade de Nível 5+)"))))</f>
        <v/>
      </c>
      <c r="I25" s="37" t="n"/>
      <c r="J25" s="23">
        <f>IF($P$12=0,"",IF(LEN('Grupo'!$C$35)&gt;0,'Grupo'!$C$35,"Sim"))</f>
        <v/>
      </c>
      <c r="K25" s="27">
        <f>IF(CJ25&gt;0,"O Google leu como fórmula: escolha de novo ou digite com ' na frente.",IF($P$12=0,"",IF(AND($AR$12=0,$J$25="Sim",LEN(IFERROR(INDEX($BY$45:$BY$54,MATCH(1,$BV$45:$BV$54,0)),""))&gt;0,NOT(AND(ISNUMBER($CD$25),$CD$25&gt;=3))),"PV 0 e Morrendo: "&amp;IFERROR(INDEX($BY$45:$BY$54,MATCH(1,$BV$45:$BV$54,0)),"")&amp;" pode Executar (23.5); Intervir cancela",IF(AND(ISNUMBER($CH$25),$CH$25&gt;3*'Campanha'!$B$20),"PV temporário acima do teto 3 × Eficiência (23.3)",IF(AND($CB$25="Sim",'Grupo'!$D$35&lt;&gt;"Sim"),"Esforço é traço do Humano (05)","")))))</f>
        <v/>
      </c>
      <c r="N25" s="2">
        <f>IF(LEN($BB$53)=0,"",$BB$53&amp;IF(COUNTIF($BB$45:$BB$54,$BB$53)&gt;1," "&amp;COUNTIF($BB$45:$BB$53,$BB$53),""))</f>
        <v/>
      </c>
      <c r="O25" s="2">
        <f>IF(ISNUMBER($BC$53),INDEX('Inimigos'!$O$11:$O$54,$BC$53)&amp;"","")</f>
        <v/>
      </c>
      <c r="P25" s="2">
        <f>IF(ISNUMBER($BC$53),1,0)</f>
        <v/>
      </c>
      <c r="Q25" s="2">
        <f>IF(AND($P$25=1,$AR$25&gt;0),1,0)</f>
        <v/>
      </c>
      <c r="R25" s="2">
        <f>IF(AND($Q$25=1,NOT(AND($AA$25=1,$O$25="Comum"))),1,0)</f>
        <v/>
      </c>
      <c r="S25" s="2">
        <f>$Q$25</f>
        <v/>
      </c>
      <c r="T25" s="2">
        <f>IF(ISNUMBER($BC$53),INDEX('Inimigos'!$U$11:$U$54,$BC$53),0)</f>
        <v/>
      </c>
      <c r="U25" s="2">
        <f>MIN(40,MAX(0,$T$25+IF(ISNUMBER($CA$66),MIN(10,MAX(-10,INT($CA$66))),0)))</f>
        <v/>
      </c>
      <c r="V25" s="2">
        <f>0</f>
        <v/>
      </c>
      <c r="W25" s="2">
        <f>0</f>
        <v/>
      </c>
      <c r="X25" s="2">
        <f>0</f>
        <v/>
      </c>
      <c r="Y25" s="2">
        <f>0.11</f>
        <v/>
      </c>
      <c r="Z25" s="2">
        <f>$U$25*100000+$V$25*1000+$W$25*10+$X$25+$Y$25</f>
        <v/>
      </c>
      <c r="AA25" s="2">
        <f>IF(LEN($N$25)=0,0,IF(COUNTIFS($A$209:$A$303,$N$25,$CA$209:$CA$303,"Congelado")-COUNTIFS($A$209:$A$303,$N$25,$CA$209:$CA$303,"Congelado",$CC$209:$CC$303,0)&gt;0,1,0))</f>
        <v/>
      </c>
      <c r="AB25" s="2">
        <f>IF(AND($N$8=1,LEN($N$25)&gt;0),IF(COUNTIFS($A$209:$A$303,$N$25,$CA$209:$CA$303,"Surpreso")-COUNTIFS($A$209:$A$303,$N$25,$CA$209:$CA$303,"Surpreso",$CC$209:$CC$303,0)&gt;0,1,0),0)</f>
        <v/>
      </c>
      <c r="AC25" s="2">
        <f>IF(ISNUMBER($CC$129),MAX(0,INT($CC$129)),0)</f>
        <v/>
      </c>
      <c r="AD25" s="2">
        <f>IF(AND($AA$25=1,$O$25&lt;&gt;"Comum"),2,IF($O$25="Comum",MIN(3,$AC$25),IF(OR($O$25="Elite",$O$25="Boss"),IF($AC$25=0,0,MIN(2,MAX(1,INT($AC$25/2)))),$AC$25)))</f>
        <v/>
      </c>
      <c r="AE25" s="2">
        <f>IF(AND($AA$25=1,$O$25="Comum"),0,MIN(IF($O$25="Comum",3,IF(OR($O$25="PJ",$O$25="Memoespírito"),999,2)),IF(ISNUMBER($CD$129),MAX(0,INT($CD$129)),0)))</f>
        <v/>
      </c>
      <c r="AF25" s="2">
        <f>IF($CG$129="Sim",1,0)</f>
        <v/>
      </c>
      <c r="AG25" s="2">
        <f>IF($AF$25=1,0,IF(ISNUMBER($CE$129),MAX(0,INT($CE$129)),0))</f>
        <v/>
      </c>
      <c r="AH25" s="2">
        <f>IF(ISNUMBER($CH$129),$CH$129,"")</f>
        <v/>
      </c>
      <c r="AI25" s="2">
        <f>IF($R$25=1,1+COUNTIFS($R$11:$R$32,1,$Z$11:$Z$32,"&gt;"&amp;$Z$25),"")</f>
        <v/>
      </c>
      <c r="AJ25" s="2">
        <f>IF($R$25=1,$AI$25+($AE$25+IF($AF$25=1,0,$AD$25)),"")</f>
        <v/>
      </c>
      <c r="AK25" s="2">
        <f>IF($R$25=1,MIN($J$7,$AJ$25),"")</f>
        <v/>
      </c>
      <c r="AL25" s="2">
        <f>IF($R$25=1,$AJ$25-$AK$25,0)</f>
        <v/>
      </c>
      <c r="AM25" s="2">
        <f>IF($R$25=0,"",IF(ISNUMBER($AH$25),$AH$25-0.7+15/1000,$AK$25+IF(($AE$25+IF($AF$25=1,0,$AD$25))&gt;0,0.5,0)-$AG$25-IF($AG$25&gt;0,0.5,0)+15/1000))</f>
        <v/>
      </c>
      <c r="AN25" s="2">
        <f>IF(OR($Q$25=0,AND($AA$25=1,$O$25="Comum")),0,MIN(IF($O$25="Comum",3,IF(OR($O$25="PJ",$O$25="Memoespírito"),999,2)),IF($AF$25=1,$AD$25,0)+$AL$25))</f>
        <v/>
      </c>
      <c r="AO25" s="2">
        <f>IF($S$25=1,1+COUNTIFS($S$11:$S$32,1,$Z$11:$Z$32,"&gt;"&amp;$Z$25),"")</f>
        <v/>
      </c>
      <c r="AP25" s="2">
        <f>IF($S$25=1,$AO$25+$AN$25+IF($AN$25&gt;0,0.5,0)+15/1000,"")</f>
        <v/>
      </c>
      <c r="AQ25" s="2">
        <f>IF(ISNUMBER($BC$53),INDEX('Inimigos'!$Q$11:$Q$54,$BC$53),1)</f>
        <v/>
      </c>
      <c r="AR25" s="2">
        <f>IF(ISNUMBER($CD$66),MIN($AQ$25,MAX(0,INT($CD$66))),$AQ$25)</f>
        <v/>
      </c>
      <c r="AS25" s="2">
        <f>IF(ISNUMBER($BC$53),INDEX('Inimigos'!$BE$11:$BE$54,$BC$53),0)</f>
        <v/>
      </c>
      <c r="AT25" s="2">
        <f>IF(AND($R$25=1,$AF$25=0,$AB$25=0),1,0)</f>
        <v/>
      </c>
      <c r="AU25" s="2">
        <f>IF($CF$129="Sim",1,0)</f>
        <v/>
      </c>
      <c r="AV25" s="2">
        <f>$AD$269+$AD$270+$AD$271+$AD$272</f>
        <v/>
      </c>
      <c r="CB25" s="2">
        <f>IF(ISERROR($C$25),"",IF(ISBLANK($C$25),"",$C$25))</f>
        <v/>
      </c>
      <c r="CC25" s="2">
        <f>IF(ISERROR($D$25),"",IF(ISBLANK($D$25),"",$D$25))</f>
        <v/>
      </c>
      <c r="CD25" s="2">
        <f>IF(ISERROR($E$25),"",IF(ISBLANK($E$25),"",$E$25))</f>
        <v/>
      </c>
      <c r="CH25" s="2">
        <f>IF(ISERROR($I$25),"",IF(ISBLANK($I$25),"",$I$25))</f>
        <v/>
      </c>
      <c r="CJ25" s="2">
        <f>ISERROR($B$25)*1+ISERROR($C$25)*1+ISERROR($D$25)*1+ISERROR($E$25)*1+ISERROR($I$25)*1</f>
        <v/>
      </c>
    </row>
    <row r="26" ht="37" customHeight="1">
      <c r="A26" s="31">
        <f>IF(LEN($N$13)&gt;0,$N$13,"PJ 3")</f>
        <v/>
      </c>
      <c r="B26" s="34" t="n"/>
      <c r="C26" s="34" t="n"/>
      <c r="D26" s="16" t="n"/>
      <c r="E26" s="16" t="n"/>
      <c r="F26" s="5">
        <f>IF($P$13=0,"",IF($AR$13&gt;0,"De pé",IF(AND(ISNUMBER($CD$26),$CD$26&gt;=3),"Morre (3 falhas, 23.4)",IF(AND(ISNUMBER($CC$26),$CC$26&gt;=3),"Estabiliza com 1 PV: digite 1 em PV atual","Morrendo: d20"&amp;IF(IF(ISNUMBER('Grupo'!$X$18),'Grupo'!$X$18,0)&gt;=0,"+","")&amp;IF(ISNUMBER('Grupo'!$X$18),'Grupo'!$X$18,0)&amp;", sem Eficiência"&amp;IF('Grupo'!$B$36="Sim",", com Vantagem","")&amp;" contra DT 10. Dano recebido = +1 falha (2 se crítico ou Habilidade de Nível 5+)"))))</f>
        <v/>
      </c>
      <c r="I26" s="16" t="n"/>
      <c r="J26" s="18">
        <f>IF($P$13=0,"",IF(LEN('Grupo'!$C$36)&gt;0,'Grupo'!$C$36,"Sim"))</f>
        <v/>
      </c>
      <c r="K26" s="19">
        <f>IF(CJ26&gt;0,"O Google leu como fórmula: escolha de novo ou digite com ' na frente.",IF($P$13=0,"",IF(AND($AR$13=0,$J$26="Sim",LEN(IFERROR(INDEX($BY$45:$BY$54,MATCH(1,$BV$45:$BV$54,0)),""))&gt;0,NOT(AND(ISNUMBER($CD$26),$CD$26&gt;=3))),"PV 0 e Morrendo: "&amp;IFERROR(INDEX($BY$45:$BY$54,MATCH(1,$BV$45:$BV$54,0)),"")&amp;" pode Executar (23.5); Intervir cancela",IF(AND(ISNUMBER($CH$26),$CH$26&gt;3*'Campanha'!$B$20),"PV temporário acima do teto 3 × Eficiência (23.3)",IF(AND($CB$26="Sim",'Grupo'!$D$36&lt;&gt;"Sim"),"Esforço é traço do Humano (05)","")))))</f>
        <v/>
      </c>
      <c r="N26" s="2">
        <f>IF(LEN($BB$54)=0,"",$BB$54&amp;IF(COUNTIF($BB$45:$BB$54,$BB$54)&gt;1," "&amp;COUNTIF($BB$45:$BB$54,$BB$54),""))</f>
        <v/>
      </c>
      <c r="O26" s="2">
        <f>IF(ISNUMBER($BC$54),INDEX('Inimigos'!$O$11:$O$54,$BC$54)&amp;"","")</f>
        <v/>
      </c>
      <c r="P26" s="2">
        <f>IF(ISNUMBER($BC$54),1,0)</f>
        <v/>
      </c>
      <c r="Q26" s="2">
        <f>IF(AND($P$26=1,$AR$26&gt;0),1,0)</f>
        <v/>
      </c>
      <c r="R26" s="2">
        <f>IF(AND($Q$26=1,NOT(AND($AA$26=1,$O$26="Comum"))),1,0)</f>
        <v/>
      </c>
      <c r="S26" s="2">
        <f>$Q$26</f>
        <v/>
      </c>
      <c r="T26" s="2">
        <f>IF(ISNUMBER($BC$54),INDEX('Inimigos'!$U$11:$U$54,$BC$54),0)</f>
        <v/>
      </c>
      <c r="U26" s="2">
        <f>MIN(40,MAX(0,$T$26+IF(ISNUMBER($CA$67),MIN(10,MAX(-10,INT($CA$67))),0)))</f>
        <v/>
      </c>
      <c r="V26" s="2">
        <f>0</f>
        <v/>
      </c>
      <c r="W26" s="2">
        <f>0</f>
        <v/>
      </c>
      <c r="X26" s="2">
        <f>0</f>
        <v/>
      </c>
      <c r="Y26" s="2">
        <f>0.1</f>
        <v/>
      </c>
      <c r="Z26" s="2">
        <f>$U$26*100000+$V$26*1000+$W$26*10+$X$26+$Y$26</f>
        <v/>
      </c>
      <c r="AA26" s="2">
        <f>IF(LEN($N$26)=0,0,IF(COUNTIFS($A$209:$A$303,$N$26,$CA$209:$CA$303,"Congelado")-COUNTIFS($A$209:$A$303,$N$26,$CA$209:$CA$303,"Congelado",$CC$209:$CC$303,0)&gt;0,1,0))</f>
        <v/>
      </c>
      <c r="AB26" s="2">
        <f>IF(AND($N$8=1,LEN($N$26)&gt;0),IF(COUNTIFS($A$209:$A$303,$N$26,$CA$209:$CA$303,"Surpreso")-COUNTIFS($A$209:$A$303,$N$26,$CA$209:$CA$303,"Surpreso",$CC$209:$CC$303,0)&gt;0,1,0),0)</f>
        <v/>
      </c>
      <c r="AC26" s="2">
        <f>IF(ISNUMBER($CC$130),MAX(0,INT($CC$130)),0)</f>
        <v/>
      </c>
      <c r="AD26" s="2">
        <f>IF(AND($AA$26=1,$O$26&lt;&gt;"Comum"),2,IF($O$26="Comum",MIN(3,$AC$26),IF(OR($O$26="Elite",$O$26="Boss"),IF($AC$26=0,0,MIN(2,MAX(1,INT($AC$26/2)))),$AC$26)))</f>
        <v/>
      </c>
      <c r="AE26" s="2">
        <f>IF(AND($AA$26=1,$O$26="Comum"),0,MIN(IF($O$26="Comum",3,IF(OR($O$26="PJ",$O$26="Memoespírito"),999,2)),IF(ISNUMBER($CD$130),MAX(0,INT($CD$130)),0)))</f>
        <v/>
      </c>
      <c r="AF26" s="2">
        <f>IF($CG$130="Sim",1,0)</f>
        <v/>
      </c>
      <c r="AG26" s="2">
        <f>IF($AF$26=1,0,IF(ISNUMBER($CE$130),MAX(0,INT($CE$130)),0))</f>
        <v/>
      </c>
      <c r="AH26" s="2">
        <f>IF(ISNUMBER($CH$130),$CH$130,"")</f>
        <v/>
      </c>
      <c r="AI26" s="2">
        <f>IF($R$26=1,1+COUNTIFS($R$11:$R$32,1,$Z$11:$Z$32,"&gt;"&amp;$Z$26),"")</f>
        <v/>
      </c>
      <c r="AJ26" s="2">
        <f>IF($R$26=1,$AI$26+($AE$26+IF($AF$26=1,0,$AD$26)),"")</f>
        <v/>
      </c>
      <c r="AK26" s="2">
        <f>IF($R$26=1,MIN($J$7,$AJ$26),"")</f>
        <v/>
      </c>
      <c r="AL26" s="2">
        <f>IF($R$26=1,$AJ$26-$AK$26,0)</f>
        <v/>
      </c>
      <c r="AM26" s="2">
        <f>IF($R$26=0,"",IF(ISNUMBER($AH$26),$AH$26-0.7+16/1000,$AK$26+IF(($AE$26+IF($AF$26=1,0,$AD$26))&gt;0,0.5,0)-$AG$26-IF($AG$26&gt;0,0.5,0)+16/1000))</f>
        <v/>
      </c>
      <c r="AN26" s="2">
        <f>IF(OR($Q$26=0,AND($AA$26=1,$O$26="Comum")),0,MIN(IF($O$26="Comum",3,IF(OR($O$26="PJ",$O$26="Memoespírito"),999,2)),IF($AF$26=1,$AD$26,0)+$AL$26))</f>
        <v/>
      </c>
      <c r="AO26" s="2">
        <f>IF($S$26=1,1+COUNTIFS($S$11:$S$32,1,$Z$11:$Z$32,"&gt;"&amp;$Z$26),"")</f>
        <v/>
      </c>
      <c r="AP26" s="2">
        <f>IF($S$26=1,$AO$26+$AN$26+IF($AN$26&gt;0,0.5,0)+16/1000,"")</f>
        <v/>
      </c>
      <c r="AQ26" s="2">
        <f>IF(ISNUMBER($BC$54),INDEX('Inimigos'!$Q$11:$Q$54,$BC$54),1)</f>
        <v/>
      </c>
      <c r="AR26" s="2">
        <f>IF(ISNUMBER($CD$67),MIN($AQ$26,MAX(0,INT($CD$67))),$AQ$26)</f>
        <v/>
      </c>
      <c r="AS26" s="2">
        <f>IF(ISNUMBER($BC$54),INDEX('Inimigos'!$BE$11:$BE$54,$BC$54),0)</f>
        <v/>
      </c>
      <c r="AT26" s="2">
        <f>IF(AND($R$26=1,$AF$26=0,$AB$26=0),1,0)</f>
        <v/>
      </c>
      <c r="AU26" s="2">
        <f>IF($CF$130="Sim",1,0)</f>
        <v/>
      </c>
      <c r="AV26" s="2">
        <f>$AD$274+$AD$275+$AD$276+$AD$277</f>
        <v/>
      </c>
      <c r="CB26" s="2">
        <f>IF(ISERROR($C$26),"",IF(ISBLANK($C$26),"",$C$26))</f>
        <v/>
      </c>
      <c r="CC26" s="2">
        <f>IF(ISERROR($D$26),"",IF(ISBLANK($D$26),"",$D$26))</f>
        <v/>
      </c>
      <c r="CD26" s="2">
        <f>IF(ISERROR($E$26),"",IF(ISBLANK($E$26),"",$E$26))</f>
        <v/>
      </c>
      <c r="CH26" s="2">
        <f>IF(ISERROR($I$26),"",IF(ISBLANK($I$26),"",$I$26))</f>
        <v/>
      </c>
      <c r="CJ26" s="2">
        <f>ISERROR($B$26)*1+ISERROR($C$26)*1+ISERROR($D$26)*1+ISERROR($E$26)*1+ISERROR($I$26)*1</f>
        <v/>
      </c>
    </row>
    <row r="27" ht="37" customHeight="1">
      <c r="A27" s="43">
        <f>IF(LEN($N$14)&gt;0,$N$14,"PJ 4")</f>
        <v/>
      </c>
      <c r="B27" s="36" t="n"/>
      <c r="C27" s="36" t="n"/>
      <c r="D27" s="37" t="n"/>
      <c r="E27" s="37" t="n"/>
      <c r="F27" s="10">
        <f>IF($P$14=0,"",IF($AR$14&gt;0,"De pé",IF(AND(ISNUMBER($CD$27),$CD$27&gt;=3),"Morre (3 falhas, 23.4)",IF(AND(ISNUMBER($CC$27),$CC$27&gt;=3),"Estabiliza com 1 PV: digite 1 em PV atual","Morrendo: d20"&amp;IF(IF(ISNUMBER('Grupo'!$X$19),'Grupo'!$X$19,0)&gt;=0,"+","")&amp;IF(ISNUMBER('Grupo'!$X$19),'Grupo'!$X$19,0)&amp;", sem Eficiência"&amp;IF('Grupo'!$B$37="Sim",", com Vantagem","")&amp;" contra DT 10. Dano recebido = +1 falha (2 se crítico ou Habilidade de Nível 5+)"))))</f>
        <v/>
      </c>
      <c r="I27" s="37" t="n"/>
      <c r="J27" s="23">
        <f>IF($P$14=0,"",IF(LEN('Grupo'!$C$37)&gt;0,'Grupo'!$C$37,"Sim"))</f>
        <v/>
      </c>
      <c r="K27" s="27">
        <f>IF(CJ27&gt;0,"O Google leu como fórmula: escolha de novo ou digite com ' na frente.",IF($P$14=0,"",IF(AND($AR$14=0,$J$27="Sim",LEN(IFERROR(INDEX($BY$45:$BY$54,MATCH(1,$BV$45:$BV$54,0)),""))&gt;0,NOT(AND(ISNUMBER($CD$27),$CD$27&gt;=3))),"PV 0 e Morrendo: "&amp;IFERROR(INDEX($BY$45:$BY$54,MATCH(1,$BV$45:$BV$54,0)),"")&amp;" pode Executar (23.5); Intervir cancela",IF(AND(ISNUMBER($CH$27),$CH$27&gt;3*'Campanha'!$B$20),"PV temporário acima do teto 3 × Eficiência (23.3)",IF(AND($CB$27="Sim",'Grupo'!$D$37&lt;&gt;"Sim"),"Esforço é traço do Humano (05)","")))))</f>
        <v/>
      </c>
      <c r="N27" s="2">
        <f>IF(AND(LEN('Grupo'!$P$7)&gt;0,'Grupo'!$Q$61="Sim"),IF(LEN('Grupo'!$R$61)&gt;0,'Grupo'!$R$61&amp;" (de "&amp;'Grupo'!$P$7&amp;")","Memoespírito de "&amp;'Grupo'!$P$7),"")</f>
        <v/>
      </c>
      <c r="O27" s="2">
        <f>"Memoespírito"</f>
        <v/>
      </c>
      <c r="P27" s="2">
        <f>IF(AND(LEN($N$27)&gt;0,$P$11=1,$CA$33="Sim"),1,0)</f>
        <v/>
      </c>
      <c r="Q27" s="2">
        <f>IF(AND($P$27=1,$AR$27&gt;0),1,0)</f>
        <v/>
      </c>
      <c r="R27" s="2">
        <f>IF(AND($Q$27=1,NOT(AND($AA$27=1,$O$27="Comum"))),1,0)</f>
        <v/>
      </c>
      <c r="S27" s="2">
        <f>$Q$27</f>
        <v/>
      </c>
      <c r="T27" s="2">
        <f>IF(ISNUMBER('Grupo'!$F$70),'Grupo'!$F$70,10)</f>
        <v/>
      </c>
      <c r="U27" s="2">
        <f>MIN(40,MAX(0,$T$27+IF(ISNUMBER($CB$33),MIN(10,MAX(-10,INT($CB$33))),0)))</f>
        <v/>
      </c>
      <c r="V27" s="2">
        <f>MIN(30,MAX(15,IF(ISNUMBER('Grupo'!$X$61),'Grupo'!$X$61,0)+20))</f>
        <v/>
      </c>
      <c r="W27" s="2">
        <f>MIN(30,MAX(15,IF(ISNUMBER('Grupo'!$W$61),'Grupo'!$W$61,0)+20))</f>
        <v/>
      </c>
      <c r="X27" s="2">
        <f>5</f>
        <v/>
      </c>
      <c r="Y27" s="2">
        <f>0.029</f>
        <v/>
      </c>
      <c r="Z27" s="2">
        <f>$U$27*100000+$V$27*1000+$W$27*10+$X$27+$Y$27</f>
        <v/>
      </c>
      <c r="AA27" s="2">
        <f>0</f>
        <v/>
      </c>
      <c r="AB27" s="2">
        <f>IF(AND($N$8=1,LEN($N$27)&gt;0),IF(COUNTIFS($A$209:$A$303,$N$27,$CA$209:$CA$303,"Surpreso")-COUNTIFS($A$209:$A$303,$N$27,$CA$209:$CA$303,"Surpreso",$CC$209:$CC$303,0)&gt;0,1,0),0)</f>
        <v/>
      </c>
      <c r="AC27" s="2">
        <f>IF(ISNUMBER($CC$131),MAX(0,INT($CC$131)),0)</f>
        <v/>
      </c>
      <c r="AD27" s="2">
        <f>IF(AND($AA$27=1,$O$27&lt;&gt;"Comum"),2,IF($O$27="Comum",MIN(3,$AC$27),IF(OR($O$27="Elite",$O$27="Boss"),IF($AC$27=0,0,MIN(2,MAX(1,INT($AC$27/2)))),$AC$27)))</f>
        <v/>
      </c>
      <c r="AE27" s="2">
        <f>IF(AND($AA$27=1,$O$27="Comum"),0,MIN(IF($O$27="Comum",3,IF(OR($O$27="PJ",$O$27="Memoespírito"),999,2)),IF(ISNUMBER($CD$131),MAX(0,INT($CD$131)),0)))</f>
        <v/>
      </c>
      <c r="AF27" s="2">
        <f>IF($CG$131="Sim",1,0)</f>
        <v/>
      </c>
      <c r="AG27" s="2">
        <f>IF($AF$27=1,0,IF(ISNUMBER($CE$131),MAX(0,INT($CE$131)),0))</f>
        <v/>
      </c>
      <c r="AH27" s="2">
        <f>IF(ISNUMBER($CH$131),$CH$131,"")</f>
        <v/>
      </c>
      <c r="AI27" s="2">
        <f>IF($R$27=1,1+COUNTIFS($R$11:$R$32,1,$Z$11:$Z$32,"&gt;"&amp;$Z$27),"")</f>
        <v/>
      </c>
      <c r="AJ27" s="2">
        <f>IF($R$27=1,$AI$27+($AE$27+IF($AF$27=1,0,$AD$27)),"")</f>
        <v/>
      </c>
      <c r="AK27" s="2">
        <f>IF($R$27=1,MIN($J$7,$AJ$27),"")</f>
        <v/>
      </c>
      <c r="AL27" s="2">
        <f>IF($R$27=1,$AJ$27-$AK$27,0)</f>
        <v/>
      </c>
      <c r="AM27" s="2">
        <f>IF($R$27=0,"",IF(ISNUMBER($AH$27),$AH$27-0.7+17/1000,$AK$27+IF(($AE$27+IF($AF$27=1,0,$AD$27))&gt;0,0.5,0)-$AG$27-IF($AG$27&gt;0,0.5,0)+17/1000))</f>
        <v/>
      </c>
      <c r="AN27" s="2">
        <f>IF(OR($Q$27=0,AND($AA$27=1,$O$27="Comum")),0,MIN(IF($O$27="Comum",3,IF(OR($O$27="PJ",$O$27="Memoespírito"),999,2)),IF($AF$27=1,$AD$27,0)+$AL$27))</f>
        <v/>
      </c>
      <c r="AO27" s="2">
        <f>IF($S$27=1,1+COUNTIFS($S$11:$S$32,1,$Z$11:$Z$32,"&gt;"&amp;$Z$27),"")</f>
        <v/>
      </c>
      <c r="AP27" s="2">
        <f>IF($S$27=1,$AO$27+$AN$27+IF($AN$27&gt;0,0.5,0)+17/1000,"")</f>
        <v/>
      </c>
      <c r="AQ27" s="2">
        <f>IF(ISNUMBER('Grupo'!$D$70),MAX(1,'Grupo'!$D$70),1)</f>
        <v/>
      </c>
      <c r="AR27" s="2">
        <f>IF(ISNUMBER($CE$33),MIN($AQ$27,MAX(0,INT($CE$33))),$AQ$27)</f>
        <v/>
      </c>
      <c r="AS27" s="2">
        <f>'Campanha'!$B$20</f>
        <v/>
      </c>
      <c r="AT27" s="2">
        <f>IF(AND($R$27=1,$AF$27=0,$AB$27=0),1,0)</f>
        <v/>
      </c>
      <c r="AU27" s="2">
        <f>IF($CF$131="Sim",1,0)</f>
        <v/>
      </c>
      <c r="AV27" s="2">
        <f>$AD$278+$AD$279+$AD$280+$AD$281</f>
        <v/>
      </c>
      <c r="CB27" s="2">
        <f>IF(ISERROR($C$27),"",IF(ISBLANK($C$27),"",$C$27))</f>
        <v/>
      </c>
      <c r="CC27" s="2">
        <f>IF(ISERROR($D$27),"",IF(ISBLANK($D$27),"",$D$27))</f>
        <v/>
      </c>
      <c r="CD27" s="2">
        <f>IF(ISERROR($E$27),"",IF(ISBLANK($E$27),"",$E$27))</f>
        <v/>
      </c>
      <c r="CH27" s="2">
        <f>IF(ISERROR($I$27),"",IF(ISBLANK($I$27),"",$I$27))</f>
        <v/>
      </c>
      <c r="CJ27" s="2">
        <f>ISERROR($B$27)*1+ISERROR($C$27)*1+ISERROR($D$27)*1+ISERROR($E$27)*1+ISERROR($I$27)*1</f>
        <v/>
      </c>
    </row>
    <row r="28" ht="37" customHeight="1">
      <c r="A28" s="31">
        <f>IF(LEN($N$15)&gt;0,$N$15,"PJ 5")</f>
        <v/>
      </c>
      <c r="B28" s="34" t="n"/>
      <c r="C28" s="34" t="n"/>
      <c r="D28" s="16" t="n"/>
      <c r="E28" s="16" t="n"/>
      <c r="F28" s="5">
        <f>IF($P$15=0,"",IF($AR$15&gt;0,"De pé",IF(AND(ISNUMBER($CD$28),$CD$28&gt;=3),"Morre (3 falhas, 23.4)",IF(AND(ISNUMBER($CC$28),$CC$28&gt;=3),"Estabiliza com 1 PV: digite 1 em PV atual","Morrendo: d20"&amp;IF(IF(ISNUMBER('Grupo'!$X$20),'Grupo'!$X$20,0)&gt;=0,"+","")&amp;IF(ISNUMBER('Grupo'!$X$20),'Grupo'!$X$20,0)&amp;", sem Eficiência"&amp;IF('Grupo'!$B$38="Sim",", com Vantagem","")&amp;" contra DT 10. Dano recebido = +1 falha (2 se crítico ou Habilidade de Nível 5+)"))))</f>
        <v/>
      </c>
      <c r="I28" s="16" t="n"/>
      <c r="J28" s="18">
        <f>IF($P$15=0,"",IF(LEN('Grupo'!$C$38)&gt;0,'Grupo'!$C$38,"Sim"))</f>
        <v/>
      </c>
      <c r="K28" s="19">
        <f>IF(CJ28&gt;0,"O Google leu como fórmula: escolha de novo ou digite com ' na frente.",IF($P$15=0,"",IF(AND($AR$15=0,$J$28="Sim",LEN(IFERROR(INDEX($BY$45:$BY$54,MATCH(1,$BV$45:$BV$54,0)),""))&gt;0,NOT(AND(ISNUMBER($CD$28),$CD$28&gt;=3))),"PV 0 e Morrendo: "&amp;IFERROR(INDEX($BY$45:$BY$54,MATCH(1,$BV$45:$BV$54,0)),"")&amp;" pode Executar (23.5); Intervir cancela",IF(AND(ISNUMBER($CH$28),$CH$28&gt;3*'Campanha'!$B$20),"PV temporário acima do teto 3 × Eficiência (23.3)",IF(AND($CB$28="Sim",'Grupo'!$D$38&lt;&gt;"Sim"),"Esforço é traço do Humano (05)","")))))</f>
        <v/>
      </c>
      <c r="N28" s="2">
        <f>IF(AND(LEN('Grupo'!$P$8)&gt;0,'Grupo'!$Q$62="Sim"),IF(LEN('Grupo'!$R$62)&gt;0,'Grupo'!$R$62&amp;" (de "&amp;'Grupo'!$P$8&amp;")","Memoespírito de "&amp;'Grupo'!$P$8),"")</f>
        <v/>
      </c>
      <c r="O28" s="2">
        <f>"Memoespírito"</f>
        <v/>
      </c>
      <c r="P28" s="2">
        <f>IF(AND(LEN($N$28)&gt;0,$P$12=1,$CA$34="Sim"),1,0)</f>
        <v/>
      </c>
      <c r="Q28" s="2">
        <f>IF(AND($P$28=1,$AR$28&gt;0),1,0)</f>
        <v/>
      </c>
      <c r="R28" s="2">
        <f>IF(AND($Q$28=1,NOT(AND($AA$28=1,$O$28="Comum"))),1,0)</f>
        <v/>
      </c>
      <c r="S28" s="2">
        <f>$Q$28</f>
        <v/>
      </c>
      <c r="T28" s="2">
        <f>IF(ISNUMBER('Grupo'!$F$71),'Grupo'!$F$71,10)</f>
        <v/>
      </c>
      <c r="U28" s="2">
        <f>MIN(40,MAX(0,$T$28+IF(ISNUMBER($CB$34),MIN(10,MAX(-10,INT($CB$34))),0)))</f>
        <v/>
      </c>
      <c r="V28" s="2">
        <f>MIN(30,MAX(15,IF(ISNUMBER('Grupo'!$X$62),'Grupo'!$X$62,0)+20))</f>
        <v/>
      </c>
      <c r="W28" s="2">
        <f>MIN(30,MAX(15,IF(ISNUMBER('Grupo'!$W$62),'Grupo'!$W$62,0)+20))</f>
        <v/>
      </c>
      <c r="X28" s="2">
        <f>5</f>
        <v/>
      </c>
      <c r="Y28" s="2">
        <f>0.028</f>
        <v/>
      </c>
      <c r="Z28" s="2">
        <f>$U$28*100000+$V$28*1000+$W$28*10+$X$28+$Y$28</f>
        <v/>
      </c>
      <c r="AA28" s="2">
        <f>0</f>
        <v/>
      </c>
      <c r="AB28" s="2">
        <f>IF(AND($N$8=1,LEN($N$28)&gt;0),IF(COUNTIFS($A$209:$A$303,$N$28,$CA$209:$CA$303,"Surpreso")-COUNTIFS($A$209:$A$303,$N$28,$CA$209:$CA$303,"Surpreso",$CC$209:$CC$303,0)&gt;0,1,0),0)</f>
        <v/>
      </c>
      <c r="AC28" s="2">
        <f>IF(ISNUMBER($CC$132),MAX(0,INT($CC$132)),0)</f>
        <v/>
      </c>
      <c r="AD28" s="2">
        <f>IF(AND($AA$28=1,$O$28&lt;&gt;"Comum"),2,IF($O$28="Comum",MIN(3,$AC$28),IF(OR($O$28="Elite",$O$28="Boss"),IF($AC$28=0,0,MIN(2,MAX(1,INT($AC$28/2)))),$AC$28)))</f>
        <v/>
      </c>
      <c r="AE28" s="2">
        <f>IF(AND($AA$28=1,$O$28="Comum"),0,MIN(IF($O$28="Comum",3,IF(OR($O$28="PJ",$O$28="Memoespírito"),999,2)),IF(ISNUMBER($CD$132),MAX(0,INT($CD$132)),0)))</f>
        <v/>
      </c>
      <c r="AF28" s="2">
        <f>IF($CG$132="Sim",1,0)</f>
        <v/>
      </c>
      <c r="AG28" s="2">
        <f>IF($AF$28=1,0,IF(ISNUMBER($CE$132),MAX(0,INT($CE$132)),0))</f>
        <v/>
      </c>
      <c r="AH28" s="2">
        <f>IF(ISNUMBER($CH$132),$CH$132,"")</f>
        <v/>
      </c>
      <c r="AI28" s="2">
        <f>IF($R$28=1,1+COUNTIFS($R$11:$R$32,1,$Z$11:$Z$32,"&gt;"&amp;$Z$28),"")</f>
        <v/>
      </c>
      <c r="AJ28" s="2">
        <f>IF($R$28=1,$AI$28+($AE$28+IF($AF$28=1,0,$AD$28)),"")</f>
        <v/>
      </c>
      <c r="AK28" s="2">
        <f>IF($R$28=1,MIN($J$7,$AJ$28),"")</f>
        <v/>
      </c>
      <c r="AL28" s="2">
        <f>IF($R$28=1,$AJ$28-$AK$28,0)</f>
        <v/>
      </c>
      <c r="AM28" s="2">
        <f>IF($R$28=0,"",IF(ISNUMBER($AH$28),$AH$28-0.7+18/1000,$AK$28+IF(($AE$28+IF($AF$28=1,0,$AD$28))&gt;0,0.5,0)-$AG$28-IF($AG$28&gt;0,0.5,0)+18/1000))</f>
        <v/>
      </c>
      <c r="AN28" s="2">
        <f>IF(OR($Q$28=0,AND($AA$28=1,$O$28="Comum")),0,MIN(IF($O$28="Comum",3,IF(OR($O$28="PJ",$O$28="Memoespírito"),999,2)),IF($AF$28=1,$AD$28,0)+$AL$28))</f>
        <v/>
      </c>
      <c r="AO28" s="2">
        <f>IF($S$28=1,1+COUNTIFS($S$11:$S$32,1,$Z$11:$Z$32,"&gt;"&amp;$Z$28),"")</f>
        <v/>
      </c>
      <c r="AP28" s="2">
        <f>IF($S$28=1,$AO$28+$AN$28+IF($AN$28&gt;0,0.5,0)+18/1000,"")</f>
        <v/>
      </c>
      <c r="AQ28" s="2">
        <f>IF(ISNUMBER('Grupo'!$D$71),MAX(1,'Grupo'!$D$71),1)</f>
        <v/>
      </c>
      <c r="AR28" s="2">
        <f>IF(ISNUMBER($CE$34),MIN($AQ$28,MAX(0,INT($CE$34))),$AQ$28)</f>
        <v/>
      </c>
      <c r="AS28" s="2">
        <f>'Campanha'!$B$20</f>
        <v/>
      </c>
      <c r="AT28" s="2">
        <f>IF(AND($R$28=1,$AF$28=0,$AB$28=0),1,0)</f>
        <v/>
      </c>
      <c r="AU28" s="2">
        <f>IF($CF$132="Sim",1,0)</f>
        <v/>
      </c>
      <c r="AV28" s="2">
        <f>$AD$282+$AD$283+$AD$284+$AD$285</f>
        <v/>
      </c>
      <c r="CB28" s="2">
        <f>IF(ISERROR($C$28),"",IF(ISBLANK($C$28),"",$C$28))</f>
        <v/>
      </c>
      <c r="CC28" s="2">
        <f>IF(ISERROR($D$28),"",IF(ISBLANK($D$28),"",$D$28))</f>
        <v/>
      </c>
      <c r="CD28" s="2">
        <f>IF(ISERROR($E$28),"",IF(ISBLANK($E$28),"",$E$28))</f>
        <v/>
      </c>
      <c r="CH28" s="2">
        <f>IF(ISERROR($I$28),"",IF(ISBLANK($I$28),"",$I$28))</f>
        <v/>
      </c>
      <c r="CJ28" s="2">
        <f>ISERROR($B$28)*1+ISERROR($C$28)*1+ISERROR($D$28)*1+ISERROR($E$28)*1+ISERROR($I$28)*1</f>
        <v/>
      </c>
    </row>
    <row r="29" ht="37" customHeight="1">
      <c r="A29" s="43">
        <f>IF(LEN($N$16)&gt;0,$N$16,"PJ 6")</f>
        <v/>
      </c>
      <c r="B29" s="36" t="n"/>
      <c r="C29" s="36" t="n"/>
      <c r="D29" s="37" t="n"/>
      <c r="E29" s="37" t="n"/>
      <c r="F29" s="10">
        <f>IF($P$16=0,"",IF($AR$16&gt;0,"De pé",IF(AND(ISNUMBER($CD$29),$CD$29&gt;=3),"Morre (3 falhas, 23.4)",IF(AND(ISNUMBER($CC$29),$CC$29&gt;=3),"Estabiliza com 1 PV: digite 1 em PV atual","Morrendo: d20"&amp;IF(IF(ISNUMBER('Grupo'!$X$21),'Grupo'!$X$21,0)&gt;=0,"+","")&amp;IF(ISNUMBER('Grupo'!$X$21),'Grupo'!$X$21,0)&amp;", sem Eficiência"&amp;IF('Grupo'!$B$39="Sim",", com Vantagem","")&amp;" contra DT 10. Dano recebido = +1 falha (2 se crítico ou Habilidade de Nível 5+)"))))</f>
        <v/>
      </c>
      <c r="I29" s="37" t="n"/>
      <c r="J29" s="23">
        <f>IF($P$16=0,"",IF(LEN('Grupo'!$C$39)&gt;0,'Grupo'!$C$39,"Sim"))</f>
        <v/>
      </c>
      <c r="K29" s="27">
        <f>IF(CJ29&gt;0,"O Google leu como fórmula: escolha de novo ou digite com ' na frente.",IF($P$16=0,"",IF(AND($AR$16=0,$J$29="Sim",LEN(IFERROR(INDEX($BY$45:$BY$54,MATCH(1,$BV$45:$BV$54,0)),""))&gt;0,NOT(AND(ISNUMBER($CD$29),$CD$29&gt;=3))),"PV 0 e Morrendo: "&amp;IFERROR(INDEX($BY$45:$BY$54,MATCH(1,$BV$45:$BV$54,0)),"")&amp;" pode Executar (23.5); Intervir cancela",IF(AND(ISNUMBER($CH$29),$CH$29&gt;3*'Campanha'!$B$20),"PV temporário acima do teto 3 × Eficiência (23.3)",IF(AND($CB$29="Sim",'Grupo'!$D$39&lt;&gt;"Sim"),"Esforço é traço do Humano (05)","")))))</f>
        <v/>
      </c>
      <c r="N29" s="2">
        <f>IF(AND(LEN('Grupo'!$P$9)&gt;0,'Grupo'!$Q$63="Sim"),IF(LEN('Grupo'!$R$63)&gt;0,'Grupo'!$R$63&amp;" (de "&amp;'Grupo'!$P$9&amp;")","Memoespírito de "&amp;'Grupo'!$P$9),"")</f>
        <v/>
      </c>
      <c r="O29" s="2">
        <f>"Memoespírito"</f>
        <v/>
      </c>
      <c r="P29" s="2">
        <f>IF(AND(LEN($N$29)&gt;0,$P$13=1,$CA$35="Sim"),1,0)</f>
        <v/>
      </c>
      <c r="Q29" s="2">
        <f>IF(AND($P$29=1,$AR$29&gt;0),1,0)</f>
        <v/>
      </c>
      <c r="R29" s="2">
        <f>IF(AND($Q$29=1,NOT(AND($AA$29=1,$O$29="Comum"))),1,0)</f>
        <v/>
      </c>
      <c r="S29" s="2">
        <f>$Q$29</f>
        <v/>
      </c>
      <c r="T29" s="2">
        <f>IF(ISNUMBER('Grupo'!$F$72),'Grupo'!$F$72,10)</f>
        <v/>
      </c>
      <c r="U29" s="2">
        <f>MIN(40,MAX(0,$T$29+IF(ISNUMBER($CB$35),MIN(10,MAX(-10,INT($CB$35))),0)))</f>
        <v/>
      </c>
      <c r="V29" s="2">
        <f>MIN(30,MAX(15,IF(ISNUMBER('Grupo'!$X$63),'Grupo'!$X$63,0)+20))</f>
        <v/>
      </c>
      <c r="W29" s="2">
        <f>MIN(30,MAX(15,IF(ISNUMBER('Grupo'!$W$63),'Grupo'!$W$63,0)+20))</f>
        <v/>
      </c>
      <c r="X29" s="2">
        <f>5</f>
        <v/>
      </c>
      <c r="Y29" s="2">
        <f>0.027</f>
        <v/>
      </c>
      <c r="Z29" s="2">
        <f>$U$29*100000+$V$29*1000+$W$29*10+$X$29+$Y$29</f>
        <v/>
      </c>
      <c r="AA29" s="2">
        <f>0</f>
        <v/>
      </c>
      <c r="AB29" s="2">
        <f>IF(AND($N$8=1,LEN($N$29)&gt;0),IF(COUNTIFS($A$209:$A$303,$N$29,$CA$209:$CA$303,"Surpreso")-COUNTIFS($A$209:$A$303,$N$29,$CA$209:$CA$303,"Surpreso",$CC$209:$CC$303,0)&gt;0,1,0),0)</f>
        <v/>
      </c>
      <c r="AC29" s="2">
        <f>IF(ISNUMBER($CC$133),MAX(0,INT($CC$133)),0)</f>
        <v/>
      </c>
      <c r="AD29" s="2">
        <f>IF(AND($AA$29=1,$O$29&lt;&gt;"Comum"),2,IF($O$29="Comum",MIN(3,$AC$29),IF(OR($O$29="Elite",$O$29="Boss"),IF($AC$29=0,0,MIN(2,MAX(1,INT($AC$29/2)))),$AC$29)))</f>
        <v/>
      </c>
      <c r="AE29" s="2">
        <f>IF(AND($AA$29=1,$O$29="Comum"),0,MIN(IF($O$29="Comum",3,IF(OR($O$29="PJ",$O$29="Memoespírito"),999,2)),IF(ISNUMBER($CD$133),MAX(0,INT($CD$133)),0)))</f>
        <v/>
      </c>
      <c r="AF29" s="2">
        <f>IF($CG$133="Sim",1,0)</f>
        <v/>
      </c>
      <c r="AG29" s="2">
        <f>IF($AF$29=1,0,IF(ISNUMBER($CE$133),MAX(0,INT($CE$133)),0))</f>
        <v/>
      </c>
      <c r="AH29" s="2">
        <f>IF(ISNUMBER($CH$133),$CH$133,"")</f>
        <v/>
      </c>
      <c r="AI29" s="2">
        <f>IF($R$29=1,1+COUNTIFS($R$11:$R$32,1,$Z$11:$Z$32,"&gt;"&amp;$Z$29),"")</f>
        <v/>
      </c>
      <c r="AJ29" s="2">
        <f>IF($R$29=1,$AI$29+($AE$29+IF($AF$29=1,0,$AD$29)),"")</f>
        <v/>
      </c>
      <c r="AK29" s="2">
        <f>IF($R$29=1,MIN($J$7,$AJ$29),"")</f>
        <v/>
      </c>
      <c r="AL29" s="2">
        <f>IF($R$29=1,$AJ$29-$AK$29,0)</f>
        <v/>
      </c>
      <c r="AM29" s="2">
        <f>IF($R$29=0,"",IF(ISNUMBER($AH$29),$AH$29-0.7+19/1000,$AK$29+IF(($AE$29+IF($AF$29=1,0,$AD$29))&gt;0,0.5,0)-$AG$29-IF($AG$29&gt;0,0.5,0)+19/1000))</f>
        <v/>
      </c>
      <c r="AN29" s="2">
        <f>IF(OR($Q$29=0,AND($AA$29=1,$O$29="Comum")),0,MIN(IF($O$29="Comum",3,IF(OR($O$29="PJ",$O$29="Memoespírito"),999,2)),IF($AF$29=1,$AD$29,0)+$AL$29))</f>
        <v/>
      </c>
      <c r="AO29" s="2">
        <f>IF($S$29=1,1+COUNTIFS($S$11:$S$32,1,$Z$11:$Z$32,"&gt;"&amp;$Z$29),"")</f>
        <v/>
      </c>
      <c r="AP29" s="2">
        <f>IF($S$29=1,$AO$29+$AN$29+IF($AN$29&gt;0,0.5,0)+19/1000,"")</f>
        <v/>
      </c>
      <c r="AQ29" s="2">
        <f>IF(ISNUMBER('Grupo'!$D$72),MAX(1,'Grupo'!$D$72),1)</f>
        <v/>
      </c>
      <c r="AR29" s="2">
        <f>IF(ISNUMBER($CE$35),MIN($AQ$29,MAX(0,INT($CE$35))),$AQ$29)</f>
        <v/>
      </c>
      <c r="AS29" s="2">
        <f>'Campanha'!$B$20</f>
        <v/>
      </c>
      <c r="AT29" s="2">
        <f>IF(AND($R$29=1,$AF$29=0,$AB$29=0),1,0)</f>
        <v/>
      </c>
      <c r="AU29" s="2">
        <f>IF($CF$133="Sim",1,0)</f>
        <v/>
      </c>
      <c r="AV29" s="2">
        <f>$AD$287+$AD$288+$AD$289+$AD$290</f>
        <v/>
      </c>
      <c r="CB29" s="2">
        <f>IF(ISERROR($C$29),"",IF(ISBLANK($C$29),"",$C$29))</f>
        <v/>
      </c>
      <c r="CC29" s="2">
        <f>IF(ISERROR($D$29),"",IF(ISBLANK($D$29),"",$D$29))</f>
        <v/>
      </c>
      <c r="CD29" s="2">
        <f>IF(ISERROR($E$29),"",IF(ISBLANK($E$29),"",$E$29))</f>
        <v/>
      </c>
      <c r="CH29" s="2">
        <f>IF(ISERROR($I$29),"",IF(ISBLANK($I$29),"",$I$29))</f>
        <v/>
      </c>
      <c r="CJ29" s="2">
        <f>ISERROR($B$29)*1+ISERROR($C$29)*1+ISERROR($D$29)*1+ISERROR($E$29)*1+ISERROR($I$29)*1</f>
        <v/>
      </c>
    </row>
    <row r="30">
      <c r="N30" s="2">
        <f>IF(AND(LEN('Grupo'!$P$10)&gt;0,'Grupo'!$Q$64="Sim"),IF(LEN('Grupo'!$R$64)&gt;0,'Grupo'!$R$64&amp;" (de "&amp;'Grupo'!$P$10&amp;")","Memoespírito de "&amp;'Grupo'!$P$10),"")</f>
        <v/>
      </c>
      <c r="O30" s="2">
        <f>"Memoespírito"</f>
        <v/>
      </c>
      <c r="P30" s="2">
        <f>IF(AND(LEN($N$30)&gt;0,$P$14=1,$CA$36="Sim"),1,0)</f>
        <v/>
      </c>
      <c r="Q30" s="2">
        <f>IF(AND($P$30=1,$AR$30&gt;0),1,0)</f>
        <v/>
      </c>
      <c r="R30" s="2">
        <f>IF(AND($Q$30=1,NOT(AND($AA$30=1,$O$30="Comum"))),1,0)</f>
        <v/>
      </c>
      <c r="S30" s="2">
        <f>$Q$30</f>
        <v/>
      </c>
      <c r="T30" s="2">
        <f>IF(ISNUMBER('Grupo'!$F$73),'Grupo'!$F$73,10)</f>
        <v/>
      </c>
      <c r="U30" s="2">
        <f>MIN(40,MAX(0,$T$30+IF(ISNUMBER($CB$36),MIN(10,MAX(-10,INT($CB$36))),0)))</f>
        <v/>
      </c>
      <c r="V30" s="2">
        <f>MIN(30,MAX(15,IF(ISNUMBER('Grupo'!$X$64),'Grupo'!$X$64,0)+20))</f>
        <v/>
      </c>
      <c r="W30" s="2">
        <f>MIN(30,MAX(15,IF(ISNUMBER('Grupo'!$W$64),'Grupo'!$W$64,0)+20))</f>
        <v/>
      </c>
      <c r="X30" s="2">
        <f>5</f>
        <v/>
      </c>
      <c r="Y30" s="2">
        <f>0.026</f>
        <v/>
      </c>
      <c r="Z30" s="2">
        <f>$U$30*100000+$V$30*1000+$W$30*10+$X$30+$Y$30</f>
        <v/>
      </c>
      <c r="AA30" s="2">
        <f>0</f>
        <v/>
      </c>
      <c r="AB30" s="2">
        <f>IF(AND($N$8=1,LEN($N$30)&gt;0),IF(COUNTIFS($A$209:$A$303,$N$30,$CA$209:$CA$303,"Surpreso")-COUNTIFS($A$209:$A$303,$N$30,$CA$209:$CA$303,"Surpreso",$CC$209:$CC$303,0)&gt;0,1,0),0)</f>
        <v/>
      </c>
      <c r="AC30" s="2">
        <f>IF(ISNUMBER($CC$134),MAX(0,INT($CC$134)),0)</f>
        <v/>
      </c>
      <c r="AD30" s="2">
        <f>IF(AND($AA$30=1,$O$30&lt;&gt;"Comum"),2,IF($O$30="Comum",MIN(3,$AC$30),IF(OR($O$30="Elite",$O$30="Boss"),IF($AC$30=0,0,MIN(2,MAX(1,INT($AC$30/2)))),$AC$30)))</f>
        <v/>
      </c>
      <c r="AE30" s="2">
        <f>IF(AND($AA$30=1,$O$30="Comum"),0,MIN(IF($O$30="Comum",3,IF(OR($O$30="PJ",$O$30="Memoespírito"),999,2)),IF(ISNUMBER($CD$134),MAX(0,INT($CD$134)),0)))</f>
        <v/>
      </c>
      <c r="AF30" s="2">
        <f>IF($CG$134="Sim",1,0)</f>
        <v/>
      </c>
      <c r="AG30" s="2">
        <f>IF($AF$30=1,0,IF(ISNUMBER($CE$134),MAX(0,INT($CE$134)),0))</f>
        <v/>
      </c>
      <c r="AH30" s="2">
        <f>IF(ISNUMBER($CH$134),$CH$134,"")</f>
        <v/>
      </c>
      <c r="AI30" s="2">
        <f>IF($R$30=1,1+COUNTIFS($R$11:$R$32,1,$Z$11:$Z$32,"&gt;"&amp;$Z$30),"")</f>
        <v/>
      </c>
      <c r="AJ30" s="2">
        <f>IF($R$30=1,$AI$30+($AE$30+IF($AF$30=1,0,$AD$30)),"")</f>
        <v/>
      </c>
      <c r="AK30" s="2">
        <f>IF($R$30=1,MIN($J$7,$AJ$30),"")</f>
        <v/>
      </c>
      <c r="AL30" s="2">
        <f>IF($R$30=1,$AJ$30-$AK$30,0)</f>
        <v/>
      </c>
      <c r="AM30" s="2">
        <f>IF($R$30=0,"",IF(ISNUMBER($AH$30),$AH$30-0.7+20/1000,$AK$30+IF(($AE$30+IF($AF$30=1,0,$AD$30))&gt;0,0.5,0)-$AG$30-IF($AG$30&gt;0,0.5,0)+20/1000))</f>
        <v/>
      </c>
      <c r="AN30" s="2">
        <f>IF(OR($Q$30=0,AND($AA$30=1,$O$30="Comum")),0,MIN(IF($O$30="Comum",3,IF(OR($O$30="PJ",$O$30="Memoespírito"),999,2)),IF($AF$30=1,$AD$30,0)+$AL$30))</f>
        <v/>
      </c>
      <c r="AO30" s="2">
        <f>IF($S$30=1,1+COUNTIFS($S$11:$S$32,1,$Z$11:$Z$32,"&gt;"&amp;$Z$30),"")</f>
        <v/>
      </c>
      <c r="AP30" s="2">
        <f>IF($S$30=1,$AO$30+$AN$30+IF($AN$30&gt;0,0.5,0)+20/1000,"")</f>
        <v/>
      </c>
      <c r="AQ30" s="2">
        <f>IF(ISNUMBER('Grupo'!$D$73),MAX(1,'Grupo'!$D$73),1)</f>
        <v/>
      </c>
      <c r="AR30" s="2">
        <f>IF(ISNUMBER($CE$36),MIN($AQ$30,MAX(0,INT($CE$36))),$AQ$30)</f>
        <v/>
      </c>
      <c r="AS30" s="2">
        <f>'Campanha'!$B$20</f>
        <v/>
      </c>
      <c r="AT30" s="2">
        <f>IF(AND($R$30=1,$AF$30=0,$AB$30=0),1,0)</f>
        <v/>
      </c>
      <c r="AU30" s="2">
        <f>IF($CF$134="Sim",1,0)</f>
        <v/>
      </c>
      <c r="AV30" s="2">
        <f>$AD$291+$AD$292+$AD$293+$AD$294</f>
        <v/>
      </c>
    </row>
    <row r="31" ht="20" customHeight="1">
      <c r="A31" s="13" t="inlineStr">
        <is>
          <t>C2b · Memoespíritos (11.5): Memoespírito invocado? Sim/Não; com Sim ele entra na Fila pela VEL dele</t>
        </is>
      </c>
      <c r="N31" s="2">
        <f>IF(AND(LEN('Grupo'!$P$11)&gt;0,'Grupo'!$Q$65="Sim"),IF(LEN('Grupo'!$R$65)&gt;0,'Grupo'!$R$65&amp;" (de "&amp;'Grupo'!$P$11&amp;")","Memoespírito de "&amp;'Grupo'!$P$11),"")</f>
        <v/>
      </c>
      <c r="O31" s="2">
        <f>"Memoespírito"</f>
        <v/>
      </c>
      <c r="P31" s="2">
        <f>IF(AND(LEN($N$31)&gt;0,$P$15=1,$CA$37="Sim"),1,0)</f>
        <v/>
      </c>
      <c r="Q31" s="2">
        <f>IF(AND($P$31=1,$AR$31&gt;0),1,0)</f>
        <v/>
      </c>
      <c r="R31" s="2">
        <f>IF(AND($Q$31=1,NOT(AND($AA$31=1,$O$31="Comum"))),1,0)</f>
        <v/>
      </c>
      <c r="S31" s="2">
        <f>$Q$31</f>
        <v/>
      </c>
      <c r="T31" s="2">
        <f>IF(ISNUMBER('Grupo'!$F$74),'Grupo'!$F$74,10)</f>
        <v/>
      </c>
      <c r="U31" s="2">
        <f>MIN(40,MAX(0,$T$31+IF(ISNUMBER($CB$37),MIN(10,MAX(-10,INT($CB$37))),0)))</f>
        <v/>
      </c>
      <c r="V31" s="2">
        <f>MIN(30,MAX(15,IF(ISNUMBER('Grupo'!$X$65),'Grupo'!$X$65,0)+20))</f>
        <v/>
      </c>
      <c r="W31" s="2">
        <f>MIN(30,MAX(15,IF(ISNUMBER('Grupo'!$W$65),'Grupo'!$W$65,0)+20))</f>
        <v/>
      </c>
      <c r="X31" s="2">
        <f>5</f>
        <v/>
      </c>
      <c r="Y31" s="2">
        <f>0.025</f>
        <v/>
      </c>
      <c r="Z31" s="2">
        <f>$U$31*100000+$V$31*1000+$W$31*10+$X$31+$Y$31</f>
        <v/>
      </c>
      <c r="AA31" s="2">
        <f>0</f>
        <v/>
      </c>
      <c r="AB31" s="2">
        <f>IF(AND($N$8=1,LEN($N$31)&gt;0),IF(COUNTIFS($A$209:$A$303,$N$31,$CA$209:$CA$303,"Surpreso")-COUNTIFS($A$209:$A$303,$N$31,$CA$209:$CA$303,"Surpreso",$CC$209:$CC$303,0)&gt;0,1,0),0)</f>
        <v/>
      </c>
      <c r="AC31" s="2">
        <f>IF(ISNUMBER($CC$136),MAX(0,INT($CC$136)),0)</f>
        <v/>
      </c>
      <c r="AD31" s="2">
        <f>IF(AND($AA$31=1,$O$31&lt;&gt;"Comum"),2,IF($O$31="Comum",MIN(3,$AC$31),IF(OR($O$31="Elite",$O$31="Boss"),IF($AC$31=0,0,MIN(2,MAX(1,INT($AC$31/2)))),$AC$31)))</f>
        <v/>
      </c>
      <c r="AE31" s="2">
        <f>IF(AND($AA$31=1,$O$31="Comum"),0,MIN(IF($O$31="Comum",3,IF(OR($O$31="PJ",$O$31="Memoespírito"),999,2)),IF(ISNUMBER($CD$136),MAX(0,INT($CD$136)),0)))</f>
        <v/>
      </c>
      <c r="AF31" s="2">
        <f>IF($CG$136="Sim",1,0)</f>
        <v/>
      </c>
      <c r="AG31" s="2">
        <f>IF($AF$31=1,0,IF(ISNUMBER($CE$136),MAX(0,INT($CE$136)),0))</f>
        <v/>
      </c>
      <c r="AH31" s="2">
        <f>IF(ISNUMBER($CH$136),$CH$136,"")</f>
        <v/>
      </c>
      <c r="AI31" s="2">
        <f>IF($R$31=1,1+COUNTIFS($R$11:$R$32,1,$Z$11:$Z$32,"&gt;"&amp;$Z$31),"")</f>
        <v/>
      </c>
      <c r="AJ31" s="2">
        <f>IF($R$31=1,$AI$31+($AE$31+IF($AF$31=1,0,$AD$31)),"")</f>
        <v/>
      </c>
      <c r="AK31" s="2">
        <f>IF($R$31=1,MIN($J$7,$AJ$31),"")</f>
        <v/>
      </c>
      <c r="AL31" s="2">
        <f>IF($R$31=1,$AJ$31-$AK$31,0)</f>
        <v/>
      </c>
      <c r="AM31" s="2">
        <f>IF($R$31=0,"",IF(ISNUMBER($AH$31),$AH$31-0.7+21/1000,$AK$31+IF(($AE$31+IF($AF$31=1,0,$AD$31))&gt;0,0.5,0)-$AG$31-IF($AG$31&gt;0,0.5,0)+21/1000))</f>
        <v/>
      </c>
      <c r="AN31" s="2">
        <f>IF(OR($Q$31=0,AND($AA$31=1,$O$31="Comum")),0,MIN(IF($O$31="Comum",3,IF(OR($O$31="PJ",$O$31="Memoespírito"),999,2)),IF($AF$31=1,$AD$31,0)+$AL$31))</f>
        <v/>
      </c>
      <c r="AO31" s="2">
        <f>IF($S$31=1,1+COUNTIFS($S$11:$S$32,1,$Z$11:$Z$32,"&gt;"&amp;$Z$31),"")</f>
        <v/>
      </c>
      <c r="AP31" s="2">
        <f>IF($S$31=1,$AO$31+$AN$31+IF($AN$31&gt;0,0.5,0)+21/1000,"")</f>
        <v/>
      </c>
      <c r="AQ31" s="2">
        <f>IF(ISNUMBER('Grupo'!$D$74),MAX(1,'Grupo'!$D$74),1)</f>
        <v/>
      </c>
      <c r="AR31" s="2">
        <f>IF(ISNUMBER($CE$37),MIN($AQ$31,MAX(0,INT($CE$37))),$AQ$31)</f>
        <v/>
      </c>
      <c r="AS31" s="2">
        <f>'Campanha'!$B$20</f>
        <v/>
      </c>
      <c r="AT31" s="2">
        <f>IF(AND($R$31=1,$AF$31=0,$AB$31=0),1,0)</f>
        <v/>
      </c>
      <c r="AU31" s="2">
        <f>IF($CF$136="Sim",1,0)</f>
        <v/>
      </c>
      <c r="AV31" s="2">
        <f>$AD$295+$AD$296+$AD$297+$AD$298</f>
        <v/>
      </c>
    </row>
    <row r="32" ht="26" customHeight="1">
      <c r="A32" s="8" t="inlineStr">
        <is>
          <t>Memoespírito (dono)</t>
        </is>
      </c>
      <c r="B32" s="8" t="inlineStr">
        <is>
          <t>Invocado? (Sim/Não)</t>
        </is>
      </c>
      <c r="C32" s="8" t="inlineStr">
        <is>
          <t>Ajuste de VEL</t>
        </is>
      </c>
      <c r="D32" s="8" t="inlineStr">
        <is>
          <t>VEL efetiva</t>
        </is>
      </c>
      <c r="E32" s="8" t="inlineStr">
        <is>
          <t>PV máx.</t>
        </is>
      </c>
      <c r="F32" s="8" t="inlineStr">
        <is>
          <t>PV atual</t>
        </is>
      </c>
      <c r="G32" s="8" t="inlineStr">
        <is>
          <t>Dano agora (− = cura)</t>
        </is>
      </c>
      <c r="H32" s="8" t="inlineStr">
        <is>
          <t>PV depois</t>
        </is>
      </c>
      <c r="I32" s="8" t="inlineStr">
        <is>
          <t>Defesa</t>
        </is>
      </c>
      <c r="J32" s="8" t="inlineStr">
        <is>
          <t>Na Fila?</t>
        </is>
      </c>
      <c r="K32" s="8" t="inlineStr">
        <is>
          <t>Aviso</t>
        </is>
      </c>
      <c r="L32" s="20" t="n"/>
      <c r="N32" s="2">
        <f>IF(AND(LEN('Grupo'!$P$12)&gt;0,'Grupo'!$Q$66="Sim"),IF(LEN('Grupo'!$R$66)&gt;0,'Grupo'!$R$66&amp;" (de "&amp;'Grupo'!$P$12&amp;")","Memoespírito de "&amp;'Grupo'!$P$12),"")</f>
        <v/>
      </c>
      <c r="O32" s="2">
        <f>"Memoespírito"</f>
        <v/>
      </c>
      <c r="P32" s="2">
        <f>IF(AND(LEN($N$32)&gt;0,$P$16=1,$CA$38="Sim"),1,0)</f>
        <v/>
      </c>
      <c r="Q32" s="2">
        <f>IF(AND($P$32=1,$AR$32&gt;0),1,0)</f>
        <v/>
      </c>
      <c r="R32" s="2">
        <f>IF(AND($Q$32=1,NOT(AND($AA$32=1,$O$32="Comum"))),1,0)</f>
        <v/>
      </c>
      <c r="S32" s="2">
        <f>$Q$32</f>
        <v/>
      </c>
      <c r="T32" s="2">
        <f>IF(ISNUMBER('Grupo'!$F$75),'Grupo'!$F$75,10)</f>
        <v/>
      </c>
      <c r="U32" s="2">
        <f>MIN(40,MAX(0,$T$32+IF(ISNUMBER($CB$38),MIN(10,MAX(-10,INT($CB$38))),0)))</f>
        <v/>
      </c>
      <c r="V32" s="2">
        <f>MIN(30,MAX(15,IF(ISNUMBER('Grupo'!$X$66),'Grupo'!$X$66,0)+20))</f>
        <v/>
      </c>
      <c r="W32" s="2">
        <f>MIN(30,MAX(15,IF(ISNUMBER('Grupo'!$W$66),'Grupo'!$W$66,0)+20))</f>
        <v/>
      </c>
      <c r="X32" s="2">
        <f>5</f>
        <v/>
      </c>
      <c r="Y32" s="2">
        <f>0.024</f>
        <v/>
      </c>
      <c r="Z32" s="2">
        <f>$U$32*100000+$V$32*1000+$W$32*10+$X$32+$Y$32</f>
        <v/>
      </c>
      <c r="AA32" s="2">
        <f>0</f>
        <v/>
      </c>
      <c r="AB32" s="2">
        <f>IF(AND($N$8=1,LEN($N$32)&gt;0),IF(COUNTIFS($A$209:$A$303,$N$32,$CA$209:$CA$303,"Surpreso")-COUNTIFS($A$209:$A$303,$N$32,$CA$209:$CA$303,"Surpreso",$CC$209:$CC$303,0)&gt;0,1,0),0)</f>
        <v/>
      </c>
      <c r="AC32" s="2">
        <f>IF(ISNUMBER($CC$137),MAX(0,INT($CC$137)),0)</f>
        <v/>
      </c>
      <c r="AD32" s="2">
        <f>IF(AND($AA$32=1,$O$32&lt;&gt;"Comum"),2,IF($O$32="Comum",MIN(3,$AC$32),IF(OR($O$32="Elite",$O$32="Boss"),IF($AC$32=0,0,MIN(2,MAX(1,INT($AC$32/2)))),$AC$32)))</f>
        <v/>
      </c>
      <c r="AE32" s="2">
        <f>IF(AND($AA$32=1,$O$32="Comum"),0,MIN(IF($O$32="Comum",3,IF(OR($O$32="PJ",$O$32="Memoespírito"),999,2)),IF(ISNUMBER($CD$137),MAX(0,INT($CD$137)),0)))</f>
        <v/>
      </c>
      <c r="AF32" s="2">
        <f>IF($CG$137="Sim",1,0)</f>
        <v/>
      </c>
      <c r="AG32" s="2">
        <f>IF($AF$32=1,0,IF(ISNUMBER($CE$137),MAX(0,INT($CE$137)),0))</f>
        <v/>
      </c>
      <c r="AH32" s="2">
        <f>IF(ISNUMBER($CH$137),$CH$137,"")</f>
        <v/>
      </c>
      <c r="AI32" s="2">
        <f>IF($R$32=1,1+COUNTIFS($R$11:$R$32,1,$Z$11:$Z$32,"&gt;"&amp;$Z$32),"")</f>
        <v/>
      </c>
      <c r="AJ32" s="2">
        <f>IF($R$32=1,$AI$32+($AE$32+IF($AF$32=1,0,$AD$32)),"")</f>
        <v/>
      </c>
      <c r="AK32" s="2">
        <f>IF($R$32=1,MIN($J$7,$AJ$32),"")</f>
        <v/>
      </c>
      <c r="AL32" s="2">
        <f>IF($R$32=1,$AJ$32-$AK$32,0)</f>
        <v/>
      </c>
      <c r="AM32" s="2">
        <f>IF($R$32=0,"",IF(ISNUMBER($AH$32),$AH$32-0.7+22/1000,$AK$32+IF(($AE$32+IF($AF$32=1,0,$AD$32))&gt;0,0.5,0)-$AG$32-IF($AG$32&gt;0,0.5,0)+22/1000))</f>
        <v/>
      </c>
      <c r="AN32" s="2">
        <f>IF(OR($Q$32=0,AND($AA$32=1,$O$32="Comum")),0,MIN(IF($O$32="Comum",3,IF(OR($O$32="PJ",$O$32="Memoespírito"),999,2)),IF($AF$32=1,$AD$32,0)+$AL$32))</f>
        <v/>
      </c>
      <c r="AO32" s="2">
        <f>IF($S$32=1,1+COUNTIFS($S$11:$S$32,1,$Z$11:$Z$32,"&gt;"&amp;$Z$32),"")</f>
        <v/>
      </c>
      <c r="AP32" s="2">
        <f>IF($S$32=1,$AO$32+$AN$32+IF($AN$32&gt;0,0.5,0)+22/1000,"")</f>
        <v/>
      </c>
      <c r="AQ32" s="2">
        <f>IF(ISNUMBER('Grupo'!$D$75),MAX(1,'Grupo'!$D$75),1)</f>
        <v/>
      </c>
      <c r="AR32" s="2">
        <f>IF(ISNUMBER($CE$38),MIN($AQ$32,MAX(0,INT($CE$38))),$AQ$32)</f>
        <v/>
      </c>
      <c r="AS32" s="2">
        <f>'Campanha'!$B$20</f>
        <v/>
      </c>
      <c r="AT32" s="2">
        <f>IF(AND($R$32=1,$AF$32=0,$AB$32=0),1,0)</f>
        <v/>
      </c>
      <c r="AU32" s="2">
        <f>IF($CF$137="Sim",1,0)</f>
        <v/>
      </c>
      <c r="AV32" s="2">
        <f>$AD$300+$AD$301+$AD$302+$AD$303</f>
        <v/>
      </c>
    </row>
    <row r="33" ht="60" customHeight="1">
      <c r="A33" s="31">
        <f>IF(LEN($N$27)&gt;0,$N$27,"Do PJ 1: nenhum")</f>
        <v/>
      </c>
      <c r="B33" s="34" t="n"/>
      <c r="C33" s="16" t="n"/>
      <c r="D33" s="18">
        <f>IF($P$27=1,$U$27,"")</f>
        <v/>
      </c>
      <c r="E33" s="18">
        <f>IF(LEN($N$27)&gt;0,$AQ$27,"")</f>
        <v/>
      </c>
      <c r="F33" s="16" t="n"/>
      <c r="G33" s="16" t="n"/>
      <c r="H33" s="18">
        <f>IF($P$27=0,"",IF(IF(ISNUMBER($CF$33),INT($CF$33),0)&gt;=0,MAX(0,$AR$27-IF(ISNUMBER($CF$33),INT($CF$33),0)),MIN($AQ$27,$AR$27-IF(ISNUMBER($CF$33),INT($CF$33),0))))</f>
        <v/>
      </c>
      <c r="I33" s="18">
        <f>IF(LEN($N$27)&gt;0,'Grupo'!$E$70,"")</f>
        <v/>
      </c>
      <c r="J33" s="18">
        <f>IF(LEN($N$27)=0,"",IF($R$27=1,"Sim",IF($P$27=0,"Não","Não: caiu")))</f>
        <v/>
      </c>
      <c r="K33" s="19">
        <f>IF(CJ33&gt;0,"O Google leu como fórmula: escolha de novo ou digite com ' na frente.",IF($CA$33&lt;&gt;"Sim","",IF(LEN($N$27)=0,"Nenhum Memoespírito ligado a este PJ na aba Grupo (G7)",IF($P$11=0,"O dono não participa deste combate (C1)",IF($AR$27=0,"A 0 PV ele some: só volta depois do próximo Descanso Curto (11.5)",IF(AND(ISNUMBER($CE$33),$CE$33&gt;$AQ$27),"PV acima do máximo: usando o máximo",IF($AR$11=0,"Dono a 0 PV: a planilha o mantém na Fila (H27)",IF(AND(IF(ISNUMBER($CF$33),INT($CF$33),0)&lt;0,$AR$27-IF(ISNUMBER($CF$33),INT($CF$33),0)&gt;$AQ$27),"Cura acima do máximo: "&amp;($AR$27-IF(ISNUMBER($CF$33),INT($CF$33),0)-$AQ$27)&amp;" perdida (23.2)",""))))))))</f>
        <v/>
      </c>
      <c r="CA33" s="2">
        <f>IF(ISERROR($B$33),"",IF(ISBLANK($B$33),"",$B$33))</f>
        <v/>
      </c>
      <c r="CB33" s="2">
        <f>IF(ISERROR($C$33),"",IF(ISBLANK($C$33),"",$C$33))</f>
        <v/>
      </c>
      <c r="CE33" s="2">
        <f>IF(ISERROR($F$33),"",IF(ISBLANK($F$33),"",$F$33))</f>
        <v/>
      </c>
      <c r="CF33" s="2">
        <f>IF(ISERROR($G$33),"",IF(ISBLANK($G$33),"",$G$33))</f>
        <v/>
      </c>
      <c r="CJ33" s="2">
        <f>ISERROR($B$33)*1+ISERROR($C$33)*1+ISERROR($F$33)*1+ISERROR($G$33)*1</f>
        <v/>
      </c>
    </row>
    <row r="34" ht="60" customHeight="1">
      <c r="A34" s="43">
        <f>IF(LEN($N$28)&gt;0,$N$28,"Do PJ 2: nenhum")</f>
        <v/>
      </c>
      <c r="B34" s="36" t="n"/>
      <c r="C34" s="37" t="n"/>
      <c r="D34" s="23">
        <f>IF($P$28=1,$U$28,"")</f>
        <v/>
      </c>
      <c r="E34" s="23">
        <f>IF(LEN($N$28)&gt;0,$AQ$28,"")</f>
        <v/>
      </c>
      <c r="F34" s="37" t="n"/>
      <c r="G34" s="37" t="n"/>
      <c r="H34" s="23">
        <f>IF($P$28=0,"",IF(IF(ISNUMBER($CF$34),INT($CF$34),0)&gt;=0,MAX(0,$AR$28-IF(ISNUMBER($CF$34),INT($CF$34),0)),MIN($AQ$28,$AR$28-IF(ISNUMBER($CF$34),INT($CF$34),0))))</f>
        <v/>
      </c>
      <c r="I34" s="23">
        <f>IF(LEN($N$28)&gt;0,'Grupo'!$E$71,"")</f>
        <v/>
      </c>
      <c r="J34" s="23">
        <f>IF(LEN($N$28)=0,"",IF($R$28=1,"Sim",IF($P$28=0,"Não","Não: caiu")))</f>
        <v/>
      </c>
      <c r="K34" s="27">
        <f>IF(CJ34&gt;0,"O Google leu como fórmula: escolha de novo ou digite com ' na frente.",IF($CA$34&lt;&gt;"Sim","",IF(LEN($N$28)=0,"Nenhum Memoespírito ligado a este PJ na aba Grupo (G7)",IF($P$12=0,"O dono não participa deste combate (C1)",IF($AR$28=0,"A 0 PV ele some: só volta depois do próximo Descanso Curto (11.5)",IF(AND(ISNUMBER($CE$34),$CE$34&gt;$AQ$28),"PV acima do máximo: usando o máximo",IF($AR$12=0,"Dono a 0 PV: a planilha o mantém na Fila (H27)",IF(AND(IF(ISNUMBER($CF$34),INT($CF$34),0)&lt;0,$AR$28-IF(ISNUMBER($CF$34),INT($CF$34),0)&gt;$AQ$28),"Cura acima do máximo: "&amp;($AR$28-IF(ISNUMBER($CF$34),INT($CF$34),0)-$AQ$28)&amp;" perdida (23.2)",""))))))))</f>
        <v/>
      </c>
      <c r="CA34" s="2">
        <f>IF(ISERROR($B$34),"",IF(ISBLANK($B$34),"",$B$34))</f>
        <v/>
      </c>
      <c r="CB34" s="2">
        <f>IF(ISERROR($C$34),"",IF(ISBLANK($C$34),"",$C$34))</f>
        <v/>
      </c>
      <c r="CE34" s="2">
        <f>IF(ISERROR($F$34),"",IF(ISBLANK($F$34),"",$F$34))</f>
        <v/>
      </c>
      <c r="CF34" s="2">
        <f>IF(ISERROR($G$34),"",IF(ISBLANK($G$34),"",$G$34))</f>
        <v/>
      </c>
      <c r="CJ34" s="2">
        <f>ISERROR($B$34)*1+ISERROR($C$34)*1+ISERROR($F$34)*1+ISERROR($G$34)*1</f>
        <v/>
      </c>
    </row>
    <row r="35" ht="60" customHeight="1">
      <c r="A35" s="31">
        <f>IF(LEN($N$29)&gt;0,$N$29,"Do PJ 3: nenhum")</f>
        <v/>
      </c>
      <c r="B35" s="34" t="n"/>
      <c r="C35" s="16" t="n"/>
      <c r="D35" s="18">
        <f>IF($P$29=1,$U$29,"")</f>
        <v/>
      </c>
      <c r="E35" s="18">
        <f>IF(LEN($N$29)&gt;0,$AQ$29,"")</f>
        <v/>
      </c>
      <c r="F35" s="16" t="n"/>
      <c r="G35" s="16" t="n"/>
      <c r="H35" s="18">
        <f>IF($P$29=0,"",IF(IF(ISNUMBER($CF$35),INT($CF$35),0)&gt;=0,MAX(0,$AR$29-IF(ISNUMBER($CF$35),INT($CF$35),0)),MIN($AQ$29,$AR$29-IF(ISNUMBER($CF$35),INT($CF$35),0))))</f>
        <v/>
      </c>
      <c r="I35" s="18">
        <f>IF(LEN($N$29)&gt;0,'Grupo'!$E$72,"")</f>
        <v/>
      </c>
      <c r="J35" s="18">
        <f>IF(LEN($N$29)=0,"",IF($R$29=1,"Sim",IF($P$29=0,"Não","Não: caiu")))</f>
        <v/>
      </c>
      <c r="K35" s="19">
        <f>IF(CJ35&gt;0,"O Google leu como fórmula: escolha de novo ou digite com ' na frente.",IF($CA$35&lt;&gt;"Sim","",IF(LEN($N$29)=0,"Nenhum Memoespírito ligado a este PJ na aba Grupo (G7)",IF($P$13=0,"O dono não participa deste combate (C1)",IF($AR$29=0,"A 0 PV ele some: só volta depois do próximo Descanso Curto (11.5)",IF(AND(ISNUMBER($CE$35),$CE$35&gt;$AQ$29),"PV acima do máximo: usando o máximo",IF($AR$13=0,"Dono a 0 PV: a planilha o mantém na Fila (H27)",IF(AND(IF(ISNUMBER($CF$35),INT($CF$35),0)&lt;0,$AR$29-IF(ISNUMBER($CF$35),INT($CF$35),0)&gt;$AQ$29),"Cura acima do máximo: "&amp;($AR$29-IF(ISNUMBER($CF$35),INT($CF$35),0)-$AQ$29)&amp;" perdida (23.2)",""))))))))</f>
        <v/>
      </c>
      <c r="CA35" s="2">
        <f>IF(ISERROR($B$35),"",IF(ISBLANK($B$35),"",$B$35))</f>
        <v/>
      </c>
      <c r="CB35" s="2">
        <f>IF(ISERROR($C$35),"",IF(ISBLANK($C$35),"",$C$35))</f>
        <v/>
      </c>
      <c r="CE35" s="2">
        <f>IF(ISERROR($F$35),"",IF(ISBLANK($F$35),"",$F$35))</f>
        <v/>
      </c>
      <c r="CF35" s="2">
        <f>IF(ISERROR($G$35),"",IF(ISBLANK($G$35),"",$G$35))</f>
        <v/>
      </c>
      <c r="CJ35" s="2">
        <f>ISERROR($B$35)*1+ISERROR($C$35)*1+ISERROR($F$35)*1+ISERROR($G$35)*1</f>
        <v/>
      </c>
    </row>
    <row r="36" ht="60" customHeight="1">
      <c r="A36" s="43">
        <f>IF(LEN($N$30)&gt;0,$N$30,"Do PJ 4: nenhum")</f>
        <v/>
      </c>
      <c r="B36" s="36" t="n"/>
      <c r="C36" s="37" t="n"/>
      <c r="D36" s="23">
        <f>IF($P$30=1,$U$30,"")</f>
        <v/>
      </c>
      <c r="E36" s="23">
        <f>IF(LEN($N$30)&gt;0,$AQ$30,"")</f>
        <v/>
      </c>
      <c r="F36" s="37" t="n"/>
      <c r="G36" s="37" t="n"/>
      <c r="H36" s="23">
        <f>IF($P$30=0,"",IF(IF(ISNUMBER($CF$36),INT($CF$36),0)&gt;=0,MAX(0,$AR$30-IF(ISNUMBER($CF$36),INT($CF$36),0)),MIN($AQ$30,$AR$30-IF(ISNUMBER($CF$36),INT($CF$36),0))))</f>
        <v/>
      </c>
      <c r="I36" s="23">
        <f>IF(LEN($N$30)&gt;0,'Grupo'!$E$73,"")</f>
        <v/>
      </c>
      <c r="J36" s="23">
        <f>IF(LEN($N$30)=0,"",IF($R$30=1,"Sim",IF($P$30=0,"Não","Não: caiu")))</f>
        <v/>
      </c>
      <c r="K36" s="27">
        <f>IF(CJ36&gt;0,"O Google leu como fórmula: escolha de novo ou digite com ' na frente.",IF($CA$36&lt;&gt;"Sim","",IF(LEN($N$30)=0,"Nenhum Memoespírito ligado a este PJ na aba Grupo (G7)",IF($P$14=0,"O dono não participa deste combate (C1)",IF($AR$30=0,"A 0 PV ele some: só volta depois do próximo Descanso Curto (11.5)",IF(AND(ISNUMBER($CE$36),$CE$36&gt;$AQ$30),"PV acima do máximo: usando o máximo",IF($AR$14=0,"Dono a 0 PV: a planilha o mantém na Fila (H27)",IF(AND(IF(ISNUMBER($CF$36),INT($CF$36),0)&lt;0,$AR$30-IF(ISNUMBER($CF$36),INT($CF$36),0)&gt;$AQ$30),"Cura acima do máximo: "&amp;($AR$30-IF(ISNUMBER($CF$36),INT($CF$36),0)-$AQ$30)&amp;" perdida (23.2)",""))))))))</f>
        <v/>
      </c>
      <c r="CA36" s="2">
        <f>IF(ISERROR($B$36),"",IF(ISBLANK($B$36),"",$B$36))</f>
        <v/>
      </c>
      <c r="CB36" s="2">
        <f>IF(ISERROR($C$36),"",IF(ISBLANK($C$36),"",$C$36))</f>
        <v/>
      </c>
      <c r="CE36" s="2">
        <f>IF(ISERROR($F$36),"",IF(ISBLANK($F$36),"",$F$36))</f>
        <v/>
      </c>
      <c r="CF36" s="2">
        <f>IF(ISERROR($G$36),"",IF(ISBLANK($G$36),"",$G$36))</f>
        <v/>
      </c>
      <c r="CJ36" s="2">
        <f>ISERROR($B$36)*1+ISERROR($C$36)*1+ISERROR($F$36)*1+ISERROR($G$36)*1</f>
        <v/>
      </c>
    </row>
    <row r="37" ht="60" customHeight="1">
      <c r="A37" s="31">
        <f>IF(LEN($N$31)&gt;0,$N$31,"Do PJ 5: nenhum")</f>
        <v/>
      </c>
      <c r="B37" s="34" t="n"/>
      <c r="C37" s="16" t="n"/>
      <c r="D37" s="18">
        <f>IF($P$31=1,$U$31,"")</f>
        <v/>
      </c>
      <c r="E37" s="18">
        <f>IF(LEN($N$31)&gt;0,$AQ$31,"")</f>
        <v/>
      </c>
      <c r="F37" s="16" t="n"/>
      <c r="G37" s="16" t="n"/>
      <c r="H37" s="18">
        <f>IF($P$31=0,"",IF(IF(ISNUMBER($CF$37),INT($CF$37),0)&gt;=0,MAX(0,$AR$31-IF(ISNUMBER($CF$37),INT($CF$37),0)),MIN($AQ$31,$AR$31-IF(ISNUMBER($CF$37),INT($CF$37),0))))</f>
        <v/>
      </c>
      <c r="I37" s="18">
        <f>IF(LEN($N$31)&gt;0,'Grupo'!$E$74,"")</f>
        <v/>
      </c>
      <c r="J37" s="18">
        <f>IF(LEN($N$31)=0,"",IF($R$31=1,"Sim",IF($P$31=0,"Não","Não: caiu")))</f>
        <v/>
      </c>
      <c r="K37" s="19">
        <f>IF(CJ37&gt;0,"O Google leu como fórmula: escolha de novo ou digite com ' na frente.",IF($CA$37&lt;&gt;"Sim","",IF(LEN($N$31)=0,"Nenhum Memoespírito ligado a este PJ na aba Grupo (G7)",IF($P$15=0,"O dono não participa deste combate (C1)",IF($AR$31=0,"A 0 PV ele some: só volta depois do próximo Descanso Curto (11.5)",IF(AND(ISNUMBER($CE$37),$CE$37&gt;$AQ$31),"PV acima do máximo: usando o máximo",IF($AR$15=0,"Dono a 0 PV: a planilha o mantém na Fila (H27)",IF(AND(IF(ISNUMBER($CF$37),INT($CF$37),0)&lt;0,$AR$31-IF(ISNUMBER($CF$37),INT($CF$37),0)&gt;$AQ$31),"Cura acima do máximo: "&amp;($AR$31-IF(ISNUMBER($CF$37),INT($CF$37),0)-$AQ$31)&amp;" perdida (23.2)",""))))))))</f>
        <v/>
      </c>
      <c r="CA37" s="2">
        <f>IF(ISERROR($B$37),"",IF(ISBLANK($B$37),"",$B$37))</f>
        <v/>
      </c>
      <c r="CB37" s="2">
        <f>IF(ISERROR($C$37),"",IF(ISBLANK($C$37),"",$C$37))</f>
        <v/>
      </c>
      <c r="CE37" s="2">
        <f>IF(ISERROR($F$37),"",IF(ISBLANK($F$37),"",$F$37))</f>
        <v/>
      </c>
      <c r="CF37" s="2">
        <f>IF(ISERROR($G$37),"",IF(ISBLANK($G$37),"",$G$37))</f>
        <v/>
      </c>
      <c r="CJ37" s="2">
        <f>ISERROR($B$37)*1+ISERROR($C$37)*1+ISERROR($F$37)*1+ISERROR($G$37)*1</f>
        <v/>
      </c>
    </row>
    <row r="38" ht="60" customHeight="1">
      <c r="A38" s="43">
        <f>IF(LEN($N$32)&gt;0,$N$32,"Do PJ 6: nenhum")</f>
        <v/>
      </c>
      <c r="B38" s="36" t="n"/>
      <c r="C38" s="37" t="n"/>
      <c r="D38" s="23">
        <f>IF($P$32=1,$U$32,"")</f>
        <v/>
      </c>
      <c r="E38" s="23">
        <f>IF(LEN($N$32)&gt;0,$AQ$32,"")</f>
        <v/>
      </c>
      <c r="F38" s="37" t="n"/>
      <c r="G38" s="37" t="n"/>
      <c r="H38" s="23">
        <f>IF($P$32=0,"",IF(IF(ISNUMBER($CF$38),INT($CF$38),0)&gt;=0,MAX(0,$AR$32-IF(ISNUMBER($CF$38),INT($CF$38),0)),MIN($AQ$32,$AR$32-IF(ISNUMBER($CF$38),INT($CF$38),0))))</f>
        <v/>
      </c>
      <c r="I38" s="23">
        <f>IF(LEN($N$32)&gt;0,'Grupo'!$E$75,"")</f>
        <v/>
      </c>
      <c r="J38" s="23">
        <f>IF(LEN($N$32)=0,"",IF($R$32=1,"Sim",IF($P$32=0,"Não","Não: caiu")))</f>
        <v/>
      </c>
      <c r="K38" s="27">
        <f>IF(CJ38&gt;0,"O Google leu como fórmula: escolha de novo ou digite com ' na frente.",IF($CA$38&lt;&gt;"Sim","",IF(LEN($N$32)=0,"Nenhum Memoespírito ligado a este PJ na aba Grupo (G7)",IF($P$16=0,"O dono não participa deste combate (C1)",IF($AR$32=0,"A 0 PV ele some: só volta depois do próximo Descanso Curto (11.5)",IF(AND(ISNUMBER($CE$38),$CE$38&gt;$AQ$32),"PV acima do máximo: usando o máximo",IF($AR$16=0,"Dono a 0 PV: a planilha o mantém na Fila (H27)",IF(AND(IF(ISNUMBER($CF$38),INT($CF$38),0)&lt;0,$AR$32-IF(ISNUMBER($CF$38),INT($CF$38),0)&gt;$AQ$32),"Cura acima do máximo: "&amp;($AR$32-IF(ISNUMBER($CF$38),INT($CF$38),0)-$AQ$32)&amp;" perdida (23.2)",""))))))))</f>
        <v/>
      </c>
      <c r="CA38" s="2">
        <f>IF(ISERROR($B$38),"",IF(ISBLANK($B$38),"",$B$38))</f>
        <v/>
      </c>
      <c r="CB38" s="2">
        <f>IF(ISERROR($C$38),"",IF(ISBLANK($C$38),"",$C$38))</f>
        <v/>
      </c>
      <c r="CE38" s="2">
        <f>IF(ISERROR($F$38),"",IF(ISBLANK($F$38),"",$F$38))</f>
        <v/>
      </c>
      <c r="CF38" s="2">
        <f>IF(ISERROR($G$38),"",IF(ISBLANK($G$38),"",$G$38))</f>
        <v/>
      </c>
      <c r="CJ38" s="2">
        <f>ISERROR($B$38)*1+ISERROR($C$38)*1+ISERROR($F$38)*1+ISERROR($G$38)*1</f>
        <v/>
      </c>
    </row>
    <row r="39" ht="26" customHeight="1">
      <c r="A39" s="44" t="inlineStr">
        <is>
          <t>Invocar (11.5): Ação Complementar do dono e 1 PH (desconte em PH atual, C0); invocado no meio do Ciclo, ele entra nas casas restantes, e se a VEL dele passaria de quem está agindo, age logo depois (19.7): use Casa manual (C8). Ele não tem Tenacidade, não fica Quebrado nem Congelado (20.1, 21.2). Dispensar: Não em invocado.</t>
        </is>
      </c>
    </row>
    <row r="40">
      <c r="A40" s="32" t="inlineStr">
        <is>
          <t>Condições dele vão na C7, nas linhas dele (combatentes 17 a 22); a Energia que ele gera é metade da ação, para o dono (17): some na Energia do dono (C1).</t>
        </is>
      </c>
    </row>
    <row r="41" ht="26" customHeight="1">
      <c r="A41" s="44" t="inlineStr">
        <is>
          <t>Sugestão da planilha — não é regra do livro (H27): o livro não diz o que acontece com o Memoespírito quando o dono cai a 0 PV nem como ele desempata na Fila; a planilha o mantém em campo (11.5 só o tira dispensado ou a 0 PV) e, em empate total de VEL, Agilidade e Discernimento, o põe do lado dos jogadores, logo depois dos PJs (19.3 passo 2).</t>
        </is>
      </c>
    </row>
    <row r="42"/>
    <row r="43" ht="20" customHeight="1">
      <c r="A43" s="13" t="inlineStr">
        <is>
          <t>C3 · Inimigos — quem é (o inimigo escolhido preenche os próprios dados)</t>
        </is>
      </c>
    </row>
    <row r="44" ht="26" customHeight="1">
      <c r="A44" s="8" t="inlineStr">
        <is>
          <t>Inimigo</t>
        </is>
      </c>
      <c r="B44" s="8" t="inlineStr">
        <is>
          <t>Do encontro</t>
        </is>
      </c>
      <c r="C44" s="8" t="inlineStr">
        <is>
          <t>Trocar por (preencha)</t>
        </is>
      </c>
      <c r="D44" s="8" t="inlineStr">
        <is>
          <t>Tipo · faixa</t>
        </is>
      </c>
      <c r="E44" s="8" t="inlineStr">
        <is>
          <t>Teste de Ataque</t>
        </is>
      </c>
      <c r="F44" s="8" t="inlineStr">
        <is>
          <t>Dano por acerto</t>
        </is>
      </c>
      <c r="G44" s="20" t="n"/>
      <c r="H44" s="8" t="inlineStr">
        <is>
          <t>DT · TR</t>
        </is>
      </c>
      <c r="I44" s="8" t="inlineStr">
        <is>
          <t>Firmeza</t>
        </is>
      </c>
      <c r="J44" s="8" t="inlineStr">
        <is>
          <t>Execução</t>
        </is>
      </c>
      <c r="K44" s="8" t="inlineStr">
        <is>
          <t>Aviso</t>
        </is>
      </c>
      <c r="L44" s="20" t="n"/>
    </row>
    <row r="45" ht="48" customHeight="1">
      <c r="A45" s="31">
        <f>IF(LEN($N$17)&gt;0,$N$17,"Inimigo 1")</f>
        <v/>
      </c>
      <c r="B45" s="5">
        <f>$BA$45</f>
        <v/>
      </c>
      <c r="C45" s="4" t="n"/>
      <c r="D45" s="18">
        <f>IF(ISNUMBER($BC$45),INDEX('Inimigos'!$O$11:$O$54,$BC$45)&amp;""&amp;" · "&amp;INDEX('Inimigos'!$P$11:$P$54,$BC$45)&amp;"","")</f>
        <v/>
      </c>
      <c r="E45" s="18">
        <f>IF(ISNUMBER($BC$45),"+"&amp;INDEX('Inimigos'!$V$11:$V$54,$BC$45),"")</f>
        <v/>
      </c>
      <c r="F45" s="5">
        <f>IF(ISNUMBER($BC$45),INDEX('Inimigos'!$W$11:$W$54,$BC$45)&amp;""&amp;" · média "&amp;INDEX('Inimigos'!$X$11:$X$54,$BC$45),"")</f>
        <v/>
      </c>
      <c r="H45" s="18">
        <f>IF(ISNUMBER($BC$45),"DT "&amp;INDEX('Inimigos'!$Y$11:$Y$54,$BC$45)&amp;" · TR +"&amp;INDEX('Inimigos'!$Z$11:$Z$54,$BC$45),"")</f>
        <v/>
      </c>
      <c r="I45" s="18">
        <f>IF(ISNUMBER($BC$45),INDEX('Inimigos'!$AJ$11:$AJ$54,$BC$45)&amp;"","")</f>
        <v/>
      </c>
      <c r="J45" s="18">
        <f>IF(ISNUMBER($BC$45),$BU$45,"")</f>
        <v/>
      </c>
      <c r="K45" s="19">
        <f>IF(CJ45&gt;0,"O Google leu como fórmula: escolha de novo na lista.",IF(AND(LEN($BB$45)&gt;0,NOT(ISNUMBER($BC$45))),"Inimigo fora da lista (Inimigos e Bestiário)",IF(AND(ISNUMBER($BC$45),$BU$45="Não declarado"),"Execução não declarada na ficha: só ser racional Executa (23.5)","")))</f>
        <v/>
      </c>
      <c r="AZ45" s="2">
        <f>IF($P$8=1,IF(MAX('Encontros'!$Y$21:$Y$28)&gt;=1,COUNTIF('Encontros'!$Y$21:$Y$28,"&lt;"&amp;1)+1,""),IF($P$8=2,IF(MAX('Encontros'!$Y$49:$Y$56)&gt;=1,COUNTIF('Encontros'!$Y$49:$Y$56,"&lt;"&amp;1)+1,""),IF($P$8=3,IF(MAX('Encontros'!$Y$77:$Y$84)&gt;=1,COUNTIF('Encontros'!$Y$77:$Y$84,"&lt;"&amp;1)+1,""),IF($P$8=4,IF(MAX('Encontros'!$Y$108:$Y$115)&gt;=1,COUNTIF('Encontros'!$Y$108:$Y$115,"&lt;"&amp;1)+1,""),""))))</f>
        <v/>
      </c>
      <c r="BA45" s="2">
        <f>IF($P$8=1,IF(ISNUMBER($AZ$45),INDEX('Encontros'!$AE$21:$AE$28,$AZ$45)&amp;"",""),IF($P$8=2,IF(ISNUMBER($AZ$45),INDEX('Encontros'!$AE$49:$AE$56,$AZ$45)&amp;"",""),IF($P$8=3,IF(ISNUMBER($AZ$45),INDEX('Encontros'!$AE$77:$AE$84,$AZ$45)&amp;"",""),IF($P$8=4,IF(ISNUMBER($AZ$45),INDEX('Encontros'!$S$108:$S$115,$AZ$45)&amp;"",""),""))))</f>
        <v/>
      </c>
      <c r="BB45" s="2">
        <f>IF(LEN($CB$45)&gt;0,$CB$45,$BA$45)</f>
        <v/>
      </c>
      <c r="BC45" s="2">
        <f>IF(LEN($BB$45)=0,"",IFERROR(MATCH($BB$45,'Inimigos'!$N$11:$N$54,0),""))</f>
        <v/>
      </c>
      <c r="BD45" s="2">
        <f>IF(NOT(ISNUMBER($BC$45)),"",IF(AND(LEN($CB$45)=0,ISNUMBER($AZ$45)),IF($P$8=1,INDEX('Encontros'!$P$21:$P$28,$AZ$45)&amp;"",IF($P$8=2,INDEX('Encontros'!$P$49:$P$56,$AZ$45)&amp;"",IF($P$8=3,INDEX('Encontros'!$P$77:$P$84,$AZ$45)&amp;"",IF($P$8=4,INDEX('Encontros'!$U$108:$U$115,$AZ$45)&amp;"","")))),INDEX('Inimigos'!$AA$11:$AA$54,$BC$45)&amp;""))</f>
        <v/>
      </c>
      <c r="BE45" s="2">
        <f>IF(NOT(ISNUMBER($BC$45)),"",IF(AND(LEN($CB$45)=0,ISNUMBER($AZ$45)),IF($P$8=1,INDEX('Encontros'!$Q$21:$Q$28,$AZ$45)&amp;"",IF($P$8=2,INDEX('Encontros'!$Q$49:$Q$56,$AZ$45)&amp;"",IF($P$8=3,INDEX('Encontros'!$Q$77:$Q$84,$AZ$45)&amp;"",IF($P$8=4,INDEX('Encontros'!$V$108:$V$115,$AZ$45)&amp;"","")))),INDEX('Inimigos'!$AB$11:$AB$54,$BC$45)&amp;""))</f>
        <v/>
      </c>
      <c r="BF45" s="2">
        <f>IF(NOT(ISNUMBER($BC$45)),"",IF(AND(LEN($CB$45)=0,ISNUMBER($AZ$45)),IF($P$8=1,INDEX('Encontros'!$R$21:$R$28,$AZ$45)&amp;"",IF($P$8=2,INDEX('Encontros'!$R$49:$R$56,$AZ$45)&amp;"",IF($P$8=3,INDEX('Encontros'!$R$77:$R$84,$AZ$45)&amp;"",IF($P$8=4,INDEX('Encontros'!$W$108:$W$115,$AZ$45)&amp;"","")))),INDEX('Inimigos'!$AC$11:$AC$54,$BC$45)&amp;""))</f>
        <v/>
      </c>
      <c r="BG45" s="2">
        <f>IF(NOT(ISNUMBER($BC$45)),"",IF(AND(LEN($CB$45)=0,ISNUMBER($AZ$45)),IF($P$8=1,INDEX('Encontros'!$S$21:$S$28,$AZ$45)&amp;"",IF($P$8=2,INDEX('Encontros'!$S$49:$S$56,$AZ$45)&amp;"",IF($P$8=3,INDEX('Encontros'!$S$77:$S$84,$AZ$45)&amp;"",IF($P$8=4,INDEX('Encontros'!$X$108:$X$115,$AZ$45)&amp;"","")))),INDEX('Inimigos'!$AD$11:$AD$54,$BC$45)&amp;""))</f>
        <v/>
      </c>
      <c r="BH45" s="2">
        <f>IF(NOT(ISNUMBER($BC$45)),"",IF(AND($BX$45&gt;=3,$AR$17&lt;=INDEX('Inimigos'!$AL$11:$AL$54,$BC$45)),3,IF(AND($BX$45&gt;=2,$AR$17&lt;=INDEX('Inimigos'!$AK$11:$AK$54,$BC$45)),2,1)))</f>
        <v/>
      </c>
      <c r="BI45" s="2">
        <f>IF(NOT(ISNUMBER($BC$45)),"",IF(ISNUMBER($CH$58),MIN($BX$45,MAX(1,INT($CH$58))),1))</f>
        <v/>
      </c>
      <c r="BJ45" s="2">
        <f>IF(NOT(ISNUMBER($BC$45)),"",IF($BI$45=3,INDEX('Inimigos'!$AR$11:$AR$54,$BC$45)&amp;"",IF($BI$45=2,INDEX('Inimigos'!$AM$11:$AM$54,$BC$45)&amp;"",$BD$45)))</f>
        <v/>
      </c>
      <c r="BK45" s="2">
        <f>IF(NOT(ISNUMBER($BC$45)),"",IF($BI$45=3,INDEX('Inimigos'!$AS$11:$AS$54,$BC$45)&amp;"",IF($BI$45=2,INDEX('Inimigos'!$AN$11:$AN$54,$BC$45)&amp;"",$BE$45)))</f>
        <v/>
      </c>
      <c r="BL45" s="2">
        <f>IF(NOT(ISNUMBER($BC$45)),"",IF($BI$45=3,INDEX('Inimigos'!$AT$11:$AT$54,$BC$45)&amp;"",IF($BI$45=2,INDEX('Inimigos'!$AO$11:$AO$54,$BC$45)&amp;"",$BF$45)))</f>
        <v/>
      </c>
      <c r="BM45" s="2">
        <f>IF(NOT(ISNUMBER($BC$45)),"",IF($BI$45=3,INDEX('Inimigos'!$AU$11:$AU$54,$BC$45)&amp;"",IF($BI$45=2,INDEX('Inimigos'!$AP$11:$AP$54,$BC$45)&amp;"",$BG$45)))</f>
        <v/>
      </c>
      <c r="BN45" s="2">
        <f>IF(ISNUMBER($BC$45),INDEX('Inimigos'!$AE$11:$AE$54,$BC$45)&amp;"","")</f>
        <v/>
      </c>
      <c r="BO45" s="2">
        <f>IF(NOT(ISNUMBER($BC$45)),"",MIN(INDEX('Inimigos'!$T$11:$T$54,$BC$45),IF($BI$45=3,INDEX('Inimigos'!$AV$11:$AV$54,$BC$45),IF($BI$45=2,INDEX('Inimigos'!$AQ$11:$AQ$54,$BC$45),INDEX('Inimigos'!$T$11:$T$54,$BC$45)))))</f>
        <v/>
      </c>
      <c r="BP45" s="2">
        <f>IF(NOT(ISNUMBER($BC$45)),"",MAX(0,$BO$45-IF(ISNUMBER($CB$74),MAX(0,INT($CB$74)),0)))</f>
        <v/>
      </c>
      <c r="BQ45" s="2">
        <f>IF(NOT(ISNUMBER($BC$45)),0,IF($BP$45=0,1,0))</f>
        <v/>
      </c>
      <c r="BR45" s="2">
        <f>IF(ISNUMBER($BC$45),INDEX('Inimigos'!$R$11:$R$54,$BC$45)-2*$BQ$45,"")</f>
        <v/>
      </c>
      <c r="BS45" s="2">
        <f>IF(ISNUMBER($BC$45),INDEX('Inimigos'!$S$11:$S$54,$BC$45),"")</f>
        <v/>
      </c>
      <c r="BT45" s="2">
        <f>IF(ISNUMBER($BC$45),INDEX('Inimigos'!$BE$11:$BE$54,$BC$45),"")</f>
        <v/>
      </c>
      <c r="BU45" s="2">
        <f>IF(ISNUMBER($BC$45),INDEX('Inimigos'!$AF$11:$AF$54,$BC$45)&amp;"","")</f>
        <v/>
      </c>
      <c r="BV45" s="2">
        <f>IF(AND(ISNUMBER($BC$45),$AR$17&gt;0,$BU$45="Pode"),1,0)</f>
        <v/>
      </c>
      <c r="BW45" s="2">
        <f>IF(ISNUMBER($BC$45),INDEX('Inimigos'!$O$11:$O$54,$BC$45)&amp;"","")</f>
        <v/>
      </c>
      <c r="BX45" s="2">
        <f>IF(ISNUMBER($BC$45),MAX(1,INDEX('Inimigos'!$AG$11:$AG$54,$BC$45)),1)</f>
        <v/>
      </c>
      <c r="BY45" s="2">
        <f>$N$17</f>
        <v/>
      </c>
      <c r="CB45" s="2">
        <f>IF(ISERROR($C$45),"",IF(ISBLANK($C$45),"",$C$45))</f>
        <v/>
      </c>
      <c r="CJ45" s="2">
        <f>ISERROR($C$45)*1</f>
        <v/>
      </c>
    </row>
    <row r="46" ht="48" customHeight="1">
      <c r="A46" s="43">
        <f>IF(LEN($N$18)&gt;0,$N$18,"Inimigo 2")</f>
        <v/>
      </c>
      <c r="B46" s="10">
        <f>$BA$46</f>
        <v/>
      </c>
      <c r="C46" s="29" t="n"/>
      <c r="D46" s="23">
        <f>IF(ISNUMBER($BC$46),INDEX('Inimigos'!$O$11:$O$54,$BC$46)&amp;""&amp;" · "&amp;INDEX('Inimigos'!$P$11:$P$54,$BC$46)&amp;"","")</f>
        <v/>
      </c>
      <c r="E46" s="23">
        <f>IF(ISNUMBER($BC$46),"+"&amp;INDEX('Inimigos'!$V$11:$V$54,$BC$46),"")</f>
        <v/>
      </c>
      <c r="F46" s="10">
        <f>IF(ISNUMBER($BC$46),INDEX('Inimigos'!$W$11:$W$54,$BC$46)&amp;""&amp;" · média "&amp;INDEX('Inimigos'!$X$11:$X$54,$BC$46),"")</f>
        <v/>
      </c>
      <c r="H46" s="23">
        <f>IF(ISNUMBER($BC$46),"DT "&amp;INDEX('Inimigos'!$Y$11:$Y$54,$BC$46)&amp;" · TR +"&amp;INDEX('Inimigos'!$Z$11:$Z$54,$BC$46),"")</f>
        <v/>
      </c>
      <c r="I46" s="23">
        <f>IF(ISNUMBER($BC$46),INDEX('Inimigos'!$AJ$11:$AJ$54,$BC$46)&amp;"","")</f>
        <v/>
      </c>
      <c r="J46" s="23">
        <f>IF(ISNUMBER($BC$46),$BU$46,"")</f>
        <v/>
      </c>
      <c r="K46" s="27">
        <f>IF(CJ46&gt;0,"O Google leu como fórmula: escolha de novo na lista.",IF(AND(LEN($BB$46)&gt;0,NOT(ISNUMBER($BC$46))),"Inimigo fora da lista (Inimigos e Bestiário)",IF(AND(ISNUMBER($BC$46),$BU$46="Não declarado"),"Execução não declarada na ficha: só ser racional Executa (23.5)","")))</f>
        <v/>
      </c>
      <c r="AZ46" s="2">
        <f>IF($P$8=1,IF(MAX('Encontros'!$Y$21:$Y$28)&gt;=2,COUNTIF('Encontros'!$Y$21:$Y$28,"&lt;"&amp;2)+1,""),IF($P$8=2,IF(MAX('Encontros'!$Y$49:$Y$56)&gt;=2,COUNTIF('Encontros'!$Y$49:$Y$56,"&lt;"&amp;2)+1,""),IF($P$8=3,IF(MAX('Encontros'!$Y$77:$Y$84)&gt;=2,COUNTIF('Encontros'!$Y$77:$Y$84,"&lt;"&amp;2)+1,""),IF($P$8=4,IF(MAX('Encontros'!$Y$108:$Y$115)&gt;=2,COUNTIF('Encontros'!$Y$108:$Y$115,"&lt;"&amp;2)+1,""),""))))</f>
        <v/>
      </c>
      <c r="BA46" s="2">
        <f>IF($P$8=1,IF(ISNUMBER($AZ$46),INDEX('Encontros'!$AE$21:$AE$28,$AZ$46)&amp;"",""),IF($P$8=2,IF(ISNUMBER($AZ$46),INDEX('Encontros'!$AE$49:$AE$56,$AZ$46)&amp;"",""),IF($P$8=3,IF(ISNUMBER($AZ$46),INDEX('Encontros'!$AE$77:$AE$84,$AZ$46)&amp;"",""),IF($P$8=4,IF(ISNUMBER($AZ$46),INDEX('Encontros'!$S$108:$S$115,$AZ$46)&amp;"",""),""))))</f>
        <v/>
      </c>
      <c r="BB46" s="2">
        <f>IF(LEN($CB$46)&gt;0,$CB$46,$BA$46)</f>
        <v/>
      </c>
      <c r="BC46" s="2">
        <f>IF(LEN($BB$46)=0,"",IFERROR(MATCH($BB$46,'Inimigos'!$N$11:$N$54,0),""))</f>
        <v/>
      </c>
      <c r="BD46" s="2">
        <f>IF(NOT(ISNUMBER($BC$46)),"",IF(AND(LEN($CB$46)=0,ISNUMBER($AZ$46)),IF($P$8=1,INDEX('Encontros'!$P$21:$P$28,$AZ$46)&amp;"",IF($P$8=2,INDEX('Encontros'!$P$49:$P$56,$AZ$46)&amp;"",IF($P$8=3,INDEX('Encontros'!$P$77:$P$84,$AZ$46)&amp;"",IF($P$8=4,INDEX('Encontros'!$U$108:$U$115,$AZ$46)&amp;"","")))),INDEX('Inimigos'!$AA$11:$AA$54,$BC$46)&amp;""))</f>
        <v/>
      </c>
      <c r="BE46" s="2">
        <f>IF(NOT(ISNUMBER($BC$46)),"",IF(AND(LEN($CB$46)=0,ISNUMBER($AZ$46)),IF($P$8=1,INDEX('Encontros'!$Q$21:$Q$28,$AZ$46)&amp;"",IF($P$8=2,INDEX('Encontros'!$Q$49:$Q$56,$AZ$46)&amp;"",IF($P$8=3,INDEX('Encontros'!$Q$77:$Q$84,$AZ$46)&amp;"",IF($P$8=4,INDEX('Encontros'!$V$108:$V$115,$AZ$46)&amp;"","")))),INDEX('Inimigos'!$AB$11:$AB$54,$BC$46)&amp;""))</f>
        <v/>
      </c>
      <c r="BF46" s="2">
        <f>IF(NOT(ISNUMBER($BC$46)),"",IF(AND(LEN($CB$46)=0,ISNUMBER($AZ$46)),IF($P$8=1,INDEX('Encontros'!$R$21:$R$28,$AZ$46)&amp;"",IF($P$8=2,INDEX('Encontros'!$R$49:$R$56,$AZ$46)&amp;"",IF($P$8=3,INDEX('Encontros'!$R$77:$R$84,$AZ$46)&amp;"",IF($P$8=4,INDEX('Encontros'!$W$108:$W$115,$AZ$46)&amp;"","")))),INDEX('Inimigos'!$AC$11:$AC$54,$BC$46)&amp;""))</f>
        <v/>
      </c>
      <c r="BG46" s="2">
        <f>IF(NOT(ISNUMBER($BC$46)),"",IF(AND(LEN($CB$46)=0,ISNUMBER($AZ$46)),IF($P$8=1,INDEX('Encontros'!$S$21:$S$28,$AZ$46)&amp;"",IF($P$8=2,INDEX('Encontros'!$S$49:$S$56,$AZ$46)&amp;"",IF($P$8=3,INDEX('Encontros'!$S$77:$S$84,$AZ$46)&amp;"",IF($P$8=4,INDEX('Encontros'!$X$108:$X$115,$AZ$46)&amp;"","")))),INDEX('Inimigos'!$AD$11:$AD$54,$BC$46)&amp;""))</f>
        <v/>
      </c>
      <c r="BH46" s="2">
        <f>IF(NOT(ISNUMBER($BC$46)),"",IF(AND($BX$46&gt;=3,$AR$18&lt;=INDEX('Inimigos'!$AL$11:$AL$54,$BC$46)),3,IF(AND($BX$46&gt;=2,$AR$18&lt;=INDEX('Inimigos'!$AK$11:$AK$54,$BC$46)),2,1)))</f>
        <v/>
      </c>
      <c r="BI46" s="2">
        <f>IF(NOT(ISNUMBER($BC$46)),"",IF(ISNUMBER($CH$59),MIN($BX$46,MAX(1,INT($CH$59))),1))</f>
        <v/>
      </c>
      <c r="BJ46" s="2">
        <f>IF(NOT(ISNUMBER($BC$46)),"",IF($BI$46=3,INDEX('Inimigos'!$AR$11:$AR$54,$BC$46)&amp;"",IF($BI$46=2,INDEX('Inimigos'!$AM$11:$AM$54,$BC$46)&amp;"",$BD$46)))</f>
        <v/>
      </c>
      <c r="BK46" s="2">
        <f>IF(NOT(ISNUMBER($BC$46)),"",IF($BI$46=3,INDEX('Inimigos'!$AS$11:$AS$54,$BC$46)&amp;"",IF($BI$46=2,INDEX('Inimigos'!$AN$11:$AN$54,$BC$46)&amp;"",$BE$46)))</f>
        <v/>
      </c>
      <c r="BL46" s="2">
        <f>IF(NOT(ISNUMBER($BC$46)),"",IF($BI$46=3,INDEX('Inimigos'!$AT$11:$AT$54,$BC$46)&amp;"",IF($BI$46=2,INDEX('Inimigos'!$AO$11:$AO$54,$BC$46)&amp;"",$BF$46)))</f>
        <v/>
      </c>
      <c r="BM46" s="2">
        <f>IF(NOT(ISNUMBER($BC$46)),"",IF($BI$46=3,INDEX('Inimigos'!$AU$11:$AU$54,$BC$46)&amp;"",IF($BI$46=2,INDEX('Inimigos'!$AP$11:$AP$54,$BC$46)&amp;"",$BG$46)))</f>
        <v/>
      </c>
      <c r="BN46" s="2">
        <f>IF(ISNUMBER($BC$46),INDEX('Inimigos'!$AE$11:$AE$54,$BC$46)&amp;"","")</f>
        <v/>
      </c>
      <c r="BO46" s="2">
        <f>IF(NOT(ISNUMBER($BC$46)),"",MIN(INDEX('Inimigos'!$T$11:$T$54,$BC$46),IF($BI$46=3,INDEX('Inimigos'!$AV$11:$AV$54,$BC$46),IF($BI$46=2,INDEX('Inimigos'!$AQ$11:$AQ$54,$BC$46),INDEX('Inimigos'!$T$11:$T$54,$BC$46)))))</f>
        <v/>
      </c>
      <c r="BP46" s="2">
        <f>IF(NOT(ISNUMBER($BC$46)),"",MAX(0,$BO$46-IF(ISNUMBER($CB$75),MAX(0,INT($CB$75)),0)))</f>
        <v/>
      </c>
      <c r="BQ46" s="2">
        <f>IF(NOT(ISNUMBER($BC$46)),0,IF($BP$46=0,1,0))</f>
        <v/>
      </c>
      <c r="BR46" s="2">
        <f>IF(ISNUMBER($BC$46),INDEX('Inimigos'!$R$11:$R$54,$BC$46)-2*$BQ$46,"")</f>
        <v/>
      </c>
      <c r="BS46" s="2">
        <f>IF(ISNUMBER($BC$46),INDEX('Inimigos'!$S$11:$S$54,$BC$46),"")</f>
        <v/>
      </c>
      <c r="BT46" s="2">
        <f>IF(ISNUMBER($BC$46),INDEX('Inimigos'!$BE$11:$BE$54,$BC$46),"")</f>
        <v/>
      </c>
      <c r="BU46" s="2">
        <f>IF(ISNUMBER($BC$46),INDEX('Inimigos'!$AF$11:$AF$54,$BC$46)&amp;"","")</f>
        <v/>
      </c>
      <c r="BV46" s="2">
        <f>IF(AND(ISNUMBER($BC$46),$AR$18&gt;0,$BU$46="Pode"),1,0)</f>
        <v/>
      </c>
      <c r="BW46" s="2">
        <f>IF(ISNUMBER($BC$46),INDEX('Inimigos'!$O$11:$O$54,$BC$46)&amp;"","")</f>
        <v/>
      </c>
      <c r="BX46" s="2">
        <f>IF(ISNUMBER($BC$46),MAX(1,INDEX('Inimigos'!$AG$11:$AG$54,$BC$46)),1)</f>
        <v/>
      </c>
      <c r="BY46" s="2">
        <f>$N$18</f>
        <v/>
      </c>
      <c r="CB46" s="2">
        <f>IF(ISERROR($C$46),"",IF(ISBLANK($C$46),"",$C$46))</f>
        <v/>
      </c>
      <c r="CJ46" s="2">
        <f>ISERROR($C$46)*1</f>
        <v/>
      </c>
    </row>
    <row r="47" ht="48" customHeight="1">
      <c r="A47" s="31">
        <f>IF(LEN($N$19)&gt;0,$N$19,"Inimigo 3")</f>
        <v/>
      </c>
      <c r="B47" s="5">
        <f>$BA$47</f>
        <v/>
      </c>
      <c r="C47" s="4" t="n"/>
      <c r="D47" s="18">
        <f>IF(ISNUMBER($BC$47),INDEX('Inimigos'!$O$11:$O$54,$BC$47)&amp;""&amp;" · "&amp;INDEX('Inimigos'!$P$11:$P$54,$BC$47)&amp;"","")</f>
        <v/>
      </c>
      <c r="E47" s="18">
        <f>IF(ISNUMBER($BC$47),"+"&amp;INDEX('Inimigos'!$V$11:$V$54,$BC$47),"")</f>
        <v/>
      </c>
      <c r="F47" s="5">
        <f>IF(ISNUMBER($BC$47),INDEX('Inimigos'!$W$11:$W$54,$BC$47)&amp;""&amp;" · média "&amp;INDEX('Inimigos'!$X$11:$X$54,$BC$47),"")</f>
        <v/>
      </c>
      <c r="H47" s="18">
        <f>IF(ISNUMBER($BC$47),"DT "&amp;INDEX('Inimigos'!$Y$11:$Y$54,$BC$47)&amp;" · TR +"&amp;INDEX('Inimigos'!$Z$11:$Z$54,$BC$47),"")</f>
        <v/>
      </c>
      <c r="I47" s="18">
        <f>IF(ISNUMBER($BC$47),INDEX('Inimigos'!$AJ$11:$AJ$54,$BC$47)&amp;"","")</f>
        <v/>
      </c>
      <c r="J47" s="18">
        <f>IF(ISNUMBER($BC$47),$BU$47,"")</f>
        <v/>
      </c>
      <c r="K47" s="19">
        <f>IF(CJ47&gt;0,"O Google leu como fórmula: escolha de novo na lista.",IF(AND(LEN($BB$47)&gt;0,NOT(ISNUMBER($BC$47))),"Inimigo fora da lista (Inimigos e Bestiário)",IF(AND(ISNUMBER($BC$47),$BU$47="Não declarado"),"Execução não declarada na ficha: só ser racional Executa (23.5)","")))</f>
        <v/>
      </c>
      <c r="AZ47" s="2">
        <f>IF($P$8=1,IF(MAX('Encontros'!$Y$21:$Y$28)&gt;=3,COUNTIF('Encontros'!$Y$21:$Y$28,"&lt;"&amp;3)+1,""),IF($P$8=2,IF(MAX('Encontros'!$Y$49:$Y$56)&gt;=3,COUNTIF('Encontros'!$Y$49:$Y$56,"&lt;"&amp;3)+1,""),IF($P$8=3,IF(MAX('Encontros'!$Y$77:$Y$84)&gt;=3,COUNTIF('Encontros'!$Y$77:$Y$84,"&lt;"&amp;3)+1,""),IF($P$8=4,IF(MAX('Encontros'!$Y$108:$Y$115)&gt;=3,COUNTIF('Encontros'!$Y$108:$Y$115,"&lt;"&amp;3)+1,""),""))))</f>
        <v/>
      </c>
      <c r="BA47" s="2">
        <f>IF($P$8=1,IF(ISNUMBER($AZ$47),INDEX('Encontros'!$AE$21:$AE$28,$AZ$47)&amp;"",""),IF($P$8=2,IF(ISNUMBER($AZ$47),INDEX('Encontros'!$AE$49:$AE$56,$AZ$47)&amp;"",""),IF($P$8=3,IF(ISNUMBER($AZ$47),INDEX('Encontros'!$AE$77:$AE$84,$AZ$47)&amp;"",""),IF($P$8=4,IF(ISNUMBER($AZ$47),INDEX('Encontros'!$S$108:$S$115,$AZ$47)&amp;"",""),""))))</f>
        <v/>
      </c>
      <c r="BB47" s="2">
        <f>IF(LEN($CB$47)&gt;0,$CB$47,$BA$47)</f>
        <v/>
      </c>
      <c r="BC47" s="2">
        <f>IF(LEN($BB$47)=0,"",IFERROR(MATCH($BB$47,'Inimigos'!$N$11:$N$54,0),""))</f>
        <v/>
      </c>
      <c r="BD47" s="2">
        <f>IF(NOT(ISNUMBER($BC$47)),"",IF(AND(LEN($CB$47)=0,ISNUMBER($AZ$47)),IF($P$8=1,INDEX('Encontros'!$P$21:$P$28,$AZ$47)&amp;"",IF($P$8=2,INDEX('Encontros'!$P$49:$P$56,$AZ$47)&amp;"",IF($P$8=3,INDEX('Encontros'!$P$77:$P$84,$AZ$47)&amp;"",IF($P$8=4,INDEX('Encontros'!$U$108:$U$115,$AZ$47)&amp;"","")))),INDEX('Inimigos'!$AA$11:$AA$54,$BC$47)&amp;""))</f>
        <v/>
      </c>
      <c r="BE47" s="2">
        <f>IF(NOT(ISNUMBER($BC$47)),"",IF(AND(LEN($CB$47)=0,ISNUMBER($AZ$47)),IF($P$8=1,INDEX('Encontros'!$Q$21:$Q$28,$AZ$47)&amp;"",IF($P$8=2,INDEX('Encontros'!$Q$49:$Q$56,$AZ$47)&amp;"",IF($P$8=3,INDEX('Encontros'!$Q$77:$Q$84,$AZ$47)&amp;"",IF($P$8=4,INDEX('Encontros'!$V$108:$V$115,$AZ$47)&amp;"","")))),INDEX('Inimigos'!$AB$11:$AB$54,$BC$47)&amp;""))</f>
        <v/>
      </c>
      <c r="BF47" s="2">
        <f>IF(NOT(ISNUMBER($BC$47)),"",IF(AND(LEN($CB$47)=0,ISNUMBER($AZ$47)),IF($P$8=1,INDEX('Encontros'!$R$21:$R$28,$AZ$47)&amp;"",IF($P$8=2,INDEX('Encontros'!$R$49:$R$56,$AZ$47)&amp;"",IF($P$8=3,INDEX('Encontros'!$R$77:$R$84,$AZ$47)&amp;"",IF($P$8=4,INDEX('Encontros'!$W$108:$W$115,$AZ$47)&amp;"","")))),INDEX('Inimigos'!$AC$11:$AC$54,$BC$47)&amp;""))</f>
        <v/>
      </c>
      <c r="BG47" s="2">
        <f>IF(NOT(ISNUMBER($BC$47)),"",IF(AND(LEN($CB$47)=0,ISNUMBER($AZ$47)),IF($P$8=1,INDEX('Encontros'!$S$21:$S$28,$AZ$47)&amp;"",IF($P$8=2,INDEX('Encontros'!$S$49:$S$56,$AZ$47)&amp;"",IF($P$8=3,INDEX('Encontros'!$S$77:$S$84,$AZ$47)&amp;"",IF($P$8=4,INDEX('Encontros'!$X$108:$X$115,$AZ$47)&amp;"","")))),INDEX('Inimigos'!$AD$11:$AD$54,$BC$47)&amp;""))</f>
        <v/>
      </c>
      <c r="BH47" s="2">
        <f>IF(NOT(ISNUMBER($BC$47)),"",IF(AND($BX$47&gt;=3,$AR$19&lt;=INDEX('Inimigos'!$AL$11:$AL$54,$BC$47)),3,IF(AND($BX$47&gt;=2,$AR$19&lt;=INDEX('Inimigos'!$AK$11:$AK$54,$BC$47)),2,1)))</f>
        <v/>
      </c>
      <c r="BI47" s="2">
        <f>IF(NOT(ISNUMBER($BC$47)),"",IF(ISNUMBER($CH$60),MIN($BX$47,MAX(1,INT($CH$60))),1))</f>
        <v/>
      </c>
      <c r="BJ47" s="2">
        <f>IF(NOT(ISNUMBER($BC$47)),"",IF($BI$47=3,INDEX('Inimigos'!$AR$11:$AR$54,$BC$47)&amp;"",IF($BI$47=2,INDEX('Inimigos'!$AM$11:$AM$54,$BC$47)&amp;"",$BD$47)))</f>
        <v/>
      </c>
      <c r="BK47" s="2">
        <f>IF(NOT(ISNUMBER($BC$47)),"",IF($BI$47=3,INDEX('Inimigos'!$AS$11:$AS$54,$BC$47)&amp;"",IF($BI$47=2,INDEX('Inimigos'!$AN$11:$AN$54,$BC$47)&amp;"",$BE$47)))</f>
        <v/>
      </c>
      <c r="BL47" s="2">
        <f>IF(NOT(ISNUMBER($BC$47)),"",IF($BI$47=3,INDEX('Inimigos'!$AT$11:$AT$54,$BC$47)&amp;"",IF($BI$47=2,INDEX('Inimigos'!$AO$11:$AO$54,$BC$47)&amp;"",$BF$47)))</f>
        <v/>
      </c>
      <c r="BM47" s="2">
        <f>IF(NOT(ISNUMBER($BC$47)),"",IF($BI$47=3,INDEX('Inimigos'!$AU$11:$AU$54,$BC$47)&amp;"",IF($BI$47=2,INDEX('Inimigos'!$AP$11:$AP$54,$BC$47)&amp;"",$BG$47)))</f>
        <v/>
      </c>
      <c r="BN47" s="2">
        <f>IF(ISNUMBER($BC$47),INDEX('Inimigos'!$AE$11:$AE$54,$BC$47)&amp;"","")</f>
        <v/>
      </c>
      <c r="BO47" s="2">
        <f>IF(NOT(ISNUMBER($BC$47)),"",MIN(INDEX('Inimigos'!$T$11:$T$54,$BC$47),IF($BI$47=3,INDEX('Inimigos'!$AV$11:$AV$54,$BC$47),IF($BI$47=2,INDEX('Inimigos'!$AQ$11:$AQ$54,$BC$47),INDEX('Inimigos'!$T$11:$T$54,$BC$47)))))</f>
        <v/>
      </c>
      <c r="BP47" s="2">
        <f>IF(NOT(ISNUMBER($BC$47)),"",MAX(0,$BO$47-IF(ISNUMBER($CB$76),MAX(0,INT($CB$76)),0)))</f>
        <v/>
      </c>
      <c r="BQ47" s="2">
        <f>IF(NOT(ISNUMBER($BC$47)),0,IF($BP$47=0,1,0))</f>
        <v/>
      </c>
      <c r="BR47" s="2">
        <f>IF(ISNUMBER($BC$47),INDEX('Inimigos'!$R$11:$R$54,$BC$47)-2*$BQ$47,"")</f>
        <v/>
      </c>
      <c r="BS47" s="2">
        <f>IF(ISNUMBER($BC$47),INDEX('Inimigos'!$S$11:$S$54,$BC$47),"")</f>
        <v/>
      </c>
      <c r="BT47" s="2">
        <f>IF(ISNUMBER($BC$47),INDEX('Inimigos'!$BE$11:$BE$54,$BC$47),"")</f>
        <v/>
      </c>
      <c r="BU47" s="2">
        <f>IF(ISNUMBER($BC$47),INDEX('Inimigos'!$AF$11:$AF$54,$BC$47)&amp;"","")</f>
        <v/>
      </c>
      <c r="BV47" s="2">
        <f>IF(AND(ISNUMBER($BC$47),$AR$19&gt;0,$BU$47="Pode"),1,0)</f>
        <v/>
      </c>
      <c r="BW47" s="2">
        <f>IF(ISNUMBER($BC$47),INDEX('Inimigos'!$O$11:$O$54,$BC$47)&amp;"","")</f>
        <v/>
      </c>
      <c r="BX47" s="2">
        <f>IF(ISNUMBER($BC$47),MAX(1,INDEX('Inimigos'!$AG$11:$AG$54,$BC$47)),1)</f>
        <v/>
      </c>
      <c r="BY47" s="2">
        <f>$N$19</f>
        <v/>
      </c>
      <c r="CB47" s="2">
        <f>IF(ISERROR($C$47),"",IF(ISBLANK($C$47),"",$C$47))</f>
        <v/>
      </c>
      <c r="CJ47" s="2">
        <f>ISERROR($C$47)*1</f>
        <v/>
      </c>
    </row>
    <row r="48" ht="48" customHeight="1">
      <c r="A48" s="43">
        <f>IF(LEN($N$20)&gt;0,$N$20,"Inimigo 4")</f>
        <v/>
      </c>
      <c r="B48" s="10">
        <f>$BA$48</f>
        <v/>
      </c>
      <c r="C48" s="29" t="n"/>
      <c r="D48" s="23">
        <f>IF(ISNUMBER($BC$48),INDEX('Inimigos'!$O$11:$O$54,$BC$48)&amp;""&amp;" · "&amp;INDEX('Inimigos'!$P$11:$P$54,$BC$48)&amp;"","")</f>
        <v/>
      </c>
      <c r="E48" s="23">
        <f>IF(ISNUMBER($BC$48),"+"&amp;INDEX('Inimigos'!$V$11:$V$54,$BC$48),"")</f>
        <v/>
      </c>
      <c r="F48" s="10">
        <f>IF(ISNUMBER($BC$48),INDEX('Inimigos'!$W$11:$W$54,$BC$48)&amp;""&amp;" · média "&amp;INDEX('Inimigos'!$X$11:$X$54,$BC$48),"")</f>
        <v/>
      </c>
      <c r="H48" s="23">
        <f>IF(ISNUMBER($BC$48),"DT "&amp;INDEX('Inimigos'!$Y$11:$Y$54,$BC$48)&amp;" · TR +"&amp;INDEX('Inimigos'!$Z$11:$Z$54,$BC$48),"")</f>
        <v/>
      </c>
      <c r="I48" s="23">
        <f>IF(ISNUMBER($BC$48),INDEX('Inimigos'!$AJ$11:$AJ$54,$BC$48)&amp;"","")</f>
        <v/>
      </c>
      <c r="J48" s="23">
        <f>IF(ISNUMBER($BC$48),$BU$48,"")</f>
        <v/>
      </c>
      <c r="K48" s="27">
        <f>IF(CJ48&gt;0,"O Google leu como fórmula: escolha de novo na lista.",IF(AND(LEN($BB$48)&gt;0,NOT(ISNUMBER($BC$48))),"Inimigo fora da lista (Inimigos e Bestiário)",IF(AND(ISNUMBER($BC$48),$BU$48="Não declarado"),"Execução não declarada na ficha: só ser racional Executa (23.5)","")))</f>
        <v/>
      </c>
      <c r="AZ48" s="2">
        <f>IF($P$8=1,IF(MAX('Encontros'!$Y$21:$Y$28)&gt;=4,COUNTIF('Encontros'!$Y$21:$Y$28,"&lt;"&amp;4)+1,""),IF($P$8=2,IF(MAX('Encontros'!$Y$49:$Y$56)&gt;=4,COUNTIF('Encontros'!$Y$49:$Y$56,"&lt;"&amp;4)+1,""),IF($P$8=3,IF(MAX('Encontros'!$Y$77:$Y$84)&gt;=4,COUNTIF('Encontros'!$Y$77:$Y$84,"&lt;"&amp;4)+1,""),IF($P$8=4,IF(MAX('Encontros'!$Y$108:$Y$115)&gt;=4,COUNTIF('Encontros'!$Y$108:$Y$115,"&lt;"&amp;4)+1,""),""))))</f>
        <v/>
      </c>
      <c r="BA48" s="2">
        <f>IF($P$8=1,IF(ISNUMBER($AZ$48),INDEX('Encontros'!$AE$21:$AE$28,$AZ$48)&amp;"",""),IF($P$8=2,IF(ISNUMBER($AZ$48),INDEX('Encontros'!$AE$49:$AE$56,$AZ$48)&amp;"",""),IF($P$8=3,IF(ISNUMBER($AZ$48),INDEX('Encontros'!$AE$77:$AE$84,$AZ$48)&amp;"",""),IF($P$8=4,IF(ISNUMBER($AZ$48),INDEX('Encontros'!$S$108:$S$115,$AZ$48)&amp;"",""),""))))</f>
        <v/>
      </c>
      <c r="BB48" s="2">
        <f>IF(LEN($CB$48)&gt;0,$CB$48,$BA$48)</f>
        <v/>
      </c>
      <c r="BC48" s="2">
        <f>IF(LEN($BB$48)=0,"",IFERROR(MATCH($BB$48,'Inimigos'!$N$11:$N$54,0),""))</f>
        <v/>
      </c>
      <c r="BD48" s="2">
        <f>IF(NOT(ISNUMBER($BC$48)),"",IF(AND(LEN($CB$48)=0,ISNUMBER($AZ$48)),IF($P$8=1,INDEX('Encontros'!$P$21:$P$28,$AZ$48)&amp;"",IF($P$8=2,INDEX('Encontros'!$P$49:$P$56,$AZ$48)&amp;"",IF($P$8=3,INDEX('Encontros'!$P$77:$P$84,$AZ$48)&amp;"",IF($P$8=4,INDEX('Encontros'!$U$108:$U$115,$AZ$48)&amp;"","")))),INDEX('Inimigos'!$AA$11:$AA$54,$BC$48)&amp;""))</f>
        <v/>
      </c>
      <c r="BE48" s="2">
        <f>IF(NOT(ISNUMBER($BC$48)),"",IF(AND(LEN($CB$48)=0,ISNUMBER($AZ$48)),IF($P$8=1,INDEX('Encontros'!$Q$21:$Q$28,$AZ$48)&amp;"",IF($P$8=2,INDEX('Encontros'!$Q$49:$Q$56,$AZ$48)&amp;"",IF($P$8=3,INDEX('Encontros'!$Q$77:$Q$84,$AZ$48)&amp;"",IF($P$8=4,INDEX('Encontros'!$V$108:$V$115,$AZ$48)&amp;"","")))),INDEX('Inimigos'!$AB$11:$AB$54,$BC$48)&amp;""))</f>
        <v/>
      </c>
      <c r="BF48" s="2">
        <f>IF(NOT(ISNUMBER($BC$48)),"",IF(AND(LEN($CB$48)=0,ISNUMBER($AZ$48)),IF($P$8=1,INDEX('Encontros'!$R$21:$R$28,$AZ$48)&amp;"",IF($P$8=2,INDEX('Encontros'!$R$49:$R$56,$AZ$48)&amp;"",IF($P$8=3,INDEX('Encontros'!$R$77:$R$84,$AZ$48)&amp;"",IF($P$8=4,INDEX('Encontros'!$W$108:$W$115,$AZ$48)&amp;"","")))),INDEX('Inimigos'!$AC$11:$AC$54,$BC$48)&amp;""))</f>
        <v/>
      </c>
      <c r="BG48" s="2">
        <f>IF(NOT(ISNUMBER($BC$48)),"",IF(AND(LEN($CB$48)=0,ISNUMBER($AZ$48)),IF($P$8=1,INDEX('Encontros'!$S$21:$S$28,$AZ$48)&amp;"",IF($P$8=2,INDEX('Encontros'!$S$49:$S$56,$AZ$48)&amp;"",IF($P$8=3,INDEX('Encontros'!$S$77:$S$84,$AZ$48)&amp;"",IF($P$8=4,INDEX('Encontros'!$X$108:$X$115,$AZ$48)&amp;"","")))),INDEX('Inimigos'!$AD$11:$AD$54,$BC$48)&amp;""))</f>
        <v/>
      </c>
      <c r="BH48" s="2">
        <f>IF(NOT(ISNUMBER($BC$48)),"",IF(AND($BX$48&gt;=3,$AR$20&lt;=INDEX('Inimigos'!$AL$11:$AL$54,$BC$48)),3,IF(AND($BX$48&gt;=2,$AR$20&lt;=INDEX('Inimigos'!$AK$11:$AK$54,$BC$48)),2,1)))</f>
        <v/>
      </c>
      <c r="BI48" s="2">
        <f>IF(NOT(ISNUMBER($BC$48)),"",IF(ISNUMBER($CH$61),MIN($BX$48,MAX(1,INT($CH$61))),1))</f>
        <v/>
      </c>
      <c r="BJ48" s="2">
        <f>IF(NOT(ISNUMBER($BC$48)),"",IF($BI$48=3,INDEX('Inimigos'!$AR$11:$AR$54,$BC$48)&amp;"",IF($BI$48=2,INDEX('Inimigos'!$AM$11:$AM$54,$BC$48)&amp;"",$BD$48)))</f>
        <v/>
      </c>
      <c r="BK48" s="2">
        <f>IF(NOT(ISNUMBER($BC$48)),"",IF($BI$48=3,INDEX('Inimigos'!$AS$11:$AS$54,$BC$48)&amp;"",IF($BI$48=2,INDEX('Inimigos'!$AN$11:$AN$54,$BC$48)&amp;"",$BE$48)))</f>
        <v/>
      </c>
      <c r="BL48" s="2">
        <f>IF(NOT(ISNUMBER($BC$48)),"",IF($BI$48=3,INDEX('Inimigos'!$AT$11:$AT$54,$BC$48)&amp;"",IF($BI$48=2,INDEX('Inimigos'!$AO$11:$AO$54,$BC$48)&amp;"",$BF$48)))</f>
        <v/>
      </c>
      <c r="BM48" s="2">
        <f>IF(NOT(ISNUMBER($BC$48)),"",IF($BI$48=3,INDEX('Inimigos'!$AU$11:$AU$54,$BC$48)&amp;"",IF($BI$48=2,INDEX('Inimigos'!$AP$11:$AP$54,$BC$48)&amp;"",$BG$48)))</f>
        <v/>
      </c>
      <c r="BN48" s="2">
        <f>IF(ISNUMBER($BC$48),INDEX('Inimigos'!$AE$11:$AE$54,$BC$48)&amp;"","")</f>
        <v/>
      </c>
      <c r="BO48" s="2">
        <f>IF(NOT(ISNUMBER($BC$48)),"",MIN(INDEX('Inimigos'!$T$11:$T$54,$BC$48),IF($BI$48=3,INDEX('Inimigos'!$AV$11:$AV$54,$BC$48),IF($BI$48=2,INDEX('Inimigos'!$AQ$11:$AQ$54,$BC$48),INDEX('Inimigos'!$T$11:$T$54,$BC$48)))))</f>
        <v/>
      </c>
      <c r="BP48" s="2">
        <f>IF(NOT(ISNUMBER($BC$48)),"",MAX(0,$BO$48-IF(ISNUMBER($CB$77),MAX(0,INT($CB$77)),0)))</f>
        <v/>
      </c>
      <c r="BQ48" s="2">
        <f>IF(NOT(ISNUMBER($BC$48)),0,IF($BP$48=0,1,0))</f>
        <v/>
      </c>
      <c r="BR48" s="2">
        <f>IF(ISNUMBER($BC$48),INDEX('Inimigos'!$R$11:$R$54,$BC$48)-2*$BQ$48,"")</f>
        <v/>
      </c>
      <c r="BS48" s="2">
        <f>IF(ISNUMBER($BC$48),INDEX('Inimigos'!$S$11:$S$54,$BC$48),"")</f>
        <v/>
      </c>
      <c r="BT48" s="2">
        <f>IF(ISNUMBER($BC$48),INDEX('Inimigos'!$BE$11:$BE$54,$BC$48),"")</f>
        <v/>
      </c>
      <c r="BU48" s="2">
        <f>IF(ISNUMBER($BC$48),INDEX('Inimigos'!$AF$11:$AF$54,$BC$48)&amp;"","")</f>
        <v/>
      </c>
      <c r="BV48" s="2">
        <f>IF(AND(ISNUMBER($BC$48),$AR$20&gt;0,$BU$48="Pode"),1,0)</f>
        <v/>
      </c>
      <c r="BW48" s="2">
        <f>IF(ISNUMBER($BC$48),INDEX('Inimigos'!$O$11:$O$54,$BC$48)&amp;"","")</f>
        <v/>
      </c>
      <c r="BX48" s="2">
        <f>IF(ISNUMBER($BC$48),MAX(1,INDEX('Inimigos'!$AG$11:$AG$54,$BC$48)),1)</f>
        <v/>
      </c>
      <c r="BY48" s="2">
        <f>$N$20</f>
        <v/>
      </c>
      <c r="CB48" s="2">
        <f>IF(ISERROR($C$48),"",IF(ISBLANK($C$48),"",$C$48))</f>
        <v/>
      </c>
      <c r="CJ48" s="2">
        <f>ISERROR($C$48)*1</f>
        <v/>
      </c>
    </row>
    <row r="49" ht="48" customHeight="1">
      <c r="A49" s="31">
        <f>IF(LEN($N$21)&gt;0,$N$21,"Inimigo 5")</f>
        <v/>
      </c>
      <c r="B49" s="5">
        <f>$BA$49</f>
        <v/>
      </c>
      <c r="C49" s="4" t="n"/>
      <c r="D49" s="18">
        <f>IF(ISNUMBER($BC$49),INDEX('Inimigos'!$O$11:$O$54,$BC$49)&amp;""&amp;" · "&amp;INDEX('Inimigos'!$P$11:$P$54,$BC$49)&amp;"","")</f>
        <v/>
      </c>
      <c r="E49" s="18">
        <f>IF(ISNUMBER($BC$49),"+"&amp;INDEX('Inimigos'!$V$11:$V$54,$BC$49),"")</f>
        <v/>
      </c>
      <c r="F49" s="5">
        <f>IF(ISNUMBER($BC$49),INDEX('Inimigos'!$W$11:$W$54,$BC$49)&amp;""&amp;" · média "&amp;INDEX('Inimigos'!$X$11:$X$54,$BC$49),"")</f>
        <v/>
      </c>
      <c r="H49" s="18">
        <f>IF(ISNUMBER($BC$49),"DT "&amp;INDEX('Inimigos'!$Y$11:$Y$54,$BC$49)&amp;" · TR +"&amp;INDEX('Inimigos'!$Z$11:$Z$54,$BC$49),"")</f>
        <v/>
      </c>
      <c r="I49" s="18">
        <f>IF(ISNUMBER($BC$49),INDEX('Inimigos'!$AJ$11:$AJ$54,$BC$49)&amp;"","")</f>
        <v/>
      </c>
      <c r="J49" s="18">
        <f>IF(ISNUMBER($BC$49),$BU$49,"")</f>
        <v/>
      </c>
      <c r="K49" s="19">
        <f>IF(CJ49&gt;0,"O Google leu como fórmula: escolha de novo na lista.",IF(AND(LEN($BB$49)&gt;0,NOT(ISNUMBER($BC$49))),"Inimigo fora da lista (Inimigos e Bestiário)",IF(AND(ISNUMBER($BC$49),$BU$49="Não declarado"),"Execução não declarada na ficha: só ser racional Executa (23.5)","")))</f>
        <v/>
      </c>
      <c r="AZ49" s="2">
        <f>IF($P$8=1,IF(MAX('Encontros'!$Y$21:$Y$28)&gt;=5,COUNTIF('Encontros'!$Y$21:$Y$28,"&lt;"&amp;5)+1,""),IF($P$8=2,IF(MAX('Encontros'!$Y$49:$Y$56)&gt;=5,COUNTIF('Encontros'!$Y$49:$Y$56,"&lt;"&amp;5)+1,""),IF($P$8=3,IF(MAX('Encontros'!$Y$77:$Y$84)&gt;=5,COUNTIF('Encontros'!$Y$77:$Y$84,"&lt;"&amp;5)+1,""),IF($P$8=4,IF(MAX('Encontros'!$Y$108:$Y$115)&gt;=5,COUNTIF('Encontros'!$Y$108:$Y$115,"&lt;"&amp;5)+1,""),""))))</f>
        <v/>
      </c>
      <c r="BA49" s="2">
        <f>IF($P$8=1,IF(ISNUMBER($AZ$49),INDEX('Encontros'!$AE$21:$AE$28,$AZ$49)&amp;"",""),IF($P$8=2,IF(ISNUMBER($AZ$49),INDEX('Encontros'!$AE$49:$AE$56,$AZ$49)&amp;"",""),IF($P$8=3,IF(ISNUMBER($AZ$49),INDEX('Encontros'!$AE$77:$AE$84,$AZ$49)&amp;"",""),IF($P$8=4,IF(ISNUMBER($AZ$49),INDEX('Encontros'!$S$108:$S$115,$AZ$49)&amp;"",""),""))))</f>
        <v/>
      </c>
      <c r="BB49" s="2">
        <f>IF(LEN($CB$49)&gt;0,$CB$49,$BA$49)</f>
        <v/>
      </c>
      <c r="BC49" s="2">
        <f>IF(LEN($BB$49)=0,"",IFERROR(MATCH($BB$49,'Inimigos'!$N$11:$N$54,0),""))</f>
        <v/>
      </c>
      <c r="BD49" s="2">
        <f>IF(NOT(ISNUMBER($BC$49)),"",IF(AND(LEN($CB$49)=0,ISNUMBER($AZ$49)),IF($P$8=1,INDEX('Encontros'!$P$21:$P$28,$AZ$49)&amp;"",IF($P$8=2,INDEX('Encontros'!$P$49:$P$56,$AZ$49)&amp;"",IF($P$8=3,INDEX('Encontros'!$P$77:$P$84,$AZ$49)&amp;"",IF($P$8=4,INDEX('Encontros'!$U$108:$U$115,$AZ$49)&amp;"","")))),INDEX('Inimigos'!$AA$11:$AA$54,$BC$49)&amp;""))</f>
        <v/>
      </c>
      <c r="BE49" s="2">
        <f>IF(NOT(ISNUMBER($BC$49)),"",IF(AND(LEN($CB$49)=0,ISNUMBER($AZ$49)),IF($P$8=1,INDEX('Encontros'!$Q$21:$Q$28,$AZ$49)&amp;"",IF($P$8=2,INDEX('Encontros'!$Q$49:$Q$56,$AZ$49)&amp;"",IF($P$8=3,INDEX('Encontros'!$Q$77:$Q$84,$AZ$49)&amp;"",IF($P$8=4,INDEX('Encontros'!$V$108:$V$115,$AZ$49)&amp;"","")))),INDEX('Inimigos'!$AB$11:$AB$54,$BC$49)&amp;""))</f>
        <v/>
      </c>
      <c r="BF49" s="2">
        <f>IF(NOT(ISNUMBER($BC$49)),"",IF(AND(LEN($CB$49)=0,ISNUMBER($AZ$49)),IF($P$8=1,INDEX('Encontros'!$R$21:$R$28,$AZ$49)&amp;"",IF($P$8=2,INDEX('Encontros'!$R$49:$R$56,$AZ$49)&amp;"",IF($P$8=3,INDEX('Encontros'!$R$77:$R$84,$AZ$49)&amp;"",IF($P$8=4,INDEX('Encontros'!$W$108:$W$115,$AZ$49)&amp;"","")))),INDEX('Inimigos'!$AC$11:$AC$54,$BC$49)&amp;""))</f>
        <v/>
      </c>
      <c r="BG49" s="2">
        <f>IF(NOT(ISNUMBER($BC$49)),"",IF(AND(LEN($CB$49)=0,ISNUMBER($AZ$49)),IF($P$8=1,INDEX('Encontros'!$S$21:$S$28,$AZ$49)&amp;"",IF($P$8=2,INDEX('Encontros'!$S$49:$S$56,$AZ$49)&amp;"",IF($P$8=3,INDEX('Encontros'!$S$77:$S$84,$AZ$49)&amp;"",IF($P$8=4,INDEX('Encontros'!$X$108:$X$115,$AZ$49)&amp;"","")))),INDEX('Inimigos'!$AD$11:$AD$54,$BC$49)&amp;""))</f>
        <v/>
      </c>
      <c r="BH49" s="2">
        <f>IF(NOT(ISNUMBER($BC$49)),"",IF(AND($BX$49&gt;=3,$AR$21&lt;=INDEX('Inimigos'!$AL$11:$AL$54,$BC$49)),3,IF(AND($BX$49&gt;=2,$AR$21&lt;=INDEX('Inimigos'!$AK$11:$AK$54,$BC$49)),2,1)))</f>
        <v/>
      </c>
      <c r="BI49" s="2">
        <f>IF(NOT(ISNUMBER($BC$49)),"",IF(ISNUMBER($CH$62),MIN($BX$49,MAX(1,INT($CH$62))),1))</f>
        <v/>
      </c>
      <c r="BJ49" s="2">
        <f>IF(NOT(ISNUMBER($BC$49)),"",IF($BI$49=3,INDEX('Inimigos'!$AR$11:$AR$54,$BC$49)&amp;"",IF($BI$49=2,INDEX('Inimigos'!$AM$11:$AM$54,$BC$49)&amp;"",$BD$49)))</f>
        <v/>
      </c>
      <c r="BK49" s="2">
        <f>IF(NOT(ISNUMBER($BC$49)),"",IF($BI$49=3,INDEX('Inimigos'!$AS$11:$AS$54,$BC$49)&amp;"",IF($BI$49=2,INDEX('Inimigos'!$AN$11:$AN$54,$BC$49)&amp;"",$BE$49)))</f>
        <v/>
      </c>
      <c r="BL49" s="2">
        <f>IF(NOT(ISNUMBER($BC$49)),"",IF($BI$49=3,INDEX('Inimigos'!$AT$11:$AT$54,$BC$49)&amp;"",IF($BI$49=2,INDEX('Inimigos'!$AO$11:$AO$54,$BC$49)&amp;"",$BF$49)))</f>
        <v/>
      </c>
      <c r="BM49" s="2">
        <f>IF(NOT(ISNUMBER($BC$49)),"",IF($BI$49=3,INDEX('Inimigos'!$AU$11:$AU$54,$BC$49)&amp;"",IF($BI$49=2,INDEX('Inimigos'!$AP$11:$AP$54,$BC$49)&amp;"",$BG$49)))</f>
        <v/>
      </c>
      <c r="BN49" s="2">
        <f>IF(ISNUMBER($BC$49),INDEX('Inimigos'!$AE$11:$AE$54,$BC$49)&amp;"","")</f>
        <v/>
      </c>
      <c r="BO49" s="2">
        <f>IF(NOT(ISNUMBER($BC$49)),"",MIN(INDEX('Inimigos'!$T$11:$T$54,$BC$49),IF($BI$49=3,INDEX('Inimigos'!$AV$11:$AV$54,$BC$49),IF($BI$49=2,INDEX('Inimigos'!$AQ$11:$AQ$54,$BC$49),INDEX('Inimigos'!$T$11:$T$54,$BC$49)))))</f>
        <v/>
      </c>
      <c r="BP49" s="2">
        <f>IF(NOT(ISNUMBER($BC$49)),"",MAX(0,$BO$49-IF(ISNUMBER($CB$78),MAX(0,INT($CB$78)),0)))</f>
        <v/>
      </c>
      <c r="BQ49" s="2">
        <f>IF(NOT(ISNUMBER($BC$49)),0,IF($BP$49=0,1,0))</f>
        <v/>
      </c>
      <c r="BR49" s="2">
        <f>IF(ISNUMBER($BC$49),INDEX('Inimigos'!$R$11:$R$54,$BC$49)-2*$BQ$49,"")</f>
        <v/>
      </c>
      <c r="BS49" s="2">
        <f>IF(ISNUMBER($BC$49),INDEX('Inimigos'!$S$11:$S$54,$BC$49),"")</f>
        <v/>
      </c>
      <c r="BT49" s="2">
        <f>IF(ISNUMBER($BC$49),INDEX('Inimigos'!$BE$11:$BE$54,$BC$49),"")</f>
        <v/>
      </c>
      <c r="BU49" s="2">
        <f>IF(ISNUMBER($BC$49),INDEX('Inimigos'!$AF$11:$AF$54,$BC$49)&amp;"","")</f>
        <v/>
      </c>
      <c r="BV49" s="2">
        <f>IF(AND(ISNUMBER($BC$49),$AR$21&gt;0,$BU$49="Pode"),1,0)</f>
        <v/>
      </c>
      <c r="BW49" s="2">
        <f>IF(ISNUMBER($BC$49),INDEX('Inimigos'!$O$11:$O$54,$BC$49)&amp;"","")</f>
        <v/>
      </c>
      <c r="BX49" s="2">
        <f>IF(ISNUMBER($BC$49),MAX(1,INDEX('Inimigos'!$AG$11:$AG$54,$BC$49)),1)</f>
        <v/>
      </c>
      <c r="BY49" s="2">
        <f>$N$21</f>
        <v/>
      </c>
      <c r="CB49" s="2">
        <f>IF(ISERROR($C$49),"",IF(ISBLANK($C$49),"",$C$49))</f>
        <v/>
      </c>
      <c r="CJ49" s="2">
        <f>ISERROR($C$49)*1</f>
        <v/>
      </c>
    </row>
    <row r="50" ht="48" customHeight="1">
      <c r="A50" s="43">
        <f>IF(LEN($N$22)&gt;0,$N$22,"Inimigo 6")</f>
        <v/>
      </c>
      <c r="B50" s="10">
        <f>$BA$50</f>
        <v/>
      </c>
      <c r="C50" s="29" t="n"/>
      <c r="D50" s="23">
        <f>IF(ISNUMBER($BC$50),INDEX('Inimigos'!$O$11:$O$54,$BC$50)&amp;""&amp;" · "&amp;INDEX('Inimigos'!$P$11:$P$54,$BC$50)&amp;"","")</f>
        <v/>
      </c>
      <c r="E50" s="23">
        <f>IF(ISNUMBER($BC$50),"+"&amp;INDEX('Inimigos'!$V$11:$V$54,$BC$50),"")</f>
        <v/>
      </c>
      <c r="F50" s="10">
        <f>IF(ISNUMBER($BC$50),INDEX('Inimigos'!$W$11:$W$54,$BC$50)&amp;""&amp;" · média "&amp;INDEX('Inimigos'!$X$11:$X$54,$BC$50),"")</f>
        <v/>
      </c>
      <c r="H50" s="23">
        <f>IF(ISNUMBER($BC$50),"DT "&amp;INDEX('Inimigos'!$Y$11:$Y$54,$BC$50)&amp;" · TR +"&amp;INDEX('Inimigos'!$Z$11:$Z$54,$BC$50),"")</f>
        <v/>
      </c>
      <c r="I50" s="23">
        <f>IF(ISNUMBER($BC$50),INDEX('Inimigos'!$AJ$11:$AJ$54,$BC$50)&amp;"","")</f>
        <v/>
      </c>
      <c r="J50" s="23">
        <f>IF(ISNUMBER($BC$50),$BU$50,"")</f>
        <v/>
      </c>
      <c r="K50" s="27">
        <f>IF(CJ50&gt;0,"O Google leu como fórmula: escolha de novo na lista.",IF(AND(LEN($BB$50)&gt;0,NOT(ISNUMBER($BC$50))),"Inimigo fora da lista (Inimigos e Bestiário)",IF(AND(ISNUMBER($BC$50),$BU$50="Não declarado"),"Execução não declarada na ficha: só ser racional Executa (23.5)","")))</f>
        <v/>
      </c>
      <c r="AZ50" s="2">
        <f>IF($P$8=1,IF(MAX('Encontros'!$Y$21:$Y$28)&gt;=6,COUNTIF('Encontros'!$Y$21:$Y$28,"&lt;"&amp;6)+1,""),IF($P$8=2,IF(MAX('Encontros'!$Y$49:$Y$56)&gt;=6,COUNTIF('Encontros'!$Y$49:$Y$56,"&lt;"&amp;6)+1,""),IF($P$8=3,IF(MAX('Encontros'!$Y$77:$Y$84)&gt;=6,COUNTIF('Encontros'!$Y$77:$Y$84,"&lt;"&amp;6)+1,""),IF($P$8=4,IF(MAX('Encontros'!$Y$108:$Y$115)&gt;=6,COUNTIF('Encontros'!$Y$108:$Y$115,"&lt;"&amp;6)+1,""),""))))</f>
        <v/>
      </c>
      <c r="BA50" s="2">
        <f>IF($P$8=1,IF(ISNUMBER($AZ$50),INDEX('Encontros'!$AE$21:$AE$28,$AZ$50)&amp;"",""),IF($P$8=2,IF(ISNUMBER($AZ$50),INDEX('Encontros'!$AE$49:$AE$56,$AZ$50)&amp;"",""),IF($P$8=3,IF(ISNUMBER($AZ$50),INDEX('Encontros'!$AE$77:$AE$84,$AZ$50)&amp;"",""),IF($P$8=4,IF(ISNUMBER($AZ$50),INDEX('Encontros'!$S$108:$S$115,$AZ$50)&amp;"",""),""))))</f>
        <v/>
      </c>
      <c r="BB50" s="2">
        <f>IF(LEN($CB$50)&gt;0,$CB$50,$BA$50)</f>
        <v/>
      </c>
      <c r="BC50" s="2">
        <f>IF(LEN($BB$50)=0,"",IFERROR(MATCH($BB$50,'Inimigos'!$N$11:$N$54,0),""))</f>
        <v/>
      </c>
      <c r="BD50" s="2">
        <f>IF(NOT(ISNUMBER($BC$50)),"",IF(AND(LEN($CB$50)=0,ISNUMBER($AZ$50)),IF($P$8=1,INDEX('Encontros'!$P$21:$P$28,$AZ$50)&amp;"",IF($P$8=2,INDEX('Encontros'!$P$49:$P$56,$AZ$50)&amp;"",IF($P$8=3,INDEX('Encontros'!$P$77:$P$84,$AZ$50)&amp;"",IF($P$8=4,INDEX('Encontros'!$U$108:$U$115,$AZ$50)&amp;"","")))),INDEX('Inimigos'!$AA$11:$AA$54,$BC$50)&amp;""))</f>
        <v/>
      </c>
      <c r="BE50" s="2">
        <f>IF(NOT(ISNUMBER($BC$50)),"",IF(AND(LEN($CB$50)=0,ISNUMBER($AZ$50)),IF($P$8=1,INDEX('Encontros'!$Q$21:$Q$28,$AZ$50)&amp;"",IF($P$8=2,INDEX('Encontros'!$Q$49:$Q$56,$AZ$50)&amp;"",IF($P$8=3,INDEX('Encontros'!$Q$77:$Q$84,$AZ$50)&amp;"",IF($P$8=4,INDEX('Encontros'!$V$108:$V$115,$AZ$50)&amp;"","")))),INDEX('Inimigos'!$AB$11:$AB$54,$BC$50)&amp;""))</f>
        <v/>
      </c>
      <c r="BF50" s="2">
        <f>IF(NOT(ISNUMBER($BC$50)),"",IF(AND(LEN($CB$50)=0,ISNUMBER($AZ$50)),IF($P$8=1,INDEX('Encontros'!$R$21:$R$28,$AZ$50)&amp;"",IF($P$8=2,INDEX('Encontros'!$R$49:$R$56,$AZ$50)&amp;"",IF($P$8=3,INDEX('Encontros'!$R$77:$R$84,$AZ$50)&amp;"",IF($P$8=4,INDEX('Encontros'!$W$108:$W$115,$AZ$50)&amp;"","")))),INDEX('Inimigos'!$AC$11:$AC$54,$BC$50)&amp;""))</f>
        <v/>
      </c>
      <c r="BG50" s="2">
        <f>IF(NOT(ISNUMBER($BC$50)),"",IF(AND(LEN($CB$50)=0,ISNUMBER($AZ$50)),IF($P$8=1,INDEX('Encontros'!$S$21:$S$28,$AZ$50)&amp;"",IF($P$8=2,INDEX('Encontros'!$S$49:$S$56,$AZ$50)&amp;"",IF($P$8=3,INDEX('Encontros'!$S$77:$S$84,$AZ$50)&amp;"",IF($P$8=4,INDEX('Encontros'!$X$108:$X$115,$AZ$50)&amp;"","")))),INDEX('Inimigos'!$AD$11:$AD$54,$BC$50)&amp;""))</f>
        <v/>
      </c>
      <c r="BH50" s="2">
        <f>IF(NOT(ISNUMBER($BC$50)),"",IF(AND($BX$50&gt;=3,$AR$22&lt;=INDEX('Inimigos'!$AL$11:$AL$54,$BC$50)),3,IF(AND($BX$50&gt;=2,$AR$22&lt;=INDEX('Inimigos'!$AK$11:$AK$54,$BC$50)),2,1)))</f>
        <v/>
      </c>
      <c r="BI50" s="2">
        <f>IF(NOT(ISNUMBER($BC$50)),"",IF(ISNUMBER($CH$63),MIN($BX$50,MAX(1,INT($CH$63))),1))</f>
        <v/>
      </c>
      <c r="BJ50" s="2">
        <f>IF(NOT(ISNUMBER($BC$50)),"",IF($BI$50=3,INDEX('Inimigos'!$AR$11:$AR$54,$BC$50)&amp;"",IF($BI$50=2,INDEX('Inimigos'!$AM$11:$AM$54,$BC$50)&amp;"",$BD$50)))</f>
        <v/>
      </c>
      <c r="BK50" s="2">
        <f>IF(NOT(ISNUMBER($BC$50)),"",IF($BI$50=3,INDEX('Inimigos'!$AS$11:$AS$54,$BC$50)&amp;"",IF($BI$50=2,INDEX('Inimigos'!$AN$11:$AN$54,$BC$50)&amp;"",$BE$50)))</f>
        <v/>
      </c>
      <c r="BL50" s="2">
        <f>IF(NOT(ISNUMBER($BC$50)),"",IF($BI$50=3,INDEX('Inimigos'!$AT$11:$AT$54,$BC$50)&amp;"",IF($BI$50=2,INDEX('Inimigos'!$AO$11:$AO$54,$BC$50)&amp;"",$BF$50)))</f>
        <v/>
      </c>
      <c r="BM50" s="2">
        <f>IF(NOT(ISNUMBER($BC$50)),"",IF($BI$50=3,INDEX('Inimigos'!$AU$11:$AU$54,$BC$50)&amp;"",IF($BI$50=2,INDEX('Inimigos'!$AP$11:$AP$54,$BC$50)&amp;"",$BG$50)))</f>
        <v/>
      </c>
      <c r="BN50" s="2">
        <f>IF(ISNUMBER($BC$50),INDEX('Inimigos'!$AE$11:$AE$54,$BC$50)&amp;"","")</f>
        <v/>
      </c>
      <c r="BO50" s="2">
        <f>IF(NOT(ISNUMBER($BC$50)),"",MIN(INDEX('Inimigos'!$T$11:$T$54,$BC$50),IF($BI$50=3,INDEX('Inimigos'!$AV$11:$AV$54,$BC$50),IF($BI$50=2,INDEX('Inimigos'!$AQ$11:$AQ$54,$BC$50),INDEX('Inimigos'!$T$11:$T$54,$BC$50)))))</f>
        <v/>
      </c>
      <c r="BP50" s="2">
        <f>IF(NOT(ISNUMBER($BC$50)),"",MAX(0,$BO$50-IF(ISNUMBER($CB$79),MAX(0,INT($CB$79)),0)))</f>
        <v/>
      </c>
      <c r="BQ50" s="2">
        <f>IF(NOT(ISNUMBER($BC$50)),0,IF($BP$50=0,1,0))</f>
        <v/>
      </c>
      <c r="BR50" s="2">
        <f>IF(ISNUMBER($BC$50),INDEX('Inimigos'!$R$11:$R$54,$BC$50)-2*$BQ$50,"")</f>
        <v/>
      </c>
      <c r="BS50" s="2">
        <f>IF(ISNUMBER($BC$50),INDEX('Inimigos'!$S$11:$S$54,$BC$50),"")</f>
        <v/>
      </c>
      <c r="BT50" s="2">
        <f>IF(ISNUMBER($BC$50),INDEX('Inimigos'!$BE$11:$BE$54,$BC$50),"")</f>
        <v/>
      </c>
      <c r="BU50" s="2">
        <f>IF(ISNUMBER($BC$50),INDEX('Inimigos'!$AF$11:$AF$54,$BC$50)&amp;"","")</f>
        <v/>
      </c>
      <c r="BV50" s="2">
        <f>IF(AND(ISNUMBER($BC$50),$AR$22&gt;0,$BU$50="Pode"),1,0)</f>
        <v/>
      </c>
      <c r="BW50" s="2">
        <f>IF(ISNUMBER($BC$50),INDEX('Inimigos'!$O$11:$O$54,$BC$50)&amp;"","")</f>
        <v/>
      </c>
      <c r="BX50" s="2">
        <f>IF(ISNUMBER($BC$50),MAX(1,INDEX('Inimigos'!$AG$11:$AG$54,$BC$50)),1)</f>
        <v/>
      </c>
      <c r="BY50" s="2">
        <f>$N$22</f>
        <v/>
      </c>
      <c r="CB50" s="2">
        <f>IF(ISERROR($C$50),"",IF(ISBLANK($C$50),"",$C$50))</f>
        <v/>
      </c>
      <c r="CJ50" s="2">
        <f>ISERROR($C$50)*1</f>
        <v/>
      </c>
    </row>
    <row r="51" ht="48" customHeight="1">
      <c r="A51" s="31">
        <f>IF(LEN($N$23)&gt;0,$N$23,"Inimigo 7")</f>
        <v/>
      </c>
      <c r="B51" s="5">
        <f>$BA$51</f>
        <v/>
      </c>
      <c r="C51" s="4" t="n"/>
      <c r="D51" s="18">
        <f>IF(ISNUMBER($BC$51),INDEX('Inimigos'!$O$11:$O$54,$BC$51)&amp;""&amp;" · "&amp;INDEX('Inimigos'!$P$11:$P$54,$BC$51)&amp;"","")</f>
        <v/>
      </c>
      <c r="E51" s="18">
        <f>IF(ISNUMBER($BC$51),"+"&amp;INDEX('Inimigos'!$V$11:$V$54,$BC$51),"")</f>
        <v/>
      </c>
      <c r="F51" s="5">
        <f>IF(ISNUMBER($BC$51),INDEX('Inimigos'!$W$11:$W$54,$BC$51)&amp;""&amp;" · média "&amp;INDEX('Inimigos'!$X$11:$X$54,$BC$51),"")</f>
        <v/>
      </c>
      <c r="H51" s="18">
        <f>IF(ISNUMBER($BC$51),"DT "&amp;INDEX('Inimigos'!$Y$11:$Y$54,$BC$51)&amp;" · TR +"&amp;INDEX('Inimigos'!$Z$11:$Z$54,$BC$51),"")</f>
        <v/>
      </c>
      <c r="I51" s="18">
        <f>IF(ISNUMBER($BC$51),INDEX('Inimigos'!$AJ$11:$AJ$54,$BC$51)&amp;"","")</f>
        <v/>
      </c>
      <c r="J51" s="18">
        <f>IF(ISNUMBER($BC$51),$BU$51,"")</f>
        <v/>
      </c>
      <c r="K51" s="19">
        <f>IF(CJ51&gt;0,"O Google leu como fórmula: escolha de novo na lista.",IF(AND(LEN($BB$51)&gt;0,NOT(ISNUMBER($BC$51))),"Inimigo fora da lista (Inimigos e Bestiário)",IF(AND(ISNUMBER($BC$51),$BU$51="Não declarado"),"Execução não declarada na ficha: só ser racional Executa (23.5)","")))</f>
        <v/>
      </c>
      <c r="AZ51" s="2">
        <f>IF($P$8=1,IF(MAX('Encontros'!$Y$21:$Y$28)&gt;=7,COUNTIF('Encontros'!$Y$21:$Y$28,"&lt;"&amp;7)+1,""),IF($P$8=2,IF(MAX('Encontros'!$Y$49:$Y$56)&gt;=7,COUNTIF('Encontros'!$Y$49:$Y$56,"&lt;"&amp;7)+1,""),IF($P$8=3,IF(MAX('Encontros'!$Y$77:$Y$84)&gt;=7,COUNTIF('Encontros'!$Y$77:$Y$84,"&lt;"&amp;7)+1,""),IF($P$8=4,IF(MAX('Encontros'!$Y$108:$Y$115)&gt;=7,COUNTIF('Encontros'!$Y$108:$Y$115,"&lt;"&amp;7)+1,""),""))))</f>
        <v/>
      </c>
      <c r="BA51" s="2">
        <f>IF($P$8=1,IF(ISNUMBER($AZ$51),INDEX('Encontros'!$AE$21:$AE$28,$AZ$51)&amp;"",""),IF($P$8=2,IF(ISNUMBER($AZ$51),INDEX('Encontros'!$AE$49:$AE$56,$AZ$51)&amp;"",""),IF($P$8=3,IF(ISNUMBER($AZ$51),INDEX('Encontros'!$AE$77:$AE$84,$AZ$51)&amp;"",""),IF($P$8=4,IF(ISNUMBER($AZ$51),INDEX('Encontros'!$S$108:$S$115,$AZ$51)&amp;"",""),""))))</f>
        <v/>
      </c>
      <c r="BB51" s="2">
        <f>IF(LEN($CB$51)&gt;0,$CB$51,$BA$51)</f>
        <v/>
      </c>
      <c r="BC51" s="2">
        <f>IF(LEN($BB$51)=0,"",IFERROR(MATCH($BB$51,'Inimigos'!$N$11:$N$54,0),""))</f>
        <v/>
      </c>
      <c r="BD51" s="2">
        <f>IF(NOT(ISNUMBER($BC$51)),"",IF(AND(LEN($CB$51)=0,ISNUMBER($AZ$51)),IF($P$8=1,INDEX('Encontros'!$P$21:$P$28,$AZ$51)&amp;"",IF($P$8=2,INDEX('Encontros'!$P$49:$P$56,$AZ$51)&amp;"",IF($P$8=3,INDEX('Encontros'!$P$77:$P$84,$AZ$51)&amp;"",IF($P$8=4,INDEX('Encontros'!$U$108:$U$115,$AZ$51)&amp;"","")))),INDEX('Inimigos'!$AA$11:$AA$54,$BC$51)&amp;""))</f>
        <v/>
      </c>
      <c r="BE51" s="2">
        <f>IF(NOT(ISNUMBER($BC$51)),"",IF(AND(LEN($CB$51)=0,ISNUMBER($AZ$51)),IF($P$8=1,INDEX('Encontros'!$Q$21:$Q$28,$AZ$51)&amp;"",IF($P$8=2,INDEX('Encontros'!$Q$49:$Q$56,$AZ$51)&amp;"",IF($P$8=3,INDEX('Encontros'!$Q$77:$Q$84,$AZ$51)&amp;"",IF($P$8=4,INDEX('Encontros'!$V$108:$V$115,$AZ$51)&amp;"","")))),INDEX('Inimigos'!$AB$11:$AB$54,$BC$51)&amp;""))</f>
        <v/>
      </c>
      <c r="BF51" s="2">
        <f>IF(NOT(ISNUMBER($BC$51)),"",IF(AND(LEN($CB$51)=0,ISNUMBER($AZ$51)),IF($P$8=1,INDEX('Encontros'!$R$21:$R$28,$AZ$51)&amp;"",IF($P$8=2,INDEX('Encontros'!$R$49:$R$56,$AZ$51)&amp;"",IF($P$8=3,INDEX('Encontros'!$R$77:$R$84,$AZ$51)&amp;"",IF($P$8=4,INDEX('Encontros'!$W$108:$W$115,$AZ$51)&amp;"","")))),INDEX('Inimigos'!$AC$11:$AC$54,$BC$51)&amp;""))</f>
        <v/>
      </c>
      <c r="BG51" s="2">
        <f>IF(NOT(ISNUMBER($BC$51)),"",IF(AND(LEN($CB$51)=0,ISNUMBER($AZ$51)),IF($P$8=1,INDEX('Encontros'!$S$21:$S$28,$AZ$51)&amp;"",IF($P$8=2,INDEX('Encontros'!$S$49:$S$56,$AZ$51)&amp;"",IF($P$8=3,INDEX('Encontros'!$S$77:$S$84,$AZ$51)&amp;"",IF($P$8=4,INDEX('Encontros'!$X$108:$X$115,$AZ$51)&amp;"","")))),INDEX('Inimigos'!$AD$11:$AD$54,$BC$51)&amp;""))</f>
        <v/>
      </c>
      <c r="BH51" s="2">
        <f>IF(NOT(ISNUMBER($BC$51)),"",IF(AND($BX$51&gt;=3,$AR$23&lt;=INDEX('Inimigos'!$AL$11:$AL$54,$BC$51)),3,IF(AND($BX$51&gt;=2,$AR$23&lt;=INDEX('Inimigos'!$AK$11:$AK$54,$BC$51)),2,1)))</f>
        <v/>
      </c>
      <c r="BI51" s="2">
        <f>IF(NOT(ISNUMBER($BC$51)),"",IF(ISNUMBER($CH$64),MIN($BX$51,MAX(1,INT($CH$64))),1))</f>
        <v/>
      </c>
      <c r="BJ51" s="2">
        <f>IF(NOT(ISNUMBER($BC$51)),"",IF($BI$51=3,INDEX('Inimigos'!$AR$11:$AR$54,$BC$51)&amp;"",IF($BI$51=2,INDEX('Inimigos'!$AM$11:$AM$54,$BC$51)&amp;"",$BD$51)))</f>
        <v/>
      </c>
      <c r="BK51" s="2">
        <f>IF(NOT(ISNUMBER($BC$51)),"",IF($BI$51=3,INDEX('Inimigos'!$AS$11:$AS$54,$BC$51)&amp;"",IF($BI$51=2,INDEX('Inimigos'!$AN$11:$AN$54,$BC$51)&amp;"",$BE$51)))</f>
        <v/>
      </c>
      <c r="BL51" s="2">
        <f>IF(NOT(ISNUMBER($BC$51)),"",IF($BI$51=3,INDEX('Inimigos'!$AT$11:$AT$54,$BC$51)&amp;"",IF($BI$51=2,INDEX('Inimigos'!$AO$11:$AO$54,$BC$51)&amp;"",$BF$51)))</f>
        <v/>
      </c>
      <c r="BM51" s="2">
        <f>IF(NOT(ISNUMBER($BC$51)),"",IF($BI$51=3,INDEX('Inimigos'!$AU$11:$AU$54,$BC$51)&amp;"",IF($BI$51=2,INDEX('Inimigos'!$AP$11:$AP$54,$BC$51)&amp;"",$BG$51)))</f>
        <v/>
      </c>
      <c r="BN51" s="2">
        <f>IF(ISNUMBER($BC$51),INDEX('Inimigos'!$AE$11:$AE$54,$BC$51)&amp;"","")</f>
        <v/>
      </c>
      <c r="BO51" s="2">
        <f>IF(NOT(ISNUMBER($BC$51)),"",MIN(INDEX('Inimigos'!$T$11:$T$54,$BC$51),IF($BI$51=3,INDEX('Inimigos'!$AV$11:$AV$54,$BC$51),IF($BI$51=2,INDEX('Inimigos'!$AQ$11:$AQ$54,$BC$51),INDEX('Inimigos'!$T$11:$T$54,$BC$51)))))</f>
        <v/>
      </c>
      <c r="BP51" s="2">
        <f>IF(NOT(ISNUMBER($BC$51)),"",MAX(0,$BO$51-IF(ISNUMBER($CB$80),MAX(0,INT($CB$80)),0)))</f>
        <v/>
      </c>
      <c r="BQ51" s="2">
        <f>IF(NOT(ISNUMBER($BC$51)),0,IF($BP$51=0,1,0))</f>
        <v/>
      </c>
      <c r="BR51" s="2">
        <f>IF(ISNUMBER($BC$51),INDEX('Inimigos'!$R$11:$R$54,$BC$51)-2*$BQ$51,"")</f>
        <v/>
      </c>
      <c r="BS51" s="2">
        <f>IF(ISNUMBER($BC$51),INDEX('Inimigos'!$S$11:$S$54,$BC$51),"")</f>
        <v/>
      </c>
      <c r="BT51" s="2">
        <f>IF(ISNUMBER($BC$51),INDEX('Inimigos'!$BE$11:$BE$54,$BC$51),"")</f>
        <v/>
      </c>
      <c r="BU51" s="2">
        <f>IF(ISNUMBER($BC$51),INDEX('Inimigos'!$AF$11:$AF$54,$BC$51)&amp;"","")</f>
        <v/>
      </c>
      <c r="BV51" s="2">
        <f>IF(AND(ISNUMBER($BC$51),$AR$23&gt;0,$BU$51="Pode"),1,0)</f>
        <v/>
      </c>
      <c r="BW51" s="2">
        <f>IF(ISNUMBER($BC$51),INDEX('Inimigos'!$O$11:$O$54,$BC$51)&amp;"","")</f>
        <v/>
      </c>
      <c r="BX51" s="2">
        <f>IF(ISNUMBER($BC$51),MAX(1,INDEX('Inimigos'!$AG$11:$AG$54,$BC$51)),1)</f>
        <v/>
      </c>
      <c r="BY51" s="2">
        <f>$N$23</f>
        <v/>
      </c>
      <c r="CB51" s="2">
        <f>IF(ISERROR($C$51),"",IF(ISBLANK($C$51),"",$C$51))</f>
        <v/>
      </c>
      <c r="CJ51" s="2">
        <f>ISERROR($C$51)*1</f>
        <v/>
      </c>
    </row>
    <row r="52" ht="48" customHeight="1">
      <c r="A52" s="43">
        <f>IF(LEN($N$24)&gt;0,$N$24,"Inimigo 8")</f>
        <v/>
      </c>
      <c r="B52" s="10">
        <f>$BA$52</f>
        <v/>
      </c>
      <c r="C52" s="29" t="n"/>
      <c r="D52" s="23">
        <f>IF(ISNUMBER($BC$52),INDEX('Inimigos'!$O$11:$O$54,$BC$52)&amp;""&amp;" · "&amp;INDEX('Inimigos'!$P$11:$P$54,$BC$52)&amp;"","")</f>
        <v/>
      </c>
      <c r="E52" s="23">
        <f>IF(ISNUMBER($BC$52),"+"&amp;INDEX('Inimigos'!$V$11:$V$54,$BC$52),"")</f>
        <v/>
      </c>
      <c r="F52" s="10">
        <f>IF(ISNUMBER($BC$52),INDEX('Inimigos'!$W$11:$W$54,$BC$52)&amp;""&amp;" · média "&amp;INDEX('Inimigos'!$X$11:$X$54,$BC$52),"")</f>
        <v/>
      </c>
      <c r="H52" s="23">
        <f>IF(ISNUMBER($BC$52),"DT "&amp;INDEX('Inimigos'!$Y$11:$Y$54,$BC$52)&amp;" · TR +"&amp;INDEX('Inimigos'!$Z$11:$Z$54,$BC$52),"")</f>
        <v/>
      </c>
      <c r="I52" s="23">
        <f>IF(ISNUMBER($BC$52),INDEX('Inimigos'!$AJ$11:$AJ$54,$BC$52)&amp;"","")</f>
        <v/>
      </c>
      <c r="J52" s="23">
        <f>IF(ISNUMBER($BC$52),$BU$52,"")</f>
        <v/>
      </c>
      <c r="K52" s="27">
        <f>IF(CJ52&gt;0,"O Google leu como fórmula: escolha de novo na lista.",IF(AND(LEN($BB$52)&gt;0,NOT(ISNUMBER($BC$52))),"Inimigo fora da lista (Inimigos e Bestiário)",IF(AND(ISNUMBER($BC$52),$BU$52="Não declarado"),"Execução não declarada na ficha: só ser racional Executa (23.5)","")))</f>
        <v/>
      </c>
      <c r="AZ52" s="2">
        <f>IF($P$8=1,IF(MAX('Encontros'!$Y$21:$Y$28)&gt;=8,COUNTIF('Encontros'!$Y$21:$Y$28,"&lt;"&amp;8)+1,""),IF($P$8=2,IF(MAX('Encontros'!$Y$49:$Y$56)&gt;=8,COUNTIF('Encontros'!$Y$49:$Y$56,"&lt;"&amp;8)+1,""),IF($P$8=3,IF(MAX('Encontros'!$Y$77:$Y$84)&gt;=8,COUNTIF('Encontros'!$Y$77:$Y$84,"&lt;"&amp;8)+1,""),IF($P$8=4,IF(MAX('Encontros'!$Y$108:$Y$115)&gt;=8,COUNTIF('Encontros'!$Y$108:$Y$115,"&lt;"&amp;8)+1,""),""))))</f>
        <v/>
      </c>
      <c r="BA52" s="2">
        <f>IF($P$8=1,IF(ISNUMBER($AZ$52),INDEX('Encontros'!$AE$21:$AE$28,$AZ$52)&amp;"",""),IF($P$8=2,IF(ISNUMBER($AZ$52),INDEX('Encontros'!$AE$49:$AE$56,$AZ$52)&amp;"",""),IF($P$8=3,IF(ISNUMBER($AZ$52),INDEX('Encontros'!$AE$77:$AE$84,$AZ$52)&amp;"",""),IF($P$8=4,IF(ISNUMBER($AZ$52),INDEX('Encontros'!$S$108:$S$115,$AZ$52)&amp;"",""),""))))</f>
        <v/>
      </c>
      <c r="BB52" s="2">
        <f>IF(LEN($CB$52)&gt;0,$CB$52,$BA$52)</f>
        <v/>
      </c>
      <c r="BC52" s="2">
        <f>IF(LEN($BB$52)=0,"",IFERROR(MATCH($BB$52,'Inimigos'!$N$11:$N$54,0),""))</f>
        <v/>
      </c>
      <c r="BD52" s="2">
        <f>IF(NOT(ISNUMBER($BC$52)),"",IF(AND(LEN($CB$52)=0,ISNUMBER($AZ$52)),IF($P$8=1,INDEX('Encontros'!$P$21:$P$28,$AZ$52)&amp;"",IF($P$8=2,INDEX('Encontros'!$P$49:$P$56,$AZ$52)&amp;"",IF($P$8=3,INDEX('Encontros'!$P$77:$P$84,$AZ$52)&amp;"",IF($P$8=4,INDEX('Encontros'!$U$108:$U$115,$AZ$52)&amp;"","")))),INDEX('Inimigos'!$AA$11:$AA$54,$BC$52)&amp;""))</f>
        <v/>
      </c>
      <c r="BE52" s="2">
        <f>IF(NOT(ISNUMBER($BC$52)),"",IF(AND(LEN($CB$52)=0,ISNUMBER($AZ$52)),IF($P$8=1,INDEX('Encontros'!$Q$21:$Q$28,$AZ$52)&amp;"",IF($P$8=2,INDEX('Encontros'!$Q$49:$Q$56,$AZ$52)&amp;"",IF($P$8=3,INDEX('Encontros'!$Q$77:$Q$84,$AZ$52)&amp;"",IF($P$8=4,INDEX('Encontros'!$V$108:$V$115,$AZ$52)&amp;"","")))),INDEX('Inimigos'!$AB$11:$AB$54,$BC$52)&amp;""))</f>
        <v/>
      </c>
      <c r="BF52" s="2">
        <f>IF(NOT(ISNUMBER($BC$52)),"",IF(AND(LEN($CB$52)=0,ISNUMBER($AZ$52)),IF($P$8=1,INDEX('Encontros'!$R$21:$R$28,$AZ$52)&amp;"",IF($P$8=2,INDEX('Encontros'!$R$49:$R$56,$AZ$52)&amp;"",IF($P$8=3,INDEX('Encontros'!$R$77:$R$84,$AZ$52)&amp;"",IF($P$8=4,INDEX('Encontros'!$W$108:$W$115,$AZ$52)&amp;"","")))),INDEX('Inimigos'!$AC$11:$AC$54,$BC$52)&amp;""))</f>
        <v/>
      </c>
      <c r="BG52" s="2">
        <f>IF(NOT(ISNUMBER($BC$52)),"",IF(AND(LEN($CB$52)=0,ISNUMBER($AZ$52)),IF($P$8=1,INDEX('Encontros'!$S$21:$S$28,$AZ$52)&amp;"",IF($P$8=2,INDEX('Encontros'!$S$49:$S$56,$AZ$52)&amp;"",IF($P$8=3,INDEX('Encontros'!$S$77:$S$84,$AZ$52)&amp;"",IF($P$8=4,INDEX('Encontros'!$X$108:$X$115,$AZ$52)&amp;"","")))),INDEX('Inimigos'!$AD$11:$AD$54,$BC$52)&amp;""))</f>
        <v/>
      </c>
      <c r="BH52" s="2">
        <f>IF(NOT(ISNUMBER($BC$52)),"",IF(AND($BX$52&gt;=3,$AR$24&lt;=INDEX('Inimigos'!$AL$11:$AL$54,$BC$52)),3,IF(AND($BX$52&gt;=2,$AR$24&lt;=INDEX('Inimigos'!$AK$11:$AK$54,$BC$52)),2,1)))</f>
        <v/>
      </c>
      <c r="BI52" s="2">
        <f>IF(NOT(ISNUMBER($BC$52)),"",IF(ISNUMBER($CH$65),MIN($BX$52,MAX(1,INT($CH$65))),1))</f>
        <v/>
      </c>
      <c r="BJ52" s="2">
        <f>IF(NOT(ISNUMBER($BC$52)),"",IF($BI$52=3,INDEX('Inimigos'!$AR$11:$AR$54,$BC$52)&amp;"",IF($BI$52=2,INDEX('Inimigos'!$AM$11:$AM$54,$BC$52)&amp;"",$BD$52)))</f>
        <v/>
      </c>
      <c r="BK52" s="2">
        <f>IF(NOT(ISNUMBER($BC$52)),"",IF($BI$52=3,INDEX('Inimigos'!$AS$11:$AS$54,$BC$52)&amp;"",IF($BI$52=2,INDEX('Inimigos'!$AN$11:$AN$54,$BC$52)&amp;"",$BE$52)))</f>
        <v/>
      </c>
      <c r="BL52" s="2">
        <f>IF(NOT(ISNUMBER($BC$52)),"",IF($BI$52=3,INDEX('Inimigos'!$AT$11:$AT$54,$BC$52)&amp;"",IF($BI$52=2,INDEX('Inimigos'!$AO$11:$AO$54,$BC$52)&amp;"",$BF$52)))</f>
        <v/>
      </c>
      <c r="BM52" s="2">
        <f>IF(NOT(ISNUMBER($BC$52)),"",IF($BI$52=3,INDEX('Inimigos'!$AU$11:$AU$54,$BC$52)&amp;"",IF($BI$52=2,INDEX('Inimigos'!$AP$11:$AP$54,$BC$52)&amp;"",$BG$52)))</f>
        <v/>
      </c>
      <c r="BN52" s="2">
        <f>IF(ISNUMBER($BC$52),INDEX('Inimigos'!$AE$11:$AE$54,$BC$52)&amp;"","")</f>
        <v/>
      </c>
      <c r="BO52" s="2">
        <f>IF(NOT(ISNUMBER($BC$52)),"",MIN(INDEX('Inimigos'!$T$11:$T$54,$BC$52),IF($BI$52=3,INDEX('Inimigos'!$AV$11:$AV$54,$BC$52),IF($BI$52=2,INDEX('Inimigos'!$AQ$11:$AQ$54,$BC$52),INDEX('Inimigos'!$T$11:$T$54,$BC$52)))))</f>
        <v/>
      </c>
      <c r="BP52" s="2">
        <f>IF(NOT(ISNUMBER($BC$52)),"",MAX(0,$BO$52-IF(ISNUMBER($CB$81),MAX(0,INT($CB$81)),0)))</f>
        <v/>
      </c>
      <c r="BQ52" s="2">
        <f>IF(NOT(ISNUMBER($BC$52)),0,IF($BP$52=0,1,0))</f>
        <v/>
      </c>
      <c r="BR52" s="2">
        <f>IF(ISNUMBER($BC$52),INDEX('Inimigos'!$R$11:$R$54,$BC$52)-2*$BQ$52,"")</f>
        <v/>
      </c>
      <c r="BS52" s="2">
        <f>IF(ISNUMBER($BC$52),INDEX('Inimigos'!$S$11:$S$54,$BC$52),"")</f>
        <v/>
      </c>
      <c r="BT52" s="2">
        <f>IF(ISNUMBER($BC$52),INDEX('Inimigos'!$BE$11:$BE$54,$BC$52),"")</f>
        <v/>
      </c>
      <c r="BU52" s="2">
        <f>IF(ISNUMBER($BC$52),INDEX('Inimigos'!$AF$11:$AF$54,$BC$52)&amp;"","")</f>
        <v/>
      </c>
      <c r="BV52" s="2">
        <f>IF(AND(ISNUMBER($BC$52),$AR$24&gt;0,$BU$52="Pode"),1,0)</f>
        <v/>
      </c>
      <c r="BW52" s="2">
        <f>IF(ISNUMBER($BC$52),INDEX('Inimigos'!$O$11:$O$54,$BC$52)&amp;"","")</f>
        <v/>
      </c>
      <c r="BX52" s="2">
        <f>IF(ISNUMBER($BC$52),MAX(1,INDEX('Inimigos'!$AG$11:$AG$54,$BC$52)),1)</f>
        <v/>
      </c>
      <c r="BY52" s="2">
        <f>$N$24</f>
        <v/>
      </c>
      <c r="CB52" s="2">
        <f>IF(ISERROR($C$52),"",IF(ISBLANK($C$52),"",$C$52))</f>
        <v/>
      </c>
      <c r="CJ52" s="2">
        <f>ISERROR($C$52)*1</f>
        <v/>
      </c>
    </row>
    <row r="53" ht="48" customHeight="1">
      <c r="A53" s="31">
        <f>IF(LEN($N$25)&gt;0,$N$25,"Inimigo 9")</f>
        <v/>
      </c>
      <c r="B53" s="5">
        <f>$BA$53</f>
        <v/>
      </c>
      <c r="C53" s="4" t="n"/>
      <c r="D53" s="18">
        <f>IF(ISNUMBER($BC$53),INDEX('Inimigos'!$O$11:$O$54,$BC$53)&amp;""&amp;" · "&amp;INDEX('Inimigos'!$P$11:$P$54,$BC$53)&amp;"","")</f>
        <v/>
      </c>
      <c r="E53" s="18">
        <f>IF(ISNUMBER($BC$53),"+"&amp;INDEX('Inimigos'!$V$11:$V$54,$BC$53),"")</f>
        <v/>
      </c>
      <c r="F53" s="5">
        <f>IF(ISNUMBER($BC$53),INDEX('Inimigos'!$W$11:$W$54,$BC$53)&amp;""&amp;" · média "&amp;INDEX('Inimigos'!$X$11:$X$54,$BC$53),"")</f>
        <v/>
      </c>
      <c r="H53" s="18">
        <f>IF(ISNUMBER($BC$53),"DT "&amp;INDEX('Inimigos'!$Y$11:$Y$54,$BC$53)&amp;" · TR +"&amp;INDEX('Inimigos'!$Z$11:$Z$54,$BC$53),"")</f>
        <v/>
      </c>
      <c r="I53" s="18">
        <f>IF(ISNUMBER($BC$53),INDEX('Inimigos'!$AJ$11:$AJ$54,$BC$53)&amp;"","")</f>
        <v/>
      </c>
      <c r="J53" s="18">
        <f>IF(ISNUMBER($BC$53),$BU$53,"")</f>
        <v/>
      </c>
      <c r="K53" s="19">
        <f>IF(CJ53&gt;0,"O Google leu como fórmula: escolha de novo na lista.",IF(AND(LEN($BB$53)&gt;0,NOT(ISNUMBER($BC$53))),"Inimigo fora da lista (Inimigos e Bestiário)",IF(AND(ISNUMBER($BC$53),$BU$53="Não declarado"),"Execução não declarada na ficha: só ser racional Executa (23.5)","")))</f>
        <v/>
      </c>
      <c r="AZ53" s="2">
        <f>IF($P$8=1,IF(MAX('Encontros'!$Y$21:$Y$28)&gt;=9,COUNTIF('Encontros'!$Y$21:$Y$28,"&lt;"&amp;9)+1,""),IF($P$8=2,IF(MAX('Encontros'!$Y$49:$Y$56)&gt;=9,COUNTIF('Encontros'!$Y$49:$Y$56,"&lt;"&amp;9)+1,""),IF($P$8=3,IF(MAX('Encontros'!$Y$77:$Y$84)&gt;=9,COUNTIF('Encontros'!$Y$77:$Y$84,"&lt;"&amp;9)+1,""),IF($P$8=4,IF(MAX('Encontros'!$Y$108:$Y$115)&gt;=9,COUNTIF('Encontros'!$Y$108:$Y$115,"&lt;"&amp;9)+1,""),""))))</f>
        <v/>
      </c>
      <c r="BA53" s="2">
        <f>IF($P$8=1,IF(ISNUMBER($AZ$53),INDEX('Encontros'!$AE$21:$AE$28,$AZ$53)&amp;"",""),IF($P$8=2,IF(ISNUMBER($AZ$53),INDEX('Encontros'!$AE$49:$AE$56,$AZ$53)&amp;"",""),IF($P$8=3,IF(ISNUMBER($AZ$53),INDEX('Encontros'!$AE$77:$AE$84,$AZ$53)&amp;"",""),IF($P$8=4,IF(ISNUMBER($AZ$53),INDEX('Encontros'!$S$108:$S$115,$AZ$53)&amp;"",""),""))))</f>
        <v/>
      </c>
      <c r="BB53" s="2">
        <f>IF(LEN($CB$53)&gt;0,$CB$53,$BA$53)</f>
        <v/>
      </c>
      <c r="BC53" s="2">
        <f>IF(LEN($BB$53)=0,"",IFERROR(MATCH($BB$53,'Inimigos'!$N$11:$N$54,0),""))</f>
        <v/>
      </c>
      <c r="BD53" s="2">
        <f>IF(NOT(ISNUMBER($BC$53)),"",IF(AND(LEN($CB$53)=0,ISNUMBER($AZ$53)),IF($P$8=1,INDEX('Encontros'!$P$21:$P$28,$AZ$53)&amp;"",IF($P$8=2,INDEX('Encontros'!$P$49:$P$56,$AZ$53)&amp;"",IF($P$8=3,INDEX('Encontros'!$P$77:$P$84,$AZ$53)&amp;"",IF($P$8=4,INDEX('Encontros'!$U$108:$U$115,$AZ$53)&amp;"","")))),INDEX('Inimigos'!$AA$11:$AA$54,$BC$53)&amp;""))</f>
        <v/>
      </c>
      <c r="BE53" s="2">
        <f>IF(NOT(ISNUMBER($BC$53)),"",IF(AND(LEN($CB$53)=0,ISNUMBER($AZ$53)),IF($P$8=1,INDEX('Encontros'!$Q$21:$Q$28,$AZ$53)&amp;"",IF($P$8=2,INDEX('Encontros'!$Q$49:$Q$56,$AZ$53)&amp;"",IF($P$8=3,INDEX('Encontros'!$Q$77:$Q$84,$AZ$53)&amp;"",IF($P$8=4,INDEX('Encontros'!$V$108:$V$115,$AZ$53)&amp;"","")))),INDEX('Inimigos'!$AB$11:$AB$54,$BC$53)&amp;""))</f>
        <v/>
      </c>
      <c r="BF53" s="2">
        <f>IF(NOT(ISNUMBER($BC$53)),"",IF(AND(LEN($CB$53)=0,ISNUMBER($AZ$53)),IF($P$8=1,INDEX('Encontros'!$R$21:$R$28,$AZ$53)&amp;"",IF($P$8=2,INDEX('Encontros'!$R$49:$R$56,$AZ$53)&amp;"",IF($P$8=3,INDEX('Encontros'!$R$77:$R$84,$AZ$53)&amp;"",IF($P$8=4,INDEX('Encontros'!$W$108:$W$115,$AZ$53)&amp;"","")))),INDEX('Inimigos'!$AC$11:$AC$54,$BC$53)&amp;""))</f>
        <v/>
      </c>
      <c r="BG53" s="2">
        <f>IF(NOT(ISNUMBER($BC$53)),"",IF(AND(LEN($CB$53)=0,ISNUMBER($AZ$53)),IF($P$8=1,INDEX('Encontros'!$S$21:$S$28,$AZ$53)&amp;"",IF($P$8=2,INDEX('Encontros'!$S$49:$S$56,$AZ$53)&amp;"",IF($P$8=3,INDEX('Encontros'!$S$77:$S$84,$AZ$53)&amp;"",IF($P$8=4,INDEX('Encontros'!$X$108:$X$115,$AZ$53)&amp;"","")))),INDEX('Inimigos'!$AD$11:$AD$54,$BC$53)&amp;""))</f>
        <v/>
      </c>
      <c r="BH53" s="2">
        <f>IF(NOT(ISNUMBER($BC$53)),"",IF(AND($BX$53&gt;=3,$AR$25&lt;=INDEX('Inimigos'!$AL$11:$AL$54,$BC$53)),3,IF(AND($BX$53&gt;=2,$AR$25&lt;=INDEX('Inimigos'!$AK$11:$AK$54,$BC$53)),2,1)))</f>
        <v/>
      </c>
      <c r="BI53" s="2">
        <f>IF(NOT(ISNUMBER($BC$53)),"",IF(ISNUMBER($CH$66),MIN($BX$53,MAX(1,INT($CH$66))),1))</f>
        <v/>
      </c>
      <c r="BJ53" s="2">
        <f>IF(NOT(ISNUMBER($BC$53)),"",IF($BI$53=3,INDEX('Inimigos'!$AR$11:$AR$54,$BC$53)&amp;"",IF($BI$53=2,INDEX('Inimigos'!$AM$11:$AM$54,$BC$53)&amp;"",$BD$53)))</f>
        <v/>
      </c>
      <c r="BK53" s="2">
        <f>IF(NOT(ISNUMBER($BC$53)),"",IF($BI$53=3,INDEX('Inimigos'!$AS$11:$AS$54,$BC$53)&amp;"",IF($BI$53=2,INDEX('Inimigos'!$AN$11:$AN$54,$BC$53)&amp;"",$BE$53)))</f>
        <v/>
      </c>
      <c r="BL53" s="2">
        <f>IF(NOT(ISNUMBER($BC$53)),"",IF($BI$53=3,INDEX('Inimigos'!$AT$11:$AT$54,$BC$53)&amp;"",IF($BI$53=2,INDEX('Inimigos'!$AO$11:$AO$54,$BC$53)&amp;"",$BF$53)))</f>
        <v/>
      </c>
      <c r="BM53" s="2">
        <f>IF(NOT(ISNUMBER($BC$53)),"",IF($BI$53=3,INDEX('Inimigos'!$AU$11:$AU$54,$BC$53)&amp;"",IF($BI$53=2,INDEX('Inimigos'!$AP$11:$AP$54,$BC$53)&amp;"",$BG$53)))</f>
        <v/>
      </c>
      <c r="BN53" s="2">
        <f>IF(ISNUMBER($BC$53),INDEX('Inimigos'!$AE$11:$AE$54,$BC$53)&amp;"","")</f>
        <v/>
      </c>
      <c r="BO53" s="2">
        <f>IF(NOT(ISNUMBER($BC$53)),"",MIN(INDEX('Inimigos'!$T$11:$T$54,$BC$53),IF($BI$53=3,INDEX('Inimigos'!$AV$11:$AV$54,$BC$53),IF($BI$53=2,INDEX('Inimigos'!$AQ$11:$AQ$54,$BC$53),INDEX('Inimigos'!$T$11:$T$54,$BC$53)))))</f>
        <v/>
      </c>
      <c r="BP53" s="2">
        <f>IF(NOT(ISNUMBER($BC$53)),"",MAX(0,$BO$53-IF(ISNUMBER($CB$82),MAX(0,INT($CB$82)),0)))</f>
        <v/>
      </c>
      <c r="BQ53" s="2">
        <f>IF(NOT(ISNUMBER($BC$53)),0,IF($BP$53=0,1,0))</f>
        <v/>
      </c>
      <c r="BR53" s="2">
        <f>IF(ISNUMBER($BC$53),INDEX('Inimigos'!$R$11:$R$54,$BC$53)-2*$BQ$53,"")</f>
        <v/>
      </c>
      <c r="BS53" s="2">
        <f>IF(ISNUMBER($BC$53),INDEX('Inimigos'!$S$11:$S$54,$BC$53),"")</f>
        <v/>
      </c>
      <c r="BT53" s="2">
        <f>IF(ISNUMBER($BC$53),INDEX('Inimigos'!$BE$11:$BE$54,$BC$53),"")</f>
        <v/>
      </c>
      <c r="BU53" s="2">
        <f>IF(ISNUMBER($BC$53),INDEX('Inimigos'!$AF$11:$AF$54,$BC$53)&amp;"","")</f>
        <v/>
      </c>
      <c r="BV53" s="2">
        <f>IF(AND(ISNUMBER($BC$53),$AR$25&gt;0,$BU$53="Pode"),1,0)</f>
        <v/>
      </c>
      <c r="BW53" s="2">
        <f>IF(ISNUMBER($BC$53),INDEX('Inimigos'!$O$11:$O$54,$BC$53)&amp;"","")</f>
        <v/>
      </c>
      <c r="BX53" s="2">
        <f>IF(ISNUMBER($BC$53),MAX(1,INDEX('Inimigos'!$AG$11:$AG$54,$BC$53)),1)</f>
        <v/>
      </c>
      <c r="BY53" s="2">
        <f>$N$25</f>
        <v/>
      </c>
      <c r="CB53" s="2">
        <f>IF(ISERROR($C$53),"",IF(ISBLANK($C$53),"",$C$53))</f>
        <v/>
      </c>
      <c r="CJ53" s="2">
        <f>ISERROR($C$53)*1</f>
        <v/>
      </c>
    </row>
    <row r="54" ht="48" customHeight="1">
      <c r="A54" s="43">
        <f>IF(LEN($N$26)&gt;0,$N$26,"Inimigo 10")</f>
        <v/>
      </c>
      <c r="B54" s="10">
        <f>$BA$54</f>
        <v/>
      </c>
      <c r="C54" s="29" t="n"/>
      <c r="D54" s="23">
        <f>IF(ISNUMBER($BC$54),INDEX('Inimigos'!$O$11:$O$54,$BC$54)&amp;""&amp;" · "&amp;INDEX('Inimigos'!$P$11:$P$54,$BC$54)&amp;"","")</f>
        <v/>
      </c>
      <c r="E54" s="23">
        <f>IF(ISNUMBER($BC$54),"+"&amp;INDEX('Inimigos'!$V$11:$V$54,$BC$54),"")</f>
        <v/>
      </c>
      <c r="F54" s="10">
        <f>IF(ISNUMBER($BC$54),INDEX('Inimigos'!$W$11:$W$54,$BC$54)&amp;""&amp;" · média "&amp;INDEX('Inimigos'!$X$11:$X$54,$BC$54),"")</f>
        <v/>
      </c>
      <c r="H54" s="23">
        <f>IF(ISNUMBER($BC$54),"DT "&amp;INDEX('Inimigos'!$Y$11:$Y$54,$BC$54)&amp;" · TR +"&amp;INDEX('Inimigos'!$Z$11:$Z$54,$BC$54),"")</f>
        <v/>
      </c>
      <c r="I54" s="23">
        <f>IF(ISNUMBER($BC$54),INDEX('Inimigos'!$AJ$11:$AJ$54,$BC$54)&amp;"","")</f>
        <v/>
      </c>
      <c r="J54" s="23">
        <f>IF(ISNUMBER($BC$54),$BU$54,"")</f>
        <v/>
      </c>
      <c r="K54" s="27">
        <f>IF(CJ54&gt;0,"O Google leu como fórmula: escolha de novo na lista.",IF(AND(LEN($BB$54)&gt;0,NOT(ISNUMBER($BC$54))),"Inimigo fora da lista (Inimigos e Bestiário)",IF(AND(ISNUMBER($BC$54),$BU$54="Não declarado"),"Execução não declarada na ficha: só ser racional Executa (23.5)","")))</f>
        <v/>
      </c>
      <c r="AZ54" s="2">
        <f>IF($P$8=1,IF(MAX('Encontros'!$Y$21:$Y$28)&gt;=10,COUNTIF('Encontros'!$Y$21:$Y$28,"&lt;"&amp;10)+1,""),IF($P$8=2,IF(MAX('Encontros'!$Y$49:$Y$56)&gt;=10,COUNTIF('Encontros'!$Y$49:$Y$56,"&lt;"&amp;10)+1,""),IF($P$8=3,IF(MAX('Encontros'!$Y$77:$Y$84)&gt;=10,COUNTIF('Encontros'!$Y$77:$Y$84,"&lt;"&amp;10)+1,""),IF($P$8=4,IF(MAX('Encontros'!$Y$108:$Y$115)&gt;=10,COUNTIF('Encontros'!$Y$108:$Y$115,"&lt;"&amp;10)+1,""),""))))</f>
        <v/>
      </c>
      <c r="BA54" s="2">
        <f>IF($P$8=1,IF(ISNUMBER($AZ$54),INDEX('Encontros'!$AE$21:$AE$28,$AZ$54)&amp;"",""),IF($P$8=2,IF(ISNUMBER($AZ$54),INDEX('Encontros'!$AE$49:$AE$56,$AZ$54)&amp;"",""),IF($P$8=3,IF(ISNUMBER($AZ$54),INDEX('Encontros'!$AE$77:$AE$84,$AZ$54)&amp;"",""),IF($P$8=4,IF(ISNUMBER($AZ$54),INDEX('Encontros'!$S$108:$S$115,$AZ$54)&amp;"",""),""))))</f>
        <v/>
      </c>
      <c r="BB54" s="2">
        <f>IF(LEN($CB$54)&gt;0,$CB$54,$BA$54)</f>
        <v/>
      </c>
      <c r="BC54" s="2">
        <f>IF(LEN($BB$54)=0,"",IFERROR(MATCH($BB$54,'Inimigos'!$N$11:$N$54,0),""))</f>
        <v/>
      </c>
      <c r="BD54" s="2">
        <f>IF(NOT(ISNUMBER($BC$54)),"",IF(AND(LEN($CB$54)=0,ISNUMBER($AZ$54)),IF($P$8=1,INDEX('Encontros'!$P$21:$P$28,$AZ$54)&amp;"",IF($P$8=2,INDEX('Encontros'!$P$49:$P$56,$AZ$54)&amp;"",IF($P$8=3,INDEX('Encontros'!$P$77:$P$84,$AZ$54)&amp;"",IF($P$8=4,INDEX('Encontros'!$U$108:$U$115,$AZ$54)&amp;"","")))),INDEX('Inimigos'!$AA$11:$AA$54,$BC$54)&amp;""))</f>
        <v/>
      </c>
      <c r="BE54" s="2">
        <f>IF(NOT(ISNUMBER($BC$54)),"",IF(AND(LEN($CB$54)=0,ISNUMBER($AZ$54)),IF($P$8=1,INDEX('Encontros'!$Q$21:$Q$28,$AZ$54)&amp;"",IF($P$8=2,INDEX('Encontros'!$Q$49:$Q$56,$AZ$54)&amp;"",IF($P$8=3,INDEX('Encontros'!$Q$77:$Q$84,$AZ$54)&amp;"",IF($P$8=4,INDEX('Encontros'!$V$108:$V$115,$AZ$54)&amp;"","")))),INDEX('Inimigos'!$AB$11:$AB$54,$BC$54)&amp;""))</f>
        <v/>
      </c>
      <c r="BF54" s="2">
        <f>IF(NOT(ISNUMBER($BC$54)),"",IF(AND(LEN($CB$54)=0,ISNUMBER($AZ$54)),IF($P$8=1,INDEX('Encontros'!$R$21:$R$28,$AZ$54)&amp;"",IF($P$8=2,INDEX('Encontros'!$R$49:$R$56,$AZ$54)&amp;"",IF($P$8=3,INDEX('Encontros'!$R$77:$R$84,$AZ$54)&amp;"",IF($P$8=4,INDEX('Encontros'!$W$108:$W$115,$AZ$54)&amp;"","")))),INDEX('Inimigos'!$AC$11:$AC$54,$BC$54)&amp;""))</f>
        <v/>
      </c>
      <c r="BG54" s="2">
        <f>IF(NOT(ISNUMBER($BC$54)),"",IF(AND(LEN($CB$54)=0,ISNUMBER($AZ$54)),IF($P$8=1,INDEX('Encontros'!$S$21:$S$28,$AZ$54)&amp;"",IF($P$8=2,INDEX('Encontros'!$S$49:$S$56,$AZ$54)&amp;"",IF($P$8=3,INDEX('Encontros'!$S$77:$S$84,$AZ$54)&amp;"",IF($P$8=4,INDEX('Encontros'!$X$108:$X$115,$AZ$54)&amp;"","")))),INDEX('Inimigos'!$AD$11:$AD$54,$BC$54)&amp;""))</f>
        <v/>
      </c>
      <c r="BH54" s="2">
        <f>IF(NOT(ISNUMBER($BC$54)),"",IF(AND($BX$54&gt;=3,$AR$26&lt;=INDEX('Inimigos'!$AL$11:$AL$54,$BC$54)),3,IF(AND($BX$54&gt;=2,$AR$26&lt;=INDEX('Inimigos'!$AK$11:$AK$54,$BC$54)),2,1)))</f>
        <v/>
      </c>
      <c r="BI54" s="2">
        <f>IF(NOT(ISNUMBER($BC$54)),"",IF(ISNUMBER($CH$67),MIN($BX$54,MAX(1,INT($CH$67))),1))</f>
        <v/>
      </c>
      <c r="BJ54" s="2">
        <f>IF(NOT(ISNUMBER($BC$54)),"",IF($BI$54=3,INDEX('Inimigos'!$AR$11:$AR$54,$BC$54)&amp;"",IF($BI$54=2,INDEX('Inimigos'!$AM$11:$AM$54,$BC$54)&amp;"",$BD$54)))</f>
        <v/>
      </c>
      <c r="BK54" s="2">
        <f>IF(NOT(ISNUMBER($BC$54)),"",IF($BI$54=3,INDEX('Inimigos'!$AS$11:$AS$54,$BC$54)&amp;"",IF($BI$54=2,INDEX('Inimigos'!$AN$11:$AN$54,$BC$54)&amp;"",$BE$54)))</f>
        <v/>
      </c>
      <c r="BL54" s="2">
        <f>IF(NOT(ISNUMBER($BC$54)),"",IF($BI$54=3,INDEX('Inimigos'!$AT$11:$AT$54,$BC$54)&amp;"",IF($BI$54=2,INDEX('Inimigos'!$AO$11:$AO$54,$BC$54)&amp;"",$BF$54)))</f>
        <v/>
      </c>
      <c r="BM54" s="2">
        <f>IF(NOT(ISNUMBER($BC$54)),"",IF($BI$54=3,INDEX('Inimigos'!$AU$11:$AU$54,$BC$54)&amp;"",IF($BI$54=2,INDEX('Inimigos'!$AP$11:$AP$54,$BC$54)&amp;"",$BG$54)))</f>
        <v/>
      </c>
      <c r="BN54" s="2">
        <f>IF(ISNUMBER($BC$54),INDEX('Inimigos'!$AE$11:$AE$54,$BC$54)&amp;"","")</f>
        <v/>
      </c>
      <c r="BO54" s="2">
        <f>IF(NOT(ISNUMBER($BC$54)),"",MIN(INDEX('Inimigos'!$T$11:$T$54,$BC$54),IF($BI$54=3,INDEX('Inimigos'!$AV$11:$AV$54,$BC$54),IF($BI$54=2,INDEX('Inimigos'!$AQ$11:$AQ$54,$BC$54),INDEX('Inimigos'!$T$11:$T$54,$BC$54)))))</f>
        <v/>
      </c>
      <c r="BP54" s="2">
        <f>IF(NOT(ISNUMBER($BC$54)),"",MAX(0,$BO$54-IF(ISNUMBER($CB$83),MAX(0,INT($CB$83)),0)))</f>
        <v/>
      </c>
      <c r="BQ54" s="2">
        <f>IF(NOT(ISNUMBER($BC$54)),0,IF($BP$54=0,1,0))</f>
        <v/>
      </c>
      <c r="BR54" s="2">
        <f>IF(ISNUMBER($BC$54),INDEX('Inimigos'!$R$11:$R$54,$BC$54)-2*$BQ$54,"")</f>
        <v/>
      </c>
      <c r="BS54" s="2">
        <f>IF(ISNUMBER($BC$54),INDEX('Inimigos'!$S$11:$S$54,$BC$54),"")</f>
        <v/>
      </c>
      <c r="BT54" s="2">
        <f>IF(ISNUMBER($BC$54),INDEX('Inimigos'!$BE$11:$BE$54,$BC$54),"")</f>
        <v/>
      </c>
      <c r="BU54" s="2">
        <f>IF(ISNUMBER($BC$54),INDEX('Inimigos'!$AF$11:$AF$54,$BC$54)&amp;"","")</f>
        <v/>
      </c>
      <c r="BV54" s="2">
        <f>IF(AND(ISNUMBER($BC$54),$AR$26&gt;0,$BU$54="Pode"),1,0)</f>
        <v/>
      </c>
      <c r="BW54" s="2">
        <f>IF(ISNUMBER($BC$54),INDEX('Inimigos'!$O$11:$O$54,$BC$54)&amp;"","")</f>
        <v/>
      </c>
      <c r="BX54" s="2">
        <f>IF(ISNUMBER($BC$54),MAX(1,INDEX('Inimigos'!$AG$11:$AG$54,$BC$54)),1)</f>
        <v/>
      </c>
      <c r="BY54" s="2">
        <f>$N$26</f>
        <v/>
      </c>
      <c r="CB54" s="2">
        <f>IF(ISERROR($C$54),"",IF(ISBLANK($C$54),"",$C$54))</f>
        <v/>
      </c>
      <c r="CJ54" s="2">
        <f>ISERROR($C$54)*1</f>
        <v/>
      </c>
    </row>
    <row r="55"/>
    <row r="56" ht="20" customHeight="1">
      <c r="A56" s="13" t="inlineStr">
        <is>
          <t>C4 · Inimigos — PV e fase do Boss (28.5)</t>
        </is>
      </c>
    </row>
    <row r="57" ht="26" customHeight="1">
      <c r="A57" s="8" t="inlineStr">
        <is>
          <t>Inimigo</t>
        </is>
      </c>
      <c r="B57" s="8" t="inlineStr">
        <is>
          <t>Ajuste de VEL</t>
        </is>
      </c>
      <c r="C57" s="8" t="inlineStr">
        <is>
          <t>VEL efetiva</t>
        </is>
      </c>
      <c r="D57" s="8" t="inlineStr">
        <is>
          <t>PV máx.</t>
        </is>
      </c>
      <c r="E57" s="8" t="inlineStr">
        <is>
          <t>PV atual</t>
        </is>
      </c>
      <c r="F57" s="8" t="inlineStr">
        <is>
          <t>Dano agora (− = cura)</t>
        </is>
      </c>
      <c r="G57" s="8" t="inlineStr">
        <is>
          <t>PV depois</t>
        </is>
      </c>
      <c r="H57" s="8" t="inlineStr">
        <is>
          <t>Fase da barra</t>
        </is>
      </c>
      <c r="I57" s="8" t="inlineStr">
        <is>
          <t>Fase em vigor</t>
        </is>
      </c>
      <c r="J57" s="8" t="inlineStr">
        <is>
          <t>Defesa atual</t>
        </is>
      </c>
      <c r="K57" s="8" t="inlineStr">
        <is>
          <t>Aviso</t>
        </is>
      </c>
      <c r="L57" s="20" t="n"/>
    </row>
    <row r="58" ht="71" customHeight="1">
      <c r="A58" s="31">
        <f>IF(LEN($N$17)&gt;0,$N$17,"Inimigo 1")</f>
        <v/>
      </c>
      <c r="B58" s="16" t="n"/>
      <c r="C58" s="18">
        <f>IF(ISNUMBER($BC$45),$U$17,"")</f>
        <v/>
      </c>
      <c r="D58" s="18">
        <f>IF(ISNUMBER($BC$45),$AQ$17,"")</f>
        <v/>
      </c>
      <c r="E58" s="16" t="n"/>
      <c r="F58" s="16" t="n"/>
      <c r="G58" s="18">
        <f>IF(ISNUMBER($BC$45),MIN($AQ$17,MAX(0,$AR$17-IF(ISNUMBER($CE$58),INT($CE$58),0))),"")</f>
        <v/>
      </c>
      <c r="H58" s="18">
        <f>IF(ISNUMBER($BC$45),$BH$45,"")</f>
        <v/>
      </c>
      <c r="I58" s="16" t="n"/>
      <c r="J58" s="18">
        <f>IF(ISNUMBER($BC$45),$BR$45,"")</f>
        <v/>
      </c>
      <c r="K58" s="19">
        <f>IF(CJ58&gt;0,"O Google leu como fórmula: digite de novo com ' na frente.",IF(NOT(ISNUMBER($BC$45)),"",IF($AR$17=0,"Derrotado: remova a casa (19.7)",IF(AND(ISNUMBER($CH$58),OR($CH$58&lt;1,$CH$58&gt;$BX$45)),IF($BW$45="Boss","Fase em vigor fora de 1 a "&amp;$BX$45&amp;": usando o limite","Comum e Elite não têm fases (28.5)"),IF($BI$45&gt;$BH$45,"Fase adiantada: a barra ainda não cruzou o limiar",IF($BH$45&gt;$BI$45,"A barra cruzou o limiar da fase "&amp;$BH$45&amp;". No fim do turno do Boss: digite "&amp;$BH$45&amp;" em Fase em vigor, apague a Redução acumulada (a Tenacidade volta ao máximo, 28.5 regra 3) e anuncie as Fraquezas novas; a virada não gasta a ação dele",""))))))</f>
        <v/>
      </c>
      <c r="CA58" s="2">
        <f>IF(ISERROR($B$58),"",IF(ISBLANK($B$58),"",$B$58))</f>
        <v/>
      </c>
      <c r="CD58" s="2">
        <f>IF(ISERROR($E$58),"",IF(ISBLANK($E$58),"",$E$58))</f>
        <v/>
      </c>
      <c r="CE58" s="2">
        <f>IF(ISERROR($F$58),"",IF(ISBLANK($F$58),"",$F$58))</f>
        <v/>
      </c>
      <c r="CH58" s="2">
        <f>IF(ISERROR($I$58),"",IF(ISBLANK($I$58),"",$I$58))</f>
        <v/>
      </c>
      <c r="CJ58" s="2">
        <f>ISERROR($B$58)*1+ISERROR($E$58)*1+ISERROR($F$58)*1+ISERROR($I$58)*1</f>
        <v/>
      </c>
    </row>
    <row r="59" ht="71" customHeight="1">
      <c r="A59" s="43">
        <f>IF(LEN($N$18)&gt;0,$N$18,"Inimigo 2")</f>
        <v/>
      </c>
      <c r="B59" s="37" t="n"/>
      <c r="C59" s="23">
        <f>IF(ISNUMBER($BC$46),$U$18,"")</f>
        <v/>
      </c>
      <c r="D59" s="23">
        <f>IF(ISNUMBER($BC$46),$AQ$18,"")</f>
        <v/>
      </c>
      <c r="E59" s="37" t="n"/>
      <c r="F59" s="37" t="n"/>
      <c r="G59" s="23">
        <f>IF(ISNUMBER($BC$46),MIN($AQ$18,MAX(0,$AR$18-IF(ISNUMBER($CE$59),INT($CE$59),0))),"")</f>
        <v/>
      </c>
      <c r="H59" s="23">
        <f>IF(ISNUMBER($BC$46),$BH$46,"")</f>
        <v/>
      </c>
      <c r="I59" s="37" t="n"/>
      <c r="J59" s="23">
        <f>IF(ISNUMBER($BC$46),$BR$46,"")</f>
        <v/>
      </c>
      <c r="K59" s="27">
        <f>IF(CJ59&gt;0,"O Google leu como fórmula: digite de novo com ' na frente.",IF(NOT(ISNUMBER($BC$46)),"",IF($AR$18=0,"Derrotado: remova a casa (19.7)",IF(AND(ISNUMBER($CH$59),OR($CH$59&lt;1,$CH$59&gt;$BX$46)),IF($BW$46="Boss","Fase em vigor fora de 1 a "&amp;$BX$46&amp;": usando o limite","Comum e Elite não têm fases (28.5)"),IF($BI$46&gt;$BH$46,"Fase adiantada: a barra ainda não cruzou o limiar",IF($BH$46&gt;$BI$46,"A barra cruzou o limiar da fase "&amp;$BH$46&amp;". No fim do turno do Boss: digite "&amp;$BH$46&amp;" em Fase em vigor, apague a Redução acumulada (a Tenacidade volta ao máximo, 28.5 regra 3) e anuncie as Fraquezas novas; a virada não gasta a ação dele",""))))))</f>
        <v/>
      </c>
      <c r="CA59" s="2">
        <f>IF(ISERROR($B$59),"",IF(ISBLANK($B$59),"",$B$59))</f>
        <v/>
      </c>
      <c r="CD59" s="2">
        <f>IF(ISERROR($E$59),"",IF(ISBLANK($E$59),"",$E$59))</f>
        <v/>
      </c>
      <c r="CE59" s="2">
        <f>IF(ISERROR($F$59),"",IF(ISBLANK($F$59),"",$F$59))</f>
        <v/>
      </c>
      <c r="CH59" s="2">
        <f>IF(ISERROR($I$59),"",IF(ISBLANK($I$59),"",$I$59))</f>
        <v/>
      </c>
      <c r="CJ59" s="2">
        <f>ISERROR($B$59)*1+ISERROR($E$59)*1+ISERROR($F$59)*1+ISERROR($I$59)*1</f>
        <v/>
      </c>
    </row>
    <row r="60" ht="71" customHeight="1">
      <c r="A60" s="31">
        <f>IF(LEN($N$19)&gt;0,$N$19,"Inimigo 3")</f>
        <v/>
      </c>
      <c r="B60" s="16" t="n"/>
      <c r="C60" s="18">
        <f>IF(ISNUMBER($BC$47),$U$19,"")</f>
        <v/>
      </c>
      <c r="D60" s="18">
        <f>IF(ISNUMBER($BC$47),$AQ$19,"")</f>
        <v/>
      </c>
      <c r="E60" s="16" t="n"/>
      <c r="F60" s="16" t="n"/>
      <c r="G60" s="18">
        <f>IF(ISNUMBER($BC$47),MIN($AQ$19,MAX(0,$AR$19-IF(ISNUMBER($CE$60),INT($CE$60),0))),"")</f>
        <v/>
      </c>
      <c r="H60" s="18">
        <f>IF(ISNUMBER($BC$47),$BH$47,"")</f>
        <v/>
      </c>
      <c r="I60" s="16" t="n"/>
      <c r="J60" s="18">
        <f>IF(ISNUMBER($BC$47),$BR$47,"")</f>
        <v/>
      </c>
      <c r="K60" s="19">
        <f>IF(CJ60&gt;0,"O Google leu como fórmula: digite de novo com ' na frente.",IF(NOT(ISNUMBER($BC$47)),"",IF($AR$19=0,"Derrotado: remova a casa (19.7)",IF(AND(ISNUMBER($CH$60),OR($CH$60&lt;1,$CH$60&gt;$BX$47)),IF($BW$47="Boss","Fase em vigor fora de 1 a "&amp;$BX$47&amp;": usando o limite","Comum e Elite não têm fases (28.5)"),IF($BI$47&gt;$BH$47,"Fase adiantada: a barra ainda não cruzou o limiar",IF($BH$47&gt;$BI$47,"A barra cruzou o limiar da fase "&amp;$BH$47&amp;". No fim do turno do Boss: digite "&amp;$BH$47&amp;" em Fase em vigor, apague a Redução acumulada (a Tenacidade volta ao máximo, 28.5 regra 3) e anuncie as Fraquezas novas; a virada não gasta a ação dele",""))))))</f>
        <v/>
      </c>
      <c r="CA60" s="2">
        <f>IF(ISERROR($B$60),"",IF(ISBLANK($B$60),"",$B$60))</f>
        <v/>
      </c>
      <c r="CD60" s="2">
        <f>IF(ISERROR($E$60),"",IF(ISBLANK($E$60),"",$E$60))</f>
        <v/>
      </c>
      <c r="CE60" s="2">
        <f>IF(ISERROR($F$60),"",IF(ISBLANK($F$60),"",$F$60))</f>
        <v/>
      </c>
      <c r="CH60" s="2">
        <f>IF(ISERROR($I$60),"",IF(ISBLANK($I$60),"",$I$60))</f>
        <v/>
      </c>
      <c r="CJ60" s="2">
        <f>ISERROR($B$60)*1+ISERROR($E$60)*1+ISERROR($F$60)*1+ISERROR($I$60)*1</f>
        <v/>
      </c>
    </row>
    <row r="61" ht="71" customHeight="1">
      <c r="A61" s="43">
        <f>IF(LEN($N$20)&gt;0,$N$20,"Inimigo 4")</f>
        <v/>
      </c>
      <c r="B61" s="37" t="n"/>
      <c r="C61" s="23">
        <f>IF(ISNUMBER($BC$48),$U$20,"")</f>
        <v/>
      </c>
      <c r="D61" s="23">
        <f>IF(ISNUMBER($BC$48),$AQ$20,"")</f>
        <v/>
      </c>
      <c r="E61" s="37" t="n"/>
      <c r="F61" s="37" t="n"/>
      <c r="G61" s="23">
        <f>IF(ISNUMBER($BC$48),MIN($AQ$20,MAX(0,$AR$20-IF(ISNUMBER($CE$61),INT($CE$61),0))),"")</f>
        <v/>
      </c>
      <c r="H61" s="23">
        <f>IF(ISNUMBER($BC$48),$BH$48,"")</f>
        <v/>
      </c>
      <c r="I61" s="37" t="n"/>
      <c r="J61" s="23">
        <f>IF(ISNUMBER($BC$48),$BR$48,"")</f>
        <v/>
      </c>
      <c r="K61" s="27">
        <f>IF(CJ61&gt;0,"O Google leu como fórmula: digite de novo com ' na frente.",IF(NOT(ISNUMBER($BC$48)),"",IF($AR$20=0,"Derrotado: remova a casa (19.7)",IF(AND(ISNUMBER($CH$61),OR($CH$61&lt;1,$CH$61&gt;$BX$48)),IF($BW$48="Boss","Fase em vigor fora de 1 a "&amp;$BX$48&amp;": usando o limite","Comum e Elite não têm fases (28.5)"),IF($BI$48&gt;$BH$48,"Fase adiantada: a barra ainda não cruzou o limiar",IF($BH$48&gt;$BI$48,"A barra cruzou o limiar da fase "&amp;$BH$48&amp;". No fim do turno do Boss: digite "&amp;$BH$48&amp;" em Fase em vigor, apague a Redução acumulada (a Tenacidade volta ao máximo, 28.5 regra 3) e anuncie as Fraquezas novas; a virada não gasta a ação dele",""))))))</f>
        <v/>
      </c>
      <c r="CA61" s="2">
        <f>IF(ISERROR($B$61),"",IF(ISBLANK($B$61),"",$B$61))</f>
        <v/>
      </c>
      <c r="CD61" s="2">
        <f>IF(ISERROR($E$61),"",IF(ISBLANK($E$61),"",$E$61))</f>
        <v/>
      </c>
      <c r="CE61" s="2">
        <f>IF(ISERROR($F$61),"",IF(ISBLANK($F$61),"",$F$61))</f>
        <v/>
      </c>
      <c r="CH61" s="2">
        <f>IF(ISERROR($I$61),"",IF(ISBLANK($I$61),"",$I$61))</f>
        <v/>
      </c>
      <c r="CJ61" s="2">
        <f>ISERROR($B$61)*1+ISERROR($E$61)*1+ISERROR($F$61)*1+ISERROR($I$61)*1</f>
        <v/>
      </c>
    </row>
    <row r="62" ht="71" customHeight="1">
      <c r="A62" s="31">
        <f>IF(LEN($N$21)&gt;0,$N$21,"Inimigo 5")</f>
        <v/>
      </c>
      <c r="B62" s="16" t="n"/>
      <c r="C62" s="18">
        <f>IF(ISNUMBER($BC$49),$U$21,"")</f>
        <v/>
      </c>
      <c r="D62" s="18">
        <f>IF(ISNUMBER($BC$49),$AQ$21,"")</f>
        <v/>
      </c>
      <c r="E62" s="16" t="n"/>
      <c r="F62" s="16" t="n"/>
      <c r="G62" s="18">
        <f>IF(ISNUMBER($BC$49),MIN($AQ$21,MAX(0,$AR$21-IF(ISNUMBER($CE$62),INT($CE$62),0))),"")</f>
        <v/>
      </c>
      <c r="H62" s="18">
        <f>IF(ISNUMBER($BC$49),$BH$49,"")</f>
        <v/>
      </c>
      <c r="I62" s="16" t="n"/>
      <c r="J62" s="18">
        <f>IF(ISNUMBER($BC$49),$BR$49,"")</f>
        <v/>
      </c>
      <c r="K62" s="19">
        <f>IF(CJ62&gt;0,"O Google leu como fórmula: digite de novo com ' na frente.",IF(NOT(ISNUMBER($BC$49)),"",IF($AR$21=0,"Derrotado: remova a casa (19.7)",IF(AND(ISNUMBER($CH$62),OR($CH$62&lt;1,$CH$62&gt;$BX$49)),IF($BW$49="Boss","Fase em vigor fora de 1 a "&amp;$BX$49&amp;": usando o limite","Comum e Elite não têm fases (28.5)"),IF($BI$49&gt;$BH$49,"Fase adiantada: a barra ainda não cruzou o limiar",IF($BH$49&gt;$BI$49,"A barra cruzou o limiar da fase "&amp;$BH$49&amp;". No fim do turno do Boss: digite "&amp;$BH$49&amp;" em Fase em vigor, apague a Redução acumulada (a Tenacidade volta ao máximo, 28.5 regra 3) e anuncie as Fraquezas novas; a virada não gasta a ação dele",""))))))</f>
        <v/>
      </c>
      <c r="CA62" s="2">
        <f>IF(ISERROR($B$62),"",IF(ISBLANK($B$62),"",$B$62))</f>
        <v/>
      </c>
      <c r="CD62" s="2">
        <f>IF(ISERROR($E$62),"",IF(ISBLANK($E$62),"",$E$62))</f>
        <v/>
      </c>
      <c r="CE62" s="2">
        <f>IF(ISERROR($F$62),"",IF(ISBLANK($F$62),"",$F$62))</f>
        <v/>
      </c>
      <c r="CH62" s="2">
        <f>IF(ISERROR($I$62),"",IF(ISBLANK($I$62),"",$I$62))</f>
        <v/>
      </c>
      <c r="CJ62" s="2">
        <f>ISERROR($B$62)*1+ISERROR($E$62)*1+ISERROR($F$62)*1+ISERROR($I$62)*1</f>
        <v/>
      </c>
    </row>
    <row r="63" ht="71" customHeight="1">
      <c r="A63" s="43">
        <f>IF(LEN($N$22)&gt;0,$N$22,"Inimigo 6")</f>
        <v/>
      </c>
      <c r="B63" s="37" t="n"/>
      <c r="C63" s="23">
        <f>IF(ISNUMBER($BC$50),$U$22,"")</f>
        <v/>
      </c>
      <c r="D63" s="23">
        <f>IF(ISNUMBER($BC$50),$AQ$22,"")</f>
        <v/>
      </c>
      <c r="E63" s="37" t="n"/>
      <c r="F63" s="37" t="n"/>
      <c r="G63" s="23">
        <f>IF(ISNUMBER($BC$50),MIN($AQ$22,MAX(0,$AR$22-IF(ISNUMBER($CE$63),INT($CE$63),0))),"")</f>
        <v/>
      </c>
      <c r="H63" s="23">
        <f>IF(ISNUMBER($BC$50),$BH$50,"")</f>
        <v/>
      </c>
      <c r="I63" s="37" t="n"/>
      <c r="J63" s="23">
        <f>IF(ISNUMBER($BC$50),$BR$50,"")</f>
        <v/>
      </c>
      <c r="K63" s="27">
        <f>IF(CJ63&gt;0,"O Google leu como fórmula: digite de novo com ' na frente.",IF(NOT(ISNUMBER($BC$50)),"",IF($AR$22=0,"Derrotado: remova a casa (19.7)",IF(AND(ISNUMBER($CH$63),OR($CH$63&lt;1,$CH$63&gt;$BX$50)),IF($BW$50="Boss","Fase em vigor fora de 1 a "&amp;$BX$50&amp;": usando o limite","Comum e Elite não têm fases (28.5)"),IF($BI$50&gt;$BH$50,"Fase adiantada: a barra ainda não cruzou o limiar",IF($BH$50&gt;$BI$50,"A barra cruzou o limiar da fase "&amp;$BH$50&amp;". No fim do turno do Boss: digite "&amp;$BH$50&amp;" em Fase em vigor, apague a Redução acumulada (a Tenacidade volta ao máximo, 28.5 regra 3) e anuncie as Fraquezas novas; a virada não gasta a ação dele",""))))))</f>
        <v/>
      </c>
      <c r="CA63" s="2">
        <f>IF(ISERROR($B$63),"",IF(ISBLANK($B$63),"",$B$63))</f>
        <v/>
      </c>
      <c r="CD63" s="2">
        <f>IF(ISERROR($E$63),"",IF(ISBLANK($E$63),"",$E$63))</f>
        <v/>
      </c>
      <c r="CE63" s="2">
        <f>IF(ISERROR($F$63),"",IF(ISBLANK($F$63),"",$F$63))</f>
        <v/>
      </c>
      <c r="CH63" s="2">
        <f>IF(ISERROR($I$63),"",IF(ISBLANK($I$63),"",$I$63))</f>
        <v/>
      </c>
      <c r="CJ63" s="2">
        <f>ISERROR($B$63)*1+ISERROR($E$63)*1+ISERROR($F$63)*1+ISERROR($I$63)*1</f>
        <v/>
      </c>
    </row>
    <row r="64" ht="71" customHeight="1">
      <c r="A64" s="31">
        <f>IF(LEN($N$23)&gt;0,$N$23,"Inimigo 7")</f>
        <v/>
      </c>
      <c r="B64" s="16" t="n"/>
      <c r="C64" s="18">
        <f>IF(ISNUMBER($BC$51),$U$23,"")</f>
        <v/>
      </c>
      <c r="D64" s="18">
        <f>IF(ISNUMBER($BC$51),$AQ$23,"")</f>
        <v/>
      </c>
      <c r="E64" s="16" t="n"/>
      <c r="F64" s="16" t="n"/>
      <c r="G64" s="18">
        <f>IF(ISNUMBER($BC$51),MIN($AQ$23,MAX(0,$AR$23-IF(ISNUMBER($CE$64),INT($CE$64),0))),"")</f>
        <v/>
      </c>
      <c r="H64" s="18">
        <f>IF(ISNUMBER($BC$51),$BH$51,"")</f>
        <v/>
      </c>
      <c r="I64" s="16" t="n"/>
      <c r="J64" s="18">
        <f>IF(ISNUMBER($BC$51),$BR$51,"")</f>
        <v/>
      </c>
      <c r="K64" s="19">
        <f>IF(CJ64&gt;0,"O Google leu como fórmula: digite de novo com ' na frente.",IF(NOT(ISNUMBER($BC$51)),"",IF($AR$23=0,"Derrotado: remova a casa (19.7)",IF(AND(ISNUMBER($CH$64),OR($CH$64&lt;1,$CH$64&gt;$BX$51)),IF($BW$51="Boss","Fase em vigor fora de 1 a "&amp;$BX$51&amp;": usando o limite","Comum e Elite não têm fases (28.5)"),IF($BI$51&gt;$BH$51,"Fase adiantada: a barra ainda não cruzou o limiar",IF($BH$51&gt;$BI$51,"A barra cruzou o limiar da fase "&amp;$BH$51&amp;". No fim do turno do Boss: digite "&amp;$BH$51&amp;" em Fase em vigor, apague a Redução acumulada (a Tenacidade volta ao máximo, 28.5 regra 3) e anuncie as Fraquezas novas; a virada não gasta a ação dele",""))))))</f>
        <v/>
      </c>
      <c r="CA64" s="2">
        <f>IF(ISERROR($B$64),"",IF(ISBLANK($B$64),"",$B$64))</f>
        <v/>
      </c>
      <c r="CD64" s="2">
        <f>IF(ISERROR($E$64),"",IF(ISBLANK($E$64),"",$E$64))</f>
        <v/>
      </c>
      <c r="CE64" s="2">
        <f>IF(ISERROR($F$64),"",IF(ISBLANK($F$64),"",$F$64))</f>
        <v/>
      </c>
      <c r="CH64" s="2">
        <f>IF(ISERROR($I$64),"",IF(ISBLANK($I$64),"",$I$64))</f>
        <v/>
      </c>
      <c r="CJ64" s="2">
        <f>ISERROR($B$64)*1+ISERROR($E$64)*1+ISERROR($F$64)*1+ISERROR($I$64)*1</f>
        <v/>
      </c>
    </row>
    <row r="65" ht="71" customHeight="1">
      <c r="A65" s="43">
        <f>IF(LEN($N$24)&gt;0,$N$24,"Inimigo 8")</f>
        <v/>
      </c>
      <c r="B65" s="37" t="n"/>
      <c r="C65" s="23">
        <f>IF(ISNUMBER($BC$52),$U$24,"")</f>
        <v/>
      </c>
      <c r="D65" s="23">
        <f>IF(ISNUMBER($BC$52),$AQ$24,"")</f>
        <v/>
      </c>
      <c r="E65" s="37" t="n"/>
      <c r="F65" s="37" t="n"/>
      <c r="G65" s="23">
        <f>IF(ISNUMBER($BC$52),MIN($AQ$24,MAX(0,$AR$24-IF(ISNUMBER($CE$65),INT($CE$65),0))),"")</f>
        <v/>
      </c>
      <c r="H65" s="23">
        <f>IF(ISNUMBER($BC$52),$BH$52,"")</f>
        <v/>
      </c>
      <c r="I65" s="37" t="n"/>
      <c r="J65" s="23">
        <f>IF(ISNUMBER($BC$52),$BR$52,"")</f>
        <v/>
      </c>
      <c r="K65" s="27">
        <f>IF(CJ65&gt;0,"O Google leu como fórmula: digite de novo com ' na frente.",IF(NOT(ISNUMBER($BC$52)),"",IF($AR$24=0,"Derrotado: remova a casa (19.7)",IF(AND(ISNUMBER($CH$65),OR($CH$65&lt;1,$CH$65&gt;$BX$52)),IF($BW$52="Boss","Fase em vigor fora de 1 a "&amp;$BX$52&amp;": usando o limite","Comum e Elite não têm fases (28.5)"),IF($BI$52&gt;$BH$52,"Fase adiantada: a barra ainda não cruzou o limiar",IF($BH$52&gt;$BI$52,"A barra cruzou o limiar da fase "&amp;$BH$52&amp;". No fim do turno do Boss: digite "&amp;$BH$52&amp;" em Fase em vigor, apague a Redução acumulada (a Tenacidade volta ao máximo, 28.5 regra 3) e anuncie as Fraquezas novas; a virada não gasta a ação dele",""))))))</f>
        <v/>
      </c>
      <c r="CA65" s="2">
        <f>IF(ISERROR($B$65),"",IF(ISBLANK($B$65),"",$B$65))</f>
        <v/>
      </c>
      <c r="CD65" s="2">
        <f>IF(ISERROR($E$65),"",IF(ISBLANK($E$65),"",$E$65))</f>
        <v/>
      </c>
      <c r="CE65" s="2">
        <f>IF(ISERROR($F$65),"",IF(ISBLANK($F$65),"",$F$65))</f>
        <v/>
      </c>
      <c r="CH65" s="2">
        <f>IF(ISERROR($I$65),"",IF(ISBLANK($I$65),"",$I$65))</f>
        <v/>
      </c>
      <c r="CJ65" s="2">
        <f>ISERROR($B$65)*1+ISERROR($E$65)*1+ISERROR($F$65)*1+ISERROR($I$65)*1</f>
        <v/>
      </c>
    </row>
    <row r="66" ht="71" customHeight="1">
      <c r="A66" s="31">
        <f>IF(LEN($N$25)&gt;0,$N$25,"Inimigo 9")</f>
        <v/>
      </c>
      <c r="B66" s="16" t="n"/>
      <c r="C66" s="18">
        <f>IF(ISNUMBER($BC$53),$U$25,"")</f>
        <v/>
      </c>
      <c r="D66" s="18">
        <f>IF(ISNUMBER($BC$53),$AQ$25,"")</f>
        <v/>
      </c>
      <c r="E66" s="16" t="n"/>
      <c r="F66" s="16" t="n"/>
      <c r="G66" s="18">
        <f>IF(ISNUMBER($BC$53),MIN($AQ$25,MAX(0,$AR$25-IF(ISNUMBER($CE$66),INT($CE$66),0))),"")</f>
        <v/>
      </c>
      <c r="H66" s="18">
        <f>IF(ISNUMBER($BC$53),$BH$53,"")</f>
        <v/>
      </c>
      <c r="I66" s="16" t="n"/>
      <c r="J66" s="18">
        <f>IF(ISNUMBER($BC$53),$BR$53,"")</f>
        <v/>
      </c>
      <c r="K66" s="19">
        <f>IF(CJ66&gt;0,"O Google leu como fórmula: digite de novo com ' na frente.",IF(NOT(ISNUMBER($BC$53)),"",IF($AR$25=0,"Derrotado: remova a casa (19.7)",IF(AND(ISNUMBER($CH$66),OR($CH$66&lt;1,$CH$66&gt;$BX$53)),IF($BW$53="Boss","Fase em vigor fora de 1 a "&amp;$BX$53&amp;": usando o limite","Comum e Elite não têm fases (28.5)"),IF($BI$53&gt;$BH$53,"Fase adiantada: a barra ainda não cruzou o limiar",IF($BH$53&gt;$BI$53,"A barra cruzou o limiar da fase "&amp;$BH$53&amp;". No fim do turno do Boss: digite "&amp;$BH$53&amp;" em Fase em vigor, apague a Redução acumulada (a Tenacidade volta ao máximo, 28.5 regra 3) e anuncie as Fraquezas novas; a virada não gasta a ação dele",""))))))</f>
        <v/>
      </c>
      <c r="CA66" s="2">
        <f>IF(ISERROR($B$66),"",IF(ISBLANK($B$66),"",$B$66))</f>
        <v/>
      </c>
      <c r="CD66" s="2">
        <f>IF(ISERROR($E$66),"",IF(ISBLANK($E$66),"",$E$66))</f>
        <v/>
      </c>
      <c r="CE66" s="2">
        <f>IF(ISERROR($F$66),"",IF(ISBLANK($F$66),"",$F$66))</f>
        <v/>
      </c>
      <c r="CH66" s="2">
        <f>IF(ISERROR($I$66),"",IF(ISBLANK($I$66),"",$I$66))</f>
        <v/>
      </c>
      <c r="CJ66" s="2">
        <f>ISERROR($B$66)*1+ISERROR($E$66)*1+ISERROR($F$66)*1+ISERROR($I$66)*1</f>
        <v/>
      </c>
    </row>
    <row r="67" ht="71" customHeight="1">
      <c r="A67" s="43">
        <f>IF(LEN($N$26)&gt;0,$N$26,"Inimigo 10")</f>
        <v/>
      </c>
      <c r="B67" s="37" t="n"/>
      <c r="C67" s="23">
        <f>IF(ISNUMBER($BC$54),$U$26,"")</f>
        <v/>
      </c>
      <c r="D67" s="23">
        <f>IF(ISNUMBER($BC$54),$AQ$26,"")</f>
        <v/>
      </c>
      <c r="E67" s="37" t="n"/>
      <c r="F67" s="37" t="n"/>
      <c r="G67" s="23">
        <f>IF(ISNUMBER($BC$54),MIN($AQ$26,MAX(0,$AR$26-IF(ISNUMBER($CE$67),INT($CE$67),0))),"")</f>
        <v/>
      </c>
      <c r="H67" s="23">
        <f>IF(ISNUMBER($BC$54),$BH$54,"")</f>
        <v/>
      </c>
      <c r="I67" s="37" t="n"/>
      <c r="J67" s="23">
        <f>IF(ISNUMBER($BC$54),$BR$54,"")</f>
        <v/>
      </c>
      <c r="K67" s="27">
        <f>IF(CJ67&gt;0,"O Google leu como fórmula: digite de novo com ' na frente.",IF(NOT(ISNUMBER($BC$54)),"",IF($AR$26=0,"Derrotado: remova a casa (19.7)",IF(AND(ISNUMBER($CH$67),OR($CH$67&lt;1,$CH$67&gt;$BX$54)),IF($BW$54="Boss","Fase em vigor fora de 1 a "&amp;$BX$54&amp;": usando o limite","Comum e Elite não têm fases (28.5)"),IF($BI$54&gt;$BH$54,"Fase adiantada: a barra ainda não cruzou o limiar",IF($BH$54&gt;$BI$54,"A barra cruzou o limiar da fase "&amp;$BH$54&amp;". No fim do turno do Boss: digite "&amp;$BH$54&amp;" em Fase em vigor, apague a Redução acumulada (a Tenacidade volta ao máximo, 28.5 regra 3) e anuncie as Fraquezas novas; a virada não gasta a ação dele",""))))))</f>
        <v/>
      </c>
      <c r="CA67" s="2">
        <f>IF(ISERROR($B$67),"",IF(ISBLANK($B$67),"",$B$67))</f>
        <v/>
      </c>
      <c r="CD67" s="2">
        <f>IF(ISERROR($E$67),"",IF(ISBLANK($E$67),"",$E$67))</f>
        <v/>
      </c>
      <c r="CE67" s="2">
        <f>IF(ISERROR($F$67),"",IF(ISBLANK($F$67),"",$F$67))</f>
        <v/>
      </c>
      <c r="CH67" s="2">
        <f>IF(ISERROR($I$67),"",IF(ISBLANK($I$67),"",$I$67))</f>
        <v/>
      </c>
      <c r="CJ67" s="2">
        <f>ISERROR($B$67)*1+ISERROR($E$67)*1+ISERROR($F$67)*1+ISERROR($I$67)*1</f>
        <v/>
      </c>
    </row>
    <row r="68">
      <c r="A68" s="44" t="inlineStr">
        <is>
          <t>Virar a fase do Boss (no fim do turno dele, quando o aviso 'a barra cruzou o limiar' acender): (1) digite a fase nova em 'Fase em vigor';</t>
        </is>
      </c>
    </row>
    <row r="69">
      <c r="A69" s="32" t="inlineStr">
        <is>
          <t>(2) apague a 'Redução acumulada' dele em C5: a Tenacidade volta ao máximo da fase nova;</t>
        </is>
      </c>
    </row>
    <row r="70">
      <c r="A70" s="44" t="inlineStr">
        <is>
          <t>(3) leia em voz alta as Fraquezas novas (C5). A virada não gasta a ação dele (28.5 regra 5).</t>
        </is>
      </c>
    </row>
    <row r="71"/>
    <row r="72" ht="20" customHeight="1">
      <c r="A72" s="13" t="inlineStr">
        <is>
          <t>C5 · Inimigos — Tenacidade e Fraquezas em vigor (20.2–20.4)</t>
        </is>
      </c>
    </row>
    <row r="73" ht="37" customHeight="1">
      <c r="A73" s="8" t="inlineStr">
        <is>
          <t>Inimigo</t>
        </is>
      </c>
      <c r="B73" s="8" t="inlineStr">
        <is>
          <t>Tenacidade máx. (fase em vigor)</t>
        </is>
      </c>
      <c r="C73" s="8" t="inlineStr">
        <is>
          <t>Redução acumulada</t>
        </is>
      </c>
      <c r="D73" s="8" t="inlineStr">
        <is>
          <t>Tenacidade atual</t>
        </is>
      </c>
      <c r="E73" s="8" t="inlineStr">
        <is>
          <t>Fraquezas em vigor</t>
        </is>
      </c>
      <c r="F73" s="20" t="n"/>
      <c r="G73" s="20" t="n"/>
      <c r="H73" s="8" t="inlineStr">
        <is>
          <t>Resistência</t>
        </is>
      </c>
      <c r="I73" s="8" t="inlineStr">
        <is>
          <t>RD</t>
        </is>
      </c>
      <c r="J73" s="8" t="inlineStr">
        <is>
          <t>Quebrado?</t>
        </is>
      </c>
      <c r="K73" s="8" t="inlineStr">
        <is>
          <t>Aviso</t>
        </is>
      </c>
      <c r="L73" s="20" t="n"/>
    </row>
    <row r="74" ht="48" customHeight="1">
      <c r="A74" s="31">
        <f>IF(LEN($N$17)&gt;0,$N$17,"Inimigo 1")</f>
        <v/>
      </c>
      <c r="B74" s="18">
        <f>IF(ISNUMBER($BC$45),$BO$45,"")</f>
        <v/>
      </c>
      <c r="C74" s="16" t="n"/>
      <c r="D74" s="18">
        <f>IF(ISNUMBER($BC$45),$BP$45,"")</f>
        <v/>
      </c>
      <c r="E74" s="5">
        <f>IF(ISNUMBER($BC$45),$BJ$45&amp;IF(LEN($BK$45)&gt;0,", "&amp;$BK$45,"")&amp;IF(LEN($BL$45)&gt;0,", "&amp;$BL$45,"")&amp;IF(LEN($BM$45)&gt;0,", "&amp;$BM$45,""),"")</f>
        <v/>
      </c>
      <c r="H74" s="18">
        <f>IF(ISNUMBER($BC$45),IF(LEN($BN$45)&gt;0,$BN$45,"—"),"")</f>
        <v/>
      </c>
      <c r="I74" s="18">
        <f>IF(ISNUMBER($BC$45),$BS$45,"")</f>
        <v/>
      </c>
      <c r="J74" s="18">
        <f>IF(ISNUMBER($BC$45),IF($BQ$45=1,"Sim","Não"),"")</f>
        <v/>
      </c>
      <c r="K74" s="19">
        <f>IF(CJ74&gt;0,"O Google leu como fórmula: digite de novo com ' na frente.",IF(NOT(ISNUMBER($BC$45)),"",IF(AND(ISNUMBER($CB$74),$CB$74&lt;0),"Redução negativa: usando 0",IF($BQ$45=1,"Quebra! Dano de Quebra em C5b; Atrasa 1 casa; Quebrado até o fim do próximo turno dele; +10 de Energia para quem quebrou (20.4)",""))))</f>
        <v/>
      </c>
      <c r="CB74" s="2">
        <f>IF(ISERROR($C$74),"",IF(ISBLANK($C$74),"",$C$74))</f>
        <v/>
      </c>
      <c r="CJ74" s="2">
        <f>ISERROR($C$74)*1</f>
        <v/>
      </c>
    </row>
    <row r="75" ht="48" customHeight="1">
      <c r="A75" s="43">
        <f>IF(LEN($N$18)&gt;0,$N$18,"Inimigo 2")</f>
        <v/>
      </c>
      <c r="B75" s="23">
        <f>IF(ISNUMBER($BC$46),$BO$46,"")</f>
        <v/>
      </c>
      <c r="C75" s="37" t="n"/>
      <c r="D75" s="23">
        <f>IF(ISNUMBER($BC$46),$BP$46,"")</f>
        <v/>
      </c>
      <c r="E75" s="10">
        <f>IF(ISNUMBER($BC$46),$BJ$46&amp;IF(LEN($BK$46)&gt;0,", "&amp;$BK$46,"")&amp;IF(LEN($BL$46)&gt;0,", "&amp;$BL$46,"")&amp;IF(LEN($BM$46)&gt;0,", "&amp;$BM$46,""),"")</f>
        <v/>
      </c>
      <c r="H75" s="23">
        <f>IF(ISNUMBER($BC$46),IF(LEN($BN$46)&gt;0,$BN$46,"—"),"")</f>
        <v/>
      </c>
      <c r="I75" s="23">
        <f>IF(ISNUMBER($BC$46),$BS$46,"")</f>
        <v/>
      </c>
      <c r="J75" s="23">
        <f>IF(ISNUMBER($BC$46),IF($BQ$46=1,"Sim","Não"),"")</f>
        <v/>
      </c>
      <c r="K75" s="27">
        <f>IF(CJ75&gt;0,"O Google leu como fórmula: digite de novo com ' na frente.",IF(NOT(ISNUMBER($BC$46)),"",IF(AND(ISNUMBER($CB$75),$CB$75&lt;0),"Redução negativa: usando 0",IF($BQ$46=1,"Quebra! Dano de Quebra em C5b; Atrasa 1 casa; Quebrado até o fim do próximo turno dele; +10 de Energia para quem quebrou (20.4)",""))))</f>
        <v/>
      </c>
      <c r="CB75" s="2">
        <f>IF(ISERROR($C$75),"",IF(ISBLANK($C$75),"",$C$75))</f>
        <v/>
      </c>
      <c r="CJ75" s="2">
        <f>ISERROR($C$75)*1</f>
        <v/>
      </c>
    </row>
    <row r="76" ht="48" customHeight="1">
      <c r="A76" s="31">
        <f>IF(LEN($N$19)&gt;0,$N$19,"Inimigo 3")</f>
        <v/>
      </c>
      <c r="B76" s="18">
        <f>IF(ISNUMBER($BC$47),$BO$47,"")</f>
        <v/>
      </c>
      <c r="C76" s="16" t="n"/>
      <c r="D76" s="18">
        <f>IF(ISNUMBER($BC$47),$BP$47,"")</f>
        <v/>
      </c>
      <c r="E76" s="5">
        <f>IF(ISNUMBER($BC$47),$BJ$47&amp;IF(LEN($BK$47)&gt;0,", "&amp;$BK$47,"")&amp;IF(LEN($BL$47)&gt;0,", "&amp;$BL$47,"")&amp;IF(LEN($BM$47)&gt;0,", "&amp;$BM$47,""),"")</f>
        <v/>
      </c>
      <c r="H76" s="18">
        <f>IF(ISNUMBER($BC$47),IF(LEN($BN$47)&gt;0,$BN$47,"—"),"")</f>
        <v/>
      </c>
      <c r="I76" s="18">
        <f>IF(ISNUMBER($BC$47),$BS$47,"")</f>
        <v/>
      </c>
      <c r="J76" s="18">
        <f>IF(ISNUMBER($BC$47),IF($BQ$47=1,"Sim","Não"),"")</f>
        <v/>
      </c>
      <c r="K76" s="19">
        <f>IF(CJ76&gt;0,"O Google leu como fórmula: digite de novo com ' na frente.",IF(NOT(ISNUMBER($BC$47)),"",IF(AND(ISNUMBER($CB$76),$CB$76&lt;0),"Redução negativa: usando 0",IF($BQ$47=1,"Quebra! Dano de Quebra em C5b; Atrasa 1 casa; Quebrado até o fim do próximo turno dele; +10 de Energia para quem quebrou (20.4)",""))))</f>
        <v/>
      </c>
      <c r="CB76" s="2">
        <f>IF(ISERROR($C$76),"",IF(ISBLANK($C$76),"",$C$76))</f>
        <v/>
      </c>
      <c r="CJ76" s="2">
        <f>ISERROR($C$76)*1</f>
        <v/>
      </c>
    </row>
    <row r="77" ht="48" customHeight="1">
      <c r="A77" s="43">
        <f>IF(LEN($N$20)&gt;0,$N$20,"Inimigo 4")</f>
        <v/>
      </c>
      <c r="B77" s="23">
        <f>IF(ISNUMBER($BC$48),$BO$48,"")</f>
        <v/>
      </c>
      <c r="C77" s="37" t="n"/>
      <c r="D77" s="23">
        <f>IF(ISNUMBER($BC$48),$BP$48,"")</f>
        <v/>
      </c>
      <c r="E77" s="10">
        <f>IF(ISNUMBER($BC$48),$BJ$48&amp;IF(LEN($BK$48)&gt;0,", "&amp;$BK$48,"")&amp;IF(LEN($BL$48)&gt;0,", "&amp;$BL$48,"")&amp;IF(LEN($BM$48)&gt;0,", "&amp;$BM$48,""),"")</f>
        <v/>
      </c>
      <c r="H77" s="23">
        <f>IF(ISNUMBER($BC$48),IF(LEN($BN$48)&gt;0,$BN$48,"—"),"")</f>
        <v/>
      </c>
      <c r="I77" s="23">
        <f>IF(ISNUMBER($BC$48),$BS$48,"")</f>
        <v/>
      </c>
      <c r="J77" s="23">
        <f>IF(ISNUMBER($BC$48),IF($BQ$48=1,"Sim","Não"),"")</f>
        <v/>
      </c>
      <c r="K77" s="27">
        <f>IF(CJ77&gt;0,"O Google leu como fórmula: digite de novo com ' na frente.",IF(NOT(ISNUMBER($BC$48)),"",IF(AND(ISNUMBER($CB$77),$CB$77&lt;0),"Redução negativa: usando 0",IF($BQ$48=1,"Quebra! Dano de Quebra em C5b; Atrasa 1 casa; Quebrado até o fim do próximo turno dele; +10 de Energia para quem quebrou (20.4)",""))))</f>
        <v/>
      </c>
      <c r="CB77" s="2">
        <f>IF(ISERROR($C$77),"",IF(ISBLANK($C$77),"",$C$77))</f>
        <v/>
      </c>
      <c r="CJ77" s="2">
        <f>ISERROR($C$77)*1</f>
        <v/>
      </c>
    </row>
    <row r="78" ht="48" customHeight="1">
      <c r="A78" s="31">
        <f>IF(LEN($N$21)&gt;0,$N$21,"Inimigo 5")</f>
        <v/>
      </c>
      <c r="B78" s="18">
        <f>IF(ISNUMBER($BC$49),$BO$49,"")</f>
        <v/>
      </c>
      <c r="C78" s="16" t="n"/>
      <c r="D78" s="18">
        <f>IF(ISNUMBER($BC$49),$BP$49,"")</f>
        <v/>
      </c>
      <c r="E78" s="5">
        <f>IF(ISNUMBER($BC$49),$BJ$49&amp;IF(LEN($BK$49)&gt;0,", "&amp;$BK$49,"")&amp;IF(LEN($BL$49)&gt;0,", "&amp;$BL$49,"")&amp;IF(LEN($BM$49)&gt;0,", "&amp;$BM$49,""),"")</f>
        <v/>
      </c>
      <c r="H78" s="18">
        <f>IF(ISNUMBER($BC$49),IF(LEN($BN$49)&gt;0,$BN$49,"—"),"")</f>
        <v/>
      </c>
      <c r="I78" s="18">
        <f>IF(ISNUMBER($BC$49),$BS$49,"")</f>
        <v/>
      </c>
      <c r="J78" s="18">
        <f>IF(ISNUMBER($BC$49),IF($BQ$49=1,"Sim","Não"),"")</f>
        <v/>
      </c>
      <c r="K78" s="19">
        <f>IF(CJ78&gt;0,"O Google leu como fórmula: digite de novo com ' na frente.",IF(NOT(ISNUMBER($BC$49)),"",IF(AND(ISNUMBER($CB$78),$CB$78&lt;0),"Redução negativa: usando 0",IF($BQ$49=1,"Quebra! Dano de Quebra em C5b; Atrasa 1 casa; Quebrado até o fim do próximo turno dele; +10 de Energia para quem quebrou (20.4)",""))))</f>
        <v/>
      </c>
      <c r="CB78" s="2">
        <f>IF(ISERROR($C$78),"",IF(ISBLANK($C$78),"",$C$78))</f>
        <v/>
      </c>
      <c r="CJ78" s="2">
        <f>ISERROR($C$78)*1</f>
        <v/>
      </c>
    </row>
    <row r="79" ht="48" customHeight="1">
      <c r="A79" s="43">
        <f>IF(LEN($N$22)&gt;0,$N$22,"Inimigo 6")</f>
        <v/>
      </c>
      <c r="B79" s="23">
        <f>IF(ISNUMBER($BC$50),$BO$50,"")</f>
        <v/>
      </c>
      <c r="C79" s="37" t="n"/>
      <c r="D79" s="23">
        <f>IF(ISNUMBER($BC$50),$BP$50,"")</f>
        <v/>
      </c>
      <c r="E79" s="10">
        <f>IF(ISNUMBER($BC$50),$BJ$50&amp;IF(LEN($BK$50)&gt;0,", "&amp;$BK$50,"")&amp;IF(LEN($BL$50)&gt;0,", "&amp;$BL$50,"")&amp;IF(LEN($BM$50)&gt;0,", "&amp;$BM$50,""),"")</f>
        <v/>
      </c>
      <c r="H79" s="23">
        <f>IF(ISNUMBER($BC$50),IF(LEN($BN$50)&gt;0,$BN$50,"—"),"")</f>
        <v/>
      </c>
      <c r="I79" s="23">
        <f>IF(ISNUMBER($BC$50),$BS$50,"")</f>
        <v/>
      </c>
      <c r="J79" s="23">
        <f>IF(ISNUMBER($BC$50),IF($BQ$50=1,"Sim","Não"),"")</f>
        <v/>
      </c>
      <c r="K79" s="27">
        <f>IF(CJ79&gt;0,"O Google leu como fórmula: digite de novo com ' na frente.",IF(NOT(ISNUMBER($BC$50)),"",IF(AND(ISNUMBER($CB$79),$CB$79&lt;0),"Redução negativa: usando 0",IF($BQ$50=1,"Quebra! Dano de Quebra em C5b; Atrasa 1 casa; Quebrado até o fim do próximo turno dele; +10 de Energia para quem quebrou (20.4)",""))))</f>
        <v/>
      </c>
      <c r="CB79" s="2">
        <f>IF(ISERROR($C$79),"",IF(ISBLANK($C$79),"",$C$79))</f>
        <v/>
      </c>
      <c r="CJ79" s="2">
        <f>ISERROR($C$79)*1</f>
        <v/>
      </c>
    </row>
    <row r="80" ht="48" customHeight="1">
      <c r="A80" s="31">
        <f>IF(LEN($N$23)&gt;0,$N$23,"Inimigo 7")</f>
        <v/>
      </c>
      <c r="B80" s="18">
        <f>IF(ISNUMBER($BC$51),$BO$51,"")</f>
        <v/>
      </c>
      <c r="C80" s="16" t="n"/>
      <c r="D80" s="18">
        <f>IF(ISNUMBER($BC$51),$BP$51,"")</f>
        <v/>
      </c>
      <c r="E80" s="5">
        <f>IF(ISNUMBER($BC$51),$BJ$51&amp;IF(LEN($BK$51)&gt;0,", "&amp;$BK$51,"")&amp;IF(LEN($BL$51)&gt;0,", "&amp;$BL$51,"")&amp;IF(LEN($BM$51)&gt;0,", "&amp;$BM$51,""),"")</f>
        <v/>
      </c>
      <c r="H80" s="18">
        <f>IF(ISNUMBER($BC$51),IF(LEN($BN$51)&gt;0,$BN$51,"—"),"")</f>
        <v/>
      </c>
      <c r="I80" s="18">
        <f>IF(ISNUMBER($BC$51),$BS$51,"")</f>
        <v/>
      </c>
      <c r="J80" s="18">
        <f>IF(ISNUMBER($BC$51),IF($BQ$51=1,"Sim","Não"),"")</f>
        <v/>
      </c>
      <c r="K80" s="19">
        <f>IF(CJ80&gt;0,"O Google leu como fórmula: digite de novo com ' na frente.",IF(NOT(ISNUMBER($BC$51)),"",IF(AND(ISNUMBER($CB$80),$CB$80&lt;0),"Redução negativa: usando 0",IF($BQ$51=1,"Quebra! Dano de Quebra em C5b; Atrasa 1 casa; Quebrado até o fim do próximo turno dele; +10 de Energia para quem quebrou (20.4)",""))))</f>
        <v/>
      </c>
      <c r="CB80" s="2">
        <f>IF(ISERROR($C$80),"",IF(ISBLANK($C$80),"",$C$80))</f>
        <v/>
      </c>
      <c r="CJ80" s="2">
        <f>ISERROR($C$80)*1</f>
        <v/>
      </c>
    </row>
    <row r="81" ht="48" customHeight="1">
      <c r="A81" s="43">
        <f>IF(LEN($N$24)&gt;0,$N$24,"Inimigo 8")</f>
        <v/>
      </c>
      <c r="B81" s="23">
        <f>IF(ISNUMBER($BC$52),$BO$52,"")</f>
        <v/>
      </c>
      <c r="C81" s="37" t="n"/>
      <c r="D81" s="23">
        <f>IF(ISNUMBER($BC$52),$BP$52,"")</f>
        <v/>
      </c>
      <c r="E81" s="10">
        <f>IF(ISNUMBER($BC$52),$BJ$52&amp;IF(LEN($BK$52)&gt;0,", "&amp;$BK$52,"")&amp;IF(LEN($BL$52)&gt;0,", "&amp;$BL$52,"")&amp;IF(LEN($BM$52)&gt;0,", "&amp;$BM$52,""),"")</f>
        <v/>
      </c>
      <c r="H81" s="23">
        <f>IF(ISNUMBER($BC$52),IF(LEN($BN$52)&gt;0,$BN$52,"—"),"")</f>
        <v/>
      </c>
      <c r="I81" s="23">
        <f>IF(ISNUMBER($BC$52),$BS$52,"")</f>
        <v/>
      </c>
      <c r="J81" s="23">
        <f>IF(ISNUMBER($BC$52),IF($BQ$52=1,"Sim","Não"),"")</f>
        <v/>
      </c>
      <c r="K81" s="27">
        <f>IF(CJ81&gt;0,"O Google leu como fórmula: digite de novo com ' na frente.",IF(NOT(ISNUMBER($BC$52)),"",IF(AND(ISNUMBER($CB$81),$CB$81&lt;0),"Redução negativa: usando 0",IF($BQ$52=1,"Quebra! Dano de Quebra em C5b; Atrasa 1 casa; Quebrado até o fim do próximo turno dele; +10 de Energia para quem quebrou (20.4)",""))))</f>
        <v/>
      </c>
      <c r="CB81" s="2">
        <f>IF(ISERROR($C$81),"",IF(ISBLANK($C$81),"",$C$81))</f>
        <v/>
      </c>
      <c r="CJ81" s="2">
        <f>ISERROR($C$81)*1</f>
        <v/>
      </c>
    </row>
    <row r="82" ht="48" customHeight="1">
      <c r="A82" s="31">
        <f>IF(LEN($N$25)&gt;0,$N$25,"Inimigo 9")</f>
        <v/>
      </c>
      <c r="B82" s="18">
        <f>IF(ISNUMBER($BC$53),$BO$53,"")</f>
        <v/>
      </c>
      <c r="C82" s="16" t="n"/>
      <c r="D82" s="18">
        <f>IF(ISNUMBER($BC$53),$BP$53,"")</f>
        <v/>
      </c>
      <c r="E82" s="5">
        <f>IF(ISNUMBER($BC$53),$BJ$53&amp;IF(LEN($BK$53)&gt;0,", "&amp;$BK$53,"")&amp;IF(LEN($BL$53)&gt;0,", "&amp;$BL$53,"")&amp;IF(LEN($BM$53)&gt;0,", "&amp;$BM$53,""),"")</f>
        <v/>
      </c>
      <c r="H82" s="18">
        <f>IF(ISNUMBER($BC$53),IF(LEN($BN$53)&gt;0,$BN$53,"—"),"")</f>
        <v/>
      </c>
      <c r="I82" s="18">
        <f>IF(ISNUMBER($BC$53),$BS$53,"")</f>
        <v/>
      </c>
      <c r="J82" s="18">
        <f>IF(ISNUMBER($BC$53),IF($BQ$53=1,"Sim","Não"),"")</f>
        <v/>
      </c>
      <c r="K82" s="19">
        <f>IF(CJ82&gt;0,"O Google leu como fórmula: digite de novo com ' na frente.",IF(NOT(ISNUMBER($BC$53)),"",IF(AND(ISNUMBER($CB$82),$CB$82&lt;0),"Redução negativa: usando 0",IF($BQ$53=1,"Quebra! Dano de Quebra em C5b; Atrasa 1 casa; Quebrado até o fim do próximo turno dele; +10 de Energia para quem quebrou (20.4)",""))))</f>
        <v/>
      </c>
      <c r="CB82" s="2">
        <f>IF(ISERROR($C$82),"",IF(ISBLANK($C$82),"",$C$82))</f>
        <v/>
      </c>
      <c r="CJ82" s="2">
        <f>ISERROR($C$82)*1</f>
        <v/>
      </c>
    </row>
    <row r="83" ht="48" customHeight="1">
      <c r="A83" s="43">
        <f>IF(LEN($N$26)&gt;0,$N$26,"Inimigo 10")</f>
        <v/>
      </c>
      <c r="B83" s="23">
        <f>IF(ISNUMBER($BC$54),$BO$54,"")</f>
        <v/>
      </c>
      <c r="C83" s="37" t="n"/>
      <c r="D83" s="23">
        <f>IF(ISNUMBER($BC$54),$BP$54,"")</f>
        <v/>
      </c>
      <c r="E83" s="10">
        <f>IF(ISNUMBER($BC$54),$BJ$54&amp;IF(LEN($BK$54)&gt;0,", "&amp;$BK$54,"")&amp;IF(LEN($BL$54)&gt;0,", "&amp;$BL$54,"")&amp;IF(LEN($BM$54)&gt;0,", "&amp;$BM$54,""),"")</f>
        <v/>
      </c>
      <c r="H83" s="23">
        <f>IF(ISNUMBER($BC$54),IF(LEN($BN$54)&gt;0,$BN$54,"—"),"")</f>
        <v/>
      </c>
      <c r="I83" s="23">
        <f>IF(ISNUMBER($BC$54),$BS$54,"")</f>
        <v/>
      </c>
      <c r="J83" s="23">
        <f>IF(ISNUMBER($BC$54),IF($BQ$54=1,"Sim","Não"),"")</f>
        <v/>
      </c>
      <c r="K83" s="27">
        <f>IF(CJ83&gt;0,"O Google leu como fórmula: digite de novo com ' na frente.",IF(NOT(ISNUMBER($BC$54)),"",IF(AND(ISNUMBER($CB$83),$CB$83&lt;0),"Redução negativa: usando 0",IF($BQ$54=1,"Quebra! Dano de Quebra em C5b; Atrasa 1 casa; Quebrado até o fim do próximo turno dele; +10 de Energia para quem quebrou (20.4)",""))))</f>
        <v/>
      </c>
      <c r="CB83" s="2">
        <f>IF(ISERROR($C$83),"",IF(ISBLANK($C$83),"",$C$83))</f>
        <v/>
      </c>
      <c r="CJ83" s="2">
        <f>ISERROR($C$83)*1</f>
        <v/>
      </c>
    </row>
    <row r="84"/>
    <row r="85" ht="20" customHeight="1">
      <c r="A85" s="13" t="inlineStr">
        <is>
          <t>C5b · Quebra: Dano de Quebra e efeito do Elemento (20.4, 20.5)</t>
        </is>
      </c>
    </row>
    <row r="86" ht="26" customHeight="1">
      <c r="A86" s="8" t="inlineStr">
        <is>
          <t>Inimigo</t>
        </is>
      </c>
      <c r="B86" s="8" t="inlineStr">
        <is>
          <t>Elemento que quebrou</t>
        </is>
      </c>
      <c r="C86" s="8" t="inlineStr">
        <is>
          <t>Quem quebrou</t>
        </is>
      </c>
      <c r="D86" s="8" t="inlineStr">
        <is>
          <t>Dano de Quebra e efeito (com a Eficiência do grupo)</t>
        </is>
      </c>
      <c r="E86" s="20" t="n"/>
      <c r="F86" s="20" t="n"/>
      <c r="G86" s="20" t="n"/>
      <c r="H86" s="20" t="n"/>
      <c r="I86" s="20" t="n"/>
      <c r="J86" s="20" t="n"/>
      <c r="K86" s="8" t="inlineStr">
        <is>
          <t>Aviso</t>
        </is>
      </c>
      <c r="L86" s="20" t="n"/>
    </row>
    <row r="87" ht="48" customHeight="1">
      <c r="A87" s="31">
        <f>IF(LEN($N$17)&gt;0,$N$17,"Inimigo 1")</f>
        <v/>
      </c>
      <c r="B87" s="34" t="n"/>
      <c r="C87" s="4" t="n"/>
      <c r="D87" s="5">
        <f>IF(OR(NOT(ISNUMBER($BC$45)),LEN($CA$87)=0),"",IFERROR($CA$87&amp;": "&amp;IF(INDEX('Dados'!$C$301:$C$307,MATCH($CA$87,'Dados'!$A$301:$A$307,0))&gt;0,INDEX('Dados'!$C$301:$C$307,MATCH($CA$87,'Dados'!$A$301:$A$307,0))&amp;"d"&amp;INDEX('Dados'!$D$301:$D$307,MATCH($CA$87,'Dados'!$A$301:$A$307,0))&amp;" + "&amp;(INDEX('Dados'!$E$301:$E$307,MATCH($CA$87,'Dados'!$A$301:$A$307,0))*'Campanha'!$B$20)&amp;" · média "&amp;(INT(INDEX('Dados'!$C$301:$C$307,MATCH($CA$87,'Dados'!$A$301:$A$307,0))*(INDEX('Dados'!$D$301:$D$307,MATCH($CA$87,'Dados'!$A$301:$A$307,0))+1)/2)+(INDEX('Dados'!$E$301:$E$307,MATCH($CA$87,'Dados'!$A$301:$A$307,0))*'Campanha'!$B$20)),(INDEX('Dados'!$E$301:$E$307,MATCH($CA$87,'Dados'!$A$301:$A$307,0))*'Campanha'!$B$20)&amp;"")&amp;" (menos RD "&amp;$BS$45&amp;" = "&amp;MAX(1,(INT(INDEX('Dados'!$C$301:$C$307,MATCH($CA$87,'Dados'!$A$301:$A$307,0))*(INDEX('Dados'!$D$301:$D$307,MATCH($CA$87,'Dados'!$A$301:$A$307,0))+1)/2)+(INDEX('Dados'!$E$301:$E$307,MATCH($CA$87,'Dados'!$A$301:$A$307,0))*'Campanha'!$B$20))-$BS$45)&amp;")"&amp;IF($CA$87="Físico"," + Sangramento ("&amp;MIN(INT(5*$AQ$17/100),3*'Campanha'!$B$20)&amp;" por turno, 2 turnos, ignora RD)",IF($CA$87="Fogo"," + Queimadura (2d6 + "&amp;'Campanha'!$B$20&amp;" por turno, 2 turnos, ignora RD)",IF($CA$87="Raio"," + Choque (1d6 + "&amp;'Campanha'!$B$20&amp;" por turno, 3 turnos, ignora RD)",IF($CA$87="Vento"," + Cisalhamento de Vento (1d6 por acúmulo por turno, até 5, 2 turnos)",IF($CA$87="Gelo",IF($BW$45="Comum"," + Congelamento: perde o turno (19.6)"," + Congelamento: Atrasado 2 casas e sem ação especial no turno seguinte (19.6)"),IF($CA$87="Quântico"," + Embaraço (1d6 por acúmulo, Atrasa 1 casa)",IF($CA$87="Imaginário"," + Aprisionamento (1d6 + "&amp;'Campanha'!$B$20&amp;", Atrasa 2 casas)","")))))))&amp;". Quebrado até o fim do próximo turno dele: −2 de Defesa e +1 dado; Atrasa 1 casa.",""))</f>
        <v/>
      </c>
      <c r="K87" s="19">
        <f>IF(CJ87&gt;0,"O Google leu como fórmula: escolha de novo na lista.",IF(AND(ISNUMBER($BC$45),$BQ$45=1,LEN($CA$87)=0),"Diga o Elemento que quebrou (20.5)",""))</f>
        <v/>
      </c>
      <c r="CA87" s="2">
        <f>IF(ISERROR($B$87),"",IF(ISBLANK($B$87),"",$B$87))</f>
        <v/>
      </c>
      <c r="CJ87" s="2">
        <f>ISERROR($B$87)*1+ISERROR($C$87)*1</f>
        <v/>
      </c>
    </row>
    <row r="88" ht="48" customHeight="1">
      <c r="A88" s="43">
        <f>IF(LEN($N$18)&gt;0,$N$18,"Inimigo 2")</f>
        <v/>
      </c>
      <c r="B88" s="36" t="n"/>
      <c r="C88" s="29" t="n"/>
      <c r="D88" s="10">
        <f>IF(OR(NOT(ISNUMBER($BC$46)),LEN($CA$88)=0),"",IFERROR($CA$88&amp;": "&amp;IF(INDEX('Dados'!$C$301:$C$307,MATCH($CA$88,'Dados'!$A$301:$A$307,0))&gt;0,INDEX('Dados'!$C$301:$C$307,MATCH($CA$88,'Dados'!$A$301:$A$307,0))&amp;"d"&amp;INDEX('Dados'!$D$301:$D$307,MATCH($CA$88,'Dados'!$A$301:$A$307,0))&amp;" + "&amp;(INDEX('Dados'!$E$301:$E$307,MATCH($CA$88,'Dados'!$A$301:$A$307,0))*'Campanha'!$B$20)&amp;" · média "&amp;(INT(INDEX('Dados'!$C$301:$C$307,MATCH($CA$88,'Dados'!$A$301:$A$307,0))*(INDEX('Dados'!$D$301:$D$307,MATCH($CA$88,'Dados'!$A$301:$A$307,0))+1)/2)+(INDEX('Dados'!$E$301:$E$307,MATCH($CA$88,'Dados'!$A$301:$A$307,0))*'Campanha'!$B$20)),(INDEX('Dados'!$E$301:$E$307,MATCH($CA$88,'Dados'!$A$301:$A$307,0))*'Campanha'!$B$20)&amp;"")&amp;" (menos RD "&amp;$BS$46&amp;" = "&amp;MAX(1,(INT(INDEX('Dados'!$C$301:$C$307,MATCH($CA$88,'Dados'!$A$301:$A$307,0))*(INDEX('Dados'!$D$301:$D$307,MATCH($CA$88,'Dados'!$A$301:$A$307,0))+1)/2)+(INDEX('Dados'!$E$301:$E$307,MATCH($CA$88,'Dados'!$A$301:$A$307,0))*'Campanha'!$B$20))-$BS$46)&amp;")"&amp;IF($CA$88="Físico"," + Sangramento ("&amp;MIN(INT(5*$AQ$18/100),3*'Campanha'!$B$20)&amp;" por turno, 2 turnos, ignora RD)",IF($CA$88="Fogo"," + Queimadura (2d6 + "&amp;'Campanha'!$B$20&amp;" por turno, 2 turnos, ignora RD)",IF($CA$88="Raio"," + Choque (1d6 + "&amp;'Campanha'!$B$20&amp;" por turno, 3 turnos, ignora RD)",IF($CA$88="Vento"," + Cisalhamento de Vento (1d6 por acúmulo por turno, até 5, 2 turnos)",IF($CA$88="Gelo",IF($BW$46="Comum"," + Congelamento: perde o turno (19.6)"," + Congelamento: Atrasado 2 casas e sem ação especial no turno seguinte (19.6)"),IF($CA$88="Quântico"," + Embaraço (1d6 por acúmulo, Atrasa 1 casa)",IF($CA$88="Imaginário"," + Aprisionamento (1d6 + "&amp;'Campanha'!$B$20&amp;", Atrasa 2 casas)","")))))))&amp;". Quebrado até o fim do próximo turno dele: −2 de Defesa e +1 dado; Atrasa 1 casa.",""))</f>
        <v/>
      </c>
      <c r="K88" s="27">
        <f>IF(CJ88&gt;0,"O Google leu como fórmula: escolha de novo na lista.",IF(AND(ISNUMBER($BC$46),$BQ$46=1,LEN($CA$88)=0),"Diga o Elemento que quebrou (20.5)",""))</f>
        <v/>
      </c>
      <c r="CA88" s="2">
        <f>IF(ISERROR($B$88),"",IF(ISBLANK($B$88),"",$B$88))</f>
        <v/>
      </c>
      <c r="CJ88" s="2">
        <f>ISERROR($B$88)*1+ISERROR($C$88)*1</f>
        <v/>
      </c>
    </row>
    <row r="89" ht="48" customHeight="1">
      <c r="A89" s="31">
        <f>IF(LEN($N$19)&gt;0,$N$19,"Inimigo 3")</f>
        <v/>
      </c>
      <c r="B89" s="34" t="n"/>
      <c r="C89" s="4" t="n"/>
      <c r="D89" s="5">
        <f>IF(OR(NOT(ISNUMBER($BC$47)),LEN($CA$89)=0),"",IFERROR($CA$89&amp;": "&amp;IF(INDEX('Dados'!$C$301:$C$307,MATCH($CA$89,'Dados'!$A$301:$A$307,0))&gt;0,INDEX('Dados'!$C$301:$C$307,MATCH($CA$89,'Dados'!$A$301:$A$307,0))&amp;"d"&amp;INDEX('Dados'!$D$301:$D$307,MATCH($CA$89,'Dados'!$A$301:$A$307,0))&amp;" + "&amp;(INDEX('Dados'!$E$301:$E$307,MATCH($CA$89,'Dados'!$A$301:$A$307,0))*'Campanha'!$B$20)&amp;" · média "&amp;(INT(INDEX('Dados'!$C$301:$C$307,MATCH($CA$89,'Dados'!$A$301:$A$307,0))*(INDEX('Dados'!$D$301:$D$307,MATCH($CA$89,'Dados'!$A$301:$A$307,0))+1)/2)+(INDEX('Dados'!$E$301:$E$307,MATCH($CA$89,'Dados'!$A$301:$A$307,0))*'Campanha'!$B$20)),(INDEX('Dados'!$E$301:$E$307,MATCH($CA$89,'Dados'!$A$301:$A$307,0))*'Campanha'!$B$20)&amp;"")&amp;" (menos RD "&amp;$BS$47&amp;" = "&amp;MAX(1,(INT(INDEX('Dados'!$C$301:$C$307,MATCH($CA$89,'Dados'!$A$301:$A$307,0))*(INDEX('Dados'!$D$301:$D$307,MATCH($CA$89,'Dados'!$A$301:$A$307,0))+1)/2)+(INDEX('Dados'!$E$301:$E$307,MATCH($CA$89,'Dados'!$A$301:$A$307,0))*'Campanha'!$B$20))-$BS$47)&amp;")"&amp;IF($CA$89="Físico"," + Sangramento ("&amp;MIN(INT(5*$AQ$19/100),3*'Campanha'!$B$20)&amp;" por turno, 2 turnos, ignora RD)",IF($CA$89="Fogo"," + Queimadura (2d6 + "&amp;'Campanha'!$B$20&amp;" por turno, 2 turnos, ignora RD)",IF($CA$89="Raio"," + Choque (1d6 + "&amp;'Campanha'!$B$20&amp;" por turno, 3 turnos, ignora RD)",IF($CA$89="Vento"," + Cisalhamento de Vento (1d6 por acúmulo por turno, até 5, 2 turnos)",IF($CA$89="Gelo",IF($BW$47="Comum"," + Congelamento: perde o turno (19.6)"," + Congelamento: Atrasado 2 casas e sem ação especial no turno seguinte (19.6)"),IF($CA$89="Quântico"," + Embaraço (1d6 por acúmulo, Atrasa 1 casa)",IF($CA$89="Imaginário"," + Aprisionamento (1d6 + "&amp;'Campanha'!$B$20&amp;", Atrasa 2 casas)","")))))))&amp;". Quebrado até o fim do próximo turno dele: −2 de Defesa e +1 dado; Atrasa 1 casa.",""))</f>
        <v/>
      </c>
      <c r="K89" s="19">
        <f>IF(CJ89&gt;0,"O Google leu como fórmula: escolha de novo na lista.",IF(AND(ISNUMBER($BC$47),$BQ$47=1,LEN($CA$89)=0),"Diga o Elemento que quebrou (20.5)",""))</f>
        <v/>
      </c>
      <c r="CA89" s="2">
        <f>IF(ISERROR($B$89),"",IF(ISBLANK($B$89),"",$B$89))</f>
        <v/>
      </c>
      <c r="CJ89" s="2">
        <f>ISERROR($B$89)*1+ISERROR($C$89)*1</f>
        <v/>
      </c>
    </row>
    <row r="90" ht="48" customHeight="1">
      <c r="A90" s="43">
        <f>IF(LEN($N$20)&gt;0,$N$20,"Inimigo 4")</f>
        <v/>
      </c>
      <c r="B90" s="36" t="n"/>
      <c r="C90" s="29" t="n"/>
      <c r="D90" s="10">
        <f>IF(OR(NOT(ISNUMBER($BC$48)),LEN($CA$90)=0),"",IFERROR($CA$90&amp;": "&amp;IF(INDEX('Dados'!$C$301:$C$307,MATCH($CA$90,'Dados'!$A$301:$A$307,0))&gt;0,INDEX('Dados'!$C$301:$C$307,MATCH($CA$90,'Dados'!$A$301:$A$307,0))&amp;"d"&amp;INDEX('Dados'!$D$301:$D$307,MATCH($CA$90,'Dados'!$A$301:$A$307,0))&amp;" + "&amp;(INDEX('Dados'!$E$301:$E$307,MATCH($CA$90,'Dados'!$A$301:$A$307,0))*'Campanha'!$B$20)&amp;" · média "&amp;(INT(INDEX('Dados'!$C$301:$C$307,MATCH($CA$90,'Dados'!$A$301:$A$307,0))*(INDEX('Dados'!$D$301:$D$307,MATCH($CA$90,'Dados'!$A$301:$A$307,0))+1)/2)+(INDEX('Dados'!$E$301:$E$307,MATCH($CA$90,'Dados'!$A$301:$A$307,0))*'Campanha'!$B$20)),(INDEX('Dados'!$E$301:$E$307,MATCH($CA$90,'Dados'!$A$301:$A$307,0))*'Campanha'!$B$20)&amp;"")&amp;" (menos RD "&amp;$BS$48&amp;" = "&amp;MAX(1,(INT(INDEX('Dados'!$C$301:$C$307,MATCH($CA$90,'Dados'!$A$301:$A$307,0))*(INDEX('Dados'!$D$301:$D$307,MATCH($CA$90,'Dados'!$A$301:$A$307,0))+1)/2)+(INDEX('Dados'!$E$301:$E$307,MATCH($CA$90,'Dados'!$A$301:$A$307,0))*'Campanha'!$B$20))-$BS$48)&amp;")"&amp;IF($CA$90="Físico"," + Sangramento ("&amp;MIN(INT(5*$AQ$20/100),3*'Campanha'!$B$20)&amp;" por turno, 2 turnos, ignora RD)",IF($CA$90="Fogo"," + Queimadura (2d6 + "&amp;'Campanha'!$B$20&amp;" por turno, 2 turnos, ignora RD)",IF($CA$90="Raio"," + Choque (1d6 + "&amp;'Campanha'!$B$20&amp;" por turno, 3 turnos, ignora RD)",IF($CA$90="Vento"," + Cisalhamento de Vento (1d6 por acúmulo por turno, até 5, 2 turnos)",IF($CA$90="Gelo",IF($BW$48="Comum"," + Congelamento: perde o turno (19.6)"," + Congelamento: Atrasado 2 casas e sem ação especial no turno seguinte (19.6)"),IF($CA$90="Quântico"," + Embaraço (1d6 por acúmulo, Atrasa 1 casa)",IF($CA$90="Imaginário"," + Aprisionamento (1d6 + "&amp;'Campanha'!$B$20&amp;", Atrasa 2 casas)","")))))))&amp;". Quebrado até o fim do próximo turno dele: −2 de Defesa e +1 dado; Atrasa 1 casa.",""))</f>
        <v/>
      </c>
      <c r="K90" s="27">
        <f>IF(CJ90&gt;0,"O Google leu como fórmula: escolha de novo na lista.",IF(AND(ISNUMBER($BC$48),$BQ$48=1,LEN($CA$90)=0),"Diga o Elemento que quebrou (20.5)",""))</f>
        <v/>
      </c>
      <c r="CA90" s="2">
        <f>IF(ISERROR($B$90),"",IF(ISBLANK($B$90),"",$B$90))</f>
        <v/>
      </c>
      <c r="CJ90" s="2">
        <f>ISERROR($B$90)*1+ISERROR($C$90)*1</f>
        <v/>
      </c>
    </row>
    <row r="91" ht="48" customHeight="1">
      <c r="A91" s="31">
        <f>IF(LEN($N$21)&gt;0,$N$21,"Inimigo 5")</f>
        <v/>
      </c>
      <c r="B91" s="34" t="n"/>
      <c r="C91" s="4" t="n"/>
      <c r="D91" s="5">
        <f>IF(OR(NOT(ISNUMBER($BC$49)),LEN($CA$91)=0),"",IFERROR($CA$91&amp;": "&amp;IF(INDEX('Dados'!$C$301:$C$307,MATCH($CA$91,'Dados'!$A$301:$A$307,0))&gt;0,INDEX('Dados'!$C$301:$C$307,MATCH($CA$91,'Dados'!$A$301:$A$307,0))&amp;"d"&amp;INDEX('Dados'!$D$301:$D$307,MATCH($CA$91,'Dados'!$A$301:$A$307,0))&amp;" + "&amp;(INDEX('Dados'!$E$301:$E$307,MATCH($CA$91,'Dados'!$A$301:$A$307,0))*'Campanha'!$B$20)&amp;" · média "&amp;(INT(INDEX('Dados'!$C$301:$C$307,MATCH($CA$91,'Dados'!$A$301:$A$307,0))*(INDEX('Dados'!$D$301:$D$307,MATCH($CA$91,'Dados'!$A$301:$A$307,0))+1)/2)+(INDEX('Dados'!$E$301:$E$307,MATCH($CA$91,'Dados'!$A$301:$A$307,0))*'Campanha'!$B$20)),(INDEX('Dados'!$E$301:$E$307,MATCH($CA$91,'Dados'!$A$301:$A$307,0))*'Campanha'!$B$20)&amp;"")&amp;" (menos RD "&amp;$BS$49&amp;" = "&amp;MAX(1,(INT(INDEX('Dados'!$C$301:$C$307,MATCH($CA$91,'Dados'!$A$301:$A$307,0))*(INDEX('Dados'!$D$301:$D$307,MATCH($CA$91,'Dados'!$A$301:$A$307,0))+1)/2)+(INDEX('Dados'!$E$301:$E$307,MATCH($CA$91,'Dados'!$A$301:$A$307,0))*'Campanha'!$B$20))-$BS$49)&amp;")"&amp;IF($CA$91="Físico"," + Sangramento ("&amp;MIN(INT(5*$AQ$21/100),3*'Campanha'!$B$20)&amp;" por turno, 2 turnos, ignora RD)",IF($CA$91="Fogo"," + Queimadura (2d6 + "&amp;'Campanha'!$B$20&amp;" por turno, 2 turnos, ignora RD)",IF($CA$91="Raio"," + Choque (1d6 + "&amp;'Campanha'!$B$20&amp;" por turno, 3 turnos, ignora RD)",IF($CA$91="Vento"," + Cisalhamento de Vento (1d6 por acúmulo por turno, até 5, 2 turnos)",IF($CA$91="Gelo",IF($BW$49="Comum"," + Congelamento: perde o turno (19.6)"," + Congelamento: Atrasado 2 casas e sem ação especial no turno seguinte (19.6)"),IF($CA$91="Quântico"," + Embaraço (1d6 por acúmulo, Atrasa 1 casa)",IF($CA$91="Imaginário"," + Aprisionamento (1d6 + "&amp;'Campanha'!$B$20&amp;", Atrasa 2 casas)","")))))))&amp;". Quebrado até o fim do próximo turno dele: −2 de Defesa e +1 dado; Atrasa 1 casa.",""))</f>
        <v/>
      </c>
      <c r="K91" s="19">
        <f>IF(CJ91&gt;0,"O Google leu como fórmula: escolha de novo na lista.",IF(AND(ISNUMBER($BC$49),$BQ$49=1,LEN($CA$91)=0),"Diga o Elemento que quebrou (20.5)",""))</f>
        <v/>
      </c>
      <c r="CA91" s="2">
        <f>IF(ISERROR($B$91),"",IF(ISBLANK($B$91),"",$B$91))</f>
        <v/>
      </c>
      <c r="CJ91" s="2">
        <f>ISERROR($B$91)*1+ISERROR($C$91)*1</f>
        <v/>
      </c>
    </row>
    <row r="92" ht="48" customHeight="1">
      <c r="A92" s="43">
        <f>IF(LEN($N$22)&gt;0,$N$22,"Inimigo 6")</f>
        <v/>
      </c>
      <c r="B92" s="36" t="n"/>
      <c r="C92" s="29" t="n"/>
      <c r="D92" s="10">
        <f>IF(OR(NOT(ISNUMBER($BC$50)),LEN($CA$92)=0),"",IFERROR($CA$92&amp;": "&amp;IF(INDEX('Dados'!$C$301:$C$307,MATCH($CA$92,'Dados'!$A$301:$A$307,0))&gt;0,INDEX('Dados'!$C$301:$C$307,MATCH($CA$92,'Dados'!$A$301:$A$307,0))&amp;"d"&amp;INDEX('Dados'!$D$301:$D$307,MATCH($CA$92,'Dados'!$A$301:$A$307,0))&amp;" + "&amp;(INDEX('Dados'!$E$301:$E$307,MATCH($CA$92,'Dados'!$A$301:$A$307,0))*'Campanha'!$B$20)&amp;" · média "&amp;(INT(INDEX('Dados'!$C$301:$C$307,MATCH($CA$92,'Dados'!$A$301:$A$307,0))*(INDEX('Dados'!$D$301:$D$307,MATCH($CA$92,'Dados'!$A$301:$A$307,0))+1)/2)+(INDEX('Dados'!$E$301:$E$307,MATCH($CA$92,'Dados'!$A$301:$A$307,0))*'Campanha'!$B$20)),(INDEX('Dados'!$E$301:$E$307,MATCH($CA$92,'Dados'!$A$301:$A$307,0))*'Campanha'!$B$20)&amp;"")&amp;" (menos RD "&amp;$BS$50&amp;" = "&amp;MAX(1,(INT(INDEX('Dados'!$C$301:$C$307,MATCH($CA$92,'Dados'!$A$301:$A$307,0))*(INDEX('Dados'!$D$301:$D$307,MATCH($CA$92,'Dados'!$A$301:$A$307,0))+1)/2)+(INDEX('Dados'!$E$301:$E$307,MATCH($CA$92,'Dados'!$A$301:$A$307,0))*'Campanha'!$B$20))-$BS$50)&amp;")"&amp;IF($CA$92="Físico"," + Sangramento ("&amp;MIN(INT(5*$AQ$22/100),3*'Campanha'!$B$20)&amp;" por turno, 2 turnos, ignora RD)",IF($CA$92="Fogo"," + Queimadura (2d6 + "&amp;'Campanha'!$B$20&amp;" por turno, 2 turnos, ignora RD)",IF($CA$92="Raio"," + Choque (1d6 + "&amp;'Campanha'!$B$20&amp;" por turno, 3 turnos, ignora RD)",IF($CA$92="Vento"," + Cisalhamento de Vento (1d6 por acúmulo por turno, até 5, 2 turnos)",IF($CA$92="Gelo",IF($BW$50="Comum"," + Congelamento: perde o turno (19.6)"," + Congelamento: Atrasado 2 casas e sem ação especial no turno seguinte (19.6)"),IF($CA$92="Quântico"," + Embaraço (1d6 por acúmulo, Atrasa 1 casa)",IF($CA$92="Imaginário"," + Aprisionamento (1d6 + "&amp;'Campanha'!$B$20&amp;", Atrasa 2 casas)","")))))))&amp;". Quebrado até o fim do próximo turno dele: −2 de Defesa e +1 dado; Atrasa 1 casa.",""))</f>
        <v/>
      </c>
      <c r="K92" s="27">
        <f>IF(CJ92&gt;0,"O Google leu como fórmula: escolha de novo na lista.",IF(AND(ISNUMBER($BC$50),$BQ$50=1,LEN($CA$92)=0),"Diga o Elemento que quebrou (20.5)",""))</f>
        <v/>
      </c>
      <c r="CA92" s="2">
        <f>IF(ISERROR($B$92),"",IF(ISBLANK($B$92),"",$B$92))</f>
        <v/>
      </c>
      <c r="CJ92" s="2">
        <f>ISERROR($B$92)*1+ISERROR($C$92)*1</f>
        <v/>
      </c>
    </row>
    <row r="93" ht="48" customHeight="1">
      <c r="A93" s="31">
        <f>IF(LEN($N$23)&gt;0,$N$23,"Inimigo 7")</f>
        <v/>
      </c>
      <c r="B93" s="34" t="n"/>
      <c r="C93" s="4" t="n"/>
      <c r="D93" s="5">
        <f>IF(OR(NOT(ISNUMBER($BC$51)),LEN($CA$93)=0),"",IFERROR($CA$93&amp;": "&amp;IF(INDEX('Dados'!$C$301:$C$307,MATCH($CA$93,'Dados'!$A$301:$A$307,0))&gt;0,INDEX('Dados'!$C$301:$C$307,MATCH($CA$93,'Dados'!$A$301:$A$307,0))&amp;"d"&amp;INDEX('Dados'!$D$301:$D$307,MATCH($CA$93,'Dados'!$A$301:$A$307,0))&amp;" + "&amp;(INDEX('Dados'!$E$301:$E$307,MATCH($CA$93,'Dados'!$A$301:$A$307,0))*'Campanha'!$B$20)&amp;" · média "&amp;(INT(INDEX('Dados'!$C$301:$C$307,MATCH($CA$93,'Dados'!$A$301:$A$307,0))*(INDEX('Dados'!$D$301:$D$307,MATCH($CA$93,'Dados'!$A$301:$A$307,0))+1)/2)+(INDEX('Dados'!$E$301:$E$307,MATCH($CA$93,'Dados'!$A$301:$A$307,0))*'Campanha'!$B$20)),(INDEX('Dados'!$E$301:$E$307,MATCH($CA$93,'Dados'!$A$301:$A$307,0))*'Campanha'!$B$20)&amp;"")&amp;" (menos RD "&amp;$BS$51&amp;" = "&amp;MAX(1,(INT(INDEX('Dados'!$C$301:$C$307,MATCH($CA$93,'Dados'!$A$301:$A$307,0))*(INDEX('Dados'!$D$301:$D$307,MATCH($CA$93,'Dados'!$A$301:$A$307,0))+1)/2)+(INDEX('Dados'!$E$301:$E$307,MATCH($CA$93,'Dados'!$A$301:$A$307,0))*'Campanha'!$B$20))-$BS$51)&amp;")"&amp;IF($CA$93="Físico"," + Sangramento ("&amp;MIN(INT(5*$AQ$23/100),3*'Campanha'!$B$20)&amp;" por turno, 2 turnos, ignora RD)",IF($CA$93="Fogo"," + Queimadura (2d6 + "&amp;'Campanha'!$B$20&amp;" por turno, 2 turnos, ignora RD)",IF($CA$93="Raio"," + Choque (1d6 + "&amp;'Campanha'!$B$20&amp;" por turno, 3 turnos, ignora RD)",IF($CA$93="Vento"," + Cisalhamento de Vento (1d6 por acúmulo por turno, até 5, 2 turnos)",IF($CA$93="Gelo",IF($BW$51="Comum"," + Congelamento: perde o turno (19.6)"," + Congelamento: Atrasado 2 casas e sem ação especial no turno seguinte (19.6)"),IF($CA$93="Quântico"," + Embaraço (1d6 por acúmulo, Atrasa 1 casa)",IF($CA$93="Imaginário"," + Aprisionamento (1d6 + "&amp;'Campanha'!$B$20&amp;", Atrasa 2 casas)","")))))))&amp;". Quebrado até o fim do próximo turno dele: −2 de Defesa e +1 dado; Atrasa 1 casa.",""))</f>
        <v/>
      </c>
      <c r="K93" s="19">
        <f>IF(CJ93&gt;0,"O Google leu como fórmula: escolha de novo na lista.",IF(AND(ISNUMBER($BC$51),$BQ$51=1,LEN($CA$93)=0),"Diga o Elemento que quebrou (20.5)",""))</f>
        <v/>
      </c>
      <c r="CA93" s="2">
        <f>IF(ISERROR($B$93),"",IF(ISBLANK($B$93),"",$B$93))</f>
        <v/>
      </c>
      <c r="CJ93" s="2">
        <f>ISERROR($B$93)*1+ISERROR($C$93)*1</f>
        <v/>
      </c>
    </row>
    <row r="94" ht="48" customHeight="1">
      <c r="A94" s="43">
        <f>IF(LEN($N$24)&gt;0,$N$24,"Inimigo 8")</f>
        <v/>
      </c>
      <c r="B94" s="36" t="n"/>
      <c r="C94" s="29" t="n"/>
      <c r="D94" s="10">
        <f>IF(OR(NOT(ISNUMBER($BC$52)),LEN($CA$94)=0),"",IFERROR($CA$94&amp;": "&amp;IF(INDEX('Dados'!$C$301:$C$307,MATCH($CA$94,'Dados'!$A$301:$A$307,0))&gt;0,INDEX('Dados'!$C$301:$C$307,MATCH($CA$94,'Dados'!$A$301:$A$307,0))&amp;"d"&amp;INDEX('Dados'!$D$301:$D$307,MATCH($CA$94,'Dados'!$A$301:$A$307,0))&amp;" + "&amp;(INDEX('Dados'!$E$301:$E$307,MATCH($CA$94,'Dados'!$A$301:$A$307,0))*'Campanha'!$B$20)&amp;" · média "&amp;(INT(INDEX('Dados'!$C$301:$C$307,MATCH($CA$94,'Dados'!$A$301:$A$307,0))*(INDEX('Dados'!$D$301:$D$307,MATCH($CA$94,'Dados'!$A$301:$A$307,0))+1)/2)+(INDEX('Dados'!$E$301:$E$307,MATCH($CA$94,'Dados'!$A$301:$A$307,0))*'Campanha'!$B$20)),(INDEX('Dados'!$E$301:$E$307,MATCH($CA$94,'Dados'!$A$301:$A$307,0))*'Campanha'!$B$20)&amp;"")&amp;" (menos RD "&amp;$BS$52&amp;" = "&amp;MAX(1,(INT(INDEX('Dados'!$C$301:$C$307,MATCH($CA$94,'Dados'!$A$301:$A$307,0))*(INDEX('Dados'!$D$301:$D$307,MATCH($CA$94,'Dados'!$A$301:$A$307,0))+1)/2)+(INDEX('Dados'!$E$301:$E$307,MATCH($CA$94,'Dados'!$A$301:$A$307,0))*'Campanha'!$B$20))-$BS$52)&amp;")"&amp;IF($CA$94="Físico"," + Sangramento ("&amp;MIN(INT(5*$AQ$24/100),3*'Campanha'!$B$20)&amp;" por turno, 2 turnos, ignora RD)",IF($CA$94="Fogo"," + Queimadura (2d6 + "&amp;'Campanha'!$B$20&amp;" por turno, 2 turnos, ignora RD)",IF($CA$94="Raio"," + Choque (1d6 + "&amp;'Campanha'!$B$20&amp;" por turno, 3 turnos, ignora RD)",IF($CA$94="Vento"," + Cisalhamento de Vento (1d6 por acúmulo por turno, até 5, 2 turnos)",IF($CA$94="Gelo",IF($BW$52="Comum"," + Congelamento: perde o turno (19.6)"," + Congelamento: Atrasado 2 casas e sem ação especial no turno seguinte (19.6)"),IF($CA$94="Quântico"," + Embaraço (1d6 por acúmulo, Atrasa 1 casa)",IF($CA$94="Imaginário"," + Aprisionamento (1d6 + "&amp;'Campanha'!$B$20&amp;", Atrasa 2 casas)","")))))))&amp;". Quebrado até o fim do próximo turno dele: −2 de Defesa e +1 dado; Atrasa 1 casa.",""))</f>
        <v/>
      </c>
      <c r="K94" s="27">
        <f>IF(CJ94&gt;0,"O Google leu como fórmula: escolha de novo na lista.",IF(AND(ISNUMBER($BC$52),$BQ$52=1,LEN($CA$94)=0),"Diga o Elemento que quebrou (20.5)",""))</f>
        <v/>
      </c>
      <c r="CA94" s="2">
        <f>IF(ISERROR($B$94),"",IF(ISBLANK($B$94),"",$B$94))</f>
        <v/>
      </c>
      <c r="CJ94" s="2">
        <f>ISERROR($B$94)*1+ISERROR($C$94)*1</f>
        <v/>
      </c>
    </row>
    <row r="95" ht="48" customHeight="1">
      <c r="A95" s="31">
        <f>IF(LEN($N$25)&gt;0,$N$25,"Inimigo 9")</f>
        <v/>
      </c>
      <c r="B95" s="34" t="n"/>
      <c r="C95" s="4" t="n"/>
      <c r="D95" s="5">
        <f>IF(OR(NOT(ISNUMBER($BC$53)),LEN($CA$95)=0),"",IFERROR($CA$95&amp;": "&amp;IF(INDEX('Dados'!$C$301:$C$307,MATCH($CA$95,'Dados'!$A$301:$A$307,0))&gt;0,INDEX('Dados'!$C$301:$C$307,MATCH($CA$95,'Dados'!$A$301:$A$307,0))&amp;"d"&amp;INDEX('Dados'!$D$301:$D$307,MATCH($CA$95,'Dados'!$A$301:$A$307,0))&amp;" + "&amp;(INDEX('Dados'!$E$301:$E$307,MATCH($CA$95,'Dados'!$A$301:$A$307,0))*'Campanha'!$B$20)&amp;" · média "&amp;(INT(INDEX('Dados'!$C$301:$C$307,MATCH($CA$95,'Dados'!$A$301:$A$307,0))*(INDEX('Dados'!$D$301:$D$307,MATCH($CA$95,'Dados'!$A$301:$A$307,0))+1)/2)+(INDEX('Dados'!$E$301:$E$307,MATCH($CA$95,'Dados'!$A$301:$A$307,0))*'Campanha'!$B$20)),(INDEX('Dados'!$E$301:$E$307,MATCH($CA$95,'Dados'!$A$301:$A$307,0))*'Campanha'!$B$20)&amp;"")&amp;" (menos RD "&amp;$BS$53&amp;" = "&amp;MAX(1,(INT(INDEX('Dados'!$C$301:$C$307,MATCH($CA$95,'Dados'!$A$301:$A$307,0))*(INDEX('Dados'!$D$301:$D$307,MATCH($CA$95,'Dados'!$A$301:$A$307,0))+1)/2)+(INDEX('Dados'!$E$301:$E$307,MATCH($CA$95,'Dados'!$A$301:$A$307,0))*'Campanha'!$B$20))-$BS$53)&amp;")"&amp;IF($CA$95="Físico"," + Sangramento ("&amp;MIN(INT(5*$AQ$25/100),3*'Campanha'!$B$20)&amp;" por turno, 2 turnos, ignora RD)",IF($CA$95="Fogo"," + Queimadura (2d6 + "&amp;'Campanha'!$B$20&amp;" por turno, 2 turnos, ignora RD)",IF($CA$95="Raio"," + Choque (1d6 + "&amp;'Campanha'!$B$20&amp;" por turno, 3 turnos, ignora RD)",IF($CA$95="Vento"," + Cisalhamento de Vento (1d6 por acúmulo por turno, até 5, 2 turnos)",IF($CA$95="Gelo",IF($BW$53="Comum"," + Congelamento: perde o turno (19.6)"," + Congelamento: Atrasado 2 casas e sem ação especial no turno seguinte (19.6)"),IF($CA$95="Quântico"," + Embaraço (1d6 por acúmulo, Atrasa 1 casa)",IF($CA$95="Imaginário"," + Aprisionamento (1d6 + "&amp;'Campanha'!$B$20&amp;", Atrasa 2 casas)","")))))))&amp;". Quebrado até o fim do próximo turno dele: −2 de Defesa e +1 dado; Atrasa 1 casa.",""))</f>
        <v/>
      </c>
      <c r="K95" s="19">
        <f>IF(CJ95&gt;0,"O Google leu como fórmula: escolha de novo na lista.",IF(AND(ISNUMBER($BC$53),$BQ$53=1,LEN($CA$95)=0),"Diga o Elemento que quebrou (20.5)",""))</f>
        <v/>
      </c>
      <c r="CA95" s="2">
        <f>IF(ISERROR($B$95),"",IF(ISBLANK($B$95),"",$B$95))</f>
        <v/>
      </c>
      <c r="CJ95" s="2">
        <f>ISERROR($B$95)*1+ISERROR($C$95)*1</f>
        <v/>
      </c>
    </row>
    <row r="96" ht="48" customHeight="1">
      <c r="A96" s="43">
        <f>IF(LEN($N$26)&gt;0,$N$26,"Inimigo 10")</f>
        <v/>
      </c>
      <c r="B96" s="36" t="n"/>
      <c r="C96" s="29" t="n"/>
      <c r="D96" s="10">
        <f>IF(OR(NOT(ISNUMBER($BC$54)),LEN($CA$96)=0),"",IFERROR($CA$96&amp;": "&amp;IF(INDEX('Dados'!$C$301:$C$307,MATCH($CA$96,'Dados'!$A$301:$A$307,0))&gt;0,INDEX('Dados'!$C$301:$C$307,MATCH($CA$96,'Dados'!$A$301:$A$307,0))&amp;"d"&amp;INDEX('Dados'!$D$301:$D$307,MATCH($CA$96,'Dados'!$A$301:$A$307,0))&amp;" + "&amp;(INDEX('Dados'!$E$301:$E$307,MATCH($CA$96,'Dados'!$A$301:$A$307,0))*'Campanha'!$B$20)&amp;" · média "&amp;(INT(INDEX('Dados'!$C$301:$C$307,MATCH($CA$96,'Dados'!$A$301:$A$307,0))*(INDEX('Dados'!$D$301:$D$307,MATCH($CA$96,'Dados'!$A$301:$A$307,0))+1)/2)+(INDEX('Dados'!$E$301:$E$307,MATCH($CA$96,'Dados'!$A$301:$A$307,0))*'Campanha'!$B$20)),(INDEX('Dados'!$E$301:$E$307,MATCH($CA$96,'Dados'!$A$301:$A$307,0))*'Campanha'!$B$20)&amp;"")&amp;" (menos RD "&amp;$BS$54&amp;" = "&amp;MAX(1,(INT(INDEX('Dados'!$C$301:$C$307,MATCH($CA$96,'Dados'!$A$301:$A$307,0))*(INDEX('Dados'!$D$301:$D$307,MATCH($CA$96,'Dados'!$A$301:$A$307,0))+1)/2)+(INDEX('Dados'!$E$301:$E$307,MATCH($CA$96,'Dados'!$A$301:$A$307,0))*'Campanha'!$B$20))-$BS$54)&amp;")"&amp;IF($CA$96="Físico"," + Sangramento ("&amp;MIN(INT(5*$AQ$26/100),3*'Campanha'!$B$20)&amp;" por turno, 2 turnos, ignora RD)",IF($CA$96="Fogo"," + Queimadura (2d6 + "&amp;'Campanha'!$B$20&amp;" por turno, 2 turnos, ignora RD)",IF($CA$96="Raio"," + Choque (1d6 + "&amp;'Campanha'!$B$20&amp;" por turno, 3 turnos, ignora RD)",IF($CA$96="Vento"," + Cisalhamento de Vento (1d6 por acúmulo por turno, até 5, 2 turnos)",IF($CA$96="Gelo",IF($BW$54="Comum"," + Congelamento: perde o turno (19.6)"," + Congelamento: Atrasado 2 casas e sem ação especial no turno seguinte (19.6)"),IF($CA$96="Quântico"," + Embaraço (1d6 por acúmulo, Atrasa 1 casa)",IF($CA$96="Imaginário"," + Aprisionamento (1d6 + "&amp;'Campanha'!$B$20&amp;", Atrasa 2 casas)","")))))))&amp;". Quebrado até o fim do próximo turno dele: −2 de Defesa e +1 dado; Atrasa 1 casa.",""))</f>
        <v/>
      </c>
      <c r="K96" s="27">
        <f>IF(CJ96&gt;0,"O Google leu como fórmula: escolha de novo na lista.",IF(AND(ISNUMBER($BC$54),$BQ$54=1,LEN($CA$96)=0),"Diga o Elemento que quebrou (20.5)",""))</f>
        <v/>
      </c>
      <c r="CA96" s="2">
        <f>IF(ISERROR($B$96),"",IF(ISBLANK($B$96),"",$B$96))</f>
        <v/>
      </c>
      <c r="CJ96" s="2">
        <f>ISERROR($B$96)*1+ISERROR($C$96)*1</f>
        <v/>
      </c>
    </row>
    <row r="97" ht="26" customHeight="1">
      <c r="A97" s="44" t="inlineStr">
        <is>
          <t>Quebra em 5 passos (20.4): Dano de Quebra + efeito; Atrasa 1 casa (em C8, entra na Firmeza); Quebrado até o fim do próximo turno dele (−2 de Defesa, +1 dado de qualquer fonte); quem quebrou +10 de Energia (1 por Ciclo); Tenacidade volta ao máximo no fim do próximo turno dele (apague a Redução acumulada).</t>
        </is>
      </c>
    </row>
    <row r="98"/>
    <row r="99" ht="20" customHeight="1">
      <c r="A99" s="13" t="inlineStr">
        <is>
          <t>C6 · Inimigos — recargas das ações especiais (28.4)</t>
        </is>
      </c>
    </row>
    <row r="100" ht="26" customHeight="1">
      <c r="A100" s="8" t="inlineStr">
        <is>
          <t>Inimigo</t>
        </is>
      </c>
      <c r="B100" s="8" t="inlineStr">
        <is>
          <t>Especial 1</t>
        </is>
      </c>
      <c r="C100" s="8" t="inlineStr">
        <is>
          <t>Usada no Ciclo</t>
        </is>
      </c>
      <c r="D100" s="8" t="inlineStr">
        <is>
          <t>Disponível?</t>
        </is>
      </c>
      <c r="E100" s="8" t="inlineStr">
        <is>
          <t>Especial 2</t>
        </is>
      </c>
      <c r="F100" s="8" t="inlineStr">
        <is>
          <t>Usada no Ciclo</t>
        </is>
      </c>
      <c r="G100" s="8" t="inlineStr">
        <is>
          <t>Disponível?</t>
        </is>
      </c>
      <c r="H100" s="8" t="inlineStr">
        <is>
          <t>Especial 3</t>
        </is>
      </c>
      <c r="I100" s="8" t="inlineStr">
        <is>
          <t>Usada no Ciclo</t>
        </is>
      </c>
      <c r="J100" s="8" t="inlineStr">
        <is>
          <t>Disponível?</t>
        </is>
      </c>
      <c r="K100" s="8" t="inlineStr">
        <is>
          <t>Aviso</t>
        </is>
      </c>
      <c r="L100" s="20" t="n"/>
    </row>
    <row r="101" ht="48" customHeight="1">
      <c r="A101" s="31">
        <f>IF(LEN($N$17)&gt;0,$N$17,"Inimigo 1")</f>
        <v/>
      </c>
      <c r="B101" s="5">
        <f>IF(ISNUMBER($BC$45),INDEX('Inimigos'!$AW$11:$AW$54,$BC$45)&amp;"","")</f>
        <v/>
      </c>
      <c r="C101" s="16" t="n"/>
      <c r="D101" s="18">
        <f>IF(NOT(ISNUMBER($BC$45)),"",IFERROR(IF(LEN(INDEX('Inimigos'!$AW$11:$AW$54,$BC$45)&amp;"")=0,"",IF(NOT(ISNUMBER($CB$101)),"Sim",IF(NOT(ISNUMBER(INDEX('Inimigos'!$AX$11:$AX$54,$BC$45))),"Usada",IF($N$8&gt;=$CB$101+INDEX('Inimigos'!$AX$11:$AX$54,$BC$45),"Sim","No Ciclo "&amp;($CB$101+INDEX('Inimigos'!$AX$11:$AX$54,$BC$45)))))),""))</f>
        <v/>
      </c>
      <c r="E101" s="5">
        <f>IF(ISNUMBER($BC$45),INDEX('Inimigos'!$AY$11:$AY$54,$BC$45)&amp;"","")</f>
        <v/>
      </c>
      <c r="F101" s="16" t="n"/>
      <c r="G101" s="18">
        <f>IF(NOT(ISNUMBER($BC$45)),"",IFERROR(IF(LEN(INDEX('Inimigos'!$AY$11:$AY$54,$BC$45)&amp;"")=0,"",IF(NOT(ISNUMBER($CE$101)),"Sim",IF(NOT(ISNUMBER(INDEX('Inimigos'!$AZ$11:$AZ$54,$BC$45))),"Usada",IF($N$8&gt;=$CE$101+INDEX('Inimigos'!$AZ$11:$AZ$54,$BC$45),"Sim","No Ciclo "&amp;($CE$101+INDEX('Inimigos'!$AZ$11:$AZ$54,$BC$45)))))),""))</f>
        <v/>
      </c>
      <c r="H101" s="5">
        <f>IF(ISNUMBER($BC$45),INDEX('Inimigos'!$BA$11:$BA$54,$BC$45)&amp;"","")</f>
        <v/>
      </c>
      <c r="I101" s="16" t="n"/>
      <c r="J101" s="18">
        <f>IF(NOT(ISNUMBER($BC$45)),"",IFERROR(IF(LEN(INDEX('Inimigos'!$BA$11:$BA$54,$BC$45)&amp;"")=0,"",IF(NOT(ISNUMBER($CH$101)),"Sim",IF(NOT(ISNUMBER(INDEX('Inimigos'!$BB$11:$BB$54,$BC$45))),"Usada",IF($N$8&gt;=$CH$101+INDEX('Inimigos'!$BB$11:$BB$54,$BC$45),"Sim","No Ciclo "&amp;($CH$101+INDEX('Inimigos'!$BB$11:$BB$54,$BC$45)))))),""))</f>
        <v/>
      </c>
      <c r="K101" s="19">
        <f>IF(CJ101&gt;0,"O Google leu como fórmula: digite de novo com ' na frente.",IF(AND(ISNUMBER($BC$45),$AA$17=1,$BW$45&lt;&gt;"Comum"),"Congelado: sem ação especial no turno seguinte (19.6)",""))</f>
        <v/>
      </c>
      <c r="CB101" s="2">
        <f>IF(ISERROR($C$101),"",IF(ISBLANK($C$101),"",$C$101))</f>
        <v/>
      </c>
      <c r="CE101" s="2">
        <f>IF(ISERROR($F$101),"",IF(ISBLANK($F$101),"",$F$101))</f>
        <v/>
      </c>
      <c r="CH101" s="2">
        <f>IF(ISERROR($I$101),"",IF(ISBLANK($I$101),"",$I$101))</f>
        <v/>
      </c>
      <c r="CJ101" s="2">
        <f>ISERROR($C$101)*1+ISERROR($F$101)*1+ISERROR($I$101)*1</f>
        <v/>
      </c>
    </row>
    <row r="102" ht="48" customHeight="1">
      <c r="A102" s="43">
        <f>IF(LEN($N$18)&gt;0,$N$18,"Inimigo 2")</f>
        <v/>
      </c>
      <c r="B102" s="10">
        <f>IF(ISNUMBER($BC$46),INDEX('Inimigos'!$AW$11:$AW$54,$BC$46)&amp;"","")</f>
        <v/>
      </c>
      <c r="C102" s="37" t="n"/>
      <c r="D102" s="23">
        <f>IF(NOT(ISNUMBER($BC$46)),"",IFERROR(IF(LEN(INDEX('Inimigos'!$AW$11:$AW$54,$BC$46)&amp;"")=0,"",IF(NOT(ISNUMBER($CB$102)),"Sim",IF(NOT(ISNUMBER(INDEX('Inimigos'!$AX$11:$AX$54,$BC$46))),"Usada",IF($N$8&gt;=$CB$102+INDEX('Inimigos'!$AX$11:$AX$54,$BC$46),"Sim","No Ciclo "&amp;($CB$102+INDEX('Inimigos'!$AX$11:$AX$54,$BC$46)))))),""))</f>
        <v/>
      </c>
      <c r="E102" s="10">
        <f>IF(ISNUMBER($BC$46),INDEX('Inimigos'!$AY$11:$AY$54,$BC$46)&amp;"","")</f>
        <v/>
      </c>
      <c r="F102" s="37" t="n"/>
      <c r="G102" s="23">
        <f>IF(NOT(ISNUMBER($BC$46)),"",IFERROR(IF(LEN(INDEX('Inimigos'!$AY$11:$AY$54,$BC$46)&amp;"")=0,"",IF(NOT(ISNUMBER($CE$102)),"Sim",IF(NOT(ISNUMBER(INDEX('Inimigos'!$AZ$11:$AZ$54,$BC$46))),"Usada",IF($N$8&gt;=$CE$102+INDEX('Inimigos'!$AZ$11:$AZ$54,$BC$46),"Sim","No Ciclo "&amp;($CE$102+INDEX('Inimigos'!$AZ$11:$AZ$54,$BC$46)))))),""))</f>
        <v/>
      </c>
      <c r="H102" s="10">
        <f>IF(ISNUMBER($BC$46),INDEX('Inimigos'!$BA$11:$BA$54,$BC$46)&amp;"","")</f>
        <v/>
      </c>
      <c r="I102" s="37" t="n"/>
      <c r="J102" s="23">
        <f>IF(NOT(ISNUMBER($BC$46)),"",IFERROR(IF(LEN(INDEX('Inimigos'!$BA$11:$BA$54,$BC$46)&amp;"")=0,"",IF(NOT(ISNUMBER($CH$102)),"Sim",IF(NOT(ISNUMBER(INDEX('Inimigos'!$BB$11:$BB$54,$BC$46))),"Usada",IF($N$8&gt;=$CH$102+INDEX('Inimigos'!$BB$11:$BB$54,$BC$46),"Sim","No Ciclo "&amp;($CH$102+INDEX('Inimigos'!$BB$11:$BB$54,$BC$46)))))),""))</f>
        <v/>
      </c>
      <c r="K102" s="27">
        <f>IF(CJ102&gt;0,"O Google leu como fórmula: digite de novo com ' na frente.",IF(AND(ISNUMBER($BC$46),$AA$18=1,$BW$46&lt;&gt;"Comum"),"Congelado: sem ação especial no turno seguinte (19.6)",""))</f>
        <v/>
      </c>
      <c r="CB102" s="2">
        <f>IF(ISERROR($C$102),"",IF(ISBLANK($C$102),"",$C$102))</f>
        <v/>
      </c>
      <c r="CE102" s="2">
        <f>IF(ISERROR($F$102),"",IF(ISBLANK($F$102),"",$F$102))</f>
        <v/>
      </c>
      <c r="CH102" s="2">
        <f>IF(ISERROR($I$102),"",IF(ISBLANK($I$102),"",$I$102))</f>
        <v/>
      </c>
      <c r="CJ102" s="2">
        <f>ISERROR($C$102)*1+ISERROR($F$102)*1+ISERROR($I$102)*1</f>
        <v/>
      </c>
    </row>
    <row r="103" ht="48" customHeight="1">
      <c r="A103" s="31">
        <f>IF(LEN($N$19)&gt;0,$N$19,"Inimigo 3")</f>
        <v/>
      </c>
      <c r="B103" s="5">
        <f>IF(ISNUMBER($BC$47),INDEX('Inimigos'!$AW$11:$AW$54,$BC$47)&amp;"","")</f>
        <v/>
      </c>
      <c r="C103" s="16" t="n"/>
      <c r="D103" s="18">
        <f>IF(NOT(ISNUMBER($BC$47)),"",IFERROR(IF(LEN(INDEX('Inimigos'!$AW$11:$AW$54,$BC$47)&amp;"")=0,"",IF(NOT(ISNUMBER($CB$103)),"Sim",IF(NOT(ISNUMBER(INDEX('Inimigos'!$AX$11:$AX$54,$BC$47))),"Usada",IF($N$8&gt;=$CB$103+INDEX('Inimigos'!$AX$11:$AX$54,$BC$47),"Sim","No Ciclo "&amp;($CB$103+INDEX('Inimigos'!$AX$11:$AX$54,$BC$47)))))),""))</f>
        <v/>
      </c>
      <c r="E103" s="5">
        <f>IF(ISNUMBER($BC$47),INDEX('Inimigos'!$AY$11:$AY$54,$BC$47)&amp;"","")</f>
        <v/>
      </c>
      <c r="F103" s="16" t="n"/>
      <c r="G103" s="18">
        <f>IF(NOT(ISNUMBER($BC$47)),"",IFERROR(IF(LEN(INDEX('Inimigos'!$AY$11:$AY$54,$BC$47)&amp;"")=0,"",IF(NOT(ISNUMBER($CE$103)),"Sim",IF(NOT(ISNUMBER(INDEX('Inimigos'!$AZ$11:$AZ$54,$BC$47))),"Usada",IF($N$8&gt;=$CE$103+INDEX('Inimigos'!$AZ$11:$AZ$54,$BC$47),"Sim","No Ciclo "&amp;($CE$103+INDEX('Inimigos'!$AZ$11:$AZ$54,$BC$47)))))),""))</f>
        <v/>
      </c>
      <c r="H103" s="5">
        <f>IF(ISNUMBER($BC$47),INDEX('Inimigos'!$BA$11:$BA$54,$BC$47)&amp;"","")</f>
        <v/>
      </c>
      <c r="I103" s="16" t="n"/>
      <c r="J103" s="18">
        <f>IF(NOT(ISNUMBER($BC$47)),"",IFERROR(IF(LEN(INDEX('Inimigos'!$BA$11:$BA$54,$BC$47)&amp;"")=0,"",IF(NOT(ISNUMBER($CH$103)),"Sim",IF(NOT(ISNUMBER(INDEX('Inimigos'!$BB$11:$BB$54,$BC$47))),"Usada",IF($N$8&gt;=$CH$103+INDEX('Inimigos'!$BB$11:$BB$54,$BC$47),"Sim","No Ciclo "&amp;($CH$103+INDEX('Inimigos'!$BB$11:$BB$54,$BC$47)))))),""))</f>
        <v/>
      </c>
      <c r="K103" s="19">
        <f>IF(CJ103&gt;0,"O Google leu como fórmula: digite de novo com ' na frente.",IF(AND(ISNUMBER($BC$47),$AA$19=1,$BW$47&lt;&gt;"Comum"),"Congelado: sem ação especial no turno seguinte (19.6)",""))</f>
        <v/>
      </c>
      <c r="CB103" s="2">
        <f>IF(ISERROR($C$103),"",IF(ISBLANK($C$103),"",$C$103))</f>
        <v/>
      </c>
      <c r="CE103" s="2">
        <f>IF(ISERROR($F$103),"",IF(ISBLANK($F$103),"",$F$103))</f>
        <v/>
      </c>
      <c r="CH103" s="2">
        <f>IF(ISERROR($I$103),"",IF(ISBLANK($I$103),"",$I$103))</f>
        <v/>
      </c>
      <c r="CJ103" s="2">
        <f>ISERROR($C$103)*1+ISERROR($F$103)*1+ISERROR($I$103)*1</f>
        <v/>
      </c>
    </row>
    <row r="104" ht="48" customHeight="1">
      <c r="A104" s="43">
        <f>IF(LEN($N$20)&gt;0,$N$20,"Inimigo 4")</f>
        <v/>
      </c>
      <c r="B104" s="10">
        <f>IF(ISNUMBER($BC$48),INDEX('Inimigos'!$AW$11:$AW$54,$BC$48)&amp;"","")</f>
        <v/>
      </c>
      <c r="C104" s="37" t="n"/>
      <c r="D104" s="23">
        <f>IF(NOT(ISNUMBER($BC$48)),"",IFERROR(IF(LEN(INDEX('Inimigos'!$AW$11:$AW$54,$BC$48)&amp;"")=0,"",IF(NOT(ISNUMBER($CB$104)),"Sim",IF(NOT(ISNUMBER(INDEX('Inimigos'!$AX$11:$AX$54,$BC$48))),"Usada",IF($N$8&gt;=$CB$104+INDEX('Inimigos'!$AX$11:$AX$54,$BC$48),"Sim","No Ciclo "&amp;($CB$104+INDEX('Inimigos'!$AX$11:$AX$54,$BC$48)))))),""))</f>
        <v/>
      </c>
      <c r="E104" s="10">
        <f>IF(ISNUMBER($BC$48),INDEX('Inimigos'!$AY$11:$AY$54,$BC$48)&amp;"","")</f>
        <v/>
      </c>
      <c r="F104" s="37" t="n"/>
      <c r="G104" s="23">
        <f>IF(NOT(ISNUMBER($BC$48)),"",IFERROR(IF(LEN(INDEX('Inimigos'!$AY$11:$AY$54,$BC$48)&amp;"")=0,"",IF(NOT(ISNUMBER($CE$104)),"Sim",IF(NOT(ISNUMBER(INDEX('Inimigos'!$AZ$11:$AZ$54,$BC$48))),"Usada",IF($N$8&gt;=$CE$104+INDEX('Inimigos'!$AZ$11:$AZ$54,$BC$48),"Sim","No Ciclo "&amp;($CE$104+INDEX('Inimigos'!$AZ$11:$AZ$54,$BC$48)))))),""))</f>
        <v/>
      </c>
      <c r="H104" s="10">
        <f>IF(ISNUMBER($BC$48),INDEX('Inimigos'!$BA$11:$BA$54,$BC$48)&amp;"","")</f>
        <v/>
      </c>
      <c r="I104" s="37" t="n"/>
      <c r="J104" s="23">
        <f>IF(NOT(ISNUMBER($BC$48)),"",IFERROR(IF(LEN(INDEX('Inimigos'!$BA$11:$BA$54,$BC$48)&amp;"")=0,"",IF(NOT(ISNUMBER($CH$104)),"Sim",IF(NOT(ISNUMBER(INDEX('Inimigos'!$BB$11:$BB$54,$BC$48))),"Usada",IF($N$8&gt;=$CH$104+INDEX('Inimigos'!$BB$11:$BB$54,$BC$48),"Sim","No Ciclo "&amp;($CH$104+INDEX('Inimigos'!$BB$11:$BB$54,$BC$48)))))),""))</f>
        <v/>
      </c>
      <c r="K104" s="27">
        <f>IF(CJ104&gt;0,"O Google leu como fórmula: digite de novo com ' na frente.",IF(AND(ISNUMBER($BC$48),$AA$20=1,$BW$48&lt;&gt;"Comum"),"Congelado: sem ação especial no turno seguinte (19.6)",""))</f>
        <v/>
      </c>
      <c r="CB104" s="2">
        <f>IF(ISERROR($C$104),"",IF(ISBLANK($C$104),"",$C$104))</f>
        <v/>
      </c>
      <c r="CE104" s="2">
        <f>IF(ISERROR($F$104),"",IF(ISBLANK($F$104),"",$F$104))</f>
        <v/>
      </c>
      <c r="CH104" s="2">
        <f>IF(ISERROR($I$104),"",IF(ISBLANK($I$104),"",$I$104))</f>
        <v/>
      </c>
      <c r="CJ104" s="2">
        <f>ISERROR($C$104)*1+ISERROR($F$104)*1+ISERROR($I$104)*1</f>
        <v/>
      </c>
    </row>
    <row r="105" ht="48" customHeight="1">
      <c r="A105" s="31">
        <f>IF(LEN($N$21)&gt;0,$N$21,"Inimigo 5")</f>
        <v/>
      </c>
      <c r="B105" s="5">
        <f>IF(ISNUMBER($BC$49),INDEX('Inimigos'!$AW$11:$AW$54,$BC$49)&amp;"","")</f>
        <v/>
      </c>
      <c r="C105" s="16" t="n"/>
      <c r="D105" s="18">
        <f>IF(NOT(ISNUMBER($BC$49)),"",IFERROR(IF(LEN(INDEX('Inimigos'!$AW$11:$AW$54,$BC$49)&amp;"")=0,"",IF(NOT(ISNUMBER($CB$105)),"Sim",IF(NOT(ISNUMBER(INDEX('Inimigos'!$AX$11:$AX$54,$BC$49))),"Usada",IF($N$8&gt;=$CB$105+INDEX('Inimigos'!$AX$11:$AX$54,$BC$49),"Sim","No Ciclo "&amp;($CB$105+INDEX('Inimigos'!$AX$11:$AX$54,$BC$49)))))),""))</f>
        <v/>
      </c>
      <c r="E105" s="5">
        <f>IF(ISNUMBER($BC$49),INDEX('Inimigos'!$AY$11:$AY$54,$BC$49)&amp;"","")</f>
        <v/>
      </c>
      <c r="F105" s="16" t="n"/>
      <c r="G105" s="18">
        <f>IF(NOT(ISNUMBER($BC$49)),"",IFERROR(IF(LEN(INDEX('Inimigos'!$AY$11:$AY$54,$BC$49)&amp;"")=0,"",IF(NOT(ISNUMBER($CE$105)),"Sim",IF(NOT(ISNUMBER(INDEX('Inimigos'!$AZ$11:$AZ$54,$BC$49))),"Usada",IF($N$8&gt;=$CE$105+INDEX('Inimigos'!$AZ$11:$AZ$54,$BC$49),"Sim","No Ciclo "&amp;($CE$105+INDEX('Inimigos'!$AZ$11:$AZ$54,$BC$49)))))),""))</f>
        <v/>
      </c>
      <c r="H105" s="5">
        <f>IF(ISNUMBER($BC$49),INDEX('Inimigos'!$BA$11:$BA$54,$BC$49)&amp;"","")</f>
        <v/>
      </c>
      <c r="I105" s="16" t="n"/>
      <c r="J105" s="18">
        <f>IF(NOT(ISNUMBER($BC$49)),"",IFERROR(IF(LEN(INDEX('Inimigos'!$BA$11:$BA$54,$BC$49)&amp;"")=0,"",IF(NOT(ISNUMBER($CH$105)),"Sim",IF(NOT(ISNUMBER(INDEX('Inimigos'!$BB$11:$BB$54,$BC$49))),"Usada",IF($N$8&gt;=$CH$105+INDEX('Inimigos'!$BB$11:$BB$54,$BC$49),"Sim","No Ciclo "&amp;($CH$105+INDEX('Inimigos'!$BB$11:$BB$54,$BC$49)))))),""))</f>
        <v/>
      </c>
      <c r="K105" s="19">
        <f>IF(CJ105&gt;0,"O Google leu como fórmula: digite de novo com ' na frente.",IF(AND(ISNUMBER($BC$49),$AA$21=1,$BW$49&lt;&gt;"Comum"),"Congelado: sem ação especial no turno seguinte (19.6)",""))</f>
        <v/>
      </c>
      <c r="CB105" s="2">
        <f>IF(ISERROR($C$105),"",IF(ISBLANK($C$105),"",$C$105))</f>
        <v/>
      </c>
      <c r="CE105" s="2">
        <f>IF(ISERROR($F$105),"",IF(ISBLANK($F$105),"",$F$105))</f>
        <v/>
      </c>
      <c r="CH105" s="2">
        <f>IF(ISERROR($I$105),"",IF(ISBLANK($I$105),"",$I$105))</f>
        <v/>
      </c>
      <c r="CJ105" s="2">
        <f>ISERROR($C$105)*1+ISERROR($F$105)*1+ISERROR($I$105)*1</f>
        <v/>
      </c>
    </row>
    <row r="106" ht="48" customHeight="1">
      <c r="A106" s="43">
        <f>IF(LEN($N$22)&gt;0,$N$22,"Inimigo 6")</f>
        <v/>
      </c>
      <c r="B106" s="10">
        <f>IF(ISNUMBER($BC$50),INDEX('Inimigos'!$AW$11:$AW$54,$BC$50)&amp;"","")</f>
        <v/>
      </c>
      <c r="C106" s="37" t="n"/>
      <c r="D106" s="23">
        <f>IF(NOT(ISNUMBER($BC$50)),"",IFERROR(IF(LEN(INDEX('Inimigos'!$AW$11:$AW$54,$BC$50)&amp;"")=0,"",IF(NOT(ISNUMBER($CB$106)),"Sim",IF(NOT(ISNUMBER(INDEX('Inimigos'!$AX$11:$AX$54,$BC$50))),"Usada",IF($N$8&gt;=$CB$106+INDEX('Inimigos'!$AX$11:$AX$54,$BC$50),"Sim","No Ciclo "&amp;($CB$106+INDEX('Inimigos'!$AX$11:$AX$54,$BC$50)))))),""))</f>
        <v/>
      </c>
      <c r="E106" s="10">
        <f>IF(ISNUMBER($BC$50),INDEX('Inimigos'!$AY$11:$AY$54,$BC$50)&amp;"","")</f>
        <v/>
      </c>
      <c r="F106" s="37" t="n"/>
      <c r="G106" s="23">
        <f>IF(NOT(ISNUMBER($BC$50)),"",IFERROR(IF(LEN(INDEX('Inimigos'!$AY$11:$AY$54,$BC$50)&amp;"")=0,"",IF(NOT(ISNUMBER($CE$106)),"Sim",IF(NOT(ISNUMBER(INDEX('Inimigos'!$AZ$11:$AZ$54,$BC$50))),"Usada",IF($N$8&gt;=$CE$106+INDEX('Inimigos'!$AZ$11:$AZ$54,$BC$50),"Sim","No Ciclo "&amp;($CE$106+INDEX('Inimigos'!$AZ$11:$AZ$54,$BC$50)))))),""))</f>
        <v/>
      </c>
      <c r="H106" s="10">
        <f>IF(ISNUMBER($BC$50),INDEX('Inimigos'!$BA$11:$BA$54,$BC$50)&amp;"","")</f>
        <v/>
      </c>
      <c r="I106" s="37" t="n"/>
      <c r="J106" s="23">
        <f>IF(NOT(ISNUMBER($BC$50)),"",IFERROR(IF(LEN(INDEX('Inimigos'!$BA$11:$BA$54,$BC$50)&amp;"")=0,"",IF(NOT(ISNUMBER($CH$106)),"Sim",IF(NOT(ISNUMBER(INDEX('Inimigos'!$BB$11:$BB$54,$BC$50))),"Usada",IF($N$8&gt;=$CH$106+INDEX('Inimigos'!$BB$11:$BB$54,$BC$50),"Sim","No Ciclo "&amp;($CH$106+INDEX('Inimigos'!$BB$11:$BB$54,$BC$50)))))),""))</f>
        <v/>
      </c>
      <c r="K106" s="27">
        <f>IF(CJ106&gt;0,"O Google leu como fórmula: digite de novo com ' na frente.",IF(AND(ISNUMBER($BC$50),$AA$22=1,$BW$50&lt;&gt;"Comum"),"Congelado: sem ação especial no turno seguinte (19.6)",""))</f>
        <v/>
      </c>
      <c r="CB106" s="2">
        <f>IF(ISERROR($C$106),"",IF(ISBLANK($C$106),"",$C$106))</f>
        <v/>
      </c>
      <c r="CE106" s="2">
        <f>IF(ISERROR($F$106),"",IF(ISBLANK($F$106),"",$F$106))</f>
        <v/>
      </c>
      <c r="CH106" s="2">
        <f>IF(ISERROR($I$106),"",IF(ISBLANK($I$106),"",$I$106))</f>
        <v/>
      </c>
      <c r="CJ106" s="2">
        <f>ISERROR($C$106)*1+ISERROR($F$106)*1+ISERROR($I$106)*1</f>
        <v/>
      </c>
    </row>
    <row r="107" ht="48" customHeight="1">
      <c r="A107" s="31">
        <f>IF(LEN($N$23)&gt;0,$N$23,"Inimigo 7")</f>
        <v/>
      </c>
      <c r="B107" s="5">
        <f>IF(ISNUMBER($BC$51),INDEX('Inimigos'!$AW$11:$AW$54,$BC$51)&amp;"","")</f>
        <v/>
      </c>
      <c r="C107" s="16" t="n"/>
      <c r="D107" s="18">
        <f>IF(NOT(ISNUMBER($BC$51)),"",IFERROR(IF(LEN(INDEX('Inimigos'!$AW$11:$AW$54,$BC$51)&amp;"")=0,"",IF(NOT(ISNUMBER($CB$107)),"Sim",IF(NOT(ISNUMBER(INDEX('Inimigos'!$AX$11:$AX$54,$BC$51))),"Usada",IF($N$8&gt;=$CB$107+INDEX('Inimigos'!$AX$11:$AX$54,$BC$51),"Sim","No Ciclo "&amp;($CB$107+INDEX('Inimigos'!$AX$11:$AX$54,$BC$51)))))),""))</f>
        <v/>
      </c>
      <c r="E107" s="5">
        <f>IF(ISNUMBER($BC$51),INDEX('Inimigos'!$AY$11:$AY$54,$BC$51)&amp;"","")</f>
        <v/>
      </c>
      <c r="F107" s="16" t="n"/>
      <c r="G107" s="18">
        <f>IF(NOT(ISNUMBER($BC$51)),"",IFERROR(IF(LEN(INDEX('Inimigos'!$AY$11:$AY$54,$BC$51)&amp;"")=0,"",IF(NOT(ISNUMBER($CE$107)),"Sim",IF(NOT(ISNUMBER(INDEX('Inimigos'!$AZ$11:$AZ$54,$BC$51))),"Usada",IF($N$8&gt;=$CE$107+INDEX('Inimigos'!$AZ$11:$AZ$54,$BC$51),"Sim","No Ciclo "&amp;($CE$107+INDEX('Inimigos'!$AZ$11:$AZ$54,$BC$51)))))),""))</f>
        <v/>
      </c>
      <c r="H107" s="5">
        <f>IF(ISNUMBER($BC$51),INDEX('Inimigos'!$BA$11:$BA$54,$BC$51)&amp;"","")</f>
        <v/>
      </c>
      <c r="I107" s="16" t="n"/>
      <c r="J107" s="18">
        <f>IF(NOT(ISNUMBER($BC$51)),"",IFERROR(IF(LEN(INDEX('Inimigos'!$BA$11:$BA$54,$BC$51)&amp;"")=0,"",IF(NOT(ISNUMBER($CH$107)),"Sim",IF(NOT(ISNUMBER(INDEX('Inimigos'!$BB$11:$BB$54,$BC$51))),"Usada",IF($N$8&gt;=$CH$107+INDEX('Inimigos'!$BB$11:$BB$54,$BC$51),"Sim","No Ciclo "&amp;($CH$107+INDEX('Inimigos'!$BB$11:$BB$54,$BC$51)))))),""))</f>
        <v/>
      </c>
      <c r="K107" s="19">
        <f>IF(CJ107&gt;0,"O Google leu como fórmula: digite de novo com ' na frente.",IF(AND(ISNUMBER($BC$51),$AA$23=1,$BW$51&lt;&gt;"Comum"),"Congelado: sem ação especial no turno seguinte (19.6)",""))</f>
        <v/>
      </c>
      <c r="CB107" s="2">
        <f>IF(ISERROR($C$107),"",IF(ISBLANK($C$107),"",$C$107))</f>
        <v/>
      </c>
      <c r="CE107" s="2">
        <f>IF(ISERROR($F$107),"",IF(ISBLANK($F$107),"",$F$107))</f>
        <v/>
      </c>
      <c r="CH107" s="2">
        <f>IF(ISERROR($I$107),"",IF(ISBLANK($I$107),"",$I$107))</f>
        <v/>
      </c>
      <c r="CJ107" s="2">
        <f>ISERROR($C$107)*1+ISERROR($F$107)*1+ISERROR($I$107)*1</f>
        <v/>
      </c>
    </row>
    <row r="108" ht="48" customHeight="1">
      <c r="A108" s="43">
        <f>IF(LEN($N$24)&gt;0,$N$24,"Inimigo 8")</f>
        <v/>
      </c>
      <c r="B108" s="10">
        <f>IF(ISNUMBER($BC$52),INDEX('Inimigos'!$AW$11:$AW$54,$BC$52)&amp;"","")</f>
        <v/>
      </c>
      <c r="C108" s="37" t="n"/>
      <c r="D108" s="23">
        <f>IF(NOT(ISNUMBER($BC$52)),"",IFERROR(IF(LEN(INDEX('Inimigos'!$AW$11:$AW$54,$BC$52)&amp;"")=0,"",IF(NOT(ISNUMBER($CB$108)),"Sim",IF(NOT(ISNUMBER(INDEX('Inimigos'!$AX$11:$AX$54,$BC$52))),"Usada",IF($N$8&gt;=$CB$108+INDEX('Inimigos'!$AX$11:$AX$54,$BC$52),"Sim","No Ciclo "&amp;($CB$108+INDEX('Inimigos'!$AX$11:$AX$54,$BC$52)))))),""))</f>
        <v/>
      </c>
      <c r="E108" s="10">
        <f>IF(ISNUMBER($BC$52),INDEX('Inimigos'!$AY$11:$AY$54,$BC$52)&amp;"","")</f>
        <v/>
      </c>
      <c r="F108" s="37" t="n"/>
      <c r="G108" s="23">
        <f>IF(NOT(ISNUMBER($BC$52)),"",IFERROR(IF(LEN(INDEX('Inimigos'!$AY$11:$AY$54,$BC$52)&amp;"")=0,"",IF(NOT(ISNUMBER($CE$108)),"Sim",IF(NOT(ISNUMBER(INDEX('Inimigos'!$AZ$11:$AZ$54,$BC$52))),"Usada",IF($N$8&gt;=$CE$108+INDEX('Inimigos'!$AZ$11:$AZ$54,$BC$52),"Sim","No Ciclo "&amp;($CE$108+INDEX('Inimigos'!$AZ$11:$AZ$54,$BC$52)))))),""))</f>
        <v/>
      </c>
      <c r="H108" s="10">
        <f>IF(ISNUMBER($BC$52),INDEX('Inimigos'!$BA$11:$BA$54,$BC$52)&amp;"","")</f>
        <v/>
      </c>
      <c r="I108" s="37" t="n"/>
      <c r="J108" s="23">
        <f>IF(NOT(ISNUMBER($BC$52)),"",IFERROR(IF(LEN(INDEX('Inimigos'!$BA$11:$BA$54,$BC$52)&amp;"")=0,"",IF(NOT(ISNUMBER($CH$108)),"Sim",IF(NOT(ISNUMBER(INDEX('Inimigos'!$BB$11:$BB$54,$BC$52))),"Usada",IF($N$8&gt;=$CH$108+INDEX('Inimigos'!$BB$11:$BB$54,$BC$52),"Sim","No Ciclo "&amp;($CH$108+INDEX('Inimigos'!$BB$11:$BB$54,$BC$52)))))),""))</f>
        <v/>
      </c>
      <c r="K108" s="27">
        <f>IF(CJ108&gt;0,"O Google leu como fórmula: digite de novo com ' na frente.",IF(AND(ISNUMBER($BC$52),$AA$24=1,$BW$52&lt;&gt;"Comum"),"Congelado: sem ação especial no turno seguinte (19.6)",""))</f>
        <v/>
      </c>
      <c r="CB108" s="2">
        <f>IF(ISERROR($C$108),"",IF(ISBLANK($C$108),"",$C$108))</f>
        <v/>
      </c>
      <c r="CE108" s="2">
        <f>IF(ISERROR($F$108),"",IF(ISBLANK($F$108),"",$F$108))</f>
        <v/>
      </c>
      <c r="CH108" s="2">
        <f>IF(ISERROR($I$108),"",IF(ISBLANK($I$108),"",$I$108))</f>
        <v/>
      </c>
      <c r="CJ108" s="2">
        <f>ISERROR($C$108)*1+ISERROR($F$108)*1+ISERROR($I$108)*1</f>
        <v/>
      </c>
    </row>
    <row r="109" ht="48" customHeight="1">
      <c r="A109" s="31">
        <f>IF(LEN($N$25)&gt;0,$N$25,"Inimigo 9")</f>
        <v/>
      </c>
      <c r="B109" s="5">
        <f>IF(ISNUMBER($BC$53),INDEX('Inimigos'!$AW$11:$AW$54,$BC$53)&amp;"","")</f>
        <v/>
      </c>
      <c r="C109" s="16" t="n"/>
      <c r="D109" s="18">
        <f>IF(NOT(ISNUMBER($BC$53)),"",IFERROR(IF(LEN(INDEX('Inimigos'!$AW$11:$AW$54,$BC$53)&amp;"")=0,"",IF(NOT(ISNUMBER($CB$109)),"Sim",IF(NOT(ISNUMBER(INDEX('Inimigos'!$AX$11:$AX$54,$BC$53))),"Usada",IF($N$8&gt;=$CB$109+INDEX('Inimigos'!$AX$11:$AX$54,$BC$53),"Sim","No Ciclo "&amp;($CB$109+INDEX('Inimigos'!$AX$11:$AX$54,$BC$53)))))),""))</f>
        <v/>
      </c>
      <c r="E109" s="5">
        <f>IF(ISNUMBER($BC$53),INDEX('Inimigos'!$AY$11:$AY$54,$BC$53)&amp;"","")</f>
        <v/>
      </c>
      <c r="F109" s="16" t="n"/>
      <c r="G109" s="18">
        <f>IF(NOT(ISNUMBER($BC$53)),"",IFERROR(IF(LEN(INDEX('Inimigos'!$AY$11:$AY$54,$BC$53)&amp;"")=0,"",IF(NOT(ISNUMBER($CE$109)),"Sim",IF(NOT(ISNUMBER(INDEX('Inimigos'!$AZ$11:$AZ$54,$BC$53))),"Usada",IF($N$8&gt;=$CE$109+INDEX('Inimigos'!$AZ$11:$AZ$54,$BC$53),"Sim","No Ciclo "&amp;($CE$109+INDEX('Inimigos'!$AZ$11:$AZ$54,$BC$53)))))),""))</f>
        <v/>
      </c>
      <c r="H109" s="5">
        <f>IF(ISNUMBER($BC$53),INDEX('Inimigos'!$BA$11:$BA$54,$BC$53)&amp;"","")</f>
        <v/>
      </c>
      <c r="I109" s="16" t="n"/>
      <c r="J109" s="18">
        <f>IF(NOT(ISNUMBER($BC$53)),"",IFERROR(IF(LEN(INDEX('Inimigos'!$BA$11:$BA$54,$BC$53)&amp;"")=0,"",IF(NOT(ISNUMBER($CH$109)),"Sim",IF(NOT(ISNUMBER(INDEX('Inimigos'!$BB$11:$BB$54,$BC$53))),"Usada",IF($N$8&gt;=$CH$109+INDEX('Inimigos'!$BB$11:$BB$54,$BC$53),"Sim","No Ciclo "&amp;($CH$109+INDEX('Inimigos'!$BB$11:$BB$54,$BC$53)))))),""))</f>
        <v/>
      </c>
      <c r="K109" s="19">
        <f>IF(CJ109&gt;0,"O Google leu como fórmula: digite de novo com ' na frente.",IF(AND(ISNUMBER($BC$53),$AA$25=1,$BW$53&lt;&gt;"Comum"),"Congelado: sem ação especial no turno seguinte (19.6)",""))</f>
        <v/>
      </c>
      <c r="CB109" s="2">
        <f>IF(ISERROR($C$109),"",IF(ISBLANK($C$109),"",$C$109))</f>
        <v/>
      </c>
      <c r="CE109" s="2">
        <f>IF(ISERROR($F$109),"",IF(ISBLANK($F$109),"",$F$109))</f>
        <v/>
      </c>
      <c r="CH109" s="2">
        <f>IF(ISERROR($I$109),"",IF(ISBLANK($I$109),"",$I$109))</f>
        <v/>
      </c>
      <c r="CJ109" s="2">
        <f>ISERROR($C$109)*1+ISERROR($F$109)*1+ISERROR($I$109)*1</f>
        <v/>
      </c>
    </row>
    <row r="110" ht="48" customHeight="1">
      <c r="A110" s="43">
        <f>IF(LEN($N$26)&gt;0,$N$26,"Inimigo 10")</f>
        <v/>
      </c>
      <c r="B110" s="10">
        <f>IF(ISNUMBER($BC$54),INDEX('Inimigos'!$AW$11:$AW$54,$BC$54)&amp;"","")</f>
        <v/>
      </c>
      <c r="C110" s="37" t="n"/>
      <c r="D110" s="23">
        <f>IF(NOT(ISNUMBER($BC$54)),"",IFERROR(IF(LEN(INDEX('Inimigos'!$AW$11:$AW$54,$BC$54)&amp;"")=0,"",IF(NOT(ISNUMBER($CB$110)),"Sim",IF(NOT(ISNUMBER(INDEX('Inimigos'!$AX$11:$AX$54,$BC$54))),"Usada",IF($N$8&gt;=$CB$110+INDEX('Inimigos'!$AX$11:$AX$54,$BC$54),"Sim","No Ciclo "&amp;($CB$110+INDEX('Inimigos'!$AX$11:$AX$54,$BC$54)))))),""))</f>
        <v/>
      </c>
      <c r="E110" s="10">
        <f>IF(ISNUMBER($BC$54),INDEX('Inimigos'!$AY$11:$AY$54,$BC$54)&amp;"","")</f>
        <v/>
      </c>
      <c r="F110" s="37" t="n"/>
      <c r="G110" s="23">
        <f>IF(NOT(ISNUMBER($BC$54)),"",IFERROR(IF(LEN(INDEX('Inimigos'!$AY$11:$AY$54,$BC$54)&amp;"")=0,"",IF(NOT(ISNUMBER($CE$110)),"Sim",IF(NOT(ISNUMBER(INDEX('Inimigos'!$AZ$11:$AZ$54,$BC$54))),"Usada",IF($N$8&gt;=$CE$110+INDEX('Inimigos'!$AZ$11:$AZ$54,$BC$54),"Sim","No Ciclo "&amp;($CE$110+INDEX('Inimigos'!$AZ$11:$AZ$54,$BC$54)))))),""))</f>
        <v/>
      </c>
      <c r="H110" s="10">
        <f>IF(ISNUMBER($BC$54),INDEX('Inimigos'!$BA$11:$BA$54,$BC$54)&amp;"","")</f>
        <v/>
      </c>
      <c r="I110" s="37" t="n"/>
      <c r="J110" s="23">
        <f>IF(NOT(ISNUMBER($BC$54)),"",IFERROR(IF(LEN(INDEX('Inimigos'!$BA$11:$BA$54,$BC$54)&amp;"")=0,"",IF(NOT(ISNUMBER($CH$110)),"Sim",IF(NOT(ISNUMBER(INDEX('Inimigos'!$BB$11:$BB$54,$BC$54))),"Usada",IF($N$8&gt;=$CH$110+INDEX('Inimigos'!$BB$11:$BB$54,$BC$54),"Sim","No Ciclo "&amp;($CH$110+INDEX('Inimigos'!$BB$11:$BB$54,$BC$54)))))),""))</f>
        <v/>
      </c>
      <c r="K110" s="27">
        <f>IF(CJ110&gt;0,"O Google leu como fórmula: digite de novo com ' na frente.",IF(AND(ISNUMBER($BC$54),$AA$26=1,$BW$54&lt;&gt;"Comum"),"Congelado: sem ação especial no turno seguinte (19.6)",""))</f>
        <v/>
      </c>
      <c r="CB110" s="2">
        <f>IF(ISERROR($C$110),"",IF(ISBLANK($C$110),"",$C$110))</f>
        <v/>
      </c>
      <c r="CE110" s="2">
        <f>IF(ISERROR($F$110),"",IF(ISBLANK($F$110),"",$F$110))</f>
        <v/>
      </c>
      <c r="CH110" s="2">
        <f>IF(ISERROR($I$110),"",IF(ISBLANK($I$110),"",$I$110))</f>
        <v/>
      </c>
      <c r="CJ110" s="2">
        <f>ISERROR($C$110)*1+ISERROR($F$110)*1+ISERROR($I$110)*1</f>
        <v/>
      </c>
    </row>
    <row r="111"/>
    <row r="112" ht="20" customHeight="1">
      <c r="A112" s="13" t="inlineStr">
        <is>
          <t>C8 · Fila — entradas do Ciclo (19.3–19.6)</t>
        </is>
      </c>
    </row>
    <row r="113" ht="48" customHeight="1">
      <c r="A113" s="8" t="inlineStr">
        <is>
          <t>Combatente</t>
        </is>
      </c>
      <c r="B113" s="8" t="inlineStr">
        <is>
          <t>VEL efetiva</t>
        </is>
      </c>
      <c r="C113" s="8" t="inlineStr">
        <is>
          <t>Ordem entre empatados (PJ, 1–5)</t>
        </is>
      </c>
      <c r="D113" s="8" t="inlineStr">
        <is>
          <t>Atraso deste Ciclo (casas)</t>
        </is>
      </c>
      <c r="E113" s="8" t="inlineStr">
        <is>
          <t>Atraso pendente do Ciclo anterior</t>
        </is>
      </c>
      <c r="F113" s="8" t="inlineStr">
        <is>
          <t>Avançar</t>
        </is>
      </c>
      <c r="G113" s="8" t="inlineStr">
        <is>
          <t>Avanço Total</t>
        </is>
      </c>
      <c r="H113" s="8" t="inlineStr">
        <is>
          <t>Já agiu?</t>
        </is>
      </c>
      <c r="I113" s="8" t="inlineStr">
        <is>
          <t>Casa manual</t>
        </is>
      </c>
      <c r="J113" s="8" t="inlineStr">
        <is>
          <t>Pendente para o Ciclo seguinte</t>
        </is>
      </c>
      <c r="K113" s="8" t="inlineStr">
        <is>
          <t>Aviso</t>
        </is>
      </c>
      <c r="L113" s="20" t="n"/>
    </row>
    <row r="114" ht="37" customHeight="1">
      <c r="A114" s="31">
        <f>IF(LEN($N$11)&gt;0,$N$11,"1 · (vazio)")</f>
        <v/>
      </c>
      <c r="B114" s="18">
        <f>IF($P$11=1,$U$11,"")</f>
        <v/>
      </c>
      <c r="C114" s="16" t="n"/>
      <c r="D114" s="16" t="n"/>
      <c r="E114" s="16" t="n"/>
      <c r="F114" s="16" t="n"/>
      <c r="G114" s="34" t="n"/>
      <c r="H114" s="34" t="n"/>
      <c r="I114" s="16" t="n"/>
      <c r="J114" s="18">
        <f>IF($P$11=1,$AN$11,"")</f>
        <v/>
      </c>
      <c r="K114" s="19">
        <f>IF(CJ114&gt;0,"O Google leu como fórmula: escolha de novo ou digite com ' na frente.",IF($P$11=0,"",IF(AND($AA$11=1,$O$11="Comum"),"Congelado: fora da Fila neste Ciclo; pendentes descartados (19.6)",IF(AND($AA$11=1,$AC$11&gt;0),"Congelado: o Atraso 2 já é o teto; nada mais soma (19.6)",IF(AND(ISNUMBER($CE$114),$CE$114&gt;0,$AF$11=1),"Avançar não vale em quem já agiu (19.5)",IF($AD$11&lt;$AC$11,"Teto/Firmeza: "&amp;$AC$11&amp;" casa(s) viram "&amp;$AD$11&amp;" (19.4)",IF($AU$11=1,"Avanço Total: age logo após o turno atual, 1 por Ciclo (19.5); use Casa manual se quiser fixar","")))))))</f>
        <v/>
      </c>
      <c r="CB114" s="2">
        <f>IF(ISERROR($C$114),"",IF(ISBLANK($C$114),"",$C$114))</f>
        <v/>
      </c>
      <c r="CC114" s="2">
        <f>IF(ISERROR($D$114),"",IF(ISBLANK($D$114),"",$D$114))</f>
        <v/>
      </c>
      <c r="CD114" s="2">
        <f>IF(ISERROR($E$114),"",IF(ISBLANK($E$114),"",$E$114))</f>
        <v/>
      </c>
      <c r="CE114" s="2">
        <f>IF(ISERROR($F$114),"",IF(ISBLANK($F$114),"",$F$114))</f>
        <v/>
      </c>
      <c r="CF114" s="2">
        <f>IF(ISERROR($G$114),"",IF(ISBLANK($G$114),"",$G$114))</f>
        <v/>
      </c>
      <c r="CG114" s="2">
        <f>IF(ISERROR($H$114),"",IF(ISBLANK($H$114),"",$H$114))</f>
        <v/>
      </c>
      <c r="CH114" s="2">
        <f>IF(ISERROR($I$114),"",IF(ISBLANK($I$114),"",$I$114))</f>
        <v/>
      </c>
      <c r="CJ114" s="2">
        <f>ISERROR($C$114)*1+ISERROR($D$114)*1+ISERROR($E$114)*1+ISERROR($F$114)*1+ISERROR($G$114)*1+ISERROR($H$114)*1+ISERROR($I$114)*1</f>
        <v/>
      </c>
    </row>
    <row r="115" ht="37" customHeight="1">
      <c r="A115" s="43">
        <f>IF(LEN($N$12)&gt;0,$N$12,"2 · (vazio)")</f>
        <v/>
      </c>
      <c r="B115" s="23">
        <f>IF($P$12=1,$U$12,"")</f>
        <v/>
      </c>
      <c r="C115" s="37" t="n"/>
      <c r="D115" s="37" t="n"/>
      <c r="E115" s="37" t="n"/>
      <c r="F115" s="37" t="n"/>
      <c r="G115" s="36" t="n"/>
      <c r="H115" s="36" t="n"/>
      <c r="I115" s="37" t="n"/>
      <c r="J115" s="23">
        <f>IF($P$12=1,$AN$12,"")</f>
        <v/>
      </c>
      <c r="K115" s="27">
        <f>IF(CJ115&gt;0,"O Google leu como fórmula: escolha de novo ou digite com ' na frente.",IF($P$12=0,"",IF(AND($AA$12=1,$O$12="Comum"),"Congelado: fora da Fila neste Ciclo; pendentes descartados (19.6)",IF(AND($AA$12=1,$AC$12&gt;0),"Congelado: o Atraso 2 já é o teto; nada mais soma (19.6)",IF(AND(ISNUMBER($CE$115),$CE$115&gt;0,$AF$12=1),"Avançar não vale em quem já agiu (19.5)",IF($AD$12&lt;$AC$12,"Teto/Firmeza: "&amp;$AC$12&amp;" casa(s) viram "&amp;$AD$12&amp;" (19.4)",IF($AU$12=1,"Avanço Total: age logo após o turno atual, 1 por Ciclo (19.5); use Casa manual se quiser fixar","")))))))</f>
        <v/>
      </c>
      <c r="CB115" s="2">
        <f>IF(ISERROR($C$115),"",IF(ISBLANK($C$115),"",$C$115))</f>
        <v/>
      </c>
      <c r="CC115" s="2">
        <f>IF(ISERROR($D$115),"",IF(ISBLANK($D$115),"",$D$115))</f>
        <v/>
      </c>
      <c r="CD115" s="2">
        <f>IF(ISERROR($E$115),"",IF(ISBLANK($E$115),"",$E$115))</f>
        <v/>
      </c>
      <c r="CE115" s="2">
        <f>IF(ISERROR($F$115),"",IF(ISBLANK($F$115),"",$F$115))</f>
        <v/>
      </c>
      <c r="CF115" s="2">
        <f>IF(ISERROR($G$115),"",IF(ISBLANK($G$115),"",$G$115))</f>
        <v/>
      </c>
      <c r="CG115" s="2">
        <f>IF(ISERROR($H$115),"",IF(ISBLANK($H$115),"",$H$115))</f>
        <v/>
      </c>
      <c r="CH115" s="2">
        <f>IF(ISERROR($I$115),"",IF(ISBLANK($I$115),"",$I$115))</f>
        <v/>
      </c>
      <c r="CJ115" s="2">
        <f>ISERROR($C$115)*1+ISERROR($D$115)*1+ISERROR($E$115)*1+ISERROR($F$115)*1+ISERROR($G$115)*1+ISERROR($H$115)*1+ISERROR($I$115)*1</f>
        <v/>
      </c>
    </row>
    <row r="116" ht="37" customHeight="1">
      <c r="A116" s="31">
        <f>IF(LEN($N$13)&gt;0,$N$13,"3 · (vazio)")</f>
        <v/>
      </c>
      <c r="B116" s="18">
        <f>IF($P$13=1,$U$13,"")</f>
        <v/>
      </c>
      <c r="C116" s="16" t="n"/>
      <c r="D116" s="16" t="n"/>
      <c r="E116" s="16" t="n"/>
      <c r="F116" s="16" t="n"/>
      <c r="G116" s="34" t="n"/>
      <c r="H116" s="34" t="n"/>
      <c r="I116" s="16" t="n"/>
      <c r="J116" s="18">
        <f>IF($P$13=1,$AN$13,"")</f>
        <v/>
      </c>
      <c r="K116" s="19">
        <f>IF(CJ116&gt;0,"O Google leu como fórmula: escolha de novo ou digite com ' na frente.",IF($P$13=0,"",IF(AND($AA$13=1,$O$13="Comum"),"Congelado: fora da Fila neste Ciclo; pendentes descartados (19.6)",IF(AND($AA$13=1,$AC$13&gt;0),"Congelado: o Atraso 2 já é o teto; nada mais soma (19.6)",IF(AND(ISNUMBER($CE$116),$CE$116&gt;0,$AF$13=1),"Avançar não vale em quem já agiu (19.5)",IF($AD$13&lt;$AC$13,"Teto/Firmeza: "&amp;$AC$13&amp;" casa(s) viram "&amp;$AD$13&amp;" (19.4)",IF($AU$13=1,"Avanço Total: age logo após o turno atual, 1 por Ciclo (19.5); use Casa manual se quiser fixar","")))))))</f>
        <v/>
      </c>
      <c r="CB116" s="2">
        <f>IF(ISERROR($C$116),"",IF(ISBLANK($C$116),"",$C$116))</f>
        <v/>
      </c>
      <c r="CC116" s="2">
        <f>IF(ISERROR($D$116),"",IF(ISBLANK($D$116),"",$D$116))</f>
        <v/>
      </c>
      <c r="CD116" s="2">
        <f>IF(ISERROR($E$116),"",IF(ISBLANK($E$116),"",$E$116))</f>
        <v/>
      </c>
      <c r="CE116" s="2">
        <f>IF(ISERROR($F$116),"",IF(ISBLANK($F$116),"",$F$116))</f>
        <v/>
      </c>
      <c r="CF116" s="2">
        <f>IF(ISERROR($G$116),"",IF(ISBLANK($G$116),"",$G$116))</f>
        <v/>
      </c>
      <c r="CG116" s="2">
        <f>IF(ISERROR($H$116),"",IF(ISBLANK($H$116),"",$H$116))</f>
        <v/>
      </c>
      <c r="CH116" s="2">
        <f>IF(ISERROR($I$116),"",IF(ISBLANK($I$116),"",$I$116))</f>
        <v/>
      </c>
      <c r="CJ116" s="2">
        <f>ISERROR($C$116)*1+ISERROR($D$116)*1+ISERROR($E$116)*1+ISERROR($F$116)*1+ISERROR($G$116)*1+ISERROR($H$116)*1+ISERROR($I$116)*1</f>
        <v/>
      </c>
    </row>
    <row r="117" ht="37" customHeight="1">
      <c r="A117" s="43">
        <f>IF(LEN($N$14)&gt;0,$N$14,"4 · (vazio)")</f>
        <v/>
      </c>
      <c r="B117" s="23">
        <f>IF($P$14=1,$U$14,"")</f>
        <v/>
      </c>
      <c r="C117" s="37" t="n"/>
      <c r="D117" s="37" t="n"/>
      <c r="E117" s="37" t="n"/>
      <c r="F117" s="37" t="n"/>
      <c r="G117" s="36" t="n"/>
      <c r="H117" s="36" t="n"/>
      <c r="I117" s="37" t="n"/>
      <c r="J117" s="23">
        <f>IF($P$14=1,$AN$14,"")</f>
        <v/>
      </c>
      <c r="K117" s="27">
        <f>IF(CJ117&gt;0,"O Google leu como fórmula: escolha de novo ou digite com ' na frente.",IF($P$14=0,"",IF(AND($AA$14=1,$O$14="Comum"),"Congelado: fora da Fila neste Ciclo; pendentes descartados (19.6)",IF(AND($AA$14=1,$AC$14&gt;0),"Congelado: o Atraso 2 já é o teto; nada mais soma (19.6)",IF(AND(ISNUMBER($CE$117),$CE$117&gt;0,$AF$14=1),"Avançar não vale em quem já agiu (19.5)",IF($AD$14&lt;$AC$14,"Teto/Firmeza: "&amp;$AC$14&amp;" casa(s) viram "&amp;$AD$14&amp;" (19.4)",IF($AU$14=1,"Avanço Total: age logo após o turno atual, 1 por Ciclo (19.5); use Casa manual se quiser fixar","")))))))</f>
        <v/>
      </c>
      <c r="CB117" s="2">
        <f>IF(ISERROR($C$117),"",IF(ISBLANK($C$117),"",$C$117))</f>
        <v/>
      </c>
      <c r="CC117" s="2">
        <f>IF(ISERROR($D$117),"",IF(ISBLANK($D$117),"",$D$117))</f>
        <v/>
      </c>
      <c r="CD117" s="2">
        <f>IF(ISERROR($E$117),"",IF(ISBLANK($E$117),"",$E$117))</f>
        <v/>
      </c>
      <c r="CE117" s="2">
        <f>IF(ISERROR($F$117),"",IF(ISBLANK($F$117),"",$F$117))</f>
        <v/>
      </c>
      <c r="CF117" s="2">
        <f>IF(ISERROR($G$117),"",IF(ISBLANK($G$117),"",$G$117))</f>
        <v/>
      </c>
      <c r="CG117" s="2">
        <f>IF(ISERROR($H$117),"",IF(ISBLANK($H$117),"",$H$117))</f>
        <v/>
      </c>
      <c r="CH117" s="2">
        <f>IF(ISERROR($I$117),"",IF(ISBLANK($I$117),"",$I$117))</f>
        <v/>
      </c>
      <c r="CJ117" s="2">
        <f>ISERROR($C$117)*1+ISERROR($D$117)*1+ISERROR($E$117)*1+ISERROR($F$117)*1+ISERROR($G$117)*1+ISERROR($H$117)*1+ISERROR($I$117)*1</f>
        <v/>
      </c>
    </row>
    <row r="118" ht="37" customHeight="1">
      <c r="A118" s="31">
        <f>IF(LEN($N$15)&gt;0,$N$15,"5 · (vazio)")</f>
        <v/>
      </c>
      <c r="B118" s="18">
        <f>IF($P$15=1,$U$15,"")</f>
        <v/>
      </c>
      <c r="C118" s="16" t="n"/>
      <c r="D118" s="16" t="n"/>
      <c r="E118" s="16" t="n"/>
      <c r="F118" s="16" t="n"/>
      <c r="G118" s="34" t="n"/>
      <c r="H118" s="34" t="n"/>
      <c r="I118" s="16" t="n"/>
      <c r="J118" s="18">
        <f>IF($P$15=1,$AN$15,"")</f>
        <v/>
      </c>
      <c r="K118" s="19">
        <f>IF(CJ118&gt;0,"O Google leu como fórmula: escolha de novo ou digite com ' na frente.",IF($P$15=0,"",IF(AND($AA$15=1,$O$15="Comum"),"Congelado: fora da Fila neste Ciclo; pendentes descartados (19.6)",IF(AND($AA$15=1,$AC$15&gt;0),"Congelado: o Atraso 2 já é o teto; nada mais soma (19.6)",IF(AND(ISNUMBER($CE$118),$CE$118&gt;0,$AF$15=1),"Avançar não vale em quem já agiu (19.5)",IF($AD$15&lt;$AC$15,"Teto/Firmeza: "&amp;$AC$15&amp;" casa(s) viram "&amp;$AD$15&amp;" (19.4)",IF($AU$15=1,"Avanço Total: age logo após o turno atual, 1 por Ciclo (19.5); use Casa manual se quiser fixar","")))))))</f>
        <v/>
      </c>
      <c r="CB118" s="2">
        <f>IF(ISERROR($C$118),"",IF(ISBLANK($C$118),"",$C$118))</f>
        <v/>
      </c>
      <c r="CC118" s="2">
        <f>IF(ISERROR($D$118),"",IF(ISBLANK($D$118),"",$D$118))</f>
        <v/>
      </c>
      <c r="CD118" s="2">
        <f>IF(ISERROR($E$118),"",IF(ISBLANK($E$118),"",$E$118))</f>
        <v/>
      </c>
      <c r="CE118" s="2">
        <f>IF(ISERROR($F$118),"",IF(ISBLANK($F$118),"",$F$118))</f>
        <v/>
      </c>
      <c r="CF118" s="2">
        <f>IF(ISERROR($G$118),"",IF(ISBLANK($G$118),"",$G$118))</f>
        <v/>
      </c>
      <c r="CG118" s="2">
        <f>IF(ISERROR($H$118),"",IF(ISBLANK($H$118),"",$H$118))</f>
        <v/>
      </c>
      <c r="CH118" s="2">
        <f>IF(ISERROR($I$118),"",IF(ISBLANK($I$118),"",$I$118))</f>
        <v/>
      </c>
      <c r="CJ118" s="2">
        <f>ISERROR($C$118)*1+ISERROR($D$118)*1+ISERROR($E$118)*1+ISERROR($F$118)*1+ISERROR($G$118)*1+ISERROR($H$118)*1+ISERROR($I$118)*1</f>
        <v/>
      </c>
    </row>
    <row r="119" ht="37" customHeight="1">
      <c r="A119" s="43">
        <f>IF(LEN($N$16)&gt;0,$N$16,"6 · (vazio)")</f>
        <v/>
      </c>
      <c r="B119" s="23">
        <f>IF($P$16=1,$U$16,"")</f>
        <v/>
      </c>
      <c r="C119" s="37" t="n"/>
      <c r="D119" s="37" t="n"/>
      <c r="E119" s="37" t="n"/>
      <c r="F119" s="37" t="n"/>
      <c r="G119" s="36" t="n"/>
      <c r="H119" s="36" t="n"/>
      <c r="I119" s="37" t="n"/>
      <c r="J119" s="23">
        <f>IF($P$16=1,$AN$16,"")</f>
        <v/>
      </c>
      <c r="K119" s="27">
        <f>IF(CJ119&gt;0,"O Google leu como fórmula: escolha de novo ou digite com ' na frente.",IF($P$16=0,"",IF(AND($AA$16=1,$O$16="Comum"),"Congelado: fora da Fila neste Ciclo; pendentes descartados (19.6)",IF(AND($AA$16=1,$AC$16&gt;0),"Congelado: o Atraso 2 já é o teto; nada mais soma (19.6)",IF(AND(ISNUMBER($CE$119),$CE$119&gt;0,$AF$16=1),"Avançar não vale em quem já agiu (19.5)",IF($AD$16&lt;$AC$16,"Teto/Firmeza: "&amp;$AC$16&amp;" casa(s) viram "&amp;$AD$16&amp;" (19.4)",IF($AU$16=1,"Avanço Total: age logo após o turno atual, 1 por Ciclo (19.5); use Casa manual se quiser fixar","")))))))</f>
        <v/>
      </c>
      <c r="CB119" s="2">
        <f>IF(ISERROR($C$119),"",IF(ISBLANK($C$119),"",$C$119))</f>
        <v/>
      </c>
      <c r="CC119" s="2">
        <f>IF(ISERROR($D$119),"",IF(ISBLANK($D$119),"",$D$119))</f>
        <v/>
      </c>
      <c r="CD119" s="2">
        <f>IF(ISERROR($E$119),"",IF(ISBLANK($E$119),"",$E$119))</f>
        <v/>
      </c>
      <c r="CE119" s="2">
        <f>IF(ISERROR($F$119),"",IF(ISBLANK($F$119),"",$F$119))</f>
        <v/>
      </c>
      <c r="CF119" s="2">
        <f>IF(ISERROR($G$119),"",IF(ISBLANK($G$119),"",$G$119))</f>
        <v/>
      </c>
      <c r="CG119" s="2">
        <f>IF(ISERROR($H$119),"",IF(ISBLANK($H$119),"",$H$119))</f>
        <v/>
      </c>
      <c r="CH119" s="2">
        <f>IF(ISERROR($I$119),"",IF(ISBLANK($I$119),"",$I$119))</f>
        <v/>
      </c>
      <c r="CJ119" s="2">
        <f>ISERROR($C$119)*1+ISERROR($D$119)*1+ISERROR($E$119)*1+ISERROR($F$119)*1+ISERROR($G$119)*1+ISERROR($H$119)*1+ISERROR($I$119)*1</f>
        <v/>
      </c>
    </row>
    <row r="120" ht="37" customHeight="1">
      <c r="A120" s="31">
        <f>IF(LEN($N$17)&gt;0,$N$17,"7 · (vazio)")</f>
        <v/>
      </c>
      <c r="B120" s="18">
        <f>IF($P$17=1,$U$17,"")</f>
        <v/>
      </c>
      <c r="C120" s="18">
        <f>"—"</f>
        <v/>
      </c>
      <c r="D120" s="16" t="n"/>
      <c r="E120" s="16" t="n"/>
      <c r="F120" s="16" t="n"/>
      <c r="G120" s="34" t="n"/>
      <c r="H120" s="34" t="n"/>
      <c r="I120" s="16" t="n"/>
      <c r="J120" s="18">
        <f>IF($P$17=1,$AN$17,"")</f>
        <v/>
      </c>
      <c r="K120" s="19">
        <f>IF(CJ120&gt;0,"O Google leu como fórmula: escolha de novo ou digite com ' na frente.",IF($P$17=0,"",IF(AND($AA$17=1,$O$17="Comum"),"Congelado: fora da Fila neste Ciclo; pendentes descartados (19.6)",IF(AND($AA$17=1,$AC$17&gt;0),"Congelado: o Atraso 2 já é o teto; nada mais soma (19.6)",IF(AND(ISNUMBER($CE$120),$CE$120&gt;0,$AF$17=1),"Avançar não vale em quem já agiu (19.5)",IF($AD$17&lt;$AC$17,"Teto/Firmeza: "&amp;$AC$17&amp;" casa(s) viram "&amp;$AD$17&amp;" (19.4)",IF($AU$17=1,"Avanço Total: age logo após o turno atual, 1 por Ciclo (19.5); use Casa manual se quiser fixar","")))))))</f>
        <v/>
      </c>
      <c r="CC120" s="2">
        <f>IF(ISERROR($D$120),"",IF(ISBLANK($D$120),"",$D$120))</f>
        <v/>
      </c>
      <c r="CD120" s="2">
        <f>IF(ISERROR($E$120),"",IF(ISBLANK($E$120),"",$E$120))</f>
        <v/>
      </c>
      <c r="CE120" s="2">
        <f>IF(ISERROR($F$120),"",IF(ISBLANK($F$120),"",$F$120))</f>
        <v/>
      </c>
      <c r="CF120" s="2">
        <f>IF(ISERROR($G$120),"",IF(ISBLANK($G$120),"",$G$120))</f>
        <v/>
      </c>
      <c r="CG120" s="2">
        <f>IF(ISERROR($H$120),"",IF(ISBLANK($H$120),"",$H$120))</f>
        <v/>
      </c>
      <c r="CH120" s="2">
        <f>IF(ISERROR($I$120),"",IF(ISBLANK($I$120),"",$I$120))</f>
        <v/>
      </c>
      <c r="CJ120" s="2">
        <f>ISERROR($D$120)*1+ISERROR($E$120)*1+ISERROR($F$120)*1+ISERROR($G$120)*1+ISERROR($H$120)*1+ISERROR($I$120)*1</f>
        <v/>
      </c>
    </row>
    <row r="121" ht="37" customHeight="1">
      <c r="A121" s="43">
        <f>IF(LEN($N$18)&gt;0,$N$18,"8 · (vazio)")</f>
        <v/>
      </c>
      <c r="B121" s="23">
        <f>IF($P$18=1,$U$18,"")</f>
        <v/>
      </c>
      <c r="C121" s="23">
        <f>"—"</f>
        <v/>
      </c>
      <c r="D121" s="37" t="n"/>
      <c r="E121" s="37" t="n"/>
      <c r="F121" s="37" t="n"/>
      <c r="G121" s="36" t="n"/>
      <c r="H121" s="36" t="n"/>
      <c r="I121" s="37" t="n"/>
      <c r="J121" s="23">
        <f>IF($P$18=1,$AN$18,"")</f>
        <v/>
      </c>
      <c r="K121" s="27">
        <f>IF(CJ121&gt;0,"O Google leu como fórmula: escolha de novo ou digite com ' na frente.",IF($P$18=0,"",IF(AND($AA$18=1,$O$18="Comum"),"Congelado: fora da Fila neste Ciclo; pendentes descartados (19.6)",IF(AND($AA$18=1,$AC$18&gt;0),"Congelado: o Atraso 2 já é o teto; nada mais soma (19.6)",IF(AND(ISNUMBER($CE$121),$CE$121&gt;0,$AF$18=1),"Avançar não vale em quem já agiu (19.5)",IF($AD$18&lt;$AC$18,"Teto/Firmeza: "&amp;$AC$18&amp;" casa(s) viram "&amp;$AD$18&amp;" (19.4)",IF($AU$18=1,"Avanço Total: age logo após o turno atual, 1 por Ciclo (19.5); use Casa manual se quiser fixar","")))))))</f>
        <v/>
      </c>
      <c r="CC121" s="2">
        <f>IF(ISERROR($D$121),"",IF(ISBLANK($D$121),"",$D$121))</f>
        <v/>
      </c>
      <c r="CD121" s="2">
        <f>IF(ISERROR($E$121),"",IF(ISBLANK($E$121),"",$E$121))</f>
        <v/>
      </c>
      <c r="CE121" s="2">
        <f>IF(ISERROR($F$121),"",IF(ISBLANK($F$121),"",$F$121))</f>
        <v/>
      </c>
      <c r="CF121" s="2">
        <f>IF(ISERROR($G$121),"",IF(ISBLANK($G$121),"",$G$121))</f>
        <v/>
      </c>
      <c r="CG121" s="2">
        <f>IF(ISERROR($H$121),"",IF(ISBLANK($H$121),"",$H$121))</f>
        <v/>
      </c>
      <c r="CH121" s="2">
        <f>IF(ISERROR($I$121),"",IF(ISBLANK($I$121),"",$I$121))</f>
        <v/>
      </c>
      <c r="CJ121" s="2">
        <f>ISERROR($D$121)*1+ISERROR($E$121)*1+ISERROR($F$121)*1+ISERROR($G$121)*1+ISERROR($H$121)*1+ISERROR($I$121)*1</f>
        <v/>
      </c>
    </row>
    <row r="122" ht="37" customHeight="1">
      <c r="A122" s="31">
        <f>IF(LEN($N$19)&gt;0,$N$19,"9 · (vazio)")</f>
        <v/>
      </c>
      <c r="B122" s="18">
        <f>IF($P$19=1,$U$19,"")</f>
        <v/>
      </c>
      <c r="C122" s="18">
        <f>"—"</f>
        <v/>
      </c>
      <c r="D122" s="16" t="n"/>
      <c r="E122" s="16" t="n"/>
      <c r="F122" s="16" t="n"/>
      <c r="G122" s="34" t="n"/>
      <c r="H122" s="34" t="n"/>
      <c r="I122" s="16" t="n"/>
      <c r="J122" s="18">
        <f>IF($P$19=1,$AN$19,"")</f>
        <v/>
      </c>
      <c r="K122" s="19">
        <f>IF(CJ122&gt;0,"O Google leu como fórmula: escolha de novo ou digite com ' na frente.",IF($P$19=0,"",IF(AND($AA$19=1,$O$19="Comum"),"Congelado: fora da Fila neste Ciclo; pendentes descartados (19.6)",IF(AND($AA$19=1,$AC$19&gt;0),"Congelado: o Atraso 2 já é o teto; nada mais soma (19.6)",IF(AND(ISNUMBER($CE$122),$CE$122&gt;0,$AF$19=1),"Avançar não vale em quem já agiu (19.5)",IF($AD$19&lt;$AC$19,"Teto/Firmeza: "&amp;$AC$19&amp;" casa(s) viram "&amp;$AD$19&amp;" (19.4)",IF($AU$19=1,"Avanço Total: age logo após o turno atual, 1 por Ciclo (19.5); use Casa manual se quiser fixar","")))))))</f>
        <v/>
      </c>
      <c r="CC122" s="2">
        <f>IF(ISERROR($D$122),"",IF(ISBLANK($D$122),"",$D$122))</f>
        <v/>
      </c>
      <c r="CD122" s="2">
        <f>IF(ISERROR($E$122),"",IF(ISBLANK($E$122),"",$E$122))</f>
        <v/>
      </c>
      <c r="CE122" s="2">
        <f>IF(ISERROR($F$122),"",IF(ISBLANK($F$122),"",$F$122))</f>
        <v/>
      </c>
      <c r="CF122" s="2">
        <f>IF(ISERROR($G$122),"",IF(ISBLANK($G$122),"",$G$122))</f>
        <v/>
      </c>
      <c r="CG122" s="2">
        <f>IF(ISERROR($H$122),"",IF(ISBLANK($H$122),"",$H$122))</f>
        <v/>
      </c>
      <c r="CH122" s="2">
        <f>IF(ISERROR($I$122),"",IF(ISBLANK($I$122),"",$I$122))</f>
        <v/>
      </c>
      <c r="CJ122" s="2">
        <f>ISERROR($D$122)*1+ISERROR($E$122)*1+ISERROR($F$122)*1+ISERROR($G$122)*1+ISERROR($H$122)*1+ISERROR($I$122)*1</f>
        <v/>
      </c>
    </row>
    <row r="123" ht="37" customHeight="1">
      <c r="A123" s="43">
        <f>IF(LEN($N$20)&gt;0,$N$20,"10 · (vazio)")</f>
        <v/>
      </c>
      <c r="B123" s="23">
        <f>IF($P$20=1,$U$20,"")</f>
        <v/>
      </c>
      <c r="C123" s="23">
        <f>"—"</f>
        <v/>
      </c>
      <c r="D123" s="37" t="n"/>
      <c r="E123" s="37" t="n"/>
      <c r="F123" s="37" t="n"/>
      <c r="G123" s="36" t="n"/>
      <c r="H123" s="36" t="n"/>
      <c r="I123" s="37" t="n"/>
      <c r="J123" s="23">
        <f>IF($P$20=1,$AN$20,"")</f>
        <v/>
      </c>
      <c r="K123" s="27">
        <f>IF(CJ123&gt;0,"O Google leu como fórmula: escolha de novo ou digite com ' na frente.",IF($P$20=0,"",IF(AND($AA$20=1,$O$20="Comum"),"Congelado: fora da Fila neste Ciclo; pendentes descartados (19.6)",IF(AND($AA$20=1,$AC$20&gt;0),"Congelado: o Atraso 2 já é o teto; nada mais soma (19.6)",IF(AND(ISNUMBER($CE$123),$CE$123&gt;0,$AF$20=1),"Avançar não vale em quem já agiu (19.5)",IF($AD$20&lt;$AC$20,"Teto/Firmeza: "&amp;$AC$20&amp;" casa(s) viram "&amp;$AD$20&amp;" (19.4)",IF($AU$20=1,"Avanço Total: age logo após o turno atual, 1 por Ciclo (19.5); use Casa manual se quiser fixar","")))))))</f>
        <v/>
      </c>
      <c r="CC123" s="2">
        <f>IF(ISERROR($D$123),"",IF(ISBLANK($D$123),"",$D$123))</f>
        <v/>
      </c>
      <c r="CD123" s="2">
        <f>IF(ISERROR($E$123),"",IF(ISBLANK($E$123),"",$E$123))</f>
        <v/>
      </c>
      <c r="CE123" s="2">
        <f>IF(ISERROR($F$123),"",IF(ISBLANK($F$123),"",$F$123))</f>
        <v/>
      </c>
      <c r="CF123" s="2">
        <f>IF(ISERROR($G$123),"",IF(ISBLANK($G$123),"",$G$123))</f>
        <v/>
      </c>
      <c r="CG123" s="2">
        <f>IF(ISERROR($H$123),"",IF(ISBLANK($H$123),"",$H$123))</f>
        <v/>
      </c>
      <c r="CH123" s="2">
        <f>IF(ISERROR($I$123),"",IF(ISBLANK($I$123),"",$I$123))</f>
        <v/>
      </c>
      <c r="CJ123" s="2">
        <f>ISERROR($D$123)*1+ISERROR($E$123)*1+ISERROR($F$123)*1+ISERROR($G$123)*1+ISERROR($H$123)*1+ISERROR($I$123)*1</f>
        <v/>
      </c>
    </row>
    <row r="124" ht="48" customHeight="1">
      <c r="A124" s="8" t="inlineStr">
        <is>
          <t>Combatente</t>
        </is>
      </c>
      <c r="B124" s="8" t="inlineStr">
        <is>
          <t>VEL efetiva</t>
        </is>
      </c>
      <c r="C124" s="8" t="inlineStr">
        <is>
          <t>Ordem entre empatados (PJ, 1–5)</t>
        </is>
      </c>
      <c r="D124" s="8" t="inlineStr">
        <is>
          <t>Atraso deste Ciclo (casas)</t>
        </is>
      </c>
      <c r="E124" s="8" t="inlineStr">
        <is>
          <t>Atraso pendente do Ciclo anterior</t>
        </is>
      </c>
      <c r="F124" s="8" t="inlineStr">
        <is>
          <t>Avançar</t>
        </is>
      </c>
      <c r="G124" s="8" t="inlineStr">
        <is>
          <t>Avanço Total</t>
        </is>
      </c>
      <c r="H124" s="8" t="inlineStr">
        <is>
          <t>Já agiu?</t>
        </is>
      </c>
      <c r="I124" s="8" t="inlineStr">
        <is>
          <t>Casa manual</t>
        </is>
      </c>
      <c r="J124" s="8" t="inlineStr">
        <is>
          <t>Pendente para o Ciclo seguinte</t>
        </is>
      </c>
      <c r="K124" s="8" t="inlineStr">
        <is>
          <t>Aviso</t>
        </is>
      </c>
      <c r="L124" s="20" t="n"/>
    </row>
    <row r="125" ht="37" customHeight="1">
      <c r="A125" s="31">
        <f>IF(LEN($N$21)&gt;0,$N$21,"11 · (vazio)")</f>
        <v/>
      </c>
      <c r="B125" s="18">
        <f>IF($P$21=1,$U$21,"")</f>
        <v/>
      </c>
      <c r="C125" s="18">
        <f>"—"</f>
        <v/>
      </c>
      <c r="D125" s="16" t="n"/>
      <c r="E125" s="16" t="n"/>
      <c r="F125" s="16" t="n"/>
      <c r="G125" s="34" t="n"/>
      <c r="H125" s="34" t="n"/>
      <c r="I125" s="16" t="n"/>
      <c r="J125" s="18">
        <f>IF($P$21=1,$AN$21,"")</f>
        <v/>
      </c>
      <c r="K125" s="19">
        <f>IF(CJ125&gt;0,"O Google leu como fórmula: escolha de novo ou digite com ' na frente.",IF($P$21=0,"",IF(AND($AA$21=1,$O$21="Comum"),"Congelado: fora da Fila neste Ciclo; pendentes descartados (19.6)",IF(AND($AA$21=1,$AC$21&gt;0),"Congelado: o Atraso 2 já é o teto; nada mais soma (19.6)",IF(AND(ISNUMBER($CE$125),$CE$125&gt;0,$AF$21=1),"Avançar não vale em quem já agiu (19.5)",IF($AD$21&lt;$AC$21,"Teto/Firmeza: "&amp;$AC$21&amp;" casa(s) viram "&amp;$AD$21&amp;" (19.4)",IF($AU$21=1,"Avanço Total: age logo após o turno atual, 1 por Ciclo (19.5); use Casa manual se quiser fixar","")))))))</f>
        <v/>
      </c>
      <c r="CC125" s="2">
        <f>IF(ISERROR($D$125),"",IF(ISBLANK($D$125),"",$D$125))</f>
        <v/>
      </c>
      <c r="CD125" s="2">
        <f>IF(ISERROR($E$125),"",IF(ISBLANK($E$125),"",$E$125))</f>
        <v/>
      </c>
      <c r="CE125" s="2">
        <f>IF(ISERROR($F$125),"",IF(ISBLANK($F$125),"",$F$125))</f>
        <v/>
      </c>
      <c r="CF125" s="2">
        <f>IF(ISERROR($G$125),"",IF(ISBLANK($G$125),"",$G$125))</f>
        <v/>
      </c>
      <c r="CG125" s="2">
        <f>IF(ISERROR($H$125),"",IF(ISBLANK($H$125),"",$H$125))</f>
        <v/>
      </c>
      <c r="CH125" s="2">
        <f>IF(ISERROR($I$125),"",IF(ISBLANK($I$125),"",$I$125))</f>
        <v/>
      </c>
      <c r="CJ125" s="2">
        <f>ISERROR($D$125)*1+ISERROR($E$125)*1+ISERROR($F$125)*1+ISERROR($G$125)*1+ISERROR($H$125)*1+ISERROR($I$125)*1</f>
        <v/>
      </c>
    </row>
    <row r="126" ht="37" customHeight="1">
      <c r="A126" s="43">
        <f>IF(LEN($N$22)&gt;0,$N$22,"12 · (vazio)")</f>
        <v/>
      </c>
      <c r="B126" s="23">
        <f>IF($P$22=1,$U$22,"")</f>
        <v/>
      </c>
      <c r="C126" s="23">
        <f>"—"</f>
        <v/>
      </c>
      <c r="D126" s="37" t="n"/>
      <c r="E126" s="37" t="n"/>
      <c r="F126" s="37" t="n"/>
      <c r="G126" s="36" t="n"/>
      <c r="H126" s="36" t="n"/>
      <c r="I126" s="37" t="n"/>
      <c r="J126" s="23">
        <f>IF($P$22=1,$AN$22,"")</f>
        <v/>
      </c>
      <c r="K126" s="27">
        <f>IF(CJ126&gt;0,"O Google leu como fórmula: escolha de novo ou digite com ' na frente.",IF($P$22=0,"",IF(AND($AA$22=1,$O$22="Comum"),"Congelado: fora da Fila neste Ciclo; pendentes descartados (19.6)",IF(AND($AA$22=1,$AC$22&gt;0),"Congelado: o Atraso 2 já é o teto; nada mais soma (19.6)",IF(AND(ISNUMBER($CE$126),$CE$126&gt;0,$AF$22=1),"Avançar não vale em quem já agiu (19.5)",IF($AD$22&lt;$AC$22,"Teto/Firmeza: "&amp;$AC$22&amp;" casa(s) viram "&amp;$AD$22&amp;" (19.4)",IF($AU$22=1,"Avanço Total: age logo após o turno atual, 1 por Ciclo (19.5); use Casa manual se quiser fixar","")))))))</f>
        <v/>
      </c>
      <c r="CC126" s="2">
        <f>IF(ISERROR($D$126),"",IF(ISBLANK($D$126),"",$D$126))</f>
        <v/>
      </c>
      <c r="CD126" s="2">
        <f>IF(ISERROR($E$126),"",IF(ISBLANK($E$126),"",$E$126))</f>
        <v/>
      </c>
      <c r="CE126" s="2">
        <f>IF(ISERROR($F$126),"",IF(ISBLANK($F$126),"",$F$126))</f>
        <v/>
      </c>
      <c r="CF126" s="2">
        <f>IF(ISERROR($G$126),"",IF(ISBLANK($G$126),"",$G$126))</f>
        <v/>
      </c>
      <c r="CG126" s="2">
        <f>IF(ISERROR($H$126),"",IF(ISBLANK($H$126),"",$H$126))</f>
        <v/>
      </c>
      <c r="CH126" s="2">
        <f>IF(ISERROR($I$126),"",IF(ISBLANK($I$126),"",$I$126))</f>
        <v/>
      </c>
      <c r="CJ126" s="2">
        <f>ISERROR($D$126)*1+ISERROR($E$126)*1+ISERROR($F$126)*1+ISERROR($G$126)*1+ISERROR($H$126)*1+ISERROR($I$126)*1</f>
        <v/>
      </c>
    </row>
    <row r="127" ht="37" customHeight="1">
      <c r="A127" s="31">
        <f>IF(LEN($N$23)&gt;0,$N$23,"13 · (vazio)")</f>
        <v/>
      </c>
      <c r="B127" s="18">
        <f>IF($P$23=1,$U$23,"")</f>
        <v/>
      </c>
      <c r="C127" s="18">
        <f>"—"</f>
        <v/>
      </c>
      <c r="D127" s="16" t="n"/>
      <c r="E127" s="16" t="n"/>
      <c r="F127" s="16" t="n"/>
      <c r="G127" s="34" t="n"/>
      <c r="H127" s="34" t="n"/>
      <c r="I127" s="16" t="n"/>
      <c r="J127" s="18">
        <f>IF($P$23=1,$AN$23,"")</f>
        <v/>
      </c>
      <c r="K127" s="19">
        <f>IF(CJ127&gt;0,"O Google leu como fórmula: escolha de novo ou digite com ' na frente.",IF($P$23=0,"",IF(AND($AA$23=1,$O$23="Comum"),"Congelado: fora da Fila neste Ciclo; pendentes descartados (19.6)",IF(AND($AA$23=1,$AC$23&gt;0),"Congelado: o Atraso 2 já é o teto; nada mais soma (19.6)",IF(AND(ISNUMBER($CE$127),$CE$127&gt;0,$AF$23=1),"Avançar não vale em quem já agiu (19.5)",IF($AD$23&lt;$AC$23,"Teto/Firmeza: "&amp;$AC$23&amp;" casa(s) viram "&amp;$AD$23&amp;" (19.4)",IF($AU$23=1,"Avanço Total: age logo após o turno atual, 1 por Ciclo (19.5); use Casa manual se quiser fixar","")))))))</f>
        <v/>
      </c>
      <c r="CC127" s="2">
        <f>IF(ISERROR($D$127),"",IF(ISBLANK($D$127),"",$D$127))</f>
        <v/>
      </c>
      <c r="CD127" s="2">
        <f>IF(ISERROR($E$127),"",IF(ISBLANK($E$127),"",$E$127))</f>
        <v/>
      </c>
      <c r="CE127" s="2">
        <f>IF(ISERROR($F$127),"",IF(ISBLANK($F$127),"",$F$127))</f>
        <v/>
      </c>
      <c r="CF127" s="2">
        <f>IF(ISERROR($G$127),"",IF(ISBLANK($G$127),"",$G$127))</f>
        <v/>
      </c>
      <c r="CG127" s="2">
        <f>IF(ISERROR($H$127),"",IF(ISBLANK($H$127),"",$H$127))</f>
        <v/>
      </c>
      <c r="CH127" s="2">
        <f>IF(ISERROR($I$127),"",IF(ISBLANK($I$127),"",$I$127))</f>
        <v/>
      </c>
      <c r="CJ127" s="2">
        <f>ISERROR($D$127)*1+ISERROR($E$127)*1+ISERROR($F$127)*1+ISERROR($G$127)*1+ISERROR($H$127)*1+ISERROR($I$127)*1</f>
        <v/>
      </c>
    </row>
    <row r="128" ht="37" customHeight="1">
      <c r="A128" s="43">
        <f>IF(LEN($N$24)&gt;0,$N$24,"14 · (vazio)")</f>
        <v/>
      </c>
      <c r="B128" s="23">
        <f>IF($P$24=1,$U$24,"")</f>
        <v/>
      </c>
      <c r="C128" s="23">
        <f>"—"</f>
        <v/>
      </c>
      <c r="D128" s="37" t="n"/>
      <c r="E128" s="37" t="n"/>
      <c r="F128" s="37" t="n"/>
      <c r="G128" s="36" t="n"/>
      <c r="H128" s="36" t="n"/>
      <c r="I128" s="37" t="n"/>
      <c r="J128" s="23">
        <f>IF($P$24=1,$AN$24,"")</f>
        <v/>
      </c>
      <c r="K128" s="27">
        <f>IF(CJ128&gt;0,"O Google leu como fórmula: escolha de novo ou digite com ' na frente.",IF($P$24=0,"",IF(AND($AA$24=1,$O$24="Comum"),"Congelado: fora da Fila neste Ciclo; pendentes descartados (19.6)",IF(AND($AA$24=1,$AC$24&gt;0),"Congelado: o Atraso 2 já é o teto; nada mais soma (19.6)",IF(AND(ISNUMBER($CE$128),$CE$128&gt;0,$AF$24=1),"Avançar não vale em quem já agiu (19.5)",IF($AD$24&lt;$AC$24,"Teto/Firmeza: "&amp;$AC$24&amp;" casa(s) viram "&amp;$AD$24&amp;" (19.4)",IF($AU$24=1,"Avanço Total: age logo após o turno atual, 1 por Ciclo (19.5); use Casa manual se quiser fixar","")))))))</f>
        <v/>
      </c>
      <c r="CC128" s="2">
        <f>IF(ISERROR($D$128),"",IF(ISBLANK($D$128),"",$D$128))</f>
        <v/>
      </c>
      <c r="CD128" s="2">
        <f>IF(ISERROR($E$128),"",IF(ISBLANK($E$128),"",$E$128))</f>
        <v/>
      </c>
      <c r="CE128" s="2">
        <f>IF(ISERROR($F$128),"",IF(ISBLANK($F$128),"",$F$128))</f>
        <v/>
      </c>
      <c r="CF128" s="2">
        <f>IF(ISERROR($G$128),"",IF(ISBLANK($G$128),"",$G$128))</f>
        <v/>
      </c>
      <c r="CG128" s="2">
        <f>IF(ISERROR($H$128),"",IF(ISBLANK($H$128),"",$H$128))</f>
        <v/>
      </c>
      <c r="CH128" s="2">
        <f>IF(ISERROR($I$128),"",IF(ISBLANK($I$128),"",$I$128))</f>
        <v/>
      </c>
      <c r="CJ128" s="2">
        <f>ISERROR($D$128)*1+ISERROR($E$128)*1+ISERROR($F$128)*1+ISERROR($G$128)*1+ISERROR($H$128)*1+ISERROR($I$128)*1</f>
        <v/>
      </c>
    </row>
    <row r="129" ht="37" customHeight="1">
      <c r="A129" s="31">
        <f>IF(LEN($N$25)&gt;0,$N$25,"15 · (vazio)")</f>
        <v/>
      </c>
      <c r="B129" s="18">
        <f>IF($P$25=1,$U$25,"")</f>
        <v/>
      </c>
      <c r="C129" s="18">
        <f>"—"</f>
        <v/>
      </c>
      <c r="D129" s="16" t="n"/>
      <c r="E129" s="16" t="n"/>
      <c r="F129" s="16" t="n"/>
      <c r="G129" s="34" t="n"/>
      <c r="H129" s="34" t="n"/>
      <c r="I129" s="16" t="n"/>
      <c r="J129" s="18">
        <f>IF($P$25=1,$AN$25,"")</f>
        <v/>
      </c>
      <c r="K129" s="19">
        <f>IF(CJ129&gt;0,"O Google leu como fórmula: escolha de novo ou digite com ' na frente.",IF($P$25=0,"",IF(AND($AA$25=1,$O$25="Comum"),"Congelado: fora da Fila neste Ciclo; pendentes descartados (19.6)",IF(AND($AA$25=1,$AC$25&gt;0),"Congelado: o Atraso 2 já é o teto; nada mais soma (19.6)",IF(AND(ISNUMBER($CE$129),$CE$129&gt;0,$AF$25=1),"Avançar não vale em quem já agiu (19.5)",IF($AD$25&lt;$AC$25,"Teto/Firmeza: "&amp;$AC$25&amp;" casa(s) viram "&amp;$AD$25&amp;" (19.4)",IF($AU$25=1,"Avanço Total: age logo após o turno atual, 1 por Ciclo (19.5); use Casa manual se quiser fixar","")))))))</f>
        <v/>
      </c>
      <c r="CC129" s="2">
        <f>IF(ISERROR($D$129),"",IF(ISBLANK($D$129),"",$D$129))</f>
        <v/>
      </c>
      <c r="CD129" s="2">
        <f>IF(ISERROR($E$129),"",IF(ISBLANK($E$129),"",$E$129))</f>
        <v/>
      </c>
      <c r="CE129" s="2">
        <f>IF(ISERROR($F$129),"",IF(ISBLANK($F$129),"",$F$129))</f>
        <v/>
      </c>
      <c r="CF129" s="2">
        <f>IF(ISERROR($G$129),"",IF(ISBLANK($G$129),"",$G$129))</f>
        <v/>
      </c>
      <c r="CG129" s="2">
        <f>IF(ISERROR($H$129),"",IF(ISBLANK($H$129),"",$H$129))</f>
        <v/>
      </c>
      <c r="CH129" s="2">
        <f>IF(ISERROR($I$129),"",IF(ISBLANK($I$129),"",$I$129))</f>
        <v/>
      </c>
      <c r="CJ129" s="2">
        <f>ISERROR($D$129)*1+ISERROR($E$129)*1+ISERROR($F$129)*1+ISERROR($G$129)*1+ISERROR($H$129)*1+ISERROR($I$129)*1</f>
        <v/>
      </c>
    </row>
    <row r="130" ht="37" customHeight="1">
      <c r="A130" s="43">
        <f>IF(LEN($N$26)&gt;0,$N$26,"16 · (vazio)")</f>
        <v/>
      </c>
      <c r="B130" s="23">
        <f>IF($P$26=1,$U$26,"")</f>
        <v/>
      </c>
      <c r="C130" s="23">
        <f>"—"</f>
        <v/>
      </c>
      <c r="D130" s="37" t="n"/>
      <c r="E130" s="37" t="n"/>
      <c r="F130" s="37" t="n"/>
      <c r="G130" s="36" t="n"/>
      <c r="H130" s="36" t="n"/>
      <c r="I130" s="37" t="n"/>
      <c r="J130" s="23">
        <f>IF($P$26=1,$AN$26,"")</f>
        <v/>
      </c>
      <c r="K130" s="27">
        <f>IF(CJ130&gt;0,"O Google leu como fórmula: escolha de novo ou digite com ' na frente.",IF($P$26=0,"",IF(AND($AA$26=1,$O$26="Comum"),"Congelado: fora da Fila neste Ciclo; pendentes descartados (19.6)",IF(AND($AA$26=1,$AC$26&gt;0),"Congelado: o Atraso 2 já é o teto; nada mais soma (19.6)",IF(AND(ISNUMBER($CE$130),$CE$130&gt;0,$AF$26=1),"Avançar não vale em quem já agiu (19.5)",IF($AD$26&lt;$AC$26,"Teto/Firmeza: "&amp;$AC$26&amp;" casa(s) viram "&amp;$AD$26&amp;" (19.4)",IF($AU$26=1,"Avanço Total: age logo após o turno atual, 1 por Ciclo (19.5); use Casa manual se quiser fixar","")))))))</f>
        <v/>
      </c>
      <c r="CC130" s="2">
        <f>IF(ISERROR($D$130),"",IF(ISBLANK($D$130),"",$D$130))</f>
        <v/>
      </c>
      <c r="CD130" s="2">
        <f>IF(ISERROR($E$130),"",IF(ISBLANK($E$130),"",$E$130))</f>
        <v/>
      </c>
      <c r="CE130" s="2">
        <f>IF(ISERROR($F$130),"",IF(ISBLANK($F$130),"",$F$130))</f>
        <v/>
      </c>
      <c r="CF130" s="2">
        <f>IF(ISERROR($G$130),"",IF(ISBLANK($G$130),"",$G$130))</f>
        <v/>
      </c>
      <c r="CG130" s="2">
        <f>IF(ISERROR($H$130),"",IF(ISBLANK($H$130),"",$H$130))</f>
        <v/>
      </c>
      <c r="CH130" s="2">
        <f>IF(ISERROR($I$130),"",IF(ISBLANK($I$130),"",$I$130))</f>
        <v/>
      </c>
      <c r="CJ130" s="2">
        <f>ISERROR($D$130)*1+ISERROR($E$130)*1+ISERROR($F$130)*1+ISERROR($G$130)*1+ISERROR($H$130)*1+ISERROR($I$130)*1</f>
        <v/>
      </c>
    </row>
    <row r="131" ht="60" customHeight="1">
      <c r="A131" s="31">
        <f>IF(LEN($N$27)&gt;0,$N$27,"17 · (vazio)")</f>
        <v/>
      </c>
      <c r="B131" s="18">
        <f>IF($P$27=1,$U$27,"")</f>
        <v/>
      </c>
      <c r="C131" s="18">
        <f>"—"</f>
        <v/>
      </c>
      <c r="D131" s="16" t="n"/>
      <c r="E131" s="16" t="n"/>
      <c r="F131" s="16" t="n"/>
      <c r="G131" s="34" t="n"/>
      <c r="H131" s="34" t="n"/>
      <c r="I131" s="16" t="n"/>
      <c r="J131" s="18">
        <f>IF($P$27=1,$AN$27,"")</f>
        <v/>
      </c>
      <c r="K131" s="19">
        <f>IF(CJ131&gt;0,"O Google leu como fórmula: escolha de novo ou digite com ' na frente.",IF($P$27=0,"",IF(AND($AA$27=1,$O$27="Comum"),"Congelado: fora da Fila neste Ciclo; pendentes descartados (19.6)",IF(AND($AA$27=1,$AC$27&gt;0),"Congelado: o Atraso 2 já é o teto; nada mais soma (19.6)",IF(AND(ISNUMBER($CE$131),$CE$131&gt;0,$AF$27=1),"Avançar não vale em quem já agiu (19.5)",IF($AD$27&lt;$AC$27,"Teto/Firmeza: "&amp;$AC$27&amp;" casa(s) viram "&amp;$AD$27&amp;" (19.4)",IF($AU$27=1,"Avanço Total: age logo após o turno atual, 1 por Ciclo (19.5); use Casa manual se quiser fixar","")))))))</f>
        <v/>
      </c>
      <c r="CC131" s="2">
        <f>IF(ISERROR($D$131),"",IF(ISBLANK($D$131),"",$D$131))</f>
        <v/>
      </c>
      <c r="CD131" s="2">
        <f>IF(ISERROR($E$131),"",IF(ISBLANK($E$131),"",$E$131))</f>
        <v/>
      </c>
      <c r="CE131" s="2">
        <f>IF(ISERROR($F$131),"",IF(ISBLANK($F$131),"",$F$131))</f>
        <v/>
      </c>
      <c r="CF131" s="2">
        <f>IF(ISERROR($G$131),"",IF(ISBLANK($G$131),"",$G$131))</f>
        <v/>
      </c>
      <c r="CG131" s="2">
        <f>IF(ISERROR($H$131),"",IF(ISBLANK($H$131),"",$H$131))</f>
        <v/>
      </c>
      <c r="CH131" s="2">
        <f>IF(ISERROR($I$131),"",IF(ISBLANK($I$131),"",$I$131))</f>
        <v/>
      </c>
      <c r="CJ131" s="2">
        <f>ISERROR($D$131)*1+ISERROR($E$131)*1+ISERROR($F$131)*1+ISERROR($G$131)*1+ISERROR($H$131)*1+ISERROR($I$131)*1</f>
        <v/>
      </c>
    </row>
    <row r="132" ht="60" customHeight="1">
      <c r="A132" s="43">
        <f>IF(LEN($N$28)&gt;0,$N$28,"18 · (vazio)")</f>
        <v/>
      </c>
      <c r="B132" s="23">
        <f>IF($P$28=1,$U$28,"")</f>
        <v/>
      </c>
      <c r="C132" s="23">
        <f>"—"</f>
        <v/>
      </c>
      <c r="D132" s="37" t="n"/>
      <c r="E132" s="37" t="n"/>
      <c r="F132" s="37" t="n"/>
      <c r="G132" s="36" t="n"/>
      <c r="H132" s="36" t="n"/>
      <c r="I132" s="37" t="n"/>
      <c r="J132" s="23">
        <f>IF($P$28=1,$AN$28,"")</f>
        <v/>
      </c>
      <c r="K132" s="27">
        <f>IF(CJ132&gt;0,"O Google leu como fórmula: escolha de novo ou digite com ' na frente.",IF($P$28=0,"",IF(AND($AA$28=1,$O$28="Comum"),"Congelado: fora da Fila neste Ciclo; pendentes descartados (19.6)",IF(AND($AA$28=1,$AC$28&gt;0),"Congelado: o Atraso 2 já é o teto; nada mais soma (19.6)",IF(AND(ISNUMBER($CE$132),$CE$132&gt;0,$AF$28=1),"Avançar não vale em quem já agiu (19.5)",IF($AD$28&lt;$AC$28,"Teto/Firmeza: "&amp;$AC$28&amp;" casa(s) viram "&amp;$AD$28&amp;" (19.4)",IF($AU$28=1,"Avanço Total: age logo após o turno atual, 1 por Ciclo (19.5); use Casa manual se quiser fixar","")))))))</f>
        <v/>
      </c>
      <c r="CC132" s="2">
        <f>IF(ISERROR($D$132),"",IF(ISBLANK($D$132),"",$D$132))</f>
        <v/>
      </c>
      <c r="CD132" s="2">
        <f>IF(ISERROR($E$132),"",IF(ISBLANK($E$132),"",$E$132))</f>
        <v/>
      </c>
      <c r="CE132" s="2">
        <f>IF(ISERROR($F$132),"",IF(ISBLANK($F$132),"",$F$132))</f>
        <v/>
      </c>
      <c r="CF132" s="2">
        <f>IF(ISERROR($G$132),"",IF(ISBLANK($G$132),"",$G$132))</f>
        <v/>
      </c>
      <c r="CG132" s="2">
        <f>IF(ISERROR($H$132),"",IF(ISBLANK($H$132),"",$H$132))</f>
        <v/>
      </c>
      <c r="CH132" s="2">
        <f>IF(ISERROR($I$132),"",IF(ISBLANK($I$132),"",$I$132))</f>
        <v/>
      </c>
      <c r="CJ132" s="2">
        <f>ISERROR($D$132)*1+ISERROR($E$132)*1+ISERROR($F$132)*1+ISERROR($G$132)*1+ISERROR($H$132)*1+ISERROR($I$132)*1</f>
        <v/>
      </c>
    </row>
    <row r="133" ht="60" customHeight="1">
      <c r="A133" s="31">
        <f>IF(LEN($N$29)&gt;0,$N$29,"19 · (vazio)")</f>
        <v/>
      </c>
      <c r="B133" s="18">
        <f>IF($P$29=1,$U$29,"")</f>
        <v/>
      </c>
      <c r="C133" s="18">
        <f>"—"</f>
        <v/>
      </c>
      <c r="D133" s="16" t="n"/>
      <c r="E133" s="16" t="n"/>
      <c r="F133" s="16" t="n"/>
      <c r="G133" s="34" t="n"/>
      <c r="H133" s="34" t="n"/>
      <c r="I133" s="16" t="n"/>
      <c r="J133" s="18">
        <f>IF($P$29=1,$AN$29,"")</f>
        <v/>
      </c>
      <c r="K133" s="19">
        <f>IF(CJ133&gt;0,"O Google leu como fórmula: escolha de novo ou digite com ' na frente.",IF($P$29=0,"",IF(AND($AA$29=1,$O$29="Comum"),"Congelado: fora da Fila neste Ciclo; pendentes descartados (19.6)",IF(AND($AA$29=1,$AC$29&gt;0),"Congelado: o Atraso 2 já é o teto; nada mais soma (19.6)",IF(AND(ISNUMBER($CE$133),$CE$133&gt;0,$AF$29=1),"Avançar não vale em quem já agiu (19.5)",IF($AD$29&lt;$AC$29,"Teto/Firmeza: "&amp;$AC$29&amp;" casa(s) viram "&amp;$AD$29&amp;" (19.4)",IF($AU$29=1,"Avanço Total: age logo após o turno atual, 1 por Ciclo (19.5); use Casa manual se quiser fixar","")))))))</f>
        <v/>
      </c>
      <c r="CC133" s="2">
        <f>IF(ISERROR($D$133),"",IF(ISBLANK($D$133),"",$D$133))</f>
        <v/>
      </c>
      <c r="CD133" s="2">
        <f>IF(ISERROR($E$133),"",IF(ISBLANK($E$133),"",$E$133))</f>
        <v/>
      </c>
      <c r="CE133" s="2">
        <f>IF(ISERROR($F$133),"",IF(ISBLANK($F$133),"",$F$133))</f>
        <v/>
      </c>
      <c r="CF133" s="2">
        <f>IF(ISERROR($G$133),"",IF(ISBLANK($G$133),"",$G$133))</f>
        <v/>
      </c>
      <c r="CG133" s="2">
        <f>IF(ISERROR($H$133),"",IF(ISBLANK($H$133),"",$H$133))</f>
        <v/>
      </c>
      <c r="CH133" s="2">
        <f>IF(ISERROR($I$133),"",IF(ISBLANK($I$133),"",$I$133))</f>
        <v/>
      </c>
      <c r="CJ133" s="2">
        <f>ISERROR($D$133)*1+ISERROR($E$133)*1+ISERROR($F$133)*1+ISERROR($G$133)*1+ISERROR($H$133)*1+ISERROR($I$133)*1</f>
        <v/>
      </c>
    </row>
    <row r="134" ht="60" customHeight="1">
      <c r="A134" s="43">
        <f>IF(LEN($N$30)&gt;0,$N$30,"20 · (vazio)")</f>
        <v/>
      </c>
      <c r="B134" s="23">
        <f>IF($P$30=1,$U$30,"")</f>
        <v/>
      </c>
      <c r="C134" s="23">
        <f>"—"</f>
        <v/>
      </c>
      <c r="D134" s="37" t="n"/>
      <c r="E134" s="37" t="n"/>
      <c r="F134" s="37" t="n"/>
      <c r="G134" s="36" t="n"/>
      <c r="H134" s="36" t="n"/>
      <c r="I134" s="37" t="n"/>
      <c r="J134" s="23">
        <f>IF($P$30=1,$AN$30,"")</f>
        <v/>
      </c>
      <c r="K134" s="27">
        <f>IF(CJ134&gt;0,"O Google leu como fórmula: escolha de novo ou digite com ' na frente.",IF($P$30=0,"",IF(AND($AA$30=1,$O$30="Comum"),"Congelado: fora da Fila neste Ciclo; pendentes descartados (19.6)",IF(AND($AA$30=1,$AC$30&gt;0),"Congelado: o Atraso 2 já é o teto; nada mais soma (19.6)",IF(AND(ISNUMBER($CE$134),$CE$134&gt;0,$AF$30=1),"Avançar não vale em quem já agiu (19.5)",IF($AD$30&lt;$AC$30,"Teto/Firmeza: "&amp;$AC$30&amp;" casa(s) viram "&amp;$AD$30&amp;" (19.4)",IF($AU$30=1,"Avanço Total: age logo após o turno atual, 1 por Ciclo (19.5); use Casa manual se quiser fixar","")))))))</f>
        <v/>
      </c>
      <c r="CC134" s="2">
        <f>IF(ISERROR($D$134),"",IF(ISBLANK($D$134),"",$D$134))</f>
        <v/>
      </c>
      <c r="CD134" s="2">
        <f>IF(ISERROR($E$134),"",IF(ISBLANK($E$134),"",$E$134))</f>
        <v/>
      </c>
      <c r="CE134" s="2">
        <f>IF(ISERROR($F$134),"",IF(ISBLANK($F$134),"",$F$134))</f>
        <v/>
      </c>
      <c r="CF134" s="2">
        <f>IF(ISERROR($G$134),"",IF(ISBLANK($G$134),"",$G$134))</f>
        <v/>
      </c>
      <c r="CG134" s="2">
        <f>IF(ISERROR($H$134),"",IF(ISBLANK($H$134),"",$H$134))</f>
        <v/>
      </c>
      <c r="CH134" s="2">
        <f>IF(ISERROR($I$134),"",IF(ISBLANK($I$134),"",$I$134))</f>
        <v/>
      </c>
      <c r="CJ134" s="2">
        <f>ISERROR($D$134)*1+ISERROR($E$134)*1+ISERROR($F$134)*1+ISERROR($G$134)*1+ISERROR($H$134)*1+ISERROR($I$134)*1</f>
        <v/>
      </c>
    </row>
    <row r="135" ht="48" customHeight="1">
      <c r="A135" s="8" t="inlineStr">
        <is>
          <t>Combatente</t>
        </is>
      </c>
      <c r="B135" s="8" t="inlineStr">
        <is>
          <t>VEL efetiva</t>
        </is>
      </c>
      <c r="C135" s="8" t="inlineStr">
        <is>
          <t>Ordem entre empatados (PJ, 1–5)</t>
        </is>
      </c>
      <c r="D135" s="8" t="inlineStr">
        <is>
          <t>Atraso deste Ciclo (casas)</t>
        </is>
      </c>
      <c r="E135" s="8" t="inlineStr">
        <is>
          <t>Atraso pendente do Ciclo anterior</t>
        </is>
      </c>
      <c r="F135" s="8" t="inlineStr">
        <is>
          <t>Avançar</t>
        </is>
      </c>
      <c r="G135" s="8" t="inlineStr">
        <is>
          <t>Avanço Total</t>
        </is>
      </c>
      <c r="H135" s="8" t="inlineStr">
        <is>
          <t>Já agiu?</t>
        </is>
      </c>
      <c r="I135" s="8" t="inlineStr">
        <is>
          <t>Casa manual</t>
        </is>
      </c>
      <c r="J135" s="8" t="inlineStr">
        <is>
          <t>Pendente para o Ciclo seguinte</t>
        </is>
      </c>
      <c r="K135" s="8" t="inlineStr">
        <is>
          <t>Aviso</t>
        </is>
      </c>
      <c r="L135" s="20" t="n"/>
    </row>
    <row r="136" ht="60" customHeight="1">
      <c r="A136" s="31">
        <f>IF(LEN($N$31)&gt;0,$N$31,"21 · (vazio)")</f>
        <v/>
      </c>
      <c r="B136" s="18">
        <f>IF($P$31=1,$U$31,"")</f>
        <v/>
      </c>
      <c r="C136" s="18">
        <f>"—"</f>
        <v/>
      </c>
      <c r="D136" s="16" t="n"/>
      <c r="E136" s="16" t="n"/>
      <c r="F136" s="16" t="n"/>
      <c r="G136" s="34" t="n"/>
      <c r="H136" s="34" t="n"/>
      <c r="I136" s="16" t="n"/>
      <c r="J136" s="18">
        <f>IF($P$31=1,$AN$31,"")</f>
        <v/>
      </c>
      <c r="K136" s="19">
        <f>IF(CJ136&gt;0,"O Google leu como fórmula: escolha de novo ou digite com ' na frente.",IF($P$31=0,"",IF(AND($AA$31=1,$O$31="Comum"),"Congelado: fora da Fila neste Ciclo; pendentes descartados (19.6)",IF(AND($AA$31=1,$AC$31&gt;0),"Congelado: o Atraso 2 já é o teto; nada mais soma (19.6)",IF(AND(ISNUMBER($CE$136),$CE$136&gt;0,$AF$31=1),"Avançar não vale em quem já agiu (19.5)",IF($AD$31&lt;$AC$31,"Teto/Firmeza: "&amp;$AC$31&amp;" casa(s) viram "&amp;$AD$31&amp;" (19.4)",IF($AU$31=1,"Avanço Total: age logo após o turno atual, 1 por Ciclo (19.5); use Casa manual se quiser fixar","")))))))</f>
        <v/>
      </c>
      <c r="CC136" s="2">
        <f>IF(ISERROR($D$136),"",IF(ISBLANK($D$136),"",$D$136))</f>
        <v/>
      </c>
      <c r="CD136" s="2">
        <f>IF(ISERROR($E$136),"",IF(ISBLANK($E$136),"",$E$136))</f>
        <v/>
      </c>
      <c r="CE136" s="2">
        <f>IF(ISERROR($F$136),"",IF(ISBLANK($F$136),"",$F$136))</f>
        <v/>
      </c>
      <c r="CF136" s="2">
        <f>IF(ISERROR($G$136),"",IF(ISBLANK($G$136),"",$G$136))</f>
        <v/>
      </c>
      <c r="CG136" s="2">
        <f>IF(ISERROR($H$136),"",IF(ISBLANK($H$136),"",$H$136))</f>
        <v/>
      </c>
      <c r="CH136" s="2">
        <f>IF(ISERROR($I$136),"",IF(ISBLANK($I$136),"",$I$136))</f>
        <v/>
      </c>
      <c r="CJ136" s="2">
        <f>ISERROR($D$136)*1+ISERROR($E$136)*1+ISERROR($F$136)*1+ISERROR($G$136)*1+ISERROR($H$136)*1+ISERROR($I$136)*1</f>
        <v/>
      </c>
    </row>
    <row r="137" ht="60" customHeight="1">
      <c r="A137" s="43">
        <f>IF(LEN($N$32)&gt;0,$N$32,"22 · (vazio)")</f>
        <v/>
      </c>
      <c r="B137" s="23">
        <f>IF($P$32=1,$U$32,"")</f>
        <v/>
      </c>
      <c r="C137" s="23">
        <f>"—"</f>
        <v/>
      </c>
      <c r="D137" s="37" t="n"/>
      <c r="E137" s="37" t="n"/>
      <c r="F137" s="37" t="n"/>
      <c r="G137" s="36" t="n"/>
      <c r="H137" s="36" t="n"/>
      <c r="I137" s="37" t="n"/>
      <c r="J137" s="23">
        <f>IF($P$32=1,$AN$32,"")</f>
        <v/>
      </c>
      <c r="K137" s="27">
        <f>IF(CJ137&gt;0,"O Google leu como fórmula: escolha de novo ou digite com ' na frente.",IF($P$32=0,"",IF(AND($AA$32=1,$O$32="Comum"),"Congelado: fora da Fila neste Ciclo; pendentes descartados (19.6)",IF(AND($AA$32=1,$AC$32&gt;0),"Congelado: o Atraso 2 já é o teto; nada mais soma (19.6)",IF(AND(ISNUMBER($CE$137),$CE$137&gt;0,$AF$32=1),"Avançar não vale em quem já agiu (19.5)",IF($AD$32&lt;$AC$32,"Teto/Firmeza: "&amp;$AC$32&amp;" casa(s) viram "&amp;$AD$32&amp;" (19.4)",IF($AU$32=1,"Avanço Total: age logo após o turno atual, 1 por Ciclo (19.5); use Casa manual se quiser fixar","")))))))</f>
        <v/>
      </c>
      <c r="CC137" s="2">
        <f>IF(ISERROR($D$137),"",IF(ISBLANK($D$137),"",$D$137))</f>
        <v/>
      </c>
      <c r="CD137" s="2">
        <f>IF(ISERROR($E$137),"",IF(ISBLANK($E$137),"",$E$137))</f>
        <v/>
      </c>
      <c r="CE137" s="2">
        <f>IF(ISERROR($F$137),"",IF(ISBLANK($F$137),"",$F$137))</f>
        <v/>
      </c>
      <c r="CF137" s="2">
        <f>IF(ISERROR($G$137),"",IF(ISBLANK($G$137),"",$G$137))</f>
        <v/>
      </c>
      <c r="CG137" s="2">
        <f>IF(ISERROR($H$137),"",IF(ISBLANK($H$137),"",$H$137))</f>
        <v/>
      </c>
      <c r="CH137" s="2">
        <f>IF(ISERROR($I$137),"",IF(ISBLANK($I$137),"",$I$137))</f>
        <v/>
      </c>
      <c r="CJ137" s="2">
        <f>ISERROR($D$137)*1+ISERROR($E$137)*1+ISERROR($F$137)*1+ISERROR($G$137)*1+ISERROR($H$137)*1+ISERROR($I$137)*1</f>
        <v/>
      </c>
    </row>
    <row r="138"/>
    <row r="139" ht="20" customHeight="1">
      <c r="A139" s="13" t="inlineStr">
        <is>
          <t>C9 · Fila do Ciclo atual (à esquerda) e Fila prevista do Ciclo seguinte (à direita)</t>
        </is>
      </c>
    </row>
    <row r="140" ht="26" customHeight="1">
      <c r="A140" s="8" t="inlineStr">
        <is>
          <t>Casa</t>
        </is>
      </c>
      <c r="B140" s="8" t="inlineStr">
        <is>
          <t>Combatente</t>
        </is>
      </c>
      <c r="C140" s="20" t="n"/>
      <c r="D140" s="8" t="inlineStr">
        <is>
          <t>VEL</t>
        </is>
      </c>
      <c r="E140" s="8" t="inlineStr">
        <is>
          <t>Situação</t>
        </is>
      </c>
      <c r="F140" s="8" t="inlineStr">
        <is>
          <t>Ciclo seguinte: combatente</t>
        </is>
      </c>
      <c r="G140" s="20" t="n"/>
      <c r="H140" s="20" t="n"/>
      <c r="I140" s="8" t="inlineStr">
        <is>
          <t>VEL</t>
        </is>
      </c>
      <c r="J140" s="8" t="inlineStr">
        <is>
          <t>Pendente aplicado</t>
        </is>
      </c>
    </row>
    <row r="141" ht="37" customHeight="1">
      <c r="A141" s="40">
        <f>IF($N$141="","",1)</f>
        <v/>
      </c>
      <c r="B141" s="5">
        <f>IF($N$141="","",INDEX($N$11:$N$32,$N$141))</f>
        <v/>
      </c>
      <c r="D141" s="18">
        <f>IF($N$141="","",INDEX($U$11:$U$32,$N$141))</f>
        <v/>
      </c>
      <c r="E141" s="5">
        <f>IF($N$141="","",IF(INDEX($AB$11:$AB$32,$N$141)=1,"Surpreso: casa pulada",IF(INDEX($AF$11:$AF$32,$N$141)=1,"Já agiu",IF(AND($O$141=1,$P$141=1),"Agindo agora",""))))</f>
        <v/>
      </c>
      <c r="F141" s="5">
        <f>IF($Q$141="","",INDEX($N$11:$N$32,$Q$141))</f>
        <v/>
      </c>
      <c r="I141" s="18">
        <f>IF($Q$141="","",INDEX($U$11:$U$32,$Q$141))</f>
        <v/>
      </c>
      <c r="J141" s="18">
        <f>IF($Q$141="","",INDEX($AN$11:$AN$32,$Q$141))</f>
        <v/>
      </c>
      <c r="N141" s="2">
        <f>IF(1&gt;$J$7,"",MATCH(SMALL($AM$11:$AM$32,1),$AM$11:$AM$32,0))</f>
        <v/>
      </c>
      <c r="O141" s="2">
        <f>IF($N$141="",0,INDEX($AT$11:$AT$32,$N$141))</f>
        <v/>
      </c>
      <c r="P141" s="2">
        <f>0+$O$141</f>
        <v/>
      </c>
      <c r="Q141" s="2">
        <f>IF(1&gt;SUM($S$11:$S$32),"",MATCH(SMALL($AP$11:$AP$32,1),$AP$11:$AP$32,0))</f>
        <v/>
      </c>
    </row>
    <row r="142" ht="37" customHeight="1">
      <c r="A142" s="41">
        <f>IF($N$142="","",2)</f>
        <v/>
      </c>
      <c r="B142" s="10">
        <f>IF($N$142="","",INDEX($N$11:$N$32,$N$142))</f>
        <v/>
      </c>
      <c r="D142" s="23">
        <f>IF($N$142="","",INDEX($U$11:$U$32,$N$142))</f>
        <v/>
      </c>
      <c r="E142" s="10">
        <f>IF($N$142="","",IF(INDEX($AB$11:$AB$32,$N$142)=1,"Surpreso: casa pulada",IF(INDEX($AF$11:$AF$32,$N$142)=1,"Já agiu",IF(AND($O$142=1,$P$142=1),"Agindo agora",""))))</f>
        <v/>
      </c>
      <c r="F142" s="10">
        <f>IF($Q$142="","",INDEX($N$11:$N$32,$Q$142))</f>
        <v/>
      </c>
      <c r="I142" s="23">
        <f>IF($Q$142="","",INDEX($U$11:$U$32,$Q$142))</f>
        <v/>
      </c>
      <c r="J142" s="23">
        <f>IF($Q$142="","",INDEX($AN$11:$AN$32,$Q$142))</f>
        <v/>
      </c>
      <c r="N142" s="2">
        <f>IF(2&gt;$J$7,"",MATCH(SMALL($AM$11:$AM$32,2),$AM$11:$AM$32,0))</f>
        <v/>
      </c>
      <c r="O142" s="2">
        <f>IF($N$142="",0,INDEX($AT$11:$AT$32,$N$142))</f>
        <v/>
      </c>
      <c r="P142" s="2">
        <f>$P$141+$O$142</f>
        <v/>
      </c>
      <c r="Q142" s="2">
        <f>IF(2&gt;SUM($S$11:$S$32),"",MATCH(SMALL($AP$11:$AP$32,2),$AP$11:$AP$32,0))</f>
        <v/>
      </c>
    </row>
    <row r="143" ht="37" customHeight="1">
      <c r="A143" s="40">
        <f>IF($N$143="","",3)</f>
        <v/>
      </c>
      <c r="B143" s="5">
        <f>IF($N$143="","",INDEX($N$11:$N$32,$N$143))</f>
        <v/>
      </c>
      <c r="D143" s="18">
        <f>IF($N$143="","",INDEX($U$11:$U$32,$N$143))</f>
        <v/>
      </c>
      <c r="E143" s="5">
        <f>IF($N$143="","",IF(INDEX($AB$11:$AB$32,$N$143)=1,"Surpreso: casa pulada",IF(INDEX($AF$11:$AF$32,$N$143)=1,"Já agiu",IF(AND($O$143=1,$P$143=1),"Agindo agora",""))))</f>
        <v/>
      </c>
      <c r="F143" s="5">
        <f>IF($Q$143="","",INDEX($N$11:$N$32,$Q$143))</f>
        <v/>
      </c>
      <c r="I143" s="18">
        <f>IF($Q$143="","",INDEX($U$11:$U$32,$Q$143))</f>
        <v/>
      </c>
      <c r="J143" s="18">
        <f>IF($Q$143="","",INDEX($AN$11:$AN$32,$Q$143))</f>
        <v/>
      </c>
      <c r="N143" s="2">
        <f>IF(3&gt;$J$7,"",MATCH(SMALL($AM$11:$AM$32,3),$AM$11:$AM$32,0))</f>
        <v/>
      </c>
      <c r="O143" s="2">
        <f>IF($N$143="",0,INDEX($AT$11:$AT$32,$N$143))</f>
        <v/>
      </c>
      <c r="P143" s="2">
        <f>$P$142+$O$143</f>
        <v/>
      </c>
      <c r="Q143" s="2">
        <f>IF(3&gt;SUM($S$11:$S$32),"",MATCH(SMALL($AP$11:$AP$32,3),$AP$11:$AP$32,0))</f>
        <v/>
      </c>
    </row>
    <row r="144" ht="37" customHeight="1">
      <c r="A144" s="41">
        <f>IF($N$144="","",4)</f>
        <v/>
      </c>
      <c r="B144" s="10">
        <f>IF($N$144="","",INDEX($N$11:$N$32,$N$144))</f>
        <v/>
      </c>
      <c r="D144" s="23">
        <f>IF($N$144="","",INDEX($U$11:$U$32,$N$144))</f>
        <v/>
      </c>
      <c r="E144" s="10">
        <f>IF($N$144="","",IF(INDEX($AB$11:$AB$32,$N$144)=1,"Surpreso: casa pulada",IF(INDEX($AF$11:$AF$32,$N$144)=1,"Já agiu",IF(AND($O$144=1,$P$144=1),"Agindo agora",""))))</f>
        <v/>
      </c>
      <c r="F144" s="10">
        <f>IF($Q$144="","",INDEX($N$11:$N$32,$Q$144))</f>
        <v/>
      </c>
      <c r="I144" s="23">
        <f>IF($Q$144="","",INDEX($U$11:$U$32,$Q$144))</f>
        <v/>
      </c>
      <c r="J144" s="23">
        <f>IF($Q$144="","",INDEX($AN$11:$AN$32,$Q$144))</f>
        <v/>
      </c>
      <c r="N144" s="2">
        <f>IF(4&gt;$J$7,"",MATCH(SMALL($AM$11:$AM$32,4),$AM$11:$AM$32,0))</f>
        <v/>
      </c>
      <c r="O144" s="2">
        <f>IF($N$144="",0,INDEX($AT$11:$AT$32,$N$144))</f>
        <v/>
      </c>
      <c r="P144" s="2">
        <f>$P$143+$O$144</f>
        <v/>
      </c>
      <c r="Q144" s="2">
        <f>IF(4&gt;SUM($S$11:$S$32),"",MATCH(SMALL($AP$11:$AP$32,4),$AP$11:$AP$32,0))</f>
        <v/>
      </c>
    </row>
    <row r="145" ht="37" customHeight="1">
      <c r="A145" s="40">
        <f>IF($N$145="","",5)</f>
        <v/>
      </c>
      <c r="B145" s="5">
        <f>IF($N$145="","",INDEX($N$11:$N$32,$N$145))</f>
        <v/>
      </c>
      <c r="D145" s="18">
        <f>IF($N$145="","",INDEX($U$11:$U$32,$N$145))</f>
        <v/>
      </c>
      <c r="E145" s="5">
        <f>IF($N$145="","",IF(INDEX($AB$11:$AB$32,$N$145)=1,"Surpreso: casa pulada",IF(INDEX($AF$11:$AF$32,$N$145)=1,"Já agiu",IF(AND($O$145=1,$P$145=1),"Agindo agora",""))))</f>
        <v/>
      </c>
      <c r="F145" s="5">
        <f>IF($Q$145="","",INDEX($N$11:$N$32,$Q$145))</f>
        <v/>
      </c>
      <c r="I145" s="18">
        <f>IF($Q$145="","",INDEX($U$11:$U$32,$Q$145))</f>
        <v/>
      </c>
      <c r="J145" s="18">
        <f>IF($Q$145="","",INDEX($AN$11:$AN$32,$Q$145))</f>
        <v/>
      </c>
      <c r="N145" s="2">
        <f>IF(5&gt;$J$7,"",MATCH(SMALL($AM$11:$AM$32,5),$AM$11:$AM$32,0))</f>
        <v/>
      </c>
      <c r="O145" s="2">
        <f>IF($N$145="",0,INDEX($AT$11:$AT$32,$N$145))</f>
        <v/>
      </c>
      <c r="P145" s="2">
        <f>$P$144+$O$145</f>
        <v/>
      </c>
      <c r="Q145" s="2">
        <f>IF(5&gt;SUM($S$11:$S$32),"",MATCH(SMALL($AP$11:$AP$32,5),$AP$11:$AP$32,0))</f>
        <v/>
      </c>
    </row>
    <row r="146" ht="37" customHeight="1">
      <c r="A146" s="41">
        <f>IF($N$146="","",6)</f>
        <v/>
      </c>
      <c r="B146" s="10">
        <f>IF($N$146="","",INDEX($N$11:$N$32,$N$146))</f>
        <v/>
      </c>
      <c r="D146" s="23">
        <f>IF($N$146="","",INDEX($U$11:$U$32,$N$146))</f>
        <v/>
      </c>
      <c r="E146" s="10">
        <f>IF($N$146="","",IF(INDEX($AB$11:$AB$32,$N$146)=1,"Surpreso: casa pulada",IF(INDEX($AF$11:$AF$32,$N$146)=1,"Já agiu",IF(AND($O$146=1,$P$146=1),"Agindo agora",""))))</f>
        <v/>
      </c>
      <c r="F146" s="10">
        <f>IF($Q$146="","",INDEX($N$11:$N$32,$Q$146))</f>
        <v/>
      </c>
      <c r="I146" s="23">
        <f>IF($Q$146="","",INDEX($U$11:$U$32,$Q$146))</f>
        <v/>
      </c>
      <c r="J146" s="23">
        <f>IF($Q$146="","",INDEX($AN$11:$AN$32,$Q$146))</f>
        <v/>
      </c>
      <c r="N146" s="2">
        <f>IF(6&gt;$J$7,"",MATCH(SMALL($AM$11:$AM$32,6),$AM$11:$AM$32,0))</f>
        <v/>
      </c>
      <c r="O146" s="2">
        <f>IF($N$146="",0,INDEX($AT$11:$AT$32,$N$146))</f>
        <v/>
      </c>
      <c r="P146" s="2">
        <f>$P$145+$O$146</f>
        <v/>
      </c>
      <c r="Q146" s="2">
        <f>IF(6&gt;SUM($S$11:$S$32),"",MATCH(SMALL($AP$11:$AP$32,6),$AP$11:$AP$32,0))</f>
        <v/>
      </c>
    </row>
    <row r="147" ht="37" customHeight="1">
      <c r="A147" s="40">
        <f>IF($N$147="","",7)</f>
        <v/>
      </c>
      <c r="B147" s="5">
        <f>IF($N$147="","",INDEX($N$11:$N$32,$N$147))</f>
        <v/>
      </c>
      <c r="D147" s="18">
        <f>IF($N$147="","",INDEX($U$11:$U$32,$N$147))</f>
        <v/>
      </c>
      <c r="E147" s="5">
        <f>IF($N$147="","",IF(INDEX($AB$11:$AB$32,$N$147)=1,"Surpreso: casa pulada",IF(INDEX($AF$11:$AF$32,$N$147)=1,"Já agiu",IF(AND($O$147=1,$P$147=1),"Agindo agora",""))))</f>
        <v/>
      </c>
      <c r="F147" s="5">
        <f>IF($Q$147="","",INDEX($N$11:$N$32,$Q$147))</f>
        <v/>
      </c>
      <c r="I147" s="18">
        <f>IF($Q$147="","",INDEX($U$11:$U$32,$Q$147))</f>
        <v/>
      </c>
      <c r="J147" s="18">
        <f>IF($Q$147="","",INDEX($AN$11:$AN$32,$Q$147))</f>
        <v/>
      </c>
      <c r="N147" s="2">
        <f>IF(7&gt;$J$7,"",MATCH(SMALL($AM$11:$AM$32,7),$AM$11:$AM$32,0))</f>
        <v/>
      </c>
      <c r="O147" s="2">
        <f>IF($N$147="",0,INDEX($AT$11:$AT$32,$N$147))</f>
        <v/>
      </c>
      <c r="P147" s="2">
        <f>$P$146+$O$147</f>
        <v/>
      </c>
      <c r="Q147" s="2">
        <f>IF(7&gt;SUM($S$11:$S$32),"",MATCH(SMALL($AP$11:$AP$32,7),$AP$11:$AP$32,0))</f>
        <v/>
      </c>
    </row>
    <row r="148" ht="37" customHeight="1">
      <c r="A148" s="41">
        <f>IF($N$148="","",8)</f>
        <v/>
      </c>
      <c r="B148" s="10">
        <f>IF($N$148="","",INDEX($N$11:$N$32,$N$148))</f>
        <v/>
      </c>
      <c r="D148" s="23">
        <f>IF($N$148="","",INDEX($U$11:$U$32,$N$148))</f>
        <v/>
      </c>
      <c r="E148" s="10">
        <f>IF($N$148="","",IF(INDEX($AB$11:$AB$32,$N$148)=1,"Surpreso: casa pulada",IF(INDEX($AF$11:$AF$32,$N$148)=1,"Já agiu",IF(AND($O$148=1,$P$148=1),"Agindo agora",""))))</f>
        <v/>
      </c>
      <c r="F148" s="10">
        <f>IF($Q$148="","",INDEX($N$11:$N$32,$Q$148))</f>
        <v/>
      </c>
      <c r="I148" s="23">
        <f>IF($Q$148="","",INDEX($U$11:$U$32,$Q$148))</f>
        <v/>
      </c>
      <c r="J148" s="23">
        <f>IF($Q$148="","",INDEX($AN$11:$AN$32,$Q$148))</f>
        <v/>
      </c>
      <c r="N148" s="2">
        <f>IF(8&gt;$J$7,"",MATCH(SMALL($AM$11:$AM$32,8),$AM$11:$AM$32,0))</f>
        <v/>
      </c>
      <c r="O148" s="2">
        <f>IF($N$148="",0,INDEX($AT$11:$AT$32,$N$148))</f>
        <v/>
      </c>
      <c r="P148" s="2">
        <f>$P$147+$O$148</f>
        <v/>
      </c>
      <c r="Q148" s="2">
        <f>IF(8&gt;SUM($S$11:$S$32),"",MATCH(SMALL($AP$11:$AP$32,8),$AP$11:$AP$32,0))</f>
        <v/>
      </c>
    </row>
    <row r="149" ht="37" customHeight="1">
      <c r="A149" s="40">
        <f>IF($N$149="","",9)</f>
        <v/>
      </c>
      <c r="B149" s="5">
        <f>IF($N$149="","",INDEX($N$11:$N$32,$N$149))</f>
        <v/>
      </c>
      <c r="D149" s="18">
        <f>IF($N$149="","",INDEX($U$11:$U$32,$N$149))</f>
        <v/>
      </c>
      <c r="E149" s="5">
        <f>IF($N$149="","",IF(INDEX($AB$11:$AB$32,$N$149)=1,"Surpreso: casa pulada",IF(INDEX($AF$11:$AF$32,$N$149)=1,"Já agiu",IF(AND($O$149=1,$P$149=1),"Agindo agora",""))))</f>
        <v/>
      </c>
      <c r="F149" s="5">
        <f>IF($Q$149="","",INDEX($N$11:$N$32,$Q$149))</f>
        <v/>
      </c>
      <c r="I149" s="18">
        <f>IF($Q$149="","",INDEX($U$11:$U$32,$Q$149))</f>
        <v/>
      </c>
      <c r="J149" s="18">
        <f>IF($Q$149="","",INDEX($AN$11:$AN$32,$Q$149))</f>
        <v/>
      </c>
      <c r="N149" s="2">
        <f>IF(9&gt;$J$7,"",MATCH(SMALL($AM$11:$AM$32,9),$AM$11:$AM$32,0))</f>
        <v/>
      </c>
      <c r="O149" s="2">
        <f>IF($N$149="",0,INDEX($AT$11:$AT$32,$N$149))</f>
        <v/>
      </c>
      <c r="P149" s="2">
        <f>$P$148+$O$149</f>
        <v/>
      </c>
      <c r="Q149" s="2">
        <f>IF(9&gt;SUM($S$11:$S$32),"",MATCH(SMALL($AP$11:$AP$32,9),$AP$11:$AP$32,0))</f>
        <v/>
      </c>
    </row>
    <row r="150" ht="37" customHeight="1">
      <c r="A150" s="41">
        <f>IF($N$150="","",10)</f>
        <v/>
      </c>
      <c r="B150" s="10">
        <f>IF($N$150="","",INDEX($N$11:$N$32,$N$150))</f>
        <v/>
      </c>
      <c r="D150" s="23">
        <f>IF($N$150="","",INDEX($U$11:$U$32,$N$150))</f>
        <v/>
      </c>
      <c r="E150" s="10">
        <f>IF($N$150="","",IF(INDEX($AB$11:$AB$32,$N$150)=1,"Surpreso: casa pulada",IF(INDEX($AF$11:$AF$32,$N$150)=1,"Já agiu",IF(AND($O$150=1,$P$150=1),"Agindo agora",""))))</f>
        <v/>
      </c>
      <c r="F150" s="10">
        <f>IF($Q$150="","",INDEX($N$11:$N$32,$Q$150))</f>
        <v/>
      </c>
      <c r="I150" s="23">
        <f>IF($Q$150="","",INDEX($U$11:$U$32,$Q$150))</f>
        <v/>
      </c>
      <c r="J150" s="23">
        <f>IF($Q$150="","",INDEX($AN$11:$AN$32,$Q$150))</f>
        <v/>
      </c>
      <c r="N150" s="2">
        <f>IF(10&gt;$J$7,"",MATCH(SMALL($AM$11:$AM$32,10),$AM$11:$AM$32,0))</f>
        <v/>
      </c>
      <c r="O150" s="2">
        <f>IF($N$150="",0,INDEX($AT$11:$AT$32,$N$150))</f>
        <v/>
      </c>
      <c r="P150" s="2">
        <f>$P$149+$O$150</f>
        <v/>
      </c>
      <c r="Q150" s="2">
        <f>IF(10&gt;SUM($S$11:$S$32),"",MATCH(SMALL($AP$11:$AP$32,10),$AP$11:$AP$32,0))</f>
        <v/>
      </c>
    </row>
    <row r="151" ht="26" customHeight="1">
      <c r="A151" s="8" t="inlineStr">
        <is>
          <t>Casa</t>
        </is>
      </c>
      <c r="B151" s="8" t="inlineStr">
        <is>
          <t>Combatente</t>
        </is>
      </c>
      <c r="C151" s="20" t="n"/>
      <c r="D151" s="8" t="inlineStr">
        <is>
          <t>VEL</t>
        </is>
      </c>
      <c r="E151" s="8" t="inlineStr">
        <is>
          <t>Situação</t>
        </is>
      </c>
      <c r="F151" s="8" t="inlineStr">
        <is>
          <t>Ciclo seguinte: combatente</t>
        </is>
      </c>
      <c r="G151" s="20" t="n"/>
      <c r="H151" s="20" t="n"/>
      <c r="I151" s="8" t="inlineStr">
        <is>
          <t>VEL</t>
        </is>
      </c>
      <c r="J151" s="8" t="inlineStr">
        <is>
          <t>Pendente aplicado</t>
        </is>
      </c>
    </row>
    <row r="152" ht="37" customHeight="1">
      <c r="A152" s="40">
        <f>IF($N$152="","",11)</f>
        <v/>
      </c>
      <c r="B152" s="5">
        <f>IF($N$152="","",INDEX($N$11:$N$32,$N$152))</f>
        <v/>
      </c>
      <c r="D152" s="18">
        <f>IF($N$152="","",INDEX($U$11:$U$32,$N$152))</f>
        <v/>
      </c>
      <c r="E152" s="5">
        <f>IF($N$152="","",IF(INDEX($AB$11:$AB$32,$N$152)=1,"Surpreso: casa pulada",IF(INDEX($AF$11:$AF$32,$N$152)=1,"Já agiu",IF(AND($O$152=1,$P$152=1),"Agindo agora",""))))</f>
        <v/>
      </c>
      <c r="F152" s="5">
        <f>IF($Q$152="","",INDEX($N$11:$N$32,$Q$152))</f>
        <v/>
      </c>
      <c r="I152" s="18">
        <f>IF($Q$152="","",INDEX($U$11:$U$32,$Q$152))</f>
        <v/>
      </c>
      <c r="J152" s="18">
        <f>IF($Q$152="","",INDEX($AN$11:$AN$32,$Q$152))</f>
        <v/>
      </c>
      <c r="N152" s="2">
        <f>IF(11&gt;$J$7,"",MATCH(SMALL($AM$11:$AM$32,11),$AM$11:$AM$32,0))</f>
        <v/>
      </c>
      <c r="O152" s="2">
        <f>IF($N$152="",0,INDEX($AT$11:$AT$32,$N$152))</f>
        <v/>
      </c>
      <c r="P152" s="2">
        <f>$P$150+$O$152</f>
        <v/>
      </c>
      <c r="Q152" s="2">
        <f>IF(11&gt;SUM($S$11:$S$32),"",MATCH(SMALL($AP$11:$AP$32,11),$AP$11:$AP$32,0))</f>
        <v/>
      </c>
    </row>
    <row r="153" ht="37" customHeight="1">
      <c r="A153" s="41">
        <f>IF($N$153="","",12)</f>
        <v/>
      </c>
      <c r="B153" s="10">
        <f>IF($N$153="","",INDEX($N$11:$N$32,$N$153))</f>
        <v/>
      </c>
      <c r="D153" s="23">
        <f>IF($N$153="","",INDEX($U$11:$U$32,$N$153))</f>
        <v/>
      </c>
      <c r="E153" s="10">
        <f>IF($N$153="","",IF(INDEX($AB$11:$AB$32,$N$153)=1,"Surpreso: casa pulada",IF(INDEX($AF$11:$AF$32,$N$153)=1,"Já agiu",IF(AND($O$153=1,$P$153=1),"Agindo agora",""))))</f>
        <v/>
      </c>
      <c r="F153" s="10">
        <f>IF($Q$153="","",INDEX($N$11:$N$32,$Q$153))</f>
        <v/>
      </c>
      <c r="I153" s="23">
        <f>IF($Q$153="","",INDEX($U$11:$U$32,$Q$153))</f>
        <v/>
      </c>
      <c r="J153" s="23">
        <f>IF($Q$153="","",INDEX($AN$11:$AN$32,$Q$153))</f>
        <v/>
      </c>
      <c r="N153" s="2">
        <f>IF(12&gt;$J$7,"",MATCH(SMALL($AM$11:$AM$32,12),$AM$11:$AM$32,0))</f>
        <v/>
      </c>
      <c r="O153" s="2">
        <f>IF($N$153="",0,INDEX($AT$11:$AT$32,$N$153))</f>
        <v/>
      </c>
      <c r="P153" s="2">
        <f>$P$152+$O$153</f>
        <v/>
      </c>
      <c r="Q153" s="2">
        <f>IF(12&gt;SUM($S$11:$S$32),"",MATCH(SMALL($AP$11:$AP$32,12),$AP$11:$AP$32,0))</f>
        <v/>
      </c>
    </row>
    <row r="154" ht="37" customHeight="1">
      <c r="A154" s="40">
        <f>IF($N$154="","",13)</f>
        <v/>
      </c>
      <c r="B154" s="5">
        <f>IF($N$154="","",INDEX($N$11:$N$32,$N$154))</f>
        <v/>
      </c>
      <c r="D154" s="18">
        <f>IF($N$154="","",INDEX($U$11:$U$32,$N$154))</f>
        <v/>
      </c>
      <c r="E154" s="5">
        <f>IF($N$154="","",IF(INDEX($AB$11:$AB$32,$N$154)=1,"Surpreso: casa pulada",IF(INDEX($AF$11:$AF$32,$N$154)=1,"Já agiu",IF(AND($O$154=1,$P$154=1),"Agindo agora",""))))</f>
        <v/>
      </c>
      <c r="F154" s="5">
        <f>IF($Q$154="","",INDEX($N$11:$N$32,$Q$154))</f>
        <v/>
      </c>
      <c r="I154" s="18">
        <f>IF($Q$154="","",INDEX($U$11:$U$32,$Q$154))</f>
        <v/>
      </c>
      <c r="J154" s="18">
        <f>IF($Q$154="","",INDEX($AN$11:$AN$32,$Q$154))</f>
        <v/>
      </c>
      <c r="N154" s="2">
        <f>IF(13&gt;$J$7,"",MATCH(SMALL($AM$11:$AM$32,13),$AM$11:$AM$32,0))</f>
        <v/>
      </c>
      <c r="O154" s="2">
        <f>IF($N$154="",0,INDEX($AT$11:$AT$32,$N$154))</f>
        <v/>
      </c>
      <c r="P154" s="2">
        <f>$P$153+$O$154</f>
        <v/>
      </c>
      <c r="Q154" s="2">
        <f>IF(13&gt;SUM($S$11:$S$32),"",MATCH(SMALL($AP$11:$AP$32,13),$AP$11:$AP$32,0))</f>
        <v/>
      </c>
    </row>
    <row r="155" ht="37" customHeight="1">
      <c r="A155" s="41">
        <f>IF($N$155="","",14)</f>
        <v/>
      </c>
      <c r="B155" s="10">
        <f>IF($N$155="","",INDEX($N$11:$N$32,$N$155))</f>
        <v/>
      </c>
      <c r="D155" s="23">
        <f>IF($N$155="","",INDEX($U$11:$U$32,$N$155))</f>
        <v/>
      </c>
      <c r="E155" s="10">
        <f>IF($N$155="","",IF(INDEX($AB$11:$AB$32,$N$155)=1,"Surpreso: casa pulada",IF(INDEX($AF$11:$AF$32,$N$155)=1,"Já agiu",IF(AND($O$155=1,$P$155=1),"Agindo agora",""))))</f>
        <v/>
      </c>
      <c r="F155" s="10">
        <f>IF($Q$155="","",INDEX($N$11:$N$32,$Q$155))</f>
        <v/>
      </c>
      <c r="I155" s="23">
        <f>IF($Q$155="","",INDEX($U$11:$U$32,$Q$155))</f>
        <v/>
      </c>
      <c r="J155" s="23">
        <f>IF($Q$155="","",INDEX($AN$11:$AN$32,$Q$155))</f>
        <v/>
      </c>
      <c r="N155" s="2">
        <f>IF(14&gt;$J$7,"",MATCH(SMALL($AM$11:$AM$32,14),$AM$11:$AM$32,0))</f>
        <v/>
      </c>
      <c r="O155" s="2">
        <f>IF($N$155="",0,INDEX($AT$11:$AT$32,$N$155))</f>
        <v/>
      </c>
      <c r="P155" s="2">
        <f>$P$154+$O$155</f>
        <v/>
      </c>
      <c r="Q155" s="2">
        <f>IF(14&gt;SUM($S$11:$S$32),"",MATCH(SMALL($AP$11:$AP$32,14),$AP$11:$AP$32,0))</f>
        <v/>
      </c>
    </row>
    <row r="156" ht="37" customHeight="1">
      <c r="A156" s="40">
        <f>IF($N$156="","",15)</f>
        <v/>
      </c>
      <c r="B156" s="5">
        <f>IF($N$156="","",INDEX($N$11:$N$32,$N$156))</f>
        <v/>
      </c>
      <c r="D156" s="18">
        <f>IF($N$156="","",INDEX($U$11:$U$32,$N$156))</f>
        <v/>
      </c>
      <c r="E156" s="5">
        <f>IF($N$156="","",IF(INDEX($AB$11:$AB$32,$N$156)=1,"Surpreso: casa pulada",IF(INDEX($AF$11:$AF$32,$N$156)=1,"Já agiu",IF(AND($O$156=1,$P$156=1),"Agindo agora",""))))</f>
        <v/>
      </c>
      <c r="F156" s="5">
        <f>IF($Q$156="","",INDEX($N$11:$N$32,$Q$156))</f>
        <v/>
      </c>
      <c r="I156" s="18">
        <f>IF($Q$156="","",INDEX($U$11:$U$32,$Q$156))</f>
        <v/>
      </c>
      <c r="J156" s="18">
        <f>IF($Q$156="","",INDEX($AN$11:$AN$32,$Q$156))</f>
        <v/>
      </c>
      <c r="N156" s="2">
        <f>IF(15&gt;$J$7,"",MATCH(SMALL($AM$11:$AM$32,15),$AM$11:$AM$32,0))</f>
        <v/>
      </c>
      <c r="O156" s="2">
        <f>IF($N$156="",0,INDEX($AT$11:$AT$32,$N$156))</f>
        <v/>
      </c>
      <c r="P156" s="2">
        <f>$P$155+$O$156</f>
        <v/>
      </c>
      <c r="Q156" s="2">
        <f>IF(15&gt;SUM($S$11:$S$32),"",MATCH(SMALL($AP$11:$AP$32,15),$AP$11:$AP$32,0))</f>
        <v/>
      </c>
    </row>
    <row r="157" ht="37" customHeight="1">
      <c r="A157" s="41">
        <f>IF($N$157="","",16)</f>
        <v/>
      </c>
      <c r="B157" s="10">
        <f>IF($N$157="","",INDEX($N$11:$N$32,$N$157))</f>
        <v/>
      </c>
      <c r="D157" s="23">
        <f>IF($N$157="","",INDEX($U$11:$U$32,$N$157))</f>
        <v/>
      </c>
      <c r="E157" s="10">
        <f>IF($N$157="","",IF(INDEX($AB$11:$AB$32,$N$157)=1,"Surpreso: casa pulada",IF(INDEX($AF$11:$AF$32,$N$157)=1,"Já agiu",IF(AND($O$157=1,$P$157=1),"Agindo agora",""))))</f>
        <v/>
      </c>
      <c r="F157" s="10">
        <f>IF($Q$157="","",INDEX($N$11:$N$32,$Q$157))</f>
        <v/>
      </c>
      <c r="I157" s="23">
        <f>IF($Q$157="","",INDEX($U$11:$U$32,$Q$157))</f>
        <v/>
      </c>
      <c r="J157" s="23">
        <f>IF($Q$157="","",INDEX($AN$11:$AN$32,$Q$157))</f>
        <v/>
      </c>
      <c r="N157" s="2">
        <f>IF(16&gt;$J$7,"",MATCH(SMALL($AM$11:$AM$32,16),$AM$11:$AM$32,0))</f>
        <v/>
      </c>
      <c r="O157" s="2">
        <f>IF($N$157="",0,INDEX($AT$11:$AT$32,$N$157))</f>
        <v/>
      </c>
      <c r="P157" s="2">
        <f>$P$156+$O$157</f>
        <v/>
      </c>
      <c r="Q157" s="2">
        <f>IF(16&gt;SUM($S$11:$S$32),"",MATCH(SMALL($AP$11:$AP$32,16),$AP$11:$AP$32,0))</f>
        <v/>
      </c>
    </row>
    <row r="158" ht="37" customHeight="1">
      <c r="A158" s="40">
        <f>IF($N$158="","",17)</f>
        <v/>
      </c>
      <c r="B158" s="5">
        <f>IF($N$158="","",INDEX($N$11:$N$32,$N$158))</f>
        <v/>
      </c>
      <c r="D158" s="18">
        <f>IF($N$158="","",INDEX($U$11:$U$32,$N$158))</f>
        <v/>
      </c>
      <c r="E158" s="5">
        <f>IF($N$158="","",IF(INDEX($AB$11:$AB$32,$N$158)=1,"Surpreso: casa pulada",IF(INDEX($AF$11:$AF$32,$N$158)=1,"Já agiu",IF(AND($O$158=1,$P$158=1),"Agindo agora",""))))</f>
        <v/>
      </c>
      <c r="F158" s="5">
        <f>IF($Q$158="","",INDEX($N$11:$N$32,$Q$158))</f>
        <v/>
      </c>
      <c r="I158" s="18">
        <f>IF($Q$158="","",INDEX($U$11:$U$32,$Q$158))</f>
        <v/>
      </c>
      <c r="J158" s="18">
        <f>IF($Q$158="","",INDEX($AN$11:$AN$32,$Q$158))</f>
        <v/>
      </c>
      <c r="N158" s="2">
        <f>IF(17&gt;$J$7,"",MATCH(SMALL($AM$11:$AM$32,17),$AM$11:$AM$32,0))</f>
        <v/>
      </c>
      <c r="O158" s="2">
        <f>IF($N$158="",0,INDEX($AT$11:$AT$32,$N$158))</f>
        <v/>
      </c>
      <c r="P158" s="2">
        <f>$P$157+$O$158</f>
        <v/>
      </c>
      <c r="Q158" s="2">
        <f>IF(17&gt;SUM($S$11:$S$32),"",MATCH(SMALL($AP$11:$AP$32,17),$AP$11:$AP$32,0))</f>
        <v/>
      </c>
    </row>
    <row r="159" ht="37" customHeight="1">
      <c r="A159" s="41">
        <f>IF($N$159="","",18)</f>
        <v/>
      </c>
      <c r="B159" s="10">
        <f>IF($N$159="","",INDEX($N$11:$N$32,$N$159))</f>
        <v/>
      </c>
      <c r="D159" s="23">
        <f>IF($N$159="","",INDEX($U$11:$U$32,$N$159))</f>
        <v/>
      </c>
      <c r="E159" s="10">
        <f>IF($N$159="","",IF(INDEX($AB$11:$AB$32,$N$159)=1,"Surpreso: casa pulada",IF(INDEX($AF$11:$AF$32,$N$159)=1,"Já agiu",IF(AND($O$159=1,$P$159=1),"Agindo agora",""))))</f>
        <v/>
      </c>
      <c r="F159" s="10">
        <f>IF($Q$159="","",INDEX($N$11:$N$32,$Q$159))</f>
        <v/>
      </c>
      <c r="I159" s="23">
        <f>IF($Q$159="","",INDEX($U$11:$U$32,$Q$159))</f>
        <v/>
      </c>
      <c r="J159" s="23">
        <f>IF($Q$159="","",INDEX($AN$11:$AN$32,$Q$159))</f>
        <v/>
      </c>
      <c r="N159" s="2">
        <f>IF(18&gt;$J$7,"",MATCH(SMALL($AM$11:$AM$32,18),$AM$11:$AM$32,0))</f>
        <v/>
      </c>
      <c r="O159" s="2">
        <f>IF($N$159="",0,INDEX($AT$11:$AT$32,$N$159))</f>
        <v/>
      </c>
      <c r="P159" s="2">
        <f>$P$158+$O$159</f>
        <v/>
      </c>
      <c r="Q159" s="2">
        <f>IF(18&gt;SUM($S$11:$S$32),"",MATCH(SMALL($AP$11:$AP$32,18),$AP$11:$AP$32,0))</f>
        <v/>
      </c>
    </row>
    <row r="160" ht="37" customHeight="1">
      <c r="A160" s="40">
        <f>IF($N$160="","",19)</f>
        <v/>
      </c>
      <c r="B160" s="5">
        <f>IF($N$160="","",INDEX($N$11:$N$32,$N$160))</f>
        <v/>
      </c>
      <c r="D160" s="18">
        <f>IF($N$160="","",INDEX($U$11:$U$32,$N$160))</f>
        <v/>
      </c>
      <c r="E160" s="5">
        <f>IF($N$160="","",IF(INDEX($AB$11:$AB$32,$N$160)=1,"Surpreso: casa pulada",IF(INDEX($AF$11:$AF$32,$N$160)=1,"Já agiu",IF(AND($O$160=1,$P$160=1),"Agindo agora",""))))</f>
        <v/>
      </c>
      <c r="F160" s="5">
        <f>IF($Q$160="","",INDEX($N$11:$N$32,$Q$160))</f>
        <v/>
      </c>
      <c r="I160" s="18">
        <f>IF($Q$160="","",INDEX($U$11:$U$32,$Q$160))</f>
        <v/>
      </c>
      <c r="J160" s="18">
        <f>IF($Q$160="","",INDEX($AN$11:$AN$32,$Q$160))</f>
        <v/>
      </c>
      <c r="N160" s="2">
        <f>IF(19&gt;$J$7,"",MATCH(SMALL($AM$11:$AM$32,19),$AM$11:$AM$32,0))</f>
        <v/>
      </c>
      <c r="O160" s="2">
        <f>IF($N$160="",0,INDEX($AT$11:$AT$32,$N$160))</f>
        <v/>
      </c>
      <c r="P160" s="2">
        <f>$P$159+$O$160</f>
        <v/>
      </c>
      <c r="Q160" s="2">
        <f>IF(19&gt;SUM($S$11:$S$32),"",MATCH(SMALL($AP$11:$AP$32,19),$AP$11:$AP$32,0))</f>
        <v/>
      </c>
    </row>
    <row r="161" ht="37" customHeight="1">
      <c r="A161" s="41">
        <f>IF($N$161="","",20)</f>
        <v/>
      </c>
      <c r="B161" s="10">
        <f>IF($N$161="","",INDEX($N$11:$N$32,$N$161))</f>
        <v/>
      </c>
      <c r="D161" s="23">
        <f>IF($N$161="","",INDEX($U$11:$U$32,$N$161))</f>
        <v/>
      </c>
      <c r="E161" s="10">
        <f>IF($N$161="","",IF(INDEX($AB$11:$AB$32,$N$161)=1,"Surpreso: casa pulada",IF(INDEX($AF$11:$AF$32,$N$161)=1,"Já agiu",IF(AND($O$161=1,$P$161=1),"Agindo agora",""))))</f>
        <v/>
      </c>
      <c r="F161" s="10">
        <f>IF($Q$161="","",INDEX($N$11:$N$32,$Q$161))</f>
        <v/>
      </c>
      <c r="I161" s="23">
        <f>IF($Q$161="","",INDEX($U$11:$U$32,$Q$161))</f>
        <v/>
      </c>
      <c r="J161" s="23">
        <f>IF($Q$161="","",INDEX($AN$11:$AN$32,$Q$161))</f>
        <v/>
      </c>
      <c r="N161" s="2">
        <f>IF(20&gt;$J$7,"",MATCH(SMALL($AM$11:$AM$32,20),$AM$11:$AM$32,0))</f>
        <v/>
      </c>
      <c r="O161" s="2">
        <f>IF($N$161="",0,INDEX($AT$11:$AT$32,$N$161))</f>
        <v/>
      </c>
      <c r="P161" s="2">
        <f>$P$160+$O$161</f>
        <v/>
      </c>
      <c r="Q161" s="2">
        <f>IF(20&gt;SUM($S$11:$S$32),"",MATCH(SMALL($AP$11:$AP$32,20),$AP$11:$AP$32,0))</f>
        <v/>
      </c>
    </row>
    <row r="162" ht="26" customHeight="1">
      <c r="A162" s="8" t="inlineStr">
        <is>
          <t>Casa</t>
        </is>
      </c>
      <c r="B162" s="8" t="inlineStr">
        <is>
          <t>Combatente</t>
        </is>
      </c>
      <c r="C162" s="20" t="n"/>
      <c r="D162" s="8" t="inlineStr">
        <is>
          <t>VEL</t>
        </is>
      </c>
      <c r="E162" s="8" t="inlineStr">
        <is>
          <t>Situação</t>
        </is>
      </c>
      <c r="F162" s="8" t="inlineStr">
        <is>
          <t>Ciclo seguinte: combatente</t>
        </is>
      </c>
      <c r="G162" s="20" t="n"/>
      <c r="H162" s="20" t="n"/>
      <c r="I162" s="8" t="inlineStr">
        <is>
          <t>VEL</t>
        </is>
      </c>
      <c r="J162" s="8" t="inlineStr">
        <is>
          <t>Pendente aplicado</t>
        </is>
      </c>
    </row>
    <row r="163" ht="37" customHeight="1">
      <c r="A163" s="40">
        <f>IF($N$163="","",21)</f>
        <v/>
      </c>
      <c r="B163" s="5">
        <f>IF($N$163="","",INDEX($N$11:$N$32,$N$163))</f>
        <v/>
      </c>
      <c r="D163" s="18">
        <f>IF($N$163="","",INDEX($U$11:$U$32,$N$163))</f>
        <v/>
      </c>
      <c r="E163" s="5">
        <f>IF($N$163="","",IF(INDEX($AB$11:$AB$32,$N$163)=1,"Surpreso: casa pulada",IF(INDEX($AF$11:$AF$32,$N$163)=1,"Já agiu",IF(AND($O$163=1,$P$163=1),"Agindo agora",""))))</f>
        <v/>
      </c>
      <c r="F163" s="5">
        <f>IF($Q$163="","",INDEX($N$11:$N$32,$Q$163))</f>
        <v/>
      </c>
      <c r="I163" s="18">
        <f>IF($Q$163="","",INDEX($U$11:$U$32,$Q$163))</f>
        <v/>
      </c>
      <c r="J163" s="18">
        <f>IF($Q$163="","",INDEX($AN$11:$AN$32,$Q$163))</f>
        <v/>
      </c>
      <c r="N163" s="2">
        <f>IF(21&gt;$J$7,"",MATCH(SMALL($AM$11:$AM$32,21),$AM$11:$AM$32,0))</f>
        <v/>
      </c>
      <c r="O163" s="2">
        <f>IF($N$163="",0,INDEX($AT$11:$AT$32,$N$163))</f>
        <v/>
      </c>
      <c r="P163" s="2">
        <f>$P$161+$O$163</f>
        <v/>
      </c>
      <c r="Q163" s="2">
        <f>IF(21&gt;SUM($S$11:$S$32),"",MATCH(SMALL($AP$11:$AP$32,21),$AP$11:$AP$32,0))</f>
        <v/>
      </c>
    </row>
    <row r="164" ht="37" customHeight="1">
      <c r="A164" s="41">
        <f>IF($N$164="","",22)</f>
        <v/>
      </c>
      <c r="B164" s="10">
        <f>IF($N$164="","",INDEX($N$11:$N$32,$N$164))</f>
        <v/>
      </c>
      <c r="D164" s="23">
        <f>IF($N$164="","",INDEX($U$11:$U$32,$N$164))</f>
        <v/>
      </c>
      <c r="E164" s="10">
        <f>IF($N$164="","",IF(INDEX($AB$11:$AB$32,$N$164)=1,"Surpreso: casa pulada",IF(INDEX($AF$11:$AF$32,$N$164)=1,"Já agiu",IF(AND($O$164=1,$P$164=1),"Agindo agora",""))))</f>
        <v/>
      </c>
      <c r="F164" s="10">
        <f>IF($Q$164="","",INDEX($N$11:$N$32,$Q$164))</f>
        <v/>
      </c>
      <c r="I164" s="23">
        <f>IF($Q$164="","",INDEX($U$11:$U$32,$Q$164))</f>
        <v/>
      </c>
      <c r="J164" s="23">
        <f>IF($Q$164="","",INDEX($AN$11:$AN$32,$Q$164))</f>
        <v/>
      </c>
      <c r="N164" s="2">
        <f>IF(22&gt;$J$7,"",MATCH(SMALL($AM$11:$AM$32,22),$AM$11:$AM$32,0))</f>
        <v/>
      </c>
      <c r="O164" s="2">
        <f>IF($N$164="",0,INDEX($AT$11:$AT$32,$N$164))</f>
        <v/>
      </c>
      <c r="P164" s="2">
        <f>$P$163+$O$164</f>
        <v/>
      </c>
      <c r="Q164" s="2">
        <f>IF(22&gt;SUM($S$11:$S$32),"",MATCH(SMALL($AP$11:$AP$32,22),$AP$11:$AP$32,0))</f>
        <v/>
      </c>
    </row>
    <row r="165"/>
    <row r="166" ht="127" customHeight="1">
      <c r="A166" s="9" t="inlineStr">
        <is>
          <t>PENDENTES</t>
        </is>
      </c>
      <c r="B166" s="5">
        <f>IF(AND($P$11=1,$AN$11&gt;0),$N$11&amp;" −"&amp;$AN$11&amp;" casa(s); ","")&amp;IF(AND($P$12=1,$AN$12&gt;0),$N$12&amp;" −"&amp;$AN$12&amp;" casa(s); ","")&amp;IF(AND($P$13=1,$AN$13&gt;0),$N$13&amp;" −"&amp;$AN$13&amp;" casa(s); ","")&amp;IF(AND($P$14=1,$AN$14&gt;0),$N$14&amp;" −"&amp;$AN$14&amp;" casa(s); ","")&amp;IF(AND($P$15=1,$AN$15&gt;0),$N$15&amp;" −"&amp;$AN$15&amp;" casa(s); ","")&amp;IF(AND($P$16=1,$AN$16&gt;0),$N$16&amp;" −"&amp;$AN$16&amp;" casa(s); ","")&amp;IF(AND($P$17=1,$AN$17&gt;0),$N$17&amp;" −"&amp;$AN$17&amp;" casa(s); ","")&amp;IF(AND($P$18=1,$AN$18&gt;0),$N$18&amp;" −"&amp;$AN$18&amp;" casa(s); ","")&amp;IF(AND($P$19=1,$AN$19&gt;0),$N$19&amp;" −"&amp;$AN$19&amp;" casa(s); ","")&amp;IF(AND($P$20=1,$AN$20&gt;0),$N$20&amp;" −"&amp;$AN$20&amp;" casa(s); ","")&amp;IF(AND($P$21=1,$AN$21&gt;0),$N$21&amp;" −"&amp;$AN$21&amp;" casa(s); ","")&amp;IF(AND($P$22=1,$AN$22&gt;0),$N$22&amp;" −"&amp;$AN$22&amp;" casa(s); ","")&amp;IF(AND($P$23=1,$AN$23&gt;0),$N$23&amp;" −"&amp;$AN$23&amp;" casa(s); ","")&amp;IF(AND($P$24=1,$AN$24&gt;0),$N$24&amp;" −"&amp;$AN$24&amp;" casa(s); ","")&amp;IF(AND($P$25=1,$AN$25&gt;0),$N$25&amp;" −"&amp;$AN$25&amp;" casa(s); ","")&amp;IF(AND($P$26=1,$AN$26&gt;0),$N$26&amp;" −"&amp;$AN$26&amp;" casa(s); ","")&amp;IF(AND($P$27=1,$AN$27&gt;0),$N$27&amp;" −"&amp;$AN$27&amp;" casa(s); ","")&amp;IF(AND($P$28=1,$AN$28&gt;0),$N$28&amp;" −"&amp;$AN$28&amp;" casa(s); ","")&amp;IF(AND($P$29=1,$AN$29&gt;0),$N$29&amp;" −"&amp;$AN$29&amp;" casa(s); ","")&amp;IF(AND($P$30=1,$AN$30&gt;0),$N$30&amp;" −"&amp;$AN$30&amp;" casa(s); ","")&amp;IF(AND($P$31=1,$AN$31&gt;0),$N$31&amp;" −"&amp;$AN$31&amp;" casa(s); ","")&amp;IF(AND($P$32=1,$AN$32&gt;0),$N$32&amp;" −"&amp;$AN$32&amp;" casa(s); ","")&amp;IF(AND($AA$17=1,$O$17="Comum",$Q$17=1),$N$17&amp;": CONGELADO; ","")&amp;IF(AND($AA$18=1,$O$18="Comum",$Q$18=1),$N$18&amp;": CONGELADO; ","")&amp;IF(AND($AA$19=1,$O$19="Comum",$Q$19=1),$N$19&amp;": CONGELADO; ","")&amp;IF(AND($AA$20=1,$O$20="Comum",$Q$20=1),$N$20&amp;": CONGELADO; ","")&amp;IF(AND($AA$21=1,$O$21="Comum",$Q$21=1),$N$21&amp;": CONGELADO; ","")&amp;IF(AND($AA$22=1,$O$22="Comum",$Q$22=1),$N$22&amp;": CONGELADO; ","")&amp;IF(AND($AA$23=1,$O$23="Comum",$Q$23=1),$N$23&amp;": CONGELADO; ","")&amp;IF(AND($AA$24=1,$O$24="Comum",$Q$24=1),$N$24&amp;": CONGELADO; ","")&amp;IF(AND($AA$25=1,$O$25="Comum",$Q$25=1),$N$25&amp;": CONGELADO; ","")&amp;IF(AND($AA$26=1,$O$26="Comum",$Q$26=1),$N$26&amp;": CONGELADO; ","")</f>
        <v/>
      </c>
    </row>
    <row r="167" ht="37" customHeight="1">
      <c r="A167" s="9" t="inlineStr">
        <is>
          <t>CONDIÇÕES</t>
        </is>
      </c>
      <c r="B167" s="5">
        <f>IF(SUM($AD$209:$AD$303)=0,"Nenhuma ativa",SUM($AD$209:$AD$303)&amp;IF(SUM($AD$209:$AD$303)=1," ativa"," ativas")&amp;": veja o painel C9b, logo abaixo")&amp;IF(LEN($N$167)&gt;0,"; "&amp;$N$167,"")</f>
        <v/>
      </c>
      <c r="N167" s="2">
        <f>IF($BQ$45=1,$N$17&amp;": Quebrado; ","")&amp;IF($BQ$46=1,$N$18&amp;": Quebrado; ","")&amp;IF($BQ$47=1,$N$19&amp;": Quebrado; ","")&amp;IF($BQ$48=1,$N$20&amp;": Quebrado; ","")&amp;IF($BQ$49=1,$N$21&amp;": Quebrado; ","")&amp;IF($BQ$50=1,$N$22&amp;": Quebrado; ","")&amp;IF($BQ$51=1,$N$23&amp;": Quebrado; ","")&amp;IF($BQ$52=1,$N$24&amp;": Quebrado; ","")&amp;IF($BQ$53=1,$N$25&amp;": Quebrado; ","")&amp;IF($BQ$54=1,$N$26&amp;": Quebrado; ","")</f>
        <v/>
      </c>
    </row>
    <row r="168" ht="26" customHeight="1">
      <c r="A168" s="12" t="inlineStr">
        <is>
          <t>A Fila não usa medidor de tempo (19.2): a prevista é a remontagem pelas VEL atuais mais os pendentes. Quando dois combatentes são movidos no mesmo Ciclo, a ordem segue a chave 2 (casa + Atraso − Avanço): Sugestão da planilha — não é regra do livro (H13); 'Casa manual' vence a calculada.</t>
        </is>
      </c>
    </row>
    <row r="169"/>
    <row r="170" ht="20" customHeight="1">
      <c r="A170" s="13" t="inlineStr">
        <is>
          <t>C9b · Painel de consulta rápida: todas as condições ativas agora e o que cada uma faz (21.5)</t>
        </is>
      </c>
    </row>
    <row r="171">
      <c r="A171" s="9" t="inlineStr">
        <is>
          <t>Agora</t>
        </is>
      </c>
      <c r="B171" s="5">
        <f>IF(SUM($AD$209:$AD$303)=0,"Nenhuma condição ativa: lance as condições na C7, na linha de cada combatente",SUM($AD$209:$AD$303)&amp;IF(SUM($AD$209:$AD$303)=1," condição ativa"," condições ativas")&amp;" em "&amp;COUNTIF($AV$11:$AV$32,"&gt;0")&amp;IF(COUNTIF($AV$11:$AV$32,"&gt;0")=1," combatente"," combatentes")&amp;". Cada uma está na C7, na linha do combatente")&amp;IF($N$171&gt;0,". Expirada(s) para apagar na C7: "&amp;$N$171,"")&amp;"."</f>
        <v/>
      </c>
      <c r="N171" s="2">
        <f>SUM($AH$209:$AH$303)</f>
        <v/>
      </c>
    </row>
    <row r="172" ht="26" customHeight="1">
      <c r="A172" s="8" t="inlineStr">
        <is>
          <t>Em quem</t>
        </is>
      </c>
      <c r="B172" s="8" t="inlineStr">
        <is>
          <t>Condição</t>
        </is>
      </c>
      <c r="C172" s="20" t="n"/>
      <c r="D172" s="8" t="inlineStr">
        <is>
          <t>Turnos restantes</t>
        </is>
      </c>
      <c r="E172" s="8" t="inlineStr">
        <is>
          <t>Acúmulos</t>
        </is>
      </c>
      <c r="F172" s="8" t="inlineStr">
        <is>
          <t>Quem aplicou</t>
        </is>
      </c>
      <c r="G172" s="20" t="n"/>
      <c r="H172" s="8" t="inlineStr">
        <is>
          <t>O que faz (21.5) e o número de agora</t>
        </is>
      </c>
      <c r="I172" s="20" t="n"/>
      <c r="J172" s="20" t="n"/>
      <c r="K172" s="20" t="n"/>
      <c r="L172" s="20" t="n"/>
    </row>
    <row r="173" ht="60" customHeight="1">
      <c r="A173" s="31">
        <f>IF($N$173="","",INDEX($A$209:$A$303,$N$173))</f>
        <v/>
      </c>
      <c r="B173" s="5">
        <f>IF($N$173="","",INDEX($CA$209:$CA$303,$N$173))</f>
        <v/>
      </c>
      <c r="D173" s="18">
        <f>IF($N$173="","",IF(ISNUMBER(INDEX($CC$209:$CC$303,$N$173)),INDEX($CC$209:$CC$303,$N$173),"sem contador"))</f>
        <v/>
      </c>
      <c r="E173" s="18">
        <f>IF($N$173="","",IF(INDEX($Z$209:$Z$303,$N$173)&gt;1,INDEX($AB$209:$AB$303,$N$173),"—"))</f>
        <v/>
      </c>
      <c r="F173" s="5">
        <f>IF($N$173="","",IF(LEN(INDEX($CE$209:$CE$303,$N$173))&gt;0,INDEX($CE$209:$CE$303,$N$173),"—"))</f>
        <v/>
      </c>
      <c r="H173" s="5">
        <f>IF($N$173="","",INDEX($AG$209:$AG$303,$N$173))</f>
        <v/>
      </c>
      <c r="N173" s="2">
        <f>IF(1&gt;SUM($AD$209:$AD$303),"",MATCH(SMALL($AE$209:$AE$303,1),$AE$209:$AE$303,0))</f>
        <v/>
      </c>
    </row>
    <row r="174" ht="60" customHeight="1">
      <c r="A174" s="43">
        <f>IF($N$174="","",INDEX($A$209:$A$303,$N$174))</f>
        <v/>
      </c>
      <c r="B174" s="10">
        <f>IF($N$174="","",INDEX($CA$209:$CA$303,$N$174))</f>
        <v/>
      </c>
      <c r="D174" s="23">
        <f>IF($N$174="","",IF(ISNUMBER(INDEX($CC$209:$CC$303,$N$174)),INDEX($CC$209:$CC$303,$N$174),"sem contador"))</f>
        <v/>
      </c>
      <c r="E174" s="23">
        <f>IF($N$174="","",IF(INDEX($Z$209:$Z$303,$N$174)&gt;1,INDEX($AB$209:$AB$303,$N$174),"—"))</f>
        <v/>
      </c>
      <c r="F174" s="10">
        <f>IF($N$174="","",IF(LEN(INDEX($CE$209:$CE$303,$N$174))&gt;0,INDEX($CE$209:$CE$303,$N$174),"—"))</f>
        <v/>
      </c>
      <c r="H174" s="10">
        <f>IF($N$174="","",INDEX($AG$209:$AG$303,$N$174))</f>
        <v/>
      </c>
      <c r="N174" s="2">
        <f>IF(2&gt;SUM($AD$209:$AD$303),"",MATCH(SMALL($AE$209:$AE$303,2),$AE$209:$AE$303,0))</f>
        <v/>
      </c>
    </row>
    <row r="175" ht="60" customHeight="1">
      <c r="A175" s="31">
        <f>IF($N$175="","",INDEX($A$209:$A$303,$N$175))</f>
        <v/>
      </c>
      <c r="B175" s="5">
        <f>IF($N$175="","",INDEX($CA$209:$CA$303,$N$175))</f>
        <v/>
      </c>
      <c r="D175" s="18">
        <f>IF($N$175="","",IF(ISNUMBER(INDEX($CC$209:$CC$303,$N$175)),INDEX($CC$209:$CC$303,$N$175),"sem contador"))</f>
        <v/>
      </c>
      <c r="E175" s="18">
        <f>IF($N$175="","",IF(INDEX($Z$209:$Z$303,$N$175)&gt;1,INDEX($AB$209:$AB$303,$N$175),"—"))</f>
        <v/>
      </c>
      <c r="F175" s="5">
        <f>IF($N$175="","",IF(LEN(INDEX($CE$209:$CE$303,$N$175))&gt;0,INDEX($CE$209:$CE$303,$N$175),"—"))</f>
        <v/>
      </c>
      <c r="H175" s="5">
        <f>IF($N$175="","",INDEX($AG$209:$AG$303,$N$175))</f>
        <v/>
      </c>
      <c r="N175" s="2">
        <f>IF(3&gt;SUM($AD$209:$AD$303),"",MATCH(SMALL($AE$209:$AE$303,3),$AE$209:$AE$303,0))</f>
        <v/>
      </c>
    </row>
    <row r="176" ht="60" customHeight="1">
      <c r="A176" s="43">
        <f>IF($N$176="","",INDEX($A$209:$A$303,$N$176))</f>
        <v/>
      </c>
      <c r="B176" s="10">
        <f>IF($N$176="","",INDEX($CA$209:$CA$303,$N$176))</f>
        <v/>
      </c>
      <c r="D176" s="23">
        <f>IF($N$176="","",IF(ISNUMBER(INDEX($CC$209:$CC$303,$N$176)),INDEX($CC$209:$CC$303,$N$176),"sem contador"))</f>
        <v/>
      </c>
      <c r="E176" s="23">
        <f>IF($N$176="","",IF(INDEX($Z$209:$Z$303,$N$176)&gt;1,INDEX($AB$209:$AB$303,$N$176),"—"))</f>
        <v/>
      </c>
      <c r="F176" s="10">
        <f>IF($N$176="","",IF(LEN(INDEX($CE$209:$CE$303,$N$176))&gt;0,INDEX($CE$209:$CE$303,$N$176),"—"))</f>
        <v/>
      </c>
      <c r="H176" s="10">
        <f>IF($N$176="","",INDEX($AG$209:$AG$303,$N$176))</f>
        <v/>
      </c>
      <c r="N176" s="2">
        <f>IF(4&gt;SUM($AD$209:$AD$303),"",MATCH(SMALL($AE$209:$AE$303,4),$AE$209:$AE$303,0))</f>
        <v/>
      </c>
    </row>
    <row r="177" ht="60" customHeight="1">
      <c r="A177" s="31">
        <f>IF($N$177="","",INDEX($A$209:$A$303,$N$177))</f>
        <v/>
      </c>
      <c r="B177" s="5">
        <f>IF($N$177="","",INDEX($CA$209:$CA$303,$N$177))</f>
        <v/>
      </c>
      <c r="D177" s="18">
        <f>IF($N$177="","",IF(ISNUMBER(INDEX($CC$209:$CC$303,$N$177)),INDEX($CC$209:$CC$303,$N$177),"sem contador"))</f>
        <v/>
      </c>
      <c r="E177" s="18">
        <f>IF($N$177="","",IF(INDEX($Z$209:$Z$303,$N$177)&gt;1,INDEX($AB$209:$AB$303,$N$177),"—"))</f>
        <v/>
      </c>
      <c r="F177" s="5">
        <f>IF($N$177="","",IF(LEN(INDEX($CE$209:$CE$303,$N$177))&gt;0,INDEX($CE$209:$CE$303,$N$177),"—"))</f>
        <v/>
      </c>
      <c r="H177" s="5">
        <f>IF($N$177="","",INDEX($AG$209:$AG$303,$N$177))</f>
        <v/>
      </c>
      <c r="N177" s="2">
        <f>IF(5&gt;SUM($AD$209:$AD$303),"",MATCH(SMALL($AE$209:$AE$303,5),$AE$209:$AE$303,0))</f>
        <v/>
      </c>
    </row>
    <row r="178" ht="60" customHeight="1">
      <c r="A178" s="43">
        <f>IF($N$178="","",INDEX($A$209:$A$303,$N$178))</f>
        <v/>
      </c>
      <c r="B178" s="10">
        <f>IF($N$178="","",INDEX($CA$209:$CA$303,$N$178))</f>
        <v/>
      </c>
      <c r="D178" s="23">
        <f>IF($N$178="","",IF(ISNUMBER(INDEX($CC$209:$CC$303,$N$178)),INDEX($CC$209:$CC$303,$N$178),"sem contador"))</f>
        <v/>
      </c>
      <c r="E178" s="23">
        <f>IF($N$178="","",IF(INDEX($Z$209:$Z$303,$N$178)&gt;1,INDEX($AB$209:$AB$303,$N$178),"—"))</f>
        <v/>
      </c>
      <c r="F178" s="10">
        <f>IF($N$178="","",IF(LEN(INDEX($CE$209:$CE$303,$N$178))&gt;0,INDEX($CE$209:$CE$303,$N$178),"—"))</f>
        <v/>
      </c>
      <c r="H178" s="10">
        <f>IF($N$178="","",INDEX($AG$209:$AG$303,$N$178))</f>
        <v/>
      </c>
      <c r="N178" s="2">
        <f>IF(6&gt;SUM($AD$209:$AD$303),"",MATCH(SMALL($AE$209:$AE$303,6),$AE$209:$AE$303,0))</f>
        <v/>
      </c>
    </row>
    <row r="179" ht="60" customHeight="1">
      <c r="A179" s="31">
        <f>IF($N$179="","",INDEX($A$209:$A$303,$N$179))</f>
        <v/>
      </c>
      <c r="B179" s="5">
        <f>IF($N$179="","",INDEX($CA$209:$CA$303,$N$179))</f>
        <v/>
      </c>
      <c r="D179" s="18">
        <f>IF($N$179="","",IF(ISNUMBER(INDEX($CC$209:$CC$303,$N$179)),INDEX($CC$209:$CC$303,$N$179),"sem contador"))</f>
        <v/>
      </c>
      <c r="E179" s="18">
        <f>IF($N$179="","",IF(INDEX($Z$209:$Z$303,$N$179)&gt;1,INDEX($AB$209:$AB$303,$N$179),"—"))</f>
        <v/>
      </c>
      <c r="F179" s="5">
        <f>IF($N$179="","",IF(LEN(INDEX($CE$209:$CE$303,$N$179))&gt;0,INDEX($CE$209:$CE$303,$N$179),"—"))</f>
        <v/>
      </c>
      <c r="H179" s="5">
        <f>IF($N$179="","",INDEX($AG$209:$AG$303,$N$179))</f>
        <v/>
      </c>
      <c r="N179" s="2">
        <f>IF(7&gt;SUM($AD$209:$AD$303),"",MATCH(SMALL($AE$209:$AE$303,7),$AE$209:$AE$303,0))</f>
        <v/>
      </c>
    </row>
    <row r="180" ht="60" customHeight="1">
      <c r="A180" s="43">
        <f>IF($N$180="","",INDEX($A$209:$A$303,$N$180))</f>
        <v/>
      </c>
      <c r="B180" s="10">
        <f>IF($N$180="","",INDEX($CA$209:$CA$303,$N$180))</f>
        <v/>
      </c>
      <c r="D180" s="23">
        <f>IF($N$180="","",IF(ISNUMBER(INDEX($CC$209:$CC$303,$N$180)),INDEX($CC$209:$CC$303,$N$180),"sem contador"))</f>
        <v/>
      </c>
      <c r="E180" s="23">
        <f>IF($N$180="","",IF(INDEX($Z$209:$Z$303,$N$180)&gt;1,INDEX($AB$209:$AB$303,$N$180),"—"))</f>
        <v/>
      </c>
      <c r="F180" s="10">
        <f>IF($N$180="","",IF(LEN(INDEX($CE$209:$CE$303,$N$180))&gt;0,INDEX($CE$209:$CE$303,$N$180),"—"))</f>
        <v/>
      </c>
      <c r="H180" s="10">
        <f>IF($N$180="","",INDEX($AG$209:$AG$303,$N$180))</f>
        <v/>
      </c>
      <c r="N180" s="2">
        <f>IF(8&gt;SUM($AD$209:$AD$303),"",MATCH(SMALL($AE$209:$AE$303,8),$AE$209:$AE$303,0))</f>
        <v/>
      </c>
    </row>
    <row r="181" ht="60" customHeight="1">
      <c r="A181" s="31">
        <f>IF($N$181="","",INDEX($A$209:$A$303,$N$181))</f>
        <v/>
      </c>
      <c r="B181" s="5">
        <f>IF($N$181="","",INDEX($CA$209:$CA$303,$N$181))</f>
        <v/>
      </c>
      <c r="D181" s="18">
        <f>IF($N$181="","",IF(ISNUMBER(INDEX($CC$209:$CC$303,$N$181)),INDEX($CC$209:$CC$303,$N$181),"sem contador"))</f>
        <v/>
      </c>
      <c r="E181" s="18">
        <f>IF($N$181="","",IF(INDEX($Z$209:$Z$303,$N$181)&gt;1,INDEX($AB$209:$AB$303,$N$181),"—"))</f>
        <v/>
      </c>
      <c r="F181" s="5">
        <f>IF($N$181="","",IF(LEN(INDEX($CE$209:$CE$303,$N$181))&gt;0,INDEX($CE$209:$CE$303,$N$181),"—"))</f>
        <v/>
      </c>
      <c r="H181" s="5">
        <f>IF($N$181="","",INDEX($AG$209:$AG$303,$N$181))</f>
        <v/>
      </c>
      <c r="N181" s="2">
        <f>IF(9&gt;SUM($AD$209:$AD$303),"",MATCH(SMALL($AE$209:$AE$303,9),$AE$209:$AE$303,0))</f>
        <v/>
      </c>
    </row>
    <row r="182" ht="60" customHeight="1">
      <c r="A182" s="43">
        <f>IF($N$182="","",INDEX($A$209:$A$303,$N$182))</f>
        <v/>
      </c>
      <c r="B182" s="10">
        <f>IF($N$182="","",INDEX($CA$209:$CA$303,$N$182))</f>
        <v/>
      </c>
      <c r="D182" s="23">
        <f>IF($N$182="","",IF(ISNUMBER(INDEX($CC$209:$CC$303,$N$182)),INDEX($CC$209:$CC$303,$N$182),"sem contador"))</f>
        <v/>
      </c>
      <c r="E182" s="23">
        <f>IF($N$182="","",IF(INDEX($Z$209:$Z$303,$N$182)&gt;1,INDEX($AB$209:$AB$303,$N$182),"—"))</f>
        <v/>
      </c>
      <c r="F182" s="10">
        <f>IF($N$182="","",IF(LEN(INDEX($CE$209:$CE$303,$N$182))&gt;0,INDEX($CE$209:$CE$303,$N$182),"—"))</f>
        <v/>
      </c>
      <c r="H182" s="10">
        <f>IF($N$182="","",INDEX($AG$209:$AG$303,$N$182))</f>
        <v/>
      </c>
      <c r="N182" s="2">
        <f>IF(10&gt;SUM($AD$209:$AD$303),"",MATCH(SMALL($AE$209:$AE$303,10),$AE$209:$AE$303,0))</f>
        <v/>
      </c>
    </row>
    <row r="183" ht="26" customHeight="1">
      <c r="A183" s="8" t="inlineStr">
        <is>
          <t>Em quem</t>
        </is>
      </c>
      <c r="B183" s="8" t="inlineStr">
        <is>
          <t>Condição</t>
        </is>
      </c>
      <c r="C183" s="20" t="n"/>
      <c r="D183" s="8" t="inlineStr">
        <is>
          <t>Turnos restantes</t>
        </is>
      </c>
      <c r="E183" s="8" t="inlineStr">
        <is>
          <t>Acúmulos</t>
        </is>
      </c>
      <c r="F183" s="8" t="inlineStr">
        <is>
          <t>Quem aplicou</t>
        </is>
      </c>
      <c r="G183" s="20" t="n"/>
      <c r="H183" s="8" t="inlineStr">
        <is>
          <t>O que faz (21.5) e o número de agora</t>
        </is>
      </c>
      <c r="I183" s="20" t="n"/>
      <c r="J183" s="20" t="n"/>
      <c r="K183" s="20" t="n"/>
      <c r="L183" s="20" t="n"/>
    </row>
    <row r="184" ht="60" customHeight="1">
      <c r="A184" s="31">
        <f>IF($N$184="","",INDEX($A$209:$A$303,$N$184))</f>
        <v/>
      </c>
      <c r="B184" s="5">
        <f>IF($N$184="","",INDEX($CA$209:$CA$303,$N$184))</f>
        <v/>
      </c>
      <c r="D184" s="18">
        <f>IF($N$184="","",IF(ISNUMBER(INDEX($CC$209:$CC$303,$N$184)),INDEX($CC$209:$CC$303,$N$184),"sem contador"))</f>
        <v/>
      </c>
      <c r="E184" s="18">
        <f>IF($N$184="","",IF(INDEX($Z$209:$Z$303,$N$184)&gt;1,INDEX($AB$209:$AB$303,$N$184),"—"))</f>
        <v/>
      </c>
      <c r="F184" s="5">
        <f>IF($N$184="","",IF(LEN(INDEX($CE$209:$CE$303,$N$184))&gt;0,INDEX($CE$209:$CE$303,$N$184),"—"))</f>
        <v/>
      </c>
      <c r="H184" s="5">
        <f>IF($N$184="","",INDEX($AG$209:$AG$303,$N$184))</f>
        <v/>
      </c>
      <c r="N184" s="2">
        <f>IF(11&gt;SUM($AD$209:$AD$303),"",MATCH(SMALL($AE$209:$AE$303,11),$AE$209:$AE$303,0))</f>
        <v/>
      </c>
    </row>
    <row r="185" ht="60" customHeight="1">
      <c r="A185" s="43">
        <f>IF($N$185="","",INDEX($A$209:$A$303,$N$185))</f>
        <v/>
      </c>
      <c r="B185" s="10">
        <f>IF($N$185="","",INDEX($CA$209:$CA$303,$N$185))</f>
        <v/>
      </c>
      <c r="D185" s="23">
        <f>IF($N$185="","",IF(ISNUMBER(INDEX($CC$209:$CC$303,$N$185)),INDEX($CC$209:$CC$303,$N$185),"sem contador"))</f>
        <v/>
      </c>
      <c r="E185" s="23">
        <f>IF($N$185="","",IF(INDEX($Z$209:$Z$303,$N$185)&gt;1,INDEX($AB$209:$AB$303,$N$185),"—"))</f>
        <v/>
      </c>
      <c r="F185" s="10">
        <f>IF($N$185="","",IF(LEN(INDEX($CE$209:$CE$303,$N$185))&gt;0,INDEX($CE$209:$CE$303,$N$185),"—"))</f>
        <v/>
      </c>
      <c r="H185" s="10">
        <f>IF($N$185="","",INDEX($AG$209:$AG$303,$N$185))</f>
        <v/>
      </c>
      <c r="N185" s="2">
        <f>IF(12&gt;SUM($AD$209:$AD$303),"",MATCH(SMALL($AE$209:$AE$303,12),$AE$209:$AE$303,0))</f>
        <v/>
      </c>
    </row>
    <row r="186" ht="60" customHeight="1">
      <c r="A186" s="31">
        <f>IF($N$186="","",INDEX($A$209:$A$303,$N$186))</f>
        <v/>
      </c>
      <c r="B186" s="5">
        <f>IF($N$186="","",INDEX($CA$209:$CA$303,$N$186))</f>
        <v/>
      </c>
      <c r="D186" s="18">
        <f>IF($N$186="","",IF(ISNUMBER(INDEX($CC$209:$CC$303,$N$186)),INDEX($CC$209:$CC$303,$N$186),"sem contador"))</f>
        <v/>
      </c>
      <c r="E186" s="18">
        <f>IF($N$186="","",IF(INDEX($Z$209:$Z$303,$N$186)&gt;1,INDEX($AB$209:$AB$303,$N$186),"—"))</f>
        <v/>
      </c>
      <c r="F186" s="5">
        <f>IF($N$186="","",IF(LEN(INDEX($CE$209:$CE$303,$N$186))&gt;0,INDEX($CE$209:$CE$303,$N$186),"—"))</f>
        <v/>
      </c>
      <c r="H186" s="5">
        <f>IF($N$186="","",INDEX($AG$209:$AG$303,$N$186))</f>
        <v/>
      </c>
      <c r="N186" s="2">
        <f>IF(13&gt;SUM($AD$209:$AD$303),"",MATCH(SMALL($AE$209:$AE$303,13),$AE$209:$AE$303,0))</f>
        <v/>
      </c>
    </row>
    <row r="187" ht="60" customHeight="1">
      <c r="A187" s="43">
        <f>IF($N$187="","",INDEX($A$209:$A$303,$N$187))</f>
        <v/>
      </c>
      <c r="B187" s="10">
        <f>IF($N$187="","",INDEX($CA$209:$CA$303,$N$187))</f>
        <v/>
      </c>
      <c r="D187" s="23">
        <f>IF($N$187="","",IF(ISNUMBER(INDEX($CC$209:$CC$303,$N$187)),INDEX($CC$209:$CC$303,$N$187),"sem contador"))</f>
        <v/>
      </c>
      <c r="E187" s="23">
        <f>IF($N$187="","",IF(INDEX($Z$209:$Z$303,$N$187)&gt;1,INDEX($AB$209:$AB$303,$N$187),"—"))</f>
        <v/>
      </c>
      <c r="F187" s="10">
        <f>IF($N$187="","",IF(LEN(INDEX($CE$209:$CE$303,$N$187))&gt;0,INDEX($CE$209:$CE$303,$N$187),"—"))</f>
        <v/>
      </c>
      <c r="H187" s="10">
        <f>IF($N$187="","",INDEX($AG$209:$AG$303,$N$187))</f>
        <v/>
      </c>
      <c r="N187" s="2">
        <f>IF(14&gt;SUM($AD$209:$AD$303),"",MATCH(SMALL($AE$209:$AE$303,14),$AE$209:$AE$303,0))</f>
        <v/>
      </c>
    </row>
    <row r="188" ht="60" customHeight="1">
      <c r="A188" s="31">
        <f>IF($N$188="","",INDEX($A$209:$A$303,$N$188))</f>
        <v/>
      </c>
      <c r="B188" s="5">
        <f>IF($N$188="","",INDEX($CA$209:$CA$303,$N$188))</f>
        <v/>
      </c>
      <c r="D188" s="18">
        <f>IF($N$188="","",IF(ISNUMBER(INDEX($CC$209:$CC$303,$N$188)),INDEX($CC$209:$CC$303,$N$188),"sem contador"))</f>
        <v/>
      </c>
      <c r="E188" s="18">
        <f>IF($N$188="","",IF(INDEX($Z$209:$Z$303,$N$188)&gt;1,INDEX($AB$209:$AB$303,$N$188),"—"))</f>
        <v/>
      </c>
      <c r="F188" s="5">
        <f>IF($N$188="","",IF(LEN(INDEX($CE$209:$CE$303,$N$188))&gt;0,INDEX($CE$209:$CE$303,$N$188),"—"))</f>
        <v/>
      </c>
      <c r="H188" s="5">
        <f>IF($N$188="","",INDEX($AG$209:$AG$303,$N$188))</f>
        <v/>
      </c>
      <c r="N188" s="2">
        <f>IF(15&gt;SUM($AD$209:$AD$303),"",MATCH(SMALL($AE$209:$AE$303,15),$AE$209:$AE$303,0))</f>
        <v/>
      </c>
    </row>
    <row r="189" ht="60" customHeight="1">
      <c r="A189" s="43">
        <f>IF($N$189="","",INDEX($A$209:$A$303,$N$189))</f>
        <v/>
      </c>
      <c r="B189" s="10">
        <f>IF($N$189="","",INDEX($CA$209:$CA$303,$N$189))</f>
        <v/>
      </c>
      <c r="D189" s="23">
        <f>IF($N$189="","",IF(ISNUMBER(INDEX($CC$209:$CC$303,$N$189)),INDEX($CC$209:$CC$303,$N$189),"sem contador"))</f>
        <v/>
      </c>
      <c r="E189" s="23">
        <f>IF($N$189="","",IF(INDEX($Z$209:$Z$303,$N$189)&gt;1,INDEX($AB$209:$AB$303,$N$189),"—"))</f>
        <v/>
      </c>
      <c r="F189" s="10">
        <f>IF($N$189="","",IF(LEN(INDEX($CE$209:$CE$303,$N$189))&gt;0,INDEX($CE$209:$CE$303,$N$189),"—"))</f>
        <v/>
      </c>
      <c r="H189" s="10">
        <f>IF($N$189="","",INDEX($AG$209:$AG$303,$N$189))</f>
        <v/>
      </c>
      <c r="N189" s="2">
        <f>IF(16&gt;SUM($AD$209:$AD$303),"",MATCH(SMALL($AE$209:$AE$303,16),$AE$209:$AE$303,0))</f>
        <v/>
      </c>
    </row>
    <row r="190" ht="60" customHeight="1">
      <c r="A190" s="31">
        <f>IF($N$190="","",INDEX($A$209:$A$303,$N$190))</f>
        <v/>
      </c>
      <c r="B190" s="5">
        <f>IF($N$190="","",INDEX($CA$209:$CA$303,$N$190))</f>
        <v/>
      </c>
      <c r="D190" s="18">
        <f>IF($N$190="","",IF(ISNUMBER(INDEX($CC$209:$CC$303,$N$190)),INDEX($CC$209:$CC$303,$N$190),"sem contador"))</f>
        <v/>
      </c>
      <c r="E190" s="18">
        <f>IF($N$190="","",IF(INDEX($Z$209:$Z$303,$N$190)&gt;1,INDEX($AB$209:$AB$303,$N$190),"—"))</f>
        <v/>
      </c>
      <c r="F190" s="5">
        <f>IF($N$190="","",IF(LEN(INDEX($CE$209:$CE$303,$N$190))&gt;0,INDEX($CE$209:$CE$303,$N$190),"—"))</f>
        <v/>
      </c>
      <c r="H190" s="5">
        <f>IF($N$190="","",INDEX($AG$209:$AG$303,$N$190))</f>
        <v/>
      </c>
      <c r="N190" s="2">
        <f>IF(17&gt;SUM($AD$209:$AD$303),"",MATCH(SMALL($AE$209:$AE$303,17),$AE$209:$AE$303,0))</f>
        <v/>
      </c>
    </row>
    <row r="191" ht="60" customHeight="1">
      <c r="A191" s="43">
        <f>IF($N$191="","",INDEX($A$209:$A$303,$N$191))</f>
        <v/>
      </c>
      <c r="B191" s="10">
        <f>IF($N$191="","",INDEX($CA$209:$CA$303,$N$191))</f>
        <v/>
      </c>
      <c r="D191" s="23">
        <f>IF($N$191="","",IF(ISNUMBER(INDEX($CC$209:$CC$303,$N$191)),INDEX($CC$209:$CC$303,$N$191),"sem contador"))</f>
        <v/>
      </c>
      <c r="E191" s="23">
        <f>IF($N$191="","",IF(INDEX($Z$209:$Z$303,$N$191)&gt;1,INDEX($AB$209:$AB$303,$N$191),"—"))</f>
        <v/>
      </c>
      <c r="F191" s="10">
        <f>IF($N$191="","",IF(LEN(INDEX($CE$209:$CE$303,$N$191))&gt;0,INDEX($CE$209:$CE$303,$N$191),"—"))</f>
        <v/>
      </c>
      <c r="H191" s="10">
        <f>IF($N$191="","",INDEX($AG$209:$AG$303,$N$191))</f>
        <v/>
      </c>
      <c r="N191" s="2">
        <f>IF(18&gt;SUM($AD$209:$AD$303),"",MATCH(SMALL($AE$209:$AE$303,18),$AE$209:$AE$303,0))</f>
        <v/>
      </c>
    </row>
    <row r="192" ht="60" customHeight="1">
      <c r="A192" s="31">
        <f>IF($N$192="","",INDEX($A$209:$A$303,$N$192))</f>
        <v/>
      </c>
      <c r="B192" s="5">
        <f>IF($N$192="","",INDEX($CA$209:$CA$303,$N$192))</f>
        <v/>
      </c>
      <c r="D192" s="18">
        <f>IF($N$192="","",IF(ISNUMBER(INDEX($CC$209:$CC$303,$N$192)),INDEX($CC$209:$CC$303,$N$192),"sem contador"))</f>
        <v/>
      </c>
      <c r="E192" s="18">
        <f>IF($N$192="","",IF(INDEX($Z$209:$Z$303,$N$192)&gt;1,INDEX($AB$209:$AB$303,$N$192),"—"))</f>
        <v/>
      </c>
      <c r="F192" s="5">
        <f>IF($N$192="","",IF(LEN(INDEX($CE$209:$CE$303,$N$192))&gt;0,INDEX($CE$209:$CE$303,$N$192),"—"))</f>
        <v/>
      </c>
      <c r="H192" s="5">
        <f>IF($N$192="","",INDEX($AG$209:$AG$303,$N$192))</f>
        <v/>
      </c>
      <c r="N192" s="2">
        <f>IF(19&gt;SUM($AD$209:$AD$303),"",MATCH(SMALL($AE$209:$AE$303,19),$AE$209:$AE$303,0))</f>
        <v/>
      </c>
    </row>
    <row r="193" ht="60" customHeight="1">
      <c r="A193" s="43">
        <f>IF($N$193="","",INDEX($A$209:$A$303,$N$193))</f>
        <v/>
      </c>
      <c r="B193" s="10">
        <f>IF($N$193="","",INDEX($CA$209:$CA$303,$N$193))</f>
        <v/>
      </c>
      <c r="D193" s="23">
        <f>IF($N$193="","",IF(ISNUMBER(INDEX($CC$209:$CC$303,$N$193)),INDEX($CC$209:$CC$303,$N$193),"sem contador"))</f>
        <v/>
      </c>
      <c r="E193" s="23">
        <f>IF($N$193="","",IF(INDEX($Z$209:$Z$303,$N$193)&gt;1,INDEX($AB$209:$AB$303,$N$193),"—"))</f>
        <v/>
      </c>
      <c r="F193" s="10">
        <f>IF($N$193="","",IF(LEN(INDEX($CE$209:$CE$303,$N$193))&gt;0,INDEX($CE$209:$CE$303,$N$193),"—"))</f>
        <v/>
      </c>
      <c r="H193" s="10">
        <f>IF($N$193="","",INDEX($AG$209:$AG$303,$N$193))</f>
        <v/>
      </c>
      <c r="N193" s="2">
        <f>IF(20&gt;SUM($AD$209:$AD$303),"",MATCH(SMALL($AE$209:$AE$303,20),$AE$209:$AE$303,0))</f>
        <v/>
      </c>
    </row>
    <row r="194" ht="26" customHeight="1">
      <c r="A194" s="8" t="inlineStr">
        <is>
          <t>Em quem</t>
        </is>
      </c>
      <c r="B194" s="8" t="inlineStr">
        <is>
          <t>Condição</t>
        </is>
      </c>
      <c r="C194" s="20" t="n"/>
      <c r="D194" s="8" t="inlineStr">
        <is>
          <t>Turnos restantes</t>
        </is>
      </c>
      <c r="E194" s="8" t="inlineStr">
        <is>
          <t>Acúmulos</t>
        </is>
      </c>
      <c r="F194" s="8" t="inlineStr">
        <is>
          <t>Quem aplicou</t>
        </is>
      </c>
      <c r="G194" s="20" t="n"/>
      <c r="H194" s="8" t="inlineStr">
        <is>
          <t>O que faz (21.5) e o número de agora</t>
        </is>
      </c>
      <c r="I194" s="20" t="n"/>
      <c r="J194" s="20" t="n"/>
      <c r="K194" s="20" t="n"/>
      <c r="L194" s="20" t="n"/>
    </row>
    <row r="195" ht="60" customHeight="1">
      <c r="A195" s="31">
        <f>IF($N$195="","",INDEX($A$209:$A$303,$N$195))</f>
        <v/>
      </c>
      <c r="B195" s="5">
        <f>IF($N$195="","",INDEX($CA$209:$CA$303,$N$195))</f>
        <v/>
      </c>
      <c r="D195" s="18">
        <f>IF($N$195="","",IF(ISNUMBER(INDEX($CC$209:$CC$303,$N$195)),INDEX($CC$209:$CC$303,$N$195),"sem contador"))</f>
        <v/>
      </c>
      <c r="E195" s="18">
        <f>IF($N$195="","",IF(INDEX($Z$209:$Z$303,$N$195)&gt;1,INDEX($AB$209:$AB$303,$N$195),"—"))</f>
        <v/>
      </c>
      <c r="F195" s="5">
        <f>IF($N$195="","",IF(LEN(INDEX($CE$209:$CE$303,$N$195))&gt;0,INDEX($CE$209:$CE$303,$N$195),"—"))</f>
        <v/>
      </c>
      <c r="H195" s="5">
        <f>IF($N$195="","",INDEX($AG$209:$AG$303,$N$195))</f>
        <v/>
      </c>
      <c r="N195" s="2">
        <f>IF(21&gt;SUM($AD$209:$AD$303),"",MATCH(SMALL($AE$209:$AE$303,21),$AE$209:$AE$303,0))</f>
        <v/>
      </c>
    </row>
    <row r="196" ht="60" customHeight="1">
      <c r="A196" s="43">
        <f>IF($N$196="","",INDEX($A$209:$A$303,$N$196))</f>
        <v/>
      </c>
      <c r="B196" s="10">
        <f>IF($N$196="","",INDEX($CA$209:$CA$303,$N$196))</f>
        <v/>
      </c>
      <c r="D196" s="23">
        <f>IF($N$196="","",IF(ISNUMBER(INDEX($CC$209:$CC$303,$N$196)),INDEX($CC$209:$CC$303,$N$196),"sem contador"))</f>
        <v/>
      </c>
      <c r="E196" s="23">
        <f>IF($N$196="","",IF(INDEX($Z$209:$Z$303,$N$196)&gt;1,INDEX($AB$209:$AB$303,$N$196),"—"))</f>
        <v/>
      </c>
      <c r="F196" s="10">
        <f>IF($N$196="","",IF(LEN(INDEX($CE$209:$CE$303,$N$196))&gt;0,INDEX($CE$209:$CE$303,$N$196),"—"))</f>
        <v/>
      </c>
      <c r="H196" s="10">
        <f>IF($N$196="","",INDEX($AG$209:$AG$303,$N$196))</f>
        <v/>
      </c>
      <c r="N196" s="2">
        <f>IF(22&gt;SUM($AD$209:$AD$303),"",MATCH(SMALL($AE$209:$AE$303,22),$AE$209:$AE$303,0))</f>
        <v/>
      </c>
    </row>
    <row r="197" ht="60" customHeight="1">
      <c r="A197" s="31">
        <f>IF($N$197="","",INDEX($A$209:$A$303,$N$197))</f>
        <v/>
      </c>
      <c r="B197" s="5">
        <f>IF($N$197="","",INDEX($CA$209:$CA$303,$N$197))</f>
        <v/>
      </c>
      <c r="D197" s="18">
        <f>IF($N$197="","",IF(ISNUMBER(INDEX($CC$209:$CC$303,$N$197)),INDEX($CC$209:$CC$303,$N$197),"sem contador"))</f>
        <v/>
      </c>
      <c r="E197" s="18">
        <f>IF($N$197="","",IF(INDEX($Z$209:$Z$303,$N$197)&gt;1,INDEX($AB$209:$AB$303,$N$197),"—"))</f>
        <v/>
      </c>
      <c r="F197" s="5">
        <f>IF($N$197="","",IF(LEN(INDEX($CE$209:$CE$303,$N$197))&gt;0,INDEX($CE$209:$CE$303,$N$197),"—"))</f>
        <v/>
      </c>
      <c r="H197" s="5">
        <f>IF($N$197="","",INDEX($AG$209:$AG$303,$N$197))</f>
        <v/>
      </c>
      <c r="N197" s="2">
        <f>IF(23&gt;SUM($AD$209:$AD$303),"",MATCH(SMALL($AE$209:$AE$303,23),$AE$209:$AE$303,0))</f>
        <v/>
      </c>
    </row>
    <row r="198" ht="60" customHeight="1">
      <c r="A198" s="43">
        <f>IF($N$198="","",INDEX($A$209:$A$303,$N$198))</f>
        <v/>
      </c>
      <c r="B198" s="10">
        <f>IF($N$198="","",INDEX($CA$209:$CA$303,$N$198))</f>
        <v/>
      </c>
      <c r="D198" s="23">
        <f>IF($N$198="","",IF(ISNUMBER(INDEX($CC$209:$CC$303,$N$198)),INDEX($CC$209:$CC$303,$N$198),"sem contador"))</f>
        <v/>
      </c>
      <c r="E198" s="23">
        <f>IF($N$198="","",IF(INDEX($Z$209:$Z$303,$N$198)&gt;1,INDEX($AB$209:$AB$303,$N$198),"—"))</f>
        <v/>
      </c>
      <c r="F198" s="10">
        <f>IF($N$198="","",IF(LEN(INDEX($CE$209:$CE$303,$N$198))&gt;0,INDEX($CE$209:$CE$303,$N$198),"—"))</f>
        <v/>
      </c>
      <c r="H198" s="10">
        <f>IF($N$198="","",INDEX($AG$209:$AG$303,$N$198))</f>
        <v/>
      </c>
      <c r="N198" s="2">
        <f>IF(24&gt;SUM($AD$209:$AD$303),"",MATCH(SMALL($AE$209:$AE$303,24),$AE$209:$AE$303,0))</f>
        <v/>
      </c>
    </row>
    <row r="199" ht="60" customHeight="1">
      <c r="A199" s="31">
        <f>IF($N$199="","",INDEX($A$209:$A$303,$N$199))</f>
        <v/>
      </c>
      <c r="B199" s="5">
        <f>IF($N$199="","",INDEX($CA$209:$CA$303,$N$199))</f>
        <v/>
      </c>
      <c r="D199" s="18">
        <f>IF($N$199="","",IF(ISNUMBER(INDEX($CC$209:$CC$303,$N$199)),INDEX($CC$209:$CC$303,$N$199),"sem contador"))</f>
        <v/>
      </c>
      <c r="E199" s="18">
        <f>IF($N$199="","",IF(INDEX($Z$209:$Z$303,$N$199)&gt;1,INDEX($AB$209:$AB$303,$N$199),"—"))</f>
        <v/>
      </c>
      <c r="F199" s="5">
        <f>IF($N$199="","",IF(LEN(INDEX($CE$209:$CE$303,$N$199))&gt;0,INDEX($CE$209:$CE$303,$N$199),"—"))</f>
        <v/>
      </c>
      <c r="H199" s="5">
        <f>IF($N$199="","",INDEX($AG$209:$AG$303,$N$199))</f>
        <v/>
      </c>
      <c r="N199" s="2">
        <f>IF(25&gt;SUM($AD$209:$AD$303),"",MATCH(SMALL($AE$209:$AE$303,25),$AE$209:$AE$303,0))</f>
        <v/>
      </c>
    </row>
    <row r="200" ht="60" customHeight="1">
      <c r="A200" s="43">
        <f>IF($N$200="","",INDEX($A$209:$A$303,$N$200))</f>
        <v/>
      </c>
      <c r="B200" s="10">
        <f>IF($N$200="","",INDEX($CA$209:$CA$303,$N$200))</f>
        <v/>
      </c>
      <c r="D200" s="23">
        <f>IF($N$200="","",IF(ISNUMBER(INDEX($CC$209:$CC$303,$N$200)),INDEX($CC$209:$CC$303,$N$200),"sem contador"))</f>
        <v/>
      </c>
      <c r="E200" s="23">
        <f>IF($N$200="","",IF(INDEX($Z$209:$Z$303,$N$200)&gt;1,INDEX($AB$209:$AB$303,$N$200),"—"))</f>
        <v/>
      </c>
      <c r="F200" s="10">
        <f>IF($N$200="","",IF(LEN(INDEX($CE$209:$CE$303,$N$200))&gt;0,INDEX($CE$209:$CE$303,$N$200),"—"))</f>
        <v/>
      </c>
      <c r="H200" s="10">
        <f>IF($N$200="","",INDEX($AG$209:$AG$303,$N$200))</f>
        <v/>
      </c>
      <c r="N200" s="2">
        <f>IF(26&gt;SUM($AD$209:$AD$303),"",MATCH(SMALL($AE$209:$AE$303,26),$AE$209:$AE$303,0))</f>
        <v/>
      </c>
    </row>
    <row r="201" ht="60" customHeight="1">
      <c r="A201" s="31">
        <f>IF($N$201="","",INDEX($A$209:$A$303,$N$201))</f>
        <v/>
      </c>
      <c r="B201" s="5">
        <f>IF($N$201="","",INDEX($CA$209:$CA$303,$N$201))</f>
        <v/>
      </c>
      <c r="D201" s="18">
        <f>IF($N$201="","",IF(ISNUMBER(INDEX($CC$209:$CC$303,$N$201)),INDEX($CC$209:$CC$303,$N$201),"sem contador"))</f>
        <v/>
      </c>
      <c r="E201" s="18">
        <f>IF($N$201="","",IF(INDEX($Z$209:$Z$303,$N$201)&gt;1,INDEX($AB$209:$AB$303,$N$201),"—"))</f>
        <v/>
      </c>
      <c r="F201" s="5">
        <f>IF($N$201="","",IF(LEN(INDEX($CE$209:$CE$303,$N$201))&gt;0,INDEX($CE$209:$CE$303,$N$201),"—"))</f>
        <v/>
      </c>
      <c r="H201" s="5">
        <f>IF($N$201="","",INDEX($AG$209:$AG$303,$N$201))</f>
        <v/>
      </c>
      <c r="N201" s="2">
        <f>IF(27&gt;SUM($AD$209:$AD$303),"",MATCH(SMALL($AE$209:$AE$303,27),$AE$209:$AE$303,0))</f>
        <v/>
      </c>
    </row>
    <row r="202" ht="60" customHeight="1">
      <c r="A202" s="43">
        <f>IF($N$202="","",INDEX($A$209:$A$303,$N$202))</f>
        <v/>
      </c>
      <c r="B202" s="10">
        <f>IF($N$202="","",INDEX($CA$209:$CA$303,$N$202))</f>
        <v/>
      </c>
      <c r="D202" s="23">
        <f>IF($N$202="","",IF(ISNUMBER(INDEX($CC$209:$CC$303,$N$202)),INDEX($CC$209:$CC$303,$N$202),"sem contador"))</f>
        <v/>
      </c>
      <c r="E202" s="23">
        <f>IF($N$202="","",IF(INDEX($Z$209:$Z$303,$N$202)&gt;1,INDEX($AB$209:$AB$303,$N$202),"—"))</f>
        <v/>
      </c>
      <c r="F202" s="10">
        <f>IF($N$202="","",IF(LEN(INDEX($CE$209:$CE$303,$N$202))&gt;0,INDEX($CE$209:$CE$303,$N$202),"—"))</f>
        <v/>
      </c>
      <c r="H202" s="10">
        <f>IF($N$202="","",INDEX($AG$209:$AG$303,$N$202))</f>
        <v/>
      </c>
      <c r="N202" s="2">
        <f>IF(28&gt;SUM($AD$209:$AD$303),"",MATCH(SMALL($AE$209:$AE$303,28),$AE$209:$AE$303,0))</f>
        <v/>
      </c>
    </row>
    <row r="203" ht="60" customHeight="1">
      <c r="A203" s="31">
        <f>IF($N$203="","",INDEX($A$209:$A$303,$N$203))</f>
        <v/>
      </c>
      <c r="B203" s="5">
        <f>IF($N$203="","",INDEX($CA$209:$CA$303,$N$203))</f>
        <v/>
      </c>
      <c r="D203" s="18">
        <f>IF($N$203="","",IF(ISNUMBER(INDEX($CC$209:$CC$303,$N$203)),INDEX($CC$209:$CC$303,$N$203),"sem contador"))</f>
        <v/>
      </c>
      <c r="E203" s="18">
        <f>IF($N$203="","",IF(INDEX($Z$209:$Z$303,$N$203)&gt;1,INDEX($AB$209:$AB$303,$N$203),"—"))</f>
        <v/>
      </c>
      <c r="F203" s="5">
        <f>IF($N$203="","",IF(LEN(INDEX($CE$209:$CE$303,$N$203))&gt;0,INDEX($CE$209:$CE$303,$N$203),"—"))</f>
        <v/>
      </c>
      <c r="H203" s="5">
        <f>IF($N$203="","",INDEX($AG$209:$AG$303,$N$203))</f>
        <v/>
      </c>
      <c r="N203" s="2">
        <f>IF(29&gt;SUM($AD$209:$AD$303),"",MATCH(SMALL($AE$209:$AE$303,29),$AE$209:$AE$303,0))</f>
        <v/>
      </c>
    </row>
    <row r="204" ht="60" customHeight="1">
      <c r="A204" s="43">
        <f>IF($N$204="","",INDEX($A$209:$A$303,$N$204))</f>
        <v/>
      </c>
      <c r="B204" s="10">
        <f>IF($N$204="","",INDEX($CA$209:$CA$303,$N$204))</f>
        <v/>
      </c>
      <c r="D204" s="23">
        <f>IF($N$204="","",IF(ISNUMBER(INDEX($CC$209:$CC$303,$N$204)),INDEX($CC$209:$CC$303,$N$204),"sem contador"))</f>
        <v/>
      </c>
      <c r="E204" s="23">
        <f>IF($N$204="","",IF(INDEX($Z$209:$Z$303,$N$204)&gt;1,INDEX($AB$209:$AB$303,$N$204),"—"))</f>
        <v/>
      </c>
      <c r="F204" s="10">
        <f>IF($N$204="","",IF(LEN(INDEX($CE$209:$CE$303,$N$204))&gt;0,INDEX($CE$209:$CE$303,$N$204),"—"))</f>
        <v/>
      </c>
      <c r="H204" s="10">
        <f>IF($N$204="","",INDEX($AG$209:$AG$303,$N$204))</f>
        <v/>
      </c>
      <c r="N204" s="2">
        <f>IF(30&gt;SUM($AD$209:$AD$303),"",MATCH(SMALL($AE$209:$AE$303,30),$AE$209:$AE$303,0))</f>
        <v/>
      </c>
    </row>
    <row r="205">
      <c r="A205" s="31">
        <f>IF(SUM($AD$209:$AD$303)&gt;30,"Mais "&amp;(SUM($AD$209:$AD$303)-30)&amp;IF(SUM($AD$209:$AD$303)-30=1," condição ativa"," condições ativas")&amp;" além destas 30: veja a C7.","")</f>
        <v/>
      </c>
    </row>
    <row r="206"/>
    <row r="207" ht="20" customHeight="1">
      <c r="A207" s="13" t="inlineStr">
        <is>
          <t>C7 · Condições de cada combatente (21.5): 4 ao mesmo tempo, com os turnos que faltam, os acúmulos e o dano pela Eficiência de quem aplicou</t>
        </is>
      </c>
    </row>
    <row r="208" ht="26" customHeight="1">
      <c r="A208" s="8" t="inlineStr">
        <is>
          <t>Combatente</t>
        </is>
      </c>
      <c r="B208" s="8" t="inlineStr">
        <is>
          <t>Condição</t>
        </is>
      </c>
      <c r="C208" s="20" t="n"/>
      <c r="D208" s="8" t="inlineStr">
        <is>
          <t>Turnos restantes</t>
        </is>
      </c>
      <c r="E208" s="8" t="inlineStr">
        <is>
          <t>Acúmulos</t>
        </is>
      </c>
      <c r="F208" s="8" t="inlineStr">
        <is>
          <t>Quem aplicou</t>
        </is>
      </c>
      <c r="G208" s="20" t="n"/>
      <c r="H208" s="8" t="inlineStr">
        <is>
          <t>Efeito e dano</t>
        </is>
      </c>
      <c r="I208" s="20" t="n"/>
      <c r="J208" s="20" t="n"/>
      <c r="K208" s="8" t="inlineStr">
        <is>
          <t>Aviso</t>
        </is>
      </c>
      <c r="L208" s="20" t="n"/>
    </row>
    <row r="209" ht="48" customHeight="1">
      <c r="A209" s="31">
        <f>IF(LEN($N$11)&gt;0,$N$11,"1 · (vazio)")</f>
        <v/>
      </c>
      <c r="B209" s="4" t="n"/>
      <c r="C209" s="17" t="n"/>
      <c r="D209" s="16" t="n"/>
      <c r="E209" s="16" t="n"/>
      <c r="F209" s="4" t="n"/>
      <c r="G209" s="17" t="n"/>
      <c r="H209" s="5">
        <f>IF(NOT(ISNUMBER($R$209)),"",IF(IF(ISNUMBER($CC$209),$CC$209=0,FALSE),"EXPIRADA (0 turnos): já não vale; apague a condição",IF($W$209&gt;0,"Dano Contínuo: "&amp;MIN(INT($W$209*$Q$209/100),$X$209*$P$209)&amp;" por turno",IF($S$209&gt;0,IF($AA$209="Sim","Dano Contínuo: ","Dano: ")&amp;IF($U$209="Sim",$AB$209*$S$209,$S$209)&amp;"d"&amp;$T$209&amp;IF($V$209="Sim"," + "&amp;$P$209,"")&amp;" · média "&amp;(INT(IF($U$209="Sim",$AB$209*$S$209,$S$209)*($T$209+1)/2)+IF($V$209="Sim",$P$209,0)),$AC$209))&amp;IF($Y$209&gt;0,"; Atrasa "&amp;$Y$209&amp;" casa(s): some em Atraso deste Ciclo do alvo (C8)","")))</f>
        <v/>
      </c>
      <c r="K209" s="19">
        <f>IF(CJ209&gt;0,"O Google leu como fórmula: escolha de novo ou digite com ' na frente.",IF(LEN($CA$209)=0,"",IF(LEN($N$11)=0,"Combatente vazio: a condição não conta",IF(NOT(ISNUMBER($R$209)),"Condição fora do capítulo 21",IF($CA$209="Congelado","Congelado só em inimigo (21.2)",IF(IF(ISNUMBER($CC$209),$CC$209=0,FALSE),"Expirou: os turnos chegaram a 0 e ela saiu do painel",IF(AND(ISNUMBER($CD$209),$CD$209&gt;$Z$209),"Acima do teto de "&amp;$Z$209&amp;" acúmulo(s) (21.5): usando o teto",IF($AA$209="Sim","Dano Contínuo: início do turno do alvo; ignora RD, não crita, sem dados de Fraqueza (20.6)",""))))))))</f>
        <v/>
      </c>
      <c r="N209" s="2">
        <f>IF(LEN($N$11)=0,"",1)</f>
        <v/>
      </c>
      <c r="O209" s="2">
        <f>IF(LEN($CE$209)=0,"",IFERROR(MATCH($CE$209,$N$11:$N$32,0),""))</f>
        <v/>
      </c>
      <c r="P209" s="2">
        <f>IF(ISNUMBER($O$209),INDEX($AS$11:$AS$32,$O$209),'Campanha'!$B$20)</f>
        <v/>
      </c>
      <c r="Q209" s="2">
        <f>IF(ISNUMBER($N$209),$AQ$11,0)</f>
        <v/>
      </c>
      <c r="R209" s="2">
        <f>IF(LEN($CA$209)=0,"",IFERROR(MATCH($CA$209,'Dados'!$A$324:$A$339,0),""))</f>
        <v/>
      </c>
      <c r="S209" s="2">
        <f>IF(ISNUMBER($R$209),INDEX('Dados'!$F$324:$F$339,$R$209),"")</f>
        <v/>
      </c>
      <c r="T209" s="2">
        <f>IF(ISNUMBER($R$209),INDEX('Dados'!$G$324:$G$339,$R$209),"")</f>
        <v/>
      </c>
      <c r="U209" s="2">
        <f>IF(ISNUMBER($R$209),INDEX('Dados'!$H$324:$H$339,$R$209),"")</f>
        <v/>
      </c>
      <c r="V209" s="2">
        <f>IF(ISNUMBER($R$209),INDEX('Dados'!$I$324:$I$339,$R$209),"")</f>
        <v/>
      </c>
      <c r="W209" s="2">
        <f>IF(ISNUMBER($R$209),INDEX('Dados'!$J$324:$J$339,$R$209),"")</f>
        <v/>
      </c>
      <c r="X209" s="2">
        <f>IF(ISNUMBER($R$209),INDEX('Dados'!$K$324:$K$339,$R$209),"")</f>
        <v/>
      </c>
      <c r="Y209" s="2">
        <f>IF(ISNUMBER($R$209),INDEX('Dados'!$L$324:$L$339,$R$209),"")</f>
        <v/>
      </c>
      <c r="Z209" s="2">
        <f>IF(ISNUMBER($R$209),INDEX('Dados'!$M$324:$M$339,$R$209),"")</f>
        <v/>
      </c>
      <c r="AA209" s="2">
        <f>IF(ISNUMBER($R$209),INDEX('Dados'!$N$324:$N$339,$R$209),"")</f>
        <v/>
      </c>
      <c r="AB209" s="2">
        <f>IF(ISNUMBER($CD$209),MIN($Z$209,MAX(1,INT($CD$209))),1)</f>
        <v/>
      </c>
      <c r="AC209" s="2">
        <f>IF(ISNUMBER($R$209),INDEX('Dados'!$B$324:$B$339,$R$209),"")</f>
        <v/>
      </c>
      <c r="AD209" s="2">
        <f>IF(AND(ISNUMBER($R$209),LEN($N$11)&gt;0,$Q$11=1,NOT(IF(ISNUMBER($CC$209),$CC$209=0,FALSE))),1,0)</f>
        <v/>
      </c>
      <c r="AE209" s="2">
        <f>IF($AD$209=1,1,"")</f>
        <v/>
      </c>
      <c r="AF209" s="2">
        <f>IF(ISNUMBER($R$209),INDEX('Dados'!$C$324:$C$339,$R$209),"")</f>
        <v/>
      </c>
      <c r="AG209" s="2">
        <f>IF($AD$209=0,"",$AC$209&amp;IF($H$209&lt;&gt;$AC$209," · Agora: "&amp;$H$209,"")&amp;" (duração: "&amp;$AF$209&amp;")")</f>
        <v/>
      </c>
      <c r="AH209" s="2">
        <f>IF(AND(ISNUMBER($R$209),LEN($N$11)&gt;0),IF(IF(ISNUMBER($CC$209),$CC$209=0,FALSE),1,0),0)</f>
        <v/>
      </c>
      <c r="CA209" s="2">
        <f>IF(ISERROR($B$209),"",IF(ISBLANK($B$209),"",$B$209))</f>
        <v/>
      </c>
      <c r="CC209" s="2">
        <f>IF(ISERROR($D$209),"",IF(ISBLANK($D$209),"",$D$209))</f>
        <v/>
      </c>
      <c r="CD209" s="2">
        <f>IF(ISERROR($E$209),"",IF(ISBLANK($E$209),"",$E$209))</f>
        <v/>
      </c>
      <c r="CE209" s="2">
        <f>IF(ISERROR($F$209),"",IF(ISBLANK($F$209),"",$F$209))</f>
        <v/>
      </c>
      <c r="CJ209" s="2">
        <f>ISERROR($B$209)*1+ISERROR($D$209)*1+ISERROR($E$209)*1+ISERROR($F$209)*1</f>
        <v/>
      </c>
    </row>
    <row r="210" ht="48" customHeight="1">
      <c r="A210" s="43">
        <f>IF(LEN($N$11)&gt;0,$N$11,"1 · (vazio)")</f>
        <v/>
      </c>
      <c r="B210" s="29" t="n"/>
      <c r="C210" s="17" t="n"/>
      <c r="D210" s="37" t="n"/>
      <c r="E210" s="37" t="n"/>
      <c r="F210" s="29" t="n"/>
      <c r="G210" s="17" t="n"/>
      <c r="H210" s="10">
        <f>IF(NOT(ISNUMBER($R$210)),"",IF(IF(ISNUMBER($CC$210),$CC$210=0,FALSE),"EXPIRADA (0 turnos): já não vale; apague a condição",IF($W$210&gt;0,"Dano Contínuo: "&amp;MIN(INT($W$210*$Q$210/100),$X$210*$P$210)&amp;" por turno",IF($S$210&gt;0,IF($AA$210="Sim","Dano Contínuo: ","Dano: ")&amp;IF($U$210="Sim",$AB$210*$S$210,$S$210)&amp;"d"&amp;$T$210&amp;IF($V$210="Sim"," + "&amp;$P$210,"")&amp;" · média "&amp;(INT(IF($U$210="Sim",$AB$210*$S$210,$S$210)*($T$210+1)/2)+IF($V$210="Sim",$P$210,0)),$AC$210))&amp;IF($Y$210&gt;0,"; Atrasa "&amp;$Y$210&amp;" casa(s): some em Atraso deste Ciclo do alvo (C8)","")))</f>
        <v/>
      </c>
      <c r="K210" s="27">
        <f>IF(CJ210&gt;0,"O Google leu como fórmula: escolha de novo ou digite com ' na frente.",IF(LEN($CA$210)=0,"",IF(LEN($N$11)=0,"Combatente vazio: a condição não conta",IF(NOT(ISNUMBER($R$210)),"Condição fora do capítulo 21",IF($CA$210="Congelado","Congelado só em inimigo (21.2)",IF(IF(ISNUMBER($CC$210),$CC$210=0,FALSE),"Expirou: os turnos chegaram a 0 e ela saiu do painel",IF(AND(ISNUMBER($CD$210),$CD$210&gt;$Z$210),"Acima do teto de "&amp;$Z$210&amp;" acúmulo(s) (21.5): usando o teto",IF($AA$210="Sim","Dano Contínuo: início do turno do alvo; ignora RD, não crita, sem dados de Fraqueza (20.6)",""))))))))</f>
        <v/>
      </c>
      <c r="N210" s="2">
        <f>IF(LEN($N$11)=0,"",1)</f>
        <v/>
      </c>
      <c r="O210" s="2">
        <f>IF(LEN($CE$210)=0,"",IFERROR(MATCH($CE$210,$N$11:$N$32,0),""))</f>
        <v/>
      </c>
      <c r="P210" s="2">
        <f>IF(ISNUMBER($O$210),INDEX($AS$11:$AS$32,$O$210),'Campanha'!$B$20)</f>
        <v/>
      </c>
      <c r="Q210" s="2">
        <f>IF(ISNUMBER($N$210),$AQ$11,0)</f>
        <v/>
      </c>
      <c r="R210" s="2">
        <f>IF(LEN($CA$210)=0,"",IFERROR(MATCH($CA$210,'Dados'!$A$324:$A$339,0),""))</f>
        <v/>
      </c>
      <c r="S210" s="2">
        <f>IF(ISNUMBER($R$210),INDEX('Dados'!$F$324:$F$339,$R$210),"")</f>
        <v/>
      </c>
      <c r="T210" s="2">
        <f>IF(ISNUMBER($R$210),INDEX('Dados'!$G$324:$G$339,$R$210),"")</f>
        <v/>
      </c>
      <c r="U210" s="2">
        <f>IF(ISNUMBER($R$210),INDEX('Dados'!$H$324:$H$339,$R$210),"")</f>
        <v/>
      </c>
      <c r="V210" s="2">
        <f>IF(ISNUMBER($R$210),INDEX('Dados'!$I$324:$I$339,$R$210),"")</f>
        <v/>
      </c>
      <c r="W210" s="2">
        <f>IF(ISNUMBER($R$210),INDEX('Dados'!$J$324:$J$339,$R$210),"")</f>
        <v/>
      </c>
      <c r="X210" s="2">
        <f>IF(ISNUMBER($R$210),INDEX('Dados'!$K$324:$K$339,$R$210),"")</f>
        <v/>
      </c>
      <c r="Y210" s="2">
        <f>IF(ISNUMBER($R$210),INDEX('Dados'!$L$324:$L$339,$R$210),"")</f>
        <v/>
      </c>
      <c r="Z210" s="2">
        <f>IF(ISNUMBER($R$210),INDEX('Dados'!$M$324:$M$339,$R$210),"")</f>
        <v/>
      </c>
      <c r="AA210" s="2">
        <f>IF(ISNUMBER($R$210),INDEX('Dados'!$N$324:$N$339,$R$210),"")</f>
        <v/>
      </c>
      <c r="AB210" s="2">
        <f>IF(ISNUMBER($CD$210),MIN($Z$210,MAX(1,INT($CD$210))),1)</f>
        <v/>
      </c>
      <c r="AC210" s="2">
        <f>IF(ISNUMBER($R$210),INDEX('Dados'!$B$324:$B$339,$R$210),"")</f>
        <v/>
      </c>
      <c r="AD210" s="2">
        <f>IF(AND(ISNUMBER($R$210),LEN($N$11)&gt;0,$Q$11=1,NOT(IF(ISNUMBER($CC$210),$CC$210=0,FALSE))),1,0)</f>
        <v/>
      </c>
      <c r="AE210" s="2">
        <f>IF($AD$210=1,2,"")</f>
        <v/>
      </c>
      <c r="AF210" s="2">
        <f>IF(ISNUMBER($R$210),INDEX('Dados'!$C$324:$C$339,$R$210),"")</f>
        <v/>
      </c>
      <c r="AG210" s="2">
        <f>IF($AD$210=0,"",$AC$210&amp;IF($H$210&lt;&gt;$AC$210," · Agora: "&amp;$H$210,"")&amp;" (duração: "&amp;$AF$210&amp;")")</f>
        <v/>
      </c>
      <c r="AH210" s="2">
        <f>IF(AND(ISNUMBER($R$210),LEN($N$11)&gt;0),IF(IF(ISNUMBER($CC$210),$CC$210=0,FALSE),1,0),0)</f>
        <v/>
      </c>
      <c r="CA210" s="2">
        <f>IF(ISERROR($B$210),"",IF(ISBLANK($B$210),"",$B$210))</f>
        <v/>
      </c>
      <c r="CC210" s="2">
        <f>IF(ISERROR($D$210),"",IF(ISBLANK($D$210),"",$D$210))</f>
        <v/>
      </c>
      <c r="CD210" s="2">
        <f>IF(ISERROR($E$210),"",IF(ISBLANK($E$210),"",$E$210))</f>
        <v/>
      </c>
      <c r="CE210" s="2">
        <f>IF(ISERROR($F$210),"",IF(ISBLANK($F$210),"",$F$210))</f>
        <v/>
      </c>
      <c r="CJ210" s="2">
        <f>ISERROR($B$210)*1+ISERROR($D$210)*1+ISERROR($E$210)*1+ISERROR($F$210)*1</f>
        <v/>
      </c>
    </row>
    <row r="211" ht="48" customHeight="1">
      <c r="A211" s="31">
        <f>IF(LEN($N$11)&gt;0,$N$11,"1 · (vazio)")</f>
        <v/>
      </c>
      <c r="B211" s="4" t="n"/>
      <c r="C211" s="17" t="n"/>
      <c r="D211" s="16" t="n"/>
      <c r="E211" s="16" t="n"/>
      <c r="F211" s="4" t="n"/>
      <c r="G211" s="17" t="n"/>
      <c r="H211" s="5">
        <f>IF(NOT(ISNUMBER($R$211)),"",IF(IF(ISNUMBER($CC$211),$CC$211=0,FALSE),"EXPIRADA (0 turnos): já não vale; apague a condição",IF($W$211&gt;0,"Dano Contínuo: "&amp;MIN(INT($W$211*$Q$211/100),$X$211*$P$211)&amp;" por turno",IF($S$211&gt;0,IF($AA$211="Sim","Dano Contínuo: ","Dano: ")&amp;IF($U$211="Sim",$AB$211*$S$211,$S$211)&amp;"d"&amp;$T$211&amp;IF($V$211="Sim"," + "&amp;$P$211,"")&amp;" · média "&amp;(INT(IF($U$211="Sim",$AB$211*$S$211,$S$211)*($T$211+1)/2)+IF($V$211="Sim",$P$211,0)),$AC$211))&amp;IF($Y$211&gt;0,"; Atrasa "&amp;$Y$211&amp;" casa(s): some em Atraso deste Ciclo do alvo (C8)","")))</f>
        <v/>
      </c>
      <c r="K211" s="19">
        <f>IF(CJ211&gt;0,"O Google leu como fórmula: escolha de novo ou digite com ' na frente.",IF(LEN($CA$211)=0,"",IF(LEN($N$11)=0,"Combatente vazio: a condição não conta",IF(NOT(ISNUMBER($R$211)),"Condição fora do capítulo 21",IF($CA$211="Congelado","Congelado só em inimigo (21.2)",IF(IF(ISNUMBER($CC$211),$CC$211=0,FALSE),"Expirou: os turnos chegaram a 0 e ela saiu do painel",IF(AND(ISNUMBER($CD$211),$CD$211&gt;$Z$211),"Acima do teto de "&amp;$Z$211&amp;" acúmulo(s) (21.5): usando o teto",IF($AA$211="Sim","Dano Contínuo: início do turno do alvo; ignora RD, não crita, sem dados de Fraqueza (20.6)",""))))))))</f>
        <v/>
      </c>
      <c r="N211" s="2">
        <f>IF(LEN($N$11)=0,"",1)</f>
        <v/>
      </c>
      <c r="O211" s="2">
        <f>IF(LEN($CE$211)=0,"",IFERROR(MATCH($CE$211,$N$11:$N$32,0),""))</f>
        <v/>
      </c>
      <c r="P211" s="2">
        <f>IF(ISNUMBER($O$211),INDEX($AS$11:$AS$32,$O$211),'Campanha'!$B$20)</f>
        <v/>
      </c>
      <c r="Q211" s="2">
        <f>IF(ISNUMBER($N$211),$AQ$11,0)</f>
        <v/>
      </c>
      <c r="R211" s="2">
        <f>IF(LEN($CA$211)=0,"",IFERROR(MATCH($CA$211,'Dados'!$A$324:$A$339,0),""))</f>
        <v/>
      </c>
      <c r="S211" s="2">
        <f>IF(ISNUMBER($R$211),INDEX('Dados'!$F$324:$F$339,$R$211),"")</f>
        <v/>
      </c>
      <c r="T211" s="2">
        <f>IF(ISNUMBER($R$211),INDEX('Dados'!$G$324:$G$339,$R$211),"")</f>
        <v/>
      </c>
      <c r="U211" s="2">
        <f>IF(ISNUMBER($R$211),INDEX('Dados'!$H$324:$H$339,$R$211),"")</f>
        <v/>
      </c>
      <c r="V211" s="2">
        <f>IF(ISNUMBER($R$211),INDEX('Dados'!$I$324:$I$339,$R$211),"")</f>
        <v/>
      </c>
      <c r="W211" s="2">
        <f>IF(ISNUMBER($R$211),INDEX('Dados'!$J$324:$J$339,$R$211),"")</f>
        <v/>
      </c>
      <c r="X211" s="2">
        <f>IF(ISNUMBER($R$211),INDEX('Dados'!$K$324:$K$339,$R$211),"")</f>
        <v/>
      </c>
      <c r="Y211" s="2">
        <f>IF(ISNUMBER($R$211),INDEX('Dados'!$L$324:$L$339,$R$211),"")</f>
        <v/>
      </c>
      <c r="Z211" s="2">
        <f>IF(ISNUMBER($R$211),INDEX('Dados'!$M$324:$M$339,$R$211),"")</f>
        <v/>
      </c>
      <c r="AA211" s="2">
        <f>IF(ISNUMBER($R$211),INDEX('Dados'!$N$324:$N$339,$R$211),"")</f>
        <v/>
      </c>
      <c r="AB211" s="2">
        <f>IF(ISNUMBER($CD$211),MIN($Z$211,MAX(1,INT($CD$211))),1)</f>
        <v/>
      </c>
      <c r="AC211" s="2">
        <f>IF(ISNUMBER($R$211),INDEX('Dados'!$B$324:$B$339,$R$211),"")</f>
        <v/>
      </c>
      <c r="AD211" s="2">
        <f>IF(AND(ISNUMBER($R$211),LEN($N$11)&gt;0,$Q$11=1,NOT(IF(ISNUMBER($CC$211),$CC$211=0,FALSE))),1,0)</f>
        <v/>
      </c>
      <c r="AE211" s="2">
        <f>IF($AD$211=1,3,"")</f>
        <v/>
      </c>
      <c r="AF211" s="2">
        <f>IF(ISNUMBER($R$211),INDEX('Dados'!$C$324:$C$339,$R$211),"")</f>
        <v/>
      </c>
      <c r="AG211" s="2">
        <f>IF($AD$211=0,"",$AC$211&amp;IF($H$211&lt;&gt;$AC$211," · Agora: "&amp;$H$211,"")&amp;" (duração: "&amp;$AF$211&amp;")")</f>
        <v/>
      </c>
      <c r="AH211" s="2">
        <f>IF(AND(ISNUMBER($R$211),LEN($N$11)&gt;0),IF(IF(ISNUMBER($CC$211),$CC$211=0,FALSE),1,0),0)</f>
        <v/>
      </c>
      <c r="CA211" s="2">
        <f>IF(ISERROR($B$211),"",IF(ISBLANK($B$211),"",$B$211))</f>
        <v/>
      </c>
      <c r="CC211" s="2">
        <f>IF(ISERROR($D$211),"",IF(ISBLANK($D$211),"",$D$211))</f>
        <v/>
      </c>
      <c r="CD211" s="2">
        <f>IF(ISERROR($E$211),"",IF(ISBLANK($E$211),"",$E$211))</f>
        <v/>
      </c>
      <c r="CE211" s="2">
        <f>IF(ISERROR($F$211),"",IF(ISBLANK($F$211),"",$F$211))</f>
        <v/>
      </c>
      <c r="CJ211" s="2">
        <f>ISERROR($B$211)*1+ISERROR($D$211)*1+ISERROR($E$211)*1+ISERROR($F$211)*1</f>
        <v/>
      </c>
    </row>
    <row r="212" ht="48" customHeight="1">
      <c r="A212" s="43">
        <f>IF(LEN($N$11)&gt;0,$N$11,"1 · (vazio)")</f>
        <v/>
      </c>
      <c r="B212" s="29" t="n"/>
      <c r="C212" s="17" t="n"/>
      <c r="D212" s="37" t="n"/>
      <c r="E212" s="37" t="n"/>
      <c r="F212" s="29" t="n"/>
      <c r="G212" s="17" t="n"/>
      <c r="H212" s="10">
        <f>IF(NOT(ISNUMBER($R$212)),"",IF(IF(ISNUMBER($CC$212),$CC$212=0,FALSE),"EXPIRADA (0 turnos): já não vale; apague a condição",IF($W$212&gt;0,"Dano Contínuo: "&amp;MIN(INT($W$212*$Q$212/100),$X$212*$P$212)&amp;" por turno",IF($S$212&gt;0,IF($AA$212="Sim","Dano Contínuo: ","Dano: ")&amp;IF($U$212="Sim",$AB$212*$S$212,$S$212)&amp;"d"&amp;$T$212&amp;IF($V$212="Sim"," + "&amp;$P$212,"")&amp;" · média "&amp;(INT(IF($U$212="Sim",$AB$212*$S$212,$S$212)*($T$212+1)/2)+IF($V$212="Sim",$P$212,0)),$AC$212))&amp;IF($Y$212&gt;0,"; Atrasa "&amp;$Y$212&amp;" casa(s): some em Atraso deste Ciclo do alvo (C8)","")))</f>
        <v/>
      </c>
      <c r="K212" s="27">
        <f>IF(CJ212&gt;0,"O Google leu como fórmula: escolha de novo ou digite com ' na frente.",IF(LEN($CA$212)=0,"",IF(LEN($N$11)=0,"Combatente vazio: a condição não conta",IF(NOT(ISNUMBER($R$212)),"Condição fora do capítulo 21",IF($CA$212="Congelado","Congelado só em inimigo (21.2)",IF(IF(ISNUMBER($CC$212),$CC$212=0,FALSE),"Expirou: os turnos chegaram a 0 e ela saiu do painel",IF(AND(ISNUMBER($CD$212),$CD$212&gt;$Z$212),"Acima do teto de "&amp;$Z$212&amp;" acúmulo(s) (21.5): usando o teto",IF($AA$212="Sim","Dano Contínuo: início do turno do alvo; ignora RD, não crita, sem dados de Fraqueza (20.6)",""))))))))</f>
        <v/>
      </c>
      <c r="N212" s="2">
        <f>IF(LEN($N$11)=0,"",1)</f>
        <v/>
      </c>
      <c r="O212" s="2">
        <f>IF(LEN($CE$212)=0,"",IFERROR(MATCH($CE$212,$N$11:$N$32,0),""))</f>
        <v/>
      </c>
      <c r="P212" s="2">
        <f>IF(ISNUMBER($O$212),INDEX($AS$11:$AS$32,$O$212),'Campanha'!$B$20)</f>
        <v/>
      </c>
      <c r="Q212" s="2">
        <f>IF(ISNUMBER($N$212),$AQ$11,0)</f>
        <v/>
      </c>
      <c r="R212" s="2">
        <f>IF(LEN($CA$212)=0,"",IFERROR(MATCH($CA$212,'Dados'!$A$324:$A$339,0),""))</f>
        <v/>
      </c>
      <c r="S212" s="2">
        <f>IF(ISNUMBER($R$212),INDEX('Dados'!$F$324:$F$339,$R$212),"")</f>
        <v/>
      </c>
      <c r="T212" s="2">
        <f>IF(ISNUMBER($R$212),INDEX('Dados'!$G$324:$G$339,$R$212),"")</f>
        <v/>
      </c>
      <c r="U212" s="2">
        <f>IF(ISNUMBER($R$212),INDEX('Dados'!$H$324:$H$339,$R$212),"")</f>
        <v/>
      </c>
      <c r="V212" s="2">
        <f>IF(ISNUMBER($R$212),INDEX('Dados'!$I$324:$I$339,$R$212),"")</f>
        <v/>
      </c>
      <c r="W212" s="2">
        <f>IF(ISNUMBER($R$212),INDEX('Dados'!$J$324:$J$339,$R$212),"")</f>
        <v/>
      </c>
      <c r="X212" s="2">
        <f>IF(ISNUMBER($R$212),INDEX('Dados'!$K$324:$K$339,$R$212),"")</f>
        <v/>
      </c>
      <c r="Y212" s="2">
        <f>IF(ISNUMBER($R$212),INDEX('Dados'!$L$324:$L$339,$R$212),"")</f>
        <v/>
      </c>
      <c r="Z212" s="2">
        <f>IF(ISNUMBER($R$212),INDEX('Dados'!$M$324:$M$339,$R$212),"")</f>
        <v/>
      </c>
      <c r="AA212" s="2">
        <f>IF(ISNUMBER($R$212),INDEX('Dados'!$N$324:$N$339,$R$212),"")</f>
        <v/>
      </c>
      <c r="AB212" s="2">
        <f>IF(ISNUMBER($CD$212),MIN($Z$212,MAX(1,INT($CD$212))),1)</f>
        <v/>
      </c>
      <c r="AC212" s="2">
        <f>IF(ISNUMBER($R$212),INDEX('Dados'!$B$324:$B$339,$R$212),"")</f>
        <v/>
      </c>
      <c r="AD212" s="2">
        <f>IF(AND(ISNUMBER($R$212),LEN($N$11)&gt;0,$Q$11=1,NOT(IF(ISNUMBER($CC$212),$CC$212=0,FALSE))),1,0)</f>
        <v/>
      </c>
      <c r="AE212" s="2">
        <f>IF($AD$212=1,4,"")</f>
        <v/>
      </c>
      <c r="AF212" s="2">
        <f>IF(ISNUMBER($R$212),INDEX('Dados'!$C$324:$C$339,$R$212),"")</f>
        <v/>
      </c>
      <c r="AG212" s="2">
        <f>IF($AD$212=0,"",$AC$212&amp;IF($H$212&lt;&gt;$AC$212," · Agora: "&amp;$H$212,"")&amp;" (duração: "&amp;$AF$212&amp;")")</f>
        <v/>
      </c>
      <c r="AH212" s="2">
        <f>IF(AND(ISNUMBER($R$212),LEN($N$11)&gt;0),IF(IF(ISNUMBER($CC$212),$CC$212=0,FALSE),1,0),0)</f>
        <v/>
      </c>
      <c r="CA212" s="2">
        <f>IF(ISERROR($B$212),"",IF(ISBLANK($B$212),"",$B$212))</f>
        <v/>
      </c>
      <c r="CC212" s="2">
        <f>IF(ISERROR($D$212),"",IF(ISBLANK($D$212),"",$D$212))</f>
        <v/>
      </c>
      <c r="CD212" s="2">
        <f>IF(ISERROR($E$212),"",IF(ISBLANK($E$212),"",$E$212))</f>
        <v/>
      </c>
      <c r="CE212" s="2">
        <f>IF(ISERROR($F$212),"",IF(ISBLANK($F$212),"",$F$212))</f>
        <v/>
      </c>
      <c r="CJ212" s="2">
        <f>ISERROR($B$212)*1+ISERROR($D$212)*1+ISERROR($E$212)*1+ISERROR($F$212)*1</f>
        <v/>
      </c>
    </row>
    <row r="213" ht="48" customHeight="1">
      <c r="A213" s="31">
        <f>IF(LEN($N$12)&gt;0,$N$12,"2 · (vazio)")</f>
        <v/>
      </c>
      <c r="B213" s="4" t="n"/>
      <c r="C213" s="17" t="n"/>
      <c r="D213" s="16" t="n"/>
      <c r="E213" s="16" t="n"/>
      <c r="F213" s="4" t="n"/>
      <c r="G213" s="17" t="n"/>
      <c r="H213" s="5">
        <f>IF(NOT(ISNUMBER($R$213)),"",IF(IF(ISNUMBER($CC$213),$CC$213=0,FALSE),"EXPIRADA (0 turnos): já não vale; apague a condição",IF($W$213&gt;0,"Dano Contínuo: "&amp;MIN(INT($W$213*$Q$213/100),$X$213*$P$213)&amp;" por turno",IF($S$213&gt;0,IF($AA$213="Sim","Dano Contínuo: ","Dano: ")&amp;IF($U$213="Sim",$AB$213*$S$213,$S$213)&amp;"d"&amp;$T$213&amp;IF($V$213="Sim"," + "&amp;$P$213,"")&amp;" · média "&amp;(INT(IF($U$213="Sim",$AB$213*$S$213,$S$213)*($T$213+1)/2)+IF($V$213="Sim",$P$213,0)),$AC$213))&amp;IF($Y$213&gt;0,"; Atrasa "&amp;$Y$213&amp;" casa(s): some em Atraso deste Ciclo do alvo (C8)","")))</f>
        <v/>
      </c>
      <c r="K213" s="19">
        <f>IF(CJ213&gt;0,"O Google leu como fórmula: escolha de novo ou digite com ' na frente.",IF(LEN($CA$213)=0,"",IF(LEN($N$12)=0,"Combatente vazio: a condição não conta",IF(NOT(ISNUMBER($R$213)),"Condição fora do capítulo 21",IF($CA$213="Congelado","Congelado só em inimigo (21.2)",IF(IF(ISNUMBER($CC$213),$CC$213=0,FALSE),"Expirou: os turnos chegaram a 0 e ela saiu do painel",IF(AND(ISNUMBER($CD$213),$CD$213&gt;$Z$213),"Acima do teto de "&amp;$Z$213&amp;" acúmulo(s) (21.5): usando o teto",IF($AA$213="Sim","Dano Contínuo: início do turno do alvo; ignora RD, não crita, sem dados de Fraqueza (20.6)",""))))))))</f>
        <v/>
      </c>
      <c r="N213" s="2">
        <f>IF(LEN($N$12)=0,"",2)</f>
        <v/>
      </c>
      <c r="O213" s="2">
        <f>IF(LEN($CE$213)=0,"",IFERROR(MATCH($CE$213,$N$11:$N$32,0),""))</f>
        <v/>
      </c>
      <c r="P213" s="2">
        <f>IF(ISNUMBER($O$213),INDEX($AS$11:$AS$32,$O$213),'Campanha'!$B$20)</f>
        <v/>
      </c>
      <c r="Q213" s="2">
        <f>IF(ISNUMBER($N$213),$AQ$12,0)</f>
        <v/>
      </c>
      <c r="R213" s="2">
        <f>IF(LEN($CA$213)=0,"",IFERROR(MATCH($CA$213,'Dados'!$A$324:$A$339,0),""))</f>
        <v/>
      </c>
      <c r="S213" s="2">
        <f>IF(ISNUMBER($R$213),INDEX('Dados'!$F$324:$F$339,$R$213),"")</f>
        <v/>
      </c>
      <c r="T213" s="2">
        <f>IF(ISNUMBER($R$213),INDEX('Dados'!$G$324:$G$339,$R$213),"")</f>
        <v/>
      </c>
      <c r="U213" s="2">
        <f>IF(ISNUMBER($R$213),INDEX('Dados'!$H$324:$H$339,$R$213),"")</f>
        <v/>
      </c>
      <c r="V213" s="2">
        <f>IF(ISNUMBER($R$213),INDEX('Dados'!$I$324:$I$339,$R$213),"")</f>
        <v/>
      </c>
      <c r="W213" s="2">
        <f>IF(ISNUMBER($R$213),INDEX('Dados'!$J$324:$J$339,$R$213),"")</f>
        <v/>
      </c>
      <c r="X213" s="2">
        <f>IF(ISNUMBER($R$213),INDEX('Dados'!$K$324:$K$339,$R$213),"")</f>
        <v/>
      </c>
      <c r="Y213" s="2">
        <f>IF(ISNUMBER($R$213),INDEX('Dados'!$L$324:$L$339,$R$213),"")</f>
        <v/>
      </c>
      <c r="Z213" s="2">
        <f>IF(ISNUMBER($R$213),INDEX('Dados'!$M$324:$M$339,$R$213),"")</f>
        <v/>
      </c>
      <c r="AA213" s="2">
        <f>IF(ISNUMBER($R$213),INDEX('Dados'!$N$324:$N$339,$R$213),"")</f>
        <v/>
      </c>
      <c r="AB213" s="2">
        <f>IF(ISNUMBER($CD$213),MIN($Z$213,MAX(1,INT($CD$213))),1)</f>
        <v/>
      </c>
      <c r="AC213" s="2">
        <f>IF(ISNUMBER($R$213),INDEX('Dados'!$B$324:$B$339,$R$213),"")</f>
        <v/>
      </c>
      <c r="AD213" s="2">
        <f>IF(AND(ISNUMBER($R$213),LEN($N$12)&gt;0,$Q$12=1,NOT(IF(ISNUMBER($CC$213),$CC$213=0,FALSE))),1,0)</f>
        <v/>
      </c>
      <c r="AE213" s="2">
        <f>IF($AD$213=1,5,"")</f>
        <v/>
      </c>
      <c r="AF213" s="2">
        <f>IF(ISNUMBER($R$213),INDEX('Dados'!$C$324:$C$339,$R$213),"")</f>
        <v/>
      </c>
      <c r="AG213" s="2">
        <f>IF($AD$213=0,"",$AC$213&amp;IF($H$213&lt;&gt;$AC$213," · Agora: "&amp;$H$213,"")&amp;" (duração: "&amp;$AF$213&amp;")")</f>
        <v/>
      </c>
      <c r="AH213" s="2">
        <f>IF(AND(ISNUMBER($R$213),LEN($N$12)&gt;0),IF(IF(ISNUMBER($CC$213),$CC$213=0,FALSE),1,0),0)</f>
        <v/>
      </c>
      <c r="CA213" s="2">
        <f>IF(ISERROR($B$213),"",IF(ISBLANK($B$213),"",$B$213))</f>
        <v/>
      </c>
      <c r="CC213" s="2">
        <f>IF(ISERROR($D$213),"",IF(ISBLANK($D$213),"",$D$213))</f>
        <v/>
      </c>
      <c r="CD213" s="2">
        <f>IF(ISERROR($E$213),"",IF(ISBLANK($E$213),"",$E$213))</f>
        <v/>
      </c>
      <c r="CE213" s="2">
        <f>IF(ISERROR($F$213),"",IF(ISBLANK($F$213),"",$F$213))</f>
        <v/>
      </c>
      <c r="CJ213" s="2">
        <f>ISERROR($B$213)*1+ISERROR($D$213)*1+ISERROR($E$213)*1+ISERROR($F$213)*1</f>
        <v/>
      </c>
    </row>
    <row r="214" ht="48" customHeight="1">
      <c r="A214" s="43">
        <f>IF(LEN($N$12)&gt;0,$N$12,"2 · (vazio)")</f>
        <v/>
      </c>
      <c r="B214" s="29" t="n"/>
      <c r="C214" s="17" t="n"/>
      <c r="D214" s="37" t="n"/>
      <c r="E214" s="37" t="n"/>
      <c r="F214" s="29" t="n"/>
      <c r="G214" s="17" t="n"/>
      <c r="H214" s="10">
        <f>IF(NOT(ISNUMBER($R$214)),"",IF(IF(ISNUMBER($CC$214),$CC$214=0,FALSE),"EXPIRADA (0 turnos): já não vale; apague a condição",IF($W$214&gt;0,"Dano Contínuo: "&amp;MIN(INT($W$214*$Q$214/100),$X$214*$P$214)&amp;" por turno",IF($S$214&gt;0,IF($AA$214="Sim","Dano Contínuo: ","Dano: ")&amp;IF($U$214="Sim",$AB$214*$S$214,$S$214)&amp;"d"&amp;$T$214&amp;IF($V$214="Sim"," + "&amp;$P$214,"")&amp;" · média "&amp;(INT(IF($U$214="Sim",$AB$214*$S$214,$S$214)*($T$214+1)/2)+IF($V$214="Sim",$P$214,0)),$AC$214))&amp;IF($Y$214&gt;0,"; Atrasa "&amp;$Y$214&amp;" casa(s): some em Atraso deste Ciclo do alvo (C8)","")))</f>
        <v/>
      </c>
      <c r="K214" s="27">
        <f>IF(CJ214&gt;0,"O Google leu como fórmula: escolha de novo ou digite com ' na frente.",IF(LEN($CA$214)=0,"",IF(LEN($N$12)=0,"Combatente vazio: a condição não conta",IF(NOT(ISNUMBER($R$214)),"Condição fora do capítulo 21",IF($CA$214="Congelado","Congelado só em inimigo (21.2)",IF(IF(ISNUMBER($CC$214),$CC$214=0,FALSE),"Expirou: os turnos chegaram a 0 e ela saiu do painel",IF(AND(ISNUMBER($CD$214),$CD$214&gt;$Z$214),"Acima do teto de "&amp;$Z$214&amp;" acúmulo(s) (21.5): usando o teto",IF($AA$214="Sim","Dano Contínuo: início do turno do alvo; ignora RD, não crita, sem dados de Fraqueza (20.6)",""))))))))</f>
        <v/>
      </c>
      <c r="N214" s="2">
        <f>IF(LEN($N$12)=0,"",2)</f>
        <v/>
      </c>
      <c r="O214" s="2">
        <f>IF(LEN($CE$214)=0,"",IFERROR(MATCH($CE$214,$N$11:$N$32,0),""))</f>
        <v/>
      </c>
      <c r="P214" s="2">
        <f>IF(ISNUMBER($O$214),INDEX($AS$11:$AS$32,$O$214),'Campanha'!$B$20)</f>
        <v/>
      </c>
      <c r="Q214" s="2">
        <f>IF(ISNUMBER($N$214),$AQ$12,0)</f>
        <v/>
      </c>
      <c r="R214" s="2">
        <f>IF(LEN($CA$214)=0,"",IFERROR(MATCH($CA$214,'Dados'!$A$324:$A$339,0),""))</f>
        <v/>
      </c>
      <c r="S214" s="2">
        <f>IF(ISNUMBER($R$214),INDEX('Dados'!$F$324:$F$339,$R$214),"")</f>
        <v/>
      </c>
      <c r="T214" s="2">
        <f>IF(ISNUMBER($R$214),INDEX('Dados'!$G$324:$G$339,$R$214),"")</f>
        <v/>
      </c>
      <c r="U214" s="2">
        <f>IF(ISNUMBER($R$214),INDEX('Dados'!$H$324:$H$339,$R$214),"")</f>
        <v/>
      </c>
      <c r="V214" s="2">
        <f>IF(ISNUMBER($R$214),INDEX('Dados'!$I$324:$I$339,$R$214),"")</f>
        <v/>
      </c>
      <c r="W214" s="2">
        <f>IF(ISNUMBER($R$214),INDEX('Dados'!$J$324:$J$339,$R$214),"")</f>
        <v/>
      </c>
      <c r="X214" s="2">
        <f>IF(ISNUMBER($R$214),INDEX('Dados'!$K$324:$K$339,$R$214),"")</f>
        <v/>
      </c>
      <c r="Y214" s="2">
        <f>IF(ISNUMBER($R$214),INDEX('Dados'!$L$324:$L$339,$R$214),"")</f>
        <v/>
      </c>
      <c r="Z214" s="2">
        <f>IF(ISNUMBER($R$214),INDEX('Dados'!$M$324:$M$339,$R$214),"")</f>
        <v/>
      </c>
      <c r="AA214" s="2">
        <f>IF(ISNUMBER($R$214),INDEX('Dados'!$N$324:$N$339,$R$214),"")</f>
        <v/>
      </c>
      <c r="AB214" s="2">
        <f>IF(ISNUMBER($CD$214),MIN($Z$214,MAX(1,INT($CD$214))),1)</f>
        <v/>
      </c>
      <c r="AC214" s="2">
        <f>IF(ISNUMBER($R$214),INDEX('Dados'!$B$324:$B$339,$R$214),"")</f>
        <v/>
      </c>
      <c r="AD214" s="2">
        <f>IF(AND(ISNUMBER($R$214),LEN($N$12)&gt;0,$Q$12=1,NOT(IF(ISNUMBER($CC$214),$CC$214=0,FALSE))),1,0)</f>
        <v/>
      </c>
      <c r="AE214" s="2">
        <f>IF($AD$214=1,6,"")</f>
        <v/>
      </c>
      <c r="AF214" s="2">
        <f>IF(ISNUMBER($R$214),INDEX('Dados'!$C$324:$C$339,$R$214),"")</f>
        <v/>
      </c>
      <c r="AG214" s="2">
        <f>IF($AD$214=0,"",$AC$214&amp;IF($H$214&lt;&gt;$AC$214," · Agora: "&amp;$H$214,"")&amp;" (duração: "&amp;$AF$214&amp;")")</f>
        <v/>
      </c>
      <c r="AH214" s="2">
        <f>IF(AND(ISNUMBER($R$214),LEN($N$12)&gt;0),IF(IF(ISNUMBER($CC$214),$CC$214=0,FALSE),1,0),0)</f>
        <v/>
      </c>
      <c r="CA214" s="2">
        <f>IF(ISERROR($B$214),"",IF(ISBLANK($B$214),"",$B$214))</f>
        <v/>
      </c>
      <c r="CC214" s="2">
        <f>IF(ISERROR($D$214),"",IF(ISBLANK($D$214),"",$D$214))</f>
        <v/>
      </c>
      <c r="CD214" s="2">
        <f>IF(ISERROR($E$214),"",IF(ISBLANK($E$214),"",$E$214))</f>
        <v/>
      </c>
      <c r="CE214" s="2">
        <f>IF(ISERROR($F$214),"",IF(ISBLANK($F$214),"",$F$214))</f>
        <v/>
      </c>
      <c r="CJ214" s="2">
        <f>ISERROR($B$214)*1+ISERROR($D$214)*1+ISERROR($E$214)*1+ISERROR($F$214)*1</f>
        <v/>
      </c>
    </row>
    <row r="215" ht="48" customHeight="1">
      <c r="A215" s="31">
        <f>IF(LEN($N$12)&gt;0,$N$12,"2 · (vazio)")</f>
        <v/>
      </c>
      <c r="B215" s="4" t="n"/>
      <c r="C215" s="17" t="n"/>
      <c r="D215" s="16" t="n"/>
      <c r="E215" s="16" t="n"/>
      <c r="F215" s="4" t="n"/>
      <c r="G215" s="17" t="n"/>
      <c r="H215" s="5">
        <f>IF(NOT(ISNUMBER($R$215)),"",IF(IF(ISNUMBER($CC$215),$CC$215=0,FALSE),"EXPIRADA (0 turnos): já não vale; apague a condição",IF($W$215&gt;0,"Dano Contínuo: "&amp;MIN(INT($W$215*$Q$215/100),$X$215*$P$215)&amp;" por turno",IF($S$215&gt;0,IF($AA$215="Sim","Dano Contínuo: ","Dano: ")&amp;IF($U$215="Sim",$AB$215*$S$215,$S$215)&amp;"d"&amp;$T$215&amp;IF($V$215="Sim"," + "&amp;$P$215,"")&amp;" · média "&amp;(INT(IF($U$215="Sim",$AB$215*$S$215,$S$215)*($T$215+1)/2)+IF($V$215="Sim",$P$215,0)),$AC$215))&amp;IF($Y$215&gt;0,"; Atrasa "&amp;$Y$215&amp;" casa(s): some em Atraso deste Ciclo do alvo (C8)","")))</f>
        <v/>
      </c>
      <c r="K215" s="19">
        <f>IF(CJ215&gt;0,"O Google leu como fórmula: escolha de novo ou digite com ' na frente.",IF(LEN($CA$215)=0,"",IF(LEN($N$12)=0,"Combatente vazio: a condição não conta",IF(NOT(ISNUMBER($R$215)),"Condição fora do capítulo 21",IF($CA$215="Congelado","Congelado só em inimigo (21.2)",IF(IF(ISNUMBER($CC$215),$CC$215=0,FALSE),"Expirou: os turnos chegaram a 0 e ela saiu do painel",IF(AND(ISNUMBER($CD$215),$CD$215&gt;$Z$215),"Acima do teto de "&amp;$Z$215&amp;" acúmulo(s) (21.5): usando o teto",IF($AA$215="Sim","Dano Contínuo: início do turno do alvo; ignora RD, não crita, sem dados de Fraqueza (20.6)",""))))))))</f>
        <v/>
      </c>
      <c r="N215" s="2">
        <f>IF(LEN($N$12)=0,"",2)</f>
        <v/>
      </c>
      <c r="O215" s="2">
        <f>IF(LEN($CE$215)=0,"",IFERROR(MATCH($CE$215,$N$11:$N$32,0),""))</f>
        <v/>
      </c>
      <c r="P215" s="2">
        <f>IF(ISNUMBER($O$215),INDEX($AS$11:$AS$32,$O$215),'Campanha'!$B$20)</f>
        <v/>
      </c>
      <c r="Q215" s="2">
        <f>IF(ISNUMBER($N$215),$AQ$12,0)</f>
        <v/>
      </c>
      <c r="R215" s="2">
        <f>IF(LEN($CA$215)=0,"",IFERROR(MATCH($CA$215,'Dados'!$A$324:$A$339,0),""))</f>
        <v/>
      </c>
      <c r="S215" s="2">
        <f>IF(ISNUMBER($R$215),INDEX('Dados'!$F$324:$F$339,$R$215),"")</f>
        <v/>
      </c>
      <c r="T215" s="2">
        <f>IF(ISNUMBER($R$215),INDEX('Dados'!$G$324:$G$339,$R$215),"")</f>
        <v/>
      </c>
      <c r="U215" s="2">
        <f>IF(ISNUMBER($R$215),INDEX('Dados'!$H$324:$H$339,$R$215),"")</f>
        <v/>
      </c>
      <c r="V215" s="2">
        <f>IF(ISNUMBER($R$215),INDEX('Dados'!$I$324:$I$339,$R$215),"")</f>
        <v/>
      </c>
      <c r="W215" s="2">
        <f>IF(ISNUMBER($R$215),INDEX('Dados'!$J$324:$J$339,$R$215),"")</f>
        <v/>
      </c>
      <c r="X215" s="2">
        <f>IF(ISNUMBER($R$215),INDEX('Dados'!$K$324:$K$339,$R$215),"")</f>
        <v/>
      </c>
      <c r="Y215" s="2">
        <f>IF(ISNUMBER($R$215),INDEX('Dados'!$L$324:$L$339,$R$215),"")</f>
        <v/>
      </c>
      <c r="Z215" s="2">
        <f>IF(ISNUMBER($R$215),INDEX('Dados'!$M$324:$M$339,$R$215),"")</f>
        <v/>
      </c>
      <c r="AA215" s="2">
        <f>IF(ISNUMBER($R$215),INDEX('Dados'!$N$324:$N$339,$R$215),"")</f>
        <v/>
      </c>
      <c r="AB215" s="2">
        <f>IF(ISNUMBER($CD$215),MIN($Z$215,MAX(1,INT($CD$215))),1)</f>
        <v/>
      </c>
      <c r="AC215" s="2">
        <f>IF(ISNUMBER($R$215),INDEX('Dados'!$B$324:$B$339,$R$215),"")</f>
        <v/>
      </c>
      <c r="AD215" s="2">
        <f>IF(AND(ISNUMBER($R$215),LEN($N$12)&gt;0,$Q$12=1,NOT(IF(ISNUMBER($CC$215),$CC$215=0,FALSE))),1,0)</f>
        <v/>
      </c>
      <c r="AE215" s="2">
        <f>IF($AD$215=1,7,"")</f>
        <v/>
      </c>
      <c r="AF215" s="2">
        <f>IF(ISNUMBER($R$215),INDEX('Dados'!$C$324:$C$339,$R$215),"")</f>
        <v/>
      </c>
      <c r="AG215" s="2">
        <f>IF($AD$215=0,"",$AC$215&amp;IF($H$215&lt;&gt;$AC$215," · Agora: "&amp;$H$215,"")&amp;" (duração: "&amp;$AF$215&amp;")")</f>
        <v/>
      </c>
      <c r="AH215" s="2">
        <f>IF(AND(ISNUMBER($R$215),LEN($N$12)&gt;0),IF(IF(ISNUMBER($CC$215),$CC$215=0,FALSE),1,0),0)</f>
        <v/>
      </c>
      <c r="CA215" s="2">
        <f>IF(ISERROR($B$215),"",IF(ISBLANK($B$215),"",$B$215))</f>
        <v/>
      </c>
      <c r="CC215" s="2">
        <f>IF(ISERROR($D$215),"",IF(ISBLANK($D$215),"",$D$215))</f>
        <v/>
      </c>
      <c r="CD215" s="2">
        <f>IF(ISERROR($E$215),"",IF(ISBLANK($E$215),"",$E$215))</f>
        <v/>
      </c>
      <c r="CE215" s="2">
        <f>IF(ISERROR($F$215),"",IF(ISBLANK($F$215),"",$F$215))</f>
        <v/>
      </c>
      <c r="CJ215" s="2">
        <f>ISERROR($B$215)*1+ISERROR($D$215)*1+ISERROR($E$215)*1+ISERROR($F$215)*1</f>
        <v/>
      </c>
    </row>
    <row r="216" ht="48" customHeight="1">
      <c r="A216" s="43">
        <f>IF(LEN($N$12)&gt;0,$N$12,"2 · (vazio)")</f>
        <v/>
      </c>
      <c r="B216" s="29" t="n"/>
      <c r="C216" s="17" t="n"/>
      <c r="D216" s="37" t="n"/>
      <c r="E216" s="37" t="n"/>
      <c r="F216" s="29" t="n"/>
      <c r="G216" s="17" t="n"/>
      <c r="H216" s="10">
        <f>IF(NOT(ISNUMBER($R$216)),"",IF(IF(ISNUMBER($CC$216),$CC$216=0,FALSE),"EXPIRADA (0 turnos): já não vale; apague a condição",IF($W$216&gt;0,"Dano Contínuo: "&amp;MIN(INT($W$216*$Q$216/100),$X$216*$P$216)&amp;" por turno",IF($S$216&gt;0,IF($AA$216="Sim","Dano Contínuo: ","Dano: ")&amp;IF($U$216="Sim",$AB$216*$S$216,$S$216)&amp;"d"&amp;$T$216&amp;IF($V$216="Sim"," + "&amp;$P$216,"")&amp;" · média "&amp;(INT(IF($U$216="Sim",$AB$216*$S$216,$S$216)*($T$216+1)/2)+IF($V$216="Sim",$P$216,0)),$AC$216))&amp;IF($Y$216&gt;0,"; Atrasa "&amp;$Y$216&amp;" casa(s): some em Atraso deste Ciclo do alvo (C8)","")))</f>
        <v/>
      </c>
      <c r="K216" s="27">
        <f>IF(CJ216&gt;0,"O Google leu como fórmula: escolha de novo ou digite com ' na frente.",IF(LEN($CA$216)=0,"",IF(LEN($N$12)=0,"Combatente vazio: a condição não conta",IF(NOT(ISNUMBER($R$216)),"Condição fora do capítulo 21",IF($CA$216="Congelado","Congelado só em inimigo (21.2)",IF(IF(ISNUMBER($CC$216),$CC$216=0,FALSE),"Expirou: os turnos chegaram a 0 e ela saiu do painel",IF(AND(ISNUMBER($CD$216),$CD$216&gt;$Z$216),"Acima do teto de "&amp;$Z$216&amp;" acúmulo(s) (21.5): usando o teto",IF($AA$216="Sim","Dano Contínuo: início do turno do alvo; ignora RD, não crita, sem dados de Fraqueza (20.6)",""))))))))</f>
        <v/>
      </c>
      <c r="N216" s="2">
        <f>IF(LEN($N$12)=0,"",2)</f>
        <v/>
      </c>
      <c r="O216" s="2">
        <f>IF(LEN($CE$216)=0,"",IFERROR(MATCH($CE$216,$N$11:$N$32,0),""))</f>
        <v/>
      </c>
      <c r="P216" s="2">
        <f>IF(ISNUMBER($O$216),INDEX($AS$11:$AS$32,$O$216),'Campanha'!$B$20)</f>
        <v/>
      </c>
      <c r="Q216" s="2">
        <f>IF(ISNUMBER($N$216),$AQ$12,0)</f>
        <v/>
      </c>
      <c r="R216" s="2">
        <f>IF(LEN($CA$216)=0,"",IFERROR(MATCH($CA$216,'Dados'!$A$324:$A$339,0),""))</f>
        <v/>
      </c>
      <c r="S216" s="2">
        <f>IF(ISNUMBER($R$216),INDEX('Dados'!$F$324:$F$339,$R$216),"")</f>
        <v/>
      </c>
      <c r="T216" s="2">
        <f>IF(ISNUMBER($R$216),INDEX('Dados'!$G$324:$G$339,$R$216),"")</f>
        <v/>
      </c>
      <c r="U216" s="2">
        <f>IF(ISNUMBER($R$216),INDEX('Dados'!$H$324:$H$339,$R$216),"")</f>
        <v/>
      </c>
      <c r="V216" s="2">
        <f>IF(ISNUMBER($R$216),INDEX('Dados'!$I$324:$I$339,$R$216),"")</f>
        <v/>
      </c>
      <c r="W216" s="2">
        <f>IF(ISNUMBER($R$216),INDEX('Dados'!$J$324:$J$339,$R$216),"")</f>
        <v/>
      </c>
      <c r="X216" s="2">
        <f>IF(ISNUMBER($R$216),INDEX('Dados'!$K$324:$K$339,$R$216),"")</f>
        <v/>
      </c>
      <c r="Y216" s="2">
        <f>IF(ISNUMBER($R$216),INDEX('Dados'!$L$324:$L$339,$R$216),"")</f>
        <v/>
      </c>
      <c r="Z216" s="2">
        <f>IF(ISNUMBER($R$216),INDEX('Dados'!$M$324:$M$339,$R$216),"")</f>
        <v/>
      </c>
      <c r="AA216" s="2">
        <f>IF(ISNUMBER($R$216),INDEX('Dados'!$N$324:$N$339,$R$216),"")</f>
        <v/>
      </c>
      <c r="AB216" s="2">
        <f>IF(ISNUMBER($CD$216),MIN($Z$216,MAX(1,INT($CD$216))),1)</f>
        <v/>
      </c>
      <c r="AC216" s="2">
        <f>IF(ISNUMBER($R$216),INDEX('Dados'!$B$324:$B$339,$R$216),"")</f>
        <v/>
      </c>
      <c r="AD216" s="2">
        <f>IF(AND(ISNUMBER($R$216),LEN($N$12)&gt;0,$Q$12=1,NOT(IF(ISNUMBER($CC$216),$CC$216=0,FALSE))),1,0)</f>
        <v/>
      </c>
      <c r="AE216" s="2">
        <f>IF($AD$216=1,8,"")</f>
        <v/>
      </c>
      <c r="AF216" s="2">
        <f>IF(ISNUMBER($R$216),INDEX('Dados'!$C$324:$C$339,$R$216),"")</f>
        <v/>
      </c>
      <c r="AG216" s="2">
        <f>IF($AD$216=0,"",$AC$216&amp;IF($H$216&lt;&gt;$AC$216," · Agora: "&amp;$H$216,"")&amp;" (duração: "&amp;$AF$216&amp;")")</f>
        <v/>
      </c>
      <c r="AH216" s="2">
        <f>IF(AND(ISNUMBER($R$216),LEN($N$12)&gt;0),IF(IF(ISNUMBER($CC$216),$CC$216=0,FALSE),1,0),0)</f>
        <v/>
      </c>
      <c r="CA216" s="2">
        <f>IF(ISERROR($B$216),"",IF(ISBLANK($B$216),"",$B$216))</f>
        <v/>
      </c>
      <c r="CC216" s="2">
        <f>IF(ISERROR($D$216),"",IF(ISBLANK($D$216),"",$D$216))</f>
        <v/>
      </c>
      <c r="CD216" s="2">
        <f>IF(ISERROR($E$216),"",IF(ISBLANK($E$216),"",$E$216))</f>
        <v/>
      </c>
      <c r="CE216" s="2">
        <f>IF(ISERROR($F$216),"",IF(ISBLANK($F$216),"",$F$216))</f>
        <v/>
      </c>
      <c r="CJ216" s="2">
        <f>ISERROR($B$216)*1+ISERROR($D$216)*1+ISERROR($E$216)*1+ISERROR($F$216)*1</f>
        <v/>
      </c>
    </row>
    <row r="217" ht="48" customHeight="1">
      <c r="A217" s="31">
        <f>IF(LEN($N$13)&gt;0,$N$13,"3 · (vazio)")</f>
        <v/>
      </c>
      <c r="B217" s="4" t="n"/>
      <c r="C217" s="17" t="n"/>
      <c r="D217" s="16" t="n"/>
      <c r="E217" s="16" t="n"/>
      <c r="F217" s="4" t="n"/>
      <c r="G217" s="17" t="n"/>
      <c r="H217" s="5">
        <f>IF(NOT(ISNUMBER($R$217)),"",IF(IF(ISNUMBER($CC$217),$CC$217=0,FALSE),"EXPIRADA (0 turnos): já não vale; apague a condição",IF($W$217&gt;0,"Dano Contínuo: "&amp;MIN(INT($W$217*$Q$217/100),$X$217*$P$217)&amp;" por turno",IF($S$217&gt;0,IF($AA$217="Sim","Dano Contínuo: ","Dano: ")&amp;IF($U$217="Sim",$AB$217*$S$217,$S$217)&amp;"d"&amp;$T$217&amp;IF($V$217="Sim"," + "&amp;$P$217,"")&amp;" · média "&amp;(INT(IF($U$217="Sim",$AB$217*$S$217,$S$217)*($T$217+1)/2)+IF($V$217="Sim",$P$217,0)),$AC$217))&amp;IF($Y$217&gt;0,"; Atrasa "&amp;$Y$217&amp;" casa(s): some em Atraso deste Ciclo do alvo (C8)","")))</f>
        <v/>
      </c>
      <c r="K217" s="19">
        <f>IF(CJ217&gt;0,"O Google leu como fórmula: escolha de novo ou digite com ' na frente.",IF(LEN($CA$217)=0,"",IF(LEN($N$13)=0,"Combatente vazio: a condição não conta",IF(NOT(ISNUMBER($R$217)),"Condição fora do capítulo 21",IF($CA$217="Congelado","Congelado só em inimigo (21.2)",IF(IF(ISNUMBER($CC$217),$CC$217=0,FALSE),"Expirou: os turnos chegaram a 0 e ela saiu do painel",IF(AND(ISNUMBER($CD$217),$CD$217&gt;$Z$217),"Acima do teto de "&amp;$Z$217&amp;" acúmulo(s) (21.5): usando o teto",IF($AA$217="Sim","Dano Contínuo: início do turno do alvo; ignora RD, não crita, sem dados de Fraqueza (20.6)",""))))))))</f>
        <v/>
      </c>
      <c r="N217" s="2">
        <f>IF(LEN($N$13)=0,"",3)</f>
        <v/>
      </c>
      <c r="O217" s="2">
        <f>IF(LEN($CE$217)=0,"",IFERROR(MATCH($CE$217,$N$11:$N$32,0),""))</f>
        <v/>
      </c>
      <c r="P217" s="2">
        <f>IF(ISNUMBER($O$217),INDEX($AS$11:$AS$32,$O$217),'Campanha'!$B$20)</f>
        <v/>
      </c>
      <c r="Q217" s="2">
        <f>IF(ISNUMBER($N$217),$AQ$13,0)</f>
        <v/>
      </c>
      <c r="R217" s="2">
        <f>IF(LEN($CA$217)=0,"",IFERROR(MATCH($CA$217,'Dados'!$A$324:$A$339,0),""))</f>
        <v/>
      </c>
      <c r="S217" s="2">
        <f>IF(ISNUMBER($R$217),INDEX('Dados'!$F$324:$F$339,$R$217),"")</f>
        <v/>
      </c>
      <c r="T217" s="2">
        <f>IF(ISNUMBER($R$217),INDEX('Dados'!$G$324:$G$339,$R$217),"")</f>
        <v/>
      </c>
      <c r="U217" s="2">
        <f>IF(ISNUMBER($R$217),INDEX('Dados'!$H$324:$H$339,$R$217),"")</f>
        <v/>
      </c>
      <c r="V217" s="2">
        <f>IF(ISNUMBER($R$217),INDEX('Dados'!$I$324:$I$339,$R$217),"")</f>
        <v/>
      </c>
      <c r="W217" s="2">
        <f>IF(ISNUMBER($R$217),INDEX('Dados'!$J$324:$J$339,$R$217),"")</f>
        <v/>
      </c>
      <c r="X217" s="2">
        <f>IF(ISNUMBER($R$217),INDEX('Dados'!$K$324:$K$339,$R$217),"")</f>
        <v/>
      </c>
      <c r="Y217" s="2">
        <f>IF(ISNUMBER($R$217),INDEX('Dados'!$L$324:$L$339,$R$217),"")</f>
        <v/>
      </c>
      <c r="Z217" s="2">
        <f>IF(ISNUMBER($R$217),INDEX('Dados'!$M$324:$M$339,$R$217),"")</f>
        <v/>
      </c>
      <c r="AA217" s="2">
        <f>IF(ISNUMBER($R$217),INDEX('Dados'!$N$324:$N$339,$R$217),"")</f>
        <v/>
      </c>
      <c r="AB217" s="2">
        <f>IF(ISNUMBER($CD$217),MIN($Z$217,MAX(1,INT($CD$217))),1)</f>
        <v/>
      </c>
      <c r="AC217" s="2">
        <f>IF(ISNUMBER($R$217),INDEX('Dados'!$B$324:$B$339,$R$217),"")</f>
        <v/>
      </c>
      <c r="AD217" s="2">
        <f>IF(AND(ISNUMBER($R$217),LEN($N$13)&gt;0,$Q$13=1,NOT(IF(ISNUMBER($CC$217),$CC$217=0,FALSE))),1,0)</f>
        <v/>
      </c>
      <c r="AE217" s="2">
        <f>IF($AD$217=1,9,"")</f>
        <v/>
      </c>
      <c r="AF217" s="2">
        <f>IF(ISNUMBER($R$217),INDEX('Dados'!$C$324:$C$339,$R$217),"")</f>
        <v/>
      </c>
      <c r="AG217" s="2">
        <f>IF($AD$217=0,"",$AC$217&amp;IF($H$217&lt;&gt;$AC$217," · Agora: "&amp;$H$217,"")&amp;" (duração: "&amp;$AF$217&amp;")")</f>
        <v/>
      </c>
      <c r="AH217" s="2">
        <f>IF(AND(ISNUMBER($R$217),LEN($N$13)&gt;0),IF(IF(ISNUMBER($CC$217),$CC$217=0,FALSE),1,0),0)</f>
        <v/>
      </c>
      <c r="CA217" s="2">
        <f>IF(ISERROR($B$217),"",IF(ISBLANK($B$217),"",$B$217))</f>
        <v/>
      </c>
      <c r="CC217" s="2">
        <f>IF(ISERROR($D$217),"",IF(ISBLANK($D$217),"",$D$217))</f>
        <v/>
      </c>
      <c r="CD217" s="2">
        <f>IF(ISERROR($E$217),"",IF(ISBLANK($E$217),"",$E$217))</f>
        <v/>
      </c>
      <c r="CE217" s="2">
        <f>IF(ISERROR($F$217),"",IF(ISBLANK($F$217),"",$F$217))</f>
        <v/>
      </c>
      <c r="CJ217" s="2">
        <f>ISERROR($B$217)*1+ISERROR($D$217)*1+ISERROR($E$217)*1+ISERROR($F$217)*1</f>
        <v/>
      </c>
    </row>
    <row r="218" ht="48" customHeight="1">
      <c r="A218" s="43">
        <f>IF(LEN($N$13)&gt;0,$N$13,"3 · (vazio)")</f>
        <v/>
      </c>
      <c r="B218" s="29" t="n"/>
      <c r="C218" s="17" t="n"/>
      <c r="D218" s="37" t="n"/>
      <c r="E218" s="37" t="n"/>
      <c r="F218" s="29" t="n"/>
      <c r="G218" s="17" t="n"/>
      <c r="H218" s="10">
        <f>IF(NOT(ISNUMBER($R$218)),"",IF(IF(ISNUMBER($CC$218),$CC$218=0,FALSE),"EXPIRADA (0 turnos): já não vale; apague a condição",IF($W$218&gt;0,"Dano Contínuo: "&amp;MIN(INT($W$218*$Q$218/100),$X$218*$P$218)&amp;" por turno",IF($S$218&gt;0,IF($AA$218="Sim","Dano Contínuo: ","Dano: ")&amp;IF($U$218="Sim",$AB$218*$S$218,$S$218)&amp;"d"&amp;$T$218&amp;IF($V$218="Sim"," + "&amp;$P$218,"")&amp;" · média "&amp;(INT(IF($U$218="Sim",$AB$218*$S$218,$S$218)*($T$218+1)/2)+IF($V$218="Sim",$P$218,0)),$AC$218))&amp;IF($Y$218&gt;0,"; Atrasa "&amp;$Y$218&amp;" casa(s): some em Atraso deste Ciclo do alvo (C8)","")))</f>
        <v/>
      </c>
      <c r="K218" s="27">
        <f>IF(CJ218&gt;0,"O Google leu como fórmula: escolha de novo ou digite com ' na frente.",IF(LEN($CA$218)=0,"",IF(LEN($N$13)=0,"Combatente vazio: a condição não conta",IF(NOT(ISNUMBER($R$218)),"Condição fora do capítulo 21",IF($CA$218="Congelado","Congelado só em inimigo (21.2)",IF(IF(ISNUMBER($CC$218),$CC$218=0,FALSE),"Expirou: os turnos chegaram a 0 e ela saiu do painel",IF(AND(ISNUMBER($CD$218),$CD$218&gt;$Z$218),"Acima do teto de "&amp;$Z$218&amp;" acúmulo(s) (21.5): usando o teto",IF($AA$218="Sim","Dano Contínuo: início do turno do alvo; ignora RD, não crita, sem dados de Fraqueza (20.6)",""))))))))</f>
        <v/>
      </c>
      <c r="N218" s="2">
        <f>IF(LEN($N$13)=0,"",3)</f>
        <v/>
      </c>
      <c r="O218" s="2">
        <f>IF(LEN($CE$218)=0,"",IFERROR(MATCH($CE$218,$N$11:$N$32,0),""))</f>
        <v/>
      </c>
      <c r="P218" s="2">
        <f>IF(ISNUMBER($O$218),INDEX($AS$11:$AS$32,$O$218),'Campanha'!$B$20)</f>
        <v/>
      </c>
      <c r="Q218" s="2">
        <f>IF(ISNUMBER($N$218),$AQ$13,0)</f>
        <v/>
      </c>
      <c r="R218" s="2">
        <f>IF(LEN($CA$218)=0,"",IFERROR(MATCH($CA$218,'Dados'!$A$324:$A$339,0),""))</f>
        <v/>
      </c>
      <c r="S218" s="2">
        <f>IF(ISNUMBER($R$218),INDEX('Dados'!$F$324:$F$339,$R$218),"")</f>
        <v/>
      </c>
      <c r="T218" s="2">
        <f>IF(ISNUMBER($R$218),INDEX('Dados'!$G$324:$G$339,$R$218),"")</f>
        <v/>
      </c>
      <c r="U218" s="2">
        <f>IF(ISNUMBER($R$218),INDEX('Dados'!$H$324:$H$339,$R$218),"")</f>
        <v/>
      </c>
      <c r="V218" s="2">
        <f>IF(ISNUMBER($R$218),INDEX('Dados'!$I$324:$I$339,$R$218),"")</f>
        <v/>
      </c>
      <c r="W218" s="2">
        <f>IF(ISNUMBER($R$218),INDEX('Dados'!$J$324:$J$339,$R$218),"")</f>
        <v/>
      </c>
      <c r="X218" s="2">
        <f>IF(ISNUMBER($R$218),INDEX('Dados'!$K$324:$K$339,$R$218),"")</f>
        <v/>
      </c>
      <c r="Y218" s="2">
        <f>IF(ISNUMBER($R$218),INDEX('Dados'!$L$324:$L$339,$R$218),"")</f>
        <v/>
      </c>
      <c r="Z218" s="2">
        <f>IF(ISNUMBER($R$218),INDEX('Dados'!$M$324:$M$339,$R$218),"")</f>
        <v/>
      </c>
      <c r="AA218" s="2">
        <f>IF(ISNUMBER($R$218),INDEX('Dados'!$N$324:$N$339,$R$218),"")</f>
        <v/>
      </c>
      <c r="AB218" s="2">
        <f>IF(ISNUMBER($CD$218),MIN($Z$218,MAX(1,INT($CD$218))),1)</f>
        <v/>
      </c>
      <c r="AC218" s="2">
        <f>IF(ISNUMBER($R$218),INDEX('Dados'!$B$324:$B$339,$R$218),"")</f>
        <v/>
      </c>
      <c r="AD218" s="2">
        <f>IF(AND(ISNUMBER($R$218),LEN($N$13)&gt;0,$Q$13=1,NOT(IF(ISNUMBER($CC$218),$CC$218=0,FALSE))),1,0)</f>
        <v/>
      </c>
      <c r="AE218" s="2">
        <f>IF($AD$218=1,10,"")</f>
        <v/>
      </c>
      <c r="AF218" s="2">
        <f>IF(ISNUMBER($R$218),INDEX('Dados'!$C$324:$C$339,$R$218),"")</f>
        <v/>
      </c>
      <c r="AG218" s="2">
        <f>IF($AD$218=0,"",$AC$218&amp;IF($H$218&lt;&gt;$AC$218," · Agora: "&amp;$H$218,"")&amp;" (duração: "&amp;$AF$218&amp;")")</f>
        <v/>
      </c>
      <c r="AH218" s="2">
        <f>IF(AND(ISNUMBER($R$218),LEN($N$13)&gt;0),IF(IF(ISNUMBER($CC$218),$CC$218=0,FALSE),1,0),0)</f>
        <v/>
      </c>
      <c r="CA218" s="2">
        <f>IF(ISERROR($B$218),"",IF(ISBLANK($B$218),"",$B$218))</f>
        <v/>
      </c>
      <c r="CC218" s="2">
        <f>IF(ISERROR($D$218),"",IF(ISBLANK($D$218),"",$D$218))</f>
        <v/>
      </c>
      <c r="CD218" s="2">
        <f>IF(ISERROR($E$218),"",IF(ISBLANK($E$218),"",$E$218))</f>
        <v/>
      </c>
      <c r="CE218" s="2">
        <f>IF(ISERROR($F$218),"",IF(ISBLANK($F$218),"",$F$218))</f>
        <v/>
      </c>
      <c r="CJ218" s="2">
        <f>ISERROR($B$218)*1+ISERROR($D$218)*1+ISERROR($E$218)*1+ISERROR($F$218)*1</f>
        <v/>
      </c>
    </row>
    <row r="219" ht="48" customHeight="1">
      <c r="A219" s="31">
        <f>IF(LEN($N$13)&gt;0,$N$13,"3 · (vazio)")</f>
        <v/>
      </c>
      <c r="B219" s="4" t="n"/>
      <c r="C219" s="17" t="n"/>
      <c r="D219" s="16" t="n"/>
      <c r="E219" s="16" t="n"/>
      <c r="F219" s="4" t="n"/>
      <c r="G219" s="17" t="n"/>
      <c r="H219" s="5">
        <f>IF(NOT(ISNUMBER($R$219)),"",IF(IF(ISNUMBER($CC$219),$CC$219=0,FALSE),"EXPIRADA (0 turnos): já não vale; apague a condição",IF($W$219&gt;0,"Dano Contínuo: "&amp;MIN(INT($W$219*$Q$219/100),$X$219*$P$219)&amp;" por turno",IF($S$219&gt;0,IF($AA$219="Sim","Dano Contínuo: ","Dano: ")&amp;IF($U$219="Sim",$AB$219*$S$219,$S$219)&amp;"d"&amp;$T$219&amp;IF($V$219="Sim"," + "&amp;$P$219,"")&amp;" · média "&amp;(INT(IF($U$219="Sim",$AB$219*$S$219,$S$219)*($T$219+1)/2)+IF($V$219="Sim",$P$219,0)),$AC$219))&amp;IF($Y$219&gt;0,"; Atrasa "&amp;$Y$219&amp;" casa(s): some em Atraso deste Ciclo do alvo (C8)","")))</f>
        <v/>
      </c>
      <c r="K219" s="19">
        <f>IF(CJ219&gt;0,"O Google leu como fórmula: escolha de novo ou digite com ' na frente.",IF(LEN($CA$219)=0,"",IF(LEN($N$13)=0,"Combatente vazio: a condição não conta",IF(NOT(ISNUMBER($R$219)),"Condição fora do capítulo 21",IF($CA$219="Congelado","Congelado só em inimigo (21.2)",IF(IF(ISNUMBER($CC$219),$CC$219=0,FALSE),"Expirou: os turnos chegaram a 0 e ela saiu do painel",IF(AND(ISNUMBER($CD$219),$CD$219&gt;$Z$219),"Acima do teto de "&amp;$Z$219&amp;" acúmulo(s) (21.5): usando o teto",IF($AA$219="Sim","Dano Contínuo: início do turno do alvo; ignora RD, não crita, sem dados de Fraqueza (20.6)",""))))))))</f>
        <v/>
      </c>
      <c r="N219" s="2">
        <f>IF(LEN($N$13)=0,"",3)</f>
        <v/>
      </c>
      <c r="O219" s="2">
        <f>IF(LEN($CE$219)=0,"",IFERROR(MATCH($CE$219,$N$11:$N$32,0),""))</f>
        <v/>
      </c>
      <c r="P219" s="2">
        <f>IF(ISNUMBER($O$219),INDEX($AS$11:$AS$32,$O$219),'Campanha'!$B$20)</f>
        <v/>
      </c>
      <c r="Q219" s="2">
        <f>IF(ISNUMBER($N$219),$AQ$13,0)</f>
        <v/>
      </c>
      <c r="R219" s="2">
        <f>IF(LEN($CA$219)=0,"",IFERROR(MATCH($CA$219,'Dados'!$A$324:$A$339,0),""))</f>
        <v/>
      </c>
      <c r="S219" s="2">
        <f>IF(ISNUMBER($R$219),INDEX('Dados'!$F$324:$F$339,$R$219),"")</f>
        <v/>
      </c>
      <c r="T219" s="2">
        <f>IF(ISNUMBER($R$219),INDEX('Dados'!$G$324:$G$339,$R$219),"")</f>
        <v/>
      </c>
      <c r="U219" s="2">
        <f>IF(ISNUMBER($R$219),INDEX('Dados'!$H$324:$H$339,$R$219),"")</f>
        <v/>
      </c>
      <c r="V219" s="2">
        <f>IF(ISNUMBER($R$219),INDEX('Dados'!$I$324:$I$339,$R$219),"")</f>
        <v/>
      </c>
      <c r="W219" s="2">
        <f>IF(ISNUMBER($R$219),INDEX('Dados'!$J$324:$J$339,$R$219),"")</f>
        <v/>
      </c>
      <c r="X219" s="2">
        <f>IF(ISNUMBER($R$219),INDEX('Dados'!$K$324:$K$339,$R$219),"")</f>
        <v/>
      </c>
      <c r="Y219" s="2">
        <f>IF(ISNUMBER($R$219),INDEX('Dados'!$L$324:$L$339,$R$219),"")</f>
        <v/>
      </c>
      <c r="Z219" s="2">
        <f>IF(ISNUMBER($R$219),INDEX('Dados'!$M$324:$M$339,$R$219),"")</f>
        <v/>
      </c>
      <c r="AA219" s="2">
        <f>IF(ISNUMBER($R$219),INDEX('Dados'!$N$324:$N$339,$R$219),"")</f>
        <v/>
      </c>
      <c r="AB219" s="2">
        <f>IF(ISNUMBER($CD$219),MIN($Z$219,MAX(1,INT($CD$219))),1)</f>
        <v/>
      </c>
      <c r="AC219" s="2">
        <f>IF(ISNUMBER($R$219),INDEX('Dados'!$B$324:$B$339,$R$219),"")</f>
        <v/>
      </c>
      <c r="AD219" s="2">
        <f>IF(AND(ISNUMBER($R$219),LEN($N$13)&gt;0,$Q$13=1,NOT(IF(ISNUMBER($CC$219),$CC$219=0,FALSE))),1,0)</f>
        <v/>
      </c>
      <c r="AE219" s="2">
        <f>IF($AD$219=1,11,"")</f>
        <v/>
      </c>
      <c r="AF219" s="2">
        <f>IF(ISNUMBER($R$219),INDEX('Dados'!$C$324:$C$339,$R$219),"")</f>
        <v/>
      </c>
      <c r="AG219" s="2">
        <f>IF($AD$219=0,"",$AC$219&amp;IF($H$219&lt;&gt;$AC$219," · Agora: "&amp;$H$219,"")&amp;" (duração: "&amp;$AF$219&amp;")")</f>
        <v/>
      </c>
      <c r="AH219" s="2">
        <f>IF(AND(ISNUMBER($R$219),LEN($N$13)&gt;0),IF(IF(ISNUMBER($CC$219),$CC$219=0,FALSE),1,0),0)</f>
        <v/>
      </c>
      <c r="CA219" s="2">
        <f>IF(ISERROR($B$219),"",IF(ISBLANK($B$219),"",$B$219))</f>
        <v/>
      </c>
      <c r="CC219" s="2">
        <f>IF(ISERROR($D$219),"",IF(ISBLANK($D$219),"",$D$219))</f>
        <v/>
      </c>
      <c r="CD219" s="2">
        <f>IF(ISERROR($E$219),"",IF(ISBLANK($E$219),"",$E$219))</f>
        <v/>
      </c>
      <c r="CE219" s="2">
        <f>IF(ISERROR($F$219),"",IF(ISBLANK($F$219),"",$F$219))</f>
        <v/>
      </c>
      <c r="CJ219" s="2">
        <f>ISERROR($B$219)*1+ISERROR($D$219)*1+ISERROR($E$219)*1+ISERROR($F$219)*1</f>
        <v/>
      </c>
    </row>
    <row r="220" ht="48" customHeight="1">
      <c r="A220" s="43">
        <f>IF(LEN($N$13)&gt;0,$N$13,"3 · (vazio)")</f>
        <v/>
      </c>
      <c r="B220" s="29" t="n"/>
      <c r="C220" s="17" t="n"/>
      <c r="D220" s="37" t="n"/>
      <c r="E220" s="37" t="n"/>
      <c r="F220" s="29" t="n"/>
      <c r="G220" s="17" t="n"/>
      <c r="H220" s="10">
        <f>IF(NOT(ISNUMBER($R$220)),"",IF(IF(ISNUMBER($CC$220),$CC$220=0,FALSE),"EXPIRADA (0 turnos): já não vale; apague a condição",IF($W$220&gt;0,"Dano Contínuo: "&amp;MIN(INT($W$220*$Q$220/100),$X$220*$P$220)&amp;" por turno",IF($S$220&gt;0,IF($AA$220="Sim","Dano Contínuo: ","Dano: ")&amp;IF($U$220="Sim",$AB$220*$S$220,$S$220)&amp;"d"&amp;$T$220&amp;IF($V$220="Sim"," + "&amp;$P$220,"")&amp;" · média "&amp;(INT(IF($U$220="Sim",$AB$220*$S$220,$S$220)*($T$220+1)/2)+IF($V$220="Sim",$P$220,0)),$AC$220))&amp;IF($Y$220&gt;0,"; Atrasa "&amp;$Y$220&amp;" casa(s): some em Atraso deste Ciclo do alvo (C8)","")))</f>
        <v/>
      </c>
      <c r="K220" s="27">
        <f>IF(CJ220&gt;0,"O Google leu como fórmula: escolha de novo ou digite com ' na frente.",IF(LEN($CA$220)=0,"",IF(LEN($N$13)=0,"Combatente vazio: a condição não conta",IF(NOT(ISNUMBER($R$220)),"Condição fora do capítulo 21",IF($CA$220="Congelado","Congelado só em inimigo (21.2)",IF(IF(ISNUMBER($CC$220),$CC$220=0,FALSE),"Expirou: os turnos chegaram a 0 e ela saiu do painel",IF(AND(ISNUMBER($CD$220),$CD$220&gt;$Z$220),"Acima do teto de "&amp;$Z$220&amp;" acúmulo(s) (21.5): usando o teto",IF($AA$220="Sim","Dano Contínuo: início do turno do alvo; ignora RD, não crita, sem dados de Fraqueza (20.6)",""))))))))</f>
        <v/>
      </c>
      <c r="N220" s="2">
        <f>IF(LEN($N$13)=0,"",3)</f>
        <v/>
      </c>
      <c r="O220" s="2">
        <f>IF(LEN($CE$220)=0,"",IFERROR(MATCH($CE$220,$N$11:$N$32,0),""))</f>
        <v/>
      </c>
      <c r="P220" s="2">
        <f>IF(ISNUMBER($O$220),INDEX($AS$11:$AS$32,$O$220),'Campanha'!$B$20)</f>
        <v/>
      </c>
      <c r="Q220" s="2">
        <f>IF(ISNUMBER($N$220),$AQ$13,0)</f>
        <v/>
      </c>
      <c r="R220" s="2">
        <f>IF(LEN($CA$220)=0,"",IFERROR(MATCH($CA$220,'Dados'!$A$324:$A$339,0),""))</f>
        <v/>
      </c>
      <c r="S220" s="2">
        <f>IF(ISNUMBER($R$220),INDEX('Dados'!$F$324:$F$339,$R$220),"")</f>
        <v/>
      </c>
      <c r="T220" s="2">
        <f>IF(ISNUMBER($R$220),INDEX('Dados'!$G$324:$G$339,$R$220),"")</f>
        <v/>
      </c>
      <c r="U220" s="2">
        <f>IF(ISNUMBER($R$220),INDEX('Dados'!$H$324:$H$339,$R$220),"")</f>
        <v/>
      </c>
      <c r="V220" s="2">
        <f>IF(ISNUMBER($R$220),INDEX('Dados'!$I$324:$I$339,$R$220),"")</f>
        <v/>
      </c>
      <c r="W220" s="2">
        <f>IF(ISNUMBER($R$220),INDEX('Dados'!$J$324:$J$339,$R$220),"")</f>
        <v/>
      </c>
      <c r="X220" s="2">
        <f>IF(ISNUMBER($R$220),INDEX('Dados'!$K$324:$K$339,$R$220),"")</f>
        <v/>
      </c>
      <c r="Y220" s="2">
        <f>IF(ISNUMBER($R$220),INDEX('Dados'!$L$324:$L$339,$R$220),"")</f>
        <v/>
      </c>
      <c r="Z220" s="2">
        <f>IF(ISNUMBER($R$220),INDEX('Dados'!$M$324:$M$339,$R$220),"")</f>
        <v/>
      </c>
      <c r="AA220" s="2">
        <f>IF(ISNUMBER($R$220),INDEX('Dados'!$N$324:$N$339,$R$220),"")</f>
        <v/>
      </c>
      <c r="AB220" s="2">
        <f>IF(ISNUMBER($CD$220),MIN($Z$220,MAX(1,INT($CD$220))),1)</f>
        <v/>
      </c>
      <c r="AC220" s="2">
        <f>IF(ISNUMBER($R$220),INDEX('Dados'!$B$324:$B$339,$R$220),"")</f>
        <v/>
      </c>
      <c r="AD220" s="2">
        <f>IF(AND(ISNUMBER($R$220),LEN($N$13)&gt;0,$Q$13=1,NOT(IF(ISNUMBER($CC$220),$CC$220=0,FALSE))),1,0)</f>
        <v/>
      </c>
      <c r="AE220" s="2">
        <f>IF($AD$220=1,12,"")</f>
        <v/>
      </c>
      <c r="AF220" s="2">
        <f>IF(ISNUMBER($R$220),INDEX('Dados'!$C$324:$C$339,$R$220),"")</f>
        <v/>
      </c>
      <c r="AG220" s="2">
        <f>IF($AD$220=0,"",$AC$220&amp;IF($H$220&lt;&gt;$AC$220," · Agora: "&amp;$H$220,"")&amp;" (duração: "&amp;$AF$220&amp;")")</f>
        <v/>
      </c>
      <c r="AH220" s="2">
        <f>IF(AND(ISNUMBER($R$220),LEN($N$13)&gt;0),IF(IF(ISNUMBER($CC$220),$CC$220=0,FALSE),1,0),0)</f>
        <v/>
      </c>
      <c r="CA220" s="2">
        <f>IF(ISERROR($B$220),"",IF(ISBLANK($B$220),"",$B$220))</f>
        <v/>
      </c>
      <c r="CC220" s="2">
        <f>IF(ISERROR($D$220),"",IF(ISBLANK($D$220),"",$D$220))</f>
        <v/>
      </c>
      <c r="CD220" s="2">
        <f>IF(ISERROR($E$220),"",IF(ISBLANK($E$220),"",$E$220))</f>
        <v/>
      </c>
      <c r="CE220" s="2">
        <f>IF(ISERROR($F$220),"",IF(ISBLANK($F$220),"",$F$220))</f>
        <v/>
      </c>
      <c r="CJ220" s="2">
        <f>ISERROR($B$220)*1+ISERROR($D$220)*1+ISERROR($E$220)*1+ISERROR($F$220)*1</f>
        <v/>
      </c>
    </row>
    <row r="221" ht="26" customHeight="1">
      <c r="A221" s="8" t="inlineStr">
        <is>
          <t>Combatente</t>
        </is>
      </c>
      <c r="B221" s="8" t="inlineStr">
        <is>
          <t>Condição</t>
        </is>
      </c>
      <c r="C221" s="20" t="n"/>
      <c r="D221" s="8" t="inlineStr">
        <is>
          <t>Turnos restantes</t>
        </is>
      </c>
      <c r="E221" s="8" t="inlineStr">
        <is>
          <t>Acúmulos</t>
        </is>
      </c>
      <c r="F221" s="8" t="inlineStr">
        <is>
          <t>Quem aplicou</t>
        </is>
      </c>
      <c r="G221" s="20" t="n"/>
      <c r="H221" s="8" t="inlineStr">
        <is>
          <t>Efeito e dano</t>
        </is>
      </c>
      <c r="I221" s="20" t="n"/>
      <c r="J221" s="20" t="n"/>
      <c r="K221" s="8" t="inlineStr">
        <is>
          <t>Aviso</t>
        </is>
      </c>
      <c r="L221" s="20" t="n"/>
      <c r="CA221" s="2">
        <f>IF(ISERROR($B$221),"",IF(ISBLANK($B$221),"",$B$221))</f>
        <v/>
      </c>
      <c r="CC221" s="2">
        <f>IF(ISERROR($D$221),"",IF(ISBLANK($D$221),"",$D$221))</f>
        <v/>
      </c>
      <c r="CE221" s="2">
        <f>IF(ISERROR($F$221),"",IF(ISBLANK($F$221),"",$F$221))</f>
        <v/>
      </c>
    </row>
    <row r="222" ht="48" customHeight="1">
      <c r="A222" s="31">
        <f>IF(LEN($N$14)&gt;0,$N$14,"4 · (vazio)")</f>
        <v/>
      </c>
      <c r="B222" s="4" t="n"/>
      <c r="C222" s="17" t="n"/>
      <c r="D222" s="16" t="n"/>
      <c r="E222" s="16" t="n"/>
      <c r="F222" s="4" t="n"/>
      <c r="G222" s="17" t="n"/>
      <c r="H222" s="5">
        <f>IF(NOT(ISNUMBER($R$222)),"",IF(IF(ISNUMBER($CC$222),$CC$222=0,FALSE),"EXPIRADA (0 turnos): já não vale; apague a condição",IF($W$222&gt;0,"Dano Contínuo: "&amp;MIN(INT($W$222*$Q$222/100),$X$222*$P$222)&amp;" por turno",IF($S$222&gt;0,IF($AA$222="Sim","Dano Contínuo: ","Dano: ")&amp;IF($U$222="Sim",$AB$222*$S$222,$S$222)&amp;"d"&amp;$T$222&amp;IF($V$222="Sim"," + "&amp;$P$222,"")&amp;" · média "&amp;(INT(IF($U$222="Sim",$AB$222*$S$222,$S$222)*($T$222+1)/2)+IF($V$222="Sim",$P$222,0)),$AC$222))&amp;IF($Y$222&gt;0,"; Atrasa "&amp;$Y$222&amp;" casa(s): some em Atraso deste Ciclo do alvo (C8)","")))</f>
        <v/>
      </c>
      <c r="K222" s="19">
        <f>IF(CJ222&gt;0,"O Google leu como fórmula: escolha de novo ou digite com ' na frente.",IF(LEN($CA$222)=0,"",IF(LEN($N$14)=0,"Combatente vazio: a condição não conta",IF(NOT(ISNUMBER($R$222)),"Condição fora do capítulo 21",IF($CA$222="Congelado","Congelado só em inimigo (21.2)",IF(IF(ISNUMBER($CC$222),$CC$222=0,FALSE),"Expirou: os turnos chegaram a 0 e ela saiu do painel",IF(AND(ISNUMBER($CD$222),$CD$222&gt;$Z$222),"Acima do teto de "&amp;$Z$222&amp;" acúmulo(s) (21.5): usando o teto",IF($AA$222="Sim","Dano Contínuo: início do turno do alvo; ignora RD, não crita, sem dados de Fraqueza (20.6)",""))))))))</f>
        <v/>
      </c>
      <c r="N222" s="2">
        <f>IF(LEN($N$14)=0,"",4)</f>
        <v/>
      </c>
      <c r="O222" s="2">
        <f>IF(LEN($CE$222)=0,"",IFERROR(MATCH($CE$222,$N$11:$N$32,0),""))</f>
        <v/>
      </c>
      <c r="P222" s="2">
        <f>IF(ISNUMBER($O$222),INDEX($AS$11:$AS$32,$O$222),'Campanha'!$B$20)</f>
        <v/>
      </c>
      <c r="Q222" s="2">
        <f>IF(ISNUMBER($N$222),$AQ$14,0)</f>
        <v/>
      </c>
      <c r="R222" s="2">
        <f>IF(LEN($CA$222)=0,"",IFERROR(MATCH($CA$222,'Dados'!$A$324:$A$339,0),""))</f>
        <v/>
      </c>
      <c r="S222" s="2">
        <f>IF(ISNUMBER($R$222),INDEX('Dados'!$F$324:$F$339,$R$222),"")</f>
        <v/>
      </c>
      <c r="T222" s="2">
        <f>IF(ISNUMBER($R$222),INDEX('Dados'!$G$324:$G$339,$R$222),"")</f>
        <v/>
      </c>
      <c r="U222" s="2">
        <f>IF(ISNUMBER($R$222),INDEX('Dados'!$H$324:$H$339,$R$222),"")</f>
        <v/>
      </c>
      <c r="V222" s="2">
        <f>IF(ISNUMBER($R$222),INDEX('Dados'!$I$324:$I$339,$R$222),"")</f>
        <v/>
      </c>
      <c r="W222" s="2">
        <f>IF(ISNUMBER($R$222),INDEX('Dados'!$J$324:$J$339,$R$222),"")</f>
        <v/>
      </c>
      <c r="X222" s="2">
        <f>IF(ISNUMBER($R$222),INDEX('Dados'!$K$324:$K$339,$R$222),"")</f>
        <v/>
      </c>
      <c r="Y222" s="2">
        <f>IF(ISNUMBER($R$222),INDEX('Dados'!$L$324:$L$339,$R$222),"")</f>
        <v/>
      </c>
      <c r="Z222" s="2">
        <f>IF(ISNUMBER($R$222),INDEX('Dados'!$M$324:$M$339,$R$222),"")</f>
        <v/>
      </c>
      <c r="AA222" s="2">
        <f>IF(ISNUMBER($R$222),INDEX('Dados'!$N$324:$N$339,$R$222),"")</f>
        <v/>
      </c>
      <c r="AB222" s="2">
        <f>IF(ISNUMBER($CD$222),MIN($Z$222,MAX(1,INT($CD$222))),1)</f>
        <v/>
      </c>
      <c r="AC222" s="2">
        <f>IF(ISNUMBER($R$222),INDEX('Dados'!$B$324:$B$339,$R$222),"")</f>
        <v/>
      </c>
      <c r="AD222" s="2">
        <f>IF(AND(ISNUMBER($R$222),LEN($N$14)&gt;0,$Q$14=1,NOT(IF(ISNUMBER($CC$222),$CC$222=0,FALSE))),1,0)</f>
        <v/>
      </c>
      <c r="AE222" s="2">
        <f>IF($AD$222=1,13,"")</f>
        <v/>
      </c>
      <c r="AF222" s="2">
        <f>IF(ISNUMBER($R$222),INDEX('Dados'!$C$324:$C$339,$R$222),"")</f>
        <v/>
      </c>
      <c r="AG222" s="2">
        <f>IF($AD$222=0,"",$AC$222&amp;IF($H$222&lt;&gt;$AC$222," · Agora: "&amp;$H$222,"")&amp;" (duração: "&amp;$AF$222&amp;")")</f>
        <v/>
      </c>
      <c r="AH222" s="2">
        <f>IF(AND(ISNUMBER($R$222),LEN($N$14)&gt;0),IF(IF(ISNUMBER($CC$222),$CC$222=0,FALSE),1,0),0)</f>
        <v/>
      </c>
      <c r="CA222" s="2">
        <f>IF(ISERROR($B$222),"",IF(ISBLANK($B$222),"",$B$222))</f>
        <v/>
      </c>
      <c r="CC222" s="2">
        <f>IF(ISERROR($D$222),"",IF(ISBLANK($D$222),"",$D$222))</f>
        <v/>
      </c>
      <c r="CD222" s="2">
        <f>IF(ISERROR($E$222),"",IF(ISBLANK($E$222),"",$E$222))</f>
        <v/>
      </c>
      <c r="CE222" s="2">
        <f>IF(ISERROR($F$222),"",IF(ISBLANK($F$222),"",$F$222))</f>
        <v/>
      </c>
      <c r="CJ222" s="2">
        <f>ISERROR($B$222)*1+ISERROR($D$222)*1+ISERROR($E$222)*1+ISERROR($F$222)*1</f>
        <v/>
      </c>
    </row>
    <row r="223" ht="48" customHeight="1">
      <c r="A223" s="43">
        <f>IF(LEN($N$14)&gt;0,$N$14,"4 · (vazio)")</f>
        <v/>
      </c>
      <c r="B223" s="29" t="n"/>
      <c r="C223" s="17" t="n"/>
      <c r="D223" s="37" t="n"/>
      <c r="E223" s="37" t="n"/>
      <c r="F223" s="29" t="n"/>
      <c r="G223" s="17" t="n"/>
      <c r="H223" s="10">
        <f>IF(NOT(ISNUMBER($R$223)),"",IF(IF(ISNUMBER($CC$223),$CC$223=0,FALSE),"EXPIRADA (0 turnos): já não vale; apague a condição",IF($W$223&gt;0,"Dano Contínuo: "&amp;MIN(INT($W$223*$Q$223/100),$X$223*$P$223)&amp;" por turno",IF($S$223&gt;0,IF($AA$223="Sim","Dano Contínuo: ","Dano: ")&amp;IF($U$223="Sim",$AB$223*$S$223,$S$223)&amp;"d"&amp;$T$223&amp;IF($V$223="Sim"," + "&amp;$P$223,"")&amp;" · média "&amp;(INT(IF($U$223="Sim",$AB$223*$S$223,$S$223)*($T$223+1)/2)+IF($V$223="Sim",$P$223,0)),$AC$223))&amp;IF($Y$223&gt;0,"; Atrasa "&amp;$Y$223&amp;" casa(s): some em Atraso deste Ciclo do alvo (C8)","")))</f>
        <v/>
      </c>
      <c r="K223" s="27">
        <f>IF(CJ223&gt;0,"O Google leu como fórmula: escolha de novo ou digite com ' na frente.",IF(LEN($CA$223)=0,"",IF(LEN($N$14)=0,"Combatente vazio: a condição não conta",IF(NOT(ISNUMBER($R$223)),"Condição fora do capítulo 21",IF($CA$223="Congelado","Congelado só em inimigo (21.2)",IF(IF(ISNUMBER($CC$223),$CC$223=0,FALSE),"Expirou: os turnos chegaram a 0 e ela saiu do painel",IF(AND(ISNUMBER($CD$223),$CD$223&gt;$Z$223),"Acima do teto de "&amp;$Z$223&amp;" acúmulo(s) (21.5): usando o teto",IF($AA$223="Sim","Dano Contínuo: início do turno do alvo; ignora RD, não crita, sem dados de Fraqueza (20.6)",""))))))))</f>
        <v/>
      </c>
      <c r="N223" s="2">
        <f>IF(LEN($N$14)=0,"",4)</f>
        <v/>
      </c>
      <c r="O223" s="2">
        <f>IF(LEN($CE$223)=0,"",IFERROR(MATCH($CE$223,$N$11:$N$32,0),""))</f>
        <v/>
      </c>
      <c r="P223" s="2">
        <f>IF(ISNUMBER($O$223),INDEX($AS$11:$AS$32,$O$223),'Campanha'!$B$20)</f>
        <v/>
      </c>
      <c r="Q223" s="2">
        <f>IF(ISNUMBER($N$223),$AQ$14,0)</f>
        <v/>
      </c>
      <c r="R223" s="2">
        <f>IF(LEN($CA$223)=0,"",IFERROR(MATCH($CA$223,'Dados'!$A$324:$A$339,0),""))</f>
        <v/>
      </c>
      <c r="S223" s="2">
        <f>IF(ISNUMBER($R$223),INDEX('Dados'!$F$324:$F$339,$R$223),"")</f>
        <v/>
      </c>
      <c r="T223" s="2">
        <f>IF(ISNUMBER($R$223),INDEX('Dados'!$G$324:$G$339,$R$223),"")</f>
        <v/>
      </c>
      <c r="U223" s="2">
        <f>IF(ISNUMBER($R$223),INDEX('Dados'!$H$324:$H$339,$R$223),"")</f>
        <v/>
      </c>
      <c r="V223" s="2">
        <f>IF(ISNUMBER($R$223),INDEX('Dados'!$I$324:$I$339,$R$223),"")</f>
        <v/>
      </c>
      <c r="W223" s="2">
        <f>IF(ISNUMBER($R$223),INDEX('Dados'!$J$324:$J$339,$R$223),"")</f>
        <v/>
      </c>
      <c r="X223" s="2">
        <f>IF(ISNUMBER($R$223),INDEX('Dados'!$K$324:$K$339,$R$223),"")</f>
        <v/>
      </c>
      <c r="Y223" s="2">
        <f>IF(ISNUMBER($R$223),INDEX('Dados'!$L$324:$L$339,$R$223),"")</f>
        <v/>
      </c>
      <c r="Z223" s="2">
        <f>IF(ISNUMBER($R$223),INDEX('Dados'!$M$324:$M$339,$R$223),"")</f>
        <v/>
      </c>
      <c r="AA223" s="2">
        <f>IF(ISNUMBER($R$223),INDEX('Dados'!$N$324:$N$339,$R$223),"")</f>
        <v/>
      </c>
      <c r="AB223" s="2">
        <f>IF(ISNUMBER($CD$223),MIN($Z$223,MAX(1,INT($CD$223))),1)</f>
        <v/>
      </c>
      <c r="AC223" s="2">
        <f>IF(ISNUMBER($R$223),INDEX('Dados'!$B$324:$B$339,$R$223),"")</f>
        <v/>
      </c>
      <c r="AD223" s="2">
        <f>IF(AND(ISNUMBER($R$223),LEN($N$14)&gt;0,$Q$14=1,NOT(IF(ISNUMBER($CC$223),$CC$223=0,FALSE))),1,0)</f>
        <v/>
      </c>
      <c r="AE223" s="2">
        <f>IF($AD$223=1,14,"")</f>
        <v/>
      </c>
      <c r="AF223" s="2">
        <f>IF(ISNUMBER($R$223),INDEX('Dados'!$C$324:$C$339,$R$223),"")</f>
        <v/>
      </c>
      <c r="AG223" s="2">
        <f>IF($AD$223=0,"",$AC$223&amp;IF($H$223&lt;&gt;$AC$223," · Agora: "&amp;$H$223,"")&amp;" (duração: "&amp;$AF$223&amp;")")</f>
        <v/>
      </c>
      <c r="AH223" s="2">
        <f>IF(AND(ISNUMBER($R$223),LEN($N$14)&gt;0),IF(IF(ISNUMBER($CC$223),$CC$223=0,FALSE),1,0),0)</f>
        <v/>
      </c>
      <c r="CA223" s="2">
        <f>IF(ISERROR($B$223),"",IF(ISBLANK($B$223),"",$B$223))</f>
        <v/>
      </c>
      <c r="CC223" s="2">
        <f>IF(ISERROR($D$223),"",IF(ISBLANK($D$223),"",$D$223))</f>
        <v/>
      </c>
      <c r="CD223" s="2">
        <f>IF(ISERROR($E$223),"",IF(ISBLANK($E$223),"",$E$223))</f>
        <v/>
      </c>
      <c r="CE223" s="2">
        <f>IF(ISERROR($F$223),"",IF(ISBLANK($F$223),"",$F$223))</f>
        <v/>
      </c>
      <c r="CJ223" s="2">
        <f>ISERROR($B$223)*1+ISERROR($D$223)*1+ISERROR($E$223)*1+ISERROR($F$223)*1</f>
        <v/>
      </c>
    </row>
    <row r="224" ht="48" customHeight="1">
      <c r="A224" s="31">
        <f>IF(LEN($N$14)&gt;0,$N$14,"4 · (vazio)")</f>
        <v/>
      </c>
      <c r="B224" s="4" t="n"/>
      <c r="C224" s="17" t="n"/>
      <c r="D224" s="16" t="n"/>
      <c r="E224" s="16" t="n"/>
      <c r="F224" s="4" t="n"/>
      <c r="G224" s="17" t="n"/>
      <c r="H224" s="5">
        <f>IF(NOT(ISNUMBER($R$224)),"",IF(IF(ISNUMBER($CC$224),$CC$224=0,FALSE),"EXPIRADA (0 turnos): já não vale; apague a condição",IF($W$224&gt;0,"Dano Contínuo: "&amp;MIN(INT($W$224*$Q$224/100),$X$224*$P$224)&amp;" por turno",IF($S$224&gt;0,IF($AA$224="Sim","Dano Contínuo: ","Dano: ")&amp;IF($U$224="Sim",$AB$224*$S$224,$S$224)&amp;"d"&amp;$T$224&amp;IF($V$224="Sim"," + "&amp;$P$224,"")&amp;" · média "&amp;(INT(IF($U$224="Sim",$AB$224*$S$224,$S$224)*($T$224+1)/2)+IF($V$224="Sim",$P$224,0)),$AC$224))&amp;IF($Y$224&gt;0,"; Atrasa "&amp;$Y$224&amp;" casa(s): some em Atraso deste Ciclo do alvo (C8)","")))</f>
        <v/>
      </c>
      <c r="K224" s="19">
        <f>IF(CJ224&gt;0,"O Google leu como fórmula: escolha de novo ou digite com ' na frente.",IF(LEN($CA$224)=0,"",IF(LEN($N$14)=0,"Combatente vazio: a condição não conta",IF(NOT(ISNUMBER($R$224)),"Condição fora do capítulo 21",IF($CA$224="Congelado","Congelado só em inimigo (21.2)",IF(IF(ISNUMBER($CC$224),$CC$224=0,FALSE),"Expirou: os turnos chegaram a 0 e ela saiu do painel",IF(AND(ISNUMBER($CD$224),$CD$224&gt;$Z$224),"Acima do teto de "&amp;$Z$224&amp;" acúmulo(s) (21.5): usando o teto",IF($AA$224="Sim","Dano Contínuo: início do turno do alvo; ignora RD, não crita, sem dados de Fraqueza (20.6)",""))))))))</f>
        <v/>
      </c>
      <c r="N224" s="2">
        <f>IF(LEN($N$14)=0,"",4)</f>
        <v/>
      </c>
      <c r="O224" s="2">
        <f>IF(LEN($CE$224)=0,"",IFERROR(MATCH($CE$224,$N$11:$N$32,0),""))</f>
        <v/>
      </c>
      <c r="P224" s="2">
        <f>IF(ISNUMBER($O$224),INDEX($AS$11:$AS$32,$O$224),'Campanha'!$B$20)</f>
        <v/>
      </c>
      <c r="Q224" s="2">
        <f>IF(ISNUMBER($N$224),$AQ$14,0)</f>
        <v/>
      </c>
      <c r="R224" s="2">
        <f>IF(LEN($CA$224)=0,"",IFERROR(MATCH($CA$224,'Dados'!$A$324:$A$339,0),""))</f>
        <v/>
      </c>
      <c r="S224" s="2">
        <f>IF(ISNUMBER($R$224),INDEX('Dados'!$F$324:$F$339,$R$224),"")</f>
        <v/>
      </c>
      <c r="T224" s="2">
        <f>IF(ISNUMBER($R$224),INDEX('Dados'!$G$324:$G$339,$R$224),"")</f>
        <v/>
      </c>
      <c r="U224" s="2">
        <f>IF(ISNUMBER($R$224),INDEX('Dados'!$H$324:$H$339,$R$224),"")</f>
        <v/>
      </c>
      <c r="V224" s="2">
        <f>IF(ISNUMBER($R$224),INDEX('Dados'!$I$324:$I$339,$R$224),"")</f>
        <v/>
      </c>
      <c r="W224" s="2">
        <f>IF(ISNUMBER($R$224),INDEX('Dados'!$J$324:$J$339,$R$224),"")</f>
        <v/>
      </c>
      <c r="X224" s="2">
        <f>IF(ISNUMBER($R$224),INDEX('Dados'!$K$324:$K$339,$R$224),"")</f>
        <v/>
      </c>
      <c r="Y224" s="2">
        <f>IF(ISNUMBER($R$224),INDEX('Dados'!$L$324:$L$339,$R$224),"")</f>
        <v/>
      </c>
      <c r="Z224" s="2">
        <f>IF(ISNUMBER($R$224),INDEX('Dados'!$M$324:$M$339,$R$224),"")</f>
        <v/>
      </c>
      <c r="AA224" s="2">
        <f>IF(ISNUMBER($R$224),INDEX('Dados'!$N$324:$N$339,$R$224),"")</f>
        <v/>
      </c>
      <c r="AB224" s="2">
        <f>IF(ISNUMBER($CD$224),MIN($Z$224,MAX(1,INT($CD$224))),1)</f>
        <v/>
      </c>
      <c r="AC224" s="2">
        <f>IF(ISNUMBER($R$224),INDEX('Dados'!$B$324:$B$339,$R$224),"")</f>
        <v/>
      </c>
      <c r="AD224" s="2">
        <f>IF(AND(ISNUMBER($R$224),LEN($N$14)&gt;0,$Q$14=1,NOT(IF(ISNUMBER($CC$224),$CC$224=0,FALSE))),1,0)</f>
        <v/>
      </c>
      <c r="AE224" s="2">
        <f>IF($AD$224=1,15,"")</f>
        <v/>
      </c>
      <c r="AF224" s="2">
        <f>IF(ISNUMBER($R$224),INDEX('Dados'!$C$324:$C$339,$R$224),"")</f>
        <v/>
      </c>
      <c r="AG224" s="2">
        <f>IF($AD$224=0,"",$AC$224&amp;IF($H$224&lt;&gt;$AC$224," · Agora: "&amp;$H$224,"")&amp;" (duração: "&amp;$AF$224&amp;")")</f>
        <v/>
      </c>
      <c r="AH224" s="2">
        <f>IF(AND(ISNUMBER($R$224),LEN($N$14)&gt;0),IF(IF(ISNUMBER($CC$224),$CC$224=0,FALSE),1,0),0)</f>
        <v/>
      </c>
      <c r="CA224" s="2">
        <f>IF(ISERROR($B$224),"",IF(ISBLANK($B$224),"",$B$224))</f>
        <v/>
      </c>
      <c r="CC224" s="2">
        <f>IF(ISERROR($D$224),"",IF(ISBLANK($D$224),"",$D$224))</f>
        <v/>
      </c>
      <c r="CD224" s="2">
        <f>IF(ISERROR($E$224),"",IF(ISBLANK($E$224),"",$E$224))</f>
        <v/>
      </c>
      <c r="CE224" s="2">
        <f>IF(ISERROR($F$224),"",IF(ISBLANK($F$224),"",$F$224))</f>
        <v/>
      </c>
      <c r="CJ224" s="2">
        <f>ISERROR($B$224)*1+ISERROR($D$224)*1+ISERROR($E$224)*1+ISERROR($F$224)*1</f>
        <v/>
      </c>
    </row>
    <row r="225" ht="48" customHeight="1">
      <c r="A225" s="43">
        <f>IF(LEN($N$14)&gt;0,$N$14,"4 · (vazio)")</f>
        <v/>
      </c>
      <c r="B225" s="29" t="n"/>
      <c r="C225" s="17" t="n"/>
      <c r="D225" s="37" t="n"/>
      <c r="E225" s="37" t="n"/>
      <c r="F225" s="29" t="n"/>
      <c r="G225" s="17" t="n"/>
      <c r="H225" s="10">
        <f>IF(NOT(ISNUMBER($R$225)),"",IF(IF(ISNUMBER($CC$225),$CC$225=0,FALSE),"EXPIRADA (0 turnos): já não vale; apague a condição",IF($W$225&gt;0,"Dano Contínuo: "&amp;MIN(INT($W$225*$Q$225/100),$X$225*$P$225)&amp;" por turno",IF($S$225&gt;0,IF($AA$225="Sim","Dano Contínuo: ","Dano: ")&amp;IF($U$225="Sim",$AB$225*$S$225,$S$225)&amp;"d"&amp;$T$225&amp;IF($V$225="Sim"," + "&amp;$P$225,"")&amp;" · média "&amp;(INT(IF($U$225="Sim",$AB$225*$S$225,$S$225)*($T$225+1)/2)+IF($V$225="Sim",$P$225,0)),$AC$225))&amp;IF($Y$225&gt;0,"; Atrasa "&amp;$Y$225&amp;" casa(s): some em Atraso deste Ciclo do alvo (C8)","")))</f>
        <v/>
      </c>
      <c r="K225" s="27">
        <f>IF(CJ225&gt;0,"O Google leu como fórmula: escolha de novo ou digite com ' na frente.",IF(LEN($CA$225)=0,"",IF(LEN($N$14)=0,"Combatente vazio: a condição não conta",IF(NOT(ISNUMBER($R$225)),"Condição fora do capítulo 21",IF($CA$225="Congelado","Congelado só em inimigo (21.2)",IF(IF(ISNUMBER($CC$225),$CC$225=0,FALSE),"Expirou: os turnos chegaram a 0 e ela saiu do painel",IF(AND(ISNUMBER($CD$225),$CD$225&gt;$Z$225),"Acima do teto de "&amp;$Z$225&amp;" acúmulo(s) (21.5): usando o teto",IF($AA$225="Sim","Dano Contínuo: início do turno do alvo; ignora RD, não crita, sem dados de Fraqueza (20.6)",""))))))))</f>
        <v/>
      </c>
      <c r="N225" s="2">
        <f>IF(LEN($N$14)=0,"",4)</f>
        <v/>
      </c>
      <c r="O225" s="2">
        <f>IF(LEN($CE$225)=0,"",IFERROR(MATCH($CE$225,$N$11:$N$32,0),""))</f>
        <v/>
      </c>
      <c r="P225" s="2">
        <f>IF(ISNUMBER($O$225),INDEX($AS$11:$AS$32,$O$225),'Campanha'!$B$20)</f>
        <v/>
      </c>
      <c r="Q225" s="2">
        <f>IF(ISNUMBER($N$225),$AQ$14,0)</f>
        <v/>
      </c>
      <c r="R225" s="2">
        <f>IF(LEN($CA$225)=0,"",IFERROR(MATCH($CA$225,'Dados'!$A$324:$A$339,0),""))</f>
        <v/>
      </c>
      <c r="S225" s="2">
        <f>IF(ISNUMBER($R$225),INDEX('Dados'!$F$324:$F$339,$R$225),"")</f>
        <v/>
      </c>
      <c r="T225" s="2">
        <f>IF(ISNUMBER($R$225),INDEX('Dados'!$G$324:$G$339,$R$225),"")</f>
        <v/>
      </c>
      <c r="U225" s="2">
        <f>IF(ISNUMBER($R$225),INDEX('Dados'!$H$324:$H$339,$R$225),"")</f>
        <v/>
      </c>
      <c r="V225" s="2">
        <f>IF(ISNUMBER($R$225),INDEX('Dados'!$I$324:$I$339,$R$225),"")</f>
        <v/>
      </c>
      <c r="W225" s="2">
        <f>IF(ISNUMBER($R$225),INDEX('Dados'!$J$324:$J$339,$R$225),"")</f>
        <v/>
      </c>
      <c r="X225" s="2">
        <f>IF(ISNUMBER($R$225),INDEX('Dados'!$K$324:$K$339,$R$225),"")</f>
        <v/>
      </c>
      <c r="Y225" s="2">
        <f>IF(ISNUMBER($R$225),INDEX('Dados'!$L$324:$L$339,$R$225),"")</f>
        <v/>
      </c>
      <c r="Z225" s="2">
        <f>IF(ISNUMBER($R$225),INDEX('Dados'!$M$324:$M$339,$R$225),"")</f>
        <v/>
      </c>
      <c r="AA225" s="2">
        <f>IF(ISNUMBER($R$225),INDEX('Dados'!$N$324:$N$339,$R$225),"")</f>
        <v/>
      </c>
      <c r="AB225" s="2">
        <f>IF(ISNUMBER($CD$225),MIN($Z$225,MAX(1,INT($CD$225))),1)</f>
        <v/>
      </c>
      <c r="AC225" s="2">
        <f>IF(ISNUMBER($R$225),INDEX('Dados'!$B$324:$B$339,$R$225),"")</f>
        <v/>
      </c>
      <c r="AD225" s="2">
        <f>IF(AND(ISNUMBER($R$225),LEN($N$14)&gt;0,$Q$14=1,NOT(IF(ISNUMBER($CC$225),$CC$225=0,FALSE))),1,0)</f>
        <v/>
      </c>
      <c r="AE225" s="2">
        <f>IF($AD$225=1,16,"")</f>
        <v/>
      </c>
      <c r="AF225" s="2">
        <f>IF(ISNUMBER($R$225),INDEX('Dados'!$C$324:$C$339,$R$225),"")</f>
        <v/>
      </c>
      <c r="AG225" s="2">
        <f>IF($AD$225=0,"",$AC$225&amp;IF($H$225&lt;&gt;$AC$225," · Agora: "&amp;$H$225,"")&amp;" (duração: "&amp;$AF$225&amp;")")</f>
        <v/>
      </c>
      <c r="AH225" s="2">
        <f>IF(AND(ISNUMBER($R$225),LEN($N$14)&gt;0),IF(IF(ISNUMBER($CC$225),$CC$225=0,FALSE),1,0),0)</f>
        <v/>
      </c>
      <c r="CA225" s="2">
        <f>IF(ISERROR($B$225),"",IF(ISBLANK($B$225),"",$B$225))</f>
        <v/>
      </c>
      <c r="CC225" s="2">
        <f>IF(ISERROR($D$225),"",IF(ISBLANK($D$225),"",$D$225))</f>
        <v/>
      </c>
      <c r="CD225" s="2">
        <f>IF(ISERROR($E$225),"",IF(ISBLANK($E$225),"",$E$225))</f>
        <v/>
      </c>
      <c r="CE225" s="2">
        <f>IF(ISERROR($F$225),"",IF(ISBLANK($F$225),"",$F$225))</f>
        <v/>
      </c>
      <c r="CJ225" s="2">
        <f>ISERROR($B$225)*1+ISERROR($D$225)*1+ISERROR($E$225)*1+ISERROR($F$225)*1</f>
        <v/>
      </c>
    </row>
    <row r="226" ht="48" customHeight="1">
      <c r="A226" s="31">
        <f>IF(LEN($N$15)&gt;0,$N$15,"5 · (vazio)")</f>
        <v/>
      </c>
      <c r="B226" s="4" t="n"/>
      <c r="C226" s="17" t="n"/>
      <c r="D226" s="16" t="n"/>
      <c r="E226" s="16" t="n"/>
      <c r="F226" s="4" t="n"/>
      <c r="G226" s="17" t="n"/>
      <c r="H226" s="5">
        <f>IF(NOT(ISNUMBER($R$226)),"",IF(IF(ISNUMBER($CC$226),$CC$226=0,FALSE),"EXPIRADA (0 turnos): já não vale; apague a condição",IF($W$226&gt;0,"Dano Contínuo: "&amp;MIN(INT($W$226*$Q$226/100),$X$226*$P$226)&amp;" por turno",IF($S$226&gt;0,IF($AA$226="Sim","Dano Contínuo: ","Dano: ")&amp;IF($U$226="Sim",$AB$226*$S$226,$S$226)&amp;"d"&amp;$T$226&amp;IF($V$226="Sim"," + "&amp;$P$226,"")&amp;" · média "&amp;(INT(IF($U$226="Sim",$AB$226*$S$226,$S$226)*($T$226+1)/2)+IF($V$226="Sim",$P$226,0)),$AC$226))&amp;IF($Y$226&gt;0,"; Atrasa "&amp;$Y$226&amp;" casa(s): some em Atraso deste Ciclo do alvo (C8)","")))</f>
        <v/>
      </c>
      <c r="K226" s="19">
        <f>IF(CJ226&gt;0,"O Google leu como fórmula: escolha de novo ou digite com ' na frente.",IF(LEN($CA$226)=0,"",IF(LEN($N$15)=0,"Combatente vazio: a condição não conta",IF(NOT(ISNUMBER($R$226)),"Condição fora do capítulo 21",IF($CA$226="Congelado","Congelado só em inimigo (21.2)",IF(IF(ISNUMBER($CC$226),$CC$226=0,FALSE),"Expirou: os turnos chegaram a 0 e ela saiu do painel",IF(AND(ISNUMBER($CD$226),$CD$226&gt;$Z$226),"Acima do teto de "&amp;$Z$226&amp;" acúmulo(s) (21.5): usando o teto",IF($AA$226="Sim","Dano Contínuo: início do turno do alvo; ignora RD, não crita, sem dados de Fraqueza (20.6)",""))))))))</f>
        <v/>
      </c>
      <c r="N226" s="2">
        <f>IF(LEN($N$15)=0,"",5)</f>
        <v/>
      </c>
      <c r="O226" s="2">
        <f>IF(LEN($CE$226)=0,"",IFERROR(MATCH($CE$226,$N$11:$N$32,0),""))</f>
        <v/>
      </c>
      <c r="P226" s="2">
        <f>IF(ISNUMBER($O$226),INDEX($AS$11:$AS$32,$O$226),'Campanha'!$B$20)</f>
        <v/>
      </c>
      <c r="Q226" s="2">
        <f>IF(ISNUMBER($N$226),$AQ$15,0)</f>
        <v/>
      </c>
      <c r="R226" s="2">
        <f>IF(LEN($CA$226)=0,"",IFERROR(MATCH($CA$226,'Dados'!$A$324:$A$339,0),""))</f>
        <v/>
      </c>
      <c r="S226" s="2">
        <f>IF(ISNUMBER($R$226),INDEX('Dados'!$F$324:$F$339,$R$226),"")</f>
        <v/>
      </c>
      <c r="T226" s="2">
        <f>IF(ISNUMBER($R$226),INDEX('Dados'!$G$324:$G$339,$R$226),"")</f>
        <v/>
      </c>
      <c r="U226" s="2">
        <f>IF(ISNUMBER($R$226),INDEX('Dados'!$H$324:$H$339,$R$226),"")</f>
        <v/>
      </c>
      <c r="V226" s="2">
        <f>IF(ISNUMBER($R$226),INDEX('Dados'!$I$324:$I$339,$R$226),"")</f>
        <v/>
      </c>
      <c r="W226" s="2">
        <f>IF(ISNUMBER($R$226),INDEX('Dados'!$J$324:$J$339,$R$226),"")</f>
        <v/>
      </c>
      <c r="X226" s="2">
        <f>IF(ISNUMBER($R$226),INDEX('Dados'!$K$324:$K$339,$R$226),"")</f>
        <v/>
      </c>
      <c r="Y226" s="2">
        <f>IF(ISNUMBER($R$226),INDEX('Dados'!$L$324:$L$339,$R$226),"")</f>
        <v/>
      </c>
      <c r="Z226" s="2">
        <f>IF(ISNUMBER($R$226),INDEX('Dados'!$M$324:$M$339,$R$226),"")</f>
        <v/>
      </c>
      <c r="AA226" s="2">
        <f>IF(ISNUMBER($R$226),INDEX('Dados'!$N$324:$N$339,$R$226),"")</f>
        <v/>
      </c>
      <c r="AB226" s="2">
        <f>IF(ISNUMBER($CD$226),MIN($Z$226,MAX(1,INT($CD$226))),1)</f>
        <v/>
      </c>
      <c r="AC226" s="2">
        <f>IF(ISNUMBER($R$226),INDEX('Dados'!$B$324:$B$339,$R$226),"")</f>
        <v/>
      </c>
      <c r="AD226" s="2">
        <f>IF(AND(ISNUMBER($R$226),LEN($N$15)&gt;0,$Q$15=1,NOT(IF(ISNUMBER($CC$226),$CC$226=0,FALSE))),1,0)</f>
        <v/>
      </c>
      <c r="AE226" s="2">
        <f>IF($AD$226=1,17,"")</f>
        <v/>
      </c>
      <c r="AF226" s="2">
        <f>IF(ISNUMBER($R$226),INDEX('Dados'!$C$324:$C$339,$R$226),"")</f>
        <v/>
      </c>
      <c r="AG226" s="2">
        <f>IF($AD$226=0,"",$AC$226&amp;IF($H$226&lt;&gt;$AC$226," · Agora: "&amp;$H$226,"")&amp;" (duração: "&amp;$AF$226&amp;")")</f>
        <v/>
      </c>
      <c r="AH226" s="2">
        <f>IF(AND(ISNUMBER($R$226),LEN($N$15)&gt;0),IF(IF(ISNUMBER($CC$226),$CC$226=0,FALSE),1,0),0)</f>
        <v/>
      </c>
      <c r="CA226" s="2">
        <f>IF(ISERROR($B$226),"",IF(ISBLANK($B$226),"",$B$226))</f>
        <v/>
      </c>
      <c r="CC226" s="2">
        <f>IF(ISERROR($D$226),"",IF(ISBLANK($D$226),"",$D$226))</f>
        <v/>
      </c>
      <c r="CD226" s="2">
        <f>IF(ISERROR($E$226),"",IF(ISBLANK($E$226),"",$E$226))</f>
        <v/>
      </c>
      <c r="CE226" s="2">
        <f>IF(ISERROR($F$226),"",IF(ISBLANK($F$226),"",$F$226))</f>
        <v/>
      </c>
      <c r="CJ226" s="2">
        <f>ISERROR($B$226)*1+ISERROR($D$226)*1+ISERROR($E$226)*1+ISERROR($F$226)*1</f>
        <v/>
      </c>
    </row>
    <row r="227" ht="48" customHeight="1">
      <c r="A227" s="43">
        <f>IF(LEN($N$15)&gt;0,$N$15,"5 · (vazio)")</f>
        <v/>
      </c>
      <c r="B227" s="29" t="n"/>
      <c r="C227" s="17" t="n"/>
      <c r="D227" s="37" t="n"/>
      <c r="E227" s="37" t="n"/>
      <c r="F227" s="29" t="n"/>
      <c r="G227" s="17" t="n"/>
      <c r="H227" s="10">
        <f>IF(NOT(ISNUMBER($R$227)),"",IF(IF(ISNUMBER($CC$227),$CC$227=0,FALSE),"EXPIRADA (0 turnos): já não vale; apague a condição",IF($W$227&gt;0,"Dano Contínuo: "&amp;MIN(INT($W$227*$Q$227/100),$X$227*$P$227)&amp;" por turno",IF($S$227&gt;0,IF($AA$227="Sim","Dano Contínuo: ","Dano: ")&amp;IF($U$227="Sim",$AB$227*$S$227,$S$227)&amp;"d"&amp;$T$227&amp;IF($V$227="Sim"," + "&amp;$P$227,"")&amp;" · média "&amp;(INT(IF($U$227="Sim",$AB$227*$S$227,$S$227)*($T$227+1)/2)+IF($V$227="Sim",$P$227,0)),$AC$227))&amp;IF($Y$227&gt;0,"; Atrasa "&amp;$Y$227&amp;" casa(s): some em Atraso deste Ciclo do alvo (C8)","")))</f>
        <v/>
      </c>
      <c r="K227" s="27">
        <f>IF(CJ227&gt;0,"O Google leu como fórmula: escolha de novo ou digite com ' na frente.",IF(LEN($CA$227)=0,"",IF(LEN($N$15)=0,"Combatente vazio: a condição não conta",IF(NOT(ISNUMBER($R$227)),"Condição fora do capítulo 21",IF($CA$227="Congelado","Congelado só em inimigo (21.2)",IF(IF(ISNUMBER($CC$227),$CC$227=0,FALSE),"Expirou: os turnos chegaram a 0 e ela saiu do painel",IF(AND(ISNUMBER($CD$227),$CD$227&gt;$Z$227),"Acima do teto de "&amp;$Z$227&amp;" acúmulo(s) (21.5): usando o teto",IF($AA$227="Sim","Dano Contínuo: início do turno do alvo; ignora RD, não crita, sem dados de Fraqueza (20.6)",""))))))))</f>
        <v/>
      </c>
      <c r="N227" s="2">
        <f>IF(LEN($N$15)=0,"",5)</f>
        <v/>
      </c>
      <c r="O227" s="2">
        <f>IF(LEN($CE$227)=0,"",IFERROR(MATCH($CE$227,$N$11:$N$32,0),""))</f>
        <v/>
      </c>
      <c r="P227" s="2">
        <f>IF(ISNUMBER($O$227),INDEX($AS$11:$AS$32,$O$227),'Campanha'!$B$20)</f>
        <v/>
      </c>
      <c r="Q227" s="2">
        <f>IF(ISNUMBER($N$227),$AQ$15,0)</f>
        <v/>
      </c>
      <c r="R227" s="2">
        <f>IF(LEN($CA$227)=0,"",IFERROR(MATCH($CA$227,'Dados'!$A$324:$A$339,0),""))</f>
        <v/>
      </c>
      <c r="S227" s="2">
        <f>IF(ISNUMBER($R$227),INDEX('Dados'!$F$324:$F$339,$R$227),"")</f>
        <v/>
      </c>
      <c r="T227" s="2">
        <f>IF(ISNUMBER($R$227),INDEX('Dados'!$G$324:$G$339,$R$227),"")</f>
        <v/>
      </c>
      <c r="U227" s="2">
        <f>IF(ISNUMBER($R$227),INDEX('Dados'!$H$324:$H$339,$R$227),"")</f>
        <v/>
      </c>
      <c r="V227" s="2">
        <f>IF(ISNUMBER($R$227),INDEX('Dados'!$I$324:$I$339,$R$227),"")</f>
        <v/>
      </c>
      <c r="W227" s="2">
        <f>IF(ISNUMBER($R$227),INDEX('Dados'!$J$324:$J$339,$R$227),"")</f>
        <v/>
      </c>
      <c r="X227" s="2">
        <f>IF(ISNUMBER($R$227),INDEX('Dados'!$K$324:$K$339,$R$227),"")</f>
        <v/>
      </c>
      <c r="Y227" s="2">
        <f>IF(ISNUMBER($R$227),INDEX('Dados'!$L$324:$L$339,$R$227),"")</f>
        <v/>
      </c>
      <c r="Z227" s="2">
        <f>IF(ISNUMBER($R$227),INDEX('Dados'!$M$324:$M$339,$R$227),"")</f>
        <v/>
      </c>
      <c r="AA227" s="2">
        <f>IF(ISNUMBER($R$227),INDEX('Dados'!$N$324:$N$339,$R$227),"")</f>
        <v/>
      </c>
      <c r="AB227" s="2">
        <f>IF(ISNUMBER($CD$227),MIN($Z$227,MAX(1,INT($CD$227))),1)</f>
        <v/>
      </c>
      <c r="AC227" s="2">
        <f>IF(ISNUMBER($R$227),INDEX('Dados'!$B$324:$B$339,$R$227),"")</f>
        <v/>
      </c>
      <c r="AD227" s="2">
        <f>IF(AND(ISNUMBER($R$227),LEN($N$15)&gt;0,$Q$15=1,NOT(IF(ISNUMBER($CC$227),$CC$227=0,FALSE))),1,0)</f>
        <v/>
      </c>
      <c r="AE227" s="2">
        <f>IF($AD$227=1,18,"")</f>
        <v/>
      </c>
      <c r="AF227" s="2">
        <f>IF(ISNUMBER($R$227),INDEX('Dados'!$C$324:$C$339,$R$227),"")</f>
        <v/>
      </c>
      <c r="AG227" s="2">
        <f>IF($AD$227=0,"",$AC$227&amp;IF($H$227&lt;&gt;$AC$227," · Agora: "&amp;$H$227,"")&amp;" (duração: "&amp;$AF$227&amp;")")</f>
        <v/>
      </c>
      <c r="AH227" s="2">
        <f>IF(AND(ISNUMBER($R$227),LEN($N$15)&gt;0),IF(IF(ISNUMBER($CC$227),$CC$227=0,FALSE),1,0),0)</f>
        <v/>
      </c>
      <c r="CA227" s="2">
        <f>IF(ISERROR($B$227),"",IF(ISBLANK($B$227),"",$B$227))</f>
        <v/>
      </c>
      <c r="CC227" s="2">
        <f>IF(ISERROR($D$227),"",IF(ISBLANK($D$227),"",$D$227))</f>
        <v/>
      </c>
      <c r="CD227" s="2">
        <f>IF(ISERROR($E$227),"",IF(ISBLANK($E$227),"",$E$227))</f>
        <v/>
      </c>
      <c r="CE227" s="2">
        <f>IF(ISERROR($F$227),"",IF(ISBLANK($F$227),"",$F$227))</f>
        <v/>
      </c>
      <c r="CJ227" s="2">
        <f>ISERROR($B$227)*1+ISERROR($D$227)*1+ISERROR($E$227)*1+ISERROR($F$227)*1</f>
        <v/>
      </c>
    </row>
    <row r="228" ht="48" customHeight="1">
      <c r="A228" s="31">
        <f>IF(LEN($N$15)&gt;0,$N$15,"5 · (vazio)")</f>
        <v/>
      </c>
      <c r="B228" s="4" t="n"/>
      <c r="C228" s="17" t="n"/>
      <c r="D228" s="16" t="n"/>
      <c r="E228" s="16" t="n"/>
      <c r="F228" s="4" t="n"/>
      <c r="G228" s="17" t="n"/>
      <c r="H228" s="5">
        <f>IF(NOT(ISNUMBER($R$228)),"",IF(IF(ISNUMBER($CC$228),$CC$228=0,FALSE),"EXPIRADA (0 turnos): já não vale; apague a condição",IF($W$228&gt;0,"Dano Contínuo: "&amp;MIN(INT($W$228*$Q$228/100),$X$228*$P$228)&amp;" por turno",IF($S$228&gt;0,IF($AA$228="Sim","Dano Contínuo: ","Dano: ")&amp;IF($U$228="Sim",$AB$228*$S$228,$S$228)&amp;"d"&amp;$T$228&amp;IF($V$228="Sim"," + "&amp;$P$228,"")&amp;" · média "&amp;(INT(IF($U$228="Sim",$AB$228*$S$228,$S$228)*($T$228+1)/2)+IF($V$228="Sim",$P$228,0)),$AC$228))&amp;IF($Y$228&gt;0,"; Atrasa "&amp;$Y$228&amp;" casa(s): some em Atraso deste Ciclo do alvo (C8)","")))</f>
        <v/>
      </c>
      <c r="K228" s="19">
        <f>IF(CJ228&gt;0,"O Google leu como fórmula: escolha de novo ou digite com ' na frente.",IF(LEN($CA$228)=0,"",IF(LEN($N$15)=0,"Combatente vazio: a condição não conta",IF(NOT(ISNUMBER($R$228)),"Condição fora do capítulo 21",IF($CA$228="Congelado","Congelado só em inimigo (21.2)",IF(IF(ISNUMBER($CC$228),$CC$228=0,FALSE),"Expirou: os turnos chegaram a 0 e ela saiu do painel",IF(AND(ISNUMBER($CD$228),$CD$228&gt;$Z$228),"Acima do teto de "&amp;$Z$228&amp;" acúmulo(s) (21.5): usando o teto",IF($AA$228="Sim","Dano Contínuo: início do turno do alvo; ignora RD, não crita, sem dados de Fraqueza (20.6)",""))))))))</f>
        <v/>
      </c>
      <c r="N228" s="2">
        <f>IF(LEN($N$15)=0,"",5)</f>
        <v/>
      </c>
      <c r="O228" s="2">
        <f>IF(LEN($CE$228)=0,"",IFERROR(MATCH($CE$228,$N$11:$N$32,0),""))</f>
        <v/>
      </c>
      <c r="P228" s="2">
        <f>IF(ISNUMBER($O$228),INDEX($AS$11:$AS$32,$O$228),'Campanha'!$B$20)</f>
        <v/>
      </c>
      <c r="Q228" s="2">
        <f>IF(ISNUMBER($N$228),$AQ$15,0)</f>
        <v/>
      </c>
      <c r="R228" s="2">
        <f>IF(LEN($CA$228)=0,"",IFERROR(MATCH($CA$228,'Dados'!$A$324:$A$339,0),""))</f>
        <v/>
      </c>
      <c r="S228" s="2">
        <f>IF(ISNUMBER($R$228),INDEX('Dados'!$F$324:$F$339,$R$228),"")</f>
        <v/>
      </c>
      <c r="T228" s="2">
        <f>IF(ISNUMBER($R$228),INDEX('Dados'!$G$324:$G$339,$R$228),"")</f>
        <v/>
      </c>
      <c r="U228" s="2">
        <f>IF(ISNUMBER($R$228),INDEX('Dados'!$H$324:$H$339,$R$228),"")</f>
        <v/>
      </c>
      <c r="V228" s="2">
        <f>IF(ISNUMBER($R$228),INDEX('Dados'!$I$324:$I$339,$R$228),"")</f>
        <v/>
      </c>
      <c r="W228" s="2">
        <f>IF(ISNUMBER($R$228),INDEX('Dados'!$J$324:$J$339,$R$228),"")</f>
        <v/>
      </c>
      <c r="X228" s="2">
        <f>IF(ISNUMBER($R$228),INDEX('Dados'!$K$324:$K$339,$R$228),"")</f>
        <v/>
      </c>
      <c r="Y228" s="2">
        <f>IF(ISNUMBER($R$228),INDEX('Dados'!$L$324:$L$339,$R$228),"")</f>
        <v/>
      </c>
      <c r="Z228" s="2">
        <f>IF(ISNUMBER($R$228),INDEX('Dados'!$M$324:$M$339,$R$228),"")</f>
        <v/>
      </c>
      <c r="AA228" s="2">
        <f>IF(ISNUMBER($R$228),INDEX('Dados'!$N$324:$N$339,$R$228),"")</f>
        <v/>
      </c>
      <c r="AB228" s="2">
        <f>IF(ISNUMBER($CD$228),MIN($Z$228,MAX(1,INT($CD$228))),1)</f>
        <v/>
      </c>
      <c r="AC228" s="2">
        <f>IF(ISNUMBER($R$228),INDEX('Dados'!$B$324:$B$339,$R$228),"")</f>
        <v/>
      </c>
      <c r="AD228" s="2">
        <f>IF(AND(ISNUMBER($R$228),LEN($N$15)&gt;0,$Q$15=1,NOT(IF(ISNUMBER($CC$228),$CC$228=0,FALSE))),1,0)</f>
        <v/>
      </c>
      <c r="AE228" s="2">
        <f>IF($AD$228=1,19,"")</f>
        <v/>
      </c>
      <c r="AF228" s="2">
        <f>IF(ISNUMBER($R$228),INDEX('Dados'!$C$324:$C$339,$R$228),"")</f>
        <v/>
      </c>
      <c r="AG228" s="2">
        <f>IF($AD$228=0,"",$AC$228&amp;IF($H$228&lt;&gt;$AC$228," · Agora: "&amp;$H$228,"")&amp;" (duração: "&amp;$AF$228&amp;")")</f>
        <v/>
      </c>
      <c r="AH228" s="2">
        <f>IF(AND(ISNUMBER($R$228),LEN($N$15)&gt;0),IF(IF(ISNUMBER($CC$228),$CC$228=0,FALSE),1,0),0)</f>
        <v/>
      </c>
      <c r="CA228" s="2">
        <f>IF(ISERROR($B$228),"",IF(ISBLANK($B$228),"",$B$228))</f>
        <v/>
      </c>
      <c r="CC228" s="2">
        <f>IF(ISERROR($D$228),"",IF(ISBLANK($D$228),"",$D$228))</f>
        <v/>
      </c>
      <c r="CD228" s="2">
        <f>IF(ISERROR($E$228),"",IF(ISBLANK($E$228),"",$E$228))</f>
        <v/>
      </c>
      <c r="CE228" s="2">
        <f>IF(ISERROR($F$228),"",IF(ISBLANK($F$228),"",$F$228))</f>
        <v/>
      </c>
      <c r="CJ228" s="2">
        <f>ISERROR($B$228)*1+ISERROR($D$228)*1+ISERROR($E$228)*1+ISERROR($F$228)*1</f>
        <v/>
      </c>
    </row>
    <row r="229" ht="48" customHeight="1">
      <c r="A229" s="43">
        <f>IF(LEN($N$15)&gt;0,$N$15,"5 · (vazio)")</f>
        <v/>
      </c>
      <c r="B229" s="29" t="n"/>
      <c r="C229" s="17" t="n"/>
      <c r="D229" s="37" t="n"/>
      <c r="E229" s="37" t="n"/>
      <c r="F229" s="29" t="n"/>
      <c r="G229" s="17" t="n"/>
      <c r="H229" s="10">
        <f>IF(NOT(ISNUMBER($R$229)),"",IF(IF(ISNUMBER($CC$229),$CC$229=0,FALSE),"EXPIRADA (0 turnos): já não vale; apague a condição",IF($W$229&gt;0,"Dano Contínuo: "&amp;MIN(INT($W$229*$Q$229/100),$X$229*$P$229)&amp;" por turno",IF($S$229&gt;0,IF($AA$229="Sim","Dano Contínuo: ","Dano: ")&amp;IF($U$229="Sim",$AB$229*$S$229,$S$229)&amp;"d"&amp;$T$229&amp;IF($V$229="Sim"," + "&amp;$P$229,"")&amp;" · média "&amp;(INT(IF($U$229="Sim",$AB$229*$S$229,$S$229)*($T$229+1)/2)+IF($V$229="Sim",$P$229,0)),$AC$229))&amp;IF($Y$229&gt;0,"; Atrasa "&amp;$Y$229&amp;" casa(s): some em Atraso deste Ciclo do alvo (C8)","")))</f>
        <v/>
      </c>
      <c r="K229" s="27">
        <f>IF(CJ229&gt;0,"O Google leu como fórmula: escolha de novo ou digite com ' na frente.",IF(LEN($CA$229)=0,"",IF(LEN($N$15)=0,"Combatente vazio: a condição não conta",IF(NOT(ISNUMBER($R$229)),"Condição fora do capítulo 21",IF($CA$229="Congelado","Congelado só em inimigo (21.2)",IF(IF(ISNUMBER($CC$229),$CC$229=0,FALSE),"Expirou: os turnos chegaram a 0 e ela saiu do painel",IF(AND(ISNUMBER($CD$229),$CD$229&gt;$Z$229),"Acima do teto de "&amp;$Z$229&amp;" acúmulo(s) (21.5): usando o teto",IF($AA$229="Sim","Dano Contínuo: início do turno do alvo; ignora RD, não crita, sem dados de Fraqueza (20.6)",""))))))))</f>
        <v/>
      </c>
      <c r="N229" s="2">
        <f>IF(LEN($N$15)=0,"",5)</f>
        <v/>
      </c>
      <c r="O229" s="2">
        <f>IF(LEN($CE$229)=0,"",IFERROR(MATCH($CE$229,$N$11:$N$32,0),""))</f>
        <v/>
      </c>
      <c r="P229" s="2">
        <f>IF(ISNUMBER($O$229),INDEX($AS$11:$AS$32,$O$229),'Campanha'!$B$20)</f>
        <v/>
      </c>
      <c r="Q229" s="2">
        <f>IF(ISNUMBER($N$229),$AQ$15,0)</f>
        <v/>
      </c>
      <c r="R229" s="2">
        <f>IF(LEN($CA$229)=0,"",IFERROR(MATCH($CA$229,'Dados'!$A$324:$A$339,0),""))</f>
        <v/>
      </c>
      <c r="S229" s="2">
        <f>IF(ISNUMBER($R$229),INDEX('Dados'!$F$324:$F$339,$R$229),"")</f>
        <v/>
      </c>
      <c r="T229" s="2">
        <f>IF(ISNUMBER($R$229),INDEX('Dados'!$G$324:$G$339,$R$229),"")</f>
        <v/>
      </c>
      <c r="U229" s="2">
        <f>IF(ISNUMBER($R$229),INDEX('Dados'!$H$324:$H$339,$R$229),"")</f>
        <v/>
      </c>
      <c r="V229" s="2">
        <f>IF(ISNUMBER($R$229),INDEX('Dados'!$I$324:$I$339,$R$229),"")</f>
        <v/>
      </c>
      <c r="W229" s="2">
        <f>IF(ISNUMBER($R$229),INDEX('Dados'!$J$324:$J$339,$R$229),"")</f>
        <v/>
      </c>
      <c r="X229" s="2">
        <f>IF(ISNUMBER($R$229),INDEX('Dados'!$K$324:$K$339,$R$229),"")</f>
        <v/>
      </c>
      <c r="Y229" s="2">
        <f>IF(ISNUMBER($R$229),INDEX('Dados'!$L$324:$L$339,$R$229),"")</f>
        <v/>
      </c>
      <c r="Z229" s="2">
        <f>IF(ISNUMBER($R$229),INDEX('Dados'!$M$324:$M$339,$R$229),"")</f>
        <v/>
      </c>
      <c r="AA229" s="2">
        <f>IF(ISNUMBER($R$229),INDEX('Dados'!$N$324:$N$339,$R$229),"")</f>
        <v/>
      </c>
      <c r="AB229" s="2">
        <f>IF(ISNUMBER($CD$229),MIN($Z$229,MAX(1,INT($CD$229))),1)</f>
        <v/>
      </c>
      <c r="AC229" s="2">
        <f>IF(ISNUMBER($R$229),INDEX('Dados'!$B$324:$B$339,$R$229),"")</f>
        <v/>
      </c>
      <c r="AD229" s="2">
        <f>IF(AND(ISNUMBER($R$229),LEN($N$15)&gt;0,$Q$15=1,NOT(IF(ISNUMBER($CC$229),$CC$229=0,FALSE))),1,0)</f>
        <v/>
      </c>
      <c r="AE229" s="2">
        <f>IF($AD$229=1,20,"")</f>
        <v/>
      </c>
      <c r="AF229" s="2">
        <f>IF(ISNUMBER($R$229),INDEX('Dados'!$C$324:$C$339,$R$229),"")</f>
        <v/>
      </c>
      <c r="AG229" s="2">
        <f>IF($AD$229=0,"",$AC$229&amp;IF($H$229&lt;&gt;$AC$229," · Agora: "&amp;$H$229,"")&amp;" (duração: "&amp;$AF$229&amp;")")</f>
        <v/>
      </c>
      <c r="AH229" s="2">
        <f>IF(AND(ISNUMBER($R$229),LEN($N$15)&gt;0),IF(IF(ISNUMBER($CC$229),$CC$229=0,FALSE),1,0),0)</f>
        <v/>
      </c>
      <c r="CA229" s="2">
        <f>IF(ISERROR($B$229),"",IF(ISBLANK($B$229),"",$B$229))</f>
        <v/>
      </c>
      <c r="CC229" s="2">
        <f>IF(ISERROR($D$229),"",IF(ISBLANK($D$229),"",$D$229))</f>
        <v/>
      </c>
      <c r="CD229" s="2">
        <f>IF(ISERROR($E$229),"",IF(ISBLANK($E$229),"",$E$229))</f>
        <v/>
      </c>
      <c r="CE229" s="2">
        <f>IF(ISERROR($F$229),"",IF(ISBLANK($F$229),"",$F$229))</f>
        <v/>
      </c>
      <c r="CJ229" s="2">
        <f>ISERROR($B$229)*1+ISERROR($D$229)*1+ISERROR($E$229)*1+ISERROR($F$229)*1</f>
        <v/>
      </c>
    </row>
    <row r="230" ht="48" customHeight="1">
      <c r="A230" s="31">
        <f>IF(LEN($N$16)&gt;0,$N$16,"6 · (vazio)")</f>
        <v/>
      </c>
      <c r="B230" s="4" t="n"/>
      <c r="C230" s="17" t="n"/>
      <c r="D230" s="16" t="n"/>
      <c r="E230" s="16" t="n"/>
      <c r="F230" s="4" t="n"/>
      <c r="G230" s="17" t="n"/>
      <c r="H230" s="5">
        <f>IF(NOT(ISNUMBER($R$230)),"",IF(IF(ISNUMBER($CC$230),$CC$230=0,FALSE),"EXPIRADA (0 turnos): já não vale; apague a condição",IF($W$230&gt;0,"Dano Contínuo: "&amp;MIN(INT($W$230*$Q$230/100),$X$230*$P$230)&amp;" por turno",IF($S$230&gt;0,IF($AA$230="Sim","Dano Contínuo: ","Dano: ")&amp;IF($U$230="Sim",$AB$230*$S$230,$S$230)&amp;"d"&amp;$T$230&amp;IF($V$230="Sim"," + "&amp;$P$230,"")&amp;" · média "&amp;(INT(IF($U$230="Sim",$AB$230*$S$230,$S$230)*($T$230+1)/2)+IF($V$230="Sim",$P$230,0)),$AC$230))&amp;IF($Y$230&gt;0,"; Atrasa "&amp;$Y$230&amp;" casa(s): some em Atraso deste Ciclo do alvo (C8)","")))</f>
        <v/>
      </c>
      <c r="K230" s="19">
        <f>IF(CJ230&gt;0,"O Google leu como fórmula: escolha de novo ou digite com ' na frente.",IF(LEN($CA$230)=0,"",IF(LEN($N$16)=0,"Combatente vazio: a condição não conta",IF(NOT(ISNUMBER($R$230)),"Condição fora do capítulo 21",IF($CA$230="Congelado","Congelado só em inimigo (21.2)",IF(IF(ISNUMBER($CC$230),$CC$230=0,FALSE),"Expirou: os turnos chegaram a 0 e ela saiu do painel",IF(AND(ISNUMBER($CD$230),$CD$230&gt;$Z$230),"Acima do teto de "&amp;$Z$230&amp;" acúmulo(s) (21.5): usando o teto",IF($AA$230="Sim","Dano Contínuo: início do turno do alvo; ignora RD, não crita, sem dados de Fraqueza (20.6)",""))))))))</f>
        <v/>
      </c>
      <c r="N230" s="2">
        <f>IF(LEN($N$16)=0,"",6)</f>
        <v/>
      </c>
      <c r="O230" s="2">
        <f>IF(LEN($CE$230)=0,"",IFERROR(MATCH($CE$230,$N$11:$N$32,0),""))</f>
        <v/>
      </c>
      <c r="P230" s="2">
        <f>IF(ISNUMBER($O$230),INDEX($AS$11:$AS$32,$O$230),'Campanha'!$B$20)</f>
        <v/>
      </c>
      <c r="Q230" s="2">
        <f>IF(ISNUMBER($N$230),$AQ$16,0)</f>
        <v/>
      </c>
      <c r="R230" s="2">
        <f>IF(LEN($CA$230)=0,"",IFERROR(MATCH($CA$230,'Dados'!$A$324:$A$339,0),""))</f>
        <v/>
      </c>
      <c r="S230" s="2">
        <f>IF(ISNUMBER($R$230),INDEX('Dados'!$F$324:$F$339,$R$230),"")</f>
        <v/>
      </c>
      <c r="T230" s="2">
        <f>IF(ISNUMBER($R$230),INDEX('Dados'!$G$324:$G$339,$R$230),"")</f>
        <v/>
      </c>
      <c r="U230" s="2">
        <f>IF(ISNUMBER($R$230),INDEX('Dados'!$H$324:$H$339,$R$230),"")</f>
        <v/>
      </c>
      <c r="V230" s="2">
        <f>IF(ISNUMBER($R$230),INDEX('Dados'!$I$324:$I$339,$R$230),"")</f>
        <v/>
      </c>
      <c r="W230" s="2">
        <f>IF(ISNUMBER($R$230),INDEX('Dados'!$J$324:$J$339,$R$230),"")</f>
        <v/>
      </c>
      <c r="X230" s="2">
        <f>IF(ISNUMBER($R$230),INDEX('Dados'!$K$324:$K$339,$R$230),"")</f>
        <v/>
      </c>
      <c r="Y230" s="2">
        <f>IF(ISNUMBER($R$230),INDEX('Dados'!$L$324:$L$339,$R$230),"")</f>
        <v/>
      </c>
      <c r="Z230" s="2">
        <f>IF(ISNUMBER($R$230),INDEX('Dados'!$M$324:$M$339,$R$230),"")</f>
        <v/>
      </c>
      <c r="AA230" s="2">
        <f>IF(ISNUMBER($R$230),INDEX('Dados'!$N$324:$N$339,$R$230),"")</f>
        <v/>
      </c>
      <c r="AB230" s="2">
        <f>IF(ISNUMBER($CD$230),MIN($Z$230,MAX(1,INT($CD$230))),1)</f>
        <v/>
      </c>
      <c r="AC230" s="2">
        <f>IF(ISNUMBER($R$230),INDEX('Dados'!$B$324:$B$339,$R$230),"")</f>
        <v/>
      </c>
      <c r="AD230" s="2">
        <f>IF(AND(ISNUMBER($R$230),LEN($N$16)&gt;0,$Q$16=1,NOT(IF(ISNUMBER($CC$230),$CC$230=0,FALSE))),1,0)</f>
        <v/>
      </c>
      <c r="AE230" s="2">
        <f>IF($AD$230=1,21,"")</f>
        <v/>
      </c>
      <c r="AF230" s="2">
        <f>IF(ISNUMBER($R$230),INDEX('Dados'!$C$324:$C$339,$R$230),"")</f>
        <v/>
      </c>
      <c r="AG230" s="2">
        <f>IF($AD$230=0,"",$AC$230&amp;IF($H$230&lt;&gt;$AC$230," · Agora: "&amp;$H$230,"")&amp;" (duração: "&amp;$AF$230&amp;")")</f>
        <v/>
      </c>
      <c r="AH230" s="2">
        <f>IF(AND(ISNUMBER($R$230),LEN($N$16)&gt;0),IF(IF(ISNUMBER($CC$230),$CC$230=0,FALSE),1,0),0)</f>
        <v/>
      </c>
      <c r="CA230" s="2">
        <f>IF(ISERROR($B$230),"",IF(ISBLANK($B$230),"",$B$230))</f>
        <v/>
      </c>
      <c r="CC230" s="2">
        <f>IF(ISERROR($D$230),"",IF(ISBLANK($D$230),"",$D$230))</f>
        <v/>
      </c>
      <c r="CD230" s="2">
        <f>IF(ISERROR($E$230),"",IF(ISBLANK($E$230),"",$E$230))</f>
        <v/>
      </c>
      <c r="CE230" s="2">
        <f>IF(ISERROR($F$230),"",IF(ISBLANK($F$230),"",$F$230))</f>
        <v/>
      </c>
      <c r="CJ230" s="2">
        <f>ISERROR($B$230)*1+ISERROR($D$230)*1+ISERROR($E$230)*1+ISERROR($F$230)*1</f>
        <v/>
      </c>
    </row>
    <row r="231" ht="48" customHeight="1">
      <c r="A231" s="43">
        <f>IF(LEN($N$16)&gt;0,$N$16,"6 · (vazio)")</f>
        <v/>
      </c>
      <c r="B231" s="29" t="n"/>
      <c r="C231" s="17" t="n"/>
      <c r="D231" s="37" t="n"/>
      <c r="E231" s="37" t="n"/>
      <c r="F231" s="29" t="n"/>
      <c r="G231" s="17" t="n"/>
      <c r="H231" s="10">
        <f>IF(NOT(ISNUMBER($R$231)),"",IF(IF(ISNUMBER($CC$231),$CC$231=0,FALSE),"EXPIRADA (0 turnos): já não vale; apague a condição",IF($W$231&gt;0,"Dano Contínuo: "&amp;MIN(INT($W$231*$Q$231/100),$X$231*$P$231)&amp;" por turno",IF($S$231&gt;0,IF($AA$231="Sim","Dano Contínuo: ","Dano: ")&amp;IF($U$231="Sim",$AB$231*$S$231,$S$231)&amp;"d"&amp;$T$231&amp;IF($V$231="Sim"," + "&amp;$P$231,"")&amp;" · média "&amp;(INT(IF($U$231="Sim",$AB$231*$S$231,$S$231)*($T$231+1)/2)+IF($V$231="Sim",$P$231,0)),$AC$231))&amp;IF($Y$231&gt;0,"; Atrasa "&amp;$Y$231&amp;" casa(s): some em Atraso deste Ciclo do alvo (C8)","")))</f>
        <v/>
      </c>
      <c r="K231" s="27">
        <f>IF(CJ231&gt;0,"O Google leu como fórmula: escolha de novo ou digite com ' na frente.",IF(LEN($CA$231)=0,"",IF(LEN($N$16)=0,"Combatente vazio: a condição não conta",IF(NOT(ISNUMBER($R$231)),"Condição fora do capítulo 21",IF($CA$231="Congelado","Congelado só em inimigo (21.2)",IF(IF(ISNUMBER($CC$231),$CC$231=0,FALSE),"Expirou: os turnos chegaram a 0 e ela saiu do painel",IF(AND(ISNUMBER($CD$231),$CD$231&gt;$Z$231),"Acima do teto de "&amp;$Z$231&amp;" acúmulo(s) (21.5): usando o teto",IF($AA$231="Sim","Dano Contínuo: início do turno do alvo; ignora RD, não crita, sem dados de Fraqueza (20.6)",""))))))))</f>
        <v/>
      </c>
      <c r="N231" s="2">
        <f>IF(LEN($N$16)=0,"",6)</f>
        <v/>
      </c>
      <c r="O231" s="2">
        <f>IF(LEN($CE$231)=0,"",IFERROR(MATCH($CE$231,$N$11:$N$32,0),""))</f>
        <v/>
      </c>
      <c r="P231" s="2">
        <f>IF(ISNUMBER($O$231),INDEX($AS$11:$AS$32,$O$231),'Campanha'!$B$20)</f>
        <v/>
      </c>
      <c r="Q231" s="2">
        <f>IF(ISNUMBER($N$231),$AQ$16,0)</f>
        <v/>
      </c>
      <c r="R231" s="2">
        <f>IF(LEN($CA$231)=0,"",IFERROR(MATCH($CA$231,'Dados'!$A$324:$A$339,0),""))</f>
        <v/>
      </c>
      <c r="S231" s="2">
        <f>IF(ISNUMBER($R$231),INDEX('Dados'!$F$324:$F$339,$R$231),"")</f>
        <v/>
      </c>
      <c r="T231" s="2">
        <f>IF(ISNUMBER($R$231),INDEX('Dados'!$G$324:$G$339,$R$231),"")</f>
        <v/>
      </c>
      <c r="U231" s="2">
        <f>IF(ISNUMBER($R$231),INDEX('Dados'!$H$324:$H$339,$R$231),"")</f>
        <v/>
      </c>
      <c r="V231" s="2">
        <f>IF(ISNUMBER($R$231),INDEX('Dados'!$I$324:$I$339,$R$231),"")</f>
        <v/>
      </c>
      <c r="W231" s="2">
        <f>IF(ISNUMBER($R$231),INDEX('Dados'!$J$324:$J$339,$R$231),"")</f>
        <v/>
      </c>
      <c r="X231" s="2">
        <f>IF(ISNUMBER($R$231),INDEX('Dados'!$K$324:$K$339,$R$231),"")</f>
        <v/>
      </c>
      <c r="Y231" s="2">
        <f>IF(ISNUMBER($R$231),INDEX('Dados'!$L$324:$L$339,$R$231),"")</f>
        <v/>
      </c>
      <c r="Z231" s="2">
        <f>IF(ISNUMBER($R$231),INDEX('Dados'!$M$324:$M$339,$R$231),"")</f>
        <v/>
      </c>
      <c r="AA231" s="2">
        <f>IF(ISNUMBER($R$231),INDEX('Dados'!$N$324:$N$339,$R$231),"")</f>
        <v/>
      </c>
      <c r="AB231" s="2">
        <f>IF(ISNUMBER($CD$231),MIN($Z$231,MAX(1,INT($CD$231))),1)</f>
        <v/>
      </c>
      <c r="AC231" s="2">
        <f>IF(ISNUMBER($R$231),INDEX('Dados'!$B$324:$B$339,$R$231),"")</f>
        <v/>
      </c>
      <c r="AD231" s="2">
        <f>IF(AND(ISNUMBER($R$231),LEN($N$16)&gt;0,$Q$16=1,NOT(IF(ISNUMBER($CC$231),$CC$231=0,FALSE))),1,0)</f>
        <v/>
      </c>
      <c r="AE231" s="2">
        <f>IF($AD$231=1,22,"")</f>
        <v/>
      </c>
      <c r="AF231" s="2">
        <f>IF(ISNUMBER($R$231),INDEX('Dados'!$C$324:$C$339,$R$231),"")</f>
        <v/>
      </c>
      <c r="AG231" s="2">
        <f>IF($AD$231=0,"",$AC$231&amp;IF($H$231&lt;&gt;$AC$231," · Agora: "&amp;$H$231,"")&amp;" (duração: "&amp;$AF$231&amp;")")</f>
        <v/>
      </c>
      <c r="AH231" s="2">
        <f>IF(AND(ISNUMBER($R$231),LEN($N$16)&gt;0),IF(IF(ISNUMBER($CC$231),$CC$231=0,FALSE),1,0),0)</f>
        <v/>
      </c>
      <c r="CA231" s="2">
        <f>IF(ISERROR($B$231),"",IF(ISBLANK($B$231),"",$B$231))</f>
        <v/>
      </c>
      <c r="CC231" s="2">
        <f>IF(ISERROR($D$231),"",IF(ISBLANK($D$231),"",$D$231))</f>
        <v/>
      </c>
      <c r="CD231" s="2">
        <f>IF(ISERROR($E$231),"",IF(ISBLANK($E$231),"",$E$231))</f>
        <v/>
      </c>
      <c r="CE231" s="2">
        <f>IF(ISERROR($F$231),"",IF(ISBLANK($F$231),"",$F$231))</f>
        <v/>
      </c>
      <c r="CJ231" s="2">
        <f>ISERROR($B$231)*1+ISERROR($D$231)*1+ISERROR($E$231)*1+ISERROR($F$231)*1</f>
        <v/>
      </c>
    </row>
    <row r="232" ht="48" customHeight="1">
      <c r="A232" s="31">
        <f>IF(LEN($N$16)&gt;0,$N$16,"6 · (vazio)")</f>
        <v/>
      </c>
      <c r="B232" s="4" t="n"/>
      <c r="C232" s="17" t="n"/>
      <c r="D232" s="16" t="n"/>
      <c r="E232" s="16" t="n"/>
      <c r="F232" s="4" t="n"/>
      <c r="G232" s="17" t="n"/>
      <c r="H232" s="5">
        <f>IF(NOT(ISNUMBER($R$232)),"",IF(IF(ISNUMBER($CC$232),$CC$232=0,FALSE),"EXPIRADA (0 turnos): já não vale; apague a condição",IF($W$232&gt;0,"Dano Contínuo: "&amp;MIN(INT($W$232*$Q$232/100),$X$232*$P$232)&amp;" por turno",IF($S$232&gt;0,IF($AA$232="Sim","Dano Contínuo: ","Dano: ")&amp;IF($U$232="Sim",$AB$232*$S$232,$S$232)&amp;"d"&amp;$T$232&amp;IF($V$232="Sim"," + "&amp;$P$232,"")&amp;" · média "&amp;(INT(IF($U$232="Sim",$AB$232*$S$232,$S$232)*($T$232+1)/2)+IF($V$232="Sim",$P$232,0)),$AC$232))&amp;IF($Y$232&gt;0,"; Atrasa "&amp;$Y$232&amp;" casa(s): some em Atraso deste Ciclo do alvo (C8)","")))</f>
        <v/>
      </c>
      <c r="K232" s="19">
        <f>IF(CJ232&gt;0,"O Google leu como fórmula: escolha de novo ou digite com ' na frente.",IF(LEN($CA$232)=0,"",IF(LEN($N$16)=0,"Combatente vazio: a condição não conta",IF(NOT(ISNUMBER($R$232)),"Condição fora do capítulo 21",IF($CA$232="Congelado","Congelado só em inimigo (21.2)",IF(IF(ISNUMBER($CC$232),$CC$232=0,FALSE),"Expirou: os turnos chegaram a 0 e ela saiu do painel",IF(AND(ISNUMBER($CD$232),$CD$232&gt;$Z$232),"Acima do teto de "&amp;$Z$232&amp;" acúmulo(s) (21.5): usando o teto",IF($AA$232="Sim","Dano Contínuo: início do turno do alvo; ignora RD, não crita, sem dados de Fraqueza (20.6)",""))))))))</f>
        <v/>
      </c>
      <c r="N232" s="2">
        <f>IF(LEN($N$16)=0,"",6)</f>
        <v/>
      </c>
      <c r="O232" s="2">
        <f>IF(LEN($CE$232)=0,"",IFERROR(MATCH($CE$232,$N$11:$N$32,0),""))</f>
        <v/>
      </c>
      <c r="P232" s="2">
        <f>IF(ISNUMBER($O$232),INDEX($AS$11:$AS$32,$O$232),'Campanha'!$B$20)</f>
        <v/>
      </c>
      <c r="Q232" s="2">
        <f>IF(ISNUMBER($N$232),$AQ$16,0)</f>
        <v/>
      </c>
      <c r="R232" s="2">
        <f>IF(LEN($CA$232)=0,"",IFERROR(MATCH($CA$232,'Dados'!$A$324:$A$339,0),""))</f>
        <v/>
      </c>
      <c r="S232" s="2">
        <f>IF(ISNUMBER($R$232),INDEX('Dados'!$F$324:$F$339,$R$232),"")</f>
        <v/>
      </c>
      <c r="T232" s="2">
        <f>IF(ISNUMBER($R$232),INDEX('Dados'!$G$324:$G$339,$R$232),"")</f>
        <v/>
      </c>
      <c r="U232" s="2">
        <f>IF(ISNUMBER($R$232),INDEX('Dados'!$H$324:$H$339,$R$232),"")</f>
        <v/>
      </c>
      <c r="V232" s="2">
        <f>IF(ISNUMBER($R$232),INDEX('Dados'!$I$324:$I$339,$R$232),"")</f>
        <v/>
      </c>
      <c r="W232" s="2">
        <f>IF(ISNUMBER($R$232),INDEX('Dados'!$J$324:$J$339,$R$232),"")</f>
        <v/>
      </c>
      <c r="X232" s="2">
        <f>IF(ISNUMBER($R$232),INDEX('Dados'!$K$324:$K$339,$R$232),"")</f>
        <v/>
      </c>
      <c r="Y232" s="2">
        <f>IF(ISNUMBER($R$232),INDEX('Dados'!$L$324:$L$339,$R$232),"")</f>
        <v/>
      </c>
      <c r="Z232" s="2">
        <f>IF(ISNUMBER($R$232),INDEX('Dados'!$M$324:$M$339,$R$232),"")</f>
        <v/>
      </c>
      <c r="AA232" s="2">
        <f>IF(ISNUMBER($R$232),INDEX('Dados'!$N$324:$N$339,$R$232),"")</f>
        <v/>
      </c>
      <c r="AB232" s="2">
        <f>IF(ISNUMBER($CD$232),MIN($Z$232,MAX(1,INT($CD$232))),1)</f>
        <v/>
      </c>
      <c r="AC232" s="2">
        <f>IF(ISNUMBER($R$232),INDEX('Dados'!$B$324:$B$339,$R$232),"")</f>
        <v/>
      </c>
      <c r="AD232" s="2">
        <f>IF(AND(ISNUMBER($R$232),LEN($N$16)&gt;0,$Q$16=1,NOT(IF(ISNUMBER($CC$232),$CC$232=0,FALSE))),1,0)</f>
        <v/>
      </c>
      <c r="AE232" s="2">
        <f>IF($AD$232=1,23,"")</f>
        <v/>
      </c>
      <c r="AF232" s="2">
        <f>IF(ISNUMBER($R$232),INDEX('Dados'!$C$324:$C$339,$R$232),"")</f>
        <v/>
      </c>
      <c r="AG232" s="2">
        <f>IF($AD$232=0,"",$AC$232&amp;IF($H$232&lt;&gt;$AC$232," · Agora: "&amp;$H$232,"")&amp;" (duração: "&amp;$AF$232&amp;")")</f>
        <v/>
      </c>
      <c r="AH232" s="2">
        <f>IF(AND(ISNUMBER($R$232),LEN($N$16)&gt;0),IF(IF(ISNUMBER($CC$232),$CC$232=0,FALSE),1,0),0)</f>
        <v/>
      </c>
      <c r="CA232" s="2">
        <f>IF(ISERROR($B$232),"",IF(ISBLANK($B$232),"",$B$232))</f>
        <v/>
      </c>
      <c r="CC232" s="2">
        <f>IF(ISERROR($D$232),"",IF(ISBLANK($D$232),"",$D$232))</f>
        <v/>
      </c>
      <c r="CD232" s="2">
        <f>IF(ISERROR($E$232),"",IF(ISBLANK($E$232),"",$E$232))</f>
        <v/>
      </c>
      <c r="CE232" s="2">
        <f>IF(ISERROR($F$232),"",IF(ISBLANK($F$232),"",$F$232))</f>
        <v/>
      </c>
      <c r="CJ232" s="2">
        <f>ISERROR($B$232)*1+ISERROR($D$232)*1+ISERROR($E$232)*1+ISERROR($F$232)*1</f>
        <v/>
      </c>
    </row>
    <row r="233" ht="48" customHeight="1">
      <c r="A233" s="43">
        <f>IF(LEN($N$16)&gt;0,$N$16,"6 · (vazio)")</f>
        <v/>
      </c>
      <c r="B233" s="29" t="n"/>
      <c r="C233" s="17" t="n"/>
      <c r="D233" s="37" t="n"/>
      <c r="E233" s="37" t="n"/>
      <c r="F233" s="29" t="n"/>
      <c r="G233" s="17" t="n"/>
      <c r="H233" s="10">
        <f>IF(NOT(ISNUMBER($R$233)),"",IF(IF(ISNUMBER($CC$233),$CC$233=0,FALSE),"EXPIRADA (0 turnos): já não vale; apague a condição",IF($W$233&gt;0,"Dano Contínuo: "&amp;MIN(INT($W$233*$Q$233/100),$X$233*$P$233)&amp;" por turno",IF($S$233&gt;0,IF($AA$233="Sim","Dano Contínuo: ","Dano: ")&amp;IF($U$233="Sim",$AB$233*$S$233,$S$233)&amp;"d"&amp;$T$233&amp;IF($V$233="Sim"," + "&amp;$P$233,"")&amp;" · média "&amp;(INT(IF($U$233="Sim",$AB$233*$S$233,$S$233)*($T$233+1)/2)+IF($V$233="Sim",$P$233,0)),$AC$233))&amp;IF($Y$233&gt;0,"; Atrasa "&amp;$Y$233&amp;" casa(s): some em Atraso deste Ciclo do alvo (C8)","")))</f>
        <v/>
      </c>
      <c r="K233" s="27">
        <f>IF(CJ233&gt;0,"O Google leu como fórmula: escolha de novo ou digite com ' na frente.",IF(LEN($CA$233)=0,"",IF(LEN($N$16)=0,"Combatente vazio: a condição não conta",IF(NOT(ISNUMBER($R$233)),"Condição fora do capítulo 21",IF($CA$233="Congelado","Congelado só em inimigo (21.2)",IF(IF(ISNUMBER($CC$233),$CC$233=0,FALSE),"Expirou: os turnos chegaram a 0 e ela saiu do painel",IF(AND(ISNUMBER($CD$233),$CD$233&gt;$Z$233),"Acima do teto de "&amp;$Z$233&amp;" acúmulo(s) (21.5): usando o teto",IF($AA$233="Sim","Dano Contínuo: início do turno do alvo; ignora RD, não crita, sem dados de Fraqueza (20.6)",""))))))))</f>
        <v/>
      </c>
      <c r="N233" s="2">
        <f>IF(LEN($N$16)=0,"",6)</f>
        <v/>
      </c>
      <c r="O233" s="2">
        <f>IF(LEN($CE$233)=0,"",IFERROR(MATCH($CE$233,$N$11:$N$32,0),""))</f>
        <v/>
      </c>
      <c r="P233" s="2">
        <f>IF(ISNUMBER($O$233),INDEX($AS$11:$AS$32,$O$233),'Campanha'!$B$20)</f>
        <v/>
      </c>
      <c r="Q233" s="2">
        <f>IF(ISNUMBER($N$233),$AQ$16,0)</f>
        <v/>
      </c>
      <c r="R233" s="2">
        <f>IF(LEN($CA$233)=0,"",IFERROR(MATCH($CA$233,'Dados'!$A$324:$A$339,0),""))</f>
        <v/>
      </c>
      <c r="S233" s="2">
        <f>IF(ISNUMBER($R$233),INDEX('Dados'!$F$324:$F$339,$R$233),"")</f>
        <v/>
      </c>
      <c r="T233" s="2">
        <f>IF(ISNUMBER($R$233),INDEX('Dados'!$G$324:$G$339,$R$233),"")</f>
        <v/>
      </c>
      <c r="U233" s="2">
        <f>IF(ISNUMBER($R$233),INDEX('Dados'!$H$324:$H$339,$R$233),"")</f>
        <v/>
      </c>
      <c r="V233" s="2">
        <f>IF(ISNUMBER($R$233),INDEX('Dados'!$I$324:$I$339,$R$233),"")</f>
        <v/>
      </c>
      <c r="W233" s="2">
        <f>IF(ISNUMBER($R$233),INDEX('Dados'!$J$324:$J$339,$R$233),"")</f>
        <v/>
      </c>
      <c r="X233" s="2">
        <f>IF(ISNUMBER($R$233),INDEX('Dados'!$K$324:$K$339,$R$233),"")</f>
        <v/>
      </c>
      <c r="Y233" s="2">
        <f>IF(ISNUMBER($R$233),INDEX('Dados'!$L$324:$L$339,$R$233),"")</f>
        <v/>
      </c>
      <c r="Z233" s="2">
        <f>IF(ISNUMBER($R$233),INDEX('Dados'!$M$324:$M$339,$R$233),"")</f>
        <v/>
      </c>
      <c r="AA233" s="2">
        <f>IF(ISNUMBER($R$233),INDEX('Dados'!$N$324:$N$339,$R$233),"")</f>
        <v/>
      </c>
      <c r="AB233" s="2">
        <f>IF(ISNUMBER($CD$233),MIN($Z$233,MAX(1,INT($CD$233))),1)</f>
        <v/>
      </c>
      <c r="AC233" s="2">
        <f>IF(ISNUMBER($R$233),INDEX('Dados'!$B$324:$B$339,$R$233),"")</f>
        <v/>
      </c>
      <c r="AD233" s="2">
        <f>IF(AND(ISNUMBER($R$233),LEN($N$16)&gt;0,$Q$16=1,NOT(IF(ISNUMBER($CC$233),$CC$233=0,FALSE))),1,0)</f>
        <v/>
      </c>
      <c r="AE233" s="2">
        <f>IF($AD$233=1,24,"")</f>
        <v/>
      </c>
      <c r="AF233" s="2">
        <f>IF(ISNUMBER($R$233),INDEX('Dados'!$C$324:$C$339,$R$233),"")</f>
        <v/>
      </c>
      <c r="AG233" s="2">
        <f>IF($AD$233=0,"",$AC$233&amp;IF($H$233&lt;&gt;$AC$233," · Agora: "&amp;$H$233,"")&amp;" (duração: "&amp;$AF$233&amp;")")</f>
        <v/>
      </c>
      <c r="AH233" s="2">
        <f>IF(AND(ISNUMBER($R$233),LEN($N$16)&gt;0),IF(IF(ISNUMBER($CC$233),$CC$233=0,FALSE),1,0),0)</f>
        <v/>
      </c>
      <c r="CA233" s="2">
        <f>IF(ISERROR($B$233),"",IF(ISBLANK($B$233),"",$B$233))</f>
        <v/>
      </c>
      <c r="CC233" s="2">
        <f>IF(ISERROR($D$233),"",IF(ISBLANK($D$233),"",$D$233))</f>
        <v/>
      </c>
      <c r="CD233" s="2">
        <f>IF(ISERROR($E$233),"",IF(ISBLANK($E$233),"",$E$233))</f>
        <v/>
      </c>
      <c r="CE233" s="2">
        <f>IF(ISERROR($F$233),"",IF(ISBLANK($F$233),"",$F$233))</f>
        <v/>
      </c>
      <c r="CJ233" s="2">
        <f>ISERROR($B$233)*1+ISERROR($D$233)*1+ISERROR($E$233)*1+ISERROR($F$233)*1</f>
        <v/>
      </c>
    </row>
    <row r="234" ht="26" customHeight="1">
      <c r="A234" s="8" t="inlineStr">
        <is>
          <t>Combatente</t>
        </is>
      </c>
      <c r="B234" s="8" t="inlineStr">
        <is>
          <t>Condição</t>
        </is>
      </c>
      <c r="C234" s="20" t="n"/>
      <c r="D234" s="8" t="inlineStr">
        <is>
          <t>Turnos restantes</t>
        </is>
      </c>
      <c r="E234" s="8" t="inlineStr">
        <is>
          <t>Acúmulos</t>
        </is>
      </c>
      <c r="F234" s="8" t="inlineStr">
        <is>
          <t>Quem aplicou</t>
        </is>
      </c>
      <c r="G234" s="20" t="n"/>
      <c r="H234" s="8" t="inlineStr">
        <is>
          <t>Efeito e dano</t>
        </is>
      </c>
      <c r="I234" s="20" t="n"/>
      <c r="J234" s="20" t="n"/>
      <c r="K234" s="8" t="inlineStr">
        <is>
          <t>Aviso</t>
        </is>
      </c>
      <c r="L234" s="20" t="n"/>
      <c r="CA234" s="2">
        <f>IF(ISERROR($B$234),"",IF(ISBLANK($B$234),"",$B$234))</f>
        <v/>
      </c>
      <c r="CC234" s="2">
        <f>IF(ISERROR($D$234),"",IF(ISBLANK($D$234),"",$D$234))</f>
        <v/>
      </c>
      <c r="CE234" s="2">
        <f>IF(ISERROR($F$234),"",IF(ISBLANK($F$234),"",$F$234))</f>
        <v/>
      </c>
    </row>
    <row r="235" ht="48" customHeight="1">
      <c r="A235" s="31">
        <f>IF(LEN($N$17)&gt;0,$N$17,"7 · (vazio)")</f>
        <v/>
      </c>
      <c r="B235" s="4" t="n"/>
      <c r="C235" s="17" t="n"/>
      <c r="D235" s="16" t="n"/>
      <c r="E235" s="16" t="n"/>
      <c r="F235" s="4" t="n"/>
      <c r="G235" s="17" t="n"/>
      <c r="H235" s="5">
        <f>IF(NOT(ISNUMBER($R$235)),"",IF(IF(ISNUMBER($CC$235),$CC$235=0,FALSE),"EXPIRADA (0 turnos): já não vale; apague a condição",IF($W$235&gt;0,"Dano Contínuo: "&amp;MIN(INT($W$235*$Q$235/100),$X$235*$P$235)&amp;" por turno",IF($S$235&gt;0,IF($AA$235="Sim","Dano Contínuo: ","Dano: ")&amp;IF($U$235="Sim",$AB$235*$S$235,$S$235)&amp;"d"&amp;$T$235&amp;IF($V$235="Sim"," + "&amp;$P$235,"")&amp;" · média "&amp;(INT(IF($U$235="Sim",$AB$235*$S$235,$S$235)*($T$235+1)/2)+IF($V$235="Sim",$P$235,0)),$AC$235))&amp;IF($Y$235&gt;0,"; Atrasa "&amp;$Y$235&amp;" casa(s): some em Atraso deste Ciclo do alvo (C8)","")))</f>
        <v/>
      </c>
      <c r="K235" s="19">
        <f>IF(CJ235&gt;0,"O Google leu como fórmula: escolha de novo ou digite com ' na frente.",IF(LEN($CA$235)=0,"",IF(LEN($N$17)=0,"Combatente vazio: a condição não conta",IF(NOT(ISNUMBER($R$235)),"Condição fora do capítulo 21",IF(FALSE,"",IF(IF(ISNUMBER($CC$235),$CC$235=0,FALSE),"Expirou: os turnos chegaram a 0 e ela saiu do painel",IF(AND(ISNUMBER($CD$235),$CD$235&gt;$Z$235),"Acima do teto de "&amp;$Z$235&amp;" acúmulo(s) (21.5): usando o teto",IF($AA$235="Sim","Dano Contínuo: início do turno do alvo; ignora RD, não crita, sem dados de Fraqueza (20.6)",""))))))))</f>
        <v/>
      </c>
      <c r="N235" s="2">
        <f>IF(LEN($N$17)=0,"",7)</f>
        <v/>
      </c>
      <c r="O235" s="2">
        <f>IF(LEN($CE$235)=0,"",IFERROR(MATCH($CE$235,$N$11:$N$32,0),""))</f>
        <v/>
      </c>
      <c r="P235" s="2">
        <f>IF(ISNUMBER($O$235),INDEX($AS$11:$AS$32,$O$235),'Campanha'!$B$20)</f>
        <v/>
      </c>
      <c r="Q235" s="2">
        <f>IF(ISNUMBER($N$235),$AQ$17,0)</f>
        <v/>
      </c>
      <c r="R235" s="2">
        <f>IF(LEN($CA$235)=0,"",IFERROR(MATCH($CA$235,'Dados'!$A$324:$A$339,0),""))</f>
        <v/>
      </c>
      <c r="S235" s="2">
        <f>IF(ISNUMBER($R$235),INDEX('Dados'!$F$324:$F$339,$R$235),"")</f>
        <v/>
      </c>
      <c r="T235" s="2">
        <f>IF(ISNUMBER($R$235),INDEX('Dados'!$G$324:$G$339,$R$235),"")</f>
        <v/>
      </c>
      <c r="U235" s="2">
        <f>IF(ISNUMBER($R$235),INDEX('Dados'!$H$324:$H$339,$R$235),"")</f>
        <v/>
      </c>
      <c r="V235" s="2">
        <f>IF(ISNUMBER($R$235),INDEX('Dados'!$I$324:$I$339,$R$235),"")</f>
        <v/>
      </c>
      <c r="W235" s="2">
        <f>IF(ISNUMBER($R$235),INDEX('Dados'!$J$324:$J$339,$R$235),"")</f>
        <v/>
      </c>
      <c r="X235" s="2">
        <f>IF(ISNUMBER($R$235),INDEX('Dados'!$K$324:$K$339,$R$235),"")</f>
        <v/>
      </c>
      <c r="Y235" s="2">
        <f>IF(ISNUMBER($R$235),INDEX('Dados'!$L$324:$L$339,$R$235),"")</f>
        <v/>
      </c>
      <c r="Z235" s="2">
        <f>IF(ISNUMBER($R$235),INDEX('Dados'!$M$324:$M$339,$R$235),"")</f>
        <v/>
      </c>
      <c r="AA235" s="2">
        <f>IF(ISNUMBER($R$235),INDEX('Dados'!$N$324:$N$339,$R$235),"")</f>
        <v/>
      </c>
      <c r="AB235" s="2">
        <f>IF(ISNUMBER($CD$235),MIN($Z$235,MAX(1,INT($CD$235))),1)</f>
        <v/>
      </c>
      <c r="AC235" s="2">
        <f>IF(ISNUMBER($R$235),INDEX('Dados'!$B$324:$B$339,$R$235),"")</f>
        <v/>
      </c>
      <c r="AD235" s="2">
        <f>IF(AND(ISNUMBER($R$235),LEN($N$17)&gt;0,$Q$17=1,NOT(IF(ISNUMBER($CC$235),$CC$235=0,FALSE))),1,0)</f>
        <v/>
      </c>
      <c r="AE235" s="2">
        <f>IF($AD$235=1,25,"")</f>
        <v/>
      </c>
      <c r="AF235" s="2">
        <f>IF(ISNUMBER($R$235),INDEX('Dados'!$C$324:$C$339,$R$235),"")</f>
        <v/>
      </c>
      <c r="AG235" s="2">
        <f>IF($AD$235=0,"",$AC$235&amp;IF($H$235&lt;&gt;$AC$235," · Agora: "&amp;$H$235,"")&amp;" (duração: "&amp;$AF$235&amp;")")</f>
        <v/>
      </c>
      <c r="AH235" s="2">
        <f>IF(AND(ISNUMBER($R$235),LEN($N$17)&gt;0),IF(IF(ISNUMBER($CC$235),$CC$235=0,FALSE),1,0),0)</f>
        <v/>
      </c>
      <c r="CA235" s="2">
        <f>IF(ISERROR($B$235),"",IF(ISBLANK($B$235),"",$B$235))</f>
        <v/>
      </c>
      <c r="CC235" s="2">
        <f>IF(ISERROR($D$235),"",IF(ISBLANK($D$235),"",$D$235))</f>
        <v/>
      </c>
      <c r="CD235" s="2">
        <f>IF(ISERROR($E$235),"",IF(ISBLANK($E$235),"",$E$235))</f>
        <v/>
      </c>
      <c r="CE235" s="2">
        <f>IF(ISERROR($F$235),"",IF(ISBLANK($F$235),"",$F$235))</f>
        <v/>
      </c>
      <c r="CJ235" s="2">
        <f>ISERROR($B$235)*1+ISERROR($D$235)*1+ISERROR($E$235)*1+ISERROR($F$235)*1</f>
        <v/>
      </c>
    </row>
    <row r="236" ht="48" customHeight="1">
      <c r="A236" s="43">
        <f>IF(LEN($N$17)&gt;0,$N$17,"7 · (vazio)")</f>
        <v/>
      </c>
      <c r="B236" s="29" t="n"/>
      <c r="C236" s="17" t="n"/>
      <c r="D236" s="37" t="n"/>
      <c r="E236" s="37" t="n"/>
      <c r="F236" s="29" t="n"/>
      <c r="G236" s="17" t="n"/>
      <c r="H236" s="10">
        <f>IF(NOT(ISNUMBER($R$236)),"",IF(IF(ISNUMBER($CC$236),$CC$236=0,FALSE),"EXPIRADA (0 turnos): já não vale; apague a condição",IF($W$236&gt;0,"Dano Contínuo: "&amp;MIN(INT($W$236*$Q$236/100),$X$236*$P$236)&amp;" por turno",IF($S$236&gt;0,IF($AA$236="Sim","Dano Contínuo: ","Dano: ")&amp;IF($U$236="Sim",$AB$236*$S$236,$S$236)&amp;"d"&amp;$T$236&amp;IF($V$236="Sim"," + "&amp;$P$236,"")&amp;" · média "&amp;(INT(IF($U$236="Sim",$AB$236*$S$236,$S$236)*($T$236+1)/2)+IF($V$236="Sim",$P$236,0)),$AC$236))&amp;IF($Y$236&gt;0,"; Atrasa "&amp;$Y$236&amp;" casa(s): some em Atraso deste Ciclo do alvo (C8)","")))</f>
        <v/>
      </c>
      <c r="K236" s="27">
        <f>IF(CJ236&gt;0,"O Google leu como fórmula: escolha de novo ou digite com ' na frente.",IF(LEN($CA$236)=0,"",IF(LEN($N$17)=0,"Combatente vazio: a condição não conta",IF(NOT(ISNUMBER($R$236)),"Condição fora do capítulo 21",IF(FALSE,"",IF(IF(ISNUMBER($CC$236),$CC$236=0,FALSE),"Expirou: os turnos chegaram a 0 e ela saiu do painel",IF(AND(ISNUMBER($CD$236),$CD$236&gt;$Z$236),"Acima do teto de "&amp;$Z$236&amp;" acúmulo(s) (21.5): usando o teto",IF($AA$236="Sim","Dano Contínuo: início do turno do alvo; ignora RD, não crita, sem dados de Fraqueza (20.6)",""))))))))</f>
        <v/>
      </c>
      <c r="N236" s="2">
        <f>IF(LEN($N$17)=0,"",7)</f>
        <v/>
      </c>
      <c r="O236" s="2">
        <f>IF(LEN($CE$236)=0,"",IFERROR(MATCH($CE$236,$N$11:$N$32,0),""))</f>
        <v/>
      </c>
      <c r="P236" s="2">
        <f>IF(ISNUMBER($O$236),INDEX($AS$11:$AS$32,$O$236),'Campanha'!$B$20)</f>
        <v/>
      </c>
      <c r="Q236" s="2">
        <f>IF(ISNUMBER($N$236),$AQ$17,0)</f>
        <v/>
      </c>
      <c r="R236" s="2">
        <f>IF(LEN($CA$236)=0,"",IFERROR(MATCH($CA$236,'Dados'!$A$324:$A$339,0),""))</f>
        <v/>
      </c>
      <c r="S236" s="2">
        <f>IF(ISNUMBER($R$236),INDEX('Dados'!$F$324:$F$339,$R$236),"")</f>
        <v/>
      </c>
      <c r="T236" s="2">
        <f>IF(ISNUMBER($R$236),INDEX('Dados'!$G$324:$G$339,$R$236),"")</f>
        <v/>
      </c>
      <c r="U236" s="2">
        <f>IF(ISNUMBER($R$236),INDEX('Dados'!$H$324:$H$339,$R$236),"")</f>
        <v/>
      </c>
      <c r="V236" s="2">
        <f>IF(ISNUMBER($R$236),INDEX('Dados'!$I$324:$I$339,$R$236),"")</f>
        <v/>
      </c>
      <c r="W236" s="2">
        <f>IF(ISNUMBER($R$236),INDEX('Dados'!$J$324:$J$339,$R$236),"")</f>
        <v/>
      </c>
      <c r="X236" s="2">
        <f>IF(ISNUMBER($R$236),INDEX('Dados'!$K$324:$K$339,$R$236),"")</f>
        <v/>
      </c>
      <c r="Y236" s="2">
        <f>IF(ISNUMBER($R$236),INDEX('Dados'!$L$324:$L$339,$R$236),"")</f>
        <v/>
      </c>
      <c r="Z236" s="2">
        <f>IF(ISNUMBER($R$236),INDEX('Dados'!$M$324:$M$339,$R$236),"")</f>
        <v/>
      </c>
      <c r="AA236" s="2">
        <f>IF(ISNUMBER($R$236),INDEX('Dados'!$N$324:$N$339,$R$236),"")</f>
        <v/>
      </c>
      <c r="AB236" s="2">
        <f>IF(ISNUMBER($CD$236),MIN($Z$236,MAX(1,INT($CD$236))),1)</f>
        <v/>
      </c>
      <c r="AC236" s="2">
        <f>IF(ISNUMBER($R$236),INDEX('Dados'!$B$324:$B$339,$R$236),"")</f>
        <v/>
      </c>
      <c r="AD236" s="2">
        <f>IF(AND(ISNUMBER($R$236),LEN($N$17)&gt;0,$Q$17=1,NOT(IF(ISNUMBER($CC$236),$CC$236=0,FALSE))),1,0)</f>
        <v/>
      </c>
      <c r="AE236" s="2">
        <f>IF($AD$236=1,26,"")</f>
        <v/>
      </c>
      <c r="AF236" s="2">
        <f>IF(ISNUMBER($R$236),INDEX('Dados'!$C$324:$C$339,$R$236),"")</f>
        <v/>
      </c>
      <c r="AG236" s="2">
        <f>IF($AD$236=0,"",$AC$236&amp;IF($H$236&lt;&gt;$AC$236," · Agora: "&amp;$H$236,"")&amp;" (duração: "&amp;$AF$236&amp;")")</f>
        <v/>
      </c>
      <c r="AH236" s="2">
        <f>IF(AND(ISNUMBER($R$236),LEN($N$17)&gt;0),IF(IF(ISNUMBER($CC$236),$CC$236=0,FALSE),1,0),0)</f>
        <v/>
      </c>
      <c r="CA236" s="2">
        <f>IF(ISERROR($B$236),"",IF(ISBLANK($B$236),"",$B$236))</f>
        <v/>
      </c>
      <c r="CC236" s="2">
        <f>IF(ISERROR($D$236),"",IF(ISBLANK($D$236),"",$D$236))</f>
        <v/>
      </c>
      <c r="CD236" s="2">
        <f>IF(ISERROR($E$236),"",IF(ISBLANK($E$236),"",$E$236))</f>
        <v/>
      </c>
      <c r="CE236" s="2">
        <f>IF(ISERROR($F$236),"",IF(ISBLANK($F$236),"",$F$236))</f>
        <v/>
      </c>
      <c r="CJ236" s="2">
        <f>ISERROR($B$236)*1+ISERROR($D$236)*1+ISERROR($E$236)*1+ISERROR($F$236)*1</f>
        <v/>
      </c>
    </row>
    <row r="237" ht="48" customHeight="1">
      <c r="A237" s="31">
        <f>IF(LEN($N$17)&gt;0,$N$17,"7 · (vazio)")</f>
        <v/>
      </c>
      <c r="B237" s="4" t="n"/>
      <c r="C237" s="17" t="n"/>
      <c r="D237" s="16" t="n"/>
      <c r="E237" s="16" t="n"/>
      <c r="F237" s="4" t="n"/>
      <c r="G237" s="17" t="n"/>
      <c r="H237" s="5">
        <f>IF(NOT(ISNUMBER($R$237)),"",IF(IF(ISNUMBER($CC$237),$CC$237=0,FALSE),"EXPIRADA (0 turnos): já não vale; apague a condição",IF($W$237&gt;0,"Dano Contínuo: "&amp;MIN(INT($W$237*$Q$237/100),$X$237*$P$237)&amp;" por turno",IF($S$237&gt;0,IF($AA$237="Sim","Dano Contínuo: ","Dano: ")&amp;IF($U$237="Sim",$AB$237*$S$237,$S$237)&amp;"d"&amp;$T$237&amp;IF($V$237="Sim"," + "&amp;$P$237,"")&amp;" · média "&amp;(INT(IF($U$237="Sim",$AB$237*$S$237,$S$237)*($T$237+1)/2)+IF($V$237="Sim",$P$237,0)),$AC$237))&amp;IF($Y$237&gt;0,"; Atrasa "&amp;$Y$237&amp;" casa(s): some em Atraso deste Ciclo do alvo (C8)","")))</f>
        <v/>
      </c>
      <c r="K237" s="19">
        <f>IF(CJ237&gt;0,"O Google leu como fórmula: escolha de novo ou digite com ' na frente.",IF(LEN($CA$237)=0,"",IF(LEN($N$17)=0,"Combatente vazio: a condição não conta",IF(NOT(ISNUMBER($R$237)),"Condição fora do capítulo 21",IF(FALSE,"",IF(IF(ISNUMBER($CC$237),$CC$237=0,FALSE),"Expirou: os turnos chegaram a 0 e ela saiu do painel",IF(AND(ISNUMBER($CD$237),$CD$237&gt;$Z$237),"Acima do teto de "&amp;$Z$237&amp;" acúmulo(s) (21.5): usando o teto",IF($AA$237="Sim","Dano Contínuo: início do turno do alvo; ignora RD, não crita, sem dados de Fraqueza (20.6)",""))))))))</f>
        <v/>
      </c>
      <c r="N237" s="2">
        <f>IF(LEN($N$17)=0,"",7)</f>
        <v/>
      </c>
      <c r="O237" s="2">
        <f>IF(LEN($CE$237)=0,"",IFERROR(MATCH($CE$237,$N$11:$N$32,0),""))</f>
        <v/>
      </c>
      <c r="P237" s="2">
        <f>IF(ISNUMBER($O$237),INDEX($AS$11:$AS$32,$O$237),'Campanha'!$B$20)</f>
        <v/>
      </c>
      <c r="Q237" s="2">
        <f>IF(ISNUMBER($N$237),$AQ$17,0)</f>
        <v/>
      </c>
      <c r="R237" s="2">
        <f>IF(LEN($CA$237)=0,"",IFERROR(MATCH($CA$237,'Dados'!$A$324:$A$339,0),""))</f>
        <v/>
      </c>
      <c r="S237" s="2">
        <f>IF(ISNUMBER($R$237),INDEX('Dados'!$F$324:$F$339,$R$237),"")</f>
        <v/>
      </c>
      <c r="T237" s="2">
        <f>IF(ISNUMBER($R$237),INDEX('Dados'!$G$324:$G$339,$R$237),"")</f>
        <v/>
      </c>
      <c r="U237" s="2">
        <f>IF(ISNUMBER($R$237),INDEX('Dados'!$H$324:$H$339,$R$237),"")</f>
        <v/>
      </c>
      <c r="V237" s="2">
        <f>IF(ISNUMBER($R$237),INDEX('Dados'!$I$324:$I$339,$R$237),"")</f>
        <v/>
      </c>
      <c r="W237" s="2">
        <f>IF(ISNUMBER($R$237),INDEX('Dados'!$J$324:$J$339,$R$237),"")</f>
        <v/>
      </c>
      <c r="X237" s="2">
        <f>IF(ISNUMBER($R$237),INDEX('Dados'!$K$324:$K$339,$R$237),"")</f>
        <v/>
      </c>
      <c r="Y237" s="2">
        <f>IF(ISNUMBER($R$237),INDEX('Dados'!$L$324:$L$339,$R$237),"")</f>
        <v/>
      </c>
      <c r="Z237" s="2">
        <f>IF(ISNUMBER($R$237),INDEX('Dados'!$M$324:$M$339,$R$237),"")</f>
        <v/>
      </c>
      <c r="AA237" s="2">
        <f>IF(ISNUMBER($R$237),INDEX('Dados'!$N$324:$N$339,$R$237),"")</f>
        <v/>
      </c>
      <c r="AB237" s="2">
        <f>IF(ISNUMBER($CD$237),MIN($Z$237,MAX(1,INT($CD$237))),1)</f>
        <v/>
      </c>
      <c r="AC237" s="2">
        <f>IF(ISNUMBER($R$237),INDEX('Dados'!$B$324:$B$339,$R$237),"")</f>
        <v/>
      </c>
      <c r="AD237" s="2">
        <f>IF(AND(ISNUMBER($R$237),LEN($N$17)&gt;0,$Q$17=1,NOT(IF(ISNUMBER($CC$237),$CC$237=0,FALSE))),1,0)</f>
        <v/>
      </c>
      <c r="AE237" s="2">
        <f>IF($AD$237=1,27,"")</f>
        <v/>
      </c>
      <c r="AF237" s="2">
        <f>IF(ISNUMBER($R$237),INDEX('Dados'!$C$324:$C$339,$R$237),"")</f>
        <v/>
      </c>
      <c r="AG237" s="2">
        <f>IF($AD$237=0,"",$AC$237&amp;IF($H$237&lt;&gt;$AC$237," · Agora: "&amp;$H$237,"")&amp;" (duração: "&amp;$AF$237&amp;")")</f>
        <v/>
      </c>
      <c r="AH237" s="2">
        <f>IF(AND(ISNUMBER($R$237),LEN($N$17)&gt;0),IF(IF(ISNUMBER($CC$237),$CC$237=0,FALSE),1,0),0)</f>
        <v/>
      </c>
      <c r="CA237" s="2">
        <f>IF(ISERROR($B$237),"",IF(ISBLANK($B$237),"",$B$237))</f>
        <v/>
      </c>
      <c r="CC237" s="2">
        <f>IF(ISERROR($D$237),"",IF(ISBLANK($D$237),"",$D$237))</f>
        <v/>
      </c>
      <c r="CD237" s="2">
        <f>IF(ISERROR($E$237),"",IF(ISBLANK($E$237),"",$E$237))</f>
        <v/>
      </c>
      <c r="CE237" s="2">
        <f>IF(ISERROR($F$237),"",IF(ISBLANK($F$237),"",$F$237))</f>
        <v/>
      </c>
      <c r="CJ237" s="2">
        <f>ISERROR($B$237)*1+ISERROR($D$237)*1+ISERROR($E$237)*1+ISERROR($F$237)*1</f>
        <v/>
      </c>
    </row>
    <row r="238" ht="48" customHeight="1">
      <c r="A238" s="43">
        <f>IF(LEN($N$17)&gt;0,$N$17,"7 · (vazio)")</f>
        <v/>
      </c>
      <c r="B238" s="29" t="n"/>
      <c r="C238" s="17" t="n"/>
      <c r="D238" s="37" t="n"/>
      <c r="E238" s="37" t="n"/>
      <c r="F238" s="29" t="n"/>
      <c r="G238" s="17" t="n"/>
      <c r="H238" s="10">
        <f>IF(NOT(ISNUMBER($R$238)),"",IF(IF(ISNUMBER($CC$238),$CC$238=0,FALSE),"EXPIRADA (0 turnos): já não vale; apague a condição",IF($W$238&gt;0,"Dano Contínuo: "&amp;MIN(INT($W$238*$Q$238/100),$X$238*$P$238)&amp;" por turno",IF($S$238&gt;0,IF($AA$238="Sim","Dano Contínuo: ","Dano: ")&amp;IF($U$238="Sim",$AB$238*$S$238,$S$238)&amp;"d"&amp;$T$238&amp;IF($V$238="Sim"," + "&amp;$P$238,"")&amp;" · média "&amp;(INT(IF($U$238="Sim",$AB$238*$S$238,$S$238)*($T$238+1)/2)+IF($V$238="Sim",$P$238,0)),$AC$238))&amp;IF($Y$238&gt;0,"; Atrasa "&amp;$Y$238&amp;" casa(s): some em Atraso deste Ciclo do alvo (C8)","")))</f>
        <v/>
      </c>
      <c r="K238" s="27">
        <f>IF(CJ238&gt;0,"O Google leu como fórmula: escolha de novo ou digite com ' na frente.",IF(LEN($CA$238)=0,"",IF(LEN($N$17)=0,"Combatente vazio: a condição não conta",IF(NOT(ISNUMBER($R$238)),"Condição fora do capítulo 21",IF(FALSE,"",IF(IF(ISNUMBER($CC$238),$CC$238=0,FALSE),"Expirou: os turnos chegaram a 0 e ela saiu do painel",IF(AND(ISNUMBER($CD$238),$CD$238&gt;$Z$238),"Acima do teto de "&amp;$Z$238&amp;" acúmulo(s) (21.5): usando o teto",IF($AA$238="Sim","Dano Contínuo: início do turno do alvo; ignora RD, não crita, sem dados de Fraqueza (20.6)",""))))))))</f>
        <v/>
      </c>
      <c r="N238" s="2">
        <f>IF(LEN($N$17)=0,"",7)</f>
        <v/>
      </c>
      <c r="O238" s="2">
        <f>IF(LEN($CE$238)=0,"",IFERROR(MATCH($CE$238,$N$11:$N$32,0),""))</f>
        <v/>
      </c>
      <c r="P238" s="2">
        <f>IF(ISNUMBER($O$238),INDEX($AS$11:$AS$32,$O$238),'Campanha'!$B$20)</f>
        <v/>
      </c>
      <c r="Q238" s="2">
        <f>IF(ISNUMBER($N$238),$AQ$17,0)</f>
        <v/>
      </c>
      <c r="R238" s="2">
        <f>IF(LEN($CA$238)=0,"",IFERROR(MATCH($CA$238,'Dados'!$A$324:$A$339,0),""))</f>
        <v/>
      </c>
      <c r="S238" s="2">
        <f>IF(ISNUMBER($R$238),INDEX('Dados'!$F$324:$F$339,$R$238),"")</f>
        <v/>
      </c>
      <c r="T238" s="2">
        <f>IF(ISNUMBER($R$238),INDEX('Dados'!$G$324:$G$339,$R$238),"")</f>
        <v/>
      </c>
      <c r="U238" s="2">
        <f>IF(ISNUMBER($R$238),INDEX('Dados'!$H$324:$H$339,$R$238),"")</f>
        <v/>
      </c>
      <c r="V238" s="2">
        <f>IF(ISNUMBER($R$238),INDEX('Dados'!$I$324:$I$339,$R$238),"")</f>
        <v/>
      </c>
      <c r="W238" s="2">
        <f>IF(ISNUMBER($R$238),INDEX('Dados'!$J$324:$J$339,$R$238),"")</f>
        <v/>
      </c>
      <c r="X238" s="2">
        <f>IF(ISNUMBER($R$238),INDEX('Dados'!$K$324:$K$339,$R$238),"")</f>
        <v/>
      </c>
      <c r="Y238" s="2">
        <f>IF(ISNUMBER($R$238),INDEX('Dados'!$L$324:$L$339,$R$238),"")</f>
        <v/>
      </c>
      <c r="Z238" s="2">
        <f>IF(ISNUMBER($R$238),INDEX('Dados'!$M$324:$M$339,$R$238),"")</f>
        <v/>
      </c>
      <c r="AA238" s="2">
        <f>IF(ISNUMBER($R$238),INDEX('Dados'!$N$324:$N$339,$R$238),"")</f>
        <v/>
      </c>
      <c r="AB238" s="2">
        <f>IF(ISNUMBER($CD$238),MIN($Z$238,MAX(1,INT($CD$238))),1)</f>
        <v/>
      </c>
      <c r="AC238" s="2">
        <f>IF(ISNUMBER($R$238),INDEX('Dados'!$B$324:$B$339,$R$238),"")</f>
        <v/>
      </c>
      <c r="AD238" s="2">
        <f>IF(AND(ISNUMBER($R$238),LEN($N$17)&gt;0,$Q$17=1,NOT(IF(ISNUMBER($CC$238),$CC$238=0,FALSE))),1,0)</f>
        <v/>
      </c>
      <c r="AE238" s="2">
        <f>IF($AD$238=1,28,"")</f>
        <v/>
      </c>
      <c r="AF238" s="2">
        <f>IF(ISNUMBER($R$238),INDEX('Dados'!$C$324:$C$339,$R$238),"")</f>
        <v/>
      </c>
      <c r="AG238" s="2">
        <f>IF($AD$238=0,"",$AC$238&amp;IF($H$238&lt;&gt;$AC$238," · Agora: "&amp;$H$238,"")&amp;" (duração: "&amp;$AF$238&amp;")")</f>
        <v/>
      </c>
      <c r="AH238" s="2">
        <f>IF(AND(ISNUMBER($R$238),LEN($N$17)&gt;0),IF(IF(ISNUMBER($CC$238),$CC$238=0,FALSE),1,0),0)</f>
        <v/>
      </c>
      <c r="CA238" s="2">
        <f>IF(ISERROR($B$238),"",IF(ISBLANK($B$238),"",$B$238))</f>
        <v/>
      </c>
      <c r="CC238" s="2">
        <f>IF(ISERROR($D$238),"",IF(ISBLANK($D$238),"",$D$238))</f>
        <v/>
      </c>
      <c r="CD238" s="2">
        <f>IF(ISERROR($E$238),"",IF(ISBLANK($E$238),"",$E$238))</f>
        <v/>
      </c>
      <c r="CE238" s="2">
        <f>IF(ISERROR($F$238),"",IF(ISBLANK($F$238),"",$F$238))</f>
        <v/>
      </c>
      <c r="CJ238" s="2">
        <f>ISERROR($B$238)*1+ISERROR($D$238)*1+ISERROR($E$238)*1+ISERROR($F$238)*1</f>
        <v/>
      </c>
    </row>
    <row r="239" ht="48" customHeight="1">
      <c r="A239" s="31">
        <f>IF(LEN($N$18)&gt;0,$N$18,"8 · (vazio)")</f>
        <v/>
      </c>
      <c r="B239" s="4" t="n"/>
      <c r="C239" s="17" t="n"/>
      <c r="D239" s="16" t="n"/>
      <c r="E239" s="16" t="n"/>
      <c r="F239" s="4" t="n"/>
      <c r="G239" s="17" t="n"/>
      <c r="H239" s="5">
        <f>IF(NOT(ISNUMBER($R$239)),"",IF(IF(ISNUMBER($CC$239),$CC$239=0,FALSE),"EXPIRADA (0 turnos): já não vale; apague a condição",IF($W$239&gt;0,"Dano Contínuo: "&amp;MIN(INT($W$239*$Q$239/100),$X$239*$P$239)&amp;" por turno",IF($S$239&gt;0,IF($AA$239="Sim","Dano Contínuo: ","Dano: ")&amp;IF($U$239="Sim",$AB$239*$S$239,$S$239)&amp;"d"&amp;$T$239&amp;IF($V$239="Sim"," + "&amp;$P$239,"")&amp;" · média "&amp;(INT(IF($U$239="Sim",$AB$239*$S$239,$S$239)*($T$239+1)/2)+IF($V$239="Sim",$P$239,0)),$AC$239))&amp;IF($Y$239&gt;0,"; Atrasa "&amp;$Y$239&amp;" casa(s): some em Atraso deste Ciclo do alvo (C8)","")))</f>
        <v/>
      </c>
      <c r="K239" s="19">
        <f>IF(CJ239&gt;0,"O Google leu como fórmula: escolha de novo ou digite com ' na frente.",IF(LEN($CA$239)=0,"",IF(LEN($N$18)=0,"Combatente vazio: a condição não conta",IF(NOT(ISNUMBER($R$239)),"Condição fora do capítulo 21",IF(FALSE,"",IF(IF(ISNUMBER($CC$239),$CC$239=0,FALSE),"Expirou: os turnos chegaram a 0 e ela saiu do painel",IF(AND(ISNUMBER($CD$239),$CD$239&gt;$Z$239),"Acima do teto de "&amp;$Z$239&amp;" acúmulo(s) (21.5): usando o teto",IF($AA$239="Sim","Dano Contínuo: início do turno do alvo; ignora RD, não crita, sem dados de Fraqueza (20.6)",""))))))))</f>
        <v/>
      </c>
      <c r="N239" s="2">
        <f>IF(LEN($N$18)=0,"",8)</f>
        <v/>
      </c>
      <c r="O239" s="2">
        <f>IF(LEN($CE$239)=0,"",IFERROR(MATCH($CE$239,$N$11:$N$32,0),""))</f>
        <v/>
      </c>
      <c r="P239" s="2">
        <f>IF(ISNUMBER($O$239),INDEX($AS$11:$AS$32,$O$239),'Campanha'!$B$20)</f>
        <v/>
      </c>
      <c r="Q239" s="2">
        <f>IF(ISNUMBER($N$239),$AQ$18,0)</f>
        <v/>
      </c>
      <c r="R239" s="2">
        <f>IF(LEN($CA$239)=0,"",IFERROR(MATCH($CA$239,'Dados'!$A$324:$A$339,0),""))</f>
        <v/>
      </c>
      <c r="S239" s="2">
        <f>IF(ISNUMBER($R$239),INDEX('Dados'!$F$324:$F$339,$R$239),"")</f>
        <v/>
      </c>
      <c r="T239" s="2">
        <f>IF(ISNUMBER($R$239),INDEX('Dados'!$G$324:$G$339,$R$239),"")</f>
        <v/>
      </c>
      <c r="U239" s="2">
        <f>IF(ISNUMBER($R$239),INDEX('Dados'!$H$324:$H$339,$R$239),"")</f>
        <v/>
      </c>
      <c r="V239" s="2">
        <f>IF(ISNUMBER($R$239),INDEX('Dados'!$I$324:$I$339,$R$239),"")</f>
        <v/>
      </c>
      <c r="W239" s="2">
        <f>IF(ISNUMBER($R$239),INDEX('Dados'!$J$324:$J$339,$R$239),"")</f>
        <v/>
      </c>
      <c r="X239" s="2">
        <f>IF(ISNUMBER($R$239),INDEX('Dados'!$K$324:$K$339,$R$239),"")</f>
        <v/>
      </c>
      <c r="Y239" s="2">
        <f>IF(ISNUMBER($R$239),INDEX('Dados'!$L$324:$L$339,$R$239),"")</f>
        <v/>
      </c>
      <c r="Z239" s="2">
        <f>IF(ISNUMBER($R$239),INDEX('Dados'!$M$324:$M$339,$R$239),"")</f>
        <v/>
      </c>
      <c r="AA239" s="2">
        <f>IF(ISNUMBER($R$239),INDEX('Dados'!$N$324:$N$339,$R$239),"")</f>
        <v/>
      </c>
      <c r="AB239" s="2">
        <f>IF(ISNUMBER($CD$239),MIN($Z$239,MAX(1,INT($CD$239))),1)</f>
        <v/>
      </c>
      <c r="AC239" s="2">
        <f>IF(ISNUMBER($R$239),INDEX('Dados'!$B$324:$B$339,$R$239),"")</f>
        <v/>
      </c>
      <c r="AD239" s="2">
        <f>IF(AND(ISNUMBER($R$239),LEN($N$18)&gt;0,$Q$18=1,NOT(IF(ISNUMBER($CC$239),$CC$239=0,FALSE))),1,0)</f>
        <v/>
      </c>
      <c r="AE239" s="2">
        <f>IF($AD$239=1,29,"")</f>
        <v/>
      </c>
      <c r="AF239" s="2">
        <f>IF(ISNUMBER($R$239),INDEX('Dados'!$C$324:$C$339,$R$239),"")</f>
        <v/>
      </c>
      <c r="AG239" s="2">
        <f>IF($AD$239=0,"",$AC$239&amp;IF($H$239&lt;&gt;$AC$239," · Agora: "&amp;$H$239,"")&amp;" (duração: "&amp;$AF$239&amp;")")</f>
        <v/>
      </c>
      <c r="AH239" s="2">
        <f>IF(AND(ISNUMBER($R$239),LEN($N$18)&gt;0),IF(IF(ISNUMBER($CC$239),$CC$239=0,FALSE),1,0),0)</f>
        <v/>
      </c>
      <c r="CA239" s="2">
        <f>IF(ISERROR($B$239),"",IF(ISBLANK($B$239),"",$B$239))</f>
        <v/>
      </c>
      <c r="CC239" s="2">
        <f>IF(ISERROR($D$239),"",IF(ISBLANK($D$239),"",$D$239))</f>
        <v/>
      </c>
      <c r="CD239" s="2">
        <f>IF(ISERROR($E$239),"",IF(ISBLANK($E$239),"",$E$239))</f>
        <v/>
      </c>
      <c r="CE239" s="2">
        <f>IF(ISERROR($F$239),"",IF(ISBLANK($F$239),"",$F$239))</f>
        <v/>
      </c>
      <c r="CJ239" s="2">
        <f>ISERROR($B$239)*1+ISERROR($D$239)*1+ISERROR($E$239)*1+ISERROR($F$239)*1</f>
        <v/>
      </c>
    </row>
    <row r="240" ht="48" customHeight="1">
      <c r="A240" s="43">
        <f>IF(LEN($N$18)&gt;0,$N$18,"8 · (vazio)")</f>
        <v/>
      </c>
      <c r="B240" s="29" t="n"/>
      <c r="C240" s="17" t="n"/>
      <c r="D240" s="37" t="n"/>
      <c r="E240" s="37" t="n"/>
      <c r="F240" s="29" t="n"/>
      <c r="G240" s="17" t="n"/>
      <c r="H240" s="10">
        <f>IF(NOT(ISNUMBER($R$240)),"",IF(IF(ISNUMBER($CC$240),$CC$240=0,FALSE),"EXPIRADA (0 turnos): já não vale; apague a condição",IF($W$240&gt;0,"Dano Contínuo: "&amp;MIN(INT($W$240*$Q$240/100),$X$240*$P$240)&amp;" por turno",IF($S$240&gt;0,IF($AA$240="Sim","Dano Contínuo: ","Dano: ")&amp;IF($U$240="Sim",$AB$240*$S$240,$S$240)&amp;"d"&amp;$T$240&amp;IF($V$240="Sim"," + "&amp;$P$240,"")&amp;" · média "&amp;(INT(IF($U$240="Sim",$AB$240*$S$240,$S$240)*($T$240+1)/2)+IF($V$240="Sim",$P$240,0)),$AC$240))&amp;IF($Y$240&gt;0,"; Atrasa "&amp;$Y$240&amp;" casa(s): some em Atraso deste Ciclo do alvo (C8)","")))</f>
        <v/>
      </c>
      <c r="K240" s="27">
        <f>IF(CJ240&gt;0,"O Google leu como fórmula: escolha de novo ou digite com ' na frente.",IF(LEN($CA$240)=0,"",IF(LEN($N$18)=0,"Combatente vazio: a condição não conta",IF(NOT(ISNUMBER($R$240)),"Condição fora do capítulo 21",IF(FALSE,"",IF(IF(ISNUMBER($CC$240),$CC$240=0,FALSE),"Expirou: os turnos chegaram a 0 e ela saiu do painel",IF(AND(ISNUMBER($CD$240),$CD$240&gt;$Z$240),"Acima do teto de "&amp;$Z$240&amp;" acúmulo(s) (21.5): usando o teto",IF($AA$240="Sim","Dano Contínuo: início do turno do alvo; ignora RD, não crita, sem dados de Fraqueza (20.6)",""))))))))</f>
        <v/>
      </c>
      <c r="N240" s="2">
        <f>IF(LEN($N$18)=0,"",8)</f>
        <v/>
      </c>
      <c r="O240" s="2">
        <f>IF(LEN($CE$240)=0,"",IFERROR(MATCH($CE$240,$N$11:$N$32,0),""))</f>
        <v/>
      </c>
      <c r="P240" s="2">
        <f>IF(ISNUMBER($O$240),INDEX($AS$11:$AS$32,$O$240),'Campanha'!$B$20)</f>
        <v/>
      </c>
      <c r="Q240" s="2">
        <f>IF(ISNUMBER($N$240),$AQ$18,0)</f>
        <v/>
      </c>
      <c r="R240" s="2">
        <f>IF(LEN($CA$240)=0,"",IFERROR(MATCH($CA$240,'Dados'!$A$324:$A$339,0),""))</f>
        <v/>
      </c>
      <c r="S240" s="2">
        <f>IF(ISNUMBER($R$240),INDEX('Dados'!$F$324:$F$339,$R$240),"")</f>
        <v/>
      </c>
      <c r="T240" s="2">
        <f>IF(ISNUMBER($R$240),INDEX('Dados'!$G$324:$G$339,$R$240),"")</f>
        <v/>
      </c>
      <c r="U240" s="2">
        <f>IF(ISNUMBER($R$240),INDEX('Dados'!$H$324:$H$339,$R$240),"")</f>
        <v/>
      </c>
      <c r="V240" s="2">
        <f>IF(ISNUMBER($R$240),INDEX('Dados'!$I$324:$I$339,$R$240),"")</f>
        <v/>
      </c>
      <c r="W240" s="2">
        <f>IF(ISNUMBER($R$240),INDEX('Dados'!$J$324:$J$339,$R$240),"")</f>
        <v/>
      </c>
      <c r="X240" s="2">
        <f>IF(ISNUMBER($R$240),INDEX('Dados'!$K$324:$K$339,$R$240),"")</f>
        <v/>
      </c>
      <c r="Y240" s="2">
        <f>IF(ISNUMBER($R$240),INDEX('Dados'!$L$324:$L$339,$R$240),"")</f>
        <v/>
      </c>
      <c r="Z240" s="2">
        <f>IF(ISNUMBER($R$240),INDEX('Dados'!$M$324:$M$339,$R$240),"")</f>
        <v/>
      </c>
      <c r="AA240" s="2">
        <f>IF(ISNUMBER($R$240),INDEX('Dados'!$N$324:$N$339,$R$240),"")</f>
        <v/>
      </c>
      <c r="AB240" s="2">
        <f>IF(ISNUMBER($CD$240),MIN($Z$240,MAX(1,INT($CD$240))),1)</f>
        <v/>
      </c>
      <c r="AC240" s="2">
        <f>IF(ISNUMBER($R$240),INDEX('Dados'!$B$324:$B$339,$R$240),"")</f>
        <v/>
      </c>
      <c r="AD240" s="2">
        <f>IF(AND(ISNUMBER($R$240),LEN($N$18)&gt;0,$Q$18=1,NOT(IF(ISNUMBER($CC$240),$CC$240=0,FALSE))),1,0)</f>
        <v/>
      </c>
      <c r="AE240" s="2">
        <f>IF($AD$240=1,30,"")</f>
        <v/>
      </c>
      <c r="AF240" s="2">
        <f>IF(ISNUMBER($R$240),INDEX('Dados'!$C$324:$C$339,$R$240),"")</f>
        <v/>
      </c>
      <c r="AG240" s="2">
        <f>IF($AD$240=0,"",$AC$240&amp;IF($H$240&lt;&gt;$AC$240," · Agora: "&amp;$H$240,"")&amp;" (duração: "&amp;$AF$240&amp;")")</f>
        <v/>
      </c>
      <c r="AH240" s="2">
        <f>IF(AND(ISNUMBER($R$240),LEN($N$18)&gt;0),IF(IF(ISNUMBER($CC$240),$CC$240=0,FALSE),1,0),0)</f>
        <v/>
      </c>
      <c r="CA240" s="2">
        <f>IF(ISERROR($B$240),"",IF(ISBLANK($B$240),"",$B$240))</f>
        <v/>
      </c>
      <c r="CC240" s="2">
        <f>IF(ISERROR($D$240),"",IF(ISBLANK($D$240),"",$D$240))</f>
        <v/>
      </c>
      <c r="CD240" s="2">
        <f>IF(ISERROR($E$240),"",IF(ISBLANK($E$240),"",$E$240))</f>
        <v/>
      </c>
      <c r="CE240" s="2">
        <f>IF(ISERROR($F$240),"",IF(ISBLANK($F$240),"",$F$240))</f>
        <v/>
      </c>
      <c r="CJ240" s="2">
        <f>ISERROR($B$240)*1+ISERROR($D$240)*1+ISERROR($E$240)*1+ISERROR($F$240)*1</f>
        <v/>
      </c>
    </row>
    <row r="241" ht="48" customHeight="1">
      <c r="A241" s="31">
        <f>IF(LEN($N$18)&gt;0,$N$18,"8 · (vazio)")</f>
        <v/>
      </c>
      <c r="B241" s="4" t="n"/>
      <c r="C241" s="17" t="n"/>
      <c r="D241" s="16" t="n"/>
      <c r="E241" s="16" t="n"/>
      <c r="F241" s="4" t="n"/>
      <c r="G241" s="17" t="n"/>
      <c r="H241" s="5">
        <f>IF(NOT(ISNUMBER($R$241)),"",IF(IF(ISNUMBER($CC$241),$CC$241=0,FALSE),"EXPIRADA (0 turnos): já não vale; apague a condição",IF($W$241&gt;0,"Dano Contínuo: "&amp;MIN(INT($W$241*$Q$241/100),$X$241*$P$241)&amp;" por turno",IF($S$241&gt;0,IF($AA$241="Sim","Dano Contínuo: ","Dano: ")&amp;IF($U$241="Sim",$AB$241*$S$241,$S$241)&amp;"d"&amp;$T$241&amp;IF($V$241="Sim"," + "&amp;$P$241,"")&amp;" · média "&amp;(INT(IF($U$241="Sim",$AB$241*$S$241,$S$241)*($T$241+1)/2)+IF($V$241="Sim",$P$241,0)),$AC$241))&amp;IF($Y$241&gt;0,"; Atrasa "&amp;$Y$241&amp;" casa(s): some em Atraso deste Ciclo do alvo (C8)","")))</f>
        <v/>
      </c>
      <c r="K241" s="19">
        <f>IF(CJ241&gt;0,"O Google leu como fórmula: escolha de novo ou digite com ' na frente.",IF(LEN($CA$241)=0,"",IF(LEN($N$18)=0,"Combatente vazio: a condição não conta",IF(NOT(ISNUMBER($R$241)),"Condição fora do capítulo 21",IF(FALSE,"",IF(IF(ISNUMBER($CC$241),$CC$241=0,FALSE),"Expirou: os turnos chegaram a 0 e ela saiu do painel",IF(AND(ISNUMBER($CD$241),$CD$241&gt;$Z$241),"Acima do teto de "&amp;$Z$241&amp;" acúmulo(s) (21.5): usando o teto",IF($AA$241="Sim","Dano Contínuo: início do turno do alvo; ignora RD, não crita, sem dados de Fraqueza (20.6)",""))))))))</f>
        <v/>
      </c>
      <c r="N241" s="2">
        <f>IF(LEN($N$18)=0,"",8)</f>
        <v/>
      </c>
      <c r="O241" s="2">
        <f>IF(LEN($CE$241)=0,"",IFERROR(MATCH($CE$241,$N$11:$N$32,0),""))</f>
        <v/>
      </c>
      <c r="P241" s="2">
        <f>IF(ISNUMBER($O$241),INDEX($AS$11:$AS$32,$O$241),'Campanha'!$B$20)</f>
        <v/>
      </c>
      <c r="Q241" s="2">
        <f>IF(ISNUMBER($N$241),$AQ$18,0)</f>
        <v/>
      </c>
      <c r="R241" s="2">
        <f>IF(LEN($CA$241)=0,"",IFERROR(MATCH($CA$241,'Dados'!$A$324:$A$339,0),""))</f>
        <v/>
      </c>
      <c r="S241" s="2">
        <f>IF(ISNUMBER($R$241),INDEX('Dados'!$F$324:$F$339,$R$241),"")</f>
        <v/>
      </c>
      <c r="T241" s="2">
        <f>IF(ISNUMBER($R$241),INDEX('Dados'!$G$324:$G$339,$R$241),"")</f>
        <v/>
      </c>
      <c r="U241" s="2">
        <f>IF(ISNUMBER($R$241),INDEX('Dados'!$H$324:$H$339,$R$241),"")</f>
        <v/>
      </c>
      <c r="V241" s="2">
        <f>IF(ISNUMBER($R$241),INDEX('Dados'!$I$324:$I$339,$R$241),"")</f>
        <v/>
      </c>
      <c r="W241" s="2">
        <f>IF(ISNUMBER($R$241),INDEX('Dados'!$J$324:$J$339,$R$241),"")</f>
        <v/>
      </c>
      <c r="X241" s="2">
        <f>IF(ISNUMBER($R$241),INDEX('Dados'!$K$324:$K$339,$R$241),"")</f>
        <v/>
      </c>
      <c r="Y241" s="2">
        <f>IF(ISNUMBER($R$241),INDEX('Dados'!$L$324:$L$339,$R$241),"")</f>
        <v/>
      </c>
      <c r="Z241" s="2">
        <f>IF(ISNUMBER($R$241),INDEX('Dados'!$M$324:$M$339,$R$241),"")</f>
        <v/>
      </c>
      <c r="AA241" s="2">
        <f>IF(ISNUMBER($R$241),INDEX('Dados'!$N$324:$N$339,$R$241),"")</f>
        <v/>
      </c>
      <c r="AB241" s="2">
        <f>IF(ISNUMBER($CD$241),MIN($Z$241,MAX(1,INT($CD$241))),1)</f>
        <v/>
      </c>
      <c r="AC241" s="2">
        <f>IF(ISNUMBER($R$241),INDEX('Dados'!$B$324:$B$339,$R$241),"")</f>
        <v/>
      </c>
      <c r="AD241" s="2">
        <f>IF(AND(ISNUMBER($R$241),LEN($N$18)&gt;0,$Q$18=1,NOT(IF(ISNUMBER($CC$241),$CC$241=0,FALSE))),1,0)</f>
        <v/>
      </c>
      <c r="AE241" s="2">
        <f>IF($AD$241=1,31,"")</f>
        <v/>
      </c>
      <c r="AF241" s="2">
        <f>IF(ISNUMBER($R$241),INDEX('Dados'!$C$324:$C$339,$R$241),"")</f>
        <v/>
      </c>
      <c r="AG241" s="2">
        <f>IF($AD$241=0,"",$AC$241&amp;IF($H$241&lt;&gt;$AC$241," · Agora: "&amp;$H$241,"")&amp;" (duração: "&amp;$AF$241&amp;")")</f>
        <v/>
      </c>
      <c r="AH241" s="2">
        <f>IF(AND(ISNUMBER($R$241),LEN($N$18)&gt;0),IF(IF(ISNUMBER($CC$241),$CC$241=0,FALSE),1,0),0)</f>
        <v/>
      </c>
      <c r="CA241" s="2">
        <f>IF(ISERROR($B$241),"",IF(ISBLANK($B$241),"",$B$241))</f>
        <v/>
      </c>
      <c r="CC241" s="2">
        <f>IF(ISERROR($D$241),"",IF(ISBLANK($D$241),"",$D$241))</f>
        <v/>
      </c>
      <c r="CD241" s="2">
        <f>IF(ISERROR($E$241),"",IF(ISBLANK($E$241),"",$E$241))</f>
        <v/>
      </c>
      <c r="CE241" s="2">
        <f>IF(ISERROR($F$241),"",IF(ISBLANK($F$241),"",$F$241))</f>
        <v/>
      </c>
      <c r="CJ241" s="2">
        <f>ISERROR($B$241)*1+ISERROR($D$241)*1+ISERROR($E$241)*1+ISERROR($F$241)*1</f>
        <v/>
      </c>
    </row>
    <row r="242" ht="48" customHeight="1">
      <c r="A242" s="43">
        <f>IF(LEN($N$18)&gt;0,$N$18,"8 · (vazio)")</f>
        <v/>
      </c>
      <c r="B242" s="29" t="n"/>
      <c r="C242" s="17" t="n"/>
      <c r="D242" s="37" t="n"/>
      <c r="E242" s="37" t="n"/>
      <c r="F242" s="29" t="n"/>
      <c r="G242" s="17" t="n"/>
      <c r="H242" s="10">
        <f>IF(NOT(ISNUMBER($R$242)),"",IF(IF(ISNUMBER($CC$242),$CC$242=0,FALSE),"EXPIRADA (0 turnos): já não vale; apague a condição",IF($W$242&gt;0,"Dano Contínuo: "&amp;MIN(INT($W$242*$Q$242/100),$X$242*$P$242)&amp;" por turno",IF($S$242&gt;0,IF($AA$242="Sim","Dano Contínuo: ","Dano: ")&amp;IF($U$242="Sim",$AB$242*$S$242,$S$242)&amp;"d"&amp;$T$242&amp;IF($V$242="Sim"," + "&amp;$P$242,"")&amp;" · média "&amp;(INT(IF($U$242="Sim",$AB$242*$S$242,$S$242)*($T$242+1)/2)+IF($V$242="Sim",$P$242,0)),$AC$242))&amp;IF($Y$242&gt;0,"; Atrasa "&amp;$Y$242&amp;" casa(s): some em Atraso deste Ciclo do alvo (C8)","")))</f>
        <v/>
      </c>
      <c r="K242" s="27">
        <f>IF(CJ242&gt;0,"O Google leu como fórmula: escolha de novo ou digite com ' na frente.",IF(LEN($CA$242)=0,"",IF(LEN($N$18)=0,"Combatente vazio: a condição não conta",IF(NOT(ISNUMBER($R$242)),"Condição fora do capítulo 21",IF(FALSE,"",IF(IF(ISNUMBER($CC$242),$CC$242=0,FALSE),"Expirou: os turnos chegaram a 0 e ela saiu do painel",IF(AND(ISNUMBER($CD$242),$CD$242&gt;$Z$242),"Acima do teto de "&amp;$Z$242&amp;" acúmulo(s) (21.5): usando o teto",IF($AA$242="Sim","Dano Contínuo: início do turno do alvo; ignora RD, não crita, sem dados de Fraqueza (20.6)",""))))))))</f>
        <v/>
      </c>
      <c r="N242" s="2">
        <f>IF(LEN($N$18)=0,"",8)</f>
        <v/>
      </c>
      <c r="O242" s="2">
        <f>IF(LEN($CE$242)=0,"",IFERROR(MATCH($CE$242,$N$11:$N$32,0),""))</f>
        <v/>
      </c>
      <c r="P242" s="2">
        <f>IF(ISNUMBER($O$242),INDEX($AS$11:$AS$32,$O$242),'Campanha'!$B$20)</f>
        <v/>
      </c>
      <c r="Q242" s="2">
        <f>IF(ISNUMBER($N$242),$AQ$18,0)</f>
        <v/>
      </c>
      <c r="R242" s="2">
        <f>IF(LEN($CA$242)=0,"",IFERROR(MATCH($CA$242,'Dados'!$A$324:$A$339,0),""))</f>
        <v/>
      </c>
      <c r="S242" s="2">
        <f>IF(ISNUMBER($R$242),INDEX('Dados'!$F$324:$F$339,$R$242),"")</f>
        <v/>
      </c>
      <c r="T242" s="2">
        <f>IF(ISNUMBER($R$242),INDEX('Dados'!$G$324:$G$339,$R$242),"")</f>
        <v/>
      </c>
      <c r="U242" s="2">
        <f>IF(ISNUMBER($R$242),INDEX('Dados'!$H$324:$H$339,$R$242),"")</f>
        <v/>
      </c>
      <c r="V242" s="2">
        <f>IF(ISNUMBER($R$242),INDEX('Dados'!$I$324:$I$339,$R$242),"")</f>
        <v/>
      </c>
      <c r="W242" s="2">
        <f>IF(ISNUMBER($R$242),INDEX('Dados'!$J$324:$J$339,$R$242),"")</f>
        <v/>
      </c>
      <c r="X242" s="2">
        <f>IF(ISNUMBER($R$242),INDEX('Dados'!$K$324:$K$339,$R$242),"")</f>
        <v/>
      </c>
      <c r="Y242" s="2">
        <f>IF(ISNUMBER($R$242),INDEX('Dados'!$L$324:$L$339,$R$242),"")</f>
        <v/>
      </c>
      <c r="Z242" s="2">
        <f>IF(ISNUMBER($R$242),INDEX('Dados'!$M$324:$M$339,$R$242),"")</f>
        <v/>
      </c>
      <c r="AA242" s="2">
        <f>IF(ISNUMBER($R$242),INDEX('Dados'!$N$324:$N$339,$R$242),"")</f>
        <v/>
      </c>
      <c r="AB242" s="2">
        <f>IF(ISNUMBER($CD$242),MIN($Z$242,MAX(1,INT($CD$242))),1)</f>
        <v/>
      </c>
      <c r="AC242" s="2">
        <f>IF(ISNUMBER($R$242),INDEX('Dados'!$B$324:$B$339,$R$242),"")</f>
        <v/>
      </c>
      <c r="AD242" s="2">
        <f>IF(AND(ISNUMBER($R$242),LEN($N$18)&gt;0,$Q$18=1,NOT(IF(ISNUMBER($CC$242),$CC$242=0,FALSE))),1,0)</f>
        <v/>
      </c>
      <c r="AE242" s="2">
        <f>IF($AD$242=1,32,"")</f>
        <v/>
      </c>
      <c r="AF242" s="2">
        <f>IF(ISNUMBER($R$242),INDEX('Dados'!$C$324:$C$339,$R$242),"")</f>
        <v/>
      </c>
      <c r="AG242" s="2">
        <f>IF($AD$242=0,"",$AC$242&amp;IF($H$242&lt;&gt;$AC$242," · Agora: "&amp;$H$242,"")&amp;" (duração: "&amp;$AF$242&amp;")")</f>
        <v/>
      </c>
      <c r="AH242" s="2">
        <f>IF(AND(ISNUMBER($R$242),LEN($N$18)&gt;0),IF(IF(ISNUMBER($CC$242),$CC$242=0,FALSE),1,0),0)</f>
        <v/>
      </c>
      <c r="CA242" s="2">
        <f>IF(ISERROR($B$242),"",IF(ISBLANK($B$242),"",$B$242))</f>
        <v/>
      </c>
      <c r="CC242" s="2">
        <f>IF(ISERROR($D$242),"",IF(ISBLANK($D$242),"",$D$242))</f>
        <v/>
      </c>
      <c r="CD242" s="2">
        <f>IF(ISERROR($E$242),"",IF(ISBLANK($E$242),"",$E$242))</f>
        <v/>
      </c>
      <c r="CE242" s="2">
        <f>IF(ISERROR($F$242),"",IF(ISBLANK($F$242),"",$F$242))</f>
        <v/>
      </c>
      <c r="CJ242" s="2">
        <f>ISERROR($B$242)*1+ISERROR($D$242)*1+ISERROR($E$242)*1+ISERROR($F$242)*1</f>
        <v/>
      </c>
    </row>
    <row r="243" ht="48" customHeight="1">
      <c r="A243" s="31">
        <f>IF(LEN($N$19)&gt;0,$N$19,"9 · (vazio)")</f>
        <v/>
      </c>
      <c r="B243" s="4" t="n"/>
      <c r="C243" s="17" t="n"/>
      <c r="D243" s="16" t="n"/>
      <c r="E243" s="16" t="n"/>
      <c r="F243" s="4" t="n"/>
      <c r="G243" s="17" t="n"/>
      <c r="H243" s="5">
        <f>IF(NOT(ISNUMBER($R$243)),"",IF(IF(ISNUMBER($CC$243),$CC$243=0,FALSE),"EXPIRADA (0 turnos): já não vale; apague a condição",IF($W$243&gt;0,"Dano Contínuo: "&amp;MIN(INT($W$243*$Q$243/100),$X$243*$P$243)&amp;" por turno",IF($S$243&gt;0,IF($AA$243="Sim","Dano Contínuo: ","Dano: ")&amp;IF($U$243="Sim",$AB$243*$S$243,$S$243)&amp;"d"&amp;$T$243&amp;IF($V$243="Sim"," + "&amp;$P$243,"")&amp;" · média "&amp;(INT(IF($U$243="Sim",$AB$243*$S$243,$S$243)*($T$243+1)/2)+IF($V$243="Sim",$P$243,0)),$AC$243))&amp;IF($Y$243&gt;0,"; Atrasa "&amp;$Y$243&amp;" casa(s): some em Atraso deste Ciclo do alvo (C8)","")))</f>
        <v/>
      </c>
      <c r="K243" s="19">
        <f>IF(CJ243&gt;0,"O Google leu como fórmula: escolha de novo ou digite com ' na frente.",IF(LEN($CA$243)=0,"",IF(LEN($N$19)=0,"Combatente vazio: a condição não conta",IF(NOT(ISNUMBER($R$243)),"Condição fora do capítulo 21",IF(FALSE,"",IF(IF(ISNUMBER($CC$243),$CC$243=0,FALSE),"Expirou: os turnos chegaram a 0 e ela saiu do painel",IF(AND(ISNUMBER($CD$243),$CD$243&gt;$Z$243),"Acima do teto de "&amp;$Z$243&amp;" acúmulo(s) (21.5): usando o teto",IF($AA$243="Sim","Dano Contínuo: início do turno do alvo; ignora RD, não crita, sem dados de Fraqueza (20.6)",""))))))))</f>
        <v/>
      </c>
      <c r="N243" s="2">
        <f>IF(LEN($N$19)=0,"",9)</f>
        <v/>
      </c>
      <c r="O243" s="2">
        <f>IF(LEN($CE$243)=0,"",IFERROR(MATCH($CE$243,$N$11:$N$32,0),""))</f>
        <v/>
      </c>
      <c r="P243" s="2">
        <f>IF(ISNUMBER($O$243),INDEX($AS$11:$AS$32,$O$243),'Campanha'!$B$20)</f>
        <v/>
      </c>
      <c r="Q243" s="2">
        <f>IF(ISNUMBER($N$243),$AQ$19,0)</f>
        <v/>
      </c>
      <c r="R243" s="2">
        <f>IF(LEN($CA$243)=0,"",IFERROR(MATCH($CA$243,'Dados'!$A$324:$A$339,0),""))</f>
        <v/>
      </c>
      <c r="S243" s="2">
        <f>IF(ISNUMBER($R$243),INDEX('Dados'!$F$324:$F$339,$R$243),"")</f>
        <v/>
      </c>
      <c r="T243" s="2">
        <f>IF(ISNUMBER($R$243),INDEX('Dados'!$G$324:$G$339,$R$243),"")</f>
        <v/>
      </c>
      <c r="U243" s="2">
        <f>IF(ISNUMBER($R$243),INDEX('Dados'!$H$324:$H$339,$R$243),"")</f>
        <v/>
      </c>
      <c r="V243" s="2">
        <f>IF(ISNUMBER($R$243),INDEX('Dados'!$I$324:$I$339,$R$243),"")</f>
        <v/>
      </c>
      <c r="W243" s="2">
        <f>IF(ISNUMBER($R$243),INDEX('Dados'!$J$324:$J$339,$R$243),"")</f>
        <v/>
      </c>
      <c r="X243" s="2">
        <f>IF(ISNUMBER($R$243),INDEX('Dados'!$K$324:$K$339,$R$243),"")</f>
        <v/>
      </c>
      <c r="Y243" s="2">
        <f>IF(ISNUMBER($R$243),INDEX('Dados'!$L$324:$L$339,$R$243),"")</f>
        <v/>
      </c>
      <c r="Z243" s="2">
        <f>IF(ISNUMBER($R$243),INDEX('Dados'!$M$324:$M$339,$R$243),"")</f>
        <v/>
      </c>
      <c r="AA243" s="2">
        <f>IF(ISNUMBER($R$243),INDEX('Dados'!$N$324:$N$339,$R$243),"")</f>
        <v/>
      </c>
      <c r="AB243" s="2">
        <f>IF(ISNUMBER($CD$243),MIN($Z$243,MAX(1,INT($CD$243))),1)</f>
        <v/>
      </c>
      <c r="AC243" s="2">
        <f>IF(ISNUMBER($R$243),INDEX('Dados'!$B$324:$B$339,$R$243),"")</f>
        <v/>
      </c>
      <c r="AD243" s="2">
        <f>IF(AND(ISNUMBER($R$243),LEN($N$19)&gt;0,$Q$19=1,NOT(IF(ISNUMBER($CC$243),$CC$243=0,FALSE))),1,0)</f>
        <v/>
      </c>
      <c r="AE243" s="2">
        <f>IF($AD$243=1,33,"")</f>
        <v/>
      </c>
      <c r="AF243" s="2">
        <f>IF(ISNUMBER($R$243),INDEX('Dados'!$C$324:$C$339,$R$243),"")</f>
        <v/>
      </c>
      <c r="AG243" s="2">
        <f>IF($AD$243=0,"",$AC$243&amp;IF($H$243&lt;&gt;$AC$243," · Agora: "&amp;$H$243,"")&amp;" (duração: "&amp;$AF$243&amp;")")</f>
        <v/>
      </c>
      <c r="AH243" s="2">
        <f>IF(AND(ISNUMBER($R$243),LEN($N$19)&gt;0),IF(IF(ISNUMBER($CC$243),$CC$243=0,FALSE),1,0),0)</f>
        <v/>
      </c>
      <c r="CA243" s="2">
        <f>IF(ISERROR($B$243),"",IF(ISBLANK($B$243),"",$B$243))</f>
        <v/>
      </c>
      <c r="CC243" s="2">
        <f>IF(ISERROR($D$243),"",IF(ISBLANK($D$243),"",$D$243))</f>
        <v/>
      </c>
      <c r="CD243" s="2">
        <f>IF(ISERROR($E$243),"",IF(ISBLANK($E$243),"",$E$243))</f>
        <v/>
      </c>
      <c r="CE243" s="2">
        <f>IF(ISERROR($F$243),"",IF(ISBLANK($F$243),"",$F$243))</f>
        <v/>
      </c>
      <c r="CJ243" s="2">
        <f>ISERROR($B$243)*1+ISERROR($D$243)*1+ISERROR($E$243)*1+ISERROR($F$243)*1</f>
        <v/>
      </c>
    </row>
    <row r="244" ht="48" customHeight="1">
      <c r="A244" s="43">
        <f>IF(LEN($N$19)&gt;0,$N$19,"9 · (vazio)")</f>
        <v/>
      </c>
      <c r="B244" s="29" t="n"/>
      <c r="C244" s="17" t="n"/>
      <c r="D244" s="37" t="n"/>
      <c r="E244" s="37" t="n"/>
      <c r="F244" s="29" t="n"/>
      <c r="G244" s="17" t="n"/>
      <c r="H244" s="10">
        <f>IF(NOT(ISNUMBER($R$244)),"",IF(IF(ISNUMBER($CC$244),$CC$244=0,FALSE),"EXPIRADA (0 turnos): já não vale; apague a condição",IF($W$244&gt;0,"Dano Contínuo: "&amp;MIN(INT($W$244*$Q$244/100),$X$244*$P$244)&amp;" por turno",IF($S$244&gt;0,IF($AA$244="Sim","Dano Contínuo: ","Dano: ")&amp;IF($U$244="Sim",$AB$244*$S$244,$S$244)&amp;"d"&amp;$T$244&amp;IF($V$244="Sim"," + "&amp;$P$244,"")&amp;" · média "&amp;(INT(IF($U$244="Sim",$AB$244*$S$244,$S$244)*($T$244+1)/2)+IF($V$244="Sim",$P$244,0)),$AC$244))&amp;IF($Y$244&gt;0,"; Atrasa "&amp;$Y$244&amp;" casa(s): some em Atraso deste Ciclo do alvo (C8)","")))</f>
        <v/>
      </c>
      <c r="K244" s="27">
        <f>IF(CJ244&gt;0,"O Google leu como fórmula: escolha de novo ou digite com ' na frente.",IF(LEN($CA$244)=0,"",IF(LEN($N$19)=0,"Combatente vazio: a condição não conta",IF(NOT(ISNUMBER($R$244)),"Condição fora do capítulo 21",IF(FALSE,"",IF(IF(ISNUMBER($CC$244),$CC$244=0,FALSE),"Expirou: os turnos chegaram a 0 e ela saiu do painel",IF(AND(ISNUMBER($CD$244),$CD$244&gt;$Z$244),"Acima do teto de "&amp;$Z$244&amp;" acúmulo(s) (21.5): usando o teto",IF($AA$244="Sim","Dano Contínuo: início do turno do alvo; ignora RD, não crita, sem dados de Fraqueza (20.6)",""))))))))</f>
        <v/>
      </c>
      <c r="N244" s="2">
        <f>IF(LEN($N$19)=0,"",9)</f>
        <v/>
      </c>
      <c r="O244" s="2">
        <f>IF(LEN($CE$244)=0,"",IFERROR(MATCH($CE$244,$N$11:$N$32,0),""))</f>
        <v/>
      </c>
      <c r="P244" s="2">
        <f>IF(ISNUMBER($O$244),INDEX($AS$11:$AS$32,$O$244),'Campanha'!$B$20)</f>
        <v/>
      </c>
      <c r="Q244" s="2">
        <f>IF(ISNUMBER($N$244),$AQ$19,0)</f>
        <v/>
      </c>
      <c r="R244" s="2">
        <f>IF(LEN($CA$244)=0,"",IFERROR(MATCH($CA$244,'Dados'!$A$324:$A$339,0),""))</f>
        <v/>
      </c>
      <c r="S244" s="2">
        <f>IF(ISNUMBER($R$244),INDEX('Dados'!$F$324:$F$339,$R$244),"")</f>
        <v/>
      </c>
      <c r="T244" s="2">
        <f>IF(ISNUMBER($R$244),INDEX('Dados'!$G$324:$G$339,$R$244),"")</f>
        <v/>
      </c>
      <c r="U244" s="2">
        <f>IF(ISNUMBER($R$244),INDEX('Dados'!$H$324:$H$339,$R$244),"")</f>
        <v/>
      </c>
      <c r="V244" s="2">
        <f>IF(ISNUMBER($R$244),INDEX('Dados'!$I$324:$I$339,$R$244),"")</f>
        <v/>
      </c>
      <c r="W244" s="2">
        <f>IF(ISNUMBER($R$244),INDEX('Dados'!$J$324:$J$339,$R$244),"")</f>
        <v/>
      </c>
      <c r="X244" s="2">
        <f>IF(ISNUMBER($R$244),INDEX('Dados'!$K$324:$K$339,$R$244),"")</f>
        <v/>
      </c>
      <c r="Y244" s="2">
        <f>IF(ISNUMBER($R$244),INDEX('Dados'!$L$324:$L$339,$R$244),"")</f>
        <v/>
      </c>
      <c r="Z244" s="2">
        <f>IF(ISNUMBER($R$244),INDEX('Dados'!$M$324:$M$339,$R$244),"")</f>
        <v/>
      </c>
      <c r="AA244" s="2">
        <f>IF(ISNUMBER($R$244),INDEX('Dados'!$N$324:$N$339,$R$244),"")</f>
        <v/>
      </c>
      <c r="AB244" s="2">
        <f>IF(ISNUMBER($CD$244),MIN($Z$244,MAX(1,INT($CD$244))),1)</f>
        <v/>
      </c>
      <c r="AC244" s="2">
        <f>IF(ISNUMBER($R$244),INDEX('Dados'!$B$324:$B$339,$R$244),"")</f>
        <v/>
      </c>
      <c r="AD244" s="2">
        <f>IF(AND(ISNUMBER($R$244),LEN($N$19)&gt;0,$Q$19=1,NOT(IF(ISNUMBER($CC$244),$CC$244=0,FALSE))),1,0)</f>
        <v/>
      </c>
      <c r="AE244" s="2">
        <f>IF($AD$244=1,34,"")</f>
        <v/>
      </c>
      <c r="AF244" s="2">
        <f>IF(ISNUMBER($R$244),INDEX('Dados'!$C$324:$C$339,$R$244),"")</f>
        <v/>
      </c>
      <c r="AG244" s="2">
        <f>IF($AD$244=0,"",$AC$244&amp;IF($H$244&lt;&gt;$AC$244," · Agora: "&amp;$H$244,"")&amp;" (duração: "&amp;$AF$244&amp;")")</f>
        <v/>
      </c>
      <c r="AH244" s="2">
        <f>IF(AND(ISNUMBER($R$244),LEN($N$19)&gt;0),IF(IF(ISNUMBER($CC$244),$CC$244=0,FALSE),1,0),0)</f>
        <v/>
      </c>
      <c r="CA244" s="2">
        <f>IF(ISERROR($B$244),"",IF(ISBLANK($B$244),"",$B$244))</f>
        <v/>
      </c>
      <c r="CC244" s="2">
        <f>IF(ISERROR($D$244),"",IF(ISBLANK($D$244),"",$D$244))</f>
        <v/>
      </c>
      <c r="CD244" s="2">
        <f>IF(ISERROR($E$244),"",IF(ISBLANK($E$244),"",$E$244))</f>
        <v/>
      </c>
      <c r="CE244" s="2">
        <f>IF(ISERROR($F$244),"",IF(ISBLANK($F$244),"",$F$244))</f>
        <v/>
      </c>
      <c r="CJ244" s="2">
        <f>ISERROR($B$244)*1+ISERROR($D$244)*1+ISERROR($E$244)*1+ISERROR($F$244)*1</f>
        <v/>
      </c>
    </row>
    <row r="245" ht="48" customHeight="1">
      <c r="A245" s="31">
        <f>IF(LEN($N$19)&gt;0,$N$19,"9 · (vazio)")</f>
        <v/>
      </c>
      <c r="B245" s="4" t="n"/>
      <c r="C245" s="17" t="n"/>
      <c r="D245" s="16" t="n"/>
      <c r="E245" s="16" t="n"/>
      <c r="F245" s="4" t="n"/>
      <c r="G245" s="17" t="n"/>
      <c r="H245" s="5">
        <f>IF(NOT(ISNUMBER($R$245)),"",IF(IF(ISNUMBER($CC$245),$CC$245=0,FALSE),"EXPIRADA (0 turnos): já não vale; apague a condição",IF($W$245&gt;0,"Dano Contínuo: "&amp;MIN(INT($W$245*$Q$245/100),$X$245*$P$245)&amp;" por turno",IF($S$245&gt;0,IF($AA$245="Sim","Dano Contínuo: ","Dano: ")&amp;IF($U$245="Sim",$AB$245*$S$245,$S$245)&amp;"d"&amp;$T$245&amp;IF($V$245="Sim"," + "&amp;$P$245,"")&amp;" · média "&amp;(INT(IF($U$245="Sim",$AB$245*$S$245,$S$245)*($T$245+1)/2)+IF($V$245="Sim",$P$245,0)),$AC$245))&amp;IF($Y$245&gt;0,"; Atrasa "&amp;$Y$245&amp;" casa(s): some em Atraso deste Ciclo do alvo (C8)","")))</f>
        <v/>
      </c>
      <c r="K245" s="19">
        <f>IF(CJ245&gt;0,"O Google leu como fórmula: escolha de novo ou digite com ' na frente.",IF(LEN($CA$245)=0,"",IF(LEN($N$19)=0,"Combatente vazio: a condição não conta",IF(NOT(ISNUMBER($R$245)),"Condição fora do capítulo 21",IF(FALSE,"",IF(IF(ISNUMBER($CC$245),$CC$245=0,FALSE),"Expirou: os turnos chegaram a 0 e ela saiu do painel",IF(AND(ISNUMBER($CD$245),$CD$245&gt;$Z$245),"Acima do teto de "&amp;$Z$245&amp;" acúmulo(s) (21.5): usando o teto",IF($AA$245="Sim","Dano Contínuo: início do turno do alvo; ignora RD, não crita, sem dados de Fraqueza (20.6)",""))))))))</f>
        <v/>
      </c>
      <c r="N245" s="2">
        <f>IF(LEN($N$19)=0,"",9)</f>
        <v/>
      </c>
      <c r="O245" s="2">
        <f>IF(LEN($CE$245)=0,"",IFERROR(MATCH($CE$245,$N$11:$N$32,0),""))</f>
        <v/>
      </c>
      <c r="P245" s="2">
        <f>IF(ISNUMBER($O$245),INDEX($AS$11:$AS$32,$O$245),'Campanha'!$B$20)</f>
        <v/>
      </c>
      <c r="Q245" s="2">
        <f>IF(ISNUMBER($N$245),$AQ$19,0)</f>
        <v/>
      </c>
      <c r="R245" s="2">
        <f>IF(LEN($CA$245)=0,"",IFERROR(MATCH($CA$245,'Dados'!$A$324:$A$339,0),""))</f>
        <v/>
      </c>
      <c r="S245" s="2">
        <f>IF(ISNUMBER($R$245),INDEX('Dados'!$F$324:$F$339,$R$245),"")</f>
        <v/>
      </c>
      <c r="T245" s="2">
        <f>IF(ISNUMBER($R$245),INDEX('Dados'!$G$324:$G$339,$R$245),"")</f>
        <v/>
      </c>
      <c r="U245" s="2">
        <f>IF(ISNUMBER($R$245),INDEX('Dados'!$H$324:$H$339,$R$245),"")</f>
        <v/>
      </c>
      <c r="V245" s="2">
        <f>IF(ISNUMBER($R$245),INDEX('Dados'!$I$324:$I$339,$R$245),"")</f>
        <v/>
      </c>
      <c r="W245" s="2">
        <f>IF(ISNUMBER($R$245),INDEX('Dados'!$J$324:$J$339,$R$245),"")</f>
        <v/>
      </c>
      <c r="X245" s="2">
        <f>IF(ISNUMBER($R$245),INDEX('Dados'!$K$324:$K$339,$R$245),"")</f>
        <v/>
      </c>
      <c r="Y245" s="2">
        <f>IF(ISNUMBER($R$245),INDEX('Dados'!$L$324:$L$339,$R$245),"")</f>
        <v/>
      </c>
      <c r="Z245" s="2">
        <f>IF(ISNUMBER($R$245),INDEX('Dados'!$M$324:$M$339,$R$245),"")</f>
        <v/>
      </c>
      <c r="AA245" s="2">
        <f>IF(ISNUMBER($R$245),INDEX('Dados'!$N$324:$N$339,$R$245),"")</f>
        <v/>
      </c>
      <c r="AB245" s="2">
        <f>IF(ISNUMBER($CD$245),MIN($Z$245,MAX(1,INT($CD$245))),1)</f>
        <v/>
      </c>
      <c r="AC245" s="2">
        <f>IF(ISNUMBER($R$245),INDEX('Dados'!$B$324:$B$339,$R$245),"")</f>
        <v/>
      </c>
      <c r="AD245" s="2">
        <f>IF(AND(ISNUMBER($R$245),LEN($N$19)&gt;0,$Q$19=1,NOT(IF(ISNUMBER($CC$245),$CC$245=0,FALSE))),1,0)</f>
        <v/>
      </c>
      <c r="AE245" s="2">
        <f>IF($AD$245=1,35,"")</f>
        <v/>
      </c>
      <c r="AF245" s="2">
        <f>IF(ISNUMBER($R$245),INDEX('Dados'!$C$324:$C$339,$R$245),"")</f>
        <v/>
      </c>
      <c r="AG245" s="2">
        <f>IF($AD$245=0,"",$AC$245&amp;IF($H$245&lt;&gt;$AC$245," · Agora: "&amp;$H$245,"")&amp;" (duração: "&amp;$AF$245&amp;")")</f>
        <v/>
      </c>
      <c r="AH245" s="2">
        <f>IF(AND(ISNUMBER($R$245),LEN($N$19)&gt;0),IF(IF(ISNUMBER($CC$245),$CC$245=0,FALSE),1,0),0)</f>
        <v/>
      </c>
      <c r="CA245" s="2">
        <f>IF(ISERROR($B$245),"",IF(ISBLANK($B$245),"",$B$245))</f>
        <v/>
      </c>
      <c r="CC245" s="2">
        <f>IF(ISERROR($D$245),"",IF(ISBLANK($D$245),"",$D$245))</f>
        <v/>
      </c>
      <c r="CD245" s="2">
        <f>IF(ISERROR($E$245),"",IF(ISBLANK($E$245),"",$E$245))</f>
        <v/>
      </c>
      <c r="CE245" s="2">
        <f>IF(ISERROR($F$245),"",IF(ISBLANK($F$245),"",$F$245))</f>
        <v/>
      </c>
      <c r="CJ245" s="2">
        <f>ISERROR($B$245)*1+ISERROR($D$245)*1+ISERROR($E$245)*1+ISERROR($F$245)*1</f>
        <v/>
      </c>
    </row>
    <row r="246" ht="48" customHeight="1">
      <c r="A246" s="43">
        <f>IF(LEN($N$19)&gt;0,$N$19,"9 · (vazio)")</f>
        <v/>
      </c>
      <c r="B246" s="29" t="n"/>
      <c r="C246" s="17" t="n"/>
      <c r="D246" s="37" t="n"/>
      <c r="E246" s="37" t="n"/>
      <c r="F246" s="29" t="n"/>
      <c r="G246" s="17" t="n"/>
      <c r="H246" s="10">
        <f>IF(NOT(ISNUMBER($R$246)),"",IF(IF(ISNUMBER($CC$246),$CC$246=0,FALSE),"EXPIRADA (0 turnos): já não vale; apague a condição",IF($W$246&gt;0,"Dano Contínuo: "&amp;MIN(INT($W$246*$Q$246/100),$X$246*$P$246)&amp;" por turno",IF($S$246&gt;0,IF($AA$246="Sim","Dano Contínuo: ","Dano: ")&amp;IF($U$246="Sim",$AB$246*$S$246,$S$246)&amp;"d"&amp;$T$246&amp;IF($V$246="Sim"," + "&amp;$P$246,"")&amp;" · média "&amp;(INT(IF($U$246="Sim",$AB$246*$S$246,$S$246)*($T$246+1)/2)+IF($V$246="Sim",$P$246,0)),$AC$246))&amp;IF($Y$246&gt;0,"; Atrasa "&amp;$Y$246&amp;" casa(s): some em Atraso deste Ciclo do alvo (C8)","")))</f>
        <v/>
      </c>
      <c r="K246" s="27">
        <f>IF(CJ246&gt;0,"O Google leu como fórmula: escolha de novo ou digite com ' na frente.",IF(LEN($CA$246)=0,"",IF(LEN($N$19)=0,"Combatente vazio: a condição não conta",IF(NOT(ISNUMBER($R$246)),"Condição fora do capítulo 21",IF(FALSE,"",IF(IF(ISNUMBER($CC$246),$CC$246=0,FALSE),"Expirou: os turnos chegaram a 0 e ela saiu do painel",IF(AND(ISNUMBER($CD$246),$CD$246&gt;$Z$246),"Acima do teto de "&amp;$Z$246&amp;" acúmulo(s) (21.5): usando o teto",IF($AA$246="Sim","Dano Contínuo: início do turno do alvo; ignora RD, não crita, sem dados de Fraqueza (20.6)",""))))))))</f>
        <v/>
      </c>
      <c r="N246" s="2">
        <f>IF(LEN($N$19)=0,"",9)</f>
        <v/>
      </c>
      <c r="O246" s="2">
        <f>IF(LEN($CE$246)=0,"",IFERROR(MATCH($CE$246,$N$11:$N$32,0),""))</f>
        <v/>
      </c>
      <c r="P246" s="2">
        <f>IF(ISNUMBER($O$246),INDEX($AS$11:$AS$32,$O$246),'Campanha'!$B$20)</f>
        <v/>
      </c>
      <c r="Q246" s="2">
        <f>IF(ISNUMBER($N$246),$AQ$19,0)</f>
        <v/>
      </c>
      <c r="R246" s="2">
        <f>IF(LEN($CA$246)=0,"",IFERROR(MATCH($CA$246,'Dados'!$A$324:$A$339,0),""))</f>
        <v/>
      </c>
      <c r="S246" s="2">
        <f>IF(ISNUMBER($R$246),INDEX('Dados'!$F$324:$F$339,$R$246),"")</f>
        <v/>
      </c>
      <c r="T246" s="2">
        <f>IF(ISNUMBER($R$246),INDEX('Dados'!$G$324:$G$339,$R$246),"")</f>
        <v/>
      </c>
      <c r="U246" s="2">
        <f>IF(ISNUMBER($R$246),INDEX('Dados'!$H$324:$H$339,$R$246),"")</f>
        <v/>
      </c>
      <c r="V246" s="2">
        <f>IF(ISNUMBER($R$246),INDEX('Dados'!$I$324:$I$339,$R$246),"")</f>
        <v/>
      </c>
      <c r="W246" s="2">
        <f>IF(ISNUMBER($R$246),INDEX('Dados'!$J$324:$J$339,$R$246),"")</f>
        <v/>
      </c>
      <c r="X246" s="2">
        <f>IF(ISNUMBER($R$246),INDEX('Dados'!$K$324:$K$339,$R$246),"")</f>
        <v/>
      </c>
      <c r="Y246" s="2">
        <f>IF(ISNUMBER($R$246),INDEX('Dados'!$L$324:$L$339,$R$246),"")</f>
        <v/>
      </c>
      <c r="Z246" s="2">
        <f>IF(ISNUMBER($R$246),INDEX('Dados'!$M$324:$M$339,$R$246),"")</f>
        <v/>
      </c>
      <c r="AA246" s="2">
        <f>IF(ISNUMBER($R$246),INDEX('Dados'!$N$324:$N$339,$R$246),"")</f>
        <v/>
      </c>
      <c r="AB246" s="2">
        <f>IF(ISNUMBER($CD$246),MIN($Z$246,MAX(1,INT($CD$246))),1)</f>
        <v/>
      </c>
      <c r="AC246" s="2">
        <f>IF(ISNUMBER($R$246),INDEX('Dados'!$B$324:$B$339,$R$246),"")</f>
        <v/>
      </c>
      <c r="AD246" s="2">
        <f>IF(AND(ISNUMBER($R$246),LEN($N$19)&gt;0,$Q$19=1,NOT(IF(ISNUMBER($CC$246),$CC$246=0,FALSE))),1,0)</f>
        <v/>
      </c>
      <c r="AE246" s="2">
        <f>IF($AD$246=1,36,"")</f>
        <v/>
      </c>
      <c r="AF246" s="2">
        <f>IF(ISNUMBER($R$246),INDEX('Dados'!$C$324:$C$339,$R$246),"")</f>
        <v/>
      </c>
      <c r="AG246" s="2">
        <f>IF($AD$246=0,"",$AC$246&amp;IF($H$246&lt;&gt;$AC$246," · Agora: "&amp;$H$246,"")&amp;" (duração: "&amp;$AF$246&amp;")")</f>
        <v/>
      </c>
      <c r="AH246" s="2">
        <f>IF(AND(ISNUMBER($R$246),LEN($N$19)&gt;0),IF(IF(ISNUMBER($CC$246),$CC$246=0,FALSE),1,0),0)</f>
        <v/>
      </c>
      <c r="CA246" s="2">
        <f>IF(ISERROR($B$246),"",IF(ISBLANK($B$246),"",$B$246))</f>
        <v/>
      </c>
      <c r="CC246" s="2">
        <f>IF(ISERROR($D$246),"",IF(ISBLANK($D$246),"",$D$246))</f>
        <v/>
      </c>
      <c r="CD246" s="2">
        <f>IF(ISERROR($E$246),"",IF(ISBLANK($E$246),"",$E$246))</f>
        <v/>
      </c>
      <c r="CE246" s="2">
        <f>IF(ISERROR($F$246),"",IF(ISBLANK($F$246),"",$F$246))</f>
        <v/>
      </c>
      <c r="CJ246" s="2">
        <f>ISERROR($B$246)*1+ISERROR($D$246)*1+ISERROR($E$246)*1+ISERROR($F$246)*1</f>
        <v/>
      </c>
    </row>
    <row r="247" ht="26" customHeight="1">
      <c r="A247" s="8" t="inlineStr">
        <is>
          <t>Combatente</t>
        </is>
      </c>
      <c r="B247" s="8" t="inlineStr">
        <is>
          <t>Condição</t>
        </is>
      </c>
      <c r="C247" s="20" t="n"/>
      <c r="D247" s="8" t="inlineStr">
        <is>
          <t>Turnos restantes</t>
        </is>
      </c>
      <c r="E247" s="8" t="inlineStr">
        <is>
          <t>Acúmulos</t>
        </is>
      </c>
      <c r="F247" s="8" t="inlineStr">
        <is>
          <t>Quem aplicou</t>
        </is>
      </c>
      <c r="G247" s="20" t="n"/>
      <c r="H247" s="8" t="inlineStr">
        <is>
          <t>Efeito e dano</t>
        </is>
      </c>
      <c r="I247" s="20" t="n"/>
      <c r="J247" s="20" t="n"/>
      <c r="K247" s="8" t="inlineStr">
        <is>
          <t>Aviso</t>
        </is>
      </c>
      <c r="L247" s="20" t="n"/>
      <c r="CA247" s="2">
        <f>IF(ISERROR($B$247),"",IF(ISBLANK($B$247),"",$B$247))</f>
        <v/>
      </c>
      <c r="CC247" s="2">
        <f>IF(ISERROR($D$247),"",IF(ISBLANK($D$247),"",$D$247))</f>
        <v/>
      </c>
      <c r="CE247" s="2">
        <f>IF(ISERROR($F$247),"",IF(ISBLANK($F$247),"",$F$247))</f>
        <v/>
      </c>
    </row>
    <row r="248" ht="48" customHeight="1">
      <c r="A248" s="31">
        <f>IF(LEN($N$20)&gt;0,$N$20,"10 · (vazio)")</f>
        <v/>
      </c>
      <c r="B248" s="4" t="n"/>
      <c r="C248" s="17" t="n"/>
      <c r="D248" s="16" t="n"/>
      <c r="E248" s="16" t="n"/>
      <c r="F248" s="4" t="n"/>
      <c r="G248" s="17" t="n"/>
      <c r="H248" s="5">
        <f>IF(NOT(ISNUMBER($R$248)),"",IF(IF(ISNUMBER($CC$248),$CC$248=0,FALSE),"EXPIRADA (0 turnos): já não vale; apague a condição",IF($W$248&gt;0,"Dano Contínuo: "&amp;MIN(INT($W$248*$Q$248/100),$X$248*$P$248)&amp;" por turno",IF($S$248&gt;0,IF($AA$248="Sim","Dano Contínuo: ","Dano: ")&amp;IF($U$248="Sim",$AB$248*$S$248,$S$248)&amp;"d"&amp;$T$248&amp;IF($V$248="Sim"," + "&amp;$P$248,"")&amp;" · média "&amp;(INT(IF($U$248="Sim",$AB$248*$S$248,$S$248)*($T$248+1)/2)+IF($V$248="Sim",$P$248,0)),$AC$248))&amp;IF($Y$248&gt;0,"; Atrasa "&amp;$Y$248&amp;" casa(s): some em Atraso deste Ciclo do alvo (C8)","")))</f>
        <v/>
      </c>
      <c r="K248" s="19">
        <f>IF(CJ248&gt;0,"O Google leu como fórmula: escolha de novo ou digite com ' na frente.",IF(LEN($CA$248)=0,"",IF(LEN($N$20)=0,"Combatente vazio: a condição não conta",IF(NOT(ISNUMBER($R$248)),"Condição fora do capítulo 21",IF(FALSE,"",IF(IF(ISNUMBER($CC$248),$CC$248=0,FALSE),"Expirou: os turnos chegaram a 0 e ela saiu do painel",IF(AND(ISNUMBER($CD$248),$CD$248&gt;$Z$248),"Acima do teto de "&amp;$Z$248&amp;" acúmulo(s) (21.5): usando o teto",IF($AA$248="Sim","Dano Contínuo: início do turno do alvo; ignora RD, não crita, sem dados de Fraqueza (20.6)",""))))))))</f>
        <v/>
      </c>
      <c r="N248" s="2">
        <f>IF(LEN($N$20)=0,"",10)</f>
        <v/>
      </c>
      <c r="O248" s="2">
        <f>IF(LEN($CE$248)=0,"",IFERROR(MATCH($CE$248,$N$11:$N$32,0),""))</f>
        <v/>
      </c>
      <c r="P248" s="2">
        <f>IF(ISNUMBER($O$248),INDEX($AS$11:$AS$32,$O$248),'Campanha'!$B$20)</f>
        <v/>
      </c>
      <c r="Q248" s="2">
        <f>IF(ISNUMBER($N$248),$AQ$20,0)</f>
        <v/>
      </c>
      <c r="R248" s="2">
        <f>IF(LEN($CA$248)=0,"",IFERROR(MATCH($CA$248,'Dados'!$A$324:$A$339,0),""))</f>
        <v/>
      </c>
      <c r="S248" s="2">
        <f>IF(ISNUMBER($R$248),INDEX('Dados'!$F$324:$F$339,$R$248),"")</f>
        <v/>
      </c>
      <c r="T248" s="2">
        <f>IF(ISNUMBER($R$248),INDEX('Dados'!$G$324:$G$339,$R$248),"")</f>
        <v/>
      </c>
      <c r="U248" s="2">
        <f>IF(ISNUMBER($R$248),INDEX('Dados'!$H$324:$H$339,$R$248),"")</f>
        <v/>
      </c>
      <c r="V248" s="2">
        <f>IF(ISNUMBER($R$248),INDEX('Dados'!$I$324:$I$339,$R$248),"")</f>
        <v/>
      </c>
      <c r="W248" s="2">
        <f>IF(ISNUMBER($R$248),INDEX('Dados'!$J$324:$J$339,$R$248),"")</f>
        <v/>
      </c>
      <c r="X248" s="2">
        <f>IF(ISNUMBER($R$248),INDEX('Dados'!$K$324:$K$339,$R$248),"")</f>
        <v/>
      </c>
      <c r="Y248" s="2">
        <f>IF(ISNUMBER($R$248),INDEX('Dados'!$L$324:$L$339,$R$248),"")</f>
        <v/>
      </c>
      <c r="Z248" s="2">
        <f>IF(ISNUMBER($R$248),INDEX('Dados'!$M$324:$M$339,$R$248),"")</f>
        <v/>
      </c>
      <c r="AA248" s="2">
        <f>IF(ISNUMBER($R$248),INDEX('Dados'!$N$324:$N$339,$R$248),"")</f>
        <v/>
      </c>
      <c r="AB248" s="2">
        <f>IF(ISNUMBER($CD$248),MIN($Z$248,MAX(1,INT($CD$248))),1)</f>
        <v/>
      </c>
      <c r="AC248" s="2">
        <f>IF(ISNUMBER($R$248),INDEX('Dados'!$B$324:$B$339,$R$248),"")</f>
        <v/>
      </c>
      <c r="AD248" s="2">
        <f>IF(AND(ISNUMBER($R$248),LEN($N$20)&gt;0,$Q$20=1,NOT(IF(ISNUMBER($CC$248),$CC$248=0,FALSE))),1,0)</f>
        <v/>
      </c>
      <c r="AE248" s="2">
        <f>IF($AD$248=1,37,"")</f>
        <v/>
      </c>
      <c r="AF248" s="2">
        <f>IF(ISNUMBER($R$248),INDEX('Dados'!$C$324:$C$339,$R$248),"")</f>
        <v/>
      </c>
      <c r="AG248" s="2">
        <f>IF($AD$248=0,"",$AC$248&amp;IF($H$248&lt;&gt;$AC$248," · Agora: "&amp;$H$248,"")&amp;" (duração: "&amp;$AF$248&amp;")")</f>
        <v/>
      </c>
      <c r="AH248" s="2">
        <f>IF(AND(ISNUMBER($R$248),LEN($N$20)&gt;0),IF(IF(ISNUMBER($CC$248),$CC$248=0,FALSE),1,0),0)</f>
        <v/>
      </c>
      <c r="CA248" s="2">
        <f>IF(ISERROR($B$248),"",IF(ISBLANK($B$248),"",$B$248))</f>
        <v/>
      </c>
      <c r="CC248" s="2">
        <f>IF(ISERROR($D$248),"",IF(ISBLANK($D$248),"",$D$248))</f>
        <v/>
      </c>
      <c r="CD248" s="2">
        <f>IF(ISERROR($E$248),"",IF(ISBLANK($E$248),"",$E$248))</f>
        <v/>
      </c>
      <c r="CE248" s="2">
        <f>IF(ISERROR($F$248),"",IF(ISBLANK($F$248),"",$F$248))</f>
        <v/>
      </c>
      <c r="CJ248" s="2">
        <f>ISERROR($B$248)*1+ISERROR($D$248)*1+ISERROR($E$248)*1+ISERROR($F$248)*1</f>
        <v/>
      </c>
    </row>
    <row r="249" ht="48" customHeight="1">
      <c r="A249" s="43">
        <f>IF(LEN($N$20)&gt;0,$N$20,"10 · (vazio)")</f>
        <v/>
      </c>
      <c r="B249" s="29" t="n"/>
      <c r="C249" s="17" t="n"/>
      <c r="D249" s="37" t="n"/>
      <c r="E249" s="37" t="n"/>
      <c r="F249" s="29" t="n"/>
      <c r="G249" s="17" t="n"/>
      <c r="H249" s="10">
        <f>IF(NOT(ISNUMBER($R$249)),"",IF(IF(ISNUMBER($CC$249),$CC$249=0,FALSE),"EXPIRADA (0 turnos): já não vale; apague a condição",IF($W$249&gt;0,"Dano Contínuo: "&amp;MIN(INT($W$249*$Q$249/100),$X$249*$P$249)&amp;" por turno",IF($S$249&gt;0,IF($AA$249="Sim","Dano Contínuo: ","Dano: ")&amp;IF($U$249="Sim",$AB$249*$S$249,$S$249)&amp;"d"&amp;$T$249&amp;IF($V$249="Sim"," + "&amp;$P$249,"")&amp;" · média "&amp;(INT(IF($U$249="Sim",$AB$249*$S$249,$S$249)*($T$249+1)/2)+IF($V$249="Sim",$P$249,0)),$AC$249))&amp;IF($Y$249&gt;0,"; Atrasa "&amp;$Y$249&amp;" casa(s): some em Atraso deste Ciclo do alvo (C8)","")))</f>
        <v/>
      </c>
      <c r="K249" s="27">
        <f>IF(CJ249&gt;0,"O Google leu como fórmula: escolha de novo ou digite com ' na frente.",IF(LEN($CA$249)=0,"",IF(LEN($N$20)=0,"Combatente vazio: a condição não conta",IF(NOT(ISNUMBER($R$249)),"Condição fora do capítulo 21",IF(FALSE,"",IF(IF(ISNUMBER($CC$249),$CC$249=0,FALSE),"Expirou: os turnos chegaram a 0 e ela saiu do painel",IF(AND(ISNUMBER($CD$249),$CD$249&gt;$Z$249),"Acima do teto de "&amp;$Z$249&amp;" acúmulo(s) (21.5): usando o teto",IF($AA$249="Sim","Dano Contínuo: início do turno do alvo; ignora RD, não crita, sem dados de Fraqueza (20.6)",""))))))))</f>
        <v/>
      </c>
      <c r="N249" s="2">
        <f>IF(LEN($N$20)=0,"",10)</f>
        <v/>
      </c>
      <c r="O249" s="2">
        <f>IF(LEN($CE$249)=0,"",IFERROR(MATCH($CE$249,$N$11:$N$32,0),""))</f>
        <v/>
      </c>
      <c r="P249" s="2">
        <f>IF(ISNUMBER($O$249),INDEX($AS$11:$AS$32,$O$249),'Campanha'!$B$20)</f>
        <v/>
      </c>
      <c r="Q249" s="2">
        <f>IF(ISNUMBER($N$249),$AQ$20,0)</f>
        <v/>
      </c>
      <c r="R249" s="2">
        <f>IF(LEN($CA$249)=0,"",IFERROR(MATCH($CA$249,'Dados'!$A$324:$A$339,0),""))</f>
        <v/>
      </c>
      <c r="S249" s="2">
        <f>IF(ISNUMBER($R$249),INDEX('Dados'!$F$324:$F$339,$R$249),"")</f>
        <v/>
      </c>
      <c r="T249" s="2">
        <f>IF(ISNUMBER($R$249),INDEX('Dados'!$G$324:$G$339,$R$249),"")</f>
        <v/>
      </c>
      <c r="U249" s="2">
        <f>IF(ISNUMBER($R$249),INDEX('Dados'!$H$324:$H$339,$R$249),"")</f>
        <v/>
      </c>
      <c r="V249" s="2">
        <f>IF(ISNUMBER($R$249),INDEX('Dados'!$I$324:$I$339,$R$249),"")</f>
        <v/>
      </c>
      <c r="W249" s="2">
        <f>IF(ISNUMBER($R$249),INDEX('Dados'!$J$324:$J$339,$R$249),"")</f>
        <v/>
      </c>
      <c r="X249" s="2">
        <f>IF(ISNUMBER($R$249),INDEX('Dados'!$K$324:$K$339,$R$249),"")</f>
        <v/>
      </c>
      <c r="Y249" s="2">
        <f>IF(ISNUMBER($R$249),INDEX('Dados'!$L$324:$L$339,$R$249),"")</f>
        <v/>
      </c>
      <c r="Z249" s="2">
        <f>IF(ISNUMBER($R$249),INDEX('Dados'!$M$324:$M$339,$R$249),"")</f>
        <v/>
      </c>
      <c r="AA249" s="2">
        <f>IF(ISNUMBER($R$249),INDEX('Dados'!$N$324:$N$339,$R$249),"")</f>
        <v/>
      </c>
      <c r="AB249" s="2">
        <f>IF(ISNUMBER($CD$249),MIN($Z$249,MAX(1,INT($CD$249))),1)</f>
        <v/>
      </c>
      <c r="AC249" s="2">
        <f>IF(ISNUMBER($R$249),INDEX('Dados'!$B$324:$B$339,$R$249),"")</f>
        <v/>
      </c>
      <c r="AD249" s="2">
        <f>IF(AND(ISNUMBER($R$249),LEN($N$20)&gt;0,$Q$20=1,NOT(IF(ISNUMBER($CC$249),$CC$249=0,FALSE))),1,0)</f>
        <v/>
      </c>
      <c r="AE249" s="2">
        <f>IF($AD$249=1,38,"")</f>
        <v/>
      </c>
      <c r="AF249" s="2">
        <f>IF(ISNUMBER($R$249),INDEX('Dados'!$C$324:$C$339,$R$249),"")</f>
        <v/>
      </c>
      <c r="AG249" s="2">
        <f>IF($AD$249=0,"",$AC$249&amp;IF($H$249&lt;&gt;$AC$249," · Agora: "&amp;$H$249,"")&amp;" (duração: "&amp;$AF$249&amp;")")</f>
        <v/>
      </c>
      <c r="AH249" s="2">
        <f>IF(AND(ISNUMBER($R$249),LEN($N$20)&gt;0),IF(IF(ISNUMBER($CC$249),$CC$249=0,FALSE),1,0),0)</f>
        <v/>
      </c>
      <c r="CA249" s="2">
        <f>IF(ISERROR($B$249),"",IF(ISBLANK($B$249),"",$B$249))</f>
        <v/>
      </c>
      <c r="CC249" s="2">
        <f>IF(ISERROR($D$249),"",IF(ISBLANK($D$249),"",$D$249))</f>
        <v/>
      </c>
      <c r="CD249" s="2">
        <f>IF(ISERROR($E$249),"",IF(ISBLANK($E$249),"",$E$249))</f>
        <v/>
      </c>
      <c r="CE249" s="2">
        <f>IF(ISERROR($F$249),"",IF(ISBLANK($F$249),"",$F$249))</f>
        <v/>
      </c>
      <c r="CJ249" s="2">
        <f>ISERROR($B$249)*1+ISERROR($D$249)*1+ISERROR($E$249)*1+ISERROR($F$249)*1</f>
        <v/>
      </c>
    </row>
    <row r="250" ht="48" customHeight="1">
      <c r="A250" s="31">
        <f>IF(LEN($N$20)&gt;0,$N$20,"10 · (vazio)")</f>
        <v/>
      </c>
      <c r="B250" s="4" t="n"/>
      <c r="C250" s="17" t="n"/>
      <c r="D250" s="16" t="n"/>
      <c r="E250" s="16" t="n"/>
      <c r="F250" s="4" t="n"/>
      <c r="G250" s="17" t="n"/>
      <c r="H250" s="5">
        <f>IF(NOT(ISNUMBER($R$250)),"",IF(IF(ISNUMBER($CC$250),$CC$250=0,FALSE),"EXPIRADA (0 turnos): já não vale; apague a condição",IF($W$250&gt;0,"Dano Contínuo: "&amp;MIN(INT($W$250*$Q$250/100),$X$250*$P$250)&amp;" por turno",IF($S$250&gt;0,IF($AA$250="Sim","Dano Contínuo: ","Dano: ")&amp;IF($U$250="Sim",$AB$250*$S$250,$S$250)&amp;"d"&amp;$T$250&amp;IF($V$250="Sim"," + "&amp;$P$250,"")&amp;" · média "&amp;(INT(IF($U$250="Sim",$AB$250*$S$250,$S$250)*($T$250+1)/2)+IF($V$250="Sim",$P$250,0)),$AC$250))&amp;IF($Y$250&gt;0,"; Atrasa "&amp;$Y$250&amp;" casa(s): some em Atraso deste Ciclo do alvo (C8)","")))</f>
        <v/>
      </c>
      <c r="K250" s="19">
        <f>IF(CJ250&gt;0,"O Google leu como fórmula: escolha de novo ou digite com ' na frente.",IF(LEN($CA$250)=0,"",IF(LEN($N$20)=0,"Combatente vazio: a condição não conta",IF(NOT(ISNUMBER($R$250)),"Condição fora do capítulo 21",IF(FALSE,"",IF(IF(ISNUMBER($CC$250),$CC$250=0,FALSE),"Expirou: os turnos chegaram a 0 e ela saiu do painel",IF(AND(ISNUMBER($CD$250),$CD$250&gt;$Z$250),"Acima do teto de "&amp;$Z$250&amp;" acúmulo(s) (21.5): usando o teto",IF($AA$250="Sim","Dano Contínuo: início do turno do alvo; ignora RD, não crita, sem dados de Fraqueza (20.6)",""))))))))</f>
        <v/>
      </c>
      <c r="N250" s="2">
        <f>IF(LEN($N$20)=0,"",10)</f>
        <v/>
      </c>
      <c r="O250" s="2">
        <f>IF(LEN($CE$250)=0,"",IFERROR(MATCH($CE$250,$N$11:$N$32,0),""))</f>
        <v/>
      </c>
      <c r="P250" s="2">
        <f>IF(ISNUMBER($O$250),INDEX($AS$11:$AS$32,$O$250),'Campanha'!$B$20)</f>
        <v/>
      </c>
      <c r="Q250" s="2">
        <f>IF(ISNUMBER($N$250),$AQ$20,0)</f>
        <v/>
      </c>
      <c r="R250" s="2">
        <f>IF(LEN($CA$250)=0,"",IFERROR(MATCH($CA$250,'Dados'!$A$324:$A$339,0),""))</f>
        <v/>
      </c>
      <c r="S250" s="2">
        <f>IF(ISNUMBER($R$250),INDEX('Dados'!$F$324:$F$339,$R$250),"")</f>
        <v/>
      </c>
      <c r="T250" s="2">
        <f>IF(ISNUMBER($R$250),INDEX('Dados'!$G$324:$G$339,$R$250),"")</f>
        <v/>
      </c>
      <c r="U250" s="2">
        <f>IF(ISNUMBER($R$250),INDEX('Dados'!$H$324:$H$339,$R$250),"")</f>
        <v/>
      </c>
      <c r="V250" s="2">
        <f>IF(ISNUMBER($R$250),INDEX('Dados'!$I$324:$I$339,$R$250),"")</f>
        <v/>
      </c>
      <c r="W250" s="2">
        <f>IF(ISNUMBER($R$250),INDEX('Dados'!$J$324:$J$339,$R$250),"")</f>
        <v/>
      </c>
      <c r="X250" s="2">
        <f>IF(ISNUMBER($R$250),INDEX('Dados'!$K$324:$K$339,$R$250),"")</f>
        <v/>
      </c>
      <c r="Y250" s="2">
        <f>IF(ISNUMBER($R$250),INDEX('Dados'!$L$324:$L$339,$R$250),"")</f>
        <v/>
      </c>
      <c r="Z250" s="2">
        <f>IF(ISNUMBER($R$250),INDEX('Dados'!$M$324:$M$339,$R$250),"")</f>
        <v/>
      </c>
      <c r="AA250" s="2">
        <f>IF(ISNUMBER($R$250),INDEX('Dados'!$N$324:$N$339,$R$250),"")</f>
        <v/>
      </c>
      <c r="AB250" s="2">
        <f>IF(ISNUMBER($CD$250),MIN($Z$250,MAX(1,INT($CD$250))),1)</f>
        <v/>
      </c>
      <c r="AC250" s="2">
        <f>IF(ISNUMBER($R$250),INDEX('Dados'!$B$324:$B$339,$R$250),"")</f>
        <v/>
      </c>
      <c r="AD250" s="2">
        <f>IF(AND(ISNUMBER($R$250),LEN($N$20)&gt;0,$Q$20=1,NOT(IF(ISNUMBER($CC$250),$CC$250=0,FALSE))),1,0)</f>
        <v/>
      </c>
      <c r="AE250" s="2">
        <f>IF($AD$250=1,39,"")</f>
        <v/>
      </c>
      <c r="AF250" s="2">
        <f>IF(ISNUMBER($R$250),INDEX('Dados'!$C$324:$C$339,$R$250),"")</f>
        <v/>
      </c>
      <c r="AG250" s="2">
        <f>IF($AD$250=0,"",$AC$250&amp;IF($H$250&lt;&gt;$AC$250," · Agora: "&amp;$H$250,"")&amp;" (duração: "&amp;$AF$250&amp;")")</f>
        <v/>
      </c>
      <c r="AH250" s="2">
        <f>IF(AND(ISNUMBER($R$250),LEN($N$20)&gt;0),IF(IF(ISNUMBER($CC$250),$CC$250=0,FALSE),1,0),0)</f>
        <v/>
      </c>
      <c r="CA250" s="2">
        <f>IF(ISERROR($B$250),"",IF(ISBLANK($B$250),"",$B$250))</f>
        <v/>
      </c>
      <c r="CC250" s="2">
        <f>IF(ISERROR($D$250),"",IF(ISBLANK($D$250),"",$D$250))</f>
        <v/>
      </c>
      <c r="CD250" s="2">
        <f>IF(ISERROR($E$250),"",IF(ISBLANK($E$250),"",$E$250))</f>
        <v/>
      </c>
      <c r="CE250" s="2">
        <f>IF(ISERROR($F$250),"",IF(ISBLANK($F$250),"",$F$250))</f>
        <v/>
      </c>
      <c r="CJ250" s="2">
        <f>ISERROR($B$250)*1+ISERROR($D$250)*1+ISERROR($E$250)*1+ISERROR($F$250)*1</f>
        <v/>
      </c>
    </row>
    <row r="251" ht="48" customHeight="1">
      <c r="A251" s="43">
        <f>IF(LEN($N$20)&gt;0,$N$20,"10 · (vazio)")</f>
        <v/>
      </c>
      <c r="B251" s="29" t="n"/>
      <c r="C251" s="17" t="n"/>
      <c r="D251" s="37" t="n"/>
      <c r="E251" s="37" t="n"/>
      <c r="F251" s="29" t="n"/>
      <c r="G251" s="17" t="n"/>
      <c r="H251" s="10">
        <f>IF(NOT(ISNUMBER($R$251)),"",IF(IF(ISNUMBER($CC$251),$CC$251=0,FALSE),"EXPIRADA (0 turnos): já não vale; apague a condição",IF($W$251&gt;0,"Dano Contínuo: "&amp;MIN(INT($W$251*$Q$251/100),$X$251*$P$251)&amp;" por turno",IF($S$251&gt;0,IF($AA$251="Sim","Dano Contínuo: ","Dano: ")&amp;IF($U$251="Sim",$AB$251*$S$251,$S$251)&amp;"d"&amp;$T$251&amp;IF($V$251="Sim"," + "&amp;$P$251,"")&amp;" · média "&amp;(INT(IF($U$251="Sim",$AB$251*$S$251,$S$251)*($T$251+1)/2)+IF($V$251="Sim",$P$251,0)),$AC$251))&amp;IF($Y$251&gt;0,"; Atrasa "&amp;$Y$251&amp;" casa(s): some em Atraso deste Ciclo do alvo (C8)","")))</f>
        <v/>
      </c>
      <c r="K251" s="27">
        <f>IF(CJ251&gt;0,"O Google leu como fórmula: escolha de novo ou digite com ' na frente.",IF(LEN($CA$251)=0,"",IF(LEN($N$20)=0,"Combatente vazio: a condição não conta",IF(NOT(ISNUMBER($R$251)),"Condição fora do capítulo 21",IF(FALSE,"",IF(IF(ISNUMBER($CC$251),$CC$251=0,FALSE),"Expirou: os turnos chegaram a 0 e ela saiu do painel",IF(AND(ISNUMBER($CD$251),$CD$251&gt;$Z$251),"Acima do teto de "&amp;$Z$251&amp;" acúmulo(s) (21.5): usando o teto",IF($AA$251="Sim","Dano Contínuo: início do turno do alvo; ignora RD, não crita, sem dados de Fraqueza (20.6)",""))))))))</f>
        <v/>
      </c>
      <c r="N251" s="2">
        <f>IF(LEN($N$20)=0,"",10)</f>
        <v/>
      </c>
      <c r="O251" s="2">
        <f>IF(LEN($CE$251)=0,"",IFERROR(MATCH($CE$251,$N$11:$N$32,0),""))</f>
        <v/>
      </c>
      <c r="P251" s="2">
        <f>IF(ISNUMBER($O$251),INDEX($AS$11:$AS$32,$O$251),'Campanha'!$B$20)</f>
        <v/>
      </c>
      <c r="Q251" s="2">
        <f>IF(ISNUMBER($N$251),$AQ$20,0)</f>
        <v/>
      </c>
      <c r="R251" s="2">
        <f>IF(LEN($CA$251)=0,"",IFERROR(MATCH($CA$251,'Dados'!$A$324:$A$339,0),""))</f>
        <v/>
      </c>
      <c r="S251" s="2">
        <f>IF(ISNUMBER($R$251),INDEX('Dados'!$F$324:$F$339,$R$251),"")</f>
        <v/>
      </c>
      <c r="T251" s="2">
        <f>IF(ISNUMBER($R$251),INDEX('Dados'!$G$324:$G$339,$R$251),"")</f>
        <v/>
      </c>
      <c r="U251" s="2">
        <f>IF(ISNUMBER($R$251),INDEX('Dados'!$H$324:$H$339,$R$251),"")</f>
        <v/>
      </c>
      <c r="V251" s="2">
        <f>IF(ISNUMBER($R$251),INDEX('Dados'!$I$324:$I$339,$R$251),"")</f>
        <v/>
      </c>
      <c r="W251" s="2">
        <f>IF(ISNUMBER($R$251),INDEX('Dados'!$J$324:$J$339,$R$251),"")</f>
        <v/>
      </c>
      <c r="X251" s="2">
        <f>IF(ISNUMBER($R$251),INDEX('Dados'!$K$324:$K$339,$R$251),"")</f>
        <v/>
      </c>
      <c r="Y251" s="2">
        <f>IF(ISNUMBER($R$251),INDEX('Dados'!$L$324:$L$339,$R$251),"")</f>
        <v/>
      </c>
      <c r="Z251" s="2">
        <f>IF(ISNUMBER($R$251),INDEX('Dados'!$M$324:$M$339,$R$251),"")</f>
        <v/>
      </c>
      <c r="AA251" s="2">
        <f>IF(ISNUMBER($R$251),INDEX('Dados'!$N$324:$N$339,$R$251),"")</f>
        <v/>
      </c>
      <c r="AB251" s="2">
        <f>IF(ISNUMBER($CD$251),MIN($Z$251,MAX(1,INT($CD$251))),1)</f>
        <v/>
      </c>
      <c r="AC251" s="2">
        <f>IF(ISNUMBER($R$251),INDEX('Dados'!$B$324:$B$339,$R$251),"")</f>
        <v/>
      </c>
      <c r="AD251" s="2">
        <f>IF(AND(ISNUMBER($R$251),LEN($N$20)&gt;0,$Q$20=1,NOT(IF(ISNUMBER($CC$251),$CC$251=0,FALSE))),1,0)</f>
        <v/>
      </c>
      <c r="AE251" s="2">
        <f>IF($AD$251=1,40,"")</f>
        <v/>
      </c>
      <c r="AF251" s="2">
        <f>IF(ISNUMBER($R$251),INDEX('Dados'!$C$324:$C$339,$R$251),"")</f>
        <v/>
      </c>
      <c r="AG251" s="2">
        <f>IF($AD$251=0,"",$AC$251&amp;IF($H$251&lt;&gt;$AC$251," · Agora: "&amp;$H$251,"")&amp;" (duração: "&amp;$AF$251&amp;")")</f>
        <v/>
      </c>
      <c r="AH251" s="2">
        <f>IF(AND(ISNUMBER($R$251),LEN($N$20)&gt;0),IF(IF(ISNUMBER($CC$251),$CC$251=0,FALSE),1,0),0)</f>
        <v/>
      </c>
      <c r="CA251" s="2">
        <f>IF(ISERROR($B$251),"",IF(ISBLANK($B$251),"",$B$251))</f>
        <v/>
      </c>
      <c r="CC251" s="2">
        <f>IF(ISERROR($D$251),"",IF(ISBLANK($D$251),"",$D$251))</f>
        <v/>
      </c>
      <c r="CD251" s="2">
        <f>IF(ISERROR($E$251),"",IF(ISBLANK($E$251),"",$E$251))</f>
        <v/>
      </c>
      <c r="CE251" s="2">
        <f>IF(ISERROR($F$251),"",IF(ISBLANK($F$251),"",$F$251))</f>
        <v/>
      </c>
      <c r="CJ251" s="2">
        <f>ISERROR($B$251)*1+ISERROR($D$251)*1+ISERROR($E$251)*1+ISERROR($F$251)*1</f>
        <v/>
      </c>
    </row>
    <row r="252" ht="48" customHeight="1">
      <c r="A252" s="31">
        <f>IF(LEN($N$21)&gt;0,$N$21,"11 · (vazio)")</f>
        <v/>
      </c>
      <c r="B252" s="4" t="n"/>
      <c r="C252" s="17" t="n"/>
      <c r="D252" s="16" t="n"/>
      <c r="E252" s="16" t="n"/>
      <c r="F252" s="4" t="n"/>
      <c r="G252" s="17" t="n"/>
      <c r="H252" s="5">
        <f>IF(NOT(ISNUMBER($R$252)),"",IF(IF(ISNUMBER($CC$252),$CC$252=0,FALSE),"EXPIRADA (0 turnos): já não vale; apague a condição",IF($W$252&gt;0,"Dano Contínuo: "&amp;MIN(INT($W$252*$Q$252/100),$X$252*$P$252)&amp;" por turno",IF($S$252&gt;0,IF($AA$252="Sim","Dano Contínuo: ","Dano: ")&amp;IF($U$252="Sim",$AB$252*$S$252,$S$252)&amp;"d"&amp;$T$252&amp;IF($V$252="Sim"," + "&amp;$P$252,"")&amp;" · média "&amp;(INT(IF($U$252="Sim",$AB$252*$S$252,$S$252)*($T$252+1)/2)+IF($V$252="Sim",$P$252,0)),$AC$252))&amp;IF($Y$252&gt;0,"; Atrasa "&amp;$Y$252&amp;" casa(s): some em Atraso deste Ciclo do alvo (C8)","")))</f>
        <v/>
      </c>
      <c r="K252" s="19">
        <f>IF(CJ252&gt;0,"O Google leu como fórmula: escolha de novo ou digite com ' na frente.",IF(LEN($CA$252)=0,"",IF(LEN($N$21)=0,"Combatente vazio: a condição não conta",IF(NOT(ISNUMBER($R$252)),"Condição fora do capítulo 21",IF(FALSE,"",IF(IF(ISNUMBER($CC$252),$CC$252=0,FALSE),"Expirou: os turnos chegaram a 0 e ela saiu do painel",IF(AND(ISNUMBER($CD$252),$CD$252&gt;$Z$252),"Acima do teto de "&amp;$Z$252&amp;" acúmulo(s) (21.5): usando o teto",IF($AA$252="Sim","Dano Contínuo: início do turno do alvo; ignora RD, não crita, sem dados de Fraqueza (20.6)",""))))))))</f>
        <v/>
      </c>
      <c r="N252" s="2">
        <f>IF(LEN($N$21)=0,"",11)</f>
        <v/>
      </c>
      <c r="O252" s="2">
        <f>IF(LEN($CE$252)=0,"",IFERROR(MATCH($CE$252,$N$11:$N$32,0),""))</f>
        <v/>
      </c>
      <c r="P252" s="2">
        <f>IF(ISNUMBER($O$252),INDEX($AS$11:$AS$32,$O$252),'Campanha'!$B$20)</f>
        <v/>
      </c>
      <c r="Q252" s="2">
        <f>IF(ISNUMBER($N$252),$AQ$21,0)</f>
        <v/>
      </c>
      <c r="R252" s="2">
        <f>IF(LEN($CA$252)=0,"",IFERROR(MATCH($CA$252,'Dados'!$A$324:$A$339,0),""))</f>
        <v/>
      </c>
      <c r="S252" s="2">
        <f>IF(ISNUMBER($R$252),INDEX('Dados'!$F$324:$F$339,$R$252),"")</f>
        <v/>
      </c>
      <c r="T252" s="2">
        <f>IF(ISNUMBER($R$252),INDEX('Dados'!$G$324:$G$339,$R$252),"")</f>
        <v/>
      </c>
      <c r="U252" s="2">
        <f>IF(ISNUMBER($R$252),INDEX('Dados'!$H$324:$H$339,$R$252),"")</f>
        <v/>
      </c>
      <c r="V252" s="2">
        <f>IF(ISNUMBER($R$252),INDEX('Dados'!$I$324:$I$339,$R$252),"")</f>
        <v/>
      </c>
      <c r="W252" s="2">
        <f>IF(ISNUMBER($R$252),INDEX('Dados'!$J$324:$J$339,$R$252),"")</f>
        <v/>
      </c>
      <c r="X252" s="2">
        <f>IF(ISNUMBER($R$252),INDEX('Dados'!$K$324:$K$339,$R$252),"")</f>
        <v/>
      </c>
      <c r="Y252" s="2">
        <f>IF(ISNUMBER($R$252),INDEX('Dados'!$L$324:$L$339,$R$252),"")</f>
        <v/>
      </c>
      <c r="Z252" s="2">
        <f>IF(ISNUMBER($R$252),INDEX('Dados'!$M$324:$M$339,$R$252),"")</f>
        <v/>
      </c>
      <c r="AA252" s="2">
        <f>IF(ISNUMBER($R$252),INDEX('Dados'!$N$324:$N$339,$R$252),"")</f>
        <v/>
      </c>
      <c r="AB252" s="2">
        <f>IF(ISNUMBER($CD$252),MIN($Z$252,MAX(1,INT($CD$252))),1)</f>
        <v/>
      </c>
      <c r="AC252" s="2">
        <f>IF(ISNUMBER($R$252),INDEX('Dados'!$B$324:$B$339,$R$252),"")</f>
        <v/>
      </c>
      <c r="AD252" s="2">
        <f>IF(AND(ISNUMBER($R$252),LEN($N$21)&gt;0,$Q$21=1,NOT(IF(ISNUMBER($CC$252),$CC$252=0,FALSE))),1,0)</f>
        <v/>
      </c>
      <c r="AE252" s="2">
        <f>IF($AD$252=1,41,"")</f>
        <v/>
      </c>
      <c r="AF252" s="2">
        <f>IF(ISNUMBER($R$252),INDEX('Dados'!$C$324:$C$339,$R$252),"")</f>
        <v/>
      </c>
      <c r="AG252" s="2">
        <f>IF($AD$252=0,"",$AC$252&amp;IF($H$252&lt;&gt;$AC$252," · Agora: "&amp;$H$252,"")&amp;" (duração: "&amp;$AF$252&amp;")")</f>
        <v/>
      </c>
      <c r="AH252" s="2">
        <f>IF(AND(ISNUMBER($R$252),LEN($N$21)&gt;0),IF(IF(ISNUMBER($CC$252),$CC$252=0,FALSE),1,0),0)</f>
        <v/>
      </c>
      <c r="CA252" s="2">
        <f>IF(ISERROR($B$252),"",IF(ISBLANK($B$252),"",$B$252))</f>
        <v/>
      </c>
      <c r="CC252" s="2">
        <f>IF(ISERROR($D$252),"",IF(ISBLANK($D$252),"",$D$252))</f>
        <v/>
      </c>
      <c r="CD252" s="2">
        <f>IF(ISERROR($E$252),"",IF(ISBLANK($E$252),"",$E$252))</f>
        <v/>
      </c>
      <c r="CE252" s="2">
        <f>IF(ISERROR($F$252),"",IF(ISBLANK($F$252),"",$F$252))</f>
        <v/>
      </c>
      <c r="CJ252" s="2">
        <f>ISERROR($B$252)*1+ISERROR($D$252)*1+ISERROR($E$252)*1+ISERROR($F$252)*1</f>
        <v/>
      </c>
    </row>
    <row r="253" ht="48" customHeight="1">
      <c r="A253" s="43">
        <f>IF(LEN($N$21)&gt;0,$N$21,"11 · (vazio)")</f>
        <v/>
      </c>
      <c r="B253" s="29" t="n"/>
      <c r="C253" s="17" t="n"/>
      <c r="D253" s="37" t="n"/>
      <c r="E253" s="37" t="n"/>
      <c r="F253" s="29" t="n"/>
      <c r="G253" s="17" t="n"/>
      <c r="H253" s="10">
        <f>IF(NOT(ISNUMBER($R$253)),"",IF(IF(ISNUMBER($CC$253),$CC$253=0,FALSE),"EXPIRADA (0 turnos): já não vale; apague a condição",IF($W$253&gt;0,"Dano Contínuo: "&amp;MIN(INT($W$253*$Q$253/100),$X$253*$P$253)&amp;" por turno",IF($S$253&gt;0,IF($AA$253="Sim","Dano Contínuo: ","Dano: ")&amp;IF($U$253="Sim",$AB$253*$S$253,$S$253)&amp;"d"&amp;$T$253&amp;IF($V$253="Sim"," + "&amp;$P$253,"")&amp;" · média "&amp;(INT(IF($U$253="Sim",$AB$253*$S$253,$S$253)*($T$253+1)/2)+IF($V$253="Sim",$P$253,0)),$AC$253))&amp;IF($Y$253&gt;0,"; Atrasa "&amp;$Y$253&amp;" casa(s): some em Atraso deste Ciclo do alvo (C8)","")))</f>
        <v/>
      </c>
      <c r="K253" s="27">
        <f>IF(CJ253&gt;0,"O Google leu como fórmula: escolha de novo ou digite com ' na frente.",IF(LEN($CA$253)=0,"",IF(LEN($N$21)=0,"Combatente vazio: a condição não conta",IF(NOT(ISNUMBER($R$253)),"Condição fora do capítulo 21",IF(FALSE,"",IF(IF(ISNUMBER($CC$253),$CC$253=0,FALSE),"Expirou: os turnos chegaram a 0 e ela saiu do painel",IF(AND(ISNUMBER($CD$253),$CD$253&gt;$Z$253),"Acima do teto de "&amp;$Z$253&amp;" acúmulo(s) (21.5): usando o teto",IF($AA$253="Sim","Dano Contínuo: início do turno do alvo; ignora RD, não crita, sem dados de Fraqueza (20.6)",""))))))))</f>
        <v/>
      </c>
      <c r="N253" s="2">
        <f>IF(LEN($N$21)=0,"",11)</f>
        <v/>
      </c>
      <c r="O253" s="2">
        <f>IF(LEN($CE$253)=0,"",IFERROR(MATCH($CE$253,$N$11:$N$32,0),""))</f>
        <v/>
      </c>
      <c r="P253" s="2">
        <f>IF(ISNUMBER($O$253),INDEX($AS$11:$AS$32,$O$253),'Campanha'!$B$20)</f>
        <v/>
      </c>
      <c r="Q253" s="2">
        <f>IF(ISNUMBER($N$253),$AQ$21,0)</f>
        <v/>
      </c>
      <c r="R253" s="2">
        <f>IF(LEN($CA$253)=0,"",IFERROR(MATCH($CA$253,'Dados'!$A$324:$A$339,0),""))</f>
        <v/>
      </c>
      <c r="S253" s="2">
        <f>IF(ISNUMBER($R$253),INDEX('Dados'!$F$324:$F$339,$R$253),"")</f>
        <v/>
      </c>
      <c r="T253" s="2">
        <f>IF(ISNUMBER($R$253),INDEX('Dados'!$G$324:$G$339,$R$253),"")</f>
        <v/>
      </c>
      <c r="U253" s="2">
        <f>IF(ISNUMBER($R$253),INDEX('Dados'!$H$324:$H$339,$R$253),"")</f>
        <v/>
      </c>
      <c r="V253" s="2">
        <f>IF(ISNUMBER($R$253),INDEX('Dados'!$I$324:$I$339,$R$253),"")</f>
        <v/>
      </c>
      <c r="W253" s="2">
        <f>IF(ISNUMBER($R$253),INDEX('Dados'!$J$324:$J$339,$R$253),"")</f>
        <v/>
      </c>
      <c r="X253" s="2">
        <f>IF(ISNUMBER($R$253),INDEX('Dados'!$K$324:$K$339,$R$253),"")</f>
        <v/>
      </c>
      <c r="Y253" s="2">
        <f>IF(ISNUMBER($R$253),INDEX('Dados'!$L$324:$L$339,$R$253),"")</f>
        <v/>
      </c>
      <c r="Z253" s="2">
        <f>IF(ISNUMBER($R$253),INDEX('Dados'!$M$324:$M$339,$R$253),"")</f>
        <v/>
      </c>
      <c r="AA253" s="2">
        <f>IF(ISNUMBER($R$253),INDEX('Dados'!$N$324:$N$339,$R$253),"")</f>
        <v/>
      </c>
      <c r="AB253" s="2">
        <f>IF(ISNUMBER($CD$253),MIN($Z$253,MAX(1,INT($CD$253))),1)</f>
        <v/>
      </c>
      <c r="AC253" s="2">
        <f>IF(ISNUMBER($R$253),INDEX('Dados'!$B$324:$B$339,$R$253),"")</f>
        <v/>
      </c>
      <c r="AD253" s="2">
        <f>IF(AND(ISNUMBER($R$253),LEN($N$21)&gt;0,$Q$21=1,NOT(IF(ISNUMBER($CC$253),$CC$253=0,FALSE))),1,0)</f>
        <v/>
      </c>
      <c r="AE253" s="2">
        <f>IF($AD$253=1,42,"")</f>
        <v/>
      </c>
      <c r="AF253" s="2">
        <f>IF(ISNUMBER($R$253),INDEX('Dados'!$C$324:$C$339,$R$253),"")</f>
        <v/>
      </c>
      <c r="AG253" s="2">
        <f>IF($AD$253=0,"",$AC$253&amp;IF($H$253&lt;&gt;$AC$253," · Agora: "&amp;$H$253,"")&amp;" (duração: "&amp;$AF$253&amp;")")</f>
        <v/>
      </c>
      <c r="AH253" s="2">
        <f>IF(AND(ISNUMBER($R$253),LEN($N$21)&gt;0),IF(IF(ISNUMBER($CC$253),$CC$253=0,FALSE),1,0),0)</f>
        <v/>
      </c>
      <c r="CA253" s="2">
        <f>IF(ISERROR($B$253),"",IF(ISBLANK($B$253),"",$B$253))</f>
        <v/>
      </c>
      <c r="CC253" s="2">
        <f>IF(ISERROR($D$253),"",IF(ISBLANK($D$253),"",$D$253))</f>
        <v/>
      </c>
      <c r="CD253" s="2">
        <f>IF(ISERROR($E$253),"",IF(ISBLANK($E$253),"",$E$253))</f>
        <v/>
      </c>
      <c r="CE253" s="2">
        <f>IF(ISERROR($F$253),"",IF(ISBLANK($F$253),"",$F$253))</f>
        <v/>
      </c>
      <c r="CJ253" s="2">
        <f>ISERROR($B$253)*1+ISERROR($D$253)*1+ISERROR($E$253)*1+ISERROR($F$253)*1</f>
        <v/>
      </c>
    </row>
    <row r="254" ht="48" customHeight="1">
      <c r="A254" s="31">
        <f>IF(LEN($N$21)&gt;0,$N$21,"11 · (vazio)")</f>
        <v/>
      </c>
      <c r="B254" s="4" t="n"/>
      <c r="C254" s="17" t="n"/>
      <c r="D254" s="16" t="n"/>
      <c r="E254" s="16" t="n"/>
      <c r="F254" s="4" t="n"/>
      <c r="G254" s="17" t="n"/>
      <c r="H254" s="5">
        <f>IF(NOT(ISNUMBER($R$254)),"",IF(IF(ISNUMBER($CC$254),$CC$254=0,FALSE),"EXPIRADA (0 turnos): já não vale; apague a condição",IF($W$254&gt;0,"Dano Contínuo: "&amp;MIN(INT($W$254*$Q$254/100),$X$254*$P$254)&amp;" por turno",IF($S$254&gt;0,IF($AA$254="Sim","Dano Contínuo: ","Dano: ")&amp;IF($U$254="Sim",$AB$254*$S$254,$S$254)&amp;"d"&amp;$T$254&amp;IF($V$254="Sim"," + "&amp;$P$254,"")&amp;" · média "&amp;(INT(IF($U$254="Sim",$AB$254*$S$254,$S$254)*($T$254+1)/2)+IF($V$254="Sim",$P$254,0)),$AC$254))&amp;IF($Y$254&gt;0,"; Atrasa "&amp;$Y$254&amp;" casa(s): some em Atraso deste Ciclo do alvo (C8)","")))</f>
        <v/>
      </c>
      <c r="K254" s="19">
        <f>IF(CJ254&gt;0,"O Google leu como fórmula: escolha de novo ou digite com ' na frente.",IF(LEN($CA$254)=0,"",IF(LEN($N$21)=0,"Combatente vazio: a condição não conta",IF(NOT(ISNUMBER($R$254)),"Condição fora do capítulo 21",IF(FALSE,"",IF(IF(ISNUMBER($CC$254),$CC$254=0,FALSE),"Expirou: os turnos chegaram a 0 e ela saiu do painel",IF(AND(ISNUMBER($CD$254),$CD$254&gt;$Z$254),"Acima do teto de "&amp;$Z$254&amp;" acúmulo(s) (21.5): usando o teto",IF($AA$254="Sim","Dano Contínuo: início do turno do alvo; ignora RD, não crita, sem dados de Fraqueza (20.6)",""))))))))</f>
        <v/>
      </c>
      <c r="N254" s="2">
        <f>IF(LEN($N$21)=0,"",11)</f>
        <v/>
      </c>
      <c r="O254" s="2">
        <f>IF(LEN($CE$254)=0,"",IFERROR(MATCH($CE$254,$N$11:$N$32,0),""))</f>
        <v/>
      </c>
      <c r="P254" s="2">
        <f>IF(ISNUMBER($O$254),INDEX($AS$11:$AS$32,$O$254),'Campanha'!$B$20)</f>
        <v/>
      </c>
      <c r="Q254" s="2">
        <f>IF(ISNUMBER($N$254),$AQ$21,0)</f>
        <v/>
      </c>
      <c r="R254" s="2">
        <f>IF(LEN($CA$254)=0,"",IFERROR(MATCH($CA$254,'Dados'!$A$324:$A$339,0),""))</f>
        <v/>
      </c>
      <c r="S254" s="2">
        <f>IF(ISNUMBER($R$254),INDEX('Dados'!$F$324:$F$339,$R$254),"")</f>
        <v/>
      </c>
      <c r="T254" s="2">
        <f>IF(ISNUMBER($R$254),INDEX('Dados'!$G$324:$G$339,$R$254),"")</f>
        <v/>
      </c>
      <c r="U254" s="2">
        <f>IF(ISNUMBER($R$254),INDEX('Dados'!$H$324:$H$339,$R$254),"")</f>
        <v/>
      </c>
      <c r="V254" s="2">
        <f>IF(ISNUMBER($R$254),INDEX('Dados'!$I$324:$I$339,$R$254),"")</f>
        <v/>
      </c>
      <c r="W254" s="2">
        <f>IF(ISNUMBER($R$254),INDEX('Dados'!$J$324:$J$339,$R$254),"")</f>
        <v/>
      </c>
      <c r="X254" s="2">
        <f>IF(ISNUMBER($R$254),INDEX('Dados'!$K$324:$K$339,$R$254),"")</f>
        <v/>
      </c>
      <c r="Y254" s="2">
        <f>IF(ISNUMBER($R$254),INDEX('Dados'!$L$324:$L$339,$R$254),"")</f>
        <v/>
      </c>
      <c r="Z254" s="2">
        <f>IF(ISNUMBER($R$254),INDEX('Dados'!$M$324:$M$339,$R$254),"")</f>
        <v/>
      </c>
      <c r="AA254" s="2">
        <f>IF(ISNUMBER($R$254),INDEX('Dados'!$N$324:$N$339,$R$254),"")</f>
        <v/>
      </c>
      <c r="AB254" s="2">
        <f>IF(ISNUMBER($CD$254),MIN($Z$254,MAX(1,INT($CD$254))),1)</f>
        <v/>
      </c>
      <c r="AC254" s="2">
        <f>IF(ISNUMBER($R$254),INDEX('Dados'!$B$324:$B$339,$R$254),"")</f>
        <v/>
      </c>
      <c r="AD254" s="2">
        <f>IF(AND(ISNUMBER($R$254),LEN($N$21)&gt;0,$Q$21=1,NOT(IF(ISNUMBER($CC$254),$CC$254=0,FALSE))),1,0)</f>
        <v/>
      </c>
      <c r="AE254" s="2">
        <f>IF($AD$254=1,43,"")</f>
        <v/>
      </c>
      <c r="AF254" s="2">
        <f>IF(ISNUMBER($R$254),INDEX('Dados'!$C$324:$C$339,$R$254),"")</f>
        <v/>
      </c>
      <c r="AG254" s="2">
        <f>IF($AD$254=0,"",$AC$254&amp;IF($H$254&lt;&gt;$AC$254," · Agora: "&amp;$H$254,"")&amp;" (duração: "&amp;$AF$254&amp;")")</f>
        <v/>
      </c>
      <c r="AH254" s="2">
        <f>IF(AND(ISNUMBER($R$254),LEN($N$21)&gt;0),IF(IF(ISNUMBER($CC$254),$CC$254=0,FALSE),1,0),0)</f>
        <v/>
      </c>
      <c r="CA254" s="2">
        <f>IF(ISERROR($B$254),"",IF(ISBLANK($B$254),"",$B$254))</f>
        <v/>
      </c>
      <c r="CC254" s="2">
        <f>IF(ISERROR($D$254),"",IF(ISBLANK($D$254),"",$D$254))</f>
        <v/>
      </c>
      <c r="CD254" s="2">
        <f>IF(ISERROR($E$254),"",IF(ISBLANK($E$254),"",$E$254))</f>
        <v/>
      </c>
      <c r="CE254" s="2">
        <f>IF(ISERROR($F$254),"",IF(ISBLANK($F$254),"",$F$254))</f>
        <v/>
      </c>
      <c r="CJ254" s="2">
        <f>ISERROR($B$254)*1+ISERROR($D$254)*1+ISERROR($E$254)*1+ISERROR($F$254)*1</f>
        <v/>
      </c>
    </row>
    <row r="255" ht="48" customHeight="1">
      <c r="A255" s="43">
        <f>IF(LEN($N$21)&gt;0,$N$21,"11 · (vazio)")</f>
        <v/>
      </c>
      <c r="B255" s="29" t="n"/>
      <c r="C255" s="17" t="n"/>
      <c r="D255" s="37" t="n"/>
      <c r="E255" s="37" t="n"/>
      <c r="F255" s="29" t="n"/>
      <c r="G255" s="17" t="n"/>
      <c r="H255" s="10">
        <f>IF(NOT(ISNUMBER($R$255)),"",IF(IF(ISNUMBER($CC$255),$CC$255=0,FALSE),"EXPIRADA (0 turnos): já não vale; apague a condição",IF($W$255&gt;0,"Dano Contínuo: "&amp;MIN(INT($W$255*$Q$255/100),$X$255*$P$255)&amp;" por turno",IF($S$255&gt;0,IF($AA$255="Sim","Dano Contínuo: ","Dano: ")&amp;IF($U$255="Sim",$AB$255*$S$255,$S$255)&amp;"d"&amp;$T$255&amp;IF($V$255="Sim"," + "&amp;$P$255,"")&amp;" · média "&amp;(INT(IF($U$255="Sim",$AB$255*$S$255,$S$255)*($T$255+1)/2)+IF($V$255="Sim",$P$255,0)),$AC$255))&amp;IF($Y$255&gt;0,"; Atrasa "&amp;$Y$255&amp;" casa(s): some em Atraso deste Ciclo do alvo (C8)","")))</f>
        <v/>
      </c>
      <c r="K255" s="27">
        <f>IF(CJ255&gt;0,"O Google leu como fórmula: escolha de novo ou digite com ' na frente.",IF(LEN($CA$255)=0,"",IF(LEN($N$21)=0,"Combatente vazio: a condição não conta",IF(NOT(ISNUMBER($R$255)),"Condição fora do capítulo 21",IF(FALSE,"",IF(IF(ISNUMBER($CC$255),$CC$255=0,FALSE),"Expirou: os turnos chegaram a 0 e ela saiu do painel",IF(AND(ISNUMBER($CD$255),$CD$255&gt;$Z$255),"Acima do teto de "&amp;$Z$255&amp;" acúmulo(s) (21.5): usando o teto",IF($AA$255="Sim","Dano Contínuo: início do turno do alvo; ignora RD, não crita, sem dados de Fraqueza (20.6)",""))))))))</f>
        <v/>
      </c>
      <c r="N255" s="2">
        <f>IF(LEN($N$21)=0,"",11)</f>
        <v/>
      </c>
      <c r="O255" s="2">
        <f>IF(LEN($CE$255)=0,"",IFERROR(MATCH($CE$255,$N$11:$N$32,0),""))</f>
        <v/>
      </c>
      <c r="P255" s="2">
        <f>IF(ISNUMBER($O$255),INDEX($AS$11:$AS$32,$O$255),'Campanha'!$B$20)</f>
        <v/>
      </c>
      <c r="Q255" s="2">
        <f>IF(ISNUMBER($N$255),$AQ$21,0)</f>
        <v/>
      </c>
      <c r="R255" s="2">
        <f>IF(LEN($CA$255)=0,"",IFERROR(MATCH($CA$255,'Dados'!$A$324:$A$339,0),""))</f>
        <v/>
      </c>
      <c r="S255" s="2">
        <f>IF(ISNUMBER($R$255),INDEX('Dados'!$F$324:$F$339,$R$255),"")</f>
        <v/>
      </c>
      <c r="T255" s="2">
        <f>IF(ISNUMBER($R$255),INDEX('Dados'!$G$324:$G$339,$R$255),"")</f>
        <v/>
      </c>
      <c r="U255" s="2">
        <f>IF(ISNUMBER($R$255),INDEX('Dados'!$H$324:$H$339,$R$255),"")</f>
        <v/>
      </c>
      <c r="V255" s="2">
        <f>IF(ISNUMBER($R$255),INDEX('Dados'!$I$324:$I$339,$R$255),"")</f>
        <v/>
      </c>
      <c r="W255" s="2">
        <f>IF(ISNUMBER($R$255),INDEX('Dados'!$J$324:$J$339,$R$255),"")</f>
        <v/>
      </c>
      <c r="X255" s="2">
        <f>IF(ISNUMBER($R$255),INDEX('Dados'!$K$324:$K$339,$R$255),"")</f>
        <v/>
      </c>
      <c r="Y255" s="2">
        <f>IF(ISNUMBER($R$255),INDEX('Dados'!$L$324:$L$339,$R$255),"")</f>
        <v/>
      </c>
      <c r="Z255" s="2">
        <f>IF(ISNUMBER($R$255),INDEX('Dados'!$M$324:$M$339,$R$255),"")</f>
        <v/>
      </c>
      <c r="AA255" s="2">
        <f>IF(ISNUMBER($R$255),INDEX('Dados'!$N$324:$N$339,$R$255),"")</f>
        <v/>
      </c>
      <c r="AB255" s="2">
        <f>IF(ISNUMBER($CD$255),MIN($Z$255,MAX(1,INT($CD$255))),1)</f>
        <v/>
      </c>
      <c r="AC255" s="2">
        <f>IF(ISNUMBER($R$255),INDEX('Dados'!$B$324:$B$339,$R$255),"")</f>
        <v/>
      </c>
      <c r="AD255" s="2">
        <f>IF(AND(ISNUMBER($R$255),LEN($N$21)&gt;0,$Q$21=1,NOT(IF(ISNUMBER($CC$255),$CC$255=0,FALSE))),1,0)</f>
        <v/>
      </c>
      <c r="AE255" s="2">
        <f>IF($AD$255=1,44,"")</f>
        <v/>
      </c>
      <c r="AF255" s="2">
        <f>IF(ISNUMBER($R$255),INDEX('Dados'!$C$324:$C$339,$R$255),"")</f>
        <v/>
      </c>
      <c r="AG255" s="2">
        <f>IF($AD$255=0,"",$AC$255&amp;IF($H$255&lt;&gt;$AC$255," · Agora: "&amp;$H$255,"")&amp;" (duração: "&amp;$AF$255&amp;")")</f>
        <v/>
      </c>
      <c r="AH255" s="2">
        <f>IF(AND(ISNUMBER($R$255),LEN($N$21)&gt;0),IF(IF(ISNUMBER($CC$255),$CC$255=0,FALSE),1,0),0)</f>
        <v/>
      </c>
      <c r="CA255" s="2">
        <f>IF(ISERROR($B$255),"",IF(ISBLANK($B$255),"",$B$255))</f>
        <v/>
      </c>
      <c r="CC255" s="2">
        <f>IF(ISERROR($D$255),"",IF(ISBLANK($D$255),"",$D$255))</f>
        <v/>
      </c>
      <c r="CD255" s="2">
        <f>IF(ISERROR($E$255),"",IF(ISBLANK($E$255),"",$E$255))</f>
        <v/>
      </c>
      <c r="CE255" s="2">
        <f>IF(ISERROR($F$255),"",IF(ISBLANK($F$255),"",$F$255))</f>
        <v/>
      </c>
      <c r="CJ255" s="2">
        <f>ISERROR($B$255)*1+ISERROR($D$255)*1+ISERROR($E$255)*1+ISERROR($F$255)*1</f>
        <v/>
      </c>
    </row>
    <row r="256" ht="48" customHeight="1">
      <c r="A256" s="31">
        <f>IF(LEN($N$22)&gt;0,$N$22,"12 · (vazio)")</f>
        <v/>
      </c>
      <c r="B256" s="4" t="n"/>
      <c r="C256" s="17" t="n"/>
      <c r="D256" s="16" t="n"/>
      <c r="E256" s="16" t="n"/>
      <c r="F256" s="4" t="n"/>
      <c r="G256" s="17" t="n"/>
      <c r="H256" s="5">
        <f>IF(NOT(ISNUMBER($R$256)),"",IF(IF(ISNUMBER($CC$256),$CC$256=0,FALSE),"EXPIRADA (0 turnos): já não vale; apague a condição",IF($W$256&gt;0,"Dano Contínuo: "&amp;MIN(INT($W$256*$Q$256/100),$X$256*$P$256)&amp;" por turno",IF($S$256&gt;0,IF($AA$256="Sim","Dano Contínuo: ","Dano: ")&amp;IF($U$256="Sim",$AB$256*$S$256,$S$256)&amp;"d"&amp;$T$256&amp;IF($V$256="Sim"," + "&amp;$P$256,"")&amp;" · média "&amp;(INT(IF($U$256="Sim",$AB$256*$S$256,$S$256)*($T$256+1)/2)+IF($V$256="Sim",$P$256,0)),$AC$256))&amp;IF($Y$256&gt;0,"; Atrasa "&amp;$Y$256&amp;" casa(s): some em Atraso deste Ciclo do alvo (C8)","")))</f>
        <v/>
      </c>
      <c r="K256" s="19">
        <f>IF(CJ256&gt;0,"O Google leu como fórmula: escolha de novo ou digite com ' na frente.",IF(LEN($CA$256)=0,"",IF(LEN($N$22)=0,"Combatente vazio: a condição não conta",IF(NOT(ISNUMBER($R$256)),"Condição fora do capítulo 21",IF(FALSE,"",IF(IF(ISNUMBER($CC$256),$CC$256=0,FALSE),"Expirou: os turnos chegaram a 0 e ela saiu do painel",IF(AND(ISNUMBER($CD$256),$CD$256&gt;$Z$256),"Acima do teto de "&amp;$Z$256&amp;" acúmulo(s) (21.5): usando o teto",IF($AA$256="Sim","Dano Contínuo: início do turno do alvo; ignora RD, não crita, sem dados de Fraqueza (20.6)",""))))))))</f>
        <v/>
      </c>
      <c r="N256" s="2">
        <f>IF(LEN($N$22)=0,"",12)</f>
        <v/>
      </c>
      <c r="O256" s="2">
        <f>IF(LEN($CE$256)=0,"",IFERROR(MATCH($CE$256,$N$11:$N$32,0),""))</f>
        <v/>
      </c>
      <c r="P256" s="2">
        <f>IF(ISNUMBER($O$256),INDEX($AS$11:$AS$32,$O$256),'Campanha'!$B$20)</f>
        <v/>
      </c>
      <c r="Q256" s="2">
        <f>IF(ISNUMBER($N$256),$AQ$22,0)</f>
        <v/>
      </c>
      <c r="R256" s="2">
        <f>IF(LEN($CA$256)=0,"",IFERROR(MATCH($CA$256,'Dados'!$A$324:$A$339,0),""))</f>
        <v/>
      </c>
      <c r="S256" s="2">
        <f>IF(ISNUMBER($R$256),INDEX('Dados'!$F$324:$F$339,$R$256),"")</f>
        <v/>
      </c>
      <c r="T256" s="2">
        <f>IF(ISNUMBER($R$256),INDEX('Dados'!$G$324:$G$339,$R$256),"")</f>
        <v/>
      </c>
      <c r="U256" s="2">
        <f>IF(ISNUMBER($R$256),INDEX('Dados'!$H$324:$H$339,$R$256),"")</f>
        <v/>
      </c>
      <c r="V256" s="2">
        <f>IF(ISNUMBER($R$256),INDEX('Dados'!$I$324:$I$339,$R$256),"")</f>
        <v/>
      </c>
      <c r="W256" s="2">
        <f>IF(ISNUMBER($R$256),INDEX('Dados'!$J$324:$J$339,$R$256),"")</f>
        <v/>
      </c>
      <c r="X256" s="2">
        <f>IF(ISNUMBER($R$256),INDEX('Dados'!$K$324:$K$339,$R$256),"")</f>
        <v/>
      </c>
      <c r="Y256" s="2">
        <f>IF(ISNUMBER($R$256),INDEX('Dados'!$L$324:$L$339,$R$256),"")</f>
        <v/>
      </c>
      <c r="Z256" s="2">
        <f>IF(ISNUMBER($R$256),INDEX('Dados'!$M$324:$M$339,$R$256),"")</f>
        <v/>
      </c>
      <c r="AA256" s="2">
        <f>IF(ISNUMBER($R$256),INDEX('Dados'!$N$324:$N$339,$R$256),"")</f>
        <v/>
      </c>
      <c r="AB256" s="2">
        <f>IF(ISNUMBER($CD$256),MIN($Z$256,MAX(1,INT($CD$256))),1)</f>
        <v/>
      </c>
      <c r="AC256" s="2">
        <f>IF(ISNUMBER($R$256),INDEX('Dados'!$B$324:$B$339,$R$256),"")</f>
        <v/>
      </c>
      <c r="AD256" s="2">
        <f>IF(AND(ISNUMBER($R$256),LEN($N$22)&gt;0,$Q$22=1,NOT(IF(ISNUMBER($CC$256),$CC$256=0,FALSE))),1,0)</f>
        <v/>
      </c>
      <c r="AE256" s="2">
        <f>IF($AD$256=1,45,"")</f>
        <v/>
      </c>
      <c r="AF256" s="2">
        <f>IF(ISNUMBER($R$256),INDEX('Dados'!$C$324:$C$339,$R$256),"")</f>
        <v/>
      </c>
      <c r="AG256" s="2">
        <f>IF($AD$256=0,"",$AC$256&amp;IF($H$256&lt;&gt;$AC$256," · Agora: "&amp;$H$256,"")&amp;" (duração: "&amp;$AF$256&amp;")")</f>
        <v/>
      </c>
      <c r="AH256" s="2">
        <f>IF(AND(ISNUMBER($R$256),LEN($N$22)&gt;0),IF(IF(ISNUMBER($CC$256),$CC$256=0,FALSE),1,0),0)</f>
        <v/>
      </c>
      <c r="CA256" s="2">
        <f>IF(ISERROR($B$256),"",IF(ISBLANK($B$256),"",$B$256))</f>
        <v/>
      </c>
      <c r="CC256" s="2">
        <f>IF(ISERROR($D$256),"",IF(ISBLANK($D$256),"",$D$256))</f>
        <v/>
      </c>
      <c r="CD256" s="2">
        <f>IF(ISERROR($E$256),"",IF(ISBLANK($E$256),"",$E$256))</f>
        <v/>
      </c>
      <c r="CE256" s="2">
        <f>IF(ISERROR($F$256),"",IF(ISBLANK($F$256),"",$F$256))</f>
        <v/>
      </c>
      <c r="CJ256" s="2">
        <f>ISERROR($B$256)*1+ISERROR($D$256)*1+ISERROR($E$256)*1+ISERROR($F$256)*1</f>
        <v/>
      </c>
    </row>
    <row r="257" ht="48" customHeight="1">
      <c r="A257" s="43">
        <f>IF(LEN($N$22)&gt;0,$N$22,"12 · (vazio)")</f>
        <v/>
      </c>
      <c r="B257" s="29" t="n"/>
      <c r="C257" s="17" t="n"/>
      <c r="D257" s="37" t="n"/>
      <c r="E257" s="37" t="n"/>
      <c r="F257" s="29" t="n"/>
      <c r="G257" s="17" t="n"/>
      <c r="H257" s="10">
        <f>IF(NOT(ISNUMBER($R$257)),"",IF(IF(ISNUMBER($CC$257),$CC$257=0,FALSE),"EXPIRADA (0 turnos): já não vale; apague a condição",IF($W$257&gt;0,"Dano Contínuo: "&amp;MIN(INT($W$257*$Q$257/100),$X$257*$P$257)&amp;" por turno",IF($S$257&gt;0,IF($AA$257="Sim","Dano Contínuo: ","Dano: ")&amp;IF($U$257="Sim",$AB$257*$S$257,$S$257)&amp;"d"&amp;$T$257&amp;IF($V$257="Sim"," + "&amp;$P$257,"")&amp;" · média "&amp;(INT(IF($U$257="Sim",$AB$257*$S$257,$S$257)*($T$257+1)/2)+IF($V$257="Sim",$P$257,0)),$AC$257))&amp;IF($Y$257&gt;0,"; Atrasa "&amp;$Y$257&amp;" casa(s): some em Atraso deste Ciclo do alvo (C8)","")))</f>
        <v/>
      </c>
      <c r="K257" s="27">
        <f>IF(CJ257&gt;0,"O Google leu como fórmula: escolha de novo ou digite com ' na frente.",IF(LEN($CA$257)=0,"",IF(LEN($N$22)=0,"Combatente vazio: a condição não conta",IF(NOT(ISNUMBER($R$257)),"Condição fora do capítulo 21",IF(FALSE,"",IF(IF(ISNUMBER($CC$257),$CC$257=0,FALSE),"Expirou: os turnos chegaram a 0 e ela saiu do painel",IF(AND(ISNUMBER($CD$257),$CD$257&gt;$Z$257),"Acima do teto de "&amp;$Z$257&amp;" acúmulo(s) (21.5): usando o teto",IF($AA$257="Sim","Dano Contínuo: início do turno do alvo; ignora RD, não crita, sem dados de Fraqueza (20.6)",""))))))))</f>
        <v/>
      </c>
      <c r="N257" s="2">
        <f>IF(LEN($N$22)=0,"",12)</f>
        <v/>
      </c>
      <c r="O257" s="2">
        <f>IF(LEN($CE$257)=0,"",IFERROR(MATCH($CE$257,$N$11:$N$32,0),""))</f>
        <v/>
      </c>
      <c r="P257" s="2">
        <f>IF(ISNUMBER($O$257),INDEX($AS$11:$AS$32,$O$257),'Campanha'!$B$20)</f>
        <v/>
      </c>
      <c r="Q257" s="2">
        <f>IF(ISNUMBER($N$257),$AQ$22,0)</f>
        <v/>
      </c>
      <c r="R257" s="2">
        <f>IF(LEN($CA$257)=0,"",IFERROR(MATCH($CA$257,'Dados'!$A$324:$A$339,0),""))</f>
        <v/>
      </c>
      <c r="S257" s="2">
        <f>IF(ISNUMBER($R$257),INDEX('Dados'!$F$324:$F$339,$R$257),"")</f>
        <v/>
      </c>
      <c r="T257" s="2">
        <f>IF(ISNUMBER($R$257),INDEX('Dados'!$G$324:$G$339,$R$257),"")</f>
        <v/>
      </c>
      <c r="U257" s="2">
        <f>IF(ISNUMBER($R$257),INDEX('Dados'!$H$324:$H$339,$R$257),"")</f>
        <v/>
      </c>
      <c r="V257" s="2">
        <f>IF(ISNUMBER($R$257),INDEX('Dados'!$I$324:$I$339,$R$257),"")</f>
        <v/>
      </c>
      <c r="W257" s="2">
        <f>IF(ISNUMBER($R$257),INDEX('Dados'!$J$324:$J$339,$R$257),"")</f>
        <v/>
      </c>
      <c r="X257" s="2">
        <f>IF(ISNUMBER($R$257),INDEX('Dados'!$K$324:$K$339,$R$257),"")</f>
        <v/>
      </c>
      <c r="Y257" s="2">
        <f>IF(ISNUMBER($R$257),INDEX('Dados'!$L$324:$L$339,$R$257),"")</f>
        <v/>
      </c>
      <c r="Z257" s="2">
        <f>IF(ISNUMBER($R$257),INDEX('Dados'!$M$324:$M$339,$R$257),"")</f>
        <v/>
      </c>
      <c r="AA257" s="2">
        <f>IF(ISNUMBER($R$257),INDEX('Dados'!$N$324:$N$339,$R$257),"")</f>
        <v/>
      </c>
      <c r="AB257" s="2">
        <f>IF(ISNUMBER($CD$257),MIN($Z$257,MAX(1,INT($CD$257))),1)</f>
        <v/>
      </c>
      <c r="AC257" s="2">
        <f>IF(ISNUMBER($R$257),INDEX('Dados'!$B$324:$B$339,$R$257),"")</f>
        <v/>
      </c>
      <c r="AD257" s="2">
        <f>IF(AND(ISNUMBER($R$257),LEN($N$22)&gt;0,$Q$22=1,NOT(IF(ISNUMBER($CC$257),$CC$257=0,FALSE))),1,0)</f>
        <v/>
      </c>
      <c r="AE257" s="2">
        <f>IF($AD$257=1,46,"")</f>
        <v/>
      </c>
      <c r="AF257" s="2">
        <f>IF(ISNUMBER($R$257),INDEX('Dados'!$C$324:$C$339,$R$257),"")</f>
        <v/>
      </c>
      <c r="AG257" s="2">
        <f>IF($AD$257=0,"",$AC$257&amp;IF($H$257&lt;&gt;$AC$257," · Agora: "&amp;$H$257,"")&amp;" (duração: "&amp;$AF$257&amp;")")</f>
        <v/>
      </c>
      <c r="AH257" s="2">
        <f>IF(AND(ISNUMBER($R$257),LEN($N$22)&gt;0),IF(IF(ISNUMBER($CC$257),$CC$257=0,FALSE),1,0),0)</f>
        <v/>
      </c>
      <c r="CA257" s="2">
        <f>IF(ISERROR($B$257),"",IF(ISBLANK($B$257),"",$B$257))</f>
        <v/>
      </c>
      <c r="CC257" s="2">
        <f>IF(ISERROR($D$257),"",IF(ISBLANK($D$257),"",$D$257))</f>
        <v/>
      </c>
      <c r="CD257" s="2">
        <f>IF(ISERROR($E$257),"",IF(ISBLANK($E$257),"",$E$257))</f>
        <v/>
      </c>
      <c r="CE257" s="2">
        <f>IF(ISERROR($F$257),"",IF(ISBLANK($F$257),"",$F$257))</f>
        <v/>
      </c>
      <c r="CJ257" s="2">
        <f>ISERROR($B$257)*1+ISERROR($D$257)*1+ISERROR($E$257)*1+ISERROR($F$257)*1</f>
        <v/>
      </c>
    </row>
    <row r="258" ht="48" customHeight="1">
      <c r="A258" s="31">
        <f>IF(LEN($N$22)&gt;0,$N$22,"12 · (vazio)")</f>
        <v/>
      </c>
      <c r="B258" s="4" t="n"/>
      <c r="C258" s="17" t="n"/>
      <c r="D258" s="16" t="n"/>
      <c r="E258" s="16" t="n"/>
      <c r="F258" s="4" t="n"/>
      <c r="G258" s="17" t="n"/>
      <c r="H258" s="5">
        <f>IF(NOT(ISNUMBER($R$258)),"",IF(IF(ISNUMBER($CC$258),$CC$258=0,FALSE),"EXPIRADA (0 turnos): já não vale; apague a condição",IF($W$258&gt;0,"Dano Contínuo: "&amp;MIN(INT($W$258*$Q$258/100),$X$258*$P$258)&amp;" por turno",IF($S$258&gt;0,IF($AA$258="Sim","Dano Contínuo: ","Dano: ")&amp;IF($U$258="Sim",$AB$258*$S$258,$S$258)&amp;"d"&amp;$T$258&amp;IF($V$258="Sim"," + "&amp;$P$258,"")&amp;" · média "&amp;(INT(IF($U$258="Sim",$AB$258*$S$258,$S$258)*($T$258+1)/2)+IF($V$258="Sim",$P$258,0)),$AC$258))&amp;IF($Y$258&gt;0,"; Atrasa "&amp;$Y$258&amp;" casa(s): some em Atraso deste Ciclo do alvo (C8)","")))</f>
        <v/>
      </c>
      <c r="K258" s="19">
        <f>IF(CJ258&gt;0,"O Google leu como fórmula: escolha de novo ou digite com ' na frente.",IF(LEN($CA$258)=0,"",IF(LEN($N$22)=0,"Combatente vazio: a condição não conta",IF(NOT(ISNUMBER($R$258)),"Condição fora do capítulo 21",IF(FALSE,"",IF(IF(ISNUMBER($CC$258),$CC$258=0,FALSE),"Expirou: os turnos chegaram a 0 e ela saiu do painel",IF(AND(ISNUMBER($CD$258),$CD$258&gt;$Z$258),"Acima do teto de "&amp;$Z$258&amp;" acúmulo(s) (21.5): usando o teto",IF($AA$258="Sim","Dano Contínuo: início do turno do alvo; ignora RD, não crita, sem dados de Fraqueza (20.6)",""))))))))</f>
        <v/>
      </c>
      <c r="N258" s="2">
        <f>IF(LEN($N$22)=0,"",12)</f>
        <v/>
      </c>
      <c r="O258" s="2">
        <f>IF(LEN($CE$258)=0,"",IFERROR(MATCH($CE$258,$N$11:$N$32,0),""))</f>
        <v/>
      </c>
      <c r="P258" s="2">
        <f>IF(ISNUMBER($O$258),INDEX($AS$11:$AS$32,$O$258),'Campanha'!$B$20)</f>
        <v/>
      </c>
      <c r="Q258" s="2">
        <f>IF(ISNUMBER($N$258),$AQ$22,0)</f>
        <v/>
      </c>
      <c r="R258" s="2">
        <f>IF(LEN($CA$258)=0,"",IFERROR(MATCH($CA$258,'Dados'!$A$324:$A$339,0),""))</f>
        <v/>
      </c>
      <c r="S258" s="2">
        <f>IF(ISNUMBER($R$258),INDEX('Dados'!$F$324:$F$339,$R$258),"")</f>
        <v/>
      </c>
      <c r="T258" s="2">
        <f>IF(ISNUMBER($R$258),INDEX('Dados'!$G$324:$G$339,$R$258),"")</f>
        <v/>
      </c>
      <c r="U258" s="2">
        <f>IF(ISNUMBER($R$258),INDEX('Dados'!$H$324:$H$339,$R$258),"")</f>
        <v/>
      </c>
      <c r="V258" s="2">
        <f>IF(ISNUMBER($R$258),INDEX('Dados'!$I$324:$I$339,$R$258),"")</f>
        <v/>
      </c>
      <c r="W258" s="2">
        <f>IF(ISNUMBER($R$258),INDEX('Dados'!$J$324:$J$339,$R$258),"")</f>
        <v/>
      </c>
      <c r="X258" s="2">
        <f>IF(ISNUMBER($R$258),INDEX('Dados'!$K$324:$K$339,$R$258),"")</f>
        <v/>
      </c>
      <c r="Y258" s="2">
        <f>IF(ISNUMBER($R$258),INDEX('Dados'!$L$324:$L$339,$R$258),"")</f>
        <v/>
      </c>
      <c r="Z258" s="2">
        <f>IF(ISNUMBER($R$258),INDEX('Dados'!$M$324:$M$339,$R$258),"")</f>
        <v/>
      </c>
      <c r="AA258" s="2">
        <f>IF(ISNUMBER($R$258),INDEX('Dados'!$N$324:$N$339,$R$258),"")</f>
        <v/>
      </c>
      <c r="AB258" s="2">
        <f>IF(ISNUMBER($CD$258),MIN($Z$258,MAX(1,INT($CD$258))),1)</f>
        <v/>
      </c>
      <c r="AC258" s="2">
        <f>IF(ISNUMBER($R$258),INDEX('Dados'!$B$324:$B$339,$R$258),"")</f>
        <v/>
      </c>
      <c r="AD258" s="2">
        <f>IF(AND(ISNUMBER($R$258),LEN($N$22)&gt;0,$Q$22=1,NOT(IF(ISNUMBER($CC$258),$CC$258=0,FALSE))),1,0)</f>
        <v/>
      </c>
      <c r="AE258" s="2">
        <f>IF($AD$258=1,47,"")</f>
        <v/>
      </c>
      <c r="AF258" s="2">
        <f>IF(ISNUMBER($R$258),INDEX('Dados'!$C$324:$C$339,$R$258),"")</f>
        <v/>
      </c>
      <c r="AG258" s="2">
        <f>IF($AD$258=0,"",$AC$258&amp;IF($H$258&lt;&gt;$AC$258," · Agora: "&amp;$H$258,"")&amp;" (duração: "&amp;$AF$258&amp;")")</f>
        <v/>
      </c>
      <c r="AH258" s="2">
        <f>IF(AND(ISNUMBER($R$258),LEN($N$22)&gt;0),IF(IF(ISNUMBER($CC$258),$CC$258=0,FALSE),1,0),0)</f>
        <v/>
      </c>
      <c r="CA258" s="2">
        <f>IF(ISERROR($B$258),"",IF(ISBLANK($B$258),"",$B$258))</f>
        <v/>
      </c>
      <c r="CC258" s="2">
        <f>IF(ISERROR($D$258),"",IF(ISBLANK($D$258),"",$D$258))</f>
        <v/>
      </c>
      <c r="CD258" s="2">
        <f>IF(ISERROR($E$258),"",IF(ISBLANK($E$258),"",$E$258))</f>
        <v/>
      </c>
      <c r="CE258" s="2">
        <f>IF(ISERROR($F$258),"",IF(ISBLANK($F$258),"",$F$258))</f>
        <v/>
      </c>
      <c r="CJ258" s="2">
        <f>ISERROR($B$258)*1+ISERROR($D$258)*1+ISERROR($E$258)*1+ISERROR($F$258)*1</f>
        <v/>
      </c>
    </row>
    <row r="259" ht="48" customHeight="1">
      <c r="A259" s="43">
        <f>IF(LEN($N$22)&gt;0,$N$22,"12 · (vazio)")</f>
        <v/>
      </c>
      <c r="B259" s="29" t="n"/>
      <c r="C259" s="17" t="n"/>
      <c r="D259" s="37" t="n"/>
      <c r="E259" s="37" t="n"/>
      <c r="F259" s="29" t="n"/>
      <c r="G259" s="17" t="n"/>
      <c r="H259" s="10">
        <f>IF(NOT(ISNUMBER($R$259)),"",IF(IF(ISNUMBER($CC$259),$CC$259=0,FALSE),"EXPIRADA (0 turnos): já não vale; apague a condição",IF($W$259&gt;0,"Dano Contínuo: "&amp;MIN(INT($W$259*$Q$259/100),$X$259*$P$259)&amp;" por turno",IF($S$259&gt;0,IF($AA$259="Sim","Dano Contínuo: ","Dano: ")&amp;IF($U$259="Sim",$AB$259*$S$259,$S$259)&amp;"d"&amp;$T$259&amp;IF($V$259="Sim"," + "&amp;$P$259,"")&amp;" · média "&amp;(INT(IF($U$259="Sim",$AB$259*$S$259,$S$259)*($T$259+1)/2)+IF($V$259="Sim",$P$259,0)),$AC$259))&amp;IF($Y$259&gt;0,"; Atrasa "&amp;$Y$259&amp;" casa(s): some em Atraso deste Ciclo do alvo (C8)","")))</f>
        <v/>
      </c>
      <c r="K259" s="27">
        <f>IF(CJ259&gt;0,"O Google leu como fórmula: escolha de novo ou digite com ' na frente.",IF(LEN($CA$259)=0,"",IF(LEN($N$22)=0,"Combatente vazio: a condição não conta",IF(NOT(ISNUMBER($R$259)),"Condição fora do capítulo 21",IF(FALSE,"",IF(IF(ISNUMBER($CC$259),$CC$259=0,FALSE),"Expirou: os turnos chegaram a 0 e ela saiu do painel",IF(AND(ISNUMBER($CD$259),$CD$259&gt;$Z$259),"Acima do teto de "&amp;$Z$259&amp;" acúmulo(s) (21.5): usando o teto",IF($AA$259="Sim","Dano Contínuo: início do turno do alvo; ignora RD, não crita, sem dados de Fraqueza (20.6)",""))))))))</f>
        <v/>
      </c>
      <c r="N259" s="2">
        <f>IF(LEN($N$22)=0,"",12)</f>
        <v/>
      </c>
      <c r="O259" s="2">
        <f>IF(LEN($CE$259)=0,"",IFERROR(MATCH($CE$259,$N$11:$N$32,0),""))</f>
        <v/>
      </c>
      <c r="P259" s="2">
        <f>IF(ISNUMBER($O$259),INDEX($AS$11:$AS$32,$O$259),'Campanha'!$B$20)</f>
        <v/>
      </c>
      <c r="Q259" s="2">
        <f>IF(ISNUMBER($N$259),$AQ$22,0)</f>
        <v/>
      </c>
      <c r="R259" s="2">
        <f>IF(LEN($CA$259)=0,"",IFERROR(MATCH($CA$259,'Dados'!$A$324:$A$339,0),""))</f>
        <v/>
      </c>
      <c r="S259" s="2">
        <f>IF(ISNUMBER($R$259),INDEX('Dados'!$F$324:$F$339,$R$259),"")</f>
        <v/>
      </c>
      <c r="T259" s="2">
        <f>IF(ISNUMBER($R$259),INDEX('Dados'!$G$324:$G$339,$R$259),"")</f>
        <v/>
      </c>
      <c r="U259" s="2">
        <f>IF(ISNUMBER($R$259),INDEX('Dados'!$H$324:$H$339,$R$259),"")</f>
        <v/>
      </c>
      <c r="V259" s="2">
        <f>IF(ISNUMBER($R$259),INDEX('Dados'!$I$324:$I$339,$R$259),"")</f>
        <v/>
      </c>
      <c r="W259" s="2">
        <f>IF(ISNUMBER($R$259),INDEX('Dados'!$J$324:$J$339,$R$259),"")</f>
        <v/>
      </c>
      <c r="X259" s="2">
        <f>IF(ISNUMBER($R$259),INDEX('Dados'!$K$324:$K$339,$R$259),"")</f>
        <v/>
      </c>
      <c r="Y259" s="2">
        <f>IF(ISNUMBER($R$259),INDEX('Dados'!$L$324:$L$339,$R$259),"")</f>
        <v/>
      </c>
      <c r="Z259" s="2">
        <f>IF(ISNUMBER($R$259),INDEX('Dados'!$M$324:$M$339,$R$259),"")</f>
        <v/>
      </c>
      <c r="AA259" s="2">
        <f>IF(ISNUMBER($R$259),INDEX('Dados'!$N$324:$N$339,$R$259),"")</f>
        <v/>
      </c>
      <c r="AB259" s="2">
        <f>IF(ISNUMBER($CD$259),MIN($Z$259,MAX(1,INT($CD$259))),1)</f>
        <v/>
      </c>
      <c r="AC259" s="2">
        <f>IF(ISNUMBER($R$259),INDEX('Dados'!$B$324:$B$339,$R$259),"")</f>
        <v/>
      </c>
      <c r="AD259" s="2">
        <f>IF(AND(ISNUMBER($R$259),LEN($N$22)&gt;0,$Q$22=1,NOT(IF(ISNUMBER($CC$259),$CC$259=0,FALSE))),1,0)</f>
        <v/>
      </c>
      <c r="AE259" s="2">
        <f>IF($AD$259=1,48,"")</f>
        <v/>
      </c>
      <c r="AF259" s="2">
        <f>IF(ISNUMBER($R$259),INDEX('Dados'!$C$324:$C$339,$R$259),"")</f>
        <v/>
      </c>
      <c r="AG259" s="2">
        <f>IF($AD$259=0,"",$AC$259&amp;IF($H$259&lt;&gt;$AC$259," · Agora: "&amp;$H$259,"")&amp;" (duração: "&amp;$AF$259&amp;")")</f>
        <v/>
      </c>
      <c r="AH259" s="2">
        <f>IF(AND(ISNUMBER($R$259),LEN($N$22)&gt;0),IF(IF(ISNUMBER($CC$259),$CC$259=0,FALSE),1,0),0)</f>
        <v/>
      </c>
      <c r="CA259" s="2">
        <f>IF(ISERROR($B$259),"",IF(ISBLANK($B$259),"",$B$259))</f>
        <v/>
      </c>
      <c r="CC259" s="2">
        <f>IF(ISERROR($D$259),"",IF(ISBLANK($D$259),"",$D$259))</f>
        <v/>
      </c>
      <c r="CD259" s="2">
        <f>IF(ISERROR($E$259),"",IF(ISBLANK($E$259),"",$E$259))</f>
        <v/>
      </c>
      <c r="CE259" s="2">
        <f>IF(ISERROR($F$259),"",IF(ISBLANK($F$259),"",$F$259))</f>
        <v/>
      </c>
      <c r="CJ259" s="2">
        <f>ISERROR($B$259)*1+ISERROR($D$259)*1+ISERROR($E$259)*1+ISERROR($F$259)*1</f>
        <v/>
      </c>
    </row>
    <row r="260" ht="26" customHeight="1">
      <c r="A260" s="8" t="inlineStr">
        <is>
          <t>Combatente</t>
        </is>
      </c>
      <c r="B260" s="8" t="inlineStr">
        <is>
          <t>Condição</t>
        </is>
      </c>
      <c r="C260" s="20" t="n"/>
      <c r="D260" s="8" t="inlineStr">
        <is>
          <t>Turnos restantes</t>
        </is>
      </c>
      <c r="E260" s="8" t="inlineStr">
        <is>
          <t>Acúmulos</t>
        </is>
      </c>
      <c r="F260" s="8" t="inlineStr">
        <is>
          <t>Quem aplicou</t>
        </is>
      </c>
      <c r="G260" s="20" t="n"/>
      <c r="H260" s="8" t="inlineStr">
        <is>
          <t>Efeito e dano</t>
        </is>
      </c>
      <c r="I260" s="20" t="n"/>
      <c r="J260" s="20" t="n"/>
      <c r="K260" s="8" t="inlineStr">
        <is>
          <t>Aviso</t>
        </is>
      </c>
      <c r="L260" s="20" t="n"/>
      <c r="CA260" s="2">
        <f>IF(ISERROR($B$260),"",IF(ISBLANK($B$260),"",$B$260))</f>
        <v/>
      </c>
      <c r="CC260" s="2">
        <f>IF(ISERROR($D$260),"",IF(ISBLANK($D$260),"",$D$260))</f>
        <v/>
      </c>
      <c r="CE260" s="2">
        <f>IF(ISERROR($F$260),"",IF(ISBLANK($F$260),"",$F$260))</f>
        <v/>
      </c>
    </row>
    <row r="261" ht="48" customHeight="1">
      <c r="A261" s="31">
        <f>IF(LEN($N$23)&gt;0,$N$23,"13 · (vazio)")</f>
        <v/>
      </c>
      <c r="B261" s="4" t="n"/>
      <c r="C261" s="17" t="n"/>
      <c r="D261" s="16" t="n"/>
      <c r="E261" s="16" t="n"/>
      <c r="F261" s="4" t="n"/>
      <c r="G261" s="17" t="n"/>
      <c r="H261" s="5">
        <f>IF(NOT(ISNUMBER($R$261)),"",IF(IF(ISNUMBER($CC$261),$CC$261=0,FALSE),"EXPIRADA (0 turnos): já não vale; apague a condição",IF($W$261&gt;0,"Dano Contínuo: "&amp;MIN(INT($W$261*$Q$261/100),$X$261*$P$261)&amp;" por turno",IF($S$261&gt;0,IF($AA$261="Sim","Dano Contínuo: ","Dano: ")&amp;IF($U$261="Sim",$AB$261*$S$261,$S$261)&amp;"d"&amp;$T$261&amp;IF($V$261="Sim"," + "&amp;$P$261,"")&amp;" · média "&amp;(INT(IF($U$261="Sim",$AB$261*$S$261,$S$261)*($T$261+1)/2)+IF($V$261="Sim",$P$261,0)),$AC$261))&amp;IF($Y$261&gt;0,"; Atrasa "&amp;$Y$261&amp;" casa(s): some em Atraso deste Ciclo do alvo (C8)","")))</f>
        <v/>
      </c>
      <c r="K261" s="19">
        <f>IF(CJ261&gt;0,"O Google leu como fórmula: escolha de novo ou digite com ' na frente.",IF(LEN($CA$261)=0,"",IF(LEN($N$23)=0,"Combatente vazio: a condição não conta",IF(NOT(ISNUMBER($R$261)),"Condição fora do capítulo 21",IF(FALSE,"",IF(IF(ISNUMBER($CC$261),$CC$261=0,FALSE),"Expirou: os turnos chegaram a 0 e ela saiu do painel",IF(AND(ISNUMBER($CD$261),$CD$261&gt;$Z$261),"Acima do teto de "&amp;$Z$261&amp;" acúmulo(s) (21.5): usando o teto",IF($AA$261="Sim","Dano Contínuo: início do turno do alvo; ignora RD, não crita, sem dados de Fraqueza (20.6)",""))))))))</f>
        <v/>
      </c>
      <c r="N261" s="2">
        <f>IF(LEN($N$23)=0,"",13)</f>
        <v/>
      </c>
      <c r="O261" s="2">
        <f>IF(LEN($CE$261)=0,"",IFERROR(MATCH($CE$261,$N$11:$N$32,0),""))</f>
        <v/>
      </c>
      <c r="P261" s="2">
        <f>IF(ISNUMBER($O$261),INDEX($AS$11:$AS$32,$O$261),'Campanha'!$B$20)</f>
        <v/>
      </c>
      <c r="Q261" s="2">
        <f>IF(ISNUMBER($N$261),$AQ$23,0)</f>
        <v/>
      </c>
      <c r="R261" s="2">
        <f>IF(LEN($CA$261)=0,"",IFERROR(MATCH($CA$261,'Dados'!$A$324:$A$339,0),""))</f>
        <v/>
      </c>
      <c r="S261" s="2">
        <f>IF(ISNUMBER($R$261),INDEX('Dados'!$F$324:$F$339,$R$261),"")</f>
        <v/>
      </c>
      <c r="T261" s="2">
        <f>IF(ISNUMBER($R$261),INDEX('Dados'!$G$324:$G$339,$R$261),"")</f>
        <v/>
      </c>
      <c r="U261" s="2">
        <f>IF(ISNUMBER($R$261),INDEX('Dados'!$H$324:$H$339,$R$261),"")</f>
        <v/>
      </c>
      <c r="V261" s="2">
        <f>IF(ISNUMBER($R$261),INDEX('Dados'!$I$324:$I$339,$R$261),"")</f>
        <v/>
      </c>
      <c r="W261" s="2">
        <f>IF(ISNUMBER($R$261),INDEX('Dados'!$J$324:$J$339,$R$261),"")</f>
        <v/>
      </c>
      <c r="X261" s="2">
        <f>IF(ISNUMBER($R$261),INDEX('Dados'!$K$324:$K$339,$R$261),"")</f>
        <v/>
      </c>
      <c r="Y261" s="2">
        <f>IF(ISNUMBER($R$261),INDEX('Dados'!$L$324:$L$339,$R$261),"")</f>
        <v/>
      </c>
      <c r="Z261" s="2">
        <f>IF(ISNUMBER($R$261),INDEX('Dados'!$M$324:$M$339,$R$261),"")</f>
        <v/>
      </c>
      <c r="AA261" s="2">
        <f>IF(ISNUMBER($R$261),INDEX('Dados'!$N$324:$N$339,$R$261),"")</f>
        <v/>
      </c>
      <c r="AB261" s="2">
        <f>IF(ISNUMBER($CD$261),MIN($Z$261,MAX(1,INT($CD$261))),1)</f>
        <v/>
      </c>
      <c r="AC261" s="2">
        <f>IF(ISNUMBER($R$261),INDEX('Dados'!$B$324:$B$339,$R$261),"")</f>
        <v/>
      </c>
      <c r="AD261" s="2">
        <f>IF(AND(ISNUMBER($R$261),LEN($N$23)&gt;0,$Q$23=1,NOT(IF(ISNUMBER($CC$261),$CC$261=0,FALSE))),1,0)</f>
        <v/>
      </c>
      <c r="AE261" s="2">
        <f>IF($AD$261=1,49,"")</f>
        <v/>
      </c>
      <c r="AF261" s="2">
        <f>IF(ISNUMBER($R$261),INDEX('Dados'!$C$324:$C$339,$R$261),"")</f>
        <v/>
      </c>
      <c r="AG261" s="2">
        <f>IF($AD$261=0,"",$AC$261&amp;IF($H$261&lt;&gt;$AC$261," · Agora: "&amp;$H$261,"")&amp;" (duração: "&amp;$AF$261&amp;")")</f>
        <v/>
      </c>
      <c r="AH261" s="2">
        <f>IF(AND(ISNUMBER($R$261),LEN($N$23)&gt;0),IF(IF(ISNUMBER($CC$261),$CC$261=0,FALSE),1,0),0)</f>
        <v/>
      </c>
      <c r="CA261" s="2">
        <f>IF(ISERROR($B$261),"",IF(ISBLANK($B$261),"",$B$261))</f>
        <v/>
      </c>
      <c r="CC261" s="2">
        <f>IF(ISERROR($D$261),"",IF(ISBLANK($D$261),"",$D$261))</f>
        <v/>
      </c>
      <c r="CD261" s="2">
        <f>IF(ISERROR($E$261),"",IF(ISBLANK($E$261),"",$E$261))</f>
        <v/>
      </c>
      <c r="CE261" s="2">
        <f>IF(ISERROR($F$261),"",IF(ISBLANK($F$261),"",$F$261))</f>
        <v/>
      </c>
      <c r="CJ261" s="2">
        <f>ISERROR($B$261)*1+ISERROR($D$261)*1+ISERROR($E$261)*1+ISERROR($F$261)*1</f>
        <v/>
      </c>
    </row>
    <row r="262" ht="48" customHeight="1">
      <c r="A262" s="43">
        <f>IF(LEN($N$23)&gt;0,$N$23,"13 · (vazio)")</f>
        <v/>
      </c>
      <c r="B262" s="29" t="n"/>
      <c r="C262" s="17" t="n"/>
      <c r="D262" s="37" t="n"/>
      <c r="E262" s="37" t="n"/>
      <c r="F262" s="29" t="n"/>
      <c r="G262" s="17" t="n"/>
      <c r="H262" s="10">
        <f>IF(NOT(ISNUMBER($R$262)),"",IF(IF(ISNUMBER($CC$262),$CC$262=0,FALSE),"EXPIRADA (0 turnos): já não vale; apague a condição",IF($W$262&gt;0,"Dano Contínuo: "&amp;MIN(INT($W$262*$Q$262/100),$X$262*$P$262)&amp;" por turno",IF($S$262&gt;0,IF($AA$262="Sim","Dano Contínuo: ","Dano: ")&amp;IF($U$262="Sim",$AB$262*$S$262,$S$262)&amp;"d"&amp;$T$262&amp;IF($V$262="Sim"," + "&amp;$P$262,"")&amp;" · média "&amp;(INT(IF($U$262="Sim",$AB$262*$S$262,$S$262)*($T$262+1)/2)+IF($V$262="Sim",$P$262,0)),$AC$262))&amp;IF($Y$262&gt;0,"; Atrasa "&amp;$Y$262&amp;" casa(s): some em Atraso deste Ciclo do alvo (C8)","")))</f>
        <v/>
      </c>
      <c r="K262" s="27">
        <f>IF(CJ262&gt;0,"O Google leu como fórmula: escolha de novo ou digite com ' na frente.",IF(LEN($CA$262)=0,"",IF(LEN($N$23)=0,"Combatente vazio: a condição não conta",IF(NOT(ISNUMBER($R$262)),"Condição fora do capítulo 21",IF(FALSE,"",IF(IF(ISNUMBER($CC$262),$CC$262=0,FALSE),"Expirou: os turnos chegaram a 0 e ela saiu do painel",IF(AND(ISNUMBER($CD$262),$CD$262&gt;$Z$262),"Acima do teto de "&amp;$Z$262&amp;" acúmulo(s) (21.5): usando o teto",IF($AA$262="Sim","Dano Contínuo: início do turno do alvo; ignora RD, não crita, sem dados de Fraqueza (20.6)",""))))))))</f>
        <v/>
      </c>
      <c r="N262" s="2">
        <f>IF(LEN($N$23)=0,"",13)</f>
        <v/>
      </c>
      <c r="O262" s="2">
        <f>IF(LEN($CE$262)=0,"",IFERROR(MATCH($CE$262,$N$11:$N$32,0),""))</f>
        <v/>
      </c>
      <c r="P262" s="2">
        <f>IF(ISNUMBER($O$262),INDEX($AS$11:$AS$32,$O$262),'Campanha'!$B$20)</f>
        <v/>
      </c>
      <c r="Q262" s="2">
        <f>IF(ISNUMBER($N$262),$AQ$23,0)</f>
        <v/>
      </c>
      <c r="R262" s="2">
        <f>IF(LEN($CA$262)=0,"",IFERROR(MATCH($CA$262,'Dados'!$A$324:$A$339,0),""))</f>
        <v/>
      </c>
      <c r="S262" s="2">
        <f>IF(ISNUMBER($R$262),INDEX('Dados'!$F$324:$F$339,$R$262),"")</f>
        <v/>
      </c>
      <c r="T262" s="2">
        <f>IF(ISNUMBER($R$262),INDEX('Dados'!$G$324:$G$339,$R$262),"")</f>
        <v/>
      </c>
      <c r="U262" s="2">
        <f>IF(ISNUMBER($R$262),INDEX('Dados'!$H$324:$H$339,$R$262),"")</f>
        <v/>
      </c>
      <c r="V262" s="2">
        <f>IF(ISNUMBER($R$262),INDEX('Dados'!$I$324:$I$339,$R$262),"")</f>
        <v/>
      </c>
      <c r="W262" s="2">
        <f>IF(ISNUMBER($R$262),INDEX('Dados'!$J$324:$J$339,$R$262),"")</f>
        <v/>
      </c>
      <c r="X262" s="2">
        <f>IF(ISNUMBER($R$262),INDEX('Dados'!$K$324:$K$339,$R$262),"")</f>
        <v/>
      </c>
      <c r="Y262" s="2">
        <f>IF(ISNUMBER($R$262),INDEX('Dados'!$L$324:$L$339,$R$262),"")</f>
        <v/>
      </c>
      <c r="Z262" s="2">
        <f>IF(ISNUMBER($R$262),INDEX('Dados'!$M$324:$M$339,$R$262),"")</f>
        <v/>
      </c>
      <c r="AA262" s="2">
        <f>IF(ISNUMBER($R$262),INDEX('Dados'!$N$324:$N$339,$R$262),"")</f>
        <v/>
      </c>
      <c r="AB262" s="2">
        <f>IF(ISNUMBER($CD$262),MIN($Z$262,MAX(1,INT($CD$262))),1)</f>
        <v/>
      </c>
      <c r="AC262" s="2">
        <f>IF(ISNUMBER($R$262),INDEX('Dados'!$B$324:$B$339,$R$262),"")</f>
        <v/>
      </c>
      <c r="AD262" s="2">
        <f>IF(AND(ISNUMBER($R$262),LEN($N$23)&gt;0,$Q$23=1,NOT(IF(ISNUMBER($CC$262),$CC$262=0,FALSE))),1,0)</f>
        <v/>
      </c>
      <c r="AE262" s="2">
        <f>IF($AD$262=1,50,"")</f>
        <v/>
      </c>
      <c r="AF262" s="2">
        <f>IF(ISNUMBER($R$262),INDEX('Dados'!$C$324:$C$339,$R$262),"")</f>
        <v/>
      </c>
      <c r="AG262" s="2">
        <f>IF($AD$262=0,"",$AC$262&amp;IF($H$262&lt;&gt;$AC$262," · Agora: "&amp;$H$262,"")&amp;" (duração: "&amp;$AF$262&amp;")")</f>
        <v/>
      </c>
      <c r="AH262" s="2">
        <f>IF(AND(ISNUMBER($R$262),LEN($N$23)&gt;0),IF(IF(ISNUMBER($CC$262),$CC$262=0,FALSE),1,0),0)</f>
        <v/>
      </c>
      <c r="CA262" s="2">
        <f>IF(ISERROR($B$262),"",IF(ISBLANK($B$262),"",$B$262))</f>
        <v/>
      </c>
      <c r="CC262" s="2">
        <f>IF(ISERROR($D$262),"",IF(ISBLANK($D$262),"",$D$262))</f>
        <v/>
      </c>
      <c r="CD262" s="2">
        <f>IF(ISERROR($E$262),"",IF(ISBLANK($E$262),"",$E$262))</f>
        <v/>
      </c>
      <c r="CE262" s="2">
        <f>IF(ISERROR($F$262),"",IF(ISBLANK($F$262),"",$F$262))</f>
        <v/>
      </c>
      <c r="CJ262" s="2">
        <f>ISERROR($B$262)*1+ISERROR($D$262)*1+ISERROR($E$262)*1+ISERROR($F$262)*1</f>
        <v/>
      </c>
    </row>
    <row r="263" ht="48" customHeight="1">
      <c r="A263" s="31">
        <f>IF(LEN($N$23)&gt;0,$N$23,"13 · (vazio)")</f>
        <v/>
      </c>
      <c r="B263" s="4" t="n"/>
      <c r="C263" s="17" t="n"/>
      <c r="D263" s="16" t="n"/>
      <c r="E263" s="16" t="n"/>
      <c r="F263" s="4" t="n"/>
      <c r="G263" s="17" t="n"/>
      <c r="H263" s="5">
        <f>IF(NOT(ISNUMBER($R$263)),"",IF(IF(ISNUMBER($CC$263),$CC$263=0,FALSE),"EXPIRADA (0 turnos): já não vale; apague a condição",IF($W$263&gt;0,"Dano Contínuo: "&amp;MIN(INT($W$263*$Q$263/100),$X$263*$P$263)&amp;" por turno",IF($S$263&gt;0,IF($AA$263="Sim","Dano Contínuo: ","Dano: ")&amp;IF($U$263="Sim",$AB$263*$S$263,$S$263)&amp;"d"&amp;$T$263&amp;IF($V$263="Sim"," + "&amp;$P$263,"")&amp;" · média "&amp;(INT(IF($U$263="Sim",$AB$263*$S$263,$S$263)*($T$263+1)/2)+IF($V$263="Sim",$P$263,0)),$AC$263))&amp;IF($Y$263&gt;0,"; Atrasa "&amp;$Y$263&amp;" casa(s): some em Atraso deste Ciclo do alvo (C8)","")))</f>
        <v/>
      </c>
      <c r="K263" s="19">
        <f>IF(CJ263&gt;0,"O Google leu como fórmula: escolha de novo ou digite com ' na frente.",IF(LEN($CA$263)=0,"",IF(LEN($N$23)=0,"Combatente vazio: a condição não conta",IF(NOT(ISNUMBER($R$263)),"Condição fora do capítulo 21",IF(FALSE,"",IF(IF(ISNUMBER($CC$263),$CC$263=0,FALSE),"Expirou: os turnos chegaram a 0 e ela saiu do painel",IF(AND(ISNUMBER($CD$263),$CD$263&gt;$Z$263),"Acima do teto de "&amp;$Z$263&amp;" acúmulo(s) (21.5): usando o teto",IF($AA$263="Sim","Dano Contínuo: início do turno do alvo; ignora RD, não crita, sem dados de Fraqueza (20.6)",""))))))))</f>
        <v/>
      </c>
      <c r="N263" s="2">
        <f>IF(LEN($N$23)=0,"",13)</f>
        <v/>
      </c>
      <c r="O263" s="2">
        <f>IF(LEN($CE$263)=0,"",IFERROR(MATCH($CE$263,$N$11:$N$32,0),""))</f>
        <v/>
      </c>
      <c r="P263" s="2">
        <f>IF(ISNUMBER($O$263),INDEX($AS$11:$AS$32,$O$263),'Campanha'!$B$20)</f>
        <v/>
      </c>
      <c r="Q263" s="2">
        <f>IF(ISNUMBER($N$263),$AQ$23,0)</f>
        <v/>
      </c>
      <c r="R263" s="2">
        <f>IF(LEN($CA$263)=0,"",IFERROR(MATCH($CA$263,'Dados'!$A$324:$A$339,0),""))</f>
        <v/>
      </c>
      <c r="S263" s="2">
        <f>IF(ISNUMBER($R$263),INDEX('Dados'!$F$324:$F$339,$R$263),"")</f>
        <v/>
      </c>
      <c r="T263" s="2">
        <f>IF(ISNUMBER($R$263),INDEX('Dados'!$G$324:$G$339,$R$263),"")</f>
        <v/>
      </c>
      <c r="U263" s="2">
        <f>IF(ISNUMBER($R$263),INDEX('Dados'!$H$324:$H$339,$R$263),"")</f>
        <v/>
      </c>
      <c r="V263" s="2">
        <f>IF(ISNUMBER($R$263),INDEX('Dados'!$I$324:$I$339,$R$263),"")</f>
        <v/>
      </c>
      <c r="W263" s="2">
        <f>IF(ISNUMBER($R$263),INDEX('Dados'!$J$324:$J$339,$R$263),"")</f>
        <v/>
      </c>
      <c r="X263" s="2">
        <f>IF(ISNUMBER($R$263),INDEX('Dados'!$K$324:$K$339,$R$263),"")</f>
        <v/>
      </c>
      <c r="Y263" s="2">
        <f>IF(ISNUMBER($R$263),INDEX('Dados'!$L$324:$L$339,$R$263),"")</f>
        <v/>
      </c>
      <c r="Z263" s="2">
        <f>IF(ISNUMBER($R$263),INDEX('Dados'!$M$324:$M$339,$R$263),"")</f>
        <v/>
      </c>
      <c r="AA263" s="2">
        <f>IF(ISNUMBER($R$263),INDEX('Dados'!$N$324:$N$339,$R$263),"")</f>
        <v/>
      </c>
      <c r="AB263" s="2">
        <f>IF(ISNUMBER($CD$263),MIN($Z$263,MAX(1,INT($CD$263))),1)</f>
        <v/>
      </c>
      <c r="AC263" s="2">
        <f>IF(ISNUMBER($R$263),INDEX('Dados'!$B$324:$B$339,$R$263),"")</f>
        <v/>
      </c>
      <c r="AD263" s="2">
        <f>IF(AND(ISNUMBER($R$263),LEN($N$23)&gt;0,$Q$23=1,NOT(IF(ISNUMBER($CC$263),$CC$263=0,FALSE))),1,0)</f>
        <v/>
      </c>
      <c r="AE263" s="2">
        <f>IF($AD$263=1,51,"")</f>
        <v/>
      </c>
      <c r="AF263" s="2">
        <f>IF(ISNUMBER($R$263),INDEX('Dados'!$C$324:$C$339,$R$263),"")</f>
        <v/>
      </c>
      <c r="AG263" s="2">
        <f>IF($AD$263=0,"",$AC$263&amp;IF($H$263&lt;&gt;$AC$263," · Agora: "&amp;$H$263,"")&amp;" (duração: "&amp;$AF$263&amp;")")</f>
        <v/>
      </c>
      <c r="AH263" s="2">
        <f>IF(AND(ISNUMBER($R$263),LEN($N$23)&gt;0),IF(IF(ISNUMBER($CC$263),$CC$263=0,FALSE),1,0),0)</f>
        <v/>
      </c>
      <c r="CA263" s="2">
        <f>IF(ISERROR($B$263),"",IF(ISBLANK($B$263),"",$B$263))</f>
        <v/>
      </c>
      <c r="CC263" s="2">
        <f>IF(ISERROR($D$263),"",IF(ISBLANK($D$263),"",$D$263))</f>
        <v/>
      </c>
      <c r="CD263" s="2">
        <f>IF(ISERROR($E$263),"",IF(ISBLANK($E$263),"",$E$263))</f>
        <v/>
      </c>
      <c r="CE263" s="2">
        <f>IF(ISERROR($F$263),"",IF(ISBLANK($F$263),"",$F$263))</f>
        <v/>
      </c>
      <c r="CJ263" s="2">
        <f>ISERROR($B$263)*1+ISERROR($D$263)*1+ISERROR($E$263)*1+ISERROR($F$263)*1</f>
        <v/>
      </c>
    </row>
    <row r="264" ht="48" customHeight="1">
      <c r="A264" s="43">
        <f>IF(LEN($N$23)&gt;0,$N$23,"13 · (vazio)")</f>
        <v/>
      </c>
      <c r="B264" s="29" t="n"/>
      <c r="C264" s="17" t="n"/>
      <c r="D264" s="37" t="n"/>
      <c r="E264" s="37" t="n"/>
      <c r="F264" s="29" t="n"/>
      <c r="G264" s="17" t="n"/>
      <c r="H264" s="10">
        <f>IF(NOT(ISNUMBER($R$264)),"",IF(IF(ISNUMBER($CC$264),$CC$264=0,FALSE),"EXPIRADA (0 turnos): já não vale; apague a condição",IF($W$264&gt;0,"Dano Contínuo: "&amp;MIN(INT($W$264*$Q$264/100),$X$264*$P$264)&amp;" por turno",IF($S$264&gt;0,IF($AA$264="Sim","Dano Contínuo: ","Dano: ")&amp;IF($U$264="Sim",$AB$264*$S$264,$S$264)&amp;"d"&amp;$T$264&amp;IF($V$264="Sim"," + "&amp;$P$264,"")&amp;" · média "&amp;(INT(IF($U$264="Sim",$AB$264*$S$264,$S$264)*($T$264+1)/2)+IF($V$264="Sim",$P$264,0)),$AC$264))&amp;IF($Y$264&gt;0,"; Atrasa "&amp;$Y$264&amp;" casa(s): some em Atraso deste Ciclo do alvo (C8)","")))</f>
        <v/>
      </c>
      <c r="K264" s="27">
        <f>IF(CJ264&gt;0,"O Google leu como fórmula: escolha de novo ou digite com ' na frente.",IF(LEN($CA$264)=0,"",IF(LEN($N$23)=0,"Combatente vazio: a condição não conta",IF(NOT(ISNUMBER($R$264)),"Condição fora do capítulo 21",IF(FALSE,"",IF(IF(ISNUMBER($CC$264),$CC$264=0,FALSE),"Expirou: os turnos chegaram a 0 e ela saiu do painel",IF(AND(ISNUMBER($CD$264),$CD$264&gt;$Z$264),"Acima do teto de "&amp;$Z$264&amp;" acúmulo(s) (21.5): usando o teto",IF($AA$264="Sim","Dano Contínuo: início do turno do alvo; ignora RD, não crita, sem dados de Fraqueza (20.6)",""))))))))</f>
        <v/>
      </c>
      <c r="N264" s="2">
        <f>IF(LEN($N$23)=0,"",13)</f>
        <v/>
      </c>
      <c r="O264" s="2">
        <f>IF(LEN($CE$264)=0,"",IFERROR(MATCH($CE$264,$N$11:$N$32,0),""))</f>
        <v/>
      </c>
      <c r="P264" s="2">
        <f>IF(ISNUMBER($O$264),INDEX($AS$11:$AS$32,$O$264),'Campanha'!$B$20)</f>
        <v/>
      </c>
      <c r="Q264" s="2">
        <f>IF(ISNUMBER($N$264),$AQ$23,0)</f>
        <v/>
      </c>
      <c r="R264" s="2">
        <f>IF(LEN($CA$264)=0,"",IFERROR(MATCH($CA$264,'Dados'!$A$324:$A$339,0),""))</f>
        <v/>
      </c>
      <c r="S264" s="2">
        <f>IF(ISNUMBER($R$264),INDEX('Dados'!$F$324:$F$339,$R$264),"")</f>
        <v/>
      </c>
      <c r="T264" s="2">
        <f>IF(ISNUMBER($R$264),INDEX('Dados'!$G$324:$G$339,$R$264),"")</f>
        <v/>
      </c>
      <c r="U264" s="2">
        <f>IF(ISNUMBER($R$264),INDEX('Dados'!$H$324:$H$339,$R$264),"")</f>
        <v/>
      </c>
      <c r="V264" s="2">
        <f>IF(ISNUMBER($R$264),INDEX('Dados'!$I$324:$I$339,$R$264),"")</f>
        <v/>
      </c>
      <c r="W264" s="2">
        <f>IF(ISNUMBER($R$264),INDEX('Dados'!$J$324:$J$339,$R$264),"")</f>
        <v/>
      </c>
      <c r="X264" s="2">
        <f>IF(ISNUMBER($R$264),INDEX('Dados'!$K$324:$K$339,$R$264),"")</f>
        <v/>
      </c>
      <c r="Y264" s="2">
        <f>IF(ISNUMBER($R$264),INDEX('Dados'!$L$324:$L$339,$R$264),"")</f>
        <v/>
      </c>
      <c r="Z264" s="2">
        <f>IF(ISNUMBER($R$264),INDEX('Dados'!$M$324:$M$339,$R$264),"")</f>
        <v/>
      </c>
      <c r="AA264" s="2">
        <f>IF(ISNUMBER($R$264),INDEX('Dados'!$N$324:$N$339,$R$264),"")</f>
        <v/>
      </c>
      <c r="AB264" s="2">
        <f>IF(ISNUMBER($CD$264),MIN($Z$264,MAX(1,INT($CD$264))),1)</f>
        <v/>
      </c>
      <c r="AC264" s="2">
        <f>IF(ISNUMBER($R$264),INDEX('Dados'!$B$324:$B$339,$R$264),"")</f>
        <v/>
      </c>
      <c r="AD264" s="2">
        <f>IF(AND(ISNUMBER($R$264),LEN($N$23)&gt;0,$Q$23=1,NOT(IF(ISNUMBER($CC$264),$CC$264=0,FALSE))),1,0)</f>
        <v/>
      </c>
      <c r="AE264" s="2">
        <f>IF($AD$264=1,52,"")</f>
        <v/>
      </c>
      <c r="AF264" s="2">
        <f>IF(ISNUMBER($R$264),INDEX('Dados'!$C$324:$C$339,$R$264),"")</f>
        <v/>
      </c>
      <c r="AG264" s="2">
        <f>IF($AD$264=0,"",$AC$264&amp;IF($H$264&lt;&gt;$AC$264," · Agora: "&amp;$H$264,"")&amp;" (duração: "&amp;$AF$264&amp;")")</f>
        <v/>
      </c>
      <c r="AH264" s="2">
        <f>IF(AND(ISNUMBER($R$264),LEN($N$23)&gt;0),IF(IF(ISNUMBER($CC$264),$CC$264=0,FALSE),1,0),0)</f>
        <v/>
      </c>
      <c r="CA264" s="2">
        <f>IF(ISERROR($B$264),"",IF(ISBLANK($B$264),"",$B$264))</f>
        <v/>
      </c>
      <c r="CC264" s="2">
        <f>IF(ISERROR($D$264),"",IF(ISBLANK($D$264),"",$D$264))</f>
        <v/>
      </c>
      <c r="CD264" s="2">
        <f>IF(ISERROR($E$264),"",IF(ISBLANK($E$264),"",$E$264))</f>
        <v/>
      </c>
      <c r="CE264" s="2">
        <f>IF(ISERROR($F$264),"",IF(ISBLANK($F$264),"",$F$264))</f>
        <v/>
      </c>
      <c r="CJ264" s="2">
        <f>ISERROR($B$264)*1+ISERROR($D$264)*1+ISERROR($E$264)*1+ISERROR($F$264)*1</f>
        <v/>
      </c>
    </row>
    <row r="265" ht="48" customHeight="1">
      <c r="A265" s="31">
        <f>IF(LEN($N$24)&gt;0,$N$24,"14 · (vazio)")</f>
        <v/>
      </c>
      <c r="B265" s="4" t="n"/>
      <c r="C265" s="17" t="n"/>
      <c r="D265" s="16" t="n"/>
      <c r="E265" s="16" t="n"/>
      <c r="F265" s="4" t="n"/>
      <c r="G265" s="17" t="n"/>
      <c r="H265" s="5">
        <f>IF(NOT(ISNUMBER($R$265)),"",IF(IF(ISNUMBER($CC$265),$CC$265=0,FALSE),"EXPIRADA (0 turnos): já não vale; apague a condição",IF($W$265&gt;0,"Dano Contínuo: "&amp;MIN(INT($W$265*$Q$265/100),$X$265*$P$265)&amp;" por turno",IF($S$265&gt;0,IF($AA$265="Sim","Dano Contínuo: ","Dano: ")&amp;IF($U$265="Sim",$AB$265*$S$265,$S$265)&amp;"d"&amp;$T$265&amp;IF($V$265="Sim"," + "&amp;$P$265,"")&amp;" · média "&amp;(INT(IF($U$265="Sim",$AB$265*$S$265,$S$265)*($T$265+1)/2)+IF($V$265="Sim",$P$265,0)),$AC$265))&amp;IF($Y$265&gt;0,"; Atrasa "&amp;$Y$265&amp;" casa(s): some em Atraso deste Ciclo do alvo (C8)","")))</f>
        <v/>
      </c>
      <c r="K265" s="19">
        <f>IF(CJ265&gt;0,"O Google leu como fórmula: escolha de novo ou digite com ' na frente.",IF(LEN($CA$265)=0,"",IF(LEN($N$24)=0,"Combatente vazio: a condição não conta",IF(NOT(ISNUMBER($R$265)),"Condição fora do capítulo 21",IF(FALSE,"",IF(IF(ISNUMBER($CC$265),$CC$265=0,FALSE),"Expirou: os turnos chegaram a 0 e ela saiu do painel",IF(AND(ISNUMBER($CD$265),$CD$265&gt;$Z$265),"Acima do teto de "&amp;$Z$265&amp;" acúmulo(s) (21.5): usando o teto",IF($AA$265="Sim","Dano Contínuo: início do turno do alvo; ignora RD, não crita, sem dados de Fraqueza (20.6)",""))))))))</f>
        <v/>
      </c>
      <c r="N265" s="2">
        <f>IF(LEN($N$24)=0,"",14)</f>
        <v/>
      </c>
      <c r="O265" s="2">
        <f>IF(LEN($CE$265)=0,"",IFERROR(MATCH($CE$265,$N$11:$N$32,0),""))</f>
        <v/>
      </c>
      <c r="P265" s="2">
        <f>IF(ISNUMBER($O$265),INDEX($AS$11:$AS$32,$O$265),'Campanha'!$B$20)</f>
        <v/>
      </c>
      <c r="Q265" s="2">
        <f>IF(ISNUMBER($N$265),$AQ$24,0)</f>
        <v/>
      </c>
      <c r="R265" s="2">
        <f>IF(LEN($CA$265)=0,"",IFERROR(MATCH($CA$265,'Dados'!$A$324:$A$339,0),""))</f>
        <v/>
      </c>
      <c r="S265" s="2">
        <f>IF(ISNUMBER($R$265),INDEX('Dados'!$F$324:$F$339,$R$265),"")</f>
        <v/>
      </c>
      <c r="T265" s="2">
        <f>IF(ISNUMBER($R$265),INDEX('Dados'!$G$324:$G$339,$R$265),"")</f>
        <v/>
      </c>
      <c r="U265" s="2">
        <f>IF(ISNUMBER($R$265),INDEX('Dados'!$H$324:$H$339,$R$265),"")</f>
        <v/>
      </c>
      <c r="V265" s="2">
        <f>IF(ISNUMBER($R$265),INDEX('Dados'!$I$324:$I$339,$R$265),"")</f>
        <v/>
      </c>
      <c r="W265" s="2">
        <f>IF(ISNUMBER($R$265),INDEX('Dados'!$J$324:$J$339,$R$265),"")</f>
        <v/>
      </c>
      <c r="X265" s="2">
        <f>IF(ISNUMBER($R$265),INDEX('Dados'!$K$324:$K$339,$R$265),"")</f>
        <v/>
      </c>
      <c r="Y265" s="2">
        <f>IF(ISNUMBER($R$265),INDEX('Dados'!$L$324:$L$339,$R$265),"")</f>
        <v/>
      </c>
      <c r="Z265" s="2">
        <f>IF(ISNUMBER($R$265),INDEX('Dados'!$M$324:$M$339,$R$265),"")</f>
        <v/>
      </c>
      <c r="AA265" s="2">
        <f>IF(ISNUMBER($R$265),INDEX('Dados'!$N$324:$N$339,$R$265),"")</f>
        <v/>
      </c>
      <c r="AB265" s="2">
        <f>IF(ISNUMBER($CD$265),MIN($Z$265,MAX(1,INT($CD$265))),1)</f>
        <v/>
      </c>
      <c r="AC265" s="2">
        <f>IF(ISNUMBER($R$265),INDEX('Dados'!$B$324:$B$339,$R$265),"")</f>
        <v/>
      </c>
      <c r="AD265" s="2">
        <f>IF(AND(ISNUMBER($R$265),LEN($N$24)&gt;0,$Q$24=1,NOT(IF(ISNUMBER($CC$265),$CC$265=0,FALSE))),1,0)</f>
        <v/>
      </c>
      <c r="AE265" s="2">
        <f>IF($AD$265=1,53,"")</f>
        <v/>
      </c>
      <c r="AF265" s="2">
        <f>IF(ISNUMBER($R$265),INDEX('Dados'!$C$324:$C$339,$R$265),"")</f>
        <v/>
      </c>
      <c r="AG265" s="2">
        <f>IF($AD$265=0,"",$AC$265&amp;IF($H$265&lt;&gt;$AC$265," · Agora: "&amp;$H$265,"")&amp;" (duração: "&amp;$AF$265&amp;")")</f>
        <v/>
      </c>
      <c r="AH265" s="2">
        <f>IF(AND(ISNUMBER($R$265),LEN($N$24)&gt;0),IF(IF(ISNUMBER($CC$265),$CC$265=0,FALSE),1,0),0)</f>
        <v/>
      </c>
      <c r="CA265" s="2">
        <f>IF(ISERROR($B$265),"",IF(ISBLANK($B$265),"",$B$265))</f>
        <v/>
      </c>
      <c r="CC265" s="2">
        <f>IF(ISERROR($D$265),"",IF(ISBLANK($D$265),"",$D$265))</f>
        <v/>
      </c>
      <c r="CD265" s="2">
        <f>IF(ISERROR($E$265),"",IF(ISBLANK($E$265),"",$E$265))</f>
        <v/>
      </c>
      <c r="CE265" s="2">
        <f>IF(ISERROR($F$265),"",IF(ISBLANK($F$265),"",$F$265))</f>
        <v/>
      </c>
      <c r="CJ265" s="2">
        <f>ISERROR($B$265)*1+ISERROR($D$265)*1+ISERROR($E$265)*1+ISERROR($F$265)*1</f>
        <v/>
      </c>
    </row>
    <row r="266" ht="48" customHeight="1">
      <c r="A266" s="43">
        <f>IF(LEN($N$24)&gt;0,$N$24,"14 · (vazio)")</f>
        <v/>
      </c>
      <c r="B266" s="29" t="n"/>
      <c r="C266" s="17" t="n"/>
      <c r="D266" s="37" t="n"/>
      <c r="E266" s="37" t="n"/>
      <c r="F266" s="29" t="n"/>
      <c r="G266" s="17" t="n"/>
      <c r="H266" s="10">
        <f>IF(NOT(ISNUMBER($R$266)),"",IF(IF(ISNUMBER($CC$266),$CC$266=0,FALSE),"EXPIRADA (0 turnos): já não vale; apague a condição",IF($W$266&gt;0,"Dano Contínuo: "&amp;MIN(INT($W$266*$Q$266/100),$X$266*$P$266)&amp;" por turno",IF($S$266&gt;0,IF($AA$266="Sim","Dano Contínuo: ","Dano: ")&amp;IF($U$266="Sim",$AB$266*$S$266,$S$266)&amp;"d"&amp;$T$266&amp;IF($V$266="Sim"," + "&amp;$P$266,"")&amp;" · média "&amp;(INT(IF($U$266="Sim",$AB$266*$S$266,$S$266)*($T$266+1)/2)+IF($V$266="Sim",$P$266,0)),$AC$266))&amp;IF($Y$266&gt;0,"; Atrasa "&amp;$Y$266&amp;" casa(s): some em Atraso deste Ciclo do alvo (C8)","")))</f>
        <v/>
      </c>
      <c r="K266" s="27">
        <f>IF(CJ266&gt;0,"O Google leu como fórmula: escolha de novo ou digite com ' na frente.",IF(LEN($CA$266)=0,"",IF(LEN($N$24)=0,"Combatente vazio: a condição não conta",IF(NOT(ISNUMBER($R$266)),"Condição fora do capítulo 21",IF(FALSE,"",IF(IF(ISNUMBER($CC$266),$CC$266=0,FALSE),"Expirou: os turnos chegaram a 0 e ela saiu do painel",IF(AND(ISNUMBER($CD$266),$CD$266&gt;$Z$266),"Acima do teto de "&amp;$Z$266&amp;" acúmulo(s) (21.5): usando o teto",IF($AA$266="Sim","Dano Contínuo: início do turno do alvo; ignora RD, não crita, sem dados de Fraqueza (20.6)",""))))))))</f>
        <v/>
      </c>
      <c r="N266" s="2">
        <f>IF(LEN($N$24)=0,"",14)</f>
        <v/>
      </c>
      <c r="O266" s="2">
        <f>IF(LEN($CE$266)=0,"",IFERROR(MATCH($CE$266,$N$11:$N$32,0),""))</f>
        <v/>
      </c>
      <c r="P266" s="2">
        <f>IF(ISNUMBER($O$266),INDEX($AS$11:$AS$32,$O$266),'Campanha'!$B$20)</f>
        <v/>
      </c>
      <c r="Q266" s="2">
        <f>IF(ISNUMBER($N$266),$AQ$24,0)</f>
        <v/>
      </c>
      <c r="R266" s="2">
        <f>IF(LEN($CA$266)=0,"",IFERROR(MATCH($CA$266,'Dados'!$A$324:$A$339,0),""))</f>
        <v/>
      </c>
      <c r="S266" s="2">
        <f>IF(ISNUMBER($R$266),INDEX('Dados'!$F$324:$F$339,$R$266),"")</f>
        <v/>
      </c>
      <c r="T266" s="2">
        <f>IF(ISNUMBER($R$266),INDEX('Dados'!$G$324:$G$339,$R$266),"")</f>
        <v/>
      </c>
      <c r="U266" s="2">
        <f>IF(ISNUMBER($R$266),INDEX('Dados'!$H$324:$H$339,$R$266),"")</f>
        <v/>
      </c>
      <c r="V266" s="2">
        <f>IF(ISNUMBER($R$266),INDEX('Dados'!$I$324:$I$339,$R$266),"")</f>
        <v/>
      </c>
      <c r="W266" s="2">
        <f>IF(ISNUMBER($R$266),INDEX('Dados'!$J$324:$J$339,$R$266),"")</f>
        <v/>
      </c>
      <c r="X266" s="2">
        <f>IF(ISNUMBER($R$266),INDEX('Dados'!$K$324:$K$339,$R$266),"")</f>
        <v/>
      </c>
      <c r="Y266" s="2">
        <f>IF(ISNUMBER($R$266),INDEX('Dados'!$L$324:$L$339,$R$266),"")</f>
        <v/>
      </c>
      <c r="Z266" s="2">
        <f>IF(ISNUMBER($R$266),INDEX('Dados'!$M$324:$M$339,$R$266),"")</f>
        <v/>
      </c>
      <c r="AA266" s="2">
        <f>IF(ISNUMBER($R$266),INDEX('Dados'!$N$324:$N$339,$R$266),"")</f>
        <v/>
      </c>
      <c r="AB266" s="2">
        <f>IF(ISNUMBER($CD$266),MIN($Z$266,MAX(1,INT($CD$266))),1)</f>
        <v/>
      </c>
      <c r="AC266" s="2">
        <f>IF(ISNUMBER($R$266),INDEX('Dados'!$B$324:$B$339,$R$266),"")</f>
        <v/>
      </c>
      <c r="AD266" s="2">
        <f>IF(AND(ISNUMBER($R$266),LEN($N$24)&gt;0,$Q$24=1,NOT(IF(ISNUMBER($CC$266),$CC$266=0,FALSE))),1,0)</f>
        <v/>
      </c>
      <c r="AE266" s="2">
        <f>IF($AD$266=1,54,"")</f>
        <v/>
      </c>
      <c r="AF266" s="2">
        <f>IF(ISNUMBER($R$266),INDEX('Dados'!$C$324:$C$339,$R$266),"")</f>
        <v/>
      </c>
      <c r="AG266" s="2">
        <f>IF($AD$266=0,"",$AC$266&amp;IF($H$266&lt;&gt;$AC$266," · Agora: "&amp;$H$266,"")&amp;" (duração: "&amp;$AF$266&amp;")")</f>
        <v/>
      </c>
      <c r="AH266" s="2">
        <f>IF(AND(ISNUMBER($R$266),LEN($N$24)&gt;0),IF(IF(ISNUMBER($CC$266),$CC$266=0,FALSE),1,0),0)</f>
        <v/>
      </c>
      <c r="CA266" s="2">
        <f>IF(ISERROR($B$266),"",IF(ISBLANK($B$266),"",$B$266))</f>
        <v/>
      </c>
      <c r="CC266" s="2">
        <f>IF(ISERROR($D$266),"",IF(ISBLANK($D$266),"",$D$266))</f>
        <v/>
      </c>
      <c r="CD266" s="2">
        <f>IF(ISERROR($E$266),"",IF(ISBLANK($E$266),"",$E$266))</f>
        <v/>
      </c>
      <c r="CE266" s="2">
        <f>IF(ISERROR($F$266),"",IF(ISBLANK($F$266),"",$F$266))</f>
        <v/>
      </c>
      <c r="CJ266" s="2">
        <f>ISERROR($B$266)*1+ISERROR($D$266)*1+ISERROR($E$266)*1+ISERROR($F$266)*1</f>
        <v/>
      </c>
    </row>
    <row r="267" ht="48" customHeight="1">
      <c r="A267" s="31">
        <f>IF(LEN($N$24)&gt;0,$N$24,"14 · (vazio)")</f>
        <v/>
      </c>
      <c r="B267" s="4" t="n"/>
      <c r="C267" s="17" t="n"/>
      <c r="D267" s="16" t="n"/>
      <c r="E267" s="16" t="n"/>
      <c r="F267" s="4" t="n"/>
      <c r="G267" s="17" t="n"/>
      <c r="H267" s="5">
        <f>IF(NOT(ISNUMBER($R$267)),"",IF(IF(ISNUMBER($CC$267),$CC$267=0,FALSE),"EXPIRADA (0 turnos): já não vale; apague a condição",IF($W$267&gt;0,"Dano Contínuo: "&amp;MIN(INT($W$267*$Q$267/100),$X$267*$P$267)&amp;" por turno",IF($S$267&gt;0,IF($AA$267="Sim","Dano Contínuo: ","Dano: ")&amp;IF($U$267="Sim",$AB$267*$S$267,$S$267)&amp;"d"&amp;$T$267&amp;IF($V$267="Sim"," + "&amp;$P$267,"")&amp;" · média "&amp;(INT(IF($U$267="Sim",$AB$267*$S$267,$S$267)*($T$267+1)/2)+IF($V$267="Sim",$P$267,0)),$AC$267))&amp;IF($Y$267&gt;0,"; Atrasa "&amp;$Y$267&amp;" casa(s): some em Atraso deste Ciclo do alvo (C8)","")))</f>
        <v/>
      </c>
      <c r="K267" s="19">
        <f>IF(CJ267&gt;0,"O Google leu como fórmula: escolha de novo ou digite com ' na frente.",IF(LEN($CA$267)=0,"",IF(LEN($N$24)=0,"Combatente vazio: a condição não conta",IF(NOT(ISNUMBER($R$267)),"Condição fora do capítulo 21",IF(FALSE,"",IF(IF(ISNUMBER($CC$267),$CC$267=0,FALSE),"Expirou: os turnos chegaram a 0 e ela saiu do painel",IF(AND(ISNUMBER($CD$267),$CD$267&gt;$Z$267),"Acima do teto de "&amp;$Z$267&amp;" acúmulo(s) (21.5): usando o teto",IF($AA$267="Sim","Dano Contínuo: início do turno do alvo; ignora RD, não crita, sem dados de Fraqueza (20.6)",""))))))))</f>
        <v/>
      </c>
      <c r="N267" s="2">
        <f>IF(LEN($N$24)=0,"",14)</f>
        <v/>
      </c>
      <c r="O267" s="2">
        <f>IF(LEN($CE$267)=0,"",IFERROR(MATCH($CE$267,$N$11:$N$32,0),""))</f>
        <v/>
      </c>
      <c r="P267" s="2">
        <f>IF(ISNUMBER($O$267),INDEX($AS$11:$AS$32,$O$267),'Campanha'!$B$20)</f>
        <v/>
      </c>
      <c r="Q267" s="2">
        <f>IF(ISNUMBER($N$267),$AQ$24,0)</f>
        <v/>
      </c>
      <c r="R267" s="2">
        <f>IF(LEN($CA$267)=0,"",IFERROR(MATCH($CA$267,'Dados'!$A$324:$A$339,0),""))</f>
        <v/>
      </c>
      <c r="S267" s="2">
        <f>IF(ISNUMBER($R$267),INDEX('Dados'!$F$324:$F$339,$R$267),"")</f>
        <v/>
      </c>
      <c r="T267" s="2">
        <f>IF(ISNUMBER($R$267),INDEX('Dados'!$G$324:$G$339,$R$267),"")</f>
        <v/>
      </c>
      <c r="U267" s="2">
        <f>IF(ISNUMBER($R$267),INDEX('Dados'!$H$324:$H$339,$R$267),"")</f>
        <v/>
      </c>
      <c r="V267" s="2">
        <f>IF(ISNUMBER($R$267),INDEX('Dados'!$I$324:$I$339,$R$267),"")</f>
        <v/>
      </c>
      <c r="W267" s="2">
        <f>IF(ISNUMBER($R$267),INDEX('Dados'!$J$324:$J$339,$R$267),"")</f>
        <v/>
      </c>
      <c r="X267" s="2">
        <f>IF(ISNUMBER($R$267),INDEX('Dados'!$K$324:$K$339,$R$267),"")</f>
        <v/>
      </c>
      <c r="Y267" s="2">
        <f>IF(ISNUMBER($R$267),INDEX('Dados'!$L$324:$L$339,$R$267),"")</f>
        <v/>
      </c>
      <c r="Z267" s="2">
        <f>IF(ISNUMBER($R$267),INDEX('Dados'!$M$324:$M$339,$R$267),"")</f>
        <v/>
      </c>
      <c r="AA267" s="2">
        <f>IF(ISNUMBER($R$267),INDEX('Dados'!$N$324:$N$339,$R$267),"")</f>
        <v/>
      </c>
      <c r="AB267" s="2">
        <f>IF(ISNUMBER($CD$267),MIN($Z$267,MAX(1,INT($CD$267))),1)</f>
        <v/>
      </c>
      <c r="AC267" s="2">
        <f>IF(ISNUMBER($R$267),INDEX('Dados'!$B$324:$B$339,$R$267),"")</f>
        <v/>
      </c>
      <c r="AD267" s="2">
        <f>IF(AND(ISNUMBER($R$267),LEN($N$24)&gt;0,$Q$24=1,NOT(IF(ISNUMBER($CC$267),$CC$267=0,FALSE))),1,0)</f>
        <v/>
      </c>
      <c r="AE267" s="2">
        <f>IF($AD$267=1,55,"")</f>
        <v/>
      </c>
      <c r="AF267" s="2">
        <f>IF(ISNUMBER($R$267),INDEX('Dados'!$C$324:$C$339,$R$267),"")</f>
        <v/>
      </c>
      <c r="AG267" s="2">
        <f>IF($AD$267=0,"",$AC$267&amp;IF($H$267&lt;&gt;$AC$267," · Agora: "&amp;$H$267,"")&amp;" (duração: "&amp;$AF$267&amp;")")</f>
        <v/>
      </c>
      <c r="AH267" s="2">
        <f>IF(AND(ISNUMBER($R$267),LEN($N$24)&gt;0),IF(IF(ISNUMBER($CC$267),$CC$267=0,FALSE),1,0),0)</f>
        <v/>
      </c>
      <c r="CA267" s="2">
        <f>IF(ISERROR($B$267),"",IF(ISBLANK($B$267),"",$B$267))</f>
        <v/>
      </c>
      <c r="CC267" s="2">
        <f>IF(ISERROR($D$267),"",IF(ISBLANK($D$267),"",$D$267))</f>
        <v/>
      </c>
      <c r="CD267" s="2">
        <f>IF(ISERROR($E$267),"",IF(ISBLANK($E$267),"",$E$267))</f>
        <v/>
      </c>
      <c r="CE267" s="2">
        <f>IF(ISERROR($F$267),"",IF(ISBLANK($F$267),"",$F$267))</f>
        <v/>
      </c>
      <c r="CJ267" s="2">
        <f>ISERROR($B$267)*1+ISERROR($D$267)*1+ISERROR($E$267)*1+ISERROR($F$267)*1</f>
        <v/>
      </c>
    </row>
    <row r="268" ht="48" customHeight="1">
      <c r="A268" s="43">
        <f>IF(LEN($N$24)&gt;0,$N$24,"14 · (vazio)")</f>
        <v/>
      </c>
      <c r="B268" s="29" t="n"/>
      <c r="C268" s="17" t="n"/>
      <c r="D268" s="37" t="n"/>
      <c r="E268" s="37" t="n"/>
      <c r="F268" s="29" t="n"/>
      <c r="G268" s="17" t="n"/>
      <c r="H268" s="10">
        <f>IF(NOT(ISNUMBER($R$268)),"",IF(IF(ISNUMBER($CC$268),$CC$268=0,FALSE),"EXPIRADA (0 turnos): já não vale; apague a condição",IF($W$268&gt;0,"Dano Contínuo: "&amp;MIN(INT($W$268*$Q$268/100),$X$268*$P$268)&amp;" por turno",IF($S$268&gt;0,IF($AA$268="Sim","Dano Contínuo: ","Dano: ")&amp;IF($U$268="Sim",$AB$268*$S$268,$S$268)&amp;"d"&amp;$T$268&amp;IF($V$268="Sim"," + "&amp;$P$268,"")&amp;" · média "&amp;(INT(IF($U$268="Sim",$AB$268*$S$268,$S$268)*($T$268+1)/2)+IF($V$268="Sim",$P$268,0)),$AC$268))&amp;IF($Y$268&gt;0,"; Atrasa "&amp;$Y$268&amp;" casa(s): some em Atraso deste Ciclo do alvo (C8)","")))</f>
        <v/>
      </c>
      <c r="K268" s="27">
        <f>IF(CJ268&gt;0,"O Google leu como fórmula: escolha de novo ou digite com ' na frente.",IF(LEN($CA$268)=0,"",IF(LEN($N$24)=0,"Combatente vazio: a condição não conta",IF(NOT(ISNUMBER($R$268)),"Condição fora do capítulo 21",IF(FALSE,"",IF(IF(ISNUMBER($CC$268),$CC$268=0,FALSE),"Expirou: os turnos chegaram a 0 e ela saiu do painel",IF(AND(ISNUMBER($CD$268),$CD$268&gt;$Z$268),"Acima do teto de "&amp;$Z$268&amp;" acúmulo(s) (21.5): usando o teto",IF($AA$268="Sim","Dano Contínuo: início do turno do alvo; ignora RD, não crita, sem dados de Fraqueza (20.6)",""))))))))</f>
        <v/>
      </c>
      <c r="N268" s="2">
        <f>IF(LEN($N$24)=0,"",14)</f>
        <v/>
      </c>
      <c r="O268" s="2">
        <f>IF(LEN($CE$268)=0,"",IFERROR(MATCH($CE$268,$N$11:$N$32,0),""))</f>
        <v/>
      </c>
      <c r="P268" s="2">
        <f>IF(ISNUMBER($O$268),INDEX($AS$11:$AS$32,$O$268),'Campanha'!$B$20)</f>
        <v/>
      </c>
      <c r="Q268" s="2">
        <f>IF(ISNUMBER($N$268),$AQ$24,0)</f>
        <v/>
      </c>
      <c r="R268" s="2">
        <f>IF(LEN($CA$268)=0,"",IFERROR(MATCH($CA$268,'Dados'!$A$324:$A$339,0),""))</f>
        <v/>
      </c>
      <c r="S268" s="2">
        <f>IF(ISNUMBER($R$268),INDEX('Dados'!$F$324:$F$339,$R$268),"")</f>
        <v/>
      </c>
      <c r="T268" s="2">
        <f>IF(ISNUMBER($R$268),INDEX('Dados'!$G$324:$G$339,$R$268),"")</f>
        <v/>
      </c>
      <c r="U268" s="2">
        <f>IF(ISNUMBER($R$268),INDEX('Dados'!$H$324:$H$339,$R$268),"")</f>
        <v/>
      </c>
      <c r="V268" s="2">
        <f>IF(ISNUMBER($R$268),INDEX('Dados'!$I$324:$I$339,$R$268),"")</f>
        <v/>
      </c>
      <c r="W268" s="2">
        <f>IF(ISNUMBER($R$268),INDEX('Dados'!$J$324:$J$339,$R$268),"")</f>
        <v/>
      </c>
      <c r="X268" s="2">
        <f>IF(ISNUMBER($R$268),INDEX('Dados'!$K$324:$K$339,$R$268),"")</f>
        <v/>
      </c>
      <c r="Y268" s="2">
        <f>IF(ISNUMBER($R$268),INDEX('Dados'!$L$324:$L$339,$R$268),"")</f>
        <v/>
      </c>
      <c r="Z268" s="2">
        <f>IF(ISNUMBER($R$268),INDEX('Dados'!$M$324:$M$339,$R$268),"")</f>
        <v/>
      </c>
      <c r="AA268" s="2">
        <f>IF(ISNUMBER($R$268),INDEX('Dados'!$N$324:$N$339,$R$268),"")</f>
        <v/>
      </c>
      <c r="AB268" s="2">
        <f>IF(ISNUMBER($CD$268),MIN($Z$268,MAX(1,INT($CD$268))),1)</f>
        <v/>
      </c>
      <c r="AC268" s="2">
        <f>IF(ISNUMBER($R$268),INDEX('Dados'!$B$324:$B$339,$R$268),"")</f>
        <v/>
      </c>
      <c r="AD268" s="2">
        <f>IF(AND(ISNUMBER($R$268),LEN($N$24)&gt;0,$Q$24=1,NOT(IF(ISNUMBER($CC$268),$CC$268=0,FALSE))),1,0)</f>
        <v/>
      </c>
      <c r="AE268" s="2">
        <f>IF($AD$268=1,56,"")</f>
        <v/>
      </c>
      <c r="AF268" s="2">
        <f>IF(ISNUMBER($R$268),INDEX('Dados'!$C$324:$C$339,$R$268),"")</f>
        <v/>
      </c>
      <c r="AG268" s="2">
        <f>IF($AD$268=0,"",$AC$268&amp;IF($H$268&lt;&gt;$AC$268," · Agora: "&amp;$H$268,"")&amp;" (duração: "&amp;$AF$268&amp;")")</f>
        <v/>
      </c>
      <c r="AH268" s="2">
        <f>IF(AND(ISNUMBER($R$268),LEN($N$24)&gt;0),IF(IF(ISNUMBER($CC$268),$CC$268=0,FALSE),1,0),0)</f>
        <v/>
      </c>
      <c r="CA268" s="2">
        <f>IF(ISERROR($B$268),"",IF(ISBLANK($B$268),"",$B$268))</f>
        <v/>
      </c>
      <c r="CC268" s="2">
        <f>IF(ISERROR($D$268),"",IF(ISBLANK($D$268),"",$D$268))</f>
        <v/>
      </c>
      <c r="CD268" s="2">
        <f>IF(ISERROR($E$268),"",IF(ISBLANK($E$268),"",$E$268))</f>
        <v/>
      </c>
      <c r="CE268" s="2">
        <f>IF(ISERROR($F$268),"",IF(ISBLANK($F$268),"",$F$268))</f>
        <v/>
      </c>
      <c r="CJ268" s="2">
        <f>ISERROR($B$268)*1+ISERROR($D$268)*1+ISERROR($E$268)*1+ISERROR($F$268)*1</f>
        <v/>
      </c>
    </row>
    <row r="269" ht="48" customHeight="1">
      <c r="A269" s="31">
        <f>IF(LEN($N$25)&gt;0,$N$25,"15 · (vazio)")</f>
        <v/>
      </c>
      <c r="B269" s="4" t="n"/>
      <c r="C269" s="17" t="n"/>
      <c r="D269" s="16" t="n"/>
      <c r="E269" s="16" t="n"/>
      <c r="F269" s="4" t="n"/>
      <c r="G269" s="17" t="n"/>
      <c r="H269" s="5">
        <f>IF(NOT(ISNUMBER($R$269)),"",IF(IF(ISNUMBER($CC$269),$CC$269=0,FALSE),"EXPIRADA (0 turnos): já não vale; apague a condição",IF($W$269&gt;0,"Dano Contínuo: "&amp;MIN(INT($W$269*$Q$269/100),$X$269*$P$269)&amp;" por turno",IF($S$269&gt;0,IF($AA$269="Sim","Dano Contínuo: ","Dano: ")&amp;IF($U$269="Sim",$AB$269*$S$269,$S$269)&amp;"d"&amp;$T$269&amp;IF($V$269="Sim"," + "&amp;$P$269,"")&amp;" · média "&amp;(INT(IF($U$269="Sim",$AB$269*$S$269,$S$269)*($T$269+1)/2)+IF($V$269="Sim",$P$269,0)),$AC$269))&amp;IF($Y$269&gt;0,"; Atrasa "&amp;$Y$269&amp;" casa(s): some em Atraso deste Ciclo do alvo (C8)","")))</f>
        <v/>
      </c>
      <c r="K269" s="19">
        <f>IF(CJ269&gt;0,"O Google leu como fórmula: escolha de novo ou digite com ' na frente.",IF(LEN($CA$269)=0,"",IF(LEN($N$25)=0,"Combatente vazio: a condição não conta",IF(NOT(ISNUMBER($R$269)),"Condição fora do capítulo 21",IF(FALSE,"",IF(IF(ISNUMBER($CC$269),$CC$269=0,FALSE),"Expirou: os turnos chegaram a 0 e ela saiu do painel",IF(AND(ISNUMBER($CD$269),$CD$269&gt;$Z$269),"Acima do teto de "&amp;$Z$269&amp;" acúmulo(s) (21.5): usando o teto",IF($AA$269="Sim","Dano Contínuo: início do turno do alvo; ignora RD, não crita, sem dados de Fraqueza (20.6)",""))))))))</f>
        <v/>
      </c>
      <c r="N269" s="2">
        <f>IF(LEN($N$25)=0,"",15)</f>
        <v/>
      </c>
      <c r="O269" s="2">
        <f>IF(LEN($CE$269)=0,"",IFERROR(MATCH($CE$269,$N$11:$N$32,0),""))</f>
        <v/>
      </c>
      <c r="P269" s="2">
        <f>IF(ISNUMBER($O$269),INDEX($AS$11:$AS$32,$O$269),'Campanha'!$B$20)</f>
        <v/>
      </c>
      <c r="Q269" s="2">
        <f>IF(ISNUMBER($N$269),$AQ$25,0)</f>
        <v/>
      </c>
      <c r="R269" s="2">
        <f>IF(LEN($CA$269)=0,"",IFERROR(MATCH($CA$269,'Dados'!$A$324:$A$339,0),""))</f>
        <v/>
      </c>
      <c r="S269" s="2">
        <f>IF(ISNUMBER($R$269),INDEX('Dados'!$F$324:$F$339,$R$269),"")</f>
        <v/>
      </c>
      <c r="T269" s="2">
        <f>IF(ISNUMBER($R$269),INDEX('Dados'!$G$324:$G$339,$R$269),"")</f>
        <v/>
      </c>
      <c r="U269" s="2">
        <f>IF(ISNUMBER($R$269),INDEX('Dados'!$H$324:$H$339,$R$269),"")</f>
        <v/>
      </c>
      <c r="V269" s="2">
        <f>IF(ISNUMBER($R$269),INDEX('Dados'!$I$324:$I$339,$R$269),"")</f>
        <v/>
      </c>
      <c r="W269" s="2">
        <f>IF(ISNUMBER($R$269),INDEX('Dados'!$J$324:$J$339,$R$269),"")</f>
        <v/>
      </c>
      <c r="X269" s="2">
        <f>IF(ISNUMBER($R$269),INDEX('Dados'!$K$324:$K$339,$R$269),"")</f>
        <v/>
      </c>
      <c r="Y269" s="2">
        <f>IF(ISNUMBER($R$269),INDEX('Dados'!$L$324:$L$339,$R$269),"")</f>
        <v/>
      </c>
      <c r="Z269" s="2">
        <f>IF(ISNUMBER($R$269),INDEX('Dados'!$M$324:$M$339,$R$269),"")</f>
        <v/>
      </c>
      <c r="AA269" s="2">
        <f>IF(ISNUMBER($R$269),INDEX('Dados'!$N$324:$N$339,$R$269),"")</f>
        <v/>
      </c>
      <c r="AB269" s="2">
        <f>IF(ISNUMBER($CD$269),MIN($Z$269,MAX(1,INT($CD$269))),1)</f>
        <v/>
      </c>
      <c r="AC269" s="2">
        <f>IF(ISNUMBER($R$269),INDEX('Dados'!$B$324:$B$339,$R$269),"")</f>
        <v/>
      </c>
      <c r="AD269" s="2">
        <f>IF(AND(ISNUMBER($R$269),LEN($N$25)&gt;0,$Q$25=1,NOT(IF(ISNUMBER($CC$269),$CC$269=0,FALSE))),1,0)</f>
        <v/>
      </c>
      <c r="AE269" s="2">
        <f>IF($AD$269=1,57,"")</f>
        <v/>
      </c>
      <c r="AF269" s="2">
        <f>IF(ISNUMBER($R$269),INDEX('Dados'!$C$324:$C$339,$R$269),"")</f>
        <v/>
      </c>
      <c r="AG269" s="2">
        <f>IF($AD$269=0,"",$AC$269&amp;IF($H$269&lt;&gt;$AC$269," · Agora: "&amp;$H$269,"")&amp;" (duração: "&amp;$AF$269&amp;")")</f>
        <v/>
      </c>
      <c r="AH269" s="2">
        <f>IF(AND(ISNUMBER($R$269),LEN($N$25)&gt;0),IF(IF(ISNUMBER($CC$269),$CC$269=0,FALSE),1,0),0)</f>
        <v/>
      </c>
      <c r="CA269" s="2">
        <f>IF(ISERROR($B$269),"",IF(ISBLANK($B$269),"",$B$269))</f>
        <v/>
      </c>
      <c r="CC269" s="2">
        <f>IF(ISERROR($D$269),"",IF(ISBLANK($D$269),"",$D$269))</f>
        <v/>
      </c>
      <c r="CD269" s="2">
        <f>IF(ISERROR($E$269),"",IF(ISBLANK($E$269),"",$E$269))</f>
        <v/>
      </c>
      <c r="CE269" s="2">
        <f>IF(ISERROR($F$269),"",IF(ISBLANK($F$269),"",$F$269))</f>
        <v/>
      </c>
      <c r="CJ269" s="2">
        <f>ISERROR($B$269)*1+ISERROR($D$269)*1+ISERROR($E$269)*1+ISERROR($F$269)*1</f>
        <v/>
      </c>
    </row>
    <row r="270" ht="48" customHeight="1">
      <c r="A270" s="43">
        <f>IF(LEN($N$25)&gt;0,$N$25,"15 · (vazio)")</f>
        <v/>
      </c>
      <c r="B270" s="29" t="n"/>
      <c r="C270" s="17" t="n"/>
      <c r="D270" s="37" t="n"/>
      <c r="E270" s="37" t="n"/>
      <c r="F270" s="29" t="n"/>
      <c r="G270" s="17" t="n"/>
      <c r="H270" s="10">
        <f>IF(NOT(ISNUMBER($R$270)),"",IF(IF(ISNUMBER($CC$270),$CC$270=0,FALSE),"EXPIRADA (0 turnos): já não vale; apague a condição",IF($W$270&gt;0,"Dano Contínuo: "&amp;MIN(INT($W$270*$Q$270/100),$X$270*$P$270)&amp;" por turno",IF($S$270&gt;0,IF($AA$270="Sim","Dano Contínuo: ","Dano: ")&amp;IF($U$270="Sim",$AB$270*$S$270,$S$270)&amp;"d"&amp;$T$270&amp;IF($V$270="Sim"," + "&amp;$P$270,"")&amp;" · média "&amp;(INT(IF($U$270="Sim",$AB$270*$S$270,$S$270)*($T$270+1)/2)+IF($V$270="Sim",$P$270,0)),$AC$270))&amp;IF($Y$270&gt;0,"; Atrasa "&amp;$Y$270&amp;" casa(s): some em Atraso deste Ciclo do alvo (C8)","")))</f>
        <v/>
      </c>
      <c r="K270" s="27">
        <f>IF(CJ270&gt;0,"O Google leu como fórmula: escolha de novo ou digite com ' na frente.",IF(LEN($CA$270)=0,"",IF(LEN($N$25)=0,"Combatente vazio: a condição não conta",IF(NOT(ISNUMBER($R$270)),"Condição fora do capítulo 21",IF(FALSE,"",IF(IF(ISNUMBER($CC$270),$CC$270=0,FALSE),"Expirou: os turnos chegaram a 0 e ela saiu do painel",IF(AND(ISNUMBER($CD$270),$CD$270&gt;$Z$270),"Acima do teto de "&amp;$Z$270&amp;" acúmulo(s) (21.5): usando o teto",IF($AA$270="Sim","Dano Contínuo: início do turno do alvo; ignora RD, não crita, sem dados de Fraqueza (20.6)",""))))))))</f>
        <v/>
      </c>
      <c r="N270" s="2">
        <f>IF(LEN($N$25)=0,"",15)</f>
        <v/>
      </c>
      <c r="O270" s="2">
        <f>IF(LEN($CE$270)=0,"",IFERROR(MATCH($CE$270,$N$11:$N$32,0),""))</f>
        <v/>
      </c>
      <c r="P270" s="2">
        <f>IF(ISNUMBER($O$270),INDEX($AS$11:$AS$32,$O$270),'Campanha'!$B$20)</f>
        <v/>
      </c>
      <c r="Q270" s="2">
        <f>IF(ISNUMBER($N$270),$AQ$25,0)</f>
        <v/>
      </c>
      <c r="R270" s="2">
        <f>IF(LEN($CA$270)=0,"",IFERROR(MATCH($CA$270,'Dados'!$A$324:$A$339,0),""))</f>
        <v/>
      </c>
      <c r="S270" s="2">
        <f>IF(ISNUMBER($R$270),INDEX('Dados'!$F$324:$F$339,$R$270),"")</f>
        <v/>
      </c>
      <c r="T270" s="2">
        <f>IF(ISNUMBER($R$270),INDEX('Dados'!$G$324:$G$339,$R$270),"")</f>
        <v/>
      </c>
      <c r="U270" s="2">
        <f>IF(ISNUMBER($R$270),INDEX('Dados'!$H$324:$H$339,$R$270),"")</f>
        <v/>
      </c>
      <c r="V270" s="2">
        <f>IF(ISNUMBER($R$270),INDEX('Dados'!$I$324:$I$339,$R$270),"")</f>
        <v/>
      </c>
      <c r="W270" s="2">
        <f>IF(ISNUMBER($R$270),INDEX('Dados'!$J$324:$J$339,$R$270),"")</f>
        <v/>
      </c>
      <c r="X270" s="2">
        <f>IF(ISNUMBER($R$270),INDEX('Dados'!$K$324:$K$339,$R$270),"")</f>
        <v/>
      </c>
      <c r="Y270" s="2">
        <f>IF(ISNUMBER($R$270),INDEX('Dados'!$L$324:$L$339,$R$270),"")</f>
        <v/>
      </c>
      <c r="Z270" s="2">
        <f>IF(ISNUMBER($R$270),INDEX('Dados'!$M$324:$M$339,$R$270),"")</f>
        <v/>
      </c>
      <c r="AA270" s="2">
        <f>IF(ISNUMBER($R$270),INDEX('Dados'!$N$324:$N$339,$R$270),"")</f>
        <v/>
      </c>
      <c r="AB270" s="2">
        <f>IF(ISNUMBER($CD$270),MIN($Z$270,MAX(1,INT($CD$270))),1)</f>
        <v/>
      </c>
      <c r="AC270" s="2">
        <f>IF(ISNUMBER($R$270),INDEX('Dados'!$B$324:$B$339,$R$270),"")</f>
        <v/>
      </c>
      <c r="AD270" s="2">
        <f>IF(AND(ISNUMBER($R$270),LEN($N$25)&gt;0,$Q$25=1,NOT(IF(ISNUMBER($CC$270),$CC$270=0,FALSE))),1,0)</f>
        <v/>
      </c>
      <c r="AE270" s="2">
        <f>IF($AD$270=1,58,"")</f>
        <v/>
      </c>
      <c r="AF270" s="2">
        <f>IF(ISNUMBER($R$270),INDEX('Dados'!$C$324:$C$339,$R$270),"")</f>
        <v/>
      </c>
      <c r="AG270" s="2">
        <f>IF($AD$270=0,"",$AC$270&amp;IF($H$270&lt;&gt;$AC$270," · Agora: "&amp;$H$270,"")&amp;" (duração: "&amp;$AF$270&amp;")")</f>
        <v/>
      </c>
      <c r="AH270" s="2">
        <f>IF(AND(ISNUMBER($R$270),LEN($N$25)&gt;0),IF(IF(ISNUMBER($CC$270),$CC$270=0,FALSE),1,0),0)</f>
        <v/>
      </c>
      <c r="CA270" s="2">
        <f>IF(ISERROR($B$270),"",IF(ISBLANK($B$270),"",$B$270))</f>
        <v/>
      </c>
      <c r="CC270" s="2">
        <f>IF(ISERROR($D$270),"",IF(ISBLANK($D$270),"",$D$270))</f>
        <v/>
      </c>
      <c r="CD270" s="2">
        <f>IF(ISERROR($E$270),"",IF(ISBLANK($E$270),"",$E$270))</f>
        <v/>
      </c>
      <c r="CE270" s="2">
        <f>IF(ISERROR($F$270),"",IF(ISBLANK($F$270),"",$F$270))</f>
        <v/>
      </c>
      <c r="CJ270" s="2">
        <f>ISERROR($B$270)*1+ISERROR($D$270)*1+ISERROR($E$270)*1+ISERROR($F$270)*1</f>
        <v/>
      </c>
    </row>
    <row r="271" ht="48" customHeight="1">
      <c r="A271" s="31">
        <f>IF(LEN($N$25)&gt;0,$N$25,"15 · (vazio)")</f>
        <v/>
      </c>
      <c r="B271" s="4" t="n"/>
      <c r="C271" s="17" t="n"/>
      <c r="D271" s="16" t="n"/>
      <c r="E271" s="16" t="n"/>
      <c r="F271" s="4" t="n"/>
      <c r="G271" s="17" t="n"/>
      <c r="H271" s="5">
        <f>IF(NOT(ISNUMBER($R$271)),"",IF(IF(ISNUMBER($CC$271),$CC$271=0,FALSE),"EXPIRADA (0 turnos): já não vale; apague a condição",IF($W$271&gt;0,"Dano Contínuo: "&amp;MIN(INT($W$271*$Q$271/100),$X$271*$P$271)&amp;" por turno",IF($S$271&gt;0,IF($AA$271="Sim","Dano Contínuo: ","Dano: ")&amp;IF($U$271="Sim",$AB$271*$S$271,$S$271)&amp;"d"&amp;$T$271&amp;IF($V$271="Sim"," + "&amp;$P$271,"")&amp;" · média "&amp;(INT(IF($U$271="Sim",$AB$271*$S$271,$S$271)*($T$271+1)/2)+IF($V$271="Sim",$P$271,0)),$AC$271))&amp;IF($Y$271&gt;0,"; Atrasa "&amp;$Y$271&amp;" casa(s): some em Atraso deste Ciclo do alvo (C8)","")))</f>
        <v/>
      </c>
      <c r="K271" s="19">
        <f>IF(CJ271&gt;0,"O Google leu como fórmula: escolha de novo ou digite com ' na frente.",IF(LEN($CA$271)=0,"",IF(LEN($N$25)=0,"Combatente vazio: a condição não conta",IF(NOT(ISNUMBER($R$271)),"Condição fora do capítulo 21",IF(FALSE,"",IF(IF(ISNUMBER($CC$271),$CC$271=0,FALSE),"Expirou: os turnos chegaram a 0 e ela saiu do painel",IF(AND(ISNUMBER($CD$271),$CD$271&gt;$Z$271),"Acima do teto de "&amp;$Z$271&amp;" acúmulo(s) (21.5): usando o teto",IF($AA$271="Sim","Dano Contínuo: início do turno do alvo; ignora RD, não crita, sem dados de Fraqueza (20.6)",""))))))))</f>
        <v/>
      </c>
      <c r="N271" s="2">
        <f>IF(LEN($N$25)=0,"",15)</f>
        <v/>
      </c>
      <c r="O271" s="2">
        <f>IF(LEN($CE$271)=0,"",IFERROR(MATCH($CE$271,$N$11:$N$32,0),""))</f>
        <v/>
      </c>
      <c r="P271" s="2">
        <f>IF(ISNUMBER($O$271),INDEX($AS$11:$AS$32,$O$271),'Campanha'!$B$20)</f>
        <v/>
      </c>
      <c r="Q271" s="2">
        <f>IF(ISNUMBER($N$271),$AQ$25,0)</f>
        <v/>
      </c>
      <c r="R271" s="2">
        <f>IF(LEN($CA$271)=0,"",IFERROR(MATCH($CA$271,'Dados'!$A$324:$A$339,0),""))</f>
        <v/>
      </c>
      <c r="S271" s="2">
        <f>IF(ISNUMBER($R$271),INDEX('Dados'!$F$324:$F$339,$R$271),"")</f>
        <v/>
      </c>
      <c r="T271" s="2">
        <f>IF(ISNUMBER($R$271),INDEX('Dados'!$G$324:$G$339,$R$271),"")</f>
        <v/>
      </c>
      <c r="U271" s="2">
        <f>IF(ISNUMBER($R$271),INDEX('Dados'!$H$324:$H$339,$R$271),"")</f>
        <v/>
      </c>
      <c r="V271" s="2">
        <f>IF(ISNUMBER($R$271),INDEX('Dados'!$I$324:$I$339,$R$271),"")</f>
        <v/>
      </c>
      <c r="W271" s="2">
        <f>IF(ISNUMBER($R$271),INDEX('Dados'!$J$324:$J$339,$R$271),"")</f>
        <v/>
      </c>
      <c r="X271" s="2">
        <f>IF(ISNUMBER($R$271),INDEX('Dados'!$K$324:$K$339,$R$271),"")</f>
        <v/>
      </c>
      <c r="Y271" s="2">
        <f>IF(ISNUMBER($R$271),INDEX('Dados'!$L$324:$L$339,$R$271),"")</f>
        <v/>
      </c>
      <c r="Z271" s="2">
        <f>IF(ISNUMBER($R$271),INDEX('Dados'!$M$324:$M$339,$R$271),"")</f>
        <v/>
      </c>
      <c r="AA271" s="2">
        <f>IF(ISNUMBER($R$271),INDEX('Dados'!$N$324:$N$339,$R$271),"")</f>
        <v/>
      </c>
      <c r="AB271" s="2">
        <f>IF(ISNUMBER($CD$271),MIN($Z$271,MAX(1,INT($CD$271))),1)</f>
        <v/>
      </c>
      <c r="AC271" s="2">
        <f>IF(ISNUMBER($R$271),INDEX('Dados'!$B$324:$B$339,$R$271),"")</f>
        <v/>
      </c>
      <c r="AD271" s="2">
        <f>IF(AND(ISNUMBER($R$271),LEN($N$25)&gt;0,$Q$25=1,NOT(IF(ISNUMBER($CC$271),$CC$271=0,FALSE))),1,0)</f>
        <v/>
      </c>
      <c r="AE271" s="2">
        <f>IF($AD$271=1,59,"")</f>
        <v/>
      </c>
      <c r="AF271" s="2">
        <f>IF(ISNUMBER($R$271),INDEX('Dados'!$C$324:$C$339,$R$271),"")</f>
        <v/>
      </c>
      <c r="AG271" s="2">
        <f>IF($AD$271=0,"",$AC$271&amp;IF($H$271&lt;&gt;$AC$271," · Agora: "&amp;$H$271,"")&amp;" (duração: "&amp;$AF$271&amp;")")</f>
        <v/>
      </c>
      <c r="AH271" s="2">
        <f>IF(AND(ISNUMBER($R$271),LEN($N$25)&gt;0),IF(IF(ISNUMBER($CC$271),$CC$271=0,FALSE),1,0),0)</f>
        <v/>
      </c>
      <c r="CA271" s="2">
        <f>IF(ISERROR($B$271),"",IF(ISBLANK($B$271),"",$B$271))</f>
        <v/>
      </c>
      <c r="CC271" s="2">
        <f>IF(ISERROR($D$271),"",IF(ISBLANK($D$271),"",$D$271))</f>
        <v/>
      </c>
      <c r="CD271" s="2">
        <f>IF(ISERROR($E$271),"",IF(ISBLANK($E$271),"",$E$271))</f>
        <v/>
      </c>
      <c r="CE271" s="2">
        <f>IF(ISERROR($F$271),"",IF(ISBLANK($F$271),"",$F$271))</f>
        <v/>
      </c>
      <c r="CJ271" s="2">
        <f>ISERROR($B$271)*1+ISERROR($D$271)*1+ISERROR($E$271)*1+ISERROR($F$271)*1</f>
        <v/>
      </c>
    </row>
    <row r="272" ht="48" customHeight="1">
      <c r="A272" s="43">
        <f>IF(LEN($N$25)&gt;0,$N$25,"15 · (vazio)")</f>
        <v/>
      </c>
      <c r="B272" s="29" t="n"/>
      <c r="C272" s="17" t="n"/>
      <c r="D272" s="37" t="n"/>
      <c r="E272" s="37" t="n"/>
      <c r="F272" s="29" t="n"/>
      <c r="G272" s="17" t="n"/>
      <c r="H272" s="10">
        <f>IF(NOT(ISNUMBER($R$272)),"",IF(IF(ISNUMBER($CC$272),$CC$272=0,FALSE),"EXPIRADA (0 turnos): já não vale; apague a condição",IF($W$272&gt;0,"Dano Contínuo: "&amp;MIN(INT($W$272*$Q$272/100),$X$272*$P$272)&amp;" por turno",IF($S$272&gt;0,IF($AA$272="Sim","Dano Contínuo: ","Dano: ")&amp;IF($U$272="Sim",$AB$272*$S$272,$S$272)&amp;"d"&amp;$T$272&amp;IF($V$272="Sim"," + "&amp;$P$272,"")&amp;" · média "&amp;(INT(IF($U$272="Sim",$AB$272*$S$272,$S$272)*($T$272+1)/2)+IF($V$272="Sim",$P$272,0)),$AC$272))&amp;IF($Y$272&gt;0,"; Atrasa "&amp;$Y$272&amp;" casa(s): some em Atraso deste Ciclo do alvo (C8)","")))</f>
        <v/>
      </c>
      <c r="K272" s="27">
        <f>IF(CJ272&gt;0,"O Google leu como fórmula: escolha de novo ou digite com ' na frente.",IF(LEN($CA$272)=0,"",IF(LEN($N$25)=0,"Combatente vazio: a condição não conta",IF(NOT(ISNUMBER($R$272)),"Condição fora do capítulo 21",IF(FALSE,"",IF(IF(ISNUMBER($CC$272),$CC$272=0,FALSE),"Expirou: os turnos chegaram a 0 e ela saiu do painel",IF(AND(ISNUMBER($CD$272),$CD$272&gt;$Z$272),"Acima do teto de "&amp;$Z$272&amp;" acúmulo(s) (21.5): usando o teto",IF($AA$272="Sim","Dano Contínuo: início do turno do alvo; ignora RD, não crita, sem dados de Fraqueza (20.6)",""))))))))</f>
        <v/>
      </c>
      <c r="N272" s="2">
        <f>IF(LEN($N$25)=0,"",15)</f>
        <v/>
      </c>
      <c r="O272" s="2">
        <f>IF(LEN($CE$272)=0,"",IFERROR(MATCH($CE$272,$N$11:$N$32,0),""))</f>
        <v/>
      </c>
      <c r="P272" s="2">
        <f>IF(ISNUMBER($O$272),INDEX($AS$11:$AS$32,$O$272),'Campanha'!$B$20)</f>
        <v/>
      </c>
      <c r="Q272" s="2">
        <f>IF(ISNUMBER($N$272),$AQ$25,0)</f>
        <v/>
      </c>
      <c r="R272" s="2">
        <f>IF(LEN($CA$272)=0,"",IFERROR(MATCH($CA$272,'Dados'!$A$324:$A$339,0),""))</f>
        <v/>
      </c>
      <c r="S272" s="2">
        <f>IF(ISNUMBER($R$272),INDEX('Dados'!$F$324:$F$339,$R$272),"")</f>
        <v/>
      </c>
      <c r="T272" s="2">
        <f>IF(ISNUMBER($R$272),INDEX('Dados'!$G$324:$G$339,$R$272),"")</f>
        <v/>
      </c>
      <c r="U272" s="2">
        <f>IF(ISNUMBER($R$272),INDEX('Dados'!$H$324:$H$339,$R$272),"")</f>
        <v/>
      </c>
      <c r="V272" s="2">
        <f>IF(ISNUMBER($R$272),INDEX('Dados'!$I$324:$I$339,$R$272),"")</f>
        <v/>
      </c>
      <c r="W272" s="2">
        <f>IF(ISNUMBER($R$272),INDEX('Dados'!$J$324:$J$339,$R$272),"")</f>
        <v/>
      </c>
      <c r="X272" s="2">
        <f>IF(ISNUMBER($R$272),INDEX('Dados'!$K$324:$K$339,$R$272),"")</f>
        <v/>
      </c>
      <c r="Y272" s="2">
        <f>IF(ISNUMBER($R$272),INDEX('Dados'!$L$324:$L$339,$R$272),"")</f>
        <v/>
      </c>
      <c r="Z272" s="2">
        <f>IF(ISNUMBER($R$272),INDEX('Dados'!$M$324:$M$339,$R$272),"")</f>
        <v/>
      </c>
      <c r="AA272" s="2">
        <f>IF(ISNUMBER($R$272),INDEX('Dados'!$N$324:$N$339,$R$272),"")</f>
        <v/>
      </c>
      <c r="AB272" s="2">
        <f>IF(ISNUMBER($CD$272),MIN($Z$272,MAX(1,INT($CD$272))),1)</f>
        <v/>
      </c>
      <c r="AC272" s="2">
        <f>IF(ISNUMBER($R$272),INDEX('Dados'!$B$324:$B$339,$R$272),"")</f>
        <v/>
      </c>
      <c r="AD272" s="2">
        <f>IF(AND(ISNUMBER($R$272),LEN($N$25)&gt;0,$Q$25=1,NOT(IF(ISNUMBER($CC$272),$CC$272=0,FALSE))),1,0)</f>
        <v/>
      </c>
      <c r="AE272" s="2">
        <f>IF($AD$272=1,60,"")</f>
        <v/>
      </c>
      <c r="AF272" s="2">
        <f>IF(ISNUMBER($R$272),INDEX('Dados'!$C$324:$C$339,$R$272),"")</f>
        <v/>
      </c>
      <c r="AG272" s="2">
        <f>IF($AD$272=0,"",$AC$272&amp;IF($H$272&lt;&gt;$AC$272," · Agora: "&amp;$H$272,"")&amp;" (duração: "&amp;$AF$272&amp;")")</f>
        <v/>
      </c>
      <c r="AH272" s="2">
        <f>IF(AND(ISNUMBER($R$272),LEN($N$25)&gt;0),IF(IF(ISNUMBER($CC$272),$CC$272=0,FALSE),1,0),0)</f>
        <v/>
      </c>
      <c r="CA272" s="2">
        <f>IF(ISERROR($B$272),"",IF(ISBLANK($B$272),"",$B$272))</f>
        <v/>
      </c>
      <c r="CC272" s="2">
        <f>IF(ISERROR($D$272),"",IF(ISBLANK($D$272),"",$D$272))</f>
        <v/>
      </c>
      <c r="CD272" s="2">
        <f>IF(ISERROR($E$272),"",IF(ISBLANK($E$272),"",$E$272))</f>
        <v/>
      </c>
      <c r="CE272" s="2">
        <f>IF(ISERROR($F$272),"",IF(ISBLANK($F$272),"",$F$272))</f>
        <v/>
      </c>
      <c r="CJ272" s="2">
        <f>ISERROR($B$272)*1+ISERROR($D$272)*1+ISERROR($E$272)*1+ISERROR($F$272)*1</f>
        <v/>
      </c>
    </row>
    <row r="273" ht="26" customHeight="1">
      <c r="A273" s="8" t="inlineStr">
        <is>
          <t>Combatente</t>
        </is>
      </c>
      <c r="B273" s="8" t="inlineStr">
        <is>
          <t>Condição</t>
        </is>
      </c>
      <c r="C273" s="20" t="n"/>
      <c r="D273" s="8" t="inlineStr">
        <is>
          <t>Turnos restantes</t>
        </is>
      </c>
      <c r="E273" s="8" t="inlineStr">
        <is>
          <t>Acúmulos</t>
        </is>
      </c>
      <c r="F273" s="8" t="inlineStr">
        <is>
          <t>Quem aplicou</t>
        </is>
      </c>
      <c r="G273" s="20" t="n"/>
      <c r="H273" s="8" t="inlineStr">
        <is>
          <t>Efeito e dano</t>
        </is>
      </c>
      <c r="I273" s="20" t="n"/>
      <c r="J273" s="20" t="n"/>
      <c r="K273" s="8" t="inlineStr">
        <is>
          <t>Aviso</t>
        </is>
      </c>
      <c r="L273" s="20" t="n"/>
      <c r="CA273" s="2">
        <f>IF(ISERROR($B$273),"",IF(ISBLANK($B$273),"",$B$273))</f>
        <v/>
      </c>
      <c r="CC273" s="2">
        <f>IF(ISERROR($D$273),"",IF(ISBLANK($D$273),"",$D$273))</f>
        <v/>
      </c>
      <c r="CE273" s="2">
        <f>IF(ISERROR($F$273),"",IF(ISBLANK($F$273),"",$F$273))</f>
        <v/>
      </c>
    </row>
    <row r="274" ht="48" customHeight="1">
      <c r="A274" s="31">
        <f>IF(LEN($N$26)&gt;0,$N$26,"16 · (vazio)")</f>
        <v/>
      </c>
      <c r="B274" s="4" t="n"/>
      <c r="C274" s="17" t="n"/>
      <c r="D274" s="16" t="n"/>
      <c r="E274" s="16" t="n"/>
      <c r="F274" s="4" t="n"/>
      <c r="G274" s="17" t="n"/>
      <c r="H274" s="5">
        <f>IF(NOT(ISNUMBER($R$274)),"",IF(IF(ISNUMBER($CC$274),$CC$274=0,FALSE),"EXPIRADA (0 turnos): já não vale; apague a condição",IF($W$274&gt;0,"Dano Contínuo: "&amp;MIN(INT($W$274*$Q$274/100),$X$274*$P$274)&amp;" por turno",IF($S$274&gt;0,IF($AA$274="Sim","Dano Contínuo: ","Dano: ")&amp;IF($U$274="Sim",$AB$274*$S$274,$S$274)&amp;"d"&amp;$T$274&amp;IF($V$274="Sim"," + "&amp;$P$274,"")&amp;" · média "&amp;(INT(IF($U$274="Sim",$AB$274*$S$274,$S$274)*($T$274+1)/2)+IF($V$274="Sim",$P$274,0)),$AC$274))&amp;IF($Y$274&gt;0,"; Atrasa "&amp;$Y$274&amp;" casa(s): some em Atraso deste Ciclo do alvo (C8)","")))</f>
        <v/>
      </c>
      <c r="K274" s="19">
        <f>IF(CJ274&gt;0,"O Google leu como fórmula: escolha de novo ou digite com ' na frente.",IF(LEN($CA$274)=0,"",IF(LEN($N$26)=0,"Combatente vazio: a condição não conta",IF(NOT(ISNUMBER($R$274)),"Condição fora do capítulo 21",IF(FALSE,"",IF(IF(ISNUMBER($CC$274),$CC$274=0,FALSE),"Expirou: os turnos chegaram a 0 e ela saiu do painel",IF(AND(ISNUMBER($CD$274),$CD$274&gt;$Z$274),"Acima do teto de "&amp;$Z$274&amp;" acúmulo(s) (21.5): usando o teto",IF($AA$274="Sim","Dano Contínuo: início do turno do alvo; ignora RD, não crita, sem dados de Fraqueza (20.6)",""))))))))</f>
        <v/>
      </c>
      <c r="N274" s="2">
        <f>IF(LEN($N$26)=0,"",16)</f>
        <v/>
      </c>
      <c r="O274" s="2">
        <f>IF(LEN($CE$274)=0,"",IFERROR(MATCH($CE$274,$N$11:$N$32,0),""))</f>
        <v/>
      </c>
      <c r="P274" s="2">
        <f>IF(ISNUMBER($O$274),INDEX($AS$11:$AS$32,$O$274),'Campanha'!$B$20)</f>
        <v/>
      </c>
      <c r="Q274" s="2">
        <f>IF(ISNUMBER($N$274),$AQ$26,0)</f>
        <v/>
      </c>
      <c r="R274" s="2">
        <f>IF(LEN($CA$274)=0,"",IFERROR(MATCH($CA$274,'Dados'!$A$324:$A$339,0),""))</f>
        <v/>
      </c>
      <c r="S274" s="2">
        <f>IF(ISNUMBER($R$274),INDEX('Dados'!$F$324:$F$339,$R$274),"")</f>
        <v/>
      </c>
      <c r="T274" s="2">
        <f>IF(ISNUMBER($R$274),INDEX('Dados'!$G$324:$G$339,$R$274),"")</f>
        <v/>
      </c>
      <c r="U274" s="2">
        <f>IF(ISNUMBER($R$274),INDEX('Dados'!$H$324:$H$339,$R$274),"")</f>
        <v/>
      </c>
      <c r="V274" s="2">
        <f>IF(ISNUMBER($R$274),INDEX('Dados'!$I$324:$I$339,$R$274),"")</f>
        <v/>
      </c>
      <c r="W274" s="2">
        <f>IF(ISNUMBER($R$274),INDEX('Dados'!$J$324:$J$339,$R$274),"")</f>
        <v/>
      </c>
      <c r="X274" s="2">
        <f>IF(ISNUMBER($R$274),INDEX('Dados'!$K$324:$K$339,$R$274),"")</f>
        <v/>
      </c>
      <c r="Y274" s="2">
        <f>IF(ISNUMBER($R$274),INDEX('Dados'!$L$324:$L$339,$R$274),"")</f>
        <v/>
      </c>
      <c r="Z274" s="2">
        <f>IF(ISNUMBER($R$274),INDEX('Dados'!$M$324:$M$339,$R$274),"")</f>
        <v/>
      </c>
      <c r="AA274" s="2">
        <f>IF(ISNUMBER($R$274),INDEX('Dados'!$N$324:$N$339,$R$274),"")</f>
        <v/>
      </c>
      <c r="AB274" s="2">
        <f>IF(ISNUMBER($CD$274),MIN($Z$274,MAX(1,INT($CD$274))),1)</f>
        <v/>
      </c>
      <c r="AC274" s="2">
        <f>IF(ISNUMBER($R$274),INDEX('Dados'!$B$324:$B$339,$R$274),"")</f>
        <v/>
      </c>
      <c r="AD274" s="2">
        <f>IF(AND(ISNUMBER($R$274),LEN($N$26)&gt;0,$Q$26=1,NOT(IF(ISNUMBER($CC$274),$CC$274=0,FALSE))),1,0)</f>
        <v/>
      </c>
      <c r="AE274" s="2">
        <f>IF($AD$274=1,61,"")</f>
        <v/>
      </c>
      <c r="AF274" s="2">
        <f>IF(ISNUMBER($R$274),INDEX('Dados'!$C$324:$C$339,$R$274),"")</f>
        <v/>
      </c>
      <c r="AG274" s="2">
        <f>IF($AD$274=0,"",$AC$274&amp;IF($H$274&lt;&gt;$AC$274," · Agora: "&amp;$H$274,"")&amp;" (duração: "&amp;$AF$274&amp;")")</f>
        <v/>
      </c>
      <c r="AH274" s="2">
        <f>IF(AND(ISNUMBER($R$274),LEN($N$26)&gt;0),IF(IF(ISNUMBER($CC$274),$CC$274=0,FALSE),1,0),0)</f>
        <v/>
      </c>
      <c r="CA274" s="2">
        <f>IF(ISERROR($B$274),"",IF(ISBLANK($B$274),"",$B$274))</f>
        <v/>
      </c>
      <c r="CC274" s="2">
        <f>IF(ISERROR($D$274),"",IF(ISBLANK($D$274),"",$D$274))</f>
        <v/>
      </c>
      <c r="CD274" s="2">
        <f>IF(ISERROR($E$274),"",IF(ISBLANK($E$274),"",$E$274))</f>
        <v/>
      </c>
      <c r="CE274" s="2">
        <f>IF(ISERROR($F$274),"",IF(ISBLANK($F$274),"",$F$274))</f>
        <v/>
      </c>
      <c r="CJ274" s="2">
        <f>ISERROR($B$274)*1+ISERROR($D$274)*1+ISERROR($E$274)*1+ISERROR($F$274)*1</f>
        <v/>
      </c>
    </row>
    <row r="275" ht="48" customHeight="1">
      <c r="A275" s="43">
        <f>IF(LEN($N$26)&gt;0,$N$26,"16 · (vazio)")</f>
        <v/>
      </c>
      <c r="B275" s="29" t="n"/>
      <c r="C275" s="17" t="n"/>
      <c r="D275" s="37" t="n"/>
      <c r="E275" s="37" t="n"/>
      <c r="F275" s="29" t="n"/>
      <c r="G275" s="17" t="n"/>
      <c r="H275" s="10">
        <f>IF(NOT(ISNUMBER($R$275)),"",IF(IF(ISNUMBER($CC$275),$CC$275=0,FALSE),"EXPIRADA (0 turnos): já não vale; apague a condição",IF($W$275&gt;0,"Dano Contínuo: "&amp;MIN(INT($W$275*$Q$275/100),$X$275*$P$275)&amp;" por turno",IF($S$275&gt;0,IF($AA$275="Sim","Dano Contínuo: ","Dano: ")&amp;IF($U$275="Sim",$AB$275*$S$275,$S$275)&amp;"d"&amp;$T$275&amp;IF($V$275="Sim"," + "&amp;$P$275,"")&amp;" · média "&amp;(INT(IF($U$275="Sim",$AB$275*$S$275,$S$275)*($T$275+1)/2)+IF($V$275="Sim",$P$275,0)),$AC$275))&amp;IF($Y$275&gt;0,"; Atrasa "&amp;$Y$275&amp;" casa(s): some em Atraso deste Ciclo do alvo (C8)","")))</f>
        <v/>
      </c>
      <c r="K275" s="27">
        <f>IF(CJ275&gt;0,"O Google leu como fórmula: escolha de novo ou digite com ' na frente.",IF(LEN($CA$275)=0,"",IF(LEN($N$26)=0,"Combatente vazio: a condição não conta",IF(NOT(ISNUMBER($R$275)),"Condição fora do capítulo 21",IF(FALSE,"",IF(IF(ISNUMBER($CC$275),$CC$275=0,FALSE),"Expirou: os turnos chegaram a 0 e ela saiu do painel",IF(AND(ISNUMBER($CD$275),$CD$275&gt;$Z$275),"Acima do teto de "&amp;$Z$275&amp;" acúmulo(s) (21.5): usando o teto",IF($AA$275="Sim","Dano Contínuo: início do turno do alvo; ignora RD, não crita, sem dados de Fraqueza (20.6)",""))))))))</f>
        <v/>
      </c>
      <c r="N275" s="2">
        <f>IF(LEN($N$26)=0,"",16)</f>
        <v/>
      </c>
      <c r="O275" s="2">
        <f>IF(LEN($CE$275)=0,"",IFERROR(MATCH($CE$275,$N$11:$N$32,0),""))</f>
        <v/>
      </c>
      <c r="P275" s="2">
        <f>IF(ISNUMBER($O$275),INDEX($AS$11:$AS$32,$O$275),'Campanha'!$B$20)</f>
        <v/>
      </c>
      <c r="Q275" s="2">
        <f>IF(ISNUMBER($N$275),$AQ$26,0)</f>
        <v/>
      </c>
      <c r="R275" s="2">
        <f>IF(LEN($CA$275)=0,"",IFERROR(MATCH($CA$275,'Dados'!$A$324:$A$339,0),""))</f>
        <v/>
      </c>
      <c r="S275" s="2">
        <f>IF(ISNUMBER($R$275),INDEX('Dados'!$F$324:$F$339,$R$275),"")</f>
        <v/>
      </c>
      <c r="T275" s="2">
        <f>IF(ISNUMBER($R$275),INDEX('Dados'!$G$324:$G$339,$R$275),"")</f>
        <v/>
      </c>
      <c r="U275" s="2">
        <f>IF(ISNUMBER($R$275),INDEX('Dados'!$H$324:$H$339,$R$275),"")</f>
        <v/>
      </c>
      <c r="V275" s="2">
        <f>IF(ISNUMBER($R$275),INDEX('Dados'!$I$324:$I$339,$R$275),"")</f>
        <v/>
      </c>
      <c r="W275" s="2">
        <f>IF(ISNUMBER($R$275),INDEX('Dados'!$J$324:$J$339,$R$275),"")</f>
        <v/>
      </c>
      <c r="X275" s="2">
        <f>IF(ISNUMBER($R$275),INDEX('Dados'!$K$324:$K$339,$R$275),"")</f>
        <v/>
      </c>
      <c r="Y275" s="2">
        <f>IF(ISNUMBER($R$275),INDEX('Dados'!$L$324:$L$339,$R$275),"")</f>
        <v/>
      </c>
      <c r="Z275" s="2">
        <f>IF(ISNUMBER($R$275),INDEX('Dados'!$M$324:$M$339,$R$275),"")</f>
        <v/>
      </c>
      <c r="AA275" s="2">
        <f>IF(ISNUMBER($R$275),INDEX('Dados'!$N$324:$N$339,$R$275),"")</f>
        <v/>
      </c>
      <c r="AB275" s="2">
        <f>IF(ISNUMBER($CD$275),MIN($Z$275,MAX(1,INT($CD$275))),1)</f>
        <v/>
      </c>
      <c r="AC275" s="2">
        <f>IF(ISNUMBER($R$275),INDEX('Dados'!$B$324:$B$339,$R$275),"")</f>
        <v/>
      </c>
      <c r="AD275" s="2">
        <f>IF(AND(ISNUMBER($R$275),LEN($N$26)&gt;0,$Q$26=1,NOT(IF(ISNUMBER($CC$275),$CC$275=0,FALSE))),1,0)</f>
        <v/>
      </c>
      <c r="AE275" s="2">
        <f>IF($AD$275=1,62,"")</f>
        <v/>
      </c>
      <c r="AF275" s="2">
        <f>IF(ISNUMBER($R$275),INDEX('Dados'!$C$324:$C$339,$R$275),"")</f>
        <v/>
      </c>
      <c r="AG275" s="2">
        <f>IF($AD$275=0,"",$AC$275&amp;IF($H$275&lt;&gt;$AC$275," · Agora: "&amp;$H$275,"")&amp;" (duração: "&amp;$AF$275&amp;")")</f>
        <v/>
      </c>
      <c r="AH275" s="2">
        <f>IF(AND(ISNUMBER($R$275),LEN($N$26)&gt;0),IF(IF(ISNUMBER($CC$275),$CC$275=0,FALSE),1,0),0)</f>
        <v/>
      </c>
      <c r="CA275" s="2">
        <f>IF(ISERROR($B$275),"",IF(ISBLANK($B$275),"",$B$275))</f>
        <v/>
      </c>
      <c r="CC275" s="2">
        <f>IF(ISERROR($D$275),"",IF(ISBLANK($D$275),"",$D$275))</f>
        <v/>
      </c>
      <c r="CD275" s="2">
        <f>IF(ISERROR($E$275),"",IF(ISBLANK($E$275),"",$E$275))</f>
        <v/>
      </c>
      <c r="CE275" s="2">
        <f>IF(ISERROR($F$275),"",IF(ISBLANK($F$275),"",$F$275))</f>
        <v/>
      </c>
      <c r="CJ275" s="2">
        <f>ISERROR($B$275)*1+ISERROR($D$275)*1+ISERROR($E$275)*1+ISERROR($F$275)*1</f>
        <v/>
      </c>
    </row>
    <row r="276" ht="48" customHeight="1">
      <c r="A276" s="31">
        <f>IF(LEN($N$26)&gt;0,$N$26,"16 · (vazio)")</f>
        <v/>
      </c>
      <c r="B276" s="4" t="n"/>
      <c r="C276" s="17" t="n"/>
      <c r="D276" s="16" t="n"/>
      <c r="E276" s="16" t="n"/>
      <c r="F276" s="4" t="n"/>
      <c r="G276" s="17" t="n"/>
      <c r="H276" s="5">
        <f>IF(NOT(ISNUMBER($R$276)),"",IF(IF(ISNUMBER($CC$276),$CC$276=0,FALSE),"EXPIRADA (0 turnos): já não vale; apague a condição",IF($W$276&gt;0,"Dano Contínuo: "&amp;MIN(INT($W$276*$Q$276/100),$X$276*$P$276)&amp;" por turno",IF($S$276&gt;0,IF($AA$276="Sim","Dano Contínuo: ","Dano: ")&amp;IF($U$276="Sim",$AB$276*$S$276,$S$276)&amp;"d"&amp;$T$276&amp;IF($V$276="Sim"," + "&amp;$P$276,"")&amp;" · média "&amp;(INT(IF($U$276="Sim",$AB$276*$S$276,$S$276)*($T$276+1)/2)+IF($V$276="Sim",$P$276,0)),$AC$276))&amp;IF($Y$276&gt;0,"; Atrasa "&amp;$Y$276&amp;" casa(s): some em Atraso deste Ciclo do alvo (C8)","")))</f>
        <v/>
      </c>
      <c r="K276" s="19">
        <f>IF(CJ276&gt;0,"O Google leu como fórmula: escolha de novo ou digite com ' na frente.",IF(LEN($CA$276)=0,"",IF(LEN($N$26)=0,"Combatente vazio: a condição não conta",IF(NOT(ISNUMBER($R$276)),"Condição fora do capítulo 21",IF(FALSE,"",IF(IF(ISNUMBER($CC$276),$CC$276=0,FALSE),"Expirou: os turnos chegaram a 0 e ela saiu do painel",IF(AND(ISNUMBER($CD$276),$CD$276&gt;$Z$276),"Acima do teto de "&amp;$Z$276&amp;" acúmulo(s) (21.5): usando o teto",IF($AA$276="Sim","Dano Contínuo: início do turno do alvo; ignora RD, não crita, sem dados de Fraqueza (20.6)",""))))))))</f>
        <v/>
      </c>
      <c r="N276" s="2">
        <f>IF(LEN($N$26)=0,"",16)</f>
        <v/>
      </c>
      <c r="O276" s="2">
        <f>IF(LEN($CE$276)=0,"",IFERROR(MATCH($CE$276,$N$11:$N$32,0),""))</f>
        <v/>
      </c>
      <c r="P276" s="2">
        <f>IF(ISNUMBER($O$276),INDEX($AS$11:$AS$32,$O$276),'Campanha'!$B$20)</f>
        <v/>
      </c>
      <c r="Q276" s="2">
        <f>IF(ISNUMBER($N$276),$AQ$26,0)</f>
        <v/>
      </c>
      <c r="R276" s="2">
        <f>IF(LEN($CA$276)=0,"",IFERROR(MATCH($CA$276,'Dados'!$A$324:$A$339,0),""))</f>
        <v/>
      </c>
      <c r="S276" s="2">
        <f>IF(ISNUMBER($R$276),INDEX('Dados'!$F$324:$F$339,$R$276),"")</f>
        <v/>
      </c>
      <c r="T276" s="2">
        <f>IF(ISNUMBER($R$276),INDEX('Dados'!$G$324:$G$339,$R$276),"")</f>
        <v/>
      </c>
      <c r="U276" s="2">
        <f>IF(ISNUMBER($R$276),INDEX('Dados'!$H$324:$H$339,$R$276),"")</f>
        <v/>
      </c>
      <c r="V276" s="2">
        <f>IF(ISNUMBER($R$276),INDEX('Dados'!$I$324:$I$339,$R$276),"")</f>
        <v/>
      </c>
      <c r="W276" s="2">
        <f>IF(ISNUMBER($R$276),INDEX('Dados'!$J$324:$J$339,$R$276),"")</f>
        <v/>
      </c>
      <c r="X276" s="2">
        <f>IF(ISNUMBER($R$276),INDEX('Dados'!$K$324:$K$339,$R$276),"")</f>
        <v/>
      </c>
      <c r="Y276" s="2">
        <f>IF(ISNUMBER($R$276),INDEX('Dados'!$L$324:$L$339,$R$276),"")</f>
        <v/>
      </c>
      <c r="Z276" s="2">
        <f>IF(ISNUMBER($R$276),INDEX('Dados'!$M$324:$M$339,$R$276),"")</f>
        <v/>
      </c>
      <c r="AA276" s="2">
        <f>IF(ISNUMBER($R$276),INDEX('Dados'!$N$324:$N$339,$R$276),"")</f>
        <v/>
      </c>
      <c r="AB276" s="2">
        <f>IF(ISNUMBER($CD$276),MIN($Z$276,MAX(1,INT($CD$276))),1)</f>
        <v/>
      </c>
      <c r="AC276" s="2">
        <f>IF(ISNUMBER($R$276),INDEX('Dados'!$B$324:$B$339,$R$276),"")</f>
        <v/>
      </c>
      <c r="AD276" s="2">
        <f>IF(AND(ISNUMBER($R$276),LEN($N$26)&gt;0,$Q$26=1,NOT(IF(ISNUMBER($CC$276),$CC$276=0,FALSE))),1,0)</f>
        <v/>
      </c>
      <c r="AE276" s="2">
        <f>IF($AD$276=1,63,"")</f>
        <v/>
      </c>
      <c r="AF276" s="2">
        <f>IF(ISNUMBER($R$276),INDEX('Dados'!$C$324:$C$339,$R$276),"")</f>
        <v/>
      </c>
      <c r="AG276" s="2">
        <f>IF($AD$276=0,"",$AC$276&amp;IF($H$276&lt;&gt;$AC$276," · Agora: "&amp;$H$276,"")&amp;" (duração: "&amp;$AF$276&amp;")")</f>
        <v/>
      </c>
      <c r="AH276" s="2">
        <f>IF(AND(ISNUMBER($R$276),LEN($N$26)&gt;0),IF(IF(ISNUMBER($CC$276),$CC$276=0,FALSE),1,0),0)</f>
        <v/>
      </c>
      <c r="CA276" s="2">
        <f>IF(ISERROR($B$276),"",IF(ISBLANK($B$276),"",$B$276))</f>
        <v/>
      </c>
      <c r="CC276" s="2">
        <f>IF(ISERROR($D$276),"",IF(ISBLANK($D$276),"",$D$276))</f>
        <v/>
      </c>
      <c r="CD276" s="2">
        <f>IF(ISERROR($E$276),"",IF(ISBLANK($E$276),"",$E$276))</f>
        <v/>
      </c>
      <c r="CE276" s="2">
        <f>IF(ISERROR($F$276),"",IF(ISBLANK($F$276),"",$F$276))</f>
        <v/>
      </c>
      <c r="CJ276" s="2">
        <f>ISERROR($B$276)*1+ISERROR($D$276)*1+ISERROR($E$276)*1+ISERROR($F$276)*1</f>
        <v/>
      </c>
    </row>
    <row r="277" ht="48" customHeight="1">
      <c r="A277" s="43">
        <f>IF(LEN($N$26)&gt;0,$N$26,"16 · (vazio)")</f>
        <v/>
      </c>
      <c r="B277" s="29" t="n"/>
      <c r="C277" s="17" t="n"/>
      <c r="D277" s="37" t="n"/>
      <c r="E277" s="37" t="n"/>
      <c r="F277" s="29" t="n"/>
      <c r="G277" s="17" t="n"/>
      <c r="H277" s="10">
        <f>IF(NOT(ISNUMBER($R$277)),"",IF(IF(ISNUMBER($CC$277),$CC$277=0,FALSE),"EXPIRADA (0 turnos): já não vale; apague a condição",IF($W$277&gt;0,"Dano Contínuo: "&amp;MIN(INT($W$277*$Q$277/100),$X$277*$P$277)&amp;" por turno",IF($S$277&gt;0,IF($AA$277="Sim","Dano Contínuo: ","Dano: ")&amp;IF($U$277="Sim",$AB$277*$S$277,$S$277)&amp;"d"&amp;$T$277&amp;IF($V$277="Sim"," + "&amp;$P$277,"")&amp;" · média "&amp;(INT(IF($U$277="Sim",$AB$277*$S$277,$S$277)*($T$277+1)/2)+IF($V$277="Sim",$P$277,0)),$AC$277))&amp;IF($Y$277&gt;0,"; Atrasa "&amp;$Y$277&amp;" casa(s): some em Atraso deste Ciclo do alvo (C8)","")))</f>
        <v/>
      </c>
      <c r="K277" s="27">
        <f>IF(CJ277&gt;0,"O Google leu como fórmula: escolha de novo ou digite com ' na frente.",IF(LEN($CA$277)=0,"",IF(LEN($N$26)=0,"Combatente vazio: a condição não conta",IF(NOT(ISNUMBER($R$277)),"Condição fora do capítulo 21",IF(FALSE,"",IF(IF(ISNUMBER($CC$277),$CC$277=0,FALSE),"Expirou: os turnos chegaram a 0 e ela saiu do painel",IF(AND(ISNUMBER($CD$277),$CD$277&gt;$Z$277),"Acima do teto de "&amp;$Z$277&amp;" acúmulo(s) (21.5): usando o teto",IF($AA$277="Sim","Dano Contínuo: início do turno do alvo; ignora RD, não crita, sem dados de Fraqueza (20.6)",""))))))))</f>
        <v/>
      </c>
      <c r="N277" s="2">
        <f>IF(LEN($N$26)=0,"",16)</f>
        <v/>
      </c>
      <c r="O277" s="2">
        <f>IF(LEN($CE$277)=0,"",IFERROR(MATCH($CE$277,$N$11:$N$32,0),""))</f>
        <v/>
      </c>
      <c r="P277" s="2">
        <f>IF(ISNUMBER($O$277),INDEX($AS$11:$AS$32,$O$277),'Campanha'!$B$20)</f>
        <v/>
      </c>
      <c r="Q277" s="2">
        <f>IF(ISNUMBER($N$277),$AQ$26,0)</f>
        <v/>
      </c>
      <c r="R277" s="2">
        <f>IF(LEN($CA$277)=0,"",IFERROR(MATCH($CA$277,'Dados'!$A$324:$A$339,0),""))</f>
        <v/>
      </c>
      <c r="S277" s="2">
        <f>IF(ISNUMBER($R$277),INDEX('Dados'!$F$324:$F$339,$R$277),"")</f>
        <v/>
      </c>
      <c r="T277" s="2">
        <f>IF(ISNUMBER($R$277),INDEX('Dados'!$G$324:$G$339,$R$277),"")</f>
        <v/>
      </c>
      <c r="U277" s="2">
        <f>IF(ISNUMBER($R$277),INDEX('Dados'!$H$324:$H$339,$R$277),"")</f>
        <v/>
      </c>
      <c r="V277" s="2">
        <f>IF(ISNUMBER($R$277),INDEX('Dados'!$I$324:$I$339,$R$277),"")</f>
        <v/>
      </c>
      <c r="W277" s="2">
        <f>IF(ISNUMBER($R$277),INDEX('Dados'!$J$324:$J$339,$R$277),"")</f>
        <v/>
      </c>
      <c r="X277" s="2">
        <f>IF(ISNUMBER($R$277),INDEX('Dados'!$K$324:$K$339,$R$277),"")</f>
        <v/>
      </c>
      <c r="Y277" s="2">
        <f>IF(ISNUMBER($R$277),INDEX('Dados'!$L$324:$L$339,$R$277),"")</f>
        <v/>
      </c>
      <c r="Z277" s="2">
        <f>IF(ISNUMBER($R$277),INDEX('Dados'!$M$324:$M$339,$R$277),"")</f>
        <v/>
      </c>
      <c r="AA277" s="2">
        <f>IF(ISNUMBER($R$277),INDEX('Dados'!$N$324:$N$339,$R$277),"")</f>
        <v/>
      </c>
      <c r="AB277" s="2">
        <f>IF(ISNUMBER($CD$277),MIN($Z$277,MAX(1,INT($CD$277))),1)</f>
        <v/>
      </c>
      <c r="AC277" s="2">
        <f>IF(ISNUMBER($R$277),INDEX('Dados'!$B$324:$B$339,$R$277),"")</f>
        <v/>
      </c>
      <c r="AD277" s="2">
        <f>IF(AND(ISNUMBER($R$277),LEN($N$26)&gt;0,$Q$26=1,NOT(IF(ISNUMBER($CC$277),$CC$277=0,FALSE))),1,0)</f>
        <v/>
      </c>
      <c r="AE277" s="2">
        <f>IF($AD$277=1,64,"")</f>
        <v/>
      </c>
      <c r="AF277" s="2">
        <f>IF(ISNUMBER($R$277),INDEX('Dados'!$C$324:$C$339,$R$277),"")</f>
        <v/>
      </c>
      <c r="AG277" s="2">
        <f>IF($AD$277=0,"",$AC$277&amp;IF($H$277&lt;&gt;$AC$277," · Agora: "&amp;$H$277,"")&amp;" (duração: "&amp;$AF$277&amp;")")</f>
        <v/>
      </c>
      <c r="AH277" s="2">
        <f>IF(AND(ISNUMBER($R$277),LEN($N$26)&gt;0),IF(IF(ISNUMBER($CC$277),$CC$277=0,FALSE),1,0),0)</f>
        <v/>
      </c>
      <c r="CA277" s="2">
        <f>IF(ISERROR($B$277),"",IF(ISBLANK($B$277),"",$B$277))</f>
        <v/>
      </c>
      <c r="CC277" s="2">
        <f>IF(ISERROR($D$277),"",IF(ISBLANK($D$277),"",$D$277))</f>
        <v/>
      </c>
      <c r="CD277" s="2">
        <f>IF(ISERROR($E$277),"",IF(ISBLANK($E$277),"",$E$277))</f>
        <v/>
      </c>
      <c r="CE277" s="2">
        <f>IF(ISERROR($F$277),"",IF(ISBLANK($F$277),"",$F$277))</f>
        <v/>
      </c>
      <c r="CJ277" s="2">
        <f>ISERROR($B$277)*1+ISERROR($D$277)*1+ISERROR($E$277)*1+ISERROR($F$277)*1</f>
        <v/>
      </c>
    </row>
    <row r="278" ht="60" customHeight="1">
      <c r="A278" s="31">
        <f>IF(LEN($N$27)&gt;0,$N$27,"17 · (vazio)")</f>
        <v/>
      </c>
      <c r="B278" s="4" t="n"/>
      <c r="C278" s="17" t="n"/>
      <c r="D278" s="16" t="n"/>
      <c r="E278" s="16" t="n"/>
      <c r="F278" s="4" t="n"/>
      <c r="G278" s="17" t="n"/>
      <c r="H278" s="5">
        <f>IF(NOT(ISNUMBER($R$278)),"",IF(IF(ISNUMBER($CC$278),$CC$278=0,FALSE),"EXPIRADA (0 turnos): já não vale; apague a condição",IF($W$278&gt;0,"Dano Contínuo: "&amp;MIN(INT($W$278*$Q$278/100),$X$278*$P$278)&amp;" por turno",IF($S$278&gt;0,IF($AA$278="Sim","Dano Contínuo: ","Dano: ")&amp;IF($U$278="Sim",$AB$278*$S$278,$S$278)&amp;"d"&amp;$T$278&amp;IF($V$278="Sim"," + "&amp;$P$278,"")&amp;" · média "&amp;(INT(IF($U$278="Sim",$AB$278*$S$278,$S$278)*($T$278+1)/2)+IF($V$278="Sim",$P$278,0)),$AC$278))&amp;IF($Y$278&gt;0,"; Atrasa "&amp;$Y$278&amp;" casa(s): some em Atraso deste Ciclo do alvo (C8)","")))</f>
        <v/>
      </c>
      <c r="K278" s="19">
        <f>IF(CJ278&gt;0,"O Google leu como fórmula: escolha de novo ou digite com ' na frente.",IF(LEN($CA$278)=0,"",IF(LEN($N$27)=0,"Combatente vazio: a condição não conta",IF(NOT(ISNUMBER($R$278)),"Condição fora do capítulo 21",IF($CA$278="Congelado","Congelado só em inimigo (21.2)",IF(IF(ISNUMBER($CC$278),$CC$278=0,FALSE),"Expirou: os turnos chegaram a 0 e ela saiu do painel",IF(AND(ISNUMBER($CD$278),$CD$278&gt;$Z$278),"Acima do teto de "&amp;$Z$278&amp;" acúmulo(s) (21.5): usando o teto",IF($AA$278="Sim","Dano Contínuo: início do turno do alvo; ignora RD, não crita, sem dados de Fraqueza (20.6)",""))))))))</f>
        <v/>
      </c>
      <c r="N278" s="2">
        <f>IF(LEN($N$27)=0,"",17)</f>
        <v/>
      </c>
      <c r="O278" s="2">
        <f>IF(LEN($CE$278)=0,"",IFERROR(MATCH($CE$278,$N$11:$N$32,0),""))</f>
        <v/>
      </c>
      <c r="P278" s="2">
        <f>IF(ISNUMBER($O$278),INDEX($AS$11:$AS$32,$O$278),'Campanha'!$B$20)</f>
        <v/>
      </c>
      <c r="Q278" s="2">
        <f>IF(ISNUMBER($N$278),$AQ$27,0)</f>
        <v/>
      </c>
      <c r="R278" s="2">
        <f>IF(LEN($CA$278)=0,"",IFERROR(MATCH($CA$278,'Dados'!$A$324:$A$339,0),""))</f>
        <v/>
      </c>
      <c r="S278" s="2">
        <f>IF(ISNUMBER($R$278),INDEX('Dados'!$F$324:$F$339,$R$278),"")</f>
        <v/>
      </c>
      <c r="T278" s="2">
        <f>IF(ISNUMBER($R$278),INDEX('Dados'!$G$324:$G$339,$R$278),"")</f>
        <v/>
      </c>
      <c r="U278" s="2">
        <f>IF(ISNUMBER($R$278),INDEX('Dados'!$H$324:$H$339,$R$278),"")</f>
        <v/>
      </c>
      <c r="V278" s="2">
        <f>IF(ISNUMBER($R$278),INDEX('Dados'!$I$324:$I$339,$R$278),"")</f>
        <v/>
      </c>
      <c r="W278" s="2">
        <f>IF(ISNUMBER($R$278),INDEX('Dados'!$J$324:$J$339,$R$278),"")</f>
        <v/>
      </c>
      <c r="X278" s="2">
        <f>IF(ISNUMBER($R$278),INDEX('Dados'!$K$324:$K$339,$R$278),"")</f>
        <v/>
      </c>
      <c r="Y278" s="2">
        <f>IF(ISNUMBER($R$278),INDEX('Dados'!$L$324:$L$339,$R$278),"")</f>
        <v/>
      </c>
      <c r="Z278" s="2">
        <f>IF(ISNUMBER($R$278),INDEX('Dados'!$M$324:$M$339,$R$278),"")</f>
        <v/>
      </c>
      <c r="AA278" s="2">
        <f>IF(ISNUMBER($R$278),INDEX('Dados'!$N$324:$N$339,$R$278),"")</f>
        <v/>
      </c>
      <c r="AB278" s="2">
        <f>IF(ISNUMBER($CD$278),MIN($Z$278,MAX(1,INT($CD$278))),1)</f>
        <v/>
      </c>
      <c r="AC278" s="2">
        <f>IF(ISNUMBER($R$278),INDEX('Dados'!$B$324:$B$339,$R$278),"")</f>
        <v/>
      </c>
      <c r="AD278" s="2">
        <f>IF(AND(ISNUMBER($R$278),LEN($N$27)&gt;0,$Q$27=1,NOT(IF(ISNUMBER($CC$278),$CC$278=0,FALSE))),1,0)</f>
        <v/>
      </c>
      <c r="AE278" s="2">
        <f>IF($AD$278=1,65,"")</f>
        <v/>
      </c>
      <c r="AF278" s="2">
        <f>IF(ISNUMBER($R$278),INDEX('Dados'!$C$324:$C$339,$R$278),"")</f>
        <v/>
      </c>
      <c r="AG278" s="2">
        <f>IF($AD$278=0,"",$AC$278&amp;IF($H$278&lt;&gt;$AC$278," · Agora: "&amp;$H$278,"")&amp;" (duração: "&amp;$AF$278&amp;")")</f>
        <v/>
      </c>
      <c r="AH278" s="2">
        <f>IF(AND(ISNUMBER($R$278),LEN($N$27)&gt;0),IF(IF(ISNUMBER($CC$278),$CC$278=0,FALSE),1,0),0)</f>
        <v/>
      </c>
      <c r="CA278" s="2">
        <f>IF(ISERROR($B$278),"",IF(ISBLANK($B$278),"",$B$278))</f>
        <v/>
      </c>
      <c r="CC278" s="2">
        <f>IF(ISERROR($D$278),"",IF(ISBLANK($D$278),"",$D$278))</f>
        <v/>
      </c>
      <c r="CD278" s="2">
        <f>IF(ISERROR($E$278),"",IF(ISBLANK($E$278),"",$E$278))</f>
        <v/>
      </c>
      <c r="CE278" s="2">
        <f>IF(ISERROR($F$278),"",IF(ISBLANK($F$278),"",$F$278))</f>
        <v/>
      </c>
      <c r="CJ278" s="2">
        <f>ISERROR($B$278)*1+ISERROR($D$278)*1+ISERROR($E$278)*1+ISERROR($F$278)*1</f>
        <v/>
      </c>
    </row>
    <row r="279" ht="60" customHeight="1">
      <c r="A279" s="43">
        <f>IF(LEN($N$27)&gt;0,$N$27,"17 · (vazio)")</f>
        <v/>
      </c>
      <c r="B279" s="29" t="n"/>
      <c r="C279" s="17" t="n"/>
      <c r="D279" s="37" t="n"/>
      <c r="E279" s="37" t="n"/>
      <c r="F279" s="29" t="n"/>
      <c r="G279" s="17" t="n"/>
      <c r="H279" s="10">
        <f>IF(NOT(ISNUMBER($R$279)),"",IF(IF(ISNUMBER($CC$279),$CC$279=0,FALSE),"EXPIRADA (0 turnos): já não vale; apague a condição",IF($W$279&gt;0,"Dano Contínuo: "&amp;MIN(INT($W$279*$Q$279/100),$X$279*$P$279)&amp;" por turno",IF($S$279&gt;0,IF($AA$279="Sim","Dano Contínuo: ","Dano: ")&amp;IF($U$279="Sim",$AB$279*$S$279,$S$279)&amp;"d"&amp;$T$279&amp;IF($V$279="Sim"," + "&amp;$P$279,"")&amp;" · média "&amp;(INT(IF($U$279="Sim",$AB$279*$S$279,$S$279)*($T$279+1)/2)+IF($V$279="Sim",$P$279,0)),$AC$279))&amp;IF($Y$279&gt;0,"; Atrasa "&amp;$Y$279&amp;" casa(s): some em Atraso deste Ciclo do alvo (C8)","")))</f>
        <v/>
      </c>
      <c r="K279" s="27">
        <f>IF(CJ279&gt;0,"O Google leu como fórmula: escolha de novo ou digite com ' na frente.",IF(LEN($CA$279)=0,"",IF(LEN($N$27)=0,"Combatente vazio: a condição não conta",IF(NOT(ISNUMBER($R$279)),"Condição fora do capítulo 21",IF($CA$279="Congelado","Congelado só em inimigo (21.2)",IF(IF(ISNUMBER($CC$279),$CC$279=0,FALSE),"Expirou: os turnos chegaram a 0 e ela saiu do painel",IF(AND(ISNUMBER($CD$279),$CD$279&gt;$Z$279),"Acima do teto de "&amp;$Z$279&amp;" acúmulo(s) (21.5): usando o teto",IF($AA$279="Sim","Dano Contínuo: início do turno do alvo; ignora RD, não crita, sem dados de Fraqueza (20.6)",""))))))))</f>
        <v/>
      </c>
      <c r="N279" s="2">
        <f>IF(LEN($N$27)=0,"",17)</f>
        <v/>
      </c>
      <c r="O279" s="2">
        <f>IF(LEN($CE$279)=0,"",IFERROR(MATCH($CE$279,$N$11:$N$32,0),""))</f>
        <v/>
      </c>
      <c r="P279" s="2">
        <f>IF(ISNUMBER($O$279),INDEX($AS$11:$AS$32,$O$279),'Campanha'!$B$20)</f>
        <v/>
      </c>
      <c r="Q279" s="2">
        <f>IF(ISNUMBER($N$279),$AQ$27,0)</f>
        <v/>
      </c>
      <c r="R279" s="2">
        <f>IF(LEN($CA$279)=0,"",IFERROR(MATCH($CA$279,'Dados'!$A$324:$A$339,0),""))</f>
        <v/>
      </c>
      <c r="S279" s="2">
        <f>IF(ISNUMBER($R$279),INDEX('Dados'!$F$324:$F$339,$R$279),"")</f>
        <v/>
      </c>
      <c r="T279" s="2">
        <f>IF(ISNUMBER($R$279),INDEX('Dados'!$G$324:$G$339,$R$279),"")</f>
        <v/>
      </c>
      <c r="U279" s="2">
        <f>IF(ISNUMBER($R$279),INDEX('Dados'!$H$324:$H$339,$R$279),"")</f>
        <v/>
      </c>
      <c r="V279" s="2">
        <f>IF(ISNUMBER($R$279),INDEX('Dados'!$I$324:$I$339,$R$279),"")</f>
        <v/>
      </c>
      <c r="W279" s="2">
        <f>IF(ISNUMBER($R$279),INDEX('Dados'!$J$324:$J$339,$R$279),"")</f>
        <v/>
      </c>
      <c r="X279" s="2">
        <f>IF(ISNUMBER($R$279),INDEX('Dados'!$K$324:$K$339,$R$279),"")</f>
        <v/>
      </c>
      <c r="Y279" s="2">
        <f>IF(ISNUMBER($R$279),INDEX('Dados'!$L$324:$L$339,$R$279),"")</f>
        <v/>
      </c>
      <c r="Z279" s="2">
        <f>IF(ISNUMBER($R$279),INDEX('Dados'!$M$324:$M$339,$R$279),"")</f>
        <v/>
      </c>
      <c r="AA279" s="2">
        <f>IF(ISNUMBER($R$279),INDEX('Dados'!$N$324:$N$339,$R$279),"")</f>
        <v/>
      </c>
      <c r="AB279" s="2">
        <f>IF(ISNUMBER($CD$279),MIN($Z$279,MAX(1,INT($CD$279))),1)</f>
        <v/>
      </c>
      <c r="AC279" s="2">
        <f>IF(ISNUMBER($R$279),INDEX('Dados'!$B$324:$B$339,$R$279),"")</f>
        <v/>
      </c>
      <c r="AD279" s="2">
        <f>IF(AND(ISNUMBER($R$279),LEN($N$27)&gt;0,$Q$27=1,NOT(IF(ISNUMBER($CC$279),$CC$279=0,FALSE))),1,0)</f>
        <v/>
      </c>
      <c r="AE279" s="2">
        <f>IF($AD$279=1,66,"")</f>
        <v/>
      </c>
      <c r="AF279" s="2">
        <f>IF(ISNUMBER($R$279),INDEX('Dados'!$C$324:$C$339,$R$279),"")</f>
        <v/>
      </c>
      <c r="AG279" s="2">
        <f>IF($AD$279=0,"",$AC$279&amp;IF($H$279&lt;&gt;$AC$279," · Agora: "&amp;$H$279,"")&amp;" (duração: "&amp;$AF$279&amp;")")</f>
        <v/>
      </c>
      <c r="AH279" s="2">
        <f>IF(AND(ISNUMBER($R$279),LEN($N$27)&gt;0),IF(IF(ISNUMBER($CC$279),$CC$279=0,FALSE),1,0),0)</f>
        <v/>
      </c>
      <c r="CA279" s="2">
        <f>IF(ISERROR($B$279),"",IF(ISBLANK($B$279),"",$B$279))</f>
        <v/>
      </c>
      <c r="CC279" s="2">
        <f>IF(ISERROR($D$279),"",IF(ISBLANK($D$279),"",$D$279))</f>
        <v/>
      </c>
      <c r="CD279" s="2">
        <f>IF(ISERROR($E$279),"",IF(ISBLANK($E$279),"",$E$279))</f>
        <v/>
      </c>
      <c r="CE279" s="2">
        <f>IF(ISERROR($F$279),"",IF(ISBLANK($F$279),"",$F$279))</f>
        <v/>
      </c>
      <c r="CJ279" s="2">
        <f>ISERROR($B$279)*1+ISERROR($D$279)*1+ISERROR($E$279)*1+ISERROR($F$279)*1</f>
        <v/>
      </c>
    </row>
    <row r="280" ht="60" customHeight="1">
      <c r="A280" s="31">
        <f>IF(LEN($N$27)&gt;0,$N$27,"17 · (vazio)")</f>
        <v/>
      </c>
      <c r="B280" s="4" t="n"/>
      <c r="C280" s="17" t="n"/>
      <c r="D280" s="16" t="n"/>
      <c r="E280" s="16" t="n"/>
      <c r="F280" s="4" t="n"/>
      <c r="G280" s="17" t="n"/>
      <c r="H280" s="5">
        <f>IF(NOT(ISNUMBER($R$280)),"",IF(IF(ISNUMBER($CC$280),$CC$280=0,FALSE),"EXPIRADA (0 turnos): já não vale; apague a condição",IF($W$280&gt;0,"Dano Contínuo: "&amp;MIN(INT($W$280*$Q$280/100),$X$280*$P$280)&amp;" por turno",IF($S$280&gt;0,IF($AA$280="Sim","Dano Contínuo: ","Dano: ")&amp;IF($U$280="Sim",$AB$280*$S$280,$S$280)&amp;"d"&amp;$T$280&amp;IF($V$280="Sim"," + "&amp;$P$280,"")&amp;" · média "&amp;(INT(IF($U$280="Sim",$AB$280*$S$280,$S$280)*($T$280+1)/2)+IF($V$280="Sim",$P$280,0)),$AC$280))&amp;IF($Y$280&gt;0,"; Atrasa "&amp;$Y$280&amp;" casa(s): some em Atraso deste Ciclo do alvo (C8)","")))</f>
        <v/>
      </c>
      <c r="K280" s="19">
        <f>IF(CJ280&gt;0,"O Google leu como fórmula: escolha de novo ou digite com ' na frente.",IF(LEN($CA$280)=0,"",IF(LEN($N$27)=0,"Combatente vazio: a condição não conta",IF(NOT(ISNUMBER($R$280)),"Condição fora do capítulo 21",IF($CA$280="Congelado","Congelado só em inimigo (21.2)",IF(IF(ISNUMBER($CC$280),$CC$280=0,FALSE),"Expirou: os turnos chegaram a 0 e ela saiu do painel",IF(AND(ISNUMBER($CD$280),$CD$280&gt;$Z$280),"Acima do teto de "&amp;$Z$280&amp;" acúmulo(s) (21.5): usando o teto",IF($AA$280="Sim","Dano Contínuo: início do turno do alvo; ignora RD, não crita, sem dados de Fraqueza (20.6)",""))))))))</f>
        <v/>
      </c>
      <c r="N280" s="2">
        <f>IF(LEN($N$27)=0,"",17)</f>
        <v/>
      </c>
      <c r="O280" s="2">
        <f>IF(LEN($CE$280)=0,"",IFERROR(MATCH($CE$280,$N$11:$N$32,0),""))</f>
        <v/>
      </c>
      <c r="P280" s="2">
        <f>IF(ISNUMBER($O$280),INDEX($AS$11:$AS$32,$O$280),'Campanha'!$B$20)</f>
        <v/>
      </c>
      <c r="Q280" s="2">
        <f>IF(ISNUMBER($N$280),$AQ$27,0)</f>
        <v/>
      </c>
      <c r="R280" s="2">
        <f>IF(LEN($CA$280)=0,"",IFERROR(MATCH($CA$280,'Dados'!$A$324:$A$339,0),""))</f>
        <v/>
      </c>
      <c r="S280" s="2">
        <f>IF(ISNUMBER($R$280),INDEX('Dados'!$F$324:$F$339,$R$280),"")</f>
        <v/>
      </c>
      <c r="T280" s="2">
        <f>IF(ISNUMBER($R$280),INDEX('Dados'!$G$324:$G$339,$R$280),"")</f>
        <v/>
      </c>
      <c r="U280" s="2">
        <f>IF(ISNUMBER($R$280),INDEX('Dados'!$H$324:$H$339,$R$280),"")</f>
        <v/>
      </c>
      <c r="V280" s="2">
        <f>IF(ISNUMBER($R$280),INDEX('Dados'!$I$324:$I$339,$R$280),"")</f>
        <v/>
      </c>
      <c r="W280" s="2">
        <f>IF(ISNUMBER($R$280),INDEX('Dados'!$J$324:$J$339,$R$280),"")</f>
        <v/>
      </c>
      <c r="X280" s="2">
        <f>IF(ISNUMBER($R$280),INDEX('Dados'!$K$324:$K$339,$R$280),"")</f>
        <v/>
      </c>
      <c r="Y280" s="2">
        <f>IF(ISNUMBER($R$280),INDEX('Dados'!$L$324:$L$339,$R$280),"")</f>
        <v/>
      </c>
      <c r="Z280" s="2">
        <f>IF(ISNUMBER($R$280),INDEX('Dados'!$M$324:$M$339,$R$280),"")</f>
        <v/>
      </c>
      <c r="AA280" s="2">
        <f>IF(ISNUMBER($R$280),INDEX('Dados'!$N$324:$N$339,$R$280),"")</f>
        <v/>
      </c>
      <c r="AB280" s="2">
        <f>IF(ISNUMBER($CD$280),MIN($Z$280,MAX(1,INT($CD$280))),1)</f>
        <v/>
      </c>
      <c r="AC280" s="2">
        <f>IF(ISNUMBER($R$280),INDEX('Dados'!$B$324:$B$339,$R$280),"")</f>
        <v/>
      </c>
      <c r="AD280" s="2">
        <f>IF(AND(ISNUMBER($R$280),LEN($N$27)&gt;0,$Q$27=1,NOT(IF(ISNUMBER($CC$280),$CC$280=0,FALSE))),1,0)</f>
        <v/>
      </c>
      <c r="AE280" s="2">
        <f>IF($AD$280=1,67,"")</f>
        <v/>
      </c>
      <c r="AF280" s="2">
        <f>IF(ISNUMBER($R$280),INDEX('Dados'!$C$324:$C$339,$R$280),"")</f>
        <v/>
      </c>
      <c r="AG280" s="2">
        <f>IF($AD$280=0,"",$AC$280&amp;IF($H$280&lt;&gt;$AC$280," · Agora: "&amp;$H$280,"")&amp;" (duração: "&amp;$AF$280&amp;")")</f>
        <v/>
      </c>
      <c r="AH280" s="2">
        <f>IF(AND(ISNUMBER($R$280),LEN($N$27)&gt;0),IF(IF(ISNUMBER($CC$280),$CC$280=0,FALSE),1,0),0)</f>
        <v/>
      </c>
      <c r="CA280" s="2">
        <f>IF(ISERROR($B$280),"",IF(ISBLANK($B$280),"",$B$280))</f>
        <v/>
      </c>
      <c r="CC280" s="2">
        <f>IF(ISERROR($D$280),"",IF(ISBLANK($D$280),"",$D$280))</f>
        <v/>
      </c>
      <c r="CD280" s="2">
        <f>IF(ISERROR($E$280),"",IF(ISBLANK($E$280),"",$E$280))</f>
        <v/>
      </c>
      <c r="CE280" s="2">
        <f>IF(ISERROR($F$280),"",IF(ISBLANK($F$280),"",$F$280))</f>
        <v/>
      </c>
      <c r="CJ280" s="2">
        <f>ISERROR($B$280)*1+ISERROR($D$280)*1+ISERROR($E$280)*1+ISERROR($F$280)*1</f>
        <v/>
      </c>
    </row>
    <row r="281" ht="60" customHeight="1">
      <c r="A281" s="43">
        <f>IF(LEN($N$27)&gt;0,$N$27,"17 · (vazio)")</f>
        <v/>
      </c>
      <c r="B281" s="29" t="n"/>
      <c r="C281" s="17" t="n"/>
      <c r="D281" s="37" t="n"/>
      <c r="E281" s="37" t="n"/>
      <c r="F281" s="29" t="n"/>
      <c r="G281" s="17" t="n"/>
      <c r="H281" s="10">
        <f>IF(NOT(ISNUMBER($R$281)),"",IF(IF(ISNUMBER($CC$281),$CC$281=0,FALSE),"EXPIRADA (0 turnos): já não vale; apague a condição",IF($W$281&gt;0,"Dano Contínuo: "&amp;MIN(INT($W$281*$Q$281/100),$X$281*$P$281)&amp;" por turno",IF($S$281&gt;0,IF($AA$281="Sim","Dano Contínuo: ","Dano: ")&amp;IF($U$281="Sim",$AB$281*$S$281,$S$281)&amp;"d"&amp;$T$281&amp;IF($V$281="Sim"," + "&amp;$P$281,"")&amp;" · média "&amp;(INT(IF($U$281="Sim",$AB$281*$S$281,$S$281)*($T$281+1)/2)+IF($V$281="Sim",$P$281,0)),$AC$281))&amp;IF($Y$281&gt;0,"; Atrasa "&amp;$Y$281&amp;" casa(s): some em Atraso deste Ciclo do alvo (C8)","")))</f>
        <v/>
      </c>
      <c r="K281" s="27">
        <f>IF(CJ281&gt;0,"O Google leu como fórmula: escolha de novo ou digite com ' na frente.",IF(LEN($CA$281)=0,"",IF(LEN($N$27)=0,"Combatente vazio: a condição não conta",IF(NOT(ISNUMBER($R$281)),"Condição fora do capítulo 21",IF($CA$281="Congelado","Congelado só em inimigo (21.2)",IF(IF(ISNUMBER($CC$281),$CC$281=0,FALSE),"Expirou: os turnos chegaram a 0 e ela saiu do painel",IF(AND(ISNUMBER($CD$281),$CD$281&gt;$Z$281),"Acima do teto de "&amp;$Z$281&amp;" acúmulo(s) (21.5): usando o teto",IF($AA$281="Sim","Dano Contínuo: início do turno do alvo; ignora RD, não crita, sem dados de Fraqueza (20.6)",""))))))))</f>
        <v/>
      </c>
      <c r="N281" s="2">
        <f>IF(LEN($N$27)=0,"",17)</f>
        <v/>
      </c>
      <c r="O281" s="2">
        <f>IF(LEN($CE$281)=0,"",IFERROR(MATCH($CE$281,$N$11:$N$32,0),""))</f>
        <v/>
      </c>
      <c r="P281" s="2">
        <f>IF(ISNUMBER($O$281),INDEX($AS$11:$AS$32,$O$281),'Campanha'!$B$20)</f>
        <v/>
      </c>
      <c r="Q281" s="2">
        <f>IF(ISNUMBER($N$281),$AQ$27,0)</f>
        <v/>
      </c>
      <c r="R281" s="2">
        <f>IF(LEN($CA$281)=0,"",IFERROR(MATCH($CA$281,'Dados'!$A$324:$A$339,0),""))</f>
        <v/>
      </c>
      <c r="S281" s="2">
        <f>IF(ISNUMBER($R$281),INDEX('Dados'!$F$324:$F$339,$R$281),"")</f>
        <v/>
      </c>
      <c r="T281" s="2">
        <f>IF(ISNUMBER($R$281),INDEX('Dados'!$G$324:$G$339,$R$281),"")</f>
        <v/>
      </c>
      <c r="U281" s="2">
        <f>IF(ISNUMBER($R$281),INDEX('Dados'!$H$324:$H$339,$R$281),"")</f>
        <v/>
      </c>
      <c r="V281" s="2">
        <f>IF(ISNUMBER($R$281),INDEX('Dados'!$I$324:$I$339,$R$281),"")</f>
        <v/>
      </c>
      <c r="W281" s="2">
        <f>IF(ISNUMBER($R$281),INDEX('Dados'!$J$324:$J$339,$R$281),"")</f>
        <v/>
      </c>
      <c r="X281" s="2">
        <f>IF(ISNUMBER($R$281),INDEX('Dados'!$K$324:$K$339,$R$281),"")</f>
        <v/>
      </c>
      <c r="Y281" s="2">
        <f>IF(ISNUMBER($R$281),INDEX('Dados'!$L$324:$L$339,$R$281),"")</f>
        <v/>
      </c>
      <c r="Z281" s="2">
        <f>IF(ISNUMBER($R$281),INDEX('Dados'!$M$324:$M$339,$R$281),"")</f>
        <v/>
      </c>
      <c r="AA281" s="2">
        <f>IF(ISNUMBER($R$281),INDEX('Dados'!$N$324:$N$339,$R$281),"")</f>
        <v/>
      </c>
      <c r="AB281" s="2">
        <f>IF(ISNUMBER($CD$281),MIN($Z$281,MAX(1,INT($CD$281))),1)</f>
        <v/>
      </c>
      <c r="AC281" s="2">
        <f>IF(ISNUMBER($R$281),INDEX('Dados'!$B$324:$B$339,$R$281),"")</f>
        <v/>
      </c>
      <c r="AD281" s="2">
        <f>IF(AND(ISNUMBER($R$281),LEN($N$27)&gt;0,$Q$27=1,NOT(IF(ISNUMBER($CC$281),$CC$281=0,FALSE))),1,0)</f>
        <v/>
      </c>
      <c r="AE281" s="2">
        <f>IF($AD$281=1,68,"")</f>
        <v/>
      </c>
      <c r="AF281" s="2">
        <f>IF(ISNUMBER($R$281),INDEX('Dados'!$C$324:$C$339,$R$281),"")</f>
        <v/>
      </c>
      <c r="AG281" s="2">
        <f>IF($AD$281=0,"",$AC$281&amp;IF($H$281&lt;&gt;$AC$281," · Agora: "&amp;$H$281,"")&amp;" (duração: "&amp;$AF$281&amp;")")</f>
        <v/>
      </c>
      <c r="AH281" s="2">
        <f>IF(AND(ISNUMBER($R$281),LEN($N$27)&gt;0),IF(IF(ISNUMBER($CC$281),$CC$281=0,FALSE),1,0),0)</f>
        <v/>
      </c>
      <c r="CA281" s="2">
        <f>IF(ISERROR($B$281),"",IF(ISBLANK($B$281),"",$B$281))</f>
        <v/>
      </c>
      <c r="CC281" s="2">
        <f>IF(ISERROR($D$281),"",IF(ISBLANK($D$281),"",$D$281))</f>
        <v/>
      </c>
      <c r="CD281" s="2">
        <f>IF(ISERROR($E$281),"",IF(ISBLANK($E$281),"",$E$281))</f>
        <v/>
      </c>
      <c r="CE281" s="2">
        <f>IF(ISERROR($F$281),"",IF(ISBLANK($F$281),"",$F$281))</f>
        <v/>
      </c>
      <c r="CJ281" s="2">
        <f>ISERROR($B$281)*1+ISERROR($D$281)*1+ISERROR($E$281)*1+ISERROR($F$281)*1</f>
        <v/>
      </c>
    </row>
    <row r="282" ht="60" customHeight="1">
      <c r="A282" s="31">
        <f>IF(LEN($N$28)&gt;0,$N$28,"18 · (vazio)")</f>
        <v/>
      </c>
      <c r="B282" s="4" t="n"/>
      <c r="C282" s="17" t="n"/>
      <c r="D282" s="16" t="n"/>
      <c r="E282" s="16" t="n"/>
      <c r="F282" s="4" t="n"/>
      <c r="G282" s="17" t="n"/>
      <c r="H282" s="5">
        <f>IF(NOT(ISNUMBER($R$282)),"",IF(IF(ISNUMBER($CC$282),$CC$282=0,FALSE),"EXPIRADA (0 turnos): já não vale; apague a condição",IF($W$282&gt;0,"Dano Contínuo: "&amp;MIN(INT($W$282*$Q$282/100),$X$282*$P$282)&amp;" por turno",IF($S$282&gt;0,IF($AA$282="Sim","Dano Contínuo: ","Dano: ")&amp;IF($U$282="Sim",$AB$282*$S$282,$S$282)&amp;"d"&amp;$T$282&amp;IF($V$282="Sim"," + "&amp;$P$282,"")&amp;" · média "&amp;(INT(IF($U$282="Sim",$AB$282*$S$282,$S$282)*($T$282+1)/2)+IF($V$282="Sim",$P$282,0)),$AC$282))&amp;IF($Y$282&gt;0,"; Atrasa "&amp;$Y$282&amp;" casa(s): some em Atraso deste Ciclo do alvo (C8)","")))</f>
        <v/>
      </c>
      <c r="K282" s="19">
        <f>IF(CJ282&gt;0,"O Google leu como fórmula: escolha de novo ou digite com ' na frente.",IF(LEN($CA$282)=0,"",IF(LEN($N$28)=0,"Combatente vazio: a condição não conta",IF(NOT(ISNUMBER($R$282)),"Condição fora do capítulo 21",IF($CA$282="Congelado","Congelado só em inimigo (21.2)",IF(IF(ISNUMBER($CC$282),$CC$282=0,FALSE),"Expirou: os turnos chegaram a 0 e ela saiu do painel",IF(AND(ISNUMBER($CD$282),$CD$282&gt;$Z$282),"Acima do teto de "&amp;$Z$282&amp;" acúmulo(s) (21.5): usando o teto",IF($AA$282="Sim","Dano Contínuo: início do turno do alvo; ignora RD, não crita, sem dados de Fraqueza (20.6)",""))))))))</f>
        <v/>
      </c>
      <c r="N282" s="2">
        <f>IF(LEN($N$28)=0,"",18)</f>
        <v/>
      </c>
      <c r="O282" s="2">
        <f>IF(LEN($CE$282)=0,"",IFERROR(MATCH($CE$282,$N$11:$N$32,0),""))</f>
        <v/>
      </c>
      <c r="P282" s="2">
        <f>IF(ISNUMBER($O$282),INDEX($AS$11:$AS$32,$O$282),'Campanha'!$B$20)</f>
        <v/>
      </c>
      <c r="Q282" s="2">
        <f>IF(ISNUMBER($N$282),$AQ$28,0)</f>
        <v/>
      </c>
      <c r="R282" s="2">
        <f>IF(LEN($CA$282)=0,"",IFERROR(MATCH($CA$282,'Dados'!$A$324:$A$339,0),""))</f>
        <v/>
      </c>
      <c r="S282" s="2">
        <f>IF(ISNUMBER($R$282),INDEX('Dados'!$F$324:$F$339,$R$282),"")</f>
        <v/>
      </c>
      <c r="T282" s="2">
        <f>IF(ISNUMBER($R$282),INDEX('Dados'!$G$324:$G$339,$R$282),"")</f>
        <v/>
      </c>
      <c r="U282" s="2">
        <f>IF(ISNUMBER($R$282),INDEX('Dados'!$H$324:$H$339,$R$282),"")</f>
        <v/>
      </c>
      <c r="V282" s="2">
        <f>IF(ISNUMBER($R$282),INDEX('Dados'!$I$324:$I$339,$R$282),"")</f>
        <v/>
      </c>
      <c r="W282" s="2">
        <f>IF(ISNUMBER($R$282),INDEX('Dados'!$J$324:$J$339,$R$282),"")</f>
        <v/>
      </c>
      <c r="X282" s="2">
        <f>IF(ISNUMBER($R$282),INDEX('Dados'!$K$324:$K$339,$R$282),"")</f>
        <v/>
      </c>
      <c r="Y282" s="2">
        <f>IF(ISNUMBER($R$282),INDEX('Dados'!$L$324:$L$339,$R$282),"")</f>
        <v/>
      </c>
      <c r="Z282" s="2">
        <f>IF(ISNUMBER($R$282),INDEX('Dados'!$M$324:$M$339,$R$282),"")</f>
        <v/>
      </c>
      <c r="AA282" s="2">
        <f>IF(ISNUMBER($R$282),INDEX('Dados'!$N$324:$N$339,$R$282),"")</f>
        <v/>
      </c>
      <c r="AB282" s="2">
        <f>IF(ISNUMBER($CD$282),MIN($Z$282,MAX(1,INT($CD$282))),1)</f>
        <v/>
      </c>
      <c r="AC282" s="2">
        <f>IF(ISNUMBER($R$282),INDEX('Dados'!$B$324:$B$339,$R$282),"")</f>
        <v/>
      </c>
      <c r="AD282" s="2">
        <f>IF(AND(ISNUMBER($R$282),LEN($N$28)&gt;0,$Q$28=1,NOT(IF(ISNUMBER($CC$282),$CC$282=0,FALSE))),1,0)</f>
        <v/>
      </c>
      <c r="AE282" s="2">
        <f>IF($AD$282=1,69,"")</f>
        <v/>
      </c>
      <c r="AF282" s="2">
        <f>IF(ISNUMBER($R$282),INDEX('Dados'!$C$324:$C$339,$R$282),"")</f>
        <v/>
      </c>
      <c r="AG282" s="2">
        <f>IF($AD$282=0,"",$AC$282&amp;IF($H$282&lt;&gt;$AC$282," · Agora: "&amp;$H$282,"")&amp;" (duração: "&amp;$AF$282&amp;")")</f>
        <v/>
      </c>
      <c r="AH282" s="2">
        <f>IF(AND(ISNUMBER($R$282),LEN($N$28)&gt;0),IF(IF(ISNUMBER($CC$282),$CC$282=0,FALSE),1,0),0)</f>
        <v/>
      </c>
      <c r="CA282" s="2">
        <f>IF(ISERROR($B$282),"",IF(ISBLANK($B$282),"",$B$282))</f>
        <v/>
      </c>
      <c r="CC282" s="2">
        <f>IF(ISERROR($D$282),"",IF(ISBLANK($D$282),"",$D$282))</f>
        <v/>
      </c>
      <c r="CD282" s="2">
        <f>IF(ISERROR($E$282),"",IF(ISBLANK($E$282),"",$E$282))</f>
        <v/>
      </c>
      <c r="CE282" s="2">
        <f>IF(ISERROR($F$282),"",IF(ISBLANK($F$282),"",$F$282))</f>
        <v/>
      </c>
      <c r="CJ282" s="2">
        <f>ISERROR($B$282)*1+ISERROR($D$282)*1+ISERROR($E$282)*1+ISERROR($F$282)*1</f>
        <v/>
      </c>
    </row>
    <row r="283" ht="60" customHeight="1">
      <c r="A283" s="43">
        <f>IF(LEN($N$28)&gt;0,$N$28,"18 · (vazio)")</f>
        <v/>
      </c>
      <c r="B283" s="29" t="n"/>
      <c r="C283" s="17" t="n"/>
      <c r="D283" s="37" t="n"/>
      <c r="E283" s="37" t="n"/>
      <c r="F283" s="29" t="n"/>
      <c r="G283" s="17" t="n"/>
      <c r="H283" s="10">
        <f>IF(NOT(ISNUMBER($R$283)),"",IF(IF(ISNUMBER($CC$283),$CC$283=0,FALSE),"EXPIRADA (0 turnos): já não vale; apague a condição",IF($W$283&gt;0,"Dano Contínuo: "&amp;MIN(INT($W$283*$Q$283/100),$X$283*$P$283)&amp;" por turno",IF($S$283&gt;0,IF($AA$283="Sim","Dano Contínuo: ","Dano: ")&amp;IF($U$283="Sim",$AB$283*$S$283,$S$283)&amp;"d"&amp;$T$283&amp;IF($V$283="Sim"," + "&amp;$P$283,"")&amp;" · média "&amp;(INT(IF($U$283="Sim",$AB$283*$S$283,$S$283)*($T$283+1)/2)+IF($V$283="Sim",$P$283,0)),$AC$283))&amp;IF($Y$283&gt;0,"; Atrasa "&amp;$Y$283&amp;" casa(s): some em Atraso deste Ciclo do alvo (C8)","")))</f>
        <v/>
      </c>
      <c r="K283" s="27">
        <f>IF(CJ283&gt;0,"O Google leu como fórmula: escolha de novo ou digite com ' na frente.",IF(LEN($CA$283)=0,"",IF(LEN($N$28)=0,"Combatente vazio: a condição não conta",IF(NOT(ISNUMBER($R$283)),"Condição fora do capítulo 21",IF($CA$283="Congelado","Congelado só em inimigo (21.2)",IF(IF(ISNUMBER($CC$283),$CC$283=0,FALSE),"Expirou: os turnos chegaram a 0 e ela saiu do painel",IF(AND(ISNUMBER($CD$283),$CD$283&gt;$Z$283),"Acima do teto de "&amp;$Z$283&amp;" acúmulo(s) (21.5): usando o teto",IF($AA$283="Sim","Dano Contínuo: início do turno do alvo; ignora RD, não crita, sem dados de Fraqueza (20.6)",""))))))))</f>
        <v/>
      </c>
      <c r="N283" s="2">
        <f>IF(LEN($N$28)=0,"",18)</f>
        <v/>
      </c>
      <c r="O283" s="2">
        <f>IF(LEN($CE$283)=0,"",IFERROR(MATCH($CE$283,$N$11:$N$32,0),""))</f>
        <v/>
      </c>
      <c r="P283" s="2">
        <f>IF(ISNUMBER($O$283),INDEX($AS$11:$AS$32,$O$283),'Campanha'!$B$20)</f>
        <v/>
      </c>
      <c r="Q283" s="2">
        <f>IF(ISNUMBER($N$283),$AQ$28,0)</f>
        <v/>
      </c>
      <c r="R283" s="2">
        <f>IF(LEN($CA$283)=0,"",IFERROR(MATCH($CA$283,'Dados'!$A$324:$A$339,0),""))</f>
        <v/>
      </c>
      <c r="S283" s="2">
        <f>IF(ISNUMBER($R$283),INDEX('Dados'!$F$324:$F$339,$R$283),"")</f>
        <v/>
      </c>
      <c r="T283" s="2">
        <f>IF(ISNUMBER($R$283),INDEX('Dados'!$G$324:$G$339,$R$283),"")</f>
        <v/>
      </c>
      <c r="U283" s="2">
        <f>IF(ISNUMBER($R$283),INDEX('Dados'!$H$324:$H$339,$R$283),"")</f>
        <v/>
      </c>
      <c r="V283" s="2">
        <f>IF(ISNUMBER($R$283),INDEX('Dados'!$I$324:$I$339,$R$283),"")</f>
        <v/>
      </c>
      <c r="W283" s="2">
        <f>IF(ISNUMBER($R$283),INDEX('Dados'!$J$324:$J$339,$R$283),"")</f>
        <v/>
      </c>
      <c r="X283" s="2">
        <f>IF(ISNUMBER($R$283),INDEX('Dados'!$K$324:$K$339,$R$283),"")</f>
        <v/>
      </c>
      <c r="Y283" s="2">
        <f>IF(ISNUMBER($R$283),INDEX('Dados'!$L$324:$L$339,$R$283),"")</f>
        <v/>
      </c>
      <c r="Z283" s="2">
        <f>IF(ISNUMBER($R$283),INDEX('Dados'!$M$324:$M$339,$R$283),"")</f>
        <v/>
      </c>
      <c r="AA283" s="2">
        <f>IF(ISNUMBER($R$283),INDEX('Dados'!$N$324:$N$339,$R$283),"")</f>
        <v/>
      </c>
      <c r="AB283" s="2">
        <f>IF(ISNUMBER($CD$283),MIN($Z$283,MAX(1,INT($CD$283))),1)</f>
        <v/>
      </c>
      <c r="AC283" s="2">
        <f>IF(ISNUMBER($R$283),INDEX('Dados'!$B$324:$B$339,$R$283),"")</f>
        <v/>
      </c>
      <c r="AD283" s="2">
        <f>IF(AND(ISNUMBER($R$283),LEN($N$28)&gt;0,$Q$28=1,NOT(IF(ISNUMBER($CC$283),$CC$283=0,FALSE))),1,0)</f>
        <v/>
      </c>
      <c r="AE283" s="2">
        <f>IF($AD$283=1,70,"")</f>
        <v/>
      </c>
      <c r="AF283" s="2">
        <f>IF(ISNUMBER($R$283),INDEX('Dados'!$C$324:$C$339,$R$283),"")</f>
        <v/>
      </c>
      <c r="AG283" s="2">
        <f>IF($AD$283=0,"",$AC$283&amp;IF($H$283&lt;&gt;$AC$283," · Agora: "&amp;$H$283,"")&amp;" (duração: "&amp;$AF$283&amp;")")</f>
        <v/>
      </c>
      <c r="AH283" s="2">
        <f>IF(AND(ISNUMBER($R$283),LEN($N$28)&gt;0),IF(IF(ISNUMBER($CC$283),$CC$283=0,FALSE),1,0),0)</f>
        <v/>
      </c>
      <c r="CA283" s="2">
        <f>IF(ISERROR($B$283),"",IF(ISBLANK($B$283),"",$B$283))</f>
        <v/>
      </c>
      <c r="CC283" s="2">
        <f>IF(ISERROR($D$283),"",IF(ISBLANK($D$283),"",$D$283))</f>
        <v/>
      </c>
      <c r="CD283" s="2">
        <f>IF(ISERROR($E$283),"",IF(ISBLANK($E$283),"",$E$283))</f>
        <v/>
      </c>
      <c r="CE283" s="2">
        <f>IF(ISERROR($F$283),"",IF(ISBLANK($F$283),"",$F$283))</f>
        <v/>
      </c>
      <c r="CJ283" s="2">
        <f>ISERROR($B$283)*1+ISERROR($D$283)*1+ISERROR($E$283)*1+ISERROR($F$283)*1</f>
        <v/>
      </c>
    </row>
    <row r="284" ht="60" customHeight="1">
      <c r="A284" s="31">
        <f>IF(LEN($N$28)&gt;0,$N$28,"18 · (vazio)")</f>
        <v/>
      </c>
      <c r="B284" s="4" t="n"/>
      <c r="C284" s="17" t="n"/>
      <c r="D284" s="16" t="n"/>
      <c r="E284" s="16" t="n"/>
      <c r="F284" s="4" t="n"/>
      <c r="G284" s="17" t="n"/>
      <c r="H284" s="5">
        <f>IF(NOT(ISNUMBER($R$284)),"",IF(IF(ISNUMBER($CC$284),$CC$284=0,FALSE),"EXPIRADA (0 turnos): já não vale; apague a condição",IF($W$284&gt;0,"Dano Contínuo: "&amp;MIN(INT($W$284*$Q$284/100),$X$284*$P$284)&amp;" por turno",IF($S$284&gt;0,IF($AA$284="Sim","Dano Contínuo: ","Dano: ")&amp;IF($U$284="Sim",$AB$284*$S$284,$S$284)&amp;"d"&amp;$T$284&amp;IF($V$284="Sim"," + "&amp;$P$284,"")&amp;" · média "&amp;(INT(IF($U$284="Sim",$AB$284*$S$284,$S$284)*($T$284+1)/2)+IF($V$284="Sim",$P$284,0)),$AC$284))&amp;IF($Y$284&gt;0,"; Atrasa "&amp;$Y$284&amp;" casa(s): some em Atraso deste Ciclo do alvo (C8)","")))</f>
        <v/>
      </c>
      <c r="K284" s="19">
        <f>IF(CJ284&gt;0,"O Google leu como fórmula: escolha de novo ou digite com ' na frente.",IF(LEN($CA$284)=0,"",IF(LEN($N$28)=0,"Combatente vazio: a condição não conta",IF(NOT(ISNUMBER($R$284)),"Condição fora do capítulo 21",IF($CA$284="Congelado","Congelado só em inimigo (21.2)",IF(IF(ISNUMBER($CC$284),$CC$284=0,FALSE),"Expirou: os turnos chegaram a 0 e ela saiu do painel",IF(AND(ISNUMBER($CD$284),$CD$284&gt;$Z$284),"Acima do teto de "&amp;$Z$284&amp;" acúmulo(s) (21.5): usando o teto",IF($AA$284="Sim","Dano Contínuo: início do turno do alvo; ignora RD, não crita, sem dados de Fraqueza (20.6)",""))))))))</f>
        <v/>
      </c>
      <c r="N284" s="2">
        <f>IF(LEN($N$28)=0,"",18)</f>
        <v/>
      </c>
      <c r="O284" s="2">
        <f>IF(LEN($CE$284)=0,"",IFERROR(MATCH($CE$284,$N$11:$N$32,0),""))</f>
        <v/>
      </c>
      <c r="P284" s="2">
        <f>IF(ISNUMBER($O$284),INDEX($AS$11:$AS$32,$O$284),'Campanha'!$B$20)</f>
        <v/>
      </c>
      <c r="Q284" s="2">
        <f>IF(ISNUMBER($N$284),$AQ$28,0)</f>
        <v/>
      </c>
      <c r="R284" s="2">
        <f>IF(LEN($CA$284)=0,"",IFERROR(MATCH($CA$284,'Dados'!$A$324:$A$339,0),""))</f>
        <v/>
      </c>
      <c r="S284" s="2">
        <f>IF(ISNUMBER($R$284),INDEX('Dados'!$F$324:$F$339,$R$284),"")</f>
        <v/>
      </c>
      <c r="T284" s="2">
        <f>IF(ISNUMBER($R$284),INDEX('Dados'!$G$324:$G$339,$R$284),"")</f>
        <v/>
      </c>
      <c r="U284" s="2">
        <f>IF(ISNUMBER($R$284),INDEX('Dados'!$H$324:$H$339,$R$284),"")</f>
        <v/>
      </c>
      <c r="V284" s="2">
        <f>IF(ISNUMBER($R$284),INDEX('Dados'!$I$324:$I$339,$R$284),"")</f>
        <v/>
      </c>
      <c r="W284" s="2">
        <f>IF(ISNUMBER($R$284),INDEX('Dados'!$J$324:$J$339,$R$284),"")</f>
        <v/>
      </c>
      <c r="X284" s="2">
        <f>IF(ISNUMBER($R$284),INDEX('Dados'!$K$324:$K$339,$R$284),"")</f>
        <v/>
      </c>
      <c r="Y284" s="2">
        <f>IF(ISNUMBER($R$284),INDEX('Dados'!$L$324:$L$339,$R$284),"")</f>
        <v/>
      </c>
      <c r="Z284" s="2">
        <f>IF(ISNUMBER($R$284),INDEX('Dados'!$M$324:$M$339,$R$284),"")</f>
        <v/>
      </c>
      <c r="AA284" s="2">
        <f>IF(ISNUMBER($R$284),INDEX('Dados'!$N$324:$N$339,$R$284),"")</f>
        <v/>
      </c>
      <c r="AB284" s="2">
        <f>IF(ISNUMBER($CD$284),MIN($Z$284,MAX(1,INT($CD$284))),1)</f>
        <v/>
      </c>
      <c r="AC284" s="2">
        <f>IF(ISNUMBER($R$284),INDEX('Dados'!$B$324:$B$339,$R$284),"")</f>
        <v/>
      </c>
      <c r="AD284" s="2">
        <f>IF(AND(ISNUMBER($R$284),LEN($N$28)&gt;0,$Q$28=1,NOT(IF(ISNUMBER($CC$284),$CC$284=0,FALSE))),1,0)</f>
        <v/>
      </c>
      <c r="AE284" s="2">
        <f>IF($AD$284=1,71,"")</f>
        <v/>
      </c>
      <c r="AF284" s="2">
        <f>IF(ISNUMBER($R$284),INDEX('Dados'!$C$324:$C$339,$R$284),"")</f>
        <v/>
      </c>
      <c r="AG284" s="2">
        <f>IF($AD$284=0,"",$AC$284&amp;IF($H$284&lt;&gt;$AC$284," · Agora: "&amp;$H$284,"")&amp;" (duração: "&amp;$AF$284&amp;")")</f>
        <v/>
      </c>
      <c r="AH284" s="2">
        <f>IF(AND(ISNUMBER($R$284),LEN($N$28)&gt;0),IF(IF(ISNUMBER($CC$284),$CC$284=0,FALSE),1,0),0)</f>
        <v/>
      </c>
      <c r="CA284" s="2">
        <f>IF(ISERROR($B$284),"",IF(ISBLANK($B$284),"",$B$284))</f>
        <v/>
      </c>
      <c r="CC284" s="2">
        <f>IF(ISERROR($D$284),"",IF(ISBLANK($D$284),"",$D$284))</f>
        <v/>
      </c>
      <c r="CD284" s="2">
        <f>IF(ISERROR($E$284),"",IF(ISBLANK($E$284),"",$E$284))</f>
        <v/>
      </c>
      <c r="CE284" s="2">
        <f>IF(ISERROR($F$284),"",IF(ISBLANK($F$284),"",$F$284))</f>
        <v/>
      </c>
      <c r="CJ284" s="2">
        <f>ISERROR($B$284)*1+ISERROR($D$284)*1+ISERROR($E$284)*1+ISERROR($F$284)*1</f>
        <v/>
      </c>
    </row>
    <row r="285" ht="60" customHeight="1">
      <c r="A285" s="43">
        <f>IF(LEN($N$28)&gt;0,$N$28,"18 · (vazio)")</f>
        <v/>
      </c>
      <c r="B285" s="29" t="n"/>
      <c r="C285" s="17" t="n"/>
      <c r="D285" s="37" t="n"/>
      <c r="E285" s="37" t="n"/>
      <c r="F285" s="29" t="n"/>
      <c r="G285" s="17" t="n"/>
      <c r="H285" s="10">
        <f>IF(NOT(ISNUMBER($R$285)),"",IF(IF(ISNUMBER($CC$285),$CC$285=0,FALSE),"EXPIRADA (0 turnos): já não vale; apague a condição",IF($W$285&gt;0,"Dano Contínuo: "&amp;MIN(INT($W$285*$Q$285/100),$X$285*$P$285)&amp;" por turno",IF($S$285&gt;0,IF($AA$285="Sim","Dano Contínuo: ","Dano: ")&amp;IF($U$285="Sim",$AB$285*$S$285,$S$285)&amp;"d"&amp;$T$285&amp;IF($V$285="Sim"," + "&amp;$P$285,"")&amp;" · média "&amp;(INT(IF($U$285="Sim",$AB$285*$S$285,$S$285)*($T$285+1)/2)+IF($V$285="Sim",$P$285,0)),$AC$285))&amp;IF($Y$285&gt;0,"; Atrasa "&amp;$Y$285&amp;" casa(s): some em Atraso deste Ciclo do alvo (C8)","")))</f>
        <v/>
      </c>
      <c r="K285" s="27">
        <f>IF(CJ285&gt;0,"O Google leu como fórmula: escolha de novo ou digite com ' na frente.",IF(LEN($CA$285)=0,"",IF(LEN($N$28)=0,"Combatente vazio: a condição não conta",IF(NOT(ISNUMBER($R$285)),"Condição fora do capítulo 21",IF($CA$285="Congelado","Congelado só em inimigo (21.2)",IF(IF(ISNUMBER($CC$285),$CC$285=0,FALSE),"Expirou: os turnos chegaram a 0 e ela saiu do painel",IF(AND(ISNUMBER($CD$285),$CD$285&gt;$Z$285),"Acima do teto de "&amp;$Z$285&amp;" acúmulo(s) (21.5): usando o teto",IF($AA$285="Sim","Dano Contínuo: início do turno do alvo; ignora RD, não crita, sem dados de Fraqueza (20.6)",""))))))))</f>
        <v/>
      </c>
      <c r="N285" s="2">
        <f>IF(LEN($N$28)=0,"",18)</f>
        <v/>
      </c>
      <c r="O285" s="2">
        <f>IF(LEN($CE$285)=0,"",IFERROR(MATCH($CE$285,$N$11:$N$32,0),""))</f>
        <v/>
      </c>
      <c r="P285" s="2">
        <f>IF(ISNUMBER($O$285),INDEX($AS$11:$AS$32,$O$285),'Campanha'!$B$20)</f>
        <v/>
      </c>
      <c r="Q285" s="2">
        <f>IF(ISNUMBER($N$285),$AQ$28,0)</f>
        <v/>
      </c>
      <c r="R285" s="2">
        <f>IF(LEN($CA$285)=0,"",IFERROR(MATCH($CA$285,'Dados'!$A$324:$A$339,0),""))</f>
        <v/>
      </c>
      <c r="S285" s="2">
        <f>IF(ISNUMBER($R$285),INDEX('Dados'!$F$324:$F$339,$R$285),"")</f>
        <v/>
      </c>
      <c r="T285" s="2">
        <f>IF(ISNUMBER($R$285),INDEX('Dados'!$G$324:$G$339,$R$285),"")</f>
        <v/>
      </c>
      <c r="U285" s="2">
        <f>IF(ISNUMBER($R$285),INDEX('Dados'!$H$324:$H$339,$R$285),"")</f>
        <v/>
      </c>
      <c r="V285" s="2">
        <f>IF(ISNUMBER($R$285),INDEX('Dados'!$I$324:$I$339,$R$285),"")</f>
        <v/>
      </c>
      <c r="W285" s="2">
        <f>IF(ISNUMBER($R$285),INDEX('Dados'!$J$324:$J$339,$R$285),"")</f>
        <v/>
      </c>
      <c r="X285" s="2">
        <f>IF(ISNUMBER($R$285),INDEX('Dados'!$K$324:$K$339,$R$285),"")</f>
        <v/>
      </c>
      <c r="Y285" s="2">
        <f>IF(ISNUMBER($R$285),INDEX('Dados'!$L$324:$L$339,$R$285),"")</f>
        <v/>
      </c>
      <c r="Z285" s="2">
        <f>IF(ISNUMBER($R$285),INDEX('Dados'!$M$324:$M$339,$R$285),"")</f>
        <v/>
      </c>
      <c r="AA285" s="2">
        <f>IF(ISNUMBER($R$285),INDEX('Dados'!$N$324:$N$339,$R$285),"")</f>
        <v/>
      </c>
      <c r="AB285" s="2">
        <f>IF(ISNUMBER($CD$285),MIN($Z$285,MAX(1,INT($CD$285))),1)</f>
        <v/>
      </c>
      <c r="AC285" s="2">
        <f>IF(ISNUMBER($R$285),INDEX('Dados'!$B$324:$B$339,$R$285),"")</f>
        <v/>
      </c>
      <c r="AD285" s="2">
        <f>IF(AND(ISNUMBER($R$285),LEN($N$28)&gt;0,$Q$28=1,NOT(IF(ISNUMBER($CC$285),$CC$285=0,FALSE))),1,0)</f>
        <v/>
      </c>
      <c r="AE285" s="2">
        <f>IF($AD$285=1,72,"")</f>
        <v/>
      </c>
      <c r="AF285" s="2">
        <f>IF(ISNUMBER($R$285),INDEX('Dados'!$C$324:$C$339,$R$285),"")</f>
        <v/>
      </c>
      <c r="AG285" s="2">
        <f>IF($AD$285=0,"",$AC$285&amp;IF($H$285&lt;&gt;$AC$285," · Agora: "&amp;$H$285,"")&amp;" (duração: "&amp;$AF$285&amp;")")</f>
        <v/>
      </c>
      <c r="AH285" s="2">
        <f>IF(AND(ISNUMBER($R$285),LEN($N$28)&gt;0),IF(IF(ISNUMBER($CC$285),$CC$285=0,FALSE),1,0),0)</f>
        <v/>
      </c>
      <c r="CA285" s="2">
        <f>IF(ISERROR($B$285),"",IF(ISBLANK($B$285),"",$B$285))</f>
        <v/>
      </c>
      <c r="CC285" s="2">
        <f>IF(ISERROR($D$285),"",IF(ISBLANK($D$285),"",$D$285))</f>
        <v/>
      </c>
      <c r="CD285" s="2">
        <f>IF(ISERROR($E$285),"",IF(ISBLANK($E$285),"",$E$285))</f>
        <v/>
      </c>
      <c r="CE285" s="2">
        <f>IF(ISERROR($F$285),"",IF(ISBLANK($F$285),"",$F$285))</f>
        <v/>
      </c>
      <c r="CJ285" s="2">
        <f>ISERROR($B$285)*1+ISERROR($D$285)*1+ISERROR($E$285)*1+ISERROR($F$285)*1</f>
        <v/>
      </c>
    </row>
    <row r="286" ht="26" customHeight="1">
      <c r="A286" s="8" t="inlineStr">
        <is>
          <t>Combatente</t>
        </is>
      </c>
      <c r="B286" s="8" t="inlineStr">
        <is>
          <t>Condição</t>
        </is>
      </c>
      <c r="C286" s="20" t="n"/>
      <c r="D286" s="8" t="inlineStr">
        <is>
          <t>Turnos restantes</t>
        </is>
      </c>
      <c r="E286" s="8" t="inlineStr">
        <is>
          <t>Acúmulos</t>
        </is>
      </c>
      <c r="F286" s="8" t="inlineStr">
        <is>
          <t>Quem aplicou</t>
        </is>
      </c>
      <c r="G286" s="20" t="n"/>
      <c r="H286" s="8" t="inlineStr">
        <is>
          <t>Efeito e dano</t>
        </is>
      </c>
      <c r="I286" s="20" t="n"/>
      <c r="J286" s="20" t="n"/>
      <c r="K286" s="8" t="inlineStr">
        <is>
          <t>Aviso</t>
        </is>
      </c>
      <c r="L286" s="20" t="n"/>
      <c r="CA286" s="2">
        <f>IF(ISERROR($B$286),"",IF(ISBLANK($B$286),"",$B$286))</f>
        <v/>
      </c>
      <c r="CC286" s="2">
        <f>IF(ISERROR($D$286),"",IF(ISBLANK($D$286),"",$D$286))</f>
        <v/>
      </c>
      <c r="CE286" s="2">
        <f>IF(ISERROR($F$286),"",IF(ISBLANK($F$286),"",$F$286))</f>
        <v/>
      </c>
    </row>
    <row r="287" ht="60" customHeight="1">
      <c r="A287" s="31">
        <f>IF(LEN($N$29)&gt;0,$N$29,"19 · (vazio)")</f>
        <v/>
      </c>
      <c r="B287" s="4" t="n"/>
      <c r="C287" s="17" t="n"/>
      <c r="D287" s="16" t="n"/>
      <c r="E287" s="16" t="n"/>
      <c r="F287" s="4" t="n"/>
      <c r="G287" s="17" t="n"/>
      <c r="H287" s="5">
        <f>IF(NOT(ISNUMBER($R$287)),"",IF(IF(ISNUMBER($CC$287),$CC$287=0,FALSE),"EXPIRADA (0 turnos): já não vale; apague a condição",IF($W$287&gt;0,"Dano Contínuo: "&amp;MIN(INT($W$287*$Q$287/100),$X$287*$P$287)&amp;" por turno",IF($S$287&gt;0,IF($AA$287="Sim","Dano Contínuo: ","Dano: ")&amp;IF($U$287="Sim",$AB$287*$S$287,$S$287)&amp;"d"&amp;$T$287&amp;IF($V$287="Sim"," + "&amp;$P$287,"")&amp;" · média "&amp;(INT(IF($U$287="Sim",$AB$287*$S$287,$S$287)*($T$287+1)/2)+IF($V$287="Sim",$P$287,0)),$AC$287))&amp;IF($Y$287&gt;0,"; Atrasa "&amp;$Y$287&amp;" casa(s): some em Atraso deste Ciclo do alvo (C8)","")))</f>
        <v/>
      </c>
      <c r="K287" s="19">
        <f>IF(CJ287&gt;0,"O Google leu como fórmula: escolha de novo ou digite com ' na frente.",IF(LEN($CA$287)=0,"",IF(LEN($N$29)=0,"Combatente vazio: a condição não conta",IF(NOT(ISNUMBER($R$287)),"Condição fora do capítulo 21",IF($CA$287="Congelado","Congelado só em inimigo (21.2)",IF(IF(ISNUMBER($CC$287),$CC$287=0,FALSE),"Expirou: os turnos chegaram a 0 e ela saiu do painel",IF(AND(ISNUMBER($CD$287),$CD$287&gt;$Z$287),"Acima do teto de "&amp;$Z$287&amp;" acúmulo(s) (21.5): usando o teto",IF($AA$287="Sim","Dano Contínuo: início do turno do alvo; ignora RD, não crita, sem dados de Fraqueza (20.6)",""))))))))</f>
        <v/>
      </c>
      <c r="N287" s="2">
        <f>IF(LEN($N$29)=0,"",19)</f>
        <v/>
      </c>
      <c r="O287" s="2">
        <f>IF(LEN($CE$287)=0,"",IFERROR(MATCH($CE$287,$N$11:$N$32,0),""))</f>
        <v/>
      </c>
      <c r="P287" s="2">
        <f>IF(ISNUMBER($O$287),INDEX($AS$11:$AS$32,$O$287),'Campanha'!$B$20)</f>
        <v/>
      </c>
      <c r="Q287" s="2">
        <f>IF(ISNUMBER($N$287),$AQ$29,0)</f>
        <v/>
      </c>
      <c r="R287" s="2">
        <f>IF(LEN($CA$287)=0,"",IFERROR(MATCH($CA$287,'Dados'!$A$324:$A$339,0),""))</f>
        <v/>
      </c>
      <c r="S287" s="2">
        <f>IF(ISNUMBER($R$287),INDEX('Dados'!$F$324:$F$339,$R$287),"")</f>
        <v/>
      </c>
      <c r="T287" s="2">
        <f>IF(ISNUMBER($R$287),INDEX('Dados'!$G$324:$G$339,$R$287),"")</f>
        <v/>
      </c>
      <c r="U287" s="2">
        <f>IF(ISNUMBER($R$287),INDEX('Dados'!$H$324:$H$339,$R$287),"")</f>
        <v/>
      </c>
      <c r="V287" s="2">
        <f>IF(ISNUMBER($R$287),INDEX('Dados'!$I$324:$I$339,$R$287),"")</f>
        <v/>
      </c>
      <c r="W287" s="2">
        <f>IF(ISNUMBER($R$287),INDEX('Dados'!$J$324:$J$339,$R$287),"")</f>
        <v/>
      </c>
      <c r="X287" s="2">
        <f>IF(ISNUMBER($R$287),INDEX('Dados'!$K$324:$K$339,$R$287),"")</f>
        <v/>
      </c>
      <c r="Y287" s="2">
        <f>IF(ISNUMBER($R$287),INDEX('Dados'!$L$324:$L$339,$R$287),"")</f>
        <v/>
      </c>
      <c r="Z287" s="2">
        <f>IF(ISNUMBER($R$287),INDEX('Dados'!$M$324:$M$339,$R$287),"")</f>
        <v/>
      </c>
      <c r="AA287" s="2">
        <f>IF(ISNUMBER($R$287),INDEX('Dados'!$N$324:$N$339,$R$287),"")</f>
        <v/>
      </c>
      <c r="AB287" s="2">
        <f>IF(ISNUMBER($CD$287),MIN($Z$287,MAX(1,INT($CD$287))),1)</f>
        <v/>
      </c>
      <c r="AC287" s="2">
        <f>IF(ISNUMBER($R$287),INDEX('Dados'!$B$324:$B$339,$R$287),"")</f>
        <v/>
      </c>
      <c r="AD287" s="2">
        <f>IF(AND(ISNUMBER($R$287),LEN($N$29)&gt;0,$Q$29=1,NOT(IF(ISNUMBER($CC$287),$CC$287=0,FALSE))),1,0)</f>
        <v/>
      </c>
      <c r="AE287" s="2">
        <f>IF($AD$287=1,73,"")</f>
        <v/>
      </c>
      <c r="AF287" s="2">
        <f>IF(ISNUMBER($R$287),INDEX('Dados'!$C$324:$C$339,$R$287),"")</f>
        <v/>
      </c>
      <c r="AG287" s="2">
        <f>IF($AD$287=0,"",$AC$287&amp;IF($H$287&lt;&gt;$AC$287," · Agora: "&amp;$H$287,"")&amp;" (duração: "&amp;$AF$287&amp;")")</f>
        <v/>
      </c>
      <c r="AH287" s="2">
        <f>IF(AND(ISNUMBER($R$287),LEN($N$29)&gt;0),IF(IF(ISNUMBER($CC$287),$CC$287=0,FALSE),1,0),0)</f>
        <v/>
      </c>
      <c r="CA287" s="2">
        <f>IF(ISERROR($B$287),"",IF(ISBLANK($B$287),"",$B$287))</f>
        <v/>
      </c>
      <c r="CC287" s="2">
        <f>IF(ISERROR($D$287),"",IF(ISBLANK($D$287),"",$D$287))</f>
        <v/>
      </c>
      <c r="CD287" s="2">
        <f>IF(ISERROR($E$287),"",IF(ISBLANK($E$287),"",$E$287))</f>
        <v/>
      </c>
      <c r="CE287" s="2">
        <f>IF(ISERROR($F$287),"",IF(ISBLANK($F$287),"",$F$287))</f>
        <v/>
      </c>
      <c r="CJ287" s="2">
        <f>ISERROR($B$287)*1+ISERROR($D$287)*1+ISERROR($E$287)*1+ISERROR($F$287)*1</f>
        <v/>
      </c>
    </row>
    <row r="288" ht="60" customHeight="1">
      <c r="A288" s="43">
        <f>IF(LEN($N$29)&gt;0,$N$29,"19 · (vazio)")</f>
        <v/>
      </c>
      <c r="B288" s="29" t="n"/>
      <c r="C288" s="17" t="n"/>
      <c r="D288" s="37" t="n"/>
      <c r="E288" s="37" t="n"/>
      <c r="F288" s="29" t="n"/>
      <c r="G288" s="17" t="n"/>
      <c r="H288" s="10">
        <f>IF(NOT(ISNUMBER($R$288)),"",IF(IF(ISNUMBER($CC$288),$CC$288=0,FALSE),"EXPIRADA (0 turnos): já não vale; apague a condição",IF($W$288&gt;0,"Dano Contínuo: "&amp;MIN(INT($W$288*$Q$288/100),$X$288*$P$288)&amp;" por turno",IF($S$288&gt;0,IF($AA$288="Sim","Dano Contínuo: ","Dano: ")&amp;IF($U$288="Sim",$AB$288*$S$288,$S$288)&amp;"d"&amp;$T$288&amp;IF($V$288="Sim"," + "&amp;$P$288,"")&amp;" · média "&amp;(INT(IF($U$288="Sim",$AB$288*$S$288,$S$288)*($T$288+1)/2)+IF($V$288="Sim",$P$288,0)),$AC$288))&amp;IF($Y$288&gt;0,"; Atrasa "&amp;$Y$288&amp;" casa(s): some em Atraso deste Ciclo do alvo (C8)","")))</f>
        <v/>
      </c>
      <c r="K288" s="27">
        <f>IF(CJ288&gt;0,"O Google leu como fórmula: escolha de novo ou digite com ' na frente.",IF(LEN($CA$288)=0,"",IF(LEN($N$29)=0,"Combatente vazio: a condição não conta",IF(NOT(ISNUMBER($R$288)),"Condição fora do capítulo 21",IF($CA$288="Congelado","Congelado só em inimigo (21.2)",IF(IF(ISNUMBER($CC$288),$CC$288=0,FALSE),"Expirou: os turnos chegaram a 0 e ela saiu do painel",IF(AND(ISNUMBER($CD$288),$CD$288&gt;$Z$288),"Acima do teto de "&amp;$Z$288&amp;" acúmulo(s) (21.5): usando o teto",IF($AA$288="Sim","Dano Contínuo: início do turno do alvo; ignora RD, não crita, sem dados de Fraqueza (20.6)",""))))))))</f>
        <v/>
      </c>
      <c r="N288" s="2">
        <f>IF(LEN($N$29)=0,"",19)</f>
        <v/>
      </c>
      <c r="O288" s="2">
        <f>IF(LEN($CE$288)=0,"",IFERROR(MATCH($CE$288,$N$11:$N$32,0),""))</f>
        <v/>
      </c>
      <c r="P288" s="2">
        <f>IF(ISNUMBER($O$288),INDEX($AS$11:$AS$32,$O$288),'Campanha'!$B$20)</f>
        <v/>
      </c>
      <c r="Q288" s="2">
        <f>IF(ISNUMBER($N$288),$AQ$29,0)</f>
        <v/>
      </c>
      <c r="R288" s="2">
        <f>IF(LEN($CA$288)=0,"",IFERROR(MATCH($CA$288,'Dados'!$A$324:$A$339,0),""))</f>
        <v/>
      </c>
      <c r="S288" s="2">
        <f>IF(ISNUMBER($R$288),INDEX('Dados'!$F$324:$F$339,$R$288),"")</f>
        <v/>
      </c>
      <c r="T288" s="2">
        <f>IF(ISNUMBER($R$288),INDEX('Dados'!$G$324:$G$339,$R$288),"")</f>
        <v/>
      </c>
      <c r="U288" s="2">
        <f>IF(ISNUMBER($R$288),INDEX('Dados'!$H$324:$H$339,$R$288),"")</f>
        <v/>
      </c>
      <c r="V288" s="2">
        <f>IF(ISNUMBER($R$288),INDEX('Dados'!$I$324:$I$339,$R$288),"")</f>
        <v/>
      </c>
      <c r="W288" s="2">
        <f>IF(ISNUMBER($R$288),INDEX('Dados'!$J$324:$J$339,$R$288),"")</f>
        <v/>
      </c>
      <c r="X288" s="2">
        <f>IF(ISNUMBER($R$288),INDEX('Dados'!$K$324:$K$339,$R$288),"")</f>
        <v/>
      </c>
      <c r="Y288" s="2">
        <f>IF(ISNUMBER($R$288),INDEX('Dados'!$L$324:$L$339,$R$288),"")</f>
        <v/>
      </c>
      <c r="Z288" s="2">
        <f>IF(ISNUMBER($R$288),INDEX('Dados'!$M$324:$M$339,$R$288),"")</f>
        <v/>
      </c>
      <c r="AA288" s="2">
        <f>IF(ISNUMBER($R$288),INDEX('Dados'!$N$324:$N$339,$R$288),"")</f>
        <v/>
      </c>
      <c r="AB288" s="2">
        <f>IF(ISNUMBER($CD$288),MIN($Z$288,MAX(1,INT($CD$288))),1)</f>
        <v/>
      </c>
      <c r="AC288" s="2">
        <f>IF(ISNUMBER($R$288),INDEX('Dados'!$B$324:$B$339,$R$288),"")</f>
        <v/>
      </c>
      <c r="AD288" s="2">
        <f>IF(AND(ISNUMBER($R$288),LEN($N$29)&gt;0,$Q$29=1,NOT(IF(ISNUMBER($CC$288),$CC$288=0,FALSE))),1,0)</f>
        <v/>
      </c>
      <c r="AE288" s="2">
        <f>IF($AD$288=1,74,"")</f>
        <v/>
      </c>
      <c r="AF288" s="2">
        <f>IF(ISNUMBER($R$288),INDEX('Dados'!$C$324:$C$339,$R$288),"")</f>
        <v/>
      </c>
      <c r="AG288" s="2">
        <f>IF($AD$288=0,"",$AC$288&amp;IF($H$288&lt;&gt;$AC$288," · Agora: "&amp;$H$288,"")&amp;" (duração: "&amp;$AF$288&amp;")")</f>
        <v/>
      </c>
      <c r="AH288" s="2">
        <f>IF(AND(ISNUMBER($R$288),LEN($N$29)&gt;0),IF(IF(ISNUMBER($CC$288),$CC$288=0,FALSE),1,0),0)</f>
        <v/>
      </c>
      <c r="CA288" s="2">
        <f>IF(ISERROR($B$288),"",IF(ISBLANK($B$288),"",$B$288))</f>
        <v/>
      </c>
      <c r="CC288" s="2">
        <f>IF(ISERROR($D$288),"",IF(ISBLANK($D$288),"",$D$288))</f>
        <v/>
      </c>
      <c r="CD288" s="2">
        <f>IF(ISERROR($E$288),"",IF(ISBLANK($E$288),"",$E$288))</f>
        <v/>
      </c>
      <c r="CE288" s="2">
        <f>IF(ISERROR($F$288),"",IF(ISBLANK($F$288),"",$F$288))</f>
        <v/>
      </c>
      <c r="CJ288" s="2">
        <f>ISERROR($B$288)*1+ISERROR($D$288)*1+ISERROR($E$288)*1+ISERROR($F$288)*1</f>
        <v/>
      </c>
    </row>
    <row r="289" ht="60" customHeight="1">
      <c r="A289" s="31">
        <f>IF(LEN($N$29)&gt;0,$N$29,"19 · (vazio)")</f>
        <v/>
      </c>
      <c r="B289" s="4" t="n"/>
      <c r="C289" s="17" t="n"/>
      <c r="D289" s="16" t="n"/>
      <c r="E289" s="16" t="n"/>
      <c r="F289" s="4" t="n"/>
      <c r="G289" s="17" t="n"/>
      <c r="H289" s="5">
        <f>IF(NOT(ISNUMBER($R$289)),"",IF(IF(ISNUMBER($CC$289),$CC$289=0,FALSE),"EXPIRADA (0 turnos): já não vale; apague a condição",IF($W$289&gt;0,"Dano Contínuo: "&amp;MIN(INT($W$289*$Q$289/100),$X$289*$P$289)&amp;" por turno",IF($S$289&gt;0,IF($AA$289="Sim","Dano Contínuo: ","Dano: ")&amp;IF($U$289="Sim",$AB$289*$S$289,$S$289)&amp;"d"&amp;$T$289&amp;IF($V$289="Sim"," + "&amp;$P$289,"")&amp;" · média "&amp;(INT(IF($U$289="Sim",$AB$289*$S$289,$S$289)*($T$289+1)/2)+IF($V$289="Sim",$P$289,0)),$AC$289))&amp;IF($Y$289&gt;0,"; Atrasa "&amp;$Y$289&amp;" casa(s): some em Atraso deste Ciclo do alvo (C8)","")))</f>
        <v/>
      </c>
      <c r="K289" s="19">
        <f>IF(CJ289&gt;0,"O Google leu como fórmula: escolha de novo ou digite com ' na frente.",IF(LEN($CA$289)=0,"",IF(LEN($N$29)=0,"Combatente vazio: a condição não conta",IF(NOT(ISNUMBER($R$289)),"Condição fora do capítulo 21",IF($CA$289="Congelado","Congelado só em inimigo (21.2)",IF(IF(ISNUMBER($CC$289),$CC$289=0,FALSE),"Expirou: os turnos chegaram a 0 e ela saiu do painel",IF(AND(ISNUMBER($CD$289),$CD$289&gt;$Z$289),"Acima do teto de "&amp;$Z$289&amp;" acúmulo(s) (21.5): usando o teto",IF($AA$289="Sim","Dano Contínuo: início do turno do alvo; ignora RD, não crita, sem dados de Fraqueza (20.6)",""))))))))</f>
        <v/>
      </c>
      <c r="N289" s="2">
        <f>IF(LEN($N$29)=0,"",19)</f>
        <v/>
      </c>
      <c r="O289" s="2">
        <f>IF(LEN($CE$289)=0,"",IFERROR(MATCH($CE$289,$N$11:$N$32,0),""))</f>
        <v/>
      </c>
      <c r="P289" s="2">
        <f>IF(ISNUMBER($O$289),INDEX($AS$11:$AS$32,$O$289),'Campanha'!$B$20)</f>
        <v/>
      </c>
      <c r="Q289" s="2">
        <f>IF(ISNUMBER($N$289),$AQ$29,0)</f>
        <v/>
      </c>
      <c r="R289" s="2">
        <f>IF(LEN($CA$289)=0,"",IFERROR(MATCH($CA$289,'Dados'!$A$324:$A$339,0),""))</f>
        <v/>
      </c>
      <c r="S289" s="2">
        <f>IF(ISNUMBER($R$289),INDEX('Dados'!$F$324:$F$339,$R$289),"")</f>
        <v/>
      </c>
      <c r="T289" s="2">
        <f>IF(ISNUMBER($R$289),INDEX('Dados'!$G$324:$G$339,$R$289),"")</f>
        <v/>
      </c>
      <c r="U289" s="2">
        <f>IF(ISNUMBER($R$289),INDEX('Dados'!$H$324:$H$339,$R$289),"")</f>
        <v/>
      </c>
      <c r="V289" s="2">
        <f>IF(ISNUMBER($R$289),INDEX('Dados'!$I$324:$I$339,$R$289),"")</f>
        <v/>
      </c>
      <c r="W289" s="2">
        <f>IF(ISNUMBER($R$289),INDEX('Dados'!$J$324:$J$339,$R$289),"")</f>
        <v/>
      </c>
      <c r="X289" s="2">
        <f>IF(ISNUMBER($R$289),INDEX('Dados'!$K$324:$K$339,$R$289),"")</f>
        <v/>
      </c>
      <c r="Y289" s="2">
        <f>IF(ISNUMBER($R$289),INDEX('Dados'!$L$324:$L$339,$R$289),"")</f>
        <v/>
      </c>
      <c r="Z289" s="2">
        <f>IF(ISNUMBER($R$289),INDEX('Dados'!$M$324:$M$339,$R$289),"")</f>
        <v/>
      </c>
      <c r="AA289" s="2">
        <f>IF(ISNUMBER($R$289),INDEX('Dados'!$N$324:$N$339,$R$289),"")</f>
        <v/>
      </c>
      <c r="AB289" s="2">
        <f>IF(ISNUMBER($CD$289),MIN($Z$289,MAX(1,INT($CD$289))),1)</f>
        <v/>
      </c>
      <c r="AC289" s="2">
        <f>IF(ISNUMBER($R$289),INDEX('Dados'!$B$324:$B$339,$R$289),"")</f>
        <v/>
      </c>
      <c r="AD289" s="2">
        <f>IF(AND(ISNUMBER($R$289),LEN($N$29)&gt;0,$Q$29=1,NOT(IF(ISNUMBER($CC$289),$CC$289=0,FALSE))),1,0)</f>
        <v/>
      </c>
      <c r="AE289" s="2">
        <f>IF($AD$289=1,75,"")</f>
        <v/>
      </c>
      <c r="AF289" s="2">
        <f>IF(ISNUMBER($R$289),INDEX('Dados'!$C$324:$C$339,$R$289),"")</f>
        <v/>
      </c>
      <c r="AG289" s="2">
        <f>IF($AD$289=0,"",$AC$289&amp;IF($H$289&lt;&gt;$AC$289," · Agora: "&amp;$H$289,"")&amp;" (duração: "&amp;$AF$289&amp;")")</f>
        <v/>
      </c>
      <c r="AH289" s="2">
        <f>IF(AND(ISNUMBER($R$289),LEN($N$29)&gt;0),IF(IF(ISNUMBER($CC$289),$CC$289=0,FALSE),1,0),0)</f>
        <v/>
      </c>
      <c r="CA289" s="2">
        <f>IF(ISERROR($B$289),"",IF(ISBLANK($B$289),"",$B$289))</f>
        <v/>
      </c>
      <c r="CC289" s="2">
        <f>IF(ISERROR($D$289),"",IF(ISBLANK($D$289),"",$D$289))</f>
        <v/>
      </c>
      <c r="CD289" s="2">
        <f>IF(ISERROR($E$289),"",IF(ISBLANK($E$289),"",$E$289))</f>
        <v/>
      </c>
      <c r="CE289" s="2">
        <f>IF(ISERROR($F$289),"",IF(ISBLANK($F$289),"",$F$289))</f>
        <v/>
      </c>
      <c r="CJ289" s="2">
        <f>ISERROR($B$289)*1+ISERROR($D$289)*1+ISERROR($E$289)*1+ISERROR($F$289)*1</f>
        <v/>
      </c>
    </row>
    <row r="290" ht="60" customHeight="1">
      <c r="A290" s="43">
        <f>IF(LEN($N$29)&gt;0,$N$29,"19 · (vazio)")</f>
        <v/>
      </c>
      <c r="B290" s="29" t="n"/>
      <c r="C290" s="17" t="n"/>
      <c r="D290" s="37" t="n"/>
      <c r="E290" s="37" t="n"/>
      <c r="F290" s="29" t="n"/>
      <c r="G290" s="17" t="n"/>
      <c r="H290" s="10">
        <f>IF(NOT(ISNUMBER($R$290)),"",IF(IF(ISNUMBER($CC$290),$CC$290=0,FALSE),"EXPIRADA (0 turnos): já não vale; apague a condição",IF($W$290&gt;0,"Dano Contínuo: "&amp;MIN(INT($W$290*$Q$290/100),$X$290*$P$290)&amp;" por turno",IF($S$290&gt;0,IF($AA$290="Sim","Dano Contínuo: ","Dano: ")&amp;IF($U$290="Sim",$AB$290*$S$290,$S$290)&amp;"d"&amp;$T$290&amp;IF($V$290="Sim"," + "&amp;$P$290,"")&amp;" · média "&amp;(INT(IF($U$290="Sim",$AB$290*$S$290,$S$290)*($T$290+1)/2)+IF($V$290="Sim",$P$290,0)),$AC$290))&amp;IF($Y$290&gt;0,"; Atrasa "&amp;$Y$290&amp;" casa(s): some em Atraso deste Ciclo do alvo (C8)","")))</f>
        <v/>
      </c>
      <c r="K290" s="27">
        <f>IF(CJ290&gt;0,"O Google leu como fórmula: escolha de novo ou digite com ' na frente.",IF(LEN($CA$290)=0,"",IF(LEN($N$29)=0,"Combatente vazio: a condição não conta",IF(NOT(ISNUMBER($R$290)),"Condição fora do capítulo 21",IF($CA$290="Congelado","Congelado só em inimigo (21.2)",IF(IF(ISNUMBER($CC$290),$CC$290=0,FALSE),"Expirou: os turnos chegaram a 0 e ela saiu do painel",IF(AND(ISNUMBER($CD$290),$CD$290&gt;$Z$290),"Acima do teto de "&amp;$Z$290&amp;" acúmulo(s) (21.5): usando o teto",IF($AA$290="Sim","Dano Contínuo: início do turno do alvo; ignora RD, não crita, sem dados de Fraqueza (20.6)",""))))))))</f>
        <v/>
      </c>
      <c r="N290" s="2">
        <f>IF(LEN($N$29)=0,"",19)</f>
        <v/>
      </c>
      <c r="O290" s="2">
        <f>IF(LEN($CE$290)=0,"",IFERROR(MATCH($CE$290,$N$11:$N$32,0),""))</f>
        <v/>
      </c>
      <c r="P290" s="2">
        <f>IF(ISNUMBER($O$290),INDEX($AS$11:$AS$32,$O$290),'Campanha'!$B$20)</f>
        <v/>
      </c>
      <c r="Q290" s="2">
        <f>IF(ISNUMBER($N$290),$AQ$29,0)</f>
        <v/>
      </c>
      <c r="R290" s="2">
        <f>IF(LEN($CA$290)=0,"",IFERROR(MATCH($CA$290,'Dados'!$A$324:$A$339,0),""))</f>
        <v/>
      </c>
      <c r="S290" s="2">
        <f>IF(ISNUMBER($R$290),INDEX('Dados'!$F$324:$F$339,$R$290),"")</f>
        <v/>
      </c>
      <c r="T290" s="2">
        <f>IF(ISNUMBER($R$290),INDEX('Dados'!$G$324:$G$339,$R$290),"")</f>
        <v/>
      </c>
      <c r="U290" s="2">
        <f>IF(ISNUMBER($R$290),INDEX('Dados'!$H$324:$H$339,$R$290),"")</f>
        <v/>
      </c>
      <c r="V290" s="2">
        <f>IF(ISNUMBER($R$290),INDEX('Dados'!$I$324:$I$339,$R$290),"")</f>
        <v/>
      </c>
      <c r="W290" s="2">
        <f>IF(ISNUMBER($R$290),INDEX('Dados'!$J$324:$J$339,$R$290),"")</f>
        <v/>
      </c>
      <c r="X290" s="2">
        <f>IF(ISNUMBER($R$290),INDEX('Dados'!$K$324:$K$339,$R$290),"")</f>
        <v/>
      </c>
      <c r="Y290" s="2">
        <f>IF(ISNUMBER($R$290),INDEX('Dados'!$L$324:$L$339,$R$290),"")</f>
        <v/>
      </c>
      <c r="Z290" s="2">
        <f>IF(ISNUMBER($R$290),INDEX('Dados'!$M$324:$M$339,$R$290),"")</f>
        <v/>
      </c>
      <c r="AA290" s="2">
        <f>IF(ISNUMBER($R$290),INDEX('Dados'!$N$324:$N$339,$R$290),"")</f>
        <v/>
      </c>
      <c r="AB290" s="2">
        <f>IF(ISNUMBER($CD$290),MIN($Z$290,MAX(1,INT($CD$290))),1)</f>
        <v/>
      </c>
      <c r="AC290" s="2">
        <f>IF(ISNUMBER($R$290),INDEX('Dados'!$B$324:$B$339,$R$290),"")</f>
        <v/>
      </c>
      <c r="AD290" s="2">
        <f>IF(AND(ISNUMBER($R$290),LEN($N$29)&gt;0,$Q$29=1,NOT(IF(ISNUMBER($CC$290),$CC$290=0,FALSE))),1,0)</f>
        <v/>
      </c>
      <c r="AE290" s="2">
        <f>IF($AD$290=1,76,"")</f>
        <v/>
      </c>
      <c r="AF290" s="2">
        <f>IF(ISNUMBER($R$290),INDEX('Dados'!$C$324:$C$339,$R$290),"")</f>
        <v/>
      </c>
      <c r="AG290" s="2">
        <f>IF($AD$290=0,"",$AC$290&amp;IF($H$290&lt;&gt;$AC$290," · Agora: "&amp;$H$290,"")&amp;" (duração: "&amp;$AF$290&amp;")")</f>
        <v/>
      </c>
      <c r="AH290" s="2">
        <f>IF(AND(ISNUMBER($R$290),LEN($N$29)&gt;0),IF(IF(ISNUMBER($CC$290),$CC$290=0,FALSE),1,0),0)</f>
        <v/>
      </c>
      <c r="CA290" s="2">
        <f>IF(ISERROR($B$290),"",IF(ISBLANK($B$290),"",$B$290))</f>
        <v/>
      </c>
      <c r="CC290" s="2">
        <f>IF(ISERROR($D$290),"",IF(ISBLANK($D$290),"",$D$290))</f>
        <v/>
      </c>
      <c r="CD290" s="2">
        <f>IF(ISERROR($E$290),"",IF(ISBLANK($E$290),"",$E$290))</f>
        <v/>
      </c>
      <c r="CE290" s="2">
        <f>IF(ISERROR($F$290),"",IF(ISBLANK($F$290),"",$F$290))</f>
        <v/>
      </c>
      <c r="CJ290" s="2">
        <f>ISERROR($B$290)*1+ISERROR($D$290)*1+ISERROR($E$290)*1+ISERROR($F$290)*1</f>
        <v/>
      </c>
    </row>
    <row r="291" ht="60" customHeight="1">
      <c r="A291" s="31">
        <f>IF(LEN($N$30)&gt;0,$N$30,"20 · (vazio)")</f>
        <v/>
      </c>
      <c r="B291" s="4" t="n"/>
      <c r="C291" s="17" t="n"/>
      <c r="D291" s="16" t="n"/>
      <c r="E291" s="16" t="n"/>
      <c r="F291" s="4" t="n"/>
      <c r="G291" s="17" t="n"/>
      <c r="H291" s="5">
        <f>IF(NOT(ISNUMBER($R$291)),"",IF(IF(ISNUMBER($CC$291),$CC$291=0,FALSE),"EXPIRADA (0 turnos): já não vale; apague a condição",IF($W$291&gt;0,"Dano Contínuo: "&amp;MIN(INT($W$291*$Q$291/100),$X$291*$P$291)&amp;" por turno",IF($S$291&gt;0,IF($AA$291="Sim","Dano Contínuo: ","Dano: ")&amp;IF($U$291="Sim",$AB$291*$S$291,$S$291)&amp;"d"&amp;$T$291&amp;IF($V$291="Sim"," + "&amp;$P$291,"")&amp;" · média "&amp;(INT(IF($U$291="Sim",$AB$291*$S$291,$S$291)*($T$291+1)/2)+IF($V$291="Sim",$P$291,0)),$AC$291))&amp;IF($Y$291&gt;0,"; Atrasa "&amp;$Y$291&amp;" casa(s): some em Atraso deste Ciclo do alvo (C8)","")))</f>
        <v/>
      </c>
      <c r="K291" s="19">
        <f>IF(CJ291&gt;0,"O Google leu como fórmula: escolha de novo ou digite com ' na frente.",IF(LEN($CA$291)=0,"",IF(LEN($N$30)=0,"Combatente vazio: a condição não conta",IF(NOT(ISNUMBER($R$291)),"Condição fora do capítulo 21",IF($CA$291="Congelado","Congelado só em inimigo (21.2)",IF(IF(ISNUMBER($CC$291),$CC$291=0,FALSE),"Expirou: os turnos chegaram a 0 e ela saiu do painel",IF(AND(ISNUMBER($CD$291),$CD$291&gt;$Z$291),"Acima do teto de "&amp;$Z$291&amp;" acúmulo(s) (21.5): usando o teto",IF($AA$291="Sim","Dano Contínuo: início do turno do alvo; ignora RD, não crita, sem dados de Fraqueza (20.6)",""))))))))</f>
        <v/>
      </c>
      <c r="N291" s="2">
        <f>IF(LEN($N$30)=0,"",20)</f>
        <v/>
      </c>
      <c r="O291" s="2">
        <f>IF(LEN($CE$291)=0,"",IFERROR(MATCH($CE$291,$N$11:$N$32,0),""))</f>
        <v/>
      </c>
      <c r="P291" s="2">
        <f>IF(ISNUMBER($O$291),INDEX($AS$11:$AS$32,$O$291),'Campanha'!$B$20)</f>
        <v/>
      </c>
      <c r="Q291" s="2">
        <f>IF(ISNUMBER($N$291),$AQ$30,0)</f>
        <v/>
      </c>
      <c r="R291" s="2">
        <f>IF(LEN($CA$291)=0,"",IFERROR(MATCH($CA$291,'Dados'!$A$324:$A$339,0),""))</f>
        <v/>
      </c>
      <c r="S291" s="2">
        <f>IF(ISNUMBER($R$291),INDEX('Dados'!$F$324:$F$339,$R$291),"")</f>
        <v/>
      </c>
      <c r="T291" s="2">
        <f>IF(ISNUMBER($R$291),INDEX('Dados'!$G$324:$G$339,$R$291),"")</f>
        <v/>
      </c>
      <c r="U291" s="2">
        <f>IF(ISNUMBER($R$291),INDEX('Dados'!$H$324:$H$339,$R$291),"")</f>
        <v/>
      </c>
      <c r="V291" s="2">
        <f>IF(ISNUMBER($R$291),INDEX('Dados'!$I$324:$I$339,$R$291),"")</f>
        <v/>
      </c>
      <c r="W291" s="2">
        <f>IF(ISNUMBER($R$291),INDEX('Dados'!$J$324:$J$339,$R$291),"")</f>
        <v/>
      </c>
      <c r="X291" s="2">
        <f>IF(ISNUMBER($R$291),INDEX('Dados'!$K$324:$K$339,$R$291),"")</f>
        <v/>
      </c>
      <c r="Y291" s="2">
        <f>IF(ISNUMBER($R$291),INDEX('Dados'!$L$324:$L$339,$R$291),"")</f>
        <v/>
      </c>
      <c r="Z291" s="2">
        <f>IF(ISNUMBER($R$291),INDEX('Dados'!$M$324:$M$339,$R$291),"")</f>
        <v/>
      </c>
      <c r="AA291" s="2">
        <f>IF(ISNUMBER($R$291),INDEX('Dados'!$N$324:$N$339,$R$291),"")</f>
        <v/>
      </c>
      <c r="AB291" s="2">
        <f>IF(ISNUMBER($CD$291),MIN($Z$291,MAX(1,INT($CD$291))),1)</f>
        <v/>
      </c>
      <c r="AC291" s="2">
        <f>IF(ISNUMBER($R$291),INDEX('Dados'!$B$324:$B$339,$R$291),"")</f>
        <v/>
      </c>
      <c r="AD291" s="2">
        <f>IF(AND(ISNUMBER($R$291),LEN($N$30)&gt;0,$Q$30=1,NOT(IF(ISNUMBER($CC$291),$CC$291=0,FALSE))),1,0)</f>
        <v/>
      </c>
      <c r="AE291" s="2">
        <f>IF($AD$291=1,77,"")</f>
        <v/>
      </c>
      <c r="AF291" s="2">
        <f>IF(ISNUMBER($R$291),INDEX('Dados'!$C$324:$C$339,$R$291),"")</f>
        <v/>
      </c>
      <c r="AG291" s="2">
        <f>IF($AD$291=0,"",$AC$291&amp;IF($H$291&lt;&gt;$AC$291," · Agora: "&amp;$H$291,"")&amp;" (duração: "&amp;$AF$291&amp;")")</f>
        <v/>
      </c>
      <c r="AH291" s="2">
        <f>IF(AND(ISNUMBER($R$291),LEN($N$30)&gt;0),IF(IF(ISNUMBER($CC$291),$CC$291=0,FALSE),1,0),0)</f>
        <v/>
      </c>
      <c r="CA291" s="2">
        <f>IF(ISERROR($B$291),"",IF(ISBLANK($B$291),"",$B$291))</f>
        <v/>
      </c>
      <c r="CC291" s="2">
        <f>IF(ISERROR($D$291),"",IF(ISBLANK($D$291),"",$D$291))</f>
        <v/>
      </c>
      <c r="CD291" s="2">
        <f>IF(ISERROR($E$291),"",IF(ISBLANK($E$291),"",$E$291))</f>
        <v/>
      </c>
      <c r="CE291" s="2">
        <f>IF(ISERROR($F$291),"",IF(ISBLANK($F$291),"",$F$291))</f>
        <v/>
      </c>
      <c r="CJ291" s="2">
        <f>ISERROR($B$291)*1+ISERROR($D$291)*1+ISERROR($E$291)*1+ISERROR($F$291)*1</f>
        <v/>
      </c>
    </row>
    <row r="292" ht="60" customHeight="1">
      <c r="A292" s="43">
        <f>IF(LEN($N$30)&gt;0,$N$30,"20 · (vazio)")</f>
        <v/>
      </c>
      <c r="B292" s="29" t="n"/>
      <c r="C292" s="17" t="n"/>
      <c r="D292" s="37" t="n"/>
      <c r="E292" s="37" t="n"/>
      <c r="F292" s="29" t="n"/>
      <c r="G292" s="17" t="n"/>
      <c r="H292" s="10">
        <f>IF(NOT(ISNUMBER($R$292)),"",IF(IF(ISNUMBER($CC$292),$CC$292=0,FALSE),"EXPIRADA (0 turnos): já não vale; apague a condição",IF($W$292&gt;0,"Dano Contínuo: "&amp;MIN(INT($W$292*$Q$292/100),$X$292*$P$292)&amp;" por turno",IF($S$292&gt;0,IF($AA$292="Sim","Dano Contínuo: ","Dano: ")&amp;IF($U$292="Sim",$AB$292*$S$292,$S$292)&amp;"d"&amp;$T$292&amp;IF($V$292="Sim"," + "&amp;$P$292,"")&amp;" · média "&amp;(INT(IF($U$292="Sim",$AB$292*$S$292,$S$292)*($T$292+1)/2)+IF($V$292="Sim",$P$292,0)),$AC$292))&amp;IF($Y$292&gt;0,"; Atrasa "&amp;$Y$292&amp;" casa(s): some em Atraso deste Ciclo do alvo (C8)","")))</f>
        <v/>
      </c>
      <c r="K292" s="27">
        <f>IF(CJ292&gt;0,"O Google leu como fórmula: escolha de novo ou digite com ' na frente.",IF(LEN($CA$292)=0,"",IF(LEN($N$30)=0,"Combatente vazio: a condição não conta",IF(NOT(ISNUMBER($R$292)),"Condição fora do capítulo 21",IF($CA$292="Congelado","Congelado só em inimigo (21.2)",IF(IF(ISNUMBER($CC$292),$CC$292=0,FALSE),"Expirou: os turnos chegaram a 0 e ela saiu do painel",IF(AND(ISNUMBER($CD$292),$CD$292&gt;$Z$292),"Acima do teto de "&amp;$Z$292&amp;" acúmulo(s) (21.5): usando o teto",IF($AA$292="Sim","Dano Contínuo: início do turno do alvo; ignora RD, não crita, sem dados de Fraqueza (20.6)",""))))))))</f>
        <v/>
      </c>
      <c r="N292" s="2">
        <f>IF(LEN($N$30)=0,"",20)</f>
        <v/>
      </c>
      <c r="O292" s="2">
        <f>IF(LEN($CE$292)=0,"",IFERROR(MATCH($CE$292,$N$11:$N$32,0),""))</f>
        <v/>
      </c>
      <c r="P292" s="2">
        <f>IF(ISNUMBER($O$292),INDEX($AS$11:$AS$32,$O$292),'Campanha'!$B$20)</f>
        <v/>
      </c>
      <c r="Q292" s="2">
        <f>IF(ISNUMBER($N$292),$AQ$30,0)</f>
        <v/>
      </c>
      <c r="R292" s="2">
        <f>IF(LEN($CA$292)=0,"",IFERROR(MATCH($CA$292,'Dados'!$A$324:$A$339,0),""))</f>
        <v/>
      </c>
      <c r="S292" s="2">
        <f>IF(ISNUMBER($R$292),INDEX('Dados'!$F$324:$F$339,$R$292),"")</f>
        <v/>
      </c>
      <c r="T292" s="2">
        <f>IF(ISNUMBER($R$292),INDEX('Dados'!$G$324:$G$339,$R$292),"")</f>
        <v/>
      </c>
      <c r="U292" s="2">
        <f>IF(ISNUMBER($R$292),INDEX('Dados'!$H$324:$H$339,$R$292),"")</f>
        <v/>
      </c>
      <c r="V292" s="2">
        <f>IF(ISNUMBER($R$292),INDEX('Dados'!$I$324:$I$339,$R$292),"")</f>
        <v/>
      </c>
      <c r="W292" s="2">
        <f>IF(ISNUMBER($R$292),INDEX('Dados'!$J$324:$J$339,$R$292),"")</f>
        <v/>
      </c>
      <c r="X292" s="2">
        <f>IF(ISNUMBER($R$292),INDEX('Dados'!$K$324:$K$339,$R$292),"")</f>
        <v/>
      </c>
      <c r="Y292" s="2">
        <f>IF(ISNUMBER($R$292),INDEX('Dados'!$L$324:$L$339,$R$292),"")</f>
        <v/>
      </c>
      <c r="Z292" s="2">
        <f>IF(ISNUMBER($R$292),INDEX('Dados'!$M$324:$M$339,$R$292),"")</f>
        <v/>
      </c>
      <c r="AA292" s="2">
        <f>IF(ISNUMBER($R$292),INDEX('Dados'!$N$324:$N$339,$R$292),"")</f>
        <v/>
      </c>
      <c r="AB292" s="2">
        <f>IF(ISNUMBER($CD$292),MIN($Z$292,MAX(1,INT($CD$292))),1)</f>
        <v/>
      </c>
      <c r="AC292" s="2">
        <f>IF(ISNUMBER($R$292),INDEX('Dados'!$B$324:$B$339,$R$292),"")</f>
        <v/>
      </c>
      <c r="AD292" s="2">
        <f>IF(AND(ISNUMBER($R$292),LEN($N$30)&gt;0,$Q$30=1,NOT(IF(ISNUMBER($CC$292),$CC$292=0,FALSE))),1,0)</f>
        <v/>
      </c>
      <c r="AE292" s="2">
        <f>IF($AD$292=1,78,"")</f>
        <v/>
      </c>
      <c r="AF292" s="2">
        <f>IF(ISNUMBER($R$292),INDEX('Dados'!$C$324:$C$339,$R$292),"")</f>
        <v/>
      </c>
      <c r="AG292" s="2">
        <f>IF($AD$292=0,"",$AC$292&amp;IF($H$292&lt;&gt;$AC$292," · Agora: "&amp;$H$292,"")&amp;" (duração: "&amp;$AF$292&amp;")")</f>
        <v/>
      </c>
      <c r="AH292" s="2">
        <f>IF(AND(ISNUMBER($R$292),LEN($N$30)&gt;0),IF(IF(ISNUMBER($CC$292),$CC$292=0,FALSE),1,0),0)</f>
        <v/>
      </c>
      <c r="CA292" s="2">
        <f>IF(ISERROR($B$292),"",IF(ISBLANK($B$292),"",$B$292))</f>
        <v/>
      </c>
      <c r="CC292" s="2">
        <f>IF(ISERROR($D$292),"",IF(ISBLANK($D$292),"",$D$292))</f>
        <v/>
      </c>
      <c r="CD292" s="2">
        <f>IF(ISERROR($E$292),"",IF(ISBLANK($E$292),"",$E$292))</f>
        <v/>
      </c>
      <c r="CE292" s="2">
        <f>IF(ISERROR($F$292),"",IF(ISBLANK($F$292),"",$F$292))</f>
        <v/>
      </c>
      <c r="CJ292" s="2">
        <f>ISERROR($B$292)*1+ISERROR($D$292)*1+ISERROR($E$292)*1+ISERROR($F$292)*1</f>
        <v/>
      </c>
    </row>
    <row r="293" ht="60" customHeight="1">
      <c r="A293" s="31">
        <f>IF(LEN($N$30)&gt;0,$N$30,"20 · (vazio)")</f>
        <v/>
      </c>
      <c r="B293" s="4" t="n"/>
      <c r="C293" s="17" t="n"/>
      <c r="D293" s="16" t="n"/>
      <c r="E293" s="16" t="n"/>
      <c r="F293" s="4" t="n"/>
      <c r="G293" s="17" t="n"/>
      <c r="H293" s="5">
        <f>IF(NOT(ISNUMBER($R$293)),"",IF(IF(ISNUMBER($CC$293),$CC$293=0,FALSE),"EXPIRADA (0 turnos): já não vale; apague a condição",IF($W$293&gt;0,"Dano Contínuo: "&amp;MIN(INT($W$293*$Q$293/100),$X$293*$P$293)&amp;" por turno",IF($S$293&gt;0,IF($AA$293="Sim","Dano Contínuo: ","Dano: ")&amp;IF($U$293="Sim",$AB$293*$S$293,$S$293)&amp;"d"&amp;$T$293&amp;IF($V$293="Sim"," + "&amp;$P$293,"")&amp;" · média "&amp;(INT(IF($U$293="Sim",$AB$293*$S$293,$S$293)*($T$293+1)/2)+IF($V$293="Sim",$P$293,0)),$AC$293))&amp;IF($Y$293&gt;0,"; Atrasa "&amp;$Y$293&amp;" casa(s): some em Atraso deste Ciclo do alvo (C8)","")))</f>
        <v/>
      </c>
      <c r="K293" s="19">
        <f>IF(CJ293&gt;0,"O Google leu como fórmula: escolha de novo ou digite com ' na frente.",IF(LEN($CA$293)=0,"",IF(LEN($N$30)=0,"Combatente vazio: a condição não conta",IF(NOT(ISNUMBER($R$293)),"Condição fora do capítulo 21",IF($CA$293="Congelado","Congelado só em inimigo (21.2)",IF(IF(ISNUMBER($CC$293),$CC$293=0,FALSE),"Expirou: os turnos chegaram a 0 e ela saiu do painel",IF(AND(ISNUMBER($CD$293),$CD$293&gt;$Z$293),"Acima do teto de "&amp;$Z$293&amp;" acúmulo(s) (21.5): usando o teto",IF($AA$293="Sim","Dano Contínuo: início do turno do alvo; ignora RD, não crita, sem dados de Fraqueza (20.6)",""))))))))</f>
        <v/>
      </c>
      <c r="N293" s="2">
        <f>IF(LEN($N$30)=0,"",20)</f>
        <v/>
      </c>
      <c r="O293" s="2">
        <f>IF(LEN($CE$293)=0,"",IFERROR(MATCH($CE$293,$N$11:$N$32,0),""))</f>
        <v/>
      </c>
      <c r="P293" s="2">
        <f>IF(ISNUMBER($O$293),INDEX($AS$11:$AS$32,$O$293),'Campanha'!$B$20)</f>
        <v/>
      </c>
      <c r="Q293" s="2">
        <f>IF(ISNUMBER($N$293),$AQ$30,0)</f>
        <v/>
      </c>
      <c r="R293" s="2">
        <f>IF(LEN($CA$293)=0,"",IFERROR(MATCH($CA$293,'Dados'!$A$324:$A$339,0),""))</f>
        <v/>
      </c>
      <c r="S293" s="2">
        <f>IF(ISNUMBER($R$293),INDEX('Dados'!$F$324:$F$339,$R$293),"")</f>
        <v/>
      </c>
      <c r="T293" s="2">
        <f>IF(ISNUMBER($R$293),INDEX('Dados'!$G$324:$G$339,$R$293),"")</f>
        <v/>
      </c>
      <c r="U293" s="2">
        <f>IF(ISNUMBER($R$293),INDEX('Dados'!$H$324:$H$339,$R$293),"")</f>
        <v/>
      </c>
      <c r="V293" s="2">
        <f>IF(ISNUMBER($R$293),INDEX('Dados'!$I$324:$I$339,$R$293),"")</f>
        <v/>
      </c>
      <c r="W293" s="2">
        <f>IF(ISNUMBER($R$293),INDEX('Dados'!$J$324:$J$339,$R$293),"")</f>
        <v/>
      </c>
      <c r="X293" s="2">
        <f>IF(ISNUMBER($R$293),INDEX('Dados'!$K$324:$K$339,$R$293),"")</f>
        <v/>
      </c>
      <c r="Y293" s="2">
        <f>IF(ISNUMBER($R$293),INDEX('Dados'!$L$324:$L$339,$R$293),"")</f>
        <v/>
      </c>
      <c r="Z293" s="2">
        <f>IF(ISNUMBER($R$293),INDEX('Dados'!$M$324:$M$339,$R$293),"")</f>
        <v/>
      </c>
      <c r="AA293" s="2">
        <f>IF(ISNUMBER($R$293),INDEX('Dados'!$N$324:$N$339,$R$293),"")</f>
        <v/>
      </c>
      <c r="AB293" s="2">
        <f>IF(ISNUMBER($CD$293),MIN($Z$293,MAX(1,INT($CD$293))),1)</f>
        <v/>
      </c>
      <c r="AC293" s="2">
        <f>IF(ISNUMBER($R$293),INDEX('Dados'!$B$324:$B$339,$R$293),"")</f>
        <v/>
      </c>
      <c r="AD293" s="2">
        <f>IF(AND(ISNUMBER($R$293),LEN($N$30)&gt;0,$Q$30=1,NOT(IF(ISNUMBER($CC$293),$CC$293=0,FALSE))),1,0)</f>
        <v/>
      </c>
      <c r="AE293" s="2">
        <f>IF($AD$293=1,79,"")</f>
        <v/>
      </c>
      <c r="AF293" s="2">
        <f>IF(ISNUMBER($R$293),INDEX('Dados'!$C$324:$C$339,$R$293),"")</f>
        <v/>
      </c>
      <c r="AG293" s="2">
        <f>IF($AD$293=0,"",$AC$293&amp;IF($H$293&lt;&gt;$AC$293," · Agora: "&amp;$H$293,"")&amp;" (duração: "&amp;$AF$293&amp;")")</f>
        <v/>
      </c>
      <c r="AH293" s="2">
        <f>IF(AND(ISNUMBER($R$293),LEN($N$30)&gt;0),IF(IF(ISNUMBER($CC$293),$CC$293=0,FALSE),1,0),0)</f>
        <v/>
      </c>
      <c r="CA293" s="2">
        <f>IF(ISERROR($B$293),"",IF(ISBLANK($B$293),"",$B$293))</f>
        <v/>
      </c>
      <c r="CC293" s="2">
        <f>IF(ISERROR($D$293),"",IF(ISBLANK($D$293),"",$D$293))</f>
        <v/>
      </c>
      <c r="CD293" s="2">
        <f>IF(ISERROR($E$293),"",IF(ISBLANK($E$293),"",$E$293))</f>
        <v/>
      </c>
      <c r="CE293" s="2">
        <f>IF(ISERROR($F$293),"",IF(ISBLANK($F$293),"",$F$293))</f>
        <v/>
      </c>
      <c r="CJ293" s="2">
        <f>ISERROR($B$293)*1+ISERROR($D$293)*1+ISERROR($E$293)*1+ISERROR($F$293)*1</f>
        <v/>
      </c>
    </row>
    <row r="294" ht="60" customHeight="1">
      <c r="A294" s="43">
        <f>IF(LEN($N$30)&gt;0,$N$30,"20 · (vazio)")</f>
        <v/>
      </c>
      <c r="B294" s="29" t="n"/>
      <c r="C294" s="17" t="n"/>
      <c r="D294" s="37" t="n"/>
      <c r="E294" s="37" t="n"/>
      <c r="F294" s="29" t="n"/>
      <c r="G294" s="17" t="n"/>
      <c r="H294" s="10">
        <f>IF(NOT(ISNUMBER($R$294)),"",IF(IF(ISNUMBER($CC$294),$CC$294=0,FALSE),"EXPIRADA (0 turnos): já não vale; apague a condição",IF($W$294&gt;0,"Dano Contínuo: "&amp;MIN(INT($W$294*$Q$294/100),$X$294*$P$294)&amp;" por turno",IF($S$294&gt;0,IF($AA$294="Sim","Dano Contínuo: ","Dano: ")&amp;IF($U$294="Sim",$AB$294*$S$294,$S$294)&amp;"d"&amp;$T$294&amp;IF($V$294="Sim"," + "&amp;$P$294,"")&amp;" · média "&amp;(INT(IF($U$294="Sim",$AB$294*$S$294,$S$294)*($T$294+1)/2)+IF($V$294="Sim",$P$294,0)),$AC$294))&amp;IF($Y$294&gt;0,"; Atrasa "&amp;$Y$294&amp;" casa(s): some em Atraso deste Ciclo do alvo (C8)","")))</f>
        <v/>
      </c>
      <c r="K294" s="27">
        <f>IF(CJ294&gt;0,"O Google leu como fórmula: escolha de novo ou digite com ' na frente.",IF(LEN($CA$294)=0,"",IF(LEN($N$30)=0,"Combatente vazio: a condição não conta",IF(NOT(ISNUMBER($R$294)),"Condição fora do capítulo 21",IF($CA$294="Congelado","Congelado só em inimigo (21.2)",IF(IF(ISNUMBER($CC$294),$CC$294=0,FALSE),"Expirou: os turnos chegaram a 0 e ela saiu do painel",IF(AND(ISNUMBER($CD$294),$CD$294&gt;$Z$294),"Acima do teto de "&amp;$Z$294&amp;" acúmulo(s) (21.5): usando o teto",IF($AA$294="Sim","Dano Contínuo: início do turno do alvo; ignora RD, não crita, sem dados de Fraqueza (20.6)",""))))))))</f>
        <v/>
      </c>
      <c r="N294" s="2">
        <f>IF(LEN($N$30)=0,"",20)</f>
        <v/>
      </c>
      <c r="O294" s="2">
        <f>IF(LEN($CE$294)=0,"",IFERROR(MATCH($CE$294,$N$11:$N$32,0),""))</f>
        <v/>
      </c>
      <c r="P294" s="2">
        <f>IF(ISNUMBER($O$294),INDEX($AS$11:$AS$32,$O$294),'Campanha'!$B$20)</f>
        <v/>
      </c>
      <c r="Q294" s="2">
        <f>IF(ISNUMBER($N$294),$AQ$30,0)</f>
        <v/>
      </c>
      <c r="R294" s="2">
        <f>IF(LEN($CA$294)=0,"",IFERROR(MATCH($CA$294,'Dados'!$A$324:$A$339,0),""))</f>
        <v/>
      </c>
      <c r="S294" s="2">
        <f>IF(ISNUMBER($R$294),INDEX('Dados'!$F$324:$F$339,$R$294),"")</f>
        <v/>
      </c>
      <c r="T294" s="2">
        <f>IF(ISNUMBER($R$294),INDEX('Dados'!$G$324:$G$339,$R$294),"")</f>
        <v/>
      </c>
      <c r="U294" s="2">
        <f>IF(ISNUMBER($R$294),INDEX('Dados'!$H$324:$H$339,$R$294),"")</f>
        <v/>
      </c>
      <c r="V294" s="2">
        <f>IF(ISNUMBER($R$294),INDEX('Dados'!$I$324:$I$339,$R$294),"")</f>
        <v/>
      </c>
      <c r="W294" s="2">
        <f>IF(ISNUMBER($R$294),INDEX('Dados'!$J$324:$J$339,$R$294),"")</f>
        <v/>
      </c>
      <c r="X294" s="2">
        <f>IF(ISNUMBER($R$294),INDEX('Dados'!$K$324:$K$339,$R$294),"")</f>
        <v/>
      </c>
      <c r="Y294" s="2">
        <f>IF(ISNUMBER($R$294),INDEX('Dados'!$L$324:$L$339,$R$294),"")</f>
        <v/>
      </c>
      <c r="Z294" s="2">
        <f>IF(ISNUMBER($R$294),INDEX('Dados'!$M$324:$M$339,$R$294),"")</f>
        <v/>
      </c>
      <c r="AA294" s="2">
        <f>IF(ISNUMBER($R$294),INDEX('Dados'!$N$324:$N$339,$R$294),"")</f>
        <v/>
      </c>
      <c r="AB294" s="2">
        <f>IF(ISNUMBER($CD$294),MIN($Z$294,MAX(1,INT($CD$294))),1)</f>
        <v/>
      </c>
      <c r="AC294" s="2">
        <f>IF(ISNUMBER($R$294),INDEX('Dados'!$B$324:$B$339,$R$294),"")</f>
        <v/>
      </c>
      <c r="AD294" s="2">
        <f>IF(AND(ISNUMBER($R$294),LEN($N$30)&gt;0,$Q$30=1,NOT(IF(ISNUMBER($CC$294),$CC$294=0,FALSE))),1,0)</f>
        <v/>
      </c>
      <c r="AE294" s="2">
        <f>IF($AD$294=1,80,"")</f>
        <v/>
      </c>
      <c r="AF294" s="2">
        <f>IF(ISNUMBER($R$294),INDEX('Dados'!$C$324:$C$339,$R$294),"")</f>
        <v/>
      </c>
      <c r="AG294" s="2">
        <f>IF($AD$294=0,"",$AC$294&amp;IF($H$294&lt;&gt;$AC$294," · Agora: "&amp;$H$294,"")&amp;" (duração: "&amp;$AF$294&amp;")")</f>
        <v/>
      </c>
      <c r="AH294" s="2">
        <f>IF(AND(ISNUMBER($R$294),LEN($N$30)&gt;0),IF(IF(ISNUMBER($CC$294),$CC$294=0,FALSE),1,0),0)</f>
        <v/>
      </c>
      <c r="CA294" s="2">
        <f>IF(ISERROR($B$294),"",IF(ISBLANK($B$294),"",$B$294))</f>
        <v/>
      </c>
      <c r="CC294" s="2">
        <f>IF(ISERROR($D$294),"",IF(ISBLANK($D$294),"",$D$294))</f>
        <v/>
      </c>
      <c r="CD294" s="2">
        <f>IF(ISERROR($E$294),"",IF(ISBLANK($E$294),"",$E$294))</f>
        <v/>
      </c>
      <c r="CE294" s="2">
        <f>IF(ISERROR($F$294),"",IF(ISBLANK($F$294),"",$F$294))</f>
        <v/>
      </c>
      <c r="CJ294" s="2">
        <f>ISERROR($B$294)*1+ISERROR($D$294)*1+ISERROR($E$294)*1+ISERROR($F$294)*1</f>
        <v/>
      </c>
    </row>
    <row r="295" ht="60" customHeight="1">
      <c r="A295" s="31">
        <f>IF(LEN($N$31)&gt;0,$N$31,"21 · (vazio)")</f>
        <v/>
      </c>
      <c r="B295" s="4" t="n"/>
      <c r="C295" s="17" t="n"/>
      <c r="D295" s="16" t="n"/>
      <c r="E295" s="16" t="n"/>
      <c r="F295" s="4" t="n"/>
      <c r="G295" s="17" t="n"/>
      <c r="H295" s="5">
        <f>IF(NOT(ISNUMBER($R$295)),"",IF(IF(ISNUMBER($CC$295),$CC$295=0,FALSE),"EXPIRADA (0 turnos): já não vale; apague a condição",IF($W$295&gt;0,"Dano Contínuo: "&amp;MIN(INT($W$295*$Q$295/100),$X$295*$P$295)&amp;" por turno",IF($S$295&gt;0,IF($AA$295="Sim","Dano Contínuo: ","Dano: ")&amp;IF($U$295="Sim",$AB$295*$S$295,$S$295)&amp;"d"&amp;$T$295&amp;IF($V$295="Sim"," + "&amp;$P$295,"")&amp;" · média "&amp;(INT(IF($U$295="Sim",$AB$295*$S$295,$S$295)*($T$295+1)/2)+IF($V$295="Sim",$P$295,0)),$AC$295))&amp;IF($Y$295&gt;0,"; Atrasa "&amp;$Y$295&amp;" casa(s): some em Atraso deste Ciclo do alvo (C8)","")))</f>
        <v/>
      </c>
      <c r="K295" s="19">
        <f>IF(CJ295&gt;0,"O Google leu como fórmula: escolha de novo ou digite com ' na frente.",IF(LEN($CA$295)=0,"",IF(LEN($N$31)=0,"Combatente vazio: a condição não conta",IF(NOT(ISNUMBER($R$295)),"Condição fora do capítulo 21",IF($CA$295="Congelado","Congelado só em inimigo (21.2)",IF(IF(ISNUMBER($CC$295),$CC$295=0,FALSE),"Expirou: os turnos chegaram a 0 e ela saiu do painel",IF(AND(ISNUMBER($CD$295),$CD$295&gt;$Z$295),"Acima do teto de "&amp;$Z$295&amp;" acúmulo(s) (21.5): usando o teto",IF($AA$295="Sim","Dano Contínuo: início do turno do alvo; ignora RD, não crita, sem dados de Fraqueza (20.6)",""))))))))</f>
        <v/>
      </c>
      <c r="N295" s="2">
        <f>IF(LEN($N$31)=0,"",21)</f>
        <v/>
      </c>
      <c r="O295" s="2">
        <f>IF(LEN($CE$295)=0,"",IFERROR(MATCH($CE$295,$N$11:$N$32,0),""))</f>
        <v/>
      </c>
      <c r="P295" s="2">
        <f>IF(ISNUMBER($O$295),INDEX($AS$11:$AS$32,$O$295),'Campanha'!$B$20)</f>
        <v/>
      </c>
      <c r="Q295" s="2">
        <f>IF(ISNUMBER($N$295),$AQ$31,0)</f>
        <v/>
      </c>
      <c r="R295" s="2">
        <f>IF(LEN($CA$295)=0,"",IFERROR(MATCH($CA$295,'Dados'!$A$324:$A$339,0),""))</f>
        <v/>
      </c>
      <c r="S295" s="2">
        <f>IF(ISNUMBER($R$295),INDEX('Dados'!$F$324:$F$339,$R$295),"")</f>
        <v/>
      </c>
      <c r="T295" s="2">
        <f>IF(ISNUMBER($R$295),INDEX('Dados'!$G$324:$G$339,$R$295),"")</f>
        <v/>
      </c>
      <c r="U295" s="2">
        <f>IF(ISNUMBER($R$295),INDEX('Dados'!$H$324:$H$339,$R$295),"")</f>
        <v/>
      </c>
      <c r="V295" s="2">
        <f>IF(ISNUMBER($R$295),INDEX('Dados'!$I$324:$I$339,$R$295),"")</f>
        <v/>
      </c>
      <c r="W295" s="2">
        <f>IF(ISNUMBER($R$295),INDEX('Dados'!$J$324:$J$339,$R$295),"")</f>
        <v/>
      </c>
      <c r="X295" s="2">
        <f>IF(ISNUMBER($R$295),INDEX('Dados'!$K$324:$K$339,$R$295),"")</f>
        <v/>
      </c>
      <c r="Y295" s="2">
        <f>IF(ISNUMBER($R$295),INDEX('Dados'!$L$324:$L$339,$R$295),"")</f>
        <v/>
      </c>
      <c r="Z295" s="2">
        <f>IF(ISNUMBER($R$295),INDEX('Dados'!$M$324:$M$339,$R$295),"")</f>
        <v/>
      </c>
      <c r="AA295" s="2">
        <f>IF(ISNUMBER($R$295),INDEX('Dados'!$N$324:$N$339,$R$295),"")</f>
        <v/>
      </c>
      <c r="AB295" s="2">
        <f>IF(ISNUMBER($CD$295),MIN($Z$295,MAX(1,INT($CD$295))),1)</f>
        <v/>
      </c>
      <c r="AC295" s="2">
        <f>IF(ISNUMBER($R$295),INDEX('Dados'!$B$324:$B$339,$R$295),"")</f>
        <v/>
      </c>
      <c r="AD295" s="2">
        <f>IF(AND(ISNUMBER($R$295),LEN($N$31)&gt;0,$Q$31=1,NOT(IF(ISNUMBER($CC$295),$CC$295=0,FALSE))),1,0)</f>
        <v/>
      </c>
      <c r="AE295" s="2">
        <f>IF($AD$295=1,81,"")</f>
        <v/>
      </c>
      <c r="AF295" s="2">
        <f>IF(ISNUMBER($R$295),INDEX('Dados'!$C$324:$C$339,$R$295),"")</f>
        <v/>
      </c>
      <c r="AG295" s="2">
        <f>IF($AD$295=0,"",$AC$295&amp;IF($H$295&lt;&gt;$AC$295," · Agora: "&amp;$H$295,"")&amp;" (duração: "&amp;$AF$295&amp;")")</f>
        <v/>
      </c>
      <c r="AH295" s="2">
        <f>IF(AND(ISNUMBER($R$295),LEN($N$31)&gt;0),IF(IF(ISNUMBER($CC$295),$CC$295=0,FALSE),1,0),0)</f>
        <v/>
      </c>
      <c r="CA295" s="2">
        <f>IF(ISERROR($B$295),"",IF(ISBLANK($B$295),"",$B$295))</f>
        <v/>
      </c>
      <c r="CC295" s="2">
        <f>IF(ISERROR($D$295),"",IF(ISBLANK($D$295),"",$D$295))</f>
        <v/>
      </c>
      <c r="CD295" s="2">
        <f>IF(ISERROR($E$295),"",IF(ISBLANK($E$295),"",$E$295))</f>
        <v/>
      </c>
      <c r="CE295" s="2">
        <f>IF(ISERROR($F$295),"",IF(ISBLANK($F$295),"",$F$295))</f>
        <v/>
      </c>
      <c r="CJ295" s="2">
        <f>ISERROR($B$295)*1+ISERROR($D$295)*1+ISERROR($E$295)*1+ISERROR($F$295)*1</f>
        <v/>
      </c>
    </row>
    <row r="296" ht="60" customHeight="1">
      <c r="A296" s="43">
        <f>IF(LEN($N$31)&gt;0,$N$31,"21 · (vazio)")</f>
        <v/>
      </c>
      <c r="B296" s="29" t="n"/>
      <c r="C296" s="17" t="n"/>
      <c r="D296" s="37" t="n"/>
      <c r="E296" s="37" t="n"/>
      <c r="F296" s="29" t="n"/>
      <c r="G296" s="17" t="n"/>
      <c r="H296" s="10">
        <f>IF(NOT(ISNUMBER($R$296)),"",IF(IF(ISNUMBER($CC$296),$CC$296=0,FALSE),"EXPIRADA (0 turnos): já não vale; apague a condição",IF($W$296&gt;0,"Dano Contínuo: "&amp;MIN(INT($W$296*$Q$296/100),$X$296*$P$296)&amp;" por turno",IF($S$296&gt;0,IF($AA$296="Sim","Dano Contínuo: ","Dano: ")&amp;IF($U$296="Sim",$AB$296*$S$296,$S$296)&amp;"d"&amp;$T$296&amp;IF($V$296="Sim"," + "&amp;$P$296,"")&amp;" · média "&amp;(INT(IF($U$296="Sim",$AB$296*$S$296,$S$296)*($T$296+1)/2)+IF($V$296="Sim",$P$296,0)),$AC$296))&amp;IF($Y$296&gt;0,"; Atrasa "&amp;$Y$296&amp;" casa(s): some em Atraso deste Ciclo do alvo (C8)","")))</f>
        <v/>
      </c>
      <c r="K296" s="27">
        <f>IF(CJ296&gt;0,"O Google leu como fórmula: escolha de novo ou digite com ' na frente.",IF(LEN($CA$296)=0,"",IF(LEN($N$31)=0,"Combatente vazio: a condição não conta",IF(NOT(ISNUMBER($R$296)),"Condição fora do capítulo 21",IF($CA$296="Congelado","Congelado só em inimigo (21.2)",IF(IF(ISNUMBER($CC$296),$CC$296=0,FALSE),"Expirou: os turnos chegaram a 0 e ela saiu do painel",IF(AND(ISNUMBER($CD$296),$CD$296&gt;$Z$296),"Acima do teto de "&amp;$Z$296&amp;" acúmulo(s) (21.5): usando o teto",IF($AA$296="Sim","Dano Contínuo: início do turno do alvo; ignora RD, não crita, sem dados de Fraqueza (20.6)",""))))))))</f>
        <v/>
      </c>
      <c r="N296" s="2">
        <f>IF(LEN($N$31)=0,"",21)</f>
        <v/>
      </c>
      <c r="O296" s="2">
        <f>IF(LEN($CE$296)=0,"",IFERROR(MATCH($CE$296,$N$11:$N$32,0),""))</f>
        <v/>
      </c>
      <c r="P296" s="2">
        <f>IF(ISNUMBER($O$296),INDEX($AS$11:$AS$32,$O$296),'Campanha'!$B$20)</f>
        <v/>
      </c>
      <c r="Q296" s="2">
        <f>IF(ISNUMBER($N$296),$AQ$31,0)</f>
        <v/>
      </c>
      <c r="R296" s="2">
        <f>IF(LEN($CA$296)=0,"",IFERROR(MATCH($CA$296,'Dados'!$A$324:$A$339,0),""))</f>
        <v/>
      </c>
      <c r="S296" s="2">
        <f>IF(ISNUMBER($R$296),INDEX('Dados'!$F$324:$F$339,$R$296),"")</f>
        <v/>
      </c>
      <c r="T296" s="2">
        <f>IF(ISNUMBER($R$296),INDEX('Dados'!$G$324:$G$339,$R$296),"")</f>
        <v/>
      </c>
      <c r="U296" s="2">
        <f>IF(ISNUMBER($R$296),INDEX('Dados'!$H$324:$H$339,$R$296),"")</f>
        <v/>
      </c>
      <c r="V296" s="2">
        <f>IF(ISNUMBER($R$296),INDEX('Dados'!$I$324:$I$339,$R$296),"")</f>
        <v/>
      </c>
      <c r="W296" s="2">
        <f>IF(ISNUMBER($R$296),INDEX('Dados'!$J$324:$J$339,$R$296),"")</f>
        <v/>
      </c>
      <c r="X296" s="2">
        <f>IF(ISNUMBER($R$296),INDEX('Dados'!$K$324:$K$339,$R$296),"")</f>
        <v/>
      </c>
      <c r="Y296" s="2">
        <f>IF(ISNUMBER($R$296),INDEX('Dados'!$L$324:$L$339,$R$296),"")</f>
        <v/>
      </c>
      <c r="Z296" s="2">
        <f>IF(ISNUMBER($R$296),INDEX('Dados'!$M$324:$M$339,$R$296),"")</f>
        <v/>
      </c>
      <c r="AA296" s="2">
        <f>IF(ISNUMBER($R$296),INDEX('Dados'!$N$324:$N$339,$R$296),"")</f>
        <v/>
      </c>
      <c r="AB296" s="2">
        <f>IF(ISNUMBER($CD$296),MIN($Z$296,MAX(1,INT($CD$296))),1)</f>
        <v/>
      </c>
      <c r="AC296" s="2">
        <f>IF(ISNUMBER($R$296),INDEX('Dados'!$B$324:$B$339,$R$296),"")</f>
        <v/>
      </c>
      <c r="AD296" s="2">
        <f>IF(AND(ISNUMBER($R$296),LEN($N$31)&gt;0,$Q$31=1,NOT(IF(ISNUMBER($CC$296),$CC$296=0,FALSE))),1,0)</f>
        <v/>
      </c>
      <c r="AE296" s="2">
        <f>IF($AD$296=1,82,"")</f>
        <v/>
      </c>
      <c r="AF296" s="2">
        <f>IF(ISNUMBER($R$296),INDEX('Dados'!$C$324:$C$339,$R$296),"")</f>
        <v/>
      </c>
      <c r="AG296" s="2">
        <f>IF($AD$296=0,"",$AC$296&amp;IF($H$296&lt;&gt;$AC$296," · Agora: "&amp;$H$296,"")&amp;" (duração: "&amp;$AF$296&amp;")")</f>
        <v/>
      </c>
      <c r="AH296" s="2">
        <f>IF(AND(ISNUMBER($R$296),LEN($N$31)&gt;0),IF(IF(ISNUMBER($CC$296),$CC$296=0,FALSE),1,0),0)</f>
        <v/>
      </c>
      <c r="CA296" s="2">
        <f>IF(ISERROR($B$296),"",IF(ISBLANK($B$296),"",$B$296))</f>
        <v/>
      </c>
      <c r="CC296" s="2">
        <f>IF(ISERROR($D$296),"",IF(ISBLANK($D$296),"",$D$296))</f>
        <v/>
      </c>
      <c r="CD296" s="2">
        <f>IF(ISERROR($E$296),"",IF(ISBLANK($E$296),"",$E$296))</f>
        <v/>
      </c>
      <c r="CE296" s="2">
        <f>IF(ISERROR($F$296),"",IF(ISBLANK($F$296),"",$F$296))</f>
        <v/>
      </c>
      <c r="CJ296" s="2">
        <f>ISERROR($B$296)*1+ISERROR($D$296)*1+ISERROR($E$296)*1+ISERROR($F$296)*1</f>
        <v/>
      </c>
    </row>
    <row r="297" ht="60" customHeight="1">
      <c r="A297" s="31">
        <f>IF(LEN($N$31)&gt;0,$N$31,"21 · (vazio)")</f>
        <v/>
      </c>
      <c r="B297" s="4" t="n"/>
      <c r="C297" s="17" t="n"/>
      <c r="D297" s="16" t="n"/>
      <c r="E297" s="16" t="n"/>
      <c r="F297" s="4" t="n"/>
      <c r="G297" s="17" t="n"/>
      <c r="H297" s="5">
        <f>IF(NOT(ISNUMBER($R$297)),"",IF(IF(ISNUMBER($CC$297),$CC$297=0,FALSE),"EXPIRADA (0 turnos): já não vale; apague a condição",IF($W$297&gt;0,"Dano Contínuo: "&amp;MIN(INT($W$297*$Q$297/100),$X$297*$P$297)&amp;" por turno",IF($S$297&gt;0,IF($AA$297="Sim","Dano Contínuo: ","Dano: ")&amp;IF($U$297="Sim",$AB$297*$S$297,$S$297)&amp;"d"&amp;$T$297&amp;IF($V$297="Sim"," + "&amp;$P$297,"")&amp;" · média "&amp;(INT(IF($U$297="Sim",$AB$297*$S$297,$S$297)*($T$297+1)/2)+IF($V$297="Sim",$P$297,0)),$AC$297))&amp;IF($Y$297&gt;0,"; Atrasa "&amp;$Y$297&amp;" casa(s): some em Atraso deste Ciclo do alvo (C8)","")))</f>
        <v/>
      </c>
      <c r="K297" s="19">
        <f>IF(CJ297&gt;0,"O Google leu como fórmula: escolha de novo ou digite com ' na frente.",IF(LEN($CA$297)=0,"",IF(LEN($N$31)=0,"Combatente vazio: a condição não conta",IF(NOT(ISNUMBER($R$297)),"Condição fora do capítulo 21",IF($CA$297="Congelado","Congelado só em inimigo (21.2)",IF(IF(ISNUMBER($CC$297),$CC$297=0,FALSE),"Expirou: os turnos chegaram a 0 e ela saiu do painel",IF(AND(ISNUMBER($CD$297),$CD$297&gt;$Z$297),"Acima do teto de "&amp;$Z$297&amp;" acúmulo(s) (21.5): usando o teto",IF($AA$297="Sim","Dano Contínuo: início do turno do alvo; ignora RD, não crita, sem dados de Fraqueza (20.6)",""))))))))</f>
        <v/>
      </c>
      <c r="N297" s="2">
        <f>IF(LEN($N$31)=0,"",21)</f>
        <v/>
      </c>
      <c r="O297" s="2">
        <f>IF(LEN($CE$297)=0,"",IFERROR(MATCH($CE$297,$N$11:$N$32,0),""))</f>
        <v/>
      </c>
      <c r="P297" s="2">
        <f>IF(ISNUMBER($O$297),INDEX($AS$11:$AS$32,$O$297),'Campanha'!$B$20)</f>
        <v/>
      </c>
      <c r="Q297" s="2">
        <f>IF(ISNUMBER($N$297),$AQ$31,0)</f>
        <v/>
      </c>
      <c r="R297" s="2">
        <f>IF(LEN($CA$297)=0,"",IFERROR(MATCH($CA$297,'Dados'!$A$324:$A$339,0),""))</f>
        <v/>
      </c>
      <c r="S297" s="2">
        <f>IF(ISNUMBER($R$297),INDEX('Dados'!$F$324:$F$339,$R$297),"")</f>
        <v/>
      </c>
      <c r="T297" s="2">
        <f>IF(ISNUMBER($R$297),INDEX('Dados'!$G$324:$G$339,$R$297),"")</f>
        <v/>
      </c>
      <c r="U297" s="2">
        <f>IF(ISNUMBER($R$297),INDEX('Dados'!$H$324:$H$339,$R$297),"")</f>
        <v/>
      </c>
      <c r="V297" s="2">
        <f>IF(ISNUMBER($R$297),INDEX('Dados'!$I$324:$I$339,$R$297),"")</f>
        <v/>
      </c>
      <c r="W297" s="2">
        <f>IF(ISNUMBER($R$297),INDEX('Dados'!$J$324:$J$339,$R$297),"")</f>
        <v/>
      </c>
      <c r="X297" s="2">
        <f>IF(ISNUMBER($R$297),INDEX('Dados'!$K$324:$K$339,$R$297),"")</f>
        <v/>
      </c>
      <c r="Y297" s="2">
        <f>IF(ISNUMBER($R$297),INDEX('Dados'!$L$324:$L$339,$R$297),"")</f>
        <v/>
      </c>
      <c r="Z297" s="2">
        <f>IF(ISNUMBER($R$297),INDEX('Dados'!$M$324:$M$339,$R$297),"")</f>
        <v/>
      </c>
      <c r="AA297" s="2">
        <f>IF(ISNUMBER($R$297),INDEX('Dados'!$N$324:$N$339,$R$297),"")</f>
        <v/>
      </c>
      <c r="AB297" s="2">
        <f>IF(ISNUMBER($CD$297),MIN($Z$297,MAX(1,INT($CD$297))),1)</f>
        <v/>
      </c>
      <c r="AC297" s="2">
        <f>IF(ISNUMBER($R$297),INDEX('Dados'!$B$324:$B$339,$R$297),"")</f>
        <v/>
      </c>
      <c r="AD297" s="2">
        <f>IF(AND(ISNUMBER($R$297),LEN($N$31)&gt;0,$Q$31=1,NOT(IF(ISNUMBER($CC$297),$CC$297=0,FALSE))),1,0)</f>
        <v/>
      </c>
      <c r="AE297" s="2">
        <f>IF($AD$297=1,83,"")</f>
        <v/>
      </c>
      <c r="AF297" s="2">
        <f>IF(ISNUMBER($R$297),INDEX('Dados'!$C$324:$C$339,$R$297),"")</f>
        <v/>
      </c>
      <c r="AG297" s="2">
        <f>IF($AD$297=0,"",$AC$297&amp;IF($H$297&lt;&gt;$AC$297," · Agora: "&amp;$H$297,"")&amp;" (duração: "&amp;$AF$297&amp;")")</f>
        <v/>
      </c>
      <c r="AH297" s="2">
        <f>IF(AND(ISNUMBER($R$297),LEN($N$31)&gt;0),IF(IF(ISNUMBER($CC$297),$CC$297=0,FALSE),1,0),0)</f>
        <v/>
      </c>
      <c r="CA297" s="2">
        <f>IF(ISERROR($B$297),"",IF(ISBLANK($B$297),"",$B$297))</f>
        <v/>
      </c>
      <c r="CC297" s="2">
        <f>IF(ISERROR($D$297),"",IF(ISBLANK($D$297),"",$D$297))</f>
        <v/>
      </c>
      <c r="CD297" s="2">
        <f>IF(ISERROR($E$297),"",IF(ISBLANK($E$297),"",$E$297))</f>
        <v/>
      </c>
      <c r="CE297" s="2">
        <f>IF(ISERROR($F$297),"",IF(ISBLANK($F$297),"",$F$297))</f>
        <v/>
      </c>
      <c r="CJ297" s="2">
        <f>ISERROR($B$297)*1+ISERROR($D$297)*1+ISERROR($E$297)*1+ISERROR($F$297)*1</f>
        <v/>
      </c>
    </row>
    <row r="298" ht="60" customHeight="1">
      <c r="A298" s="43">
        <f>IF(LEN($N$31)&gt;0,$N$31,"21 · (vazio)")</f>
        <v/>
      </c>
      <c r="B298" s="29" t="n"/>
      <c r="C298" s="17" t="n"/>
      <c r="D298" s="37" t="n"/>
      <c r="E298" s="37" t="n"/>
      <c r="F298" s="29" t="n"/>
      <c r="G298" s="17" t="n"/>
      <c r="H298" s="10">
        <f>IF(NOT(ISNUMBER($R$298)),"",IF(IF(ISNUMBER($CC$298),$CC$298=0,FALSE),"EXPIRADA (0 turnos): já não vale; apague a condição",IF($W$298&gt;0,"Dano Contínuo: "&amp;MIN(INT($W$298*$Q$298/100),$X$298*$P$298)&amp;" por turno",IF($S$298&gt;0,IF($AA$298="Sim","Dano Contínuo: ","Dano: ")&amp;IF($U$298="Sim",$AB$298*$S$298,$S$298)&amp;"d"&amp;$T$298&amp;IF($V$298="Sim"," + "&amp;$P$298,"")&amp;" · média "&amp;(INT(IF($U$298="Sim",$AB$298*$S$298,$S$298)*($T$298+1)/2)+IF($V$298="Sim",$P$298,0)),$AC$298))&amp;IF($Y$298&gt;0,"; Atrasa "&amp;$Y$298&amp;" casa(s): some em Atraso deste Ciclo do alvo (C8)","")))</f>
        <v/>
      </c>
      <c r="K298" s="27">
        <f>IF(CJ298&gt;0,"O Google leu como fórmula: escolha de novo ou digite com ' na frente.",IF(LEN($CA$298)=0,"",IF(LEN($N$31)=0,"Combatente vazio: a condição não conta",IF(NOT(ISNUMBER($R$298)),"Condição fora do capítulo 21",IF($CA$298="Congelado","Congelado só em inimigo (21.2)",IF(IF(ISNUMBER($CC$298),$CC$298=0,FALSE),"Expirou: os turnos chegaram a 0 e ela saiu do painel",IF(AND(ISNUMBER($CD$298),$CD$298&gt;$Z$298),"Acima do teto de "&amp;$Z$298&amp;" acúmulo(s) (21.5): usando o teto",IF($AA$298="Sim","Dano Contínuo: início do turno do alvo; ignora RD, não crita, sem dados de Fraqueza (20.6)",""))))))))</f>
        <v/>
      </c>
      <c r="N298" s="2">
        <f>IF(LEN($N$31)=0,"",21)</f>
        <v/>
      </c>
      <c r="O298" s="2">
        <f>IF(LEN($CE$298)=0,"",IFERROR(MATCH($CE$298,$N$11:$N$32,0),""))</f>
        <v/>
      </c>
      <c r="P298" s="2">
        <f>IF(ISNUMBER($O$298),INDEX($AS$11:$AS$32,$O$298),'Campanha'!$B$20)</f>
        <v/>
      </c>
      <c r="Q298" s="2">
        <f>IF(ISNUMBER($N$298),$AQ$31,0)</f>
        <v/>
      </c>
      <c r="R298" s="2">
        <f>IF(LEN($CA$298)=0,"",IFERROR(MATCH($CA$298,'Dados'!$A$324:$A$339,0),""))</f>
        <v/>
      </c>
      <c r="S298" s="2">
        <f>IF(ISNUMBER($R$298),INDEX('Dados'!$F$324:$F$339,$R$298),"")</f>
        <v/>
      </c>
      <c r="T298" s="2">
        <f>IF(ISNUMBER($R$298),INDEX('Dados'!$G$324:$G$339,$R$298),"")</f>
        <v/>
      </c>
      <c r="U298" s="2">
        <f>IF(ISNUMBER($R$298),INDEX('Dados'!$H$324:$H$339,$R$298),"")</f>
        <v/>
      </c>
      <c r="V298" s="2">
        <f>IF(ISNUMBER($R$298),INDEX('Dados'!$I$324:$I$339,$R$298),"")</f>
        <v/>
      </c>
      <c r="W298" s="2">
        <f>IF(ISNUMBER($R$298),INDEX('Dados'!$J$324:$J$339,$R$298),"")</f>
        <v/>
      </c>
      <c r="X298" s="2">
        <f>IF(ISNUMBER($R$298),INDEX('Dados'!$K$324:$K$339,$R$298),"")</f>
        <v/>
      </c>
      <c r="Y298" s="2">
        <f>IF(ISNUMBER($R$298),INDEX('Dados'!$L$324:$L$339,$R$298),"")</f>
        <v/>
      </c>
      <c r="Z298" s="2">
        <f>IF(ISNUMBER($R$298),INDEX('Dados'!$M$324:$M$339,$R$298),"")</f>
        <v/>
      </c>
      <c r="AA298" s="2">
        <f>IF(ISNUMBER($R$298),INDEX('Dados'!$N$324:$N$339,$R$298),"")</f>
        <v/>
      </c>
      <c r="AB298" s="2">
        <f>IF(ISNUMBER($CD$298),MIN($Z$298,MAX(1,INT($CD$298))),1)</f>
        <v/>
      </c>
      <c r="AC298" s="2">
        <f>IF(ISNUMBER($R$298),INDEX('Dados'!$B$324:$B$339,$R$298),"")</f>
        <v/>
      </c>
      <c r="AD298" s="2">
        <f>IF(AND(ISNUMBER($R$298),LEN($N$31)&gt;0,$Q$31=1,NOT(IF(ISNUMBER($CC$298),$CC$298=0,FALSE))),1,0)</f>
        <v/>
      </c>
      <c r="AE298" s="2">
        <f>IF($AD$298=1,84,"")</f>
        <v/>
      </c>
      <c r="AF298" s="2">
        <f>IF(ISNUMBER($R$298),INDEX('Dados'!$C$324:$C$339,$R$298),"")</f>
        <v/>
      </c>
      <c r="AG298" s="2">
        <f>IF($AD$298=0,"",$AC$298&amp;IF($H$298&lt;&gt;$AC$298," · Agora: "&amp;$H$298,"")&amp;" (duração: "&amp;$AF$298&amp;")")</f>
        <v/>
      </c>
      <c r="AH298" s="2">
        <f>IF(AND(ISNUMBER($R$298),LEN($N$31)&gt;0),IF(IF(ISNUMBER($CC$298),$CC$298=0,FALSE),1,0),0)</f>
        <v/>
      </c>
      <c r="CA298" s="2">
        <f>IF(ISERROR($B$298),"",IF(ISBLANK($B$298),"",$B$298))</f>
        <v/>
      </c>
      <c r="CC298" s="2">
        <f>IF(ISERROR($D$298),"",IF(ISBLANK($D$298),"",$D$298))</f>
        <v/>
      </c>
      <c r="CD298" s="2">
        <f>IF(ISERROR($E$298),"",IF(ISBLANK($E$298),"",$E$298))</f>
        <v/>
      </c>
      <c r="CE298" s="2">
        <f>IF(ISERROR($F$298),"",IF(ISBLANK($F$298),"",$F$298))</f>
        <v/>
      </c>
      <c r="CJ298" s="2">
        <f>ISERROR($B$298)*1+ISERROR($D$298)*1+ISERROR($E$298)*1+ISERROR($F$298)*1</f>
        <v/>
      </c>
    </row>
    <row r="299" ht="26" customHeight="1">
      <c r="A299" s="8" t="inlineStr">
        <is>
          <t>Combatente</t>
        </is>
      </c>
      <c r="B299" s="8" t="inlineStr">
        <is>
          <t>Condição</t>
        </is>
      </c>
      <c r="C299" s="20" t="n"/>
      <c r="D299" s="8" t="inlineStr">
        <is>
          <t>Turnos restantes</t>
        </is>
      </c>
      <c r="E299" s="8" t="inlineStr">
        <is>
          <t>Acúmulos</t>
        </is>
      </c>
      <c r="F299" s="8" t="inlineStr">
        <is>
          <t>Quem aplicou</t>
        </is>
      </c>
      <c r="G299" s="20" t="n"/>
      <c r="H299" s="8" t="inlineStr">
        <is>
          <t>Efeito e dano</t>
        </is>
      </c>
      <c r="I299" s="20" t="n"/>
      <c r="J299" s="20" t="n"/>
      <c r="K299" s="8" t="inlineStr">
        <is>
          <t>Aviso</t>
        </is>
      </c>
      <c r="L299" s="20" t="n"/>
      <c r="CA299" s="2">
        <f>IF(ISERROR($B$299),"",IF(ISBLANK($B$299),"",$B$299))</f>
        <v/>
      </c>
      <c r="CC299" s="2">
        <f>IF(ISERROR($D$299),"",IF(ISBLANK($D$299),"",$D$299))</f>
        <v/>
      </c>
      <c r="CE299" s="2">
        <f>IF(ISERROR($F$299),"",IF(ISBLANK($F$299),"",$F$299))</f>
        <v/>
      </c>
    </row>
    <row r="300" ht="60" customHeight="1">
      <c r="A300" s="31">
        <f>IF(LEN($N$32)&gt;0,$N$32,"22 · (vazio)")</f>
        <v/>
      </c>
      <c r="B300" s="4" t="n"/>
      <c r="C300" s="17" t="n"/>
      <c r="D300" s="16" t="n"/>
      <c r="E300" s="16" t="n"/>
      <c r="F300" s="4" t="n"/>
      <c r="G300" s="17" t="n"/>
      <c r="H300" s="5">
        <f>IF(NOT(ISNUMBER($R$300)),"",IF(IF(ISNUMBER($CC$300),$CC$300=0,FALSE),"EXPIRADA (0 turnos): já não vale; apague a condição",IF($W$300&gt;0,"Dano Contínuo: "&amp;MIN(INT($W$300*$Q$300/100),$X$300*$P$300)&amp;" por turno",IF($S$300&gt;0,IF($AA$300="Sim","Dano Contínuo: ","Dano: ")&amp;IF($U$300="Sim",$AB$300*$S$300,$S$300)&amp;"d"&amp;$T$300&amp;IF($V$300="Sim"," + "&amp;$P$300,"")&amp;" · média "&amp;(INT(IF($U$300="Sim",$AB$300*$S$300,$S$300)*($T$300+1)/2)+IF($V$300="Sim",$P$300,0)),$AC$300))&amp;IF($Y$300&gt;0,"; Atrasa "&amp;$Y$300&amp;" casa(s): some em Atraso deste Ciclo do alvo (C8)","")))</f>
        <v/>
      </c>
      <c r="K300" s="19">
        <f>IF(CJ300&gt;0,"O Google leu como fórmula: escolha de novo ou digite com ' na frente.",IF(LEN($CA$300)=0,"",IF(LEN($N$32)=0,"Combatente vazio: a condição não conta",IF(NOT(ISNUMBER($R$300)),"Condição fora do capítulo 21",IF($CA$300="Congelado","Congelado só em inimigo (21.2)",IF(IF(ISNUMBER($CC$300),$CC$300=0,FALSE),"Expirou: os turnos chegaram a 0 e ela saiu do painel",IF(AND(ISNUMBER($CD$300),$CD$300&gt;$Z$300),"Acima do teto de "&amp;$Z$300&amp;" acúmulo(s) (21.5): usando o teto",IF($AA$300="Sim","Dano Contínuo: início do turno do alvo; ignora RD, não crita, sem dados de Fraqueza (20.6)",""))))))))</f>
        <v/>
      </c>
      <c r="N300" s="2">
        <f>IF(LEN($N$32)=0,"",22)</f>
        <v/>
      </c>
      <c r="O300" s="2">
        <f>IF(LEN($CE$300)=0,"",IFERROR(MATCH($CE$300,$N$11:$N$32,0),""))</f>
        <v/>
      </c>
      <c r="P300" s="2">
        <f>IF(ISNUMBER($O$300),INDEX($AS$11:$AS$32,$O$300),'Campanha'!$B$20)</f>
        <v/>
      </c>
      <c r="Q300" s="2">
        <f>IF(ISNUMBER($N$300),$AQ$32,0)</f>
        <v/>
      </c>
      <c r="R300" s="2">
        <f>IF(LEN($CA$300)=0,"",IFERROR(MATCH($CA$300,'Dados'!$A$324:$A$339,0),""))</f>
        <v/>
      </c>
      <c r="S300" s="2">
        <f>IF(ISNUMBER($R$300),INDEX('Dados'!$F$324:$F$339,$R$300),"")</f>
        <v/>
      </c>
      <c r="T300" s="2">
        <f>IF(ISNUMBER($R$300),INDEX('Dados'!$G$324:$G$339,$R$300),"")</f>
        <v/>
      </c>
      <c r="U300" s="2">
        <f>IF(ISNUMBER($R$300),INDEX('Dados'!$H$324:$H$339,$R$300),"")</f>
        <v/>
      </c>
      <c r="V300" s="2">
        <f>IF(ISNUMBER($R$300),INDEX('Dados'!$I$324:$I$339,$R$300),"")</f>
        <v/>
      </c>
      <c r="W300" s="2">
        <f>IF(ISNUMBER($R$300),INDEX('Dados'!$J$324:$J$339,$R$300),"")</f>
        <v/>
      </c>
      <c r="X300" s="2">
        <f>IF(ISNUMBER($R$300),INDEX('Dados'!$K$324:$K$339,$R$300),"")</f>
        <v/>
      </c>
      <c r="Y300" s="2">
        <f>IF(ISNUMBER($R$300),INDEX('Dados'!$L$324:$L$339,$R$300),"")</f>
        <v/>
      </c>
      <c r="Z300" s="2">
        <f>IF(ISNUMBER($R$300),INDEX('Dados'!$M$324:$M$339,$R$300),"")</f>
        <v/>
      </c>
      <c r="AA300" s="2">
        <f>IF(ISNUMBER($R$300),INDEX('Dados'!$N$324:$N$339,$R$300),"")</f>
        <v/>
      </c>
      <c r="AB300" s="2">
        <f>IF(ISNUMBER($CD$300),MIN($Z$300,MAX(1,INT($CD$300))),1)</f>
        <v/>
      </c>
      <c r="AC300" s="2">
        <f>IF(ISNUMBER($R$300),INDEX('Dados'!$B$324:$B$339,$R$300),"")</f>
        <v/>
      </c>
      <c r="AD300" s="2">
        <f>IF(AND(ISNUMBER($R$300),LEN($N$32)&gt;0,$Q$32=1,NOT(IF(ISNUMBER($CC$300),$CC$300=0,FALSE))),1,0)</f>
        <v/>
      </c>
      <c r="AE300" s="2">
        <f>IF($AD$300=1,85,"")</f>
        <v/>
      </c>
      <c r="AF300" s="2">
        <f>IF(ISNUMBER($R$300),INDEX('Dados'!$C$324:$C$339,$R$300),"")</f>
        <v/>
      </c>
      <c r="AG300" s="2">
        <f>IF($AD$300=0,"",$AC$300&amp;IF($H$300&lt;&gt;$AC$300," · Agora: "&amp;$H$300,"")&amp;" (duração: "&amp;$AF$300&amp;")")</f>
        <v/>
      </c>
      <c r="AH300" s="2">
        <f>IF(AND(ISNUMBER($R$300),LEN($N$32)&gt;0),IF(IF(ISNUMBER($CC$300),$CC$300=0,FALSE),1,0),0)</f>
        <v/>
      </c>
      <c r="CA300" s="2">
        <f>IF(ISERROR($B$300),"",IF(ISBLANK($B$300),"",$B$300))</f>
        <v/>
      </c>
      <c r="CC300" s="2">
        <f>IF(ISERROR($D$300),"",IF(ISBLANK($D$300),"",$D$300))</f>
        <v/>
      </c>
      <c r="CD300" s="2">
        <f>IF(ISERROR($E$300),"",IF(ISBLANK($E$300),"",$E$300))</f>
        <v/>
      </c>
      <c r="CE300" s="2">
        <f>IF(ISERROR($F$300),"",IF(ISBLANK($F$300),"",$F$300))</f>
        <v/>
      </c>
      <c r="CJ300" s="2">
        <f>ISERROR($B$300)*1+ISERROR($D$300)*1+ISERROR($E$300)*1+ISERROR($F$300)*1</f>
        <v/>
      </c>
    </row>
    <row r="301" ht="60" customHeight="1">
      <c r="A301" s="43">
        <f>IF(LEN($N$32)&gt;0,$N$32,"22 · (vazio)")</f>
        <v/>
      </c>
      <c r="B301" s="29" t="n"/>
      <c r="C301" s="17" t="n"/>
      <c r="D301" s="37" t="n"/>
      <c r="E301" s="37" t="n"/>
      <c r="F301" s="29" t="n"/>
      <c r="G301" s="17" t="n"/>
      <c r="H301" s="10">
        <f>IF(NOT(ISNUMBER($R$301)),"",IF(IF(ISNUMBER($CC$301),$CC$301=0,FALSE),"EXPIRADA (0 turnos): já não vale; apague a condição",IF($W$301&gt;0,"Dano Contínuo: "&amp;MIN(INT($W$301*$Q$301/100),$X$301*$P$301)&amp;" por turno",IF($S$301&gt;0,IF($AA$301="Sim","Dano Contínuo: ","Dano: ")&amp;IF($U$301="Sim",$AB$301*$S$301,$S$301)&amp;"d"&amp;$T$301&amp;IF($V$301="Sim"," + "&amp;$P$301,"")&amp;" · média "&amp;(INT(IF($U$301="Sim",$AB$301*$S$301,$S$301)*($T$301+1)/2)+IF($V$301="Sim",$P$301,0)),$AC$301))&amp;IF($Y$301&gt;0,"; Atrasa "&amp;$Y$301&amp;" casa(s): some em Atraso deste Ciclo do alvo (C8)","")))</f>
        <v/>
      </c>
      <c r="K301" s="27">
        <f>IF(CJ301&gt;0,"O Google leu como fórmula: escolha de novo ou digite com ' na frente.",IF(LEN($CA$301)=0,"",IF(LEN($N$32)=0,"Combatente vazio: a condição não conta",IF(NOT(ISNUMBER($R$301)),"Condição fora do capítulo 21",IF($CA$301="Congelado","Congelado só em inimigo (21.2)",IF(IF(ISNUMBER($CC$301),$CC$301=0,FALSE),"Expirou: os turnos chegaram a 0 e ela saiu do painel",IF(AND(ISNUMBER($CD$301),$CD$301&gt;$Z$301),"Acima do teto de "&amp;$Z$301&amp;" acúmulo(s) (21.5): usando o teto",IF($AA$301="Sim","Dano Contínuo: início do turno do alvo; ignora RD, não crita, sem dados de Fraqueza (20.6)",""))))))))</f>
        <v/>
      </c>
      <c r="N301" s="2">
        <f>IF(LEN($N$32)=0,"",22)</f>
        <v/>
      </c>
      <c r="O301" s="2">
        <f>IF(LEN($CE$301)=0,"",IFERROR(MATCH($CE$301,$N$11:$N$32,0),""))</f>
        <v/>
      </c>
      <c r="P301" s="2">
        <f>IF(ISNUMBER($O$301),INDEX($AS$11:$AS$32,$O$301),'Campanha'!$B$20)</f>
        <v/>
      </c>
      <c r="Q301" s="2">
        <f>IF(ISNUMBER($N$301),$AQ$32,0)</f>
        <v/>
      </c>
      <c r="R301" s="2">
        <f>IF(LEN($CA$301)=0,"",IFERROR(MATCH($CA$301,'Dados'!$A$324:$A$339,0),""))</f>
        <v/>
      </c>
      <c r="S301" s="2">
        <f>IF(ISNUMBER($R$301),INDEX('Dados'!$F$324:$F$339,$R$301),"")</f>
        <v/>
      </c>
      <c r="T301" s="2">
        <f>IF(ISNUMBER($R$301),INDEX('Dados'!$G$324:$G$339,$R$301),"")</f>
        <v/>
      </c>
      <c r="U301" s="2">
        <f>IF(ISNUMBER($R$301),INDEX('Dados'!$H$324:$H$339,$R$301),"")</f>
        <v/>
      </c>
      <c r="V301" s="2">
        <f>IF(ISNUMBER($R$301),INDEX('Dados'!$I$324:$I$339,$R$301),"")</f>
        <v/>
      </c>
      <c r="W301" s="2">
        <f>IF(ISNUMBER($R$301),INDEX('Dados'!$J$324:$J$339,$R$301),"")</f>
        <v/>
      </c>
      <c r="X301" s="2">
        <f>IF(ISNUMBER($R$301),INDEX('Dados'!$K$324:$K$339,$R$301),"")</f>
        <v/>
      </c>
      <c r="Y301" s="2">
        <f>IF(ISNUMBER($R$301),INDEX('Dados'!$L$324:$L$339,$R$301),"")</f>
        <v/>
      </c>
      <c r="Z301" s="2">
        <f>IF(ISNUMBER($R$301),INDEX('Dados'!$M$324:$M$339,$R$301),"")</f>
        <v/>
      </c>
      <c r="AA301" s="2">
        <f>IF(ISNUMBER($R$301),INDEX('Dados'!$N$324:$N$339,$R$301),"")</f>
        <v/>
      </c>
      <c r="AB301" s="2">
        <f>IF(ISNUMBER($CD$301),MIN($Z$301,MAX(1,INT($CD$301))),1)</f>
        <v/>
      </c>
      <c r="AC301" s="2">
        <f>IF(ISNUMBER($R$301),INDEX('Dados'!$B$324:$B$339,$R$301),"")</f>
        <v/>
      </c>
      <c r="AD301" s="2">
        <f>IF(AND(ISNUMBER($R$301),LEN($N$32)&gt;0,$Q$32=1,NOT(IF(ISNUMBER($CC$301),$CC$301=0,FALSE))),1,0)</f>
        <v/>
      </c>
      <c r="AE301" s="2">
        <f>IF($AD$301=1,86,"")</f>
        <v/>
      </c>
      <c r="AF301" s="2">
        <f>IF(ISNUMBER($R$301),INDEX('Dados'!$C$324:$C$339,$R$301),"")</f>
        <v/>
      </c>
      <c r="AG301" s="2">
        <f>IF($AD$301=0,"",$AC$301&amp;IF($H$301&lt;&gt;$AC$301," · Agora: "&amp;$H$301,"")&amp;" (duração: "&amp;$AF$301&amp;")")</f>
        <v/>
      </c>
      <c r="AH301" s="2">
        <f>IF(AND(ISNUMBER($R$301),LEN($N$32)&gt;0),IF(IF(ISNUMBER($CC$301),$CC$301=0,FALSE),1,0),0)</f>
        <v/>
      </c>
      <c r="CA301" s="2">
        <f>IF(ISERROR($B$301),"",IF(ISBLANK($B$301),"",$B$301))</f>
        <v/>
      </c>
      <c r="CC301" s="2">
        <f>IF(ISERROR($D$301),"",IF(ISBLANK($D$301),"",$D$301))</f>
        <v/>
      </c>
      <c r="CD301" s="2">
        <f>IF(ISERROR($E$301),"",IF(ISBLANK($E$301),"",$E$301))</f>
        <v/>
      </c>
      <c r="CE301" s="2">
        <f>IF(ISERROR($F$301),"",IF(ISBLANK($F$301),"",$F$301))</f>
        <v/>
      </c>
      <c r="CJ301" s="2">
        <f>ISERROR($B$301)*1+ISERROR($D$301)*1+ISERROR($E$301)*1+ISERROR($F$301)*1</f>
        <v/>
      </c>
    </row>
    <row r="302" ht="60" customHeight="1">
      <c r="A302" s="31">
        <f>IF(LEN($N$32)&gt;0,$N$32,"22 · (vazio)")</f>
        <v/>
      </c>
      <c r="B302" s="4" t="n"/>
      <c r="C302" s="17" t="n"/>
      <c r="D302" s="16" t="n"/>
      <c r="E302" s="16" t="n"/>
      <c r="F302" s="4" t="n"/>
      <c r="G302" s="17" t="n"/>
      <c r="H302" s="5">
        <f>IF(NOT(ISNUMBER($R$302)),"",IF(IF(ISNUMBER($CC$302),$CC$302=0,FALSE),"EXPIRADA (0 turnos): já não vale; apague a condição",IF($W$302&gt;0,"Dano Contínuo: "&amp;MIN(INT($W$302*$Q$302/100),$X$302*$P$302)&amp;" por turno",IF($S$302&gt;0,IF($AA$302="Sim","Dano Contínuo: ","Dano: ")&amp;IF($U$302="Sim",$AB$302*$S$302,$S$302)&amp;"d"&amp;$T$302&amp;IF($V$302="Sim"," + "&amp;$P$302,"")&amp;" · média "&amp;(INT(IF($U$302="Sim",$AB$302*$S$302,$S$302)*($T$302+1)/2)+IF($V$302="Sim",$P$302,0)),$AC$302))&amp;IF($Y$302&gt;0,"; Atrasa "&amp;$Y$302&amp;" casa(s): some em Atraso deste Ciclo do alvo (C8)","")))</f>
        <v/>
      </c>
      <c r="K302" s="19">
        <f>IF(CJ302&gt;0,"O Google leu como fórmula: escolha de novo ou digite com ' na frente.",IF(LEN($CA$302)=0,"",IF(LEN($N$32)=0,"Combatente vazio: a condição não conta",IF(NOT(ISNUMBER($R$302)),"Condição fora do capítulo 21",IF($CA$302="Congelado","Congelado só em inimigo (21.2)",IF(IF(ISNUMBER($CC$302),$CC$302=0,FALSE),"Expirou: os turnos chegaram a 0 e ela saiu do painel",IF(AND(ISNUMBER($CD$302),$CD$302&gt;$Z$302),"Acima do teto de "&amp;$Z$302&amp;" acúmulo(s) (21.5): usando o teto",IF($AA$302="Sim","Dano Contínuo: início do turno do alvo; ignora RD, não crita, sem dados de Fraqueza (20.6)",""))))))))</f>
        <v/>
      </c>
      <c r="N302" s="2">
        <f>IF(LEN($N$32)=0,"",22)</f>
        <v/>
      </c>
      <c r="O302" s="2">
        <f>IF(LEN($CE$302)=0,"",IFERROR(MATCH($CE$302,$N$11:$N$32,0),""))</f>
        <v/>
      </c>
      <c r="P302" s="2">
        <f>IF(ISNUMBER($O$302),INDEX($AS$11:$AS$32,$O$302),'Campanha'!$B$20)</f>
        <v/>
      </c>
      <c r="Q302" s="2">
        <f>IF(ISNUMBER($N$302),$AQ$32,0)</f>
        <v/>
      </c>
      <c r="R302" s="2">
        <f>IF(LEN($CA$302)=0,"",IFERROR(MATCH($CA$302,'Dados'!$A$324:$A$339,0),""))</f>
        <v/>
      </c>
      <c r="S302" s="2">
        <f>IF(ISNUMBER($R$302),INDEX('Dados'!$F$324:$F$339,$R$302),"")</f>
        <v/>
      </c>
      <c r="T302" s="2">
        <f>IF(ISNUMBER($R$302),INDEX('Dados'!$G$324:$G$339,$R$302),"")</f>
        <v/>
      </c>
      <c r="U302" s="2">
        <f>IF(ISNUMBER($R$302),INDEX('Dados'!$H$324:$H$339,$R$302),"")</f>
        <v/>
      </c>
      <c r="V302" s="2">
        <f>IF(ISNUMBER($R$302),INDEX('Dados'!$I$324:$I$339,$R$302),"")</f>
        <v/>
      </c>
      <c r="W302" s="2">
        <f>IF(ISNUMBER($R$302),INDEX('Dados'!$J$324:$J$339,$R$302),"")</f>
        <v/>
      </c>
      <c r="X302" s="2">
        <f>IF(ISNUMBER($R$302),INDEX('Dados'!$K$324:$K$339,$R$302),"")</f>
        <v/>
      </c>
      <c r="Y302" s="2">
        <f>IF(ISNUMBER($R$302),INDEX('Dados'!$L$324:$L$339,$R$302),"")</f>
        <v/>
      </c>
      <c r="Z302" s="2">
        <f>IF(ISNUMBER($R$302),INDEX('Dados'!$M$324:$M$339,$R$302),"")</f>
        <v/>
      </c>
      <c r="AA302" s="2">
        <f>IF(ISNUMBER($R$302),INDEX('Dados'!$N$324:$N$339,$R$302),"")</f>
        <v/>
      </c>
      <c r="AB302" s="2">
        <f>IF(ISNUMBER($CD$302),MIN($Z$302,MAX(1,INT($CD$302))),1)</f>
        <v/>
      </c>
      <c r="AC302" s="2">
        <f>IF(ISNUMBER($R$302),INDEX('Dados'!$B$324:$B$339,$R$302),"")</f>
        <v/>
      </c>
      <c r="AD302" s="2">
        <f>IF(AND(ISNUMBER($R$302),LEN($N$32)&gt;0,$Q$32=1,NOT(IF(ISNUMBER($CC$302),$CC$302=0,FALSE))),1,0)</f>
        <v/>
      </c>
      <c r="AE302" s="2">
        <f>IF($AD$302=1,87,"")</f>
        <v/>
      </c>
      <c r="AF302" s="2">
        <f>IF(ISNUMBER($R$302),INDEX('Dados'!$C$324:$C$339,$R$302),"")</f>
        <v/>
      </c>
      <c r="AG302" s="2">
        <f>IF($AD$302=0,"",$AC$302&amp;IF($H$302&lt;&gt;$AC$302," · Agora: "&amp;$H$302,"")&amp;" (duração: "&amp;$AF$302&amp;")")</f>
        <v/>
      </c>
      <c r="AH302" s="2">
        <f>IF(AND(ISNUMBER($R$302),LEN($N$32)&gt;0),IF(IF(ISNUMBER($CC$302),$CC$302=0,FALSE),1,0),0)</f>
        <v/>
      </c>
      <c r="CA302" s="2">
        <f>IF(ISERROR($B$302),"",IF(ISBLANK($B$302),"",$B$302))</f>
        <v/>
      </c>
      <c r="CC302" s="2">
        <f>IF(ISERROR($D$302),"",IF(ISBLANK($D$302),"",$D$302))</f>
        <v/>
      </c>
      <c r="CD302" s="2">
        <f>IF(ISERROR($E$302),"",IF(ISBLANK($E$302),"",$E$302))</f>
        <v/>
      </c>
      <c r="CE302" s="2">
        <f>IF(ISERROR($F$302),"",IF(ISBLANK($F$302),"",$F$302))</f>
        <v/>
      </c>
      <c r="CJ302" s="2">
        <f>ISERROR($B$302)*1+ISERROR($D$302)*1+ISERROR($E$302)*1+ISERROR($F$302)*1</f>
        <v/>
      </c>
    </row>
    <row r="303" ht="60" customHeight="1">
      <c r="A303" s="43">
        <f>IF(LEN($N$32)&gt;0,$N$32,"22 · (vazio)")</f>
        <v/>
      </c>
      <c r="B303" s="29" t="n"/>
      <c r="C303" s="17" t="n"/>
      <c r="D303" s="37" t="n"/>
      <c r="E303" s="37" t="n"/>
      <c r="F303" s="29" t="n"/>
      <c r="G303" s="17" t="n"/>
      <c r="H303" s="10">
        <f>IF(NOT(ISNUMBER($R$303)),"",IF(IF(ISNUMBER($CC$303),$CC$303=0,FALSE),"EXPIRADA (0 turnos): já não vale; apague a condição",IF($W$303&gt;0,"Dano Contínuo: "&amp;MIN(INT($W$303*$Q$303/100),$X$303*$P$303)&amp;" por turno",IF($S$303&gt;0,IF($AA$303="Sim","Dano Contínuo: ","Dano: ")&amp;IF($U$303="Sim",$AB$303*$S$303,$S$303)&amp;"d"&amp;$T$303&amp;IF($V$303="Sim"," + "&amp;$P$303,"")&amp;" · média "&amp;(INT(IF($U$303="Sim",$AB$303*$S$303,$S$303)*($T$303+1)/2)+IF($V$303="Sim",$P$303,0)),$AC$303))&amp;IF($Y$303&gt;0,"; Atrasa "&amp;$Y$303&amp;" casa(s): some em Atraso deste Ciclo do alvo (C8)","")))</f>
        <v/>
      </c>
      <c r="K303" s="27">
        <f>IF(CJ303&gt;0,"O Google leu como fórmula: escolha de novo ou digite com ' na frente.",IF(LEN($CA$303)=0,"",IF(LEN($N$32)=0,"Combatente vazio: a condição não conta",IF(NOT(ISNUMBER($R$303)),"Condição fora do capítulo 21",IF($CA$303="Congelado","Congelado só em inimigo (21.2)",IF(IF(ISNUMBER($CC$303),$CC$303=0,FALSE),"Expirou: os turnos chegaram a 0 e ela saiu do painel",IF(AND(ISNUMBER($CD$303),$CD$303&gt;$Z$303),"Acima do teto de "&amp;$Z$303&amp;" acúmulo(s) (21.5): usando o teto",IF($AA$303="Sim","Dano Contínuo: início do turno do alvo; ignora RD, não crita, sem dados de Fraqueza (20.6)",""))))))))</f>
        <v/>
      </c>
      <c r="N303" s="2">
        <f>IF(LEN($N$32)=0,"",22)</f>
        <v/>
      </c>
      <c r="O303" s="2">
        <f>IF(LEN($CE$303)=0,"",IFERROR(MATCH($CE$303,$N$11:$N$32,0),""))</f>
        <v/>
      </c>
      <c r="P303" s="2">
        <f>IF(ISNUMBER($O$303),INDEX($AS$11:$AS$32,$O$303),'Campanha'!$B$20)</f>
        <v/>
      </c>
      <c r="Q303" s="2">
        <f>IF(ISNUMBER($N$303),$AQ$32,0)</f>
        <v/>
      </c>
      <c r="R303" s="2">
        <f>IF(LEN($CA$303)=0,"",IFERROR(MATCH($CA$303,'Dados'!$A$324:$A$339,0),""))</f>
        <v/>
      </c>
      <c r="S303" s="2">
        <f>IF(ISNUMBER($R$303),INDEX('Dados'!$F$324:$F$339,$R$303),"")</f>
        <v/>
      </c>
      <c r="T303" s="2">
        <f>IF(ISNUMBER($R$303),INDEX('Dados'!$G$324:$G$339,$R$303),"")</f>
        <v/>
      </c>
      <c r="U303" s="2">
        <f>IF(ISNUMBER($R$303),INDEX('Dados'!$H$324:$H$339,$R$303),"")</f>
        <v/>
      </c>
      <c r="V303" s="2">
        <f>IF(ISNUMBER($R$303),INDEX('Dados'!$I$324:$I$339,$R$303),"")</f>
        <v/>
      </c>
      <c r="W303" s="2">
        <f>IF(ISNUMBER($R$303),INDEX('Dados'!$J$324:$J$339,$R$303),"")</f>
        <v/>
      </c>
      <c r="X303" s="2">
        <f>IF(ISNUMBER($R$303),INDEX('Dados'!$K$324:$K$339,$R$303),"")</f>
        <v/>
      </c>
      <c r="Y303" s="2">
        <f>IF(ISNUMBER($R$303),INDEX('Dados'!$L$324:$L$339,$R$303),"")</f>
        <v/>
      </c>
      <c r="Z303" s="2">
        <f>IF(ISNUMBER($R$303),INDEX('Dados'!$M$324:$M$339,$R$303),"")</f>
        <v/>
      </c>
      <c r="AA303" s="2">
        <f>IF(ISNUMBER($R$303),INDEX('Dados'!$N$324:$N$339,$R$303),"")</f>
        <v/>
      </c>
      <c r="AB303" s="2">
        <f>IF(ISNUMBER($CD$303),MIN($Z$303,MAX(1,INT($CD$303))),1)</f>
        <v/>
      </c>
      <c r="AC303" s="2">
        <f>IF(ISNUMBER($R$303),INDEX('Dados'!$B$324:$B$339,$R$303),"")</f>
        <v/>
      </c>
      <c r="AD303" s="2">
        <f>IF(AND(ISNUMBER($R$303),LEN($N$32)&gt;0,$Q$32=1,NOT(IF(ISNUMBER($CC$303),$CC$303=0,FALSE))),1,0)</f>
        <v/>
      </c>
      <c r="AE303" s="2">
        <f>IF($AD$303=1,88,"")</f>
        <v/>
      </c>
      <c r="AF303" s="2">
        <f>IF(ISNUMBER($R$303),INDEX('Dados'!$C$324:$C$339,$R$303),"")</f>
        <v/>
      </c>
      <c r="AG303" s="2">
        <f>IF($AD$303=0,"",$AC$303&amp;IF($H$303&lt;&gt;$AC$303," · Agora: "&amp;$H$303,"")&amp;" (duração: "&amp;$AF$303&amp;")")</f>
        <v/>
      </c>
      <c r="AH303" s="2">
        <f>IF(AND(ISNUMBER($R$303),LEN($N$32)&gt;0),IF(IF(ISNUMBER($CC$303),$CC$303=0,FALSE),1,0),0)</f>
        <v/>
      </c>
      <c r="CA303" s="2">
        <f>IF(ISERROR($B$303),"",IF(ISBLANK($B$303),"",$B$303))</f>
        <v/>
      </c>
      <c r="CC303" s="2">
        <f>IF(ISERROR($D$303),"",IF(ISBLANK($D$303),"",$D$303))</f>
        <v/>
      </c>
      <c r="CD303" s="2">
        <f>IF(ISERROR($E$303),"",IF(ISBLANK($E$303),"",$E$303))</f>
        <v/>
      </c>
      <c r="CE303" s="2">
        <f>IF(ISERROR($F$303),"",IF(ISBLANK($F$303),"",$F$303))</f>
        <v/>
      </c>
      <c r="CJ303" s="2">
        <f>ISERROR($B$303)*1+ISERROR($D$303)*1+ISERROR($E$303)*1+ISERROR($F$303)*1</f>
        <v/>
      </c>
    </row>
    <row r="304" ht="26" customHeight="1">
      <c r="A304" s="44" t="inlineStr">
        <is>
          <t>Cura não remove condição (21.1). Duração em turnos do alvo (19.2): no fim do turno do alvo, desconte 1 em Turnos restantes; com 0, a condição fica EXPIRADA e sai do painel C9b. Vazio = sem contador (dura o que a fonte disser). Quebrado e Morrendo são automáticos (C5 e C2). Nenhum alvo acumula mais de 5 instâncias da mesma condição (21.1).</t>
        </is>
      </c>
    </row>
    <row r="305"/>
    <row r="306" ht="20" customHeight="1">
      <c r="A306" s="13" t="inlineStr">
        <is>
          <t>C10 · Calculadora de dano e Tenacidade (23.1, 20.2, 20.3; teto de +3 dados, 16.9/26.6)</t>
        </is>
      </c>
    </row>
    <row r="307" ht="26" customHeight="1">
      <c r="A307" s="8" t="inlineStr">
        <is>
          <t>Entradas</t>
        </is>
      </c>
      <c r="B307" s="8" t="inlineStr">
        <is>
          <t>Fonte</t>
        </is>
      </c>
      <c r="C307" s="8" t="inlineStr">
        <is>
          <t>Alvo</t>
        </is>
      </c>
      <c r="D307" s="8" t="inlineStr">
        <is>
          <t>Nº de dados base</t>
        </is>
      </c>
      <c r="E307" s="8" t="inlineStr">
        <is>
          <t>Faces</t>
        </is>
      </c>
      <c r="F307" s="8" t="inlineStr">
        <is>
          <t>Bônus fixo</t>
        </is>
      </c>
      <c r="G307" s="8" t="inlineStr">
        <is>
          <t>Elemento</t>
        </is>
      </c>
      <c r="H307" s="8" t="inlineStr">
        <is>
          <t>Crítico?</t>
        </is>
      </c>
      <c r="I307" s="8" t="inlineStr">
        <is>
          <t>Dados extras (0–5)</t>
        </is>
      </c>
      <c r="J307" s="8" t="inlineStr">
        <is>
          <t>Resultado rolado</t>
        </is>
      </c>
      <c r="K307" s="8" t="inlineStr">
        <is>
          <t>Aviso</t>
        </is>
      </c>
      <c r="L307" s="20" t="n"/>
    </row>
    <row r="308" ht="48" customHeight="1">
      <c r="A308" s="9" t="inlineStr">
        <is>
          <t>Preencha</t>
        </is>
      </c>
      <c r="B308" s="4" t="n"/>
      <c r="C308" s="4" t="n"/>
      <c r="D308" s="16" t="n"/>
      <c r="E308" s="16" t="n"/>
      <c r="F308" s="16" t="n"/>
      <c r="G308" s="34" t="n"/>
      <c r="H308" s="34" t="n"/>
      <c r="I308" s="16" t="n"/>
      <c r="J308" s="16" t="n"/>
      <c r="K308" s="19">
        <f>IF(CJ308&gt;0,"O Google leu como fórmula: escolha de novo ou digite com ' na frente.","")</f>
        <v/>
      </c>
      <c r="CA308" s="2">
        <f>IF(ISERROR($B$308),"",IF(ISBLANK($B$308),"",$B$308))</f>
        <v/>
      </c>
      <c r="CB308" s="2">
        <f>IF(ISERROR($C$308),"",IF(ISBLANK($C$308),"",$C$308))</f>
        <v/>
      </c>
      <c r="CC308" s="2">
        <f>IF(ISERROR($D$308),"",IF(ISBLANK($D$308),"",$D$308))</f>
        <v/>
      </c>
      <c r="CD308" s="2">
        <f>IF(ISERROR($E$308),"",IF(ISBLANK($E$308),"",$E$308))</f>
        <v/>
      </c>
      <c r="CE308" s="2">
        <f>IF(ISERROR($F$308),"",IF(ISBLANK($F$308),"",$F$308))</f>
        <v/>
      </c>
      <c r="CF308" s="2">
        <f>IF(ISERROR($G$308),"",IF(ISBLANK($G$308),"",$G$308))</f>
        <v/>
      </c>
      <c r="CG308" s="2">
        <f>IF(ISERROR($H$308),"",IF(ISBLANK($H$308),"",$H$308))</f>
        <v/>
      </c>
      <c r="CH308" s="2">
        <f>IF(ISERROR($I$308),"",IF(ISBLANK($I$308),"",$I$308))</f>
        <v/>
      </c>
      <c r="CI308" s="2">
        <f>IF(ISERROR($J$308),"",IF(ISBLANK($J$308),"",$J$308))</f>
        <v/>
      </c>
      <c r="CJ308" s="2">
        <f>ISERROR($B$308)*1+ISERROR($C$308)*1+ISERROR($D$308)*1+ISERROR($E$308)*1+ISERROR($F$308)*1+ISERROR($G$308)*1+ISERROR($H$308)*1+ISERROR($I$308)*1+ISERROR($J$308)*1</f>
        <v/>
      </c>
    </row>
    <row r="309" ht="26" customHeight="1">
      <c r="A309" s="8" t="inlineStr">
        <is>
          <t>Resultado</t>
        </is>
      </c>
      <c r="B309" s="8" t="inlineStr">
        <is>
          <t>Situação</t>
        </is>
      </c>
      <c r="C309" s="8" t="inlineStr">
        <is>
          <t>Dados finais</t>
        </is>
      </c>
      <c r="D309" s="8" t="inlineStr">
        <is>
          <t>Expressão</t>
        </is>
      </c>
      <c r="E309" s="20" t="n"/>
      <c r="F309" s="8" t="inlineStr">
        <is>
          <t>Média</t>
        </is>
      </c>
      <c r="G309" s="8" t="inlineStr">
        <is>
          <t>RD do alvo</t>
        </is>
      </c>
      <c r="H309" s="8" t="inlineStr">
        <is>
          <t>Dano final</t>
        </is>
      </c>
      <c r="I309" s="8" t="inlineStr">
        <is>
          <t>Redução de Tenacidade</t>
        </is>
      </c>
      <c r="J309" s="8" t="inlineStr">
        <is>
          <t>Tenacidade depois</t>
        </is>
      </c>
      <c r="K309" s="8" t="inlineStr">
        <is>
          <t>Aviso</t>
        </is>
      </c>
      <c r="L309" s="20" t="n"/>
      <c r="N309" s="2">
        <f>IF(LEN($CB$308)=0,"",IFERROR(MATCH($CB$308,$BY$45:$BY$54,0),""))</f>
        <v/>
      </c>
      <c r="O309" s="2">
        <f>IF(OR(NOT(ISNUMBER($N$309)),LEN($CF$308)=0),"neutro",IF((IF(INDEX($BJ$45:$BJ$54,$N$309)=$CF$308,1,0)+IF(INDEX($BK$45:$BK$54,$N$309)=$CF$308,1,0)+IF(INDEX($BL$45:$BL$54,$N$309)=$CF$308,1,0)+IF(INDEX($BM$45:$BM$54,$N$309)=$CF$308,1,0))&gt;0,"Fraqueza",IF(INDEX($BN$45:$BN$54,$N$309)=$CF$308,"Resistência","neutro")))</f>
        <v/>
      </c>
      <c r="P309" s="2">
        <f>IF($CA$308="Dano Contínuo",1,0)</f>
        <v/>
      </c>
      <c r="Q309" s="2">
        <f>IF($P$309=1,IF(ISNUMBER($CC$308),MAX(1,INT($CC$308)),1),MAX(1,IF(ISNUMBER($CC$308),MAX(1,INT($CC$308)),1)*IF($CG$308="Sim",2,1)+IF($O$309="Fraqueza",2,0)-IF($O$309="Resistência",2,0))+MIN(3,IF(ISNUMBER($CH$308),MAX(0,INT($CH$308)),0)))</f>
        <v/>
      </c>
      <c r="R309" s="2">
        <f>INT($Q$309*(IF(ISNUMBER($CD$308),MAX(2,INT($CD$308)),6)+1)/2)+IF(ISNUMBER($CE$308),INT($CE$308),0)</f>
        <v/>
      </c>
      <c r="S309" s="2">
        <f>IF(OR(NOT(ISNUMBER($N$309)),$P$309=1),0,INDEX($BS$45:$BS$54,$N$309))</f>
        <v/>
      </c>
      <c r="T309" s="2">
        <f>IFERROR(INDEX('Dados'!$B$311:$B$320,MATCH($CA$308,'Dados'!$A$311:$A$320,0)),0)</f>
        <v/>
      </c>
      <c r="U309" s="2">
        <f>IF($T$309=0,0,IF($O$309="Fraqueza",$T$309,IF($O$309="Resistência",1,MAX(1,INT($T$309/2)))))</f>
        <v/>
      </c>
    </row>
    <row r="310" ht="26" customHeight="1">
      <c r="A310" s="9" t="inlineStr">
        <is>
          <t>Automático</t>
        </is>
      </c>
      <c r="B310" s="18">
        <f>IF(OR(NOT(ISNUMBER($N$309)),LEN($CA$308)=0),"",IF($P$309=1,"Dano Contínuo",$O$309))</f>
        <v/>
      </c>
      <c r="C310" s="18">
        <f>IF(OR(NOT(ISNUMBER($N$309)),LEN($CA$308)=0),"",$Q$309)</f>
        <v/>
      </c>
      <c r="D310" s="18">
        <f>IF(OR(NOT(ISNUMBER($N$309)),LEN($CA$308)=0),"",$Q$309&amp;"d"&amp;IF(ISNUMBER($CD$308),MAX(2,INT($CD$308)),6)&amp;IF(IF(ISNUMBER($CE$308),INT($CE$308),0)&gt;0," + "&amp;IF(ISNUMBER($CE$308),INT($CE$308),0),IF(IF(ISNUMBER($CE$308),INT($CE$308),0)&lt;0," − "&amp;ABS(IF(ISNUMBER($CE$308),INT($CE$308),0)),"")))</f>
        <v/>
      </c>
      <c r="F310" s="18">
        <f>IF(OR(NOT(ISNUMBER($N$309)),LEN($CA$308)=0),"",$R$309)</f>
        <v/>
      </c>
      <c r="G310" s="18">
        <f>IF(OR(NOT(ISNUMBER($N$309)),LEN($CA$308)=0),"",$S$309)</f>
        <v/>
      </c>
      <c r="H310" s="18">
        <f>IF(OR(NOT(ISNUMBER($N$309)),LEN($CA$308)=0),"",MAX(1,IF(ISNUMBER($CI$308),$CI$308,$R$309)-$S$309))</f>
        <v/>
      </c>
      <c r="I310" s="18">
        <f>IF(OR(NOT(ISNUMBER($N$309)),LEN($CA$308)=0),"",$U$309)</f>
        <v/>
      </c>
      <c r="J310" s="18">
        <f>IF(OR(NOT(ISNUMBER($N$309)),LEN($CA$308)=0),"",MAX(0,INDEX($BP$45:$BP$54,$N$309)-$U$309))</f>
        <v/>
      </c>
      <c r="K310" s="19">
        <f>IF(OR(NOT(ISNUMBER($N$309)),LEN($CA$308)=0),"",IF(AND(ISNUMBER($CH$308),$CH$308&gt;3),"Teto de +3 dados adicionais (16.9, 26.6): usando 3",IF(AND($P$309=1,OR($CG$308="Sim",$O$309&lt;&gt;"neutro")),"Dano Contínuo não crita, sem dados de Fraqueza e ignora RD (20.6)","Só reduz Tenacidade se acertou (20.3)")))</f>
        <v/>
      </c>
    </row>
    <row r="311" ht="26" customHeight="1">
      <c r="A311" s="32" t="inlineStr">
        <is>
          <t>Ordem de 23.1: dados base; +2 dados por Fraqueza ou −2 por Resistência (mínimo 1 dado); o crítico dobra só os dados base; soma o fixo; tira a RD (não em Dano Contínuo); mínimo 1. Os dados da Fraqueza ficam fora do teto de +3.</t>
        </is>
      </c>
    </row>
  </sheetData>
  <mergeCells count="721">
    <mergeCell ref="K233:L233"/>
    <mergeCell ref="F237:G237"/>
    <mergeCell ref="K227:L227"/>
    <mergeCell ref="H222:J222"/>
    <mergeCell ref="H184:L184"/>
    <mergeCell ref="H251:J251"/>
    <mergeCell ref="F187:G187"/>
    <mergeCell ref="K33:L33"/>
    <mergeCell ref="B141:C141"/>
    <mergeCell ref="K104:L104"/>
    <mergeCell ref="H238:J238"/>
    <mergeCell ref="F174:G174"/>
    <mergeCell ref="H278:J278"/>
    <mergeCell ref="H253:J253"/>
    <mergeCell ref="K241:L241"/>
    <mergeCell ref="K35:L35"/>
    <mergeCell ref="K302:L302"/>
    <mergeCell ref="B248:C248"/>
    <mergeCell ref="B297:C297"/>
    <mergeCell ref="B235:C235"/>
    <mergeCell ref="K81:L81"/>
    <mergeCell ref="K252:L252"/>
    <mergeCell ref="B299:C299"/>
    <mergeCell ref="F263:G263"/>
    <mergeCell ref="H273:J273"/>
    <mergeCell ref="B249:C249"/>
    <mergeCell ref="B243:C243"/>
    <mergeCell ref="K101:L101"/>
    <mergeCell ref="K234:L234"/>
    <mergeCell ref="K28:L28"/>
    <mergeCell ref="K221:L221"/>
    <mergeCell ref="K215:L215"/>
    <mergeCell ref="B154:C154"/>
    <mergeCell ref="F175:G175"/>
    <mergeCell ref="F164:H164"/>
    <mergeCell ref="H226:J226"/>
    <mergeCell ref="K92:L92"/>
    <mergeCell ref="K236:L236"/>
    <mergeCell ref="H297:J297"/>
    <mergeCell ref="B200:C200"/>
    <mergeCell ref="K223:L223"/>
    <mergeCell ref="H291:J291"/>
    <mergeCell ref="A205:L205"/>
    <mergeCell ref="B156:C156"/>
    <mergeCell ref="H241:J241"/>
    <mergeCell ref="H228:J228"/>
    <mergeCell ref="B236:C236"/>
    <mergeCell ref="B223:C223"/>
    <mergeCell ref="B220:C220"/>
    <mergeCell ref="E77:G77"/>
    <mergeCell ref="K248:L248"/>
    <mergeCell ref="H243:J243"/>
    <mergeCell ref="F250:G250"/>
    <mergeCell ref="H292:J292"/>
    <mergeCell ref="B195:C195"/>
    <mergeCell ref="H192:L192"/>
    <mergeCell ref="B231:C231"/>
    <mergeCell ref="K247:L247"/>
    <mergeCell ref="F251:G251"/>
    <mergeCell ref="B287:C287"/>
    <mergeCell ref="F189:G189"/>
    <mergeCell ref="F45:G45"/>
    <mergeCell ref="H173:L173"/>
    <mergeCell ref="F238:G238"/>
    <mergeCell ref="K106:L106"/>
    <mergeCell ref="K277:L277"/>
    <mergeCell ref="F188:G188"/>
    <mergeCell ref="K249:L249"/>
    <mergeCell ref="F253:G253"/>
    <mergeCell ref="K105:L105"/>
    <mergeCell ref="K243:L243"/>
    <mergeCell ref="F47:G47"/>
    <mergeCell ref="B289:C289"/>
    <mergeCell ref="F240:G240"/>
    <mergeCell ref="H187:L187"/>
    <mergeCell ref="H254:J254"/>
    <mergeCell ref="A31:L31"/>
    <mergeCell ref="F46:G46"/>
    <mergeCell ref="K120:L120"/>
    <mergeCell ref="F190:G190"/>
    <mergeCell ref="K107:L107"/>
    <mergeCell ref="F25:H25"/>
    <mergeCell ref="H256:J256"/>
    <mergeCell ref="F48:G48"/>
    <mergeCell ref="B142:C142"/>
    <mergeCell ref="B213:C213"/>
    <mergeCell ref="E82:G82"/>
    <mergeCell ref="B144:C144"/>
    <mergeCell ref="B242:C242"/>
    <mergeCell ref="F266:G266"/>
    <mergeCell ref="K25:L25"/>
    <mergeCell ref="B302:C302"/>
    <mergeCell ref="B208:C208"/>
    <mergeCell ref="D92:J92"/>
    <mergeCell ref="F208:G208"/>
    <mergeCell ref="H218:J218"/>
    <mergeCell ref="K54:L54"/>
    <mergeCell ref="H180:L180"/>
    <mergeCell ref="K29:L29"/>
    <mergeCell ref="B210:C210"/>
    <mergeCell ref="K244:L244"/>
    <mergeCell ref="K271:L271"/>
    <mergeCell ref="F201:G201"/>
    <mergeCell ref="D94:J94"/>
    <mergeCell ref="K262:L262"/>
    <mergeCell ref="K44:L44"/>
    <mergeCell ref="H249:J249"/>
    <mergeCell ref="K237:L237"/>
    <mergeCell ref="K273:L273"/>
    <mergeCell ref="F228:G228"/>
    <mergeCell ref="F203:G203"/>
    <mergeCell ref="H242:J242"/>
    <mergeCell ref="E6:F6"/>
    <mergeCell ref="K239:L239"/>
    <mergeCell ref="B234:C234"/>
    <mergeCell ref="H294:J294"/>
    <mergeCell ref="B172:C172"/>
    <mergeCell ref="H194:L194"/>
    <mergeCell ref="F259:G259"/>
    <mergeCell ref="B270:C270"/>
    <mergeCell ref="H244:J244"/>
    <mergeCell ref="H231:J231"/>
    <mergeCell ref="B239:C239"/>
    <mergeCell ref="K268:L268"/>
    <mergeCell ref="F261:G261"/>
    <mergeCell ref="H195:L195"/>
    <mergeCell ref="K57:L57"/>
    <mergeCell ref="H189:L189"/>
    <mergeCell ref="D87:J87"/>
    <mergeCell ref="K128:L128"/>
    <mergeCell ref="A70:L70"/>
    <mergeCell ref="F254:G254"/>
    <mergeCell ref="K255:L255"/>
    <mergeCell ref="F290:G290"/>
    <mergeCell ref="K242:L242"/>
    <mergeCell ref="H197:L197"/>
    <mergeCell ref="K121:L121"/>
    <mergeCell ref="F256:G256"/>
    <mergeCell ref="A99:L99"/>
    <mergeCell ref="B150:C150"/>
    <mergeCell ref="H247:J247"/>
    <mergeCell ref="F183:G183"/>
    <mergeCell ref="F193:G193"/>
    <mergeCell ref="K123:L123"/>
    <mergeCell ref="H262:J262"/>
    <mergeCell ref="K110:L110"/>
    <mergeCell ref="B263:C263"/>
    <mergeCell ref="B152:C152"/>
    <mergeCell ref="K286:L286"/>
    <mergeCell ref="F285:G285"/>
    <mergeCell ref="F28:H28"/>
    <mergeCell ref="B244:C244"/>
    <mergeCell ref="B229:C229"/>
    <mergeCell ref="F51:G51"/>
    <mergeCell ref="B145:C145"/>
    <mergeCell ref="B181:C181"/>
    <mergeCell ref="K75:L75"/>
    <mergeCell ref="F272:G272"/>
    <mergeCell ref="A311:L311"/>
    <mergeCell ref="B258:C258"/>
    <mergeCell ref="B147:C147"/>
    <mergeCell ref="F209:G209"/>
    <mergeCell ref="B245:C245"/>
    <mergeCell ref="K270:L270"/>
    <mergeCell ref="F274:G274"/>
    <mergeCell ref="K297:L297"/>
    <mergeCell ref="H190:L190"/>
    <mergeCell ref="K245:L245"/>
    <mergeCell ref="B260:C260"/>
    <mergeCell ref="K14:L14"/>
    <mergeCell ref="F211:G211"/>
    <mergeCell ref="H275:J275"/>
    <mergeCell ref="H183:L183"/>
    <mergeCell ref="K299:L299"/>
    <mergeCell ref="F186:G186"/>
    <mergeCell ref="K293:L293"/>
    <mergeCell ref="F146:H146"/>
    <mergeCell ref="K103:L103"/>
    <mergeCell ref="F269:G269"/>
    <mergeCell ref="H185:L185"/>
    <mergeCell ref="B163:C163"/>
    <mergeCell ref="H252:J252"/>
    <mergeCell ref="B271:C271"/>
    <mergeCell ref="F300:G300"/>
    <mergeCell ref="K217:L217"/>
    <mergeCell ref="F141:H141"/>
    <mergeCell ref="H201:L201"/>
    <mergeCell ref="D88:J88"/>
    <mergeCell ref="K129:L129"/>
    <mergeCell ref="H188:L188"/>
    <mergeCell ref="K50:L50"/>
    <mergeCell ref="K292:L292"/>
    <mergeCell ref="D90:J90"/>
    <mergeCell ref="K131:L131"/>
    <mergeCell ref="K258:L258"/>
    <mergeCell ref="K58:L58"/>
    <mergeCell ref="E81:G81"/>
    <mergeCell ref="K307:L307"/>
    <mergeCell ref="K52:L52"/>
    <mergeCell ref="F224:G224"/>
    <mergeCell ref="H288:J288"/>
    <mergeCell ref="B191:C191"/>
    <mergeCell ref="B178:C178"/>
    <mergeCell ref="H263:J263"/>
    <mergeCell ref="F199:G199"/>
    <mergeCell ref="K260:L260"/>
    <mergeCell ref="K287:L287"/>
    <mergeCell ref="B255:C255"/>
    <mergeCell ref="H198:L198"/>
    <mergeCell ref="H265:J265"/>
    <mergeCell ref="K53:L53"/>
    <mergeCell ref="B266:C266"/>
    <mergeCell ref="K289:L289"/>
    <mergeCell ref="F293:G293"/>
    <mergeCell ref="D309:E309"/>
    <mergeCell ref="B197:C197"/>
    <mergeCell ref="B268:C268"/>
    <mergeCell ref="K78:L78"/>
    <mergeCell ref="F275:G275"/>
    <mergeCell ref="F54:G54"/>
    <mergeCell ref="B261:C261"/>
    <mergeCell ref="F154:H154"/>
    <mergeCell ref="K15:L15"/>
    <mergeCell ref="F212:G212"/>
    <mergeCell ref="K80:L80"/>
    <mergeCell ref="F277:G277"/>
    <mergeCell ref="H193:L193"/>
    <mergeCell ref="A3:L3"/>
    <mergeCell ref="K79:L79"/>
    <mergeCell ref="F156:H156"/>
    <mergeCell ref="F276:G276"/>
    <mergeCell ref="F214:G214"/>
    <mergeCell ref="K119:L119"/>
    <mergeCell ref="A5:L5"/>
    <mergeCell ref="F155:H155"/>
    <mergeCell ref="F149:H149"/>
    <mergeCell ref="H293:J293"/>
    <mergeCell ref="A97:L97"/>
    <mergeCell ref="K208:L208"/>
    <mergeCell ref="B179:C179"/>
    <mergeCell ref="B250:C250"/>
    <mergeCell ref="B166:L166"/>
    <mergeCell ref="F151:H151"/>
    <mergeCell ref="H213:J213"/>
    <mergeCell ref="D96:J96"/>
    <mergeCell ref="B174:C174"/>
    <mergeCell ref="B230:C230"/>
    <mergeCell ref="B279:C279"/>
    <mergeCell ref="F303:G303"/>
    <mergeCell ref="F230:G230"/>
    <mergeCell ref="K220:L220"/>
    <mergeCell ref="H215:J215"/>
    <mergeCell ref="B281:C281"/>
    <mergeCell ref="K284:L284"/>
    <mergeCell ref="F288:G288"/>
    <mergeCell ref="K222:L222"/>
    <mergeCell ref="H204:L204"/>
    <mergeCell ref="D91:J91"/>
    <mergeCell ref="K66:L66"/>
    <mergeCell ref="H271:J271"/>
    <mergeCell ref="K259:L259"/>
    <mergeCell ref="K124:L124"/>
    <mergeCell ref="F225:G225"/>
    <mergeCell ref="K74:L74"/>
    <mergeCell ref="D93:J93"/>
    <mergeCell ref="F271:G271"/>
    <mergeCell ref="K310:L310"/>
    <mergeCell ref="F227:G227"/>
    <mergeCell ref="B194:C194"/>
    <mergeCell ref="B292:C292"/>
    <mergeCell ref="H266:J266"/>
    <mergeCell ref="F202:G202"/>
    <mergeCell ref="H302:J302"/>
    <mergeCell ref="K290:L290"/>
    <mergeCell ref="F283:G283"/>
    <mergeCell ref="K213:L213"/>
    <mergeCell ref="B294:C294"/>
    <mergeCell ref="H208:J208"/>
    <mergeCell ref="H268:J268"/>
    <mergeCell ref="F298:G298"/>
    <mergeCell ref="A22:L22"/>
    <mergeCell ref="B162:C162"/>
    <mergeCell ref="F291:G291"/>
    <mergeCell ref="K279:L279"/>
    <mergeCell ref="F180:G180"/>
    <mergeCell ref="F157:H157"/>
    <mergeCell ref="F264:G264"/>
    <mergeCell ref="K23:L23"/>
    <mergeCell ref="K216:L216"/>
    <mergeCell ref="F220:G220"/>
    <mergeCell ref="H284:J284"/>
    <mergeCell ref="K210:L210"/>
    <mergeCell ref="B187:C187"/>
    <mergeCell ref="K308:L308"/>
    <mergeCell ref="A304:L304"/>
    <mergeCell ref="B241:C241"/>
    <mergeCell ref="H221:J221"/>
    <mergeCell ref="B251:C251"/>
    <mergeCell ref="H286:J286"/>
    <mergeCell ref="F222:G222"/>
    <mergeCell ref="B216:C216"/>
    <mergeCell ref="K274:L274"/>
    <mergeCell ref="B189:C189"/>
    <mergeCell ref="H236:J236"/>
    <mergeCell ref="B188:C188"/>
    <mergeCell ref="K18:L18"/>
    <mergeCell ref="H223:J223"/>
    <mergeCell ref="H279:J279"/>
    <mergeCell ref="H179:L179"/>
    <mergeCell ref="B280:C280"/>
    <mergeCell ref="B218:C218"/>
    <mergeCell ref="F182:G182"/>
    <mergeCell ref="K34:L34"/>
    <mergeCell ref="F296:G296"/>
    <mergeCell ref="B190:C190"/>
    <mergeCell ref="B295:C295"/>
    <mergeCell ref="H281:J281"/>
    <mergeCell ref="F246:G246"/>
    <mergeCell ref="B282:C282"/>
    <mergeCell ref="K36:L36"/>
    <mergeCell ref="F233:G233"/>
    <mergeCell ref="B219:C219"/>
    <mergeCell ref="F177:G177"/>
    <mergeCell ref="F248:G248"/>
    <mergeCell ref="K300:L300"/>
    <mergeCell ref="K100:L100"/>
    <mergeCell ref="F297:G297"/>
    <mergeCell ref="K94:L94"/>
    <mergeCell ref="F235:G235"/>
    <mergeCell ref="H172:L172"/>
    <mergeCell ref="F302:G302"/>
    <mergeCell ref="K102:L102"/>
    <mergeCell ref="K229:L229"/>
    <mergeCell ref="K77:L77"/>
    <mergeCell ref="A68:L68"/>
    <mergeCell ref="E75:G75"/>
    <mergeCell ref="F243:G243"/>
    <mergeCell ref="H234:J234"/>
    <mergeCell ref="F147:H147"/>
    <mergeCell ref="H209:J209"/>
    <mergeCell ref="B300:C300"/>
    <mergeCell ref="K246:L246"/>
    <mergeCell ref="B201:C201"/>
    <mergeCell ref="H211:J211"/>
    <mergeCell ref="B203:C203"/>
    <mergeCell ref="K87:L87"/>
    <mergeCell ref="K280:L280"/>
    <mergeCell ref="K218:L218"/>
    <mergeCell ref="K49:L49"/>
    <mergeCell ref="C6:D6"/>
    <mergeCell ref="F234:G234"/>
    <mergeCell ref="F172:G172"/>
    <mergeCell ref="K24:L24"/>
    <mergeCell ref="K295:L295"/>
    <mergeCell ref="K95:L95"/>
    <mergeCell ref="F221:G221"/>
    <mergeCell ref="B232:C232"/>
    <mergeCell ref="K89:L89"/>
    <mergeCell ref="K266:L266"/>
    <mergeCell ref="F196:G196"/>
    <mergeCell ref="K309:L309"/>
    <mergeCell ref="K113:L113"/>
    <mergeCell ref="B215:C215"/>
    <mergeCell ref="K232:L232"/>
    <mergeCell ref="F236:G236"/>
    <mergeCell ref="K88:L88"/>
    <mergeCell ref="H300:J300"/>
    <mergeCell ref="K26:L26"/>
    <mergeCell ref="A139:L139"/>
    <mergeCell ref="K219:L219"/>
    <mergeCell ref="F223:G223"/>
    <mergeCell ref="H287:J287"/>
    <mergeCell ref="H237:J237"/>
    <mergeCell ref="F173:G173"/>
    <mergeCell ref="K90:L90"/>
    <mergeCell ref="K261:L261"/>
    <mergeCell ref="F287:G287"/>
    <mergeCell ref="H289:J289"/>
    <mergeCell ref="B290:C290"/>
    <mergeCell ref="H301:J301"/>
    <mergeCell ref="H239:J239"/>
    <mergeCell ref="H182:L182"/>
    <mergeCell ref="F247:G247"/>
    <mergeCell ref="B283:C283"/>
    <mergeCell ref="F185:G185"/>
    <mergeCell ref="K115:L115"/>
    <mergeCell ref="H303:J303"/>
    <mergeCell ref="H290:J290"/>
    <mergeCell ref="H224:J224"/>
    <mergeCell ref="B298:C298"/>
    <mergeCell ref="F249:G249"/>
    <mergeCell ref="B285:C285"/>
    <mergeCell ref="K250:L250"/>
    <mergeCell ref="F176:G176"/>
    <mergeCell ref="K116:L116"/>
    <mergeCell ref="E83:G83"/>
    <mergeCell ref="H255:J255"/>
    <mergeCell ref="F278:G278"/>
    <mergeCell ref="K37:L37"/>
    <mergeCell ref="K230:L230"/>
    <mergeCell ref="B237:C237"/>
    <mergeCell ref="A69:L69"/>
    <mergeCell ref="K118:L118"/>
    <mergeCell ref="B209:C209"/>
    <mergeCell ref="K235:L235"/>
    <mergeCell ref="B301:C301"/>
    <mergeCell ref="H219:J219"/>
    <mergeCell ref="E78:G78"/>
    <mergeCell ref="H250:J250"/>
    <mergeCell ref="B140:C140"/>
    <mergeCell ref="B238:C238"/>
    <mergeCell ref="D89:J89"/>
    <mergeCell ref="F267:G267"/>
    <mergeCell ref="H283:J283"/>
    <mergeCell ref="B303:C303"/>
    <mergeCell ref="H277:J277"/>
    <mergeCell ref="E80:G80"/>
    <mergeCell ref="H177:L177"/>
    <mergeCell ref="B253:C253"/>
    <mergeCell ref="F27:H27"/>
    <mergeCell ref="K32:L32"/>
    <mergeCell ref="K63:L63"/>
    <mergeCell ref="B240:C240"/>
    <mergeCell ref="K134:L134"/>
    <mergeCell ref="F204:G204"/>
    <mergeCell ref="F198:G198"/>
    <mergeCell ref="H214:J214"/>
    <mergeCell ref="K96:L96"/>
    <mergeCell ref="F231:G231"/>
    <mergeCell ref="F262:G262"/>
    <mergeCell ref="K27:L27"/>
    <mergeCell ref="F273:G273"/>
    <mergeCell ref="A40:L40"/>
    <mergeCell ref="B158:C158"/>
    <mergeCell ref="F239:G239"/>
    <mergeCell ref="H230:J230"/>
    <mergeCell ref="E79:G79"/>
    <mergeCell ref="B160:C160"/>
    <mergeCell ref="H240:J240"/>
    <mergeCell ref="E73:G73"/>
    <mergeCell ref="K93:L93"/>
    <mergeCell ref="H232:J232"/>
    <mergeCell ref="F257:G257"/>
    <mergeCell ref="K16:L16"/>
    <mergeCell ref="B153:C153"/>
    <mergeCell ref="H175:L175"/>
    <mergeCell ref="B224:C224"/>
    <mergeCell ref="F178:G178"/>
    <mergeCell ref="B199:C199"/>
    <mergeCell ref="H196:L196"/>
    <mergeCell ref="K251:L251"/>
    <mergeCell ref="E74:G74"/>
    <mergeCell ref="K45:L45"/>
    <mergeCell ref="K238:L238"/>
    <mergeCell ref="F217:G217"/>
    <mergeCell ref="B184:C184"/>
    <mergeCell ref="K281:L281"/>
    <mergeCell ref="F23:H23"/>
    <mergeCell ref="B228:C228"/>
    <mergeCell ref="F192:G192"/>
    <mergeCell ref="K126:L126"/>
    <mergeCell ref="F252:G252"/>
    <mergeCell ref="H176:L176"/>
    <mergeCell ref="K253:L253"/>
    <mergeCell ref="K109:L109"/>
    <mergeCell ref="K47:L47"/>
    <mergeCell ref="K240:L240"/>
    <mergeCell ref="H191:L191"/>
    <mergeCell ref="H258:J258"/>
    <mergeCell ref="F194:G194"/>
    <mergeCell ref="K46:L46"/>
    <mergeCell ref="F50:G50"/>
    <mergeCell ref="H178:L178"/>
    <mergeCell ref="B148:C148"/>
    <mergeCell ref="H245:J245"/>
    <mergeCell ref="K282:L282"/>
    <mergeCell ref="F181:G181"/>
    <mergeCell ref="A72:L72"/>
    <mergeCell ref="K257:L257"/>
    <mergeCell ref="H260:J260"/>
    <mergeCell ref="B146:C146"/>
    <mergeCell ref="H203:L203"/>
    <mergeCell ref="B254:C254"/>
    <mergeCell ref="B143:C143"/>
    <mergeCell ref="H299:J299"/>
    <mergeCell ref="K73:L73"/>
    <mergeCell ref="F270:G270"/>
    <mergeCell ref="F245:G245"/>
    <mergeCell ref="F49:G49"/>
    <mergeCell ref="B256:C256"/>
    <mergeCell ref="K137:L137"/>
    <mergeCell ref="F299:G299"/>
    <mergeCell ref="F142:H142"/>
    <mergeCell ref="A41:L41"/>
    <mergeCell ref="K226:L226"/>
    <mergeCell ref="F265:G265"/>
    <mergeCell ref="H181:L181"/>
    <mergeCell ref="B159:C159"/>
    <mergeCell ref="K114:L114"/>
    <mergeCell ref="A56:L56"/>
    <mergeCell ref="F144:H144"/>
    <mergeCell ref="K228:L228"/>
    <mergeCell ref="B272:C272"/>
    <mergeCell ref="A306:L306"/>
    <mergeCell ref="B161:C161"/>
    <mergeCell ref="B167:L167"/>
    <mergeCell ref="H246:J246"/>
    <mergeCell ref="B259:C259"/>
    <mergeCell ref="A85:L85"/>
    <mergeCell ref="H233:J233"/>
    <mergeCell ref="B225:C225"/>
    <mergeCell ref="B274:C274"/>
    <mergeCell ref="E76:G76"/>
    <mergeCell ref="H248:J248"/>
    <mergeCell ref="B175:C175"/>
    <mergeCell ref="H235:J235"/>
    <mergeCell ref="K59:L59"/>
    <mergeCell ref="F200:G200"/>
    <mergeCell ref="K130:L130"/>
    <mergeCell ref="B267:C267"/>
    <mergeCell ref="K117:L117"/>
    <mergeCell ref="H199:L199"/>
    <mergeCell ref="A9:L9"/>
    <mergeCell ref="D86:J86"/>
    <mergeCell ref="K61:L61"/>
    <mergeCell ref="K132:L132"/>
    <mergeCell ref="K254:L254"/>
    <mergeCell ref="F258:G258"/>
    <mergeCell ref="B269:C269"/>
    <mergeCell ref="K48:L48"/>
    <mergeCell ref="F52:G52"/>
    <mergeCell ref="F294:G294"/>
    <mergeCell ref="H186:L186"/>
    <mergeCell ref="H259:J259"/>
    <mergeCell ref="K125:L125"/>
    <mergeCell ref="A11:L11"/>
    <mergeCell ref="A207:L207"/>
    <mergeCell ref="F195:G195"/>
    <mergeCell ref="A1:L1"/>
    <mergeCell ref="F260:G260"/>
    <mergeCell ref="K283:L283"/>
    <mergeCell ref="K62:L62"/>
    <mergeCell ref="H261:J261"/>
    <mergeCell ref="K127:L127"/>
    <mergeCell ref="F53:G53"/>
    <mergeCell ref="K298:L298"/>
    <mergeCell ref="F197:G197"/>
    <mergeCell ref="K285:L285"/>
    <mergeCell ref="F289:G289"/>
    <mergeCell ref="B155:C155"/>
    <mergeCell ref="B193:C193"/>
    <mergeCell ref="B264:C264"/>
    <mergeCell ref="B149:C149"/>
    <mergeCell ref="B247:C247"/>
    <mergeCell ref="K272:L272"/>
    <mergeCell ref="F150:H150"/>
    <mergeCell ref="B262:C262"/>
    <mergeCell ref="B151:C151"/>
    <mergeCell ref="K76:L76"/>
    <mergeCell ref="K209:L209"/>
    <mergeCell ref="F213:G213"/>
    <mergeCell ref="K301:L301"/>
    <mergeCell ref="F152:H152"/>
    <mergeCell ref="K276:L276"/>
    <mergeCell ref="F215:G215"/>
    <mergeCell ref="K267:L267"/>
    <mergeCell ref="K67:L67"/>
    <mergeCell ref="B182:C182"/>
    <mergeCell ref="K303:L303"/>
    <mergeCell ref="H174:L174"/>
    <mergeCell ref="H216:J216"/>
    <mergeCell ref="H272:J272"/>
    <mergeCell ref="K278:L278"/>
    <mergeCell ref="H210:J210"/>
    <mergeCell ref="B246:C246"/>
    <mergeCell ref="K269:L269"/>
    <mergeCell ref="B211:C211"/>
    <mergeCell ref="K296:L296"/>
    <mergeCell ref="B183:C183"/>
    <mergeCell ref="F210:G210"/>
    <mergeCell ref="H274:J274"/>
    <mergeCell ref="B177:C177"/>
    <mergeCell ref="B275:C275"/>
    <mergeCell ref="B164:C164"/>
    <mergeCell ref="F226:G226"/>
    <mergeCell ref="B212:C212"/>
    <mergeCell ref="F241:G241"/>
    <mergeCell ref="B277:C277"/>
    <mergeCell ref="F284:G284"/>
    <mergeCell ref="B252:C252"/>
    <mergeCell ref="H200:L200"/>
    <mergeCell ref="F145:H145"/>
    <mergeCell ref="K133:L133"/>
    <mergeCell ref="F163:H163"/>
    <mergeCell ref="F292:G292"/>
    <mergeCell ref="F286:G286"/>
    <mergeCell ref="H202:L202"/>
    <mergeCell ref="B180:C180"/>
    <mergeCell ref="A12:L12"/>
    <mergeCell ref="K64:L64"/>
    <mergeCell ref="D310:E310"/>
    <mergeCell ref="K135:L135"/>
    <mergeCell ref="K51:L51"/>
    <mergeCell ref="K122:L122"/>
    <mergeCell ref="F140:H140"/>
    <mergeCell ref="H267:J267"/>
    <mergeCell ref="B157:C157"/>
    <mergeCell ref="H229:J229"/>
    <mergeCell ref="K291:L291"/>
    <mergeCell ref="H264:J264"/>
    <mergeCell ref="H269:J269"/>
    <mergeCell ref="A43:L43"/>
    <mergeCell ref="A170:L170"/>
    <mergeCell ref="B196:C196"/>
    <mergeCell ref="B186:C186"/>
    <mergeCell ref="B257:C257"/>
    <mergeCell ref="B288:C288"/>
    <mergeCell ref="K211:L211"/>
    <mergeCell ref="F29:H29"/>
    <mergeCell ref="K17:L17"/>
    <mergeCell ref="K82:L82"/>
    <mergeCell ref="K275:L275"/>
    <mergeCell ref="F279:G279"/>
    <mergeCell ref="B265:C265"/>
    <mergeCell ref="F158:H158"/>
    <mergeCell ref="K19:L19"/>
    <mergeCell ref="K212:L212"/>
    <mergeCell ref="F216:G216"/>
    <mergeCell ref="H280:J280"/>
    <mergeCell ref="K6:L6"/>
    <mergeCell ref="F281:G281"/>
    <mergeCell ref="F24:H24"/>
    <mergeCell ref="H295:J295"/>
    <mergeCell ref="K83:L83"/>
    <mergeCell ref="F160:H160"/>
    <mergeCell ref="F280:G280"/>
    <mergeCell ref="K214:L214"/>
    <mergeCell ref="F218:G218"/>
    <mergeCell ref="H282:J282"/>
    <mergeCell ref="B185:C185"/>
    <mergeCell ref="H257:J257"/>
    <mergeCell ref="F26:H26"/>
    <mergeCell ref="F159:H159"/>
    <mergeCell ref="F153:H153"/>
    <mergeCell ref="B276:C276"/>
    <mergeCell ref="B214:C214"/>
    <mergeCell ref="B176:C176"/>
    <mergeCell ref="K60:L60"/>
    <mergeCell ref="H296:J296"/>
    <mergeCell ref="H217:J217"/>
    <mergeCell ref="F242:G242"/>
    <mergeCell ref="B278:C278"/>
    <mergeCell ref="K224:L224"/>
    <mergeCell ref="F244:G244"/>
    <mergeCell ref="A112:L112"/>
    <mergeCell ref="B171:L171"/>
    <mergeCell ref="K288:L288"/>
    <mergeCell ref="F148:H148"/>
    <mergeCell ref="A13:L13"/>
    <mergeCell ref="D95:J95"/>
    <mergeCell ref="K136:L136"/>
    <mergeCell ref="K263:L263"/>
    <mergeCell ref="K225:L225"/>
    <mergeCell ref="F229:G229"/>
    <mergeCell ref="K7:L7"/>
    <mergeCell ref="H212:J212"/>
    <mergeCell ref="C7:D7"/>
    <mergeCell ref="E7:F7"/>
    <mergeCell ref="K265:L265"/>
    <mergeCell ref="K65:L65"/>
    <mergeCell ref="B204:C204"/>
    <mergeCell ref="B198:C198"/>
    <mergeCell ref="F143:H143"/>
    <mergeCell ref="B296:C296"/>
    <mergeCell ref="H276:J276"/>
    <mergeCell ref="H270:J270"/>
    <mergeCell ref="B173:C173"/>
    <mergeCell ref="K294:L294"/>
    <mergeCell ref="B233:C233"/>
    <mergeCell ref="B227:C227"/>
    <mergeCell ref="F191:G191"/>
    <mergeCell ref="K108:L108"/>
    <mergeCell ref="K231:L231"/>
    <mergeCell ref="B202:C202"/>
    <mergeCell ref="B273:C273"/>
    <mergeCell ref="F255:G255"/>
    <mergeCell ref="B291:C291"/>
    <mergeCell ref="F301:G301"/>
    <mergeCell ref="K20:L20"/>
    <mergeCell ref="F295:G295"/>
    <mergeCell ref="K91:L91"/>
    <mergeCell ref="K256:L256"/>
    <mergeCell ref="F282:G282"/>
    <mergeCell ref="B293:C293"/>
    <mergeCell ref="A8:L8"/>
    <mergeCell ref="F232:G232"/>
    <mergeCell ref="F161:H161"/>
    <mergeCell ref="F219:G219"/>
    <mergeCell ref="K264:L264"/>
    <mergeCell ref="F268:G268"/>
    <mergeCell ref="A10:L10"/>
    <mergeCell ref="H298:J298"/>
    <mergeCell ref="K86:L86"/>
    <mergeCell ref="H225:J225"/>
    <mergeCell ref="H285:J285"/>
    <mergeCell ref="B226:C226"/>
    <mergeCell ref="F184:G184"/>
    <mergeCell ref="B217:C217"/>
    <mergeCell ref="F162:H162"/>
    <mergeCell ref="A39:L39"/>
    <mergeCell ref="B192:C192"/>
    <mergeCell ref="H227:J227"/>
    <mergeCell ref="B284:C284"/>
    <mergeCell ref="B222:C222"/>
    <mergeCell ref="K38:L38"/>
    <mergeCell ref="H220:J220"/>
    <mergeCell ref="A168:L168"/>
    <mergeCell ref="B221:C221"/>
    <mergeCell ref="F179:G179"/>
    <mergeCell ref="B286:C286"/>
    <mergeCell ref="F44:G44"/>
  </mergeCells>
  <conditionalFormatting sqref="K7">
    <cfRule type="expression" priority="1" dxfId="0">
      <formula>LEN(K7)&gt;0</formula>
    </cfRule>
  </conditionalFormatting>
  <conditionalFormatting sqref="K15">
    <cfRule type="expression" priority="2" dxfId="0">
      <formula>LEN(K15)&gt;0</formula>
    </cfRule>
  </conditionalFormatting>
  <conditionalFormatting sqref="K24">
    <cfRule type="expression" priority="3" dxfId="0">
      <formula>LEN(K24)&gt;0</formula>
    </cfRule>
  </conditionalFormatting>
  <conditionalFormatting sqref="K16">
    <cfRule type="expression" priority="4" dxfId="0">
      <formula>LEN(K16)&gt;0</formula>
    </cfRule>
  </conditionalFormatting>
  <conditionalFormatting sqref="K25">
    <cfRule type="expression" priority="5" dxfId="0">
      <formula>LEN(K25)&gt;0</formula>
    </cfRule>
  </conditionalFormatting>
  <conditionalFormatting sqref="K17">
    <cfRule type="expression" priority="6" dxfId="0">
      <formula>LEN(K17)&gt;0</formula>
    </cfRule>
  </conditionalFormatting>
  <conditionalFormatting sqref="K26">
    <cfRule type="expression" priority="7" dxfId="0">
      <formula>LEN(K26)&gt;0</formula>
    </cfRule>
  </conditionalFormatting>
  <conditionalFormatting sqref="K18">
    <cfRule type="expression" priority="8" dxfId="0">
      <formula>LEN(K18)&gt;0</formula>
    </cfRule>
  </conditionalFormatting>
  <conditionalFormatting sqref="K27">
    <cfRule type="expression" priority="9" dxfId="0">
      <formula>LEN(K27)&gt;0</formula>
    </cfRule>
  </conditionalFormatting>
  <conditionalFormatting sqref="K19">
    <cfRule type="expression" priority="10" dxfId="0">
      <formula>LEN(K19)&gt;0</formula>
    </cfRule>
  </conditionalFormatting>
  <conditionalFormatting sqref="K28">
    <cfRule type="expression" priority="11" dxfId="0">
      <formula>LEN(K28)&gt;0</formula>
    </cfRule>
  </conditionalFormatting>
  <conditionalFormatting sqref="K20">
    <cfRule type="expression" priority="12" dxfId="0">
      <formula>LEN(K20)&gt;0</formula>
    </cfRule>
  </conditionalFormatting>
  <conditionalFormatting sqref="K29">
    <cfRule type="expression" priority="13" dxfId="0">
      <formula>LEN(K29)&gt;0</formula>
    </cfRule>
  </conditionalFormatting>
  <conditionalFormatting sqref="K33">
    <cfRule type="expression" priority="14" dxfId="0">
      <formula>LEN(K33)&gt;0</formula>
    </cfRule>
  </conditionalFormatting>
  <conditionalFormatting sqref="K34">
    <cfRule type="expression" priority="15" dxfId="0">
      <formula>LEN(K34)&gt;0</formula>
    </cfRule>
  </conditionalFormatting>
  <conditionalFormatting sqref="K35">
    <cfRule type="expression" priority="16" dxfId="0">
      <formula>LEN(K35)&gt;0</formula>
    </cfRule>
  </conditionalFormatting>
  <conditionalFormatting sqref="K36">
    <cfRule type="expression" priority="17" dxfId="0">
      <formula>LEN(K36)&gt;0</formula>
    </cfRule>
  </conditionalFormatting>
  <conditionalFormatting sqref="K37">
    <cfRule type="expression" priority="18" dxfId="0">
      <formula>LEN(K37)&gt;0</formula>
    </cfRule>
  </conditionalFormatting>
  <conditionalFormatting sqref="K38">
    <cfRule type="expression" priority="19" dxfId="0">
      <formula>LEN(K38)&gt;0</formula>
    </cfRule>
  </conditionalFormatting>
  <conditionalFormatting sqref="K45">
    <cfRule type="expression" priority="20" dxfId="0">
      <formula>LEN(K45)&gt;0</formula>
    </cfRule>
  </conditionalFormatting>
  <conditionalFormatting sqref="K58">
    <cfRule type="expression" priority="21" dxfId="0">
      <formula>LEN(K58)&gt;0</formula>
    </cfRule>
  </conditionalFormatting>
  <conditionalFormatting sqref="K74">
    <cfRule type="expression" priority="22" dxfId="0">
      <formula>LEN(K74)&gt;0</formula>
    </cfRule>
  </conditionalFormatting>
  <conditionalFormatting sqref="K87">
    <cfRule type="expression" priority="23" dxfId="0">
      <formula>LEN(K87)&gt;0</formula>
    </cfRule>
  </conditionalFormatting>
  <conditionalFormatting sqref="K101">
    <cfRule type="expression" priority="24" dxfId="0">
      <formula>LEN(K101)&gt;0</formula>
    </cfRule>
  </conditionalFormatting>
  <conditionalFormatting sqref="K46">
    <cfRule type="expression" priority="25" dxfId="0">
      <formula>LEN(K46)&gt;0</formula>
    </cfRule>
  </conditionalFormatting>
  <conditionalFormatting sqref="K59">
    <cfRule type="expression" priority="26" dxfId="0">
      <formula>LEN(K59)&gt;0</formula>
    </cfRule>
  </conditionalFormatting>
  <conditionalFormatting sqref="K75">
    <cfRule type="expression" priority="27" dxfId="0">
      <formula>LEN(K75)&gt;0</formula>
    </cfRule>
  </conditionalFormatting>
  <conditionalFormatting sqref="K88">
    <cfRule type="expression" priority="28" dxfId="0">
      <formula>LEN(K88)&gt;0</formula>
    </cfRule>
  </conditionalFormatting>
  <conditionalFormatting sqref="K102">
    <cfRule type="expression" priority="29" dxfId="0">
      <formula>LEN(K102)&gt;0</formula>
    </cfRule>
  </conditionalFormatting>
  <conditionalFormatting sqref="K47">
    <cfRule type="expression" priority="30" dxfId="0">
      <formula>LEN(K47)&gt;0</formula>
    </cfRule>
  </conditionalFormatting>
  <conditionalFormatting sqref="K60">
    <cfRule type="expression" priority="31" dxfId="0">
      <formula>LEN(K60)&gt;0</formula>
    </cfRule>
  </conditionalFormatting>
  <conditionalFormatting sqref="K76">
    <cfRule type="expression" priority="32" dxfId="0">
      <formula>LEN(K76)&gt;0</formula>
    </cfRule>
  </conditionalFormatting>
  <conditionalFormatting sqref="K89">
    <cfRule type="expression" priority="33" dxfId="0">
      <formula>LEN(K89)&gt;0</formula>
    </cfRule>
  </conditionalFormatting>
  <conditionalFormatting sqref="K103">
    <cfRule type="expression" priority="34" dxfId="0">
      <formula>LEN(K103)&gt;0</formula>
    </cfRule>
  </conditionalFormatting>
  <conditionalFormatting sqref="K48">
    <cfRule type="expression" priority="35" dxfId="0">
      <formula>LEN(K48)&gt;0</formula>
    </cfRule>
  </conditionalFormatting>
  <conditionalFormatting sqref="K61">
    <cfRule type="expression" priority="36" dxfId="0">
      <formula>LEN(K61)&gt;0</formula>
    </cfRule>
  </conditionalFormatting>
  <conditionalFormatting sqref="K77">
    <cfRule type="expression" priority="37" dxfId="0">
      <formula>LEN(K77)&gt;0</formula>
    </cfRule>
  </conditionalFormatting>
  <conditionalFormatting sqref="K90">
    <cfRule type="expression" priority="38" dxfId="0">
      <formula>LEN(K90)&gt;0</formula>
    </cfRule>
  </conditionalFormatting>
  <conditionalFormatting sqref="K104">
    <cfRule type="expression" priority="39" dxfId="0">
      <formula>LEN(K104)&gt;0</formula>
    </cfRule>
  </conditionalFormatting>
  <conditionalFormatting sqref="K49">
    <cfRule type="expression" priority="40" dxfId="0">
      <formula>LEN(K49)&gt;0</formula>
    </cfRule>
  </conditionalFormatting>
  <conditionalFormatting sqref="K62">
    <cfRule type="expression" priority="41" dxfId="0">
      <formula>LEN(K62)&gt;0</formula>
    </cfRule>
  </conditionalFormatting>
  <conditionalFormatting sqref="K78">
    <cfRule type="expression" priority="42" dxfId="0">
      <formula>LEN(K78)&gt;0</formula>
    </cfRule>
  </conditionalFormatting>
  <conditionalFormatting sqref="K91">
    <cfRule type="expression" priority="43" dxfId="0">
      <formula>LEN(K91)&gt;0</formula>
    </cfRule>
  </conditionalFormatting>
  <conditionalFormatting sqref="K105">
    <cfRule type="expression" priority="44" dxfId="0">
      <formula>LEN(K105)&gt;0</formula>
    </cfRule>
  </conditionalFormatting>
  <conditionalFormatting sqref="K50">
    <cfRule type="expression" priority="45" dxfId="0">
      <formula>LEN(K50)&gt;0</formula>
    </cfRule>
  </conditionalFormatting>
  <conditionalFormatting sqref="K63">
    <cfRule type="expression" priority="46" dxfId="0">
      <formula>LEN(K63)&gt;0</formula>
    </cfRule>
  </conditionalFormatting>
  <conditionalFormatting sqref="K79">
    <cfRule type="expression" priority="47" dxfId="0">
      <formula>LEN(K79)&gt;0</formula>
    </cfRule>
  </conditionalFormatting>
  <conditionalFormatting sqref="K92">
    <cfRule type="expression" priority="48" dxfId="0">
      <formula>LEN(K92)&gt;0</formula>
    </cfRule>
  </conditionalFormatting>
  <conditionalFormatting sqref="K106">
    <cfRule type="expression" priority="49" dxfId="0">
      <formula>LEN(K106)&gt;0</formula>
    </cfRule>
  </conditionalFormatting>
  <conditionalFormatting sqref="K51">
    <cfRule type="expression" priority="50" dxfId="0">
      <formula>LEN(K51)&gt;0</formula>
    </cfRule>
  </conditionalFormatting>
  <conditionalFormatting sqref="K64">
    <cfRule type="expression" priority="51" dxfId="0">
      <formula>LEN(K64)&gt;0</formula>
    </cfRule>
  </conditionalFormatting>
  <conditionalFormatting sqref="K80">
    <cfRule type="expression" priority="52" dxfId="0">
      <formula>LEN(K80)&gt;0</formula>
    </cfRule>
  </conditionalFormatting>
  <conditionalFormatting sqref="K93">
    <cfRule type="expression" priority="53" dxfId="0">
      <formula>LEN(K93)&gt;0</formula>
    </cfRule>
  </conditionalFormatting>
  <conditionalFormatting sqref="K107">
    <cfRule type="expression" priority="54" dxfId="0">
      <formula>LEN(K107)&gt;0</formula>
    </cfRule>
  </conditionalFormatting>
  <conditionalFormatting sqref="K52">
    <cfRule type="expression" priority="55" dxfId="0">
      <formula>LEN(K52)&gt;0</formula>
    </cfRule>
  </conditionalFormatting>
  <conditionalFormatting sqref="K65">
    <cfRule type="expression" priority="56" dxfId="0">
      <formula>LEN(K65)&gt;0</formula>
    </cfRule>
  </conditionalFormatting>
  <conditionalFormatting sqref="K81">
    <cfRule type="expression" priority="57" dxfId="0">
      <formula>LEN(K81)&gt;0</formula>
    </cfRule>
  </conditionalFormatting>
  <conditionalFormatting sqref="K94">
    <cfRule type="expression" priority="58" dxfId="0">
      <formula>LEN(K94)&gt;0</formula>
    </cfRule>
  </conditionalFormatting>
  <conditionalFormatting sqref="K108">
    <cfRule type="expression" priority="59" dxfId="0">
      <formula>LEN(K108)&gt;0</formula>
    </cfRule>
  </conditionalFormatting>
  <conditionalFormatting sqref="K53">
    <cfRule type="expression" priority="60" dxfId="0">
      <formula>LEN(K53)&gt;0</formula>
    </cfRule>
  </conditionalFormatting>
  <conditionalFormatting sqref="K66">
    <cfRule type="expression" priority="61" dxfId="0">
      <formula>LEN(K66)&gt;0</formula>
    </cfRule>
  </conditionalFormatting>
  <conditionalFormatting sqref="K82">
    <cfRule type="expression" priority="62" dxfId="0">
      <formula>LEN(K82)&gt;0</formula>
    </cfRule>
  </conditionalFormatting>
  <conditionalFormatting sqref="K95">
    <cfRule type="expression" priority="63" dxfId="0">
      <formula>LEN(K95)&gt;0</formula>
    </cfRule>
  </conditionalFormatting>
  <conditionalFormatting sqref="K109">
    <cfRule type="expression" priority="64" dxfId="0">
      <formula>LEN(K109)&gt;0</formula>
    </cfRule>
  </conditionalFormatting>
  <conditionalFormatting sqref="K54">
    <cfRule type="expression" priority="65" dxfId="0">
      <formula>LEN(K54)&gt;0</formula>
    </cfRule>
  </conditionalFormatting>
  <conditionalFormatting sqref="K67">
    <cfRule type="expression" priority="66" dxfId="0">
      <formula>LEN(K67)&gt;0</formula>
    </cfRule>
  </conditionalFormatting>
  <conditionalFormatting sqref="K83">
    <cfRule type="expression" priority="67" dxfId="0">
      <formula>LEN(K83)&gt;0</formula>
    </cfRule>
  </conditionalFormatting>
  <conditionalFormatting sqref="K96">
    <cfRule type="expression" priority="68" dxfId="0">
      <formula>LEN(K96)&gt;0</formula>
    </cfRule>
  </conditionalFormatting>
  <conditionalFormatting sqref="K110">
    <cfRule type="expression" priority="69" dxfId="0">
      <formula>LEN(K110)&gt;0</formula>
    </cfRule>
  </conditionalFormatting>
  <conditionalFormatting sqref="K114">
    <cfRule type="expression" priority="70" dxfId="0">
      <formula>LEN(K114)&gt;0</formula>
    </cfRule>
  </conditionalFormatting>
  <conditionalFormatting sqref="K115">
    <cfRule type="expression" priority="71" dxfId="0">
      <formula>LEN(K115)&gt;0</formula>
    </cfRule>
  </conditionalFormatting>
  <conditionalFormatting sqref="K116">
    <cfRule type="expression" priority="72" dxfId="0">
      <formula>LEN(K116)&gt;0</formula>
    </cfRule>
  </conditionalFormatting>
  <conditionalFormatting sqref="K117">
    <cfRule type="expression" priority="73" dxfId="0">
      <formula>LEN(K117)&gt;0</formula>
    </cfRule>
  </conditionalFormatting>
  <conditionalFormatting sqref="K118">
    <cfRule type="expression" priority="74" dxfId="0">
      <formula>LEN(K118)&gt;0</formula>
    </cfRule>
  </conditionalFormatting>
  <conditionalFormatting sqref="K119">
    <cfRule type="expression" priority="75" dxfId="0">
      <formula>LEN(K119)&gt;0</formula>
    </cfRule>
  </conditionalFormatting>
  <conditionalFormatting sqref="K120">
    <cfRule type="expression" priority="76" dxfId="0">
      <formula>LEN(K120)&gt;0</formula>
    </cfRule>
  </conditionalFormatting>
  <conditionalFormatting sqref="K121">
    <cfRule type="expression" priority="77" dxfId="0">
      <formula>LEN(K121)&gt;0</formula>
    </cfRule>
  </conditionalFormatting>
  <conditionalFormatting sqref="K122">
    <cfRule type="expression" priority="78" dxfId="0">
      <formula>LEN(K122)&gt;0</formula>
    </cfRule>
  </conditionalFormatting>
  <conditionalFormatting sqref="K123">
    <cfRule type="expression" priority="79" dxfId="0">
      <formula>LEN(K123)&gt;0</formula>
    </cfRule>
  </conditionalFormatting>
  <conditionalFormatting sqref="K125">
    <cfRule type="expression" priority="80" dxfId="0">
      <formula>LEN(K125)&gt;0</formula>
    </cfRule>
  </conditionalFormatting>
  <conditionalFormatting sqref="K126">
    <cfRule type="expression" priority="81" dxfId="0">
      <formula>LEN(K126)&gt;0</formula>
    </cfRule>
  </conditionalFormatting>
  <conditionalFormatting sqref="K127">
    <cfRule type="expression" priority="82" dxfId="0">
      <formula>LEN(K127)&gt;0</formula>
    </cfRule>
  </conditionalFormatting>
  <conditionalFormatting sqref="K128">
    <cfRule type="expression" priority="83" dxfId="0">
      <formula>LEN(K128)&gt;0</formula>
    </cfRule>
  </conditionalFormatting>
  <conditionalFormatting sqref="K129">
    <cfRule type="expression" priority="84" dxfId="0">
      <formula>LEN(K129)&gt;0</formula>
    </cfRule>
  </conditionalFormatting>
  <conditionalFormatting sqref="K130">
    <cfRule type="expression" priority="85" dxfId="0">
      <formula>LEN(K130)&gt;0</formula>
    </cfRule>
  </conditionalFormatting>
  <conditionalFormatting sqref="K131">
    <cfRule type="expression" priority="86" dxfId="0">
      <formula>LEN(K131)&gt;0</formula>
    </cfRule>
  </conditionalFormatting>
  <conditionalFormatting sqref="K132">
    <cfRule type="expression" priority="87" dxfId="0">
      <formula>LEN(K132)&gt;0</formula>
    </cfRule>
  </conditionalFormatting>
  <conditionalFormatting sqref="K133">
    <cfRule type="expression" priority="88" dxfId="0">
      <formula>LEN(K133)&gt;0</formula>
    </cfRule>
  </conditionalFormatting>
  <conditionalFormatting sqref="K134">
    <cfRule type="expression" priority="89" dxfId="0">
      <formula>LEN(K134)&gt;0</formula>
    </cfRule>
  </conditionalFormatting>
  <conditionalFormatting sqref="K136">
    <cfRule type="expression" priority="90" dxfId="0">
      <formula>LEN(K136)&gt;0</formula>
    </cfRule>
  </conditionalFormatting>
  <conditionalFormatting sqref="K137">
    <cfRule type="expression" priority="91" dxfId="0">
      <formula>LEN(K137)&gt;0</formula>
    </cfRule>
  </conditionalFormatting>
  <conditionalFormatting sqref="K209">
    <cfRule type="expression" priority="92" dxfId="0">
      <formula>LEN(K209)&gt;0</formula>
    </cfRule>
  </conditionalFormatting>
  <conditionalFormatting sqref="K210">
    <cfRule type="expression" priority="93" dxfId="0">
      <formula>LEN(K210)&gt;0</formula>
    </cfRule>
  </conditionalFormatting>
  <conditionalFormatting sqref="K211">
    <cfRule type="expression" priority="94" dxfId="0">
      <formula>LEN(K211)&gt;0</formula>
    </cfRule>
  </conditionalFormatting>
  <conditionalFormatting sqref="K212">
    <cfRule type="expression" priority="95" dxfId="0">
      <formula>LEN(K212)&gt;0</formula>
    </cfRule>
  </conditionalFormatting>
  <conditionalFormatting sqref="K213">
    <cfRule type="expression" priority="96" dxfId="0">
      <formula>LEN(K213)&gt;0</formula>
    </cfRule>
  </conditionalFormatting>
  <conditionalFormatting sqref="K214">
    <cfRule type="expression" priority="97" dxfId="0">
      <formula>LEN(K214)&gt;0</formula>
    </cfRule>
  </conditionalFormatting>
  <conditionalFormatting sqref="K215">
    <cfRule type="expression" priority="98" dxfId="0">
      <formula>LEN(K215)&gt;0</formula>
    </cfRule>
  </conditionalFormatting>
  <conditionalFormatting sqref="K216">
    <cfRule type="expression" priority="99" dxfId="0">
      <formula>LEN(K216)&gt;0</formula>
    </cfRule>
  </conditionalFormatting>
  <conditionalFormatting sqref="K217">
    <cfRule type="expression" priority="100" dxfId="0">
      <formula>LEN(K217)&gt;0</formula>
    </cfRule>
  </conditionalFormatting>
  <conditionalFormatting sqref="K218">
    <cfRule type="expression" priority="101" dxfId="0">
      <formula>LEN(K218)&gt;0</formula>
    </cfRule>
  </conditionalFormatting>
  <conditionalFormatting sqref="K219">
    <cfRule type="expression" priority="102" dxfId="0">
      <formula>LEN(K219)&gt;0</formula>
    </cfRule>
  </conditionalFormatting>
  <conditionalFormatting sqref="K220">
    <cfRule type="expression" priority="103" dxfId="0">
      <formula>LEN(K220)&gt;0</formula>
    </cfRule>
  </conditionalFormatting>
  <conditionalFormatting sqref="K222">
    <cfRule type="expression" priority="104" dxfId="0">
      <formula>LEN(K222)&gt;0</formula>
    </cfRule>
  </conditionalFormatting>
  <conditionalFormatting sqref="K223">
    <cfRule type="expression" priority="105" dxfId="0">
      <formula>LEN(K223)&gt;0</formula>
    </cfRule>
  </conditionalFormatting>
  <conditionalFormatting sqref="K224">
    <cfRule type="expression" priority="106" dxfId="0">
      <formula>LEN(K224)&gt;0</formula>
    </cfRule>
  </conditionalFormatting>
  <conditionalFormatting sqref="K225">
    <cfRule type="expression" priority="107" dxfId="0">
      <formula>LEN(K225)&gt;0</formula>
    </cfRule>
  </conditionalFormatting>
  <conditionalFormatting sqref="K226">
    <cfRule type="expression" priority="108" dxfId="0">
      <formula>LEN(K226)&gt;0</formula>
    </cfRule>
  </conditionalFormatting>
  <conditionalFormatting sqref="K227">
    <cfRule type="expression" priority="109" dxfId="0">
      <formula>LEN(K227)&gt;0</formula>
    </cfRule>
  </conditionalFormatting>
  <conditionalFormatting sqref="K228">
    <cfRule type="expression" priority="110" dxfId="0">
      <formula>LEN(K228)&gt;0</formula>
    </cfRule>
  </conditionalFormatting>
  <conditionalFormatting sqref="K229">
    <cfRule type="expression" priority="111" dxfId="0">
      <formula>LEN(K229)&gt;0</formula>
    </cfRule>
  </conditionalFormatting>
  <conditionalFormatting sqref="K230">
    <cfRule type="expression" priority="112" dxfId="0">
      <formula>LEN(K230)&gt;0</formula>
    </cfRule>
  </conditionalFormatting>
  <conditionalFormatting sqref="K231">
    <cfRule type="expression" priority="113" dxfId="0">
      <formula>LEN(K231)&gt;0</formula>
    </cfRule>
  </conditionalFormatting>
  <conditionalFormatting sqref="K232">
    <cfRule type="expression" priority="114" dxfId="0">
      <formula>LEN(K232)&gt;0</formula>
    </cfRule>
  </conditionalFormatting>
  <conditionalFormatting sqref="K233">
    <cfRule type="expression" priority="115" dxfId="0">
      <formula>LEN(K233)&gt;0</formula>
    </cfRule>
  </conditionalFormatting>
  <conditionalFormatting sqref="K235">
    <cfRule type="expression" priority="116" dxfId="0">
      <formula>LEN(K235)&gt;0</formula>
    </cfRule>
  </conditionalFormatting>
  <conditionalFormatting sqref="K236">
    <cfRule type="expression" priority="117" dxfId="0">
      <formula>LEN(K236)&gt;0</formula>
    </cfRule>
  </conditionalFormatting>
  <conditionalFormatting sqref="K237">
    <cfRule type="expression" priority="118" dxfId="0">
      <formula>LEN(K237)&gt;0</formula>
    </cfRule>
  </conditionalFormatting>
  <conditionalFormatting sqref="K238">
    <cfRule type="expression" priority="119" dxfId="0">
      <formula>LEN(K238)&gt;0</formula>
    </cfRule>
  </conditionalFormatting>
  <conditionalFormatting sqref="K239">
    <cfRule type="expression" priority="120" dxfId="0">
      <formula>LEN(K239)&gt;0</formula>
    </cfRule>
  </conditionalFormatting>
  <conditionalFormatting sqref="K240">
    <cfRule type="expression" priority="121" dxfId="0">
      <formula>LEN(K240)&gt;0</formula>
    </cfRule>
  </conditionalFormatting>
  <conditionalFormatting sqref="K241">
    <cfRule type="expression" priority="122" dxfId="0">
      <formula>LEN(K241)&gt;0</formula>
    </cfRule>
  </conditionalFormatting>
  <conditionalFormatting sqref="K242">
    <cfRule type="expression" priority="123" dxfId="0">
      <formula>LEN(K242)&gt;0</formula>
    </cfRule>
  </conditionalFormatting>
  <conditionalFormatting sqref="K243">
    <cfRule type="expression" priority="124" dxfId="0">
      <formula>LEN(K243)&gt;0</formula>
    </cfRule>
  </conditionalFormatting>
  <conditionalFormatting sqref="K244">
    <cfRule type="expression" priority="125" dxfId="0">
      <formula>LEN(K244)&gt;0</formula>
    </cfRule>
  </conditionalFormatting>
  <conditionalFormatting sqref="K245">
    <cfRule type="expression" priority="126" dxfId="0">
      <formula>LEN(K245)&gt;0</formula>
    </cfRule>
  </conditionalFormatting>
  <conditionalFormatting sqref="K246">
    <cfRule type="expression" priority="127" dxfId="0">
      <formula>LEN(K246)&gt;0</formula>
    </cfRule>
  </conditionalFormatting>
  <conditionalFormatting sqref="K248">
    <cfRule type="expression" priority="128" dxfId="0">
      <formula>LEN(K248)&gt;0</formula>
    </cfRule>
  </conditionalFormatting>
  <conditionalFormatting sqref="K249">
    <cfRule type="expression" priority="129" dxfId="0">
      <formula>LEN(K249)&gt;0</formula>
    </cfRule>
  </conditionalFormatting>
  <conditionalFormatting sqref="K250">
    <cfRule type="expression" priority="130" dxfId="0">
      <formula>LEN(K250)&gt;0</formula>
    </cfRule>
  </conditionalFormatting>
  <conditionalFormatting sqref="K251">
    <cfRule type="expression" priority="131" dxfId="0">
      <formula>LEN(K251)&gt;0</formula>
    </cfRule>
  </conditionalFormatting>
  <conditionalFormatting sqref="K252">
    <cfRule type="expression" priority="132" dxfId="0">
      <formula>LEN(K252)&gt;0</formula>
    </cfRule>
  </conditionalFormatting>
  <conditionalFormatting sqref="K253">
    <cfRule type="expression" priority="133" dxfId="0">
      <formula>LEN(K253)&gt;0</formula>
    </cfRule>
  </conditionalFormatting>
  <conditionalFormatting sqref="K254">
    <cfRule type="expression" priority="134" dxfId="0">
      <formula>LEN(K254)&gt;0</formula>
    </cfRule>
  </conditionalFormatting>
  <conditionalFormatting sqref="K255">
    <cfRule type="expression" priority="135" dxfId="0">
      <formula>LEN(K255)&gt;0</formula>
    </cfRule>
  </conditionalFormatting>
  <conditionalFormatting sqref="K256">
    <cfRule type="expression" priority="136" dxfId="0">
      <formula>LEN(K256)&gt;0</formula>
    </cfRule>
  </conditionalFormatting>
  <conditionalFormatting sqref="K257">
    <cfRule type="expression" priority="137" dxfId="0">
      <formula>LEN(K257)&gt;0</formula>
    </cfRule>
  </conditionalFormatting>
  <conditionalFormatting sqref="K258">
    <cfRule type="expression" priority="138" dxfId="0">
      <formula>LEN(K258)&gt;0</formula>
    </cfRule>
  </conditionalFormatting>
  <conditionalFormatting sqref="K259">
    <cfRule type="expression" priority="139" dxfId="0">
      <formula>LEN(K259)&gt;0</formula>
    </cfRule>
  </conditionalFormatting>
  <conditionalFormatting sqref="K261">
    <cfRule type="expression" priority="140" dxfId="0">
      <formula>LEN(K261)&gt;0</formula>
    </cfRule>
  </conditionalFormatting>
  <conditionalFormatting sqref="K262">
    <cfRule type="expression" priority="141" dxfId="0">
      <formula>LEN(K262)&gt;0</formula>
    </cfRule>
  </conditionalFormatting>
  <conditionalFormatting sqref="K263">
    <cfRule type="expression" priority="142" dxfId="0">
      <formula>LEN(K263)&gt;0</formula>
    </cfRule>
  </conditionalFormatting>
  <conditionalFormatting sqref="K264">
    <cfRule type="expression" priority="143" dxfId="0">
      <formula>LEN(K264)&gt;0</formula>
    </cfRule>
  </conditionalFormatting>
  <conditionalFormatting sqref="K265">
    <cfRule type="expression" priority="144" dxfId="0">
      <formula>LEN(K265)&gt;0</formula>
    </cfRule>
  </conditionalFormatting>
  <conditionalFormatting sqref="K266">
    <cfRule type="expression" priority="145" dxfId="0">
      <formula>LEN(K266)&gt;0</formula>
    </cfRule>
  </conditionalFormatting>
  <conditionalFormatting sqref="K267">
    <cfRule type="expression" priority="146" dxfId="0">
      <formula>LEN(K267)&gt;0</formula>
    </cfRule>
  </conditionalFormatting>
  <conditionalFormatting sqref="K268">
    <cfRule type="expression" priority="147" dxfId="0">
      <formula>LEN(K268)&gt;0</formula>
    </cfRule>
  </conditionalFormatting>
  <conditionalFormatting sqref="K269">
    <cfRule type="expression" priority="148" dxfId="0">
      <formula>LEN(K269)&gt;0</formula>
    </cfRule>
  </conditionalFormatting>
  <conditionalFormatting sqref="K270">
    <cfRule type="expression" priority="149" dxfId="0">
      <formula>LEN(K270)&gt;0</formula>
    </cfRule>
  </conditionalFormatting>
  <conditionalFormatting sqref="K271">
    <cfRule type="expression" priority="150" dxfId="0">
      <formula>LEN(K271)&gt;0</formula>
    </cfRule>
  </conditionalFormatting>
  <conditionalFormatting sqref="K272">
    <cfRule type="expression" priority="151" dxfId="0">
      <formula>LEN(K272)&gt;0</formula>
    </cfRule>
  </conditionalFormatting>
  <conditionalFormatting sqref="K274">
    <cfRule type="expression" priority="152" dxfId="0">
      <formula>LEN(K274)&gt;0</formula>
    </cfRule>
  </conditionalFormatting>
  <conditionalFormatting sqref="K275">
    <cfRule type="expression" priority="153" dxfId="0">
      <formula>LEN(K275)&gt;0</formula>
    </cfRule>
  </conditionalFormatting>
  <conditionalFormatting sqref="K276">
    <cfRule type="expression" priority="154" dxfId="0">
      <formula>LEN(K276)&gt;0</formula>
    </cfRule>
  </conditionalFormatting>
  <conditionalFormatting sqref="K277">
    <cfRule type="expression" priority="155" dxfId="0">
      <formula>LEN(K277)&gt;0</formula>
    </cfRule>
  </conditionalFormatting>
  <conditionalFormatting sqref="K278">
    <cfRule type="expression" priority="156" dxfId="0">
      <formula>LEN(K278)&gt;0</formula>
    </cfRule>
  </conditionalFormatting>
  <conditionalFormatting sqref="K279">
    <cfRule type="expression" priority="157" dxfId="0">
      <formula>LEN(K279)&gt;0</formula>
    </cfRule>
  </conditionalFormatting>
  <conditionalFormatting sqref="K280">
    <cfRule type="expression" priority="158" dxfId="0">
      <formula>LEN(K280)&gt;0</formula>
    </cfRule>
  </conditionalFormatting>
  <conditionalFormatting sqref="K281">
    <cfRule type="expression" priority="159" dxfId="0">
      <formula>LEN(K281)&gt;0</formula>
    </cfRule>
  </conditionalFormatting>
  <conditionalFormatting sqref="K282">
    <cfRule type="expression" priority="160" dxfId="0">
      <formula>LEN(K282)&gt;0</formula>
    </cfRule>
  </conditionalFormatting>
  <conditionalFormatting sqref="K283">
    <cfRule type="expression" priority="161" dxfId="0">
      <formula>LEN(K283)&gt;0</formula>
    </cfRule>
  </conditionalFormatting>
  <conditionalFormatting sqref="K284">
    <cfRule type="expression" priority="162" dxfId="0">
      <formula>LEN(K284)&gt;0</formula>
    </cfRule>
  </conditionalFormatting>
  <conditionalFormatting sqref="K285">
    <cfRule type="expression" priority="163" dxfId="0">
      <formula>LEN(K285)&gt;0</formula>
    </cfRule>
  </conditionalFormatting>
  <conditionalFormatting sqref="K287">
    <cfRule type="expression" priority="164" dxfId="0">
      <formula>LEN(K287)&gt;0</formula>
    </cfRule>
  </conditionalFormatting>
  <conditionalFormatting sqref="K288">
    <cfRule type="expression" priority="165" dxfId="0">
      <formula>LEN(K288)&gt;0</formula>
    </cfRule>
  </conditionalFormatting>
  <conditionalFormatting sqref="K289">
    <cfRule type="expression" priority="166" dxfId="0">
      <formula>LEN(K289)&gt;0</formula>
    </cfRule>
  </conditionalFormatting>
  <conditionalFormatting sqref="K290">
    <cfRule type="expression" priority="167" dxfId="0">
      <formula>LEN(K290)&gt;0</formula>
    </cfRule>
  </conditionalFormatting>
  <conditionalFormatting sqref="K291">
    <cfRule type="expression" priority="168" dxfId="0">
      <formula>LEN(K291)&gt;0</formula>
    </cfRule>
  </conditionalFormatting>
  <conditionalFormatting sqref="K292">
    <cfRule type="expression" priority="169" dxfId="0">
      <formula>LEN(K292)&gt;0</formula>
    </cfRule>
  </conditionalFormatting>
  <conditionalFormatting sqref="K293">
    <cfRule type="expression" priority="170" dxfId="0">
      <formula>LEN(K293)&gt;0</formula>
    </cfRule>
  </conditionalFormatting>
  <conditionalFormatting sqref="K294">
    <cfRule type="expression" priority="171" dxfId="0">
      <formula>LEN(K294)&gt;0</formula>
    </cfRule>
  </conditionalFormatting>
  <conditionalFormatting sqref="K295">
    <cfRule type="expression" priority="172" dxfId="0">
      <formula>LEN(K295)&gt;0</formula>
    </cfRule>
  </conditionalFormatting>
  <conditionalFormatting sqref="K296">
    <cfRule type="expression" priority="173" dxfId="0">
      <formula>LEN(K296)&gt;0</formula>
    </cfRule>
  </conditionalFormatting>
  <conditionalFormatting sqref="K297">
    <cfRule type="expression" priority="174" dxfId="0">
      <formula>LEN(K297)&gt;0</formula>
    </cfRule>
  </conditionalFormatting>
  <conditionalFormatting sqref="K298">
    <cfRule type="expression" priority="175" dxfId="0">
      <formula>LEN(K298)&gt;0</formula>
    </cfRule>
  </conditionalFormatting>
  <conditionalFormatting sqref="K300">
    <cfRule type="expression" priority="176" dxfId="0">
      <formula>LEN(K300)&gt;0</formula>
    </cfRule>
  </conditionalFormatting>
  <conditionalFormatting sqref="K301">
    <cfRule type="expression" priority="177" dxfId="0">
      <formula>LEN(K301)&gt;0</formula>
    </cfRule>
  </conditionalFormatting>
  <conditionalFormatting sqref="K302">
    <cfRule type="expression" priority="178" dxfId="0">
      <formula>LEN(K302)&gt;0</formula>
    </cfRule>
  </conditionalFormatting>
  <conditionalFormatting sqref="K303">
    <cfRule type="expression" priority="179" dxfId="0">
      <formula>LEN(K303)&gt;0</formula>
    </cfRule>
  </conditionalFormatting>
  <conditionalFormatting sqref="K310">
    <cfRule type="expression" priority="180" dxfId="0">
      <formula>LEN(K310)&gt;0</formula>
    </cfRule>
  </conditionalFormatting>
  <conditionalFormatting sqref="K308">
    <cfRule type="expression" priority="181" dxfId="0">
      <formula>LEN(K308)&gt;0</formula>
    </cfRule>
  </conditionalFormatting>
  <dataValidations count="697">
    <dataValidation sqref="B7" showDropDown="0" showInputMessage="0" showErrorMessage="1" allowBlank="1" errorTitle="Valor fora da faixa" error="Ciclo atual: use um número inteiro de 1 a 99." type="whole" errorStyle="warning" operator="between">
      <formula1>1</formula1>
      <formula2>99</formula2>
    </dataValidation>
    <dataValidation sqref="C7" showDropDown="0" showInputMessage="0" showErrorMessage="1" allowBlank="1" errorTitle="Fora da lista" error="Carregar encontro: escolha um valor da lista. A planilha pode não reconhecer outro valor." type="list" errorStyle="warning">
      <formula1>'Dados'!$BE$6:$BE$10</formula1>
    </dataValidation>
    <dataValidation sqref="E7" showDropDown="0" showInputMessage="0" showErrorMessage="1" allowBlank="1" errorTitle="Fora da lista" error="Surpresa: escolha um valor da lista. A planilha pode não reconhecer outro valor." type="list" errorStyle="warning">
      <formula1>'Dados'!$BF$6:$BF$8</formula1>
    </dataValidation>
    <dataValidation sqref="G7" showDropDown="0" showInputMessage="0" showErrorMessage="1" allowBlank="1" errorTitle="Valor fora da faixa" error="PH atual: use um número inteiro de 0 a 9." type="whole" errorStyle="warning" operator="between">
      <formula1>0</formula1>
      <formula2>9</formula2>
    </dataValidation>
    <dataValidation sqref="B15" showDropDown="0" showInputMessage="0" showErrorMessage="1" allowBlank="1" errorTitle="Fora da lista" error="Participa?: escolha um valor da lista. A planilha pode não reconhecer outro valor." type="list" errorStyle="warning">
      <formula1>'Dados'!$AT$6:$AT$7</formula1>
    </dataValidation>
    <dataValidation sqref="C15" showDropDown="0" showInputMessage="0" showErrorMessage="1" allowBlank="1" errorTitle="Valor fora da faixa" error="Ajuste de VEL: use um número inteiro de -10 a 10." type="whole" errorStyle="warning" operator="between">
      <formula1>-10</formula1>
      <formula2>10</formula2>
    </dataValidation>
    <dataValidation sqref="F15" showDropDown="0" showInputMessage="0" showErrorMessage="1" allowBlank="1" errorTitle="Valor fora da faixa" error="PV atual: use um número inteiro de 0 a 999." type="whole" errorStyle="warning" operator="between">
      <formula1>0</formula1>
      <formula2>999</formula2>
    </dataValidation>
    <dataValidation sqref="G15" showDropDown="0" showInputMessage="0" showErrorMessage="1" allowBlank="1" errorTitle="Valor fora da faixa" error="Dano agora: use um número inteiro de -999 a 999." type="whole" errorStyle="warning" operator="between">
      <formula1>-999</formula1>
      <formula2>999</formula2>
    </dataValidation>
    <dataValidation sqref="I15" showDropDown="0" showInputMessage="0" showErrorMessage="1" allowBlank="1" errorTitle="Valor fora da faixa" error="Energia: use um número inteiro de 0 a 100." type="whole" errorStyle="warning" operator="between">
      <formula1>0</formula1>
      <formula2>100</formula2>
    </dataValidation>
    <dataValidation sqref="B24" showDropDown="0" showInputMessage="0" showErrorMessage="1" allowBlank="1" errorTitle="Fora da lista" error="Ultimate usada: escolha um valor da lista. A planilha pode não reconhecer outro valor." type="list" errorStyle="warning">
      <formula1>'Dados'!$AT$6:$AT$7</formula1>
    </dataValidation>
    <dataValidation sqref="C24" showDropDown="0" showInputMessage="0" showErrorMessage="1" allowBlank="1" errorTitle="Fora da lista" error="Esforço: escolha um valor da lista. A planilha pode não reconhecer outro valor." type="list" errorStyle="warning">
      <formula1>'Dados'!$AT$6:$AT$7</formula1>
    </dataValidation>
    <dataValidation sqref="D24" showDropDown="0" showInputMessage="0" showErrorMessage="1" allowBlank="1" errorTitle="Valor fora da faixa" error="Sucessos: use um número inteiro de 0 a 3." type="whole" errorStyle="warning" operator="between">
      <formula1>0</formula1>
      <formula2>3</formula2>
    </dataValidation>
    <dataValidation sqref="E24" showDropDown="0" showInputMessage="0" showErrorMessage="1" allowBlank="1" errorTitle="Valor fora da faixa" error="Falhas: use um número inteiro de 0 a 3." type="whole" errorStyle="warning" operator="between">
      <formula1>0</formula1>
      <formula2>3</formula2>
    </dataValidation>
    <dataValidation sqref="I24" showDropDown="0" showInputMessage="0" showErrorMessage="1" allowBlank="1" errorTitle="Valor fora da faixa" error="PV temporário: use um número inteiro de 0 a 24." type="whole" errorStyle="warning" operator="between">
      <formula1>0</formula1>
      <formula2>24</formula2>
    </dataValidation>
    <dataValidation sqref="B16" showDropDown="0" showInputMessage="0" showErrorMessage="1" allowBlank="1" errorTitle="Fora da lista" error="Participa?: escolha um valor da lista. A planilha pode não reconhecer outro valor." type="list" errorStyle="warning">
      <formula1>'Dados'!$AT$6:$AT$7</formula1>
    </dataValidation>
    <dataValidation sqref="C16" showDropDown="0" showInputMessage="0" showErrorMessage="1" allowBlank="1" errorTitle="Valor fora da faixa" error="Ajuste de VEL: use um número inteiro de -10 a 10." type="whole" errorStyle="warning" operator="between">
      <formula1>-10</formula1>
      <formula2>10</formula2>
    </dataValidation>
    <dataValidation sqref="F16" showDropDown="0" showInputMessage="0" showErrorMessage="1" allowBlank="1" errorTitle="Valor fora da faixa" error="PV atual: use um número inteiro de 0 a 999." type="whole" errorStyle="warning" operator="between">
      <formula1>0</formula1>
      <formula2>999</formula2>
    </dataValidation>
    <dataValidation sqref="G16" showDropDown="0" showInputMessage="0" showErrorMessage="1" allowBlank="1" errorTitle="Valor fora da faixa" error="Dano agora: use um número inteiro de -999 a 999." type="whole" errorStyle="warning" operator="between">
      <formula1>-999</formula1>
      <formula2>999</formula2>
    </dataValidation>
    <dataValidation sqref="I16" showDropDown="0" showInputMessage="0" showErrorMessage="1" allowBlank="1" errorTitle="Valor fora da faixa" error="Energia: use um número inteiro de 0 a 100." type="whole" errorStyle="warning" operator="between">
      <formula1>0</formula1>
      <formula2>100</formula2>
    </dataValidation>
    <dataValidation sqref="B25" showDropDown="0" showInputMessage="0" showErrorMessage="1" allowBlank="1" errorTitle="Fora da lista" error="Ultimate usada: escolha um valor da lista. A planilha pode não reconhecer outro valor." type="list" errorStyle="warning">
      <formula1>'Dados'!$AT$6:$AT$7</formula1>
    </dataValidation>
    <dataValidation sqref="C25" showDropDown="0" showInputMessage="0" showErrorMessage="1" allowBlank="1" errorTitle="Fora da lista" error="Esforço: escolha um valor da lista. A planilha pode não reconhecer outro valor." type="list" errorStyle="warning">
      <formula1>'Dados'!$AT$6:$AT$7</formula1>
    </dataValidation>
    <dataValidation sqref="D25" showDropDown="0" showInputMessage="0" showErrorMessage="1" allowBlank="1" errorTitle="Valor fora da faixa" error="Sucessos: use um número inteiro de 0 a 3." type="whole" errorStyle="warning" operator="between">
      <formula1>0</formula1>
      <formula2>3</formula2>
    </dataValidation>
    <dataValidation sqref="E25" showDropDown="0" showInputMessage="0" showErrorMessage="1" allowBlank="1" errorTitle="Valor fora da faixa" error="Falhas: use um número inteiro de 0 a 3." type="whole" errorStyle="warning" operator="between">
      <formula1>0</formula1>
      <formula2>3</formula2>
    </dataValidation>
    <dataValidation sqref="I25" showDropDown="0" showInputMessage="0" showErrorMessage="1" allowBlank="1" errorTitle="Valor fora da faixa" error="PV temporário: use um número inteiro de 0 a 24." type="whole" errorStyle="warning" operator="between">
      <formula1>0</formula1>
      <formula2>24</formula2>
    </dataValidation>
    <dataValidation sqref="B17" showDropDown="0" showInputMessage="0" showErrorMessage="1" allowBlank="1" errorTitle="Fora da lista" error="Participa?: escolha um valor da lista. A planilha pode não reconhecer outro valor." type="list" errorStyle="warning">
      <formula1>'Dados'!$AT$6:$AT$7</formula1>
    </dataValidation>
    <dataValidation sqref="C17" showDropDown="0" showInputMessage="0" showErrorMessage="1" allowBlank="1" errorTitle="Valor fora da faixa" error="Ajuste de VEL: use um número inteiro de -10 a 10." type="whole" errorStyle="warning" operator="between">
      <formula1>-10</formula1>
      <formula2>10</formula2>
    </dataValidation>
    <dataValidation sqref="F17" showDropDown="0" showInputMessage="0" showErrorMessage="1" allowBlank="1" errorTitle="Valor fora da faixa" error="PV atual: use um número inteiro de 0 a 999." type="whole" errorStyle="warning" operator="between">
      <formula1>0</formula1>
      <formula2>999</formula2>
    </dataValidation>
    <dataValidation sqref="G17" showDropDown="0" showInputMessage="0" showErrorMessage="1" allowBlank="1" errorTitle="Valor fora da faixa" error="Dano agora: use um número inteiro de -999 a 999." type="whole" errorStyle="warning" operator="between">
      <formula1>-999</formula1>
      <formula2>999</formula2>
    </dataValidation>
    <dataValidation sqref="I17" showDropDown="0" showInputMessage="0" showErrorMessage="1" allowBlank="1" errorTitle="Valor fora da faixa" error="Energia: use um número inteiro de 0 a 100." type="whole" errorStyle="warning" operator="between">
      <formula1>0</formula1>
      <formula2>100</formula2>
    </dataValidation>
    <dataValidation sqref="B26" showDropDown="0" showInputMessage="0" showErrorMessage="1" allowBlank="1" errorTitle="Fora da lista" error="Ultimate usada: escolha um valor da lista. A planilha pode não reconhecer outro valor." type="list" errorStyle="warning">
      <formula1>'Dados'!$AT$6:$AT$7</formula1>
    </dataValidation>
    <dataValidation sqref="C26" showDropDown="0" showInputMessage="0" showErrorMessage="1" allowBlank="1" errorTitle="Fora da lista" error="Esforço: escolha um valor da lista. A planilha pode não reconhecer outro valor." type="list" errorStyle="warning">
      <formula1>'Dados'!$AT$6:$AT$7</formula1>
    </dataValidation>
    <dataValidation sqref="D26" showDropDown="0" showInputMessage="0" showErrorMessage="1" allowBlank="1" errorTitle="Valor fora da faixa" error="Sucessos: use um número inteiro de 0 a 3." type="whole" errorStyle="warning" operator="between">
      <formula1>0</formula1>
      <formula2>3</formula2>
    </dataValidation>
    <dataValidation sqref="E26" showDropDown="0" showInputMessage="0" showErrorMessage="1" allowBlank="1" errorTitle="Valor fora da faixa" error="Falhas: use um número inteiro de 0 a 3." type="whole" errorStyle="warning" operator="between">
      <formula1>0</formula1>
      <formula2>3</formula2>
    </dataValidation>
    <dataValidation sqref="I26" showDropDown="0" showInputMessage="0" showErrorMessage="1" allowBlank="1" errorTitle="Valor fora da faixa" error="PV temporário: use um número inteiro de 0 a 24." type="whole" errorStyle="warning" operator="between">
      <formula1>0</formula1>
      <formula2>24</formula2>
    </dataValidation>
    <dataValidation sqref="B18" showDropDown="0" showInputMessage="0" showErrorMessage="1" allowBlank="1" errorTitle="Fora da lista" error="Participa?: escolha um valor da lista. A planilha pode não reconhecer outro valor." type="list" errorStyle="warning">
      <formula1>'Dados'!$AT$6:$AT$7</formula1>
    </dataValidation>
    <dataValidation sqref="C18" showDropDown="0" showInputMessage="0" showErrorMessage="1" allowBlank="1" errorTitle="Valor fora da faixa" error="Ajuste de VEL: use um número inteiro de -10 a 10." type="whole" errorStyle="warning" operator="between">
      <formula1>-10</formula1>
      <formula2>10</formula2>
    </dataValidation>
    <dataValidation sqref="F18" showDropDown="0" showInputMessage="0" showErrorMessage="1" allowBlank="1" errorTitle="Valor fora da faixa" error="PV atual: use um número inteiro de 0 a 999." type="whole" errorStyle="warning" operator="between">
      <formula1>0</formula1>
      <formula2>999</formula2>
    </dataValidation>
    <dataValidation sqref="G18" showDropDown="0" showInputMessage="0" showErrorMessage="1" allowBlank="1" errorTitle="Valor fora da faixa" error="Dano agora: use um número inteiro de -999 a 999." type="whole" errorStyle="warning" operator="between">
      <formula1>-999</formula1>
      <formula2>999</formula2>
    </dataValidation>
    <dataValidation sqref="I18" showDropDown="0" showInputMessage="0" showErrorMessage="1" allowBlank="1" errorTitle="Valor fora da faixa" error="Energia: use um número inteiro de 0 a 100." type="whole" errorStyle="warning" operator="between">
      <formula1>0</formula1>
      <formula2>100</formula2>
    </dataValidation>
    <dataValidation sqref="B27" showDropDown="0" showInputMessage="0" showErrorMessage="1" allowBlank="1" errorTitle="Fora da lista" error="Ultimate usada: escolha um valor da lista. A planilha pode não reconhecer outro valor." type="list" errorStyle="warning">
      <formula1>'Dados'!$AT$6:$AT$7</formula1>
    </dataValidation>
    <dataValidation sqref="C27" showDropDown="0" showInputMessage="0" showErrorMessage="1" allowBlank="1" errorTitle="Fora da lista" error="Esforço: escolha um valor da lista. A planilha pode não reconhecer outro valor." type="list" errorStyle="warning">
      <formula1>'Dados'!$AT$6:$AT$7</formula1>
    </dataValidation>
    <dataValidation sqref="D27" showDropDown="0" showInputMessage="0" showErrorMessage="1" allowBlank="1" errorTitle="Valor fora da faixa" error="Sucessos: use um número inteiro de 0 a 3." type="whole" errorStyle="warning" operator="between">
      <formula1>0</formula1>
      <formula2>3</formula2>
    </dataValidation>
    <dataValidation sqref="E27" showDropDown="0" showInputMessage="0" showErrorMessage="1" allowBlank="1" errorTitle="Valor fora da faixa" error="Falhas: use um número inteiro de 0 a 3." type="whole" errorStyle="warning" operator="between">
      <formula1>0</formula1>
      <formula2>3</formula2>
    </dataValidation>
    <dataValidation sqref="I27" showDropDown="0" showInputMessage="0" showErrorMessage="1" allowBlank="1" errorTitle="Valor fora da faixa" error="PV temporário: use um número inteiro de 0 a 24." type="whole" errorStyle="warning" operator="between">
      <formula1>0</formula1>
      <formula2>24</formula2>
    </dataValidation>
    <dataValidation sqref="B19" showDropDown="0" showInputMessage="0" showErrorMessage="1" allowBlank="1" errorTitle="Fora da lista" error="Participa?: escolha um valor da lista. A planilha pode não reconhecer outro valor." type="list" errorStyle="warning">
      <formula1>'Dados'!$AT$6:$AT$7</formula1>
    </dataValidation>
    <dataValidation sqref="C19" showDropDown="0" showInputMessage="0" showErrorMessage="1" allowBlank="1" errorTitle="Valor fora da faixa" error="Ajuste de VEL: use um número inteiro de -10 a 10." type="whole" errorStyle="warning" operator="between">
      <formula1>-10</formula1>
      <formula2>10</formula2>
    </dataValidation>
    <dataValidation sqref="F19" showDropDown="0" showInputMessage="0" showErrorMessage="1" allowBlank="1" errorTitle="Valor fora da faixa" error="PV atual: use um número inteiro de 0 a 999." type="whole" errorStyle="warning" operator="between">
      <formula1>0</formula1>
      <formula2>999</formula2>
    </dataValidation>
    <dataValidation sqref="G19" showDropDown="0" showInputMessage="0" showErrorMessage="1" allowBlank="1" errorTitle="Valor fora da faixa" error="Dano agora: use um número inteiro de -999 a 999." type="whole" errorStyle="warning" operator="between">
      <formula1>-999</formula1>
      <formula2>999</formula2>
    </dataValidation>
    <dataValidation sqref="I19" showDropDown="0" showInputMessage="0" showErrorMessage="1" allowBlank="1" errorTitle="Valor fora da faixa" error="Energia: use um número inteiro de 0 a 100." type="whole" errorStyle="warning" operator="between">
      <formula1>0</formula1>
      <formula2>100</formula2>
    </dataValidation>
    <dataValidation sqref="B28" showDropDown="0" showInputMessage="0" showErrorMessage="1" allowBlank="1" errorTitle="Fora da lista" error="Ultimate usada: escolha um valor da lista. A planilha pode não reconhecer outro valor." type="list" errorStyle="warning">
      <formula1>'Dados'!$AT$6:$AT$7</formula1>
    </dataValidation>
    <dataValidation sqref="C28" showDropDown="0" showInputMessage="0" showErrorMessage="1" allowBlank="1" errorTitle="Fora da lista" error="Esforço: escolha um valor da lista. A planilha pode não reconhecer outro valor." type="list" errorStyle="warning">
      <formula1>'Dados'!$AT$6:$AT$7</formula1>
    </dataValidation>
    <dataValidation sqref="D28" showDropDown="0" showInputMessage="0" showErrorMessage="1" allowBlank="1" errorTitle="Valor fora da faixa" error="Sucessos: use um número inteiro de 0 a 3." type="whole" errorStyle="warning" operator="between">
      <formula1>0</formula1>
      <formula2>3</formula2>
    </dataValidation>
    <dataValidation sqref="E28" showDropDown="0" showInputMessage="0" showErrorMessage="1" allowBlank="1" errorTitle="Valor fora da faixa" error="Falhas: use um número inteiro de 0 a 3." type="whole" errorStyle="warning" operator="between">
      <formula1>0</formula1>
      <formula2>3</formula2>
    </dataValidation>
    <dataValidation sqref="I28" showDropDown="0" showInputMessage="0" showErrorMessage="1" allowBlank="1" errorTitle="Valor fora da faixa" error="PV temporário: use um número inteiro de 0 a 24." type="whole" errorStyle="warning" operator="between">
      <formula1>0</formula1>
      <formula2>24</formula2>
    </dataValidation>
    <dataValidation sqref="B20" showDropDown="0" showInputMessage="0" showErrorMessage="1" allowBlank="1" errorTitle="Fora da lista" error="Participa?: escolha um valor da lista. A planilha pode não reconhecer outro valor." type="list" errorStyle="warning">
      <formula1>'Dados'!$AT$6:$AT$7</formula1>
    </dataValidation>
    <dataValidation sqref="C20" showDropDown="0" showInputMessage="0" showErrorMessage="1" allowBlank="1" errorTitle="Valor fora da faixa" error="Ajuste de VEL: use um número inteiro de -10 a 10." type="whole" errorStyle="warning" operator="between">
      <formula1>-10</formula1>
      <formula2>10</formula2>
    </dataValidation>
    <dataValidation sqref="F20" showDropDown="0" showInputMessage="0" showErrorMessage="1" allowBlank="1" errorTitle="Valor fora da faixa" error="PV atual: use um número inteiro de 0 a 999." type="whole" errorStyle="warning" operator="between">
      <formula1>0</formula1>
      <formula2>999</formula2>
    </dataValidation>
    <dataValidation sqref="G20" showDropDown="0" showInputMessage="0" showErrorMessage="1" allowBlank="1" errorTitle="Valor fora da faixa" error="Dano agora: use um número inteiro de -999 a 999." type="whole" errorStyle="warning" operator="between">
      <formula1>-999</formula1>
      <formula2>999</formula2>
    </dataValidation>
    <dataValidation sqref="I20" showDropDown="0" showInputMessage="0" showErrorMessage="1" allowBlank="1" errorTitle="Valor fora da faixa" error="Energia: use um número inteiro de 0 a 100." type="whole" errorStyle="warning" operator="between">
      <formula1>0</formula1>
      <formula2>100</formula2>
    </dataValidation>
    <dataValidation sqref="B29" showDropDown="0" showInputMessage="0" showErrorMessage="1" allowBlank="1" errorTitle="Fora da lista" error="Ultimate usada: escolha um valor da lista. A planilha pode não reconhecer outro valor." type="list" errorStyle="warning">
      <formula1>'Dados'!$AT$6:$AT$7</formula1>
    </dataValidation>
    <dataValidation sqref="C29" showDropDown="0" showInputMessage="0" showErrorMessage="1" allowBlank="1" errorTitle="Fora da lista" error="Esforço: escolha um valor da lista. A planilha pode não reconhecer outro valor." type="list" errorStyle="warning">
      <formula1>'Dados'!$AT$6:$AT$7</formula1>
    </dataValidation>
    <dataValidation sqref="D29" showDropDown="0" showInputMessage="0" showErrorMessage="1" allowBlank="1" errorTitle="Valor fora da faixa" error="Sucessos: use um número inteiro de 0 a 3." type="whole" errorStyle="warning" operator="between">
      <formula1>0</formula1>
      <formula2>3</formula2>
    </dataValidation>
    <dataValidation sqref="E29" showDropDown="0" showInputMessage="0" showErrorMessage="1" allowBlank="1" errorTitle="Valor fora da faixa" error="Falhas: use um número inteiro de 0 a 3." type="whole" errorStyle="warning" operator="between">
      <formula1>0</formula1>
      <formula2>3</formula2>
    </dataValidation>
    <dataValidation sqref="I29" showDropDown="0" showInputMessage="0" showErrorMessage="1" allowBlank="1" errorTitle="Valor fora da faixa" error="PV temporário: use um número inteiro de 0 a 24." type="whole" errorStyle="warning" operator="between">
      <formula1>0</formula1>
      <formula2>24</formula2>
    </dataValidation>
    <dataValidation sqref="B33" showDropDown="0" showInputMessage="0" showErrorMessage="1" allowBlank="1" errorTitle="Fora da lista" error="Memoespírito invocado?: escolha um valor da lista. A planilha pode não reconhecer outro valor." type="list" errorStyle="warning">
      <formula1>'Dados'!$AT$6:$AT$7</formula1>
    </dataValidation>
    <dataValidation sqref="C33" showDropDown="0" showInputMessage="0" showErrorMessage="1" allowBlank="1" errorTitle="Valor fora da faixa" error="Ajuste de VEL: use um número inteiro de -10 a 10." type="whole" errorStyle="warning" operator="between">
      <formula1>-10</formula1>
      <formula2>10</formula2>
    </dataValidation>
    <dataValidation sqref="F33" showDropDown="0" showInputMessage="0" showErrorMessage="1" allowBlank="1" errorTitle="Valor fora da faixa" error="PV atual: use um número inteiro de 0 a 999." type="whole" errorStyle="warning" operator="between">
      <formula1>0</formula1>
      <formula2>999</formula2>
    </dataValidation>
    <dataValidation sqref="G33" showDropDown="0" showInputMessage="0" showErrorMessage="1" allowBlank="1" errorTitle="Valor fora da faixa" error="Dano agora: use um número inteiro de -999 a 999." type="whole" errorStyle="warning" operator="between">
      <formula1>-999</formula1>
      <formula2>999</formula2>
    </dataValidation>
    <dataValidation sqref="B34" showDropDown="0" showInputMessage="0" showErrorMessage="1" allowBlank="1" errorTitle="Fora da lista" error="Memoespírito invocado?: escolha um valor da lista. A planilha pode não reconhecer outro valor." type="list" errorStyle="warning">
      <formula1>'Dados'!$AT$6:$AT$7</formula1>
    </dataValidation>
    <dataValidation sqref="C34" showDropDown="0" showInputMessage="0" showErrorMessage="1" allowBlank="1" errorTitle="Valor fora da faixa" error="Ajuste de VEL: use um número inteiro de -10 a 10." type="whole" errorStyle="warning" operator="between">
      <formula1>-10</formula1>
      <formula2>10</formula2>
    </dataValidation>
    <dataValidation sqref="F34" showDropDown="0" showInputMessage="0" showErrorMessage="1" allowBlank="1" errorTitle="Valor fora da faixa" error="PV atual: use um número inteiro de 0 a 999." type="whole" errorStyle="warning" operator="between">
      <formula1>0</formula1>
      <formula2>999</formula2>
    </dataValidation>
    <dataValidation sqref="G34" showDropDown="0" showInputMessage="0" showErrorMessage="1" allowBlank="1" errorTitle="Valor fora da faixa" error="Dano agora: use um número inteiro de -999 a 999." type="whole" errorStyle="warning" operator="between">
      <formula1>-999</formula1>
      <formula2>999</formula2>
    </dataValidation>
    <dataValidation sqref="B35" showDropDown="0" showInputMessage="0" showErrorMessage="1" allowBlank="1" errorTitle="Fora da lista" error="Memoespírito invocado?: escolha um valor da lista. A planilha pode não reconhecer outro valor." type="list" errorStyle="warning">
      <formula1>'Dados'!$AT$6:$AT$7</formula1>
    </dataValidation>
    <dataValidation sqref="C35" showDropDown="0" showInputMessage="0" showErrorMessage="1" allowBlank="1" errorTitle="Valor fora da faixa" error="Ajuste de VEL: use um número inteiro de -10 a 10." type="whole" errorStyle="warning" operator="between">
      <formula1>-10</formula1>
      <formula2>10</formula2>
    </dataValidation>
    <dataValidation sqref="F35" showDropDown="0" showInputMessage="0" showErrorMessage="1" allowBlank="1" errorTitle="Valor fora da faixa" error="PV atual: use um número inteiro de 0 a 999." type="whole" errorStyle="warning" operator="between">
      <formula1>0</formula1>
      <formula2>999</formula2>
    </dataValidation>
    <dataValidation sqref="G35" showDropDown="0" showInputMessage="0" showErrorMessage="1" allowBlank="1" errorTitle="Valor fora da faixa" error="Dano agora: use um número inteiro de -999 a 999." type="whole" errorStyle="warning" operator="between">
      <formula1>-999</formula1>
      <formula2>999</formula2>
    </dataValidation>
    <dataValidation sqref="B36" showDropDown="0" showInputMessage="0" showErrorMessage="1" allowBlank="1" errorTitle="Fora da lista" error="Memoespírito invocado?: escolha um valor da lista. A planilha pode não reconhecer outro valor." type="list" errorStyle="warning">
      <formula1>'Dados'!$AT$6:$AT$7</formula1>
    </dataValidation>
    <dataValidation sqref="C36" showDropDown="0" showInputMessage="0" showErrorMessage="1" allowBlank="1" errorTitle="Valor fora da faixa" error="Ajuste de VEL: use um número inteiro de -10 a 10." type="whole" errorStyle="warning" operator="between">
      <formula1>-10</formula1>
      <formula2>10</formula2>
    </dataValidation>
    <dataValidation sqref="F36" showDropDown="0" showInputMessage="0" showErrorMessage="1" allowBlank="1" errorTitle="Valor fora da faixa" error="PV atual: use um número inteiro de 0 a 999." type="whole" errorStyle="warning" operator="between">
      <formula1>0</formula1>
      <formula2>999</formula2>
    </dataValidation>
    <dataValidation sqref="G36" showDropDown="0" showInputMessage="0" showErrorMessage="1" allowBlank="1" errorTitle="Valor fora da faixa" error="Dano agora: use um número inteiro de -999 a 999." type="whole" errorStyle="warning" operator="between">
      <formula1>-999</formula1>
      <formula2>999</formula2>
    </dataValidation>
    <dataValidation sqref="B37" showDropDown="0" showInputMessage="0" showErrorMessage="1" allowBlank="1" errorTitle="Fora da lista" error="Memoespírito invocado?: escolha um valor da lista. A planilha pode não reconhecer outro valor." type="list" errorStyle="warning">
      <formula1>'Dados'!$AT$6:$AT$7</formula1>
    </dataValidation>
    <dataValidation sqref="C37" showDropDown="0" showInputMessage="0" showErrorMessage="1" allowBlank="1" errorTitle="Valor fora da faixa" error="Ajuste de VEL: use um número inteiro de -10 a 10." type="whole" errorStyle="warning" operator="between">
      <formula1>-10</formula1>
      <formula2>10</formula2>
    </dataValidation>
    <dataValidation sqref="F37" showDropDown="0" showInputMessage="0" showErrorMessage="1" allowBlank="1" errorTitle="Valor fora da faixa" error="PV atual: use um número inteiro de 0 a 999." type="whole" errorStyle="warning" operator="between">
      <formula1>0</formula1>
      <formula2>999</formula2>
    </dataValidation>
    <dataValidation sqref="G37" showDropDown="0" showInputMessage="0" showErrorMessage="1" allowBlank="1" errorTitle="Valor fora da faixa" error="Dano agora: use um número inteiro de -999 a 999." type="whole" errorStyle="warning" operator="between">
      <formula1>-999</formula1>
      <formula2>999</formula2>
    </dataValidation>
    <dataValidation sqref="B38" showDropDown="0" showInputMessage="0" showErrorMessage="1" allowBlank="1" errorTitle="Fora da lista" error="Memoespírito invocado?: escolha um valor da lista. A planilha pode não reconhecer outro valor." type="list" errorStyle="warning">
      <formula1>'Dados'!$AT$6:$AT$7</formula1>
    </dataValidation>
    <dataValidation sqref="C38" showDropDown="0" showInputMessage="0" showErrorMessage="1" allowBlank="1" errorTitle="Valor fora da faixa" error="Ajuste de VEL: use um número inteiro de -10 a 10." type="whole" errorStyle="warning" operator="between">
      <formula1>-10</formula1>
      <formula2>10</formula2>
    </dataValidation>
    <dataValidation sqref="F38" showDropDown="0" showInputMessage="0" showErrorMessage="1" allowBlank="1" errorTitle="Valor fora da faixa" error="PV atual: use um número inteiro de 0 a 999." type="whole" errorStyle="warning" operator="between">
      <formula1>0</formula1>
      <formula2>999</formula2>
    </dataValidation>
    <dataValidation sqref="G38" showDropDown="0" showInputMessage="0" showErrorMessage="1" allowBlank="1" errorTitle="Valor fora da faixa" error="Dano agora: use um número inteiro de -999 a 999." type="whole" errorStyle="warning" operator="between">
      <formula1>-999</formula1>
      <formula2>999</formula2>
    </dataValidation>
    <dataValidation sqref="C45" showDropDown="0" showInputMessage="0" showErrorMessage="1" allowBlank="1" errorTitle="Fora da lista" error="Trocar por: escolha um valor da lista. A planilha pode não reconhecer outro valor." type="list" errorStyle="warning">
      <formula1>'Inimigos'!$N$11:$N$54</formula1>
    </dataValidation>
    <dataValidation sqref="B58" showDropDown="0" showInputMessage="0" showErrorMessage="1" allowBlank="1" errorTitle="Valor fora da faixa" error="Ajuste de VEL: use um número inteiro de -10 a 10." type="whole" errorStyle="warning" operator="between">
      <formula1>-10</formula1>
      <formula2>10</formula2>
    </dataValidation>
    <dataValidation sqref="E58" showDropDown="0" showInputMessage="0" showErrorMessage="1" allowBlank="1" errorTitle="Valor fora da faixa" error="PV atual: use um número inteiro de 0 a 999." type="whole" errorStyle="warning" operator="between">
      <formula1>0</formula1>
      <formula2>999</formula2>
    </dataValidation>
    <dataValidation sqref="F58" showDropDown="0" showInputMessage="0" showErrorMessage="1" allowBlank="1" errorTitle="Valor fora da faixa" error="Dano agora: use um número inteiro de -999 a 999." type="whole" errorStyle="warning" operator="between">
      <formula1>-999</formula1>
      <formula2>999</formula2>
    </dataValidation>
    <dataValidation sqref="I58" showDropDown="0" showInputMessage="0" showErrorMessage="1" allowBlank="1" errorTitle="Valor fora da faixa" error="Fase em vigor: use um número inteiro de 1 a 3." type="whole" errorStyle="warning" operator="between">
      <formula1>1</formula1>
      <formula2>3</formula2>
    </dataValidation>
    <dataValidation sqref="C74" showDropDown="0" showInputMessage="0" showErrorMessage="1" allowBlank="1" errorTitle="Valor fora da faixa" error="Redução acumulada: use um número inteiro de 0 a 99." type="whole" errorStyle="warning" operator="between">
      <formula1>0</formula1>
      <formula2>99</formula2>
    </dataValidation>
    <dataValidation sqref="B87" showDropDown="0" showInputMessage="0" showErrorMessage="1" allowBlank="1" errorTitle="Fora da lista" error="Elemento que quebrou: escolha um valor da lista. A planilha pode não reconhecer outro valor." type="list" errorStyle="warning">
      <formula1>'Dados'!$AN$6:$AN$12</formula1>
    </dataValidation>
    <dataValidation sqref="C87" showDropDown="0" showInputMessage="0" showErrorMessage="1" allowBlank="1" errorTitle="Fora da lista" error="Quem quebrou: escolha um valor da lista. A planilha pode não reconhecer outro valor." type="list" errorStyle="warning">
      <formula1>'Combate'!$N$11:$N$16</formula1>
    </dataValidation>
    <dataValidation sqref="C101" showDropDown="0" showInputMessage="0" showErrorMessage="1" allowBlank="1" errorTitle="Valor fora da faixa" error="Usada no Ciclo: use um número inteiro de 1 a 99." type="whole" errorStyle="warning" operator="between">
      <formula1>1</formula1>
      <formula2>99</formula2>
    </dataValidation>
    <dataValidation sqref="F101" showDropDown="0" showInputMessage="0" showErrorMessage="1" allowBlank="1" errorTitle="Valor fora da faixa" error="Usada no Ciclo: use um número inteiro de 1 a 99." type="whole" errorStyle="warning" operator="between">
      <formula1>1</formula1>
      <formula2>99</formula2>
    </dataValidation>
    <dataValidation sqref="I101" showDropDown="0" showInputMessage="0" showErrorMessage="1" allowBlank="1" errorTitle="Valor fora da faixa" error="Usada no Ciclo: use um número inteiro de 1 a 99." type="whole" errorStyle="warning" operator="between">
      <formula1>1</formula1>
      <formula2>99</formula2>
    </dataValidation>
    <dataValidation sqref="C46" showDropDown="0" showInputMessage="0" showErrorMessage="1" allowBlank="1" errorTitle="Fora da lista" error="Trocar por: escolha um valor da lista. A planilha pode não reconhecer outro valor." type="list" errorStyle="warning">
      <formula1>'Inimigos'!$N$11:$N$54</formula1>
    </dataValidation>
    <dataValidation sqref="B59" showDropDown="0" showInputMessage="0" showErrorMessage="1" allowBlank="1" errorTitle="Valor fora da faixa" error="Ajuste de VEL: use um número inteiro de -10 a 10." type="whole" errorStyle="warning" operator="between">
      <formula1>-10</formula1>
      <formula2>10</formula2>
    </dataValidation>
    <dataValidation sqref="E59" showDropDown="0" showInputMessage="0" showErrorMessage="1" allowBlank="1" errorTitle="Valor fora da faixa" error="PV atual: use um número inteiro de 0 a 999." type="whole" errorStyle="warning" operator="between">
      <formula1>0</formula1>
      <formula2>999</formula2>
    </dataValidation>
    <dataValidation sqref="F59" showDropDown="0" showInputMessage="0" showErrorMessage="1" allowBlank="1" errorTitle="Valor fora da faixa" error="Dano agora: use um número inteiro de -999 a 999." type="whole" errorStyle="warning" operator="between">
      <formula1>-999</formula1>
      <formula2>999</formula2>
    </dataValidation>
    <dataValidation sqref="I59" showDropDown="0" showInputMessage="0" showErrorMessage="1" allowBlank="1" errorTitle="Valor fora da faixa" error="Fase em vigor: use um número inteiro de 1 a 3." type="whole" errorStyle="warning" operator="between">
      <formula1>1</formula1>
      <formula2>3</formula2>
    </dataValidation>
    <dataValidation sqref="C75" showDropDown="0" showInputMessage="0" showErrorMessage="1" allowBlank="1" errorTitle="Valor fora da faixa" error="Redução acumulada: use um número inteiro de 0 a 99." type="whole" errorStyle="warning" operator="between">
      <formula1>0</formula1>
      <formula2>99</formula2>
    </dataValidation>
    <dataValidation sqref="B88" showDropDown="0" showInputMessage="0" showErrorMessage="1" allowBlank="1" errorTitle="Fora da lista" error="Elemento que quebrou: escolha um valor da lista. A planilha pode não reconhecer outro valor." type="list" errorStyle="warning">
      <formula1>'Dados'!$AN$6:$AN$12</formula1>
    </dataValidation>
    <dataValidation sqref="C88" showDropDown="0" showInputMessage="0" showErrorMessage="1" allowBlank="1" errorTitle="Fora da lista" error="Quem quebrou: escolha um valor da lista. A planilha pode não reconhecer outro valor." type="list" errorStyle="warning">
      <formula1>'Combate'!$N$11:$N$16</formula1>
    </dataValidation>
    <dataValidation sqref="C102" showDropDown="0" showInputMessage="0" showErrorMessage="1" allowBlank="1" errorTitle="Valor fora da faixa" error="Usada no Ciclo: use um número inteiro de 1 a 99." type="whole" errorStyle="warning" operator="between">
      <formula1>1</formula1>
      <formula2>99</formula2>
    </dataValidation>
    <dataValidation sqref="F102" showDropDown="0" showInputMessage="0" showErrorMessage="1" allowBlank="1" errorTitle="Valor fora da faixa" error="Usada no Ciclo: use um número inteiro de 1 a 99." type="whole" errorStyle="warning" operator="between">
      <formula1>1</formula1>
      <formula2>99</formula2>
    </dataValidation>
    <dataValidation sqref="I102" showDropDown="0" showInputMessage="0" showErrorMessage="1" allowBlank="1" errorTitle="Valor fora da faixa" error="Usada no Ciclo: use um número inteiro de 1 a 99." type="whole" errorStyle="warning" operator="between">
      <formula1>1</formula1>
      <formula2>99</formula2>
    </dataValidation>
    <dataValidation sqref="C47" showDropDown="0" showInputMessage="0" showErrorMessage="1" allowBlank="1" errorTitle="Fora da lista" error="Trocar por: escolha um valor da lista. A planilha pode não reconhecer outro valor." type="list" errorStyle="warning">
      <formula1>'Inimigos'!$N$11:$N$54</formula1>
    </dataValidation>
    <dataValidation sqref="B60" showDropDown="0" showInputMessage="0" showErrorMessage="1" allowBlank="1" errorTitle="Valor fora da faixa" error="Ajuste de VEL: use um número inteiro de -10 a 10." type="whole" errorStyle="warning" operator="between">
      <formula1>-10</formula1>
      <formula2>10</formula2>
    </dataValidation>
    <dataValidation sqref="E60" showDropDown="0" showInputMessage="0" showErrorMessage="1" allowBlank="1" errorTitle="Valor fora da faixa" error="PV atual: use um número inteiro de 0 a 999." type="whole" errorStyle="warning" operator="between">
      <formula1>0</formula1>
      <formula2>999</formula2>
    </dataValidation>
    <dataValidation sqref="F60" showDropDown="0" showInputMessage="0" showErrorMessage="1" allowBlank="1" errorTitle="Valor fora da faixa" error="Dano agora: use um número inteiro de -999 a 999." type="whole" errorStyle="warning" operator="between">
      <formula1>-999</formula1>
      <formula2>999</formula2>
    </dataValidation>
    <dataValidation sqref="I60" showDropDown="0" showInputMessage="0" showErrorMessage="1" allowBlank="1" errorTitle="Valor fora da faixa" error="Fase em vigor: use um número inteiro de 1 a 3." type="whole" errorStyle="warning" operator="between">
      <formula1>1</formula1>
      <formula2>3</formula2>
    </dataValidation>
    <dataValidation sqref="C76" showDropDown="0" showInputMessage="0" showErrorMessage="1" allowBlank="1" errorTitle="Valor fora da faixa" error="Redução acumulada: use um número inteiro de 0 a 99." type="whole" errorStyle="warning" operator="between">
      <formula1>0</formula1>
      <formula2>99</formula2>
    </dataValidation>
    <dataValidation sqref="B89" showDropDown="0" showInputMessage="0" showErrorMessage="1" allowBlank="1" errorTitle="Fora da lista" error="Elemento que quebrou: escolha um valor da lista. A planilha pode não reconhecer outro valor." type="list" errorStyle="warning">
      <formula1>'Dados'!$AN$6:$AN$12</formula1>
    </dataValidation>
    <dataValidation sqref="C89" showDropDown="0" showInputMessage="0" showErrorMessage="1" allowBlank="1" errorTitle="Fora da lista" error="Quem quebrou: escolha um valor da lista. A planilha pode não reconhecer outro valor." type="list" errorStyle="warning">
      <formula1>'Combate'!$N$11:$N$16</formula1>
    </dataValidation>
    <dataValidation sqref="C103" showDropDown="0" showInputMessage="0" showErrorMessage="1" allowBlank="1" errorTitle="Valor fora da faixa" error="Usada no Ciclo: use um número inteiro de 1 a 99." type="whole" errorStyle="warning" operator="between">
      <formula1>1</formula1>
      <formula2>99</formula2>
    </dataValidation>
    <dataValidation sqref="F103" showDropDown="0" showInputMessage="0" showErrorMessage="1" allowBlank="1" errorTitle="Valor fora da faixa" error="Usada no Ciclo: use um número inteiro de 1 a 99." type="whole" errorStyle="warning" operator="between">
      <formula1>1</formula1>
      <formula2>99</formula2>
    </dataValidation>
    <dataValidation sqref="I103" showDropDown="0" showInputMessage="0" showErrorMessage="1" allowBlank="1" errorTitle="Valor fora da faixa" error="Usada no Ciclo: use um número inteiro de 1 a 99." type="whole" errorStyle="warning" operator="between">
      <formula1>1</formula1>
      <formula2>99</formula2>
    </dataValidation>
    <dataValidation sqref="C48" showDropDown="0" showInputMessage="0" showErrorMessage="1" allowBlank="1" errorTitle="Fora da lista" error="Trocar por: escolha um valor da lista. A planilha pode não reconhecer outro valor." type="list" errorStyle="warning">
      <formula1>'Inimigos'!$N$11:$N$54</formula1>
    </dataValidation>
    <dataValidation sqref="B61" showDropDown="0" showInputMessage="0" showErrorMessage="1" allowBlank="1" errorTitle="Valor fora da faixa" error="Ajuste de VEL: use um número inteiro de -10 a 10." type="whole" errorStyle="warning" operator="between">
      <formula1>-10</formula1>
      <formula2>10</formula2>
    </dataValidation>
    <dataValidation sqref="E61" showDropDown="0" showInputMessage="0" showErrorMessage="1" allowBlank="1" errorTitle="Valor fora da faixa" error="PV atual: use um número inteiro de 0 a 999." type="whole" errorStyle="warning" operator="between">
      <formula1>0</formula1>
      <formula2>999</formula2>
    </dataValidation>
    <dataValidation sqref="F61" showDropDown="0" showInputMessage="0" showErrorMessage="1" allowBlank="1" errorTitle="Valor fora da faixa" error="Dano agora: use um número inteiro de -999 a 999." type="whole" errorStyle="warning" operator="between">
      <formula1>-999</formula1>
      <formula2>999</formula2>
    </dataValidation>
    <dataValidation sqref="I61" showDropDown="0" showInputMessage="0" showErrorMessage="1" allowBlank="1" errorTitle="Valor fora da faixa" error="Fase em vigor: use um número inteiro de 1 a 3." type="whole" errorStyle="warning" operator="between">
      <formula1>1</formula1>
      <formula2>3</formula2>
    </dataValidation>
    <dataValidation sqref="C77" showDropDown="0" showInputMessage="0" showErrorMessage="1" allowBlank="1" errorTitle="Valor fora da faixa" error="Redução acumulada: use um número inteiro de 0 a 99." type="whole" errorStyle="warning" operator="between">
      <formula1>0</formula1>
      <formula2>99</formula2>
    </dataValidation>
    <dataValidation sqref="B90" showDropDown="0" showInputMessage="0" showErrorMessage="1" allowBlank="1" errorTitle="Fora da lista" error="Elemento que quebrou: escolha um valor da lista. A planilha pode não reconhecer outro valor." type="list" errorStyle="warning">
      <formula1>'Dados'!$AN$6:$AN$12</formula1>
    </dataValidation>
    <dataValidation sqref="C90" showDropDown="0" showInputMessage="0" showErrorMessage="1" allowBlank="1" errorTitle="Fora da lista" error="Quem quebrou: escolha um valor da lista. A planilha pode não reconhecer outro valor." type="list" errorStyle="warning">
      <formula1>'Combate'!$N$11:$N$16</formula1>
    </dataValidation>
    <dataValidation sqref="C104" showDropDown="0" showInputMessage="0" showErrorMessage="1" allowBlank="1" errorTitle="Valor fora da faixa" error="Usada no Ciclo: use um número inteiro de 1 a 99." type="whole" errorStyle="warning" operator="between">
      <formula1>1</formula1>
      <formula2>99</formula2>
    </dataValidation>
    <dataValidation sqref="F104" showDropDown="0" showInputMessage="0" showErrorMessage="1" allowBlank="1" errorTitle="Valor fora da faixa" error="Usada no Ciclo: use um número inteiro de 1 a 99." type="whole" errorStyle="warning" operator="between">
      <formula1>1</formula1>
      <formula2>99</formula2>
    </dataValidation>
    <dataValidation sqref="I104" showDropDown="0" showInputMessage="0" showErrorMessage="1" allowBlank="1" errorTitle="Valor fora da faixa" error="Usada no Ciclo: use um número inteiro de 1 a 99." type="whole" errorStyle="warning" operator="between">
      <formula1>1</formula1>
      <formula2>99</formula2>
    </dataValidation>
    <dataValidation sqref="C49" showDropDown="0" showInputMessage="0" showErrorMessage="1" allowBlank="1" errorTitle="Fora da lista" error="Trocar por: escolha um valor da lista. A planilha pode não reconhecer outro valor." type="list" errorStyle="warning">
      <formula1>'Inimigos'!$N$11:$N$54</formula1>
    </dataValidation>
    <dataValidation sqref="B62" showDropDown="0" showInputMessage="0" showErrorMessage="1" allowBlank="1" errorTitle="Valor fora da faixa" error="Ajuste de VEL: use um número inteiro de -10 a 10." type="whole" errorStyle="warning" operator="between">
      <formula1>-10</formula1>
      <formula2>10</formula2>
    </dataValidation>
    <dataValidation sqref="E62" showDropDown="0" showInputMessage="0" showErrorMessage="1" allowBlank="1" errorTitle="Valor fora da faixa" error="PV atual: use um número inteiro de 0 a 999." type="whole" errorStyle="warning" operator="between">
      <formula1>0</formula1>
      <formula2>999</formula2>
    </dataValidation>
    <dataValidation sqref="F62" showDropDown="0" showInputMessage="0" showErrorMessage="1" allowBlank="1" errorTitle="Valor fora da faixa" error="Dano agora: use um número inteiro de -999 a 999." type="whole" errorStyle="warning" operator="between">
      <formula1>-999</formula1>
      <formula2>999</formula2>
    </dataValidation>
    <dataValidation sqref="I62" showDropDown="0" showInputMessage="0" showErrorMessage="1" allowBlank="1" errorTitle="Valor fora da faixa" error="Fase em vigor: use um número inteiro de 1 a 3." type="whole" errorStyle="warning" operator="between">
      <formula1>1</formula1>
      <formula2>3</formula2>
    </dataValidation>
    <dataValidation sqref="C78" showDropDown="0" showInputMessage="0" showErrorMessage="1" allowBlank="1" errorTitle="Valor fora da faixa" error="Redução acumulada: use um número inteiro de 0 a 99." type="whole" errorStyle="warning" operator="between">
      <formula1>0</formula1>
      <formula2>99</formula2>
    </dataValidation>
    <dataValidation sqref="B91" showDropDown="0" showInputMessage="0" showErrorMessage="1" allowBlank="1" errorTitle="Fora da lista" error="Elemento que quebrou: escolha um valor da lista. A planilha pode não reconhecer outro valor." type="list" errorStyle="warning">
      <formula1>'Dados'!$AN$6:$AN$12</formula1>
    </dataValidation>
    <dataValidation sqref="C91" showDropDown="0" showInputMessage="0" showErrorMessage="1" allowBlank="1" errorTitle="Fora da lista" error="Quem quebrou: escolha um valor da lista. A planilha pode não reconhecer outro valor." type="list" errorStyle="warning">
      <formula1>'Combate'!$N$11:$N$16</formula1>
    </dataValidation>
    <dataValidation sqref="C105" showDropDown="0" showInputMessage="0" showErrorMessage="1" allowBlank="1" errorTitle="Valor fora da faixa" error="Usada no Ciclo: use um número inteiro de 1 a 99." type="whole" errorStyle="warning" operator="between">
      <formula1>1</formula1>
      <formula2>99</formula2>
    </dataValidation>
    <dataValidation sqref="F105" showDropDown="0" showInputMessage="0" showErrorMessage="1" allowBlank="1" errorTitle="Valor fora da faixa" error="Usada no Ciclo: use um número inteiro de 1 a 99." type="whole" errorStyle="warning" operator="between">
      <formula1>1</formula1>
      <formula2>99</formula2>
    </dataValidation>
    <dataValidation sqref="I105" showDropDown="0" showInputMessage="0" showErrorMessage="1" allowBlank="1" errorTitle="Valor fora da faixa" error="Usada no Ciclo: use um número inteiro de 1 a 99." type="whole" errorStyle="warning" operator="between">
      <formula1>1</formula1>
      <formula2>99</formula2>
    </dataValidation>
    <dataValidation sqref="C50" showDropDown="0" showInputMessage="0" showErrorMessage="1" allowBlank="1" errorTitle="Fora da lista" error="Trocar por: escolha um valor da lista. A planilha pode não reconhecer outro valor." type="list" errorStyle="warning">
      <formula1>'Inimigos'!$N$11:$N$54</formula1>
    </dataValidation>
    <dataValidation sqref="B63" showDropDown="0" showInputMessage="0" showErrorMessage="1" allowBlank="1" errorTitle="Valor fora da faixa" error="Ajuste de VEL: use um número inteiro de -10 a 10." type="whole" errorStyle="warning" operator="between">
      <formula1>-10</formula1>
      <formula2>10</formula2>
    </dataValidation>
    <dataValidation sqref="E63" showDropDown="0" showInputMessage="0" showErrorMessage="1" allowBlank="1" errorTitle="Valor fora da faixa" error="PV atual: use um número inteiro de 0 a 999." type="whole" errorStyle="warning" operator="between">
      <formula1>0</formula1>
      <formula2>999</formula2>
    </dataValidation>
    <dataValidation sqref="F63" showDropDown="0" showInputMessage="0" showErrorMessage="1" allowBlank="1" errorTitle="Valor fora da faixa" error="Dano agora: use um número inteiro de -999 a 999." type="whole" errorStyle="warning" operator="between">
      <formula1>-999</formula1>
      <formula2>999</formula2>
    </dataValidation>
    <dataValidation sqref="I63" showDropDown="0" showInputMessage="0" showErrorMessage="1" allowBlank="1" errorTitle="Valor fora da faixa" error="Fase em vigor: use um número inteiro de 1 a 3." type="whole" errorStyle="warning" operator="between">
      <formula1>1</formula1>
      <formula2>3</formula2>
    </dataValidation>
    <dataValidation sqref="C79" showDropDown="0" showInputMessage="0" showErrorMessage="1" allowBlank="1" errorTitle="Valor fora da faixa" error="Redução acumulada: use um número inteiro de 0 a 99." type="whole" errorStyle="warning" operator="between">
      <formula1>0</formula1>
      <formula2>99</formula2>
    </dataValidation>
    <dataValidation sqref="B92" showDropDown="0" showInputMessage="0" showErrorMessage="1" allowBlank="1" errorTitle="Fora da lista" error="Elemento que quebrou: escolha um valor da lista. A planilha pode não reconhecer outro valor." type="list" errorStyle="warning">
      <formula1>'Dados'!$AN$6:$AN$12</formula1>
    </dataValidation>
    <dataValidation sqref="C92" showDropDown="0" showInputMessage="0" showErrorMessage="1" allowBlank="1" errorTitle="Fora da lista" error="Quem quebrou: escolha um valor da lista. A planilha pode não reconhecer outro valor." type="list" errorStyle="warning">
      <formula1>'Combate'!$N$11:$N$16</formula1>
    </dataValidation>
    <dataValidation sqref="C106" showDropDown="0" showInputMessage="0" showErrorMessage="1" allowBlank="1" errorTitle="Valor fora da faixa" error="Usada no Ciclo: use um número inteiro de 1 a 99." type="whole" errorStyle="warning" operator="between">
      <formula1>1</formula1>
      <formula2>99</formula2>
    </dataValidation>
    <dataValidation sqref="F106" showDropDown="0" showInputMessage="0" showErrorMessage="1" allowBlank="1" errorTitle="Valor fora da faixa" error="Usada no Ciclo: use um número inteiro de 1 a 99." type="whole" errorStyle="warning" operator="between">
      <formula1>1</formula1>
      <formula2>99</formula2>
    </dataValidation>
    <dataValidation sqref="I106" showDropDown="0" showInputMessage="0" showErrorMessage="1" allowBlank="1" errorTitle="Valor fora da faixa" error="Usada no Ciclo: use um número inteiro de 1 a 99." type="whole" errorStyle="warning" operator="between">
      <formula1>1</formula1>
      <formula2>99</formula2>
    </dataValidation>
    <dataValidation sqref="C51" showDropDown="0" showInputMessage="0" showErrorMessage="1" allowBlank="1" errorTitle="Fora da lista" error="Trocar por: escolha um valor da lista. A planilha pode não reconhecer outro valor." type="list" errorStyle="warning">
      <formula1>'Inimigos'!$N$11:$N$54</formula1>
    </dataValidation>
    <dataValidation sqref="B64" showDropDown="0" showInputMessage="0" showErrorMessage="1" allowBlank="1" errorTitle="Valor fora da faixa" error="Ajuste de VEL: use um número inteiro de -10 a 10." type="whole" errorStyle="warning" operator="between">
      <formula1>-10</formula1>
      <formula2>10</formula2>
    </dataValidation>
    <dataValidation sqref="E64" showDropDown="0" showInputMessage="0" showErrorMessage="1" allowBlank="1" errorTitle="Valor fora da faixa" error="PV atual: use um número inteiro de 0 a 999." type="whole" errorStyle="warning" operator="between">
      <formula1>0</formula1>
      <formula2>999</formula2>
    </dataValidation>
    <dataValidation sqref="F64" showDropDown="0" showInputMessage="0" showErrorMessage="1" allowBlank="1" errorTitle="Valor fora da faixa" error="Dano agora: use um número inteiro de -999 a 999." type="whole" errorStyle="warning" operator="between">
      <formula1>-999</formula1>
      <formula2>999</formula2>
    </dataValidation>
    <dataValidation sqref="I64" showDropDown="0" showInputMessage="0" showErrorMessage="1" allowBlank="1" errorTitle="Valor fora da faixa" error="Fase em vigor: use um número inteiro de 1 a 3." type="whole" errorStyle="warning" operator="between">
      <formula1>1</formula1>
      <formula2>3</formula2>
    </dataValidation>
    <dataValidation sqref="C80" showDropDown="0" showInputMessage="0" showErrorMessage="1" allowBlank="1" errorTitle="Valor fora da faixa" error="Redução acumulada: use um número inteiro de 0 a 99." type="whole" errorStyle="warning" operator="between">
      <formula1>0</formula1>
      <formula2>99</formula2>
    </dataValidation>
    <dataValidation sqref="B93" showDropDown="0" showInputMessage="0" showErrorMessage="1" allowBlank="1" errorTitle="Fora da lista" error="Elemento que quebrou: escolha um valor da lista. A planilha pode não reconhecer outro valor." type="list" errorStyle="warning">
      <formula1>'Dados'!$AN$6:$AN$12</formula1>
    </dataValidation>
    <dataValidation sqref="C93" showDropDown="0" showInputMessage="0" showErrorMessage="1" allowBlank="1" errorTitle="Fora da lista" error="Quem quebrou: escolha um valor da lista. A planilha pode não reconhecer outro valor." type="list" errorStyle="warning">
      <formula1>'Combate'!$N$11:$N$16</formula1>
    </dataValidation>
    <dataValidation sqref="C107" showDropDown="0" showInputMessage="0" showErrorMessage="1" allowBlank="1" errorTitle="Valor fora da faixa" error="Usada no Ciclo: use um número inteiro de 1 a 99." type="whole" errorStyle="warning" operator="between">
      <formula1>1</formula1>
      <formula2>99</formula2>
    </dataValidation>
    <dataValidation sqref="F107" showDropDown="0" showInputMessage="0" showErrorMessage="1" allowBlank="1" errorTitle="Valor fora da faixa" error="Usada no Ciclo: use um número inteiro de 1 a 99." type="whole" errorStyle="warning" operator="between">
      <formula1>1</formula1>
      <formula2>99</formula2>
    </dataValidation>
    <dataValidation sqref="I107" showDropDown="0" showInputMessage="0" showErrorMessage="1" allowBlank="1" errorTitle="Valor fora da faixa" error="Usada no Ciclo: use um número inteiro de 1 a 99." type="whole" errorStyle="warning" operator="between">
      <formula1>1</formula1>
      <formula2>99</formula2>
    </dataValidation>
    <dataValidation sqref="C52" showDropDown="0" showInputMessage="0" showErrorMessage="1" allowBlank="1" errorTitle="Fora da lista" error="Trocar por: escolha um valor da lista. A planilha pode não reconhecer outro valor." type="list" errorStyle="warning">
      <formula1>'Inimigos'!$N$11:$N$54</formula1>
    </dataValidation>
    <dataValidation sqref="B65" showDropDown="0" showInputMessage="0" showErrorMessage="1" allowBlank="1" errorTitle="Valor fora da faixa" error="Ajuste de VEL: use um número inteiro de -10 a 10." type="whole" errorStyle="warning" operator="between">
      <formula1>-10</formula1>
      <formula2>10</formula2>
    </dataValidation>
    <dataValidation sqref="E65" showDropDown="0" showInputMessage="0" showErrorMessage="1" allowBlank="1" errorTitle="Valor fora da faixa" error="PV atual: use um número inteiro de 0 a 999." type="whole" errorStyle="warning" operator="between">
      <formula1>0</formula1>
      <formula2>999</formula2>
    </dataValidation>
    <dataValidation sqref="F65" showDropDown="0" showInputMessage="0" showErrorMessage="1" allowBlank="1" errorTitle="Valor fora da faixa" error="Dano agora: use um número inteiro de -999 a 999." type="whole" errorStyle="warning" operator="between">
      <formula1>-999</formula1>
      <formula2>999</formula2>
    </dataValidation>
    <dataValidation sqref="I65" showDropDown="0" showInputMessage="0" showErrorMessage="1" allowBlank="1" errorTitle="Valor fora da faixa" error="Fase em vigor: use um número inteiro de 1 a 3." type="whole" errorStyle="warning" operator="between">
      <formula1>1</formula1>
      <formula2>3</formula2>
    </dataValidation>
    <dataValidation sqref="C81" showDropDown="0" showInputMessage="0" showErrorMessage="1" allowBlank="1" errorTitle="Valor fora da faixa" error="Redução acumulada: use um número inteiro de 0 a 99." type="whole" errorStyle="warning" operator="between">
      <formula1>0</formula1>
      <formula2>99</formula2>
    </dataValidation>
    <dataValidation sqref="B94" showDropDown="0" showInputMessage="0" showErrorMessage="1" allowBlank="1" errorTitle="Fora da lista" error="Elemento que quebrou: escolha um valor da lista. A planilha pode não reconhecer outro valor." type="list" errorStyle="warning">
      <formula1>'Dados'!$AN$6:$AN$12</formula1>
    </dataValidation>
    <dataValidation sqref="C94" showDropDown="0" showInputMessage="0" showErrorMessage="1" allowBlank="1" errorTitle="Fora da lista" error="Quem quebrou: escolha um valor da lista. A planilha pode não reconhecer outro valor." type="list" errorStyle="warning">
      <formula1>'Combate'!$N$11:$N$16</formula1>
    </dataValidation>
    <dataValidation sqref="C108" showDropDown="0" showInputMessage="0" showErrorMessage="1" allowBlank="1" errorTitle="Valor fora da faixa" error="Usada no Ciclo: use um número inteiro de 1 a 99." type="whole" errorStyle="warning" operator="between">
      <formula1>1</formula1>
      <formula2>99</formula2>
    </dataValidation>
    <dataValidation sqref="F108" showDropDown="0" showInputMessage="0" showErrorMessage="1" allowBlank="1" errorTitle="Valor fora da faixa" error="Usada no Ciclo: use um número inteiro de 1 a 99." type="whole" errorStyle="warning" operator="between">
      <formula1>1</formula1>
      <formula2>99</formula2>
    </dataValidation>
    <dataValidation sqref="I108" showDropDown="0" showInputMessage="0" showErrorMessage="1" allowBlank="1" errorTitle="Valor fora da faixa" error="Usada no Ciclo: use um número inteiro de 1 a 99." type="whole" errorStyle="warning" operator="between">
      <formula1>1</formula1>
      <formula2>99</formula2>
    </dataValidation>
    <dataValidation sqref="C53" showDropDown="0" showInputMessage="0" showErrorMessage="1" allowBlank="1" errorTitle="Fora da lista" error="Trocar por: escolha um valor da lista. A planilha pode não reconhecer outro valor." type="list" errorStyle="warning">
      <formula1>'Inimigos'!$N$11:$N$54</formula1>
    </dataValidation>
    <dataValidation sqref="B66" showDropDown="0" showInputMessage="0" showErrorMessage="1" allowBlank="1" errorTitle="Valor fora da faixa" error="Ajuste de VEL: use um número inteiro de -10 a 10." type="whole" errorStyle="warning" operator="between">
      <formula1>-10</formula1>
      <formula2>10</formula2>
    </dataValidation>
    <dataValidation sqref="E66" showDropDown="0" showInputMessage="0" showErrorMessage="1" allowBlank="1" errorTitle="Valor fora da faixa" error="PV atual: use um número inteiro de 0 a 999." type="whole" errorStyle="warning" operator="between">
      <formula1>0</formula1>
      <formula2>999</formula2>
    </dataValidation>
    <dataValidation sqref="F66" showDropDown="0" showInputMessage="0" showErrorMessage="1" allowBlank="1" errorTitle="Valor fora da faixa" error="Dano agora: use um número inteiro de -999 a 999." type="whole" errorStyle="warning" operator="between">
      <formula1>-999</formula1>
      <formula2>999</formula2>
    </dataValidation>
    <dataValidation sqref="I66" showDropDown="0" showInputMessage="0" showErrorMessage="1" allowBlank="1" errorTitle="Valor fora da faixa" error="Fase em vigor: use um número inteiro de 1 a 3." type="whole" errorStyle="warning" operator="between">
      <formula1>1</formula1>
      <formula2>3</formula2>
    </dataValidation>
    <dataValidation sqref="C82" showDropDown="0" showInputMessage="0" showErrorMessage="1" allowBlank="1" errorTitle="Valor fora da faixa" error="Redução acumulada: use um número inteiro de 0 a 99." type="whole" errorStyle="warning" operator="between">
      <formula1>0</formula1>
      <formula2>99</formula2>
    </dataValidation>
    <dataValidation sqref="B95" showDropDown="0" showInputMessage="0" showErrorMessage="1" allowBlank="1" errorTitle="Fora da lista" error="Elemento que quebrou: escolha um valor da lista. A planilha pode não reconhecer outro valor." type="list" errorStyle="warning">
      <formula1>'Dados'!$AN$6:$AN$12</formula1>
    </dataValidation>
    <dataValidation sqref="C95" showDropDown="0" showInputMessage="0" showErrorMessage="1" allowBlank="1" errorTitle="Fora da lista" error="Quem quebrou: escolha um valor da lista. A planilha pode não reconhecer outro valor." type="list" errorStyle="warning">
      <formula1>'Combate'!$N$11:$N$16</formula1>
    </dataValidation>
    <dataValidation sqref="C109" showDropDown="0" showInputMessage="0" showErrorMessage="1" allowBlank="1" errorTitle="Valor fora da faixa" error="Usada no Ciclo: use um número inteiro de 1 a 99." type="whole" errorStyle="warning" operator="between">
      <formula1>1</formula1>
      <formula2>99</formula2>
    </dataValidation>
    <dataValidation sqref="F109" showDropDown="0" showInputMessage="0" showErrorMessage="1" allowBlank="1" errorTitle="Valor fora da faixa" error="Usada no Ciclo: use um número inteiro de 1 a 99." type="whole" errorStyle="warning" operator="between">
      <formula1>1</formula1>
      <formula2>99</formula2>
    </dataValidation>
    <dataValidation sqref="I109" showDropDown="0" showInputMessage="0" showErrorMessage="1" allowBlank="1" errorTitle="Valor fora da faixa" error="Usada no Ciclo: use um número inteiro de 1 a 99." type="whole" errorStyle="warning" operator="between">
      <formula1>1</formula1>
      <formula2>99</formula2>
    </dataValidation>
    <dataValidation sqref="C54" showDropDown="0" showInputMessage="0" showErrorMessage="1" allowBlank="1" errorTitle="Fora da lista" error="Trocar por: escolha um valor da lista. A planilha pode não reconhecer outro valor." type="list" errorStyle="warning">
      <formula1>'Inimigos'!$N$11:$N$54</formula1>
    </dataValidation>
    <dataValidation sqref="B67" showDropDown="0" showInputMessage="0" showErrorMessage="1" allowBlank="1" errorTitle="Valor fora da faixa" error="Ajuste de VEL: use um número inteiro de -10 a 10." type="whole" errorStyle="warning" operator="between">
      <formula1>-10</formula1>
      <formula2>10</formula2>
    </dataValidation>
    <dataValidation sqref="E67" showDropDown="0" showInputMessage="0" showErrorMessage="1" allowBlank="1" errorTitle="Valor fora da faixa" error="PV atual: use um número inteiro de 0 a 999." type="whole" errorStyle="warning" operator="between">
      <formula1>0</formula1>
      <formula2>999</formula2>
    </dataValidation>
    <dataValidation sqref="F67" showDropDown="0" showInputMessage="0" showErrorMessage="1" allowBlank="1" errorTitle="Valor fora da faixa" error="Dano agora: use um número inteiro de -999 a 999." type="whole" errorStyle="warning" operator="between">
      <formula1>-999</formula1>
      <formula2>999</formula2>
    </dataValidation>
    <dataValidation sqref="I67" showDropDown="0" showInputMessage="0" showErrorMessage="1" allowBlank="1" errorTitle="Valor fora da faixa" error="Fase em vigor: use um número inteiro de 1 a 3." type="whole" errorStyle="warning" operator="between">
      <formula1>1</formula1>
      <formula2>3</formula2>
    </dataValidation>
    <dataValidation sqref="C83" showDropDown="0" showInputMessage="0" showErrorMessage="1" allowBlank="1" errorTitle="Valor fora da faixa" error="Redução acumulada: use um número inteiro de 0 a 99." type="whole" errorStyle="warning" operator="between">
      <formula1>0</formula1>
      <formula2>99</formula2>
    </dataValidation>
    <dataValidation sqref="B96" showDropDown="0" showInputMessage="0" showErrorMessage="1" allowBlank="1" errorTitle="Fora da lista" error="Elemento que quebrou: escolha um valor da lista. A planilha pode não reconhecer outro valor." type="list" errorStyle="warning">
      <formula1>'Dados'!$AN$6:$AN$12</formula1>
    </dataValidation>
    <dataValidation sqref="C96" showDropDown="0" showInputMessage="0" showErrorMessage="1" allowBlank="1" errorTitle="Fora da lista" error="Quem quebrou: escolha um valor da lista. A planilha pode não reconhecer outro valor." type="list" errorStyle="warning">
      <formula1>'Combate'!$N$11:$N$16</formula1>
    </dataValidation>
    <dataValidation sqref="C110" showDropDown="0" showInputMessage="0" showErrorMessage="1" allowBlank="1" errorTitle="Valor fora da faixa" error="Usada no Ciclo: use um número inteiro de 1 a 99." type="whole" errorStyle="warning" operator="between">
      <formula1>1</formula1>
      <formula2>99</formula2>
    </dataValidation>
    <dataValidation sqref="F110" showDropDown="0" showInputMessage="0" showErrorMessage="1" allowBlank="1" errorTitle="Valor fora da faixa" error="Usada no Ciclo: use um número inteiro de 1 a 99." type="whole" errorStyle="warning" operator="between">
      <formula1>1</formula1>
      <formula2>99</formula2>
    </dataValidation>
    <dataValidation sqref="I110" showDropDown="0" showInputMessage="0" showErrorMessage="1" allowBlank="1" errorTitle="Valor fora da faixa" error="Usada no Ciclo: use um número inteiro de 1 a 99." type="whole" errorStyle="warning" operator="between">
      <formula1>1</formula1>
      <formula2>99</formula2>
    </dataValidation>
    <dataValidation sqref="C114" showDropDown="0" showInputMessage="0" showErrorMessage="1" allowBlank="1" errorTitle="Valor fora da faixa" error="Ordem entre empatados: use um número inteiro de 1 a 5." type="whole" errorStyle="warning" operator="between">
      <formula1>1</formula1>
      <formula2>5</formula2>
    </dataValidation>
    <dataValidation sqref="D114" showDropDown="0" showInputMessage="0" showErrorMessage="1" allowBlank="1" errorTitle="Valor fora da faixa" error="Atraso: use um número inteiro de 0 a 20." type="whole" errorStyle="warning" operator="between">
      <formula1>0</formula1>
      <formula2>20</formula2>
    </dataValidation>
    <dataValidation sqref="E114" showDropDown="0" showInputMessage="0" showErrorMessage="1" allowBlank="1" errorTitle="Valor fora da faixa" error="Atraso pendente: use um número inteiro de 0 a 20." type="whole" errorStyle="warning" operator="between">
      <formula1>0</formula1>
      <formula2>20</formula2>
    </dataValidation>
    <dataValidation sqref="F114" showDropDown="0" showInputMessage="0" showErrorMessage="1" allowBlank="1" errorTitle="Valor fora da faixa" error="Avançar: use um número inteiro de 0 a 20." type="whole" errorStyle="warning" operator="between">
      <formula1>0</formula1>
      <formula2>20</formula2>
    </dataValidation>
    <dataValidation sqref="G114" showDropDown="0" showInputMessage="0" showErrorMessage="1" allowBlank="1" errorTitle="Fora da lista" error="Avanço Total: escolha um valor da lista. A planilha pode não reconhecer outro valor." type="list" errorStyle="warning">
      <formula1>'Dados'!$AT$6:$AT$7</formula1>
    </dataValidation>
    <dataValidation sqref="H114" showDropDown="0" showInputMessage="0" showErrorMessage="1" allowBlank="1" errorTitle="Fora da lista" error="Já agiu?: escolha um valor da lista. A planilha pode não reconhecer outro valor." type="list" errorStyle="warning">
      <formula1>'Dados'!$AT$6:$AT$7</formula1>
    </dataValidation>
    <dataValidation sqref="I114" showDropDown="0" showInputMessage="0" showErrorMessage="1" allowBlank="1" errorTitle="Valor fora da faixa" error="Casa manual: use um número inteiro de 1 a 22." type="whole" errorStyle="warning" operator="between">
      <formula1>1</formula1>
      <formula2>22</formula2>
    </dataValidation>
    <dataValidation sqref="C115" showDropDown="0" showInputMessage="0" showErrorMessage="1" allowBlank="1" errorTitle="Valor fora da faixa" error="Ordem entre empatados: use um número inteiro de 1 a 5." type="whole" errorStyle="warning" operator="between">
      <formula1>1</formula1>
      <formula2>5</formula2>
    </dataValidation>
    <dataValidation sqref="D115" showDropDown="0" showInputMessage="0" showErrorMessage="1" allowBlank="1" errorTitle="Valor fora da faixa" error="Atraso: use um número inteiro de 0 a 20." type="whole" errorStyle="warning" operator="between">
      <formula1>0</formula1>
      <formula2>20</formula2>
    </dataValidation>
    <dataValidation sqref="E115" showDropDown="0" showInputMessage="0" showErrorMessage="1" allowBlank="1" errorTitle="Valor fora da faixa" error="Atraso pendente: use um número inteiro de 0 a 20." type="whole" errorStyle="warning" operator="between">
      <formula1>0</formula1>
      <formula2>20</formula2>
    </dataValidation>
    <dataValidation sqref="F115" showDropDown="0" showInputMessage="0" showErrorMessage="1" allowBlank="1" errorTitle="Valor fora da faixa" error="Avançar: use um número inteiro de 0 a 20." type="whole" errorStyle="warning" operator="between">
      <formula1>0</formula1>
      <formula2>20</formula2>
    </dataValidation>
    <dataValidation sqref="G115" showDropDown="0" showInputMessage="0" showErrorMessage="1" allowBlank="1" errorTitle="Fora da lista" error="Avanço Total: escolha um valor da lista. A planilha pode não reconhecer outro valor." type="list" errorStyle="warning">
      <formula1>'Dados'!$AT$6:$AT$7</formula1>
    </dataValidation>
    <dataValidation sqref="H115" showDropDown="0" showInputMessage="0" showErrorMessage="1" allowBlank="1" errorTitle="Fora da lista" error="Já agiu?: escolha um valor da lista. A planilha pode não reconhecer outro valor." type="list" errorStyle="warning">
      <formula1>'Dados'!$AT$6:$AT$7</formula1>
    </dataValidation>
    <dataValidation sqref="I115" showDropDown="0" showInputMessage="0" showErrorMessage="1" allowBlank="1" errorTitle="Valor fora da faixa" error="Casa manual: use um número inteiro de 1 a 22." type="whole" errorStyle="warning" operator="between">
      <formula1>1</formula1>
      <formula2>22</formula2>
    </dataValidation>
    <dataValidation sqref="C116" showDropDown="0" showInputMessage="0" showErrorMessage="1" allowBlank="1" errorTitle="Valor fora da faixa" error="Ordem entre empatados: use um número inteiro de 1 a 5." type="whole" errorStyle="warning" operator="between">
      <formula1>1</formula1>
      <formula2>5</formula2>
    </dataValidation>
    <dataValidation sqref="D116" showDropDown="0" showInputMessage="0" showErrorMessage="1" allowBlank="1" errorTitle="Valor fora da faixa" error="Atraso: use um número inteiro de 0 a 20." type="whole" errorStyle="warning" operator="between">
      <formula1>0</formula1>
      <formula2>20</formula2>
    </dataValidation>
    <dataValidation sqref="E116" showDropDown="0" showInputMessage="0" showErrorMessage="1" allowBlank="1" errorTitle="Valor fora da faixa" error="Atraso pendente: use um número inteiro de 0 a 20." type="whole" errorStyle="warning" operator="between">
      <formula1>0</formula1>
      <formula2>20</formula2>
    </dataValidation>
    <dataValidation sqref="F116" showDropDown="0" showInputMessage="0" showErrorMessage="1" allowBlank="1" errorTitle="Valor fora da faixa" error="Avançar: use um número inteiro de 0 a 20." type="whole" errorStyle="warning" operator="between">
      <formula1>0</formula1>
      <formula2>20</formula2>
    </dataValidation>
    <dataValidation sqref="G116" showDropDown="0" showInputMessage="0" showErrorMessage="1" allowBlank="1" errorTitle="Fora da lista" error="Avanço Total: escolha um valor da lista. A planilha pode não reconhecer outro valor." type="list" errorStyle="warning">
      <formula1>'Dados'!$AT$6:$AT$7</formula1>
    </dataValidation>
    <dataValidation sqref="H116" showDropDown="0" showInputMessage="0" showErrorMessage="1" allowBlank="1" errorTitle="Fora da lista" error="Já agiu?: escolha um valor da lista. A planilha pode não reconhecer outro valor." type="list" errorStyle="warning">
      <formula1>'Dados'!$AT$6:$AT$7</formula1>
    </dataValidation>
    <dataValidation sqref="I116" showDropDown="0" showInputMessage="0" showErrorMessage="1" allowBlank="1" errorTitle="Valor fora da faixa" error="Casa manual: use um número inteiro de 1 a 22." type="whole" errorStyle="warning" operator="between">
      <formula1>1</formula1>
      <formula2>22</formula2>
    </dataValidation>
    <dataValidation sqref="C117" showDropDown="0" showInputMessage="0" showErrorMessage="1" allowBlank="1" errorTitle="Valor fora da faixa" error="Ordem entre empatados: use um número inteiro de 1 a 5." type="whole" errorStyle="warning" operator="between">
      <formula1>1</formula1>
      <formula2>5</formula2>
    </dataValidation>
    <dataValidation sqref="D117" showDropDown="0" showInputMessage="0" showErrorMessage="1" allowBlank="1" errorTitle="Valor fora da faixa" error="Atraso: use um número inteiro de 0 a 20." type="whole" errorStyle="warning" operator="between">
      <formula1>0</formula1>
      <formula2>20</formula2>
    </dataValidation>
    <dataValidation sqref="E117" showDropDown="0" showInputMessage="0" showErrorMessage="1" allowBlank="1" errorTitle="Valor fora da faixa" error="Atraso pendente: use um número inteiro de 0 a 20." type="whole" errorStyle="warning" operator="between">
      <formula1>0</formula1>
      <formula2>20</formula2>
    </dataValidation>
    <dataValidation sqref="F117" showDropDown="0" showInputMessage="0" showErrorMessage="1" allowBlank="1" errorTitle="Valor fora da faixa" error="Avançar: use um número inteiro de 0 a 20." type="whole" errorStyle="warning" operator="between">
      <formula1>0</formula1>
      <formula2>20</formula2>
    </dataValidation>
    <dataValidation sqref="G117" showDropDown="0" showInputMessage="0" showErrorMessage="1" allowBlank="1" errorTitle="Fora da lista" error="Avanço Total: escolha um valor da lista. A planilha pode não reconhecer outro valor." type="list" errorStyle="warning">
      <formula1>'Dados'!$AT$6:$AT$7</formula1>
    </dataValidation>
    <dataValidation sqref="H117" showDropDown="0" showInputMessage="0" showErrorMessage="1" allowBlank="1" errorTitle="Fora da lista" error="Já agiu?: escolha um valor da lista. A planilha pode não reconhecer outro valor." type="list" errorStyle="warning">
      <formula1>'Dados'!$AT$6:$AT$7</formula1>
    </dataValidation>
    <dataValidation sqref="I117" showDropDown="0" showInputMessage="0" showErrorMessage="1" allowBlank="1" errorTitle="Valor fora da faixa" error="Casa manual: use um número inteiro de 1 a 22." type="whole" errorStyle="warning" operator="between">
      <formula1>1</formula1>
      <formula2>22</formula2>
    </dataValidation>
    <dataValidation sqref="C118" showDropDown="0" showInputMessage="0" showErrorMessage="1" allowBlank="1" errorTitle="Valor fora da faixa" error="Ordem entre empatados: use um número inteiro de 1 a 5." type="whole" errorStyle="warning" operator="between">
      <formula1>1</formula1>
      <formula2>5</formula2>
    </dataValidation>
    <dataValidation sqref="D118" showDropDown="0" showInputMessage="0" showErrorMessage="1" allowBlank="1" errorTitle="Valor fora da faixa" error="Atraso: use um número inteiro de 0 a 20." type="whole" errorStyle="warning" operator="between">
      <formula1>0</formula1>
      <formula2>20</formula2>
    </dataValidation>
    <dataValidation sqref="E118" showDropDown="0" showInputMessage="0" showErrorMessage="1" allowBlank="1" errorTitle="Valor fora da faixa" error="Atraso pendente: use um número inteiro de 0 a 20." type="whole" errorStyle="warning" operator="between">
      <formula1>0</formula1>
      <formula2>20</formula2>
    </dataValidation>
    <dataValidation sqref="F118" showDropDown="0" showInputMessage="0" showErrorMessage="1" allowBlank="1" errorTitle="Valor fora da faixa" error="Avançar: use um número inteiro de 0 a 20." type="whole" errorStyle="warning" operator="between">
      <formula1>0</formula1>
      <formula2>20</formula2>
    </dataValidation>
    <dataValidation sqref="G118" showDropDown="0" showInputMessage="0" showErrorMessage="1" allowBlank="1" errorTitle="Fora da lista" error="Avanço Total: escolha um valor da lista. A planilha pode não reconhecer outro valor." type="list" errorStyle="warning">
      <formula1>'Dados'!$AT$6:$AT$7</formula1>
    </dataValidation>
    <dataValidation sqref="H118" showDropDown="0" showInputMessage="0" showErrorMessage="1" allowBlank="1" errorTitle="Fora da lista" error="Já agiu?: escolha um valor da lista. A planilha pode não reconhecer outro valor." type="list" errorStyle="warning">
      <formula1>'Dados'!$AT$6:$AT$7</formula1>
    </dataValidation>
    <dataValidation sqref="I118" showDropDown="0" showInputMessage="0" showErrorMessage="1" allowBlank="1" errorTitle="Valor fora da faixa" error="Casa manual: use um número inteiro de 1 a 22." type="whole" errorStyle="warning" operator="between">
      <formula1>1</formula1>
      <formula2>22</formula2>
    </dataValidation>
    <dataValidation sqref="C119" showDropDown="0" showInputMessage="0" showErrorMessage="1" allowBlank="1" errorTitle="Valor fora da faixa" error="Ordem entre empatados: use um número inteiro de 1 a 5." type="whole" errorStyle="warning" operator="between">
      <formula1>1</formula1>
      <formula2>5</formula2>
    </dataValidation>
    <dataValidation sqref="D119" showDropDown="0" showInputMessage="0" showErrorMessage="1" allowBlank="1" errorTitle="Valor fora da faixa" error="Atraso: use um número inteiro de 0 a 20." type="whole" errorStyle="warning" operator="between">
      <formula1>0</formula1>
      <formula2>20</formula2>
    </dataValidation>
    <dataValidation sqref="E119" showDropDown="0" showInputMessage="0" showErrorMessage="1" allowBlank="1" errorTitle="Valor fora da faixa" error="Atraso pendente: use um número inteiro de 0 a 20." type="whole" errorStyle="warning" operator="between">
      <formula1>0</formula1>
      <formula2>20</formula2>
    </dataValidation>
    <dataValidation sqref="F119" showDropDown="0" showInputMessage="0" showErrorMessage="1" allowBlank="1" errorTitle="Valor fora da faixa" error="Avançar: use um número inteiro de 0 a 20." type="whole" errorStyle="warning" operator="between">
      <formula1>0</formula1>
      <formula2>20</formula2>
    </dataValidation>
    <dataValidation sqref="G119" showDropDown="0" showInputMessage="0" showErrorMessage="1" allowBlank="1" errorTitle="Fora da lista" error="Avanço Total: escolha um valor da lista. A planilha pode não reconhecer outro valor." type="list" errorStyle="warning">
      <formula1>'Dados'!$AT$6:$AT$7</formula1>
    </dataValidation>
    <dataValidation sqref="H119" showDropDown="0" showInputMessage="0" showErrorMessage="1" allowBlank="1" errorTitle="Fora da lista" error="Já agiu?: escolha um valor da lista. A planilha pode não reconhecer outro valor." type="list" errorStyle="warning">
      <formula1>'Dados'!$AT$6:$AT$7</formula1>
    </dataValidation>
    <dataValidation sqref="I119" showDropDown="0" showInputMessage="0" showErrorMessage="1" allowBlank="1" errorTitle="Valor fora da faixa" error="Casa manual: use um número inteiro de 1 a 22." type="whole" errorStyle="warning" operator="between">
      <formula1>1</formula1>
      <formula2>22</formula2>
    </dataValidation>
    <dataValidation sqref="D120" showDropDown="0" showInputMessage="0" showErrorMessage="1" allowBlank="1" errorTitle="Valor fora da faixa" error="Atraso: use um número inteiro de 0 a 20." type="whole" errorStyle="warning" operator="between">
      <formula1>0</formula1>
      <formula2>20</formula2>
    </dataValidation>
    <dataValidation sqref="E120" showDropDown="0" showInputMessage="0" showErrorMessage="1" allowBlank="1" errorTitle="Valor fora da faixa" error="Atraso pendente: use um número inteiro de 0 a 20." type="whole" errorStyle="warning" operator="between">
      <formula1>0</formula1>
      <formula2>20</formula2>
    </dataValidation>
    <dataValidation sqref="F120" showDropDown="0" showInputMessage="0" showErrorMessage="1" allowBlank="1" errorTitle="Valor fora da faixa" error="Avançar: use um número inteiro de 0 a 20." type="whole" errorStyle="warning" operator="between">
      <formula1>0</formula1>
      <formula2>20</formula2>
    </dataValidation>
    <dataValidation sqref="G120" showDropDown="0" showInputMessage="0" showErrorMessage="1" allowBlank="1" errorTitle="Fora da lista" error="Avanço Total: escolha um valor da lista. A planilha pode não reconhecer outro valor." type="list" errorStyle="warning">
      <formula1>'Dados'!$AT$6:$AT$7</formula1>
    </dataValidation>
    <dataValidation sqref="H120" showDropDown="0" showInputMessage="0" showErrorMessage="1" allowBlank="1" errorTitle="Fora da lista" error="Já agiu?: escolha um valor da lista. A planilha pode não reconhecer outro valor." type="list" errorStyle="warning">
      <formula1>'Dados'!$AT$6:$AT$7</formula1>
    </dataValidation>
    <dataValidation sqref="I120" showDropDown="0" showInputMessage="0" showErrorMessage="1" allowBlank="1" errorTitle="Valor fora da faixa" error="Casa manual: use um número inteiro de 1 a 22." type="whole" errorStyle="warning" operator="between">
      <formula1>1</formula1>
      <formula2>22</formula2>
    </dataValidation>
    <dataValidation sqref="D121" showDropDown="0" showInputMessage="0" showErrorMessage="1" allowBlank="1" errorTitle="Valor fora da faixa" error="Atraso: use um número inteiro de 0 a 20." type="whole" errorStyle="warning" operator="between">
      <formula1>0</formula1>
      <formula2>20</formula2>
    </dataValidation>
    <dataValidation sqref="E121" showDropDown="0" showInputMessage="0" showErrorMessage="1" allowBlank="1" errorTitle="Valor fora da faixa" error="Atraso pendente: use um número inteiro de 0 a 20." type="whole" errorStyle="warning" operator="between">
      <formula1>0</formula1>
      <formula2>20</formula2>
    </dataValidation>
    <dataValidation sqref="F121" showDropDown="0" showInputMessage="0" showErrorMessage="1" allowBlank="1" errorTitle="Valor fora da faixa" error="Avançar: use um número inteiro de 0 a 20." type="whole" errorStyle="warning" operator="between">
      <formula1>0</formula1>
      <formula2>20</formula2>
    </dataValidation>
    <dataValidation sqref="G121" showDropDown="0" showInputMessage="0" showErrorMessage="1" allowBlank="1" errorTitle="Fora da lista" error="Avanço Total: escolha um valor da lista. A planilha pode não reconhecer outro valor." type="list" errorStyle="warning">
      <formula1>'Dados'!$AT$6:$AT$7</formula1>
    </dataValidation>
    <dataValidation sqref="H121" showDropDown="0" showInputMessage="0" showErrorMessage="1" allowBlank="1" errorTitle="Fora da lista" error="Já agiu?: escolha um valor da lista. A planilha pode não reconhecer outro valor." type="list" errorStyle="warning">
      <formula1>'Dados'!$AT$6:$AT$7</formula1>
    </dataValidation>
    <dataValidation sqref="I121" showDropDown="0" showInputMessage="0" showErrorMessage="1" allowBlank="1" errorTitle="Valor fora da faixa" error="Casa manual: use um número inteiro de 1 a 22." type="whole" errorStyle="warning" operator="between">
      <formula1>1</formula1>
      <formula2>22</formula2>
    </dataValidation>
    <dataValidation sqref="D122" showDropDown="0" showInputMessage="0" showErrorMessage="1" allowBlank="1" errorTitle="Valor fora da faixa" error="Atraso: use um número inteiro de 0 a 20." type="whole" errorStyle="warning" operator="between">
      <formula1>0</formula1>
      <formula2>20</formula2>
    </dataValidation>
    <dataValidation sqref="E122" showDropDown="0" showInputMessage="0" showErrorMessage="1" allowBlank="1" errorTitle="Valor fora da faixa" error="Atraso pendente: use um número inteiro de 0 a 20." type="whole" errorStyle="warning" operator="between">
      <formula1>0</formula1>
      <formula2>20</formula2>
    </dataValidation>
    <dataValidation sqref="F122" showDropDown="0" showInputMessage="0" showErrorMessage="1" allowBlank="1" errorTitle="Valor fora da faixa" error="Avançar: use um número inteiro de 0 a 20." type="whole" errorStyle="warning" operator="between">
      <formula1>0</formula1>
      <formula2>20</formula2>
    </dataValidation>
    <dataValidation sqref="G122" showDropDown="0" showInputMessage="0" showErrorMessage="1" allowBlank="1" errorTitle="Fora da lista" error="Avanço Total: escolha um valor da lista. A planilha pode não reconhecer outro valor." type="list" errorStyle="warning">
      <formula1>'Dados'!$AT$6:$AT$7</formula1>
    </dataValidation>
    <dataValidation sqref="H122" showDropDown="0" showInputMessage="0" showErrorMessage="1" allowBlank="1" errorTitle="Fora da lista" error="Já agiu?: escolha um valor da lista. A planilha pode não reconhecer outro valor." type="list" errorStyle="warning">
      <formula1>'Dados'!$AT$6:$AT$7</formula1>
    </dataValidation>
    <dataValidation sqref="I122" showDropDown="0" showInputMessage="0" showErrorMessage="1" allowBlank="1" errorTitle="Valor fora da faixa" error="Casa manual: use um número inteiro de 1 a 22." type="whole" errorStyle="warning" operator="between">
      <formula1>1</formula1>
      <formula2>22</formula2>
    </dataValidation>
    <dataValidation sqref="D123" showDropDown="0" showInputMessage="0" showErrorMessage="1" allowBlank="1" errorTitle="Valor fora da faixa" error="Atraso: use um número inteiro de 0 a 20." type="whole" errorStyle="warning" operator="between">
      <formula1>0</formula1>
      <formula2>20</formula2>
    </dataValidation>
    <dataValidation sqref="E123" showDropDown="0" showInputMessage="0" showErrorMessage="1" allowBlank="1" errorTitle="Valor fora da faixa" error="Atraso pendente: use um número inteiro de 0 a 20." type="whole" errorStyle="warning" operator="between">
      <formula1>0</formula1>
      <formula2>20</formula2>
    </dataValidation>
    <dataValidation sqref="F123" showDropDown="0" showInputMessage="0" showErrorMessage="1" allowBlank="1" errorTitle="Valor fora da faixa" error="Avançar: use um número inteiro de 0 a 20." type="whole" errorStyle="warning" operator="between">
      <formula1>0</formula1>
      <formula2>20</formula2>
    </dataValidation>
    <dataValidation sqref="G123" showDropDown="0" showInputMessage="0" showErrorMessage="1" allowBlank="1" errorTitle="Fora da lista" error="Avanço Total: escolha um valor da lista. A planilha pode não reconhecer outro valor." type="list" errorStyle="warning">
      <formula1>'Dados'!$AT$6:$AT$7</formula1>
    </dataValidation>
    <dataValidation sqref="H123" showDropDown="0" showInputMessage="0" showErrorMessage="1" allowBlank="1" errorTitle="Fora da lista" error="Já agiu?: escolha um valor da lista. A planilha pode não reconhecer outro valor." type="list" errorStyle="warning">
      <formula1>'Dados'!$AT$6:$AT$7</formula1>
    </dataValidation>
    <dataValidation sqref="I123" showDropDown="0" showInputMessage="0" showErrorMessage="1" allowBlank="1" errorTitle="Valor fora da faixa" error="Casa manual: use um número inteiro de 1 a 22." type="whole" errorStyle="warning" operator="between">
      <formula1>1</formula1>
      <formula2>22</formula2>
    </dataValidation>
    <dataValidation sqref="D125" showDropDown="0" showInputMessage="0" showErrorMessage="1" allowBlank="1" errorTitle="Valor fora da faixa" error="Atraso: use um número inteiro de 0 a 20." type="whole" errorStyle="warning" operator="between">
      <formula1>0</formula1>
      <formula2>20</formula2>
    </dataValidation>
    <dataValidation sqref="E125" showDropDown="0" showInputMessage="0" showErrorMessage="1" allowBlank="1" errorTitle="Valor fora da faixa" error="Atraso pendente: use um número inteiro de 0 a 20." type="whole" errorStyle="warning" operator="between">
      <formula1>0</formula1>
      <formula2>20</formula2>
    </dataValidation>
    <dataValidation sqref="F125" showDropDown="0" showInputMessage="0" showErrorMessage="1" allowBlank="1" errorTitle="Valor fora da faixa" error="Avançar: use um número inteiro de 0 a 20." type="whole" errorStyle="warning" operator="between">
      <formula1>0</formula1>
      <formula2>20</formula2>
    </dataValidation>
    <dataValidation sqref="G125" showDropDown="0" showInputMessage="0" showErrorMessage="1" allowBlank="1" errorTitle="Fora da lista" error="Avanço Total: escolha um valor da lista. A planilha pode não reconhecer outro valor." type="list" errorStyle="warning">
      <formula1>'Dados'!$AT$6:$AT$7</formula1>
    </dataValidation>
    <dataValidation sqref="H125" showDropDown="0" showInputMessage="0" showErrorMessage="1" allowBlank="1" errorTitle="Fora da lista" error="Já agiu?: escolha um valor da lista. A planilha pode não reconhecer outro valor." type="list" errorStyle="warning">
      <formula1>'Dados'!$AT$6:$AT$7</formula1>
    </dataValidation>
    <dataValidation sqref="I125" showDropDown="0" showInputMessage="0" showErrorMessage="1" allowBlank="1" errorTitle="Valor fora da faixa" error="Casa manual: use um número inteiro de 1 a 22." type="whole" errorStyle="warning" operator="between">
      <formula1>1</formula1>
      <formula2>22</formula2>
    </dataValidation>
    <dataValidation sqref="D126" showDropDown="0" showInputMessage="0" showErrorMessage="1" allowBlank="1" errorTitle="Valor fora da faixa" error="Atraso: use um número inteiro de 0 a 20." type="whole" errorStyle="warning" operator="between">
      <formula1>0</formula1>
      <formula2>20</formula2>
    </dataValidation>
    <dataValidation sqref="E126" showDropDown="0" showInputMessage="0" showErrorMessage="1" allowBlank="1" errorTitle="Valor fora da faixa" error="Atraso pendente: use um número inteiro de 0 a 20." type="whole" errorStyle="warning" operator="between">
      <formula1>0</formula1>
      <formula2>20</formula2>
    </dataValidation>
    <dataValidation sqref="F126" showDropDown="0" showInputMessage="0" showErrorMessage="1" allowBlank="1" errorTitle="Valor fora da faixa" error="Avançar: use um número inteiro de 0 a 20." type="whole" errorStyle="warning" operator="between">
      <formula1>0</formula1>
      <formula2>20</formula2>
    </dataValidation>
    <dataValidation sqref="G126" showDropDown="0" showInputMessage="0" showErrorMessage="1" allowBlank="1" errorTitle="Fora da lista" error="Avanço Total: escolha um valor da lista. A planilha pode não reconhecer outro valor." type="list" errorStyle="warning">
      <formula1>'Dados'!$AT$6:$AT$7</formula1>
    </dataValidation>
    <dataValidation sqref="H126" showDropDown="0" showInputMessage="0" showErrorMessage="1" allowBlank="1" errorTitle="Fora da lista" error="Já agiu?: escolha um valor da lista. A planilha pode não reconhecer outro valor." type="list" errorStyle="warning">
      <formula1>'Dados'!$AT$6:$AT$7</formula1>
    </dataValidation>
    <dataValidation sqref="I126" showDropDown="0" showInputMessage="0" showErrorMessage="1" allowBlank="1" errorTitle="Valor fora da faixa" error="Casa manual: use um número inteiro de 1 a 22." type="whole" errorStyle="warning" operator="between">
      <formula1>1</formula1>
      <formula2>22</formula2>
    </dataValidation>
    <dataValidation sqref="D127" showDropDown="0" showInputMessage="0" showErrorMessage="1" allowBlank="1" errorTitle="Valor fora da faixa" error="Atraso: use um número inteiro de 0 a 20." type="whole" errorStyle="warning" operator="between">
      <formula1>0</formula1>
      <formula2>20</formula2>
    </dataValidation>
    <dataValidation sqref="E127" showDropDown="0" showInputMessage="0" showErrorMessage="1" allowBlank="1" errorTitle="Valor fora da faixa" error="Atraso pendente: use um número inteiro de 0 a 20." type="whole" errorStyle="warning" operator="between">
      <formula1>0</formula1>
      <formula2>20</formula2>
    </dataValidation>
    <dataValidation sqref="F127" showDropDown="0" showInputMessage="0" showErrorMessage="1" allowBlank="1" errorTitle="Valor fora da faixa" error="Avançar: use um número inteiro de 0 a 20." type="whole" errorStyle="warning" operator="between">
      <formula1>0</formula1>
      <formula2>20</formula2>
    </dataValidation>
    <dataValidation sqref="G127" showDropDown="0" showInputMessage="0" showErrorMessage="1" allowBlank="1" errorTitle="Fora da lista" error="Avanço Total: escolha um valor da lista. A planilha pode não reconhecer outro valor." type="list" errorStyle="warning">
      <formula1>'Dados'!$AT$6:$AT$7</formula1>
    </dataValidation>
    <dataValidation sqref="H127" showDropDown="0" showInputMessage="0" showErrorMessage="1" allowBlank="1" errorTitle="Fora da lista" error="Já agiu?: escolha um valor da lista. A planilha pode não reconhecer outro valor." type="list" errorStyle="warning">
      <formula1>'Dados'!$AT$6:$AT$7</formula1>
    </dataValidation>
    <dataValidation sqref="I127" showDropDown="0" showInputMessage="0" showErrorMessage="1" allowBlank="1" errorTitle="Valor fora da faixa" error="Casa manual: use um número inteiro de 1 a 22." type="whole" errorStyle="warning" operator="between">
      <formula1>1</formula1>
      <formula2>22</formula2>
    </dataValidation>
    <dataValidation sqref="D128" showDropDown="0" showInputMessage="0" showErrorMessage="1" allowBlank="1" errorTitle="Valor fora da faixa" error="Atraso: use um número inteiro de 0 a 20." type="whole" errorStyle="warning" operator="between">
      <formula1>0</formula1>
      <formula2>20</formula2>
    </dataValidation>
    <dataValidation sqref="E128" showDropDown="0" showInputMessage="0" showErrorMessage="1" allowBlank="1" errorTitle="Valor fora da faixa" error="Atraso pendente: use um número inteiro de 0 a 20." type="whole" errorStyle="warning" operator="between">
      <formula1>0</formula1>
      <formula2>20</formula2>
    </dataValidation>
    <dataValidation sqref="F128" showDropDown="0" showInputMessage="0" showErrorMessage="1" allowBlank="1" errorTitle="Valor fora da faixa" error="Avançar: use um número inteiro de 0 a 20." type="whole" errorStyle="warning" operator="between">
      <formula1>0</formula1>
      <formula2>20</formula2>
    </dataValidation>
    <dataValidation sqref="G128" showDropDown="0" showInputMessage="0" showErrorMessage="1" allowBlank="1" errorTitle="Fora da lista" error="Avanço Total: escolha um valor da lista. A planilha pode não reconhecer outro valor." type="list" errorStyle="warning">
      <formula1>'Dados'!$AT$6:$AT$7</formula1>
    </dataValidation>
    <dataValidation sqref="H128" showDropDown="0" showInputMessage="0" showErrorMessage="1" allowBlank="1" errorTitle="Fora da lista" error="Já agiu?: escolha um valor da lista. A planilha pode não reconhecer outro valor." type="list" errorStyle="warning">
      <formula1>'Dados'!$AT$6:$AT$7</formula1>
    </dataValidation>
    <dataValidation sqref="I128" showDropDown="0" showInputMessage="0" showErrorMessage="1" allowBlank="1" errorTitle="Valor fora da faixa" error="Casa manual: use um número inteiro de 1 a 22." type="whole" errorStyle="warning" operator="between">
      <formula1>1</formula1>
      <formula2>22</formula2>
    </dataValidation>
    <dataValidation sqref="D129" showDropDown="0" showInputMessage="0" showErrorMessage="1" allowBlank="1" errorTitle="Valor fora da faixa" error="Atraso: use um número inteiro de 0 a 20." type="whole" errorStyle="warning" operator="between">
      <formula1>0</formula1>
      <formula2>20</formula2>
    </dataValidation>
    <dataValidation sqref="E129" showDropDown="0" showInputMessage="0" showErrorMessage="1" allowBlank="1" errorTitle="Valor fora da faixa" error="Atraso pendente: use um número inteiro de 0 a 20." type="whole" errorStyle="warning" operator="between">
      <formula1>0</formula1>
      <formula2>20</formula2>
    </dataValidation>
    <dataValidation sqref="F129" showDropDown="0" showInputMessage="0" showErrorMessage="1" allowBlank="1" errorTitle="Valor fora da faixa" error="Avançar: use um número inteiro de 0 a 20." type="whole" errorStyle="warning" operator="between">
      <formula1>0</formula1>
      <formula2>20</formula2>
    </dataValidation>
    <dataValidation sqref="G129" showDropDown="0" showInputMessage="0" showErrorMessage="1" allowBlank="1" errorTitle="Fora da lista" error="Avanço Total: escolha um valor da lista. A planilha pode não reconhecer outro valor." type="list" errorStyle="warning">
      <formula1>'Dados'!$AT$6:$AT$7</formula1>
    </dataValidation>
    <dataValidation sqref="H129" showDropDown="0" showInputMessage="0" showErrorMessage="1" allowBlank="1" errorTitle="Fora da lista" error="Já agiu?: escolha um valor da lista. A planilha pode não reconhecer outro valor." type="list" errorStyle="warning">
      <formula1>'Dados'!$AT$6:$AT$7</formula1>
    </dataValidation>
    <dataValidation sqref="I129" showDropDown="0" showInputMessage="0" showErrorMessage="1" allowBlank="1" errorTitle="Valor fora da faixa" error="Casa manual: use um número inteiro de 1 a 22." type="whole" errorStyle="warning" operator="between">
      <formula1>1</formula1>
      <formula2>22</formula2>
    </dataValidation>
    <dataValidation sqref="D130" showDropDown="0" showInputMessage="0" showErrorMessage="1" allowBlank="1" errorTitle="Valor fora da faixa" error="Atraso: use um número inteiro de 0 a 20." type="whole" errorStyle="warning" operator="between">
      <formula1>0</formula1>
      <formula2>20</formula2>
    </dataValidation>
    <dataValidation sqref="E130" showDropDown="0" showInputMessage="0" showErrorMessage="1" allowBlank="1" errorTitle="Valor fora da faixa" error="Atraso pendente: use um número inteiro de 0 a 20." type="whole" errorStyle="warning" operator="between">
      <formula1>0</formula1>
      <formula2>20</formula2>
    </dataValidation>
    <dataValidation sqref="F130" showDropDown="0" showInputMessage="0" showErrorMessage="1" allowBlank="1" errorTitle="Valor fora da faixa" error="Avançar: use um número inteiro de 0 a 20." type="whole" errorStyle="warning" operator="between">
      <formula1>0</formula1>
      <formula2>20</formula2>
    </dataValidation>
    <dataValidation sqref="G130" showDropDown="0" showInputMessage="0" showErrorMessage="1" allowBlank="1" errorTitle="Fora da lista" error="Avanço Total: escolha um valor da lista. A planilha pode não reconhecer outro valor." type="list" errorStyle="warning">
      <formula1>'Dados'!$AT$6:$AT$7</formula1>
    </dataValidation>
    <dataValidation sqref="H130" showDropDown="0" showInputMessage="0" showErrorMessage="1" allowBlank="1" errorTitle="Fora da lista" error="Já agiu?: escolha um valor da lista. A planilha pode não reconhecer outro valor." type="list" errorStyle="warning">
      <formula1>'Dados'!$AT$6:$AT$7</formula1>
    </dataValidation>
    <dataValidation sqref="I130" showDropDown="0" showInputMessage="0" showErrorMessage="1" allowBlank="1" errorTitle="Valor fora da faixa" error="Casa manual: use um número inteiro de 1 a 22." type="whole" errorStyle="warning" operator="between">
      <formula1>1</formula1>
      <formula2>22</formula2>
    </dataValidation>
    <dataValidation sqref="D131" showDropDown="0" showInputMessage="0" showErrorMessage="1" allowBlank="1" errorTitle="Valor fora da faixa" error="Atraso: use um número inteiro de 0 a 20." type="whole" errorStyle="warning" operator="between">
      <formula1>0</formula1>
      <formula2>20</formula2>
    </dataValidation>
    <dataValidation sqref="E131" showDropDown="0" showInputMessage="0" showErrorMessage="1" allowBlank="1" errorTitle="Valor fora da faixa" error="Atraso pendente: use um número inteiro de 0 a 20." type="whole" errorStyle="warning" operator="between">
      <formula1>0</formula1>
      <formula2>20</formula2>
    </dataValidation>
    <dataValidation sqref="F131" showDropDown="0" showInputMessage="0" showErrorMessage="1" allowBlank="1" errorTitle="Valor fora da faixa" error="Avançar: use um número inteiro de 0 a 20." type="whole" errorStyle="warning" operator="between">
      <formula1>0</formula1>
      <formula2>20</formula2>
    </dataValidation>
    <dataValidation sqref="G131" showDropDown="0" showInputMessage="0" showErrorMessage="1" allowBlank="1" errorTitle="Fora da lista" error="Avanço Total: escolha um valor da lista. A planilha pode não reconhecer outro valor." type="list" errorStyle="warning">
      <formula1>'Dados'!$AT$6:$AT$7</formula1>
    </dataValidation>
    <dataValidation sqref="H131" showDropDown="0" showInputMessage="0" showErrorMessage="1" allowBlank="1" errorTitle="Fora da lista" error="Já agiu?: escolha um valor da lista. A planilha pode não reconhecer outro valor." type="list" errorStyle="warning">
      <formula1>'Dados'!$AT$6:$AT$7</formula1>
    </dataValidation>
    <dataValidation sqref="I131" showDropDown="0" showInputMessage="0" showErrorMessage="1" allowBlank="1" errorTitle="Valor fora da faixa" error="Casa manual: use um número inteiro de 1 a 22." type="whole" errorStyle="warning" operator="between">
      <formula1>1</formula1>
      <formula2>22</formula2>
    </dataValidation>
    <dataValidation sqref="D132" showDropDown="0" showInputMessage="0" showErrorMessage="1" allowBlank="1" errorTitle="Valor fora da faixa" error="Atraso: use um número inteiro de 0 a 20." type="whole" errorStyle="warning" operator="between">
      <formula1>0</formula1>
      <formula2>20</formula2>
    </dataValidation>
    <dataValidation sqref="E132" showDropDown="0" showInputMessage="0" showErrorMessage="1" allowBlank="1" errorTitle="Valor fora da faixa" error="Atraso pendente: use um número inteiro de 0 a 20." type="whole" errorStyle="warning" operator="between">
      <formula1>0</formula1>
      <formula2>20</formula2>
    </dataValidation>
    <dataValidation sqref="F132" showDropDown="0" showInputMessage="0" showErrorMessage="1" allowBlank="1" errorTitle="Valor fora da faixa" error="Avançar: use um número inteiro de 0 a 20." type="whole" errorStyle="warning" operator="between">
      <formula1>0</formula1>
      <formula2>20</formula2>
    </dataValidation>
    <dataValidation sqref="G132" showDropDown="0" showInputMessage="0" showErrorMessage="1" allowBlank="1" errorTitle="Fora da lista" error="Avanço Total: escolha um valor da lista. A planilha pode não reconhecer outro valor." type="list" errorStyle="warning">
      <formula1>'Dados'!$AT$6:$AT$7</formula1>
    </dataValidation>
    <dataValidation sqref="H132" showDropDown="0" showInputMessage="0" showErrorMessage="1" allowBlank="1" errorTitle="Fora da lista" error="Já agiu?: escolha um valor da lista. A planilha pode não reconhecer outro valor." type="list" errorStyle="warning">
      <formula1>'Dados'!$AT$6:$AT$7</formula1>
    </dataValidation>
    <dataValidation sqref="I132" showDropDown="0" showInputMessage="0" showErrorMessage="1" allowBlank="1" errorTitle="Valor fora da faixa" error="Casa manual: use um número inteiro de 1 a 22." type="whole" errorStyle="warning" operator="between">
      <formula1>1</formula1>
      <formula2>22</formula2>
    </dataValidation>
    <dataValidation sqref="D133" showDropDown="0" showInputMessage="0" showErrorMessage="1" allowBlank="1" errorTitle="Valor fora da faixa" error="Atraso: use um número inteiro de 0 a 20." type="whole" errorStyle="warning" operator="between">
      <formula1>0</formula1>
      <formula2>20</formula2>
    </dataValidation>
    <dataValidation sqref="E133" showDropDown="0" showInputMessage="0" showErrorMessage="1" allowBlank="1" errorTitle="Valor fora da faixa" error="Atraso pendente: use um número inteiro de 0 a 20." type="whole" errorStyle="warning" operator="between">
      <formula1>0</formula1>
      <formula2>20</formula2>
    </dataValidation>
    <dataValidation sqref="F133" showDropDown="0" showInputMessage="0" showErrorMessage="1" allowBlank="1" errorTitle="Valor fora da faixa" error="Avançar: use um número inteiro de 0 a 20." type="whole" errorStyle="warning" operator="between">
      <formula1>0</formula1>
      <formula2>20</formula2>
    </dataValidation>
    <dataValidation sqref="G133" showDropDown="0" showInputMessage="0" showErrorMessage="1" allowBlank="1" errorTitle="Fora da lista" error="Avanço Total: escolha um valor da lista. A planilha pode não reconhecer outro valor." type="list" errorStyle="warning">
      <formula1>'Dados'!$AT$6:$AT$7</formula1>
    </dataValidation>
    <dataValidation sqref="H133" showDropDown="0" showInputMessage="0" showErrorMessage="1" allowBlank="1" errorTitle="Fora da lista" error="Já agiu?: escolha um valor da lista. A planilha pode não reconhecer outro valor." type="list" errorStyle="warning">
      <formula1>'Dados'!$AT$6:$AT$7</formula1>
    </dataValidation>
    <dataValidation sqref="I133" showDropDown="0" showInputMessage="0" showErrorMessage="1" allowBlank="1" errorTitle="Valor fora da faixa" error="Casa manual: use um número inteiro de 1 a 22." type="whole" errorStyle="warning" operator="between">
      <formula1>1</formula1>
      <formula2>22</formula2>
    </dataValidation>
    <dataValidation sqref="D134" showDropDown="0" showInputMessage="0" showErrorMessage="1" allowBlank="1" errorTitle="Valor fora da faixa" error="Atraso: use um número inteiro de 0 a 20." type="whole" errorStyle="warning" operator="between">
      <formula1>0</formula1>
      <formula2>20</formula2>
    </dataValidation>
    <dataValidation sqref="E134" showDropDown="0" showInputMessage="0" showErrorMessage="1" allowBlank="1" errorTitle="Valor fora da faixa" error="Atraso pendente: use um número inteiro de 0 a 20." type="whole" errorStyle="warning" operator="between">
      <formula1>0</formula1>
      <formula2>20</formula2>
    </dataValidation>
    <dataValidation sqref="F134" showDropDown="0" showInputMessage="0" showErrorMessage="1" allowBlank="1" errorTitle="Valor fora da faixa" error="Avançar: use um número inteiro de 0 a 20." type="whole" errorStyle="warning" operator="between">
      <formula1>0</formula1>
      <formula2>20</formula2>
    </dataValidation>
    <dataValidation sqref="G134" showDropDown="0" showInputMessage="0" showErrorMessage="1" allowBlank="1" errorTitle="Fora da lista" error="Avanço Total: escolha um valor da lista. A planilha pode não reconhecer outro valor." type="list" errorStyle="warning">
      <formula1>'Dados'!$AT$6:$AT$7</formula1>
    </dataValidation>
    <dataValidation sqref="H134" showDropDown="0" showInputMessage="0" showErrorMessage="1" allowBlank="1" errorTitle="Fora da lista" error="Já agiu?: escolha um valor da lista. A planilha pode não reconhecer outro valor." type="list" errorStyle="warning">
      <formula1>'Dados'!$AT$6:$AT$7</formula1>
    </dataValidation>
    <dataValidation sqref="I134" showDropDown="0" showInputMessage="0" showErrorMessage="1" allowBlank="1" errorTitle="Valor fora da faixa" error="Casa manual: use um número inteiro de 1 a 22." type="whole" errorStyle="warning" operator="between">
      <formula1>1</formula1>
      <formula2>22</formula2>
    </dataValidation>
    <dataValidation sqref="D136" showDropDown="0" showInputMessage="0" showErrorMessage="1" allowBlank="1" errorTitle="Valor fora da faixa" error="Atraso: use um número inteiro de 0 a 20." type="whole" errorStyle="warning" operator="between">
      <formula1>0</formula1>
      <formula2>20</formula2>
    </dataValidation>
    <dataValidation sqref="E136" showDropDown="0" showInputMessage="0" showErrorMessage="1" allowBlank="1" errorTitle="Valor fora da faixa" error="Atraso pendente: use um número inteiro de 0 a 20." type="whole" errorStyle="warning" operator="between">
      <formula1>0</formula1>
      <formula2>20</formula2>
    </dataValidation>
    <dataValidation sqref="F136" showDropDown="0" showInputMessage="0" showErrorMessage="1" allowBlank="1" errorTitle="Valor fora da faixa" error="Avançar: use um número inteiro de 0 a 20." type="whole" errorStyle="warning" operator="between">
      <formula1>0</formula1>
      <formula2>20</formula2>
    </dataValidation>
    <dataValidation sqref="G136" showDropDown="0" showInputMessage="0" showErrorMessage="1" allowBlank="1" errorTitle="Fora da lista" error="Avanço Total: escolha um valor da lista. A planilha pode não reconhecer outro valor." type="list" errorStyle="warning">
      <formula1>'Dados'!$AT$6:$AT$7</formula1>
    </dataValidation>
    <dataValidation sqref="H136" showDropDown="0" showInputMessage="0" showErrorMessage="1" allowBlank="1" errorTitle="Fora da lista" error="Já agiu?: escolha um valor da lista. A planilha pode não reconhecer outro valor." type="list" errorStyle="warning">
      <formula1>'Dados'!$AT$6:$AT$7</formula1>
    </dataValidation>
    <dataValidation sqref="I136" showDropDown="0" showInputMessage="0" showErrorMessage="1" allowBlank="1" errorTitle="Valor fora da faixa" error="Casa manual: use um número inteiro de 1 a 22." type="whole" errorStyle="warning" operator="between">
      <formula1>1</formula1>
      <formula2>22</formula2>
    </dataValidation>
    <dataValidation sqref="D137" showDropDown="0" showInputMessage="0" showErrorMessage="1" allowBlank="1" errorTitle="Valor fora da faixa" error="Atraso: use um número inteiro de 0 a 20." type="whole" errorStyle="warning" operator="between">
      <formula1>0</formula1>
      <formula2>20</formula2>
    </dataValidation>
    <dataValidation sqref="E137" showDropDown="0" showInputMessage="0" showErrorMessage="1" allowBlank="1" errorTitle="Valor fora da faixa" error="Atraso pendente: use um número inteiro de 0 a 20." type="whole" errorStyle="warning" operator="between">
      <formula1>0</formula1>
      <formula2>20</formula2>
    </dataValidation>
    <dataValidation sqref="F137" showDropDown="0" showInputMessage="0" showErrorMessage="1" allowBlank="1" errorTitle="Valor fora da faixa" error="Avançar: use um número inteiro de 0 a 20." type="whole" errorStyle="warning" operator="between">
      <formula1>0</formula1>
      <formula2>20</formula2>
    </dataValidation>
    <dataValidation sqref="G137" showDropDown="0" showInputMessage="0" showErrorMessage="1" allowBlank="1" errorTitle="Fora da lista" error="Avanço Total: escolha um valor da lista. A planilha pode não reconhecer outro valor." type="list" errorStyle="warning">
      <formula1>'Dados'!$AT$6:$AT$7</formula1>
    </dataValidation>
    <dataValidation sqref="H137" showDropDown="0" showInputMessage="0" showErrorMessage="1" allowBlank="1" errorTitle="Fora da lista" error="Já agiu?: escolha um valor da lista. A planilha pode não reconhecer outro valor." type="list" errorStyle="warning">
      <formula1>'Dados'!$AT$6:$AT$7</formula1>
    </dataValidation>
    <dataValidation sqref="I137" showDropDown="0" showInputMessage="0" showErrorMessage="1" allowBlank="1" errorTitle="Valor fora da faixa" error="Casa manual: use um número inteiro de 1 a 22." type="whole" errorStyle="warning" operator="between">
      <formula1>1</formula1>
      <formula2>22</formula2>
    </dataValidation>
    <dataValidation sqref="B209" showDropDown="0" showInputMessage="0" showErrorMessage="1" allowBlank="1" errorTitle="Fora da lista" error="Condição: escolha um valor da lista. A planilha pode não reconhecer outro valor." type="list" errorStyle="warning">
      <formula1>'Dados'!$BG$6:$BG$19</formula1>
    </dataValidation>
    <dataValidation sqref="D209" showDropDown="0" showInputMessage="0" showErrorMessage="1" allowBlank="1" errorTitle="Valor fora da faixa" error="Turnos: use um número inteiro de 0 a 20." type="whole" errorStyle="warning" operator="between">
      <formula1>0</formula1>
      <formula2>20</formula2>
    </dataValidation>
    <dataValidation sqref="E209" showDropDown="0" showInputMessage="0" showErrorMessage="1" allowBlank="1" errorTitle="Valor fora da faixa" error="Acúmulos: use um número inteiro de 0 a 5." type="whole" errorStyle="warning" operator="between">
      <formula1>0</formula1>
      <formula2>5</formula2>
    </dataValidation>
    <dataValidation sqref="F209" showDropDown="0" showInputMessage="0" showErrorMessage="1" allowBlank="1" errorTitle="Fora da lista" error="Quem aplicou: escolha um valor da lista. A planilha pode não reconhecer outro valor." type="list" errorStyle="warning">
      <formula1>'Combate'!$N$11:$N$32</formula1>
    </dataValidation>
    <dataValidation sqref="B210" showDropDown="0" showInputMessage="0" showErrorMessage="1" allowBlank="1" errorTitle="Fora da lista" error="Condição: escolha um valor da lista. A planilha pode não reconhecer outro valor." type="list" errorStyle="warning">
      <formula1>'Dados'!$BG$6:$BG$19</formula1>
    </dataValidation>
    <dataValidation sqref="D210" showDropDown="0" showInputMessage="0" showErrorMessage="1" allowBlank="1" errorTitle="Valor fora da faixa" error="Turnos: use um número inteiro de 0 a 20." type="whole" errorStyle="warning" operator="between">
      <formula1>0</formula1>
      <formula2>20</formula2>
    </dataValidation>
    <dataValidation sqref="E210" showDropDown="0" showInputMessage="0" showErrorMessage="1" allowBlank="1" errorTitle="Valor fora da faixa" error="Acúmulos: use um número inteiro de 0 a 5." type="whole" errorStyle="warning" operator="between">
      <formula1>0</formula1>
      <formula2>5</formula2>
    </dataValidation>
    <dataValidation sqref="F210" showDropDown="0" showInputMessage="0" showErrorMessage="1" allowBlank="1" errorTitle="Fora da lista" error="Quem aplicou: escolha um valor da lista. A planilha pode não reconhecer outro valor." type="list" errorStyle="warning">
      <formula1>'Combate'!$N$11:$N$32</formula1>
    </dataValidation>
    <dataValidation sqref="B211" showDropDown="0" showInputMessage="0" showErrorMessage="1" allowBlank="1" errorTitle="Fora da lista" error="Condição: escolha um valor da lista. A planilha pode não reconhecer outro valor." type="list" errorStyle="warning">
      <formula1>'Dados'!$BG$6:$BG$19</formula1>
    </dataValidation>
    <dataValidation sqref="D211" showDropDown="0" showInputMessage="0" showErrorMessage="1" allowBlank="1" errorTitle="Valor fora da faixa" error="Turnos: use um número inteiro de 0 a 20." type="whole" errorStyle="warning" operator="between">
      <formula1>0</formula1>
      <formula2>20</formula2>
    </dataValidation>
    <dataValidation sqref="E211" showDropDown="0" showInputMessage="0" showErrorMessage="1" allowBlank="1" errorTitle="Valor fora da faixa" error="Acúmulos: use um número inteiro de 0 a 5." type="whole" errorStyle="warning" operator="between">
      <formula1>0</formula1>
      <formula2>5</formula2>
    </dataValidation>
    <dataValidation sqref="F211" showDropDown="0" showInputMessage="0" showErrorMessage="1" allowBlank="1" errorTitle="Fora da lista" error="Quem aplicou: escolha um valor da lista. A planilha pode não reconhecer outro valor." type="list" errorStyle="warning">
      <formula1>'Combate'!$N$11:$N$32</formula1>
    </dataValidation>
    <dataValidation sqref="B212" showDropDown="0" showInputMessage="0" showErrorMessage="1" allowBlank="1" errorTitle="Fora da lista" error="Condição: escolha um valor da lista. A planilha pode não reconhecer outro valor." type="list" errorStyle="warning">
      <formula1>'Dados'!$BG$6:$BG$19</formula1>
    </dataValidation>
    <dataValidation sqref="D212" showDropDown="0" showInputMessage="0" showErrorMessage="1" allowBlank="1" errorTitle="Valor fora da faixa" error="Turnos: use um número inteiro de 0 a 20." type="whole" errorStyle="warning" operator="between">
      <formula1>0</formula1>
      <formula2>20</formula2>
    </dataValidation>
    <dataValidation sqref="E212" showDropDown="0" showInputMessage="0" showErrorMessage="1" allowBlank="1" errorTitle="Valor fora da faixa" error="Acúmulos: use um número inteiro de 0 a 5." type="whole" errorStyle="warning" operator="between">
      <formula1>0</formula1>
      <formula2>5</formula2>
    </dataValidation>
    <dataValidation sqref="F212" showDropDown="0" showInputMessage="0" showErrorMessage="1" allowBlank="1" errorTitle="Fora da lista" error="Quem aplicou: escolha um valor da lista. A planilha pode não reconhecer outro valor." type="list" errorStyle="warning">
      <formula1>'Combate'!$N$11:$N$32</formula1>
    </dataValidation>
    <dataValidation sqref="B213" showDropDown="0" showInputMessage="0" showErrorMessage="1" allowBlank="1" errorTitle="Fora da lista" error="Condição: escolha um valor da lista. A planilha pode não reconhecer outro valor." type="list" errorStyle="warning">
      <formula1>'Dados'!$BG$6:$BG$19</formula1>
    </dataValidation>
    <dataValidation sqref="D213" showDropDown="0" showInputMessage="0" showErrorMessage="1" allowBlank="1" errorTitle="Valor fora da faixa" error="Turnos: use um número inteiro de 0 a 20." type="whole" errorStyle="warning" operator="between">
      <formula1>0</formula1>
      <formula2>20</formula2>
    </dataValidation>
    <dataValidation sqref="E213" showDropDown="0" showInputMessage="0" showErrorMessage="1" allowBlank="1" errorTitle="Valor fora da faixa" error="Acúmulos: use um número inteiro de 0 a 5." type="whole" errorStyle="warning" operator="between">
      <formula1>0</formula1>
      <formula2>5</formula2>
    </dataValidation>
    <dataValidation sqref="F213" showDropDown="0" showInputMessage="0" showErrorMessage="1" allowBlank="1" errorTitle="Fora da lista" error="Quem aplicou: escolha um valor da lista. A planilha pode não reconhecer outro valor." type="list" errorStyle="warning">
      <formula1>'Combate'!$N$11:$N$32</formula1>
    </dataValidation>
    <dataValidation sqref="B214" showDropDown="0" showInputMessage="0" showErrorMessage="1" allowBlank="1" errorTitle="Fora da lista" error="Condição: escolha um valor da lista. A planilha pode não reconhecer outro valor." type="list" errorStyle="warning">
      <formula1>'Dados'!$BG$6:$BG$19</formula1>
    </dataValidation>
    <dataValidation sqref="D214" showDropDown="0" showInputMessage="0" showErrorMessage="1" allowBlank="1" errorTitle="Valor fora da faixa" error="Turnos: use um número inteiro de 0 a 20." type="whole" errorStyle="warning" operator="between">
      <formula1>0</formula1>
      <formula2>20</formula2>
    </dataValidation>
    <dataValidation sqref="E214" showDropDown="0" showInputMessage="0" showErrorMessage="1" allowBlank="1" errorTitle="Valor fora da faixa" error="Acúmulos: use um número inteiro de 0 a 5." type="whole" errorStyle="warning" operator="between">
      <formula1>0</formula1>
      <formula2>5</formula2>
    </dataValidation>
    <dataValidation sqref="F214" showDropDown="0" showInputMessage="0" showErrorMessage="1" allowBlank="1" errorTitle="Fora da lista" error="Quem aplicou: escolha um valor da lista. A planilha pode não reconhecer outro valor." type="list" errorStyle="warning">
      <formula1>'Combate'!$N$11:$N$32</formula1>
    </dataValidation>
    <dataValidation sqref="B215" showDropDown="0" showInputMessage="0" showErrorMessage="1" allowBlank="1" errorTitle="Fora da lista" error="Condição: escolha um valor da lista. A planilha pode não reconhecer outro valor." type="list" errorStyle="warning">
      <formula1>'Dados'!$BG$6:$BG$19</formula1>
    </dataValidation>
    <dataValidation sqref="D215" showDropDown="0" showInputMessage="0" showErrorMessage="1" allowBlank="1" errorTitle="Valor fora da faixa" error="Turnos: use um número inteiro de 0 a 20." type="whole" errorStyle="warning" operator="between">
      <formula1>0</formula1>
      <formula2>20</formula2>
    </dataValidation>
    <dataValidation sqref="E215" showDropDown="0" showInputMessage="0" showErrorMessage="1" allowBlank="1" errorTitle="Valor fora da faixa" error="Acúmulos: use um número inteiro de 0 a 5." type="whole" errorStyle="warning" operator="between">
      <formula1>0</formula1>
      <formula2>5</formula2>
    </dataValidation>
    <dataValidation sqref="F215" showDropDown="0" showInputMessage="0" showErrorMessage="1" allowBlank="1" errorTitle="Fora da lista" error="Quem aplicou: escolha um valor da lista. A planilha pode não reconhecer outro valor." type="list" errorStyle="warning">
      <formula1>'Combate'!$N$11:$N$32</formula1>
    </dataValidation>
    <dataValidation sqref="B216" showDropDown="0" showInputMessage="0" showErrorMessage="1" allowBlank="1" errorTitle="Fora da lista" error="Condição: escolha um valor da lista. A planilha pode não reconhecer outro valor." type="list" errorStyle="warning">
      <formula1>'Dados'!$BG$6:$BG$19</formula1>
    </dataValidation>
    <dataValidation sqref="D216" showDropDown="0" showInputMessage="0" showErrorMessage="1" allowBlank="1" errorTitle="Valor fora da faixa" error="Turnos: use um número inteiro de 0 a 20." type="whole" errorStyle="warning" operator="between">
      <formula1>0</formula1>
      <formula2>20</formula2>
    </dataValidation>
    <dataValidation sqref="E216" showDropDown="0" showInputMessage="0" showErrorMessage="1" allowBlank="1" errorTitle="Valor fora da faixa" error="Acúmulos: use um número inteiro de 0 a 5." type="whole" errorStyle="warning" operator="between">
      <formula1>0</formula1>
      <formula2>5</formula2>
    </dataValidation>
    <dataValidation sqref="F216" showDropDown="0" showInputMessage="0" showErrorMessage="1" allowBlank="1" errorTitle="Fora da lista" error="Quem aplicou: escolha um valor da lista. A planilha pode não reconhecer outro valor." type="list" errorStyle="warning">
      <formula1>'Combate'!$N$11:$N$32</formula1>
    </dataValidation>
    <dataValidation sqref="B217" showDropDown="0" showInputMessage="0" showErrorMessage="1" allowBlank="1" errorTitle="Fora da lista" error="Condição: escolha um valor da lista. A planilha pode não reconhecer outro valor." type="list" errorStyle="warning">
      <formula1>'Dados'!$BG$6:$BG$19</formula1>
    </dataValidation>
    <dataValidation sqref="D217" showDropDown="0" showInputMessage="0" showErrorMessage="1" allowBlank="1" errorTitle="Valor fora da faixa" error="Turnos: use um número inteiro de 0 a 20." type="whole" errorStyle="warning" operator="between">
      <formula1>0</formula1>
      <formula2>20</formula2>
    </dataValidation>
    <dataValidation sqref="E217" showDropDown="0" showInputMessage="0" showErrorMessage="1" allowBlank="1" errorTitle="Valor fora da faixa" error="Acúmulos: use um número inteiro de 0 a 5." type="whole" errorStyle="warning" operator="between">
      <formula1>0</formula1>
      <formula2>5</formula2>
    </dataValidation>
    <dataValidation sqref="F217" showDropDown="0" showInputMessage="0" showErrorMessage="1" allowBlank="1" errorTitle="Fora da lista" error="Quem aplicou: escolha um valor da lista. A planilha pode não reconhecer outro valor." type="list" errorStyle="warning">
      <formula1>'Combate'!$N$11:$N$32</formula1>
    </dataValidation>
    <dataValidation sqref="B218" showDropDown="0" showInputMessage="0" showErrorMessage="1" allowBlank="1" errorTitle="Fora da lista" error="Condição: escolha um valor da lista. A planilha pode não reconhecer outro valor." type="list" errorStyle="warning">
      <formula1>'Dados'!$BG$6:$BG$19</formula1>
    </dataValidation>
    <dataValidation sqref="D218" showDropDown="0" showInputMessage="0" showErrorMessage="1" allowBlank="1" errorTitle="Valor fora da faixa" error="Turnos: use um número inteiro de 0 a 20." type="whole" errorStyle="warning" operator="between">
      <formula1>0</formula1>
      <formula2>20</formula2>
    </dataValidation>
    <dataValidation sqref="E218" showDropDown="0" showInputMessage="0" showErrorMessage="1" allowBlank="1" errorTitle="Valor fora da faixa" error="Acúmulos: use um número inteiro de 0 a 5." type="whole" errorStyle="warning" operator="between">
      <formula1>0</formula1>
      <formula2>5</formula2>
    </dataValidation>
    <dataValidation sqref="F218" showDropDown="0" showInputMessage="0" showErrorMessage="1" allowBlank="1" errorTitle="Fora da lista" error="Quem aplicou: escolha um valor da lista. A planilha pode não reconhecer outro valor." type="list" errorStyle="warning">
      <formula1>'Combate'!$N$11:$N$32</formula1>
    </dataValidation>
    <dataValidation sqref="B219" showDropDown="0" showInputMessage="0" showErrorMessage="1" allowBlank="1" errorTitle="Fora da lista" error="Condição: escolha um valor da lista. A planilha pode não reconhecer outro valor." type="list" errorStyle="warning">
      <formula1>'Dados'!$BG$6:$BG$19</formula1>
    </dataValidation>
    <dataValidation sqref="D219" showDropDown="0" showInputMessage="0" showErrorMessage="1" allowBlank="1" errorTitle="Valor fora da faixa" error="Turnos: use um número inteiro de 0 a 20." type="whole" errorStyle="warning" operator="between">
      <formula1>0</formula1>
      <formula2>20</formula2>
    </dataValidation>
    <dataValidation sqref="E219" showDropDown="0" showInputMessage="0" showErrorMessage="1" allowBlank="1" errorTitle="Valor fora da faixa" error="Acúmulos: use um número inteiro de 0 a 5." type="whole" errorStyle="warning" operator="between">
      <formula1>0</formula1>
      <formula2>5</formula2>
    </dataValidation>
    <dataValidation sqref="F219" showDropDown="0" showInputMessage="0" showErrorMessage="1" allowBlank="1" errorTitle="Fora da lista" error="Quem aplicou: escolha um valor da lista. A planilha pode não reconhecer outro valor." type="list" errorStyle="warning">
      <formula1>'Combate'!$N$11:$N$32</formula1>
    </dataValidation>
    <dataValidation sqref="B220" showDropDown="0" showInputMessage="0" showErrorMessage="1" allowBlank="1" errorTitle="Fora da lista" error="Condição: escolha um valor da lista. A planilha pode não reconhecer outro valor." type="list" errorStyle="warning">
      <formula1>'Dados'!$BG$6:$BG$19</formula1>
    </dataValidation>
    <dataValidation sqref="D220" showDropDown="0" showInputMessage="0" showErrorMessage="1" allowBlank="1" errorTitle="Valor fora da faixa" error="Turnos: use um número inteiro de 0 a 20." type="whole" errorStyle="warning" operator="between">
      <formula1>0</formula1>
      <formula2>20</formula2>
    </dataValidation>
    <dataValidation sqref="E220" showDropDown="0" showInputMessage="0" showErrorMessage="1" allowBlank="1" errorTitle="Valor fora da faixa" error="Acúmulos: use um número inteiro de 0 a 5." type="whole" errorStyle="warning" operator="between">
      <formula1>0</formula1>
      <formula2>5</formula2>
    </dataValidation>
    <dataValidation sqref="F220" showDropDown="0" showInputMessage="0" showErrorMessage="1" allowBlank="1" errorTitle="Fora da lista" error="Quem aplicou: escolha um valor da lista. A planilha pode não reconhecer outro valor." type="list" errorStyle="warning">
      <formula1>'Combate'!$N$11:$N$32</formula1>
    </dataValidation>
    <dataValidation sqref="B222" showDropDown="0" showInputMessage="0" showErrorMessage="1" allowBlank="1" errorTitle="Fora da lista" error="Condição: escolha um valor da lista. A planilha pode não reconhecer outro valor." type="list" errorStyle="warning">
      <formula1>'Dados'!$BG$6:$BG$19</formula1>
    </dataValidation>
    <dataValidation sqref="D222" showDropDown="0" showInputMessage="0" showErrorMessage="1" allowBlank="1" errorTitle="Valor fora da faixa" error="Turnos: use um número inteiro de 0 a 20." type="whole" errorStyle="warning" operator="between">
      <formula1>0</formula1>
      <formula2>20</formula2>
    </dataValidation>
    <dataValidation sqref="E222" showDropDown="0" showInputMessage="0" showErrorMessage="1" allowBlank="1" errorTitle="Valor fora da faixa" error="Acúmulos: use um número inteiro de 0 a 5." type="whole" errorStyle="warning" operator="between">
      <formula1>0</formula1>
      <formula2>5</formula2>
    </dataValidation>
    <dataValidation sqref="F222" showDropDown="0" showInputMessage="0" showErrorMessage="1" allowBlank="1" errorTitle="Fora da lista" error="Quem aplicou: escolha um valor da lista. A planilha pode não reconhecer outro valor." type="list" errorStyle="warning">
      <formula1>'Combate'!$N$11:$N$32</formula1>
    </dataValidation>
    <dataValidation sqref="B223" showDropDown="0" showInputMessage="0" showErrorMessage="1" allowBlank="1" errorTitle="Fora da lista" error="Condição: escolha um valor da lista. A planilha pode não reconhecer outro valor." type="list" errorStyle="warning">
      <formula1>'Dados'!$BG$6:$BG$19</formula1>
    </dataValidation>
    <dataValidation sqref="D223" showDropDown="0" showInputMessage="0" showErrorMessage="1" allowBlank="1" errorTitle="Valor fora da faixa" error="Turnos: use um número inteiro de 0 a 20." type="whole" errorStyle="warning" operator="between">
      <formula1>0</formula1>
      <formula2>20</formula2>
    </dataValidation>
    <dataValidation sqref="E223" showDropDown="0" showInputMessage="0" showErrorMessage="1" allowBlank="1" errorTitle="Valor fora da faixa" error="Acúmulos: use um número inteiro de 0 a 5." type="whole" errorStyle="warning" operator="between">
      <formula1>0</formula1>
      <formula2>5</formula2>
    </dataValidation>
    <dataValidation sqref="F223" showDropDown="0" showInputMessage="0" showErrorMessage="1" allowBlank="1" errorTitle="Fora da lista" error="Quem aplicou: escolha um valor da lista. A planilha pode não reconhecer outro valor." type="list" errorStyle="warning">
      <formula1>'Combate'!$N$11:$N$32</formula1>
    </dataValidation>
    <dataValidation sqref="B224" showDropDown="0" showInputMessage="0" showErrorMessage="1" allowBlank="1" errorTitle="Fora da lista" error="Condição: escolha um valor da lista. A planilha pode não reconhecer outro valor." type="list" errorStyle="warning">
      <formula1>'Dados'!$BG$6:$BG$19</formula1>
    </dataValidation>
    <dataValidation sqref="D224" showDropDown="0" showInputMessage="0" showErrorMessage="1" allowBlank="1" errorTitle="Valor fora da faixa" error="Turnos: use um número inteiro de 0 a 20." type="whole" errorStyle="warning" operator="between">
      <formula1>0</formula1>
      <formula2>20</formula2>
    </dataValidation>
    <dataValidation sqref="E224" showDropDown="0" showInputMessage="0" showErrorMessage="1" allowBlank="1" errorTitle="Valor fora da faixa" error="Acúmulos: use um número inteiro de 0 a 5." type="whole" errorStyle="warning" operator="between">
      <formula1>0</formula1>
      <formula2>5</formula2>
    </dataValidation>
    <dataValidation sqref="F224" showDropDown="0" showInputMessage="0" showErrorMessage="1" allowBlank="1" errorTitle="Fora da lista" error="Quem aplicou: escolha um valor da lista. A planilha pode não reconhecer outro valor." type="list" errorStyle="warning">
      <formula1>'Combate'!$N$11:$N$32</formula1>
    </dataValidation>
    <dataValidation sqref="B225" showDropDown="0" showInputMessage="0" showErrorMessage="1" allowBlank="1" errorTitle="Fora da lista" error="Condição: escolha um valor da lista. A planilha pode não reconhecer outro valor." type="list" errorStyle="warning">
      <formula1>'Dados'!$BG$6:$BG$19</formula1>
    </dataValidation>
    <dataValidation sqref="D225" showDropDown="0" showInputMessage="0" showErrorMessage="1" allowBlank="1" errorTitle="Valor fora da faixa" error="Turnos: use um número inteiro de 0 a 20." type="whole" errorStyle="warning" operator="between">
      <formula1>0</formula1>
      <formula2>20</formula2>
    </dataValidation>
    <dataValidation sqref="E225" showDropDown="0" showInputMessage="0" showErrorMessage="1" allowBlank="1" errorTitle="Valor fora da faixa" error="Acúmulos: use um número inteiro de 0 a 5." type="whole" errorStyle="warning" operator="between">
      <formula1>0</formula1>
      <formula2>5</formula2>
    </dataValidation>
    <dataValidation sqref="F225" showDropDown="0" showInputMessage="0" showErrorMessage="1" allowBlank="1" errorTitle="Fora da lista" error="Quem aplicou: escolha um valor da lista. A planilha pode não reconhecer outro valor." type="list" errorStyle="warning">
      <formula1>'Combate'!$N$11:$N$32</formula1>
    </dataValidation>
    <dataValidation sqref="B226" showDropDown="0" showInputMessage="0" showErrorMessage="1" allowBlank="1" errorTitle="Fora da lista" error="Condição: escolha um valor da lista. A planilha pode não reconhecer outro valor." type="list" errorStyle="warning">
      <formula1>'Dados'!$BG$6:$BG$19</formula1>
    </dataValidation>
    <dataValidation sqref="D226" showDropDown="0" showInputMessage="0" showErrorMessage="1" allowBlank="1" errorTitle="Valor fora da faixa" error="Turnos: use um número inteiro de 0 a 20." type="whole" errorStyle="warning" operator="between">
      <formula1>0</formula1>
      <formula2>20</formula2>
    </dataValidation>
    <dataValidation sqref="E226" showDropDown="0" showInputMessage="0" showErrorMessage="1" allowBlank="1" errorTitle="Valor fora da faixa" error="Acúmulos: use um número inteiro de 0 a 5." type="whole" errorStyle="warning" operator="between">
      <formula1>0</formula1>
      <formula2>5</formula2>
    </dataValidation>
    <dataValidation sqref="F226" showDropDown="0" showInputMessage="0" showErrorMessage="1" allowBlank="1" errorTitle="Fora da lista" error="Quem aplicou: escolha um valor da lista. A planilha pode não reconhecer outro valor." type="list" errorStyle="warning">
      <formula1>'Combate'!$N$11:$N$32</formula1>
    </dataValidation>
    <dataValidation sqref="B227" showDropDown="0" showInputMessage="0" showErrorMessage="1" allowBlank="1" errorTitle="Fora da lista" error="Condição: escolha um valor da lista. A planilha pode não reconhecer outro valor." type="list" errorStyle="warning">
      <formula1>'Dados'!$BG$6:$BG$19</formula1>
    </dataValidation>
    <dataValidation sqref="D227" showDropDown="0" showInputMessage="0" showErrorMessage="1" allowBlank="1" errorTitle="Valor fora da faixa" error="Turnos: use um número inteiro de 0 a 20." type="whole" errorStyle="warning" operator="between">
      <formula1>0</formula1>
      <formula2>20</formula2>
    </dataValidation>
    <dataValidation sqref="E227" showDropDown="0" showInputMessage="0" showErrorMessage="1" allowBlank="1" errorTitle="Valor fora da faixa" error="Acúmulos: use um número inteiro de 0 a 5." type="whole" errorStyle="warning" operator="between">
      <formula1>0</formula1>
      <formula2>5</formula2>
    </dataValidation>
    <dataValidation sqref="F227" showDropDown="0" showInputMessage="0" showErrorMessage="1" allowBlank="1" errorTitle="Fora da lista" error="Quem aplicou: escolha um valor da lista. A planilha pode não reconhecer outro valor." type="list" errorStyle="warning">
      <formula1>'Combate'!$N$11:$N$32</formula1>
    </dataValidation>
    <dataValidation sqref="B228" showDropDown="0" showInputMessage="0" showErrorMessage="1" allowBlank="1" errorTitle="Fora da lista" error="Condição: escolha um valor da lista. A planilha pode não reconhecer outro valor." type="list" errorStyle="warning">
      <formula1>'Dados'!$BG$6:$BG$19</formula1>
    </dataValidation>
    <dataValidation sqref="D228" showDropDown="0" showInputMessage="0" showErrorMessage="1" allowBlank="1" errorTitle="Valor fora da faixa" error="Turnos: use um número inteiro de 0 a 20." type="whole" errorStyle="warning" operator="between">
      <formula1>0</formula1>
      <formula2>20</formula2>
    </dataValidation>
    <dataValidation sqref="E228" showDropDown="0" showInputMessage="0" showErrorMessage="1" allowBlank="1" errorTitle="Valor fora da faixa" error="Acúmulos: use um número inteiro de 0 a 5." type="whole" errorStyle="warning" operator="between">
      <formula1>0</formula1>
      <formula2>5</formula2>
    </dataValidation>
    <dataValidation sqref="F228" showDropDown="0" showInputMessage="0" showErrorMessage="1" allowBlank="1" errorTitle="Fora da lista" error="Quem aplicou: escolha um valor da lista. A planilha pode não reconhecer outro valor." type="list" errorStyle="warning">
      <formula1>'Combate'!$N$11:$N$32</formula1>
    </dataValidation>
    <dataValidation sqref="B229" showDropDown="0" showInputMessage="0" showErrorMessage="1" allowBlank="1" errorTitle="Fora da lista" error="Condição: escolha um valor da lista. A planilha pode não reconhecer outro valor." type="list" errorStyle="warning">
      <formula1>'Dados'!$BG$6:$BG$19</formula1>
    </dataValidation>
    <dataValidation sqref="D229" showDropDown="0" showInputMessage="0" showErrorMessage="1" allowBlank="1" errorTitle="Valor fora da faixa" error="Turnos: use um número inteiro de 0 a 20." type="whole" errorStyle="warning" operator="between">
      <formula1>0</formula1>
      <formula2>20</formula2>
    </dataValidation>
    <dataValidation sqref="E229" showDropDown="0" showInputMessage="0" showErrorMessage="1" allowBlank="1" errorTitle="Valor fora da faixa" error="Acúmulos: use um número inteiro de 0 a 5." type="whole" errorStyle="warning" operator="between">
      <formula1>0</formula1>
      <formula2>5</formula2>
    </dataValidation>
    <dataValidation sqref="F229" showDropDown="0" showInputMessage="0" showErrorMessage="1" allowBlank="1" errorTitle="Fora da lista" error="Quem aplicou: escolha um valor da lista. A planilha pode não reconhecer outro valor." type="list" errorStyle="warning">
      <formula1>'Combate'!$N$11:$N$32</formula1>
    </dataValidation>
    <dataValidation sqref="B230" showDropDown="0" showInputMessage="0" showErrorMessage="1" allowBlank="1" errorTitle="Fora da lista" error="Condição: escolha um valor da lista. A planilha pode não reconhecer outro valor." type="list" errorStyle="warning">
      <formula1>'Dados'!$BG$6:$BG$19</formula1>
    </dataValidation>
    <dataValidation sqref="D230" showDropDown="0" showInputMessage="0" showErrorMessage="1" allowBlank="1" errorTitle="Valor fora da faixa" error="Turnos: use um número inteiro de 0 a 20." type="whole" errorStyle="warning" operator="between">
      <formula1>0</formula1>
      <formula2>20</formula2>
    </dataValidation>
    <dataValidation sqref="E230" showDropDown="0" showInputMessage="0" showErrorMessage="1" allowBlank="1" errorTitle="Valor fora da faixa" error="Acúmulos: use um número inteiro de 0 a 5." type="whole" errorStyle="warning" operator="between">
      <formula1>0</formula1>
      <formula2>5</formula2>
    </dataValidation>
    <dataValidation sqref="F230" showDropDown="0" showInputMessage="0" showErrorMessage="1" allowBlank="1" errorTitle="Fora da lista" error="Quem aplicou: escolha um valor da lista. A planilha pode não reconhecer outro valor." type="list" errorStyle="warning">
      <formula1>'Combate'!$N$11:$N$32</formula1>
    </dataValidation>
    <dataValidation sqref="B231" showDropDown="0" showInputMessage="0" showErrorMessage="1" allowBlank="1" errorTitle="Fora da lista" error="Condição: escolha um valor da lista. A planilha pode não reconhecer outro valor." type="list" errorStyle="warning">
      <formula1>'Dados'!$BG$6:$BG$19</formula1>
    </dataValidation>
    <dataValidation sqref="D231" showDropDown="0" showInputMessage="0" showErrorMessage="1" allowBlank="1" errorTitle="Valor fora da faixa" error="Turnos: use um número inteiro de 0 a 20." type="whole" errorStyle="warning" operator="between">
      <formula1>0</formula1>
      <formula2>20</formula2>
    </dataValidation>
    <dataValidation sqref="E231" showDropDown="0" showInputMessage="0" showErrorMessage="1" allowBlank="1" errorTitle="Valor fora da faixa" error="Acúmulos: use um número inteiro de 0 a 5." type="whole" errorStyle="warning" operator="between">
      <formula1>0</formula1>
      <formula2>5</formula2>
    </dataValidation>
    <dataValidation sqref="F231" showDropDown="0" showInputMessage="0" showErrorMessage="1" allowBlank="1" errorTitle="Fora da lista" error="Quem aplicou: escolha um valor da lista. A planilha pode não reconhecer outro valor." type="list" errorStyle="warning">
      <formula1>'Combate'!$N$11:$N$32</formula1>
    </dataValidation>
    <dataValidation sqref="B232" showDropDown="0" showInputMessage="0" showErrorMessage="1" allowBlank="1" errorTitle="Fora da lista" error="Condição: escolha um valor da lista. A planilha pode não reconhecer outro valor." type="list" errorStyle="warning">
      <formula1>'Dados'!$BG$6:$BG$19</formula1>
    </dataValidation>
    <dataValidation sqref="D232" showDropDown="0" showInputMessage="0" showErrorMessage="1" allowBlank="1" errorTitle="Valor fora da faixa" error="Turnos: use um número inteiro de 0 a 20." type="whole" errorStyle="warning" operator="between">
      <formula1>0</formula1>
      <formula2>20</formula2>
    </dataValidation>
    <dataValidation sqref="E232" showDropDown="0" showInputMessage="0" showErrorMessage="1" allowBlank="1" errorTitle="Valor fora da faixa" error="Acúmulos: use um número inteiro de 0 a 5." type="whole" errorStyle="warning" operator="between">
      <formula1>0</formula1>
      <formula2>5</formula2>
    </dataValidation>
    <dataValidation sqref="F232" showDropDown="0" showInputMessage="0" showErrorMessage="1" allowBlank="1" errorTitle="Fora da lista" error="Quem aplicou: escolha um valor da lista. A planilha pode não reconhecer outro valor." type="list" errorStyle="warning">
      <formula1>'Combate'!$N$11:$N$32</formula1>
    </dataValidation>
    <dataValidation sqref="B233" showDropDown="0" showInputMessage="0" showErrorMessage="1" allowBlank="1" errorTitle="Fora da lista" error="Condição: escolha um valor da lista. A planilha pode não reconhecer outro valor." type="list" errorStyle="warning">
      <formula1>'Dados'!$BG$6:$BG$19</formula1>
    </dataValidation>
    <dataValidation sqref="D233" showDropDown="0" showInputMessage="0" showErrorMessage="1" allowBlank="1" errorTitle="Valor fora da faixa" error="Turnos: use um número inteiro de 0 a 20." type="whole" errorStyle="warning" operator="between">
      <formula1>0</formula1>
      <formula2>20</formula2>
    </dataValidation>
    <dataValidation sqref="E233" showDropDown="0" showInputMessage="0" showErrorMessage="1" allowBlank="1" errorTitle="Valor fora da faixa" error="Acúmulos: use um número inteiro de 0 a 5." type="whole" errorStyle="warning" operator="between">
      <formula1>0</formula1>
      <formula2>5</formula2>
    </dataValidation>
    <dataValidation sqref="F233" showDropDown="0" showInputMessage="0" showErrorMessage="1" allowBlank="1" errorTitle="Fora da lista" error="Quem aplicou: escolha um valor da lista. A planilha pode não reconhecer outro valor." type="list" errorStyle="warning">
      <formula1>'Combate'!$N$11:$N$32</formula1>
    </dataValidation>
    <dataValidation sqref="B235" showDropDown="0" showInputMessage="0" showErrorMessage="1" allowBlank="1" errorTitle="Fora da lista" error="Condição: escolha um valor da lista. A planilha pode não reconhecer outro valor." type="list" errorStyle="warning">
      <formula1>'Dados'!$BG$6:$BG$19</formula1>
    </dataValidation>
    <dataValidation sqref="D235" showDropDown="0" showInputMessage="0" showErrorMessage="1" allowBlank="1" errorTitle="Valor fora da faixa" error="Turnos: use um número inteiro de 0 a 20." type="whole" errorStyle="warning" operator="between">
      <formula1>0</formula1>
      <formula2>20</formula2>
    </dataValidation>
    <dataValidation sqref="E235" showDropDown="0" showInputMessage="0" showErrorMessage="1" allowBlank="1" errorTitle="Valor fora da faixa" error="Acúmulos: use um número inteiro de 0 a 5." type="whole" errorStyle="warning" operator="between">
      <formula1>0</formula1>
      <formula2>5</formula2>
    </dataValidation>
    <dataValidation sqref="F235" showDropDown="0" showInputMessage="0" showErrorMessage="1" allowBlank="1" errorTitle="Fora da lista" error="Quem aplicou: escolha um valor da lista. A planilha pode não reconhecer outro valor." type="list" errorStyle="warning">
      <formula1>'Combate'!$N$11:$N$32</formula1>
    </dataValidation>
    <dataValidation sqref="B236" showDropDown="0" showInputMessage="0" showErrorMessage="1" allowBlank="1" errorTitle="Fora da lista" error="Condição: escolha um valor da lista. A planilha pode não reconhecer outro valor." type="list" errorStyle="warning">
      <formula1>'Dados'!$BG$6:$BG$19</formula1>
    </dataValidation>
    <dataValidation sqref="D236" showDropDown="0" showInputMessage="0" showErrorMessage="1" allowBlank="1" errorTitle="Valor fora da faixa" error="Turnos: use um número inteiro de 0 a 20." type="whole" errorStyle="warning" operator="between">
      <formula1>0</formula1>
      <formula2>20</formula2>
    </dataValidation>
    <dataValidation sqref="E236" showDropDown="0" showInputMessage="0" showErrorMessage="1" allowBlank="1" errorTitle="Valor fora da faixa" error="Acúmulos: use um número inteiro de 0 a 5." type="whole" errorStyle="warning" operator="between">
      <formula1>0</formula1>
      <formula2>5</formula2>
    </dataValidation>
    <dataValidation sqref="F236" showDropDown="0" showInputMessage="0" showErrorMessage="1" allowBlank="1" errorTitle="Fora da lista" error="Quem aplicou: escolha um valor da lista. A planilha pode não reconhecer outro valor." type="list" errorStyle="warning">
      <formula1>'Combate'!$N$11:$N$32</formula1>
    </dataValidation>
    <dataValidation sqref="B237" showDropDown="0" showInputMessage="0" showErrorMessage="1" allowBlank="1" errorTitle="Fora da lista" error="Condição: escolha um valor da lista. A planilha pode não reconhecer outro valor." type="list" errorStyle="warning">
      <formula1>'Dados'!$BG$6:$BG$19</formula1>
    </dataValidation>
    <dataValidation sqref="D237" showDropDown="0" showInputMessage="0" showErrorMessage="1" allowBlank="1" errorTitle="Valor fora da faixa" error="Turnos: use um número inteiro de 0 a 20." type="whole" errorStyle="warning" operator="between">
      <formula1>0</formula1>
      <formula2>20</formula2>
    </dataValidation>
    <dataValidation sqref="E237" showDropDown="0" showInputMessage="0" showErrorMessage="1" allowBlank="1" errorTitle="Valor fora da faixa" error="Acúmulos: use um número inteiro de 0 a 5." type="whole" errorStyle="warning" operator="between">
      <formula1>0</formula1>
      <formula2>5</formula2>
    </dataValidation>
    <dataValidation sqref="F237" showDropDown="0" showInputMessage="0" showErrorMessage="1" allowBlank="1" errorTitle="Fora da lista" error="Quem aplicou: escolha um valor da lista. A planilha pode não reconhecer outro valor." type="list" errorStyle="warning">
      <formula1>'Combate'!$N$11:$N$32</formula1>
    </dataValidation>
    <dataValidation sqref="B238" showDropDown="0" showInputMessage="0" showErrorMessage="1" allowBlank="1" errorTitle="Fora da lista" error="Condição: escolha um valor da lista. A planilha pode não reconhecer outro valor." type="list" errorStyle="warning">
      <formula1>'Dados'!$BG$6:$BG$19</formula1>
    </dataValidation>
    <dataValidation sqref="D238" showDropDown="0" showInputMessage="0" showErrorMessage="1" allowBlank="1" errorTitle="Valor fora da faixa" error="Turnos: use um número inteiro de 0 a 20." type="whole" errorStyle="warning" operator="between">
      <formula1>0</formula1>
      <formula2>20</formula2>
    </dataValidation>
    <dataValidation sqref="E238" showDropDown="0" showInputMessage="0" showErrorMessage="1" allowBlank="1" errorTitle="Valor fora da faixa" error="Acúmulos: use um número inteiro de 0 a 5." type="whole" errorStyle="warning" operator="between">
      <formula1>0</formula1>
      <formula2>5</formula2>
    </dataValidation>
    <dataValidation sqref="F238" showDropDown="0" showInputMessage="0" showErrorMessage="1" allowBlank="1" errorTitle="Fora da lista" error="Quem aplicou: escolha um valor da lista. A planilha pode não reconhecer outro valor." type="list" errorStyle="warning">
      <formula1>'Combate'!$N$11:$N$32</formula1>
    </dataValidation>
    <dataValidation sqref="B239" showDropDown="0" showInputMessage="0" showErrorMessage="1" allowBlank="1" errorTitle="Fora da lista" error="Condição: escolha um valor da lista. A planilha pode não reconhecer outro valor." type="list" errorStyle="warning">
      <formula1>'Dados'!$BG$6:$BG$19</formula1>
    </dataValidation>
    <dataValidation sqref="D239" showDropDown="0" showInputMessage="0" showErrorMessage="1" allowBlank="1" errorTitle="Valor fora da faixa" error="Turnos: use um número inteiro de 0 a 20." type="whole" errorStyle="warning" operator="between">
      <formula1>0</formula1>
      <formula2>20</formula2>
    </dataValidation>
    <dataValidation sqref="E239" showDropDown="0" showInputMessage="0" showErrorMessage="1" allowBlank="1" errorTitle="Valor fora da faixa" error="Acúmulos: use um número inteiro de 0 a 5." type="whole" errorStyle="warning" operator="between">
      <formula1>0</formula1>
      <formula2>5</formula2>
    </dataValidation>
    <dataValidation sqref="F239" showDropDown="0" showInputMessage="0" showErrorMessage="1" allowBlank="1" errorTitle="Fora da lista" error="Quem aplicou: escolha um valor da lista. A planilha pode não reconhecer outro valor." type="list" errorStyle="warning">
      <formula1>'Combate'!$N$11:$N$32</formula1>
    </dataValidation>
    <dataValidation sqref="B240" showDropDown="0" showInputMessage="0" showErrorMessage="1" allowBlank="1" errorTitle="Fora da lista" error="Condição: escolha um valor da lista. A planilha pode não reconhecer outro valor." type="list" errorStyle="warning">
      <formula1>'Dados'!$BG$6:$BG$19</formula1>
    </dataValidation>
    <dataValidation sqref="D240" showDropDown="0" showInputMessage="0" showErrorMessage="1" allowBlank="1" errorTitle="Valor fora da faixa" error="Turnos: use um número inteiro de 0 a 20." type="whole" errorStyle="warning" operator="between">
      <formula1>0</formula1>
      <formula2>20</formula2>
    </dataValidation>
    <dataValidation sqref="E240" showDropDown="0" showInputMessage="0" showErrorMessage="1" allowBlank="1" errorTitle="Valor fora da faixa" error="Acúmulos: use um número inteiro de 0 a 5." type="whole" errorStyle="warning" operator="between">
      <formula1>0</formula1>
      <formula2>5</formula2>
    </dataValidation>
    <dataValidation sqref="F240" showDropDown="0" showInputMessage="0" showErrorMessage="1" allowBlank="1" errorTitle="Fora da lista" error="Quem aplicou: escolha um valor da lista. A planilha pode não reconhecer outro valor." type="list" errorStyle="warning">
      <formula1>'Combate'!$N$11:$N$32</formula1>
    </dataValidation>
    <dataValidation sqref="B241" showDropDown="0" showInputMessage="0" showErrorMessage="1" allowBlank="1" errorTitle="Fora da lista" error="Condição: escolha um valor da lista. A planilha pode não reconhecer outro valor." type="list" errorStyle="warning">
      <formula1>'Dados'!$BG$6:$BG$19</formula1>
    </dataValidation>
    <dataValidation sqref="D241" showDropDown="0" showInputMessage="0" showErrorMessage="1" allowBlank="1" errorTitle="Valor fora da faixa" error="Turnos: use um número inteiro de 0 a 20." type="whole" errorStyle="warning" operator="between">
      <formula1>0</formula1>
      <formula2>20</formula2>
    </dataValidation>
    <dataValidation sqref="E241" showDropDown="0" showInputMessage="0" showErrorMessage="1" allowBlank="1" errorTitle="Valor fora da faixa" error="Acúmulos: use um número inteiro de 0 a 5." type="whole" errorStyle="warning" operator="between">
      <formula1>0</formula1>
      <formula2>5</formula2>
    </dataValidation>
    <dataValidation sqref="F241" showDropDown="0" showInputMessage="0" showErrorMessage="1" allowBlank="1" errorTitle="Fora da lista" error="Quem aplicou: escolha um valor da lista. A planilha pode não reconhecer outro valor." type="list" errorStyle="warning">
      <formula1>'Combate'!$N$11:$N$32</formula1>
    </dataValidation>
    <dataValidation sqref="B242" showDropDown="0" showInputMessage="0" showErrorMessage="1" allowBlank="1" errorTitle="Fora da lista" error="Condição: escolha um valor da lista. A planilha pode não reconhecer outro valor." type="list" errorStyle="warning">
      <formula1>'Dados'!$BG$6:$BG$19</formula1>
    </dataValidation>
    <dataValidation sqref="D242" showDropDown="0" showInputMessage="0" showErrorMessage="1" allowBlank="1" errorTitle="Valor fora da faixa" error="Turnos: use um número inteiro de 0 a 20." type="whole" errorStyle="warning" operator="between">
      <formula1>0</formula1>
      <formula2>20</formula2>
    </dataValidation>
    <dataValidation sqref="E242" showDropDown="0" showInputMessage="0" showErrorMessage="1" allowBlank="1" errorTitle="Valor fora da faixa" error="Acúmulos: use um número inteiro de 0 a 5." type="whole" errorStyle="warning" operator="between">
      <formula1>0</formula1>
      <formula2>5</formula2>
    </dataValidation>
    <dataValidation sqref="F242" showDropDown="0" showInputMessage="0" showErrorMessage="1" allowBlank="1" errorTitle="Fora da lista" error="Quem aplicou: escolha um valor da lista. A planilha pode não reconhecer outro valor." type="list" errorStyle="warning">
      <formula1>'Combate'!$N$11:$N$32</formula1>
    </dataValidation>
    <dataValidation sqref="B243" showDropDown="0" showInputMessage="0" showErrorMessage="1" allowBlank="1" errorTitle="Fora da lista" error="Condição: escolha um valor da lista. A planilha pode não reconhecer outro valor." type="list" errorStyle="warning">
      <formula1>'Dados'!$BG$6:$BG$19</formula1>
    </dataValidation>
    <dataValidation sqref="D243" showDropDown="0" showInputMessage="0" showErrorMessage="1" allowBlank="1" errorTitle="Valor fora da faixa" error="Turnos: use um número inteiro de 0 a 20." type="whole" errorStyle="warning" operator="between">
      <formula1>0</formula1>
      <formula2>20</formula2>
    </dataValidation>
    <dataValidation sqref="E243" showDropDown="0" showInputMessage="0" showErrorMessage="1" allowBlank="1" errorTitle="Valor fora da faixa" error="Acúmulos: use um número inteiro de 0 a 5." type="whole" errorStyle="warning" operator="between">
      <formula1>0</formula1>
      <formula2>5</formula2>
    </dataValidation>
    <dataValidation sqref="F243" showDropDown="0" showInputMessage="0" showErrorMessage="1" allowBlank="1" errorTitle="Fora da lista" error="Quem aplicou: escolha um valor da lista. A planilha pode não reconhecer outro valor." type="list" errorStyle="warning">
      <formula1>'Combate'!$N$11:$N$32</formula1>
    </dataValidation>
    <dataValidation sqref="B244" showDropDown="0" showInputMessage="0" showErrorMessage="1" allowBlank="1" errorTitle="Fora da lista" error="Condição: escolha um valor da lista. A planilha pode não reconhecer outro valor." type="list" errorStyle="warning">
      <formula1>'Dados'!$BG$6:$BG$19</formula1>
    </dataValidation>
    <dataValidation sqref="D244" showDropDown="0" showInputMessage="0" showErrorMessage="1" allowBlank="1" errorTitle="Valor fora da faixa" error="Turnos: use um número inteiro de 0 a 20." type="whole" errorStyle="warning" operator="between">
      <formula1>0</formula1>
      <formula2>20</formula2>
    </dataValidation>
    <dataValidation sqref="E244" showDropDown="0" showInputMessage="0" showErrorMessage="1" allowBlank="1" errorTitle="Valor fora da faixa" error="Acúmulos: use um número inteiro de 0 a 5." type="whole" errorStyle="warning" operator="between">
      <formula1>0</formula1>
      <formula2>5</formula2>
    </dataValidation>
    <dataValidation sqref="F244" showDropDown="0" showInputMessage="0" showErrorMessage="1" allowBlank="1" errorTitle="Fora da lista" error="Quem aplicou: escolha um valor da lista. A planilha pode não reconhecer outro valor." type="list" errorStyle="warning">
      <formula1>'Combate'!$N$11:$N$32</formula1>
    </dataValidation>
    <dataValidation sqref="B245" showDropDown="0" showInputMessage="0" showErrorMessage="1" allowBlank="1" errorTitle="Fora da lista" error="Condição: escolha um valor da lista. A planilha pode não reconhecer outro valor." type="list" errorStyle="warning">
      <formula1>'Dados'!$BG$6:$BG$19</formula1>
    </dataValidation>
    <dataValidation sqref="D245" showDropDown="0" showInputMessage="0" showErrorMessage="1" allowBlank="1" errorTitle="Valor fora da faixa" error="Turnos: use um número inteiro de 0 a 20." type="whole" errorStyle="warning" operator="between">
      <formula1>0</formula1>
      <formula2>20</formula2>
    </dataValidation>
    <dataValidation sqref="E245" showDropDown="0" showInputMessage="0" showErrorMessage="1" allowBlank="1" errorTitle="Valor fora da faixa" error="Acúmulos: use um número inteiro de 0 a 5." type="whole" errorStyle="warning" operator="between">
      <formula1>0</formula1>
      <formula2>5</formula2>
    </dataValidation>
    <dataValidation sqref="F245" showDropDown="0" showInputMessage="0" showErrorMessage="1" allowBlank="1" errorTitle="Fora da lista" error="Quem aplicou: escolha um valor da lista. A planilha pode não reconhecer outro valor." type="list" errorStyle="warning">
      <formula1>'Combate'!$N$11:$N$32</formula1>
    </dataValidation>
    <dataValidation sqref="B246" showDropDown="0" showInputMessage="0" showErrorMessage="1" allowBlank="1" errorTitle="Fora da lista" error="Condição: escolha um valor da lista. A planilha pode não reconhecer outro valor." type="list" errorStyle="warning">
      <formula1>'Dados'!$BG$6:$BG$19</formula1>
    </dataValidation>
    <dataValidation sqref="D246" showDropDown="0" showInputMessage="0" showErrorMessage="1" allowBlank="1" errorTitle="Valor fora da faixa" error="Turnos: use um número inteiro de 0 a 20." type="whole" errorStyle="warning" operator="between">
      <formula1>0</formula1>
      <formula2>20</formula2>
    </dataValidation>
    <dataValidation sqref="E246" showDropDown="0" showInputMessage="0" showErrorMessage="1" allowBlank="1" errorTitle="Valor fora da faixa" error="Acúmulos: use um número inteiro de 0 a 5." type="whole" errorStyle="warning" operator="between">
      <formula1>0</formula1>
      <formula2>5</formula2>
    </dataValidation>
    <dataValidation sqref="F246" showDropDown="0" showInputMessage="0" showErrorMessage="1" allowBlank="1" errorTitle="Fora da lista" error="Quem aplicou: escolha um valor da lista. A planilha pode não reconhecer outro valor." type="list" errorStyle="warning">
      <formula1>'Combate'!$N$11:$N$32</formula1>
    </dataValidation>
    <dataValidation sqref="B248" showDropDown="0" showInputMessage="0" showErrorMessage="1" allowBlank="1" errorTitle="Fora da lista" error="Condição: escolha um valor da lista. A planilha pode não reconhecer outro valor." type="list" errorStyle="warning">
      <formula1>'Dados'!$BG$6:$BG$19</formula1>
    </dataValidation>
    <dataValidation sqref="D248" showDropDown="0" showInputMessage="0" showErrorMessage="1" allowBlank="1" errorTitle="Valor fora da faixa" error="Turnos: use um número inteiro de 0 a 20." type="whole" errorStyle="warning" operator="between">
      <formula1>0</formula1>
      <formula2>20</formula2>
    </dataValidation>
    <dataValidation sqref="E248" showDropDown="0" showInputMessage="0" showErrorMessage="1" allowBlank="1" errorTitle="Valor fora da faixa" error="Acúmulos: use um número inteiro de 0 a 5." type="whole" errorStyle="warning" operator="between">
      <formula1>0</formula1>
      <formula2>5</formula2>
    </dataValidation>
    <dataValidation sqref="F248" showDropDown="0" showInputMessage="0" showErrorMessage="1" allowBlank="1" errorTitle="Fora da lista" error="Quem aplicou: escolha um valor da lista. A planilha pode não reconhecer outro valor." type="list" errorStyle="warning">
      <formula1>'Combate'!$N$11:$N$32</formula1>
    </dataValidation>
    <dataValidation sqref="B249" showDropDown="0" showInputMessage="0" showErrorMessage="1" allowBlank="1" errorTitle="Fora da lista" error="Condição: escolha um valor da lista. A planilha pode não reconhecer outro valor." type="list" errorStyle="warning">
      <formula1>'Dados'!$BG$6:$BG$19</formula1>
    </dataValidation>
    <dataValidation sqref="D249" showDropDown="0" showInputMessage="0" showErrorMessage="1" allowBlank="1" errorTitle="Valor fora da faixa" error="Turnos: use um número inteiro de 0 a 20." type="whole" errorStyle="warning" operator="between">
      <formula1>0</formula1>
      <formula2>20</formula2>
    </dataValidation>
    <dataValidation sqref="E249" showDropDown="0" showInputMessage="0" showErrorMessage="1" allowBlank="1" errorTitle="Valor fora da faixa" error="Acúmulos: use um número inteiro de 0 a 5." type="whole" errorStyle="warning" operator="between">
      <formula1>0</formula1>
      <formula2>5</formula2>
    </dataValidation>
    <dataValidation sqref="F249" showDropDown="0" showInputMessage="0" showErrorMessage="1" allowBlank="1" errorTitle="Fora da lista" error="Quem aplicou: escolha um valor da lista. A planilha pode não reconhecer outro valor." type="list" errorStyle="warning">
      <formula1>'Combate'!$N$11:$N$32</formula1>
    </dataValidation>
    <dataValidation sqref="B250" showDropDown="0" showInputMessage="0" showErrorMessage="1" allowBlank="1" errorTitle="Fora da lista" error="Condição: escolha um valor da lista. A planilha pode não reconhecer outro valor." type="list" errorStyle="warning">
      <formula1>'Dados'!$BG$6:$BG$19</formula1>
    </dataValidation>
    <dataValidation sqref="D250" showDropDown="0" showInputMessage="0" showErrorMessage="1" allowBlank="1" errorTitle="Valor fora da faixa" error="Turnos: use um número inteiro de 0 a 20." type="whole" errorStyle="warning" operator="between">
      <formula1>0</formula1>
      <formula2>20</formula2>
    </dataValidation>
    <dataValidation sqref="E250" showDropDown="0" showInputMessage="0" showErrorMessage="1" allowBlank="1" errorTitle="Valor fora da faixa" error="Acúmulos: use um número inteiro de 0 a 5." type="whole" errorStyle="warning" operator="between">
      <formula1>0</formula1>
      <formula2>5</formula2>
    </dataValidation>
    <dataValidation sqref="F250" showDropDown="0" showInputMessage="0" showErrorMessage="1" allowBlank="1" errorTitle="Fora da lista" error="Quem aplicou: escolha um valor da lista. A planilha pode não reconhecer outro valor." type="list" errorStyle="warning">
      <formula1>'Combate'!$N$11:$N$32</formula1>
    </dataValidation>
    <dataValidation sqref="B251" showDropDown="0" showInputMessage="0" showErrorMessage="1" allowBlank="1" errorTitle="Fora da lista" error="Condição: escolha um valor da lista. A planilha pode não reconhecer outro valor." type="list" errorStyle="warning">
      <formula1>'Dados'!$BG$6:$BG$19</formula1>
    </dataValidation>
    <dataValidation sqref="D251" showDropDown="0" showInputMessage="0" showErrorMessage="1" allowBlank="1" errorTitle="Valor fora da faixa" error="Turnos: use um número inteiro de 0 a 20." type="whole" errorStyle="warning" operator="between">
      <formula1>0</formula1>
      <formula2>20</formula2>
    </dataValidation>
    <dataValidation sqref="E251" showDropDown="0" showInputMessage="0" showErrorMessage="1" allowBlank="1" errorTitle="Valor fora da faixa" error="Acúmulos: use um número inteiro de 0 a 5." type="whole" errorStyle="warning" operator="between">
      <formula1>0</formula1>
      <formula2>5</formula2>
    </dataValidation>
    <dataValidation sqref="F251" showDropDown="0" showInputMessage="0" showErrorMessage="1" allowBlank="1" errorTitle="Fora da lista" error="Quem aplicou: escolha um valor da lista. A planilha pode não reconhecer outro valor." type="list" errorStyle="warning">
      <formula1>'Combate'!$N$11:$N$32</formula1>
    </dataValidation>
    <dataValidation sqref="B252" showDropDown="0" showInputMessage="0" showErrorMessage="1" allowBlank="1" errorTitle="Fora da lista" error="Condição: escolha um valor da lista. A planilha pode não reconhecer outro valor." type="list" errorStyle="warning">
      <formula1>'Dados'!$BG$6:$BG$19</formula1>
    </dataValidation>
    <dataValidation sqref="D252" showDropDown="0" showInputMessage="0" showErrorMessage="1" allowBlank="1" errorTitle="Valor fora da faixa" error="Turnos: use um número inteiro de 0 a 20." type="whole" errorStyle="warning" operator="between">
      <formula1>0</formula1>
      <formula2>20</formula2>
    </dataValidation>
    <dataValidation sqref="E252" showDropDown="0" showInputMessage="0" showErrorMessage="1" allowBlank="1" errorTitle="Valor fora da faixa" error="Acúmulos: use um número inteiro de 0 a 5." type="whole" errorStyle="warning" operator="between">
      <formula1>0</formula1>
      <formula2>5</formula2>
    </dataValidation>
    <dataValidation sqref="F252" showDropDown="0" showInputMessage="0" showErrorMessage="1" allowBlank="1" errorTitle="Fora da lista" error="Quem aplicou: escolha um valor da lista. A planilha pode não reconhecer outro valor." type="list" errorStyle="warning">
      <formula1>'Combate'!$N$11:$N$32</formula1>
    </dataValidation>
    <dataValidation sqref="B253" showDropDown="0" showInputMessage="0" showErrorMessage="1" allowBlank="1" errorTitle="Fora da lista" error="Condição: escolha um valor da lista. A planilha pode não reconhecer outro valor." type="list" errorStyle="warning">
      <formula1>'Dados'!$BG$6:$BG$19</formula1>
    </dataValidation>
    <dataValidation sqref="D253" showDropDown="0" showInputMessage="0" showErrorMessage="1" allowBlank="1" errorTitle="Valor fora da faixa" error="Turnos: use um número inteiro de 0 a 20." type="whole" errorStyle="warning" operator="between">
      <formula1>0</formula1>
      <formula2>20</formula2>
    </dataValidation>
    <dataValidation sqref="E253" showDropDown="0" showInputMessage="0" showErrorMessage="1" allowBlank="1" errorTitle="Valor fora da faixa" error="Acúmulos: use um número inteiro de 0 a 5." type="whole" errorStyle="warning" operator="between">
      <formula1>0</formula1>
      <formula2>5</formula2>
    </dataValidation>
    <dataValidation sqref="F253" showDropDown="0" showInputMessage="0" showErrorMessage="1" allowBlank="1" errorTitle="Fora da lista" error="Quem aplicou: escolha um valor da lista. A planilha pode não reconhecer outro valor." type="list" errorStyle="warning">
      <formula1>'Combate'!$N$11:$N$32</formula1>
    </dataValidation>
    <dataValidation sqref="B254" showDropDown="0" showInputMessage="0" showErrorMessage="1" allowBlank="1" errorTitle="Fora da lista" error="Condição: escolha um valor da lista. A planilha pode não reconhecer outro valor." type="list" errorStyle="warning">
      <formula1>'Dados'!$BG$6:$BG$19</formula1>
    </dataValidation>
    <dataValidation sqref="D254" showDropDown="0" showInputMessage="0" showErrorMessage="1" allowBlank="1" errorTitle="Valor fora da faixa" error="Turnos: use um número inteiro de 0 a 20." type="whole" errorStyle="warning" operator="between">
      <formula1>0</formula1>
      <formula2>20</formula2>
    </dataValidation>
    <dataValidation sqref="E254" showDropDown="0" showInputMessage="0" showErrorMessage="1" allowBlank="1" errorTitle="Valor fora da faixa" error="Acúmulos: use um número inteiro de 0 a 5." type="whole" errorStyle="warning" operator="between">
      <formula1>0</formula1>
      <formula2>5</formula2>
    </dataValidation>
    <dataValidation sqref="F254" showDropDown="0" showInputMessage="0" showErrorMessage="1" allowBlank="1" errorTitle="Fora da lista" error="Quem aplicou: escolha um valor da lista. A planilha pode não reconhecer outro valor." type="list" errorStyle="warning">
      <formula1>'Combate'!$N$11:$N$32</formula1>
    </dataValidation>
    <dataValidation sqref="B255" showDropDown="0" showInputMessage="0" showErrorMessage="1" allowBlank="1" errorTitle="Fora da lista" error="Condição: escolha um valor da lista. A planilha pode não reconhecer outro valor." type="list" errorStyle="warning">
      <formula1>'Dados'!$BG$6:$BG$19</formula1>
    </dataValidation>
    <dataValidation sqref="D255" showDropDown="0" showInputMessage="0" showErrorMessage="1" allowBlank="1" errorTitle="Valor fora da faixa" error="Turnos: use um número inteiro de 0 a 20." type="whole" errorStyle="warning" operator="between">
      <formula1>0</formula1>
      <formula2>20</formula2>
    </dataValidation>
    <dataValidation sqref="E255" showDropDown="0" showInputMessage="0" showErrorMessage="1" allowBlank="1" errorTitle="Valor fora da faixa" error="Acúmulos: use um número inteiro de 0 a 5." type="whole" errorStyle="warning" operator="between">
      <formula1>0</formula1>
      <formula2>5</formula2>
    </dataValidation>
    <dataValidation sqref="F255" showDropDown="0" showInputMessage="0" showErrorMessage="1" allowBlank="1" errorTitle="Fora da lista" error="Quem aplicou: escolha um valor da lista. A planilha pode não reconhecer outro valor." type="list" errorStyle="warning">
      <formula1>'Combate'!$N$11:$N$32</formula1>
    </dataValidation>
    <dataValidation sqref="B256" showDropDown="0" showInputMessage="0" showErrorMessage="1" allowBlank="1" errorTitle="Fora da lista" error="Condição: escolha um valor da lista. A planilha pode não reconhecer outro valor." type="list" errorStyle="warning">
      <formula1>'Dados'!$BG$6:$BG$19</formula1>
    </dataValidation>
    <dataValidation sqref="D256" showDropDown="0" showInputMessage="0" showErrorMessage="1" allowBlank="1" errorTitle="Valor fora da faixa" error="Turnos: use um número inteiro de 0 a 20." type="whole" errorStyle="warning" operator="between">
      <formula1>0</formula1>
      <formula2>20</formula2>
    </dataValidation>
    <dataValidation sqref="E256" showDropDown="0" showInputMessage="0" showErrorMessage="1" allowBlank="1" errorTitle="Valor fora da faixa" error="Acúmulos: use um número inteiro de 0 a 5." type="whole" errorStyle="warning" operator="between">
      <formula1>0</formula1>
      <formula2>5</formula2>
    </dataValidation>
    <dataValidation sqref="F256" showDropDown="0" showInputMessage="0" showErrorMessage="1" allowBlank="1" errorTitle="Fora da lista" error="Quem aplicou: escolha um valor da lista. A planilha pode não reconhecer outro valor." type="list" errorStyle="warning">
      <formula1>'Combate'!$N$11:$N$32</formula1>
    </dataValidation>
    <dataValidation sqref="B257" showDropDown="0" showInputMessage="0" showErrorMessage="1" allowBlank="1" errorTitle="Fora da lista" error="Condição: escolha um valor da lista. A planilha pode não reconhecer outro valor." type="list" errorStyle="warning">
      <formula1>'Dados'!$BG$6:$BG$19</formula1>
    </dataValidation>
    <dataValidation sqref="D257" showDropDown="0" showInputMessage="0" showErrorMessage="1" allowBlank="1" errorTitle="Valor fora da faixa" error="Turnos: use um número inteiro de 0 a 20." type="whole" errorStyle="warning" operator="between">
      <formula1>0</formula1>
      <formula2>20</formula2>
    </dataValidation>
    <dataValidation sqref="E257" showDropDown="0" showInputMessage="0" showErrorMessage="1" allowBlank="1" errorTitle="Valor fora da faixa" error="Acúmulos: use um número inteiro de 0 a 5." type="whole" errorStyle="warning" operator="between">
      <formula1>0</formula1>
      <formula2>5</formula2>
    </dataValidation>
    <dataValidation sqref="F257" showDropDown="0" showInputMessage="0" showErrorMessage="1" allowBlank="1" errorTitle="Fora da lista" error="Quem aplicou: escolha um valor da lista. A planilha pode não reconhecer outro valor." type="list" errorStyle="warning">
      <formula1>'Combate'!$N$11:$N$32</formula1>
    </dataValidation>
    <dataValidation sqref="B258" showDropDown="0" showInputMessage="0" showErrorMessage="1" allowBlank="1" errorTitle="Fora da lista" error="Condição: escolha um valor da lista. A planilha pode não reconhecer outro valor." type="list" errorStyle="warning">
      <formula1>'Dados'!$BG$6:$BG$19</formula1>
    </dataValidation>
    <dataValidation sqref="D258" showDropDown="0" showInputMessage="0" showErrorMessage="1" allowBlank="1" errorTitle="Valor fora da faixa" error="Turnos: use um número inteiro de 0 a 20." type="whole" errorStyle="warning" operator="between">
      <formula1>0</formula1>
      <formula2>20</formula2>
    </dataValidation>
    <dataValidation sqref="E258" showDropDown="0" showInputMessage="0" showErrorMessage="1" allowBlank="1" errorTitle="Valor fora da faixa" error="Acúmulos: use um número inteiro de 0 a 5." type="whole" errorStyle="warning" operator="between">
      <formula1>0</formula1>
      <formula2>5</formula2>
    </dataValidation>
    <dataValidation sqref="F258" showDropDown="0" showInputMessage="0" showErrorMessage="1" allowBlank="1" errorTitle="Fora da lista" error="Quem aplicou: escolha um valor da lista. A planilha pode não reconhecer outro valor." type="list" errorStyle="warning">
      <formula1>'Combate'!$N$11:$N$32</formula1>
    </dataValidation>
    <dataValidation sqref="B259" showDropDown="0" showInputMessage="0" showErrorMessage="1" allowBlank="1" errorTitle="Fora da lista" error="Condição: escolha um valor da lista. A planilha pode não reconhecer outro valor." type="list" errorStyle="warning">
      <formula1>'Dados'!$BG$6:$BG$19</formula1>
    </dataValidation>
    <dataValidation sqref="D259" showDropDown="0" showInputMessage="0" showErrorMessage="1" allowBlank="1" errorTitle="Valor fora da faixa" error="Turnos: use um número inteiro de 0 a 20." type="whole" errorStyle="warning" operator="between">
      <formula1>0</formula1>
      <formula2>20</formula2>
    </dataValidation>
    <dataValidation sqref="E259" showDropDown="0" showInputMessage="0" showErrorMessage="1" allowBlank="1" errorTitle="Valor fora da faixa" error="Acúmulos: use um número inteiro de 0 a 5." type="whole" errorStyle="warning" operator="between">
      <formula1>0</formula1>
      <formula2>5</formula2>
    </dataValidation>
    <dataValidation sqref="F259" showDropDown="0" showInputMessage="0" showErrorMessage="1" allowBlank="1" errorTitle="Fora da lista" error="Quem aplicou: escolha um valor da lista. A planilha pode não reconhecer outro valor." type="list" errorStyle="warning">
      <formula1>'Combate'!$N$11:$N$32</formula1>
    </dataValidation>
    <dataValidation sqref="B261" showDropDown="0" showInputMessage="0" showErrorMessage="1" allowBlank="1" errorTitle="Fora da lista" error="Condição: escolha um valor da lista. A planilha pode não reconhecer outro valor." type="list" errorStyle="warning">
      <formula1>'Dados'!$BG$6:$BG$19</formula1>
    </dataValidation>
    <dataValidation sqref="D261" showDropDown="0" showInputMessage="0" showErrorMessage="1" allowBlank="1" errorTitle="Valor fora da faixa" error="Turnos: use um número inteiro de 0 a 20." type="whole" errorStyle="warning" operator="between">
      <formula1>0</formula1>
      <formula2>20</formula2>
    </dataValidation>
    <dataValidation sqref="E261" showDropDown="0" showInputMessage="0" showErrorMessage="1" allowBlank="1" errorTitle="Valor fora da faixa" error="Acúmulos: use um número inteiro de 0 a 5." type="whole" errorStyle="warning" operator="between">
      <formula1>0</formula1>
      <formula2>5</formula2>
    </dataValidation>
    <dataValidation sqref="F261" showDropDown="0" showInputMessage="0" showErrorMessage="1" allowBlank="1" errorTitle="Fora da lista" error="Quem aplicou: escolha um valor da lista. A planilha pode não reconhecer outro valor." type="list" errorStyle="warning">
      <formula1>'Combate'!$N$11:$N$32</formula1>
    </dataValidation>
    <dataValidation sqref="B262" showDropDown="0" showInputMessage="0" showErrorMessage="1" allowBlank="1" errorTitle="Fora da lista" error="Condição: escolha um valor da lista. A planilha pode não reconhecer outro valor." type="list" errorStyle="warning">
      <formula1>'Dados'!$BG$6:$BG$19</formula1>
    </dataValidation>
    <dataValidation sqref="D262" showDropDown="0" showInputMessage="0" showErrorMessage="1" allowBlank="1" errorTitle="Valor fora da faixa" error="Turnos: use um número inteiro de 0 a 20." type="whole" errorStyle="warning" operator="between">
      <formula1>0</formula1>
      <formula2>20</formula2>
    </dataValidation>
    <dataValidation sqref="E262" showDropDown="0" showInputMessage="0" showErrorMessage="1" allowBlank="1" errorTitle="Valor fora da faixa" error="Acúmulos: use um número inteiro de 0 a 5." type="whole" errorStyle="warning" operator="between">
      <formula1>0</formula1>
      <formula2>5</formula2>
    </dataValidation>
    <dataValidation sqref="F262" showDropDown="0" showInputMessage="0" showErrorMessage="1" allowBlank="1" errorTitle="Fora da lista" error="Quem aplicou: escolha um valor da lista. A planilha pode não reconhecer outro valor." type="list" errorStyle="warning">
      <formula1>'Combate'!$N$11:$N$32</formula1>
    </dataValidation>
    <dataValidation sqref="B263" showDropDown="0" showInputMessage="0" showErrorMessage="1" allowBlank="1" errorTitle="Fora da lista" error="Condição: escolha um valor da lista. A planilha pode não reconhecer outro valor." type="list" errorStyle="warning">
      <formula1>'Dados'!$BG$6:$BG$19</formula1>
    </dataValidation>
    <dataValidation sqref="D263" showDropDown="0" showInputMessage="0" showErrorMessage="1" allowBlank="1" errorTitle="Valor fora da faixa" error="Turnos: use um número inteiro de 0 a 20." type="whole" errorStyle="warning" operator="between">
      <formula1>0</formula1>
      <formula2>20</formula2>
    </dataValidation>
    <dataValidation sqref="E263" showDropDown="0" showInputMessage="0" showErrorMessage="1" allowBlank="1" errorTitle="Valor fora da faixa" error="Acúmulos: use um número inteiro de 0 a 5." type="whole" errorStyle="warning" operator="between">
      <formula1>0</formula1>
      <formula2>5</formula2>
    </dataValidation>
    <dataValidation sqref="F263" showDropDown="0" showInputMessage="0" showErrorMessage="1" allowBlank="1" errorTitle="Fora da lista" error="Quem aplicou: escolha um valor da lista. A planilha pode não reconhecer outro valor." type="list" errorStyle="warning">
      <formula1>'Combate'!$N$11:$N$32</formula1>
    </dataValidation>
    <dataValidation sqref="B264" showDropDown="0" showInputMessage="0" showErrorMessage="1" allowBlank="1" errorTitle="Fora da lista" error="Condição: escolha um valor da lista. A planilha pode não reconhecer outro valor." type="list" errorStyle="warning">
      <formula1>'Dados'!$BG$6:$BG$19</formula1>
    </dataValidation>
    <dataValidation sqref="D264" showDropDown="0" showInputMessage="0" showErrorMessage="1" allowBlank="1" errorTitle="Valor fora da faixa" error="Turnos: use um número inteiro de 0 a 20." type="whole" errorStyle="warning" operator="between">
      <formula1>0</formula1>
      <formula2>20</formula2>
    </dataValidation>
    <dataValidation sqref="E264" showDropDown="0" showInputMessage="0" showErrorMessage="1" allowBlank="1" errorTitle="Valor fora da faixa" error="Acúmulos: use um número inteiro de 0 a 5." type="whole" errorStyle="warning" operator="between">
      <formula1>0</formula1>
      <formula2>5</formula2>
    </dataValidation>
    <dataValidation sqref="F264" showDropDown="0" showInputMessage="0" showErrorMessage="1" allowBlank="1" errorTitle="Fora da lista" error="Quem aplicou: escolha um valor da lista. A planilha pode não reconhecer outro valor." type="list" errorStyle="warning">
      <formula1>'Combate'!$N$11:$N$32</formula1>
    </dataValidation>
    <dataValidation sqref="B265" showDropDown="0" showInputMessage="0" showErrorMessage="1" allowBlank="1" errorTitle="Fora da lista" error="Condição: escolha um valor da lista. A planilha pode não reconhecer outro valor." type="list" errorStyle="warning">
      <formula1>'Dados'!$BG$6:$BG$19</formula1>
    </dataValidation>
    <dataValidation sqref="D265" showDropDown="0" showInputMessage="0" showErrorMessage="1" allowBlank="1" errorTitle="Valor fora da faixa" error="Turnos: use um número inteiro de 0 a 20." type="whole" errorStyle="warning" operator="between">
      <formula1>0</formula1>
      <formula2>20</formula2>
    </dataValidation>
    <dataValidation sqref="E265" showDropDown="0" showInputMessage="0" showErrorMessage="1" allowBlank="1" errorTitle="Valor fora da faixa" error="Acúmulos: use um número inteiro de 0 a 5." type="whole" errorStyle="warning" operator="between">
      <formula1>0</formula1>
      <formula2>5</formula2>
    </dataValidation>
    <dataValidation sqref="F265" showDropDown="0" showInputMessage="0" showErrorMessage="1" allowBlank="1" errorTitle="Fora da lista" error="Quem aplicou: escolha um valor da lista. A planilha pode não reconhecer outro valor." type="list" errorStyle="warning">
      <formula1>'Combate'!$N$11:$N$32</formula1>
    </dataValidation>
    <dataValidation sqref="B266" showDropDown="0" showInputMessage="0" showErrorMessage="1" allowBlank="1" errorTitle="Fora da lista" error="Condição: escolha um valor da lista. A planilha pode não reconhecer outro valor." type="list" errorStyle="warning">
      <formula1>'Dados'!$BG$6:$BG$19</formula1>
    </dataValidation>
    <dataValidation sqref="D266" showDropDown="0" showInputMessage="0" showErrorMessage="1" allowBlank="1" errorTitle="Valor fora da faixa" error="Turnos: use um número inteiro de 0 a 20." type="whole" errorStyle="warning" operator="between">
      <formula1>0</formula1>
      <formula2>20</formula2>
    </dataValidation>
    <dataValidation sqref="E266" showDropDown="0" showInputMessage="0" showErrorMessage="1" allowBlank="1" errorTitle="Valor fora da faixa" error="Acúmulos: use um número inteiro de 0 a 5." type="whole" errorStyle="warning" operator="between">
      <formula1>0</formula1>
      <formula2>5</formula2>
    </dataValidation>
    <dataValidation sqref="F266" showDropDown="0" showInputMessage="0" showErrorMessage="1" allowBlank="1" errorTitle="Fora da lista" error="Quem aplicou: escolha um valor da lista. A planilha pode não reconhecer outro valor." type="list" errorStyle="warning">
      <formula1>'Combate'!$N$11:$N$32</formula1>
    </dataValidation>
    <dataValidation sqref="B267" showDropDown="0" showInputMessage="0" showErrorMessage="1" allowBlank="1" errorTitle="Fora da lista" error="Condição: escolha um valor da lista. A planilha pode não reconhecer outro valor." type="list" errorStyle="warning">
      <formula1>'Dados'!$BG$6:$BG$19</formula1>
    </dataValidation>
    <dataValidation sqref="D267" showDropDown="0" showInputMessage="0" showErrorMessage="1" allowBlank="1" errorTitle="Valor fora da faixa" error="Turnos: use um número inteiro de 0 a 20." type="whole" errorStyle="warning" operator="between">
      <formula1>0</formula1>
      <formula2>20</formula2>
    </dataValidation>
    <dataValidation sqref="E267" showDropDown="0" showInputMessage="0" showErrorMessage="1" allowBlank="1" errorTitle="Valor fora da faixa" error="Acúmulos: use um número inteiro de 0 a 5." type="whole" errorStyle="warning" operator="between">
      <formula1>0</formula1>
      <formula2>5</formula2>
    </dataValidation>
    <dataValidation sqref="F267" showDropDown="0" showInputMessage="0" showErrorMessage="1" allowBlank="1" errorTitle="Fora da lista" error="Quem aplicou: escolha um valor da lista. A planilha pode não reconhecer outro valor." type="list" errorStyle="warning">
      <formula1>'Combate'!$N$11:$N$32</formula1>
    </dataValidation>
    <dataValidation sqref="B268" showDropDown="0" showInputMessage="0" showErrorMessage="1" allowBlank="1" errorTitle="Fora da lista" error="Condição: escolha um valor da lista. A planilha pode não reconhecer outro valor." type="list" errorStyle="warning">
      <formula1>'Dados'!$BG$6:$BG$19</formula1>
    </dataValidation>
    <dataValidation sqref="D268" showDropDown="0" showInputMessage="0" showErrorMessage="1" allowBlank="1" errorTitle="Valor fora da faixa" error="Turnos: use um número inteiro de 0 a 20." type="whole" errorStyle="warning" operator="between">
      <formula1>0</formula1>
      <formula2>20</formula2>
    </dataValidation>
    <dataValidation sqref="E268" showDropDown="0" showInputMessage="0" showErrorMessage="1" allowBlank="1" errorTitle="Valor fora da faixa" error="Acúmulos: use um número inteiro de 0 a 5." type="whole" errorStyle="warning" operator="between">
      <formula1>0</formula1>
      <formula2>5</formula2>
    </dataValidation>
    <dataValidation sqref="F268" showDropDown="0" showInputMessage="0" showErrorMessage="1" allowBlank="1" errorTitle="Fora da lista" error="Quem aplicou: escolha um valor da lista. A planilha pode não reconhecer outro valor." type="list" errorStyle="warning">
      <formula1>'Combate'!$N$11:$N$32</formula1>
    </dataValidation>
    <dataValidation sqref="B269" showDropDown="0" showInputMessage="0" showErrorMessage="1" allowBlank="1" errorTitle="Fora da lista" error="Condição: escolha um valor da lista. A planilha pode não reconhecer outro valor." type="list" errorStyle="warning">
      <formula1>'Dados'!$BG$6:$BG$19</formula1>
    </dataValidation>
    <dataValidation sqref="D269" showDropDown="0" showInputMessage="0" showErrorMessage="1" allowBlank="1" errorTitle="Valor fora da faixa" error="Turnos: use um número inteiro de 0 a 20." type="whole" errorStyle="warning" operator="between">
      <formula1>0</formula1>
      <formula2>20</formula2>
    </dataValidation>
    <dataValidation sqref="E269" showDropDown="0" showInputMessage="0" showErrorMessage="1" allowBlank="1" errorTitle="Valor fora da faixa" error="Acúmulos: use um número inteiro de 0 a 5." type="whole" errorStyle="warning" operator="between">
      <formula1>0</formula1>
      <formula2>5</formula2>
    </dataValidation>
    <dataValidation sqref="F269" showDropDown="0" showInputMessage="0" showErrorMessage="1" allowBlank="1" errorTitle="Fora da lista" error="Quem aplicou: escolha um valor da lista. A planilha pode não reconhecer outro valor." type="list" errorStyle="warning">
      <formula1>'Combate'!$N$11:$N$32</formula1>
    </dataValidation>
    <dataValidation sqref="B270" showDropDown="0" showInputMessage="0" showErrorMessage="1" allowBlank="1" errorTitle="Fora da lista" error="Condição: escolha um valor da lista. A planilha pode não reconhecer outro valor." type="list" errorStyle="warning">
      <formula1>'Dados'!$BG$6:$BG$19</formula1>
    </dataValidation>
    <dataValidation sqref="D270" showDropDown="0" showInputMessage="0" showErrorMessage="1" allowBlank="1" errorTitle="Valor fora da faixa" error="Turnos: use um número inteiro de 0 a 20." type="whole" errorStyle="warning" operator="between">
      <formula1>0</formula1>
      <formula2>20</formula2>
    </dataValidation>
    <dataValidation sqref="E270" showDropDown="0" showInputMessage="0" showErrorMessage="1" allowBlank="1" errorTitle="Valor fora da faixa" error="Acúmulos: use um número inteiro de 0 a 5." type="whole" errorStyle="warning" operator="between">
      <formula1>0</formula1>
      <formula2>5</formula2>
    </dataValidation>
    <dataValidation sqref="F270" showDropDown="0" showInputMessage="0" showErrorMessage="1" allowBlank="1" errorTitle="Fora da lista" error="Quem aplicou: escolha um valor da lista. A planilha pode não reconhecer outro valor." type="list" errorStyle="warning">
      <formula1>'Combate'!$N$11:$N$32</formula1>
    </dataValidation>
    <dataValidation sqref="B271" showDropDown="0" showInputMessage="0" showErrorMessage="1" allowBlank="1" errorTitle="Fora da lista" error="Condição: escolha um valor da lista. A planilha pode não reconhecer outro valor." type="list" errorStyle="warning">
      <formula1>'Dados'!$BG$6:$BG$19</formula1>
    </dataValidation>
    <dataValidation sqref="D271" showDropDown="0" showInputMessage="0" showErrorMessage="1" allowBlank="1" errorTitle="Valor fora da faixa" error="Turnos: use um número inteiro de 0 a 20." type="whole" errorStyle="warning" operator="between">
      <formula1>0</formula1>
      <formula2>20</formula2>
    </dataValidation>
    <dataValidation sqref="E271" showDropDown="0" showInputMessage="0" showErrorMessage="1" allowBlank="1" errorTitle="Valor fora da faixa" error="Acúmulos: use um número inteiro de 0 a 5." type="whole" errorStyle="warning" operator="between">
      <formula1>0</formula1>
      <formula2>5</formula2>
    </dataValidation>
    <dataValidation sqref="F271" showDropDown="0" showInputMessage="0" showErrorMessage="1" allowBlank="1" errorTitle="Fora da lista" error="Quem aplicou: escolha um valor da lista. A planilha pode não reconhecer outro valor." type="list" errorStyle="warning">
      <formula1>'Combate'!$N$11:$N$32</formula1>
    </dataValidation>
    <dataValidation sqref="B272" showDropDown="0" showInputMessage="0" showErrorMessage="1" allowBlank="1" errorTitle="Fora da lista" error="Condição: escolha um valor da lista. A planilha pode não reconhecer outro valor." type="list" errorStyle="warning">
      <formula1>'Dados'!$BG$6:$BG$19</formula1>
    </dataValidation>
    <dataValidation sqref="D272" showDropDown="0" showInputMessage="0" showErrorMessage="1" allowBlank="1" errorTitle="Valor fora da faixa" error="Turnos: use um número inteiro de 0 a 20." type="whole" errorStyle="warning" operator="between">
      <formula1>0</formula1>
      <formula2>20</formula2>
    </dataValidation>
    <dataValidation sqref="E272" showDropDown="0" showInputMessage="0" showErrorMessage="1" allowBlank="1" errorTitle="Valor fora da faixa" error="Acúmulos: use um número inteiro de 0 a 5." type="whole" errorStyle="warning" operator="between">
      <formula1>0</formula1>
      <formula2>5</formula2>
    </dataValidation>
    <dataValidation sqref="F272" showDropDown="0" showInputMessage="0" showErrorMessage="1" allowBlank="1" errorTitle="Fora da lista" error="Quem aplicou: escolha um valor da lista. A planilha pode não reconhecer outro valor." type="list" errorStyle="warning">
      <formula1>'Combate'!$N$11:$N$32</formula1>
    </dataValidation>
    <dataValidation sqref="B274" showDropDown="0" showInputMessage="0" showErrorMessage="1" allowBlank="1" errorTitle="Fora da lista" error="Condição: escolha um valor da lista. A planilha pode não reconhecer outro valor." type="list" errorStyle="warning">
      <formula1>'Dados'!$BG$6:$BG$19</formula1>
    </dataValidation>
    <dataValidation sqref="D274" showDropDown="0" showInputMessage="0" showErrorMessage="1" allowBlank="1" errorTitle="Valor fora da faixa" error="Turnos: use um número inteiro de 0 a 20." type="whole" errorStyle="warning" operator="between">
      <formula1>0</formula1>
      <formula2>20</formula2>
    </dataValidation>
    <dataValidation sqref="E274" showDropDown="0" showInputMessage="0" showErrorMessage="1" allowBlank="1" errorTitle="Valor fora da faixa" error="Acúmulos: use um número inteiro de 0 a 5." type="whole" errorStyle="warning" operator="between">
      <formula1>0</formula1>
      <formula2>5</formula2>
    </dataValidation>
    <dataValidation sqref="F274" showDropDown="0" showInputMessage="0" showErrorMessage="1" allowBlank="1" errorTitle="Fora da lista" error="Quem aplicou: escolha um valor da lista. A planilha pode não reconhecer outro valor." type="list" errorStyle="warning">
      <formula1>'Combate'!$N$11:$N$32</formula1>
    </dataValidation>
    <dataValidation sqref="B275" showDropDown="0" showInputMessage="0" showErrorMessage="1" allowBlank="1" errorTitle="Fora da lista" error="Condição: escolha um valor da lista. A planilha pode não reconhecer outro valor." type="list" errorStyle="warning">
      <formula1>'Dados'!$BG$6:$BG$19</formula1>
    </dataValidation>
    <dataValidation sqref="D275" showDropDown="0" showInputMessage="0" showErrorMessage="1" allowBlank="1" errorTitle="Valor fora da faixa" error="Turnos: use um número inteiro de 0 a 20." type="whole" errorStyle="warning" operator="between">
      <formula1>0</formula1>
      <formula2>20</formula2>
    </dataValidation>
    <dataValidation sqref="E275" showDropDown="0" showInputMessage="0" showErrorMessage="1" allowBlank="1" errorTitle="Valor fora da faixa" error="Acúmulos: use um número inteiro de 0 a 5." type="whole" errorStyle="warning" operator="between">
      <formula1>0</formula1>
      <formula2>5</formula2>
    </dataValidation>
    <dataValidation sqref="F275" showDropDown="0" showInputMessage="0" showErrorMessage="1" allowBlank="1" errorTitle="Fora da lista" error="Quem aplicou: escolha um valor da lista. A planilha pode não reconhecer outro valor." type="list" errorStyle="warning">
      <formula1>'Combate'!$N$11:$N$32</formula1>
    </dataValidation>
    <dataValidation sqref="B276" showDropDown="0" showInputMessage="0" showErrorMessage="1" allowBlank="1" errorTitle="Fora da lista" error="Condição: escolha um valor da lista. A planilha pode não reconhecer outro valor." type="list" errorStyle="warning">
      <formula1>'Dados'!$BG$6:$BG$19</formula1>
    </dataValidation>
    <dataValidation sqref="D276" showDropDown="0" showInputMessage="0" showErrorMessage="1" allowBlank="1" errorTitle="Valor fora da faixa" error="Turnos: use um número inteiro de 0 a 20." type="whole" errorStyle="warning" operator="between">
      <formula1>0</formula1>
      <formula2>20</formula2>
    </dataValidation>
    <dataValidation sqref="E276" showDropDown="0" showInputMessage="0" showErrorMessage="1" allowBlank="1" errorTitle="Valor fora da faixa" error="Acúmulos: use um número inteiro de 0 a 5." type="whole" errorStyle="warning" operator="between">
      <formula1>0</formula1>
      <formula2>5</formula2>
    </dataValidation>
    <dataValidation sqref="F276" showDropDown="0" showInputMessage="0" showErrorMessage="1" allowBlank="1" errorTitle="Fora da lista" error="Quem aplicou: escolha um valor da lista. A planilha pode não reconhecer outro valor." type="list" errorStyle="warning">
      <formula1>'Combate'!$N$11:$N$32</formula1>
    </dataValidation>
    <dataValidation sqref="B277" showDropDown="0" showInputMessage="0" showErrorMessage="1" allowBlank="1" errorTitle="Fora da lista" error="Condição: escolha um valor da lista. A planilha pode não reconhecer outro valor." type="list" errorStyle="warning">
      <formula1>'Dados'!$BG$6:$BG$19</formula1>
    </dataValidation>
    <dataValidation sqref="D277" showDropDown="0" showInputMessage="0" showErrorMessage="1" allowBlank="1" errorTitle="Valor fora da faixa" error="Turnos: use um número inteiro de 0 a 20." type="whole" errorStyle="warning" operator="between">
      <formula1>0</formula1>
      <formula2>20</formula2>
    </dataValidation>
    <dataValidation sqref="E277" showDropDown="0" showInputMessage="0" showErrorMessage="1" allowBlank="1" errorTitle="Valor fora da faixa" error="Acúmulos: use um número inteiro de 0 a 5." type="whole" errorStyle="warning" operator="between">
      <formula1>0</formula1>
      <formula2>5</formula2>
    </dataValidation>
    <dataValidation sqref="F277" showDropDown="0" showInputMessage="0" showErrorMessage="1" allowBlank="1" errorTitle="Fora da lista" error="Quem aplicou: escolha um valor da lista. A planilha pode não reconhecer outro valor." type="list" errorStyle="warning">
      <formula1>'Combate'!$N$11:$N$32</formula1>
    </dataValidation>
    <dataValidation sqref="B278" showDropDown="0" showInputMessage="0" showErrorMessage="1" allowBlank="1" errorTitle="Fora da lista" error="Condição: escolha um valor da lista. A planilha pode não reconhecer outro valor." type="list" errorStyle="warning">
      <formula1>'Dados'!$BG$6:$BG$19</formula1>
    </dataValidation>
    <dataValidation sqref="D278" showDropDown="0" showInputMessage="0" showErrorMessage="1" allowBlank="1" errorTitle="Valor fora da faixa" error="Turnos: use um número inteiro de 0 a 20." type="whole" errorStyle="warning" operator="between">
      <formula1>0</formula1>
      <formula2>20</formula2>
    </dataValidation>
    <dataValidation sqref="E278" showDropDown="0" showInputMessage="0" showErrorMessage="1" allowBlank="1" errorTitle="Valor fora da faixa" error="Acúmulos: use um número inteiro de 0 a 5." type="whole" errorStyle="warning" operator="between">
      <formula1>0</formula1>
      <formula2>5</formula2>
    </dataValidation>
    <dataValidation sqref="F278" showDropDown="0" showInputMessage="0" showErrorMessage="1" allowBlank="1" errorTitle="Fora da lista" error="Quem aplicou: escolha um valor da lista. A planilha pode não reconhecer outro valor." type="list" errorStyle="warning">
      <formula1>'Combate'!$N$11:$N$32</formula1>
    </dataValidation>
    <dataValidation sqref="B279" showDropDown="0" showInputMessage="0" showErrorMessage="1" allowBlank="1" errorTitle="Fora da lista" error="Condição: escolha um valor da lista. A planilha pode não reconhecer outro valor." type="list" errorStyle="warning">
      <formula1>'Dados'!$BG$6:$BG$19</formula1>
    </dataValidation>
    <dataValidation sqref="D279" showDropDown="0" showInputMessage="0" showErrorMessage="1" allowBlank="1" errorTitle="Valor fora da faixa" error="Turnos: use um número inteiro de 0 a 20." type="whole" errorStyle="warning" operator="between">
      <formula1>0</formula1>
      <formula2>20</formula2>
    </dataValidation>
    <dataValidation sqref="E279" showDropDown="0" showInputMessage="0" showErrorMessage="1" allowBlank="1" errorTitle="Valor fora da faixa" error="Acúmulos: use um número inteiro de 0 a 5." type="whole" errorStyle="warning" operator="between">
      <formula1>0</formula1>
      <formula2>5</formula2>
    </dataValidation>
    <dataValidation sqref="F279" showDropDown="0" showInputMessage="0" showErrorMessage="1" allowBlank="1" errorTitle="Fora da lista" error="Quem aplicou: escolha um valor da lista. A planilha pode não reconhecer outro valor." type="list" errorStyle="warning">
      <formula1>'Combate'!$N$11:$N$32</formula1>
    </dataValidation>
    <dataValidation sqref="B280" showDropDown="0" showInputMessage="0" showErrorMessage="1" allowBlank="1" errorTitle="Fora da lista" error="Condição: escolha um valor da lista. A planilha pode não reconhecer outro valor." type="list" errorStyle="warning">
      <formula1>'Dados'!$BG$6:$BG$19</formula1>
    </dataValidation>
    <dataValidation sqref="D280" showDropDown="0" showInputMessage="0" showErrorMessage="1" allowBlank="1" errorTitle="Valor fora da faixa" error="Turnos: use um número inteiro de 0 a 20." type="whole" errorStyle="warning" operator="between">
      <formula1>0</formula1>
      <formula2>20</formula2>
    </dataValidation>
    <dataValidation sqref="E280" showDropDown="0" showInputMessage="0" showErrorMessage="1" allowBlank="1" errorTitle="Valor fora da faixa" error="Acúmulos: use um número inteiro de 0 a 5." type="whole" errorStyle="warning" operator="between">
      <formula1>0</formula1>
      <formula2>5</formula2>
    </dataValidation>
    <dataValidation sqref="F280" showDropDown="0" showInputMessage="0" showErrorMessage="1" allowBlank="1" errorTitle="Fora da lista" error="Quem aplicou: escolha um valor da lista. A planilha pode não reconhecer outro valor." type="list" errorStyle="warning">
      <formula1>'Combate'!$N$11:$N$32</formula1>
    </dataValidation>
    <dataValidation sqref="B281" showDropDown="0" showInputMessage="0" showErrorMessage="1" allowBlank="1" errorTitle="Fora da lista" error="Condição: escolha um valor da lista. A planilha pode não reconhecer outro valor." type="list" errorStyle="warning">
      <formula1>'Dados'!$BG$6:$BG$19</formula1>
    </dataValidation>
    <dataValidation sqref="D281" showDropDown="0" showInputMessage="0" showErrorMessage="1" allowBlank="1" errorTitle="Valor fora da faixa" error="Turnos: use um número inteiro de 0 a 20." type="whole" errorStyle="warning" operator="between">
      <formula1>0</formula1>
      <formula2>20</formula2>
    </dataValidation>
    <dataValidation sqref="E281" showDropDown="0" showInputMessage="0" showErrorMessage="1" allowBlank="1" errorTitle="Valor fora da faixa" error="Acúmulos: use um número inteiro de 0 a 5." type="whole" errorStyle="warning" operator="between">
      <formula1>0</formula1>
      <formula2>5</formula2>
    </dataValidation>
    <dataValidation sqref="F281" showDropDown="0" showInputMessage="0" showErrorMessage="1" allowBlank="1" errorTitle="Fora da lista" error="Quem aplicou: escolha um valor da lista. A planilha pode não reconhecer outro valor." type="list" errorStyle="warning">
      <formula1>'Combate'!$N$11:$N$32</formula1>
    </dataValidation>
    <dataValidation sqref="B282" showDropDown="0" showInputMessage="0" showErrorMessage="1" allowBlank="1" errorTitle="Fora da lista" error="Condição: escolha um valor da lista. A planilha pode não reconhecer outro valor." type="list" errorStyle="warning">
      <formula1>'Dados'!$BG$6:$BG$19</formula1>
    </dataValidation>
    <dataValidation sqref="D282" showDropDown="0" showInputMessage="0" showErrorMessage="1" allowBlank="1" errorTitle="Valor fora da faixa" error="Turnos: use um número inteiro de 0 a 20." type="whole" errorStyle="warning" operator="between">
      <formula1>0</formula1>
      <formula2>20</formula2>
    </dataValidation>
    <dataValidation sqref="E282" showDropDown="0" showInputMessage="0" showErrorMessage="1" allowBlank="1" errorTitle="Valor fora da faixa" error="Acúmulos: use um número inteiro de 0 a 5." type="whole" errorStyle="warning" operator="between">
      <formula1>0</formula1>
      <formula2>5</formula2>
    </dataValidation>
    <dataValidation sqref="F282" showDropDown="0" showInputMessage="0" showErrorMessage="1" allowBlank="1" errorTitle="Fora da lista" error="Quem aplicou: escolha um valor da lista. A planilha pode não reconhecer outro valor." type="list" errorStyle="warning">
      <formula1>'Combate'!$N$11:$N$32</formula1>
    </dataValidation>
    <dataValidation sqref="B283" showDropDown="0" showInputMessage="0" showErrorMessage="1" allowBlank="1" errorTitle="Fora da lista" error="Condição: escolha um valor da lista. A planilha pode não reconhecer outro valor." type="list" errorStyle="warning">
      <formula1>'Dados'!$BG$6:$BG$19</formula1>
    </dataValidation>
    <dataValidation sqref="D283" showDropDown="0" showInputMessage="0" showErrorMessage="1" allowBlank="1" errorTitle="Valor fora da faixa" error="Turnos: use um número inteiro de 0 a 20." type="whole" errorStyle="warning" operator="between">
      <formula1>0</formula1>
      <formula2>20</formula2>
    </dataValidation>
    <dataValidation sqref="E283" showDropDown="0" showInputMessage="0" showErrorMessage="1" allowBlank="1" errorTitle="Valor fora da faixa" error="Acúmulos: use um número inteiro de 0 a 5." type="whole" errorStyle="warning" operator="between">
      <formula1>0</formula1>
      <formula2>5</formula2>
    </dataValidation>
    <dataValidation sqref="F283" showDropDown="0" showInputMessage="0" showErrorMessage="1" allowBlank="1" errorTitle="Fora da lista" error="Quem aplicou: escolha um valor da lista. A planilha pode não reconhecer outro valor." type="list" errorStyle="warning">
      <formula1>'Combate'!$N$11:$N$32</formula1>
    </dataValidation>
    <dataValidation sqref="B284" showDropDown="0" showInputMessage="0" showErrorMessage="1" allowBlank="1" errorTitle="Fora da lista" error="Condição: escolha um valor da lista. A planilha pode não reconhecer outro valor." type="list" errorStyle="warning">
      <formula1>'Dados'!$BG$6:$BG$19</formula1>
    </dataValidation>
    <dataValidation sqref="D284" showDropDown="0" showInputMessage="0" showErrorMessage="1" allowBlank="1" errorTitle="Valor fora da faixa" error="Turnos: use um número inteiro de 0 a 20." type="whole" errorStyle="warning" operator="between">
      <formula1>0</formula1>
      <formula2>20</formula2>
    </dataValidation>
    <dataValidation sqref="E284" showDropDown="0" showInputMessage="0" showErrorMessage="1" allowBlank="1" errorTitle="Valor fora da faixa" error="Acúmulos: use um número inteiro de 0 a 5." type="whole" errorStyle="warning" operator="between">
      <formula1>0</formula1>
      <formula2>5</formula2>
    </dataValidation>
    <dataValidation sqref="F284" showDropDown="0" showInputMessage="0" showErrorMessage="1" allowBlank="1" errorTitle="Fora da lista" error="Quem aplicou: escolha um valor da lista. A planilha pode não reconhecer outro valor." type="list" errorStyle="warning">
      <formula1>'Combate'!$N$11:$N$32</formula1>
    </dataValidation>
    <dataValidation sqref="B285" showDropDown="0" showInputMessage="0" showErrorMessage="1" allowBlank="1" errorTitle="Fora da lista" error="Condição: escolha um valor da lista. A planilha pode não reconhecer outro valor." type="list" errorStyle="warning">
      <formula1>'Dados'!$BG$6:$BG$19</formula1>
    </dataValidation>
    <dataValidation sqref="D285" showDropDown="0" showInputMessage="0" showErrorMessage="1" allowBlank="1" errorTitle="Valor fora da faixa" error="Turnos: use um número inteiro de 0 a 20." type="whole" errorStyle="warning" operator="between">
      <formula1>0</formula1>
      <formula2>20</formula2>
    </dataValidation>
    <dataValidation sqref="E285" showDropDown="0" showInputMessage="0" showErrorMessage="1" allowBlank="1" errorTitle="Valor fora da faixa" error="Acúmulos: use um número inteiro de 0 a 5." type="whole" errorStyle="warning" operator="between">
      <formula1>0</formula1>
      <formula2>5</formula2>
    </dataValidation>
    <dataValidation sqref="F285" showDropDown="0" showInputMessage="0" showErrorMessage="1" allowBlank="1" errorTitle="Fora da lista" error="Quem aplicou: escolha um valor da lista. A planilha pode não reconhecer outro valor." type="list" errorStyle="warning">
      <formula1>'Combate'!$N$11:$N$32</formula1>
    </dataValidation>
    <dataValidation sqref="B287" showDropDown="0" showInputMessage="0" showErrorMessage="1" allowBlank="1" errorTitle="Fora da lista" error="Condição: escolha um valor da lista. A planilha pode não reconhecer outro valor." type="list" errorStyle="warning">
      <formula1>'Dados'!$BG$6:$BG$19</formula1>
    </dataValidation>
    <dataValidation sqref="D287" showDropDown="0" showInputMessage="0" showErrorMessage="1" allowBlank="1" errorTitle="Valor fora da faixa" error="Turnos: use um número inteiro de 0 a 20." type="whole" errorStyle="warning" operator="between">
      <formula1>0</formula1>
      <formula2>20</formula2>
    </dataValidation>
    <dataValidation sqref="E287" showDropDown="0" showInputMessage="0" showErrorMessage="1" allowBlank="1" errorTitle="Valor fora da faixa" error="Acúmulos: use um número inteiro de 0 a 5." type="whole" errorStyle="warning" operator="between">
      <formula1>0</formula1>
      <formula2>5</formula2>
    </dataValidation>
    <dataValidation sqref="F287" showDropDown="0" showInputMessage="0" showErrorMessage="1" allowBlank="1" errorTitle="Fora da lista" error="Quem aplicou: escolha um valor da lista. A planilha pode não reconhecer outro valor." type="list" errorStyle="warning">
      <formula1>'Combate'!$N$11:$N$32</formula1>
    </dataValidation>
    <dataValidation sqref="B288" showDropDown="0" showInputMessage="0" showErrorMessage="1" allowBlank="1" errorTitle="Fora da lista" error="Condição: escolha um valor da lista. A planilha pode não reconhecer outro valor." type="list" errorStyle="warning">
      <formula1>'Dados'!$BG$6:$BG$19</formula1>
    </dataValidation>
    <dataValidation sqref="D288" showDropDown="0" showInputMessage="0" showErrorMessage="1" allowBlank="1" errorTitle="Valor fora da faixa" error="Turnos: use um número inteiro de 0 a 20." type="whole" errorStyle="warning" operator="between">
      <formula1>0</formula1>
      <formula2>20</formula2>
    </dataValidation>
    <dataValidation sqref="E288" showDropDown="0" showInputMessage="0" showErrorMessage="1" allowBlank="1" errorTitle="Valor fora da faixa" error="Acúmulos: use um número inteiro de 0 a 5." type="whole" errorStyle="warning" operator="between">
      <formula1>0</formula1>
      <formula2>5</formula2>
    </dataValidation>
    <dataValidation sqref="F288" showDropDown="0" showInputMessage="0" showErrorMessage="1" allowBlank="1" errorTitle="Fora da lista" error="Quem aplicou: escolha um valor da lista. A planilha pode não reconhecer outro valor." type="list" errorStyle="warning">
      <formula1>'Combate'!$N$11:$N$32</formula1>
    </dataValidation>
    <dataValidation sqref="B289" showDropDown="0" showInputMessage="0" showErrorMessage="1" allowBlank="1" errorTitle="Fora da lista" error="Condição: escolha um valor da lista. A planilha pode não reconhecer outro valor." type="list" errorStyle="warning">
      <formula1>'Dados'!$BG$6:$BG$19</formula1>
    </dataValidation>
    <dataValidation sqref="D289" showDropDown="0" showInputMessage="0" showErrorMessage="1" allowBlank="1" errorTitle="Valor fora da faixa" error="Turnos: use um número inteiro de 0 a 20." type="whole" errorStyle="warning" operator="between">
      <formula1>0</formula1>
      <formula2>20</formula2>
    </dataValidation>
    <dataValidation sqref="E289" showDropDown="0" showInputMessage="0" showErrorMessage="1" allowBlank="1" errorTitle="Valor fora da faixa" error="Acúmulos: use um número inteiro de 0 a 5." type="whole" errorStyle="warning" operator="between">
      <formula1>0</formula1>
      <formula2>5</formula2>
    </dataValidation>
    <dataValidation sqref="F289" showDropDown="0" showInputMessage="0" showErrorMessage="1" allowBlank="1" errorTitle="Fora da lista" error="Quem aplicou: escolha um valor da lista. A planilha pode não reconhecer outro valor." type="list" errorStyle="warning">
      <formula1>'Combate'!$N$11:$N$32</formula1>
    </dataValidation>
    <dataValidation sqref="B290" showDropDown="0" showInputMessage="0" showErrorMessage="1" allowBlank="1" errorTitle="Fora da lista" error="Condição: escolha um valor da lista. A planilha pode não reconhecer outro valor." type="list" errorStyle="warning">
      <formula1>'Dados'!$BG$6:$BG$19</formula1>
    </dataValidation>
    <dataValidation sqref="D290" showDropDown="0" showInputMessage="0" showErrorMessage="1" allowBlank="1" errorTitle="Valor fora da faixa" error="Turnos: use um número inteiro de 0 a 20." type="whole" errorStyle="warning" operator="between">
      <formula1>0</formula1>
      <formula2>20</formula2>
    </dataValidation>
    <dataValidation sqref="E290" showDropDown="0" showInputMessage="0" showErrorMessage="1" allowBlank="1" errorTitle="Valor fora da faixa" error="Acúmulos: use um número inteiro de 0 a 5." type="whole" errorStyle="warning" operator="between">
      <formula1>0</formula1>
      <formula2>5</formula2>
    </dataValidation>
    <dataValidation sqref="F290" showDropDown="0" showInputMessage="0" showErrorMessage="1" allowBlank="1" errorTitle="Fora da lista" error="Quem aplicou: escolha um valor da lista. A planilha pode não reconhecer outro valor." type="list" errorStyle="warning">
      <formula1>'Combate'!$N$11:$N$32</formula1>
    </dataValidation>
    <dataValidation sqref="B291" showDropDown="0" showInputMessage="0" showErrorMessage="1" allowBlank="1" errorTitle="Fora da lista" error="Condição: escolha um valor da lista. A planilha pode não reconhecer outro valor." type="list" errorStyle="warning">
      <formula1>'Dados'!$BG$6:$BG$19</formula1>
    </dataValidation>
    <dataValidation sqref="D291" showDropDown="0" showInputMessage="0" showErrorMessage="1" allowBlank="1" errorTitle="Valor fora da faixa" error="Turnos: use um número inteiro de 0 a 20." type="whole" errorStyle="warning" operator="between">
      <formula1>0</formula1>
      <formula2>20</formula2>
    </dataValidation>
    <dataValidation sqref="E291" showDropDown="0" showInputMessage="0" showErrorMessage="1" allowBlank="1" errorTitle="Valor fora da faixa" error="Acúmulos: use um número inteiro de 0 a 5." type="whole" errorStyle="warning" operator="between">
      <formula1>0</formula1>
      <formula2>5</formula2>
    </dataValidation>
    <dataValidation sqref="F291" showDropDown="0" showInputMessage="0" showErrorMessage="1" allowBlank="1" errorTitle="Fora da lista" error="Quem aplicou: escolha um valor da lista. A planilha pode não reconhecer outro valor." type="list" errorStyle="warning">
      <formula1>'Combate'!$N$11:$N$32</formula1>
    </dataValidation>
    <dataValidation sqref="B292" showDropDown="0" showInputMessage="0" showErrorMessage="1" allowBlank="1" errorTitle="Fora da lista" error="Condição: escolha um valor da lista. A planilha pode não reconhecer outro valor." type="list" errorStyle="warning">
      <formula1>'Dados'!$BG$6:$BG$19</formula1>
    </dataValidation>
    <dataValidation sqref="D292" showDropDown="0" showInputMessage="0" showErrorMessage="1" allowBlank="1" errorTitle="Valor fora da faixa" error="Turnos: use um número inteiro de 0 a 20." type="whole" errorStyle="warning" operator="between">
      <formula1>0</formula1>
      <formula2>20</formula2>
    </dataValidation>
    <dataValidation sqref="E292" showDropDown="0" showInputMessage="0" showErrorMessage="1" allowBlank="1" errorTitle="Valor fora da faixa" error="Acúmulos: use um número inteiro de 0 a 5." type="whole" errorStyle="warning" operator="between">
      <formula1>0</formula1>
      <formula2>5</formula2>
    </dataValidation>
    <dataValidation sqref="F292" showDropDown="0" showInputMessage="0" showErrorMessage="1" allowBlank="1" errorTitle="Fora da lista" error="Quem aplicou: escolha um valor da lista. A planilha pode não reconhecer outro valor." type="list" errorStyle="warning">
      <formula1>'Combate'!$N$11:$N$32</formula1>
    </dataValidation>
    <dataValidation sqref="B293" showDropDown="0" showInputMessage="0" showErrorMessage="1" allowBlank="1" errorTitle="Fora da lista" error="Condição: escolha um valor da lista. A planilha pode não reconhecer outro valor." type="list" errorStyle="warning">
      <formula1>'Dados'!$BG$6:$BG$19</formula1>
    </dataValidation>
    <dataValidation sqref="D293" showDropDown="0" showInputMessage="0" showErrorMessage="1" allowBlank="1" errorTitle="Valor fora da faixa" error="Turnos: use um número inteiro de 0 a 20." type="whole" errorStyle="warning" operator="between">
      <formula1>0</formula1>
      <formula2>20</formula2>
    </dataValidation>
    <dataValidation sqref="E293" showDropDown="0" showInputMessage="0" showErrorMessage="1" allowBlank="1" errorTitle="Valor fora da faixa" error="Acúmulos: use um número inteiro de 0 a 5." type="whole" errorStyle="warning" operator="between">
      <formula1>0</formula1>
      <formula2>5</formula2>
    </dataValidation>
    <dataValidation sqref="F293" showDropDown="0" showInputMessage="0" showErrorMessage="1" allowBlank="1" errorTitle="Fora da lista" error="Quem aplicou: escolha um valor da lista. A planilha pode não reconhecer outro valor." type="list" errorStyle="warning">
      <formula1>'Combate'!$N$11:$N$32</formula1>
    </dataValidation>
    <dataValidation sqref="B294" showDropDown="0" showInputMessage="0" showErrorMessage="1" allowBlank="1" errorTitle="Fora da lista" error="Condição: escolha um valor da lista. A planilha pode não reconhecer outro valor." type="list" errorStyle="warning">
      <formula1>'Dados'!$BG$6:$BG$19</formula1>
    </dataValidation>
    <dataValidation sqref="D294" showDropDown="0" showInputMessage="0" showErrorMessage="1" allowBlank="1" errorTitle="Valor fora da faixa" error="Turnos: use um número inteiro de 0 a 20." type="whole" errorStyle="warning" operator="between">
      <formula1>0</formula1>
      <formula2>20</formula2>
    </dataValidation>
    <dataValidation sqref="E294" showDropDown="0" showInputMessage="0" showErrorMessage="1" allowBlank="1" errorTitle="Valor fora da faixa" error="Acúmulos: use um número inteiro de 0 a 5." type="whole" errorStyle="warning" operator="between">
      <formula1>0</formula1>
      <formula2>5</formula2>
    </dataValidation>
    <dataValidation sqref="F294" showDropDown="0" showInputMessage="0" showErrorMessage="1" allowBlank="1" errorTitle="Fora da lista" error="Quem aplicou: escolha um valor da lista. A planilha pode não reconhecer outro valor." type="list" errorStyle="warning">
      <formula1>'Combate'!$N$11:$N$32</formula1>
    </dataValidation>
    <dataValidation sqref="B295" showDropDown="0" showInputMessage="0" showErrorMessage="1" allowBlank="1" errorTitle="Fora da lista" error="Condição: escolha um valor da lista. A planilha pode não reconhecer outro valor." type="list" errorStyle="warning">
      <formula1>'Dados'!$BG$6:$BG$19</formula1>
    </dataValidation>
    <dataValidation sqref="D295" showDropDown="0" showInputMessage="0" showErrorMessage="1" allowBlank="1" errorTitle="Valor fora da faixa" error="Turnos: use um número inteiro de 0 a 20." type="whole" errorStyle="warning" operator="between">
      <formula1>0</formula1>
      <formula2>20</formula2>
    </dataValidation>
    <dataValidation sqref="E295" showDropDown="0" showInputMessage="0" showErrorMessage="1" allowBlank="1" errorTitle="Valor fora da faixa" error="Acúmulos: use um número inteiro de 0 a 5." type="whole" errorStyle="warning" operator="between">
      <formula1>0</formula1>
      <formula2>5</formula2>
    </dataValidation>
    <dataValidation sqref="F295" showDropDown="0" showInputMessage="0" showErrorMessage="1" allowBlank="1" errorTitle="Fora da lista" error="Quem aplicou: escolha um valor da lista. A planilha pode não reconhecer outro valor." type="list" errorStyle="warning">
      <formula1>'Combate'!$N$11:$N$32</formula1>
    </dataValidation>
    <dataValidation sqref="B296" showDropDown="0" showInputMessage="0" showErrorMessage="1" allowBlank="1" errorTitle="Fora da lista" error="Condição: escolha um valor da lista. A planilha pode não reconhecer outro valor." type="list" errorStyle="warning">
      <formula1>'Dados'!$BG$6:$BG$19</formula1>
    </dataValidation>
    <dataValidation sqref="D296" showDropDown="0" showInputMessage="0" showErrorMessage="1" allowBlank="1" errorTitle="Valor fora da faixa" error="Turnos: use um número inteiro de 0 a 20." type="whole" errorStyle="warning" operator="between">
      <formula1>0</formula1>
      <formula2>20</formula2>
    </dataValidation>
    <dataValidation sqref="E296" showDropDown="0" showInputMessage="0" showErrorMessage="1" allowBlank="1" errorTitle="Valor fora da faixa" error="Acúmulos: use um número inteiro de 0 a 5." type="whole" errorStyle="warning" operator="between">
      <formula1>0</formula1>
      <formula2>5</formula2>
    </dataValidation>
    <dataValidation sqref="F296" showDropDown="0" showInputMessage="0" showErrorMessage="1" allowBlank="1" errorTitle="Fora da lista" error="Quem aplicou: escolha um valor da lista. A planilha pode não reconhecer outro valor." type="list" errorStyle="warning">
      <formula1>'Combate'!$N$11:$N$32</formula1>
    </dataValidation>
    <dataValidation sqref="B297" showDropDown="0" showInputMessage="0" showErrorMessage="1" allowBlank="1" errorTitle="Fora da lista" error="Condição: escolha um valor da lista. A planilha pode não reconhecer outro valor." type="list" errorStyle="warning">
      <formula1>'Dados'!$BG$6:$BG$19</formula1>
    </dataValidation>
    <dataValidation sqref="D297" showDropDown="0" showInputMessage="0" showErrorMessage="1" allowBlank="1" errorTitle="Valor fora da faixa" error="Turnos: use um número inteiro de 0 a 20." type="whole" errorStyle="warning" operator="between">
      <formula1>0</formula1>
      <formula2>20</formula2>
    </dataValidation>
    <dataValidation sqref="E297" showDropDown="0" showInputMessage="0" showErrorMessage="1" allowBlank="1" errorTitle="Valor fora da faixa" error="Acúmulos: use um número inteiro de 0 a 5." type="whole" errorStyle="warning" operator="between">
      <formula1>0</formula1>
      <formula2>5</formula2>
    </dataValidation>
    <dataValidation sqref="F297" showDropDown="0" showInputMessage="0" showErrorMessage="1" allowBlank="1" errorTitle="Fora da lista" error="Quem aplicou: escolha um valor da lista. A planilha pode não reconhecer outro valor." type="list" errorStyle="warning">
      <formula1>'Combate'!$N$11:$N$32</formula1>
    </dataValidation>
    <dataValidation sqref="B298" showDropDown="0" showInputMessage="0" showErrorMessage="1" allowBlank="1" errorTitle="Fora da lista" error="Condição: escolha um valor da lista. A planilha pode não reconhecer outro valor." type="list" errorStyle="warning">
      <formula1>'Dados'!$BG$6:$BG$19</formula1>
    </dataValidation>
    <dataValidation sqref="D298" showDropDown="0" showInputMessage="0" showErrorMessage="1" allowBlank="1" errorTitle="Valor fora da faixa" error="Turnos: use um número inteiro de 0 a 20." type="whole" errorStyle="warning" operator="between">
      <formula1>0</formula1>
      <formula2>20</formula2>
    </dataValidation>
    <dataValidation sqref="E298" showDropDown="0" showInputMessage="0" showErrorMessage="1" allowBlank="1" errorTitle="Valor fora da faixa" error="Acúmulos: use um número inteiro de 0 a 5." type="whole" errorStyle="warning" operator="between">
      <formula1>0</formula1>
      <formula2>5</formula2>
    </dataValidation>
    <dataValidation sqref="F298" showDropDown="0" showInputMessage="0" showErrorMessage="1" allowBlank="1" errorTitle="Fora da lista" error="Quem aplicou: escolha um valor da lista. A planilha pode não reconhecer outro valor." type="list" errorStyle="warning">
      <formula1>'Combate'!$N$11:$N$32</formula1>
    </dataValidation>
    <dataValidation sqref="B300" showDropDown="0" showInputMessage="0" showErrorMessage="1" allowBlank="1" errorTitle="Fora da lista" error="Condição: escolha um valor da lista. A planilha pode não reconhecer outro valor." type="list" errorStyle="warning">
      <formula1>'Dados'!$BG$6:$BG$19</formula1>
    </dataValidation>
    <dataValidation sqref="D300" showDropDown="0" showInputMessage="0" showErrorMessage="1" allowBlank="1" errorTitle="Valor fora da faixa" error="Turnos: use um número inteiro de 0 a 20." type="whole" errorStyle="warning" operator="between">
      <formula1>0</formula1>
      <formula2>20</formula2>
    </dataValidation>
    <dataValidation sqref="E300" showDropDown="0" showInputMessage="0" showErrorMessage="1" allowBlank="1" errorTitle="Valor fora da faixa" error="Acúmulos: use um número inteiro de 0 a 5." type="whole" errorStyle="warning" operator="between">
      <formula1>0</formula1>
      <formula2>5</formula2>
    </dataValidation>
    <dataValidation sqref="F300" showDropDown="0" showInputMessage="0" showErrorMessage="1" allowBlank="1" errorTitle="Fora da lista" error="Quem aplicou: escolha um valor da lista. A planilha pode não reconhecer outro valor." type="list" errorStyle="warning">
      <formula1>'Combate'!$N$11:$N$32</formula1>
    </dataValidation>
    <dataValidation sqref="B301" showDropDown="0" showInputMessage="0" showErrorMessage="1" allowBlank="1" errorTitle="Fora da lista" error="Condição: escolha um valor da lista. A planilha pode não reconhecer outro valor." type="list" errorStyle="warning">
      <formula1>'Dados'!$BG$6:$BG$19</formula1>
    </dataValidation>
    <dataValidation sqref="D301" showDropDown="0" showInputMessage="0" showErrorMessage="1" allowBlank="1" errorTitle="Valor fora da faixa" error="Turnos: use um número inteiro de 0 a 20." type="whole" errorStyle="warning" operator="between">
      <formula1>0</formula1>
      <formula2>20</formula2>
    </dataValidation>
    <dataValidation sqref="E301" showDropDown="0" showInputMessage="0" showErrorMessage="1" allowBlank="1" errorTitle="Valor fora da faixa" error="Acúmulos: use um número inteiro de 0 a 5." type="whole" errorStyle="warning" operator="between">
      <formula1>0</formula1>
      <formula2>5</formula2>
    </dataValidation>
    <dataValidation sqref="F301" showDropDown="0" showInputMessage="0" showErrorMessage="1" allowBlank="1" errorTitle="Fora da lista" error="Quem aplicou: escolha um valor da lista. A planilha pode não reconhecer outro valor." type="list" errorStyle="warning">
      <formula1>'Combate'!$N$11:$N$32</formula1>
    </dataValidation>
    <dataValidation sqref="B302" showDropDown="0" showInputMessage="0" showErrorMessage="1" allowBlank="1" errorTitle="Fora da lista" error="Condição: escolha um valor da lista. A planilha pode não reconhecer outro valor." type="list" errorStyle="warning">
      <formula1>'Dados'!$BG$6:$BG$19</formula1>
    </dataValidation>
    <dataValidation sqref="D302" showDropDown="0" showInputMessage="0" showErrorMessage="1" allowBlank="1" errorTitle="Valor fora da faixa" error="Turnos: use um número inteiro de 0 a 20." type="whole" errorStyle="warning" operator="between">
      <formula1>0</formula1>
      <formula2>20</formula2>
    </dataValidation>
    <dataValidation sqref="E302" showDropDown="0" showInputMessage="0" showErrorMessage="1" allowBlank="1" errorTitle="Valor fora da faixa" error="Acúmulos: use um número inteiro de 0 a 5." type="whole" errorStyle="warning" operator="between">
      <formula1>0</formula1>
      <formula2>5</formula2>
    </dataValidation>
    <dataValidation sqref="F302" showDropDown="0" showInputMessage="0" showErrorMessage="1" allowBlank="1" errorTitle="Fora da lista" error="Quem aplicou: escolha um valor da lista. A planilha pode não reconhecer outro valor." type="list" errorStyle="warning">
      <formula1>'Combate'!$N$11:$N$32</formula1>
    </dataValidation>
    <dataValidation sqref="B303" showDropDown="0" showInputMessage="0" showErrorMessage="1" allowBlank="1" errorTitle="Fora da lista" error="Condição: escolha um valor da lista. A planilha pode não reconhecer outro valor." type="list" errorStyle="warning">
      <formula1>'Dados'!$BG$6:$BG$19</formula1>
    </dataValidation>
    <dataValidation sqref="D303" showDropDown="0" showInputMessage="0" showErrorMessage="1" allowBlank="1" errorTitle="Valor fora da faixa" error="Turnos: use um número inteiro de 0 a 20." type="whole" errorStyle="warning" operator="between">
      <formula1>0</formula1>
      <formula2>20</formula2>
    </dataValidation>
    <dataValidation sqref="E303" showDropDown="0" showInputMessage="0" showErrorMessage="1" allowBlank="1" errorTitle="Valor fora da faixa" error="Acúmulos: use um número inteiro de 0 a 5." type="whole" errorStyle="warning" operator="between">
      <formula1>0</formula1>
      <formula2>5</formula2>
    </dataValidation>
    <dataValidation sqref="F303" showDropDown="0" showInputMessage="0" showErrorMessage="1" allowBlank="1" errorTitle="Fora da lista" error="Quem aplicou: escolha um valor da lista. A planilha pode não reconhecer outro valor." type="list" errorStyle="warning">
      <formula1>'Combate'!$N$11:$N$32</formula1>
    </dataValidation>
    <dataValidation sqref="C308" showDropDown="0" showInputMessage="0" showErrorMessage="1" allowBlank="1" errorTitle="Fora da lista" error="Alvo: escolha um valor da lista. A planilha pode não reconhecer outro valor." type="list" errorStyle="warning">
      <formula1>'Combate'!$N$17:$N$26</formula1>
    </dataValidation>
    <dataValidation sqref="B308" showDropDown="0" showInputMessage="0" showErrorMessage="1" allowBlank="1" errorTitle="Fora da lista" error="Fonte: escolha um valor da lista. A planilha pode não reconhecer outro valor." type="list" errorStyle="warning">
      <formula1>'Dados'!$BI$6:$BI$15</formula1>
    </dataValidation>
    <dataValidation sqref="D308" showDropDown="0" showInputMessage="0" showErrorMessage="1" allowBlank="1" errorTitle="Valor fora da faixa" error="Nº de dados: use um número inteiro de 1 a 20." type="whole" errorStyle="warning" operator="between">
      <formula1>1</formula1>
      <formula2>20</formula2>
    </dataValidation>
    <dataValidation sqref="E308" showDropDown="0" showInputMessage="0" showErrorMessage="1" allowBlank="1" errorTitle="Valor fora da faixa" error="Faces: use um número inteiro de 2 a 20." type="whole" errorStyle="warning" operator="between">
      <formula1>2</formula1>
      <formula2>20</formula2>
    </dataValidation>
    <dataValidation sqref="F308" showDropDown="0" showInputMessage="0" showErrorMessage="1" allowBlank="1" errorTitle="Valor fora da faixa" error="Bônus fixo: use um número inteiro de -20 a 99." type="whole" errorStyle="warning" operator="between">
      <formula1>-20</formula1>
      <formula2>99</formula2>
    </dataValidation>
    <dataValidation sqref="G308" showDropDown="0" showInputMessage="0" showErrorMessage="1" allowBlank="1" errorTitle="Fora da lista" error="Elemento: escolha um valor da lista. A planilha pode não reconhecer outro valor." type="list" errorStyle="warning">
      <formula1>'Dados'!$AN$6:$AN$12</formula1>
    </dataValidation>
    <dataValidation sqref="H308" showDropDown="0" showInputMessage="0" showErrorMessage="1" allowBlank="1" errorTitle="Fora da lista" error="Crítico?: escolha um valor da lista. A planilha pode não reconhecer outro valor." type="list" errorStyle="warning">
      <formula1>'Dados'!$AT$6:$AT$7</formula1>
    </dataValidation>
    <dataValidation sqref="I308" showDropDown="0" showInputMessage="0" showErrorMessage="1" allowBlank="1" errorTitle="Valor fora da faixa" error="Dados extras: use um número inteiro de 0 a 5." type="whole" errorStyle="warning" operator="between">
      <formula1>0</formula1>
      <formula2>5</formula2>
    </dataValidation>
    <dataValidation sqref="J308" showDropDown="0" showInputMessage="0" showErrorMessage="1" allowBlank="1" errorTitle="Valor fora da faixa" error="Resultado rolado: use um número inteiro de 0 a 999." type="whole" errorStyle="warning" operator="between">
      <formula1>0</formula1>
      <formula2>999</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116"/>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hidden="1" width="13" customWidth="1" min="34" max="34"/>
    <col hidden="1" width="13" customWidth="1" min="35" max="35"/>
    <col width="13" customWidth="1" min="36" max="36"/>
    <col hidden="1" width="13" customWidth="1" min="37" max="37"/>
    <col hidden="1" width="13" customWidth="1" min="38" max="38"/>
    <col hidden="1" width="13" customWidth="1" min="39" max="39"/>
    <col width="13" customWidth="1" min="40" max="40"/>
    <col hidden="1" width="13" customWidth="1" min="41" max="41"/>
    <col hidden="1" width="13" customWidth="1" min="42" max="42"/>
    <col width="13" customWidth="1" min="43" max="43"/>
    <col width="13" customWidth="1" min="44" max="44"/>
    <col hidden="1" width="13" customWidth="1" min="45" max="45"/>
    <col hidden="1" width="13" customWidth="1" min="46" max="46"/>
    <col hidden="1" width="13" customWidth="1" min="47" max="47"/>
  </cols>
  <sheetData>
    <row r="1" ht="24" customHeight="1">
      <c r="A1" s="1" t="inlineStr">
        <is>
          <t>Aventuras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Gerador de aventuras: tipo, gancho, contratante, objetivo, local, antagonista, complicação, reviravolta, prazo, recompensa e cinco cenas.</t>
        </is>
      </c>
    </row>
    <row r="4"/>
    <row r="5" ht="20" customHeight="1">
      <c r="A5" s="13" t="inlineStr">
        <is>
          <t>Gerador de aventuras (G = 300): vazio = Sortear; faixa vazia = a do grupo</t>
        </is>
      </c>
    </row>
    <row r="6">
      <c r="A6" s="8" t="inlineStr">
        <is>
          <t>Rolagem nº</t>
        </is>
      </c>
      <c r="B6" s="8" t="inlineStr">
        <is>
          <t>Tipo</t>
        </is>
      </c>
      <c r="C6" s="20" t="n"/>
      <c r="D6" s="20" t="n"/>
      <c r="E6" s="8" t="inlineStr">
        <is>
          <t>Faixa</t>
        </is>
      </c>
      <c r="F6" s="8" t="inlineStr">
        <is>
          <t>Facção do conflito</t>
        </is>
      </c>
      <c r="G6" s="20" t="n"/>
      <c r="H6" s="20" t="n"/>
      <c r="I6" s="8" t="inlineStr">
        <is>
          <t>Rolagem efetiva</t>
        </is>
      </c>
      <c r="J6" s="20" t="n"/>
      <c r="K6" s="8" t="inlineStr">
        <is>
          <t>Aviso</t>
        </is>
      </c>
      <c r="L6" s="20" t="n"/>
    </row>
    <row r="7" ht="26" customHeight="1">
      <c r="A7" s="38" t="n"/>
      <c r="B7" s="4" t="n"/>
      <c r="C7" s="25" t="n"/>
      <c r="D7" s="17" t="n"/>
      <c r="E7" s="34" t="n"/>
      <c r="F7" s="4" t="n"/>
      <c r="G7" s="25" t="n"/>
      <c r="H7" s="17" t="n"/>
      <c r="I7" s="18">
        <f>IF(ISNUMBER($AO$7),IF(AND($AO$7&gt;=1,$AO$7&lt;=1000000,INT($AO$7)=$AO$7),$AO$7,1),1)</f>
        <v/>
      </c>
      <c r="K7" s="19">
        <f>IF(AU7&gt;0,"O Google leu como fórmula: escolha de novo ou digite com ' na frente.",IF(LEN(IF(LEN($AO$7)=0,"",IF(ISNUMBER($AO$7),IF(AND($AO$7&gt;=1,$AO$7&lt;=1000000,INT($AO$7)=$AO$7),"","Rolagem nº fora de 1 a 1.000.000: usando 1"),"Rolagem nº fora de 1 a 1.000.000: usando 1")))&gt;0,IF(LEN($AO$7)=0,"",IF(ISNUMBER($AO$7),IF(AND($AO$7&gt;=1,$AO$7&lt;=1000000,INT($AO$7)=$AO$7),"","Rolagem nº fora de 1 a 1.000.000: usando 1"),"Rolagem nº fora de 1 a 1.000.000: usando 1")),IF(AND(LEN($AP$7)&gt;0,$AP$7&lt;&gt;"Sortear",COUNTIF($AH$10:$AH$110,$AP$7)=0),"Tipo fora da lista (aba Tabelas): sorteando",IF(AND(LEN($AS$7)&gt;0,LEN(IFERROR(INDEX('Dados'!$B$7:$B$11,MATCH($AS$7,'Dados'!$AP$6:$AP$10,0)),""))=0),"Faixa fora da lista: usando a do grupo",IF(AND(LEN($AT$7)&gt;0,$AT$7&lt;&gt;"Sortear",COUNTIF($AI$10:$AI$110,$AT$7)=0),"Facção fora da lista (aba Tabelas): sorteando","")))))</f>
        <v/>
      </c>
      <c r="AO7" s="2">
        <f>IF(ISERROR($A$7),"",IF(ISBLANK($A$7),"",$A$7))</f>
        <v/>
      </c>
      <c r="AP7" s="2">
        <f>IF(ISERROR($B$7),"",IF(ISBLANK($B$7),"",$B$7))</f>
        <v/>
      </c>
      <c r="AS7" s="2">
        <f>IF(ISERROR($E$7),"",IF(ISBLANK($E$7),"",$E$7))</f>
        <v/>
      </c>
      <c r="AT7" s="2">
        <f>IF(ISERROR($F$7),"",IF(ISBLANK($F$7),"",$F$7))</f>
        <v/>
      </c>
      <c r="AU7" s="2">
        <f>ISERROR($A$7)*1+ISERROR($B$7)*1+ISERROR($E$7)*1+ISERROR($F$7)*1</f>
        <v/>
      </c>
    </row>
    <row r="8"/>
    <row r="9" ht="20" customHeight="1">
      <c r="A9" s="13" t="inlineStr">
        <is>
          <t>Aventura sorteada (automático)</t>
        </is>
      </c>
    </row>
    <row r="10">
      <c r="A10" s="8" t="inlineStr">
        <is>
          <t>Campo</t>
        </is>
      </c>
      <c r="B10" s="8" t="inlineStr">
        <is>
          <t>Sorteado</t>
        </is>
      </c>
      <c r="C10" s="20" t="n"/>
      <c r="D10" s="20" t="n"/>
      <c r="E10" s="20" t="n"/>
      <c r="F10" s="20" t="n"/>
      <c r="G10" s="20" t="n"/>
      <c r="H10" s="20" t="n"/>
      <c r="I10" s="8" t="inlineStr">
        <is>
          <t>De onde vem</t>
        </is>
      </c>
      <c r="J10" s="20" t="n"/>
      <c r="K10" s="8" t="inlineStr">
        <is>
          <t>Aviso</t>
        </is>
      </c>
      <c r="L10" s="20" t="n"/>
      <c r="N10" s="2">
        <f>IF(AND(LEN($AP$7)&gt;0,$AP$7&lt;&gt;"Sortear",COUNTIF($AH$10:$AH$110,$AP$7)&gt;0),$AP$7,IF('Tabelas'!$F$469&lt;=0,"",IFERROR(INDEX('Tabelas'!$AB$472:$AB$578,MATCH(IF('Tabelas'!$F$469&lt;=0,0,INT($AC$10*'Tabelas'!$F$469/2147483647)+1),'Tabelas'!$R$472:$R$578,0))&amp;"","")))</f>
        <v/>
      </c>
      <c r="AA10" s="2">
        <f>MOD(MOD(MOD((MOD('Início'!$E$16+104729*$I$7+3675409,2147483646)+1)*16807,2147483647)*16807,2147483647)*16807,2147483647)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E10" s="2">
        <f>0+IF(AND(LEN($N$10)&gt;0,INDEX('Tabelas'!$Z$472:$Z$578,1)&amp;""=$N$10,LEN(INDEX('Tabelas'!$AA$472:$AA$578,1)&amp;"")&gt;0),1,0)</f>
        <v/>
      </c>
      <c r="AF10" s="2">
        <f>IF(LEN(INDEX('Tabelas'!$Y$12:$Y$118,1)&amp;"")=0,0,IF(ISNUMBER(MATCH(INDEX('Tabelas'!$Y$12:$Y$118,1)&amp;"",'Dados'!$A$549:$A$554,0)),IF(AND(INDEX('Dados'!$B$549:$B$554,MATCH(INDEX('Tabelas'!$Y$12:$Y$118,1)&amp;"",'Dados'!$A$549:$A$554,0))&lt;=$N$12,INDEX('Dados'!$C$549:$C$554,MATCH(INDEX('Tabelas'!$Y$12:$Y$118,1)&amp;"",'Dados'!$A$549:$A$554,0))&gt;=$N$12),1,0),1))</f>
        <v/>
      </c>
      <c r="AG10" s="2">
        <f>0+$AF$10</f>
        <v/>
      </c>
      <c r="AH10" s="2">
        <f>"Sortear"</f>
        <v/>
      </c>
      <c r="AI10" s="2">
        <f>"Sortear"</f>
        <v/>
      </c>
    </row>
    <row r="11" ht="26" customHeight="1">
      <c r="A11" s="9" t="inlineStr">
        <is>
          <t>Tipo</t>
        </is>
      </c>
      <c r="B11" s="5">
        <f>$N$10</f>
        <v/>
      </c>
      <c r="I11" s="5">
        <f>IF(AND(LEN($AP$7)&gt;0,$AP$7&lt;&gt;"Sortear"),"Escolhido","Tabelas: Tipo de aventura")</f>
        <v/>
      </c>
      <c r="K11" s="19">
        <f>IF('Tabelas'!$F$469&lt;=0,"Lista 'Tipo de aventura' está vazia (aba Tabelas)","")</f>
        <v/>
      </c>
      <c r="N11" s="2">
        <f>IF(LEN(IFERROR(INDEX('Dados'!$B$7:$B$11,MATCH($AS$7,'Dados'!$AP$6:$AP$10,0)),""))&gt;0,IFERROR(INDEX('Dados'!$B$7:$B$11,MATCH($AS$7,'Dados'!$AP$6:$AP$10,0)),""),'Campanha'!$B$19)</f>
        <v/>
      </c>
      <c r="AA11" s="2">
        <f>MOD(MOD(MOD((MOD('Início'!$E$16+104729*$I$7+4975118,2147483646)+1)*16807,2147483647)*16807,2147483647)*16807,2147483647)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E11" s="2">
        <f>$AE$10+IF(AND(LEN($N$10)&gt;0,INDEX('Tabelas'!$Z$472:$Z$578,2)&amp;""=$N$10,LEN(INDEX('Tabelas'!$AA$472:$AA$578,2)&amp;"")&gt;0),1,0)</f>
        <v/>
      </c>
      <c r="AF11" s="2">
        <f>IF(LEN(INDEX('Tabelas'!$Y$12:$Y$118,2)&amp;"")=0,0,IF(ISNUMBER(MATCH(INDEX('Tabelas'!$Y$12:$Y$118,2)&amp;"",'Dados'!$A$549:$A$554,0)),IF(AND(INDEX('Dados'!$B$549:$B$554,MATCH(INDEX('Tabelas'!$Y$12:$Y$118,2)&amp;"",'Dados'!$A$549:$A$554,0))&lt;=$N$12,INDEX('Dados'!$C$549:$C$554,MATCH(INDEX('Tabelas'!$Y$12:$Y$118,2)&amp;"",'Dados'!$A$549:$A$554,0))&gt;=$N$12),1,0),1))</f>
        <v/>
      </c>
      <c r="AG11" s="2">
        <f>$AG$10+$AF$11</f>
        <v/>
      </c>
      <c r="AH11" s="2">
        <f>'Tabelas'!$AB$472&amp;""</f>
        <v/>
      </c>
      <c r="AI11" s="2">
        <f>'Tabelas'!$X$12&amp;""</f>
        <v/>
      </c>
      <c r="AK11" s="2">
        <f>0+IF(AND('Dados'!$C$92="Boss",'Dados'!$D$92=$N$11,COUNTIFS('Dados'!$A$520:$A$545,$N$13,'Dados'!$B$520:$B$545,'Dados'!$B$92)&gt;0),1,0)</f>
        <v/>
      </c>
      <c r="AL11" s="2">
        <f>0+IF(AND('Dados'!$C$92="Elite",'Dados'!$D$92=$N$11,COUNTIFS('Dados'!$A$520:$A$545,$N$13,'Dados'!$B$520:$B$545,'Dados'!$B$92)&gt;0),1,0)</f>
        <v/>
      </c>
      <c r="AM11" s="2">
        <f>0+IF(AND('Dados'!$C$92="Boss",'Dados'!$D$92=$N$11),1,0)</f>
        <v/>
      </c>
    </row>
    <row r="12" ht="37" customHeight="1">
      <c r="A12" s="21" t="inlineStr">
        <is>
          <t>Gancho</t>
        </is>
      </c>
      <c r="B12" s="10">
        <f>$N$47</f>
        <v/>
      </c>
      <c r="I12" s="10">
        <f>IF($N$44=1,"27.18, faixa "&amp;$N$11,"Tabelas: Gancho de aventura")&amp;" · Sugestão da planilha — não é regra do livro (H20)"</f>
        <v/>
      </c>
      <c r="K12" s="27">
        <f>IF(LEN($N$47)=0,"Listas de gancho vazias (aba Tabelas)","")</f>
        <v/>
      </c>
      <c r="N12" s="2">
        <f>MATCH($N$11,'Dados'!$B$7:$B$11,0)</f>
        <v/>
      </c>
      <c r="AA12" s="2">
        <f>MOD(MOD(MOD((MOD('Início'!$E$16+104729*$I$7+6274827,2147483646)+1)*16807,2147483647)*16807,2147483647)*16807,2147483647)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E12" s="2">
        <f>$AE$11+IF(AND(LEN($N$10)&gt;0,INDEX('Tabelas'!$Z$472:$Z$578,3)&amp;""=$N$10,LEN(INDEX('Tabelas'!$AA$472:$AA$578,3)&amp;"")&gt;0),1,0)</f>
        <v/>
      </c>
      <c r="AF12" s="2">
        <f>IF(LEN(INDEX('Tabelas'!$Y$12:$Y$118,3)&amp;"")=0,0,IF(ISNUMBER(MATCH(INDEX('Tabelas'!$Y$12:$Y$118,3)&amp;"",'Dados'!$A$549:$A$554,0)),IF(AND(INDEX('Dados'!$B$549:$B$554,MATCH(INDEX('Tabelas'!$Y$12:$Y$118,3)&amp;"",'Dados'!$A$549:$A$554,0))&lt;=$N$12,INDEX('Dados'!$C$549:$C$554,MATCH(INDEX('Tabelas'!$Y$12:$Y$118,3)&amp;"",'Dados'!$A$549:$A$554,0))&gt;=$N$12),1,0),1))</f>
        <v/>
      </c>
      <c r="AG12" s="2">
        <f>$AG$11+$AF$12</f>
        <v/>
      </c>
      <c r="AH12" s="2">
        <f>'Tabelas'!$AB$473&amp;""</f>
        <v/>
      </c>
      <c r="AI12" s="2">
        <f>'Tabelas'!$X$13&amp;""</f>
        <v/>
      </c>
      <c r="AK12" s="2">
        <f>$AK$11+IF(AND('Dados'!$C$93="Boss",'Dados'!$D$93=$N$11,COUNTIFS('Dados'!$A$520:$A$545,$N$13,'Dados'!$B$520:$B$545,'Dados'!$B$93)&gt;0),1,0)</f>
        <v/>
      </c>
      <c r="AL12" s="2">
        <f>$AL$11+IF(AND('Dados'!$C$93="Elite",'Dados'!$D$93=$N$11,COUNTIFS('Dados'!$A$520:$A$545,$N$13,'Dados'!$B$520:$B$545,'Dados'!$B$93)&gt;0),1,0)</f>
        <v/>
      </c>
      <c r="AM12" s="2">
        <f>$AM$11+IF(AND('Dados'!$C$93="Boss",'Dados'!$D$93=$N$11),1,0)</f>
        <v/>
      </c>
    </row>
    <row r="13" ht="48" customHeight="1">
      <c r="A13" s="9" t="inlineStr">
        <is>
          <t>Contratante</t>
        </is>
      </c>
      <c r="B13" s="5">
        <f>$N$22</f>
        <v/>
      </c>
      <c r="I13" s="5">
        <f>"Facção de 27.16 diferente da do conflito; nome pela cultura (05) · Sugestão da planilha — não é regra do livro (H26)"</f>
        <v/>
      </c>
      <c r="N13" s="2">
        <f>IF(AND(LEN($AT$7)&gt;0,$AT$7&lt;&gt;"Sortear",COUNTIF($AI$10:$AI$110,$AT$7)&gt;0),$AT$7,IF('Tabelas'!$B$9&lt;=0,"",IFERROR(INDEX('Tabelas'!$X$12:$X$118,MATCH(IF('Tabelas'!$B$9&lt;=0,0,INT($AC$29*'Tabelas'!$B$9/2147483647)+1),'Tabelas'!$N$12:$N$118,0))&amp;"","")))</f>
        <v/>
      </c>
      <c r="AA13" s="2">
        <f>MOD(MOD(MOD((MOD('Início'!$E$16+104729*$I$7+7574536,2147483646)+1)*16807,2147483647)*16807,2147483647)*16807,2147483647)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c r="AE13" s="2">
        <f>$AE$12+IF(AND(LEN($N$10)&gt;0,INDEX('Tabelas'!$Z$472:$Z$578,4)&amp;""=$N$10,LEN(INDEX('Tabelas'!$AA$472:$AA$578,4)&amp;"")&gt;0),1,0)</f>
        <v/>
      </c>
      <c r="AF13" s="2">
        <f>IF(LEN(INDEX('Tabelas'!$Y$12:$Y$118,4)&amp;"")=0,0,IF(ISNUMBER(MATCH(INDEX('Tabelas'!$Y$12:$Y$118,4)&amp;"",'Dados'!$A$549:$A$554,0)),IF(AND(INDEX('Dados'!$B$549:$B$554,MATCH(INDEX('Tabelas'!$Y$12:$Y$118,4)&amp;"",'Dados'!$A$549:$A$554,0))&lt;=$N$12,INDEX('Dados'!$C$549:$C$554,MATCH(INDEX('Tabelas'!$Y$12:$Y$118,4)&amp;"",'Dados'!$A$549:$A$554,0))&gt;=$N$12),1,0),1))</f>
        <v/>
      </c>
      <c r="AG13" s="2">
        <f>$AG$12+$AF$13</f>
        <v/>
      </c>
      <c r="AH13" s="2">
        <f>'Tabelas'!$AB$474&amp;""</f>
        <v/>
      </c>
      <c r="AI13" s="2">
        <f>'Tabelas'!$X$14&amp;""</f>
        <v/>
      </c>
      <c r="AK13" s="2">
        <f>$AK$12+IF(AND('Dados'!$C$94="Boss",'Dados'!$D$94=$N$11,COUNTIFS('Dados'!$A$520:$A$545,$N$13,'Dados'!$B$520:$B$545,'Dados'!$B$94)&gt;0),1,0)</f>
        <v/>
      </c>
      <c r="AL13" s="2">
        <f>$AL$12+IF(AND('Dados'!$C$94="Elite",'Dados'!$D$94=$N$11,COUNTIFS('Dados'!$A$520:$A$545,$N$13,'Dados'!$B$520:$B$545,'Dados'!$B$94)&gt;0),1,0)</f>
        <v/>
      </c>
      <c r="AM13" s="2">
        <f>$AM$12+IF(AND('Dados'!$C$94="Boss",'Dados'!$D$94=$N$11),1,0)</f>
        <v/>
      </c>
    </row>
    <row r="14" ht="26" customHeight="1">
      <c r="A14" s="21" t="inlineStr">
        <is>
          <t>Objetivo</t>
        </is>
      </c>
      <c r="B14" s="10">
        <f>$N$24</f>
        <v/>
      </c>
      <c r="I14" s="10">
        <f>"Tabelas: Objetivo por tipo"</f>
        <v/>
      </c>
      <c r="K14" s="27">
        <f>IF($N$23=0,"Sem objetivo para o tipo "&amp;$N$10&amp;" na aba Tabelas","")</f>
        <v/>
      </c>
      <c r="N14" s="2">
        <f>IFERROR(INDEX('Tabelas'!$N$12:$N$118,MATCH($N$13,'Tabelas'!$X$12:$X$118,0)),0)</f>
        <v/>
      </c>
      <c r="AA14" s="2">
        <f>MOD(MOD(MOD((MOD('Início'!$E$16+104729*$I$7+8874245,2147483646)+1)*16807,2147483647)*16807,2147483647)*16807,2147483647)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c r="AE14" s="2">
        <f>$AE$13+IF(AND(LEN($N$10)&gt;0,INDEX('Tabelas'!$Z$472:$Z$578,5)&amp;""=$N$10,LEN(INDEX('Tabelas'!$AA$472:$AA$578,5)&amp;"")&gt;0),1,0)</f>
        <v/>
      </c>
      <c r="AF14" s="2">
        <f>IF(LEN(INDEX('Tabelas'!$Y$12:$Y$118,5)&amp;"")=0,0,IF(ISNUMBER(MATCH(INDEX('Tabelas'!$Y$12:$Y$118,5)&amp;"",'Dados'!$A$549:$A$554,0)),IF(AND(INDEX('Dados'!$B$549:$B$554,MATCH(INDEX('Tabelas'!$Y$12:$Y$118,5)&amp;"",'Dados'!$A$549:$A$554,0))&lt;=$N$12,INDEX('Dados'!$C$549:$C$554,MATCH(INDEX('Tabelas'!$Y$12:$Y$118,5)&amp;"",'Dados'!$A$549:$A$554,0))&gt;=$N$12),1,0),1))</f>
        <v/>
      </c>
      <c r="AG14" s="2">
        <f>$AG$13+$AF$14</f>
        <v/>
      </c>
      <c r="AH14" s="2">
        <f>'Tabelas'!$AB$475&amp;""</f>
        <v/>
      </c>
      <c r="AI14" s="2">
        <f>'Tabelas'!$X$15&amp;""</f>
        <v/>
      </c>
      <c r="AK14" s="2">
        <f>$AK$13+IF(AND('Dados'!$C$95="Boss",'Dados'!$D$95=$N$11,COUNTIFS('Dados'!$A$520:$A$545,$N$13,'Dados'!$B$520:$B$545,'Dados'!$B$95)&gt;0),1,0)</f>
        <v/>
      </c>
      <c r="AL14" s="2">
        <f>$AL$13+IF(AND('Dados'!$C$95="Elite",'Dados'!$D$95=$N$11,COUNTIFS('Dados'!$A$520:$A$545,$N$13,'Dados'!$B$520:$B$545,'Dados'!$B$95)&gt;0),1,0)</f>
        <v/>
      </c>
      <c r="AM14" s="2">
        <f>$AM$13+IF(AND('Dados'!$C$95="Boss",'Dados'!$D$95=$N$11),1,0)</f>
        <v/>
      </c>
    </row>
    <row r="15" ht="37" customHeight="1">
      <c r="A15" s="9" t="inlineStr">
        <is>
          <t>Local</t>
        </is>
      </c>
      <c r="B15" s="5">
        <f>$N$29</f>
        <v/>
      </c>
      <c r="I15" s="5">
        <f>IF(AND($N$28=1,LEN($N$26)&gt;0),"27.17 (lugar que serve à faixa)","Tabelas: Local")&amp;" · Sugestão da planilha — não é regra do livro (H26)"</f>
        <v/>
      </c>
      <c r="K15" s="19">
        <f>IF(LEN($N$29)=0,"Listas de local vazias (aba Tabelas)","")</f>
        <v/>
      </c>
      <c r="N15" s="2">
        <f>IF('Tabelas'!$B$9&lt;=0,"",IFERROR(INDEX('Tabelas'!$X$12:$X$118,MATCH(IF($N$14&gt;0,IF('Tabelas'!$B$9&lt;=1,$N$14,MOD($N$14-1+1+INT($AC$12*('Tabelas'!$B$9-1)/2147483647),'Tabelas'!$B$9)+1),IF('Tabelas'!$B$9&lt;=0,0,INT($AC$12*'Tabelas'!$B$9/2147483647)+1)),'Tabelas'!$N$12:$N$118,0))&amp;"",""))</f>
        <v/>
      </c>
      <c r="AA15" s="2">
        <f>MOD(MOD(MOD((MOD('Início'!$E$16+104729*$I$7+10173954,2147483646)+1)*16807,2147483647)*16807,2147483647)*16807,2147483647)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c r="AE15" s="2">
        <f>$AE$14+IF(AND(LEN($N$10)&gt;0,INDEX('Tabelas'!$Z$472:$Z$578,6)&amp;""=$N$10,LEN(INDEX('Tabelas'!$AA$472:$AA$578,6)&amp;"")&gt;0),1,0)</f>
        <v/>
      </c>
      <c r="AF15" s="2">
        <f>IF(LEN(INDEX('Tabelas'!$Y$12:$Y$118,6)&amp;"")=0,0,IF(ISNUMBER(MATCH(INDEX('Tabelas'!$Y$12:$Y$118,6)&amp;"",'Dados'!$A$549:$A$554,0)),IF(AND(INDEX('Dados'!$B$549:$B$554,MATCH(INDEX('Tabelas'!$Y$12:$Y$118,6)&amp;"",'Dados'!$A$549:$A$554,0))&lt;=$N$12,INDEX('Dados'!$C$549:$C$554,MATCH(INDEX('Tabelas'!$Y$12:$Y$118,6)&amp;"",'Dados'!$A$549:$A$554,0))&gt;=$N$12),1,0),1))</f>
        <v/>
      </c>
      <c r="AG15" s="2">
        <f>$AG$14+$AF$15</f>
        <v/>
      </c>
      <c r="AH15" s="2">
        <f>'Tabelas'!$AB$476&amp;""</f>
        <v/>
      </c>
      <c r="AI15" s="2">
        <f>'Tabelas'!$X$16&amp;""</f>
        <v/>
      </c>
      <c r="AK15" s="2">
        <f>$AK$14+IF(AND('Dados'!$C$96="Boss",'Dados'!$D$96=$N$11,COUNTIFS('Dados'!$A$520:$A$545,$N$13,'Dados'!$B$520:$B$545,'Dados'!$B$96)&gt;0),1,0)</f>
        <v/>
      </c>
      <c r="AL15" s="2">
        <f>$AL$14+IF(AND('Dados'!$C$96="Elite",'Dados'!$D$96=$N$11,COUNTIFS('Dados'!$A$520:$A$545,$N$13,'Dados'!$B$520:$B$545,'Dados'!$B$96)&gt;0),1,0)</f>
        <v/>
      </c>
      <c r="AM15" s="2">
        <f>$AM$14+IF(AND('Dados'!$C$96="Boss",'Dados'!$D$96=$N$11),1,0)</f>
        <v/>
      </c>
    </row>
    <row r="16">
      <c r="A16" s="21" t="inlineStr">
        <is>
          <t>Facção do conflito</t>
        </is>
      </c>
      <c r="B16" s="10">
        <f>$N$13</f>
        <v/>
      </c>
      <c r="I16" s="10">
        <f>IF(AND(LEN($AT$7)&gt;0,$AT$7&lt;&gt;"Sortear"),"Escolhida","Sorteada (27.16)")</f>
        <v/>
      </c>
      <c r="K16" s="27">
        <f>IF('Tabelas'!$B$9&lt;=0,"Lista 'Facções' está vazia (aba Tabelas)","")</f>
        <v/>
      </c>
      <c r="N16" s="2">
        <f>INDEX('Dados'!$A$350:$A$356,INT($AC$13*7/2147483647)+1)</f>
        <v/>
      </c>
      <c r="AA16" s="2">
        <f>MOD(MOD(MOD((MOD('Início'!$E$16+104729*$I$7+11473663,2147483646)+1)*16807,2147483647)*16807,2147483647)*16807,2147483647)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c r="AE16" s="2">
        <f>$AE$15+IF(AND(LEN($N$10)&gt;0,INDEX('Tabelas'!$Z$472:$Z$578,7)&amp;""=$N$10,LEN(INDEX('Tabelas'!$AA$472:$AA$578,7)&amp;"")&gt;0),1,0)</f>
        <v/>
      </c>
      <c r="AF16" s="2">
        <f>IF(LEN(INDEX('Tabelas'!$Y$12:$Y$118,7)&amp;"")=0,0,IF(ISNUMBER(MATCH(INDEX('Tabelas'!$Y$12:$Y$118,7)&amp;"",'Dados'!$A$549:$A$554,0)),IF(AND(INDEX('Dados'!$B$549:$B$554,MATCH(INDEX('Tabelas'!$Y$12:$Y$118,7)&amp;"",'Dados'!$A$549:$A$554,0))&lt;=$N$12,INDEX('Dados'!$C$549:$C$554,MATCH(INDEX('Tabelas'!$Y$12:$Y$118,7)&amp;"",'Dados'!$A$549:$A$554,0))&gt;=$N$12),1,0),1))</f>
        <v/>
      </c>
      <c r="AG16" s="2">
        <f>$AG$15+$AF$16</f>
        <v/>
      </c>
      <c r="AH16" s="2">
        <f>'Tabelas'!$AB$477&amp;""</f>
        <v/>
      </c>
      <c r="AI16" s="2">
        <f>'Tabelas'!$X$17&amp;""</f>
        <v/>
      </c>
      <c r="AK16" s="2">
        <f>$AK$15+IF(AND('Dados'!$C$97="Boss",'Dados'!$D$97=$N$11,COUNTIFS('Dados'!$A$520:$A$545,$N$13,'Dados'!$B$520:$B$545,'Dados'!$B$97)&gt;0),1,0)</f>
        <v/>
      </c>
      <c r="AL16" s="2">
        <f>$AL$15+IF(AND('Dados'!$C$97="Elite",'Dados'!$D$97=$N$11,COUNTIFS('Dados'!$A$520:$A$545,$N$13,'Dados'!$B$520:$B$545,'Dados'!$B$97)&gt;0),1,0)</f>
        <v/>
      </c>
      <c r="AM16" s="2">
        <f>$AM$15+IF(AND('Dados'!$C$97="Boss",'Dados'!$D$97=$N$11),1,0)</f>
        <v/>
      </c>
    </row>
    <row r="17" ht="48" customHeight="1">
      <c r="A17" s="9" t="inlineStr">
        <is>
          <t>Antagonista</t>
        </is>
      </c>
      <c r="B17" s="5">
        <f>$N$32</f>
        <v/>
      </c>
      <c r="I17" s="5">
        <f>CHOOSE(MAX(1,$N$30),"Boss da facção na faixa","Elite da facção na faixa","Boss da faixa")&amp;" (28.11, 27.16) · Sugestão da planilha — não é regra do livro (H22)"</f>
        <v/>
      </c>
      <c r="N17" s="2">
        <f>IFERROR(MATCH($N$16,'Dados'!$A$388:$A$394,0),1)</f>
        <v/>
      </c>
      <c r="AA17" s="2">
        <f>MOD(MOD(MOD((MOD('Início'!$E$16+104729*$I$7+12773372,2147483646)+1)*16807,2147483647)*16807,2147483647)*16807,2147483647)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c r="AE17" s="2">
        <f>$AE$16+IF(AND(LEN($N$10)&gt;0,INDEX('Tabelas'!$Z$472:$Z$578,8)&amp;""=$N$10,LEN(INDEX('Tabelas'!$AA$472:$AA$578,8)&amp;"")&gt;0),1,0)</f>
        <v/>
      </c>
      <c r="AF17" s="2">
        <f>IF(LEN(INDEX('Tabelas'!$Y$12:$Y$118,8)&amp;"")=0,0,IF(ISNUMBER(MATCH(INDEX('Tabelas'!$Y$12:$Y$118,8)&amp;"",'Dados'!$A$549:$A$554,0)),IF(AND(INDEX('Dados'!$B$549:$B$554,MATCH(INDEX('Tabelas'!$Y$12:$Y$118,8)&amp;"",'Dados'!$A$549:$A$554,0))&lt;=$N$12,INDEX('Dados'!$C$549:$C$554,MATCH(INDEX('Tabelas'!$Y$12:$Y$118,8)&amp;"",'Dados'!$A$549:$A$554,0))&gt;=$N$12),1,0),1))</f>
        <v/>
      </c>
      <c r="AG17" s="2">
        <f>$AG$16+$AF$17</f>
        <v/>
      </c>
      <c r="AH17" s="2">
        <f>'Tabelas'!$AB$478&amp;""</f>
        <v/>
      </c>
      <c r="AI17" s="2">
        <f>'Tabelas'!$X$18&amp;""</f>
        <v/>
      </c>
      <c r="AK17" s="2">
        <f>$AK$16+IF(AND('Dados'!$C$98="Boss",'Dados'!$D$98=$N$11,COUNTIFS('Dados'!$A$520:$A$545,$N$13,'Dados'!$B$520:$B$545,'Dados'!$B$98)&gt;0),1,0)</f>
        <v/>
      </c>
      <c r="AL17" s="2">
        <f>$AL$16+IF(AND('Dados'!$C$98="Elite",'Dados'!$D$98=$N$11,COUNTIFS('Dados'!$A$520:$A$545,$N$13,'Dados'!$B$520:$B$545,'Dados'!$B$98)&gt;0),1,0)</f>
        <v/>
      </c>
      <c r="AM17" s="2">
        <f>$AM$16+IF(AND('Dados'!$C$98="Boss",'Dados'!$D$98=$N$11),1,0)</f>
        <v/>
      </c>
    </row>
    <row r="18" ht="26" customHeight="1">
      <c r="A18" s="21" t="inlineStr">
        <is>
          <t>Complicação</t>
        </is>
      </c>
      <c r="B18" s="10">
        <f>$N$33</f>
        <v/>
      </c>
      <c r="I18" s="10">
        <f>"Tabelas: Complicação (falhe para frente, 02)"</f>
        <v/>
      </c>
      <c r="K18" s="27">
        <f>IF('Tabelas'!$I$469&lt;=0,"Lista 'Complicação' está vazia (aba Tabelas)","")</f>
        <v/>
      </c>
      <c r="N18" s="2">
        <f>IF($N$17=1,IF('Tabelas'!$B$124&lt;=0,"",IFERROR(INDEX('Tabelas'!$X$127:$X$233,MATCH(IF('Tabelas'!$B$124&lt;=0,0,INT($AC$26*'Tabelas'!$B$124/2147483647)+1),'Tabelas'!$N$127:$N$233,0))&amp;"","")),IF($N$17=2,IF('Tabelas'!$C$124&lt;=0,"",IFERROR(INDEX('Tabelas'!$Y$127:$Y$233,MATCH(IF('Tabelas'!$C$124&lt;=0,0,INT($AC$26*'Tabelas'!$C$124/2147483647)+1),'Tabelas'!$O$127:$O$233,0))&amp;"","")),IF($N$17=3,IF('Tabelas'!$D$124&lt;=0,"",IFERROR(INDEX('Tabelas'!$Z$127:$Z$233,MATCH(IF('Tabelas'!$D$124&lt;=0,0,INT($AC$26*'Tabelas'!$D$124/2147483647)+1),'Tabelas'!$P$127:$P$233,0))&amp;"","")),IF($N$17=4,IF('Tabelas'!$E$124&lt;=0,"",IFERROR(INDEX('Tabelas'!$AA$127:$AA$233,MATCH(IF('Tabelas'!$E$124&lt;=0,0,INT($AC$26*'Tabelas'!$E$124/2147483647)+1),'Tabelas'!$Q$127:$Q$233,0))&amp;"","")),IF($N$17=5,IF('Tabelas'!$F$124&lt;=0,"",IFERROR(INDEX('Tabelas'!$AB$127:$AB$233,MATCH(IF('Tabelas'!$F$124&lt;=0,0,INT($AC$26*'Tabelas'!$F$124/2147483647)+1),'Tabelas'!$R$127:$R$233,0))&amp;"","")),IF($N$17=6,IF('Tabelas'!$G$124&lt;=0,"",IFERROR(INDEX('Tabelas'!$AC$127:$AC$233,MATCH(IF('Tabelas'!$G$124&lt;=0,0,INT($AC$26*'Tabelas'!$G$124/2147483647)+1),'Tabelas'!$S$127:$S$233,0))&amp;"","")),IF('Tabelas'!$H$124&lt;=0,"",IFERROR(INDEX('Tabelas'!$AD$127:$AD$233,MATCH(IF('Tabelas'!$H$124&lt;=0,0,INT($AC$26*'Tabelas'!$H$124/2147483647)+1),'Tabelas'!$T$127:$T$233,0))&amp;"",""))))))))</f>
        <v/>
      </c>
      <c r="AA18" s="2">
        <f>MOD(MOD(MOD((MOD('Início'!$E$16+104729*$I$7+14073081,2147483646)+1)*16807,2147483647)*16807,2147483647)*16807,2147483647)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c r="AE18" s="2">
        <f>$AE$17+IF(AND(LEN($N$10)&gt;0,INDEX('Tabelas'!$Z$472:$Z$578,9)&amp;""=$N$10,LEN(INDEX('Tabelas'!$AA$472:$AA$578,9)&amp;"")&gt;0),1,0)</f>
        <v/>
      </c>
      <c r="AF18" s="2">
        <f>IF(LEN(INDEX('Tabelas'!$Y$12:$Y$118,9)&amp;"")=0,0,IF(ISNUMBER(MATCH(INDEX('Tabelas'!$Y$12:$Y$118,9)&amp;"",'Dados'!$A$549:$A$554,0)),IF(AND(INDEX('Dados'!$B$549:$B$554,MATCH(INDEX('Tabelas'!$Y$12:$Y$118,9)&amp;"",'Dados'!$A$549:$A$554,0))&lt;=$N$12,INDEX('Dados'!$C$549:$C$554,MATCH(INDEX('Tabelas'!$Y$12:$Y$118,9)&amp;"",'Dados'!$A$549:$A$554,0))&gt;=$N$12),1,0),1))</f>
        <v/>
      </c>
      <c r="AG18" s="2">
        <f>$AG$17+$AF$18</f>
        <v/>
      </c>
      <c r="AH18" s="2">
        <f>'Tabelas'!$AB$479&amp;""</f>
        <v/>
      </c>
      <c r="AI18" s="2">
        <f>'Tabelas'!$X$19&amp;""</f>
        <v/>
      </c>
      <c r="AK18" s="2">
        <f>$AK$17+IF(AND('Dados'!$C$99="Boss",'Dados'!$D$99=$N$11,COUNTIFS('Dados'!$A$520:$A$545,$N$13,'Dados'!$B$520:$B$545,'Dados'!$B$99)&gt;0),1,0)</f>
        <v/>
      </c>
      <c r="AL18" s="2">
        <f>$AL$17+IF(AND('Dados'!$C$99="Elite",'Dados'!$D$99=$N$11,COUNTIFS('Dados'!$A$520:$A$545,$N$13,'Dados'!$B$520:$B$545,'Dados'!$B$99)&gt;0),1,0)</f>
        <v/>
      </c>
      <c r="AM18" s="2">
        <f>$AM$17+IF(AND('Dados'!$C$99="Boss",'Dados'!$D$99=$N$11),1,0)</f>
        <v/>
      </c>
    </row>
    <row r="19">
      <c r="A19" s="9" t="inlineStr">
        <is>
          <t>Reviravolta</t>
        </is>
      </c>
      <c r="B19" s="5">
        <f>$N$34</f>
        <v/>
      </c>
      <c r="I19" s="5">
        <f>"Tabelas: Reviravolta"</f>
        <v/>
      </c>
      <c r="K19" s="19">
        <f>IF('Tabelas'!$J$469&lt;=0,"Lista 'Reviravolta' está vazia (aba Tabelas)","")</f>
        <v/>
      </c>
      <c r="N19" s="2">
        <f>IF($N$17=1,IF('Tabelas'!$B$239&lt;=0,"",IFERROR(INDEX('Tabelas'!$X$242:$X$348,MATCH(IF('Tabelas'!$B$239&lt;=0,0,INT($AC$30*'Tabelas'!$B$239/2147483647)+1),'Tabelas'!$N$242:$N$348,0))&amp;"","")),IF($N$17=2,IF('Tabelas'!$C$239&lt;=0,"",IFERROR(INDEX('Tabelas'!$Y$242:$Y$348,MATCH(IF('Tabelas'!$C$239&lt;=0,0,INT($AC$30*'Tabelas'!$C$239/2147483647)+1),'Tabelas'!$O$242:$O$348,0))&amp;"","")),IF($N$17=3,IF('Tabelas'!$D$239&lt;=0,"",IFERROR(INDEX('Tabelas'!$Z$242:$Z$348,MATCH(IF('Tabelas'!$D$239&lt;=0,0,INT($AC$30*'Tabelas'!$D$239/2147483647)+1),'Tabelas'!$P$242:$P$348,0))&amp;"","")),IF($N$17=4,IF('Tabelas'!$E$239&lt;=0,"",IFERROR(INDEX('Tabelas'!$AA$242:$AA$348,MATCH(IF('Tabelas'!$E$239&lt;=0,0,INT($AC$30*'Tabelas'!$E$239/2147483647)+1),'Tabelas'!$Q$242:$Q$348,0))&amp;"","")),IF($N$17=5,IF('Tabelas'!$F$239&lt;=0,"",IFERROR(INDEX('Tabelas'!$AB$242:$AB$348,MATCH(IF('Tabelas'!$F$239&lt;=0,0,INT($AC$30*'Tabelas'!$F$239/2147483647)+1),'Tabelas'!$R$242:$R$348,0))&amp;"","")),IF($N$17=6,IF('Tabelas'!$G$239&lt;=0,"",IFERROR(INDEX('Tabelas'!$AC$242:$AC$348,MATCH(IF('Tabelas'!$G$239&lt;=0,0,INT($AC$30*'Tabelas'!$G$239/2147483647)+1),'Tabelas'!$S$242:$S$348,0))&amp;"","")),IF('Tabelas'!$H$239&lt;=0,"",IFERROR(INDEX('Tabelas'!$AD$242:$AD$348,MATCH(IF('Tabelas'!$H$239&lt;=0,0,INT($AC$30*'Tabelas'!$H$239/2147483647)+1),'Tabelas'!$T$242:$T$348,0))&amp;"",""))))))))</f>
        <v/>
      </c>
      <c r="AA19" s="2">
        <f>MOD(MOD(MOD((MOD('Início'!$E$16+104729*$I$7+15372790,2147483646)+1)*16807,2147483647)*16807,2147483647)*16807,2147483647)</f>
        <v/>
      </c>
      <c r="AB19" s="2">
        <f>MOD(MOD(MOD((MOD(MOD(INT($AA$19/65536)*$AA$19,2147483647)*65536+MOD($AA$19,65536)*$AA$19,2147483647))*16807,2147483647)*16807,2147483647)*16807,2147483647)</f>
        <v/>
      </c>
      <c r="AC19" s="2">
        <f>MOD(MOD(MOD((MOD($AB$19+INT($AB$19/65536)*MOD($AB$19,65536),2147483646)+1)*16807,2147483647)*16807,2147483647)*16807,2147483647)</f>
        <v/>
      </c>
      <c r="AE19" s="2">
        <f>$AE$18+IF(AND(LEN($N$10)&gt;0,INDEX('Tabelas'!$Z$472:$Z$578,10)&amp;""=$N$10,LEN(INDEX('Tabelas'!$AA$472:$AA$578,10)&amp;"")&gt;0),1,0)</f>
        <v/>
      </c>
      <c r="AF19" s="2">
        <f>IF(LEN(INDEX('Tabelas'!$Y$12:$Y$118,10)&amp;"")=0,0,IF(ISNUMBER(MATCH(INDEX('Tabelas'!$Y$12:$Y$118,10)&amp;"",'Dados'!$A$549:$A$554,0)),IF(AND(INDEX('Dados'!$B$549:$B$554,MATCH(INDEX('Tabelas'!$Y$12:$Y$118,10)&amp;"",'Dados'!$A$549:$A$554,0))&lt;=$N$12,INDEX('Dados'!$C$549:$C$554,MATCH(INDEX('Tabelas'!$Y$12:$Y$118,10)&amp;"",'Dados'!$A$549:$A$554,0))&gt;=$N$12),1,0),1))</f>
        <v/>
      </c>
      <c r="AG19" s="2">
        <f>$AG$18+$AF$19</f>
        <v/>
      </c>
      <c r="AH19" s="2">
        <f>'Tabelas'!$AB$480&amp;""</f>
        <v/>
      </c>
      <c r="AI19" s="2">
        <f>'Tabelas'!$X$20&amp;""</f>
        <v/>
      </c>
      <c r="AK19" s="2">
        <f>$AK$18+IF(AND('Dados'!$C$100="Boss",'Dados'!$D$100=$N$11,COUNTIFS('Dados'!$A$520:$A$545,$N$13,'Dados'!$B$520:$B$545,'Dados'!$B$100)&gt;0),1,0)</f>
        <v/>
      </c>
      <c r="AL19" s="2">
        <f>$AL$18+IF(AND('Dados'!$C$100="Elite",'Dados'!$D$100=$N$11,COUNTIFS('Dados'!$A$520:$A$545,$N$13,'Dados'!$B$520:$B$545,'Dados'!$B$100)&gt;0),1,0)</f>
        <v/>
      </c>
      <c r="AM19" s="2">
        <f>$AM$18+IF(AND('Dados'!$C$100="Boss",'Dados'!$D$100=$N$11),1,0)</f>
        <v/>
      </c>
    </row>
    <row r="20" ht="26" customHeight="1">
      <c r="A20" s="21" t="inlineStr">
        <is>
          <t>Prazo ou risco</t>
        </is>
      </c>
      <c r="B20" s="10">
        <f>$N$35</f>
        <v/>
      </c>
      <c r="I20" s="10">
        <f>"Tabelas: Prazo (27.7: ponha relógio na ficção)"</f>
        <v/>
      </c>
      <c r="K20" s="27">
        <f>IF('Tabelas'!$B$584&lt;=0,"Lista 'Prazo ou risco' está vazia (aba Tabelas)","")</f>
        <v/>
      </c>
      <c r="N20" s="2">
        <f>IF(LEN($N$19)=0,$N$18,IF(LEN($N$18)=0,$N$19,IF(INDEX('Dados'!$B$388:$B$394,$N$17)=2,$N$19&amp;INDEX('Dados'!$C$388:$C$394,$N$17)&amp;$N$18,$N$18&amp;INDEX('Dados'!$C$388:$C$394,$N$17)&amp;$N$19)))</f>
        <v/>
      </c>
      <c r="AA20" s="2">
        <f>MOD(MOD(MOD((MOD('Início'!$E$16+104729*$I$7+16672499,2147483646)+1)*16807,2147483647)*16807,2147483647)*16807,2147483647)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c r="AE20" s="2">
        <f>$AE$19+IF(AND(LEN($N$10)&gt;0,INDEX('Tabelas'!$Z$472:$Z$578,11)&amp;""=$N$10,LEN(INDEX('Tabelas'!$AA$472:$AA$578,11)&amp;"")&gt;0),1,0)</f>
        <v/>
      </c>
      <c r="AF20" s="2">
        <f>IF(LEN(INDEX('Tabelas'!$Y$12:$Y$118,11)&amp;"")=0,0,IF(ISNUMBER(MATCH(INDEX('Tabelas'!$Y$12:$Y$118,11)&amp;"",'Dados'!$A$549:$A$554,0)),IF(AND(INDEX('Dados'!$B$549:$B$554,MATCH(INDEX('Tabelas'!$Y$12:$Y$118,11)&amp;"",'Dados'!$A$549:$A$554,0))&lt;=$N$12,INDEX('Dados'!$C$549:$C$554,MATCH(INDEX('Tabelas'!$Y$12:$Y$118,11)&amp;"",'Dados'!$A$549:$A$554,0))&gt;=$N$12),1,0),1))</f>
        <v/>
      </c>
      <c r="AG20" s="2">
        <f>$AG$19+$AF$20</f>
        <v/>
      </c>
      <c r="AH20" s="2">
        <f>'Tabelas'!$AB$481&amp;""</f>
        <v/>
      </c>
      <c r="AI20" s="2">
        <f>'Tabelas'!$X$21&amp;""</f>
        <v/>
      </c>
      <c r="AK20" s="2">
        <f>$AK$19+IF(AND('Dados'!$C$101="Boss",'Dados'!$D$101=$N$11,COUNTIFS('Dados'!$A$520:$A$545,$N$13,'Dados'!$B$520:$B$545,'Dados'!$B$101)&gt;0),1,0)</f>
        <v/>
      </c>
      <c r="AL20" s="2">
        <f>$AL$19+IF(AND('Dados'!$C$101="Elite",'Dados'!$D$101=$N$11,COUNTIFS('Dados'!$A$520:$A$545,$N$13,'Dados'!$B$520:$B$545,'Dados'!$B$101)&gt;0),1,0)</f>
        <v/>
      </c>
      <c r="AM20" s="2">
        <f>$AM$19+IF(AND('Dados'!$C$101="Boss",'Dados'!$D$101=$N$11),1,0)</f>
        <v/>
      </c>
    </row>
    <row r="21" ht="37" customHeight="1">
      <c r="A21" s="9" t="inlineStr">
        <is>
          <t>Recompensa</t>
        </is>
      </c>
      <c r="B21" s="5">
        <f>"Verba de marco: "&amp;$N$52&amp;" Cr para o grupo ao subir de nível (24.5) · equipamento de faixa se esta aventura fechar o arco (25.1) · 1 "&amp;$N$41&amp;" ("&amp;$N$42&amp;" Cr, 24.3) · pista: "&amp;$N$43</f>
        <v/>
      </c>
      <c r="I21" s="5">
        <f>"Faixa "&amp;$N$11&amp;"; o consumível é Sugestão da planilha — não é regra do livro (H9)"</f>
        <v/>
      </c>
      <c r="N21" s="2">
        <f>IF('Tabelas'!$B$354&lt;=0,"",IFERROR(INDEX('Tabelas'!$X$357:$X$463,MATCH(IF('Tabelas'!$B$354&lt;=0,0,INT($AC$25*'Tabelas'!$B$354/2147483647)+1),'Tabelas'!$N$357:$N$463,0))&amp;"",""))</f>
        <v/>
      </c>
      <c r="AA21" s="2">
        <f>MOD(MOD(MOD((MOD('Início'!$E$16+104729*$I$7+17972208,2147483646)+1)*16807,2147483647)*16807,2147483647)*16807,2147483647)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c r="AE21" s="2">
        <f>$AE$20+IF(AND(LEN($N$10)&gt;0,INDEX('Tabelas'!$Z$472:$Z$578,12)&amp;""=$N$10,LEN(INDEX('Tabelas'!$AA$472:$AA$578,12)&amp;"")&gt;0),1,0)</f>
        <v/>
      </c>
      <c r="AF21" s="2">
        <f>IF(LEN(INDEX('Tabelas'!$Y$12:$Y$118,12)&amp;"")=0,0,IF(ISNUMBER(MATCH(INDEX('Tabelas'!$Y$12:$Y$118,12)&amp;"",'Dados'!$A$549:$A$554,0)),IF(AND(INDEX('Dados'!$B$549:$B$554,MATCH(INDEX('Tabelas'!$Y$12:$Y$118,12)&amp;"",'Dados'!$A$549:$A$554,0))&lt;=$N$12,INDEX('Dados'!$C$549:$C$554,MATCH(INDEX('Tabelas'!$Y$12:$Y$118,12)&amp;"",'Dados'!$A$549:$A$554,0))&gt;=$N$12),1,0),1))</f>
        <v/>
      </c>
      <c r="AG21" s="2">
        <f>$AG$20+$AF$21</f>
        <v/>
      </c>
      <c r="AH21" s="2">
        <f>'Tabelas'!$AB$482&amp;""</f>
        <v/>
      </c>
      <c r="AI21" s="2">
        <f>'Tabelas'!$X$22&amp;""</f>
        <v/>
      </c>
      <c r="AK21" s="2">
        <f>$AK$20+IF(AND('Dados'!$C$102="Boss",'Dados'!$D$102=$N$11,COUNTIFS('Dados'!$A$520:$A$545,$N$13,'Dados'!$B$520:$B$545,'Dados'!$B$102)&gt;0),1,0)</f>
        <v/>
      </c>
      <c r="AL21" s="2">
        <f>$AL$20+IF(AND('Dados'!$C$102="Elite",'Dados'!$D$102=$N$11,COUNTIFS('Dados'!$A$520:$A$545,$N$13,'Dados'!$B$520:$B$545,'Dados'!$B$102)&gt;0),1,0)</f>
        <v/>
      </c>
      <c r="AM21" s="2">
        <f>$AM$20+IF(AND('Dados'!$C$102="Boss",'Dados'!$D$102=$N$11),1,0)</f>
        <v/>
      </c>
    </row>
    <row r="22">
      <c r="N22" s="2">
        <f>$N$20&amp;IF(LEN($N$21)&gt;0,", "&amp;$N$21,"")&amp;IF(LEN($N$15)&gt;0," ("&amp;$N$15&amp;")","")</f>
        <v/>
      </c>
      <c r="AA22" s="2">
        <f>MOD(MOD(MOD((MOD('Início'!$E$16+104729*$I$7+19271917,2147483646)+1)*16807,2147483647)*16807,2147483647)*16807,2147483647)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c r="AE22" s="2">
        <f>$AE$21+IF(AND(LEN($N$10)&gt;0,INDEX('Tabelas'!$Z$472:$Z$578,13)&amp;""=$N$10,LEN(INDEX('Tabelas'!$AA$472:$AA$578,13)&amp;"")&gt;0),1,0)</f>
        <v/>
      </c>
      <c r="AF22" s="2">
        <f>IF(LEN(INDEX('Tabelas'!$Y$12:$Y$118,13)&amp;"")=0,0,IF(ISNUMBER(MATCH(INDEX('Tabelas'!$Y$12:$Y$118,13)&amp;"",'Dados'!$A$549:$A$554,0)),IF(AND(INDEX('Dados'!$B$549:$B$554,MATCH(INDEX('Tabelas'!$Y$12:$Y$118,13)&amp;"",'Dados'!$A$549:$A$554,0))&lt;=$N$12,INDEX('Dados'!$C$549:$C$554,MATCH(INDEX('Tabelas'!$Y$12:$Y$118,13)&amp;"",'Dados'!$A$549:$A$554,0))&gt;=$N$12),1,0),1))</f>
        <v/>
      </c>
      <c r="AG22" s="2">
        <f>$AG$21+$AF$22</f>
        <v/>
      </c>
      <c r="AH22" s="2">
        <f>'Tabelas'!$AB$483&amp;""</f>
        <v/>
      </c>
      <c r="AI22" s="2">
        <f>'Tabelas'!$X$23&amp;""</f>
        <v/>
      </c>
      <c r="AK22" s="2">
        <f>$AK$21+IF(AND('Dados'!$C$103="Boss",'Dados'!$D$103=$N$11,COUNTIFS('Dados'!$A$520:$A$545,$N$13,'Dados'!$B$520:$B$545,'Dados'!$B$103)&gt;0),1,0)</f>
        <v/>
      </c>
      <c r="AL22" s="2">
        <f>$AL$21+IF(AND('Dados'!$C$103="Elite",'Dados'!$D$103=$N$11,COUNTIFS('Dados'!$A$520:$A$545,$N$13,'Dados'!$B$520:$B$545,'Dados'!$B$103)&gt;0),1,0)</f>
        <v/>
      </c>
      <c r="AM22" s="2">
        <f>$AM$21+IF(AND('Dados'!$C$103="Boss",'Dados'!$D$103=$N$11),1,0)</f>
        <v/>
      </c>
    </row>
    <row r="23" ht="26" customHeight="1">
      <c r="A23" s="13" t="inlineStr">
        <is>
          <t>Estrutura em 5 cenas (27.4 e 27.7; a DT é a da faixa do desafio, 27.2)</t>
        </is>
      </c>
      <c r="K23" s="12" t="inlineStr">
        <is>
          <t>Sugestão da planilha — não é regra do livro (H14)</t>
        </is>
      </c>
      <c r="N23" s="2">
        <f>$AE$116</f>
        <v/>
      </c>
      <c r="AA23" s="2">
        <f>MOD(MOD(MOD((MOD('Início'!$E$16+104729*$I$7+20571626,2147483646)+1)*16807,2147483647)*16807,2147483647)*16807,2147483647)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c r="AE23" s="2">
        <f>$AE$22</f>
        <v/>
      </c>
      <c r="AF23" s="2">
        <f>0</f>
        <v/>
      </c>
      <c r="AG23" s="2">
        <f>$AG$22+$AF$23</f>
        <v/>
      </c>
      <c r="AH23" s="2">
        <f>'Tabelas'!$AB$484&amp;""</f>
        <v/>
      </c>
      <c r="AI23" s="2">
        <f>'Tabelas'!$X$24&amp;""</f>
        <v/>
      </c>
      <c r="AK23" s="2">
        <f>$AK$22+IF(AND('Dados'!$C$104="Boss",'Dados'!$D$104=$N$11,COUNTIFS('Dados'!$A$520:$A$545,$N$13,'Dados'!$B$520:$B$545,'Dados'!$B$104)&gt;0),1,0)</f>
        <v/>
      </c>
      <c r="AL23" s="2">
        <f>$AL$22+IF(AND('Dados'!$C$104="Elite",'Dados'!$D$104=$N$11,COUNTIFS('Dados'!$A$520:$A$545,$N$13,'Dados'!$B$520:$B$545,'Dados'!$B$104)&gt;0),1,0)</f>
        <v/>
      </c>
      <c r="AM23" s="2">
        <f>$AM$22+IF(AND('Dados'!$C$104="Boss",'Dados'!$D$104=$N$11),1,0)</f>
        <v/>
      </c>
    </row>
    <row r="24" ht="26" customHeight="1">
      <c r="A24" s="8" t="inlineStr">
        <is>
          <t>Cena</t>
        </is>
      </c>
      <c r="B24" s="8" t="inlineStr">
        <is>
          <t>Tipo</t>
        </is>
      </c>
      <c r="C24" s="8" t="inlineStr">
        <is>
          <t>O que acontece</t>
        </is>
      </c>
      <c r="D24" s="20" t="n"/>
      <c r="E24" s="20" t="n"/>
      <c r="F24" s="20" t="n"/>
      <c r="G24" s="20" t="n"/>
      <c r="H24" s="20" t="n"/>
      <c r="I24" s="8" t="inlineStr">
        <is>
          <t>DT</t>
        </is>
      </c>
      <c r="J24" s="8" t="inlineStr">
        <is>
          <t>Orçamento (PV)</t>
        </is>
      </c>
      <c r="K24" s="8" t="inlineStr">
        <is>
          <t>Aviso</t>
        </is>
      </c>
      <c r="L24" s="20" t="n"/>
      <c r="N24" s="2">
        <f>IF($N$23=0,"",IFERROR(INDEX('Tabelas'!$AA$472:$AA$578,MATCH(INT($AC$14*$N$23/2147483647)+1,$AE$10:$AE$116,0))&amp;"",""))</f>
        <v/>
      </c>
      <c r="AA24" s="2">
        <f>MOD(MOD(MOD((MOD('Início'!$E$16+104729*$I$7+21871335,2147483646)+1)*16807,2147483647)*16807,2147483647)*16807,2147483647)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c r="AE24" s="2">
        <f>$AE$23+IF(AND(LEN($N$10)&gt;0,INDEX('Tabelas'!$Z$472:$Z$578,15)&amp;""=$N$10,LEN(INDEX('Tabelas'!$AA$472:$AA$578,15)&amp;"")&gt;0),1,0)</f>
        <v/>
      </c>
      <c r="AF24" s="2">
        <f>IF(LEN(INDEX('Tabelas'!$Y$12:$Y$118,15)&amp;"")=0,0,IF(ISNUMBER(MATCH(INDEX('Tabelas'!$Y$12:$Y$118,15)&amp;"",'Dados'!$A$549:$A$554,0)),IF(AND(INDEX('Dados'!$B$549:$B$554,MATCH(INDEX('Tabelas'!$Y$12:$Y$118,15)&amp;"",'Dados'!$A$549:$A$554,0))&lt;=$N$12,INDEX('Dados'!$C$549:$C$554,MATCH(INDEX('Tabelas'!$Y$12:$Y$118,15)&amp;"",'Dados'!$A$549:$A$554,0))&gt;=$N$12),1,0),1))</f>
        <v/>
      </c>
      <c r="AG24" s="2">
        <f>$AG$23+$AF$24</f>
        <v/>
      </c>
      <c r="AH24" s="2">
        <f>'Tabelas'!$AB$486&amp;""</f>
        <v/>
      </c>
      <c r="AI24" s="2">
        <f>'Tabelas'!$X$26&amp;""</f>
        <v/>
      </c>
      <c r="AK24" s="2">
        <f>$AK$23+IF(AND('Dados'!$C$105="Boss",'Dados'!$D$105=$N$11,COUNTIFS('Dados'!$A$520:$A$545,$N$13,'Dados'!$B$520:$B$545,'Dados'!$B$105)&gt;0),1,0)</f>
        <v/>
      </c>
      <c r="AL24" s="2">
        <f>$AL$23+IF(AND('Dados'!$C$105="Elite",'Dados'!$D$105=$N$11,COUNTIFS('Dados'!$A$520:$A$545,$N$13,'Dados'!$B$520:$B$545,'Dados'!$B$105)&gt;0),1,0)</f>
        <v/>
      </c>
      <c r="AM24" s="2">
        <f>$AM$23+IF(AND('Dados'!$C$105="Boss",'Dados'!$D$105=$N$11),1,0)</f>
        <v/>
      </c>
    </row>
    <row r="25" ht="26" customHeight="1">
      <c r="A25" s="9" t="inlineStr">
        <is>
          <t>1 · Gancho</t>
        </is>
      </c>
      <c r="B25" s="18">
        <f>"Social ou descoberta"</f>
        <v/>
      </c>
      <c r="C25" s="5">
        <f>$N$47</f>
        <v/>
      </c>
      <c r="I25" s="18">
        <f>$N$50</f>
        <v/>
      </c>
      <c r="J25" s="18">
        <f>"—"</f>
        <v/>
      </c>
      <c r="N25" s="2">
        <f>$AG$116</f>
        <v/>
      </c>
      <c r="AA25" s="2">
        <f>MOD(MOD(MOD((MOD('Início'!$E$16+104729*$I$7+23171044,2147483646)+1)*16807,2147483647)*16807,2147483647)*16807,2147483647)</f>
        <v/>
      </c>
      <c r="AB25" s="2">
        <f>MOD(MOD(MOD((MOD(MOD(INT($AA$25/65536)*$AA$25,2147483647)*65536+MOD($AA$25,65536)*$AA$25,2147483647))*16807,2147483647)*16807,2147483647)*16807,2147483647)</f>
        <v/>
      </c>
      <c r="AC25" s="2">
        <f>MOD(MOD(MOD((MOD($AB$25+INT($AB$25/65536)*MOD($AB$25,65536),2147483646)+1)*16807,2147483647)*16807,2147483647)*16807,2147483647)</f>
        <v/>
      </c>
      <c r="AE25" s="2">
        <f>$AE$24+IF(AND(LEN($N$10)&gt;0,INDEX('Tabelas'!$Z$472:$Z$578,16)&amp;""=$N$10,LEN(INDEX('Tabelas'!$AA$472:$AA$578,16)&amp;"")&gt;0),1,0)</f>
        <v/>
      </c>
      <c r="AF25" s="2">
        <f>IF(LEN(INDEX('Tabelas'!$Y$12:$Y$118,16)&amp;"")=0,0,IF(ISNUMBER(MATCH(INDEX('Tabelas'!$Y$12:$Y$118,16)&amp;"",'Dados'!$A$549:$A$554,0)),IF(AND(INDEX('Dados'!$B$549:$B$554,MATCH(INDEX('Tabelas'!$Y$12:$Y$118,16)&amp;"",'Dados'!$A$549:$A$554,0))&lt;=$N$12,INDEX('Dados'!$C$549:$C$554,MATCH(INDEX('Tabelas'!$Y$12:$Y$118,16)&amp;"",'Dados'!$A$549:$A$554,0))&gt;=$N$12),1,0),1))</f>
        <v/>
      </c>
      <c r="AG25" s="2">
        <f>$AG$24+$AF$25</f>
        <v/>
      </c>
      <c r="AH25" s="2">
        <f>'Tabelas'!$AB$487&amp;""</f>
        <v/>
      </c>
      <c r="AI25" s="2">
        <f>'Tabelas'!$X$27&amp;""</f>
        <v/>
      </c>
      <c r="AK25" s="2">
        <f>$AK$24+IF(AND('Dados'!$C$106="Boss",'Dados'!$D$106=$N$11,COUNTIFS('Dados'!$A$520:$A$545,$N$13,'Dados'!$B$520:$B$545,'Dados'!$B$106)&gt;0),1,0)</f>
        <v/>
      </c>
      <c r="AL25" s="2">
        <f>$AL$24+IF(AND('Dados'!$C$106="Elite",'Dados'!$D$106=$N$11,COUNTIFS('Dados'!$A$520:$A$545,$N$13,'Dados'!$B$520:$B$545,'Dados'!$B$106)&gt;0),1,0)</f>
        <v/>
      </c>
      <c r="AM25" s="2">
        <f>$AM$24+IF(AND('Dados'!$C$106="Boss",'Dados'!$D$106=$N$11),1,0)</f>
        <v/>
      </c>
    </row>
    <row r="26" ht="26" customHeight="1">
      <c r="A26" s="21" t="inlineStr">
        <is>
          <t>2 · Investigação ou viagem</t>
        </is>
      </c>
      <c r="B26" s="23">
        <f>"Exploração"</f>
        <v/>
      </c>
      <c r="C26" s="10">
        <f>"Um Teste de Perícia da faixa do desafio (DT Média, 27.2); falhe para frente: chegar tarde, sem recurso ou devendo um favor (02, 27.15)."</f>
        <v/>
      </c>
      <c r="I26" s="23">
        <f>$N$50</f>
        <v/>
      </c>
      <c r="J26" s="23">
        <f>"—"</f>
        <v/>
      </c>
      <c r="K26" s="30" t="n"/>
      <c r="L26" s="30" t="n"/>
      <c r="N26" s="2">
        <f>IF($N$25=0,"",IFERROR(INDEX('Tabelas'!$Y$12:$Y$118,MATCH(INT($AC$15*$N$25/2147483647)+1,$AG$10:$AG$116,0))&amp;"",""))</f>
        <v/>
      </c>
      <c r="AA26" s="2">
        <f>MOD(MOD(MOD((MOD('Início'!$E$16+104729*$I$7+24470753,2147483646)+1)*16807,2147483647)*16807,2147483647)*16807,2147483647)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c r="AE26" s="2">
        <f>$AE$25+IF(AND(LEN($N$10)&gt;0,INDEX('Tabelas'!$Z$472:$Z$578,17)&amp;""=$N$10,LEN(INDEX('Tabelas'!$AA$472:$AA$578,17)&amp;"")&gt;0),1,0)</f>
        <v/>
      </c>
      <c r="AF26" s="2">
        <f>IF(LEN(INDEX('Tabelas'!$Y$12:$Y$118,17)&amp;"")=0,0,IF(ISNUMBER(MATCH(INDEX('Tabelas'!$Y$12:$Y$118,17)&amp;"",'Dados'!$A$549:$A$554,0)),IF(AND(INDEX('Dados'!$B$549:$B$554,MATCH(INDEX('Tabelas'!$Y$12:$Y$118,17)&amp;"",'Dados'!$A$549:$A$554,0))&lt;=$N$12,INDEX('Dados'!$C$549:$C$554,MATCH(INDEX('Tabelas'!$Y$12:$Y$118,17)&amp;"",'Dados'!$A$549:$A$554,0))&gt;=$N$12),1,0),1))</f>
        <v/>
      </c>
      <c r="AG26" s="2">
        <f>$AG$25+$AF$26</f>
        <v/>
      </c>
      <c r="AH26" s="2">
        <f>'Tabelas'!$AB$488&amp;""</f>
        <v/>
      </c>
      <c r="AI26" s="2">
        <f>'Tabelas'!$X$28&amp;""</f>
        <v/>
      </c>
      <c r="AK26" s="2">
        <f>$AK$25+IF(AND('Dados'!$C$107="Boss",'Dados'!$D$107=$N$11,COUNTIFS('Dados'!$A$520:$A$545,$N$13,'Dados'!$B$520:$B$545,'Dados'!$B$107)&gt;0),1,0)</f>
        <v/>
      </c>
      <c r="AL26" s="2">
        <f>$AL$25+IF(AND('Dados'!$C$107="Elite",'Dados'!$D$107=$N$11,COUNTIFS('Dados'!$A$520:$A$545,$N$13,'Dados'!$B$520:$B$545,'Dados'!$B$107)&gt;0),1,0)</f>
        <v/>
      </c>
      <c r="AM26" s="2">
        <f>$AM$25+IF(AND('Dados'!$C$107="Boss",'Dados'!$D$107=$N$11),1,0)</f>
        <v/>
      </c>
    </row>
    <row r="27" ht="26" customHeight="1">
      <c r="A27" s="9" t="inlineStr">
        <is>
          <t>3 · Primeiro encontro</t>
        </is>
      </c>
      <c r="B27" s="18">
        <f>"Combate"</f>
        <v/>
      </c>
      <c r="C27" s="5">
        <f>"Composição "&amp;$N$36&amp;" a 50% do orçamento: cena de passagem, cerca de 2 Ciclos (27.4)."</f>
        <v/>
      </c>
      <c r="I27" s="18">
        <f>"—"</f>
        <v/>
      </c>
      <c r="J27" s="18">
        <f>INT($N$49/2)</f>
        <v/>
      </c>
      <c r="N27" s="2">
        <f>IF('Tabelas'!$H$469&lt;=0,"",IFERROR(INDEX('Tabelas'!$AD$472:$AD$578,MATCH(IF('Tabelas'!$H$469&lt;=0,0,INT($AC$15*'Tabelas'!$H$469/2147483647)+1),'Tabelas'!$T$472:$T$578,0))&amp;"",""))</f>
        <v/>
      </c>
      <c r="AA27" s="2">
        <f>MOD(MOD(MOD((MOD('Início'!$E$16+104729*$I$7+25770462,2147483646)+1)*16807,2147483647)*16807,2147483647)*16807,2147483647)</f>
        <v/>
      </c>
      <c r="AB27" s="2">
        <f>MOD(MOD(MOD((MOD(MOD(INT($AA$27/65536)*$AA$27,2147483647)*65536+MOD($AA$27,65536)*$AA$27,2147483647))*16807,2147483647)*16807,2147483647)*16807,2147483647)</f>
        <v/>
      </c>
      <c r="AC27" s="2">
        <f>MOD(MOD(MOD((MOD($AB$27+INT($AB$27/65536)*MOD($AB$27,65536),2147483646)+1)*16807,2147483647)*16807,2147483647)*16807,2147483647)</f>
        <v/>
      </c>
      <c r="AE27" s="2">
        <f>$AE$26+IF(AND(LEN($N$10)&gt;0,INDEX('Tabelas'!$Z$472:$Z$578,18)&amp;""=$N$10,LEN(INDEX('Tabelas'!$AA$472:$AA$578,18)&amp;"")&gt;0),1,0)</f>
        <v/>
      </c>
      <c r="AF27" s="2">
        <f>IF(LEN(INDEX('Tabelas'!$Y$12:$Y$118,18)&amp;"")=0,0,IF(ISNUMBER(MATCH(INDEX('Tabelas'!$Y$12:$Y$118,18)&amp;"",'Dados'!$A$549:$A$554,0)),IF(AND(INDEX('Dados'!$B$549:$B$554,MATCH(INDEX('Tabelas'!$Y$12:$Y$118,18)&amp;"",'Dados'!$A$549:$A$554,0))&lt;=$N$12,INDEX('Dados'!$C$549:$C$554,MATCH(INDEX('Tabelas'!$Y$12:$Y$118,18)&amp;"",'Dados'!$A$549:$A$554,0))&gt;=$N$12),1,0),1))</f>
        <v/>
      </c>
      <c r="AG27" s="2">
        <f>$AG$26+$AF$27</f>
        <v/>
      </c>
      <c r="AH27" s="2">
        <f>'Tabelas'!$AB$489&amp;""</f>
        <v/>
      </c>
      <c r="AI27" s="2">
        <f>'Tabelas'!$X$29&amp;""</f>
        <v/>
      </c>
      <c r="AK27" s="2">
        <f>$AK$26+IF(AND('Dados'!$C$108="Boss",'Dados'!$D$108=$N$11,COUNTIFS('Dados'!$A$520:$A$545,$N$13,'Dados'!$B$520:$B$545,'Dados'!$B$108)&gt;0),1,0)</f>
        <v/>
      </c>
      <c r="AL27" s="2">
        <f>$AL$26+IF(AND('Dados'!$C$108="Elite",'Dados'!$D$108=$N$11,COUNTIFS('Dados'!$A$520:$A$545,$N$13,'Dados'!$B$520:$B$545,'Dados'!$B$108)&gt;0),1,0)</f>
        <v/>
      </c>
      <c r="AM27" s="2">
        <f>$AM$26+IF(AND('Dados'!$C$108="Boss",'Dados'!$D$108=$N$11),1,0)</f>
        <v/>
      </c>
    </row>
    <row r="28" ht="26" customHeight="1">
      <c r="A28" s="21" t="inlineStr">
        <is>
          <t>4 · Complicação</t>
        </is>
      </c>
      <c r="B28" s="23">
        <f>IF($N$37=1,"Combate","Objetivo")</f>
        <v/>
      </c>
      <c r="C28" s="10">
        <f>$N$33&amp;" — "&amp;IF($N$37=1,"e um encontro típico (27.4).","e um objetivo que não seja matar todo mundo: "&amp;$N$38&amp;" (27.7).")</f>
        <v/>
      </c>
      <c r="I28" s="23">
        <f>$N$51</f>
        <v/>
      </c>
      <c r="J28" s="23">
        <f>IF($N$37=1,$N$49,"—")</f>
        <v/>
      </c>
      <c r="K28" s="30" t="n"/>
      <c r="L28" s="30" t="n"/>
      <c r="N28" s="2">
        <f>(1+INT($AC$27*((2)-(1)+1)/2147483647))</f>
        <v/>
      </c>
      <c r="AA28" s="2">
        <f>MOD(MOD(MOD((MOD('Início'!$E$16+104729*$I$7+27070171,2147483646)+1)*16807,2147483647)*16807,2147483647)*16807,2147483647)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c r="AE28" s="2">
        <f>$AE$27+IF(AND(LEN($N$10)&gt;0,INDEX('Tabelas'!$Z$472:$Z$578,19)&amp;""=$N$10,LEN(INDEX('Tabelas'!$AA$472:$AA$578,19)&amp;"")&gt;0),1,0)</f>
        <v/>
      </c>
      <c r="AF28" s="2">
        <f>IF(LEN(INDEX('Tabelas'!$Y$12:$Y$118,19)&amp;"")=0,0,IF(ISNUMBER(MATCH(INDEX('Tabelas'!$Y$12:$Y$118,19)&amp;"",'Dados'!$A$549:$A$554,0)),IF(AND(INDEX('Dados'!$B$549:$B$554,MATCH(INDEX('Tabelas'!$Y$12:$Y$118,19)&amp;"",'Dados'!$A$549:$A$554,0))&lt;=$N$12,INDEX('Dados'!$C$549:$C$554,MATCH(INDEX('Tabelas'!$Y$12:$Y$118,19)&amp;"",'Dados'!$A$549:$A$554,0))&gt;=$N$12),1,0),1))</f>
        <v/>
      </c>
      <c r="AG28" s="2">
        <f>$AG$27+$AF$28</f>
        <v/>
      </c>
      <c r="AH28" s="2">
        <f>'Tabelas'!$AB$490&amp;""</f>
        <v/>
      </c>
      <c r="AI28" s="2">
        <f>'Tabelas'!$X$30&amp;""</f>
        <v/>
      </c>
      <c r="AK28" s="2">
        <f>$AK$27+IF(AND('Dados'!$C$109="Boss",'Dados'!$D$109=$N$11,COUNTIFS('Dados'!$A$520:$A$545,$N$13,'Dados'!$B$520:$B$545,'Dados'!$B$109)&gt;0),1,0)</f>
        <v/>
      </c>
      <c r="AL28" s="2">
        <f>$AL$27+IF(AND('Dados'!$C$109="Elite",'Dados'!$D$109=$N$11,COUNTIFS('Dados'!$A$520:$A$545,$N$13,'Dados'!$B$520:$B$545,'Dados'!$B$109)&gt;0),1,0)</f>
        <v/>
      </c>
      <c r="AM28" s="2">
        <f>$AM$27+IF(AND('Dados'!$C$109="Boss",'Dados'!$D$109=$N$11),1,0)</f>
        <v/>
      </c>
    </row>
    <row r="29" ht="37" customHeight="1">
      <c r="A29" s="9" t="inlineStr">
        <is>
          <t>5 · Clímax</t>
        </is>
      </c>
      <c r="B29" s="18">
        <f>"Combate"</f>
        <v/>
      </c>
      <c r="C29" s="5">
        <f>"Antagonista: "&amp;$N$32&amp;". Cumpra o contrato da Fraqueza (27.5); três combates no dia é um dia de verdade, quatro é emergência (27.7)."</f>
        <v/>
      </c>
      <c r="I29" s="18">
        <f>$N$51</f>
        <v/>
      </c>
      <c r="J29" s="18">
        <f>$N$49</f>
        <v/>
      </c>
      <c r="N29" s="2">
        <f>IF($N$28=1,IF(LEN($N$26)&gt;0,$N$26,$N$27),IF(LEN($N$27)&gt;0,$N$27,$N$26))</f>
        <v/>
      </c>
      <c r="AA29" s="2">
        <f>MOD(MOD(MOD((MOD('Início'!$E$16+104729*$I$7+28369880,2147483646)+1)*16807,2147483647)*16807,2147483647)*16807,2147483647)</f>
        <v/>
      </c>
      <c r="AB29" s="2">
        <f>MOD(MOD(MOD((MOD(MOD(INT($AA$29/65536)*$AA$29,2147483647)*65536+MOD($AA$29,65536)*$AA$29,2147483647))*16807,2147483647)*16807,2147483647)*16807,2147483647)</f>
        <v/>
      </c>
      <c r="AC29" s="2">
        <f>MOD(MOD(MOD((MOD($AB$29+INT($AB$29/65536)*MOD($AB$29,65536),2147483646)+1)*16807,2147483647)*16807,2147483647)*16807,2147483647)</f>
        <v/>
      </c>
      <c r="AE29" s="2">
        <f>$AE$28+IF(AND(LEN($N$10)&gt;0,INDEX('Tabelas'!$Z$472:$Z$578,20)&amp;""=$N$10,LEN(INDEX('Tabelas'!$AA$472:$AA$578,20)&amp;"")&gt;0),1,0)</f>
        <v/>
      </c>
      <c r="AF29" s="2">
        <f>IF(LEN(INDEX('Tabelas'!$Y$12:$Y$118,20)&amp;"")=0,0,IF(ISNUMBER(MATCH(INDEX('Tabelas'!$Y$12:$Y$118,20)&amp;"",'Dados'!$A$549:$A$554,0)),IF(AND(INDEX('Dados'!$B$549:$B$554,MATCH(INDEX('Tabelas'!$Y$12:$Y$118,20)&amp;"",'Dados'!$A$549:$A$554,0))&lt;=$N$12,INDEX('Dados'!$C$549:$C$554,MATCH(INDEX('Tabelas'!$Y$12:$Y$118,20)&amp;"",'Dados'!$A$549:$A$554,0))&gt;=$N$12),1,0),1))</f>
        <v/>
      </c>
      <c r="AG29" s="2">
        <f>$AG$28+$AF$29</f>
        <v/>
      </c>
      <c r="AH29" s="2">
        <f>'Tabelas'!$AB$491&amp;""</f>
        <v/>
      </c>
      <c r="AI29" s="2">
        <f>'Tabelas'!$X$31&amp;""</f>
        <v/>
      </c>
      <c r="AK29" s="2">
        <f>$AK$28+IF(AND('Dados'!$C$110="Boss",'Dados'!$D$110=$N$11,COUNTIFS('Dados'!$A$520:$A$545,$N$13,'Dados'!$B$520:$B$545,'Dados'!$B$110)&gt;0),1,0)</f>
        <v/>
      </c>
      <c r="AL29" s="2">
        <f>$AL$28+IF(AND('Dados'!$C$110="Elite",'Dados'!$D$110=$N$11,COUNTIFS('Dados'!$A$520:$A$545,$N$13,'Dados'!$B$520:$B$545,'Dados'!$B$110)&gt;0),1,0)</f>
        <v/>
      </c>
      <c r="AM29" s="2">
        <f>$AM$28+IF(AND('Dados'!$C$110="Boss",'Dados'!$D$110=$N$11),1,0)</f>
        <v/>
      </c>
    </row>
    <row r="30">
      <c r="A30" s="43">
        <f>"Orçamento da faixa "&amp;$N$11&amp;" para "&amp;'Campanha'!$B$21&amp;" jogadores: "&amp;$N$49&amp;" PV (27.4"&amp;IF('Campanha'!$B$21=4,")","; grupo diferente de 4: Sugestão da planilha — não é regra do livro (H5))")&amp;". DT Média "&amp;$N$50&amp;", Difícil "&amp;$N$51&amp;" (27.2)."</f>
        <v/>
      </c>
      <c r="N30" s="2">
        <f>IF($AK$42&gt;0,1,IF($AL$42&gt;0,2,IF($AM$42&gt;0,3,0)))</f>
        <v/>
      </c>
      <c r="O30" s="2">
        <f>IF(ISNUMBER($N$31),INDEX('Dados'!$B$92:$B$123,$N$31),"")</f>
        <v/>
      </c>
      <c r="AA30" s="2">
        <f>MOD(MOD(MOD((MOD('Início'!$E$16+104729*$I$7+29669589,2147483646)+1)*16807,2147483647)*16807,2147483647)*16807,2147483647)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c r="AE30" s="2">
        <f>$AE$29+IF(AND(LEN($N$10)&gt;0,INDEX('Tabelas'!$Z$472:$Z$578,21)&amp;""=$N$10,LEN(INDEX('Tabelas'!$AA$472:$AA$578,21)&amp;"")&gt;0),1,0)</f>
        <v/>
      </c>
      <c r="AF30" s="2">
        <f>IF(LEN(INDEX('Tabelas'!$Y$12:$Y$118,21)&amp;"")=0,0,IF(ISNUMBER(MATCH(INDEX('Tabelas'!$Y$12:$Y$118,21)&amp;"",'Dados'!$A$549:$A$554,0)),IF(AND(INDEX('Dados'!$B$549:$B$554,MATCH(INDEX('Tabelas'!$Y$12:$Y$118,21)&amp;"",'Dados'!$A$549:$A$554,0))&lt;=$N$12,INDEX('Dados'!$C$549:$C$554,MATCH(INDEX('Tabelas'!$Y$12:$Y$118,21)&amp;"",'Dados'!$A$549:$A$554,0))&gt;=$N$12),1,0),1))</f>
        <v/>
      </c>
      <c r="AG30" s="2">
        <f>$AG$29+$AF$30</f>
        <v/>
      </c>
      <c r="AH30" s="2">
        <f>'Tabelas'!$AB$492&amp;""</f>
        <v/>
      </c>
      <c r="AI30" s="2">
        <f>'Tabelas'!$X$32&amp;""</f>
        <v/>
      </c>
      <c r="AK30" s="2">
        <f>$AK$29+IF(AND('Dados'!$C$111="Boss",'Dados'!$D$111=$N$11,COUNTIFS('Dados'!$A$520:$A$545,$N$13,'Dados'!$B$520:$B$545,'Dados'!$B$111)&gt;0),1,0)</f>
        <v/>
      </c>
      <c r="AL30" s="2">
        <f>$AL$29+IF(AND('Dados'!$C$111="Elite",'Dados'!$D$111=$N$11,COUNTIFS('Dados'!$A$520:$A$545,$N$13,'Dados'!$B$520:$B$545,'Dados'!$B$111)&gt;0),1,0)</f>
        <v/>
      </c>
      <c r="AM30" s="2">
        <f>$AM$29+IF(AND('Dados'!$C$111="Boss",'Dados'!$D$111=$N$11),1,0)</f>
        <v/>
      </c>
    </row>
    <row r="31">
      <c r="N31" s="2">
        <f>IF($N$30=0,"",IFERROR(MATCH(INT($AC$16*IF($N$30=1,$AK$42,IF($N$30=2,$AL$42,$AM$42))/2147483647)+1,IF($N$30=1,$AK$11:$AK$42,IF($N$30=2,$AL$11:$AL$42,$AM$11:$AM$42)),0),""))</f>
        <v/>
      </c>
      <c r="AE31" s="2">
        <f>$AE$30+IF(AND(LEN($N$10)&gt;0,INDEX('Tabelas'!$Z$472:$Z$578,22)&amp;""=$N$10,LEN(INDEX('Tabelas'!$AA$472:$AA$578,22)&amp;"")&gt;0),1,0)</f>
        <v/>
      </c>
      <c r="AF31" s="2">
        <f>IF(LEN(INDEX('Tabelas'!$Y$12:$Y$118,22)&amp;"")=0,0,IF(ISNUMBER(MATCH(INDEX('Tabelas'!$Y$12:$Y$118,22)&amp;"",'Dados'!$A$549:$A$554,0)),IF(AND(INDEX('Dados'!$B$549:$B$554,MATCH(INDEX('Tabelas'!$Y$12:$Y$118,22)&amp;"",'Dados'!$A$549:$A$554,0))&lt;=$N$12,INDEX('Dados'!$C$549:$C$554,MATCH(INDEX('Tabelas'!$Y$12:$Y$118,22)&amp;"",'Dados'!$A$549:$A$554,0))&gt;=$N$12),1,0),1))</f>
        <v/>
      </c>
      <c r="AG31" s="2">
        <f>$AG$30+$AF$31</f>
        <v/>
      </c>
      <c r="AH31" s="2">
        <f>'Tabelas'!$AB$493&amp;""</f>
        <v/>
      </c>
      <c r="AI31" s="2">
        <f>'Tabelas'!$X$33&amp;""</f>
        <v/>
      </c>
      <c r="AK31" s="2">
        <f>$AK$30+IF(AND('Dados'!$C$112="Boss",'Dados'!$D$112=$N$11,COUNTIFS('Dados'!$A$520:$A$545,$N$13,'Dados'!$B$520:$B$545,'Dados'!$B$112)&gt;0),1,0)</f>
        <v/>
      </c>
      <c r="AL31" s="2">
        <f>$AL$30+IF(AND('Dados'!$C$112="Elite",'Dados'!$D$112=$N$11,COUNTIFS('Dados'!$A$520:$A$545,$N$13,'Dados'!$B$520:$B$545,'Dados'!$B$112)&gt;0),1,0)</f>
        <v/>
      </c>
      <c r="AM31" s="2">
        <f>$AM$30+IF(AND('Dados'!$C$112="Boss",'Dados'!$D$112=$N$11),1,0)</f>
        <v/>
      </c>
    </row>
    <row r="32" ht="20" customHeight="1">
      <c r="A32" s="13" t="inlineStr">
        <is>
          <t>Linha de saída: copie A:J e cole como valores em Missões (Colar especial → Somente valores)</t>
        </is>
      </c>
      <c r="N32" s="2">
        <f>IF(ISNUMBER($N$31),INDEX('Dados'!$B$92:$B$123,$N$31)&amp;" ("&amp;INDEX('Dados'!$C$92:$C$123,$N$31)&amp;", faixa "&amp;INDEX('Dados'!$D$92:$D$123,$N$31)&amp;", "&amp;INDEX('Dados'!$E$92:$E$123,$N$31)&amp;")","")</f>
        <v/>
      </c>
      <c r="AE32" s="2">
        <f>$AE$31+IF(AND(LEN($N$10)&gt;0,INDEX('Tabelas'!$Z$472:$Z$578,23)&amp;""=$N$10,LEN(INDEX('Tabelas'!$AA$472:$AA$578,23)&amp;"")&gt;0),1,0)</f>
        <v/>
      </c>
      <c r="AF32" s="2">
        <f>IF(LEN(INDEX('Tabelas'!$Y$12:$Y$118,23)&amp;"")=0,0,IF(ISNUMBER(MATCH(INDEX('Tabelas'!$Y$12:$Y$118,23)&amp;"",'Dados'!$A$549:$A$554,0)),IF(AND(INDEX('Dados'!$B$549:$B$554,MATCH(INDEX('Tabelas'!$Y$12:$Y$118,23)&amp;"",'Dados'!$A$549:$A$554,0))&lt;=$N$12,INDEX('Dados'!$C$549:$C$554,MATCH(INDEX('Tabelas'!$Y$12:$Y$118,23)&amp;"",'Dados'!$A$549:$A$554,0))&gt;=$N$12),1,0),1))</f>
        <v/>
      </c>
      <c r="AG32" s="2">
        <f>$AG$31+$AF$32</f>
        <v/>
      </c>
      <c r="AH32" s="2">
        <f>'Tabelas'!$AB$494&amp;""</f>
        <v/>
      </c>
      <c r="AI32" s="2">
        <f>'Tabelas'!$X$34&amp;""</f>
        <v/>
      </c>
      <c r="AK32" s="2">
        <f>$AK$31+IF(AND('Dados'!$C$113="Boss",'Dados'!$D$113=$N$11,COUNTIFS('Dados'!$A$520:$A$545,$N$13,'Dados'!$B$520:$B$545,'Dados'!$B$113)&gt;0),1,0)</f>
        <v/>
      </c>
      <c r="AL32" s="2">
        <f>$AL$31+IF(AND('Dados'!$C$113="Elite",'Dados'!$D$113=$N$11,COUNTIFS('Dados'!$A$520:$A$545,$N$13,'Dados'!$B$520:$B$545,'Dados'!$B$113)&gt;0),1,0)</f>
        <v/>
      </c>
      <c r="AM32" s="2">
        <f>$AM$31+IF(AND('Dados'!$C$113="Boss",'Dados'!$D$113=$N$11),1,0)</f>
        <v/>
      </c>
    </row>
    <row r="33" ht="26" customHeight="1">
      <c r="A33" s="8" t="inlineStr">
        <is>
          <t>Missão</t>
        </is>
      </c>
      <c r="B33" s="8" t="inlineStr">
        <is>
          <t>Tipo</t>
        </is>
      </c>
      <c r="C33" s="8" t="inlineStr">
        <is>
          <t>Contratante</t>
        </is>
      </c>
      <c r="D33" s="20" t="n"/>
      <c r="E33" s="8" t="inlineStr">
        <is>
          <t>Objetivo</t>
        </is>
      </c>
      <c r="F33" s="20" t="n"/>
      <c r="G33" s="8" t="inlineStr">
        <is>
          <t>Local</t>
        </is>
      </c>
      <c r="H33" s="8" t="inlineStr">
        <is>
          <t>Prazo</t>
        </is>
      </c>
      <c r="I33" s="8" t="inlineStr">
        <is>
          <t>Estado</t>
        </is>
      </c>
      <c r="J33" s="8" t="inlineStr">
        <is>
          <t>Recompensa combinada</t>
        </is>
      </c>
      <c r="N33" s="2">
        <f>IF('Tabelas'!$I$469&lt;=0,"",IFERROR(INDEX('Tabelas'!$AE$472:$AE$578,MATCH(IF('Tabelas'!$I$469&lt;=0,0,INT($AC$17*'Tabelas'!$I$469/2147483647)+1),'Tabelas'!$U$472:$U$578,0))&amp;"",""))</f>
        <v/>
      </c>
      <c r="AE33" s="2">
        <f>$AE$32+IF(AND(LEN($N$10)&gt;0,INDEX('Tabelas'!$Z$472:$Z$578,24)&amp;""=$N$10,LEN(INDEX('Tabelas'!$AA$472:$AA$578,24)&amp;"")&gt;0),1,0)</f>
        <v/>
      </c>
      <c r="AF33" s="2">
        <f>IF(LEN(INDEX('Tabelas'!$Y$12:$Y$118,24)&amp;"")=0,0,IF(ISNUMBER(MATCH(INDEX('Tabelas'!$Y$12:$Y$118,24)&amp;"",'Dados'!$A$549:$A$554,0)),IF(AND(INDEX('Dados'!$B$549:$B$554,MATCH(INDEX('Tabelas'!$Y$12:$Y$118,24)&amp;"",'Dados'!$A$549:$A$554,0))&lt;=$N$12,INDEX('Dados'!$C$549:$C$554,MATCH(INDEX('Tabelas'!$Y$12:$Y$118,24)&amp;"",'Dados'!$A$549:$A$554,0))&gt;=$N$12),1,0),1))</f>
        <v/>
      </c>
      <c r="AG33" s="2">
        <f>$AG$32+$AF$33</f>
        <v/>
      </c>
      <c r="AH33" s="2">
        <f>'Tabelas'!$AB$495&amp;""</f>
        <v/>
      </c>
      <c r="AI33" s="2">
        <f>'Tabelas'!$X$35&amp;""</f>
        <v/>
      </c>
      <c r="AK33" s="2">
        <f>$AK$32+IF(AND('Dados'!$C$114="Boss",'Dados'!$D$114=$N$11,COUNTIFS('Dados'!$A$520:$A$545,$N$13,'Dados'!$B$520:$B$545,'Dados'!$B$114)&gt;0),1,0)</f>
        <v/>
      </c>
      <c r="AL33" s="2">
        <f>$AL$32+IF(AND('Dados'!$C$114="Elite",'Dados'!$D$114=$N$11,COUNTIFS('Dados'!$A$520:$A$545,$N$13,'Dados'!$B$520:$B$545,'Dados'!$B$114)&gt;0),1,0)</f>
        <v/>
      </c>
      <c r="AM33" s="2">
        <f>$AM$32+IF(AND('Dados'!$C$114="Boss",'Dados'!$D$114=$N$11),1,0)</f>
        <v/>
      </c>
    </row>
    <row r="34" ht="82" customHeight="1">
      <c r="A34" s="31">
        <f>$N$10&amp;" — "&amp;$N$29</f>
        <v/>
      </c>
      <c r="B34" s="5">
        <f>$N$10</f>
        <v/>
      </c>
      <c r="C34" s="5">
        <f>$N$22</f>
        <v/>
      </c>
      <c r="E34" s="5">
        <f>$N$24</f>
        <v/>
      </c>
      <c r="G34" s="5">
        <f>$N$29</f>
        <v/>
      </c>
      <c r="H34" s="5">
        <f>$N$35</f>
        <v/>
      </c>
      <c r="I34" s="18">
        <f>"Oferecida"</f>
        <v/>
      </c>
      <c r="J34" s="5">
        <f>$N$52&amp;" Cr · "&amp;$N$41&amp;" · equipamento de faixa se fechar o arco"</f>
        <v/>
      </c>
      <c r="N34" s="2">
        <f>IF('Tabelas'!$J$469&lt;=0,"",IFERROR(INDEX('Tabelas'!$AF$472:$AF$578,MATCH(IF('Tabelas'!$J$469&lt;=0,0,INT($AC$18*'Tabelas'!$J$469/2147483647)+1),'Tabelas'!$V$472:$V$578,0))&amp;"",""))</f>
        <v/>
      </c>
      <c r="AE34" s="2">
        <f>$AE$33+IF(AND(LEN($N$10)&gt;0,INDEX('Tabelas'!$Z$472:$Z$578,25)&amp;""=$N$10,LEN(INDEX('Tabelas'!$AA$472:$AA$578,25)&amp;"")&gt;0),1,0)</f>
        <v/>
      </c>
      <c r="AF34" s="2">
        <f>IF(LEN(INDEX('Tabelas'!$Y$12:$Y$118,25)&amp;"")=0,0,IF(ISNUMBER(MATCH(INDEX('Tabelas'!$Y$12:$Y$118,25)&amp;"",'Dados'!$A$549:$A$554,0)),IF(AND(INDEX('Dados'!$B$549:$B$554,MATCH(INDEX('Tabelas'!$Y$12:$Y$118,25)&amp;"",'Dados'!$A$549:$A$554,0))&lt;=$N$12,INDEX('Dados'!$C$549:$C$554,MATCH(INDEX('Tabelas'!$Y$12:$Y$118,25)&amp;"",'Dados'!$A$549:$A$554,0))&gt;=$N$12),1,0),1))</f>
        <v/>
      </c>
      <c r="AG34" s="2">
        <f>$AG$33+$AF$34</f>
        <v/>
      </c>
      <c r="AH34" s="2">
        <f>'Tabelas'!$AB$496&amp;""</f>
        <v/>
      </c>
      <c r="AI34" s="2">
        <f>'Tabelas'!$X$36&amp;""</f>
        <v/>
      </c>
      <c r="AK34" s="2">
        <f>$AK$33+IF(AND('Dados'!$C$115="Boss",'Dados'!$D$115=$N$11,COUNTIFS('Dados'!$A$520:$A$545,$N$13,'Dados'!$B$520:$B$545,'Dados'!$B$115)&gt;0),1,0)</f>
        <v/>
      </c>
      <c r="AL34" s="2">
        <f>$AL$33+IF(AND('Dados'!$C$115="Elite",'Dados'!$D$115=$N$11,COUNTIFS('Dados'!$A$520:$A$545,$N$13,'Dados'!$B$520:$B$545,'Dados'!$B$115)&gt;0),1,0)</f>
        <v/>
      </c>
      <c r="AM34" s="2">
        <f>$AM$33+IF(AND('Dados'!$C$115="Boss",'Dados'!$D$115=$N$11),1,0)</f>
        <v/>
      </c>
    </row>
    <row r="35">
      <c r="A35" s="32" t="inlineStr">
        <is>
          <t>As colunas estão na ordem da aba Missões (missão, tipo, contratante, objetivo, local, prazo, estado, recompensa; D6). A recompensa usa a faixa da aventura e não lê a aba Recompensas.</t>
        </is>
      </c>
      <c r="N35" s="2">
        <f>IF('Tabelas'!$B$584&lt;=0,"",IFERROR(INDEX('Tabelas'!$X$587:$X$693,MATCH(IF('Tabelas'!$B$584&lt;=0,0,INT($AC$19*'Tabelas'!$B$584/2147483647)+1),'Tabelas'!$N$587:$N$693,0))&amp;"",""))</f>
        <v/>
      </c>
      <c r="AE35" s="2">
        <f>$AE$34+IF(AND(LEN($N$10)&gt;0,INDEX('Tabelas'!$Z$472:$Z$578,26)&amp;""=$N$10,LEN(INDEX('Tabelas'!$AA$472:$AA$578,26)&amp;"")&gt;0),1,0)</f>
        <v/>
      </c>
      <c r="AF35" s="2">
        <f>IF(LEN(INDEX('Tabelas'!$Y$12:$Y$118,26)&amp;"")=0,0,IF(ISNUMBER(MATCH(INDEX('Tabelas'!$Y$12:$Y$118,26)&amp;"",'Dados'!$A$549:$A$554,0)),IF(AND(INDEX('Dados'!$B$549:$B$554,MATCH(INDEX('Tabelas'!$Y$12:$Y$118,26)&amp;"",'Dados'!$A$549:$A$554,0))&lt;=$N$12,INDEX('Dados'!$C$549:$C$554,MATCH(INDEX('Tabelas'!$Y$12:$Y$118,26)&amp;"",'Dados'!$A$549:$A$554,0))&gt;=$N$12),1,0),1))</f>
        <v/>
      </c>
      <c r="AG35" s="2">
        <f>$AG$34+$AF$35</f>
        <v/>
      </c>
      <c r="AH35" s="2">
        <f>'Tabelas'!$AB$497&amp;""</f>
        <v/>
      </c>
      <c r="AI35" s="2">
        <f>'Tabelas'!$X$37&amp;""</f>
        <v/>
      </c>
      <c r="AK35" s="2">
        <f>$AK$34+IF(AND('Dados'!$C$116="Boss",'Dados'!$D$116=$N$11,COUNTIFS('Dados'!$A$520:$A$545,$N$13,'Dados'!$B$520:$B$545,'Dados'!$B$116)&gt;0),1,0)</f>
        <v/>
      </c>
      <c r="AL35" s="2">
        <f>$AL$34+IF(AND('Dados'!$C$116="Elite",'Dados'!$D$116=$N$11,COUNTIFS('Dados'!$A$520:$A$545,$N$13,'Dados'!$B$520:$B$545,'Dados'!$B$116)&gt;0),1,0)</f>
        <v/>
      </c>
      <c r="AM35" s="2">
        <f>$AM$34+IF(AND('Dados'!$C$116="Boss",'Dados'!$D$116=$N$11),1,0)</f>
        <v/>
      </c>
    </row>
    <row r="36">
      <c r="N36" s="2">
        <f>INDEX('Dados'!$A$269:$A$272,IF(4&lt;=0,0,INT($AC$20*4/2147483647)+1))</f>
        <v/>
      </c>
      <c r="AE36" s="2">
        <f>$AE$35+IF(AND(LEN($N$10)&gt;0,INDEX('Tabelas'!$Z$472:$Z$578,27)&amp;""=$N$10,LEN(INDEX('Tabelas'!$AA$472:$AA$578,27)&amp;"")&gt;0),1,0)</f>
        <v/>
      </c>
      <c r="AF36" s="2">
        <f>IF(LEN(INDEX('Tabelas'!$Y$12:$Y$118,27)&amp;"")=0,0,IF(ISNUMBER(MATCH(INDEX('Tabelas'!$Y$12:$Y$118,27)&amp;"",'Dados'!$A$549:$A$554,0)),IF(AND(INDEX('Dados'!$B$549:$B$554,MATCH(INDEX('Tabelas'!$Y$12:$Y$118,27)&amp;"",'Dados'!$A$549:$A$554,0))&lt;=$N$12,INDEX('Dados'!$C$549:$C$554,MATCH(INDEX('Tabelas'!$Y$12:$Y$118,27)&amp;"",'Dados'!$A$549:$A$554,0))&gt;=$N$12),1,0),1))</f>
        <v/>
      </c>
      <c r="AG36" s="2">
        <f>$AG$35+$AF$36</f>
        <v/>
      </c>
      <c r="AH36" s="2">
        <f>'Tabelas'!$AB$498&amp;""</f>
        <v/>
      </c>
      <c r="AI36" s="2">
        <f>'Tabelas'!$X$38&amp;""</f>
        <v/>
      </c>
      <c r="AK36" s="2">
        <f>$AK$35+IF(AND('Dados'!$C$117="Boss",'Dados'!$D$117=$N$11,COUNTIFS('Dados'!$A$520:$A$545,$N$13,'Dados'!$B$520:$B$545,'Dados'!$B$117)&gt;0),1,0)</f>
        <v/>
      </c>
      <c r="AL36" s="2">
        <f>$AL$35+IF(AND('Dados'!$C$117="Elite",'Dados'!$D$117=$N$11,COUNTIFS('Dados'!$A$520:$A$545,$N$13,'Dados'!$B$520:$B$545,'Dados'!$B$117)&gt;0),1,0)</f>
        <v/>
      </c>
      <c r="AM36" s="2">
        <f>$AM$35+IF(AND('Dados'!$C$117="Boss",'Dados'!$D$117=$N$11),1,0)</f>
        <v/>
      </c>
    </row>
    <row r="37">
      <c r="N37" s="2">
        <f>(1+INT($AC$21*((2)-(1)+1)/2147483647))</f>
        <v/>
      </c>
      <c r="AE37" s="2">
        <f>$AE$36</f>
        <v/>
      </c>
      <c r="AF37" s="2">
        <f>0</f>
        <v/>
      </c>
      <c r="AG37" s="2">
        <f>$AG$36+$AF$37</f>
        <v/>
      </c>
      <c r="AH37" s="2">
        <f>'Tabelas'!$AB$500&amp;""</f>
        <v/>
      </c>
      <c r="AI37" s="2">
        <f>'Tabelas'!$X$40&amp;""</f>
        <v/>
      </c>
      <c r="AK37" s="2">
        <f>$AK$36+IF(AND('Dados'!$C$118="Boss",'Dados'!$D$118=$N$11,COUNTIFS('Dados'!$A$520:$A$545,$N$13,'Dados'!$B$520:$B$545,'Dados'!$B$118)&gt;0),1,0)</f>
        <v/>
      </c>
      <c r="AL37" s="2">
        <f>$AL$36+IF(AND('Dados'!$C$118="Elite",'Dados'!$D$118=$N$11,COUNTIFS('Dados'!$A$520:$A$545,$N$13,'Dados'!$B$520:$B$545,'Dados'!$B$118)&gt;0),1,0)</f>
        <v/>
      </c>
      <c r="AM37" s="2">
        <f>$AM$36+IF(AND('Dados'!$C$118="Boss",'Dados'!$D$118=$N$11),1,0)</f>
        <v/>
      </c>
    </row>
    <row r="38">
      <c r="N38" s="2">
        <f>INDEX('Dados'!$A$558:$A$560,IF(3&lt;=0,0,INT($AC$28*3/2147483647)+1))</f>
        <v/>
      </c>
      <c r="AE38" s="2">
        <f>$AE$37+IF(AND(LEN($N$10)&gt;0,INDEX('Tabelas'!$Z$472:$Z$578,29)&amp;""=$N$10,LEN(INDEX('Tabelas'!$AA$472:$AA$578,29)&amp;"")&gt;0),1,0)</f>
        <v/>
      </c>
      <c r="AF38" s="2">
        <f>IF(LEN(INDEX('Tabelas'!$Y$12:$Y$118,29)&amp;"")=0,0,IF(ISNUMBER(MATCH(INDEX('Tabelas'!$Y$12:$Y$118,29)&amp;"",'Dados'!$A$549:$A$554,0)),IF(AND(INDEX('Dados'!$B$549:$B$554,MATCH(INDEX('Tabelas'!$Y$12:$Y$118,29)&amp;"",'Dados'!$A$549:$A$554,0))&lt;=$N$12,INDEX('Dados'!$C$549:$C$554,MATCH(INDEX('Tabelas'!$Y$12:$Y$118,29)&amp;"",'Dados'!$A$549:$A$554,0))&gt;=$N$12),1,0),1))</f>
        <v/>
      </c>
      <c r="AG38" s="2">
        <f>$AG$37+$AF$38</f>
        <v/>
      </c>
      <c r="AH38" s="2">
        <f>'Tabelas'!$AB$501&amp;""</f>
        <v/>
      </c>
      <c r="AI38" s="2">
        <f>'Tabelas'!$X$41&amp;""</f>
        <v/>
      </c>
      <c r="AK38" s="2">
        <f>$AK$37+IF(AND('Dados'!$C$119="Boss",'Dados'!$D$119=$N$11,COUNTIFS('Dados'!$A$520:$A$545,$N$13,'Dados'!$B$520:$B$545,'Dados'!$B$119)&gt;0),1,0)</f>
        <v/>
      </c>
      <c r="AL38" s="2">
        <f>$AL$37+IF(AND('Dados'!$C$119="Elite",'Dados'!$D$119=$N$11,COUNTIFS('Dados'!$A$520:$A$545,$N$13,'Dados'!$B$520:$B$545,'Dados'!$B$119)&gt;0),1,0)</f>
        <v/>
      </c>
      <c r="AM38" s="2">
        <f>$AM$37+IF(AND('Dados'!$C$119="Boss",'Dados'!$D$119=$N$11),1,0)</f>
        <v/>
      </c>
    </row>
    <row r="39">
      <c r="N39" s="2">
        <f>IF(INDEX('Dados'!$B$460:$B$464,$N$12)&lt;=0,0,INT($AC$22*INDEX('Dados'!$B$460:$B$464,$N$12)/2147483647)+1)</f>
        <v/>
      </c>
      <c r="AE39" s="2">
        <f>$AE$38+IF(AND(LEN($N$10)&gt;0,INDEX('Tabelas'!$Z$472:$Z$578,30)&amp;""=$N$10,LEN(INDEX('Tabelas'!$AA$472:$AA$578,30)&amp;"")&gt;0),1,0)</f>
        <v/>
      </c>
      <c r="AF39" s="2">
        <f>IF(LEN(INDEX('Tabelas'!$Y$12:$Y$118,30)&amp;"")=0,0,IF(ISNUMBER(MATCH(INDEX('Tabelas'!$Y$12:$Y$118,30)&amp;"",'Dados'!$A$549:$A$554,0)),IF(AND(INDEX('Dados'!$B$549:$B$554,MATCH(INDEX('Tabelas'!$Y$12:$Y$118,30)&amp;"",'Dados'!$A$549:$A$554,0))&lt;=$N$12,INDEX('Dados'!$C$549:$C$554,MATCH(INDEX('Tabelas'!$Y$12:$Y$118,30)&amp;"",'Dados'!$A$549:$A$554,0))&gt;=$N$12),1,0),1))</f>
        <v/>
      </c>
      <c r="AG39" s="2">
        <f>$AG$38+$AF$39</f>
        <v/>
      </c>
      <c r="AH39" s="2">
        <f>'Tabelas'!$AB$502&amp;""</f>
        <v/>
      </c>
      <c r="AI39" s="2">
        <f>'Tabelas'!$X$42&amp;""</f>
        <v/>
      </c>
      <c r="AK39" s="2">
        <f>$AK$38+IF(AND('Dados'!$C$120="Boss",'Dados'!$D$120=$N$11,COUNTIFS('Dados'!$A$520:$A$545,$N$13,'Dados'!$B$520:$B$545,'Dados'!$B$120)&gt;0),1,0)</f>
        <v/>
      </c>
      <c r="AL39" s="2">
        <f>$AL$38+IF(AND('Dados'!$C$120="Elite",'Dados'!$D$120=$N$11,COUNTIFS('Dados'!$A$520:$A$545,$N$13,'Dados'!$B$520:$B$545,'Dados'!$B$120)&gt;0),1,0)</f>
        <v/>
      </c>
      <c r="AM39" s="2">
        <f>$AM$38+IF(AND('Dados'!$C$120="Boss",'Dados'!$D$120=$N$11),1,0)</f>
        <v/>
      </c>
    </row>
    <row r="40">
      <c r="N40" s="2">
        <f>IF($N$12=1,MATCH($N$39,'Dados'!$E$443:$E$456,0),IF($N$12=2,MATCH($N$39,'Dados'!$F$443:$F$456,0),IF($N$12=3,MATCH($N$39,'Dados'!$G$443:$G$456,0),IF($N$12=4,MATCH($N$39,'Dados'!$H$443:$H$456,0),MATCH($N$39,'Dados'!$I$443:$I$456,0)))))</f>
        <v/>
      </c>
      <c r="AE40" s="2">
        <f>$AE$39+IF(AND(LEN($N$10)&gt;0,INDEX('Tabelas'!$Z$472:$Z$578,31)&amp;""=$N$10,LEN(INDEX('Tabelas'!$AA$472:$AA$578,31)&amp;"")&gt;0),1,0)</f>
        <v/>
      </c>
      <c r="AF40" s="2">
        <f>IF(LEN(INDEX('Tabelas'!$Y$12:$Y$118,31)&amp;"")=0,0,IF(ISNUMBER(MATCH(INDEX('Tabelas'!$Y$12:$Y$118,31)&amp;"",'Dados'!$A$549:$A$554,0)),IF(AND(INDEX('Dados'!$B$549:$B$554,MATCH(INDEX('Tabelas'!$Y$12:$Y$118,31)&amp;"",'Dados'!$A$549:$A$554,0))&lt;=$N$12,INDEX('Dados'!$C$549:$C$554,MATCH(INDEX('Tabelas'!$Y$12:$Y$118,31)&amp;"",'Dados'!$A$549:$A$554,0))&gt;=$N$12),1,0),1))</f>
        <v/>
      </c>
      <c r="AG40" s="2">
        <f>$AG$39+$AF$40</f>
        <v/>
      </c>
      <c r="AH40" s="2">
        <f>'Tabelas'!$AB$503&amp;""</f>
        <v/>
      </c>
      <c r="AI40" s="2">
        <f>'Tabelas'!$X$43&amp;""</f>
        <v/>
      </c>
      <c r="AK40" s="2">
        <f>$AK$39+IF(AND('Dados'!$C$121="Boss",'Dados'!$D$121=$N$11,COUNTIFS('Dados'!$A$520:$A$545,$N$13,'Dados'!$B$520:$B$545,'Dados'!$B$121)&gt;0),1,0)</f>
        <v/>
      </c>
      <c r="AL40" s="2">
        <f>$AL$39+IF(AND('Dados'!$C$121="Elite",'Dados'!$D$121=$N$11,COUNTIFS('Dados'!$A$520:$A$545,$N$13,'Dados'!$B$520:$B$545,'Dados'!$B$121)&gt;0),1,0)</f>
        <v/>
      </c>
      <c r="AM40" s="2">
        <f>$AM$39+IF(AND('Dados'!$C$121="Boss",'Dados'!$D$121=$N$11),1,0)</f>
        <v/>
      </c>
    </row>
    <row r="41">
      <c r="N41" s="2">
        <f>INDEX('Dados'!$A$443:$A$456,$N$40)</f>
        <v/>
      </c>
      <c r="AE41" s="2">
        <f>$AE$40+IF(AND(LEN($N$10)&gt;0,INDEX('Tabelas'!$Z$472:$Z$578,32)&amp;""=$N$10,LEN(INDEX('Tabelas'!$AA$472:$AA$578,32)&amp;"")&gt;0),1,0)</f>
        <v/>
      </c>
      <c r="AF41" s="2">
        <f>IF(LEN(INDEX('Tabelas'!$Y$12:$Y$118,32)&amp;"")=0,0,IF(ISNUMBER(MATCH(INDEX('Tabelas'!$Y$12:$Y$118,32)&amp;"",'Dados'!$A$549:$A$554,0)),IF(AND(INDEX('Dados'!$B$549:$B$554,MATCH(INDEX('Tabelas'!$Y$12:$Y$118,32)&amp;"",'Dados'!$A$549:$A$554,0))&lt;=$N$12,INDEX('Dados'!$C$549:$C$554,MATCH(INDEX('Tabelas'!$Y$12:$Y$118,32)&amp;"",'Dados'!$A$549:$A$554,0))&gt;=$N$12),1,0),1))</f>
        <v/>
      </c>
      <c r="AG41" s="2">
        <f>$AG$40+$AF$41</f>
        <v/>
      </c>
      <c r="AH41" s="2">
        <f>'Tabelas'!$AB$504&amp;""</f>
        <v/>
      </c>
      <c r="AI41" s="2">
        <f>'Tabelas'!$X$44&amp;""</f>
        <v/>
      </c>
      <c r="AK41" s="2">
        <f>$AK$40+IF(AND('Dados'!$C$122="Boss",'Dados'!$D$122=$N$11,COUNTIFS('Dados'!$A$520:$A$545,$N$13,'Dados'!$B$520:$B$545,'Dados'!$B$122)&gt;0),1,0)</f>
        <v/>
      </c>
      <c r="AL41" s="2">
        <f>$AL$40+IF(AND('Dados'!$C$122="Elite",'Dados'!$D$122=$N$11,COUNTIFS('Dados'!$A$520:$A$545,$N$13,'Dados'!$B$520:$B$545,'Dados'!$B$122)&gt;0),1,0)</f>
        <v/>
      </c>
      <c r="AM41" s="2">
        <f>$AM$40+IF(AND('Dados'!$C$122="Boss",'Dados'!$D$122=$N$11),1,0)</f>
        <v/>
      </c>
    </row>
    <row r="42">
      <c r="N42" s="2">
        <f>INDEX('Dados'!$B$443:$B$456,$N$40)</f>
        <v/>
      </c>
      <c r="AE42" s="2">
        <f>$AE$41+IF(AND(LEN($N$10)&gt;0,INDEX('Tabelas'!$Z$472:$Z$578,33)&amp;""=$N$10,LEN(INDEX('Tabelas'!$AA$472:$AA$578,33)&amp;"")&gt;0),1,0)</f>
        <v/>
      </c>
      <c r="AF42" s="2">
        <f>IF(LEN(INDEX('Tabelas'!$Y$12:$Y$118,33)&amp;"")=0,0,IF(ISNUMBER(MATCH(INDEX('Tabelas'!$Y$12:$Y$118,33)&amp;"",'Dados'!$A$549:$A$554,0)),IF(AND(INDEX('Dados'!$B$549:$B$554,MATCH(INDEX('Tabelas'!$Y$12:$Y$118,33)&amp;"",'Dados'!$A$549:$A$554,0))&lt;=$N$12,INDEX('Dados'!$C$549:$C$554,MATCH(INDEX('Tabelas'!$Y$12:$Y$118,33)&amp;"",'Dados'!$A$549:$A$554,0))&gt;=$N$12),1,0),1))</f>
        <v/>
      </c>
      <c r="AG42" s="2">
        <f>$AG$41+$AF$42</f>
        <v/>
      </c>
      <c r="AH42" s="2">
        <f>'Tabelas'!$AB$505&amp;""</f>
        <v/>
      </c>
      <c r="AI42" s="2">
        <f>'Tabelas'!$X$45&amp;""</f>
        <v/>
      </c>
      <c r="AK42" s="2">
        <f>$AK$41+IF(AND('Dados'!$C$123="Boss",'Dados'!$D$123=$N$11,COUNTIFS('Dados'!$A$520:$A$545,$N$13,'Dados'!$B$520:$B$545,'Dados'!$B$123)&gt;0),1,0)</f>
        <v/>
      </c>
      <c r="AL42" s="2">
        <f>$AL$41+IF(AND('Dados'!$C$123="Elite",'Dados'!$D$123=$N$11,COUNTIFS('Dados'!$A$520:$A$545,$N$13,'Dados'!$B$520:$B$545,'Dados'!$B$123)&gt;0),1,0)</f>
        <v/>
      </c>
      <c r="AM42" s="2">
        <f>$AM$41+IF(AND('Dados'!$C$123="Boss",'Dados'!$D$123=$N$11),1,0)</f>
        <v/>
      </c>
    </row>
    <row r="43">
      <c r="N43" s="2">
        <f>IF('Tabelas'!$B$699&lt;=0,"",IFERROR(INDEX('Tabelas'!$X$702:$X$808,MATCH(IF('Tabelas'!$B$699&lt;=0,0,INT($AC$23*'Tabelas'!$B$699/2147483647)+1),'Tabelas'!$N$702:$N$808,0))&amp;"",""))</f>
        <v/>
      </c>
      <c r="AE43" s="2">
        <f>$AE$42+IF(AND(LEN($N$10)&gt;0,INDEX('Tabelas'!$Z$472:$Z$578,34)&amp;""=$N$10,LEN(INDEX('Tabelas'!$AA$472:$AA$578,34)&amp;"")&gt;0),1,0)</f>
        <v/>
      </c>
      <c r="AF43" s="2">
        <f>IF(LEN(INDEX('Tabelas'!$Y$12:$Y$118,34)&amp;"")=0,0,IF(ISNUMBER(MATCH(INDEX('Tabelas'!$Y$12:$Y$118,34)&amp;"",'Dados'!$A$549:$A$554,0)),IF(AND(INDEX('Dados'!$B$549:$B$554,MATCH(INDEX('Tabelas'!$Y$12:$Y$118,34)&amp;"",'Dados'!$A$549:$A$554,0))&lt;=$N$12,INDEX('Dados'!$C$549:$C$554,MATCH(INDEX('Tabelas'!$Y$12:$Y$118,34)&amp;"",'Dados'!$A$549:$A$554,0))&gt;=$N$12),1,0),1))</f>
        <v/>
      </c>
      <c r="AG43" s="2">
        <f>$AG$42+$AF$43</f>
        <v/>
      </c>
      <c r="AH43" s="2">
        <f>'Tabelas'!$AB$506&amp;""</f>
        <v/>
      </c>
      <c r="AI43" s="2">
        <f>'Tabelas'!$X$46&amp;""</f>
        <v/>
      </c>
    </row>
    <row r="44">
      <c r="N44" s="2">
        <f>(1+INT($AC$24*((2)-(1)+1)/2147483647))</f>
        <v/>
      </c>
      <c r="AE44" s="2">
        <f>$AE$43+IF(AND(LEN($N$10)&gt;0,INDEX('Tabelas'!$Z$472:$Z$578,35)&amp;""=$N$10,LEN(INDEX('Tabelas'!$AA$472:$AA$578,35)&amp;"")&gt;0),1,0)</f>
        <v/>
      </c>
      <c r="AF44" s="2">
        <f>IF(LEN(INDEX('Tabelas'!$Y$12:$Y$118,35)&amp;"")=0,0,IF(ISNUMBER(MATCH(INDEX('Tabelas'!$Y$12:$Y$118,35)&amp;"",'Dados'!$A$549:$A$554,0)),IF(AND(INDEX('Dados'!$B$549:$B$554,MATCH(INDEX('Tabelas'!$Y$12:$Y$118,35)&amp;"",'Dados'!$A$549:$A$554,0))&lt;=$N$12,INDEX('Dados'!$C$549:$C$554,MATCH(INDEX('Tabelas'!$Y$12:$Y$118,35)&amp;"",'Dados'!$A$549:$A$554,0))&gt;=$N$12),1,0),1))</f>
        <v/>
      </c>
      <c r="AG44" s="2">
        <f>$AG$43+$AF$44</f>
        <v/>
      </c>
      <c r="AH44" s="2">
        <f>'Tabelas'!$AB$507&amp;""</f>
        <v/>
      </c>
      <c r="AI44" s="2">
        <f>'Tabelas'!$X$47&amp;""</f>
        <v/>
      </c>
    </row>
    <row r="45">
      <c r="N45" s="2">
        <f>IF($N$12=1,IF('Tabelas'!$D$9&lt;=0,"",IFERROR(INDEX('Tabelas'!$Z$12:$Z$118,MATCH(IF('Tabelas'!$D$9&lt;=0,0,INT($AC$11*'Tabelas'!$D$9/2147483647)+1),'Tabelas'!$P$12:$P$118,0))&amp;"","")),IF($N$12=2,IF('Tabelas'!$E$9&lt;=0,"",IFERROR(INDEX('Tabelas'!$AA$12:$AA$118,MATCH(IF('Tabelas'!$E$9&lt;=0,0,INT($AC$11*'Tabelas'!$E$9/2147483647)+1),'Tabelas'!$Q$12:$Q$118,0))&amp;"","")),IF($N$12=3,IF('Tabelas'!$F$9&lt;=0,"",IFERROR(INDEX('Tabelas'!$AB$12:$AB$118,MATCH(IF('Tabelas'!$F$9&lt;=0,0,INT($AC$11*'Tabelas'!$F$9/2147483647)+1),'Tabelas'!$R$12:$R$118,0))&amp;"","")),IF($N$12=4,IF('Tabelas'!$G$9&lt;=0,"",IFERROR(INDEX('Tabelas'!$AC$12:$AC$118,MATCH(IF('Tabelas'!$G$9&lt;=0,0,INT($AC$11*'Tabelas'!$G$9/2147483647)+1),'Tabelas'!$S$12:$S$118,0))&amp;"","")),IF('Tabelas'!$H$9&lt;=0,"",IFERROR(INDEX('Tabelas'!$AD$12:$AD$118,MATCH(IF('Tabelas'!$H$9&lt;=0,0,INT($AC$11*'Tabelas'!$H$9/2147483647)+1),'Tabelas'!$T$12:$T$118,0))&amp;"",""))))))</f>
        <v/>
      </c>
      <c r="AE45" s="2">
        <f>$AE$44+IF(AND(LEN($N$10)&gt;0,INDEX('Tabelas'!$Z$472:$Z$578,36)&amp;""=$N$10,LEN(INDEX('Tabelas'!$AA$472:$AA$578,36)&amp;"")&gt;0),1,0)</f>
        <v/>
      </c>
      <c r="AF45" s="2">
        <f>IF(LEN(INDEX('Tabelas'!$Y$12:$Y$118,36)&amp;"")=0,0,IF(ISNUMBER(MATCH(INDEX('Tabelas'!$Y$12:$Y$118,36)&amp;"",'Dados'!$A$549:$A$554,0)),IF(AND(INDEX('Dados'!$B$549:$B$554,MATCH(INDEX('Tabelas'!$Y$12:$Y$118,36)&amp;"",'Dados'!$A$549:$A$554,0))&lt;=$N$12,INDEX('Dados'!$C$549:$C$554,MATCH(INDEX('Tabelas'!$Y$12:$Y$118,36)&amp;"",'Dados'!$A$549:$A$554,0))&gt;=$N$12),1,0),1))</f>
        <v/>
      </c>
      <c r="AG45" s="2">
        <f>$AG$44+$AF$45</f>
        <v/>
      </c>
      <c r="AH45" s="2">
        <f>'Tabelas'!$AB$508&amp;""</f>
        <v/>
      </c>
      <c r="AI45" s="2">
        <f>'Tabelas'!$X$48&amp;""</f>
        <v/>
      </c>
    </row>
    <row r="46">
      <c r="N46" s="2">
        <f>IF('Tabelas'!$G$469&lt;=0,"",IFERROR(INDEX('Tabelas'!$AC$472:$AC$578,MATCH(IF('Tabelas'!$G$469&lt;=0,0,INT($AC$11*'Tabelas'!$G$469/2147483647)+1),'Tabelas'!$S$472:$S$578,0))&amp;"",""))</f>
        <v/>
      </c>
      <c r="AE46" s="2">
        <f>$AE$45+IF(AND(LEN($N$10)&gt;0,INDEX('Tabelas'!$Z$472:$Z$578,37)&amp;""=$N$10,LEN(INDEX('Tabelas'!$AA$472:$AA$578,37)&amp;"")&gt;0),1,0)</f>
        <v/>
      </c>
      <c r="AF46" s="2">
        <f>IF(LEN(INDEX('Tabelas'!$Y$12:$Y$118,37)&amp;"")=0,0,IF(ISNUMBER(MATCH(INDEX('Tabelas'!$Y$12:$Y$118,37)&amp;"",'Dados'!$A$549:$A$554,0)),IF(AND(INDEX('Dados'!$B$549:$B$554,MATCH(INDEX('Tabelas'!$Y$12:$Y$118,37)&amp;"",'Dados'!$A$549:$A$554,0))&lt;=$N$12,INDEX('Dados'!$C$549:$C$554,MATCH(INDEX('Tabelas'!$Y$12:$Y$118,37)&amp;"",'Dados'!$A$549:$A$554,0))&gt;=$N$12),1,0),1))</f>
        <v/>
      </c>
      <c r="AG46" s="2">
        <f>$AG$45+$AF$46</f>
        <v/>
      </c>
      <c r="AH46" s="2">
        <f>'Tabelas'!$AB$509&amp;""</f>
        <v/>
      </c>
      <c r="AI46" s="2">
        <f>'Tabelas'!$X$49&amp;""</f>
        <v/>
      </c>
    </row>
    <row r="47">
      <c r="N47" s="2">
        <f>IF($N$44=1,IF(LEN($N$45)&gt;0,$N$45,$N$46),IF(LEN($N$46)&gt;0,$N$46,$N$45))</f>
        <v/>
      </c>
      <c r="AE47" s="2">
        <f>$AE$46+IF(AND(LEN($N$10)&gt;0,INDEX('Tabelas'!$Z$472:$Z$578,38)&amp;""=$N$10,LEN(INDEX('Tabelas'!$AA$472:$AA$578,38)&amp;"")&gt;0),1,0)</f>
        <v/>
      </c>
      <c r="AF47" s="2">
        <f>IF(LEN(INDEX('Tabelas'!$Y$12:$Y$118,38)&amp;"")=0,0,IF(ISNUMBER(MATCH(INDEX('Tabelas'!$Y$12:$Y$118,38)&amp;"",'Dados'!$A$549:$A$554,0)),IF(AND(INDEX('Dados'!$B$549:$B$554,MATCH(INDEX('Tabelas'!$Y$12:$Y$118,38)&amp;"",'Dados'!$A$549:$A$554,0))&lt;=$N$12,INDEX('Dados'!$C$549:$C$554,MATCH(INDEX('Tabelas'!$Y$12:$Y$118,38)&amp;"",'Dados'!$A$549:$A$554,0))&gt;=$N$12),1,0),1))</f>
        <v/>
      </c>
      <c r="AG47" s="2">
        <f>$AG$46+$AF$47</f>
        <v/>
      </c>
      <c r="AH47" s="2">
        <f>'Tabelas'!$AB$510&amp;""</f>
        <v/>
      </c>
      <c r="AI47" s="2">
        <f>'Tabelas'!$X$50&amp;""</f>
        <v/>
      </c>
    </row>
    <row r="48">
      <c r="N48" s="2">
        <f>INDEX('Dados'!$C$261:$C$265,$N$12)</f>
        <v/>
      </c>
      <c r="AE48" s="2">
        <f>$AE$47+IF(AND(LEN($N$10)&gt;0,INDEX('Tabelas'!$Z$472:$Z$578,39)&amp;""=$N$10,LEN(INDEX('Tabelas'!$AA$472:$AA$578,39)&amp;"")&gt;0),1,0)</f>
        <v/>
      </c>
      <c r="AF48" s="2">
        <f>IF(LEN(INDEX('Tabelas'!$Y$12:$Y$118,39)&amp;"")=0,0,IF(ISNUMBER(MATCH(INDEX('Tabelas'!$Y$12:$Y$118,39)&amp;"",'Dados'!$A$549:$A$554,0)),IF(AND(INDEX('Dados'!$B$549:$B$554,MATCH(INDEX('Tabelas'!$Y$12:$Y$118,39)&amp;"",'Dados'!$A$549:$A$554,0))&lt;=$N$12,INDEX('Dados'!$C$549:$C$554,MATCH(INDEX('Tabelas'!$Y$12:$Y$118,39)&amp;"",'Dados'!$A$549:$A$554,0))&gt;=$N$12),1,0),1))</f>
        <v/>
      </c>
      <c r="AG48" s="2">
        <f>$AG$47+$AF$48</f>
        <v/>
      </c>
      <c r="AH48" s="2">
        <f>'Tabelas'!$AB$511&amp;""</f>
        <v/>
      </c>
      <c r="AI48" s="2">
        <f>'Tabelas'!$X$51&amp;""</f>
        <v/>
      </c>
    </row>
    <row r="49">
      <c r="N49" s="2">
        <f>IF('Campanha'!$B$21=4,$N$48,INT($N$48*'Campanha'!$B$21/4))</f>
        <v/>
      </c>
      <c r="AE49" s="2">
        <f>$AE$48+IF(AND(LEN($N$10)&gt;0,INDEX('Tabelas'!$Z$472:$Z$578,40)&amp;""=$N$10,LEN(INDEX('Tabelas'!$AA$472:$AA$578,40)&amp;"")&gt;0),1,0)</f>
        <v/>
      </c>
      <c r="AF49" s="2">
        <f>IF(LEN(INDEX('Tabelas'!$Y$12:$Y$118,40)&amp;"")=0,0,IF(ISNUMBER(MATCH(INDEX('Tabelas'!$Y$12:$Y$118,40)&amp;"",'Dados'!$A$549:$A$554,0)),IF(AND(INDEX('Dados'!$B$549:$B$554,MATCH(INDEX('Tabelas'!$Y$12:$Y$118,40)&amp;"",'Dados'!$A$549:$A$554,0))&lt;=$N$12,INDEX('Dados'!$C$549:$C$554,MATCH(INDEX('Tabelas'!$Y$12:$Y$118,40)&amp;"",'Dados'!$A$549:$A$554,0))&gt;=$N$12),1,0),1))</f>
        <v/>
      </c>
      <c r="AG49" s="2">
        <f>$AG$48+$AF$49</f>
        <v/>
      </c>
      <c r="AH49" s="2">
        <f>'Tabelas'!$AB$512&amp;""</f>
        <v/>
      </c>
      <c r="AI49" s="2">
        <f>'Tabelas'!$X$52&amp;""</f>
        <v/>
      </c>
    </row>
    <row r="50">
      <c r="N50" s="2">
        <f>IF($N$12=1,INDEX('Dados'!$B$284:$B$289,3),IF($N$12=2,INDEX('Dados'!$C$284:$C$289,3),IF($N$12=3,INDEX('Dados'!$D$284:$D$289,3),IF($N$12=4,INDEX('Dados'!$E$284:$E$289,3),INDEX('Dados'!$F$284:$F$289,3)))))</f>
        <v/>
      </c>
      <c r="AE50" s="2">
        <f>$AE$49+IF(AND(LEN($N$10)&gt;0,INDEX('Tabelas'!$Z$472:$Z$578,41)&amp;""=$N$10,LEN(INDEX('Tabelas'!$AA$472:$AA$578,41)&amp;"")&gt;0),1,0)</f>
        <v/>
      </c>
      <c r="AF50" s="2">
        <f>IF(LEN(INDEX('Tabelas'!$Y$12:$Y$118,41)&amp;"")=0,0,IF(ISNUMBER(MATCH(INDEX('Tabelas'!$Y$12:$Y$118,41)&amp;"",'Dados'!$A$549:$A$554,0)),IF(AND(INDEX('Dados'!$B$549:$B$554,MATCH(INDEX('Tabelas'!$Y$12:$Y$118,41)&amp;"",'Dados'!$A$549:$A$554,0))&lt;=$N$12,INDEX('Dados'!$C$549:$C$554,MATCH(INDEX('Tabelas'!$Y$12:$Y$118,41)&amp;"",'Dados'!$A$549:$A$554,0))&gt;=$N$12),1,0),1))</f>
        <v/>
      </c>
      <c r="AG50" s="2">
        <f>$AG$49+$AF$50</f>
        <v/>
      </c>
      <c r="AH50" s="2">
        <f>'Tabelas'!$AB$514&amp;""</f>
        <v/>
      </c>
      <c r="AI50" s="2">
        <f>'Tabelas'!$X$54&amp;""</f>
        <v/>
      </c>
    </row>
    <row r="51">
      <c r="N51" s="2">
        <f>IF($N$12=1,INDEX('Dados'!$B$284:$B$289,4),IF($N$12=2,INDEX('Dados'!$C$284:$C$289,4),IF($N$12=3,INDEX('Dados'!$D$284:$D$289,4),IF($N$12=4,INDEX('Dados'!$E$284:$E$289,4),INDEX('Dados'!$F$284:$F$289,4)))))</f>
        <v/>
      </c>
      <c r="AE51" s="2">
        <f>$AE$50</f>
        <v/>
      </c>
      <c r="AF51" s="2">
        <f>0</f>
        <v/>
      </c>
      <c r="AG51" s="2">
        <f>$AG$50+$AF$51</f>
        <v/>
      </c>
      <c r="AH51" s="2">
        <f>'Tabelas'!$AB$515&amp;""</f>
        <v/>
      </c>
      <c r="AI51" s="2">
        <f>'Tabelas'!$X$55&amp;""</f>
        <v/>
      </c>
    </row>
    <row r="52">
      <c r="N52" s="2">
        <f>INDEX('Dados'!$B$372:$B$376,$N$12)</f>
        <v/>
      </c>
      <c r="AE52" s="2">
        <f>$AE$51+IF(AND(LEN($N$10)&gt;0,INDEX('Tabelas'!$Z$472:$Z$578,43)&amp;""=$N$10,LEN(INDEX('Tabelas'!$AA$472:$AA$578,43)&amp;"")&gt;0),1,0)</f>
        <v/>
      </c>
      <c r="AF52" s="2">
        <f>IF(LEN(INDEX('Tabelas'!$Y$12:$Y$118,43)&amp;"")=0,0,IF(ISNUMBER(MATCH(INDEX('Tabelas'!$Y$12:$Y$118,43)&amp;"",'Dados'!$A$549:$A$554,0)),IF(AND(INDEX('Dados'!$B$549:$B$554,MATCH(INDEX('Tabelas'!$Y$12:$Y$118,43)&amp;"",'Dados'!$A$549:$A$554,0))&lt;=$N$12,INDEX('Dados'!$C$549:$C$554,MATCH(INDEX('Tabelas'!$Y$12:$Y$118,43)&amp;"",'Dados'!$A$549:$A$554,0))&gt;=$N$12),1,0),1))</f>
        <v/>
      </c>
      <c r="AG52" s="2">
        <f>$AG$51+$AF$52</f>
        <v/>
      </c>
      <c r="AH52" s="2">
        <f>'Tabelas'!$AB$516&amp;""</f>
        <v/>
      </c>
      <c r="AI52" s="2">
        <f>'Tabelas'!$X$56&amp;""</f>
        <v/>
      </c>
    </row>
    <row r="53">
      <c r="AE53" s="2">
        <f>$AE$52+IF(AND(LEN($N$10)&gt;0,INDEX('Tabelas'!$Z$472:$Z$578,44)&amp;""=$N$10,LEN(INDEX('Tabelas'!$AA$472:$AA$578,44)&amp;"")&gt;0),1,0)</f>
        <v/>
      </c>
      <c r="AF53" s="2">
        <f>IF(LEN(INDEX('Tabelas'!$Y$12:$Y$118,44)&amp;"")=0,0,IF(ISNUMBER(MATCH(INDEX('Tabelas'!$Y$12:$Y$118,44)&amp;"",'Dados'!$A$549:$A$554,0)),IF(AND(INDEX('Dados'!$B$549:$B$554,MATCH(INDEX('Tabelas'!$Y$12:$Y$118,44)&amp;"",'Dados'!$A$549:$A$554,0))&lt;=$N$12,INDEX('Dados'!$C$549:$C$554,MATCH(INDEX('Tabelas'!$Y$12:$Y$118,44)&amp;"",'Dados'!$A$549:$A$554,0))&gt;=$N$12),1,0),1))</f>
        <v/>
      </c>
      <c r="AG53" s="2">
        <f>$AG$52+$AF$53</f>
        <v/>
      </c>
      <c r="AH53" s="2">
        <f>'Tabelas'!$AB$517&amp;""</f>
        <v/>
      </c>
      <c r="AI53" s="2">
        <f>'Tabelas'!$X$57&amp;""</f>
        <v/>
      </c>
    </row>
    <row r="54">
      <c r="AE54" s="2">
        <f>$AE$53+IF(AND(LEN($N$10)&gt;0,INDEX('Tabelas'!$Z$472:$Z$578,45)&amp;""=$N$10,LEN(INDEX('Tabelas'!$AA$472:$AA$578,45)&amp;"")&gt;0),1,0)</f>
        <v/>
      </c>
      <c r="AF54" s="2">
        <f>IF(LEN(INDEX('Tabelas'!$Y$12:$Y$118,45)&amp;"")=0,0,IF(ISNUMBER(MATCH(INDEX('Tabelas'!$Y$12:$Y$118,45)&amp;"",'Dados'!$A$549:$A$554,0)),IF(AND(INDEX('Dados'!$B$549:$B$554,MATCH(INDEX('Tabelas'!$Y$12:$Y$118,45)&amp;"",'Dados'!$A$549:$A$554,0))&lt;=$N$12,INDEX('Dados'!$C$549:$C$554,MATCH(INDEX('Tabelas'!$Y$12:$Y$118,45)&amp;"",'Dados'!$A$549:$A$554,0))&gt;=$N$12),1,0),1))</f>
        <v/>
      </c>
      <c r="AG54" s="2">
        <f>$AG$53+$AF$54</f>
        <v/>
      </c>
      <c r="AH54" s="2">
        <f>'Tabelas'!$AB$518&amp;""</f>
        <v/>
      </c>
      <c r="AI54" s="2">
        <f>'Tabelas'!$X$58&amp;""</f>
        <v/>
      </c>
    </row>
    <row r="55">
      <c r="AE55" s="2">
        <f>$AE$54+IF(AND(LEN($N$10)&gt;0,INDEX('Tabelas'!$Z$472:$Z$578,46)&amp;""=$N$10,LEN(INDEX('Tabelas'!$AA$472:$AA$578,46)&amp;"")&gt;0),1,0)</f>
        <v/>
      </c>
      <c r="AF55" s="2">
        <f>IF(LEN(INDEX('Tabelas'!$Y$12:$Y$118,46)&amp;"")=0,0,IF(ISNUMBER(MATCH(INDEX('Tabelas'!$Y$12:$Y$118,46)&amp;"",'Dados'!$A$549:$A$554,0)),IF(AND(INDEX('Dados'!$B$549:$B$554,MATCH(INDEX('Tabelas'!$Y$12:$Y$118,46)&amp;"",'Dados'!$A$549:$A$554,0))&lt;=$N$12,INDEX('Dados'!$C$549:$C$554,MATCH(INDEX('Tabelas'!$Y$12:$Y$118,46)&amp;"",'Dados'!$A$549:$A$554,0))&gt;=$N$12),1,0),1))</f>
        <v/>
      </c>
      <c r="AG55" s="2">
        <f>$AG$54+$AF$55</f>
        <v/>
      </c>
      <c r="AH55" s="2">
        <f>'Tabelas'!$AB$519&amp;""</f>
        <v/>
      </c>
      <c r="AI55" s="2">
        <f>'Tabelas'!$X$59&amp;""</f>
        <v/>
      </c>
    </row>
    <row r="56">
      <c r="AE56" s="2">
        <f>$AE$55+IF(AND(LEN($N$10)&gt;0,INDEX('Tabelas'!$Z$472:$Z$578,47)&amp;""=$N$10,LEN(INDEX('Tabelas'!$AA$472:$AA$578,47)&amp;"")&gt;0),1,0)</f>
        <v/>
      </c>
      <c r="AF56" s="2">
        <f>IF(LEN(INDEX('Tabelas'!$Y$12:$Y$118,47)&amp;"")=0,0,IF(ISNUMBER(MATCH(INDEX('Tabelas'!$Y$12:$Y$118,47)&amp;"",'Dados'!$A$549:$A$554,0)),IF(AND(INDEX('Dados'!$B$549:$B$554,MATCH(INDEX('Tabelas'!$Y$12:$Y$118,47)&amp;"",'Dados'!$A$549:$A$554,0))&lt;=$N$12,INDEX('Dados'!$C$549:$C$554,MATCH(INDEX('Tabelas'!$Y$12:$Y$118,47)&amp;"",'Dados'!$A$549:$A$554,0))&gt;=$N$12),1,0),1))</f>
        <v/>
      </c>
      <c r="AG56" s="2">
        <f>$AG$55+$AF$56</f>
        <v/>
      </c>
      <c r="AH56" s="2">
        <f>'Tabelas'!$AB$520&amp;""</f>
        <v/>
      </c>
      <c r="AI56" s="2">
        <f>'Tabelas'!$X$60&amp;""</f>
        <v/>
      </c>
    </row>
    <row r="57">
      <c r="AE57" s="2">
        <f>$AE$56+IF(AND(LEN($N$10)&gt;0,INDEX('Tabelas'!$Z$472:$Z$578,48)&amp;""=$N$10,LEN(INDEX('Tabelas'!$AA$472:$AA$578,48)&amp;"")&gt;0),1,0)</f>
        <v/>
      </c>
      <c r="AF57" s="2">
        <f>IF(LEN(INDEX('Tabelas'!$Y$12:$Y$118,48)&amp;"")=0,0,IF(ISNUMBER(MATCH(INDEX('Tabelas'!$Y$12:$Y$118,48)&amp;"",'Dados'!$A$549:$A$554,0)),IF(AND(INDEX('Dados'!$B$549:$B$554,MATCH(INDEX('Tabelas'!$Y$12:$Y$118,48)&amp;"",'Dados'!$A$549:$A$554,0))&lt;=$N$12,INDEX('Dados'!$C$549:$C$554,MATCH(INDEX('Tabelas'!$Y$12:$Y$118,48)&amp;"",'Dados'!$A$549:$A$554,0))&gt;=$N$12),1,0),1))</f>
        <v/>
      </c>
      <c r="AG57" s="2">
        <f>$AG$56+$AF$57</f>
        <v/>
      </c>
      <c r="AH57" s="2">
        <f>'Tabelas'!$AB$521&amp;""</f>
        <v/>
      </c>
      <c r="AI57" s="2">
        <f>'Tabelas'!$X$61&amp;""</f>
        <v/>
      </c>
    </row>
    <row r="58">
      <c r="AE58" s="2">
        <f>$AE$57+IF(AND(LEN($N$10)&gt;0,INDEX('Tabelas'!$Z$472:$Z$578,49)&amp;""=$N$10,LEN(INDEX('Tabelas'!$AA$472:$AA$578,49)&amp;"")&gt;0),1,0)</f>
        <v/>
      </c>
      <c r="AF58" s="2">
        <f>IF(LEN(INDEX('Tabelas'!$Y$12:$Y$118,49)&amp;"")=0,0,IF(ISNUMBER(MATCH(INDEX('Tabelas'!$Y$12:$Y$118,49)&amp;"",'Dados'!$A$549:$A$554,0)),IF(AND(INDEX('Dados'!$B$549:$B$554,MATCH(INDEX('Tabelas'!$Y$12:$Y$118,49)&amp;"",'Dados'!$A$549:$A$554,0))&lt;=$N$12,INDEX('Dados'!$C$549:$C$554,MATCH(INDEX('Tabelas'!$Y$12:$Y$118,49)&amp;"",'Dados'!$A$549:$A$554,0))&gt;=$N$12),1,0),1))</f>
        <v/>
      </c>
      <c r="AG58" s="2">
        <f>$AG$57+$AF$58</f>
        <v/>
      </c>
      <c r="AH58" s="2">
        <f>'Tabelas'!$AB$522&amp;""</f>
        <v/>
      </c>
      <c r="AI58" s="2">
        <f>'Tabelas'!$X$62&amp;""</f>
        <v/>
      </c>
    </row>
    <row r="59">
      <c r="AE59" s="2">
        <f>$AE$58+IF(AND(LEN($N$10)&gt;0,INDEX('Tabelas'!$Z$472:$Z$578,50)&amp;""=$N$10,LEN(INDEX('Tabelas'!$AA$472:$AA$578,50)&amp;"")&gt;0),1,0)</f>
        <v/>
      </c>
      <c r="AF59" s="2">
        <f>IF(LEN(INDEX('Tabelas'!$Y$12:$Y$118,50)&amp;"")=0,0,IF(ISNUMBER(MATCH(INDEX('Tabelas'!$Y$12:$Y$118,50)&amp;"",'Dados'!$A$549:$A$554,0)),IF(AND(INDEX('Dados'!$B$549:$B$554,MATCH(INDEX('Tabelas'!$Y$12:$Y$118,50)&amp;"",'Dados'!$A$549:$A$554,0))&lt;=$N$12,INDEX('Dados'!$C$549:$C$554,MATCH(INDEX('Tabelas'!$Y$12:$Y$118,50)&amp;"",'Dados'!$A$549:$A$554,0))&gt;=$N$12),1,0),1))</f>
        <v/>
      </c>
      <c r="AG59" s="2">
        <f>$AG$58+$AF$59</f>
        <v/>
      </c>
      <c r="AH59" s="2">
        <f>'Tabelas'!$AB$523&amp;""</f>
        <v/>
      </c>
      <c r="AI59" s="2">
        <f>'Tabelas'!$X$63&amp;""</f>
        <v/>
      </c>
    </row>
    <row r="60">
      <c r="AE60" s="2">
        <f>$AE$59+IF(AND(LEN($N$10)&gt;0,INDEX('Tabelas'!$Z$472:$Z$578,51)&amp;""=$N$10,LEN(INDEX('Tabelas'!$AA$472:$AA$578,51)&amp;"")&gt;0),1,0)</f>
        <v/>
      </c>
      <c r="AF60" s="2">
        <f>IF(LEN(INDEX('Tabelas'!$Y$12:$Y$118,51)&amp;"")=0,0,IF(ISNUMBER(MATCH(INDEX('Tabelas'!$Y$12:$Y$118,51)&amp;"",'Dados'!$A$549:$A$554,0)),IF(AND(INDEX('Dados'!$B$549:$B$554,MATCH(INDEX('Tabelas'!$Y$12:$Y$118,51)&amp;"",'Dados'!$A$549:$A$554,0))&lt;=$N$12,INDEX('Dados'!$C$549:$C$554,MATCH(INDEX('Tabelas'!$Y$12:$Y$118,51)&amp;"",'Dados'!$A$549:$A$554,0))&gt;=$N$12),1,0),1))</f>
        <v/>
      </c>
      <c r="AG60" s="2">
        <f>$AG$59+$AF$60</f>
        <v/>
      </c>
      <c r="AH60" s="2">
        <f>'Tabelas'!$AB$524&amp;""</f>
        <v/>
      </c>
      <c r="AI60" s="2">
        <f>'Tabelas'!$X$64&amp;""</f>
        <v/>
      </c>
    </row>
    <row r="61">
      <c r="AE61" s="2">
        <f>$AE$60+IF(AND(LEN($N$10)&gt;0,INDEX('Tabelas'!$Z$472:$Z$578,52)&amp;""=$N$10,LEN(INDEX('Tabelas'!$AA$472:$AA$578,52)&amp;"")&gt;0),1,0)</f>
        <v/>
      </c>
      <c r="AF61" s="2">
        <f>IF(LEN(INDEX('Tabelas'!$Y$12:$Y$118,52)&amp;"")=0,0,IF(ISNUMBER(MATCH(INDEX('Tabelas'!$Y$12:$Y$118,52)&amp;"",'Dados'!$A$549:$A$554,0)),IF(AND(INDEX('Dados'!$B$549:$B$554,MATCH(INDEX('Tabelas'!$Y$12:$Y$118,52)&amp;"",'Dados'!$A$549:$A$554,0))&lt;=$N$12,INDEX('Dados'!$C$549:$C$554,MATCH(INDEX('Tabelas'!$Y$12:$Y$118,52)&amp;"",'Dados'!$A$549:$A$554,0))&gt;=$N$12),1,0),1))</f>
        <v/>
      </c>
      <c r="AG61" s="2">
        <f>$AG$60+$AF$61</f>
        <v/>
      </c>
      <c r="AH61" s="2">
        <f>'Tabelas'!$AB$525&amp;""</f>
        <v/>
      </c>
      <c r="AI61" s="2">
        <f>'Tabelas'!$X$65&amp;""</f>
        <v/>
      </c>
    </row>
    <row r="62">
      <c r="AE62" s="2">
        <f>$AE$61+IF(AND(LEN($N$10)&gt;0,INDEX('Tabelas'!$Z$472:$Z$578,53)&amp;""=$N$10,LEN(INDEX('Tabelas'!$AA$472:$AA$578,53)&amp;"")&gt;0),1,0)</f>
        <v/>
      </c>
      <c r="AF62" s="2">
        <f>IF(LEN(INDEX('Tabelas'!$Y$12:$Y$118,53)&amp;"")=0,0,IF(ISNUMBER(MATCH(INDEX('Tabelas'!$Y$12:$Y$118,53)&amp;"",'Dados'!$A$549:$A$554,0)),IF(AND(INDEX('Dados'!$B$549:$B$554,MATCH(INDEX('Tabelas'!$Y$12:$Y$118,53)&amp;"",'Dados'!$A$549:$A$554,0))&lt;=$N$12,INDEX('Dados'!$C$549:$C$554,MATCH(INDEX('Tabelas'!$Y$12:$Y$118,53)&amp;"",'Dados'!$A$549:$A$554,0))&gt;=$N$12),1,0),1))</f>
        <v/>
      </c>
      <c r="AG62" s="2">
        <f>$AG$61+$AF$62</f>
        <v/>
      </c>
      <c r="AH62" s="2">
        <f>'Tabelas'!$AB$526&amp;""</f>
        <v/>
      </c>
      <c r="AI62" s="2">
        <f>'Tabelas'!$X$66&amp;""</f>
        <v/>
      </c>
    </row>
    <row r="63">
      <c r="AE63" s="2">
        <f>$AE$62+IF(AND(LEN($N$10)&gt;0,INDEX('Tabelas'!$Z$472:$Z$578,54)&amp;""=$N$10,LEN(INDEX('Tabelas'!$AA$472:$AA$578,54)&amp;"")&gt;0),1,0)</f>
        <v/>
      </c>
      <c r="AF63" s="2">
        <f>IF(LEN(INDEX('Tabelas'!$Y$12:$Y$118,54)&amp;"")=0,0,IF(ISNUMBER(MATCH(INDEX('Tabelas'!$Y$12:$Y$118,54)&amp;"",'Dados'!$A$549:$A$554,0)),IF(AND(INDEX('Dados'!$B$549:$B$554,MATCH(INDEX('Tabelas'!$Y$12:$Y$118,54)&amp;"",'Dados'!$A$549:$A$554,0))&lt;=$N$12,INDEX('Dados'!$C$549:$C$554,MATCH(INDEX('Tabelas'!$Y$12:$Y$118,54)&amp;"",'Dados'!$A$549:$A$554,0))&gt;=$N$12),1,0),1))</f>
        <v/>
      </c>
      <c r="AG63" s="2">
        <f>$AG$62+$AF$63</f>
        <v/>
      </c>
      <c r="AH63" s="2">
        <f>'Tabelas'!$AB$528&amp;""</f>
        <v/>
      </c>
      <c r="AI63" s="2">
        <f>'Tabelas'!$X$68&amp;""</f>
        <v/>
      </c>
    </row>
    <row r="64">
      <c r="AE64" s="2">
        <f>$AE$63+IF(AND(LEN($N$10)&gt;0,INDEX('Tabelas'!$Z$472:$Z$578,55)&amp;""=$N$10,LEN(INDEX('Tabelas'!$AA$472:$AA$578,55)&amp;"")&gt;0),1,0)</f>
        <v/>
      </c>
      <c r="AF64" s="2">
        <f>IF(LEN(INDEX('Tabelas'!$Y$12:$Y$118,55)&amp;"")=0,0,IF(ISNUMBER(MATCH(INDEX('Tabelas'!$Y$12:$Y$118,55)&amp;"",'Dados'!$A$549:$A$554,0)),IF(AND(INDEX('Dados'!$B$549:$B$554,MATCH(INDEX('Tabelas'!$Y$12:$Y$118,55)&amp;"",'Dados'!$A$549:$A$554,0))&lt;=$N$12,INDEX('Dados'!$C$549:$C$554,MATCH(INDEX('Tabelas'!$Y$12:$Y$118,55)&amp;"",'Dados'!$A$549:$A$554,0))&gt;=$N$12),1,0),1))</f>
        <v/>
      </c>
      <c r="AG64" s="2">
        <f>$AG$63+$AF$64</f>
        <v/>
      </c>
      <c r="AH64" s="2">
        <f>'Tabelas'!$AB$529&amp;""</f>
        <v/>
      </c>
      <c r="AI64" s="2">
        <f>'Tabelas'!$X$69&amp;""</f>
        <v/>
      </c>
    </row>
    <row r="65">
      <c r="AE65" s="2">
        <f>$AE$64</f>
        <v/>
      </c>
      <c r="AF65" s="2">
        <f>0</f>
        <v/>
      </c>
      <c r="AG65" s="2">
        <f>$AG$64+$AF$65</f>
        <v/>
      </c>
      <c r="AH65" s="2">
        <f>'Tabelas'!$AB$530&amp;""</f>
        <v/>
      </c>
      <c r="AI65" s="2">
        <f>'Tabelas'!$X$70&amp;""</f>
        <v/>
      </c>
    </row>
    <row r="66">
      <c r="AE66" s="2">
        <f>$AE$65+IF(AND(LEN($N$10)&gt;0,INDEX('Tabelas'!$Z$472:$Z$578,57)&amp;""=$N$10,LEN(INDEX('Tabelas'!$AA$472:$AA$578,57)&amp;"")&gt;0),1,0)</f>
        <v/>
      </c>
      <c r="AF66" s="2">
        <f>IF(LEN(INDEX('Tabelas'!$Y$12:$Y$118,57)&amp;"")=0,0,IF(ISNUMBER(MATCH(INDEX('Tabelas'!$Y$12:$Y$118,57)&amp;"",'Dados'!$A$549:$A$554,0)),IF(AND(INDEX('Dados'!$B$549:$B$554,MATCH(INDEX('Tabelas'!$Y$12:$Y$118,57)&amp;"",'Dados'!$A$549:$A$554,0))&lt;=$N$12,INDEX('Dados'!$C$549:$C$554,MATCH(INDEX('Tabelas'!$Y$12:$Y$118,57)&amp;"",'Dados'!$A$549:$A$554,0))&gt;=$N$12),1,0),1))</f>
        <v/>
      </c>
      <c r="AG66" s="2">
        <f>$AG$65+$AF$66</f>
        <v/>
      </c>
      <c r="AH66" s="2">
        <f>'Tabelas'!$AB$531&amp;""</f>
        <v/>
      </c>
      <c r="AI66" s="2">
        <f>'Tabelas'!$X$71&amp;""</f>
        <v/>
      </c>
    </row>
    <row r="67">
      <c r="AE67" s="2">
        <f>$AE$66+IF(AND(LEN($N$10)&gt;0,INDEX('Tabelas'!$Z$472:$Z$578,58)&amp;""=$N$10,LEN(INDEX('Tabelas'!$AA$472:$AA$578,58)&amp;"")&gt;0),1,0)</f>
        <v/>
      </c>
      <c r="AF67" s="2">
        <f>IF(LEN(INDEX('Tabelas'!$Y$12:$Y$118,58)&amp;"")=0,0,IF(ISNUMBER(MATCH(INDEX('Tabelas'!$Y$12:$Y$118,58)&amp;"",'Dados'!$A$549:$A$554,0)),IF(AND(INDEX('Dados'!$B$549:$B$554,MATCH(INDEX('Tabelas'!$Y$12:$Y$118,58)&amp;"",'Dados'!$A$549:$A$554,0))&lt;=$N$12,INDEX('Dados'!$C$549:$C$554,MATCH(INDEX('Tabelas'!$Y$12:$Y$118,58)&amp;"",'Dados'!$A$549:$A$554,0))&gt;=$N$12),1,0),1))</f>
        <v/>
      </c>
      <c r="AG67" s="2">
        <f>$AG$66+$AF$67</f>
        <v/>
      </c>
      <c r="AH67" s="2">
        <f>'Tabelas'!$AB$532&amp;""</f>
        <v/>
      </c>
      <c r="AI67" s="2">
        <f>'Tabelas'!$X$72&amp;""</f>
        <v/>
      </c>
    </row>
    <row r="68">
      <c r="AE68" s="2">
        <f>$AE$67+IF(AND(LEN($N$10)&gt;0,INDEX('Tabelas'!$Z$472:$Z$578,59)&amp;""=$N$10,LEN(INDEX('Tabelas'!$AA$472:$AA$578,59)&amp;"")&gt;0),1,0)</f>
        <v/>
      </c>
      <c r="AF68" s="2">
        <f>IF(LEN(INDEX('Tabelas'!$Y$12:$Y$118,59)&amp;"")=0,0,IF(ISNUMBER(MATCH(INDEX('Tabelas'!$Y$12:$Y$118,59)&amp;"",'Dados'!$A$549:$A$554,0)),IF(AND(INDEX('Dados'!$B$549:$B$554,MATCH(INDEX('Tabelas'!$Y$12:$Y$118,59)&amp;"",'Dados'!$A$549:$A$554,0))&lt;=$N$12,INDEX('Dados'!$C$549:$C$554,MATCH(INDEX('Tabelas'!$Y$12:$Y$118,59)&amp;"",'Dados'!$A$549:$A$554,0))&gt;=$N$12),1,0),1))</f>
        <v/>
      </c>
      <c r="AG68" s="2">
        <f>$AG$67+$AF$68</f>
        <v/>
      </c>
      <c r="AH68" s="2">
        <f>'Tabelas'!$AB$533&amp;""</f>
        <v/>
      </c>
      <c r="AI68" s="2">
        <f>'Tabelas'!$X$73&amp;""</f>
        <v/>
      </c>
    </row>
    <row r="69">
      <c r="AE69" s="2">
        <f>$AE$68+IF(AND(LEN($N$10)&gt;0,INDEX('Tabelas'!$Z$472:$Z$578,60)&amp;""=$N$10,LEN(INDEX('Tabelas'!$AA$472:$AA$578,60)&amp;"")&gt;0),1,0)</f>
        <v/>
      </c>
      <c r="AF69" s="2">
        <f>IF(LEN(INDEX('Tabelas'!$Y$12:$Y$118,60)&amp;"")=0,0,IF(ISNUMBER(MATCH(INDEX('Tabelas'!$Y$12:$Y$118,60)&amp;"",'Dados'!$A$549:$A$554,0)),IF(AND(INDEX('Dados'!$B$549:$B$554,MATCH(INDEX('Tabelas'!$Y$12:$Y$118,60)&amp;"",'Dados'!$A$549:$A$554,0))&lt;=$N$12,INDEX('Dados'!$C$549:$C$554,MATCH(INDEX('Tabelas'!$Y$12:$Y$118,60)&amp;"",'Dados'!$A$549:$A$554,0))&gt;=$N$12),1,0),1))</f>
        <v/>
      </c>
      <c r="AG69" s="2">
        <f>$AG$68+$AF$69</f>
        <v/>
      </c>
      <c r="AH69" s="2">
        <f>'Tabelas'!$AB$534&amp;""</f>
        <v/>
      </c>
      <c r="AI69" s="2">
        <f>'Tabelas'!$X$74&amp;""</f>
        <v/>
      </c>
    </row>
    <row r="70">
      <c r="AE70" s="2">
        <f>$AE$69+IF(AND(LEN($N$10)&gt;0,INDEX('Tabelas'!$Z$472:$Z$578,61)&amp;""=$N$10,LEN(INDEX('Tabelas'!$AA$472:$AA$578,61)&amp;"")&gt;0),1,0)</f>
        <v/>
      </c>
      <c r="AF70" s="2">
        <f>IF(LEN(INDEX('Tabelas'!$Y$12:$Y$118,61)&amp;"")=0,0,IF(ISNUMBER(MATCH(INDEX('Tabelas'!$Y$12:$Y$118,61)&amp;"",'Dados'!$A$549:$A$554,0)),IF(AND(INDEX('Dados'!$B$549:$B$554,MATCH(INDEX('Tabelas'!$Y$12:$Y$118,61)&amp;"",'Dados'!$A$549:$A$554,0))&lt;=$N$12,INDEX('Dados'!$C$549:$C$554,MATCH(INDEX('Tabelas'!$Y$12:$Y$118,61)&amp;"",'Dados'!$A$549:$A$554,0))&gt;=$N$12),1,0),1))</f>
        <v/>
      </c>
      <c r="AG70" s="2">
        <f>$AG$69+$AF$70</f>
        <v/>
      </c>
      <c r="AH70" s="2">
        <f>'Tabelas'!$AB$535&amp;""</f>
        <v/>
      </c>
      <c r="AI70" s="2">
        <f>'Tabelas'!$X$75&amp;""</f>
        <v/>
      </c>
    </row>
    <row r="71">
      <c r="AE71" s="2">
        <f>$AE$70+IF(AND(LEN($N$10)&gt;0,INDEX('Tabelas'!$Z$472:$Z$578,62)&amp;""=$N$10,LEN(INDEX('Tabelas'!$AA$472:$AA$578,62)&amp;"")&gt;0),1,0)</f>
        <v/>
      </c>
      <c r="AF71" s="2">
        <f>IF(LEN(INDEX('Tabelas'!$Y$12:$Y$118,62)&amp;"")=0,0,IF(ISNUMBER(MATCH(INDEX('Tabelas'!$Y$12:$Y$118,62)&amp;"",'Dados'!$A$549:$A$554,0)),IF(AND(INDEX('Dados'!$B$549:$B$554,MATCH(INDEX('Tabelas'!$Y$12:$Y$118,62)&amp;"",'Dados'!$A$549:$A$554,0))&lt;=$N$12,INDEX('Dados'!$C$549:$C$554,MATCH(INDEX('Tabelas'!$Y$12:$Y$118,62)&amp;"",'Dados'!$A$549:$A$554,0))&gt;=$N$12),1,0),1))</f>
        <v/>
      </c>
      <c r="AG71" s="2">
        <f>$AG$70+$AF$71</f>
        <v/>
      </c>
      <c r="AH71" s="2">
        <f>'Tabelas'!$AB$536&amp;""</f>
        <v/>
      </c>
      <c r="AI71" s="2">
        <f>'Tabelas'!$X$76&amp;""</f>
        <v/>
      </c>
    </row>
    <row r="72">
      <c r="AE72" s="2">
        <f>$AE$71+IF(AND(LEN($N$10)&gt;0,INDEX('Tabelas'!$Z$472:$Z$578,63)&amp;""=$N$10,LEN(INDEX('Tabelas'!$AA$472:$AA$578,63)&amp;"")&gt;0),1,0)</f>
        <v/>
      </c>
      <c r="AF72" s="2">
        <f>IF(LEN(INDEX('Tabelas'!$Y$12:$Y$118,63)&amp;"")=0,0,IF(ISNUMBER(MATCH(INDEX('Tabelas'!$Y$12:$Y$118,63)&amp;"",'Dados'!$A$549:$A$554,0)),IF(AND(INDEX('Dados'!$B$549:$B$554,MATCH(INDEX('Tabelas'!$Y$12:$Y$118,63)&amp;"",'Dados'!$A$549:$A$554,0))&lt;=$N$12,INDEX('Dados'!$C$549:$C$554,MATCH(INDEX('Tabelas'!$Y$12:$Y$118,63)&amp;"",'Dados'!$A$549:$A$554,0))&gt;=$N$12),1,0),1))</f>
        <v/>
      </c>
      <c r="AG72" s="2">
        <f>$AG$71+$AF$72</f>
        <v/>
      </c>
      <c r="AH72" s="2">
        <f>'Tabelas'!$AB$537&amp;""</f>
        <v/>
      </c>
      <c r="AI72" s="2">
        <f>'Tabelas'!$X$77&amp;""</f>
        <v/>
      </c>
    </row>
    <row r="73">
      <c r="AE73" s="2">
        <f>$AE$72+IF(AND(LEN($N$10)&gt;0,INDEX('Tabelas'!$Z$472:$Z$578,64)&amp;""=$N$10,LEN(INDEX('Tabelas'!$AA$472:$AA$578,64)&amp;"")&gt;0),1,0)</f>
        <v/>
      </c>
      <c r="AF73" s="2">
        <f>IF(LEN(INDEX('Tabelas'!$Y$12:$Y$118,64)&amp;"")=0,0,IF(ISNUMBER(MATCH(INDEX('Tabelas'!$Y$12:$Y$118,64)&amp;"",'Dados'!$A$549:$A$554,0)),IF(AND(INDEX('Dados'!$B$549:$B$554,MATCH(INDEX('Tabelas'!$Y$12:$Y$118,64)&amp;"",'Dados'!$A$549:$A$554,0))&lt;=$N$12,INDEX('Dados'!$C$549:$C$554,MATCH(INDEX('Tabelas'!$Y$12:$Y$118,64)&amp;"",'Dados'!$A$549:$A$554,0))&gt;=$N$12),1,0),1))</f>
        <v/>
      </c>
      <c r="AG73" s="2">
        <f>$AG$72+$AF$73</f>
        <v/>
      </c>
      <c r="AH73" s="2">
        <f>'Tabelas'!$AB$538&amp;""</f>
        <v/>
      </c>
      <c r="AI73" s="2">
        <f>'Tabelas'!$X$78&amp;""</f>
        <v/>
      </c>
    </row>
    <row r="74">
      <c r="AE74" s="2">
        <f>$AE$73+IF(AND(LEN($N$10)&gt;0,INDEX('Tabelas'!$Z$472:$Z$578,65)&amp;""=$N$10,LEN(INDEX('Tabelas'!$AA$472:$AA$578,65)&amp;"")&gt;0),1,0)</f>
        <v/>
      </c>
      <c r="AF74" s="2">
        <f>IF(LEN(INDEX('Tabelas'!$Y$12:$Y$118,65)&amp;"")=0,0,IF(ISNUMBER(MATCH(INDEX('Tabelas'!$Y$12:$Y$118,65)&amp;"",'Dados'!$A$549:$A$554,0)),IF(AND(INDEX('Dados'!$B$549:$B$554,MATCH(INDEX('Tabelas'!$Y$12:$Y$118,65)&amp;"",'Dados'!$A$549:$A$554,0))&lt;=$N$12,INDEX('Dados'!$C$549:$C$554,MATCH(INDEX('Tabelas'!$Y$12:$Y$118,65)&amp;"",'Dados'!$A$549:$A$554,0))&gt;=$N$12),1,0),1))</f>
        <v/>
      </c>
      <c r="AG74" s="2">
        <f>$AG$73+$AF$74</f>
        <v/>
      </c>
      <c r="AH74" s="2">
        <f>'Tabelas'!$AB$539&amp;""</f>
        <v/>
      </c>
      <c r="AI74" s="2">
        <f>'Tabelas'!$X$79&amp;""</f>
        <v/>
      </c>
    </row>
    <row r="75">
      <c r="AE75" s="2">
        <f>$AE$74+IF(AND(LEN($N$10)&gt;0,INDEX('Tabelas'!$Z$472:$Z$578,66)&amp;""=$N$10,LEN(INDEX('Tabelas'!$AA$472:$AA$578,66)&amp;"")&gt;0),1,0)</f>
        <v/>
      </c>
      <c r="AF75" s="2">
        <f>IF(LEN(INDEX('Tabelas'!$Y$12:$Y$118,66)&amp;"")=0,0,IF(ISNUMBER(MATCH(INDEX('Tabelas'!$Y$12:$Y$118,66)&amp;"",'Dados'!$A$549:$A$554,0)),IF(AND(INDEX('Dados'!$B$549:$B$554,MATCH(INDEX('Tabelas'!$Y$12:$Y$118,66)&amp;"",'Dados'!$A$549:$A$554,0))&lt;=$N$12,INDEX('Dados'!$C$549:$C$554,MATCH(INDEX('Tabelas'!$Y$12:$Y$118,66)&amp;"",'Dados'!$A$549:$A$554,0))&gt;=$N$12),1,0),1))</f>
        <v/>
      </c>
      <c r="AG75" s="2">
        <f>$AG$74+$AF$75</f>
        <v/>
      </c>
      <c r="AH75" s="2">
        <f>'Tabelas'!$AB$540&amp;""</f>
        <v/>
      </c>
      <c r="AI75" s="2">
        <f>'Tabelas'!$X$80&amp;""</f>
        <v/>
      </c>
    </row>
    <row r="76">
      <c r="AE76" s="2">
        <f>$AE$75+IF(AND(LEN($N$10)&gt;0,INDEX('Tabelas'!$Z$472:$Z$578,67)&amp;""=$N$10,LEN(INDEX('Tabelas'!$AA$472:$AA$578,67)&amp;"")&gt;0),1,0)</f>
        <v/>
      </c>
      <c r="AF76" s="2">
        <f>IF(LEN(INDEX('Tabelas'!$Y$12:$Y$118,67)&amp;"")=0,0,IF(ISNUMBER(MATCH(INDEX('Tabelas'!$Y$12:$Y$118,67)&amp;"",'Dados'!$A$549:$A$554,0)),IF(AND(INDEX('Dados'!$B$549:$B$554,MATCH(INDEX('Tabelas'!$Y$12:$Y$118,67)&amp;"",'Dados'!$A$549:$A$554,0))&lt;=$N$12,INDEX('Dados'!$C$549:$C$554,MATCH(INDEX('Tabelas'!$Y$12:$Y$118,67)&amp;"",'Dados'!$A$549:$A$554,0))&gt;=$N$12),1,0),1))</f>
        <v/>
      </c>
      <c r="AG76" s="2">
        <f>$AG$75+$AF$76</f>
        <v/>
      </c>
      <c r="AH76" s="2">
        <f>'Tabelas'!$AB$542&amp;""</f>
        <v/>
      </c>
      <c r="AI76" s="2">
        <f>'Tabelas'!$X$82&amp;""</f>
        <v/>
      </c>
    </row>
    <row r="77">
      <c r="AE77" s="2">
        <f>$AE$76+IF(AND(LEN($N$10)&gt;0,INDEX('Tabelas'!$Z$472:$Z$578,68)&amp;""=$N$10,LEN(INDEX('Tabelas'!$AA$472:$AA$578,68)&amp;"")&gt;0),1,0)</f>
        <v/>
      </c>
      <c r="AF77" s="2">
        <f>IF(LEN(INDEX('Tabelas'!$Y$12:$Y$118,68)&amp;"")=0,0,IF(ISNUMBER(MATCH(INDEX('Tabelas'!$Y$12:$Y$118,68)&amp;"",'Dados'!$A$549:$A$554,0)),IF(AND(INDEX('Dados'!$B$549:$B$554,MATCH(INDEX('Tabelas'!$Y$12:$Y$118,68)&amp;"",'Dados'!$A$549:$A$554,0))&lt;=$N$12,INDEX('Dados'!$C$549:$C$554,MATCH(INDEX('Tabelas'!$Y$12:$Y$118,68)&amp;"",'Dados'!$A$549:$A$554,0))&gt;=$N$12),1,0),1))</f>
        <v/>
      </c>
      <c r="AG77" s="2">
        <f>$AG$76+$AF$77</f>
        <v/>
      </c>
      <c r="AH77" s="2">
        <f>'Tabelas'!$AB$543&amp;""</f>
        <v/>
      </c>
      <c r="AI77" s="2">
        <f>'Tabelas'!$X$83&amp;""</f>
        <v/>
      </c>
    </row>
    <row r="78">
      <c r="AE78" s="2">
        <f>$AE$77+IF(AND(LEN($N$10)&gt;0,INDEX('Tabelas'!$Z$472:$Z$578,69)&amp;""=$N$10,LEN(INDEX('Tabelas'!$AA$472:$AA$578,69)&amp;"")&gt;0),1,0)</f>
        <v/>
      </c>
      <c r="AF78" s="2">
        <f>IF(LEN(INDEX('Tabelas'!$Y$12:$Y$118,69)&amp;"")=0,0,IF(ISNUMBER(MATCH(INDEX('Tabelas'!$Y$12:$Y$118,69)&amp;"",'Dados'!$A$549:$A$554,0)),IF(AND(INDEX('Dados'!$B$549:$B$554,MATCH(INDEX('Tabelas'!$Y$12:$Y$118,69)&amp;"",'Dados'!$A$549:$A$554,0))&lt;=$N$12,INDEX('Dados'!$C$549:$C$554,MATCH(INDEX('Tabelas'!$Y$12:$Y$118,69)&amp;"",'Dados'!$A$549:$A$554,0))&gt;=$N$12),1,0),1))</f>
        <v/>
      </c>
      <c r="AG78" s="2">
        <f>$AG$77+$AF$78</f>
        <v/>
      </c>
      <c r="AH78" s="2">
        <f>'Tabelas'!$AB$544&amp;""</f>
        <v/>
      </c>
      <c r="AI78" s="2">
        <f>'Tabelas'!$X$84&amp;""</f>
        <v/>
      </c>
    </row>
    <row r="79">
      <c r="AE79" s="2">
        <f>$AE$78</f>
        <v/>
      </c>
      <c r="AF79" s="2">
        <f>0</f>
        <v/>
      </c>
      <c r="AG79" s="2">
        <f>$AG$78+$AF$79</f>
        <v/>
      </c>
      <c r="AH79" s="2">
        <f>'Tabelas'!$AB$545&amp;""</f>
        <v/>
      </c>
      <c r="AI79" s="2">
        <f>'Tabelas'!$X$85&amp;""</f>
        <v/>
      </c>
    </row>
    <row r="80">
      <c r="AE80" s="2">
        <f>$AE$79+IF(AND(LEN($N$10)&gt;0,INDEX('Tabelas'!$Z$472:$Z$578,71)&amp;""=$N$10,LEN(INDEX('Tabelas'!$AA$472:$AA$578,71)&amp;"")&gt;0),1,0)</f>
        <v/>
      </c>
      <c r="AF80" s="2">
        <f>IF(LEN(INDEX('Tabelas'!$Y$12:$Y$118,71)&amp;"")=0,0,IF(ISNUMBER(MATCH(INDEX('Tabelas'!$Y$12:$Y$118,71)&amp;"",'Dados'!$A$549:$A$554,0)),IF(AND(INDEX('Dados'!$B$549:$B$554,MATCH(INDEX('Tabelas'!$Y$12:$Y$118,71)&amp;"",'Dados'!$A$549:$A$554,0))&lt;=$N$12,INDEX('Dados'!$C$549:$C$554,MATCH(INDEX('Tabelas'!$Y$12:$Y$118,71)&amp;"",'Dados'!$A$549:$A$554,0))&gt;=$N$12),1,0),1))</f>
        <v/>
      </c>
      <c r="AG80" s="2">
        <f>$AG$79+$AF$80</f>
        <v/>
      </c>
      <c r="AH80" s="2">
        <f>'Tabelas'!$AB$546&amp;""</f>
        <v/>
      </c>
      <c r="AI80" s="2">
        <f>'Tabelas'!$X$86&amp;""</f>
        <v/>
      </c>
    </row>
    <row r="81">
      <c r="AE81" s="2">
        <f>$AE$80+IF(AND(LEN($N$10)&gt;0,INDEX('Tabelas'!$Z$472:$Z$578,72)&amp;""=$N$10,LEN(INDEX('Tabelas'!$AA$472:$AA$578,72)&amp;"")&gt;0),1,0)</f>
        <v/>
      </c>
      <c r="AF81" s="2">
        <f>IF(LEN(INDEX('Tabelas'!$Y$12:$Y$118,72)&amp;"")=0,0,IF(ISNUMBER(MATCH(INDEX('Tabelas'!$Y$12:$Y$118,72)&amp;"",'Dados'!$A$549:$A$554,0)),IF(AND(INDEX('Dados'!$B$549:$B$554,MATCH(INDEX('Tabelas'!$Y$12:$Y$118,72)&amp;"",'Dados'!$A$549:$A$554,0))&lt;=$N$12,INDEX('Dados'!$C$549:$C$554,MATCH(INDEX('Tabelas'!$Y$12:$Y$118,72)&amp;"",'Dados'!$A$549:$A$554,0))&gt;=$N$12),1,0),1))</f>
        <v/>
      </c>
      <c r="AG81" s="2">
        <f>$AG$80+$AF$81</f>
        <v/>
      </c>
      <c r="AH81" s="2">
        <f>'Tabelas'!$AB$547&amp;""</f>
        <v/>
      </c>
      <c r="AI81" s="2">
        <f>'Tabelas'!$X$87&amp;""</f>
        <v/>
      </c>
    </row>
    <row r="82">
      <c r="AE82" s="2">
        <f>$AE$81+IF(AND(LEN($N$10)&gt;0,INDEX('Tabelas'!$Z$472:$Z$578,73)&amp;""=$N$10,LEN(INDEX('Tabelas'!$AA$472:$AA$578,73)&amp;"")&gt;0),1,0)</f>
        <v/>
      </c>
      <c r="AF82" s="2">
        <f>IF(LEN(INDEX('Tabelas'!$Y$12:$Y$118,73)&amp;"")=0,0,IF(ISNUMBER(MATCH(INDEX('Tabelas'!$Y$12:$Y$118,73)&amp;"",'Dados'!$A$549:$A$554,0)),IF(AND(INDEX('Dados'!$B$549:$B$554,MATCH(INDEX('Tabelas'!$Y$12:$Y$118,73)&amp;"",'Dados'!$A$549:$A$554,0))&lt;=$N$12,INDEX('Dados'!$C$549:$C$554,MATCH(INDEX('Tabelas'!$Y$12:$Y$118,73)&amp;"",'Dados'!$A$549:$A$554,0))&gt;=$N$12),1,0),1))</f>
        <v/>
      </c>
      <c r="AG82" s="2">
        <f>$AG$81+$AF$82</f>
        <v/>
      </c>
      <c r="AH82" s="2">
        <f>'Tabelas'!$AB$548&amp;""</f>
        <v/>
      </c>
      <c r="AI82" s="2">
        <f>'Tabelas'!$X$88&amp;""</f>
        <v/>
      </c>
    </row>
    <row r="83">
      <c r="AE83" s="2">
        <f>$AE$82+IF(AND(LEN($N$10)&gt;0,INDEX('Tabelas'!$Z$472:$Z$578,74)&amp;""=$N$10,LEN(INDEX('Tabelas'!$AA$472:$AA$578,74)&amp;"")&gt;0),1,0)</f>
        <v/>
      </c>
      <c r="AF83" s="2">
        <f>IF(LEN(INDEX('Tabelas'!$Y$12:$Y$118,74)&amp;"")=0,0,IF(ISNUMBER(MATCH(INDEX('Tabelas'!$Y$12:$Y$118,74)&amp;"",'Dados'!$A$549:$A$554,0)),IF(AND(INDEX('Dados'!$B$549:$B$554,MATCH(INDEX('Tabelas'!$Y$12:$Y$118,74)&amp;"",'Dados'!$A$549:$A$554,0))&lt;=$N$12,INDEX('Dados'!$C$549:$C$554,MATCH(INDEX('Tabelas'!$Y$12:$Y$118,74)&amp;"",'Dados'!$A$549:$A$554,0))&gt;=$N$12),1,0),1))</f>
        <v/>
      </c>
      <c r="AG83" s="2">
        <f>$AG$82+$AF$83</f>
        <v/>
      </c>
      <c r="AH83" s="2">
        <f>'Tabelas'!$AB$549&amp;""</f>
        <v/>
      </c>
      <c r="AI83" s="2">
        <f>'Tabelas'!$X$89&amp;""</f>
        <v/>
      </c>
    </row>
    <row r="84">
      <c r="AE84" s="2">
        <f>$AE$83+IF(AND(LEN($N$10)&gt;0,INDEX('Tabelas'!$Z$472:$Z$578,75)&amp;""=$N$10,LEN(INDEX('Tabelas'!$AA$472:$AA$578,75)&amp;"")&gt;0),1,0)</f>
        <v/>
      </c>
      <c r="AF84" s="2">
        <f>IF(LEN(INDEX('Tabelas'!$Y$12:$Y$118,75)&amp;"")=0,0,IF(ISNUMBER(MATCH(INDEX('Tabelas'!$Y$12:$Y$118,75)&amp;"",'Dados'!$A$549:$A$554,0)),IF(AND(INDEX('Dados'!$B$549:$B$554,MATCH(INDEX('Tabelas'!$Y$12:$Y$118,75)&amp;"",'Dados'!$A$549:$A$554,0))&lt;=$N$12,INDEX('Dados'!$C$549:$C$554,MATCH(INDEX('Tabelas'!$Y$12:$Y$118,75)&amp;"",'Dados'!$A$549:$A$554,0))&gt;=$N$12),1,0),1))</f>
        <v/>
      </c>
      <c r="AG84" s="2">
        <f>$AG$83+$AF$84</f>
        <v/>
      </c>
      <c r="AH84" s="2">
        <f>'Tabelas'!$AB$550&amp;""</f>
        <v/>
      </c>
      <c r="AI84" s="2">
        <f>'Tabelas'!$X$90&amp;""</f>
        <v/>
      </c>
    </row>
    <row r="85">
      <c r="AE85" s="2">
        <f>$AE$84+IF(AND(LEN($N$10)&gt;0,INDEX('Tabelas'!$Z$472:$Z$578,76)&amp;""=$N$10,LEN(INDEX('Tabelas'!$AA$472:$AA$578,76)&amp;"")&gt;0),1,0)</f>
        <v/>
      </c>
      <c r="AF85" s="2">
        <f>IF(LEN(INDEX('Tabelas'!$Y$12:$Y$118,76)&amp;"")=0,0,IF(ISNUMBER(MATCH(INDEX('Tabelas'!$Y$12:$Y$118,76)&amp;"",'Dados'!$A$549:$A$554,0)),IF(AND(INDEX('Dados'!$B$549:$B$554,MATCH(INDEX('Tabelas'!$Y$12:$Y$118,76)&amp;"",'Dados'!$A$549:$A$554,0))&lt;=$N$12,INDEX('Dados'!$C$549:$C$554,MATCH(INDEX('Tabelas'!$Y$12:$Y$118,76)&amp;"",'Dados'!$A$549:$A$554,0))&gt;=$N$12),1,0),1))</f>
        <v/>
      </c>
      <c r="AG85" s="2">
        <f>$AG$84+$AF$85</f>
        <v/>
      </c>
      <c r="AH85" s="2">
        <f>'Tabelas'!$AB$551&amp;""</f>
        <v/>
      </c>
      <c r="AI85" s="2">
        <f>'Tabelas'!$X$91&amp;""</f>
        <v/>
      </c>
    </row>
    <row r="86">
      <c r="AE86" s="2">
        <f>$AE$85+IF(AND(LEN($N$10)&gt;0,INDEX('Tabelas'!$Z$472:$Z$578,77)&amp;""=$N$10,LEN(INDEX('Tabelas'!$AA$472:$AA$578,77)&amp;"")&gt;0),1,0)</f>
        <v/>
      </c>
      <c r="AF86" s="2">
        <f>IF(LEN(INDEX('Tabelas'!$Y$12:$Y$118,77)&amp;"")=0,0,IF(ISNUMBER(MATCH(INDEX('Tabelas'!$Y$12:$Y$118,77)&amp;"",'Dados'!$A$549:$A$554,0)),IF(AND(INDEX('Dados'!$B$549:$B$554,MATCH(INDEX('Tabelas'!$Y$12:$Y$118,77)&amp;"",'Dados'!$A$549:$A$554,0))&lt;=$N$12,INDEX('Dados'!$C$549:$C$554,MATCH(INDEX('Tabelas'!$Y$12:$Y$118,77)&amp;"",'Dados'!$A$549:$A$554,0))&gt;=$N$12),1,0),1))</f>
        <v/>
      </c>
      <c r="AG86" s="2">
        <f>$AG$85+$AF$86</f>
        <v/>
      </c>
      <c r="AH86" s="2">
        <f>'Tabelas'!$AB$552&amp;""</f>
        <v/>
      </c>
      <c r="AI86" s="2">
        <f>'Tabelas'!$X$92&amp;""</f>
        <v/>
      </c>
    </row>
    <row r="87">
      <c r="AE87" s="2">
        <f>$AE$86+IF(AND(LEN($N$10)&gt;0,INDEX('Tabelas'!$Z$472:$Z$578,78)&amp;""=$N$10,LEN(INDEX('Tabelas'!$AA$472:$AA$578,78)&amp;"")&gt;0),1,0)</f>
        <v/>
      </c>
      <c r="AF87" s="2">
        <f>IF(LEN(INDEX('Tabelas'!$Y$12:$Y$118,78)&amp;"")=0,0,IF(ISNUMBER(MATCH(INDEX('Tabelas'!$Y$12:$Y$118,78)&amp;"",'Dados'!$A$549:$A$554,0)),IF(AND(INDEX('Dados'!$B$549:$B$554,MATCH(INDEX('Tabelas'!$Y$12:$Y$118,78)&amp;"",'Dados'!$A$549:$A$554,0))&lt;=$N$12,INDEX('Dados'!$C$549:$C$554,MATCH(INDEX('Tabelas'!$Y$12:$Y$118,78)&amp;"",'Dados'!$A$549:$A$554,0))&gt;=$N$12),1,0),1))</f>
        <v/>
      </c>
      <c r="AG87" s="2">
        <f>$AG$86+$AF$87</f>
        <v/>
      </c>
      <c r="AH87" s="2">
        <f>'Tabelas'!$AB$553&amp;""</f>
        <v/>
      </c>
      <c r="AI87" s="2">
        <f>'Tabelas'!$X$93&amp;""</f>
        <v/>
      </c>
    </row>
    <row r="88">
      <c r="AE88" s="2">
        <f>$AE$87+IF(AND(LEN($N$10)&gt;0,INDEX('Tabelas'!$Z$472:$Z$578,79)&amp;""=$N$10,LEN(INDEX('Tabelas'!$AA$472:$AA$578,79)&amp;"")&gt;0),1,0)</f>
        <v/>
      </c>
      <c r="AF88" s="2">
        <f>IF(LEN(INDEX('Tabelas'!$Y$12:$Y$118,79)&amp;"")=0,0,IF(ISNUMBER(MATCH(INDEX('Tabelas'!$Y$12:$Y$118,79)&amp;"",'Dados'!$A$549:$A$554,0)),IF(AND(INDEX('Dados'!$B$549:$B$554,MATCH(INDEX('Tabelas'!$Y$12:$Y$118,79)&amp;"",'Dados'!$A$549:$A$554,0))&lt;=$N$12,INDEX('Dados'!$C$549:$C$554,MATCH(INDEX('Tabelas'!$Y$12:$Y$118,79)&amp;"",'Dados'!$A$549:$A$554,0))&gt;=$N$12),1,0),1))</f>
        <v/>
      </c>
      <c r="AG88" s="2">
        <f>$AG$87+$AF$88</f>
        <v/>
      </c>
      <c r="AH88" s="2">
        <f>'Tabelas'!$AB$554&amp;""</f>
        <v/>
      </c>
      <c r="AI88" s="2">
        <f>'Tabelas'!$X$94&amp;""</f>
        <v/>
      </c>
    </row>
    <row r="89">
      <c r="AE89" s="2">
        <f>$AE$88+IF(AND(LEN($N$10)&gt;0,INDEX('Tabelas'!$Z$472:$Z$578,80)&amp;""=$N$10,LEN(INDEX('Tabelas'!$AA$472:$AA$578,80)&amp;"")&gt;0),1,0)</f>
        <v/>
      </c>
      <c r="AF89" s="2">
        <f>IF(LEN(INDEX('Tabelas'!$Y$12:$Y$118,80)&amp;"")=0,0,IF(ISNUMBER(MATCH(INDEX('Tabelas'!$Y$12:$Y$118,80)&amp;"",'Dados'!$A$549:$A$554,0)),IF(AND(INDEX('Dados'!$B$549:$B$554,MATCH(INDEX('Tabelas'!$Y$12:$Y$118,80)&amp;"",'Dados'!$A$549:$A$554,0))&lt;=$N$12,INDEX('Dados'!$C$549:$C$554,MATCH(INDEX('Tabelas'!$Y$12:$Y$118,80)&amp;"",'Dados'!$A$549:$A$554,0))&gt;=$N$12),1,0),1))</f>
        <v/>
      </c>
      <c r="AG89" s="2">
        <f>$AG$88+$AF$89</f>
        <v/>
      </c>
      <c r="AH89" s="2">
        <f>'Tabelas'!$AB$556&amp;""</f>
        <v/>
      </c>
      <c r="AI89" s="2">
        <f>'Tabelas'!$X$96&amp;""</f>
        <v/>
      </c>
    </row>
    <row r="90">
      <c r="AE90" s="2">
        <f>$AE$89+IF(AND(LEN($N$10)&gt;0,INDEX('Tabelas'!$Z$472:$Z$578,81)&amp;""=$N$10,LEN(INDEX('Tabelas'!$AA$472:$AA$578,81)&amp;"")&gt;0),1,0)</f>
        <v/>
      </c>
      <c r="AF90" s="2">
        <f>IF(LEN(INDEX('Tabelas'!$Y$12:$Y$118,81)&amp;"")=0,0,IF(ISNUMBER(MATCH(INDEX('Tabelas'!$Y$12:$Y$118,81)&amp;"",'Dados'!$A$549:$A$554,0)),IF(AND(INDEX('Dados'!$B$549:$B$554,MATCH(INDEX('Tabelas'!$Y$12:$Y$118,81)&amp;"",'Dados'!$A$549:$A$554,0))&lt;=$N$12,INDEX('Dados'!$C$549:$C$554,MATCH(INDEX('Tabelas'!$Y$12:$Y$118,81)&amp;"",'Dados'!$A$549:$A$554,0))&gt;=$N$12),1,0),1))</f>
        <v/>
      </c>
      <c r="AG90" s="2">
        <f>$AG$89+$AF$90</f>
        <v/>
      </c>
      <c r="AH90" s="2">
        <f>'Tabelas'!$AB$557&amp;""</f>
        <v/>
      </c>
      <c r="AI90" s="2">
        <f>'Tabelas'!$X$97&amp;""</f>
        <v/>
      </c>
    </row>
    <row r="91">
      <c r="AE91" s="2">
        <f>$AE$90+IF(AND(LEN($N$10)&gt;0,INDEX('Tabelas'!$Z$472:$Z$578,82)&amp;""=$N$10,LEN(INDEX('Tabelas'!$AA$472:$AA$578,82)&amp;"")&gt;0),1,0)</f>
        <v/>
      </c>
      <c r="AF91" s="2">
        <f>IF(LEN(INDEX('Tabelas'!$Y$12:$Y$118,82)&amp;"")=0,0,IF(ISNUMBER(MATCH(INDEX('Tabelas'!$Y$12:$Y$118,82)&amp;"",'Dados'!$A$549:$A$554,0)),IF(AND(INDEX('Dados'!$B$549:$B$554,MATCH(INDEX('Tabelas'!$Y$12:$Y$118,82)&amp;"",'Dados'!$A$549:$A$554,0))&lt;=$N$12,INDEX('Dados'!$C$549:$C$554,MATCH(INDEX('Tabelas'!$Y$12:$Y$118,82)&amp;"",'Dados'!$A$549:$A$554,0))&gt;=$N$12),1,0),1))</f>
        <v/>
      </c>
      <c r="AG91" s="2">
        <f>$AG$90+$AF$91</f>
        <v/>
      </c>
      <c r="AH91" s="2">
        <f>'Tabelas'!$AB$558&amp;""</f>
        <v/>
      </c>
      <c r="AI91" s="2">
        <f>'Tabelas'!$X$98&amp;""</f>
        <v/>
      </c>
    </row>
    <row r="92">
      <c r="AE92" s="2">
        <f>$AE$91+IF(AND(LEN($N$10)&gt;0,INDEX('Tabelas'!$Z$472:$Z$578,83)&amp;""=$N$10,LEN(INDEX('Tabelas'!$AA$472:$AA$578,83)&amp;"")&gt;0),1,0)</f>
        <v/>
      </c>
      <c r="AF92" s="2">
        <f>IF(LEN(INDEX('Tabelas'!$Y$12:$Y$118,83)&amp;"")=0,0,IF(ISNUMBER(MATCH(INDEX('Tabelas'!$Y$12:$Y$118,83)&amp;"",'Dados'!$A$549:$A$554,0)),IF(AND(INDEX('Dados'!$B$549:$B$554,MATCH(INDEX('Tabelas'!$Y$12:$Y$118,83)&amp;"",'Dados'!$A$549:$A$554,0))&lt;=$N$12,INDEX('Dados'!$C$549:$C$554,MATCH(INDEX('Tabelas'!$Y$12:$Y$118,83)&amp;"",'Dados'!$A$549:$A$554,0))&gt;=$N$12),1,0),1))</f>
        <v/>
      </c>
      <c r="AG92" s="2">
        <f>$AG$91+$AF$92</f>
        <v/>
      </c>
      <c r="AH92" s="2">
        <f>'Tabelas'!$AB$559&amp;""</f>
        <v/>
      </c>
      <c r="AI92" s="2">
        <f>'Tabelas'!$X$99&amp;""</f>
        <v/>
      </c>
    </row>
    <row r="93">
      <c r="AE93" s="2">
        <f>$AE$92</f>
        <v/>
      </c>
      <c r="AF93" s="2">
        <f>0</f>
        <v/>
      </c>
      <c r="AG93" s="2">
        <f>$AG$92+$AF$93</f>
        <v/>
      </c>
      <c r="AH93" s="2">
        <f>'Tabelas'!$AB$560&amp;""</f>
        <v/>
      </c>
      <c r="AI93" s="2">
        <f>'Tabelas'!$X$100&amp;""</f>
        <v/>
      </c>
    </row>
    <row r="94">
      <c r="AE94" s="2">
        <f>$AE$93+IF(AND(LEN($N$10)&gt;0,INDEX('Tabelas'!$Z$472:$Z$578,85)&amp;""=$N$10,LEN(INDEX('Tabelas'!$AA$472:$AA$578,85)&amp;"")&gt;0),1,0)</f>
        <v/>
      </c>
      <c r="AF94" s="2">
        <f>IF(LEN(INDEX('Tabelas'!$Y$12:$Y$118,85)&amp;"")=0,0,IF(ISNUMBER(MATCH(INDEX('Tabelas'!$Y$12:$Y$118,85)&amp;"",'Dados'!$A$549:$A$554,0)),IF(AND(INDEX('Dados'!$B$549:$B$554,MATCH(INDEX('Tabelas'!$Y$12:$Y$118,85)&amp;"",'Dados'!$A$549:$A$554,0))&lt;=$N$12,INDEX('Dados'!$C$549:$C$554,MATCH(INDEX('Tabelas'!$Y$12:$Y$118,85)&amp;"",'Dados'!$A$549:$A$554,0))&gt;=$N$12),1,0),1))</f>
        <v/>
      </c>
      <c r="AG94" s="2">
        <f>$AG$93+$AF$94</f>
        <v/>
      </c>
      <c r="AH94" s="2">
        <f>'Tabelas'!$AB$561&amp;""</f>
        <v/>
      </c>
      <c r="AI94" s="2">
        <f>'Tabelas'!$X$101&amp;""</f>
        <v/>
      </c>
    </row>
    <row r="95">
      <c r="AE95" s="2">
        <f>$AE$94+IF(AND(LEN($N$10)&gt;0,INDEX('Tabelas'!$Z$472:$Z$578,86)&amp;""=$N$10,LEN(INDEX('Tabelas'!$AA$472:$AA$578,86)&amp;"")&gt;0),1,0)</f>
        <v/>
      </c>
      <c r="AF95" s="2">
        <f>IF(LEN(INDEX('Tabelas'!$Y$12:$Y$118,86)&amp;"")=0,0,IF(ISNUMBER(MATCH(INDEX('Tabelas'!$Y$12:$Y$118,86)&amp;"",'Dados'!$A$549:$A$554,0)),IF(AND(INDEX('Dados'!$B$549:$B$554,MATCH(INDEX('Tabelas'!$Y$12:$Y$118,86)&amp;"",'Dados'!$A$549:$A$554,0))&lt;=$N$12,INDEX('Dados'!$C$549:$C$554,MATCH(INDEX('Tabelas'!$Y$12:$Y$118,86)&amp;"",'Dados'!$A$549:$A$554,0))&gt;=$N$12),1,0),1))</f>
        <v/>
      </c>
      <c r="AG95" s="2">
        <f>$AG$94+$AF$95</f>
        <v/>
      </c>
      <c r="AH95" s="2">
        <f>'Tabelas'!$AB$562&amp;""</f>
        <v/>
      </c>
      <c r="AI95" s="2">
        <f>'Tabelas'!$X$102&amp;""</f>
        <v/>
      </c>
    </row>
    <row r="96">
      <c r="AE96" s="2">
        <f>$AE$95+IF(AND(LEN($N$10)&gt;0,INDEX('Tabelas'!$Z$472:$Z$578,87)&amp;""=$N$10,LEN(INDEX('Tabelas'!$AA$472:$AA$578,87)&amp;"")&gt;0),1,0)</f>
        <v/>
      </c>
      <c r="AF96" s="2">
        <f>IF(LEN(INDEX('Tabelas'!$Y$12:$Y$118,87)&amp;"")=0,0,IF(ISNUMBER(MATCH(INDEX('Tabelas'!$Y$12:$Y$118,87)&amp;"",'Dados'!$A$549:$A$554,0)),IF(AND(INDEX('Dados'!$B$549:$B$554,MATCH(INDEX('Tabelas'!$Y$12:$Y$118,87)&amp;"",'Dados'!$A$549:$A$554,0))&lt;=$N$12,INDEX('Dados'!$C$549:$C$554,MATCH(INDEX('Tabelas'!$Y$12:$Y$118,87)&amp;"",'Dados'!$A$549:$A$554,0))&gt;=$N$12),1,0),1))</f>
        <v/>
      </c>
      <c r="AG96" s="2">
        <f>$AG$95+$AF$96</f>
        <v/>
      </c>
      <c r="AH96" s="2">
        <f>'Tabelas'!$AB$563&amp;""</f>
        <v/>
      </c>
      <c r="AI96" s="2">
        <f>'Tabelas'!$X$103&amp;""</f>
        <v/>
      </c>
    </row>
    <row r="97">
      <c r="AE97" s="2">
        <f>$AE$96+IF(AND(LEN($N$10)&gt;0,INDEX('Tabelas'!$Z$472:$Z$578,88)&amp;""=$N$10,LEN(INDEX('Tabelas'!$AA$472:$AA$578,88)&amp;"")&gt;0),1,0)</f>
        <v/>
      </c>
      <c r="AF97" s="2">
        <f>IF(LEN(INDEX('Tabelas'!$Y$12:$Y$118,88)&amp;"")=0,0,IF(ISNUMBER(MATCH(INDEX('Tabelas'!$Y$12:$Y$118,88)&amp;"",'Dados'!$A$549:$A$554,0)),IF(AND(INDEX('Dados'!$B$549:$B$554,MATCH(INDEX('Tabelas'!$Y$12:$Y$118,88)&amp;"",'Dados'!$A$549:$A$554,0))&lt;=$N$12,INDEX('Dados'!$C$549:$C$554,MATCH(INDEX('Tabelas'!$Y$12:$Y$118,88)&amp;"",'Dados'!$A$549:$A$554,0))&gt;=$N$12),1,0),1))</f>
        <v/>
      </c>
      <c r="AG97" s="2">
        <f>$AG$96+$AF$97</f>
        <v/>
      </c>
      <c r="AH97" s="2">
        <f>'Tabelas'!$AB$564&amp;""</f>
        <v/>
      </c>
      <c r="AI97" s="2">
        <f>'Tabelas'!$X$104&amp;""</f>
        <v/>
      </c>
    </row>
    <row r="98">
      <c r="AE98" s="2">
        <f>$AE$97+IF(AND(LEN($N$10)&gt;0,INDEX('Tabelas'!$Z$472:$Z$578,89)&amp;""=$N$10,LEN(INDEX('Tabelas'!$AA$472:$AA$578,89)&amp;"")&gt;0),1,0)</f>
        <v/>
      </c>
      <c r="AF98" s="2">
        <f>IF(LEN(INDEX('Tabelas'!$Y$12:$Y$118,89)&amp;"")=0,0,IF(ISNUMBER(MATCH(INDEX('Tabelas'!$Y$12:$Y$118,89)&amp;"",'Dados'!$A$549:$A$554,0)),IF(AND(INDEX('Dados'!$B$549:$B$554,MATCH(INDEX('Tabelas'!$Y$12:$Y$118,89)&amp;"",'Dados'!$A$549:$A$554,0))&lt;=$N$12,INDEX('Dados'!$C$549:$C$554,MATCH(INDEX('Tabelas'!$Y$12:$Y$118,89)&amp;"",'Dados'!$A$549:$A$554,0))&gt;=$N$12),1,0),1))</f>
        <v/>
      </c>
      <c r="AG98" s="2">
        <f>$AG$97+$AF$98</f>
        <v/>
      </c>
      <c r="AH98" s="2">
        <f>'Tabelas'!$AB$565&amp;""</f>
        <v/>
      </c>
      <c r="AI98" s="2">
        <f>'Tabelas'!$X$105&amp;""</f>
        <v/>
      </c>
    </row>
    <row r="99">
      <c r="AE99" s="2">
        <f>$AE$98+IF(AND(LEN($N$10)&gt;0,INDEX('Tabelas'!$Z$472:$Z$578,90)&amp;""=$N$10,LEN(INDEX('Tabelas'!$AA$472:$AA$578,90)&amp;"")&gt;0),1,0)</f>
        <v/>
      </c>
      <c r="AF99" s="2">
        <f>IF(LEN(INDEX('Tabelas'!$Y$12:$Y$118,90)&amp;"")=0,0,IF(ISNUMBER(MATCH(INDEX('Tabelas'!$Y$12:$Y$118,90)&amp;"",'Dados'!$A$549:$A$554,0)),IF(AND(INDEX('Dados'!$B$549:$B$554,MATCH(INDEX('Tabelas'!$Y$12:$Y$118,90)&amp;"",'Dados'!$A$549:$A$554,0))&lt;=$N$12,INDEX('Dados'!$C$549:$C$554,MATCH(INDEX('Tabelas'!$Y$12:$Y$118,90)&amp;"",'Dados'!$A$549:$A$554,0))&gt;=$N$12),1,0),1))</f>
        <v/>
      </c>
      <c r="AG99" s="2">
        <f>$AG$98+$AF$99</f>
        <v/>
      </c>
      <c r="AH99" s="2">
        <f>'Tabelas'!$AB$566&amp;""</f>
        <v/>
      </c>
      <c r="AI99" s="2">
        <f>'Tabelas'!$X$106&amp;""</f>
        <v/>
      </c>
    </row>
    <row r="100">
      <c r="AE100" s="2">
        <f>$AE$99+IF(AND(LEN($N$10)&gt;0,INDEX('Tabelas'!$Z$472:$Z$578,91)&amp;""=$N$10,LEN(INDEX('Tabelas'!$AA$472:$AA$578,91)&amp;"")&gt;0),1,0)</f>
        <v/>
      </c>
      <c r="AF100" s="2">
        <f>IF(LEN(INDEX('Tabelas'!$Y$12:$Y$118,91)&amp;"")=0,0,IF(ISNUMBER(MATCH(INDEX('Tabelas'!$Y$12:$Y$118,91)&amp;"",'Dados'!$A$549:$A$554,0)),IF(AND(INDEX('Dados'!$B$549:$B$554,MATCH(INDEX('Tabelas'!$Y$12:$Y$118,91)&amp;"",'Dados'!$A$549:$A$554,0))&lt;=$N$12,INDEX('Dados'!$C$549:$C$554,MATCH(INDEX('Tabelas'!$Y$12:$Y$118,91)&amp;"",'Dados'!$A$549:$A$554,0))&gt;=$N$12),1,0),1))</f>
        <v/>
      </c>
      <c r="AG100" s="2">
        <f>$AG$99+$AF$100</f>
        <v/>
      </c>
      <c r="AH100" s="2">
        <f>'Tabelas'!$AB$567&amp;""</f>
        <v/>
      </c>
      <c r="AI100" s="2">
        <f>'Tabelas'!$X$107&amp;""</f>
        <v/>
      </c>
    </row>
    <row r="101">
      <c r="AE101" s="2">
        <f>$AE$100+IF(AND(LEN($N$10)&gt;0,INDEX('Tabelas'!$Z$472:$Z$578,92)&amp;""=$N$10,LEN(INDEX('Tabelas'!$AA$472:$AA$578,92)&amp;"")&gt;0),1,0)</f>
        <v/>
      </c>
      <c r="AF101" s="2">
        <f>IF(LEN(INDEX('Tabelas'!$Y$12:$Y$118,92)&amp;"")=0,0,IF(ISNUMBER(MATCH(INDEX('Tabelas'!$Y$12:$Y$118,92)&amp;"",'Dados'!$A$549:$A$554,0)),IF(AND(INDEX('Dados'!$B$549:$B$554,MATCH(INDEX('Tabelas'!$Y$12:$Y$118,92)&amp;"",'Dados'!$A$549:$A$554,0))&lt;=$N$12,INDEX('Dados'!$C$549:$C$554,MATCH(INDEX('Tabelas'!$Y$12:$Y$118,92)&amp;"",'Dados'!$A$549:$A$554,0))&gt;=$N$12),1,0),1))</f>
        <v/>
      </c>
      <c r="AG101" s="2">
        <f>$AG$100+$AF$101</f>
        <v/>
      </c>
      <c r="AH101" s="2">
        <f>'Tabelas'!$AB$568&amp;""</f>
        <v/>
      </c>
      <c r="AI101" s="2">
        <f>'Tabelas'!$X$108&amp;""</f>
        <v/>
      </c>
    </row>
    <row r="102">
      <c r="AE102" s="2">
        <f>$AE$101+IF(AND(LEN($N$10)&gt;0,INDEX('Tabelas'!$Z$472:$Z$578,93)&amp;""=$N$10,LEN(INDEX('Tabelas'!$AA$472:$AA$578,93)&amp;"")&gt;0),1,0)</f>
        <v/>
      </c>
      <c r="AF102" s="2">
        <f>IF(LEN(INDEX('Tabelas'!$Y$12:$Y$118,93)&amp;"")=0,0,IF(ISNUMBER(MATCH(INDEX('Tabelas'!$Y$12:$Y$118,93)&amp;"",'Dados'!$A$549:$A$554,0)),IF(AND(INDEX('Dados'!$B$549:$B$554,MATCH(INDEX('Tabelas'!$Y$12:$Y$118,93)&amp;"",'Dados'!$A$549:$A$554,0))&lt;=$N$12,INDEX('Dados'!$C$549:$C$554,MATCH(INDEX('Tabelas'!$Y$12:$Y$118,93)&amp;"",'Dados'!$A$549:$A$554,0))&gt;=$N$12),1,0),1))</f>
        <v/>
      </c>
      <c r="AG102" s="2">
        <f>$AG$101+$AF$102</f>
        <v/>
      </c>
      <c r="AH102" s="2">
        <f>'Tabelas'!$AB$570&amp;""</f>
        <v/>
      </c>
      <c r="AI102" s="2">
        <f>'Tabelas'!$X$110&amp;""</f>
        <v/>
      </c>
    </row>
    <row r="103">
      <c r="AE103" s="2">
        <f>$AE$102+IF(AND(LEN($N$10)&gt;0,INDEX('Tabelas'!$Z$472:$Z$578,94)&amp;""=$N$10,LEN(INDEX('Tabelas'!$AA$472:$AA$578,94)&amp;"")&gt;0),1,0)</f>
        <v/>
      </c>
      <c r="AF103" s="2">
        <f>IF(LEN(INDEX('Tabelas'!$Y$12:$Y$118,94)&amp;"")=0,0,IF(ISNUMBER(MATCH(INDEX('Tabelas'!$Y$12:$Y$118,94)&amp;"",'Dados'!$A$549:$A$554,0)),IF(AND(INDEX('Dados'!$B$549:$B$554,MATCH(INDEX('Tabelas'!$Y$12:$Y$118,94)&amp;"",'Dados'!$A$549:$A$554,0))&lt;=$N$12,INDEX('Dados'!$C$549:$C$554,MATCH(INDEX('Tabelas'!$Y$12:$Y$118,94)&amp;"",'Dados'!$A$549:$A$554,0))&gt;=$N$12),1,0),1))</f>
        <v/>
      </c>
      <c r="AG103" s="2">
        <f>$AG$102+$AF$103</f>
        <v/>
      </c>
      <c r="AH103" s="2">
        <f>'Tabelas'!$AB$571&amp;""</f>
        <v/>
      </c>
      <c r="AI103" s="2">
        <f>'Tabelas'!$X$111&amp;""</f>
        <v/>
      </c>
    </row>
    <row r="104">
      <c r="AE104" s="2">
        <f>$AE$103+IF(AND(LEN($N$10)&gt;0,INDEX('Tabelas'!$Z$472:$Z$578,95)&amp;""=$N$10,LEN(INDEX('Tabelas'!$AA$472:$AA$578,95)&amp;"")&gt;0),1,0)</f>
        <v/>
      </c>
      <c r="AF104" s="2">
        <f>IF(LEN(INDEX('Tabelas'!$Y$12:$Y$118,95)&amp;"")=0,0,IF(ISNUMBER(MATCH(INDEX('Tabelas'!$Y$12:$Y$118,95)&amp;"",'Dados'!$A$549:$A$554,0)),IF(AND(INDEX('Dados'!$B$549:$B$554,MATCH(INDEX('Tabelas'!$Y$12:$Y$118,95)&amp;"",'Dados'!$A$549:$A$554,0))&lt;=$N$12,INDEX('Dados'!$C$549:$C$554,MATCH(INDEX('Tabelas'!$Y$12:$Y$118,95)&amp;"",'Dados'!$A$549:$A$554,0))&gt;=$N$12),1,0),1))</f>
        <v/>
      </c>
      <c r="AG104" s="2">
        <f>$AG$103+$AF$104</f>
        <v/>
      </c>
      <c r="AH104" s="2">
        <f>'Tabelas'!$AB$572&amp;""</f>
        <v/>
      </c>
      <c r="AI104" s="2">
        <f>'Tabelas'!$X$112&amp;""</f>
        <v/>
      </c>
    </row>
    <row r="105">
      <c r="AE105" s="2">
        <f>$AE$104+IF(AND(LEN($N$10)&gt;0,INDEX('Tabelas'!$Z$472:$Z$578,96)&amp;""=$N$10,LEN(INDEX('Tabelas'!$AA$472:$AA$578,96)&amp;"")&gt;0),1,0)</f>
        <v/>
      </c>
      <c r="AF105" s="2">
        <f>IF(LEN(INDEX('Tabelas'!$Y$12:$Y$118,96)&amp;"")=0,0,IF(ISNUMBER(MATCH(INDEX('Tabelas'!$Y$12:$Y$118,96)&amp;"",'Dados'!$A$549:$A$554,0)),IF(AND(INDEX('Dados'!$B$549:$B$554,MATCH(INDEX('Tabelas'!$Y$12:$Y$118,96)&amp;"",'Dados'!$A$549:$A$554,0))&lt;=$N$12,INDEX('Dados'!$C$549:$C$554,MATCH(INDEX('Tabelas'!$Y$12:$Y$118,96)&amp;"",'Dados'!$A$549:$A$554,0))&gt;=$N$12),1,0),1))</f>
        <v/>
      </c>
      <c r="AG105" s="2">
        <f>$AG$104+$AF$105</f>
        <v/>
      </c>
      <c r="AH105" s="2">
        <f>'Tabelas'!$AB$573&amp;""</f>
        <v/>
      </c>
      <c r="AI105" s="2">
        <f>'Tabelas'!$X$113&amp;""</f>
        <v/>
      </c>
    </row>
    <row r="106">
      <c r="AE106" s="2">
        <f>$AE$105+IF(AND(LEN($N$10)&gt;0,INDEX('Tabelas'!$Z$472:$Z$578,97)&amp;""=$N$10,LEN(INDEX('Tabelas'!$AA$472:$AA$578,97)&amp;"")&gt;0),1,0)</f>
        <v/>
      </c>
      <c r="AF106" s="2">
        <f>IF(LEN(INDEX('Tabelas'!$Y$12:$Y$118,97)&amp;"")=0,0,IF(ISNUMBER(MATCH(INDEX('Tabelas'!$Y$12:$Y$118,97)&amp;"",'Dados'!$A$549:$A$554,0)),IF(AND(INDEX('Dados'!$B$549:$B$554,MATCH(INDEX('Tabelas'!$Y$12:$Y$118,97)&amp;"",'Dados'!$A$549:$A$554,0))&lt;=$N$12,INDEX('Dados'!$C$549:$C$554,MATCH(INDEX('Tabelas'!$Y$12:$Y$118,97)&amp;"",'Dados'!$A$549:$A$554,0))&gt;=$N$12),1,0),1))</f>
        <v/>
      </c>
      <c r="AG106" s="2">
        <f>$AG$105+$AF$106</f>
        <v/>
      </c>
      <c r="AH106" s="2">
        <f>'Tabelas'!$AB$574&amp;""</f>
        <v/>
      </c>
      <c r="AI106" s="2">
        <f>'Tabelas'!$X$114&amp;""</f>
        <v/>
      </c>
    </row>
    <row r="107">
      <c r="AE107" s="2">
        <f>$AE$106</f>
        <v/>
      </c>
      <c r="AF107" s="2">
        <f>0</f>
        <v/>
      </c>
      <c r="AG107" s="2">
        <f>$AG$106+$AF$107</f>
        <v/>
      </c>
      <c r="AH107" s="2">
        <f>'Tabelas'!$AB$575&amp;""</f>
        <v/>
      </c>
      <c r="AI107" s="2">
        <f>'Tabelas'!$X$115&amp;""</f>
        <v/>
      </c>
    </row>
    <row r="108">
      <c r="AE108" s="2">
        <f>$AE$107+IF(AND(LEN($N$10)&gt;0,INDEX('Tabelas'!$Z$472:$Z$578,99)&amp;""=$N$10,LEN(INDEX('Tabelas'!$AA$472:$AA$578,99)&amp;"")&gt;0),1,0)</f>
        <v/>
      </c>
      <c r="AF108" s="2">
        <f>IF(LEN(INDEX('Tabelas'!$Y$12:$Y$118,99)&amp;"")=0,0,IF(ISNUMBER(MATCH(INDEX('Tabelas'!$Y$12:$Y$118,99)&amp;"",'Dados'!$A$549:$A$554,0)),IF(AND(INDEX('Dados'!$B$549:$B$554,MATCH(INDEX('Tabelas'!$Y$12:$Y$118,99)&amp;"",'Dados'!$A$549:$A$554,0))&lt;=$N$12,INDEX('Dados'!$C$549:$C$554,MATCH(INDEX('Tabelas'!$Y$12:$Y$118,99)&amp;"",'Dados'!$A$549:$A$554,0))&gt;=$N$12),1,0),1))</f>
        <v/>
      </c>
      <c r="AG108" s="2">
        <f>$AG$107+$AF$108</f>
        <v/>
      </c>
      <c r="AH108" s="2">
        <f>'Tabelas'!$AB$576&amp;""</f>
        <v/>
      </c>
      <c r="AI108" s="2">
        <f>'Tabelas'!$X$116&amp;""</f>
        <v/>
      </c>
    </row>
    <row r="109">
      <c r="AE109" s="2">
        <f>$AE$108+IF(AND(LEN($N$10)&gt;0,INDEX('Tabelas'!$Z$472:$Z$578,100)&amp;""=$N$10,LEN(INDEX('Tabelas'!$AA$472:$AA$578,100)&amp;"")&gt;0),1,0)</f>
        <v/>
      </c>
      <c r="AF109" s="2">
        <f>IF(LEN(INDEX('Tabelas'!$Y$12:$Y$118,100)&amp;"")=0,0,IF(ISNUMBER(MATCH(INDEX('Tabelas'!$Y$12:$Y$118,100)&amp;"",'Dados'!$A$549:$A$554,0)),IF(AND(INDEX('Dados'!$B$549:$B$554,MATCH(INDEX('Tabelas'!$Y$12:$Y$118,100)&amp;"",'Dados'!$A$549:$A$554,0))&lt;=$N$12,INDEX('Dados'!$C$549:$C$554,MATCH(INDEX('Tabelas'!$Y$12:$Y$118,100)&amp;"",'Dados'!$A$549:$A$554,0))&gt;=$N$12),1,0),1))</f>
        <v/>
      </c>
      <c r="AG109" s="2">
        <f>$AG$108+$AF$109</f>
        <v/>
      </c>
      <c r="AH109" s="2">
        <f>'Tabelas'!$AB$577&amp;""</f>
        <v/>
      </c>
      <c r="AI109" s="2">
        <f>'Tabelas'!$X$117&amp;""</f>
        <v/>
      </c>
    </row>
    <row r="110">
      <c r="AE110" s="2">
        <f>$AE$109+IF(AND(LEN($N$10)&gt;0,INDEX('Tabelas'!$Z$472:$Z$578,101)&amp;""=$N$10,LEN(INDEX('Tabelas'!$AA$472:$AA$578,101)&amp;"")&gt;0),1,0)</f>
        <v/>
      </c>
      <c r="AF110" s="2">
        <f>IF(LEN(INDEX('Tabelas'!$Y$12:$Y$118,101)&amp;"")=0,0,IF(ISNUMBER(MATCH(INDEX('Tabelas'!$Y$12:$Y$118,101)&amp;"",'Dados'!$A$549:$A$554,0)),IF(AND(INDEX('Dados'!$B$549:$B$554,MATCH(INDEX('Tabelas'!$Y$12:$Y$118,101)&amp;"",'Dados'!$A$549:$A$554,0))&lt;=$N$12,INDEX('Dados'!$C$549:$C$554,MATCH(INDEX('Tabelas'!$Y$12:$Y$118,101)&amp;"",'Dados'!$A$549:$A$554,0))&gt;=$N$12),1,0),1))</f>
        <v/>
      </c>
      <c r="AG110" s="2">
        <f>$AG$109+$AF$110</f>
        <v/>
      </c>
      <c r="AH110" s="2">
        <f>'Tabelas'!$AB$578&amp;""</f>
        <v/>
      </c>
      <c r="AI110" s="2">
        <f>'Tabelas'!$X$118&amp;""</f>
        <v/>
      </c>
    </row>
    <row r="111">
      <c r="AE111" s="2">
        <f>$AE$110+IF(AND(LEN($N$10)&gt;0,INDEX('Tabelas'!$Z$472:$Z$578,102)&amp;""=$N$10,LEN(INDEX('Tabelas'!$AA$472:$AA$578,102)&amp;"")&gt;0),1,0)</f>
        <v/>
      </c>
      <c r="AF111" s="2">
        <f>IF(LEN(INDEX('Tabelas'!$Y$12:$Y$118,102)&amp;"")=0,0,IF(ISNUMBER(MATCH(INDEX('Tabelas'!$Y$12:$Y$118,102)&amp;"",'Dados'!$A$549:$A$554,0)),IF(AND(INDEX('Dados'!$B$549:$B$554,MATCH(INDEX('Tabelas'!$Y$12:$Y$118,102)&amp;"",'Dados'!$A$549:$A$554,0))&lt;=$N$12,INDEX('Dados'!$C$549:$C$554,MATCH(INDEX('Tabelas'!$Y$12:$Y$118,102)&amp;"",'Dados'!$A$549:$A$554,0))&gt;=$N$12),1,0),1))</f>
        <v/>
      </c>
      <c r="AG111" s="2">
        <f>$AG$110+$AF$111</f>
        <v/>
      </c>
    </row>
    <row r="112">
      <c r="AE112" s="2">
        <f>$AE$111+IF(AND(LEN($N$10)&gt;0,INDEX('Tabelas'!$Z$472:$Z$578,103)&amp;""=$N$10,LEN(INDEX('Tabelas'!$AA$472:$AA$578,103)&amp;"")&gt;0),1,0)</f>
        <v/>
      </c>
      <c r="AF112" s="2">
        <f>IF(LEN(INDEX('Tabelas'!$Y$12:$Y$118,103)&amp;"")=0,0,IF(ISNUMBER(MATCH(INDEX('Tabelas'!$Y$12:$Y$118,103)&amp;"",'Dados'!$A$549:$A$554,0)),IF(AND(INDEX('Dados'!$B$549:$B$554,MATCH(INDEX('Tabelas'!$Y$12:$Y$118,103)&amp;"",'Dados'!$A$549:$A$554,0))&lt;=$N$12,INDEX('Dados'!$C$549:$C$554,MATCH(INDEX('Tabelas'!$Y$12:$Y$118,103)&amp;"",'Dados'!$A$549:$A$554,0))&gt;=$N$12),1,0),1))</f>
        <v/>
      </c>
      <c r="AG112" s="2">
        <f>$AG$111+$AF$112</f>
        <v/>
      </c>
    </row>
    <row r="113">
      <c r="AE113" s="2">
        <f>$AE$112+IF(AND(LEN($N$10)&gt;0,INDEX('Tabelas'!$Z$472:$Z$578,104)&amp;""=$N$10,LEN(INDEX('Tabelas'!$AA$472:$AA$578,104)&amp;"")&gt;0),1,0)</f>
        <v/>
      </c>
      <c r="AF113" s="2">
        <f>IF(LEN(INDEX('Tabelas'!$Y$12:$Y$118,104)&amp;"")=0,0,IF(ISNUMBER(MATCH(INDEX('Tabelas'!$Y$12:$Y$118,104)&amp;"",'Dados'!$A$549:$A$554,0)),IF(AND(INDEX('Dados'!$B$549:$B$554,MATCH(INDEX('Tabelas'!$Y$12:$Y$118,104)&amp;"",'Dados'!$A$549:$A$554,0))&lt;=$N$12,INDEX('Dados'!$C$549:$C$554,MATCH(INDEX('Tabelas'!$Y$12:$Y$118,104)&amp;"",'Dados'!$A$549:$A$554,0))&gt;=$N$12),1,0),1))</f>
        <v/>
      </c>
      <c r="AG113" s="2">
        <f>$AG$112+$AF$113</f>
        <v/>
      </c>
    </row>
    <row r="114">
      <c r="AE114" s="2">
        <f>$AE$113+IF(AND(LEN($N$10)&gt;0,INDEX('Tabelas'!$Z$472:$Z$578,105)&amp;""=$N$10,LEN(INDEX('Tabelas'!$AA$472:$AA$578,105)&amp;"")&gt;0),1,0)</f>
        <v/>
      </c>
      <c r="AF114" s="2">
        <f>IF(LEN(INDEX('Tabelas'!$Y$12:$Y$118,105)&amp;"")=0,0,IF(ISNUMBER(MATCH(INDEX('Tabelas'!$Y$12:$Y$118,105)&amp;"",'Dados'!$A$549:$A$554,0)),IF(AND(INDEX('Dados'!$B$549:$B$554,MATCH(INDEX('Tabelas'!$Y$12:$Y$118,105)&amp;"",'Dados'!$A$549:$A$554,0))&lt;=$N$12,INDEX('Dados'!$C$549:$C$554,MATCH(INDEX('Tabelas'!$Y$12:$Y$118,105)&amp;"",'Dados'!$A$549:$A$554,0))&gt;=$N$12),1,0),1))</f>
        <v/>
      </c>
      <c r="AG114" s="2">
        <f>$AG$113+$AF$114</f>
        <v/>
      </c>
    </row>
    <row r="115">
      <c r="AE115" s="2">
        <f>$AE$114+IF(AND(LEN($N$10)&gt;0,INDEX('Tabelas'!$Z$472:$Z$578,106)&amp;""=$N$10,LEN(INDEX('Tabelas'!$AA$472:$AA$578,106)&amp;"")&gt;0),1,0)</f>
        <v/>
      </c>
      <c r="AF115" s="2">
        <f>IF(LEN(INDEX('Tabelas'!$Y$12:$Y$118,106)&amp;"")=0,0,IF(ISNUMBER(MATCH(INDEX('Tabelas'!$Y$12:$Y$118,106)&amp;"",'Dados'!$A$549:$A$554,0)),IF(AND(INDEX('Dados'!$B$549:$B$554,MATCH(INDEX('Tabelas'!$Y$12:$Y$118,106)&amp;"",'Dados'!$A$549:$A$554,0))&lt;=$N$12,INDEX('Dados'!$C$549:$C$554,MATCH(INDEX('Tabelas'!$Y$12:$Y$118,106)&amp;"",'Dados'!$A$549:$A$554,0))&gt;=$N$12),1,0),1))</f>
        <v/>
      </c>
      <c r="AG115" s="2">
        <f>$AG$114+$AF$115</f>
        <v/>
      </c>
    </row>
    <row r="116">
      <c r="AE116" s="2">
        <f>$AE$115+IF(AND(LEN($N$10)&gt;0,INDEX('Tabelas'!$Z$472:$Z$578,107)&amp;""=$N$10,LEN(INDEX('Tabelas'!$AA$472:$AA$578,107)&amp;"")&gt;0),1,0)</f>
        <v/>
      </c>
      <c r="AF116" s="2">
        <f>IF(LEN(INDEX('Tabelas'!$Y$12:$Y$118,107)&amp;"")=0,0,IF(ISNUMBER(MATCH(INDEX('Tabelas'!$Y$12:$Y$118,107)&amp;"",'Dados'!$A$549:$A$554,0)),IF(AND(INDEX('Dados'!$B$549:$B$554,MATCH(INDEX('Tabelas'!$Y$12:$Y$118,107)&amp;"",'Dados'!$A$549:$A$554,0))&lt;=$N$12,INDEX('Dados'!$C$549:$C$554,MATCH(INDEX('Tabelas'!$Y$12:$Y$118,107)&amp;"",'Dados'!$A$549:$A$554,0))&gt;=$N$12),1,0),1))</f>
        <v/>
      </c>
      <c r="AG116" s="2">
        <f>$AG$115+$AF$116</f>
        <v/>
      </c>
    </row>
  </sheetData>
  <mergeCells count="61">
    <mergeCell ref="K16:L16"/>
    <mergeCell ref="C25:H25"/>
    <mergeCell ref="C26:H26"/>
    <mergeCell ref="A23:J23"/>
    <mergeCell ref="C34:D34"/>
    <mergeCell ref="I6:J6"/>
    <mergeCell ref="I15:J15"/>
    <mergeCell ref="K24:L24"/>
    <mergeCell ref="C33:D33"/>
    <mergeCell ref="K15:L15"/>
    <mergeCell ref="E33:F33"/>
    <mergeCell ref="I11:J11"/>
    <mergeCell ref="B15:H15"/>
    <mergeCell ref="A3:L3"/>
    <mergeCell ref="B20:H20"/>
    <mergeCell ref="K11:L11"/>
    <mergeCell ref="K20:L20"/>
    <mergeCell ref="I16:J16"/>
    <mergeCell ref="C27:H27"/>
    <mergeCell ref="I7:J7"/>
    <mergeCell ref="A5:L5"/>
    <mergeCell ref="A32:L32"/>
    <mergeCell ref="B16:H16"/>
    <mergeCell ref="B6:D6"/>
    <mergeCell ref="I18:J18"/>
    <mergeCell ref="A35:L35"/>
    <mergeCell ref="I21:J21"/>
    <mergeCell ref="E34:F34"/>
    <mergeCell ref="I12:J12"/>
    <mergeCell ref="K12:L12"/>
    <mergeCell ref="B18:H18"/>
    <mergeCell ref="C28:H28"/>
    <mergeCell ref="B21:H21"/>
    <mergeCell ref="B12:H12"/>
    <mergeCell ref="A9:L9"/>
    <mergeCell ref="B11:H11"/>
    <mergeCell ref="I14:J14"/>
    <mergeCell ref="B7:D7"/>
    <mergeCell ref="K14:L14"/>
    <mergeCell ref="I17:J17"/>
    <mergeCell ref="K23:L23"/>
    <mergeCell ref="A30:L30"/>
    <mergeCell ref="B14:H14"/>
    <mergeCell ref="K7:L7"/>
    <mergeCell ref="C24:H24"/>
    <mergeCell ref="F6:H6"/>
    <mergeCell ref="B17:H17"/>
    <mergeCell ref="I20:J20"/>
    <mergeCell ref="B13:H13"/>
    <mergeCell ref="I10:J10"/>
    <mergeCell ref="A1:L1"/>
    <mergeCell ref="K10:L10"/>
    <mergeCell ref="I19:J19"/>
    <mergeCell ref="K19:L19"/>
    <mergeCell ref="C29:H29"/>
    <mergeCell ref="B10:H10"/>
    <mergeCell ref="F7:H7"/>
    <mergeCell ref="K6:L6"/>
    <mergeCell ref="I13:J13"/>
    <mergeCell ref="B19:H19"/>
    <mergeCell ref="K18:L18"/>
  </mergeCells>
  <conditionalFormatting sqref="K7">
    <cfRule type="expression" priority="1" dxfId="0">
      <formula>LEN(K7)&gt;0</formula>
    </cfRule>
  </conditionalFormatting>
  <conditionalFormatting sqref="K11">
    <cfRule type="expression" priority="2" dxfId="0">
      <formula>LEN(K11)&gt;0</formula>
    </cfRule>
  </conditionalFormatting>
  <conditionalFormatting sqref="K12">
    <cfRule type="expression" priority="3" dxfId="0">
      <formula>LEN(K12)&gt;0</formula>
    </cfRule>
  </conditionalFormatting>
  <conditionalFormatting sqref="K14">
    <cfRule type="expression" priority="4" dxfId="0">
      <formula>LEN(K14)&gt;0</formula>
    </cfRule>
  </conditionalFormatting>
  <conditionalFormatting sqref="K15">
    <cfRule type="expression" priority="5" dxfId="0">
      <formula>LEN(K15)&gt;0</formula>
    </cfRule>
  </conditionalFormatting>
  <conditionalFormatting sqref="K16">
    <cfRule type="expression" priority="6" dxfId="0">
      <formula>LEN(K16)&gt;0</formula>
    </cfRule>
  </conditionalFormatting>
  <conditionalFormatting sqref="K18">
    <cfRule type="expression" priority="7" dxfId="0">
      <formula>LEN(K18)&gt;0</formula>
    </cfRule>
  </conditionalFormatting>
  <conditionalFormatting sqref="K19">
    <cfRule type="expression" priority="8" dxfId="0">
      <formula>LEN(K19)&gt;0</formula>
    </cfRule>
  </conditionalFormatting>
  <conditionalFormatting sqref="K20">
    <cfRule type="expression" priority="9" dxfId="0">
      <formula>LEN(K20)&gt;0</formula>
    </cfRule>
  </conditionalFormatting>
  <dataValidations count="4">
    <dataValidation sqref="A7" showDropDown="0" showInputMessage="0" showErrorMessage="1" allowBlank="1" errorTitle="Valor fora da faixa" error="Rolagem nº: use um número inteiro de 1 a 1000000." type="whole" errorStyle="warning" operator="between">
      <formula1>1</formula1>
      <formula2>1000000</formula2>
    </dataValidation>
    <dataValidation sqref="B7" showDropDown="0" showInputMessage="0" showErrorMessage="1" allowBlank="1" errorTitle="Fora da lista" error="Tipo: escolha um valor da lista. A planilha pode não reconhecer outro valor." type="list" errorStyle="warning">
      <formula1>$AH$10:$AH$110</formula1>
    </dataValidation>
    <dataValidation sqref="E7" showDropDown="0" showInputMessage="0" showErrorMessage="1" allowBlank="1" errorTitle="Fora da lista" error="Faixa: escolha um valor da lista. A planilha pode não reconhecer outro valor." type="list" errorStyle="warning">
      <formula1>'Dados'!$AP$6:$AP$10</formula1>
    </dataValidation>
    <dataValidation sqref="F7" showDropDown="0" showInputMessage="0" showErrorMessage="1" allowBlank="1" errorTitle="Fora da lista" error="Facção do conflito: escolha um valor da lista. A planilha pode não reconhecer outro valor." type="list" errorStyle="warning">
      <formula1>$AI$10:$AI$110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159"/>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width="13" customWidth="1" min="34" max="34"/>
    <col width="13" customWidth="1" min="35" max="35"/>
    <col hidden="1" width="13" customWidth="1" min="36" max="36"/>
    <col hidden="1" width="13" customWidth="1" min="37" max="37"/>
  </cols>
  <sheetData>
    <row r="1" ht="24" customHeight="1">
      <c r="A1" s="1" t="inlineStr">
        <is>
          <t>Recompensas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Entrega de marco (24.5, 25.1, 26.7), achados de encontro, sabor de Cone e de Conjunto e o tesouro do grupo.</t>
        </is>
      </c>
    </row>
    <row r="4"/>
    <row r="5" ht="20" customHeight="1">
      <c r="A5" s="13" t="inlineStr">
        <is>
          <t>Entrega de marco (regra do livro, sem sorteio: 25.1 e 27.8)</t>
        </is>
      </c>
    </row>
    <row r="6">
      <c r="A6" s="8" t="inlineStr">
        <is>
          <t>Campo</t>
        </is>
      </c>
      <c r="B6" s="8" t="inlineStr">
        <is>
          <t>Valor (preencha)</t>
        </is>
      </c>
      <c r="C6" s="20" t="n"/>
      <c r="D6" s="8" t="inlineStr">
        <is>
          <t>O que a planilha usa (automático)</t>
        </is>
      </c>
      <c r="E6" s="20" t="n"/>
      <c r="F6" s="20" t="n"/>
      <c r="G6" s="20" t="n"/>
      <c r="H6" s="20" t="n"/>
      <c r="I6" s="20" t="n"/>
      <c r="J6" s="20" t="n"/>
      <c r="K6" s="8" t="inlineStr">
        <is>
          <t>Aviso</t>
        </is>
      </c>
      <c r="L6" s="20" t="n"/>
    </row>
    <row r="7" ht="26" customHeight="1">
      <c r="A7" s="9" t="inlineStr">
        <is>
          <t>Nível novo do grupo</t>
        </is>
      </c>
      <c r="B7" s="16" t="n"/>
      <c r="C7" s="17" t="n"/>
      <c r="D7" s="5">
        <f>IF(ISNUMBER($AF$7),"Nível "&amp;$N$7&amp;".","Vazio: o nível da aba Campanha ("&amp;$N$7&amp;").")</f>
        <v/>
      </c>
      <c r="K7" s="19">
        <f>IF(AK7&gt;0,"O Google leu como fórmula: digite de novo com ' na frente.",IF(LEN($AF$7)=0,"",IF(NOT(ISNUMBER($AF$7)),"Nível não é número: usando o da aba Campanha",IF(OR($AF$7&lt;1,$AF$7&gt;20,INT($AF$7)&lt;&gt;$AF$7),"Nível fora de 1 a 20: usando o limite",""))))</f>
        <v/>
      </c>
      <c r="N7" s="2">
        <f>IF(ISNUMBER($AF$7),MIN(20,MAX(1,INT($AF$7))),'Campanha'!$B$17)</f>
        <v/>
      </c>
      <c r="AF7" s="2">
        <f>IF(ISERROR($B$7),"",IF(ISBLANK($B$7),"",$B$7))</f>
        <v/>
      </c>
      <c r="AK7" s="2">
        <f>ISERROR($B$7)*1</f>
        <v/>
      </c>
    </row>
    <row r="8" ht="26" customHeight="1">
      <c r="A8" s="21" t="inlineStr">
        <is>
          <t>O que aconteceu</t>
        </is>
      </c>
      <c r="B8" s="29" t="n"/>
      <c r="C8" s="17" t="n"/>
      <c r="D8" s="10">
        <f>IF($AF$8="Fim de arco","Fim de arco: o grupo sobe de nível junto, ao concluir um arco (26.1).",IF($AF$8="Entrou em faixa nova","Faixa nova: Cone e Tier da faixa entram agora (25.1).","Subir de nível acontece fora de combate, num momento de respiro (26.1)."))</f>
        <v/>
      </c>
      <c r="K8" s="27">
        <f>IF(AK8&gt;0,"O Google leu como fórmula: escolha de novo na lista.",IF(AND(LEN($AF$8)&gt;0,COUNTIF('Dados'!$BU$6:$BU$8,$AF$8)=0),"Fora da lista: escolha o que aconteceu",IF(AND($AF$8="Entrou em faixa nova",INDEX('Dados'!$E$497:$E$516,$N$7)="Não"),"O nível "&amp;$N$7&amp;" não é o primeiro de uma faixa (1, 5, 9, 13, 17)","")))</f>
        <v/>
      </c>
      <c r="N8" s="2">
        <f>INDEX('Dados'!$B$497:$B$516,$N$7)</f>
        <v/>
      </c>
      <c r="AF8" s="2">
        <f>IF(ISERROR($B$8),"",IF(ISBLANK($B$8),"",$B$8))</f>
        <v/>
      </c>
      <c r="AK8" s="2">
        <f>ISERROR($B$8)*1</f>
        <v/>
      </c>
    </row>
    <row r="9">
      <c r="N9" s="2">
        <f>INDEX('Dados'!$C$497:$C$516,$N$7)</f>
        <v/>
      </c>
    </row>
    <row r="10" ht="20" customHeight="1">
      <c r="A10" s="13" t="inlineStr">
        <is>
          <t>O que entra neste marco (automático)</t>
        </is>
      </c>
      <c r="N10" s="2">
        <f>INDEX('Dados'!$D$497:$D$516,$N$7)</f>
        <v/>
      </c>
      <c r="O10" s="2">
        <f>IF(LEN(IFERROR(INDEX('Dados'!$B$7:$B$11,MATCH($AF$82,'Dados'!$AP$6:$AP$10,0)),""))&gt;0,IFERROR(INDEX('Dados'!$B$7:$B$11,MATCH($AF$82,'Dados'!$AP$6:$AP$10,0)),""),'Campanha'!$B$19)</f>
        <v/>
      </c>
      <c r="AA10" s="2">
        <f>MOD(MOD(MOD((MOD('Início'!$E$16+104729*$E$82+4467309,2147483646)+1)*16807,2147483647)*16807,2147483647)*16807,2147483647)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row>
    <row r="11">
      <c r="A11" s="8" t="inlineStr">
        <is>
          <t>Campo</t>
        </is>
      </c>
      <c r="B11" s="8" t="inlineStr">
        <is>
          <t>Valor</t>
        </is>
      </c>
      <c r="C11" s="20" t="n"/>
      <c r="D11" s="8" t="inlineStr">
        <is>
          <t>Regra e fonte</t>
        </is>
      </c>
      <c r="E11" s="20" t="n"/>
      <c r="F11" s="20" t="n"/>
      <c r="G11" s="20" t="n"/>
      <c r="H11" s="20" t="n"/>
      <c r="I11" s="20" t="n"/>
      <c r="J11" s="20" t="n"/>
      <c r="K11" s="8" t="inlineStr">
        <is>
          <t>Aviso</t>
        </is>
      </c>
      <c r="L11" s="20" t="n"/>
      <c r="N11" s="2">
        <f>INDEX('Dados'!$G$497:$G$516,$N$7)</f>
        <v/>
      </c>
      <c r="O11" s="2">
        <f>MATCH($O$10,'Dados'!$B$7:$B$11,0)</f>
        <v/>
      </c>
      <c r="AA11" s="2">
        <f>MOD(MOD(MOD((MOD('Início'!$E$16+104729*$E$82+5767018,2147483646)+1)*16807,2147483647)*16807,2147483647)*16807,2147483647)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row>
    <row r="12">
      <c r="A12" s="9" t="inlineStr">
        <is>
          <t>Nível efetivo</t>
        </is>
      </c>
      <c r="B12" s="18">
        <f>$N$7</f>
        <v/>
      </c>
      <c r="D12" s="5">
        <f>"Vazio = nível da aba Campanha (D9). Sem experiência: a progressão é por marco narrativo (26.1)."</f>
        <v/>
      </c>
      <c r="N12" s="2">
        <f>OR(INDEX('Dados'!$E$497:$E$516,$N$7)="Sim",$AF$8="Entrou em faixa nova")</f>
        <v/>
      </c>
      <c r="O12" s="2">
        <f>IF($AG$82="Passagem",5,IF($AG$82="Pesado",15,10))</f>
        <v/>
      </c>
      <c r="AA12" s="2">
        <f>MOD(MOD(MOD((MOD('Início'!$E$16+104729*$E$82+7066727,2147483646)+1)*16807,2147483647)*16807,2147483647)*16807,2147483647)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row>
    <row r="13">
      <c r="A13" s="21" t="inlineStr">
        <is>
          <t>Faixa</t>
        </is>
      </c>
      <c r="B13" s="23">
        <f>$N$8</f>
        <v/>
      </c>
      <c r="D13" s="10">
        <f>"26.3"</f>
        <v/>
      </c>
      <c r="K13" s="30" t="n"/>
      <c r="L13" s="30" t="n"/>
      <c r="O13" s="2">
        <f>INDEX('Dados'!$B$372:$B$376,$O$11)</f>
        <v/>
      </c>
      <c r="AA13" s="2">
        <f>MOD(MOD(MOD((MOD('Início'!$E$16+104729*$E$82+8366436,2147483646)+1)*16807,2147483647)*16807,2147483647)*16807,2147483647)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row>
    <row r="14" ht="26" customHeight="1">
      <c r="A14" s="9" t="inlineStr">
        <is>
          <t>Verba de marco (Cr)</t>
        </is>
      </c>
      <c r="B14" s="18">
        <f>INDEX('Dados'!$H$497:$H$516,$N$7)</f>
        <v/>
      </c>
      <c r="D14" s="5">
        <f>"Para o grupo, por nível ganho (24.5). O que ela compra: "&amp;IFERROR(INDEX('Dados'!$C$372:$C$376,MATCH($N$8,'Dados'!$A$372:$A$376,0)),"")&amp;"."</f>
        <v/>
      </c>
      <c r="O14" s="2">
        <f>INT($O$13*$O$12/100)</f>
        <v/>
      </c>
      <c r="AA14" s="2">
        <f>MOD(MOD(MOD((MOD('Início'!$E$16+104729*$E$82+9666145,2147483646)+1)*16807,2147483647)*16807,2147483647)*16807,2147483647)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row>
    <row r="15" ht="26" customHeight="1">
      <c r="A15" s="21" t="inlineStr">
        <is>
          <t>Cone de Luz máximo</t>
        </is>
      </c>
      <c r="B15" s="23">
        <f>"Nível "&amp;$N$9</f>
        <v/>
      </c>
      <c r="D15" s="10">
        <f>IF($N$12,"Faixa nova: cada personagem pode trocar o Cone pelo Nível "&amp;$N$9&amp;" (25.1). Trocar é opcional: Nível maior não é automaticamente melhor (25.2).","Mesmo Cone máximo da faixa (25.1).")</f>
        <v/>
      </c>
      <c r="K15" s="30" t="n"/>
      <c r="L15" s="30" t="n"/>
      <c r="O15" s="2">
        <f>(0+INT($AC$10*((2)-(0)+1)/2147483647))</f>
        <v/>
      </c>
    </row>
    <row r="16" ht="26" customHeight="1">
      <c r="A16" s="9" t="inlineStr">
        <is>
          <t>Bônus Maior do Cone</t>
        </is>
      </c>
      <c r="B16" s="18">
        <f>INDEX('Dados'!$C$468:$C$472,$N$9)</f>
        <v/>
      </c>
      <c r="D16" s="5">
        <f>"Efeito Condicional: "&amp;INDEX('Dados'!$D$468:$D$472,$N$9)&amp;" (25.2)."</f>
        <v/>
      </c>
      <c r="O16" s="2">
        <f>INDEX('Dados'!$B$460:$B$464,$O$11)</f>
        <v/>
      </c>
    </row>
    <row r="17">
      <c r="A17" s="21" t="inlineStr">
        <is>
          <t>Tier de Relíquia</t>
        </is>
      </c>
      <c r="B17" s="23">
        <f>$N$10</f>
        <v/>
      </c>
      <c r="D17" s="10">
        <f>IF(INDEX('Dados'!$F$497:$F$516,$N$7)="Sim","Tier novo: cada personagem recebe o "&amp;$N$10&amp;" nos slots que já possui (25.1).","Mesmo Tier (viradas nos níveis 7, 13 e 18; 25.1 e 25.3).")</f>
        <v/>
      </c>
      <c r="K17" s="30" t="n"/>
      <c r="L17" s="30" t="n"/>
      <c r="O17" s="2">
        <f>IF($O$16&lt;=0,0,INT($AC$11*$O$16/2147483647)+1)</f>
        <v/>
      </c>
    </row>
    <row r="18" ht="37" customHeight="1">
      <c r="A18" s="9" t="inlineStr">
        <is>
          <t>Ressonância</t>
        </is>
      </c>
      <c r="B18" s="18">
        <f>$N$11</f>
        <v/>
      </c>
      <c r="D18" s="5">
        <f>IF($N$11="—","Só nos níveis 5, 10, 15 e 20 (26.7).",INDEX('Dados'!$C$490:$C$493,MATCH($N$11,'Dados'!$A$490:$A$493,0))&amp;". Marco de história, escolhida na hora com o Mestre, e não muda (26.7).")</f>
        <v/>
      </c>
      <c r="O18" s="2">
        <f>IF($O$16&lt;=1,$O$17,MOD($O$17-1+1+INT($AC$12*($O$16-1)/2147483647),$O$16)+1)</f>
        <v/>
      </c>
    </row>
    <row r="19" ht="26" customHeight="1">
      <c r="A19" s="21" t="inlineStr">
        <is>
          <t>Sobreposição</t>
        </is>
      </c>
      <c r="B19" s="23">
        <f>"No máximo 1 por faixa"</f>
        <v/>
      </c>
      <c r="D19" s="10">
        <f>"Decisão sua, como marco narrativo; o teto é do Cone e conta as de faixas anteriores: Nível 1 ou 2, 2; Nível 3 ou 4, 1; Nível 5, nenhuma (25.2, 27.8)."</f>
        <v/>
      </c>
      <c r="K19" s="30" t="n"/>
      <c r="L19" s="30" t="n"/>
      <c r="O19" s="2">
        <f>IF($O$11=1,MATCH($O$17,'Dados'!$E$443:$E$456,0),IF($O$11=2,MATCH($O$17,'Dados'!$F$443:$F$456,0),IF($O$11=3,MATCH($O$17,'Dados'!$G$443:$G$456,0),IF($O$11=4,MATCH($O$17,'Dados'!$H$443:$H$456,0),MATCH($O$17,'Dados'!$I$443:$I$456,0)))))</f>
        <v/>
      </c>
    </row>
    <row r="20" ht="26" customHeight="1">
      <c r="A20" s="9" t="inlineStr">
        <is>
          <t>Slot de Relíquia novo</t>
        </is>
      </c>
      <c r="B20" s="18">
        <f>"Quando a história entrega"</f>
        <v/>
      </c>
      <c r="D20" s="5">
        <f>"Decisão sua (25.1, 27.8)."</f>
        <v/>
      </c>
      <c r="O20" s="2">
        <f>IF($O$11=1,MATCH($O$18,'Dados'!$E$443:$E$456,0),IF($O$11=2,MATCH($O$18,'Dados'!$F$443:$F$456,0),IF($O$11=3,MATCH($O$18,'Dados'!$G$443:$G$456,0),IF($O$11=4,MATCH($O$18,'Dados'!$H$443:$H$456,0),MATCH($O$18,'Dados'!$I$443:$I$456,0)))))</f>
        <v/>
      </c>
      <c r="AA20" s="2">
        <f>MOD(MOD(MOD((MOD('Início'!$E$16+104729*$C$102+4546499,2147483646)+1)*16807,2147483647)*16807,2147483647)*16807,2147483647)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c r="A21" s="21" t="inlineStr">
        <is>
          <t>Ritmo de sessões</t>
        </is>
      </c>
      <c r="B21" s="23">
        <f>IF($N$7&lt;=8,"2 a 4 sessões por nível","4 a 6 sessões por nível")</f>
        <v/>
      </c>
      <c r="D21" s="10">
        <f>"Ritmo sugerido pelo livro: 2 a 4 sessões por nível nos níveis 1 a 8; 4 a 6 daí em diante (26.1)."</f>
        <v/>
      </c>
      <c r="K21" s="30" t="n"/>
      <c r="L21" s="30" t="n"/>
      <c r="O21" s="2">
        <f>IF($O$15&gt;=1,INDEX('Dados'!$A$443:$A$456,$O$19),"")</f>
        <v/>
      </c>
      <c r="AA21" s="2">
        <f>MOD(MOD(MOD((MOD('Início'!$E$16+104729*$C$102+5846208,2147483646)+1)*16807,2147483647)*16807,2147483647)*16807,2147483647)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row>
    <row r="22">
      <c r="O22" s="2">
        <f>IF($O$15&gt;=2,INDEX('Dados'!$A$443:$A$456,$O$20),"")</f>
        <v/>
      </c>
      <c r="AA22" s="2">
        <f>MOD(MOD(MOD((MOD('Início'!$E$16+104729*$C$102+7145917,2147483646)+1)*16807,2147483647)*16807,2147483647)*16807,2147483647)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ht="20" customHeight="1">
      <c r="A23" s="13" t="inlineStr">
        <is>
          <t>Sobreposições do grupo (25.2: no máximo 1 por faixa; o teto é do Cone; números da aba Grupo, G3)</t>
        </is>
      </c>
      <c r="O23" s="2">
        <f>IF($O$15&gt;=1,INDEX('Dados'!$B$443:$B$456,$O$19),"")</f>
        <v/>
      </c>
      <c r="AA23" s="2">
        <f>MOD(MOD(MOD((MOD('Início'!$E$16+104729*$C$102+8445626,2147483646)+1)*16807,2147483647)*16807,2147483647)*16807,2147483647)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row>
    <row r="24" ht="26" customHeight="1">
      <c r="A24" s="8" t="inlineStr">
        <is>
          <t>PJ</t>
        </is>
      </c>
      <c r="B24" s="8" t="inlineStr">
        <is>
          <t>Nível do Cone</t>
        </is>
      </c>
      <c r="C24" s="8" t="inlineStr">
        <is>
          <t>Nesta faixa (máx. 1)</t>
        </is>
      </c>
      <c r="D24" s="8" t="inlineStr">
        <is>
          <t>No Cone (total)</t>
        </is>
      </c>
      <c r="E24" s="8" t="inlineStr">
        <is>
          <t>Teto do Cone</t>
        </is>
      </c>
      <c r="F24" s="20" t="n"/>
      <c r="G24" s="8" t="inlineStr">
        <is>
          <t>Situação</t>
        </is>
      </c>
      <c r="H24" s="20" t="n"/>
      <c r="I24" s="20" t="n"/>
      <c r="J24" s="20" t="n"/>
      <c r="K24" s="8" t="inlineStr">
        <is>
          <t>Aviso</t>
        </is>
      </c>
      <c r="L24" s="20" t="n"/>
      <c r="O24" s="2">
        <f>IF($O$15&gt;=2,INDEX('Dados'!$B$443:$B$456,$O$20),"")</f>
        <v/>
      </c>
      <c r="AA24" s="2">
        <f>MOD(MOD(MOD((MOD('Início'!$E$16+104729*$C$102+9745335,2147483646)+1)*16807,2147483647)*16807,2147483647)*16807,2147483647)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ht="26" customHeight="1">
      <c r="A25" s="31">
        <f>IF(LEN('Grupo'!$P$7)&gt;0,'Grupo'!$P$7,"PJ 1")</f>
        <v/>
      </c>
      <c r="B25" s="18">
        <f>IF(ISNUMBER('Grupo'!$Q$25),'Grupo'!$Q$25,"")</f>
        <v/>
      </c>
      <c r="C25" s="18">
        <f>IF(ISNUMBER('Grupo'!$T$25),'Grupo'!$T$25,IF(LEN('Grupo'!$P$7)&gt;0,0,""))</f>
        <v/>
      </c>
      <c r="D25" s="18">
        <f>IF(OR(LEN('Grupo'!$P$7)&gt;0,ISNUMBER('Grupo'!$U$25),ISNUMBER('Grupo'!$T$25)),MAX(IF(ISNUMBER('Grupo'!$U$25),'Grupo'!$U$25,0),IF(ISNUMBER('Grupo'!$T$25),'Grupo'!$T$25,0)),"")</f>
        <v/>
      </c>
      <c r="E25" s="18">
        <f>IF(AND(ISNUMBER('Grupo'!$Q$25),'Grupo'!$Q$25&gt;=1,'Grupo'!$Q$25&lt;=5),INDEX('Dados'!$H$468:$H$472,INT('Grupo'!$Q$25)),"")</f>
        <v/>
      </c>
      <c r="G25" s="5">
        <f>IF(LEN('Grupo'!$P$7)=0,"",IF(NOT(ISNUMBER($E$25)),"Preencha o Nível do Cone (1 a 5) na aba Grupo",IF($E$25=0,"Cone no teto (+3): nenhuma Sobreposição (25.2)",IF($D$25&gt;=$E$25,"Cone no teto (+3) com as que já tem: nenhuma a mais (25.2)",IF(AND(ISNUMBER('Grupo'!$T$25),'Grupo'!$T$25&gt;=1),"Já recebeu a desta faixa (máximo 1 por faixa, 25.2)","Pode receber 1 nesta faixa, se a história entregar (25.2)")))))</f>
        <v/>
      </c>
      <c r="K25" s="19">
        <f>IF(AND(ISNUMBER($E$25),ISNUMBER($D$25)),IF($D$25&gt;$E$25,"Acima do teto do Cone: o Nível "&amp;INT('Grupo'!$Q$25)&amp;" aceita até "&amp;$E$25&amp;" (25.2)",IF(AND(ISNUMBER('Grupo'!$T$25),'Grupo'!$T$25&gt;1),"Mais de 1 Sobreposição nesta faixa (25.2)",IF(AND(ISNUMBER('Grupo'!$U$25),ISNUMBER('Grupo'!$T$25),'Grupo'!$U$25&lt;'Grupo'!$T$25),"Total no Cone menor que as desta faixa: confira na aba Grupo",""))),IF(AND(ISNUMBER('Grupo'!$T$25),'Grupo'!$T$25&gt;1),"Mais de 1 Sobreposição nesta faixa (25.2)",IF(AND(ISNUMBER('Grupo'!$U$25),ISNUMBER('Grupo'!$T$25),'Grupo'!$U$25&lt;'Grupo'!$T$25),"Total no Cone menor que as desta faixa: confira na aba Grupo","")))</f>
        <v/>
      </c>
      <c r="O25" s="2">
        <f>IF('Tabelas'!$C$699&lt;=0,"",IFERROR(INDEX('Tabelas'!$Y$702:$Y$808,MATCH(IF('Tabelas'!$C$699&lt;=0,0,INT($AC$13*'Tabelas'!$C$699/2147483647)+1),'Tabelas'!$O$702:$O$808,0))&amp;"",""))</f>
        <v/>
      </c>
      <c r="AA25" s="2">
        <f>MOD(MOD(MOD((MOD('Início'!$E$16+104729*$C$102+11045044,2147483646)+1)*16807,2147483647)*16807,2147483647)*16807,2147483647)</f>
        <v/>
      </c>
      <c r="AB25" s="2">
        <f>MOD(MOD(MOD((MOD(MOD(INT($AA$25/65536)*$AA$25,2147483647)*65536+MOD($AA$25,65536)*$AA$25,2147483647))*16807,2147483647)*16807,2147483647)*16807,2147483647)</f>
        <v/>
      </c>
      <c r="AC25" s="2">
        <f>MOD(MOD(MOD((MOD($AB$25+INT($AB$25/65536)*MOD($AB$25,65536),2147483646)+1)*16807,2147483647)*16807,2147483647)*16807,2147483647)</f>
        <v/>
      </c>
    </row>
    <row r="26" ht="26" customHeight="1">
      <c r="A26" s="43">
        <f>IF(LEN('Grupo'!$P$8)&gt;0,'Grupo'!$P$8,"PJ 2")</f>
        <v/>
      </c>
      <c r="B26" s="23">
        <f>IF(ISNUMBER('Grupo'!$Q$26),'Grupo'!$Q$26,"")</f>
        <v/>
      </c>
      <c r="C26" s="23">
        <f>IF(ISNUMBER('Grupo'!$T$26),'Grupo'!$T$26,IF(LEN('Grupo'!$P$8)&gt;0,0,""))</f>
        <v/>
      </c>
      <c r="D26" s="23">
        <f>IF(OR(LEN('Grupo'!$P$8)&gt;0,ISNUMBER('Grupo'!$U$26),ISNUMBER('Grupo'!$T$26)),MAX(IF(ISNUMBER('Grupo'!$U$26),'Grupo'!$U$26,0),IF(ISNUMBER('Grupo'!$T$26),'Grupo'!$T$26,0)),"")</f>
        <v/>
      </c>
      <c r="E26" s="23">
        <f>IF(AND(ISNUMBER('Grupo'!$Q$26),'Grupo'!$Q$26&gt;=1,'Grupo'!$Q$26&lt;=5),INDEX('Dados'!$H$468:$H$472,INT('Grupo'!$Q$26)),"")</f>
        <v/>
      </c>
      <c r="G26" s="10">
        <f>IF(LEN('Grupo'!$P$8)=0,"",IF(NOT(ISNUMBER($E$26)),"Preencha o Nível do Cone (1 a 5) na aba Grupo",IF($E$26=0,"Cone no teto (+3): nenhuma Sobreposição (25.2)",IF($D$26&gt;=$E$26,"Cone no teto (+3) com as que já tem: nenhuma a mais (25.2)",IF(AND(ISNUMBER('Grupo'!$T$26),'Grupo'!$T$26&gt;=1),"Já recebeu a desta faixa (máximo 1 por faixa, 25.2)","Pode receber 1 nesta faixa, se a história entregar (25.2)")))))</f>
        <v/>
      </c>
      <c r="K26" s="27">
        <f>IF(AND(ISNUMBER($E$26),ISNUMBER($D$26)),IF($D$26&gt;$E$26,"Acima do teto do Cone: o Nível "&amp;INT('Grupo'!$Q$26)&amp;" aceita até "&amp;$E$26&amp;" (25.2)",IF(AND(ISNUMBER('Grupo'!$T$26),'Grupo'!$T$26&gt;1),"Mais de 1 Sobreposição nesta faixa (25.2)",IF(AND(ISNUMBER('Grupo'!$U$26),ISNUMBER('Grupo'!$T$26),'Grupo'!$U$26&lt;'Grupo'!$T$26),"Total no Cone menor que as desta faixa: confira na aba Grupo",""))),IF(AND(ISNUMBER('Grupo'!$T$26),'Grupo'!$T$26&gt;1),"Mais de 1 Sobreposição nesta faixa (25.2)",IF(AND(ISNUMBER('Grupo'!$U$26),ISNUMBER('Grupo'!$T$26),'Grupo'!$U$26&lt;'Grupo'!$T$26),"Total no Cone menor que as desta faixa: confira na aba Grupo","")))</f>
        <v/>
      </c>
      <c r="O26" s="2">
        <f>IF('Tabelas'!$B$699&lt;=0,"",IFERROR(INDEX('Tabelas'!$X$702:$X$808,MATCH(IF('Tabelas'!$B$699&lt;=0,0,INT($AC$14*'Tabelas'!$B$699/2147483647)+1),'Tabelas'!$N$702:$N$808,0))&amp;"",""))</f>
        <v/>
      </c>
    </row>
    <row r="27" ht="26" customHeight="1">
      <c r="A27" s="31">
        <f>IF(LEN('Grupo'!$P$9)&gt;0,'Grupo'!$P$9,"PJ 3")</f>
        <v/>
      </c>
      <c r="B27" s="18">
        <f>IF(ISNUMBER('Grupo'!$Q$27),'Grupo'!$Q$27,"")</f>
        <v/>
      </c>
      <c r="C27" s="18">
        <f>IF(ISNUMBER('Grupo'!$T$27),'Grupo'!$T$27,IF(LEN('Grupo'!$P$9)&gt;0,0,""))</f>
        <v/>
      </c>
      <c r="D27" s="18">
        <f>IF(OR(LEN('Grupo'!$P$9)&gt;0,ISNUMBER('Grupo'!$U$27),ISNUMBER('Grupo'!$T$27)),MAX(IF(ISNUMBER('Grupo'!$U$27),'Grupo'!$U$27,0),IF(ISNUMBER('Grupo'!$T$27),'Grupo'!$T$27,0)),"")</f>
        <v/>
      </c>
      <c r="E27" s="18">
        <f>IF(AND(ISNUMBER('Grupo'!$Q$27),'Grupo'!$Q$27&gt;=1,'Grupo'!$Q$27&lt;=5),INDEX('Dados'!$H$468:$H$472,INT('Grupo'!$Q$27)),"")</f>
        <v/>
      </c>
      <c r="G27" s="5">
        <f>IF(LEN('Grupo'!$P$9)=0,"",IF(NOT(ISNUMBER($E$27)),"Preencha o Nível do Cone (1 a 5) na aba Grupo",IF($E$27=0,"Cone no teto (+3): nenhuma Sobreposição (25.2)",IF($D$27&gt;=$E$27,"Cone no teto (+3) com as que já tem: nenhuma a mais (25.2)",IF(AND(ISNUMBER('Grupo'!$T$27),'Grupo'!$T$27&gt;=1),"Já recebeu a desta faixa (máximo 1 por faixa, 25.2)","Pode receber 1 nesta faixa, se a história entregar (25.2)")))))</f>
        <v/>
      </c>
      <c r="K27" s="19">
        <f>IF(AND(ISNUMBER($E$27),ISNUMBER($D$27)),IF($D$27&gt;$E$27,"Acima do teto do Cone: o Nível "&amp;INT('Grupo'!$Q$27)&amp;" aceita até "&amp;$E$27&amp;" (25.2)",IF(AND(ISNUMBER('Grupo'!$T$27),'Grupo'!$T$27&gt;1),"Mais de 1 Sobreposição nesta faixa (25.2)",IF(AND(ISNUMBER('Grupo'!$U$27),ISNUMBER('Grupo'!$T$27),'Grupo'!$U$27&lt;'Grupo'!$T$27),"Total no Cone menor que as desta faixa: confira na aba Grupo",""))),IF(AND(ISNUMBER('Grupo'!$T$27),'Grupo'!$T$27&gt;1),"Mais de 1 Sobreposição nesta faixa (25.2)",IF(AND(ISNUMBER('Grupo'!$U$27),ISNUMBER('Grupo'!$T$27),'Grupo'!$U$27&lt;'Grupo'!$T$27),"Total no Cone menor que as desta faixa: confira na aba Grupo","")))</f>
        <v/>
      </c>
    </row>
    <row r="28" ht="26" customHeight="1">
      <c r="A28" s="43">
        <f>IF(LEN('Grupo'!$P$10)&gt;0,'Grupo'!$P$10,"PJ 4")</f>
        <v/>
      </c>
      <c r="B28" s="23">
        <f>IF(ISNUMBER('Grupo'!$Q$28),'Grupo'!$Q$28,"")</f>
        <v/>
      </c>
      <c r="C28" s="23">
        <f>IF(ISNUMBER('Grupo'!$T$28),'Grupo'!$T$28,IF(LEN('Grupo'!$P$10)&gt;0,0,""))</f>
        <v/>
      </c>
      <c r="D28" s="23">
        <f>IF(OR(LEN('Grupo'!$P$10)&gt;0,ISNUMBER('Grupo'!$U$28),ISNUMBER('Grupo'!$T$28)),MAX(IF(ISNUMBER('Grupo'!$U$28),'Grupo'!$U$28,0),IF(ISNUMBER('Grupo'!$T$28),'Grupo'!$T$28,0)),"")</f>
        <v/>
      </c>
      <c r="E28" s="23">
        <f>IF(AND(ISNUMBER('Grupo'!$Q$28),'Grupo'!$Q$28&gt;=1,'Grupo'!$Q$28&lt;=5),INDEX('Dados'!$H$468:$H$472,INT('Grupo'!$Q$28)),"")</f>
        <v/>
      </c>
      <c r="G28" s="10">
        <f>IF(LEN('Grupo'!$P$10)=0,"",IF(NOT(ISNUMBER($E$28)),"Preencha o Nível do Cone (1 a 5) na aba Grupo",IF($E$28=0,"Cone no teto (+3): nenhuma Sobreposição (25.2)",IF($D$28&gt;=$E$28,"Cone no teto (+3) com as que já tem: nenhuma a mais (25.2)",IF(AND(ISNUMBER('Grupo'!$T$28),'Grupo'!$T$28&gt;=1),"Já recebeu a desta faixa (máximo 1 por faixa, 25.2)","Pode receber 1 nesta faixa, se a história entregar (25.2)")))))</f>
        <v/>
      </c>
      <c r="K28" s="27">
        <f>IF(AND(ISNUMBER($E$28),ISNUMBER($D$28)),IF($D$28&gt;$E$28,"Acima do teto do Cone: o Nível "&amp;INT('Grupo'!$Q$28)&amp;" aceita até "&amp;$E$28&amp;" (25.2)",IF(AND(ISNUMBER('Grupo'!$T$28),'Grupo'!$T$28&gt;1),"Mais de 1 Sobreposição nesta faixa (25.2)",IF(AND(ISNUMBER('Grupo'!$U$28),ISNUMBER('Grupo'!$T$28),'Grupo'!$U$28&lt;'Grupo'!$T$28),"Total no Cone menor que as desta faixa: confira na aba Grupo",""))),IF(AND(ISNUMBER('Grupo'!$T$28),'Grupo'!$T$28&gt;1),"Mais de 1 Sobreposição nesta faixa (25.2)",IF(AND(ISNUMBER('Grupo'!$U$28),ISNUMBER('Grupo'!$T$28),'Grupo'!$U$28&lt;'Grupo'!$T$28),"Total no Cone menor que as desta faixa: confira na aba Grupo","")))</f>
        <v/>
      </c>
    </row>
    <row r="29" ht="26" customHeight="1">
      <c r="A29" s="31">
        <f>IF(LEN('Grupo'!$P$11)&gt;0,'Grupo'!$P$11,"PJ 5")</f>
        <v/>
      </c>
      <c r="B29" s="18">
        <f>IF(ISNUMBER('Grupo'!$Q$29),'Grupo'!$Q$29,"")</f>
        <v/>
      </c>
      <c r="C29" s="18">
        <f>IF(ISNUMBER('Grupo'!$T$29),'Grupo'!$T$29,IF(LEN('Grupo'!$P$11)&gt;0,0,""))</f>
        <v/>
      </c>
      <c r="D29" s="18">
        <f>IF(OR(LEN('Grupo'!$P$11)&gt;0,ISNUMBER('Grupo'!$U$29),ISNUMBER('Grupo'!$T$29)),MAX(IF(ISNUMBER('Grupo'!$U$29),'Grupo'!$U$29,0),IF(ISNUMBER('Grupo'!$T$29),'Grupo'!$T$29,0)),"")</f>
        <v/>
      </c>
      <c r="E29" s="18">
        <f>IF(AND(ISNUMBER('Grupo'!$Q$29),'Grupo'!$Q$29&gt;=1,'Grupo'!$Q$29&lt;=5),INDEX('Dados'!$H$468:$H$472,INT('Grupo'!$Q$29)),"")</f>
        <v/>
      </c>
      <c r="G29" s="5">
        <f>IF(LEN('Grupo'!$P$11)=0,"",IF(NOT(ISNUMBER($E$29)),"Preencha o Nível do Cone (1 a 5) na aba Grupo",IF($E$29=0,"Cone no teto (+3): nenhuma Sobreposição (25.2)",IF($D$29&gt;=$E$29,"Cone no teto (+3) com as que já tem: nenhuma a mais (25.2)",IF(AND(ISNUMBER('Grupo'!$T$29),'Grupo'!$T$29&gt;=1),"Já recebeu a desta faixa (máximo 1 por faixa, 25.2)","Pode receber 1 nesta faixa, se a história entregar (25.2)")))))</f>
        <v/>
      </c>
      <c r="K29" s="19">
        <f>IF(AND(ISNUMBER($E$29),ISNUMBER($D$29)),IF($D$29&gt;$E$29,"Acima do teto do Cone: o Nível "&amp;INT('Grupo'!$Q$29)&amp;" aceita até "&amp;$E$29&amp;" (25.2)",IF(AND(ISNUMBER('Grupo'!$T$29),'Grupo'!$T$29&gt;1),"Mais de 1 Sobreposição nesta faixa (25.2)",IF(AND(ISNUMBER('Grupo'!$U$29),ISNUMBER('Grupo'!$T$29),'Grupo'!$U$29&lt;'Grupo'!$T$29),"Total no Cone menor que as desta faixa: confira na aba Grupo",""))),IF(AND(ISNUMBER('Grupo'!$T$29),'Grupo'!$T$29&gt;1),"Mais de 1 Sobreposição nesta faixa (25.2)",IF(AND(ISNUMBER('Grupo'!$U$29),ISNUMBER('Grupo'!$T$29),'Grupo'!$U$29&lt;'Grupo'!$T$29),"Total no Cone menor que as desta faixa: confira na aba Grupo","")))</f>
        <v/>
      </c>
    </row>
    <row r="30" ht="26" customHeight="1">
      <c r="A30" s="43">
        <f>IF(LEN('Grupo'!$P$12)&gt;0,'Grupo'!$P$12,"PJ 6")</f>
        <v/>
      </c>
      <c r="B30" s="23">
        <f>IF(ISNUMBER('Grupo'!$Q$30),'Grupo'!$Q$30,"")</f>
        <v/>
      </c>
      <c r="C30" s="23">
        <f>IF(ISNUMBER('Grupo'!$T$30),'Grupo'!$T$30,IF(LEN('Grupo'!$P$12)&gt;0,0,""))</f>
        <v/>
      </c>
      <c r="D30" s="23">
        <f>IF(OR(LEN('Grupo'!$P$12)&gt;0,ISNUMBER('Grupo'!$U$30),ISNUMBER('Grupo'!$T$30)),MAX(IF(ISNUMBER('Grupo'!$U$30),'Grupo'!$U$30,0),IF(ISNUMBER('Grupo'!$T$30),'Grupo'!$T$30,0)),"")</f>
        <v/>
      </c>
      <c r="E30" s="23">
        <f>IF(AND(ISNUMBER('Grupo'!$Q$30),'Grupo'!$Q$30&gt;=1,'Grupo'!$Q$30&lt;=5),INDEX('Dados'!$H$468:$H$472,INT('Grupo'!$Q$30)),"")</f>
        <v/>
      </c>
      <c r="G30" s="10">
        <f>IF(LEN('Grupo'!$P$12)=0,"",IF(NOT(ISNUMBER($E$30)),"Preencha o Nível do Cone (1 a 5) na aba Grupo",IF($E$30=0,"Cone no teto (+3): nenhuma Sobreposição (25.2)",IF($D$30&gt;=$E$30,"Cone no teto (+3) com as que já tem: nenhuma a mais (25.2)",IF(AND(ISNUMBER('Grupo'!$T$30),'Grupo'!$T$30&gt;=1),"Já recebeu a desta faixa (máximo 1 por faixa, 25.2)","Pode receber 1 nesta faixa, se a história entregar (25.2)")))))</f>
        <v/>
      </c>
      <c r="K30" s="27">
        <f>IF(AND(ISNUMBER($E$30),ISNUMBER($D$30)),IF($D$30&gt;$E$30,"Acima do teto do Cone: o Nível "&amp;INT('Grupo'!$Q$30)&amp;" aceita até "&amp;$E$30&amp;" (25.2)",IF(AND(ISNUMBER('Grupo'!$T$30),'Grupo'!$T$30&gt;1),"Mais de 1 Sobreposição nesta faixa (25.2)",IF(AND(ISNUMBER('Grupo'!$U$30),ISNUMBER('Grupo'!$T$30),'Grupo'!$U$30&lt;'Grupo'!$T$30),"Total no Cone menor que as desta faixa: confira na aba Grupo",""))),IF(AND(ISNUMBER('Grupo'!$T$30),'Grupo'!$T$30&gt;1),"Mais de 1 Sobreposição nesta faixa (25.2)",IF(AND(ISNUMBER('Grupo'!$U$30),ISNUMBER('Grupo'!$T$30),'Grupo'!$U$30&lt;'Grupo'!$T$30),"Total no Cone menor que as desta faixa: confira na aba Grupo","")))</f>
        <v/>
      </c>
      <c r="O30" s="2">
        <f>IF(LEN(IFERROR(INDEX('Dados'!$B$7:$B$11,MATCH($AF$102,'Dados'!$AP$6:$AP$10,0)),""))&gt;0,IFERROR(INDEX('Dados'!$B$7:$B$11,MATCH($AF$102,'Dados'!$AP$6:$AP$10,0)),""),'Campanha'!$B$19)</f>
        <v/>
      </c>
      <c r="AA30" s="2">
        <f>MOD(MOD(MOD((MOD('Início'!$E$16+104729*$B$114+4625689,2147483646)+1)*16807,2147483647)*16807,2147483647)*16807,2147483647)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row>
    <row r="31">
      <c r="A31" s="9" t="inlineStr">
        <is>
          <t>Total do grupo</t>
        </is>
      </c>
      <c r="B31" s="18">
        <f>IF(ISNUMBER($C$25),$C$25,0)+IF(ISNUMBER($C$26),$C$26,0)+IF(ISNUMBER($C$27),$C$27,0)+IF(ISNUMBER($C$28),$C$28,0)+IF(ISNUMBER($C$29),$C$29,0)+IF(ISNUMBER($C$30),$C$30,0)</f>
        <v/>
      </c>
      <c r="D31" s="14" t="inlineStr">
        <is>
          <t>Sobreposições já recebidas nesta faixa (Sobreposição não é comprada nem sorteada, 25.2).</t>
        </is>
      </c>
      <c r="O31" s="2">
        <f>MATCH($O$30,'Dados'!$B$7:$B$11,0)</f>
        <v/>
      </c>
      <c r="AA31" s="2">
        <f>MOD(MOD(MOD((MOD('Início'!$E$16+104729*$B$114+5925398,2147483646)+1)*16807,2147483647)*16807,2147483647)*16807,2147483647)</f>
        <v/>
      </c>
      <c r="AB31" s="2">
        <f>MOD(MOD(MOD((MOD(MOD(INT($AA$31/65536)*$AA$31,2147483647)*65536+MOD($AA$31,65536)*$AA$31,2147483647))*16807,2147483647)*16807,2147483647)*16807,2147483647)</f>
        <v/>
      </c>
      <c r="AC31" s="2">
        <f>MOD(MOD(MOD((MOD($AB$31+INT($AB$31/65536)*MOD($AB$31,65536),2147483646)+1)*16807,2147483647)*16807,2147483647)*16807,2147483647)</f>
        <v/>
      </c>
    </row>
    <row r="32">
      <c r="O32" s="2">
        <f>IF('Tabelas'!$D$699&lt;=0,"",IFERROR(INDEX('Tabelas'!$Z$702:$Z$808,MATCH(IF('Tabelas'!$D$699&lt;=0,0,INT($AC$20*'Tabelas'!$D$699/2147483647)+1),'Tabelas'!$P$702:$P$808,0))&amp;"",""))</f>
        <v/>
      </c>
      <c r="AA32" s="2">
        <f>MOD(MOD(MOD((MOD('Início'!$E$16+104729*$B$114+7225107,2147483646)+1)*16807,2147483647)*16807,2147483647)*16807,2147483647)</f>
        <v/>
      </c>
      <c r="AB32" s="2">
        <f>MOD(MOD(MOD((MOD(MOD(INT($AA$32/65536)*$AA$32,2147483647)*65536+MOD($AA$32,65536)*$AA$32,2147483647))*16807,2147483647)*16807,2147483647)*16807,2147483647)</f>
        <v/>
      </c>
      <c r="AC32" s="2">
        <f>MOD(MOD(MOD((MOD($AB$32+INT($AB$32/65536)*MOD($AB$32,65536),2147483646)+1)*16807,2147483647)*16807,2147483647)*16807,2147483647)</f>
        <v/>
      </c>
    </row>
    <row r="33" ht="20" customHeight="1">
      <c r="A33" s="13" t="inlineStr">
        <is>
          <t>O que não dar, por mais tentador que pareça (27.8)</t>
        </is>
      </c>
      <c r="O33" s="2">
        <f>IF('Tabelas'!$E$699&lt;=0,"",IFERROR(INDEX('Tabelas'!$AA$702:$AA$808,MATCH(IF('Tabelas'!$E$699&lt;=0,0,INT($AC$21*'Tabelas'!$E$699/2147483647)+1),'Tabelas'!$Q$702:$Q$808,0))&amp;"",""))</f>
        <v/>
      </c>
      <c r="AA33" s="2">
        <f>MOD(MOD(MOD((MOD('Início'!$E$16+104729*$B$114+8524816,2147483646)+1)*16807,2147483647)*16807,2147483647)*16807,2147483647)</f>
        <v/>
      </c>
      <c r="AB33" s="2">
        <f>MOD(MOD(MOD((MOD(MOD(INT($AA$33/65536)*$AA$33,2147483647)*65536+MOD($AA$33,65536)*$AA$33,2147483647))*16807,2147483647)*16807,2147483647)*16807,2147483647)</f>
        <v/>
      </c>
      <c r="AC33" s="2">
        <f>MOD(MOD(MOD((MOD($AB$33+INT($AB$33/65536)*MOD($AB$33,65536),2147483646)+1)*16807,2147483647)*16807,2147483647)*16807,2147483647)</f>
        <v/>
      </c>
    </row>
    <row r="34">
      <c r="A34" s="14" t="inlineStr">
        <is>
          <t>• Vantagem permanente em qualquer coisa, ou bônus que fique fora dos tetos do capítulo 26.</t>
        </is>
      </c>
      <c r="O34" s="2">
        <f>IF(LEN($O$33)=0,$O$32,$O$32&amp;" "&amp;$O$33)</f>
        <v/>
      </c>
    </row>
    <row r="35">
      <c r="A35" s="14" t="inlineStr">
        <is>
          <t>• PH extra de presente. A economia de PH é a espinha do balanceamento; um item que dá PH é um item que dá 0,25 de Habilidade por Ciclo ao grupo inteiro.</t>
        </is>
      </c>
      <c r="O35" s="2">
        <f>IF('Tabelas'!$F$699&lt;=0,"",IFERROR(INDEX('Tabelas'!$AB$702:$AB$808,MATCH(IF('Tabelas'!$F$699&lt;=0,0,INT($AC$22*'Tabelas'!$F$699/2147483647)+1),'Tabelas'!$R$702:$R$808,0))&amp;"",""))</f>
        <v/>
      </c>
    </row>
    <row r="36">
      <c r="A36" s="14" t="inlineStr">
        <is>
          <t>• Habilidade acima do Nível máximo do nível do personagem, por item ou por recompensa.</t>
        </is>
      </c>
      <c r="O36" s="2">
        <f>INDEX('Dados'!$A$564:$A$573,IF(10&lt;=0,0,INT($AC$23*10/2147483647)+1))</f>
        <v/>
      </c>
    </row>
    <row r="37">
      <c r="A37" s="14" t="inlineStr">
        <is>
          <t>• Item que ignora Tenacidade, teto de RD, teto de dados ou limite de alvos em área. A lista de efeitos proibidos de 27.9 vale para recompensa também.</t>
        </is>
      </c>
      <c r="O37" s="2">
        <f>IF('Tabelas'!$G$699&lt;=0,0,INT($AC$24*'Tabelas'!$G$699/2147483647)+1)</f>
        <v/>
      </c>
    </row>
    <row r="38">
      <c r="A38" s="14" t="inlineStr">
        <is>
          <t>• Dinheiro que resolve a cena. A verba de marco do capítulo 24 existe para responder "quanto custa?", não para comprar poder.</t>
        </is>
      </c>
      <c r="O38" s="2">
        <f>IF('Tabelas'!$G$699&lt;=0,"",IFERROR(INDEX('Tabelas'!$AC$702:$AC$808,MATCH($O$37,'Tabelas'!$S$702:$S$808,0))&amp;"",""))</f>
        <v/>
      </c>
    </row>
    <row r="39" ht="26" customHeight="1">
      <c r="A39" s="12" t="inlineStr">
        <is>
          <t>Não existe compra de Relíquia, não existe sorteio e não existe economia de equipamento (25.1, 27.8). Amarre cada entrega ao Propósito de Vida de alguém: o Cone novo é uma memória que alguém confia a um personagem; o Tier novo é a oficina da nave recalibrando as peças (27.8).</t>
        </is>
      </c>
      <c r="O39" s="2">
        <f>IF('Tabelas'!$G$699&lt;=0,"",IFERROR(INDEX('Tabelas'!$AC$702:$AC$808,MATCH(IF('Tabelas'!$G$699&lt;=1,$O$37,MOD($O$37-1+1+INT($AC$25*('Tabelas'!$G$699-1)/2147483647),'Tabelas'!$G$699)+1),'Tabelas'!$S$702:$S$808,0))&amp;"",""))</f>
        <v/>
      </c>
    </row>
    <row r="40"/>
    <row r="41" ht="20" customHeight="1">
      <c r="A41" s="13" t="inlineStr">
        <is>
          <t>Preços de referência (24.1 a 24.3): os preços não escalam (24.5)</t>
        </is>
      </c>
    </row>
    <row r="42">
      <c r="A42" s="8" t="inlineStr">
        <is>
          <t>Armaduras e armas</t>
        </is>
      </c>
      <c r="B42" s="20" t="n"/>
      <c r="C42" s="8" t="inlineStr">
        <is>
          <t>O que é</t>
        </is>
      </c>
      <c r="D42" s="20" t="n"/>
      <c r="E42" s="20" t="n"/>
      <c r="F42" s="20" t="n"/>
      <c r="G42" s="20" t="n"/>
      <c r="H42" s="20" t="n"/>
      <c r="I42" s="8" t="inlineStr">
        <is>
          <t>Espaço</t>
        </is>
      </c>
      <c r="J42" s="8" t="inlineStr">
        <is>
          <t>Preço (Cr)</t>
        </is>
      </c>
    </row>
    <row r="43">
      <c r="A43" s="31">
        <f>"Armadura "&amp;INDEX('Dados'!$A$428:$A$430,1)</f>
        <v/>
      </c>
      <c r="C43" s="5">
        <f>"Defesa +"&amp;INDEX('Dados'!$B$428:$B$430,1)&amp;IF(INDEX('Dados'!$C$428:$C$430,1)="—","","; "&amp;INDEX('Dados'!$C$428:$C$430,1))</f>
        <v/>
      </c>
      <c r="I43" s="18">
        <f>INDEX('Dados'!$E$428:$E$430,1)</f>
        <v/>
      </c>
      <c r="J43" s="18">
        <f>INDEX('Dados'!$F$428:$F$430,1)</f>
        <v/>
      </c>
    </row>
    <row r="44">
      <c r="A44" s="43">
        <f>"Armadura "&amp;INDEX('Dados'!$A$428:$A$430,2)</f>
        <v/>
      </c>
      <c r="C44" s="10">
        <f>"Defesa +"&amp;INDEX('Dados'!$B$428:$B$430,2)&amp;IF(INDEX('Dados'!$C$428:$C$430,2)="—","","; "&amp;INDEX('Dados'!$C$428:$C$430,2))</f>
        <v/>
      </c>
      <c r="I44" s="23">
        <f>INDEX('Dados'!$E$428:$E$430,2)</f>
        <v/>
      </c>
      <c r="J44" s="23">
        <f>INDEX('Dados'!$F$428:$F$430,2)</f>
        <v/>
      </c>
    </row>
    <row r="45">
      <c r="A45" s="31">
        <f>"Armadura "&amp;INDEX('Dados'!$A$428:$A$430,3)</f>
        <v/>
      </c>
      <c r="C45" s="5">
        <f>"Defesa +"&amp;INDEX('Dados'!$B$428:$B$430,3)&amp;IF(INDEX('Dados'!$C$428:$C$430,3)="—","","; "&amp;INDEX('Dados'!$C$428:$C$430,3))</f>
        <v/>
      </c>
      <c r="I45" s="18">
        <f>INDEX('Dados'!$E$428:$E$430,3)</f>
        <v/>
      </c>
      <c r="J45" s="18">
        <f>INDEX('Dados'!$F$428:$F$430,3)</f>
        <v/>
      </c>
    </row>
    <row r="46">
      <c r="A46" s="43">
        <f>"Arma "&amp;INDEX('Dados'!$A$434:$A$439,1)</f>
        <v/>
      </c>
      <c r="C46" s="10">
        <f>INDEX('Dados'!$B$434:$B$439,1)&amp;", "&amp;INDEX('Dados'!$C$434:$C$439,1)&amp;", "&amp;INDEX('Dados'!$D$434:$D$439,1)</f>
        <v/>
      </c>
      <c r="I46" s="23">
        <f>INDEX('Dados'!$E$434:$E$439,1)</f>
        <v/>
      </c>
      <c r="J46" s="23">
        <f>INDEX('Dados'!$F$434:$F$439,1)</f>
        <v/>
      </c>
    </row>
    <row r="47">
      <c r="A47" s="31">
        <f>"Arma "&amp;INDEX('Dados'!$A$434:$A$439,2)</f>
        <v/>
      </c>
      <c r="C47" s="5">
        <f>INDEX('Dados'!$B$434:$B$439,2)&amp;", "&amp;INDEX('Dados'!$C$434:$C$439,2)&amp;", "&amp;INDEX('Dados'!$D$434:$D$439,2)</f>
        <v/>
      </c>
      <c r="I47" s="18">
        <f>INDEX('Dados'!$E$434:$E$439,2)</f>
        <v/>
      </c>
      <c r="J47" s="18">
        <f>INDEX('Dados'!$F$434:$F$439,2)</f>
        <v/>
      </c>
    </row>
    <row r="48">
      <c r="A48" s="43">
        <f>"Arma "&amp;INDEX('Dados'!$A$434:$A$439,3)</f>
        <v/>
      </c>
      <c r="C48" s="10">
        <f>INDEX('Dados'!$B$434:$B$439,3)&amp;", "&amp;INDEX('Dados'!$C$434:$C$439,3)&amp;", "&amp;INDEX('Dados'!$D$434:$D$439,3)</f>
        <v/>
      </c>
      <c r="I48" s="23">
        <f>INDEX('Dados'!$E$434:$E$439,3)</f>
        <v/>
      </c>
      <c r="J48" s="23">
        <f>INDEX('Dados'!$F$434:$F$439,3)</f>
        <v/>
      </c>
    </row>
    <row r="49">
      <c r="A49" s="31">
        <f>"Arma "&amp;INDEX('Dados'!$A$434:$A$439,4)</f>
        <v/>
      </c>
      <c r="C49" s="5">
        <f>INDEX('Dados'!$B$434:$B$439,4)&amp;", "&amp;INDEX('Dados'!$C$434:$C$439,4)&amp;", "&amp;INDEX('Dados'!$D$434:$D$439,4)</f>
        <v/>
      </c>
      <c r="I49" s="18">
        <f>INDEX('Dados'!$E$434:$E$439,4)</f>
        <v/>
      </c>
      <c r="J49" s="18">
        <f>INDEX('Dados'!$F$434:$F$439,4)</f>
        <v/>
      </c>
    </row>
    <row r="50">
      <c r="A50" s="43">
        <f>"Arma "&amp;INDEX('Dados'!$A$434:$A$439,5)</f>
        <v/>
      </c>
      <c r="C50" s="10">
        <f>INDEX('Dados'!$B$434:$B$439,5)&amp;", "&amp;INDEX('Dados'!$C$434:$C$439,5)&amp;", "&amp;INDEX('Dados'!$D$434:$D$439,5)</f>
        <v/>
      </c>
      <c r="I50" s="23">
        <f>INDEX('Dados'!$E$434:$E$439,5)</f>
        <v/>
      </c>
      <c r="J50" s="23">
        <f>INDEX('Dados'!$F$434:$F$439,5)</f>
        <v/>
      </c>
    </row>
    <row r="51">
      <c r="A51" s="31">
        <f>"Arma "&amp;INDEX('Dados'!$A$434:$A$439,6)</f>
        <v/>
      </c>
      <c r="C51" s="5">
        <f>INDEX('Dados'!$B$434:$B$439,6)&amp;", "&amp;INDEX('Dados'!$C$434:$C$439,6)&amp;", "&amp;INDEX('Dados'!$D$434:$D$439,6)</f>
        <v/>
      </c>
      <c r="I51" s="18">
        <f>INDEX('Dados'!$E$434:$E$439,6)</f>
        <v/>
      </c>
      <c r="J51" s="18">
        <f>INDEX('Dados'!$F$434:$F$439,6)</f>
        <v/>
      </c>
    </row>
    <row r="52"/>
    <row r="53">
      <c r="A53" s="8" t="inlineStr">
        <is>
          <t>Poções de Vida</t>
        </is>
      </c>
      <c r="B53" s="20" t="n"/>
      <c r="C53" s="8" t="inlineStr">
        <is>
          <t>O que é</t>
        </is>
      </c>
      <c r="D53" s="20" t="n"/>
      <c r="E53" s="20" t="n"/>
      <c r="F53" s="20" t="n"/>
      <c r="G53" s="20" t="n"/>
      <c r="H53" s="20" t="n"/>
      <c r="I53" s="8" t="inlineStr">
        <is>
          <t>Espaço</t>
        </is>
      </c>
      <c r="J53" s="8" t="inlineStr">
        <is>
          <t>Preço (Cr)</t>
        </is>
      </c>
    </row>
    <row r="54">
      <c r="A54" s="31">
        <f>"Poção "&amp;INDEX('Dados'!$A$408:$A$410,1)</f>
        <v/>
      </c>
      <c r="C54" s="5">
        <f>"Cura "&amp;INDEX('Dados'!$B$408:$B$410,1)&amp;" (fixa)"</f>
        <v/>
      </c>
      <c r="I54" s="18">
        <f>INDEX('Dados'!$C$408:$C$410,1)</f>
        <v/>
      </c>
      <c r="J54" s="18">
        <f>INDEX('Dados'!$D$408:$D$410,1)</f>
        <v/>
      </c>
    </row>
    <row r="55">
      <c r="A55" s="43">
        <f>"Poção "&amp;INDEX('Dados'!$A$408:$A$410,2)</f>
        <v/>
      </c>
      <c r="C55" s="10">
        <f>"Cura "&amp;INDEX('Dados'!$B$408:$B$410,2)&amp;" (fixa)"</f>
        <v/>
      </c>
      <c r="I55" s="23">
        <f>INDEX('Dados'!$C$408:$C$410,2)</f>
        <v/>
      </c>
      <c r="J55" s="23">
        <f>INDEX('Dados'!$D$408:$D$410,2)</f>
        <v/>
      </c>
    </row>
    <row r="56">
      <c r="A56" s="31">
        <f>"Poção "&amp;INDEX('Dados'!$A$408:$A$410,3)</f>
        <v/>
      </c>
      <c r="C56" s="5">
        <f>"Cura "&amp;INDEX('Dados'!$B$408:$B$410,3)&amp;" (fixa)"</f>
        <v/>
      </c>
      <c r="I56" s="18">
        <f>INDEX('Dados'!$C$408:$C$410,3)</f>
        <v/>
      </c>
      <c r="J56" s="18">
        <f>INDEX('Dados'!$D$408:$D$410,3)</f>
        <v/>
      </c>
    </row>
    <row r="57"/>
    <row r="58">
      <c r="A58" s="8" t="inlineStr">
        <is>
          <t>Itens comuns</t>
        </is>
      </c>
      <c r="B58" s="20" t="n"/>
      <c r="C58" s="8" t="inlineStr">
        <is>
          <t>O que é</t>
        </is>
      </c>
      <c r="D58" s="20" t="n"/>
      <c r="E58" s="20" t="n"/>
      <c r="F58" s="20" t="n"/>
      <c r="G58" s="20" t="n"/>
      <c r="H58" s="20" t="n"/>
      <c r="I58" s="8" t="inlineStr">
        <is>
          <t>Espaço</t>
        </is>
      </c>
      <c r="J58" s="8" t="inlineStr">
        <is>
          <t>Preço (Cr)</t>
        </is>
      </c>
    </row>
    <row r="59">
      <c r="A59" s="31">
        <f>INDEX('Dados'!$A$414:$A$424,1)</f>
        <v/>
      </c>
      <c r="C59" s="5">
        <f>INDEX('Dados'!$D$414:$D$424,1)</f>
        <v/>
      </c>
      <c r="I59" s="18">
        <f>INDEX('Dados'!$B$414:$B$424,1)</f>
        <v/>
      </c>
      <c r="J59" s="18">
        <f>INDEX('Dados'!$C$414:$C$424,1)</f>
        <v/>
      </c>
    </row>
    <row r="60">
      <c r="A60" s="43">
        <f>INDEX('Dados'!$A$414:$A$424,2)</f>
        <v/>
      </c>
      <c r="C60" s="10">
        <f>INDEX('Dados'!$D$414:$D$424,2)</f>
        <v/>
      </c>
      <c r="I60" s="23">
        <f>INDEX('Dados'!$B$414:$B$424,2)</f>
        <v/>
      </c>
      <c r="J60" s="23">
        <f>INDEX('Dados'!$C$414:$C$424,2)</f>
        <v/>
      </c>
    </row>
    <row r="61">
      <c r="A61" s="31">
        <f>INDEX('Dados'!$A$414:$A$424,3)</f>
        <v/>
      </c>
      <c r="C61" s="5">
        <f>INDEX('Dados'!$D$414:$D$424,3)</f>
        <v/>
      </c>
      <c r="I61" s="18">
        <f>INDEX('Dados'!$B$414:$B$424,3)</f>
        <v/>
      </c>
      <c r="J61" s="18">
        <f>INDEX('Dados'!$C$414:$C$424,3)</f>
        <v/>
      </c>
    </row>
    <row r="62">
      <c r="A62" s="43">
        <f>INDEX('Dados'!$A$414:$A$424,4)</f>
        <v/>
      </c>
      <c r="C62" s="10">
        <f>INDEX('Dados'!$D$414:$D$424,4)</f>
        <v/>
      </c>
      <c r="I62" s="23">
        <f>INDEX('Dados'!$B$414:$B$424,4)</f>
        <v/>
      </c>
      <c r="J62" s="23">
        <f>INDEX('Dados'!$C$414:$C$424,4)</f>
        <v/>
      </c>
    </row>
    <row r="63">
      <c r="A63" s="31">
        <f>INDEX('Dados'!$A$414:$A$424,5)</f>
        <v/>
      </c>
      <c r="C63" s="5">
        <f>INDEX('Dados'!$D$414:$D$424,5)</f>
        <v/>
      </c>
      <c r="I63" s="18">
        <f>INDEX('Dados'!$B$414:$B$424,5)</f>
        <v/>
      </c>
      <c r="J63" s="18">
        <f>INDEX('Dados'!$C$414:$C$424,5)</f>
        <v/>
      </c>
    </row>
    <row r="64">
      <c r="A64" s="43">
        <f>INDEX('Dados'!$A$414:$A$424,6)</f>
        <v/>
      </c>
      <c r="C64" s="10">
        <f>INDEX('Dados'!$D$414:$D$424,6)</f>
        <v/>
      </c>
      <c r="I64" s="23">
        <f>INDEX('Dados'!$B$414:$B$424,6)</f>
        <v/>
      </c>
      <c r="J64" s="23">
        <f>INDEX('Dados'!$C$414:$C$424,6)</f>
        <v/>
      </c>
    </row>
    <row r="65">
      <c r="A65" s="31">
        <f>INDEX('Dados'!$A$414:$A$424,7)</f>
        <v/>
      </c>
      <c r="C65" s="5">
        <f>INDEX('Dados'!$D$414:$D$424,7)</f>
        <v/>
      </c>
      <c r="I65" s="18">
        <f>INDEX('Dados'!$B$414:$B$424,7)</f>
        <v/>
      </c>
      <c r="J65" s="18">
        <f>INDEX('Dados'!$C$414:$C$424,7)</f>
        <v/>
      </c>
    </row>
    <row r="66">
      <c r="A66" s="43">
        <f>INDEX('Dados'!$A$414:$A$424,8)</f>
        <v/>
      </c>
      <c r="C66" s="10">
        <f>INDEX('Dados'!$D$414:$D$424,8)</f>
        <v/>
      </c>
      <c r="I66" s="23">
        <f>INDEX('Dados'!$B$414:$B$424,8)</f>
        <v/>
      </c>
      <c r="J66" s="23">
        <f>INDEX('Dados'!$C$414:$C$424,8)</f>
        <v/>
      </c>
    </row>
    <row r="67">
      <c r="A67" s="31">
        <f>INDEX('Dados'!$A$414:$A$424,9)</f>
        <v/>
      </c>
      <c r="C67" s="5">
        <f>INDEX('Dados'!$D$414:$D$424,9)</f>
        <v/>
      </c>
      <c r="I67" s="18">
        <f>INDEX('Dados'!$B$414:$B$424,9)</f>
        <v/>
      </c>
      <c r="J67" s="18">
        <f>INDEX('Dados'!$C$414:$C$424,9)</f>
        <v/>
      </c>
    </row>
    <row r="68">
      <c r="A68" s="43">
        <f>INDEX('Dados'!$A$414:$A$424,10)</f>
        <v/>
      </c>
      <c r="C68" s="10">
        <f>INDEX('Dados'!$D$414:$D$424,10)</f>
        <v/>
      </c>
      <c r="I68" s="23">
        <f>INDEX('Dados'!$B$414:$B$424,10)</f>
        <v/>
      </c>
      <c r="J68" s="23">
        <f>INDEX('Dados'!$C$414:$C$424,10)</f>
        <v/>
      </c>
    </row>
    <row r="69">
      <c r="A69" s="31">
        <f>INDEX('Dados'!$A$414:$A$424,11)</f>
        <v/>
      </c>
      <c r="C69" s="5">
        <f>INDEX('Dados'!$D$414:$D$424,11)</f>
        <v/>
      </c>
      <c r="I69" s="18">
        <f>INDEX('Dados'!$B$414:$B$424,11)</f>
        <v/>
      </c>
      <c r="J69" s="18">
        <f>INDEX('Dados'!$C$414:$C$424,11)</f>
        <v/>
      </c>
    </row>
    <row r="70"/>
    <row r="71"/>
    <row r="72"/>
    <row r="73"/>
    <row r="74"/>
    <row r="75"/>
    <row r="76"/>
    <row r="77"/>
    <row r="78"/>
    <row r="79"/>
    <row r="80" ht="20" customHeight="1">
      <c r="A80" s="13" t="inlineStr">
        <is>
          <t>Achados de encontro (G = 400): faixa vazia = a do grupo; leitura vazia = Típico</t>
        </is>
      </c>
    </row>
    <row r="81">
      <c r="A81" s="8" t="inlineStr">
        <is>
          <t>Rolagem nº</t>
        </is>
      </c>
      <c r="B81" s="8" t="inlineStr">
        <is>
          <t>Faixa</t>
        </is>
      </c>
      <c r="C81" s="8" t="inlineStr">
        <is>
          <t>Leitura do encontro</t>
        </is>
      </c>
      <c r="D81" s="20" t="n"/>
      <c r="E81" s="8" t="inlineStr">
        <is>
          <t>Rolagem efetiva</t>
        </is>
      </c>
      <c r="F81" s="20" t="n"/>
      <c r="G81" s="8" t="inlineStr">
        <is>
          <t>Quando usar</t>
        </is>
      </c>
      <c r="H81" s="20" t="n"/>
      <c r="I81" s="20" t="n"/>
      <c r="J81" s="20" t="n"/>
      <c r="K81" s="8" t="inlineStr">
        <is>
          <t>Aviso</t>
        </is>
      </c>
      <c r="L81" s="20" t="n"/>
    </row>
    <row r="82" ht="26" customHeight="1">
      <c r="A82" s="38" t="n"/>
      <c r="B82" s="34" t="n"/>
      <c r="C82" s="4" t="n"/>
      <c r="D82" s="17" t="n"/>
      <c r="E82" s="18">
        <f>IF(ISNUMBER($AE$82),IF(AND($AE$82&gt;=1,$AE$82&lt;=1000000,INT($AE$82)=$AE$82),$AE$82,1),1)</f>
        <v/>
      </c>
      <c r="G82" s="12" t="inlineStr">
        <is>
          <t>Depois de um encontro, se a cena pedir algo no chão. A leitura é a da aba Encontros (H6).</t>
        </is>
      </c>
      <c r="K82" s="19">
        <f>IF(AK82&gt;0,"O Google leu como fórmula: escolha de novo ou digite com ' na frente.",IF(LEN(IF(LEN($AE$82)=0,"",IF(ISNUMBER($AE$82),IF(AND($AE$82&gt;=1,$AE$82&lt;=1000000,INT($AE$82)=$AE$82),"","Rolagem nº fora de 1 a 1.000.000: usando 1"),"Rolagem nº fora de 1 a 1.000.000: usando 1")))&gt;0,IF(LEN($AE$82)=0,"",IF(ISNUMBER($AE$82),IF(AND($AE$82&gt;=1,$AE$82&lt;=1000000,INT($AE$82)=$AE$82),"","Rolagem nº fora de 1 a 1.000.000: usando 1"),"Rolagem nº fora de 1 a 1.000.000: usando 1")),IF(AND(LEN($AF$82)&gt;0,LEN(IFERROR(INDEX('Dados'!$B$7:$B$11,MATCH($AF$82,'Dados'!$AP$6:$AP$10,0)),""))=0),"Faixa fora da lista: usando a do grupo",IF(AND(LEN($AG$82)&gt;0,COUNTIF('Dados'!$BT$6:$BT$8,$AG$82)=0),"Leitura fora da lista: usando Típico",""))))</f>
        <v/>
      </c>
      <c r="AE82" s="2">
        <f>IF(ISERROR($A$82),"",IF(ISBLANK($A$82),"",$A$82))</f>
        <v/>
      </c>
      <c r="AF82" s="2">
        <f>IF(ISERROR($B$82),"",IF(ISBLANK($B$82),"",$B$82))</f>
        <v/>
      </c>
      <c r="AG82" s="2">
        <f>IF(ISERROR($C$82),"",IF(ISBLANK($C$82),"",$C$82))</f>
        <v/>
      </c>
      <c r="AK82" s="2">
        <f>ISERROR($A$82)*1+ISERROR($B$82)*1+ISERROR($C$82)*1</f>
        <v/>
      </c>
    </row>
    <row r="83"/>
    <row r="84">
      <c r="A84" s="8" t="inlineStr">
        <is>
          <t>Achado</t>
        </is>
      </c>
      <c r="B84" s="8" t="inlineStr">
        <is>
          <t>O quê</t>
        </is>
      </c>
      <c r="C84" s="20" t="n"/>
      <c r="D84" s="20" t="n"/>
      <c r="E84" s="20" t="n"/>
      <c r="F84" s="20" t="n"/>
      <c r="G84" s="8" t="inlineStr">
        <is>
          <t>Quantidade</t>
        </is>
      </c>
      <c r="H84" s="8" t="inlineStr">
        <is>
          <t>Valor (Cr)</t>
        </is>
      </c>
      <c r="I84" s="8" t="inlineStr">
        <is>
          <t>De onde vem</t>
        </is>
      </c>
      <c r="J84" s="20" t="n"/>
      <c r="K84" s="8" t="inlineStr">
        <is>
          <t>Aviso</t>
        </is>
      </c>
      <c r="L84" s="20" t="n"/>
    </row>
    <row r="85" ht="48" customHeight="1">
      <c r="A85" s="9" t="inlineStr">
        <is>
          <t>Créditos</t>
        </is>
      </c>
      <c r="B85" s="5">
        <f>"Créditos achados"</f>
        <v/>
      </c>
      <c r="G85" s="18">
        <f>1</f>
        <v/>
      </c>
      <c r="H85" s="18">
        <f>$O$14</f>
        <v/>
      </c>
      <c r="I85" s="5">
        <f>$O$12&amp;"% da verba de marco da faixa "&amp;$O$10&amp;" (24.5) · Sugestão da planilha — não é regra do livro (H18)"</f>
        <v/>
      </c>
    </row>
    <row r="86" ht="37" customHeight="1">
      <c r="A86" s="21" t="inlineStr">
        <is>
          <t>Consumíveis</t>
        </is>
      </c>
      <c r="B86" s="10">
        <f>"Quantos consumíveis o encontro deixa"</f>
        <v/>
      </c>
      <c r="G86" s="23">
        <f>$O$15</f>
        <v/>
      </c>
      <c r="H86" s="23">
        <f>""</f>
        <v/>
      </c>
      <c r="I86" s="10">
        <f>"0 a 2, uniforme · Sugestão da planilha — não é regra do livro (H9)"</f>
        <v/>
      </c>
      <c r="K86" s="30" t="n"/>
      <c r="L86" s="30" t="n"/>
    </row>
    <row r="87" ht="26" customHeight="1">
      <c r="A87" s="9" t="inlineStr">
        <is>
          <t>Consumível 1</t>
        </is>
      </c>
      <c r="B87" s="5">
        <f>$O$21</f>
        <v/>
      </c>
      <c r="G87" s="18">
        <f>IF(LEN($O$21)&gt;0,1,"")</f>
        <v/>
      </c>
      <c r="H87" s="18">
        <f>$O$23</f>
        <v/>
      </c>
      <c r="I87" s="5">
        <f>IF(LEN($O$21)&gt;0,"24.3 (preço de referência), faixa "&amp;$O$10,"")</f>
        <v/>
      </c>
    </row>
    <row r="88" ht="26" customHeight="1">
      <c r="A88" s="21" t="inlineStr">
        <is>
          <t>Consumível 2</t>
        </is>
      </c>
      <c r="B88" s="10">
        <f>$O$22</f>
        <v/>
      </c>
      <c r="G88" s="23">
        <f>IF(LEN($O$22)&gt;0,1,"")</f>
        <v/>
      </c>
      <c r="H88" s="23">
        <f>$O$24</f>
        <v/>
      </c>
      <c r="I88" s="10">
        <f>IF(LEN($O$22)&gt;0,"24.3 (preço de referência), faixa "&amp;$O$10,"")</f>
        <v/>
      </c>
      <c r="K88" s="30" t="n"/>
      <c r="L88" s="30" t="n"/>
    </row>
    <row r="89">
      <c r="A89" s="9" t="inlineStr">
        <is>
          <t>Bugiganga</t>
        </is>
      </c>
      <c r="B89" s="5">
        <f>$O$25</f>
        <v/>
      </c>
      <c r="G89" s="18">
        <f>IF(LEN($O$25)&gt;0,1,"")</f>
        <v/>
      </c>
      <c r="H89" s="18">
        <f>"—"</f>
        <v/>
      </c>
      <c r="I89" s="5">
        <f>"Tabelas: Bugiganga"</f>
        <v/>
      </c>
      <c r="K89" s="19">
        <f>IF('Tabelas'!$C$699&lt;=0,"Lista 'Bugiganga' está vazia (aba Tabelas)","")</f>
        <v/>
      </c>
    </row>
    <row r="90">
      <c r="A90" s="21" t="inlineStr">
        <is>
          <t>Pista ou informação</t>
        </is>
      </c>
      <c r="B90" s="10">
        <f>$O$26</f>
        <v/>
      </c>
      <c r="G90" s="23">
        <f>""</f>
        <v/>
      </c>
      <c r="H90" s="23">
        <f>"—"</f>
        <v/>
      </c>
      <c r="I90" s="10">
        <f>"Tabelas: Pista"</f>
        <v/>
      </c>
      <c r="K90" s="27">
        <f>IF('Tabelas'!$B$699&lt;=0,"Lista 'Pista' está vazia (aba Tabelas)","")</f>
        <v/>
      </c>
    </row>
    <row r="91">
      <c r="A91" s="44" t="inlineStr">
        <is>
          <t>Créditos são preço de referência, não economia; nada no balanceamento depende deles (24.5). Equipamento de faixa (Cone, Tier) só por marco (25.1).</t>
        </is>
      </c>
    </row>
    <row r="92"/>
    <row r="93" ht="20" customHeight="1">
      <c r="A93" s="13" t="inlineStr">
        <is>
          <t>Linha de saída: copie A:J e cole como valores no Tesouro (Colar especial → Somente valores)</t>
        </is>
      </c>
    </row>
    <row r="94" ht="26" customHeight="1">
      <c r="A94" s="8" t="inlineStr">
        <is>
          <t>Sessão</t>
        </is>
      </c>
      <c r="B94" s="8" t="inlineStr">
        <is>
          <t>Item ou Créditos</t>
        </is>
      </c>
      <c r="C94" s="20" t="n"/>
      <c r="D94" s="20" t="n"/>
      <c r="E94" s="8" t="inlineStr">
        <is>
          <t>Quantidade</t>
        </is>
      </c>
      <c r="F94" s="8" t="inlineStr">
        <is>
          <t>Créditos (+ entra, − sai)</t>
        </is>
      </c>
      <c r="G94" s="8" t="inlineStr">
        <is>
          <t>Com quem</t>
        </is>
      </c>
      <c r="H94" s="20" t="n"/>
      <c r="I94" s="8" t="inlineStr">
        <is>
          <t>Notas</t>
        </is>
      </c>
      <c r="J94" s="20" t="n"/>
      <c r="K94" s="8" t="inlineStr">
        <is>
          <t>Aviso</t>
        </is>
      </c>
      <c r="L94" s="20" t="n"/>
    </row>
    <row r="95" ht="26" customHeight="1">
      <c r="A95" s="40">
        <f>IF(ISNUMBER('Campanha'!$AD$10),'Campanha'!$AD$10,"")</f>
        <v/>
      </c>
      <c r="B95" s="5">
        <f>"Créditos (achados)"</f>
        <v/>
      </c>
      <c r="E95" s="18">
        <f>1</f>
        <v/>
      </c>
      <c r="F95" s="18">
        <f>$O$14</f>
        <v/>
      </c>
      <c r="G95" s="5">
        <f>"Grupo"</f>
        <v/>
      </c>
      <c r="I95" s="5">
        <f>"Achado de encontro (24.5; H18)"</f>
        <v/>
      </c>
    </row>
    <row r="96" ht="26" customHeight="1">
      <c r="A96" s="41">
        <f>IF(ISNUMBER('Campanha'!$AD$10),'Campanha'!$AD$10,"")</f>
        <v/>
      </c>
      <c r="B96" s="10">
        <f>$O$21</f>
        <v/>
      </c>
      <c r="E96" s="23">
        <f>IF(LEN($O$21)&gt;0,1,"")</f>
        <v/>
      </c>
      <c r="F96" s="23">
        <f>""</f>
        <v/>
      </c>
      <c r="G96" s="10">
        <f>"Grupo"</f>
        <v/>
      </c>
      <c r="I96" s="10">
        <f>IF(LEN($O$21)&gt;0,"Preço de referência "&amp;$O$23&amp;" Cr (24.3)","")</f>
        <v/>
      </c>
      <c r="K96" s="30" t="n"/>
      <c r="L96" s="30" t="n"/>
    </row>
    <row r="97" ht="26" customHeight="1">
      <c r="A97" s="40">
        <f>IF(ISNUMBER('Campanha'!$AD$10),'Campanha'!$AD$10,"")</f>
        <v/>
      </c>
      <c r="B97" s="5">
        <f>$O$22</f>
        <v/>
      </c>
      <c r="E97" s="18">
        <f>IF(LEN($O$22)&gt;0,1,"")</f>
        <v/>
      </c>
      <c r="F97" s="18">
        <f>""</f>
        <v/>
      </c>
      <c r="G97" s="5">
        <f>"Grupo"</f>
        <v/>
      </c>
      <c r="I97" s="5">
        <f>IF(LEN($O$22)&gt;0,"Preço de referência "&amp;$O$24&amp;" Cr (24.3)","")</f>
        <v/>
      </c>
    </row>
    <row r="98" ht="26" customHeight="1">
      <c r="A98" s="41">
        <f>IF(ISNUMBER('Campanha'!$AD$10),'Campanha'!$AD$10,"")</f>
        <v/>
      </c>
      <c r="B98" s="10">
        <f>$O$25</f>
        <v/>
      </c>
      <c r="E98" s="23">
        <f>IF(LEN($O$25)&gt;0,1,"")</f>
        <v/>
      </c>
      <c r="F98" s="23">
        <f>""</f>
        <v/>
      </c>
      <c r="G98" s="10">
        <f>"Grupo"</f>
        <v/>
      </c>
      <c r="I98" s="10">
        <f>"Bugiganga, sem preço"</f>
        <v/>
      </c>
      <c r="K98" s="30" t="n"/>
      <c r="L98" s="30" t="n"/>
    </row>
    <row r="99"/>
    <row r="100" ht="26" customHeight="1">
      <c r="A100" s="13" t="inlineStr">
        <is>
          <t>Sabor de Cone de Luz (G = 410): faixa vazia = a do grupo</t>
        </is>
      </c>
      <c r="K100" s="12" t="inlineStr">
        <is>
          <t>Sugestão da planilha — não é regra do livro (H11)</t>
        </is>
      </c>
    </row>
    <row r="101">
      <c r="A101" s="8" t="inlineStr">
        <is>
          <t>Rolagem nº</t>
        </is>
      </c>
      <c r="B101" s="8" t="inlineStr">
        <is>
          <t>Faixa</t>
        </is>
      </c>
      <c r="C101" s="8" t="inlineStr">
        <is>
          <t>Rolagem efetiva</t>
        </is>
      </c>
      <c r="D101" s="20" t="n"/>
      <c r="E101" s="8" t="inlineStr">
        <is>
          <t>Como usar</t>
        </is>
      </c>
      <c r="F101" s="20" t="n"/>
      <c r="G101" s="20" t="n"/>
      <c r="H101" s="20" t="n"/>
      <c r="I101" s="20" t="n"/>
      <c r="J101" s="20" t="n"/>
      <c r="K101" s="8" t="inlineStr">
        <is>
          <t>Aviso</t>
        </is>
      </c>
      <c r="L101" s="20" t="n"/>
    </row>
    <row r="102" ht="26" customHeight="1">
      <c r="A102" s="38" t="n"/>
      <c r="B102" s="34" t="n"/>
      <c r="C102" s="18">
        <f>IF(ISNUMBER($AE$102),IF(AND($AE$102&gt;=1,$AE$102&lt;=1000000,INT($AE$102)=$AE$102),$AE$102,1),1)</f>
        <v/>
      </c>
      <c r="E102" s="12" t="inlineStr">
        <is>
          <t>Sabor sorteado; o Cone é recompensa de marco escrita com o jogador (25.1, 25.2).</t>
        </is>
      </c>
      <c r="K102" s="19">
        <f>IF(AK102&gt;0,"O Google leu como fórmula: escolha de novo ou digite com ' na frente.",IF(LEN(IF(LEN($AE$102)=0,"",IF(ISNUMBER($AE$102),IF(AND($AE$102&gt;=1,$AE$102&lt;=1000000,INT($AE$102)=$AE$102),"","Rolagem nº fora de 1 a 1.000.000: usando 1"),"Rolagem nº fora de 1 a 1.000.000: usando 1")))&gt;0,IF(LEN($AE$102)=0,"",IF(ISNUMBER($AE$102),IF(AND($AE$102&gt;=1,$AE$102&lt;=1000000,INT($AE$102)=$AE$102),"","Rolagem nº fora de 1 a 1.000.000: usando 1"),"Rolagem nº fora de 1 a 1.000.000: usando 1")),IF(AND(LEN($AF$102)&gt;0,LEN(IFERROR(INDEX('Dados'!$B$7:$B$11,MATCH($AF$102,'Dados'!$AP$6:$AP$10,0)),""))=0),"Faixa fora da lista: usando a do grupo","")))</f>
        <v/>
      </c>
      <c r="AE102" s="2">
        <f>IF(ISERROR($A$102),"",IF(ISBLANK($A$102),"",$A$102))</f>
        <v/>
      </c>
      <c r="AF102" s="2">
        <f>IF(ISERROR($B$102),"",IF(ISBLANK($B$102),"",$B$102))</f>
        <v/>
      </c>
      <c r="AK102" s="2">
        <f>ISERROR($A$102)*1+ISERROR($B$102)*1</f>
        <v/>
      </c>
    </row>
    <row r="103"/>
    <row r="104">
      <c r="A104" s="8" t="inlineStr">
        <is>
          <t>Campo</t>
        </is>
      </c>
      <c r="B104" s="8" t="inlineStr">
        <is>
          <t>Sorteado</t>
        </is>
      </c>
      <c r="C104" s="20" t="n"/>
      <c r="D104" s="20" t="n"/>
      <c r="E104" s="20" t="n"/>
      <c r="F104" s="20" t="n"/>
      <c r="G104" s="20" t="n"/>
      <c r="H104" s="20" t="n"/>
      <c r="I104" s="8" t="inlineStr">
        <is>
          <t>De onde vem</t>
        </is>
      </c>
      <c r="J104" s="20" t="n"/>
      <c r="K104" s="8" t="inlineStr">
        <is>
          <t>Aviso</t>
        </is>
      </c>
      <c r="L104" s="20" t="n"/>
    </row>
    <row r="105" ht="26" customHeight="1">
      <c r="A105" s="9" t="inlineStr">
        <is>
          <t>Nome do Cone</t>
        </is>
      </c>
      <c r="B105" s="5">
        <f>$O$34</f>
        <v/>
      </c>
      <c r="I105" s="5">
        <f>"Tabelas: Nome do Cone (início + fim)"</f>
        <v/>
      </c>
      <c r="K105" s="19">
        <f>IF('Tabelas'!$D$699&lt;=0,"Lista 'Nome do Cone (início)' está vazia (aba Tabelas)","")</f>
        <v/>
      </c>
    </row>
    <row r="106" ht="26" customHeight="1">
      <c r="A106" s="21" t="inlineStr">
        <is>
          <t>Nível do Cone</t>
        </is>
      </c>
      <c r="B106" s="10">
        <f>"Nível "&amp;$O$31</f>
        <v/>
      </c>
      <c r="I106" s="10">
        <f>"Cone de Luz máximo da faixa "&amp;$O$30&amp;" (25.1)"</f>
        <v/>
      </c>
      <c r="K106" s="30" t="n"/>
      <c r="L106" s="30" t="n"/>
    </row>
    <row r="107" ht="26" customHeight="1">
      <c r="A107" s="9" t="inlineStr">
        <is>
          <t>Memória que carrega</t>
        </is>
      </c>
      <c r="B107" s="5">
        <f>$O$35</f>
        <v/>
      </c>
      <c r="I107" s="5">
        <f>"Tabelas: Memória do Cone"</f>
        <v/>
      </c>
      <c r="K107" s="19">
        <f>IF('Tabelas'!$F$699&lt;=0,"Lista 'Memória do Cone' está vazia (aba Tabelas)","")</f>
        <v/>
      </c>
    </row>
    <row r="108" ht="37" customHeight="1">
      <c r="A108" s="21" t="inlineStr">
        <is>
          <t>Bônus Maior</t>
        </is>
      </c>
      <c r="B108" s="10">
        <f>$O$36&amp;": "&amp;INDEX('Dados'!$C$468:$C$472,$O$31)</f>
        <v/>
      </c>
      <c r="I108" s="10">
        <f>"Escolha de 25.2; número pela tabela de 25.2. Permanente e fora do teto (25.2)."</f>
        <v/>
      </c>
      <c r="K108" s="30" t="n"/>
      <c r="L108" s="30" t="n"/>
    </row>
    <row r="109" ht="48" customHeight="1">
      <c r="A109" s="9" t="inlineStr">
        <is>
          <t>Efeito Condicional</t>
        </is>
      </c>
      <c r="B109" s="5">
        <f>IF($O$31&gt;=4,"Dois efeitos: "&amp;$O$38&amp;"; "&amp;$O$39,$O$38)&amp;" — "&amp;INDEX('Dados'!$D$468:$D$472,$O$31)</f>
        <v/>
      </c>
      <c r="I109" s="5">
        <f>"Gatilho: Tabelas (os 6 primeiros são os de 25.2). Temporário, entra no teto (25.2)."</f>
        <v/>
      </c>
      <c r="K109" s="19">
        <f>IF('Tabelas'!$G$699&lt;=0,"Lista 'Gatilho' está vazia (aba Tabelas)","")</f>
        <v/>
      </c>
    </row>
    <row r="110" ht="37" customHeight="1">
      <c r="A110" s="21" t="inlineStr">
        <is>
          <t>Sobreposição</t>
        </is>
      </c>
      <c r="B110" s="10">
        <f>"Até "&amp;INDEX('Dados'!$H$468:$H$472,$O$31)&amp;" neste Nível (parte numérica até +3; PV até +"&amp;INDEX('Dados'!$I$468:$I$472,$O$31)&amp;"); no máximo 1 por faixa"</f>
        <v/>
      </c>
      <c r="I110" s="10">
        <f>"25.2: cada Sobreposição soma +1 e +10 PV ao Bônus Maior."</f>
        <v/>
      </c>
      <c r="K110" s="30" t="n"/>
      <c r="L110" s="30" t="n"/>
    </row>
    <row r="111"/>
    <row r="112" ht="26" customHeight="1">
      <c r="A112" s="13" t="inlineStr">
        <is>
          <t>Sabor de Conjunto de Relíquias (G = 420)</t>
        </is>
      </c>
      <c r="K112" s="12" t="inlineStr">
        <is>
          <t>Sugestão da planilha — não é regra do livro (H11)</t>
        </is>
      </c>
    </row>
    <row r="113">
      <c r="A113" s="8" t="inlineStr">
        <is>
          <t>Rolagem nº</t>
        </is>
      </c>
      <c r="B113" s="8" t="inlineStr">
        <is>
          <t>Rolagem efetiva</t>
        </is>
      </c>
      <c r="C113" s="20" t="n"/>
      <c r="D113" s="8" t="inlineStr">
        <is>
          <t>Como usar</t>
        </is>
      </c>
      <c r="E113" s="20" t="n"/>
      <c r="F113" s="20" t="n"/>
      <c r="G113" s="20" t="n"/>
      <c r="H113" s="20" t="n"/>
      <c r="I113" s="20" t="n"/>
      <c r="J113" s="20" t="n"/>
      <c r="K113" s="8" t="inlineStr">
        <is>
          <t>Aviso</t>
        </is>
      </c>
      <c r="L113" s="20" t="n"/>
    </row>
    <row r="114" ht="26" customHeight="1">
      <c r="A114" s="38" t="n"/>
      <c r="B114" s="18">
        <f>IF(ISNUMBER($AE$114),IF(AND($AE$114&gt;=1,$AE$114&lt;=1000000,INT($AE$114)=$AE$114),$AE$114,1),1)</f>
        <v/>
      </c>
      <c r="D114" s="12" t="inlineStr">
        <is>
          <t>Seis fragmentos de um mesmo lugar, de uma mesma catástrofe, de um mesmo morto ilustre (25.3).</t>
        </is>
      </c>
      <c r="K114" s="19">
        <f>IF(AK114&gt;0,"O Google leu como fórmula: digite de novo com ' na frente.",IF(LEN($AE$114)=0,"",IF(ISNUMBER($AE$114),IF(AND($AE$114&gt;=1,$AE$114&lt;=1000000,INT($AE$114)=$AE$114),"","Rolagem nº fora de 1 a 1.000.000: usando 1"),"Rolagem nº fora de 1 a 1.000.000: usando 1")))</f>
        <v/>
      </c>
      <c r="AE114" s="2">
        <f>IF(ISERROR($A$114),"",IF(ISBLANK($A$114),"",$A$114))</f>
        <v/>
      </c>
      <c r="AK114" s="2">
        <f>ISERROR($A$114)*1</f>
        <v/>
      </c>
    </row>
    <row r="115"/>
    <row r="116">
      <c r="A116" s="8" t="inlineStr">
        <is>
          <t>Campo</t>
        </is>
      </c>
      <c r="B116" s="8" t="inlineStr">
        <is>
          <t>Sorteado</t>
        </is>
      </c>
      <c r="C116" s="20" t="n"/>
      <c r="D116" s="20" t="n"/>
      <c r="E116" s="20" t="n"/>
      <c r="F116" s="20" t="n"/>
      <c r="G116" s="20" t="n"/>
      <c r="H116" s="20" t="n"/>
      <c r="I116" s="8" t="inlineStr">
        <is>
          <t>De onde vem</t>
        </is>
      </c>
      <c r="J116" s="20" t="n"/>
      <c r="K116" s="8" t="inlineStr">
        <is>
          <t>Aviso</t>
        </is>
      </c>
      <c r="L116" s="20" t="n"/>
    </row>
    <row r="117" ht="26" customHeight="1">
      <c r="A117" s="9" t="inlineStr">
        <is>
          <t>Nome do Conjunto</t>
        </is>
      </c>
      <c r="B117" s="5">
        <f>IF('Tabelas'!$H$699&lt;=0,"",IFERROR(INDEX('Tabelas'!$AD$702:$AD$808,MATCH(IF('Tabelas'!$H$699&lt;=0,0,INT($AC$30*'Tabelas'!$H$699/2147483647)+1),'Tabelas'!$T$702:$T$808,0))&amp;"",""))</f>
        <v/>
      </c>
      <c r="I117" s="5">
        <f>"Tabelas: Nome do Conjunto"</f>
        <v/>
      </c>
      <c r="K117" s="19">
        <f>IF('Tabelas'!$H$699&lt;=0,"Lista 'Nome do Conjunto' está vazia (aba Tabelas)","")</f>
        <v/>
      </c>
    </row>
    <row r="118" ht="26" customHeight="1">
      <c r="A118" s="21" t="inlineStr">
        <is>
          <t>Origem</t>
        </is>
      </c>
      <c r="B118" s="10">
        <f>IF('Tabelas'!$I$699&lt;=0,"",IFERROR(INDEX('Tabelas'!$AE$702:$AE$808,MATCH(IF('Tabelas'!$I$699&lt;=0,0,INT($AC$31*'Tabelas'!$I$699/2147483647)+1),'Tabelas'!$U$702:$U$808,0))&amp;"",""))</f>
        <v/>
      </c>
      <c r="I118" s="10">
        <f>"Tabelas: Origem do Conjunto (25.3)"</f>
        <v/>
      </c>
      <c r="K118" s="27">
        <f>IF('Tabelas'!$I$699&lt;=0,"Lista 'Origem do Conjunto' está vazia (aba Tabelas)","")</f>
        <v/>
      </c>
    </row>
    <row r="119" ht="26" customHeight="1">
      <c r="A119" s="9" t="inlineStr">
        <is>
          <t>2 peças</t>
        </is>
      </c>
      <c r="B119" s="5">
        <f>INDEX('Dados'!$A$577:$A$580,IF(4&lt;=0,0,INT($AC$32*4/2147483647)+1))</f>
        <v/>
      </c>
      <c r="I119" s="5">
        <f>"Uma das 4 opções de 25.3 (bônus pequeno e fixo)."</f>
        <v/>
      </c>
    </row>
    <row r="120" ht="37" customHeight="1">
      <c r="A120" s="21" t="inlineStr">
        <is>
          <t>4 peças</t>
        </is>
      </c>
      <c r="B120" s="10">
        <f>IF('Tabelas'!$J$699&lt;=0,"",IFERROR(INDEX('Tabelas'!$AF$702:$AF$808,MATCH(IF('Tabelas'!$J$699&lt;=0,0,INT($AC$33*'Tabelas'!$J$699/2147483647)+1),'Tabelas'!$V$702:$V$808,0))&amp;"",""))</f>
        <v/>
      </c>
      <c r="I120" s="10">
        <f>"Tabelas (as 2 primeiras são as de 25.3): efeito condicional por Ciclo."</f>
        <v/>
      </c>
      <c r="K120" s="27">
        <f>IF('Tabelas'!$J$699&lt;=0,"Lista 'Efeito de 4 peças' está vazia (aba Tabelas)","")</f>
        <v/>
      </c>
    </row>
    <row r="121">
      <c r="A121" s="9" t="inlineStr">
        <is>
          <t>Teto</t>
        </is>
      </c>
      <c r="B121" s="5">
        <f>"Os bônus de Conjunto não somam mais de +3 numa mesma rolagem e entram no teto global (25.3, 26.6)."</f>
        <v/>
      </c>
      <c r="I121" s="5">
        <f>"25.3"</f>
        <v/>
      </c>
    </row>
    <row r="122" ht="26" customHeight="1">
      <c r="A122" s="8" t="inlineStr">
        <is>
          <t>Slot (25.3)</t>
        </is>
      </c>
      <c r="B122" s="8" t="inlineStr">
        <is>
          <t>O que dá</t>
        </is>
      </c>
      <c r="C122" s="20" t="n"/>
      <c r="D122" s="20" t="n"/>
      <c r="E122" s="20" t="n"/>
      <c r="F122" s="8" t="inlineStr">
        <is>
          <t>Tier I (1-6)</t>
        </is>
      </c>
      <c r="G122" s="8" t="inlineStr">
        <is>
          <t>Tier II (7-12)</t>
        </is>
      </c>
      <c r="H122" s="8" t="inlineStr">
        <is>
          <t>Tier III (13-17)</t>
        </is>
      </c>
      <c r="I122" s="8" t="inlineStr">
        <is>
          <t>Tier IV (18-20)</t>
        </is>
      </c>
      <c r="J122" s="8" t="inlineStr">
        <is>
          <t>Grupo agora</t>
        </is>
      </c>
      <c r="K122" s="8" t="inlineStr">
        <is>
          <t>Aviso</t>
        </is>
      </c>
      <c r="L122" s="20" t="n"/>
    </row>
    <row r="123">
      <c r="A123" s="31">
        <f>INDEX('Dados'!$A$476:$A$481,1)</f>
        <v/>
      </c>
      <c r="B123" s="5">
        <f>INDEX('Dados'!$B$476:$B$481,1)</f>
        <v/>
      </c>
      <c r="F123" s="18">
        <f>"+"&amp;INDEX('Dados'!$C$476:$C$481,1)</f>
        <v/>
      </c>
      <c r="G123" s="18">
        <f>"+"&amp;INDEX('Dados'!$D$476:$D$481,1)</f>
        <v/>
      </c>
      <c r="H123" s="18">
        <f>"+"&amp;INDEX('Dados'!$E$476:$E$481,1)</f>
        <v/>
      </c>
      <c r="I123" s="18">
        <f>"+"&amp;INDEX('Dados'!$F$476:$F$481,1)</f>
        <v/>
      </c>
      <c r="J123" s="18">
        <f>"+"&amp;IF(INDEX('Dados'!$D$497:$D$516,'Campanha'!$B$17)="Tier I",INDEX('Dados'!$C$476:$C$481,1),IF(INDEX('Dados'!$D$497:$D$516,'Campanha'!$B$17)="Tier II",INDEX('Dados'!$D$476:$D$481,1),IF(INDEX('Dados'!$D$497:$D$516,'Campanha'!$B$17)="Tier III",INDEX('Dados'!$E$476:$E$481,1),INDEX('Dados'!$F$476:$F$481,1))))</f>
        <v/>
      </c>
    </row>
    <row r="124">
      <c r="A124" s="43">
        <f>INDEX('Dados'!$A$476:$A$481,2)</f>
        <v/>
      </c>
      <c r="B124" s="10">
        <f>INDEX('Dados'!$B$476:$B$481,2)</f>
        <v/>
      </c>
      <c r="F124" s="23">
        <f>"+"&amp;INDEX('Dados'!$C$476:$C$481,2)</f>
        <v/>
      </c>
      <c r="G124" s="23">
        <f>"+"&amp;INDEX('Dados'!$D$476:$D$481,2)</f>
        <v/>
      </c>
      <c r="H124" s="23">
        <f>"+"&amp;INDEX('Dados'!$E$476:$E$481,2)</f>
        <v/>
      </c>
      <c r="I124" s="23">
        <f>"+"&amp;INDEX('Dados'!$F$476:$F$481,2)</f>
        <v/>
      </c>
      <c r="J124" s="23">
        <f>"+"&amp;IF(INDEX('Dados'!$D$497:$D$516,'Campanha'!$B$17)="Tier I",INDEX('Dados'!$C$476:$C$481,2),IF(INDEX('Dados'!$D$497:$D$516,'Campanha'!$B$17)="Tier II",INDEX('Dados'!$D$476:$D$481,2),IF(INDEX('Dados'!$D$497:$D$516,'Campanha'!$B$17)="Tier III",INDEX('Dados'!$E$476:$E$481,2),INDEX('Dados'!$F$476:$F$481,2))))</f>
        <v/>
      </c>
      <c r="K124" s="30" t="n"/>
      <c r="L124" s="30" t="n"/>
    </row>
    <row r="125">
      <c r="A125" s="31">
        <f>INDEX('Dados'!$A$476:$A$481,3)</f>
        <v/>
      </c>
      <c r="B125" s="5">
        <f>INDEX('Dados'!$B$476:$B$481,3)</f>
        <v/>
      </c>
      <c r="F125" s="18">
        <f>"+"&amp;INDEX('Dados'!$C$476:$C$481,3)</f>
        <v/>
      </c>
      <c r="G125" s="18">
        <f>"+"&amp;INDEX('Dados'!$D$476:$D$481,3)</f>
        <v/>
      </c>
      <c r="H125" s="18">
        <f>"+"&amp;INDEX('Dados'!$E$476:$E$481,3)</f>
        <v/>
      </c>
      <c r="I125" s="18">
        <f>"+"&amp;INDEX('Dados'!$F$476:$F$481,3)</f>
        <v/>
      </c>
      <c r="J125" s="18">
        <f>"+"&amp;IF(INDEX('Dados'!$D$497:$D$516,'Campanha'!$B$17)="Tier I",INDEX('Dados'!$C$476:$C$481,3),IF(INDEX('Dados'!$D$497:$D$516,'Campanha'!$B$17)="Tier II",INDEX('Dados'!$D$476:$D$481,3),IF(INDEX('Dados'!$D$497:$D$516,'Campanha'!$B$17)="Tier III",INDEX('Dados'!$E$476:$E$481,3),INDEX('Dados'!$F$476:$F$481,3))))</f>
        <v/>
      </c>
    </row>
    <row r="126">
      <c r="A126" s="43">
        <f>INDEX('Dados'!$A$476:$A$481,4)</f>
        <v/>
      </c>
      <c r="B126" s="10">
        <f>INDEX('Dados'!$B$476:$B$481,4)</f>
        <v/>
      </c>
      <c r="F126" s="23">
        <f>"+"&amp;INDEX('Dados'!$C$476:$C$481,4)</f>
        <v/>
      </c>
      <c r="G126" s="23">
        <f>"+"&amp;INDEX('Dados'!$D$476:$D$481,4)</f>
        <v/>
      </c>
      <c r="H126" s="23">
        <f>"+"&amp;INDEX('Dados'!$E$476:$E$481,4)</f>
        <v/>
      </c>
      <c r="I126" s="23">
        <f>"+"&amp;INDEX('Dados'!$F$476:$F$481,4)</f>
        <v/>
      </c>
      <c r="J126" s="23">
        <f>"+"&amp;IF(INDEX('Dados'!$D$497:$D$516,'Campanha'!$B$17)="Tier I",INDEX('Dados'!$C$476:$C$481,4),IF(INDEX('Dados'!$D$497:$D$516,'Campanha'!$B$17)="Tier II",INDEX('Dados'!$D$476:$D$481,4),IF(INDEX('Dados'!$D$497:$D$516,'Campanha'!$B$17)="Tier III",INDEX('Dados'!$E$476:$E$481,4),INDEX('Dados'!$F$476:$F$481,4))))</f>
        <v/>
      </c>
      <c r="K126" s="30" t="n"/>
      <c r="L126" s="30" t="n"/>
    </row>
    <row r="127">
      <c r="A127" s="31">
        <f>INDEX('Dados'!$A$476:$A$481,5)</f>
        <v/>
      </c>
      <c r="B127" s="5">
        <f>INDEX('Dados'!$B$476:$B$481,5)</f>
        <v/>
      </c>
      <c r="F127" s="18">
        <f>"+"&amp;INDEX('Dados'!$C$476:$C$481,5)</f>
        <v/>
      </c>
      <c r="G127" s="18">
        <f>"+"&amp;INDEX('Dados'!$D$476:$D$481,5)</f>
        <v/>
      </c>
      <c r="H127" s="18">
        <f>"+"&amp;INDEX('Dados'!$E$476:$E$481,5)</f>
        <v/>
      </c>
      <c r="I127" s="18">
        <f>"+"&amp;INDEX('Dados'!$F$476:$F$481,5)</f>
        <v/>
      </c>
      <c r="J127" s="18">
        <f>"+"&amp;IF(INDEX('Dados'!$D$497:$D$516,'Campanha'!$B$17)="Tier I",INDEX('Dados'!$C$476:$C$481,5),IF(INDEX('Dados'!$D$497:$D$516,'Campanha'!$B$17)="Tier II",INDEX('Dados'!$D$476:$D$481,5),IF(INDEX('Dados'!$D$497:$D$516,'Campanha'!$B$17)="Tier III",INDEX('Dados'!$E$476:$E$481,5),INDEX('Dados'!$F$476:$F$481,5))))</f>
        <v/>
      </c>
    </row>
    <row r="128">
      <c r="A128" s="43">
        <f>INDEX('Dados'!$A$476:$A$481,6)</f>
        <v/>
      </c>
      <c r="B128" s="10">
        <f>INDEX('Dados'!$B$476:$B$481,6)</f>
        <v/>
      </c>
      <c r="F128" s="23">
        <f>"+"&amp;INDEX('Dados'!$C$476:$C$481,6)</f>
        <v/>
      </c>
      <c r="G128" s="23">
        <f>"+"&amp;INDEX('Dados'!$D$476:$D$481,6)</f>
        <v/>
      </c>
      <c r="H128" s="23">
        <f>"+"&amp;INDEX('Dados'!$E$476:$E$481,6)</f>
        <v/>
      </c>
      <c r="I128" s="23">
        <f>"+"&amp;INDEX('Dados'!$F$476:$F$481,6)</f>
        <v/>
      </c>
      <c r="J128" s="23">
        <f>"+"&amp;IF(INDEX('Dados'!$D$497:$D$516,'Campanha'!$B$17)="Tier I",INDEX('Dados'!$C$476:$C$481,6),IF(INDEX('Dados'!$D$497:$D$516,'Campanha'!$B$17)="Tier II",INDEX('Dados'!$D$476:$D$481,6),IF(INDEX('Dados'!$D$497:$D$516,'Campanha'!$B$17)="Tier III",INDEX('Dados'!$E$476:$E$481,6),INDEX('Dados'!$F$476:$F$481,6))))</f>
        <v/>
      </c>
      <c r="K128" s="30" t="n"/>
      <c r="L128" s="30" t="n"/>
    </row>
    <row r="129">
      <c r="A129" s="31">
        <f>"Tier do grupo agora: "&amp;INDEX('Dados'!$D$497:$D$516,'Campanha'!$B$17)&amp;" (nível "&amp;'Campanha'!$B$17&amp;"). Bônus de slot são permanentes e ficam fora do teto; Mãos e Esfera Planar nunca somam na mesma rolagem (25.3)."</f>
        <v/>
      </c>
    </row>
    <row r="130"/>
    <row r="131" ht="20" customHeight="1">
      <c r="A131" s="13" t="inlineStr">
        <is>
          <t>Tesouro do grupo (25 linhas; cole aqui a linha de saída dos achados)</t>
        </is>
      </c>
    </row>
    <row r="132" ht="26" customHeight="1">
      <c r="A132" s="8" t="inlineStr">
        <is>
          <t>Sessão</t>
        </is>
      </c>
      <c r="B132" s="8" t="inlineStr">
        <is>
          <t>Item ou Créditos</t>
        </is>
      </c>
      <c r="C132" s="20" t="n"/>
      <c r="D132" s="20" t="n"/>
      <c r="E132" s="8" t="inlineStr">
        <is>
          <t>Quantidade</t>
        </is>
      </c>
      <c r="F132" s="8" t="inlineStr">
        <is>
          <t>Créditos (+ entra, − sai)</t>
        </is>
      </c>
      <c r="G132" s="8" t="inlineStr">
        <is>
          <t>Com quem</t>
        </is>
      </c>
      <c r="H132" s="20" t="n"/>
      <c r="I132" s="8" t="inlineStr">
        <is>
          <t>Notas</t>
        </is>
      </c>
      <c r="J132" s="20" t="n"/>
      <c r="K132" s="8" t="inlineStr">
        <is>
          <t>Aviso</t>
        </is>
      </c>
      <c r="L132" s="20" t="n"/>
    </row>
    <row r="133" ht="93" customHeight="1">
      <c r="A133" s="38" t="n"/>
      <c r="B133" s="4" t="n"/>
      <c r="C133" s="25" t="n"/>
      <c r="D133" s="17" t="n"/>
      <c r="E133" s="16" t="n"/>
      <c r="F133" s="16" t="n"/>
      <c r="G133" s="4" t="n"/>
      <c r="H133" s="17" t="n"/>
      <c r="I133" s="4" t="n"/>
      <c r="J133" s="17" t="n"/>
      <c r="K133" s="19">
        <f>IF(AK133&gt;0,"O Google leu como fórmula: digite de novo com ' na frente.",IF(AND(LEN($AJ$133)&gt;0,NOT(ISNUMBER($AJ$133))),"Créditos não é número: a linha não entra no saldo",""))</f>
        <v/>
      </c>
      <c r="AJ133" s="2">
        <f>IF(ISERROR($F$133),"",IF(ISBLANK($F$133),"",$F$133))</f>
        <v/>
      </c>
      <c r="AK133" s="2">
        <f>ISERROR($A$133)*1+ISERROR($B$133)*1+ISERROR($E$133)*1+ISERROR($F$133)*1+ISERROR($G$133)*1+ISERROR($I$133)*1</f>
        <v/>
      </c>
    </row>
    <row r="134" ht="93" customHeight="1">
      <c r="A134" s="39" t="n"/>
      <c r="B134" s="29" t="n"/>
      <c r="C134" s="25" t="n"/>
      <c r="D134" s="17" t="n"/>
      <c r="E134" s="37" t="n"/>
      <c r="F134" s="37" t="n"/>
      <c r="G134" s="29" t="n"/>
      <c r="H134" s="17" t="n"/>
      <c r="I134" s="29" t="n"/>
      <c r="J134" s="17" t="n"/>
      <c r="K134" s="27">
        <f>IF(AK134&gt;0,"O Google leu como fórmula: digite de novo com ' na frente.",IF(AND(LEN($AJ$134)&gt;0,NOT(ISNUMBER($AJ$134))),"Créditos não é número: a linha não entra no saldo",""))</f>
        <v/>
      </c>
      <c r="AJ134" s="2">
        <f>IF(ISERROR($F$134),"",IF(ISBLANK($F$134),"",$F$134))</f>
        <v/>
      </c>
      <c r="AK134" s="2">
        <f>ISERROR($A$134)*1+ISERROR($B$134)*1+ISERROR($E$134)*1+ISERROR($F$134)*1+ISERROR($G$134)*1+ISERROR($I$134)*1</f>
        <v/>
      </c>
    </row>
    <row r="135" ht="93" customHeight="1">
      <c r="A135" s="38" t="n"/>
      <c r="B135" s="4" t="n"/>
      <c r="C135" s="25" t="n"/>
      <c r="D135" s="17" t="n"/>
      <c r="E135" s="16" t="n"/>
      <c r="F135" s="16" t="n"/>
      <c r="G135" s="4" t="n"/>
      <c r="H135" s="17" t="n"/>
      <c r="I135" s="4" t="n"/>
      <c r="J135" s="17" t="n"/>
      <c r="K135" s="19">
        <f>IF(AK135&gt;0,"O Google leu como fórmula: digite de novo com ' na frente.",IF(AND(LEN($AJ$135)&gt;0,NOT(ISNUMBER($AJ$135))),"Créditos não é número: a linha não entra no saldo",""))</f>
        <v/>
      </c>
      <c r="AJ135" s="2">
        <f>IF(ISERROR($F$135),"",IF(ISBLANK($F$135),"",$F$135))</f>
        <v/>
      </c>
      <c r="AK135" s="2">
        <f>ISERROR($A$135)*1+ISERROR($B$135)*1+ISERROR($E$135)*1+ISERROR($F$135)*1+ISERROR($G$135)*1+ISERROR($I$135)*1</f>
        <v/>
      </c>
    </row>
    <row r="136" ht="93" customHeight="1">
      <c r="A136" s="39" t="n"/>
      <c r="B136" s="29" t="n"/>
      <c r="C136" s="25" t="n"/>
      <c r="D136" s="17" t="n"/>
      <c r="E136" s="37" t="n"/>
      <c r="F136" s="37" t="n"/>
      <c r="G136" s="29" t="n"/>
      <c r="H136" s="17" t="n"/>
      <c r="I136" s="29" t="n"/>
      <c r="J136" s="17" t="n"/>
      <c r="K136" s="27">
        <f>IF(AK136&gt;0,"O Google leu como fórmula: digite de novo com ' na frente.",IF(AND(LEN($AJ$136)&gt;0,NOT(ISNUMBER($AJ$136))),"Créditos não é número: a linha não entra no saldo",""))</f>
        <v/>
      </c>
      <c r="AJ136" s="2">
        <f>IF(ISERROR($F$136),"",IF(ISBLANK($F$136),"",$F$136))</f>
        <v/>
      </c>
      <c r="AK136" s="2">
        <f>ISERROR($A$136)*1+ISERROR($B$136)*1+ISERROR($E$136)*1+ISERROR($F$136)*1+ISERROR($G$136)*1+ISERROR($I$136)*1</f>
        <v/>
      </c>
    </row>
    <row r="137" ht="93" customHeight="1">
      <c r="A137" s="38" t="n"/>
      <c r="B137" s="4" t="n"/>
      <c r="C137" s="25" t="n"/>
      <c r="D137" s="17" t="n"/>
      <c r="E137" s="16" t="n"/>
      <c r="F137" s="16" t="n"/>
      <c r="G137" s="4" t="n"/>
      <c r="H137" s="17" t="n"/>
      <c r="I137" s="4" t="n"/>
      <c r="J137" s="17" t="n"/>
      <c r="K137" s="19">
        <f>IF(AK137&gt;0,"O Google leu como fórmula: digite de novo com ' na frente.",IF(AND(LEN($AJ$137)&gt;0,NOT(ISNUMBER($AJ$137))),"Créditos não é número: a linha não entra no saldo",""))</f>
        <v/>
      </c>
      <c r="AJ137" s="2">
        <f>IF(ISERROR($F$137),"",IF(ISBLANK($F$137),"",$F$137))</f>
        <v/>
      </c>
      <c r="AK137" s="2">
        <f>ISERROR($A$137)*1+ISERROR($B$137)*1+ISERROR($E$137)*1+ISERROR($F$137)*1+ISERROR($G$137)*1+ISERROR($I$137)*1</f>
        <v/>
      </c>
    </row>
    <row r="138" ht="93" customHeight="1">
      <c r="A138" s="39" t="n"/>
      <c r="B138" s="29" t="n"/>
      <c r="C138" s="25" t="n"/>
      <c r="D138" s="17" t="n"/>
      <c r="E138" s="37" t="n"/>
      <c r="F138" s="37" t="n"/>
      <c r="G138" s="29" t="n"/>
      <c r="H138" s="17" t="n"/>
      <c r="I138" s="29" t="n"/>
      <c r="J138" s="17" t="n"/>
      <c r="K138" s="27">
        <f>IF(AK138&gt;0,"O Google leu como fórmula: digite de novo com ' na frente.",IF(AND(LEN($AJ$138)&gt;0,NOT(ISNUMBER($AJ$138))),"Créditos não é número: a linha não entra no saldo",""))</f>
        <v/>
      </c>
      <c r="AJ138" s="2">
        <f>IF(ISERROR($F$138),"",IF(ISBLANK($F$138),"",$F$138))</f>
        <v/>
      </c>
      <c r="AK138" s="2">
        <f>ISERROR($A$138)*1+ISERROR($B$138)*1+ISERROR($E$138)*1+ISERROR($F$138)*1+ISERROR($G$138)*1+ISERROR($I$138)*1</f>
        <v/>
      </c>
    </row>
    <row r="139" ht="93" customHeight="1">
      <c r="A139" s="38" t="n"/>
      <c r="B139" s="4" t="n"/>
      <c r="C139" s="25" t="n"/>
      <c r="D139" s="17" t="n"/>
      <c r="E139" s="16" t="n"/>
      <c r="F139" s="16" t="n"/>
      <c r="G139" s="4" t="n"/>
      <c r="H139" s="17" t="n"/>
      <c r="I139" s="4" t="n"/>
      <c r="J139" s="17" t="n"/>
      <c r="K139" s="19">
        <f>IF(AK139&gt;0,"O Google leu como fórmula: digite de novo com ' na frente.",IF(AND(LEN($AJ$139)&gt;0,NOT(ISNUMBER($AJ$139))),"Créditos não é número: a linha não entra no saldo",""))</f>
        <v/>
      </c>
      <c r="AJ139" s="2">
        <f>IF(ISERROR($F$139),"",IF(ISBLANK($F$139),"",$F$139))</f>
        <v/>
      </c>
      <c r="AK139" s="2">
        <f>ISERROR($A$139)*1+ISERROR($B$139)*1+ISERROR($E$139)*1+ISERROR($F$139)*1+ISERROR($G$139)*1+ISERROR($I$139)*1</f>
        <v/>
      </c>
    </row>
    <row r="140" ht="93" customHeight="1">
      <c r="A140" s="39" t="n"/>
      <c r="B140" s="29" t="n"/>
      <c r="C140" s="25" t="n"/>
      <c r="D140" s="17" t="n"/>
      <c r="E140" s="37" t="n"/>
      <c r="F140" s="37" t="n"/>
      <c r="G140" s="29" t="n"/>
      <c r="H140" s="17" t="n"/>
      <c r="I140" s="29" t="n"/>
      <c r="J140" s="17" t="n"/>
      <c r="K140" s="27">
        <f>IF(AK140&gt;0,"O Google leu como fórmula: digite de novo com ' na frente.",IF(AND(LEN($AJ$140)&gt;0,NOT(ISNUMBER($AJ$140))),"Créditos não é número: a linha não entra no saldo",""))</f>
        <v/>
      </c>
      <c r="AJ140" s="2">
        <f>IF(ISERROR($F$140),"",IF(ISBLANK($F$140),"",$F$140))</f>
        <v/>
      </c>
      <c r="AK140" s="2">
        <f>ISERROR($A$140)*1+ISERROR($B$140)*1+ISERROR($E$140)*1+ISERROR($F$140)*1+ISERROR($G$140)*1+ISERROR($I$140)*1</f>
        <v/>
      </c>
    </row>
    <row r="141" ht="93" customHeight="1">
      <c r="A141" s="38" t="n"/>
      <c r="B141" s="4" t="n"/>
      <c r="C141" s="25" t="n"/>
      <c r="D141" s="17" t="n"/>
      <c r="E141" s="16" t="n"/>
      <c r="F141" s="16" t="n"/>
      <c r="G141" s="4" t="n"/>
      <c r="H141" s="17" t="n"/>
      <c r="I141" s="4" t="n"/>
      <c r="J141" s="17" t="n"/>
      <c r="K141" s="19">
        <f>IF(AK141&gt;0,"O Google leu como fórmula: digite de novo com ' na frente.",IF(AND(LEN($AJ$141)&gt;0,NOT(ISNUMBER($AJ$141))),"Créditos não é número: a linha não entra no saldo",""))</f>
        <v/>
      </c>
      <c r="AJ141" s="2">
        <f>IF(ISERROR($F$141),"",IF(ISBLANK($F$141),"",$F$141))</f>
        <v/>
      </c>
      <c r="AK141" s="2">
        <f>ISERROR($A$141)*1+ISERROR($B$141)*1+ISERROR($E$141)*1+ISERROR($F$141)*1+ISERROR($G$141)*1+ISERROR($I$141)*1</f>
        <v/>
      </c>
    </row>
    <row r="142" ht="93" customHeight="1">
      <c r="A142" s="39" t="n"/>
      <c r="B142" s="29" t="n"/>
      <c r="C142" s="25" t="n"/>
      <c r="D142" s="17" t="n"/>
      <c r="E142" s="37" t="n"/>
      <c r="F142" s="37" t="n"/>
      <c r="G142" s="29" t="n"/>
      <c r="H142" s="17" t="n"/>
      <c r="I142" s="29" t="n"/>
      <c r="J142" s="17" t="n"/>
      <c r="K142" s="27">
        <f>IF(AK142&gt;0,"O Google leu como fórmula: digite de novo com ' na frente.",IF(AND(LEN($AJ$142)&gt;0,NOT(ISNUMBER($AJ$142))),"Créditos não é número: a linha não entra no saldo",""))</f>
        <v/>
      </c>
      <c r="AJ142" s="2">
        <f>IF(ISERROR($F$142),"",IF(ISBLANK($F$142),"",$F$142))</f>
        <v/>
      </c>
      <c r="AK142" s="2">
        <f>ISERROR($A$142)*1+ISERROR($B$142)*1+ISERROR($E$142)*1+ISERROR($F$142)*1+ISERROR($G$142)*1+ISERROR($I$142)*1</f>
        <v/>
      </c>
    </row>
    <row r="143" ht="93" customHeight="1">
      <c r="A143" s="38" t="n"/>
      <c r="B143" s="4" t="n"/>
      <c r="C143" s="25" t="n"/>
      <c r="D143" s="17" t="n"/>
      <c r="E143" s="16" t="n"/>
      <c r="F143" s="16" t="n"/>
      <c r="G143" s="4" t="n"/>
      <c r="H143" s="17" t="n"/>
      <c r="I143" s="4" t="n"/>
      <c r="J143" s="17" t="n"/>
      <c r="K143" s="19">
        <f>IF(AK143&gt;0,"O Google leu como fórmula: digite de novo com ' na frente.",IF(AND(LEN($AJ$143)&gt;0,NOT(ISNUMBER($AJ$143))),"Créditos não é número: a linha não entra no saldo",""))</f>
        <v/>
      </c>
      <c r="AJ143" s="2">
        <f>IF(ISERROR($F$143),"",IF(ISBLANK($F$143),"",$F$143))</f>
        <v/>
      </c>
      <c r="AK143" s="2">
        <f>ISERROR($A$143)*1+ISERROR($B$143)*1+ISERROR($E$143)*1+ISERROR($F$143)*1+ISERROR($G$143)*1+ISERROR($I$143)*1</f>
        <v/>
      </c>
    </row>
    <row r="144" ht="93" customHeight="1">
      <c r="A144" s="39" t="n"/>
      <c r="B144" s="29" t="n"/>
      <c r="C144" s="25" t="n"/>
      <c r="D144" s="17" t="n"/>
      <c r="E144" s="37" t="n"/>
      <c r="F144" s="37" t="n"/>
      <c r="G144" s="29" t="n"/>
      <c r="H144" s="17" t="n"/>
      <c r="I144" s="29" t="n"/>
      <c r="J144" s="17" t="n"/>
      <c r="K144" s="27">
        <f>IF(AK144&gt;0,"O Google leu como fórmula: digite de novo com ' na frente.",IF(AND(LEN($AJ$144)&gt;0,NOT(ISNUMBER($AJ$144))),"Créditos não é número: a linha não entra no saldo",""))</f>
        <v/>
      </c>
      <c r="AJ144" s="2">
        <f>IF(ISERROR($F$144),"",IF(ISBLANK($F$144),"",$F$144))</f>
        <v/>
      </c>
      <c r="AK144" s="2">
        <f>ISERROR($A$144)*1+ISERROR($B$144)*1+ISERROR($E$144)*1+ISERROR($F$144)*1+ISERROR($G$144)*1+ISERROR($I$144)*1</f>
        <v/>
      </c>
    </row>
    <row r="145" ht="93" customHeight="1">
      <c r="A145" s="38" t="n"/>
      <c r="B145" s="4" t="n"/>
      <c r="C145" s="25" t="n"/>
      <c r="D145" s="17" t="n"/>
      <c r="E145" s="16" t="n"/>
      <c r="F145" s="16" t="n"/>
      <c r="G145" s="4" t="n"/>
      <c r="H145" s="17" t="n"/>
      <c r="I145" s="4" t="n"/>
      <c r="J145" s="17" t="n"/>
      <c r="K145" s="19">
        <f>IF(AK145&gt;0,"O Google leu como fórmula: digite de novo com ' na frente.",IF(AND(LEN($AJ$145)&gt;0,NOT(ISNUMBER($AJ$145))),"Créditos não é número: a linha não entra no saldo",""))</f>
        <v/>
      </c>
      <c r="AJ145" s="2">
        <f>IF(ISERROR($F$145),"",IF(ISBLANK($F$145),"",$F$145))</f>
        <v/>
      </c>
      <c r="AK145" s="2">
        <f>ISERROR($A$145)*1+ISERROR($B$145)*1+ISERROR($E$145)*1+ISERROR($F$145)*1+ISERROR($G$145)*1+ISERROR($I$145)*1</f>
        <v/>
      </c>
    </row>
    <row r="146" ht="26" customHeight="1">
      <c r="A146" s="8" t="inlineStr">
        <is>
          <t>Sessão</t>
        </is>
      </c>
      <c r="B146" s="8" t="inlineStr">
        <is>
          <t>Item ou Créditos</t>
        </is>
      </c>
      <c r="C146" s="20" t="n"/>
      <c r="D146" s="20" t="n"/>
      <c r="E146" s="8" t="inlineStr">
        <is>
          <t>Quantidade</t>
        </is>
      </c>
      <c r="F146" s="8" t="inlineStr">
        <is>
          <t>Créditos (+ entra, − sai)</t>
        </is>
      </c>
      <c r="G146" s="8" t="inlineStr">
        <is>
          <t>Com quem</t>
        </is>
      </c>
      <c r="H146" s="20" t="n"/>
      <c r="I146" s="8" t="inlineStr">
        <is>
          <t>Notas</t>
        </is>
      </c>
      <c r="J146" s="20" t="n"/>
      <c r="K146" s="8" t="inlineStr">
        <is>
          <t>Aviso</t>
        </is>
      </c>
      <c r="L146" s="20" t="n"/>
    </row>
    <row r="147" ht="93" customHeight="1">
      <c r="A147" s="38" t="n"/>
      <c r="B147" s="4" t="n"/>
      <c r="C147" s="25" t="n"/>
      <c r="D147" s="17" t="n"/>
      <c r="E147" s="16" t="n"/>
      <c r="F147" s="16" t="n"/>
      <c r="G147" s="4" t="n"/>
      <c r="H147" s="17" t="n"/>
      <c r="I147" s="4" t="n"/>
      <c r="J147" s="17" t="n"/>
      <c r="K147" s="19">
        <f>IF(AK147&gt;0,"O Google leu como fórmula: digite de novo com ' na frente.",IF(AND(LEN($AJ$147)&gt;0,NOT(ISNUMBER($AJ$147))),"Créditos não é número: a linha não entra no saldo",""))</f>
        <v/>
      </c>
      <c r="AJ147" s="2">
        <f>IF(ISERROR($F$147),"",IF(ISBLANK($F$147),"",$F$147))</f>
        <v/>
      </c>
      <c r="AK147" s="2">
        <f>ISERROR($A$147)*1+ISERROR($B$147)*1+ISERROR($E$147)*1+ISERROR($F$147)*1+ISERROR($G$147)*1+ISERROR($I$147)*1</f>
        <v/>
      </c>
    </row>
    <row r="148" ht="93" customHeight="1">
      <c r="A148" s="39" t="n"/>
      <c r="B148" s="29" t="n"/>
      <c r="C148" s="25" t="n"/>
      <c r="D148" s="17" t="n"/>
      <c r="E148" s="37" t="n"/>
      <c r="F148" s="37" t="n"/>
      <c r="G148" s="29" t="n"/>
      <c r="H148" s="17" t="n"/>
      <c r="I148" s="29" t="n"/>
      <c r="J148" s="17" t="n"/>
      <c r="K148" s="27">
        <f>IF(AK148&gt;0,"O Google leu como fórmula: digite de novo com ' na frente.",IF(AND(LEN($AJ$148)&gt;0,NOT(ISNUMBER($AJ$148))),"Créditos não é número: a linha não entra no saldo",""))</f>
        <v/>
      </c>
      <c r="AJ148" s="2">
        <f>IF(ISERROR($F$148),"",IF(ISBLANK($F$148),"",$F$148))</f>
        <v/>
      </c>
      <c r="AK148" s="2">
        <f>ISERROR($A$148)*1+ISERROR($B$148)*1+ISERROR($E$148)*1+ISERROR($F$148)*1+ISERROR($G$148)*1+ISERROR($I$148)*1</f>
        <v/>
      </c>
    </row>
    <row r="149" ht="93" customHeight="1">
      <c r="A149" s="38" t="n"/>
      <c r="B149" s="4" t="n"/>
      <c r="C149" s="25" t="n"/>
      <c r="D149" s="17" t="n"/>
      <c r="E149" s="16" t="n"/>
      <c r="F149" s="16" t="n"/>
      <c r="G149" s="4" t="n"/>
      <c r="H149" s="17" t="n"/>
      <c r="I149" s="4" t="n"/>
      <c r="J149" s="17" t="n"/>
      <c r="K149" s="19">
        <f>IF(AK149&gt;0,"O Google leu como fórmula: digite de novo com ' na frente.",IF(AND(LEN($AJ$149)&gt;0,NOT(ISNUMBER($AJ$149))),"Créditos não é número: a linha não entra no saldo",""))</f>
        <v/>
      </c>
      <c r="AJ149" s="2">
        <f>IF(ISERROR($F$149),"",IF(ISBLANK($F$149),"",$F$149))</f>
        <v/>
      </c>
      <c r="AK149" s="2">
        <f>ISERROR($A$149)*1+ISERROR($B$149)*1+ISERROR($E$149)*1+ISERROR($F$149)*1+ISERROR($G$149)*1+ISERROR($I$149)*1</f>
        <v/>
      </c>
    </row>
    <row r="150" ht="93" customHeight="1">
      <c r="A150" s="39" t="n"/>
      <c r="B150" s="29" t="n"/>
      <c r="C150" s="25" t="n"/>
      <c r="D150" s="17" t="n"/>
      <c r="E150" s="37" t="n"/>
      <c r="F150" s="37" t="n"/>
      <c r="G150" s="29" t="n"/>
      <c r="H150" s="17" t="n"/>
      <c r="I150" s="29" t="n"/>
      <c r="J150" s="17" t="n"/>
      <c r="K150" s="27">
        <f>IF(AK150&gt;0,"O Google leu como fórmula: digite de novo com ' na frente.",IF(AND(LEN($AJ$150)&gt;0,NOT(ISNUMBER($AJ$150))),"Créditos não é número: a linha não entra no saldo",""))</f>
        <v/>
      </c>
      <c r="AJ150" s="2">
        <f>IF(ISERROR($F$150),"",IF(ISBLANK($F$150),"",$F$150))</f>
        <v/>
      </c>
      <c r="AK150" s="2">
        <f>ISERROR($A$150)*1+ISERROR($B$150)*1+ISERROR($E$150)*1+ISERROR($F$150)*1+ISERROR($G$150)*1+ISERROR($I$150)*1</f>
        <v/>
      </c>
    </row>
    <row r="151" ht="93" customHeight="1">
      <c r="A151" s="38" t="n"/>
      <c r="B151" s="4" t="n"/>
      <c r="C151" s="25" t="n"/>
      <c r="D151" s="17" t="n"/>
      <c r="E151" s="16" t="n"/>
      <c r="F151" s="16" t="n"/>
      <c r="G151" s="4" t="n"/>
      <c r="H151" s="17" t="n"/>
      <c r="I151" s="4" t="n"/>
      <c r="J151" s="17" t="n"/>
      <c r="K151" s="19">
        <f>IF(AK151&gt;0,"O Google leu como fórmula: digite de novo com ' na frente.",IF(AND(LEN($AJ$151)&gt;0,NOT(ISNUMBER($AJ$151))),"Créditos não é número: a linha não entra no saldo",""))</f>
        <v/>
      </c>
      <c r="AJ151" s="2">
        <f>IF(ISERROR($F$151),"",IF(ISBLANK($F$151),"",$F$151))</f>
        <v/>
      </c>
      <c r="AK151" s="2">
        <f>ISERROR($A$151)*1+ISERROR($B$151)*1+ISERROR($E$151)*1+ISERROR($F$151)*1+ISERROR($G$151)*1+ISERROR($I$151)*1</f>
        <v/>
      </c>
    </row>
    <row r="152" ht="93" customHeight="1">
      <c r="A152" s="39" t="n"/>
      <c r="B152" s="29" t="n"/>
      <c r="C152" s="25" t="n"/>
      <c r="D152" s="17" t="n"/>
      <c r="E152" s="37" t="n"/>
      <c r="F152" s="37" t="n"/>
      <c r="G152" s="29" t="n"/>
      <c r="H152" s="17" t="n"/>
      <c r="I152" s="29" t="n"/>
      <c r="J152" s="17" t="n"/>
      <c r="K152" s="27">
        <f>IF(AK152&gt;0,"O Google leu como fórmula: digite de novo com ' na frente.",IF(AND(LEN($AJ$152)&gt;0,NOT(ISNUMBER($AJ$152))),"Créditos não é número: a linha não entra no saldo",""))</f>
        <v/>
      </c>
      <c r="AJ152" s="2">
        <f>IF(ISERROR($F$152),"",IF(ISBLANK($F$152),"",$F$152))</f>
        <v/>
      </c>
      <c r="AK152" s="2">
        <f>ISERROR($A$152)*1+ISERROR($B$152)*1+ISERROR($E$152)*1+ISERROR($F$152)*1+ISERROR($G$152)*1+ISERROR($I$152)*1</f>
        <v/>
      </c>
    </row>
    <row r="153" ht="93" customHeight="1">
      <c r="A153" s="38" t="n"/>
      <c r="B153" s="4" t="n"/>
      <c r="C153" s="25" t="n"/>
      <c r="D153" s="17" t="n"/>
      <c r="E153" s="16" t="n"/>
      <c r="F153" s="16" t="n"/>
      <c r="G153" s="4" t="n"/>
      <c r="H153" s="17" t="n"/>
      <c r="I153" s="4" t="n"/>
      <c r="J153" s="17" t="n"/>
      <c r="K153" s="19">
        <f>IF(AK153&gt;0,"O Google leu como fórmula: digite de novo com ' na frente.",IF(AND(LEN($AJ$153)&gt;0,NOT(ISNUMBER($AJ$153))),"Créditos não é número: a linha não entra no saldo",""))</f>
        <v/>
      </c>
      <c r="AJ153" s="2">
        <f>IF(ISERROR($F$153),"",IF(ISBLANK($F$153),"",$F$153))</f>
        <v/>
      </c>
      <c r="AK153" s="2">
        <f>ISERROR($A$153)*1+ISERROR($B$153)*1+ISERROR($E$153)*1+ISERROR($F$153)*1+ISERROR($G$153)*1+ISERROR($I$153)*1</f>
        <v/>
      </c>
    </row>
    <row r="154" ht="93" customHeight="1">
      <c r="A154" s="39" t="n"/>
      <c r="B154" s="29" t="n"/>
      <c r="C154" s="25" t="n"/>
      <c r="D154" s="17" t="n"/>
      <c r="E154" s="37" t="n"/>
      <c r="F154" s="37" t="n"/>
      <c r="G154" s="29" t="n"/>
      <c r="H154" s="17" t="n"/>
      <c r="I154" s="29" t="n"/>
      <c r="J154" s="17" t="n"/>
      <c r="K154" s="27">
        <f>IF(AK154&gt;0,"O Google leu como fórmula: digite de novo com ' na frente.",IF(AND(LEN($AJ$154)&gt;0,NOT(ISNUMBER($AJ$154))),"Créditos não é número: a linha não entra no saldo",""))</f>
        <v/>
      </c>
      <c r="AJ154" s="2">
        <f>IF(ISERROR($F$154),"",IF(ISBLANK($F$154),"",$F$154))</f>
        <v/>
      </c>
      <c r="AK154" s="2">
        <f>ISERROR($A$154)*1+ISERROR($B$154)*1+ISERROR($E$154)*1+ISERROR($F$154)*1+ISERROR($G$154)*1+ISERROR($I$154)*1</f>
        <v/>
      </c>
    </row>
    <row r="155" ht="93" customHeight="1">
      <c r="A155" s="38" t="n"/>
      <c r="B155" s="4" t="n"/>
      <c r="C155" s="25" t="n"/>
      <c r="D155" s="17" t="n"/>
      <c r="E155" s="16" t="n"/>
      <c r="F155" s="16" t="n"/>
      <c r="G155" s="4" t="n"/>
      <c r="H155" s="17" t="n"/>
      <c r="I155" s="4" t="n"/>
      <c r="J155" s="17" t="n"/>
      <c r="K155" s="19">
        <f>IF(AK155&gt;0,"O Google leu como fórmula: digite de novo com ' na frente.",IF(AND(LEN($AJ$155)&gt;0,NOT(ISNUMBER($AJ$155))),"Créditos não é número: a linha não entra no saldo",""))</f>
        <v/>
      </c>
      <c r="AJ155" s="2">
        <f>IF(ISERROR($F$155),"",IF(ISBLANK($F$155),"",$F$155))</f>
        <v/>
      </c>
      <c r="AK155" s="2">
        <f>ISERROR($A$155)*1+ISERROR($B$155)*1+ISERROR($E$155)*1+ISERROR($F$155)*1+ISERROR($G$155)*1+ISERROR($I$155)*1</f>
        <v/>
      </c>
    </row>
    <row r="156" ht="93" customHeight="1">
      <c r="A156" s="39" t="n"/>
      <c r="B156" s="29" t="n"/>
      <c r="C156" s="25" t="n"/>
      <c r="D156" s="17" t="n"/>
      <c r="E156" s="37" t="n"/>
      <c r="F156" s="37" t="n"/>
      <c r="G156" s="29" t="n"/>
      <c r="H156" s="17" t="n"/>
      <c r="I156" s="29" t="n"/>
      <c r="J156" s="17" t="n"/>
      <c r="K156" s="27">
        <f>IF(AK156&gt;0,"O Google leu como fórmula: digite de novo com ' na frente.",IF(AND(LEN($AJ$156)&gt;0,NOT(ISNUMBER($AJ$156))),"Créditos não é número: a linha não entra no saldo",""))</f>
        <v/>
      </c>
      <c r="AJ156" s="2">
        <f>IF(ISERROR($F$156),"",IF(ISBLANK($F$156),"",$F$156))</f>
        <v/>
      </c>
      <c r="AK156" s="2">
        <f>ISERROR($A$156)*1+ISERROR($B$156)*1+ISERROR($E$156)*1+ISERROR($F$156)*1+ISERROR($G$156)*1+ISERROR($I$156)*1</f>
        <v/>
      </c>
    </row>
    <row r="157" ht="93" customHeight="1">
      <c r="A157" s="38" t="n"/>
      <c r="B157" s="4" t="n"/>
      <c r="C157" s="25" t="n"/>
      <c r="D157" s="17" t="n"/>
      <c r="E157" s="16" t="n"/>
      <c r="F157" s="16" t="n"/>
      <c r="G157" s="4" t="n"/>
      <c r="H157" s="17" t="n"/>
      <c r="I157" s="4" t="n"/>
      <c r="J157" s="17" t="n"/>
      <c r="K157" s="19">
        <f>IF(AK157&gt;0,"O Google leu como fórmula: digite de novo com ' na frente.",IF(AND(LEN($AJ$157)&gt;0,NOT(ISNUMBER($AJ$157))),"Créditos não é número: a linha não entra no saldo",""))</f>
        <v/>
      </c>
      <c r="AJ157" s="2">
        <f>IF(ISERROR($F$157),"",IF(ISBLANK($F$157),"",$F$157))</f>
        <v/>
      </c>
      <c r="AK157" s="2">
        <f>ISERROR($A$157)*1+ISERROR($B$157)*1+ISERROR($E$157)*1+ISERROR($F$157)*1+ISERROR($G$157)*1+ISERROR($I$157)*1</f>
        <v/>
      </c>
    </row>
    <row r="158" ht="93" customHeight="1">
      <c r="A158" s="39" t="n"/>
      <c r="B158" s="29" t="n"/>
      <c r="C158" s="25" t="n"/>
      <c r="D158" s="17" t="n"/>
      <c r="E158" s="37" t="n"/>
      <c r="F158" s="37" t="n"/>
      <c r="G158" s="29" t="n"/>
      <c r="H158" s="17" t="n"/>
      <c r="I158" s="29" t="n"/>
      <c r="J158" s="17" t="n"/>
      <c r="K158" s="27">
        <f>IF(AK158&gt;0,"O Google leu como fórmula: digite de novo com ' na frente.",IF(AND(LEN($AJ$158)&gt;0,NOT(ISNUMBER($AJ$158))),"Créditos não é número: a linha não entra no saldo",""))</f>
        <v/>
      </c>
      <c r="AJ158" s="2">
        <f>IF(ISERROR($F$158),"",IF(ISBLANK($F$158),"",$F$158))</f>
        <v/>
      </c>
      <c r="AK158" s="2">
        <f>ISERROR($A$158)*1+ISERROR($B$158)*1+ISERROR($E$158)*1+ISERROR($F$158)*1+ISERROR($G$158)*1+ISERROR($I$158)*1</f>
        <v/>
      </c>
    </row>
    <row r="159">
      <c r="A159" s="9" t="inlineStr">
        <is>
          <t>Saldo de Créditos</t>
        </is>
      </c>
      <c r="B159" s="18">
        <f>IF(ISNUMBER($AJ$133),$AJ$133,0)+IF(ISNUMBER($AJ$134),$AJ$134,0)+IF(ISNUMBER($AJ$135),$AJ$135,0)+IF(ISNUMBER($AJ$136),$AJ$136,0)+IF(ISNUMBER($AJ$137),$AJ$137,0)+IF(ISNUMBER($AJ$138),$AJ$138,0)+IF(ISNUMBER($AJ$139),$AJ$139,0)+IF(ISNUMBER($AJ$140),$AJ$140,0)+IF(ISNUMBER($AJ$141),$AJ$141,0)+IF(ISNUMBER($AJ$142),$AJ$142,0)+IF(ISNUMBER($AJ$143),$AJ$143,0)+IF(ISNUMBER($AJ$144),$AJ$144,0)+IF(ISNUMBER($AJ$145),$AJ$145,0)+IF(ISNUMBER($AJ$147),$AJ$147,0)+IF(ISNUMBER($AJ$148),$AJ$148,0)+IF(ISNUMBER($AJ$149),$AJ$149,0)+IF(ISNUMBER($AJ$150),$AJ$150,0)+IF(ISNUMBER($AJ$151),$AJ$151,0)+IF(ISNUMBER($AJ$152),$AJ$152,0)+IF(ISNUMBER($AJ$153),$AJ$153,0)+IF(ISNUMBER($AJ$154),$AJ$154,0)+IF(ISNUMBER($AJ$155),$AJ$155,0)+IF(ISNUMBER($AJ$156),$AJ$156,0)+IF(ISNUMBER($AJ$157),$AJ$157,0)+IF(ISNUMBER($AJ$158),$AJ$158,0)</f>
        <v/>
      </c>
      <c r="C159" s="14" t="inlineStr">
        <is>
          <t>Soma da coluna Créditos (+ entra, − sai). Itens sem Créditos não mexem no saldo.</t>
        </is>
      </c>
      <c r="K159" s="19">
        <f>IF($B$159&lt;0,"Saldo de Créditos negativo","")</f>
        <v/>
      </c>
    </row>
  </sheetData>
  <mergeCells count="334">
    <mergeCell ref="A64:B64"/>
    <mergeCell ref="A51:B51"/>
    <mergeCell ref="I104:J104"/>
    <mergeCell ref="K104:L104"/>
    <mergeCell ref="B12:C12"/>
    <mergeCell ref="I106:J106"/>
    <mergeCell ref="A129:L129"/>
    <mergeCell ref="K81:L81"/>
    <mergeCell ref="A23:L23"/>
    <mergeCell ref="B14:C14"/>
    <mergeCell ref="G137:H137"/>
    <mergeCell ref="A131:L131"/>
    <mergeCell ref="B13:C13"/>
    <mergeCell ref="B142:D142"/>
    <mergeCell ref="G148:H148"/>
    <mergeCell ref="I155:J155"/>
    <mergeCell ref="G139:H139"/>
    <mergeCell ref="K155:L155"/>
    <mergeCell ref="G82:J82"/>
    <mergeCell ref="B144:D144"/>
    <mergeCell ref="A34:L34"/>
    <mergeCell ref="I157:J157"/>
    <mergeCell ref="K157:L157"/>
    <mergeCell ref="A62:B62"/>
    <mergeCell ref="G143:H143"/>
    <mergeCell ref="K101:L101"/>
    <mergeCell ref="K28:L28"/>
    <mergeCell ref="A36:L36"/>
    <mergeCell ref="K30:L30"/>
    <mergeCell ref="K152:L152"/>
    <mergeCell ref="A59:B59"/>
    <mergeCell ref="A80:L80"/>
    <mergeCell ref="D15:J15"/>
    <mergeCell ref="A61:B61"/>
    <mergeCell ref="B137:D137"/>
    <mergeCell ref="B139:D139"/>
    <mergeCell ref="B88:F88"/>
    <mergeCell ref="K105:L105"/>
    <mergeCell ref="K120:L120"/>
    <mergeCell ref="I107:J107"/>
    <mergeCell ref="K107:L107"/>
    <mergeCell ref="B150:D150"/>
    <mergeCell ref="B15:C15"/>
    <mergeCell ref="G138:H138"/>
    <mergeCell ref="I138:J138"/>
    <mergeCell ref="B85:F85"/>
    <mergeCell ref="B152:D152"/>
    <mergeCell ref="G140:H140"/>
    <mergeCell ref="I140:J140"/>
    <mergeCell ref="K25:L25"/>
    <mergeCell ref="C54:H54"/>
    <mergeCell ref="B145:D145"/>
    <mergeCell ref="A49:B49"/>
    <mergeCell ref="G25:J25"/>
    <mergeCell ref="C56:H56"/>
    <mergeCell ref="K29:L29"/>
    <mergeCell ref="E29:F29"/>
    <mergeCell ref="A65:B65"/>
    <mergeCell ref="A55:B55"/>
    <mergeCell ref="I87:J87"/>
    <mergeCell ref="G133:H133"/>
    <mergeCell ref="D21:J21"/>
    <mergeCell ref="G95:H95"/>
    <mergeCell ref="B138:D138"/>
    <mergeCell ref="G135:H135"/>
    <mergeCell ref="G153:H153"/>
    <mergeCell ref="I153:J153"/>
    <mergeCell ref="B140:D140"/>
    <mergeCell ref="D16:J16"/>
    <mergeCell ref="C65:H65"/>
    <mergeCell ref="D18:J18"/>
    <mergeCell ref="E24:F24"/>
    <mergeCell ref="C44:H44"/>
    <mergeCell ref="A60:B60"/>
    <mergeCell ref="E82:F82"/>
    <mergeCell ref="C60:H60"/>
    <mergeCell ref="B86:F86"/>
    <mergeCell ref="G146:H146"/>
    <mergeCell ref="I146:J146"/>
    <mergeCell ref="B95:D95"/>
    <mergeCell ref="A50:B50"/>
    <mergeCell ref="D6:J6"/>
    <mergeCell ref="B97:D97"/>
    <mergeCell ref="B153:D153"/>
    <mergeCell ref="C49:H49"/>
    <mergeCell ref="G28:J28"/>
    <mergeCell ref="C42:H42"/>
    <mergeCell ref="C81:D81"/>
    <mergeCell ref="G30:J30"/>
    <mergeCell ref="B113:C113"/>
    <mergeCell ref="C55:H55"/>
    <mergeCell ref="B148:D148"/>
    <mergeCell ref="G136:H136"/>
    <mergeCell ref="I136:J136"/>
    <mergeCell ref="B31:C31"/>
    <mergeCell ref="D113:J113"/>
    <mergeCell ref="G81:J81"/>
    <mergeCell ref="B143:D143"/>
    <mergeCell ref="D19:J19"/>
    <mergeCell ref="E27:F27"/>
    <mergeCell ref="C159:J159"/>
    <mergeCell ref="B134:D134"/>
    <mergeCell ref="B96:D96"/>
    <mergeCell ref="B116:H116"/>
    <mergeCell ref="I84:J84"/>
    <mergeCell ref="G149:H149"/>
    <mergeCell ref="B108:H108"/>
    <mergeCell ref="I149:J149"/>
    <mergeCell ref="C63:H63"/>
    <mergeCell ref="B98:D98"/>
    <mergeCell ref="C50:H50"/>
    <mergeCell ref="B118:H118"/>
    <mergeCell ref="I86:J86"/>
    <mergeCell ref="G151:H151"/>
    <mergeCell ref="A45:B45"/>
    <mergeCell ref="K142:L142"/>
    <mergeCell ref="I151:J151"/>
    <mergeCell ref="G29:J29"/>
    <mergeCell ref="A3:L3"/>
    <mergeCell ref="I144:J144"/>
    <mergeCell ref="K144:L144"/>
    <mergeCell ref="A5:L5"/>
    <mergeCell ref="A46:B46"/>
    <mergeCell ref="B121:H121"/>
    <mergeCell ref="G24:J24"/>
    <mergeCell ref="C102:D102"/>
    <mergeCell ref="B7:C7"/>
    <mergeCell ref="G26:J26"/>
    <mergeCell ref="B127:E127"/>
    <mergeCell ref="G155:H155"/>
    <mergeCell ref="A112:J112"/>
    <mergeCell ref="G157:H157"/>
    <mergeCell ref="G132:H132"/>
    <mergeCell ref="B109:H109"/>
    <mergeCell ref="I150:J150"/>
    <mergeCell ref="K150:L150"/>
    <mergeCell ref="G152:H152"/>
    <mergeCell ref="B122:E122"/>
    <mergeCell ref="I152:J152"/>
    <mergeCell ref="C66:H66"/>
    <mergeCell ref="K8:L8"/>
    <mergeCell ref="C53:H53"/>
    <mergeCell ref="K145:L145"/>
    <mergeCell ref="C68:H68"/>
    <mergeCell ref="K147:L147"/>
    <mergeCell ref="I105:J105"/>
    <mergeCell ref="B132:D132"/>
    <mergeCell ref="A100:J100"/>
    <mergeCell ref="I120:J120"/>
    <mergeCell ref="K100:L100"/>
    <mergeCell ref="K94:L94"/>
    <mergeCell ref="K140:L140"/>
    <mergeCell ref="B8:C8"/>
    <mergeCell ref="G27:J27"/>
    <mergeCell ref="K102:L102"/>
    <mergeCell ref="A47:B47"/>
    <mergeCell ref="B117:H117"/>
    <mergeCell ref="B119:H119"/>
    <mergeCell ref="B114:C114"/>
    <mergeCell ref="A44:B44"/>
    <mergeCell ref="B128:E128"/>
    <mergeCell ref="A58:B58"/>
    <mergeCell ref="I95:J95"/>
    <mergeCell ref="K24:L24"/>
    <mergeCell ref="I89:J89"/>
    <mergeCell ref="A37:L37"/>
    <mergeCell ref="K89:L89"/>
    <mergeCell ref="D114:J114"/>
    <mergeCell ref="K113:L113"/>
    <mergeCell ref="G97:H97"/>
    <mergeCell ref="B123:E123"/>
    <mergeCell ref="K26:L26"/>
    <mergeCell ref="K153:L153"/>
    <mergeCell ref="B21:C21"/>
    <mergeCell ref="K90:L90"/>
    <mergeCell ref="B158:D158"/>
    <mergeCell ref="B133:D133"/>
    <mergeCell ref="I121:J121"/>
    <mergeCell ref="A42:B42"/>
    <mergeCell ref="B135:D135"/>
    <mergeCell ref="B84:F84"/>
    <mergeCell ref="D11:J11"/>
    <mergeCell ref="A53:B53"/>
    <mergeCell ref="I110:J110"/>
    <mergeCell ref="A68:B68"/>
    <mergeCell ref="K116:L116"/>
    <mergeCell ref="K141:L141"/>
    <mergeCell ref="K143:L143"/>
    <mergeCell ref="K118:L118"/>
    <mergeCell ref="A48:B48"/>
    <mergeCell ref="B16:C16"/>
    <mergeCell ref="B18:C18"/>
    <mergeCell ref="B146:D146"/>
    <mergeCell ref="B11:C11"/>
    <mergeCell ref="I134:J134"/>
    <mergeCell ref="K134:L134"/>
    <mergeCell ref="I96:J96"/>
    <mergeCell ref="A38:L38"/>
    <mergeCell ref="I98:J98"/>
    <mergeCell ref="K27:L27"/>
    <mergeCell ref="G154:H154"/>
    <mergeCell ref="B141:D141"/>
    <mergeCell ref="B6:C6"/>
    <mergeCell ref="K156:L156"/>
    <mergeCell ref="D17:J17"/>
    <mergeCell ref="E25:F25"/>
    <mergeCell ref="A63:B63"/>
    <mergeCell ref="B136:D136"/>
    <mergeCell ref="D12:J12"/>
    <mergeCell ref="I116:J116"/>
    <mergeCell ref="A69:B69"/>
    <mergeCell ref="D14:J14"/>
    <mergeCell ref="K11:L11"/>
    <mergeCell ref="K109:L109"/>
    <mergeCell ref="B17:C17"/>
    <mergeCell ref="B87:F87"/>
    <mergeCell ref="B154:D154"/>
    <mergeCell ref="B19:C19"/>
    <mergeCell ref="G142:H142"/>
    <mergeCell ref="I142:J142"/>
    <mergeCell ref="B156:D156"/>
    <mergeCell ref="G144:H144"/>
    <mergeCell ref="B155:D155"/>
    <mergeCell ref="B20:C20"/>
    <mergeCell ref="D7:J7"/>
    <mergeCell ref="C45:H45"/>
    <mergeCell ref="E81:F81"/>
    <mergeCell ref="B149:D149"/>
    <mergeCell ref="I137:J137"/>
    <mergeCell ref="K137:L137"/>
    <mergeCell ref="A67:B67"/>
    <mergeCell ref="B151:D151"/>
    <mergeCell ref="C47:H47"/>
    <mergeCell ref="A41:L41"/>
    <mergeCell ref="I139:J139"/>
    <mergeCell ref="K139:L139"/>
    <mergeCell ref="D8:J8"/>
    <mergeCell ref="K114:L114"/>
    <mergeCell ref="C51:H51"/>
    <mergeCell ref="D20:J20"/>
    <mergeCell ref="E28:F28"/>
    <mergeCell ref="A66:B66"/>
    <mergeCell ref="B125:E125"/>
    <mergeCell ref="E30:F30"/>
    <mergeCell ref="I117:J117"/>
    <mergeCell ref="K117:L117"/>
    <mergeCell ref="I132:J132"/>
    <mergeCell ref="K132:L132"/>
    <mergeCell ref="D13:J13"/>
    <mergeCell ref="B89:F89"/>
    <mergeCell ref="A1:L1"/>
    <mergeCell ref="K112:L112"/>
    <mergeCell ref="G150:H150"/>
    <mergeCell ref="B90:F90"/>
    <mergeCell ref="B157:D157"/>
    <mergeCell ref="G145:H145"/>
    <mergeCell ref="B104:H104"/>
    <mergeCell ref="I145:J145"/>
    <mergeCell ref="C59:H59"/>
    <mergeCell ref="C46:H46"/>
    <mergeCell ref="A54:B54"/>
    <mergeCell ref="G147:H147"/>
    <mergeCell ref="K138:L138"/>
    <mergeCell ref="B106:H106"/>
    <mergeCell ref="I147:J147"/>
    <mergeCell ref="C61:H61"/>
    <mergeCell ref="C48:H48"/>
    <mergeCell ref="A56:B56"/>
    <mergeCell ref="A91:L91"/>
    <mergeCell ref="B94:D94"/>
    <mergeCell ref="A93:L93"/>
    <mergeCell ref="G94:H94"/>
    <mergeCell ref="I94:J94"/>
    <mergeCell ref="G158:H158"/>
    <mergeCell ref="I158:J158"/>
    <mergeCell ref="K158:L158"/>
    <mergeCell ref="I133:J133"/>
    <mergeCell ref="I108:J108"/>
    <mergeCell ref="K133:L133"/>
    <mergeCell ref="B147:D147"/>
    <mergeCell ref="C43:H43"/>
    <mergeCell ref="I135:J135"/>
    <mergeCell ref="K135:L135"/>
    <mergeCell ref="K122:L122"/>
    <mergeCell ref="E101:J101"/>
    <mergeCell ref="C67:H67"/>
    <mergeCell ref="B105:H105"/>
    <mergeCell ref="E102:J102"/>
    <mergeCell ref="C69:H69"/>
    <mergeCell ref="E26:F26"/>
    <mergeCell ref="B120:H120"/>
    <mergeCell ref="I88:J88"/>
    <mergeCell ref="B107:H107"/>
    <mergeCell ref="I148:J148"/>
    <mergeCell ref="K148:L148"/>
    <mergeCell ref="C62:H62"/>
    <mergeCell ref="K82:L82"/>
    <mergeCell ref="C82:D82"/>
    <mergeCell ref="K146:L146"/>
    <mergeCell ref="C64:H64"/>
    <mergeCell ref="K6:L6"/>
    <mergeCell ref="G141:H141"/>
    <mergeCell ref="I141:J141"/>
    <mergeCell ref="I97:J97"/>
    <mergeCell ref="K159:L159"/>
    <mergeCell ref="I143:J143"/>
    <mergeCell ref="D31:J31"/>
    <mergeCell ref="K136:L136"/>
    <mergeCell ref="K7:L7"/>
    <mergeCell ref="C58:H58"/>
    <mergeCell ref="A43:B43"/>
    <mergeCell ref="G134:H134"/>
    <mergeCell ref="G96:H96"/>
    <mergeCell ref="C101:D101"/>
    <mergeCell ref="I90:J90"/>
    <mergeCell ref="G98:H98"/>
    <mergeCell ref="B124:E124"/>
    <mergeCell ref="I154:J154"/>
    <mergeCell ref="K154:L154"/>
    <mergeCell ref="B110:H110"/>
    <mergeCell ref="I85:J85"/>
    <mergeCell ref="B126:E126"/>
    <mergeCell ref="A33:L33"/>
    <mergeCell ref="G156:H156"/>
    <mergeCell ref="I156:J156"/>
    <mergeCell ref="K84:L84"/>
    <mergeCell ref="K149:L149"/>
    <mergeCell ref="A35:L35"/>
    <mergeCell ref="A10:L10"/>
    <mergeCell ref="K151:L151"/>
    <mergeCell ref="I118:J118"/>
    <mergeCell ref="A39:L39"/>
    <mergeCell ref="I109:J109"/>
    <mergeCell ref="I119:J119"/>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25">
    <cfRule type="expression" priority="3" dxfId="0">
      <formula>LEN(K25)&gt;0</formula>
    </cfRule>
  </conditionalFormatting>
  <conditionalFormatting sqref="K26">
    <cfRule type="expression" priority="4" dxfId="0">
      <formula>LEN(K26)&gt;0</formula>
    </cfRule>
  </conditionalFormatting>
  <conditionalFormatting sqref="K27">
    <cfRule type="expression" priority="5" dxfId="0">
      <formula>LEN(K27)&gt;0</formula>
    </cfRule>
  </conditionalFormatting>
  <conditionalFormatting sqref="K28">
    <cfRule type="expression" priority="6" dxfId="0">
      <formula>LEN(K28)&gt;0</formula>
    </cfRule>
  </conditionalFormatting>
  <conditionalFormatting sqref="K29">
    <cfRule type="expression" priority="7" dxfId="0">
      <formula>LEN(K29)&gt;0</formula>
    </cfRule>
  </conditionalFormatting>
  <conditionalFormatting sqref="K30">
    <cfRule type="expression" priority="8" dxfId="0">
      <formula>LEN(K30)&gt;0</formula>
    </cfRule>
  </conditionalFormatting>
  <conditionalFormatting sqref="K82">
    <cfRule type="expression" priority="9" dxfId="0">
      <formula>LEN(K82)&gt;0</formula>
    </cfRule>
  </conditionalFormatting>
  <conditionalFormatting sqref="K89">
    <cfRule type="expression" priority="10" dxfId="0">
      <formula>LEN(K89)&gt;0</formula>
    </cfRule>
  </conditionalFormatting>
  <conditionalFormatting sqref="K90">
    <cfRule type="expression" priority="11" dxfId="0">
      <formula>LEN(K90)&gt;0</formula>
    </cfRule>
  </conditionalFormatting>
  <conditionalFormatting sqref="K102">
    <cfRule type="expression" priority="12" dxfId="0">
      <formula>LEN(K102)&gt;0</formula>
    </cfRule>
  </conditionalFormatting>
  <conditionalFormatting sqref="K105">
    <cfRule type="expression" priority="13" dxfId="0">
      <formula>LEN(K105)&gt;0</formula>
    </cfRule>
  </conditionalFormatting>
  <conditionalFormatting sqref="K107">
    <cfRule type="expression" priority="14" dxfId="0">
      <formula>LEN(K107)&gt;0</formula>
    </cfRule>
  </conditionalFormatting>
  <conditionalFormatting sqref="K109">
    <cfRule type="expression" priority="15" dxfId="0">
      <formula>LEN(K109)&gt;0</formula>
    </cfRule>
  </conditionalFormatting>
  <conditionalFormatting sqref="K114">
    <cfRule type="expression" priority="16" dxfId="0">
      <formula>LEN(K114)&gt;0</formula>
    </cfRule>
  </conditionalFormatting>
  <conditionalFormatting sqref="K117">
    <cfRule type="expression" priority="17" dxfId="0">
      <formula>LEN(K117)&gt;0</formula>
    </cfRule>
  </conditionalFormatting>
  <conditionalFormatting sqref="K118">
    <cfRule type="expression" priority="18" dxfId="0">
      <formula>LEN(K118)&gt;0</formula>
    </cfRule>
  </conditionalFormatting>
  <conditionalFormatting sqref="K120">
    <cfRule type="expression" priority="19" dxfId="0">
      <formula>LEN(K120)&gt;0</formula>
    </cfRule>
  </conditionalFormatting>
  <conditionalFormatting sqref="K133">
    <cfRule type="expression" priority="20" dxfId="0">
      <formula>LEN(K133)&gt;0</formula>
    </cfRule>
  </conditionalFormatting>
  <conditionalFormatting sqref="K134">
    <cfRule type="expression" priority="21" dxfId="0">
      <formula>LEN(K134)&gt;0</formula>
    </cfRule>
  </conditionalFormatting>
  <conditionalFormatting sqref="K135">
    <cfRule type="expression" priority="22" dxfId="0">
      <formula>LEN(K135)&gt;0</formula>
    </cfRule>
  </conditionalFormatting>
  <conditionalFormatting sqref="K136">
    <cfRule type="expression" priority="23" dxfId="0">
      <formula>LEN(K136)&gt;0</formula>
    </cfRule>
  </conditionalFormatting>
  <conditionalFormatting sqref="K137">
    <cfRule type="expression" priority="24" dxfId="0">
      <formula>LEN(K137)&gt;0</formula>
    </cfRule>
  </conditionalFormatting>
  <conditionalFormatting sqref="K138">
    <cfRule type="expression" priority="25" dxfId="0">
      <formula>LEN(K138)&gt;0</formula>
    </cfRule>
  </conditionalFormatting>
  <conditionalFormatting sqref="K139">
    <cfRule type="expression" priority="26" dxfId="0">
      <formula>LEN(K139)&gt;0</formula>
    </cfRule>
  </conditionalFormatting>
  <conditionalFormatting sqref="K140">
    <cfRule type="expression" priority="27" dxfId="0">
      <formula>LEN(K140)&gt;0</formula>
    </cfRule>
  </conditionalFormatting>
  <conditionalFormatting sqref="K141">
    <cfRule type="expression" priority="28" dxfId="0">
      <formula>LEN(K141)&gt;0</formula>
    </cfRule>
  </conditionalFormatting>
  <conditionalFormatting sqref="K142">
    <cfRule type="expression" priority="29" dxfId="0">
      <formula>LEN(K142)&gt;0</formula>
    </cfRule>
  </conditionalFormatting>
  <conditionalFormatting sqref="K143">
    <cfRule type="expression" priority="30" dxfId="0">
      <formula>LEN(K143)&gt;0</formula>
    </cfRule>
  </conditionalFormatting>
  <conditionalFormatting sqref="K144">
    <cfRule type="expression" priority="31" dxfId="0">
      <formula>LEN(K144)&gt;0</formula>
    </cfRule>
  </conditionalFormatting>
  <conditionalFormatting sqref="K145">
    <cfRule type="expression" priority="32" dxfId="0">
      <formula>LEN(K145)&gt;0</formula>
    </cfRule>
  </conditionalFormatting>
  <conditionalFormatting sqref="K147">
    <cfRule type="expression" priority="33" dxfId="0">
      <formula>LEN(K147)&gt;0</formula>
    </cfRule>
  </conditionalFormatting>
  <conditionalFormatting sqref="K148">
    <cfRule type="expression" priority="34" dxfId="0">
      <formula>LEN(K148)&gt;0</formula>
    </cfRule>
  </conditionalFormatting>
  <conditionalFormatting sqref="K149">
    <cfRule type="expression" priority="35" dxfId="0">
      <formula>LEN(K149)&gt;0</formula>
    </cfRule>
  </conditionalFormatting>
  <conditionalFormatting sqref="K150">
    <cfRule type="expression" priority="36" dxfId="0">
      <formula>LEN(K150)&gt;0</formula>
    </cfRule>
  </conditionalFormatting>
  <conditionalFormatting sqref="K151">
    <cfRule type="expression" priority="37" dxfId="0">
      <formula>LEN(K151)&gt;0</formula>
    </cfRule>
  </conditionalFormatting>
  <conditionalFormatting sqref="K152">
    <cfRule type="expression" priority="38" dxfId="0">
      <formula>LEN(K152)&gt;0</formula>
    </cfRule>
  </conditionalFormatting>
  <conditionalFormatting sqref="K153">
    <cfRule type="expression" priority="39" dxfId="0">
      <formula>LEN(K153)&gt;0</formula>
    </cfRule>
  </conditionalFormatting>
  <conditionalFormatting sqref="K154">
    <cfRule type="expression" priority="40" dxfId="0">
      <formula>LEN(K154)&gt;0</formula>
    </cfRule>
  </conditionalFormatting>
  <conditionalFormatting sqref="K155">
    <cfRule type="expression" priority="41" dxfId="0">
      <formula>LEN(K155)&gt;0</formula>
    </cfRule>
  </conditionalFormatting>
  <conditionalFormatting sqref="K156">
    <cfRule type="expression" priority="42" dxfId="0">
      <formula>LEN(K156)&gt;0</formula>
    </cfRule>
  </conditionalFormatting>
  <conditionalFormatting sqref="K157">
    <cfRule type="expression" priority="43" dxfId="0">
      <formula>LEN(K157)&gt;0</formula>
    </cfRule>
  </conditionalFormatting>
  <conditionalFormatting sqref="K158">
    <cfRule type="expression" priority="44" dxfId="0">
      <formula>LEN(K158)&gt;0</formula>
    </cfRule>
  </conditionalFormatting>
  <conditionalFormatting sqref="K159">
    <cfRule type="expression" priority="45" dxfId="0">
      <formula>LEN(K159)&gt;0</formula>
    </cfRule>
  </conditionalFormatting>
  <dataValidations count="158">
    <dataValidation sqref="B7" showDropDown="0" showInputMessage="0" showErrorMessage="1" allowBlank="1" errorTitle="Valor fora da faixa" error="Nível novo: use um número inteiro de 1 a 20." type="whole" errorStyle="warning" operator="between">
      <formula1>1</formula1>
      <formula2>20</formula2>
    </dataValidation>
    <dataValidation sqref="B8" showDropDown="0" showInputMessage="0" showErrorMessage="1" allowBlank="1" errorTitle="Fora da lista" error="O que aconteceu: escolha um valor da lista. A planilha pode não reconhecer outro valor." type="list" errorStyle="warning">
      <formula1>'Dados'!$BU$6:$BU$8</formula1>
    </dataValidation>
    <dataValidation sqref="A82" showDropDown="0" showInputMessage="0" showErrorMessage="1" allowBlank="1" errorTitle="Valor fora da faixa" error="Rolagem nº: use um número inteiro de 1 a 1000000." type="whole" errorStyle="warning" operator="between">
      <formula1>1</formula1>
      <formula2>1000000</formula2>
    </dataValidation>
    <dataValidation sqref="B82" showDropDown="0" showInputMessage="0" showErrorMessage="1" allowBlank="1" errorTitle="Fora da lista" error="Faixa: escolha um valor da lista. A planilha pode não reconhecer outro valor." type="list" errorStyle="warning">
      <formula1>'Dados'!$AP$6:$AP$10</formula1>
    </dataValidation>
    <dataValidation sqref="C82" showDropDown="0" showInputMessage="0" showErrorMessage="1" allowBlank="1" errorTitle="Fora da lista" error="Leitura do encontro: escolha um valor da lista. A planilha pode não reconhecer outro valor." type="list" errorStyle="warning">
      <formula1>'Dados'!$BT$6:$BT$8</formula1>
    </dataValidation>
    <dataValidation sqref="A102" showDropDown="0" showInputMessage="0" showErrorMessage="1" allowBlank="1" errorTitle="Valor fora da faixa" error="Rolagem nº: use um número inteiro de 1 a 1000000." type="whole" errorStyle="warning" operator="between">
      <formula1>1</formula1>
      <formula2>1000000</formula2>
    </dataValidation>
    <dataValidation sqref="B102" showDropDown="0" showInputMessage="0" showErrorMessage="1" allowBlank="1" errorTitle="Fora da lista" error="Faixa: escolha um valor da lista. A planilha pode não reconhecer outro valor." type="list" errorStyle="warning">
      <formula1>'Dados'!$AP$6:$AP$10</formula1>
    </dataValidation>
    <dataValidation sqref="A114" showDropDown="0" showInputMessage="0" showErrorMessage="1" allowBlank="1" errorTitle="Valor fora da faixa" error="Rolagem nº: use um número inteiro de 1 a 1000000." type="whole" errorStyle="warning" operator="between">
      <formula1>1</formula1>
      <formula2>1000000</formula2>
    </dataValidation>
    <dataValidation sqref="A133" showDropDown="0" showInputMessage="0" showErrorMessage="1" allowBlank="1" errorTitle="Valor fora da faixa" error="Sessão: use um número inteiro de 1 a 999." type="whole" errorStyle="warning" operator="between">
      <formula1>1</formula1>
      <formula2>999</formula2>
    </dataValidation>
    <dataValidation sqref="B133" showDropDown="0" showInputMessage="0" showErrorMessage="1" allowBlank="1" errorTitle="Texto longo" error="Item ou Créditos: até 80 caracteres." type="textLength" errorStyle="warning" operator="lessThanOrEqual">
      <formula1>80</formula1>
    </dataValidation>
    <dataValidation sqref="E133" showDropDown="0" showInputMessage="0" showErrorMessage="1" allowBlank="1" errorTitle="Valor fora da faixa" error="Quantidade: use um número inteiro de 0 a 999." type="whole" errorStyle="warning" operator="between">
      <formula1>0</formula1>
      <formula2>999</formula2>
    </dataValidation>
    <dataValidation sqref="F133" showDropDown="0" showInputMessage="0" showErrorMessage="1" allowBlank="1" errorTitle="Valor fora da faixa" error="Créditos: use um número inteiro de -99999 a 99999." type="whole" errorStyle="warning" operator="between">
      <formula1>-99999</formula1>
      <formula2>99999</formula2>
    </dataValidation>
    <dataValidation sqref="G133" showDropDown="0" showInputMessage="0" showErrorMessage="1" allowBlank="1" errorTitle="Texto longo" error="Com quem: até 40 caracteres." type="textLength" errorStyle="warning" operator="lessThanOrEqual">
      <formula1>40</formula1>
    </dataValidation>
    <dataValidation sqref="I133" showDropDown="0" showInputMessage="0" showErrorMessage="1" allowBlank="1" errorTitle="Texto longo" error="Notas: até 200 caracteres." type="textLength" errorStyle="warning" operator="lessThanOrEqual">
      <formula1>200</formula1>
    </dataValidation>
    <dataValidation sqref="A134" showDropDown="0" showInputMessage="0" showErrorMessage="1" allowBlank="1" errorTitle="Valor fora da faixa" error="Sessão: use um número inteiro de 1 a 999." type="whole" errorStyle="warning" operator="between">
      <formula1>1</formula1>
      <formula2>999</formula2>
    </dataValidation>
    <dataValidation sqref="B134" showDropDown="0" showInputMessage="0" showErrorMessage="1" allowBlank="1" errorTitle="Texto longo" error="Item ou Créditos: até 80 caracteres." type="textLength" errorStyle="warning" operator="lessThanOrEqual">
      <formula1>80</formula1>
    </dataValidation>
    <dataValidation sqref="E134" showDropDown="0" showInputMessage="0" showErrorMessage="1" allowBlank="1" errorTitle="Valor fora da faixa" error="Quantidade: use um número inteiro de 0 a 999." type="whole" errorStyle="warning" operator="between">
      <formula1>0</formula1>
      <formula2>999</formula2>
    </dataValidation>
    <dataValidation sqref="F134" showDropDown="0" showInputMessage="0" showErrorMessage="1" allowBlank="1" errorTitle="Valor fora da faixa" error="Créditos: use um número inteiro de -99999 a 99999." type="whole" errorStyle="warning" operator="between">
      <formula1>-99999</formula1>
      <formula2>99999</formula2>
    </dataValidation>
    <dataValidation sqref="G134" showDropDown="0" showInputMessage="0" showErrorMessage="1" allowBlank="1" errorTitle="Texto longo" error="Com quem: até 40 caracteres." type="textLength" errorStyle="warning" operator="lessThanOrEqual">
      <formula1>40</formula1>
    </dataValidation>
    <dataValidation sqref="I134" showDropDown="0" showInputMessage="0" showErrorMessage="1" allowBlank="1" errorTitle="Texto longo" error="Notas: até 200 caracteres." type="textLength" errorStyle="warning" operator="lessThanOrEqual">
      <formula1>200</formula1>
    </dataValidation>
    <dataValidation sqref="A135" showDropDown="0" showInputMessage="0" showErrorMessage="1" allowBlank="1" errorTitle="Valor fora da faixa" error="Sessão: use um número inteiro de 1 a 999." type="whole" errorStyle="warning" operator="between">
      <formula1>1</formula1>
      <formula2>999</formula2>
    </dataValidation>
    <dataValidation sqref="B135" showDropDown="0" showInputMessage="0" showErrorMessage="1" allowBlank="1" errorTitle="Texto longo" error="Item ou Créditos: até 80 caracteres." type="textLength" errorStyle="warning" operator="lessThanOrEqual">
      <formula1>80</formula1>
    </dataValidation>
    <dataValidation sqref="E135" showDropDown="0" showInputMessage="0" showErrorMessage="1" allowBlank="1" errorTitle="Valor fora da faixa" error="Quantidade: use um número inteiro de 0 a 999." type="whole" errorStyle="warning" operator="between">
      <formula1>0</formula1>
      <formula2>999</formula2>
    </dataValidation>
    <dataValidation sqref="F135" showDropDown="0" showInputMessage="0" showErrorMessage="1" allowBlank="1" errorTitle="Valor fora da faixa" error="Créditos: use um número inteiro de -99999 a 99999." type="whole" errorStyle="warning" operator="between">
      <formula1>-99999</formula1>
      <formula2>99999</formula2>
    </dataValidation>
    <dataValidation sqref="G135" showDropDown="0" showInputMessage="0" showErrorMessage="1" allowBlank="1" errorTitle="Texto longo" error="Com quem: até 40 caracteres." type="textLength" errorStyle="warning" operator="lessThanOrEqual">
      <formula1>40</formula1>
    </dataValidation>
    <dataValidation sqref="I135" showDropDown="0" showInputMessage="0" showErrorMessage="1" allowBlank="1" errorTitle="Texto longo" error="Notas: até 200 caracteres." type="textLength" errorStyle="warning" operator="lessThanOrEqual">
      <formula1>200</formula1>
    </dataValidation>
    <dataValidation sqref="A136" showDropDown="0" showInputMessage="0" showErrorMessage="1" allowBlank="1" errorTitle="Valor fora da faixa" error="Sessão: use um número inteiro de 1 a 999." type="whole" errorStyle="warning" operator="between">
      <formula1>1</formula1>
      <formula2>999</formula2>
    </dataValidation>
    <dataValidation sqref="B136" showDropDown="0" showInputMessage="0" showErrorMessage="1" allowBlank="1" errorTitle="Texto longo" error="Item ou Créditos: até 80 caracteres." type="textLength" errorStyle="warning" operator="lessThanOrEqual">
      <formula1>80</formula1>
    </dataValidation>
    <dataValidation sqref="E136" showDropDown="0" showInputMessage="0" showErrorMessage="1" allowBlank="1" errorTitle="Valor fora da faixa" error="Quantidade: use um número inteiro de 0 a 999." type="whole" errorStyle="warning" operator="between">
      <formula1>0</formula1>
      <formula2>999</formula2>
    </dataValidation>
    <dataValidation sqref="F136" showDropDown="0" showInputMessage="0" showErrorMessage="1" allowBlank="1" errorTitle="Valor fora da faixa" error="Créditos: use um número inteiro de -99999 a 99999." type="whole" errorStyle="warning" operator="between">
      <formula1>-99999</formula1>
      <formula2>99999</formula2>
    </dataValidation>
    <dataValidation sqref="G136" showDropDown="0" showInputMessage="0" showErrorMessage="1" allowBlank="1" errorTitle="Texto longo" error="Com quem: até 40 caracteres." type="textLength" errorStyle="warning" operator="lessThanOrEqual">
      <formula1>40</formula1>
    </dataValidation>
    <dataValidation sqref="I136" showDropDown="0" showInputMessage="0" showErrorMessage="1" allowBlank="1" errorTitle="Texto longo" error="Notas: até 200 caracteres." type="textLength" errorStyle="warning" operator="lessThanOrEqual">
      <formula1>200</formula1>
    </dataValidation>
    <dataValidation sqref="A137" showDropDown="0" showInputMessage="0" showErrorMessage="1" allowBlank="1" errorTitle="Valor fora da faixa" error="Sessão: use um número inteiro de 1 a 999." type="whole" errorStyle="warning" operator="between">
      <formula1>1</formula1>
      <formula2>999</formula2>
    </dataValidation>
    <dataValidation sqref="B137" showDropDown="0" showInputMessage="0" showErrorMessage="1" allowBlank="1" errorTitle="Texto longo" error="Item ou Créditos: até 80 caracteres." type="textLength" errorStyle="warning" operator="lessThanOrEqual">
      <formula1>80</formula1>
    </dataValidation>
    <dataValidation sqref="E137" showDropDown="0" showInputMessage="0" showErrorMessage="1" allowBlank="1" errorTitle="Valor fora da faixa" error="Quantidade: use um número inteiro de 0 a 999." type="whole" errorStyle="warning" operator="between">
      <formula1>0</formula1>
      <formula2>999</formula2>
    </dataValidation>
    <dataValidation sqref="F137" showDropDown="0" showInputMessage="0" showErrorMessage="1" allowBlank="1" errorTitle="Valor fora da faixa" error="Créditos: use um número inteiro de -99999 a 99999." type="whole" errorStyle="warning" operator="between">
      <formula1>-99999</formula1>
      <formula2>99999</formula2>
    </dataValidation>
    <dataValidation sqref="G137" showDropDown="0" showInputMessage="0" showErrorMessage="1" allowBlank="1" errorTitle="Texto longo" error="Com quem: até 40 caracteres." type="textLength" errorStyle="warning" operator="lessThanOrEqual">
      <formula1>40</formula1>
    </dataValidation>
    <dataValidation sqref="I137" showDropDown="0" showInputMessage="0" showErrorMessage="1" allowBlank="1" errorTitle="Texto longo" error="Notas: até 200 caracteres." type="textLength" errorStyle="warning" operator="lessThanOrEqual">
      <formula1>200</formula1>
    </dataValidation>
    <dataValidation sqref="A138" showDropDown="0" showInputMessage="0" showErrorMessage="1" allowBlank="1" errorTitle="Valor fora da faixa" error="Sessão: use um número inteiro de 1 a 999." type="whole" errorStyle="warning" operator="between">
      <formula1>1</formula1>
      <formula2>999</formula2>
    </dataValidation>
    <dataValidation sqref="B138" showDropDown="0" showInputMessage="0" showErrorMessage="1" allowBlank="1" errorTitle="Texto longo" error="Item ou Créditos: até 80 caracteres." type="textLength" errorStyle="warning" operator="lessThanOrEqual">
      <formula1>80</formula1>
    </dataValidation>
    <dataValidation sqref="E138" showDropDown="0" showInputMessage="0" showErrorMessage="1" allowBlank="1" errorTitle="Valor fora da faixa" error="Quantidade: use um número inteiro de 0 a 999." type="whole" errorStyle="warning" operator="between">
      <formula1>0</formula1>
      <formula2>999</formula2>
    </dataValidation>
    <dataValidation sqref="F138" showDropDown="0" showInputMessage="0" showErrorMessage="1" allowBlank="1" errorTitle="Valor fora da faixa" error="Créditos: use um número inteiro de -99999 a 99999." type="whole" errorStyle="warning" operator="between">
      <formula1>-99999</formula1>
      <formula2>99999</formula2>
    </dataValidation>
    <dataValidation sqref="G138" showDropDown="0" showInputMessage="0" showErrorMessage="1" allowBlank="1" errorTitle="Texto longo" error="Com quem: até 40 caracteres." type="textLength" errorStyle="warning" operator="lessThanOrEqual">
      <formula1>40</formula1>
    </dataValidation>
    <dataValidation sqref="I138" showDropDown="0" showInputMessage="0" showErrorMessage="1" allowBlank="1" errorTitle="Texto longo" error="Notas: até 200 caracteres." type="textLength" errorStyle="warning" operator="lessThanOrEqual">
      <formula1>200</formula1>
    </dataValidation>
    <dataValidation sqref="A139" showDropDown="0" showInputMessage="0" showErrorMessage="1" allowBlank="1" errorTitle="Valor fora da faixa" error="Sessão: use um número inteiro de 1 a 999." type="whole" errorStyle="warning" operator="between">
      <formula1>1</formula1>
      <formula2>999</formula2>
    </dataValidation>
    <dataValidation sqref="B139" showDropDown="0" showInputMessage="0" showErrorMessage="1" allowBlank="1" errorTitle="Texto longo" error="Item ou Créditos: até 80 caracteres." type="textLength" errorStyle="warning" operator="lessThanOrEqual">
      <formula1>80</formula1>
    </dataValidation>
    <dataValidation sqref="E139" showDropDown="0" showInputMessage="0" showErrorMessage="1" allowBlank="1" errorTitle="Valor fora da faixa" error="Quantidade: use um número inteiro de 0 a 999." type="whole" errorStyle="warning" operator="between">
      <formula1>0</formula1>
      <formula2>999</formula2>
    </dataValidation>
    <dataValidation sqref="F139" showDropDown="0" showInputMessage="0" showErrorMessage="1" allowBlank="1" errorTitle="Valor fora da faixa" error="Créditos: use um número inteiro de -99999 a 99999." type="whole" errorStyle="warning" operator="between">
      <formula1>-99999</formula1>
      <formula2>99999</formula2>
    </dataValidation>
    <dataValidation sqref="G139" showDropDown="0" showInputMessage="0" showErrorMessage="1" allowBlank="1" errorTitle="Texto longo" error="Com quem: até 40 caracteres." type="textLength" errorStyle="warning" operator="lessThanOrEqual">
      <formula1>40</formula1>
    </dataValidation>
    <dataValidation sqref="I139" showDropDown="0" showInputMessage="0" showErrorMessage="1" allowBlank="1" errorTitle="Texto longo" error="Notas: até 200 caracteres." type="textLength" errorStyle="warning" operator="lessThanOrEqual">
      <formula1>200</formula1>
    </dataValidation>
    <dataValidation sqref="A140" showDropDown="0" showInputMessage="0" showErrorMessage="1" allowBlank="1" errorTitle="Valor fora da faixa" error="Sessão: use um número inteiro de 1 a 999." type="whole" errorStyle="warning" operator="between">
      <formula1>1</formula1>
      <formula2>999</formula2>
    </dataValidation>
    <dataValidation sqref="B140" showDropDown="0" showInputMessage="0" showErrorMessage="1" allowBlank="1" errorTitle="Texto longo" error="Item ou Créditos: até 80 caracteres." type="textLength" errorStyle="warning" operator="lessThanOrEqual">
      <formula1>80</formula1>
    </dataValidation>
    <dataValidation sqref="E140" showDropDown="0" showInputMessage="0" showErrorMessage="1" allowBlank="1" errorTitle="Valor fora da faixa" error="Quantidade: use um número inteiro de 0 a 999." type="whole" errorStyle="warning" operator="between">
      <formula1>0</formula1>
      <formula2>999</formula2>
    </dataValidation>
    <dataValidation sqref="F140" showDropDown="0" showInputMessage="0" showErrorMessage="1" allowBlank="1" errorTitle="Valor fora da faixa" error="Créditos: use um número inteiro de -99999 a 99999." type="whole" errorStyle="warning" operator="between">
      <formula1>-99999</formula1>
      <formula2>99999</formula2>
    </dataValidation>
    <dataValidation sqref="G140" showDropDown="0" showInputMessage="0" showErrorMessage="1" allowBlank="1" errorTitle="Texto longo" error="Com quem: até 40 caracteres." type="textLength" errorStyle="warning" operator="lessThanOrEqual">
      <formula1>40</formula1>
    </dataValidation>
    <dataValidation sqref="I140" showDropDown="0" showInputMessage="0" showErrorMessage="1" allowBlank="1" errorTitle="Texto longo" error="Notas: até 200 caracteres." type="textLength" errorStyle="warning" operator="lessThanOrEqual">
      <formula1>200</formula1>
    </dataValidation>
    <dataValidation sqref="A141" showDropDown="0" showInputMessage="0" showErrorMessage="1" allowBlank="1" errorTitle="Valor fora da faixa" error="Sessão: use um número inteiro de 1 a 999." type="whole" errorStyle="warning" operator="between">
      <formula1>1</formula1>
      <formula2>999</formula2>
    </dataValidation>
    <dataValidation sqref="B141" showDropDown="0" showInputMessage="0" showErrorMessage="1" allowBlank="1" errorTitle="Texto longo" error="Item ou Créditos: até 80 caracteres." type="textLength" errorStyle="warning" operator="lessThanOrEqual">
      <formula1>80</formula1>
    </dataValidation>
    <dataValidation sqref="E141" showDropDown="0" showInputMessage="0" showErrorMessage="1" allowBlank="1" errorTitle="Valor fora da faixa" error="Quantidade: use um número inteiro de 0 a 999." type="whole" errorStyle="warning" operator="between">
      <formula1>0</formula1>
      <formula2>999</formula2>
    </dataValidation>
    <dataValidation sqref="F141" showDropDown="0" showInputMessage="0" showErrorMessage="1" allowBlank="1" errorTitle="Valor fora da faixa" error="Créditos: use um número inteiro de -99999 a 99999." type="whole" errorStyle="warning" operator="between">
      <formula1>-99999</formula1>
      <formula2>99999</formula2>
    </dataValidation>
    <dataValidation sqref="G141" showDropDown="0" showInputMessage="0" showErrorMessage="1" allowBlank="1" errorTitle="Texto longo" error="Com quem: até 40 caracteres." type="textLength" errorStyle="warning" operator="lessThanOrEqual">
      <formula1>40</formula1>
    </dataValidation>
    <dataValidation sqref="I141" showDropDown="0" showInputMessage="0" showErrorMessage="1" allowBlank="1" errorTitle="Texto longo" error="Notas: até 200 caracteres." type="textLength" errorStyle="warning" operator="lessThanOrEqual">
      <formula1>200</formula1>
    </dataValidation>
    <dataValidation sqref="A142" showDropDown="0" showInputMessage="0" showErrorMessage="1" allowBlank="1" errorTitle="Valor fora da faixa" error="Sessão: use um número inteiro de 1 a 999." type="whole" errorStyle="warning" operator="between">
      <formula1>1</formula1>
      <formula2>999</formula2>
    </dataValidation>
    <dataValidation sqref="B142" showDropDown="0" showInputMessage="0" showErrorMessage="1" allowBlank="1" errorTitle="Texto longo" error="Item ou Créditos: até 80 caracteres." type="textLength" errorStyle="warning" operator="lessThanOrEqual">
      <formula1>80</formula1>
    </dataValidation>
    <dataValidation sqref="E142" showDropDown="0" showInputMessage="0" showErrorMessage="1" allowBlank="1" errorTitle="Valor fora da faixa" error="Quantidade: use um número inteiro de 0 a 999." type="whole" errorStyle="warning" operator="between">
      <formula1>0</formula1>
      <formula2>999</formula2>
    </dataValidation>
    <dataValidation sqref="F142" showDropDown="0" showInputMessage="0" showErrorMessage="1" allowBlank="1" errorTitle="Valor fora da faixa" error="Créditos: use um número inteiro de -99999 a 99999." type="whole" errorStyle="warning" operator="between">
      <formula1>-99999</formula1>
      <formula2>99999</formula2>
    </dataValidation>
    <dataValidation sqref="G142" showDropDown="0" showInputMessage="0" showErrorMessage="1" allowBlank="1" errorTitle="Texto longo" error="Com quem: até 40 caracteres." type="textLength" errorStyle="warning" operator="lessThanOrEqual">
      <formula1>40</formula1>
    </dataValidation>
    <dataValidation sqref="I142" showDropDown="0" showInputMessage="0" showErrorMessage="1" allowBlank="1" errorTitle="Texto longo" error="Notas: até 200 caracteres." type="textLength" errorStyle="warning" operator="lessThanOrEqual">
      <formula1>200</formula1>
    </dataValidation>
    <dataValidation sqref="A143" showDropDown="0" showInputMessage="0" showErrorMessage="1" allowBlank="1" errorTitle="Valor fora da faixa" error="Sessão: use um número inteiro de 1 a 999." type="whole" errorStyle="warning" operator="between">
      <formula1>1</formula1>
      <formula2>999</formula2>
    </dataValidation>
    <dataValidation sqref="B143" showDropDown="0" showInputMessage="0" showErrorMessage="1" allowBlank="1" errorTitle="Texto longo" error="Item ou Créditos: até 80 caracteres." type="textLength" errorStyle="warning" operator="lessThanOrEqual">
      <formula1>80</formula1>
    </dataValidation>
    <dataValidation sqref="E143" showDropDown="0" showInputMessage="0" showErrorMessage="1" allowBlank="1" errorTitle="Valor fora da faixa" error="Quantidade: use um número inteiro de 0 a 999." type="whole" errorStyle="warning" operator="between">
      <formula1>0</formula1>
      <formula2>999</formula2>
    </dataValidation>
    <dataValidation sqref="F143" showDropDown="0" showInputMessage="0" showErrorMessage="1" allowBlank="1" errorTitle="Valor fora da faixa" error="Créditos: use um número inteiro de -99999 a 99999." type="whole" errorStyle="warning" operator="between">
      <formula1>-99999</formula1>
      <formula2>99999</formula2>
    </dataValidation>
    <dataValidation sqref="G143" showDropDown="0" showInputMessage="0" showErrorMessage="1" allowBlank="1" errorTitle="Texto longo" error="Com quem: até 40 caracteres." type="textLength" errorStyle="warning" operator="lessThanOrEqual">
      <formula1>40</formula1>
    </dataValidation>
    <dataValidation sqref="I143" showDropDown="0" showInputMessage="0" showErrorMessage="1" allowBlank="1" errorTitle="Texto longo" error="Notas: até 200 caracteres." type="textLength" errorStyle="warning" operator="lessThanOrEqual">
      <formula1>200</formula1>
    </dataValidation>
    <dataValidation sqref="A144" showDropDown="0" showInputMessage="0" showErrorMessage="1" allowBlank="1" errorTitle="Valor fora da faixa" error="Sessão: use um número inteiro de 1 a 999." type="whole" errorStyle="warning" operator="between">
      <formula1>1</formula1>
      <formula2>999</formula2>
    </dataValidation>
    <dataValidation sqref="B144" showDropDown="0" showInputMessage="0" showErrorMessage="1" allowBlank="1" errorTitle="Texto longo" error="Item ou Créditos: até 80 caracteres." type="textLength" errorStyle="warning" operator="lessThanOrEqual">
      <formula1>80</formula1>
    </dataValidation>
    <dataValidation sqref="E144" showDropDown="0" showInputMessage="0" showErrorMessage="1" allowBlank="1" errorTitle="Valor fora da faixa" error="Quantidade: use um número inteiro de 0 a 999." type="whole" errorStyle="warning" operator="between">
      <formula1>0</formula1>
      <formula2>999</formula2>
    </dataValidation>
    <dataValidation sqref="F144" showDropDown="0" showInputMessage="0" showErrorMessage="1" allowBlank="1" errorTitle="Valor fora da faixa" error="Créditos: use um número inteiro de -99999 a 99999." type="whole" errorStyle="warning" operator="between">
      <formula1>-99999</formula1>
      <formula2>99999</formula2>
    </dataValidation>
    <dataValidation sqref="G144" showDropDown="0" showInputMessage="0" showErrorMessage="1" allowBlank="1" errorTitle="Texto longo" error="Com quem: até 40 caracteres." type="textLength" errorStyle="warning" operator="lessThanOrEqual">
      <formula1>40</formula1>
    </dataValidation>
    <dataValidation sqref="I144" showDropDown="0" showInputMessage="0" showErrorMessage="1" allowBlank="1" errorTitle="Texto longo" error="Notas: até 200 caracteres." type="textLength" errorStyle="warning" operator="lessThanOrEqual">
      <formula1>200</formula1>
    </dataValidation>
    <dataValidation sqref="A145" showDropDown="0" showInputMessage="0" showErrorMessage="1" allowBlank="1" errorTitle="Valor fora da faixa" error="Sessão: use um número inteiro de 1 a 999." type="whole" errorStyle="warning" operator="between">
      <formula1>1</formula1>
      <formula2>999</formula2>
    </dataValidation>
    <dataValidation sqref="B145" showDropDown="0" showInputMessage="0" showErrorMessage="1" allowBlank="1" errorTitle="Texto longo" error="Item ou Créditos: até 80 caracteres." type="textLength" errorStyle="warning" operator="lessThanOrEqual">
      <formula1>80</formula1>
    </dataValidation>
    <dataValidation sqref="E145" showDropDown="0" showInputMessage="0" showErrorMessage="1" allowBlank="1" errorTitle="Valor fora da faixa" error="Quantidade: use um número inteiro de 0 a 999." type="whole" errorStyle="warning" operator="between">
      <formula1>0</formula1>
      <formula2>999</formula2>
    </dataValidation>
    <dataValidation sqref="F145" showDropDown="0" showInputMessage="0" showErrorMessage="1" allowBlank="1" errorTitle="Valor fora da faixa" error="Créditos: use um número inteiro de -99999 a 99999." type="whole" errorStyle="warning" operator="between">
      <formula1>-99999</formula1>
      <formula2>99999</formula2>
    </dataValidation>
    <dataValidation sqref="G145" showDropDown="0" showInputMessage="0" showErrorMessage="1" allowBlank="1" errorTitle="Texto longo" error="Com quem: até 40 caracteres." type="textLength" errorStyle="warning" operator="lessThanOrEqual">
      <formula1>40</formula1>
    </dataValidation>
    <dataValidation sqref="I145" showDropDown="0" showInputMessage="0" showErrorMessage="1" allowBlank="1" errorTitle="Texto longo" error="Notas: até 200 caracteres." type="textLength" errorStyle="warning" operator="lessThanOrEqual">
      <formula1>200</formula1>
    </dataValidation>
    <dataValidation sqref="A147" showDropDown="0" showInputMessage="0" showErrorMessage="1" allowBlank="1" errorTitle="Valor fora da faixa" error="Sessão: use um número inteiro de 1 a 999." type="whole" errorStyle="warning" operator="between">
      <formula1>1</formula1>
      <formula2>999</formula2>
    </dataValidation>
    <dataValidation sqref="B147" showDropDown="0" showInputMessage="0" showErrorMessage="1" allowBlank="1" errorTitle="Texto longo" error="Item ou Créditos: até 80 caracteres." type="textLength" errorStyle="warning" operator="lessThanOrEqual">
      <formula1>80</formula1>
    </dataValidation>
    <dataValidation sqref="E147" showDropDown="0" showInputMessage="0" showErrorMessage="1" allowBlank="1" errorTitle="Valor fora da faixa" error="Quantidade: use um número inteiro de 0 a 999." type="whole" errorStyle="warning" operator="between">
      <formula1>0</formula1>
      <formula2>999</formula2>
    </dataValidation>
    <dataValidation sqref="F147" showDropDown="0" showInputMessage="0" showErrorMessage="1" allowBlank="1" errorTitle="Valor fora da faixa" error="Créditos: use um número inteiro de -99999 a 99999." type="whole" errorStyle="warning" operator="between">
      <formula1>-99999</formula1>
      <formula2>99999</formula2>
    </dataValidation>
    <dataValidation sqref="G147" showDropDown="0" showInputMessage="0" showErrorMessage="1" allowBlank="1" errorTitle="Texto longo" error="Com quem: até 40 caracteres." type="textLength" errorStyle="warning" operator="lessThanOrEqual">
      <formula1>40</formula1>
    </dataValidation>
    <dataValidation sqref="I147" showDropDown="0" showInputMessage="0" showErrorMessage="1" allowBlank="1" errorTitle="Texto longo" error="Notas: até 200 caracteres." type="textLength" errorStyle="warning" operator="lessThanOrEqual">
      <formula1>200</formula1>
    </dataValidation>
    <dataValidation sqref="A148" showDropDown="0" showInputMessage="0" showErrorMessage="1" allowBlank="1" errorTitle="Valor fora da faixa" error="Sessão: use um número inteiro de 1 a 999." type="whole" errorStyle="warning" operator="between">
      <formula1>1</formula1>
      <formula2>999</formula2>
    </dataValidation>
    <dataValidation sqref="B148" showDropDown="0" showInputMessage="0" showErrorMessage="1" allowBlank="1" errorTitle="Texto longo" error="Item ou Créditos: até 80 caracteres." type="textLength" errorStyle="warning" operator="lessThanOrEqual">
      <formula1>80</formula1>
    </dataValidation>
    <dataValidation sqref="E148" showDropDown="0" showInputMessage="0" showErrorMessage="1" allowBlank="1" errorTitle="Valor fora da faixa" error="Quantidade: use um número inteiro de 0 a 999." type="whole" errorStyle="warning" operator="between">
      <formula1>0</formula1>
      <formula2>999</formula2>
    </dataValidation>
    <dataValidation sqref="F148" showDropDown="0" showInputMessage="0" showErrorMessage="1" allowBlank="1" errorTitle="Valor fora da faixa" error="Créditos: use um número inteiro de -99999 a 99999." type="whole" errorStyle="warning" operator="between">
      <formula1>-99999</formula1>
      <formula2>99999</formula2>
    </dataValidation>
    <dataValidation sqref="G148" showDropDown="0" showInputMessage="0" showErrorMessage="1" allowBlank="1" errorTitle="Texto longo" error="Com quem: até 40 caracteres." type="textLength" errorStyle="warning" operator="lessThanOrEqual">
      <formula1>40</formula1>
    </dataValidation>
    <dataValidation sqref="I148" showDropDown="0" showInputMessage="0" showErrorMessage="1" allowBlank="1" errorTitle="Texto longo" error="Notas: até 200 caracteres." type="textLength" errorStyle="warning" operator="lessThanOrEqual">
      <formula1>200</formula1>
    </dataValidation>
    <dataValidation sqref="A149" showDropDown="0" showInputMessage="0" showErrorMessage="1" allowBlank="1" errorTitle="Valor fora da faixa" error="Sessão: use um número inteiro de 1 a 999." type="whole" errorStyle="warning" operator="between">
      <formula1>1</formula1>
      <formula2>999</formula2>
    </dataValidation>
    <dataValidation sqref="B149" showDropDown="0" showInputMessage="0" showErrorMessage="1" allowBlank="1" errorTitle="Texto longo" error="Item ou Créditos: até 80 caracteres." type="textLength" errorStyle="warning" operator="lessThanOrEqual">
      <formula1>80</formula1>
    </dataValidation>
    <dataValidation sqref="E149" showDropDown="0" showInputMessage="0" showErrorMessage="1" allowBlank="1" errorTitle="Valor fora da faixa" error="Quantidade: use um número inteiro de 0 a 999." type="whole" errorStyle="warning" operator="between">
      <formula1>0</formula1>
      <formula2>999</formula2>
    </dataValidation>
    <dataValidation sqref="F149" showDropDown="0" showInputMessage="0" showErrorMessage="1" allowBlank="1" errorTitle="Valor fora da faixa" error="Créditos: use um número inteiro de -99999 a 99999." type="whole" errorStyle="warning" operator="between">
      <formula1>-99999</formula1>
      <formula2>99999</formula2>
    </dataValidation>
    <dataValidation sqref="G149" showDropDown="0" showInputMessage="0" showErrorMessage="1" allowBlank="1" errorTitle="Texto longo" error="Com quem: até 40 caracteres." type="textLength" errorStyle="warning" operator="lessThanOrEqual">
      <formula1>40</formula1>
    </dataValidation>
    <dataValidation sqref="I149" showDropDown="0" showInputMessage="0" showErrorMessage="1" allowBlank="1" errorTitle="Texto longo" error="Notas: até 200 caracteres." type="textLength" errorStyle="warning" operator="lessThanOrEqual">
      <formula1>200</formula1>
    </dataValidation>
    <dataValidation sqref="A150" showDropDown="0" showInputMessage="0" showErrorMessage="1" allowBlank="1" errorTitle="Valor fora da faixa" error="Sessão: use um número inteiro de 1 a 999." type="whole" errorStyle="warning" operator="between">
      <formula1>1</formula1>
      <formula2>999</formula2>
    </dataValidation>
    <dataValidation sqref="B150" showDropDown="0" showInputMessage="0" showErrorMessage="1" allowBlank="1" errorTitle="Texto longo" error="Item ou Créditos: até 80 caracteres." type="textLength" errorStyle="warning" operator="lessThanOrEqual">
      <formula1>80</formula1>
    </dataValidation>
    <dataValidation sqref="E150" showDropDown="0" showInputMessage="0" showErrorMessage="1" allowBlank="1" errorTitle="Valor fora da faixa" error="Quantidade: use um número inteiro de 0 a 999." type="whole" errorStyle="warning" operator="between">
      <formula1>0</formula1>
      <formula2>999</formula2>
    </dataValidation>
    <dataValidation sqref="F150" showDropDown="0" showInputMessage="0" showErrorMessage="1" allowBlank="1" errorTitle="Valor fora da faixa" error="Créditos: use um número inteiro de -99999 a 99999." type="whole" errorStyle="warning" operator="between">
      <formula1>-99999</formula1>
      <formula2>99999</formula2>
    </dataValidation>
    <dataValidation sqref="G150" showDropDown="0" showInputMessage="0" showErrorMessage="1" allowBlank="1" errorTitle="Texto longo" error="Com quem: até 40 caracteres." type="textLength" errorStyle="warning" operator="lessThanOrEqual">
      <formula1>40</formula1>
    </dataValidation>
    <dataValidation sqref="I150" showDropDown="0" showInputMessage="0" showErrorMessage="1" allowBlank="1" errorTitle="Texto longo" error="Notas: até 200 caracteres." type="textLength" errorStyle="warning" operator="lessThanOrEqual">
      <formula1>200</formula1>
    </dataValidation>
    <dataValidation sqref="A151" showDropDown="0" showInputMessage="0" showErrorMessage="1" allowBlank="1" errorTitle="Valor fora da faixa" error="Sessão: use um número inteiro de 1 a 999." type="whole" errorStyle="warning" operator="between">
      <formula1>1</formula1>
      <formula2>999</formula2>
    </dataValidation>
    <dataValidation sqref="B151" showDropDown="0" showInputMessage="0" showErrorMessage="1" allowBlank="1" errorTitle="Texto longo" error="Item ou Créditos: até 80 caracteres." type="textLength" errorStyle="warning" operator="lessThanOrEqual">
      <formula1>80</formula1>
    </dataValidation>
    <dataValidation sqref="E151" showDropDown="0" showInputMessage="0" showErrorMessage="1" allowBlank="1" errorTitle="Valor fora da faixa" error="Quantidade: use um número inteiro de 0 a 999." type="whole" errorStyle="warning" operator="between">
      <formula1>0</formula1>
      <formula2>999</formula2>
    </dataValidation>
    <dataValidation sqref="F151" showDropDown="0" showInputMessage="0" showErrorMessage="1" allowBlank="1" errorTitle="Valor fora da faixa" error="Créditos: use um número inteiro de -99999 a 99999." type="whole" errorStyle="warning" operator="between">
      <formula1>-99999</formula1>
      <formula2>99999</formula2>
    </dataValidation>
    <dataValidation sqref="G151" showDropDown="0" showInputMessage="0" showErrorMessage="1" allowBlank="1" errorTitle="Texto longo" error="Com quem: até 40 caracteres." type="textLength" errorStyle="warning" operator="lessThanOrEqual">
      <formula1>40</formula1>
    </dataValidation>
    <dataValidation sqref="I151" showDropDown="0" showInputMessage="0" showErrorMessage="1" allowBlank="1" errorTitle="Texto longo" error="Notas: até 200 caracteres." type="textLength" errorStyle="warning" operator="lessThanOrEqual">
      <formula1>200</formula1>
    </dataValidation>
    <dataValidation sqref="A152" showDropDown="0" showInputMessage="0" showErrorMessage="1" allowBlank="1" errorTitle="Valor fora da faixa" error="Sessão: use um número inteiro de 1 a 999." type="whole" errorStyle="warning" operator="between">
      <formula1>1</formula1>
      <formula2>999</formula2>
    </dataValidation>
    <dataValidation sqref="B152" showDropDown="0" showInputMessage="0" showErrorMessage="1" allowBlank="1" errorTitle="Texto longo" error="Item ou Créditos: até 80 caracteres." type="textLength" errorStyle="warning" operator="lessThanOrEqual">
      <formula1>80</formula1>
    </dataValidation>
    <dataValidation sqref="E152" showDropDown="0" showInputMessage="0" showErrorMessage="1" allowBlank="1" errorTitle="Valor fora da faixa" error="Quantidade: use um número inteiro de 0 a 999." type="whole" errorStyle="warning" operator="between">
      <formula1>0</formula1>
      <formula2>999</formula2>
    </dataValidation>
    <dataValidation sqref="F152" showDropDown="0" showInputMessage="0" showErrorMessage="1" allowBlank="1" errorTitle="Valor fora da faixa" error="Créditos: use um número inteiro de -99999 a 99999." type="whole" errorStyle="warning" operator="between">
      <formula1>-99999</formula1>
      <formula2>99999</formula2>
    </dataValidation>
    <dataValidation sqref="G152" showDropDown="0" showInputMessage="0" showErrorMessage="1" allowBlank="1" errorTitle="Texto longo" error="Com quem: até 40 caracteres." type="textLength" errorStyle="warning" operator="lessThanOrEqual">
      <formula1>40</formula1>
    </dataValidation>
    <dataValidation sqref="I152" showDropDown="0" showInputMessage="0" showErrorMessage="1" allowBlank="1" errorTitle="Texto longo" error="Notas: até 200 caracteres." type="textLength" errorStyle="warning" operator="lessThanOrEqual">
      <formula1>200</formula1>
    </dataValidation>
    <dataValidation sqref="A153" showDropDown="0" showInputMessage="0" showErrorMessage="1" allowBlank="1" errorTitle="Valor fora da faixa" error="Sessão: use um número inteiro de 1 a 999." type="whole" errorStyle="warning" operator="between">
      <formula1>1</formula1>
      <formula2>999</formula2>
    </dataValidation>
    <dataValidation sqref="B153" showDropDown="0" showInputMessage="0" showErrorMessage="1" allowBlank="1" errorTitle="Texto longo" error="Item ou Créditos: até 80 caracteres." type="textLength" errorStyle="warning" operator="lessThanOrEqual">
      <formula1>80</formula1>
    </dataValidation>
    <dataValidation sqref="E153" showDropDown="0" showInputMessage="0" showErrorMessage="1" allowBlank="1" errorTitle="Valor fora da faixa" error="Quantidade: use um número inteiro de 0 a 999." type="whole" errorStyle="warning" operator="between">
      <formula1>0</formula1>
      <formula2>999</formula2>
    </dataValidation>
    <dataValidation sqref="F153" showDropDown="0" showInputMessage="0" showErrorMessage="1" allowBlank="1" errorTitle="Valor fora da faixa" error="Créditos: use um número inteiro de -99999 a 99999." type="whole" errorStyle="warning" operator="between">
      <formula1>-99999</formula1>
      <formula2>99999</formula2>
    </dataValidation>
    <dataValidation sqref="G153" showDropDown="0" showInputMessage="0" showErrorMessage="1" allowBlank="1" errorTitle="Texto longo" error="Com quem: até 40 caracteres." type="textLength" errorStyle="warning" operator="lessThanOrEqual">
      <formula1>40</formula1>
    </dataValidation>
    <dataValidation sqref="I153" showDropDown="0" showInputMessage="0" showErrorMessage="1" allowBlank="1" errorTitle="Texto longo" error="Notas: até 200 caracteres." type="textLength" errorStyle="warning" operator="lessThanOrEqual">
      <formula1>200</formula1>
    </dataValidation>
    <dataValidation sqref="A154" showDropDown="0" showInputMessage="0" showErrorMessage="1" allowBlank="1" errorTitle="Valor fora da faixa" error="Sessão: use um número inteiro de 1 a 999." type="whole" errorStyle="warning" operator="between">
      <formula1>1</formula1>
      <formula2>999</formula2>
    </dataValidation>
    <dataValidation sqref="B154" showDropDown="0" showInputMessage="0" showErrorMessage="1" allowBlank="1" errorTitle="Texto longo" error="Item ou Créditos: até 80 caracteres." type="textLength" errorStyle="warning" operator="lessThanOrEqual">
      <formula1>80</formula1>
    </dataValidation>
    <dataValidation sqref="E154" showDropDown="0" showInputMessage="0" showErrorMessage="1" allowBlank="1" errorTitle="Valor fora da faixa" error="Quantidade: use um número inteiro de 0 a 999." type="whole" errorStyle="warning" operator="between">
      <formula1>0</formula1>
      <formula2>999</formula2>
    </dataValidation>
    <dataValidation sqref="F154" showDropDown="0" showInputMessage="0" showErrorMessage="1" allowBlank="1" errorTitle="Valor fora da faixa" error="Créditos: use um número inteiro de -99999 a 99999." type="whole" errorStyle="warning" operator="between">
      <formula1>-99999</formula1>
      <formula2>99999</formula2>
    </dataValidation>
    <dataValidation sqref="G154" showDropDown="0" showInputMessage="0" showErrorMessage="1" allowBlank="1" errorTitle="Texto longo" error="Com quem: até 40 caracteres." type="textLength" errorStyle="warning" operator="lessThanOrEqual">
      <formula1>40</formula1>
    </dataValidation>
    <dataValidation sqref="I154" showDropDown="0" showInputMessage="0" showErrorMessage="1" allowBlank="1" errorTitle="Texto longo" error="Notas: até 200 caracteres." type="textLength" errorStyle="warning" operator="lessThanOrEqual">
      <formula1>200</formula1>
    </dataValidation>
    <dataValidation sqref="A155" showDropDown="0" showInputMessage="0" showErrorMessage="1" allowBlank="1" errorTitle="Valor fora da faixa" error="Sessão: use um número inteiro de 1 a 999." type="whole" errorStyle="warning" operator="between">
      <formula1>1</formula1>
      <formula2>999</formula2>
    </dataValidation>
    <dataValidation sqref="B155" showDropDown="0" showInputMessage="0" showErrorMessage="1" allowBlank="1" errorTitle="Texto longo" error="Item ou Créditos: até 80 caracteres." type="textLength" errorStyle="warning" operator="lessThanOrEqual">
      <formula1>80</formula1>
    </dataValidation>
    <dataValidation sqref="E155" showDropDown="0" showInputMessage="0" showErrorMessage="1" allowBlank="1" errorTitle="Valor fora da faixa" error="Quantidade: use um número inteiro de 0 a 999." type="whole" errorStyle="warning" operator="between">
      <formula1>0</formula1>
      <formula2>999</formula2>
    </dataValidation>
    <dataValidation sqref="F155" showDropDown="0" showInputMessage="0" showErrorMessage="1" allowBlank="1" errorTitle="Valor fora da faixa" error="Créditos: use um número inteiro de -99999 a 99999." type="whole" errorStyle="warning" operator="between">
      <formula1>-99999</formula1>
      <formula2>99999</formula2>
    </dataValidation>
    <dataValidation sqref="G155" showDropDown="0" showInputMessage="0" showErrorMessage="1" allowBlank="1" errorTitle="Texto longo" error="Com quem: até 40 caracteres." type="textLength" errorStyle="warning" operator="lessThanOrEqual">
      <formula1>40</formula1>
    </dataValidation>
    <dataValidation sqref="I155" showDropDown="0" showInputMessage="0" showErrorMessage="1" allowBlank="1" errorTitle="Texto longo" error="Notas: até 200 caracteres." type="textLength" errorStyle="warning" operator="lessThanOrEqual">
      <formula1>200</formula1>
    </dataValidation>
    <dataValidation sqref="A156" showDropDown="0" showInputMessage="0" showErrorMessage="1" allowBlank="1" errorTitle="Valor fora da faixa" error="Sessão: use um número inteiro de 1 a 999." type="whole" errorStyle="warning" operator="between">
      <formula1>1</formula1>
      <formula2>999</formula2>
    </dataValidation>
    <dataValidation sqref="B156" showDropDown="0" showInputMessage="0" showErrorMessage="1" allowBlank="1" errorTitle="Texto longo" error="Item ou Créditos: até 80 caracteres." type="textLength" errorStyle="warning" operator="lessThanOrEqual">
      <formula1>80</formula1>
    </dataValidation>
    <dataValidation sqref="E156" showDropDown="0" showInputMessage="0" showErrorMessage="1" allowBlank="1" errorTitle="Valor fora da faixa" error="Quantidade: use um número inteiro de 0 a 999." type="whole" errorStyle="warning" operator="between">
      <formula1>0</formula1>
      <formula2>999</formula2>
    </dataValidation>
    <dataValidation sqref="F156" showDropDown="0" showInputMessage="0" showErrorMessage="1" allowBlank="1" errorTitle="Valor fora da faixa" error="Créditos: use um número inteiro de -99999 a 99999." type="whole" errorStyle="warning" operator="between">
      <formula1>-99999</formula1>
      <formula2>99999</formula2>
    </dataValidation>
    <dataValidation sqref="G156" showDropDown="0" showInputMessage="0" showErrorMessage="1" allowBlank="1" errorTitle="Texto longo" error="Com quem: até 40 caracteres." type="textLength" errorStyle="warning" operator="lessThanOrEqual">
      <formula1>40</formula1>
    </dataValidation>
    <dataValidation sqref="I156" showDropDown="0" showInputMessage="0" showErrorMessage="1" allowBlank="1" errorTitle="Texto longo" error="Notas: até 200 caracteres." type="textLength" errorStyle="warning" operator="lessThanOrEqual">
      <formula1>200</formula1>
    </dataValidation>
    <dataValidation sqref="A157" showDropDown="0" showInputMessage="0" showErrorMessage="1" allowBlank="1" errorTitle="Valor fora da faixa" error="Sessão: use um número inteiro de 1 a 999." type="whole" errorStyle="warning" operator="between">
      <formula1>1</formula1>
      <formula2>999</formula2>
    </dataValidation>
    <dataValidation sqref="B157" showDropDown="0" showInputMessage="0" showErrorMessage="1" allowBlank="1" errorTitle="Texto longo" error="Item ou Créditos: até 80 caracteres." type="textLength" errorStyle="warning" operator="lessThanOrEqual">
      <formula1>80</formula1>
    </dataValidation>
    <dataValidation sqref="E157" showDropDown="0" showInputMessage="0" showErrorMessage="1" allowBlank="1" errorTitle="Valor fora da faixa" error="Quantidade: use um número inteiro de 0 a 999." type="whole" errorStyle="warning" operator="between">
      <formula1>0</formula1>
      <formula2>999</formula2>
    </dataValidation>
    <dataValidation sqref="F157" showDropDown="0" showInputMessage="0" showErrorMessage="1" allowBlank="1" errorTitle="Valor fora da faixa" error="Créditos: use um número inteiro de -99999 a 99999." type="whole" errorStyle="warning" operator="between">
      <formula1>-99999</formula1>
      <formula2>99999</formula2>
    </dataValidation>
    <dataValidation sqref="G157" showDropDown="0" showInputMessage="0" showErrorMessage="1" allowBlank="1" errorTitle="Texto longo" error="Com quem: até 40 caracteres." type="textLength" errorStyle="warning" operator="lessThanOrEqual">
      <formula1>40</formula1>
    </dataValidation>
    <dataValidation sqref="I157" showDropDown="0" showInputMessage="0" showErrorMessage="1" allowBlank="1" errorTitle="Texto longo" error="Notas: até 200 caracteres." type="textLength" errorStyle="warning" operator="lessThanOrEqual">
      <formula1>200</formula1>
    </dataValidation>
    <dataValidation sqref="A158" showDropDown="0" showInputMessage="0" showErrorMessage="1" allowBlank="1" errorTitle="Valor fora da faixa" error="Sessão: use um número inteiro de 1 a 999." type="whole" errorStyle="warning" operator="between">
      <formula1>1</formula1>
      <formula2>999</formula2>
    </dataValidation>
    <dataValidation sqref="B158" showDropDown="0" showInputMessage="0" showErrorMessage="1" allowBlank="1" errorTitle="Texto longo" error="Item ou Créditos: até 80 caracteres." type="textLength" errorStyle="warning" operator="lessThanOrEqual">
      <formula1>80</formula1>
    </dataValidation>
    <dataValidation sqref="E158" showDropDown="0" showInputMessage="0" showErrorMessage="1" allowBlank="1" errorTitle="Valor fora da faixa" error="Quantidade: use um número inteiro de 0 a 999." type="whole" errorStyle="warning" operator="between">
      <formula1>0</formula1>
      <formula2>999</formula2>
    </dataValidation>
    <dataValidation sqref="F158" showDropDown="0" showInputMessage="0" showErrorMessage="1" allowBlank="1" errorTitle="Valor fora da faixa" error="Créditos: use um número inteiro de -99999 a 99999." type="whole" errorStyle="warning" operator="between">
      <formula1>-99999</formula1>
      <formula2>99999</formula2>
    </dataValidation>
    <dataValidation sqref="G158" showDropDown="0" showInputMessage="0" showErrorMessage="1" allowBlank="1" errorTitle="Texto longo" error="Com quem: até 40 caracteres." type="textLength" errorStyle="warning" operator="lessThanOrEqual">
      <formula1>40</formula1>
    </dataValidation>
    <dataValidation sqref="I158" showDropDown="0" showInputMessage="0" showErrorMessage="1" allowBlank="1" errorTitle="Texto longo" error="Notas: até 200 caracteres." type="textLength" errorStyle="warning" operator="lessThanOrEqual">
      <formula1>200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06"/>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s>
  <sheetData>
    <row r="1" ht="24" customHeight="1">
      <c r="A1" s="1" t="inlineStr">
        <is>
          <t>Mundos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Geradores de planeta ou local, estação, nave, facção, organização e nomes avulsos; as facções e os locais do livro.</t>
        </is>
      </c>
    </row>
    <row r="4"/>
    <row r="5" ht="20" customHeight="1">
      <c r="A5" s="13" t="inlineStr">
        <is>
          <t>Rolagem nº de cada gerador (vazio = 1; some 1 para rolar de novo; a semente é a da aba Início)</t>
        </is>
      </c>
    </row>
    <row r="6" ht="26" customHeight="1">
      <c r="A6" s="8" t="inlineStr">
        <is>
          <t>Gerador</t>
        </is>
      </c>
      <c r="B6" s="8" t="inlineStr">
        <is>
          <t>Rolagem nº (preencha)</t>
        </is>
      </c>
      <c r="C6" s="8" t="inlineStr">
        <is>
          <t>Rolagem efetiva</t>
        </is>
      </c>
      <c r="D6" s="8" t="inlineStr">
        <is>
          <t>Como funciona</t>
        </is>
      </c>
      <c r="E6" s="20" t="n"/>
      <c r="F6" s="20" t="n"/>
      <c r="G6" s="20" t="n"/>
      <c r="H6" s="20" t="n"/>
      <c r="I6" s="20" t="n"/>
      <c r="J6" s="20" t="n"/>
      <c r="K6" s="8" t="inlineStr">
        <is>
          <t>Aviso</t>
        </is>
      </c>
      <c r="L6" s="20" t="n"/>
    </row>
    <row r="7" ht="26" customHeight="1">
      <c r="A7" s="9" t="inlineStr">
        <is>
          <t>Planeta ou local (G = 510)</t>
        </is>
      </c>
      <c r="B7" s="16" t="n"/>
      <c r="C7" s="18">
        <f>IF(ISNUMBER($AE$7),IF(AND($AE$7&gt;=1,$AE$7&lt;=1000000,INT($AE$7)=$AE$7),$AE$7,1),1)</f>
        <v/>
      </c>
      <c r="D7" s="12" t="inlineStr">
        <is>
          <t>Um gerador não lê o outro: rolar um não muda os demais (design §5).</t>
        </is>
      </c>
      <c r="K7" s="19">
        <f>IF(AF7&gt;0,"O Google leu como fórmula: digite de novo com ' na frente.",IF(LEN($AE$7)=0,"",IF(ISNUMBER($AE$7),IF(AND($AE$7&gt;=1,$AE$7&lt;=1000000,INT($AE$7)=$AE$7),"","Rolagem nº fora de 1 a 1.000.000: usando 1"),"Rolagem nº fora de 1 a 1.000.000: usando 1")))</f>
        <v/>
      </c>
      <c r="AE7" s="2">
        <f>IF(ISERROR($B$7),"",IF(ISBLANK($B$7),"",$B$7))</f>
        <v/>
      </c>
      <c r="AF7" s="2">
        <f>ISERROR($B$7)*1</f>
        <v/>
      </c>
    </row>
    <row r="8" ht="26" customHeight="1">
      <c r="A8" s="21" t="inlineStr">
        <is>
          <t>Estação (G = 520)</t>
        </is>
      </c>
      <c r="B8" s="37" t="n"/>
      <c r="C8" s="23">
        <f>IF(ISNUMBER($AE$8),IF(AND($AE$8&gt;=1,$AE$8&lt;=1000000,INT($AE$8)=$AE$8),$AE$8,1),1)</f>
        <v/>
      </c>
      <c r="D8" s="42" t="inlineStr">
        <is>
          <t>Mesma semente e mesma Rolagem nº dão o mesmo resultado.</t>
        </is>
      </c>
      <c r="K8" s="27">
        <f>IF(AF8&gt;0,"O Google leu como fórmula: digite de novo com ' na frente.",IF(LEN($AE$8)=0,"",IF(ISNUMBER($AE$8),IF(AND($AE$8&gt;=1,$AE$8&lt;=1000000,INT($AE$8)=$AE$8),"","Rolagem nº fora de 1 a 1.000.000: usando 1"),"Rolagem nº fora de 1 a 1.000.000: usando 1")))</f>
        <v/>
      </c>
      <c r="AE8" s="2">
        <f>IF(ISERROR($B$8),"",IF(ISBLANK($B$8),"",$B$8))</f>
        <v/>
      </c>
      <c r="AF8" s="2">
        <f>ISERROR($B$8)*1</f>
        <v/>
      </c>
    </row>
    <row r="9" ht="26" customHeight="1">
      <c r="A9" s="9" t="inlineStr">
        <is>
          <t>Nave (G = 530)</t>
        </is>
      </c>
      <c r="B9" s="16" t="n"/>
      <c r="C9" s="18">
        <f>IF(ISNUMBER($AE$9),IF(AND($AE$9&gt;=1,$AE$9&lt;=1000000,INT($AE$9)=$AE$9),$AE$9,1),1)</f>
        <v/>
      </c>
      <c r="D9" s="12" t="inlineStr">
        <is>
          <t>Mesma semente e mesma Rolagem nº dão o mesmo resultado.</t>
        </is>
      </c>
      <c r="K9" s="19">
        <f>IF(AF9&gt;0,"O Google leu como fórmula: digite de novo com ' na frente.",IF(LEN($AE$9)=0,"",IF(ISNUMBER($AE$9),IF(AND($AE$9&gt;=1,$AE$9&lt;=1000000,INT($AE$9)=$AE$9),"","Rolagem nº fora de 1 a 1.000.000: usando 1"),"Rolagem nº fora de 1 a 1.000.000: usando 1")))</f>
        <v/>
      </c>
      <c r="AE9" s="2">
        <f>IF(ISERROR($B$9),"",IF(ISBLANK($B$9),"",$B$9))</f>
        <v/>
      </c>
      <c r="AF9" s="2">
        <f>ISERROR($B$9)*1</f>
        <v/>
      </c>
    </row>
    <row r="10" ht="26" customHeight="1">
      <c r="A10" s="21" t="inlineStr">
        <is>
          <t>Facção nova (G = 540)</t>
        </is>
      </c>
      <c r="B10" s="37" t="n"/>
      <c r="C10" s="23">
        <f>IF(ISNUMBER($AE$10),IF(AND($AE$10&gt;=1,$AE$10&lt;=1000000,INT($AE$10)=$AE$10),$AE$10,1),1)</f>
        <v/>
      </c>
      <c r="D10" s="42" t="inlineStr">
        <is>
          <t>Mesma semente e mesma Rolagem nº dão o mesmo resultado.</t>
        </is>
      </c>
      <c r="K10" s="27">
        <f>IF(AF10&gt;0,"O Google leu como fórmula: digite de novo com ' na frente.",IF(LEN($AE$10)=0,"",IF(ISNUMBER($AE$10),IF(AND($AE$10&gt;=1,$AE$10&lt;=1000000,INT($AE$10)=$AE$10),"","Rolagem nº fora de 1 a 1.000.000: usando 1"),"Rolagem nº fora de 1 a 1.000.000: usando 1")))</f>
        <v/>
      </c>
      <c r="AA10" s="2">
        <f>MOD(MOD(MOD((MOD('Início'!$E$16+104729*$C$7+5338399,2147483646)+1)*16807,2147483647)*16807,2147483647)*16807,2147483647)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E10" s="2">
        <f>IF(ISERROR($B$10),"",IF(ISBLANK($B$10),"",$B$10))</f>
        <v/>
      </c>
      <c r="AF10" s="2">
        <f>ISERROR($B$10)*1</f>
        <v/>
      </c>
    </row>
    <row r="11" ht="26" customHeight="1">
      <c r="A11" s="9" t="inlineStr">
        <is>
          <t>Organização (G = 550)</t>
        </is>
      </c>
      <c r="B11" s="16" t="n"/>
      <c r="C11" s="18">
        <f>IF(ISNUMBER($AE$11),IF(AND($AE$11&gt;=1,$AE$11&lt;=1000000,INT($AE$11)=$AE$11),$AE$11,1),1)</f>
        <v/>
      </c>
      <c r="D11" s="12" t="inlineStr">
        <is>
          <t>Mesma semente e mesma Rolagem nº dão o mesmo resultado.</t>
        </is>
      </c>
      <c r="K11" s="19">
        <f>IF(AF11&gt;0,"O Google leu como fórmula: digite de novo com ' na frente.",IF(LEN($AE$11)=0,"",IF(ISNUMBER($AE$11),IF(AND($AE$11&gt;=1,$AE$11&lt;=1000000,INT($AE$11)=$AE$11),"","Rolagem nº fora de 1 a 1.000.000: usando 1"),"Rolagem nº fora de 1 a 1.000.000: usando 1")))</f>
        <v/>
      </c>
      <c r="AA11" s="2">
        <f>MOD(MOD(MOD((MOD('Início'!$E$16+104729*$C$7+6638108,2147483646)+1)*16807,2147483647)*16807,2147483647)*16807,2147483647)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E11" s="2">
        <f>IF(ISERROR($B$11),"",IF(ISBLANK($B$11),"",$B$11))</f>
        <v/>
      </c>
      <c r="AF11" s="2">
        <f>ISERROR($B$11)*1</f>
        <v/>
      </c>
    </row>
    <row r="12" ht="26" customHeight="1">
      <c r="A12" s="21" t="inlineStr">
        <is>
          <t>Nomes avulsos (G = 560)</t>
        </is>
      </c>
      <c r="B12" s="37" t="n"/>
      <c r="C12" s="23">
        <f>IF(ISNUMBER($AE$12),IF(AND($AE$12&gt;=1,$AE$12&lt;=1000000,INT($AE$12)=$AE$12),$AE$12,1),1)</f>
        <v/>
      </c>
      <c r="D12" s="42" t="inlineStr">
        <is>
          <t>Mesma semente e mesma Rolagem nº dão o mesmo resultado.</t>
        </is>
      </c>
      <c r="K12" s="27">
        <f>IF(AF12&gt;0,"O Google leu como fórmula: digite de novo com ' na frente.",IF(LEN($AE$12)=0,"",IF(ISNUMBER($AE$12),IF(AND($AE$12&gt;=1,$AE$12&lt;=1000000,INT($AE$12)=$AE$12),"","Rolagem nº fora de 1 a 1.000.000: usando 1"),"Rolagem nº fora de 1 a 1.000.000: usando 1")))</f>
        <v/>
      </c>
      <c r="AA12" s="2">
        <f>MOD(MOD(MOD((MOD('Início'!$E$16+104729*$C$7+7937817,2147483646)+1)*16807,2147483647)*16807,2147483647)*16807,2147483647)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E12" s="2">
        <f>IF(ISERROR($B$12),"",IF(ISBLANK($B$12),"",$B$12))</f>
        <v/>
      </c>
      <c r="AF12" s="2">
        <f>ISERROR($B$12)*1</f>
        <v/>
      </c>
    </row>
    <row r="13">
      <c r="AA13" s="2">
        <f>MOD(MOD(MOD((MOD('Início'!$E$16+104729*$C$7+9237526,2147483646)+1)*16807,2147483647)*16807,2147483647)*16807,2147483647)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row>
    <row r="14" ht="20" customHeight="1">
      <c r="A14" s="13" t="inlineStr">
        <is>
          <t>Planeta ou local (G = 510)</t>
        </is>
      </c>
      <c r="AA14" s="2">
        <f>MOD(MOD(MOD((MOD('Início'!$E$16+104729*$C$7+10537235,2147483646)+1)*16807,2147483647)*16807,2147483647)*16807,2147483647)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row>
    <row r="15">
      <c r="A15" s="8" t="inlineStr">
        <is>
          <t>Campo</t>
        </is>
      </c>
      <c r="B15" s="8" t="inlineStr">
        <is>
          <t>Sorteado (automático)</t>
        </is>
      </c>
      <c r="C15" s="20" t="n"/>
      <c r="D15" s="20" t="n"/>
      <c r="E15" s="20" t="n"/>
      <c r="F15" s="20" t="n"/>
      <c r="G15" s="20" t="n"/>
      <c r="H15" s="20" t="n"/>
      <c r="I15" s="8" t="inlineStr">
        <is>
          <t>De onde vem</t>
        </is>
      </c>
      <c r="J15" s="20" t="n"/>
      <c r="K15" s="8" t="inlineStr">
        <is>
          <t>Aviso</t>
        </is>
      </c>
      <c r="L15" s="20" t="n"/>
      <c r="AA15" s="2">
        <f>MOD(MOD(MOD((MOD('Início'!$E$16+104729*$C$7+11836944,2147483646)+1)*16807,2147483647)*16807,2147483647)*16807,2147483647)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row>
    <row r="16" ht="26" customHeight="1">
      <c r="A16" s="9" t="inlineStr">
        <is>
          <t>Nome</t>
        </is>
      </c>
      <c r="B16" s="46">
        <f>IF(LEN(IF('Tabelas'!$B$814&lt;=0,"",IFERROR(INDEX('Tabelas'!$X$817:$X$923,MATCH(IF('Tabelas'!$B$814&lt;=0,0,INT($AC$17*'Tabelas'!$B$814/2147483647)+1),'Tabelas'!$N$817:$N$923,0))&amp;"","")))=0,IF('Tabelas'!$C$814&lt;=0,"",IFERROR(INDEX('Tabelas'!$Y$817:$Y$923,MATCH(IF('Tabelas'!$C$814&lt;=0,0,INT($AC$18*'Tabelas'!$C$814/2147483647)+1),'Tabelas'!$O$817:$O$923,0))&amp;"","")),IF(LEN(IF('Tabelas'!$C$814&lt;=0,"",IFERROR(INDEX('Tabelas'!$Y$817:$Y$923,MATCH(IF('Tabelas'!$C$814&lt;=0,0,INT($AC$18*'Tabelas'!$C$814/2147483647)+1),'Tabelas'!$O$817:$O$923,0))&amp;"","")))=0,IF('Tabelas'!$B$814&lt;=0,"",IFERROR(INDEX('Tabelas'!$X$817:$X$923,MATCH(IF('Tabelas'!$B$814&lt;=0,0,INT($AC$17*'Tabelas'!$B$814/2147483647)+1),'Tabelas'!$N$817:$N$923,0))&amp;"","")),IF('Tabelas'!$B$814&lt;=0,"",IFERROR(INDEX('Tabelas'!$X$817:$X$923,MATCH(IF('Tabelas'!$B$814&lt;=0,0,INT($AC$17*'Tabelas'!$B$814/2147483647)+1),'Tabelas'!$N$817:$N$923,0))&amp;"",""))&amp;" "&amp;IF('Tabelas'!$C$814&lt;=0,"",IFERROR(INDEX('Tabelas'!$Y$817:$Y$923,MATCH(IF('Tabelas'!$C$814&lt;=0,0,INT($AC$18*'Tabelas'!$C$814/2147483647)+1),'Tabelas'!$O$817:$O$923,0))&amp;"",""))))</f>
        <v/>
      </c>
      <c r="I16" s="5">
        <f>"Tabelas: Nome de lugar (início + fim)"</f>
        <v/>
      </c>
      <c r="K16" s="19">
        <f>IF('Tabelas'!$B$814&lt;=0,"Lista 'Nome de lugar (início)' está vazia (aba Tabelas)","")</f>
        <v/>
      </c>
      <c r="AA16" s="2">
        <f>MOD(MOD(MOD((MOD('Início'!$E$16+104729*$C$7+13136653,2147483646)+1)*16807,2147483647)*16807,2147483647)*16807,2147483647)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row>
    <row r="17" ht="26" customHeight="1">
      <c r="A17" s="21" t="inlineStr">
        <is>
          <t>Tipo</t>
        </is>
      </c>
      <c r="B17" s="10">
        <f>IF('Tabelas'!$B$929&lt;=0,"",IFERROR(INDEX('Tabelas'!$X$932:$X$1038,MATCH(IF('Tabelas'!$B$929&lt;=0,0,INT($AC$10*'Tabelas'!$B$929/2147483647)+1),'Tabelas'!$N$932:$N$1038,0))&amp;"",""))</f>
        <v/>
      </c>
      <c r="I17" s="10">
        <f>"Tabelas: Tipo de mundo"</f>
        <v/>
      </c>
      <c r="K17" s="27">
        <f>IF('Tabelas'!$B$929&lt;=0,"Lista 'Tipo de mundo' está vazia (aba Tabelas)","")</f>
        <v/>
      </c>
      <c r="AA17" s="2">
        <f>MOD(MOD(MOD((MOD('Início'!$E$16+104729*$C$7+14436362,2147483646)+1)*16807,2147483647)*16807,2147483647)*16807,2147483647)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row>
    <row r="18" ht="26" customHeight="1">
      <c r="A18" s="9" t="inlineStr">
        <is>
          <t>Condição marcante</t>
        </is>
      </c>
      <c r="B18" s="5">
        <f>IF('Tabelas'!$C$929&lt;=0,"",IFERROR(INDEX('Tabelas'!$Y$932:$Y$1038,MATCH(IF('Tabelas'!$C$929&lt;=0,0,INT($AC$11*'Tabelas'!$C$929/2147483647)+1),'Tabelas'!$O$932:$O$1038,0))&amp;"",""))</f>
        <v/>
      </c>
      <c r="I18" s="5">
        <f>"Tabelas: Condição marcante"</f>
        <v/>
      </c>
      <c r="K18" s="19">
        <f>IF('Tabelas'!$C$929&lt;=0,"Lista 'Condição marcante' está vazia (aba Tabelas)","")</f>
        <v/>
      </c>
      <c r="AA18" s="2">
        <f>MOD(MOD(MOD((MOD('Início'!$E$16+104729*$C$7+15736071,2147483646)+1)*16807,2147483647)*16807,2147483647)*16807,2147483647)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row>
    <row r="19" ht="26" customHeight="1">
      <c r="A19" s="21" t="inlineStr">
        <is>
          <t>Qual Caminho está vencendo aqui?</t>
        </is>
      </c>
      <c r="B19" s="10">
        <f>INDEX('Dados'!$A$360:$A$368,INT($AC$12*9/2147483647)+1)</f>
        <v/>
      </c>
      <c r="I19" s="10">
        <f>"Os 9 Caminhos (06.3), pergunta 1 de 27.17"</f>
        <v/>
      </c>
      <c r="K19" s="30" t="n"/>
      <c r="L19" s="30" t="n"/>
    </row>
    <row r="20" ht="26" customHeight="1">
      <c r="A20" s="9" t="inlineStr">
        <is>
          <t>O que fazem de manhã?</t>
        </is>
      </c>
      <c r="B20" s="5">
        <f>IF('Tabelas'!$D$929&lt;=0,"",IFERROR(INDEX('Tabelas'!$Z$932:$Z$1038,MATCH(IF('Tabelas'!$D$929&lt;=0,0,INT($AC$13*'Tabelas'!$D$929/2147483647)+1),'Tabelas'!$P$932:$P$1038,0))&amp;"",""))</f>
        <v/>
      </c>
      <c r="I20" s="5">
        <f>"Tabelas, pergunta 2 de 27.17"</f>
        <v/>
      </c>
      <c r="K20" s="19">
        <f>IF('Tabelas'!$D$929&lt;=0,"Lista 'O que fazem de manhã' está vazia (aba Tabelas)","")</f>
        <v/>
      </c>
      <c r="AA20" s="2">
        <f>MOD(MOD(MOD((MOD('Início'!$E$16+104729*$C$8+5417589,2147483646)+1)*16807,2147483647)*16807,2147483647)*16807,2147483647)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ht="26" customHeight="1">
      <c r="A21" s="21" t="inlineStr">
        <is>
          <t>O que pararam de fazer?</t>
        </is>
      </c>
      <c r="B21" s="10">
        <f>IF('Tabelas'!$E$929&lt;=0,"",IFERROR(INDEX('Tabelas'!$AA$932:$AA$1038,MATCH(IF('Tabelas'!$E$929&lt;=0,0,INT($AC$14*'Tabelas'!$E$929/2147483647)+1),'Tabelas'!$Q$932:$Q$1038,0))&amp;"",""))</f>
        <v/>
      </c>
      <c r="I21" s="10">
        <f>"Tabelas, pergunta 3 de 27.17"</f>
        <v/>
      </c>
      <c r="K21" s="27">
        <f>IF('Tabelas'!$E$929&lt;=0,"Lista 'O que pararam de fazer' está vazia (aba Tabelas)","")</f>
        <v/>
      </c>
      <c r="AA21" s="2">
        <f>MOD(MOD(MOD((MOD('Início'!$E$16+104729*$C$8+6717298,2147483646)+1)*16807,2147483647)*16807,2147483647)*16807,2147483647)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row>
    <row r="22" ht="37" customHeight="1">
      <c r="A22" s="9" t="inlineStr">
        <is>
          <t>Presença</t>
        </is>
      </c>
      <c r="B22" s="5">
        <f>IF('Tabelas'!$F$929&lt;=0,"",IFERROR(INDEX('Tabelas'!$AB$932:$AB$1038,MATCH(IF('Tabelas'!$F$929&lt;=0,0,INT($AC$15*'Tabelas'!$F$929/2147483647)+1),'Tabelas'!$R$932:$R$1038,0))&amp;"",""))</f>
        <v/>
      </c>
      <c r="I22" s="5">
        <f>"Tabelas (27.13, 27.14) · Sugestão da planilha — não é regra do livro (H11)"</f>
        <v/>
      </c>
      <c r="K22" s="19">
        <f>IF('Tabelas'!$F$929&lt;=0,"Lista 'Presença' está vazia (aba Tabelas)","")</f>
        <v/>
      </c>
      <c r="AA22" s="2">
        <f>MOD(MOD(MOD((MOD('Início'!$E$16+104729*$C$8+8017007,2147483646)+1)*16807,2147483647)*16807,2147483647)*16807,2147483647)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c r="A23" s="21" t="inlineStr">
        <is>
          <t>Facção presente</t>
        </is>
      </c>
      <c r="B23" s="10">
        <f>IF('Tabelas'!$B$9&lt;=0,"",IFERROR(INDEX('Tabelas'!$X$12:$X$118,MATCH(IF('Tabelas'!$B$9&lt;=0,0,INT($AC$16*'Tabelas'!$B$9/2147483647)+1),'Tabelas'!$N$12:$N$118,0))&amp;"",""))</f>
        <v/>
      </c>
      <c r="I23" s="10">
        <f>"Tabelas: Facções (27.16)"</f>
        <v/>
      </c>
      <c r="K23" s="27">
        <f>IF('Tabelas'!$B$9&lt;=0,"Lista 'Facções' está vazia (aba Tabelas)","")</f>
        <v/>
      </c>
      <c r="AA23" s="2">
        <f>MOD(MOD(MOD((MOD('Início'!$E$16+104729*$C$8+9316716,2147483646)+1)*16807,2147483647)*16807,2147483647)*16807,2147483647)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row>
    <row r="24" ht="26" customHeight="1">
      <c r="A24" s="31">
        <f>'Dados'!$C$795&amp;" (27.17)"</f>
        <v/>
      </c>
      <c r="AA24" s="2">
        <f>MOD(MOD(MOD((MOD('Início'!$E$16+104729*$C$8+10616425,2147483646)+1)*16807,2147483647)*16807,2147483647)*16807,2147483647)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row r="26" ht="20" customHeight="1">
      <c r="A26" s="13" t="inlineStr">
        <is>
          <t>Estação (G = 520)</t>
        </is>
      </c>
      <c r="AA26" s="2">
        <f>MOD(MOD(MOD((MOD('Início'!$E$16+104729*$C$9+5496779,2147483646)+1)*16807,2147483647)*16807,2147483647)*16807,2147483647)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row>
    <row r="27">
      <c r="A27" s="8" t="inlineStr">
        <is>
          <t>Campo</t>
        </is>
      </c>
      <c r="B27" s="8" t="inlineStr">
        <is>
          <t>Sorteado (automático)</t>
        </is>
      </c>
      <c r="C27" s="20" t="n"/>
      <c r="D27" s="20" t="n"/>
      <c r="E27" s="20" t="n"/>
      <c r="F27" s="20" t="n"/>
      <c r="G27" s="20" t="n"/>
      <c r="H27" s="20" t="n"/>
      <c r="I27" s="8" t="inlineStr">
        <is>
          <t>De onde vem</t>
        </is>
      </c>
      <c r="J27" s="20" t="n"/>
      <c r="K27" s="8" t="inlineStr">
        <is>
          <t>Aviso</t>
        </is>
      </c>
      <c r="L27" s="20" t="n"/>
      <c r="AA27" s="2">
        <f>MOD(MOD(MOD((MOD('Início'!$E$16+104729*$C$9+6796488,2147483646)+1)*16807,2147483647)*16807,2147483647)*16807,2147483647)</f>
        <v/>
      </c>
      <c r="AB27" s="2">
        <f>MOD(MOD(MOD((MOD(MOD(INT($AA$27/65536)*$AA$27,2147483647)*65536+MOD($AA$27,65536)*$AA$27,2147483647))*16807,2147483647)*16807,2147483647)*16807,2147483647)</f>
        <v/>
      </c>
      <c r="AC27" s="2">
        <f>MOD(MOD(MOD((MOD($AB$27+INT($AB$27/65536)*MOD($AB$27,65536),2147483646)+1)*16807,2147483647)*16807,2147483647)*16807,2147483647)</f>
        <v/>
      </c>
    </row>
    <row r="28" ht="26" customHeight="1">
      <c r="A28" s="9" t="inlineStr">
        <is>
          <t>Nome</t>
        </is>
      </c>
      <c r="B28" s="46">
        <f>IF(LEN(IF('Tabelas'!$B$814&lt;=0,"",IFERROR(INDEX('Tabelas'!$X$817:$X$923,MATCH(IF('Tabelas'!$B$814&lt;=0,0,INT($AC$23*'Tabelas'!$B$814/2147483647)+1),'Tabelas'!$N$817:$N$923,0))&amp;"","")))=0,IF('Tabelas'!$C$814&lt;=0,"",IFERROR(INDEX('Tabelas'!$Y$817:$Y$923,MATCH(IF('Tabelas'!$C$814&lt;=0,0,INT($AC$24*'Tabelas'!$C$814/2147483647)+1),'Tabelas'!$O$817:$O$923,0))&amp;"","")),IF(LEN(IF('Tabelas'!$C$814&lt;=0,"",IFERROR(INDEX('Tabelas'!$Y$817:$Y$923,MATCH(IF('Tabelas'!$C$814&lt;=0,0,INT($AC$24*'Tabelas'!$C$814/2147483647)+1),'Tabelas'!$O$817:$O$923,0))&amp;"","")))=0,IF('Tabelas'!$B$814&lt;=0,"",IFERROR(INDEX('Tabelas'!$X$817:$X$923,MATCH(IF('Tabelas'!$B$814&lt;=0,0,INT($AC$23*'Tabelas'!$B$814/2147483647)+1),'Tabelas'!$N$817:$N$923,0))&amp;"","")),IF('Tabelas'!$B$814&lt;=0,"",IFERROR(INDEX('Tabelas'!$X$817:$X$923,MATCH(IF('Tabelas'!$B$814&lt;=0,0,INT($AC$23*'Tabelas'!$B$814/2147483647)+1),'Tabelas'!$N$817:$N$923,0))&amp;"",""))&amp;" "&amp;IF('Tabelas'!$C$814&lt;=0,"",IFERROR(INDEX('Tabelas'!$Y$817:$Y$923,MATCH(IF('Tabelas'!$C$814&lt;=0,0,INT($AC$24*'Tabelas'!$C$814/2147483647)+1),'Tabelas'!$O$817:$O$923,0))&amp;"",""))))</f>
        <v/>
      </c>
      <c r="I28" s="5">
        <f>"Tabelas: Nome de lugar (início + fim)"</f>
        <v/>
      </c>
      <c r="K28" s="19">
        <f>IF('Tabelas'!$C$814&lt;=0,"Lista 'Nome de lugar (fim)' está vazia (aba Tabelas)","")</f>
        <v/>
      </c>
      <c r="AA28" s="2">
        <f>MOD(MOD(MOD((MOD('Início'!$E$16+104729*$C$9+8096197,2147483646)+1)*16807,2147483647)*16807,2147483647)*16807,2147483647)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row>
    <row r="29" ht="37" customHeight="1">
      <c r="A29" s="21" t="inlineStr">
        <is>
          <t>Função</t>
        </is>
      </c>
      <c r="B29" s="10">
        <f>IF('Tabelas'!$G$929&lt;=0,"",IFERROR(INDEX('Tabelas'!$AC$932:$AC$1038,MATCH(IF('Tabelas'!$G$929&lt;=0,0,INT($AC$20*'Tabelas'!$G$929/2147483647)+1),'Tabelas'!$S$932:$S$1038,0))&amp;"",""))</f>
        <v/>
      </c>
      <c r="I29" s="10">
        <f>"Tabelas: Função da estação (a primeira é a de Vértice-9, 27.17)"</f>
        <v/>
      </c>
      <c r="K29" s="27">
        <f>IF('Tabelas'!$G$929&lt;=0,"Lista 'Função da estação' está vazia (aba Tabelas)","")</f>
        <v/>
      </c>
      <c r="AA29" s="2">
        <f>MOD(MOD(MOD((MOD('Início'!$E$16+104729*$C$9+9395906,2147483646)+1)*16807,2147483647)*16807,2147483647)*16807,2147483647)</f>
        <v/>
      </c>
      <c r="AB29" s="2">
        <f>MOD(MOD(MOD((MOD(MOD(INT($AA$29/65536)*$AA$29,2147483647)*65536+MOD($AA$29,65536)*$AA$29,2147483647))*16807,2147483647)*16807,2147483647)*16807,2147483647)</f>
        <v/>
      </c>
      <c r="AC29" s="2">
        <f>MOD(MOD(MOD((MOD($AB$29+INT($AB$29/65536)*MOD($AB$29,65536),2147483646)+1)*16807,2147483647)*16807,2147483647)*16807,2147483647)</f>
        <v/>
      </c>
    </row>
    <row r="30">
      <c r="A30" s="9" t="inlineStr">
        <is>
          <t>Dono</t>
        </is>
      </c>
      <c r="B30" s="5">
        <f>IF('Tabelas'!$B$9&lt;=0,"",IFERROR(INDEX('Tabelas'!$X$12:$X$118,MATCH(IF('Tabelas'!$B$9&lt;=0,0,INT($AC$21*'Tabelas'!$B$9/2147483647)+1),'Tabelas'!$N$12:$N$118,0))&amp;"",""))</f>
        <v/>
      </c>
      <c r="I30" s="5">
        <f>"Tabelas: Facções (27.16)"</f>
        <v/>
      </c>
      <c r="AA30" s="2">
        <f>MOD(MOD(MOD((MOD('Início'!$E$16+104729*$C$9+10695615,2147483646)+1)*16807,2147483647)*16807,2147483647)*16807,2147483647)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row>
    <row r="31" ht="26" customHeight="1">
      <c r="A31" s="21" t="inlineStr">
        <is>
          <t>Problema atual</t>
        </is>
      </c>
      <c r="B31" s="10">
        <f>IF('Tabelas'!$H$929&lt;=0,"",IFERROR(INDEX('Tabelas'!$AD$932:$AD$1038,MATCH(IF('Tabelas'!$H$929&lt;=0,0,INT($AC$22*'Tabelas'!$H$929/2147483647)+1),'Tabelas'!$T$932:$T$1038,0))&amp;"",""))</f>
        <v/>
      </c>
      <c r="I31" s="10">
        <f>"Tabelas: Problema da estação"</f>
        <v/>
      </c>
      <c r="K31" s="27">
        <f>IF('Tabelas'!$H$929&lt;=0,"Lista 'Problema da estação' está vazia (aba Tabelas)","")</f>
        <v/>
      </c>
      <c r="AA31" s="2">
        <f>MOD(MOD(MOD((MOD('Início'!$E$16+104729*$C$9+11995324,2147483646)+1)*16807,2147483647)*16807,2147483647)*16807,2147483647)</f>
        <v/>
      </c>
      <c r="AB31" s="2">
        <f>MOD(MOD(MOD((MOD(MOD(INT($AA$31/65536)*$AA$31,2147483647)*65536+MOD($AA$31,65536)*$AA$31,2147483647))*16807,2147483647)*16807,2147483647)*16807,2147483647)</f>
        <v/>
      </c>
      <c r="AC31" s="2">
        <f>MOD(MOD(MOD((MOD($AB$31+INT($AB$31/65536)*MOD($AB$31,65536),2147483646)+1)*16807,2147483647)*16807,2147483647)*16807,2147483647)</f>
        <v/>
      </c>
    </row>
    <row r="32"/>
    <row r="33" ht="26" customHeight="1">
      <c r="A33" s="13" t="inlineStr">
        <is>
          <t>Nave (G = 530)</t>
        </is>
      </c>
      <c r="K33" s="12" t="inlineStr">
        <is>
          <t>Sugestão da planilha — não é regra do livro (H25)</t>
        </is>
      </c>
      <c r="AA33" s="2">
        <f>MOD(MOD(MOD((MOD('Início'!$E$16+104729*$C$10+5575969,2147483646)+1)*16807,2147483647)*16807,2147483647)*16807,2147483647)</f>
        <v/>
      </c>
      <c r="AB33" s="2">
        <f>MOD(MOD(MOD((MOD(MOD(INT($AA$33/65536)*$AA$33,2147483647)*65536+MOD($AA$33,65536)*$AA$33,2147483647))*16807,2147483647)*16807,2147483647)*16807,2147483647)</f>
        <v/>
      </c>
      <c r="AC33" s="2">
        <f>MOD(MOD(MOD((MOD($AB$33+INT($AB$33/65536)*MOD($AB$33,65536),2147483646)+1)*16807,2147483647)*16807,2147483647)*16807,2147483647)</f>
        <v/>
      </c>
    </row>
    <row r="34">
      <c r="A34" s="8" t="inlineStr">
        <is>
          <t>Campo</t>
        </is>
      </c>
      <c r="B34" s="8" t="inlineStr">
        <is>
          <t>Sorteado (automático)</t>
        </is>
      </c>
      <c r="C34" s="20" t="n"/>
      <c r="D34" s="20" t="n"/>
      <c r="E34" s="20" t="n"/>
      <c r="F34" s="20" t="n"/>
      <c r="G34" s="20" t="n"/>
      <c r="H34" s="20" t="n"/>
      <c r="I34" s="8" t="inlineStr">
        <is>
          <t>De onde vem</t>
        </is>
      </c>
      <c r="J34" s="20" t="n"/>
      <c r="K34" s="8" t="inlineStr">
        <is>
          <t>Aviso</t>
        </is>
      </c>
      <c r="L34" s="20" t="n"/>
      <c r="AA34" s="2">
        <f>MOD(MOD(MOD((MOD('Início'!$E$16+104729*$C$10+6875678,2147483646)+1)*16807,2147483647)*16807,2147483647)*16807,2147483647)</f>
        <v/>
      </c>
      <c r="AB34" s="2">
        <f>MOD(MOD(MOD((MOD(MOD(INT($AA$34/65536)*$AA$34,2147483647)*65536+MOD($AA$34,65536)*$AA$34,2147483647))*16807,2147483647)*16807,2147483647)*16807,2147483647)</f>
        <v/>
      </c>
      <c r="AC34" s="2">
        <f>MOD(MOD(MOD((MOD($AB$34+INT($AB$34/65536)*MOD($AB$34,65536),2147483646)+1)*16807,2147483647)*16807,2147483647)*16807,2147483647)</f>
        <v/>
      </c>
    </row>
    <row r="35" ht="26" customHeight="1">
      <c r="A35" s="9" t="inlineStr">
        <is>
          <t>Nome</t>
        </is>
      </c>
      <c r="B35" s="46">
        <f>IF(LEN(IF('Tabelas'!$D$814&lt;=0,"",IFERROR(INDEX('Tabelas'!$Z$817:$Z$923,MATCH(IF('Tabelas'!$D$814&lt;=0,0,INT($AC$26*'Tabelas'!$D$814/2147483647)+1),'Tabelas'!$P$817:$P$923,0))&amp;"","")))=0,IF('Tabelas'!$E$814&lt;=0,"",IFERROR(INDEX('Tabelas'!$AA$817:$AA$923,MATCH(IF('Tabelas'!$E$814&lt;=0,0,INT($AC$27*'Tabelas'!$E$814/2147483647)+1),'Tabelas'!$Q$817:$Q$923,0))&amp;"","")),IF(LEN(IF('Tabelas'!$E$814&lt;=0,"",IFERROR(INDEX('Tabelas'!$AA$817:$AA$923,MATCH(IF('Tabelas'!$E$814&lt;=0,0,INT($AC$27*'Tabelas'!$E$814/2147483647)+1),'Tabelas'!$Q$817:$Q$923,0))&amp;"","")))=0,IF('Tabelas'!$D$814&lt;=0,"",IFERROR(INDEX('Tabelas'!$Z$817:$Z$923,MATCH(IF('Tabelas'!$D$814&lt;=0,0,INT($AC$26*'Tabelas'!$D$814/2147483647)+1),'Tabelas'!$P$817:$P$923,0))&amp;"","")),IF('Tabelas'!$D$814&lt;=0,"",IFERROR(INDEX('Tabelas'!$Z$817:$Z$923,MATCH(IF('Tabelas'!$D$814&lt;=0,0,INT($AC$26*'Tabelas'!$D$814/2147483647)+1),'Tabelas'!$P$817:$P$923,0))&amp;"",""))&amp;" "&amp;IF('Tabelas'!$E$814&lt;=0,"",IFERROR(INDEX('Tabelas'!$AA$817:$AA$923,MATCH(IF('Tabelas'!$E$814&lt;=0,0,INT($AC$27*'Tabelas'!$E$814/2147483647)+1),'Tabelas'!$Q$817:$Q$923,0))&amp;"",""))))</f>
        <v/>
      </c>
      <c r="I35" s="5">
        <f>"Tabelas: Nome de nave (início + fim)"</f>
        <v/>
      </c>
      <c r="K35" s="19">
        <f>IF('Tabelas'!$D$814&lt;=0,"Lista 'Nome de nave (início)' está vazia (aba Tabelas)","")</f>
        <v/>
      </c>
      <c r="AA35" s="2">
        <f>MOD(MOD(MOD((MOD('Início'!$E$16+104729*$C$10+8175387,2147483646)+1)*16807,2147483647)*16807,2147483647)*16807,2147483647)</f>
        <v/>
      </c>
      <c r="AB35" s="2">
        <f>MOD(MOD(MOD((MOD(MOD(INT($AA$35/65536)*$AA$35,2147483647)*65536+MOD($AA$35,65536)*$AA$35,2147483647))*16807,2147483647)*16807,2147483647)*16807,2147483647)</f>
        <v/>
      </c>
      <c r="AC35" s="2">
        <f>MOD(MOD(MOD((MOD($AB$35+INT($AB$35/65536)*MOD($AB$35,65536),2147483646)+1)*16807,2147483647)*16807,2147483647)*16807,2147483647)</f>
        <v/>
      </c>
    </row>
    <row r="36" ht="26" customHeight="1">
      <c r="A36" s="21" t="inlineStr">
        <is>
          <t>Classe</t>
        </is>
      </c>
      <c r="B36" s="10">
        <f>IF('Tabelas'!$I$929&lt;=0,"",IFERROR(INDEX('Tabelas'!$AE$932:$AE$1038,MATCH(IF('Tabelas'!$I$929&lt;=0,0,INT($AC$28*'Tabelas'!$I$929/2147483647)+1),'Tabelas'!$U$932:$U$1038,0))&amp;"",""))</f>
        <v/>
      </c>
      <c r="I36" s="10">
        <f>"Tabelas: Classe da nave"</f>
        <v/>
      </c>
      <c r="K36" s="27">
        <f>IF('Tabelas'!$I$929&lt;=0,"Lista 'Classe da nave' está vazia (aba Tabelas)","")</f>
        <v/>
      </c>
      <c r="AA36" s="2">
        <f>MOD(MOD(MOD((MOD('Início'!$E$16+104729*$C$10+9475096,2147483646)+1)*16807,2147483647)*16807,2147483647)*16807,2147483647)</f>
        <v/>
      </c>
      <c r="AB36" s="2">
        <f>MOD(MOD(MOD((MOD(MOD(INT($AA$36/65536)*$AA$36,2147483647)*65536+MOD($AA$36,65536)*$AA$36,2147483647))*16807,2147483647)*16807,2147483647)*16807,2147483647)</f>
        <v/>
      </c>
      <c r="AC36" s="2">
        <f>MOD(MOD(MOD((MOD($AB$36+INT($AB$36/65536)*MOD($AB$36,65536),2147483646)+1)*16807,2147483647)*16807,2147483647)*16807,2147483647)</f>
        <v/>
      </c>
    </row>
    <row r="37" ht="26" customHeight="1">
      <c r="A37" s="9" t="inlineStr">
        <is>
          <t>Peculiaridade</t>
        </is>
      </c>
      <c r="B37" s="5">
        <f>IF('Tabelas'!$J$929&lt;=0,"",IFERROR(INDEX('Tabelas'!$AF$932:$AF$1038,MATCH(IF('Tabelas'!$J$929&lt;=0,0,INT($AC$29*'Tabelas'!$J$929/2147483647)+1),'Tabelas'!$V$932:$V$1038,0))&amp;"",""))</f>
        <v/>
      </c>
      <c r="I37" s="5">
        <f>"Tabelas: Peculiaridade da nave"</f>
        <v/>
      </c>
      <c r="K37" s="19">
        <f>IF('Tabelas'!$J$929&lt;=0,"Lista 'Peculiaridade da nave' está vazia (aba Tabelas)","")</f>
        <v/>
      </c>
      <c r="AA37" s="2">
        <f>MOD(MOD(MOD((MOD('Início'!$E$16+104729*$C$10+10774805,2147483646)+1)*16807,2147483647)*16807,2147483647)*16807,2147483647)</f>
        <v/>
      </c>
      <c r="AB37" s="2">
        <f>MOD(MOD(MOD((MOD(MOD(INT($AA$37/65536)*$AA$37,2147483647)*65536+MOD($AA$37,65536)*$AA$37,2147483647))*16807,2147483647)*16807,2147483647)*16807,2147483647)</f>
        <v/>
      </c>
      <c r="AC37" s="2">
        <f>MOD(MOD(MOD((MOD($AB$37+INT($AB$37/65536)*MOD($AB$37,65536),2147483646)+1)*16807,2147483647)*16807,2147483647)*16807,2147483647)</f>
        <v/>
      </c>
    </row>
    <row r="38" ht="37" customHeight="1">
      <c r="A38" s="21" t="inlineStr">
        <is>
          <t>Tripulação</t>
        </is>
      </c>
      <c r="B38" s="10">
        <f>(1+INT($AC$30*((20)-(1)+1)/2147483647))&amp;" pessoa(s); a bordo, um(a) "&amp;IF('Tabelas'!$B$354&lt;=0,"",IFERROR(INDEX('Tabelas'!$X$357:$X$463,MATCH(IF('Tabelas'!$B$354&lt;=0,0,INT($AC$31*'Tabelas'!$B$354/2147483647)+1),'Tabelas'!$N$357:$N$463,0))&amp;"",""))</f>
        <v/>
      </c>
      <c r="I38" s="10">
        <f>"Tabelas: Ocupação (NPC) · Sugestão da planilha — não é regra do livro (H25)"</f>
        <v/>
      </c>
      <c r="K38" s="30" t="n"/>
      <c r="L38" s="30" t="n"/>
      <c r="AA38" s="2">
        <f>MOD(MOD(MOD((MOD('Início'!$E$16+104729*$C$10+12074514,2147483646)+1)*16807,2147483647)*16807,2147483647)*16807,2147483647)</f>
        <v/>
      </c>
      <c r="AB38" s="2">
        <f>MOD(MOD(MOD((MOD(MOD(INT($AA$38/65536)*$AA$38,2147483647)*65536+MOD($AA$38,65536)*$AA$38,2147483647))*16807,2147483647)*16807,2147483647)*16807,2147483647)</f>
        <v/>
      </c>
      <c r="AC38" s="2">
        <f>MOD(MOD(MOD((MOD($AB$38+INT($AB$38/65536)*MOD($AB$38,65536),2147483646)+1)*16807,2147483647)*16807,2147483647)*16807,2147483647)</f>
        <v/>
      </c>
    </row>
    <row r="39" ht="26" customHeight="1">
      <c r="A39" s="31">
        <f>'Dados'!$C$796&amp;" "&amp;'Dados'!$C$797</f>
        <v/>
      </c>
      <c r="AA39" s="2">
        <f>MOD(MOD(MOD((MOD('Início'!$E$16+104729*$C$10+13374223,2147483646)+1)*16807,2147483647)*16807,2147483647)*16807,2147483647)</f>
        <v/>
      </c>
      <c r="AB39" s="2">
        <f>MOD(MOD(MOD((MOD(MOD(INT($AA$39/65536)*$AA$39,2147483647)*65536+MOD($AA$39,65536)*$AA$39,2147483647))*16807,2147483647)*16807,2147483647)*16807,2147483647)</f>
        <v/>
      </c>
      <c r="AC39" s="2">
        <f>MOD(MOD(MOD((MOD($AB$39+INT($AB$39/65536)*MOD($AB$39,65536),2147483646)+1)*16807,2147483647)*16807,2147483647)*16807,2147483647)</f>
        <v/>
      </c>
    </row>
    <row r="40"/>
    <row r="41" ht="20" customHeight="1">
      <c r="A41" s="13" t="inlineStr">
        <is>
          <t>Facção nova: um Caminho levado a sério (27.16) (G = 540)</t>
        </is>
      </c>
      <c r="AA41" s="2">
        <f>MOD(MOD(MOD((MOD('Início'!$E$16+104729*$C$11+5655159,2147483646)+1)*16807,2147483647)*16807,2147483647)*16807,2147483647)</f>
        <v/>
      </c>
      <c r="AB41" s="2">
        <f>MOD(MOD(MOD((MOD(MOD(INT($AA$41/65536)*$AA$41,2147483647)*65536+MOD($AA$41,65536)*$AA$41,2147483647))*16807,2147483647)*16807,2147483647)*16807,2147483647)</f>
        <v/>
      </c>
      <c r="AC41" s="2">
        <f>MOD(MOD(MOD((MOD($AB$41+INT($AB$41/65536)*MOD($AB$41,65536),2147483646)+1)*16807,2147483647)*16807,2147483647)*16807,2147483647)</f>
        <v/>
      </c>
    </row>
    <row r="42">
      <c r="A42" s="8" t="inlineStr">
        <is>
          <t>Campo</t>
        </is>
      </c>
      <c r="B42" s="8" t="inlineStr">
        <is>
          <t>Sorteado (automático)</t>
        </is>
      </c>
      <c r="C42" s="20" t="n"/>
      <c r="D42" s="20" t="n"/>
      <c r="E42" s="20" t="n"/>
      <c r="F42" s="20" t="n"/>
      <c r="G42" s="20" t="n"/>
      <c r="H42" s="20" t="n"/>
      <c r="I42" s="8" t="inlineStr">
        <is>
          <t>De onde vem</t>
        </is>
      </c>
      <c r="J42" s="20" t="n"/>
      <c r="K42" s="8" t="inlineStr">
        <is>
          <t>Aviso</t>
        </is>
      </c>
      <c r="L42" s="20" t="n"/>
      <c r="AA42" s="2">
        <f>MOD(MOD(MOD((MOD('Início'!$E$16+104729*$C$11+6954868,2147483646)+1)*16807,2147483647)*16807,2147483647)*16807,2147483647)</f>
        <v/>
      </c>
      <c r="AB42" s="2">
        <f>MOD(MOD(MOD((MOD(MOD(INT($AA$42/65536)*$AA$42,2147483647)*65536+MOD($AA$42,65536)*$AA$42,2147483647))*16807,2147483647)*16807,2147483647)*16807,2147483647)</f>
        <v/>
      </c>
      <c r="AC42" s="2">
        <f>MOD(MOD(MOD((MOD($AB$42+INT($AB$42/65536)*MOD($AB$42,65536),2147483646)+1)*16807,2147483647)*16807,2147483647)*16807,2147483647)</f>
        <v/>
      </c>
    </row>
    <row r="43" ht="26" customHeight="1">
      <c r="A43" s="9" t="inlineStr">
        <is>
          <t>Nome</t>
        </is>
      </c>
      <c r="B43" s="46">
        <f>IF(LEN(IF('Tabelas'!$F$814&lt;=0,"",IFERROR(INDEX('Tabelas'!$AB$817:$AB$923,MATCH(IF('Tabelas'!$F$814&lt;=0,0,INT($AC$33*'Tabelas'!$F$814/2147483647)+1),'Tabelas'!$R$817:$R$923,0))&amp;"","")))=0,IF('Tabelas'!$G$814&lt;=0,"",IFERROR(INDEX('Tabelas'!$AC$817:$AC$923,MATCH(IF('Tabelas'!$G$814&lt;=0,0,INT($AC$34*'Tabelas'!$G$814/2147483647)+1),'Tabelas'!$S$817:$S$923,0))&amp;"","")),IF(LEN(IF('Tabelas'!$G$814&lt;=0,"",IFERROR(INDEX('Tabelas'!$AC$817:$AC$923,MATCH(IF('Tabelas'!$G$814&lt;=0,0,INT($AC$34*'Tabelas'!$G$814/2147483647)+1),'Tabelas'!$S$817:$S$923,0))&amp;"","")))=0,IF('Tabelas'!$F$814&lt;=0,"",IFERROR(INDEX('Tabelas'!$AB$817:$AB$923,MATCH(IF('Tabelas'!$F$814&lt;=0,0,INT($AC$33*'Tabelas'!$F$814/2147483647)+1),'Tabelas'!$R$817:$R$923,0))&amp;"","")),IF('Tabelas'!$F$814&lt;=0,"",IFERROR(INDEX('Tabelas'!$AB$817:$AB$923,MATCH(IF('Tabelas'!$F$814&lt;=0,0,INT($AC$33*'Tabelas'!$F$814/2147483647)+1),'Tabelas'!$R$817:$R$923,0))&amp;"",""))&amp;" "&amp;IF('Tabelas'!$G$814&lt;=0,"",IFERROR(INDEX('Tabelas'!$AC$817:$AC$923,MATCH(IF('Tabelas'!$G$814&lt;=0,0,INT($AC$34*'Tabelas'!$G$814/2147483647)+1),'Tabelas'!$S$817:$S$923,0))&amp;"",""))))</f>
        <v/>
      </c>
      <c r="I43" s="5">
        <f>"Tabelas: Nome de facção (início + fim)"</f>
        <v/>
      </c>
      <c r="K43" s="19">
        <f>IF('Tabelas'!$F$814&lt;=0,"Lista 'Nome de facção (início)' está vazia (aba Tabelas)","")</f>
        <v/>
      </c>
      <c r="AA43" s="2">
        <f>MOD(MOD(MOD((MOD('Início'!$E$16+104729*$C$11+8254577,2147483646)+1)*16807,2147483647)*16807,2147483647)*16807,2147483647)</f>
        <v/>
      </c>
      <c r="AB43" s="2">
        <f>MOD(MOD(MOD((MOD(MOD(INT($AA$43/65536)*$AA$43,2147483647)*65536+MOD($AA$43,65536)*$AA$43,2147483647))*16807,2147483647)*16807,2147483647)*16807,2147483647)</f>
        <v/>
      </c>
      <c r="AC43" s="2">
        <f>MOD(MOD(MOD((MOD($AB$43+INT($AB$43/65536)*MOD($AB$43,65536),2147483646)+1)*16807,2147483647)*16807,2147483647)*16807,2147483647)</f>
        <v/>
      </c>
    </row>
    <row r="44" ht="26" customHeight="1">
      <c r="A44" s="21" t="inlineStr">
        <is>
          <t>Caminho levado a sério</t>
        </is>
      </c>
      <c r="B44" s="10">
        <f>INDEX('Dados'!$A$360:$A$368,INT($AC$35*9/2147483647)+1)</f>
        <v/>
      </c>
      <c r="I44" s="10">
        <f>"Os 9 Caminhos (06.3; 27.16)"</f>
        <v/>
      </c>
      <c r="K44" s="30" t="n"/>
      <c r="L44" s="30" t="n"/>
      <c r="AA44" s="2">
        <f>MOD(MOD(MOD((MOD('Início'!$E$16+104729*$C$11+9554286,2147483646)+1)*16807,2147483647)*16807,2147483647)*16807,2147483647)</f>
        <v/>
      </c>
      <c r="AB44" s="2">
        <f>MOD(MOD(MOD((MOD(MOD(INT($AA$44/65536)*$AA$44,2147483647)*65536+MOD($AA$44,65536)*$AA$44,2147483647))*16807,2147483647)*16807,2147483647)*16807,2147483647)</f>
        <v/>
      </c>
      <c r="AC44" s="2">
        <f>MOD(MOD(MOD((MOD($AB$44+INT($AB$44/65536)*MOD($AB$44,65536),2147483646)+1)*16807,2147483647)*16807,2147483647)*16807,2147483647)</f>
        <v/>
      </c>
    </row>
    <row r="45" ht="26" customHeight="1">
      <c r="A45" s="9" t="inlineStr">
        <is>
          <t>O que quer</t>
        </is>
      </c>
      <c r="B45" s="5">
        <f>IF('Tabelas'!$B$1044&lt;=0,"",IFERROR(INDEX('Tabelas'!$X$1047:$X$1153,MATCH(IF('Tabelas'!$B$1044&lt;=0,0,INT($AC$36*'Tabelas'!$B$1044/2147483647)+1),'Tabelas'!$N$1047:$N$1153,0))&amp;"",""))</f>
        <v/>
      </c>
      <c r="I45" s="5">
        <f>"Tabelas: Facção, o que quer"</f>
        <v/>
      </c>
      <c r="K45" s="19">
        <f>IF('Tabelas'!$B$1044&lt;=0,"Lista 'Facção: o que quer' está vazia (aba Tabelas)","")</f>
        <v/>
      </c>
      <c r="AA45" s="2">
        <f>MOD(MOD(MOD((MOD('Início'!$E$16+104729*$C$11+10853995,2147483646)+1)*16807,2147483647)*16807,2147483647)*16807,2147483647)</f>
        <v/>
      </c>
      <c r="AB45" s="2">
        <f>MOD(MOD(MOD((MOD(MOD(INT($AA$45/65536)*$AA$45,2147483647)*65536+MOD($AA$45,65536)*$AA$45,2147483647))*16807,2147483647)*16807,2147483647)*16807,2147483647)</f>
        <v/>
      </c>
      <c r="AC45" s="2">
        <f>MOD(MOD(MOD((MOD($AB$45+INT($AB$45/65536)*MOD($AB$45,65536),2147483646)+1)*16807,2147483647)*16807,2147483647)*16807,2147483647)</f>
        <v/>
      </c>
    </row>
    <row r="46" ht="26" customHeight="1">
      <c r="A46" s="21" t="inlineStr">
        <is>
          <t>Método</t>
        </is>
      </c>
      <c r="B46" s="10">
        <f>IF('Tabelas'!$C$1044&lt;=0,"",IFERROR(INDEX('Tabelas'!$Y$1047:$Y$1153,MATCH(IF('Tabelas'!$C$1044&lt;=0,0,INT($AC$37*'Tabelas'!$C$1044/2147483647)+1),'Tabelas'!$O$1047:$O$1153,0))&amp;"",""))</f>
        <v/>
      </c>
      <c r="I46" s="10">
        <f>"Tabelas: Facção, método"</f>
        <v/>
      </c>
      <c r="K46" s="27">
        <f>IF('Tabelas'!$C$1044&lt;=0,"Lista 'Facção: método' está vazia (aba Tabelas)","")</f>
        <v/>
      </c>
      <c r="AA46" s="2">
        <f>MOD(MOD(MOD((MOD('Início'!$E$16+104729*$C$11+12153704,2147483646)+1)*16807,2147483647)*16807,2147483647)*16807,2147483647)</f>
        <v/>
      </c>
      <c r="AB46" s="2">
        <f>MOD(MOD(MOD((MOD(MOD(INT($AA$46/65536)*$AA$46,2147483647)*65536+MOD($AA$46,65536)*$AA$46,2147483647))*16807,2147483647)*16807,2147483647)*16807,2147483647)</f>
        <v/>
      </c>
      <c r="AC46" s="2">
        <f>MOD(MOD(MOD((MOD($AB$46+INT($AB$46/65536)*MOD($AB$46,65536),2147483646)+1)*16807,2147483647)*16807,2147483647)*16807,2147483647)</f>
        <v/>
      </c>
    </row>
    <row r="47" ht="26" customHeight="1">
      <c r="A47" s="9" t="inlineStr">
        <is>
          <t>Recurso</t>
        </is>
      </c>
      <c r="B47" s="5">
        <f>IF('Tabelas'!$D$1044&lt;=0,"",IFERROR(INDEX('Tabelas'!$Z$1047:$Z$1153,MATCH(IF('Tabelas'!$D$1044&lt;=0,0,INT($AC$38*'Tabelas'!$D$1044/2147483647)+1),'Tabelas'!$P$1047:$P$1153,0))&amp;"",""))</f>
        <v/>
      </c>
      <c r="I47" s="5">
        <f>"Tabelas: Facção, recurso"</f>
        <v/>
      </c>
      <c r="K47" s="19">
        <f>IF('Tabelas'!$D$1044&lt;=0,"Lista 'Facção: recurso' está vazia (aba Tabelas)","")</f>
        <v/>
      </c>
      <c r="AA47" s="2">
        <f>MOD(MOD(MOD((MOD('Início'!$E$16+104729*$C$11+13453413,2147483646)+1)*16807,2147483647)*16807,2147483647)*16807,2147483647)</f>
        <v/>
      </c>
      <c r="AB47" s="2">
        <f>MOD(MOD(MOD((MOD(MOD(INT($AA$47/65536)*$AA$47,2147483647)*65536+MOD($AA$47,65536)*$AA$47,2147483647))*16807,2147483647)*16807,2147483647)*16807,2147483647)</f>
        <v/>
      </c>
      <c r="AC47" s="2">
        <f>MOD(MOD(MOD((MOD($AB$47+INT($AB$47/65536)*MOD($AB$47,65536),2147483646)+1)*16807,2147483647)*16807,2147483647)*16807,2147483647)</f>
        <v/>
      </c>
    </row>
    <row r="48" ht="26" customHeight="1">
      <c r="A48" s="21" t="inlineStr">
        <is>
          <t>Como usar</t>
        </is>
      </c>
      <c r="B48" s="10">
        <f>IF('Tabelas'!$E$1044&lt;=0,"",IFERROR(INDEX('Tabelas'!$AA$1047:$AA$1153,MATCH(IF('Tabelas'!$E$1044&lt;=0,0,INT($AC$39*'Tabelas'!$E$1044/2147483647)+1),'Tabelas'!$Q$1047:$Q$1153,0))&amp;"",""))</f>
        <v/>
      </c>
      <c r="I48" s="10">
        <f>"Tabelas: Facção, como usar (no tom de 27.16)"</f>
        <v/>
      </c>
      <c r="K48" s="27">
        <f>IF('Tabelas'!$E$1044&lt;=0,"Lista 'Facção: como usar' está vazia (aba Tabelas)","")</f>
        <v/>
      </c>
      <c r="AA48" s="2">
        <f>MOD(MOD(MOD((MOD('Início'!$E$16+104729*$C$11+14753122,2147483646)+1)*16807,2147483647)*16807,2147483647)*16807,2147483647)</f>
        <v/>
      </c>
      <c r="AB48" s="2">
        <f>MOD(MOD(MOD((MOD(MOD(INT($AA$48/65536)*$AA$48,2147483647)*65536+MOD($AA$48,65536)*$AA$48,2147483647))*16807,2147483647)*16807,2147483647)*16807,2147483647)</f>
        <v/>
      </c>
      <c r="AC48" s="2">
        <f>MOD(MOD(MOD((MOD($AB$48+INT($AB$48/65536)*MOD($AB$48,65536),2147483646)+1)*16807,2147483647)*16807,2147483647)*16807,2147483647)</f>
        <v/>
      </c>
    </row>
    <row r="49"/>
    <row r="50" ht="20" customHeight="1">
      <c r="A50" s="13" t="inlineStr">
        <is>
          <t>Linha de saída: cole como valores numa linha livre de Facções (aba Campanha): A em A e G:I em G:I</t>
        </is>
      </c>
      <c r="AA50" s="2">
        <f>MOD(MOD(MOD((MOD('Início'!$E$16+104729*$C$12+5734349,2147483646)+1)*16807,2147483647)*16807,2147483647)*16807,2147483647)</f>
        <v/>
      </c>
      <c r="AB50" s="2">
        <f>MOD(MOD(MOD((MOD(MOD(INT($AA$50/65536)*$AA$50,2147483647)*65536+MOD($AA$50,65536)*$AA$50,2147483647))*16807,2147483647)*16807,2147483647)*16807,2147483647)</f>
        <v/>
      </c>
      <c r="AC50" s="2">
        <f>MOD(MOD(MOD((MOD($AB$50+INT($AB$50/65536)*MOD($AB$50,65536),2147483646)+1)*16807,2147483647)*16807,2147483647)*16807,2147483647)</f>
        <v/>
      </c>
    </row>
    <row r="51" ht="26" customHeight="1">
      <c r="A51" s="8" t="inlineStr">
        <is>
          <t>Facção</t>
        </is>
      </c>
      <c r="B51" s="8" t="inlineStr">
        <is>
          <t>Atitude</t>
        </is>
      </c>
      <c r="C51" s="8" t="inlineStr">
        <is>
          <t>Leitura</t>
        </is>
      </c>
      <c r="D51" s="20" t="n"/>
      <c r="E51" s="8" t="inlineStr">
        <is>
          <t>Relógio ligado</t>
        </is>
      </c>
      <c r="F51" s="20" t="n"/>
      <c r="G51" s="8" t="inlineStr">
        <is>
          <t>Notas</t>
        </is>
      </c>
      <c r="H51" s="20" t="n"/>
      <c r="I51" s="20" t="n"/>
      <c r="J51" s="8" t="inlineStr">
        <is>
          <t>Último contato</t>
        </is>
      </c>
      <c r="AA51" s="2">
        <f>MOD(MOD(MOD((MOD('Início'!$E$16+104729*$C$12+7034058,2147483646)+1)*16807,2147483647)*16807,2147483647)*16807,2147483647)</f>
        <v/>
      </c>
      <c r="AB51" s="2">
        <f>MOD(MOD(MOD((MOD(MOD(INT($AA$51/65536)*$AA$51,2147483647)*65536+MOD($AA$51,65536)*$AA$51,2147483647))*16807,2147483647)*16807,2147483647)*16807,2147483647)</f>
        <v/>
      </c>
      <c r="AC51" s="2">
        <f>MOD(MOD(MOD((MOD($AB$51+INT($AB$51/65536)*MOD($AB$51,65536),2147483646)+1)*16807,2147483647)*16807,2147483647)*16807,2147483647)</f>
        <v/>
      </c>
    </row>
    <row r="52" ht="71" customHeight="1">
      <c r="A52" s="31">
        <f>$B$43</f>
        <v/>
      </c>
      <c r="G52" s="5">
        <f>IF(LEN($B$43)=0,"",$B$44&amp;"; quer "&amp;$B$45&amp;"; método: "&amp;$B$46&amp;"; recurso: "&amp;$B$47&amp;". Como usar: "&amp;$B$48)</f>
        <v/>
      </c>
      <c r="AA52" s="2">
        <f>MOD(MOD(MOD((MOD('Início'!$E$16+104729*$C$12+8333767,2147483646)+1)*16807,2147483647)*16807,2147483647)*16807,2147483647)</f>
        <v/>
      </c>
      <c r="AB52" s="2">
        <f>MOD(MOD(MOD((MOD(MOD(INT($AA$52/65536)*$AA$52,2147483647)*65536+MOD($AA$52,65536)*$AA$52,2147483647))*16807,2147483647)*16807,2147483647)*16807,2147483647)</f>
        <v/>
      </c>
      <c r="AC52" s="2">
        <f>MOD(MOD(MOD((MOD($AB$52+INT($AB$52/65536)*MOD($AB$52,65536),2147483646)+1)*16807,2147483647)*16807,2147483647)*16807,2147483647)</f>
        <v/>
      </c>
    </row>
    <row r="53">
      <c r="A53" s="32" t="inlineStr">
        <is>
          <t>As colunas estão na ordem de Facções (D6). Não cole por cima da Leitura (C:D): ela é calculada pela atitude que você escolher.</t>
        </is>
      </c>
      <c r="AA53" s="2">
        <f>MOD(MOD(MOD((MOD('Início'!$E$16+104729*$C$12+9633476,2147483646)+1)*16807,2147483647)*16807,2147483647)*16807,2147483647)</f>
        <v/>
      </c>
      <c r="AB53" s="2">
        <f>MOD(MOD(MOD((MOD(MOD(INT($AA$53/65536)*$AA$53,2147483647)*65536+MOD($AA$53,65536)*$AA$53,2147483647))*16807,2147483647)*16807,2147483647)*16807,2147483647)</f>
        <v/>
      </c>
      <c r="AC53" s="2">
        <f>MOD(MOD(MOD((MOD($AB$53+INT($AB$53/65536)*MOD($AB$53,65536),2147483646)+1)*16807,2147483647)*16807,2147483647)*16807,2147483647)</f>
        <v/>
      </c>
    </row>
    <row r="54">
      <c r="AA54" s="2">
        <f>MOD(MOD(MOD((MOD('Início'!$E$16+104729*$C$12+10933185,2147483646)+1)*16807,2147483647)*16807,2147483647)*16807,2147483647)</f>
        <v/>
      </c>
      <c r="AB54" s="2">
        <f>MOD(MOD(MOD((MOD(MOD(INT($AA$54/65536)*$AA$54,2147483647)*65536+MOD($AA$54,65536)*$AA$54,2147483647))*16807,2147483647)*16807,2147483647)*16807,2147483647)</f>
        <v/>
      </c>
      <c r="AC54" s="2">
        <f>MOD(MOD(MOD((MOD($AB$54+INT($AB$54/65536)*MOD($AB$54,65536),2147483646)+1)*16807,2147483647)*16807,2147483647)*16807,2147483647)</f>
        <v/>
      </c>
    </row>
    <row r="55" ht="20" customHeight="1">
      <c r="A55" s="13" t="inlineStr">
        <is>
          <t>Organização (G = 550)</t>
        </is>
      </c>
      <c r="AA55" s="2">
        <f>MOD(MOD(MOD((MOD('Início'!$E$16+104729*$C$12+12232894,2147483646)+1)*16807,2147483647)*16807,2147483647)*16807,2147483647)</f>
        <v/>
      </c>
      <c r="AB55" s="2">
        <f>MOD(MOD(MOD((MOD(MOD(INT($AA$55/65536)*$AA$55,2147483647)*65536+MOD($AA$55,65536)*$AA$55,2147483647))*16807,2147483647)*16807,2147483647)*16807,2147483647)</f>
        <v/>
      </c>
      <c r="AC55" s="2">
        <f>MOD(MOD(MOD((MOD($AB$55+INT($AB$55/65536)*MOD($AB$55,65536),2147483646)+1)*16807,2147483647)*16807,2147483647)*16807,2147483647)</f>
        <v/>
      </c>
    </row>
    <row r="56">
      <c r="A56" s="8" t="inlineStr">
        <is>
          <t>Campo</t>
        </is>
      </c>
      <c r="B56" s="8" t="inlineStr">
        <is>
          <t>Sorteado (automático)</t>
        </is>
      </c>
      <c r="C56" s="20" t="n"/>
      <c r="D56" s="20" t="n"/>
      <c r="E56" s="20" t="n"/>
      <c r="F56" s="20" t="n"/>
      <c r="G56" s="20" t="n"/>
      <c r="H56" s="20" t="n"/>
      <c r="I56" s="8" t="inlineStr">
        <is>
          <t>De onde vem</t>
        </is>
      </c>
      <c r="J56" s="20" t="n"/>
      <c r="K56" s="8" t="inlineStr">
        <is>
          <t>Aviso</t>
        </is>
      </c>
      <c r="L56" s="20" t="n"/>
      <c r="AA56" s="2">
        <f>MOD(MOD(MOD((MOD('Início'!$E$16+104729*$C$12+13532603,2147483646)+1)*16807,2147483647)*16807,2147483647)*16807,2147483647)</f>
        <v/>
      </c>
      <c r="AB56" s="2">
        <f>MOD(MOD(MOD((MOD(MOD(INT($AA$56/65536)*$AA$56,2147483647)*65536+MOD($AA$56,65536)*$AA$56,2147483647))*16807,2147483647)*16807,2147483647)*16807,2147483647)</f>
        <v/>
      </c>
      <c r="AC56" s="2">
        <f>MOD(MOD(MOD((MOD($AB$56+INT($AB$56/65536)*MOD($AB$56,65536),2147483646)+1)*16807,2147483647)*16807,2147483647)*16807,2147483647)</f>
        <v/>
      </c>
    </row>
    <row r="57">
      <c r="A57" s="9" t="inlineStr">
        <is>
          <t>Nome</t>
        </is>
      </c>
      <c r="B57" s="46">
        <f>IF('Tabelas'!$H$814&lt;=0,"",IFERROR(INDEX('Tabelas'!$AD$817:$AD$923,MATCH(IF('Tabelas'!$H$814&lt;=0,0,INT($AC$41*'Tabelas'!$H$814/2147483647)+1),'Tabelas'!$T$817:$T$923,0))&amp;"",""))</f>
        <v/>
      </c>
      <c r="I57" s="5">
        <f>"Tabelas: Organização"</f>
        <v/>
      </c>
      <c r="K57" s="19">
        <f>IF('Tabelas'!$H$814&lt;=0,"Lista 'Organização' está vazia (aba Tabelas)","")</f>
        <v/>
      </c>
      <c r="N57" s="2">
        <f>INDEX('Dados'!$A$350:$A$356,INT($AC$42*7/2147483647)+1)</f>
        <v/>
      </c>
      <c r="AA57" s="2">
        <f>MOD(MOD(MOD((MOD('Início'!$E$16+104729*$C$12+14832312,2147483646)+1)*16807,2147483647)*16807,2147483647)*16807,2147483647)</f>
        <v/>
      </c>
      <c r="AB57" s="2">
        <f>MOD(MOD(MOD((MOD(MOD(INT($AA$57/65536)*$AA$57,2147483647)*65536+MOD($AA$57,65536)*$AA$57,2147483647))*16807,2147483647)*16807,2147483647)*16807,2147483647)</f>
        <v/>
      </c>
      <c r="AC57" s="2">
        <f>MOD(MOD(MOD((MOD($AB$57+INT($AB$57/65536)*MOD($AB$57,65536),2147483646)+1)*16807,2147483647)*16807,2147483647)*16807,2147483647)</f>
        <v/>
      </c>
    </row>
    <row r="58" ht="26" customHeight="1">
      <c r="A58" s="21" t="inlineStr">
        <is>
          <t>Quem manda</t>
        </is>
      </c>
      <c r="B58" s="10">
        <f>IF(LEN($N$60)=0,$N$59,IF(LEN($N$59)=0,$N$60,IF(INDEX('Dados'!$B$388:$B$394,$N$58)=2,$N$60&amp;INDEX('Dados'!$C$388:$C$394,$N$58)&amp;$N$59,$N$59&amp;INDEX('Dados'!$C$388:$C$394,$N$58)&amp;$N$60)))&amp;" ("&amp;$N$57&amp;")"</f>
        <v/>
      </c>
      <c r="I58" s="10">
        <f>"Tabelas: nome da cultura da Raça sorteada (05)"</f>
        <v/>
      </c>
      <c r="K58" s="30" t="n"/>
      <c r="L58" s="30" t="n"/>
      <c r="N58" s="2">
        <f>IFERROR(MATCH($N$57,'Dados'!$A$388:$A$394,0),1)</f>
        <v/>
      </c>
    </row>
    <row r="59" ht="26" customHeight="1">
      <c r="A59" s="9" t="inlineStr">
        <is>
          <t>O que oferece</t>
        </is>
      </c>
      <c r="B59" s="5">
        <f>IF('Tabelas'!$I$814&lt;=0,"",IFERROR(INDEX('Tabelas'!$AE$817:$AE$923,MATCH(IF('Tabelas'!$I$814&lt;=0,0,INT($AC$45*'Tabelas'!$I$814/2147483647)+1),'Tabelas'!$U$817:$U$923,0))&amp;"",""))</f>
        <v/>
      </c>
      <c r="I59" s="5">
        <f>"Tabelas: Organização, o que oferece"</f>
        <v/>
      </c>
      <c r="K59" s="19">
        <f>IF('Tabelas'!$I$814&lt;=0,"Lista 'Organização: o que oferece' está vazia (aba Tabelas)","")</f>
        <v/>
      </c>
      <c r="N59" s="2">
        <f>IF($N$58=1,IF('Tabelas'!$B$124&lt;=0,"",IFERROR(INDEX('Tabelas'!$X$127:$X$233,MATCH(IF('Tabelas'!$B$124&lt;=0,0,INT($AC$43*'Tabelas'!$B$124/2147483647)+1),'Tabelas'!$N$127:$N$233,0))&amp;"","")),IF($N$58=2,IF('Tabelas'!$C$124&lt;=0,"",IFERROR(INDEX('Tabelas'!$Y$127:$Y$233,MATCH(IF('Tabelas'!$C$124&lt;=0,0,INT($AC$43*'Tabelas'!$C$124/2147483647)+1),'Tabelas'!$O$127:$O$233,0))&amp;"","")),IF($N$58=3,IF('Tabelas'!$D$124&lt;=0,"",IFERROR(INDEX('Tabelas'!$Z$127:$Z$233,MATCH(IF('Tabelas'!$D$124&lt;=0,0,INT($AC$43*'Tabelas'!$D$124/2147483647)+1),'Tabelas'!$P$127:$P$233,0))&amp;"","")),IF($N$58=4,IF('Tabelas'!$E$124&lt;=0,"",IFERROR(INDEX('Tabelas'!$AA$127:$AA$233,MATCH(IF('Tabelas'!$E$124&lt;=0,0,INT($AC$43*'Tabelas'!$E$124/2147483647)+1),'Tabelas'!$Q$127:$Q$233,0))&amp;"","")),IF($N$58=5,IF('Tabelas'!$F$124&lt;=0,"",IFERROR(INDEX('Tabelas'!$AB$127:$AB$233,MATCH(IF('Tabelas'!$F$124&lt;=0,0,INT($AC$43*'Tabelas'!$F$124/2147483647)+1),'Tabelas'!$R$127:$R$233,0))&amp;"","")),IF($N$58=6,IF('Tabelas'!$G$124&lt;=0,"",IFERROR(INDEX('Tabelas'!$AC$127:$AC$233,MATCH(IF('Tabelas'!$G$124&lt;=0,0,INT($AC$43*'Tabelas'!$G$124/2147483647)+1),'Tabelas'!$S$127:$S$233,0))&amp;"","")),IF('Tabelas'!$H$124&lt;=0,"",IFERROR(INDEX('Tabelas'!$AD$127:$AD$233,MATCH(IF('Tabelas'!$H$124&lt;=0,0,INT($AC$43*'Tabelas'!$H$124/2147483647)+1),'Tabelas'!$T$127:$T$233,0))&amp;"",""))))))))</f>
        <v/>
      </c>
    </row>
    <row r="60" ht="26" customHeight="1">
      <c r="A60" s="21" t="inlineStr">
        <is>
          <t>O que cobra</t>
        </is>
      </c>
      <c r="B60" s="10">
        <f>IF('Tabelas'!$J$814&lt;=0,"",IFERROR(INDEX('Tabelas'!$AF$817:$AF$923,MATCH(IF('Tabelas'!$J$814&lt;=0,0,INT($AC$46*'Tabelas'!$J$814/2147483647)+1),'Tabelas'!$V$817:$V$923,0))&amp;"",""))</f>
        <v/>
      </c>
      <c r="I60" s="10">
        <f>"Tabelas: Organização, o que cobra"</f>
        <v/>
      </c>
      <c r="K60" s="27">
        <f>IF('Tabelas'!$J$814&lt;=0,"Lista 'Organização: o que cobra' está vazia (aba Tabelas)","")</f>
        <v/>
      </c>
      <c r="N60" s="2">
        <f>IF($N$58=1,IF('Tabelas'!$B$239&lt;=0,"",IFERROR(INDEX('Tabelas'!$X$242:$X$348,MATCH(IF('Tabelas'!$B$239&lt;=0,0,INT($AC$44*'Tabelas'!$B$239/2147483647)+1),'Tabelas'!$N$242:$N$348,0))&amp;"","")),IF($N$58=2,IF('Tabelas'!$C$239&lt;=0,"",IFERROR(INDEX('Tabelas'!$Y$242:$Y$348,MATCH(IF('Tabelas'!$C$239&lt;=0,0,INT($AC$44*'Tabelas'!$C$239/2147483647)+1),'Tabelas'!$O$242:$O$348,0))&amp;"","")),IF($N$58=3,IF('Tabelas'!$D$239&lt;=0,"",IFERROR(INDEX('Tabelas'!$Z$242:$Z$348,MATCH(IF('Tabelas'!$D$239&lt;=0,0,INT($AC$44*'Tabelas'!$D$239/2147483647)+1),'Tabelas'!$P$242:$P$348,0))&amp;"","")),IF($N$58=4,IF('Tabelas'!$E$239&lt;=0,"",IFERROR(INDEX('Tabelas'!$AA$242:$AA$348,MATCH(IF('Tabelas'!$E$239&lt;=0,0,INT($AC$44*'Tabelas'!$E$239/2147483647)+1),'Tabelas'!$Q$242:$Q$348,0))&amp;"","")),IF($N$58=5,IF('Tabelas'!$F$239&lt;=0,"",IFERROR(INDEX('Tabelas'!$AB$242:$AB$348,MATCH(IF('Tabelas'!$F$239&lt;=0,0,INT($AC$44*'Tabelas'!$F$239/2147483647)+1),'Tabelas'!$R$242:$R$348,0))&amp;"","")),IF($N$58=6,IF('Tabelas'!$G$239&lt;=0,"",IFERROR(INDEX('Tabelas'!$AC$242:$AC$348,MATCH(IF('Tabelas'!$G$239&lt;=0,0,INT($AC$44*'Tabelas'!$G$239/2147483647)+1),'Tabelas'!$S$242:$S$348,0))&amp;"","")),IF('Tabelas'!$H$239&lt;=0,"",IFERROR(INDEX('Tabelas'!$AD$242:$AD$348,MATCH(IF('Tabelas'!$H$239&lt;=0,0,INT($AC$44*'Tabelas'!$H$239/2147483647)+1),'Tabelas'!$T$242:$T$348,0))&amp;"",""))))))))</f>
        <v/>
      </c>
    </row>
    <row r="61" ht="26" customHeight="1">
      <c r="A61" s="9" t="inlineStr">
        <is>
          <t>Sede</t>
        </is>
      </c>
      <c r="B61" s="5">
        <f>IF(LEN(IF('Tabelas'!$B$814&lt;=0,"",IFERROR(INDEX('Tabelas'!$X$817:$X$923,MATCH(IF('Tabelas'!$B$814&lt;=0,0,INT($AC$47*'Tabelas'!$B$814/2147483647)+1),'Tabelas'!$N$817:$N$923,0))&amp;"","")))=0,IF('Tabelas'!$C$814&lt;=0,"",IFERROR(INDEX('Tabelas'!$Y$817:$Y$923,MATCH(IF('Tabelas'!$C$814&lt;=0,0,INT($AC$48*'Tabelas'!$C$814/2147483647)+1),'Tabelas'!$O$817:$O$923,0))&amp;"","")),IF(LEN(IF('Tabelas'!$C$814&lt;=0,"",IFERROR(INDEX('Tabelas'!$Y$817:$Y$923,MATCH(IF('Tabelas'!$C$814&lt;=0,0,INT($AC$48*'Tabelas'!$C$814/2147483647)+1),'Tabelas'!$O$817:$O$923,0))&amp;"","")))=0,IF('Tabelas'!$B$814&lt;=0,"",IFERROR(INDEX('Tabelas'!$X$817:$X$923,MATCH(IF('Tabelas'!$B$814&lt;=0,0,INT($AC$47*'Tabelas'!$B$814/2147483647)+1),'Tabelas'!$N$817:$N$923,0))&amp;"","")),IF('Tabelas'!$B$814&lt;=0,"",IFERROR(INDEX('Tabelas'!$X$817:$X$923,MATCH(IF('Tabelas'!$B$814&lt;=0,0,INT($AC$47*'Tabelas'!$B$814/2147483647)+1),'Tabelas'!$N$817:$N$923,0))&amp;"",""))&amp;" "&amp;IF('Tabelas'!$C$814&lt;=0,"",IFERROR(INDEX('Tabelas'!$Y$817:$Y$923,MATCH(IF('Tabelas'!$C$814&lt;=0,0,INT($AC$48*'Tabelas'!$C$814/2147483647)+1),'Tabelas'!$O$817:$O$923,0))&amp;"",""))))</f>
        <v/>
      </c>
      <c r="I61" s="5">
        <f>"Tabelas: Nome de lugar (início + fim)"</f>
        <v/>
      </c>
    </row>
    <row r="62"/>
    <row r="63" ht="26" customHeight="1">
      <c r="A63" s="13" t="inlineStr">
        <is>
          <t>Nomes avulsos (G = 560): 10 de cada, sem repetir</t>
        </is>
      </c>
      <c r="K63" s="12" t="inlineStr">
        <is>
          <t>Sugestão da planilha — não é regra do livro (H25)</t>
        </is>
      </c>
    </row>
    <row r="64" ht="26" customHeight="1">
      <c r="A64" s="9" t="inlineStr">
        <is>
          <t>Cultura</t>
        </is>
      </c>
      <c r="B64" s="4" t="n"/>
      <c r="C64" s="17" t="n"/>
      <c r="D64" s="5">
        <f>IF(COUNTIF('Dados'!$A$350:$A$356,$AE$64)&gt;0,"Escolhida: ","Sorteada: ")&amp;$N$64&amp;" (estilo de 05)"</f>
        <v/>
      </c>
      <c r="K64" s="19">
        <f>IF(AF64&gt;0,"O Google leu como fórmula: escolha de novo na lista.",IF(AND(LEN($AE$64)&gt;0,$AE$64&lt;&gt;"Sortear",COUNTIF('Dados'!$A$350:$A$356,$AE$64)=0),"Cultura fora da lista do capítulo 05: sorteando",""))</f>
        <v/>
      </c>
      <c r="N64" s="2">
        <f>IF(COUNTIF('Dados'!$A$350:$A$356,$AE$64)&gt;0,$AE$64,INDEX('Dados'!$A$350:$A$356,INT($AC$50*7/2147483647)+1))</f>
        <v/>
      </c>
      <c r="AE64" s="2">
        <f>IF(ISERROR($B$64),"",IF(ISBLANK($B$64),"",$B$64))</f>
        <v/>
      </c>
      <c r="AF64" s="2">
        <f>ISERROR($B$64)*1</f>
        <v/>
      </c>
    </row>
    <row r="65">
      <c r="A65" s="8" t="inlineStr">
        <is>
          <t>Nº</t>
        </is>
      </c>
      <c r="B65" s="8" t="inlineStr">
        <is>
          <t>Pessoa</t>
        </is>
      </c>
      <c r="C65" s="20" t="n"/>
      <c r="D65" s="20" t="n"/>
      <c r="E65" s="8" t="inlineStr">
        <is>
          <t>Lugar</t>
        </is>
      </c>
      <c r="F65" s="20" t="n"/>
      <c r="G65" s="8" t="inlineStr">
        <is>
          <t>Nave</t>
        </is>
      </c>
      <c r="H65" s="20" t="n"/>
      <c r="I65" s="8" t="inlineStr">
        <is>
          <t>Organização</t>
        </is>
      </c>
      <c r="J65" s="20" t="n"/>
      <c r="K65" s="8" t="inlineStr">
        <is>
          <t>Aviso</t>
        </is>
      </c>
      <c r="L65" s="20" t="n"/>
      <c r="N65" s="2">
        <f>IFERROR(MATCH($N$64,'Dados'!$A$388:$A$394,0),1)</f>
        <v/>
      </c>
    </row>
    <row r="66" ht="26" customHeight="1">
      <c r="A66" s="9" t="inlineStr">
        <is>
          <t>1</t>
        </is>
      </c>
      <c r="B66" s="5">
        <f>IF(LEN($P$66)=0,$O$66,IF(LEN($O$66)=0,$P$66,IF(INDEX('Dados'!$B$388:$B$394,$N$65)=2,$P$66&amp;INDEX('Dados'!$C$388:$C$394,$N$65)&amp;$O$66,$O$66&amp;INDEX('Dados'!$C$388:$C$394,$N$65)&amp;$P$66)))</f>
        <v/>
      </c>
      <c r="E66" s="5">
        <f>IF(LEN(IF($N$72&lt;=0,"",IFERROR(INDEX('Tabelas'!$X$817:$X$923,MATCH(IF($N$72&lt;=0,0,MOD($N$74-1+0*$N$73,$N$72)+1),'Tabelas'!$N$817:$N$923,0))&amp;"","")))=0,IF($N$75&lt;=0,"",IFERROR(INDEX('Tabelas'!$Y$817:$Y$923,MATCH(IF($N$75&lt;=0,0,MOD($N$77-1+0*$N$76,$N$75)+1),'Tabelas'!$O$817:$O$923,0))&amp;"","")),IF(LEN(IF($N$75&lt;=0,"",IFERROR(INDEX('Tabelas'!$Y$817:$Y$923,MATCH(IF($N$75&lt;=0,0,MOD($N$77-1+0*$N$76,$N$75)+1),'Tabelas'!$O$817:$O$923,0))&amp;"","")))=0,IF($N$72&lt;=0,"",IFERROR(INDEX('Tabelas'!$X$817:$X$923,MATCH(IF($N$72&lt;=0,0,MOD($N$74-1+0*$N$73,$N$72)+1),'Tabelas'!$N$817:$N$923,0))&amp;"","")),IF($N$72&lt;=0,"",IFERROR(INDEX('Tabelas'!$X$817:$X$923,MATCH(IF($N$72&lt;=0,0,MOD($N$74-1+0*$N$73,$N$72)+1),'Tabelas'!$N$817:$N$923,0))&amp;"",""))&amp;" "&amp;IF($N$75&lt;=0,"",IFERROR(INDEX('Tabelas'!$Y$817:$Y$923,MATCH(IF($N$75&lt;=0,0,MOD($N$77-1+0*$N$76,$N$75)+1),'Tabelas'!$O$817:$O$923,0))&amp;"",""))))</f>
        <v/>
      </c>
      <c r="G66" s="5">
        <f>IF(LEN(IF($N$78&lt;=0,"",IFERROR(INDEX('Tabelas'!$Z$817:$Z$923,MATCH(IF($N$78&lt;=0,0,MOD($N$80-1+0*$N$79,$N$78)+1),'Tabelas'!$P$817:$P$923,0))&amp;"","")))=0,IF($N$81&lt;=0,"",IFERROR(INDEX('Tabelas'!$AA$817:$AA$923,MATCH(IF($N$81&lt;=0,0,MOD($N$83-1+0*$N$82,$N$81)+1),'Tabelas'!$Q$817:$Q$923,0))&amp;"","")),IF(LEN(IF($N$81&lt;=0,"",IFERROR(INDEX('Tabelas'!$AA$817:$AA$923,MATCH(IF($N$81&lt;=0,0,MOD($N$83-1+0*$N$82,$N$81)+1),'Tabelas'!$Q$817:$Q$923,0))&amp;"","")))=0,IF($N$78&lt;=0,"",IFERROR(INDEX('Tabelas'!$Z$817:$Z$923,MATCH(IF($N$78&lt;=0,0,MOD($N$80-1+0*$N$79,$N$78)+1),'Tabelas'!$P$817:$P$923,0))&amp;"","")),IF($N$78&lt;=0,"",IFERROR(INDEX('Tabelas'!$Z$817:$Z$923,MATCH(IF($N$78&lt;=0,0,MOD($N$80-1+0*$N$79,$N$78)+1),'Tabelas'!$P$817:$P$923,0))&amp;"",""))&amp;" "&amp;IF($N$81&lt;=0,"",IFERROR(INDEX('Tabelas'!$AA$817:$AA$923,MATCH(IF($N$81&lt;=0,0,MOD($N$83-1+0*$N$82,$N$81)+1),'Tabelas'!$Q$817:$Q$923,0))&amp;"",""))))</f>
        <v/>
      </c>
      <c r="I66" s="5">
        <f>IF($N$84&lt;=0,"",IFERROR(INDEX('Tabelas'!$AD$817:$AD$923,MATCH(IF($N$84&lt;=0,0,MOD($N$86-1+0*$N$85,$N$84)+1),'Tabelas'!$T$817:$T$923,0))&amp;"",""))</f>
        <v/>
      </c>
      <c r="K66" s="19">
        <f>IF($N$65=1,IF('Tabelas'!$B$124+'Tabelas'!$B$239&lt;=0,"Listas de nome da cultura Humano vazias (aba Tabelas)",""),IF($N$65=2,IF('Tabelas'!$C$124+'Tabelas'!$C$239&lt;=0,"Listas de nome da cultura Xianzhouíta vazias (aba Tabelas)",""),IF($N$65=3,IF('Tabelas'!$D$124+'Tabelas'!$D$239&lt;=0,"Listas de nome da cultura Vidyadhara vazias (aba Tabelas)",""),IF($N$65=4,IF('Tabelas'!$E$124+'Tabelas'!$E$239&lt;=0,"Listas de nome da cultura Vulpes vazias (aba Tabelas)",""),IF($N$65=5,IF('Tabelas'!$F$124+'Tabelas'!$F$239&lt;=0,"Listas de nome da cultura Haloviano vazias (aba Tabelas)",""),IF($N$65=6,IF('Tabelas'!$G$124+'Tabelas'!$G$239&lt;=0,"Listas de nome da cultura Avginiano vazias (aba Tabelas)",""),IF('Tabelas'!$H$124+'Tabelas'!$H$239&lt;=0,"Listas de nome da cultura Intellitron vazias (aba Tabelas)","")))))))</f>
        <v/>
      </c>
      <c r="N66" s="2">
        <f>IF($N$65=1,'Tabelas'!$B$124,IF($N$65=2,'Tabelas'!$C$124,IF($N$65=3,'Tabelas'!$D$124,IF($N$65=4,'Tabelas'!$E$124,IF($N$65=5,'Tabelas'!$F$124,IF($N$65=6,'Tabelas'!$G$124,'Tabelas'!$H$124))))))</f>
        <v/>
      </c>
      <c r="O66" s="2">
        <f>IF($N$65=1,IFERROR(INDEX('Tabelas'!$X$127:$X$233,MATCH($N$87,'Tabelas'!$N$127:$N$233,0))&amp;"",""),IF($N$65=2,IFERROR(INDEX('Tabelas'!$Y$127:$Y$233,MATCH($N$87,'Tabelas'!$O$127:$O$233,0))&amp;"",""),IF($N$65=3,IFERROR(INDEX('Tabelas'!$Z$127:$Z$233,MATCH($N$87,'Tabelas'!$P$127:$P$233,0))&amp;"",""),IF($N$65=4,IFERROR(INDEX('Tabelas'!$AA$127:$AA$233,MATCH($N$87,'Tabelas'!$Q$127:$Q$233,0))&amp;"",""),IF($N$65=5,IFERROR(INDEX('Tabelas'!$AB$127:$AB$233,MATCH($N$87,'Tabelas'!$R$127:$R$233,0))&amp;"",""),IF($N$65=6,IFERROR(INDEX('Tabelas'!$AC$127:$AC$233,MATCH($N$87,'Tabelas'!$S$127:$S$233,0))&amp;"",""),IFERROR(INDEX('Tabelas'!$AD$127:$AD$233,MATCH($N$87,'Tabelas'!$T$127:$T$233,0))&amp;"","")))))))</f>
        <v/>
      </c>
      <c r="P66" s="2">
        <f>IF($N$65=1,IFERROR(INDEX('Tabelas'!$X$242:$X$348,MATCH($N$88,'Tabelas'!$N$242:$N$348,0))&amp;"",""),IF($N$65=2,IFERROR(INDEX('Tabelas'!$Y$242:$Y$348,MATCH($N$88,'Tabelas'!$O$242:$O$348,0))&amp;"",""),IF($N$65=3,IFERROR(INDEX('Tabelas'!$Z$242:$Z$348,MATCH($N$88,'Tabelas'!$P$242:$P$348,0))&amp;"",""),IF($N$65=4,IFERROR(INDEX('Tabelas'!$AA$242:$AA$348,MATCH($N$88,'Tabelas'!$Q$242:$Q$348,0))&amp;"",""),IF($N$65=5,IFERROR(INDEX('Tabelas'!$AB$242:$AB$348,MATCH($N$88,'Tabelas'!$R$242:$R$348,0))&amp;"",""),IF($N$65=6,IFERROR(INDEX('Tabelas'!$AC$242:$AC$348,MATCH($N$88,'Tabelas'!$S$242:$S$348,0))&amp;"",""),IFERROR(INDEX('Tabelas'!$AD$242:$AD$348,MATCH($N$88,'Tabelas'!$T$242:$T$348,0))&amp;"","")))))))</f>
        <v/>
      </c>
    </row>
    <row r="67" ht="26" customHeight="1">
      <c r="A67" s="21" t="inlineStr">
        <is>
          <t>2</t>
        </is>
      </c>
      <c r="B67" s="10">
        <f>IF(LEN($P$67)=0,$O$67,IF(LEN($O$67)=0,$P$67,IF(INDEX('Dados'!$B$388:$B$394,$N$65)=2,$P$67&amp;INDEX('Dados'!$C$388:$C$394,$N$65)&amp;$O$67,$O$67&amp;INDEX('Dados'!$C$388:$C$394,$N$65)&amp;$P$67)))</f>
        <v/>
      </c>
      <c r="E67" s="10">
        <f>IF(LEN(IF($N$72&lt;=0,"",IFERROR(INDEX('Tabelas'!$X$817:$X$923,MATCH(IF($N$72&lt;=0,0,MOD($N$74-1+1*$N$73,$N$72)+1),'Tabelas'!$N$817:$N$923,0))&amp;"","")))=0,IF($N$75&lt;=0,"",IFERROR(INDEX('Tabelas'!$Y$817:$Y$923,MATCH(IF($N$75&lt;=0,0,MOD($N$77-1+1*$N$76,$N$75)+1),'Tabelas'!$O$817:$O$923,0))&amp;"","")),IF(LEN(IF($N$75&lt;=0,"",IFERROR(INDEX('Tabelas'!$Y$817:$Y$923,MATCH(IF($N$75&lt;=0,0,MOD($N$77-1+1*$N$76,$N$75)+1),'Tabelas'!$O$817:$O$923,0))&amp;"","")))=0,IF($N$72&lt;=0,"",IFERROR(INDEX('Tabelas'!$X$817:$X$923,MATCH(IF($N$72&lt;=0,0,MOD($N$74-1+1*$N$73,$N$72)+1),'Tabelas'!$N$817:$N$923,0))&amp;"","")),IF($N$72&lt;=0,"",IFERROR(INDEX('Tabelas'!$X$817:$X$923,MATCH(IF($N$72&lt;=0,0,MOD($N$74-1+1*$N$73,$N$72)+1),'Tabelas'!$N$817:$N$923,0))&amp;"",""))&amp;" "&amp;IF($N$75&lt;=0,"",IFERROR(INDEX('Tabelas'!$Y$817:$Y$923,MATCH(IF($N$75&lt;=0,0,MOD($N$77-1+1*$N$76,$N$75)+1),'Tabelas'!$O$817:$O$923,0))&amp;"",""))))</f>
        <v/>
      </c>
      <c r="G67" s="10">
        <f>IF(LEN(IF($N$78&lt;=0,"",IFERROR(INDEX('Tabelas'!$Z$817:$Z$923,MATCH(IF($N$78&lt;=0,0,MOD($N$80-1+1*$N$79,$N$78)+1),'Tabelas'!$P$817:$P$923,0))&amp;"","")))=0,IF($N$81&lt;=0,"",IFERROR(INDEX('Tabelas'!$AA$817:$AA$923,MATCH(IF($N$81&lt;=0,0,MOD($N$83-1+1*$N$82,$N$81)+1),'Tabelas'!$Q$817:$Q$923,0))&amp;"","")),IF(LEN(IF($N$81&lt;=0,"",IFERROR(INDEX('Tabelas'!$AA$817:$AA$923,MATCH(IF($N$81&lt;=0,0,MOD($N$83-1+1*$N$82,$N$81)+1),'Tabelas'!$Q$817:$Q$923,0))&amp;"","")))=0,IF($N$78&lt;=0,"",IFERROR(INDEX('Tabelas'!$Z$817:$Z$923,MATCH(IF($N$78&lt;=0,0,MOD($N$80-1+1*$N$79,$N$78)+1),'Tabelas'!$P$817:$P$923,0))&amp;"","")),IF($N$78&lt;=0,"",IFERROR(INDEX('Tabelas'!$Z$817:$Z$923,MATCH(IF($N$78&lt;=0,0,MOD($N$80-1+1*$N$79,$N$78)+1),'Tabelas'!$P$817:$P$923,0))&amp;"",""))&amp;" "&amp;IF($N$81&lt;=0,"",IFERROR(INDEX('Tabelas'!$AA$817:$AA$923,MATCH(IF($N$81&lt;=0,0,MOD($N$83-1+1*$N$82,$N$81)+1),'Tabelas'!$Q$817:$Q$923,0))&amp;"",""))))</f>
        <v/>
      </c>
      <c r="I67" s="10">
        <f>IF($N$84&lt;=0,"",IFERROR(INDEX('Tabelas'!$AD$817:$AD$923,MATCH(IF($N$84&lt;=0,0,MOD($N$86-1+1*$N$85,$N$84)+1),'Tabelas'!$T$817:$T$923,0))&amp;"",""))</f>
        <v/>
      </c>
      <c r="K67" s="30" t="n"/>
      <c r="L67" s="30" t="n"/>
      <c r="N67" s="2">
        <f>IF(MOD($N$66,7)&lt;&gt;0,7,IF(MOD($N$66,11)&lt;&gt;0,11,IF(MOD($N$66,13)&lt;&gt;0,13,IF(MOD($N$66,17)&lt;&gt;0,17,IF(MOD($N$66,19)&lt;&gt;0,19,23)))))</f>
        <v/>
      </c>
      <c r="O67" s="2">
        <f>IF($N$65=1,IFERROR(INDEX('Tabelas'!$X$127:$X$233,MATCH($N$89,'Tabelas'!$N$127:$N$233,0))&amp;"",""),IF($N$65=2,IFERROR(INDEX('Tabelas'!$Y$127:$Y$233,MATCH($N$89,'Tabelas'!$O$127:$O$233,0))&amp;"",""),IF($N$65=3,IFERROR(INDEX('Tabelas'!$Z$127:$Z$233,MATCH($N$89,'Tabelas'!$P$127:$P$233,0))&amp;"",""),IF($N$65=4,IFERROR(INDEX('Tabelas'!$AA$127:$AA$233,MATCH($N$89,'Tabelas'!$Q$127:$Q$233,0))&amp;"",""),IF($N$65=5,IFERROR(INDEX('Tabelas'!$AB$127:$AB$233,MATCH($N$89,'Tabelas'!$R$127:$R$233,0))&amp;"",""),IF($N$65=6,IFERROR(INDEX('Tabelas'!$AC$127:$AC$233,MATCH($N$89,'Tabelas'!$S$127:$S$233,0))&amp;"",""),IFERROR(INDEX('Tabelas'!$AD$127:$AD$233,MATCH($N$89,'Tabelas'!$T$127:$T$233,0))&amp;"","")))))))</f>
        <v/>
      </c>
      <c r="P67" s="2">
        <f>IF($N$65=1,IFERROR(INDEX('Tabelas'!$X$242:$X$348,MATCH($N$90,'Tabelas'!$N$242:$N$348,0))&amp;"",""),IF($N$65=2,IFERROR(INDEX('Tabelas'!$Y$242:$Y$348,MATCH($N$90,'Tabelas'!$O$242:$O$348,0))&amp;"",""),IF($N$65=3,IFERROR(INDEX('Tabelas'!$Z$242:$Z$348,MATCH($N$90,'Tabelas'!$P$242:$P$348,0))&amp;"",""),IF($N$65=4,IFERROR(INDEX('Tabelas'!$AA$242:$AA$348,MATCH($N$90,'Tabelas'!$Q$242:$Q$348,0))&amp;"",""),IF($N$65=5,IFERROR(INDEX('Tabelas'!$AB$242:$AB$348,MATCH($N$90,'Tabelas'!$R$242:$R$348,0))&amp;"",""),IF($N$65=6,IFERROR(INDEX('Tabelas'!$AC$242:$AC$348,MATCH($N$90,'Tabelas'!$S$242:$S$348,0))&amp;"",""),IFERROR(INDEX('Tabelas'!$AD$242:$AD$348,MATCH($N$90,'Tabelas'!$T$242:$T$348,0))&amp;"","")))))))</f>
        <v/>
      </c>
    </row>
    <row r="68" ht="26" customHeight="1">
      <c r="A68" s="9" t="inlineStr">
        <is>
          <t>3</t>
        </is>
      </c>
      <c r="B68" s="5">
        <f>IF(LEN($P$68)=0,$O$68,IF(LEN($O$68)=0,$P$68,IF(INDEX('Dados'!$B$388:$B$394,$N$65)=2,$P$68&amp;INDEX('Dados'!$C$388:$C$394,$N$65)&amp;$O$68,$O$68&amp;INDEX('Dados'!$C$388:$C$394,$N$65)&amp;$P$68)))</f>
        <v/>
      </c>
      <c r="E68" s="5">
        <f>IF(LEN(IF($N$72&lt;=0,"",IFERROR(INDEX('Tabelas'!$X$817:$X$923,MATCH(IF($N$72&lt;=0,0,MOD($N$74-1+2*$N$73,$N$72)+1),'Tabelas'!$N$817:$N$923,0))&amp;"","")))=0,IF($N$75&lt;=0,"",IFERROR(INDEX('Tabelas'!$Y$817:$Y$923,MATCH(IF($N$75&lt;=0,0,MOD($N$77-1+2*$N$76,$N$75)+1),'Tabelas'!$O$817:$O$923,0))&amp;"","")),IF(LEN(IF($N$75&lt;=0,"",IFERROR(INDEX('Tabelas'!$Y$817:$Y$923,MATCH(IF($N$75&lt;=0,0,MOD($N$77-1+2*$N$76,$N$75)+1),'Tabelas'!$O$817:$O$923,0))&amp;"","")))=0,IF($N$72&lt;=0,"",IFERROR(INDEX('Tabelas'!$X$817:$X$923,MATCH(IF($N$72&lt;=0,0,MOD($N$74-1+2*$N$73,$N$72)+1),'Tabelas'!$N$817:$N$923,0))&amp;"","")),IF($N$72&lt;=0,"",IFERROR(INDEX('Tabelas'!$X$817:$X$923,MATCH(IF($N$72&lt;=0,0,MOD($N$74-1+2*$N$73,$N$72)+1),'Tabelas'!$N$817:$N$923,0))&amp;"",""))&amp;" "&amp;IF($N$75&lt;=0,"",IFERROR(INDEX('Tabelas'!$Y$817:$Y$923,MATCH(IF($N$75&lt;=0,0,MOD($N$77-1+2*$N$76,$N$75)+1),'Tabelas'!$O$817:$O$923,0))&amp;"",""))))</f>
        <v/>
      </c>
      <c r="G68" s="5">
        <f>IF(LEN(IF($N$78&lt;=0,"",IFERROR(INDEX('Tabelas'!$Z$817:$Z$923,MATCH(IF($N$78&lt;=0,0,MOD($N$80-1+2*$N$79,$N$78)+1),'Tabelas'!$P$817:$P$923,0))&amp;"","")))=0,IF($N$81&lt;=0,"",IFERROR(INDEX('Tabelas'!$AA$817:$AA$923,MATCH(IF($N$81&lt;=0,0,MOD($N$83-1+2*$N$82,$N$81)+1),'Tabelas'!$Q$817:$Q$923,0))&amp;"","")),IF(LEN(IF($N$81&lt;=0,"",IFERROR(INDEX('Tabelas'!$AA$817:$AA$923,MATCH(IF($N$81&lt;=0,0,MOD($N$83-1+2*$N$82,$N$81)+1),'Tabelas'!$Q$817:$Q$923,0))&amp;"","")))=0,IF($N$78&lt;=0,"",IFERROR(INDEX('Tabelas'!$Z$817:$Z$923,MATCH(IF($N$78&lt;=0,0,MOD($N$80-1+2*$N$79,$N$78)+1),'Tabelas'!$P$817:$P$923,0))&amp;"","")),IF($N$78&lt;=0,"",IFERROR(INDEX('Tabelas'!$Z$817:$Z$923,MATCH(IF($N$78&lt;=0,0,MOD($N$80-1+2*$N$79,$N$78)+1),'Tabelas'!$P$817:$P$923,0))&amp;"",""))&amp;" "&amp;IF($N$81&lt;=0,"",IFERROR(INDEX('Tabelas'!$AA$817:$AA$923,MATCH(IF($N$81&lt;=0,0,MOD($N$83-1+2*$N$82,$N$81)+1),'Tabelas'!$Q$817:$Q$923,0))&amp;"",""))))</f>
        <v/>
      </c>
      <c r="I68" s="5">
        <f>IF($N$84&lt;=0,"",IFERROR(INDEX('Tabelas'!$AD$817:$AD$923,MATCH(IF($N$84&lt;=0,0,MOD($N$86-1+2*$N$85,$N$84)+1),'Tabelas'!$T$817:$T$923,0))&amp;"",""))</f>
        <v/>
      </c>
      <c r="N68" s="2">
        <f>IF($N$66&lt;=0,0,INT($AC$51*$N$66/2147483647)+1)</f>
        <v/>
      </c>
      <c r="O68" s="2">
        <f>IF($N$65=1,IFERROR(INDEX('Tabelas'!$X$127:$X$233,MATCH($N$91,'Tabelas'!$N$127:$N$233,0))&amp;"",""),IF($N$65=2,IFERROR(INDEX('Tabelas'!$Y$127:$Y$233,MATCH($N$91,'Tabelas'!$O$127:$O$233,0))&amp;"",""),IF($N$65=3,IFERROR(INDEX('Tabelas'!$Z$127:$Z$233,MATCH($N$91,'Tabelas'!$P$127:$P$233,0))&amp;"",""),IF($N$65=4,IFERROR(INDEX('Tabelas'!$AA$127:$AA$233,MATCH($N$91,'Tabelas'!$Q$127:$Q$233,0))&amp;"",""),IF($N$65=5,IFERROR(INDEX('Tabelas'!$AB$127:$AB$233,MATCH($N$91,'Tabelas'!$R$127:$R$233,0))&amp;"",""),IF($N$65=6,IFERROR(INDEX('Tabelas'!$AC$127:$AC$233,MATCH($N$91,'Tabelas'!$S$127:$S$233,0))&amp;"",""),IFERROR(INDEX('Tabelas'!$AD$127:$AD$233,MATCH($N$91,'Tabelas'!$T$127:$T$233,0))&amp;"","")))))))</f>
        <v/>
      </c>
      <c r="P68" s="2">
        <f>IF($N$65=1,IFERROR(INDEX('Tabelas'!$X$242:$X$348,MATCH($N$92,'Tabelas'!$N$242:$N$348,0))&amp;"",""),IF($N$65=2,IFERROR(INDEX('Tabelas'!$Y$242:$Y$348,MATCH($N$92,'Tabelas'!$O$242:$O$348,0))&amp;"",""),IF($N$65=3,IFERROR(INDEX('Tabelas'!$Z$242:$Z$348,MATCH($N$92,'Tabelas'!$P$242:$P$348,0))&amp;"",""),IF($N$65=4,IFERROR(INDEX('Tabelas'!$AA$242:$AA$348,MATCH($N$92,'Tabelas'!$Q$242:$Q$348,0))&amp;"",""),IF($N$65=5,IFERROR(INDEX('Tabelas'!$AB$242:$AB$348,MATCH($N$92,'Tabelas'!$R$242:$R$348,0))&amp;"",""),IF($N$65=6,IFERROR(INDEX('Tabelas'!$AC$242:$AC$348,MATCH($N$92,'Tabelas'!$S$242:$S$348,0))&amp;"",""),IFERROR(INDEX('Tabelas'!$AD$242:$AD$348,MATCH($N$92,'Tabelas'!$T$242:$T$348,0))&amp;"","")))))))</f>
        <v/>
      </c>
    </row>
    <row r="69" ht="26" customHeight="1">
      <c r="A69" s="21" t="inlineStr">
        <is>
          <t>4</t>
        </is>
      </c>
      <c r="B69" s="10">
        <f>IF(LEN($P$69)=0,$O$69,IF(LEN($O$69)=0,$P$69,IF(INDEX('Dados'!$B$388:$B$394,$N$65)=2,$P$69&amp;INDEX('Dados'!$C$388:$C$394,$N$65)&amp;$O$69,$O$69&amp;INDEX('Dados'!$C$388:$C$394,$N$65)&amp;$P$69)))</f>
        <v/>
      </c>
      <c r="E69" s="10">
        <f>IF(LEN(IF($N$72&lt;=0,"",IFERROR(INDEX('Tabelas'!$X$817:$X$923,MATCH(IF($N$72&lt;=0,0,MOD($N$74-1+3*$N$73,$N$72)+1),'Tabelas'!$N$817:$N$923,0))&amp;"","")))=0,IF($N$75&lt;=0,"",IFERROR(INDEX('Tabelas'!$Y$817:$Y$923,MATCH(IF($N$75&lt;=0,0,MOD($N$77-1+3*$N$76,$N$75)+1),'Tabelas'!$O$817:$O$923,0))&amp;"","")),IF(LEN(IF($N$75&lt;=0,"",IFERROR(INDEX('Tabelas'!$Y$817:$Y$923,MATCH(IF($N$75&lt;=0,0,MOD($N$77-1+3*$N$76,$N$75)+1),'Tabelas'!$O$817:$O$923,0))&amp;"","")))=0,IF($N$72&lt;=0,"",IFERROR(INDEX('Tabelas'!$X$817:$X$923,MATCH(IF($N$72&lt;=0,0,MOD($N$74-1+3*$N$73,$N$72)+1),'Tabelas'!$N$817:$N$923,0))&amp;"","")),IF($N$72&lt;=0,"",IFERROR(INDEX('Tabelas'!$X$817:$X$923,MATCH(IF($N$72&lt;=0,0,MOD($N$74-1+3*$N$73,$N$72)+1),'Tabelas'!$N$817:$N$923,0))&amp;"",""))&amp;" "&amp;IF($N$75&lt;=0,"",IFERROR(INDEX('Tabelas'!$Y$817:$Y$923,MATCH(IF($N$75&lt;=0,0,MOD($N$77-1+3*$N$76,$N$75)+1),'Tabelas'!$O$817:$O$923,0))&amp;"",""))))</f>
        <v/>
      </c>
      <c r="G69" s="10">
        <f>IF(LEN(IF($N$78&lt;=0,"",IFERROR(INDEX('Tabelas'!$Z$817:$Z$923,MATCH(IF($N$78&lt;=0,0,MOD($N$80-1+3*$N$79,$N$78)+1),'Tabelas'!$P$817:$P$923,0))&amp;"","")))=0,IF($N$81&lt;=0,"",IFERROR(INDEX('Tabelas'!$AA$817:$AA$923,MATCH(IF($N$81&lt;=0,0,MOD($N$83-1+3*$N$82,$N$81)+1),'Tabelas'!$Q$817:$Q$923,0))&amp;"","")),IF(LEN(IF($N$81&lt;=0,"",IFERROR(INDEX('Tabelas'!$AA$817:$AA$923,MATCH(IF($N$81&lt;=0,0,MOD($N$83-1+3*$N$82,$N$81)+1),'Tabelas'!$Q$817:$Q$923,0))&amp;"","")))=0,IF($N$78&lt;=0,"",IFERROR(INDEX('Tabelas'!$Z$817:$Z$923,MATCH(IF($N$78&lt;=0,0,MOD($N$80-1+3*$N$79,$N$78)+1),'Tabelas'!$P$817:$P$923,0))&amp;"","")),IF($N$78&lt;=0,"",IFERROR(INDEX('Tabelas'!$Z$817:$Z$923,MATCH(IF($N$78&lt;=0,0,MOD($N$80-1+3*$N$79,$N$78)+1),'Tabelas'!$P$817:$P$923,0))&amp;"",""))&amp;" "&amp;IF($N$81&lt;=0,"",IFERROR(INDEX('Tabelas'!$AA$817:$AA$923,MATCH(IF($N$81&lt;=0,0,MOD($N$83-1+3*$N$82,$N$81)+1),'Tabelas'!$Q$817:$Q$923,0))&amp;"",""))))</f>
        <v/>
      </c>
      <c r="I69" s="10">
        <f>IF($N$84&lt;=0,"",IFERROR(INDEX('Tabelas'!$AD$817:$AD$923,MATCH(IF($N$84&lt;=0,0,MOD($N$86-1+3*$N$85,$N$84)+1),'Tabelas'!$T$817:$T$923,0))&amp;"",""))</f>
        <v/>
      </c>
      <c r="K69" s="30" t="n"/>
      <c r="L69" s="30" t="n"/>
      <c r="N69" s="2">
        <f>IF($N$65=1,'Tabelas'!$B$239,IF($N$65=2,'Tabelas'!$C$239,IF($N$65=3,'Tabelas'!$D$239,IF($N$65=4,'Tabelas'!$E$239,IF($N$65=5,'Tabelas'!$F$239,IF($N$65=6,'Tabelas'!$G$239,'Tabelas'!$H$239))))))</f>
        <v/>
      </c>
      <c r="O69" s="2">
        <f>IF($N$65=1,IFERROR(INDEX('Tabelas'!$X$127:$X$233,MATCH($N$93,'Tabelas'!$N$127:$N$233,0))&amp;"",""),IF($N$65=2,IFERROR(INDEX('Tabelas'!$Y$127:$Y$233,MATCH($N$93,'Tabelas'!$O$127:$O$233,0))&amp;"",""),IF($N$65=3,IFERROR(INDEX('Tabelas'!$Z$127:$Z$233,MATCH($N$93,'Tabelas'!$P$127:$P$233,0))&amp;"",""),IF($N$65=4,IFERROR(INDEX('Tabelas'!$AA$127:$AA$233,MATCH($N$93,'Tabelas'!$Q$127:$Q$233,0))&amp;"",""),IF($N$65=5,IFERROR(INDEX('Tabelas'!$AB$127:$AB$233,MATCH($N$93,'Tabelas'!$R$127:$R$233,0))&amp;"",""),IF($N$65=6,IFERROR(INDEX('Tabelas'!$AC$127:$AC$233,MATCH($N$93,'Tabelas'!$S$127:$S$233,0))&amp;"",""),IFERROR(INDEX('Tabelas'!$AD$127:$AD$233,MATCH($N$93,'Tabelas'!$T$127:$T$233,0))&amp;"","")))))))</f>
        <v/>
      </c>
      <c r="P69" s="2">
        <f>IF($N$65=1,IFERROR(INDEX('Tabelas'!$X$242:$X$348,MATCH($N$94,'Tabelas'!$N$242:$N$348,0))&amp;"",""),IF($N$65=2,IFERROR(INDEX('Tabelas'!$Y$242:$Y$348,MATCH($N$94,'Tabelas'!$O$242:$O$348,0))&amp;"",""),IF($N$65=3,IFERROR(INDEX('Tabelas'!$Z$242:$Z$348,MATCH($N$94,'Tabelas'!$P$242:$P$348,0))&amp;"",""),IF($N$65=4,IFERROR(INDEX('Tabelas'!$AA$242:$AA$348,MATCH($N$94,'Tabelas'!$Q$242:$Q$348,0))&amp;"",""),IF($N$65=5,IFERROR(INDEX('Tabelas'!$AB$242:$AB$348,MATCH($N$94,'Tabelas'!$R$242:$R$348,0))&amp;"",""),IF($N$65=6,IFERROR(INDEX('Tabelas'!$AC$242:$AC$348,MATCH($N$94,'Tabelas'!$S$242:$S$348,0))&amp;"",""),IFERROR(INDEX('Tabelas'!$AD$242:$AD$348,MATCH($N$94,'Tabelas'!$T$242:$T$348,0))&amp;"","")))))))</f>
        <v/>
      </c>
    </row>
    <row r="70" ht="26" customHeight="1">
      <c r="A70" s="9" t="inlineStr">
        <is>
          <t>5</t>
        </is>
      </c>
      <c r="B70" s="5">
        <f>IF(LEN($P$70)=0,$O$70,IF(LEN($O$70)=0,$P$70,IF(INDEX('Dados'!$B$388:$B$394,$N$65)=2,$P$70&amp;INDEX('Dados'!$C$388:$C$394,$N$65)&amp;$O$70,$O$70&amp;INDEX('Dados'!$C$388:$C$394,$N$65)&amp;$P$70)))</f>
        <v/>
      </c>
      <c r="E70" s="5">
        <f>IF(LEN(IF($N$72&lt;=0,"",IFERROR(INDEX('Tabelas'!$X$817:$X$923,MATCH(IF($N$72&lt;=0,0,MOD($N$74-1+4*$N$73,$N$72)+1),'Tabelas'!$N$817:$N$923,0))&amp;"","")))=0,IF($N$75&lt;=0,"",IFERROR(INDEX('Tabelas'!$Y$817:$Y$923,MATCH(IF($N$75&lt;=0,0,MOD($N$77-1+4*$N$76,$N$75)+1),'Tabelas'!$O$817:$O$923,0))&amp;"","")),IF(LEN(IF($N$75&lt;=0,"",IFERROR(INDEX('Tabelas'!$Y$817:$Y$923,MATCH(IF($N$75&lt;=0,0,MOD($N$77-1+4*$N$76,$N$75)+1),'Tabelas'!$O$817:$O$923,0))&amp;"","")))=0,IF($N$72&lt;=0,"",IFERROR(INDEX('Tabelas'!$X$817:$X$923,MATCH(IF($N$72&lt;=0,0,MOD($N$74-1+4*$N$73,$N$72)+1),'Tabelas'!$N$817:$N$923,0))&amp;"","")),IF($N$72&lt;=0,"",IFERROR(INDEX('Tabelas'!$X$817:$X$923,MATCH(IF($N$72&lt;=0,0,MOD($N$74-1+4*$N$73,$N$72)+1),'Tabelas'!$N$817:$N$923,0))&amp;"",""))&amp;" "&amp;IF($N$75&lt;=0,"",IFERROR(INDEX('Tabelas'!$Y$817:$Y$923,MATCH(IF($N$75&lt;=0,0,MOD($N$77-1+4*$N$76,$N$75)+1),'Tabelas'!$O$817:$O$923,0))&amp;"",""))))</f>
        <v/>
      </c>
      <c r="G70" s="5">
        <f>IF(LEN(IF($N$78&lt;=0,"",IFERROR(INDEX('Tabelas'!$Z$817:$Z$923,MATCH(IF($N$78&lt;=0,0,MOD($N$80-1+4*$N$79,$N$78)+1),'Tabelas'!$P$817:$P$923,0))&amp;"","")))=0,IF($N$81&lt;=0,"",IFERROR(INDEX('Tabelas'!$AA$817:$AA$923,MATCH(IF($N$81&lt;=0,0,MOD($N$83-1+4*$N$82,$N$81)+1),'Tabelas'!$Q$817:$Q$923,0))&amp;"","")),IF(LEN(IF($N$81&lt;=0,"",IFERROR(INDEX('Tabelas'!$AA$817:$AA$923,MATCH(IF($N$81&lt;=0,0,MOD($N$83-1+4*$N$82,$N$81)+1),'Tabelas'!$Q$817:$Q$923,0))&amp;"","")))=0,IF($N$78&lt;=0,"",IFERROR(INDEX('Tabelas'!$Z$817:$Z$923,MATCH(IF($N$78&lt;=0,0,MOD($N$80-1+4*$N$79,$N$78)+1),'Tabelas'!$P$817:$P$923,0))&amp;"","")),IF($N$78&lt;=0,"",IFERROR(INDEX('Tabelas'!$Z$817:$Z$923,MATCH(IF($N$78&lt;=0,0,MOD($N$80-1+4*$N$79,$N$78)+1),'Tabelas'!$P$817:$P$923,0))&amp;"",""))&amp;" "&amp;IF($N$81&lt;=0,"",IFERROR(INDEX('Tabelas'!$AA$817:$AA$923,MATCH(IF($N$81&lt;=0,0,MOD($N$83-1+4*$N$82,$N$81)+1),'Tabelas'!$Q$817:$Q$923,0))&amp;"",""))))</f>
        <v/>
      </c>
      <c r="I70" s="5">
        <f>IF($N$84&lt;=0,"",IFERROR(INDEX('Tabelas'!$AD$817:$AD$923,MATCH(IF($N$84&lt;=0,0,MOD($N$86-1+4*$N$85,$N$84)+1),'Tabelas'!$T$817:$T$923,0))&amp;"",""))</f>
        <v/>
      </c>
      <c r="N70" s="2">
        <f>IF(MOD($N$69,7)&lt;&gt;0,7,IF(MOD($N$69,11)&lt;&gt;0,11,IF(MOD($N$69,13)&lt;&gt;0,13,IF(MOD($N$69,17)&lt;&gt;0,17,IF(MOD($N$69,19)&lt;&gt;0,19,23)))))</f>
        <v/>
      </c>
      <c r="O70" s="2">
        <f>IF($N$65=1,IFERROR(INDEX('Tabelas'!$X$127:$X$233,MATCH($N$95,'Tabelas'!$N$127:$N$233,0))&amp;"",""),IF($N$65=2,IFERROR(INDEX('Tabelas'!$Y$127:$Y$233,MATCH($N$95,'Tabelas'!$O$127:$O$233,0))&amp;"",""),IF($N$65=3,IFERROR(INDEX('Tabelas'!$Z$127:$Z$233,MATCH($N$95,'Tabelas'!$P$127:$P$233,0))&amp;"",""),IF($N$65=4,IFERROR(INDEX('Tabelas'!$AA$127:$AA$233,MATCH($N$95,'Tabelas'!$Q$127:$Q$233,0))&amp;"",""),IF($N$65=5,IFERROR(INDEX('Tabelas'!$AB$127:$AB$233,MATCH($N$95,'Tabelas'!$R$127:$R$233,0))&amp;"",""),IF($N$65=6,IFERROR(INDEX('Tabelas'!$AC$127:$AC$233,MATCH($N$95,'Tabelas'!$S$127:$S$233,0))&amp;"",""),IFERROR(INDEX('Tabelas'!$AD$127:$AD$233,MATCH($N$95,'Tabelas'!$T$127:$T$233,0))&amp;"","")))))))</f>
        <v/>
      </c>
      <c r="P70" s="2">
        <f>IF($N$65=1,IFERROR(INDEX('Tabelas'!$X$242:$X$348,MATCH($N$96,'Tabelas'!$N$242:$N$348,0))&amp;"",""),IF($N$65=2,IFERROR(INDEX('Tabelas'!$Y$242:$Y$348,MATCH($N$96,'Tabelas'!$O$242:$O$348,0))&amp;"",""),IF($N$65=3,IFERROR(INDEX('Tabelas'!$Z$242:$Z$348,MATCH($N$96,'Tabelas'!$P$242:$P$348,0))&amp;"",""),IF($N$65=4,IFERROR(INDEX('Tabelas'!$AA$242:$AA$348,MATCH($N$96,'Tabelas'!$Q$242:$Q$348,0))&amp;"",""),IF($N$65=5,IFERROR(INDEX('Tabelas'!$AB$242:$AB$348,MATCH($N$96,'Tabelas'!$R$242:$R$348,0))&amp;"",""),IF($N$65=6,IFERROR(INDEX('Tabelas'!$AC$242:$AC$348,MATCH($N$96,'Tabelas'!$S$242:$S$348,0))&amp;"",""),IFERROR(INDEX('Tabelas'!$AD$242:$AD$348,MATCH($N$96,'Tabelas'!$T$242:$T$348,0))&amp;"","")))))))</f>
        <v/>
      </c>
    </row>
    <row r="71" ht="26" customHeight="1">
      <c r="A71" s="21" t="inlineStr">
        <is>
          <t>6</t>
        </is>
      </c>
      <c r="B71" s="10">
        <f>IF(LEN($P$71)=0,$O$71,IF(LEN($O$71)=0,$P$71,IF(INDEX('Dados'!$B$388:$B$394,$N$65)=2,$P$71&amp;INDEX('Dados'!$C$388:$C$394,$N$65)&amp;$O$71,$O$71&amp;INDEX('Dados'!$C$388:$C$394,$N$65)&amp;$P$71)))</f>
        <v/>
      </c>
      <c r="E71" s="10">
        <f>IF(LEN(IF($N$72&lt;=0,"",IFERROR(INDEX('Tabelas'!$X$817:$X$923,MATCH(IF($N$72&lt;=0,0,MOD($N$74-1+5*$N$73,$N$72)+1),'Tabelas'!$N$817:$N$923,0))&amp;"","")))=0,IF($N$75&lt;=0,"",IFERROR(INDEX('Tabelas'!$Y$817:$Y$923,MATCH(IF($N$75&lt;=0,0,MOD($N$77-1+5*$N$76,$N$75)+1),'Tabelas'!$O$817:$O$923,0))&amp;"","")),IF(LEN(IF($N$75&lt;=0,"",IFERROR(INDEX('Tabelas'!$Y$817:$Y$923,MATCH(IF($N$75&lt;=0,0,MOD($N$77-1+5*$N$76,$N$75)+1),'Tabelas'!$O$817:$O$923,0))&amp;"","")))=0,IF($N$72&lt;=0,"",IFERROR(INDEX('Tabelas'!$X$817:$X$923,MATCH(IF($N$72&lt;=0,0,MOD($N$74-1+5*$N$73,$N$72)+1),'Tabelas'!$N$817:$N$923,0))&amp;"","")),IF($N$72&lt;=0,"",IFERROR(INDEX('Tabelas'!$X$817:$X$923,MATCH(IF($N$72&lt;=0,0,MOD($N$74-1+5*$N$73,$N$72)+1),'Tabelas'!$N$817:$N$923,0))&amp;"",""))&amp;" "&amp;IF($N$75&lt;=0,"",IFERROR(INDEX('Tabelas'!$Y$817:$Y$923,MATCH(IF($N$75&lt;=0,0,MOD($N$77-1+5*$N$76,$N$75)+1),'Tabelas'!$O$817:$O$923,0))&amp;"",""))))</f>
        <v/>
      </c>
      <c r="G71" s="10">
        <f>IF(LEN(IF($N$78&lt;=0,"",IFERROR(INDEX('Tabelas'!$Z$817:$Z$923,MATCH(IF($N$78&lt;=0,0,MOD($N$80-1+5*$N$79,$N$78)+1),'Tabelas'!$P$817:$P$923,0))&amp;"","")))=0,IF($N$81&lt;=0,"",IFERROR(INDEX('Tabelas'!$AA$817:$AA$923,MATCH(IF($N$81&lt;=0,0,MOD($N$83-1+5*$N$82,$N$81)+1),'Tabelas'!$Q$817:$Q$923,0))&amp;"","")),IF(LEN(IF($N$81&lt;=0,"",IFERROR(INDEX('Tabelas'!$AA$817:$AA$923,MATCH(IF($N$81&lt;=0,0,MOD($N$83-1+5*$N$82,$N$81)+1),'Tabelas'!$Q$817:$Q$923,0))&amp;"","")))=0,IF($N$78&lt;=0,"",IFERROR(INDEX('Tabelas'!$Z$817:$Z$923,MATCH(IF($N$78&lt;=0,0,MOD($N$80-1+5*$N$79,$N$78)+1),'Tabelas'!$P$817:$P$923,0))&amp;"","")),IF($N$78&lt;=0,"",IFERROR(INDEX('Tabelas'!$Z$817:$Z$923,MATCH(IF($N$78&lt;=0,0,MOD($N$80-1+5*$N$79,$N$78)+1),'Tabelas'!$P$817:$P$923,0))&amp;"",""))&amp;" "&amp;IF($N$81&lt;=0,"",IFERROR(INDEX('Tabelas'!$AA$817:$AA$923,MATCH(IF($N$81&lt;=0,0,MOD($N$83-1+5*$N$82,$N$81)+1),'Tabelas'!$Q$817:$Q$923,0))&amp;"",""))))</f>
        <v/>
      </c>
      <c r="I71" s="10">
        <f>IF($N$84&lt;=0,"",IFERROR(INDEX('Tabelas'!$AD$817:$AD$923,MATCH(IF($N$84&lt;=0,0,MOD($N$86-1+5*$N$85,$N$84)+1),'Tabelas'!$T$817:$T$923,0))&amp;"",""))</f>
        <v/>
      </c>
      <c r="K71" s="30" t="n"/>
      <c r="L71" s="30" t="n"/>
      <c r="N71" s="2">
        <f>IF($N$69&lt;=0,0,INT($AC$52*$N$69/2147483647)+1)</f>
        <v/>
      </c>
      <c r="O71" s="2">
        <f>IF($N$65=1,IFERROR(INDEX('Tabelas'!$X$127:$X$233,MATCH($N$97,'Tabelas'!$N$127:$N$233,0))&amp;"",""),IF($N$65=2,IFERROR(INDEX('Tabelas'!$Y$127:$Y$233,MATCH($N$97,'Tabelas'!$O$127:$O$233,0))&amp;"",""),IF($N$65=3,IFERROR(INDEX('Tabelas'!$Z$127:$Z$233,MATCH($N$97,'Tabelas'!$P$127:$P$233,0))&amp;"",""),IF($N$65=4,IFERROR(INDEX('Tabelas'!$AA$127:$AA$233,MATCH($N$97,'Tabelas'!$Q$127:$Q$233,0))&amp;"",""),IF($N$65=5,IFERROR(INDEX('Tabelas'!$AB$127:$AB$233,MATCH($N$97,'Tabelas'!$R$127:$R$233,0))&amp;"",""),IF($N$65=6,IFERROR(INDEX('Tabelas'!$AC$127:$AC$233,MATCH($N$97,'Tabelas'!$S$127:$S$233,0))&amp;"",""),IFERROR(INDEX('Tabelas'!$AD$127:$AD$233,MATCH($N$97,'Tabelas'!$T$127:$T$233,0))&amp;"","")))))))</f>
        <v/>
      </c>
      <c r="P71" s="2">
        <f>IF($N$65=1,IFERROR(INDEX('Tabelas'!$X$242:$X$348,MATCH($N$98,'Tabelas'!$N$242:$N$348,0))&amp;"",""),IF($N$65=2,IFERROR(INDEX('Tabelas'!$Y$242:$Y$348,MATCH($N$98,'Tabelas'!$O$242:$O$348,0))&amp;"",""),IF($N$65=3,IFERROR(INDEX('Tabelas'!$Z$242:$Z$348,MATCH($N$98,'Tabelas'!$P$242:$P$348,0))&amp;"",""),IF($N$65=4,IFERROR(INDEX('Tabelas'!$AA$242:$AA$348,MATCH($N$98,'Tabelas'!$Q$242:$Q$348,0))&amp;"",""),IF($N$65=5,IFERROR(INDEX('Tabelas'!$AB$242:$AB$348,MATCH($N$98,'Tabelas'!$R$242:$R$348,0))&amp;"",""),IF($N$65=6,IFERROR(INDEX('Tabelas'!$AC$242:$AC$348,MATCH($N$98,'Tabelas'!$S$242:$S$348,0))&amp;"",""),IFERROR(INDEX('Tabelas'!$AD$242:$AD$348,MATCH($N$98,'Tabelas'!$T$242:$T$348,0))&amp;"","")))))))</f>
        <v/>
      </c>
    </row>
    <row r="72" ht="26" customHeight="1">
      <c r="A72" s="9" t="inlineStr">
        <is>
          <t>7</t>
        </is>
      </c>
      <c r="B72" s="5">
        <f>IF(LEN($P$72)=0,$O$72,IF(LEN($O$72)=0,$P$72,IF(INDEX('Dados'!$B$388:$B$394,$N$65)=2,$P$72&amp;INDEX('Dados'!$C$388:$C$394,$N$65)&amp;$O$72,$O$72&amp;INDEX('Dados'!$C$388:$C$394,$N$65)&amp;$P$72)))</f>
        <v/>
      </c>
      <c r="E72" s="5">
        <f>IF(LEN(IF($N$72&lt;=0,"",IFERROR(INDEX('Tabelas'!$X$817:$X$923,MATCH(IF($N$72&lt;=0,0,MOD($N$74-1+6*$N$73,$N$72)+1),'Tabelas'!$N$817:$N$923,0))&amp;"","")))=0,IF($N$75&lt;=0,"",IFERROR(INDEX('Tabelas'!$Y$817:$Y$923,MATCH(IF($N$75&lt;=0,0,MOD($N$77-1+6*$N$76,$N$75)+1),'Tabelas'!$O$817:$O$923,0))&amp;"","")),IF(LEN(IF($N$75&lt;=0,"",IFERROR(INDEX('Tabelas'!$Y$817:$Y$923,MATCH(IF($N$75&lt;=0,0,MOD($N$77-1+6*$N$76,$N$75)+1),'Tabelas'!$O$817:$O$923,0))&amp;"","")))=0,IF($N$72&lt;=0,"",IFERROR(INDEX('Tabelas'!$X$817:$X$923,MATCH(IF($N$72&lt;=0,0,MOD($N$74-1+6*$N$73,$N$72)+1),'Tabelas'!$N$817:$N$923,0))&amp;"","")),IF($N$72&lt;=0,"",IFERROR(INDEX('Tabelas'!$X$817:$X$923,MATCH(IF($N$72&lt;=0,0,MOD($N$74-1+6*$N$73,$N$72)+1),'Tabelas'!$N$817:$N$923,0))&amp;"",""))&amp;" "&amp;IF($N$75&lt;=0,"",IFERROR(INDEX('Tabelas'!$Y$817:$Y$923,MATCH(IF($N$75&lt;=0,0,MOD($N$77-1+6*$N$76,$N$75)+1),'Tabelas'!$O$817:$O$923,0))&amp;"",""))))</f>
        <v/>
      </c>
      <c r="G72" s="5">
        <f>IF(LEN(IF($N$78&lt;=0,"",IFERROR(INDEX('Tabelas'!$Z$817:$Z$923,MATCH(IF($N$78&lt;=0,0,MOD($N$80-1+6*$N$79,$N$78)+1),'Tabelas'!$P$817:$P$923,0))&amp;"","")))=0,IF($N$81&lt;=0,"",IFERROR(INDEX('Tabelas'!$AA$817:$AA$923,MATCH(IF($N$81&lt;=0,0,MOD($N$83-1+6*$N$82,$N$81)+1),'Tabelas'!$Q$817:$Q$923,0))&amp;"","")),IF(LEN(IF($N$81&lt;=0,"",IFERROR(INDEX('Tabelas'!$AA$817:$AA$923,MATCH(IF($N$81&lt;=0,0,MOD($N$83-1+6*$N$82,$N$81)+1),'Tabelas'!$Q$817:$Q$923,0))&amp;"","")))=0,IF($N$78&lt;=0,"",IFERROR(INDEX('Tabelas'!$Z$817:$Z$923,MATCH(IF($N$78&lt;=0,0,MOD($N$80-1+6*$N$79,$N$78)+1),'Tabelas'!$P$817:$P$923,0))&amp;"","")),IF($N$78&lt;=0,"",IFERROR(INDEX('Tabelas'!$Z$817:$Z$923,MATCH(IF($N$78&lt;=0,0,MOD($N$80-1+6*$N$79,$N$78)+1),'Tabelas'!$P$817:$P$923,0))&amp;"",""))&amp;" "&amp;IF($N$81&lt;=0,"",IFERROR(INDEX('Tabelas'!$AA$817:$AA$923,MATCH(IF($N$81&lt;=0,0,MOD($N$83-1+6*$N$82,$N$81)+1),'Tabelas'!$Q$817:$Q$923,0))&amp;"",""))))</f>
        <v/>
      </c>
      <c r="I72" s="5">
        <f>IF($N$84&lt;=0,"",IFERROR(INDEX('Tabelas'!$AD$817:$AD$923,MATCH(IF($N$84&lt;=0,0,MOD($N$86-1+6*$N$85,$N$84)+1),'Tabelas'!$T$817:$T$923,0))&amp;"",""))</f>
        <v/>
      </c>
      <c r="N72" s="2">
        <f>'Tabelas'!$B$814</f>
        <v/>
      </c>
      <c r="O72" s="2">
        <f>IF($N$65=1,IFERROR(INDEX('Tabelas'!$X$127:$X$233,MATCH($N$99,'Tabelas'!$N$127:$N$233,0))&amp;"",""),IF($N$65=2,IFERROR(INDEX('Tabelas'!$Y$127:$Y$233,MATCH($N$99,'Tabelas'!$O$127:$O$233,0))&amp;"",""),IF($N$65=3,IFERROR(INDEX('Tabelas'!$Z$127:$Z$233,MATCH($N$99,'Tabelas'!$P$127:$P$233,0))&amp;"",""),IF($N$65=4,IFERROR(INDEX('Tabelas'!$AA$127:$AA$233,MATCH($N$99,'Tabelas'!$Q$127:$Q$233,0))&amp;"",""),IF($N$65=5,IFERROR(INDEX('Tabelas'!$AB$127:$AB$233,MATCH($N$99,'Tabelas'!$R$127:$R$233,0))&amp;"",""),IF($N$65=6,IFERROR(INDEX('Tabelas'!$AC$127:$AC$233,MATCH($N$99,'Tabelas'!$S$127:$S$233,0))&amp;"",""),IFERROR(INDEX('Tabelas'!$AD$127:$AD$233,MATCH($N$99,'Tabelas'!$T$127:$T$233,0))&amp;"","")))))))</f>
        <v/>
      </c>
      <c r="P72" s="2">
        <f>IF($N$65=1,IFERROR(INDEX('Tabelas'!$X$242:$X$348,MATCH($N$100,'Tabelas'!$N$242:$N$348,0))&amp;"",""),IF($N$65=2,IFERROR(INDEX('Tabelas'!$Y$242:$Y$348,MATCH($N$100,'Tabelas'!$O$242:$O$348,0))&amp;"",""),IF($N$65=3,IFERROR(INDEX('Tabelas'!$Z$242:$Z$348,MATCH($N$100,'Tabelas'!$P$242:$P$348,0))&amp;"",""),IF($N$65=4,IFERROR(INDEX('Tabelas'!$AA$242:$AA$348,MATCH($N$100,'Tabelas'!$Q$242:$Q$348,0))&amp;"",""),IF($N$65=5,IFERROR(INDEX('Tabelas'!$AB$242:$AB$348,MATCH($N$100,'Tabelas'!$R$242:$R$348,0))&amp;"",""),IF($N$65=6,IFERROR(INDEX('Tabelas'!$AC$242:$AC$348,MATCH($N$100,'Tabelas'!$S$242:$S$348,0))&amp;"",""),IFERROR(INDEX('Tabelas'!$AD$242:$AD$348,MATCH($N$100,'Tabelas'!$T$242:$T$348,0))&amp;"","")))))))</f>
        <v/>
      </c>
    </row>
    <row r="73" ht="26" customHeight="1">
      <c r="A73" s="21" t="inlineStr">
        <is>
          <t>8</t>
        </is>
      </c>
      <c r="B73" s="10">
        <f>IF(LEN($P$73)=0,$O$73,IF(LEN($O$73)=0,$P$73,IF(INDEX('Dados'!$B$388:$B$394,$N$65)=2,$P$73&amp;INDEX('Dados'!$C$388:$C$394,$N$65)&amp;$O$73,$O$73&amp;INDEX('Dados'!$C$388:$C$394,$N$65)&amp;$P$73)))</f>
        <v/>
      </c>
      <c r="E73" s="10">
        <f>IF(LEN(IF($N$72&lt;=0,"",IFERROR(INDEX('Tabelas'!$X$817:$X$923,MATCH(IF($N$72&lt;=0,0,MOD($N$74-1+7*$N$73,$N$72)+1),'Tabelas'!$N$817:$N$923,0))&amp;"","")))=0,IF($N$75&lt;=0,"",IFERROR(INDEX('Tabelas'!$Y$817:$Y$923,MATCH(IF($N$75&lt;=0,0,MOD($N$77-1+7*$N$76,$N$75)+1),'Tabelas'!$O$817:$O$923,0))&amp;"","")),IF(LEN(IF($N$75&lt;=0,"",IFERROR(INDEX('Tabelas'!$Y$817:$Y$923,MATCH(IF($N$75&lt;=0,0,MOD($N$77-1+7*$N$76,$N$75)+1),'Tabelas'!$O$817:$O$923,0))&amp;"","")))=0,IF($N$72&lt;=0,"",IFERROR(INDEX('Tabelas'!$X$817:$X$923,MATCH(IF($N$72&lt;=0,0,MOD($N$74-1+7*$N$73,$N$72)+1),'Tabelas'!$N$817:$N$923,0))&amp;"","")),IF($N$72&lt;=0,"",IFERROR(INDEX('Tabelas'!$X$817:$X$923,MATCH(IF($N$72&lt;=0,0,MOD($N$74-1+7*$N$73,$N$72)+1),'Tabelas'!$N$817:$N$923,0))&amp;"",""))&amp;" "&amp;IF($N$75&lt;=0,"",IFERROR(INDEX('Tabelas'!$Y$817:$Y$923,MATCH(IF($N$75&lt;=0,0,MOD($N$77-1+7*$N$76,$N$75)+1),'Tabelas'!$O$817:$O$923,0))&amp;"",""))))</f>
        <v/>
      </c>
      <c r="G73" s="10">
        <f>IF(LEN(IF($N$78&lt;=0,"",IFERROR(INDEX('Tabelas'!$Z$817:$Z$923,MATCH(IF($N$78&lt;=0,0,MOD($N$80-1+7*$N$79,$N$78)+1),'Tabelas'!$P$817:$P$923,0))&amp;"","")))=0,IF($N$81&lt;=0,"",IFERROR(INDEX('Tabelas'!$AA$817:$AA$923,MATCH(IF($N$81&lt;=0,0,MOD($N$83-1+7*$N$82,$N$81)+1),'Tabelas'!$Q$817:$Q$923,0))&amp;"","")),IF(LEN(IF($N$81&lt;=0,"",IFERROR(INDEX('Tabelas'!$AA$817:$AA$923,MATCH(IF($N$81&lt;=0,0,MOD($N$83-1+7*$N$82,$N$81)+1),'Tabelas'!$Q$817:$Q$923,0))&amp;"","")))=0,IF($N$78&lt;=0,"",IFERROR(INDEX('Tabelas'!$Z$817:$Z$923,MATCH(IF($N$78&lt;=0,0,MOD($N$80-1+7*$N$79,$N$78)+1),'Tabelas'!$P$817:$P$923,0))&amp;"","")),IF($N$78&lt;=0,"",IFERROR(INDEX('Tabelas'!$Z$817:$Z$923,MATCH(IF($N$78&lt;=0,0,MOD($N$80-1+7*$N$79,$N$78)+1),'Tabelas'!$P$817:$P$923,0))&amp;"",""))&amp;" "&amp;IF($N$81&lt;=0,"",IFERROR(INDEX('Tabelas'!$AA$817:$AA$923,MATCH(IF($N$81&lt;=0,0,MOD($N$83-1+7*$N$82,$N$81)+1),'Tabelas'!$Q$817:$Q$923,0))&amp;"",""))))</f>
        <v/>
      </c>
      <c r="I73" s="10">
        <f>IF($N$84&lt;=0,"",IFERROR(INDEX('Tabelas'!$AD$817:$AD$923,MATCH(IF($N$84&lt;=0,0,MOD($N$86-1+7*$N$85,$N$84)+1),'Tabelas'!$T$817:$T$923,0))&amp;"",""))</f>
        <v/>
      </c>
      <c r="K73" s="30" t="n"/>
      <c r="L73" s="30" t="n"/>
      <c r="N73" s="2">
        <f>IF(MOD($N$72,7)&lt;&gt;0,7,IF(MOD($N$72,11)&lt;&gt;0,11,IF(MOD($N$72,13)&lt;&gt;0,13,IF(MOD($N$72,17)&lt;&gt;0,17,IF(MOD($N$72,19)&lt;&gt;0,19,23)))))</f>
        <v/>
      </c>
      <c r="O73" s="2">
        <f>IF($N$65=1,IFERROR(INDEX('Tabelas'!$X$127:$X$233,MATCH($N$101,'Tabelas'!$N$127:$N$233,0))&amp;"",""),IF($N$65=2,IFERROR(INDEX('Tabelas'!$Y$127:$Y$233,MATCH($N$101,'Tabelas'!$O$127:$O$233,0))&amp;"",""),IF($N$65=3,IFERROR(INDEX('Tabelas'!$Z$127:$Z$233,MATCH($N$101,'Tabelas'!$P$127:$P$233,0))&amp;"",""),IF($N$65=4,IFERROR(INDEX('Tabelas'!$AA$127:$AA$233,MATCH($N$101,'Tabelas'!$Q$127:$Q$233,0))&amp;"",""),IF($N$65=5,IFERROR(INDEX('Tabelas'!$AB$127:$AB$233,MATCH($N$101,'Tabelas'!$R$127:$R$233,0))&amp;"",""),IF($N$65=6,IFERROR(INDEX('Tabelas'!$AC$127:$AC$233,MATCH($N$101,'Tabelas'!$S$127:$S$233,0))&amp;"",""),IFERROR(INDEX('Tabelas'!$AD$127:$AD$233,MATCH($N$101,'Tabelas'!$T$127:$T$233,0))&amp;"","")))))))</f>
        <v/>
      </c>
      <c r="P73" s="2">
        <f>IF($N$65=1,IFERROR(INDEX('Tabelas'!$X$242:$X$348,MATCH($N$102,'Tabelas'!$N$242:$N$348,0))&amp;"",""),IF($N$65=2,IFERROR(INDEX('Tabelas'!$Y$242:$Y$348,MATCH($N$102,'Tabelas'!$O$242:$O$348,0))&amp;"",""),IF($N$65=3,IFERROR(INDEX('Tabelas'!$Z$242:$Z$348,MATCH($N$102,'Tabelas'!$P$242:$P$348,0))&amp;"",""),IF($N$65=4,IFERROR(INDEX('Tabelas'!$AA$242:$AA$348,MATCH($N$102,'Tabelas'!$Q$242:$Q$348,0))&amp;"",""),IF($N$65=5,IFERROR(INDEX('Tabelas'!$AB$242:$AB$348,MATCH($N$102,'Tabelas'!$R$242:$R$348,0))&amp;"",""),IF($N$65=6,IFERROR(INDEX('Tabelas'!$AC$242:$AC$348,MATCH($N$102,'Tabelas'!$S$242:$S$348,0))&amp;"",""),IFERROR(INDEX('Tabelas'!$AD$242:$AD$348,MATCH($N$102,'Tabelas'!$T$242:$T$348,0))&amp;"","")))))))</f>
        <v/>
      </c>
    </row>
    <row r="74" ht="26" customHeight="1">
      <c r="A74" s="9" t="inlineStr">
        <is>
          <t>9</t>
        </is>
      </c>
      <c r="B74" s="5">
        <f>IF(LEN($P$74)=0,$O$74,IF(LEN($O$74)=0,$P$74,IF(INDEX('Dados'!$B$388:$B$394,$N$65)=2,$P$74&amp;INDEX('Dados'!$C$388:$C$394,$N$65)&amp;$O$74,$O$74&amp;INDEX('Dados'!$C$388:$C$394,$N$65)&amp;$P$74)))</f>
        <v/>
      </c>
      <c r="E74" s="5">
        <f>IF(LEN(IF($N$72&lt;=0,"",IFERROR(INDEX('Tabelas'!$X$817:$X$923,MATCH(IF($N$72&lt;=0,0,MOD($N$74-1+8*$N$73,$N$72)+1),'Tabelas'!$N$817:$N$923,0))&amp;"","")))=0,IF($N$75&lt;=0,"",IFERROR(INDEX('Tabelas'!$Y$817:$Y$923,MATCH(IF($N$75&lt;=0,0,MOD($N$77-1+8*$N$76,$N$75)+1),'Tabelas'!$O$817:$O$923,0))&amp;"","")),IF(LEN(IF($N$75&lt;=0,"",IFERROR(INDEX('Tabelas'!$Y$817:$Y$923,MATCH(IF($N$75&lt;=0,0,MOD($N$77-1+8*$N$76,$N$75)+1),'Tabelas'!$O$817:$O$923,0))&amp;"","")))=0,IF($N$72&lt;=0,"",IFERROR(INDEX('Tabelas'!$X$817:$X$923,MATCH(IF($N$72&lt;=0,0,MOD($N$74-1+8*$N$73,$N$72)+1),'Tabelas'!$N$817:$N$923,0))&amp;"","")),IF($N$72&lt;=0,"",IFERROR(INDEX('Tabelas'!$X$817:$X$923,MATCH(IF($N$72&lt;=0,0,MOD($N$74-1+8*$N$73,$N$72)+1),'Tabelas'!$N$817:$N$923,0))&amp;"",""))&amp;" "&amp;IF($N$75&lt;=0,"",IFERROR(INDEX('Tabelas'!$Y$817:$Y$923,MATCH(IF($N$75&lt;=0,0,MOD($N$77-1+8*$N$76,$N$75)+1),'Tabelas'!$O$817:$O$923,0))&amp;"",""))))</f>
        <v/>
      </c>
      <c r="G74" s="5">
        <f>IF(LEN(IF($N$78&lt;=0,"",IFERROR(INDEX('Tabelas'!$Z$817:$Z$923,MATCH(IF($N$78&lt;=0,0,MOD($N$80-1+8*$N$79,$N$78)+1),'Tabelas'!$P$817:$P$923,0))&amp;"","")))=0,IF($N$81&lt;=0,"",IFERROR(INDEX('Tabelas'!$AA$817:$AA$923,MATCH(IF($N$81&lt;=0,0,MOD($N$83-1+8*$N$82,$N$81)+1),'Tabelas'!$Q$817:$Q$923,0))&amp;"","")),IF(LEN(IF($N$81&lt;=0,"",IFERROR(INDEX('Tabelas'!$AA$817:$AA$923,MATCH(IF($N$81&lt;=0,0,MOD($N$83-1+8*$N$82,$N$81)+1),'Tabelas'!$Q$817:$Q$923,0))&amp;"","")))=0,IF($N$78&lt;=0,"",IFERROR(INDEX('Tabelas'!$Z$817:$Z$923,MATCH(IF($N$78&lt;=0,0,MOD($N$80-1+8*$N$79,$N$78)+1),'Tabelas'!$P$817:$P$923,0))&amp;"","")),IF($N$78&lt;=0,"",IFERROR(INDEX('Tabelas'!$Z$817:$Z$923,MATCH(IF($N$78&lt;=0,0,MOD($N$80-1+8*$N$79,$N$78)+1),'Tabelas'!$P$817:$P$923,0))&amp;"",""))&amp;" "&amp;IF($N$81&lt;=0,"",IFERROR(INDEX('Tabelas'!$AA$817:$AA$923,MATCH(IF($N$81&lt;=0,0,MOD($N$83-1+8*$N$82,$N$81)+1),'Tabelas'!$Q$817:$Q$923,0))&amp;"",""))))</f>
        <v/>
      </c>
      <c r="I74" s="5">
        <f>IF($N$84&lt;=0,"",IFERROR(INDEX('Tabelas'!$AD$817:$AD$923,MATCH(IF($N$84&lt;=0,0,MOD($N$86-1+8*$N$85,$N$84)+1),'Tabelas'!$T$817:$T$923,0))&amp;"",""))</f>
        <v/>
      </c>
      <c r="N74" s="2">
        <f>IF($N$72&lt;=0,0,INT($AC$53*$N$72/2147483647)+1)</f>
        <v/>
      </c>
      <c r="O74" s="2">
        <f>IF($N$65=1,IFERROR(INDEX('Tabelas'!$X$127:$X$233,MATCH($N$103,'Tabelas'!$N$127:$N$233,0))&amp;"",""),IF($N$65=2,IFERROR(INDEX('Tabelas'!$Y$127:$Y$233,MATCH($N$103,'Tabelas'!$O$127:$O$233,0))&amp;"",""),IF($N$65=3,IFERROR(INDEX('Tabelas'!$Z$127:$Z$233,MATCH($N$103,'Tabelas'!$P$127:$P$233,0))&amp;"",""),IF($N$65=4,IFERROR(INDEX('Tabelas'!$AA$127:$AA$233,MATCH($N$103,'Tabelas'!$Q$127:$Q$233,0))&amp;"",""),IF($N$65=5,IFERROR(INDEX('Tabelas'!$AB$127:$AB$233,MATCH($N$103,'Tabelas'!$R$127:$R$233,0))&amp;"",""),IF($N$65=6,IFERROR(INDEX('Tabelas'!$AC$127:$AC$233,MATCH($N$103,'Tabelas'!$S$127:$S$233,0))&amp;"",""),IFERROR(INDEX('Tabelas'!$AD$127:$AD$233,MATCH($N$103,'Tabelas'!$T$127:$T$233,0))&amp;"","")))))))</f>
        <v/>
      </c>
      <c r="P74" s="2">
        <f>IF($N$65=1,IFERROR(INDEX('Tabelas'!$X$242:$X$348,MATCH($N$104,'Tabelas'!$N$242:$N$348,0))&amp;"",""),IF($N$65=2,IFERROR(INDEX('Tabelas'!$Y$242:$Y$348,MATCH($N$104,'Tabelas'!$O$242:$O$348,0))&amp;"",""),IF($N$65=3,IFERROR(INDEX('Tabelas'!$Z$242:$Z$348,MATCH($N$104,'Tabelas'!$P$242:$P$348,0))&amp;"",""),IF($N$65=4,IFERROR(INDEX('Tabelas'!$AA$242:$AA$348,MATCH($N$104,'Tabelas'!$Q$242:$Q$348,0))&amp;"",""),IF($N$65=5,IFERROR(INDEX('Tabelas'!$AB$242:$AB$348,MATCH($N$104,'Tabelas'!$R$242:$R$348,0))&amp;"",""),IF($N$65=6,IFERROR(INDEX('Tabelas'!$AC$242:$AC$348,MATCH($N$104,'Tabelas'!$S$242:$S$348,0))&amp;"",""),IFERROR(INDEX('Tabelas'!$AD$242:$AD$348,MATCH($N$104,'Tabelas'!$T$242:$T$348,0))&amp;"","")))))))</f>
        <v/>
      </c>
    </row>
    <row r="75" ht="26" customHeight="1">
      <c r="A75" s="21" t="inlineStr">
        <is>
          <t>10</t>
        </is>
      </c>
      <c r="B75" s="10">
        <f>IF(LEN($P$75)=0,$O$75,IF(LEN($O$75)=0,$P$75,IF(INDEX('Dados'!$B$388:$B$394,$N$65)=2,$P$75&amp;INDEX('Dados'!$C$388:$C$394,$N$65)&amp;$O$75,$O$75&amp;INDEX('Dados'!$C$388:$C$394,$N$65)&amp;$P$75)))</f>
        <v/>
      </c>
      <c r="E75" s="10">
        <f>IF(LEN(IF($N$72&lt;=0,"",IFERROR(INDEX('Tabelas'!$X$817:$X$923,MATCH(IF($N$72&lt;=0,0,MOD($N$74-1+9*$N$73,$N$72)+1),'Tabelas'!$N$817:$N$923,0))&amp;"","")))=0,IF($N$75&lt;=0,"",IFERROR(INDEX('Tabelas'!$Y$817:$Y$923,MATCH(IF($N$75&lt;=0,0,MOD($N$77-1+9*$N$76,$N$75)+1),'Tabelas'!$O$817:$O$923,0))&amp;"","")),IF(LEN(IF($N$75&lt;=0,"",IFERROR(INDEX('Tabelas'!$Y$817:$Y$923,MATCH(IF($N$75&lt;=0,0,MOD($N$77-1+9*$N$76,$N$75)+1),'Tabelas'!$O$817:$O$923,0))&amp;"","")))=0,IF($N$72&lt;=0,"",IFERROR(INDEX('Tabelas'!$X$817:$X$923,MATCH(IF($N$72&lt;=0,0,MOD($N$74-1+9*$N$73,$N$72)+1),'Tabelas'!$N$817:$N$923,0))&amp;"","")),IF($N$72&lt;=0,"",IFERROR(INDEX('Tabelas'!$X$817:$X$923,MATCH(IF($N$72&lt;=0,0,MOD($N$74-1+9*$N$73,$N$72)+1),'Tabelas'!$N$817:$N$923,0))&amp;"",""))&amp;" "&amp;IF($N$75&lt;=0,"",IFERROR(INDEX('Tabelas'!$Y$817:$Y$923,MATCH(IF($N$75&lt;=0,0,MOD($N$77-1+9*$N$76,$N$75)+1),'Tabelas'!$O$817:$O$923,0))&amp;"",""))))</f>
        <v/>
      </c>
      <c r="G75" s="10">
        <f>IF(LEN(IF($N$78&lt;=0,"",IFERROR(INDEX('Tabelas'!$Z$817:$Z$923,MATCH(IF($N$78&lt;=0,0,MOD($N$80-1+9*$N$79,$N$78)+1),'Tabelas'!$P$817:$P$923,0))&amp;"","")))=0,IF($N$81&lt;=0,"",IFERROR(INDEX('Tabelas'!$AA$817:$AA$923,MATCH(IF($N$81&lt;=0,0,MOD($N$83-1+9*$N$82,$N$81)+1),'Tabelas'!$Q$817:$Q$923,0))&amp;"","")),IF(LEN(IF($N$81&lt;=0,"",IFERROR(INDEX('Tabelas'!$AA$817:$AA$923,MATCH(IF($N$81&lt;=0,0,MOD($N$83-1+9*$N$82,$N$81)+1),'Tabelas'!$Q$817:$Q$923,0))&amp;"","")))=0,IF($N$78&lt;=0,"",IFERROR(INDEX('Tabelas'!$Z$817:$Z$923,MATCH(IF($N$78&lt;=0,0,MOD($N$80-1+9*$N$79,$N$78)+1),'Tabelas'!$P$817:$P$923,0))&amp;"","")),IF($N$78&lt;=0,"",IFERROR(INDEX('Tabelas'!$Z$817:$Z$923,MATCH(IF($N$78&lt;=0,0,MOD($N$80-1+9*$N$79,$N$78)+1),'Tabelas'!$P$817:$P$923,0))&amp;"",""))&amp;" "&amp;IF($N$81&lt;=0,"",IFERROR(INDEX('Tabelas'!$AA$817:$AA$923,MATCH(IF($N$81&lt;=0,0,MOD($N$83-1+9*$N$82,$N$81)+1),'Tabelas'!$Q$817:$Q$923,0))&amp;"",""))))</f>
        <v/>
      </c>
      <c r="I75" s="10">
        <f>IF($N$84&lt;=0,"",IFERROR(INDEX('Tabelas'!$AD$817:$AD$923,MATCH(IF($N$84&lt;=0,0,MOD($N$86-1+9*$N$85,$N$84)+1),'Tabelas'!$T$817:$T$923,0))&amp;"",""))</f>
        <v/>
      </c>
      <c r="K75" s="30" t="n"/>
      <c r="L75" s="30" t="n"/>
      <c r="N75" s="2">
        <f>'Tabelas'!$C$814</f>
        <v/>
      </c>
      <c r="O75" s="2">
        <f>IF($N$65=1,IFERROR(INDEX('Tabelas'!$X$127:$X$233,MATCH($N$105,'Tabelas'!$N$127:$N$233,0))&amp;"",""),IF($N$65=2,IFERROR(INDEX('Tabelas'!$Y$127:$Y$233,MATCH($N$105,'Tabelas'!$O$127:$O$233,0))&amp;"",""),IF($N$65=3,IFERROR(INDEX('Tabelas'!$Z$127:$Z$233,MATCH($N$105,'Tabelas'!$P$127:$P$233,0))&amp;"",""),IF($N$65=4,IFERROR(INDEX('Tabelas'!$AA$127:$AA$233,MATCH($N$105,'Tabelas'!$Q$127:$Q$233,0))&amp;"",""),IF($N$65=5,IFERROR(INDEX('Tabelas'!$AB$127:$AB$233,MATCH($N$105,'Tabelas'!$R$127:$R$233,0))&amp;"",""),IF($N$65=6,IFERROR(INDEX('Tabelas'!$AC$127:$AC$233,MATCH($N$105,'Tabelas'!$S$127:$S$233,0))&amp;"",""),IFERROR(INDEX('Tabelas'!$AD$127:$AD$233,MATCH($N$105,'Tabelas'!$T$127:$T$233,0))&amp;"","")))))))</f>
        <v/>
      </c>
      <c r="P75" s="2">
        <f>IF($N$65=1,IFERROR(INDEX('Tabelas'!$X$242:$X$348,MATCH($N$106,'Tabelas'!$N$242:$N$348,0))&amp;"",""),IF($N$65=2,IFERROR(INDEX('Tabelas'!$Y$242:$Y$348,MATCH($N$106,'Tabelas'!$O$242:$O$348,0))&amp;"",""),IF($N$65=3,IFERROR(INDEX('Tabelas'!$Z$242:$Z$348,MATCH($N$106,'Tabelas'!$P$242:$P$348,0))&amp;"",""),IF($N$65=4,IFERROR(INDEX('Tabelas'!$AA$242:$AA$348,MATCH($N$106,'Tabelas'!$Q$242:$Q$348,0))&amp;"",""),IF($N$65=5,IFERROR(INDEX('Tabelas'!$AB$242:$AB$348,MATCH($N$106,'Tabelas'!$R$242:$R$348,0))&amp;"",""),IF($N$65=6,IFERROR(INDEX('Tabelas'!$AC$242:$AC$348,MATCH($N$106,'Tabelas'!$S$242:$S$348,0))&amp;"",""),IFERROR(INDEX('Tabelas'!$AD$242:$AD$348,MATCH($N$106,'Tabelas'!$T$242:$T$348,0))&amp;"","")))))))</f>
        <v/>
      </c>
    </row>
    <row r="76">
      <c r="A76" s="44" t="inlineStr">
        <is>
          <t>Com 10 ou mais entradas na lista, os 10 nomes de cada coluna não se repetem (sequência com passo primo, 6.17).</t>
        </is>
      </c>
      <c r="N76" s="2">
        <f>IF(MOD($N$75,7)&lt;&gt;0,7,IF(MOD($N$75,11)&lt;&gt;0,11,IF(MOD($N$75,13)&lt;&gt;0,13,IF(MOD($N$75,17)&lt;&gt;0,17,IF(MOD($N$75,19)&lt;&gt;0,19,23)))))</f>
        <v/>
      </c>
    </row>
    <row r="77">
      <c r="N77" s="2">
        <f>IF($N$75&lt;=0,0,INT($AC$54*$N$75/2147483647)+1)</f>
        <v/>
      </c>
    </row>
    <row r="78" ht="20" customHeight="1">
      <c r="A78" s="13" t="inlineStr">
        <is>
          <t>As 8 facções do livro: como usar (27.16)</t>
        </is>
      </c>
      <c r="N78" s="2">
        <f>'Tabelas'!$D$814</f>
        <v/>
      </c>
    </row>
    <row r="79">
      <c r="A79" s="8" t="inlineStr">
        <is>
          <t>Facção</t>
        </is>
      </c>
      <c r="B79" s="20" t="n"/>
      <c r="C79" s="8" t="inlineStr">
        <is>
          <t>Como usar (27.16)</t>
        </is>
      </c>
      <c r="D79" s="20" t="n"/>
      <c r="E79" s="20" t="n"/>
      <c r="F79" s="20" t="n"/>
      <c r="G79" s="20" t="n"/>
      <c r="H79" s="20" t="n"/>
      <c r="I79" s="20" t="n"/>
      <c r="J79" s="20" t="n"/>
      <c r="N79" s="2">
        <f>IF(MOD($N$78,7)&lt;&gt;0,7,IF(MOD($N$78,11)&lt;&gt;0,11,IF(MOD($N$78,13)&lt;&gt;0,13,IF(MOD($N$78,17)&lt;&gt;0,17,IF(MOD($N$78,19)&lt;&gt;0,19,23)))))</f>
        <v/>
      </c>
    </row>
    <row r="80" ht="26" customHeight="1">
      <c r="A80" s="31">
        <f>'Dados'!$A$729</f>
        <v/>
      </c>
      <c r="C80" s="5">
        <f>'Dados'!$B$729</f>
        <v/>
      </c>
      <c r="N80" s="2">
        <f>IF($N$78&lt;=0,0,INT($AC$55*$N$78/2147483647)+1)</f>
        <v/>
      </c>
    </row>
    <row r="81" ht="26" customHeight="1">
      <c r="A81" s="43">
        <f>'Dados'!$A$730</f>
        <v/>
      </c>
      <c r="C81" s="10">
        <f>'Dados'!$B$730</f>
        <v/>
      </c>
      <c r="N81" s="2">
        <f>'Tabelas'!$E$814</f>
        <v/>
      </c>
    </row>
    <row r="82" ht="26" customHeight="1">
      <c r="A82" s="31">
        <f>'Dados'!$A$731</f>
        <v/>
      </c>
      <c r="C82" s="5">
        <f>'Dados'!$B$731</f>
        <v/>
      </c>
      <c r="N82" s="2">
        <f>IF(MOD($N$81,7)&lt;&gt;0,7,IF(MOD($N$81,11)&lt;&gt;0,11,IF(MOD($N$81,13)&lt;&gt;0,13,IF(MOD($N$81,17)&lt;&gt;0,17,IF(MOD($N$81,19)&lt;&gt;0,19,23)))))</f>
        <v/>
      </c>
    </row>
    <row r="83" ht="26" customHeight="1">
      <c r="A83" s="43">
        <f>'Dados'!$A$732</f>
        <v/>
      </c>
      <c r="C83" s="10">
        <f>'Dados'!$B$732</f>
        <v/>
      </c>
      <c r="N83" s="2">
        <f>IF($N$81&lt;=0,0,INT($AC$56*$N$81/2147483647)+1)</f>
        <v/>
      </c>
    </row>
    <row r="84" ht="26" customHeight="1">
      <c r="A84" s="31">
        <f>'Dados'!$A$733</f>
        <v/>
      </c>
      <c r="C84" s="5">
        <f>'Dados'!$B$733</f>
        <v/>
      </c>
      <c r="N84" s="2">
        <f>'Tabelas'!$H$814</f>
        <v/>
      </c>
    </row>
    <row r="85" ht="26" customHeight="1">
      <c r="A85" s="43">
        <f>'Dados'!$A$734</f>
        <v/>
      </c>
      <c r="C85" s="10">
        <f>'Dados'!$B$734</f>
        <v/>
      </c>
      <c r="N85" s="2">
        <f>IF(MOD($N$84,7)&lt;&gt;0,7,IF(MOD($N$84,11)&lt;&gt;0,11,IF(MOD($N$84,13)&lt;&gt;0,13,IF(MOD($N$84,17)&lt;&gt;0,17,IF(MOD($N$84,19)&lt;&gt;0,19,23)))))</f>
        <v/>
      </c>
    </row>
    <row r="86" ht="26" customHeight="1">
      <c r="A86" s="31">
        <f>'Dados'!$A$735</f>
        <v/>
      </c>
      <c r="C86" s="5">
        <f>'Dados'!$B$735</f>
        <v/>
      </c>
      <c r="N86" s="2">
        <f>IF($N$84&lt;=0,0,INT($AC$57*$N$84/2147483647)+1)</f>
        <v/>
      </c>
    </row>
    <row r="87" ht="26" customHeight="1">
      <c r="A87" s="43">
        <f>'Dados'!$A$736</f>
        <v/>
      </c>
      <c r="C87" s="10">
        <f>'Dados'!$B$736</f>
        <v/>
      </c>
      <c r="N87" s="2">
        <f>IF($N$66&lt;=0,0,MOD($N$68-1+0*$N$67,$N$66)+1)</f>
        <v/>
      </c>
    </row>
    <row r="88">
      <c r="N88" s="2">
        <f>IF($N$69&lt;=0,0,MOD($N$71-1+0*$N$70,$N$69)+1)</f>
        <v/>
      </c>
    </row>
    <row r="89" ht="20" customHeight="1">
      <c r="A89" s="13" t="inlineStr">
        <is>
          <t>Os 6 locais do livro (27.17)</t>
        </is>
      </c>
      <c r="N89" s="2">
        <f>IF($N$66&lt;=0,0,MOD($N$68-1+1*$N$67,$N$66)+1)</f>
        <v/>
      </c>
    </row>
    <row r="90">
      <c r="A90" s="8" t="inlineStr">
        <is>
          <t>Lugar</t>
        </is>
      </c>
      <c r="B90" s="8" t="inlineStr">
        <is>
          <t>O que é</t>
        </is>
      </c>
      <c r="C90" s="20" t="n"/>
      <c r="D90" s="20" t="n"/>
      <c r="E90" s="20" t="n"/>
      <c r="F90" s="20" t="n"/>
      <c r="G90" s="8" t="inlineStr">
        <is>
          <t>A cena que ele entrega</t>
        </is>
      </c>
      <c r="H90" s="20" t="n"/>
      <c r="I90" s="20" t="n"/>
      <c r="J90" s="20" t="n"/>
      <c r="N90" s="2">
        <f>IF($N$69&lt;=0,0,MOD($N$71-1+1*$N$70,$N$69)+1)</f>
        <v/>
      </c>
    </row>
    <row r="91" ht="26" customHeight="1">
      <c r="A91" s="31">
        <f>'Dados'!$A$740</f>
        <v/>
      </c>
      <c r="B91" s="5">
        <f>'Dados'!$B$740</f>
        <v/>
      </c>
      <c r="G91" s="5">
        <f>'Dados'!$C$740</f>
        <v/>
      </c>
      <c r="N91" s="2">
        <f>IF($N$66&lt;=0,0,MOD($N$68-1+2*$N$67,$N$66)+1)</f>
        <v/>
      </c>
    </row>
    <row r="92" ht="26" customHeight="1">
      <c r="A92" s="43">
        <f>'Dados'!$A$741</f>
        <v/>
      </c>
      <c r="B92" s="10">
        <f>'Dados'!$B$741</f>
        <v/>
      </c>
      <c r="G92" s="10">
        <f>'Dados'!$C$741</f>
        <v/>
      </c>
      <c r="N92" s="2">
        <f>IF($N$69&lt;=0,0,MOD($N$71-1+2*$N$70,$N$69)+1)</f>
        <v/>
      </c>
    </row>
    <row r="93" ht="26" customHeight="1">
      <c r="A93" s="31">
        <f>'Dados'!$A$742</f>
        <v/>
      </c>
      <c r="B93" s="5">
        <f>'Dados'!$B$742</f>
        <v/>
      </c>
      <c r="G93" s="5">
        <f>'Dados'!$C$742</f>
        <v/>
      </c>
      <c r="N93" s="2">
        <f>IF($N$66&lt;=0,0,MOD($N$68-1+3*$N$67,$N$66)+1)</f>
        <v/>
      </c>
    </row>
    <row r="94">
      <c r="A94" s="43">
        <f>'Dados'!$A$743</f>
        <v/>
      </c>
      <c r="B94" s="10">
        <f>'Dados'!$B$743</f>
        <v/>
      </c>
      <c r="G94" s="10">
        <f>'Dados'!$C$743</f>
        <v/>
      </c>
      <c r="N94" s="2">
        <f>IF($N$69&lt;=0,0,MOD($N$71-1+3*$N$70,$N$69)+1)</f>
        <v/>
      </c>
    </row>
    <row r="95" ht="26" customHeight="1">
      <c r="A95" s="31">
        <f>'Dados'!$A$744</f>
        <v/>
      </c>
      <c r="B95" s="5">
        <f>'Dados'!$B$744</f>
        <v/>
      </c>
      <c r="G95" s="5">
        <f>'Dados'!$C$744</f>
        <v/>
      </c>
      <c r="N95" s="2">
        <f>IF($N$66&lt;=0,0,MOD($N$68-1+4*$N$67,$N$66)+1)</f>
        <v/>
      </c>
    </row>
    <row r="96" ht="26" customHeight="1">
      <c r="A96" s="43">
        <f>'Dados'!$A$745</f>
        <v/>
      </c>
      <c r="B96" s="10">
        <f>'Dados'!$B$745</f>
        <v/>
      </c>
      <c r="G96" s="10">
        <f>'Dados'!$C$745</f>
        <v/>
      </c>
      <c r="N96" s="2">
        <f>IF($N$69&lt;=0,0,MOD($N$71-1+4*$N$70,$N$69)+1)</f>
        <v/>
      </c>
    </row>
    <row r="97">
      <c r="N97" s="2">
        <f>IF($N$66&lt;=0,0,MOD($N$68-1+5*$N$67,$N$66)+1)</f>
        <v/>
      </c>
    </row>
    <row r="98">
      <c r="N98" s="2">
        <f>IF($N$69&lt;=0,0,MOD($N$71-1+5*$N$70,$N$69)+1)</f>
        <v/>
      </c>
    </row>
    <row r="99">
      <c r="N99" s="2">
        <f>IF($N$66&lt;=0,0,MOD($N$68-1+6*$N$67,$N$66)+1)</f>
        <v/>
      </c>
    </row>
    <row r="100">
      <c r="N100" s="2">
        <f>IF($N$69&lt;=0,0,MOD($N$71-1+6*$N$70,$N$69)+1)</f>
        <v/>
      </c>
    </row>
    <row r="101">
      <c r="N101" s="2">
        <f>IF($N$66&lt;=0,0,MOD($N$68-1+7*$N$67,$N$66)+1)</f>
        <v/>
      </c>
    </row>
    <row r="102">
      <c r="N102" s="2">
        <f>IF($N$69&lt;=0,0,MOD($N$71-1+7*$N$70,$N$69)+1)</f>
        <v/>
      </c>
    </row>
    <row r="103">
      <c r="N103" s="2">
        <f>IF($N$66&lt;=0,0,MOD($N$68-1+8*$N$67,$N$66)+1)</f>
        <v/>
      </c>
    </row>
    <row r="104">
      <c r="N104" s="2">
        <f>IF($N$69&lt;=0,0,MOD($N$71-1+8*$N$70,$N$69)+1)</f>
        <v/>
      </c>
    </row>
    <row r="105">
      <c r="N105" s="2">
        <f>IF($N$66&lt;=0,0,MOD($N$68-1+9*$N$67,$N$66)+1)</f>
        <v/>
      </c>
    </row>
    <row r="106">
      <c r="N106" s="2">
        <f>IF($N$69&lt;=0,0,MOD($N$71-1+9*$N$70,$N$69)+1)</f>
        <v/>
      </c>
    </row>
  </sheetData>
  <mergeCells count="207">
    <mergeCell ref="E71:F71"/>
    <mergeCell ref="K33:L33"/>
    <mergeCell ref="B90:F90"/>
    <mergeCell ref="G71:H71"/>
    <mergeCell ref="A89:L89"/>
    <mergeCell ref="D64:J64"/>
    <mergeCell ref="A63:J63"/>
    <mergeCell ref="A26:L26"/>
    <mergeCell ref="E73:F73"/>
    <mergeCell ref="K35:L35"/>
    <mergeCell ref="E51:F51"/>
    <mergeCell ref="I16:J16"/>
    <mergeCell ref="B35:H35"/>
    <mergeCell ref="C85:J85"/>
    <mergeCell ref="G96:J96"/>
    <mergeCell ref="B16:H16"/>
    <mergeCell ref="G66:H66"/>
    <mergeCell ref="D10:J10"/>
    <mergeCell ref="I71:J71"/>
    <mergeCell ref="I66:J66"/>
    <mergeCell ref="I18:J18"/>
    <mergeCell ref="I58:J58"/>
    <mergeCell ref="E65:F65"/>
    <mergeCell ref="B18:H18"/>
    <mergeCell ref="B27:H27"/>
    <mergeCell ref="B58:H58"/>
    <mergeCell ref="G68:H68"/>
    <mergeCell ref="I42:J42"/>
    <mergeCell ref="A85:B85"/>
    <mergeCell ref="K42:L42"/>
    <mergeCell ref="B42:H42"/>
    <mergeCell ref="G52:I52"/>
    <mergeCell ref="D11:J11"/>
    <mergeCell ref="B60:H60"/>
    <mergeCell ref="B92:F92"/>
    <mergeCell ref="I44:J44"/>
    <mergeCell ref="B72:D72"/>
    <mergeCell ref="B64:C64"/>
    <mergeCell ref="I20:J20"/>
    <mergeCell ref="B44:H44"/>
    <mergeCell ref="C81:J81"/>
    <mergeCell ref="K28:L28"/>
    <mergeCell ref="E75:F75"/>
    <mergeCell ref="K37:L37"/>
    <mergeCell ref="B70:D70"/>
    <mergeCell ref="B29:H29"/>
    <mergeCell ref="G75:H75"/>
    <mergeCell ref="I69:J69"/>
    <mergeCell ref="B94:F94"/>
    <mergeCell ref="B37:H37"/>
    <mergeCell ref="C87:J87"/>
    <mergeCell ref="I30:J30"/>
    <mergeCell ref="A78:L78"/>
    <mergeCell ref="D9:J9"/>
    <mergeCell ref="I15:J15"/>
    <mergeCell ref="I46:J46"/>
    <mergeCell ref="K15:L15"/>
    <mergeCell ref="E67:F67"/>
    <mergeCell ref="G91:J91"/>
    <mergeCell ref="B73:D73"/>
    <mergeCell ref="G67:H67"/>
    <mergeCell ref="B15:H15"/>
    <mergeCell ref="G94:J94"/>
    <mergeCell ref="I61:J61"/>
    <mergeCell ref="A3:L3"/>
    <mergeCell ref="G70:H70"/>
    <mergeCell ref="A79:B79"/>
    <mergeCell ref="A55:L55"/>
    <mergeCell ref="I70:J70"/>
    <mergeCell ref="K64:L64"/>
    <mergeCell ref="K21:L21"/>
    <mergeCell ref="C79:J79"/>
    <mergeCell ref="A87:B87"/>
    <mergeCell ref="I57:J57"/>
    <mergeCell ref="B96:F96"/>
    <mergeCell ref="I72:J72"/>
    <mergeCell ref="A5:L5"/>
    <mergeCell ref="K63:L63"/>
    <mergeCell ref="A14:L14"/>
    <mergeCell ref="B74:D74"/>
    <mergeCell ref="B68:D68"/>
    <mergeCell ref="G51:I51"/>
    <mergeCell ref="I56:J56"/>
    <mergeCell ref="K56:L56"/>
    <mergeCell ref="I43:J43"/>
    <mergeCell ref="K43:L43"/>
    <mergeCell ref="B56:H56"/>
    <mergeCell ref="B43:H43"/>
    <mergeCell ref="K27:L27"/>
    <mergeCell ref="G65:H65"/>
    <mergeCell ref="B75:D75"/>
    <mergeCell ref="I17:J17"/>
    <mergeCell ref="K17:L17"/>
    <mergeCell ref="A24:L24"/>
    <mergeCell ref="I35:J35"/>
    <mergeCell ref="B17:H17"/>
    <mergeCell ref="B57:H57"/>
    <mergeCell ref="K10:L10"/>
    <mergeCell ref="I19:J19"/>
    <mergeCell ref="K66:L66"/>
    <mergeCell ref="I59:J59"/>
    <mergeCell ref="E66:F66"/>
    <mergeCell ref="K6:L6"/>
    <mergeCell ref="B19:H19"/>
    <mergeCell ref="B34:H34"/>
    <mergeCell ref="I60:J60"/>
    <mergeCell ref="I74:J74"/>
    <mergeCell ref="B28:H28"/>
    <mergeCell ref="A83:B83"/>
    <mergeCell ref="K16:L16"/>
    <mergeCell ref="E68:F68"/>
    <mergeCell ref="D12:J12"/>
    <mergeCell ref="K9:L9"/>
    <mergeCell ref="B30:H30"/>
    <mergeCell ref="I45:J45"/>
    <mergeCell ref="K45:L45"/>
    <mergeCell ref="G90:J90"/>
    <mergeCell ref="B20:H20"/>
    <mergeCell ref="A50:L50"/>
    <mergeCell ref="B45:H45"/>
    <mergeCell ref="K60:L60"/>
    <mergeCell ref="K29:L29"/>
    <mergeCell ref="K11:L11"/>
    <mergeCell ref="I47:J47"/>
    <mergeCell ref="K47:L47"/>
    <mergeCell ref="B47:H47"/>
    <mergeCell ref="I37:J37"/>
    <mergeCell ref="B65:D65"/>
    <mergeCell ref="K31:L31"/>
    <mergeCell ref="K46:L46"/>
    <mergeCell ref="E69:F69"/>
    <mergeCell ref="B59:H59"/>
    <mergeCell ref="G69:H69"/>
    <mergeCell ref="A80:B80"/>
    <mergeCell ref="B31:H31"/>
    <mergeCell ref="B46:H46"/>
    <mergeCell ref="I21:J21"/>
    <mergeCell ref="K8:L8"/>
    <mergeCell ref="B21:H21"/>
    <mergeCell ref="C51:D51"/>
    <mergeCell ref="B48:H48"/>
    <mergeCell ref="I23:J23"/>
    <mergeCell ref="K23:L23"/>
    <mergeCell ref="E70:F70"/>
    <mergeCell ref="B23:H23"/>
    <mergeCell ref="G73:H73"/>
    <mergeCell ref="K7:L7"/>
    <mergeCell ref="I73:J73"/>
    <mergeCell ref="B66:D66"/>
    <mergeCell ref="C82:J82"/>
    <mergeCell ref="E72:F72"/>
    <mergeCell ref="K65:L65"/>
    <mergeCell ref="D7:J7"/>
    <mergeCell ref="K57:L57"/>
    <mergeCell ref="K18:L18"/>
    <mergeCell ref="G95:J95"/>
    <mergeCell ref="A33:J33"/>
    <mergeCell ref="I65:J65"/>
    <mergeCell ref="I34:J34"/>
    <mergeCell ref="B91:F91"/>
    <mergeCell ref="K34:L34"/>
    <mergeCell ref="B67:D67"/>
    <mergeCell ref="A82:B82"/>
    <mergeCell ref="A41:L41"/>
    <mergeCell ref="C83:J83"/>
    <mergeCell ref="C86:J86"/>
    <mergeCell ref="D8:J8"/>
    <mergeCell ref="I27:J27"/>
    <mergeCell ref="I36:J36"/>
    <mergeCell ref="B93:F93"/>
    <mergeCell ref="K36:L36"/>
    <mergeCell ref="B69:D69"/>
    <mergeCell ref="B36:H36"/>
    <mergeCell ref="K20:L20"/>
    <mergeCell ref="A76:L76"/>
    <mergeCell ref="A84:B84"/>
    <mergeCell ref="I75:J75"/>
    <mergeCell ref="C84:J84"/>
    <mergeCell ref="I22:J22"/>
    <mergeCell ref="I28:J28"/>
    <mergeCell ref="K22:L22"/>
    <mergeCell ref="C80:J80"/>
    <mergeCell ref="A53:L53"/>
    <mergeCell ref="E74:F74"/>
    <mergeCell ref="G74:H74"/>
    <mergeCell ref="B22:H22"/>
    <mergeCell ref="K59:L59"/>
    <mergeCell ref="I68:J68"/>
    <mergeCell ref="A86:B86"/>
    <mergeCell ref="K12:L12"/>
    <mergeCell ref="D6:J6"/>
    <mergeCell ref="I67:J67"/>
    <mergeCell ref="I48:J48"/>
    <mergeCell ref="A39:L39"/>
    <mergeCell ref="K48:L48"/>
    <mergeCell ref="B61:H61"/>
    <mergeCell ref="G93:J93"/>
    <mergeCell ref="I29:J29"/>
    <mergeCell ref="I38:J38"/>
    <mergeCell ref="A81:B81"/>
    <mergeCell ref="B95:F95"/>
    <mergeCell ref="B71:D71"/>
    <mergeCell ref="A1:L1"/>
    <mergeCell ref="G92:J92"/>
    <mergeCell ref="B38:H38"/>
    <mergeCell ref="I31:J31"/>
    <mergeCell ref="G72:H72"/>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20">
    <cfRule type="expression" priority="10" dxfId="0">
      <formula>LEN(K20)&gt;0</formula>
    </cfRule>
  </conditionalFormatting>
  <conditionalFormatting sqref="K21">
    <cfRule type="expression" priority="11" dxfId="0">
      <formula>LEN(K21)&gt;0</formula>
    </cfRule>
  </conditionalFormatting>
  <conditionalFormatting sqref="K22">
    <cfRule type="expression" priority="12" dxfId="0">
      <formula>LEN(K22)&gt;0</formula>
    </cfRule>
  </conditionalFormatting>
  <conditionalFormatting sqref="K23">
    <cfRule type="expression" priority="13" dxfId="0">
      <formula>LEN(K23)&gt;0</formula>
    </cfRule>
  </conditionalFormatting>
  <conditionalFormatting sqref="K28">
    <cfRule type="expression" priority="14" dxfId="0">
      <formula>LEN(K28)&gt;0</formula>
    </cfRule>
  </conditionalFormatting>
  <conditionalFormatting sqref="K29">
    <cfRule type="expression" priority="15" dxfId="0">
      <formula>LEN(K29)&gt;0</formula>
    </cfRule>
  </conditionalFormatting>
  <conditionalFormatting sqref="K31">
    <cfRule type="expression" priority="16" dxfId="0">
      <formula>LEN(K31)&gt;0</formula>
    </cfRule>
  </conditionalFormatting>
  <conditionalFormatting sqref="K35">
    <cfRule type="expression" priority="17" dxfId="0">
      <formula>LEN(K35)&gt;0</formula>
    </cfRule>
  </conditionalFormatting>
  <conditionalFormatting sqref="K36">
    <cfRule type="expression" priority="18" dxfId="0">
      <formula>LEN(K36)&gt;0</formula>
    </cfRule>
  </conditionalFormatting>
  <conditionalFormatting sqref="K37">
    <cfRule type="expression" priority="19" dxfId="0">
      <formula>LEN(K37)&gt;0</formula>
    </cfRule>
  </conditionalFormatting>
  <conditionalFormatting sqref="K43">
    <cfRule type="expression" priority="20" dxfId="0">
      <formula>LEN(K43)&gt;0</formula>
    </cfRule>
  </conditionalFormatting>
  <conditionalFormatting sqref="K45">
    <cfRule type="expression" priority="21" dxfId="0">
      <formula>LEN(K45)&gt;0</formula>
    </cfRule>
  </conditionalFormatting>
  <conditionalFormatting sqref="K46">
    <cfRule type="expression" priority="22" dxfId="0">
      <formula>LEN(K46)&gt;0</formula>
    </cfRule>
  </conditionalFormatting>
  <conditionalFormatting sqref="K47">
    <cfRule type="expression" priority="23" dxfId="0">
      <formula>LEN(K47)&gt;0</formula>
    </cfRule>
  </conditionalFormatting>
  <conditionalFormatting sqref="K48">
    <cfRule type="expression" priority="24" dxfId="0">
      <formula>LEN(K48)&gt;0</formula>
    </cfRule>
  </conditionalFormatting>
  <conditionalFormatting sqref="K57">
    <cfRule type="expression" priority="25" dxfId="0">
      <formula>LEN(K57)&gt;0</formula>
    </cfRule>
  </conditionalFormatting>
  <conditionalFormatting sqref="K59">
    <cfRule type="expression" priority="26" dxfId="0">
      <formula>LEN(K59)&gt;0</formula>
    </cfRule>
  </conditionalFormatting>
  <conditionalFormatting sqref="K60">
    <cfRule type="expression" priority="27" dxfId="0">
      <formula>LEN(K60)&gt;0</formula>
    </cfRule>
  </conditionalFormatting>
  <conditionalFormatting sqref="K64">
    <cfRule type="expression" priority="28" dxfId="0">
      <formula>LEN(K64)&gt;0</formula>
    </cfRule>
  </conditionalFormatting>
  <conditionalFormatting sqref="K66">
    <cfRule type="expression" priority="29" dxfId="0">
      <formula>LEN(K66)&gt;0</formula>
    </cfRule>
  </conditionalFormatting>
  <dataValidations count="7">
    <dataValidation sqref="B7" showDropDown="0" showInputMessage="0" showErrorMessage="1" allowBlank="1" errorTitle="Valor fora da faixa" error="Rolagem nº: use um número inteiro de 1 a 1000000." type="whole" errorStyle="warning" operator="between">
      <formula1>1</formula1>
      <formula2>1000000</formula2>
    </dataValidation>
    <dataValidation sqref="B8" showDropDown="0" showInputMessage="0" showErrorMessage="1" allowBlank="1" errorTitle="Valor fora da faixa" error="Rolagem nº: use um número inteiro de 1 a 1000000." type="whole" errorStyle="warning" operator="between">
      <formula1>1</formula1>
      <formula2>1000000</formula2>
    </dataValidation>
    <dataValidation sqref="B9" showDropDown="0" showInputMessage="0" showErrorMessage="1" allowBlank="1" errorTitle="Valor fora da faixa" error="Rolagem nº: use um número inteiro de 1 a 1000000." type="whole" errorStyle="warning" operator="between">
      <formula1>1</formula1>
      <formula2>1000000</formula2>
    </dataValidation>
    <dataValidation sqref="B10" showDropDown="0" showInputMessage="0" showErrorMessage="1" allowBlank="1" errorTitle="Valor fora da faixa" error="Rolagem nº: use um número inteiro de 1 a 1000000." type="whole" errorStyle="warning" operator="between">
      <formula1>1</formula1>
      <formula2>1000000</formula2>
    </dataValidation>
    <dataValidation sqref="B11" showDropDown="0" showInputMessage="0" showErrorMessage="1" allowBlank="1" errorTitle="Valor fora da faixa" error="Rolagem nº: use um número inteiro de 1 a 1000000." type="whole" errorStyle="warning" operator="between">
      <formula1>1</formula1>
      <formula2>1000000</formula2>
    </dataValidation>
    <dataValidation sqref="B12" showDropDown="0" showInputMessage="0" showErrorMessage="1" allowBlank="1" errorTitle="Valor fora da faixa" error="Rolagem nº: use um número inteiro de 1 a 1000000." type="whole" errorStyle="warning" operator="between">
      <formula1>1</formula1>
      <formula2>1000000</formula2>
    </dataValidation>
    <dataValidation sqref="B64" showDropDown="0" showInputMessage="0" showErrorMessage="1" allowBlank="1" errorTitle="Fora da lista" error="Cultura: escolha um valor da lista. A planilha pode não reconhecer outro valor." type="list" errorStyle="warning">
      <formula1>'Dados'!$BM$6:$BM$13</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21"/>
  <sheetViews>
    <sheetView showGridLines="1" workbookViewId="0">
      <selection activeCell="A1" sqref="A1"/>
    </sheetView>
  </sheetViews>
  <sheetFormatPr baseColWidth="8" defaultRowHeight="15"/>
  <cols>
    <col width="20.786" customWidth="1" min="1" max="1"/>
    <col width="13.643" customWidth="1" min="2" max="2"/>
    <col width="15.071" customWidth="1" min="3" max="3"/>
    <col width="15.071" customWidth="1" min="4" max="4"/>
    <col width="17.929" customWidth="1" min="5" max="5"/>
    <col width="13.643" customWidth="1" min="6" max="6"/>
    <col width="13.643" customWidth="1" min="7" max="7"/>
    <col width="13.643" customWidth="1" min="8" max="8"/>
    <col width="12.214" customWidth="1" min="9" max="9"/>
    <col width="13.643" customWidth="1" min="10" max="10"/>
    <col width="18.643" customWidth="1" min="11" max="11"/>
    <col width="18.643" customWidth="1" min="12" max="12"/>
    <col hidden="1" width="13" customWidth="1" min="13" max="13"/>
    <col hidden="1"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24" customHeight="1">
      <c r="A1" s="1" t="inlineStr">
        <is>
          <t>Improviso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Rumores e ganchos, eventos e complicações, loja com preços do livro, bugigangas, oráculo sim/não, rolador de dados e DT rápida.</t>
        </is>
      </c>
    </row>
    <row r="4"/>
    <row r="5" ht="20" customHeight="1">
      <c r="A5" s="13" t="inlineStr">
        <is>
          <t>Rolagem nº de cada gerador (vazio = 1; some 1 para rolar de novo; a semente é a da aba Início)</t>
        </is>
      </c>
    </row>
    <row r="6" ht="26" customHeight="1">
      <c r="A6" s="8" t="inlineStr">
        <is>
          <t>Gerador</t>
        </is>
      </c>
      <c r="B6" s="8" t="inlineStr">
        <is>
          <t>Rolagem nº (preencha)</t>
        </is>
      </c>
      <c r="C6" s="8" t="inlineStr">
        <is>
          <t>Rolagem efetiva</t>
        </is>
      </c>
      <c r="D6" s="8" t="inlineStr">
        <is>
          <t>Como funciona</t>
        </is>
      </c>
      <c r="E6" s="20" t="n"/>
      <c r="F6" s="20" t="n"/>
      <c r="G6" s="20" t="n"/>
      <c r="H6" s="20" t="n"/>
      <c r="I6" s="20" t="n"/>
      <c r="J6" s="20" t="n"/>
      <c r="K6" s="8" t="inlineStr">
        <is>
          <t>Aviso</t>
        </is>
      </c>
      <c r="L6" s="20" t="n"/>
    </row>
    <row r="7" ht="26" customHeight="1">
      <c r="A7" s="9" t="inlineStr">
        <is>
          <t>Rumores e ganchos (G = 600)</t>
        </is>
      </c>
      <c r="B7" s="16" t="n"/>
      <c r="C7" s="18">
        <f>IF(ISNUMBER($AF$7),IF(AND($AF$7&gt;=1,$AF$7&lt;=1000000,INT($AF$7)=$AF$7),$AF$7,1),1)</f>
        <v/>
      </c>
      <c r="D7" s="12" t="inlineStr">
        <is>
          <t>Rolar de novo = somar 1 na Rolagem nº do gerador (design §5).</t>
        </is>
      </c>
      <c r="K7" s="19">
        <f>IF(AJ7&gt;0,"O Google leu como fórmula: digite de novo com ' na frente.",IF(LEN($AF$7)=0,"",IF(ISNUMBER($AF$7),IF(AND($AF$7&gt;=1,$AF$7&lt;=1000000,INT($AF$7)=$AF$7),"","Rolagem nº fora de 1 a 1.000.000: usando 1"),"Rolagem nº fora de 1 a 1.000.000: usando 1")))</f>
        <v/>
      </c>
      <c r="AF7" s="2">
        <f>IF(ISERROR($B$7),"",IF(ISBLANK($B$7),"",$B$7))</f>
        <v/>
      </c>
      <c r="AJ7" s="2">
        <f>ISERROR($B$7)*1</f>
        <v/>
      </c>
    </row>
    <row r="8" ht="37" customHeight="1">
      <c r="A8" s="21" t="inlineStr">
        <is>
          <t>Evento ou complicação (G = 610)</t>
        </is>
      </c>
      <c r="B8" s="37" t="n"/>
      <c r="C8" s="23">
        <f>IF(ISNUMBER($AF$8),IF(AND($AF$8&gt;=1,$AF$8&lt;=1000000,INT($AF$8)=$AF$8),$AF$8,1),1)</f>
        <v/>
      </c>
      <c r="D8" s="42" t="inlineStr">
        <is>
          <t>Mesma semente e mesma Rolagem nº dão o mesmo resultado.</t>
        </is>
      </c>
      <c r="K8" s="27">
        <f>IF(AJ8&gt;0,"O Google leu como fórmula: digite de novo com ' na frente.",IF(LEN($AF$8)=0,"",IF(ISNUMBER($AF$8),IF(AND($AF$8&gt;=1,$AF$8&lt;=1000000,INT($AF$8)=$AF$8),"","Rolagem nº fora de 1 a 1.000.000: usando 1"),"Rolagem nº fora de 1 a 1.000.000: usando 1")))</f>
        <v/>
      </c>
      <c r="AF8" s="2">
        <f>IF(ISERROR($B$8),"",IF(ISBLANK($B$8),"",$B$8))</f>
        <v/>
      </c>
      <c r="AJ8" s="2">
        <f>ISERROR($B$8)*1</f>
        <v/>
      </c>
    </row>
    <row r="9" ht="26" customHeight="1">
      <c r="A9" s="9" t="inlineStr">
        <is>
          <t>Loja (G = 620)</t>
        </is>
      </c>
      <c r="B9" s="16" t="n"/>
      <c r="C9" s="18">
        <f>IF(ISNUMBER($AF$9),IF(AND($AF$9&gt;=1,$AF$9&lt;=1000000,INT($AF$9)=$AF$9),$AF$9,1),1)</f>
        <v/>
      </c>
      <c r="D9" s="12" t="inlineStr">
        <is>
          <t>Mesma semente e mesma Rolagem nº dão o mesmo resultado.</t>
        </is>
      </c>
      <c r="K9" s="19">
        <f>IF(AJ9&gt;0,"O Google leu como fórmula: digite de novo com ' na frente.",IF(LEN($AF$9)=0,"",IF(ISNUMBER($AF$9),IF(AND($AF$9&gt;=1,$AF$9&lt;=1000000,INT($AF$9)=$AF$9),"","Rolagem nº fora de 1 a 1.000.000: usando 1"),"Rolagem nº fora de 1 a 1.000.000: usando 1")))</f>
        <v/>
      </c>
      <c r="AF9" s="2">
        <f>IF(ISERROR($B$9),"",IF(ISBLANK($B$9),"",$B$9))</f>
        <v/>
      </c>
      <c r="AJ9" s="2">
        <f>ISERROR($B$9)*1</f>
        <v/>
      </c>
    </row>
    <row r="10" ht="26" customHeight="1">
      <c r="A10" s="21" t="inlineStr">
        <is>
          <t>Bugigangas (G = 630)</t>
        </is>
      </c>
      <c r="B10" s="37" t="n"/>
      <c r="C10" s="23">
        <f>IF(ISNUMBER($AF$10),IF(AND($AF$10&gt;=1,$AF$10&lt;=1000000,INT($AF$10)=$AF$10),$AF$10,1),1)</f>
        <v/>
      </c>
      <c r="D10" s="42" t="inlineStr">
        <is>
          <t>Mesma semente e mesma Rolagem nº dão o mesmo resultado.</t>
        </is>
      </c>
      <c r="K10" s="27">
        <f>IF(AJ10&gt;0,"O Google leu como fórmula: digite de novo com ' na frente.",IF(LEN($AF$10)=0,"",IF(ISNUMBER($AF$10),IF(AND($AF$10&gt;=1,$AF$10&lt;=1000000,INT($AF$10)=$AF$10),"","Rolagem nº fora de 1 a 1.000.000: usando 1"),"Rolagem nº fora de 1 a 1.000.000: usando 1")))</f>
        <v/>
      </c>
      <c r="N10" s="2">
        <f>'Tabelas'!$B$1159</f>
        <v/>
      </c>
      <c r="AA10" s="2">
        <f>MOD(MOD(MOD((MOD('Início'!$E$16+104729*$C$7+6051109,2147483646)+1)*16807,2147483647)*16807,2147483647)*16807,2147483647)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F10" s="2">
        <f>IF(ISERROR($B$10),"",IF(ISBLANK($B$10),"",$B$10))</f>
        <v/>
      </c>
      <c r="AJ10" s="2">
        <f>ISERROR($B$10)*1</f>
        <v/>
      </c>
    </row>
    <row r="11" ht="26" customHeight="1">
      <c r="A11" s="9" t="inlineStr">
        <is>
          <t>Oráculo sim/não (G = 640)</t>
        </is>
      </c>
      <c r="B11" s="16" t="n"/>
      <c r="C11" s="18">
        <f>IF(ISNUMBER($AF$11),IF(AND($AF$11&gt;=1,$AF$11&lt;=1000000,INT($AF$11)=$AF$11),$AF$11,1),1)</f>
        <v/>
      </c>
      <c r="D11" s="12" t="inlineStr">
        <is>
          <t>Mesma semente e mesma Rolagem nº dão o mesmo resultado.</t>
        </is>
      </c>
      <c r="K11" s="19">
        <f>IF(AJ11&gt;0,"O Google leu como fórmula: digite de novo com ' na frente.",IF(LEN($AF$11)=0,"",IF(ISNUMBER($AF$11),IF(AND($AF$11&gt;=1,$AF$11&lt;=1000000,INT($AF$11)=$AF$11),"","Rolagem nº fora de 1 a 1.000.000: usando 1"),"Rolagem nº fora de 1 a 1.000.000: usando 1")))</f>
        <v/>
      </c>
      <c r="N11" s="2">
        <f>IF(MOD($N$10,7)&lt;&gt;0,7,IF(MOD($N$10,11)&lt;&gt;0,11,IF(MOD($N$10,13)&lt;&gt;0,13,IF(MOD($N$10,17)&lt;&gt;0,17,IF(MOD($N$10,19)&lt;&gt;0,19,23)))))</f>
        <v/>
      </c>
      <c r="AA11" s="2">
        <f>MOD(MOD(MOD((MOD('Início'!$E$16+104729*$C$7+7350818,2147483646)+1)*16807,2147483647)*16807,2147483647)*16807,2147483647)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F11" s="2">
        <f>IF(ISERROR($B$11),"",IF(ISBLANK($B$11),"",$B$11))</f>
        <v/>
      </c>
      <c r="AJ11" s="2">
        <f>ISERROR($B$11)*1</f>
        <v/>
      </c>
    </row>
    <row r="12" ht="26" customHeight="1">
      <c r="A12" s="21" t="inlineStr">
        <is>
          <t>Rolador de dados (G = 650)</t>
        </is>
      </c>
      <c r="B12" s="37" t="n"/>
      <c r="C12" s="23">
        <f>IF(ISNUMBER($AF$12),IF(AND($AF$12&gt;=1,$AF$12&lt;=1000000,INT($AF$12)=$AF$12),$AF$12,1),1)</f>
        <v/>
      </c>
      <c r="D12" s="42" t="inlineStr">
        <is>
          <t>Mesma semente e mesma Rolagem nº dão o mesmo resultado.</t>
        </is>
      </c>
      <c r="K12" s="27">
        <f>IF(AJ12&gt;0,"O Google leu como fórmula: digite de novo com ' na frente.",IF(LEN($AF$12)=0,"",IF(ISNUMBER($AF$12),IF(AND($AF$12&gt;=1,$AF$12&lt;=1000000,INT($AF$12)=$AF$12),"","Rolagem nº fora de 1 a 1.000.000: usando 1"),"Rolagem nº fora de 1 a 1.000.000: usando 1")))</f>
        <v/>
      </c>
      <c r="N12" s="2">
        <f>IF($N$10&lt;=0,0,INT($AC$10*$N$10/2147483647)+1)</f>
        <v/>
      </c>
      <c r="AA12" s="2">
        <f>MOD(MOD(MOD((MOD('Início'!$E$16+104729*$C$7+8650527,2147483646)+1)*16807,2147483647)*16807,2147483647)*16807,2147483647)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F12" s="2">
        <f>IF(ISERROR($B$12),"",IF(ISBLANK($B$12),"",$B$12))</f>
        <v/>
      </c>
      <c r="AJ12" s="2">
        <f>ISERROR($B$12)*1</f>
        <v/>
      </c>
    </row>
    <row r="13">
      <c r="N13" s="2">
        <f>IF($N$10&lt;=0,0,MOD($N$12-1+0*$N$11,$N$10)+1)</f>
        <v/>
      </c>
      <c r="AA13" s="2">
        <f>MOD(MOD(MOD((MOD('Início'!$E$16+104729*$C$7+9950236,2147483646)+1)*16807,2147483647)*16807,2147483647)*16807,2147483647)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row>
    <row r="14" ht="26" customHeight="1">
      <c r="A14" s="13" t="inlineStr">
        <is>
          <t>Rumores (G = 600): 3 por rolagem, sem repetir, cada um com a veracidade</t>
        </is>
      </c>
      <c r="K14" s="12" t="inlineStr">
        <is>
          <t>Sugestão da planilha — não é regra do livro (H25)</t>
        </is>
      </c>
      <c r="N14" s="2">
        <f>IF($N$10&lt;=0,0,MOD($N$12-1+1*$N$11,$N$10)+1)</f>
        <v/>
      </c>
      <c r="AA14" s="2">
        <f>MOD(MOD(MOD((MOD('Início'!$E$16+104729*$C$7+11249945,2147483646)+1)*16807,2147483647)*16807,2147483647)*16807,2147483647)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row>
    <row r="15">
      <c r="A15" s="8" t="inlineStr">
        <is>
          <t>Rumor</t>
        </is>
      </c>
      <c r="B15" s="8" t="inlineStr">
        <is>
          <t>O que se diz (automático)</t>
        </is>
      </c>
      <c r="C15" s="20" t="n"/>
      <c r="D15" s="20" t="n"/>
      <c r="E15" s="20" t="n"/>
      <c r="F15" s="20" t="n"/>
      <c r="G15" s="20" t="n"/>
      <c r="H15" s="20" t="n"/>
      <c r="I15" s="8" t="inlineStr">
        <is>
          <t>Verdade? (automático)</t>
        </is>
      </c>
      <c r="J15" s="20" t="n"/>
      <c r="K15" s="8" t="inlineStr">
        <is>
          <t>Aviso</t>
        </is>
      </c>
      <c r="L15" s="20" t="n"/>
      <c r="N15" s="2">
        <f>IF($N$10&lt;=0,0,MOD($N$12-1+2*$N$11,$N$10)+1)</f>
        <v/>
      </c>
      <c r="AA15" s="2">
        <f>MOD(MOD(MOD((MOD('Início'!$E$16+104729*$C$7+12549654,2147483646)+1)*16807,2147483647)*16807,2147483647)*16807,2147483647)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row>
    <row r="16">
      <c r="A16" s="9" t="inlineStr">
        <is>
          <t>Rumor 1</t>
        </is>
      </c>
      <c r="B16" s="5">
        <f>IF($N$10&lt;=0,"",IFERROR(INDEX('Tabelas'!$X$1162:$X$1268,MATCH($N$13,'Tabelas'!$N$1162:$N$1268,0))&amp;"",""))</f>
        <v/>
      </c>
      <c r="I16" s="18">
        <f>IF('Tabelas'!$C$1159&lt;=0,"",IFERROR(INDEX('Tabelas'!$Y$1162:$Y$1268,MATCH(IF('Tabelas'!$C$1159&lt;=0,0,INT($AC$11*'Tabelas'!$C$1159/2147483647)+1),'Tabelas'!$O$1162:$O$1268,0))&amp;"",""))</f>
        <v/>
      </c>
      <c r="K16" s="19">
        <f>IF('Tabelas'!$B$1159&lt;=0,"Lista 'Rumor' está vazia (aba Tabelas)","")</f>
        <v/>
      </c>
      <c r="N16" s="2">
        <f>IF(OR($AF$26="Viagem",$AF$26="Espaço",$AF$26="Cidade"),$AF$26,IF(IF(3&lt;=0,0,INT($AC$17*3/2147483647)+1)=1,"Viagem",IF(IF(3&lt;=0,0,INT($AC$17*3/2147483647)+1)=2,"Espaço","Cidade")))</f>
        <v/>
      </c>
    </row>
    <row r="17" ht="26" customHeight="1">
      <c r="A17" s="21" t="inlineStr">
        <is>
          <t>Rumor 2</t>
        </is>
      </c>
      <c r="B17" s="10">
        <f>IF($N$10&lt;=0,"",IFERROR(INDEX('Tabelas'!$X$1162:$X$1268,MATCH($N$14,'Tabelas'!$N$1162:$N$1268,0))&amp;"",""))</f>
        <v/>
      </c>
      <c r="I17" s="23">
        <f>IF('Tabelas'!$C$1159&lt;=0,"",IFERROR(INDEX('Tabelas'!$Y$1162:$Y$1268,MATCH(IF('Tabelas'!$C$1159&lt;=0,0,INT($AC$12*'Tabelas'!$C$1159/2147483647)+1),'Tabelas'!$O$1162:$O$1268,0))&amp;"",""))</f>
        <v/>
      </c>
      <c r="K17" s="27">
        <f>IF('Tabelas'!$C$1159&lt;=0,"Lista 'Veracidade do rumor' está vazia (aba Tabelas)","")</f>
        <v/>
      </c>
      <c r="N17" s="2">
        <f>IF(COUNTIF('Dados'!$A$896:$A$901,$AF$34)&gt;0,$AF$34,INDEX('Dados'!$A$896:$A$901,IF(6&lt;=0,0,INT($AC$22*6/2147483647)+1)))</f>
        <v/>
      </c>
      <c r="AA17" s="2">
        <f>MOD(MOD(MOD((MOD('Início'!$E$16+104729*$C$8+6130299,2147483646)+1)*16807,2147483647)*16807,2147483647)*16807,2147483647)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row>
    <row r="18">
      <c r="A18" s="9" t="inlineStr">
        <is>
          <t>Rumor 3</t>
        </is>
      </c>
      <c r="B18" s="5">
        <f>IF($N$10&lt;=0,"",IFERROR(INDEX('Tabelas'!$X$1162:$X$1268,MATCH($N$15,'Tabelas'!$N$1162:$N$1268,0))&amp;"",""))</f>
        <v/>
      </c>
      <c r="I18" s="18">
        <f>IF('Tabelas'!$C$1159&lt;=0,"",IFERROR(INDEX('Tabelas'!$Y$1162:$Y$1268,MATCH(IF('Tabelas'!$C$1159&lt;=0,0,INT($AC$13*'Tabelas'!$C$1159/2147483647)+1),'Tabelas'!$O$1162:$O$1268,0))&amp;"",""))</f>
        <v/>
      </c>
      <c r="N18" s="2">
        <f>INDEX('Dados'!$A$350:$A$356,INT($AC$30*7/2147483647)+1)</f>
        <v/>
      </c>
      <c r="AA18" s="2">
        <f>MOD(MOD(MOD((MOD('Início'!$E$16+104729*$C$8+7430008,2147483646)+1)*16807,2147483647)*16807,2147483647)*16807,2147483647)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row>
    <row r="19">
      <c r="A19" s="32" t="inlineStr">
        <is>
          <t>Sugestão da planilha — não é regra do livro (H11): a veracidade é Verdadeiro, Meia-verdade ou Falso com o mesmo peso; repita uma entrada na aba Tabelas para mudar o peso</t>
        </is>
      </c>
      <c r="N19" s="2">
        <f>IFERROR(MATCH($N$18,'Dados'!$A$388:$A$394,0),1)</f>
        <v/>
      </c>
      <c r="AA19" s="2">
        <f>MOD(MOD(MOD((MOD('Início'!$E$16+104729*$C$8+8729717,2147483646)+1)*16807,2147483647)*16807,2147483647)*16807,2147483647)</f>
        <v/>
      </c>
      <c r="AB19" s="2">
        <f>MOD(MOD(MOD((MOD(MOD(INT($AA$19/65536)*$AA$19,2147483647)*65536+MOD($AA$19,65536)*$AA$19,2147483647))*16807,2147483647)*16807,2147483647)*16807,2147483647)</f>
        <v/>
      </c>
      <c r="AC19" s="2">
        <f>MOD(MOD(MOD((MOD($AB$19+INT($AB$19/65536)*MOD($AB$19,65536),2147483646)+1)*16807,2147483647)*16807,2147483647)*16807,2147483647)</f>
        <v/>
      </c>
    </row>
    <row r="20">
      <c r="A20" s="8" t="inlineStr">
        <is>
          <t>Gancho rápido</t>
        </is>
      </c>
      <c r="B20" s="8" t="inlineStr">
        <is>
          <t>Gancho (automático)</t>
        </is>
      </c>
      <c r="C20" s="20" t="n"/>
      <c r="D20" s="20" t="n"/>
      <c r="E20" s="20" t="n"/>
      <c r="F20" s="20" t="n"/>
      <c r="G20" s="20" t="n"/>
      <c r="H20" s="20" t="n"/>
      <c r="I20" s="8" t="inlineStr">
        <is>
          <t>De onde vem</t>
        </is>
      </c>
      <c r="J20" s="20" t="n"/>
      <c r="K20" s="8" t="inlineStr">
        <is>
          <t>Aviso</t>
        </is>
      </c>
      <c r="L20" s="20" t="n"/>
      <c r="N20" s="2">
        <f>IF($N$19=1,IF('Tabelas'!$B$124&lt;=0,"",IFERROR(INDEX('Tabelas'!$X$127:$X$233,MATCH(IF('Tabelas'!$B$124&lt;=0,0,INT($AC$31*'Tabelas'!$B$124/2147483647)+1),'Tabelas'!$N$127:$N$233,0))&amp;"","")),IF($N$19=2,IF('Tabelas'!$C$124&lt;=0,"",IFERROR(INDEX('Tabelas'!$Y$127:$Y$233,MATCH(IF('Tabelas'!$C$124&lt;=0,0,INT($AC$31*'Tabelas'!$C$124/2147483647)+1),'Tabelas'!$O$127:$O$233,0))&amp;"","")),IF($N$19=3,IF('Tabelas'!$D$124&lt;=0,"",IFERROR(INDEX('Tabelas'!$Z$127:$Z$233,MATCH(IF('Tabelas'!$D$124&lt;=0,0,INT($AC$31*'Tabelas'!$D$124/2147483647)+1),'Tabelas'!$P$127:$P$233,0))&amp;"","")),IF($N$19=4,IF('Tabelas'!$E$124&lt;=0,"",IFERROR(INDEX('Tabelas'!$AA$127:$AA$233,MATCH(IF('Tabelas'!$E$124&lt;=0,0,INT($AC$31*'Tabelas'!$E$124/2147483647)+1),'Tabelas'!$Q$127:$Q$233,0))&amp;"","")),IF($N$19=5,IF('Tabelas'!$F$124&lt;=0,"",IFERROR(INDEX('Tabelas'!$AB$127:$AB$233,MATCH(IF('Tabelas'!$F$124&lt;=0,0,INT($AC$31*'Tabelas'!$F$124/2147483647)+1),'Tabelas'!$R$127:$R$233,0))&amp;"","")),IF($N$19=6,IF('Tabelas'!$G$124&lt;=0,"",IFERROR(INDEX('Tabelas'!$AC$127:$AC$233,MATCH(IF('Tabelas'!$G$124&lt;=0,0,INT($AC$31*'Tabelas'!$G$124/2147483647)+1),'Tabelas'!$S$127:$S$233,0))&amp;"","")),IF('Tabelas'!$H$124&lt;=0,"",IFERROR(INDEX('Tabelas'!$AD$127:$AD$233,MATCH(IF('Tabelas'!$H$124&lt;=0,0,INT($AC$31*'Tabelas'!$H$124/2147483647)+1),'Tabelas'!$T$127:$T$233,0))&amp;"",""))))))))</f>
        <v/>
      </c>
      <c r="AA20" s="2">
        <f>MOD(MOD(MOD((MOD('Início'!$E$16+104729*$C$8+10029426,2147483646)+1)*16807,2147483647)*16807,2147483647)*16807,2147483647)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c r="A21" s="9" t="inlineStr">
        <is>
          <t>Do livro</t>
        </is>
      </c>
      <c r="B21" s="5">
        <f>IF('Campanha'!$B$18=1,IF('Tabelas'!$D$9&lt;=0,"",IFERROR(INDEX('Tabelas'!$Z$12:$Z$118,MATCH(IF('Tabelas'!$D$9&lt;=0,0,INT($AC$14*'Tabelas'!$D$9/2147483647)+1),'Tabelas'!$P$12:$P$118,0))&amp;"","")),IF('Campanha'!$B$18=2,IF('Tabelas'!$E$9&lt;=0,"",IFERROR(INDEX('Tabelas'!$AA$12:$AA$118,MATCH(IF('Tabelas'!$E$9&lt;=0,0,INT($AC$14*'Tabelas'!$E$9/2147483647)+1),'Tabelas'!$Q$12:$Q$118,0))&amp;"","")),IF('Campanha'!$B$18=3,IF('Tabelas'!$F$9&lt;=0,"",IFERROR(INDEX('Tabelas'!$AB$12:$AB$118,MATCH(IF('Tabelas'!$F$9&lt;=0,0,INT($AC$14*'Tabelas'!$F$9/2147483647)+1),'Tabelas'!$R$12:$R$118,0))&amp;"","")),IF('Campanha'!$B$18=4,IF('Tabelas'!$G$9&lt;=0,"",IFERROR(INDEX('Tabelas'!$AC$12:$AC$118,MATCH(IF('Tabelas'!$G$9&lt;=0,0,INT($AC$14*'Tabelas'!$G$9/2147483647)+1),'Tabelas'!$S$12:$S$118,0))&amp;"","")),IF('Tabelas'!$H$9&lt;=0,"",IFERROR(INDEX('Tabelas'!$AD$12:$AD$118,MATCH(IF('Tabelas'!$H$9&lt;=0,0,INT($AC$14*'Tabelas'!$H$9/2147483647)+1),'Tabelas'!$T$12:$T$118,0))&amp;"",""))))))</f>
        <v/>
      </c>
      <c r="I21" s="5">
        <f>"27.18, faixa "&amp;'Campanha'!$B$19</f>
        <v/>
      </c>
      <c r="N21" s="2">
        <f>IF($N$19=1,IF('Tabelas'!$B$239&lt;=0,"",IFERROR(INDEX('Tabelas'!$X$242:$X$348,MATCH(IF('Tabelas'!$B$239&lt;=0,0,INT($AC$32*'Tabelas'!$B$239/2147483647)+1),'Tabelas'!$N$242:$N$348,0))&amp;"","")),IF($N$19=2,IF('Tabelas'!$C$239&lt;=0,"",IFERROR(INDEX('Tabelas'!$Y$242:$Y$348,MATCH(IF('Tabelas'!$C$239&lt;=0,0,INT($AC$32*'Tabelas'!$C$239/2147483647)+1),'Tabelas'!$O$242:$O$348,0))&amp;"","")),IF($N$19=3,IF('Tabelas'!$D$239&lt;=0,"",IFERROR(INDEX('Tabelas'!$Z$242:$Z$348,MATCH(IF('Tabelas'!$D$239&lt;=0,0,INT($AC$32*'Tabelas'!$D$239/2147483647)+1),'Tabelas'!$P$242:$P$348,0))&amp;"","")),IF($N$19=4,IF('Tabelas'!$E$239&lt;=0,"",IFERROR(INDEX('Tabelas'!$AA$242:$AA$348,MATCH(IF('Tabelas'!$E$239&lt;=0,0,INT($AC$32*'Tabelas'!$E$239/2147483647)+1),'Tabelas'!$Q$242:$Q$348,0))&amp;"","")),IF($N$19=5,IF('Tabelas'!$F$239&lt;=0,"",IFERROR(INDEX('Tabelas'!$AB$242:$AB$348,MATCH(IF('Tabelas'!$F$239&lt;=0,0,INT($AC$32*'Tabelas'!$F$239/2147483647)+1),'Tabelas'!$R$242:$R$348,0))&amp;"","")),IF($N$19=6,IF('Tabelas'!$G$239&lt;=0,"",IFERROR(INDEX('Tabelas'!$AC$242:$AC$348,MATCH(IF('Tabelas'!$G$239&lt;=0,0,INT($AC$32*'Tabelas'!$G$239/2147483647)+1),'Tabelas'!$S$242:$S$348,0))&amp;"","")),IF('Tabelas'!$H$239&lt;=0,"",IFERROR(INDEX('Tabelas'!$AD$242:$AD$348,MATCH(IF('Tabelas'!$H$239&lt;=0,0,INT($AC$32*'Tabelas'!$H$239/2147483647)+1),'Tabelas'!$T$242:$T$348,0))&amp;"",""))))))))</f>
        <v/>
      </c>
    </row>
    <row r="22" ht="26" customHeight="1">
      <c r="A22" s="21" t="inlineStr">
        <is>
          <t>Da tabela</t>
        </is>
      </c>
      <c r="B22" s="10">
        <f>IF('Tabelas'!$G$469&lt;=0,"",IFERROR(INDEX('Tabelas'!$AC$472:$AC$578,MATCH(IF('Tabelas'!$G$469&lt;=0,0,INT($AC$15*'Tabelas'!$G$469/2147483647)+1),'Tabelas'!$S$472:$S$578,0))&amp;"",""))</f>
        <v/>
      </c>
      <c r="I22" s="22" t="inlineStr">
        <is>
          <t>Tabelas: Gancho de aventura</t>
        </is>
      </c>
      <c r="K22" s="27">
        <f>IF('Tabelas'!$G$469&lt;=0,"Lista 'Gancho de aventura' está vazia (aba Tabelas)","")</f>
        <v/>
      </c>
      <c r="N22" s="2">
        <f>IFERROR(INDEX('Dados'!$B$896:$B$901,MATCH($N$17,'Dados'!$A$896:$A$901,0)),0)</f>
        <v/>
      </c>
      <c r="AA22" s="2">
        <f>MOD(MOD(MOD((MOD('Início'!$E$16+104729*$C$9+6209489,2147483646)+1)*16807,2147483647)*16807,2147483647)*16807,2147483647)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c r="N23" s="2">
        <f>IF(MOD($N$22,7)&lt;&gt;0,7,IF(MOD($N$22,11)&lt;&gt;0,11,IF(MOD($N$22,13)&lt;&gt;0,13,IF(MOD($N$22,17)&lt;&gt;0,17,IF(MOD($N$22,19)&lt;&gt;0,19,23)))))</f>
        <v/>
      </c>
      <c r="AA23" s="2">
        <f>MOD(MOD(MOD((MOD('Início'!$E$16+104729*$C$9+7509198,2147483646)+1)*16807,2147483647)*16807,2147483647)*16807,2147483647)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row>
    <row r="24" ht="20" customHeight="1">
      <c r="A24" s="13" t="inlineStr">
        <is>
          <t>Evento ou complicação: viagem, espaço ou cidade (G = 610)</t>
        </is>
      </c>
      <c r="N24" s="2">
        <f>IF($N$22&lt;=0,0,INT($AC$23*$N$22/2147483647)+1)</f>
        <v/>
      </c>
      <c r="AA24" s="2">
        <f>MOD(MOD(MOD((MOD('Início'!$E$16+104729*$C$9+8808907,2147483646)+1)*16807,2147483647)*16807,2147483647)*16807,2147483647)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c r="A25" s="8" t="inlineStr">
        <is>
          <t>Campo</t>
        </is>
      </c>
      <c r="B25" s="8" t="inlineStr">
        <is>
          <t>Sorteado (automático)</t>
        </is>
      </c>
      <c r="C25" s="20" t="n"/>
      <c r="D25" s="20" t="n"/>
      <c r="E25" s="20" t="n"/>
      <c r="F25" s="20" t="n"/>
      <c r="G25" s="20" t="n"/>
      <c r="H25" s="20" t="n"/>
      <c r="I25" s="8" t="inlineStr">
        <is>
          <t>De onde vem</t>
        </is>
      </c>
      <c r="J25" s="20" t="n"/>
      <c r="K25" s="8" t="inlineStr">
        <is>
          <t>Aviso</t>
        </is>
      </c>
      <c r="L25" s="20" t="n"/>
      <c r="N25" s="2">
        <f>IF($N$22&lt;=0,0,MOD($N$24-1+0*$N$23,$N$22)+1)</f>
        <v/>
      </c>
      <c r="AA25" s="2">
        <f>MOD(MOD(MOD((MOD('Início'!$E$16+104729*$C$9+10108616,2147483646)+1)*16807,2147483647)*16807,2147483647)*16807,2147483647)</f>
        <v/>
      </c>
      <c r="AB25" s="2">
        <f>MOD(MOD(MOD((MOD(MOD(INT($AA$25/65536)*$AA$25,2147483647)*65536+MOD($AA$25,65536)*$AA$25,2147483647))*16807,2147483647)*16807,2147483647)*16807,2147483647)</f>
        <v/>
      </c>
      <c r="AC25" s="2">
        <f>MOD(MOD(MOD((MOD($AB$25+INT($AB$25/65536)*MOD($AB$25,65536),2147483646)+1)*16807,2147483647)*16807,2147483647)*16807,2147483647)</f>
        <v/>
      </c>
    </row>
    <row r="26" ht="26" customHeight="1">
      <c r="A26" s="9" t="inlineStr">
        <is>
          <t>Onde (preencha)</t>
        </is>
      </c>
      <c r="B26" s="4" t="n"/>
      <c r="C26" s="17" t="n"/>
      <c r="D26" s="5">
        <f>IF(OR($AF$26="Viagem",$AF$26="Espaço",$AF$26="Cidade"),"Escolhido: ","Sorteado: ")&amp;$N$16</f>
        <v/>
      </c>
      <c r="K26" s="19">
        <f>IF(AJ26&gt;0,"O Google leu como fórmula: escolha de novo na lista.",IF(AND(LEN($AF$26)&gt;0,$AF$26&lt;&gt;"Sortear",NOT(OR($AF$26="Viagem",$AF$26="Espaço",$AF$26="Cidade"))),"Fora da lista: sorteando entre viagem, espaço e cidade",""))</f>
        <v/>
      </c>
      <c r="N26" s="2">
        <f>$N$17&amp;"|"&amp;$N$25</f>
        <v/>
      </c>
      <c r="AA26" s="2">
        <f>MOD(MOD(MOD((MOD('Início'!$E$16+104729*$C$9+11408325,2147483646)+1)*16807,2147483647)*16807,2147483647)*16807,2147483647)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c r="AF26" s="2">
        <f>IF(ISERROR($B$26),"",IF(ISBLANK($B$26),"",$B$26))</f>
        <v/>
      </c>
      <c r="AJ26" s="2">
        <f>ISERROR($B$26)*1</f>
        <v/>
      </c>
    </row>
    <row r="27">
      <c r="A27" s="21" t="inlineStr">
        <is>
          <t>Evento</t>
        </is>
      </c>
      <c r="B27" s="10">
        <f>IF($N$16="Viagem",IF('Tabelas'!$D$1159&lt;=0,"",IFERROR(INDEX('Tabelas'!$Z$1162:$Z$1268,MATCH(IF('Tabelas'!$D$1159&lt;=0,0,INT($AC$18*'Tabelas'!$D$1159/2147483647)+1),'Tabelas'!$P$1162:$P$1268,0))&amp;"","")),IF($N$16="Espaço",IF('Tabelas'!$E$1159&lt;=0,"",IFERROR(INDEX('Tabelas'!$AA$1162:$AA$1268,MATCH(IF('Tabelas'!$E$1159&lt;=0,0,INT($AC$18*'Tabelas'!$E$1159/2147483647)+1),'Tabelas'!$Q$1162:$Q$1268,0))&amp;"","")),IF('Tabelas'!$F$1159&lt;=0,"",IFERROR(INDEX('Tabelas'!$AB$1162:$AB$1268,MATCH(IF('Tabelas'!$F$1159&lt;=0,0,INT($AC$18*'Tabelas'!$F$1159/2147483647)+1),'Tabelas'!$R$1162:$R$1268,0))&amp;"",""))))</f>
        <v/>
      </c>
      <c r="I27" s="10">
        <f>"Tabelas: Evento ("&amp;$N$16&amp;")"</f>
        <v/>
      </c>
      <c r="K27" s="27">
        <f>IF(LEN($B$27)=0,"Lista de eventos vazia (aba Tabelas)","")</f>
        <v/>
      </c>
      <c r="N27" s="2">
        <f>IF($N$22&lt;=0,0,MOD($N$24-1+1*$N$23,$N$22)+1)</f>
        <v/>
      </c>
      <c r="AA27" s="2">
        <f>MOD(MOD(MOD((MOD('Início'!$E$16+104729*$C$9+12708034,2147483646)+1)*16807,2147483647)*16807,2147483647)*16807,2147483647)</f>
        <v/>
      </c>
      <c r="AB27" s="2">
        <f>MOD(MOD(MOD((MOD(MOD(INT($AA$27/65536)*$AA$27,2147483647)*65536+MOD($AA$27,65536)*$AA$27,2147483647))*16807,2147483647)*16807,2147483647)*16807,2147483647)</f>
        <v/>
      </c>
      <c r="AC27" s="2">
        <f>MOD(MOD(MOD((MOD($AB$27+INT($AB$27/65536)*MOD($AB$27,65536),2147483646)+1)*16807,2147483647)*16807,2147483647)*16807,2147483647)</f>
        <v/>
      </c>
    </row>
    <row r="28" ht="26" customHeight="1">
      <c r="A28" s="9" t="inlineStr">
        <is>
          <t>Complicação</t>
        </is>
      </c>
      <c r="B28" s="5">
        <f>IF('Tabelas'!$I$469&lt;=0,"",IFERROR(INDEX('Tabelas'!$AE$472:$AE$578,MATCH(IF('Tabelas'!$I$469&lt;=0,0,INT($AC$19*'Tabelas'!$I$469/2147483647)+1),'Tabelas'!$U$472:$U$578,0))&amp;"",""))</f>
        <v/>
      </c>
      <c r="I28" s="5">
        <f>"Tabelas: Complicação"</f>
        <v/>
      </c>
      <c r="K28" s="19">
        <f>IF('Tabelas'!$I$469&lt;=0,"Lista 'Complicação' está vazia (aba Tabelas)","")</f>
        <v/>
      </c>
      <c r="N28" s="2">
        <f>$N$17&amp;"|"&amp;$N$27</f>
        <v/>
      </c>
      <c r="AA28" s="2">
        <f>MOD(MOD(MOD((MOD('Início'!$E$16+104729*$C$9+14007743,2147483646)+1)*16807,2147483647)*16807,2147483647)*16807,2147483647)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row>
    <row r="29" ht="26" customHeight="1">
      <c r="A29" s="21" t="inlineStr">
        <is>
          <t>Se um teste falhar</t>
        </is>
      </c>
      <c r="B29" s="10">
        <f>IF('Tabelas'!$G$1159&lt;=0,"",IFERROR(INDEX('Tabelas'!$AC$1162:$AC$1268,MATCH(IF('Tabelas'!$G$1159&lt;=0,0,INT($AC$20*'Tabelas'!$G$1159/2147483647)+1),'Tabelas'!$S$1162:$S$1268,0))&amp;"",""))</f>
        <v/>
      </c>
      <c r="I29" s="10">
        <f>"Tabelas: Falhe para frente (02, 27.1)"</f>
        <v/>
      </c>
      <c r="K29" s="27">
        <f>IF('Tabelas'!$G$1159&lt;=0,"Lista 'Falhe para frente: o custo' está vazia (aba Tabelas)","")</f>
        <v/>
      </c>
      <c r="N29" s="2">
        <f>IF($N$22&lt;=0,0,MOD($N$24-1+2*$N$23,$N$22)+1)</f>
        <v/>
      </c>
      <c r="AA29" s="2">
        <f>MOD(MOD(MOD((MOD('Início'!$E$16+104729*$C$9+15307452,2147483646)+1)*16807,2147483647)*16807,2147483647)*16807,2147483647)</f>
        <v/>
      </c>
      <c r="AB29" s="2">
        <f>MOD(MOD(MOD((MOD(MOD(INT($AA$29/65536)*$AA$29,2147483647)*65536+MOD($AA$29,65536)*$AA$29,2147483647))*16807,2147483647)*16807,2147483647)*16807,2147483647)</f>
        <v/>
      </c>
      <c r="AC29" s="2">
        <f>MOD(MOD(MOD((MOD($AB$29+INT($AB$29/65536)*MOD($AB$29,65536),2147483646)+1)*16807,2147483647)*16807,2147483647)*16807,2147483647)</f>
        <v/>
      </c>
    </row>
    <row r="30">
      <c r="A30" s="31">
        <f>'Dados'!$C$793&amp;" Ela cobra: tempo, ruído, recurso, informação incompleta, uma complicação nova (27.1)."</f>
        <v/>
      </c>
      <c r="N30" s="2">
        <f>$N$17&amp;"|"&amp;$N$29</f>
        <v/>
      </c>
      <c r="AA30" s="2">
        <f>MOD(MOD(MOD((MOD('Início'!$E$16+104729*$C$9+16607161,2147483646)+1)*16807,2147483647)*16807,2147483647)*16807,2147483647)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row>
    <row r="31">
      <c r="N31" s="2">
        <f>IF($N$22&lt;=0,0,MOD($N$24-1+3*$N$23,$N$22)+1)</f>
        <v/>
      </c>
      <c r="AA31" s="2">
        <f>MOD(MOD(MOD((MOD('Início'!$E$16+104729*$C$9+17906870,2147483646)+1)*16807,2147483647)*16807,2147483647)*16807,2147483647)</f>
        <v/>
      </c>
      <c r="AB31" s="2">
        <f>MOD(MOD(MOD((MOD(MOD(INT($AA$31/65536)*$AA$31,2147483647)*65536+MOD($AA$31,65536)*$AA$31,2147483647))*16807,2147483647)*16807,2147483647)*16807,2147483647)</f>
        <v/>
      </c>
      <c r="AC31" s="2">
        <f>MOD(MOD(MOD((MOD($AB$31+INT($AB$31/65536)*MOD($AB$31,65536),2147483646)+1)*16807,2147483647)*16807,2147483647)*16807,2147483647)</f>
        <v/>
      </c>
    </row>
    <row r="32" ht="26" customHeight="1">
      <c r="A32" s="13" t="inlineStr">
        <is>
          <t>Loja (G = 620): estoque de 6 itens do livro, com o preço do livro</t>
        </is>
      </c>
      <c r="K32" s="12" t="inlineStr">
        <is>
          <t>Sugestão da planilha — não é regra do livro (H15)</t>
        </is>
      </c>
      <c r="N32" s="2">
        <f>$N$17&amp;"|"&amp;$N$31</f>
        <v/>
      </c>
      <c r="AA32" s="2">
        <f>MOD(MOD(MOD((MOD('Início'!$E$16+104729*$C$9+19206579,2147483646)+1)*16807,2147483647)*16807,2147483647)*16807,2147483647)</f>
        <v/>
      </c>
      <c r="AB32" s="2">
        <f>MOD(MOD(MOD((MOD(MOD(INT($AA$32/65536)*$AA$32,2147483647)*65536+MOD($AA$32,65536)*$AA$32,2147483647))*16807,2147483647)*16807,2147483647)*16807,2147483647)</f>
        <v/>
      </c>
      <c r="AC32" s="2">
        <f>MOD(MOD(MOD((MOD($AB$32+INT($AB$32/65536)*MOD($AB$32,65536),2147483646)+1)*16807,2147483647)*16807,2147483647)*16807,2147483647)</f>
        <v/>
      </c>
    </row>
    <row r="33">
      <c r="A33" s="8" t="inlineStr">
        <is>
          <t>Campo</t>
        </is>
      </c>
      <c r="B33" s="8" t="inlineStr">
        <is>
          <t>Valor</t>
        </is>
      </c>
      <c r="C33" s="20" t="n"/>
      <c r="D33" s="20" t="n"/>
      <c r="E33" s="20" t="n"/>
      <c r="F33" s="20" t="n"/>
      <c r="G33" s="20" t="n"/>
      <c r="H33" s="20" t="n"/>
      <c r="I33" s="20" t="n"/>
      <c r="J33" s="20" t="n"/>
      <c r="K33" s="8" t="inlineStr">
        <is>
          <t>Aviso</t>
        </is>
      </c>
      <c r="L33" s="20" t="n"/>
      <c r="N33" s="2">
        <f>IF($N$22&lt;=0,0,MOD($N$24-1+4*$N$23,$N$22)+1)</f>
        <v/>
      </c>
      <c r="AA33" s="2">
        <f>MOD(MOD(MOD((MOD('Início'!$E$16+104729*$C$9+20506288,2147483646)+1)*16807,2147483647)*16807,2147483647)*16807,2147483647)</f>
        <v/>
      </c>
      <c r="AB33" s="2">
        <f>MOD(MOD(MOD((MOD(MOD(INT($AA$33/65536)*$AA$33,2147483647)*65536+MOD($AA$33,65536)*$AA$33,2147483647))*16807,2147483647)*16807,2147483647)*16807,2147483647)</f>
        <v/>
      </c>
      <c r="AC33" s="2">
        <f>MOD(MOD(MOD((MOD($AB$33+INT($AB$33/65536)*MOD($AB$33,65536),2147483646)+1)*16807,2147483647)*16807,2147483647)*16807,2147483647)</f>
        <v/>
      </c>
    </row>
    <row r="34" ht="26" customHeight="1">
      <c r="A34" s="9" t="inlineStr">
        <is>
          <t>Tipo de loja (preencha)</t>
        </is>
      </c>
      <c r="B34" s="4" t="n"/>
      <c r="C34" s="25" t="n"/>
      <c r="D34" s="17" t="n"/>
      <c r="E34" s="5">
        <f>IF(COUNTIF('Dados'!$A$896:$A$901,$AF$34)&gt;0,"Escolhida: ","Sorteada: ")&amp;$N$17</f>
        <v/>
      </c>
      <c r="K34" s="19">
        <f>IF(AJ34&gt;0,"O Google leu como fórmula: escolha de novo na lista.",IF(AND(LEN($AF$34)&gt;0,$AF$34&lt;&gt;"Sortear",COUNTIF('Dados'!$A$896:$A$901,$AF$34)=0),"Tipo de loja fora da lista: sorteando",""))</f>
        <v/>
      </c>
      <c r="N34" s="2">
        <f>$N$17&amp;"|"&amp;$N$33</f>
        <v/>
      </c>
      <c r="AA34" s="2">
        <f>MOD(MOD(MOD((MOD('Início'!$E$16+104729*$C$9+21805997,2147483646)+1)*16807,2147483647)*16807,2147483647)*16807,2147483647)</f>
        <v/>
      </c>
      <c r="AB34" s="2">
        <f>MOD(MOD(MOD((MOD(MOD(INT($AA$34/65536)*$AA$34,2147483647)*65536+MOD($AA$34,65536)*$AA$34,2147483647))*16807,2147483647)*16807,2147483647)*16807,2147483647)</f>
        <v/>
      </c>
      <c r="AC34" s="2">
        <f>MOD(MOD(MOD((MOD($AB$34+INT($AB$34/65536)*MOD($AB$34,65536),2147483646)+1)*16807,2147483647)*16807,2147483647)*16807,2147483647)</f>
        <v/>
      </c>
      <c r="AF34" s="2">
        <f>IF(ISERROR($B$34),"",IF(ISBLANK($B$34),"",$B$34))</f>
        <v/>
      </c>
      <c r="AJ34" s="2">
        <f>ISERROR($B$34)*1</f>
        <v/>
      </c>
    </row>
    <row r="35">
      <c r="A35" s="21" t="inlineStr">
        <is>
          <t>Quem atende</t>
        </is>
      </c>
      <c r="B35" s="10">
        <f>IF(LEN($N$21)=0,$N$20,IF(LEN($N$20)=0,$N$21,IF(INDEX('Dados'!$B$388:$B$394,$N$19)=2,$N$21&amp;INDEX('Dados'!$C$388:$C$394,$N$19)&amp;$N$20,$N$20&amp;INDEX('Dados'!$C$388:$C$394,$N$19)&amp;$N$21)))&amp;" ("&amp;$N$18&amp;"): "&amp;IF('Tabelas'!$G$354&lt;=0,"",IFERROR(INDEX('Tabelas'!$AC$357:$AC$463,MATCH(IF('Tabelas'!$G$354&lt;=0,0,INT($AC$33*'Tabelas'!$G$354/2147483647)+1),'Tabelas'!$S$357:$S$463,0))&amp;"",""))</f>
        <v/>
      </c>
      <c r="K35" s="30" t="n"/>
      <c r="L35" s="30" t="n"/>
      <c r="N35" s="2">
        <f>IF($N$22&lt;=0,0,MOD($N$24-1+5*$N$23,$N$22)+1)</f>
        <v/>
      </c>
    </row>
    <row r="36">
      <c r="A36" s="8" t="inlineStr">
        <is>
          <t>Item</t>
        </is>
      </c>
      <c r="B36" s="8" t="inlineStr">
        <is>
          <t>No estoque (automático)</t>
        </is>
      </c>
      <c r="C36" s="20" t="n"/>
      <c r="D36" s="20" t="n"/>
      <c r="E36" s="8" t="inlineStr">
        <is>
          <t>O que é</t>
        </is>
      </c>
      <c r="F36" s="20" t="n"/>
      <c r="G36" s="20" t="n"/>
      <c r="H36" s="20" t="n"/>
      <c r="I36" s="8" t="inlineStr">
        <is>
          <t>Preço (Cr)</t>
        </is>
      </c>
      <c r="J36" s="8" t="inlineStr">
        <is>
          <t>Quantidade</t>
        </is>
      </c>
      <c r="K36" s="8" t="inlineStr">
        <is>
          <t>Aviso</t>
        </is>
      </c>
      <c r="L36" s="20" t="n"/>
      <c r="N36" s="2">
        <f>$N$17&amp;"|"&amp;$N$35</f>
        <v/>
      </c>
      <c r="AA36" s="2">
        <f>MOD(MOD(MOD((MOD('Início'!$E$16+104729*$C$10+6288679,2147483646)+1)*16807,2147483647)*16807,2147483647)*16807,2147483647)</f>
        <v/>
      </c>
      <c r="AB36" s="2">
        <f>MOD(MOD(MOD((MOD(MOD(INT($AA$36/65536)*$AA$36,2147483647)*65536+MOD($AA$36,65536)*$AA$36,2147483647))*16807,2147483647)*16807,2147483647)*16807,2147483647)</f>
        <v/>
      </c>
      <c r="AC36" s="2">
        <f>MOD(MOD(MOD((MOD($AB$36+INT($AB$36/65536)*MOD($AB$36,65536),2147483646)+1)*16807,2147483647)*16807,2147483647)*16807,2147483647)</f>
        <v/>
      </c>
    </row>
    <row r="37" ht="26" customHeight="1">
      <c r="A37" s="9" t="inlineStr">
        <is>
          <t>Item 1</t>
        </is>
      </c>
      <c r="B37" s="5">
        <f>IFERROR(INDEX('Dados'!$D$817:$D$892,MATCH($N$26,'Dados'!$C$817:$C$892,0)),"")</f>
        <v/>
      </c>
      <c r="E37" s="5">
        <f>IFERROR(INDEX('Dados'!$F$817:$F$892,MATCH($N$26,'Dados'!$C$817:$C$892,0)),"")</f>
        <v/>
      </c>
      <c r="I37" s="18">
        <f>IFERROR(INDEX('Dados'!$E$817:$E$892,MATCH($N$26,'Dados'!$C$817:$C$892,0)),"")</f>
        <v/>
      </c>
      <c r="J37" s="18">
        <f>(1+INT($AC$24*((3)-(1)+1)/2147483647))</f>
        <v/>
      </c>
      <c r="N37" s="2">
        <f>'Tabelas'!$C$699</f>
        <v/>
      </c>
    </row>
    <row r="38" ht="26" customHeight="1">
      <c r="A38" s="21" t="inlineStr">
        <is>
          <t>Item 2</t>
        </is>
      </c>
      <c r="B38" s="10">
        <f>IFERROR(INDEX('Dados'!$D$817:$D$892,MATCH($N$28,'Dados'!$C$817:$C$892,0)),"")</f>
        <v/>
      </c>
      <c r="E38" s="10">
        <f>IFERROR(INDEX('Dados'!$F$817:$F$892,MATCH($N$28,'Dados'!$C$817:$C$892,0)),"")</f>
        <v/>
      </c>
      <c r="I38" s="23">
        <f>IFERROR(INDEX('Dados'!$E$817:$E$892,MATCH($N$28,'Dados'!$C$817:$C$892,0)),"")</f>
        <v/>
      </c>
      <c r="J38" s="23">
        <f>(1+INT($AC$25*((3)-(1)+1)/2147483647))</f>
        <v/>
      </c>
      <c r="K38" s="30" t="n"/>
      <c r="L38" s="30" t="n"/>
      <c r="N38" s="2">
        <f>IF(MOD($N$37,7)&lt;&gt;0,7,IF(MOD($N$37,11)&lt;&gt;0,11,IF(MOD($N$37,13)&lt;&gt;0,13,IF(MOD($N$37,17)&lt;&gt;0,17,IF(MOD($N$37,19)&lt;&gt;0,19,23)))))</f>
        <v/>
      </c>
      <c r="AA38" s="2">
        <f>MOD(MOD(MOD((MOD('Início'!$E$16+104729*$C$11+6367869,2147483646)+1)*16807,2147483647)*16807,2147483647)*16807,2147483647)</f>
        <v/>
      </c>
      <c r="AB38" s="2">
        <f>MOD(MOD(MOD((MOD(MOD(INT($AA$38/65536)*$AA$38,2147483647)*65536+MOD($AA$38,65536)*$AA$38,2147483647))*16807,2147483647)*16807,2147483647)*16807,2147483647)</f>
        <v/>
      </c>
      <c r="AC38" s="2">
        <f>MOD(MOD(MOD((MOD($AB$38+INT($AB$38/65536)*MOD($AB$38,65536),2147483646)+1)*16807,2147483647)*16807,2147483647)*16807,2147483647)</f>
        <v/>
      </c>
    </row>
    <row r="39" ht="26" customHeight="1">
      <c r="A39" s="9" t="inlineStr">
        <is>
          <t>Item 3</t>
        </is>
      </c>
      <c r="B39" s="5">
        <f>IFERROR(INDEX('Dados'!$D$817:$D$892,MATCH($N$30,'Dados'!$C$817:$C$892,0)),"")</f>
        <v/>
      </c>
      <c r="E39" s="5">
        <f>IFERROR(INDEX('Dados'!$F$817:$F$892,MATCH($N$30,'Dados'!$C$817:$C$892,0)),"")</f>
        <v/>
      </c>
      <c r="I39" s="18">
        <f>IFERROR(INDEX('Dados'!$E$817:$E$892,MATCH($N$30,'Dados'!$C$817:$C$892,0)),"")</f>
        <v/>
      </c>
      <c r="J39" s="18">
        <f>(1+INT($AC$26*((3)-(1)+1)/2147483647))</f>
        <v/>
      </c>
      <c r="N39" s="2">
        <f>IF($N$37&lt;=0,0,INT($AC$36*$N$37/2147483647)+1)</f>
        <v/>
      </c>
    </row>
    <row r="40" ht="26" customHeight="1">
      <c r="A40" s="21" t="inlineStr">
        <is>
          <t>Item 4</t>
        </is>
      </c>
      <c r="B40" s="10">
        <f>IFERROR(INDEX('Dados'!$D$817:$D$892,MATCH($N$32,'Dados'!$C$817:$C$892,0)),"")</f>
        <v/>
      </c>
      <c r="E40" s="10">
        <f>IFERROR(INDEX('Dados'!$F$817:$F$892,MATCH($N$32,'Dados'!$C$817:$C$892,0)),"")</f>
        <v/>
      </c>
      <c r="I40" s="23">
        <f>IFERROR(INDEX('Dados'!$E$817:$E$892,MATCH($N$32,'Dados'!$C$817:$C$892,0)),"")</f>
        <v/>
      </c>
      <c r="J40" s="23">
        <f>(1+INT($AC$27*((3)-(1)+1)/2147483647))</f>
        <v/>
      </c>
      <c r="K40" s="30" t="n"/>
      <c r="L40" s="30" t="n"/>
      <c r="N40" s="2">
        <f>IF($N$37&lt;=0,0,MOD($N$39-1+0*$N$38,$N$37)+1)</f>
        <v/>
      </c>
      <c r="AA40" s="2">
        <f>MOD(MOD(MOD((MOD('Início'!$E$16+104729*$C$12+6447059,2147483646)+1)*16807,2147483647)*16807,2147483647)*16807,2147483647)</f>
        <v/>
      </c>
      <c r="AB40" s="2">
        <f>MOD(MOD(MOD((MOD(MOD(INT($AA$40/65536)*$AA$40,2147483647)*65536+MOD($AA$40,65536)*$AA$40,2147483647))*16807,2147483647)*16807,2147483647)*16807,2147483647)</f>
        <v/>
      </c>
      <c r="AC40" s="2">
        <f>MOD(MOD(MOD((MOD($AB$40+INT($AB$40/65536)*MOD($AB$40,65536),2147483646)+1)*16807,2147483647)*16807,2147483647)*16807,2147483647)</f>
        <v/>
      </c>
    </row>
    <row r="41" ht="26" customHeight="1">
      <c r="A41" s="9" t="inlineStr">
        <is>
          <t>Item 5</t>
        </is>
      </c>
      <c r="B41" s="5">
        <f>IFERROR(INDEX('Dados'!$D$817:$D$892,MATCH($N$34,'Dados'!$C$817:$C$892,0)),"")</f>
        <v/>
      </c>
      <c r="E41" s="5">
        <f>IFERROR(INDEX('Dados'!$F$817:$F$892,MATCH($N$34,'Dados'!$C$817:$C$892,0)),"")</f>
        <v/>
      </c>
      <c r="I41" s="18">
        <f>IFERROR(INDEX('Dados'!$E$817:$E$892,MATCH($N$34,'Dados'!$C$817:$C$892,0)),"")</f>
        <v/>
      </c>
      <c r="J41" s="18">
        <f>(1+INT($AC$28*((3)-(1)+1)/2147483647))</f>
        <v/>
      </c>
      <c r="N41" s="2">
        <f>IF($N$37&lt;=0,0,MOD($N$39-1+1*$N$38,$N$37)+1)</f>
        <v/>
      </c>
      <c r="AA41" s="2">
        <f>MOD(MOD(MOD((MOD('Início'!$E$16+104729*$C$12+7746768,2147483646)+1)*16807,2147483647)*16807,2147483647)*16807,2147483647)</f>
        <v/>
      </c>
      <c r="AB41" s="2">
        <f>MOD(MOD(MOD((MOD(MOD(INT($AA$41/65536)*$AA$41,2147483647)*65536+MOD($AA$41,65536)*$AA$41,2147483647))*16807,2147483647)*16807,2147483647)*16807,2147483647)</f>
        <v/>
      </c>
      <c r="AC41" s="2">
        <f>MOD(MOD(MOD((MOD($AB$41+INT($AB$41/65536)*MOD($AB$41,65536),2147483646)+1)*16807,2147483647)*16807,2147483647)*16807,2147483647)</f>
        <v/>
      </c>
    </row>
    <row r="42" ht="26" customHeight="1">
      <c r="A42" s="21" t="inlineStr">
        <is>
          <t>Item 6</t>
        </is>
      </c>
      <c r="B42" s="10">
        <f>IFERROR(INDEX('Dados'!$D$817:$D$892,MATCH($N$36,'Dados'!$C$817:$C$892,0)),"")</f>
        <v/>
      </c>
      <c r="E42" s="10">
        <f>IFERROR(INDEX('Dados'!$F$817:$F$892,MATCH($N$36,'Dados'!$C$817:$C$892,0)),"")</f>
        <v/>
      </c>
      <c r="I42" s="23">
        <f>IFERROR(INDEX('Dados'!$E$817:$E$892,MATCH($N$36,'Dados'!$C$817:$C$892,0)),"")</f>
        <v/>
      </c>
      <c r="J42" s="23">
        <f>(1+INT($AC$29*((3)-(1)+1)/2147483647))</f>
        <v/>
      </c>
      <c r="K42" s="30" t="n"/>
      <c r="L42" s="30" t="n"/>
      <c r="N42" s="2">
        <f>IF($N$37&lt;=0,0,MOD($N$39-1+2*$N$38,$N$37)+1)</f>
        <v/>
      </c>
      <c r="AA42" s="2">
        <f>MOD(MOD(MOD((MOD('Início'!$E$16+104729*$C$12+9046477,2147483646)+1)*16807,2147483647)*16807,2147483647)*16807,2147483647)</f>
        <v/>
      </c>
      <c r="AB42" s="2">
        <f>MOD(MOD(MOD((MOD(MOD(INT($AA$42/65536)*$AA$42,2147483647)*65536+MOD($AA$42,65536)*$AA$42,2147483647))*16807,2147483647)*16807,2147483647)*16807,2147483647)</f>
        <v/>
      </c>
      <c r="AC42" s="2">
        <f>MOD(MOD(MOD((MOD($AB$42+INT($AB$42/65536)*MOD($AB$42,65536),2147483646)+1)*16807,2147483647)*16807,2147483647)*16807,2147483647)</f>
        <v/>
      </c>
    </row>
    <row r="43" ht="26" customHeight="1">
      <c r="A43" s="9" t="inlineStr">
        <is>
          <t>Fora do comum</t>
        </is>
      </c>
      <c r="B43" s="5">
        <f>IF('Tabelas'!$H$1159&lt;=0,"",IFERROR(INDEX('Tabelas'!$AD$1162:$AD$1268,MATCH(IF('Tabelas'!$H$1159&lt;=0,0,INT($AC$34*'Tabelas'!$H$1159/2147483647)+1),'Tabelas'!$T$1162:$T$1268,0))&amp;"",""))</f>
        <v/>
      </c>
      <c r="E43" s="5">
        <f>"Sem efeito no jogo até o Mestre decidir (27.9)."</f>
        <v/>
      </c>
      <c r="I43" s="5">
        <f>"O que o Mestre disser (24.5)"</f>
        <v/>
      </c>
      <c r="K43" s="19">
        <f>IF('Tabelas'!$H$1159&lt;=0,"Lista 'Item fora do comum' está vazia (aba Tabelas)","")</f>
        <v/>
      </c>
      <c r="N43" s="2">
        <f>IFERROR(INDEX('Dados'!$B$905:$B$909,MATCH($AF$56,'Dados'!$A$905:$A$909,0)),0)</f>
        <v/>
      </c>
      <c r="AA43" s="2">
        <f>MOD(MOD(MOD((MOD('Início'!$E$16+104729*$C$12+10346186,2147483646)+1)*16807,2147483647)*16807,2147483647)*16807,2147483647)</f>
        <v/>
      </c>
      <c r="AB43" s="2">
        <f>MOD(MOD(MOD((MOD(MOD(INT($AA$43/65536)*$AA$43,2147483647)*65536+MOD($AA$43,65536)*$AA$43,2147483647))*16807,2147483647)*16807,2147483647)*16807,2147483647)</f>
        <v/>
      </c>
      <c r="AC43" s="2">
        <f>MOD(MOD(MOD((MOD($AB$43+INT($AB$43/65536)*MOD($AB$43,65536),2147483646)+1)*16807,2147483647)*16807,2147483647)*16807,2147483647)</f>
        <v/>
      </c>
    </row>
    <row r="44" ht="26" customHeight="1">
      <c r="A44" s="43">
        <f>'Dados'!$C$799&amp;" "&amp;'Dados'!$C$800&amp;" (24.5)"</f>
        <v/>
      </c>
      <c r="N44" s="2">
        <f>(INT($AC$38*20/2147483647)+1)</f>
        <v/>
      </c>
      <c r="AA44" s="2">
        <f>MOD(MOD(MOD((MOD('Início'!$E$16+104729*$C$12+11645895,2147483646)+1)*16807,2147483647)*16807,2147483647)*16807,2147483647)</f>
        <v/>
      </c>
      <c r="AB44" s="2">
        <f>MOD(MOD(MOD((MOD(MOD(INT($AA$44/65536)*$AA$44,2147483647)*65536+MOD($AA$44,65536)*$AA$44,2147483647))*16807,2147483647)*16807,2147483647)*16807,2147483647)</f>
        <v/>
      </c>
      <c r="AC44" s="2">
        <f>MOD(MOD(MOD((MOD($AB$44+INT($AB$44/65536)*MOD($AB$44,65536),2147483646)+1)*16807,2147483647)*16807,2147483647)*16807,2147483647)</f>
        <v/>
      </c>
    </row>
    <row r="45">
      <c r="A45" s="31">
        <f>'Dados'!$C$798&amp;" (24.5)"</f>
        <v/>
      </c>
      <c r="N45" s="2">
        <f>$N$44+$N$43</f>
        <v/>
      </c>
      <c r="AA45" s="2">
        <f>MOD(MOD(MOD((MOD('Início'!$E$16+104729*$C$12+12945604,2147483646)+1)*16807,2147483647)*16807,2147483647)*16807,2147483647)</f>
        <v/>
      </c>
      <c r="AB45" s="2">
        <f>MOD(MOD(MOD((MOD(MOD(INT($AA$45/65536)*$AA$45,2147483647)*65536+MOD($AA$45,65536)*$AA$45,2147483647))*16807,2147483647)*16807,2147483647)*16807,2147483647)</f>
        <v/>
      </c>
      <c r="AC45" s="2">
        <f>MOD(MOD(MOD((MOD($AB$45+INT($AB$45/65536)*MOD($AB$45,65536),2147483646)+1)*16807,2147483647)*16807,2147483647)*16807,2147483647)</f>
        <v/>
      </c>
    </row>
    <row r="46">
      <c r="N46" s="2">
        <f>IF('Tabelas'!$I$1159&lt;=0,0,MIN('Tabelas'!$I$1159,1+COUNTIF('Tabelas'!$AF$1162:$AF$1268,"&lt;"&amp;$N$45)))</f>
        <v/>
      </c>
      <c r="AA46" s="2">
        <f>MOD(MOD(MOD((MOD('Início'!$E$16+104729*$C$12+14245313,2147483646)+1)*16807,2147483647)*16807,2147483647)*16807,2147483647)</f>
        <v/>
      </c>
      <c r="AB46" s="2">
        <f>MOD(MOD(MOD((MOD(MOD(INT($AA$46/65536)*$AA$46,2147483647)*65536+MOD($AA$46,65536)*$AA$46,2147483647))*16807,2147483647)*16807,2147483647)*16807,2147483647)</f>
        <v/>
      </c>
      <c r="AC46" s="2">
        <f>MOD(MOD(MOD((MOD($AB$46+INT($AB$46/65536)*MOD($AB$46,65536),2147483646)+1)*16807,2147483647)*16807,2147483647)*16807,2147483647)</f>
        <v/>
      </c>
    </row>
    <row r="47" ht="26" customHeight="1">
      <c r="A47" s="13" t="inlineStr">
        <is>
          <t>Bugigangas sem efeito (G = 630): 3 por rolagem, sem repetir</t>
        </is>
      </c>
      <c r="K47" s="12" t="inlineStr">
        <is>
          <t>Sugestão da planilha — não é regra do livro (H25)</t>
        </is>
      </c>
      <c r="N47" s="2">
        <f>IF(ISNUMBER($AF$62),MIN(20,MAX(1,INT($AF$62))),0)</f>
        <v/>
      </c>
      <c r="AA47" s="2">
        <f>MOD(MOD(MOD((MOD('Início'!$E$16+104729*$C$12+15545022,2147483646)+1)*16807,2147483647)*16807,2147483647)*16807,2147483647)</f>
        <v/>
      </c>
      <c r="AB47" s="2">
        <f>MOD(MOD(MOD((MOD(MOD(INT($AA$47/65536)*$AA$47,2147483647)*65536+MOD($AA$47,65536)*$AA$47,2147483647))*16807,2147483647)*16807,2147483647)*16807,2147483647)</f>
        <v/>
      </c>
      <c r="AC47" s="2">
        <f>MOD(MOD(MOD((MOD($AB$47+INT($AB$47/65536)*MOD($AB$47,65536),2147483646)+1)*16807,2147483647)*16807,2147483647)*16807,2147483647)</f>
        <v/>
      </c>
    </row>
    <row r="48">
      <c r="A48" s="8" t="inlineStr">
        <is>
          <t>Bugiganga</t>
        </is>
      </c>
      <c r="B48" s="8" t="inlineStr">
        <is>
          <t>O que o grupo acha (automático)</t>
        </is>
      </c>
      <c r="C48" s="20" t="n"/>
      <c r="D48" s="20" t="n"/>
      <c r="E48" s="20" t="n"/>
      <c r="F48" s="20" t="n"/>
      <c r="G48" s="20" t="n"/>
      <c r="H48" s="20" t="n"/>
      <c r="I48" s="20" t="n"/>
      <c r="J48" s="20" t="n"/>
      <c r="K48" s="8" t="inlineStr">
        <is>
          <t>Aviso</t>
        </is>
      </c>
      <c r="L48" s="20" t="n"/>
      <c r="N48" s="2">
        <f>IF(ISNUMBER($AG$62),IF(OR($AG$62=2,$AG$62=4,$AG$62=6,$AG$62=8,$AG$62=10,$AG$62=12,$AG$62=20,$AG$62=100),$AG$62,20),20)</f>
        <v/>
      </c>
      <c r="AA48" s="2">
        <f>MOD(MOD(MOD((MOD('Início'!$E$16+104729*$C$12+16844731,2147483646)+1)*16807,2147483647)*16807,2147483647)*16807,2147483647)</f>
        <v/>
      </c>
      <c r="AB48" s="2">
        <f>MOD(MOD(MOD((MOD(MOD(INT($AA$48/65536)*$AA$48,2147483647)*65536+MOD($AA$48,65536)*$AA$48,2147483647))*16807,2147483647)*16807,2147483647)*16807,2147483647)</f>
        <v/>
      </c>
      <c r="AC48" s="2">
        <f>MOD(MOD(MOD((MOD($AB$48+INT($AB$48/65536)*MOD($AB$48,65536),2147483646)+1)*16807,2147483647)*16807,2147483647)*16807,2147483647)</f>
        <v/>
      </c>
    </row>
    <row r="49" ht="26" customHeight="1">
      <c r="A49" s="9" t="inlineStr">
        <is>
          <t>Bugiganga 1</t>
        </is>
      </c>
      <c r="B49" s="5">
        <f>IF($N$37&lt;=0,"",IFERROR(INDEX('Tabelas'!$Y$702:$Y$808,MATCH($N$40,'Tabelas'!$O$702:$O$808,0))&amp;"",""))</f>
        <v/>
      </c>
      <c r="K49" s="19">
        <f>IF('Tabelas'!$C$699&lt;=0,"Lista 'Bugiganga' está vazia (aba Tabelas)","")</f>
        <v/>
      </c>
      <c r="N49" s="2">
        <f>IF(ISNUMBER($AH$62),MIN(50,MAX(-50,INT($AH$62))),0)</f>
        <v/>
      </c>
      <c r="AA49" s="2">
        <f>MOD(MOD(MOD((MOD('Início'!$E$16+104729*$C$12+18144440,2147483646)+1)*16807,2147483647)*16807,2147483647)*16807,2147483647)</f>
        <v/>
      </c>
      <c r="AB49" s="2">
        <f>MOD(MOD(MOD((MOD(MOD(INT($AA$49/65536)*$AA$49,2147483647)*65536+MOD($AA$49,65536)*$AA$49,2147483647))*16807,2147483647)*16807,2147483647)*16807,2147483647)</f>
        <v/>
      </c>
      <c r="AC49" s="2">
        <f>MOD(MOD(MOD((MOD($AB$49+INT($AB$49/65536)*MOD($AB$49,65536),2147483646)+1)*16807,2147483647)*16807,2147483647)*16807,2147483647)</f>
        <v/>
      </c>
    </row>
    <row r="50">
      <c r="A50" s="21" t="inlineStr">
        <is>
          <t>Bugiganga 2</t>
        </is>
      </c>
      <c r="B50" s="10">
        <f>IF($N$37&lt;=0,"",IFERROR(INDEX('Tabelas'!$Y$702:$Y$808,MATCH($N$41,'Tabelas'!$O$702:$O$808,0))&amp;"",""))</f>
        <v/>
      </c>
      <c r="K50" s="30" t="n"/>
      <c r="L50" s="30" t="n"/>
      <c r="N50" s="2">
        <f>IF(AND($N$47=1,$N$48=20),IF($AI$62="Vantagem",1,IF($AI$62="Desvantagem",-1,0)),0)</f>
        <v/>
      </c>
      <c r="AA50" s="2">
        <f>MOD(MOD(MOD((MOD('Início'!$E$16+104729*$C$12+19444149,2147483646)+1)*16807,2147483647)*16807,2147483647)*16807,2147483647)</f>
        <v/>
      </c>
      <c r="AB50" s="2">
        <f>MOD(MOD(MOD((MOD(MOD(INT($AA$50/65536)*$AA$50,2147483647)*65536+MOD($AA$50,65536)*$AA$50,2147483647))*16807,2147483647)*16807,2147483647)*16807,2147483647)</f>
        <v/>
      </c>
      <c r="AC50" s="2">
        <f>MOD(MOD(MOD((MOD($AB$50+INT($AB$50/65536)*MOD($AB$50,65536),2147483646)+1)*16807,2147483647)*16807,2147483647)*16807,2147483647)</f>
        <v/>
      </c>
    </row>
    <row r="51">
      <c r="A51" s="9" t="inlineStr">
        <is>
          <t>Bugiganga 3</t>
        </is>
      </c>
      <c r="B51" s="5">
        <f>IF($N$37&lt;=0,"",IFERROR(INDEX('Tabelas'!$Y$702:$Y$808,MATCH($N$42,'Tabelas'!$O$702:$O$808,0))&amp;"",""))</f>
        <v/>
      </c>
      <c r="N51" s="2">
        <f>IF(1&lt;=$N$47,(INT($AC$40*$N$48/2147483647)+1),"")</f>
        <v/>
      </c>
      <c r="AA51" s="2">
        <f>MOD(MOD(MOD((MOD('Início'!$E$16+104729*$C$12+20743858,2147483646)+1)*16807,2147483647)*16807,2147483647)*16807,2147483647)</f>
        <v/>
      </c>
      <c r="AB51" s="2">
        <f>MOD(MOD(MOD((MOD(MOD(INT($AA$51/65536)*$AA$51,2147483647)*65536+MOD($AA$51,65536)*$AA$51,2147483647))*16807,2147483647)*16807,2147483647)*16807,2147483647)</f>
        <v/>
      </c>
      <c r="AC51" s="2">
        <f>MOD(MOD(MOD((MOD($AB$51+INT($AB$51/65536)*MOD($AB$51,65536),2147483646)+1)*16807,2147483647)*16807,2147483647)*16807,2147483647)</f>
        <v/>
      </c>
    </row>
    <row r="52">
      <c r="N52" s="2">
        <f>IF(OR(2&lt;=$N$47,AND(2=2,$N$50&lt;&gt;0)),(INT($AC$41*$N$48/2147483647)+1),"")</f>
        <v/>
      </c>
      <c r="AA52" s="2">
        <f>MOD(MOD(MOD((MOD('Início'!$E$16+104729*$C$12+22043567,2147483646)+1)*16807,2147483647)*16807,2147483647)*16807,2147483647)</f>
        <v/>
      </c>
      <c r="AB52" s="2">
        <f>MOD(MOD(MOD((MOD(MOD(INT($AA$52/65536)*$AA$52,2147483647)*65536+MOD($AA$52,65536)*$AA$52,2147483647))*16807,2147483647)*16807,2147483647)*16807,2147483647)</f>
        <v/>
      </c>
      <c r="AC52" s="2">
        <f>MOD(MOD(MOD((MOD($AB$52+INT($AB$52/65536)*MOD($AB$52,65536),2147483646)+1)*16807,2147483647)*16807,2147483647)*16807,2147483647)</f>
        <v/>
      </c>
    </row>
    <row r="53" ht="26" customHeight="1">
      <c r="A53" s="13" t="inlineStr">
        <is>
          <t>Oráculo sim/não (G = 640): d20 + modificador da probabilidade</t>
        </is>
      </c>
      <c r="K53" s="12" t="inlineStr">
        <is>
          <t>Sugestão da planilha — não é regra do livro (H10)</t>
        </is>
      </c>
      <c r="N53" s="2">
        <f>IF(3&lt;=$N$47,(INT($AC$42*$N$48/2147483647)+1),"")</f>
        <v/>
      </c>
      <c r="AA53" s="2">
        <f>MOD(MOD(MOD((MOD('Início'!$E$16+104729*$C$12+23343276,2147483646)+1)*16807,2147483647)*16807,2147483647)*16807,2147483647)</f>
        <v/>
      </c>
      <c r="AB53" s="2">
        <f>MOD(MOD(MOD((MOD(MOD(INT($AA$53/65536)*$AA$53,2147483647)*65536+MOD($AA$53,65536)*$AA$53,2147483647))*16807,2147483647)*16807,2147483647)*16807,2147483647)</f>
        <v/>
      </c>
      <c r="AC53" s="2">
        <f>MOD(MOD(MOD((MOD($AB$53+INT($AB$53/65536)*MOD($AB$53,65536),2147483646)+1)*16807,2147483647)*16807,2147483647)*16807,2147483647)</f>
        <v/>
      </c>
    </row>
    <row r="54">
      <c r="A54" s="8" t="inlineStr">
        <is>
          <t>Campo</t>
        </is>
      </c>
      <c r="B54" s="8" t="inlineStr">
        <is>
          <t>Valor</t>
        </is>
      </c>
      <c r="C54" s="20" t="n"/>
      <c r="D54" s="20" t="n"/>
      <c r="E54" s="20" t="n"/>
      <c r="F54" s="20" t="n"/>
      <c r="G54" s="20" t="n"/>
      <c r="H54" s="20" t="n"/>
      <c r="I54" s="20" t="n"/>
      <c r="J54" s="20" t="n"/>
      <c r="K54" s="8" t="inlineStr">
        <is>
          <t>Aviso</t>
        </is>
      </c>
      <c r="L54" s="20" t="n"/>
      <c r="N54" s="2">
        <f>IF(4&lt;=$N$47,(INT($AC$43*$N$48/2147483647)+1),"")</f>
        <v/>
      </c>
      <c r="AA54" s="2">
        <f>MOD(MOD(MOD((MOD('Início'!$E$16+104729*$C$12+24642985,2147483646)+1)*16807,2147483647)*16807,2147483647)*16807,2147483647)</f>
        <v/>
      </c>
      <c r="AB54" s="2">
        <f>MOD(MOD(MOD((MOD(MOD(INT($AA$54/65536)*$AA$54,2147483647)*65536+MOD($AA$54,65536)*$AA$54,2147483647))*16807,2147483647)*16807,2147483647)*16807,2147483647)</f>
        <v/>
      </c>
      <c r="AC54" s="2">
        <f>MOD(MOD(MOD((MOD($AB$54+INT($AB$54/65536)*MOD($AB$54,65536),2147483646)+1)*16807,2147483647)*16807,2147483647)*16807,2147483647)</f>
        <v/>
      </c>
    </row>
    <row r="55" ht="26" customHeight="1">
      <c r="A55" s="9" t="inlineStr">
        <is>
          <t>Pergunta (preencha)</t>
        </is>
      </c>
      <c r="B55" s="4" t="n"/>
      <c r="C55" s="25" t="n"/>
      <c r="D55" s="25" t="n"/>
      <c r="E55" s="25" t="n"/>
      <c r="F55" s="25" t="n"/>
      <c r="G55" s="25" t="n"/>
      <c r="H55" s="25" t="n"/>
      <c r="I55" s="25" t="n"/>
      <c r="J55" s="17" t="n"/>
      <c r="K55" s="19">
        <f>IF(AJ55&gt;0,"O Google leu como fórmula: digite de novo com ' na frente.","")</f>
        <v/>
      </c>
      <c r="N55" s="2">
        <f>IF(5&lt;=$N$47,(INT($AC$44*$N$48/2147483647)+1),"")</f>
        <v/>
      </c>
      <c r="AA55" s="2">
        <f>MOD(MOD(MOD((MOD('Início'!$E$16+104729*$C$12+25942694,2147483646)+1)*16807,2147483647)*16807,2147483647)*16807,2147483647)</f>
        <v/>
      </c>
      <c r="AB55" s="2">
        <f>MOD(MOD(MOD((MOD(MOD(INT($AA$55/65536)*$AA$55,2147483647)*65536+MOD($AA$55,65536)*$AA$55,2147483647))*16807,2147483647)*16807,2147483647)*16807,2147483647)</f>
        <v/>
      </c>
      <c r="AC55" s="2">
        <f>MOD(MOD(MOD((MOD($AB$55+INT($AB$55/65536)*MOD($AB$55,65536),2147483646)+1)*16807,2147483647)*16807,2147483647)*16807,2147483647)</f>
        <v/>
      </c>
      <c r="AJ55" s="2">
        <f>ISERROR($B$55)*1</f>
        <v/>
      </c>
    </row>
    <row r="56" ht="26" customHeight="1">
      <c r="A56" s="21" t="inlineStr">
        <is>
          <t>Probabilidade</t>
        </is>
      </c>
      <c r="B56" s="29" t="n"/>
      <c r="C56" s="25" t="n"/>
      <c r="D56" s="17" t="n"/>
      <c r="E56" s="10">
        <f>IF(COUNTIF('Dados'!$A$905:$A$909,$AF$56)&gt;0,"","Vazio = Meio a meio. ")&amp;"Modificador "&amp;IF($N$43&gt;0,"+","")&amp;$N$43</f>
        <v/>
      </c>
      <c r="K56" s="27">
        <f>IF(AJ56&gt;0,"O Google leu como fórmula: escolha de novo na lista.",IF(AND(LEN($AF$56)&gt;0,COUNTIF('Dados'!$A$905:$A$909,$AF$56)=0),"Probabilidade fora da lista: usando Meio a meio",""))</f>
        <v/>
      </c>
      <c r="N56" s="2">
        <f>IF(6&lt;=$N$47,(INT($AC$45*$N$48/2147483647)+1),"")</f>
        <v/>
      </c>
      <c r="AA56" s="2">
        <f>MOD(MOD(MOD((MOD('Início'!$E$16+104729*$C$12+27242403,2147483646)+1)*16807,2147483647)*16807,2147483647)*16807,2147483647)</f>
        <v/>
      </c>
      <c r="AB56" s="2">
        <f>MOD(MOD(MOD((MOD(MOD(INT($AA$56/65536)*$AA$56,2147483647)*65536+MOD($AA$56,65536)*$AA$56,2147483647))*16807,2147483647)*16807,2147483647)*16807,2147483647)</f>
        <v/>
      </c>
      <c r="AC56" s="2">
        <f>MOD(MOD(MOD((MOD($AB$56+INT($AB$56/65536)*MOD($AB$56,65536),2147483646)+1)*16807,2147483647)*16807,2147483647)*16807,2147483647)</f>
        <v/>
      </c>
      <c r="AF56" s="2">
        <f>IF(ISERROR($B$56),"",IF(ISBLANK($B$56),"",$B$56))</f>
        <v/>
      </c>
      <c r="AJ56" s="2">
        <f>ISERROR($B$56)*1</f>
        <v/>
      </c>
    </row>
    <row r="57">
      <c r="A57" s="9" t="inlineStr">
        <is>
          <t>d20 rolado</t>
        </is>
      </c>
      <c r="B57" s="5">
        <f>$N$44&amp;IF($N$43=0,""," "&amp;IF($N$43&gt;0,"+","−")&amp;" "&amp;ABS($N$43))&amp;" = "&amp;$N$45</f>
        <v/>
      </c>
      <c r="N57" s="2">
        <f>IF(7&lt;=$N$47,(INT($AC$46*$N$48/2147483647)+1),"")</f>
        <v/>
      </c>
      <c r="AA57" s="2">
        <f>MOD(MOD(MOD((MOD('Início'!$E$16+104729*$C$12+28542112,2147483646)+1)*16807,2147483647)*16807,2147483647)*16807,2147483647)</f>
        <v/>
      </c>
      <c r="AB57" s="2">
        <f>MOD(MOD(MOD((MOD(MOD(INT($AA$57/65536)*$AA$57,2147483647)*65536+MOD($AA$57,65536)*$AA$57,2147483647))*16807,2147483647)*16807,2147483647)*16807,2147483647)</f>
        <v/>
      </c>
      <c r="AC57" s="2">
        <f>MOD(MOD(MOD((MOD($AB$57+INT($AB$57/65536)*MOD($AB$57,65536),2147483646)+1)*16807,2147483647)*16807,2147483647)*16807,2147483647)</f>
        <v/>
      </c>
    </row>
    <row r="58" ht="26" customHeight="1">
      <c r="A58" s="21" t="inlineStr">
        <is>
          <t>Resposta</t>
        </is>
      </c>
      <c r="B58" s="48">
        <f>IF($N$46&lt;=0,"",IFERROR(INDEX('Tabelas'!$AE$1162:$AE$1268,MATCH($N$46,'Tabelas'!$U$1162:$U$1268,0))&amp;"",""))</f>
        <v/>
      </c>
      <c r="E58" s="22" t="inlineStr">
        <is>
          <t>Faixas (aba Tabelas, editáveis): até 3 Não, e… · 4 a 7 Não · 8 a 10 Não, mas… · 11 a 13 Sim, mas… · 14 a 17 Sim · 18 ou mais Sim, e…</t>
        </is>
      </c>
      <c r="K58" s="27">
        <f>IF('Tabelas'!$I$1159&lt;=0,"Lista 'Oráculo: resposta' está vazia (aba Tabelas)","")</f>
        <v/>
      </c>
      <c r="N58" s="2">
        <f>IF(8&lt;=$N$47,(INT($AC$47*$N$48/2147483647)+1),"")</f>
        <v/>
      </c>
      <c r="AA58" s="2">
        <f>MOD(MOD(MOD((MOD('Início'!$E$16+104729*$C$12+29841821,2147483646)+1)*16807,2147483647)*16807,2147483647)*16807,2147483647)</f>
        <v/>
      </c>
      <c r="AB58" s="2">
        <f>MOD(MOD(MOD((MOD(MOD(INT($AA$58/65536)*$AA$58,2147483647)*65536+MOD($AA$58,65536)*$AA$58,2147483647))*16807,2147483647)*16807,2147483647)*16807,2147483647)</f>
        <v/>
      </c>
      <c r="AC58" s="2">
        <f>MOD(MOD(MOD((MOD($AB$58+INT($AB$58/65536)*MOD($AB$58,65536),2147483646)+1)*16807,2147483647)*16807,2147483647)*16807,2147483647)</f>
        <v/>
      </c>
    </row>
    <row r="59">
      <c r="N59" s="2">
        <f>IF(9&lt;=$N$47,(INT($AC$48*$N$48/2147483647)+1),"")</f>
        <v/>
      </c>
      <c r="AA59" s="2">
        <f>MOD(MOD(MOD((MOD('Início'!$E$16+104729*$C$12+31141530,2147483646)+1)*16807,2147483647)*16807,2147483647)*16807,2147483647)</f>
        <v/>
      </c>
      <c r="AB59" s="2">
        <f>MOD(MOD(MOD((MOD(MOD(INT($AA$59/65536)*$AA$59,2147483647)*65536+MOD($AA$59,65536)*$AA$59,2147483647))*16807,2147483647)*16807,2147483647)*16807,2147483647)</f>
        <v/>
      </c>
      <c r="AC59" s="2">
        <f>MOD(MOD(MOD((MOD($AB$59+INT($AB$59/65536)*MOD($AB$59,65536),2147483646)+1)*16807,2147483647)*16807,2147483647)*16807,2147483647)</f>
        <v/>
      </c>
    </row>
    <row r="60" ht="20" customHeight="1">
      <c r="A60" s="13" t="inlineStr">
        <is>
          <t>Rolador de dados (G = 650): até 3 expressões N d F + M, com a média impressa de 02</t>
        </is>
      </c>
      <c r="N60" s="2">
        <f>IF(10&lt;=$N$47,(INT($AC$49*$N$48/2147483647)+1),"")</f>
        <v/>
      </c>
      <c r="AA60" s="2">
        <f>MOD(MOD(MOD((MOD('Início'!$E$16+104729*$C$12+32441239,2147483646)+1)*16807,2147483647)*16807,2147483647)*16807,2147483647)</f>
        <v/>
      </c>
      <c r="AB60" s="2">
        <f>MOD(MOD(MOD((MOD(MOD(INT($AA$60/65536)*$AA$60,2147483647)*65536+MOD($AA$60,65536)*$AA$60,2147483647))*16807,2147483647)*16807,2147483647)*16807,2147483647)</f>
        <v/>
      </c>
      <c r="AC60" s="2">
        <f>MOD(MOD(MOD((MOD($AB$60+INT($AB$60/65536)*MOD($AB$60,65536),2147483646)+1)*16807,2147483647)*16807,2147483647)*16807,2147483647)</f>
        <v/>
      </c>
    </row>
    <row r="61" ht="26" customHeight="1">
      <c r="A61" s="8" t="inlineStr">
        <is>
          <t>Expressão</t>
        </is>
      </c>
      <c r="B61" s="8" t="inlineStr">
        <is>
          <t>Nº de dados (N)</t>
        </is>
      </c>
      <c r="C61" s="8" t="inlineStr">
        <is>
          <t>Faces (F; vazio = 20)</t>
        </is>
      </c>
      <c r="D61" s="8" t="inlineStr">
        <is>
          <t>Modificador (M)</t>
        </is>
      </c>
      <c r="E61" s="8" t="inlineStr">
        <is>
          <t>Vantagem (só 1d20)</t>
        </is>
      </c>
      <c r="F61" s="8" t="inlineStr">
        <is>
          <t>Dados rolados (automático)</t>
        </is>
      </c>
      <c r="G61" s="20" t="n"/>
      <c r="H61" s="20" t="n"/>
      <c r="I61" s="8" t="inlineStr">
        <is>
          <t>Total</t>
        </is>
      </c>
      <c r="J61" s="8" t="inlineStr">
        <is>
          <t>Média (02)</t>
        </is>
      </c>
      <c r="K61" s="8" t="inlineStr">
        <is>
          <t>Aviso</t>
        </is>
      </c>
      <c r="L61" s="20" t="n"/>
      <c r="N61" s="2">
        <f>IF(11&lt;=$N$47,(INT($AC$50*$N$48/2147483647)+1),"")</f>
        <v/>
      </c>
      <c r="AA61" s="2">
        <f>MOD(MOD(MOD((MOD('Início'!$E$16+104729*$C$12+33740948,2147483646)+1)*16807,2147483647)*16807,2147483647)*16807,2147483647)</f>
        <v/>
      </c>
      <c r="AB61" s="2">
        <f>MOD(MOD(MOD((MOD(MOD(INT($AA$61/65536)*$AA$61,2147483647)*65536+MOD($AA$61,65536)*$AA$61,2147483647))*16807,2147483647)*16807,2147483647)*16807,2147483647)</f>
        <v/>
      </c>
      <c r="AC61" s="2">
        <f>MOD(MOD(MOD((MOD($AB$61+INT($AB$61/65536)*MOD($AB$61,65536),2147483646)+1)*16807,2147483647)*16807,2147483647)*16807,2147483647)</f>
        <v/>
      </c>
    </row>
    <row r="62" ht="37" customHeight="1">
      <c r="A62" s="9" t="inlineStr">
        <is>
          <t>Expressão 1</t>
        </is>
      </c>
      <c r="B62" s="16" t="n"/>
      <c r="C62" s="34" t="n"/>
      <c r="D62" s="16" t="n"/>
      <c r="E62" s="34" t="n"/>
      <c r="F62" s="5">
        <f>IF($N$47=0,"",IF($N$50&lt;&gt;0,$N$51&amp;" e "&amp;$N$52&amp;" (fica o "&amp;$N$71&amp;")",$N$51&amp;IF($N$47&gt;=2,", "&amp;$N$52,"")&amp;IF($N$47&gt;=3,", "&amp;$N$53,"")&amp;IF($N$47&gt;=4,", "&amp;$N$54,"")&amp;IF($N$47&gt;=5,", "&amp;$N$55,"")&amp;IF($N$47&gt;=6,", "&amp;$N$56,"")&amp;IF($N$47&gt;=7,", "&amp;$N$57,"")&amp;IF($N$47&gt;=8,", "&amp;$N$58,"")&amp;IF($N$47&gt;=9,", "&amp;$N$59,"")&amp;IF($N$47&gt;=10,", "&amp;$N$60,"")&amp;IF($N$47&gt;=11,", "&amp;$N$61,"")&amp;IF($N$47&gt;=12,", "&amp;$N$62,"")&amp;IF($N$47&gt;=13,", "&amp;$N$63,"")&amp;IF($N$47&gt;=14,", "&amp;$N$64,"")&amp;IF($N$47&gt;=15,", "&amp;$N$65,"")&amp;IF($N$47&gt;=16,", "&amp;$N$66,"")&amp;IF($N$47&gt;=17,", "&amp;$N$67,"")&amp;IF($N$47&gt;=18,", "&amp;$N$68,"")&amp;IF($N$47&gt;=19,", "&amp;$N$69,"")&amp;IF($N$47&gt;=20,", "&amp;$N$70,"")))</f>
        <v/>
      </c>
      <c r="I62" s="24">
        <f>IF($N$47=0,"",IF($N$50&lt;&gt;0,$N$71,IF(1&lt;=$N$47,$N$51,0)+IF(2&lt;=$N$47,$N$52,0)+IF(3&lt;=$N$47,$N$53,0)+IF(4&lt;=$N$47,$N$54,0)+IF(5&lt;=$N$47,$N$55,0)+IF(6&lt;=$N$47,$N$56,0)+IF(7&lt;=$N$47,$N$57,0)+IF(8&lt;=$N$47,$N$58,0)+IF(9&lt;=$N$47,$N$59,0)+IF(10&lt;=$N$47,$N$60,0)+IF(11&lt;=$N$47,$N$61,0)+IF(12&lt;=$N$47,$N$62,0)+IF(13&lt;=$N$47,$N$63,0)+IF(14&lt;=$N$47,$N$64,0)+IF(15&lt;=$N$47,$N$65,0)+IF(16&lt;=$N$47,$N$66,0)+IF(17&lt;=$N$47,$N$67,0)+IF(18&lt;=$N$47,$N$68,0)+IF(19&lt;=$N$47,$N$69,0)+IF(20&lt;=$N$47,$N$70,0))+$N$49)</f>
        <v/>
      </c>
      <c r="J62" s="18">
        <f>IF($N$47=0,"",INT($N$47*($N$48+1)/2)+$N$49)</f>
        <v/>
      </c>
      <c r="K62" s="19">
        <f>IF(AJ62&gt;0,"O Google leu como fórmula: escolha de novo ou digite com ' na frente.",IF(IF(ISNUMBER($AF$62),OR($AF$62&lt;1,$AF$62&gt;20,INT($AF$62)&lt;&gt;$AF$62),FALSE),"Nº de dados fora de 1 a 20: usando o limite",IF(AND(LEN($AF$62)=0,LEN($AG$62&amp;$AH$62&amp;$AI$62)&gt;0),"Preencha o nº de dados",IF(AND(LEN($AG$62)&gt;0,NOT(AND(ISNUMBER($AG$62),OR($AG$62=2,$AG$62=4,$AG$62=6,$AG$62=8,$AG$62=10,$AG$62=12,$AG$62=20,$AG$62=100)))),"Faces fora da lista: usando 20",IF(IF(ISNUMBER($AH$62),OR($AH$62&lt;-50,$AH$62&gt;50,INT($AH$62)&lt;&gt;$AH$62),FALSE),"Modificador fora de −50 a +50: usando o limite",IF(AND(OR($AI$62="Vantagem",$AI$62="Desvantagem"),$N$50=0,$N$47&gt;0),"Vantagem só vale para 1d20: rolando normal",""))))))</f>
        <v/>
      </c>
      <c r="N62" s="2">
        <f>IF(12&lt;=$N$47,(INT($AC$51*$N$48/2147483647)+1),"")</f>
        <v/>
      </c>
      <c r="AA62" s="2">
        <f>MOD(MOD(MOD((MOD('Início'!$E$16+104729*$C$12+35040657,2147483646)+1)*16807,2147483647)*16807,2147483647)*16807,2147483647)</f>
        <v/>
      </c>
      <c r="AB62" s="2">
        <f>MOD(MOD(MOD((MOD(MOD(INT($AA$62/65536)*$AA$62,2147483647)*65536+MOD($AA$62,65536)*$AA$62,2147483647))*16807,2147483647)*16807,2147483647)*16807,2147483647)</f>
        <v/>
      </c>
      <c r="AC62" s="2">
        <f>MOD(MOD(MOD((MOD($AB$62+INT($AB$62/65536)*MOD($AB$62,65536),2147483646)+1)*16807,2147483647)*16807,2147483647)*16807,2147483647)</f>
        <v/>
      </c>
      <c r="AF62" s="2">
        <f>IF(ISERROR($B$62),"",IF(ISBLANK($B$62),"",$B$62))</f>
        <v/>
      </c>
      <c r="AG62" s="2">
        <f>IF(ISERROR($C$62),"",IF(ISBLANK($C$62),"",$C$62))</f>
        <v/>
      </c>
      <c r="AH62" s="2">
        <f>IF(ISERROR($D$62),"",IF(ISBLANK($D$62),"",$D$62))</f>
        <v/>
      </c>
      <c r="AI62" s="2">
        <f>IF(ISERROR($E$62),"",IF(ISBLANK($E$62),"",$E$62))</f>
        <v/>
      </c>
      <c r="AJ62" s="2">
        <f>ISERROR($B$62)*1+ISERROR($C$62)*1+ISERROR($D$62)*1+ISERROR($E$62)*1</f>
        <v/>
      </c>
    </row>
    <row r="63" ht="37" customHeight="1">
      <c r="A63" s="21" t="inlineStr">
        <is>
          <t>Expressão 2</t>
        </is>
      </c>
      <c r="B63" s="37" t="n"/>
      <c r="C63" s="36" t="n"/>
      <c r="D63" s="37" t="n"/>
      <c r="E63" s="36" t="n"/>
      <c r="F63" s="10">
        <f>IF($N$72=0,"",IF($N$75&lt;&gt;0,$N$76&amp;" e "&amp;$N$77&amp;" (fica o "&amp;$N$96&amp;")",$N$76&amp;IF($N$72&gt;=2,", "&amp;$N$77,"")&amp;IF($N$72&gt;=3,", "&amp;$N$78,"")&amp;IF($N$72&gt;=4,", "&amp;$N$79,"")&amp;IF($N$72&gt;=5,", "&amp;$N$80,"")&amp;IF($N$72&gt;=6,", "&amp;$N$81,"")&amp;IF($N$72&gt;=7,", "&amp;$N$82,"")&amp;IF($N$72&gt;=8,", "&amp;$N$83,"")&amp;IF($N$72&gt;=9,", "&amp;$N$84,"")&amp;IF($N$72&gt;=10,", "&amp;$N$85,"")&amp;IF($N$72&gt;=11,", "&amp;$N$86,"")&amp;IF($N$72&gt;=12,", "&amp;$N$87,"")&amp;IF($N$72&gt;=13,", "&amp;$N$88,"")&amp;IF($N$72&gt;=14,", "&amp;$N$89,"")&amp;IF($N$72&gt;=15,", "&amp;$N$90,"")&amp;IF($N$72&gt;=16,", "&amp;$N$91,"")&amp;IF($N$72&gt;=17,", "&amp;$N$92,"")&amp;IF($N$72&gt;=18,", "&amp;$N$93,"")&amp;IF($N$72&gt;=19,", "&amp;$N$94,"")&amp;IF($N$72&gt;=20,", "&amp;$N$95,"")))</f>
        <v/>
      </c>
      <c r="I63" s="49">
        <f>IF($N$72=0,"",IF($N$75&lt;&gt;0,$N$96,IF(1&lt;=$N$72,$N$76,0)+IF(2&lt;=$N$72,$N$77,0)+IF(3&lt;=$N$72,$N$78,0)+IF(4&lt;=$N$72,$N$79,0)+IF(5&lt;=$N$72,$N$80,0)+IF(6&lt;=$N$72,$N$81,0)+IF(7&lt;=$N$72,$N$82,0)+IF(8&lt;=$N$72,$N$83,0)+IF(9&lt;=$N$72,$N$84,0)+IF(10&lt;=$N$72,$N$85,0)+IF(11&lt;=$N$72,$N$86,0)+IF(12&lt;=$N$72,$N$87,0)+IF(13&lt;=$N$72,$N$88,0)+IF(14&lt;=$N$72,$N$89,0)+IF(15&lt;=$N$72,$N$90,0)+IF(16&lt;=$N$72,$N$91,0)+IF(17&lt;=$N$72,$N$92,0)+IF(18&lt;=$N$72,$N$93,0)+IF(19&lt;=$N$72,$N$94,0)+IF(20&lt;=$N$72,$N$95,0))+$N$74)</f>
        <v/>
      </c>
      <c r="J63" s="23">
        <f>IF($N$72=0,"",INT($N$72*($N$73+1)/2)+$N$74)</f>
        <v/>
      </c>
      <c r="K63" s="27">
        <f>IF(AJ63&gt;0,"O Google leu como fórmula: escolha de novo ou digite com ' na frente.",IF(IF(ISNUMBER($AF$63),OR($AF$63&lt;1,$AF$63&gt;20,INT($AF$63)&lt;&gt;$AF$63),FALSE),"Nº de dados fora de 1 a 20: usando o limite",IF(AND(LEN($AF$63)=0,LEN($AG$63&amp;$AH$63&amp;$AI$63)&gt;0),"Preencha o nº de dados",IF(AND(LEN($AG$63)&gt;0,NOT(AND(ISNUMBER($AG$63),OR($AG$63=2,$AG$63=4,$AG$63=6,$AG$63=8,$AG$63=10,$AG$63=12,$AG$63=20,$AG$63=100)))),"Faces fora da lista: usando 20",IF(IF(ISNUMBER($AH$63),OR($AH$63&lt;-50,$AH$63&gt;50,INT($AH$63)&lt;&gt;$AH$63),FALSE),"Modificador fora de −50 a +50: usando o limite",IF(AND(OR($AI$63="Vantagem",$AI$63="Desvantagem"),$N$75=0,$N$72&gt;0),"Vantagem só vale para 1d20: rolando normal",""))))))</f>
        <v/>
      </c>
      <c r="N63" s="2">
        <f>IF(13&lt;=$N$47,(INT($AC$52*$N$48/2147483647)+1),"")</f>
        <v/>
      </c>
      <c r="AA63" s="2">
        <f>MOD(MOD(MOD((MOD('Início'!$E$16+104729*$C$12+36340366,2147483646)+1)*16807,2147483647)*16807,2147483647)*16807,2147483647)</f>
        <v/>
      </c>
      <c r="AB63" s="2">
        <f>MOD(MOD(MOD((MOD(MOD(INT($AA$63/65536)*$AA$63,2147483647)*65536+MOD($AA$63,65536)*$AA$63,2147483647))*16807,2147483647)*16807,2147483647)*16807,2147483647)</f>
        <v/>
      </c>
      <c r="AC63" s="2">
        <f>MOD(MOD(MOD((MOD($AB$63+INT($AB$63/65536)*MOD($AB$63,65536),2147483646)+1)*16807,2147483647)*16807,2147483647)*16807,2147483647)</f>
        <v/>
      </c>
      <c r="AF63" s="2">
        <f>IF(ISERROR($B$63),"",IF(ISBLANK($B$63),"",$B$63))</f>
        <v/>
      </c>
      <c r="AG63" s="2">
        <f>IF(ISERROR($C$63),"",IF(ISBLANK($C$63),"",$C$63))</f>
        <v/>
      </c>
      <c r="AH63" s="2">
        <f>IF(ISERROR($D$63),"",IF(ISBLANK($D$63),"",$D$63))</f>
        <v/>
      </c>
      <c r="AI63" s="2">
        <f>IF(ISERROR($E$63),"",IF(ISBLANK($E$63),"",$E$63))</f>
        <v/>
      </c>
      <c r="AJ63" s="2">
        <f>ISERROR($B$63)*1+ISERROR($C$63)*1+ISERROR($D$63)*1+ISERROR($E$63)*1</f>
        <v/>
      </c>
    </row>
    <row r="64" ht="37" customHeight="1">
      <c r="A64" s="9" t="inlineStr">
        <is>
          <t>Expressão 3</t>
        </is>
      </c>
      <c r="B64" s="16" t="n"/>
      <c r="C64" s="34" t="n"/>
      <c r="D64" s="16" t="n"/>
      <c r="E64" s="34" t="n"/>
      <c r="F64" s="5">
        <f>IF($N$97=0,"",IF($N$100&lt;&gt;0,$N$101&amp;" e "&amp;$N$102&amp;" (fica o "&amp;$N$121&amp;")",$N$101&amp;IF($N$97&gt;=2,", "&amp;$N$102,"")&amp;IF($N$97&gt;=3,", "&amp;$N$103,"")&amp;IF($N$97&gt;=4,", "&amp;$N$104,"")&amp;IF($N$97&gt;=5,", "&amp;$N$105,"")&amp;IF($N$97&gt;=6,", "&amp;$N$106,"")&amp;IF($N$97&gt;=7,", "&amp;$N$107,"")&amp;IF($N$97&gt;=8,", "&amp;$N$108,"")&amp;IF($N$97&gt;=9,", "&amp;$N$109,"")&amp;IF($N$97&gt;=10,", "&amp;$N$110,"")&amp;IF($N$97&gt;=11,", "&amp;$N$111,"")&amp;IF($N$97&gt;=12,", "&amp;$N$112,"")&amp;IF($N$97&gt;=13,", "&amp;$N$113,"")&amp;IF($N$97&gt;=14,", "&amp;$N$114,"")&amp;IF($N$97&gt;=15,", "&amp;$N$115,"")&amp;IF($N$97&gt;=16,", "&amp;$N$116,"")&amp;IF($N$97&gt;=17,", "&amp;$N$117,"")&amp;IF($N$97&gt;=18,", "&amp;$N$118,"")&amp;IF($N$97&gt;=19,", "&amp;$N$119,"")&amp;IF($N$97&gt;=20,", "&amp;$N$120,"")))</f>
        <v/>
      </c>
      <c r="I64" s="24">
        <f>IF($N$97=0,"",IF($N$100&lt;&gt;0,$N$121,IF(1&lt;=$N$97,$N$101,0)+IF(2&lt;=$N$97,$N$102,0)+IF(3&lt;=$N$97,$N$103,0)+IF(4&lt;=$N$97,$N$104,0)+IF(5&lt;=$N$97,$N$105,0)+IF(6&lt;=$N$97,$N$106,0)+IF(7&lt;=$N$97,$N$107,0)+IF(8&lt;=$N$97,$N$108,0)+IF(9&lt;=$N$97,$N$109,0)+IF(10&lt;=$N$97,$N$110,0)+IF(11&lt;=$N$97,$N$111,0)+IF(12&lt;=$N$97,$N$112,0)+IF(13&lt;=$N$97,$N$113,0)+IF(14&lt;=$N$97,$N$114,0)+IF(15&lt;=$N$97,$N$115,0)+IF(16&lt;=$N$97,$N$116,0)+IF(17&lt;=$N$97,$N$117,0)+IF(18&lt;=$N$97,$N$118,0)+IF(19&lt;=$N$97,$N$119,0)+IF(20&lt;=$N$97,$N$120,0))+$N$99)</f>
        <v/>
      </c>
      <c r="J64" s="18">
        <f>IF($N$97=0,"",INT($N$97*($N$98+1)/2)+$N$99)</f>
        <v/>
      </c>
      <c r="K64" s="19">
        <f>IF(AJ64&gt;0,"O Google leu como fórmula: escolha de novo ou digite com ' na frente.",IF(IF(ISNUMBER($AF$64),OR($AF$64&lt;1,$AF$64&gt;20,INT($AF$64)&lt;&gt;$AF$64),FALSE),"Nº de dados fora de 1 a 20: usando o limite",IF(AND(LEN($AF$64)=0,LEN($AG$64&amp;$AH$64&amp;$AI$64)&gt;0),"Preencha o nº de dados",IF(AND(LEN($AG$64)&gt;0,NOT(AND(ISNUMBER($AG$64),OR($AG$64=2,$AG$64=4,$AG$64=6,$AG$64=8,$AG$64=10,$AG$64=12,$AG$64=20,$AG$64=100)))),"Faces fora da lista: usando 20",IF(IF(ISNUMBER($AH$64),OR($AH$64&lt;-50,$AH$64&gt;50,INT($AH$64)&lt;&gt;$AH$64),FALSE),"Modificador fora de −50 a +50: usando o limite",IF(AND(OR($AI$64="Vantagem",$AI$64="Desvantagem"),$N$100=0,$N$97&gt;0),"Vantagem só vale para 1d20: rolando normal",""))))))</f>
        <v/>
      </c>
      <c r="N64" s="2">
        <f>IF(14&lt;=$N$47,(INT($AC$53*$N$48/2147483647)+1),"")</f>
        <v/>
      </c>
      <c r="AA64" s="2">
        <f>MOD(MOD(MOD((MOD('Início'!$E$16+104729*$C$12+37640075,2147483646)+1)*16807,2147483647)*16807,2147483647)*16807,2147483647)</f>
        <v/>
      </c>
      <c r="AB64" s="2">
        <f>MOD(MOD(MOD((MOD(MOD(INT($AA$64/65536)*$AA$64,2147483647)*65536+MOD($AA$64,65536)*$AA$64,2147483647))*16807,2147483647)*16807,2147483647)*16807,2147483647)</f>
        <v/>
      </c>
      <c r="AC64" s="2">
        <f>MOD(MOD(MOD((MOD($AB$64+INT($AB$64/65536)*MOD($AB$64,65536),2147483646)+1)*16807,2147483647)*16807,2147483647)*16807,2147483647)</f>
        <v/>
      </c>
      <c r="AF64" s="2">
        <f>IF(ISERROR($B$64),"",IF(ISBLANK($B$64),"",$B$64))</f>
        <v/>
      </c>
      <c r="AG64" s="2">
        <f>IF(ISERROR($C$64),"",IF(ISBLANK($C$64),"",$C$64))</f>
        <v/>
      </c>
      <c r="AH64" s="2">
        <f>IF(ISERROR($D$64),"",IF(ISBLANK($D$64),"",$D$64))</f>
        <v/>
      </c>
      <c r="AI64" s="2">
        <f>IF(ISERROR($E$64),"",IF(ISBLANK($E$64),"",$E$64))</f>
        <v/>
      </c>
      <c r="AJ64" s="2">
        <f>ISERROR($B$64)*1+ISERROR($C$64)*1+ISERROR($D$64)*1+ISERROR($E$64)*1</f>
        <v/>
      </c>
    </row>
    <row r="65" ht="26" customHeight="1">
      <c r="A65" s="32" t="inlineStr">
        <is>
          <t>Média impressa: número de dados × (faces + 1) ÷ 2, para baixo, + modificador (02, 28.3). Vantagem: rola dois d20 e fica o maior; Desvantagem, o menor. Cada dado tem o próprio sorteio (a semente da Início e a Rolagem nº do rolador).</t>
        </is>
      </c>
      <c r="N65" s="2">
        <f>IF(15&lt;=$N$47,(INT($AC$54*$N$48/2147483647)+1),"")</f>
        <v/>
      </c>
      <c r="AA65" s="2">
        <f>MOD(MOD(MOD((MOD('Início'!$E$16+104729*$C$12+38939784,2147483646)+1)*16807,2147483647)*16807,2147483647)*16807,2147483647)</f>
        <v/>
      </c>
      <c r="AB65" s="2">
        <f>MOD(MOD(MOD((MOD(MOD(INT($AA$65/65536)*$AA$65,2147483647)*65536+MOD($AA$65,65536)*$AA$65,2147483647))*16807,2147483647)*16807,2147483647)*16807,2147483647)</f>
        <v/>
      </c>
      <c r="AC65" s="2">
        <f>MOD(MOD(MOD((MOD($AB$65+INT($AB$65/65536)*MOD($AB$65,65536),2147483646)+1)*16807,2147483647)*16807,2147483647)*16807,2147483647)</f>
        <v/>
      </c>
    </row>
    <row r="66">
      <c r="N66" s="2">
        <f>IF(16&lt;=$N$47,(INT($AC$55*$N$48/2147483647)+1),"")</f>
        <v/>
      </c>
      <c r="AA66" s="2">
        <f>MOD(MOD(MOD((MOD('Início'!$E$16+104729*$C$12+40239493,2147483646)+1)*16807,2147483647)*16807,2147483647)*16807,2147483647)</f>
        <v/>
      </c>
      <c r="AB66" s="2">
        <f>MOD(MOD(MOD((MOD(MOD(INT($AA$66/65536)*$AA$66,2147483647)*65536+MOD($AA$66,65536)*$AA$66,2147483647))*16807,2147483647)*16807,2147483647)*16807,2147483647)</f>
        <v/>
      </c>
      <c r="AC66" s="2">
        <f>MOD(MOD(MOD((MOD($AB$66+INT($AB$66/65536)*MOD($AB$66,65536),2147483646)+1)*16807,2147483647)*16807,2147483647)*16807,2147483647)</f>
        <v/>
      </c>
    </row>
    <row r="67" ht="20" customHeight="1">
      <c r="A67" s="13" t="inlineStr">
        <is>
          <t>DT rápida (27.2): a faixa é a do desafio, não a do personagem</t>
        </is>
      </c>
      <c r="N67" s="2">
        <f>IF(17&lt;=$N$47,(INT($AC$56*$N$48/2147483647)+1),"")</f>
        <v/>
      </c>
      <c r="AA67" s="2">
        <f>MOD(MOD(MOD((MOD('Início'!$E$16+104729*$C$12+41539202,2147483646)+1)*16807,2147483647)*16807,2147483647)*16807,2147483647)</f>
        <v/>
      </c>
      <c r="AB67" s="2">
        <f>MOD(MOD(MOD((MOD(MOD(INT($AA$67/65536)*$AA$67,2147483647)*65536+MOD($AA$67,65536)*$AA$67,2147483647))*16807,2147483647)*16807,2147483647)*16807,2147483647)</f>
        <v/>
      </c>
      <c r="AC67" s="2">
        <f>MOD(MOD(MOD((MOD($AB$67+INT($AB$67/65536)*MOD($AB$67,65536),2147483646)+1)*16807,2147483647)*16807,2147483647)*16807,2147483647)</f>
        <v/>
      </c>
    </row>
    <row r="68" ht="26" customHeight="1">
      <c r="A68" s="8" t="inlineStr">
        <is>
          <t>Dificuldade</t>
        </is>
      </c>
      <c r="B68" s="8" t="inlineStr">
        <is>
          <t>Faixa do desafio (vazio = do grupo)</t>
        </is>
      </c>
      <c r="C68" s="20" t="n"/>
      <c r="D68" s="8" t="inlineStr">
        <is>
          <t>DT (automático)</t>
        </is>
      </c>
      <c r="E68" s="8" t="inlineStr">
        <is>
          <t>Lembrete</t>
        </is>
      </c>
      <c r="F68" s="20" t="n"/>
      <c r="G68" s="20" t="n"/>
      <c r="H68" s="20" t="n"/>
      <c r="I68" s="20" t="n"/>
      <c r="J68" s="20" t="n"/>
      <c r="K68" s="8" t="inlineStr">
        <is>
          <t>Aviso</t>
        </is>
      </c>
      <c r="L68" s="20" t="n"/>
      <c r="N68" s="2">
        <f>IF(18&lt;=$N$47,(INT($AC$57*$N$48/2147483647)+1),"")</f>
        <v/>
      </c>
      <c r="AA68" s="2">
        <f>MOD(MOD(MOD((MOD('Início'!$E$16+104729*$C$12+42838911,2147483646)+1)*16807,2147483647)*16807,2147483647)*16807,2147483647)</f>
        <v/>
      </c>
      <c r="AB68" s="2">
        <f>MOD(MOD(MOD((MOD(MOD(INT($AA$68/65536)*$AA$68,2147483647)*65536+MOD($AA$68,65536)*$AA$68,2147483647))*16807,2147483647)*16807,2147483647)*16807,2147483647)</f>
        <v/>
      </c>
      <c r="AC68" s="2">
        <f>MOD(MOD(MOD((MOD($AB$68+INT($AB$68/65536)*MOD($AB$68,65536),2147483646)+1)*16807,2147483647)*16807,2147483647)*16807,2147483647)</f>
        <v/>
      </c>
    </row>
    <row r="69" ht="37" customHeight="1">
      <c r="A69" s="33" t="n"/>
      <c r="B69" s="4" t="n"/>
      <c r="C69" s="17" t="n"/>
      <c r="D69" s="24">
        <f>IF(LEN($AE$69)=0,"",IFERROR(IF(IF(LEN($AF$69)=0,'Campanha'!$B$18,IFERROR(MATCH($AF$69,'Dados'!$AP$6:$AP$10,0),'Campanha'!$B$18))=1,INDEX('Dados'!$B$284:$B$289,MATCH($AE$69,'Dados'!$A$284:$A$289,0)),IF(IF(LEN($AF$69)=0,'Campanha'!$B$18,IFERROR(MATCH($AF$69,'Dados'!$AP$6:$AP$10,0),'Campanha'!$B$18))=2,INDEX('Dados'!$C$284:$C$289,MATCH($AE$69,'Dados'!$A$284:$A$289,0)),IF(IF(LEN($AF$69)=0,'Campanha'!$B$18,IFERROR(MATCH($AF$69,'Dados'!$AP$6:$AP$10,0),'Campanha'!$B$18))=3,INDEX('Dados'!$D$284:$D$289,MATCH($AE$69,'Dados'!$A$284:$A$289,0)),IF(IF(LEN($AF$69)=0,'Campanha'!$B$18,IFERROR(MATCH($AF$69,'Dados'!$AP$6:$AP$10,0),'Campanha'!$B$18))=4,INDEX('Dados'!$E$284:$E$289,MATCH($AE$69,'Dados'!$A$284:$A$289,0)),INDEX('Dados'!$F$284:$F$289,MATCH($AE$69,'Dados'!$A$284:$A$289,0)))))),""))</f>
        <v/>
      </c>
      <c r="E69" s="14" t="inlineStr">
        <is>
          <t>Um muro é um muro: escalar continua DT 13 no nível 20. Sucesso Automático só em Teste de Perícia (bônus ≥ DT); Teste de Ataque e de Resistência sempre se rolam. Sem Eficiência contra faixa alta, conceda Vantagem (27.2).</t>
        </is>
      </c>
      <c r="K69" s="19">
        <f>IF(AJ69&gt;0,"O Google leu como fórmula: escolha de novo na lista.",IF(AND(LEN($AE$69)&gt;0,COUNTIF('Dados'!$A$284:$A$289,$AE$69)=0),"Dificuldade fora da lista (27.2)",IF(AND(LEN($AF$69)&gt;0,COUNTIF('Dados'!$AP$6:$AP$10,$AF$69)=0),"Faixa fora da lista: usando a do grupo","")))</f>
        <v/>
      </c>
      <c r="N69" s="2">
        <f>IF(19&lt;=$N$47,(INT($AC$58*$N$48/2147483647)+1),"")</f>
        <v/>
      </c>
      <c r="AA69" s="2">
        <f>MOD(MOD(MOD((MOD('Início'!$E$16+104729*$C$12+44138620,2147483646)+1)*16807,2147483647)*16807,2147483647)*16807,2147483647)</f>
        <v/>
      </c>
      <c r="AB69" s="2">
        <f>MOD(MOD(MOD((MOD(MOD(INT($AA$69/65536)*$AA$69,2147483647)*65536+MOD($AA$69,65536)*$AA$69,2147483647))*16807,2147483647)*16807,2147483647)*16807,2147483647)</f>
        <v/>
      </c>
      <c r="AC69" s="2">
        <f>MOD(MOD(MOD((MOD($AB$69+INT($AB$69/65536)*MOD($AB$69,65536),2147483646)+1)*16807,2147483647)*16807,2147483647)*16807,2147483647)</f>
        <v/>
      </c>
      <c r="AE69" s="2">
        <f>IF(ISERROR($A$69),"",IF(ISBLANK($A$69),"",$A$69))</f>
        <v/>
      </c>
      <c r="AF69" s="2">
        <f>IF(ISERROR($B$69),"",IF(ISBLANK($B$69),"",$B$69))</f>
        <v/>
      </c>
      <c r="AJ69" s="2">
        <f>ISERROR($A$69)*1+ISERROR($B$69)*1</f>
        <v/>
      </c>
    </row>
    <row r="70">
      <c r="N70" s="2">
        <f>IF(20&lt;=$N$47,(INT($AC$59*$N$48/2147483647)+1),"")</f>
        <v/>
      </c>
      <c r="AA70" s="2">
        <f>MOD(MOD(MOD((MOD('Início'!$E$16+104729*$C$12+45438329,2147483646)+1)*16807,2147483647)*16807,2147483647)*16807,2147483647)</f>
        <v/>
      </c>
      <c r="AB70" s="2">
        <f>MOD(MOD(MOD((MOD(MOD(INT($AA$70/65536)*$AA$70,2147483647)*65536+MOD($AA$70,65536)*$AA$70,2147483647))*16807,2147483647)*16807,2147483647)*16807,2147483647)</f>
        <v/>
      </c>
      <c r="AC70" s="2">
        <f>MOD(MOD(MOD((MOD($AB$70+INT($AB$70/65536)*MOD($AB$70,65536),2147483646)+1)*16807,2147483647)*16807,2147483647)*16807,2147483647)</f>
        <v/>
      </c>
    </row>
    <row r="71" ht="20" customHeight="1">
      <c r="A71" s="13" t="inlineStr">
        <is>
          <t>As cinco DTs de subsistema (27.3): vencem a tabela de 27.2, e não existe uma sexta</t>
        </is>
      </c>
      <c r="N71" s="2">
        <f>IF($N$50=1,MAX($N$51,$N$52),IF($N$50=-1,MIN($N$51,$N$52),$N$51))</f>
        <v/>
      </c>
      <c r="AA71" s="2">
        <f>MOD(MOD(MOD((MOD('Início'!$E$16+104729*$C$12+46738038,2147483646)+1)*16807,2147483647)*16807,2147483647)*16807,2147483647)</f>
        <v/>
      </c>
      <c r="AB71" s="2">
        <f>MOD(MOD(MOD((MOD(MOD(INT($AA$71/65536)*$AA$71,2147483647)*65536+MOD($AA$71,65536)*$AA$71,2147483647))*16807,2147483647)*16807,2147483647)*16807,2147483647)</f>
        <v/>
      </c>
      <c r="AC71" s="2">
        <f>MOD(MOD(MOD((MOD($AB$71+INT($AB$71/65536)*MOD($AB$71,65536),2147483646)+1)*16807,2147483647)*16807,2147483647)*16807,2147483647)</f>
        <v/>
      </c>
    </row>
    <row r="72">
      <c r="A72" s="8" t="inlineStr">
        <is>
          <t>Teste</t>
        </is>
      </c>
      <c r="B72" s="20" t="n"/>
      <c r="C72" s="20" t="n"/>
      <c r="D72" s="20" t="n"/>
      <c r="E72" s="20" t="n"/>
      <c r="F72" s="20" t="n"/>
      <c r="G72" s="8" t="inlineStr">
        <is>
          <t>DT</t>
        </is>
      </c>
      <c r="H72" s="8" t="inlineStr">
        <is>
          <t>Capítulo</t>
        </is>
      </c>
      <c r="I72" s="20" t="n"/>
      <c r="N72" s="2">
        <f>IF(ISNUMBER($AF$63),MIN(20,MAX(1,INT($AF$63))),0)</f>
        <v/>
      </c>
      <c r="AA72" s="2">
        <f>MOD(MOD(MOD((MOD('Início'!$E$16+104729*$C$12+48037747,2147483646)+1)*16807,2147483647)*16807,2147483647)*16807,2147483647)</f>
        <v/>
      </c>
      <c r="AB72" s="2">
        <f>MOD(MOD(MOD((MOD(MOD(INT($AA$72/65536)*$AA$72,2147483647)*65536+MOD($AA$72,65536)*$AA$72,2147483647))*16807,2147483647)*16807,2147483647)*16807,2147483647)</f>
        <v/>
      </c>
      <c r="AC72" s="2">
        <f>MOD(MOD(MOD((MOD($AB$72+INT($AB$72/65536)*MOD($AB$72,65536),2147483646)+1)*16807,2147483647)*16807,2147483647)*16807,2147483647)</f>
        <v/>
      </c>
    </row>
    <row r="73" ht="48" customHeight="1">
      <c r="A73" s="31">
        <f>'Dados'!$A$592</f>
        <v/>
      </c>
      <c r="G73" s="18">
        <f>'Dados'!$B$592</f>
        <v/>
      </c>
      <c r="H73" s="18">
        <f>'Dados'!$C$592</f>
        <v/>
      </c>
      <c r="N73" s="2">
        <f>IF(ISNUMBER($AG$63),IF(OR($AG$63=2,$AG$63=4,$AG$63=6,$AG$63=8,$AG$63=10,$AG$63=12,$AG$63=20,$AG$63=100),$AG$63,20),20)</f>
        <v/>
      </c>
      <c r="AA73" s="2">
        <f>MOD(MOD(MOD((MOD('Início'!$E$16+104729*$C$12+49337456,2147483646)+1)*16807,2147483647)*16807,2147483647)*16807,2147483647)</f>
        <v/>
      </c>
      <c r="AB73" s="2">
        <f>MOD(MOD(MOD((MOD(MOD(INT($AA$73/65536)*$AA$73,2147483647)*65536+MOD($AA$73,65536)*$AA$73,2147483647))*16807,2147483647)*16807,2147483647)*16807,2147483647)</f>
        <v/>
      </c>
      <c r="AC73" s="2">
        <f>MOD(MOD(MOD((MOD($AB$73+INT($AB$73/65536)*MOD($AB$73,65536),2147483646)+1)*16807,2147483647)*16807,2147483647)*16807,2147483647)</f>
        <v/>
      </c>
    </row>
    <row r="74" ht="37" customHeight="1">
      <c r="A74" s="43">
        <f>'Dados'!$A$593</f>
        <v/>
      </c>
      <c r="G74" s="23">
        <f>'Dados'!$B$593</f>
        <v/>
      </c>
      <c r="H74" s="23">
        <f>'Dados'!$C$593</f>
        <v/>
      </c>
      <c r="N74" s="2">
        <f>IF(ISNUMBER($AH$63),MIN(50,MAX(-50,INT($AH$63))),0)</f>
        <v/>
      </c>
      <c r="AA74" s="2">
        <f>MOD(MOD(MOD((MOD('Início'!$E$16+104729*$C$12+50637165,2147483646)+1)*16807,2147483647)*16807,2147483647)*16807,2147483647)</f>
        <v/>
      </c>
      <c r="AB74" s="2">
        <f>MOD(MOD(MOD((MOD(MOD(INT($AA$74/65536)*$AA$74,2147483647)*65536+MOD($AA$74,65536)*$AA$74,2147483647))*16807,2147483647)*16807,2147483647)*16807,2147483647)</f>
        <v/>
      </c>
      <c r="AC74" s="2">
        <f>MOD(MOD(MOD((MOD($AB$74+INT($AB$74/65536)*MOD($AB$74,65536),2147483646)+1)*16807,2147483647)*16807,2147483647)*16807,2147483647)</f>
        <v/>
      </c>
    </row>
    <row r="75">
      <c r="A75" s="31">
        <f>'Dados'!$A$594</f>
        <v/>
      </c>
      <c r="G75" s="18">
        <f>'Dados'!$B$594</f>
        <v/>
      </c>
      <c r="H75" s="18">
        <f>'Dados'!$C$594</f>
        <v/>
      </c>
      <c r="N75" s="2">
        <f>IF(AND($N$72=1,$N$73=20),IF($AI$63="Vantagem",1,IF($AI$63="Desvantagem",-1,0)),0)</f>
        <v/>
      </c>
      <c r="AA75" s="2">
        <f>MOD(MOD(MOD((MOD('Início'!$E$16+104729*$C$12+51936874,2147483646)+1)*16807,2147483647)*16807,2147483647)*16807,2147483647)</f>
        <v/>
      </c>
      <c r="AB75" s="2">
        <f>MOD(MOD(MOD((MOD(MOD(INT($AA$75/65536)*$AA$75,2147483647)*65536+MOD($AA$75,65536)*$AA$75,2147483647))*16807,2147483647)*16807,2147483647)*16807,2147483647)</f>
        <v/>
      </c>
      <c r="AC75" s="2">
        <f>MOD(MOD(MOD((MOD($AB$75+INT($AB$75/65536)*MOD($AB$75,65536),2147483646)+1)*16807,2147483647)*16807,2147483647)*16807,2147483647)</f>
        <v/>
      </c>
    </row>
    <row r="76">
      <c r="A76" s="43">
        <f>'Dados'!$A$595</f>
        <v/>
      </c>
      <c r="G76" s="23">
        <f>'Dados'!$B$595</f>
        <v/>
      </c>
      <c r="H76" s="23">
        <f>'Dados'!$C$595</f>
        <v/>
      </c>
      <c r="N76" s="2">
        <f>IF(1&lt;=$N$72,(INT($AC$60*$N$73/2147483647)+1),"")</f>
        <v/>
      </c>
      <c r="AA76" s="2">
        <f>MOD(MOD(MOD((MOD('Início'!$E$16+104729*$C$12+53236583,2147483646)+1)*16807,2147483647)*16807,2147483647)*16807,2147483647)</f>
        <v/>
      </c>
      <c r="AB76" s="2">
        <f>MOD(MOD(MOD((MOD(MOD(INT($AA$76/65536)*$AA$76,2147483647)*65536+MOD($AA$76,65536)*$AA$76,2147483647))*16807,2147483647)*16807,2147483647)*16807,2147483647)</f>
        <v/>
      </c>
      <c r="AC76" s="2">
        <f>MOD(MOD(MOD((MOD($AB$76+INT($AB$76/65536)*MOD($AB$76,65536),2147483646)+1)*16807,2147483647)*16807,2147483647)*16807,2147483647)</f>
        <v/>
      </c>
    </row>
    <row r="77">
      <c r="A77" s="31">
        <f>'Dados'!$A$596</f>
        <v/>
      </c>
      <c r="G77" s="18">
        <f>'Dados'!$B$596</f>
        <v/>
      </c>
      <c r="H77" s="18">
        <f>'Dados'!$C$596</f>
        <v/>
      </c>
      <c r="N77" s="2">
        <f>IF(OR(2&lt;=$N$72,AND(2=2,$N$75&lt;&gt;0)),(INT($AC$61*$N$73/2147483647)+1),"")</f>
        <v/>
      </c>
      <c r="AA77" s="2">
        <f>MOD(MOD(MOD((MOD('Início'!$E$16+104729*$C$12+54536292,2147483646)+1)*16807,2147483647)*16807,2147483647)*16807,2147483647)</f>
        <v/>
      </c>
      <c r="AB77" s="2">
        <f>MOD(MOD(MOD((MOD(MOD(INT($AA$77/65536)*$AA$77,2147483647)*65536+MOD($AA$77,65536)*$AA$77,2147483647))*16807,2147483647)*16807,2147483647)*16807,2147483647)</f>
        <v/>
      </c>
      <c r="AC77" s="2">
        <f>MOD(MOD(MOD((MOD($AB$77+INT($AB$77/65536)*MOD($AB$77,65536),2147483646)+1)*16807,2147483647)*16807,2147483647)*16807,2147483647)</f>
        <v/>
      </c>
    </row>
    <row r="78">
      <c r="N78" s="2">
        <f>IF(3&lt;=$N$72,(INT($AC$62*$N$73/2147483647)+1),"")</f>
        <v/>
      </c>
      <c r="AA78" s="2">
        <f>MOD(MOD(MOD((MOD('Início'!$E$16+104729*$C$12+55836001,2147483646)+1)*16807,2147483647)*16807,2147483647)*16807,2147483647)</f>
        <v/>
      </c>
      <c r="AB78" s="2">
        <f>MOD(MOD(MOD((MOD(MOD(INT($AA$78/65536)*$AA$78,2147483647)*65536+MOD($AA$78,65536)*$AA$78,2147483647))*16807,2147483647)*16807,2147483647)*16807,2147483647)</f>
        <v/>
      </c>
      <c r="AC78" s="2">
        <f>MOD(MOD(MOD((MOD($AB$78+INT($AB$78/65536)*MOD($AB$78,65536),2147483646)+1)*16807,2147483647)*16807,2147483647)*16807,2147483647)</f>
        <v/>
      </c>
    </row>
    <row r="79">
      <c r="N79" s="2">
        <f>IF(4&lt;=$N$72,(INT($AC$63*$N$73/2147483647)+1),"")</f>
        <v/>
      </c>
      <c r="AA79" s="2">
        <f>MOD(MOD(MOD((MOD('Início'!$E$16+104729*$C$12+57135710,2147483646)+1)*16807,2147483647)*16807,2147483647)*16807,2147483647)</f>
        <v/>
      </c>
      <c r="AB79" s="2">
        <f>MOD(MOD(MOD((MOD(MOD(INT($AA$79/65536)*$AA$79,2147483647)*65536+MOD($AA$79,65536)*$AA$79,2147483647))*16807,2147483647)*16807,2147483647)*16807,2147483647)</f>
        <v/>
      </c>
      <c r="AC79" s="2">
        <f>MOD(MOD(MOD((MOD($AB$79+INT($AB$79/65536)*MOD($AB$79,65536),2147483646)+1)*16807,2147483647)*16807,2147483647)*16807,2147483647)</f>
        <v/>
      </c>
    </row>
    <row r="80">
      <c r="N80" s="2">
        <f>IF(5&lt;=$N$72,(INT($AC$64*$N$73/2147483647)+1),"")</f>
        <v/>
      </c>
      <c r="AA80" s="2">
        <f>MOD(MOD(MOD((MOD('Início'!$E$16+104729*$C$12+58435419,2147483646)+1)*16807,2147483647)*16807,2147483647)*16807,2147483647)</f>
        <v/>
      </c>
      <c r="AB80" s="2">
        <f>MOD(MOD(MOD((MOD(MOD(INT($AA$80/65536)*$AA$80,2147483647)*65536+MOD($AA$80,65536)*$AA$80,2147483647))*16807,2147483647)*16807,2147483647)*16807,2147483647)</f>
        <v/>
      </c>
      <c r="AC80" s="2">
        <f>MOD(MOD(MOD((MOD($AB$80+INT($AB$80/65536)*MOD($AB$80,65536),2147483646)+1)*16807,2147483647)*16807,2147483647)*16807,2147483647)</f>
        <v/>
      </c>
    </row>
    <row r="81">
      <c r="N81" s="2">
        <f>IF(6&lt;=$N$72,(INT($AC$65*$N$73/2147483647)+1),"")</f>
        <v/>
      </c>
      <c r="AA81" s="2">
        <f>MOD(MOD(MOD((MOD('Início'!$E$16+104729*$C$12+59735128,2147483646)+1)*16807,2147483647)*16807,2147483647)*16807,2147483647)</f>
        <v/>
      </c>
      <c r="AB81" s="2">
        <f>MOD(MOD(MOD((MOD(MOD(INT($AA$81/65536)*$AA$81,2147483647)*65536+MOD($AA$81,65536)*$AA$81,2147483647))*16807,2147483647)*16807,2147483647)*16807,2147483647)</f>
        <v/>
      </c>
      <c r="AC81" s="2">
        <f>MOD(MOD(MOD((MOD($AB$81+INT($AB$81/65536)*MOD($AB$81,65536),2147483646)+1)*16807,2147483647)*16807,2147483647)*16807,2147483647)</f>
        <v/>
      </c>
    </row>
    <row r="82">
      <c r="N82" s="2">
        <f>IF(7&lt;=$N$72,(INT($AC$66*$N$73/2147483647)+1),"")</f>
        <v/>
      </c>
      <c r="AA82" s="2">
        <f>MOD(MOD(MOD((MOD('Início'!$E$16+104729*$C$12+61034837,2147483646)+1)*16807,2147483647)*16807,2147483647)*16807,2147483647)</f>
        <v/>
      </c>
      <c r="AB82" s="2">
        <f>MOD(MOD(MOD((MOD(MOD(INT($AA$82/65536)*$AA$82,2147483647)*65536+MOD($AA$82,65536)*$AA$82,2147483647))*16807,2147483647)*16807,2147483647)*16807,2147483647)</f>
        <v/>
      </c>
      <c r="AC82" s="2">
        <f>MOD(MOD(MOD((MOD($AB$82+INT($AB$82/65536)*MOD($AB$82,65536),2147483646)+1)*16807,2147483647)*16807,2147483647)*16807,2147483647)</f>
        <v/>
      </c>
    </row>
    <row r="83">
      <c r="N83" s="2">
        <f>IF(8&lt;=$N$72,(INT($AC$67*$N$73/2147483647)+1),"")</f>
        <v/>
      </c>
      <c r="AA83" s="2">
        <f>MOD(MOD(MOD((MOD('Início'!$E$16+104729*$C$12+62334546,2147483646)+1)*16807,2147483647)*16807,2147483647)*16807,2147483647)</f>
        <v/>
      </c>
      <c r="AB83" s="2">
        <f>MOD(MOD(MOD((MOD(MOD(INT($AA$83/65536)*$AA$83,2147483647)*65536+MOD($AA$83,65536)*$AA$83,2147483647))*16807,2147483647)*16807,2147483647)*16807,2147483647)</f>
        <v/>
      </c>
      <c r="AC83" s="2">
        <f>MOD(MOD(MOD((MOD($AB$83+INT($AB$83/65536)*MOD($AB$83,65536),2147483646)+1)*16807,2147483647)*16807,2147483647)*16807,2147483647)</f>
        <v/>
      </c>
    </row>
    <row r="84">
      <c r="N84" s="2">
        <f>IF(9&lt;=$N$72,(INT($AC$68*$N$73/2147483647)+1),"")</f>
        <v/>
      </c>
      <c r="AA84" s="2">
        <f>MOD(MOD(MOD((MOD('Início'!$E$16+104729*$C$12+63634255,2147483646)+1)*16807,2147483647)*16807,2147483647)*16807,2147483647)</f>
        <v/>
      </c>
      <c r="AB84" s="2">
        <f>MOD(MOD(MOD((MOD(MOD(INT($AA$84/65536)*$AA$84,2147483647)*65536+MOD($AA$84,65536)*$AA$84,2147483647))*16807,2147483647)*16807,2147483647)*16807,2147483647)</f>
        <v/>
      </c>
      <c r="AC84" s="2">
        <f>MOD(MOD(MOD((MOD($AB$84+INT($AB$84/65536)*MOD($AB$84,65536),2147483646)+1)*16807,2147483647)*16807,2147483647)*16807,2147483647)</f>
        <v/>
      </c>
    </row>
    <row r="85">
      <c r="N85" s="2">
        <f>IF(10&lt;=$N$72,(INT($AC$69*$N$73/2147483647)+1),"")</f>
        <v/>
      </c>
      <c r="AA85" s="2">
        <f>MOD(MOD(MOD((MOD('Início'!$E$16+104729*$C$12+64933964,2147483646)+1)*16807,2147483647)*16807,2147483647)*16807,2147483647)</f>
        <v/>
      </c>
      <c r="AB85" s="2">
        <f>MOD(MOD(MOD((MOD(MOD(INT($AA$85/65536)*$AA$85,2147483647)*65536+MOD($AA$85,65536)*$AA$85,2147483647))*16807,2147483647)*16807,2147483647)*16807,2147483647)</f>
        <v/>
      </c>
      <c r="AC85" s="2">
        <f>MOD(MOD(MOD((MOD($AB$85+INT($AB$85/65536)*MOD($AB$85,65536),2147483646)+1)*16807,2147483647)*16807,2147483647)*16807,2147483647)</f>
        <v/>
      </c>
    </row>
    <row r="86">
      <c r="N86" s="2">
        <f>IF(11&lt;=$N$72,(INT($AC$70*$N$73/2147483647)+1),"")</f>
        <v/>
      </c>
      <c r="AA86" s="2">
        <f>MOD(MOD(MOD((MOD('Início'!$E$16+104729*$C$12+66233673,2147483646)+1)*16807,2147483647)*16807,2147483647)*16807,2147483647)</f>
        <v/>
      </c>
      <c r="AB86" s="2">
        <f>MOD(MOD(MOD((MOD(MOD(INT($AA$86/65536)*$AA$86,2147483647)*65536+MOD($AA$86,65536)*$AA$86,2147483647))*16807,2147483647)*16807,2147483647)*16807,2147483647)</f>
        <v/>
      </c>
      <c r="AC86" s="2">
        <f>MOD(MOD(MOD((MOD($AB$86+INT($AB$86/65536)*MOD($AB$86,65536),2147483646)+1)*16807,2147483647)*16807,2147483647)*16807,2147483647)</f>
        <v/>
      </c>
    </row>
    <row r="87">
      <c r="N87" s="2">
        <f>IF(12&lt;=$N$72,(INT($AC$71*$N$73/2147483647)+1),"")</f>
        <v/>
      </c>
      <c r="AA87" s="2">
        <f>MOD(MOD(MOD((MOD('Início'!$E$16+104729*$C$12+67533382,2147483646)+1)*16807,2147483647)*16807,2147483647)*16807,2147483647)</f>
        <v/>
      </c>
      <c r="AB87" s="2">
        <f>MOD(MOD(MOD((MOD(MOD(INT($AA$87/65536)*$AA$87,2147483647)*65536+MOD($AA$87,65536)*$AA$87,2147483647))*16807,2147483647)*16807,2147483647)*16807,2147483647)</f>
        <v/>
      </c>
      <c r="AC87" s="2">
        <f>MOD(MOD(MOD((MOD($AB$87+INT($AB$87/65536)*MOD($AB$87,65536),2147483646)+1)*16807,2147483647)*16807,2147483647)*16807,2147483647)</f>
        <v/>
      </c>
    </row>
    <row r="88">
      <c r="N88" s="2">
        <f>IF(13&lt;=$N$72,(INT($AC$72*$N$73/2147483647)+1),"")</f>
        <v/>
      </c>
      <c r="AA88" s="2">
        <f>MOD(MOD(MOD((MOD('Início'!$E$16+104729*$C$12+68833091,2147483646)+1)*16807,2147483647)*16807,2147483647)*16807,2147483647)</f>
        <v/>
      </c>
      <c r="AB88" s="2">
        <f>MOD(MOD(MOD((MOD(MOD(INT($AA$88/65536)*$AA$88,2147483647)*65536+MOD($AA$88,65536)*$AA$88,2147483647))*16807,2147483647)*16807,2147483647)*16807,2147483647)</f>
        <v/>
      </c>
      <c r="AC88" s="2">
        <f>MOD(MOD(MOD((MOD($AB$88+INT($AB$88/65536)*MOD($AB$88,65536),2147483646)+1)*16807,2147483647)*16807,2147483647)*16807,2147483647)</f>
        <v/>
      </c>
    </row>
    <row r="89">
      <c r="N89" s="2">
        <f>IF(14&lt;=$N$72,(INT($AC$73*$N$73/2147483647)+1),"")</f>
        <v/>
      </c>
      <c r="AA89" s="2">
        <f>MOD(MOD(MOD((MOD('Início'!$E$16+104729*$C$12+70132800,2147483646)+1)*16807,2147483647)*16807,2147483647)*16807,2147483647)</f>
        <v/>
      </c>
      <c r="AB89" s="2">
        <f>MOD(MOD(MOD((MOD(MOD(INT($AA$89/65536)*$AA$89,2147483647)*65536+MOD($AA$89,65536)*$AA$89,2147483647))*16807,2147483647)*16807,2147483647)*16807,2147483647)</f>
        <v/>
      </c>
      <c r="AC89" s="2">
        <f>MOD(MOD(MOD((MOD($AB$89+INT($AB$89/65536)*MOD($AB$89,65536),2147483646)+1)*16807,2147483647)*16807,2147483647)*16807,2147483647)</f>
        <v/>
      </c>
    </row>
    <row r="90">
      <c r="N90" s="2">
        <f>IF(15&lt;=$N$72,(INT($AC$74*$N$73/2147483647)+1),"")</f>
        <v/>
      </c>
      <c r="AA90" s="2">
        <f>MOD(MOD(MOD((MOD('Início'!$E$16+104729*$C$12+71432509,2147483646)+1)*16807,2147483647)*16807,2147483647)*16807,2147483647)</f>
        <v/>
      </c>
      <c r="AB90" s="2">
        <f>MOD(MOD(MOD((MOD(MOD(INT($AA$90/65536)*$AA$90,2147483647)*65536+MOD($AA$90,65536)*$AA$90,2147483647))*16807,2147483647)*16807,2147483647)*16807,2147483647)</f>
        <v/>
      </c>
      <c r="AC90" s="2">
        <f>MOD(MOD(MOD((MOD($AB$90+INT($AB$90/65536)*MOD($AB$90,65536),2147483646)+1)*16807,2147483647)*16807,2147483647)*16807,2147483647)</f>
        <v/>
      </c>
    </row>
    <row r="91">
      <c r="N91" s="2">
        <f>IF(16&lt;=$N$72,(INT($AC$75*$N$73/2147483647)+1),"")</f>
        <v/>
      </c>
      <c r="AA91" s="2">
        <f>MOD(MOD(MOD((MOD('Início'!$E$16+104729*$C$12+72732218,2147483646)+1)*16807,2147483647)*16807,2147483647)*16807,2147483647)</f>
        <v/>
      </c>
      <c r="AB91" s="2">
        <f>MOD(MOD(MOD((MOD(MOD(INT($AA$91/65536)*$AA$91,2147483647)*65536+MOD($AA$91,65536)*$AA$91,2147483647))*16807,2147483647)*16807,2147483647)*16807,2147483647)</f>
        <v/>
      </c>
      <c r="AC91" s="2">
        <f>MOD(MOD(MOD((MOD($AB$91+INT($AB$91/65536)*MOD($AB$91,65536),2147483646)+1)*16807,2147483647)*16807,2147483647)*16807,2147483647)</f>
        <v/>
      </c>
    </row>
    <row r="92">
      <c r="N92" s="2">
        <f>IF(17&lt;=$N$72,(INT($AC$76*$N$73/2147483647)+1),"")</f>
        <v/>
      </c>
      <c r="AA92" s="2">
        <f>MOD(MOD(MOD((MOD('Início'!$E$16+104729*$C$12+74031927,2147483646)+1)*16807,2147483647)*16807,2147483647)*16807,2147483647)</f>
        <v/>
      </c>
      <c r="AB92" s="2">
        <f>MOD(MOD(MOD((MOD(MOD(INT($AA$92/65536)*$AA$92,2147483647)*65536+MOD($AA$92,65536)*$AA$92,2147483647))*16807,2147483647)*16807,2147483647)*16807,2147483647)</f>
        <v/>
      </c>
      <c r="AC92" s="2">
        <f>MOD(MOD(MOD((MOD($AB$92+INT($AB$92/65536)*MOD($AB$92,65536),2147483646)+1)*16807,2147483647)*16807,2147483647)*16807,2147483647)</f>
        <v/>
      </c>
    </row>
    <row r="93">
      <c r="N93" s="2">
        <f>IF(18&lt;=$N$72,(INT($AC$77*$N$73/2147483647)+1),"")</f>
        <v/>
      </c>
      <c r="AA93" s="2">
        <f>MOD(MOD(MOD((MOD('Início'!$E$16+104729*$C$12+75331636,2147483646)+1)*16807,2147483647)*16807,2147483647)*16807,2147483647)</f>
        <v/>
      </c>
      <c r="AB93" s="2">
        <f>MOD(MOD(MOD((MOD(MOD(INT($AA$93/65536)*$AA$93,2147483647)*65536+MOD($AA$93,65536)*$AA$93,2147483647))*16807,2147483647)*16807,2147483647)*16807,2147483647)</f>
        <v/>
      </c>
      <c r="AC93" s="2">
        <f>MOD(MOD(MOD((MOD($AB$93+INT($AB$93/65536)*MOD($AB$93,65536),2147483646)+1)*16807,2147483647)*16807,2147483647)*16807,2147483647)</f>
        <v/>
      </c>
    </row>
    <row r="94">
      <c r="N94" s="2">
        <f>IF(19&lt;=$N$72,(INT($AC$78*$N$73/2147483647)+1),"")</f>
        <v/>
      </c>
      <c r="AA94" s="2">
        <f>MOD(MOD(MOD((MOD('Início'!$E$16+104729*$C$12+76631345,2147483646)+1)*16807,2147483647)*16807,2147483647)*16807,2147483647)</f>
        <v/>
      </c>
      <c r="AB94" s="2">
        <f>MOD(MOD(MOD((MOD(MOD(INT($AA$94/65536)*$AA$94,2147483647)*65536+MOD($AA$94,65536)*$AA$94,2147483647))*16807,2147483647)*16807,2147483647)*16807,2147483647)</f>
        <v/>
      </c>
      <c r="AC94" s="2">
        <f>MOD(MOD(MOD((MOD($AB$94+INT($AB$94/65536)*MOD($AB$94,65536),2147483646)+1)*16807,2147483647)*16807,2147483647)*16807,2147483647)</f>
        <v/>
      </c>
    </row>
    <row r="95">
      <c r="N95" s="2">
        <f>IF(20&lt;=$N$72,(INT($AC$79*$N$73/2147483647)+1),"")</f>
        <v/>
      </c>
      <c r="AA95" s="2">
        <f>MOD(MOD(MOD((MOD('Início'!$E$16+104729*$C$12+77931054,2147483646)+1)*16807,2147483647)*16807,2147483647)*16807,2147483647)</f>
        <v/>
      </c>
      <c r="AB95" s="2">
        <f>MOD(MOD(MOD((MOD(MOD(INT($AA$95/65536)*$AA$95,2147483647)*65536+MOD($AA$95,65536)*$AA$95,2147483647))*16807,2147483647)*16807,2147483647)*16807,2147483647)</f>
        <v/>
      </c>
      <c r="AC95" s="2">
        <f>MOD(MOD(MOD((MOD($AB$95+INT($AB$95/65536)*MOD($AB$95,65536),2147483646)+1)*16807,2147483647)*16807,2147483647)*16807,2147483647)</f>
        <v/>
      </c>
    </row>
    <row r="96">
      <c r="N96" s="2">
        <f>IF($N$75=1,MAX($N$76,$N$77),IF($N$75=-1,MIN($N$76,$N$77),$N$76))</f>
        <v/>
      </c>
      <c r="AA96" s="2">
        <f>MOD(MOD(MOD((MOD('Início'!$E$16+104729*$C$12+79230763,2147483646)+1)*16807,2147483647)*16807,2147483647)*16807,2147483647)</f>
        <v/>
      </c>
      <c r="AB96" s="2">
        <f>MOD(MOD(MOD((MOD(MOD(INT($AA$96/65536)*$AA$96,2147483647)*65536+MOD($AA$96,65536)*$AA$96,2147483647))*16807,2147483647)*16807,2147483647)*16807,2147483647)</f>
        <v/>
      </c>
      <c r="AC96" s="2">
        <f>MOD(MOD(MOD((MOD($AB$96+INT($AB$96/65536)*MOD($AB$96,65536),2147483646)+1)*16807,2147483647)*16807,2147483647)*16807,2147483647)</f>
        <v/>
      </c>
    </row>
    <row r="97">
      <c r="N97" s="2">
        <f>IF(ISNUMBER($AF$64),MIN(20,MAX(1,INT($AF$64))),0)</f>
        <v/>
      </c>
      <c r="AA97" s="2">
        <f>MOD(MOD(MOD((MOD('Início'!$E$16+104729*$C$12+80530472,2147483646)+1)*16807,2147483647)*16807,2147483647)*16807,2147483647)</f>
        <v/>
      </c>
      <c r="AB97" s="2">
        <f>MOD(MOD(MOD((MOD(MOD(INT($AA$97/65536)*$AA$97,2147483647)*65536+MOD($AA$97,65536)*$AA$97,2147483647))*16807,2147483647)*16807,2147483647)*16807,2147483647)</f>
        <v/>
      </c>
      <c r="AC97" s="2">
        <f>MOD(MOD(MOD((MOD($AB$97+INT($AB$97/65536)*MOD($AB$97,65536),2147483646)+1)*16807,2147483647)*16807,2147483647)*16807,2147483647)</f>
        <v/>
      </c>
    </row>
    <row r="98">
      <c r="N98" s="2">
        <f>IF(ISNUMBER($AG$64),IF(OR($AG$64=2,$AG$64=4,$AG$64=6,$AG$64=8,$AG$64=10,$AG$64=12,$AG$64=20,$AG$64=100),$AG$64,20),20)</f>
        <v/>
      </c>
      <c r="AA98" s="2">
        <f>MOD(MOD(MOD((MOD('Início'!$E$16+104729*$C$12+81830181,2147483646)+1)*16807,2147483647)*16807,2147483647)*16807,2147483647)</f>
        <v/>
      </c>
      <c r="AB98" s="2">
        <f>MOD(MOD(MOD((MOD(MOD(INT($AA$98/65536)*$AA$98,2147483647)*65536+MOD($AA$98,65536)*$AA$98,2147483647))*16807,2147483647)*16807,2147483647)*16807,2147483647)</f>
        <v/>
      </c>
      <c r="AC98" s="2">
        <f>MOD(MOD(MOD((MOD($AB$98+INT($AB$98/65536)*MOD($AB$98,65536),2147483646)+1)*16807,2147483647)*16807,2147483647)*16807,2147483647)</f>
        <v/>
      </c>
    </row>
    <row r="99">
      <c r="N99" s="2">
        <f>IF(ISNUMBER($AH$64),MIN(50,MAX(-50,INT($AH$64))),0)</f>
        <v/>
      </c>
      <c r="AA99" s="2">
        <f>MOD(MOD(MOD((MOD('Início'!$E$16+104729*$C$12+83129890,2147483646)+1)*16807,2147483647)*16807,2147483647)*16807,2147483647)</f>
        <v/>
      </c>
      <c r="AB99" s="2">
        <f>MOD(MOD(MOD((MOD(MOD(INT($AA$99/65536)*$AA$99,2147483647)*65536+MOD($AA$99,65536)*$AA$99,2147483647))*16807,2147483647)*16807,2147483647)*16807,2147483647)</f>
        <v/>
      </c>
      <c r="AC99" s="2">
        <f>MOD(MOD(MOD((MOD($AB$99+INT($AB$99/65536)*MOD($AB$99,65536),2147483646)+1)*16807,2147483647)*16807,2147483647)*16807,2147483647)</f>
        <v/>
      </c>
    </row>
    <row r="100">
      <c r="N100" s="2">
        <f>IF(AND($N$97=1,$N$98=20),IF($AI$64="Vantagem",1,IF($AI$64="Desvantagem",-1,0)),0)</f>
        <v/>
      </c>
    </row>
    <row r="101">
      <c r="N101" s="2">
        <f>IF(1&lt;=$N$97,(INT($AC$80*$N$98/2147483647)+1),"")</f>
        <v/>
      </c>
    </row>
    <row r="102">
      <c r="N102" s="2">
        <f>IF(OR(2&lt;=$N$97,AND(2=2,$N$100&lt;&gt;0)),(INT($AC$81*$N$98/2147483647)+1),"")</f>
        <v/>
      </c>
    </row>
    <row r="103">
      <c r="N103" s="2">
        <f>IF(3&lt;=$N$97,(INT($AC$82*$N$98/2147483647)+1),"")</f>
        <v/>
      </c>
    </row>
    <row r="104">
      <c r="N104" s="2">
        <f>IF(4&lt;=$N$97,(INT($AC$83*$N$98/2147483647)+1),"")</f>
        <v/>
      </c>
    </row>
    <row r="105">
      <c r="N105" s="2">
        <f>IF(5&lt;=$N$97,(INT($AC$84*$N$98/2147483647)+1),"")</f>
        <v/>
      </c>
    </row>
    <row r="106">
      <c r="N106" s="2">
        <f>IF(6&lt;=$N$97,(INT($AC$85*$N$98/2147483647)+1),"")</f>
        <v/>
      </c>
    </row>
    <row r="107">
      <c r="N107" s="2">
        <f>IF(7&lt;=$N$97,(INT($AC$86*$N$98/2147483647)+1),"")</f>
        <v/>
      </c>
    </row>
    <row r="108">
      <c r="N108" s="2">
        <f>IF(8&lt;=$N$97,(INT($AC$87*$N$98/2147483647)+1),"")</f>
        <v/>
      </c>
    </row>
    <row r="109">
      <c r="N109" s="2">
        <f>IF(9&lt;=$N$97,(INT($AC$88*$N$98/2147483647)+1),"")</f>
        <v/>
      </c>
    </row>
    <row r="110">
      <c r="N110" s="2">
        <f>IF(10&lt;=$N$97,(INT($AC$89*$N$98/2147483647)+1),"")</f>
        <v/>
      </c>
    </row>
    <row r="111">
      <c r="N111" s="2">
        <f>IF(11&lt;=$N$97,(INT($AC$90*$N$98/2147483647)+1),"")</f>
        <v/>
      </c>
    </row>
    <row r="112">
      <c r="N112" s="2">
        <f>IF(12&lt;=$N$97,(INT($AC$91*$N$98/2147483647)+1),"")</f>
        <v/>
      </c>
    </row>
    <row r="113">
      <c r="N113" s="2">
        <f>IF(13&lt;=$N$97,(INT($AC$92*$N$98/2147483647)+1),"")</f>
        <v/>
      </c>
    </row>
    <row r="114">
      <c r="N114" s="2">
        <f>IF(14&lt;=$N$97,(INT($AC$93*$N$98/2147483647)+1),"")</f>
        <v/>
      </c>
    </row>
    <row r="115">
      <c r="N115" s="2">
        <f>IF(15&lt;=$N$97,(INT($AC$94*$N$98/2147483647)+1),"")</f>
        <v/>
      </c>
    </row>
    <row r="116">
      <c r="N116" s="2">
        <f>IF(16&lt;=$N$97,(INT($AC$95*$N$98/2147483647)+1),"")</f>
        <v/>
      </c>
    </row>
    <row r="117">
      <c r="N117" s="2">
        <f>IF(17&lt;=$N$97,(INT($AC$96*$N$98/2147483647)+1),"")</f>
        <v/>
      </c>
    </row>
    <row r="118">
      <c r="N118" s="2">
        <f>IF(18&lt;=$N$97,(INT($AC$97*$N$98/2147483647)+1),"")</f>
        <v/>
      </c>
    </row>
    <row r="119">
      <c r="N119" s="2">
        <f>IF(19&lt;=$N$97,(INT($AC$98*$N$98/2147483647)+1),"")</f>
        <v/>
      </c>
    </row>
    <row r="120">
      <c r="N120" s="2">
        <f>IF(20&lt;=$N$97,(INT($AC$99*$N$98/2147483647)+1),"")</f>
        <v/>
      </c>
    </row>
    <row r="121">
      <c r="N121" s="2">
        <f>IF($N$100=1,MAX($N$101,$N$102),IF($N$100=-1,MIN($N$101,$N$102),$N$101))</f>
        <v/>
      </c>
    </row>
  </sheetData>
  <mergeCells count="136">
    <mergeCell ref="B42:D42"/>
    <mergeCell ref="K49:L49"/>
    <mergeCell ref="B57:D57"/>
    <mergeCell ref="A75:F75"/>
    <mergeCell ref="K33:L33"/>
    <mergeCell ref="E69:J69"/>
    <mergeCell ref="E37:H37"/>
    <mergeCell ref="K26:L26"/>
    <mergeCell ref="B34:D34"/>
    <mergeCell ref="B37:D37"/>
    <mergeCell ref="I16:J16"/>
    <mergeCell ref="D26:J26"/>
    <mergeCell ref="A71:L71"/>
    <mergeCell ref="I25:J25"/>
    <mergeCell ref="B16:H16"/>
    <mergeCell ref="D10:J10"/>
    <mergeCell ref="B49:J49"/>
    <mergeCell ref="B25:H25"/>
    <mergeCell ref="F61:H61"/>
    <mergeCell ref="B55:J55"/>
    <mergeCell ref="I18:J18"/>
    <mergeCell ref="A72:F72"/>
    <mergeCell ref="K58:L58"/>
    <mergeCell ref="B33:J33"/>
    <mergeCell ref="B69:C69"/>
    <mergeCell ref="B51:J51"/>
    <mergeCell ref="B18:H18"/>
    <mergeCell ref="B27:H27"/>
    <mergeCell ref="H72:I72"/>
    <mergeCell ref="B35:J35"/>
    <mergeCell ref="F64:H64"/>
    <mergeCell ref="D11:J11"/>
    <mergeCell ref="A73:F73"/>
    <mergeCell ref="K53:L53"/>
    <mergeCell ref="I20:J20"/>
    <mergeCell ref="K28:L28"/>
    <mergeCell ref="B56:D56"/>
    <mergeCell ref="B29:H29"/>
    <mergeCell ref="B26:C26"/>
    <mergeCell ref="B43:D43"/>
    <mergeCell ref="K69:L69"/>
    <mergeCell ref="E36:H36"/>
    <mergeCell ref="A32:J32"/>
    <mergeCell ref="A14:J14"/>
    <mergeCell ref="D9:J9"/>
    <mergeCell ref="I15:J15"/>
    <mergeCell ref="K15:L15"/>
    <mergeCell ref="B15:H15"/>
    <mergeCell ref="E34:J34"/>
    <mergeCell ref="A3:L3"/>
    <mergeCell ref="K55:L55"/>
    <mergeCell ref="K64:L64"/>
    <mergeCell ref="H74:I74"/>
    <mergeCell ref="A5:L5"/>
    <mergeCell ref="K32:L32"/>
    <mergeCell ref="K63:L63"/>
    <mergeCell ref="K56:L56"/>
    <mergeCell ref="I43:J43"/>
    <mergeCell ref="B36:D36"/>
    <mergeCell ref="K43:L43"/>
    <mergeCell ref="E38:H38"/>
    <mergeCell ref="K27:L27"/>
    <mergeCell ref="H75:I75"/>
    <mergeCell ref="A67:L67"/>
    <mergeCell ref="I17:J17"/>
    <mergeCell ref="K17:L17"/>
    <mergeCell ref="B54:J54"/>
    <mergeCell ref="A24:L24"/>
    <mergeCell ref="E40:H40"/>
    <mergeCell ref="B17:H17"/>
    <mergeCell ref="A60:L60"/>
    <mergeCell ref="K10:L10"/>
    <mergeCell ref="K6:L6"/>
    <mergeCell ref="B39:D39"/>
    <mergeCell ref="B28:H28"/>
    <mergeCell ref="K16:L16"/>
    <mergeCell ref="A47:J47"/>
    <mergeCell ref="K68:L68"/>
    <mergeCell ref="K25:L25"/>
    <mergeCell ref="D12:J12"/>
    <mergeCell ref="K9:L9"/>
    <mergeCell ref="A74:F74"/>
    <mergeCell ref="K54:L54"/>
    <mergeCell ref="B20:H20"/>
    <mergeCell ref="K29:L29"/>
    <mergeCell ref="K11:L11"/>
    <mergeCell ref="H73:I73"/>
    <mergeCell ref="A76:F76"/>
    <mergeCell ref="K47:L47"/>
    <mergeCell ref="I21:J21"/>
    <mergeCell ref="E39:H39"/>
    <mergeCell ref="K8:L8"/>
    <mergeCell ref="B41:D41"/>
    <mergeCell ref="B21:H21"/>
    <mergeCell ref="A44:L44"/>
    <mergeCell ref="F63:H63"/>
    <mergeCell ref="E68:J68"/>
    <mergeCell ref="K7:L7"/>
    <mergeCell ref="H77:I77"/>
    <mergeCell ref="D7:J7"/>
    <mergeCell ref="B48:J48"/>
    <mergeCell ref="K34:L34"/>
    <mergeCell ref="D8:J8"/>
    <mergeCell ref="A53:J53"/>
    <mergeCell ref="I27:J27"/>
    <mergeCell ref="E41:H41"/>
    <mergeCell ref="F62:H62"/>
    <mergeCell ref="K36:L36"/>
    <mergeCell ref="B38:D38"/>
    <mergeCell ref="K20:L20"/>
    <mergeCell ref="E43:H43"/>
    <mergeCell ref="B40:D40"/>
    <mergeCell ref="I22:J22"/>
    <mergeCell ref="I28:J28"/>
    <mergeCell ref="K22:L22"/>
    <mergeCell ref="E42:H42"/>
    <mergeCell ref="B22:H22"/>
    <mergeCell ref="K12:L12"/>
    <mergeCell ref="A19:L19"/>
    <mergeCell ref="B50:J50"/>
    <mergeCell ref="D6:J6"/>
    <mergeCell ref="E56:J56"/>
    <mergeCell ref="E58:J58"/>
    <mergeCell ref="K61:L61"/>
    <mergeCell ref="K14:L14"/>
    <mergeCell ref="A77:F77"/>
    <mergeCell ref="K48:L48"/>
    <mergeCell ref="A30:L30"/>
    <mergeCell ref="I29:J29"/>
    <mergeCell ref="B68:C68"/>
    <mergeCell ref="A1:L1"/>
    <mergeCell ref="A45:L45"/>
    <mergeCell ref="H76:I76"/>
    <mergeCell ref="B58:D58"/>
    <mergeCell ref="K62:L62"/>
    <mergeCell ref="A65:L65"/>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22">
    <cfRule type="expression" priority="9" dxfId="0">
      <formula>LEN(K22)&gt;0</formula>
    </cfRule>
  </conditionalFormatting>
  <conditionalFormatting sqref="K26">
    <cfRule type="expression" priority="10" dxfId="0">
      <formula>LEN(K26)&gt;0</formula>
    </cfRule>
  </conditionalFormatting>
  <conditionalFormatting sqref="K27">
    <cfRule type="expression" priority="11" dxfId="0">
      <formula>LEN(K27)&gt;0</formula>
    </cfRule>
  </conditionalFormatting>
  <conditionalFormatting sqref="K28">
    <cfRule type="expression" priority="12" dxfId="0">
      <formula>LEN(K28)&gt;0</formula>
    </cfRule>
  </conditionalFormatting>
  <conditionalFormatting sqref="K29">
    <cfRule type="expression" priority="13" dxfId="0">
      <formula>LEN(K29)&gt;0</formula>
    </cfRule>
  </conditionalFormatting>
  <conditionalFormatting sqref="K34">
    <cfRule type="expression" priority="14" dxfId="0">
      <formula>LEN(K34)&gt;0</formula>
    </cfRule>
  </conditionalFormatting>
  <conditionalFormatting sqref="K43">
    <cfRule type="expression" priority="15" dxfId="0">
      <formula>LEN(K43)&gt;0</formula>
    </cfRule>
  </conditionalFormatting>
  <conditionalFormatting sqref="K49">
    <cfRule type="expression" priority="16" dxfId="0">
      <formula>LEN(K49)&gt;0</formula>
    </cfRule>
  </conditionalFormatting>
  <conditionalFormatting sqref="K56">
    <cfRule type="expression" priority="17" dxfId="0">
      <formula>LEN(K56)&gt;0</formula>
    </cfRule>
  </conditionalFormatting>
  <conditionalFormatting sqref="K58">
    <cfRule type="expression" priority="18" dxfId="0">
      <formula>LEN(K58)&gt;0</formula>
    </cfRule>
  </conditionalFormatting>
  <conditionalFormatting sqref="K62">
    <cfRule type="expression" priority="19" dxfId="0">
      <formula>LEN(K62)&gt;0</formula>
    </cfRule>
  </conditionalFormatting>
  <conditionalFormatting sqref="K63">
    <cfRule type="expression" priority="20" dxfId="0">
      <formula>LEN(K63)&gt;0</formula>
    </cfRule>
  </conditionalFormatting>
  <conditionalFormatting sqref="K64">
    <cfRule type="expression" priority="21" dxfId="0">
      <formula>LEN(K64)&gt;0</formula>
    </cfRule>
  </conditionalFormatting>
  <conditionalFormatting sqref="K69">
    <cfRule type="expression" priority="22" dxfId="0">
      <formula>LEN(K69)&gt;0</formula>
    </cfRule>
  </conditionalFormatting>
  <conditionalFormatting sqref="K55">
    <cfRule type="expression" priority="23" dxfId="0">
      <formula>LEN(K55)&gt;0</formula>
    </cfRule>
  </conditionalFormatting>
  <dataValidations count="24">
    <dataValidation sqref="B7" showDropDown="0" showInputMessage="0" showErrorMessage="1" allowBlank="1" errorTitle="Valor fora da faixa" error="Rolagem nº: use um número inteiro de 1 a 1000000." type="whole" errorStyle="warning" operator="between">
      <formula1>1</formula1>
      <formula2>1000000</formula2>
    </dataValidation>
    <dataValidation sqref="B8" showDropDown="0" showInputMessage="0" showErrorMessage="1" allowBlank="1" errorTitle="Valor fora da faixa" error="Rolagem nº: use um número inteiro de 1 a 1000000." type="whole" errorStyle="warning" operator="between">
      <formula1>1</formula1>
      <formula2>1000000</formula2>
    </dataValidation>
    <dataValidation sqref="B9" showDropDown="0" showInputMessage="0" showErrorMessage="1" allowBlank="1" errorTitle="Valor fora da faixa" error="Rolagem nº: use um número inteiro de 1 a 1000000." type="whole" errorStyle="warning" operator="between">
      <formula1>1</formula1>
      <formula2>1000000</formula2>
    </dataValidation>
    <dataValidation sqref="B10" showDropDown="0" showInputMessage="0" showErrorMessage="1" allowBlank="1" errorTitle="Valor fora da faixa" error="Rolagem nº: use um número inteiro de 1 a 1000000." type="whole" errorStyle="warning" operator="between">
      <formula1>1</formula1>
      <formula2>1000000</formula2>
    </dataValidation>
    <dataValidation sqref="B11" showDropDown="0" showInputMessage="0" showErrorMessage="1" allowBlank="1" errorTitle="Valor fora da faixa" error="Rolagem nº: use um número inteiro de 1 a 1000000." type="whole" errorStyle="warning" operator="between">
      <formula1>1</formula1>
      <formula2>1000000</formula2>
    </dataValidation>
    <dataValidation sqref="B12" showDropDown="0" showInputMessage="0" showErrorMessage="1" allowBlank="1" errorTitle="Valor fora da faixa" error="Rolagem nº: use um número inteiro de 1 a 1000000." type="whole" errorStyle="warning" operator="between">
      <formula1>1</formula1>
      <formula2>1000000</formula2>
    </dataValidation>
    <dataValidation sqref="B26" showDropDown="0" showInputMessage="0" showErrorMessage="1" allowBlank="1" errorTitle="Fora da lista" error="Onde: escolha um valor da lista. A planilha pode não reconhecer outro valor." type="list" errorStyle="warning">
      <formula1>'Dados'!$CC$6:$CC$9</formula1>
    </dataValidation>
    <dataValidation sqref="B34" showDropDown="0" showInputMessage="0" showErrorMessage="1" allowBlank="1" errorTitle="Fora da lista" error="Tipo de loja: escolha um valor da lista. A planilha pode não reconhecer outro valor." type="list" errorStyle="warning">
      <formula1>'Dados'!$CD$6:$CD$12</formula1>
    </dataValidation>
    <dataValidation sqref="B55" showDropDown="0" showInputMessage="0" showErrorMessage="1" allowBlank="1" errorTitle="Texto longo" error="Pergunta: até 200 caracteres." type="textLength" errorStyle="warning" operator="lessThanOrEqual">
      <formula1>200</formula1>
    </dataValidation>
    <dataValidation sqref="B56" showDropDown="0" showInputMessage="0" showErrorMessage="1" allowBlank="1" errorTitle="Fora da lista" error="Probabilidade: escolha um valor da lista. A planilha pode não reconhecer outro valor." type="list" errorStyle="warning">
      <formula1>'Dados'!$CE$6:$CE$10</formula1>
    </dataValidation>
    <dataValidation sqref="B62" showDropDown="0" showInputMessage="0" showErrorMessage="1" allowBlank="1" errorTitle="Valor fora da faixa" error="Nº de dados: use um número inteiro de 1 a 20." type="whole" errorStyle="warning" operator="between">
      <formula1>1</formula1>
      <formula2>20</formula2>
    </dataValidation>
    <dataValidation sqref="C62" showDropDown="0" showInputMessage="0" showErrorMessage="1" allowBlank="1" errorTitle="Fora da lista" error="Faces: escolha um valor da lista. A planilha pode não reconhecer outro valor." type="list" errorStyle="warning">
      <formula1>'Dados'!$CF$6:$CF$13</formula1>
    </dataValidation>
    <dataValidation sqref="D62" showDropDown="0" showInputMessage="0" showErrorMessage="1" allowBlank="1" errorTitle="Valor fora da faixa" error="Modificador: use um número inteiro de -50 a 50." type="whole" errorStyle="warning" operator="between">
      <formula1>-50</formula1>
      <formula2>50</formula2>
    </dataValidation>
    <dataValidation sqref="E62" showDropDown="0" showInputMessage="0" showErrorMessage="1" allowBlank="1" errorTitle="Fora da lista" error="Vantagem: escolha um valor da lista. A planilha pode não reconhecer outro valor." type="list" errorStyle="warning">
      <formula1>'Dados'!$CG$6:$CG$8</formula1>
    </dataValidation>
    <dataValidation sqref="B63" showDropDown="0" showInputMessage="0" showErrorMessage="1" allowBlank="1" errorTitle="Valor fora da faixa" error="Nº de dados: use um número inteiro de 1 a 20." type="whole" errorStyle="warning" operator="between">
      <formula1>1</formula1>
      <formula2>20</formula2>
    </dataValidation>
    <dataValidation sqref="C63" showDropDown="0" showInputMessage="0" showErrorMessage="1" allowBlank="1" errorTitle="Fora da lista" error="Faces: escolha um valor da lista. A planilha pode não reconhecer outro valor." type="list" errorStyle="warning">
      <formula1>'Dados'!$CF$6:$CF$13</formula1>
    </dataValidation>
    <dataValidation sqref="D63" showDropDown="0" showInputMessage="0" showErrorMessage="1" allowBlank="1" errorTitle="Valor fora da faixa" error="Modificador: use um número inteiro de -50 a 50." type="whole" errorStyle="warning" operator="between">
      <formula1>-50</formula1>
      <formula2>50</formula2>
    </dataValidation>
    <dataValidation sqref="E63" showDropDown="0" showInputMessage="0" showErrorMessage="1" allowBlank="1" errorTitle="Fora da lista" error="Vantagem: escolha um valor da lista. A planilha pode não reconhecer outro valor." type="list" errorStyle="warning">
      <formula1>'Dados'!$CG$6:$CG$8</formula1>
    </dataValidation>
    <dataValidation sqref="B64" showDropDown="0" showInputMessage="0" showErrorMessage="1" allowBlank="1" errorTitle="Valor fora da faixa" error="Nº de dados: use um número inteiro de 1 a 20." type="whole" errorStyle="warning" operator="between">
      <formula1>1</formula1>
      <formula2>20</formula2>
    </dataValidation>
    <dataValidation sqref="C64" showDropDown="0" showInputMessage="0" showErrorMessage="1" allowBlank="1" errorTitle="Fora da lista" error="Faces: escolha um valor da lista. A planilha pode não reconhecer outro valor." type="list" errorStyle="warning">
      <formula1>'Dados'!$CF$6:$CF$13</formula1>
    </dataValidation>
    <dataValidation sqref="D64" showDropDown="0" showInputMessage="0" showErrorMessage="1" allowBlank="1" errorTitle="Valor fora da faixa" error="Modificador: use um número inteiro de -50 a 50." type="whole" errorStyle="warning" operator="between">
      <formula1>-50</formula1>
      <formula2>50</formula2>
    </dataValidation>
    <dataValidation sqref="E64" showDropDown="0" showInputMessage="0" showErrorMessage="1" allowBlank="1" errorTitle="Fora da lista" error="Vantagem: escolha um valor da lista. A planilha pode não reconhecer outro valor." type="list" errorStyle="warning">
      <formula1>'Dados'!$CG$6:$CG$8</formula1>
    </dataValidation>
    <dataValidation sqref="A69" showDropDown="0" showInputMessage="0" showErrorMessage="1" allowBlank="1" errorTitle="Fora da lista" error="Dificuldade: escolha um valor da lista. A planilha pode não reconhecer outro valor." type="list" errorStyle="warning">
      <formula1>'Dados'!$BY$6:$BY$11</formula1>
    </dataValidation>
    <dataValidation sqref="B69" showDropDown="0" showInputMessage="0" showErrorMessage="1" allowBlank="1" errorTitle="Fora da lista" error="Faixa do desafio: escolha um valor da lista. A planilha pode não reconhecer outro valor." type="list" errorStyle="warning">
      <formula1>'Dados'!$AP$6:$AP$10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N173"/>
  <sheetViews>
    <sheetView showGridLines="1" workbookViewId="0">
      <selection activeCell="A1" sqref="A1"/>
    </sheetView>
  </sheetViews>
  <sheetFormatPr baseColWidth="8" defaultRowHeight="15"/>
  <cols>
    <col width="20.786" customWidth="1" min="1" max="1"/>
    <col width="17.929" customWidth="1" min="2" max="2"/>
    <col width="17.929" customWidth="1" min="3" max="3"/>
    <col width="17.929" customWidth="1" min="4" max="4"/>
    <col width="17.929" customWidth="1" min="5" max="5"/>
    <col width="17.929" customWidth="1" min="6" max="6"/>
    <col width="17.929" customWidth="1" min="7" max="7"/>
    <col width="17.929" customWidth="1" min="8" max="8"/>
    <col width="17.929" customWidth="1" min="9" max="9"/>
    <col width="17.929" customWidth="1" min="10" max="10"/>
    <col width="2.214" customWidth="1" min="11" max="11"/>
    <col width="2.214" customWidth="1" min="12" max="12"/>
    <col hidden="1" width="13" customWidth="1" min="13" max="13"/>
    <col hidden="1" width="13" customWidth="1" min="14" max="14"/>
  </cols>
  <sheetData>
    <row r="1" ht="24" customHeight="1">
      <c r="A1" s="1" t="inlineStr">
        <is>
          <t>Escudo do Mestre — Explorando Galáxias v1.2</t>
        </is>
      </c>
    </row>
    <row r="2" ht="26"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Referência de mesa para imprimir (A4 paisagem, 5 páginas): todo número vem da aba Dados.</t>
        </is>
      </c>
    </row>
    <row r="4"/>
    <row r="5" ht="13.5" customHeight="1">
      <c r="A5" s="50" t="inlineStr">
        <is>
          <t>— Escudo do Mestre · página 1 de 5 · Preparar a sessão e o encontro; descanso —</t>
        </is>
      </c>
    </row>
    <row r="6" ht="15" customHeight="1">
      <c r="A6" s="51" t="inlineStr">
        <is>
          <t>DT por faixa — 27.2 (a única tabela de DT geral)</t>
        </is>
      </c>
      <c r="G6" s="51" t="inlineStr">
        <is>
          <t>As cinco DTs de subsistema — 27.3</t>
        </is>
      </c>
    </row>
    <row r="7" ht="13.5" customHeight="1">
      <c r="A7" s="52" t="inlineStr">
        <is>
          <t>Dificuldade</t>
        </is>
      </c>
      <c r="B7" s="52" t="inlineStr">
        <is>
          <t>1-4</t>
        </is>
      </c>
      <c r="C7" s="52" t="inlineStr">
        <is>
          <t>5-8</t>
        </is>
      </c>
      <c r="D7" s="52" t="inlineStr">
        <is>
          <t>9-12</t>
        </is>
      </c>
      <c r="E7" s="52" t="inlineStr">
        <is>
          <t>13-16</t>
        </is>
      </c>
      <c r="F7" s="52" t="inlineStr">
        <is>
          <t>17-20</t>
        </is>
      </c>
      <c r="G7" s="52" t="inlineStr">
        <is>
          <t>Teste</t>
        </is>
      </c>
      <c r="H7" s="20" t="n"/>
      <c r="I7" s="52" t="inlineStr">
        <is>
          <t>DT (capítulo)</t>
        </is>
      </c>
      <c r="J7" s="20" t="n"/>
    </row>
    <row r="8" ht="24" customHeight="1">
      <c r="A8" s="53">
        <f>'Dados'!$A$284</f>
        <v/>
      </c>
      <c r="B8" s="54">
        <f>'Dados'!$B$284</f>
        <v/>
      </c>
      <c r="C8" s="54">
        <f>'Dados'!$C$284</f>
        <v/>
      </c>
      <c r="D8" s="54">
        <f>'Dados'!$D$284</f>
        <v/>
      </c>
      <c r="E8" s="54">
        <f>'Dados'!$E$284</f>
        <v/>
      </c>
      <c r="F8" s="54">
        <f>'Dados'!$F$284</f>
        <v/>
      </c>
      <c r="G8" s="55">
        <f>'Dados'!$A$592</f>
        <v/>
      </c>
      <c r="I8" s="55">
        <f>'Dados'!$B$592&amp;" (capítulo "&amp;'Dados'!$C$592&amp;")"</f>
        <v/>
      </c>
    </row>
    <row r="9" ht="13.5" customHeight="1">
      <c r="A9" s="56">
        <f>'Dados'!$A$285</f>
        <v/>
      </c>
      <c r="B9" s="57">
        <f>'Dados'!$B$285</f>
        <v/>
      </c>
      <c r="C9" s="57">
        <f>'Dados'!$C$285</f>
        <v/>
      </c>
      <c r="D9" s="57">
        <f>'Dados'!$D$285</f>
        <v/>
      </c>
      <c r="E9" s="57">
        <f>'Dados'!$E$285</f>
        <v/>
      </c>
      <c r="F9" s="57">
        <f>'Dados'!$F$285</f>
        <v/>
      </c>
      <c r="G9" s="58">
        <f>'Dados'!$A$593</f>
        <v/>
      </c>
      <c r="I9" s="58">
        <f>'Dados'!$B$593&amp;" (capítulo "&amp;'Dados'!$C$593&amp;")"</f>
        <v/>
      </c>
    </row>
    <row r="10" ht="24" customHeight="1">
      <c r="A10" s="53">
        <f>'Dados'!$A$286</f>
        <v/>
      </c>
      <c r="B10" s="54">
        <f>'Dados'!$B$286</f>
        <v/>
      </c>
      <c r="C10" s="54">
        <f>'Dados'!$C$286</f>
        <v/>
      </c>
      <c r="D10" s="54">
        <f>'Dados'!$D$286</f>
        <v/>
      </c>
      <c r="E10" s="54">
        <f>'Dados'!$E$286</f>
        <v/>
      </c>
      <c r="F10" s="54">
        <f>'Dados'!$F$286</f>
        <v/>
      </c>
      <c r="G10" s="55">
        <f>'Dados'!$A$594</f>
        <v/>
      </c>
      <c r="I10" s="55">
        <f>'Dados'!$B$594&amp;" (capítulo "&amp;'Dados'!$C$594&amp;")"</f>
        <v/>
      </c>
    </row>
    <row r="11" ht="13.5" customHeight="1">
      <c r="A11" s="56">
        <f>'Dados'!$A$287</f>
        <v/>
      </c>
      <c r="B11" s="57">
        <f>'Dados'!$B$287</f>
        <v/>
      </c>
      <c r="C11" s="57">
        <f>'Dados'!$C$287</f>
        <v/>
      </c>
      <c r="D11" s="57">
        <f>'Dados'!$D$287</f>
        <v/>
      </c>
      <c r="E11" s="57">
        <f>'Dados'!$E$287</f>
        <v/>
      </c>
      <c r="F11" s="57">
        <f>'Dados'!$F$287</f>
        <v/>
      </c>
      <c r="G11" s="58">
        <f>'Dados'!$A$595</f>
        <v/>
      </c>
      <c r="I11" s="58">
        <f>'Dados'!$B$595&amp;" (capítulo "&amp;'Dados'!$C$595&amp;")"</f>
        <v/>
      </c>
    </row>
    <row r="12" ht="13.5" customHeight="1">
      <c r="A12" s="53">
        <f>'Dados'!$A$288</f>
        <v/>
      </c>
      <c r="B12" s="54">
        <f>'Dados'!$B$288</f>
        <v/>
      </c>
      <c r="C12" s="54">
        <f>'Dados'!$C$288</f>
        <v/>
      </c>
      <c r="D12" s="54">
        <f>'Dados'!$D$288</f>
        <v/>
      </c>
      <c r="E12" s="54">
        <f>'Dados'!$E$288</f>
        <v/>
      </c>
      <c r="F12" s="54">
        <f>'Dados'!$F$288</f>
        <v/>
      </c>
      <c r="G12" s="55">
        <f>'Dados'!$A$596</f>
        <v/>
      </c>
      <c r="I12" s="55">
        <f>'Dados'!$B$596&amp;" (capítulo "&amp;'Dados'!$C$596&amp;")"</f>
        <v/>
      </c>
    </row>
    <row r="13" ht="13.5" customHeight="1">
      <c r="A13" s="56">
        <f>'Dados'!$A$289</f>
        <v/>
      </c>
      <c r="B13" s="57">
        <f>'Dados'!$B$289</f>
        <v/>
      </c>
      <c r="C13" s="57">
        <f>'Dados'!$C$289</f>
        <v/>
      </c>
      <c r="D13" s="57">
        <f>'Dados'!$D$289</f>
        <v/>
      </c>
      <c r="E13" s="57">
        <f>'Dados'!$E$289</f>
        <v/>
      </c>
      <c r="F13" s="57">
        <f>'Dados'!$F$289</f>
        <v/>
      </c>
      <c r="G13" s="59" t="inlineStr">
        <is>
          <t>Elas vencem a tabela de 27.2. Não existe uma sexta.</t>
        </is>
      </c>
    </row>
    <row r="14" ht="13.5" customHeight="1">
      <c r="A14" s="53">
        <f>"Três regras (27.2): "&amp;'Dados'!$C$808&amp;" "&amp;'Dados'!$C$809&amp;" "&amp;'Dados'!$C$810</f>
        <v/>
      </c>
    </row>
    <row r="15" ht="15" customHeight="1">
      <c r="A15" s="51" t="inlineStr">
        <is>
          <t>Orçamento do encontro — 27.4 (grupo de 4; o custo é o PV do inimigo)</t>
        </is>
      </c>
      <c r="G15" s="51" t="inlineStr">
        <is>
          <t>As quatro composições — 27.4</t>
        </is>
      </c>
    </row>
    <row r="16" ht="13.5" customHeight="1">
      <c r="A16" s="52" t="inlineStr">
        <is>
          <t>Faixa</t>
        </is>
      </c>
      <c r="B16" s="52" t="inlineStr">
        <is>
          <t>Dano por Ciclo</t>
        </is>
      </c>
      <c r="C16" s="52" t="inlineStr">
        <is>
          <t>Orçamento</t>
        </is>
      </c>
      <c r="D16" s="52" t="inlineStr">
        <is>
          <t>Comum</t>
        </is>
      </c>
      <c r="E16" s="52" t="inlineStr">
        <is>
          <t>Elite</t>
        </is>
      </c>
      <c r="F16" s="52" t="inlineStr">
        <is>
          <t>Boss</t>
        </is>
      </c>
      <c r="G16" s="52" t="inlineStr">
        <is>
          <t>Composição</t>
        </is>
      </c>
      <c r="H16" s="20" t="n"/>
      <c r="I16" s="52" t="inlineStr">
        <is>
          <t>Duração</t>
        </is>
      </c>
      <c r="J16" s="20" t="n"/>
    </row>
    <row r="17" ht="13.5" customHeight="1">
      <c r="A17" s="53">
        <f>'Dados'!$A$261</f>
        <v/>
      </c>
      <c r="B17" s="54">
        <f>'Dados'!$B$261</f>
        <v/>
      </c>
      <c r="C17" s="54">
        <f>'Dados'!$C$261</f>
        <v/>
      </c>
      <c r="D17" s="54">
        <f>'Dados'!$D$261</f>
        <v/>
      </c>
      <c r="E17" s="54">
        <f>'Dados'!$E$261</f>
        <v/>
      </c>
      <c r="F17" s="54">
        <f>'Dados'!$F$261</f>
        <v/>
      </c>
      <c r="G17" s="55">
        <f>'Dados'!$A$269</f>
        <v/>
      </c>
      <c r="I17" s="55">
        <f>'Dados'!$C$269</f>
        <v/>
      </c>
    </row>
    <row r="18" ht="13.5" customHeight="1">
      <c r="A18" s="56">
        <f>'Dados'!$A$262</f>
        <v/>
      </c>
      <c r="B18" s="57">
        <f>'Dados'!$B$262</f>
        <v/>
      </c>
      <c r="C18" s="57">
        <f>'Dados'!$C$262</f>
        <v/>
      </c>
      <c r="D18" s="57">
        <f>'Dados'!$D$262</f>
        <v/>
      </c>
      <c r="E18" s="57">
        <f>'Dados'!$E$262</f>
        <v/>
      </c>
      <c r="F18" s="57">
        <f>'Dados'!$F$262</f>
        <v/>
      </c>
      <c r="G18" s="58">
        <f>'Dados'!$A$270</f>
        <v/>
      </c>
      <c r="I18" s="58">
        <f>'Dados'!$C$270</f>
        <v/>
      </c>
    </row>
    <row r="19" ht="13.5" customHeight="1">
      <c r="A19" s="53">
        <f>'Dados'!$A$263</f>
        <v/>
      </c>
      <c r="B19" s="54">
        <f>'Dados'!$B$263</f>
        <v/>
      </c>
      <c r="C19" s="54">
        <f>'Dados'!$C$263</f>
        <v/>
      </c>
      <c r="D19" s="54">
        <f>'Dados'!$D$263</f>
        <v/>
      </c>
      <c r="E19" s="54">
        <f>'Dados'!$E$263</f>
        <v/>
      </c>
      <c r="F19" s="54">
        <f>'Dados'!$F$263</f>
        <v/>
      </c>
      <c r="G19" s="55">
        <f>'Dados'!$A$271</f>
        <v/>
      </c>
      <c r="I19" s="55">
        <f>'Dados'!$C$271</f>
        <v/>
      </c>
    </row>
    <row r="20" ht="13.5" customHeight="1">
      <c r="A20" s="56">
        <f>'Dados'!$A$264</f>
        <v/>
      </c>
      <c r="B20" s="57">
        <f>'Dados'!$B$264</f>
        <v/>
      </c>
      <c r="C20" s="57">
        <f>'Dados'!$C$264</f>
        <v/>
      </c>
      <c r="D20" s="57">
        <f>'Dados'!$D$264</f>
        <v/>
      </c>
      <c r="E20" s="57">
        <f>'Dados'!$E$264</f>
        <v/>
      </c>
      <c r="F20" s="57">
        <f>'Dados'!$F$264</f>
        <v/>
      </c>
      <c r="G20" s="58">
        <f>'Dados'!$A$272</f>
        <v/>
      </c>
      <c r="I20" s="58">
        <f>'Dados'!$C$272</f>
        <v/>
      </c>
    </row>
    <row r="21" ht="13.5" customHeight="1">
      <c r="A21" s="53">
        <f>'Dados'!$A$265</f>
        <v/>
      </c>
      <c r="B21" s="54">
        <f>'Dados'!$B$265</f>
        <v/>
      </c>
      <c r="C21" s="54">
        <f>'Dados'!$C$265</f>
        <v/>
      </c>
      <c r="D21" s="54">
        <f>'Dados'!$D$265</f>
        <v/>
      </c>
      <c r="E21" s="54">
        <f>'Dados'!$E$265</f>
        <v/>
      </c>
      <c r="F21" s="54">
        <f>'Dados'!$F$265</f>
        <v/>
      </c>
      <c r="G21" s="60" t="inlineStr">
        <is>
          <t>Metade do orçamento = cena de passagem, 2 Ciclos. Alvo: 3 a 5 Ciclos.</t>
        </is>
      </c>
    </row>
    <row r="22" ht="24" customHeight="1">
      <c r="A22" s="56">
        <f>"Contrato da Fraqueza (27.5): "&amp;'Dados'!$C$773&amp;" "&amp;'Dados'!$C$774</f>
        <v/>
      </c>
    </row>
    <row r="23" ht="24" customHeight="1">
      <c r="A23" s="53">
        <f>"Ações agressivas por turno (28.2 regra 5): "&amp;'Dados'!$A$708&amp;", "&amp;'Dados'!$B$708&amp;" · "&amp;'Dados'!$A$709&amp;", "&amp;'Dados'!$B$709&amp;" · "&amp;'Dados'!$A$710&amp;", "&amp;'Dados'!$B$710&amp;". Fraquezas: Comum 1 a 2, Elite 3, Boss 4 (28.2 regra 7)."</f>
        <v/>
      </c>
    </row>
    <row r="24" ht="15" customHeight="1">
      <c r="A24" s="51" t="inlineStr">
        <is>
          <t>Aprovar uma Ultimate — 27.9: ela lê o capítulo 16 no Nível equivalente da faixa</t>
        </is>
      </c>
      <c r="G24" s="51" t="inlineStr">
        <is>
          <t>Para o grupo agora (aba Campanha)</t>
        </is>
      </c>
    </row>
    <row r="25" ht="13.5" customHeight="1">
      <c r="A25" s="52" t="inlineStr">
        <is>
          <t>Faixa</t>
        </is>
      </c>
      <c r="B25" s="52" t="inlineStr">
        <is>
          <t>Nível equivalente</t>
        </is>
      </c>
      <c r="C25" s="52" t="inlineStr">
        <is>
          <t>Dano</t>
        </is>
      </c>
      <c r="D25" s="20" t="n"/>
      <c r="E25" s="52" t="inlineStr">
        <is>
          <t>Cura</t>
        </is>
      </c>
      <c r="F25" s="20" t="n"/>
      <c r="G25" s="55">
        <f>"Nível "&amp;'Campanha'!$B$17&amp;", faixa "&amp;'Campanha'!$B$19&amp;", Eficiência +"&amp;'Campanha'!$B$20</f>
        <v/>
      </c>
      <c r="N25" s="61">
        <f>INDEX('Dados'!$B$600:$B$604,MATCH('Campanha'!$B$19,'Dados'!$A$600:$A$604,0))</f>
        <v/>
      </c>
    </row>
    <row r="26" ht="13.5" customHeight="1">
      <c r="A26" s="53">
        <f>'Dados'!$A$600</f>
        <v/>
      </c>
      <c r="B26" s="54">
        <f>'Dados'!$B$600</f>
        <v/>
      </c>
      <c r="C26" s="54">
        <f>'Dados'!$C$600&amp;" ("&amp;'Dados'!$D$600&amp;")"</f>
        <v/>
      </c>
      <c r="E26" s="54">
        <f>'Dados'!$E$600&amp;" ("&amp;'Dados'!$F$600&amp;")"</f>
        <v/>
      </c>
      <c r="G26" s="55">
        <f>"Ultimate: Nível equivalente "&amp;$N$25&amp;"; dano médio "&amp;$N$26&amp;", cura média "&amp;$N$27&amp;" (27.9)"</f>
        <v/>
      </c>
      <c r="N26" s="61">
        <f>INDEX('Dados'!$D$600:$D$604,MATCH('Campanha'!$B$19,'Dados'!$A$600:$A$604,0))</f>
        <v/>
      </c>
    </row>
    <row r="27" ht="13.5" customHeight="1">
      <c r="A27" s="56">
        <f>'Dados'!$A$601</f>
        <v/>
      </c>
      <c r="B27" s="57">
        <f>'Dados'!$B$601</f>
        <v/>
      </c>
      <c r="C27" s="57">
        <f>'Dados'!$C$601&amp;" ("&amp;'Dados'!$D$601&amp;")"</f>
        <v/>
      </c>
      <c r="E27" s="57">
        <f>'Dados'!$E$601&amp;" ("&amp;'Dados'!$F$601&amp;")"</f>
        <v/>
      </c>
      <c r="G27" s="55">
        <f>"Descanso Curto: "&amp;$N$28&amp;" PV com Vigor +2 (23.6)"</f>
        <v/>
      </c>
      <c r="N27" s="61">
        <f>INDEX('Dados'!$F$600:$F$604,MATCH('Campanha'!$B$19,'Dados'!$A$600:$A$604,0))</f>
        <v/>
      </c>
    </row>
    <row r="28" ht="13.5" customHeight="1">
      <c r="A28" s="53">
        <f>'Dados'!$A$602</f>
        <v/>
      </c>
      <c r="B28" s="54">
        <f>'Dados'!$B$602</f>
        <v/>
      </c>
      <c r="C28" s="54">
        <f>'Dados'!$C$602&amp;" ("&amp;'Dados'!$D$602&amp;")"</f>
        <v/>
      </c>
      <c r="E28" s="54">
        <f>'Dados'!$E$602&amp;" ("&amp;'Dados'!$F$602&amp;")"</f>
        <v/>
      </c>
      <c r="G28" s="55">
        <f>"Teto de PV temporários: "&amp;$N$29&amp;" (23.3)"</f>
        <v/>
      </c>
      <c r="N28" s="61">
        <f>2*'Campanha'!$B$17+2</f>
        <v/>
      </c>
    </row>
    <row r="29" ht="13.5" customHeight="1">
      <c r="A29" s="56">
        <f>'Dados'!$A$603</f>
        <v/>
      </c>
      <c r="B29" s="57">
        <f>'Dados'!$B$603</f>
        <v/>
      </c>
      <c r="C29" s="57">
        <f>'Dados'!$C$603&amp;" ("&amp;'Dados'!$D$603&amp;")"</f>
        <v/>
      </c>
      <c r="E29" s="57">
        <f>'Dados'!$E$603&amp;" ("&amp;'Dados'!$F$603&amp;")"</f>
        <v/>
      </c>
      <c r="G29" s="55">
        <f>"PH do grupo: máximo "&amp;'Campanha'!$B$24&amp;", início "&amp;'Campanha'!$B$25&amp;" (16.2)"</f>
        <v/>
      </c>
      <c r="N29" s="61">
        <f>3*'Campanha'!$B$20</f>
        <v/>
      </c>
    </row>
    <row r="30" ht="13.5" customHeight="1">
      <c r="A30" s="53">
        <f>'Dados'!$A$604</f>
        <v/>
      </c>
      <c r="B30" s="54">
        <f>'Dados'!$B$604</f>
        <v/>
      </c>
      <c r="C30" s="54">
        <f>'Dados'!$C$604&amp;" ("&amp;'Dados'!$D$604&amp;")"</f>
        <v/>
      </c>
      <c r="E30" s="54">
        <f>'Dados'!$E$604&amp;" ("&amp;'Dados'!$F$604&amp;")"</f>
        <v/>
      </c>
    </row>
    <row r="31" ht="24" customHeight="1">
      <c r="A31" s="56">
        <f>'Dados'!$C$790&amp;" "&amp;'Dados'!$C$791</f>
        <v/>
      </c>
    </row>
    <row r="32" ht="15" customHeight="1">
      <c r="A32" s="51" t="inlineStr">
        <is>
          <t>Descanso — 23.6</t>
        </is>
      </c>
      <c r="G32" s="51" t="inlineStr">
        <is>
          <t>PV por Descanso Curto (Vigor +2) — 23.6</t>
        </is>
      </c>
    </row>
    <row r="33" ht="13.5" customHeight="1">
      <c r="A33" s="52" t="inlineStr">
        <is>
          <t>Tipo</t>
        </is>
      </c>
      <c r="B33" s="52" t="inlineStr">
        <is>
          <t>Tempo</t>
        </is>
      </c>
      <c r="C33" s="52" t="inlineStr">
        <is>
          <t>Quantas</t>
        </is>
      </c>
      <c r="D33" s="52" t="inlineStr">
        <is>
          <t>Recupera</t>
        </is>
      </c>
      <c r="E33" s="20" t="n"/>
      <c r="F33" s="20" t="n"/>
      <c r="G33" s="52" t="inlineStr">
        <is>
          <t>Nível</t>
        </is>
      </c>
      <c r="H33" s="20" t="n"/>
      <c r="I33" s="52" t="inlineStr">
        <is>
          <t>PV</t>
        </is>
      </c>
      <c r="J33" s="20" t="n"/>
    </row>
    <row r="34" ht="24" customHeight="1">
      <c r="A34" s="53">
        <f>'Dados'!$A$663</f>
        <v/>
      </c>
      <c r="B34" s="54">
        <f>'Dados'!$B$663</f>
        <v/>
      </c>
      <c r="C34" s="54">
        <f>'Dados'!$C$663</f>
        <v/>
      </c>
      <c r="D34" s="55">
        <f>'Dados'!$D$663</f>
        <v/>
      </c>
      <c r="G34" s="54">
        <f>'Dados'!$A$668</f>
        <v/>
      </c>
      <c r="I34" s="54">
        <f>'Dados'!$B$668</f>
        <v/>
      </c>
    </row>
    <row r="35" ht="35" customHeight="1">
      <c r="A35" s="56">
        <f>'Dados'!$A$664</f>
        <v/>
      </c>
      <c r="B35" s="57">
        <f>'Dados'!$B$664</f>
        <v/>
      </c>
      <c r="C35" s="57">
        <f>'Dados'!$C$664</f>
        <v/>
      </c>
      <c r="D35" s="58">
        <f>'Dados'!$D$664</f>
        <v/>
      </c>
      <c r="G35" s="57">
        <f>'Dados'!$A$669</f>
        <v/>
      </c>
      <c r="I35" s="57">
        <f>'Dados'!$B$669</f>
        <v/>
      </c>
    </row>
    <row r="36" ht="13.5" customHeight="1">
      <c r="G36" s="62">
        <f>'Dados'!$A$670</f>
        <v/>
      </c>
      <c r="I36" s="54">
        <f>'Dados'!$B$670</f>
        <v/>
      </c>
    </row>
    <row r="37" ht="13.5" customHeight="1">
      <c r="A37" s="30" t="n"/>
      <c r="B37" s="30" t="n"/>
      <c r="C37" s="30" t="n"/>
      <c r="D37" s="30" t="n"/>
      <c r="E37" s="30" t="n"/>
      <c r="F37" s="30" t="n"/>
      <c r="G37" s="63">
        <f>'Dados'!$A$671</f>
        <v/>
      </c>
      <c r="I37" s="57">
        <f>'Dados'!$B$671</f>
        <v/>
      </c>
    </row>
    <row r="38" ht="13.5" customHeight="1">
      <c r="G38" s="62">
        <f>'Dados'!$A$672</f>
        <v/>
      </c>
      <c r="I38" s="54">
        <f>'Dados'!$B$672</f>
        <v/>
      </c>
    </row>
    <row r="39" ht="13.5" customHeight="1">
      <c r="A39" s="64" t="inlineStr">
        <is>
          <t>— Escudo do Mestre · página 2 de 5 · O inimigo, a Tenacidade e o PH —</t>
        </is>
      </c>
    </row>
    <row r="40" ht="15" customHeight="1">
      <c r="A40" s="51" t="inlineStr">
        <is>
          <t>Âncoras do inimigo — 28.3: copie a linha (o dano em dados · a média)</t>
        </is>
      </c>
    </row>
    <row r="41" ht="24" customHeight="1">
      <c r="A41" s="52" t="inlineStr">
        <is>
          <t>Faixa · tipo</t>
        </is>
      </c>
      <c r="B41" s="52" t="inlineStr">
        <is>
          <t>PV</t>
        </is>
      </c>
      <c r="C41" s="52" t="inlineStr">
        <is>
          <t>Defesa</t>
        </is>
      </c>
      <c r="D41" s="52" t="inlineStr">
        <is>
          <t>RD</t>
        </is>
      </c>
      <c r="E41" s="52" t="inlineStr">
        <is>
          <t>Tenacidade</t>
        </is>
      </c>
      <c r="F41" s="52" t="inlineStr">
        <is>
          <t>VEL</t>
        </is>
      </c>
      <c r="G41" s="52" t="inlineStr">
        <is>
          <t>Ataque</t>
        </is>
      </c>
      <c r="H41" s="52" t="inlineStr">
        <is>
          <t>Dano por acerto</t>
        </is>
      </c>
      <c r="I41" s="52" t="inlineStr">
        <is>
          <t>DT dos efeitos</t>
        </is>
      </c>
      <c r="J41" s="52" t="inlineStr">
        <is>
          <t>Teste de Resistência</t>
        </is>
      </c>
    </row>
    <row r="42" ht="13.5" customHeight="1">
      <c r="A42" s="53">
        <f>'Dados'!$B$38&amp;" · "&amp;'Dados'!$C$38</f>
        <v/>
      </c>
      <c r="B42" s="54">
        <f>'Dados'!$D$38</f>
        <v/>
      </c>
      <c r="C42" s="54">
        <f>'Dados'!$E$38</f>
        <v/>
      </c>
      <c r="D42" s="54">
        <f>'Dados'!$F$38</f>
        <v/>
      </c>
      <c r="E42" s="54">
        <f>'Dados'!$G$38</f>
        <v/>
      </c>
      <c r="F42" s="54">
        <f>'Dados'!$H$38</f>
        <v/>
      </c>
      <c r="G42" s="54">
        <f>"+"&amp;'Dados'!$I$38</f>
        <v/>
      </c>
      <c r="H42" s="54">
        <f>'Dados'!$J$38&amp;" · "&amp;'Dados'!$K$38</f>
        <v/>
      </c>
      <c r="I42" s="54">
        <f>'Dados'!$L$38</f>
        <v/>
      </c>
      <c r="J42" s="54">
        <f>"+"&amp;'Dados'!$M$38</f>
        <v/>
      </c>
    </row>
    <row r="43" ht="13.5" customHeight="1">
      <c r="A43" s="56">
        <f>'Dados'!$B$39&amp;" · "&amp;'Dados'!$C$39</f>
        <v/>
      </c>
      <c r="B43" s="57">
        <f>'Dados'!$D$39</f>
        <v/>
      </c>
      <c r="C43" s="57">
        <f>'Dados'!$E$39</f>
        <v/>
      </c>
      <c r="D43" s="57">
        <f>'Dados'!$F$39</f>
        <v/>
      </c>
      <c r="E43" s="57">
        <f>'Dados'!$G$39</f>
        <v/>
      </c>
      <c r="F43" s="57">
        <f>'Dados'!$H$39</f>
        <v/>
      </c>
      <c r="G43" s="57">
        <f>"+"&amp;'Dados'!$I$39</f>
        <v/>
      </c>
      <c r="H43" s="57">
        <f>'Dados'!$J$39&amp;" · "&amp;'Dados'!$K$39</f>
        <v/>
      </c>
      <c r="I43" s="57">
        <f>'Dados'!$L$39</f>
        <v/>
      </c>
      <c r="J43" s="57">
        <f>"+"&amp;'Dados'!$M$39</f>
        <v/>
      </c>
    </row>
    <row r="44" ht="13.5" customHeight="1">
      <c r="A44" s="53">
        <f>'Dados'!$B$40&amp;" · "&amp;'Dados'!$C$40</f>
        <v/>
      </c>
      <c r="B44" s="54">
        <f>'Dados'!$D$40</f>
        <v/>
      </c>
      <c r="C44" s="54">
        <f>'Dados'!$E$40</f>
        <v/>
      </c>
      <c r="D44" s="54">
        <f>'Dados'!$F$40</f>
        <v/>
      </c>
      <c r="E44" s="54">
        <f>'Dados'!$G$40</f>
        <v/>
      </c>
      <c r="F44" s="54">
        <f>'Dados'!$H$40</f>
        <v/>
      </c>
      <c r="G44" s="54">
        <f>"+"&amp;'Dados'!$I$40</f>
        <v/>
      </c>
      <c r="H44" s="54">
        <f>'Dados'!$J$40&amp;" · "&amp;'Dados'!$K$40</f>
        <v/>
      </c>
      <c r="I44" s="54">
        <f>'Dados'!$L$40</f>
        <v/>
      </c>
      <c r="J44" s="54">
        <f>"+"&amp;'Dados'!$M$40</f>
        <v/>
      </c>
    </row>
    <row r="45" ht="13.5" customHeight="1">
      <c r="A45" s="56">
        <f>'Dados'!$B$41&amp;" · "&amp;'Dados'!$C$41</f>
        <v/>
      </c>
      <c r="B45" s="57">
        <f>'Dados'!$D$41</f>
        <v/>
      </c>
      <c r="C45" s="57">
        <f>'Dados'!$E$41</f>
        <v/>
      </c>
      <c r="D45" s="57">
        <f>'Dados'!$F$41</f>
        <v/>
      </c>
      <c r="E45" s="57">
        <f>'Dados'!$G$41</f>
        <v/>
      </c>
      <c r="F45" s="57">
        <f>'Dados'!$H$41</f>
        <v/>
      </c>
      <c r="G45" s="57">
        <f>"+"&amp;'Dados'!$I$41</f>
        <v/>
      </c>
      <c r="H45" s="57">
        <f>'Dados'!$J$41&amp;" · "&amp;'Dados'!$K$41</f>
        <v/>
      </c>
      <c r="I45" s="57">
        <f>'Dados'!$L$41</f>
        <v/>
      </c>
      <c r="J45" s="57">
        <f>"+"&amp;'Dados'!$M$41</f>
        <v/>
      </c>
    </row>
    <row r="46" ht="13.5" customHeight="1">
      <c r="A46" s="53">
        <f>'Dados'!$B$42&amp;" · "&amp;'Dados'!$C$42</f>
        <v/>
      </c>
      <c r="B46" s="54">
        <f>'Dados'!$D$42</f>
        <v/>
      </c>
      <c r="C46" s="54">
        <f>'Dados'!$E$42</f>
        <v/>
      </c>
      <c r="D46" s="54">
        <f>'Dados'!$F$42</f>
        <v/>
      </c>
      <c r="E46" s="54">
        <f>'Dados'!$G$42</f>
        <v/>
      </c>
      <c r="F46" s="54">
        <f>'Dados'!$H$42</f>
        <v/>
      </c>
      <c r="G46" s="54">
        <f>"+"&amp;'Dados'!$I$42</f>
        <v/>
      </c>
      <c r="H46" s="54">
        <f>'Dados'!$J$42&amp;" · "&amp;'Dados'!$K$42</f>
        <v/>
      </c>
      <c r="I46" s="54">
        <f>'Dados'!$L$42</f>
        <v/>
      </c>
      <c r="J46" s="54">
        <f>"+"&amp;'Dados'!$M$42</f>
        <v/>
      </c>
    </row>
    <row r="47" ht="13.5" customHeight="1">
      <c r="A47" s="56">
        <f>'Dados'!$B$43&amp;" · "&amp;'Dados'!$C$43</f>
        <v/>
      </c>
      <c r="B47" s="57">
        <f>'Dados'!$D$43</f>
        <v/>
      </c>
      <c r="C47" s="57">
        <f>'Dados'!$E$43</f>
        <v/>
      </c>
      <c r="D47" s="57">
        <f>'Dados'!$F$43</f>
        <v/>
      </c>
      <c r="E47" s="57">
        <f>'Dados'!$G$43</f>
        <v/>
      </c>
      <c r="F47" s="57">
        <f>'Dados'!$H$43</f>
        <v/>
      </c>
      <c r="G47" s="57">
        <f>"+"&amp;'Dados'!$I$43</f>
        <v/>
      </c>
      <c r="H47" s="57">
        <f>'Dados'!$J$43&amp;" · "&amp;'Dados'!$K$43</f>
        <v/>
      </c>
      <c r="I47" s="57">
        <f>'Dados'!$L$43</f>
        <v/>
      </c>
      <c r="J47" s="57">
        <f>"+"&amp;'Dados'!$M$43</f>
        <v/>
      </c>
    </row>
    <row r="48" ht="13.5" customHeight="1">
      <c r="A48" s="53">
        <f>'Dados'!$B$44&amp;" · "&amp;'Dados'!$C$44</f>
        <v/>
      </c>
      <c r="B48" s="54">
        <f>'Dados'!$D$44</f>
        <v/>
      </c>
      <c r="C48" s="54">
        <f>'Dados'!$E$44</f>
        <v/>
      </c>
      <c r="D48" s="54">
        <f>'Dados'!$F$44</f>
        <v/>
      </c>
      <c r="E48" s="54">
        <f>'Dados'!$G$44</f>
        <v/>
      </c>
      <c r="F48" s="54">
        <f>'Dados'!$H$44</f>
        <v/>
      </c>
      <c r="G48" s="54">
        <f>"+"&amp;'Dados'!$I$44</f>
        <v/>
      </c>
      <c r="H48" s="54">
        <f>'Dados'!$J$44&amp;" · "&amp;'Dados'!$K$44</f>
        <v/>
      </c>
      <c r="I48" s="54">
        <f>'Dados'!$L$44</f>
        <v/>
      </c>
      <c r="J48" s="54">
        <f>"+"&amp;'Dados'!$M$44</f>
        <v/>
      </c>
    </row>
    <row r="49" ht="13.5" customHeight="1">
      <c r="A49" s="56">
        <f>'Dados'!$B$45&amp;" · "&amp;'Dados'!$C$45</f>
        <v/>
      </c>
      <c r="B49" s="57">
        <f>'Dados'!$D$45</f>
        <v/>
      </c>
      <c r="C49" s="57">
        <f>'Dados'!$E$45</f>
        <v/>
      </c>
      <c r="D49" s="57">
        <f>'Dados'!$F$45</f>
        <v/>
      </c>
      <c r="E49" s="57">
        <f>'Dados'!$G$45</f>
        <v/>
      </c>
      <c r="F49" s="57">
        <f>'Dados'!$H$45</f>
        <v/>
      </c>
      <c r="G49" s="57">
        <f>"+"&amp;'Dados'!$I$45</f>
        <v/>
      </c>
      <c r="H49" s="57">
        <f>'Dados'!$J$45&amp;" · "&amp;'Dados'!$K$45</f>
        <v/>
      </c>
      <c r="I49" s="57">
        <f>'Dados'!$L$45</f>
        <v/>
      </c>
      <c r="J49" s="57">
        <f>"+"&amp;'Dados'!$M$45</f>
        <v/>
      </c>
    </row>
    <row r="50" ht="13.5" customHeight="1">
      <c r="A50" s="53">
        <f>'Dados'!$B$46&amp;" · "&amp;'Dados'!$C$46</f>
        <v/>
      </c>
      <c r="B50" s="54">
        <f>'Dados'!$D$46</f>
        <v/>
      </c>
      <c r="C50" s="54">
        <f>'Dados'!$E$46</f>
        <v/>
      </c>
      <c r="D50" s="54">
        <f>'Dados'!$F$46</f>
        <v/>
      </c>
      <c r="E50" s="54">
        <f>'Dados'!$G$46</f>
        <v/>
      </c>
      <c r="F50" s="54">
        <f>'Dados'!$H$46</f>
        <v/>
      </c>
      <c r="G50" s="54">
        <f>"+"&amp;'Dados'!$I$46</f>
        <v/>
      </c>
      <c r="H50" s="54">
        <f>'Dados'!$J$46&amp;" · "&amp;'Dados'!$K$46</f>
        <v/>
      </c>
      <c r="I50" s="54">
        <f>'Dados'!$L$46</f>
        <v/>
      </c>
      <c r="J50" s="54">
        <f>"+"&amp;'Dados'!$M$46</f>
        <v/>
      </c>
    </row>
    <row r="51" ht="24" customHeight="1">
      <c r="A51" s="52" t="inlineStr">
        <is>
          <t>Faixa · tipo</t>
        </is>
      </c>
      <c r="B51" s="52" t="inlineStr">
        <is>
          <t>PV</t>
        </is>
      </c>
      <c r="C51" s="52" t="inlineStr">
        <is>
          <t>Defesa</t>
        </is>
      </c>
      <c r="D51" s="52" t="inlineStr">
        <is>
          <t>RD</t>
        </is>
      </c>
      <c r="E51" s="52" t="inlineStr">
        <is>
          <t>Tenacidade</t>
        </is>
      </c>
      <c r="F51" s="52" t="inlineStr">
        <is>
          <t>VEL</t>
        </is>
      </c>
      <c r="G51" s="52" t="inlineStr">
        <is>
          <t>Ataque</t>
        </is>
      </c>
      <c r="H51" s="52" t="inlineStr">
        <is>
          <t>Dano por acerto</t>
        </is>
      </c>
      <c r="I51" s="52" t="inlineStr">
        <is>
          <t>DT dos efeitos</t>
        </is>
      </c>
      <c r="J51" s="52" t="inlineStr">
        <is>
          <t>Teste de Resistência</t>
        </is>
      </c>
    </row>
    <row r="52" ht="13.5" customHeight="1">
      <c r="A52" s="53">
        <f>'Dados'!$B$47&amp;" · "&amp;'Dados'!$C$47</f>
        <v/>
      </c>
      <c r="B52" s="54">
        <f>'Dados'!$D$47</f>
        <v/>
      </c>
      <c r="C52" s="54">
        <f>'Dados'!$E$47</f>
        <v/>
      </c>
      <c r="D52" s="54">
        <f>'Dados'!$F$47</f>
        <v/>
      </c>
      <c r="E52" s="54">
        <f>'Dados'!$G$47</f>
        <v/>
      </c>
      <c r="F52" s="54">
        <f>'Dados'!$H$47</f>
        <v/>
      </c>
      <c r="G52" s="54">
        <f>"+"&amp;'Dados'!$I$47</f>
        <v/>
      </c>
      <c r="H52" s="54">
        <f>'Dados'!$J$47&amp;" · "&amp;'Dados'!$K$47</f>
        <v/>
      </c>
      <c r="I52" s="54">
        <f>'Dados'!$L$47</f>
        <v/>
      </c>
      <c r="J52" s="54">
        <f>"+"&amp;'Dados'!$M$47</f>
        <v/>
      </c>
    </row>
    <row r="53" ht="13.5" customHeight="1">
      <c r="A53" s="56">
        <f>'Dados'!$B$48&amp;" · "&amp;'Dados'!$C$48</f>
        <v/>
      </c>
      <c r="B53" s="57">
        <f>'Dados'!$D$48</f>
        <v/>
      </c>
      <c r="C53" s="57">
        <f>'Dados'!$E$48</f>
        <v/>
      </c>
      <c r="D53" s="57">
        <f>'Dados'!$F$48</f>
        <v/>
      </c>
      <c r="E53" s="57">
        <f>'Dados'!$G$48</f>
        <v/>
      </c>
      <c r="F53" s="57">
        <f>'Dados'!$H$48</f>
        <v/>
      </c>
      <c r="G53" s="57">
        <f>"+"&amp;'Dados'!$I$48</f>
        <v/>
      </c>
      <c r="H53" s="57">
        <f>'Dados'!$J$48&amp;" · "&amp;'Dados'!$K$48</f>
        <v/>
      </c>
      <c r="I53" s="57">
        <f>'Dados'!$L$48</f>
        <v/>
      </c>
      <c r="J53" s="57">
        <f>"+"&amp;'Dados'!$M$48</f>
        <v/>
      </c>
    </row>
    <row r="54" ht="13.5" customHeight="1">
      <c r="A54" s="53">
        <f>'Dados'!$B$49&amp;" · "&amp;'Dados'!$C$49</f>
        <v/>
      </c>
      <c r="B54" s="54">
        <f>'Dados'!$D$49</f>
        <v/>
      </c>
      <c r="C54" s="54">
        <f>'Dados'!$E$49</f>
        <v/>
      </c>
      <c r="D54" s="54">
        <f>'Dados'!$F$49</f>
        <v/>
      </c>
      <c r="E54" s="54">
        <f>'Dados'!$G$49</f>
        <v/>
      </c>
      <c r="F54" s="54">
        <f>'Dados'!$H$49</f>
        <v/>
      </c>
      <c r="G54" s="54">
        <f>"+"&amp;'Dados'!$I$49</f>
        <v/>
      </c>
      <c r="H54" s="54">
        <f>'Dados'!$J$49&amp;" · "&amp;'Dados'!$K$49</f>
        <v/>
      </c>
      <c r="I54" s="54">
        <f>'Dados'!$L$49</f>
        <v/>
      </c>
      <c r="J54" s="54">
        <f>"+"&amp;'Dados'!$M$49</f>
        <v/>
      </c>
    </row>
    <row r="55" ht="13.5" customHeight="1">
      <c r="A55" s="56">
        <f>'Dados'!$B$50&amp;" · "&amp;'Dados'!$C$50</f>
        <v/>
      </c>
      <c r="B55" s="57">
        <f>'Dados'!$D$50</f>
        <v/>
      </c>
      <c r="C55" s="57">
        <f>'Dados'!$E$50</f>
        <v/>
      </c>
      <c r="D55" s="57">
        <f>'Dados'!$F$50</f>
        <v/>
      </c>
      <c r="E55" s="57">
        <f>'Dados'!$G$50</f>
        <v/>
      </c>
      <c r="F55" s="57">
        <f>'Dados'!$H$50</f>
        <v/>
      </c>
      <c r="G55" s="57">
        <f>"+"&amp;'Dados'!$I$50</f>
        <v/>
      </c>
      <c r="H55" s="57">
        <f>'Dados'!$J$50&amp;" · "&amp;'Dados'!$K$50</f>
        <v/>
      </c>
      <c r="I55" s="57">
        <f>'Dados'!$L$50</f>
        <v/>
      </c>
      <c r="J55" s="57">
        <f>"+"&amp;'Dados'!$M$50</f>
        <v/>
      </c>
    </row>
    <row r="56" ht="13.5" customHeight="1">
      <c r="A56" s="53">
        <f>'Dados'!$B$51&amp;" · "&amp;'Dados'!$C$51</f>
        <v/>
      </c>
      <c r="B56" s="54">
        <f>'Dados'!$D$51</f>
        <v/>
      </c>
      <c r="C56" s="54">
        <f>'Dados'!$E$51</f>
        <v/>
      </c>
      <c r="D56" s="54">
        <f>'Dados'!$F$51</f>
        <v/>
      </c>
      <c r="E56" s="54">
        <f>'Dados'!$G$51</f>
        <v/>
      </c>
      <c r="F56" s="54">
        <f>'Dados'!$H$51</f>
        <v/>
      </c>
      <c r="G56" s="54">
        <f>"+"&amp;'Dados'!$I$51</f>
        <v/>
      </c>
      <c r="H56" s="54">
        <f>'Dados'!$J$51&amp;" · "&amp;'Dados'!$K$51</f>
        <v/>
      </c>
      <c r="I56" s="54">
        <f>'Dados'!$L$51</f>
        <v/>
      </c>
      <c r="J56" s="54">
        <f>"+"&amp;'Dados'!$M$51</f>
        <v/>
      </c>
    </row>
    <row r="57" ht="13.5" customHeight="1">
      <c r="A57" s="56">
        <f>'Dados'!$B$52&amp;" · "&amp;'Dados'!$C$52</f>
        <v/>
      </c>
      <c r="B57" s="57">
        <f>'Dados'!$D$52</f>
        <v/>
      </c>
      <c r="C57" s="57">
        <f>'Dados'!$E$52</f>
        <v/>
      </c>
      <c r="D57" s="57">
        <f>'Dados'!$F$52</f>
        <v/>
      </c>
      <c r="E57" s="57">
        <f>'Dados'!$G$52</f>
        <v/>
      </c>
      <c r="F57" s="57">
        <f>'Dados'!$H$52</f>
        <v/>
      </c>
      <c r="G57" s="57">
        <f>"+"&amp;'Dados'!$I$52</f>
        <v/>
      </c>
      <c r="H57" s="57">
        <f>'Dados'!$J$52&amp;" · "&amp;'Dados'!$K$52</f>
        <v/>
      </c>
      <c r="I57" s="57">
        <f>'Dados'!$L$52</f>
        <v/>
      </c>
      <c r="J57" s="57">
        <f>"+"&amp;'Dados'!$M$52</f>
        <v/>
      </c>
    </row>
    <row r="58" ht="45" customHeight="1">
      <c r="A58" s="53">
        <f>"Régua das ações (28.4): "&amp;'Dados'!$C$775&amp;" "&amp;'Dados'!$C$776&amp;" "&amp;'Dados'!$C$777</f>
        <v/>
      </c>
    </row>
    <row r="59" ht="15" customHeight="1">
      <c r="A59" s="51" t="inlineStr">
        <is>
          <t>Fraqueza e Resistência — 20.2</t>
        </is>
      </c>
      <c r="G59" s="51" t="inlineStr">
        <is>
          <t>Redução de Tenacidade — 20.3</t>
        </is>
      </c>
    </row>
    <row r="60" ht="13.5" customHeight="1">
      <c r="A60" s="52" t="inlineStr">
        <is>
          <t>Situação</t>
        </is>
      </c>
      <c r="B60" s="20" t="n"/>
      <c r="C60" s="52" t="inlineStr">
        <is>
          <t>Dano</t>
        </is>
      </c>
      <c r="D60" s="20" t="n"/>
      <c r="E60" s="52" t="inlineStr">
        <is>
          <t>Redução de Tenacidade</t>
        </is>
      </c>
      <c r="F60" s="20" t="n"/>
      <c r="G60" s="52" t="inlineStr">
        <is>
          <t>Fonte</t>
        </is>
      </c>
      <c r="H60" s="20" t="n"/>
      <c r="I60" s="20" t="n"/>
      <c r="J60" s="52" t="inlineStr">
        <is>
          <t>Redução</t>
        </is>
      </c>
    </row>
    <row r="61" ht="13.5" customHeight="1">
      <c r="A61" s="53">
        <f>'Dados'!$A$636</f>
        <v/>
      </c>
      <c r="C61" s="55">
        <f>'Dados'!$B$636</f>
        <v/>
      </c>
      <c r="E61" s="55">
        <f>'Dados'!$C$636</f>
        <v/>
      </c>
      <c r="G61" s="55">
        <f>'Dados'!$A$642</f>
        <v/>
      </c>
      <c r="J61" s="54">
        <f>'Dados'!$B$642</f>
        <v/>
      </c>
    </row>
    <row r="62" ht="13.5" customHeight="1">
      <c r="A62" s="56">
        <f>'Dados'!$A$637</f>
        <v/>
      </c>
      <c r="C62" s="58">
        <f>'Dados'!$B$637</f>
        <v/>
      </c>
      <c r="E62" s="58">
        <f>'Dados'!$C$637</f>
        <v/>
      </c>
      <c r="G62" s="58">
        <f>'Dados'!$A$643</f>
        <v/>
      </c>
      <c r="J62" s="57">
        <f>'Dados'!$B$643</f>
        <v/>
      </c>
    </row>
    <row r="63" ht="24" customHeight="1">
      <c r="A63" s="53">
        <f>'Dados'!$A$638</f>
        <v/>
      </c>
      <c r="C63" s="55">
        <f>'Dados'!$B$638</f>
        <v/>
      </c>
      <c r="E63" s="55">
        <f>'Dados'!$C$638</f>
        <v/>
      </c>
      <c r="G63" s="55">
        <f>'Dados'!$A$644</f>
        <v/>
      </c>
      <c r="J63" s="54">
        <f>'Dados'!$B$644</f>
        <v/>
      </c>
    </row>
    <row r="64" ht="35" customHeight="1">
      <c r="A64" s="56">
        <f>'Dados'!$C$772</f>
        <v/>
      </c>
      <c r="G64" s="58">
        <f>'Dados'!$A$645</f>
        <v/>
      </c>
      <c r="J64" s="57">
        <f>'Dados'!$B$645</f>
        <v/>
      </c>
    </row>
    <row r="65" ht="13.5" customHeight="1">
      <c r="G65" s="53">
        <f>'Dados'!$A$646</f>
        <v/>
      </c>
      <c r="J65" s="54">
        <f>'Dados'!$B$646</f>
        <v/>
      </c>
    </row>
    <row r="66" ht="13.5" customHeight="1">
      <c r="A66" s="30" t="n"/>
      <c r="B66" s="30" t="n"/>
      <c r="C66" s="30" t="n"/>
      <c r="D66" s="30" t="n"/>
      <c r="E66" s="30" t="n"/>
      <c r="F66" s="30" t="n"/>
      <c r="G66" s="56">
        <f>'Dados'!$A$647</f>
        <v/>
      </c>
      <c r="J66" s="57">
        <f>'Dados'!$B$647</f>
        <v/>
      </c>
    </row>
    <row r="67" ht="13.5" customHeight="1">
      <c r="G67" s="53">
        <f>'Dados'!$A$648</f>
        <v/>
      </c>
      <c r="J67" s="54">
        <f>'Dados'!$B$648</f>
        <v/>
      </c>
    </row>
    <row r="68" ht="24" customHeight="1">
      <c r="A68" s="30" t="n"/>
      <c r="B68" s="30" t="n"/>
      <c r="C68" s="30" t="n"/>
      <c r="D68" s="30" t="n"/>
      <c r="E68" s="30" t="n"/>
      <c r="F68" s="30" t="n"/>
      <c r="G68" s="56">
        <f>'Dados'!$A$649</f>
        <v/>
      </c>
      <c r="J68" s="57">
        <f>'Dados'!$B$649</f>
        <v/>
      </c>
    </row>
    <row r="69" ht="24" customHeight="1">
      <c r="G69" s="53">
        <f>'Dados'!$A$650</f>
        <v/>
      </c>
      <c r="J69" s="54">
        <f>'Dados'!$B$650</f>
        <v/>
      </c>
    </row>
    <row r="70" ht="15" customHeight="1">
      <c r="A70" s="51" t="inlineStr">
        <is>
          <t>Pontos de Habilidade do grupo — 16.2 (máximo · início do combate)</t>
        </is>
      </c>
      <c r="G70" s="51" t="inlineStr">
        <is>
          <t>O que o PH é</t>
        </is>
      </c>
    </row>
    <row r="71" ht="35" customHeight="1">
      <c r="A71" s="52" t="inlineStr">
        <is>
          <t>Nº de jogadores</t>
        </is>
      </c>
      <c r="B71" s="52" t="inlineStr">
        <is>
          <t>Níveis 1-8</t>
        </is>
      </c>
      <c r="C71" s="20" t="n"/>
      <c r="D71" s="52" t="inlineStr">
        <is>
          <t>Níveis 9-16</t>
        </is>
      </c>
      <c r="E71" s="52" t="inlineStr">
        <is>
          <t>Níveis 17-20</t>
        </is>
      </c>
      <c r="F71" s="20" t="n"/>
      <c r="G71" s="55">
        <f>'Dados'!$C$785&amp;" "&amp;'Dados'!$C$786</f>
        <v/>
      </c>
    </row>
    <row r="72" ht="13.5" customHeight="1">
      <c r="A72" s="62">
        <f>'Dados'!$A$343</f>
        <v/>
      </c>
      <c r="B72" s="54">
        <f>'Dados'!$B$343&amp;" · "&amp;'Dados'!$E$343</f>
        <v/>
      </c>
      <c r="D72" s="54">
        <f>'Dados'!$C$343&amp;" · "&amp;'Dados'!$F$343</f>
        <v/>
      </c>
      <c r="E72" s="54">
        <f>'Dados'!$D$343&amp;" · "&amp;'Dados'!$G$343</f>
        <v/>
      </c>
    </row>
    <row r="73" ht="13.5" customHeight="1">
      <c r="A73" s="63">
        <f>'Dados'!$A$344</f>
        <v/>
      </c>
      <c r="B73" s="57">
        <f>'Dados'!$B$344&amp;" · "&amp;'Dados'!$E$344</f>
        <v/>
      </c>
      <c r="D73" s="57">
        <f>'Dados'!$C$344&amp;" · "&amp;'Dados'!$F$344</f>
        <v/>
      </c>
      <c r="E73" s="57">
        <f>'Dados'!$D$344&amp;" · "&amp;'Dados'!$G$344</f>
        <v/>
      </c>
    </row>
    <row r="74" ht="13.5" customHeight="1">
      <c r="A74" s="62">
        <f>'Dados'!$A$345</f>
        <v/>
      </c>
      <c r="B74" s="54">
        <f>'Dados'!$B$345&amp;" · "&amp;'Dados'!$E$345</f>
        <v/>
      </c>
      <c r="D74" s="54">
        <f>'Dados'!$C$345&amp;" · "&amp;'Dados'!$F$345</f>
        <v/>
      </c>
      <c r="E74" s="54">
        <f>'Dados'!$D$345&amp;" · "&amp;'Dados'!$G$345</f>
        <v/>
      </c>
    </row>
    <row r="75" ht="13.5" customHeight="1">
      <c r="A75" s="63">
        <f>'Dados'!$A$346</f>
        <v/>
      </c>
      <c r="B75" s="57">
        <f>'Dados'!$B$346&amp;" · "&amp;'Dados'!$E$346</f>
        <v/>
      </c>
      <c r="D75" s="57">
        <f>'Dados'!$C$346&amp;" · "&amp;'Dados'!$F$346</f>
        <v/>
      </c>
      <c r="E75" s="57">
        <f>'Dados'!$D$346&amp;" · "&amp;'Dados'!$G$346</f>
        <v/>
      </c>
    </row>
    <row r="76" ht="13.5" customHeight="1">
      <c r="A76" s="65" t="inlineStr">
        <is>
          <t>— Escudo do Mestre · página 3 de 5 · Combate: a Fila, a Quebra e o Dano Contínuo —</t>
        </is>
      </c>
    </row>
    <row r="77" ht="15" customHeight="1">
      <c r="A77" s="51" t="inlineStr">
        <is>
          <t>A Fila — 19.3 (nada é rolado) e a Surpresa</t>
        </is>
      </c>
    </row>
    <row r="78" ht="24" customHeight="1">
      <c r="A78" s="55">
        <f>"1-2. "&amp;'Dados'!$C$749&amp;" "&amp;'Dados'!$C$750</f>
        <v/>
      </c>
    </row>
    <row r="79" ht="24" customHeight="1">
      <c r="A79" s="55">
        <f>"3-4. "&amp;'Dados'!$C$751&amp;" "&amp;'Dados'!$C$752</f>
        <v/>
      </c>
    </row>
    <row r="80" ht="13.5" customHeight="1">
      <c r="A80" s="55">
        <f>"Surpresa: "&amp;'Dados'!$C$753&amp;" "&amp;'Dados'!$C$754</f>
        <v/>
      </c>
    </row>
    <row r="81" ht="15" customHeight="1">
      <c r="A81" s="51" t="inlineStr">
        <is>
          <t>Firmeza — 19.4 (Elite e Boss), nesta ordem</t>
        </is>
      </c>
      <c r="G81" s="51" t="inlineStr">
        <is>
          <t>Teto de Atraso por alvo, por Ciclo — 19.4</t>
        </is>
      </c>
    </row>
    <row r="82" ht="13.5" customHeight="1">
      <c r="A82" s="55">
        <f>"1. "&amp;'Dados'!$C$755</f>
        <v/>
      </c>
      <c r="G82" s="52" t="inlineStr">
        <is>
          <t>Tipo de alvo</t>
        </is>
      </c>
      <c r="H82" s="20" t="n"/>
      <c r="I82" s="52" t="inlineStr">
        <is>
          <t>Teto</t>
        </is>
      </c>
      <c r="J82" s="52" t="inlineStr">
        <is>
          <t>Firmeza</t>
        </is>
      </c>
    </row>
    <row r="83" ht="13.5" customHeight="1">
      <c r="A83" s="55">
        <f>"2. "&amp;'Dados'!$C$756</f>
        <v/>
      </c>
      <c r="G83" s="53">
        <f>'Dados'!$A$619</f>
        <v/>
      </c>
      <c r="I83" s="54">
        <f>'Dados'!$B$619</f>
        <v/>
      </c>
      <c r="J83" s="54">
        <f>'Dados'!$C$619</f>
        <v/>
      </c>
    </row>
    <row r="84" ht="24" customHeight="1">
      <c r="A84" s="55">
        <f>"3. "&amp;'Dados'!$C$757</f>
        <v/>
      </c>
      <c r="G84" s="56">
        <f>'Dados'!$A$620</f>
        <v/>
      </c>
      <c r="I84" s="57">
        <f>'Dados'!$B$620</f>
        <v/>
      </c>
      <c r="J84" s="57">
        <f>'Dados'!$C$620</f>
        <v/>
      </c>
    </row>
    <row r="85" ht="13.5" customHeight="1">
      <c r="A85" s="55">
        <f>"4. "&amp;'Dados'!$C$758</f>
        <v/>
      </c>
      <c r="G85" s="66" t="inlineStr">
        <is>
          <t>Já agiu, ou sem casas atrás: vira Atraso pendente do próximo Ciclo.</t>
        </is>
      </c>
    </row>
    <row r="86" ht="24" customHeight="1">
      <c r="A86" s="55">
        <f>"Avançar (19.5): "&amp;'Dados'!$C$759&amp;" "&amp;'Dados'!$C$760</f>
        <v/>
      </c>
    </row>
    <row r="87" ht="24" customHeight="1">
      <c r="A87" s="55">
        <f>"Congelamento (19.6), Comum: "&amp;'Dados'!$C$811&amp;" "&amp;'Dados'!$C$761</f>
        <v/>
      </c>
    </row>
    <row r="88" ht="15" customHeight="1">
      <c r="A88" s="51" t="inlineStr">
        <is>
          <t>Casos-limite da Fila — 19.7</t>
        </is>
      </c>
    </row>
    <row r="89" ht="13.5" customHeight="1">
      <c r="A89" s="52" t="inlineStr">
        <is>
          <t>Situação</t>
        </is>
      </c>
      <c r="B89" s="20" t="n"/>
      <c r="C89" s="20" t="n"/>
      <c r="D89" s="52" t="inlineStr">
        <is>
          <t>Resolução</t>
        </is>
      </c>
      <c r="E89" s="20" t="n"/>
      <c r="F89" s="20" t="n"/>
      <c r="G89" s="20" t="n"/>
      <c r="H89" s="20" t="n"/>
      <c r="I89" s="20" t="n"/>
      <c r="J89" s="20" t="n"/>
    </row>
    <row r="90" ht="13.5" customHeight="1">
      <c r="A90" s="53">
        <f>'Dados'!$A$624</f>
        <v/>
      </c>
      <c r="D90" s="55">
        <f>'Dados'!$B$624</f>
        <v/>
      </c>
    </row>
    <row r="91" ht="13.5" customHeight="1">
      <c r="A91" s="56">
        <f>'Dados'!$A$625</f>
        <v/>
      </c>
      <c r="D91" s="58">
        <f>'Dados'!$B$625</f>
        <v/>
      </c>
    </row>
    <row r="92" ht="13.5" customHeight="1">
      <c r="A92" s="53">
        <f>'Dados'!$A$626</f>
        <v/>
      </c>
      <c r="D92" s="55">
        <f>'Dados'!$B$626</f>
        <v/>
      </c>
    </row>
    <row r="93" ht="13.5" customHeight="1">
      <c r="A93" s="56">
        <f>'Dados'!$A$627</f>
        <v/>
      </c>
      <c r="D93" s="58">
        <f>'Dados'!$B$627</f>
        <v/>
      </c>
    </row>
    <row r="94" ht="13.5" customHeight="1">
      <c r="A94" s="53">
        <f>'Dados'!$A$628</f>
        <v/>
      </c>
      <c r="D94" s="55">
        <f>'Dados'!$B$628</f>
        <v/>
      </c>
    </row>
    <row r="95" ht="13.5" customHeight="1">
      <c r="A95" s="56">
        <f>'Dados'!$A$629</f>
        <v/>
      </c>
      <c r="D95" s="58">
        <f>'Dados'!$B$629</f>
        <v/>
      </c>
    </row>
    <row r="96" ht="13.5" customHeight="1">
      <c r="A96" s="53">
        <f>'Dados'!$A$630</f>
        <v/>
      </c>
      <c r="D96" s="55">
        <f>'Dados'!$B$630</f>
        <v/>
      </c>
    </row>
    <row r="97" ht="13.5" customHeight="1">
      <c r="A97" s="56">
        <f>'Dados'!$A$631</f>
        <v/>
      </c>
      <c r="D97" s="58">
        <f>'Dados'!$B$631</f>
        <v/>
      </c>
    </row>
    <row r="98" ht="13.5" customHeight="1">
      <c r="A98" s="53">
        <f>'Dados'!$A$632</f>
        <v/>
      </c>
      <c r="D98" s="55">
        <f>'Dados'!$B$632</f>
        <v/>
      </c>
    </row>
    <row r="99" ht="15" customHeight="1">
      <c r="A99" s="51" t="inlineStr">
        <is>
          <t>Quebra — 20.4, nesta ordem</t>
        </is>
      </c>
      <c r="G99" s="51" t="inlineStr">
        <is>
          <t>Dano Contínuo — 20.6</t>
        </is>
      </c>
    </row>
    <row r="100" ht="13.5" customHeight="1">
      <c r="A100" s="55">
        <f>"1. "&amp;'Dados'!$C$762</f>
        <v/>
      </c>
      <c r="G100" s="55">
        <f>"• "&amp;'Dados'!$C$767</f>
        <v/>
      </c>
    </row>
    <row r="101" ht="24" customHeight="1">
      <c r="A101" s="55">
        <f>"2. "&amp;'Dados'!$C$763</f>
        <v/>
      </c>
      <c r="G101" s="55">
        <f>"• "&amp;'Dados'!$C$768</f>
        <v/>
      </c>
    </row>
    <row r="102" ht="24" customHeight="1">
      <c r="A102" s="55">
        <f>"3. "&amp;'Dados'!$C$764</f>
        <v/>
      </c>
      <c r="G102" s="55">
        <f>"• "&amp;'Dados'!$C$769</f>
        <v/>
      </c>
    </row>
    <row r="103" ht="24" customHeight="1">
      <c r="A103" s="55">
        <f>"4. "&amp;'Dados'!$C$765</f>
        <v/>
      </c>
      <c r="G103" s="55">
        <f>"• "&amp;'Dados'!$C$770</f>
        <v/>
      </c>
    </row>
    <row r="104" ht="13.5" customHeight="1">
      <c r="A104" s="55">
        <f>"5. "&amp;'Dados'!$C$766</f>
        <v/>
      </c>
      <c r="G104" s="55">
        <f>"• "&amp;'Dados'!$C$771</f>
        <v/>
      </c>
    </row>
    <row r="105" ht="15" customHeight="1">
      <c r="A105" s="51" t="inlineStr">
        <is>
          <t>Dano de Quebra — 20.5 (a Eficiência é de quem quebrou)</t>
        </is>
      </c>
    </row>
    <row r="106" ht="13.5" customHeight="1">
      <c r="A106" s="52" t="inlineStr">
        <is>
          <t>Elemento</t>
        </is>
      </c>
      <c r="B106" s="52" t="inlineStr">
        <is>
          <t>Dano de Quebra</t>
        </is>
      </c>
      <c r="C106" s="20" t="n"/>
      <c r="D106" s="20" t="n"/>
      <c r="E106" s="52" t="inlineStr">
        <is>
          <t>Efeito de Quebra</t>
        </is>
      </c>
      <c r="F106" s="20" t="n"/>
      <c r="G106" s="20" t="n"/>
      <c r="H106" s="52" t="inlineStr">
        <is>
          <t>Elemento</t>
        </is>
      </c>
      <c r="I106" s="52" t="inlineStr">
        <is>
          <t>Dano de Quebra</t>
        </is>
      </c>
      <c r="J106" s="52" t="inlineStr">
        <is>
          <t>Efeito de Quebra</t>
        </is>
      </c>
    </row>
    <row r="107" ht="24" customHeight="1">
      <c r="A107" s="53">
        <f>'Dados'!$A$301</f>
        <v/>
      </c>
      <c r="B107" s="55">
        <f>'Dados'!$B$301</f>
        <v/>
      </c>
      <c r="E107" s="55">
        <f>'Dados'!$F$301</f>
        <v/>
      </c>
      <c r="H107" s="67">
        <f>'Dados'!$A$305</f>
        <v/>
      </c>
      <c r="I107" s="55">
        <f>'Dados'!$B$305</f>
        <v/>
      </c>
      <c r="J107" s="55">
        <f>'Dados'!$F$305</f>
        <v/>
      </c>
    </row>
    <row r="108" ht="13.5" customHeight="1">
      <c r="A108" s="56">
        <f>'Dados'!$A$302</f>
        <v/>
      </c>
      <c r="B108" s="58">
        <f>'Dados'!$B$302</f>
        <v/>
      </c>
      <c r="E108" s="58">
        <f>'Dados'!$F$302</f>
        <v/>
      </c>
      <c r="H108" s="68">
        <f>'Dados'!$A$306</f>
        <v/>
      </c>
      <c r="I108" s="58">
        <f>'Dados'!$B$306</f>
        <v/>
      </c>
      <c r="J108" s="58">
        <f>'Dados'!$F$306</f>
        <v/>
      </c>
    </row>
    <row r="109" ht="13.5" customHeight="1">
      <c r="A109" s="53">
        <f>'Dados'!$A$303</f>
        <v/>
      </c>
      <c r="B109" s="55">
        <f>'Dados'!$B$303</f>
        <v/>
      </c>
      <c r="E109" s="55">
        <f>'Dados'!$F$303</f>
        <v/>
      </c>
      <c r="H109" s="67">
        <f>'Dados'!$A$307</f>
        <v/>
      </c>
      <c r="I109" s="55">
        <f>'Dados'!$B$307</f>
        <v/>
      </c>
      <c r="J109" s="55">
        <f>'Dados'!$F$307</f>
        <v/>
      </c>
    </row>
    <row r="110" ht="13.5" customHeight="1">
      <c r="A110" s="56">
        <f>'Dados'!$A$304</f>
        <v/>
      </c>
      <c r="B110" s="58">
        <f>'Dados'!$B$304</f>
        <v/>
      </c>
      <c r="E110" s="58">
        <f>'Dados'!$F$304</f>
        <v/>
      </c>
      <c r="H110" s="30" t="n"/>
      <c r="I110" s="30" t="n"/>
      <c r="J110" s="30" t="n"/>
    </row>
    <row r="111" ht="13.5" customHeight="1">
      <c r="A111" s="65" t="inlineStr">
        <is>
          <t>— Escudo do Mestre · página 4 de 5 · Pessoas: condições, Morrendo e PV temporários —</t>
        </is>
      </c>
    </row>
    <row r="112" ht="15" customHeight="1">
      <c r="A112" s="51" t="inlineStr">
        <is>
          <t>Condições — 21.5 (cura não remove condição; acúmulos no máximo 5)</t>
        </is>
      </c>
    </row>
    <row r="113" ht="13.5" customHeight="1">
      <c r="A113" s="52" t="inlineStr">
        <is>
          <t>Condição</t>
        </is>
      </c>
      <c r="B113" s="52" t="inlineStr">
        <is>
          <t>Efeito</t>
        </is>
      </c>
      <c r="C113" s="20" t="n"/>
      <c r="D113" s="20" t="n"/>
      <c r="E113" s="20" t="n"/>
      <c r="F113" s="20" t="n"/>
      <c r="G113" s="20" t="n"/>
      <c r="H113" s="20" t="n"/>
      <c r="I113" s="52" t="inlineStr">
        <is>
          <t>Duração</t>
        </is>
      </c>
      <c r="J113" s="52" t="inlineStr">
        <is>
          <t>Acúmulo</t>
        </is>
      </c>
    </row>
    <row r="114" ht="13.5" customHeight="1">
      <c r="A114" s="53">
        <f>'Dados'!$A$324</f>
        <v/>
      </c>
      <c r="B114" s="55">
        <f>'Dados'!$B$324</f>
        <v/>
      </c>
      <c r="I114" s="54">
        <f>'Dados'!$C$324</f>
        <v/>
      </c>
      <c r="J114" s="54">
        <f>'Dados'!$D$324</f>
        <v/>
      </c>
    </row>
    <row r="115" ht="13.5" customHeight="1">
      <c r="A115" s="56">
        <f>'Dados'!$A$325</f>
        <v/>
      </c>
      <c r="B115" s="58">
        <f>'Dados'!$B$325</f>
        <v/>
      </c>
      <c r="I115" s="57">
        <f>'Dados'!$C$325</f>
        <v/>
      </c>
      <c r="J115" s="57">
        <f>'Dados'!$D$325</f>
        <v/>
      </c>
    </row>
    <row r="116" ht="13.5" customHeight="1">
      <c r="A116" s="53">
        <f>'Dados'!$A$326</f>
        <v/>
      </c>
      <c r="B116" s="55">
        <f>'Dados'!$B$326</f>
        <v/>
      </c>
      <c r="I116" s="54">
        <f>'Dados'!$C$326</f>
        <v/>
      </c>
      <c r="J116" s="54">
        <f>'Dados'!$D$326</f>
        <v/>
      </c>
    </row>
    <row r="117" ht="24" customHeight="1">
      <c r="A117" s="56">
        <f>'Dados'!$A$327</f>
        <v/>
      </c>
      <c r="B117" s="58">
        <f>'Dados'!$B$327</f>
        <v/>
      </c>
      <c r="I117" s="57">
        <f>'Dados'!$C$327</f>
        <v/>
      </c>
      <c r="J117" s="57">
        <f>'Dados'!$D$327</f>
        <v/>
      </c>
    </row>
    <row r="118" ht="13.5" customHeight="1">
      <c r="A118" s="53">
        <f>'Dados'!$A$328</f>
        <v/>
      </c>
      <c r="B118" s="55">
        <f>'Dados'!$B$328</f>
        <v/>
      </c>
      <c r="I118" s="54">
        <f>'Dados'!$C$328</f>
        <v/>
      </c>
      <c r="J118" s="54">
        <f>'Dados'!$D$328</f>
        <v/>
      </c>
    </row>
    <row r="119" ht="13.5" customHeight="1">
      <c r="A119" s="56">
        <f>'Dados'!$A$329</f>
        <v/>
      </c>
      <c r="B119" s="58">
        <f>'Dados'!$B$329</f>
        <v/>
      </c>
      <c r="I119" s="57">
        <f>'Dados'!$C$329</f>
        <v/>
      </c>
      <c r="J119" s="57">
        <f>'Dados'!$D$329</f>
        <v/>
      </c>
    </row>
    <row r="120" ht="35" customHeight="1">
      <c r="A120" s="53">
        <f>'Dados'!$A$330</f>
        <v/>
      </c>
      <c r="B120" s="55">
        <f>'Dados'!$B$330</f>
        <v/>
      </c>
      <c r="I120" s="54">
        <f>'Dados'!$C$330</f>
        <v/>
      </c>
      <c r="J120" s="54">
        <f>'Dados'!$D$330</f>
        <v/>
      </c>
    </row>
    <row r="121" ht="13.5" customHeight="1">
      <c r="A121" s="56">
        <f>'Dados'!$A$331</f>
        <v/>
      </c>
      <c r="B121" s="58">
        <f>'Dados'!$B$331</f>
        <v/>
      </c>
      <c r="I121" s="57">
        <f>'Dados'!$C$331</f>
        <v/>
      </c>
      <c r="J121" s="57">
        <f>'Dados'!$D$331</f>
        <v/>
      </c>
    </row>
    <row r="122" ht="13.5" customHeight="1">
      <c r="A122" s="52" t="inlineStr">
        <is>
          <t>Condição</t>
        </is>
      </c>
      <c r="B122" s="52" t="inlineStr">
        <is>
          <t>Efeito</t>
        </is>
      </c>
      <c r="C122" s="20" t="n"/>
      <c r="D122" s="20" t="n"/>
      <c r="E122" s="20" t="n"/>
      <c r="F122" s="20" t="n"/>
      <c r="G122" s="20" t="n"/>
      <c r="H122" s="20" t="n"/>
      <c r="I122" s="52" t="inlineStr">
        <is>
          <t>Duração</t>
        </is>
      </c>
      <c r="J122" s="52" t="inlineStr">
        <is>
          <t>Acúmulo</t>
        </is>
      </c>
    </row>
    <row r="123" ht="24" customHeight="1">
      <c r="A123" s="53">
        <f>'Dados'!$A$332</f>
        <v/>
      </c>
      <c r="B123" s="55">
        <f>'Dados'!$B$332</f>
        <v/>
      </c>
      <c r="I123" s="54">
        <f>'Dados'!$C$332</f>
        <v/>
      </c>
      <c r="J123" s="54">
        <f>'Dados'!$D$332</f>
        <v/>
      </c>
    </row>
    <row r="124" ht="13.5" customHeight="1">
      <c r="A124" s="56">
        <f>'Dados'!$A$333</f>
        <v/>
      </c>
      <c r="B124" s="58">
        <f>'Dados'!$B$333</f>
        <v/>
      </c>
      <c r="I124" s="57">
        <f>'Dados'!$C$333</f>
        <v/>
      </c>
      <c r="J124" s="57">
        <f>'Dados'!$D$333</f>
        <v/>
      </c>
    </row>
    <row r="125" ht="13.5" customHeight="1">
      <c r="A125" s="53">
        <f>'Dados'!$A$334</f>
        <v/>
      </c>
      <c r="B125" s="55">
        <f>'Dados'!$B$334</f>
        <v/>
      </c>
      <c r="I125" s="54">
        <f>'Dados'!$C$334</f>
        <v/>
      </c>
      <c r="J125" s="54">
        <f>'Dados'!$D$334</f>
        <v/>
      </c>
    </row>
    <row r="126" ht="13.5" customHeight="1">
      <c r="A126" s="56">
        <f>'Dados'!$A$335</f>
        <v/>
      </c>
      <c r="B126" s="58">
        <f>'Dados'!$B$335</f>
        <v/>
      </c>
      <c r="I126" s="57">
        <f>'Dados'!$C$335</f>
        <v/>
      </c>
      <c r="J126" s="57">
        <f>'Dados'!$D$335</f>
        <v/>
      </c>
    </row>
    <row r="127" ht="13.5" customHeight="1">
      <c r="A127" s="53">
        <f>'Dados'!$A$336</f>
        <v/>
      </c>
      <c r="B127" s="55">
        <f>'Dados'!$B$336</f>
        <v/>
      </c>
      <c r="I127" s="54">
        <f>'Dados'!$C$336</f>
        <v/>
      </c>
      <c r="J127" s="54">
        <f>'Dados'!$D$336</f>
        <v/>
      </c>
    </row>
    <row r="128" ht="24" customHeight="1">
      <c r="A128" s="56">
        <f>'Dados'!$A$337</f>
        <v/>
      </c>
      <c r="B128" s="58">
        <f>'Dados'!$B$337</f>
        <v/>
      </c>
      <c r="I128" s="57">
        <f>'Dados'!$C$337</f>
        <v/>
      </c>
      <c r="J128" s="57">
        <f>'Dados'!$D$337</f>
        <v/>
      </c>
    </row>
    <row r="129" ht="13.5" customHeight="1">
      <c r="A129" s="53">
        <f>'Dados'!$A$338</f>
        <v/>
      </c>
      <c r="B129" s="55">
        <f>'Dados'!$B$338</f>
        <v/>
      </c>
      <c r="I129" s="54">
        <f>'Dados'!$C$338</f>
        <v/>
      </c>
      <c r="J129" s="54">
        <f>'Dados'!$D$338</f>
        <v/>
      </c>
    </row>
    <row r="130" ht="24" customHeight="1">
      <c r="A130" s="56">
        <f>'Dados'!$A$339</f>
        <v/>
      </c>
      <c r="B130" s="58">
        <f>'Dados'!$B$339</f>
        <v/>
      </c>
      <c r="I130" s="57">
        <f>'Dados'!$C$339</f>
        <v/>
      </c>
      <c r="J130" s="57">
        <f>'Dados'!$D$339</f>
        <v/>
      </c>
    </row>
    <row r="131" ht="15" customHeight="1">
      <c r="A131" s="51" t="inlineStr">
        <is>
          <t>Morrendo — 23.4</t>
        </is>
      </c>
      <c r="G131" s="51" t="inlineStr">
        <is>
          <t>Executado — 23.5</t>
        </is>
      </c>
    </row>
    <row r="132" ht="45" customHeight="1">
      <c r="A132" s="55">
        <f>'Dados'!$C$778</f>
        <v/>
      </c>
      <c r="G132" s="55">
        <f>'Dados'!$C$779&amp;" "&amp;'Dados'!$C$812</f>
        <v/>
      </c>
    </row>
    <row r="133" ht="13.5" customHeight="1">
      <c r="A133" s="52" t="inlineStr">
        <is>
          <t>Resultado</t>
        </is>
      </c>
      <c r="B133" s="52" t="inlineStr">
        <is>
          <t>Efeito</t>
        </is>
      </c>
      <c r="C133" s="20" t="n"/>
      <c r="D133" s="20" t="n"/>
      <c r="E133" s="20" t="n"/>
      <c r="F133" s="20" t="n"/>
    </row>
    <row r="134" ht="13.5" customHeight="1">
      <c r="A134" s="53">
        <f>'Dados'!$A$654</f>
        <v/>
      </c>
      <c r="B134" s="55">
        <f>'Dados'!$B$654</f>
        <v/>
      </c>
    </row>
    <row r="135" ht="24" customHeight="1">
      <c r="A135" s="56">
        <f>'Dados'!$A$655</f>
        <v/>
      </c>
      <c r="B135" s="58">
        <f>'Dados'!$B$655</f>
        <v/>
      </c>
      <c r="G135" s="55">
        <f>'Dados'!$C$783</f>
        <v/>
      </c>
    </row>
    <row r="136" ht="24" customHeight="1">
      <c r="A136" s="53">
        <f>'Dados'!$A$656</f>
        <v/>
      </c>
      <c r="B136" s="55">
        <f>'Dados'!$B$656</f>
        <v/>
      </c>
    </row>
    <row r="137" ht="24" customHeight="1">
      <c r="A137" s="56">
        <f>'Dados'!$A$657</f>
        <v/>
      </c>
      <c r="B137" s="58">
        <f>'Dados'!$B$657</f>
        <v/>
      </c>
    </row>
    <row r="138" ht="13.5" customHeight="1">
      <c r="A138" s="53">
        <f>'Dados'!$A$658</f>
        <v/>
      </c>
      <c r="B138" s="55">
        <f>'Dados'!$B$658</f>
        <v/>
      </c>
    </row>
    <row r="139" ht="13.5" customHeight="1">
      <c r="A139" s="56">
        <f>'Dados'!$A$659</f>
        <v/>
      </c>
      <c r="B139" s="58">
        <f>'Dados'!$B$659</f>
        <v/>
      </c>
    </row>
    <row r="140" ht="15" customHeight="1">
      <c r="A140" s="51" t="inlineStr">
        <is>
          <t>Teto de PV temporários — 23.3</t>
        </is>
      </c>
    </row>
    <row r="141" ht="13.5" customHeight="1">
      <c r="A141" s="65" t="inlineStr">
        <is>
          <t>Níveis</t>
        </is>
      </c>
      <c r="B141" s="54">
        <f>'Dados'!$A$676</f>
        <v/>
      </c>
      <c r="C141" s="54">
        <f>'Dados'!$A$677</f>
        <v/>
      </c>
      <c r="D141" s="54">
        <f>'Dados'!$A$678</f>
        <v/>
      </c>
      <c r="E141" s="54">
        <f>'Dados'!$A$679</f>
        <v/>
      </c>
      <c r="F141" s="54">
        <f>'Dados'!$A$680</f>
        <v/>
      </c>
      <c r="G141" s="54">
        <f>'Dados'!$A$681</f>
        <v/>
      </c>
      <c r="H141" s="54">
        <f>'Dados'!$A$682</f>
        <v/>
      </c>
    </row>
    <row r="142" ht="13.5" customHeight="1">
      <c r="A142" s="65" t="inlineStr">
        <is>
          <t>Teto</t>
        </is>
      </c>
      <c r="B142" s="54">
        <f>'Dados'!$D$676</f>
        <v/>
      </c>
      <c r="C142" s="54">
        <f>'Dados'!$D$677</f>
        <v/>
      </c>
      <c r="D142" s="54">
        <f>'Dados'!$D$678</f>
        <v/>
      </c>
      <c r="E142" s="54">
        <f>'Dados'!$D$679</f>
        <v/>
      </c>
      <c r="F142" s="54">
        <f>'Dados'!$D$680</f>
        <v/>
      </c>
      <c r="G142" s="54">
        <f>'Dados'!$D$681</f>
        <v/>
      </c>
      <c r="H142" s="54">
        <f>'Dados'!$D$682</f>
        <v/>
      </c>
    </row>
    <row r="143" ht="13.5" customHeight="1">
      <c r="A143" s="55">
        <f>'Dados'!$C$784</f>
        <v/>
      </c>
    </row>
    <row r="144" ht="13.5" customHeight="1">
      <c r="A144" s="50" t="inlineStr">
        <is>
          <t>— Escudo do Mestre · página 5 de 5 · Mesa: Energia, tetos e casos-limite —</t>
        </is>
      </c>
    </row>
    <row r="145" ht="15" customHeight="1">
      <c r="A145" s="51" t="inlineStr">
        <is>
          <t>De onde vem a Energia — 17.2</t>
        </is>
      </c>
      <c r="G145" s="51" t="inlineStr">
        <is>
          <t>Tetos que a mesa esquece — 29.12</t>
        </is>
      </c>
    </row>
    <row r="146" ht="13.5" customHeight="1">
      <c r="A146" s="52" t="inlineStr">
        <is>
          <t>Fonte</t>
        </is>
      </c>
      <c r="B146" s="20" t="n"/>
      <c r="C146" s="20" t="n"/>
      <c r="D146" s="52" t="inlineStr">
        <is>
          <t>Energia</t>
        </is>
      </c>
      <c r="E146" s="52" t="inlineStr">
        <is>
          <t>Limite</t>
        </is>
      </c>
      <c r="F146" s="20" t="n"/>
      <c r="G146" s="55">
        <f>'Dados'!$A$714</f>
        <v/>
      </c>
    </row>
    <row r="147" ht="13.5" customHeight="1">
      <c r="A147" s="53">
        <f>'Dados'!$A$608</f>
        <v/>
      </c>
      <c r="D147" s="54">
        <f>'Dados'!$B$608</f>
        <v/>
      </c>
      <c r="E147" s="55">
        <f>'Dados'!$C$608</f>
        <v/>
      </c>
      <c r="G147" s="55">
        <f>'Dados'!$A$715</f>
        <v/>
      </c>
    </row>
    <row r="148" ht="13.5" customHeight="1">
      <c r="A148" s="56">
        <f>'Dados'!$A$609</f>
        <v/>
      </c>
      <c r="D148" s="57">
        <f>'Dados'!$B$609</f>
        <v/>
      </c>
      <c r="E148" s="58">
        <f>'Dados'!$C$609</f>
        <v/>
      </c>
      <c r="G148" s="55">
        <f>'Dados'!$A$716</f>
        <v/>
      </c>
    </row>
    <row r="149" ht="13.5" customHeight="1">
      <c r="A149" s="53">
        <f>'Dados'!$A$610</f>
        <v/>
      </c>
      <c r="D149" s="54">
        <f>'Dados'!$B$610</f>
        <v/>
      </c>
      <c r="E149" s="55">
        <f>'Dados'!$C$610</f>
        <v/>
      </c>
      <c r="G149" s="55">
        <f>'Dados'!$A$717</f>
        <v/>
      </c>
    </row>
    <row r="150" ht="13.5" customHeight="1">
      <c r="A150" s="56">
        <f>'Dados'!$A$611</f>
        <v/>
      </c>
      <c r="D150" s="57">
        <f>'Dados'!$B$611</f>
        <v/>
      </c>
      <c r="E150" s="58">
        <f>'Dados'!$C$611</f>
        <v/>
      </c>
      <c r="G150" s="55">
        <f>'Dados'!$A$718</f>
        <v/>
      </c>
    </row>
    <row r="151" ht="13.5" customHeight="1">
      <c r="A151" s="53">
        <f>'Dados'!$A$612</f>
        <v/>
      </c>
      <c r="D151" s="54">
        <f>'Dados'!$B$612</f>
        <v/>
      </c>
      <c r="E151" s="55">
        <f>'Dados'!$C$612</f>
        <v/>
      </c>
      <c r="G151" s="55">
        <f>'Dados'!$A$719</f>
        <v/>
      </c>
    </row>
    <row r="152" ht="13.5" customHeight="1">
      <c r="A152" s="56">
        <f>'Dados'!$A$613</f>
        <v/>
      </c>
      <c r="D152" s="57">
        <f>'Dados'!$B$613</f>
        <v/>
      </c>
      <c r="E152" s="58">
        <f>'Dados'!$C$613</f>
        <v/>
      </c>
      <c r="G152" s="55">
        <f>'Dados'!$A$720</f>
        <v/>
      </c>
    </row>
    <row r="153" ht="45" customHeight="1">
      <c r="A153" s="53">
        <f>'Dados'!$A$614</f>
        <v/>
      </c>
      <c r="D153" s="54">
        <f>'Dados'!$B$614</f>
        <v/>
      </c>
      <c r="E153" s="55">
        <f>'Dados'!$C$614</f>
        <v/>
      </c>
      <c r="G153" s="55">
        <f>'Dados'!$C$792&amp;" "&amp;'Dados'!$C$793</f>
        <v/>
      </c>
    </row>
    <row r="154" ht="77" customHeight="1">
      <c r="A154" s="56">
        <f>'Dados'!$A$615</f>
        <v/>
      </c>
      <c r="D154" s="57">
        <f>'Dados'!$B$615</f>
        <v/>
      </c>
      <c r="E154" s="58">
        <f>'Dados'!$C$615</f>
        <v/>
      </c>
    </row>
    <row r="155" ht="13.5" customHeight="1">
      <c r="A155" s="53">
        <f>'Dados'!$C$787</f>
        <v/>
      </c>
    </row>
    <row r="156" ht="15" customHeight="1">
      <c r="A156" s="51" t="inlineStr">
        <is>
          <t>Casos-limite de mesa — 27.10 (a seleção que cabe; a tabela inteira está na aba Dados)</t>
        </is>
      </c>
    </row>
    <row r="157" ht="13.5" customHeight="1">
      <c r="A157" s="52" t="inlineStr">
        <is>
          <t>Operação</t>
        </is>
      </c>
      <c r="B157" s="20" t="n"/>
      <c r="C157" s="52" t="inlineStr">
        <is>
          <t>Quando falha</t>
        </is>
      </c>
      <c r="D157" s="20" t="n"/>
      <c r="E157" s="52" t="inlineStr">
        <is>
          <t>O que acontece</t>
        </is>
      </c>
      <c r="F157" s="20" t="n"/>
      <c r="G157" s="20" t="n"/>
      <c r="H157" s="20" t="n"/>
      <c r="I157" s="20" t="n"/>
      <c r="J157" s="20" t="n"/>
    </row>
    <row r="158" ht="24" customHeight="1">
      <c r="A158" s="53">
        <f>'Dados'!$A$686</f>
        <v/>
      </c>
      <c r="C158" s="55">
        <f>'Dados'!$B$686</f>
        <v/>
      </c>
      <c r="E158" s="55">
        <f>'Dados'!$C$686</f>
        <v/>
      </c>
    </row>
    <row r="159" ht="13.5" customHeight="1">
      <c r="A159" s="56">
        <f>'Dados'!$A$687</f>
        <v/>
      </c>
      <c r="C159" s="58">
        <f>'Dados'!$B$687</f>
        <v/>
      </c>
      <c r="E159" s="58">
        <f>'Dados'!$C$687</f>
        <v/>
      </c>
    </row>
    <row r="160" ht="13.5" customHeight="1">
      <c r="A160" s="53">
        <f>'Dados'!$A$688</f>
        <v/>
      </c>
      <c r="C160" s="55">
        <f>'Dados'!$B$688</f>
        <v/>
      </c>
      <c r="E160" s="55">
        <f>'Dados'!$C$688</f>
        <v/>
      </c>
    </row>
    <row r="161" ht="13.5" customHeight="1">
      <c r="A161" s="56">
        <f>'Dados'!$A$689</f>
        <v/>
      </c>
      <c r="C161" s="58">
        <f>'Dados'!$B$689</f>
        <v/>
      </c>
      <c r="E161" s="58">
        <f>'Dados'!$C$689</f>
        <v/>
      </c>
    </row>
    <row r="162" ht="24" customHeight="1">
      <c r="A162" s="53">
        <f>'Dados'!$A$690</f>
        <v/>
      </c>
      <c r="C162" s="55">
        <f>'Dados'!$B$690</f>
        <v/>
      </c>
      <c r="E162" s="55">
        <f>'Dados'!$C$690</f>
        <v/>
      </c>
    </row>
    <row r="163" ht="13.5" customHeight="1">
      <c r="A163" s="56">
        <f>'Dados'!$A$691</f>
        <v/>
      </c>
      <c r="C163" s="58">
        <f>'Dados'!$B$691</f>
        <v/>
      </c>
      <c r="E163" s="58">
        <f>'Dados'!$C$691</f>
        <v/>
      </c>
    </row>
    <row r="164" ht="13.5" customHeight="1">
      <c r="A164" s="53">
        <f>'Dados'!$A$692</f>
        <v/>
      </c>
      <c r="C164" s="55">
        <f>'Dados'!$B$692</f>
        <v/>
      </c>
      <c r="E164" s="55">
        <f>'Dados'!$C$692</f>
        <v/>
      </c>
    </row>
    <row r="165" ht="13.5" customHeight="1">
      <c r="A165" s="56">
        <f>'Dados'!$A$694</f>
        <v/>
      </c>
      <c r="C165" s="58">
        <f>'Dados'!$B$694</f>
        <v/>
      </c>
      <c r="E165" s="58">
        <f>'Dados'!$C$694</f>
        <v/>
      </c>
    </row>
    <row r="166" ht="24" customHeight="1">
      <c r="A166" s="53">
        <f>'Dados'!$A$695</f>
        <v/>
      </c>
      <c r="C166" s="55">
        <f>'Dados'!$B$695</f>
        <v/>
      </c>
      <c r="E166" s="55">
        <f>'Dados'!$C$695</f>
        <v/>
      </c>
    </row>
    <row r="167" ht="24" customHeight="1">
      <c r="A167" s="56">
        <f>'Dados'!$A$696</f>
        <v/>
      </c>
      <c r="C167" s="58">
        <f>'Dados'!$B$696</f>
        <v/>
      </c>
      <c r="E167" s="58">
        <f>'Dados'!$C$696</f>
        <v/>
      </c>
    </row>
    <row r="168" ht="24" customHeight="1">
      <c r="A168" s="53">
        <f>'Dados'!$A$697</f>
        <v/>
      </c>
      <c r="C168" s="55">
        <f>'Dados'!$B$697</f>
        <v/>
      </c>
      <c r="E168" s="55">
        <f>'Dados'!$C$697</f>
        <v/>
      </c>
    </row>
    <row r="169" ht="13.5" customHeight="1">
      <c r="A169" s="56">
        <f>'Dados'!$A$698</f>
        <v/>
      </c>
      <c r="C169" s="58">
        <f>'Dados'!$B$698</f>
        <v/>
      </c>
      <c r="E169" s="58">
        <f>'Dados'!$C$698</f>
        <v/>
      </c>
    </row>
    <row r="170" ht="13.5" customHeight="1">
      <c r="A170" s="52" t="inlineStr">
        <is>
          <t>Operação</t>
        </is>
      </c>
      <c r="B170" s="20" t="n"/>
      <c r="C170" s="52" t="inlineStr">
        <is>
          <t>Quando falha</t>
        </is>
      </c>
      <c r="D170" s="20" t="n"/>
      <c r="E170" s="52" t="inlineStr">
        <is>
          <t>O que acontece</t>
        </is>
      </c>
      <c r="F170" s="20" t="n"/>
      <c r="G170" s="20" t="n"/>
      <c r="H170" s="20" t="n"/>
      <c r="I170" s="20" t="n"/>
      <c r="J170" s="20" t="n"/>
    </row>
    <row r="171" ht="13.5" customHeight="1">
      <c r="A171" s="53">
        <f>'Dados'!$A$699</f>
        <v/>
      </c>
      <c r="C171" s="55">
        <f>'Dados'!$B$699</f>
        <v/>
      </c>
      <c r="E171" s="55">
        <f>'Dados'!$C$699</f>
        <v/>
      </c>
    </row>
    <row r="172" ht="13.5" customHeight="1">
      <c r="A172" s="56">
        <f>'Dados'!$A$700</f>
        <v/>
      </c>
      <c r="C172" s="58">
        <f>'Dados'!$B$700</f>
        <v/>
      </c>
      <c r="E172" s="58">
        <f>'Dados'!$C$700</f>
        <v/>
      </c>
    </row>
    <row r="173" ht="13.5" customHeight="1">
      <c r="A173" s="66" t="inlineStr">
        <is>
          <t>Explorando Galáxias v1.2 · referência do Mestre · em dúvida, o capítulo vence</t>
        </is>
      </c>
    </row>
  </sheetData>
  <mergeCells count="287">
    <mergeCell ref="A23:J23"/>
    <mergeCell ref="B127:H127"/>
    <mergeCell ref="C62:D62"/>
    <mergeCell ref="A84:F84"/>
    <mergeCell ref="E62:F62"/>
    <mergeCell ref="A89:C89"/>
    <mergeCell ref="E71:F71"/>
    <mergeCell ref="G62:I62"/>
    <mergeCell ref="G135:J135"/>
    <mergeCell ref="A156:J156"/>
    <mergeCell ref="E167:J167"/>
    <mergeCell ref="C172:D172"/>
    <mergeCell ref="D98:J98"/>
    <mergeCell ref="E108:G108"/>
    <mergeCell ref="G150:J150"/>
    <mergeCell ref="G32:J32"/>
    <mergeCell ref="A162:B162"/>
    <mergeCell ref="C162:D162"/>
    <mergeCell ref="E73:F73"/>
    <mergeCell ref="A155:J155"/>
    <mergeCell ref="C171:D171"/>
    <mergeCell ref="B108:D108"/>
    <mergeCell ref="I16:J16"/>
    <mergeCell ref="E153:F153"/>
    <mergeCell ref="E169:J169"/>
    <mergeCell ref="C63:D63"/>
    <mergeCell ref="G65:I65"/>
    <mergeCell ref="A172:B172"/>
    <mergeCell ref="A32:F32"/>
    <mergeCell ref="E63:F63"/>
    <mergeCell ref="A77:J77"/>
    <mergeCell ref="G81:J81"/>
    <mergeCell ref="B129:H129"/>
    <mergeCell ref="A164:B164"/>
    <mergeCell ref="C164:D164"/>
    <mergeCell ref="A91:C91"/>
    <mergeCell ref="G18:H18"/>
    <mergeCell ref="E162:J162"/>
    <mergeCell ref="G71:J71"/>
    <mergeCell ref="I18:J18"/>
    <mergeCell ref="D90:J90"/>
    <mergeCell ref="G63:I63"/>
    <mergeCell ref="A81:F81"/>
    <mergeCell ref="B122:H122"/>
    <mergeCell ref="G145:J145"/>
    <mergeCell ref="G34:H34"/>
    <mergeCell ref="E148:F148"/>
    <mergeCell ref="A163:B163"/>
    <mergeCell ref="C163:D163"/>
    <mergeCell ref="E159:J159"/>
    <mergeCell ref="A93:C93"/>
    <mergeCell ref="C27:D27"/>
    <mergeCell ref="E164:J164"/>
    <mergeCell ref="E27:F27"/>
    <mergeCell ref="B130:H130"/>
    <mergeCell ref="G147:J147"/>
    <mergeCell ref="A148:C148"/>
    <mergeCell ref="E106:G106"/>
    <mergeCell ref="A15:F15"/>
    <mergeCell ref="A64:F64"/>
    <mergeCell ref="A24:F24"/>
    <mergeCell ref="A62:B62"/>
    <mergeCell ref="G20:H20"/>
    <mergeCell ref="A82:F82"/>
    <mergeCell ref="G146:J146"/>
    <mergeCell ref="I20:J20"/>
    <mergeCell ref="C158:D158"/>
    <mergeCell ref="B133:F133"/>
    <mergeCell ref="A70:F70"/>
    <mergeCell ref="C28:D28"/>
    <mergeCell ref="E75:F75"/>
    <mergeCell ref="B116:H116"/>
    <mergeCell ref="G84:H84"/>
    <mergeCell ref="E146:F146"/>
    <mergeCell ref="E171:J171"/>
    <mergeCell ref="E107:G107"/>
    <mergeCell ref="B135:F135"/>
    <mergeCell ref="A167:B167"/>
    <mergeCell ref="A5:J5"/>
    <mergeCell ref="G12:H12"/>
    <mergeCell ref="A99:F99"/>
    <mergeCell ref="A14:J14"/>
    <mergeCell ref="C30:D30"/>
    <mergeCell ref="B118:H118"/>
    <mergeCell ref="B107:D107"/>
    <mergeCell ref="B134:F134"/>
    <mergeCell ref="G69:I69"/>
    <mergeCell ref="G29:J29"/>
    <mergeCell ref="G85:J85"/>
    <mergeCell ref="G100:J100"/>
    <mergeCell ref="A169:B169"/>
    <mergeCell ref="A101:F101"/>
    <mergeCell ref="A3:L3"/>
    <mergeCell ref="A61:B61"/>
    <mergeCell ref="A95:C95"/>
    <mergeCell ref="E157:J157"/>
    <mergeCell ref="E166:J166"/>
    <mergeCell ref="D89:J89"/>
    <mergeCell ref="A85:F85"/>
    <mergeCell ref="G149:J149"/>
    <mergeCell ref="A31:J31"/>
    <mergeCell ref="E147:F147"/>
    <mergeCell ref="G7:H7"/>
    <mergeCell ref="G38:H38"/>
    <mergeCell ref="A40:J40"/>
    <mergeCell ref="I7:J7"/>
    <mergeCell ref="A58:J58"/>
    <mergeCell ref="G102:J102"/>
    <mergeCell ref="E163:J163"/>
    <mergeCell ref="A97:C97"/>
    <mergeCell ref="G21:J21"/>
    <mergeCell ref="E168:J168"/>
    <mergeCell ref="G64:I64"/>
    <mergeCell ref="B125:H125"/>
    <mergeCell ref="G151:J151"/>
    <mergeCell ref="A96:C96"/>
    <mergeCell ref="A147:C147"/>
    <mergeCell ref="B121:H121"/>
    <mergeCell ref="G70:J70"/>
    <mergeCell ref="C60:D60"/>
    <mergeCell ref="B110:D110"/>
    <mergeCell ref="D96:J96"/>
    <mergeCell ref="G33:H33"/>
    <mergeCell ref="E109:G109"/>
    <mergeCell ref="I33:J33"/>
    <mergeCell ref="I8:J8"/>
    <mergeCell ref="E26:F26"/>
    <mergeCell ref="B109:D109"/>
    <mergeCell ref="I17:J17"/>
    <mergeCell ref="B120:H120"/>
    <mergeCell ref="A59:F59"/>
    <mergeCell ref="E154:F154"/>
    <mergeCell ref="G35:H35"/>
    <mergeCell ref="I35:J35"/>
    <mergeCell ref="A171:B171"/>
    <mergeCell ref="A165:B165"/>
    <mergeCell ref="G16:H16"/>
    <mergeCell ref="E25:F25"/>
    <mergeCell ref="I10:J10"/>
    <mergeCell ref="A63:B63"/>
    <mergeCell ref="C165:D165"/>
    <mergeCell ref="D91:J91"/>
    <mergeCell ref="I19:J19"/>
    <mergeCell ref="A146:C146"/>
    <mergeCell ref="G24:J24"/>
    <mergeCell ref="G148:J148"/>
    <mergeCell ref="A86:J86"/>
    <mergeCell ref="G9:H9"/>
    <mergeCell ref="G104:J104"/>
    <mergeCell ref="I9:J9"/>
    <mergeCell ref="D93:J93"/>
    <mergeCell ref="A157:B157"/>
    <mergeCell ref="E170:J170"/>
    <mergeCell ref="A173:J173"/>
    <mergeCell ref="G66:I66"/>
    <mergeCell ref="G26:J26"/>
    <mergeCell ref="B72:C72"/>
    <mergeCell ref="A22:J22"/>
    <mergeCell ref="C157:D157"/>
    <mergeCell ref="A166:B166"/>
    <mergeCell ref="E151:F151"/>
    <mergeCell ref="G11:H11"/>
    <mergeCell ref="A144:J144"/>
    <mergeCell ref="A149:C149"/>
    <mergeCell ref="I11:J11"/>
    <mergeCell ref="C160:D160"/>
    <mergeCell ref="C166:D166"/>
    <mergeCell ref="D92:J92"/>
    <mergeCell ref="A145:F145"/>
    <mergeCell ref="B124:H124"/>
    <mergeCell ref="G25:J25"/>
    <mergeCell ref="B71:C71"/>
    <mergeCell ref="G68:I68"/>
    <mergeCell ref="E150:F150"/>
    <mergeCell ref="A112:J112"/>
    <mergeCell ref="G99:J99"/>
    <mergeCell ref="A168:B168"/>
    <mergeCell ref="A151:C151"/>
    <mergeCell ref="G131:J131"/>
    <mergeCell ref="C29:D29"/>
    <mergeCell ref="D94:J94"/>
    <mergeCell ref="E29:F29"/>
    <mergeCell ref="B126:H126"/>
    <mergeCell ref="E152:F152"/>
    <mergeCell ref="B136:F136"/>
    <mergeCell ref="G37:H37"/>
    <mergeCell ref="A150:C150"/>
    <mergeCell ref="G59:J59"/>
    <mergeCell ref="I37:J37"/>
    <mergeCell ref="A131:F131"/>
    <mergeCell ref="A100:F100"/>
    <mergeCell ref="A140:F140"/>
    <mergeCell ref="E149:F149"/>
    <mergeCell ref="D33:F33"/>
    <mergeCell ref="A152:C152"/>
    <mergeCell ref="A79:J79"/>
    <mergeCell ref="A88:J88"/>
    <mergeCell ref="G132:J132"/>
    <mergeCell ref="A102:F102"/>
    <mergeCell ref="D35:F35"/>
    <mergeCell ref="C61:D61"/>
    <mergeCell ref="A83:F83"/>
    <mergeCell ref="D95:J95"/>
    <mergeCell ref="E61:F61"/>
    <mergeCell ref="G101:J101"/>
    <mergeCell ref="B137:F137"/>
    <mergeCell ref="G103:J103"/>
    <mergeCell ref="D34:F34"/>
    <mergeCell ref="G13:J13"/>
    <mergeCell ref="A98:C98"/>
    <mergeCell ref="E160:J160"/>
    <mergeCell ref="D97:J97"/>
    <mergeCell ref="B139:F139"/>
    <mergeCell ref="E72:F72"/>
    <mergeCell ref="C161:D161"/>
    <mergeCell ref="A103:F103"/>
    <mergeCell ref="G152:J152"/>
    <mergeCell ref="A170:B170"/>
    <mergeCell ref="C170:D170"/>
    <mergeCell ref="A153:C153"/>
    <mergeCell ref="G15:J15"/>
    <mergeCell ref="B128:H128"/>
    <mergeCell ref="A76:J76"/>
    <mergeCell ref="B75:C75"/>
    <mergeCell ref="B138:F138"/>
    <mergeCell ref="I34:J34"/>
    <mergeCell ref="A90:C90"/>
    <mergeCell ref="E161:J161"/>
    <mergeCell ref="A60:B60"/>
    <mergeCell ref="G153:J153"/>
    <mergeCell ref="G36:H36"/>
    <mergeCell ref="A154:C154"/>
    <mergeCell ref="I36:J36"/>
    <mergeCell ref="E158:J158"/>
    <mergeCell ref="G8:H8"/>
    <mergeCell ref="C26:D26"/>
    <mergeCell ref="G17:H17"/>
    <mergeCell ref="A104:F104"/>
    <mergeCell ref="B114:H114"/>
    <mergeCell ref="B123:H123"/>
    <mergeCell ref="G82:H82"/>
    <mergeCell ref="A111:J111"/>
    <mergeCell ref="C25:D25"/>
    <mergeCell ref="G10:H10"/>
    <mergeCell ref="E110:G110"/>
    <mergeCell ref="B113:H113"/>
    <mergeCell ref="A143:J143"/>
    <mergeCell ref="G19:H19"/>
    <mergeCell ref="E28:F28"/>
    <mergeCell ref="A39:J39"/>
    <mergeCell ref="C168:D168"/>
    <mergeCell ref="E60:F60"/>
    <mergeCell ref="G27:J27"/>
    <mergeCell ref="E74:F74"/>
    <mergeCell ref="A158:B158"/>
    <mergeCell ref="C167:D167"/>
    <mergeCell ref="B73:C73"/>
    <mergeCell ref="B115:H115"/>
    <mergeCell ref="G83:H83"/>
    <mergeCell ref="I12:J12"/>
    <mergeCell ref="E172:J172"/>
    <mergeCell ref="E30:F30"/>
    <mergeCell ref="G60:I60"/>
    <mergeCell ref="A78:J78"/>
    <mergeCell ref="A160:B160"/>
    <mergeCell ref="C169:D169"/>
    <mergeCell ref="A87:J87"/>
    <mergeCell ref="B117:H117"/>
    <mergeCell ref="A92:C92"/>
    <mergeCell ref="B106:D106"/>
    <mergeCell ref="A159:B159"/>
    <mergeCell ref="C159:D159"/>
    <mergeCell ref="G28:J28"/>
    <mergeCell ref="B74:C74"/>
    <mergeCell ref="G6:J6"/>
    <mergeCell ref="A80:J80"/>
    <mergeCell ref="I38:J38"/>
    <mergeCell ref="A94:C94"/>
    <mergeCell ref="B119:H119"/>
    <mergeCell ref="G67:I67"/>
    <mergeCell ref="A132:F132"/>
    <mergeCell ref="A1:L1"/>
    <mergeCell ref="G61:I61"/>
    <mergeCell ref="A161:B161"/>
    <mergeCell ref="A105:J105"/>
    <mergeCell ref="E165:J165"/>
    <mergeCell ref="A6:F6"/>
  </mergeCells>
  <pageMargins left="0.3" right="0.3" top="0.4" bottom="0.4" header="0.2" footer="0.2"/>
  <pageSetup orientation="landscape" paperSize="9" fitToHeight="0" fitToWidth="1"/>
  <rowBreaks count="4" manualBreakCount="4">
    <brk id="38" min="0" max="16383" man="1"/>
    <brk id="75" min="0" max="16383" man="1"/>
    <brk id="110" min="0" max="16383" man="1"/>
    <brk id="143" min="0" max="16383" man="1"/>
  </rowBreaks>
</worksheet>
</file>

<file path=xl/worksheets/sheet16.xml><?xml version="1.0" encoding="utf-8"?>
<worksheet xmlns="http://schemas.openxmlformats.org/spreadsheetml/2006/main">
  <sheetPr>
    <outlinePr summaryBelow="1" summaryRight="1"/>
    <pageSetUpPr/>
  </sheetPr>
  <dimension ref="A1:BF470"/>
  <sheetViews>
    <sheetView showGridLines="1" workbookViewId="0">
      <selection activeCell="A1" sqref="A1"/>
    </sheetView>
  </sheetViews>
  <sheetFormatPr baseColWidth="8" defaultRowHeight="15"/>
  <cols>
    <col width="15.071" customWidth="1" min="1" max="1"/>
    <col width="14.214" customWidth="1" min="2" max="2"/>
    <col width="14.214" customWidth="1" min="3" max="3"/>
    <col width="14.214" customWidth="1" min="4" max="4"/>
    <col width="14.214" customWidth="1" min="5" max="5"/>
    <col width="14.214" customWidth="1" min="6" max="6"/>
    <col width="14.214" customWidth="1" min="7" max="7"/>
    <col width="14.214" customWidth="1" min="8" max="8"/>
    <col width="14.214" customWidth="1" min="9" max="9"/>
    <col width="14.214" customWidth="1" min="10" max="10"/>
    <col width="20.357" customWidth="1" min="11" max="11"/>
    <col width="20.357"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width="13" customWidth="1" min="50" max="50"/>
    <col hidden="1" width="13" customWidth="1" min="51" max="51"/>
    <col width="13" customWidth="1" min="52" max="52"/>
    <col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ht="24" customHeight="1">
      <c r="A1" s="1" t="inlineStr">
        <is>
          <t>Minhas Tabelas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Dez tabelas do próprio Mestre, com 100 vagas e sorteio de 1 a 5 resultados sem repetir.</t>
        </is>
      </c>
    </row>
    <row r="4"/>
    <row r="5" ht="20" customHeight="1">
      <c r="A5" s="13" t="inlineStr">
        <is>
          <t>Sorteio (G = 701 a 710): a semente é a da aba Início; cada tabela tem a sua Rolagem nº</t>
        </is>
      </c>
    </row>
    <row r="6" ht="26" customHeight="1">
      <c r="A6" s="8" t="inlineStr">
        <is>
          <t>Tabela</t>
        </is>
      </c>
      <c r="B6" s="8" t="inlineStr">
        <is>
          <t>Nome da tabela (preencha)</t>
        </is>
      </c>
      <c r="C6" s="20" t="n"/>
      <c r="D6" s="20" t="n"/>
      <c r="E6" s="20" t="n"/>
      <c r="F6" s="8" t="inlineStr">
        <is>
          <t>Rolagem nº</t>
        </is>
      </c>
      <c r="G6" s="8" t="inlineStr">
        <is>
          <t>Quantos sortear</t>
        </is>
      </c>
      <c r="H6" s="8" t="inlineStr">
        <is>
          <t>Tamanho da lista</t>
        </is>
      </c>
      <c r="I6" s="8" t="inlineStr">
        <is>
          <t>Rolagem efetiva</t>
        </is>
      </c>
      <c r="J6" s="8" t="inlineStr">
        <is>
          <t>Quantos (efetivo)</t>
        </is>
      </c>
      <c r="K6" s="8" t="inlineStr">
        <is>
          <t>Aviso</t>
        </is>
      </c>
      <c r="L6" s="20" t="n"/>
    </row>
    <row r="7" ht="26" customHeight="1">
      <c r="A7" s="9" t="inlineStr">
        <is>
          <t>Tabela 1</t>
        </is>
      </c>
      <c r="B7" s="4" t="n"/>
      <c r="C7" s="25" t="n"/>
      <c r="D7" s="25" t="n"/>
      <c r="E7" s="17" t="n"/>
      <c r="F7" s="16" t="n"/>
      <c r="G7" s="16" t="n"/>
      <c r="H7" s="18">
        <f>$AN$140</f>
        <v/>
      </c>
      <c r="I7" s="18">
        <f>IF(ISNUMBER($BC$7),IF(AND($BC$7&gt;=1,$BC$7&lt;=1000000,INT($BC$7)=$BC$7),$BC$7,1),1)</f>
        <v/>
      </c>
      <c r="J7" s="18">
        <f>IF(ISNUMBER($BD$7),MIN(5,MAX(1,INT($BD$7))),1)</f>
        <v/>
      </c>
      <c r="K7" s="19">
        <f>IF(BF7&gt;0,"O Google leu como fórmula: digite de novo com ' na frente.",IF(LEN(IF(LEN($BC$7)=0,"",IF(ISNUMBER($BC$7),IF(AND($BC$7&gt;=1,$BC$7&lt;=1000000,INT($BC$7)=$BC$7),"","Rolagem nº fora de 1 a 1.000.000: usando 1"),"Rolagem nº fora de 1 a 1.000.000: usando 1")))&gt;0,IF(LEN($BC$7)=0,"",IF(ISNUMBER($BC$7),IF(AND($BC$7&gt;=1,$BC$7&lt;=1000000,INT($BC$7)=$BC$7),"","Rolagem nº fora de 1 a 1.000.000: usando 1"),"Rolagem nº fora de 1 a 1.000.000: usando 1")),IF(IF(ISNUMBER($BD$7),OR($BD$7&lt;1,$BD$7&gt;5,INT($BD$7)&lt;&gt;$BD$7),FALSE),"Quantos fora de 1 a 5: usando o limite",IF(AND($H$7&lt;=0,LEN($AY$7&amp;$BD$7&amp;$BC$7)&gt;0),"Tabela vazia: preencha as vagas abaixo",IF(AND($H$7&gt;0,$H$7&lt;$J$7),"A lista tem só "&amp;$H$7&amp;" entrada(s): os resultados se repetem",IF($H$7&gt;=100,"Lista cheia (100)",""))))))</f>
        <v/>
      </c>
      <c r="N7" s="2">
        <f>IF(MOD($H$7,7)&lt;&gt;0,7,IF(MOD($H$7,11)&lt;&gt;0,11,IF(MOD($H$7,13)&lt;&gt;0,13,IF(MOD($H$7,17)&lt;&gt;0,17,IF(MOD($H$7,19)&lt;&gt;0,19,23)))))</f>
        <v/>
      </c>
      <c r="O7" s="2">
        <f>IF($H$7&lt;=0,0,INT($AC$10*$H$7/2147483647)+1)</f>
        <v/>
      </c>
      <c r="P7" s="2">
        <f>IF(0&lt;$J$7,IF($H$7&lt;=0,"",IFERROR(INDEX($AY$34:$AY$140,MATCH(IF($H$7&lt;=0,0,MOD($O$7-1+0*$N$7,$H$7)+1),$AN$34:$AN$140,0))&amp;"","")),"")</f>
        <v/>
      </c>
      <c r="Q7" s="2">
        <f>IF(1&lt;$J$7,IF($H$7&lt;=0,"",IFERROR(INDEX($AY$34:$AY$140,MATCH(IF($H$7&lt;=0,0,MOD($O$7-1+1*$N$7,$H$7)+1),$AN$34:$AN$140,0))&amp;"","")),"")</f>
        <v/>
      </c>
      <c r="R7" s="2">
        <f>IF(2&lt;$J$7,IF($H$7&lt;=0,"",IFERROR(INDEX($AY$34:$AY$140,MATCH(IF($H$7&lt;=0,0,MOD($O$7-1+2*$N$7,$H$7)+1),$AN$34:$AN$140,0))&amp;"","")),"")</f>
        <v/>
      </c>
      <c r="S7" s="2">
        <f>IF(3&lt;$J$7,IF($H$7&lt;=0,"",IFERROR(INDEX($AY$34:$AY$140,MATCH(IF($H$7&lt;=0,0,MOD($O$7-1+3*$N$7,$H$7)+1),$AN$34:$AN$140,0))&amp;"","")),"")</f>
        <v/>
      </c>
      <c r="T7" s="2">
        <f>IF(4&lt;$J$7,IF($H$7&lt;=0,"",IFERROR(INDEX($AY$34:$AY$140,MATCH(IF($H$7&lt;=0,0,MOD($O$7-1+4*$N$7,$H$7)+1),$AN$34:$AN$140,0))&amp;"","")),"")</f>
        <v/>
      </c>
      <c r="AY7" s="2">
        <f>IF(ISERROR($B$7),"",IF(ISBLANK($B$7),"",$B$7))</f>
        <v/>
      </c>
      <c r="BC7" s="2">
        <f>IF(ISERROR($F$7),"",IF(ISBLANK($F$7),"",$F$7))</f>
        <v/>
      </c>
      <c r="BD7" s="2">
        <f>IF(ISERROR($G$7),"",IF(ISBLANK($G$7),"",$G$7))</f>
        <v/>
      </c>
      <c r="BF7" s="2">
        <f>ISERROR($B$7)*1+ISERROR($F$7)*1+ISERROR($G$7)*1</f>
        <v/>
      </c>
    </row>
    <row r="8" ht="26" customHeight="1">
      <c r="A8" s="21" t="inlineStr">
        <is>
          <t>Tabela 2</t>
        </is>
      </c>
      <c r="B8" s="29" t="n"/>
      <c r="C8" s="25" t="n"/>
      <c r="D8" s="25" t="n"/>
      <c r="E8" s="17" t="n"/>
      <c r="F8" s="37" t="n"/>
      <c r="G8" s="37" t="n"/>
      <c r="H8" s="23">
        <f>$AO$140</f>
        <v/>
      </c>
      <c r="I8" s="23">
        <f>IF(ISNUMBER($BC$8),IF(AND($BC$8&gt;=1,$BC$8&lt;=1000000,INT($BC$8)=$BC$8),$BC$8,1),1)</f>
        <v/>
      </c>
      <c r="J8" s="23">
        <f>IF(ISNUMBER($BD$8),MIN(5,MAX(1,INT($BD$8))),1)</f>
        <v/>
      </c>
      <c r="K8" s="27">
        <f>IF(BF8&gt;0,"O Google leu como fórmula: digite de novo com ' na frente.",IF(LEN(IF(LEN($BC$8)=0,"",IF(ISNUMBER($BC$8),IF(AND($BC$8&gt;=1,$BC$8&lt;=1000000,INT($BC$8)=$BC$8),"","Rolagem nº fora de 1 a 1.000.000: usando 1"),"Rolagem nº fora de 1 a 1.000.000: usando 1")))&gt;0,IF(LEN($BC$8)=0,"",IF(ISNUMBER($BC$8),IF(AND($BC$8&gt;=1,$BC$8&lt;=1000000,INT($BC$8)=$BC$8),"","Rolagem nº fora de 1 a 1.000.000: usando 1"),"Rolagem nº fora de 1 a 1.000.000: usando 1")),IF(IF(ISNUMBER($BD$8),OR($BD$8&lt;1,$BD$8&gt;5,INT($BD$8)&lt;&gt;$BD$8),FALSE),"Quantos fora de 1 a 5: usando o limite",IF(AND($H$8&lt;=0,LEN($AY$8&amp;$BD$8&amp;$BC$8)&gt;0),"Tabela vazia: preencha as vagas abaixo",IF(AND($H$8&gt;0,$H$8&lt;$J$8),"A lista tem só "&amp;$H$8&amp;" entrada(s): os resultados se repetem",IF($H$8&gt;=100,"Lista cheia (100)",""))))))</f>
        <v/>
      </c>
      <c r="N8" s="2">
        <f>IF(MOD($H$8,7)&lt;&gt;0,7,IF(MOD($H$8,11)&lt;&gt;0,11,IF(MOD($H$8,13)&lt;&gt;0,13,IF(MOD($H$8,17)&lt;&gt;0,17,IF(MOD($H$8,19)&lt;&gt;0,19,23)))))</f>
        <v/>
      </c>
      <c r="O8" s="2">
        <f>IF($H$8&lt;=0,0,INT($AC$12*$H$8/2147483647)+1)</f>
        <v/>
      </c>
      <c r="P8" s="2">
        <f>IF(0&lt;$J$8,IF($H$8&lt;=0,"",IFERROR(INDEX($BB$34:$BB$140,MATCH(IF($H$8&lt;=0,0,MOD($O$8-1+0*$N$8,$H$8)+1),$AO$34:$AO$140,0))&amp;"","")),"")</f>
        <v/>
      </c>
      <c r="Q8" s="2">
        <f>IF(1&lt;$J$8,IF($H$8&lt;=0,"",IFERROR(INDEX($BB$34:$BB$140,MATCH(IF($H$8&lt;=0,0,MOD($O$8-1+1*$N$8,$H$8)+1),$AO$34:$AO$140,0))&amp;"","")),"")</f>
        <v/>
      </c>
      <c r="R8" s="2">
        <f>IF(2&lt;$J$8,IF($H$8&lt;=0,"",IFERROR(INDEX($BB$34:$BB$140,MATCH(IF($H$8&lt;=0,0,MOD($O$8-1+2*$N$8,$H$8)+1),$AO$34:$AO$140,0))&amp;"","")),"")</f>
        <v/>
      </c>
      <c r="S8" s="2">
        <f>IF(3&lt;$J$8,IF($H$8&lt;=0,"",IFERROR(INDEX($BB$34:$BB$140,MATCH(IF($H$8&lt;=0,0,MOD($O$8-1+3*$N$8,$H$8)+1),$AO$34:$AO$140,0))&amp;"","")),"")</f>
        <v/>
      </c>
      <c r="T8" s="2">
        <f>IF(4&lt;$J$8,IF($H$8&lt;=0,"",IFERROR(INDEX($BB$34:$BB$140,MATCH(IF($H$8&lt;=0,0,MOD($O$8-1+4*$N$8,$H$8)+1),$AO$34:$AO$140,0))&amp;"","")),"")</f>
        <v/>
      </c>
      <c r="AY8" s="2">
        <f>IF(ISERROR($B$8),"",IF(ISBLANK($B$8),"",$B$8))</f>
        <v/>
      </c>
      <c r="BC8" s="2">
        <f>IF(ISERROR($F$8),"",IF(ISBLANK($F$8),"",$F$8))</f>
        <v/>
      </c>
      <c r="BD8" s="2">
        <f>IF(ISERROR($G$8),"",IF(ISBLANK($G$8),"",$G$8))</f>
        <v/>
      </c>
      <c r="BF8" s="2">
        <f>ISERROR($B$8)*1+ISERROR($F$8)*1+ISERROR($G$8)*1</f>
        <v/>
      </c>
    </row>
    <row r="9" ht="26" customHeight="1">
      <c r="A9" s="9" t="inlineStr">
        <is>
          <t>Tabela 3</t>
        </is>
      </c>
      <c r="B9" s="4" t="n"/>
      <c r="C9" s="25" t="n"/>
      <c r="D9" s="25" t="n"/>
      <c r="E9" s="17" t="n"/>
      <c r="F9" s="16" t="n"/>
      <c r="G9" s="16" t="n"/>
      <c r="H9" s="18">
        <f>$AP$140</f>
        <v/>
      </c>
      <c r="I9" s="18">
        <f>IF(ISNUMBER($BC$9),IF(AND($BC$9&gt;=1,$BC$9&lt;=1000000,INT($BC$9)=$BC$9),$BC$9,1),1)</f>
        <v/>
      </c>
      <c r="J9" s="18">
        <f>IF(ISNUMBER($BD$9),MIN(5,MAX(1,INT($BD$9))),1)</f>
        <v/>
      </c>
      <c r="K9" s="19">
        <f>IF(BF9&gt;0,"O Google leu como fórmula: digite de novo com ' na frente.",IF(LEN(IF(LEN($BC$9)=0,"",IF(ISNUMBER($BC$9),IF(AND($BC$9&gt;=1,$BC$9&lt;=1000000,INT($BC$9)=$BC$9),"","Rolagem nº fora de 1 a 1.000.000: usando 1"),"Rolagem nº fora de 1 a 1.000.000: usando 1")))&gt;0,IF(LEN($BC$9)=0,"",IF(ISNUMBER($BC$9),IF(AND($BC$9&gt;=1,$BC$9&lt;=1000000,INT($BC$9)=$BC$9),"","Rolagem nº fora de 1 a 1.000.000: usando 1"),"Rolagem nº fora de 1 a 1.000.000: usando 1")),IF(IF(ISNUMBER($BD$9),OR($BD$9&lt;1,$BD$9&gt;5,INT($BD$9)&lt;&gt;$BD$9),FALSE),"Quantos fora de 1 a 5: usando o limite",IF(AND($H$9&lt;=0,LEN($AY$9&amp;$BD$9&amp;$BC$9)&gt;0),"Tabela vazia: preencha as vagas abaixo",IF(AND($H$9&gt;0,$H$9&lt;$J$9),"A lista tem só "&amp;$H$9&amp;" entrada(s): os resultados se repetem",IF($H$9&gt;=100,"Lista cheia (100)",""))))))</f>
        <v/>
      </c>
      <c r="N9" s="2">
        <f>IF(MOD($H$9,7)&lt;&gt;0,7,IF(MOD($H$9,11)&lt;&gt;0,11,IF(MOD($H$9,13)&lt;&gt;0,13,IF(MOD($H$9,17)&lt;&gt;0,17,IF(MOD($H$9,19)&lt;&gt;0,19,23)))))</f>
        <v/>
      </c>
      <c r="O9" s="2">
        <f>IF($H$9&lt;=0,0,INT($AC$14*$H$9/2147483647)+1)</f>
        <v/>
      </c>
      <c r="P9" s="2">
        <f>IF(0&lt;$J$9,IF($H$9&lt;=0,"",IFERROR(INDEX($BE$34:$BE$140,MATCH(IF($H$9&lt;=0,0,MOD($O$9-1+0*$N$9,$H$9)+1),$AP$34:$AP$140,0))&amp;"","")),"")</f>
        <v/>
      </c>
      <c r="Q9" s="2">
        <f>IF(1&lt;$J$9,IF($H$9&lt;=0,"",IFERROR(INDEX($BE$34:$BE$140,MATCH(IF($H$9&lt;=0,0,MOD($O$9-1+1*$N$9,$H$9)+1),$AP$34:$AP$140,0))&amp;"","")),"")</f>
        <v/>
      </c>
      <c r="R9" s="2">
        <f>IF(2&lt;$J$9,IF($H$9&lt;=0,"",IFERROR(INDEX($BE$34:$BE$140,MATCH(IF($H$9&lt;=0,0,MOD($O$9-1+2*$N$9,$H$9)+1),$AP$34:$AP$140,0))&amp;"","")),"")</f>
        <v/>
      </c>
      <c r="S9" s="2">
        <f>IF(3&lt;$J$9,IF($H$9&lt;=0,"",IFERROR(INDEX($BE$34:$BE$140,MATCH(IF($H$9&lt;=0,0,MOD($O$9-1+3*$N$9,$H$9)+1),$AP$34:$AP$140,0))&amp;"","")),"")</f>
        <v/>
      </c>
      <c r="T9" s="2">
        <f>IF(4&lt;$J$9,IF($H$9&lt;=0,"",IFERROR(INDEX($BE$34:$BE$140,MATCH(IF($H$9&lt;=0,0,MOD($O$9-1+4*$N$9,$H$9)+1),$AP$34:$AP$140,0))&amp;"","")),"")</f>
        <v/>
      </c>
      <c r="AY9" s="2">
        <f>IF(ISERROR($B$9),"",IF(ISBLANK($B$9),"",$B$9))</f>
        <v/>
      </c>
      <c r="BC9" s="2">
        <f>IF(ISERROR($F$9),"",IF(ISBLANK($F$9),"",$F$9))</f>
        <v/>
      </c>
      <c r="BD9" s="2">
        <f>IF(ISERROR($G$9),"",IF(ISBLANK($G$9),"",$G$9))</f>
        <v/>
      </c>
      <c r="BF9" s="2">
        <f>ISERROR($B$9)*1+ISERROR($F$9)*1+ISERROR($G$9)*1</f>
        <v/>
      </c>
    </row>
    <row r="10" ht="26" customHeight="1">
      <c r="A10" s="21" t="inlineStr">
        <is>
          <t>Tabela 4</t>
        </is>
      </c>
      <c r="B10" s="29" t="n"/>
      <c r="C10" s="25" t="n"/>
      <c r="D10" s="25" t="n"/>
      <c r="E10" s="17" t="n"/>
      <c r="F10" s="37" t="n"/>
      <c r="G10" s="37" t="n"/>
      <c r="H10" s="23">
        <f>$AQ$250</f>
        <v/>
      </c>
      <c r="I10" s="23">
        <f>IF(ISNUMBER($BC$10),IF(AND($BC$10&gt;=1,$BC$10&lt;=1000000,INT($BC$10)=$BC$10),$BC$10,1),1)</f>
        <v/>
      </c>
      <c r="J10" s="23">
        <f>IF(ISNUMBER($BD$10),MIN(5,MAX(1,INT($BD$10))),1)</f>
        <v/>
      </c>
      <c r="K10" s="27">
        <f>IF(BF10&gt;0,"O Google leu como fórmula: digite de novo com ' na frente.",IF(LEN(IF(LEN($BC$10)=0,"",IF(ISNUMBER($BC$10),IF(AND($BC$10&gt;=1,$BC$10&lt;=1000000,INT($BC$10)=$BC$10),"","Rolagem nº fora de 1 a 1.000.000: usando 1"),"Rolagem nº fora de 1 a 1.000.000: usando 1")))&gt;0,IF(LEN($BC$10)=0,"",IF(ISNUMBER($BC$10),IF(AND($BC$10&gt;=1,$BC$10&lt;=1000000,INT($BC$10)=$BC$10),"","Rolagem nº fora de 1 a 1.000.000: usando 1"),"Rolagem nº fora de 1 a 1.000.000: usando 1")),IF(IF(ISNUMBER($BD$10),OR($BD$10&lt;1,$BD$10&gt;5,INT($BD$10)&lt;&gt;$BD$10),FALSE),"Quantos fora de 1 a 5: usando o limite",IF(AND($H$10&lt;=0,LEN($AY$10&amp;$BD$10&amp;$BC$10)&gt;0),"Tabela vazia: preencha as vagas abaixo",IF(AND($H$10&gt;0,$H$10&lt;$J$10),"A lista tem só "&amp;$H$10&amp;" entrada(s): os resultados se repetem",IF($H$10&gt;=100,"Lista cheia (100)",""))))))</f>
        <v/>
      </c>
      <c r="N10" s="2">
        <f>IF(MOD($H$10,7)&lt;&gt;0,7,IF(MOD($H$10,11)&lt;&gt;0,11,IF(MOD($H$10,13)&lt;&gt;0,13,IF(MOD($H$10,17)&lt;&gt;0,17,IF(MOD($H$10,19)&lt;&gt;0,19,23)))))</f>
        <v/>
      </c>
      <c r="O10" s="2">
        <f>IF($H$10&lt;=0,0,INT($AC$16*$H$10/2147483647)+1)</f>
        <v/>
      </c>
      <c r="P10" s="2">
        <f>IF(0&lt;$J$10,IF($H$10&lt;=0,"",IFERROR(INDEX($AY$144:$AY$250,MATCH(IF($H$10&lt;=0,0,MOD($O$10-1+0*$N$10,$H$10)+1),$AQ$144:$AQ$250,0))&amp;"","")),"")</f>
        <v/>
      </c>
      <c r="Q10" s="2">
        <f>IF(1&lt;$J$10,IF($H$10&lt;=0,"",IFERROR(INDEX($AY$144:$AY$250,MATCH(IF($H$10&lt;=0,0,MOD($O$10-1+1*$N$10,$H$10)+1),$AQ$144:$AQ$250,0))&amp;"","")),"")</f>
        <v/>
      </c>
      <c r="R10" s="2">
        <f>IF(2&lt;$J$10,IF($H$10&lt;=0,"",IFERROR(INDEX($AY$144:$AY$250,MATCH(IF($H$10&lt;=0,0,MOD($O$10-1+2*$N$10,$H$10)+1),$AQ$144:$AQ$250,0))&amp;"","")),"")</f>
        <v/>
      </c>
      <c r="S10" s="2">
        <f>IF(3&lt;$J$10,IF($H$10&lt;=0,"",IFERROR(INDEX($AY$144:$AY$250,MATCH(IF($H$10&lt;=0,0,MOD($O$10-1+3*$N$10,$H$10)+1),$AQ$144:$AQ$250,0))&amp;"","")),"")</f>
        <v/>
      </c>
      <c r="T10" s="2">
        <f>IF(4&lt;$J$10,IF($H$10&lt;=0,"",IFERROR(INDEX($AY$144:$AY$250,MATCH(IF($H$10&lt;=0,0,MOD($O$10-1+4*$N$10,$H$10)+1),$AQ$144:$AQ$250,0))&amp;"","")),"")</f>
        <v/>
      </c>
      <c r="AA10" s="2">
        <f>MOD(MOD(MOD((MOD('Início'!$E$16+104729*$I$7+6850928,2147483646)+1)*16807,2147483647)*16807,2147483647)*16807,2147483647)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Y10" s="2">
        <f>IF(ISERROR($B$10),"",IF(ISBLANK($B$10),"",$B$10))</f>
        <v/>
      </c>
      <c r="BC10" s="2">
        <f>IF(ISERROR($F$10),"",IF(ISBLANK($F$10),"",$F$10))</f>
        <v/>
      </c>
      <c r="BD10" s="2">
        <f>IF(ISERROR($G$10),"",IF(ISBLANK($G$10),"",$G$10))</f>
        <v/>
      </c>
      <c r="BF10" s="2">
        <f>ISERROR($B$10)*1+ISERROR($F$10)*1+ISERROR($G$10)*1</f>
        <v/>
      </c>
    </row>
    <row r="11" ht="26" customHeight="1">
      <c r="A11" s="9" t="inlineStr">
        <is>
          <t>Tabela 5</t>
        </is>
      </c>
      <c r="B11" s="4" t="n"/>
      <c r="C11" s="25" t="n"/>
      <c r="D11" s="25" t="n"/>
      <c r="E11" s="17" t="n"/>
      <c r="F11" s="16" t="n"/>
      <c r="G11" s="16" t="n"/>
      <c r="H11" s="18">
        <f>$AR$250</f>
        <v/>
      </c>
      <c r="I11" s="18">
        <f>IF(ISNUMBER($BC$11),IF(AND($BC$11&gt;=1,$BC$11&lt;=1000000,INT($BC$11)=$BC$11),$BC$11,1),1)</f>
        <v/>
      </c>
      <c r="J11" s="18">
        <f>IF(ISNUMBER($BD$11),MIN(5,MAX(1,INT($BD$11))),1)</f>
        <v/>
      </c>
      <c r="K11" s="19">
        <f>IF(BF11&gt;0,"O Google leu como fórmula: digite de novo com ' na frente.",IF(LEN(IF(LEN($BC$11)=0,"",IF(ISNUMBER($BC$11),IF(AND($BC$11&gt;=1,$BC$11&lt;=1000000,INT($BC$11)=$BC$11),"","Rolagem nº fora de 1 a 1.000.000: usando 1"),"Rolagem nº fora de 1 a 1.000.000: usando 1")))&gt;0,IF(LEN($BC$11)=0,"",IF(ISNUMBER($BC$11),IF(AND($BC$11&gt;=1,$BC$11&lt;=1000000,INT($BC$11)=$BC$11),"","Rolagem nº fora de 1 a 1.000.000: usando 1"),"Rolagem nº fora de 1 a 1.000.000: usando 1")),IF(IF(ISNUMBER($BD$11),OR($BD$11&lt;1,$BD$11&gt;5,INT($BD$11)&lt;&gt;$BD$11),FALSE),"Quantos fora de 1 a 5: usando o limite",IF(AND($H$11&lt;=0,LEN($AY$11&amp;$BD$11&amp;$BC$11)&gt;0),"Tabela vazia: preencha as vagas abaixo",IF(AND($H$11&gt;0,$H$11&lt;$J$11),"A lista tem só "&amp;$H$11&amp;" entrada(s): os resultados se repetem",IF($H$11&gt;=100,"Lista cheia (100)",""))))))</f>
        <v/>
      </c>
      <c r="N11" s="2">
        <f>IF(MOD($H$11,7)&lt;&gt;0,7,IF(MOD($H$11,11)&lt;&gt;0,11,IF(MOD($H$11,13)&lt;&gt;0,13,IF(MOD($H$11,17)&lt;&gt;0,17,IF(MOD($H$11,19)&lt;&gt;0,19,23)))))</f>
        <v/>
      </c>
      <c r="O11" s="2">
        <f>IF($H$11&lt;=0,0,INT($AC$18*$H$11/2147483647)+1)</f>
        <v/>
      </c>
      <c r="P11" s="2">
        <f>IF(0&lt;$J$11,IF($H$11&lt;=0,"",IFERROR(INDEX($BB$144:$BB$250,MATCH(IF($H$11&lt;=0,0,MOD($O$11-1+0*$N$11,$H$11)+1),$AR$144:$AR$250,0))&amp;"","")),"")</f>
        <v/>
      </c>
      <c r="Q11" s="2">
        <f>IF(1&lt;$J$11,IF($H$11&lt;=0,"",IFERROR(INDEX($BB$144:$BB$250,MATCH(IF($H$11&lt;=0,0,MOD($O$11-1+1*$N$11,$H$11)+1),$AR$144:$AR$250,0))&amp;"","")),"")</f>
        <v/>
      </c>
      <c r="R11" s="2">
        <f>IF(2&lt;$J$11,IF($H$11&lt;=0,"",IFERROR(INDEX($BB$144:$BB$250,MATCH(IF($H$11&lt;=0,0,MOD($O$11-1+2*$N$11,$H$11)+1),$AR$144:$AR$250,0))&amp;"","")),"")</f>
        <v/>
      </c>
      <c r="S11" s="2">
        <f>IF(3&lt;$J$11,IF($H$11&lt;=0,"",IFERROR(INDEX($BB$144:$BB$250,MATCH(IF($H$11&lt;=0,0,MOD($O$11-1+3*$N$11,$H$11)+1),$AR$144:$AR$250,0))&amp;"","")),"")</f>
        <v/>
      </c>
      <c r="T11" s="2">
        <f>IF(4&lt;$J$11,IF($H$11&lt;=0,"",IFERROR(INDEX($BB$144:$BB$250,MATCH(IF($H$11&lt;=0,0,MOD($O$11-1+4*$N$11,$H$11)+1),$AR$144:$AR$250,0))&amp;"","")),"")</f>
        <v/>
      </c>
      <c r="AY11" s="2">
        <f>IF(ISERROR($B$11),"",IF(ISBLANK($B$11),"",$B$11))</f>
        <v/>
      </c>
      <c r="BC11" s="2">
        <f>IF(ISERROR($F$11),"",IF(ISBLANK($F$11),"",$F$11))</f>
        <v/>
      </c>
      <c r="BD11" s="2">
        <f>IF(ISERROR($G$11),"",IF(ISBLANK($G$11),"",$G$11))</f>
        <v/>
      </c>
      <c r="BF11" s="2">
        <f>ISERROR($B$11)*1+ISERROR($F$11)*1+ISERROR($G$11)*1</f>
        <v/>
      </c>
    </row>
    <row r="12" ht="26" customHeight="1">
      <c r="A12" s="21" t="inlineStr">
        <is>
          <t>Tabela 6</t>
        </is>
      </c>
      <c r="B12" s="29" t="n"/>
      <c r="C12" s="25" t="n"/>
      <c r="D12" s="25" t="n"/>
      <c r="E12" s="17" t="n"/>
      <c r="F12" s="37" t="n"/>
      <c r="G12" s="37" t="n"/>
      <c r="H12" s="23">
        <f>$AS$250</f>
        <v/>
      </c>
      <c r="I12" s="23">
        <f>IF(ISNUMBER($BC$12),IF(AND($BC$12&gt;=1,$BC$12&lt;=1000000,INT($BC$12)=$BC$12),$BC$12,1),1)</f>
        <v/>
      </c>
      <c r="J12" s="23">
        <f>IF(ISNUMBER($BD$12),MIN(5,MAX(1,INT($BD$12))),1)</f>
        <v/>
      </c>
      <c r="K12" s="27">
        <f>IF(BF12&gt;0,"O Google leu como fórmula: digite de novo com ' na frente.",IF(LEN(IF(LEN($BC$12)=0,"",IF(ISNUMBER($BC$12),IF(AND($BC$12&gt;=1,$BC$12&lt;=1000000,INT($BC$12)=$BC$12),"","Rolagem nº fora de 1 a 1.000.000: usando 1"),"Rolagem nº fora de 1 a 1.000.000: usando 1")))&gt;0,IF(LEN($BC$12)=0,"",IF(ISNUMBER($BC$12),IF(AND($BC$12&gt;=1,$BC$12&lt;=1000000,INT($BC$12)=$BC$12),"","Rolagem nº fora de 1 a 1.000.000: usando 1"),"Rolagem nº fora de 1 a 1.000.000: usando 1")),IF(IF(ISNUMBER($BD$12),OR($BD$12&lt;1,$BD$12&gt;5,INT($BD$12)&lt;&gt;$BD$12),FALSE),"Quantos fora de 1 a 5: usando o limite",IF(AND($H$12&lt;=0,LEN($AY$12&amp;$BD$12&amp;$BC$12)&gt;0),"Tabela vazia: preencha as vagas abaixo",IF(AND($H$12&gt;0,$H$12&lt;$J$12),"A lista tem só "&amp;$H$12&amp;" entrada(s): os resultados se repetem",IF($H$12&gt;=100,"Lista cheia (100)",""))))))</f>
        <v/>
      </c>
      <c r="N12" s="2">
        <f>IF(MOD($H$12,7)&lt;&gt;0,7,IF(MOD($H$12,11)&lt;&gt;0,11,IF(MOD($H$12,13)&lt;&gt;0,13,IF(MOD($H$12,17)&lt;&gt;0,17,IF(MOD($H$12,19)&lt;&gt;0,19,23)))))</f>
        <v/>
      </c>
      <c r="O12" s="2">
        <f>IF($H$12&lt;=0,0,INT($AC$20*$H$12/2147483647)+1)</f>
        <v/>
      </c>
      <c r="P12" s="2">
        <f>IF(0&lt;$J$12,IF($H$12&lt;=0,"",IFERROR(INDEX($BE$144:$BE$250,MATCH(IF($H$12&lt;=0,0,MOD($O$12-1+0*$N$12,$H$12)+1),$AS$144:$AS$250,0))&amp;"","")),"")</f>
        <v/>
      </c>
      <c r="Q12" s="2">
        <f>IF(1&lt;$J$12,IF($H$12&lt;=0,"",IFERROR(INDEX($BE$144:$BE$250,MATCH(IF($H$12&lt;=0,0,MOD($O$12-1+1*$N$12,$H$12)+1),$AS$144:$AS$250,0))&amp;"","")),"")</f>
        <v/>
      </c>
      <c r="R12" s="2">
        <f>IF(2&lt;$J$12,IF($H$12&lt;=0,"",IFERROR(INDEX($BE$144:$BE$250,MATCH(IF($H$12&lt;=0,0,MOD($O$12-1+2*$N$12,$H$12)+1),$AS$144:$AS$250,0))&amp;"","")),"")</f>
        <v/>
      </c>
      <c r="S12" s="2">
        <f>IF(3&lt;$J$12,IF($H$12&lt;=0,"",IFERROR(INDEX($BE$144:$BE$250,MATCH(IF($H$12&lt;=0,0,MOD($O$12-1+3*$N$12,$H$12)+1),$AS$144:$AS$250,0))&amp;"","")),"")</f>
        <v/>
      </c>
      <c r="T12" s="2">
        <f>IF(4&lt;$J$12,IF($H$12&lt;=0,"",IFERROR(INDEX($BE$144:$BE$250,MATCH(IF($H$12&lt;=0,0,MOD($O$12-1+4*$N$12,$H$12)+1),$AS$144:$AS$250,0))&amp;"","")),"")</f>
        <v/>
      </c>
      <c r="AA12" s="2">
        <f>MOD(MOD(MOD((MOD('Início'!$E$16+104729*$I$8+6858847,2147483646)+1)*16807,2147483647)*16807,2147483647)*16807,2147483647)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Y12" s="2">
        <f>IF(ISERROR($B$12),"",IF(ISBLANK($B$12),"",$B$12))</f>
        <v/>
      </c>
      <c r="BC12" s="2">
        <f>IF(ISERROR($F$12),"",IF(ISBLANK($F$12),"",$F$12))</f>
        <v/>
      </c>
      <c r="BD12" s="2">
        <f>IF(ISERROR($G$12),"",IF(ISBLANK($G$12),"",$G$12))</f>
        <v/>
      </c>
      <c r="BF12" s="2">
        <f>ISERROR($B$12)*1+ISERROR($F$12)*1+ISERROR($G$12)*1</f>
        <v/>
      </c>
    </row>
    <row r="13" ht="26" customHeight="1">
      <c r="A13" s="9" t="inlineStr">
        <is>
          <t>Tabela 7</t>
        </is>
      </c>
      <c r="B13" s="4" t="n"/>
      <c r="C13" s="25" t="n"/>
      <c r="D13" s="25" t="n"/>
      <c r="E13" s="17" t="n"/>
      <c r="F13" s="16" t="n"/>
      <c r="G13" s="16" t="n"/>
      <c r="H13" s="18">
        <f>$AT$360</f>
        <v/>
      </c>
      <c r="I13" s="18">
        <f>IF(ISNUMBER($BC$13),IF(AND($BC$13&gt;=1,$BC$13&lt;=1000000,INT($BC$13)=$BC$13),$BC$13,1),1)</f>
        <v/>
      </c>
      <c r="J13" s="18">
        <f>IF(ISNUMBER($BD$13),MIN(5,MAX(1,INT($BD$13))),1)</f>
        <v/>
      </c>
      <c r="K13" s="19">
        <f>IF(BF13&gt;0,"O Google leu como fórmula: digite de novo com ' na frente.",IF(LEN(IF(LEN($BC$13)=0,"",IF(ISNUMBER($BC$13),IF(AND($BC$13&gt;=1,$BC$13&lt;=1000000,INT($BC$13)=$BC$13),"","Rolagem nº fora de 1 a 1.000.000: usando 1"),"Rolagem nº fora de 1 a 1.000.000: usando 1")))&gt;0,IF(LEN($BC$13)=0,"",IF(ISNUMBER($BC$13),IF(AND($BC$13&gt;=1,$BC$13&lt;=1000000,INT($BC$13)=$BC$13),"","Rolagem nº fora de 1 a 1.000.000: usando 1"),"Rolagem nº fora de 1 a 1.000.000: usando 1")),IF(IF(ISNUMBER($BD$13),OR($BD$13&lt;1,$BD$13&gt;5,INT($BD$13)&lt;&gt;$BD$13),FALSE),"Quantos fora de 1 a 5: usando o limite",IF(AND($H$13&lt;=0,LEN($AY$13&amp;$BD$13&amp;$BC$13)&gt;0),"Tabela vazia: preencha as vagas abaixo",IF(AND($H$13&gt;0,$H$13&lt;$J$13),"A lista tem só "&amp;$H$13&amp;" entrada(s): os resultados se repetem",IF($H$13&gt;=100,"Lista cheia (100)",""))))))</f>
        <v/>
      </c>
      <c r="N13" s="2">
        <f>IF(MOD($H$13,7)&lt;&gt;0,7,IF(MOD($H$13,11)&lt;&gt;0,11,IF(MOD($H$13,13)&lt;&gt;0,13,IF(MOD($H$13,17)&lt;&gt;0,17,IF(MOD($H$13,19)&lt;&gt;0,19,23)))))</f>
        <v/>
      </c>
      <c r="O13" s="2">
        <f>IF($H$13&lt;=0,0,INT($AC$22*$H$13/2147483647)+1)</f>
        <v/>
      </c>
      <c r="P13" s="2">
        <f>IF(0&lt;$J$13,IF($H$13&lt;=0,"",IFERROR(INDEX($AY$254:$AY$360,MATCH(IF($H$13&lt;=0,0,MOD($O$13-1+0*$N$13,$H$13)+1),$AT$254:$AT$360,0))&amp;"","")),"")</f>
        <v/>
      </c>
      <c r="Q13" s="2">
        <f>IF(1&lt;$J$13,IF($H$13&lt;=0,"",IFERROR(INDEX($AY$254:$AY$360,MATCH(IF($H$13&lt;=0,0,MOD($O$13-1+1*$N$13,$H$13)+1),$AT$254:$AT$360,0))&amp;"","")),"")</f>
        <v/>
      </c>
      <c r="R13" s="2">
        <f>IF(2&lt;$J$13,IF($H$13&lt;=0,"",IFERROR(INDEX($AY$254:$AY$360,MATCH(IF($H$13&lt;=0,0,MOD($O$13-1+2*$N$13,$H$13)+1),$AT$254:$AT$360,0))&amp;"","")),"")</f>
        <v/>
      </c>
      <c r="S13" s="2">
        <f>IF(3&lt;$J$13,IF($H$13&lt;=0,"",IFERROR(INDEX($AY$254:$AY$360,MATCH(IF($H$13&lt;=0,0,MOD($O$13-1+3*$N$13,$H$13)+1),$AT$254:$AT$360,0))&amp;"","")),"")</f>
        <v/>
      </c>
      <c r="T13" s="2">
        <f>IF(4&lt;$J$13,IF($H$13&lt;=0,"",IFERROR(INDEX($AY$254:$AY$360,MATCH(IF($H$13&lt;=0,0,MOD($O$13-1+4*$N$13,$H$13)+1),$AT$254:$AT$360,0))&amp;"","")),"")</f>
        <v/>
      </c>
      <c r="AY13" s="2">
        <f>IF(ISERROR($B$13),"",IF(ISBLANK($B$13),"",$B$13))</f>
        <v/>
      </c>
      <c r="BC13" s="2">
        <f>IF(ISERROR($F$13),"",IF(ISBLANK($F$13),"",$F$13))</f>
        <v/>
      </c>
      <c r="BD13" s="2">
        <f>IF(ISERROR($G$13),"",IF(ISBLANK($G$13),"",$G$13))</f>
        <v/>
      </c>
      <c r="BF13" s="2">
        <f>ISERROR($B$13)*1+ISERROR($F$13)*1+ISERROR($G$13)*1</f>
        <v/>
      </c>
    </row>
    <row r="14" ht="26" customHeight="1">
      <c r="A14" s="21" t="inlineStr">
        <is>
          <t>Tabela 8</t>
        </is>
      </c>
      <c r="B14" s="29" t="n"/>
      <c r="C14" s="25" t="n"/>
      <c r="D14" s="25" t="n"/>
      <c r="E14" s="17" t="n"/>
      <c r="F14" s="37" t="n"/>
      <c r="G14" s="37" t="n"/>
      <c r="H14" s="23">
        <f>$AU$360</f>
        <v/>
      </c>
      <c r="I14" s="23">
        <f>IF(ISNUMBER($BC$14),IF(AND($BC$14&gt;=1,$BC$14&lt;=1000000,INT($BC$14)=$BC$14),$BC$14,1),1)</f>
        <v/>
      </c>
      <c r="J14" s="23">
        <f>IF(ISNUMBER($BD$14),MIN(5,MAX(1,INT($BD$14))),1)</f>
        <v/>
      </c>
      <c r="K14" s="27">
        <f>IF(BF14&gt;0,"O Google leu como fórmula: digite de novo com ' na frente.",IF(LEN(IF(LEN($BC$14)=0,"",IF(ISNUMBER($BC$14),IF(AND($BC$14&gt;=1,$BC$14&lt;=1000000,INT($BC$14)=$BC$14),"","Rolagem nº fora de 1 a 1.000.000: usando 1"),"Rolagem nº fora de 1 a 1.000.000: usando 1")))&gt;0,IF(LEN($BC$14)=0,"",IF(ISNUMBER($BC$14),IF(AND($BC$14&gt;=1,$BC$14&lt;=1000000,INT($BC$14)=$BC$14),"","Rolagem nº fora de 1 a 1.000.000: usando 1"),"Rolagem nº fora de 1 a 1.000.000: usando 1")),IF(IF(ISNUMBER($BD$14),OR($BD$14&lt;1,$BD$14&gt;5,INT($BD$14)&lt;&gt;$BD$14),FALSE),"Quantos fora de 1 a 5: usando o limite",IF(AND($H$14&lt;=0,LEN($AY$14&amp;$BD$14&amp;$BC$14)&gt;0),"Tabela vazia: preencha as vagas abaixo",IF(AND($H$14&gt;0,$H$14&lt;$J$14),"A lista tem só "&amp;$H$14&amp;" entrada(s): os resultados se repetem",IF($H$14&gt;=100,"Lista cheia (100)",""))))))</f>
        <v/>
      </c>
      <c r="N14" s="2">
        <f>IF(MOD($H$14,7)&lt;&gt;0,7,IF(MOD($H$14,11)&lt;&gt;0,11,IF(MOD($H$14,13)&lt;&gt;0,13,IF(MOD($H$14,17)&lt;&gt;0,17,IF(MOD($H$14,19)&lt;&gt;0,19,23)))))</f>
        <v/>
      </c>
      <c r="O14" s="2">
        <f>IF($H$14&lt;=0,0,INT($AC$24*$H$14/2147483647)+1)</f>
        <v/>
      </c>
      <c r="P14" s="2">
        <f>IF(0&lt;$J$14,IF($H$14&lt;=0,"",IFERROR(INDEX($BB$254:$BB$360,MATCH(IF($H$14&lt;=0,0,MOD($O$14-1+0*$N$14,$H$14)+1),$AU$254:$AU$360,0))&amp;"","")),"")</f>
        <v/>
      </c>
      <c r="Q14" s="2">
        <f>IF(1&lt;$J$14,IF($H$14&lt;=0,"",IFERROR(INDEX($BB$254:$BB$360,MATCH(IF($H$14&lt;=0,0,MOD($O$14-1+1*$N$14,$H$14)+1),$AU$254:$AU$360,0))&amp;"","")),"")</f>
        <v/>
      </c>
      <c r="R14" s="2">
        <f>IF(2&lt;$J$14,IF($H$14&lt;=0,"",IFERROR(INDEX($BB$254:$BB$360,MATCH(IF($H$14&lt;=0,0,MOD($O$14-1+2*$N$14,$H$14)+1),$AU$254:$AU$360,0))&amp;"","")),"")</f>
        <v/>
      </c>
      <c r="S14" s="2">
        <f>IF(3&lt;$J$14,IF($H$14&lt;=0,"",IFERROR(INDEX($BB$254:$BB$360,MATCH(IF($H$14&lt;=0,0,MOD($O$14-1+3*$N$14,$H$14)+1),$AU$254:$AU$360,0))&amp;"","")),"")</f>
        <v/>
      </c>
      <c r="T14" s="2">
        <f>IF(4&lt;$J$14,IF($H$14&lt;=0,"",IFERROR(INDEX($BB$254:$BB$360,MATCH(IF($H$14&lt;=0,0,MOD($O$14-1+4*$N$14,$H$14)+1),$AU$254:$AU$360,0))&amp;"","")),"")</f>
        <v/>
      </c>
      <c r="AA14" s="2">
        <f>MOD(MOD(MOD((MOD('Início'!$E$16+104729*$I$9+6866766,2147483646)+1)*16807,2147483647)*16807,2147483647)*16807,2147483647)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c r="AY14" s="2">
        <f>IF(ISERROR($B$14),"",IF(ISBLANK($B$14),"",$B$14))</f>
        <v/>
      </c>
      <c r="BC14" s="2">
        <f>IF(ISERROR($F$14),"",IF(ISBLANK($F$14),"",$F$14))</f>
        <v/>
      </c>
      <c r="BD14" s="2">
        <f>IF(ISERROR($G$14),"",IF(ISBLANK($G$14),"",$G$14))</f>
        <v/>
      </c>
      <c r="BF14" s="2">
        <f>ISERROR($B$14)*1+ISERROR($F$14)*1+ISERROR($G$14)*1</f>
        <v/>
      </c>
    </row>
    <row r="15" ht="26" customHeight="1">
      <c r="A15" s="9" t="inlineStr">
        <is>
          <t>Tabela 9</t>
        </is>
      </c>
      <c r="B15" s="4" t="n"/>
      <c r="C15" s="25" t="n"/>
      <c r="D15" s="25" t="n"/>
      <c r="E15" s="17" t="n"/>
      <c r="F15" s="16" t="n"/>
      <c r="G15" s="16" t="n"/>
      <c r="H15" s="18">
        <f>$AV$360</f>
        <v/>
      </c>
      <c r="I15" s="18">
        <f>IF(ISNUMBER($BC$15),IF(AND($BC$15&gt;=1,$BC$15&lt;=1000000,INT($BC$15)=$BC$15),$BC$15,1),1)</f>
        <v/>
      </c>
      <c r="J15" s="18">
        <f>IF(ISNUMBER($BD$15),MIN(5,MAX(1,INT($BD$15))),1)</f>
        <v/>
      </c>
      <c r="K15" s="19">
        <f>IF(BF15&gt;0,"O Google leu como fórmula: digite de novo com ' na frente.",IF(LEN(IF(LEN($BC$15)=0,"",IF(ISNUMBER($BC$15),IF(AND($BC$15&gt;=1,$BC$15&lt;=1000000,INT($BC$15)=$BC$15),"","Rolagem nº fora de 1 a 1.000.000: usando 1"),"Rolagem nº fora de 1 a 1.000.000: usando 1")))&gt;0,IF(LEN($BC$15)=0,"",IF(ISNUMBER($BC$15),IF(AND($BC$15&gt;=1,$BC$15&lt;=1000000,INT($BC$15)=$BC$15),"","Rolagem nº fora de 1 a 1.000.000: usando 1"),"Rolagem nº fora de 1 a 1.000.000: usando 1")),IF(IF(ISNUMBER($BD$15),OR($BD$15&lt;1,$BD$15&gt;5,INT($BD$15)&lt;&gt;$BD$15),FALSE),"Quantos fora de 1 a 5: usando o limite",IF(AND($H$15&lt;=0,LEN($AY$15&amp;$BD$15&amp;$BC$15)&gt;0),"Tabela vazia: preencha as vagas abaixo",IF(AND($H$15&gt;0,$H$15&lt;$J$15),"A lista tem só "&amp;$H$15&amp;" entrada(s): os resultados se repetem",IF($H$15&gt;=100,"Lista cheia (100)",""))))))</f>
        <v/>
      </c>
      <c r="N15" s="2">
        <f>IF(MOD($H$15,7)&lt;&gt;0,7,IF(MOD($H$15,11)&lt;&gt;0,11,IF(MOD($H$15,13)&lt;&gt;0,13,IF(MOD($H$15,17)&lt;&gt;0,17,IF(MOD($H$15,19)&lt;&gt;0,19,23)))))</f>
        <v/>
      </c>
      <c r="O15" s="2">
        <f>IF($H$15&lt;=0,0,INT($AC$26*$H$15/2147483647)+1)</f>
        <v/>
      </c>
      <c r="P15" s="2">
        <f>IF(0&lt;$J$15,IF($H$15&lt;=0,"",IFERROR(INDEX($BE$254:$BE$360,MATCH(IF($H$15&lt;=0,0,MOD($O$15-1+0*$N$15,$H$15)+1),$AV$254:$AV$360,0))&amp;"","")),"")</f>
        <v/>
      </c>
      <c r="Q15" s="2">
        <f>IF(1&lt;$J$15,IF($H$15&lt;=0,"",IFERROR(INDEX($BE$254:$BE$360,MATCH(IF($H$15&lt;=0,0,MOD($O$15-1+1*$N$15,$H$15)+1),$AV$254:$AV$360,0))&amp;"","")),"")</f>
        <v/>
      </c>
      <c r="R15" s="2">
        <f>IF(2&lt;$J$15,IF($H$15&lt;=0,"",IFERROR(INDEX($BE$254:$BE$360,MATCH(IF($H$15&lt;=0,0,MOD($O$15-1+2*$N$15,$H$15)+1),$AV$254:$AV$360,0))&amp;"","")),"")</f>
        <v/>
      </c>
      <c r="S15" s="2">
        <f>IF(3&lt;$J$15,IF($H$15&lt;=0,"",IFERROR(INDEX($BE$254:$BE$360,MATCH(IF($H$15&lt;=0,0,MOD($O$15-1+3*$N$15,$H$15)+1),$AV$254:$AV$360,0))&amp;"","")),"")</f>
        <v/>
      </c>
      <c r="T15" s="2">
        <f>IF(4&lt;$J$15,IF($H$15&lt;=0,"",IFERROR(INDEX($BE$254:$BE$360,MATCH(IF($H$15&lt;=0,0,MOD($O$15-1+4*$N$15,$H$15)+1),$AV$254:$AV$360,0))&amp;"","")),"")</f>
        <v/>
      </c>
      <c r="AY15" s="2">
        <f>IF(ISERROR($B$15),"",IF(ISBLANK($B$15),"",$B$15))</f>
        <v/>
      </c>
      <c r="BC15" s="2">
        <f>IF(ISERROR($F$15),"",IF(ISBLANK($F$15),"",$F$15))</f>
        <v/>
      </c>
      <c r="BD15" s="2">
        <f>IF(ISERROR($G$15),"",IF(ISBLANK($G$15),"",$G$15))</f>
        <v/>
      </c>
      <c r="BF15" s="2">
        <f>ISERROR($B$15)*1+ISERROR($F$15)*1+ISERROR($G$15)*1</f>
        <v/>
      </c>
    </row>
    <row r="16" ht="26" customHeight="1">
      <c r="A16" s="21" t="inlineStr">
        <is>
          <t>Tabela 10</t>
        </is>
      </c>
      <c r="B16" s="29" t="n"/>
      <c r="C16" s="25" t="n"/>
      <c r="D16" s="25" t="n"/>
      <c r="E16" s="17" t="n"/>
      <c r="F16" s="37" t="n"/>
      <c r="G16" s="37" t="n"/>
      <c r="H16" s="23">
        <f>$AW$470</f>
        <v/>
      </c>
      <c r="I16" s="23">
        <f>IF(ISNUMBER($BC$16),IF(AND($BC$16&gt;=1,$BC$16&lt;=1000000,INT($BC$16)=$BC$16),$BC$16,1),1)</f>
        <v/>
      </c>
      <c r="J16" s="23">
        <f>IF(ISNUMBER($BD$16),MIN(5,MAX(1,INT($BD$16))),1)</f>
        <v/>
      </c>
      <c r="K16" s="27">
        <f>IF(BF16&gt;0,"O Google leu como fórmula: digite de novo com ' na frente.",IF(LEN(IF(LEN($BC$16)=0,"",IF(ISNUMBER($BC$16),IF(AND($BC$16&gt;=1,$BC$16&lt;=1000000,INT($BC$16)=$BC$16),"","Rolagem nº fora de 1 a 1.000.000: usando 1"),"Rolagem nº fora de 1 a 1.000.000: usando 1")))&gt;0,IF(LEN($BC$16)=0,"",IF(ISNUMBER($BC$16),IF(AND($BC$16&gt;=1,$BC$16&lt;=1000000,INT($BC$16)=$BC$16),"","Rolagem nº fora de 1 a 1.000.000: usando 1"),"Rolagem nº fora de 1 a 1.000.000: usando 1")),IF(IF(ISNUMBER($BD$16),OR($BD$16&lt;1,$BD$16&gt;5,INT($BD$16)&lt;&gt;$BD$16),FALSE),"Quantos fora de 1 a 5: usando o limite",IF(AND($H$16&lt;=0,LEN($AY$16&amp;$BD$16&amp;$BC$16)&gt;0),"Tabela vazia: preencha as vagas abaixo",IF(AND($H$16&gt;0,$H$16&lt;$J$16),"A lista tem só "&amp;$H$16&amp;" entrada(s): os resultados se repetem",IF($H$16&gt;=100,"Lista cheia (100)",""))))))</f>
        <v/>
      </c>
      <c r="N16" s="2">
        <f>IF(MOD($H$16,7)&lt;&gt;0,7,IF(MOD($H$16,11)&lt;&gt;0,11,IF(MOD($H$16,13)&lt;&gt;0,13,IF(MOD($H$16,17)&lt;&gt;0,17,IF(MOD($H$16,19)&lt;&gt;0,19,23)))))</f>
        <v/>
      </c>
      <c r="O16" s="2">
        <f>IF($H$16&lt;=0,0,INT($AC$28*$H$16/2147483647)+1)</f>
        <v/>
      </c>
      <c r="P16" s="2">
        <f>IF(0&lt;$J$16,IF($H$16&lt;=0,"",IFERROR(INDEX($AY$364:$AY$470,MATCH(IF($H$16&lt;=0,0,MOD($O$16-1+0*$N$16,$H$16)+1),$AW$364:$AW$470,0))&amp;"","")),"")</f>
        <v/>
      </c>
      <c r="Q16" s="2">
        <f>IF(1&lt;$J$16,IF($H$16&lt;=0,"",IFERROR(INDEX($AY$364:$AY$470,MATCH(IF($H$16&lt;=0,0,MOD($O$16-1+1*$N$16,$H$16)+1),$AW$364:$AW$470,0))&amp;"","")),"")</f>
        <v/>
      </c>
      <c r="R16" s="2">
        <f>IF(2&lt;$J$16,IF($H$16&lt;=0,"",IFERROR(INDEX($AY$364:$AY$470,MATCH(IF($H$16&lt;=0,0,MOD($O$16-1+2*$N$16,$H$16)+1),$AW$364:$AW$470,0))&amp;"","")),"")</f>
        <v/>
      </c>
      <c r="S16" s="2">
        <f>IF(3&lt;$J$16,IF($H$16&lt;=0,"",IFERROR(INDEX($AY$364:$AY$470,MATCH(IF($H$16&lt;=0,0,MOD($O$16-1+3*$N$16,$H$16)+1),$AW$364:$AW$470,0))&amp;"","")),"")</f>
        <v/>
      </c>
      <c r="T16" s="2">
        <f>IF(4&lt;$J$16,IF($H$16&lt;=0,"",IFERROR(INDEX($AY$364:$AY$470,MATCH(IF($H$16&lt;=0,0,MOD($O$16-1+4*$N$16,$H$16)+1),$AW$364:$AW$470,0))&amp;"","")),"")</f>
        <v/>
      </c>
      <c r="AA16" s="2">
        <f>MOD(MOD(MOD((MOD('Início'!$E$16+104729*$I$10+6874685,2147483646)+1)*16807,2147483647)*16807,2147483647)*16807,2147483647)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c r="AY16" s="2">
        <f>IF(ISERROR($B$16),"",IF(ISBLANK($B$16),"",$B$16))</f>
        <v/>
      </c>
      <c r="BC16" s="2">
        <f>IF(ISERROR($F$16),"",IF(ISBLANK($F$16),"",$F$16))</f>
        <v/>
      </c>
      <c r="BD16" s="2">
        <f>IF(ISERROR($G$16),"",IF(ISBLANK($G$16),"",$G$16))</f>
        <v/>
      </c>
      <c r="BF16" s="2">
        <f>ISERROR($B$16)*1+ISERROR($F$16)*1+ISERROR($G$16)*1</f>
        <v/>
      </c>
    </row>
    <row r="17"/>
    <row r="18" ht="20" customHeight="1">
      <c r="A18" s="13" t="inlineStr">
        <is>
          <t>Resultados (automático): copie e cole como valores onde precisar</t>
        </is>
      </c>
      <c r="AA18" s="2">
        <f>MOD(MOD(MOD((MOD('Início'!$E$16+104729*$I$11+6882604,2147483646)+1)*16807,2147483647)*16807,2147483647)*16807,2147483647)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row>
    <row r="19">
      <c r="A19" s="8" t="inlineStr">
        <is>
          <t>Tabela</t>
        </is>
      </c>
      <c r="B19" s="8" t="inlineStr">
        <is>
          <t>Resultados da rolagem, na ordem (sem repetir)</t>
        </is>
      </c>
      <c r="C19" s="20" t="n"/>
      <c r="D19" s="20" t="n"/>
      <c r="E19" s="20" t="n"/>
      <c r="F19" s="20" t="n"/>
      <c r="G19" s="20" t="n"/>
      <c r="H19" s="20" t="n"/>
      <c r="I19" s="20" t="n"/>
      <c r="J19" s="20" t="n"/>
    </row>
    <row r="20" ht="93" customHeight="1">
      <c r="A20" s="31">
        <f>IF(LEN($AY$7)&gt;0,$AY$7,"Tabela 1")</f>
        <v/>
      </c>
      <c r="B20" s="5">
        <f>IF(LEN($P$7)=0,"","1. "&amp;$P$7&amp;IF(LEN($Q$7)&gt;0," · 2. "&amp;$Q$7,"")&amp;IF(LEN($R$7)&gt;0," · 3. "&amp;$R$7,"")&amp;IF(LEN($S$7)&gt;0," · 4. "&amp;$S$7,"")&amp;IF(LEN($T$7)&gt;0," · 5. "&amp;$T$7,""))</f>
        <v/>
      </c>
      <c r="AA20" s="2">
        <f>MOD(MOD(MOD((MOD('Início'!$E$16+104729*$I$12+6890523,2147483646)+1)*16807,2147483647)*16807,2147483647)*16807,2147483647)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ht="93" customHeight="1">
      <c r="A21" s="43">
        <f>IF(LEN($AY$8)&gt;0,$AY$8,"Tabela 2")</f>
        <v/>
      </c>
      <c r="B21" s="10">
        <f>IF(LEN($P$8)=0,"","1. "&amp;$P$8&amp;IF(LEN($Q$8)&gt;0," · 2. "&amp;$Q$8,"")&amp;IF(LEN($R$8)&gt;0," · 3. "&amp;$R$8,"")&amp;IF(LEN($S$8)&gt;0," · 4. "&amp;$S$8,"")&amp;IF(LEN($T$8)&gt;0," · 5. "&amp;$T$8,""))</f>
        <v/>
      </c>
    </row>
    <row r="22" ht="93" customHeight="1">
      <c r="A22" s="31">
        <f>IF(LEN($AY$9)&gt;0,$AY$9,"Tabela 3")</f>
        <v/>
      </c>
      <c r="B22" s="5">
        <f>IF(LEN($P$9)=0,"","1. "&amp;$P$9&amp;IF(LEN($Q$9)&gt;0," · 2. "&amp;$Q$9,"")&amp;IF(LEN($R$9)&gt;0," · 3. "&amp;$R$9,"")&amp;IF(LEN($S$9)&gt;0," · 4. "&amp;$S$9,"")&amp;IF(LEN($T$9)&gt;0," · 5. "&amp;$T$9,""))</f>
        <v/>
      </c>
      <c r="AA22" s="2">
        <f>MOD(MOD(MOD((MOD('Início'!$E$16+104729*$I$13+6898442,2147483646)+1)*16807,2147483647)*16807,2147483647)*16807,2147483647)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ht="93" customHeight="1">
      <c r="A23" s="43">
        <f>IF(LEN($AY$10)&gt;0,$AY$10,"Tabela 4")</f>
        <v/>
      </c>
      <c r="B23" s="10">
        <f>IF(LEN($P$10)=0,"","1. "&amp;$P$10&amp;IF(LEN($Q$10)&gt;0," · 2. "&amp;$Q$10,"")&amp;IF(LEN($R$10)&gt;0," · 3. "&amp;$R$10,"")&amp;IF(LEN($S$10)&gt;0," · 4. "&amp;$S$10,"")&amp;IF(LEN($T$10)&gt;0," · 5. "&amp;$T$10,""))</f>
        <v/>
      </c>
    </row>
    <row r="24" ht="93" customHeight="1">
      <c r="A24" s="31">
        <f>IF(LEN($AY$11)&gt;0,$AY$11,"Tabela 5")</f>
        <v/>
      </c>
      <c r="B24" s="5">
        <f>IF(LEN($P$11)=0,"","1. "&amp;$P$11&amp;IF(LEN($Q$11)&gt;0," · 2. "&amp;$Q$11,"")&amp;IF(LEN($R$11)&gt;0," · 3. "&amp;$R$11,"")&amp;IF(LEN($S$11)&gt;0," · 4. "&amp;$S$11,"")&amp;IF(LEN($T$11)&gt;0," · 5. "&amp;$T$11,""))</f>
        <v/>
      </c>
      <c r="AA24" s="2">
        <f>MOD(MOD(MOD((MOD('Início'!$E$16+104729*$I$14+6906361,2147483646)+1)*16807,2147483647)*16807,2147483647)*16807,2147483647)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ht="93" customHeight="1">
      <c r="A25" s="43">
        <f>IF(LEN($AY$12)&gt;0,$AY$12,"Tabela 6")</f>
        <v/>
      </c>
      <c r="B25" s="10">
        <f>IF(LEN($P$12)=0,"","1. "&amp;$P$12&amp;IF(LEN($Q$12)&gt;0," · 2. "&amp;$Q$12,"")&amp;IF(LEN($R$12)&gt;0," · 3. "&amp;$R$12,"")&amp;IF(LEN($S$12)&gt;0," · 4. "&amp;$S$12,"")&amp;IF(LEN($T$12)&gt;0," · 5. "&amp;$T$12,""))</f>
        <v/>
      </c>
    </row>
    <row r="26" ht="93" customHeight="1">
      <c r="A26" s="31">
        <f>IF(LEN($AY$13)&gt;0,$AY$13,"Tabela 7")</f>
        <v/>
      </c>
      <c r="B26" s="5">
        <f>IF(LEN($P$13)=0,"","1. "&amp;$P$13&amp;IF(LEN($Q$13)&gt;0," · 2. "&amp;$Q$13,"")&amp;IF(LEN($R$13)&gt;0," · 3. "&amp;$R$13,"")&amp;IF(LEN($S$13)&gt;0," · 4. "&amp;$S$13,"")&amp;IF(LEN($T$13)&gt;0," · 5. "&amp;$T$13,""))</f>
        <v/>
      </c>
      <c r="AA26" s="2">
        <f>MOD(MOD(MOD((MOD('Início'!$E$16+104729*$I$15+6914280,2147483646)+1)*16807,2147483647)*16807,2147483647)*16807,2147483647)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row>
    <row r="27" ht="93" customHeight="1">
      <c r="A27" s="43">
        <f>IF(LEN($AY$14)&gt;0,$AY$14,"Tabela 8")</f>
        <v/>
      </c>
      <c r="B27" s="10">
        <f>IF(LEN($P$14)=0,"","1. "&amp;$P$14&amp;IF(LEN($Q$14)&gt;0," · 2. "&amp;$Q$14,"")&amp;IF(LEN($R$14)&gt;0," · 3. "&amp;$R$14,"")&amp;IF(LEN($S$14)&gt;0," · 4. "&amp;$S$14,"")&amp;IF(LEN($T$14)&gt;0," · 5. "&amp;$T$14,""))</f>
        <v/>
      </c>
    </row>
    <row r="28" ht="93" customHeight="1">
      <c r="A28" s="31">
        <f>IF(LEN($AY$15)&gt;0,$AY$15,"Tabela 9")</f>
        <v/>
      </c>
      <c r="B28" s="5">
        <f>IF(LEN($P$15)=0,"","1. "&amp;$P$15&amp;IF(LEN($Q$15)&gt;0," · 2. "&amp;$Q$15,"")&amp;IF(LEN($R$15)&gt;0," · 3. "&amp;$R$15,"")&amp;IF(LEN($S$15)&gt;0," · 4. "&amp;$S$15,"")&amp;IF(LEN($T$15)&gt;0," · 5. "&amp;$T$15,""))</f>
        <v/>
      </c>
      <c r="AA28" s="2">
        <f>MOD(MOD(MOD((MOD('Início'!$E$16+104729*$I$16+6922199,2147483646)+1)*16807,2147483647)*16807,2147483647)*16807,2147483647)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row>
    <row r="29" ht="93" customHeight="1">
      <c r="A29" s="43">
        <f>IF(LEN($AY$16)&gt;0,$AY$16,"Tabela 10")</f>
        <v/>
      </c>
      <c r="B29" s="10">
        <f>IF(LEN($P$16)=0,"","1. "&amp;$P$16&amp;IF(LEN($Q$16)&gt;0," · 2. "&amp;$Q$16,"")&amp;IF(LEN($R$16)&gt;0," · 3. "&amp;$R$16,"")&amp;IF(LEN($S$16)&gt;0," · 4. "&amp;$S$16,"")&amp;IF(LEN($T$16)&gt;0," · 5. "&amp;$T$16,""))</f>
        <v/>
      </c>
    </row>
    <row r="30" ht="26" customHeight="1">
      <c r="A30" s="44" t="inlineStr">
        <is>
          <t>Com n entradas, os resultados de uma rolagem não se repetem enquanto 'quantos' ≤ n (passo primo, 6.17). Editar a lista muda o sorteio: o resultado é função da semente, da Rolagem nº e da lista.</t>
        </is>
      </c>
    </row>
    <row r="31"/>
    <row r="32" ht="20" customHeight="1">
      <c r="A32" s="13" t="inlineStr">
        <is>
          <t>Listas 1 a 3 (100 vagas cada): apague para trocar, use as vagas vazias para ampliar; não insira linhas</t>
        </is>
      </c>
    </row>
    <row r="33">
      <c r="A33" s="8" t="inlineStr">
        <is>
          <t>Vagas 1–13</t>
        </is>
      </c>
      <c r="B33" s="8" t="inlineStr">
        <is>
          <t>Tabela 1</t>
        </is>
      </c>
      <c r="C33" s="20" t="n"/>
      <c r="D33" s="20" t="n"/>
      <c r="E33" s="8" t="inlineStr">
        <is>
          <t>Tabela 2</t>
        </is>
      </c>
      <c r="F33" s="20" t="n"/>
      <c r="G33" s="20" t="n"/>
      <c r="H33" s="8" t="inlineStr">
        <is>
          <t>Tabela 3</t>
        </is>
      </c>
      <c r="I33" s="20" t="n"/>
      <c r="J33" s="20" t="n"/>
      <c r="AN33" s="2">
        <f>0</f>
        <v/>
      </c>
      <c r="AO33" s="2">
        <f>0</f>
        <v/>
      </c>
      <c r="AP33" s="2">
        <f>0</f>
        <v/>
      </c>
    </row>
    <row r="34" ht="60" customHeight="1">
      <c r="A34" s="9" t="inlineStr">
        <is>
          <t>1</t>
        </is>
      </c>
      <c r="B34" s="4" t="n"/>
      <c r="C34" s="25" t="n"/>
      <c r="D34" s="17" t="n"/>
      <c r="E34" s="4" t="n"/>
      <c r="F34" s="25" t="n"/>
      <c r="G34" s="17" t="n"/>
      <c r="H34" s="4" t="n"/>
      <c r="I34" s="25" t="n"/>
      <c r="J34" s="17" t="n"/>
      <c r="K34" s="19">
        <f>IF(BF34&gt;0,"O Google leu como fórmula: digite de novo com ' na frente.","")</f>
        <v/>
      </c>
      <c r="AN34" s="2">
        <f>AN33+IF(LEN($AY$34)&gt;0,1,0)</f>
        <v/>
      </c>
      <c r="AO34" s="2">
        <f>AO33+IF(LEN($BB$34)&gt;0,1,0)</f>
        <v/>
      </c>
      <c r="AP34" s="2">
        <f>AP33+IF(LEN($BE$34)&gt;0,1,0)</f>
        <v/>
      </c>
      <c r="AY34" s="2">
        <f>IF(ISERROR($B$34),"",IF(ISBLANK($B$34),"",$B$34))</f>
        <v/>
      </c>
      <c r="BB34" s="2">
        <f>IF(ISERROR($E$34),"",IF(ISBLANK($E$34),"",$E$34))</f>
        <v/>
      </c>
      <c r="BE34" s="2">
        <f>IF(ISERROR($H$34),"",IF(ISBLANK($H$34),"",$H$34))</f>
        <v/>
      </c>
      <c r="BF34" s="2">
        <f>ISERROR($B$34)*1+ISERROR($E$34)*1+ISERROR($H$34)*1</f>
        <v/>
      </c>
    </row>
    <row r="35" ht="60" customHeight="1">
      <c r="A35" s="21" t="inlineStr">
        <is>
          <t>2</t>
        </is>
      </c>
      <c r="B35" s="29" t="n"/>
      <c r="C35" s="25" t="n"/>
      <c r="D35" s="17" t="n"/>
      <c r="E35" s="29" t="n"/>
      <c r="F35" s="25" t="n"/>
      <c r="G35" s="17" t="n"/>
      <c r="H35" s="29" t="n"/>
      <c r="I35" s="25" t="n"/>
      <c r="J35" s="17" t="n"/>
      <c r="K35" s="19">
        <f>IF(BF35&gt;0,"O Google leu como fórmula: digite de novo com ' na frente.","")</f>
        <v/>
      </c>
      <c r="AN35" s="2">
        <f>AN34+IF(LEN($AY$35)&gt;0,1,0)</f>
        <v/>
      </c>
      <c r="AO35" s="2">
        <f>AO34+IF(LEN($BB$35)&gt;0,1,0)</f>
        <v/>
      </c>
      <c r="AP35" s="2">
        <f>AP34+IF(LEN($BE$35)&gt;0,1,0)</f>
        <v/>
      </c>
      <c r="AY35" s="2">
        <f>IF(ISERROR($B$35),"",IF(ISBLANK($B$35),"",$B$35))</f>
        <v/>
      </c>
      <c r="BB35" s="2">
        <f>IF(ISERROR($E$35),"",IF(ISBLANK($E$35),"",$E$35))</f>
        <v/>
      </c>
      <c r="BE35" s="2">
        <f>IF(ISERROR($H$35),"",IF(ISBLANK($H$35),"",$H$35))</f>
        <v/>
      </c>
      <c r="BF35" s="2">
        <f>ISERROR($B$35)*1+ISERROR($E$35)*1+ISERROR($H$35)*1</f>
        <v/>
      </c>
    </row>
    <row r="36" ht="60" customHeight="1">
      <c r="A36" s="9" t="inlineStr">
        <is>
          <t>3</t>
        </is>
      </c>
      <c r="B36" s="4" t="n"/>
      <c r="C36" s="25" t="n"/>
      <c r="D36" s="17" t="n"/>
      <c r="E36" s="4" t="n"/>
      <c r="F36" s="25" t="n"/>
      <c r="G36" s="17" t="n"/>
      <c r="H36" s="4" t="n"/>
      <c r="I36" s="25" t="n"/>
      <c r="J36" s="17" t="n"/>
      <c r="K36" s="19">
        <f>IF(BF36&gt;0,"O Google leu como fórmula: digite de novo com ' na frente.","")</f>
        <v/>
      </c>
      <c r="AN36" s="2">
        <f>AN35+IF(LEN($AY$36)&gt;0,1,0)</f>
        <v/>
      </c>
      <c r="AO36" s="2">
        <f>AO35+IF(LEN($BB$36)&gt;0,1,0)</f>
        <v/>
      </c>
      <c r="AP36" s="2">
        <f>AP35+IF(LEN($BE$36)&gt;0,1,0)</f>
        <v/>
      </c>
      <c r="AY36" s="2">
        <f>IF(ISERROR($B$36),"",IF(ISBLANK($B$36),"",$B$36))</f>
        <v/>
      </c>
      <c r="BB36" s="2">
        <f>IF(ISERROR($E$36),"",IF(ISBLANK($E$36),"",$E$36))</f>
        <v/>
      </c>
      <c r="BE36" s="2">
        <f>IF(ISERROR($H$36),"",IF(ISBLANK($H$36),"",$H$36))</f>
        <v/>
      </c>
      <c r="BF36" s="2">
        <f>ISERROR($B$36)*1+ISERROR($E$36)*1+ISERROR($H$36)*1</f>
        <v/>
      </c>
    </row>
    <row r="37" ht="60" customHeight="1">
      <c r="A37" s="21" t="inlineStr">
        <is>
          <t>4</t>
        </is>
      </c>
      <c r="B37" s="29" t="n"/>
      <c r="C37" s="25" t="n"/>
      <c r="D37" s="17" t="n"/>
      <c r="E37" s="29" t="n"/>
      <c r="F37" s="25" t="n"/>
      <c r="G37" s="17" t="n"/>
      <c r="H37" s="29" t="n"/>
      <c r="I37" s="25" t="n"/>
      <c r="J37" s="17" t="n"/>
      <c r="K37" s="19">
        <f>IF(BF37&gt;0,"O Google leu como fórmula: digite de novo com ' na frente.","")</f>
        <v/>
      </c>
      <c r="AN37" s="2">
        <f>AN36+IF(LEN($AY$37)&gt;0,1,0)</f>
        <v/>
      </c>
      <c r="AO37" s="2">
        <f>AO36+IF(LEN($BB$37)&gt;0,1,0)</f>
        <v/>
      </c>
      <c r="AP37" s="2">
        <f>AP36+IF(LEN($BE$37)&gt;0,1,0)</f>
        <v/>
      </c>
      <c r="AY37" s="2">
        <f>IF(ISERROR($B$37),"",IF(ISBLANK($B$37),"",$B$37))</f>
        <v/>
      </c>
      <c r="BB37" s="2">
        <f>IF(ISERROR($E$37),"",IF(ISBLANK($E$37),"",$E$37))</f>
        <v/>
      </c>
      <c r="BE37" s="2">
        <f>IF(ISERROR($H$37),"",IF(ISBLANK($H$37),"",$H$37))</f>
        <v/>
      </c>
      <c r="BF37" s="2">
        <f>ISERROR($B$37)*1+ISERROR($E$37)*1+ISERROR($H$37)*1</f>
        <v/>
      </c>
    </row>
    <row r="38" ht="60" customHeight="1">
      <c r="A38" s="9" t="inlineStr">
        <is>
          <t>5</t>
        </is>
      </c>
      <c r="B38" s="4" t="n"/>
      <c r="C38" s="25" t="n"/>
      <c r="D38" s="17" t="n"/>
      <c r="E38" s="4" t="n"/>
      <c r="F38" s="25" t="n"/>
      <c r="G38" s="17" t="n"/>
      <c r="H38" s="4" t="n"/>
      <c r="I38" s="25" t="n"/>
      <c r="J38" s="17" t="n"/>
      <c r="K38" s="19">
        <f>IF(BF38&gt;0,"O Google leu como fórmula: digite de novo com ' na frente.","")</f>
        <v/>
      </c>
      <c r="AN38" s="2">
        <f>AN37+IF(LEN($AY$38)&gt;0,1,0)</f>
        <v/>
      </c>
      <c r="AO38" s="2">
        <f>AO37+IF(LEN($BB$38)&gt;0,1,0)</f>
        <v/>
      </c>
      <c r="AP38" s="2">
        <f>AP37+IF(LEN($BE$38)&gt;0,1,0)</f>
        <v/>
      </c>
      <c r="AY38" s="2">
        <f>IF(ISERROR($B$38),"",IF(ISBLANK($B$38),"",$B$38))</f>
        <v/>
      </c>
      <c r="BB38" s="2">
        <f>IF(ISERROR($E$38),"",IF(ISBLANK($E$38),"",$E$38))</f>
        <v/>
      </c>
      <c r="BE38" s="2">
        <f>IF(ISERROR($H$38),"",IF(ISBLANK($H$38),"",$H$38))</f>
        <v/>
      </c>
      <c r="BF38" s="2">
        <f>ISERROR($B$38)*1+ISERROR($E$38)*1+ISERROR($H$38)*1</f>
        <v/>
      </c>
    </row>
    <row r="39" ht="60" customHeight="1">
      <c r="A39" s="21" t="inlineStr">
        <is>
          <t>6</t>
        </is>
      </c>
      <c r="B39" s="29" t="n"/>
      <c r="C39" s="25" t="n"/>
      <c r="D39" s="17" t="n"/>
      <c r="E39" s="29" t="n"/>
      <c r="F39" s="25" t="n"/>
      <c r="G39" s="17" t="n"/>
      <c r="H39" s="29" t="n"/>
      <c r="I39" s="25" t="n"/>
      <c r="J39" s="17" t="n"/>
      <c r="K39" s="19">
        <f>IF(BF39&gt;0,"O Google leu como fórmula: digite de novo com ' na frente.","")</f>
        <v/>
      </c>
      <c r="AN39" s="2">
        <f>AN38+IF(LEN($AY$39)&gt;0,1,0)</f>
        <v/>
      </c>
      <c r="AO39" s="2">
        <f>AO38+IF(LEN($BB$39)&gt;0,1,0)</f>
        <v/>
      </c>
      <c r="AP39" s="2">
        <f>AP38+IF(LEN($BE$39)&gt;0,1,0)</f>
        <v/>
      </c>
      <c r="AY39" s="2">
        <f>IF(ISERROR($B$39),"",IF(ISBLANK($B$39),"",$B$39))</f>
        <v/>
      </c>
      <c r="BB39" s="2">
        <f>IF(ISERROR($E$39),"",IF(ISBLANK($E$39),"",$E$39))</f>
        <v/>
      </c>
      <c r="BE39" s="2">
        <f>IF(ISERROR($H$39),"",IF(ISBLANK($H$39),"",$H$39))</f>
        <v/>
      </c>
      <c r="BF39" s="2">
        <f>ISERROR($B$39)*1+ISERROR($E$39)*1+ISERROR($H$39)*1</f>
        <v/>
      </c>
    </row>
    <row r="40" ht="60" customHeight="1">
      <c r="A40" s="9" t="inlineStr">
        <is>
          <t>7</t>
        </is>
      </c>
      <c r="B40" s="4" t="n"/>
      <c r="C40" s="25" t="n"/>
      <c r="D40" s="17" t="n"/>
      <c r="E40" s="4" t="n"/>
      <c r="F40" s="25" t="n"/>
      <c r="G40" s="17" t="n"/>
      <c r="H40" s="4" t="n"/>
      <c r="I40" s="25" t="n"/>
      <c r="J40" s="17" t="n"/>
      <c r="K40" s="19">
        <f>IF(BF40&gt;0,"O Google leu como fórmula: digite de novo com ' na frente.","")</f>
        <v/>
      </c>
      <c r="AN40" s="2">
        <f>AN39+IF(LEN($AY$40)&gt;0,1,0)</f>
        <v/>
      </c>
      <c r="AO40" s="2">
        <f>AO39+IF(LEN($BB$40)&gt;0,1,0)</f>
        <v/>
      </c>
      <c r="AP40" s="2">
        <f>AP39+IF(LEN($BE$40)&gt;0,1,0)</f>
        <v/>
      </c>
      <c r="AY40" s="2">
        <f>IF(ISERROR($B$40),"",IF(ISBLANK($B$40),"",$B$40))</f>
        <v/>
      </c>
      <c r="BB40" s="2">
        <f>IF(ISERROR($E$40),"",IF(ISBLANK($E$40),"",$E$40))</f>
        <v/>
      </c>
      <c r="BE40" s="2">
        <f>IF(ISERROR($H$40),"",IF(ISBLANK($H$40),"",$H$40))</f>
        <v/>
      </c>
      <c r="BF40" s="2">
        <f>ISERROR($B$40)*1+ISERROR($E$40)*1+ISERROR($H$40)*1</f>
        <v/>
      </c>
    </row>
    <row r="41" ht="60" customHeight="1">
      <c r="A41" s="21" t="inlineStr">
        <is>
          <t>8</t>
        </is>
      </c>
      <c r="B41" s="29" t="n"/>
      <c r="C41" s="25" t="n"/>
      <c r="D41" s="17" t="n"/>
      <c r="E41" s="29" t="n"/>
      <c r="F41" s="25" t="n"/>
      <c r="G41" s="17" t="n"/>
      <c r="H41" s="29" t="n"/>
      <c r="I41" s="25" t="n"/>
      <c r="J41" s="17" t="n"/>
      <c r="K41" s="19">
        <f>IF(BF41&gt;0,"O Google leu como fórmula: digite de novo com ' na frente.","")</f>
        <v/>
      </c>
      <c r="AN41" s="2">
        <f>AN40+IF(LEN($AY$41)&gt;0,1,0)</f>
        <v/>
      </c>
      <c r="AO41" s="2">
        <f>AO40+IF(LEN($BB$41)&gt;0,1,0)</f>
        <v/>
      </c>
      <c r="AP41" s="2">
        <f>AP40+IF(LEN($BE$41)&gt;0,1,0)</f>
        <v/>
      </c>
      <c r="AY41" s="2">
        <f>IF(ISERROR($B$41),"",IF(ISBLANK($B$41),"",$B$41))</f>
        <v/>
      </c>
      <c r="BB41" s="2">
        <f>IF(ISERROR($E$41),"",IF(ISBLANK($E$41),"",$E$41))</f>
        <v/>
      </c>
      <c r="BE41" s="2">
        <f>IF(ISERROR($H$41),"",IF(ISBLANK($H$41),"",$H$41))</f>
        <v/>
      </c>
      <c r="BF41" s="2">
        <f>ISERROR($B$41)*1+ISERROR($E$41)*1+ISERROR($H$41)*1</f>
        <v/>
      </c>
    </row>
    <row r="42" ht="60" customHeight="1">
      <c r="A42" s="9" t="inlineStr">
        <is>
          <t>9</t>
        </is>
      </c>
      <c r="B42" s="4" t="n"/>
      <c r="C42" s="25" t="n"/>
      <c r="D42" s="17" t="n"/>
      <c r="E42" s="4" t="n"/>
      <c r="F42" s="25" t="n"/>
      <c r="G42" s="17" t="n"/>
      <c r="H42" s="4" t="n"/>
      <c r="I42" s="25" t="n"/>
      <c r="J42" s="17" t="n"/>
      <c r="K42" s="19">
        <f>IF(BF42&gt;0,"O Google leu como fórmula: digite de novo com ' na frente.","")</f>
        <v/>
      </c>
      <c r="AN42" s="2">
        <f>AN41+IF(LEN($AY$42)&gt;0,1,0)</f>
        <v/>
      </c>
      <c r="AO42" s="2">
        <f>AO41+IF(LEN($BB$42)&gt;0,1,0)</f>
        <v/>
      </c>
      <c r="AP42" s="2">
        <f>AP41+IF(LEN($BE$42)&gt;0,1,0)</f>
        <v/>
      </c>
      <c r="AY42" s="2">
        <f>IF(ISERROR($B$42),"",IF(ISBLANK($B$42),"",$B$42))</f>
        <v/>
      </c>
      <c r="BB42" s="2">
        <f>IF(ISERROR($E$42),"",IF(ISBLANK($E$42),"",$E$42))</f>
        <v/>
      </c>
      <c r="BE42" s="2">
        <f>IF(ISERROR($H$42),"",IF(ISBLANK($H$42),"",$H$42))</f>
        <v/>
      </c>
      <c r="BF42" s="2">
        <f>ISERROR($B$42)*1+ISERROR($E$42)*1+ISERROR($H$42)*1</f>
        <v/>
      </c>
    </row>
    <row r="43" ht="60" customHeight="1">
      <c r="A43" s="21" t="inlineStr">
        <is>
          <t>10</t>
        </is>
      </c>
      <c r="B43" s="29" t="n"/>
      <c r="C43" s="25" t="n"/>
      <c r="D43" s="17" t="n"/>
      <c r="E43" s="29" t="n"/>
      <c r="F43" s="25" t="n"/>
      <c r="G43" s="17" t="n"/>
      <c r="H43" s="29" t="n"/>
      <c r="I43" s="25" t="n"/>
      <c r="J43" s="17" t="n"/>
      <c r="K43" s="19">
        <f>IF(BF43&gt;0,"O Google leu como fórmula: digite de novo com ' na frente.","")</f>
        <v/>
      </c>
      <c r="AN43" s="2">
        <f>AN42+IF(LEN($AY$43)&gt;0,1,0)</f>
        <v/>
      </c>
      <c r="AO43" s="2">
        <f>AO42+IF(LEN($BB$43)&gt;0,1,0)</f>
        <v/>
      </c>
      <c r="AP43" s="2">
        <f>AP42+IF(LEN($BE$43)&gt;0,1,0)</f>
        <v/>
      </c>
      <c r="AY43" s="2">
        <f>IF(ISERROR($B$43),"",IF(ISBLANK($B$43),"",$B$43))</f>
        <v/>
      </c>
      <c r="BB43" s="2">
        <f>IF(ISERROR($E$43),"",IF(ISBLANK($E$43),"",$E$43))</f>
        <v/>
      </c>
      <c r="BE43" s="2">
        <f>IF(ISERROR($H$43),"",IF(ISBLANK($H$43),"",$H$43))</f>
        <v/>
      </c>
      <c r="BF43" s="2">
        <f>ISERROR($B$43)*1+ISERROR($E$43)*1+ISERROR($H$43)*1</f>
        <v/>
      </c>
    </row>
    <row r="44" ht="60" customHeight="1">
      <c r="A44" s="9" t="inlineStr">
        <is>
          <t>11</t>
        </is>
      </c>
      <c r="B44" s="4" t="n"/>
      <c r="C44" s="25" t="n"/>
      <c r="D44" s="17" t="n"/>
      <c r="E44" s="4" t="n"/>
      <c r="F44" s="25" t="n"/>
      <c r="G44" s="17" t="n"/>
      <c r="H44" s="4" t="n"/>
      <c r="I44" s="25" t="n"/>
      <c r="J44" s="17" t="n"/>
      <c r="K44" s="19">
        <f>IF(BF44&gt;0,"O Google leu como fórmula: digite de novo com ' na frente.","")</f>
        <v/>
      </c>
      <c r="AN44" s="2">
        <f>AN43+IF(LEN($AY$44)&gt;0,1,0)</f>
        <v/>
      </c>
      <c r="AO44" s="2">
        <f>AO43+IF(LEN($BB$44)&gt;0,1,0)</f>
        <v/>
      </c>
      <c r="AP44" s="2">
        <f>AP43+IF(LEN($BE$44)&gt;0,1,0)</f>
        <v/>
      </c>
      <c r="AY44" s="2">
        <f>IF(ISERROR($B$44),"",IF(ISBLANK($B$44),"",$B$44))</f>
        <v/>
      </c>
      <c r="BB44" s="2">
        <f>IF(ISERROR($E$44),"",IF(ISBLANK($E$44),"",$E$44))</f>
        <v/>
      </c>
      <c r="BE44" s="2">
        <f>IF(ISERROR($H$44),"",IF(ISBLANK($H$44),"",$H$44))</f>
        <v/>
      </c>
      <c r="BF44" s="2">
        <f>ISERROR($B$44)*1+ISERROR($E$44)*1+ISERROR($H$44)*1</f>
        <v/>
      </c>
    </row>
    <row r="45" ht="60" customHeight="1">
      <c r="A45" s="21" t="inlineStr">
        <is>
          <t>12</t>
        </is>
      </c>
      <c r="B45" s="29" t="n"/>
      <c r="C45" s="25" t="n"/>
      <c r="D45" s="17" t="n"/>
      <c r="E45" s="29" t="n"/>
      <c r="F45" s="25" t="n"/>
      <c r="G45" s="17" t="n"/>
      <c r="H45" s="29" t="n"/>
      <c r="I45" s="25" t="n"/>
      <c r="J45" s="17" t="n"/>
      <c r="K45" s="19">
        <f>IF(BF45&gt;0,"O Google leu como fórmula: digite de novo com ' na frente.","")</f>
        <v/>
      </c>
      <c r="AN45" s="2">
        <f>AN44+IF(LEN($AY$45)&gt;0,1,0)</f>
        <v/>
      </c>
      <c r="AO45" s="2">
        <f>AO44+IF(LEN($BB$45)&gt;0,1,0)</f>
        <v/>
      </c>
      <c r="AP45" s="2">
        <f>AP44+IF(LEN($BE$45)&gt;0,1,0)</f>
        <v/>
      </c>
      <c r="AY45" s="2">
        <f>IF(ISERROR($B$45),"",IF(ISBLANK($B$45),"",$B$45))</f>
        <v/>
      </c>
      <c r="BB45" s="2">
        <f>IF(ISERROR($E$45),"",IF(ISBLANK($E$45),"",$E$45))</f>
        <v/>
      </c>
      <c r="BE45" s="2">
        <f>IF(ISERROR($H$45),"",IF(ISBLANK($H$45),"",$H$45))</f>
        <v/>
      </c>
      <c r="BF45" s="2">
        <f>ISERROR($B$45)*1+ISERROR($E$45)*1+ISERROR($H$45)*1</f>
        <v/>
      </c>
    </row>
    <row r="46" ht="60" customHeight="1">
      <c r="A46" s="9" t="inlineStr">
        <is>
          <t>13</t>
        </is>
      </c>
      <c r="B46" s="4" t="n"/>
      <c r="C46" s="25" t="n"/>
      <c r="D46" s="17" t="n"/>
      <c r="E46" s="4" t="n"/>
      <c r="F46" s="25" t="n"/>
      <c r="G46" s="17" t="n"/>
      <c r="H46" s="4" t="n"/>
      <c r="I46" s="25" t="n"/>
      <c r="J46" s="17" t="n"/>
      <c r="K46" s="19">
        <f>IF(BF46&gt;0,"O Google leu como fórmula: digite de novo com ' na frente.","")</f>
        <v/>
      </c>
      <c r="AN46" s="2">
        <f>AN45+IF(LEN($AY$46)&gt;0,1,0)</f>
        <v/>
      </c>
      <c r="AO46" s="2">
        <f>AO45+IF(LEN($BB$46)&gt;0,1,0)</f>
        <v/>
      </c>
      <c r="AP46" s="2">
        <f>AP45+IF(LEN($BE$46)&gt;0,1,0)</f>
        <v/>
      </c>
      <c r="AY46" s="2">
        <f>IF(ISERROR($B$46),"",IF(ISBLANK($B$46),"",$B$46))</f>
        <v/>
      </c>
      <c r="BB46" s="2">
        <f>IF(ISERROR($E$46),"",IF(ISBLANK($E$46),"",$E$46))</f>
        <v/>
      </c>
      <c r="BE46" s="2">
        <f>IF(ISERROR($H$46),"",IF(ISBLANK($H$46),"",$H$46))</f>
        <v/>
      </c>
      <c r="BF46" s="2">
        <f>ISERROR($B$46)*1+ISERROR($E$46)*1+ISERROR($H$46)*1</f>
        <v/>
      </c>
    </row>
    <row r="47">
      <c r="A47" s="8" t="inlineStr">
        <is>
          <t>Vagas 14–26</t>
        </is>
      </c>
      <c r="B47" s="8" t="inlineStr">
        <is>
          <t>Tabela 1</t>
        </is>
      </c>
      <c r="C47" s="20" t="n"/>
      <c r="D47" s="20" t="n"/>
      <c r="E47" s="8" t="inlineStr">
        <is>
          <t>Tabela 2</t>
        </is>
      </c>
      <c r="F47" s="20" t="n"/>
      <c r="G47" s="20" t="n"/>
      <c r="H47" s="8" t="inlineStr">
        <is>
          <t>Tabela 3</t>
        </is>
      </c>
      <c r="I47" s="20" t="n"/>
      <c r="J47" s="20" t="n"/>
      <c r="AN47" s="2">
        <f>AN46</f>
        <v/>
      </c>
      <c r="AO47" s="2">
        <f>AO46</f>
        <v/>
      </c>
      <c r="AP47" s="2">
        <f>AP46</f>
        <v/>
      </c>
      <c r="AY47" s="2">
        <f>IF(ISERROR($B$47),"",IF(ISBLANK($B$47),"",$B$47))</f>
        <v/>
      </c>
      <c r="BB47" s="2">
        <f>IF(ISERROR($E$47),"",IF(ISBLANK($E$47),"",$E$47))</f>
        <v/>
      </c>
      <c r="BE47" s="2">
        <f>IF(ISERROR($H$47),"",IF(ISBLANK($H$47),"",$H$47))</f>
        <v/>
      </c>
    </row>
    <row r="48" ht="60" customHeight="1">
      <c r="A48" s="9" t="inlineStr">
        <is>
          <t>14</t>
        </is>
      </c>
      <c r="B48" s="4" t="n"/>
      <c r="C48" s="25" t="n"/>
      <c r="D48" s="17" t="n"/>
      <c r="E48" s="4" t="n"/>
      <c r="F48" s="25" t="n"/>
      <c r="G48" s="17" t="n"/>
      <c r="H48" s="4" t="n"/>
      <c r="I48" s="25" t="n"/>
      <c r="J48" s="17" t="n"/>
      <c r="K48" s="19">
        <f>IF(BF48&gt;0,"O Google leu como fórmula: digite de novo com ' na frente.","")</f>
        <v/>
      </c>
      <c r="AN48" s="2">
        <f>AN47+IF(LEN($AY$48)&gt;0,1,0)</f>
        <v/>
      </c>
      <c r="AO48" s="2">
        <f>AO47+IF(LEN($BB$48)&gt;0,1,0)</f>
        <v/>
      </c>
      <c r="AP48" s="2">
        <f>AP47+IF(LEN($BE$48)&gt;0,1,0)</f>
        <v/>
      </c>
      <c r="AY48" s="2">
        <f>IF(ISERROR($B$48),"",IF(ISBLANK($B$48),"",$B$48))</f>
        <v/>
      </c>
      <c r="BB48" s="2">
        <f>IF(ISERROR($E$48),"",IF(ISBLANK($E$48),"",$E$48))</f>
        <v/>
      </c>
      <c r="BE48" s="2">
        <f>IF(ISERROR($H$48),"",IF(ISBLANK($H$48),"",$H$48))</f>
        <v/>
      </c>
      <c r="BF48" s="2">
        <f>ISERROR($B$48)*1+ISERROR($E$48)*1+ISERROR($H$48)*1</f>
        <v/>
      </c>
    </row>
    <row r="49" ht="60" customHeight="1">
      <c r="A49" s="21" t="inlineStr">
        <is>
          <t>15</t>
        </is>
      </c>
      <c r="B49" s="29" t="n"/>
      <c r="C49" s="25" t="n"/>
      <c r="D49" s="17" t="n"/>
      <c r="E49" s="29" t="n"/>
      <c r="F49" s="25" t="n"/>
      <c r="G49" s="17" t="n"/>
      <c r="H49" s="29" t="n"/>
      <c r="I49" s="25" t="n"/>
      <c r="J49" s="17" t="n"/>
      <c r="K49" s="19">
        <f>IF(BF49&gt;0,"O Google leu como fórmula: digite de novo com ' na frente.","")</f>
        <v/>
      </c>
      <c r="AN49" s="2">
        <f>AN48+IF(LEN($AY$49)&gt;0,1,0)</f>
        <v/>
      </c>
      <c r="AO49" s="2">
        <f>AO48+IF(LEN($BB$49)&gt;0,1,0)</f>
        <v/>
      </c>
      <c r="AP49" s="2">
        <f>AP48+IF(LEN($BE$49)&gt;0,1,0)</f>
        <v/>
      </c>
      <c r="AY49" s="2">
        <f>IF(ISERROR($B$49),"",IF(ISBLANK($B$49),"",$B$49))</f>
        <v/>
      </c>
      <c r="BB49" s="2">
        <f>IF(ISERROR($E$49),"",IF(ISBLANK($E$49),"",$E$49))</f>
        <v/>
      </c>
      <c r="BE49" s="2">
        <f>IF(ISERROR($H$49),"",IF(ISBLANK($H$49),"",$H$49))</f>
        <v/>
      </c>
      <c r="BF49" s="2">
        <f>ISERROR($B$49)*1+ISERROR($E$49)*1+ISERROR($H$49)*1</f>
        <v/>
      </c>
    </row>
    <row r="50" ht="60" customHeight="1">
      <c r="A50" s="9" t="inlineStr">
        <is>
          <t>16</t>
        </is>
      </c>
      <c r="B50" s="4" t="n"/>
      <c r="C50" s="25" t="n"/>
      <c r="D50" s="17" t="n"/>
      <c r="E50" s="4" t="n"/>
      <c r="F50" s="25" t="n"/>
      <c r="G50" s="17" t="n"/>
      <c r="H50" s="4" t="n"/>
      <c r="I50" s="25" t="n"/>
      <c r="J50" s="17" t="n"/>
      <c r="K50" s="19">
        <f>IF(BF50&gt;0,"O Google leu como fórmula: digite de novo com ' na frente.","")</f>
        <v/>
      </c>
      <c r="AN50" s="2">
        <f>AN49+IF(LEN($AY$50)&gt;0,1,0)</f>
        <v/>
      </c>
      <c r="AO50" s="2">
        <f>AO49+IF(LEN($BB$50)&gt;0,1,0)</f>
        <v/>
      </c>
      <c r="AP50" s="2">
        <f>AP49+IF(LEN($BE$50)&gt;0,1,0)</f>
        <v/>
      </c>
      <c r="AY50" s="2">
        <f>IF(ISERROR($B$50),"",IF(ISBLANK($B$50),"",$B$50))</f>
        <v/>
      </c>
      <c r="BB50" s="2">
        <f>IF(ISERROR($E$50),"",IF(ISBLANK($E$50),"",$E$50))</f>
        <v/>
      </c>
      <c r="BE50" s="2">
        <f>IF(ISERROR($H$50),"",IF(ISBLANK($H$50),"",$H$50))</f>
        <v/>
      </c>
      <c r="BF50" s="2">
        <f>ISERROR($B$50)*1+ISERROR($E$50)*1+ISERROR($H$50)*1</f>
        <v/>
      </c>
    </row>
    <row r="51" ht="60" customHeight="1">
      <c r="A51" s="21" t="inlineStr">
        <is>
          <t>17</t>
        </is>
      </c>
      <c r="B51" s="29" t="n"/>
      <c r="C51" s="25" t="n"/>
      <c r="D51" s="17" t="n"/>
      <c r="E51" s="29" t="n"/>
      <c r="F51" s="25" t="n"/>
      <c r="G51" s="17" t="n"/>
      <c r="H51" s="29" t="n"/>
      <c r="I51" s="25" t="n"/>
      <c r="J51" s="17" t="n"/>
      <c r="K51" s="19">
        <f>IF(BF51&gt;0,"O Google leu como fórmula: digite de novo com ' na frente.","")</f>
        <v/>
      </c>
      <c r="AN51" s="2">
        <f>AN50+IF(LEN($AY$51)&gt;0,1,0)</f>
        <v/>
      </c>
      <c r="AO51" s="2">
        <f>AO50+IF(LEN($BB$51)&gt;0,1,0)</f>
        <v/>
      </c>
      <c r="AP51" s="2">
        <f>AP50+IF(LEN($BE$51)&gt;0,1,0)</f>
        <v/>
      </c>
      <c r="AY51" s="2">
        <f>IF(ISERROR($B$51),"",IF(ISBLANK($B$51),"",$B$51))</f>
        <v/>
      </c>
      <c r="BB51" s="2">
        <f>IF(ISERROR($E$51),"",IF(ISBLANK($E$51),"",$E$51))</f>
        <v/>
      </c>
      <c r="BE51" s="2">
        <f>IF(ISERROR($H$51),"",IF(ISBLANK($H$51),"",$H$51))</f>
        <v/>
      </c>
      <c r="BF51" s="2">
        <f>ISERROR($B$51)*1+ISERROR($E$51)*1+ISERROR($H$51)*1</f>
        <v/>
      </c>
    </row>
    <row r="52" ht="60" customHeight="1">
      <c r="A52" s="9" t="inlineStr">
        <is>
          <t>18</t>
        </is>
      </c>
      <c r="B52" s="4" t="n"/>
      <c r="C52" s="25" t="n"/>
      <c r="D52" s="17" t="n"/>
      <c r="E52" s="4" t="n"/>
      <c r="F52" s="25" t="n"/>
      <c r="G52" s="17" t="n"/>
      <c r="H52" s="4" t="n"/>
      <c r="I52" s="25" t="n"/>
      <c r="J52" s="17" t="n"/>
      <c r="K52" s="19">
        <f>IF(BF52&gt;0,"O Google leu como fórmula: digite de novo com ' na frente.","")</f>
        <v/>
      </c>
      <c r="AN52" s="2">
        <f>AN51+IF(LEN($AY$52)&gt;0,1,0)</f>
        <v/>
      </c>
      <c r="AO52" s="2">
        <f>AO51+IF(LEN($BB$52)&gt;0,1,0)</f>
        <v/>
      </c>
      <c r="AP52" s="2">
        <f>AP51+IF(LEN($BE$52)&gt;0,1,0)</f>
        <v/>
      </c>
      <c r="AY52" s="2">
        <f>IF(ISERROR($B$52),"",IF(ISBLANK($B$52),"",$B$52))</f>
        <v/>
      </c>
      <c r="BB52" s="2">
        <f>IF(ISERROR($E$52),"",IF(ISBLANK($E$52),"",$E$52))</f>
        <v/>
      </c>
      <c r="BE52" s="2">
        <f>IF(ISERROR($H$52),"",IF(ISBLANK($H$52),"",$H$52))</f>
        <v/>
      </c>
      <c r="BF52" s="2">
        <f>ISERROR($B$52)*1+ISERROR($E$52)*1+ISERROR($H$52)*1</f>
        <v/>
      </c>
    </row>
    <row r="53" ht="60" customHeight="1">
      <c r="A53" s="21" t="inlineStr">
        <is>
          <t>19</t>
        </is>
      </c>
      <c r="B53" s="29" t="n"/>
      <c r="C53" s="25" t="n"/>
      <c r="D53" s="17" t="n"/>
      <c r="E53" s="29" t="n"/>
      <c r="F53" s="25" t="n"/>
      <c r="G53" s="17" t="n"/>
      <c r="H53" s="29" t="n"/>
      <c r="I53" s="25" t="n"/>
      <c r="J53" s="17" t="n"/>
      <c r="K53" s="19">
        <f>IF(BF53&gt;0,"O Google leu como fórmula: digite de novo com ' na frente.","")</f>
        <v/>
      </c>
      <c r="AN53" s="2">
        <f>AN52+IF(LEN($AY$53)&gt;0,1,0)</f>
        <v/>
      </c>
      <c r="AO53" s="2">
        <f>AO52+IF(LEN($BB$53)&gt;0,1,0)</f>
        <v/>
      </c>
      <c r="AP53" s="2">
        <f>AP52+IF(LEN($BE$53)&gt;0,1,0)</f>
        <v/>
      </c>
      <c r="AY53" s="2">
        <f>IF(ISERROR($B$53),"",IF(ISBLANK($B$53),"",$B$53))</f>
        <v/>
      </c>
      <c r="BB53" s="2">
        <f>IF(ISERROR($E$53),"",IF(ISBLANK($E$53),"",$E$53))</f>
        <v/>
      </c>
      <c r="BE53" s="2">
        <f>IF(ISERROR($H$53),"",IF(ISBLANK($H$53),"",$H$53))</f>
        <v/>
      </c>
      <c r="BF53" s="2">
        <f>ISERROR($B$53)*1+ISERROR($E$53)*1+ISERROR($H$53)*1</f>
        <v/>
      </c>
    </row>
    <row r="54" ht="71" customHeight="1">
      <c r="A54" s="9" t="inlineStr">
        <is>
          <t>20</t>
        </is>
      </c>
      <c r="B54" s="4" t="n"/>
      <c r="C54" s="25" t="n"/>
      <c r="D54" s="17" t="n"/>
      <c r="E54" s="4" t="n"/>
      <c r="F54" s="25" t="n"/>
      <c r="G54" s="17" t="n"/>
      <c r="H54" s="4" t="n"/>
      <c r="I54" s="25" t="n"/>
      <c r="J54" s="17" t="n"/>
      <c r="K54" s="19">
        <f>IF(BF54&gt;0,"O Google leu como fórmula: digite de novo com ' na frente.","")</f>
        <v/>
      </c>
      <c r="AN54" s="2">
        <f>AN53+IF(LEN($AY$54)&gt;0,1,0)</f>
        <v/>
      </c>
      <c r="AO54" s="2">
        <f>AO53+IF(LEN($BB$54)&gt;0,1,0)</f>
        <v/>
      </c>
      <c r="AP54" s="2">
        <f>AP53+IF(LEN($BE$54)&gt;0,1,0)</f>
        <v/>
      </c>
      <c r="AY54" s="2">
        <f>IF(ISERROR($B$54),"",IF(ISBLANK($B$54),"",$B$54))</f>
        <v/>
      </c>
      <c r="BB54" s="2">
        <f>IF(ISERROR($E$54),"",IF(ISBLANK($E$54),"",$E$54))</f>
        <v/>
      </c>
      <c r="BE54" s="2">
        <f>IF(ISERROR($H$54),"",IF(ISBLANK($H$54),"",$H$54))</f>
        <v/>
      </c>
      <c r="BF54" s="2">
        <f>ISERROR($B$54)*1+ISERROR($E$54)*1+ISERROR($H$54)*1</f>
        <v/>
      </c>
    </row>
    <row r="55" ht="60" customHeight="1">
      <c r="A55" s="21" t="inlineStr">
        <is>
          <t>21</t>
        </is>
      </c>
      <c r="B55" s="29" t="n"/>
      <c r="C55" s="25" t="n"/>
      <c r="D55" s="17" t="n"/>
      <c r="E55" s="29" t="n"/>
      <c r="F55" s="25" t="n"/>
      <c r="G55" s="17" t="n"/>
      <c r="H55" s="29" t="n"/>
      <c r="I55" s="25" t="n"/>
      <c r="J55" s="17" t="n"/>
      <c r="K55" s="19">
        <f>IF(BF55&gt;0,"O Google leu como fórmula: digite de novo com ' na frente.","")</f>
        <v/>
      </c>
      <c r="AN55" s="2">
        <f>AN54+IF(LEN($AY$55)&gt;0,1,0)</f>
        <v/>
      </c>
      <c r="AO55" s="2">
        <f>AO54+IF(LEN($BB$55)&gt;0,1,0)</f>
        <v/>
      </c>
      <c r="AP55" s="2">
        <f>AP54+IF(LEN($BE$55)&gt;0,1,0)</f>
        <v/>
      </c>
      <c r="AY55" s="2">
        <f>IF(ISERROR($B$55),"",IF(ISBLANK($B$55),"",$B$55))</f>
        <v/>
      </c>
      <c r="BB55" s="2">
        <f>IF(ISERROR($E$55),"",IF(ISBLANK($E$55),"",$E$55))</f>
        <v/>
      </c>
      <c r="BE55" s="2">
        <f>IF(ISERROR($H$55),"",IF(ISBLANK($H$55),"",$H$55))</f>
        <v/>
      </c>
      <c r="BF55" s="2">
        <f>ISERROR($B$55)*1+ISERROR($E$55)*1+ISERROR($H$55)*1</f>
        <v/>
      </c>
    </row>
    <row r="56" ht="60" customHeight="1">
      <c r="A56" s="9" t="inlineStr">
        <is>
          <t>22</t>
        </is>
      </c>
      <c r="B56" s="4" t="n"/>
      <c r="C56" s="25" t="n"/>
      <c r="D56" s="17" t="n"/>
      <c r="E56" s="4" t="n"/>
      <c r="F56" s="25" t="n"/>
      <c r="G56" s="17" t="n"/>
      <c r="H56" s="4" t="n"/>
      <c r="I56" s="25" t="n"/>
      <c r="J56" s="17" t="n"/>
      <c r="K56" s="19">
        <f>IF(BF56&gt;0,"O Google leu como fórmula: digite de novo com ' na frente.","")</f>
        <v/>
      </c>
      <c r="AN56" s="2">
        <f>AN55+IF(LEN($AY$56)&gt;0,1,0)</f>
        <v/>
      </c>
      <c r="AO56" s="2">
        <f>AO55+IF(LEN($BB$56)&gt;0,1,0)</f>
        <v/>
      </c>
      <c r="AP56" s="2">
        <f>AP55+IF(LEN($BE$56)&gt;0,1,0)</f>
        <v/>
      </c>
      <c r="AY56" s="2">
        <f>IF(ISERROR($B$56),"",IF(ISBLANK($B$56),"",$B$56))</f>
        <v/>
      </c>
      <c r="BB56" s="2">
        <f>IF(ISERROR($E$56),"",IF(ISBLANK($E$56),"",$E$56))</f>
        <v/>
      </c>
      <c r="BE56" s="2">
        <f>IF(ISERROR($H$56),"",IF(ISBLANK($H$56),"",$H$56))</f>
        <v/>
      </c>
      <c r="BF56" s="2">
        <f>ISERROR($B$56)*1+ISERROR($E$56)*1+ISERROR($H$56)*1</f>
        <v/>
      </c>
    </row>
    <row r="57" ht="60" customHeight="1">
      <c r="A57" s="21" t="inlineStr">
        <is>
          <t>23</t>
        </is>
      </c>
      <c r="B57" s="29" t="n"/>
      <c r="C57" s="25" t="n"/>
      <c r="D57" s="17" t="n"/>
      <c r="E57" s="29" t="n"/>
      <c r="F57" s="25" t="n"/>
      <c r="G57" s="17" t="n"/>
      <c r="H57" s="29" t="n"/>
      <c r="I57" s="25" t="n"/>
      <c r="J57" s="17" t="n"/>
      <c r="K57" s="19">
        <f>IF(BF57&gt;0,"O Google leu como fórmula: digite de novo com ' na frente.","")</f>
        <v/>
      </c>
      <c r="AN57" s="2">
        <f>AN56+IF(LEN($AY$57)&gt;0,1,0)</f>
        <v/>
      </c>
      <c r="AO57" s="2">
        <f>AO56+IF(LEN($BB$57)&gt;0,1,0)</f>
        <v/>
      </c>
      <c r="AP57" s="2">
        <f>AP56+IF(LEN($BE$57)&gt;0,1,0)</f>
        <v/>
      </c>
      <c r="AY57" s="2">
        <f>IF(ISERROR($B$57),"",IF(ISBLANK($B$57),"",$B$57))</f>
        <v/>
      </c>
      <c r="BB57" s="2">
        <f>IF(ISERROR($E$57),"",IF(ISBLANK($E$57),"",$E$57))</f>
        <v/>
      </c>
      <c r="BE57" s="2">
        <f>IF(ISERROR($H$57),"",IF(ISBLANK($H$57),"",$H$57))</f>
        <v/>
      </c>
      <c r="BF57" s="2">
        <f>ISERROR($B$57)*1+ISERROR($E$57)*1+ISERROR($H$57)*1</f>
        <v/>
      </c>
    </row>
    <row r="58" ht="60" customHeight="1">
      <c r="A58" s="9" t="inlineStr">
        <is>
          <t>24</t>
        </is>
      </c>
      <c r="B58" s="4" t="n"/>
      <c r="C58" s="25" t="n"/>
      <c r="D58" s="17" t="n"/>
      <c r="E58" s="4" t="n"/>
      <c r="F58" s="25" t="n"/>
      <c r="G58" s="17" t="n"/>
      <c r="H58" s="4" t="n"/>
      <c r="I58" s="25" t="n"/>
      <c r="J58" s="17" t="n"/>
      <c r="K58" s="19">
        <f>IF(BF58&gt;0,"O Google leu como fórmula: digite de novo com ' na frente.","")</f>
        <v/>
      </c>
      <c r="AN58" s="2">
        <f>AN57+IF(LEN($AY$58)&gt;0,1,0)</f>
        <v/>
      </c>
      <c r="AO58" s="2">
        <f>AO57+IF(LEN($BB$58)&gt;0,1,0)</f>
        <v/>
      </c>
      <c r="AP58" s="2">
        <f>AP57+IF(LEN($BE$58)&gt;0,1,0)</f>
        <v/>
      </c>
      <c r="AY58" s="2">
        <f>IF(ISERROR($B$58),"",IF(ISBLANK($B$58),"",$B$58))</f>
        <v/>
      </c>
      <c r="BB58" s="2">
        <f>IF(ISERROR($E$58),"",IF(ISBLANK($E$58),"",$E$58))</f>
        <v/>
      </c>
      <c r="BE58" s="2">
        <f>IF(ISERROR($H$58),"",IF(ISBLANK($H$58),"",$H$58))</f>
        <v/>
      </c>
      <c r="BF58" s="2">
        <f>ISERROR($B$58)*1+ISERROR($E$58)*1+ISERROR($H$58)*1</f>
        <v/>
      </c>
    </row>
    <row r="59" ht="60" customHeight="1">
      <c r="A59" s="21" t="inlineStr">
        <is>
          <t>25</t>
        </is>
      </c>
      <c r="B59" s="29" t="n"/>
      <c r="C59" s="25" t="n"/>
      <c r="D59" s="17" t="n"/>
      <c r="E59" s="29" t="n"/>
      <c r="F59" s="25" t="n"/>
      <c r="G59" s="17" t="n"/>
      <c r="H59" s="29" t="n"/>
      <c r="I59" s="25" t="n"/>
      <c r="J59" s="17" t="n"/>
      <c r="K59" s="19">
        <f>IF(BF59&gt;0,"O Google leu como fórmula: digite de novo com ' na frente.","")</f>
        <v/>
      </c>
      <c r="AN59" s="2">
        <f>AN58+IF(LEN($AY$59)&gt;0,1,0)</f>
        <v/>
      </c>
      <c r="AO59" s="2">
        <f>AO58+IF(LEN($BB$59)&gt;0,1,0)</f>
        <v/>
      </c>
      <c r="AP59" s="2">
        <f>AP58+IF(LEN($BE$59)&gt;0,1,0)</f>
        <v/>
      </c>
      <c r="AY59" s="2">
        <f>IF(ISERROR($B$59),"",IF(ISBLANK($B$59),"",$B$59))</f>
        <v/>
      </c>
      <c r="BB59" s="2">
        <f>IF(ISERROR($E$59),"",IF(ISBLANK($E$59),"",$E$59))</f>
        <v/>
      </c>
      <c r="BE59" s="2">
        <f>IF(ISERROR($H$59),"",IF(ISBLANK($H$59),"",$H$59))</f>
        <v/>
      </c>
      <c r="BF59" s="2">
        <f>ISERROR($B$59)*1+ISERROR($E$59)*1+ISERROR($H$59)*1</f>
        <v/>
      </c>
    </row>
    <row r="60" ht="60" customHeight="1">
      <c r="A60" s="9" t="inlineStr">
        <is>
          <t>26</t>
        </is>
      </c>
      <c r="B60" s="4" t="n"/>
      <c r="C60" s="25" t="n"/>
      <c r="D60" s="17" t="n"/>
      <c r="E60" s="4" t="n"/>
      <c r="F60" s="25" t="n"/>
      <c r="G60" s="17" t="n"/>
      <c r="H60" s="4" t="n"/>
      <c r="I60" s="25" t="n"/>
      <c r="J60" s="17" t="n"/>
      <c r="K60" s="19">
        <f>IF(BF60&gt;0,"O Google leu como fórmula: digite de novo com ' na frente.","")</f>
        <v/>
      </c>
      <c r="AN60" s="2">
        <f>AN59+IF(LEN($AY$60)&gt;0,1,0)</f>
        <v/>
      </c>
      <c r="AO60" s="2">
        <f>AO59+IF(LEN($BB$60)&gt;0,1,0)</f>
        <v/>
      </c>
      <c r="AP60" s="2">
        <f>AP59+IF(LEN($BE$60)&gt;0,1,0)</f>
        <v/>
      </c>
      <c r="AY60" s="2">
        <f>IF(ISERROR($B$60),"",IF(ISBLANK($B$60),"",$B$60))</f>
        <v/>
      </c>
      <c r="BB60" s="2">
        <f>IF(ISERROR($E$60),"",IF(ISBLANK($E$60),"",$E$60))</f>
        <v/>
      </c>
      <c r="BE60" s="2">
        <f>IF(ISERROR($H$60),"",IF(ISBLANK($H$60),"",$H$60))</f>
        <v/>
      </c>
      <c r="BF60" s="2">
        <f>ISERROR($B$60)*1+ISERROR($E$60)*1+ISERROR($H$60)*1</f>
        <v/>
      </c>
    </row>
    <row r="61">
      <c r="A61" s="8" t="inlineStr">
        <is>
          <t>Vagas 27–39</t>
        </is>
      </c>
      <c r="B61" s="8" t="inlineStr">
        <is>
          <t>Tabela 1</t>
        </is>
      </c>
      <c r="C61" s="20" t="n"/>
      <c r="D61" s="20" t="n"/>
      <c r="E61" s="8" t="inlineStr">
        <is>
          <t>Tabela 2</t>
        </is>
      </c>
      <c r="F61" s="20" t="n"/>
      <c r="G61" s="20" t="n"/>
      <c r="H61" s="8" t="inlineStr">
        <is>
          <t>Tabela 3</t>
        </is>
      </c>
      <c r="I61" s="20" t="n"/>
      <c r="J61" s="20" t="n"/>
      <c r="AN61" s="2">
        <f>AN60</f>
        <v/>
      </c>
      <c r="AO61" s="2">
        <f>AO60</f>
        <v/>
      </c>
      <c r="AP61" s="2">
        <f>AP60</f>
        <v/>
      </c>
      <c r="AY61" s="2">
        <f>IF(ISERROR($B$61),"",IF(ISBLANK($B$61),"",$B$61))</f>
        <v/>
      </c>
      <c r="BB61" s="2">
        <f>IF(ISERROR($E$61),"",IF(ISBLANK($E$61),"",$E$61))</f>
        <v/>
      </c>
      <c r="BE61" s="2">
        <f>IF(ISERROR($H$61),"",IF(ISBLANK($H$61),"",$H$61))</f>
        <v/>
      </c>
    </row>
    <row r="62" ht="60" customHeight="1">
      <c r="A62" s="9" t="inlineStr">
        <is>
          <t>27</t>
        </is>
      </c>
      <c r="B62" s="4" t="n"/>
      <c r="C62" s="25" t="n"/>
      <c r="D62" s="17" t="n"/>
      <c r="E62" s="4" t="n"/>
      <c r="F62" s="25" t="n"/>
      <c r="G62" s="17" t="n"/>
      <c r="H62" s="4" t="n"/>
      <c r="I62" s="25" t="n"/>
      <c r="J62" s="17" t="n"/>
      <c r="K62" s="19">
        <f>IF(BF62&gt;0,"O Google leu como fórmula: digite de novo com ' na frente.","")</f>
        <v/>
      </c>
      <c r="AN62" s="2">
        <f>AN61+IF(LEN($AY$62)&gt;0,1,0)</f>
        <v/>
      </c>
      <c r="AO62" s="2">
        <f>AO61+IF(LEN($BB$62)&gt;0,1,0)</f>
        <v/>
      </c>
      <c r="AP62" s="2">
        <f>AP61+IF(LEN($BE$62)&gt;0,1,0)</f>
        <v/>
      </c>
      <c r="AY62" s="2">
        <f>IF(ISERROR($B$62),"",IF(ISBLANK($B$62),"",$B$62))</f>
        <v/>
      </c>
      <c r="BB62" s="2">
        <f>IF(ISERROR($E$62),"",IF(ISBLANK($E$62),"",$E$62))</f>
        <v/>
      </c>
      <c r="BE62" s="2">
        <f>IF(ISERROR($H$62),"",IF(ISBLANK($H$62),"",$H$62))</f>
        <v/>
      </c>
      <c r="BF62" s="2">
        <f>ISERROR($B$62)*1+ISERROR($E$62)*1+ISERROR($H$62)*1</f>
        <v/>
      </c>
    </row>
    <row r="63" ht="60" customHeight="1">
      <c r="A63" s="21" t="inlineStr">
        <is>
          <t>28</t>
        </is>
      </c>
      <c r="B63" s="29" t="n"/>
      <c r="C63" s="25" t="n"/>
      <c r="D63" s="17" t="n"/>
      <c r="E63" s="29" t="n"/>
      <c r="F63" s="25" t="n"/>
      <c r="G63" s="17" t="n"/>
      <c r="H63" s="29" t="n"/>
      <c r="I63" s="25" t="n"/>
      <c r="J63" s="17" t="n"/>
      <c r="K63" s="19">
        <f>IF(BF63&gt;0,"O Google leu como fórmula: digite de novo com ' na frente.","")</f>
        <v/>
      </c>
      <c r="AN63" s="2">
        <f>AN62+IF(LEN($AY$63)&gt;0,1,0)</f>
        <v/>
      </c>
      <c r="AO63" s="2">
        <f>AO62+IF(LEN($BB$63)&gt;0,1,0)</f>
        <v/>
      </c>
      <c r="AP63" s="2">
        <f>AP62+IF(LEN($BE$63)&gt;0,1,0)</f>
        <v/>
      </c>
      <c r="AY63" s="2">
        <f>IF(ISERROR($B$63),"",IF(ISBLANK($B$63),"",$B$63))</f>
        <v/>
      </c>
      <c r="BB63" s="2">
        <f>IF(ISERROR($E$63),"",IF(ISBLANK($E$63),"",$E$63))</f>
        <v/>
      </c>
      <c r="BE63" s="2">
        <f>IF(ISERROR($H$63),"",IF(ISBLANK($H$63),"",$H$63))</f>
        <v/>
      </c>
      <c r="BF63" s="2">
        <f>ISERROR($B$63)*1+ISERROR($E$63)*1+ISERROR($H$63)*1</f>
        <v/>
      </c>
    </row>
    <row r="64" ht="60" customHeight="1">
      <c r="A64" s="9" t="inlineStr">
        <is>
          <t>29</t>
        </is>
      </c>
      <c r="B64" s="4" t="n"/>
      <c r="C64" s="25" t="n"/>
      <c r="D64" s="17" t="n"/>
      <c r="E64" s="4" t="n"/>
      <c r="F64" s="25" t="n"/>
      <c r="G64" s="17" t="n"/>
      <c r="H64" s="4" t="n"/>
      <c r="I64" s="25" t="n"/>
      <c r="J64" s="17" t="n"/>
      <c r="K64" s="19">
        <f>IF(BF64&gt;0,"O Google leu como fórmula: digite de novo com ' na frente.","")</f>
        <v/>
      </c>
      <c r="AN64" s="2">
        <f>AN63+IF(LEN($AY$64)&gt;0,1,0)</f>
        <v/>
      </c>
      <c r="AO64" s="2">
        <f>AO63+IF(LEN($BB$64)&gt;0,1,0)</f>
        <v/>
      </c>
      <c r="AP64" s="2">
        <f>AP63+IF(LEN($BE$64)&gt;0,1,0)</f>
        <v/>
      </c>
      <c r="AY64" s="2">
        <f>IF(ISERROR($B$64),"",IF(ISBLANK($B$64),"",$B$64))</f>
        <v/>
      </c>
      <c r="BB64" s="2">
        <f>IF(ISERROR($E$64),"",IF(ISBLANK($E$64),"",$E$64))</f>
        <v/>
      </c>
      <c r="BE64" s="2">
        <f>IF(ISERROR($H$64),"",IF(ISBLANK($H$64),"",$H$64))</f>
        <v/>
      </c>
      <c r="BF64" s="2">
        <f>ISERROR($B$64)*1+ISERROR($E$64)*1+ISERROR($H$64)*1</f>
        <v/>
      </c>
    </row>
    <row r="65" ht="60" customHeight="1">
      <c r="A65" s="21" t="inlineStr">
        <is>
          <t>30</t>
        </is>
      </c>
      <c r="B65" s="29" t="n"/>
      <c r="C65" s="25" t="n"/>
      <c r="D65" s="17" t="n"/>
      <c r="E65" s="29" t="n"/>
      <c r="F65" s="25" t="n"/>
      <c r="G65" s="17" t="n"/>
      <c r="H65" s="29" t="n"/>
      <c r="I65" s="25" t="n"/>
      <c r="J65" s="17" t="n"/>
      <c r="K65" s="19">
        <f>IF(BF65&gt;0,"O Google leu como fórmula: digite de novo com ' na frente.","")</f>
        <v/>
      </c>
      <c r="AN65" s="2">
        <f>AN64+IF(LEN($AY$65)&gt;0,1,0)</f>
        <v/>
      </c>
      <c r="AO65" s="2">
        <f>AO64+IF(LEN($BB$65)&gt;0,1,0)</f>
        <v/>
      </c>
      <c r="AP65" s="2">
        <f>AP64+IF(LEN($BE$65)&gt;0,1,0)</f>
        <v/>
      </c>
      <c r="AY65" s="2">
        <f>IF(ISERROR($B$65),"",IF(ISBLANK($B$65),"",$B$65))</f>
        <v/>
      </c>
      <c r="BB65" s="2">
        <f>IF(ISERROR($E$65),"",IF(ISBLANK($E$65),"",$E$65))</f>
        <v/>
      </c>
      <c r="BE65" s="2">
        <f>IF(ISERROR($H$65),"",IF(ISBLANK($H$65),"",$H$65))</f>
        <v/>
      </c>
      <c r="BF65" s="2">
        <f>ISERROR($B$65)*1+ISERROR($E$65)*1+ISERROR($H$65)*1</f>
        <v/>
      </c>
    </row>
    <row r="66" ht="60" customHeight="1">
      <c r="A66" s="9" t="inlineStr">
        <is>
          <t>31</t>
        </is>
      </c>
      <c r="B66" s="4" t="n"/>
      <c r="C66" s="25" t="n"/>
      <c r="D66" s="17" t="n"/>
      <c r="E66" s="4" t="n"/>
      <c r="F66" s="25" t="n"/>
      <c r="G66" s="17" t="n"/>
      <c r="H66" s="4" t="n"/>
      <c r="I66" s="25" t="n"/>
      <c r="J66" s="17" t="n"/>
      <c r="K66" s="19">
        <f>IF(BF66&gt;0,"O Google leu como fórmula: digite de novo com ' na frente.","")</f>
        <v/>
      </c>
      <c r="AN66" s="2">
        <f>AN65+IF(LEN($AY$66)&gt;0,1,0)</f>
        <v/>
      </c>
      <c r="AO66" s="2">
        <f>AO65+IF(LEN($BB$66)&gt;0,1,0)</f>
        <v/>
      </c>
      <c r="AP66" s="2">
        <f>AP65+IF(LEN($BE$66)&gt;0,1,0)</f>
        <v/>
      </c>
      <c r="AY66" s="2">
        <f>IF(ISERROR($B$66),"",IF(ISBLANK($B$66),"",$B$66))</f>
        <v/>
      </c>
      <c r="BB66" s="2">
        <f>IF(ISERROR($E$66),"",IF(ISBLANK($E$66),"",$E$66))</f>
        <v/>
      </c>
      <c r="BE66" s="2">
        <f>IF(ISERROR($H$66),"",IF(ISBLANK($H$66),"",$H$66))</f>
        <v/>
      </c>
      <c r="BF66" s="2">
        <f>ISERROR($B$66)*1+ISERROR($E$66)*1+ISERROR($H$66)*1</f>
        <v/>
      </c>
    </row>
    <row r="67" ht="60" customHeight="1">
      <c r="A67" s="21" t="inlineStr">
        <is>
          <t>32</t>
        </is>
      </c>
      <c r="B67" s="29" t="n"/>
      <c r="C67" s="25" t="n"/>
      <c r="D67" s="17" t="n"/>
      <c r="E67" s="29" t="n"/>
      <c r="F67" s="25" t="n"/>
      <c r="G67" s="17" t="n"/>
      <c r="H67" s="29" t="n"/>
      <c r="I67" s="25" t="n"/>
      <c r="J67" s="17" t="n"/>
      <c r="K67" s="19">
        <f>IF(BF67&gt;0,"O Google leu como fórmula: digite de novo com ' na frente.","")</f>
        <v/>
      </c>
      <c r="AN67" s="2">
        <f>AN66+IF(LEN($AY$67)&gt;0,1,0)</f>
        <v/>
      </c>
      <c r="AO67" s="2">
        <f>AO66+IF(LEN($BB$67)&gt;0,1,0)</f>
        <v/>
      </c>
      <c r="AP67" s="2">
        <f>AP66+IF(LEN($BE$67)&gt;0,1,0)</f>
        <v/>
      </c>
      <c r="AY67" s="2">
        <f>IF(ISERROR($B$67),"",IF(ISBLANK($B$67),"",$B$67))</f>
        <v/>
      </c>
      <c r="BB67" s="2">
        <f>IF(ISERROR($E$67),"",IF(ISBLANK($E$67),"",$E$67))</f>
        <v/>
      </c>
      <c r="BE67" s="2">
        <f>IF(ISERROR($H$67),"",IF(ISBLANK($H$67),"",$H$67))</f>
        <v/>
      </c>
      <c r="BF67" s="2">
        <f>ISERROR($B$67)*1+ISERROR($E$67)*1+ISERROR($H$67)*1</f>
        <v/>
      </c>
    </row>
    <row r="68" ht="60" customHeight="1">
      <c r="A68" s="9" t="inlineStr">
        <is>
          <t>33</t>
        </is>
      </c>
      <c r="B68" s="4" t="n"/>
      <c r="C68" s="25" t="n"/>
      <c r="D68" s="17" t="n"/>
      <c r="E68" s="4" t="n"/>
      <c r="F68" s="25" t="n"/>
      <c r="G68" s="17" t="n"/>
      <c r="H68" s="4" t="n"/>
      <c r="I68" s="25" t="n"/>
      <c r="J68" s="17" t="n"/>
      <c r="K68" s="19">
        <f>IF(BF68&gt;0,"O Google leu como fórmula: digite de novo com ' na frente.","")</f>
        <v/>
      </c>
      <c r="AN68" s="2">
        <f>AN67+IF(LEN($AY$68)&gt;0,1,0)</f>
        <v/>
      </c>
      <c r="AO68" s="2">
        <f>AO67+IF(LEN($BB$68)&gt;0,1,0)</f>
        <v/>
      </c>
      <c r="AP68" s="2">
        <f>AP67+IF(LEN($BE$68)&gt;0,1,0)</f>
        <v/>
      </c>
      <c r="AY68" s="2">
        <f>IF(ISERROR($B$68),"",IF(ISBLANK($B$68),"",$B$68))</f>
        <v/>
      </c>
      <c r="BB68" s="2">
        <f>IF(ISERROR($E$68),"",IF(ISBLANK($E$68),"",$E$68))</f>
        <v/>
      </c>
      <c r="BE68" s="2">
        <f>IF(ISERROR($H$68),"",IF(ISBLANK($H$68),"",$H$68))</f>
        <v/>
      </c>
      <c r="BF68" s="2">
        <f>ISERROR($B$68)*1+ISERROR($E$68)*1+ISERROR($H$68)*1</f>
        <v/>
      </c>
    </row>
    <row r="69" ht="60" customHeight="1">
      <c r="A69" s="21" t="inlineStr">
        <is>
          <t>34</t>
        </is>
      </c>
      <c r="B69" s="29" t="n"/>
      <c r="C69" s="25" t="n"/>
      <c r="D69" s="17" t="n"/>
      <c r="E69" s="29" t="n"/>
      <c r="F69" s="25" t="n"/>
      <c r="G69" s="17" t="n"/>
      <c r="H69" s="29" t="n"/>
      <c r="I69" s="25" t="n"/>
      <c r="J69" s="17" t="n"/>
      <c r="K69" s="19">
        <f>IF(BF69&gt;0,"O Google leu como fórmula: digite de novo com ' na frente.","")</f>
        <v/>
      </c>
      <c r="AN69" s="2">
        <f>AN68+IF(LEN($AY$69)&gt;0,1,0)</f>
        <v/>
      </c>
      <c r="AO69" s="2">
        <f>AO68+IF(LEN($BB$69)&gt;0,1,0)</f>
        <v/>
      </c>
      <c r="AP69" s="2">
        <f>AP68+IF(LEN($BE$69)&gt;0,1,0)</f>
        <v/>
      </c>
      <c r="AY69" s="2">
        <f>IF(ISERROR($B$69),"",IF(ISBLANK($B$69),"",$B$69))</f>
        <v/>
      </c>
      <c r="BB69" s="2">
        <f>IF(ISERROR($E$69),"",IF(ISBLANK($E$69),"",$E$69))</f>
        <v/>
      </c>
      <c r="BE69" s="2">
        <f>IF(ISERROR($H$69),"",IF(ISBLANK($H$69),"",$H$69))</f>
        <v/>
      </c>
      <c r="BF69" s="2">
        <f>ISERROR($B$69)*1+ISERROR($E$69)*1+ISERROR($H$69)*1</f>
        <v/>
      </c>
    </row>
    <row r="70" ht="60" customHeight="1">
      <c r="A70" s="9" t="inlineStr">
        <is>
          <t>35</t>
        </is>
      </c>
      <c r="B70" s="4" t="n"/>
      <c r="C70" s="25" t="n"/>
      <c r="D70" s="17" t="n"/>
      <c r="E70" s="4" t="n"/>
      <c r="F70" s="25" t="n"/>
      <c r="G70" s="17" t="n"/>
      <c r="H70" s="4" t="n"/>
      <c r="I70" s="25" t="n"/>
      <c r="J70" s="17" t="n"/>
      <c r="K70" s="19">
        <f>IF(BF70&gt;0,"O Google leu como fórmula: digite de novo com ' na frente.","")</f>
        <v/>
      </c>
      <c r="AN70" s="2">
        <f>AN69+IF(LEN($AY$70)&gt;0,1,0)</f>
        <v/>
      </c>
      <c r="AO70" s="2">
        <f>AO69+IF(LEN($BB$70)&gt;0,1,0)</f>
        <v/>
      </c>
      <c r="AP70" s="2">
        <f>AP69+IF(LEN($BE$70)&gt;0,1,0)</f>
        <v/>
      </c>
      <c r="AY70" s="2">
        <f>IF(ISERROR($B$70),"",IF(ISBLANK($B$70),"",$B$70))</f>
        <v/>
      </c>
      <c r="BB70" s="2">
        <f>IF(ISERROR($E$70),"",IF(ISBLANK($E$70),"",$E$70))</f>
        <v/>
      </c>
      <c r="BE70" s="2">
        <f>IF(ISERROR($H$70),"",IF(ISBLANK($H$70),"",$H$70))</f>
        <v/>
      </c>
      <c r="BF70" s="2">
        <f>ISERROR($B$70)*1+ISERROR($E$70)*1+ISERROR($H$70)*1</f>
        <v/>
      </c>
    </row>
    <row r="71" ht="60" customHeight="1">
      <c r="A71" s="21" t="inlineStr">
        <is>
          <t>36</t>
        </is>
      </c>
      <c r="B71" s="29" t="n"/>
      <c r="C71" s="25" t="n"/>
      <c r="D71" s="17" t="n"/>
      <c r="E71" s="29" t="n"/>
      <c r="F71" s="25" t="n"/>
      <c r="G71" s="17" t="n"/>
      <c r="H71" s="29" t="n"/>
      <c r="I71" s="25" t="n"/>
      <c r="J71" s="17" t="n"/>
      <c r="K71" s="19">
        <f>IF(BF71&gt;0,"O Google leu como fórmula: digite de novo com ' na frente.","")</f>
        <v/>
      </c>
      <c r="AN71" s="2">
        <f>AN70+IF(LEN($AY$71)&gt;0,1,0)</f>
        <v/>
      </c>
      <c r="AO71" s="2">
        <f>AO70+IF(LEN($BB$71)&gt;0,1,0)</f>
        <v/>
      </c>
      <c r="AP71" s="2">
        <f>AP70+IF(LEN($BE$71)&gt;0,1,0)</f>
        <v/>
      </c>
      <c r="AY71" s="2">
        <f>IF(ISERROR($B$71),"",IF(ISBLANK($B$71),"",$B$71))</f>
        <v/>
      </c>
      <c r="BB71" s="2">
        <f>IF(ISERROR($E$71),"",IF(ISBLANK($E$71),"",$E$71))</f>
        <v/>
      </c>
      <c r="BE71" s="2">
        <f>IF(ISERROR($H$71),"",IF(ISBLANK($H$71),"",$H$71))</f>
        <v/>
      </c>
      <c r="BF71" s="2">
        <f>ISERROR($B$71)*1+ISERROR($E$71)*1+ISERROR($H$71)*1</f>
        <v/>
      </c>
    </row>
    <row r="72" ht="60" customHeight="1">
      <c r="A72" s="9" t="inlineStr">
        <is>
          <t>37</t>
        </is>
      </c>
      <c r="B72" s="4" t="n"/>
      <c r="C72" s="25" t="n"/>
      <c r="D72" s="17" t="n"/>
      <c r="E72" s="4" t="n"/>
      <c r="F72" s="25" t="n"/>
      <c r="G72" s="17" t="n"/>
      <c r="H72" s="4" t="n"/>
      <c r="I72" s="25" t="n"/>
      <c r="J72" s="17" t="n"/>
      <c r="K72" s="19">
        <f>IF(BF72&gt;0,"O Google leu como fórmula: digite de novo com ' na frente.","")</f>
        <v/>
      </c>
      <c r="AN72" s="2">
        <f>AN71+IF(LEN($AY$72)&gt;0,1,0)</f>
        <v/>
      </c>
      <c r="AO72" s="2">
        <f>AO71+IF(LEN($BB$72)&gt;0,1,0)</f>
        <v/>
      </c>
      <c r="AP72" s="2">
        <f>AP71+IF(LEN($BE$72)&gt;0,1,0)</f>
        <v/>
      </c>
      <c r="AY72" s="2">
        <f>IF(ISERROR($B$72),"",IF(ISBLANK($B$72),"",$B$72))</f>
        <v/>
      </c>
      <c r="BB72" s="2">
        <f>IF(ISERROR($E$72),"",IF(ISBLANK($E$72),"",$E$72))</f>
        <v/>
      </c>
      <c r="BE72" s="2">
        <f>IF(ISERROR($H$72),"",IF(ISBLANK($H$72),"",$H$72))</f>
        <v/>
      </c>
      <c r="BF72" s="2">
        <f>ISERROR($B$72)*1+ISERROR($E$72)*1+ISERROR($H$72)*1</f>
        <v/>
      </c>
    </row>
    <row r="73" ht="60" customHeight="1">
      <c r="A73" s="21" t="inlineStr">
        <is>
          <t>38</t>
        </is>
      </c>
      <c r="B73" s="29" t="n"/>
      <c r="C73" s="25" t="n"/>
      <c r="D73" s="17" t="n"/>
      <c r="E73" s="29" t="n"/>
      <c r="F73" s="25" t="n"/>
      <c r="G73" s="17" t="n"/>
      <c r="H73" s="29" t="n"/>
      <c r="I73" s="25" t="n"/>
      <c r="J73" s="17" t="n"/>
      <c r="K73" s="19">
        <f>IF(BF73&gt;0,"O Google leu como fórmula: digite de novo com ' na frente.","")</f>
        <v/>
      </c>
      <c r="AN73" s="2">
        <f>AN72+IF(LEN($AY$73)&gt;0,1,0)</f>
        <v/>
      </c>
      <c r="AO73" s="2">
        <f>AO72+IF(LEN($BB$73)&gt;0,1,0)</f>
        <v/>
      </c>
      <c r="AP73" s="2">
        <f>AP72+IF(LEN($BE$73)&gt;0,1,0)</f>
        <v/>
      </c>
      <c r="AY73" s="2">
        <f>IF(ISERROR($B$73),"",IF(ISBLANK($B$73),"",$B$73))</f>
        <v/>
      </c>
      <c r="BB73" s="2">
        <f>IF(ISERROR($E$73),"",IF(ISBLANK($E$73),"",$E$73))</f>
        <v/>
      </c>
      <c r="BE73" s="2">
        <f>IF(ISERROR($H$73),"",IF(ISBLANK($H$73),"",$H$73))</f>
        <v/>
      </c>
      <c r="BF73" s="2">
        <f>ISERROR($B$73)*1+ISERROR($E$73)*1+ISERROR($H$73)*1</f>
        <v/>
      </c>
    </row>
    <row r="74" ht="60" customHeight="1">
      <c r="A74" s="9" t="inlineStr">
        <is>
          <t>39</t>
        </is>
      </c>
      <c r="B74" s="4" t="n"/>
      <c r="C74" s="25" t="n"/>
      <c r="D74" s="17" t="n"/>
      <c r="E74" s="4" t="n"/>
      <c r="F74" s="25" t="n"/>
      <c r="G74" s="17" t="n"/>
      <c r="H74" s="4" t="n"/>
      <c r="I74" s="25" t="n"/>
      <c r="J74" s="17" t="n"/>
      <c r="K74" s="19">
        <f>IF(BF74&gt;0,"O Google leu como fórmula: digite de novo com ' na frente.","")</f>
        <v/>
      </c>
      <c r="AN74" s="2">
        <f>AN73+IF(LEN($AY$74)&gt;0,1,0)</f>
        <v/>
      </c>
      <c r="AO74" s="2">
        <f>AO73+IF(LEN($BB$74)&gt;0,1,0)</f>
        <v/>
      </c>
      <c r="AP74" s="2">
        <f>AP73+IF(LEN($BE$74)&gt;0,1,0)</f>
        <v/>
      </c>
      <c r="AY74" s="2">
        <f>IF(ISERROR($B$74),"",IF(ISBLANK($B$74),"",$B$74))</f>
        <v/>
      </c>
      <c r="BB74" s="2">
        <f>IF(ISERROR($E$74),"",IF(ISBLANK($E$74),"",$E$74))</f>
        <v/>
      </c>
      <c r="BE74" s="2">
        <f>IF(ISERROR($H$74),"",IF(ISBLANK($H$74),"",$H$74))</f>
        <v/>
      </c>
      <c r="BF74" s="2">
        <f>ISERROR($B$74)*1+ISERROR($E$74)*1+ISERROR($H$74)*1</f>
        <v/>
      </c>
    </row>
    <row r="75">
      <c r="A75" s="8" t="inlineStr">
        <is>
          <t>Vagas 40–52</t>
        </is>
      </c>
      <c r="B75" s="8" t="inlineStr">
        <is>
          <t>Tabela 1</t>
        </is>
      </c>
      <c r="C75" s="20" t="n"/>
      <c r="D75" s="20" t="n"/>
      <c r="E75" s="8" t="inlineStr">
        <is>
          <t>Tabela 2</t>
        </is>
      </c>
      <c r="F75" s="20" t="n"/>
      <c r="G75" s="20" t="n"/>
      <c r="H75" s="8" t="inlineStr">
        <is>
          <t>Tabela 3</t>
        </is>
      </c>
      <c r="I75" s="20" t="n"/>
      <c r="J75" s="20" t="n"/>
      <c r="AN75" s="2">
        <f>AN74</f>
        <v/>
      </c>
      <c r="AO75" s="2">
        <f>AO74</f>
        <v/>
      </c>
      <c r="AP75" s="2">
        <f>AP74</f>
        <v/>
      </c>
      <c r="AY75" s="2">
        <f>IF(ISERROR($B$75),"",IF(ISBLANK($B$75),"",$B$75))</f>
        <v/>
      </c>
      <c r="BB75" s="2">
        <f>IF(ISERROR($E$75),"",IF(ISBLANK($E$75),"",$E$75))</f>
        <v/>
      </c>
      <c r="BE75" s="2">
        <f>IF(ISERROR($H$75),"",IF(ISBLANK($H$75),"",$H$75))</f>
        <v/>
      </c>
    </row>
    <row r="76" ht="60" customHeight="1">
      <c r="A76" s="9" t="inlineStr">
        <is>
          <t>40</t>
        </is>
      </c>
      <c r="B76" s="4" t="n"/>
      <c r="C76" s="25" t="n"/>
      <c r="D76" s="17" t="n"/>
      <c r="E76" s="4" t="n"/>
      <c r="F76" s="25" t="n"/>
      <c r="G76" s="17" t="n"/>
      <c r="H76" s="4" t="n"/>
      <c r="I76" s="25" t="n"/>
      <c r="J76" s="17" t="n"/>
      <c r="K76" s="19">
        <f>IF(BF76&gt;0,"O Google leu como fórmula: digite de novo com ' na frente.","")</f>
        <v/>
      </c>
      <c r="AN76" s="2">
        <f>AN75+IF(LEN($AY$76)&gt;0,1,0)</f>
        <v/>
      </c>
      <c r="AO76" s="2">
        <f>AO75+IF(LEN($BB$76)&gt;0,1,0)</f>
        <v/>
      </c>
      <c r="AP76" s="2">
        <f>AP75+IF(LEN($BE$76)&gt;0,1,0)</f>
        <v/>
      </c>
      <c r="AY76" s="2">
        <f>IF(ISERROR($B$76),"",IF(ISBLANK($B$76),"",$B$76))</f>
        <v/>
      </c>
      <c r="BB76" s="2">
        <f>IF(ISERROR($E$76),"",IF(ISBLANK($E$76),"",$E$76))</f>
        <v/>
      </c>
      <c r="BE76" s="2">
        <f>IF(ISERROR($H$76),"",IF(ISBLANK($H$76),"",$H$76))</f>
        <v/>
      </c>
      <c r="BF76" s="2">
        <f>ISERROR($B$76)*1+ISERROR($E$76)*1+ISERROR($H$76)*1</f>
        <v/>
      </c>
    </row>
    <row r="77" ht="60" customHeight="1">
      <c r="A77" s="21" t="inlineStr">
        <is>
          <t>41</t>
        </is>
      </c>
      <c r="B77" s="29" t="n"/>
      <c r="C77" s="25" t="n"/>
      <c r="D77" s="17" t="n"/>
      <c r="E77" s="29" t="n"/>
      <c r="F77" s="25" t="n"/>
      <c r="G77" s="17" t="n"/>
      <c r="H77" s="29" t="n"/>
      <c r="I77" s="25" t="n"/>
      <c r="J77" s="17" t="n"/>
      <c r="K77" s="19">
        <f>IF(BF77&gt;0,"O Google leu como fórmula: digite de novo com ' na frente.","")</f>
        <v/>
      </c>
      <c r="AN77" s="2">
        <f>AN76+IF(LEN($AY$77)&gt;0,1,0)</f>
        <v/>
      </c>
      <c r="AO77" s="2">
        <f>AO76+IF(LEN($BB$77)&gt;0,1,0)</f>
        <v/>
      </c>
      <c r="AP77" s="2">
        <f>AP76+IF(LEN($BE$77)&gt;0,1,0)</f>
        <v/>
      </c>
      <c r="AY77" s="2">
        <f>IF(ISERROR($B$77),"",IF(ISBLANK($B$77),"",$B$77))</f>
        <v/>
      </c>
      <c r="BB77" s="2">
        <f>IF(ISERROR($E$77),"",IF(ISBLANK($E$77),"",$E$77))</f>
        <v/>
      </c>
      <c r="BE77" s="2">
        <f>IF(ISERROR($H$77),"",IF(ISBLANK($H$77),"",$H$77))</f>
        <v/>
      </c>
      <c r="BF77" s="2">
        <f>ISERROR($B$77)*1+ISERROR($E$77)*1+ISERROR($H$77)*1</f>
        <v/>
      </c>
    </row>
    <row r="78" ht="60" customHeight="1">
      <c r="A78" s="9" t="inlineStr">
        <is>
          <t>42</t>
        </is>
      </c>
      <c r="B78" s="4" t="n"/>
      <c r="C78" s="25" t="n"/>
      <c r="D78" s="17" t="n"/>
      <c r="E78" s="4" t="n"/>
      <c r="F78" s="25" t="n"/>
      <c r="G78" s="17" t="n"/>
      <c r="H78" s="4" t="n"/>
      <c r="I78" s="25" t="n"/>
      <c r="J78" s="17" t="n"/>
      <c r="K78" s="19">
        <f>IF(BF78&gt;0,"O Google leu como fórmula: digite de novo com ' na frente.","")</f>
        <v/>
      </c>
      <c r="AN78" s="2">
        <f>AN77+IF(LEN($AY$78)&gt;0,1,0)</f>
        <v/>
      </c>
      <c r="AO78" s="2">
        <f>AO77+IF(LEN($BB$78)&gt;0,1,0)</f>
        <v/>
      </c>
      <c r="AP78" s="2">
        <f>AP77+IF(LEN($BE$78)&gt;0,1,0)</f>
        <v/>
      </c>
      <c r="AY78" s="2">
        <f>IF(ISERROR($B$78),"",IF(ISBLANK($B$78),"",$B$78))</f>
        <v/>
      </c>
      <c r="BB78" s="2">
        <f>IF(ISERROR($E$78),"",IF(ISBLANK($E$78),"",$E$78))</f>
        <v/>
      </c>
      <c r="BE78" s="2">
        <f>IF(ISERROR($H$78),"",IF(ISBLANK($H$78),"",$H$78))</f>
        <v/>
      </c>
      <c r="BF78" s="2">
        <f>ISERROR($B$78)*1+ISERROR($E$78)*1+ISERROR($H$78)*1</f>
        <v/>
      </c>
    </row>
    <row r="79" ht="60" customHeight="1">
      <c r="A79" s="21" t="inlineStr">
        <is>
          <t>43</t>
        </is>
      </c>
      <c r="B79" s="29" t="n"/>
      <c r="C79" s="25" t="n"/>
      <c r="D79" s="17" t="n"/>
      <c r="E79" s="29" t="n"/>
      <c r="F79" s="25" t="n"/>
      <c r="G79" s="17" t="n"/>
      <c r="H79" s="29" t="n"/>
      <c r="I79" s="25" t="n"/>
      <c r="J79" s="17" t="n"/>
      <c r="K79" s="19">
        <f>IF(BF79&gt;0,"O Google leu como fórmula: digite de novo com ' na frente.","")</f>
        <v/>
      </c>
      <c r="AN79" s="2">
        <f>AN78+IF(LEN($AY$79)&gt;0,1,0)</f>
        <v/>
      </c>
      <c r="AO79" s="2">
        <f>AO78+IF(LEN($BB$79)&gt;0,1,0)</f>
        <v/>
      </c>
      <c r="AP79" s="2">
        <f>AP78+IF(LEN($BE$79)&gt;0,1,0)</f>
        <v/>
      </c>
      <c r="AY79" s="2">
        <f>IF(ISERROR($B$79),"",IF(ISBLANK($B$79),"",$B$79))</f>
        <v/>
      </c>
      <c r="BB79" s="2">
        <f>IF(ISERROR($E$79),"",IF(ISBLANK($E$79),"",$E$79))</f>
        <v/>
      </c>
      <c r="BE79" s="2">
        <f>IF(ISERROR($H$79),"",IF(ISBLANK($H$79),"",$H$79))</f>
        <v/>
      </c>
      <c r="BF79" s="2">
        <f>ISERROR($B$79)*1+ISERROR($E$79)*1+ISERROR($H$79)*1</f>
        <v/>
      </c>
    </row>
    <row r="80" ht="60" customHeight="1">
      <c r="A80" s="9" t="inlineStr">
        <is>
          <t>44</t>
        </is>
      </c>
      <c r="B80" s="4" t="n"/>
      <c r="C80" s="25" t="n"/>
      <c r="D80" s="17" t="n"/>
      <c r="E80" s="4" t="n"/>
      <c r="F80" s="25" t="n"/>
      <c r="G80" s="17" t="n"/>
      <c r="H80" s="4" t="n"/>
      <c r="I80" s="25" t="n"/>
      <c r="J80" s="17" t="n"/>
      <c r="K80" s="19">
        <f>IF(BF80&gt;0,"O Google leu como fórmula: digite de novo com ' na frente.","")</f>
        <v/>
      </c>
      <c r="AN80" s="2">
        <f>AN79+IF(LEN($AY$80)&gt;0,1,0)</f>
        <v/>
      </c>
      <c r="AO80" s="2">
        <f>AO79+IF(LEN($BB$80)&gt;0,1,0)</f>
        <v/>
      </c>
      <c r="AP80" s="2">
        <f>AP79+IF(LEN($BE$80)&gt;0,1,0)</f>
        <v/>
      </c>
      <c r="AY80" s="2">
        <f>IF(ISERROR($B$80),"",IF(ISBLANK($B$80),"",$B$80))</f>
        <v/>
      </c>
      <c r="BB80" s="2">
        <f>IF(ISERROR($E$80),"",IF(ISBLANK($E$80),"",$E$80))</f>
        <v/>
      </c>
      <c r="BE80" s="2">
        <f>IF(ISERROR($H$80),"",IF(ISBLANK($H$80),"",$H$80))</f>
        <v/>
      </c>
      <c r="BF80" s="2">
        <f>ISERROR($B$80)*1+ISERROR($E$80)*1+ISERROR($H$80)*1</f>
        <v/>
      </c>
    </row>
    <row r="81" ht="60" customHeight="1">
      <c r="A81" s="21" t="inlineStr">
        <is>
          <t>45</t>
        </is>
      </c>
      <c r="B81" s="29" t="n"/>
      <c r="C81" s="25" t="n"/>
      <c r="D81" s="17" t="n"/>
      <c r="E81" s="29" t="n"/>
      <c r="F81" s="25" t="n"/>
      <c r="G81" s="17" t="n"/>
      <c r="H81" s="29" t="n"/>
      <c r="I81" s="25" t="n"/>
      <c r="J81" s="17" t="n"/>
      <c r="K81" s="19">
        <f>IF(BF81&gt;0,"O Google leu como fórmula: digite de novo com ' na frente.","")</f>
        <v/>
      </c>
      <c r="AN81" s="2">
        <f>AN80+IF(LEN($AY$81)&gt;0,1,0)</f>
        <v/>
      </c>
      <c r="AO81" s="2">
        <f>AO80+IF(LEN($BB$81)&gt;0,1,0)</f>
        <v/>
      </c>
      <c r="AP81" s="2">
        <f>AP80+IF(LEN($BE$81)&gt;0,1,0)</f>
        <v/>
      </c>
      <c r="AY81" s="2">
        <f>IF(ISERROR($B$81),"",IF(ISBLANK($B$81),"",$B$81))</f>
        <v/>
      </c>
      <c r="BB81" s="2">
        <f>IF(ISERROR($E$81),"",IF(ISBLANK($E$81),"",$E$81))</f>
        <v/>
      </c>
      <c r="BE81" s="2">
        <f>IF(ISERROR($H$81),"",IF(ISBLANK($H$81),"",$H$81))</f>
        <v/>
      </c>
      <c r="BF81" s="2">
        <f>ISERROR($B$81)*1+ISERROR($E$81)*1+ISERROR($H$81)*1</f>
        <v/>
      </c>
    </row>
    <row r="82" ht="60" customHeight="1">
      <c r="A82" s="9" t="inlineStr">
        <is>
          <t>46</t>
        </is>
      </c>
      <c r="B82" s="4" t="n"/>
      <c r="C82" s="25" t="n"/>
      <c r="D82" s="17" t="n"/>
      <c r="E82" s="4" t="n"/>
      <c r="F82" s="25" t="n"/>
      <c r="G82" s="17" t="n"/>
      <c r="H82" s="4" t="n"/>
      <c r="I82" s="25" t="n"/>
      <c r="J82" s="17" t="n"/>
      <c r="K82" s="19">
        <f>IF(BF82&gt;0,"O Google leu como fórmula: digite de novo com ' na frente.","")</f>
        <v/>
      </c>
      <c r="AN82" s="2">
        <f>AN81+IF(LEN($AY$82)&gt;0,1,0)</f>
        <v/>
      </c>
      <c r="AO82" s="2">
        <f>AO81+IF(LEN($BB$82)&gt;0,1,0)</f>
        <v/>
      </c>
      <c r="AP82" s="2">
        <f>AP81+IF(LEN($BE$82)&gt;0,1,0)</f>
        <v/>
      </c>
      <c r="AY82" s="2">
        <f>IF(ISERROR($B$82),"",IF(ISBLANK($B$82),"",$B$82))</f>
        <v/>
      </c>
      <c r="BB82" s="2">
        <f>IF(ISERROR($E$82),"",IF(ISBLANK($E$82),"",$E$82))</f>
        <v/>
      </c>
      <c r="BE82" s="2">
        <f>IF(ISERROR($H$82),"",IF(ISBLANK($H$82),"",$H$82))</f>
        <v/>
      </c>
      <c r="BF82" s="2">
        <f>ISERROR($B$82)*1+ISERROR($E$82)*1+ISERROR($H$82)*1</f>
        <v/>
      </c>
    </row>
    <row r="83" ht="60" customHeight="1">
      <c r="A83" s="21" t="inlineStr">
        <is>
          <t>47</t>
        </is>
      </c>
      <c r="B83" s="29" t="n"/>
      <c r="C83" s="25" t="n"/>
      <c r="D83" s="17" t="n"/>
      <c r="E83" s="29" t="n"/>
      <c r="F83" s="25" t="n"/>
      <c r="G83" s="17" t="n"/>
      <c r="H83" s="29" t="n"/>
      <c r="I83" s="25" t="n"/>
      <c r="J83" s="17" t="n"/>
      <c r="K83" s="19">
        <f>IF(BF83&gt;0,"O Google leu como fórmula: digite de novo com ' na frente.","")</f>
        <v/>
      </c>
      <c r="AN83" s="2">
        <f>AN82+IF(LEN($AY$83)&gt;0,1,0)</f>
        <v/>
      </c>
      <c r="AO83" s="2">
        <f>AO82+IF(LEN($BB$83)&gt;0,1,0)</f>
        <v/>
      </c>
      <c r="AP83" s="2">
        <f>AP82+IF(LEN($BE$83)&gt;0,1,0)</f>
        <v/>
      </c>
      <c r="AY83" s="2">
        <f>IF(ISERROR($B$83),"",IF(ISBLANK($B$83),"",$B$83))</f>
        <v/>
      </c>
      <c r="BB83" s="2">
        <f>IF(ISERROR($E$83),"",IF(ISBLANK($E$83),"",$E$83))</f>
        <v/>
      </c>
      <c r="BE83" s="2">
        <f>IF(ISERROR($H$83),"",IF(ISBLANK($H$83),"",$H$83))</f>
        <v/>
      </c>
      <c r="BF83" s="2">
        <f>ISERROR($B$83)*1+ISERROR($E$83)*1+ISERROR($H$83)*1</f>
        <v/>
      </c>
    </row>
    <row r="84" ht="60" customHeight="1">
      <c r="A84" s="9" t="inlineStr">
        <is>
          <t>48</t>
        </is>
      </c>
      <c r="B84" s="4" t="n"/>
      <c r="C84" s="25" t="n"/>
      <c r="D84" s="17" t="n"/>
      <c r="E84" s="4" t="n"/>
      <c r="F84" s="25" t="n"/>
      <c r="G84" s="17" t="n"/>
      <c r="H84" s="4" t="n"/>
      <c r="I84" s="25" t="n"/>
      <c r="J84" s="17" t="n"/>
      <c r="K84" s="19">
        <f>IF(BF84&gt;0,"O Google leu como fórmula: digite de novo com ' na frente.","")</f>
        <v/>
      </c>
      <c r="AN84" s="2">
        <f>AN83+IF(LEN($AY$84)&gt;0,1,0)</f>
        <v/>
      </c>
      <c r="AO84" s="2">
        <f>AO83+IF(LEN($BB$84)&gt;0,1,0)</f>
        <v/>
      </c>
      <c r="AP84" s="2">
        <f>AP83+IF(LEN($BE$84)&gt;0,1,0)</f>
        <v/>
      </c>
      <c r="AY84" s="2">
        <f>IF(ISERROR($B$84),"",IF(ISBLANK($B$84),"",$B$84))</f>
        <v/>
      </c>
      <c r="BB84" s="2">
        <f>IF(ISERROR($E$84),"",IF(ISBLANK($E$84),"",$E$84))</f>
        <v/>
      </c>
      <c r="BE84" s="2">
        <f>IF(ISERROR($H$84),"",IF(ISBLANK($H$84),"",$H$84))</f>
        <v/>
      </c>
      <c r="BF84" s="2">
        <f>ISERROR($B$84)*1+ISERROR($E$84)*1+ISERROR($H$84)*1</f>
        <v/>
      </c>
    </row>
    <row r="85" ht="60" customHeight="1">
      <c r="A85" s="21" t="inlineStr">
        <is>
          <t>49</t>
        </is>
      </c>
      <c r="B85" s="29" t="n"/>
      <c r="C85" s="25" t="n"/>
      <c r="D85" s="17" t="n"/>
      <c r="E85" s="29" t="n"/>
      <c r="F85" s="25" t="n"/>
      <c r="G85" s="17" t="n"/>
      <c r="H85" s="29" t="n"/>
      <c r="I85" s="25" t="n"/>
      <c r="J85" s="17" t="n"/>
      <c r="K85" s="19">
        <f>IF(BF85&gt;0,"O Google leu como fórmula: digite de novo com ' na frente.","")</f>
        <v/>
      </c>
      <c r="AN85" s="2">
        <f>AN84+IF(LEN($AY$85)&gt;0,1,0)</f>
        <v/>
      </c>
      <c r="AO85" s="2">
        <f>AO84+IF(LEN($BB$85)&gt;0,1,0)</f>
        <v/>
      </c>
      <c r="AP85" s="2">
        <f>AP84+IF(LEN($BE$85)&gt;0,1,0)</f>
        <v/>
      </c>
      <c r="AY85" s="2">
        <f>IF(ISERROR($B$85),"",IF(ISBLANK($B$85),"",$B$85))</f>
        <v/>
      </c>
      <c r="BB85" s="2">
        <f>IF(ISERROR($E$85),"",IF(ISBLANK($E$85),"",$E$85))</f>
        <v/>
      </c>
      <c r="BE85" s="2">
        <f>IF(ISERROR($H$85),"",IF(ISBLANK($H$85),"",$H$85))</f>
        <v/>
      </c>
      <c r="BF85" s="2">
        <f>ISERROR($B$85)*1+ISERROR($E$85)*1+ISERROR($H$85)*1</f>
        <v/>
      </c>
    </row>
    <row r="86" ht="60" customHeight="1">
      <c r="A86" s="9" t="inlineStr">
        <is>
          <t>50</t>
        </is>
      </c>
      <c r="B86" s="4" t="n"/>
      <c r="C86" s="25" t="n"/>
      <c r="D86" s="17" t="n"/>
      <c r="E86" s="4" t="n"/>
      <c r="F86" s="25" t="n"/>
      <c r="G86" s="17" t="n"/>
      <c r="H86" s="4" t="n"/>
      <c r="I86" s="25" t="n"/>
      <c r="J86" s="17" t="n"/>
      <c r="K86" s="19">
        <f>IF(BF86&gt;0,"O Google leu como fórmula: digite de novo com ' na frente.","")</f>
        <v/>
      </c>
      <c r="AN86" s="2">
        <f>AN85+IF(LEN($AY$86)&gt;0,1,0)</f>
        <v/>
      </c>
      <c r="AO86" s="2">
        <f>AO85+IF(LEN($BB$86)&gt;0,1,0)</f>
        <v/>
      </c>
      <c r="AP86" s="2">
        <f>AP85+IF(LEN($BE$86)&gt;0,1,0)</f>
        <v/>
      </c>
      <c r="AY86" s="2">
        <f>IF(ISERROR($B$86),"",IF(ISBLANK($B$86),"",$B$86))</f>
        <v/>
      </c>
      <c r="BB86" s="2">
        <f>IF(ISERROR($E$86),"",IF(ISBLANK($E$86),"",$E$86))</f>
        <v/>
      </c>
      <c r="BE86" s="2">
        <f>IF(ISERROR($H$86),"",IF(ISBLANK($H$86),"",$H$86))</f>
        <v/>
      </c>
      <c r="BF86" s="2">
        <f>ISERROR($B$86)*1+ISERROR($E$86)*1+ISERROR($H$86)*1</f>
        <v/>
      </c>
    </row>
    <row r="87" ht="60" customHeight="1">
      <c r="A87" s="21" t="inlineStr">
        <is>
          <t>51</t>
        </is>
      </c>
      <c r="B87" s="29" t="n"/>
      <c r="C87" s="25" t="n"/>
      <c r="D87" s="17" t="n"/>
      <c r="E87" s="29" t="n"/>
      <c r="F87" s="25" t="n"/>
      <c r="G87" s="17" t="n"/>
      <c r="H87" s="29" t="n"/>
      <c r="I87" s="25" t="n"/>
      <c r="J87" s="17" t="n"/>
      <c r="K87" s="19">
        <f>IF(BF87&gt;0,"O Google leu como fórmula: digite de novo com ' na frente.","")</f>
        <v/>
      </c>
      <c r="AN87" s="2">
        <f>AN86+IF(LEN($AY$87)&gt;0,1,0)</f>
        <v/>
      </c>
      <c r="AO87" s="2">
        <f>AO86+IF(LEN($BB$87)&gt;0,1,0)</f>
        <v/>
      </c>
      <c r="AP87" s="2">
        <f>AP86+IF(LEN($BE$87)&gt;0,1,0)</f>
        <v/>
      </c>
      <c r="AY87" s="2">
        <f>IF(ISERROR($B$87),"",IF(ISBLANK($B$87),"",$B$87))</f>
        <v/>
      </c>
      <c r="BB87" s="2">
        <f>IF(ISERROR($E$87),"",IF(ISBLANK($E$87),"",$E$87))</f>
        <v/>
      </c>
      <c r="BE87" s="2">
        <f>IF(ISERROR($H$87),"",IF(ISBLANK($H$87),"",$H$87))</f>
        <v/>
      </c>
      <c r="BF87" s="2">
        <f>ISERROR($B$87)*1+ISERROR($E$87)*1+ISERROR($H$87)*1</f>
        <v/>
      </c>
    </row>
    <row r="88" ht="60" customHeight="1">
      <c r="A88" s="9" t="inlineStr">
        <is>
          <t>52</t>
        </is>
      </c>
      <c r="B88" s="4" t="n"/>
      <c r="C88" s="25" t="n"/>
      <c r="D88" s="17" t="n"/>
      <c r="E88" s="4" t="n"/>
      <c r="F88" s="25" t="n"/>
      <c r="G88" s="17" t="n"/>
      <c r="H88" s="4" t="n"/>
      <c r="I88" s="25" t="n"/>
      <c r="J88" s="17" t="n"/>
      <c r="K88" s="19">
        <f>IF(BF88&gt;0,"O Google leu como fórmula: digite de novo com ' na frente.","")</f>
        <v/>
      </c>
      <c r="AN88" s="2">
        <f>AN87+IF(LEN($AY$88)&gt;0,1,0)</f>
        <v/>
      </c>
      <c r="AO88" s="2">
        <f>AO87+IF(LEN($BB$88)&gt;0,1,0)</f>
        <v/>
      </c>
      <c r="AP88" s="2">
        <f>AP87+IF(LEN($BE$88)&gt;0,1,0)</f>
        <v/>
      </c>
      <c r="AY88" s="2">
        <f>IF(ISERROR($B$88),"",IF(ISBLANK($B$88),"",$B$88))</f>
        <v/>
      </c>
      <c r="BB88" s="2">
        <f>IF(ISERROR($E$88),"",IF(ISBLANK($E$88),"",$E$88))</f>
        <v/>
      </c>
      <c r="BE88" s="2">
        <f>IF(ISERROR($H$88),"",IF(ISBLANK($H$88),"",$H$88))</f>
        <v/>
      </c>
      <c r="BF88" s="2">
        <f>ISERROR($B$88)*1+ISERROR($E$88)*1+ISERROR($H$88)*1</f>
        <v/>
      </c>
    </row>
    <row r="89">
      <c r="A89" s="8" t="inlineStr">
        <is>
          <t>Vagas 53–65</t>
        </is>
      </c>
      <c r="B89" s="8" t="inlineStr">
        <is>
          <t>Tabela 1</t>
        </is>
      </c>
      <c r="C89" s="20" t="n"/>
      <c r="D89" s="20" t="n"/>
      <c r="E89" s="8" t="inlineStr">
        <is>
          <t>Tabela 2</t>
        </is>
      </c>
      <c r="F89" s="20" t="n"/>
      <c r="G89" s="20" t="n"/>
      <c r="H89" s="8" t="inlineStr">
        <is>
          <t>Tabela 3</t>
        </is>
      </c>
      <c r="I89" s="20" t="n"/>
      <c r="J89" s="20" t="n"/>
      <c r="AN89" s="2">
        <f>AN88</f>
        <v/>
      </c>
      <c r="AO89" s="2">
        <f>AO88</f>
        <v/>
      </c>
      <c r="AP89" s="2">
        <f>AP88</f>
        <v/>
      </c>
      <c r="AY89" s="2">
        <f>IF(ISERROR($B$89),"",IF(ISBLANK($B$89),"",$B$89))</f>
        <v/>
      </c>
      <c r="BB89" s="2">
        <f>IF(ISERROR($E$89),"",IF(ISBLANK($E$89),"",$E$89))</f>
        <v/>
      </c>
      <c r="BE89" s="2">
        <f>IF(ISERROR($H$89),"",IF(ISBLANK($H$89),"",$H$89))</f>
        <v/>
      </c>
    </row>
    <row r="90" ht="60" customHeight="1">
      <c r="A90" s="9" t="inlineStr">
        <is>
          <t>53</t>
        </is>
      </c>
      <c r="B90" s="4" t="n"/>
      <c r="C90" s="25" t="n"/>
      <c r="D90" s="17" t="n"/>
      <c r="E90" s="4" t="n"/>
      <c r="F90" s="25" t="n"/>
      <c r="G90" s="17" t="n"/>
      <c r="H90" s="4" t="n"/>
      <c r="I90" s="25" t="n"/>
      <c r="J90" s="17" t="n"/>
      <c r="K90" s="19">
        <f>IF(BF90&gt;0,"O Google leu como fórmula: digite de novo com ' na frente.","")</f>
        <v/>
      </c>
      <c r="AN90" s="2">
        <f>AN89+IF(LEN($AY$90)&gt;0,1,0)</f>
        <v/>
      </c>
      <c r="AO90" s="2">
        <f>AO89+IF(LEN($BB$90)&gt;0,1,0)</f>
        <v/>
      </c>
      <c r="AP90" s="2">
        <f>AP89+IF(LEN($BE$90)&gt;0,1,0)</f>
        <v/>
      </c>
      <c r="AY90" s="2">
        <f>IF(ISERROR($B$90),"",IF(ISBLANK($B$90),"",$B$90))</f>
        <v/>
      </c>
      <c r="BB90" s="2">
        <f>IF(ISERROR($E$90),"",IF(ISBLANK($E$90),"",$E$90))</f>
        <v/>
      </c>
      <c r="BE90" s="2">
        <f>IF(ISERROR($H$90),"",IF(ISBLANK($H$90),"",$H$90))</f>
        <v/>
      </c>
      <c r="BF90" s="2">
        <f>ISERROR($B$90)*1+ISERROR($E$90)*1+ISERROR($H$90)*1</f>
        <v/>
      </c>
    </row>
    <row r="91" ht="60" customHeight="1">
      <c r="A91" s="21" t="inlineStr">
        <is>
          <t>54</t>
        </is>
      </c>
      <c r="B91" s="29" t="n"/>
      <c r="C91" s="25" t="n"/>
      <c r="D91" s="17" t="n"/>
      <c r="E91" s="29" t="n"/>
      <c r="F91" s="25" t="n"/>
      <c r="G91" s="17" t="n"/>
      <c r="H91" s="29" t="n"/>
      <c r="I91" s="25" t="n"/>
      <c r="J91" s="17" t="n"/>
      <c r="K91" s="19">
        <f>IF(BF91&gt;0,"O Google leu como fórmula: digite de novo com ' na frente.","")</f>
        <v/>
      </c>
      <c r="AN91" s="2">
        <f>AN90+IF(LEN($AY$91)&gt;0,1,0)</f>
        <v/>
      </c>
      <c r="AO91" s="2">
        <f>AO90+IF(LEN($BB$91)&gt;0,1,0)</f>
        <v/>
      </c>
      <c r="AP91" s="2">
        <f>AP90+IF(LEN($BE$91)&gt;0,1,0)</f>
        <v/>
      </c>
      <c r="AY91" s="2">
        <f>IF(ISERROR($B$91),"",IF(ISBLANK($B$91),"",$B$91))</f>
        <v/>
      </c>
      <c r="BB91" s="2">
        <f>IF(ISERROR($E$91),"",IF(ISBLANK($E$91),"",$E$91))</f>
        <v/>
      </c>
      <c r="BE91" s="2">
        <f>IF(ISERROR($H$91),"",IF(ISBLANK($H$91),"",$H$91))</f>
        <v/>
      </c>
      <c r="BF91" s="2">
        <f>ISERROR($B$91)*1+ISERROR($E$91)*1+ISERROR($H$91)*1</f>
        <v/>
      </c>
    </row>
    <row r="92" ht="60" customHeight="1">
      <c r="A92" s="9" t="inlineStr">
        <is>
          <t>55</t>
        </is>
      </c>
      <c r="B92" s="4" t="n"/>
      <c r="C92" s="25" t="n"/>
      <c r="D92" s="17" t="n"/>
      <c r="E92" s="4" t="n"/>
      <c r="F92" s="25" t="n"/>
      <c r="G92" s="17" t="n"/>
      <c r="H92" s="4" t="n"/>
      <c r="I92" s="25" t="n"/>
      <c r="J92" s="17" t="n"/>
      <c r="K92" s="19">
        <f>IF(BF92&gt;0,"O Google leu como fórmula: digite de novo com ' na frente.","")</f>
        <v/>
      </c>
      <c r="AN92" s="2">
        <f>AN91+IF(LEN($AY$92)&gt;0,1,0)</f>
        <v/>
      </c>
      <c r="AO92" s="2">
        <f>AO91+IF(LEN($BB$92)&gt;0,1,0)</f>
        <v/>
      </c>
      <c r="AP92" s="2">
        <f>AP91+IF(LEN($BE$92)&gt;0,1,0)</f>
        <v/>
      </c>
      <c r="AY92" s="2">
        <f>IF(ISERROR($B$92),"",IF(ISBLANK($B$92),"",$B$92))</f>
        <v/>
      </c>
      <c r="BB92" s="2">
        <f>IF(ISERROR($E$92),"",IF(ISBLANK($E$92),"",$E$92))</f>
        <v/>
      </c>
      <c r="BE92" s="2">
        <f>IF(ISERROR($H$92),"",IF(ISBLANK($H$92),"",$H$92))</f>
        <v/>
      </c>
      <c r="BF92" s="2">
        <f>ISERROR($B$92)*1+ISERROR($E$92)*1+ISERROR($H$92)*1</f>
        <v/>
      </c>
    </row>
    <row r="93" ht="60" customHeight="1">
      <c r="A93" s="21" t="inlineStr">
        <is>
          <t>56</t>
        </is>
      </c>
      <c r="B93" s="29" t="n"/>
      <c r="C93" s="25" t="n"/>
      <c r="D93" s="17" t="n"/>
      <c r="E93" s="29" t="n"/>
      <c r="F93" s="25" t="n"/>
      <c r="G93" s="17" t="n"/>
      <c r="H93" s="29" t="n"/>
      <c r="I93" s="25" t="n"/>
      <c r="J93" s="17" t="n"/>
      <c r="K93" s="19">
        <f>IF(BF93&gt;0,"O Google leu como fórmula: digite de novo com ' na frente.","")</f>
        <v/>
      </c>
      <c r="AN93" s="2">
        <f>AN92+IF(LEN($AY$93)&gt;0,1,0)</f>
        <v/>
      </c>
      <c r="AO93" s="2">
        <f>AO92+IF(LEN($BB$93)&gt;0,1,0)</f>
        <v/>
      </c>
      <c r="AP93" s="2">
        <f>AP92+IF(LEN($BE$93)&gt;0,1,0)</f>
        <v/>
      </c>
      <c r="AY93" s="2">
        <f>IF(ISERROR($B$93),"",IF(ISBLANK($B$93),"",$B$93))</f>
        <v/>
      </c>
      <c r="BB93" s="2">
        <f>IF(ISERROR($E$93),"",IF(ISBLANK($E$93),"",$E$93))</f>
        <v/>
      </c>
      <c r="BE93" s="2">
        <f>IF(ISERROR($H$93),"",IF(ISBLANK($H$93),"",$H$93))</f>
        <v/>
      </c>
      <c r="BF93" s="2">
        <f>ISERROR($B$93)*1+ISERROR($E$93)*1+ISERROR($H$93)*1</f>
        <v/>
      </c>
    </row>
    <row r="94" ht="60" customHeight="1">
      <c r="A94" s="9" t="inlineStr">
        <is>
          <t>57</t>
        </is>
      </c>
      <c r="B94" s="4" t="n"/>
      <c r="C94" s="25" t="n"/>
      <c r="D94" s="17" t="n"/>
      <c r="E94" s="4" t="n"/>
      <c r="F94" s="25" t="n"/>
      <c r="G94" s="17" t="n"/>
      <c r="H94" s="4" t="n"/>
      <c r="I94" s="25" t="n"/>
      <c r="J94" s="17" t="n"/>
      <c r="K94" s="19">
        <f>IF(BF94&gt;0,"O Google leu como fórmula: digite de novo com ' na frente.","")</f>
        <v/>
      </c>
      <c r="AN94" s="2">
        <f>AN93+IF(LEN($AY$94)&gt;0,1,0)</f>
        <v/>
      </c>
      <c r="AO94" s="2">
        <f>AO93+IF(LEN($BB$94)&gt;0,1,0)</f>
        <v/>
      </c>
      <c r="AP94" s="2">
        <f>AP93+IF(LEN($BE$94)&gt;0,1,0)</f>
        <v/>
      </c>
      <c r="AY94" s="2">
        <f>IF(ISERROR($B$94),"",IF(ISBLANK($B$94),"",$B$94))</f>
        <v/>
      </c>
      <c r="BB94" s="2">
        <f>IF(ISERROR($E$94),"",IF(ISBLANK($E$94),"",$E$94))</f>
        <v/>
      </c>
      <c r="BE94" s="2">
        <f>IF(ISERROR($H$94),"",IF(ISBLANK($H$94),"",$H$94))</f>
        <v/>
      </c>
      <c r="BF94" s="2">
        <f>ISERROR($B$94)*1+ISERROR($E$94)*1+ISERROR($H$94)*1</f>
        <v/>
      </c>
    </row>
    <row r="95" ht="60" customHeight="1">
      <c r="A95" s="21" t="inlineStr">
        <is>
          <t>58</t>
        </is>
      </c>
      <c r="B95" s="29" t="n"/>
      <c r="C95" s="25" t="n"/>
      <c r="D95" s="17" t="n"/>
      <c r="E95" s="29" t="n"/>
      <c r="F95" s="25" t="n"/>
      <c r="G95" s="17" t="n"/>
      <c r="H95" s="29" t="n"/>
      <c r="I95" s="25" t="n"/>
      <c r="J95" s="17" t="n"/>
      <c r="K95" s="19">
        <f>IF(BF95&gt;0,"O Google leu como fórmula: digite de novo com ' na frente.","")</f>
        <v/>
      </c>
      <c r="AN95" s="2">
        <f>AN94+IF(LEN($AY$95)&gt;0,1,0)</f>
        <v/>
      </c>
      <c r="AO95" s="2">
        <f>AO94+IF(LEN($BB$95)&gt;0,1,0)</f>
        <v/>
      </c>
      <c r="AP95" s="2">
        <f>AP94+IF(LEN($BE$95)&gt;0,1,0)</f>
        <v/>
      </c>
      <c r="AY95" s="2">
        <f>IF(ISERROR($B$95),"",IF(ISBLANK($B$95),"",$B$95))</f>
        <v/>
      </c>
      <c r="BB95" s="2">
        <f>IF(ISERROR($E$95),"",IF(ISBLANK($E$95),"",$E$95))</f>
        <v/>
      </c>
      <c r="BE95" s="2">
        <f>IF(ISERROR($H$95),"",IF(ISBLANK($H$95),"",$H$95))</f>
        <v/>
      </c>
      <c r="BF95" s="2">
        <f>ISERROR($B$95)*1+ISERROR($E$95)*1+ISERROR($H$95)*1</f>
        <v/>
      </c>
    </row>
    <row r="96" ht="71" customHeight="1">
      <c r="A96" s="9" t="inlineStr">
        <is>
          <t>59</t>
        </is>
      </c>
      <c r="B96" s="4" t="n"/>
      <c r="C96" s="25" t="n"/>
      <c r="D96" s="17" t="n"/>
      <c r="E96" s="4" t="n"/>
      <c r="F96" s="25" t="n"/>
      <c r="G96" s="17" t="n"/>
      <c r="H96" s="4" t="n"/>
      <c r="I96" s="25" t="n"/>
      <c r="J96" s="17" t="n"/>
      <c r="K96" s="19">
        <f>IF(BF96&gt;0,"O Google leu como fórmula: digite de novo com ' na frente.","")</f>
        <v/>
      </c>
      <c r="AN96" s="2">
        <f>AN95+IF(LEN($AY$96)&gt;0,1,0)</f>
        <v/>
      </c>
      <c r="AO96" s="2">
        <f>AO95+IF(LEN($BB$96)&gt;0,1,0)</f>
        <v/>
      </c>
      <c r="AP96" s="2">
        <f>AP95+IF(LEN($BE$96)&gt;0,1,0)</f>
        <v/>
      </c>
      <c r="AY96" s="2">
        <f>IF(ISERROR($B$96),"",IF(ISBLANK($B$96),"",$B$96))</f>
        <v/>
      </c>
      <c r="BB96" s="2">
        <f>IF(ISERROR($E$96),"",IF(ISBLANK($E$96),"",$E$96))</f>
        <v/>
      </c>
      <c r="BE96" s="2">
        <f>IF(ISERROR($H$96),"",IF(ISBLANK($H$96),"",$H$96))</f>
        <v/>
      </c>
      <c r="BF96" s="2">
        <f>ISERROR($B$96)*1+ISERROR($E$96)*1+ISERROR($H$96)*1</f>
        <v/>
      </c>
    </row>
    <row r="97" ht="60" customHeight="1">
      <c r="A97" s="21" t="inlineStr">
        <is>
          <t>60</t>
        </is>
      </c>
      <c r="B97" s="29" t="n"/>
      <c r="C97" s="25" t="n"/>
      <c r="D97" s="17" t="n"/>
      <c r="E97" s="29" t="n"/>
      <c r="F97" s="25" t="n"/>
      <c r="G97" s="17" t="n"/>
      <c r="H97" s="29" t="n"/>
      <c r="I97" s="25" t="n"/>
      <c r="J97" s="17" t="n"/>
      <c r="K97" s="19">
        <f>IF(BF97&gt;0,"O Google leu como fórmula: digite de novo com ' na frente.","")</f>
        <v/>
      </c>
      <c r="AN97" s="2">
        <f>AN96+IF(LEN($AY$97)&gt;0,1,0)</f>
        <v/>
      </c>
      <c r="AO97" s="2">
        <f>AO96+IF(LEN($BB$97)&gt;0,1,0)</f>
        <v/>
      </c>
      <c r="AP97" s="2">
        <f>AP96+IF(LEN($BE$97)&gt;0,1,0)</f>
        <v/>
      </c>
      <c r="AY97" s="2">
        <f>IF(ISERROR($B$97),"",IF(ISBLANK($B$97),"",$B$97))</f>
        <v/>
      </c>
      <c r="BB97" s="2">
        <f>IF(ISERROR($E$97),"",IF(ISBLANK($E$97),"",$E$97))</f>
        <v/>
      </c>
      <c r="BE97" s="2">
        <f>IF(ISERROR($H$97),"",IF(ISBLANK($H$97),"",$H$97))</f>
        <v/>
      </c>
      <c r="BF97" s="2">
        <f>ISERROR($B$97)*1+ISERROR($E$97)*1+ISERROR($H$97)*1</f>
        <v/>
      </c>
    </row>
    <row r="98" ht="60" customHeight="1">
      <c r="A98" s="9" t="inlineStr">
        <is>
          <t>61</t>
        </is>
      </c>
      <c r="B98" s="4" t="n"/>
      <c r="C98" s="25" t="n"/>
      <c r="D98" s="17" t="n"/>
      <c r="E98" s="4" t="n"/>
      <c r="F98" s="25" t="n"/>
      <c r="G98" s="17" t="n"/>
      <c r="H98" s="4" t="n"/>
      <c r="I98" s="25" t="n"/>
      <c r="J98" s="17" t="n"/>
      <c r="K98" s="19">
        <f>IF(BF98&gt;0,"O Google leu como fórmula: digite de novo com ' na frente.","")</f>
        <v/>
      </c>
      <c r="AN98" s="2">
        <f>AN97+IF(LEN($AY$98)&gt;0,1,0)</f>
        <v/>
      </c>
      <c r="AO98" s="2">
        <f>AO97+IF(LEN($BB$98)&gt;0,1,0)</f>
        <v/>
      </c>
      <c r="AP98" s="2">
        <f>AP97+IF(LEN($BE$98)&gt;0,1,0)</f>
        <v/>
      </c>
      <c r="AY98" s="2">
        <f>IF(ISERROR($B$98),"",IF(ISBLANK($B$98),"",$B$98))</f>
        <v/>
      </c>
      <c r="BB98" s="2">
        <f>IF(ISERROR($E$98),"",IF(ISBLANK($E$98),"",$E$98))</f>
        <v/>
      </c>
      <c r="BE98" s="2">
        <f>IF(ISERROR($H$98),"",IF(ISBLANK($H$98),"",$H$98))</f>
        <v/>
      </c>
      <c r="BF98" s="2">
        <f>ISERROR($B$98)*1+ISERROR($E$98)*1+ISERROR($H$98)*1</f>
        <v/>
      </c>
    </row>
    <row r="99" ht="60" customHeight="1">
      <c r="A99" s="21" t="inlineStr">
        <is>
          <t>62</t>
        </is>
      </c>
      <c r="B99" s="29" t="n"/>
      <c r="C99" s="25" t="n"/>
      <c r="D99" s="17" t="n"/>
      <c r="E99" s="29" t="n"/>
      <c r="F99" s="25" t="n"/>
      <c r="G99" s="17" t="n"/>
      <c r="H99" s="29" t="n"/>
      <c r="I99" s="25" t="n"/>
      <c r="J99" s="17" t="n"/>
      <c r="K99" s="19">
        <f>IF(BF99&gt;0,"O Google leu como fórmula: digite de novo com ' na frente.","")</f>
        <v/>
      </c>
      <c r="AN99" s="2">
        <f>AN98+IF(LEN($AY$99)&gt;0,1,0)</f>
        <v/>
      </c>
      <c r="AO99" s="2">
        <f>AO98+IF(LEN($BB$99)&gt;0,1,0)</f>
        <v/>
      </c>
      <c r="AP99" s="2">
        <f>AP98+IF(LEN($BE$99)&gt;0,1,0)</f>
        <v/>
      </c>
      <c r="AY99" s="2">
        <f>IF(ISERROR($B$99),"",IF(ISBLANK($B$99),"",$B$99))</f>
        <v/>
      </c>
      <c r="BB99" s="2">
        <f>IF(ISERROR($E$99),"",IF(ISBLANK($E$99),"",$E$99))</f>
        <v/>
      </c>
      <c r="BE99" s="2">
        <f>IF(ISERROR($H$99),"",IF(ISBLANK($H$99),"",$H$99))</f>
        <v/>
      </c>
      <c r="BF99" s="2">
        <f>ISERROR($B$99)*1+ISERROR($E$99)*1+ISERROR($H$99)*1</f>
        <v/>
      </c>
    </row>
    <row r="100" ht="60" customHeight="1">
      <c r="A100" s="9" t="inlineStr">
        <is>
          <t>63</t>
        </is>
      </c>
      <c r="B100" s="4" t="n"/>
      <c r="C100" s="25" t="n"/>
      <c r="D100" s="17" t="n"/>
      <c r="E100" s="4" t="n"/>
      <c r="F100" s="25" t="n"/>
      <c r="G100" s="17" t="n"/>
      <c r="H100" s="4" t="n"/>
      <c r="I100" s="25" t="n"/>
      <c r="J100" s="17" t="n"/>
      <c r="K100" s="19">
        <f>IF(BF100&gt;0,"O Google leu como fórmula: digite de novo com ' na frente.","")</f>
        <v/>
      </c>
      <c r="AN100" s="2">
        <f>AN99+IF(LEN($AY$100)&gt;0,1,0)</f>
        <v/>
      </c>
      <c r="AO100" s="2">
        <f>AO99+IF(LEN($BB$100)&gt;0,1,0)</f>
        <v/>
      </c>
      <c r="AP100" s="2">
        <f>AP99+IF(LEN($BE$100)&gt;0,1,0)</f>
        <v/>
      </c>
      <c r="AY100" s="2">
        <f>IF(ISERROR($B$100),"",IF(ISBLANK($B$100),"",$B$100))</f>
        <v/>
      </c>
      <c r="BB100" s="2">
        <f>IF(ISERROR($E$100),"",IF(ISBLANK($E$100),"",$E$100))</f>
        <v/>
      </c>
      <c r="BE100" s="2">
        <f>IF(ISERROR($H$100),"",IF(ISBLANK($H$100),"",$H$100))</f>
        <v/>
      </c>
      <c r="BF100" s="2">
        <f>ISERROR($B$100)*1+ISERROR($E$100)*1+ISERROR($H$100)*1</f>
        <v/>
      </c>
    </row>
    <row r="101" ht="60" customHeight="1">
      <c r="A101" s="21" t="inlineStr">
        <is>
          <t>64</t>
        </is>
      </c>
      <c r="B101" s="29" t="n"/>
      <c r="C101" s="25" t="n"/>
      <c r="D101" s="17" t="n"/>
      <c r="E101" s="29" t="n"/>
      <c r="F101" s="25" t="n"/>
      <c r="G101" s="17" t="n"/>
      <c r="H101" s="29" t="n"/>
      <c r="I101" s="25" t="n"/>
      <c r="J101" s="17" t="n"/>
      <c r="K101" s="19">
        <f>IF(BF101&gt;0,"O Google leu como fórmula: digite de novo com ' na frente.","")</f>
        <v/>
      </c>
      <c r="AN101" s="2">
        <f>AN100+IF(LEN($AY$101)&gt;0,1,0)</f>
        <v/>
      </c>
      <c r="AO101" s="2">
        <f>AO100+IF(LEN($BB$101)&gt;0,1,0)</f>
        <v/>
      </c>
      <c r="AP101" s="2">
        <f>AP100+IF(LEN($BE$101)&gt;0,1,0)</f>
        <v/>
      </c>
      <c r="AY101" s="2">
        <f>IF(ISERROR($B$101),"",IF(ISBLANK($B$101),"",$B$101))</f>
        <v/>
      </c>
      <c r="BB101" s="2">
        <f>IF(ISERROR($E$101),"",IF(ISBLANK($E$101),"",$E$101))</f>
        <v/>
      </c>
      <c r="BE101" s="2">
        <f>IF(ISERROR($H$101),"",IF(ISBLANK($H$101),"",$H$101))</f>
        <v/>
      </c>
      <c r="BF101" s="2">
        <f>ISERROR($B$101)*1+ISERROR($E$101)*1+ISERROR($H$101)*1</f>
        <v/>
      </c>
    </row>
    <row r="102" ht="60" customHeight="1">
      <c r="A102" s="9" t="inlineStr">
        <is>
          <t>65</t>
        </is>
      </c>
      <c r="B102" s="4" t="n"/>
      <c r="C102" s="25" t="n"/>
      <c r="D102" s="17" t="n"/>
      <c r="E102" s="4" t="n"/>
      <c r="F102" s="25" t="n"/>
      <c r="G102" s="17" t="n"/>
      <c r="H102" s="4" t="n"/>
      <c r="I102" s="25" t="n"/>
      <c r="J102" s="17" t="n"/>
      <c r="K102" s="19">
        <f>IF(BF102&gt;0,"O Google leu como fórmula: digite de novo com ' na frente.","")</f>
        <v/>
      </c>
      <c r="AN102" s="2">
        <f>AN101+IF(LEN($AY$102)&gt;0,1,0)</f>
        <v/>
      </c>
      <c r="AO102" s="2">
        <f>AO101+IF(LEN($BB$102)&gt;0,1,0)</f>
        <v/>
      </c>
      <c r="AP102" s="2">
        <f>AP101+IF(LEN($BE$102)&gt;0,1,0)</f>
        <v/>
      </c>
      <c r="AY102" s="2">
        <f>IF(ISERROR($B$102),"",IF(ISBLANK($B$102),"",$B$102))</f>
        <v/>
      </c>
      <c r="BB102" s="2">
        <f>IF(ISERROR($E$102),"",IF(ISBLANK($E$102),"",$E$102))</f>
        <v/>
      </c>
      <c r="BE102" s="2">
        <f>IF(ISERROR($H$102),"",IF(ISBLANK($H$102),"",$H$102))</f>
        <v/>
      </c>
      <c r="BF102" s="2">
        <f>ISERROR($B$102)*1+ISERROR($E$102)*1+ISERROR($H$102)*1</f>
        <v/>
      </c>
    </row>
    <row r="103">
      <c r="A103" s="8" t="inlineStr">
        <is>
          <t>Vagas 66–78</t>
        </is>
      </c>
      <c r="B103" s="8" t="inlineStr">
        <is>
          <t>Tabela 1</t>
        </is>
      </c>
      <c r="C103" s="20" t="n"/>
      <c r="D103" s="20" t="n"/>
      <c r="E103" s="8" t="inlineStr">
        <is>
          <t>Tabela 2</t>
        </is>
      </c>
      <c r="F103" s="20" t="n"/>
      <c r="G103" s="20" t="n"/>
      <c r="H103" s="8" t="inlineStr">
        <is>
          <t>Tabela 3</t>
        </is>
      </c>
      <c r="I103" s="20" t="n"/>
      <c r="J103" s="20" t="n"/>
      <c r="AN103" s="2">
        <f>AN102</f>
        <v/>
      </c>
      <c r="AO103" s="2">
        <f>AO102</f>
        <v/>
      </c>
      <c r="AP103" s="2">
        <f>AP102</f>
        <v/>
      </c>
      <c r="AY103" s="2">
        <f>IF(ISERROR($B$103),"",IF(ISBLANK($B$103),"",$B$103))</f>
        <v/>
      </c>
      <c r="BB103" s="2">
        <f>IF(ISERROR($E$103),"",IF(ISBLANK($E$103),"",$E$103))</f>
        <v/>
      </c>
      <c r="BE103" s="2">
        <f>IF(ISERROR($H$103),"",IF(ISBLANK($H$103),"",$H$103))</f>
        <v/>
      </c>
    </row>
    <row r="104" ht="60" customHeight="1">
      <c r="A104" s="9" t="inlineStr">
        <is>
          <t>66</t>
        </is>
      </c>
      <c r="B104" s="4" t="n"/>
      <c r="C104" s="25" t="n"/>
      <c r="D104" s="17" t="n"/>
      <c r="E104" s="4" t="n"/>
      <c r="F104" s="25" t="n"/>
      <c r="G104" s="17" t="n"/>
      <c r="H104" s="4" t="n"/>
      <c r="I104" s="25" t="n"/>
      <c r="J104" s="17" t="n"/>
      <c r="K104" s="19">
        <f>IF(BF104&gt;0,"O Google leu como fórmula: digite de novo com ' na frente.","")</f>
        <v/>
      </c>
      <c r="AN104" s="2">
        <f>AN103+IF(LEN($AY$104)&gt;0,1,0)</f>
        <v/>
      </c>
      <c r="AO104" s="2">
        <f>AO103+IF(LEN($BB$104)&gt;0,1,0)</f>
        <v/>
      </c>
      <c r="AP104" s="2">
        <f>AP103+IF(LEN($BE$104)&gt;0,1,0)</f>
        <v/>
      </c>
      <c r="AY104" s="2">
        <f>IF(ISERROR($B$104),"",IF(ISBLANK($B$104),"",$B$104))</f>
        <v/>
      </c>
      <c r="BB104" s="2">
        <f>IF(ISERROR($E$104),"",IF(ISBLANK($E$104),"",$E$104))</f>
        <v/>
      </c>
      <c r="BE104" s="2">
        <f>IF(ISERROR($H$104),"",IF(ISBLANK($H$104),"",$H$104))</f>
        <v/>
      </c>
      <c r="BF104" s="2">
        <f>ISERROR($B$104)*1+ISERROR($E$104)*1+ISERROR($H$104)*1</f>
        <v/>
      </c>
    </row>
    <row r="105" ht="60" customHeight="1">
      <c r="A105" s="21" t="inlineStr">
        <is>
          <t>67</t>
        </is>
      </c>
      <c r="B105" s="29" t="n"/>
      <c r="C105" s="25" t="n"/>
      <c r="D105" s="17" t="n"/>
      <c r="E105" s="29" t="n"/>
      <c r="F105" s="25" t="n"/>
      <c r="G105" s="17" t="n"/>
      <c r="H105" s="29" t="n"/>
      <c r="I105" s="25" t="n"/>
      <c r="J105" s="17" t="n"/>
      <c r="K105" s="19">
        <f>IF(BF105&gt;0,"O Google leu como fórmula: digite de novo com ' na frente.","")</f>
        <v/>
      </c>
      <c r="AN105" s="2">
        <f>AN104+IF(LEN($AY$105)&gt;0,1,0)</f>
        <v/>
      </c>
      <c r="AO105" s="2">
        <f>AO104+IF(LEN($BB$105)&gt;0,1,0)</f>
        <v/>
      </c>
      <c r="AP105" s="2">
        <f>AP104+IF(LEN($BE$105)&gt;0,1,0)</f>
        <v/>
      </c>
      <c r="AY105" s="2">
        <f>IF(ISERROR($B$105),"",IF(ISBLANK($B$105),"",$B$105))</f>
        <v/>
      </c>
      <c r="BB105" s="2">
        <f>IF(ISERROR($E$105),"",IF(ISBLANK($E$105),"",$E$105))</f>
        <v/>
      </c>
      <c r="BE105" s="2">
        <f>IF(ISERROR($H$105),"",IF(ISBLANK($H$105),"",$H$105))</f>
        <v/>
      </c>
      <c r="BF105" s="2">
        <f>ISERROR($B$105)*1+ISERROR($E$105)*1+ISERROR($H$105)*1</f>
        <v/>
      </c>
    </row>
    <row r="106" ht="60" customHeight="1">
      <c r="A106" s="9" t="inlineStr">
        <is>
          <t>68</t>
        </is>
      </c>
      <c r="B106" s="4" t="n"/>
      <c r="C106" s="25" t="n"/>
      <c r="D106" s="17" t="n"/>
      <c r="E106" s="4" t="n"/>
      <c r="F106" s="25" t="n"/>
      <c r="G106" s="17" t="n"/>
      <c r="H106" s="4" t="n"/>
      <c r="I106" s="25" t="n"/>
      <c r="J106" s="17" t="n"/>
      <c r="K106" s="19">
        <f>IF(BF106&gt;0,"O Google leu como fórmula: digite de novo com ' na frente.","")</f>
        <v/>
      </c>
      <c r="AN106" s="2">
        <f>AN105+IF(LEN($AY$106)&gt;0,1,0)</f>
        <v/>
      </c>
      <c r="AO106" s="2">
        <f>AO105+IF(LEN($BB$106)&gt;0,1,0)</f>
        <v/>
      </c>
      <c r="AP106" s="2">
        <f>AP105+IF(LEN($BE$106)&gt;0,1,0)</f>
        <v/>
      </c>
      <c r="AY106" s="2">
        <f>IF(ISERROR($B$106),"",IF(ISBLANK($B$106),"",$B$106))</f>
        <v/>
      </c>
      <c r="BB106" s="2">
        <f>IF(ISERROR($E$106),"",IF(ISBLANK($E$106),"",$E$106))</f>
        <v/>
      </c>
      <c r="BE106" s="2">
        <f>IF(ISERROR($H$106),"",IF(ISBLANK($H$106),"",$H$106))</f>
        <v/>
      </c>
      <c r="BF106" s="2">
        <f>ISERROR($B$106)*1+ISERROR($E$106)*1+ISERROR($H$106)*1</f>
        <v/>
      </c>
    </row>
    <row r="107" ht="71" customHeight="1">
      <c r="A107" s="21" t="inlineStr">
        <is>
          <t>69</t>
        </is>
      </c>
      <c r="B107" s="29" t="n"/>
      <c r="C107" s="25" t="n"/>
      <c r="D107" s="17" t="n"/>
      <c r="E107" s="29" t="n"/>
      <c r="F107" s="25" t="n"/>
      <c r="G107" s="17" t="n"/>
      <c r="H107" s="29" t="n"/>
      <c r="I107" s="25" t="n"/>
      <c r="J107" s="17" t="n"/>
      <c r="K107" s="19">
        <f>IF(BF107&gt;0,"O Google leu como fórmula: digite de novo com ' na frente.","")</f>
        <v/>
      </c>
      <c r="AN107" s="2">
        <f>AN106+IF(LEN($AY$107)&gt;0,1,0)</f>
        <v/>
      </c>
      <c r="AO107" s="2">
        <f>AO106+IF(LEN($BB$107)&gt;0,1,0)</f>
        <v/>
      </c>
      <c r="AP107" s="2">
        <f>AP106+IF(LEN($BE$107)&gt;0,1,0)</f>
        <v/>
      </c>
      <c r="AY107" s="2">
        <f>IF(ISERROR($B$107),"",IF(ISBLANK($B$107),"",$B$107))</f>
        <v/>
      </c>
      <c r="BB107" s="2">
        <f>IF(ISERROR($E$107),"",IF(ISBLANK($E$107),"",$E$107))</f>
        <v/>
      </c>
      <c r="BE107" s="2">
        <f>IF(ISERROR($H$107),"",IF(ISBLANK($H$107),"",$H$107))</f>
        <v/>
      </c>
      <c r="BF107" s="2">
        <f>ISERROR($B$107)*1+ISERROR($E$107)*1+ISERROR($H$107)*1</f>
        <v/>
      </c>
    </row>
    <row r="108" ht="60" customHeight="1">
      <c r="A108" s="9" t="inlineStr">
        <is>
          <t>70</t>
        </is>
      </c>
      <c r="B108" s="4" t="n"/>
      <c r="C108" s="25" t="n"/>
      <c r="D108" s="17" t="n"/>
      <c r="E108" s="4" t="n"/>
      <c r="F108" s="25" t="n"/>
      <c r="G108" s="17" t="n"/>
      <c r="H108" s="4" t="n"/>
      <c r="I108" s="25" t="n"/>
      <c r="J108" s="17" t="n"/>
      <c r="K108" s="19">
        <f>IF(BF108&gt;0,"O Google leu como fórmula: digite de novo com ' na frente.","")</f>
        <v/>
      </c>
      <c r="AN108" s="2">
        <f>AN107+IF(LEN($AY$108)&gt;0,1,0)</f>
        <v/>
      </c>
      <c r="AO108" s="2">
        <f>AO107+IF(LEN($BB$108)&gt;0,1,0)</f>
        <v/>
      </c>
      <c r="AP108" s="2">
        <f>AP107+IF(LEN($BE$108)&gt;0,1,0)</f>
        <v/>
      </c>
      <c r="AY108" s="2">
        <f>IF(ISERROR($B$108),"",IF(ISBLANK($B$108),"",$B$108))</f>
        <v/>
      </c>
      <c r="BB108" s="2">
        <f>IF(ISERROR($E$108),"",IF(ISBLANK($E$108),"",$E$108))</f>
        <v/>
      </c>
      <c r="BE108" s="2">
        <f>IF(ISERROR($H$108),"",IF(ISBLANK($H$108),"",$H$108))</f>
        <v/>
      </c>
      <c r="BF108" s="2">
        <f>ISERROR($B$108)*1+ISERROR($E$108)*1+ISERROR($H$108)*1</f>
        <v/>
      </c>
    </row>
    <row r="109" ht="60" customHeight="1">
      <c r="A109" s="21" t="inlineStr">
        <is>
          <t>71</t>
        </is>
      </c>
      <c r="B109" s="29" t="n"/>
      <c r="C109" s="25" t="n"/>
      <c r="D109" s="17" t="n"/>
      <c r="E109" s="29" t="n"/>
      <c r="F109" s="25" t="n"/>
      <c r="G109" s="17" t="n"/>
      <c r="H109" s="29" t="n"/>
      <c r="I109" s="25" t="n"/>
      <c r="J109" s="17" t="n"/>
      <c r="K109" s="19">
        <f>IF(BF109&gt;0,"O Google leu como fórmula: digite de novo com ' na frente.","")</f>
        <v/>
      </c>
      <c r="AN109" s="2">
        <f>AN108+IF(LEN($AY$109)&gt;0,1,0)</f>
        <v/>
      </c>
      <c r="AO109" s="2">
        <f>AO108+IF(LEN($BB$109)&gt;0,1,0)</f>
        <v/>
      </c>
      <c r="AP109" s="2">
        <f>AP108+IF(LEN($BE$109)&gt;0,1,0)</f>
        <v/>
      </c>
      <c r="AY109" s="2">
        <f>IF(ISERROR($B$109),"",IF(ISBLANK($B$109),"",$B$109))</f>
        <v/>
      </c>
      <c r="BB109" s="2">
        <f>IF(ISERROR($E$109),"",IF(ISBLANK($E$109),"",$E$109))</f>
        <v/>
      </c>
      <c r="BE109" s="2">
        <f>IF(ISERROR($H$109),"",IF(ISBLANK($H$109),"",$H$109))</f>
        <v/>
      </c>
      <c r="BF109" s="2">
        <f>ISERROR($B$109)*1+ISERROR($E$109)*1+ISERROR($H$109)*1</f>
        <v/>
      </c>
    </row>
    <row r="110" ht="60" customHeight="1">
      <c r="A110" s="9" t="inlineStr">
        <is>
          <t>72</t>
        </is>
      </c>
      <c r="B110" s="4" t="n"/>
      <c r="C110" s="25" t="n"/>
      <c r="D110" s="17" t="n"/>
      <c r="E110" s="4" t="n"/>
      <c r="F110" s="25" t="n"/>
      <c r="G110" s="17" t="n"/>
      <c r="H110" s="4" t="n"/>
      <c r="I110" s="25" t="n"/>
      <c r="J110" s="17" t="n"/>
      <c r="K110" s="19">
        <f>IF(BF110&gt;0,"O Google leu como fórmula: digite de novo com ' na frente.","")</f>
        <v/>
      </c>
      <c r="AN110" s="2">
        <f>AN109+IF(LEN($AY$110)&gt;0,1,0)</f>
        <v/>
      </c>
      <c r="AO110" s="2">
        <f>AO109+IF(LEN($BB$110)&gt;0,1,0)</f>
        <v/>
      </c>
      <c r="AP110" s="2">
        <f>AP109+IF(LEN($BE$110)&gt;0,1,0)</f>
        <v/>
      </c>
      <c r="AY110" s="2">
        <f>IF(ISERROR($B$110),"",IF(ISBLANK($B$110),"",$B$110))</f>
        <v/>
      </c>
      <c r="BB110" s="2">
        <f>IF(ISERROR($E$110),"",IF(ISBLANK($E$110),"",$E$110))</f>
        <v/>
      </c>
      <c r="BE110" s="2">
        <f>IF(ISERROR($H$110),"",IF(ISBLANK($H$110),"",$H$110))</f>
        <v/>
      </c>
      <c r="BF110" s="2">
        <f>ISERROR($B$110)*1+ISERROR($E$110)*1+ISERROR($H$110)*1</f>
        <v/>
      </c>
    </row>
    <row r="111" ht="60" customHeight="1">
      <c r="A111" s="21" t="inlineStr">
        <is>
          <t>73</t>
        </is>
      </c>
      <c r="B111" s="29" t="n"/>
      <c r="C111" s="25" t="n"/>
      <c r="D111" s="17" t="n"/>
      <c r="E111" s="29" t="n"/>
      <c r="F111" s="25" t="n"/>
      <c r="G111" s="17" t="n"/>
      <c r="H111" s="29" t="n"/>
      <c r="I111" s="25" t="n"/>
      <c r="J111" s="17" t="n"/>
      <c r="K111" s="19">
        <f>IF(BF111&gt;0,"O Google leu como fórmula: digite de novo com ' na frente.","")</f>
        <v/>
      </c>
      <c r="AN111" s="2">
        <f>AN110+IF(LEN($AY$111)&gt;0,1,0)</f>
        <v/>
      </c>
      <c r="AO111" s="2">
        <f>AO110+IF(LEN($BB$111)&gt;0,1,0)</f>
        <v/>
      </c>
      <c r="AP111" s="2">
        <f>AP110+IF(LEN($BE$111)&gt;0,1,0)</f>
        <v/>
      </c>
      <c r="AY111" s="2">
        <f>IF(ISERROR($B$111),"",IF(ISBLANK($B$111),"",$B$111))</f>
        <v/>
      </c>
      <c r="BB111" s="2">
        <f>IF(ISERROR($E$111),"",IF(ISBLANK($E$111),"",$E$111))</f>
        <v/>
      </c>
      <c r="BE111" s="2">
        <f>IF(ISERROR($H$111),"",IF(ISBLANK($H$111),"",$H$111))</f>
        <v/>
      </c>
      <c r="BF111" s="2">
        <f>ISERROR($B$111)*1+ISERROR($E$111)*1+ISERROR($H$111)*1</f>
        <v/>
      </c>
    </row>
    <row r="112" ht="60" customHeight="1">
      <c r="A112" s="9" t="inlineStr">
        <is>
          <t>74</t>
        </is>
      </c>
      <c r="B112" s="4" t="n"/>
      <c r="C112" s="25" t="n"/>
      <c r="D112" s="17" t="n"/>
      <c r="E112" s="4" t="n"/>
      <c r="F112" s="25" t="n"/>
      <c r="G112" s="17" t="n"/>
      <c r="H112" s="4" t="n"/>
      <c r="I112" s="25" t="n"/>
      <c r="J112" s="17" t="n"/>
      <c r="K112" s="19">
        <f>IF(BF112&gt;0,"O Google leu como fórmula: digite de novo com ' na frente.","")</f>
        <v/>
      </c>
      <c r="AN112" s="2">
        <f>AN111+IF(LEN($AY$112)&gt;0,1,0)</f>
        <v/>
      </c>
      <c r="AO112" s="2">
        <f>AO111+IF(LEN($BB$112)&gt;0,1,0)</f>
        <v/>
      </c>
      <c r="AP112" s="2">
        <f>AP111+IF(LEN($BE$112)&gt;0,1,0)</f>
        <v/>
      </c>
      <c r="AY112" s="2">
        <f>IF(ISERROR($B$112),"",IF(ISBLANK($B$112),"",$B$112))</f>
        <v/>
      </c>
      <c r="BB112" s="2">
        <f>IF(ISERROR($E$112),"",IF(ISBLANK($E$112),"",$E$112))</f>
        <v/>
      </c>
      <c r="BE112" s="2">
        <f>IF(ISERROR($H$112),"",IF(ISBLANK($H$112),"",$H$112))</f>
        <v/>
      </c>
      <c r="BF112" s="2">
        <f>ISERROR($B$112)*1+ISERROR($E$112)*1+ISERROR($H$112)*1</f>
        <v/>
      </c>
    </row>
    <row r="113" ht="60" customHeight="1">
      <c r="A113" s="21" t="inlineStr">
        <is>
          <t>75</t>
        </is>
      </c>
      <c r="B113" s="29" t="n"/>
      <c r="C113" s="25" t="n"/>
      <c r="D113" s="17" t="n"/>
      <c r="E113" s="29" t="n"/>
      <c r="F113" s="25" t="n"/>
      <c r="G113" s="17" t="n"/>
      <c r="H113" s="29" t="n"/>
      <c r="I113" s="25" t="n"/>
      <c r="J113" s="17" t="n"/>
      <c r="K113" s="19">
        <f>IF(BF113&gt;0,"O Google leu como fórmula: digite de novo com ' na frente.","")</f>
        <v/>
      </c>
      <c r="AN113" s="2">
        <f>AN112+IF(LEN($AY$113)&gt;0,1,0)</f>
        <v/>
      </c>
      <c r="AO113" s="2">
        <f>AO112+IF(LEN($BB$113)&gt;0,1,0)</f>
        <v/>
      </c>
      <c r="AP113" s="2">
        <f>AP112+IF(LEN($BE$113)&gt;0,1,0)</f>
        <v/>
      </c>
      <c r="AY113" s="2">
        <f>IF(ISERROR($B$113),"",IF(ISBLANK($B$113),"",$B$113))</f>
        <v/>
      </c>
      <c r="BB113" s="2">
        <f>IF(ISERROR($E$113),"",IF(ISBLANK($E$113),"",$E$113))</f>
        <v/>
      </c>
      <c r="BE113" s="2">
        <f>IF(ISERROR($H$113),"",IF(ISBLANK($H$113),"",$H$113))</f>
        <v/>
      </c>
      <c r="BF113" s="2">
        <f>ISERROR($B$113)*1+ISERROR($E$113)*1+ISERROR($H$113)*1</f>
        <v/>
      </c>
    </row>
    <row r="114" ht="60" customHeight="1">
      <c r="A114" s="9" t="inlineStr">
        <is>
          <t>76</t>
        </is>
      </c>
      <c r="B114" s="4" t="n"/>
      <c r="C114" s="25" t="n"/>
      <c r="D114" s="17" t="n"/>
      <c r="E114" s="4" t="n"/>
      <c r="F114" s="25" t="n"/>
      <c r="G114" s="17" t="n"/>
      <c r="H114" s="4" t="n"/>
      <c r="I114" s="25" t="n"/>
      <c r="J114" s="17" t="n"/>
      <c r="K114" s="19">
        <f>IF(BF114&gt;0,"O Google leu como fórmula: digite de novo com ' na frente.","")</f>
        <v/>
      </c>
      <c r="AN114" s="2">
        <f>AN113+IF(LEN($AY$114)&gt;0,1,0)</f>
        <v/>
      </c>
      <c r="AO114" s="2">
        <f>AO113+IF(LEN($BB$114)&gt;0,1,0)</f>
        <v/>
      </c>
      <c r="AP114" s="2">
        <f>AP113+IF(LEN($BE$114)&gt;0,1,0)</f>
        <v/>
      </c>
      <c r="AY114" s="2">
        <f>IF(ISERROR($B$114),"",IF(ISBLANK($B$114),"",$B$114))</f>
        <v/>
      </c>
      <c r="BB114" s="2">
        <f>IF(ISERROR($E$114),"",IF(ISBLANK($E$114),"",$E$114))</f>
        <v/>
      </c>
      <c r="BE114" s="2">
        <f>IF(ISERROR($H$114),"",IF(ISBLANK($H$114),"",$H$114))</f>
        <v/>
      </c>
      <c r="BF114" s="2">
        <f>ISERROR($B$114)*1+ISERROR($E$114)*1+ISERROR($H$114)*1</f>
        <v/>
      </c>
    </row>
    <row r="115" ht="60" customHeight="1">
      <c r="A115" s="21" t="inlineStr">
        <is>
          <t>77</t>
        </is>
      </c>
      <c r="B115" s="29" t="n"/>
      <c r="C115" s="25" t="n"/>
      <c r="D115" s="17" t="n"/>
      <c r="E115" s="29" t="n"/>
      <c r="F115" s="25" t="n"/>
      <c r="G115" s="17" t="n"/>
      <c r="H115" s="29" t="n"/>
      <c r="I115" s="25" t="n"/>
      <c r="J115" s="17" t="n"/>
      <c r="K115" s="19">
        <f>IF(BF115&gt;0,"O Google leu como fórmula: digite de novo com ' na frente.","")</f>
        <v/>
      </c>
      <c r="AN115" s="2">
        <f>AN114+IF(LEN($AY$115)&gt;0,1,0)</f>
        <v/>
      </c>
      <c r="AO115" s="2">
        <f>AO114+IF(LEN($BB$115)&gt;0,1,0)</f>
        <v/>
      </c>
      <c r="AP115" s="2">
        <f>AP114+IF(LEN($BE$115)&gt;0,1,0)</f>
        <v/>
      </c>
      <c r="AY115" s="2">
        <f>IF(ISERROR($B$115),"",IF(ISBLANK($B$115),"",$B$115))</f>
        <v/>
      </c>
      <c r="BB115" s="2">
        <f>IF(ISERROR($E$115),"",IF(ISBLANK($E$115),"",$E$115))</f>
        <v/>
      </c>
      <c r="BE115" s="2">
        <f>IF(ISERROR($H$115),"",IF(ISBLANK($H$115),"",$H$115))</f>
        <v/>
      </c>
      <c r="BF115" s="2">
        <f>ISERROR($B$115)*1+ISERROR($E$115)*1+ISERROR($H$115)*1</f>
        <v/>
      </c>
    </row>
    <row r="116" ht="60" customHeight="1">
      <c r="A116" s="9" t="inlineStr">
        <is>
          <t>78</t>
        </is>
      </c>
      <c r="B116" s="4" t="n"/>
      <c r="C116" s="25" t="n"/>
      <c r="D116" s="17" t="n"/>
      <c r="E116" s="4" t="n"/>
      <c r="F116" s="25" t="n"/>
      <c r="G116" s="17" t="n"/>
      <c r="H116" s="4" t="n"/>
      <c r="I116" s="25" t="n"/>
      <c r="J116" s="17" t="n"/>
      <c r="K116" s="19">
        <f>IF(BF116&gt;0,"O Google leu como fórmula: digite de novo com ' na frente.","")</f>
        <v/>
      </c>
      <c r="AN116" s="2">
        <f>AN115+IF(LEN($AY$116)&gt;0,1,0)</f>
        <v/>
      </c>
      <c r="AO116" s="2">
        <f>AO115+IF(LEN($BB$116)&gt;0,1,0)</f>
        <v/>
      </c>
      <c r="AP116" s="2">
        <f>AP115+IF(LEN($BE$116)&gt;0,1,0)</f>
        <v/>
      </c>
      <c r="AY116" s="2">
        <f>IF(ISERROR($B$116),"",IF(ISBLANK($B$116),"",$B$116))</f>
        <v/>
      </c>
      <c r="BB116" s="2">
        <f>IF(ISERROR($E$116),"",IF(ISBLANK($E$116),"",$E$116))</f>
        <v/>
      </c>
      <c r="BE116" s="2">
        <f>IF(ISERROR($H$116),"",IF(ISBLANK($H$116),"",$H$116))</f>
        <v/>
      </c>
      <c r="BF116" s="2">
        <f>ISERROR($B$116)*1+ISERROR($E$116)*1+ISERROR($H$116)*1</f>
        <v/>
      </c>
    </row>
    <row r="117">
      <c r="A117" s="8" t="inlineStr">
        <is>
          <t>Vagas 79–91</t>
        </is>
      </c>
      <c r="B117" s="8" t="inlineStr">
        <is>
          <t>Tabela 1</t>
        </is>
      </c>
      <c r="C117" s="20" t="n"/>
      <c r="D117" s="20" t="n"/>
      <c r="E117" s="8" t="inlineStr">
        <is>
          <t>Tabela 2</t>
        </is>
      </c>
      <c r="F117" s="20" t="n"/>
      <c r="G117" s="20" t="n"/>
      <c r="H117" s="8" t="inlineStr">
        <is>
          <t>Tabela 3</t>
        </is>
      </c>
      <c r="I117" s="20" t="n"/>
      <c r="J117" s="20" t="n"/>
      <c r="AN117" s="2">
        <f>AN116</f>
        <v/>
      </c>
      <c r="AO117" s="2">
        <f>AO116</f>
        <v/>
      </c>
      <c r="AP117" s="2">
        <f>AP116</f>
        <v/>
      </c>
      <c r="AY117" s="2">
        <f>IF(ISERROR($B$117),"",IF(ISBLANK($B$117),"",$B$117))</f>
        <v/>
      </c>
      <c r="BB117" s="2">
        <f>IF(ISERROR($E$117),"",IF(ISBLANK($E$117),"",$E$117))</f>
        <v/>
      </c>
      <c r="BE117" s="2">
        <f>IF(ISERROR($H$117),"",IF(ISBLANK($H$117),"",$H$117))</f>
        <v/>
      </c>
    </row>
    <row r="118" ht="60" customHeight="1">
      <c r="A118" s="9" t="inlineStr">
        <is>
          <t>79</t>
        </is>
      </c>
      <c r="B118" s="4" t="n"/>
      <c r="C118" s="25" t="n"/>
      <c r="D118" s="17" t="n"/>
      <c r="E118" s="4" t="n"/>
      <c r="F118" s="25" t="n"/>
      <c r="G118" s="17" t="n"/>
      <c r="H118" s="4" t="n"/>
      <c r="I118" s="25" t="n"/>
      <c r="J118" s="17" t="n"/>
      <c r="K118" s="19">
        <f>IF(BF118&gt;0,"O Google leu como fórmula: digite de novo com ' na frente.","")</f>
        <v/>
      </c>
      <c r="AN118" s="2">
        <f>AN117+IF(LEN($AY$118)&gt;0,1,0)</f>
        <v/>
      </c>
      <c r="AO118" s="2">
        <f>AO117+IF(LEN($BB$118)&gt;0,1,0)</f>
        <v/>
      </c>
      <c r="AP118" s="2">
        <f>AP117+IF(LEN($BE$118)&gt;0,1,0)</f>
        <v/>
      </c>
      <c r="AY118" s="2">
        <f>IF(ISERROR($B$118),"",IF(ISBLANK($B$118),"",$B$118))</f>
        <v/>
      </c>
      <c r="BB118" s="2">
        <f>IF(ISERROR($E$118),"",IF(ISBLANK($E$118),"",$E$118))</f>
        <v/>
      </c>
      <c r="BE118" s="2">
        <f>IF(ISERROR($H$118),"",IF(ISBLANK($H$118),"",$H$118))</f>
        <v/>
      </c>
      <c r="BF118" s="2">
        <f>ISERROR($B$118)*1+ISERROR($E$118)*1+ISERROR($H$118)*1</f>
        <v/>
      </c>
    </row>
    <row r="119" ht="60" customHeight="1">
      <c r="A119" s="21" t="inlineStr">
        <is>
          <t>80</t>
        </is>
      </c>
      <c r="B119" s="29" t="n"/>
      <c r="C119" s="25" t="n"/>
      <c r="D119" s="17" t="n"/>
      <c r="E119" s="29" t="n"/>
      <c r="F119" s="25" t="n"/>
      <c r="G119" s="17" t="n"/>
      <c r="H119" s="29" t="n"/>
      <c r="I119" s="25" t="n"/>
      <c r="J119" s="17" t="n"/>
      <c r="K119" s="19">
        <f>IF(BF119&gt;0,"O Google leu como fórmula: digite de novo com ' na frente.","")</f>
        <v/>
      </c>
      <c r="AN119" s="2">
        <f>AN118+IF(LEN($AY$119)&gt;0,1,0)</f>
        <v/>
      </c>
      <c r="AO119" s="2">
        <f>AO118+IF(LEN($BB$119)&gt;0,1,0)</f>
        <v/>
      </c>
      <c r="AP119" s="2">
        <f>AP118+IF(LEN($BE$119)&gt;0,1,0)</f>
        <v/>
      </c>
      <c r="AY119" s="2">
        <f>IF(ISERROR($B$119),"",IF(ISBLANK($B$119),"",$B$119))</f>
        <v/>
      </c>
      <c r="BB119" s="2">
        <f>IF(ISERROR($E$119),"",IF(ISBLANK($E$119),"",$E$119))</f>
        <v/>
      </c>
      <c r="BE119" s="2">
        <f>IF(ISERROR($H$119),"",IF(ISBLANK($H$119),"",$H$119))</f>
        <v/>
      </c>
      <c r="BF119" s="2">
        <f>ISERROR($B$119)*1+ISERROR($E$119)*1+ISERROR($H$119)*1</f>
        <v/>
      </c>
    </row>
    <row r="120" ht="60" customHeight="1">
      <c r="A120" s="9" t="inlineStr">
        <is>
          <t>81</t>
        </is>
      </c>
      <c r="B120" s="4" t="n"/>
      <c r="C120" s="25" t="n"/>
      <c r="D120" s="17" t="n"/>
      <c r="E120" s="4" t="n"/>
      <c r="F120" s="25" t="n"/>
      <c r="G120" s="17" t="n"/>
      <c r="H120" s="4" t="n"/>
      <c r="I120" s="25" t="n"/>
      <c r="J120" s="17" t="n"/>
      <c r="K120" s="19">
        <f>IF(BF120&gt;0,"O Google leu como fórmula: digite de novo com ' na frente.","")</f>
        <v/>
      </c>
      <c r="AN120" s="2">
        <f>AN119+IF(LEN($AY$120)&gt;0,1,0)</f>
        <v/>
      </c>
      <c r="AO120" s="2">
        <f>AO119+IF(LEN($BB$120)&gt;0,1,0)</f>
        <v/>
      </c>
      <c r="AP120" s="2">
        <f>AP119+IF(LEN($BE$120)&gt;0,1,0)</f>
        <v/>
      </c>
      <c r="AY120" s="2">
        <f>IF(ISERROR($B$120),"",IF(ISBLANK($B$120),"",$B$120))</f>
        <v/>
      </c>
      <c r="BB120" s="2">
        <f>IF(ISERROR($E$120),"",IF(ISBLANK($E$120),"",$E$120))</f>
        <v/>
      </c>
      <c r="BE120" s="2">
        <f>IF(ISERROR($H$120),"",IF(ISBLANK($H$120),"",$H$120))</f>
        <v/>
      </c>
      <c r="BF120" s="2">
        <f>ISERROR($B$120)*1+ISERROR($E$120)*1+ISERROR($H$120)*1</f>
        <v/>
      </c>
    </row>
    <row r="121" ht="60" customHeight="1">
      <c r="A121" s="21" t="inlineStr">
        <is>
          <t>82</t>
        </is>
      </c>
      <c r="B121" s="29" t="n"/>
      <c r="C121" s="25" t="n"/>
      <c r="D121" s="17" t="n"/>
      <c r="E121" s="29" t="n"/>
      <c r="F121" s="25" t="n"/>
      <c r="G121" s="17" t="n"/>
      <c r="H121" s="29" t="n"/>
      <c r="I121" s="25" t="n"/>
      <c r="J121" s="17" t="n"/>
      <c r="K121" s="19">
        <f>IF(BF121&gt;0,"O Google leu como fórmula: digite de novo com ' na frente.","")</f>
        <v/>
      </c>
      <c r="AN121" s="2">
        <f>AN120+IF(LEN($AY$121)&gt;0,1,0)</f>
        <v/>
      </c>
      <c r="AO121" s="2">
        <f>AO120+IF(LEN($BB$121)&gt;0,1,0)</f>
        <v/>
      </c>
      <c r="AP121" s="2">
        <f>AP120+IF(LEN($BE$121)&gt;0,1,0)</f>
        <v/>
      </c>
      <c r="AY121" s="2">
        <f>IF(ISERROR($B$121),"",IF(ISBLANK($B$121),"",$B$121))</f>
        <v/>
      </c>
      <c r="BB121" s="2">
        <f>IF(ISERROR($E$121),"",IF(ISBLANK($E$121),"",$E$121))</f>
        <v/>
      </c>
      <c r="BE121" s="2">
        <f>IF(ISERROR($H$121),"",IF(ISBLANK($H$121),"",$H$121))</f>
        <v/>
      </c>
      <c r="BF121" s="2">
        <f>ISERROR($B$121)*1+ISERROR($E$121)*1+ISERROR($H$121)*1</f>
        <v/>
      </c>
    </row>
    <row r="122" ht="60" customHeight="1">
      <c r="A122" s="9" t="inlineStr">
        <is>
          <t>83</t>
        </is>
      </c>
      <c r="B122" s="4" t="n"/>
      <c r="C122" s="25" t="n"/>
      <c r="D122" s="17" t="n"/>
      <c r="E122" s="4" t="n"/>
      <c r="F122" s="25" t="n"/>
      <c r="G122" s="17" t="n"/>
      <c r="H122" s="4" t="n"/>
      <c r="I122" s="25" t="n"/>
      <c r="J122" s="17" t="n"/>
      <c r="K122" s="19">
        <f>IF(BF122&gt;0,"O Google leu como fórmula: digite de novo com ' na frente.","")</f>
        <v/>
      </c>
      <c r="AN122" s="2">
        <f>AN121+IF(LEN($AY$122)&gt;0,1,0)</f>
        <v/>
      </c>
      <c r="AO122" s="2">
        <f>AO121+IF(LEN($BB$122)&gt;0,1,0)</f>
        <v/>
      </c>
      <c r="AP122" s="2">
        <f>AP121+IF(LEN($BE$122)&gt;0,1,0)</f>
        <v/>
      </c>
      <c r="AY122" s="2">
        <f>IF(ISERROR($B$122),"",IF(ISBLANK($B$122),"",$B$122))</f>
        <v/>
      </c>
      <c r="BB122" s="2">
        <f>IF(ISERROR($E$122),"",IF(ISBLANK($E$122),"",$E$122))</f>
        <v/>
      </c>
      <c r="BE122" s="2">
        <f>IF(ISERROR($H$122),"",IF(ISBLANK($H$122),"",$H$122))</f>
        <v/>
      </c>
      <c r="BF122" s="2">
        <f>ISERROR($B$122)*1+ISERROR($E$122)*1+ISERROR($H$122)*1</f>
        <v/>
      </c>
    </row>
    <row r="123" ht="60" customHeight="1">
      <c r="A123" s="21" t="inlineStr">
        <is>
          <t>84</t>
        </is>
      </c>
      <c r="B123" s="29" t="n"/>
      <c r="C123" s="25" t="n"/>
      <c r="D123" s="17" t="n"/>
      <c r="E123" s="29" t="n"/>
      <c r="F123" s="25" t="n"/>
      <c r="G123" s="17" t="n"/>
      <c r="H123" s="29" t="n"/>
      <c r="I123" s="25" t="n"/>
      <c r="J123" s="17" t="n"/>
      <c r="K123" s="19">
        <f>IF(BF123&gt;0,"O Google leu como fórmula: digite de novo com ' na frente.","")</f>
        <v/>
      </c>
      <c r="AN123" s="2">
        <f>AN122+IF(LEN($AY$123)&gt;0,1,0)</f>
        <v/>
      </c>
      <c r="AO123" s="2">
        <f>AO122+IF(LEN($BB$123)&gt;0,1,0)</f>
        <v/>
      </c>
      <c r="AP123" s="2">
        <f>AP122+IF(LEN($BE$123)&gt;0,1,0)</f>
        <v/>
      </c>
      <c r="AY123" s="2">
        <f>IF(ISERROR($B$123),"",IF(ISBLANK($B$123),"",$B$123))</f>
        <v/>
      </c>
      <c r="BB123" s="2">
        <f>IF(ISERROR($E$123),"",IF(ISBLANK($E$123),"",$E$123))</f>
        <v/>
      </c>
      <c r="BE123" s="2">
        <f>IF(ISERROR($H$123),"",IF(ISBLANK($H$123),"",$H$123))</f>
        <v/>
      </c>
      <c r="BF123" s="2">
        <f>ISERROR($B$123)*1+ISERROR($E$123)*1+ISERROR($H$123)*1</f>
        <v/>
      </c>
    </row>
    <row r="124" ht="60" customHeight="1">
      <c r="A124" s="9" t="inlineStr">
        <is>
          <t>85</t>
        </is>
      </c>
      <c r="B124" s="4" t="n"/>
      <c r="C124" s="25" t="n"/>
      <c r="D124" s="17" t="n"/>
      <c r="E124" s="4" t="n"/>
      <c r="F124" s="25" t="n"/>
      <c r="G124" s="17" t="n"/>
      <c r="H124" s="4" t="n"/>
      <c r="I124" s="25" t="n"/>
      <c r="J124" s="17" t="n"/>
      <c r="K124" s="19">
        <f>IF(BF124&gt;0,"O Google leu como fórmula: digite de novo com ' na frente.","")</f>
        <v/>
      </c>
      <c r="AN124" s="2">
        <f>AN123+IF(LEN($AY$124)&gt;0,1,0)</f>
        <v/>
      </c>
      <c r="AO124" s="2">
        <f>AO123+IF(LEN($BB$124)&gt;0,1,0)</f>
        <v/>
      </c>
      <c r="AP124" s="2">
        <f>AP123+IF(LEN($BE$124)&gt;0,1,0)</f>
        <v/>
      </c>
      <c r="AY124" s="2">
        <f>IF(ISERROR($B$124),"",IF(ISBLANK($B$124),"",$B$124))</f>
        <v/>
      </c>
      <c r="BB124" s="2">
        <f>IF(ISERROR($E$124),"",IF(ISBLANK($E$124),"",$E$124))</f>
        <v/>
      </c>
      <c r="BE124" s="2">
        <f>IF(ISERROR($H$124),"",IF(ISBLANK($H$124),"",$H$124))</f>
        <v/>
      </c>
      <c r="BF124" s="2">
        <f>ISERROR($B$124)*1+ISERROR($E$124)*1+ISERROR($H$124)*1</f>
        <v/>
      </c>
    </row>
    <row r="125" ht="60" customHeight="1">
      <c r="A125" s="21" t="inlineStr">
        <is>
          <t>86</t>
        </is>
      </c>
      <c r="B125" s="29" t="n"/>
      <c r="C125" s="25" t="n"/>
      <c r="D125" s="17" t="n"/>
      <c r="E125" s="29" t="n"/>
      <c r="F125" s="25" t="n"/>
      <c r="G125" s="17" t="n"/>
      <c r="H125" s="29" t="n"/>
      <c r="I125" s="25" t="n"/>
      <c r="J125" s="17" t="n"/>
      <c r="K125" s="19">
        <f>IF(BF125&gt;0,"O Google leu como fórmula: digite de novo com ' na frente.","")</f>
        <v/>
      </c>
      <c r="AN125" s="2">
        <f>AN124+IF(LEN($AY$125)&gt;0,1,0)</f>
        <v/>
      </c>
      <c r="AO125" s="2">
        <f>AO124+IF(LEN($BB$125)&gt;0,1,0)</f>
        <v/>
      </c>
      <c r="AP125" s="2">
        <f>AP124+IF(LEN($BE$125)&gt;0,1,0)</f>
        <v/>
      </c>
      <c r="AY125" s="2">
        <f>IF(ISERROR($B$125),"",IF(ISBLANK($B$125),"",$B$125))</f>
        <v/>
      </c>
      <c r="BB125" s="2">
        <f>IF(ISERROR($E$125),"",IF(ISBLANK($E$125),"",$E$125))</f>
        <v/>
      </c>
      <c r="BE125" s="2">
        <f>IF(ISERROR($H$125),"",IF(ISBLANK($H$125),"",$H$125))</f>
        <v/>
      </c>
      <c r="BF125" s="2">
        <f>ISERROR($B$125)*1+ISERROR($E$125)*1+ISERROR($H$125)*1</f>
        <v/>
      </c>
    </row>
    <row r="126" ht="60" customHeight="1">
      <c r="A126" s="9" t="inlineStr">
        <is>
          <t>87</t>
        </is>
      </c>
      <c r="B126" s="4" t="n"/>
      <c r="C126" s="25" t="n"/>
      <c r="D126" s="17" t="n"/>
      <c r="E126" s="4" t="n"/>
      <c r="F126" s="25" t="n"/>
      <c r="G126" s="17" t="n"/>
      <c r="H126" s="4" t="n"/>
      <c r="I126" s="25" t="n"/>
      <c r="J126" s="17" t="n"/>
      <c r="K126" s="19">
        <f>IF(BF126&gt;0,"O Google leu como fórmula: digite de novo com ' na frente.","")</f>
        <v/>
      </c>
      <c r="AN126" s="2">
        <f>AN125+IF(LEN($AY$126)&gt;0,1,0)</f>
        <v/>
      </c>
      <c r="AO126" s="2">
        <f>AO125+IF(LEN($BB$126)&gt;0,1,0)</f>
        <v/>
      </c>
      <c r="AP126" s="2">
        <f>AP125+IF(LEN($BE$126)&gt;0,1,0)</f>
        <v/>
      </c>
      <c r="AY126" s="2">
        <f>IF(ISERROR($B$126),"",IF(ISBLANK($B$126),"",$B$126))</f>
        <v/>
      </c>
      <c r="BB126" s="2">
        <f>IF(ISERROR($E$126),"",IF(ISBLANK($E$126),"",$E$126))</f>
        <v/>
      </c>
      <c r="BE126" s="2">
        <f>IF(ISERROR($H$126),"",IF(ISBLANK($H$126),"",$H$126))</f>
        <v/>
      </c>
      <c r="BF126" s="2">
        <f>ISERROR($B$126)*1+ISERROR($E$126)*1+ISERROR($H$126)*1</f>
        <v/>
      </c>
    </row>
    <row r="127" ht="60" customHeight="1">
      <c r="A127" s="21" t="inlineStr">
        <is>
          <t>88</t>
        </is>
      </c>
      <c r="B127" s="29" t="n"/>
      <c r="C127" s="25" t="n"/>
      <c r="D127" s="17" t="n"/>
      <c r="E127" s="29" t="n"/>
      <c r="F127" s="25" t="n"/>
      <c r="G127" s="17" t="n"/>
      <c r="H127" s="29" t="n"/>
      <c r="I127" s="25" t="n"/>
      <c r="J127" s="17" t="n"/>
      <c r="K127" s="19">
        <f>IF(BF127&gt;0,"O Google leu como fórmula: digite de novo com ' na frente.","")</f>
        <v/>
      </c>
      <c r="AN127" s="2">
        <f>AN126+IF(LEN($AY$127)&gt;0,1,0)</f>
        <v/>
      </c>
      <c r="AO127" s="2">
        <f>AO126+IF(LEN($BB$127)&gt;0,1,0)</f>
        <v/>
      </c>
      <c r="AP127" s="2">
        <f>AP126+IF(LEN($BE$127)&gt;0,1,0)</f>
        <v/>
      </c>
      <c r="AY127" s="2">
        <f>IF(ISERROR($B$127),"",IF(ISBLANK($B$127),"",$B$127))</f>
        <v/>
      </c>
      <c r="BB127" s="2">
        <f>IF(ISERROR($E$127),"",IF(ISBLANK($E$127),"",$E$127))</f>
        <v/>
      </c>
      <c r="BE127" s="2">
        <f>IF(ISERROR($H$127),"",IF(ISBLANK($H$127),"",$H$127))</f>
        <v/>
      </c>
      <c r="BF127" s="2">
        <f>ISERROR($B$127)*1+ISERROR($E$127)*1+ISERROR($H$127)*1</f>
        <v/>
      </c>
    </row>
    <row r="128" ht="60" customHeight="1">
      <c r="A128" s="9" t="inlineStr">
        <is>
          <t>89</t>
        </is>
      </c>
      <c r="B128" s="4" t="n"/>
      <c r="C128" s="25" t="n"/>
      <c r="D128" s="17" t="n"/>
      <c r="E128" s="4" t="n"/>
      <c r="F128" s="25" t="n"/>
      <c r="G128" s="17" t="n"/>
      <c r="H128" s="4" t="n"/>
      <c r="I128" s="25" t="n"/>
      <c r="J128" s="17" t="n"/>
      <c r="K128" s="19">
        <f>IF(BF128&gt;0,"O Google leu como fórmula: digite de novo com ' na frente.","")</f>
        <v/>
      </c>
      <c r="AN128" s="2">
        <f>AN127+IF(LEN($AY$128)&gt;0,1,0)</f>
        <v/>
      </c>
      <c r="AO128" s="2">
        <f>AO127+IF(LEN($BB$128)&gt;0,1,0)</f>
        <v/>
      </c>
      <c r="AP128" s="2">
        <f>AP127+IF(LEN($BE$128)&gt;0,1,0)</f>
        <v/>
      </c>
      <c r="AY128" s="2">
        <f>IF(ISERROR($B$128),"",IF(ISBLANK($B$128),"",$B$128))</f>
        <v/>
      </c>
      <c r="BB128" s="2">
        <f>IF(ISERROR($E$128),"",IF(ISBLANK($E$128),"",$E$128))</f>
        <v/>
      </c>
      <c r="BE128" s="2">
        <f>IF(ISERROR($H$128),"",IF(ISBLANK($H$128),"",$H$128))</f>
        <v/>
      </c>
      <c r="BF128" s="2">
        <f>ISERROR($B$128)*1+ISERROR($E$128)*1+ISERROR($H$128)*1</f>
        <v/>
      </c>
    </row>
    <row r="129" ht="60" customHeight="1">
      <c r="A129" s="21" t="inlineStr">
        <is>
          <t>90</t>
        </is>
      </c>
      <c r="B129" s="29" t="n"/>
      <c r="C129" s="25" t="n"/>
      <c r="D129" s="17" t="n"/>
      <c r="E129" s="29" t="n"/>
      <c r="F129" s="25" t="n"/>
      <c r="G129" s="17" t="n"/>
      <c r="H129" s="29" t="n"/>
      <c r="I129" s="25" t="n"/>
      <c r="J129" s="17" t="n"/>
      <c r="K129" s="19">
        <f>IF(BF129&gt;0,"O Google leu como fórmula: digite de novo com ' na frente.","")</f>
        <v/>
      </c>
      <c r="AN129" s="2">
        <f>AN128+IF(LEN($AY$129)&gt;0,1,0)</f>
        <v/>
      </c>
      <c r="AO129" s="2">
        <f>AO128+IF(LEN($BB$129)&gt;0,1,0)</f>
        <v/>
      </c>
      <c r="AP129" s="2">
        <f>AP128+IF(LEN($BE$129)&gt;0,1,0)</f>
        <v/>
      </c>
      <c r="AY129" s="2">
        <f>IF(ISERROR($B$129),"",IF(ISBLANK($B$129),"",$B$129))</f>
        <v/>
      </c>
      <c r="BB129" s="2">
        <f>IF(ISERROR($E$129),"",IF(ISBLANK($E$129),"",$E$129))</f>
        <v/>
      </c>
      <c r="BE129" s="2">
        <f>IF(ISERROR($H$129),"",IF(ISBLANK($H$129),"",$H$129))</f>
        <v/>
      </c>
      <c r="BF129" s="2">
        <f>ISERROR($B$129)*1+ISERROR($E$129)*1+ISERROR($H$129)*1</f>
        <v/>
      </c>
    </row>
    <row r="130" ht="60" customHeight="1">
      <c r="A130" s="9" t="inlineStr">
        <is>
          <t>91</t>
        </is>
      </c>
      <c r="B130" s="4" t="n"/>
      <c r="C130" s="25" t="n"/>
      <c r="D130" s="17" t="n"/>
      <c r="E130" s="4" t="n"/>
      <c r="F130" s="25" t="n"/>
      <c r="G130" s="17" t="n"/>
      <c r="H130" s="4" t="n"/>
      <c r="I130" s="25" t="n"/>
      <c r="J130" s="17" t="n"/>
      <c r="K130" s="19">
        <f>IF(BF130&gt;0,"O Google leu como fórmula: digite de novo com ' na frente.","")</f>
        <v/>
      </c>
      <c r="AN130" s="2">
        <f>AN129+IF(LEN($AY$130)&gt;0,1,0)</f>
        <v/>
      </c>
      <c r="AO130" s="2">
        <f>AO129+IF(LEN($BB$130)&gt;0,1,0)</f>
        <v/>
      </c>
      <c r="AP130" s="2">
        <f>AP129+IF(LEN($BE$130)&gt;0,1,0)</f>
        <v/>
      </c>
      <c r="AY130" s="2">
        <f>IF(ISERROR($B$130),"",IF(ISBLANK($B$130),"",$B$130))</f>
        <v/>
      </c>
      <c r="BB130" s="2">
        <f>IF(ISERROR($E$130),"",IF(ISBLANK($E$130),"",$E$130))</f>
        <v/>
      </c>
      <c r="BE130" s="2">
        <f>IF(ISERROR($H$130),"",IF(ISBLANK($H$130),"",$H$130))</f>
        <v/>
      </c>
      <c r="BF130" s="2">
        <f>ISERROR($B$130)*1+ISERROR($E$130)*1+ISERROR($H$130)*1</f>
        <v/>
      </c>
    </row>
    <row r="131">
      <c r="A131" s="8" t="inlineStr">
        <is>
          <t>Vagas 92–100</t>
        </is>
      </c>
      <c r="B131" s="8" t="inlineStr">
        <is>
          <t>Tabela 1</t>
        </is>
      </c>
      <c r="C131" s="20" t="n"/>
      <c r="D131" s="20" t="n"/>
      <c r="E131" s="8" t="inlineStr">
        <is>
          <t>Tabela 2</t>
        </is>
      </c>
      <c r="F131" s="20" t="n"/>
      <c r="G131" s="20" t="n"/>
      <c r="H131" s="8" t="inlineStr">
        <is>
          <t>Tabela 3</t>
        </is>
      </c>
      <c r="I131" s="20" t="n"/>
      <c r="J131" s="20" t="n"/>
      <c r="AN131" s="2">
        <f>AN130</f>
        <v/>
      </c>
      <c r="AO131" s="2">
        <f>AO130</f>
        <v/>
      </c>
      <c r="AP131" s="2">
        <f>AP130</f>
        <v/>
      </c>
      <c r="AY131" s="2">
        <f>IF(ISERROR($B$131),"",IF(ISBLANK($B$131),"",$B$131))</f>
        <v/>
      </c>
      <c r="BB131" s="2">
        <f>IF(ISERROR($E$131),"",IF(ISBLANK($E$131),"",$E$131))</f>
        <v/>
      </c>
      <c r="BE131" s="2">
        <f>IF(ISERROR($H$131),"",IF(ISBLANK($H$131),"",$H$131))</f>
        <v/>
      </c>
    </row>
    <row r="132" ht="60" customHeight="1">
      <c r="A132" s="9" t="inlineStr">
        <is>
          <t>92</t>
        </is>
      </c>
      <c r="B132" s="4" t="n"/>
      <c r="C132" s="25" t="n"/>
      <c r="D132" s="17" t="n"/>
      <c r="E132" s="4" t="n"/>
      <c r="F132" s="25" t="n"/>
      <c r="G132" s="17" t="n"/>
      <c r="H132" s="4" t="n"/>
      <c r="I132" s="25" t="n"/>
      <c r="J132" s="17" t="n"/>
      <c r="K132" s="19">
        <f>IF(BF132&gt;0,"O Google leu como fórmula: digite de novo com ' na frente.","")</f>
        <v/>
      </c>
      <c r="AN132" s="2">
        <f>AN131+IF(LEN($AY$132)&gt;0,1,0)</f>
        <v/>
      </c>
      <c r="AO132" s="2">
        <f>AO131+IF(LEN($BB$132)&gt;0,1,0)</f>
        <v/>
      </c>
      <c r="AP132" s="2">
        <f>AP131+IF(LEN($BE$132)&gt;0,1,0)</f>
        <v/>
      </c>
      <c r="AY132" s="2">
        <f>IF(ISERROR($B$132),"",IF(ISBLANK($B$132),"",$B$132))</f>
        <v/>
      </c>
      <c r="BB132" s="2">
        <f>IF(ISERROR($E$132),"",IF(ISBLANK($E$132),"",$E$132))</f>
        <v/>
      </c>
      <c r="BE132" s="2">
        <f>IF(ISERROR($H$132),"",IF(ISBLANK($H$132),"",$H$132))</f>
        <v/>
      </c>
      <c r="BF132" s="2">
        <f>ISERROR($B$132)*1+ISERROR($E$132)*1+ISERROR($H$132)*1</f>
        <v/>
      </c>
    </row>
    <row r="133" ht="60" customHeight="1">
      <c r="A133" s="21" t="inlineStr">
        <is>
          <t>93</t>
        </is>
      </c>
      <c r="B133" s="29" t="n"/>
      <c r="C133" s="25" t="n"/>
      <c r="D133" s="17" t="n"/>
      <c r="E133" s="29" t="n"/>
      <c r="F133" s="25" t="n"/>
      <c r="G133" s="17" t="n"/>
      <c r="H133" s="29" t="n"/>
      <c r="I133" s="25" t="n"/>
      <c r="J133" s="17" t="n"/>
      <c r="K133" s="19">
        <f>IF(BF133&gt;0,"O Google leu como fórmula: digite de novo com ' na frente.","")</f>
        <v/>
      </c>
      <c r="AN133" s="2">
        <f>AN132+IF(LEN($AY$133)&gt;0,1,0)</f>
        <v/>
      </c>
      <c r="AO133" s="2">
        <f>AO132+IF(LEN($BB$133)&gt;0,1,0)</f>
        <v/>
      </c>
      <c r="AP133" s="2">
        <f>AP132+IF(LEN($BE$133)&gt;0,1,0)</f>
        <v/>
      </c>
      <c r="AY133" s="2">
        <f>IF(ISERROR($B$133),"",IF(ISBLANK($B$133),"",$B$133))</f>
        <v/>
      </c>
      <c r="BB133" s="2">
        <f>IF(ISERROR($E$133),"",IF(ISBLANK($E$133),"",$E$133))</f>
        <v/>
      </c>
      <c r="BE133" s="2">
        <f>IF(ISERROR($H$133),"",IF(ISBLANK($H$133),"",$H$133))</f>
        <v/>
      </c>
      <c r="BF133" s="2">
        <f>ISERROR($B$133)*1+ISERROR($E$133)*1+ISERROR($H$133)*1</f>
        <v/>
      </c>
    </row>
    <row r="134" ht="60" customHeight="1">
      <c r="A134" s="9" t="inlineStr">
        <is>
          <t>94</t>
        </is>
      </c>
      <c r="B134" s="4" t="n"/>
      <c r="C134" s="25" t="n"/>
      <c r="D134" s="17" t="n"/>
      <c r="E134" s="4" t="n"/>
      <c r="F134" s="25" t="n"/>
      <c r="G134" s="17" t="n"/>
      <c r="H134" s="4" t="n"/>
      <c r="I134" s="25" t="n"/>
      <c r="J134" s="17" t="n"/>
      <c r="K134" s="19">
        <f>IF(BF134&gt;0,"O Google leu como fórmula: digite de novo com ' na frente.","")</f>
        <v/>
      </c>
      <c r="AN134" s="2">
        <f>AN133+IF(LEN($AY$134)&gt;0,1,0)</f>
        <v/>
      </c>
      <c r="AO134" s="2">
        <f>AO133+IF(LEN($BB$134)&gt;0,1,0)</f>
        <v/>
      </c>
      <c r="AP134" s="2">
        <f>AP133+IF(LEN($BE$134)&gt;0,1,0)</f>
        <v/>
      </c>
      <c r="AY134" s="2">
        <f>IF(ISERROR($B$134),"",IF(ISBLANK($B$134),"",$B$134))</f>
        <v/>
      </c>
      <c r="BB134" s="2">
        <f>IF(ISERROR($E$134),"",IF(ISBLANK($E$134),"",$E$134))</f>
        <v/>
      </c>
      <c r="BE134" s="2">
        <f>IF(ISERROR($H$134),"",IF(ISBLANK($H$134),"",$H$134))</f>
        <v/>
      </c>
      <c r="BF134" s="2">
        <f>ISERROR($B$134)*1+ISERROR($E$134)*1+ISERROR($H$134)*1</f>
        <v/>
      </c>
    </row>
    <row r="135" ht="60" customHeight="1">
      <c r="A135" s="21" t="inlineStr">
        <is>
          <t>95</t>
        </is>
      </c>
      <c r="B135" s="29" t="n"/>
      <c r="C135" s="25" t="n"/>
      <c r="D135" s="17" t="n"/>
      <c r="E135" s="29" t="n"/>
      <c r="F135" s="25" t="n"/>
      <c r="G135" s="17" t="n"/>
      <c r="H135" s="29" t="n"/>
      <c r="I135" s="25" t="n"/>
      <c r="J135" s="17" t="n"/>
      <c r="K135" s="19">
        <f>IF(BF135&gt;0,"O Google leu como fórmula: digite de novo com ' na frente.","")</f>
        <v/>
      </c>
      <c r="AN135" s="2">
        <f>AN134+IF(LEN($AY$135)&gt;0,1,0)</f>
        <v/>
      </c>
      <c r="AO135" s="2">
        <f>AO134+IF(LEN($BB$135)&gt;0,1,0)</f>
        <v/>
      </c>
      <c r="AP135" s="2">
        <f>AP134+IF(LEN($BE$135)&gt;0,1,0)</f>
        <v/>
      </c>
      <c r="AY135" s="2">
        <f>IF(ISERROR($B$135),"",IF(ISBLANK($B$135),"",$B$135))</f>
        <v/>
      </c>
      <c r="BB135" s="2">
        <f>IF(ISERROR($E$135),"",IF(ISBLANK($E$135),"",$E$135))</f>
        <v/>
      </c>
      <c r="BE135" s="2">
        <f>IF(ISERROR($H$135),"",IF(ISBLANK($H$135),"",$H$135))</f>
        <v/>
      </c>
      <c r="BF135" s="2">
        <f>ISERROR($B$135)*1+ISERROR($E$135)*1+ISERROR($H$135)*1</f>
        <v/>
      </c>
    </row>
    <row r="136" ht="60" customHeight="1">
      <c r="A136" s="9" t="inlineStr">
        <is>
          <t>96</t>
        </is>
      </c>
      <c r="B136" s="4" t="n"/>
      <c r="C136" s="25" t="n"/>
      <c r="D136" s="17" t="n"/>
      <c r="E136" s="4" t="n"/>
      <c r="F136" s="25" t="n"/>
      <c r="G136" s="17" t="n"/>
      <c r="H136" s="4" t="n"/>
      <c r="I136" s="25" t="n"/>
      <c r="J136" s="17" t="n"/>
      <c r="K136" s="19">
        <f>IF(BF136&gt;0,"O Google leu como fórmula: digite de novo com ' na frente.","")</f>
        <v/>
      </c>
      <c r="AN136" s="2">
        <f>AN135+IF(LEN($AY$136)&gt;0,1,0)</f>
        <v/>
      </c>
      <c r="AO136" s="2">
        <f>AO135+IF(LEN($BB$136)&gt;0,1,0)</f>
        <v/>
      </c>
      <c r="AP136" s="2">
        <f>AP135+IF(LEN($BE$136)&gt;0,1,0)</f>
        <v/>
      </c>
      <c r="AY136" s="2">
        <f>IF(ISERROR($B$136),"",IF(ISBLANK($B$136),"",$B$136))</f>
        <v/>
      </c>
      <c r="BB136" s="2">
        <f>IF(ISERROR($E$136),"",IF(ISBLANK($E$136),"",$E$136))</f>
        <v/>
      </c>
      <c r="BE136" s="2">
        <f>IF(ISERROR($H$136),"",IF(ISBLANK($H$136),"",$H$136))</f>
        <v/>
      </c>
      <c r="BF136" s="2">
        <f>ISERROR($B$136)*1+ISERROR($E$136)*1+ISERROR($H$136)*1</f>
        <v/>
      </c>
    </row>
    <row r="137" ht="60" customHeight="1">
      <c r="A137" s="21" t="inlineStr">
        <is>
          <t>97</t>
        </is>
      </c>
      <c r="B137" s="29" t="n"/>
      <c r="C137" s="25" t="n"/>
      <c r="D137" s="17" t="n"/>
      <c r="E137" s="29" t="n"/>
      <c r="F137" s="25" t="n"/>
      <c r="G137" s="17" t="n"/>
      <c r="H137" s="29" t="n"/>
      <c r="I137" s="25" t="n"/>
      <c r="J137" s="17" t="n"/>
      <c r="K137" s="19">
        <f>IF(BF137&gt;0,"O Google leu como fórmula: digite de novo com ' na frente.","")</f>
        <v/>
      </c>
      <c r="AN137" s="2">
        <f>AN136+IF(LEN($AY$137)&gt;0,1,0)</f>
        <v/>
      </c>
      <c r="AO137" s="2">
        <f>AO136+IF(LEN($BB$137)&gt;0,1,0)</f>
        <v/>
      </c>
      <c r="AP137" s="2">
        <f>AP136+IF(LEN($BE$137)&gt;0,1,0)</f>
        <v/>
      </c>
      <c r="AY137" s="2">
        <f>IF(ISERROR($B$137),"",IF(ISBLANK($B$137),"",$B$137))</f>
        <v/>
      </c>
      <c r="BB137" s="2">
        <f>IF(ISERROR($E$137),"",IF(ISBLANK($E$137),"",$E$137))</f>
        <v/>
      </c>
      <c r="BE137" s="2">
        <f>IF(ISERROR($H$137),"",IF(ISBLANK($H$137),"",$H$137))</f>
        <v/>
      </c>
      <c r="BF137" s="2">
        <f>ISERROR($B$137)*1+ISERROR($E$137)*1+ISERROR($H$137)*1</f>
        <v/>
      </c>
    </row>
    <row r="138" ht="60" customHeight="1">
      <c r="A138" s="9" t="inlineStr">
        <is>
          <t>98</t>
        </is>
      </c>
      <c r="B138" s="4" t="n"/>
      <c r="C138" s="25" t="n"/>
      <c r="D138" s="17" t="n"/>
      <c r="E138" s="4" t="n"/>
      <c r="F138" s="25" t="n"/>
      <c r="G138" s="17" t="n"/>
      <c r="H138" s="4" t="n"/>
      <c r="I138" s="25" t="n"/>
      <c r="J138" s="17" t="n"/>
      <c r="K138" s="19">
        <f>IF(BF138&gt;0,"O Google leu como fórmula: digite de novo com ' na frente.","")</f>
        <v/>
      </c>
      <c r="AN138" s="2">
        <f>AN137+IF(LEN($AY$138)&gt;0,1,0)</f>
        <v/>
      </c>
      <c r="AO138" s="2">
        <f>AO137+IF(LEN($BB$138)&gt;0,1,0)</f>
        <v/>
      </c>
      <c r="AP138" s="2">
        <f>AP137+IF(LEN($BE$138)&gt;0,1,0)</f>
        <v/>
      </c>
      <c r="AY138" s="2">
        <f>IF(ISERROR($B$138),"",IF(ISBLANK($B$138),"",$B$138))</f>
        <v/>
      </c>
      <c r="BB138" s="2">
        <f>IF(ISERROR($E$138),"",IF(ISBLANK($E$138),"",$E$138))</f>
        <v/>
      </c>
      <c r="BE138" s="2">
        <f>IF(ISERROR($H$138),"",IF(ISBLANK($H$138),"",$H$138))</f>
        <v/>
      </c>
      <c r="BF138" s="2">
        <f>ISERROR($B$138)*1+ISERROR($E$138)*1+ISERROR($H$138)*1</f>
        <v/>
      </c>
    </row>
    <row r="139" ht="60" customHeight="1">
      <c r="A139" s="21" t="inlineStr">
        <is>
          <t>99</t>
        </is>
      </c>
      <c r="B139" s="29" t="n"/>
      <c r="C139" s="25" t="n"/>
      <c r="D139" s="17" t="n"/>
      <c r="E139" s="29" t="n"/>
      <c r="F139" s="25" t="n"/>
      <c r="G139" s="17" t="n"/>
      <c r="H139" s="29" t="n"/>
      <c r="I139" s="25" t="n"/>
      <c r="J139" s="17" t="n"/>
      <c r="K139" s="19">
        <f>IF(BF139&gt;0,"O Google leu como fórmula: digite de novo com ' na frente.","")</f>
        <v/>
      </c>
      <c r="AN139" s="2">
        <f>AN138+IF(LEN($AY$139)&gt;0,1,0)</f>
        <v/>
      </c>
      <c r="AO139" s="2">
        <f>AO138+IF(LEN($BB$139)&gt;0,1,0)</f>
        <v/>
      </c>
      <c r="AP139" s="2">
        <f>AP138+IF(LEN($BE$139)&gt;0,1,0)</f>
        <v/>
      </c>
      <c r="AY139" s="2">
        <f>IF(ISERROR($B$139),"",IF(ISBLANK($B$139),"",$B$139))</f>
        <v/>
      </c>
      <c r="BB139" s="2">
        <f>IF(ISERROR($E$139),"",IF(ISBLANK($E$139),"",$E$139))</f>
        <v/>
      </c>
      <c r="BE139" s="2">
        <f>IF(ISERROR($H$139),"",IF(ISBLANK($H$139),"",$H$139))</f>
        <v/>
      </c>
      <c r="BF139" s="2">
        <f>ISERROR($B$139)*1+ISERROR($E$139)*1+ISERROR($H$139)*1</f>
        <v/>
      </c>
    </row>
    <row r="140" ht="60" customHeight="1">
      <c r="A140" s="9" t="inlineStr">
        <is>
          <t>100</t>
        </is>
      </c>
      <c r="B140" s="4" t="n"/>
      <c r="C140" s="25" t="n"/>
      <c r="D140" s="17" t="n"/>
      <c r="E140" s="4" t="n"/>
      <c r="F140" s="25" t="n"/>
      <c r="G140" s="17" t="n"/>
      <c r="H140" s="4" t="n"/>
      <c r="I140" s="25" t="n"/>
      <c r="J140" s="17" t="n"/>
      <c r="K140" s="19">
        <f>IF(BF140&gt;0,"O Google leu como fórmula: digite de novo com ' na frente.","")</f>
        <v/>
      </c>
      <c r="AN140" s="2">
        <f>AN139+IF(LEN($AY$140)&gt;0,1,0)</f>
        <v/>
      </c>
      <c r="AO140" s="2">
        <f>AO139+IF(LEN($BB$140)&gt;0,1,0)</f>
        <v/>
      </c>
      <c r="AP140" s="2">
        <f>AP139+IF(LEN($BE$140)&gt;0,1,0)</f>
        <v/>
      </c>
      <c r="AY140" s="2">
        <f>IF(ISERROR($B$140),"",IF(ISBLANK($B$140),"",$B$140))</f>
        <v/>
      </c>
      <c r="BB140" s="2">
        <f>IF(ISERROR($E$140),"",IF(ISBLANK($E$140),"",$E$140))</f>
        <v/>
      </c>
      <c r="BE140" s="2">
        <f>IF(ISERROR($H$140),"",IF(ISBLANK($H$140),"",$H$140))</f>
        <v/>
      </c>
      <c r="BF140" s="2">
        <f>ISERROR($B$140)*1+ISERROR($E$140)*1+ISERROR($H$140)*1</f>
        <v/>
      </c>
    </row>
    <row r="141"/>
    <row r="142" ht="20" customHeight="1">
      <c r="A142" s="13" t="inlineStr">
        <is>
          <t>Listas 4 a 6 (100 vagas cada): apague para trocar, use as vagas vazias para ampliar; não insira linhas</t>
        </is>
      </c>
    </row>
    <row r="143">
      <c r="A143" s="8" t="inlineStr">
        <is>
          <t>Vagas 1–13</t>
        </is>
      </c>
      <c r="B143" s="8" t="inlineStr">
        <is>
          <t>Tabela 4</t>
        </is>
      </c>
      <c r="C143" s="20" t="n"/>
      <c r="D143" s="20" t="n"/>
      <c r="E143" s="8" t="inlineStr">
        <is>
          <t>Tabela 5</t>
        </is>
      </c>
      <c r="F143" s="20" t="n"/>
      <c r="G143" s="20" t="n"/>
      <c r="H143" s="8" t="inlineStr">
        <is>
          <t>Tabela 6</t>
        </is>
      </c>
      <c r="I143" s="20" t="n"/>
      <c r="J143" s="20" t="n"/>
      <c r="AQ143" s="2">
        <f>0</f>
        <v/>
      </c>
      <c r="AR143" s="2">
        <f>0</f>
        <v/>
      </c>
      <c r="AS143" s="2">
        <f>0</f>
        <v/>
      </c>
    </row>
    <row r="144" ht="60" customHeight="1">
      <c r="A144" s="9" t="inlineStr">
        <is>
          <t>1</t>
        </is>
      </c>
      <c r="B144" s="4" t="n"/>
      <c r="C144" s="25" t="n"/>
      <c r="D144" s="17" t="n"/>
      <c r="E144" s="4" t="n"/>
      <c r="F144" s="25" t="n"/>
      <c r="G144" s="17" t="n"/>
      <c r="H144" s="4" t="n"/>
      <c r="I144" s="25" t="n"/>
      <c r="J144" s="17" t="n"/>
      <c r="K144" s="19">
        <f>IF(BF144&gt;0,"O Google leu como fórmula: digite de novo com ' na frente.","")</f>
        <v/>
      </c>
      <c r="AQ144" s="2">
        <f>AQ143+IF(LEN($AY$144)&gt;0,1,0)</f>
        <v/>
      </c>
      <c r="AR144" s="2">
        <f>AR143+IF(LEN($BB$144)&gt;0,1,0)</f>
        <v/>
      </c>
      <c r="AS144" s="2">
        <f>AS143+IF(LEN($BE$144)&gt;0,1,0)</f>
        <v/>
      </c>
      <c r="AY144" s="2">
        <f>IF(ISERROR($B$144),"",IF(ISBLANK($B$144),"",$B$144))</f>
        <v/>
      </c>
      <c r="BB144" s="2">
        <f>IF(ISERROR($E$144),"",IF(ISBLANK($E$144),"",$E$144))</f>
        <v/>
      </c>
      <c r="BE144" s="2">
        <f>IF(ISERROR($H$144),"",IF(ISBLANK($H$144),"",$H$144))</f>
        <v/>
      </c>
      <c r="BF144" s="2">
        <f>ISERROR($B$144)*1+ISERROR($E$144)*1+ISERROR($H$144)*1</f>
        <v/>
      </c>
    </row>
    <row r="145" ht="60" customHeight="1">
      <c r="A145" s="21" t="inlineStr">
        <is>
          <t>2</t>
        </is>
      </c>
      <c r="B145" s="29" t="n"/>
      <c r="C145" s="25" t="n"/>
      <c r="D145" s="17" t="n"/>
      <c r="E145" s="29" t="n"/>
      <c r="F145" s="25" t="n"/>
      <c r="G145" s="17" t="n"/>
      <c r="H145" s="29" t="n"/>
      <c r="I145" s="25" t="n"/>
      <c r="J145" s="17" t="n"/>
      <c r="K145" s="19">
        <f>IF(BF145&gt;0,"O Google leu como fórmula: digite de novo com ' na frente.","")</f>
        <v/>
      </c>
      <c r="AQ145" s="2">
        <f>AQ144+IF(LEN($AY$145)&gt;0,1,0)</f>
        <v/>
      </c>
      <c r="AR145" s="2">
        <f>AR144+IF(LEN($BB$145)&gt;0,1,0)</f>
        <v/>
      </c>
      <c r="AS145" s="2">
        <f>AS144+IF(LEN($BE$145)&gt;0,1,0)</f>
        <v/>
      </c>
      <c r="AY145" s="2">
        <f>IF(ISERROR($B$145),"",IF(ISBLANK($B$145),"",$B$145))</f>
        <v/>
      </c>
      <c r="BB145" s="2">
        <f>IF(ISERROR($E$145),"",IF(ISBLANK($E$145),"",$E$145))</f>
        <v/>
      </c>
      <c r="BE145" s="2">
        <f>IF(ISERROR($H$145),"",IF(ISBLANK($H$145),"",$H$145))</f>
        <v/>
      </c>
      <c r="BF145" s="2">
        <f>ISERROR($B$145)*1+ISERROR($E$145)*1+ISERROR($H$145)*1</f>
        <v/>
      </c>
    </row>
    <row r="146" ht="60" customHeight="1">
      <c r="A146" s="9" t="inlineStr">
        <is>
          <t>3</t>
        </is>
      </c>
      <c r="B146" s="4" t="n"/>
      <c r="C146" s="25" t="n"/>
      <c r="D146" s="17" t="n"/>
      <c r="E146" s="4" t="n"/>
      <c r="F146" s="25" t="n"/>
      <c r="G146" s="17" t="n"/>
      <c r="H146" s="4" t="n"/>
      <c r="I146" s="25" t="n"/>
      <c r="J146" s="17" t="n"/>
      <c r="K146" s="19">
        <f>IF(BF146&gt;0,"O Google leu como fórmula: digite de novo com ' na frente.","")</f>
        <v/>
      </c>
      <c r="AQ146" s="2">
        <f>AQ145+IF(LEN($AY$146)&gt;0,1,0)</f>
        <v/>
      </c>
      <c r="AR146" s="2">
        <f>AR145+IF(LEN($BB$146)&gt;0,1,0)</f>
        <v/>
      </c>
      <c r="AS146" s="2">
        <f>AS145+IF(LEN($BE$146)&gt;0,1,0)</f>
        <v/>
      </c>
      <c r="AY146" s="2">
        <f>IF(ISERROR($B$146),"",IF(ISBLANK($B$146),"",$B$146))</f>
        <v/>
      </c>
      <c r="BB146" s="2">
        <f>IF(ISERROR($E$146),"",IF(ISBLANK($E$146),"",$E$146))</f>
        <v/>
      </c>
      <c r="BE146" s="2">
        <f>IF(ISERROR($H$146),"",IF(ISBLANK($H$146),"",$H$146))</f>
        <v/>
      </c>
      <c r="BF146" s="2">
        <f>ISERROR($B$146)*1+ISERROR($E$146)*1+ISERROR($H$146)*1</f>
        <v/>
      </c>
    </row>
    <row r="147" ht="60" customHeight="1">
      <c r="A147" s="21" t="inlineStr">
        <is>
          <t>4</t>
        </is>
      </c>
      <c r="B147" s="29" t="n"/>
      <c r="C147" s="25" t="n"/>
      <c r="D147" s="17" t="n"/>
      <c r="E147" s="29" t="n"/>
      <c r="F147" s="25" t="n"/>
      <c r="G147" s="17" t="n"/>
      <c r="H147" s="29" t="n"/>
      <c r="I147" s="25" t="n"/>
      <c r="J147" s="17" t="n"/>
      <c r="K147" s="19">
        <f>IF(BF147&gt;0,"O Google leu como fórmula: digite de novo com ' na frente.","")</f>
        <v/>
      </c>
      <c r="AQ147" s="2">
        <f>AQ146+IF(LEN($AY$147)&gt;0,1,0)</f>
        <v/>
      </c>
      <c r="AR147" s="2">
        <f>AR146+IF(LEN($BB$147)&gt;0,1,0)</f>
        <v/>
      </c>
      <c r="AS147" s="2">
        <f>AS146+IF(LEN($BE$147)&gt;0,1,0)</f>
        <v/>
      </c>
      <c r="AY147" s="2">
        <f>IF(ISERROR($B$147),"",IF(ISBLANK($B$147),"",$B$147))</f>
        <v/>
      </c>
      <c r="BB147" s="2">
        <f>IF(ISERROR($E$147),"",IF(ISBLANK($E$147),"",$E$147))</f>
        <v/>
      </c>
      <c r="BE147" s="2">
        <f>IF(ISERROR($H$147),"",IF(ISBLANK($H$147),"",$H$147))</f>
        <v/>
      </c>
      <c r="BF147" s="2">
        <f>ISERROR($B$147)*1+ISERROR($E$147)*1+ISERROR($H$147)*1</f>
        <v/>
      </c>
    </row>
    <row r="148" ht="60" customHeight="1">
      <c r="A148" s="9" t="inlineStr">
        <is>
          <t>5</t>
        </is>
      </c>
      <c r="B148" s="4" t="n"/>
      <c r="C148" s="25" t="n"/>
      <c r="D148" s="17" t="n"/>
      <c r="E148" s="4" t="n"/>
      <c r="F148" s="25" t="n"/>
      <c r="G148" s="17" t="n"/>
      <c r="H148" s="4" t="n"/>
      <c r="I148" s="25" t="n"/>
      <c r="J148" s="17" t="n"/>
      <c r="K148" s="19">
        <f>IF(BF148&gt;0,"O Google leu como fórmula: digite de novo com ' na frente.","")</f>
        <v/>
      </c>
      <c r="AQ148" s="2">
        <f>AQ147+IF(LEN($AY$148)&gt;0,1,0)</f>
        <v/>
      </c>
      <c r="AR148" s="2">
        <f>AR147+IF(LEN($BB$148)&gt;0,1,0)</f>
        <v/>
      </c>
      <c r="AS148" s="2">
        <f>AS147+IF(LEN($BE$148)&gt;0,1,0)</f>
        <v/>
      </c>
      <c r="AY148" s="2">
        <f>IF(ISERROR($B$148),"",IF(ISBLANK($B$148),"",$B$148))</f>
        <v/>
      </c>
      <c r="BB148" s="2">
        <f>IF(ISERROR($E$148),"",IF(ISBLANK($E$148),"",$E$148))</f>
        <v/>
      </c>
      <c r="BE148" s="2">
        <f>IF(ISERROR($H$148),"",IF(ISBLANK($H$148),"",$H$148))</f>
        <v/>
      </c>
      <c r="BF148" s="2">
        <f>ISERROR($B$148)*1+ISERROR($E$148)*1+ISERROR($H$148)*1</f>
        <v/>
      </c>
    </row>
    <row r="149" ht="60" customHeight="1">
      <c r="A149" s="21" t="inlineStr">
        <is>
          <t>6</t>
        </is>
      </c>
      <c r="B149" s="29" t="n"/>
      <c r="C149" s="25" t="n"/>
      <c r="D149" s="17" t="n"/>
      <c r="E149" s="29" t="n"/>
      <c r="F149" s="25" t="n"/>
      <c r="G149" s="17" t="n"/>
      <c r="H149" s="29" t="n"/>
      <c r="I149" s="25" t="n"/>
      <c r="J149" s="17" t="n"/>
      <c r="K149" s="19">
        <f>IF(BF149&gt;0,"O Google leu como fórmula: digite de novo com ' na frente.","")</f>
        <v/>
      </c>
      <c r="AQ149" s="2">
        <f>AQ148+IF(LEN($AY$149)&gt;0,1,0)</f>
        <v/>
      </c>
      <c r="AR149" s="2">
        <f>AR148+IF(LEN($BB$149)&gt;0,1,0)</f>
        <v/>
      </c>
      <c r="AS149" s="2">
        <f>AS148+IF(LEN($BE$149)&gt;0,1,0)</f>
        <v/>
      </c>
      <c r="AY149" s="2">
        <f>IF(ISERROR($B$149),"",IF(ISBLANK($B$149),"",$B$149))</f>
        <v/>
      </c>
      <c r="BB149" s="2">
        <f>IF(ISERROR($E$149),"",IF(ISBLANK($E$149),"",$E$149))</f>
        <v/>
      </c>
      <c r="BE149" s="2">
        <f>IF(ISERROR($H$149),"",IF(ISBLANK($H$149),"",$H$149))</f>
        <v/>
      </c>
      <c r="BF149" s="2">
        <f>ISERROR($B$149)*1+ISERROR($E$149)*1+ISERROR($H$149)*1</f>
        <v/>
      </c>
    </row>
    <row r="150" ht="60" customHeight="1">
      <c r="A150" s="9" t="inlineStr">
        <is>
          <t>7</t>
        </is>
      </c>
      <c r="B150" s="4" t="n"/>
      <c r="C150" s="25" t="n"/>
      <c r="D150" s="17" t="n"/>
      <c r="E150" s="4" t="n"/>
      <c r="F150" s="25" t="n"/>
      <c r="G150" s="17" t="n"/>
      <c r="H150" s="4" t="n"/>
      <c r="I150" s="25" t="n"/>
      <c r="J150" s="17" t="n"/>
      <c r="K150" s="19">
        <f>IF(BF150&gt;0,"O Google leu como fórmula: digite de novo com ' na frente.","")</f>
        <v/>
      </c>
      <c r="AQ150" s="2">
        <f>AQ149+IF(LEN($AY$150)&gt;0,1,0)</f>
        <v/>
      </c>
      <c r="AR150" s="2">
        <f>AR149+IF(LEN($BB$150)&gt;0,1,0)</f>
        <v/>
      </c>
      <c r="AS150" s="2">
        <f>AS149+IF(LEN($BE$150)&gt;0,1,0)</f>
        <v/>
      </c>
      <c r="AY150" s="2">
        <f>IF(ISERROR($B$150),"",IF(ISBLANK($B$150),"",$B$150))</f>
        <v/>
      </c>
      <c r="BB150" s="2">
        <f>IF(ISERROR($E$150),"",IF(ISBLANK($E$150),"",$E$150))</f>
        <v/>
      </c>
      <c r="BE150" s="2">
        <f>IF(ISERROR($H$150),"",IF(ISBLANK($H$150),"",$H$150))</f>
        <v/>
      </c>
      <c r="BF150" s="2">
        <f>ISERROR($B$150)*1+ISERROR($E$150)*1+ISERROR($H$150)*1</f>
        <v/>
      </c>
    </row>
    <row r="151" ht="60" customHeight="1">
      <c r="A151" s="21" t="inlineStr">
        <is>
          <t>8</t>
        </is>
      </c>
      <c r="B151" s="29" t="n"/>
      <c r="C151" s="25" t="n"/>
      <c r="D151" s="17" t="n"/>
      <c r="E151" s="29" t="n"/>
      <c r="F151" s="25" t="n"/>
      <c r="G151" s="17" t="n"/>
      <c r="H151" s="29" t="n"/>
      <c r="I151" s="25" t="n"/>
      <c r="J151" s="17" t="n"/>
      <c r="K151" s="19">
        <f>IF(BF151&gt;0,"O Google leu como fórmula: digite de novo com ' na frente.","")</f>
        <v/>
      </c>
      <c r="AQ151" s="2">
        <f>AQ150+IF(LEN($AY$151)&gt;0,1,0)</f>
        <v/>
      </c>
      <c r="AR151" s="2">
        <f>AR150+IF(LEN($BB$151)&gt;0,1,0)</f>
        <v/>
      </c>
      <c r="AS151" s="2">
        <f>AS150+IF(LEN($BE$151)&gt;0,1,0)</f>
        <v/>
      </c>
      <c r="AY151" s="2">
        <f>IF(ISERROR($B$151),"",IF(ISBLANK($B$151),"",$B$151))</f>
        <v/>
      </c>
      <c r="BB151" s="2">
        <f>IF(ISERROR($E$151),"",IF(ISBLANK($E$151),"",$E$151))</f>
        <v/>
      </c>
      <c r="BE151" s="2">
        <f>IF(ISERROR($H$151),"",IF(ISBLANK($H$151),"",$H$151))</f>
        <v/>
      </c>
      <c r="BF151" s="2">
        <f>ISERROR($B$151)*1+ISERROR($E$151)*1+ISERROR($H$151)*1</f>
        <v/>
      </c>
    </row>
    <row r="152" ht="60" customHeight="1">
      <c r="A152" s="9" t="inlineStr">
        <is>
          <t>9</t>
        </is>
      </c>
      <c r="B152" s="4" t="n"/>
      <c r="C152" s="25" t="n"/>
      <c r="D152" s="17" t="n"/>
      <c r="E152" s="4" t="n"/>
      <c r="F152" s="25" t="n"/>
      <c r="G152" s="17" t="n"/>
      <c r="H152" s="4" t="n"/>
      <c r="I152" s="25" t="n"/>
      <c r="J152" s="17" t="n"/>
      <c r="K152" s="19">
        <f>IF(BF152&gt;0,"O Google leu como fórmula: digite de novo com ' na frente.","")</f>
        <v/>
      </c>
      <c r="AQ152" s="2">
        <f>AQ151+IF(LEN($AY$152)&gt;0,1,0)</f>
        <v/>
      </c>
      <c r="AR152" s="2">
        <f>AR151+IF(LEN($BB$152)&gt;0,1,0)</f>
        <v/>
      </c>
      <c r="AS152" s="2">
        <f>AS151+IF(LEN($BE$152)&gt;0,1,0)</f>
        <v/>
      </c>
      <c r="AY152" s="2">
        <f>IF(ISERROR($B$152),"",IF(ISBLANK($B$152),"",$B$152))</f>
        <v/>
      </c>
      <c r="BB152" s="2">
        <f>IF(ISERROR($E$152),"",IF(ISBLANK($E$152),"",$E$152))</f>
        <v/>
      </c>
      <c r="BE152" s="2">
        <f>IF(ISERROR($H$152),"",IF(ISBLANK($H$152),"",$H$152))</f>
        <v/>
      </c>
      <c r="BF152" s="2">
        <f>ISERROR($B$152)*1+ISERROR($E$152)*1+ISERROR($H$152)*1</f>
        <v/>
      </c>
    </row>
    <row r="153" ht="60" customHeight="1">
      <c r="A153" s="21" t="inlineStr">
        <is>
          <t>10</t>
        </is>
      </c>
      <c r="B153" s="29" t="n"/>
      <c r="C153" s="25" t="n"/>
      <c r="D153" s="17" t="n"/>
      <c r="E153" s="29" t="n"/>
      <c r="F153" s="25" t="n"/>
      <c r="G153" s="17" t="n"/>
      <c r="H153" s="29" t="n"/>
      <c r="I153" s="25" t="n"/>
      <c r="J153" s="17" t="n"/>
      <c r="K153" s="19">
        <f>IF(BF153&gt;0,"O Google leu como fórmula: digite de novo com ' na frente.","")</f>
        <v/>
      </c>
      <c r="AQ153" s="2">
        <f>AQ152+IF(LEN($AY$153)&gt;0,1,0)</f>
        <v/>
      </c>
      <c r="AR153" s="2">
        <f>AR152+IF(LEN($BB$153)&gt;0,1,0)</f>
        <v/>
      </c>
      <c r="AS153" s="2">
        <f>AS152+IF(LEN($BE$153)&gt;0,1,0)</f>
        <v/>
      </c>
      <c r="AY153" s="2">
        <f>IF(ISERROR($B$153),"",IF(ISBLANK($B$153),"",$B$153))</f>
        <v/>
      </c>
      <c r="BB153" s="2">
        <f>IF(ISERROR($E$153),"",IF(ISBLANK($E$153),"",$E$153))</f>
        <v/>
      </c>
      <c r="BE153" s="2">
        <f>IF(ISERROR($H$153),"",IF(ISBLANK($H$153),"",$H$153))</f>
        <v/>
      </c>
      <c r="BF153" s="2">
        <f>ISERROR($B$153)*1+ISERROR($E$153)*1+ISERROR($H$153)*1</f>
        <v/>
      </c>
    </row>
    <row r="154" ht="60" customHeight="1">
      <c r="A154" s="9" t="inlineStr">
        <is>
          <t>11</t>
        </is>
      </c>
      <c r="B154" s="4" t="n"/>
      <c r="C154" s="25" t="n"/>
      <c r="D154" s="17" t="n"/>
      <c r="E154" s="4" t="n"/>
      <c r="F154" s="25" t="n"/>
      <c r="G154" s="17" t="n"/>
      <c r="H154" s="4" t="n"/>
      <c r="I154" s="25" t="n"/>
      <c r="J154" s="17" t="n"/>
      <c r="K154" s="19">
        <f>IF(BF154&gt;0,"O Google leu como fórmula: digite de novo com ' na frente.","")</f>
        <v/>
      </c>
      <c r="AQ154" s="2">
        <f>AQ153+IF(LEN($AY$154)&gt;0,1,0)</f>
        <v/>
      </c>
      <c r="AR154" s="2">
        <f>AR153+IF(LEN($BB$154)&gt;0,1,0)</f>
        <v/>
      </c>
      <c r="AS154" s="2">
        <f>AS153+IF(LEN($BE$154)&gt;0,1,0)</f>
        <v/>
      </c>
      <c r="AY154" s="2">
        <f>IF(ISERROR($B$154),"",IF(ISBLANK($B$154),"",$B$154))</f>
        <v/>
      </c>
      <c r="BB154" s="2">
        <f>IF(ISERROR($E$154),"",IF(ISBLANK($E$154),"",$E$154))</f>
        <v/>
      </c>
      <c r="BE154" s="2">
        <f>IF(ISERROR($H$154),"",IF(ISBLANK($H$154),"",$H$154))</f>
        <v/>
      </c>
      <c r="BF154" s="2">
        <f>ISERROR($B$154)*1+ISERROR($E$154)*1+ISERROR($H$154)*1</f>
        <v/>
      </c>
    </row>
    <row r="155" ht="71" customHeight="1">
      <c r="A155" s="21" t="inlineStr">
        <is>
          <t>12</t>
        </is>
      </c>
      <c r="B155" s="29" t="n"/>
      <c r="C155" s="25" t="n"/>
      <c r="D155" s="17" t="n"/>
      <c r="E155" s="29" t="n"/>
      <c r="F155" s="25" t="n"/>
      <c r="G155" s="17" t="n"/>
      <c r="H155" s="29" t="n"/>
      <c r="I155" s="25" t="n"/>
      <c r="J155" s="17" t="n"/>
      <c r="K155" s="19">
        <f>IF(BF155&gt;0,"O Google leu como fórmula: digite de novo com ' na frente.","")</f>
        <v/>
      </c>
      <c r="AQ155" s="2">
        <f>AQ154+IF(LEN($AY$155)&gt;0,1,0)</f>
        <v/>
      </c>
      <c r="AR155" s="2">
        <f>AR154+IF(LEN($BB$155)&gt;0,1,0)</f>
        <v/>
      </c>
      <c r="AS155" s="2">
        <f>AS154+IF(LEN($BE$155)&gt;0,1,0)</f>
        <v/>
      </c>
      <c r="AY155" s="2">
        <f>IF(ISERROR($B$155),"",IF(ISBLANK($B$155),"",$B$155))</f>
        <v/>
      </c>
      <c r="BB155" s="2">
        <f>IF(ISERROR($E$155),"",IF(ISBLANK($E$155),"",$E$155))</f>
        <v/>
      </c>
      <c r="BE155" s="2">
        <f>IF(ISERROR($H$155),"",IF(ISBLANK($H$155),"",$H$155))</f>
        <v/>
      </c>
      <c r="BF155" s="2">
        <f>ISERROR($B$155)*1+ISERROR($E$155)*1+ISERROR($H$155)*1</f>
        <v/>
      </c>
    </row>
    <row r="156" ht="60" customHeight="1">
      <c r="A156" s="9" t="inlineStr">
        <is>
          <t>13</t>
        </is>
      </c>
      <c r="B156" s="4" t="n"/>
      <c r="C156" s="25" t="n"/>
      <c r="D156" s="17" t="n"/>
      <c r="E156" s="4" t="n"/>
      <c r="F156" s="25" t="n"/>
      <c r="G156" s="17" t="n"/>
      <c r="H156" s="4" t="n"/>
      <c r="I156" s="25" t="n"/>
      <c r="J156" s="17" t="n"/>
      <c r="K156" s="19">
        <f>IF(BF156&gt;0,"O Google leu como fórmula: digite de novo com ' na frente.","")</f>
        <v/>
      </c>
      <c r="AQ156" s="2">
        <f>AQ155+IF(LEN($AY$156)&gt;0,1,0)</f>
        <v/>
      </c>
      <c r="AR156" s="2">
        <f>AR155+IF(LEN($BB$156)&gt;0,1,0)</f>
        <v/>
      </c>
      <c r="AS156" s="2">
        <f>AS155+IF(LEN($BE$156)&gt;0,1,0)</f>
        <v/>
      </c>
      <c r="AY156" s="2">
        <f>IF(ISERROR($B$156),"",IF(ISBLANK($B$156),"",$B$156))</f>
        <v/>
      </c>
      <c r="BB156" s="2">
        <f>IF(ISERROR($E$156),"",IF(ISBLANK($E$156),"",$E$156))</f>
        <v/>
      </c>
      <c r="BE156" s="2">
        <f>IF(ISERROR($H$156),"",IF(ISBLANK($H$156),"",$H$156))</f>
        <v/>
      </c>
      <c r="BF156" s="2">
        <f>ISERROR($B$156)*1+ISERROR($E$156)*1+ISERROR($H$156)*1</f>
        <v/>
      </c>
    </row>
    <row r="157">
      <c r="A157" s="8" t="inlineStr">
        <is>
          <t>Vagas 14–26</t>
        </is>
      </c>
      <c r="B157" s="8" t="inlineStr">
        <is>
          <t>Tabela 4</t>
        </is>
      </c>
      <c r="C157" s="20" t="n"/>
      <c r="D157" s="20" t="n"/>
      <c r="E157" s="8" t="inlineStr">
        <is>
          <t>Tabela 5</t>
        </is>
      </c>
      <c r="F157" s="20" t="n"/>
      <c r="G157" s="20" t="n"/>
      <c r="H157" s="8" t="inlineStr">
        <is>
          <t>Tabela 6</t>
        </is>
      </c>
      <c r="I157" s="20" t="n"/>
      <c r="J157" s="20" t="n"/>
      <c r="AQ157" s="2">
        <f>AQ156</f>
        <v/>
      </c>
      <c r="AR157" s="2">
        <f>AR156</f>
        <v/>
      </c>
      <c r="AS157" s="2">
        <f>AS156</f>
        <v/>
      </c>
      <c r="AY157" s="2">
        <f>IF(ISERROR($B$157),"",IF(ISBLANK($B$157),"",$B$157))</f>
        <v/>
      </c>
      <c r="BB157" s="2">
        <f>IF(ISERROR($E$157),"",IF(ISBLANK($E$157),"",$E$157))</f>
        <v/>
      </c>
      <c r="BE157" s="2">
        <f>IF(ISERROR($H$157),"",IF(ISBLANK($H$157),"",$H$157))</f>
        <v/>
      </c>
    </row>
    <row r="158" ht="60" customHeight="1">
      <c r="A158" s="9" t="inlineStr">
        <is>
          <t>14</t>
        </is>
      </c>
      <c r="B158" s="4" t="n"/>
      <c r="C158" s="25" t="n"/>
      <c r="D158" s="17" t="n"/>
      <c r="E158" s="4" t="n"/>
      <c r="F158" s="25" t="n"/>
      <c r="G158" s="17" t="n"/>
      <c r="H158" s="4" t="n"/>
      <c r="I158" s="25" t="n"/>
      <c r="J158" s="17" t="n"/>
      <c r="K158" s="19">
        <f>IF(BF158&gt;0,"O Google leu como fórmula: digite de novo com ' na frente.","")</f>
        <v/>
      </c>
      <c r="AQ158" s="2">
        <f>AQ157+IF(LEN($AY$158)&gt;0,1,0)</f>
        <v/>
      </c>
      <c r="AR158" s="2">
        <f>AR157+IF(LEN($BB$158)&gt;0,1,0)</f>
        <v/>
      </c>
      <c r="AS158" s="2">
        <f>AS157+IF(LEN($BE$158)&gt;0,1,0)</f>
        <v/>
      </c>
      <c r="AY158" s="2">
        <f>IF(ISERROR($B$158),"",IF(ISBLANK($B$158),"",$B$158))</f>
        <v/>
      </c>
      <c r="BB158" s="2">
        <f>IF(ISERROR($E$158),"",IF(ISBLANK($E$158),"",$E$158))</f>
        <v/>
      </c>
      <c r="BE158" s="2">
        <f>IF(ISERROR($H$158),"",IF(ISBLANK($H$158),"",$H$158))</f>
        <v/>
      </c>
      <c r="BF158" s="2">
        <f>ISERROR($B$158)*1+ISERROR($E$158)*1+ISERROR($H$158)*1</f>
        <v/>
      </c>
    </row>
    <row r="159" ht="60" customHeight="1">
      <c r="A159" s="21" t="inlineStr">
        <is>
          <t>15</t>
        </is>
      </c>
      <c r="B159" s="29" t="n"/>
      <c r="C159" s="25" t="n"/>
      <c r="D159" s="17" t="n"/>
      <c r="E159" s="29" t="n"/>
      <c r="F159" s="25" t="n"/>
      <c r="G159" s="17" t="n"/>
      <c r="H159" s="29" t="n"/>
      <c r="I159" s="25" t="n"/>
      <c r="J159" s="17" t="n"/>
      <c r="K159" s="19">
        <f>IF(BF159&gt;0,"O Google leu como fórmula: digite de novo com ' na frente.","")</f>
        <v/>
      </c>
      <c r="AQ159" s="2">
        <f>AQ158+IF(LEN($AY$159)&gt;0,1,0)</f>
        <v/>
      </c>
      <c r="AR159" s="2">
        <f>AR158+IF(LEN($BB$159)&gt;0,1,0)</f>
        <v/>
      </c>
      <c r="AS159" s="2">
        <f>AS158+IF(LEN($BE$159)&gt;0,1,0)</f>
        <v/>
      </c>
      <c r="AY159" s="2">
        <f>IF(ISERROR($B$159),"",IF(ISBLANK($B$159),"",$B$159))</f>
        <v/>
      </c>
      <c r="BB159" s="2">
        <f>IF(ISERROR($E$159),"",IF(ISBLANK($E$159),"",$E$159))</f>
        <v/>
      </c>
      <c r="BE159" s="2">
        <f>IF(ISERROR($H$159),"",IF(ISBLANK($H$159),"",$H$159))</f>
        <v/>
      </c>
      <c r="BF159" s="2">
        <f>ISERROR($B$159)*1+ISERROR($E$159)*1+ISERROR($H$159)*1</f>
        <v/>
      </c>
    </row>
    <row r="160" ht="60" customHeight="1">
      <c r="A160" s="9" t="inlineStr">
        <is>
          <t>16</t>
        </is>
      </c>
      <c r="B160" s="4" t="n"/>
      <c r="C160" s="25" t="n"/>
      <c r="D160" s="17" t="n"/>
      <c r="E160" s="4" t="n"/>
      <c r="F160" s="25" t="n"/>
      <c r="G160" s="17" t="n"/>
      <c r="H160" s="4" t="n"/>
      <c r="I160" s="25" t="n"/>
      <c r="J160" s="17" t="n"/>
      <c r="K160" s="19">
        <f>IF(BF160&gt;0,"O Google leu como fórmula: digite de novo com ' na frente.","")</f>
        <v/>
      </c>
      <c r="AQ160" s="2">
        <f>AQ159+IF(LEN($AY$160)&gt;0,1,0)</f>
        <v/>
      </c>
      <c r="AR160" s="2">
        <f>AR159+IF(LEN($BB$160)&gt;0,1,0)</f>
        <v/>
      </c>
      <c r="AS160" s="2">
        <f>AS159+IF(LEN($BE$160)&gt;0,1,0)</f>
        <v/>
      </c>
      <c r="AY160" s="2">
        <f>IF(ISERROR($B$160),"",IF(ISBLANK($B$160),"",$B$160))</f>
        <v/>
      </c>
      <c r="BB160" s="2">
        <f>IF(ISERROR($E$160),"",IF(ISBLANK($E$160),"",$E$160))</f>
        <v/>
      </c>
      <c r="BE160" s="2">
        <f>IF(ISERROR($H$160),"",IF(ISBLANK($H$160),"",$H$160))</f>
        <v/>
      </c>
      <c r="BF160" s="2">
        <f>ISERROR($B$160)*1+ISERROR($E$160)*1+ISERROR($H$160)*1</f>
        <v/>
      </c>
    </row>
    <row r="161" ht="60" customHeight="1">
      <c r="A161" s="21" t="inlineStr">
        <is>
          <t>17</t>
        </is>
      </c>
      <c r="B161" s="29" t="n"/>
      <c r="C161" s="25" t="n"/>
      <c r="D161" s="17" t="n"/>
      <c r="E161" s="29" t="n"/>
      <c r="F161" s="25" t="n"/>
      <c r="G161" s="17" t="n"/>
      <c r="H161" s="29" t="n"/>
      <c r="I161" s="25" t="n"/>
      <c r="J161" s="17" t="n"/>
      <c r="K161" s="19">
        <f>IF(BF161&gt;0,"O Google leu como fórmula: digite de novo com ' na frente.","")</f>
        <v/>
      </c>
      <c r="AQ161" s="2">
        <f>AQ160+IF(LEN($AY$161)&gt;0,1,0)</f>
        <v/>
      </c>
      <c r="AR161" s="2">
        <f>AR160+IF(LEN($BB$161)&gt;0,1,0)</f>
        <v/>
      </c>
      <c r="AS161" s="2">
        <f>AS160+IF(LEN($BE$161)&gt;0,1,0)</f>
        <v/>
      </c>
      <c r="AY161" s="2">
        <f>IF(ISERROR($B$161),"",IF(ISBLANK($B$161),"",$B$161))</f>
        <v/>
      </c>
      <c r="BB161" s="2">
        <f>IF(ISERROR($E$161),"",IF(ISBLANK($E$161),"",$E$161))</f>
        <v/>
      </c>
      <c r="BE161" s="2">
        <f>IF(ISERROR($H$161),"",IF(ISBLANK($H$161),"",$H$161))</f>
        <v/>
      </c>
      <c r="BF161" s="2">
        <f>ISERROR($B$161)*1+ISERROR($E$161)*1+ISERROR($H$161)*1</f>
        <v/>
      </c>
    </row>
    <row r="162" ht="60" customHeight="1">
      <c r="A162" s="9" t="inlineStr">
        <is>
          <t>18</t>
        </is>
      </c>
      <c r="B162" s="4" t="n"/>
      <c r="C162" s="25" t="n"/>
      <c r="D162" s="17" t="n"/>
      <c r="E162" s="4" t="n"/>
      <c r="F162" s="25" t="n"/>
      <c r="G162" s="17" t="n"/>
      <c r="H162" s="4" t="n"/>
      <c r="I162" s="25" t="n"/>
      <c r="J162" s="17" t="n"/>
      <c r="K162" s="19">
        <f>IF(BF162&gt;0,"O Google leu como fórmula: digite de novo com ' na frente.","")</f>
        <v/>
      </c>
      <c r="AQ162" s="2">
        <f>AQ161+IF(LEN($AY$162)&gt;0,1,0)</f>
        <v/>
      </c>
      <c r="AR162" s="2">
        <f>AR161+IF(LEN($BB$162)&gt;0,1,0)</f>
        <v/>
      </c>
      <c r="AS162" s="2">
        <f>AS161+IF(LEN($BE$162)&gt;0,1,0)</f>
        <v/>
      </c>
      <c r="AY162" s="2">
        <f>IF(ISERROR($B$162),"",IF(ISBLANK($B$162),"",$B$162))</f>
        <v/>
      </c>
      <c r="BB162" s="2">
        <f>IF(ISERROR($E$162),"",IF(ISBLANK($E$162),"",$E$162))</f>
        <v/>
      </c>
      <c r="BE162" s="2">
        <f>IF(ISERROR($H$162),"",IF(ISBLANK($H$162),"",$H$162))</f>
        <v/>
      </c>
      <c r="BF162" s="2">
        <f>ISERROR($B$162)*1+ISERROR($E$162)*1+ISERROR($H$162)*1</f>
        <v/>
      </c>
    </row>
    <row r="163" ht="60" customHeight="1">
      <c r="A163" s="21" t="inlineStr">
        <is>
          <t>19</t>
        </is>
      </c>
      <c r="B163" s="29" t="n"/>
      <c r="C163" s="25" t="n"/>
      <c r="D163" s="17" t="n"/>
      <c r="E163" s="29" t="n"/>
      <c r="F163" s="25" t="n"/>
      <c r="G163" s="17" t="n"/>
      <c r="H163" s="29" t="n"/>
      <c r="I163" s="25" t="n"/>
      <c r="J163" s="17" t="n"/>
      <c r="K163" s="19">
        <f>IF(BF163&gt;0,"O Google leu como fórmula: digite de novo com ' na frente.","")</f>
        <v/>
      </c>
      <c r="AQ163" s="2">
        <f>AQ162+IF(LEN($AY$163)&gt;0,1,0)</f>
        <v/>
      </c>
      <c r="AR163" s="2">
        <f>AR162+IF(LEN($BB$163)&gt;0,1,0)</f>
        <v/>
      </c>
      <c r="AS163" s="2">
        <f>AS162+IF(LEN($BE$163)&gt;0,1,0)</f>
        <v/>
      </c>
      <c r="AY163" s="2">
        <f>IF(ISERROR($B$163),"",IF(ISBLANK($B$163),"",$B$163))</f>
        <v/>
      </c>
      <c r="BB163" s="2">
        <f>IF(ISERROR($E$163),"",IF(ISBLANK($E$163),"",$E$163))</f>
        <v/>
      </c>
      <c r="BE163" s="2">
        <f>IF(ISERROR($H$163),"",IF(ISBLANK($H$163),"",$H$163))</f>
        <v/>
      </c>
      <c r="BF163" s="2">
        <f>ISERROR($B$163)*1+ISERROR($E$163)*1+ISERROR($H$163)*1</f>
        <v/>
      </c>
    </row>
    <row r="164" ht="60" customHeight="1">
      <c r="A164" s="9" t="inlineStr">
        <is>
          <t>20</t>
        </is>
      </c>
      <c r="B164" s="4" t="n"/>
      <c r="C164" s="25" t="n"/>
      <c r="D164" s="17" t="n"/>
      <c r="E164" s="4" t="n"/>
      <c r="F164" s="25" t="n"/>
      <c r="G164" s="17" t="n"/>
      <c r="H164" s="4" t="n"/>
      <c r="I164" s="25" t="n"/>
      <c r="J164" s="17" t="n"/>
      <c r="K164" s="19">
        <f>IF(BF164&gt;0,"O Google leu como fórmula: digite de novo com ' na frente.","")</f>
        <v/>
      </c>
      <c r="AQ164" s="2">
        <f>AQ163+IF(LEN($AY$164)&gt;0,1,0)</f>
        <v/>
      </c>
      <c r="AR164" s="2">
        <f>AR163+IF(LEN($BB$164)&gt;0,1,0)</f>
        <v/>
      </c>
      <c r="AS164" s="2">
        <f>AS163+IF(LEN($BE$164)&gt;0,1,0)</f>
        <v/>
      </c>
      <c r="AY164" s="2">
        <f>IF(ISERROR($B$164),"",IF(ISBLANK($B$164),"",$B$164))</f>
        <v/>
      </c>
      <c r="BB164" s="2">
        <f>IF(ISERROR($E$164),"",IF(ISBLANK($E$164),"",$E$164))</f>
        <v/>
      </c>
      <c r="BE164" s="2">
        <f>IF(ISERROR($H$164),"",IF(ISBLANK($H$164),"",$H$164))</f>
        <v/>
      </c>
      <c r="BF164" s="2">
        <f>ISERROR($B$164)*1+ISERROR($E$164)*1+ISERROR($H$164)*1</f>
        <v/>
      </c>
    </row>
    <row r="165" ht="60" customHeight="1">
      <c r="A165" s="21" t="inlineStr">
        <is>
          <t>21</t>
        </is>
      </c>
      <c r="B165" s="29" t="n"/>
      <c r="C165" s="25" t="n"/>
      <c r="D165" s="17" t="n"/>
      <c r="E165" s="29" t="n"/>
      <c r="F165" s="25" t="n"/>
      <c r="G165" s="17" t="n"/>
      <c r="H165" s="29" t="n"/>
      <c r="I165" s="25" t="n"/>
      <c r="J165" s="17" t="n"/>
      <c r="K165" s="19">
        <f>IF(BF165&gt;0,"O Google leu como fórmula: digite de novo com ' na frente.","")</f>
        <v/>
      </c>
      <c r="AQ165" s="2">
        <f>AQ164+IF(LEN($AY$165)&gt;0,1,0)</f>
        <v/>
      </c>
      <c r="AR165" s="2">
        <f>AR164+IF(LEN($BB$165)&gt;0,1,0)</f>
        <v/>
      </c>
      <c r="AS165" s="2">
        <f>AS164+IF(LEN($BE$165)&gt;0,1,0)</f>
        <v/>
      </c>
      <c r="AY165" s="2">
        <f>IF(ISERROR($B$165),"",IF(ISBLANK($B$165),"",$B$165))</f>
        <v/>
      </c>
      <c r="BB165" s="2">
        <f>IF(ISERROR($E$165),"",IF(ISBLANK($E$165),"",$E$165))</f>
        <v/>
      </c>
      <c r="BE165" s="2">
        <f>IF(ISERROR($H$165),"",IF(ISBLANK($H$165),"",$H$165))</f>
        <v/>
      </c>
      <c r="BF165" s="2">
        <f>ISERROR($B$165)*1+ISERROR($E$165)*1+ISERROR($H$165)*1</f>
        <v/>
      </c>
    </row>
    <row r="166" ht="60" customHeight="1">
      <c r="A166" s="9" t="inlineStr">
        <is>
          <t>22</t>
        </is>
      </c>
      <c r="B166" s="4" t="n"/>
      <c r="C166" s="25" t="n"/>
      <c r="D166" s="17" t="n"/>
      <c r="E166" s="4" t="n"/>
      <c r="F166" s="25" t="n"/>
      <c r="G166" s="17" t="n"/>
      <c r="H166" s="4" t="n"/>
      <c r="I166" s="25" t="n"/>
      <c r="J166" s="17" t="n"/>
      <c r="K166" s="19">
        <f>IF(BF166&gt;0,"O Google leu como fórmula: digite de novo com ' na frente.","")</f>
        <v/>
      </c>
      <c r="AQ166" s="2">
        <f>AQ165+IF(LEN($AY$166)&gt;0,1,0)</f>
        <v/>
      </c>
      <c r="AR166" s="2">
        <f>AR165+IF(LEN($BB$166)&gt;0,1,0)</f>
        <v/>
      </c>
      <c r="AS166" s="2">
        <f>AS165+IF(LEN($BE$166)&gt;0,1,0)</f>
        <v/>
      </c>
      <c r="AY166" s="2">
        <f>IF(ISERROR($B$166),"",IF(ISBLANK($B$166),"",$B$166))</f>
        <v/>
      </c>
      <c r="BB166" s="2">
        <f>IF(ISERROR($E$166),"",IF(ISBLANK($E$166),"",$E$166))</f>
        <v/>
      </c>
      <c r="BE166" s="2">
        <f>IF(ISERROR($H$166),"",IF(ISBLANK($H$166),"",$H$166))</f>
        <v/>
      </c>
      <c r="BF166" s="2">
        <f>ISERROR($B$166)*1+ISERROR($E$166)*1+ISERROR($H$166)*1</f>
        <v/>
      </c>
    </row>
    <row r="167" ht="60" customHeight="1">
      <c r="A167" s="21" t="inlineStr">
        <is>
          <t>23</t>
        </is>
      </c>
      <c r="B167" s="29" t="n"/>
      <c r="C167" s="25" t="n"/>
      <c r="D167" s="17" t="n"/>
      <c r="E167" s="29" t="n"/>
      <c r="F167" s="25" t="n"/>
      <c r="G167" s="17" t="n"/>
      <c r="H167" s="29" t="n"/>
      <c r="I167" s="25" t="n"/>
      <c r="J167" s="17" t="n"/>
      <c r="K167" s="19">
        <f>IF(BF167&gt;0,"O Google leu como fórmula: digite de novo com ' na frente.","")</f>
        <v/>
      </c>
      <c r="AQ167" s="2">
        <f>AQ166+IF(LEN($AY$167)&gt;0,1,0)</f>
        <v/>
      </c>
      <c r="AR167" s="2">
        <f>AR166+IF(LEN($BB$167)&gt;0,1,0)</f>
        <v/>
      </c>
      <c r="AS167" s="2">
        <f>AS166+IF(LEN($BE$167)&gt;0,1,0)</f>
        <v/>
      </c>
      <c r="AY167" s="2">
        <f>IF(ISERROR($B$167),"",IF(ISBLANK($B$167),"",$B$167))</f>
        <v/>
      </c>
      <c r="BB167" s="2">
        <f>IF(ISERROR($E$167),"",IF(ISBLANK($E$167),"",$E$167))</f>
        <v/>
      </c>
      <c r="BE167" s="2">
        <f>IF(ISERROR($H$167),"",IF(ISBLANK($H$167),"",$H$167))</f>
        <v/>
      </c>
      <c r="BF167" s="2">
        <f>ISERROR($B$167)*1+ISERROR($E$167)*1+ISERROR($H$167)*1</f>
        <v/>
      </c>
    </row>
    <row r="168" ht="60" customHeight="1">
      <c r="A168" s="9" t="inlineStr">
        <is>
          <t>24</t>
        </is>
      </c>
      <c r="B168" s="4" t="n"/>
      <c r="C168" s="25" t="n"/>
      <c r="D168" s="17" t="n"/>
      <c r="E168" s="4" t="n"/>
      <c r="F168" s="25" t="n"/>
      <c r="G168" s="17" t="n"/>
      <c r="H168" s="4" t="n"/>
      <c r="I168" s="25" t="n"/>
      <c r="J168" s="17" t="n"/>
      <c r="K168" s="19">
        <f>IF(BF168&gt;0,"O Google leu como fórmula: digite de novo com ' na frente.","")</f>
        <v/>
      </c>
      <c r="AQ168" s="2">
        <f>AQ167+IF(LEN($AY$168)&gt;0,1,0)</f>
        <v/>
      </c>
      <c r="AR168" s="2">
        <f>AR167+IF(LEN($BB$168)&gt;0,1,0)</f>
        <v/>
      </c>
      <c r="AS168" s="2">
        <f>AS167+IF(LEN($BE$168)&gt;0,1,0)</f>
        <v/>
      </c>
      <c r="AY168" s="2">
        <f>IF(ISERROR($B$168),"",IF(ISBLANK($B$168),"",$B$168))</f>
        <v/>
      </c>
      <c r="BB168" s="2">
        <f>IF(ISERROR($E$168),"",IF(ISBLANK($E$168),"",$E$168))</f>
        <v/>
      </c>
      <c r="BE168" s="2">
        <f>IF(ISERROR($H$168),"",IF(ISBLANK($H$168),"",$H$168))</f>
        <v/>
      </c>
      <c r="BF168" s="2">
        <f>ISERROR($B$168)*1+ISERROR($E$168)*1+ISERROR($H$168)*1</f>
        <v/>
      </c>
    </row>
    <row r="169" ht="60" customHeight="1">
      <c r="A169" s="21" t="inlineStr">
        <is>
          <t>25</t>
        </is>
      </c>
      <c r="B169" s="29" t="n"/>
      <c r="C169" s="25" t="n"/>
      <c r="D169" s="17" t="n"/>
      <c r="E169" s="29" t="n"/>
      <c r="F169" s="25" t="n"/>
      <c r="G169" s="17" t="n"/>
      <c r="H169" s="29" t="n"/>
      <c r="I169" s="25" t="n"/>
      <c r="J169" s="17" t="n"/>
      <c r="K169" s="19">
        <f>IF(BF169&gt;0,"O Google leu como fórmula: digite de novo com ' na frente.","")</f>
        <v/>
      </c>
      <c r="AQ169" s="2">
        <f>AQ168+IF(LEN($AY$169)&gt;0,1,0)</f>
        <v/>
      </c>
      <c r="AR169" s="2">
        <f>AR168+IF(LEN($BB$169)&gt;0,1,0)</f>
        <v/>
      </c>
      <c r="AS169" s="2">
        <f>AS168+IF(LEN($BE$169)&gt;0,1,0)</f>
        <v/>
      </c>
      <c r="AY169" s="2">
        <f>IF(ISERROR($B$169),"",IF(ISBLANK($B$169),"",$B$169))</f>
        <v/>
      </c>
      <c r="BB169" s="2">
        <f>IF(ISERROR($E$169),"",IF(ISBLANK($E$169),"",$E$169))</f>
        <v/>
      </c>
      <c r="BE169" s="2">
        <f>IF(ISERROR($H$169),"",IF(ISBLANK($H$169),"",$H$169))</f>
        <v/>
      </c>
      <c r="BF169" s="2">
        <f>ISERROR($B$169)*1+ISERROR($E$169)*1+ISERROR($H$169)*1</f>
        <v/>
      </c>
    </row>
    <row r="170" ht="60" customHeight="1">
      <c r="A170" s="9" t="inlineStr">
        <is>
          <t>26</t>
        </is>
      </c>
      <c r="B170" s="4" t="n"/>
      <c r="C170" s="25" t="n"/>
      <c r="D170" s="17" t="n"/>
      <c r="E170" s="4" t="n"/>
      <c r="F170" s="25" t="n"/>
      <c r="G170" s="17" t="n"/>
      <c r="H170" s="4" t="n"/>
      <c r="I170" s="25" t="n"/>
      <c r="J170" s="17" t="n"/>
      <c r="K170" s="19">
        <f>IF(BF170&gt;0,"O Google leu como fórmula: digite de novo com ' na frente.","")</f>
        <v/>
      </c>
      <c r="AQ170" s="2">
        <f>AQ169+IF(LEN($AY$170)&gt;0,1,0)</f>
        <v/>
      </c>
      <c r="AR170" s="2">
        <f>AR169+IF(LEN($BB$170)&gt;0,1,0)</f>
        <v/>
      </c>
      <c r="AS170" s="2">
        <f>AS169+IF(LEN($BE$170)&gt;0,1,0)</f>
        <v/>
      </c>
      <c r="AY170" s="2">
        <f>IF(ISERROR($B$170),"",IF(ISBLANK($B$170),"",$B$170))</f>
        <v/>
      </c>
      <c r="BB170" s="2">
        <f>IF(ISERROR($E$170),"",IF(ISBLANK($E$170),"",$E$170))</f>
        <v/>
      </c>
      <c r="BE170" s="2">
        <f>IF(ISERROR($H$170),"",IF(ISBLANK($H$170),"",$H$170))</f>
        <v/>
      </c>
      <c r="BF170" s="2">
        <f>ISERROR($B$170)*1+ISERROR($E$170)*1+ISERROR($H$170)*1</f>
        <v/>
      </c>
    </row>
    <row r="171">
      <c r="A171" s="8" t="inlineStr">
        <is>
          <t>Vagas 27–39</t>
        </is>
      </c>
      <c r="B171" s="8" t="inlineStr">
        <is>
          <t>Tabela 4</t>
        </is>
      </c>
      <c r="C171" s="20" t="n"/>
      <c r="D171" s="20" t="n"/>
      <c r="E171" s="8" t="inlineStr">
        <is>
          <t>Tabela 5</t>
        </is>
      </c>
      <c r="F171" s="20" t="n"/>
      <c r="G171" s="20" t="n"/>
      <c r="H171" s="8" t="inlineStr">
        <is>
          <t>Tabela 6</t>
        </is>
      </c>
      <c r="I171" s="20" t="n"/>
      <c r="J171" s="20" t="n"/>
      <c r="AQ171" s="2">
        <f>AQ170</f>
        <v/>
      </c>
      <c r="AR171" s="2">
        <f>AR170</f>
        <v/>
      </c>
      <c r="AS171" s="2">
        <f>AS170</f>
        <v/>
      </c>
      <c r="AY171" s="2">
        <f>IF(ISERROR($B$171),"",IF(ISBLANK($B$171),"",$B$171))</f>
        <v/>
      </c>
      <c r="BB171" s="2">
        <f>IF(ISERROR($E$171),"",IF(ISBLANK($E$171),"",$E$171))</f>
        <v/>
      </c>
      <c r="BE171" s="2">
        <f>IF(ISERROR($H$171),"",IF(ISBLANK($H$171),"",$H$171))</f>
        <v/>
      </c>
    </row>
    <row r="172" ht="60" customHeight="1">
      <c r="A172" s="9" t="inlineStr">
        <is>
          <t>27</t>
        </is>
      </c>
      <c r="B172" s="4" t="n"/>
      <c r="C172" s="25" t="n"/>
      <c r="D172" s="17" t="n"/>
      <c r="E172" s="4" t="n"/>
      <c r="F172" s="25" t="n"/>
      <c r="G172" s="17" t="n"/>
      <c r="H172" s="4" t="n"/>
      <c r="I172" s="25" t="n"/>
      <c r="J172" s="17" t="n"/>
      <c r="K172" s="19">
        <f>IF(BF172&gt;0,"O Google leu como fórmula: digite de novo com ' na frente.","")</f>
        <v/>
      </c>
      <c r="AQ172" s="2">
        <f>AQ171+IF(LEN($AY$172)&gt;0,1,0)</f>
        <v/>
      </c>
      <c r="AR172" s="2">
        <f>AR171+IF(LEN($BB$172)&gt;0,1,0)</f>
        <v/>
      </c>
      <c r="AS172" s="2">
        <f>AS171+IF(LEN($BE$172)&gt;0,1,0)</f>
        <v/>
      </c>
      <c r="AY172" s="2">
        <f>IF(ISERROR($B$172),"",IF(ISBLANK($B$172),"",$B$172))</f>
        <v/>
      </c>
      <c r="BB172" s="2">
        <f>IF(ISERROR($E$172),"",IF(ISBLANK($E$172),"",$E$172))</f>
        <v/>
      </c>
      <c r="BE172" s="2">
        <f>IF(ISERROR($H$172),"",IF(ISBLANK($H$172),"",$H$172))</f>
        <v/>
      </c>
      <c r="BF172" s="2">
        <f>ISERROR($B$172)*1+ISERROR($E$172)*1+ISERROR($H$172)*1</f>
        <v/>
      </c>
    </row>
    <row r="173" ht="60" customHeight="1">
      <c r="A173" s="21" t="inlineStr">
        <is>
          <t>28</t>
        </is>
      </c>
      <c r="B173" s="29" t="n"/>
      <c r="C173" s="25" t="n"/>
      <c r="D173" s="17" t="n"/>
      <c r="E173" s="29" t="n"/>
      <c r="F173" s="25" t="n"/>
      <c r="G173" s="17" t="n"/>
      <c r="H173" s="29" t="n"/>
      <c r="I173" s="25" t="n"/>
      <c r="J173" s="17" t="n"/>
      <c r="K173" s="19">
        <f>IF(BF173&gt;0,"O Google leu como fórmula: digite de novo com ' na frente.","")</f>
        <v/>
      </c>
      <c r="AQ173" s="2">
        <f>AQ172+IF(LEN($AY$173)&gt;0,1,0)</f>
        <v/>
      </c>
      <c r="AR173" s="2">
        <f>AR172+IF(LEN($BB$173)&gt;0,1,0)</f>
        <v/>
      </c>
      <c r="AS173" s="2">
        <f>AS172+IF(LEN($BE$173)&gt;0,1,0)</f>
        <v/>
      </c>
      <c r="AY173" s="2">
        <f>IF(ISERROR($B$173),"",IF(ISBLANK($B$173),"",$B$173))</f>
        <v/>
      </c>
      <c r="BB173" s="2">
        <f>IF(ISERROR($E$173),"",IF(ISBLANK($E$173),"",$E$173))</f>
        <v/>
      </c>
      <c r="BE173" s="2">
        <f>IF(ISERROR($H$173),"",IF(ISBLANK($H$173),"",$H$173))</f>
        <v/>
      </c>
      <c r="BF173" s="2">
        <f>ISERROR($B$173)*1+ISERROR($E$173)*1+ISERROR($H$173)*1</f>
        <v/>
      </c>
    </row>
    <row r="174" ht="60" customHeight="1">
      <c r="A174" s="9" t="inlineStr">
        <is>
          <t>29</t>
        </is>
      </c>
      <c r="B174" s="4" t="n"/>
      <c r="C174" s="25" t="n"/>
      <c r="D174" s="17" t="n"/>
      <c r="E174" s="4" t="n"/>
      <c r="F174" s="25" t="n"/>
      <c r="G174" s="17" t="n"/>
      <c r="H174" s="4" t="n"/>
      <c r="I174" s="25" t="n"/>
      <c r="J174" s="17" t="n"/>
      <c r="K174" s="19">
        <f>IF(BF174&gt;0,"O Google leu como fórmula: digite de novo com ' na frente.","")</f>
        <v/>
      </c>
      <c r="AQ174" s="2">
        <f>AQ173+IF(LEN($AY$174)&gt;0,1,0)</f>
        <v/>
      </c>
      <c r="AR174" s="2">
        <f>AR173+IF(LEN($BB$174)&gt;0,1,0)</f>
        <v/>
      </c>
      <c r="AS174" s="2">
        <f>AS173+IF(LEN($BE$174)&gt;0,1,0)</f>
        <v/>
      </c>
      <c r="AY174" s="2">
        <f>IF(ISERROR($B$174),"",IF(ISBLANK($B$174),"",$B$174))</f>
        <v/>
      </c>
      <c r="BB174" s="2">
        <f>IF(ISERROR($E$174),"",IF(ISBLANK($E$174),"",$E$174))</f>
        <v/>
      </c>
      <c r="BE174" s="2">
        <f>IF(ISERROR($H$174),"",IF(ISBLANK($H$174),"",$H$174))</f>
        <v/>
      </c>
      <c r="BF174" s="2">
        <f>ISERROR($B$174)*1+ISERROR($E$174)*1+ISERROR($H$174)*1</f>
        <v/>
      </c>
    </row>
    <row r="175" ht="60" customHeight="1">
      <c r="A175" s="21" t="inlineStr">
        <is>
          <t>30</t>
        </is>
      </c>
      <c r="B175" s="29" t="n"/>
      <c r="C175" s="25" t="n"/>
      <c r="D175" s="17" t="n"/>
      <c r="E175" s="29" t="n"/>
      <c r="F175" s="25" t="n"/>
      <c r="G175" s="17" t="n"/>
      <c r="H175" s="29" t="n"/>
      <c r="I175" s="25" t="n"/>
      <c r="J175" s="17" t="n"/>
      <c r="K175" s="19">
        <f>IF(BF175&gt;0,"O Google leu como fórmula: digite de novo com ' na frente.","")</f>
        <v/>
      </c>
      <c r="AQ175" s="2">
        <f>AQ174+IF(LEN($AY$175)&gt;0,1,0)</f>
        <v/>
      </c>
      <c r="AR175" s="2">
        <f>AR174+IF(LEN($BB$175)&gt;0,1,0)</f>
        <v/>
      </c>
      <c r="AS175" s="2">
        <f>AS174+IF(LEN($BE$175)&gt;0,1,0)</f>
        <v/>
      </c>
      <c r="AY175" s="2">
        <f>IF(ISERROR($B$175),"",IF(ISBLANK($B$175),"",$B$175))</f>
        <v/>
      </c>
      <c r="BB175" s="2">
        <f>IF(ISERROR($E$175),"",IF(ISBLANK($E$175),"",$E$175))</f>
        <v/>
      </c>
      <c r="BE175" s="2">
        <f>IF(ISERROR($H$175),"",IF(ISBLANK($H$175),"",$H$175))</f>
        <v/>
      </c>
      <c r="BF175" s="2">
        <f>ISERROR($B$175)*1+ISERROR($E$175)*1+ISERROR($H$175)*1</f>
        <v/>
      </c>
    </row>
    <row r="176" ht="60" customHeight="1">
      <c r="A176" s="9" t="inlineStr">
        <is>
          <t>31</t>
        </is>
      </c>
      <c r="B176" s="4" t="n"/>
      <c r="C176" s="25" t="n"/>
      <c r="D176" s="17" t="n"/>
      <c r="E176" s="4" t="n"/>
      <c r="F176" s="25" t="n"/>
      <c r="G176" s="17" t="n"/>
      <c r="H176" s="4" t="n"/>
      <c r="I176" s="25" t="n"/>
      <c r="J176" s="17" t="n"/>
      <c r="K176" s="19">
        <f>IF(BF176&gt;0,"O Google leu como fórmula: digite de novo com ' na frente.","")</f>
        <v/>
      </c>
      <c r="AQ176" s="2">
        <f>AQ175+IF(LEN($AY$176)&gt;0,1,0)</f>
        <v/>
      </c>
      <c r="AR176" s="2">
        <f>AR175+IF(LEN($BB$176)&gt;0,1,0)</f>
        <v/>
      </c>
      <c r="AS176" s="2">
        <f>AS175+IF(LEN($BE$176)&gt;0,1,0)</f>
        <v/>
      </c>
      <c r="AY176" s="2">
        <f>IF(ISERROR($B$176),"",IF(ISBLANK($B$176),"",$B$176))</f>
        <v/>
      </c>
      <c r="BB176" s="2">
        <f>IF(ISERROR($E$176),"",IF(ISBLANK($E$176),"",$E$176))</f>
        <v/>
      </c>
      <c r="BE176" s="2">
        <f>IF(ISERROR($H$176),"",IF(ISBLANK($H$176),"",$H$176))</f>
        <v/>
      </c>
      <c r="BF176" s="2">
        <f>ISERROR($B$176)*1+ISERROR($E$176)*1+ISERROR($H$176)*1</f>
        <v/>
      </c>
    </row>
    <row r="177" ht="60" customHeight="1">
      <c r="A177" s="21" t="inlineStr">
        <is>
          <t>32</t>
        </is>
      </c>
      <c r="B177" s="29" t="n"/>
      <c r="C177" s="25" t="n"/>
      <c r="D177" s="17" t="n"/>
      <c r="E177" s="29" t="n"/>
      <c r="F177" s="25" t="n"/>
      <c r="G177" s="17" t="n"/>
      <c r="H177" s="29" t="n"/>
      <c r="I177" s="25" t="n"/>
      <c r="J177" s="17" t="n"/>
      <c r="K177" s="19">
        <f>IF(BF177&gt;0,"O Google leu como fórmula: digite de novo com ' na frente.","")</f>
        <v/>
      </c>
      <c r="AQ177" s="2">
        <f>AQ176+IF(LEN($AY$177)&gt;0,1,0)</f>
        <v/>
      </c>
      <c r="AR177" s="2">
        <f>AR176+IF(LEN($BB$177)&gt;0,1,0)</f>
        <v/>
      </c>
      <c r="AS177" s="2">
        <f>AS176+IF(LEN($BE$177)&gt;0,1,0)</f>
        <v/>
      </c>
      <c r="AY177" s="2">
        <f>IF(ISERROR($B$177),"",IF(ISBLANK($B$177),"",$B$177))</f>
        <v/>
      </c>
      <c r="BB177" s="2">
        <f>IF(ISERROR($E$177),"",IF(ISBLANK($E$177),"",$E$177))</f>
        <v/>
      </c>
      <c r="BE177" s="2">
        <f>IF(ISERROR($H$177),"",IF(ISBLANK($H$177),"",$H$177))</f>
        <v/>
      </c>
      <c r="BF177" s="2">
        <f>ISERROR($B$177)*1+ISERROR($E$177)*1+ISERROR($H$177)*1</f>
        <v/>
      </c>
    </row>
    <row r="178" ht="60" customHeight="1">
      <c r="A178" s="9" t="inlineStr">
        <is>
          <t>33</t>
        </is>
      </c>
      <c r="B178" s="4" t="n"/>
      <c r="C178" s="25" t="n"/>
      <c r="D178" s="17" t="n"/>
      <c r="E178" s="4" t="n"/>
      <c r="F178" s="25" t="n"/>
      <c r="G178" s="17" t="n"/>
      <c r="H178" s="4" t="n"/>
      <c r="I178" s="25" t="n"/>
      <c r="J178" s="17" t="n"/>
      <c r="K178" s="19">
        <f>IF(BF178&gt;0,"O Google leu como fórmula: digite de novo com ' na frente.","")</f>
        <v/>
      </c>
      <c r="AQ178" s="2">
        <f>AQ177+IF(LEN($AY$178)&gt;0,1,0)</f>
        <v/>
      </c>
      <c r="AR178" s="2">
        <f>AR177+IF(LEN($BB$178)&gt;0,1,0)</f>
        <v/>
      </c>
      <c r="AS178" s="2">
        <f>AS177+IF(LEN($BE$178)&gt;0,1,0)</f>
        <v/>
      </c>
      <c r="AY178" s="2">
        <f>IF(ISERROR($B$178),"",IF(ISBLANK($B$178),"",$B$178))</f>
        <v/>
      </c>
      <c r="BB178" s="2">
        <f>IF(ISERROR($E$178),"",IF(ISBLANK($E$178),"",$E$178))</f>
        <v/>
      </c>
      <c r="BE178" s="2">
        <f>IF(ISERROR($H$178),"",IF(ISBLANK($H$178),"",$H$178))</f>
        <v/>
      </c>
      <c r="BF178" s="2">
        <f>ISERROR($B$178)*1+ISERROR($E$178)*1+ISERROR($H$178)*1</f>
        <v/>
      </c>
    </row>
    <row r="179" ht="60" customHeight="1">
      <c r="A179" s="21" t="inlineStr">
        <is>
          <t>34</t>
        </is>
      </c>
      <c r="B179" s="29" t="n"/>
      <c r="C179" s="25" t="n"/>
      <c r="D179" s="17" t="n"/>
      <c r="E179" s="29" t="n"/>
      <c r="F179" s="25" t="n"/>
      <c r="G179" s="17" t="n"/>
      <c r="H179" s="29" t="n"/>
      <c r="I179" s="25" t="n"/>
      <c r="J179" s="17" t="n"/>
      <c r="K179" s="19">
        <f>IF(BF179&gt;0,"O Google leu como fórmula: digite de novo com ' na frente.","")</f>
        <v/>
      </c>
      <c r="AQ179" s="2">
        <f>AQ178+IF(LEN($AY$179)&gt;0,1,0)</f>
        <v/>
      </c>
      <c r="AR179" s="2">
        <f>AR178+IF(LEN($BB$179)&gt;0,1,0)</f>
        <v/>
      </c>
      <c r="AS179" s="2">
        <f>AS178+IF(LEN($BE$179)&gt;0,1,0)</f>
        <v/>
      </c>
      <c r="AY179" s="2">
        <f>IF(ISERROR($B$179),"",IF(ISBLANK($B$179),"",$B$179))</f>
        <v/>
      </c>
      <c r="BB179" s="2">
        <f>IF(ISERROR($E$179),"",IF(ISBLANK($E$179),"",$E$179))</f>
        <v/>
      </c>
      <c r="BE179" s="2">
        <f>IF(ISERROR($H$179),"",IF(ISBLANK($H$179),"",$H$179))</f>
        <v/>
      </c>
      <c r="BF179" s="2">
        <f>ISERROR($B$179)*1+ISERROR($E$179)*1+ISERROR($H$179)*1</f>
        <v/>
      </c>
    </row>
    <row r="180" ht="60" customHeight="1">
      <c r="A180" s="9" t="inlineStr">
        <is>
          <t>35</t>
        </is>
      </c>
      <c r="B180" s="4" t="n"/>
      <c r="C180" s="25" t="n"/>
      <c r="D180" s="17" t="n"/>
      <c r="E180" s="4" t="n"/>
      <c r="F180" s="25" t="n"/>
      <c r="G180" s="17" t="n"/>
      <c r="H180" s="4" t="n"/>
      <c r="I180" s="25" t="n"/>
      <c r="J180" s="17" t="n"/>
      <c r="K180" s="19">
        <f>IF(BF180&gt;0,"O Google leu como fórmula: digite de novo com ' na frente.","")</f>
        <v/>
      </c>
      <c r="AQ180" s="2">
        <f>AQ179+IF(LEN($AY$180)&gt;0,1,0)</f>
        <v/>
      </c>
      <c r="AR180" s="2">
        <f>AR179+IF(LEN($BB$180)&gt;0,1,0)</f>
        <v/>
      </c>
      <c r="AS180" s="2">
        <f>AS179+IF(LEN($BE$180)&gt;0,1,0)</f>
        <v/>
      </c>
      <c r="AY180" s="2">
        <f>IF(ISERROR($B$180),"",IF(ISBLANK($B$180),"",$B$180))</f>
        <v/>
      </c>
      <c r="BB180" s="2">
        <f>IF(ISERROR($E$180),"",IF(ISBLANK($E$180),"",$E$180))</f>
        <v/>
      </c>
      <c r="BE180" s="2">
        <f>IF(ISERROR($H$180),"",IF(ISBLANK($H$180),"",$H$180))</f>
        <v/>
      </c>
      <c r="BF180" s="2">
        <f>ISERROR($B$180)*1+ISERROR($E$180)*1+ISERROR($H$180)*1</f>
        <v/>
      </c>
    </row>
    <row r="181" ht="60" customHeight="1">
      <c r="A181" s="21" t="inlineStr">
        <is>
          <t>36</t>
        </is>
      </c>
      <c r="B181" s="29" t="n"/>
      <c r="C181" s="25" t="n"/>
      <c r="D181" s="17" t="n"/>
      <c r="E181" s="29" t="n"/>
      <c r="F181" s="25" t="n"/>
      <c r="G181" s="17" t="n"/>
      <c r="H181" s="29" t="n"/>
      <c r="I181" s="25" t="n"/>
      <c r="J181" s="17" t="n"/>
      <c r="K181" s="19">
        <f>IF(BF181&gt;0,"O Google leu como fórmula: digite de novo com ' na frente.","")</f>
        <v/>
      </c>
      <c r="AQ181" s="2">
        <f>AQ180+IF(LEN($AY$181)&gt;0,1,0)</f>
        <v/>
      </c>
      <c r="AR181" s="2">
        <f>AR180+IF(LEN($BB$181)&gt;0,1,0)</f>
        <v/>
      </c>
      <c r="AS181" s="2">
        <f>AS180+IF(LEN($BE$181)&gt;0,1,0)</f>
        <v/>
      </c>
      <c r="AY181" s="2">
        <f>IF(ISERROR($B$181),"",IF(ISBLANK($B$181),"",$B$181))</f>
        <v/>
      </c>
      <c r="BB181" s="2">
        <f>IF(ISERROR($E$181),"",IF(ISBLANK($E$181),"",$E$181))</f>
        <v/>
      </c>
      <c r="BE181" s="2">
        <f>IF(ISERROR($H$181),"",IF(ISBLANK($H$181),"",$H$181))</f>
        <v/>
      </c>
      <c r="BF181" s="2">
        <f>ISERROR($B$181)*1+ISERROR($E$181)*1+ISERROR($H$181)*1</f>
        <v/>
      </c>
    </row>
    <row r="182" ht="60" customHeight="1">
      <c r="A182" s="9" t="inlineStr">
        <is>
          <t>37</t>
        </is>
      </c>
      <c r="B182" s="4" t="n"/>
      <c r="C182" s="25" t="n"/>
      <c r="D182" s="17" t="n"/>
      <c r="E182" s="4" t="n"/>
      <c r="F182" s="25" t="n"/>
      <c r="G182" s="17" t="n"/>
      <c r="H182" s="4" t="n"/>
      <c r="I182" s="25" t="n"/>
      <c r="J182" s="17" t="n"/>
      <c r="K182" s="19">
        <f>IF(BF182&gt;0,"O Google leu como fórmula: digite de novo com ' na frente.","")</f>
        <v/>
      </c>
      <c r="AQ182" s="2">
        <f>AQ181+IF(LEN($AY$182)&gt;0,1,0)</f>
        <v/>
      </c>
      <c r="AR182" s="2">
        <f>AR181+IF(LEN($BB$182)&gt;0,1,0)</f>
        <v/>
      </c>
      <c r="AS182" s="2">
        <f>AS181+IF(LEN($BE$182)&gt;0,1,0)</f>
        <v/>
      </c>
      <c r="AY182" s="2">
        <f>IF(ISERROR($B$182),"",IF(ISBLANK($B$182),"",$B$182))</f>
        <v/>
      </c>
      <c r="BB182" s="2">
        <f>IF(ISERROR($E$182),"",IF(ISBLANK($E$182),"",$E$182))</f>
        <v/>
      </c>
      <c r="BE182" s="2">
        <f>IF(ISERROR($H$182),"",IF(ISBLANK($H$182),"",$H$182))</f>
        <v/>
      </c>
      <c r="BF182" s="2">
        <f>ISERROR($B$182)*1+ISERROR($E$182)*1+ISERROR($H$182)*1</f>
        <v/>
      </c>
    </row>
    <row r="183" ht="60" customHeight="1">
      <c r="A183" s="21" t="inlineStr">
        <is>
          <t>38</t>
        </is>
      </c>
      <c r="B183" s="29" t="n"/>
      <c r="C183" s="25" t="n"/>
      <c r="D183" s="17" t="n"/>
      <c r="E183" s="29" t="n"/>
      <c r="F183" s="25" t="n"/>
      <c r="G183" s="17" t="n"/>
      <c r="H183" s="29" t="n"/>
      <c r="I183" s="25" t="n"/>
      <c r="J183" s="17" t="n"/>
      <c r="K183" s="19">
        <f>IF(BF183&gt;0,"O Google leu como fórmula: digite de novo com ' na frente.","")</f>
        <v/>
      </c>
      <c r="AQ183" s="2">
        <f>AQ182+IF(LEN($AY$183)&gt;0,1,0)</f>
        <v/>
      </c>
      <c r="AR183" s="2">
        <f>AR182+IF(LEN($BB$183)&gt;0,1,0)</f>
        <v/>
      </c>
      <c r="AS183" s="2">
        <f>AS182+IF(LEN($BE$183)&gt;0,1,0)</f>
        <v/>
      </c>
      <c r="AY183" s="2">
        <f>IF(ISERROR($B$183),"",IF(ISBLANK($B$183),"",$B$183))</f>
        <v/>
      </c>
      <c r="BB183" s="2">
        <f>IF(ISERROR($E$183),"",IF(ISBLANK($E$183),"",$E$183))</f>
        <v/>
      </c>
      <c r="BE183" s="2">
        <f>IF(ISERROR($H$183),"",IF(ISBLANK($H$183),"",$H$183))</f>
        <v/>
      </c>
      <c r="BF183" s="2">
        <f>ISERROR($B$183)*1+ISERROR($E$183)*1+ISERROR($H$183)*1</f>
        <v/>
      </c>
    </row>
    <row r="184" ht="60" customHeight="1">
      <c r="A184" s="9" t="inlineStr">
        <is>
          <t>39</t>
        </is>
      </c>
      <c r="B184" s="4" t="n"/>
      <c r="C184" s="25" t="n"/>
      <c r="D184" s="17" t="n"/>
      <c r="E184" s="4" t="n"/>
      <c r="F184" s="25" t="n"/>
      <c r="G184" s="17" t="n"/>
      <c r="H184" s="4" t="n"/>
      <c r="I184" s="25" t="n"/>
      <c r="J184" s="17" t="n"/>
      <c r="K184" s="19">
        <f>IF(BF184&gt;0,"O Google leu como fórmula: digite de novo com ' na frente.","")</f>
        <v/>
      </c>
      <c r="AQ184" s="2">
        <f>AQ183+IF(LEN($AY$184)&gt;0,1,0)</f>
        <v/>
      </c>
      <c r="AR184" s="2">
        <f>AR183+IF(LEN($BB$184)&gt;0,1,0)</f>
        <v/>
      </c>
      <c r="AS184" s="2">
        <f>AS183+IF(LEN($BE$184)&gt;0,1,0)</f>
        <v/>
      </c>
      <c r="AY184" s="2">
        <f>IF(ISERROR($B$184),"",IF(ISBLANK($B$184),"",$B$184))</f>
        <v/>
      </c>
      <c r="BB184" s="2">
        <f>IF(ISERROR($E$184),"",IF(ISBLANK($E$184),"",$E$184))</f>
        <v/>
      </c>
      <c r="BE184" s="2">
        <f>IF(ISERROR($H$184),"",IF(ISBLANK($H$184),"",$H$184))</f>
        <v/>
      </c>
      <c r="BF184" s="2">
        <f>ISERROR($B$184)*1+ISERROR($E$184)*1+ISERROR($H$184)*1</f>
        <v/>
      </c>
    </row>
    <row r="185">
      <c r="A185" s="8" t="inlineStr">
        <is>
          <t>Vagas 40–52</t>
        </is>
      </c>
      <c r="B185" s="8" t="inlineStr">
        <is>
          <t>Tabela 4</t>
        </is>
      </c>
      <c r="C185" s="20" t="n"/>
      <c r="D185" s="20" t="n"/>
      <c r="E185" s="8" t="inlineStr">
        <is>
          <t>Tabela 5</t>
        </is>
      </c>
      <c r="F185" s="20" t="n"/>
      <c r="G185" s="20" t="n"/>
      <c r="H185" s="8" t="inlineStr">
        <is>
          <t>Tabela 6</t>
        </is>
      </c>
      <c r="I185" s="20" t="n"/>
      <c r="J185" s="20" t="n"/>
      <c r="AQ185" s="2">
        <f>AQ184</f>
        <v/>
      </c>
      <c r="AR185" s="2">
        <f>AR184</f>
        <v/>
      </c>
      <c r="AS185" s="2">
        <f>AS184</f>
        <v/>
      </c>
      <c r="AY185" s="2">
        <f>IF(ISERROR($B$185),"",IF(ISBLANK($B$185),"",$B$185))</f>
        <v/>
      </c>
      <c r="BB185" s="2">
        <f>IF(ISERROR($E$185),"",IF(ISBLANK($E$185),"",$E$185))</f>
        <v/>
      </c>
      <c r="BE185" s="2">
        <f>IF(ISERROR($H$185),"",IF(ISBLANK($H$185),"",$H$185))</f>
        <v/>
      </c>
    </row>
    <row r="186" ht="60" customHeight="1">
      <c r="A186" s="9" t="inlineStr">
        <is>
          <t>40</t>
        </is>
      </c>
      <c r="B186" s="4" t="n"/>
      <c r="C186" s="25" t="n"/>
      <c r="D186" s="17" t="n"/>
      <c r="E186" s="4" t="n"/>
      <c r="F186" s="25" t="n"/>
      <c r="G186" s="17" t="n"/>
      <c r="H186" s="4" t="n"/>
      <c r="I186" s="25" t="n"/>
      <c r="J186" s="17" t="n"/>
      <c r="K186" s="19">
        <f>IF(BF186&gt;0,"O Google leu como fórmula: digite de novo com ' na frente.","")</f>
        <v/>
      </c>
      <c r="AQ186" s="2">
        <f>AQ185+IF(LEN($AY$186)&gt;0,1,0)</f>
        <v/>
      </c>
      <c r="AR186" s="2">
        <f>AR185+IF(LEN($BB$186)&gt;0,1,0)</f>
        <v/>
      </c>
      <c r="AS186" s="2">
        <f>AS185+IF(LEN($BE$186)&gt;0,1,0)</f>
        <v/>
      </c>
      <c r="AY186" s="2">
        <f>IF(ISERROR($B$186),"",IF(ISBLANK($B$186),"",$B$186))</f>
        <v/>
      </c>
      <c r="BB186" s="2">
        <f>IF(ISERROR($E$186),"",IF(ISBLANK($E$186),"",$E$186))</f>
        <v/>
      </c>
      <c r="BE186" s="2">
        <f>IF(ISERROR($H$186),"",IF(ISBLANK($H$186),"",$H$186))</f>
        <v/>
      </c>
      <c r="BF186" s="2">
        <f>ISERROR($B$186)*1+ISERROR($E$186)*1+ISERROR($H$186)*1</f>
        <v/>
      </c>
    </row>
    <row r="187" ht="60" customHeight="1">
      <c r="A187" s="21" t="inlineStr">
        <is>
          <t>41</t>
        </is>
      </c>
      <c r="B187" s="29" t="n"/>
      <c r="C187" s="25" t="n"/>
      <c r="D187" s="17" t="n"/>
      <c r="E187" s="29" t="n"/>
      <c r="F187" s="25" t="n"/>
      <c r="G187" s="17" t="n"/>
      <c r="H187" s="29" t="n"/>
      <c r="I187" s="25" t="n"/>
      <c r="J187" s="17" t="n"/>
      <c r="K187" s="19">
        <f>IF(BF187&gt;0,"O Google leu como fórmula: digite de novo com ' na frente.","")</f>
        <v/>
      </c>
      <c r="AQ187" s="2">
        <f>AQ186+IF(LEN($AY$187)&gt;0,1,0)</f>
        <v/>
      </c>
      <c r="AR187" s="2">
        <f>AR186+IF(LEN($BB$187)&gt;0,1,0)</f>
        <v/>
      </c>
      <c r="AS187" s="2">
        <f>AS186+IF(LEN($BE$187)&gt;0,1,0)</f>
        <v/>
      </c>
      <c r="AY187" s="2">
        <f>IF(ISERROR($B$187),"",IF(ISBLANK($B$187),"",$B$187))</f>
        <v/>
      </c>
      <c r="BB187" s="2">
        <f>IF(ISERROR($E$187),"",IF(ISBLANK($E$187),"",$E$187))</f>
        <v/>
      </c>
      <c r="BE187" s="2">
        <f>IF(ISERROR($H$187),"",IF(ISBLANK($H$187),"",$H$187))</f>
        <v/>
      </c>
      <c r="BF187" s="2">
        <f>ISERROR($B$187)*1+ISERROR($E$187)*1+ISERROR($H$187)*1</f>
        <v/>
      </c>
    </row>
    <row r="188" ht="60" customHeight="1">
      <c r="A188" s="9" t="inlineStr">
        <is>
          <t>42</t>
        </is>
      </c>
      <c r="B188" s="4" t="n"/>
      <c r="C188" s="25" t="n"/>
      <c r="D188" s="17" t="n"/>
      <c r="E188" s="4" t="n"/>
      <c r="F188" s="25" t="n"/>
      <c r="G188" s="17" t="n"/>
      <c r="H188" s="4" t="n"/>
      <c r="I188" s="25" t="n"/>
      <c r="J188" s="17" t="n"/>
      <c r="K188" s="19">
        <f>IF(BF188&gt;0,"O Google leu como fórmula: digite de novo com ' na frente.","")</f>
        <v/>
      </c>
      <c r="AQ188" s="2">
        <f>AQ187+IF(LEN($AY$188)&gt;0,1,0)</f>
        <v/>
      </c>
      <c r="AR188" s="2">
        <f>AR187+IF(LEN($BB$188)&gt;0,1,0)</f>
        <v/>
      </c>
      <c r="AS188" s="2">
        <f>AS187+IF(LEN($BE$188)&gt;0,1,0)</f>
        <v/>
      </c>
      <c r="AY188" s="2">
        <f>IF(ISERROR($B$188),"",IF(ISBLANK($B$188),"",$B$188))</f>
        <v/>
      </c>
      <c r="BB188" s="2">
        <f>IF(ISERROR($E$188),"",IF(ISBLANK($E$188),"",$E$188))</f>
        <v/>
      </c>
      <c r="BE188" s="2">
        <f>IF(ISERROR($H$188),"",IF(ISBLANK($H$188),"",$H$188))</f>
        <v/>
      </c>
      <c r="BF188" s="2">
        <f>ISERROR($B$188)*1+ISERROR($E$188)*1+ISERROR($H$188)*1</f>
        <v/>
      </c>
    </row>
    <row r="189" ht="60" customHeight="1">
      <c r="A189" s="21" t="inlineStr">
        <is>
          <t>43</t>
        </is>
      </c>
      <c r="B189" s="29" t="n"/>
      <c r="C189" s="25" t="n"/>
      <c r="D189" s="17" t="n"/>
      <c r="E189" s="29" t="n"/>
      <c r="F189" s="25" t="n"/>
      <c r="G189" s="17" t="n"/>
      <c r="H189" s="29" t="n"/>
      <c r="I189" s="25" t="n"/>
      <c r="J189" s="17" t="n"/>
      <c r="K189" s="19">
        <f>IF(BF189&gt;0,"O Google leu como fórmula: digite de novo com ' na frente.","")</f>
        <v/>
      </c>
      <c r="AQ189" s="2">
        <f>AQ188+IF(LEN($AY$189)&gt;0,1,0)</f>
        <v/>
      </c>
      <c r="AR189" s="2">
        <f>AR188+IF(LEN($BB$189)&gt;0,1,0)</f>
        <v/>
      </c>
      <c r="AS189" s="2">
        <f>AS188+IF(LEN($BE$189)&gt;0,1,0)</f>
        <v/>
      </c>
      <c r="AY189" s="2">
        <f>IF(ISERROR($B$189),"",IF(ISBLANK($B$189),"",$B$189))</f>
        <v/>
      </c>
      <c r="BB189" s="2">
        <f>IF(ISERROR($E$189),"",IF(ISBLANK($E$189),"",$E$189))</f>
        <v/>
      </c>
      <c r="BE189" s="2">
        <f>IF(ISERROR($H$189),"",IF(ISBLANK($H$189),"",$H$189))</f>
        <v/>
      </c>
      <c r="BF189" s="2">
        <f>ISERROR($B$189)*1+ISERROR($E$189)*1+ISERROR($H$189)*1</f>
        <v/>
      </c>
    </row>
    <row r="190" ht="60" customHeight="1">
      <c r="A190" s="9" t="inlineStr">
        <is>
          <t>44</t>
        </is>
      </c>
      <c r="B190" s="4" t="n"/>
      <c r="C190" s="25" t="n"/>
      <c r="D190" s="17" t="n"/>
      <c r="E190" s="4" t="n"/>
      <c r="F190" s="25" t="n"/>
      <c r="G190" s="17" t="n"/>
      <c r="H190" s="4" t="n"/>
      <c r="I190" s="25" t="n"/>
      <c r="J190" s="17" t="n"/>
      <c r="K190" s="19">
        <f>IF(BF190&gt;0,"O Google leu como fórmula: digite de novo com ' na frente.","")</f>
        <v/>
      </c>
      <c r="AQ190" s="2">
        <f>AQ189+IF(LEN($AY$190)&gt;0,1,0)</f>
        <v/>
      </c>
      <c r="AR190" s="2">
        <f>AR189+IF(LEN($BB$190)&gt;0,1,0)</f>
        <v/>
      </c>
      <c r="AS190" s="2">
        <f>AS189+IF(LEN($BE$190)&gt;0,1,0)</f>
        <v/>
      </c>
      <c r="AY190" s="2">
        <f>IF(ISERROR($B$190),"",IF(ISBLANK($B$190),"",$B$190))</f>
        <v/>
      </c>
      <c r="BB190" s="2">
        <f>IF(ISERROR($E$190),"",IF(ISBLANK($E$190),"",$E$190))</f>
        <v/>
      </c>
      <c r="BE190" s="2">
        <f>IF(ISERROR($H$190),"",IF(ISBLANK($H$190),"",$H$190))</f>
        <v/>
      </c>
      <c r="BF190" s="2">
        <f>ISERROR($B$190)*1+ISERROR($E$190)*1+ISERROR($H$190)*1</f>
        <v/>
      </c>
    </row>
    <row r="191" ht="60" customHeight="1">
      <c r="A191" s="21" t="inlineStr">
        <is>
          <t>45</t>
        </is>
      </c>
      <c r="B191" s="29" t="n"/>
      <c r="C191" s="25" t="n"/>
      <c r="D191" s="17" t="n"/>
      <c r="E191" s="29" t="n"/>
      <c r="F191" s="25" t="n"/>
      <c r="G191" s="17" t="n"/>
      <c r="H191" s="29" t="n"/>
      <c r="I191" s="25" t="n"/>
      <c r="J191" s="17" t="n"/>
      <c r="K191" s="19">
        <f>IF(BF191&gt;0,"O Google leu como fórmula: digite de novo com ' na frente.","")</f>
        <v/>
      </c>
      <c r="AQ191" s="2">
        <f>AQ190+IF(LEN($AY$191)&gt;0,1,0)</f>
        <v/>
      </c>
      <c r="AR191" s="2">
        <f>AR190+IF(LEN($BB$191)&gt;0,1,0)</f>
        <v/>
      </c>
      <c r="AS191" s="2">
        <f>AS190+IF(LEN($BE$191)&gt;0,1,0)</f>
        <v/>
      </c>
      <c r="AY191" s="2">
        <f>IF(ISERROR($B$191),"",IF(ISBLANK($B$191),"",$B$191))</f>
        <v/>
      </c>
      <c r="BB191" s="2">
        <f>IF(ISERROR($E$191),"",IF(ISBLANK($E$191),"",$E$191))</f>
        <v/>
      </c>
      <c r="BE191" s="2">
        <f>IF(ISERROR($H$191),"",IF(ISBLANK($H$191),"",$H$191))</f>
        <v/>
      </c>
      <c r="BF191" s="2">
        <f>ISERROR($B$191)*1+ISERROR($E$191)*1+ISERROR($H$191)*1</f>
        <v/>
      </c>
    </row>
    <row r="192" ht="60" customHeight="1">
      <c r="A192" s="9" t="inlineStr">
        <is>
          <t>46</t>
        </is>
      </c>
      <c r="B192" s="4" t="n"/>
      <c r="C192" s="25" t="n"/>
      <c r="D192" s="17" t="n"/>
      <c r="E192" s="4" t="n"/>
      <c r="F192" s="25" t="n"/>
      <c r="G192" s="17" t="n"/>
      <c r="H192" s="4" t="n"/>
      <c r="I192" s="25" t="n"/>
      <c r="J192" s="17" t="n"/>
      <c r="K192" s="19">
        <f>IF(BF192&gt;0,"O Google leu como fórmula: digite de novo com ' na frente.","")</f>
        <v/>
      </c>
      <c r="AQ192" s="2">
        <f>AQ191+IF(LEN($AY$192)&gt;0,1,0)</f>
        <v/>
      </c>
      <c r="AR192" s="2">
        <f>AR191+IF(LEN($BB$192)&gt;0,1,0)</f>
        <v/>
      </c>
      <c r="AS192" s="2">
        <f>AS191+IF(LEN($BE$192)&gt;0,1,0)</f>
        <v/>
      </c>
      <c r="AY192" s="2">
        <f>IF(ISERROR($B$192),"",IF(ISBLANK($B$192),"",$B$192))</f>
        <v/>
      </c>
      <c r="BB192" s="2">
        <f>IF(ISERROR($E$192),"",IF(ISBLANK($E$192),"",$E$192))</f>
        <v/>
      </c>
      <c r="BE192" s="2">
        <f>IF(ISERROR($H$192),"",IF(ISBLANK($H$192),"",$H$192))</f>
        <v/>
      </c>
      <c r="BF192" s="2">
        <f>ISERROR($B$192)*1+ISERROR($E$192)*1+ISERROR($H$192)*1</f>
        <v/>
      </c>
    </row>
    <row r="193" ht="60" customHeight="1">
      <c r="A193" s="21" t="inlineStr">
        <is>
          <t>47</t>
        </is>
      </c>
      <c r="B193" s="29" t="n"/>
      <c r="C193" s="25" t="n"/>
      <c r="D193" s="17" t="n"/>
      <c r="E193" s="29" t="n"/>
      <c r="F193" s="25" t="n"/>
      <c r="G193" s="17" t="n"/>
      <c r="H193" s="29" t="n"/>
      <c r="I193" s="25" t="n"/>
      <c r="J193" s="17" t="n"/>
      <c r="K193" s="19">
        <f>IF(BF193&gt;0,"O Google leu como fórmula: digite de novo com ' na frente.","")</f>
        <v/>
      </c>
      <c r="AQ193" s="2">
        <f>AQ192+IF(LEN($AY$193)&gt;0,1,0)</f>
        <v/>
      </c>
      <c r="AR193" s="2">
        <f>AR192+IF(LEN($BB$193)&gt;0,1,0)</f>
        <v/>
      </c>
      <c r="AS193" s="2">
        <f>AS192+IF(LEN($BE$193)&gt;0,1,0)</f>
        <v/>
      </c>
      <c r="AY193" s="2">
        <f>IF(ISERROR($B$193),"",IF(ISBLANK($B$193),"",$B$193))</f>
        <v/>
      </c>
      <c r="BB193" s="2">
        <f>IF(ISERROR($E$193),"",IF(ISBLANK($E$193),"",$E$193))</f>
        <v/>
      </c>
      <c r="BE193" s="2">
        <f>IF(ISERROR($H$193),"",IF(ISBLANK($H$193),"",$H$193))</f>
        <v/>
      </c>
      <c r="BF193" s="2">
        <f>ISERROR($B$193)*1+ISERROR($E$193)*1+ISERROR($H$193)*1</f>
        <v/>
      </c>
    </row>
    <row r="194" ht="60" customHeight="1">
      <c r="A194" s="9" t="inlineStr">
        <is>
          <t>48</t>
        </is>
      </c>
      <c r="B194" s="4" t="n"/>
      <c r="C194" s="25" t="n"/>
      <c r="D194" s="17" t="n"/>
      <c r="E194" s="4" t="n"/>
      <c r="F194" s="25" t="n"/>
      <c r="G194" s="17" t="n"/>
      <c r="H194" s="4" t="n"/>
      <c r="I194" s="25" t="n"/>
      <c r="J194" s="17" t="n"/>
      <c r="K194" s="19">
        <f>IF(BF194&gt;0,"O Google leu como fórmula: digite de novo com ' na frente.","")</f>
        <v/>
      </c>
      <c r="AQ194" s="2">
        <f>AQ193+IF(LEN($AY$194)&gt;0,1,0)</f>
        <v/>
      </c>
      <c r="AR194" s="2">
        <f>AR193+IF(LEN($BB$194)&gt;0,1,0)</f>
        <v/>
      </c>
      <c r="AS194" s="2">
        <f>AS193+IF(LEN($BE$194)&gt;0,1,0)</f>
        <v/>
      </c>
      <c r="AY194" s="2">
        <f>IF(ISERROR($B$194),"",IF(ISBLANK($B$194),"",$B$194))</f>
        <v/>
      </c>
      <c r="BB194" s="2">
        <f>IF(ISERROR($E$194),"",IF(ISBLANK($E$194),"",$E$194))</f>
        <v/>
      </c>
      <c r="BE194" s="2">
        <f>IF(ISERROR($H$194),"",IF(ISBLANK($H$194),"",$H$194))</f>
        <v/>
      </c>
      <c r="BF194" s="2">
        <f>ISERROR($B$194)*1+ISERROR($E$194)*1+ISERROR($H$194)*1</f>
        <v/>
      </c>
    </row>
    <row r="195" ht="60" customHeight="1">
      <c r="A195" s="21" t="inlineStr">
        <is>
          <t>49</t>
        </is>
      </c>
      <c r="B195" s="29" t="n"/>
      <c r="C195" s="25" t="n"/>
      <c r="D195" s="17" t="n"/>
      <c r="E195" s="29" t="n"/>
      <c r="F195" s="25" t="n"/>
      <c r="G195" s="17" t="n"/>
      <c r="H195" s="29" t="n"/>
      <c r="I195" s="25" t="n"/>
      <c r="J195" s="17" t="n"/>
      <c r="K195" s="19">
        <f>IF(BF195&gt;0,"O Google leu como fórmula: digite de novo com ' na frente.","")</f>
        <v/>
      </c>
      <c r="AQ195" s="2">
        <f>AQ194+IF(LEN($AY$195)&gt;0,1,0)</f>
        <v/>
      </c>
      <c r="AR195" s="2">
        <f>AR194+IF(LEN($BB$195)&gt;0,1,0)</f>
        <v/>
      </c>
      <c r="AS195" s="2">
        <f>AS194+IF(LEN($BE$195)&gt;0,1,0)</f>
        <v/>
      </c>
      <c r="AY195" s="2">
        <f>IF(ISERROR($B$195),"",IF(ISBLANK($B$195),"",$B$195))</f>
        <v/>
      </c>
      <c r="BB195" s="2">
        <f>IF(ISERROR($E$195),"",IF(ISBLANK($E$195),"",$E$195))</f>
        <v/>
      </c>
      <c r="BE195" s="2">
        <f>IF(ISERROR($H$195),"",IF(ISBLANK($H$195),"",$H$195))</f>
        <v/>
      </c>
      <c r="BF195" s="2">
        <f>ISERROR($B$195)*1+ISERROR($E$195)*1+ISERROR($H$195)*1</f>
        <v/>
      </c>
    </row>
    <row r="196" ht="60" customHeight="1">
      <c r="A196" s="9" t="inlineStr">
        <is>
          <t>50</t>
        </is>
      </c>
      <c r="B196" s="4" t="n"/>
      <c r="C196" s="25" t="n"/>
      <c r="D196" s="17" t="n"/>
      <c r="E196" s="4" t="n"/>
      <c r="F196" s="25" t="n"/>
      <c r="G196" s="17" t="n"/>
      <c r="H196" s="4" t="n"/>
      <c r="I196" s="25" t="n"/>
      <c r="J196" s="17" t="n"/>
      <c r="K196" s="19">
        <f>IF(BF196&gt;0,"O Google leu como fórmula: digite de novo com ' na frente.","")</f>
        <v/>
      </c>
      <c r="AQ196" s="2">
        <f>AQ195+IF(LEN($AY$196)&gt;0,1,0)</f>
        <v/>
      </c>
      <c r="AR196" s="2">
        <f>AR195+IF(LEN($BB$196)&gt;0,1,0)</f>
        <v/>
      </c>
      <c r="AS196" s="2">
        <f>AS195+IF(LEN($BE$196)&gt;0,1,0)</f>
        <v/>
      </c>
      <c r="AY196" s="2">
        <f>IF(ISERROR($B$196),"",IF(ISBLANK($B$196),"",$B$196))</f>
        <v/>
      </c>
      <c r="BB196" s="2">
        <f>IF(ISERROR($E$196),"",IF(ISBLANK($E$196),"",$E$196))</f>
        <v/>
      </c>
      <c r="BE196" s="2">
        <f>IF(ISERROR($H$196),"",IF(ISBLANK($H$196),"",$H$196))</f>
        <v/>
      </c>
      <c r="BF196" s="2">
        <f>ISERROR($B$196)*1+ISERROR($E$196)*1+ISERROR($H$196)*1</f>
        <v/>
      </c>
    </row>
    <row r="197" ht="60" customHeight="1">
      <c r="A197" s="21" t="inlineStr">
        <is>
          <t>51</t>
        </is>
      </c>
      <c r="B197" s="29" t="n"/>
      <c r="C197" s="25" t="n"/>
      <c r="D197" s="17" t="n"/>
      <c r="E197" s="29" t="n"/>
      <c r="F197" s="25" t="n"/>
      <c r="G197" s="17" t="n"/>
      <c r="H197" s="29" t="n"/>
      <c r="I197" s="25" t="n"/>
      <c r="J197" s="17" t="n"/>
      <c r="K197" s="19">
        <f>IF(BF197&gt;0,"O Google leu como fórmula: digite de novo com ' na frente.","")</f>
        <v/>
      </c>
      <c r="AQ197" s="2">
        <f>AQ196+IF(LEN($AY$197)&gt;0,1,0)</f>
        <v/>
      </c>
      <c r="AR197" s="2">
        <f>AR196+IF(LEN($BB$197)&gt;0,1,0)</f>
        <v/>
      </c>
      <c r="AS197" s="2">
        <f>AS196+IF(LEN($BE$197)&gt;0,1,0)</f>
        <v/>
      </c>
      <c r="AY197" s="2">
        <f>IF(ISERROR($B$197),"",IF(ISBLANK($B$197),"",$B$197))</f>
        <v/>
      </c>
      <c r="BB197" s="2">
        <f>IF(ISERROR($E$197),"",IF(ISBLANK($E$197),"",$E$197))</f>
        <v/>
      </c>
      <c r="BE197" s="2">
        <f>IF(ISERROR($H$197),"",IF(ISBLANK($H$197),"",$H$197))</f>
        <v/>
      </c>
      <c r="BF197" s="2">
        <f>ISERROR($B$197)*1+ISERROR($E$197)*1+ISERROR($H$197)*1</f>
        <v/>
      </c>
    </row>
    <row r="198" ht="60" customHeight="1">
      <c r="A198" s="9" t="inlineStr">
        <is>
          <t>52</t>
        </is>
      </c>
      <c r="B198" s="4" t="n"/>
      <c r="C198" s="25" t="n"/>
      <c r="D198" s="17" t="n"/>
      <c r="E198" s="4" t="n"/>
      <c r="F198" s="25" t="n"/>
      <c r="G198" s="17" t="n"/>
      <c r="H198" s="4" t="n"/>
      <c r="I198" s="25" t="n"/>
      <c r="J198" s="17" t="n"/>
      <c r="K198" s="19">
        <f>IF(BF198&gt;0,"O Google leu como fórmula: digite de novo com ' na frente.","")</f>
        <v/>
      </c>
      <c r="AQ198" s="2">
        <f>AQ197+IF(LEN($AY$198)&gt;0,1,0)</f>
        <v/>
      </c>
      <c r="AR198" s="2">
        <f>AR197+IF(LEN($BB$198)&gt;0,1,0)</f>
        <v/>
      </c>
      <c r="AS198" s="2">
        <f>AS197+IF(LEN($BE$198)&gt;0,1,0)</f>
        <v/>
      </c>
      <c r="AY198" s="2">
        <f>IF(ISERROR($B$198),"",IF(ISBLANK($B$198),"",$B$198))</f>
        <v/>
      </c>
      <c r="BB198" s="2">
        <f>IF(ISERROR($E$198),"",IF(ISBLANK($E$198),"",$E$198))</f>
        <v/>
      </c>
      <c r="BE198" s="2">
        <f>IF(ISERROR($H$198),"",IF(ISBLANK($H$198),"",$H$198))</f>
        <v/>
      </c>
      <c r="BF198" s="2">
        <f>ISERROR($B$198)*1+ISERROR($E$198)*1+ISERROR($H$198)*1</f>
        <v/>
      </c>
    </row>
    <row r="199">
      <c r="A199" s="8" t="inlineStr">
        <is>
          <t>Vagas 53–65</t>
        </is>
      </c>
      <c r="B199" s="8" t="inlineStr">
        <is>
          <t>Tabela 4</t>
        </is>
      </c>
      <c r="C199" s="20" t="n"/>
      <c r="D199" s="20" t="n"/>
      <c r="E199" s="8" t="inlineStr">
        <is>
          <t>Tabela 5</t>
        </is>
      </c>
      <c r="F199" s="20" t="n"/>
      <c r="G199" s="20" t="n"/>
      <c r="H199" s="8" t="inlineStr">
        <is>
          <t>Tabela 6</t>
        </is>
      </c>
      <c r="I199" s="20" t="n"/>
      <c r="J199" s="20" t="n"/>
      <c r="AQ199" s="2">
        <f>AQ198</f>
        <v/>
      </c>
      <c r="AR199" s="2">
        <f>AR198</f>
        <v/>
      </c>
      <c r="AS199" s="2">
        <f>AS198</f>
        <v/>
      </c>
      <c r="AY199" s="2">
        <f>IF(ISERROR($B$199),"",IF(ISBLANK($B$199),"",$B$199))</f>
        <v/>
      </c>
      <c r="BB199" s="2">
        <f>IF(ISERROR($E$199),"",IF(ISBLANK($E$199),"",$E$199))</f>
        <v/>
      </c>
      <c r="BE199" s="2">
        <f>IF(ISERROR($H$199),"",IF(ISBLANK($H$199),"",$H$199))</f>
        <v/>
      </c>
    </row>
    <row r="200" ht="60" customHeight="1">
      <c r="A200" s="9" t="inlineStr">
        <is>
          <t>53</t>
        </is>
      </c>
      <c r="B200" s="4" t="n"/>
      <c r="C200" s="25" t="n"/>
      <c r="D200" s="17" t="n"/>
      <c r="E200" s="4" t="n"/>
      <c r="F200" s="25" t="n"/>
      <c r="G200" s="17" t="n"/>
      <c r="H200" s="4" t="n"/>
      <c r="I200" s="25" t="n"/>
      <c r="J200" s="17" t="n"/>
      <c r="K200" s="19">
        <f>IF(BF200&gt;0,"O Google leu como fórmula: digite de novo com ' na frente.","")</f>
        <v/>
      </c>
      <c r="AQ200" s="2">
        <f>AQ199+IF(LEN($AY$200)&gt;0,1,0)</f>
        <v/>
      </c>
      <c r="AR200" s="2">
        <f>AR199+IF(LEN($BB$200)&gt;0,1,0)</f>
        <v/>
      </c>
      <c r="AS200" s="2">
        <f>AS199+IF(LEN($BE$200)&gt;0,1,0)</f>
        <v/>
      </c>
      <c r="AY200" s="2">
        <f>IF(ISERROR($B$200),"",IF(ISBLANK($B$200),"",$B$200))</f>
        <v/>
      </c>
      <c r="BB200" s="2">
        <f>IF(ISERROR($E$200),"",IF(ISBLANK($E$200),"",$E$200))</f>
        <v/>
      </c>
      <c r="BE200" s="2">
        <f>IF(ISERROR($H$200),"",IF(ISBLANK($H$200),"",$H$200))</f>
        <v/>
      </c>
      <c r="BF200" s="2">
        <f>ISERROR($B$200)*1+ISERROR($E$200)*1+ISERROR($H$200)*1</f>
        <v/>
      </c>
    </row>
    <row r="201" ht="60" customHeight="1">
      <c r="A201" s="21" t="inlineStr">
        <is>
          <t>54</t>
        </is>
      </c>
      <c r="B201" s="29" t="n"/>
      <c r="C201" s="25" t="n"/>
      <c r="D201" s="17" t="n"/>
      <c r="E201" s="29" t="n"/>
      <c r="F201" s="25" t="n"/>
      <c r="G201" s="17" t="n"/>
      <c r="H201" s="29" t="n"/>
      <c r="I201" s="25" t="n"/>
      <c r="J201" s="17" t="n"/>
      <c r="K201" s="19">
        <f>IF(BF201&gt;0,"O Google leu como fórmula: digite de novo com ' na frente.","")</f>
        <v/>
      </c>
      <c r="AQ201" s="2">
        <f>AQ200+IF(LEN($AY$201)&gt;0,1,0)</f>
        <v/>
      </c>
      <c r="AR201" s="2">
        <f>AR200+IF(LEN($BB$201)&gt;0,1,0)</f>
        <v/>
      </c>
      <c r="AS201" s="2">
        <f>AS200+IF(LEN($BE$201)&gt;0,1,0)</f>
        <v/>
      </c>
      <c r="AY201" s="2">
        <f>IF(ISERROR($B$201),"",IF(ISBLANK($B$201),"",$B$201))</f>
        <v/>
      </c>
      <c r="BB201" s="2">
        <f>IF(ISERROR($E$201),"",IF(ISBLANK($E$201),"",$E$201))</f>
        <v/>
      </c>
      <c r="BE201" s="2">
        <f>IF(ISERROR($H$201),"",IF(ISBLANK($H$201),"",$H$201))</f>
        <v/>
      </c>
      <c r="BF201" s="2">
        <f>ISERROR($B$201)*1+ISERROR($E$201)*1+ISERROR($H$201)*1</f>
        <v/>
      </c>
    </row>
    <row r="202" ht="60" customHeight="1">
      <c r="A202" s="9" t="inlineStr">
        <is>
          <t>55</t>
        </is>
      </c>
      <c r="B202" s="4" t="n"/>
      <c r="C202" s="25" t="n"/>
      <c r="D202" s="17" t="n"/>
      <c r="E202" s="4" t="n"/>
      <c r="F202" s="25" t="n"/>
      <c r="G202" s="17" t="n"/>
      <c r="H202" s="4" t="n"/>
      <c r="I202" s="25" t="n"/>
      <c r="J202" s="17" t="n"/>
      <c r="K202" s="19">
        <f>IF(BF202&gt;0,"O Google leu como fórmula: digite de novo com ' na frente.","")</f>
        <v/>
      </c>
      <c r="AQ202" s="2">
        <f>AQ201+IF(LEN($AY$202)&gt;0,1,0)</f>
        <v/>
      </c>
      <c r="AR202" s="2">
        <f>AR201+IF(LEN($BB$202)&gt;0,1,0)</f>
        <v/>
      </c>
      <c r="AS202" s="2">
        <f>AS201+IF(LEN($BE$202)&gt;0,1,0)</f>
        <v/>
      </c>
      <c r="AY202" s="2">
        <f>IF(ISERROR($B$202),"",IF(ISBLANK($B$202),"",$B$202))</f>
        <v/>
      </c>
      <c r="BB202" s="2">
        <f>IF(ISERROR($E$202),"",IF(ISBLANK($E$202),"",$E$202))</f>
        <v/>
      </c>
      <c r="BE202" s="2">
        <f>IF(ISERROR($H$202),"",IF(ISBLANK($H$202),"",$H$202))</f>
        <v/>
      </c>
      <c r="BF202" s="2">
        <f>ISERROR($B$202)*1+ISERROR($E$202)*1+ISERROR($H$202)*1</f>
        <v/>
      </c>
    </row>
    <row r="203" ht="60" customHeight="1">
      <c r="A203" s="21" t="inlineStr">
        <is>
          <t>56</t>
        </is>
      </c>
      <c r="B203" s="29" t="n"/>
      <c r="C203" s="25" t="n"/>
      <c r="D203" s="17" t="n"/>
      <c r="E203" s="29" t="n"/>
      <c r="F203" s="25" t="n"/>
      <c r="G203" s="17" t="n"/>
      <c r="H203" s="29" t="n"/>
      <c r="I203" s="25" t="n"/>
      <c r="J203" s="17" t="n"/>
      <c r="K203" s="19">
        <f>IF(BF203&gt;0,"O Google leu como fórmula: digite de novo com ' na frente.","")</f>
        <v/>
      </c>
      <c r="AQ203" s="2">
        <f>AQ202+IF(LEN($AY$203)&gt;0,1,0)</f>
        <v/>
      </c>
      <c r="AR203" s="2">
        <f>AR202+IF(LEN($BB$203)&gt;0,1,0)</f>
        <v/>
      </c>
      <c r="AS203" s="2">
        <f>AS202+IF(LEN($BE$203)&gt;0,1,0)</f>
        <v/>
      </c>
      <c r="AY203" s="2">
        <f>IF(ISERROR($B$203),"",IF(ISBLANK($B$203),"",$B$203))</f>
        <v/>
      </c>
      <c r="BB203" s="2">
        <f>IF(ISERROR($E$203),"",IF(ISBLANK($E$203),"",$E$203))</f>
        <v/>
      </c>
      <c r="BE203" s="2">
        <f>IF(ISERROR($H$203),"",IF(ISBLANK($H$203),"",$H$203))</f>
        <v/>
      </c>
      <c r="BF203" s="2">
        <f>ISERROR($B$203)*1+ISERROR($E$203)*1+ISERROR($H$203)*1</f>
        <v/>
      </c>
    </row>
    <row r="204" ht="60" customHeight="1">
      <c r="A204" s="9" t="inlineStr">
        <is>
          <t>57</t>
        </is>
      </c>
      <c r="B204" s="4" t="n"/>
      <c r="C204" s="25" t="n"/>
      <c r="D204" s="17" t="n"/>
      <c r="E204" s="4" t="n"/>
      <c r="F204" s="25" t="n"/>
      <c r="G204" s="17" t="n"/>
      <c r="H204" s="4" t="n"/>
      <c r="I204" s="25" t="n"/>
      <c r="J204" s="17" t="n"/>
      <c r="K204" s="19">
        <f>IF(BF204&gt;0,"O Google leu como fórmula: digite de novo com ' na frente.","")</f>
        <v/>
      </c>
      <c r="AQ204" s="2">
        <f>AQ203+IF(LEN($AY$204)&gt;0,1,0)</f>
        <v/>
      </c>
      <c r="AR204" s="2">
        <f>AR203+IF(LEN($BB$204)&gt;0,1,0)</f>
        <v/>
      </c>
      <c r="AS204" s="2">
        <f>AS203+IF(LEN($BE$204)&gt;0,1,0)</f>
        <v/>
      </c>
      <c r="AY204" s="2">
        <f>IF(ISERROR($B$204),"",IF(ISBLANK($B$204),"",$B$204))</f>
        <v/>
      </c>
      <c r="BB204" s="2">
        <f>IF(ISERROR($E$204),"",IF(ISBLANK($E$204),"",$E$204))</f>
        <v/>
      </c>
      <c r="BE204" s="2">
        <f>IF(ISERROR($H$204),"",IF(ISBLANK($H$204),"",$H$204))</f>
        <v/>
      </c>
      <c r="BF204" s="2">
        <f>ISERROR($B$204)*1+ISERROR($E$204)*1+ISERROR($H$204)*1</f>
        <v/>
      </c>
    </row>
    <row r="205" ht="71" customHeight="1">
      <c r="A205" s="21" t="inlineStr">
        <is>
          <t>58</t>
        </is>
      </c>
      <c r="B205" s="29" t="n"/>
      <c r="C205" s="25" t="n"/>
      <c r="D205" s="17" t="n"/>
      <c r="E205" s="29" t="n"/>
      <c r="F205" s="25" t="n"/>
      <c r="G205" s="17" t="n"/>
      <c r="H205" s="29" t="n"/>
      <c r="I205" s="25" t="n"/>
      <c r="J205" s="17" t="n"/>
      <c r="K205" s="19">
        <f>IF(BF205&gt;0,"O Google leu como fórmula: digite de novo com ' na frente.","")</f>
        <v/>
      </c>
      <c r="AQ205" s="2">
        <f>AQ204+IF(LEN($AY$205)&gt;0,1,0)</f>
        <v/>
      </c>
      <c r="AR205" s="2">
        <f>AR204+IF(LEN($BB$205)&gt;0,1,0)</f>
        <v/>
      </c>
      <c r="AS205" s="2">
        <f>AS204+IF(LEN($BE$205)&gt;0,1,0)</f>
        <v/>
      </c>
      <c r="AY205" s="2">
        <f>IF(ISERROR($B$205),"",IF(ISBLANK($B$205),"",$B$205))</f>
        <v/>
      </c>
      <c r="BB205" s="2">
        <f>IF(ISERROR($E$205),"",IF(ISBLANK($E$205),"",$E$205))</f>
        <v/>
      </c>
      <c r="BE205" s="2">
        <f>IF(ISERROR($H$205),"",IF(ISBLANK($H$205),"",$H$205))</f>
        <v/>
      </c>
      <c r="BF205" s="2">
        <f>ISERROR($B$205)*1+ISERROR($E$205)*1+ISERROR($H$205)*1</f>
        <v/>
      </c>
    </row>
    <row r="206" ht="60" customHeight="1">
      <c r="A206" s="9" t="inlineStr">
        <is>
          <t>59</t>
        </is>
      </c>
      <c r="B206" s="4" t="n"/>
      <c r="C206" s="25" t="n"/>
      <c r="D206" s="17" t="n"/>
      <c r="E206" s="4" t="n"/>
      <c r="F206" s="25" t="n"/>
      <c r="G206" s="17" t="n"/>
      <c r="H206" s="4" t="n"/>
      <c r="I206" s="25" t="n"/>
      <c r="J206" s="17" t="n"/>
      <c r="K206" s="19">
        <f>IF(BF206&gt;0,"O Google leu como fórmula: digite de novo com ' na frente.","")</f>
        <v/>
      </c>
      <c r="AQ206" s="2">
        <f>AQ205+IF(LEN($AY$206)&gt;0,1,0)</f>
        <v/>
      </c>
      <c r="AR206" s="2">
        <f>AR205+IF(LEN($BB$206)&gt;0,1,0)</f>
        <v/>
      </c>
      <c r="AS206" s="2">
        <f>AS205+IF(LEN($BE$206)&gt;0,1,0)</f>
        <v/>
      </c>
      <c r="AY206" s="2">
        <f>IF(ISERROR($B$206),"",IF(ISBLANK($B$206),"",$B$206))</f>
        <v/>
      </c>
      <c r="BB206" s="2">
        <f>IF(ISERROR($E$206),"",IF(ISBLANK($E$206),"",$E$206))</f>
        <v/>
      </c>
      <c r="BE206" s="2">
        <f>IF(ISERROR($H$206),"",IF(ISBLANK($H$206),"",$H$206))</f>
        <v/>
      </c>
      <c r="BF206" s="2">
        <f>ISERROR($B$206)*1+ISERROR($E$206)*1+ISERROR($H$206)*1</f>
        <v/>
      </c>
    </row>
    <row r="207" ht="60" customHeight="1">
      <c r="A207" s="21" t="inlineStr">
        <is>
          <t>60</t>
        </is>
      </c>
      <c r="B207" s="29" t="n"/>
      <c r="C207" s="25" t="n"/>
      <c r="D207" s="17" t="n"/>
      <c r="E207" s="29" t="n"/>
      <c r="F207" s="25" t="n"/>
      <c r="G207" s="17" t="n"/>
      <c r="H207" s="29" t="n"/>
      <c r="I207" s="25" t="n"/>
      <c r="J207" s="17" t="n"/>
      <c r="K207" s="19">
        <f>IF(BF207&gt;0,"O Google leu como fórmula: digite de novo com ' na frente.","")</f>
        <v/>
      </c>
      <c r="AQ207" s="2">
        <f>AQ206+IF(LEN($AY$207)&gt;0,1,0)</f>
        <v/>
      </c>
      <c r="AR207" s="2">
        <f>AR206+IF(LEN($BB$207)&gt;0,1,0)</f>
        <v/>
      </c>
      <c r="AS207" s="2">
        <f>AS206+IF(LEN($BE$207)&gt;0,1,0)</f>
        <v/>
      </c>
      <c r="AY207" s="2">
        <f>IF(ISERROR($B$207),"",IF(ISBLANK($B$207),"",$B$207))</f>
        <v/>
      </c>
      <c r="BB207" s="2">
        <f>IF(ISERROR($E$207),"",IF(ISBLANK($E$207),"",$E$207))</f>
        <v/>
      </c>
      <c r="BE207" s="2">
        <f>IF(ISERROR($H$207),"",IF(ISBLANK($H$207),"",$H$207))</f>
        <v/>
      </c>
      <c r="BF207" s="2">
        <f>ISERROR($B$207)*1+ISERROR($E$207)*1+ISERROR($H$207)*1</f>
        <v/>
      </c>
    </row>
    <row r="208" ht="60" customHeight="1">
      <c r="A208" s="9" t="inlineStr">
        <is>
          <t>61</t>
        </is>
      </c>
      <c r="B208" s="4" t="n"/>
      <c r="C208" s="25" t="n"/>
      <c r="D208" s="17" t="n"/>
      <c r="E208" s="4" t="n"/>
      <c r="F208" s="25" t="n"/>
      <c r="G208" s="17" t="n"/>
      <c r="H208" s="4" t="n"/>
      <c r="I208" s="25" t="n"/>
      <c r="J208" s="17" t="n"/>
      <c r="K208" s="19">
        <f>IF(BF208&gt;0,"O Google leu como fórmula: digite de novo com ' na frente.","")</f>
        <v/>
      </c>
      <c r="AQ208" s="2">
        <f>AQ207+IF(LEN($AY$208)&gt;0,1,0)</f>
        <v/>
      </c>
      <c r="AR208" s="2">
        <f>AR207+IF(LEN($BB$208)&gt;0,1,0)</f>
        <v/>
      </c>
      <c r="AS208" s="2">
        <f>AS207+IF(LEN($BE$208)&gt;0,1,0)</f>
        <v/>
      </c>
      <c r="AY208" s="2">
        <f>IF(ISERROR($B$208),"",IF(ISBLANK($B$208),"",$B$208))</f>
        <v/>
      </c>
      <c r="BB208" s="2">
        <f>IF(ISERROR($E$208),"",IF(ISBLANK($E$208),"",$E$208))</f>
        <v/>
      </c>
      <c r="BE208" s="2">
        <f>IF(ISERROR($H$208),"",IF(ISBLANK($H$208),"",$H$208))</f>
        <v/>
      </c>
      <c r="BF208" s="2">
        <f>ISERROR($B$208)*1+ISERROR($E$208)*1+ISERROR($H$208)*1</f>
        <v/>
      </c>
    </row>
    <row r="209" ht="60" customHeight="1">
      <c r="A209" s="21" t="inlineStr">
        <is>
          <t>62</t>
        </is>
      </c>
      <c r="B209" s="29" t="n"/>
      <c r="C209" s="25" t="n"/>
      <c r="D209" s="17" t="n"/>
      <c r="E209" s="29" t="n"/>
      <c r="F209" s="25" t="n"/>
      <c r="G209" s="17" t="n"/>
      <c r="H209" s="29" t="n"/>
      <c r="I209" s="25" t="n"/>
      <c r="J209" s="17" t="n"/>
      <c r="K209" s="19">
        <f>IF(BF209&gt;0,"O Google leu como fórmula: digite de novo com ' na frente.","")</f>
        <v/>
      </c>
      <c r="AQ209" s="2">
        <f>AQ208+IF(LEN($AY$209)&gt;0,1,0)</f>
        <v/>
      </c>
      <c r="AR209" s="2">
        <f>AR208+IF(LEN($BB$209)&gt;0,1,0)</f>
        <v/>
      </c>
      <c r="AS209" s="2">
        <f>AS208+IF(LEN($BE$209)&gt;0,1,0)</f>
        <v/>
      </c>
      <c r="AY209" s="2">
        <f>IF(ISERROR($B$209),"",IF(ISBLANK($B$209),"",$B$209))</f>
        <v/>
      </c>
      <c r="BB209" s="2">
        <f>IF(ISERROR($E$209),"",IF(ISBLANK($E$209),"",$E$209))</f>
        <v/>
      </c>
      <c r="BE209" s="2">
        <f>IF(ISERROR($H$209),"",IF(ISBLANK($H$209),"",$H$209))</f>
        <v/>
      </c>
      <c r="BF209" s="2">
        <f>ISERROR($B$209)*1+ISERROR($E$209)*1+ISERROR($H$209)*1</f>
        <v/>
      </c>
    </row>
    <row r="210" ht="60" customHeight="1">
      <c r="A210" s="9" t="inlineStr">
        <is>
          <t>63</t>
        </is>
      </c>
      <c r="B210" s="4" t="n"/>
      <c r="C210" s="25" t="n"/>
      <c r="D210" s="17" t="n"/>
      <c r="E210" s="4" t="n"/>
      <c r="F210" s="25" t="n"/>
      <c r="G210" s="17" t="n"/>
      <c r="H210" s="4" t="n"/>
      <c r="I210" s="25" t="n"/>
      <c r="J210" s="17" t="n"/>
      <c r="K210" s="19">
        <f>IF(BF210&gt;0,"O Google leu como fórmula: digite de novo com ' na frente.","")</f>
        <v/>
      </c>
      <c r="AQ210" s="2">
        <f>AQ209+IF(LEN($AY$210)&gt;0,1,0)</f>
        <v/>
      </c>
      <c r="AR210" s="2">
        <f>AR209+IF(LEN($BB$210)&gt;0,1,0)</f>
        <v/>
      </c>
      <c r="AS210" s="2">
        <f>AS209+IF(LEN($BE$210)&gt;0,1,0)</f>
        <v/>
      </c>
      <c r="AY210" s="2">
        <f>IF(ISERROR($B$210),"",IF(ISBLANK($B$210),"",$B$210))</f>
        <v/>
      </c>
      <c r="BB210" s="2">
        <f>IF(ISERROR($E$210),"",IF(ISBLANK($E$210),"",$E$210))</f>
        <v/>
      </c>
      <c r="BE210" s="2">
        <f>IF(ISERROR($H$210),"",IF(ISBLANK($H$210),"",$H$210))</f>
        <v/>
      </c>
      <c r="BF210" s="2">
        <f>ISERROR($B$210)*1+ISERROR($E$210)*1+ISERROR($H$210)*1</f>
        <v/>
      </c>
    </row>
    <row r="211" ht="60" customHeight="1">
      <c r="A211" s="21" t="inlineStr">
        <is>
          <t>64</t>
        </is>
      </c>
      <c r="B211" s="29" t="n"/>
      <c r="C211" s="25" t="n"/>
      <c r="D211" s="17" t="n"/>
      <c r="E211" s="29" t="n"/>
      <c r="F211" s="25" t="n"/>
      <c r="G211" s="17" t="n"/>
      <c r="H211" s="29" t="n"/>
      <c r="I211" s="25" t="n"/>
      <c r="J211" s="17" t="n"/>
      <c r="K211" s="19">
        <f>IF(BF211&gt;0,"O Google leu como fórmula: digite de novo com ' na frente.","")</f>
        <v/>
      </c>
      <c r="AQ211" s="2">
        <f>AQ210+IF(LEN($AY$211)&gt;0,1,0)</f>
        <v/>
      </c>
      <c r="AR211" s="2">
        <f>AR210+IF(LEN($BB$211)&gt;0,1,0)</f>
        <v/>
      </c>
      <c r="AS211" s="2">
        <f>AS210+IF(LEN($BE$211)&gt;0,1,0)</f>
        <v/>
      </c>
      <c r="AY211" s="2">
        <f>IF(ISERROR($B$211),"",IF(ISBLANK($B$211),"",$B$211))</f>
        <v/>
      </c>
      <c r="BB211" s="2">
        <f>IF(ISERROR($E$211),"",IF(ISBLANK($E$211),"",$E$211))</f>
        <v/>
      </c>
      <c r="BE211" s="2">
        <f>IF(ISERROR($H$211),"",IF(ISBLANK($H$211),"",$H$211))</f>
        <v/>
      </c>
      <c r="BF211" s="2">
        <f>ISERROR($B$211)*1+ISERROR($E$211)*1+ISERROR($H$211)*1</f>
        <v/>
      </c>
    </row>
    <row r="212" ht="60" customHeight="1">
      <c r="A212" s="9" t="inlineStr">
        <is>
          <t>65</t>
        </is>
      </c>
      <c r="B212" s="4" t="n"/>
      <c r="C212" s="25" t="n"/>
      <c r="D212" s="17" t="n"/>
      <c r="E212" s="4" t="n"/>
      <c r="F212" s="25" t="n"/>
      <c r="G212" s="17" t="n"/>
      <c r="H212" s="4" t="n"/>
      <c r="I212" s="25" t="n"/>
      <c r="J212" s="17" t="n"/>
      <c r="K212" s="19">
        <f>IF(BF212&gt;0,"O Google leu como fórmula: digite de novo com ' na frente.","")</f>
        <v/>
      </c>
      <c r="AQ212" s="2">
        <f>AQ211+IF(LEN($AY$212)&gt;0,1,0)</f>
        <v/>
      </c>
      <c r="AR212" s="2">
        <f>AR211+IF(LEN($BB$212)&gt;0,1,0)</f>
        <v/>
      </c>
      <c r="AS212" s="2">
        <f>AS211+IF(LEN($BE$212)&gt;0,1,0)</f>
        <v/>
      </c>
      <c r="AY212" s="2">
        <f>IF(ISERROR($B$212),"",IF(ISBLANK($B$212),"",$B$212))</f>
        <v/>
      </c>
      <c r="BB212" s="2">
        <f>IF(ISERROR($E$212),"",IF(ISBLANK($E$212),"",$E$212))</f>
        <v/>
      </c>
      <c r="BE212" s="2">
        <f>IF(ISERROR($H$212),"",IF(ISBLANK($H$212),"",$H$212))</f>
        <v/>
      </c>
      <c r="BF212" s="2">
        <f>ISERROR($B$212)*1+ISERROR($E$212)*1+ISERROR($H$212)*1</f>
        <v/>
      </c>
    </row>
    <row r="213">
      <c r="A213" s="8" t="inlineStr">
        <is>
          <t>Vagas 66–78</t>
        </is>
      </c>
      <c r="B213" s="8" t="inlineStr">
        <is>
          <t>Tabela 4</t>
        </is>
      </c>
      <c r="C213" s="20" t="n"/>
      <c r="D213" s="20" t="n"/>
      <c r="E213" s="8" t="inlineStr">
        <is>
          <t>Tabela 5</t>
        </is>
      </c>
      <c r="F213" s="20" t="n"/>
      <c r="G213" s="20" t="n"/>
      <c r="H213" s="8" t="inlineStr">
        <is>
          <t>Tabela 6</t>
        </is>
      </c>
      <c r="I213" s="20" t="n"/>
      <c r="J213" s="20" t="n"/>
      <c r="AQ213" s="2">
        <f>AQ212</f>
        <v/>
      </c>
      <c r="AR213" s="2">
        <f>AR212</f>
        <v/>
      </c>
      <c r="AS213" s="2">
        <f>AS212</f>
        <v/>
      </c>
      <c r="AY213" s="2">
        <f>IF(ISERROR($B$213),"",IF(ISBLANK($B$213),"",$B$213))</f>
        <v/>
      </c>
      <c r="BB213" s="2">
        <f>IF(ISERROR($E$213),"",IF(ISBLANK($E$213),"",$E$213))</f>
        <v/>
      </c>
      <c r="BE213" s="2">
        <f>IF(ISERROR($H$213),"",IF(ISBLANK($H$213),"",$H$213))</f>
        <v/>
      </c>
    </row>
    <row r="214" ht="60" customHeight="1">
      <c r="A214" s="9" t="inlineStr">
        <is>
          <t>66</t>
        </is>
      </c>
      <c r="B214" s="4" t="n"/>
      <c r="C214" s="25" t="n"/>
      <c r="D214" s="17" t="n"/>
      <c r="E214" s="4" t="n"/>
      <c r="F214" s="25" t="n"/>
      <c r="G214" s="17" t="n"/>
      <c r="H214" s="4" t="n"/>
      <c r="I214" s="25" t="n"/>
      <c r="J214" s="17" t="n"/>
      <c r="K214" s="19">
        <f>IF(BF214&gt;0,"O Google leu como fórmula: digite de novo com ' na frente.","")</f>
        <v/>
      </c>
      <c r="AQ214" s="2">
        <f>AQ213+IF(LEN($AY$214)&gt;0,1,0)</f>
        <v/>
      </c>
      <c r="AR214" s="2">
        <f>AR213+IF(LEN($BB$214)&gt;0,1,0)</f>
        <v/>
      </c>
      <c r="AS214" s="2">
        <f>AS213+IF(LEN($BE$214)&gt;0,1,0)</f>
        <v/>
      </c>
      <c r="AY214" s="2">
        <f>IF(ISERROR($B$214),"",IF(ISBLANK($B$214),"",$B$214))</f>
        <v/>
      </c>
      <c r="BB214" s="2">
        <f>IF(ISERROR($E$214),"",IF(ISBLANK($E$214),"",$E$214))</f>
        <v/>
      </c>
      <c r="BE214" s="2">
        <f>IF(ISERROR($H$214),"",IF(ISBLANK($H$214),"",$H$214))</f>
        <v/>
      </c>
      <c r="BF214" s="2">
        <f>ISERROR($B$214)*1+ISERROR($E$214)*1+ISERROR($H$214)*1</f>
        <v/>
      </c>
    </row>
    <row r="215" ht="60" customHeight="1">
      <c r="A215" s="21" t="inlineStr">
        <is>
          <t>67</t>
        </is>
      </c>
      <c r="B215" s="29" t="n"/>
      <c r="C215" s="25" t="n"/>
      <c r="D215" s="17" t="n"/>
      <c r="E215" s="29" t="n"/>
      <c r="F215" s="25" t="n"/>
      <c r="G215" s="17" t="n"/>
      <c r="H215" s="29" t="n"/>
      <c r="I215" s="25" t="n"/>
      <c r="J215" s="17" t="n"/>
      <c r="K215" s="19">
        <f>IF(BF215&gt;0,"O Google leu como fórmula: digite de novo com ' na frente.","")</f>
        <v/>
      </c>
      <c r="AQ215" s="2">
        <f>AQ214+IF(LEN($AY$215)&gt;0,1,0)</f>
        <v/>
      </c>
      <c r="AR215" s="2">
        <f>AR214+IF(LEN($BB$215)&gt;0,1,0)</f>
        <v/>
      </c>
      <c r="AS215" s="2">
        <f>AS214+IF(LEN($BE$215)&gt;0,1,0)</f>
        <v/>
      </c>
      <c r="AY215" s="2">
        <f>IF(ISERROR($B$215),"",IF(ISBLANK($B$215),"",$B$215))</f>
        <v/>
      </c>
      <c r="BB215" s="2">
        <f>IF(ISERROR($E$215),"",IF(ISBLANK($E$215),"",$E$215))</f>
        <v/>
      </c>
      <c r="BE215" s="2">
        <f>IF(ISERROR($H$215),"",IF(ISBLANK($H$215),"",$H$215))</f>
        <v/>
      </c>
      <c r="BF215" s="2">
        <f>ISERROR($B$215)*1+ISERROR($E$215)*1+ISERROR($H$215)*1</f>
        <v/>
      </c>
    </row>
    <row r="216" ht="60" customHeight="1">
      <c r="A216" s="9" t="inlineStr">
        <is>
          <t>68</t>
        </is>
      </c>
      <c r="B216" s="4" t="n"/>
      <c r="C216" s="25" t="n"/>
      <c r="D216" s="17" t="n"/>
      <c r="E216" s="4" t="n"/>
      <c r="F216" s="25" t="n"/>
      <c r="G216" s="17" t="n"/>
      <c r="H216" s="4" t="n"/>
      <c r="I216" s="25" t="n"/>
      <c r="J216" s="17" t="n"/>
      <c r="K216" s="19">
        <f>IF(BF216&gt;0,"O Google leu como fórmula: digite de novo com ' na frente.","")</f>
        <v/>
      </c>
      <c r="AQ216" s="2">
        <f>AQ215+IF(LEN($AY$216)&gt;0,1,0)</f>
        <v/>
      </c>
      <c r="AR216" s="2">
        <f>AR215+IF(LEN($BB$216)&gt;0,1,0)</f>
        <v/>
      </c>
      <c r="AS216" s="2">
        <f>AS215+IF(LEN($BE$216)&gt;0,1,0)</f>
        <v/>
      </c>
      <c r="AY216" s="2">
        <f>IF(ISERROR($B$216),"",IF(ISBLANK($B$216),"",$B$216))</f>
        <v/>
      </c>
      <c r="BB216" s="2">
        <f>IF(ISERROR($E$216),"",IF(ISBLANK($E$216),"",$E$216))</f>
        <v/>
      </c>
      <c r="BE216" s="2">
        <f>IF(ISERROR($H$216),"",IF(ISBLANK($H$216),"",$H$216))</f>
        <v/>
      </c>
      <c r="BF216" s="2">
        <f>ISERROR($B$216)*1+ISERROR($E$216)*1+ISERROR($H$216)*1</f>
        <v/>
      </c>
    </row>
    <row r="217" ht="60" customHeight="1">
      <c r="A217" s="21" t="inlineStr">
        <is>
          <t>69</t>
        </is>
      </c>
      <c r="B217" s="29" t="n"/>
      <c r="C217" s="25" t="n"/>
      <c r="D217" s="17" t="n"/>
      <c r="E217" s="29" t="n"/>
      <c r="F217" s="25" t="n"/>
      <c r="G217" s="17" t="n"/>
      <c r="H217" s="29" t="n"/>
      <c r="I217" s="25" t="n"/>
      <c r="J217" s="17" t="n"/>
      <c r="K217" s="19">
        <f>IF(BF217&gt;0,"O Google leu como fórmula: digite de novo com ' na frente.","")</f>
        <v/>
      </c>
      <c r="AQ217" s="2">
        <f>AQ216+IF(LEN($AY$217)&gt;0,1,0)</f>
        <v/>
      </c>
      <c r="AR217" s="2">
        <f>AR216+IF(LEN($BB$217)&gt;0,1,0)</f>
        <v/>
      </c>
      <c r="AS217" s="2">
        <f>AS216+IF(LEN($BE$217)&gt;0,1,0)</f>
        <v/>
      </c>
      <c r="AY217" s="2">
        <f>IF(ISERROR($B$217),"",IF(ISBLANK($B$217),"",$B$217))</f>
        <v/>
      </c>
      <c r="BB217" s="2">
        <f>IF(ISERROR($E$217),"",IF(ISBLANK($E$217),"",$E$217))</f>
        <v/>
      </c>
      <c r="BE217" s="2">
        <f>IF(ISERROR($H$217),"",IF(ISBLANK($H$217),"",$H$217))</f>
        <v/>
      </c>
      <c r="BF217" s="2">
        <f>ISERROR($B$217)*1+ISERROR($E$217)*1+ISERROR($H$217)*1</f>
        <v/>
      </c>
    </row>
    <row r="218" ht="60" customHeight="1">
      <c r="A218" s="9" t="inlineStr">
        <is>
          <t>70</t>
        </is>
      </c>
      <c r="B218" s="4" t="n"/>
      <c r="C218" s="25" t="n"/>
      <c r="D218" s="17" t="n"/>
      <c r="E218" s="4" t="n"/>
      <c r="F218" s="25" t="n"/>
      <c r="G218" s="17" t="n"/>
      <c r="H218" s="4" t="n"/>
      <c r="I218" s="25" t="n"/>
      <c r="J218" s="17" t="n"/>
      <c r="K218" s="19">
        <f>IF(BF218&gt;0,"O Google leu como fórmula: digite de novo com ' na frente.","")</f>
        <v/>
      </c>
      <c r="AQ218" s="2">
        <f>AQ217+IF(LEN($AY$218)&gt;0,1,0)</f>
        <v/>
      </c>
      <c r="AR218" s="2">
        <f>AR217+IF(LEN($BB$218)&gt;0,1,0)</f>
        <v/>
      </c>
      <c r="AS218" s="2">
        <f>AS217+IF(LEN($BE$218)&gt;0,1,0)</f>
        <v/>
      </c>
      <c r="AY218" s="2">
        <f>IF(ISERROR($B$218),"",IF(ISBLANK($B$218),"",$B$218))</f>
        <v/>
      </c>
      <c r="BB218" s="2">
        <f>IF(ISERROR($E$218),"",IF(ISBLANK($E$218),"",$E$218))</f>
        <v/>
      </c>
      <c r="BE218" s="2">
        <f>IF(ISERROR($H$218),"",IF(ISBLANK($H$218),"",$H$218))</f>
        <v/>
      </c>
      <c r="BF218" s="2">
        <f>ISERROR($B$218)*1+ISERROR($E$218)*1+ISERROR($H$218)*1</f>
        <v/>
      </c>
    </row>
    <row r="219" ht="60" customHeight="1">
      <c r="A219" s="21" t="inlineStr">
        <is>
          <t>71</t>
        </is>
      </c>
      <c r="B219" s="29" t="n"/>
      <c r="C219" s="25" t="n"/>
      <c r="D219" s="17" t="n"/>
      <c r="E219" s="29" t="n"/>
      <c r="F219" s="25" t="n"/>
      <c r="G219" s="17" t="n"/>
      <c r="H219" s="29" t="n"/>
      <c r="I219" s="25" t="n"/>
      <c r="J219" s="17" t="n"/>
      <c r="K219" s="19">
        <f>IF(BF219&gt;0,"O Google leu como fórmula: digite de novo com ' na frente.","")</f>
        <v/>
      </c>
      <c r="AQ219" s="2">
        <f>AQ218+IF(LEN($AY$219)&gt;0,1,0)</f>
        <v/>
      </c>
      <c r="AR219" s="2">
        <f>AR218+IF(LEN($BB$219)&gt;0,1,0)</f>
        <v/>
      </c>
      <c r="AS219" s="2">
        <f>AS218+IF(LEN($BE$219)&gt;0,1,0)</f>
        <v/>
      </c>
      <c r="AY219" s="2">
        <f>IF(ISERROR($B$219),"",IF(ISBLANK($B$219),"",$B$219))</f>
        <v/>
      </c>
      <c r="BB219" s="2">
        <f>IF(ISERROR($E$219),"",IF(ISBLANK($E$219),"",$E$219))</f>
        <v/>
      </c>
      <c r="BE219" s="2">
        <f>IF(ISERROR($H$219),"",IF(ISBLANK($H$219),"",$H$219))</f>
        <v/>
      </c>
      <c r="BF219" s="2">
        <f>ISERROR($B$219)*1+ISERROR($E$219)*1+ISERROR($H$219)*1</f>
        <v/>
      </c>
    </row>
    <row r="220" ht="60" customHeight="1">
      <c r="A220" s="9" t="inlineStr">
        <is>
          <t>72</t>
        </is>
      </c>
      <c r="B220" s="4" t="n"/>
      <c r="C220" s="25" t="n"/>
      <c r="D220" s="17" t="n"/>
      <c r="E220" s="4" t="n"/>
      <c r="F220" s="25" t="n"/>
      <c r="G220" s="17" t="n"/>
      <c r="H220" s="4" t="n"/>
      <c r="I220" s="25" t="n"/>
      <c r="J220" s="17" t="n"/>
      <c r="K220" s="19">
        <f>IF(BF220&gt;0,"O Google leu como fórmula: digite de novo com ' na frente.","")</f>
        <v/>
      </c>
      <c r="AQ220" s="2">
        <f>AQ219+IF(LEN($AY$220)&gt;0,1,0)</f>
        <v/>
      </c>
      <c r="AR220" s="2">
        <f>AR219+IF(LEN($BB$220)&gt;0,1,0)</f>
        <v/>
      </c>
      <c r="AS220" s="2">
        <f>AS219+IF(LEN($BE$220)&gt;0,1,0)</f>
        <v/>
      </c>
      <c r="AY220" s="2">
        <f>IF(ISERROR($B$220),"",IF(ISBLANK($B$220),"",$B$220))</f>
        <v/>
      </c>
      <c r="BB220" s="2">
        <f>IF(ISERROR($E$220),"",IF(ISBLANK($E$220),"",$E$220))</f>
        <v/>
      </c>
      <c r="BE220" s="2">
        <f>IF(ISERROR($H$220),"",IF(ISBLANK($H$220),"",$H$220))</f>
        <v/>
      </c>
      <c r="BF220" s="2">
        <f>ISERROR($B$220)*1+ISERROR($E$220)*1+ISERROR($H$220)*1</f>
        <v/>
      </c>
    </row>
    <row r="221" ht="60" customHeight="1">
      <c r="A221" s="21" t="inlineStr">
        <is>
          <t>73</t>
        </is>
      </c>
      <c r="B221" s="29" t="n"/>
      <c r="C221" s="25" t="n"/>
      <c r="D221" s="17" t="n"/>
      <c r="E221" s="29" t="n"/>
      <c r="F221" s="25" t="n"/>
      <c r="G221" s="17" t="n"/>
      <c r="H221" s="29" t="n"/>
      <c r="I221" s="25" t="n"/>
      <c r="J221" s="17" t="n"/>
      <c r="K221" s="19">
        <f>IF(BF221&gt;0,"O Google leu como fórmula: digite de novo com ' na frente.","")</f>
        <v/>
      </c>
      <c r="AQ221" s="2">
        <f>AQ220+IF(LEN($AY$221)&gt;0,1,0)</f>
        <v/>
      </c>
      <c r="AR221" s="2">
        <f>AR220+IF(LEN($BB$221)&gt;0,1,0)</f>
        <v/>
      </c>
      <c r="AS221" s="2">
        <f>AS220+IF(LEN($BE$221)&gt;0,1,0)</f>
        <v/>
      </c>
      <c r="AY221" s="2">
        <f>IF(ISERROR($B$221),"",IF(ISBLANK($B$221),"",$B$221))</f>
        <v/>
      </c>
      <c r="BB221" s="2">
        <f>IF(ISERROR($E$221),"",IF(ISBLANK($E$221),"",$E$221))</f>
        <v/>
      </c>
      <c r="BE221" s="2">
        <f>IF(ISERROR($H$221),"",IF(ISBLANK($H$221),"",$H$221))</f>
        <v/>
      </c>
      <c r="BF221" s="2">
        <f>ISERROR($B$221)*1+ISERROR($E$221)*1+ISERROR($H$221)*1</f>
        <v/>
      </c>
    </row>
    <row r="222" ht="60" customHeight="1">
      <c r="A222" s="9" t="inlineStr">
        <is>
          <t>74</t>
        </is>
      </c>
      <c r="B222" s="4" t="n"/>
      <c r="C222" s="25" t="n"/>
      <c r="D222" s="17" t="n"/>
      <c r="E222" s="4" t="n"/>
      <c r="F222" s="25" t="n"/>
      <c r="G222" s="17" t="n"/>
      <c r="H222" s="4" t="n"/>
      <c r="I222" s="25" t="n"/>
      <c r="J222" s="17" t="n"/>
      <c r="K222" s="19">
        <f>IF(BF222&gt;0,"O Google leu como fórmula: digite de novo com ' na frente.","")</f>
        <v/>
      </c>
      <c r="AQ222" s="2">
        <f>AQ221+IF(LEN($AY$222)&gt;0,1,0)</f>
        <v/>
      </c>
      <c r="AR222" s="2">
        <f>AR221+IF(LEN($BB$222)&gt;0,1,0)</f>
        <v/>
      </c>
      <c r="AS222" s="2">
        <f>AS221+IF(LEN($BE$222)&gt;0,1,0)</f>
        <v/>
      </c>
      <c r="AY222" s="2">
        <f>IF(ISERROR($B$222),"",IF(ISBLANK($B$222),"",$B$222))</f>
        <v/>
      </c>
      <c r="BB222" s="2">
        <f>IF(ISERROR($E$222),"",IF(ISBLANK($E$222),"",$E$222))</f>
        <v/>
      </c>
      <c r="BE222" s="2">
        <f>IF(ISERROR($H$222),"",IF(ISBLANK($H$222),"",$H$222))</f>
        <v/>
      </c>
      <c r="BF222" s="2">
        <f>ISERROR($B$222)*1+ISERROR($E$222)*1+ISERROR($H$222)*1</f>
        <v/>
      </c>
    </row>
    <row r="223" ht="60" customHeight="1">
      <c r="A223" s="21" t="inlineStr">
        <is>
          <t>75</t>
        </is>
      </c>
      <c r="B223" s="29" t="n"/>
      <c r="C223" s="25" t="n"/>
      <c r="D223" s="17" t="n"/>
      <c r="E223" s="29" t="n"/>
      <c r="F223" s="25" t="n"/>
      <c r="G223" s="17" t="n"/>
      <c r="H223" s="29" t="n"/>
      <c r="I223" s="25" t="n"/>
      <c r="J223" s="17" t="n"/>
      <c r="K223" s="19">
        <f>IF(BF223&gt;0,"O Google leu como fórmula: digite de novo com ' na frente.","")</f>
        <v/>
      </c>
      <c r="AQ223" s="2">
        <f>AQ222+IF(LEN($AY$223)&gt;0,1,0)</f>
        <v/>
      </c>
      <c r="AR223" s="2">
        <f>AR222+IF(LEN($BB$223)&gt;0,1,0)</f>
        <v/>
      </c>
      <c r="AS223" s="2">
        <f>AS222+IF(LEN($BE$223)&gt;0,1,0)</f>
        <v/>
      </c>
      <c r="AY223" s="2">
        <f>IF(ISERROR($B$223),"",IF(ISBLANK($B$223),"",$B$223))</f>
        <v/>
      </c>
      <c r="BB223" s="2">
        <f>IF(ISERROR($E$223),"",IF(ISBLANK($E$223),"",$E$223))</f>
        <v/>
      </c>
      <c r="BE223" s="2">
        <f>IF(ISERROR($H$223),"",IF(ISBLANK($H$223),"",$H$223))</f>
        <v/>
      </c>
      <c r="BF223" s="2">
        <f>ISERROR($B$223)*1+ISERROR($E$223)*1+ISERROR($H$223)*1</f>
        <v/>
      </c>
    </row>
    <row r="224" ht="60" customHeight="1">
      <c r="A224" s="9" t="inlineStr">
        <is>
          <t>76</t>
        </is>
      </c>
      <c r="B224" s="4" t="n"/>
      <c r="C224" s="25" t="n"/>
      <c r="D224" s="17" t="n"/>
      <c r="E224" s="4" t="n"/>
      <c r="F224" s="25" t="n"/>
      <c r="G224" s="17" t="n"/>
      <c r="H224" s="4" t="n"/>
      <c r="I224" s="25" t="n"/>
      <c r="J224" s="17" t="n"/>
      <c r="K224" s="19">
        <f>IF(BF224&gt;0,"O Google leu como fórmula: digite de novo com ' na frente.","")</f>
        <v/>
      </c>
      <c r="AQ224" s="2">
        <f>AQ223+IF(LEN($AY$224)&gt;0,1,0)</f>
        <v/>
      </c>
      <c r="AR224" s="2">
        <f>AR223+IF(LEN($BB$224)&gt;0,1,0)</f>
        <v/>
      </c>
      <c r="AS224" s="2">
        <f>AS223+IF(LEN($BE$224)&gt;0,1,0)</f>
        <v/>
      </c>
      <c r="AY224" s="2">
        <f>IF(ISERROR($B$224),"",IF(ISBLANK($B$224),"",$B$224))</f>
        <v/>
      </c>
      <c r="BB224" s="2">
        <f>IF(ISERROR($E$224),"",IF(ISBLANK($E$224),"",$E$224))</f>
        <v/>
      </c>
      <c r="BE224" s="2">
        <f>IF(ISERROR($H$224),"",IF(ISBLANK($H$224),"",$H$224))</f>
        <v/>
      </c>
      <c r="BF224" s="2">
        <f>ISERROR($B$224)*1+ISERROR($E$224)*1+ISERROR($H$224)*1</f>
        <v/>
      </c>
    </row>
    <row r="225" ht="60" customHeight="1">
      <c r="A225" s="21" t="inlineStr">
        <is>
          <t>77</t>
        </is>
      </c>
      <c r="B225" s="29" t="n"/>
      <c r="C225" s="25" t="n"/>
      <c r="D225" s="17" t="n"/>
      <c r="E225" s="29" t="n"/>
      <c r="F225" s="25" t="n"/>
      <c r="G225" s="17" t="n"/>
      <c r="H225" s="29" t="n"/>
      <c r="I225" s="25" t="n"/>
      <c r="J225" s="17" t="n"/>
      <c r="K225" s="19">
        <f>IF(BF225&gt;0,"O Google leu como fórmula: digite de novo com ' na frente.","")</f>
        <v/>
      </c>
      <c r="AQ225" s="2">
        <f>AQ224+IF(LEN($AY$225)&gt;0,1,0)</f>
        <v/>
      </c>
      <c r="AR225" s="2">
        <f>AR224+IF(LEN($BB$225)&gt;0,1,0)</f>
        <v/>
      </c>
      <c r="AS225" s="2">
        <f>AS224+IF(LEN($BE$225)&gt;0,1,0)</f>
        <v/>
      </c>
      <c r="AY225" s="2">
        <f>IF(ISERROR($B$225),"",IF(ISBLANK($B$225),"",$B$225))</f>
        <v/>
      </c>
      <c r="BB225" s="2">
        <f>IF(ISERROR($E$225),"",IF(ISBLANK($E$225),"",$E$225))</f>
        <v/>
      </c>
      <c r="BE225" s="2">
        <f>IF(ISERROR($H$225),"",IF(ISBLANK($H$225),"",$H$225))</f>
        <v/>
      </c>
      <c r="BF225" s="2">
        <f>ISERROR($B$225)*1+ISERROR($E$225)*1+ISERROR($H$225)*1</f>
        <v/>
      </c>
    </row>
    <row r="226" ht="60" customHeight="1">
      <c r="A226" s="9" t="inlineStr">
        <is>
          <t>78</t>
        </is>
      </c>
      <c r="B226" s="4" t="n"/>
      <c r="C226" s="25" t="n"/>
      <c r="D226" s="17" t="n"/>
      <c r="E226" s="4" t="n"/>
      <c r="F226" s="25" t="n"/>
      <c r="G226" s="17" t="n"/>
      <c r="H226" s="4" t="n"/>
      <c r="I226" s="25" t="n"/>
      <c r="J226" s="17" t="n"/>
      <c r="K226" s="19">
        <f>IF(BF226&gt;0,"O Google leu como fórmula: digite de novo com ' na frente.","")</f>
        <v/>
      </c>
      <c r="AQ226" s="2">
        <f>AQ225+IF(LEN($AY$226)&gt;0,1,0)</f>
        <v/>
      </c>
      <c r="AR226" s="2">
        <f>AR225+IF(LEN($BB$226)&gt;0,1,0)</f>
        <v/>
      </c>
      <c r="AS226" s="2">
        <f>AS225+IF(LEN($BE$226)&gt;0,1,0)</f>
        <v/>
      </c>
      <c r="AY226" s="2">
        <f>IF(ISERROR($B$226),"",IF(ISBLANK($B$226),"",$B$226))</f>
        <v/>
      </c>
      <c r="BB226" s="2">
        <f>IF(ISERROR($E$226),"",IF(ISBLANK($E$226),"",$E$226))</f>
        <v/>
      </c>
      <c r="BE226" s="2">
        <f>IF(ISERROR($H$226),"",IF(ISBLANK($H$226),"",$H$226))</f>
        <v/>
      </c>
      <c r="BF226" s="2">
        <f>ISERROR($B$226)*1+ISERROR($E$226)*1+ISERROR($H$226)*1</f>
        <v/>
      </c>
    </row>
    <row r="227">
      <c r="A227" s="8" t="inlineStr">
        <is>
          <t>Vagas 79–91</t>
        </is>
      </c>
      <c r="B227" s="8" t="inlineStr">
        <is>
          <t>Tabela 4</t>
        </is>
      </c>
      <c r="C227" s="20" t="n"/>
      <c r="D227" s="20" t="n"/>
      <c r="E227" s="8" t="inlineStr">
        <is>
          <t>Tabela 5</t>
        </is>
      </c>
      <c r="F227" s="20" t="n"/>
      <c r="G227" s="20" t="n"/>
      <c r="H227" s="8" t="inlineStr">
        <is>
          <t>Tabela 6</t>
        </is>
      </c>
      <c r="I227" s="20" t="n"/>
      <c r="J227" s="20" t="n"/>
      <c r="AQ227" s="2">
        <f>AQ226</f>
        <v/>
      </c>
      <c r="AR227" s="2">
        <f>AR226</f>
        <v/>
      </c>
      <c r="AS227" s="2">
        <f>AS226</f>
        <v/>
      </c>
      <c r="AY227" s="2">
        <f>IF(ISERROR($B$227),"",IF(ISBLANK($B$227),"",$B$227))</f>
        <v/>
      </c>
      <c r="BB227" s="2">
        <f>IF(ISERROR($E$227),"",IF(ISBLANK($E$227),"",$E$227))</f>
        <v/>
      </c>
      <c r="BE227" s="2">
        <f>IF(ISERROR($H$227),"",IF(ISBLANK($H$227),"",$H$227))</f>
        <v/>
      </c>
    </row>
    <row r="228" ht="60" customHeight="1">
      <c r="A228" s="9" t="inlineStr">
        <is>
          <t>79</t>
        </is>
      </c>
      <c r="B228" s="4" t="n"/>
      <c r="C228" s="25" t="n"/>
      <c r="D228" s="17" t="n"/>
      <c r="E228" s="4" t="n"/>
      <c r="F228" s="25" t="n"/>
      <c r="G228" s="17" t="n"/>
      <c r="H228" s="4" t="n"/>
      <c r="I228" s="25" t="n"/>
      <c r="J228" s="17" t="n"/>
      <c r="K228" s="19">
        <f>IF(BF228&gt;0,"O Google leu como fórmula: digite de novo com ' na frente.","")</f>
        <v/>
      </c>
      <c r="AQ228" s="2">
        <f>AQ227+IF(LEN($AY$228)&gt;0,1,0)</f>
        <v/>
      </c>
      <c r="AR228" s="2">
        <f>AR227+IF(LEN($BB$228)&gt;0,1,0)</f>
        <v/>
      </c>
      <c r="AS228" s="2">
        <f>AS227+IF(LEN($BE$228)&gt;0,1,0)</f>
        <v/>
      </c>
      <c r="AY228" s="2">
        <f>IF(ISERROR($B$228),"",IF(ISBLANK($B$228),"",$B$228))</f>
        <v/>
      </c>
      <c r="BB228" s="2">
        <f>IF(ISERROR($E$228),"",IF(ISBLANK($E$228),"",$E$228))</f>
        <v/>
      </c>
      <c r="BE228" s="2">
        <f>IF(ISERROR($H$228),"",IF(ISBLANK($H$228),"",$H$228))</f>
        <v/>
      </c>
      <c r="BF228" s="2">
        <f>ISERROR($B$228)*1+ISERROR($E$228)*1+ISERROR($H$228)*1</f>
        <v/>
      </c>
    </row>
    <row r="229" ht="60" customHeight="1">
      <c r="A229" s="21" t="inlineStr">
        <is>
          <t>80</t>
        </is>
      </c>
      <c r="B229" s="29" t="n"/>
      <c r="C229" s="25" t="n"/>
      <c r="D229" s="17" t="n"/>
      <c r="E229" s="29" t="n"/>
      <c r="F229" s="25" t="n"/>
      <c r="G229" s="17" t="n"/>
      <c r="H229" s="29" t="n"/>
      <c r="I229" s="25" t="n"/>
      <c r="J229" s="17" t="n"/>
      <c r="K229" s="19">
        <f>IF(BF229&gt;0,"O Google leu como fórmula: digite de novo com ' na frente.","")</f>
        <v/>
      </c>
      <c r="AQ229" s="2">
        <f>AQ228+IF(LEN($AY$229)&gt;0,1,0)</f>
        <v/>
      </c>
      <c r="AR229" s="2">
        <f>AR228+IF(LEN($BB$229)&gt;0,1,0)</f>
        <v/>
      </c>
      <c r="AS229" s="2">
        <f>AS228+IF(LEN($BE$229)&gt;0,1,0)</f>
        <v/>
      </c>
      <c r="AY229" s="2">
        <f>IF(ISERROR($B$229),"",IF(ISBLANK($B$229),"",$B$229))</f>
        <v/>
      </c>
      <c r="BB229" s="2">
        <f>IF(ISERROR($E$229),"",IF(ISBLANK($E$229),"",$E$229))</f>
        <v/>
      </c>
      <c r="BE229" s="2">
        <f>IF(ISERROR($H$229),"",IF(ISBLANK($H$229),"",$H$229))</f>
        <v/>
      </c>
      <c r="BF229" s="2">
        <f>ISERROR($B$229)*1+ISERROR($E$229)*1+ISERROR($H$229)*1</f>
        <v/>
      </c>
    </row>
    <row r="230" ht="60" customHeight="1">
      <c r="A230" s="9" t="inlineStr">
        <is>
          <t>81</t>
        </is>
      </c>
      <c r="B230" s="4" t="n"/>
      <c r="C230" s="25" t="n"/>
      <c r="D230" s="17" t="n"/>
      <c r="E230" s="4" t="n"/>
      <c r="F230" s="25" t="n"/>
      <c r="G230" s="17" t="n"/>
      <c r="H230" s="4" t="n"/>
      <c r="I230" s="25" t="n"/>
      <c r="J230" s="17" t="n"/>
      <c r="K230" s="19">
        <f>IF(BF230&gt;0,"O Google leu como fórmula: digite de novo com ' na frente.","")</f>
        <v/>
      </c>
      <c r="AQ230" s="2">
        <f>AQ229+IF(LEN($AY$230)&gt;0,1,0)</f>
        <v/>
      </c>
      <c r="AR230" s="2">
        <f>AR229+IF(LEN($BB$230)&gt;0,1,0)</f>
        <v/>
      </c>
      <c r="AS230" s="2">
        <f>AS229+IF(LEN($BE$230)&gt;0,1,0)</f>
        <v/>
      </c>
      <c r="AY230" s="2">
        <f>IF(ISERROR($B$230),"",IF(ISBLANK($B$230),"",$B$230))</f>
        <v/>
      </c>
      <c r="BB230" s="2">
        <f>IF(ISERROR($E$230),"",IF(ISBLANK($E$230),"",$E$230))</f>
        <v/>
      </c>
      <c r="BE230" s="2">
        <f>IF(ISERROR($H$230),"",IF(ISBLANK($H$230),"",$H$230))</f>
        <v/>
      </c>
      <c r="BF230" s="2">
        <f>ISERROR($B$230)*1+ISERROR($E$230)*1+ISERROR($H$230)*1</f>
        <v/>
      </c>
    </row>
    <row r="231" ht="60" customHeight="1">
      <c r="A231" s="21" t="inlineStr">
        <is>
          <t>82</t>
        </is>
      </c>
      <c r="B231" s="29" t="n"/>
      <c r="C231" s="25" t="n"/>
      <c r="D231" s="17" t="n"/>
      <c r="E231" s="29" t="n"/>
      <c r="F231" s="25" t="n"/>
      <c r="G231" s="17" t="n"/>
      <c r="H231" s="29" t="n"/>
      <c r="I231" s="25" t="n"/>
      <c r="J231" s="17" t="n"/>
      <c r="K231" s="19">
        <f>IF(BF231&gt;0,"O Google leu como fórmula: digite de novo com ' na frente.","")</f>
        <v/>
      </c>
      <c r="AQ231" s="2">
        <f>AQ230+IF(LEN($AY$231)&gt;0,1,0)</f>
        <v/>
      </c>
      <c r="AR231" s="2">
        <f>AR230+IF(LEN($BB$231)&gt;0,1,0)</f>
        <v/>
      </c>
      <c r="AS231" s="2">
        <f>AS230+IF(LEN($BE$231)&gt;0,1,0)</f>
        <v/>
      </c>
      <c r="AY231" s="2">
        <f>IF(ISERROR($B$231),"",IF(ISBLANK($B$231),"",$B$231))</f>
        <v/>
      </c>
      <c r="BB231" s="2">
        <f>IF(ISERROR($E$231),"",IF(ISBLANK($E$231),"",$E$231))</f>
        <v/>
      </c>
      <c r="BE231" s="2">
        <f>IF(ISERROR($H$231),"",IF(ISBLANK($H$231),"",$H$231))</f>
        <v/>
      </c>
      <c r="BF231" s="2">
        <f>ISERROR($B$231)*1+ISERROR($E$231)*1+ISERROR($H$231)*1</f>
        <v/>
      </c>
    </row>
    <row r="232" ht="60" customHeight="1">
      <c r="A232" s="9" t="inlineStr">
        <is>
          <t>83</t>
        </is>
      </c>
      <c r="B232" s="4" t="n"/>
      <c r="C232" s="25" t="n"/>
      <c r="D232" s="17" t="n"/>
      <c r="E232" s="4" t="n"/>
      <c r="F232" s="25" t="n"/>
      <c r="G232" s="17" t="n"/>
      <c r="H232" s="4" t="n"/>
      <c r="I232" s="25" t="n"/>
      <c r="J232" s="17" t="n"/>
      <c r="K232" s="19">
        <f>IF(BF232&gt;0,"O Google leu como fórmula: digite de novo com ' na frente.","")</f>
        <v/>
      </c>
      <c r="AQ232" s="2">
        <f>AQ231+IF(LEN($AY$232)&gt;0,1,0)</f>
        <v/>
      </c>
      <c r="AR232" s="2">
        <f>AR231+IF(LEN($BB$232)&gt;0,1,0)</f>
        <v/>
      </c>
      <c r="AS232" s="2">
        <f>AS231+IF(LEN($BE$232)&gt;0,1,0)</f>
        <v/>
      </c>
      <c r="AY232" s="2">
        <f>IF(ISERROR($B$232),"",IF(ISBLANK($B$232),"",$B$232))</f>
        <v/>
      </c>
      <c r="BB232" s="2">
        <f>IF(ISERROR($E$232),"",IF(ISBLANK($E$232),"",$E$232))</f>
        <v/>
      </c>
      <c r="BE232" s="2">
        <f>IF(ISERROR($H$232),"",IF(ISBLANK($H$232),"",$H$232))</f>
        <v/>
      </c>
      <c r="BF232" s="2">
        <f>ISERROR($B$232)*1+ISERROR($E$232)*1+ISERROR($H$232)*1</f>
        <v/>
      </c>
    </row>
    <row r="233" ht="60" customHeight="1">
      <c r="A233" s="21" t="inlineStr">
        <is>
          <t>84</t>
        </is>
      </c>
      <c r="B233" s="29" t="n"/>
      <c r="C233" s="25" t="n"/>
      <c r="D233" s="17" t="n"/>
      <c r="E233" s="29" t="n"/>
      <c r="F233" s="25" t="n"/>
      <c r="G233" s="17" t="n"/>
      <c r="H233" s="29" t="n"/>
      <c r="I233" s="25" t="n"/>
      <c r="J233" s="17" t="n"/>
      <c r="K233" s="19">
        <f>IF(BF233&gt;0,"O Google leu como fórmula: digite de novo com ' na frente.","")</f>
        <v/>
      </c>
      <c r="AQ233" s="2">
        <f>AQ232+IF(LEN($AY$233)&gt;0,1,0)</f>
        <v/>
      </c>
      <c r="AR233" s="2">
        <f>AR232+IF(LEN($BB$233)&gt;0,1,0)</f>
        <v/>
      </c>
      <c r="AS233" s="2">
        <f>AS232+IF(LEN($BE$233)&gt;0,1,0)</f>
        <v/>
      </c>
      <c r="AY233" s="2">
        <f>IF(ISERROR($B$233),"",IF(ISBLANK($B$233),"",$B$233))</f>
        <v/>
      </c>
      <c r="BB233" s="2">
        <f>IF(ISERROR($E$233),"",IF(ISBLANK($E$233),"",$E$233))</f>
        <v/>
      </c>
      <c r="BE233" s="2">
        <f>IF(ISERROR($H$233),"",IF(ISBLANK($H$233),"",$H$233))</f>
        <v/>
      </c>
      <c r="BF233" s="2">
        <f>ISERROR($B$233)*1+ISERROR($E$233)*1+ISERROR($H$233)*1</f>
        <v/>
      </c>
    </row>
    <row r="234" ht="60" customHeight="1">
      <c r="A234" s="9" t="inlineStr">
        <is>
          <t>85</t>
        </is>
      </c>
      <c r="B234" s="4" t="n"/>
      <c r="C234" s="25" t="n"/>
      <c r="D234" s="17" t="n"/>
      <c r="E234" s="4" t="n"/>
      <c r="F234" s="25" t="n"/>
      <c r="G234" s="17" t="n"/>
      <c r="H234" s="4" t="n"/>
      <c r="I234" s="25" t="n"/>
      <c r="J234" s="17" t="n"/>
      <c r="K234" s="19">
        <f>IF(BF234&gt;0,"O Google leu como fórmula: digite de novo com ' na frente.","")</f>
        <v/>
      </c>
      <c r="AQ234" s="2">
        <f>AQ233+IF(LEN($AY$234)&gt;0,1,0)</f>
        <v/>
      </c>
      <c r="AR234" s="2">
        <f>AR233+IF(LEN($BB$234)&gt;0,1,0)</f>
        <v/>
      </c>
      <c r="AS234" s="2">
        <f>AS233+IF(LEN($BE$234)&gt;0,1,0)</f>
        <v/>
      </c>
      <c r="AY234" s="2">
        <f>IF(ISERROR($B$234),"",IF(ISBLANK($B$234),"",$B$234))</f>
        <v/>
      </c>
      <c r="BB234" s="2">
        <f>IF(ISERROR($E$234),"",IF(ISBLANK($E$234),"",$E$234))</f>
        <v/>
      </c>
      <c r="BE234" s="2">
        <f>IF(ISERROR($H$234),"",IF(ISBLANK($H$234),"",$H$234))</f>
        <v/>
      </c>
      <c r="BF234" s="2">
        <f>ISERROR($B$234)*1+ISERROR($E$234)*1+ISERROR($H$234)*1</f>
        <v/>
      </c>
    </row>
    <row r="235" ht="60" customHeight="1">
      <c r="A235" s="21" t="inlineStr">
        <is>
          <t>86</t>
        </is>
      </c>
      <c r="B235" s="29" t="n"/>
      <c r="C235" s="25" t="n"/>
      <c r="D235" s="17" t="n"/>
      <c r="E235" s="29" t="n"/>
      <c r="F235" s="25" t="n"/>
      <c r="G235" s="17" t="n"/>
      <c r="H235" s="29" t="n"/>
      <c r="I235" s="25" t="n"/>
      <c r="J235" s="17" t="n"/>
      <c r="K235" s="19">
        <f>IF(BF235&gt;0,"O Google leu como fórmula: digite de novo com ' na frente.","")</f>
        <v/>
      </c>
      <c r="AQ235" s="2">
        <f>AQ234+IF(LEN($AY$235)&gt;0,1,0)</f>
        <v/>
      </c>
      <c r="AR235" s="2">
        <f>AR234+IF(LEN($BB$235)&gt;0,1,0)</f>
        <v/>
      </c>
      <c r="AS235" s="2">
        <f>AS234+IF(LEN($BE$235)&gt;0,1,0)</f>
        <v/>
      </c>
      <c r="AY235" s="2">
        <f>IF(ISERROR($B$235),"",IF(ISBLANK($B$235),"",$B$235))</f>
        <v/>
      </c>
      <c r="BB235" s="2">
        <f>IF(ISERROR($E$235),"",IF(ISBLANK($E$235),"",$E$235))</f>
        <v/>
      </c>
      <c r="BE235" s="2">
        <f>IF(ISERROR($H$235),"",IF(ISBLANK($H$235),"",$H$235))</f>
        <v/>
      </c>
      <c r="BF235" s="2">
        <f>ISERROR($B$235)*1+ISERROR($E$235)*1+ISERROR($H$235)*1</f>
        <v/>
      </c>
    </row>
    <row r="236" ht="60" customHeight="1">
      <c r="A236" s="9" t="inlineStr">
        <is>
          <t>87</t>
        </is>
      </c>
      <c r="B236" s="4" t="n"/>
      <c r="C236" s="25" t="n"/>
      <c r="D236" s="17" t="n"/>
      <c r="E236" s="4" t="n"/>
      <c r="F236" s="25" t="n"/>
      <c r="G236" s="17" t="n"/>
      <c r="H236" s="4" t="n"/>
      <c r="I236" s="25" t="n"/>
      <c r="J236" s="17" t="n"/>
      <c r="K236" s="19">
        <f>IF(BF236&gt;0,"O Google leu como fórmula: digite de novo com ' na frente.","")</f>
        <v/>
      </c>
      <c r="AQ236" s="2">
        <f>AQ235+IF(LEN($AY$236)&gt;0,1,0)</f>
        <v/>
      </c>
      <c r="AR236" s="2">
        <f>AR235+IF(LEN($BB$236)&gt;0,1,0)</f>
        <v/>
      </c>
      <c r="AS236" s="2">
        <f>AS235+IF(LEN($BE$236)&gt;0,1,0)</f>
        <v/>
      </c>
      <c r="AY236" s="2">
        <f>IF(ISERROR($B$236),"",IF(ISBLANK($B$236),"",$B$236))</f>
        <v/>
      </c>
      <c r="BB236" s="2">
        <f>IF(ISERROR($E$236),"",IF(ISBLANK($E$236),"",$E$236))</f>
        <v/>
      </c>
      <c r="BE236" s="2">
        <f>IF(ISERROR($H$236),"",IF(ISBLANK($H$236),"",$H$236))</f>
        <v/>
      </c>
      <c r="BF236" s="2">
        <f>ISERROR($B$236)*1+ISERROR($E$236)*1+ISERROR($H$236)*1</f>
        <v/>
      </c>
    </row>
    <row r="237" ht="60" customHeight="1">
      <c r="A237" s="21" t="inlineStr">
        <is>
          <t>88</t>
        </is>
      </c>
      <c r="B237" s="29" t="n"/>
      <c r="C237" s="25" t="n"/>
      <c r="D237" s="17" t="n"/>
      <c r="E237" s="29" t="n"/>
      <c r="F237" s="25" t="n"/>
      <c r="G237" s="17" t="n"/>
      <c r="H237" s="29" t="n"/>
      <c r="I237" s="25" t="n"/>
      <c r="J237" s="17" t="n"/>
      <c r="K237" s="19">
        <f>IF(BF237&gt;0,"O Google leu como fórmula: digite de novo com ' na frente.","")</f>
        <v/>
      </c>
      <c r="AQ237" s="2">
        <f>AQ236+IF(LEN($AY$237)&gt;0,1,0)</f>
        <v/>
      </c>
      <c r="AR237" s="2">
        <f>AR236+IF(LEN($BB$237)&gt;0,1,0)</f>
        <v/>
      </c>
      <c r="AS237" s="2">
        <f>AS236+IF(LEN($BE$237)&gt;0,1,0)</f>
        <v/>
      </c>
      <c r="AY237" s="2">
        <f>IF(ISERROR($B$237),"",IF(ISBLANK($B$237),"",$B$237))</f>
        <v/>
      </c>
      <c r="BB237" s="2">
        <f>IF(ISERROR($E$237),"",IF(ISBLANK($E$237),"",$E$237))</f>
        <v/>
      </c>
      <c r="BE237" s="2">
        <f>IF(ISERROR($H$237),"",IF(ISBLANK($H$237),"",$H$237))</f>
        <v/>
      </c>
      <c r="BF237" s="2">
        <f>ISERROR($B$237)*1+ISERROR($E$237)*1+ISERROR($H$237)*1</f>
        <v/>
      </c>
    </row>
    <row r="238" ht="60" customHeight="1">
      <c r="A238" s="9" t="inlineStr">
        <is>
          <t>89</t>
        </is>
      </c>
      <c r="B238" s="4" t="n"/>
      <c r="C238" s="25" t="n"/>
      <c r="D238" s="17" t="n"/>
      <c r="E238" s="4" t="n"/>
      <c r="F238" s="25" t="n"/>
      <c r="G238" s="17" t="n"/>
      <c r="H238" s="4" t="n"/>
      <c r="I238" s="25" t="n"/>
      <c r="J238" s="17" t="n"/>
      <c r="K238" s="19">
        <f>IF(BF238&gt;0,"O Google leu como fórmula: digite de novo com ' na frente.","")</f>
        <v/>
      </c>
      <c r="AQ238" s="2">
        <f>AQ237+IF(LEN($AY$238)&gt;0,1,0)</f>
        <v/>
      </c>
      <c r="AR238" s="2">
        <f>AR237+IF(LEN($BB$238)&gt;0,1,0)</f>
        <v/>
      </c>
      <c r="AS238" s="2">
        <f>AS237+IF(LEN($BE$238)&gt;0,1,0)</f>
        <v/>
      </c>
      <c r="AY238" s="2">
        <f>IF(ISERROR($B$238),"",IF(ISBLANK($B$238),"",$B$238))</f>
        <v/>
      </c>
      <c r="BB238" s="2">
        <f>IF(ISERROR($E$238),"",IF(ISBLANK($E$238),"",$E$238))</f>
        <v/>
      </c>
      <c r="BE238" s="2">
        <f>IF(ISERROR($H$238),"",IF(ISBLANK($H$238),"",$H$238))</f>
        <v/>
      </c>
      <c r="BF238" s="2">
        <f>ISERROR($B$238)*1+ISERROR($E$238)*1+ISERROR($H$238)*1</f>
        <v/>
      </c>
    </row>
    <row r="239" ht="60" customHeight="1">
      <c r="A239" s="21" t="inlineStr">
        <is>
          <t>90</t>
        </is>
      </c>
      <c r="B239" s="29" t="n"/>
      <c r="C239" s="25" t="n"/>
      <c r="D239" s="17" t="n"/>
      <c r="E239" s="29" t="n"/>
      <c r="F239" s="25" t="n"/>
      <c r="G239" s="17" t="n"/>
      <c r="H239" s="29" t="n"/>
      <c r="I239" s="25" t="n"/>
      <c r="J239" s="17" t="n"/>
      <c r="K239" s="19">
        <f>IF(BF239&gt;0,"O Google leu como fórmula: digite de novo com ' na frente.","")</f>
        <v/>
      </c>
      <c r="AQ239" s="2">
        <f>AQ238+IF(LEN($AY$239)&gt;0,1,0)</f>
        <v/>
      </c>
      <c r="AR239" s="2">
        <f>AR238+IF(LEN($BB$239)&gt;0,1,0)</f>
        <v/>
      </c>
      <c r="AS239" s="2">
        <f>AS238+IF(LEN($BE$239)&gt;0,1,0)</f>
        <v/>
      </c>
      <c r="AY239" s="2">
        <f>IF(ISERROR($B$239),"",IF(ISBLANK($B$239),"",$B$239))</f>
        <v/>
      </c>
      <c r="BB239" s="2">
        <f>IF(ISERROR($E$239),"",IF(ISBLANK($E$239),"",$E$239))</f>
        <v/>
      </c>
      <c r="BE239" s="2">
        <f>IF(ISERROR($H$239),"",IF(ISBLANK($H$239),"",$H$239))</f>
        <v/>
      </c>
      <c r="BF239" s="2">
        <f>ISERROR($B$239)*1+ISERROR($E$239)*1+ISERROR($H$239)*1</f>
        <v/>
      </c>
    </row>
    <row r="240" ht="60" customHeight="1">
      <c r="A240" s="9" t="inlineStr">
        <is>
          <t>91</t>
        </is>
      </c>
      <c r="B240" s="4" t="n"/>
      <c r="C240" s="25" t="n"/>
      <c r="D240" s="17" t="n"/>
      <c r="E240" s="4" t="n"/>
      <c r="F240" s="25" t="n"/>
      <c r="G240" s="17" t="n"/>
      <c r="H240" s="4" t="n"/>
      <c r="I240" s="25" t="n"/>
      <c r="J240" s="17" t="n"/>
      <c r="K240" s="19">
        <f>IF(BF240&gt;0,"O Google leu como fórmula: digite de novo com ' na frente.","")</f>
        <v/>
      </c>
      <c r="AQ240" s="2">
        <f>AQ239+IF(LEN($AY$240)&gt;0,1,0)</f>
        <v/>
      </c>
      <c r="AR240" s="2">
        <f>AR239+IF(LEN($BB$240)&gt;0,1,0)</f>
        <v/>
      </c>
      <c r="AS240" s="2">
        <f>AS239+IF(LEN($BE$240)&gt;0,1,0)</f>
        <v/>
      </c>
      <c r="AY240" s="2">
        <f>IF(ISERROR($B$240),"",IF(ISBLANK($B$240),"",$B$240))</f>
        <v/>
      </c>
      <c r="BB240" s="2">
        <f>IF(ISERROR($E$240),"",IF(ISBLANK($E$240),"",$E$240))</f>
        <v/>
      </c>
      <c r="BE240" s="2">
        <f>IF(ISERROR($H$240),"",IF(ISBLANK($H$240),"",$H$240))</f>
        <v/>
      </c>
      <c r="BF240" s="2">
        <f>ISERROR($B$240)*1+ISERROR($E$240)*1+ISERROR($H$240)*1</f>
        <v/>
      </c>
    </row>
    <row r="241">
      <c r="A241" s="8" t="inlineStr">
        <is>
          <t>Vagas 92–100</t>
        </is>
      </c>
      <c r="B241" s="8" t="inlineStr">
        <is>
          <t>Tabela 4</t>
        </is>
      </c>
      <c r="C241" s="20" t="n"/>
      <c r="D241" s="20" t="n"/>
      <c r="E241" s="8" t="inlineStr">
        <is>
          <t>Tabela 5</t>
        </is>
      </c>
      <c r="F241" s="20" t="n"/>
      <c r="G241" s="20" t="n"/>
      <c r="H241" s="8" t="inlineStr">
        <is>
          <t>Tabela 6</t>
        </is>
      </c>
      <c r="I241" s="20" t="n"/>
      <c r="J241" s="20" t="n"/>
      <c r="AQ241" s="2">
        <f>AQ240</f>
        <v/>
      </c>
      <c r="AR241" s="2">
        <f>AR240</f>
        <v/>
      </c>
      <c r="AS241" s="2">
        <f>AS240</f>
        <v/>
      </c>
      <c r="AY241" s="2">
        <f>IF(ISERROR($B$241),"",IF(ISBLANK($B$241),"",$B$241))</f>
        <v/>
      </c>
      <c r="BB241" s="2">
        <f>IF(ISERROR($E$241),"",IF(ISBLANK($E$241),"",$E$241))</f>
        <v/>
      </c>
      <c r="BE241" s="2">
        <f>IF(ISERROR($H$241),"",IF(ISBLANK($H$241),"",$H$241))</f>
        <v/>
      </c>
    </row>
    <row r="242" ht="60" customHeight="1">
      <c r="A242" s="9" t="inlineStr">
        <is>
          <t>92</t>
        </is>
      </c>
      <c r="B242" s="4" t="n"/>
      <c r="C242" s="25" t="n"/>
      <c r="D242" s="17" t="n"/>
      <c r="E242" s="4" t="n"/>
      <c r="F242" s="25" t="n"/>
      <c r="G242" s="17" t="n"/>
      <c r="H242" s="4" t="n"/>
      <c r="I242" s="25" t="n"/>
      <c r="J242" s="17" t="n"/>
      <c r="K242" s="19">
        <f>IF(BF242&gt;0,"O Google leu como fórmula: digite de novo com ' na frente.","")</f>
        <v/>
      </c>
      <c r="AQ242" s="2">
        <f>AQ241+IF(LEN($AY$242)&gt;0,1,0)</f>
        <v/>
      </c>
      <c r="AR242" s="2">
        <f>AR241+IF(LEN($BB$242)&gt;0,1,0)</f>
        <v/>
      </c>
      <c r="AS242" s="2">
        <f>AS241+IF(LEN($BE$242)&gt;0,1,0)</f>
        <v/>
      </c>
      <c r="AY242" s="2">
        <f>IF(ISERROR($B$242),"",IF(ISBLANK($B$242),"",$B$242))</f>
        <v/>
      </c>
      <c r="BB242" s="2">
        <f>IF(ISERROR($E$242),"",IF(ISBLANK($E$242),"",$E$242))</f>
        <v/>
      </c>
      <c r="BE242" s="2">
        <f>IF(ISERROR($H$242),"",IF(ISBLANK($H$242),"",$H$242))</f>
        <v/>
      </c>
      <c r="BF242" s="2">
        <f>ISERROR($B$242)*1+ISERROR($E$242)*1+ISERROR($H$242)*1</f>
        <v/>
      </c>
    </row>
    <row r="243" ht="60" customHeight="1">
      <c r="A243" s="21" t="inlineStr">
        <is>
          <t>93</t>
        </is>
      </c>
      <c r="B243" s="29" t="n"/>
      <c r="C243" s="25" t="n"/>
      <c r="D243" s="17" t="n"/>
      <c r="E243" s="29" t="n"/>
      <c r="F243" s="25" t="n"/>
      <c r="G243" s="17" t="n"/>
      <c r="H243" s="29" t="n"/>
      <c r="I243" s="25" t="n"/>
      <c r="J243" s="17" t="n"/>
      <c r="K243" s="19">
        <f>IF(BF243&gt;0,"O Google leu como fórmula: digite de novo com ' na frente.","")</f>
        <v/>
      </c>
      <c r="AQ243" s="2">
        <f>AQ242+IF(LEN($AY$243)&gt;0,1,0)</f>
        <v/>
      </c>
      <c r="AR243" s="2">
        <f>AR242+IF(LEN($BB$243)&gt;0,1,0)</f>
        <v/>
      </c>
      <c r="AS243" s="2">
        <f>AS242+IF(LEN($BE$243)&gt;0,1,0)</f>
        <v/>
      </c>
      <c r="AY243" s="2">
        <f>IF(ISERROR($B$243),"",IF(ISBLANK($B$243),"",$B$243))</f>
        <v/>
      </c>
      <c r="BB243" s="2">
        <f>IF(ISERROR($E$243),"",IF(ISBLANK($E$243),"",$E$243))</f>
        <v/>
      </c>
      <c r="BE243" s="2">
        <f>IF(ISERROR($H$243),"",IF(ISBLANK($H$243),"",$H$243))</f>
        <v/>
      </c>
      <c r="BF243" s="2">
        <f>ISERROR($B$243)*1+ISERROR($E$243)*1+ISERROR($H$243)*1</f>
        <v/>
      </c>
    </row>
    <row r="244" ht="60" customHeight="1">
      <c r="A244" s="9" t="inlineStr">
        <is>
          <t>94</t>
        </is>
      </c>
      <c r="B244" s="4" t="n"/>
      <c r="C244" s="25" t="n"/>
      <c r="D244" s="17" t="n"/>
      <c r="E244" s="4" t="n"/>
      <c r="F244" s="25" t="n"/>
      <c r="G244" s="17" t="n"/>
      <c r="H244" s="4" t="n"/>
      <c r="I244" s="25" t="n"/>
      <c r="J244" s="17" t="n"/>
      <c r="K244" s="19">
        <f>IF(BF244&gt;0,"O Google leu como fórmula: digite de novo com ' na frente.","")</f>
        <v/>
      </c>
      <c r="AQ244" s="2">
        <f>AQ243+IF(LEN($AY$244)&gt;0,1,0)</f>
        <v/>
      </c>
      <c r="AR244" s="2">
        <f>AR243+IF(LEN($BB$244)&gt;0,1,0)</f>
        <v/>
      </c>
      <c r="AS244" s="2">
        <f>AS243+IF(LEN($BE$244)&gt;0,1,0)</f>
        <v/>
      </c>
      <c r="AY244" s="2">
        <f>IF(ISERROR($B$244),"",IF(ISBLANK($B$244),"",$B$244))</f>
        <v/>
      </c>
      <c r="BB244" s="2">
        <f>IF(ISERROR($E$244),"",IF(ISBLANK($E$244),"",$E$244))</f>
        <v/>
      </c>
      <c r="BE244" s="2">
        <f>IF(ISERROR($H$244),"",IF(ISBLANK($H$244),"",$H$244))</f>
        <v/>
      </c>
      <c r="BF244" s="2">
        <f>ISERROR($B$244)*1+ISERROR($E$244)*1+ISERROR($H$244)*1</f>
        <v/>
      </c>
    </row>
    <row r="245" ht="60" customHeight="1">
      <c r="A245" s="21" t="inlineStr">
        <is>
          <t>95</t>
        </is>
      </c>
      <c r="B245" s="29" t="n"/>
      <c r="C245" s="25" t="n"/>
      <c r="D245" s="17" t="n"/>
      <c r="E245" s="29" t="n"/>
      <c r="F245" s="25" t="n"/>
      <c r="G245" s="17" t="n"/>
      <c r="H245" s="29" t="n"/>
      <c r="I245" s="25" t="n"/>
      <c r="J245" s="17" t="n"/>
      <c r="K245" s="19">
        <f>IF(BF245&gt;0,"O Google leu como fórmula: digite de novo com ' na frente.","")</f>
        <v/>
      </c>
      <c r="AQ245" s="2">
        <f>AQ244+IF(LEN($AY$245)&gt;0,1,0)</f>
        <v/>
      </c>
      <c r="AR245" s="2">
        <f>AR244+IF(LEN($BB$245)&gt;0,1,0)</f>
        <v/>
      </c>
      <c r="AS245" s="2">
        <f>AS244+IF(LEN($BE$245)&gt;0,1,0)</f>
        <v/>
      </c>
      <c r="AY245" s="2">
        <f>IF(ISERROR($B$245),"",IF(ISBLANK($B$245),"",$B$245))</f>
        <v/>
      </c>
      <c r="BB245" s="2">
        <f>IF(ISERROR($E$245),"",IF(ISBLANK($E$245),"",$E$245))</f>
        <v/>
      </c>
      <c r="BE245" s="2">
        <f>IF(ISERROR($H$245),"",IF(ISBLANK($H$245),"",$H$245))</f>
        <v/>
      </c>
      <c r="BF245" s="2">
        <f>ISERROR($B$245)*1+ISERROR($E$245)*1+ISERROR($H$245)*1</f>
        <v/>
      </c>
    </row>
    <row r="246" ht="60" customHeight="1">
      <c r="A246" s="9" t="inlineStr">
        <is>
          <t>96</t>
        </is>
      </c>
      <c r="B246" s="4" t="n"/>
      <c r="C246" s="25" t="n"/>
      <c r="D246" s="17" t="n"/>
      <c r="E246" s="4" t="n"/>
      <c r="F246" s="25" t="n"/>
      <c r="G246" s="17" t="n"/>
      <c r="H246" s="4" t="n"/>
      <c r="I246" s="25" t="n"/>
      <c r="J246" s="17" t="n"/>
      <c r="K246" s="19">
        <f>IF(BF246&gt;0,"O Google leu como fórmula: digite de novo com ' na frente.","")</f>
        <v/>
      </c>
      <c r="AQ246" s="2">
        <f>AQ245+IF(LEN($AY$246)&gt;0,1,0)</f>
        <v/>
      </c>
      <c r="AR246" s="2">
        <f>AR245+IF(LEN($BB$246)&gt;0,1,0)</f>
        <v/>
      </c>
      <c r="AS246" s="2">
        <f>AS245+IF(LEN($BE$246)&gt;0,1,0)</f>
        <v/>
      </c>
      <c r="AY246" s="2">
        <f>IF(ISERROR($B$246),"",IF(ISBLANK($B$246),"",$B$246))</f>
        <v/>
      </c>
      <c r="BB246" s="2">
        <f>IF(ISERROR($E$246),"",IF(ISBLANK($E$246),"",$E$246))</f>
        <v/>
      </c>
      <c r="BE246" s="2">
        <f>IF(ISERROR($H$246),"",IF(ISBLANK($H$246),"",$H$246))</f>
        <v/>
      </c>
      <c r="BF246" s="2">
        <f>ISERROR($B$246)*1+ISERROR($E$246)*1+ISERROR($H$246)*1</f>
        <v/>
      </c>
    </row>
    <row r="247" ht="60" customHeight="1">
      <c r="A247" s="21" t="inlineStr">
        <is>
          <t>97</t>
        </is>
      </c>
      <c r="B247" s="29" t="n"/>
      <c r="C247" s="25" t="n"/>
      <c r="D247" s="17" t="n"/>
      <c r="E247" s="29" t="n"/>
      <c r="F247" s="25" t="n"/>
      <c r="G247" s="17" t="n"/>
      <c r="H247" s="29" t="n"/>
      <c r="I247" s="25" t="n"/>
      <c r="J247" s="17" t="n"/>
      <c r="K247" s="19">
        <f>IF(BF247&gt;0,"O Google leu como fórmula: digite de novo com ' na frente.","")</f>
        <v/>
      </c>
      <c r="AQ247" s="2">
        <f>AQ246+IF(LEN($AY$247)&gt;0,1,0)</f>
        <v/>
      </c>
      <c r="AR247" s="2">
        <f>AR246+IF(LEN($BB$247)&gt;0,1,0)</f>
        <v/>
      </c>
      <c r="AS247" s="2">
        <f>AS246+IF(LEN($BE$247)&gt;0,1,0)</f>
        <v/>
      </c>
      <c r="AY247" s="2">
        <f>IF(ISERROR($B$247),"",IF(ISBLANK($B$247),"",$B$247))</f>
        <v/>
      </c>
      <c r="BB247" s="2">
        <f>IF(ISERROR($E$247),"",IF(ISBLANK($E$247),"",$E$247))</f>
        <v/>
      </c>
      <c r="BE247" s="2">
        <f>IF(ISERROR($H$247),"",IF(ISBLANK($H$247),"",$H$247))</f>
        <v/>
      </c>
      <c r="BF247" s="2">
        <f>ISERROR($B$247)*1+ISERROR($E$247)*1+ISERROR($H$247)*1</f>
        <v/>
      </c>
    </row>
    <row r="248" ht="60" customHeight="1">
      <c r="A248" s="9" t="inlineStr">
        <is>
          <t>98</t>
        </is>
      </c>
      <c r="B248" s="4" t="n"/>
      <c r="C248" s="25" t="n"/>
      <c r="D248" s="17" t="n"/>
      <c r="E248" s="4" t="n"/>
      <c r="F248" s="25" t="n"/>
      <c r="G248" s="17" t="n"/>
      <c r="H248" s="4" t="n"/>
      <c r="I248" s="25" t="n"/>
      <c r="J248" s="17" t="n"/>
      <c r="K248" s="19">
        <f>IF(BF248&gt;0,"O Google leu como fórmula: digite de novo com ' na frente.","")</f>
        <v/>
      </c>
      <c r="AQ248" s="2">
        <f>AQ247+IF(LEN($AY$248)&gt;0,1,0)</f>
        <v/>
      </c>
      <c r="AR248" s="2">
        <f>AR247+IF(LEN($BB$248)&gt;0,1,0)</f>
        <v/>
      </c>
      <c r="AS248" s="2">
        <f>AS247+IF(LEN($BE$248)&gt;0,1,0)</f>
        <v/>
      </c>
      <c r="AY248" s="2">
        <f>IF(ISERROR($B$248),"",IF(ISBLANK($B$248),"",$B$248))</f>
        <v/>
      </c>
      <c r="BB248" s="2">
        <f>IF(ISERROR($E$248),"",IF(ISBLANK($E$248),"",$E$248))</f>
        <v/>
      </c>
      <c r="BE248" s="2">
        <f>IF(ISERROR($H$248),"",IF(ISBLANK($H$248),"",$H$248))</f>
        <v/>
      </c>
      <c r="BF248" s="2">
        <f>ISERROR($B$248)*1+ISERROR($E$248)*1+ISERROR($H$248)*1</f>
        <v/>
      </c>
    </row>
    <row r="249" ht="60" customHeight="1">
      <c r="A249" s="21" t="inlineStr">
        <is>
          <t>99</t>
        </is>
      </c>
      <c r="B249" s="29" t="n"/>
      <c r="C249" s="25" t="n"/>
      <c r="D249" s="17" t="n"/>
      <c r="E249" s="29" t="n"/>
      <c r="F249" s="25" t="n"/>
      <c r="G249" s="17" t="n"/>
      <c r="H249" s="29" t="n"/>
      <c r="I249" s="25" t="n"/>
      <c r="J249" s="17" t="n"/>
      <c r="K249" s="19">
        <f>IF(BF249&gt;0,"O Google leu como fórmula: digite de novo com ' na frente.","")</f>
        <v/>
      </c>
      <c r="AQ249" s="2">
        <f>AQ248+IF(LEN($AY$249)&gt;0,1,0)</f>
        <v/>
      </c>
      <c r="AR249" s="2">
        <f>AR248+IF(LEN($BB$249)&gt;0,1,0)</f>
        <v/>
      </c>
      <c r="AS249" s="2">
        <f>AS248+IF(LEN($BE$249)&gt;0,1,0)</f>
        <v/>
      </c>
      <c r="AY249" s="2">
        <f>IF(ISERROR($B$249),"",IF(ISBLANK($B$249),"",$B$249))</f>
        <v/>
      </c>
      <c r="BB249" s="2">
        <f>IF(ISERROR($E$249),"",IF(ISBLANK($E$249),"",$E$249))</f>
        <v/>
      </c>
      <c r="BE249" s="2">
        <f>IF(ISERROR($H$249),"",IF(ISBLANK($H$249),"",$H$249))</f>
        <v/>
      </c>
      <c r="BF249" s="2">
        <f>ISERROR($B$249)*1+ISERROR($E$249)*1+ISERROR($H$249)*1</f>
        <v/>
      </c>
    </row>
    <row r="250" ht="60" customHeight="1">
      <c r="A250" s="9" t="inlineStr">
        <is>
          <t>100</t>
        </is>
      </c>
      <c r="B250" s="4" t="n"/>
      <c r="C250" s="25" t="n"/>
      <c r="D250" s="17" t="n"/>
      <c r="E250" s="4" t="n"/>
      <c r="F250" s="25" t="n"/>
      <c r="G250" s="17" t="n"/>
      <c r="H250" s="4" t="n"/>
      <c r="I250" s="25" t="n"/>
      <c r="J250" s="17" t="n"/>
      <c r="K250" s="19">
        <f>IF(BF250&gt;0,"O Google leu como fórmula: digite de novo com ' na frente.","")</f>
        <v/>
      </c>
      <c r="AQ250" s="2">
        <f>AQ249+IF(LEN($AY$250)&gt;0,1,0)</f>
        <v/>
      </c>
      <c r="AR250" s="2">
        <f>AR249+IF(LEN($BB$250)&gt;0,1,0)</f>
        <v/>
      </c>
      <c r="AS250" s="2">
        <f>AS249+IF(LEN($BE$250)&gt;0,1,0)</f>
        <v/>
      </c>
      <c r="AY250" s="2">
        <f>IF(ISERROR($B$250),"",IF(ISBLANK($B$250),"",$B$250))</f>
        <v/>
      </c>
      <c r="BB250" s="2">
        <f>IF(ISERROR($E$250),"",IF(ISBLANK($E$250),"",$E$250))</f>
        <v/>
      </c>
      <c r="BE250" s="2">
        <f>IF(ISERROR($H$250),"",IF(ISBLANK($H$250),"",$H$250))</f>
        <v/>
      </c>
      <c r="BF250" s="2">
        <f>ISERROR($B$250)*1+ISERROR($E$250)*1+ISERROR($H$250)*1</f>
        <v/>
      </c>
    </row>
    <row r="251"/>
    <row r="252" ht="20" customHeight="1">
      <c r="A252" s="13" t="inlineStr">
        <is>
          <t>Listas 7 a 9 (100 vagas cada): apague para trocar, use as vagas vazias para ampliar; não insira linhas</t>
        </is>
      </c>
    </row>
    <row r="253">
      <c r="A253" s="8" t="inlineStr">
        <is>
          <t>Vagas 1–13</t>
        </is>
      </c>
      <c r="B253" s="8" t="inlineStr">
        <is>
          <t>Tabela 7</t>
        </is>
      </c>
      <c r="C253" s="20" t="n"/>
      <c r="D253" s="20" t="n"/>
      <c r="E253" s="8" t="inlineStr">
        <is>
          <t>Tabela 8</t>
        </is>
      </c>
      <c r="F253" s="20" t="n"/>
      <c r="G253" s="20" t="n"/>
      <c r="H253" s="8" t="inlineStr">
        <is>
          <t>Tabela 9</t>
        </is>
      </c>
      <c r="I253" s="20" t="n"/>
      <c r="J253" s="20" t="n"/>
      <c r="AT253" s="2">
        <f>0</f>
        <v/>
      </c>
      <c r="AU253" s="2">
        <f>0</f>
        <v/>
      </c>
      <c r="AV253" s="2">
        <f>0</f>
        <v/>
      </c>
    </row>
    <row r="254" ht="60" customHeight="1">
      <c r="A254" s="9" t="inlineStr">
        <is>
          <t>1</t>
        </is>
      </c>
      <c r="B254" s="4" t="n"/>
      <c r="C254" s="25" t="n"/>
      <c r="D254" s="17" t="n"/>
      <c r="E254" s="4" t="n"/>
      <c r="F254" s="25" t="n"/>
      <c r="G254" s="17" t="n"/>
      <c r="H254" s="4" t="n"/>
      <c r="I254" s="25" t="n"/>
      <c r="J254" s="17" t="n"/>
      <c r="K254" s="19">
        <f>IF(BF254&gt;0,"O Google leu como fórmula: digite de novo com ' na frente.","")</f>
        <v/>
      </c>
      <c r="AT254" s="2">
        <f>AT253+IF(LEN($AY$254)&gt;0,1,0)</f>
        <v/>
      </c>
      <c r="AU254" s="2">
        <f>AU253+IF(LEN($BB$254)&gt;0,1,0)</f>
        <v/>
      </c>
      <c r="AV254" s="2">
        <f>AV253+IF(LEN($BE$254)&gt;0,1,0)</f>
        <v/>
      </c>
      <c r="AY254" s="2">
        <f>IF(ISERROR($B$254),"",IF(ISBLANK($B$254),"",$B$254))</f>
        <v/>
      </c>
      <c r="BB254" s="2">
        <f>IF(ISERROR($E$254),"",IF(ISBLANK($E$254),"",$E$254))</f>
        <v/>
      </c>
      <c r="BE254" s="2">
        <f>IF(ISERROR($H$254),"",IF(ISBLANK($H$254),"",$H$254))</f>
        <v/>
      </c>
      <c r="BF254" s="2">
        <f>ISERROR($B$254)*1+ISERROR($E$254)*1+ISERROR($H$254)*1</f>
        <v/>
      </c>
    </row>
    <row r="255" ht="60" customHeight="1">
      <c r="A255" s="21" t="inlineStr">
        <is>
          <t>2</t>
        </is>
      </c>
      <c r="B255" s="29" t="n"/>
      <c r="C255" s="25" t="n"/>
      <c r="D255" s="17" t="n"/>
      <c r="E255" s="29" t="n"/>
      <c r="F255" s="25" t="n"/>
      <c r="G255" s="17" t="n"/>
      <c r="H255" s="29" t="n"/>
      <c r="I255" s="25" t="n"/>
      <c r="J255" s="17" t="n"/>
      <c r="K255" s="19">
        <f>IF(BF255&gt;0,"O Google leu como fórmula: digite de novo com ' na frente.","")</f>
        <v/>
      </c>
      <c r="AT255" s="2">
        <f>AT254+IF(LEN($AY$255)&gt;0,1,0)</f>
        <v/>
      </c>
      <c r="AU255" s="2">
        <f>AU254+IF(LEN($BB$255)&gt;0,1,0)</f>
        <v/>
      </c>
      <c r="AV255" s="2">
        <f>AV254+IF(LEN($BE$255)&gt;0,1,0)</f>
        <v/>
      </c>
      <c r="AY255" s="2">
        <f>IF(ISERROR($B$255),"",IF(ISBLANK($B$255),"",$B$255))</f>
        <v/>
      </c>
      <c r="BB255" s="2">
        <f>IF(ISERROR($E$255),"",IF(ISBLANK($E$255),"",$E$255))</f>
        <v/>
      </c>
      <c r="BE255" s="2">
        <f>IF(ISERROR($H$255),"",IF(ISBLANK($H$255),"",$H$255))</f>
        <v/>
      </c>
      <c r="BF255" s="2">
        <f>ISERROR($B$255)*1+ISERROR($E$255)*1+ISERROR($H$255)*1</f>
        <v/>
      </c>
    </row>
    <row r="256" ht="60" customHeight="1">
      <c r="A256" s="9" t="inlineStr">
        <is>
          <t>3</t>
        </is>
      </c>
      <c r="B256" s="4" t="n"/>
      <c r="C256" s="25" t="n"/>
      <c r="D256" s="17" t="n"/>
      <c r="E256" s="4" t="n"/>
      <c r="F256" s="25" t="n"/>
      <c r="G256" s="17" t="n"/>
      <c r="H256" s="4" t="n"/>
      <c r="I256" s="25" t="n"/>
      <c r="J256" s="17" t="n"/>
      <c r="K256" s="19">
        <f>IF(BF256&gt;0,"O Google leu como fórmula: digite de novo com ' na frente.","")</f>
        <v/>
      </c>
      <c r="AT256" s="2">
        <f>AT255+IF(LEN($AY$256)&gt;0,1,0)</f>
        <v/>
      </c>
      <c r="AU256" s="2">
        <f>AU255+IF(LEN($BB$256)&gt;0,1,0)</f>
        <v/>
      </c>
      <c r="AV256" s="2">
        <f>AV255+IF(LEN($BE$256)&gt;0,1,0)</f>
        <v/>
      </c>
      <c r="AY256" s="2">
        <f>IF(ISERROR($B$256),"",IF(ISBLANK($B$256),"",$B$256))</f>
        <v/>
      </c>
      <c r="BB256" s="2">
        <f>IF(ISERROR($E$256),"",IF(ISBLANK($E$256),"",$E$256))</f>
        <v/>
      </c>
      <c r="BE256" s="2">
        <f>IF(ISERROR($H$256),"",IF(ISBLANK($H$256),"",$H$256))</f>
        <v/>
      </c>
      <c r="BF256" s="2">
        <f>ISERROR($B$256)*1+ISERROR($E$256)*1+ISERROR($H$256)*1</f>
        <v/>
      </c>
    </row>
    <row r="257" ht="60" customHeight="1">
      <c r="A257" s="21" t="inlineStr">
        <is>
          <t>4</t>
        </is>
      </c>
      <c r="B257" s="29" t="n"/>
      <c r="C257" s="25" t="n"/>
      <c r="D257" s="17" t="n"/>
      <c r="E257" s="29" t="n"/>
      <c r="F257" s="25" t="n"/>
      <c r="G257" s="17" t="n"/>
      <c r="H257" s="29" t="n"/>
      <c r="I257" s="25" t="n"/>
      <c r="J257" s="17" t="n"/>
      <c r="K257" s="19">
        <f>IF(BF257&gt;0,"O Google leu como fórmula: digite de novo com ' na frente.","")</f>
        <v/>
      </c>
      <c r="AT257" s="2">
        <f>AT256+IF(LEN($AY$257)&gt;0,1,0)</f>
        <v/>
      </c>
      <c r="AU257" s="2">
        <f>AU256+IF(LEN($BB$257)&gt;0,1,0)</f>
        <v/>
      </c>
      <c r="AV257" s="2">
        <f>AV256+IF(LEN($BE$257)&gt;0,1,0)</f>
        <v/>
      </c>
      <c r="AY257" s="2">
        <f>IF(ISERROR($B$257),"",IF(ISBLANK($B$257),"",$B$257))</f>
        <v/>
      </c>
      <c r="BB257" s="2">
        <f>IF(ISERROR($E$257),"",IF(ISBLANK($E$257),"",$E$257))</f>
        <v/>
      </c>
      <c r="BE257" s="2">
        <f>IF(ISERROR($H$257),"",IF(ISBLANK($H$257),"",$H$257))</f>
        <v/>
      </c>
      <c r="BF257" s="2">
        <f>ISERROR($B$257)*1+ISERROR($E$257)*1+ISERROR($H$257)*1</f>
        <v/>
      </c>
    </row>
    <row r="258" ht="60" customHeight="1">
      <c r="A258" s="9" t="inlineStr">
        <is>
          <t>5</t>
        </is>
      </c>
      <c r="B258" s="4" t="n"/>
      <c r="C258" s="25" t="n"/>
      <c r="D258" s="17" t="n"/>
      <c r="E258" s="4" t="n"/>
      <c r="F258" s="25" t="n"/>
      <c r="G258" s="17" t="n"/>
      <c r="H258" s="4" t="n"/>
      <c r="I258" s="25" t="n"/>
      <c r="J258" s="17" t="n"/>
      <c r="K258" s="19">
        <f>IF(BF258&gt;0,"O Google leu como fórmula: digite de novo com ' na frente.","")</f>
        <v/>
      </c>
      <c r="AT258" s="2">
        <f>AT257+IF(LEN($AY$258)&gt;0,1,0)</f>
        <v/>
      </c>
      <c r="AU258" s="2">
        <f>AU257+IF(LEN($BB$258)&gt;0,1,0)</f>
        <v/>
      </c>
      <c r="AV258" s="2">
        <f>AV257+IF(LEN($BE$258)&gt;0,1,0)</f>
        <v/>
      </c>
      <c r="AY258" s="2">
        <f>IF(ISERROR($B$258),"",IF(ISBLANK($B$258),"",$B$258))</f>
        <v/>
      </c>
      <c r="BB258" s="2">
        <f>IF(ISERROR($E$258),"",IF(ISBLANK($E$258),"",$E$258))</f>
        <v/>
      </c>
      <c r="BE258" s="2">
        <f>IF(ISERROR($H$258),"",IF(ISBLANK($H$258),"",$H$258))</f>
        <v/>
      </c>
      <c r="BF258" s="2">
        <f>ISERROR($B$258)*1+ISERROR($E$258)*1+ISERROR($H$258)*1</f>
        <v/>
      </c>
    </row>
    <row r="259" ht="60" customHeight="1">
      <c r="A259" s="21" t="inlineStr">
        <is>
          <t>6</t>
        </is>
      </c>
      <c r="B259" s="29" t="n"/>
      <c r="C259" s="25" t="n"/>
      <c r="D259" s="17" t="n"/>
      <c r="E259" s="29" t="n"/>
      <c r="F259" s="25" t="n"/>
      <c r="G259" s="17" t="n"/>
      <c r="H259" s="29" t="n"/>
      <c r="I259" s="25" t="n"/>
      <c r="J259" s="17" t="n"/>
      <c r="K259" s="19">
        <f>IF(BF259&gt;0,"O Google leu como fórmula: digite de novo com ' na frente.","")</f>
        <v/>
      </c>
      <c r="AT259" s="2">
        <f>AT258+IF(LEN($AY$259)&gt;0,1,0)</f>
        <v/>
      </c>
      <c r="AU259" s="2">
        <f>AU258+IF(LEN($BB$259)&gt;0,1,0)</f>
        <v/>
      </c>
      <c r="AV259" s="2">
        <f>AV258+IF(LEN($BE$259)&gt;0,1,0)</f>
        <v/>
      </c>
      <c r="AY259" s="2">
        <f>IF(ISERROR($B$259),"",IF(ISBLANK($B$259),"",$B$259))</f>
        <v/>
      </c>
      <c r="BB259" s="2">
        <f>IF(ISERROR($E$259),"",IF(ISBLANK($E$259),"",$E$259))</f>
        <v/>
      </c>
      <c r="BE259" s="2">
        <f>IF(ISERROR($H$259),"",IF(ISBLANK($H$259),"",$H$259))</f>
        <v/>
      </c>
      <c r="BF259" s="2">
        <f>ISERROR($B$259)*1+ISERROR($E$259)*1+ISERROR($H$259)*1</f>
        <v/>
      </c>
    </row>
    <row r="260" ht="60" customHeight="1">
      <c r="A260" s="9" t="inlineStr">
        <is>
          <t>7</t>
        </is>
      </c>
      <c r="B260" s="4" t="n"/>
      <c r="C260" s="25" t="n"/>
      <c r="D260" s="17" t="n"/>
      <c r="E260" s="4" t="n"/>
      <c r="F260" s="25" t="n"/>
      <c r="G260" s="17" t="n"/>
      <c r="H260" s="4" t="n"/>
      <c r="I260" s="25" t="n"/>
      <c r="J260" s="17" t="n"/>
      <c r="K260" s="19">
        <f>IF(BF260&gt;0,"O Google leu como fórmula: digite de novo com ' na frente.","")</f>
        <v/>
      </c>
      <c r="AT260" s="2">
        <f>AT259+IF(LEN($AY$260)&gt;0,1,0)</f>
        <v/>
      </c>
      <c r="AU260" s="2">
        <f>AU259+IF(LEN($BB$260)&gt;0,1,0)</f>
        <v/>
      </c>
      <c r="AV260" s="2">
        <f>AV259+IF(LEN($BE$260)&gt;0,1,0)</f>
        <v/>
      </c>
      <c r="AY260" s="2">
        <f>IF(ISERROR($B$260),"",IF(ISBLANK($B$260),"",$B$260))</f>
        <v/>
      </c>
      <c r="BB260" s="2">
        <f>IF(ISERROR($E$260),"",IF(ISBLANK($E$260),"",$E$260))</f>
        <v/>
      </c>
      <c r="BE260" s="2">
        <f>IF(ISERROR($H$260),"",IF(ISBLANK($H$260),"",$H$260))</f>
        <v/>
      </c>
      <c r="BF260" s="2">
        <f>ISERROR($B$260)*1+ISERROR($E$260)*1+ISERROR($H$260)*1</f>
        <v/>
      </c>
    </row>
    <row r="261" ht="60" customHeight="1">
      <c r="A261" s="21" t="inlineStr">
        <is>
          <t>8</t>
        </is>
      </c>
      <c r="B261" s="29" t="n"/>
      <c r="C261" s="25" t="n"/>
      <c r="D261" s="17" t="n"/>
      <c r="E261" s="29" t="n"/>
      <c r="F261" s="25" t="n"/>
      <c r="G261" s="17" t="n"/>
      <c r="H261" s="29" t="n"/>
      <c r="I261" s="25" t="n"/>
      <c r="J261" s="17" t="n"/>
      <c r="K261" s="19">
        <f>IF(BF261&gt;0,"O Google leu como fórmula: digite de novo com ' na frente.","")</f>
        <v/>
      </c>
      <c r="AT261" s="2">
        <f>AT260+IF(LEN($AY$261)&gt;0,1,0)</f>
        <v/>
      </c>
      <c r="AU261" s="2">
        <f>AU260+IF(LEN($BB$261)&gt;0,1,0)</f>
        <v/>
      </c>
      <c r="AV261" s="2">
        <f>AV260+IF(LEN($BE$261)&gt;0,1,0)</f>
        <v/>
      </c>
      <c r="AY261" s="2">
        <f>IF(ISERROR($B$261),"",IF(ISBLANK($B$261),"",$B$261))</f>
        <v/>
      </c>
      <c r="BB261" s="2">
        <f>IF(ISERROR($E$261),"",IF(ISBLANK($E$261),"",$E$261))</f>
        <v/>
      </c>
      <c r="BE261" s="2">
        <f>IF(ISERROR($H$261),"",IF(ISBLANK($H$261),"",$H$261))</f>
        <v/>
      </c>
      <c r="BF261" s="2">
        <f>ISERROR($B$261)*1+ISERROR($E$261)*1+ISERROR($H$261)*1</f>
        <v/>
      </c>
    </row>
    <row r="262" ht="60" customHeight="1">
      <c r="A262" s="9" t="inlineStr">
        <is>
          <t>9</t>
        </is>
      </c>
      <c r="B262" s="4" t="n"/>
      <c r="C262" s="25" t="n"/>
      <c r="D262" s="17" t="n"/>
      <c r="E262" s="4" t="n"/>
      <c r="F262" s="25" t="n"/>
      <c r="G262" s="17" t="n"/>
      <c r="H262" s="4" t="n"/>
      <c r="I262" s="25" t="n"/>
      <c r="J262" s="17" t="n"/>
      <c r="K262" s="19">
        <f>IF(BF262&gt;0,"O Google leu como fórmula: digite de novo com ' na frente.","")</f>
        <v/>
      </c>
      <c r="AT262" s="2">
        <f>AT261+IF(LEN($AY$262)&gt;0,1,0)</f>
        <v/>
      </c>
      <c r="AU262" s="2">
        <f>AU261+IF(LEN($BB$262)&gt;0,1,0)</f>
        <v/>
      </c>
      <c r="AV262" s="2">
        <f>AV261+IF(LEN($BE$262)&gt;0,1,0)</f>
        <v/>
      </c>
      <c r="AY262" s="2">
        <f>IF(ISERROR($B$262),"",IF(ISBLANK($B$262),"",$B$262))</f>
        <v/>
      </c>
      <c r="BB262" s="2">
        <f>IF(ISERROR($E$262),"",IF(ISBLANK($E$262),"",$E$262))</f>
        <v/>
      </c>
      <c r="BE262" s="2">
        <f>IF(ISERROR($H$262),"",IF(ISBLANK($H$262),"",$H$262))</f>
        <v/>
      </c>
      <c r="BF262" s="2">
        <f>ISERROR($B$262)*1+ISERROR($E$262)*1+ISERROR($H$262)*1</f>
        <v/>
      </c>
    </row>
    <row r="263" ht="60" customHeight="1">
      <c r="A263" s="21" t="inlineStr">
        <is>
          <t>10</t>
        </is>
      </c>
      <c r="B263" s="29" t="n"/>
      <c r="C263" s="25" t="n"/>
      <c r="D263" s="17" t="n"/>
      <c r="E263" s="29" t="n"/>
      <c r="F263" s="25" t="n"/>
      <c r="G263" s="17" t="n"/>
      <c r="H263" s="29" t="n"/>
      <c r="I263" s="25" t="n"/>
      <c r="J263" s="17" t="n"/>
      <c r="K263" s="19">
        <f>IF(BF263&gt;0,"O Google leu como fórmula: digite de novo com ' na frente.","")</f>
        <v/>
      </c>
      <c r="AT263" s="2">
        <f>AT262+IF(LEN($AY$263)&gt;0,1,0)</f>
        <v/>
      </c>
      <c r="AU263" s="2">
        <f>AU262+IF(LEN($BB$263)&gt;0,1,0)</f>
        <v/>
      </c>
      <c r="AV263" s="2">
        <f>AV262+IF(LEN($BE$263)&gt;0,1,0)</f>
        <v/>
      </c>
      <c r="AY263" s="2">
        <f>IF(ISERROR($B$263),"",IF(ISBLANK($B$263),"",$B$263))</f>
        <v/>
      </c>
      <c r="BB263" s="2">
        <f>IF(ISERROR($E$263),"",IF(ISBLANK($E$263),"",$E$263))</f>
        <v/>
      </c>
      <c r="BE263" s="2">
        <f>IF(ISERROR($H$263),"",IF(ISBLANK($H$263),"",$H$263))</f>
        <v/>
      </c>
      <c r="BF263" s="2">
        <f>ISERROR($B$263)*1+ISERROR($E$263)*1+ISERROR($H$263)*1</f>
        <v/>
      </c>
    </row>
    <row r="264" ht="60" customHeight="1">
      <c r="A264" s="9" t="inlineStr">
        <is>
          <t>11</t>
        </is>
      </c>
      <c r="B264" s="4" t="n"/>
      <c r="C264" s="25" t="n"/>
      <c r="D264" s="17" t="n"/>
      <c r="E264" s="4" t="n"/>
      <c r="F264" s="25" t="n"/>
      <c r="G264" s="17" t="n"/>
      <c r="H264" s="4" t="n"/>
      <c r="I264" s="25" t="n"/>
      <c r="J264" s="17" t="n"/>
      <c r="K264" s="19">
        <f>IF(BF264&gt;0,"O Google leu como fórmula: digite de novo com ' na frente.","")</f>
        <v/>
      </c>
      <c r="AT264" s="2">
        <f>AT263+IF(LEN($AY$264)&gt;0,1,0)</f>
        <v/>
      </c>
      <c r="AU264" s="2">
        <f>AU263+IF(LEN($BB$264)&gt;0,1,0)</f>
        <v/>
      </c>
      <c r="AV264" s="2">
        <f>AV263+IF(LEN($BE$264)&gt;0,1,0)</f>
        <v/>
      </c>
      <c r="AY264" s="2">
        <f>IF(ISERROR($B$264),"",IF(ISBLANK($B$264),"",$B$264))</f>
        <v/>
      </c>
      <c r="BB264" s="2">
        <f>IF(ISERROR($E$264),"",IF(ISBLANK($E$264),"",$E$264))</f>
        <v/>
      </c>
      <c r="BE264" s="2">
        <f>IF(ISERROR($H$264),"",IF(ISBLANK($H$264),"",$H$264))</f>
        <v/>
      </c>
      <c r="BF264" s="2">
        <f>ISERROR($B$264)*1+ISERROR($E$264)*1+ISERROR($H$264)*1</f>
        <v/>
      </c>
    </row>
    <row r="265" ht="60" customHeight="1">
      <c r="A265" s="21" t="inlineStr">
        <is>
          <t>12</t>
        </is>
      </c>
      <c r="B265" s="29" t="n"/>
      <c r="C265" s="25" t="n"/>
      <c r="D265" s="17" t="n"/>
      <c r="E265" s="29" t="n"/>
      <c r="F265" s="25" t="n"/>
      <c r="G265" s="17" t="n"/>
      <c r="H265" s="29" t="n"/>
      <c r="I265" s="25" t="n"/>
      <c r="J265" s="17" t="n"/>
      <c r="K265" s="19">
        <f>IF(BF265&gt;0,"O Google leu como fórmula: digite de novo com ' na frente.","")</f>
        <v/>
      </c>
      <c r="AT265" s="2">
        <f>AT264+IF(LEN($AY$265)&gt;0,1,0)</f>
        <v/>
      </c>
      <c r="AU265" s="2">
        <f>AU264+IF(LEN($BB$265)&gt;0,1,0)</f>
        <v/>
      </c>
      <c r="AV265" s="2">
        <f>AV264+IF(LEN($BE$265)&gt;0,1,0)</f>
        <v/>
      </c>
      <c r="AY265" s="2">
        <f>IF(ISERROR($B$265),"",IF(ISBLANK($B$265),"",$B$265))</f>
        <v/>
      </c>
      <c r="BB265" s="2">
        <f>IF(ISERROR($E$265),"",IF(ISBLANK($E$265),"",$E$265))</f>
        <v/>
      </c>
      <c r="BE265" s="2">
        <f>IF(ISERROR($H$265),"",IF(ISBLANK($H$265),"",$H$265))</f>
        <v/>
      </c>
      <c r="BF265" s="2">
        <f>ISERROR($B$265)*1+ISERROR($E$265)*1+ISERROR($H$265)*1</f>
        <v/>
      </c>
    </row>
    <row r="266" ht="71" customHeight="1">
      <c r="A266" s="9" t="inlineStr">
        <is>
          <t>13</t>
        </is>
      </c>
      <c r="B266" s="4" t="n"/>
      <c r="C266" s="25" t="n"/>
      <c r="D266" s="17" t="n"/>
      <c r="E266" s="4" t="n"/>
      <c r="F266" s="25" t="n"/>
      <c r="G266" s="17" t="n"/>
      <c r="H266" s="4" t="n"/>
      <c r="I266" s="25" t="n"/>
      <c r="J266" s="17" t="n"/>
      <c r="K266" s="19">
        <f>IF(BF266&gt;0,"O Google leu como fórmula: digite de novo com ' na frente.","")</f>
        <v/>
      </c>
      <c r="AT266" s="2">
        <f>AT265+IF(LEN($AY$266)&gt;0,1,0)</f>
        <v/>
      </c>
      <c r="AU266" s="2">
        <f>AU265+IF(LEN($BB$266)&gt;0,1,0)</f>
        <v/>
      </c>
      <c r="AV266" s="2">
        <f>AV265+IF(LEN($BE$266)&gt;0,1,0)</f>
        <v/>
      </c>
      <c r="AY266" s="2">
        <f>IF(ISERROR($B$266),"",IF(ISBLANK($B$266),"",$B$266))</f>
        <v/>
      </c>
      <c r="BB266" s="2">
        <f>IF(ISERROR($E$266),"",IF(ISBLANK($E$266),"",$E$266))</f>
        <v/>
      </c>
      <c r="BE266" s="2">
        <f>IF(ISERROR($H$266),"",IF(ISBLANK($H$266),"",$H$266))</f>
        <v/>
      </c>
      <c r="BF266" s="2">
        <f>ISERROR($B$266)*1+ISERROR($E$266)*1+ISERROR($H$266)*1</f>
        <v/>
      </c>
    </row>
    <row r="267">
      <c r="A267" s="8" t="inlineStr">
        <is>
          <t>Vagas 14–26</t>
        </is>
      </c>
      <c r="B267" s="8" t="inlineStr">
        <is>
          <t>Tabela 7</t>
        </is>
      </c>
      <c r="C267" s="20" t="n"/>
      <c r="D267" s="20" t="n"/>
      <c r="E267" s="8" t="inlineStr">
        <is>
          <t>Tabela 8</t>
        </is>
      </c>
      <c r="F267" s="20" t="n"/>
      <c r="G267" s="20" t="n"/>
      <c r="H267" s="8" t="inlineStr">
        <is>
          <t>Tabela 9</t>
        </is>
      </c>
      <c r="I267" s="20" t="n"/>
      <c r="J267" s="20" t="n"/>
      <c r="AT267" s="2">
        <f>AT266</f>
        <v/>
      </c>
      <c r="AU267" s="2">
        <f>AU266</f>
        <v/>
      </c>
      <c r="AV267" s="2">
        <f>AV266</f>
        <v/>
      </c>
      <c r="AY267" s="2">
        <f>IF(ISERROR($B$267),"",IF(ISBLANK($B$267),"",$B$267))</f>
        <v/>
      </c>
      <c r="BB267" s="2">
        <f>IF(ISERROR($E$267),"",IF(ISBLANK($E$267),"",$E$267))</f>
        <v/>
      </c>
      <c r="BE267" s="2">
        <f>IF(ISERROR($H$267),"",IF(ISBLANK($H$267),"",$H$267))</f>
        <v/>
      </c>
    </row>
    <row r="268" ht="60" customHeight="1">
      <c r="A268" s="9" t="inlineStr">
        <is>
          <t>14</t>
        </is>
      </c>
      <c r="B268" s="4" t="n"/>
      <c r="C268" s="25" t="n"/>
      <c r="D268" s="17" t="n"/>
      <c r="E268" s="4" t="n"/>
      <c r="F268" s="25" t="n"/>
      <c r="G268" s="17" t="n"/>
      <c r="H268" s="4" t="n"/>
      <c r="I268" s="25" t="n"/>
      <c r="J268" s="17" t="n"/>
      <c r="K268" s="19">
        <f>IF(BF268&gt;0,"O Google leu como fórmula: digite de novo com ' na frente.","")</f>
        <v/>
      </c>
      <c r="AT268" s="2">
        <f>AT267+IF(LEN($AY$268)&gt;0,1,0)</f>
        <v/>
      </c>
      <c r="AU268" s="2">
        <f>AU267+IF(LEN($BB$268)&gt;0,1,0)</f>
        <v/>
      </c>
      <c r="AV268" s="2">
        <f>AV267+IF(LEN($BE$268)&gt;0,1,0)</f>
        <v/>
      </c>
      <c r="AY268" s="2">
        <f>IF(ISERROR($B$268),"",IF(ISBLANK($B$268),"",$B$268))</f>
        <v/>
      </c>
      <c r="BB268" s="2">
        <f>IF(ISERROR($E$268),"",IF(ISBLANK($E$268),"",$E$268))</f>
        <v/>
      </c>
      <c r="BE268" s="2">
        <f>IF(ISERROR($H$268),"",IF(ISBLANK($H$268),"",$H$268))</f>
        <v/>
      </c>
      <c r="BF268" s="2">
        <f>ISERROR($B$268)*1+ISERROR($E$268)*1+ISERROR($H$268)*1</f>
        <v/>
      </c>
    </row>
    <row r="269" ht="60" customHeight="1">
      <c r="A269" s="21" t="inlineStr">
        <is>
          <t>15</t>
        </is>
      </c>
      <c r="B269" s="29" t="n"/>
      <c r="C269" s="25" t="n"/>
      <c r="D269" s="17" t="n"/>
      <c r="E269" s="29" t="n"/>
      <c r="F269" s="25" t="n"/>
      <c r="G269" s="17" t="n"/>
      <c r="H269" s="29" t="n"/>
      <c r="I269" s="25" t="n"/>
      <c r="J269" s="17" t="n"/>
      <c r="K269" s="19">
        <f>IF(BF269&gt;0,"O Google leu como fórmula: digite de novo com ' na frente.","")</f>
        <v/>
      </c>
      <c r="AT269" s="2">
        <f>AT268+IF(LEN($AY$269)&gt;0,1,0)</f>
        <v/>
      </c>
      <c r="AU269" s="2">
        <f>AU268+IF(LEN($BB$269)&gt;0,1,0)</f>
        <v/>
      </c>
      <c r="AV269" s="2">
        <f>AV268+IF(LEN($BE$269)&gt;0,1,0)</f>
        <v/>
      </c>
      <c r="AY269" s="2">
        <f>IF(ISERROR($B$269),"",IF(ISBLANK($B$269),"",$B$269))</f>
        <v/>
      </c>
      <c r="BB269" s="2">
        <f>IF(ISERROR($E$269),"",IF(ISBLANK($E$269),"",$E$269))</f>
        <v/>
      </c>
      <c r="BE269" s="2">
        <f>IF(ISERROR($H$269),"",IF(ISBLANK($H$269),"",$H$269))</f>
        <v/>
      </c>
      <c r="BF269" s="2">
        <f>ISERROR($B$269)*1+ISERROR($E$269)*1+ISERROR($H$269)*1</f>
        <v/>
      </c>
    </row>
    <row r="270" ht="60" customHeight="1">
      <c r="A270" s="9" t="inlineStr">
        <is>
          <t>16</t>
        </is>
      </c>
      <c r="B270" s="4" t="n"/>
      <c r="C270" s="25" t="n"/>
      <c r="D270" s="17" t="n"/>
      <c r="E270" s="4" t="n"/>
      <c r="F270" s="25" t="n"/>
      <c r="G270" s="17" t="n"/>
      <c r="H270" s="4" t="n"/>
      <c r="I270" s="25" t="n"/>
      <c r="J270" s="17" t="n"/>
      <c r="K270" s="19">
        <f>IF(BF270&gt;0,"O Google leu como fórmula: digite de novo com ' na frente.","")</f>
        <v/>
      </c>
      <c r="AT270" s="2">
        <f>AT269+IF(LEN($AY$270)&gt;0,1,0)</f>
        <v/>
      </c>
      <c r="AU270" s="2">
        <f>AU269+IF(LEN($BB$270)&gt;0,1,0)</f>
        <v/>
      </c>
      <c r="AV270" s="2">
        <f>AV269+IF(LEN($BE$270)&gt;0,1,0)</f>
        <v/>
      </c>
      <c r="AY270" s="2">
        <f>IF(ISERROR($B$270),"",IF(ISBLANK($B$270),"",$B$270))</f>
        <v/>
      </c>
      <c r="BB270" s="2">
        <f>IF(ISERROR($E$270),"",IF(ISBLANK($E$270),"",$E$270))</f>
        <v/>
      </c>
      <c r="BE270" s="2">
        <f>IF(ISERROR($H$270),"",IF(ISBLANK($H$270),"",$H$270))</f>
        <v/>
      </c>
      <c r="BF270" s="2">
        <f>ISERROR($B$270)*1+ISERROR($E$270)*1+ISERROR($H$270)*1</f>
        <v/>
      </c>
    </row>
    <row r="271" ht="60" customHeight="1">
      <c r="A271" s="21" t="inlineStr">
        <is>
          <t>17</t>
        </is>
      </c>
      <c r="B271" s="29" t="n"/>
      <c r="C271" s="25" t="n"/>
      <c r="D271" s="17" t="n"/>
      <c r="E271" s="29" t="n"/>
      <c r="F271" s="25" t="n"/>
      <c r="G271" s="17" t="n"/>
      <c r="H271" s="29" t="n"/>
      <c r="I271" s="25" t="n"/>
      <c r="J271" s="17" t="n"/>
      <c r="K271" s="19">
        <f>IF(BF271&gt;0,"O Google leu como fórmula: digite de novo com ' na frente.","")</f>
        <v/>
      </c>
      <c r="AT271" s="2">
        <f>AT270+IF(LEN($AY$271)&gt;0,1,0)</f>
        <v/>
      </c>
      <c r="AU271" s="2">
        <f>AU270+IF(LEN($BB$271)&gt;0,1,0)</f>
        <v/>
      </c>
      <c r="AV271" s="2">
        <f>AV270+IF(LEN($BE$271)&gt;0,1,0)</f>
        <v/>
      </c>
      <c r="AY271" s="2">
        <f>IF(ISERROR($B$271),"",IF(ISBLANK($B$271),"",$B$271))</f>
        <v/>
      </c>
      <c r="BB271" s="2">
        <f>IF(ISERROR($E$271),"",IF(ISBLANK($E$271),"",$E$271))</f>
        <v/>
      </c>
      <c r="BE271" s="2">
        <f>IF(ISERROR($H$271),"",IF(ISBLANK($H$271),"",$H$271))</f>
        <v/>
      </c>
      <c r="BF271" s="2">
        <f>ISERROR($B$271)*1+ISERROR($E$271)*1+ISERROR($H$271)*1</f>
        <v/>
      </c>
    </row>
    <row r="272" ht="60" customHeight="1">
      <c r="A272" s="9" t="inlineStr">
        <is>
          <t>18</t>
        </is>
      </c>
      <c r="B272" s="4" t="n"/>
      <c r="C272" s="25" t="n"/>
      <c r="D272" s="17" t="n"/>
      <c r="E272" s="4" t="n"/>
      <c r="F272" s="25" t="n"/>
      <c r="G272" s="17" t="n"/>
      <c r="H272" s="4" t="n"/>
      <c r="I272" s="25" t="n"/>
      <c r="J272" s="17" t="n"/>
      <c r="K272" s="19">
        <f>IF(BF272&gt;0,"O Google leu como fórmula: digite de novo com ' na frente.","")</f>
        <v/>
      </c>
      <c r="AT272" s="2">
        <f>AT271+IF(LEN($AY$272)&gt;0,1,0)</f>
        <v/>
      </c>
      <c r="AU272" s="2">
        <f>AU271+IF(LEN($BB$272)&gt;0,1,0)</f>
        <v/>
      </c>
      <c r="AV272" s="2">
        <f>AV271+IF(LEN($BE$272)&gt;0,1,0)</f>
        <v/>
      </c>
      <c r="AY272" s="2">
        <f>IF(ISERROR($B$272),"",IF(ISBLANK($B$272),"",$B$272))</f>
        <v/>
      </c>
      <c r="BB272" s="2">
        <f>IF(ISERROR($E$272),"",IF(ISBLANK($E$272),"",$E$272))</f>
        <v/>
      </c>
      <c r="BE272" s="2">
        <f>IF(ISERROR($H$272),"",IF(ISBLANK($H$272),"",$H$272))</f>
        <v/>
      </c>
      <c r="BF272" s="2">
        <f>ISERROR($B$272)*1+ISERROR($E$272)*1+ISERROR($H$272)*1</f>
        <v/>
      </c>
    </row>
    <row r="273" ht="60" customHeight="1">
      <c r="A273" s="21" t="inlineStr">
        <is>
          <t>19</t>
        </is>
      </c>
      <c r="B273" s="29" t="n"/>
      <c r="C273" s="25" t="n"/>
      <c r="D273" s="17" t="n"/>
      <c r="E273" s="29" t="n"/>
      <c r="F273" s="25" t="n"/>
      <c r="G273" s="17" t="n"/>
      <c r="H273" s="29" t="n"/>
      <c r="I273" s="25" t="n"/>
      <c r="J273" s="17" t="n"/>
      <c r="K273" s="19">
        <f>IF(BF273&gt;0,"O Google leu como fórmula: digite de novo com ' na frente.","")</f>
        <v/>
      </c>
      <c r="AT273" s="2">
        <f>AT272+IF(LEN($AY$273)&gt;0,1,0)</f>
        <v/>
      </c>
      <c r="AU273" s="2">
        <f>AU272+IF(LEN($BB$273)&gt;0,1,0)</f>
        <v/>
      </c>
      <c r="AV273" s="2">
        <f>AV272+IF(LEN($BE$273)&gt;0,1,0)</f>
        <v/>
      </c>
      <c r="AY273" s="2">
        <f>IF(ISERROR($B$273),"",IF(ISBLANK($B$273),"",$B$273))</f>
        <v/>
      </c>
      <c r="BB273" s="2">
        <f>IF(ISERROR($E$273),"",IF(ISBLANK($E$273),"",$E$273))</f>
        <v/>
      </c>
      <c r="BE273" s="2">
        <f>IF(ISERROR($H$273),"",IF(ISBLANK($H$273),"",$H$273))</f>
        <v/>
      </c>
      <c r="BF273" s="2">
        <f>ISERROR($B$273)*1+ISERROR($E$273)*1+ISERROR($H$273)*1</f>
        <v/>
      </c>
    </row>
    <row r="274" ht="60" customHeight="1">
      <c r="A274" s="9" t="inlineStr">
        <is>
          <t>20</t>
        </is>
      </c>
      <c r="B274" s="4" t="n"/>
      <c r="C274" s="25" t="n"/>
      <c r="D274" s="17" t="n"/>
      <c r="E274" s="4" t="n"/>
      <c r="F274" s="25" t="n"/>
      <c r="G274" s="17" t="n"/>
      <c r="H274" s="4" t="n"/>
      <c r="I274" s="25" t="n"/>
      <c r="J274" s="17" t="n"/>
      <c r="K274" s="19">
        <f>IF(BF274&gt;0,"O Google leu como fórmula: digite de novo com ' na frente.","")</f>
        <v/>
      </c>
      <c r="AT274" s="2">
        <f>AT273+IF(LEN($AY$274)&gt;0,1,0)</f>
        <v/>
      </c>
      <c r="AU274" s="2">
        <f>AU273+IF(LEN($BB$274)&gt;0,1,0)</f>
        <v/>
      </c>
      <c r="AV274" s="2">
        <f>AV273+IF(LEN($BE$274)&gt;0,1,0)</f>
        <v/>
      </c>
      <c r="AY274" s="2">
        <f>IF(ISERROR($B$274),"",IF(ISBLANK($B$274),"",$B$274))</f>
        <v/>
      </c>
      <c r="BB274" s="2">
        <f>IF(ISERROR($E$274),"",IF(ISBLANK($E$274),"",$E$274))</f>
        <v/>
      </c>
      <c r="BE274" s="2">
        <f>IF(ISERROR($H$274),"",IF(ISBLANK($H$274),"",$H$274))</f>
        <v/>
      </c>
      <c r="BF274" s="2">
        <f>ISERROR($B$274)*1+ISERROR($E$274)*1+ISERROR($H$274)*1</f>
        <v/>
      </c>
    </row>
    <row r="275" ht="60" customHeight="1">
      <c r="A275" s="21" t="inlineStr">
        <is>
          <t>21</t>
        </is>
      </c>
      <c r="B275" s="29" t="n"/>
      <c r="C275" s="25" t="n"/>
      <c r="D275" s="17" t="n"/>
      <c r="E275" s="29" t="n"/>
      <c r="F275" s="25" t="n"/>
      <c r="G275" s="17" t="n"/>
      <c r="H275" s="29" t="n"/>
      <c r="I275" s="25" t="n"/>
      <c r="J275" s="17" t="n"/>
      <c r="K275" s="19">
        <f>IF(BF275&gt;0,"O Google leu como fórmula: digite de novo com ' na frente.","")</f>
        <v/>
      </c>
      <c r="AT275" s="2">
        <f>AT274+IF(LEN($AY$275)&gt;0,1,0)</f>
        <v/>
      </c>
      <c r="AU275" s="2">
        <f>AU274+IF(LEN($BB$275)&gt;0,1,0)</f>
        <v/>
      </c>
      <c r="AV275" s="2">
        <f>AV274+IF(LEN($BE$275)&gt;0,1,0)</f>
        <v/>
      </c>
      <c r="AY275" s="2">
        <f>IF(ISERROR($B$275),"",IF(ISBLANK($B$275),"",$B$275))</f>
        <v/>
      </c>
      <c r="BB275" s="2">
        <f>IF(ISERROR($E$275),"",IF(ISBLANK($E$275),"",$E$275))</f>
        <v/>
      </c>
      <c r="BE275" s="2">
        <f>IF(ISERROR($H$275),"",IF(ISBLANK($H$275),"",$H$275))</f>
        <v/>
      </c>
      <c r="BF275" s="2">
        <f>ISERROR($B$275)*1+ISERROR($E$275)*1+ISERROR($H$275)*1</f>
        <v/>
      </c>
    </row>
    <row r="276" ht="60" customHeight="1">
      <c r="A276" s="9" t="inlineStr">
        <is>
          <t>22</t>
        </is>
      </c>
      <c r="B276" s="4" t="n"/>
      <c r="C276" s="25" t="n"/>
      <c r="D276" s="17" t="n"/>
      <c r="E276" s="4" t="n"/>
      <c r="F276" s="25" t="n"/>
      <c r="G276" s="17" t="n"/>
      <c r="H276" s="4" t="n"/>
      <c r="I276" s="25" t="n"/>
      <c r="J276" s="17" t="n"/>
      <c r="K276" s="19">
        <f>IF(BF276&gt;0,"O Google leu como fórmula: digite de novo com ' na frente.","")</f>
        <v/>
      </c>
      <c r="AT276" s="2">
        <f>AT275+IF(LEN($AY$276)&gt;0,1,0)</f>
        <v/>
      </c>
      <c r="AU276" s="2">
        <f>AU275+IF(LEN($BB$276)&gt;0,1,0)</f>
        <v/>
      </c>
      <c r="AV276" s="2">
        <f>AV275+IF(LEN($BE$276)&gt;0,1,0)</f>
        <v/>
      </c>
      <c r="AY276" s="2">
        <f>IF(ISERROR($B$276),"",IF(ISBLANK($B$276),"",$B$276))</f>
        <v/>
      </c>
      <c r="BB276" s="2">
        <f>IF(ISERROR($E$276),"",IF(ISBLANK($E$276),"",$E$276))</f>
        <v/>
      </c>
      <c r="BE276" s="2">
        <f>IF(ISERROR($H$276),"",IF(ISBLANK($H$276),"",$H$276))</f>
        <v/>
      </c>
      <c r="BF276" s="2">
        <f>ISERROR($B$276)*1+ISERROR($E$276)*1+ISERROR($H$276)*1</f>
        <v/>
      </c>
    </row>
    <row r="277" ht="60" customHeight="1">
      <c r="A277" s="21" t="inlineStr">
        <is>
          <t>23</t>
        </is>
      </c>
      <c r="B277" s="29" t="n"/>
      <c r="C277" s="25" t="n"/>
      <c r="D277" s="17" t="n"/>
      <c r="E277" s="29" t="n"/>
      <c r="F277" s="25" t="n"/>
      <c r="G277" s="17" t="n"/>
      <c r="H277" s="29" t="n"/>
      <c r="I277" s="25" t="n"/>
      <c r="J277" s="17" t="n"/>
      <c r="K277" s="19">
        <f>IF(BF277&gt;0,"O Google leu como fórmula: digite de novo com ' na frente.","")</f>
        <v/>
      </c>
      <c r="AT277" s="2">
        <f>AT276+IF(LEN($AY$277)&gt;0,1,0)</f>
        <v/>
      </c>
      <c r="AU277" s="2">
        <f>AU276+IF(LEN($BB$277)&gt;0,1,0)</f>
        <v/>
      </c>
      <c r="AV277" s="2">
        <f>AV276+IF(LEN($BE$277)&gt;0,1,0)</f>
        <v/>
      </c>
      <c r="AY277" s="2">
        <f>IF(ISERROR($B$277),"",IF(ISBLANK($B$277),"",$B$277))</f>
        <v/>
      </c>
      <c r="BB277" s="2">
        <f>IF(ISERROR($E$277),"",IF(ISBLANK($E$277),"",$E$277))</f>
        <v/>
      </c>
      <c r="BE277" s="2">
        <f>IF(ISERROR($H$277),"",IF(ISBLANK($H$277),"",$H$277))</f>
        <v/>
      </c>
      <c r="BF277" s="2">
        <f>ISERROR($B$277)*1+ISERROR($E$277)*1+ISERROR($H$277)*1</f>
        <v/>
      </c>
    </row>
    <row r="278" ht="60" customHeight="1">
      <c r="A278" s="9" t="inlineStr">
        <is>
          <t>24</t>
        </is>
      </c>
      <c r="B278" s="4" t="n"/>
      <c r="C278" s="25" t="n"/>
      <c r="D278" s="17" t="n"/>
      <c r="E278" s="4" t="n"/>
      <c r="F278" s="25" t="n"/>
      <c r="G278" s="17" t="n"/>
      <c r="H278" s="4" t="n"/>
      <c r="I278" s="25" t="n"/>
      <c r="J278" s="17" t="n"/>
      <c r="K278" s="19">
        <f>IF(BF278&gt;0,"O Google leu como fórmula: digite de novo com ' na frente.","")</f>
        <v/>
      </c>
      <c r="AT278" s="2">
        <f>AT277+IF(LEN($AY$278)&gt;0,1,0)</f>
        <v/>
      </c>
      <c r="AU278" s="2">
        <f>AU277+IF(LEN($BB$278)&gt;0,1,0)</f>
        <v/>
      </c>
      <c r="AV278" s="2">
        <f>AV277+IF(LEN($BE$278)&gt;0,1,0)</f>
        <v/>
      </c>
      <c r="AY278" s="2">
        <f>IF(ISERROR($B$278),"",IF(ISBLANK($B$278),"",$B$278))</f>
        <v/>
      </c>
      <c r="BB278" s="2">
        <f>IF(ISERROR($E$278),"",IF(ISBLANK($E$278),"",$E$278))</f>
        <v/>
      </c>
      <c r="BE278" s="2">
        <f>IF(ISERROR($H$278),"",IF(ISBLANK($H$278),"",$H$278))</f>
        <v/>
      </c>
      <c r="BF278" s="2">
        <f>ISERROR($B$278)*1+ISERROR($E$278)*1+ISERROR($H$278)*1</f>
        <v/>
      </c>
    </row>
    <row r="279" ht="60" customHeight="1">
      <c r="A279" s="21" t="inlineStr">
        <is>
          <t>25</t>
        </is>
      </c>
      <c r="B279" s="29" t="n"/>
      <c r="C279" s="25" t="n"/>
      <c r="D279" s="17" t="n"/>
      <c r="E279" s="29" t="n"/>
      <c r="F279" s="25" t="n"/>
      <c r="G279" s="17" t="n"/>
      <c r="H279" s="29" t="n"/>
      <c r="I279" s="25" t="n"/>
      <c r="J279" s="17" t="n"/>
      <c r="K279" s="19">
        <f>IF(BF279&gt;0,"O Google leu como fórmula: digite de novo com ' na frente.","")</f>
        <v/>
      </c>
      <c r="AT279" s="2">
        <f>AT278+IF(LEN($AY$279)&gt;0,1,0)</f>
        <v/>
      </c>
      <c r="AU279" s="2">
        <f>AU278+IF(LEN($BB$279)&gt;0,1,0)</f>
        <v/>
      </c>
      <c r="AV279" s="2">
        <f>AV278+IF(LEN($BE$279)&gt;0,1,0)</f>
        <v/>
      </c>
      <c r="AY279" s="2">
        <f>IF(ISERROR($B$279),"",IF(ISBLANK($B$279),"",$B$279))</f>
        <v/>
      </c>
      <c r="BB279" s="2">
        <f>IF(ISERROR($E$279),"",IF(ISBLANK($E$279),"",$E$279))</f>
        <v/>
      </c>
      <c r="BE279" s="2">
        <f>IF(ISERROR($H$279),"",IF(ISBLANK($H$279),"",$H$279))</f>
        <v/>
      </c>
      <c r="BF279" s="2">
        <f>ISERROR($B$279)*1+ISERROR($E$279)*1+ISERROR($H$279)*1</f>
        <v/>
      </c>
    </row>
    <row r="280" ht="60" customHeight="1">
      <c r="A280" s="9" t="inlineStr">
        <is>
          <t>26</t>
        </is>
      </c>
      <c r="B280" s="4" t="n"/>
      <c r="C280" s="25" t="n"/>
      <c r="D280" s="17" t="n"/>
      <c r="E280" s="4" t="n"/>
      <c r="F280" s="25" t="n"/>
      <c r="G280" s="17" t="n"/>
      <c r="H280" s="4" t="n"/>
      <c r="I280" s="25" t="n"/>
      <c r="J280" s="17" t="n"/>
      <c r="K280" s="19">
        <f>IF(BF280&gt;0,"O Google leu como fórmula: digite de novo com ' na frente.","")</f>
        <v/>
      </c>
      <c r="AT280" s="2">
        <f>AT279+IF(LEN($AY$280)&gt;0,1,0)</f>
        <v/>
      </c>
      <c r="AU280" s="2">
        <f>AU279+IF(LEN($BB$280)&gt;0,1,0)</f>
        <v/>
      </c>
      <c r="AV280" s="2">
        <f>AV279+IF(LEN($BE$280)&gt;0,1,0)</f>
        <v/>
      </c>
      <c r="AY280" s="2">
        <f>IF(ISERROR($B$280),"",IF(ISBLANK($B$280),"",$B$280))</f>
        <v/>
      </c>
      <c r="BB280" s="2">
        <f>IF(ISERROR($E$280),"",IF(ISBLANK($E$280),"",$E$280))</f>
        <v/>
      </c>
      <c r="BE280" s="2">
        <f>IF(ISERROR($H$280),"",IF(ISBLANK($H$280),"",$H$280))</f>
        <v/>
      </c>
      <c r="BF280" s="2">
        <f>ISERROR($B$280)*1+ISERROR($E$280)*1+ISERROR($H$280)*1</f>
        <v/>
      </c>
    </row>
    <row r="281">
      <c r="A281" s="8" t="inlineStr">
        <is>
          <t>Vagas 27–39</t>
        </is>
      </c>
      <c r="B281" s="8" t="inlineStr">
        <is>
          <t>Tabela 7</t>
        </is>
      </c>
      <c r="C281" s="20" t="n"/>
      <c r="D281" s="20" t="n"/>
      <c r="E281" s="8" t="inlineStr">
        <is>
          <t>Tabela 8</t>
        </is>
      </c>
      <c r="F281" s="20" t="n"/>
      <c r="G281" s="20" t="n"/>
      <c r="H281" s="8" t="inlineStr">
        <is>
          <t>Tabela 9</t>
        </is>
      </c>
      <c r="I281" s="20" t="n"/>
      <c r="J281" s="20" t="n"/>
      <c r="AT281" s="2">
        <f>AT280</f>
        <v/>
      </c>
      <c r="AU281" s="2">
        <f>AU280</f>
        <v/>
      </c>
      <c r="AV281" s="2">
        <f>AV280</f>
        <v/>
      </c>
      <c r="AY281" s="2">
        <f>IF(ISERROR($B$281),"",IF(ISBLANK($B$281),"",$B$281))</f>
        <v/>
      </c>
      <c r="BB281" s="2">
        <f>IF(ISERROR($E$281),"",IF(ISBLANK($E$281),"",$E$281))</f>
        <v/>
      </c>
      <c r="BE281" s="2">
        <f>IF(ISERROR($H$281),"",IF(ISBLANK($H$281),"",$H$281))</f>
        <v/>
      </c>
    </row>
    <row r="282" ht="60" customHeight="1">
      <c r="A282" s="9" t="inlineStr">
        <is>
          <t>27</t>
        </is>
      </c>
      <c r="B282" s="4" t="n"/>
      <c r="C282" s="25" t="n"/>
      <c r="D282" s="17" t="n"/>
      <c r="E282" s="4" t="n"/>
      <c r="F282" s="25" t="n"/>
      <c r="G282" s="17" t="n"/>
      <c r="H282" s="4" t="n"/>
      <c r="I282" s="25" t="n"/>
      <c r="J282" s="17" t="n"/>
      <c r="K282" s="19">
        <f>IF(BF282&gt;0,"O Google leu como fórmula: digite de novo com ' na frente.","")</f>
        <v/>
      </c>
      <c r="AT282" s="2">
        <f>AT281+IF(LEN($AY$282)&gt;0,1,0)</f>
        <v/>
      </c>
      <c r="AU282" s="2">
        <f>AU281+IF(LEN($BB$282)&gt;0,1,0)</f>
        <v/>
      </c>
      <c r="AV282" s="2">
        <f>AV281+IF(LEN($BE$282)&gt;0,1,0)</f>
        <v/>
      </c>
      <c r="AY282" s="2">
        <f>IF(ISERROR($B$282),"",IF(ISBLANK($B$282),"",$B$282))</f>
        <v/>
      </c>
      <c r="BB282" s="2">
        <f>IF(ISERROR($E$282),"",IF(ISBLANK($E$282),"",$E$282))</f>
        <v/>
      </c>
      <c r="BE282" s="2">
        <f>IF(ISERROR($H$282),"",IF(ISBLANK($H$282),"",$H$282))</f>
        <v/>
      </c>
      <c r="BF282" s="2">
        <f>ISERROR($B$282)*1+ISERROR($E$282)*1+ISERROR($H$282)*1</f>
        <v/>
      </c>
    </row>
    <row r="283" ht="60" customHeight="1">
      <c r="A283" s="21" t="inlineStr">
        <is>
          <t>28</t>
        </is>
      </c>
      <c r="B283" s="29" t="n"/>
      <c r="C283" s="25" t="n"/>
      <c r="D283" s="17" t="n"/>
      <c r="E283" s="29" t="n"/>
      <c r="F283" s="25" t="n"/>
      <c r="G283" s="17" t="n"/>
      <c r="H283" s="29" t="n"/>
      <c r="I283" s="25" t="n"/>
      <c r="J283" s="17" t="n"/>
      <c r="K283" s="19">
        <f>IF(BF283&gt;0,"O Google leu como fórmula: digite de novo com ' na frente.","")</f>
        <v/>
      </c>
      <c r="AT283" s="2">
        <f>AT282+IF(LEN($AY$283)&gt;0,1,0)</f>
        <v/>
      </c>
      <c r="AU283" s="2">
        <f>AU282+IF(LEN($BB$283)&gt;0,1,0)</f>
        <v/>
      </c>
      <c r="AV283" s="2">
        <f>AV282+IF(LEN($BE$283)&gt;0,1,0)</f>
        <v/>
      </c>
      <c r="AY283" s="2">
        <f>IF(ISERROR($B$283),"",IF(ISBLANK($B$283),"",$B$283))</f>
        <v/>
      </c>
      <c r="BB283" s="2">
        <f>IF(ISERROR($E$283),"",IF(ISBLANK($E$283),"",$E$283))</f>
        <v/>
      </c>
      <c r="BE283" s="2">
        <f>IF(ISERROR($H$283),"",IF(ISBLANK($H$283),"",$H$283))</f>
        <v/>
      </c>
      <c r="BF283" s="2">
        <f>ISERROR($B$283)*1+ISERROR($E$283)*1+ISERROR($H$283)*1</f>
        <v/>
      </c>
    </row>
    <row r="284" ht="60" customHeight="1">
      <c r="A284" s="9" t="inlineStr">
        <is>
          <t>29</t>
        </is>
      </c>
      <c r="B284" s="4" t="n"/>
      <c r="C284" s="25" t="n"/>
      <c r="D284" s="17" t="n"/>
      <c r="E284" s="4" t="n"/>
      <c r="F284" s="25" t="n"/>
      <c r="G284" s="17" t="n"/>
      <c r="H284" s="4" t="n"/>
      <c r="I284" s="25" t="n"/>
      <c r="J284" s="17" t="n"/>
      <c r="K284" s="19">
        <f>IF(BF284&gt;0,"O Google leu como fórmula: digite de novo com ' na frente.","")</f>
        <v/>
      </c>
      <c r="AT284" s="2">
        <f>AT283+IF(LEN($AY$284)&gt;0,1,0)</f>
        <v/>
      </c>
      <c r="AU284" s="2">
        <f>AU283+IF(LEN($BB$284)&gt;0,1,0)</f>
        <v/>
      </c>
      <c r="AV284" s="2">
        <f>AV283+IF(LEN($BE$284)&gt;0,1,0)</f>
        <v/>
      </c>
      <c r="AY284" s="2">
        <f>IF(ISERROR($B$284),"",IF(ISBLANK($B$284),"",$B$284))</f>
        <v/>
      </c>
      <c r="BB284" s="2">
        <f>IF(ISERROR($E$284),"",IF(ISBLANK($E$284),"",$E$284))</f>
        <v/>
      </c>
      <c r="BE284" s="2">
        <f>IF(ISERROR($H$284),"",IF(ISBLANK($H$284),"",$H$284))</f>
        <v/>
      </c>
      <c r="BF284" s="2">
        <f>ISERROR($B$284)*1+ISERROR($E$284)*1+ISERROR($H$284)*1</f>
        <v/>
      </c>
    </row>
    <row r="285" ht="60" customHeight="1">
      <c r="A285" s="21" t="inlineStr">
        <is>
          <t>30</t>
        </is>
      </c>
      <c r="B285" s="29" t="n"/>
      <c r="C285" s="25" t="n"/>
      <c r="D285" s="17" t="n"/>
      <c r="E285" s="29" t="n"/>
      <c r="F285" s="25" t="n"/>
      <c r="G285" s="17" t="n"/>
      <c r="H285" s="29" t="n"/>
      <c r="I285" s="25" t="n"/>
      <c r="J285" s="17" t="n"/>
      <c r="K285" s="19">
        <f>IF(BF285&gt;0,"O Google leu como fórmula: digite de novo com ' na frente.","")</f>
        <v/>
      </c>
      <c r="AT285" s="2">
        <f>AT284+IF(LEN($AY$285)&gt;0,1,0)</f>
        <v/>
      </c>
      <c r="AU285" s="2">
        <f>AU284+IF(LEN($BB$285)&gt;0,1,0)</f>
        <v/>
      </c>
      <c r="AV285" s="2">
        <f>AV284+IF(LEN($BE$285)&gt;0,1,0)</f>
        <v/>
      </c>
      <c r="AY285" s="2">
        <f>IF(ISERROR($B$285),"",IF(ISBLANK($B$285),"",$B$285))</f>
        <v/>
      </c>
      <c r="BB285" s="2">
        <f>IF(ISERROR($E$285),"",IF(ISBLANK($E$285),"",$E$285))</f>
        <v/>
      </c>
      <c r="BE285" s="2">
        <f>IF(ISERROR($H$285),"",IF(ISBLANK($H$285),"",$H$285))</f>
        <v/>
      </c>
      <c r="BF285" s="2">
        <f>ISERROR($B$285)*1+ISERROR($E$285)*1+ISERROR($H$285)*1</f>
        <v/>
      </c>
    </row>
    <row r="286" ht="60" customHeight="1">
      <c r="A286" s="9" t="inlineStr">
        <is>
          <t>31</t>
        </is>
      </c>
      <c r="B286" s="4" t="n"/>
      <c r="C286" s="25" t="n"/>
      <c r="D286" s="17" t="n"/>
      <c r="E286" s="4" t="n"/>
      <c r="F286" s="25" t="n"/>
      <c r="G286" s="17" t="n"/>
      <c r="H286" s="4" t="n"/>
      <c r="I286" s="25" t="n"/>
      <c r="J286" s="17" t="n"/>
      <c r="K286" s="19">
        <f>IF(BF286&gt;0,"O Google leu como fórmula: digite de novo com ' na frente.","")</f>
        <v/>
      </c>
      <c r="AT286" s="2">
        <f>AT285+IF(LEN($AY$286)&gt;0,1,0)</f>
        <v/>
      </c>
      <c r="AU286" s="2">
        <f>AU285+IF(LEN($BB$286)&gt;0,1,0)</f>
        <v/>
      </c>
      <c r="AV286" s="2">
        <f>AV285+IF(LEN($BE$286)&gt;0,1,0)</f>
        <v/>
      </c>
      <c r="AY286" s="2">
        <f>IF(ISERROR($B$286),"",IF(ISBLANK($B$286),"",$B$286))</f>
        <v/>
      </c>
      <c r="BB286" s="2">
        <f>IF(ISERROR($E$286),"",IF(ISBLANK($E$286),"",$E$286))</f>
        <v/>
      </c>
      <c r="BE286" s="2">
        <f>IF(ISERROR($H$286),"",IF(ISBLANK($H$286),"",$H$286))</f>
        <v/>
      </c>
      <c r="BF286" s="2">
        <f>ISERROR($B$286)*1+ISERROR($E$286)*1+ISERROR($H$286)*1</f>
        <v/>
      </c>
    </row>
    <row r="287" ht="60" customHeight="1">
      <c r="A287" s="21" t="inlineStr">
        <is>
          <t>32</t>
        </is>
      </c>
      <c r="B287" s="29" t="n"/>
      <c r="C287" s="25" t="n"/>
      <c r="D287" s="17" t="n"/>
      <c r="E287" s="29" t="n"/>
      <c r="F287" s="25" t="n"/>
      <c r="G287" s="17" t="n"/>
      <c r="H287" s="29" t="n"/>
      <c r="I287" s="25" t="n"/>
      <c r="J287" s="17" t="n"/>
      <c r="K287" s="19">
        <f>IF(BF287&gt;0,"O Google leu como fórmula: digite de novo com ' na frente.","")</f>
        <v/>
      </c>
      <c r="AT287" s="2">
        <f>AT286+IF(LEN($AY$287)&gt;0,1,0)</f>
        <v/>
      </c>
      <c r="AU287" s="2">
        <f>AU286+IF(LEN($BB$287)&gt;0,1,0)</f>
        <v/>
      </c>
      <c r="AV287" s="2">
        <f>AV286+IF(LEN($BE$287)&gt;0,1,0)</f>
        <v/>
      </c>
      <c r="AY287" s="2">
        <f>IF(ISERROR($B$287),"",IF(ISBLANK($B$287),"",$B$287))</f>
        <v/>
      </c>
      <c r="BB287" s="2">
        <f>IF(ISERROR($E$287),"",IF(ISBLANK($E$287),"",$E$287))</f>
        <v/>
      </c>
      <c r="BE287" s="2">
        <f>IF(ISERROR($H$287),"",IF(ISBLANK($H$287),"",$H$287))</f>
        <v/>
      </c>
      <c r="BF287" s="2">
        <f>ISERROR($B$287)*1+ISERROR($E$287)*1+ISERROR($H$287)*1</f>
        <v/>
      </c>
    </row>
    <row r="288" ht="60" customHeight="1">
      <c r="A288" s="9" t="inlineStr">
        <is>
          <t>33</t>
        </is>
      </c>
      <c r="B288" s="4" t="n"/>
      <c r="C288" s="25" t="n"/>
      <c r="D288" s="17" t="n"/>
      <c r="E288" s="4" t="n"/>
      <c r="F288" s="25" t="n"/>
      <c r="G288" s="17" t="n"/>
      <c r="H288" s="4" t="n"/>
      <c r="I288" s="25" t="n"/>
      <c r="J288" s="17" t="n"/>
      <c r="K288" s="19">
        <f>IF(BF288&gt;0,"O Google leu como fórmula: digite de novo com ' na frente.","")</f>
        <v/>
      </c>
      <c r="AT288" s="2">
        <f>AT287+IF(LEN($AY$288)&gt;0,1,0)</f>
        <v/>
      </c>
      <c r="AU288" s="2">
        <f>AU287+IF(LEN($BB$288)&gt;0,1,0)</f>
        <v/>
      </c>
      <c r="AV288" s="2">
        <f>AV287+IF(LEN($BE$288)&gt;0,1,0)</f>
        <v/>
      </c>
      <c r="AY288" s="2">
        <f>IF(ISERROR($B$288),"",IF(ISBLANK($B$288),"",$B$288))</f>
        <v/>
      </c>
      <c r="BB288" s="2">
        <f>IF(ISERROR($E$288),"",IF(ISBLANK($E$288),"",$E$288))</f>
        <v/>
      </c>
      <c r="BE288" s="2">
        <f>IF(ISERROR($H$288),"",IF(ISBLANK($H$288),"",$H$288))</f>
        <v/>
      </c>
      <c r="BF288" s="2">
        <f>ISERROR($B$288)*1+ISERROR($E$288)*1+ISERROR($H$288)*1</f>
        <v/>
      </c>
    </row>
    <row r="289" ht="60" customHeight="1">
      <c r="A289" s="21" t="inlineStr">
        <is>
          <t>34</t>
        </is>
      </c>
      <c r="B289" s="29" t="n"/>
      <c r="C289" s="25" t="n"/>
      <c r="D289" s="17" t="n"/>
      <c r="E289" s="29" t="n"/>
      <c r="F289" s="25" t="n"/>
      <c r="G289" s="17" t="n"/>
      <c r="H289" s="29" t="n"/>
      <c r="I289" s="25" t="n"/>
      <c r="J289" s="17" t="n"/>
      <c r="K289" s="19">
        <f>IF(BF289&gt;0,"O Google leu como fórmula: digite de novo com ' na frente.","")</f>
        <v/>
      </c>
      <c r="AT289" s="2">
        <f>AT288+IF(LEN($AY$289)&gt;0,1,0)</f>
        <v/>
      </c>
      <c r="AU289" s="2">
        <f>AU288+IF(LEN($BB$289)&gt;0,1,0)</f>
        <v/>
      </c>
      <c r="AV289" s="2">
        <f>AV288+IF(LEN($BE$289)&gt;0,1,0)</f>
        <v/>
      </c>
      <c r="AY289" s="2">
        <f>IF(ISERROR($B$289),"",IF(ISBLANK($B$289),"",$B$289))</f>
        <v/>
      </c>
      <c r="BB289" s="2">
        <f>IF(ISERROR($E$289),"",IF(ISBLANK($E$289),"",$E$289))</f>
        <v/>
      </c>
      <c r="BE289" s="2">
        <f>IF(ISERROR($H$289),"",IF(ISBLANK($H$289),"",$H$289))</f>
        <v/>
      </c>
      <c r="BF289" s="2">
        <f>ISERROR($B$289)*1+ISERROR($E$289)*1+ISERROR($H$289)*1</f>
        <v/>
      </c>
    </row>
    <row r="290" ht="60" customHeight="1">
      <c r="A290" s="9" t="inlineStr">
        <is>
          <t>35</t>
        </is>
      </c>
      <c r="B290" s="4" t="n"/>
      <c r="C290" s="25" t="n"/>
      <c r="D290" s="17" t="n"/>
      <c r="E290" s="4" t="n"/>
      <c r="F290" s="25" t="n"/>
      <c r="G290" s="17" t="n"/>
      <c r="H290" s="4" t="n"/>
      <c r="I290" s="25" t="n"/>
      <c r="J290" s="17" t="n"/>
      <c r="K290" s="19">
        <f>IF(BF290&gt;0,"O Google leu como fórmula: digite de novo com ' na frente.","")</f>
        <v/>
      </c>
      <c r="AT290" s="2">
        <f>AT289+IF(LEN($AY$290)&gt;0,1,0)</f>
        <v/>
      </c>
      <c r="AU290" s="2">
        <f>AU289+IF(LEN($BB$290)&gt;0,1,0)</f>
        <v/>
      </c>
      <c r="AV290" s="2">
        <f>AV289+IF(LEN($BE$290)&gt;0,1,0)</f>
        <v/>
      </c>
      <c r="AY290" s="2">
        <f>IF(ISERROR($B$290),"",IF(ISBLANK($B$290),"",$B$290))</f>
        <v/>
      </c>
      <c r="BB290" s="2">
        <f>IF(ISERROR($E$290),"",IF(ISBLANK($E$290),"",$E$290))</f>
        <v/>
      </c>
      <c r="BE290" s="2">
        <f>IF(ISERROR($H$290),"",IF(ISBLANK($H$290),"",$H$290))</f>
        <v/>
      </c>
      <c r="BF290" s="2">
        <f>ISERROR($B$290)*1+ISERROR($E$290)*1+ISERROR($H$290)*1</f>
        <v/>
      </c>
    </row>
    <row r="291" ht="60" customHeight="1">
      <c r="A291" s="21" t="inlineStr">
        <is>
          <t>36</t>
        </is>
      </c>
      <c r="B291" s="29" t="n"/>
      <c r="C291" s="25" t="n"/>
      <c r="D291" s="17" t="n"/>
      <c r="E291" s="29" t="n"/>
      <c r="F291" s="25" t="n"/>
      <c r="G291" s="17" t="n"/>
      <c r="H291" s="29" t="n"/>
      <c r="I291" s="25" t="n"/>
      <c r="J291" s="17" t="n"/>
      <c r="K291" s="19">
        <f>IF(BF291&gt;0,"O Google leu como fórmula: digite de novo com ' na frente.","")</f>
        <v/>
      </c>
      <c r="AT291" s="2">
        <f>AT290+IF(LEN($AY$291)&gt;0,1,0)</f>
        <v/>
      </c>
      <c r="AU291" s="2">
        <f>AU290+IF(LEN($BB$291)&gt;0,1,0)</f>
        <v/>
      </c>
      <c r="AV291" s="2">
        <f>AV290+IF(LEN($BE$291)&gt;0,1,0)</f>
        <v/>
      </c>
      <c r="AY291" s="2">
        <f>IF(ISERROR($B$291),"",IF(ISBLANK($B$291),"",$B$291))</f>
        <v/>
      </c>
      <c r="BB291" s="2">
        <f>IF(ISERROR($E$291),"",IF(ISBLANK($E$291),"",$E$291))</f>
        <v/>
      </c>
      <c r="BE291" s="2">
        <f>IF(ISERROR($H$291),"",IF(ISBLANK($H$291),"",$H$291))</f>
        <v/>
      </c>
      <c r="BF291" s="2">
        <f>ISERROR($B$291)*1+ISERROR($E$291)*1+ISERROR($H$291)*1</f>
        <v/>
      </c>
    </row>
    <row r="292" ht="60" customHeight="1">
      <c r="A292" s="9" t="inlineStr">
        <is>
          <t>37</t>
        </is>
      </c>
      <c r="B292" s="4" t="n"/>
      <c r="C292" s="25" t="n"/>
      <c r="D292" s="17" t="n"/>
      <c r="E292" s="4" t="n"/>
      <c r="F292" s="25" t="n"/>
      <c r="G292" s="17" t="n"/>
      <c r="H292" s="4" t="n"/>
      <c r="I292" s="25" t="n"/>
      <c r="J292" s="17" t="n"/>
      <c r="K292" s="19">
        <f>IF(BF292&gt;0,"O Google leu como fórmula: digite de novo com ' na frente.","")</f>
        <v/>
      </c>
      <c r="AT292" s="2">
        <f>AT291+IF(LEN($AY$292)&gt;0,1,0)</f>
        <v/>
      </c>
      <c r="AU292" s="2">
        <f>AU291+IF(LEN($BB$292)&gt;0,1,0)</f>
        <v/>
      </c>
      <c r="AV292" s="2">
        <f>AV291+IF(LEN($BE$292)&gt;0,1,0)</f>
        <v/>
      </c>
      <c r="AY292" s="2">
        <f>IF(ISERROR($B$292),"",IF(ISBLANK($B$292),"",$B$292))</f>
        <v/>
      </c>
      <c r="BB292" s="2">
        <f>IF(ISERROR($E$292),"",IF(ISBLANK($E$292),"",$E$292))</f>
        <v/>
      </c>
      <c r="BE292" s="2">
        <f>IF(ISERROR($H$292),"",IF(ISBLANK($H$292),"",$H$292))</f>
        <v/>
      </c>
      <c r="BF292" s="2">
        <f>ISERROR($B$292)*1+ISERROR($E$292)*1+ISERROR($H$292)*1</f>
        <v/>
      </c>
    </row>
    <row r="293" ht="60" customHeight="1">
      <c r="A293" s="21" t="inlineStr">
        <is>
          <t>38</t>
        </is>
      </c>
      <c r="B293" s="29" t="n"/>
      <c r="C293" s="25" t="n"/>
      <c r="D293" s="17" t="n"/>
      <c r="E293" s="29" t="n"/>
      <c r="F293" s="25" t="n"/>
      <c r="G293" s="17" t="n"/>
      <c r="H293" s="29" t="n"/>
      <c r="I293" s="25" t="n"/>
      <c r="J293" s="17" t="n"/>
      <c r="K293" s="19">
        <f>IF(BF293&gt;0,"O Google leu como fórmula: digite de novo com ' na frente.","")</f>
        <v/>
      </c>
      <c r="AT293" s="2">
        <f>AT292+IF(LEN($AY$293)&gt;0,1,0)</f>
        <v/>
      </c>
      <c r="AU293" s="2">
        <f>AU292+IF(LEN($BB$293)&gt;0,1,0)</f>
        <v/>
      </c>
      <c r="AV293" s="2">
        <f>AV292+IF(LEN($BE$293)&gt;0,1,0)</f>
        <v/>
      </c>
      <c r="AY293" s="2">
        <f>IF(ISERROR($B$293),"",IF(ISBLANK($B$293),"",$B$293))</f>
        <v/>
      </c>
      <c r="BB293" s="2">
        <f>IF(ISERROR($E$293),"",IF(ISBLANK($E$293),"",$E$293))</f>
        <v/>
      </c>
      <c r="BE293" s="2">
        <f>IF(ISERROR($H$293),"",IF(ISBLANK($H$293),"",$H$293))</f>
        <v/>
      </c>
      <c r="BF293" s="2">
        <f>ISERROR($B$293)*1+ISERROR($E$293)*1+ISERROR($H$293)*1</f>
        <v/>
      </c>
    </row>
    <row r="294" ht="60" customHeight="1">
      <c r="A294" s="9" t="inlineStr">
        <is>
          <t>39</t>
        </is>
      </c>
      <c r="B294" s="4" t="n"/>
      <c r="C294" s="25" t="n"/>
      <c r="D294" s="17" t="n"/>
      <c r="E294" s="4" t="n"/>
      <c r="F294" s="25" t="n"/>
      <c r="G294" s="17" t="n"/>
      <c r="H294" s="4" t="n"/>
      <c r="I294" s="25" t="n"/>
      <c r="J294" s="17" t="n"/>
      <c r="K294" s="19">
        <f>IF(BF294&gt;0,"O Google leu como fórmula: digite de novo com ' na frente.","")</f>
        <v/>
      </c>
      <c r="AT294" s="2">
        <f>AT293+IF(LEN($AY$294)&gt;0,1,0)</f>
        <v/>
      </c>
      <c r="AU294" s="2">
        <f>AU293+IF(LEN($BB$294)&gt;0,1,0)</f>
        <v/>
      </c>
      <c r="AV294" s="2">
        <f>AV293+IF(LEN($BE$294)&gt;0,1,0)</f>
        <v/>
      </c>
      <c r="AY294" s="2">
        <f>IF(ISERROR($B$294),"",IF(ISBLANK($B$294),"",$B$294))</f>
        <v/>
      </c>
      <c r="BB294" s="2">
        <f>IF(ISERROR($E$294),"",IF(ISBLANK($E$294),"",$E$294))</f>
        <v/>
      </c>
      <c r="BE294" s="2">
        <f>IF(ISERROR($H$294),"",IF(ISBLANK($H$294),"",$H$294))</f>
        <v/>
      </c>
      <c r="BF294" s="2">
        <f>ISERROR($B$294)*1+ISERROR($E$294)*1+ISERROR($H$294)*1</f>
        <v/>
      </c>
    </row>
    <row r="295">
      <c r="A295" s="8" t="inlineStr">
        <is>
          <t>Vagas 40–52</t>
        </is>
      </c>
      <c r="B295" s="8" t="inlineStr">
        <is>
          <t>Tabela 7</t>
        </is>
      </c>
      <c r="C295" s="20" t="n"/>
      <c r="D295" s="20" t="n"/>
      <c r="E295" s="8" t="inlineStr">
        <is>
          <t>Tabela 8</t>
        </is>
      </c>
      <c r="F295" s="20" t="n"/>
      <c r="G295" s="20" t="n"/>
      <c r="H295" s="8" t="inlineStr">
        <is>
          <t>Tabela 9</t>
        </is>
      </c>
      <c r="I295" s="20" t="n"/>
      <c r="J295" s="20" t="n"/>
      <c r="AT295" s="2">
        <f>AT294</f>
        <v/>
      </c>
      <c r="AU295" s="2">
        <f>AU294</f>
        <v/>
      </c>
      <c r="AV295" s="2">
        <f>AV294</f>
        <v/>
      </c>
      <c r="AY295" s="2">
        <f>IF(ISERROR($B$295),"",IF(ISBLANK($B$295),"",$B$295))</f>
        <v/>
      </c>
      <c r="BB295" s="2">
        <f>IF(ISERROR($E$295),"",IF(ISBLANK($E$295),"",$E$295))</f>
        <v/>
      </c>
      <c r="BE295" s="2">
        <f>IF(ISERROR($H$295),"",IF(ISBLANK($H$295),"",$H$295))</f>
        <v/>
      </c>
    </row>
    <row r="296" ht="60" customHeight="1">
      <c r="A296" s="9" t="inlineStr">
        <is>
          <t>40</t>
        </is>
      </c>
      <c r="B296" s="4" t="n"/>
      <c r="C296" s="25" t="n"/>
      <c r="D296" s="17" t="n"/>
      <c r="E296" s="4" t="n"/>
      <c r="F296" s="25" t="n"/>
      <c r="G296" s="17" t="n"/>
      <c r="H296" s="4" t="n"/>
      <c r="I296" s="25" t="n"/>
      <c r="J296" s="17" t="n"/>
      <c r="K296" s="19">
        <f>IF(BF296&gt;0,"O Google leu como fórmula: digite de novo com ' na frente.","")</f>
        <v/>
      </c>
      <c r="AT296" s="2">
        <f>AT295+IF(LEN($AY$296)&gt;0,1,0)</f>
        <v/>
      </c>
      <c r="AU296" s="2">
        <f>AU295+IF(LEN($BB$296)&gt;0,1,0)</f>
        <v/>
      </c>
      <c r="AV296" s="2">
        <f>AV295+IF(LEN($BE$296)&gt;0,1,0)</f>
        <v/>
      </c>
      <c r="AY296" s="2">
        <f>IF(ISERROR($B$296),"",IF(ISBLANK($B$296),"",$B$296))</f>
        <v/>
      </c>
      <c r="BB296" s="2">
        <f>IF(ISERROR($E$296),"",IF(ISBLANK($E$296),"",$E$296))</f>
        <v/>
      </c>
      <c r="BE296" s="2">
        <f>IF(ISERROR($H$296),"",IF(ISBLANK($H$296),"",$H$296))</f>
        <v/>
      </c>
      <c r="BF296" s="2">
        <f>ISERROR($B$296)*1+ISERROR($E$296)*1+ISERROR($H$296)*1</f>
        <v/>
      </c>
    </row>
    <row r="297" ht="60" customHeight="1">
      <c r="A297" s="21" t="inlineStr">
        <is>
          <t>41</t>
        </is>
      </c>
      <c r="B297" s="29" t="n"/>
      <c r="C297" s="25" t="n"/>
      <c r="D297" s="17" t="n"/>
      <c r="E297" s="29" t="n"/>
      <c r="F297" s="25" t="n"/>
      <c r="G297" s="17" t="n"/>
      <c r="H297" s="29" t="n"/>
      <c r="I297" s="25" t="n"/>
      <c r="J297" s="17" t="n"/>
      <c r="K297" s="19">
        <f>IF(BF297&gt;0,"O Google leu como fórmula: digite de novo com ' na frente.","")</f>
        <v/>
      </c>
      <c r="AT297" s="2">
        <f>AT296+IF(LEN($AY$297)&gt;0,1,0)</f>
        <v/>
      </c>
      <c r="AU297" s="2">
        <f>AU296+IF(LEN($BB$297)&gt;0,1,0)</f>
        <v/>
      </c>
      <c r="AV297" s="2">
        <f>AV296+IF(LEN($BE$297)&gt;0,1,0)</f>
        <v/>
      </c>
      <c r="AY297" s="2">
        <f>IF(ISERROR($B$297),"",IF(ISBLANK($B$297),"",$B$297))</f>
        <v/>
      </c>
      <c r="BB297" s="2">
        <f>IF(ISERROR($E$297),"",IF(ISBLANK($E$297),"",$E$297))</f>
        <v/>
      </c>
      <c r="BE297" s="2">
        <f>IF(ISERROR($H$297),"",IF(ISBLANK($H$297),"",$H$297))</f>
        <v/>
      </c>
      <c r="BF297" s="2">
        <f>ISERROR($B$297)*1+ISERROR($E$297)*1+ISERROR($H$297)*1</f>
        <v/>
      </c>
    </row>
    <row r="298" ht="60" customHeight="1">
      <c r="A298" s="9" t="inlineStr">
        <is>
          <t>42</t>
        </is>
      </c>
      <c r="B298" s="4" t="n"/>
      <c r="C298" s="25" t="n"/>
      <c r="D298" s="17" t="n"/>
      <c r="E298" s="4" t="n"/>
      <c r="F298" s="25" t="n"/>
      <c r="G298" s="17" t="n"/>
      <c r="H298" s="4" t="n"/>
      <c r="I298" s="25" t="n"/>
      <c r="J298" s="17" t="n"/>
      <c r="K298" s="19">
        <f>IF(BF298&gt;0,"O Google leu como fórmula: digite de novo com ' na frente.","")</f>
        <v/>
      </c>
      <c r="AT298" s="2">
        <f>AT297+IF(LEN($AY$298)&gt;0,1,0)</f>
        <v/>
      </c>
      <c r="AU298" s="2">
        <f>AU297+IF(LEN($BB$298)&gt;0,1,0)</f>
        <v/>
      </c>
      <c r="AV298" s="2">
        <f>AV297+IF(LEN($BE$298)&gt;0,1,0)</f>
        <v/>
      </c>
      <c r="AY298" s="2">
        <f>IF(ISERROR($B$298),"",IF(ISBLANK($B$298),"",$B$298))</f>
        <v/>
      </c>
      <c r="BB298" s="2">
        <f>IF(ISERROR($E$298),"",IF(ISBLANK($E$298),"",$E$298))</f>
        <v/>
      </c>
      <c r="BE298" s="2">
        <f>IF(ISERROR($H$298),"",IF(ISBLANK($H$298),"",$H$298))</f>
        <v/>
      </c>
      <c r="BF298" s="2">
        <f>ISERROR($B$298)*1+ISERROR($E$298)*1+ISERROR($H$298)*1</f>
        <v/>
      </c>
    </row>
    <row r="299" ht="71" customHeight="1">
      <c r="A299" s="21" t="inlineStr">
        <is>
          <t>43</t>
        </is>
      </c>
      <c r="B299" s="29" t="n"/>
      <c r="C299" s="25" t="n"/>
      <c r="D299" s="17" t="n"/>
      <c r="E299" s="29" t="n"/>
      <c r="F299" s="25" t="n"/>
      <c r="G299" s="17" t="n"/>
      <c r="H299" s="29" t="n"/>
      <c r="I299" s="25" t="n"/>
      <c r="J299" s="17" t="n"/>
      <c r="K299" s="19">
        <f>IF(BF299&gt;0,"O Google leu como fórmula: digite de novo com ' na frente.","")</f>
        <v/>
      </c>
      <c r="AT299" s="2">
        <f>AT298+IF(LEN($AY$299)&gt;0,1,0)</f>
        <v/>
      </c>
      <c r="AU299" s="2">
        <f>AU298+IF(LEN($BB$299)&gt;0,1,0)</f>
        <v/>
      </c>
      <c r="AV299" s="2">
        <f>AV298+IF(LEN($BE$299)&gt;0,1,0)</f>
        <v/>
      </c>
      <c r="AY299" s="2">
        <f>IF(ISERROR($B$299),"",IF(ISBLANK($B$299),"",$B$299))</f>
        <v/>
      </c>
      <c r="BB299" s="2">
        <f>IF(ISERROR($E$299),"",IF(ISBLANK($E$299),"",$E$299))</f>
        <v/>
      </c>
      <c r="BE299" s="2">
        <f>IF(ISERROR($H$299),"",IF(ISBLANK($H$299),"",$H$299))</f>
        <v/>
      </c>
      <c r="BF299" s="2">
        <f>ISERROR($B$299)*1+ISERROR($E$299)*1+ISERROR($H$299)*1</f>
        <v/>
      </c>
    </row>
    <row r="300" ht="71" customHeight="1">
      <c r="A300" s="9" t="inlineStr">
        <is>
          <t>44</t>
        </is>
      </c>
      <c r="B300" s="4" t="n"/>
      <c r="C300" s="25" t="n"/>
      <c r="D300" s="17" t="n"/>
      <c r="E300" s="4" t="n"/>
      <c r="F300" s="25" t="n"/>
      <c r="G300" s="17" t="n"/>
      <c r="H300" s="4" t="n"/>
      <c r="I300" s="25" t="n"/>
      <c r="J300" s="17" t="n"/>
      <c r="K300" s="19">
        <f>IF(BF300&gt;0,"O Google leu como fórmula: digite de novo com ' na frente.","")</f>
        <v/>
      </c>
      <c r="AT300" s="2">
        <f>AT299+IF(LEN($AY$300)&gt;0,1,0)</f>
        <v/>
      </c>
      <c r="AU300" s="2">
        <f>AU299+IF(LEN($BB$300)&gt;0,1,0)</f>
        <v/>
      </c>
      <c r="AV300" s="2">
        <f>AV299+IF(LEN($BE$300)&gt;0,1,0)</f>
        <v/>
      </c>
      <c r="AY300" s="2">
        <f>IF(ISERROR($B$300),"",IF(ISBLANK($B$300),"",$B$300))</f>
        <v/>
      </c>
      <c r="BB300" s="2">
        <f>IF(ISERROR($E$300),"",IF(ISBLANK($E$300),"",$E$300))</f>
        <v/>
      </c>
      <c r="BE300" s="2">
        <f>IF(ISERROR($H$300),"",IF(ISBLANK($H$300),"",$H$300))</f>
        <v/>
      </c>
      <c r="BF300" s="2">
        <f>ISERROR($B$300)*1+ISERROR($E$300)*1+ISERROR($H$300)*1</f>
        <v/>
      </c>
    </row>
    <row r="301" ht="71" customHeight="1">
      <c r="A301" s="21" t="inlineStr">
        <is>
          <t>45</t>
        </is>
      </c>
      <c r="B301" s="29" t="n"/>
      <c r="C301" s="25" t="n"/>
      <c r="D301" s="17" t="n"/>
      <c r="E301" s="29" t="n"/>
      <c r="F301" s="25" t="n"/>
      <c r="G301" s="17" t="n"/>
      <c r="H301" s="29" t="n"/>
      <c r="I301" s="25" t="n"/>
      <c r="J301" s="17" t="n"/>
      <c r="K301" s="19">
        <f>IF(BF301&gt;0,"O Google leu como fórmula: digite de novo com ' na frente.","")</f>
        <v/>
      </c>
      <c r="AT301" s="2">
        <f>AT300+IF(LEN($AY$301)&gt;0,1,0)</f>
        <v/>
      </c>
      <c r="AU301" s="2">
        <f>AU300+IF(LEN($BB$301)&gt;0,1,0)</f>
        <v/>
      </c>
      <c r="AV301" s="2">
        <f>AV300+IF(LEN($BE$301)&gt;0,1,0)</f>
        <v/>
      </c>
      <c r="AY301" s="2">
        <f>IF(ISERROR($B$301),"",IF(ISBLANK($B$301),"",$B$301))</f>
        <v/>
      </c>
      <c r="BB301" s="2">
        <f>IF(ISERROR($E$301),"",IF(ISBLANK($E$301),"",$E$301))</f>
        <v/>
      </c>
      <c r="BE301" s="2">
        <f>IF(ISERROR($H$301),"",IF(ISBLANK($H$301),"",$H$301))</f>
        <v/>
      </c>
      <c r="BF301" s="2">
        <f>ISERROR($B$301)*1+ISERROR($E$301)*1+ISERROR($H$301)*1</f>
        <v/>
      </c>
    </row>
    <row r="302" ht="60" customHeight="1">
      <c r="A302" s="9" t="inlineStr">
        <is>
          <t>46</t>
        </is>
      </c>
      <c r="B302" s="4" t="n"/>
      <c r="C302" s="25" t="n"/>
      <c r="D302" s="17" t="n"/>
      <c r="E302" s="4" t="n"/>
      <c r="F302" s="25" t="n"/>
      <c r="G302" s="17" t="n"/>
      <c r="H302" s="4" t="n"/>
      <c r="I302" s="25" t="n"/>
      <c r="J302" s="17" t="n"/>
      <c r="K302" s="19">
        <f>IF(BF302&gt;0,"O Google leu como fórmula: digite de novo com ' na frente.","")</f>
        <v/>
      </c>
      <c r="AT302" s="2">
        <f>AT301+IF(LEN($AY$302)&gt;0,1,0)</f>
        <v/>
      </c>
      <c r="AU302" s="2">
        <f>AU301+IF(LEN($BB$302)&gt;0,1,0)</f>
        <v/>
      </c>
      <c r="AV302" s="2">
        <f>AV301+IF(LEN($BE$302)&gt;0,1,0)</f>
        <v/>
      </c>
      <c r="AY302" s="2">
        <f>IF(ISERROR($B$302),"",IF(ISBLANK($B$302),"",$B$302))</f>
        <v/>
      </c>
      <c r="BB302" s="2">
        <f>IF(ISERROR($E$302),"",IF(ISBLANK($E$302),"",$E$302))</f>
        <v/>
      </c>
      <c r="BE302" s="2">
        <f>IF(ISERROR($H$302),"",IF(ISBLANK($H$302),"",$H$302))</f>
        <v/>
      </c>
      <c r="BF302" s="2">
        <f>ISERROR($B$302)*1+ISERROR($E$302)*1+ISERROR($H$302)*1</f>
        <v/>
      </c>
    </row>
    <row r="303" ht="71" customHeight="1">
      <c r="A303" s="21" t="inlineStr">
        <is>
          <t>47</t>
        </is>
      </c>
      <c r="B303" s="29" t="n"/>
      <c r="C303" s="25" t="n"/>
      <c r="D303" s="17" t="n"/>
      <c r="E303" s="29" t="n"/>
      <c r="F303" s="25" t="n"/>
      <c r="G303" s="17" t="n"/>
      <c r="H303" s="29" t="n"/>
      <c r="I303" s="25" t="n"/>
      <c r="J303" s="17" t="n"/>
      <c r="K303" s="19">
        <f>IF(BF303&gt;0,"O Google leu como fórmula: digite de novo com ' na frente.","")</f>
        <v/>
      </c>
      <c r="AT303" s="2">
        <f>AT302+IF(LEN($AY$303)&gt;0,1,0)</f>
        <v/>
      </c>
      <c r="AU303" s="2">
        <f>AU302+IF(LEN($BB$303)&gt;0,1,0)</f>
        <v/>
      </c>
      <c r="AV303" s="2">
        <f>AV302+IF(LEN($BE$303)&gt;0,1,0)</f>
        <v/>
      </c>
      <c r="AY303" s="2">
        <f>IF(ISERROR($B$303),"",IF(ISBLANK($B$303),"",$B$303))</f>
        <v/>
      </c>
      <c r="BB303" s="2">
        <f>IF(ISERROR($E$303),"",IF(ISBLANK($E$303),"",$E$303))</f>
        <v/>
      </c>
      <c r="BE303" s="2">
        <f>IF(ISERROR($H$303),"",IF(ISBLANK($H$303),"",$H$303))</f>
        <v/>
      </c>
      <c r="BF303" s="2">
        <f>ISERROR($B$303)*1+ISERROR($E$303)*1+ISERROR($H$303)*1</f>
        <v/>
      </c>
    </row>
    <row r="304" ht="60" customHeight="1">
      <c r="A304" s="9" t="inlineStr">
        <is>
          <t>48</t>
        </is>
      </c>
      <c r="B304" s="4" t="n"/>
      <c r="C304" s="25" t="n"/>
      <c r="D304" s="17" t="n"/>
      <c r="E304" s="4" t="n"/>
      <c r="F304" s="25" t="n"/>
      <c r="G304" s="17" t="n"/>
      <c r="H304" s="4" t="n"/>
      <c r="I304" s="25" t="n"/>
      <c r="J304" s="17" t="n"/>
      <c r="K304" s="19">
        <f>IF(BF304&gt;0,"O Google leu como fórmula: digite de novo com ' na frente.","")</f>
        <v/>
      </c>
      <c r="AT304" s="2">
        <f>AT303+IF(LEN($AY$304)&gt;0,1,0)</f>
        <v/>
      </c>
      <c r="AU304" s="2">
        <f>AU303+IF(LEN($BB$304)&gt;0,1,0)</f>
        <v/>
      </c>
      <c r="AV304" s="2">
        <f>AV303+IF(LEN($BE$304)&gt;0,1,0)</f>
        <v/>
      </c>
      <c r="AY304" s="2">
        <f>IF(ISERROR($B$304),"",IF(ISBLANK($B$304),"",$B$304))</f>
        <v/>
      </c>
      <c r="BB304" s="2">
        <f>IF(ISERROR($E$304),"",IF(ISBLANK($E$304),"",$E$304))</f>
        <v/>
      </c>
      <c r="BE304" s="2">
        <f>IF(ISERROR($H$304),"",IF(ISBLANK($H$304),"",$H$304))</f>
        <v/>
      </c>
      <c r="BF304" s="2">
        <f>ISERROR($B$304)*1+ISERROR($E$304)*1+ISERROR($H$304)*1</f>
        <v/>
      </c>
    </row>
    <row r="305" ht="71" customHeight="1">
      <c r="A305" s="21" t="inlineStr">
        <is>
          <t>49</t>
        </is>
      </c>
      <c r="B305" s="29" t="n"/>
      <c r="C305" s="25" t="n"/>
      <c r="D305" s="17" t="n"/>
      <c r="E305" s="29" t="n"/>
      <c r="F305" s="25" t="n"/>
      <c r="G305" s="17" t="n"/>
      <c r="H305" s="29" t="n"/>
      <c r="I305" s="25" t="n"/>
      <c r="J305" s="17" t="n"/>
      <c r="K305" s="19">
        <f>IF(BF305&gt;0,"O Google leu como fórmula: digite de novo com ' na frente.","")</f>
        <v/>
      </c>
      <c r="AT305" s="2">
        <f>AT304+IF(LEN($AY$305)&gt;0,1,0)</f>
        <v/>
      </c>
      <c r="AU305" s="2">
        <f>AU304+IF(LEN($BB$305)&gt;0,1,0)</f>
        <v/>
      </c>
      <c r="AV305" s="2">
        <f>AV304+IF(LEN($BE$305)&gt;0,1,0)</f>
        <v/>
      </c>
      <c r="AY305" s="2">
        <f>IF(ISERROR($B$305),"",IF(ISBLANK($B$305),"",$B$305))</f>
        <v/>
      </c>
      <c r="BB305" s="2">
        <f>IF(ISERROR($E$305),"",IF(ISBLANK($E$305),"",$E$305))</f>
        <v/>
      </c>
      <c r="BE305" s="2">
        <f>IF(ISERROR($H$305),"",IF(ISBLANK($H$305),"",$H$305))</f>
        <v/>
      </c>
      <c r="BF305" s="2">
        <f>ISERROR($B$305)*1+ISERROR($E$305)*1+ISERROR($H$305)*1</f>
        <v/>
      </c>
    </row>
    <row r="306" ht="60" customHeight="1">
      <c r="A306" s="9" t="inlineStr">
        <is>
          <t>50</t>
        </is>
      </c>
      <c r="B306" s="4" t="n"/>
      <c r="C306" s="25" t="n"/>
      <c r="D306" s="17" t="n"/>
      <c r="E306" s="4" t="n"/>
      <c r="F306" s="25" t="n"/>
      <c r="G306" s="17" t="n"/>
      <c r="H306" s="4" t="n"/>
      <c r="I306" s="25" t="n"/>
      <c r="J306" s="17" t="n"/>
      <c r="K306" s="19">
        <f>IF(BF306&gt;0,"O Google leu como fórmula: digite de novo com ' na frente.","")</f>
        <v/>
      </c>
      <c r="AT306" s="2">
        <f>AT305+IF(LEN($AY$306)&gt;0,1,0)</f>
        <v/>
      </c>
      <c r="AU306" s="2">
        <f>AU305+IF(LEN($BB$306)&gt;0,1,0)</f>
        <v/>
      </c>
      <c r="AV306" s="2">
        <f>AV305+IF(LEN($BE$306)&gt;0,1,0)</f>
        <v/>
      </c>
      <c r="AY306" s="2">
        <f>IF(ISERROR($B$306),"",IF(ISBLANK($B$306),"",$B$306))</f>
        <v/>
      </c>
      <c r="BB306" s="2">
        <f>IF(ISERROR($E$306),"",IF(ISBLANK($E$306),"",$E$306))</f>
        <v/>
      </c>
      <c r="BE306" s="2">
        <f>IF(ISERROR($H$306),"",IF(ISBLANK($H$306),"",$H$306))</f>
        <v/>
      </c>
      <c r="BF306" s="2">
        <f>ISERROR($B$306)*1+ISERROR($E$306)*1+ISERROR($H$306)*1</f>
        <v/>
      </c>
    </row>
    <row r="307" ht="60" customHeight="1">
      <c r="A307" s="21" t="inlineStr">
        <is>
          <t>51</t>
        </is>
      </c>
      <c r="B307" s="29" t="n"/>
      <c r="C307" s="25" t="n"/>
      <c r="D307" s="17" t="n"/>
      <c r="E307" s="29" t="n"/>
      <c r="F307" s="25" t="n"/>
      <c r="G307" s="17" t="n"/>
      <c r="H307" s="29" t="n"/>
      <c r="I307" s="25" t="n"/>
      <c r="J307" s="17" t="n"/>
      <c r="K307" s="19">
        <f>IF(BF307&gt;0,"O Google leu como fórmula: digite de novo com ' na frente.","")</f>
        <v/>
      </c>
      <c r="AT307" s="2">
        <f>AT306+IF(LEN($AY$307)&gt;0,1,0)</f>
        <v/>
      </c>
      <c r="AU307" s="2">
        <f>AU306+IF(LEN($BB$307)&gt;0,1,0)</f>
        <v/>
      </c>
      <c r="AV307" s="2">
        <f>AV306+IF(LEN($BE$307)&gt;0,1,0)</f>
        <v/>
      </c>
      <c r="AY307" s="2">
        <f>IF(ISERROR($B$307),"",IF(ISBLANK($B$307),"",$B$307))</f>
        <v/>
      </c>
      <c r="BB307" s="2">
        <f>IF(ISERROR($E$307),"",IF(ISBLANK($E$307),"",$E$307))</f>
        <v/>
      </c>
      <c r="BE307" s="2">
        <f>IF(ISERROR($H$307),"",IF(ISBLANK($H$307),"",$H$307))</f>
        <v/>
      </c>
      <c r="BF307" s="2">
        <f>ISERROR($B$307)*1+ISERROR($E$307)*1+ISERROR($H$307)*1</f>
        <v/>
      </c>
    </row>
    <row r="308" ht="60" customHeight="1">
      <c r="A308" s="9" t="inlineStr">
        <is>
          <t>52</t>
        </is>
      </c>
      <c r="B308" s="4" t="n"/>
      <c r="C308" s="25" t="n"/>
      <c r="D308" s="17" t="n"/>
      <c r="E308" s="4" t="n"/>
      <c r="F308" s="25" t="n"/>
      <c r="G308" s="17" t="n"/>
      <c r="H308" s="4" t="n"/>
      <c r="I308" s="25" t="n"/>
      <c r="J308" s="17" t="n"/>
      <c r="K308" s="19">
        <f>IF(BF308&gt;0,"O Google leu como fórmula: digite de novo com ' na frente.","")</f>
        <v/>
      </c>
      <c r="AT308" s="2">
        <f>AT307+IF(LEN($AY$308)&gt;0,1,0)</f>
        <v/>
      </c>
      <c r="AU308" s="2">
        <f>AU307+IF(LEN($BB$308)&gt;0,1,0)</f>
        <v/>
      </c>
      <c r="AV308" s="2">
        <f>AV307+IF(LEN($BE$308)&gt;0,1,0)</f>
        <v/>
      </c>
      <c r="AY308" s="2">
        <f>IF(ISERROR($B$308),"",IF(ISBLANK($B$308),"",$B$308))</f>
        <v/>
      </c>
      <c r="BB308" s="2">
        <f>IF(ISERROR($E$308),"",IF(ISBLANK($E$308),"",$E$308))</f>
        <v/>
      </c>
      <c r="BE308" s="2">
        <f>IF(ISERROR($H$308),"",IF(ISBLANK($H$308),"",$H$308))</f>
        <v/>
      </c>
      <c r="BF308" s="2">
        <f>ISERROR($B$308)*1+ISERROR($E$308)*1+ISERROR($H$308)*1</f>
        <v/>
      </c>
    </row>
    <row r="309">
      <c r="A309" s="8" t="inlineStr">
        <is>
          <t>Vagas 53–65</t>
        </is>
      </c>
      <c r="B309" s="8" t="inlineStr">
        <is>
          <t>Tabela 7</t>
        </is>
      </c>
      <c r="C309" s="20" t="n"/>
      <c r="D309" s="20" t="n"/>
      <c r="E309" s="8" t="inlineStr">
        <is>
          <t>Tabela 8</t>
        </is>
      </c>
      <c r="F309" s="20" t="n"/>
      <c r="G309" s="20" t="n"/>
      <c r="H309" s="8" t="inlineStr">
        <is>
          <t>Tabela 9</t>
        </is>
      </c>
      <c r="I309" s="20" t="n"/>
      <c r="J309" s="20" t="n"/>
      <c r="AT309" s="2">
        <f>AT308</f>
        <v/>
      </c>
      <c r="AU309" s="2">
        <f>AU308</f>
        <v/>
      </c>
      <c r="AV309" s="2">
        <f>AV308</f>
        <v/>
      </c>
      <c r="AY309" s="2">
        <f>IF(ISERROR($B$309),"",IF(ISBLANK($B$309),"",$B$309))</f>
        <v/>
      </c>
      <c r="BB309" s="2">
        <f>IF(ISERROR($E$309),"",IF(ISBLANK($E$309),"",$E$309))</f>
        <v/>
      </c>
      <c r="BE309" s="2">
        <f>IF(ISERROR($H$309),"",IF(ISBLANK($H$309),"",$H$309))</f>
        <v/>
      </c>
    </row>
    <row r="310" ht="60" customHeight="1">
      <c r="A310" s="9" t="inlineStr">
        <is>
          <t>53</t>
        </is>
      </c>
      <c r="B310" s="4" t="n"/>
      <c r="C310" s="25" t="n"/>
      <c r="D310" s="17" t="n"/>
      <c r="E310" s="4" t="n"/>
      <c r="F310" s="25" t="n"/>
      <c r="G310" s="17" t="n"/>
      <c r="H310" s="4" t="n"/>
      <c r="I310" s="25" t="n"/>
      <c r="J310" s="17" t="n"/>
      <c r="K310" s="19">
        <f>IF(BF310&gt;0,"O Google leu como fórmula: digite de novo com ' na frente.","")</f>
        <v/>
      </c>
      <c r="AT310" s="2">
        <f>AT309+IF(LEN($AY$310)&gt;0,1,0)</f>
        <v/>
      </c>
      <c r="AU310" s="2">
        <f>AU309+IF(LEN($BB$310)&gt;0,1,0)</f>
        <v/>
      </c>
      <c r="AV310" s="2">
        <f>AV309+IF(LEN($BE$310)&gt;0,1,0)</f>
        <v/>
      </c>
      <c r="AY310" s="2">
        <f>IF(ISERROR($B$310),"",IF(ISBLANK($B$310),"",$B$310))</f>
        <v/>
      </c>
      <c r="BB310" s="2">
        <f>IF(ISERROR($E$310),"",IF(ISBLANK($E$310),"",$E$310))</f>
        <v/>
      </c>
      <c r="BE310" s="2">
        <f>IF(ISERROR($H$310),"",IF(ISBLANK($H$310),"",$H$310))</f>
        <v/>
      </c>
      <c r="BF310" s="2">
        <f>ISERROR($B$310)*1+ISERROR($E$310)*1+ISERROR($H$310)*1</f>
        <v/>
      </c>
    </row>
    <row r="311" ht="60" customHeight="1">
      <c r="A311" s="21" t="inlineStr">
        <is>
          <t>54</t>
        </is>
      </c>
      <c r="B311" s="29" t="n"/>
      <c r="C311" s="25" t="n"/>
      <c r="D311" s="17" t="n"/>
      <c r="E311" s="29" t="n"/>
      <c r="F311" s="25" t="n"/>
      <c r="G311" s="17" t="n"/>
      <c r="H311" s="29" t="n"/>
      <c r="I311" s="25" t="n"/>
      <c r="J311" s="17" t="n"/>
      <c r="K311" s="19">
        <f>IF(BF311&gt;0,"O Google leu como fórmula: digite de novo com ' na frente.","")</f>
        <v/>
      </c>
      <c r="AT311" s="2">
        <f>AT310+IF(LEN($AY$311)&gt;0,1,0)</f>
        <v/>
      </c>
      <c r="AU311" s="2">
        <f>AU310+IF(LEN($BB$311)&gt;0,1,0)</f>
        <v/>
      </c>
      <c r="AV311" s="2">
        <f>AV310+IF(LEN($BE$311)&gt;0,1,0)</f>
        <v/>
      </c>
      <c r="AY311" s="2">
        <f>IF(ISERROR($B$311),"",IF(ISBLANK($B$311),"",$B$311))</f>
        <v/>
      </c>
      <c r="BB311" s="2">
        <f>IF(ISERROR($E$311),"",IF(ISBLANK($E$311),"",$E$311))</f>
        <v/>
      </c>
      <c r="BE311" s="2">
        <f>IF(ISERROR($H$311),"",IF(ISBLANK($H$311),"",$H$311))</f>
        <v/>
      </c>
      <c r="BF311" s="2">
        <f>ISERROR($B$311)*1+ISERROR($E$311)*1+ISERROR($H$311)*1</f>
        <v/>
      </c>
    </row>
    <row r="312" ht="60" customHeight="1">
      <c r="A312" s="9" t="inlineStr">
        <is>
          <t>55</t>
        </is>
      </c>
      <c r="B312" s="4" t="n"/>
      <c r="C312" s="25" t="n"/>
      <c r="D312" s="17" t="n"/>
      <c r="E312" s="4" t="n"/>
      <c r="F312" s="25" t="n"/>
      <c r="G312" s="17" t="n"/>
      <c r="H312" s="4" t="n"/>
      <c r="I312" s="25" t="n"/>
      <c r="J312" s="17" t="n"/>
      <c r="K312" s="19">
        <f>IF(BF312&gt;0,"O Google leu como fórmula: digite de novo com ' na frente.","")</f>
        <v/>
      </c>
      <c r="AT312" s="2">
        <f>AT311+IF(LEN($AY$312)&gt;0,1,0)</f>
        <v/>
      </c>
      <c r="AU312" s="2">
        <f>AU311+IF(LEN($BB$312)&gt;0,1,0)</f>
        <v/>
      </c>
      <c r="AV312" s="2">
        <f>AV311+IF(LEN($BE$312)&gt;0,1,0)</f>
        <v/>
      </c>
      <c r="AY312" s="2">
        <f>IF(ISERROR($B$312),"",IF(ISBLANK($B$312),"",$B$312))</f>
        <v/>
      </c>
      <c r="BB312" s="2">
        <f>IF(ISERROR($E$312),"",IF(ISBLANK($E$312),"",$E$312))</f>
        <v/>
      </c>
      <c r="BE312" s="2">
        <f>IF(ISERROR($H$312),"",IF(ISBLANK($H$312),"",$H$312))</f>
        <v/>
      </c>
      <c r="BF312" s="2">
        <f>ISERROR($B$312)*1+ISERROR($E$312)*1+ISERROR($H$312)*1</f>
        <v/>
      </c>
    </row>
    <row r="313" ht="60" customHeight="1">
      <c r="A313" s="21" t="inlineStr">
        <is>
          <t>56</t>
        </is>
      </c>
      <c r="B313" s="29" t="n"/>
      <c r="C313" s="25" t="n"/>
      <c r="D313" s="17" t="n"/>
      <c r="E313" s="29" t="n"/>
      <c r="F313" s="25" t="n"/>
      <c r="G313" s="17" t="n"/>
      <c r="H313" s="29" t="n"/>
      <c r="I313" s="25" t="n"/>
      <c r="J313" s="17" t="n"/>
      <c r="K313" s="19">
        <f>IF(BF313&gt;0,"O Google leu como fórmula: digite de novo com ' na frente.","")</f>
        <v/>
      </c>
      <c r="AT313" s="2">
        <f>AT312+IF(LEN($AY$313)&gt;0,1,0)</f>
        <v/>
      </c>
      <c r="AU313" s="2">
        <f>AU312+IF(LEN($BB$313)&gt;0,1,0)</f>
        <v/>
      </c>
      <c r="AV313" s="2">
        <f>AV312+IF(LEN($BE$313)&gt;0,1,0)</f>
        <v/>
      </c>
      <c r="AY313" s="2">
        <f>IF(ISERROR($B$313),"",IF(ISBLANK($B$313),"",$B$313))</f>
        <v/>
      </c>
      <c r="BB313" s="2">
        <f>IF(ISERROR($E$313),"",IF(ISBLANK($E$313),"",$E$313))</f>
        <v/>
      </c>
      <c r="BE313" s="2">
        <f>IF(ISERROR($H$313),"",IF(ISBLANK($H$313),"",$H$313))</f>
        <v/>
      </c>
      <c r="BF313" s="2">
        <f>ISERROR($B$313)*1+ISERROR($E$313)*1+ISERROR($H$313)*1</f>
        <v/>
      </c>
    </row>
    <row r="314" ht="60" customHeight="1">
      <c r="A314" s="9" t="inlineStr">
        <is>
          <t>57</t>
        </is>
      </c>
      <c r="B314" s="4" t="n"/>
      <c r="C314" s="25" t="n"/>
      <c r="D314" s="17" t="n"/>
      <c r="E314" s="4" t="n"/>
      <c r="F314" s="25" t="n"/>
      <c r="G314" s="17" t="n"/>
      <c r="H314" s="4" t="n"/>
      <c r="I314" s="25" t="n"/>
      <c r="J314" s="17" t="n"/>
      <c r="K314" s="19">
        <f>IF(BF314&gt;0,"O Google leu como fórmula: digite de novo com ' na frente.","")</f>
        <v/>
      </c>
      <c r="AT314" s="2">
        <f>AT313+IF(LEN($AY$314)&gt;0,1,0)</f>
        <v/>
      </c>
      <c r="AU314" s="2">
        <f>AU313+IF(LEN($BB$314)&gt;0,1,0)</f>
        <v/>
      </c>
      <c r="AV314" s="2">
        <f>AV313+IF(LEN($BE$314)&gt;0,1,0)</f>
        <v/>
      </c>
      <c r="AY314" s="2">
        <f>IF(ISERROR($B$314),"",IF(ISBLANK($B$314),"",$B$314))</f>
        <v/>
      </c>
      <c r="BB314" s="2">
        <f>IF(ISERROR($E$314),"",IF(ISBLANK($E$314),"",$E$314))</f>
        <v/>
      </c>
      <c r="BE314" s="2">
        <f>IF(ISERROR($H$314),"",IF(ISBLANK($H$314),"",$H$314))</f>
        <v/>
      </c>
      <c r="BF314" s="2">
        <f>ISERROR($B$314)*1+ISERROR($E$314)*1+ISERROR($H$314)*1</f>
        <v/>
      </c>
    </row>
    <row r="315" ht="60" customHeight="1">
      <c r="A315" s="21" t="inlineStr">
        <is>
          <t>58</t>
        </is>
      </c>
      <c r="B315" s="29" t="n"/>
      <c r="C315" s="25" t="n"/>
      <c r="D315" s="17" t="n"/>
      <c r="E315" s="29" t="n"/>
      <c r="F315" s="25" t="n"/>
      <c r="G315" s="17" t="n"/>
      <c r="H315" s="29" t="n"/>
      <c r="I315" s="25" t="n"/>
      <c r="J315" s="17" t="n"/>
      <c r="K315" s="19">
        <f>IF(BF315&gt;0,"O Google leu como fórmula: digite de novo com ' na frente.","")</f>
        <v/>
      </c>
      <c r="AT315" s="2">
        <f>AT314+IF(LEN($AY$315)&gt;0,1,0)</f>
        <v/>
      </c>
      <c r="AU315" s="2">
        <f>AU314+IF(LEN($BB$315)&gt;0,1,0)</f>
        <v/>
      </c>
      <c r="AV315" s="2">
        <f>AV314+IF(LEN($BE$315)&gt;0,1,0)</f>
        <v/>
      </c>
      <c r="AY315" s="2">
        <f>IF(ISERROR($B$315),"",IF(ISBLANK($B$315),"",$B$315))</f>
        <v/>
      </c>
      <c r="BB315" s="2">
        <f>IF(ISERROR($E$315),"",IF(ISBLANK($E$315),"",$E$315))</f>
        <v/>
      </c>
      <c r="BE315" s="2">
        <f>IF(ISERROR($H$315),"",IF(ISBLANK($H$315),"",$H$315))</f>
        <v/>
      </c>
      <c r="BF315" s="2">
        <f>ISERROR($B$315)*1+ISERROR($E$315)*1+ISERROR($H$315)*1</f>
        <v/>
      </c>
    </row>
    <row r="316" ht="60" customHeight="1">
      <c r="A316" s="9" t="inlineStr">
        <is>
          <t>59</t>
        </is>
      </c>
      <c r="B316" s="4" t="n"/>
      <c r="C316" s="25" t="n"/>
      <c r="D316" s="17" t="n"/>
      <c r="E316" s="4" t="n"/>
      <c r="F316" s="25" t="n"/>
      <c r="G316" s="17" t="n"/>
      <c r="H316" s="4" t="n"/>
      <c r="I316" s="25" t="n"/>
      <c r="J316" s="17" t="n"/>
      <c r="K316" s="19">
        <f>IF(BF316&gt;0,"O Google leu como fórmula: digite de novo com ' na frente.","")</f>
        <v/>
      </c>
      <c r="AT316" s="2">
        <f>AT315+IF(LEN($AY$316)&gt;0,1,0)</f>
        <v/>
      </c>
      <c r="AU316" s="2">
        <f>AU315+IF(LEN($BB$316)&gt;0,1,0)</f>
        <v/>
      </c>
      <c r="AV316" s="2">
        <f>AV315+IF(LEN($BE$316)&gt;0,1,0)</f>
        <v/>
      </c>
      <c r="AY316" s="2">
        <f>IF(ISERROR($B$316),"",IF(ISBLANK($B$316),"",$B$316))</f>
        <v/>
      </c>
      <c r="BB316" s="2">
        <f>IF(ISERROR($E$316),"",IF(ISBLANK($E$316),"",$E$316))</f>
        <v/>
      </c>
      <c r="BE316" s="2">
        <f>IF(ISERROR($H$316),"",IF(ISBLANK($H$316),"",$H$316))</f>
        <v/>
      </c>
      <c r="BF316" s="2">
        <f>ISERROR($B$316)*1+ISERROR($E$316)*1+ISERROR($H$316)*1</f>
        <v/>
      </c>
    </row>
    <row r="317" ht="60" customHeight="1">
      <c r="A317" s="21" t="inlineStr">
        <is>
          <t>60</t>
        </is>
      </c>
      <c r="B317" s="29" t="n"/>
      <c r="C317" s="25" t="n"/>
      <c r="D317" s="17" t="n"/>
      <c r="E317" s="29" t="n"/>
      <c r="F317" s="25" t="n"/>
      <c r="G317" s="17" t="n"/>
      <c r="H317" s="29" t="n"/>
      <c r="I317" s="25" t="n"/>
      <c r="J317" s="17" t="n"/>
      <c r="K317" s="19">
        <f>IF(BF317&gt;0,"O Google leu como fórmula: digite de novo com ' na frente.","")</f>
        <v/>
      </c>
      <c r="AT317" s="2">
        <f>AT316+IF(LEN($AY$317)&gt;0,1,0)</f>
        <v/>
      </c>
      <c r="AU317" s="2">
        <f>AU316+IF(LEN($BB$317)&gt;0,1,0)</f>
        <v/>
      </c>
      <c r="AV317" s="2">
        <f>AV316+IF(LEN($BE$317)&gt;0,1,0)</f>
        <v/>
      </c>
      <c r="AY317" s="2">
        <f>IF(ISERROR($B$317),"",IF(ISBLANK($B$317),"",$B$317))</f>
        <v/>
      </c>
      <c r="BB317" s="2">
        <f>IF(ISERROR($E$317),"",IF(ISBLANK($E$317),"",$E$317))</f>
        <v/>
      </c>
      <c r="BE317" s="2">
        <f>IF(ISERROR($H$317),"",IF(ISBLANK($H$317),"",$H$317))</f>
        <v/>
      </c>
      <c r="BF317" s="2">
        <f>ISERROR($B$317)*1+ISERROR($E$317)*1+ISERROR($H$317)*1</f>
        <v/>
      </c>
    </row>
    <row r="318" ht="60" customHeight="1">
      <c r="A318" s="9" t="inlineStr">
        <is>
          <t>61</t>
        </is>
      </c>
      <c r="B318" s="4" t="n"/>
      <c r="C318" s="25" t="n"/>
      <c r="D318" s="17" t="n"/>
      <c r="E318" s="4" t="n"/>
      <c r="F318" s="25" t="n"/>
      <c r="G318" s="17" t="n"/>
      <c r="H318" s="4" t="n"/>
      <c r="I318" s="25" t="n"/>
      <c r="J318" s="17" t="n"/>
      <c r="K318" s="19">
        <f>IF(BF318&gt;0,"O Google leu como fórmula: digite de novo com ' na frente.","")</f>
        <v/>
      </c>
      <c r="AT318" s="2">
        <f>AT317+IF(LEN($AY$318)&gt;0,1,0)</f>
        <v/>
      </c>
      <c r="AU318" s="2">
        <f>AU317+IF(LEN($BB$318)&gt;0,1,0)</f>
        <v/>
      </c>
      <c r="AV318" s="2">
        <f>AV317+IF(LEN($BE$318)&gt;0,1,0)</f>
        <v/>
      </c>
      <c r="AY318" s="2">
        <f>IF(ISERROR($B$318),"",IF(ISBLANK($B$318),"",$B$318))</f>
        <v/>
      </c>
      <c r="BB318" s="2">
        <f>IF(ISERROR($E$318),"",IF(ISBLANK($E$318),"",$E$318))</f>
        <v/>
      </c>
      <c r="BE318" s="2">
        <f>IF(ISERROR($H$318),"",IF(ISBLANK($H$318),"",$H$318))</f>
        <v/>
      </c>
      <c r="BF318" s="2">
        <f>ISERROR($B$318)*1+ISERROR($E$318)*1+ISERROR($H$318)*1</f>
        <v/>
      </c>
    </row>
    <row r="319" ht="60" customHeight="1">
      <c r="A319" s="21" t="inlineStr">
        <is>
          <t>62</t>
        </is>
      </c>
      <c r="B319" s="29" t="n"/>
      <c r="C319" s="25" t="n"/>
      <c r="D319" s="17" t="n"/>
      <c r="E319" s="29" t="n"/>
      <c r="F319" s="25" t="n"/>
      <c r="G319" s="17" t="n"/>
      <c r="H319" s="29" t="n"/>
      <c r="I319" s="25" t="n"/>
      <c r="J319" s="17" t="n"/>
      <c r="K319" s="19">
        <f>IF(BF319&gt;0,"O Google leu como fórmula: digite de novo com ' na frente.","")</f>
        <v/>
      </c>
      <c r="AT319" s="2">
        <f>AT318+IF(LEN($AY$319)&gt;0,1,0)</f>
        <v/>
      </c>
      <c r="AU319" s="2">
        <f>AU318+IF(LEN($BB$319)&gt;0,1,0)</f>
        <v/>
      </c>
      <c r="AV319" s="2">
        <f>AV318+IF(LEN($BE$319)&gt;0,1,0)</f>
        <v/>
      </c>
      <c r="AY319" s="2">
        <f>IF(ISERROR($B$319),"",IF(ISBLANK($B$319),"",$B$319))</f>
        <v/>
      </c>
      <c r="BB319" s="2">
        <f>IF(ISERROR($E$319),"",IF(ISBLANK($E$319),"",$E$319))</f>
        <v/>
      </c>
      <c r="BE319" s="2">
        <f>IF(ISERROR($H$319),"",IF(ISBLANK($H$319),"",$H$319))</f>
        <v/>
      </c>
      <c r="BF319" s="2">
        <f>ISERROR($B$319)*1+ISERROR($E$319)*1+ISERROR($H$319)*1</f>
        <v/>
      </c>
    </row>
    <row r="320" ht="60" customHeight="1">
      <c r="A320" s="9" t="inlineStr">
        <is>
          <t>63</t>
        </is>
      </c>
      <c r="B320" s="4" t="n"/>
      <c r="C320" s="25" t="n"/>
      <c r="D320" s="17" t="n"/>
      <c r="E320" s="4" t="n"/>
      <c r="F320" s="25" t="n"/>
      <c r="G320" s="17" t="n"/>
      <c r="H320" s="4" t="n"/>
      <c r="I320" s="25" t="n"/>
      <c r="J320" s="17" t="n"/>
      <c r="K320" s="19">
        <f>IF(BF320&gt;0,"O Google leu como fórmula: digite de novo com ' na frente.","")</f>
        <v/>
      </c>
      <c r="AT320" s="2">
        <f>AT319+IF(LEN($AY$320)&gt;0,1,0)</f>
        <v/>
      </c>
      <c r="AU320" s="2">
        <f>AU319+IF(LEN($BB$320)&gt;0,1,0)</f>
        <v/>
      </c>
      <c r="AV320" s="2">
        <f>AV319+IF(LEN($BE$320)&gt;0,1,0)</f>
        <v/>
      </c>
      <c r="AY320" s="2">
        <f>IF(ISERROR($B$320),"",IF(ISBLANK($B$320),"",$B$320))</f>
        <v/>
      </c>
      <c r="BB320" s="2">
        <f>IF(ISERROR($E$320),"",IF(ISBLANK($E$320),"",$E$320))</f>
        <v/>
      </c>
      <c r="BE320" s="2">
        <f>IF(ISERROR($H$320),"",IF(ISBLANK($H$320),"",$H$320))</f>
        <v/>
      </c>
      <c r="BF320" s="2">
        <f>ISERROR($B$320)*1+ISERROR($E$320)*1+ISERROR($H$320)*1</f>
        <v/>
      </c>
    </row>
    <row r="321" ht="60" customHeight="1">
      <c r="A321" s="21" t="inlineStr">
        <is>
          <t>64</t>
        </is>
      </c>
      <c r="B321" s="29" t="n"/>
      <c r="C321" s="25" t="n"/>
      <c r="D321" s="17" t="n"/>
      <c r="E321" s="29" t="n"/>
      <c r="F321" s="25" t="n"/>
      <c r="G321" s="17" t="n"/>
      <c r="H321" s="29" t="n"/>
      <c r="I321" s="25" t="n"/>
      <c r="J321" s="17" t="n"/>
      <c r="K321" s="19">
        <f>IF(BF321&gt;0,"O Google leu como fórmula: digite de novo com ' na frente.","")</f>
        <v/>
      </c>
      <c r="AT321" s="2">
        <f>AT320+IF(LEN($AY$321)&gt;0,1,0)</f>
        <v/>
      </c>
      <c r="AU321" s="2">
        <f>AU320+IF(LEN($BB$321)&gt;0,1,0)</f>
        <v/>
      </c>
      <c r="AV321" s="2">
        <f>AV320+IF(LEN($BE$321)&gt;0,1,0)</f>
        <v/>
      </c>
      <c r="AY321" s="2">
        <f>IF(ISERROR($B$321),"",IF(ISBLANK($B$321),"",$B$321))</f>
        <v/>
      </c>
      <c r="BB321" s="2">
        <f>IF(ISERROR($E$321),"",IF(ISBLANK($E$321),"",$E$321))</f>
        <v/>
      </c>
      <c r="BE321" s="2">
        <f>IF(ISERROR($H$321),"",IF(ISBLANK($H$321),"",$H$321))</f>
        <v/>
      </c>
      <c r="BF321" s="2">
        <f>ISERROR($B$321)*1+ISERROR($E$321)*1+ISERROR($H$321)*1</f>
        <v/>
      </c>
    </row>
    <row r="322" ht="60" customHeight="1">
      <c r="A322" s="9" t="inlineStr">
        <is>
          <t>65</t>
        </is>
      </c>
      <c r="B322" s="4" t="n"/>
      <c r="C322" s="25" t="n"/>
      <c r="D322" s="17" t="n"/>
      <c r="E322" s="4" t="n"/>
      <c r="F322" s="25" t="n"/>
      <c r="G322" s="17" t="n"/>
      <c r="H322" s="4" t="n"/>
      <c r="I322" s="25" t="n"/>
      <c r="J322" s="17" t="n"/>
      <c r="K322" s="19">
        <f>IF(BF322&gt;0,"O Google leu como fórmula: digite de novo com ' na frente.","")</f>
        <v/>
      </c>
      <c r="AT322" s="2">
        <f>AT321+IF(LEN($AY$322)&gt;0,1,0)</f>
        <v/>
      </c>
      <c r="AU322" s="2">
        <f>AU321+IF(LEN($BB$322)&gt;0,1,0)</f>
        <v/>
      </c>
      <c r="AV322" s="2">
        <f>AV321+IF(LEN($BE$322)&gt;0,1,0)</f>
        <v/>
      </c>
      <c r="AY322" s="2">
        <f>IF(ISERROR($B$322),"",IF(ISBLANK($B$322),"",$B$322))</f>
        <v/>
      </c>
      <c r="BB322" s="2">
        <f>IF(ISERROR($E$322),"",IF(ISBLANK($E$322),"",$E$322))</f>
        <v/>
      </c>
      <c r="BE322" s="2">
        <f>IF(ISERROR($H$322),"",IF(ISBLANK($H$322),"",$H$322))</f>
        <v/>
      </c>
      <c r="BF322" s="2">
        <f>ISERROR($B$322)*1+ISERROR($E$322)*1+ISERROR($H$322)*1</f>
        <v/>
      </c>
    </row>
    <row r="323">
      <c r="A323" s="8" t="inlineStr">
        <is>
          <t>Vagas 66–78</t>
        </is>
      </c>
      <c r="B323" s="8" t="inlineStr">
        <is>
          <t>Tabela 7</t>
        </is>
      </c>
      <c r="C323" s="20" t="n"/>
      <c r="D323" s="20" t="n"/>
      <c r="E323" s="8" t="inlineStr">
        <is>
          <t>Tabela 8</t>
        </is>
      </c>
      <c r="F323" s="20" t="n"/>
      <c r="G323" s="20" t="n"/>
      <c r="H323" s="8" t="inlineStr">
        <is>
          <t>Tabela 9</t>
        </is>
      </c>
      <c r="I323" s="20" t="n"/>
      <c r="J323" s="20" t="n"/>
      <c r="AT323" s="2">
        <f>AT322</f>
        <v/>
      </c>
      <c r="AU323" s="2">
        <f>AU322</f>
        <v/>
      </c>
      <c r="AV323" s="2">
        <f>AV322</f>
        <v/>
      </c>
      <c r="AY323" s="2">
        <f>IF(ISERROR($B$323),"",IF(ISBLANK($B$323),"",$B$323))</f>
        <v/>
      </c>
      <c r="BB323" s="2">
        <f>IF(ISERROR($E$323),"",IF(ISBLANK($E$323),"",$E$323))</f>
        <v/>
      </c>
      <c r="BE323" s="2">
        <f>IF(ISERROR($H$323),"",IF(ISBLANK($H$323),"",$H$323))</f>
        <v/>
      </c>
    </row>
    <row r="324" ht="60" customHeight="1">
      <c r="A324" s="9" t="inlineStr">
        <is>
          <t>66</t>
        </is>
      </c>
      <c r="B324" s="4" t="n"/>
      <c r="C324" s="25" t="n"/>
      <c r="D324" s="17" t="n"/>
      <c r="E324" s="4" t="n"/>
      <c r="F324" s="25" t="n"/>
      <c r="G324" s="17" t="n"/>
      <c r="H324" s="4" t="n"/>
      <c r="I324" s="25" t="n"/>
      <c r="J324" s="17" t="n"/>
      <c r="K324" s="19">
        <f>IF(BF324&gt;0,"O Google leu como fórmula: digite de novo com ' na frente.","")</f>
        <v/>
      </c>
      <c r="AT324" s="2">
        <f>AT323+IF(LEN($AY$324)&gt;0,1,0)</f>
        <v/>
      </c>
      <c r="AU324" s="2">
        <f>AU323+IF(LEN($BB$324)&gt;0,1,0)</f>
        <v/>
      </c>
      <c r="AV324" s="2">
        <f>AV323+IF(LEN($BE$324)&gt;0,1,0)</f>
        <v/>
      </c>
      <c r="AY324" s="2">
        <f>IF(ISERROR($B$324),"",IF(ISBLANK($B$324),"",$B$324))</f>
        <v/>
      </c>
      <c r="BB324" s="2">
        <f>IF(ISERROR($E$324),"",IF(ISBLANK($E$324),"",$E$324))</f>
        <v/>
      </c>
      <c r="BE324" s="2">
        <f>IF(ISERROR($H$324),"",IF(ISBLANK($H$324),"",$H$324))</f>
        <v/>
      </c>
      <c r="BF324" s="2">
        <f>ISERROR($B$324)*1+ISERROR($E$324)*1+ISERROR($H$324)*1</f>
        <v/>
      </c>
    </row>
    <row r="325" ht="60" customHeight="1">
      <c r="A325" s="21" t="inlineStr">
        <is>
          <t>67</t>
        </is>
      </c>
      <c r="B325" s="29" t="n"/>
      <c r="C325" s="25" t="n"/>
      <c r="D325" s="17" t="n"/>
      <c r="E325" s="29" t="n"/>
      <c r="F325" s="25" t="n"/>
      <c r="G325" s="17" t="n"/>
      <c r="H325" s="29" t="n"/>
      <c r="I325" s="25" t="n"/>
      <c r="J325" s="17" t="n"/>
      <c r="K325" s="19">
        <f>IF(BF325&gt;0,"O Google leu como fórmula: digite de novo com ' na frente.","")</f>
        <v/>
      </c>
      <c r="AT325" s="2">
        <f>AT324+IF(LEN($AY$325)&gt;0,1,0)</f>
        <v/>
      </c>
      <c r="AU325" s="2">
        <f>AU324+IF(LEN($BB$325)&gt;0,1,0)</f>
        <v/>
      </c>
      <c r="AV325" s="2">
        <f>AV324+IF(LEN($BE$325)&gt;0,1,0)</f>
        <v/>
      </c>
      <c r="AY325" s="2">
        <f>IF(ISERROR($B$325),"",IF(ISBLANK($B$325),"",$B$325))</f>
        <v/>
      </c>
      <c r="BB325" s="2">
        <f>IF(ISERROR($E$325),"",IF(ISBLANK($E$325),"",$E$325))</f>
        <v/>
      </c>
      <c r="BE325" s="2">
        <f>IF(ISERROR($H$325),"",IF(ISBLANK($H$325),"",$H$325))</f>
        <v/>
      </c>
      <c r="BF325" s="2">
        <f>ISERROR($B$325)*1+ISERROR($E$325)*1+ISERROR($H$325)*1</f>
        <v/>
      </c>
    </row>
    <row r="326" ht="60" customHeight="1">
      <c r="A326" s="9" t="inlineStr">
        <is>
          <t>68</t>
        </is>
      </c>
      <c r="B326" s="4" t="n"/>
      <c r="C326" s="25" t="n"/>
      <c r="D326" s="17" t="n"/>
      <c r="E326" s="4" t="n"/>
      <c r="F326" s="25" t="n"/>
      <c r="G326" s="17" t="n"/>
      <c r="H326" s="4" t="n"/>
      <c r="I326" s="25" t="n"/>
      <c r="J326" s="17" t="n"/>
      <c r="K326" s="19">
        <f>IF(BF326&gt;0,"O Google leu como fórmula: digite de novo com ' na frente.","")</f>
        <v/>
      </c>
      <c r="AT326" s="2">
        <f>AT325+IF(LEN($AY$326)&gt;0,1,0)</f>
        <v/>
      </c>
      <c r="AU326" s="2">
        <f>AU325+IF(LEN($BB$326)&gt;0,1,0)</f>
        <v/>
      </c>
      <c r="AV326" s="2">
        <f>AV325+IF(LEN($BE$326)&gt;0,1,0)</f>
        <v/>
      </c>
      <c r="AY326" s="2">
        <f>IF(ISERROR($B$326),"",IF(ISBLANK($B$326),"",$B$326))</f>
        <v/>
      </c>
      <c r="BB326" s="2">
        <f>IF(ISERROR($E$326),"",IF(ISBLANK($E$326),"",$E$326))</f>
        <v/>
      </c>
      <c r="BE326" s="2">
        <f>IF(ISERROR($H$326),"",IF(ISBLANK($H$326),"",$H$326))</f>
        <v/>
      </c>
      <c r="BF326" s="2">
        <f>ISERROR($B$326)*1+ISERROR($E$326)*1+ISERROR($H$326)*1</f>
        <v/>
      </c>
    </row>
    <row r="327" ht="60" customHeight="1">
      <c r="A327" s="21" t="inlineStr">
        <is>
          <t>69</t>
        </is>
      </c>
      <c r="B327" s="29" t="n"/>
      <c r="C327" s="25" t="n"/>
      <c r="D327" s="17" t="n"/>
      <c r="E327" s="29" t="n"/>
      <c r="F327" s="25" t="n"/>
      <c r="G327" s="17" t="n"/>
      <c r="H327" s="29" t="n"/>
      <c r="I327" s="25" t="n"/>
      <c r="J327" s="17" t="n"/>
      <c r="K327" s="19">
        <f>IF(BF327&gt;0,"O Google leu como fórmula: digite de novo com ' na frente.","")</f>
        <v/>
      </c>
      <c r="AT327" s="2">
        <f>AT326+IF(LEN($AY$327)&gt;0,1,0)</f>
        <v/>
      </c>
      <c r="AU327" s="2">
        <f>AU326+IF(LEN($BB$327)&gt;0,1,0)</f>
        <v/>
      </c>
      <c r="AV327" s="2">
        <f>AV326+IF(LEN($BE$327)&gt;0,1,0)</f>
        <v/>
      </c>
      <c r="AY327" s="2">
        <f>IF(ISERROR($B$327),"",IF(ISBLANK($B$327),"",$B$327))</f>
        <v/>
      </c>
      <c r="BB327" s="2">
        <f>IF(ISERROR($E$327),"",IF(ISBLANK($E$327),"",$E$327))</f>
        <v/>
      </c>
      <c r="BE327" s="2">
        <f>IF(ISERROR($H$327),"",IF(ISBLANK($H$327),"",$H$327))</f>
        <v/>
      </c>
      <c r="BF327" s="2">
        <f>ISERROR($B$327)*1+ISERROR($E$327)*1+ISERROR($H$327)*1</f>
        <v/>
      </c>
    </row>
    <row r="328" ht="60" customHeight="1">
      <c r="A328" s="9" t="inlineStr">
        <is>
          <t>70</t>
        </is>
      </c>
      <c r="B328" s="4" t="n"/>
      <c r="C328" s="25" t="n"/>
      <c r="D328" s="17" t="n"/>
      <c r="E328" s="4" t="n"/>
      <c r="F328" s="25" t="n"/>
      <c r="G328" s="17" t="n"/>
      <c r="H328" s="4" t="n"/>
      <c r="I328" s="25" t="n"/>
      <c r="J328" s="17" t="n"/>
      <c r="K328" s="19">
        <f>IF(BF328&gt;0,"O Google leu como fórmula: digite de novo com ' na frente.","")</f>
        <v/>
      </c>
      <c r="AT328" s="2">
        <f>AT327+IF(LEN($AY$328)&gt;0,1,0)</f>
        <v/>
      </c>
      <c r="AU328" s="2">
        <f>AU327+IF(LEN($BB$328)&gt;0,1,0)</f>
        <v/>
      </c>
      <c r="AV328" s="2">
        <f>AV327+IF(LEN($BE$328)&gt;0,1,0)</f>
        <v/>
      </c>
      <c r="AY328" s="2">
        <f>IF(ISERROR($B$328),"",IF(ISBLANK($B$328),"",$B$328))</f>
        <v/>
      </c>
      <c r="BB328" s="2">
        <f>IF(ISERROR($E$328),"",IF(ISBLANK($E$328),"",$E$328))</f>
        <v/>
      </c>
      <c r="BE328" s="2">
        <f>IF(ISERROR($H$328),"",IF(ISBLANK($H$328),"",$H$328))</f>
        <v/>
      </c>
      <c r="BF328" s="2">
        <f>ISERROR($B$328)*1+ISERROR($E$328)*1+ISERROR($H$328)*1</f>
        <v/>
      </c>
    </row>
    <row r="329" ht="60" customHeight="1">
      <c r="A329" s="21" t="inlineStr">
        <is>
          <t>71</t>
        </is>
      </c>
      <c r="B329" s="29" t="n"/>
      <c r="C329" s="25" t="n"/>
      <c r="D329" s="17" t="n"/>
      <c r="E329" s="29" t="n"/>
      <c r="F329" s="25" t="n"/>
      <c r="G329" s="17" t="n"/>
      <c r="H329" s="29" t="n"/>
      <c r="I329" s="25" t="n"/>
      <c r="J329" s="17" t="n"/>
      <c r="K329" s="19">
        <f>IF(BF329&gt;0,"O Google leu como fórmula: digite de novo com ' na frente.","")</f>
        <v/>
      </c>
      <c r="AT329" s="2">
        <f>AT328+IF(LEN($AY$329)&gt;0,1,0)</f>
        <v/>
      </c>
      <c r="AU329" s="2">
        <f>AU328+IF(LEN($BB$329)&gt;0,1,0)</f>
        <v/>
      </c>
      <c r="AV329" s="2">
        <f>AV328+IF(LEN($BE$329)&gt;0,1,0)</f>
        <v/>
      </c>
      <c r="AY329" s="2">
        <f>IF(ISERROR($B$329),"",IF(ISBLANK($B$329),"",$B$329))</f>
        <v/>
      </c>
      <c r="BB329" s="2">
        <f>IF(ISERROR($E$329),"",IF(ISBLANK($E$329),"",$E$329))</f>
        <v/>
      </c>
      <c r="BE329" s="2">
        <f>IF(ISERROR($H$329),"",IF(ISBLANK($H$329),"",$H$329))</f>
        <v/>
      </c>
      <c r="BF329" s="2">
        <f>ISERROR($B$329)*1+ISERROR($E$329)*1+ISERROR($H$329)*1</f>
        <v/>
      </c>
    </row>
    <row r="330" ht="60" customHeight="1">
      <c r="A330" s="9" t="inlineStr">
        <is>
          <t>72</t>
        </is>
      </c>
      <c r="B330" s="4" t="n"/>
      <c r="C330" s="25" t="n"/>
      <c r="D330" s="17" t="n"/>
      <c r="E330" s="4" t="n"/>
      <c r="F330" s="25" t="n"/>
      <c r="G330" s="17" t="n"/>
      <c r="H330" s="4" t="n"/>
      <c r="I330" s="25" t="n"/>
      <c r="J330" s="17" t="n"/>
      <c r="K330" s="19">
        <f>IF(BF330&gt;0,"O Google leu como fórmula: digite de novo com ' na frente.","")</f>
        <v/>
      </c>
      <c r="AT330" s="2">
        <f>AT329+IF(LEN($AY$330)&gt;0,1,0)</f>
        <v/>
      </c>
      <c r="AU330" s="2">
        <f>AU329+IF(LEN($BB$330)&gt;0,1,0)</f>
        <v/>
      </c>
      <c r="AV330" s="2">
        <f>AV329+IF(LEN($BE$330)&gt;0,1,0)</f>
        <v/>
      </c>
      <c r="AY330" s="2">
        <f>IF(ISERROR($B$330),"",IF(ISBLANK($B$330),"",$B$330))</f>
        <v/>
      </c>
      <c r="BB330" s="2">
        <f>IF(ISERROR($E$330),"",IF(ISBLANK($E$330),"",$E$330))</f>
        <v/>
      </c>
      <c r="BE330" s="2">
        <f>IF(ISERROR($H$330),"",IF(ISBLANK($H$330),"",$H$330))</f>
        <v/>
      </c>
      <c r="BF330" s="2">
        <f>ISERROR($B$330)*1+ISERROR($E$330)*1+ISERROR($H$330)*1</f>
        <v/>
      </c>
    </row>
    <row r="331" ht="60" customHeight="1">
      <c r="A331" s="21" t="inlineStr">
        <is>
          <t>73</t>
        </is>
      </c>
      <c r="B331" s="29" t="n"/>
      <c r="C331" s="25" t="n"/>
      <c r="D331" s="17" t="n"/>
      <c r="E331" s="29" t="n"/>
      <c r="F331" s="25" t="n"/>
      <c r="G331" s="17" t="n"/>
      <c r="H331" s="29" t="n"/>
      <c r="I331" s="25" t="n"/>
      <c r="J331" s="17" t="n"/>
      <c r="K331" s="19">
        <f>IF(BF331&gt;0,"O Google leu como fórmula: digite de novo com ' na frente.","")</f>
        <v/>
      </c>
      <c r="AT331" s="2">
        <f>AT330+IF(LEN($AY$331)&gt;0,1,0)</f>
        <v/>
      </c>
      <c r="AU331" s="2">
        <f>AU330+IF(LEN($BB$331)&gt;0,1,0)</f>
        <v/>
      </c>
      <c r="AV331" s="2">
        <f>AV330+IF(LEN($BE$331)&gt;0,1,0)</f>
        <v/>
      </c>
      <c r="AY331" s="2">
        <f>IF(ISERROR($B$331),"",IF(ISBLANK($B$331),"",$B$331))</f>
        <v/>
      </c>
      <c r="BB331" s="2">
        <f>IF(ISERROR($E$331),"",IF(ISBLANK($E$331),"",$E$331))</f>
        <v/>
      </c>
      <c r="BE331" s="2">
        <f>IF(ISERROR($H$331),"",IF(ISBLANK($H$331),"",$H$331))</f>
        <v/>
      </c>
      <c r="BF331" s="2">
        <f>ISERROR($B$331)*1+ISERROR($E$331)*1+ISERROR($H$331)*1</f>
        <v/>
      </c>
    </row>
    <row r="332" ht="60" customHeight="1">
      <c r="A332" s="9" t="inlineStr">
        <is>
          <t>74</t>
        </is>
      </c>
      <c r="B332" s="4" t="n"/>
      <c r="C332" s="25" t="n"/>
      <c r="D332" s="17" t="n"/>
      <c r="E332" s="4" t="n"/>
      <c r="F332" s="25" t="n"/>
      <c r="G332" s="17" t="n"/>
      <c r="H332" s="4" t="n"/>
      <c r="I332" s="25" t="n"/>
      <c r="J332" s="17" t="n"/>
      <c r="K332" s="19">
        <f>IF(BF332&gt;0,"O Google leu como fórmula: digite de novo com ' na frente.","")</f>
        <v/>
      </c>
      <c r="AT332" s="2">
        <f>AT331+IF(LEN($AY$332)&gt;0,1,0)</f>
        <v/>
      </c>
      <c r="AU332" s="2">
        <f>AU331+IF(LEN($BB$332)&gt;0,1,0)</f>
        <v/>
      </c>
      <c r="AV332" s="2">
        <f>AV331+IF(LEN($BE$332)&gt;0,1,0)</f>
        <v/>
      </c>
      <c r="AY332" s="2">
        <f>IF(ISERROR($B$332),"",IF(ISBLANK($B$332),"",$B$332))</f>
        <v/>
      </c>
      <c r="BB332" s="2">
        <f>IF(ISERROR($E$332),"",IF(ISBLANK($E$332),"",$E$332))</f>
        <v/>
      </c>
      <c r="BE332" s="2">
        <f>IF(ISERROR($H$332),"",IF(ISBLANK($H$332),"",$H$332))</f>
        <v/>
      </c>
      <c r="BF332" s="2">
        <f>ISERROR($B$332)*1+ISERROR($E$332)*1+ISERROR($H$332)*1</f>
        <v/>
      </c>
    </row>
    <row r="333" ht="60" customHeight="1">
      <c r="A333" s="21" t="inlineStr">
        <is>
          <t>75</t>
        </is>
      </c>
      <c r="B333" s="29" t="n"/>
      <c r="C333" s="25" t="n"/>
      <c r="D333" s="17" t="n"/>
      <c r="E333" s="29" t="n"/>
      <c r="F333" s="25" t="n"/>
      <c r="G333" s="17" t="n"/>
      <c r="H333" s="29" t="n"/>
      <c r="I333" s="25" t="n"/>
      <c r="J333" s="17" t="n"/>
      <c r="K333" s="19">
        <f>IF(BF333&gt;0,"O Google leu como fórmula: digite de novo com ' na frente.","")</f>
        <v/>
      </c>
      <c r="AT333" s="2">
        <f>AT332+IF(LEN($AY$333)&gt;0,1,0)</f>
        <v/>
      </c>
      <c r="AU333" s="2">
        <f>AU332+IF(LEN($BB$333)&gt;0,1,0)</f>
        <v/>
      </c>
      <c r="AV333" s="2">
        <f>AV332+IF(LEN($BE$333)&gt;0,1,0)</f>
        <v/>
      </c>
      <c r="AY333" s="2">
        <f>IF(ISERROR($B$333),"",IF(ISBLANK($B$333),"",$B$333))</f>
        <v/>
      </c>
      <c r="BB333" s="2">
        <f>IF(ISERROR($E$333),"",IF(ISBLANK($E$333),"",$E$333))</f>
        <v/>
      </c>
      <c r="BE333" s="2">
        <f>IF(ISERROR($H$333),"",IF(ISBLANK($H$333),"",$H$333))</f>
        <v/>
      </c>
      <c r="BF333" s="2">
        <f>ISERROR($B$333)*1+ISERROR($E$333)*1+ISERROR($H$333)*1</f>
        <v/>
      </c>
    </row>
    <row r="334" ht="60" customHeight="1">
      <c r="A334" s="9" t="inlineStr">
        <is>
          <t>76</t>
        </is>
      </c>
      <c r="B334" s="4" t="n"/>
      <c r="C334" s="25" t="n"/>
      <c r="D334" s="17" t="n"/>
      <c r="E334" s="4" t="n"/>
      <c r="F334" s="25" t="n"/>
      <c r="G334" s="17" t="n"/>
      <c r="H334" s="4" t="n"/>
      <c r="I334" s="25" t="n"/>
      <c r="J334" s="17" t="n"/>
      <c r="K334" s="19">
        <f>IF(BF334&gt;0,"O Google leu como fórmula: digite de novo com ' na frente.","")</f>
        <v/>
      </c>
      <c r="AT334" s="2">
        <f>AT333+IF(LEN($AY$334)&gt;0,1,0)</f>
        <v/>
      </c>
      <c r="AU334" s="2">
        <f>AU333+IF(LEN($BB$334)&gt;0,1,0)</f>
        <v/>
      </c>
      <c r="AV334" s="2">
        <f>AV333+IF(LEN($BE$334)&gt;0,1,0)</f>
        <v/>
      </c>
      <c r="AY334" s="2">
        <f>IF(ISERROR($B$334),"",IF(ISBLANK($B$334),"",$B$334))</f>
        <v/>
      </c>
      <c r="BB334" s="2">
        <f>IF(ISERROR($E$334),"",IF(ISBLANK($E$334),"",$E$334))</f>
        <v/>
      </c>
      <c r="BE334" s="2">
        <f>IF(ISERROR($H$334),"",IF(ISBLANK($H$334),"",$H$334))</f>
        <v/>
      </c>
      <c r="BF334" s="2">
        <f>ISERROR($B$334)*1+ISERROR($E$334)*1+ISERROR($H$334)*1</f>
        <v/>
      </c>
    </row>
    <row r="335" ht="60" customHeight="1">
      <c r="A335" s="21" t="inlineStr">
        <is>
          <t>77</t>
        </is>
      </c>
      <c r="B335" s="29" t="n"/>
      <c r="C335" s="25" t="n"/>
      <c r="D335" s="17" t="n"/>
      <c r="E335" s="29" t="n"/>
      <c r="F335" s="25" t="n"/>
      <c r="G335" s="17" t="n"/>
      <c r="H335" s="29" t="n"/>
      <c r="I335" s="25" t="n"/>
      <c r="J335" s="17" t="n"/>
      <c r="K335" s="19">
        <f>IF(BF335&gt;0,"O Google leu como fórmula: digite de novo com ' na frente.","")</f>
        <v/>
      </c>
      <c r="AT335" s="2">
        <f>AT334+IF(LEN($AY$335)&gt;0,1,0)</f>
        <v/>
      </c>
      <c r="AU335" s="2">
        <f>AU334+IF(LEN($BB$335)&gt;0,1,0)</f>
        <v/>
      </c>
      <c r="AV335" s="2">
        <f>AV334+IF(LEN($BE$335)&gt;0,1,0)</f>
        <v/>
      </c>
      <c r="AY335" s="2">
        <f>IF(ISERROR($B$335),"",IF(ISBLANK($B$335),"",$B$335))</f>
        <v/>
      </c>
      <c r="BB335" s="2">
        <f>IF(ISERROR($E$335),"",IF(ISBLANK($E$335),"",$E$335))</f>
        <v/>
      </c>
      <c r="BE335" s="2">
        <f>IF(ISERROR($H$335),"",IF(ISBLANK($H$335),"",$H$335))</f>
        <v/>
      </c>
      <c r="BF335" s="2">
        <f>ISERROR($B$335)*1+ISERROR($E$335)*1+ISERROR($H$335)*1</f>
        <v/>
      </c>
    </row>
    <row r="336" ht="60" customHeight="1">
      <c r="A336" s="9" t="inlineStr">
        <is>
          <t>78</t>
        </is>
      </c>
      <c r="B336" s="4" t="n"/>
      <c r="C336" s="25" t="n"/>
      <c r="D336" s="17" t="n"/>
      <c r="E336" s="4" t="n"/>
      <c r="F336" s="25" t="n"/>
      <c r="G336" s="17" t="n"/>
      <c r="H336" s="4" t="n"/>
      <c r="I336" s="25" t="n"/>
      <c r="J336" s="17" t="n"/>
      <c r="K336" s="19">
        <f>IF(BF336&gt;0,"O Google leu como fórmula: digite de novo com ' na frente.","")</f>
        <v/>
      </c>
      <c r="AT336" s="2">
        <f>AT335+IF(LEN($AY$336)&gt;0,1,0)</f>
        <v/>
      </c>
      <c r="AU336" s="2">
        <f>AU335+IF(LEN($BB$336)&gt;0,1,0)</f>
        <v/>
      </c>
      <c r="AV336" s="2">
        <f>AV335+IF(LEN($BE$336)&gt;0,1,0)</f>
        <v/>
      </c>
      <c r="AY336" s="2">
        <f>IF(ISERROR($B$336),"",IF(ISBLANK($B$336),"",$B$336))</f>
        <v/>
      </c>
      <c r="BB336" s="2">
        <f>IF(ISERROR($E$336),"",IF(ISBLANK($E$336),"",$E$336))</f>
        <v/>
      </c>
      <c r="BE336" s="2">
        <f>IF(ISERROR($H$336),"",IF(ISBLANK($H$336),"",$H$336))</f>
        <v/>
      </c>
      <c r="BF336" s="2">
        <f>ISERROR($B$336)*1+ISERROR($E$336)*1+ISERROR($H$336)*1</f>
        <v/>
      </c>
    </row>
    <row r="337">
      <c r="A337" s="8" t="inlineStr">
        <is>
          <t>Vagas 79–91</t>
        </is>
      </c>
      <c r="B337" s="8" t="inlineStr">
        <is>
          <t>Tabela 7</t>
        </is>
      </c>
      <c r="C337" s="20" t="n"/>
      <c r="D337" s="20" t="n"/>
      <c r="E337" s="8" t="inlineStr">
        <is>
          <t>Tabela 8</t>
        </is>
      </c>
      <c r="F337" s="20" t="n"/>
      <c r="G337" s="20" t="n"/>
      <c r="H337" s="8" t="inlineStr">
        <is>
          <t>Tabela 9</t>
        </is>
      </c>
      <c r="I337" s="20" t="n"/>
      <c r="J337" s="20" t="n"/>
      <c r="AT337" s="2">
        <f>AT336</f>
        <v/>
      </c>
      <c r="AU337" s="2">
        <f>AU336</f>
        <v/>
      </c>
      <c r="AV337" s="2">
        <f>AV336</f>
        <v/>
      </c>
      <c r="AY337" s="2">
        <f>IF(ISERROR($B$337),"",IF(ISBLANK($B$337),"",$B$337))</f>
        <v/>
      </c>
      <c r="BB337" s="2">
        <f>IF(ISERROR($E$337),"",IF(ISBLANK($E$337),"",$E$337))</f>
        <v/>
      </c>
      <c r="BE337" s="2">
        <f>IF(ISERROR($H$337),"",IF(ISBLANK($H$337),"",$H$337))</f>
        <v/>
      </c>
    </row>
    <row r="338" ht="60" customHeight="1">
      <c r="A338" s="9" t="inlineStr">
        <is>
          <t>79</t>
        </is>
      </c>
      <c r="B338" s="4" t="n"/>
      <c r="C338" s="25" t="n"/>
      <c r="D338" s="17" t="n"/>
      <c r="E338" s="4" t="n"/>
      <c r="F338" s="25" t="n"/>
      <c r="G338" s="17" t="n"/>
      <c r="H338" s="4" t="n"/>
      <c r="I338" s="25" t="n"/>
      <c r="J338" s="17" t="n"/>
      <c r="K338" s="19">
        <f>IF(BF338&gt;0,"O Google leu como fórmula: digite de novo com ' na frente.","")</f>
        <v/>
      </c>
      <c r="AT338" s="2">
        <f>AT337+IF(LEN($AY$338)&gt;0,1,0)</f>
        <v/>
      </c>
      <c r="AU338" s="2">
        <f>AU337+IF(LEN($BB$338)&gt;0,1,0)</f>
        <v/>
      </c>
      <c r="AV338" s="2">
        <f>AV337+IF(LEN($BE$338)&gt;0,1,0)</f>
        <v/>
      </c>
      <c r="AY338" s="2">
        <f>IF(ISERROR($B$338),"",IF(ISBLANK($B$338),"",$B$338))</f>
        <v/>
      </c>
      <c r="BB338" s="2">
        <f>IF(ISERROR($E$338),"",IF(ISBLANK($E$338),"",$E$338))</f>
        <v/>
      </c>
      <c r="BE338" s="2">
        <f>IF(ISERROR($H$338),"",IF(ISBLANK($H$338),"",$H$338))</f>
        <v/>
      </c>
      <c r="BF338" s="2">
        <f>ISERROR($B$338)*1+ISERROR($E$338)*1+ISERROR($H$338)*1</f>
        <v/>
      </c>
    </row>
    <row r="339" ht="60" customHeight="1">
      <c r="A339" s="21" t="inlineStr">
        <is>
          <t>80</t>
        </is>
      </c>
      <c r="B339" s="29" t="n"/>
      <c r="C339" s="25" t="n"/>
      <c r="D339" s="17" t="n"/>
      <c r="E339" s="29" t="n"/>
      <c r="F339" s="25" t="n"/>
      <c r="G339" s="17" t="n"/>
      <c r="H339" s="29" t="n"/>
      <c r="I339" s="25" t="n"/>
      <c r="J339" s="17" t="n"/>
      <c r="K339" s="19">
        <f>IF(BF339&gt;0,"O Google leu como fórmula: digite de novo com ' na frente.","")</f>
        <v/>
      </c>
      <c r="AT339" s="2">
        <f>AT338+IF(LEN($AY$339)&gt;0,1,0)</f>
        <v/>
      </c>
      <c r="AU339" s="2">
        <f>AU338+IF(LEN($BB$339)&gt;0,1,0)</f>
        <v/>
      </c>
      <c r="AV339" s="2">
        <f>AV338+IF(LEN($BE$339)&gt;0,1,0)</f>
        <v/>
      </c>
      <c r="AY339" s="2">
        <f>IF(ISERROR($B$339),"",IF(ISBLANK($B$339),"",$B$339))</f>
        <v/>
      </c>
      <c r="BB339" s="2">
        <f>IF(ISERROR($E$339),"",IF(ISBLANK($E$339),"",$E$339))</f>
        <v/>
      </c>
      <c r="BE339" s="2">
        <f>IF(ISERROR($H$339),"",IF(ISBLANK($H$339),"",$H$339))</f>
        <v/>
      </c>
      <c r="BF339" s="2">
        <f>ISERROR($B$339)*1+ISERROR($E$339)*1+ISERROR($H$339)*1</f>
        <v/>
      </c>
    </row>
    <row r="340" ht="60" customHeight="1">
      <c r="A340" s="9" t="inlineStr">
        <is>
          <t>81</t>
        </is>
      </c>
      <c r="B340" s="4" t="n"/>
      <c r="C340" s="25" t="n"/>
      <c r="D340" s="17" t="n"/>
      <c r="E340" s="4" t="n"/>
      <c r="F340" s="25" t="n"/>
      <c r="G340" s="17" t="n"/>
      <c r="H340" s="4" t="n"/>
      <c r="I340" s="25" t="n"/>
      <c r="J340" s="17" t="n"/>
      <c r="K340" s="19">
        <f>IF(BF340&gt;0,"O Google leu como fórmula: digite de novo com ' na frente.","")</f>
        <v/>
      </c>
      <c r="AT340" s="2">
        <f>AT339+IF(LEN($AY$340)&gt;0,1,0)</f>
        <v/>
      </c>
      <c r="AU340" s="2">
        <f>AU339+IF(LEN($BB$340)&gt;0,1,0)</f>
        <v/>
      </c>
      <c r="AV340" s="2">
        <f>AV339+IF(LEN($BE$340)&gt;0,1,0)</f>
        <v/>
      </c>
      <c r="AY340" s="2">
        <f>IF(ISERROR($B$340),"",IF(ISBLANK($B$340),"",$B$340))</f>
        <v/>
      </c>
      <c r="BB340" s="2">
        <f>IF(ISERROR($E$340),"",IF(ISBLANK($E$340),"",$E$340))</f>
        <v/>
      </c>
      <c r="BE340" s="2">
        <f>IF(ISERROR($H$340),"",IF(ISBLANK($H$340),"",$H$340))</f>
        <v/>
      </c>
      <c r="BF340" s="2">
        <f>ISERROR($B$340)*1+ISERROR($E$340)*1+ISERROR($H$340)*1</f>
        <v/>
      </c>
    </row>
    <row r="341" ht="60" customHeight="1">
      <c r="A341" s="21" t="inlineStr">
        <is>
          <t>82</t>
        </is>
      </c>
      <c r="B341" s="29" t="n"/>
      <c r="C341" s="25" t="n"/>
      <c r="D341" s="17" t="n"/>
      <c r="E341" s="29" t="n"/>
      <c r="F341" s="25" t="n"/>
      <c r="G341" s="17" t="n"/>
      <c r="H341" s="29" t="n"/>
      <c r="I341" s="25" t="n"/>
      <c r="J341" s="17" t="n"/>
      <c r="K341" s="19">
        <f>IF(BF341&gt;0,"O Google leu como fórmula: digite de novo com ' na frente.","")</f>
        <v/>
      </c>
      <c r="AT341" s="2">
        <f>AT340+IF(LEN($AY$341)&gt;0,1,0)</f>
        <v/>
      </c>
      <c r="AU341" s="2">
        <f>AU340+IF(LEN($BB$341)&gt;0,1,0)</f>
        <v/>
      </c>
      <c r="AV341" s="2">
        <f>AV340+IF(LEN($BE$341)&gt;0,1,0)</f>
        <v/>
      </c>
      <c r="AY341" s="2">
        <f>IF(ISERROR($B$341),"",IF(ISBLANK($B$341),"",$B$341))</f>
        <v/>
      </c>
      <c r="BB341" s="2">
        <f>IF(ISERROR($E$341),"",IF(ISBLANK($E$341),"",$E$341))</f>
        <v/>
      </c>
      <c r="BE341" s="2">
        <f>IF(ISERROR($H$341),"",IF(ISBLANK($H$341),"",$H$341))</f>
        <v/>
      </c>
      <c r="BF341" s="2">
        <f>ISERROR($B$341)*1+ISERROR($E$341)*1+ISERROR($H$341)*1</f>
        <v/>
      </c>
    </row>
    <row r="342" ht="60" customHeight="1">
      <c r="A342" s="9" t="inlineStr">
        <is>
          <t>83</t>
        </is>
      </c>
      <c r="B342" s="4" t="n"/>
      <c r="C342" s="25" t="n"/>
      <c r="D342" s="17" t="n"/>
      <c r="E342" s="4" t="n"/>
      <c r="F342" s="25" t="n"/>
      <c r="G342" s="17" t="n"/>
      <c r="H342" s="4" t="n"/>
      <c r="I342" s="25" t="n"/>
      <c r="J342" s="17" t="n"/>
      <c r="K342" s="19">
        <f>IF(BF342&gt;0,"O Google leu como fórmula: digite de novo com ' na frente.","")</f>
        <v/>
      </c>
      <c r="AT342" s="2">
        <f>AT341+IF(LEN($AY$342)&gt;0,1,0)</f>
        <v/>
      </c>
      <c r="AU342" s="2">
        <f>AU341+IF(LEN($BB$342)&gt;0,1,0)</f>
        <v/>
      </c>
      <c r="AV342" s="2">
        <f>AV341+IF(LEN($BE$342)&gt;0,1,0)</f>
        <v/>
      </c>
      <c r="AY342" s="2">
        <f>IF(ISERROR($B$342),"",IF(ISBLANK($B$342),"",$B$342))</f>
        <v/>
      </c>
      <c r="BB342" s="2">
        <f>IF(ISERROR($E$342),"",IF(ISBLANK($E$342),"",$E$342))</f>
        <v/>
      </c>
      <c r="BE342" s="2">
        <f>IF(ISERROR($H$342),"",IF(ISBLANK($H$342),"",$H$342))</f>
        <v/>
      </c>
      <c r="BF342" s="2">
        <f>ISERROR($B$342)*1+ISERROR($E$342)*1+ISERROR($H$342)*1</f>
        <v/>
      </c>
    </row>
    <row r="343" ht="60" customHeight="1">
      <c r="A343" s="21" t="inlineStr">
        <is>
          <t>84</t>
        </is>
      </c>
      <c r="B343" s="29" t="n"/>
      <c r="C343" s="25" t="n"/>
      <c r="D343" s="17" t="n"/>
      <c r="E343" s="29" t="n"/>
      <c r="F343" s="25" t="n"/>
      <c r="G343" s="17" t="n"/>
      <c r="H343" s="29" t="n"/>
      <c r="I343" s="25" t="n"/>
      <c r="J343" s="17" t="n"/>
      <c r="K343" s="19">
        <f>IF(BF343&gt;0,"O Google leu como fórmula: digite de novo com ' na frente.","")</f>
        <v/>
      </c>
      <c r="AT343" s="2">
        <f>AT342+IF(LEN($AY$343)&gt;0,1,0)</f>
        <v/>
      </c>
      <c r="AU343" s="2">
        <f>AU342+IF(LEN($BB$343)&gt;0,1,0)</f>
        <v/>
      </c>
      <c r="AV343" s="2">
        <f>AV342+IF(LEN($BE$343)&gt;0,1,0)</f>
        <v/>
      </c>
      <c r="AY343" s="2">
        <f>IF(ISERROR($B$343),"",IF(ISBLANK($B$343),"",$B$343))</f>
        <v/>
      </c>
      <c r="BB343" s="2">
        <f>IF(ISERROR($E$343),"",IF(ISBLANK($E$343),"",$E$343))</f>
        <v/>
      </c>
      <c r="BE343" s="2">
        <f>IF(ISERROR($H$343),"",IF(ISBLANK($H$343),"",$H$343))</f>
        <v/>
      </c>
      <c r="BF343" s="2">
        <f>ISERROR($B$343)*1+ISERROR($E$343)*1+ISERROR($H$343)*1</f>
        <v/>
      </c>
    </row>
    <row r="344" ht="60" customHeight="1">
      <c r="A344" s="9" t="inlineStr">
        <is>
          <t>85</t>
        </is>
      </c>
      <c r="B344" s="4" t="n"/>
      <c r="C344" s="25" t="n"/>
      <c r="D344" s="17" t="n"/>
      <c r="E344" s="4" t="n"/>
      <c r="F344" s="25" t="n"/>
      <c r="G344" s="17" t="n"/>
      <c r="H344" s="4" t="n"/>
      <c r="I344" s="25" t="n"/>
      <c r="J344" s="17" t="n"/>
      <c r="K344" s="19">
        <f>IF(BF344&gt;0,"O Google leu como fórmula: digite de novo com ' na frente.","")</f>
        <v/>
      </c>
      <c r="AT344" s="2">
        <f>AT343+IF(LEN($AY$344)&gt;0,1,0)</f>
        <v/>
      </c>
      <c r="AU344" s="2">
        <f>AU343+IF(LEN($BB$344)&gt;0,1,0)</f>
        <v/>
      </c>
      <c r="AV344" s="2">
        <f>AV343+IF(LEN($BE$344)&gt;0,1,0)</f>
        <v/>
      </c>
      <c r="AY344" s="2">
        <f>IF(ISERROR($B$344),"",IF(ISBLANK($B$344),"",$B$344))</f>
        <v/>
      </c>
      <c r="BB344" s="2">
        <f>IF(ISERROR($E$344),"",IF(ISBLANK($E$344),"",$E$344))</f>
        <v/>
      </c>
      <c r="BE344" s="2">
        <f>IF(ISERROR($H$344),"",IF(ISBLANK($H$344),"",$H$344))</f>
        <v/>
      </c>
      <c r="BF344" s="2">
        <f>ISERROR($B$344)*1+ISERROR($E$344)*1+ISERROR($H$344)*1</f>
        <v/>
      </c>
    </row>
    <row r="345" ht="60" customHeight="1">
      <c r="A345" s="21" t="inlineStr">
        <is>
          <t>86</t>
        </is>
      </c>
      <c r="B345" s="29" t="n"/>
      <c r="C345" s="25" t="n"/>
      <c r="D345" s="17" t="n"/>
      <c r="E345" s="29" t="n"/>
      <c r="F345" s="25" t="n"/>
      <c r="G345" s="17" t="n"/>
      <c r="H345" s="29" t="n"/>
      <c r="I345" s="25" t="n"/>
      <c r="J345" s="17" t="n"/>
      <c r="K345" s="19">
        <f>IF(BF345&gt;0,"O Google leu como fórmula: digite de novo com ' na frente.","")</f>
        <v/>
      </c>
      <c r="AT345" s="2">
        <f>AT344+IF(LEN($AY$345)&gt;0,1,0)</f>
        <v/>
      </c>
      <c r="AU345" s="2">
        <f>AU344+IF(LEN($BB$345)&gt;0,1,0)</f>
        <v/>
      </c>
      <c r="AV345" s="2">
        <f>AV344+IF(LEN($BE$345)&gt;0,1,0)</f>
        <v/>
      </c>
      <c r="AY345" s="2">
        <f>IF(ISERROR($B$345),"",IF(ISBLANK($B$345),"",$B$345))</f>
        <v/>
      </c>
      <c r="BB345" s="2">
        <f>IF(ISERROR($E$345),"",IF(ISBLANK($E$345),"",$E$345))</f>
        <v/>
      </c>
      <c r="BE345" s="2">
        <f>IF(ISERROR($H$345),"",IF(ISBLANK($H$345),"",$H$345))</f>
        <v/>
      </c>
      <c r="BF345" s="2">
        <f>ISERROR($B$345)*1+ISERROR($E$345)*1+ISERROR($H$345)*1</f>
        <v/>
      </c>
    </row>
    <row r="346" ht="60" customHeight="1">
      <c r="A346" s="9" t="inlineStr">
        <is>
          <t>87</t>
        </is>
      </c>
      <c r="B346" s="4" t="n"/>
      <c r="C346" s="25" t="n"/>
      <c r="D346" s="17" t="n"/>
      <c r="E346" s="4" t="n"/>
      <c r="F346" s="25" t="n"/>
      <c r="G346" s="17" t="n"/>
      <c r="H346" s="4" t="n"/>
      <c r="I346" s="25" t="n"/>
      <c r="J346" s="17" t="n"/>
      <c r="K346" s="19">
        <f>IF(BF346&gt;0,"O Google leu como fórmula: digite de novo com ' na frente.","")</f>
        <v/>
      </c>
      <c r="AT346" s="2">
        <f>AT345+IF(LEN($AY$346)&gt;0,1,0)</f>
        <v/>
      </c>
      <c r="AU346" s="2">
        <f>AU345+IF(LEN($BB$346)&gt;0,1,0)</f>
        <v/>
      </c>
      <c r="AV346" s="2">
        <f>AV345+IF(LEN($BE$346)&gt;0,1,0)</f>
        <v/>
      </c>
      <c r="AY346" s="2">
        <f>IF(ISERROR($B$346),"",IF(ISBLANK($B$346),"",$B$346))</f>
        <v/>
      </c>
      <c r="BB346" s="2">
        <f>IF(ISERROR($E$346),"",IF(ISBLANK($E$346),"",$E$346))</f>
        <v/>
      </c>
      <c r="BE346" s="2">
        <f>IF(ISERROR($H$346),"",IF(ISBLANK($H$346),"",$H$346))</f>
        <v/>
      </c>
      <c r="BF346" s="2">
        <f>ISERROR($B$346)*1+ISERROR($E$346)*1+ISERROR($H$346)*1</f>
        <v/>
      </c>
    </row>
    <row r="347" ht="60" customHeight="1">
      <c r="A347" s="21" t="inlineStr">
        <is>
          <t>88</t>
        </is>
      </c>
      <c r="B347" s="29" t="n"/>
      <c r="C347" s="25" t="n"/>
      <c r="D347" s="17" t="n"/>
      <c r="E347" s="29" t="n"/>
      <c r="F347" s="25" t="n"/>
      <c r="G347" s="17" t="n"/>
      <c r="H347" s="29" t="n"/>
      <c r="I347" s="25" t="n"/>
      <c r="J347" s="17" t="n"/>
      <c r="K347" s="19">
        <f>IF(BF347&gt;0,"O Google leu como fórmula: digite de novo com ' na frente.","")</f>
        <v/>
      </c>
      <c r="AT347" s="2">
        <f>AT346+IF(LEN($AY$347)&gt;0,1,0)</f>
        <v/>
      </c>
      <c r="AU347" s="2">
        <f>AU346+IF(LEN($BB$347)&gt;0,1,0)</f>
        <v/>
      </c>
      <c r="AV347" s="2">
        <f>AV346+IF(LEN($BE$347)&gt;0,1,0)</f>
        <v/>
      </c>
      <c r="AY347" s="2">
        <f>IF(ISERROR($B$347),"",IF(ISBLANK($B$347),"",$B$347))</f>
        <v/>
      </c>
      <c r="BB347" s="2">
        <f>IF(ISERROR($E$347),"",IF(ISBLANK($E$347),"",$E$347))</f>
        <v/>
      </c>
      <c r="BE347" s="2">
        <f>IF(ISERROR($H$347),"",IF(ISBLANK($H$347),"",$H$347))</f>
        <v/>
      </c>
      <c r="BF347" s="2">
        <f>ISERROR($B$347)*1+ISERROR($E$347)*1+ISERROR($H$347)*1</f>
        <v/>
      </c>
    </row>
    <row r="348" ht="60" customHeight="1">
      <c r="A348" s="9" t="inlineStr">
        <is>
          <t>89</t>
        </is>
      </c>
      <c r="B348" s="4" t="n"/>
      <c r="C348" s="25" t="n"/>
      <c r="D348" s="17" t="n"/>
      <c r="E348" s="4" t="n"/>
      <c r="F348" s="25" t="n"/>
      <c r="G348" s="17" t="n"/>
      <c r="H348" s="4" t="n"/>
      <c r="I348" s="25" t="n"/>
      <c r="J348" s="17" t="n"/>
      <c r="K348" s="19">
        <f>IF(BF348&gt;0,"O Google leu como fórmula: digite de novo com ' na frente.","")</f>
        <v/>
      </c>
      <c r="AT348" s="2">
        <f>AT347+IF(LEN($AY$348)&gt;0,1,0)</f>
        <v/>
      </c>
      <c r="AU348" s="2">
        <f>AU347+IF(LEN($BB$348)&gt;0,1,0)</f>
        <v/>
      </c>
      <c r="AV348" s="2">
        <f>AV347+IF(LEN($BE$348)&gt;0,1,0)</f>
        <v/>
      </c>
      <c r="AY348" s="2">
        <f>IF(ISERROR($B$348),"",IF(ISBLANK($B$348),"",$B$348))</f>
        <v/>
      </c>
      <c r="BB348" s="2">
        <f>IF(ISERROR($E$348),"",IF(ISBLANK($E$348),"",$E$348))</f>
        <v/>
      </c>
      <c r="BE348" s="2">
        <f>IF(ISERROR($H$348),"",IF(ISBLANK($H$348),"",$H$348))</f>
        <v/>
      </c>
      <c r="BF348" s="2">
        <f>ISERROR($B$348)*1+ISERROR($E$348)*1+ISERROR($H$348)*1</f>
        <v/>
      </c>
    </row>
    <row r="349" ht="60" customHeight="1">
      <c r="A349" s="21" t="inlineStr">
        <is>
          <t>90</t>
        </is>
      </c>
      <c r="B349" s="29" t="n"/>
      <c r="C349" s="25" t="n"/>
      <c r="D349" s="17" t="n"/>
      <c r="E349" s="29" t="n"/>
      <c r="F349" s="25" t="n"/>
      <c r="G349" s="17" t="n"/>
      <c r="H349" s="29" t="n"/>
      <c r="I349" s="25" t="n"/>
      <c r="J349" s="17" t="n"/>
      <c r="K349" s="19">
        <f>IF(BF349&gt;0,"O Google leu como fórmula: digite de novo com ' na frente.","")</f>
        <v/>
      </c>
      <c r="AT349" s="2">
        <f>AT348+IF(LEN($AY$349)&gt;0,1,0)</f>
        <v/>
      </c>
      <c r="AU349" s="2">
        <f>AU348+IF(LEN($BB$349)&gt;0,1,0)</f>
        <v/>
      </c>
      <c r="AV349" s="2">
        <f>AV348+IF(LEN($BE$349)&gt;0,1,0)</f>
        <v/>
      </c>
      <c r="AY349" s="2">
        <f>IF(ISERROR($B$349),"",IF(ISBLANK($B$349),"",$B$349))</f>
        <v/>
      </c>
      <c r="BB349" s="2">
        <f>IF(ISERROR($E$349),"",IF(ISBLANK($E$349),"",$E$349))</f>
        <v/>
      </c>
      <c r="BE349" s="2">
        <f>IF(ISERROR($H$349),"",IF(ISBLANK($H$349),"",$H$349))</f>
        <v/>
      </c>
      <c r="BF349" s="2">
        <f>ISERROR($B$349)*1+ISERROR($E$349)*1+ISERROR($H$349)*1</f>
        <v/>
      </c>
    </row>
    <row r="350" ht="60" customHeight="1">
      <c r="A350" s="9" t="inlineStr">
        <is>
          <t>91</t>
        </is>
      </c>
      <c r="B350" s="4" t="n"/>
      <c r="C350" s="25" t="n"/>
      <c r="D350" s="17" t="n"/>
      <c r="E350" s="4" t="n"/>
      <c r="F350" s="25" t="n"/>
      <c r="G350" s="17" t="n"/>
      <c r="H350" s="4" t="n"/>
      <c r="I350" s="25" t="n"/>
      <c r="J350" s="17" t="n"/>
      <c r="K350" s="19">
        <f>IF(BF350&gt;0,"O Google leu como fórmula: digite de novo com ' na frente.","")</f>
        <v/>
      </c>
      <c r="AT350" s="2">
        <f>AT349+IF(LEN($AY$350)&gt;0,1,0)</f>
        <v/>
      </c>
      <c r="AU350" s="2">
        <f>AU349+IF(LEN($BB$350)&gt;0,1,0)</f>
        <v/>
      </c>
      <c r="AV350" s="2">
        <f>AV349+IF(LEN($BE$350)&gt;0,1,0)</f>
        <v/>
      </c>
      <c r="AY350" s="2">
        <f>IF(ISERROR($B$350),"",IF(ISBLANK($B$350),"",$B$350))</f>
        <v/>
      </c>
      <c r="BB350" s="2">
        <f>IF(ISERROR($E$350),"",IF(ISBLANK($E$350),"",$E$350))</f>
        <v/>
      </c>
      <c r="BE350" s="2">
        <f>IF(ISERROR($H$350),"",IF(ISBLANK($H$350),"",$H$350))</f>
        <v/>
      </c>
      <c r="BF350" s="2">
        <f>ISERROR($B$350)*1+ISERROR($E$350)*1+ISERROR($H$350)*1</f>
        <v/>
      </c>
    </row>
    <row r="351">
      <c r="A351" s="8" t="inlineStr">
        <is>
          <t>Vagas 92–100</t>
        </is>
      </c>
      <c r="B351" s="8" t="inlineStr">
        <is>
          <t>Tabela 7</t>
        </is>
      </c>
      <c r="C351" s="20" t="n"/>
      <c r="D351" s="20" t="n"/>
      <c r="E351" s="8" t="inlineStr">
        <is>
          <t>Tabela 8</t>
        </is>
      </c>
      <c r="F351" s="20" t="n"/>
      <c r="G351" s="20" t="n"/>
      <c r="H351" s="8" t="inlineStr">
        <is>
          <t>Tabela 9</t>
        </is>
      </c>
      <c r="I351" s="20" t="n"/>
      <c r="J351" s="20" t="n"/>
      <c r="AT351" s="2">
        <f>AT350</f>
        <v/>
      </c>
      <c r="AU351" s="2">
        <f>AU350</f>
        <v/>
      </c>
      <c r="AV351" s="2">
        <f>AV350</f>
        <v/>
      </c>
      <c r="AY351" s="2">
        <f>IF(ISERROR($B$351),"",IF(ISBLANK($B$351),"",$B$351))</f>
        <v/>
      </c>
      <c r="BB351" s="2">
        <f>IF(ISERROR($E$351),"",IF(ISBLANK($E$351),"",$E$351))</f>
        <v/>
      </c>
      <c r="BE351" s="2">
        <f>IF(ISERROR($H$351),"",IF(ISBLANK($H$351),"",$H$351))</f>
        <v/>
      </c>
    </row>
    <row r="352" ht="60" customHeight="1">
      <c r="A352" s="9" t="inlineStr">
        <is>
          <t>92</t>
        </is>
      </c>
      <c r="B352" s="4" t="n"/>
      <c r="C352" s="25" t="n"/>
      <c r="D352" s="17" t="n"/>
      <c r="E352" s="4" t="n"/>
      <c r="F352" s="25" t="n"/>
      <c r="G352" s="17" t="n"/>
      <c r="H352" s="4" t="n"/>
      <c r="I352" s="25" t="n"/>
      <c r="J352" s="17" t="n"/>
      <c r="K352" s="19">
        <f>IF(BF352&gt;0,"O Google leu como fórmula: digite de novo com ' na frente.","")</f>
        <v/>
      </c>
      <c r="AT352" s="2">
        <f>AT351+IF(LEN($AY$352)&gt;0,1,0)</f>
        <v/>
      </c>
      <c r="AU352" s="2">
        <f>AU351+IF(LEN($BB$352)&gt;0,1,0)</f>
        <v/>
      </c>
      <c r="AV352" s="2">
        <f>AV351+IF(LEN($BE$352)&gt;0,1,0)</f>
        <v/>
      </c>
      <c r="AY352" s="2">
        <f>IF(ISERROR($B$352),"",IF(ISBLANK($B$352),"",$B$352))</f>
        <v/>
      </c>
      <c r="BB352" s="2">
        <f>IF(ISERROR($E$352),"",IF(ISBLANK($E$352),"",$E$352))</f>
        <v/>
      </c>
      <c r="BE352" s="2">
        <f>IF(ISERROR($H$352),"",IF(ISBLANK($H$352),"",$H$352))</f>
        <v/>
      </c>
      <c r="BF352" s="2">
        <f>ISERROR($B$352)*1+ISERROR($E$352)*1+ISERROR($H$352)*1</f>
        <v/>
      </c>
    </row>
    <row r="353" ht="60" customHeight="1">
      <c r="A353" s="21" t="inlineStr">
        <is>
          <t>93</t>
        </is>
      </c>
      <c r="B353" s="29" t="n"/>
      <c r="C353" s="25" t="n"/>
      <c r="D353" s="17" t="n"/>
      <c r="E353" s="29" t="n"/>
      <c r="F353" s="25" t="n"/>
      <c r="G353" s="17" t="n"/>
      <c r="H353" s="29" t="n"/>
      <c r="I353" s="25" t="n"/>
      <c r="J353" s="17" t="n"/>
      <c r="K353" s="19">
        <f>IF(BF353&gt;0,"O Google leu como fórmula: digite de novo com ' na frente.","")</f>
        <v/>
      </c>
      <c r="AT353" s="2">
        <f>AT352+IF(LEN($AY$353)&gt;0,1,0)</f>
        <v/>
      </c>
      <c r="AU353" s="2">
        <f>AU352+IF(LEN($BB$353)&gt;0,1,0)</f>
        <v/>
      </c>
      <c r="AV353" s="2">
        <f>AV352+IF(LEN($BE$353)&gt;0,1,0)</f>
        <v/>
      </c>
      <c r="AY353" s="2">
        <f>IF(ISERROR($B$353),"",IF(ISBLANK($B$353),"",$B$353))</f>
        <v/>
      </c>
      <c r="BB353" s="2">
        <f>IF(ISERROR($E$353),"",IF(ISBLANK($E$353),"",$E$353))</f>
        <v/>
      </c>
      <c r="BE353" s="2">
        <f>IF(ISERROR($H$353),"",IF(ISBLANK($H$353),"",$H$353))</f>
        <v/>
      </c>
      <c r="BF353" s="2">
        <f>ISERROR($B$353)*1+ISERROR($E$353)*1+ISERROR($H$353)*1</f>
        <v/>
      </c>
    </row>
    <row r="354" ht="60" customHeight="1">
      <c r="A354" s="9" t="inlineStr">
        <is>
          <t>94</t>
        </is>
      </c>
      <c r="B354" s="4" t="n"/>
      <c r="C354" s="25" t="n"/>
      <c r="D354" s="17" t="n"/>
      <c r="E354" s="4" t="n"/>
      <c r="F354" s="25" t="n"/>
      <c r="G354" s="17" t="n"/>
      <c r="H354" s="4" t="n"/>
      <c r="I354" s="25" t="n"/>
      <c r="J354" s="17" t="n"/>
      <c r="K354" s="19">
        <f>IF(BF354&gt;0,"O Google leu como fórmula: digite de novo com ' na frente.","")</f>
        <v/>
      </c>
      <c r="AT354" s="2">
        <f>AT353+IF(LEN($AY$354)&gt;0,1,0)</f>
        <v/>
      </c>
      <c r="AU354" s="2">
        <f>AU353+IF(LEN($BB$354)&gt;0,1,0)</f>
        <v/>
      </c>
      <c r="AV354" s="2">
        <f>AV353+IF(LEN($BE$354)&gt;0,1,0)</f>
        <v/>
      </c>
      <c r="AY354" s="2">
        <f>IF(ISERROR($B$354),"",IF(ISBLANK($B$354),"",$B$354))</f>
        <v/>
      </c>
      <c r="BB354" s="2">
        <f>IF(ISERROR($E$354),"",IF(ISBLANK($E$354),"",$E$354))</f>
        <v/>
      </c>
      <c r="BE354" s="2">
        <f>IF(ISERROR($H$354),"",IF(ISBLANK($H$354),"",$H$354))</f>
        <v/>
      </c>
      <c r="BF354" s="2">
        <f>ISERROR($B$354)*1+ISERROR($E$354)*1+ISERROR($H$354)*1</f>
        <v/>
      </c>
    </row>
    <row r="355" ht="60" customHeight="1">
      <c r="A355" s="21" t="inlineStr">
        <is>
          <t>95</t>
        </is>
      </c>
      <c r="B355" s="29" t="n"/>
      <c r="C355" s="25" t="n"/>
      <c r="D355" s="17" t="n"/>
      <c r="E355" s="29" t="n"/>
      <c r="F355" s="25" t="n"/>
      <c r="G355" s="17" t="n"/>
      <c r="H355" s="29" t="n"/>
      <c r="I355" s="25" t="n"/>
      <c r="J355" s="17" t="n"/>
      <c r="K355" s="19">
        <f>IF(BF355&gt;0,"O Google leu como fórmula: digite de novo com ' na frente.","")</f>
        <v/>
      </c>
      <c r="AT355" s="2">
        <f>AT354+IF(LEN($AY$355)&gt;0,1,0)</f>
        <v/>
      </c>
      <c r="AU355" s="2">
        <f>AU354+IF(LEN($BB$355)&gt;0,1,0)</f>
        <v/>
      </c>
      <c r="AV355" s="2">
        <f>AV354+IF(LEN($BE$355)&gt;0,1,0)</f>
        <v/>
      </c>
      <c r="AY355" s="2">
        <f>IF(ISERROR($B$355),"",IF(ISBLANK($B$355),"",$B$355))</f>
        <v/>
      </c>
      <c r="BB355" s="2">
        <f>IF(ISERROR($E$355),"",IF(ISBLANK($E$355),"",$E$355))</f>
        <v/>
      </c>
      <c r="BE355" s="2">
        <f>IF(ISERROR($H$355),"",IF(ISBLANK($H$355),"",$H$355))</f>
        <v/>
      </c>
      <c r="BF355" s="2">
        <f>ISERROR($B$355)*1+ISERROR($E$355)*1+ISERROR($H$355)*1</f>
        <v/>
      </c>
    </row>
    <row r="356" ht="60" customHeight="1">
      <c r="A356" s="9" t="inlineStr">
        <is>
          <t>96</t>
        </is>
      </c>
      <c r="B356" s="4" t="n"/>
      <c r="C356" s="25" t="n"/>
      <c r="D356" s="17" t="n"/>
      <c r="E356" s="4" t="n"/>
      <c r="F356" s="25" t="n"/>
      <c r="G356" s="17" t="n"/>
      <c r="H356" s="4" t="n"/>
      <c r="I356" s="25" t="n"/>
      <c r="J356" s="17" t="n"/>
      <c r="K356" s="19">
        <f>IF(BF356&gt;0,"O Google leu como fórmula: digite de novo com ' na frente.","")</f>
        <v/>
      </c>
      <c r="AT356" s="2">
        <f>AT355+IF(LEN($AY$356)&gt;0,1,0)</f>
        <v/>
      </c>
      <c r="AU356" s="2">
        <f>AU355+IF(LEN($BB$356)&gt;0,1,0)</f>
        <v/>
      </c>
      <c r="AV356" s="2">
        <f>AV355+IF(LEN($BE$356)&gt;0,1,0)</f>
        <v/>
      </c>
      <c r="AY356" s="2">
        <f>IF(ISERROR($B$356),"",IF(ISBLANK($B$356),"",$B$356))</f>
        <v/>
      </c>
      <c r="BB356" s="2">
        <f>IF(ISERROR($E$356),"",IF(ISBLANK($E$356),"",$E$356))</f>
        <v/>
      </c>
      <c r="BE356" s="2">
        <f>IF(ISERROR($H$356),"",IF(ISBLANK($H$356),"",$H$356))</f>
        <v/>
      </c>
      <c r="BF356" s="2">
        <f>ISERROR($B$356)*1+ISERROR($E$356)*1+ISERROR($H$356)*1</f>
        <v/>
      </c>
    </row>
    <row r="357" ht="60" customHeight="1">
      <c r="A357" s="21" t="inlineStr">
        <is>
          <t>97</t>
        </is>
      </c>
      <c r="B357" s="29" t="n"/>
      <c r="C357" s="25" t="n"/>
      <c r="D357" s="17" t="n"/>
      <c r="E357" s="29" t="n"/>
      <c r="F357" s="25" t="n"/>
      <c r="G357" s="17" t="n"/>
      <c r="H357" s="29" t="n"/>
      <c r="I357" s="25" t="n"/>
      <c r="J357" s="17" t="n"/>
      <c r="K357" s="19">
        <f>IF(BF357&gt;0,"O Google leu como fórmula: digite de novo com ' na frente.","")</f>
        <v/>
      </c>
      <c r="AT357" s="2">
        <f>AT356+IF(LEN($AY$357)&gt;0,1,0)</f>
        <v/>
      </c>
      <c r="AU357" s="2">
        <f>AU356+IF(LEN($BB$357)&gt;0,1,0)</f>
        <v/>
      </c>
      <c r="AV357" s="2">
        <f>AV356+IF(LEN($BE$357)&gt;0,1,0)</f>
        <v/>
      </c>
      <c r="AY357" s="2">
        <f>IF(ISERROR($B$357),"",IF(ISBLANK($B$357),"",$B$357))</f>
        <v/>
      </c>
      <c r="BB357" s="2">
        <f>IF(ISERROR($E$357),"",IF(ISBLANK($E$357),"",$E$357))</f>
        <v/>
      </c>
      <c r="BE357" s="2">
        <f>IF(ISERROR($H$357),"",IF(ISBLANK($H$357),"",$H$357))</f>
        <v/>
      </c>
      <c r="BF357" s="2">
        <f>ISERROR($B$357)*1+ISERROR($E$357)*1+ISERROR($H$357)*1</f>
        <v/>
      </c>
    </row>
    <row r="358" ht="60" customHeight="1">
      <c r="A358" s="9" t="inlineStr">
        <is>
          <t>98</t>
        </is>
      </c>
      <c r="B358" s="4" t="n"/>
      <c r="C358" s="25" t="n"/>
      <c r="D358" s="17" t="n"/>
      <c r="E358" s="4" t="n"/>
      <c r="F358" s="25" t="n"/>
      <c r="G358" s="17" t="n"/>
      <c r="H358" s="4" t="n"/>
      <c r="I358" s="25" t="n"/>
      <c r="J358" s="17" t="n"/>
      <c r="K358" s="19">
        <f>IF(BF358&gt;0,"O Google leu como fórmula: digite de novo com ' na frente.","")</f>
        <v/>
      </c>
      <c r="AT358" s="2">
        <f>AT357+IF(LEN($AY$358)&gt;0,1,0)</f>
        <v/>
      </c>
      <c r="AU358" s="2">
        <f>AU357+IF(LEN($BB$358)&gt;0,1,0)</f>
        <v/>
      </c>
      <c r="AV358" s="2">
        <f>AV357+IF(LEN($BE$358)&gt;0,1,0)</f>
        <v/>
      </c>
      <c r="AY358" s="2">
        <f>IF(ISERROR($B$358),"",IF(ISBLANK($B$358),"",$B$358))</f>
        <v/>
      </c>
      <c r="BB358" s="2">
        <f>IF(ISERROR($E$358),"",IF(ISBLANK($E$358),"",$E$358))</f>
        <v/>
      </c>
      <c r="BE358" s="2">
        <f>IF(ISERROR($H$358),"",IF(ISBLANK($H$358),"",$H$358))</f>
        <v/>
      </c>
      <c r="BF358" s="2">
        <f>ISERROR($B$358)*1+ISERROR($E$358)*1+ISERROR($H$358)*1</f>
        <v/>
      </c>
    </row>
    <row r="359" ht="60" customHeight="1">
      <c r="A359" s="21" t="inlineStr">
        <is>
          <t>99</t>
        </is>
      </c>
      <c r="B359" s="29" t="n"/>
      <c r="C359" s="25" t="n"/>
      <c r="D359" s="17" t="n"/>
      <c r="E359" s="29" t="n"/>
      <c r="F359" s="25" t="n"/>
      <c r="G359" s="17" t="n"/>
      <c r="H359" s="29" t="n"/>
      <c r="I359" s="25" t="n"/>
      <c r="J359" s="17" t="n"/>
      <c r="K359" s="19">
        <f>IF(BF359&gt;0,"O Google leu como fórmula: digite de novo com ' na frente.","")</f>
        <v/>
      </c>
      <c r="AT359" s="2">
        <f>AT358+IF(LEN($AY$359)&gt;0,1,0)</f>
        <v/>
      </c>
      <c r="AU359" s="2">
        <f>AU358+IF(LEN($BB$359)&gt;0,1,0)</f>
        <v/>
      </c>
      <c r="AV359" s="2">
        <f>AV358+IF(LEN($BE$359)&gt;0,1,0)</f>
        <v/>
      </c>
      <c r="AY359" s="2">
        <f>IF(ISERROR($B$359),"",IF(ISBLANK($B$359),"",$B$359))</f>
        <v/>
      </c>
      <c r="BB359" s="2">
        <f>IF(ISERROR($E$359),"",IF(ISBLANK($E$359),"",$E$359))</f>
        <v/>
      </c>
      <c r="BE359" s="2">
        <f>IF(ISERROR($H$359),"",IF(ISBLANK($H$359),"",$H$359))</f>
        <v/>
      </c>
      <c r="BF359" s="2">
        <f>ISERROR($B$359)*1+ISERROR($E$359)*1+ISERROR($H$359)*1</f>
        <v/>
      </c>
    </row>
    <row r="360" ht="60" customHeight="1">
      <c r="A360" s="9" t="inlineStr">
        <is>
          <t>100</t>
        </is>
      </c>
      <c r="B360" s="4" t="n"/>
      <c r="C360" s="25" t="n"/>
      <c r="D360" s="17" t="n"/>
      <c r="E360" s="4" t="n"/>
      <c r="F360" s="25" t="n"/>
      <c r="G360" s="17" t="n"/>
      <c r="H360" s="4" t="n"/>
      <c r="I360" s="25" t="n"/>
      <c r="J360" s="17" t="n"/>
      <c r="K360" s="19">
        <f>IF(BF360&gt;0,"O Google leu como fórmula: digite de novo com ' na frente.","")</f>
        <v/>
      </c>
      <c r="AT360" s="2">
        <f>AT359+IF(LEN($AY$360)&gt;0,1,0)</f>
        <v/>
      </c>
      <c r="AU360" s="2">
        <f>AU359+IF(LEN($BB$360)&gt;0,1,0)</f>
        <v/>
      </c>
      <c r="AV360" s="2">
        <f>AV359+IF(LEN($BE$360)&gt;0,1,0)</f>
        <v/>
      </c>
      <c r="AY360" s="2">
        <f>IF(ISERROR($B$360),"",IF(ISBLANK($B$360),"",$B$360))</f>
        <v/>
      </c>
      <c r="BB360" s="2">
        <f>IF(ISERROR($E$360),"",IF(ISBLANK($E$360),"",$E$360))</f>
        <v/>
      </c>
      <c r="BE360" s="2">
        <f>IF(ISERROR($H$360),"",IF(ISBLANK($H$360),"",$H$360))</f>
        <v/>
      </c>
      <c r="BF360" s="2">
        <f>ISERROR($B$360)*1+ISERROR($E$360)*1+ISERROR($H$360)*1</f>
        <v/>
      </c>
    </row>
    <row r="361"/>
    <row r="362" ht="32" customHeight="1">
      <c r="A362" s="69" t="inlineStr">
        <is>
          <t>Lista 10 (100 vagas): apague para trocar, use as vagas vazias para ampliar; não insira linhas</t>
        </is>
      </c>
    </row>
    <row r="363">
      <c r="A363" s="8" t="inlineStr">
        <is>
          <t>Vagas 1–13</t>
        </is>
      </c>
      <c r="B363" s="8" t="inlineStr">
        <is>
          <t>Tabela 10</t>
        </is>
      </c>
      <c r="C363" s="20" t="n"/>
      <c r="D363" s="20" t="n"/>
      <c r="AW363" s="2">
        <f>0</f>
        <v/>
      </c>
    </row>
    <row r="364" ht="60" customHeight="1">
      <c r="A364" s="9" t="inlineStr">
        <is>
          <t>1</t>
        </is>
      </c>
      <c r="B364" s="4" t="n"/>
      <c r="C364" s="25" t="n"/>
      <c r="D364" s="17" t="n"/>
      <c r="K364" s="19">
        <f>IF(BF364&gt;0,"O Google leu como fórmula: digite de novo com ' na frente.","")</f>
        <v/>
      </c>
      <c r="AW364" s="2">
        <f>AW363+IF(LEN($AY$364)&gt;0,1,0)</f>
        <v/>
      </c>
      <c r="AY364" s="2">
        <f>IF(ISERROR($B$364),"",IF(ISBLANK($B$364),"",$B$364))</f>
        <v/>
      </c>
      <c r="BF364" s="2">
        <f>ISERROR($B$364)*1</f>
        <v/>
      </c>
    </row>
    <row r="365" ht="60" customHeight="1">
      <c r="A365" s="21" t="inlineStr">
        <is>
          <t>2</t>
        </is>
      </c>
      <c r="B365" s="29" t="n"/>
      <c r="C365" s="25" t="n"/>
      <c r="D365" s="17" t="n"/>
      <c r="K365" s="19">
        <f>IF(BF365&gt;0,"O Google leu como fórmula: digite de novo com ' na frente.","")</f>
        <v/>
      </c>
      <c r="AW365" s="2">
        <f>AW364+IF(LEN($AY$365)&gt;0,1,0)</f>
        <v/>
      </c>
      <c r="AY365" s="2">
        <f>IF(ISERROR($B$365),"",IF(ISBLANK($B$365),"",$B$365))</f>
        <v/>
      </c>
      <c r="BF365" s="2">
        <f>ISERROR($B$365)*1</f>
        <v/>
      </c>
    </row>
    <row r="366" ht="60" customHeight="1">
      <c r="A366" s="9" t="inlineStr">
        <is>
          <t>3</t>
        </is>
      </c>
      <c r="B366" s="4" t="n"/>
      <c r="C366" s="25" t="n"/>
      <c r="D366" s="17" t="n"/>
      <c r="K366" s="19">
        <f>IF(BF366&gt;0,"O Google leu como fórmula: digite de novo com ' na frente.","")</f>
        <v/>
      </c>
      <c r="AW366" s="2">
        <f>AW365+IF(LEN($AY$366)&gt;0,1,0)</f>
        <v/>
      </c>
      <c r="AY366" s="2">
        <f>IF(ISERROR($B$366),"",IF(ISBLANK($B$366),"",$B$366))</f>
        <v/>
      </c>
      <c r="BF366" s="2">
        <f>ISERROR($B$366)*1</f>
        <v/>
      </c>
    </row>
    <row r="367" ht="60" customHeight="1">
      <c r="A367" s="21" t="inlineStr">
        <is>
          <t>4</t>
        </is>
      </c>
      <c r="B367" s="29" t="n"/>
      <c r="C367" s="25" t="n"/>
      <c r="D367" s="17" t="n"/>
      <c r="K367" s="19">
        <f>IF(BF367&gt;0,"O Google leu como fórmula: digite de novo com ' na frente.","")</f>
        <v/>
      </c>
      <c r="AW367" s="2">
        <f>AW366+IF(LEN($AY$367)&gt;0,1,0)</f>
        <v/>
      </c>
      <c r="AY367" s="2">
        <f>IF(ISERROR($B$367),"",IF(ISBLANK($B$367),"",$B$367))</f>
        <v/>
      </c>
      <c r="BF367" s="2">
        <f>ISERROR($B$367)*1</f>
        <v/>
      </c>
    </row>
    <row r="368" ht="60" customHeight="1">
      <c r="A368" s="9" t="inlineStr">
        <is>
          <t>5</t>
        </is>
      </c>
      <c r="B368" s="4" t="n"/>
      <c r="C368" s="25" t="n"/>
      <c r="D368" s="17" t="n"/>
      <c r="K368" s="19">
        <f>IF(BF368&gt;0,"O Google leu como fórmula: digite de novo com ' na frente.","")</f>
        <v/>
      </c>
      <c r="AW368" s="2">
        <f>AW367+IF(LEN($AY$368)&gt;0,1,0)</f>
        <v/>
      </c>
      <c r="AY368" s="2">
        <f>IF(ISERROR($B$368),"",IF(ISBLANK($B$368),"",$B$368))</f>
        <v/>
      </c>
      <c r="BF368" s="2">
        <f>ISERROR($B$368)*1</f>
        <v/>
      </c>
    </row>
    <row r="369" ht="60" customHeight="1">
      <c r="A369" s="21" t="inlineStr">
        <is>
          <t>6</t>
        </is>
      </c>
      <c r="B369" s="29" t="n"/>
      <c r="C369" s="25" t="n"/>
      <c r="D369" s="17" t="n"/>
      <c r="K369" s="19">
        <f>IF(BF369&gt;0,"O Google leu como fórmula: digite de novo com ' na frente.","")</f>
        <v/>
      </c>
      <c r="AW369" s="2">
        <f>AW368+IF(LEN($AY$369)&gt;0,1,0)</f>
        <v/>
      </c>
      <c r="AY369" s="2">
        <f>IF(ISERROR($B$369),"",IF(ISBLANK($B$369),"",$B$369))</f>
        <v/>
      </c>
      <c r="BF369" s="2">
        <f>ISERROR($B$369)*1</f>
        <v/>
      </c>
    </row>
    <row r="370" ht="60" customHeight="1">
      <c r="A370" s="9" t="inlineStr">
        <is>
          <t>7</t>
        </is>
      </c>
      <c r="B370" s="4" t="n"/>
      <c r="C370" s="25" t="n"/>
      <c r="D370" s="17" t="n"/>
      <c r="K370" s="19">
        <f>IF(BF370&gt;0,"O Google leu como fórmula: digite de novo com ' na frente.","")</f>
        <v/>
      </c>
      <c r="AW370" s="2">
        <f>AW369+IF(LEN($AY$370)&gt;0,1,0)</f>
        <v/>
      </c>
      <c r="AY370" s="2">
        <f>IF(ISERROR($B$370),"",IF(ISBLANK($B$370),"",$B$370))</f>
        <v/>
      </c>
      <c r="BF370" s="2">
        <f>ISERROR($B$370)*1</f>
        <v/>
      </c>
    </row>
    <row r="371" ht="60" customHeight="1">
      <c r="A371" s="21" t="inlineStr">
        <is>
          <t>8</t>
        </is>
      </c>
      <c r="B371" s="29" t="n"/>
      <c r="C371" s="25" t="n"/>
      <c r="D371" s="17" t="n"/>
      <c r="K371" s="19">
        <f>IF(BF371&gt;0,"O Google leu como fórmula: digite de novo com ' na frente.","")</f>
        <v/>
      </c>
      <c r="AW371" s="2">
        <f>AW370+IF(LEN($AY$371)&gt;0,1,0)</f>
        <v/>
      </c>
      <c r="AY371" s="2">
        <f>IF(ISERROR($B$371),"",IF(ISBLANK($B$371),"",$B$371))</f>
        <v/>
      </c>
      <c r="BF371" s="2">
        <f>ISERROR($B$371)*1</f>
        <v/>
      </c>
    </row>
    <row r="372" ht="60" customHeight="1">
      <c r="A372" s="9" t="inlineStr">
        <is>
          <t>9</t>
        </is>
      </c>
      <c r="B372" s="4" t="n"/>
      <c r="C372" s="25" t="n"/>
      <c r="D372" s="17" t="n"/>
      <c r="K372" s="19">
        <f>IF(BF372&gt;0,"O Google leu como fórmula: digite de novo com ' na frente.","")</f>
        <v/>
      </c>
      <c r="AW372" s="2">
        <f>AW371+IF(LEN($AY$372)&gt;0,1,0)</f>
        <v/>
      </c>
      <c r="AY372" s="2">
        <f>IF(ISERROR($B$372),"",IF(ISBLANK($B$372),"",$B$372))</f>
        <v/>
      </c>
      <c r="BF372" s="2">
        <f>ISERROR($B$372)*1</f>
        <v/>
      </c>
    </row>
    <row r="373" ht="60" customHeight="1">
      <c r="A373" s="21" t="inlineStr">
        <is>
          <t>10</t>
        </is>
      </c>
      <c r="B373" s="29" t="n"/>
      <c r="C373" s="25" t="n"/>
      <c r="D373" s="17" t="n"/>
      <c r="K373" s="19">
        <f>IF(BF373&gt;0,"O Google leu como fórmula: digite de novo com ' na frente.","")</f>
        <v/>
      </c>
      <c r="AW373" s="2">
        <f>AW372+IF(LEN($AY$373)&gt;0,1,0)</f>
        <v/>
      </c>
      <c r="AY373" s="2">
        <f>IF(ISERROR($B$373),"",IF(ISBLANK($B$373),"",$B$373))</f>
        <v/>
      </c>
      <c r="BF373" s="2">
        <f>ISERROR($B$373)*1</f>
        <v/>
      </c>
    </row>
    <row r="374" ht="60" customHeight="1">
      <c r="A374" s="9" t="inlineStr">
        <is>
          <t>11</t>
        </is>
      </c>
      <c r="B374" s="4" t="n"/>
      <c r="C374" s="25" t="n"/>
      <c r="D374" s="17" t="n"/>
      <c r="K374" s="19">
        <f>IF(BF374&gt;0,"O Google leu como fórmula: digite de novo com ' na frente.","")</f>
        <v/>
      </c>
      <c r="AW374" s="2">
        <f>AW373+IF(LEN($AY$374)&gt;0,1,0)</f>
        <v/>
      </c>
      <c r="AY374" s="2">
        <f>IF(ISERROR($B$374),"",IF(ISBLANK($B$374),"",$B$374))</f>
        <v/>
      </c>
      <c r="BF374" s="2">
        <f>ISERROR($B$374)*1</f>
        <v/>
      </c>
    </row>
    <row r="375" ht="60" customHeight="1">
      <c r="A375" s="21" t="inlineStr">
        <is>
          <t>12</t>
        </is>
      </c>
      <c r="B375" s="29" t="n"/>
      <c r="C375" s="25" t="n"/>
      <c r="D375" s="17" t="n"/>
      <c r="K375" s="19">
        <f>IF(BF375&gt;0,"O Google leu como fórmula: digite de novo com ' na frente.","")</f>
        <v/>
      </c>
      <c r="AW375" s="2">
        <f>AW374+IF(LEN($AY$375)&gt;0,1,0)</f>
        <v/>
      </c>
      <c r="AY375" s="2">
        <f>IF(ISERROR($B$375),"",IF(ISBLANK($B$375),"",$B$375))</f>
        <v/>
      </c>
      <c r="BF375" s="2">
        <f>ISERROR($B$375)*1</f>
        <v/>
      </c>
    </row>
    <row r="376" ht="60" customHeight="1">
      <c r="A376" s="9" t="inlineStr">
        <is>
          <t>13</t>
        </is>
      </c>
      <c r="B376" s="4" t="n"/>
      <c r="C376" s="25" t="n"/>
      <c r="D376" s="17" t="n"/>
      <c r="K376" s="19">
        <f>IF(BF376&gt;0,"O Google leu como fórmula: digite de novo com ' na frente.","")</f>
        <v/>
      </c>
      <c r="AW376" s="2">
        <f>AW375+IF(LEN($AY$376)&gt;0,1,0)</f>
        <v/>
      </c>
      <c r="AY376" s="2">
        <f>IF(ISERROR($B$376),"",IF(ISBLANK($B$376),"",$B$376))</f>
        <v/>
      </c>
      <c r="BF376" s="2">
        <f>ISERROR($B$376)*1</f>
        <v/>
      </c>
    </row>
    <row r="377">
      <c r="A377" s="8" t="inlineStr">
        <is>
          <t>Vagas 14–26</t>
        </is>
      </c>
      <c r="B377" s="8" t="inlineStr">
        <is>
          <t>Tabela 10</t>
        </is>
      </c>
      <c r="C377" s="20" t="n"/>
      <c r="D377" s="20" t="n"/>
      <c r="AW377" s="2">
        <f>AW376</f>
        <v/>
      </c>
      <c r="AY377" s="2">
        <f>IF(ISERROR($B$377),"",IF(ISBLANK($B$377),"",$B$377))</f>
        <v/>
      </c>
    </row>
    <row r="378" ht="60" customHeight="1">
      <c r="A378" s="9" t="inlineStr">
        <is>
          <t>14</t>
        </is>
      </c>
      <c r="B378" s="4" t="n"/>
      <c r="C378" s="25" t="n"/>
      <c r="D378" s="17" t="n"/>
      <c r="K378" s="19">
        <f>IF(BF378&gt;0,"O Google leu como fórmula: digite de novo com ' na frente.","")</f>
        <v/>
      </c>
      <c r="AW378" s="2">
        <f>AW377+IF(LEN($AY$378)&gt;0,1,0)</f>
        <v/>
      </c>
      <c r="AY378" s="2">
        <f>IF(ISERROR($B$378),"",IF(ISBLANK($B$378),"",$B$378))</f>
        <v/>
      </c>
      <c r="BF378" s="2">
        <f>ISERROR($B$378)*1</f>
        <v/>
      </c>
    </row>
    <row r="379" ht="60" customHeight="1">
      <c r="A379" s="21" t="inlineStr">
        <is>
          <t>15</t>
        </is>
      </c>
      <c r="B379" s="29" t="n"/>
      <c r="C379" s="25" t="n"/>
      <c r="D379" s="17" t="n"/>
      <c r="K379" s="19">
        <f>IF(BF379&gt;0,"O Google leu como fórmula: digite de novo com ' na frente.","")</f>
        <v/>
      </c>
      <c r="AW379" s="2">
        <f>AW378+IF(LEN($AY$379)&gt;0,1,0)</f>
        <v/>
      </c>
      <c r="AY379" s="2">
        <f>IF(ISERROR($B$379),"",IF(ISBLANK($B$379),"",$B$379))</f>
        <v/>
      </c>
      <c r="BF379" s="2">
        <f>ISERROR($B$379)*1</f>
        <v/>
      </c>
    </row>
    <row r="380" ht="60" customHeight="1">
      <c r="A380" s="9" t="inlineStr">
        <is>
          <t>16</t>
        </is>
      </c>
      <c r="B380" s="4" t="n"/>
      <c r="C380" s="25" t="n"/>
      <c r="D380" s="17" t="n"/>
      <c r="K380" s="19">
        <f>IF(BF380&gt;0,"O Google leu como fórmula: digite de novo com ' na frente.","")</f>
        <v/>
      </c>
      <c r="AW380" s="2">
        <f>AW379+IF(LEN($AY$380)&gt;0,1,0)</f>
        <v/>
      </c>
      <c r="AY380" s="2">
        <f>IF(ISERROR($B$380),"",IF(ISBLANK($B$380),"",$B$380))</f>
        <v/>
      </c>
      <c r="BF380" s="2">
        <f>ISERROR($B$380)*1</f>
        <v/>
      </c>
    </row>
    <row r="381" ht="60" customHeight="1">
      <c r="A381" s="21" t="inlineStr">
        <is>
          <t>17</t>
        </is>
      </c>
      <c r="B381" s="29" t="n"/>
      <c r="C381" s="25" t="n"/>
      <c r="D381" s="17" t="n"/>
      <c r="K381" s="19">
        <f>IF(BF381&gt;0,"O Google leu como fórmula: digite de novo com ' na frente.","")</f>
        <v/>
      </c>
      <c r="AW381" s="2">
        <f>AW380+IF(LEN($AY$381)&gt;0,1,0)</f>
        <v/>
      </c>
      <c r="AY381" s="2">
        <f>IF(ISERROR($B$381),"",IF(ISBLANK($B$381),"",$B$381))</f>
        <v/>
      </c>
      <c r="BF381" s="2">
        <f>ISERROR($B$381)*1</f>
        <v/>
      </c>
    </row>
    <row r="382" ht="60" customHeight="1">
      <c r="A382" s="9" t="inlineStr">
        <is>
          <t>18</t>
        </is>
      </c>
      <c r="B382" s="4" t="n"/>
      <c r="C382" s="25" t="n"/>
      <c r="D382" s="17" t="n"/>
      <c r="K382" s="19">
        <f>IF(BF382&gt;0,"O Google leu como fórmula: digite de novo com ' na frente.","")</f>
        <v/>
      </c>
      <c r="AW382" s="2">
        <f>AW381+IF(LEN($AY$382)&gt;0,1,0)</f>
        <v/>
      </c>
      <c r="AY382" s="2">
        <f>IF(ISERROR($B$382),"",IF(ISBLANK($B$382),"",$B$382))</f>
        <v/>
      </c>
      <c r="BF382" s="2">
        <f>ISERROR($B$382)*1</f>
        <v/>
      </c>
    </row>
    <row r="383" ht="60" customHeight="1">
      <c r="A383" s="21" t="inlineStr">
        <is>
          <t>19</t>
        </is>
      </c>
      <c r="B383" s="29" t="n"/>
      <c r="C383" s="25" t="n"/>
      <c r="D383" s="17" t="n"/>
      <c r="K383" s="19">
        <f>IF(BF383&gt;0,"O Google leu como fórmula: digite de novo com ' na frente.","")</f>
        <v/>
      </c>
      <c r="AW383" s="2">
        <f>AW382+IF(LEN($AY$383)&gt;0,1,0)</f>
        <v/>
      </c>
      <c r="AY383" s="2">
        <f>IF(ISERROR($B$383),"",IF(ISBLANK($B$383),"",$B$383))</f>
        <v/>
      </c>
      <c r="BF383" s="2">
        <f>ISERROR($B$383)*1</f>
        <v/>
      </c>
    </row>
    <row r="384" ht="60" customHeight="1">
      <c r="A384" s="9" t="inlineStr">
        <is>
          <t>20</t>
        </is>
      </c>
      <c r="B384" s="4" t="n"/>
      <c r="C384" s="25" t="n"/>
      <c r="D384" s="17" t="n"/>
      <c r="K384" s="19">
        <f>IF(BF384&gt;0,"O Google leu como fórmula: digite de novo com ' na frente.","")</f>
        <v/>
      </c>
      <c r="AW384" s="2">
        <f>AW383+IF(LEN($AY$384)&gt;0,1,0)</f>
        <v/>
      </c>
      <c r="AY384" s="2">
        <f>IF(ISERROR($B$384),"",IF(ISBLANK($B$384),"",$B$384))</f>
        <v/>
      </c>
      <c r="BF384" s="2">
        <f>ISERROR($B$384)*1</f>
        <v/>
      </c>
    </row>
    <row r="385" ht="60" customHeight="1">
      <c r="A385" s="21" t="inlineStr">
        <is>
          <t>21</t>
        </is>
      </c>
      <c r="B385" s="29" t="n"/>
      <c r="C385" s="25" t="n"/>
      <c r="D385" s="17" t="n"/>
      <c r="K385" s="19">
        <f>IF(BF385&gt;0,"O Google leu como fórmula: digite de novo com ' na frente.","")</f>
        <v/>
      </c>
      <c r="AW385" s="2">
        <f>AW384+IF(LEN($AY$385)&gt;0,1,0)</f>
        <v/>
      </c>
      <c r="AY385" s="2">
        <f>IF(ISERROR($B$385),"",IF(ISBLANK($B$385),"",$B$385))</f>
        <v/>
      </c>
      <c r="BF385" s="2">
        <f>ISERROR($B$385)*1</f>
        <v/>
      </c>
    </row>
    <row r="386" ht="60" customHeight="1">
      <c r="A386" s="9" t="inlineStr">
        <is>
          <t>22</t>
        </is>
      </c>
      <c r="B386" s="4" t="n"/>
      <c r="C386" s="25" t="n"/>
      <c r="D386" s="17" t="n"/>
      <c r="K386" s="19">
        <f>IF(BF386&gt;0,"O Google leu como fórmula: digite de novo com ' na frente.","")</f>
        <v/>
      </c>
      <c r="AW386" s="2">
        <f>AW385+IF(LEN($AY$386)&gt;0,1,0)</f>
        <v/>
      </c>
      <c r="AY386" s="2">
        <f>IF(ISERROR($B$386),"",IF(ISBLANK($B$386),"",$B$386))</f>
        <v/>
      </c>
      <c r="BF386" s="2">
        <f>ISERROR($B$386)*1</f>
        <v/>
      </c>
    </row>
    <row r="387" ht="60" customHeight="1">
      <c r="A387" s="21" t="inlineStr">
        <is>
          <t>23</t>
        </is>
      </c>
      <c r="B387" s="29" t="n"/>
      <c r="C387" s="25" t="n"/>
      <c r="D387" s="17" t="n"/>
      <c r="K387" s="19">
        <f>IF(BF387&gt;0,"O Google leu como fórmula: digite de novo com ' na frente.","")</f>
        <v/>
      </c>
      <c r="AW387" s="2">
        <f>AW386+IF(LEN($AY$387)&gt;0,1,0)</f>
        <v/>
      </c>
      <c r="AY387" s="2">
        <f>IF(ISERROR($B$387),"",IF(ISBLANK($B$387),"",$B$387))</f>
        <v/>
      </c>
      <c r="BF387" s="2">
        <f>ISERROR($B$387)*1</f>
        <v/>
      </c>
    </row>
    <row r="388" ht="60" customHeight="1">
      <c r="A388" s="9" t="inlineStr">
        <is>
          <t>24</t>
        </is>
      </c>
      <c r="B388" s="4" t="n"/>
      <c r="C388" s="25" t="n"/>
      <c r="D388" s="17" t="n"/>
      <c r="K388" s="19">
        <f>IF(BF388&gt;0,"O Google leu como fórmula: digite de novo com ' na frente.","")</f>
        <v/>
      </c>
      <c r="AW388" s="2">
        <f>AW387+IF(LEN($AY$388)&gt;0,1,0)</f>
        <v/>
      </c>
      <c r="AY388" s="2">
        <f>IF(ISERROR($B$388),"",IF(ISBLANK($B$388),"",$B$388))</f>
        <v/>
      </c>
      <c r="BF388" s="2">
        <f>ISERROR($B$388)*1</f>
        <v/>
      </c>
    </row>
    <row r="389" ht="60" customHeight="1">
      <c r="A389" s="21" t="inlineStr">
        <is>
          <t>25</t>
        </is>
      </c>
      <c r="B389" s="29" t="n"/>
      <c r="C389" s="25" t="n"/>
      <c r="D389" s="17" t="n"/>
      <c r="K389" s="19">
        <f>IF(BF389&gt;0,"O Google leu como fórmula: digite de novo com ' na frente.","")</f>
        <v/>
      </c>
      <c r="AW389" s="2">
        <f>AW388+IF(LEN($AY$389)&gt;0,1,0)</f>
        <v/>
      </c>
      <c r="AY389" s="2">
        <f>IF(ISERROR($B$389),"",IF(ISBLANK($B$389),"",$B$389))</f>
        <v/>
      </c>
      <c r="BF389" s="2">
        <f>ISERROR($B$389)*1</f>
        <v/>
      </c>
    </row>
    <row r="390" ht="60" customHeight="1">
      <c r="A390" s="9" t="inlineStr">
        <is>
          <t>26</t>
        </is>
      </c>
      <c r="B390" s="4" t="n"/>
      <c r="C390" s="25" t="n"/>
      <c r="D390" s="17" t="n"/>
      <c r="K390" s="19">
        <f>IF(BF390&gt;0,"O Google leu como fórmula: digite de novo com ' na frente.","")</f>
        <v/>
      </c>
      <c r="AW390" s="2">
        <f>AW389+IF(LEN($AY$390)&gt;0,1,0)</f>
        <v/>
      </c>
      <c r="AY390" s="2">
        <f>IF(ISERROR($B$390),"",IF(ISBLANK($B$390),"",$B$390))</f>
        <v/>
      </c>
      <c r="BF390" s="2">
        <f>ISERROR($B$390)*1</f>
        <v/>
      </c>
    </row>
    <row r="391">
      <c r="A391" s="8" t="inlineStr">
        <is>
          <t>Vagas 27–39</t>
        </is>
      </c>
      <c r="B391" s="8" t="inlineStr">
        <is>
          <t>Tabela 10</t>
        </is>
      </c>
      <c r="C391" s="20" t="n"/>
      <c r="D391" s="20" t="n"/>
      <c r="AW391" s="2">
        <f>AW390</f>
        <v/>
      </c>
      <c r="AY391" s="2">
        <f>IF(ISERROR($B$391),"",IF(ISBLANK($B$391),"",$B$391))</f>
        <v/>
      </c>
    </row>
    <row r="392" ht="60" customHeight="1">
      <c r="A392" s="9" t="inlineStr">
        <is>
          <t>27</t>
        </is>
      </c>
      <c r="B392" s="4" t="n"/>
      <c r="C392" s="25" t="n"/>
      <c r="D392" s="17" t="n"/>
      <c r="K392" s="19">
        <f>IF(BF392&gt;0,"O Google leu como fórmula: digite de novo com ' na frente.","")</f>
        <v/>
      </c>
      <c r="AW392" s="2">
        <f>AW391+IF(LEN($AY$392)&gt;0,1,0)</f>
        <v/>
      </c>
      <c r="AY392" s="2">
        <f>IF(ISERROR($B$392),"",IF(ISBLANK($B$392),"",$B$392))</f>
        <v/>
      </c>
      <c r="BF392" s="2">
        <f>ISERROR($B$392)*1</f>
        <v/>
      </c>
    </row>
    <row r="393" ht="60" customHeight="1">
      <c r="A393" s="21" t="inlineStr">
        <is>
          <t>28</t>
        </is>
      </c>
      <c r="B393" s="29" t="n"/>
      <c r="C393" s="25" t="n"/>
      <c r="D393" s="17" t="n"/>
      <c r="K393" s="19">
        <f>IF(BF393&gt;0,"O Google leu como fórmula: digite de novo com ' na frente.","")</f>
        <v/>
      </c>
      <c r="AW393" s="2">
        <f>AW392+IF(LEN($AY$393)&gt;0,1,0)</f>
        <v/>
      </c>
      <c r="AY393" s="2">
        <f>IF(ISERROR($B$393),"",IF(ISBLANK($B$393),"",$B$393))</f>
        <v/>
      </c>
      <c r="BF393" s="2">
        <f>ISERROR($B$393)*1</f>
        <v/>
      </c>
    </row>
    <row r="394" ht="60" customHeight="1">
      <c r="A394" s="9" t="inlineStr">
        <is>
          <t>29</t>
        </is>
      </c>
      <c r="B394" s="4" t="n"/>
      <c r="C394" s="25" t="n"/>
      <c r="D394" s="17" t="n"/>
      <c r="K394" s="19">
        <f>IF(BF394&gt;0,"O Google leu como fórmula: digite de novo com ' na frente.","")</f>
        <v/>
      </c>
      <c r="AW394" s="2">
        <f>AW393+IF(LEN($AY$394)&gt;0,1,0)</f>
        <v/>
      </c>
      <c r="AY394" s="2">
        <f>IF(ISERROR($B$394),"",IF(ISBLANK($B$394),"",$B$394))</f>
        <v/>
      </c>
      <c r="BF394" s="2">
        <f>ISERROR($B$394)*1</f>
        <v/>
      </c>
    </row>
    <row r="395" ht="60" customHeight="1">
      <c r="A395" s="21" t="inlineStr">
        <is>
          <t>30</t>
        </is>
      </c>
      <c r="B395" s="29" t="n"/>
      <c r="C395" s="25" t="n"/>
      <c r="D395" s="17" t="n"/>
      <c r="K395" s="19">
        <f>IF(BF395&gt;0,"O Google leu como fórmula: digite de novo com ' na frente.","")</f>
        <v/>
      </c>
      <c r="AW395" s="2">
        <f>AW394+IF(LEN($AY$395)&gt;0,1,0)</f>
        <v/>
      </c>
      <c r="AY395" s="2">
        <f>IF(ISERROR($B$395),"",IF(ISBLANK($B$395),"",$B$395))</f>
        <v/>
      </c>
      <c r="BF395" s="2">
        <f>ISERROR($B$395)*1</f>
        <v/>
      </c>
    </row>
    <row r="396" ht="60" customHeight="1">
      <c r="A396" s="9" t="inlineStr">
        <is>
          <t>31</t>
        </is>
      </c>
      <c r="B396" s="4" t="n"/>
      <c r="C396" s="25" t="n"/>
      <c r="D396" s="17" t="n"/>
      <c r="K396" s="19">
        <f>IF(BF396&gt;0,"O Google leu como fórmula: digite de novo com ' na frente.","")</f>
        <v/>
      </c>
      <c r="AW396" s="2">
        <f>AW395+IF(LEN($AY$396)&gt;0,1,0)</f>
        <v/>
      </c>
      <c r="AY396" s="2">
        <f>IF(ISERROR($B$396),"",IF(ISBLANK($B$396),"",$B$396))</f>
        <v/>
      </c>
      <c r="BF396" s="2">
        <f>ISERROR($B$396)*1</f>
        <v/>
      </c>
    </row>
    <row r="397" ht="60" customHeight="1">
      <c r="A397" s="21" t="inlineStr">
        <is>
          <t>32</t>
        </is>
      </c>
      <c r="B397" s="29" t="n"/>
      <c r="C397" s="25" t="n"/>
      <c r="D397" s="17" t="n"/>
      <c r="K397" s="19">
        <f>IF(BF397&gt;0,"O Google leu como fórmula: digite de novo com ' na frente.","")</f>
        <v/>
      </c>
      <c r="AW397" s="2">
        <f>AW396+IF(LEN($AY$397)&gt;0,1,0)</f>
        <v/>
      </c>
      <c r="AY397" s="2">
        <f>IF(ISERROR($B$397),"",IF(ISBLANK($B$397),"",$B$397))</f>
        <v/>
      </c>
      <c r="BF397" s="2">
        <f>ISERROR($B$397)*1</f>
        <v/>
      </c>
    </row>
    <row r="398" ht="60" customHeight="1">
      <c r="A398" s="9" t="inlineStr">
        <is>
          <t>33</t>
        </is>
      </c>
      <c r="B398" s="4" t="n"/>
      <c r="C398" s="25" t="n"/>
      <c r="D398" s="17" t="n"/>
      <c r="K398" s="19">
        <f>IF(BF398&gt;0,"O Google leu como fórmula: digite de novo com ' na frente.","")</f>
        <v/>
      </c>
      <c r="AW398" s="2">
        <f>AW397+IF(LEN($AY$398)&gt;0,1,0)</f>
        <v/>
      </c>
      <c r="AY398" s="2">
        <f>IF(ISERROR($B$398),"",IF(ISBLANK($B$398),"",$B$398))</f>
        <v/>
      </c>
      <c r="BF398" s="2">
        <f>ISERROR($B$398)*1</f>
        <v/>
      </c>
    </row>
    <row r="399" ht="60" customHeight="1">
      <c r="A399" s="21" t="inlineStr">
        <is>
          <t>34</t>
        </is>
      </c>
      <c r="B399" s="29" t="n"/>
      <c r="C399" s="25" t="n"/>
      <c r="D399" s="17" t="n"/>
      <c r="K399" s="19">
        <f>IF(BF399&gt;0,"O Google leu como fórmula: digite de novo com ' na frente.","")</f>
        <v/>
      </c>
      <c r="AW399" s="2">
        <f>AW398+IF(LEN($AY$399)&gt;0,1,0)</f>
        <v/>
      </c>
      <c r="AY399" s="2">
        <f>IF(ISERROR($B$399),"",IF(ISBLANK($B$399),"",$B$399))</f>
        <v/>
      </c>
      <c r="BF399" s="2">
        <f>ISERROR($B$399)*1</f>
        <v/>
      </c>
    </row>
    <row r="400" ht="60" customHeight="1">
      <c r="A400" s="9" t="inlineStr">
        <is>
          <t>35</t>
        </is>
      </c>
      <c r="B400" s="4" t="n"/>
      <c r="C400" s="25" t="n"/>
      <c r="D400" s="17" t="n"/>
      <c r="K400" s="19">
        <f>IF(BF400&gt;0,"O Google leu como fórmula: digite de novo com ' na frente.","")</f>
        <v/>
      </c>
      <c r="AW400" s="2">
        <f>AW399+IF(LEN($AY$400)&gt;0,1,0)</f>
        <v/>
      </c>
      <c r="AY400" s="2">
        <f>IF(ISERROR($B$400),"",IF(ISBLANK($B$400),"",$B$400))</f>
        <v/>
      </c>
      <c r="BF400" s="2">
        <f>ISERROR($B$400)*1</f>
        <v/>
      </c>
    </row>
    <row r="401" ht="60" customHeight="1">
      <c r="A401" s="21" t="inlineStr">
        <is>
          <t>36</t>
        </is>
      </c>
      <c r="B401" s="29" t="n"/>
      <c r="C401" s="25" t="n"/>
      <c r="D401" s="17" t="n"/>
      <c r="K401" s="19">
        <f>IF(BF401&gt;0,"O Google leu como fórmula: digite de novo com ' na frente.","")</f>
        <v/>
      </c>
      <c r="AW401" s="2">
        <f>AW400+IF(LEN($AY$401)&gt;0,1,0)</f>
        <v/>
      </c>
      <c r="AY401" s="2">
        <f>IF(ISERROR($B$401),"",IF(ISBLANK($B$401),"",$B$401))</f>
        <v/>
      </c>
      <c r="BF401" s="2">
        <f>ISERROR($B$401)*1</f>
        <v/>
      </c>
    </row>
    <row r="402" ht="60" customHeight="1">
      <c r="A402" s="9" t="inlineStr">
        <is>
          <t>37</t>
        </is>
      </c>
      <c r="B402" s="4" t="n"/>
      <c r="C402" s="25" t="n"/>
      <c r="D402" s="17" t="n"/>
      <c r="K402" s="19">
        <f>IF(BF402&gt;0,"O Google leu como fórmula: digite de novo com ' na frente.","")</f>
        <v/>
      </c>
      <c r="AW402" s="2">
        <f>AW401+IF(LEN($AY$402)&gt;0,1,0)</f>
        <v/>
      </c>
      <c r="AY402" s="2">
        <f>IF(ISERROR($B$402),"",IF(ISBLANK($B$402),"",$B$402))</f>
        <v/>
      </c>
      <c r="BF402" s="2">
        <f>ISERROR($B$402)*1</f>
        <v/>
      </c>
    </row>
    <row r="403" ht="60" customHeight="1">
      <c r="A403" s="21" t="inlineStr">
        <is>
          <t>38</t>
        </is>
      </c>
      <c r="B403" s="29" t="n"/>
      <c r="C403" s="25" t="n"/>
      <c r="D403" s="17" t="n"/>
      <c r="K403" s="19">
        <f>IF(BF403&gt;0,"O Google leu como fórmula: digite de novo com ' na frente.","")</f>
        <v/>
      </c>
      <c r="AW403" s="2">
        <f>AW402+IF(LEN($AY$403)&gt;0,1,0)</f>
        <v/>
      </c>
      <c r="AY403" s="2">
        <f>IF(ISERROR($B$403),"",IF(ISBLANK($B$403),"",$B$403))</f>
        <v/>
      </c>
      <c r="BF403" s="2">
        <f>ISERROR($B$403)*1</f>
        <v/>
      </c>
    </row>
    <row r="404" ht="60" customHeight="1">
      <c r="A404" s="9" t="inlineStr">
        <is>
          <t>39</t>
        </is>
      </c>
      <c r="B404" s="4" t="n"/>
      <c r="C404" s="25" t="n"/>
      <c r="D404" s="17" t="n"/>
      <c r="K404" s="19">
        <f>IF(BF404&gt;0,"O Google leu como fórmula: digite de novo com ' na frente.","")</f>
        <v/>
      </c>
      <c r="AW404" s="2">
        <f>AW403+IF(LEN($AY$404)&gt;0,1,0)</f>
        <v/>
      </c>
      <c r="AY404" s="2">
        <f>IF(ISERROR($B$404),"",IF(ISBLANK($B$404),"",$B$404))</f>
        <v/>
      </c>
      <c r="BF404" s="2">
        <f>ISERROR($B$404)*1</f>
        <v/>
      </c>
    </row>
    <row r="405">
      <c r="A405" s="8" t="inlineStr">
        <is>
          <t>Vagas 40–52</t>
        </is>
      </c>
      <c r="B405" s="8" t="inlineStr">
        <is>
          <t>Tabela 10</t>
        </is>
      </c>
      <c r="C405" s="20" t="n"/>
      <c r="D405" s="20" t="n"/>
      <c r="AW405" s="2">
        <f>AW404</f>
        <v/>
      </c>
      <c r="AY405" s="2">
        <f>IF(ISERROR($B$405),"",IF(ISBLANK($B$405),"",$B$405))</f>
        <v/>
      </c>
    </row>
    <row r="406" ht="60" customHeight="1">
      <c r="A406" s="9" t="inlineStr">
        <is>
          <t>40</t>
        </is>
      </c>
      <c r="B406" s="4" t="n"/>
      <c r="C406" s="25" t="n"/>
      <c r="D406" s="17" t="n"/>
      <c r="K406" s="19">
        <f>IF(BF406&gt;0,"O Google leu como fórmula: digite de novo com ' na frente.","")</f>
        <v/>
      </c>
      <c r="AW406" s="2">
        <f>AW405+IF(LEN($AY$406)&gt;0,1,0)</f>
        <v/>
      </c>
      <c r="AY406" s="2">
        <f>IF(ISERROR($B$406),"",IF(ISBLANK($B$406),"",$B$406))</f>
        <v/>
      </c>
      <c r="BF406" s="2">
        <f>ISERROR($B$406)*1</f>
        <v/>
      </c>
    </row>
    <row r="407" ht="60" customHeight="1">
      <c r="A407" s="21" t="inlineStr">
        <is>
          <t>41</t>
        </is>
      </c>
      <c r="B407" s="29" t="n"/>
      <c r="C407" s="25" t="n"/>
      <c r="D407" s="17" t="n"/>
      <c r="K407" s="19">
        <f>IF(BF407&gt;0,"O Google leu como fórmula: digite de novo com ' na frente.","")</f>
        <v/>
      </c>
      <c r="AW407" s="2">
        <f>AW406+IF(LEN($AY$407)&gt;0,1,0)</f>
        <v/>
      </c>
      <c r="AY407" s="2">
        <f>IF(ISERROR($B$407),"",IF(ISBLANK($B$407),"",$B$407))</f>
        <v/>
      </c>
      <c r="BF407" s="2">
        <f>ISERROR($B$407)*1</f>
        <v/>
      </c>
    </row>
    <row r="408" ht="60" customHeight="1">
      <c r="A408" s="9" t="inlineStr">
        <is>
          <t>42</t>
        </is>
      </c>
      <c r="B408" s="4" t="n"/>
      <c r="C408" s="25" t="n"/>
      <c r="D408" s="17" t="n"/>
      <c r="K408" s="19">
        <f>IF(BF408&gt;0,"O Google leu como fórmula: digite de novo com ' na frente.","")</f>
        <v/>
      </c>
      <c r="AW408" s="2">
        <f>AW407+IF(LEN($AY$408)&gt;0,1,0)</f>
        <v/>
      </c>
      <c r="AY408" s="2">
        <f>IF(ISERROR($B$408),"",IF(ISBLANK($B$408),"",$B$408))</f>
        <v/>
      </c>
      <c r="BF408" s="2">
        <f>ISERROR($B$408)*1</f>
        <v/>
      </c>
    </row>
    <row r="409" ht="60" customHeight="1">
      <c r="A409" s="21" t="inlineStr">
        <is>
          <t>43</t>
        </is>
      </c>
      <c r="B409" s="29" t="n"/>
      <c r="C409" s="25" t="n"/>
      <c r="D409" s="17" t="n"/>
      <c r="K409" s="19">
        <f>IF(BF409&gt;0,"O Google leu como fórmula: digite de novo com ' na frente.","")</f>
        <v/>
      </c>
      <c r="AW409" s="2">
        <f>AW408+IF(LEN($AY$409)&gt;0,1,0)</f>
        <v/>
      </c>
      <c r="AY409" s="2">
        <f>IF(ISERROR($B$409),"",IF(ISBLANK($B$409),"",$B$409))</f>
        <v/>
      </c>
      <c r="BF409" s="2">
        <f>ISERROR($B$409)*1</f>
        <v/>
      </c>
    </row>
    <row r="410" ht="60" customHeight="1">
      <c r="A410" s="9" t="inlineStr">
        <is>
          <t>44</t>
        </is>
      </c>
      <c r="B410" s="4" t="n"/>
      <c r="C410" s="25" t="n"/>
      <c r="D410" s="17" t="n"/>
      <c r="K410" s="19">
        <f>IF(BF410&gt;0,"O Google leu como fórmula: digite de novo com ' na frente.","")</f>
        <v/>
      </c>
      <c r="AW410" s="2">
        <f>AW409+IF(LEN($AY$410)&gt;0,1,0)</f>
        <v/>
      </c>
      <c r="AY410" s="2">
        <f>IF(ISERROR($B$410),"",IF(ISBLANK($B$410),"",$B$410))</f>
        <v/>
      </c>
      <c r="BF410" s="2">
        <f>ISERROR($B$410)*1</f>
        <v/>
      </c>
    </row>
    <row r="411" ht="60" customHeight="1">
      <c r="A411" s="21" t="inlineStr">
        <is>
          <t>45</t>
        </is>
      </c>
      <c r="B411" s="29" t="n"/>
      <c r="C411" s="25" t="n"/>
      <c r="D411" s="17" t="n"/>
      <c r="K411" s="19">
        <f>IF(BF411&gt;0,"O Google leu como fórmula: digite de novo com ' na frente.","")</f>
        <v/>
      </c>
      <c r="AW411" s="2">
        <f>AW410+IF(LEN($AY$411)&gt;0,1,0)</f>
        <v/>
      </c>
      <c r="AY411" s="2">
        <f>IF(ISERROR($B$411),"",IF(ISBLANK($B$411),"",$B$411))</f>
        <v/>
      </c>
      <c r="BF411" s="2">
        <f>ISERROR($B$411)*1</f>
        <v/>
      </c>
    </row>
    <row r="412" ht="60" customHeight="1">
      <c r="A412" s="9" t="inlineStr">
        <is>
          <t>46</t>
        </is>
      </c>
      <c r="B412" s="4" t="n"/>
      <c r="C412" s="25" t="n"/>
      <c r="D412" s="17" t="n"/>
      <c r="K412" s="19">
        <f>IF(BF412&gt;0,"O Google leu como fórmula: digite de novo com ' na frente.","")</f>
        <v/>
      </c>
      <c r="AW412" s="2">
        <f>AW411+IF(LEN($AY$412)&gt;0,1,0)</f>
        <v/>
      </c>
      <c r="AY412" s="2">
        <f>IF(ISERROR($B$412),"",IF(ISBLANK($B$412),"",$B$412))</f>
        <v/>
      </c>
      <c r="BF412" s="2">
        <f>ISERROR($B$412)*1</f>
        <v/>
      </c>
    </row>
    <row r="413" ht="60" customHeight="1">
      <c r="A413" s="21" t="inlineStr">
        <is>
          <t>47</t>
        </is>
      </c>
      <c r="B413" s="29" t="n"/>
      <c r="C413" s="25" t="n"/>
      <c r="D413" s="17" t="n"/>
      <c r="K413" s="19">
        <f>IF(BF413&gt;0,"O Google leu como fórmula: digite de novo com ' na frente.","")</f>
        <v/>
      </c>
      <c r="AW413" s="2">
        <f>AW412+IF(LEN($AY$413)&gt;0,1,0)</f>
        <v/>
      </c>
      <c r="AY413" s="2">
        <f>IF(ISERROR($B$413),"",IF(ISBLANK($B$413),"",$B$413))</f>
        <v/>
      </c>
      <c r="BF413" s="2">
        <f>ISERROR($B$413)*1</f>
        <v/>
      </c>
    </row>
    <row r="414" ht="60" customHeight="1">
      <c r="A414" s="9" t="inlineStr">
        <is>
          <t>48</t>
        </is>
      </c>
      <c r="B414" s="4" t="n"/>
      <c r="C414" s="25" t="n"/>
      <c r="D414" s="17" t="n"/>
      <c r="K414" s="19">
        <f>IF(BF414&gt;0,"O Google leu como fórmula: digite de novo com ' na frente.","")</f>
        <v/>
      </c>
      <c r="AW414" s="2">
        <f>AW413+IF(LEN($AY$414)&gt;0,1,0)</f>
        <v/>
      </c>
      <c r="AY414" s="2">
        <f>IF(ISERROR($B$414),"",IF(ISBLANK($B$414),"",$B$414))</f>
        <v/>
      </c>
      <c r="BF414" s="2">
        <f>ISERROR($B$414)*1</f>
        <v/>
      </c>
    </row>
    <row r="415" ht="60" customHeight="1">
      <c r="A415" s="21" t="inlineStr">
        <is>
          <t>49</t>
        </is>
      </c>
      <c r="B415" s="29" t="n"/>
      <c r="C415" s="25" t="n"/>
      <c r="D415" s="17" t="n"/>
      <c r="K415" s="19">
        <f>IF(BF415&gt;0,"O Google leu como fórmula: digite de novo com ' na frente.","")</f>
        <v/>
      </c>
      <c r="AW415" s="2">
        <f>AW414+IF(LEN($AY$415)&gt;0,1,0)</f>
        <v/>
      </c>
      <c r="AY415" s="2">
        <f>IF(ISERROR($B$415),"",IF(ISBLANK($B$415),"",$B$415))</f>
        <v/>
      </c>
      <c r="BF415" s="2">
        <f>ISERROR($B$415)*1</f>
        <v/>
      </c>
    </row>
    <row r="416" ht="60" customHeight="1">
      <c r="A416" s="9" t="inlineStr">
        <is>
          <t>50</t>
        </is>
      </c>
      <c r="B416" s="4" t="n"/>
      <c r="C416" s="25" t="n"/>
      <c r="D416" s="17" t="n"/>
      <c r="K416" s="19">
        <f>IF(BF416&gt;0,"O Google leu como fórmula: digite de novo com ' na frente.","")</f>
        <v/>
      </c>
      <c r="AW416" s="2">
        <f>AW415+IF(LEN($AY$416)&gt;0,1,0)</f>
        <v/>
      </c>
      <c r="AY416" s="2">
        <f>IF(ISERROR($B$416),"",IF(ISBLANK($B$416),"",$B$416))</f>
        <v/>
      </c>
      <c r="BF416" s="2">
        <f>ISERROR($B$416)*1</f>
        <v/>
      </c>
    </row>
    <row r="417" ht="60" customHeight="1">
      <c r="A417" s="21" t="inlineStr">
        <is>
          <t>51</t>
        </is>
      </c>
      <c r="B417" s="29" t="n"/>
      <c r="C417" s="25" t="n"/>
      <c r="D417" s="17" t="n"/>
      <c r="K417" s="19">
        <f>IF(BF417&gt;0,"O Google leu como fórmula: digite de novo com ' na frente.","")</f>
        <v/>
      </c>
      <c r="AW417" s="2">
        <f>AW416+IF(LEN($AY$417)&gt;0,1,0)</f>
        <v/>
      </c>
      <c r="AY417" s="2">
        <f>IF(ISERROR($B$417),"",IF(ISBLANK($B$417),"",$B$417))</f>
        <v/>
      </c>
      <c r="BF417" s="2">
        <f>ISERROR($B$417)*1</f>
        <v/>
      </c>
    </row>
    <row r="418" ht="60" customHeight="1">
      <c r="A418" s="9" t="inlineStr">
        <is>
          <t>52</t>
        </is>
      </c>
      <c r="B418" s="4" t="n"/>
      <c r="C418" s="25" t="n"/>
      <c r="D418" s="17" t="n"/>
      <c r="K418" s="19">
        <f>IF(BF418&gt;0,"O Google leu como fórmula: digite de novo com ' na frente.","")</f>
        <v/>
      </c>
      <c r="AW418" s="2">
        <f>AW417+IF(LEN($AY$418)&gt;0,1,0)</f>
        <v/>
      </c>
      <c r="AY418" s="2">
        <f>IF(ISERROR($B$418),"",IF(ISBLANK($B$418),"",$B$418))</f>
        <v/>
      </c>
      <c r="BF418" s="2">
        <f>ISERROR($B$418)*1</f>
        <v/>
      </c>
    </row>
    <row r="419">
      <c r="A419" s="8" t="inlineStr">
        <is>
          <t>Vagas 53–65</t>
        </is>
      </c>
      <c r="B419" s="8" t="inlineStr">
        <is>
          <t>Tabela 10</t>
        </is>
      </c>
      <c r="C419" s="20" t="n"/>
      <c r="D419" s="20" t="n"/>
      <c r="AW419" s="2">
        <f>AW418</f>
        <v/>
      </c>
      <c r="AY419" s="2">
        <f>IF(ISERROR($B$419),"",IF(ISBLANK($B$419),"",$B$419))</f>
        <v/>
      </c>
    </row>
    <row r="420" ht="60" customHeight="1">
      <c r="A420" s="9" t="inlineStr">
        <is>
          <t>53</t>
        </is>
      </c>
      <c r="B420" s="4" t="n"/>
      <c r="C420" s="25" t="n"/>
      <c r="D420" s="17" t="n"/>
      <c r="K420" s="19">
        <f>IF(BF420&gt;0,"O Google leu como fórmula: digite de novo com ' na frente.","")</f>
        <v/>
      </c>
      <c r="AW420" s="2">
        <f>AW419+IF(LEN($AY$420)&gt;0,1,0)</f>
        <v/>
      </c>
      <c r="AY420" s="2">
        <f>IF(ISERROR($B$420),"",IF(ISBLANK($B$420),"",$B$420))</f>
        <v/>
      </c>
      <c r="BF420" s="2">
        <f>ISERROR($B$420)*1</f>
        <v/>
      </c>
    </row>
    <row r="421" ht="60" customHeight="1">
      <c r="A421" s="21" t="inlineStr">
        <is>
          <t>54</t>
        </is>
      </c>
      <c r="B421" s="29" t="n"/>
      <c r="C421" s="25" t="n"/>
      <c r="D421" s="17" t="n"/>
      <c r="K421" s="19">
        <f>IF(BF421&gt;0,"O Google leu como fórmula: digite de novo com ' na frente.","")</f>
        <v/>
      </c>
      <c r="AW421" s="2">
        <f>AW420+IF(LEN($AY$421)&gt;0,1,0)</f>
        <v/>
      </c>
      <c r="AY421" s="2">
        <f>IF(ISERROR($B$421),"",IF(ISBLANK($B$421),"",$B$421))</f>
        <v/>
      </c>
      <c r="BF421" s="2">
        <f>ISERROR($B$421)*1</f>
        <v/>
      </c>
    </row>
    <row r="422" ht="60" customHeight="1">
      <c r="A422" s="9" t="inlineStr">
        <is>
          <t>55</t>
        </is>
      </c>
      <c r="B422" s="4" t="n"/>
      <c r="C422" s="25" t="n"/>
      <c r="D422" s="17" t="n"/>
      <c r="K422" s="19">
        <f>IF(BF422&gt;0,"O Google leu como fórmula: digite de novo com ' na frente.","")</f>
        <v/>
      </c>
      <c r="AW422" s="2">
        <f>AW421+IF(LEN($AY$422)&gt;0,1,0)</f>
        <v/>
      </c>
      <c r="AY422" s="2">
        <f>IF(ISERROR($B$422),"",IF(ISBLANK($B$422),"",$B$422))</f>
        <v/>
      </c>
      <c r="BF422" s="2">
        <f>ISERROR($B$422)*1</f>
        <v/>
      </c>
    </row>
    <row r="423" ht="60" customHeight="1">
      <c r="A423" s="21" t="inlineStr">
        <is>
          <t>56</t>
        </is>
      </c>
      <c r="B423" s="29" t="n"/>
      <c r="C423" s="25" t="n"/>
      <c r="D423" s="17" t="n"/>
      <c r="K423" s="19">
        <f>IF(BF423&gt;0,"O Google leu como fórmula: digite de novo com ' na frente.","")</f>
        <v/>
      </c>
      <c r="AW423" s="2">
        <f>AW422+IF(LEN($AY$423)&gt;0,1,0)</f>
        <v/>
      </c>
      <c r="AY423" s="2">
        <f>IF(ISERROR($B$423),"",IF(ISBLANK($B$423),"",$B$423))</f>
        <v/>
      </c>
      <c r="BF423" s="2">
        <f>ISERROR($B$423)*1</f>
        <v/>
      </c>
    </row>
    <row r="424" ht="60" customHeight="1">
      <c r="A424" s="9" t="inlineStr">
        <is>
          <t>57</t>
        </is>
      </c>
      <c r="B424" s="4" t="n"/>
      <c r="C424" s="25" t="n"/>
      <c r="D424" s="17" t="n"/>
      <c r="K424" s="19">
        <f>IF(BF424&gt;0,"O Google leu como fórmula: digite de novo com ' na frente.","")</f>
        <v/>
      </c>
      <c r="AW424" s="2">
        <f>AW423+IF(LEN($AY$424)&gt;0,1,0)</f>
        <v/>
      </c>
      <c r="AY424" s="2">
        <f>IF(ISERROR($B$424),"",IF(ISBLANK($B$424),"",$B$424))</f>
        <v/>
      </c>
      <c r="BF424" s="2">
        <f>ISERROR($B$424)*1</f>
        <v/>
      </c>
    </row>
    <row r="425" ht="60" customHeight="1">
      <c r="A425" s="21" t="inlineStr">
        <is>
          <t>58</t>
        </is>
      </c>
      <c r="B425" s="29" t="n"/>
      <c r="C425" s="25" t="n"/>
      <c r="D425" s="17" t="n"/>
      <c r="K425" s="19">
        <f>IF(BF425&gt;0,"O Google leu como fórmula: digite de novo com ' na frente.","")</f>
        <v/>
      </c>
      <c r="AW425" s="2">
        <f>AW424+IF(LEN($AY$425)&gt;0,1,0)</f>
        <v/>
      </c>
      <c r="AY425" s="2">
        <f>IF(ISERROR($B$425),"",IF(ISBLANK($B$425),"",$B$425))</f>
        <v/>
      </c>
      <c r="BF425" s="2">
        <f>ISERROR($B$425)*1</f>
        <v/>
      </c>
    </row>
    <row r="426" ht="60" customHeight="1">
      <c r="A426" s="9" t="inlineStr">
        <is>
          <t>59</t>
        </is>
      </c>
      <c r="B426" s="4" t="n"/>
      <c r="C426" s="25" t="n"/>
      <c r="D426" s="17" t="n"/>
      <c r="K426" s="19">
        <f>IF(BF426&gt;0,"O Google leu como fórmula: digite de novo com ' na frente.","")</f>
        <v/>
      </c>
      <c r="AW426" s="2">
        <f>AW425+IF(LEN($AY$426)&gt;0,1,0)</f>
        <v/>
      </c>
      <c r="AY426" s="2">
        <f>IF(ISERROR($B$426),"",IF(ISBLANK($B$426),"",$B$426))</f>
        <v/>
      </c>
      <c r="BF426" s="2">
        <f>ISERROR($B$426)*1</f>
        <v/>
      </c>
    </row>
    <row r="427" ht="60" customHeight="1">
      <c r="A427" s="21" t="inlineStr">
        <is>
          <t>60</t>
        </is>
      </c>
      <c r="B427" s="29" t="n"/>
      <c r="C427" s="25" t="n"/>
      <c r="D427" s="17" t="n"/>
      <c r="K427" s="19">
        <f>IF(BF427&gt;0,"O Google leu como fórmula: digite de novo com ' na frente.","")</f>
        <v/>
      </c>
      <c r="AW427" s="2">
        <f>AW426+IF(LEN($AY$427)&gt;0,1,0)</f>
        <v/>
      </c>
      <c r="AY427" s="2">
        <f>IF(ISERROR($B$427),"",IF(ISBLANK($B$427),"",$B$427))</f>
        <v/>
      </c>
      <c r="BF427" s="2">
        <f>ISERROR($B$427)*1</f>
        <v/>
      </c>
    </row>
    <row r="428" ht="60" customHeight="1">
      <c r="A428" s="9" t="inlineStr">
        <is>
          <t>61</t>
        </is>
      </c>
      <c r="B428" s="4" t="n"/>
      <c r="C428" s="25" t="n"/>
      <c r="D428" s="17" t="n"/>
      <c r="K428" s="19">
        <f>IF(BF428&gt;0,"O Google leu como fórmula: digite de novo com ' na frente.","")</f>
        <v/>
      </c>
      <c r="AW428" s="2">
        <f>AW427+IF(LEN($AY$428)&gt;0,1,0)</f>
        <v/>
      </c>
      <c r="AY428" s="2">
        <f>IF(ISERROR($B$428),"",IF(ISBLANK($B$428),"",$B$428))</f>
        <v/>
      </c>
      <c r="BF428" s="2">
        <f>ISERROR($B$428)*1</f>
        <v/>
      </c>
    </row>
    <row r="429" ht="60" customHeight="1">
      <c r="A429" s="21" t="inlineStr">
        <is>
          <t>62</t>
        </is>
      </c>
      <c r="B429" s="29" t="n"/>
      <c r="C429" s="25" t="n"/>
      <c r="D429" s="17" t="n"/>
      <c r="K429" s="19">
        <f>IF(BF429&gt;0,"O Google leu como fórmula: digite de novo com ' na frente.","")</f>
        <v/>
      </c>
      <c r="AW429" s="2">
        <f>AW428+IF(LEN($AY$429)&gt;0,1,0)</f>
        <v/>
      </c>
      <c r="AY429" s="2">
        <f>IF(ISERROR($B$429),"",IF(ISBLANK($B$429),"",$B$429))</f>
        <v/>
      </c>
      <c r="BF429" s="2">
        <f>ISERROR($B$429)*1</f>
        <v/>
      </c>
    </row>
    <row r="430" ht="60" customHeight="1">
      <c r="A430" s="9" t="inlineStr">
        <is>
          <t>63</t>
        </is>
      </c>
      <c r="B430" s="4" t="n"/>
      <c r="C430" s="25" t="n"/>
      <c r="D430" s="17" t="n"/>
      <c r="K430" s="19">
        <f>IF(BF430&gt;0,"O Google leu como fórmula: digite de novo com ' na frente.","")</f>
        <v/>
      </c>
      <c r="AW430" s="2">
        <f>AW429+IF(LEN($AY$430)&gt;0,1,0)</f>
        <v/>
      </c>
      <c r="AY430" s="2">
        <f>IF(ISERROR($B$430),"",IF(ISBLANK($B$430),"",$B$430))</f>
        <v/>
      </c>
      <c r="BF430" s="2">
        <f>ISERROR($B$430)*1</f>
        <v/>
      </c>
    </row>
    <row r="431" ht="60" customHeight="1">
      <c r="A431" s="21" t="inlineStr">
        <is>
          <t>64</t>
        </is>
      </c>
      <c r="B431" s="29" t="n"/>
      <c r="C431" s="25" t="n"/>
      <c r="D431" s="17" t="n"/>
      <c r="K431" s="19">
        <f>IF(BF431&gt;0,"O Google leu como fórmula: digite de novo com ' na frente.","")</f>
        <v/>
      </c>
      <c r="AW431" s="2">
        <f>AW430+IF(LEN($AY$431)&gt;0,1,0)</f>
        <v/>
      </c>
      <c r="AY431" s="2">
        <f>IF(ISERROR($B$431),"",IF(ISBLANK($B$431),"",$B$431))</f>
        <v/>
      </c>
      <c r="BF431" s="2">
        <f>ISERROR($B$431)*1</f>
        <v/>
      </c>
    </row>
    <row r="432" ht="60" customHeight="1">
      <c r="A432" s="9" t="inlineStr">
        <is>
          <t>65</t>
        </is>
      </c>
      <c r="B432" s="4" t="n"/>
      <c r="C432" s="25" t="n"/>
      <c r="D432" s="17" t="n"/>
      <c r="K432" s="19">
        <f>IF(BF432&gt;0,"O Google leu como fórmula: digite de novo com ' na frente.","")</f>
        <v/>
      </c>
      <c r="AW432" s="2">
        <f>AW431+IF(LEN($AY$432)&gt;0,1,0)</f>
        <v/>
      </c>
      <c r="AY432" s="2">
        <f>IF(ISERROR($B$432),"",IF(ISBLANK($B$432),"",$B$432))</f>
        <v/>
      </c>
      <c r="BF432" s="2">
        <f>ISERROR($B$432)*1</f>
        <v/>
      </c>
    </row>
    <row r="433">
      <c r="A433" s="8" t="inlineStr">
        <is>
          <t>Vagas 66–78</t>
        </is>
      </c>
      <c r="B433" s="8" t="inlineStr">
        <is>
          <t>Tabela 10</t>
        </is>
      </c>
      <c r="C433" s="20" t="n"/>
      <c r="D433" s="20" t="n"/>
      <c r="AW433" s="2">
        <f>AW432</f>
        <v/>
      </c>
      <c r="AY433" s="2">
        <f>IF(ISERROR($B$433),"",IF(ISBLANK($B$433),"",$B$433))</f>
        <v/>
      </c>
    </row>
    <row r="434" ht="60" customHeight="1">
      <c r="A434" s="9" t="inlineStr">
        <is>
          <t>66</t>
        </is>
      </c>
      <c r="B434" s="4" t="n"/>
      <c r="C434" s="25" t="n"/>
      <c r="D434" s="17" t="n"/>
      <c r="K434" s="19">
        <f>IF(BF434&gt;0,"O Google leu como fórmula: digite de novo com ' na frente.","")</f>
        <v/>
      </c>
      <c r="AW434" s="2">
        <f>AW433+IF(LEN($AY$434)&gt;0,1,0)</f>
        <v/>
      </c>
      <c r="AY434" s="2">
        <f>IF(ISERROR($B$434),"",IF(ISBLANK($B$434),"",$B$434))</f>
        <v/>
      </c>
      <c r="BF434" s="2">
        <f>ISERROR($B$434)*1</f>
        <v/>
      </c>
    </row>
    <row r="435" ht="60" customHeight="1">
      <c r="A435" s="21" t="inlineStr">
        <is>
          <t>67</t>
        </is>
      </c>
      <c r="B435" s="29" t="n"/>
      <c r="C435" s="25" t="n"/>
      <c r="D435" s="17" t="n"/>
      <c r="K435" s="19">
        <f>IF(BF435&gt;0,"O Google leu como fórmula: digite de novo com ' na frente.","")</f>
        <v/>
      </c>
      <c r="AW435" s="2">
        <f>AW434+IF(LEN($AY$435)&gt;0,1,0)</f>
        <v/>
      </c>
      <c r="AY435" s="2">
        <f>IF(ISERROR($B$435),"",IF(ISBLANK($B$435),"",$B$435))</f>
        <v/>
      </c>
      <c r="BF435" s="2">
        <f>ISERROR($B$435)*1</f>
        <v/>
      </c>
    </row>
    <row r="436" ht="60" customHeight="1">
      <c r="A436" s="9" t="inlineStr">
        <is>
          <t>68</t>
        </is>
      </c>
      <c r="B436" s="4" t="n"/>
      <c r="C436" s="25" t="n"/>
      <c r="D436" s="17" t="n"/>
      <c r="K436" s="19">
        <f>IF(BF436&gt;0,"O Google leu como fórmula: digite de novo com ' na frente.","")</f>
        <v/>
      </c>
      <c r="AW436" s="2">
        <f>AW435+IF(LEN($AY$436)&gt;0,1,0)</f>
        <v/>
      </c>
      <c r="AY436" s="2">
        <f>IF(ISERROR($B$436),"",IF(ISBLANK($B$436),"",$B$436))</f>
        <v/>
      </c>
      <c r="BF436" s="2">
        <f>ISERROR($B$436)*1</f>
        <v/>
      </c>
    </row>
    <row r="437" ht="60" customHeight="1">
      <c r="A437" s="21" t="inlineStr">
        <is>
          <t>69</t>
        </is>
      </c>
      <c r="B437" s="29" t="n"/>
      <c r="C437" s="25" t="n"/>
      <c r="D437" s="17" t="n"/>
      <c r="K437" s="19">
        <f>IF(BF437&gt;0,"O Google leu como fórmula: digite de novo com ' na frente.","")</f>
        <v/>
      </c>
      <c r="AW437" s="2">
        <f>AW436+IF(LEN($AY$437)&gt;0,1,0)</f>
        <v/>
      </c>
      <c r="AY437" s="2">
        <f>IF(ISERROR($B$437),"",IF(ISBLANK($B$437),"",$B$437))</f>
        <v/>
      </c>
      <c r="BF437" s="2">
        <f>ISERROR($B$437)*1</f>
        <v/>
      </c>
    </row>
    <row r="438" ht="60" customHeight="1">
      <c r="A438" s="9" t="inlineStr">
        <is>
          <t>70</t>
        </is>
      </c>
      <c r="B438" s="4" t="n"/>
      <c r="C438" s="25" t="n"/>
      <c r="D438" s="17" t="n"/>
      <c r="K438" s="19">
        <f>IF(BF438&gt;0,"O Google leu como fórmula: digite de novo com ' na frente.","")</f>
        <v/>
      </c>
      <c r="AW438" s="2">
        <f>AW437+IF(LEN($AY$438)&gt;0,1,0)</f>
        <v/>
      </c>
      <c r="AY438" s="2">
        <f>IF(ISERROR($B$438),"",IF(ISBLANK($B$438),"",$B$438))</f>
        <v/>
      </c>
      <c r="BF438" s="2">
        <f>ISERROR($B$438)*1</f>
        <v/>
      </c>
    </row>
    <row r="439" ht="60" customHeight="1">
      <c r="A439" s="21" t="inlineStr">
        <is>
          <t>71</t>
        </is>
      </c>
      <c r="B439" s="29" t="n"/>
      <c r="C439" s="25" t="n"/>
      <c r="D439" s="17" t="n"/>
      <c r="K439" s="19">
        <f>IF(BF439&gt;0,"O Google leu como fórmula: digite de novo com ' na frente.","")</f>
        <v/>
      </c>
      <c r="AW439" s="2">
        <f>AW438+IF(LEN($AY$439)&gt;0,1,0)</f>
        <v/>
      </c>
      <c r="AY439" s="2">
        <f>IF(ISERROR($B$439),"",IF(ISBLANK($B$439),"",$B$439))</f>
        <v/>
      </c>
      <c r="BF439" s="2">
        <f>ISERROR($B$439)*1</f>
        <v/>
      </c>
    </row>
    <row r="440" ht="60" customHeight="1">
      <c r="A440" s="9" t="inlineStr">
        <is>
          <t>72</t>
        </is>
      </c>
      <c r="B440" s="4" t="n"/>
      <c r="C440" s="25" t="n"/>
      <c r="D440" s="17" t="n"/>
      <c r="K440" s="19">
        <f>IF(BF440&gt;0,"O Google leu como fórmula: digite de novo com ' na frente.","")</f>
        <v/>
      </c>
      <c r="AW440" s="2">
        <f>AW439+IF(LEN($AY$440)&gt;0,1,0)</f>
        <v/>
      </c>
      <c r="AY440" s="2">
        <f>IF(ISERROR($B$440),"",IF(ISBLANK($B$440),"",$B$440))</f>
        <v/>
      </c>
      <c r="BF440" s="2">
        <f>ISERROR($B$440)*1</f>
        <v/>
      </c>
    </row>
    <row r="441" ht="60" customHeight="1">
      <c r="A441" s="21" t="inlineStr">
        <is>
          <t>73</t>
        </is>
      </c>
      <c r="B441" s="29" t="n"/>
      <c r="C441" s="25" t="n"/>
      <c r="D441" s="17" t="n"/>
      <c r="K441" s="19">
        <f>IF(BF441&gt;0,"O Google leu como fórmula: digite de novo com ' na frente.","")</f>
        <v/>
      </c>
      <c r="AW441" s="2">
        <f>AW440+IF(LEN($AY$441)&gt;0,1,0)</f>
        <v/>
      </c>
      <c r="AY441" s="2">
        <f>IF(ISERROR($B$441),"",IF(ISBLANK($B$441),"",$B$441))</f>
        <v/>
      </c>
      <c r="BF441" s="2">
        <f>ISERROR($B$441)*1</f>
        <v/>
      </c>
    </row>
    <row r="442" ht="60" customHeight="1">
      <c r="A442" s="9" t="inlineStr">
        <is>
          <t>74</t>
        </is>
      </c>
      <c r="B442" s="4" t="n"/>
      <c r="C442" s="25" t="n"/>
      <c r="D442" s="17" t="n"/>
      <c r="K442" s="19">
        <f>IF(BF442&gt;0,"O Google leu como fórmula: digite de novo com ' na frente.","")</f>
        <v/>
      </c>
      <c r="AW442" s="2">
        <f>AW441+IF(LEN($AY$442)&gt;0,1,0)</f>
        <v/>
      </c>
      <c r="AY442" s="2">
        <f>IF(ISERROR($B$442),"",IF(ISBLANK($B$442),"",$B$442))</f>
        <v/>
      </c>
      <c r="BF442" s="2">
        <f>ISERROR($B$442)*1</f>
        <v/>
      </c>
    </row>
    <row r="443" ht="60" customHeight="1">
      <c r="A443" s="21" t="inlineStr">
        <is>
          <t>75</t>
        </is>
      </c>
      <c r="B443" s="29" t="n"/>
      <c r="C443" s="25" t="n"/>
      <c r="D443" s="17" t="n"/>
      <c r="K443" s="19">
        <f>IF(BF443&gt;0,"O Google leu como fórmula: digite de novo com ' na frente.","")</f>
        <v/>
      </c>
      <c r="AW443" s="2">
        <f>AW442+IF(LEN($AY$443)&gt;0,1,0)</f>
        <v/>
      </c>
      <c r="AY443" s="2">
        <f>IF(ISERROR($B$443),"",IF(ISBLANK($B$443),"",$B$443))</f>
        <v/>
      </c>
      <c r="BF443" s="2">
        <f>ISERROR($B$443)*1</f>
        <v/>
      </c>
    </row>
    <row r="444" ht="60" customHeight="1">
      <c r="A444" s="9" t="inlineStr">
        <is>
          <t>76</t>
        </is>
      </c>
      <c r="B444" s="4" t="n"/>
      <c r="C444" s="25" t="n"/>
      <c r="D444" s="17" t="n"/>
      <c r="K444" s="19">
        <f>IF(BF444&gt;0,"O Google leu como fórmula: digite de novo com ' na frente.","")</f>
        <v/>
      </c>
      <c r="AW444" s="2">
        <f>AW443+IF(LEN($AY$444)&gt;0,1,0)</f>
        <v/>
      </c>
      <c r="AY444" s="2">
        <f>IF(ISERROR($B$444),"",IF(ISBLANK($B$444),"",$B$444))</f>
        <v/>
      </c>
      <c r="BF444" s="2">
        <f>ISERROR($B$444)*1</f>
        <v/>
      </c>
    </row>
    <row r="445" ht="60" customHeight="1">
      <c r="A445" s="21" t="inlineStr">
        <is>
          <t>77</t>
        </is>
      </c>
      <c r="B445" s="29" t="n"/>
      <c r="C445" s="25" t="n"/>
      <c r="D445" s="17" t="n"/>
      <c r="K445" s="19">
        <f>IF(BF445&gt;0,"O Google leu como fórmula: digite de novo com ' na frente.","")</f>
        <v/>
      </c>
      <c r="AW445" s="2">
        <f>AW444+IF(LEN($AY$445)&gt;0,1,0)</f>
        <v/>
      </c>
      <c r="AY445" s="2">
        <f>IF(ISERROR($B$445),"",IF(ISBLANK($B$445),"",$B$445))</f>
        <v/>
      </c>
      <c r="BF445" s="2">
        <f>ISERROR($B$445)*1</f>
        <v/>
      </c>
    </row>
    <row r="446" ht="60" customHeight="1">
      <c r="A446" s="9" t="inlineStr">
        <is>
          <t>78</t>
        </is>
      </c>
      <c r="B446" s="4" t="n"/>
      <c r="C446" s="25" t="n"/>
      <c r="D446" s="17" t="n"/>
      <c r="K446" s="19">
        <f>IF(BF446&gt;0,"O Google leu como fórmula: digite de novo com ' na frente.","")</f>
        <v/>
      </c>
      <c r="AW446" s="2">
        <f>AW445+IF(LEN($AY$446)&gt;0,1,0)</f>
        <v/>
      </c>
      <c r="AY446" s="2">
        <f>IF(ISERROR($B$446),"",IF(ISBLANK($B$446),"",$B$446))</f>
        <v/>
      </c>
      <c r="BF446" s="2">
        <f>ISERROR($B$446)*1</f>
        <v/>
      </c>
    </row>
    <row r="447">
      <c r="A447" s="8" t="inlineStr">
        <is>
          <t>Vagas 79–91</t>
        </is>
      </c>
      <c r="B447" s="8" t="inlineStr">
        <is>
          <t>Tabela 10</t>
        </is>
      </c>
      <c r="C447" s="20" t="n"/>
      <c r="D447" s="20" t="n"/>
      <c r="AW447" s="2">
        <f>AW446</f>
        <v/>
      </c>
      <c r="AY447" s="2">
        <f>IF(ISERROR($B$447),"",IF(ISBLANK($B$447),"",$B$447))</f>
        <v/>
      </c>
    </row>
    <row r="448" ht="60" customHeight="1">
      <c r="A448" s="9" t="inlineStr">
        <is>
          <t>79</t>
        </is>
      </c>
      <c r="B448" s="4" t="n"/>
      <c r="C448" s="25" t="n"/>
      <c r="D448" s="17" t="n"/>
      <c r="K448" s="19">
        <f>IF(BF448&gt;0,"O Google leu como fórmula: digite de novo com ' na frente.","")</f>
        <v/>
      </c>
      <c r="AW448" s="2">
        <f>AW447+IF(LEN($AY$448)&gt;0,1,0)</f>
        <v/>
      </c>
      <c r="AY448" s="2">
        <f>IF(ISERROR($B$448),"",IF(ISBLANK($B$448),"",$B$448))</f>
        <v/>
      </c>
      <c r="BF448" s="2">
        <f>ISERROR($B$448)*1</f>
        <v/>
      </c>
    </row>
    <row r="449" ht="60" customHeight="1">
      <c r="A449" s="21" t="inlineStr">
        <is>
          <t>80</t>
        </is>
      </c>
      <c r="B449" s="29" t="n"/>
      <c r="C449" s="25" t="n"/>
      <c r="D449" s="17" t="n"/>
      <c r="K449" s="19">
        <f>IF(BF449&gt;0,"O Google leu como fórmula: digite de novo com ' na frente.","")</f>
        <v/>
      </c>
      <c r="AW449" s="2">
        <f>AW448+IF(LEN($AY$449)&gt;0,1,0)</f>
        <v/>
      </c>
      <c r="AY449" s="2">
        <f>IF(ISERROR($B$449),"",IF(ISBLANK($B$449),"",$B$449))</f>
        <v/>
      </c>
      <c r="BF449" s="2">
        <f>ISERROR($B$449)*1</f>
        <v/>
      </c>
    </row>
    <row r="450" ht="60" customHeight="1">
      <c r="A450" s="9" t="inlineStr">
        <is>
          <t>81</t>
        </is>
      </c>
      <c r="B450" s="4" t="n"/>
      <c r="C450" s="25" t="n"/>
      <c r="D450" s="17" t="n"/>
      <c r="K450" s="19">
        <f>IF(BF450&gt;0,"O Google leu como fórmula: digite de novo com ' na frente.","")</f>
        <v/>
      </c>
      <c r="AW450" s="2">
        <f>AW449+IF(LEN($AY$450)&gt;0,1,0)</f>
        <v/>
      </c>
      <c r="AY450" s="2">
        <f>IF(ISERROR($B$450),"",IF(ISBLANK($B$450),"",$B$450))</f>
        <v/>
      </c>
      <c r="BF450" s="2">
        <f>ISERROR($B$450)*1</f>
        <v/>
      </c>
    </row>
    <row r="451" ht="60" customHeight="1">
      <c r="A451" s="21" t="inlineStr">
        <is>
          <t>82</t>
        </is>
      </c>
      <c r="B451" s="29" t="n"/>
      <c r="C451" s="25" t="n"/>
      <c r="D451" s="17" t="n"/>
      <c r="K451" s="19">
        <f>IF(BF451&gt;0,"O Google leu como fórmula: digite de novo com ' na frente.","")</f>
        <v/>
      </c>
      <c r="AW451" s="2">
        <f>AW450+IF(LEN($AY$451)&gt;0,1,0)</f>
        <v/>
      </c>
      <c r="AY451" s="2">
        <f>IF(ISERROR($B$451),"",IF(ISBLANK($B$451),"",$B$451))</f>
        <v/>
      </c>
      <c r="BF451" s="2">
        <f>ISERROR($B$451)*1</f>
        <v/>
      </c>
    </row>
    <row r="452" ht="60" customHeight="1">
      <c r="A452" s="9" t="inlineStr">
        <is>
          <t>83</t>
        </is>
      </c>
      <c r="B452" s="4" t="n"/>
      <c r="C452" s="25" t="n"/>
      <c r="D452" s="17" t="n"/>
      <c r="K452" s="19">
        <f>IF(BF452&gt;0,"O Google leu como fórmula: digite de novo com ' na frente.","")</f>
        <v/>
      </c>
      <c r="AW452" s="2">
        <f>AW451+IF(LEN($AY$452)&gt;0,1,0)</f>
        <v/>
      </c>
      <c r="AY452" s="2">
        <f>IF(ISERROR($B$452),"",IF(ISBLANK($B$452),"",$B$452))</f>
        <v/>
      </c>
      <c r="BF452" s="2">
        <f>ISERROR($B$452)*1</f>
        <v/>
      </c>
    </row>
    <row r="453" ht="60" customHeight="1">
      <c r="A453" s="21" t="inlineStr">
        <is>
          <t>84</t>
        </is>
      </c>
      <c r="B453" s="29" t="n"/>
      <c r="C453" s="25" t="n"/>
      <c r="D453" s="17" t="n"/>
      <c r="K453" s="19">
        <f>IF(BF453&gt;0,"O Google leu como fórmula: digite de novo com ' na frente.","")</f>
        <v/>
      </c>
      <c r="AW453" s="2">
        <f>AW452+IF(LEN($AY$453)&gt;0,1,0)</f>
        <v/>
      </c>
      <c r="AY453" s="2">
        <f>IF(ISERROR($B$453),"",IF(ISBLANK($B$453),"",$B$453))</f>
        <v/>
      </c>
      <c r="BF453" s="2">
        <f>ISERROR($B$453)*1</f>
        <v/>
      </c>
    </row>
    <row r="454" ht="60" customHeight="1">
      <c r="A454" s="9" t="inlineStr">
        <is>
          <t>85</t>
        </is>
      </c>
      <c r="B454" s="4" t="n"/>
      <c r="C454" s="25" t="n"/>
      <c r="D454" s="17" t="n"/>
      <c r="K454" s="19">
        <f>IF(BF454&gt;0,"O Google leu como fórmula: digite de novo com ' na frente.","")</f>
        <v/>
      </c>
      <c r="AW454" s="2">
        <f>AW453+IF(LEN($AY$454)&gt;0,1,0)</f>
        <v/>
      </c>
      <c r="AY454" s="2">
        <f>IF(ISERROR($B$454),"",IF(ISBLANK($B$454),"",$B$454))</f>
        <v/>
      </c>
      <c r="BF454" s="2">
        <f>ISERROR($B$454)*1</f>
        <v/>
      </c>
    </row>
    <row r="455" ht="60" customHeight="1">
      <c r="A455" s="21" t="inlineStr">
        <is>
          <t>86</t>
        </is>
      </c>
      <c r="B455" s="29" t="n"/>
      <c r="C455" s="25" t="n"/>
      <c r="D455" s="17" t="n"/>
      <c r="K455" s="19">
        <f>IF(BF455&gt;0,"O Google leu como fórmula: digite de novo com ' na frente.","")</f>
        <v/>
      </c>
      <c r="AW455" s="2">
        <f>AW454+IF(LEN($AY$455)&gt;0,1,0)</f>
        <v/>
      </c>
      <c r="AY455" s="2">
        <f>IF(ISERROR($B$455),"",IF(ISBLANK($B$455),"",$B$455))</f>
        <v/>
      </c>
      <c r="BF455" s="2">
        <f>ISERROR($B$455)*1</f>
        <v/>
      </c>
    </row>
    <row r="456" ht="60" customHeight="1">
      <c r="A456" s="9" t="inlineStr">
        <is>
          <t>87</t>
        </is>
      </c>
      <c r="B456" s="4" t="n"/>
      <c r="C456" s="25" t="n"/>
      <c r="D456" s="17" t="n"/>
      <c r="K456" s="19">
        <f>IF(BF456&gt;0,"O Google leu como fórmula: digite de novo com ' na frente.","")</f>
        <v/>
      </c>
      <c r="AW456" s="2">
        <f>AW455+IF(LEN($AY$456)&gt;0,1,0)</f>
        <v/>
      </c>
      <c r="AY456" s="2">
        <f>IF(ISERROR($B$456),"",IF(ISBLANK($B$456),"",$B$456))</f>
        <v/>
      </c>
      <c r="BF456" s="2">
        <f>ISERROR($B$456)*1</f>
        <v/>
      </c>
    </row>
    <row r="457" ht="60" customHeight="1">
      <c r="A457" s="21" t="inlineStr">
        <is>
          <t>88</t>
        </is>
      </c>
      <c r="B457" s="29" t="n"/>
      <c r="C457" s="25" t="n"/>
      <c r="D457" s="17" t="n"/>
      <c r="K457" s="19">
        <f>IF(BF457&gt;0,"O Google leu como fórmula: digite de novo com ' na frente.","")</f>
        <v/>
      </c>
      <c r="AW457" s="2">
        <f>AW456+IF(LEN($AY$457)&gt;0,1,0)</f>
        <v/>
      </c>
      <c r="AY457" s="2">
        <f>IF(ISERROR($B$457),"",IF(ISBLANK($B$457),"",$B$457))</f>
        <v/>
      </c>
      <c r="BF457" s="2">
        <f>ISERROR($B$457)*1</f>
        <v/>
      </c>
    </row>
    <row r="458" ht="60" customHeight="1">
      <c r="A458" s="9" t="inlineStr">
        <is>
          <t>89</t>
        </is>
      </c>
      <c r="B458" s="4" t="n"/>
      <c r="C458" s="25" t="n"/>
      <c r="D458" s="17" t="n"/>
      <c r="K458" s="19">
        <f>IF(BF458&gt;0,"O Google leu como fórmula: digite de novo com ' na frente.","")</f>
        <v/>
      </c>
      <c r="AW458" s="2">
        <f>AW457+IF(LEN($AY$458)&gt;0,1,0)</f>
        <v/>
      </c>
      <c r="AY458" s="2">
        <f>IF(ISERROR($B$458),"",IF(ISBLANK($B$458),"",$B$458))</f>
        <v/>
      </c>
      <c r="BF458" s="2">
        <f>ISERROR($B$458)*1</f>
        <v/>
      </c>
    </row>
    <row r="459" ht="60" customHeight="1">
      <c r="A459" s="21" t="inlineStr">
        <is>
          <t>90</t>
        </is>
      </c>
      <c r="B459" s="29" t="n"/>
      <c r="C459" s="25" t="n"/>
      <c r="D459" s="17" t="n"/>
      <c r="K459" s="19">
        <f>IF(BF459&gt;0,"O Google leu como fórmula: digite de novo com ' na frente.","")</f>
        <v/>
      </c>
      <c r="AW459" s="2">
        <f>AW458+IF(LEN($AY$459)&gt;0,1,0)</f>
        <v/>
      </c>
      <c r="AY459" s="2">
        <f>IF(ISERROR($B$459),"",IF(ISBLANK($B$459),"",$B$459))</f>
        <v/>
      </c>
      <c r="BF459" s="2">
        <f>ISERROR($B$459)*1</f>
        <v/>
      </c>
    </row>
    <row r="460" ht="60" customHeight="1">
      <c r="A460" s="9" t="inlineStr">
        <is>
          <t>91</t>
        </is>
      </c>
      <c r="B460" s="4" t="n"/>
      <c r="C460" s="25" t="n"/>
      <c r="D460" s="17" t="n"/>
      <c r="K460" s="19">
        <f>IF(BF460&gt;0,"O Google leu como fórmula: digite de novo com ' na frente.","")</f>
        <v/>
      </c>
      <c r="AW460" s="2">
        <f>AW459+IF(LEN($AY$460)&gt;0,1,0)</f>
        <v/>
      </c>
      <c r="AY460" s="2">
        <f>IF(ISERROR($B$460),"",IF(ISBLANK($B$460),"",$B$460))</f>
        <v/>
      </c>
      <c r="BF460" s="2">
        <f>ISERROR($B$460)*1</f>
        <v/>
      </c>
    </row>
    <row r="461">
      <c r="A461" s="8" t="inlineStr">
        <is>
          <t>Vagas 92–100</t>
        </is>
      </c>
      <c r="B461" s="8" t="inlineStr">
        <is>
          <t>Tabela 10</t>
        </is>
      </c>
      <c r="C461" s="20" t="n"/>
      <c r="D461" s="20" t="n"/>
      <c r="AW461" s="2">
        <f>AW460</f>
        <v/>
      </c>
      <c r="AY461" s="2">
        <f>IF(ISERROR($B$461),"",IF(ISBLANK($B$461),"",$B$461))</f>
        <v/>
      </c>
    </row>
    <row r="462" ht="60" customHeight="1">
      <c r="A462" s="9" t="inlineStr">
        <is>
          <t>92</t>
        </is>
      </c>
      <c r="B462" s="4" t="n"/>
      <c r="C462" s="25" t="n"/>
      <c r="D462" s="17" t="n"/>
      <c r="K462" s="19">
        <f>IF(BF462&gt;0,"O Google leu como fórmula: digite de novo com ' na frente.","")</f>
        <v/>
      </c>
      <c r="AW462" s="2">
        <f>AW461+IF(LEN($AY$462)&gt;0,1,0)</f>
        <v/>
      </c>
      <c r="AY462" s="2">
        <f>IF(ISERROR($B$462),"",IF(ISBLANK($B$462),"",$B$462))</f>
        <v/>
      </c>
      <c r="BF462" s="2">
        <f>ISERROR($B$462)*1</f>
        <v/>
      </c>
    </row>
    <row r="463" ht="60" customHeight="1">
      <c r="A463" s="21" t="inlineStr">
        <is>
          <t>93</t>
        </is>
      </c>
      <c r="B463" s="29" t="n"/>
      <c r="C463" s="25" t="n"/>
      <c r="D463" s="17" t="n"/>
      <c r="K463" s="19">
        <f>IF(BF463&gt;0,"O Google leu como fórmula: digite de novo com ' na frente.","")</f>
        <v/>
      </c>
      <c r="AW463" s="2">
        <f>AW462+IF(LEN($AY$463)&gt;0,1,0)</f>
        <v/>
      </c>
      <c r="AY463" s="2">
        <f>IF(ISERROR($B$463),"",IF(ISBLANK($B$463),"",$B$463))</f>
        <v/>
      </c>
      <c r="BF463" s="2">
        <f>ISERROR($B$463)*1</f>
        <v/>
      </c>
    </row>
    <row r="464" ht="60" customHeight="1">
      <c r="A464" s="9" t="inlineStr">
        <is>
          <t>94</t>
        </is>
      </c>
      <c r="B464" s="4" t="n"/>
      <c r="C464" s="25" t="n"/>
      <c r="D464" s="17" t="n"/>
      <c r="K464" s="19">
        <f>IF(BF464&gt;0,"O Google leu como fórmula: digite de novo com ' na frente.","")</f>
        <v/>
      </c>
      <c r="AW464" s="2">
        <f>AW463+IF(LEN($AY$464)&gt;0,1,0)</f>
        <v/>
      </c>
      <c r="AY464" s="2">
        <f>IF(ISERROR($B$464),"",IF(ISBLANK($B$464),"",$B$464))</f>
        <v/>
      </c>
      <c r="BF464" s="2">
        <f>ISERROR($B$464)*1</f>
        <v/>
      </c>
    </row>
    <row r="465" ht="60" customHeight="1">
      <c r="A465" s="21" t="inlineStr">
        <is>
          <t>95</t>
        </is>
      </c>
      <c r="B465" s="29" t="n"/>
      <c r="C465" s="25" t="n"/>
      <c r="D465" s="17" t="n"/>
      <c r="K465" s="19">
        <f>IF(BF465&gt;0,"O Google leu como fórmula: digite de novo com ' na frente.","")</f>
        <v/>
      </c>
      <c r="AW465" s="2">
        <f>AW464+IF(LEN($AY$465)&gt;0,1,0)</f>
        <v/>
      </c>
      <c r="AY465" s="2">
        <f>IF(ISERROR($B$465),"",IF(ISBLANK($B$465),"",$B$465))</f>
        <v/>
      </c>
      <c r="BF465" s="2">
        <f>ISERROR($B$465)*1</f>
        <v/>
      </c>
    </row>
    <row r="466" ht="60" customHeight="1">
      <c r="A466" s="9" t="inlineStr">
        <is>
          <t>96</t>
        </is>
      </c>
      <c r="B466" s="4" t="n"/>
      <c r="C466" s="25" t="n"/>
      <c r="D466" s="17" t="n"/>
      <c r="K466" s="19">
        <f>IF(BF466&gt;0,"O Google leu como fórmula: digite de novo com ' na frente.","")</f>
        <v/>
      </c>
      <c r="AW466" s="2">
        <f>AW465+IF(LEN($AY$466)&gt;0,1,0)</f>
        <v/>
      </c>
      <c r="AY466" s="2">
        <f>IF(ISERROR($B$466),"",IF(ISBLANK($B$466),"",$B$466))</f>
        <v/>
      </c>
      <c r="BF466" s="2">
        <f>ISERROR($B$466)*1</f>
        <v/>
      </c>
    </row>
    <row r="467" ht="60" customHeight="1">
      <c r="A467" s="21" t="inlineStr">
        <is>
          <t>97</t>
        </is>
      </c>
      <c r="B467" s="29" t="n"/>
      <c r="C467" s="25" t="n"/>
      <c r="D467" s="17" t="n"/>
      <c r="K467" s="19">
        <f>IF(BF467&gt;0,"O Google leu como fórmula: digite de novo com ' na frente.","")</f>
        <v/>
      </c>
      <c r="AW467" s="2">
        <f>AW466+IF(LEN($AY$467)&gt;0,1,0)</f>
        <v/>
      </c>
      <c r="AY467" s="2">
        <f>IF(ISERROR($B$467),"",IF(ISBLANK($B$467),"",$B$467))</f>
        <v/>
      </c>
      <c r="BF467" s="2">
        <f>ISERROR($B$467)*1</f>
        <v/>
      </c>
    </row>
    <row r="468" ht="60" customHeight="1">
      <c r="A468" s="9" t="inlineStr">
        <is>
          <t>98</t>
        </is>
      </c>
      <c r="B468" s="4" t="n"/>
      <c r="C468" s="25" t="n"/>
      <c r="D468" s="17" t="n"/>
      <c r="K468" s="19">
        <f>IF(BF468&gt;0,"O Google leu como fórmula: digite de novo com ' na frente.","")</f>
        <v/>
      </c>
      <c r="AW468" s="2">
        <f>AW467+IF(LEN($AY$468)&gt;0,1,0)</f>
        <v/>
      </c>
      <c r="AY468" s="2">
        <f>IF(ISERROR($B$468),"",IF(ISBLANK($B$468),"",$B$468))</f>
        <v/>
      </c>
      <c r="BF468" s="2">
        <f>ISERROR($B$468)*1</f>
        <v/>
      </c>
    </row>
    <row r="469" ht="60" customHeight="1">
      <c r="A469" s="21" t="inlineStr">
        <is>
          <t>99</t>
        </is>
      </c>
      <c r="B469" s="29" t="n"/>
      <c r="C469" s="25" t="n"/>
      <c r="D469" s="17" t="n"/>
      <c r="K469" s="19">
        <f>IF(BF469&gt;0,"O Google leu como fórmula: digite de novo com ' na frente.","")</f>
        <v/>
      </c>
      <c r="AW469" s="2">
        <f>AW468+IF(LEN($AY$469)&gt;0,1,0)</f>
        <v/>
      </c>
      <c r="AY469" s="2">
        <f>IF(ISERROR($B$469),"",IF(ISBLANK($B$469),"",$B$469))</f>
        <v/>
      </c>
      <c r="BF469" s="2">
        <f>ISERROR($B$469)*1</f>
        <v/>
      </c>
    </row>
    <row r="470" ht="60" customHeight="1">
      <c r="A470" s="9" t="inlineStr">
        <is>
          <t>100</t>
        </is>
      </c>
      <c r="B470" s="4" t="n"/>
      <c r="C470" s="25" t="n"/>
      <c r="D470" s="17" t="n"/>
      <c r="K470" s="19">
        <f>IF(BF470&gt;0,"O Google leu como fórmula: digite de novo com ' na frente.","")</f>
        <v/>
      </c>
      <c r="AW470" s="2">
        <f>AW469+IF(LEN($AY$470)&gt;0,1,0)</f>
        <v/>
      </c>
      <c r="AY470" s="2">
        <f>IF(ISERROR($B$470),"",IF(ISBLANK($B$470),"",$B$470))</f>
        <v/>
      </c>
      <c r="BF470" s="2">
        <f>ISERROR($B$470)*1</f>
        <v/>
      </c>
    </row>
  </sheetData>
  <mergeCells count="1522">
    <mergeCell ref="B231:D231"/>
    <mergeCell ref="H238:J238"/>
    <mergeCell ref="H109:J109"/>
    <mergeCell ref="K302:L302"/>
    <mergeCell ref="H75:J75"/>
    <mergeCell ref="E250:G250"/>
    <mergeCell ref="H111:J111"/>
    <mergeCell ref="B241:D241"/>
    <mergeCell ref="H104:J104"/>
    <mergeCell ref="B213:D213"/>
    <mergeCell ref="E285:G285"/>
    <mergeCell ref="B242:D242"/>
    <mergeCell ref="K328:L328"/>
    <mergeCell ref="E278:G278"/>
    <mergeCell ref="B208:D208"/>
    <mergeCell ref="K172:L172"/>
    <mergeCell ref="E92:G92"/>
    <mergeCell ref="B210:D210"/>
    <mergeCell ref="H164:J164"/>
    <mergeCell ref="E311:G311"/>
    <mergeCell ref="E304:G304"/>
    <mergeCell ref="H305:J305"/>
    <mergeCell ref="B29:J29"/>
    <mergeCell ref="B137:D137"/>
    <mergeCell ref="E296:G296"/>
    <mergeCell ref="B16:E16"/>
    <mergeCell ref="K41:L41"/>
    <mergeCell ref="E306:G306"/>
    <mergeCell ref="B139:D139"/>
    <mergeCell ref="K470:L470"/>
    <mergeCell ref="K43:L43"/>
    <mergeCell ref="K341:L341"/>
    <mergeCell ref="B11:E11"/>
    <mergeCell ref="H175:J175"/>
    <mergeCell ref="B321:D321"/>
    <mergeCell ref="E322:G322"/>
    <mergeCell ref="H176:J176"/>
    <mergeCell ref="E324:G324"/>
    <mergeCell ref="K183:L183"/>
    <mergeCell ref="H178:J178"/>
    <mergeCell ref="K54:L54"/>
    <mergeCell ref="E319:G319"/>
    <mergeCell ref="K244:L244"/>
    <mergeCell ref="K271:L271"/>
    <mergeCell ref="H203:J203"/>
    <mergeCell ref="K237:L237"/>
    <mergeCell ref="H105:J105"/>
    <mergeCell ref="K273:L273"/>
    <mergeCell ref="H71:J71"/>
    <mergeCell ref="E246:G246"/>
    <mergeCell ref="K239:L239"/>
    <mergeCell ref="H107:J107"/>
    <mergeCell ref="E37:G37"/>
    <mergeCell ref="E248:G248"/>
    <mergeCell ref="H231:J231"/>
    <mergeCell ref="K268:L268"/>
    <mergeCell ref="E247:G247"/>
    <mergeCell ref="H102:J102"/>
    <mergeCell ref="B238:D238"/>
    <mergeCell ref="K255:L255"/>
    <mergeCell ref="K413:L413"/>
    <mergeCell ref="B240:D240"/>
    <mergeCell ref="H133:J133"/>
    <mergeCell ref="H247:J247"/>
    <mergeCell ref="K415:L415"/>
    <mergeCell ref="E90:G90"/>
    <mergeCell ref="K110:L110"/>
    <mergeCell ref="K286:L286"/>
    <mergeCell ref="H128:J128"/>
    <mergeCell ref="E119:G119"/>
    <mergeCell ref="K410:L410"/>
    <mergeCell ref="E91:G91"/>
    <mergeCell ref="E85:G85"/>
    <mergeCell ref="B266:D266"/>
    <mergeCell ref="K12:L12"/>
    <mergeCell ref="E302:G302"/>
    <mergeCell ref="E93:G93"/>
    <mergeCell ref="B268:D268"/>
    <mergeCell ref="B224:D224"/>
    <mergeCell ref="K39:L39"/>
    <mergeCell ref="K14:L14"/>
    <mergeCell ref="H275:J275"/>
    <mergeCell ref="K312:L312"/>
    <mergeCell ref="B261:D261"/>
    <mergeCell ref="H146:J146"/>
    <mergeCell ref="B22:J22"/>
    <mergeCell ref="K339:L339"/>
    <mergeCell ref="K314:L314"/>
    <mergeCell ref="B250:D250"/>
    <mergeCell ref="B408:D408"/>
    <mergeCell ref="H174:J174"/>
    <mergeCell ref="E104:G104"/>
    <mergeCell ref="B279:D279"/>
    <mergeCell ref="K50:L50"/>
    <mergeCell ref="E315:G315"/>
    <mergeCell ref="K181:L181"/>
    <mergeCell ref="B281:D281"/>
    <mergeCell ref="K58:L58"/>
    <mergeCell ref="K52:L52"/>
    <mergeCell ref="H288:J288"/>
    <mergeCell ref="K350:L350"/>
    <mergeCell ref="K352:L352"/>
    <mergeCell ref="H78:J78"/>
    <mergeCell ref="H200:J200"/>
    <mergeCell ref="K53:L53"/>
    <mergeCell ref="H44:J44"/>
    <mergeCell ref="H202:J202"/>
    <mergeCell ref="E35:G35"/>
    <mergeCell ref="B332:D332"/>
    <mergeCell ref="K78:L78"/>
    <mergeCell ref="H73:J73"/>
    <mergeCell ref="K376:L376"/>
    <mergeCell ref="B175:D175"/>
    <mergeCell ref="K80:L80"/>
    <mergeCell ref="K384:L384"/>
    <mergeCell ref="K378:L378"/>
    <mergeCell ref="A3:L3"/>
    <mergeCell ref="E59:G59"/>
    <mergeCell ref="K79:L79"/>
    <mergeCell ref="A5:L5"/>
    <mergeCell ref="E61:G61"/>
    <mergeCell ref="E359:G359"/>
    <mergeCell ref="K379:L379"/>
    <mergeCell ref="H124:J124"/>
    <mergeCell ref="E54:G54"/>
    <mergeCell ref="H213:J213"/>
    <mergeCell ref="B45:D45"/>
    <mergeCell ref="K406:L406"/>
    <mergeCell ref="B343:D343"/>
    <mergeCell ref="H126:J126"/>
    <mergeCell ref="E56:G56"/>
    <mergeCell ref="K220:L220"/>
    <mergeCell ref="H215:J215"/>
    <mergeCell ref="B47:D47"/>
    <mergeCell ref="B351:D351"/>
    <mergeCell ref="B345:D345"/>
    <mergeCell ref="K437:L437"/>
    <mergeCell ref="B264:D264"/>
    <mergeCell ref="B46:D46"/>
    <mergeCell ref="K222:L222"/>
    <mergeCell ref="K10:L10"/>
    <mergeCell ref="H271:J271"/>
    <mergeCell ref="K124:L124"/>
    <mergeCell ref="B48:D48"/>
    <mergeCell ref="B346:D346"/>
    <mergeCell ref="K310:L310"/>
    <mergeCell ref="K432:L432"/>
    <mergeCell ref="H108:J108"/>
    <mergeCell ref="K424:L424"/>
    <mergeCell ref="H144:J144"/>
    <mergeCell ref="H266:J266"/>
    <mergeCell ref="A18:L18"/>
    <mergeCell ref="H302:J302"/>
    <mergeCell ref="B371:D371"/>
    <mergeCell ref="H268:J268"/>
    <mergeCell ref="K150:L150"/>
    <mergeCell ref="E100:G100"/>
    <mergeCell ref="H139:J139"/>
    <mergeCell ref="B275:D275"/>
    <mergeCell ref="E136:G136"/>
    <mergeCell ref="B406:D406"/>
    <mergeCell ref="K450:L450"/>
    <mergeCell ref="E102:G102"/>
    <mergeCell ref="B277:D277"/>
    <mergeCell ref="B399:D399"/>
    <mergeCell ref="H328:J328"/>
    <mergeCell ref="K145:L145"/>
    <mergeCell ref="H284:J284"/>
    <mergeCell ref="K452:L452"/>
    <mergeCell ref="E127:G127"/>
    <mergeCell ref="K147:L147"/>
    <mergeCell ref="H286:J286"/>
    <mergeCell ref="B117:D117"/>
    <mergeCell ref="E156:G156"/>
    <mergeCell ref="H279:J279"/>
    <mergeCell ref="E128:G128"/>
    <mergeCell ref="E155:G155"/>
    <mergeCell ref="B119:D119"/>
    <mergeCell ref="H281:J281"/>
    <mergeCell ref="B417:D417"/>
    <mergeCell ref="K163:L163"/>
    <mergeCell ref="E157:G157"/>
    <mergeCell ref="B112:D112"/>
    <mergeCell ref="B288:D288"/>
    <mergeCell ref="K380:L380"/>
    <mergeCell ref="B419:D419"/>
    <mergeCell ref="H312:J312"/>
    <mergeCell ref="B298:D298"/>
    <mergeCell ref="K165:L165"/>
    <mergeCell ref="K77:L77"/>
    <mergeCell ref="K375:L375"/>
    <mergeCell ref="E146:G146"/>
    <mergeCell ref="B443:D443"/>
    <mergeCell ref="E50:G50"/>
    <mergeCell ref="E298:G298"/>
    <mergeCell ref="H209:J209"/>
    <mergeCell ref="H184:J184"/>
    <mergeCell ref="E175:G175"/>
    <mergeCell ref="B445:D445"/>
    <mergeCell ref="E52:G52"/>
    <mergeCell ref="H211:J211"/>
    <mergeCell ref="K87:L87"/>
    <mergeCell ref="E352:G352"/>
    <mergeCell ref="K218:L218"/>
    <mergeCell ref="E170:G170"/>
    <mergeCell ref="K95:L95"/>
    <mergeCell ref="K393:L393"/>
    <mergeCell ref="B342:D342"/>
    <mergeCell ref="K88:L88"/>
    <mergeCell ref="E226:G226"/>
    <mergeCell ref="K219:L219"/>
    <mergeCell ref="H237:J237"/>
    <mergeCell ref="K90:L90"/>
    <mergeCell ref="E228:G228"/>
    <mergeCell ref="H351:J351"/>
    <mergeCell ref="B158:D158"/>
    <mergeCell ref="H239:J239"/>
    <mergeCell ref="B369:D369"/>
    <mergeCell ref="B160:D160"/>
    <mergeCell ref="K115:L115"/>
    <mergeCell ref="B368:D368"/>
    <mergeCell ref="B62:D62"/>
    <mergeCell ref="E223:G223"/>
    <mergeCell ref="H224:J224"/>
    <mergeCell ref="B72:D72"/>
    <mergeCell ref="B370:D370"/>
    <mergeCell ref="K116:L116"/>
    <mergeCell ref="E254:G254"/>
    <mergeCell ref="H255:J255"/>
    <mergeCell ref="K230:L230"/>
    <mergeCell ref="K118:L118"/>
    <mergeCell ref="K416:L416"/>
    <mergeCell ref="B88:D88"/>
    <mergeCell ref="H250:J250"/>
    <mergeCell ref="B82:D82"/>
    <mergeCell ref="E241:G241"/>
    <mergeCell ref="H283:J283"/>
    <mergeCell ref="H277:J277"/>
    <mergeCell ref="B388:D388"/>
    <mergeCell ref="K134:L134"/>
    <mergeCell ref="B83:D83"/>
    <mergeCell ref="H308:J308"/>
    <mergeCell ref="B110:D110"/>
    <mergeCell ref="B85:D85"/>
    <mergeCell ref="B383:D383"/>
    <mergeCell ref="H337:J337"/>
    <mergeCell ref="E267:G267"/>
    <mergeCell ref="H309:J309"/>
    <mergeCell ref="B439:D439"/>
    <mergeCell ref="H339:J339"/>
    <mergeCell ref="K156:L156"/>
    <mergeCell ref="E269:G269"/>
    <mergeCell ref="H180:J180"/>
    <mergeCell ref="H311:J311"/>
    <mergeCell ref="E171:G171"/>
    <mergeCell ref="H332:J332"/>
    <mergeCell ref="B441:D441"/>
    <mergeCell ref="K187:L187"/>
    <mergeCell ref="B136:D136"/>
    <mergeCell ref="E137:G137"/>
    <mergeCell ref="E173:G173"/>
    <mergeCell ref="B470:D470"/>
    <mergeCell ref="B15:E15"/>
    <mergeCell ref="K189:L189"/>
    <mergeCell ref="E166:G166"/>
    <mergeCell ref="B314:D314"/>
    <mergeCell ref="B436:D436"/>
    <mergeCell ref="K188:L188"/>
    <mergeCell ref="K182:L182"/>
    <mergeCell ref="E168:G168"/>
    <mergeCell ref="E199:G199"/>
    <mergeCell ref="H322:J322"/>
    <mergeCell ref="B154:D154"/>
    <mergeCell ref="E192:G192"/>
    <mergeCell ref="H53:J53"/>
    <mergeCell ref="H324:J324"/>
    <mergeCell ref="B156:D156"/>
    <mergeCell ref="B454:D454"/>
    <mergeCell ref="E219:G219"/>
    <mergeCell ref="B155:D155"/>
    <mergeCell ref="E194:G194"/>
    <mergeCell ref="H55:J55"/>
    <mergeCell ref="B149:D149"/>
    <mergeCell ref="K358:L358"/>
    <mergeCell ref="H353:J353"/>
    <mergeCell ref="B151:D151"/>
    <mergeCell ref="K226:L226"/>
    <mergeCell ref="K201:L201"/>
    <mergeCell ref="K114:L114"/>
    <mergeCell ref="B182:D182"/>
    <mergeCell ref="K228:L228"/>
    <mergeCell ref="H246:J246"/>
    <mergeCell ref="H37:J37"/>
    <mergeCell ref="H248:J248"/>
    <mergeCell ref="K130:L130"/>
    <mergeCell ref="B79:D79"/>
    <mergeCell ref="E238:G238"/>
    <mergeCell ref="K132:L132"/>
    <mergeCell ref="K254:L254"/>
    <mergeCell ref="K430:L430"/>
    <mergeCell ref="B81:D81"/>
    <mergeCell ref="K125:L125"/>
    <mergeCell ref="K283:L283"/>
    <mergeCell ref="B381:D381"/>
    <mergeCell ref="K127:L127"/>
    <mergeCell ref="H117:J117"/>
    <mergeCell ref="E265:G265"/>
    <mergeCell ref="K285:L285"/>
    <mergeCell ref="H119:J119"/>
    <mergeCell ref="E108:G108"/>
    <mergeCell ref="K272:L272"/>
    <mergeCell ref="E266:G266"/>
    <mergeCell ref="E260:G260"/>
    <mergeCell ref="B257:D257"/>
    <mergeCell ref="B92:D92"/>
    <mergeCell ref="K301:L301"/>
    <mergeCell ref="K178:L178"/>
    <mergeCell ref="B94:D94"/>
    <mergeCell ref="K303:L303"/>
    <mergeCell ref="K186:L186"/>
    <mergeCell ref="K269:L269"/>
    <mergeCell ref="K296:L296"/>
    <mergeCell ref="B125:D125"/>
    <mergeCell ref="E188:G188"/>
    <mergeCell ref="H320:J320"/>
    <mergeCell ref="E190:G190"/>
    <mergeCell ref="H51:J51"/>
    <mergeCell ref="B120:D120"/>
    <mergeCell ref="K354:L354"/>
    <mergeCell ref="H349:J349"/>
    <mergeCell ref="E279:G279"/>
    <mergeCell ref="H163:J163"/>
    <mergeCell ref="B147:D147"/>
    <mergeCell ref="B451:D451"/>
    <mergeCell ref="K356:L356"/>
    <mergeCell ref="K51:L51"/>
    <mergeCell ref="K349:L349"/>
    <mergeCell ref="H77:J77"/>
    <mergeCell ref="H33:J33"/>
    <mergeCell ref="B207:D207"/>
    <mergeCell ref="E330:G330"/>
    <mergeCell ref="B296:D296"/>
    <mergeCell ref="B173:D173"/>
    <mergeCell ref="K382:L382"/>
    <mergeCell ref="H35:J35"/>
    <mergeCell ref="E332:G332"/>
    <mergeCell ref="H333:J333"/>
    <mergeCell ref="B202:D202"/>
    <mergeCell ref="E203:G203"/>
    <mergeCell ref="H59:J59"/>
    <mergeCell ref="H89:J89"/>
    <mergeCell ref="K368:L368"/>
    <mergeCell ref="H61:J61"/>
    <mergeCell ref="H88:J88"/>
    <mergeCell ref="H359:J359"/>
    <mergeCell ref="B191:D191"/>
    <mergeCell ref="B349:D349"/>
    <mergeCell ref="E350:G350"/>
    <mergeCell ref="H90:J90"/>
    <mergeCell ref="E45:G45"/>
    <mergeCell ref="B226:D226"/>
    <mergeCell ref="B192:D192"/>
    <mergeCell ref="K395:L395"/>
    <mergeCell ref="B222:D222"/>
    <mergeCell ref="E345:G345"/>
    <mergeCell ref="B63:D63"/>
    <mergeCell ref="E264:G264"/>
    <mergeCell ref="B221:D221"/>
    <mergeCell ref="K263:L263"/>
    <mergeCell ref="K265:L265"/>
    <mergeCell ref="H143:J143"/>
    <mergeCell ref="B248:D248"/>
    <mergeCell ref="K294:L294"/>
    <mergeCell ref="K108:L108"/>
    <mergeCell ref="B116:D116"/>
    <mergeCell ref="K325:L325"/>
    <mergeCell ref="E275:G275"/>
    <mergeCell ref="B205:D205"/>
    <mergeCell ref="H159:J159"/>
    <mergeCell ref="K318:L318"/>
    <mergeCell ref="B118:D118"/>
    <mergeCell ref="K320:L320"/>
    <mergeCell ref="H154:J154"/>
    <mergeCell ref="H285:J285"/>
    <mergeCell ref="H162:J162"/>
    <mergeCell ref="E117:G117"/>
    <mergeCell ref="H156:J156"/>
    <mergeCell ref="A30:L30"/>
    <mergeCell ref="B292:D292"/>
    <mergeCell ref="K38:L38"/>
    <mergeCell ref="E303:G303"/>
    <mergeCell ref="K467:L467"/>
    <mergeCell ref="B294:D294"/>
    <mergeCell ref="B21:J21"/>
    <mergeCell ref="H157:J157"/>
    <mergeCell ref="K338:L338"/>
    <mergeCell ref="B287:D287"/>
    <mergeCell ref="E288:G288"/>
    <mergeCell ref="B23:J23"/>
    <mergeCell ref="K340:L340"/>
    <mergeCell ref="B289:D289"/>
    <mergeCell ref="K35:L35"/>
    <mergeCell ref="K333:L333"/>
    <mergeCell ref="H84:J84"/>
    <mergeCell ref="H304:J304"/>
    <mergeCell ref="K366:L366"/>
    <mergeCell ref="H86:J86"/>
    <mergeCell ref="B434:D434"/>
    <mergeCell ref="K180:L180"/>
    <mergeCell ref="B305:D305"/>
    <mergeCell ref="B190:D190"/>
    <mergeCell ref="K234:L234"/>
    <mergeCell ref="K392:L392"/>
    <mergeCell ref="B219:D219"/>
    <mergeCell ref="K236:L236"/>
    <mergeCell ref="H226:J226"/>
    <mergeCell ref="K394:L394"/>
    <mergeCell ref="E69:G69"/>
    <mergeCell ref="H228:J228"/>
    <mergeCell ref="B333:D333"/>
    <mergeCell ref="E77:G77"/>
    <mergeCell ref="H99:J99"/>
    <mergeCell ref="B360:D360"/>
    <mergeCell ref="B201:D201"/>
    <mergeCell ref="B239:D239"/>
    <mergeCell ref="K106:L106"/>
    <mergeCell ref="H101:J101"/>
    <mergeCell ref="K404:L404"/>
    <mergeCell ref="E72:G72"/>
    <mergeCell ref="K105:L105"/>
    <mergeCell ref="B203:D203"/>
    <mergeCell ref="H254:J254"/>
    <mergeCell ref="K316:L316"/>
    <mergeCell ref="K107:L107"/>
    <mergeCell ref="B232:D232"/>
    <mergeCell ref="H125:J125"/>
    <mergeCell ref="H256:J256"/>
    <mergeCell ref="K407:L407"/>
    <mergeCell ref="E88:G88"/>
    <mergeCell ref="H127:J127"/>
    <mergeCell ref="E82:G82"/>
    <mergeCell ref="B263:D263"/>
    <mergeCell ref="E240:G240"/>
    <mergeCell ref="B229:D229"/>
    <mergeCell ref="K463:L463"/>
    <mergeCell ref="B283:D283"/>
    <mergeCell ref="B258:D258"/>
    <mergeCell ref="B19:J19"/>
    <mergeCell ref="K458:L458"/>
    <mergeCell ref="B285:D285"/>
    <mergeCell ref="B260:D260"/>
    <mergeCell ref="B20:J20"/>
    <mergeCell ref="H294:J294"/>
    <mergeCell ref="K331:L331"/>
    <mergeCell ref="B309:D309"/>
    <mergeCell ref="K176:L176"/>
    <mergeCell ref="H171:J171"/>
    <mergeCell ref="H165:J165"/>
    <mergeCell ref="B432:D432"/>
    <mergeCell ref="H181:J181"/>
    <mergeCell ref="B311:D311"/>
    <mergeCell ref="E312:G312"/>
    <mergeCell ref="K57:L57"/>
    <mergeCell ref="E314:G314"/>
    <mergeCell ref="K357:L357"/>
    <mergeCell ref="H199:J199"/>
    <mergeCell ref="E154:G154"/>
    <mergeCell ref="B329:D329"/>
    <mergeCell ref="K174:L174"/>
    <mergeCell ref="E183:G183"/>
    <mergeCell ref="B331:D331"/>
    <mergeCell ref="B453:D453"/>
    <mergeCell ref="B330:D330"/>
    <mergeCell ref="B324:D324"/>
    <mergeCell ref="K70:L70"/>
    <mergeCell ref="H41:J41"/>
    <mergeCell ref="K401:L401"/>
    <mergeCell ref="H121:J121"/>
    <mergeCell ref="B42:D42"/>
    <mergeCell ref="H341:J341"/>
    <mergeCell ref="K403:L403"/>
    <mergeCell ref="H123:J123"/>
    <mergeCell ref="K217:L217"/>
    <mergeCell ref="B44:D44"/>
    <mergeCell ref="B166:D166"/>
    <mergeCell ref="B464:D464"/>
    <mergeCell ref="B37:D37"/>
    <mergeCell ref="K129:L129"/>
    <mergeCell ref="B168:D168"/>
    <mergeCell ref="B466:D466"/>
    <mergeCell ref="B254:D254"/>
    <mergeCell ref="K307:L307"/>
    <mergeCell ref="K429:L429"/>
    <mergeCell ref="E81:G81"/>
    <mergeCell ref="B256:D256"/>
    <mergeCell ref="H263:J263"/>
    <mergeCell ref="K431:L431"/>
    <mergeCell ref="E106:G106"/>
    <mergeCell ref="H134:J134"/>
    <mergeCell ref="H265:J265"/>
    <mergeCell ref="B401:D401"/>
    <mergeCell ref="B96:D96"/>
    <mergeCell ref="E135:G135"/>
    <mergeCell ref="E107:G107"/>
    <mergeCell ref="E143:G143"/>
    <mergeCell ref="B98:D98"/>
    <mergeCell ref="B396:D396"/>
    <mergeCell ref="B267:D267"/>
    <mergeCell ref="K55:L55"/>
    <mergeCell ref="B398:D398"/>
    <mergeCell ref="K144:L144"/>
    <mergeCell ref="K442:L442"/>
    <mergeCell ref="B269:D269"/>
    <mergeCell ref="H293:J293"/>
    <mergeCell ref="B124:D124"/>
    <mergeCell ref="E125:G125"/>
    <mergeCell ref="E283:G283"/>
    <mergeCell ref="E277:G277"/>
    <mergeCell ref="B414:D414"/>
    <mergeCell ref="B126:D126"/>
    <mergeCell ref="B424:D424"/>
    <mergeCell ref="B109:D109"/>
    <mergeCell ref="B416:D416"/>
    <mergeCell ref="B295:D295"/>
    <mergeCell ref="K284:L284"/>
    <mergeCell ref="E181:G181"/>
    <mergeCell ref="K66:L66"/>
    <mergeCell ref="B409:D409"/>
    <mergeCell ref="K197:L197"/>
    <mergeCell ref="K74:L74"/>
    <mergeCell ref="K68:L68"/>
    <mergeCell ref="K372:L372"/>
    <mergeCell ref="E295:G295"/>
    <mergeCell ref="E207:G207"/>
    <mergeCell ref="H208:J208"/>
    <mergeCell ref="H360:J360"/>
    <mergeCell ref="B164:D164"/>
    <mergeCell ref="B462:D462"/>
    <mergeCell ref="B41:D41"/>
    <mergeCell ref="B35:D35"/>
    <mergeCell ref="K216:L216"/>
    <mergeCell ref="K210:L210"/>
    <mergeCell ref="B66:D66"/>
    <mergeCell ref="H50:J50"/>
    <mergeCell ref="E347:G347"/>
    <mergeCell ref="B180:D180"/>
    <mergeCell ref="H236:J236"/>
    <mergeCell ref="E51:G51"/>
    <mergeCell ref="E349:G349"/>
    <mergeCell ref="H350:J350"/>
    <mergeCell ref="B67:D67"/>
    <mergeCell ref="B61:D61"/>
    <mergeCell ref="E220:G220"/>
    <mergeCell ref="B69:D69"/>
    <mergeCell ref="B367:D367"/>
    <mergeCell ref="E222:G222"/>
    <mergeCell ref="K140:L140"/>
    <mergeCell ref="B64:D64"/>
    <mergeCell ref="K229:L229"/>
    <mergeCell ref="K440:L440"/>
    <mergeCell ref="B237:D237"/>
    <mergeCell ref="B209:D209"/>
    <mergeCell ref="B122:D122"/>
    <mergeCell ref="E150:G150"/>
    <mergeCell ref="K280:L280"/>
    <mergeCell ref="E152:G152"/>
    <mergeCell ref="E118:G118"/>
    <mergeCell ref="H300:J300"/>
    <mergeCell ref="K153:L153"/>
    <mergeCell ref="B438:D438"/>
    <mergeCell ref="H301:J301"/>
    <mergeCell ref="B133:D133"/>
    <mergeCell ref="E172:G172"/>
    <mergeCell ref="E292:G292"/>
    <mergeCell ref="B12:E12"/>
    <mergeCell ref="H303:J303"/>
    <mergeCell ref="B135:D135"/>
    <mergeCell ref="B433:D433"/>
    <mergeCell ref="E294:G294"/>
    <mergeCell ref="K179:L179"/>
    <mergeCell ref="B14:E14"/>
    <mergeCell ref="E165:G165"/>
    <mergeCell ref="B435:D435"/>
    <mergeCell ref="B13:E13"/>
    <mergeCell ref="E318:G318"/>
    <mergeCell ref="H173:J173"/>
    <mergeCell ref="K235:L235"/>
    <mergeCell ref="E320:G320"/>
    <mergeCell ref="A362:D362"/>
    <mergeCell ref="E191:G191"/>
    <mergeCell ref="B146:D146"/>
    <mergeCell ref="K355:L355"/>
    <mergeCell ref="B304:D304"/>
    <mergeCell ref="H67:J67"/>
    <mergeCell ref="H103:J103"/>
    <mergeCell ref="E33:G33"/>
    <mergeCell ref="E244:G244"/>
    <mergeCell ref="B235:D235"/>
    <mergeCell ref="E333:G333"/>
    <mergeCell ref="E358:G358"/>
    <mergeCell ref="H98:J98"/>
    <mergeCell ref="E245:G245"/>
    <mergeCell ref="B78:D78"/>
    <mergeCell ref="B376:D376"/>
    <mergeCell ref="K411:L411"/>
    <mergeCell ref="H131:J131"/>
    <mergeCell ref="H87:J87"/>
    <mergeCell ref="H245:J245"/>
    <mergeCell ref="K282:L282"/>
    <mergeCell ref="E255:G255"/>
    <mergeCell ref="H116:J116"/>
    <mergeCell ref="H82:J82"/>
    <mergeCell ref="E263:G263"/>
    <mergeCell ref="H299:J299"/>
    <mergeCell ref="B220:D220"/>
    <mergeCell ref="H113:J113"/>
    <mergeCell ref="B247:D247"/>
    <mergeCell ref="K422:L422"/>
    <mergeCell ref="B101:D101"/>
    <mergeCell ref="K335:L335"/>
    <mergeCell ref="E105:G105"/>
    <mergeCell ref="E99:G99"/>
    <mergeCell ref="E316:G316"/>
    <mergeCell ref="B246:D246"/>
    <mergeCell ref="E101:G101"/>
    <mergeCell ref="E187:G187"/>
    <mergeCell ref="H48:J48"/>
    <mergeCell ref="E189:G189"/>
    <mergeCell ref="B302:D302"/>
    <mergeCell ref="K48:L48"/>
    <mergeCell ref="H43:J43"/>
    <mergeCell ref="K346:L346"/>
    <mergeCell ref="A1:L1"/>
    <mergeCell ref="K348:L348"/>
    <mergeCell ref="H74:J74"/>
    <mergeCell ref="H68:J68"/>
    <mergeCell ref="H188:J188"/>
    <mergeCell ref="B318:D318"/>
    <mergeCell ref="B170:D170"/>
    <mergeCell ref="B328:D328"/>
    <mergeCell ref="E329:G329"/>
    <mergeCell ref="H69:J69"/>
    <mergeCell ref="B172:D172"/>
    <mergeCell ref="E331:G331"/>
    <mergeCell ref="K76:L76"/>
    <mergeCell ref="K374:L374"/>
    <mergeCell ref="K276:L276"/>
    <mergeCell ref="K67:L67"/>
    <mergeCell ref="H216:J216"/>
    <mergeCell ref="K278:L278"/>
    <mergeCell ref="H210:J210"/>
    <mergeCell ref="E357:G357"/>
    <mergeCell ref="E42:G42"/>
    <mergeCell ref="H122:J122"/>
    <mergeCell ref="B43:D43"/>
    <mergeCell ref="E44:G44"/>
    <mergeCell ref="B347:D347"/>
    <mergeCell ref="B341:D341"/>
    <mergeCell ref="K418:L418"/>
    <mergeCell ref="H138:J138"/>
    <mergeCell ref="K122:L122"/>
    <mergeCell ref="K420:L420"/>
    <mergeCell ref="H140:J140"/>
    <mergeCell ref="E70:G70"/>
    <mergeCell ref="H229:J229"/>
    <mergeCell ref="K291:L291"/>
    <mergeCell ref="B359:D359"/>
    <mergeCell ref="H264:J264"/>
    <mergeCell ref="E97:G97"/>
    <mergeCell ref="E96:G96"/>
    <mergeCell ref="H135:J135"/>
    <mergeCell ref="B271:D271"/>
    <mergeCell ref="K148:L148"/>
    <mergeCell ref="K446:L446"/>
    <mergeCell ref="E98:G98"/>
    <mergeCell ref="B273:D273"/>
    <mergeCell ref="H280:J280"/>
    <mergeCell ref="K317:L317"/>
    <mergeCell ref="K448:L448"/>
    <mergeCell ref="H282:J282"/>
    <mergeCell ref="K319:L319"/>
    <mergeCell ref="H153:J153"/>
    <mergeCell ref="E300:G300"/>
    <mergeCell ref="B255:D255"/>
    <mergeCell ref="E116:G116"/>
    <mergeCell ref="H65:J65"/>
    <mergeCell ref="B413:D413"/>
    <mergeCell ref="K159:L159"/>
    <mergeCell ref="B284:D284"/>
    <mergeCell ref="B415:D415"/>
    <mergeCell ref="K370:L370"/>
    <mergeCell ref="K161:L161"/>
    <mergeCell ref="K459:L459"/>
    <mergeCell ref="B286:D286"/>
    <mergeCell ref="H179:J179"/>
    <mergeCell ref="H212:J212"/>
    <mergeCell ref="K65:L65"/>
    <mergeCell ref="K373:L373"/>
    <mergeCell ref="H49:J49"/>
    <mergeCell ref="H85:J85"/>
    <mergeCell ref="H207:J207"/>
    <mergeCell ref="K388:L388"/>
    <mergeCell ref="B337:D337"/>
    <mergeCell ref="B312:D312"/>
    <mergeCell ref="B339:D339"/>
    <mergeCell ref="K91:L91"/>
    <mergeCell ref="K85:L85"/>
    <mergeCell ref="K389:L389"/>
    <mergeCell ref="H80:J80"/>
    <mergeCell ref="K383:L383"/>
    <mergeCell ref="K84:L84"/>
    <mergeCell ref="K385:L385"/>
    <mergeCell ref="E66:G66"/>
    <mergeCell ref="K86:L86"/>
    <mergeCell ref="H225:J225"/>
    <mergeCell ref="H347:J347"/>
    <mergeCell ref="E68:G68"/>
    <mergeCell ref="B365:D365"/>
    <mergeCell ref="H227:J227"/>
    <mergeCell ref="K386:L386"/>
    <mergeCell ref="B357:D357"/>
    <mergeCell ref="E67:G67"/>
    <mergeCell ref="B236:D236"/>
    <mergeCell ref="B58:D58"/>
    <mergeCell ref="H220:J220"/>
    <mergeCell ref="B52:D52"/>
    <mergeCell ref="B350:D350"/>
    <mergeCell ref="K233:L233"/>
    <mergeCell ref="B60:D60"/>
    <mergeCell ref="H222:J222"/>
    <mergeCell ref="B358:D358"/>
    <mergeCell ref="K444:L444"/>
    <mergeCell ref="K104:L104"/>
    <mergeCell ref="B53:D53"/>
    <mergeCell ref="H278:J278"/>
    <mergeCell ref="H253:J253"/>
    <mergeCell ref="B84:D84"/>
    <mergeCell ref="K99:L99"/>
    <mergeCell ref="E237:G237"/>
    <mergeCell ref="H273:J273"/>
    <mergeCell ref="B80:D80"/>
    <mergeCell ref="B384:D384"/>
    <mergeCell ref="B378:D378"/>
    <mergeCell ref="E239:G239"/>
    <mergeCell ref="K155:L155"/>
    <mergeCell ref="H150:J150"/>
    <mergeCell ref="B411:D411"/>
    <mergeCell ref="B386:D386"/>
    <mergeCell ref="K455:L455"/>
    <mergeCell ref="H306:J306"/>
    <mergeCell ref="E293:G293"/>
    <mergeCell ref="K457:L457"/>
    <mergeCell ref="E138:G138"/>
    <mergeCell ref="H177:J177"/>
    <mergeCell ref="H297:J297"/>
    <mergeCell ref="H335:J335"/>
    <mergeCell ref="K152:L152"/>
    <mergeCell ref="H291:J291"/>
    <mergeCell ref="E167:G167"/>
    <mergeCell ref="B437:D437"/>
    <mergeCell ref="E133:G133"/>
    <mergeCell ref="B308:D308"/>
    <mergeCell ref="E169:G169"/>
    <mergeCell ref="H292:J292"/>
    <mergeCell ref="B99:D99"/>
    <mergeCell ref="B422:D422"/>
    <mergeCell ref="B397:D397"/>
    <mergeCell ref="E162:G162"/>
    <mergeCell ref="B310:D310"/>
    <mergeCell ref="K56:L56"/>
    <mergeCell ref="K170:L170"/>
    <mergeCell ref="E164:G164"/>
    <mergeCell ref="K468:L468"/>
    <mergeCell ref="H319:J319"/>
    <mergeCell ref="A252:J252"/>
    <mergeCell ref="E195:G195"/>
    <mergeCell ref="H196:J196"/>
    <mergeCell ref="H318:J318"/>
    <mergeCell ref="B150:D150"/>
    <mergeCell ref="B326:D326"/>
    <mergeCell ref="E309:G309"/>
    <mergeCell ref="H348:J348"/>
    <mergeCell ref="B152:D152"/>
    <mergeCell ref="E153:G153"/>
    <mergeCell ref="E180:G180"/>
    <mergeCell ref="H314:J314"/>
    <mergeCell ref="B450:D450"/>
    <mergeCell ref="K196:L196"/>
    <mergeCell ref="H191:J191"/>
    <mergeCell ref="B145:D145"/>
    <mergeCell ref="B181:D181"/>
    <mergeCell ref="E65:G65"/>
    <mergeCell ref="E182:G182"/>
    <mergeCell ref="B452:D452"/>
    <mergeCell ref="K198:L198"/>
    <mergeCell ref="H218:J218"/>
    <mergeCell ref="H249:J249"/>
    <mergeCell ref="E179:G179"/>
    <mergeCell ref="H338:J338"/>
    <mergeCell ref="B51:D51"/>
    <mergeCell ref="H242:J242"/>
    <mergeCell ref="E233:G233"/>
    <mergeCell ref="E208:G208"/>
    <mergeCell ref="B163:D163"/>
    <mergeCell ref="H244:J244"/>
    <mergeCell ref="B380:D380"/>
    <mergeCell ref="K97:L97"/>
    <mergeCell ref="E235:G235"/>
    <mergeCell ref="E210:G210"/>
    <mergeCell ref="B165:D165"/>
    <mergeCell ref="B382:D382"/>
    <mergeCell ref="K128:L128"/>
    <mergeCell ref="K426:L426"/>
    <mergeCell ref="B77:D77"/>
    <mergeCell ref="K242:L242"/>
    <mergeCell ref="K121:L121"/>
    <mergeCell ref="K428:L428"/>
    <mergeCell ref="B377:D377"/>
    <mergeCell ref="K123:L123"/>
    <mergeCell ref="E261:G261"/>
    <mergeCell ref="H262:J262"/>
    <mergeCell ref="B95:D95"/>
    <mergeCell ref="E256:G256"/>
    <mergeCell ref="B89:D89"/>
    <mergeCell ref="B393:D393"/>
    <mergeCell ref="K270:L270"/>
    <mergeCell ref="K297:L297"/>
    <mergeCell ref="B97:D97"/>
    <mergeCell ref="B395:D395"/>
    <mergeCell ref="B90:D90"/>
    <mergeCell ref="K299:L299"/>
    <mergeCell ref="K293:L293"/>
    <mergeCell ref="K167:L167"/>
    <mergeCell ref="H344:J344"/>
    <mergeCell ref="E280:G280"/>
    <mergeCell ref="E274:G274"/>
    <mergeCell ref="H316:J316"/>
    <mergeCell ref="B148:D148"/>
    <mergeCell ref="H310:J310"/>
    <mergeCell ref="B446:D446"/>
    <mergeCell ref="K192:L192"/>
    <mergeCell ref="E186:G186"/>
    <mergeCell ref="H187:J187"/>
    <mergeCell ref="B448:D448"/>
    <mergeCell ref="B423:D423"/>
    <mergeCell ref="B108:D108"/>
    <mergeCell ref="B230:D230"/>
    <mergeCell ref="K194:L194"/>
    <mergeCell ref="B143:D143"/>
    <mergeCell ref="K195:L195"/>
    <mergeCell ref="H334:J334"/>
    <mergeCell ref="E204:G204"/>
    <mergeCell ref="B159:D159"/>
    <mergeCell ref="B134:D134"/>
    <mergeCell ref="H58:J58"/>
    <mergeCell ref="B167:D167"/>
    <mergeCell ref="E206:G206"/>
    <mergeCell ref="E328:G328"/>
    <mergeCell ref="B161:D161"/>
    <mergeCell ref="H329:J329"/>
    <mergeCell ref="B459:D459"/>
    <mergeCell ref="K205:L205"/>
    <mergeCell ref="H60:J60"/>
    <mergeCell ref="H331:J331"/>
    <mergeCell ref="H358:J358"/>
    <mergeCell ref="B461:D461"/>
    <mergeCell ref="B162:D162"/>
    <mergeCell ref="K365:L365"/>
    <mergeCell ref="E46:G46"/>
    <mergeCell ref="H57:J57"/>
    <mergeCell ref="K119:L119"/>
    <mergeCell ref="H355:J355"/>
    <mergeCell ref="B187:D187"/>
    <mergeCell ref="K208:L208"/>
    <mergeCell ref="E346:G346"/>
    <mergeCell ref="H357:J357"/>
    <mergeCell ref="E41:G41"/>
    <mergeCell ref="H42:J42"/>
    <mergeCell ref="B189:D189"/>
    <mergeCell ref="B216:D216"/>
    <mergeCell ref="E217:G217"/>
    <mergeCell ref="E348:G348"/>
    <mergeCell ref="B188:D188"/>
    <mergeCell ref="E43:G43"/>
    <mergeCell ref="B218:D218"/>
    <mergeCell ref="E341:G341"/>
    <mergeCell ref="E129:G129"/>
    <mergeCell ref="B59:D59"/>
    <mergeCell ref="K259:L259"/>
    <mergeCell ref="E131:G131"/>
    <mergeCell ref="H129:J129"/>
    <mergeCell ref="E276:G276"/>
    <mergeCell ref="H70:J70"/>
    <mergeCell ref="E270:G270"/>
    <mergeCell ref="K290:L290"/>
    <mergeCell ref="E113:G113"/>
    <mergeCell ref="K321:L321"/>
    <mergeCell ref="E271:G271"/>
    <mergeCell ref="B114:D114"/>
    <mergeCell ref="E115:G115"/>
    <mergeCell ref="K8:L8"/>
    <mergeCell ref="K279:L279"/>
    <mergeCell ref="E273:G273"/>
    <mergeCell ref="K308:L308"/>
    <mergeCell ref="K160:L160"/>
    <mergeCell ref="K274:L274"/>
    <mergeCell ref="B130:D130"/>
    <mergeCell ref="H152:J152"/>
    <mergeCell ref="B9:E9"/>
    <mergeCell ref="K34:L34"/>
    <mergeCell ref="K305:L305"/>
    <mergeCell ref="B132:D132"/>
    <mergeCell ref="B430:D430"/>
    <mergeCell ref="B290:D290"/>
    <mergeCell ref="E291:G291"/>
    <mergeCell ref="K36:L36"/>
    <mergeCell ref="K334:L334"/>
    <mergeCell ref="H354:J354"/>
    <mergeCell ref="E284:G284"/>
    <mergeCell ref="K300:L300"/>
    <mergeCell ref="E197:G197"/>
    <mergeCell ref="B127:D127"/>
    <mergeCell ref="K336:L336"/>
    <mergeCell ref="H356:J356"/>
    <mergeCell ref="E286:G286"/>
    <mergeCell ref="H170:J170"/>
    <mergeCell ref="K204:L204"/>
    <mergeCell ref="E317:G317"/>
    <mergeCell ref="H172:J172"/>
    <mergeCell ref="E344:G344"/>
    <mergeCell ref="B301:D301"/>
    <mergeCell ref="E39:G39"/>
    <mergeCell ref="B214:D214"/>
    <mergeCell ref="E337:G337"/>
    <mergeCell ref="B303:D303"/>
    <mergeCell ref="K49:L49"/>
    <mergeCell ref="E339:G339"/>
    <mergeCell ref="B57:D57"/>
    <mergeCell ref="K266:L266"/>
    <mergeCell ref="K232:L232"/>
    <mergeCell ref="H100:J100"/>
    <mergeCell ref="H66:J66"/>
    <mergeCell ref="K261:L261"/>
    <mergeCell ref="E57:G57"/>
    <mergeCell ref="E355:G355"/>
    <mergeCell ref="H95:J95"/>
    <mergeCell ref="B204:D204"/>
    <mergeCell ref="E243:G243"/>
    <mergeCell ref="B198:D198"/>
    <mergeCell ref="B356:D356"/>
    <mergeCell ref="E58:G58"/>
    <mergeCell ref="H97:J97"/>
    <mergeCell ref="B233:D233"/>
    <mergeCell ref="B227:D227"/>
    <mergeCell ref="K250:L250"/>
    <mergeCell ref="B199:D199"/>
    <mergeCell ref="K408:L408"/>
    <mergeCell ref="K402:L402"/>
    <mergeCell ref="E83:G83"/>
    <mergeCell ref="B70:D70"/>
    <mergeCell ref="B228:D228"/>
    <mergeCell ref="E84:G84"/>
    <mergeCell ref="E78:G78"/>
    <mergeCell ref="E114:G114"/>
    <mergeCell ref="H115:J115"/>
    <mergeCell ref="E86:G86"/>
    <mergeCell ref="E80:G80"/>
    <mergeCell ref="B217:D217"/>
    <mergeCell ref="B375:D375"/>
    <mergeCell ref="K330:L330"/>
    <mergeCell ref="K332:L332"/>
    <mergeCell ref="K421:L421"/>
    <mergeCell ref="H166:J166"/>
    <mergeCell ref="K456:L456"/>
    <mergeCell ref="E313:G313"/>
    <mergeCell ref="H168:J168"/>
    <mergeCell ref="K327:L327"/>
    <mergeCell ref="H167:J167"/>
    <mergeCell ref="H161:J161"/>
    <mergeCell ref="B297:D297"/>
    <mergeCell ref="B272:D272"/>
    <mergeCell ref="K16:L16"/>
    <mergeCell ref="E308:G308"/>
    <mergeCell ref="H169:J169"/>
    <mergeCell ref="B299:D299"/>
    <mergeCell ref="B274:D274"/>
    <mergeCell ref="K9:L9"/>
    <mergeCell ref="K45:L45"/>
    <mergeCell ref="E310:G310"/>
    <mergeCell ref="K343:L343"/>
    <mergeCell ref="H194:J194"/>
    <mergeCell ref="K11:L11"/>
    <mergeCell ref="B28:J28"/>
    <mergeCell ref="K169:L169"/>
    <mergeCell ref="K345:L345"/>
    <mergeCell ref="K46:L46"/>
    <mergeCell ref="K40:L40"/>
    <mergeCell ref="K469:L469"/>
    <mergeCell ref="H195:J195"/>
    <mergeCell ref="K257:L257"/>
    <mergeCell ref="H189:J189"/>
    <mergeCell ref="B325:D325"/>
    <mergeCell ref="E326:G326"/>
    <mergeCell ref="K71:L71"/>
    <mergeCell ref="H197:J197"/>
    <mergeCell ref="B327:D327"/>
    <mergeCell ref="K73:L73"/>
    <mergeCell ref="K371:L371"/>
    <mergeCell ref="B320:D320"/>
    <mergeCell ref="K398:L398"/>
    <mergeCell ref="B38:D38"/>
    <mergeCell ref="K399:L399"/>
    <mergeCell ref="B467:D467"/>
    <mergeCell ref="E49:G49"/>
    <mergeCell ref="E110:G110"/>
    <mergeCell ref="H233:J233"/>
    <mergeCell ref="B40:D40"/>
    <mergeCell ref="E163:G163"/>
    <mergeCell ref="B338:D338"/>
    <mergeCell ref="B469:D469"/>
    <mergeCell ref="E76:G76"/>
    <mergeCell ref="B33:D33"/>
    <mergeCell ref="H235:J235"/>
    <mergeCell ref="B340:D340"/>
    <mergeCell ref="H106:J106"/>
    <mergeCell ref="K417:L417"/>
    <mergeCell ref="B366:D366"/>
    <mergeCell ref="H137:J137"/>
    <mergeCell ref="H259:J259"/>
    <mergeCell ref="K427:L427"/>
    <mergeCell ref="K112:L112"/>
    <mergeCell ref="H130:J130"/>
    <mergeCell ref="H261:J261"/>
    <mergeCell ref="K298:L298"/>
    <mergeCell ref="E94:G94"/>
    <mergeCell ref="K412:L412"/>
    <mergeCell ref="H132:J132"/>
    <mergeCell ref="B234:D234"/>
    <mergeCell ref="K443:L443"/>
    <mergeCell ref="E95:G95"/>
    <mergeCell ref="E89:G89"/>
    <mergeCell ref="B270:D270"/>
    <mergeCell ref="B392:D392"/>
    <mergeCell ref="K138:L138"/>
    <mergeCell ref="K445:L445"/>
    <mergeCell ref="E124:G124"/>
    <mergeCell ref="B394:D394"/>
    <mergeCell ref="E120:G120"/>
    <mergeCell ref="B24:J24"/>
    <mergeCell ref="K438:L438"/>
    <mergeCell ref="B265:D265"/>
    <mergeCell ref="H272:J272"/>
    <mergeCell ref="B26:J26"/>
    <mergeCell ref="K465:L465"/>
    <mergeCell ref="E121:G121"/>
    <mergeCell ref="E151:G151"/>
    <mergeCell ref="H274:J274"/>
    <mergeCell ref="H193:J193"/>
    <mergeCell ref="E123:G123"/>
    <mergeCell ref="B323:D323"/>
    <mergeCell ref="B27:J27"/>
    <mergeCell ref="B105:D105"/>
    <mergeCell ref="K69:L69"/>
    <mergeCell ref="H64:J64"/>
    <mergeCell ref="B412:D412"/>
    <mergeCell ref="K367:L367"/>
    <mergeCell ref="K158:L158"/>
    <mergeCell ref="B107:D107"/>
    <mergeCell ref="B405:D405"/>
    <mergeCell ref="K369:L369"/>
    <mergeCell ref="K64:L64"/>
    <mergeCell ref="B407:D407"/>
    <mergeCell ref="K72:L72"/>
    <mergeCell ref="K364:L364"/>
    <mergeCell ref="B463:D463"/>
    <mergeCell ref="H204:J204"/>
    <mergeCell ref="B36:D36"/>
    <mergeCell ref="E134:G134"/>
    <mergeCell ref="E159:G159"/>
    <mergeCell ref="B334:D334"/>
    <mergeCell ref="E47:G47"/>
    <mergeCell ref="K211:L211"/>
    <mergeCell ref="H206:J206"/>
    <mergeCell ref="B336:D336"/>
    <mergeCell ref="K82:L82"/>
    <mergeCell ref="K212:L212"/>
    <mergeCell ref="K206:L206"/>
    <mergeCell ref="B39:D39"/>
    <mergeCell ref="E63:G63"/>
    <mergeCell ref="H46:J46"/>
    <mergeCell ref="K83:L83"/>
    <mergeCell ref="E221:G221"/>
    <mergeCell ref="K214:L214"/>
    <mergeCell ref="H257:J257"/>
    <mergeCell ref="H346:J346"/>
    <mergeCell ref="B178:D178"/>
    <mergeCell ref="E216:G216"/>
    <mergeCell ref="H217:J217"/>
    <mergeCell ref="B364:D364"/>
    <mergeCell ref="B49:D49"/>
    <mergeCell ref="K439:L439"/>
    <mergeCell ref="B65:D65"/>
    <mergeCell ref="K224:L224"/>
    <mergeCell ref="E218:G218"/>
    <mergeCell ref="K441:L441"/>
    <mergeCell ref="B50:D50"/>
    <mergeCell ref="K136:L136"/>
    <mergeCell ref="K434:L434"/>
    <mergeCell ref="K225:L225"/>
    <mergeCell ref="E122:G122"/>
    <mergeCell ref="K7:L7"/>
    <mergeCell ref="K436:L436"/>
    <mergeCell ref="E234:G234"/>
    <mergeCell ref="H276:J276"/>
    <mergeCell ref="E147:G147"/>
    <mergeCell ref="H270:J270"/>
    <mergeCell ref="E236:G236"/>
    <mergeCell ref="E229:G229"/>
    <mergeCell ref="K154:L154"/>
    <mergeCell ref="E148:G148"/>
    <mergeCell ref="B103:D103"/>
    <mergeCell ref="B410:D410"/>
    <mergeCell ref="K454:L454"/>
    <mergeCell ref="B403:D403"/>
    <mergeCell ref="K149:L149"/>
    <mergeCell ref="H298:J298"/>
    <mergeCell ref="K151:L151"/>
    <mergeCell ref="E289:G289"/>
    <mergeCell ref="K449:L449"/>
    <mergeCell ref="B129:D129"/>
    <mergeCell ref="E130:G130"/>
    <mergeCell ref="H327:J327"/>
    <mergeCell ref="B121:D121"/>
    <mergeCell ref="E160:G160"/>
    <mergeCell ref="B8:E8"/>
    <mergeCell ref="B131:D131"/>
    <mergeCell ref="E132:G132"/>
    <mergeCell ref="B429:D429"/>
    <mergeCell ref="B307:D307"/>
    <mergeCell ref="E290:G290"/>
    <mergeCell ref="B465:D465"/>
    <mergeCell ref="K175:L175"/>
    <mergeCell ref="B421:D421"/>
    <mergeCell ref="B10:E10"/>
    <mergeCell ref="E161:G161"/>
    <mergeCell ref="B431:D431"/>
    <mergeCell ref="K177:L177"/>
    <mergeCell ref="K81:L81"/>
    <mergeCell ref="H342:J342"/>
    <mergeCell ref="H317:J317"/>
    <mergeCell ref="B447:D447"/>
    <mergeCell ref="E212:G212"/>
    <mergeCell ref="E301:G301"/>
    <mergeCell ref="B449:D449"/>
    <mergeCell ref="E214:G214"/>
    <mergeCell ref="B144:D144"/>
    <mergeCell ref="B442:D442"/>
    <mergeCell ref="K101:L101"/>
    <mergeCell ref="K221:L221"/>
    <mergeCell ref="K215:L215"/>
    <mergeCell ref="K92:L92"/>
    <mergeCell ref="E230:G230"/>
    <mergeCell ref="E205:G205"/>
    <mergeCell ref="K223:L223"/>
    <mergeCell ref="H241:J241"/>
    <mergeCell ref="B73:D73"/>
    <mergeCell ref="E232:G232"/>
    <mergeCell ref="E354:G354"/>
    <mergeCell ref="K248:L248"/>
    <mergeCell ref="H243:J243"/>
    <mergeCell ref="B379:D379"/>
    <mergeCell ref="E225:G225"/>
    <mergeCell ref="E356:G356"/>
    <mergeCell ref="K247:L247"/>
    <mergeCell ref="B74:D74"/>
    <mergeCell ref="B68:D68"/>
    <mergeCell ref="B372:D372"/>
    <mergeCell ref="K277:L277"/>
    <mergeCell ref="E227:G227"/>
    <mergeCell ref="K249:L249"/>
    <mergeCell ref="K243:L243"/>
    <mergeCell ref="B76:D76"/>
    <mergeCell ref="B374:D374"/>
    <mergeCell ref="K120:L120"/>
    <mergeCell ref="E258:G258"/>
    <mergeCell ref="H112:J112"/>
    <mergeCell ref="B215:D215"/>
    <mergeCell ref="H323:J323"/>
    <mergeCell ref="E259:G259"/>
    <mergeCell ref="E253:G253"/>
    <mergeCell ref="H114:J114"/>
    <mergeCell ref="B244:D244"/>
    <mergeCell ref="B425:D425"/>
    <mergeCell ref="B6:E6"/>
    <mergeCell ref="B427:D427"/>
    <mergeCell ref="B87:D87"/>
    <mergeCell ref="K173:L173"/>
    <mergeCell ref="B245:D245"/>
    <mergeCell ref="K262:L262"/>
    <mergeCell ref="B456:D456"/>
    <mergeCell ref="K44:L44"/>
    <mergeCell ref="H313:J313"/>
    <mergeCell ref="H307:J307"/>
    <mergeCell ref="B138:D138"/>
    <mergeCell ref="B113:D113"/>
    <mergeCell ref="K347:L347"/>
    <mergeCell ref="E297:G297"/>
    <mergeCell ref="E272:G272"/>
    <mergeCell ref="K191:L191"/>
    <mergeCell ref="E185:G185"/>
    <mergeCell ref="B140:D140"/>
    <mergeCell ref="B115:D115"/>
    <mergeCell ref="E299:G299"/>
    <mergeCell ref="K184:L184"/>
    <mergeCell ref="H39:J39"/>
    <mergeCell ref="K342:L342"/>
    <mergeCell ref="B440:D440"/>
    <mergeCell ref="K344:L344"/>
    <mergeCell ref="E201:G201"/>
    <mergeCell ref="H72:J72"/>
    <mergeCell ref="E325:G325"/>
    <mergeCell ref="H326:J326"/>
    <mergeCell ref="H186:J186"/>
    <mergeCell ref="B316:D316"/>
    <mergeCell ref="E196:G196"/>
    <mergeCell ref="E327:G327"/>
    <mergeCell ref="K326:L326"/>
    <mergeCell ref="B197:D197"/>
    <mergeCell ref="E198:G198"/>
    <mergeCell ref="B153:D153"/>
    <mergeCell ref="K245:L245"/>
    <mergeCell ref="H54:J54"/>
    <mergeCell ref="B184:D184"/>
    <mergeCell ref="E343:G343"/>
    <mergeCell ref="H56:J56"/>
    <mergeCell ref="H83:J83"/>
    <mergeCell ref="E38:G38"/>
    <mergeCell ref="E249:G249"/>
    <mergeCell ref="H110:J110"/>
    <mergeCell ref="B179:D179"/>
    <mergeCell ref="E40:G40"/>
    <mergeCell ref="E338:G338"/>
    <mergeCell ref="E257:G257"/>
    <mergeCell ref="E340:G340"/>
    <mergeCell ref="K292:L292"/>
    <mergeCell ref="K258:L258"/>
    <mergeCell ref="H136:J136"/>
    <mergeCell ref="H92:J92"/>
    <mergeCell ref="K260:L260"/>
    <mergeCell ref="K287:L287"/>
    <mergeCell ref="B355:D355"/>
    <mergeCell ref="K289:L289"/>
    <mergeCell ref="E262:G262"/>
    <mergeCell ref="K13:L13"/>
    <mergeCell ref="B259:D259"/>
    <mergeCell ref="B111:D111"/>
    <mergeCell ref="B225:D225"/>
    <mergeCell ref="K15:L15"/>
    <mergeCell ref="K313:L313"/>
    <mergeCell ref="K315:L315"/>
    <mergeCell ref="H155:J155"/>
    <mergeCell ref="H149:J149"/>
    <mergeCell ref="E321:G321"/>
    <mergeCell ref="E112:G112"/>
    <mergeCell ref="H151:J151"/>
    <mergeCell ref="E323:G323"/>
    <mergeCell ref="B280:D280"/>
    <mergeCell ref="B193:D193"/>
    <mergeCell ref="B282:D282"/>
    <mergeCell ref="K360:L360"/>
    <mergeCell ref="K353:L353"/>
    <mergeCell ref="H52:J52"/>
    <mergeCell ref="H79:J79"/>
    <mergeCell ref="E34:G34"/>
    <mergeCell ref="H45:J45"/>
    <mergeCell ref="H81:J81"/>
    <mergeCell ref="H352:J352"/>
    <mergeCell ref="E36:G36"/>
    <mergeCell ref="B211:D211"/>
    <mergeCell ref="E334:G334"/>
    <mergeCell ref="H47:J47"/>
    <mergeCell ref="B300:D300"/>
    <mergeCell ref="B183:D183"/>
    <mergeCell ref="B177:D177"/>
    <mergeCell ref="B335:D335"/>
    <mergeCell ref="E336:G336"/>
    <mergeCell ref="H76:J76"/>
    <mergeCell ref="B212:D212"/>
    <mergeCell ref="B206:D206"/>
    <mergeCell ref="K387:L387"/>
    <mergeCell ref="K381:L381"/>
    <mergeCell ref="E62:G62"/>
    <mergeCell ref="H63:J63"/>
    <mergeCell ref="H221:J221"/>
    <mergeCell ref="E64:G64"/>
    <mergeCell ref="H223:J223"/>
    <mergeCell ref="B353:D353"/>
    <mergeCell ref="H94:J94"/>
    <mergeCell ref="K397:L397"/>
    <mergeCell ref="B196:D196"/>
    <mergeCell ref="B354:D354"/>
    <mergeCell ref="B348:D348"/>
    <mergeCell ref="K100:L100"/>
    <mergeCell ref="K94:L94"/>
    <mergeCell ref="K311:L311"/>
    <mergeCell ref="K102:L102"/>
    <mergeCell ref="K425:L425"/>
    <mergeCell ref="K400:L400"/>
    <mergeCell ref="H145:J145"/>
    <mergeCell ref="H120:J120"/>
    <mergeCell ref="E75:G75"/>
    <mergeCell ref="H234:J234"/>
    <mergeCell ref="H147:J147"/>
    <mergeCell ref="B276:D276"/>
    <mergeCell ref="H148:J148"/>
    <mergeCell ref="K329:L329"/>
    <mergeCell ref="K451:L451"/>
    <mergeCell ref="E103:G103"/>
    <mergeCell ref="B278:D278"/>
    <mergeCell ref="B253:D253"/>
    <mergeCell ref="K322:L322"/>
    <mergeCell ref="K453:L453"/>
    <mergeCell ref="K113:L113"/>
    <mergeCell ref="H287:J287"/>
    <mergeCell ref="K324:L324"/>
    <mergeCell ref="H158:J158"/>
    <mergeCell ref="H289:J289"/>
    <mergeCell ref="E305:G305"/>
    <mergeCell ref="H160:J160"/>
    <mergeCell ref="B418:D418"/>
    <mergeCell ref="K42:L42"/>
    <mergeCell ref="B306:D306"/>
    <mergeCell ref="E307:G307"/>
    <mergeCell ref="H290:J290"/>
    <mergeCell ref="B420:D420"/>
    <mergeCell ref="B25:J25"/>
    <mergeCell ref="K166:L166"/>
    <mergeCell ref="K464:L464"/>
    <mergeCell ref="B291:D291"/>
    <mergeCell ref="H315:J315"/>
    <mergeCell ref="K37:L37"/>
    <mergeCell ref="K168:L168"/>
    <mergeCell ref="K466:L466"/>
    <mergeCell ref="H192:J192"/>
    <mergeCell ref="B293:D293"/>
    <mergeCell ref="B322:D322"/>
    <mergeCell ref="E177:G177"/>
    <mergeCell ref="E60:G60"/>
    <mergeCell ref="H219:J219"/>
    <mergeCell ref="E149:G149"/>
    <mergeCell ref="E176:G176"/>
    <mergeCell ref="E360:G360"/>
    <mergeCell ref="B317:D317"/>
    <mergeCell ref="E178:G178"/>
    <mergeCell ref="K63:L63"/>
    <mergeCell ref="H214:J214"/>
    <mergeCell ref="E144:G144"/>
    <mergeCell ref="B344:D344"/>
    <mergeCell ref="B319:D319"/>
    <mergeCell ref="K96:L96"/>
    <mergeCell ref="K98:L98"/>
    <mergeCell ref="K396:L396"/>
    <mergeCell ref="K390:L390"/>
    <mergeCell ref="E71:G71"/>
    <mergeCell ref="H230:J230"/>
    <mergeCell ref="H205:J205"/>
    <mergeCell ref="E79:G79"/>
    <mergeCell ref="H118:J118"/>
    <mergeCell ref="H240:J240"/>
    <mergeCell ref="E73:G73"/>
    <mergeCell ref="K93:L93"/>
    <mergeCell ref="E231:G231"/>
    <mergeCell ref="H232:J232"/>
    <mergeCell ref="K423:L423"/>
    <mergeCell ref="E74:G74"/>
    <mergeCell ref="B249:D249"/>
    <mergeCell ref="K238:L238"/>
    <mergeCell ref="B243:D243"/>
    <mergeCell ref="K414:L414"/>
    <mergeCell ref="B363:D363"/>
    <mergeCell ref="K126:L126"/>
    <mergeCell ref="K109:L109"/>
    <mergeCell ref="B373:D373"/>
    <mergeCell ref="K240:L240"/>
    <mergeCell ref="H258:J258"/>
    <mergeCell ref="K111:L111"/>
    <mergeCell ref="K409:L409"/>
    <mergeCell ref="H260:J260"/>
    <mergeCell ref="E242:G242"/>
    <mergeCell ref="B390:D390"/>
    <mergeCell ref="B91:D91"/>
    <mergeCell ref="B389:D389"/>
    <mergeCell ref="B93:D93"/>
    <mergeCell ref="B391:D391"/>
    <mergeCell ref="B385:D385"/>
    <mergeCell ref="K162:L162"/>
    <mergeCell ref="K137:L137"/>
    <mergeCell ref="K460:L460"/>
    <mergeCell ref="B86:D86"/>
    <mergeCell ref="E87:G87"/>
    <mergeCell ref="B262:D262"/>
    <mergeCell ref="K164:L164"/>
    <mergeCell ref="K139:L139"/>
    <mergeCell ref="K462:L462"/>
    <mergeCell ref="H182:J182"/>
    <mergeCell ref="H190:J190"/>
    <mergeCell ref="H183:J183"/>
    <mergeCell ref="B313:D313"/>
    <mergeCell ref="E174:G174"/>
    <mergeCell ref="B444:D444"/>
    <mergeCell ref="B104:D104"/>
    <mergeCell ref="K59:L59"/>
    <mergeCell ref="K190:L190"/>
    <mergeCell ref="H185:J185"/>
    <mergeCell ref="B315:D315"/>
    <mergeCell ref="B106:D106"/>
    <mergeCell ref="B404:D404"/>
    <mergeCell ref="K359:L359"/>
    <mergeCell ref="H330:J330"/>
    <mergeCell ref="B460:D460"/>
    <mergeCell ref="K62:L62"/>
    <mergeCell ref="E200:G200"/>
    <mergeCell ref="H201:J201"/>
    <mergeCell ref="K193:L193"/>
    <mergeCell ref="E202:G202"/>
    <mergeCell ref="H325:J325"/>
    <mergeCell ref="B157:D157"/>
    <mergeCell ref="E158:G158"/>
    <mergeCell ref="B455:D455"/>
    <mergeCell ref="B34:D34"/>
    <mergeCell ref="B186:D186"/>
    <mergeCell ref="B457:D457"/>
    <mergeCell ref="K209:L209"/>
    <mergeCell ref="K203:L203"/>
    <mergeCell ref="H198:J198"/>
    <mergeCell ref="B458:D458"/>
    <mergeCell ref="E184:G184"/>
    <mergeCell ref="E342:G342"/>
    <mergeCell ref="H343:J343"/>
    <mergeCell ref="B54:D54"/>
    <mergeCell ref="H38:J38"/>
    <mergeCell ref="B185:D185"/>
    <mergeCell ref="E213:G213"/>
    <mergeCell ref="H345:J345"/>
    <mergeCell ref="E126:G126"/>
    <mergeCell ref="B56:D56"/>
    <mergeCell ref="H40:J40"/>
    <mergeCell ref="B176:D176"/>
    <mergeCell ref="E215:G215"/>
    <mergeCell ref="B468:D468"/>
    <mergeCell ref="A32:J32"/>
    <mergeCell ref="B387:D387"/>
    <mergeCell ref="H340:J340"/>
    <mergeCell ref="K133:L133"/>
    <mergeCell ref="B171:D171"/>
    <mergeCell ref="K135:L135"/>
    <mergeCell ref="H267:J267"/>
    <mergeCell ref="K435:L435"/>
    <mergeCell ref="E268:G268"/>
    <mergeCell ref="H269:J269"/>
    <mergeCell ref="E109:G109"/>
    <mergeCell ref="E145:G145"/>
    <mergeCell ref="B100:D100"/>
    <mergeCell ref="B75:D75"/>
    <mergeCell ref="E139:G139"/>
    <mergeCell ref="E111:G111"/>
    <mergeCell ref="K275:L275"/>
    <mergeCell ref="B102:D102"/>
    <mergeCell ref="B400:D400"/>
    <mergeCell ref="K146:L146"/>
    <mergeCell ref="E140:G140"/>
    <mergeCell ref="K6:L6"/>
    <mergeCell ref="K304:L304"/>
    <mergeCell ref="B402:D402"/>
    <mergeCell ref="H295:J295"/>
    <mergeCell ref="K306:L306"/>
    <mergeCell ref="K60:L60"/>
    <mergeCell ref="H321:J321"/>
    <mergeCell ref="H296:J296"/>
    <mergeCell ref="B128:D128"/>
    <mergeCell ref="B426:D426"/>
    <mergeCell ref="E287:G287"/>
    <mergeCell ref="E281:G281"/>
    <mergeCell ref="B7:E7"/>
    <mergeCell ref="B428:D428"/>
    <mergeCell ref="E193:G193"/>
    <mergeCell ref="B123:D123"/>
    <mergeCell ref="K288:L288"/>
    <mergeCell ref="E282:G282"/>
    <mergeCell ref="K207:L207"/>
    <mergeCell ref="K200:L200"/>
    <mergeCell ref="H34:J34"/>
    <mergeCell ref="E209:G209"/>
    <mergeCell ref="K202:L202"/>
    <mergeCell ref="H36:J36"/>
    <mergeCell ref="E211:G211"/>
    <mergeCell ref="K231:L231"/>
    <mergeCell ref="B352:D352"/>
    <mergeCell ref="B174:D174"/>
    <mergeCell ref="E335:G335"/>
    <mergeCell ref="H336:J336"/>
    <mergeCell ref="K256:L256"/>
    <mergeCell ref="H96:J96"/>
    <mergeCell ref="B55:D55"/>
    <mergeCell ref="K264:L264"/>
    <mergeCell ref="A142:J142"/>
    <mergeCell ref="B169:D169"/>
    <mergeCell ref="H62:J62"/>
    <mergeCell ref="E53:G53"/>
    <mergeCell ref="E351:G351"/>
    <mergeCell ref="H91:J91"/>
    <mergeCell ref="B200:D200"/>
    <mergeCell ref="B194:D194"/>
    <mergeCell ref="E55:G55"/>
    <mergeCell ref="E353:G353"/>
    <mergeCell ref="B71:D71"/>
    <mergeCell ref="H93:J93"/>
    <mergeCell ref="E48:G48"/>
    <mergeCell ref="B223:D223"/>
    <mergeCell ref="E224:G224"/>
    <mergeCell ref="K246:L246"/>
    <mergeCell ref="B195:D195"/>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3">
    <cfRule type="expression" priority="7" dxfId="0">
      <formula>LEN(K13)&gt;0</formula>
    </cfRule>
  </conditionalFormatting>
  <conditionalFormatting sqref="K14">
    <cfRule type="expression" priority="8" dxfId="0">
      <formula>LEN(K14)&gt;0</formula>
    </cfRule>
  </conditionalFormatting>
  <conditionalFormatting sqref="K15">
    <cfRule type="expression" priority="9" dxfId="0">
      <formula>LEN(K15)&gt;0</formula>
    </cfRule>
  </conditionalFormatting>
  <conditionalFormatting sqref="K16">
    <cfRule type="expression" priority="10" dxfId="0">
      <formula>LEN(K16)&gt;0</formula>
    </cfRule>
  </conditionalFormatting>
  <conditionalFormatting sqref="K34">
    <cfRule type="expression" priority="11" dxfId="0">
      <formula>LEN(K34)&gt;0</formula>
    </cfRule>
  </conditionalFormatting>
  <conditionalFormatting sqref="K35">
    <cfRule type="expression" priority="12" dxfId="0">
      <formula>LEN(K35)&gt;0</formula>
    </cfRule>
  </conditionalFormatting>
  <conditionalFormatting sqref="K36">
    <cfRule type="expression" priority="13" dxfId="0">
      <formula>LEN(K36)&gt;0</formula>
    </cfRule>
  </conditionalFormatting>
  <conditionalFormatting sqref="K37">
    <cfRule type="expression" priority="14" dxfId="0">
      <formula>LEN(K37)&gt;0</formula>
    </cfRule>
  </conditionalFormatting>
  <conditionalFormatting sqref="K38">
    <cfRule type="expression" priority="15" dxfId="0">
      <formula>LEN(K38)&gt;0</formula>
    </cfRule>
  </conditionalFormatting>
  <conditionalFormatting sqref="K39">
    <cfRule type="expression" priority="16" dxfId="0">
      <formula>LEN(K39)&gt;0</formula>
    </cfRule>
  </conditionalFormatting>
  <conditionalFormatting sqref="K40">
    <cfRule type="expression" priority="17" dxfId="0">
      <formula>LEN(K40)&gt;0</formula>
    </cfRule>
  </conditionalFormatting>
  <conditionalFormatting sqref="K41">
    <cfRule type="expression" priority="18" dxfId="0">
      <formula>LEN(K41)&gt;0</formula>
    </cfRule>
  </conditionalFormatting>
  <conditionalFormatting sqref="K42">
    <cfRule type="expression" priority="19" dxfId="0">
      <formula>LEN(K42)&gt;0</formula>
    </cfRule>
  </conditionalFormatting>
  <conditionalFormatting sqref="K43">
    <cfRule type="expression" priority="20" dxfId="0">
      <formula>LEN(K43)&gt;0</formula>
    </cfRule>
  </conditionalFormatting>
  <conditionalFormatting sqref="K44">
    <cfRule type="expression" priority="21" dxfId="0">
      <formula>LEN(K44)&gt;0</formula>
    </cfRule>
  </conditionalFormatting>
  <conditionalFormatting sqref="K45">
    <cfRule type="expression" priority="22" dxfId="0">
      <formula>LEN(K45)&gt;0</formula>
    </cfRule>
  </conditionalFormatting>
  <conditionalFormatting sqref="K46">
    <cfRule type="expression" priority="23" dxfId="0">
      <formula>LEN(K46)&gt;0</formula>
    </cfRule>
  </conditionalFormatting>
  <conditionalFormatting sqref="K48">
    <cfRule type="expression" priority="24" dxfId="0">
      <formula>LEN(K48)&gt;0</formula>
    </cfRule>
  </conditionalFormatting>
  <conditionalFormatting sqref="K49">
    <cfRule type="expression" priority="25" dxfId="0">
      <formula>LEN(K49)&gt;0</formula>
    </cfRule>
  </conditionalFormatting>
  <conditionalFormatting sqref="K50">
    <cfRule type="expression" priority="26" dxfId="0">
      <formula>LEN(K50)&gt;0</formula>
    </cfRule>
  </conditionalFormatting>
  <conditionalFormatting sqref="K51">
    <cfRule type="expression" priority="27" dxfId="0">
      <formula>LEN(K51)&gt;0</formula>
    </cfRule>
  </conditionalFormatting>
  <conditionalFormatting sqref="K52">
    <cfRule type="expression" priority="28" dxfId="0">
      <formula>LEN(K52)&gt;0</formula>
    </cfRule>
  </conditionalFormatting>
  <conditionalFormatting sqref="K53">
    <cfRule type="expression" priority="29" dxfId="0">
      <formula>LEN(K53)&gt;0</formula>
    </cfRule>
  </conditionalFormatting>
  <conditionalFormatting sqref="K54">
    <cfRule type="expression" priority="30" dxfId="0">
      <formula>LEN(K54)&gt;0</formula>
    </cfRule>
  </conditionalFormatting>
  <conditionalFormatting sqref="K55">
    <cfRule type="expression" priority="31" dxfId="0">
      <formula>LEN(K55)&gt;0</formula>
    </cfRule>
  </conditionalFormatting>
  <conditionalFormatting sqref="K56">
    <cfRule type="expression" priority="32" dxfId="0">
      <formula>LEN(K56)&gt;0</formula>
    </cfRule>
  </conditionalFormatting>
  <conditionalFormatting sqref="K57">
    <cfRule type="expression" priority="33" dxfId="0">
      <formula>LEN(K57)&gt;0</formula>
    </cfRule>
  </conditionalFormatting>
  <conditionalFormatting sqref="K58">
    <cfRule type="expression" priority="34" dxfId="0">
      <formula>LEN(K58)&gt;0</formula>
    </cfRule>
  </conditionalFormatting>
  <conditionalFormatting sqref="K59">
    <cfRule type="expression" priority="35" dxfId="0">
      <formula>LEN(K59)&gt;0</formula>
    </cfRule>
  </conditionalFormatting>
  <conditionalFormatting sqref="K60">
    <cfRule type="expression" priority="36" dxfId="0">
      <formula>LEN(K60)&gt;0</formula>
    </cfRule>
  </conditionalFormatting>
  <conditionalFormatting sqref="K62">
    <cfRule type="expression" priority="37" dxfId="0">
      <formula>LEN(K62)&gt;0</formula>
    </cfRule>
  </conditionalFormatting>
  <conditionalFormatting sqref="K63">
    <cfRule type="expression" priority="38" dxfId="0">
      <formula>LEN(K63)&gt;0</formula>
    </cfRule>
  </conditionalFormatting>
  <conditionalFormatting sqref="K64">
    <cfRule type="expression" priority="39" dxfId="0">
      <formula>LEN(K64)&gt;0</formula>
    </cfRule>
  </conditionalFormatting>
  <conditionalFormatting sqref="K65">
    <cfRule type="expression" priority="40" dxfId="0">
      <formula>LEN(K65)&gt;0</formula>
    </cfRule>
  </conditionalFormatting>
  <conditionalFormatting sqref="K66">
    <cfRule type="expression" priority="41" dxfId="0">
      <formula>LEN(K66)&gt;0</formula>
    </cfRule>
  </conditionalFormatting>
  <conditionalFormatting sqref="K67">
    <cfRule type="expression" priority="42" dxfId="0">
      <formula>LEN(K67)&gt;0</formula>
    </cfRule>
  </conditionalFormatting>
  <conditionalFormatting sqref="K68">
    <cfRule type="expression" priority="43" dxfId="0">
      <formula>LEN(K68)&gt;0</formula>
    </cfRule>
  </conditionalFormatting>
  <conditionalFormatting sqref="K69">
    <cfRule type="expression" priority="44" dxfId="0">
      <formula>LEN(K69)&gt;0</formula>
    </cfRule>
  </conditionalFormatting>
  <conditionalFormatting sqref="K70">
    <cfRule type="expression" priority="45" dxfId="0">
      <formula>LEN(K70)&gt;0</formula>
    </cfRule>
  </conditionalFormatting>
  <conditionalFormatting sqref="K71">
    <cfRule type="expression" priority="46" dxfId="0">
      <formula>LEN(K71)&gt;0</formula>
    </cfRule>
  </conditionalFormatting>
  <conditionalFormatting sqref="K72">
    <cfRule type="expression" priority="47" dxfId="0">
      <formula>LEN(K72)&gt;0</formula>
    </cfRule>
  </conditionalFormatting>
  <conditionalFormatting sqref="K73">
    <cfRule type="expression" priority="48" dxfId="0">
      <formula>LEN(K73)&gt;0</formula>
    </cfRule>
  </conditionalFormatting>
  <conditionalFormatting sqref="K74">
    <cfRule type="expression" priority="49" dxfId="0">
      <formula>LEN(K74)&gt;0</formula>
    </cfRule>
  </conditionalFormatting>
  <conditionalFormatting sqref="K76">
    <cfRule type="expression" priority="50" dxfId="0">
      <formula>LEN(K76)&gt;0</formula>
    </cfRule>
  </conditionalFormatting>
  <conditionalFormatting sqref="K77">
    <cfRule type="expression" priority="51" dxfId="0">
      <formula>LEN(K77)&gt;0</formula>
    </cfRule>
  </conditionalFormatting>
  <conditionalFormatting sqref="K78">
    <cfRule type="expression" priority="52" dxfId="0">
      <formula>LEN(K78)&gt;0</formula>
    </cfRule>
  </conditionalFormatting>
  <conditionalFormatting sqref="K79">
    <cfRule type="expression" priority="53" dxfId="0">
      <formula>LEN(K79)&gt;0</formula>
    </cfRule>
  </conditionalFormatting>
  <conditionalFormatting sqref="K80">
    <cfRule type="expression" priority="54" dxfId="0">
      <formula>LEN(K80)&gt;0</formula>
    </cfRule>
  </conditionalFormatting>
  <conditionalFormatting sqref="K81">
    <cfRule type="expression" priority="55" dxfId="0">
      <formula>LEN(K81)&gt;0</formula>
    </cfRule>
  </conditionalFormatting>
  <conditionalFormatting sqref="K82">
    <cfRule type="expression" priority="56" dxfId="0">
      <formula>LEN(K82)&gt;0</formula>
    </cfRule>
  </conditionalFormatting>
  <conditionalFormatting sqref="K83">
    <cfRule type="expression" priority="57" dxfId="0">
      <formula>LEN(K83)&gt;0</formula>
    </cfRule>
  </conditionalFormatting>
  <conditionalFormatting sqref="K84">
    <cfRule type="expression" priority="58" dxfId="0">
      <formula>LEN(K84)&gt;0</formula>
    </cfRule>
  </conditionalFormatting>
  <conditionalFormatting sqref="K85">
    <cfRule type="expression" priority="59" dxfId="0">
      <formula>LEN(K85)&gt;0</formula>
    </cfRule>
  </conditionalFormatting>
  <conditionalFormatting sqref="K86">
    <cfRule type="expression" priority="60" dxfId="0">
      <formula>LEN(K86)&gt;0</formula>
    </cfRule>
  </conditionalFormatting>
  <conditionalFormatting sqref="K87">
    <cfRule type="expression" priority="61" dxfId="0">
      <formula>LEN(K87)&gt;0</formula>
    </cfRule>
  </conditionalFormatting>
  <conditionalFormatting sqref="K88">
    <cfRule type="expression" priority="62" dxfId="0">
      <formula>LEN(K88)&gt;0</formula>
    </cfRule>
  </conditionalFormatting>
  <conditionalFormatting sqref="K90">
    <cfRule type="expression" priority="63" dxfId="0">
      <formula>LEN(K90)&gt;0</formula>
    </cfRule>
  </conditionalFormatting>
  <conditionalFormatting sqref="K91">
    <cfRule type="expression" priority="64" dxfId="0">
      <formula>LEN(K91)&gt;0</formula>
    </cfRule>
  </conditionalFormatting>
  <conditionalFormatting sqref="K92">
    <cfRule type="expression" priority="65" dxfId="0">
      <formula>LEN(K92)&gt;0</formula>
    </cfRule>
  </conditionalFormatting>
  <conditionalFormatting sqref="K93">
    <cfRule type="expression" priority="66" dxfId="0">
      <formula>LEN(K93)&gt;0</formula>
    </cfRule>
  </conditionalFormatting>
  <conditionalFormatting sqref="K94">
    <cfRule type="expression" priority="67" dxfId="0">
      <formula>LEN(K94)&gt;0</formula>
    </cfRule>
  </conditionalFormatting>
  <conditionalFormatting sqref="K95">
    <cfRule type="expression" priority="68" dxfId="0">
      <formula>LEN(K95)&gt;0</formula>
    </cfRule>
  </conditionalFormatting>
  <conditionalFormatting sqref="K96">
    <cfRule type="expression" priority="69" dxfId="0">
      <formula>LEN(K96)&gt;0</formula>
    </cfRule>
  </conditionalFormatting>
  <conditionalFormatting sqref="K97">
    <cfRule type="expression" priority="70" dxfId="0">
      <formula>LEN(K97)&gt;0</formula>
    </cfRule>
  </conditionalFormatting>
  <conditionalFormatting sqref="K98">
    <cfRule type="expression" priority="71" dxfId="0">
      <formula>LEN(K98)&gt;0</formula>
    </cfRule>
  </conditionalFormatting>
  <conditionalFormatting sqref="K99">
    <cfRule type="expression" priority="72" dxfId="0">
      <formula>LEN(K99)&gt;0</formula>
    </cfRule>
  </conditionalFormatting>
  <conditionalFormatting sqref="K100">
    <cfRule type="expression" priority="73" dxfId="0">
      <formula>LEN(K100)&gt;0</formula>
    </cfRule>
  </conditionalFormatting>
  <conditionalFormatting sqref="K101">
    <cfRule type="expression" priority="74" dxfId="0">
      <formula>LEN(K101)&gt;0</formula>
    </cfRule>
  </conditionalFormatting>
  <conditionalFormatting sqref="K102">
    <cfRule type="expression" priority="75" dxfId="0">
      <formula>LEN(K102)&gt;0</formula>
    </cfRule>
  </conditionalFormatting>
  <conditionalFormatting sqref="K104">
    <cfRule type="expression" priority="76" dxfId="0">
      <formula>LEN(K104)&gt;0</formula>
    </cfRule>
  </conditionalFormatting>
  <conditionalFormatting sqref="K105">
    <cfRule type="expression" priority="77" dxfId="0">
      <formula>LEN(K105)&gt;0</formula>
    </cfRule>
  </conditionalFormatting>
  <conditionalFormatting sqref="K106">
    <cfRule type="expression" priority="78" dxfId="0">
      <formula>LEN(K106)&gt;0</formula>
    </cfRule>
  </conditionalFormatting>
  <conditionalFormatting sqref="K107">
    <cfRule type="expression" priority="79" dxfId="0">
      <formula>LEN(K107)&gt;0</formula>
    </cfRule>
  </conditionalFormatting>
  <conditionalFormatting sqref="K108">
    <cfRule type="expression" priority="80" dxfId="0">
      <formula>LEN(K108)&gt;0</formula>
    </cfRule>
  </conditionalFormatting>
  <conditionalFormatting sqref="K109">
    <cfRule type="expression" priority="81" dxfId="0">
      <formula>LEN(K109)&gt;0</formula>
    </cfRule>
  </conditionalFormatting>
  <conditionalFormatting sqref="K110">
    <cfRule type="expression" priority="82" dxfId="0">
      <formula>LEN(K110)&gt;0</formula>
    </cfRule>
  </conditionalFormatting>
  <conditionalFormatting sqref="K111">
    <cfRule type="expression" priority="83" dxfId="0">
      <formula>LEN(K111)&gt;0</formula>
    </cfRule>
  </conditionalFormatting>
  <conditionalFormatting sqref="K112">
    <cfRule type="expression" priority="84" dxfId="0">
      <formula>LEN(K112)&gt;0</formula>
    </cfRule>
  </conditionalFormatting>
  <conditionalFormatting sqref="K113">
    <cfRule type="expression" priority="85" dxfId="0">
      <formula>LEN(K113)&gt;0</formula>
    </cfRule>
  </conditionalFormatting>
  <conditionalFormatting sqref="K114">
    <cfRule type="expression" priority="86" dxfId="0">
      <formula>LEN(K114)&gt;0</formula>
    </cfRule>
  </conditionalFormatting>
  <conditionalFormatting sqref="K115">
    <cfRule type="expression" priority="87" dxfId="0">
      <formula>LEN(K115)&gt;0</formula>
    </cfRule>
  </conditionalFormatting>
  <conditionalFormatting sqref="K116">
    <cfRule type="expression" priority="88" dxfId="0">
      <formula>LEN(K116)&gt;0</formula>
    </cfRule>
  </conditionalFormatting>
  <conditionalFormatting sqref="K118">
    <cfRule type="expression" priority="89" dxfId="0">
      <formula>LEN(K118)&gt;0</formula>
    </cfRule>
  </conditionalFormatting>
  <conditionalFormatting sqref="K119">
    <cfRule type="expression" priority="90" dxfId="0">
      <formula>LEN(K119)&gt;0</formula>
    </cfRule>
  </conditionalFormatting>
  <conditionalFormatting sqref="K120">
    <cfRule type="expression" priority="91" dxfId="0">
      <formula>LEN(K120)&gt;0</formula>
    </cfRule>
  </conditionalFormatting>
  <conditionalFormatting sqref="K121">
    <cfRule type="expression" priority="92" dxfId="0">
      <formula>LEN(K121)&gt;0</formula>
    </cfRule>
  </conditionalFormatting>
  <conditionalFormatting sqref="K122">
    <cfRule type="expression" priority="93" dxfId="0">
      <formula>LEN(K122)&gt;0</formula>
    </cfRule>
  </conditionalFormatting>
  <conditionalFormatting sqref="K123">
    <cfRule type="expression" priority="94" dxfId="0">
      <formula>LEN(K123)&gt;0</formula>
    </cfRule>
  </conditionalFormatting>
  <conditionalFormatting sqref="K124">
    <cfRule type="expression" priority="95" dxfId="0">
      <formula>LEN(K124)&gt;0</formula>
    </cfRule>
  </conditionalFormatting>
  <conditionalFormatting sqref="K125">
    <cfRule type="expression" priority="96" dxfId="0">
      <formula>LEN(K125)&gt;0</formula>
    </cfRule>
  </conditionalFormatting>
  <conditionalFormatting sqref="K126">
    <cfRule type="expression" priority="97" dxfId="0">
      <formula>LEN(K126)&gt;0</formula>
    </cfRule>
  </conditionalFormatting>
  <conditionalFormatting sqref="K127">
    <cfRule type="expression" priority="98" dxfId="0">
      <formula>LEN(K127)&gt;0</formula>
    </cfRule>
  </conditionalFormatting>
  <conditionalFormatting sqref="K128">
    <cfRule type="expression" priority="99" dxfId="0">
      <formula>LEN(K128)&gt;0</formula>
    </cfRule>
  </conditionalFormatting>
  <conditionalFormatting sqref="K129">
    <cfRule type="expression" priority="100" dxfId="0">
      <formula>LEN(K129)&gt;0</formula>
    </cfRule>
  </conditionalFormatting>
  <conditionalFormatting sqref="K130">
    <cfRule type="expression" priority="101" dxfId="0">
      <formula>LEN(K130)&gt;0</formula>
    </cfRule>
  </conditionalFormatting>
  <conditionalFormatting sqref="K132">
    <cfRule type="expression" priority="102" dxfId="0">
      <formula>LEN(K132)&gt;0</formula>
    </cfRule>
  </conditionalFormatting>
  <conditionalFormatting sqref="K133">
    <cfRule type="expression" priority="103" dxfId="0">
      <formula>LEN(K133)&gt;0</formula>
    </cfRule>
  </conditionalFormatting>
  <conditionalFormatting sqref="K134">
    <cfRule type="expression" priority="104" dxfId="0">
      <formula>LEN(K134)&gt;0</formula>
    </cfRule>
  </conditionalFormatting>
  <conditionalFormatting sqref="K135">
    <cfRule type="expression" priority="105" dxfId="0">
      <formula>LEN(K135)&gt;0</formula>
    </cfRule>
  </conditionalFormatting>
  <conditionalFormatting sqref="K136">
    <cfRule type="expression" priority="106" dxfId="0">
      <formula>LEN(K136)&gt;0</formula>
    </cfRule>
  </conditionalFormatting>
  <conditionalFormatting sqref="K137">
    <cfRule type="expression" priority="107" dxfId="0">
      <formula>LEN(K137)&gt;0</formula>
    </cfRule>
  </conditionalFormatting>
  <conditionalFormatting sqref="K138">
    <cfRule type="expression" priority="108" dxfId="0">
      <formula>LEN(K138)&gt;0</formula>
    </cfRule>
  </conditionalFormatting>
  <conditionalFormatting sqref="K139">
    <cfRule type="expression" priority="109" dxfId="0">
      <formula>LEN(K139)&gt;0</formula>
    </cfRule>
  </conditionalFormatting>
  <conditionalFormatting sqref="K140">
    <cfRule type="expression" priority="110" dxfId="0">
      <formula>LEN(K140)&gt;0</formula>
    </cfRule>
  </conditionalFormatting>
  <conditionalFormatting sqref="K144">
    <cfRule type="expression" priority="111" dxfId="0">
      <formula>LEN(K144)&gt;0</formula>
    </cfRule>
  </conditionalFormatting>
  <conditionalFormatting sqref="K145">
    <cfRule type="expression" priority="112" dxfId="0">
      <formula>LEN(K145)&gt;0</formula>
    </cfRule>
  </conditionalFormatting>
  <conditionalFormatting sqref="K146">
    <cfRule type="expression" priority="113" dxfId="0">
      <formula>LEN(K146)&gt;0</formula>
    </cfRule>
  </conditionalFormatting>
  <conditionalFormatting sqref="K147">
    <cfRule type="expression" priority="114" dxfId="0">
      <formula>LEN(K147)&gt;0</formula>
    </cfRule>
  </conditionalFormatting>
  <conditionalFormatting sqref="K148">
    <cfRule type="expression" priority="115" dxfId="0">
      <formula>LEN(K148)&gt;0</formula>
    </cfRule>
  </conditionalFormatting>
  <conditionalFormatting sqref="K149">
    <cfRule type="expression" priority="116" dxfId="0">
      <formula>LEN(K149)&gt;0</formula>
    </cfRule>
  </conditionalFormatting>
  <conditionalFormatting sqref="K150">
    <cfRule type="expression" priority="117" dxfId="0">
      <formula>LEN(K150)&gt;0</formula>
    </cfRule>
  </conditionalFormatting>
  <conditionalFormatting sqref="K151">
    <cfRule type="expression" priority="118" dxfId="0">
      <formula>LEN(K151)&gt;0</formula>
    </cfRule>
  </conditionalFormatting>
  <conditionalFormatting sqref="K152">
    <cfRule type="expression" priority="119" dxfId="0">
      <formula>LEN(K152)&gt;0</formula>
    </cfRule>
  </conditionalFormatting>
  <conditionalFormatting sqref="K153">
    <cfRule type="expression" priority="120" dxfId="0">
      <formula>LEN(K153)&gt;0</formula>
    </cfRule>
  </conditionalFormatting>
  <conditionalFormatting sqref="K154">
    <cfRule type="expression" priority="121" dxfId="0">
      <formula>LEN(K154)&gt;0</formula>
    </cfRule>
  </conditionalFormatting>
  <conditionalFormatting sqref="K155">
    <cfRule type="expression" priority="122" dxfId="0">
      <formula>LEN(K155)&gt;0</formula>
    </cfRule>
  </conditionalFormatting>
  <conditionalFormatting sqref="K156">
    <cfRule type="expression" priority="123" dxfId="0">
      <formula>LEN(K156)&gt;0</formula>
    </cfRule>
  </conditionalFormatting>
  <conditionalFormatting sqref="K158">
    <cfRule type="expression" priority="124" dxfId="0">
      <formula>LEN(K158)&gt;0</formula>
    </cfRule>
  </conditionalFormatting>
  <conditionalFormatting sqref="K159">
    <cfRule type="expression" priority="125" dxfId="0">
      <formula>LEN(K159)&gt;0</formula>
    </cfRule>
  </conditionalFormatting>
  <conditionalFormatting sqref="K160">
    <cfRule type="expression" priority="126" dxfId="0">
      <formula>LEN(K160)&gt;0</formula>
    </cfRule>
  </conditionalFormatting>
  <conditionalFormatting sqref="K161">
    <cfRule type="expression" priority="127" dxfId="0">
      <formula>LEN(K161)&gt;0</formula>
    </cfRule>
  </conditionalFormatting>
  <conditionalFormatting sqref="K162">
    <cfRule type="expression" priority="128" dxfId="0">
      <formula>LEN(K162)&gt;0</formula>
    </cfRule>
  </conditionalFormatting>
  <conditionalFormatting sqref="K163">
    <cfRule type="expression" priority="129" dxfId="0">
      <formula>LEN(K163)&gt;0</formula>
    </cfRule>
  </conditionalFormatting>
  <conditionalFormatting sqref="K164">
    <cfRule type="expression" priority="130" dxfId="0">
      <formula>LEN(K164)&gt;0</formula>
    </cfRule>
  </conditionalFormatting>
  <conditionalFormatting sqref="K165">
    <cfRule type="expression" priority="131" dxfId="0">
      <formula>LEN(K165)&gt;0</formula>
    </cfRule>
  </conditionalFormatting>
  <conditionalFormatting sqref="K166">
    <cfRule type="expression" priority="132" dxfId="0">
      <formula>LEN(K166)&gt;0</formula>
    </cfRule>
  </conditionalFormatting>
  <conditionalFormatting sqref="K167">
    <cfRule type="expression" priority="133" dxfId="0">
      <formula>LEN(K167)&gt;0</formula>
    </cfRule>
  </conditionalFormatting>
  <conditionalFormatting sqref="K168">
    <cfRule type="expression" priority="134" dxfId="0">
      <formula>LEN(K168)&gt;0</formula>
    </cfRule>
  </conditionalFormatting>
  <conditionalFormatting sqref="K169">
    <cfRule type="expression" priority="135" dxfId="0">
      <formula>LEN(K169)&gt;0</formula>
    </cfRule>
  </conditionalFormatting>
  <conditionalFormatting sqref="K170">
    <cfRule type="expression" priority="136" dxfId="0">
      <formula>LEN(K170)&gt;0</formula>
    </cfRule>
  </conditionalFormatting>
  <conditionalFormatting sqref="K172">
    <cfRule type="expression" priority="137" dxfId="0">
      <formula>LEN(K172)&gt;0</formula>
    </cfRule>
  </conditionalFormatting>
  <conditionalFormatting sqref="K173">
    <cfRule type="expression" priority="138" dxfId="0">
      <formula>LEN(K173)&gt;0</formula>
    </cfRule>
  </conditionalFormatting>
  <conditionalFormatting sqref="K174">
    <cfRule type="expression" priority="139" dxfId="0">
      <formula>LEN(K174)&gt;0</formula>
    </cfRule>
  </conditionalFormatting>
  <conditionalFormatting sqref="K175">
    <cfRule type="expression" priority="140" dxfId="0">
      <formula>LEN(K175)&gt;0</formula>
    </cfRule>
  </conditionalFormatting>
  <conditionalFormatting sqref="K176">
    <cfRule type="expression" priority="141" dxfId="0">
      <formula>LEN(K176)&gt;0</formula>
    </cfRule>
  </conditionalFormatting>
  <conditionalFormatting sqref="K177">
    <cfRule type="expression" priority="142" dxfId="0">
      <formula>LEN(K177)&gt;0</formula>
    </cfRule>
  </conditionalFormatting>
  <conditionalFormatting sqref="K178">
    <cfRule type="expression" priority="143" dxfId="0">
      <formula>LEN(K178)&gt;0</formula>
    </cfRule>
  </conditionalFormatting>
  <conditionalFormatting sqref="K179">
    <cfRule type="expression" priority="144" dxfId="0">
      <formula>LEN(K179)&gt;0</formula>
    </cfRule>
  </conditionalFormatting>
  <conditionalFormatting sqref="K180">
    <cfRule type="expression" priority="145" dxfId="0">
      <formula>LEN(K180)&gt;0</formula>
    </cfRule>
  </conditionalFormatting>
  <conditionalFormatting sqref="K181">
    <cfRule type="expression" priority="146" dxfId="0">
      <formula>LEN(K181)&gt;0</formula>
    </cfRule>
  </conditionalFormatting>
  <conditionalFormatting sqref="K182">
    <cfRule type="expression" priority="147" dxfId="0">
      <formula>LEN(K182)&gt;0</formula>
    </cfRule>
  </conditionalFormatting>
  <conditionalFormatting sqref="K183">
    <cfRule type="expression" priority="148" dxfId="0">
      <formula>LEN(K183)&gt;0</formula>
    </cfRule>
  </conditionalFormatting>
  <conditionalFormatting sqref="K184">
    <cfRule type="expression" priority="149" dxfId="0">
      <formula>LEN(K184)&gt;0</formula>
    </cfRule>
  </conditionalFormatting>
  <conditionalFormatting sqref="K186">
    <cfRule type="expression" priority="150" dxfId="0">
      <formula>LEN(K186)&gt;0</formula>
    </cfRule>
  </conditionalFormatting>
  <conditionalFormatting sqref="K187">
    <cfRule type="expression" priority="151" dxfId="0">
      <formula>LEN(K187)&gt;0</formula>
    </cfRule>
  </conditionalFormatting>
  <conditionalFormatting sqref="K188">
    <cfRule type="expression" priority="152" dxfId="0">
      <formula>LEN(K188)&gt;0</formula>
    </cfRule>
  </conditionalFormatting>
  <conditionalFormatting sqref="K189">
    <cfRule type="expression" priority="153" dxfId="0">
      <formula>LEN(K189)&gt;0</formula>
    </cfRule>
  </conditionalFormatting>
  <conditionalFormatting sqref="K190">
    <cfRule type="expression" priority="154" dxfId="0">
      <formula>LEN(K190)&gt;0</formula>
    </cfRule>
  </conditionalFormatting>
  <conditionalFormatting sqref="K191">
    <cfRule type="expression" priority="155" dxfId="0">
      <formula>LEN(K191)&gt;0</formula>
    </cfRule>
  </conditionalFormatting>
  <conditionalFormatting sqref="K192">
    <cfRule type="expression" priority="156" dxfId="0">
      <formula>LEN(K192)&gt;0</formula>
    </cfRule>
  </conditionalFormatting>
  <conditionalFormatting sqref="K193">
    <cfRule type="expression" priority="157" dxfId="0">
      <formula>LEN(K193)&gt;0</formula>
    </cfRule>
  </conditionalFormatting>
  <conditionalFormatting sqref="K194">
    <cfRule type="expression" priority="158" dxfId="0">
      <formula>LEN(K194)&gt;0</formula>
    </cfRule>
  </conditionalFormatting>
  <conditionalFormatting sqref="K195">
    <cfRule type="expression" priority="159" dxfId="0">
      <formula>LEN(K195)&gt;0</formula>
    </cfRule>
  </conditionalFormatting>
  <conditionalFormatting sqref="K196">
    <cfRule type="expression" priority="160" dxfId="0">
      <formula>LEN(K196)&gt;0</formula>
    </cfRule>
  </conditionalFormatting>
  <conditionalFormatting sqref="K197">
    <cfRule type="expression" priority="161" dxfId="0">
      <formula>LEN(K197)&gt;0</formula>
    </cfRule>
  </conditionalFormatting>
  <conditionalFormatting sqref="K198">
    <cfRule type="expression" priority="162" dxfId="0">
      <formula>LEN(K198)&gt;0</formula>
    </cfRule>
  </conditionalFormatting>
  <conditionalFormatting sqref="K200">
    <cfRule type="expression" priority="163" dxfId="0">
      <formula>LEN(K200)&gt;0</formula>
    </cfRule>
  </conditionalFormatting>
  <conditionalFormatting sqref="K201">
    <cfRule type="expression" priority="164" dxfId="0">
      <formula>LEN(K201)&gt;0</formula>
    </cfRule>
  </conditionalFormatting>
  <conditionalFormatting sqref="K202">
    <cfRule type="expression" priority="165" dxfId="0">
      <formula>LEN(K202)&gt;0</formula>
    </cfRule>
  </conditionalFormatting>
  <conditionalFormatting sqref="K203">
    <cfRule type="expression" priority="166" dxfId="0">
      <formula>LEN(K203)&gt;0</formula>
    </cfRule>
  </conditionalFormatting>
  <conditionalFormatting sqref="K204">
    <cfRule type="expression" priority="167" dxfId="0">
      <formula>LEN(K204)&gt;0</formula>
    </cfRule>
  </conditionalFormatting>
  <conditionalFormatting sqref="K205">
    <cfRule type="expression" priority="168" dxfId="0">
      <formula>LEN(K205)&gt;0</formula>
    </cfRule>
  </conditionalFormatting>
  <conditionalFormatting sqref="K206">
    <cfRule type="expression" priority="169" dxfId="0">
      <formula>LEN(K206)&gt;0</formula>
    </cfRule>
  </conditionalFormatting>
  <conditionalFormatting sqref="K207">
    <cfRule type="expression" priority="170" dxfId="0">
      <formula>LEN(K207)&gt;0</formula>
    </cfRule>
  </conditionalFormatting>
  <conditionalFormatting sqref="K208">
    <cfRule type="expression" priority="171" dxfId="0">
      <formula>LEN(K208)&gt;0</formula>
    </cfRule>
  </conditionalFormatting>
  <conditionalFormatting sqref="K209">
    <cfRule type="expression" priority="172" dxfId="0">
      <formula>LEN(K209)&gt;0</formula>
    </cfRule>
  </conditionalFormatting>
  <conditionalFormatting sqref="K210">
    <cfRule type="expression" priority="173" dxfId="0">
      <formula>LEN(K210)&gt;0</formula>
    </cfRule>
  </conditionalFormatting>
  <conditionalFormatting sqref="K211">
    <cfRule type="expression" priority="174" dxfId="0">
      <formula>LEN(K211)&gt;0</formula>
    </cfRule>
  </conditionalFormatting>
  <conditionalFormatting sqref="K212">
    <cfRule type="expression" priority="175" dxfId="0">
      <formula>LEN(K212)&gt;0</formula>
    </cfRule>
  </conditionalFormatting>
  <conditionalFormatting sqref="K214">
    <cfRule type="expression" priority="176" dxfId="0">
      <formula>LEN(K214)&gt;0</formula>
    </cfRule>
  </conditionalFormatting>
  <conditionalFormatting sqref="K215">
    <cfRule type="expression" priority="177" dxfId="0">
      <formula>LEN(K215)&gt;0</formula>
    </cfRule>
  </conditionalFormatting>
  <conditionalFormatting sqref="K216">
    <cfRule type="expression" priority="178" dxfId="0">
      <formula>LEN(K216)&gt;0</formula>
    </cfRule>
  </conditionalFormatting>
  <conditionalFormatting sqref="K217">
    <cfRule type="expression" priority="179" dxfId="0">
      <formula>LEN(K217)&gt;0</formula>
    </cfRule>
  </conditionalFormatting>
  <conditionalFormatting sqref="K218">
    <cfRule type="expression" priority="180" dxfId="0">
      <formula>LEN(K218)&gt;0</formula>
    </cfRule>
  </conditionalFormatting>
  <conditionalFormatting sqref="K219">
    <cfRule type="expression" priority="181" dxfId="0">
      <formula>LEN(K219)&gt;0</formula>
    </cfRule>
  </conditionalFormatting>
  <conditionalFormatting sqref="K220">
    <cfRule type="expression" priority="182" dxfId="0">
      <formula>LEN(K220)&gt;0</formula>
    </cfRule>
  </conditionalFormatting>
  <conditionalFormatting sqref="K221">
    <cfRule type="expression" priority="183" dxfId="0">
      <formula>LEN(K221)&gt;0</formula>
    </cfRule>
  </conditionalFormatting>
  <conditionalFormatting sqref="K222">
    <cfRule type="expression" priority="184" dxfId="0">
      <formula>LEN(K222)&gt;0</formula>
    </cfRule>
  </conditionalFormatting>
  <conditionalFormatting sqref="K223">
    <cfRule type="expression" priority="185" dxfId="0">
      <formula>LEN(K223)&gt;0</formula>
    </cfRule>
  </conditionalFormatting>
  <conditionalFormatting sqref="K224">
    <cfRule type="expression" priority="186" dxfId="0">
      <formula>LEN(K224)&gt;0</formula>
    </cfRule>
  </conditionalFormatting>
  <conditionalFormatting sqref="K225">
    <cfRule type="expression" priority="187" dxfId="0">
      <formula>LEN(K225)&gt;0</formula>
    </cfRule>
  </conditionalFormatting>
  <conditionalFormatting sqref="K226">
    <cfRule type="expression" priority="188" dxfId="0">
      <formula>LEN(K226)&gt;0</formula>
    </cfRule>
  </conditionalFormatting>
  <conditionalFormatting sqref="K228">
    <cfRule type="expression" priority="189" dxfId="0">
      <formula>LEN(K228)&gt;0</formula>
    </cfRule>
  </conditionalFormatting>
  <conditionalFormatting sqref="K229">
    <cfRule type="expression" priority="190" dxfId="0">
      <formula>LEN(K229)&gt;0</formula>
    </cfRule>
  </conditionalFormatting>
  <conditionalFormatting sqref="K230">
    <cfRule type="expression" priority="191" dxfId="0">
      <formula>LEN(K230)&gt;0</formula>
    </cfRule>
  </conditionalFormatting>
  <conditionalFormatting sqref="K231">
    <cfRule type="expression" priority="192" dxfId="0">
      <formula>LEN(K231)&gt;0</formula>
    </cfRule>
  </conditionalFormatting>
  <conditionalFormatting sqref="K232">
    <cfRule type="expression" priority="193" dxfId="0">
      <formula>LEN(K232)&gt;0</formula>
    </cfRule>
  </conditionalFormatting>
  <conditionalFormatting sqref="K233">
    <cfRule type="expression" priority="194" dxfId="0">
      <formula>LEN(K233)&gt;0</formula>
    </cfRule>
  </conditionalFormatting>
  <conditionalFormatting sqref="K234">
    <cfRule type="expression" priority="195" dxfId="0">
      <formula>LEN(K234)&gt;0</formula>
    </cfRule>
  </conditionalFormatting>
  <conditionalFormatting sqref="K235">
    <cfRule type="expression" priority="196" dxfId="0">
      <formula>LEN(K235)&gt;0</formula>
    </cfRule>
  </conditionalFormatting>
  <conditionalFormatting sqref="K236">
    <cfRule type="expression" priority="197" dxfId="0">
      <formula>LEN(K236)&gt;0</formula>
    </cfRule>
  </conditionalFormatting>
  <conditionalFormatting sqref="K237">
    <cfRule type="expression" priority="198" dxfId="0">
      <formula>LEN(K237)&gt;0</formula>
    </cfRule>
  </conditionalFormatting>
  <conditionalFormatting sqref="K238">
    <cfRule type="expression" priority="199" dxfId="0">
      <formula>LEN(K238)&gt;0</formula>
    </cfRule>
  </conditionalFormatting>
  <conditionalFormatting sqref="K239">
    <cfRule type="expression" priority="200" dxfId="0">
      <formula>LEN(K239)&gt;0</formula>
    </cfRule>
  </conditionalFormatting>
  <conditionalFormatting sqref="K240">
    <cfRule type="expression" priority="201" dxfId="0">
      <formula>LEN(K240)&gt;0</formula>
    </cfRule>
  </conditionalFormatting>
  <conditionalFormatting sqref="K242">
    <cfRule type="expression" priority="202" dxfId="0">
      <formula>LEN(K242)&gt;0</formula>
    </cfRule>
  </conditionalFormatting>
  <conditionalFormatting sqref="K243">
    <cfRule type="expression" priority="203" dxfId="0">
      <formula>LEN(K243)&gt;0</formula>
    </cfRule>
  </conditionalFormatting>
  <conditionalFormatting sqref="K244">
    <cfRule type="expression" priority="204" dxfId="0">
      <formula>LEN(K244)&gt;0</formula>
    </cfRule>
  </conditionalFormatting>
  <conditionalFormatting sqref="K245">
    <cfRule type="expression" priority="205" dxfId="0">
      <formula>LEN(K245)&gt;0</formula>
    </cfRule>
  </conditionalFormatting>
  <conditionalFormatting sqref="K246">
    <cfRule type="expression" priority="206" dxfId="0">
      <formula>LEN(K246)&gt;0</formula>
    </cfRule>
  </conditionalFormatting>
  <conditionalFormatting sqref="K247">
    <cfRule type="expression" priority="207" dxfId="0">
      <formula>LEN(K247)&gt;0</formula>
    </cfRule>
  </conditionalFormatting>
  <conditionalFormatting sqref="K248">
    <cfRule type="expression" priority="208" dxfId="0">
      <formula>LEN(K248)&gt;0</formula>
    </cfRule>
  </conditionalFormatting>
  <conditionalFormatting sqref="K249">
    <cfRule type="expression" priority="209" dxfId="0">
      <formula>LEN(K249)&gt;0</formula>
    </cfRule>
  </conditionalFormatting>
  <conditionalFormatting sqref="K250">
    <cfRule type="expression" priority="210" dxfId="0">
      <formula>LEN(K250)&gt;0</formula>
    </cfRule>
  </conditionalFormatting>
  <conditionalFormatting sqref="K254">
    <cfRule type="expression" priority="211" dxfId="0">
      <formula>LEN(K254)&gt;0</formula>
    </cfRule>
  </conditionalFormatting>
  <conditionalFormatting sqref="K255">
    <cfRule type="expression" priority="212" dxfId="0">
      <formula>LEN(K255)&gt;0</formula>
    </cfRule>
  </conditionalFormatting>
  <conditionalFormatting sqref="K256">
    <cfRule type="expression" priority="213" dxfId="0">
      <formula>LEN(K256)&gt;0</formula>
    </cfRule>
  </conditionalFormatting>
  <conditionalFormatting sqref="K257">
    <cfRule type="expression" priority="214" dxfId="0">
      <formula>LEN(K257)&gt;0</formula>
    </cfRule>
  </conditionalFormatting>
  <conditionalFormatting sqref="K258">
    <cfRule type="expression" priority="215" dxfId="0">
      <formula>LEN(K258)&gt;0</formula>
    </cfRule>
  </conditionalFormatting>
  <conditionalFormatting sqref="K259">
    <cfRule type="expression" priority="216" dxfId="0">
      <formula>LEN(K259)&gt;0</formula>
    </cfRule>
  </conditionalFormatting>
  <conditionalFormatting sqref="K260">
    <cfRule type="expression" priority="217" dxfId="0">
      <formula>LEN(K260)&gt;0</formula>
    </cfRule>
  </conditionalFormatting>
  <conditionalFormatting sqref="K261">
    <cfRule type="expression" priority="218" dxfId="0">
      <formula>LEN(K261)&gt;0</formula>
    </cfRule>
  </conditionalFormatting>
  <conditionalFormatting sqref="K262">
    <cfRule type="expression" priority="219" dxfId="0">
      <formula>LEN(K262)&gt;0</formula>
    </cfRule>
  </conditionalFormatting>
  <conditionalFormatting sqref="K263">
    <cfRule type="expression" priority="220" dxfId="0">
      <formula>LEN(K263)&gt;0</formula>
    </cfRule>
  </conditionalFormatting>
  <conditionalFormatting sqref="K264">
    <cfRule type="expression" priority="221" dxfId="0">
      <formula>LEN(K264)&gt;0</formula>
    </cfRule>
  </conditionalFormatting>
  <conditionalFormatting sqref="K265">
    <cfRule type="expression" priority="222" dxfId="0">
      <formula>LEN(K265)&gt;0</formula>
    </cfRule>
  </conditionalFormatting>
  <conditionalFormatting sqref="K266">
    <cfRule type="expression" priority="223" dxfId="0">
      <formula>LEN(K266)&gt;0</formula>
    </cfRule>
  </conditionalFormatting>
  <conditionalFormatting sqref="K268">
    <cfRule type="expression" priority="224" dxfId="0">
      <formula>LEN(K268)&gt;0</formula>
    </cfRule>
  </conditionalFormatting>
  <conditionalFormatting sqref="K269">
    <cfRule type="expression" priority="225" dxfId="0">
      <formula>LEN(K269)&gt;0</formula>
    </cfRule>
  </conditionalFormatting>
  <conditionalFormatting sqref="K270">
    <cfRule type="expression" priority="226" dxfId="0">
      <formula>LEN(K270)&gt;0</formula>
    </cfRule>
  </conditionalFormatting>
  <conditionalFormatting sqref="K271">
    <cfRule type="expression" priority="227" dxfId="0">
      <formula>LEN(K271)&gt;0</formula>
    </cfRule>
  </conditionalFormatting>
  <conditionalFormatting sqref="K272">
    <cfRule type="expression" priority="228" dxfId="0">
      <formula>LEN(K272)&gt;0</formula>
    </cfRule>
  </conditionalFormatting>
  <conditionalFormatting sqref="K273">
    <cfRule type="expression" priority="229" dxfId="0">
      <formula>LEN(K273)&gt;0</formula>
    </cfRule>
  </conditionalFormatting>
  <conditionalFormatting sqref="K274">
    <cfRule type="expression" priority="230" dxfId="0">
      <formula>LEN(K274)&gt;0</formula>
    </cfRule>
  </conditionalFormatting>
  <conditionalFormatting sqref="K275">
    <cfRule type="expression" priority="231" dxfId="0">
      <formula>LEN(K275)&gt;0</formula>
    </cfRule>
  </conditionalFormatting>
  <conditionalFormatting sqref="K276">
    <cfRule type="expression" priority="232" dxfId="0">
      <formula>LEN(K276)&gt;0</formula>
    </cfRule>
  </conditionalFormatting>
  <conditionalFormatting sqref="K277">
    <cfRule type="expression" priority="233" dxfId="0">
      <formula>LEN(K277)&gt;0</formula>
    </cfRule>
  </conditionalFormatting>
  <conditionalFormatting sqref="K278">
    <cfRule type="expression" priority="234" dxfId="0">
      <formula>LEN(K278)&gt;0</formula>
    </cfRule>
  </conditionalFormatting>
  <conditionalFormatting sqref="K279">
    <cfRule type="expression" priority="235" dxfId="0">
      <formula>LEN(K279)&gt;0</formula>
    </cfRule>
  </conditionalFormatting>
  <conditionalFormatting sqref="K280">
    <cfRule type="expression" priority="236" dxfId="0">
      <formula>LEN(K280)&gt;0</formula>
    </cfRule>
  </conditionalFormatting>
  <conditionalFormatting sqref="K282">
    <cfRule type="expression" priority="237" dxfId="0">
      <formula>LEN(K282)&gt;0</formula>
    </cfRule>
  </conditionalFormatting>
  <conditionalFormatting sqref="K283">
    <cfRule type="expression" priority="238" dxfId="0">
      <formula>LEN(K283)&gt;0</formula>
    </cfRule>
  </conditionalFormatting>
  <conditionalFormatting sqref="K284">
    <cfRule type="expression" priority="239" dxfId="0">
      <formula>LEN(K284)&gt;0</formula>
    </cfRule>
  </conditionalFormatting>
  <conditionalFormatting sqref="K285">
    <cfRule type="expression" priority="240" dxfId="0">
      <formula>LEN(K285)&gt;0</formula>
    </cfRule>
  </conditionalFormatting>
  <conditionalFormatting sqref="K286">
    <cfRule type="expression" priority="241" dxfId="0">
      <formula>LEN(K286)&gt;0</formula>
    </cfRule>
  </conditionalFormatting>
  <conditionalFormatting sqref="K287">
    <cfRule type="expression" priority="242" dxfId="0">
      <formula>LEN(K287)&gt;0</formula>
    </cfRule>
  </conditionalFormatting>
  <conditionalFormatting sqref="K288">
    <cfRule type="expression" priority="243" dxfId="0">
      <formula>LEN(K288)&gt;0</formula>
    </cfRule>
  </conditionalFormatting>
  <conditionalFormatting sqref="K289">
    <cfRule type="expression" priority="244" dxfId="0">
      <formula>LEN(K289)&gt;0</formula>
    </cfRule>
  </conditionalFormatting>
  <conditionalFormatting sqref="K290">
    <cfRule type="expression" priority="245" dxfId="0">
      <formula>LEN(K290)&gt;0</formula>
    </cfRule>
  </conditionalFormatting>
  <conditionalFormatting sqref="K291">
    <cfRule type="expression" priority="246" dxfId="0">
      <formula>LEN(K291)&gt;0</formula>
    </cfRule>
  </conditionalFormatting>
  <conditionalFormatting sqref="K292">
    <cfRule type="expression" priority="247" dxfId="0">
      <formula>LEN(K292)&gt;0</formula>
    </cfRule>
  </conditionalFormatting>
  <conditionalFormatting sqref="K293">
    <cfRule type="expression" priority="248" dxfId="0">
      <formula>LEN(K293)&gt;0</formula>
    </cfRule>
  </conditionalFormatting>
  <conditionalFormatting sqref="K294">
    <cfRule type="expression" priority="249" dxfId="0">
      <formula>LEN(K294)&gt;0</formula>
    </cfRule>
  </conditionalFormatting>
  <conditionalFormatting sqref="K296">
    <cfRule type="expression" priority="250" dxfId="0">
      <formula>LEN(K296)&gt;0</formula>
    </cfRule>
  </conditionalFormatting>
  <conditionalFormatting sqref="K297">
    <cfRule type="expression" priority="251" dxfId="0">
      <formula>LEN(K297)&gt;0</formula>
    </cfRule>
  </conditionalFormatting>
  <conditionalFormatting sqref="K298">
    <cfRule type="expression" priority="252" dxfId="0">
      <formula>LEN(K298)&gt;0</formula>
    </cfRule>
  </conditionalFormatting>
  <conditionalFormatting sqref="K299">
    <cfRule type="expression" priority="253" dxfId="0">
      <formula>LEN(K299)&gt;0</formula>
    </cfRule>
  </conditionalFormatting>
  <conditionalFormatting sqref="K300">
    <cfRule type="expression" priority="254" dxfId="0">
      <formula>LEN(K300)&gt;0</formula>
    </cfRule>
  </conditionalFormatting>
  <conditionalFormatting sqref="K301">
    <cfRule type="expression" priority="255" dxfId="0">
      <formula>LEN(K301)&gt;0</formula>
    </cfRule>
  </conditionalFormatting>
  <conditionalFormatting sqref="K302">
    <cfRule type="expression" priority="256" dxfId="0">
      <formula>LEN(K302)&gt;0</formula>
    </cfRule>
  </conditionalFormatting>
  <conditionalFormatting sqref="K303">
    <cfRule type="expression" priority="257" dxfId="0">
      <formula>LEN(K303)&gt;0</formula>
    </cfRule>
  </conditionalFormatting>
  <conditionalFormatting sqref="K304">
    <cfRule type="expression" priority="258" dxfId="0">
      <formula>LEN(K304)&gt;0</formula>
    </cfRule>
  </conditionalFormatting>
  <conditionalFormatting sqref="K305">
    <cfRule type="expression" priority="259" dxfId="0">
      <formula>LEN(K305)&gt;0</formula>
    </cfRule>
  </conditionalFormatting>
  <conditionalFormatting sqref="K306">
    <cfRule type="expression" priority="260" dxfId="0">
      <formula>LEN(K306)&gt;0</formula>
    </cfRule>
  </conditionalFormatting>
  <conditionalFormatting sqref="K307">
    <cfRule type="expression" priority="261" dxfId="0">
      <formula>LEN(K307)&gt;0</formula>
    </cfRule>
  </conditionalFormatting>
  <conditionalFormatting sqref="K308">
    <cfRule type="expression" priority="262" dxfId="0">
      <formula>LEN(K308)&gt;0</formula>
    </cfRule>
  </conditionalFormatting>
  <conditionalFormatting sqref="K310">
    <cfRule type="expression" priority="263" dxfId="0">
      <formula>LEN(K310)&gt;0</formula>
    </cfRule>
  </conditionalFormatting>
  <conditionalFormatting sqref="K311">
    <cfRule type="expression" priority="264" dxfId="0">
      <formula>LEN(K311)&gt;0</formula>
    </cfRule>
  </conditionalFormatting>
  <conditionalFormatting sqref="K312">
    <cfRule type="expression" priority="265" dxfId="0">
      <formula>LEN(K312)&gt;0</formula>
    </cfRule>
  </conditionalFormatting>
  <conditionalFormatting sqref="K313">
    <cfRule type="expression" priority="266" dxfId="0">
      <formula>LEN(K313)&gt;0</formula>
    </cfRule>
  </conditionalFormatting>
  <conditionalFormatting sqref="K314">
    <cfRule type="expression" priority="267" dxfId="0">
      <formula>LEN(K314)&gt;0</formula>
    </cfRule>
  </conditionalFormatting>
  <conditionalFormatting sqref="K315">
    <cfRule type="expression" priority="268" dxfId="0">
      <formula>LEN(K315)&gt;0</formula>
    </cfRule>
  </conditionalFormatting>
  <conditionalFormatting sqref="K316">
    <cfRule type="expression" priority="269" dxfId="0">
      <formula>LEN(K316)&gt;0</formula>
    </cfRule>
  </conditionalFormatting>
  <conditionalFormatting sqref="K317">
    <cfRule type="expression" priority="270" dxfId="0">
      <formula>LEN(K317)&gt;0</formula>
    </cfRule>
  </conditionalFormatting>
  <conditionalFormatting sqref="K318">
    <cfRule type="expression" priority="271" dxfId="0">
      <formula>LEN(K318)&gt;0</formula>
    </cfRule>
  </conditionalFormatting>
  <conditionalFormatting sqref="K319">
    <cfRule type="expression" priority="272" dxfId="0">
      <formula>LEN(K319)&gt;0</formula>
    </cfRule>
  </conditionalFormatting>
  <conditionalFormatting sqref="K320">
    <cfRule type="expression" priority="273" dxfId="0">
      <formula>LEN(K320)&gt;0</formula>
    </cfRule>
  </conditionalFormatting>
  <conditionalFormatting sqref="K321">
    <cfRule type="expression" priority="274" dxfId="0">
      <formula>LEN(K321)&gt;0</formula>
    </cfRule>
  </conditionalFormatting>
  <conditionalFormatting sqref="K322">
    <cfRule type="expression" priority="275" dxfId="0">
      <formula>LEN(K322)&gt;0</formula>
    </cfRule>
  </conditionalFormatting>
  <conditionalFormatting sqref="K324">
    <cfRule type="expression" priority="276" dxfId="0">
      <formula>LEN(K324)&gt;0</formula>
    </cfRule>
  </conditionalFormatting>
  <conditionalFormatting sqref="K325">
    <cfRule type="expression" priority="277" dxfId="0">
      <formula>LEN(K325)&gt;0</formula>
    </cfRule>
  </conditionalFormatting>
  <conditionalFormatting sqref="K326">
    <cfRule type="expression" priority="278" dxfId="0">
      <formula>LEN(K326)&gt;0</formula>
    </cfRule>
  </conditionalFormatting>
  <conditionalFormatting sqref="K327">
    <cfRule type="expression" priority="279" dxfId="0">
      <formula>LEN(K327)&gt;0</formula>
    </cfRule>
  </conditionalFormatting>
  <conditionalFormatting sqref="K328">
    <cfRule type="expression" priority="280" dxfId="0">
      <formula>LEN(K328)&gt;0</formula>
    </cfRule>
  </conditionalFormatting>
  <conditionalFormatting sqref="K329">
    <cfRule type="expression" priority="281" dxfId="0">
      <formula>LEN(K329)&gt;0</formula>
    </cfRule>
  </conditionalFormatting>
  <conditionalFormatting sqref="K330">
    <cfRule type="expression" priority="282" dxfId="0">
      <formula>LEN(K330)&gt;0</formula>
    </cfRule>
  </conditionalFormatting>
  <conditionalFormatting sqref="K331">
    <cfRule type="expression" priority="283" dxfId="0">
      <formula>LEN(K331)&gt;0</formula>
    </cfRule>
  </conditionalFormatting>
  <conditionalFormatting sqref="K332">
    <cfRule type="expression" priority="284" dxfId="0">
      <formula>LEN(K332)&gt;0</formula>
    </cfRule>
  </conditionalFormatting>
  <conditionalFormatting sqref="K333">
    <cfRule type="expression" priority="285" dxfId="0">
      <formula>LEN(K333)&gt;0</formula>
    </cfRule>
  </conditionalFormatting>
  <conditionalFormatting sqref="K334">
    <cfRule type="expression" priority="286" dxfId="0">
      <formula>LEN(K334)&gt;0</formula>
    </cfRule>
  </conditionalFormatting>
  <conditionalFormatting sqref="K335">
    <cfRule type="expression" priority="287" dxfId="0">
      <formula>LEN(K335)&gt;0</formula>
    </cfRule>
  </conditionalFormatting>
  <conditionalFormatting sqref="K336">
    <cfRule type="expression" priority="288" dxfId="0">
      <formula>LEN(K336)&gt;0</formula>
    </cfRule>
  </conditionalFormatting>
  <conditionalFormatting sqref="K338">
    <cfRule type="expression" priority="289" dxfId="0">
      <formula>LEN(K338)&gt;0</formula>
    </cfRule>
  </conditionalFormatting>
  <conditionalFormatting sqref="K339">
    <cfRule type="expression" priority="290" dxfId="0">
      <formula>LEN(K339)&gt;0</formula>
    </cfRule>
  </conditionalFormatting>
  <conditionalFormatting sqref="K340">
    <cfRule type="expression" priority="291" dxfId="0">
      <formula>LEN(K340)&gt;0</formula>
    </cfRule>
  </conditionalFormatting>
  <conditionalFormatting sqref="K341">
    <cfRule type="expression" priority="292" dxfId="0">
      <formula>LEN(K341)&gt;0</formula>
    </cfRule>
  </conditionalFormatting>
  <conditionalFormatting sqref="K342">
    <cfRule type="expression" priority="293" dxfId="0">
      <formula>LEN(K342)&gt;0</formula>
    </cfRule>
  </conditionalFormatting>
  <conditionalFormatting sqref="K343">
    <cfRule type="expression" priority="294" dxfId="0">
      <formula>LEN(K343)&gt;0</formula>
    </cfRule>
  </conditionalFormatting>
  <conditionalFormatting sqref="K344">
    <cfRule type="expression" priority="295" dxfId="0">
      <formula>LEN(K344)&gt;0</formula>
    </cfRule>
  </conditionalFormatting>
  <conditionalFormatting sqref="K345">
    <cfRule type="expression" priority="296" dxfId="0">
      <formula>LEN(K345)&gt;0</formula>
    </cfRule>
  </conditionalFormatting>
  <conditionalFormatting sqref="K346">
    <cfRule type="expression" priority="297" dxfId="0">
      <formula>LEN(K346)&gt;0</formula>
    </cfRule>
  </conditionalFormatting>
  <conditionalFormatting sqref="K347">
    <cfRule type="expression" priority="298" dxfId="0">
      <formula>LEN(K347)&gt;0</formula>
    </cfRule>
  </conditionalFormatting>
  <conditionalFormatting sqref="K348">
    <cfRule type="expression" priority="299" dxfId="0">
      <formula>LEN(K348)&gt;0</formula>
    </cfRule>
  </conditionalFormatting>
  <conditionalFormatting sqref="K349">
    <cfRule type="expression" priority="300" dxfId="0">
      <formula>LEN(K349)&gt;0</formula>
    </cfRule>
  </conditionalFormatting>
  <conditionalFormatting sqref="K350">
    <cfRule type="expression" priority="301" dxfId="0">
      <formula>LEN(K350)&gt;0</formula>
    </cfRule>
  </conditionalFormatting>
  <conditionalFormatting sqref="K352">
    <cfRule type="expression" priority="302" dxfId="0">
      <formula>LEN(K352)&gt;0</formula>
    </cfRule>
  </conditionalFormatting>
  <conditionalFormatting sqref="K353">
    <cfRule type="expression" priority="303" dxfId="0">
      <formula>LEN(K353)&gt;0</formula>
    </cfRule>
  </conditionalFormatting>
  <conditionalFormatting sqref="K354">
    <cfRule type="expression" priority="304" dxfId="0">
      <formula>LEN(K354)&gt;0</formula>
    </cfRule>
  </conditionalFormatting>
  <conditionalFormatting sqref="K355">
    <cfRule type="expression" priority="305" dxfId="0">
      <formula>LEN(K355)&gt;0</formula>
    </cfRule>
  </conditionalFormatting>
  <conditionalFormatting sqref="K356">
    <cfRule type="expression" priority="306" dxfId="0">
      <formula>LEN(K356)&gt;0</formula>
    </cfRule>
  </conditionalFormatting>
  <conditionalFormatting sqref="K357">
    <cfRule type="expression" priority="307" dxfId="0">
      <formula>LEN(K357)&gt;0</formula>
    </cfRule>
  </conditionalFormatting>
  <conditionalFormatting sqref="K358">
    <cfRule type="expression" priority="308" dxfId="0">
      <formula>LEN(K358)&gt;0</formula>
    </cfRule>
  </conditionalFormatting>
  <conditionalFormatting sqref="K359">
    <cfRule type="expression" priority="309" dxfId="0">
      <formula>LEN(K359)&gt;0</formula>
    </cfRule>
  </conditionalFormatting>
  <conditionalFormatting sqref="K360">
    <cfRule type="expression" priority="310" dxfId="0">
      <formula>LEN(K360)&gt;0</formula>
    </cfRule>
  </conditionalFormatting>
  <conditionalFormatting sqref="K364">
    <cfRule type="expression" priority="311" dxfId="0">
      <formula>LEN(K364)&gt;0</formula>
    </cfRule>
  </conditionalFormatting>
  <conditionalFormatting sqref="K365">
    <cfRule type="expression" priority="312" dxfId="0">
      <formula>LEN(K365)&gt;0</formula>
    </cfRule>
  </conditionalFormatting>
  <conditionalFormatting sqref="K366">
    <cfRule type="expression" priority="313" dxfId="0">
      <formula>LEN(K366)&gt;0</formula>
    </cfRule>
  </conditionalFormatting>
  <conditionalFormatting sqref="K367">
    <cfRule type="expression" priority="314" dxfId="0">
      <formula>LEN(K367)&gt;0</formula>
    </cfRule>
  </conditionalFormatting>
  <conditionalFormatting sqref="K368">
    <cfRule type="expression" priority="315" dxfId="0">
      <formula>LEN(K368)&gt;0</formula>
    </cfRule>
  </conditionalFormatting>
  <conditionalFormatting sqref="K369">
    <cfRule type="expression" priority="316" dxfId="0">
      <formula>LEN(K369)&gt;0</formula>
    </cfRule>
  </conditionalFormatting>
  <conditionalFormatting sqref="K370">
    <cfRule type="expression" priority="317" dxfId="0">
      <formula>LEN(K370)&gt;0</formula>
    </cfRule>
  </conditionalFormatting>
  <conditionalFormatting sqref="K371">
    <cfRule type="expression" priority="318" dxfId="0">
      <formula>LEN(K371)&gt;0</formula>
    </cfRule>
  </conditionalFormatting>
  <conditionalFormatting sqref="K372">
    <cfRule type="expression" priority="319" dxfId="0">
      <formula>LEN(K372)&gt;0</formula>
    </cfRule>
  </conditionalFormatting>
  <conditionalFormatting sqref="K373">
    <cfRule type="expression" priority="320" dxfId="0">
      <formula>LEN(K373)&gt;0</formula>
    </cfRule>
  </conditionalFormatting>
  <conditionalFormatting sqref="K374">
    <cfRule type="expression" priority="321" dxfId="0">
      <formula>LEN(K374)&gt;0</formula>
    </cfRule>
  </conditionalFormatting>
  <conditionalFormatting sqref="K375">
    <cfRule type="expression" priority="322" dxfId="0">
      <formula>LEN(K375)&gt;0</formula>
    </cfRule>
  </conditionalFormatting>
  <conditionalFormatting sqref="K376">
    <cfRule type="expression" priority="323" dxfId="0">
      <formula>LEN(K376)&gt;0</formula>
    </cfRule>
  </conditionalFormatting>
  <conditionalFormatting sqref="K378">
    <cfRule type="expression" priority="324" dxfId="0">
      <formula>LEN(K378)&gt;0</formula>
    </cfRule>
  </conditionalFormatting>
  <conditionalFormatting sqref="K379">
    <cfRule type="expression" priority="325" dxfId="0">
      <formula>LEN(K379)&gt;0</formula>
    </cfRule>
  </conditionalFormatting>
  <conditionalFormatting sqref="K380">
    <cfRule type="expression" priority="326" dxfId="0">
      <formula>LEN(K380)&gt;0</formula>
    </cfRule>
  </conditionalFormatting>
  <conditionalFormatting sqref="K381">
    <cfRule type="expression" priority="327" dxfId="0">
      <formula>LEN(K381)&gt;0</formula>
    </cfRule>
  </conditionalFormatting>
  <conditionalFormatting sqref="K382">
    <cfRule type="expression" priority="328" dxfId="0">
      <formula>LEN(K382)&gt;0</formula>
    </cfRule>
  </conditionalFormatting>
  <conditionalFormatting sqref="K383">
    <cfRule type="expression" priority="329" dxfId="0">
      <formula>LEN(K383)&gt;0</formula>
    </cfRule>
  </conditionalFormatting>
  <conditionalFormatting sqref="K384">
    <cfRule type="expression" priority="330" dxfId="0">
      <formula>LEN(K384)&gt;0</formula>
    </cfRule>
  </conditionalFormatting>
  <conditionalFormatting sqref="K385">
    <cfRule type="expression" priority="331" dxfId="0">
      <formula>LEN(K385)&gt;0</formula>
    </cfRule>
  </conditionalFormatting>
  <conditionalFormatting sqref="K386">
    <cfRule type="expression" priority="332" dxfId="0">
      <formula>LEN(K386)&gt;0</formula>
    </cfRule>
  </conditionalFormatting>
  <conditionalFormatting sqref="K387">
    <cfRule type="expression" priority="333" dxfId="0">
      <formula>LEN(K387)&gt;0</formula>
    </cfRule>
  </conditionalFormatting>
  <conditionalFormatting sqref="K388">
    <cfRule type="expression" priority="334" dxfId="0">
      <formula>LEN(K388)&gt;0</formula>
    </cfRule>
  </conditionalFormatting>
  <conditionalFormatting sqref="K389">
    <cfRule type="expression" priority="335" dxfId="0">
      <formula>LEN(K389)&gt;0</formula>
    </cfRule>
  </conditionalFormatting>
  <conditionalFormatting sqref="K390">
    <cfRule type="expression" priority="336" dxfId="0">
      <formula>LEN(K390)&gt;0</formula>
    </cfRule>
  </conditionalFormatting>
  <conditionalFormatting sqref="K392">
    <cfRule type="expression" priority="337" dxfId="0">
      <formula>LEN(K392)&gt;0</formula>
    </cfRule>
  </conditionalFormatting>
  <conditionalFormatting sqref="K393">
    <cfRule type="expression" priority="338" dxfId="0">
      <formula>LEN(K393)&gt;0</formula>
    </cfRule>
  </conditionalFormatting>
  <conditionalFormatting sqref="K394">
    <cfRule type="expression" priority="339" dxfId="0">
      <formula>LEN(K394)&gt;0</formula>
    </cfRule>
  </conditionalFormatting>
  <conditionalFormatting sqref="K395">
    <cfRule type="expression" priority="340" dxfId="0">
      <formula>LEN(K395)&gt;0</formula>
    </cfRule>
  </conditionalFormatting>
  <conditionalFormatting sqref="K396">
    <cfRule type="expression" priority="341" dxfId="0">
      <formula>LEN(K396)&gt;0</formula>
    </cfRule>
  </conditionalFormatting>
  <conditionalFormatting sqref="K397">
    <cfRule type="expression" priority="342" dxfId="0">
      <formula>LEN(K397)&gt;0</formula>
    </cfRule>
  </conditionalFormatting>
  <conditionalFormatting sqref="K398">
    <cfRule type="expression" priority="343" dxfId="0">
      <formula>LEN(K398)&gt;0</formula>
    </cfRule>
  </conditionalFormatting>
  <conditionalFormatting sqref="K399">
    <cfRule type="expression" priority="344" dxfId="0">
      <formula>LEN(K399)&gt;0</formula>
    </cfRule>
  </conditionalFormatting>
  <conditionalFormatting sqref="K400">
    <cfRule type="expression" priority="345" dxfId="0">
      <formula>LEN(K400)&gt;0</formula>
    </cfRule>
  </conditionalFormatting>
  <conditionalFormatting sqref="K401">
    <cfRule type="expression" priority="346" dxfId="0">
      <formula>LEN(K401)&gt;0</formula>
    </cfRule>
  </conditionalFormatting>
  <conditionalFormatting sqref="K402">
    <cfRule type="expression" priority="347" dxfId="0">
      <formula>LEN(K402)&gt;0</formula>
    </cfRule>
  </conditionalFormatting>
  <conditionalFormatting sqref="K403">
    <cfRule type="expression" priority="348" dxfId="0">
      <formula>LEN(K403)&gt;0</formula>
    </cfRule>
  </conditionalFormatting>
  <conditionalFormatting sqref="K404">
    <cfRule type="expression" priority="349" dxfId="0">
      <formula>LEN(K404)&gt;0</formula>
    </cfRule>
  </conditionalFormatting>
  <conditionalFormatting sqref="K406">
    <cfRule type="expression" priority="350" dxfId="0">
      <formula>LEN(K406)&gt;0</formula>
    </cfRule>
  </conditionalFormatting>
  <conditionalFormatting sqref="K407">
    <cfRule type="expression" priority="351" dxfId="0">
      <formula>LEN(K407)&gt;0</formula>
    </cfRule>
  </conditionalFormatting>
  <conditionalFormatting sqref="K408">
    <cfRule type="expression" priority="352" dxfId="0">
      <formula>LEN(K408)&gt;0</formula>
    </cfRule>
  </conditionalFormatting>
  <conditionalFormatting sqref="K409">
    <cfRule type="expression" priority="353" dxfId="0">
      <formula>LEN(K409)&gt;0</formula>
    </cfRule>
  </conditionalFormatting>
  <conditionalFormatting sqref="K410">
    <cfRule type="expression" priority="354" dxfId="0">
      <formula>LEN(K410)&gt;0</formula>
    </cfRule>
  </conditionalFormatting>
  <conditionalFormatting sqref="K411">
    <cfRule type="expression" priority="355" dxfId="0">
      <formula>LEN(K411)&gt;0</formula>
    </cfRule>
  </conditionalFormatting>
  <conditionalFormatting sqref="K412">
    <cfRule type="expression" priority="356" dxfId="0">
      <formula>LEN(K412)&gt;0</formula>
    </cfRule>
  </conditionalFormatting>
  <conditionalFormatting sqref="K413">
    <cfRule type="expression" priority="357" dxfId="0">
      <formula>LEN(K413)&gt;0</formula>
    </cfRule>
  </conditionalFormatting>
  <conditionalFormatting sqref="K414">
    <cfRule type="expression" priority="358" dxfId="0">
      <formula>LEN(K414)&gt;0</formula>
    </cfRule>
  </conditionalFormatting>
  <conditionalFormatting sqref="K415">
    <cfRule type="expression" priority="359" dxfId="0">
      <formula>LEN(K415)&gt;0</formula>
    </cfRule>
  </conditionalFormatting>
  <conditionalFormatting sqref="K416">
    <cfRule type="expression" priority="360" dxfId="0">
      <formula>LEN(K416)&gt;0</formula>
    </cfRule>
  </conditionalFormatting>
  <conditionalFormatting sqref="K417">
    <cfRule type="expression" priority="361" dxfId="0">
      <formula>LEN(K417)&gt;0</formula>
    </cfRule>
  </conditionalFormatting>
  <conditionalFormatting sqref="K418">
    <cfRule type="expression" priority="362" dxfId="0">
      <formula>LEN(K418)&gt;0</formula>
    </cfRule>
  </conditionalFormatting>
  <conditionalFormatting sqref="K420">
    <cfRule type="expression" priority="363" dxfId="0">
      <formula>LEN(K420)&gt;0</formula>
    </cfRule>
  </conditionalFormatting>
  <conditionalFormatting sqref="K421">
    <cfRule type="expression" priority="364" dxfId="0">
      <formula>LEN(K421)&gt;0</formula>
    </cfRule>
  </conditionalFormatting>
  <conditionalFormatting sqref="K422">
    <cfRule type="expression" priority="365" dxfId="0">
      <formula>LEN(K422)&gt;0</formula>
    </cfRule>
  </conditionalFormatting>
  <conditionalFormatting sqref="K423">
    <cfRule type="expression" priority="366" dxfId="0">
      <formula>LEN(K423)&gt;0</formula>
    </cfRule>
  </conditionalFormatting>
  <conditionalFormatting sqref="K424">
    <cfRule type="expression" priority="367" dxfId="0">
      <formula>LEN(K424)&gt;0</formula>
    </cfRule>
  </conditionalFormatting>
  <conditionalFormatting sqref="K425">
    <cfRule type="expression" priority="368" dxfId="0">
      <formula>LEN(K425)&gt;0</formula>
    </cfRule>
  </conditionalFormatting>
  <conditionalFormatting sqref="K426">
    <cfRule type="expression" priority="369" dxfId="0">
      <formula>LEN(K426)&gt;0</formula>
    </cfRule>
  </conditionalFormatting>
  <conditionalFormatting sqref="K427">
    <cfRule type="expression" priority="370" dxfId="0">
      <formula>LEN(K427)&gt;0</formula>
    </cfRule>
  </conditionalFormatting>
  <conditionalFormatting sqref="K428">
    <cfRule type="expression" priority="371" dxfId="0">
      <formula>LEN(K428)&gt;0</formula>
    </cfRule>
  </conditionalFormatting>
  <conditionalFormatting sqref="K429">
    <cfRule type="expression" priority="372" dxfId="0">
      <formula>LEN(K429)&gt;0</formula>
    </cfRule>
  </conditionalFormatting>
  <conditionalFormatting sqref="K430">
    <cfRule type="expression" priority="373" dxfId="0">
      <formula>LEN(K430)&gt;0</formula>
    </cfRule>
  </conditionalFormatting>
  <conditionalFormatting sqref="K431">
    <cfRule type="expression" priority="374" dxfId="0">
      <formula>LEN(K431)&gt;0</formula>
    </cfRule>
  </conditionalFormatting>
  <conditionalFormatting sqref="K432">
    <cfRule type="expression" priority="375" dxfId="0">
      <formula>LEN(K432)&gt;0</formula>
    </cfRule>
  </conditionalFormatting>
  <conditionalFormatting sqref="K434">
    <cfRule type="expression" priority="376" dxfId="0">
      <formula>LEN(K434)&gt;0</formula>
    </cfRule>
  </conditionalFormatting>
  <conditionalFormatting sqref="K435">
    <cfRule type="expression" priority="377" dxfId="0">
      <formula>LEN(K435)&gt;0</formula>
    </cfRule>
  </conditionalFormatting>
  <conditionalFormatting sqref="K436">
    <cfRule type="expression" priority="378" dxfId="0">
      <formula>LEN(K436)&gt;0</formula>
    </cfRule>
  </conditionalFormatting>
  <conditionalFormatting sqref="K437">
    <cfRule type="expression" priority="379" dxfId="0">
      <formula>LEN(K437)&gt;0</formula>
    </cfRule>
  </conditionalFormatting>
  <conditionalFormatting sqref="K438">
    <cfRule type="expression" priority="380" dxfId="0">
      <formula>LEN(K438)&gt;0</formula>
    </cfRule>
  </conditionalFormatting>
  <conditionalFormatting sqref="K439">
    <cfRule type="expression" priority="381" dxfId="0">
      <formula>LEN(K439)&gt;0</formula>
    </cfRule>
  </conditionalFormatting>
  <conditionalFormatting sqref="K440">
    <cfRule type="expression" priority="382" dxfId="0">
      <formula>LEN(K440)&gt;0</formula>
    </cfRule>
  </conditionalFormatting>
  <conditionalFormatting sqref="K441">
    <cfRule type="expression" priority="383" dxfId="0">
      <formula>LEN(K441)&gt;0</formula>
    </cfRule>
  </conditionalFormatting>
  <conditionalFormatting sqref="K442">
    <cfRule type="expression" priority="384" dxfId="0">
      <formula>LEN(K442)&gt;0</formula>
    </cfRule>
  </conditionalFormatting>
  <conditionalFormatting sqref="K443">
    <cfRule type="expression" priority="385" dxfId="0">
      <formula>LEN(K443)&gt;0</formula>
    </cfRule>
  </conditionalFormatting>
  <conditionalFormatting sqref="K444">
    <cfRule type="expression" priority="386" dxfId="0">
      <formula>LEN(K444)&gt;0</formula>
    </cfRule>
  </conditionalFormatting>
  <conditionalFormatting sqref="K445">
    <cfRule type="expression" priority="387" dxfId="0">
      <formula>LEN(K445)&gt;0</formula>
    </cfRule>
  </conditionalFormatting>
  <conditionalFormatting sqref="K446">
    <cfRule type="expression" priority="388" dxfId="0">
      <formula>LEN(K446)&gt;0</formula>
    </cfRule>
  </conditionalFormatting>
  <conditionalFormatting sqref="K448">
    <cfRule type="expression" priority="389" dxfId="0">
      <formula>LEN(K448)&gt;0</formula>
    </cfRule>
  </conditionalFormatting>
  <conditionalFormatting sqref="K449">
    <cfRule type="expression" priority="390" dxfId="0">
      <formula>LEN(K449)&gt;0</formula>
    </cfRule>
  </conditionalFormatting>
  <conditionalFormatting sqref="K450">
    <cfRule type="expression" priority="391" dxfId="0">
      <formula>LEN(K450)&gt;0</formula>
    </cfRule>
  </conditionalFormatting>
  <conditionalFormatting sqref="K451">
    <cfRule type="expression" priority="392" dxfId="0">
      <formula>LEN(K451)&gt;0</formula>
    </cfRule>
  </conditionalFormatting>
  <conditionalFormatting sqref="K452">
    <cfRule type="expression" priority="393" dxfId="0">
      <formula>LEN(K452)&gt;0</formula>
    </cfRule>
  </conditionalFormatting>
  <conditionalFormatting sqref="K453">
    <cfRule type="expression" priority="394" dxfId="0">
      <formula>LEN(K453)&gt;0</formula>
    </cfRule>
  </conditionalFormatting>
  <conditionalFormatting sqref="K454">
    <cfRule type="expression" priority="395" dxfId="0">
      <formula>LEN(K454)&gt;0</formula>
    </cfRule>
  </conditionalFormatting>
  <conditionalFormatting sqref="K455">
    <cfRule type="expression" priority="396" dxfId="0">
      <formula>LEN(K455)&gt;0</formula>
    </cfRule>
  </conditionalFormatting>
  <conditionalFormatting sqref="K456">
    <cfRule type="expression" priority="397" dxfId="0">
      <formula>LEN(K456)&gt;0</formula>
    </cfRule>
  </conditionalFormatting>
  <conditionalFormatting sqref="K457">
    <cfRule type="expression" priority="398" dxfId="0">
      <formula>LEN(K457)&gt;0</formula>
    </cfRule>
  </conditionalFormatting>
  <conditionalFormatting sqref="K458">
    <cfRule type="expression" priority="399" dxfId="0">
      <formula>LEN(K458)&gt;0</formula>
    </cfRule>
  </conditionalFormatting>
  <conditionalFormatting sqref="K459">
    <cfRule type="expression" priority="400" dxfId="0">
      <formula>LEN(K459)&gt;0</formula>
    </cfRule>
  </conditionalFormatting>
  <conditionalFormatting sqref="K460">
    <cfRule type="expression" priority="401" dxfId="0">
      <formula>LEN(K460)&gt;0</formula>
    </cfRule>
  </conditionalFormatting>
  <conditionalFormatting sqref="K462">
    <cfRule type="expression" priority="402" dxfId="0">
      <formula>LEN(K462)&gt;0</formula>
    </cfRule>
  </conditionalFormatting>
  <conditionalFormatting sqref="K463">
    <cfRule type="expression" priority="403" dxfId="0">
      <formula>LEN(K463)&gt;0</formula>
    </cfRule>
  </conditionalFormatting>
  <conditionalFormatting sqref="K464">
    <cfRule type="expression" priority="404" dxfId="0">
      <formula>LEN(K464)&gt;0</formula>
    </cfRule>
  </conditionalFormatting>
  <conditionalFormatting sqref="K465">
    <cfRule type="expression" priority="405" dxfId="0">
      <formula>LEN(K465)&gt;0</formula>
    </cfRule>
  </conditionalFormatting>
  <conditionalFormatting sqref="K466">
    <cfRule type="expression" priority="406" dxfId="0">
      <formula>LEN(K466)&gt;0</formula>
    </cfRule>
  </conditionalFormatting>
  <conditionalFormatting sqref="K467">
    <cfRule type="expression" priority="407" dxfId="0">
      <formula>LEN(K467)&gt;0</formula>
    </cfRule>
  </conditionalFormatting>
  <conditionalFormatting sqref="K468">
    <cfRule type="expression" priority="408" dxfId="0">
      <formula>LEN(K468)&gt;0</formula>
    </cfRule>
  </conditionalFormatting>
  <conditionalFormatting sqref="K469">
    <cfRule type="expression" priority="409" dxfId="0">
      <formula>LEN(K469)&gt;0</formula>
    </cfRule>
  </conditionalFormatting>
  <conditionalFormatting sqref="K470">
    <cfRule type="expression" priority="410" dxfId="0">
      <formula>LEN(K470)&gt;0</formula>
    </cfRule>
  </conditionalFormatting>
  <dataValidations count="40">
    <dataValidation sqref="B34 B35 B36 B37 B38 B39 B40 B41 B42 B43 B44 B45 B46 B48 B49 B50 B51 B52 B53 B54 B55 B56 B57 B58 B59 B60 B62 B63 B64 B65 B66 B67 B68 B69 B70 B71 B72 B73 B74 B76 B77 B78 B79 B80 B81 B82 B83 B84 B85 B86 B87 B88 B90 B91 B92 B93 B94 B95 B96 B97 B98 B99 B100 B101 B102 B104 B105 B106 B107 B108 B109 B110 B111 B112 B113 B114 B115 B116 B118 B119 B120 B121 B122 B123 B124 B125 B126 B127 B128 B129 B130 B132 B133 B134 B135 B136 B137 B138 B139 B140" showDropDown="0" showInputMessage="0" showErrorMessage="1" allowBlank="1" errorTitle="Texto longo" error="Vaga: até 200 caracteres (o sorteio usa o texto mesmo assim)." type="textLength" errorStyle="warning" operator="lessThanOrEqual">
      <formula1>200</formula1>
    </dataValidation>
    <dataValidation sqref="E34 E35 E36 E37 E38 E39 E40 E41 E42 E43 E44 E45 E46 E48 E49 E50 E51 E52 E53 E54 E55 E56 E57 E58 E59 E60 E62 E63 E64 E65 E66 E67 E68 E69 E70 E71 E72 E73 E74 E76 E77 E78 E79 E80 E81 E82 E83 E84 E85 E86 E87 E88 E90 E91 E92 E93 E94 E95 E96 E97 E98 E99 E100 E101 E102 E104 E105 E106 E107 E108 E109 E110 E111 E112 E113 E114 E115 E116 E118 E119 E120 E121 E122 E123 E124 E125 E126 E127 E128 E129 E130 E132 E133 E134 E135 E136 E137 E138 E139 E140" showDropDown="0" showInputMessage="0" showErrorMessage="1" allowBlank="1" errorTitle="Texto longo" error="Vaga: até 200 caracteres (o sorteio usa o texto mesmo assim)." type="textLength" errorStyle="warning" operator="lessThanOrEqual">
      <formula1>200</formula1>
    </dataValidation>
    <dataValidation sqref="H34 H35 H36 H37 H38 H39 H40 H41 H42 H43 H44 H45 H46 H48 H49 H50 H51 H52 H53 H54 H55 H56 H57 H58 H59 H60 H62 H63 H64 H65 H66 H67 H68 H69 H70 H71 H72 H73 H74 H76 H77 H78 H79 H80 H81 H82 H83 H84 H85 H86 H87 H88 H90 H91 H92 H93 H94 H95 H96 H97 H98 H99 H100 H101 H102 H104 H105 H106 H107 H108 H109 H110 H111 H112 H113 H114 H115 H116 H118 H119 H120 H121 H122 H123 H124 H125 H126 H127 H128 H129 H130 H132 H133 H134 H135 H136 H137 H138 H139 H140" showDropDown="0" showInputMessage="0" showErrorMessage="1" allowBlank="1" errorTitle="Texto longo" error="Vaga: até 200 caracteres (o sorteio usa o texto mesmo assim)." type="textLength" errorStyle="warning" operator="lessThanOrEqual">
      <formula1>200</formula1>
    </dataValidation>
    <dataValidation sqref="B144 B145 B146 B147 B148 B149 B150 B151 B152 B153 B154 B155 B156 B158 B159 B160 B161 B162 B163 B164 B165 B166 B167 B168 B169 B170 B172 B173 B174 B175 B176 B177 B178 B179 B180 B181 B182 B183 B184 B186 B187 B188 B189 B190 B191 B192 B193 B194 B195 B196 B197 B198 B200 B201 B202 B203 B204 B205 B206 B207 B208 B209 B210 B211 B212 B214 B215 B216 B217 B218 B219 B220 B221 B222 B223 B224 B225 B226 B228 B229 B230 B231 B232 B233 B234 B235 B236 B237 B238 B239 B240 B242 B243 B244 B245 B246 B247 B248 B249 B250" showDropDown="0" showInputMessage="0" showErrorMessage="1" allowBlank="1" errorTitle="Texto longo" error="Vaga: até 200 caracteres (o sorteio usa o texto mesmo assim)." type="textLength" errorStyle="warning" operator="lessThanOrEqual">
      <formula1>200</formula1>
    </dataValidation>
    <dataValidation sqref="E144 E145 E146 E147 E148 E149 E150 E151 E152 E153 E154 E155 E156 E158 E159 E160 E161 E162 E163 E164 E165 E166 E167 E168 E169 E170 E172 E173 E174 E175 E176 E177 E178 E179 E180 E181 E182 E183 E184 E186 E187 E188 E189 E190 E191 E192 E193 E194 E195 E196 E197 E198 E200 E201 E202 E203 E204 E205 E206 E207 E208 E209 E210 E211 E212 E214 E215 E216 E217 E218 E219 E220 E221 E222 E223 E224 E225 E226 E228 E229 E230 E231 E232 E233 E234 E235 E236 E237 E238 E239 E240 E242 E243 E244 E245 E246 E247 E248 E249 E250" showDropDown="0" showInputMessage="0" showErrorMessage="1" allowBlank="1" errorTitle="Texto longo" error="Vaga: até 200 caracteres (o sorteio usa o texto mesmo assim)." type="textLength" errorStyle="warning" operator="lessThanOrEqual">
      <formula1>200</formula1>
    </dataValidation>
    <dataValidation sqref="H144 H145 H146 H147 H148 H149 H150 H151 H152 H153 H154 H155 H156 H158 H159 H160 H161 H162 H163 H164 H165 H166 H167 H168 H169 H170 H172 H173 H174 H175 H176 H177 H178 H179 H180 H181 H182 H183 H184 H186 H187 H188 H189 H190 H191 H192 H193 H194 H195 H196 H197 H198 H200 H201 H202 H203 H204 H205 H206 H207 H208 H209 H210 H211 H212 H214 H215 H216 H217 H218 H219 H220 H221 H222 H223 H224 H225 H226 H228 H229 H230 H231 H232 H233 H234 H235 H236 H237 H238 H239 H240 H242 H243 H244 H245 H246 H247 H248 H249 H250" showDropDown="0" showInputMessage="0" showErrorMessage="1" allowBlank="1" errorTitle="Texto longo" error="Vaga: até 200 caracteres (o sorteio usa o texto mesmo assim)." type="textLength" errorStyle="warning" operator="lessThanOrEqual">
      <formula1>200</formula1>
    </dataValidation>
    <dataValidation sqref="B254 B255 B256 B257 B258 B259 B260 B261 B262 B263 B264 B265 B266 B268 B269 B270 B271 B272 B273 B274 B275 B276 B277 B278 B279 B280 B282 B283 B284 B285 B286 B287 B288 B289 B290 B291 B292 B293 B294 B296 B297 B298 B299 B300 B301 B302 B303 B304 B305 B306 B307 B308 B310 B311 B312 B313 B314 B315 B316 B317 B318 B319 B320 B321 B322 B324 B325 B326 B327 B328 B329 B330 B331 B332 B333 B334 B335 B336 B338 B339 B340 B341 B342 B343 B344 B345 B346 B347 B348 B349 B350 B352 B353 B354 B355 B356 B357 B358 B359 B360" showDropDown="0" showInputMessage="0" showErrorMessage="1" allowBlank="1" errorTitle="Texto longo" error="Vaga: até 200 caracteres (o sorteio usa o texto mesmo assim)." type="textLength" errorStyle="warning" operator="lessThanOrEqual">
      <formula1>200</formula1>
    </dataValidation>
    <dataValidation sqref="E254 E255 E256 E257 E258 E259 E260 E261 E262 E263 E264 E265 E266 E268 E269 E270 E271 E272 E273 E274 E275 E276 E277 E278 E279 E280 E282 E283 E284 E285 E286 E287 E288 E289 E290 E291 E292 E293 E294 E296 E297 E298 E299 E300 E301 E302 E303 E304 E305 E306 E307 E308 E310 E311 E312 E313 E314 E315 E316 E317 E318 E319 E320 E321 E322 E324 E325 E326 E327 E328 E329 E330 E331 E332 E333 E334 E335 E336 E338 E339 E340 E341 E342 E343 E344 E345 E346 E347 E348 E349 E350 E352 E353 E354 E355 E356 E357 E358 E359 E360" showDropDown="0" showInputMessage="0" showErrorMessage="1" allowBlank="1" errorTitle="Texto longo" error="Vaga: até 200 caracteres (o sorteio usa o texto mesmo assim)." type="textLength" errorStyle="warning" operator="lessThanOrEqual">
      <formula1>200</formula1>
    </dataValidation>
    <dataValidation sqref="H254 H255 H256 H257 H258 H259 H260 H261 H262 H263 H264 H265 H266 H268 H269 H270 H271 H272 H273 H274 H275 H276 H277 H278 H279 H280 H282 H283 H284 H285 H286 H287 H288 H289 H290 H291 H292 H293 H294 H296 H297 H298 H299 H300 H301 H302 H303 H304 H305 H306 H307 H308 H310 H311 H312 H313 H314 H315 H316 H317 H318 H319 H320 H321 H322 H324 H325 H326 H327 H328 H329 H330 H331 H332 H333 H334 H335 H336 H338 H339 H340 H341 H342 H343 H344 H345 H346 H347 H348 H349 H350 H352 H353 H354 H355 H356 H357 H358 H359 H360" showDropDown="0" showInputMessage="0" showErrorMessage="1" allowBlank="1" errorTitle="Texto longo" error="Vaga: até 200 caracteres (o sorteio usa o texto mesmo assim)." type="textLength" errorStyle="warning" operator="lessThanOrEqual">
      <formula1>200</formula1>
    </dataValidation>
    <dataValidation sqref="B364 B365 B366 B367 B368 B369 B370 B371 B372 B373 B374 B375 B376 B378 B379 B380 B381 B382 B383 B384 B385 B386 B387 B388 B389 B390 B392 B393 B394 B395 B396 B397 B398 B399 B400 B401 B402 B403 B404 B406 B407 B408 B409 B410 B411 B412 B413 B414 B415 B416 B417 B418 B420 B421 B422 B423 B424 B425 B426 B427 B428 B429 B430 B431 B432 B434 B435 B436 B437 B438 B439 B440 B441 B442 B443 B444 B445 B446 B448 B449 B450 B451 B452 B453 B454 B455 B456 B457 B458 B459 B460 B462 B463 B464 B465 B466 B467 B468 B469 B470" showDropDown="0" showInputMessage="0" showErrorMessage="1" allowBlank="1" errorTitle="Texto longo" error="Vaga: até 200 caracteres (o sorteio usa o texto mesmo assim)." type="textLength" errorStyle="warning" operator="lessThanOrEqual">
      <formula1>200</formula1>
    </dataValidation>
    <dataValidation sqref="B7" showDropDown="0" showInputMessage="0" showErrorMessage="1" allowBlank="1" errorTitle="Texto longo" error="Nome da tabela: até 40 caracteres." type="textLength" errorStyle="warning" operator="lessThanOrEqual">
      <formula1>40</formula1>
    </dataValidation>
    <dataValidation sqref="F7" showDropDown="0" showInputMessage="0" showErrorMessage="1" allowBlank="1" errorTitle="Valor fora da faixa" error="Rolagem nº: use um número inteiro de 1 a 1000000." type="whole" errorStyle="warning" operator="between">
      <formula1>1</formula1>
      <formula2>1000000</formula2>
    </dataValidation>
    <dataValidation sqref="G7" showDropDown="0" showInputMessage="0" showErrorMessage="1" allowBlank="1" errorTitle="Valor fora da faixa" error="Quantos sortear: use um número inteiro de 1 a 5." type="whole" errorStyle="warning" operator="between">
      <formula1>1</formula1>
      <formula2>5</formula2>
    </dataValidation>
    <dataValidation sqref="B8" showDropDown="0" showInputMessage="0" showErrorMessage="1" allowBlank="1" errorTitle="Texto longo" error="Nome da tabela: até 40 caracteres." type="textLength" errorStyle="warning" operator="lessThanOrEqual">
      <formula1>40</formula1>
    </dataValidation>
    <dataValidation sqref="F8" showDropDown="0" showInputMessage="0" showErrorMessage="1" allowBlank="1" errorTitle="Valor fora da faixa" error="Rolagem nº: use um número inteiro de 1 a 1000000." type="whole" errorStyle="warning" operator="between">
      <formula1>1</formula1>
      <formula2>1000000</formula2>
    </dataValidation>
    <dataValidation sqref="G8" showDropDown="0" showInputMessage="0" showErrorMessage="1" allowBlank="1" errorTitle="Valor fora da faixa" error="Quantos sortear: use um número inteiro de 1 a 5." type="whole" errorStyle="warning" operator="between">
      <formula1>1</formula1>
      <formula2>5</formula2>
    </dataValidation>
    <dataValidation sqref="B9" showDropDown="0" showInputMessage="0" showErrorMessage="1" allowBlank="1" errorTitle="Texto longo" error="Nome da tabela: até 40 caracteres." type="textLength" errorStyle="warning" operator="lessThanOrEqual">
      <formula1>40</formula1>
    </dataValidation>
    <dataValidation sqref="F9" showDropDown="0" showInputMessage="0" showErrorMessage="1" allowBlank="1" errorTitle="Valor fora da faixa" error="Rolagem nº: use um número inteiro de 1 a 1000000." type="whole" errorStyle="warning" operator="between">
      <formula1>1</formula1>
      <formula2>1000000</formula2>
    </dataValidation>
    <dataValidation sqref="G9" showDropDown="0" showInputMessage="0" showErrorMessage="1" allowBlank="1" errorTitle="Valor fora da faixa" error="Quantos sortear: use um número inteiro de 1 a 5." type="whole" errorStyle="warning" operator="between">
      <formula1>1</formula1>
      <formula2>5</formula2>
    </dataValidation>
    <dataValidation sqref="B10" showDropDown="0" showInputMessage="0" showErrorMessage="1" allowBlank="1" errorTitle="Texto longo" error="Nome da tabela: até 40 caracteres." type="textLength" errorStyle="warning" operator="lessThanOrEqual">
      <formula1>40</formula1>
    </dataValidation>
    <dataValidation sqref="F10" showDropDown="0" showInputMessage="0" showErrorMessage="1" allowBlank="1" errorTitle="Valor fora da faixa" error="Rolagem nº: use um número inteiro de 1 a 1000000." type="whole" errorStyle="warning" operator="between">
      <formula1>1</formula1>
      <formula2>1000000</formula2>
    </dataValidation>
    <dataValidation sqref="G10" showDropDown="0" showInputMessage="0" showErrorMessage="1" allowBlank="1" errorTitle="Valor fora da faixa" error="Quantos sortear: use um número inteiro de 1 a 5." type="whole" errorStyle="warning" operator="between">
      <formula1>1</formula1>
      <formula2>5</formula2>
    </dataValidation>
    <dataValidation sqref="B11" showDropDown="0" showInputMessage="0" showErrorMessage="1" allowBlank="1" errorTitle="Texto longo" error="Nome da tabela: até 40 caracteres." type="textLength" errorStyle="warning" operator="lessThanOrEqual">
      <formula1>40</formula1>
    </dataValidation>
    <dataValidation sqref="F11" showDropDown="0" showInputMessage="0" showErrorMessage="1" allowBlank="1" errorTitle="Valor fora da faixa" error="Rolagem nº: use um número inteiro de 1 a 1000000." type="whole" errorStyle="warning" operator="between">
      <formula1>1</formula1>
      <formula2>1000000</formula2>
    </dataValidation>
    <dataValidation sqref="G11" showDropDown="0" showInputMessage="0" showErrorMessage="1" allowBlank="1" errorTitle="Valor fora da faixa" error="Quantos sortear: use um número inteiro de 1 a 5." type="whole" errorStyle="warning" operator="between">
      <formula1>1</formula1>
      <formula2>5</formula2>
    </dataValidation>
    <dataValidation sqref="B12" showDropDown="0" showInputMessage="0" showErrorMessage="1" allowBlank="1" errorTitle="Texto longo" error="Nome da tabela: até 40 caracteres." type="textLength" errorStyle="warning" operator="lessThanOrEqual">
      <formula1>40</formula1>
    </dataValidation>
    <dataValidation sqref="F12" showDropDown="0" showInputMessage="0" showErrorMessage="1" allowBlank="1" errorTitle="Valor fora da faixa" error="Rolagem nº: use um número inteiro de 1 a 1000000." type="whole" errorStyle="warning" operator="between">
      <formula1>1</formula1>
      <formula2>1000000</formula2>
    </dataValidation>
    <dataValidation sqref="G12" showDropDown="0" showInputMessage="0" showErrorMessage="1" allowBlank="1" errorTitle="Valor fora da faixa" error="Quantos sortear: use um número inteiro de 1 a 5." type="whole" errorStyle="warning" operator="between">
      <formula1>1</formula1>
      <formula2>5</formula2>
    </dataValidation>
    <dataValidation sqref="B13" showDropDown="0" showInputMessage="0" showErrorMessage="1" allowBlank="1" errorTitle="Texto longo" error="Nome da tabela: até 40 caracteres." type="textLength" errorStyle="warning" operator="lessThanOrEqual">
      <formula1>40</formula1>
    </dataValidation>
    <dataValidation sqref="F13" showDropDown="0" showInputMessage="0" showErrorMessage="1" allowBlank="1" errorTitle="Valor fora da faixa" error="Rolagem nº: use um número inteiro de 1 a 1000000." type="whole" errorStyle="warning" operator="between">
      <formula1>1</formula1>
      <formula2>1000000</formula2>
    </dataValidation>
    <dataValidation sqref="G13" showDropDown="0" showInputMessage="0" showErrorMessage="1" allowBlank="1" errorTitle="Valor fora da faixa" error="Quantos sortear: use um número inteiro de 1 a 5." type="whole" errorStyle="warning" operator="between">
      <formula1>1</formula1>
      <formula2>5</formula2>
    </dataValidation>
    <dataValidation sqref="B14" showDropDown="0" showInputMessage="0" showErrorMessage="1" allowBlank="1" errorTitle="Texto longo" error="Nome da tabela: até 40 caracteres." type="textLength" errorStyle="warning" operator="lessThanOrEqual">
      <formula1>40</formula1>
    </dataValidation>
    <dataValidation sqref="F14" showDropDown="0" showInputMessage="0" showErrorMessage="1" allowBlank="1" errorTitle="Valor fora da faixa" error="Rolagem nº: use um número inteiro de 1 a 1000000." type="whole" errorStyle="warning" operator="between">
      <formula1>1</formula1>
      <formula2>1000000</formula2>
    </dataValidation>
    <dataValidation sqref="G14" showDropDown="0" showInputMessage="0" showErrorMessage="1" allowBlank="1" errorTitle="Valor fora da faixa" error="Quantos sortear: use um número inteiro de 1 a 5." type="whole" errorStyle="warning" operator="between">
      <formula1>1</formula1>
      <formula2>5</formula2>
    </dataValidation>
    <dataValidation sqref="B15" showDropDown="0" showInputMessage="0" showErrorMessage="1" allowBlank="1" errorTitle="Texto longo" error="Nome da tabela: até 40 caracteres." type="textLength" errorStyle="warning" operator="lessThanOrEqual">
      <formula1>40</formula1>
    </dataValidation>
    <dataValidation sqref="F15" showDropDown="0" showInputMessage="0" showErrorMessage="1" allowBlank="1" errorTitle="Valor fora da faixa" error="Rolagem nº: use um número inteiro de 1 a 1000000." type="whole" errorStyle="warning" operator="between">
      <formula1>1</formula1>
      <formula2>1000000</formula2>
    </dataValidation>
    <dataValidation sqref="G15" showDropDown="0" showInputMessage="0" showErrorMessage="1" allowBlank="1" errorTitle="Valor fora da faixa" error="Quantos sortear: use um número inteiro de 1 a 5." type="whole" errorStyle="warning" operator="between">
      <formula1>1</formula1>
      <formula2>5</formula2>
    </dataValidation>
    <dataValidation sqref="B16" showDropDown="0" showInputMessage="0" showErrorMessage="1" allowBlank="1" errorTitle="Texto longo" error="Nome da tabela: até 40 caracteres." type="textLength" errorStyle="warning" operator="lessThanOrEqual">
      <formula1>40</formula1>
    </dataValidation>
    <dataValidation sqref="F16" showDropDown="0" showInputMessage="0" showErrorMessage="1" allowBlank="1" errorTitle="Valor fora da faixa" error="Rolagem nº: use um número inteiro de 1 a 1000000." type="whole" errorStyle="warning" operator="between">
      <formula1>1</formula1>
      <formula2>1000000</formula2>
    </dataValidation>
    <dataValidation sqref="G16" showDropDown="0" showInputMessage="0" showErrorMessage="1" allowBlank="1" errorTitle="Valor fora da faixa" error="Quantos sortear: use um número inteiro de 1 a 5." type="whole" errorStyle="warning" operator="between">
      <formula1>1</formula1>
      <formula2>5</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1268"/>
  <sheetViews>
    <sheetView showGridLines="1" workbookViewId="0">
      <selection activeCell="A1" sqref="A1"/>
    </sheetView>
  </sheetViews>
  <sheetFormatPr baseColWidth="8" defaultRowHeight="15"/>
  <cols>
    <col width="15.071" customWidth="1" min="1" max="1"/>
    <col width="29.357" customWidth="1" min="2" max="2"/>
    <col width="29.357" customWidth="1" min="3" max="3"/>
    <col width="29.357" customWidth="1" min="4" max="4"/>
    <col width="29.357" customWidth="1" min="5" max="5"/>
    <col width="29.357" customWidth="1" min="6" max="6"/>
    <col width="29.357" customWidth="1" min="7" max="7"/>
    <col width="29.357" customWidth="1" min="8" max="8"/>
    <col width="29.357" customWidth="1" min="9" max="9"/>
    <col width="29.357" customWidth="1" min="10" max="10"/>
    <col width="29.357" customWidth="1" min="11" max="11"/>
    <col width="7.929" customWidth="1" min="12" max="12"/>
    <col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s>
  <sheetData>
    <row r="1" ht="24" customHeight="1">
      <c r="A1" s="1" t="inlineStr">
        <is>
          <t>Tabelas — Explorando Galáxias v1.2</t>
        </is>
      </c>
    </row>
    <row r="2">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Listas dos geradores, editáveis: 100 vagas por lista; apague para trocar, use as vagas vazias para ampliar (não insira linhas).</t>
        </is>
      </c>
    </row>
    <row r="4"/>
    <row r="5" ht="20" customHeight="1">
      <c r="A5" s="13" t="inlineStr">
        <is>
          <t>Listas do livro (editáveis) e ambiente por facção — 100 vagas por lista</t>
        </is>
      </c>
    </row>
    <row r="6">
      <c r="A6" s="12" t="inlineStr">
        <is>
          <t>Apague para trocar, use as vagas vazias para ampliar. Não insira linhas: o contador corrido pularia a linha nova.</t>
        </is>
      </c>
    </row>
    <row r="7">
      <c r="A7" s="8" t="inlineStr">
        <is>
          <t>Lista</t>
        </is>
      </c>
      <c r="B7" s="8" t="inlineStr">
        <is>
          <t>Facções</t>
        </is>
      </c>
      <c r="C7" s="8" t="inlineStr">
        <is>
          <t>Locais</t>
        </is>
      </c>
      <c r="D7" s="8" t="inlineStr">
        <is>
          <t>Ganchos 1-4</t>
        </is>
      </c>
      <c r="E7" s="8" t="inlineStr">
        <is>
          <t>Ganchos 5-8</t>
        </is>
      </c>
      <c r="F7" s="8" t="inlineStr">
        <is>
          <t>Ganchos 9-12</t>
        </is>
      </c>
      <c r="G7" s="8" t="inlineStr">
        <is>
          <t>Ganchos 13-16</t>
        </is>
      </c>
      <c r="H7" s="8" t="inlineStr">
        <is>
          <t>Ganchos 17-20</t>
        </is>
      </c>
      <c r="I7" s="8" t="inlineStr">
        <is>
          <t>Facção ou origem (H8)</t>
        </is>
      </c>
      <c r="J7" s="8" t="inlineStr">
        <is>
          <t>Ambiente (H8)</t>
        </is>
      </c>
    </row>
    <row r="8" ht="26" customHeight="1">
      <c r="A8" s="9" t="inlineStr">
        <is>
          <t>Fonte</t>
        </is>
      </c>
      <c r="B8" s="14" t="inlineStr">
        <is>
          <t>Livro 27.16</t>
        </is>
      </c>
      <c r="C8" s="14" t="inlineStr">
        <is>
          <t>Livro 27.17</t>
        </is>
      </c>
      <c r="D8" s="14" t="inlineStr">
        <is>
          <t>Livro 27.18</t>
        </is>
      </c>
      <c r="E8" s="14" t="inlineStr">
        <is>
          <t>Livro 27.18</t>
        </is>
      </c>
      <c r="F8" s="14" t="inlineStr">
        <is>
          <t>Livro 27.18</t>
        </is>
      </c>
      <c r="G8" s="14" t="inlineStr">
        <is>
          <t>Livro 27.18</t>
        </is>
      </c>
      <c r="H8" s="14" t="inlineStr">
        <is>
          <t>Livro 27.18</t>
        </is>
      </c>
      <c r="I8" s="14" t="inlineStr">
        <is>
          <t>Sugestão da planilha (H8)</t>
        </is>
      </c>
      <c r="J8" s="14" t="inlineStr">
        <is>
          <t>Sugestão da planilha — não é regra do livro (H8)</t>
        </is>
      </c>
    </row>
    <row r="9" ht="26" customHeight="1">
      <c r="A9" s="21" t="inlineStr">
        <is>
          <t>Tamanho da lista</t>
        </is>
      </c>
      <c r="B9" s="23">
        <f>N118</f>
        <v/>
      </c>
      <c r="C9" s="23">
        <f>O118</f>
        <v/>
      </c>
      <c r="D9" s="23">
        <f>P118</f>
        <v/>
      </c>
      <c r="E9" s="23">
        <f>Q118</f>
        <v/>
      </c>
      <c r="F9" s="23">
        <f>R118</f>
        <v/>
      </c>
      <c r="G9" s="23">
        <f>S118</f>
        <v/>
      </c>
      <c r="H9" s="23">
        <f>T118</f>
        <v/>
      </c>
      <c r="I9" s="23">
        <f>U118</f>
        <v/>
      </c>
      <c r="J9" s="30" t="n"/>
    </row>
    <row r="10" ht="26" customHeight="1">
      <c r="A10" s="9" t="inlineStr">
        <is>
          <t>Aviso</t>
        </is>
      </c>
      <c r="B10" s="19">
        <f>IF(N118&gt;=100,"Lista cheia (100): use Minhas Tabelas para uma lista maior","")</f>
        <v/>
      </c>
      <c r="C10" s="19">
        <f>IF(O118&gt;=100,"Lista cheia (100): use Minhas Tabelas para uma lista maior","")</f>
        <v/>
      </c>
      <c r="D10" s="19">
        <f>IF(P118&gt;=100,"Lista cheia (100): use Minhas Tabelas para uma lista maior","")</f>
        <v/>
      </c>
      <c r="E10" s="19">
        <f>IF(Q118&gt;=100,"Lista cheia (100): use Minhas Tabelas para uma lista maior","")</f>
        <v/>
      </c>
      <c r="F10" s="19">
        <f>IF(R118&gt;=100,"Lista cheia (100): use Minhas Tabelas para uma lista maior","")</f>
        <v/>
      </c>
      <c r="G10" s="19">
        <f>IF(S118&gt;=100,"Lista cheia (100): use Minhas Tabelas para uma lista maior","")</f>
        <v/>
      </c>
      <c r="H10" s="19">
        <f>IF(T118&gt;=100,"Lista cheia (100): use Minhas Tabelas para uma lista maior","")</f>
        <v/>
      </c>
      <c r="I10" s="19">
        <f>IF(U118&gt;=100,"Lista cheia (100): use Minhas Tabelas para uma lista maior","")</f>
        <v/>
      </c>
    </row>
    <row r="11" ht="15" customHeight="1">
      <c r="B11" s="8" t="inlineStr">
        <is>
          <t>Facções</t>
        </is>
      </c>
      <c r="C11" s="8" t="inlineStr">
        <is>
          <t>Locais</t>
        </is>
      </c>
      <c r="D11" s="8" t="inlineStr">
        <is>
          <t>Ganchos 1-4</t>
        </is>
      </c>
      <c r="E11" s="8" t="inlineStr">
        <is>
          <t>Ganchos 5-8</t>
        </is>
      </c>
      <c r="F11" s="8" t="inlineStr">
        <is>
          <t>Ganchos 9-12</t>
        </is>
      </c>
      <c r="G11" s="8" t="inlineStr">
        <is>
          <t>Ganchos 13-16</t>
        </is>
      </c>
      <c r="H11" s="8" t="inlineStr">
        <is>
          <t>Ganchos 17-20</t>
        </is>
      </c>
      <c r="I11" s="8" t="inlineStr">
        <is>
          <t>Facção ou origem (H8)</t>
        </is>
      </c>
      <c r="J11" s="8" t="inlineStr">
        <is>
          <t>Ambiente (H8)</t>
        </is>
      </c>
      <c r="N11" s="2">
        <f>0</f>
        <v/>
      </c>
      <c r="O11" s="2">
        <f>0</f>
        <v/>
      </c>
      <c r="P11" s="2">
        <f>0</f>
        <v/>
      </c>
      <c r="Q11" s="2">
        <f>0</f>
        <v/>
      </c>
      <c r="R11" s="2">
        <f>0</f>
        <v/>
      </c>
      <c r="S11" s="2">
        <f>0</f>
        <v/>
      </c>
      <c r="T11" s="2">
        <f>0</f>
        <v/>
      </c>
      <c r="U11" s="2">
        <f>0</f>
        <v/>
      </c>
    </row>
    <row r="12" ht="48" customHeight="1">
      <c r="B12" s="33" t="inlineStr">
        <is>
          <t>Legião da Antimatéria</t>
        </is>
      </c>
      <c r="C12" s="4" t="inlineStr">
        <is>
          <t>Poço Sete</t>
        </is>
      </c>
      <c r="D12" s="4" t="inlineStr">
        <is>
          <t>Um transporte de carga chega sem tripulação e com a escotilha trancada por dentro</t>
        </is>
      </c>
      <c r="E12" s="4" t="inlineStr">
        <is>
          <t>A Corporação emite uma apólice que lista um dos personagens como item segurado</t>
        </is>
      </c>
      <c r="F12" s="4" t="inlineStr">
        <is>
          <t>A Frota de Jade emite ordem de caça contra alguém que o grupo está escondendo</t>
        </is>
      </c>
      <c r="G12" s="4" t="inlineStr">
        <is>
          <t>Um Caçador de Stellaron senta à mesa do grupo e pede licença para falar de negócios</t>
        </is>
      </c>
      <c r="H12" s="4" t="inlineStr">
        <is>
          <t>Hesperin começa a aparecer em sonhos de quem nunca esteve lá</t>
        </is>
      </c>
      <c r="I12" s="4" t="inlineStr">
        <is>
          <t>Fragmentum</t>
        </is>
      </c>
      <c r="J12" s="4" t="inlineStr">
        <is>
          <t>Colônia ou mina abandonada</t>
        </is>
      </c>
      <c r="K12" s="19">
        <f>IF(AG12&gt;0,"O Google leu como fórmula: escolha de novo ou digite com ' na frente.","")</f>
        <v/>
      </c>
      <c r="N12" s="2">
        <f>N11+IF(LEN($X$12)&gt;0,1,0)</f>
        <v/>
      </c>
      <c r="O12" s="2">
        <f>O11+IF(LEN($Y$12)&gt;0,1,0)</f>
        <v/>
      </c>
      <c r="P12" s="2">
        <f>P11+IF(LEN($Z$12)&gt;0,1,0)</f>
        <v/>
      </c>
      <c r="Q12" s="2">
        <f>Q11+IF(LEN($AA$12)&gt;0,1,0)</f>
        <v/>
      </c>
      <c r="R12" s="2">
        <f>R11+IF(LEN($AB$12)&gt;0,1,0)</f>
        <v/>
      </c>
      <c r="S12" s="2">
        <f>S11+IF(LEN($AC$12)&gt;0,1,0)</f>
        <v/>
      </c>
      <c r="T12" s="2">
        <f>T11+IF(LEN($AD$12)&gt;0,1,0)</f>
        <v/>
      </c>
      <c r="U12" s="2">
        <f>U11+IF(LEN($AE$12)&gt;0,1,0)</f>
        <v/>
      </c>
      <c r="X12" s="2">
        <f>IF(ISERROR($B$12),"",IF(ISBLANK($B$12),"",$B$12))</f>
        <v/>
      </c>
      <c r="Y12" s="2">
        <f>IF(ISERROR($C$12),"",IF(ISBLANK($C$12),"",$C$12))</f>
        <v/>
      </c>
      <c r="Z12" s="2">
        <f>IF(ISERROR($D$12),"",IF(ISBLANK($D$12),"",$D$12))</f>
        <v/>
      </c>
      <c r="AA12" s="2">
        <f>IF(ISERROR($E$12),"",IF(ISBLANK($E$12),"",$E$12))</f>
        <v/>
      </c>
      <c r="AB12" s="2">
        <f>IF(ISERROR($F$12),"",IF(ISBLANK($F$12),"",$F$12))</f>
        <v/>
      </c>
      <c r="AC12" s="2">
        <f>IF(ISERROR($G$12),"",IF(ISBLANK($G$12),"",$G$12))</f>
        <v/>
      </c>
      <c r="AD12" s="2">
        <f>IF(ISERROR($H$12),"",IF(ISBLANK($H$12),"",$H$12))</f>
        <v/>
      </c>
      <c r="AE12" s="2">
        <f>IF(ISERROR($I$12),"",IF(ISBLANK($I$12),"",$I$12))</f>
        <v/>
      </c>
      <c r="AF12" s="2">
        <f>IF(ISERROR($J$12),"",IF(ISBLANK($J$12),"",$J$12))</f>
        <v/>
      </c>
      <c r="AG12" s="2">
        <f>ISERROR($B$12)*1+ISERROR($C$12)*1+ISERROR($D$12)*1+ISERROR($E$12)*1+ISERROR($F$12)*1+ISERROR($G$12)*1+ISERROR($H$12)*1+ISERROR($I$12)*1+ISERROR($J$12)*1</f>
        <v/>
      </c>
    </row>
    <row r="13" ht="48" customHeight="1">
      <c r="B13" s="35" t="inlineStr">
        <is>
          <t>Corporação da Paz Interastral</t>
        </is>
      </c>
      <c r="C13" s="29" t="inlineStr">
        <is>
          <t>Vértice-9</t>
        </is>
      </c>
      <c r="D13" s="29" t="inlineStr">
        <is>
          <t>O lacre do Poço Sete abriu, e quem o abriu usava o uniforme do grupo</t>
        </is>
      </c>
      <c r="E13" s="29" t="inlineStr">
        <is>
          <t>Um Devoto do Silêncio pede abrigo e não come, não dorme, não fala</t>
        </is>
      </c>
      <c r="F13" s="29" t="inlineStr">
        <is>
          <t>Um Tolo Mascarado salva o grupo e diz que a plateia vai cobrar depois</t>
        </is>
      </c>
      <c r="G13" s="29" t="inlineStr">
        <is>
          <t>Chega um convite perfumado do Ateliê de Vênia, com o nome de um personagem gravado em prata</t>
        </is>
      </c>
      <c r="H13" s="29" t="inlineStr">
        <is>
          <t>O Expresso Astral chega a uma estação que não consta em rota nenhuma, e a estação sabe o nome do grupo</t>
        </is>
      </c>
      <c r="I13" s="29" t="inlineStr">
        <is>
          <t>Fragmentum</t>
        </is>
      </c>
      <c r="J13" s="29" t="inlineStr">
        <is>
          <t>Ruína</t>
        </is>
      </c>
      <c r="K13" s="19">
        <f>IF(AG13&gt;0,"O Google leu como fórmula: escolha de novo ou digite com ' na frente.","")</f>
        <v/>
      </c>
      <c r="N13" s="2">
        <f>N12+IF(LEN($X$13)&gt;0,1,0)</f>
        <v/>
      </c>
      <c r="O13" s="2">
        <f>O12+IF(LEN($Y$13)&gt;0,1,0)</f>
        <v/>
      </c>
      <c r="P13" s="2">
        <f>P12+IF(LEN($Z$13)&gt;0,1,0)</f>
        <v/>
      </c>
      <c r="Q13" s="2">
        <f>Q12+IF(LEN($AA$13)&gt;0,1,0)</f>
        <v/>
      </c>
      <c r="R13" s="2">
        <f>R12+IF(LEN($AB$13)&gt;0,1,0)</f>
        <v/>
      </c>
      <c r="S13" s="2">
        <f>S12+IF(LEN($AC$13)&gt;0,1,0)</f>
        <v/>
      </c>
      <c r="T13" s="2">
        <f>T12+IF(LEN($AD$13)&gt;0,1,0)</f>
        <v/>
      </c>
      <c r="U13" s="2">
        <f>U12+IF(LEN($AE$13)&gt;0,1,0)</f>
        <v/>
      </c>
      <c r="X13" s="2">
        <f>IF(ISERROR($B$13),"",IF(ISBLANK($B$13),"",$B$13))</f>
        <v/>
      </c>
      <c r="Y13" s="2">
        <f>IF(ISERROR($C$13),"",IF(ISBLANK($C$13),"",$C$13))</f>
        <v/>
      </c>
      <c r="Z13" s="2">
        <f>IF(ISERROR($D$13),"",IF(ISBLANK($D$13),"",$D$13))</f>
        <v/>
      </c>
      <c r="AA13" s="2">
        <f>IF(ISERROR($E$13),"",IF(ISBLANK($E$13),"",$E$13))</f>
        <v/>
      </c>
      <c r="AB13" s="2">
        <f>IF(ISERROR($F$13),"",IF(ISBLANK($F$13),"",$F$13))</f>
        <v/>
      </c>
      <c r="AC13" s="2">
        <f>IF(ISERROR($G$13),"",IF(ISBLANK($G$13),"",$G$13))</f>
        <v/>
      </c>
      <c r="AD13" s="2">
        <f>IF(ISERROR($H$13),"",IF(ISBLANK($H$13),"",$H$13))</f>
        <v/>
      </c>
      <c r="AE13" s="2">
        <f>IF(ISERROR($I$13),"",IF(ISBLANK($I$13),"",$I$13))</f>
        <v/>
      </c>
      <c r="AF13" s="2">
        <f>IF(ISERROR($J$13),"",IF(ISBLANK($J$13),"",$J$13))</f>
        <v/>
      </c>
      <c r="AG13" s="2">
        <f>ISERROR($B$13)*1+ISERROR($C$13)*1+ISERROR($D$13)*1+ISERROR($E$13)*1+ISERROR($F$13)*1+ISERROR($G$13)*1+ISERROR($H$13)*1+ISERROR($I$13)*1+ISERROR($J$13)*1</f>
        <v/>
      </c>
    </row>
    <row r="14" ht="48" customHeight="1">
      <c r="B14" s="33" t="inlineStr">
        <is>
          <t>Aliança Xianzhou</t>
        </is>
      </c>
      <c r="C14" s="4" t="inlineStr">
        <is>
          <t>Ferro-Vazio</t>
        </is>
      </c>
      <c r="D14" s="4" t="inlineStr">
        <is>
          <t>Uma criança da colônia atende por um nome que não é dela e chora quando é corrigida</t>
        </is>
      </c>
      <c r="E14" s="4" t="inlineStr">
        <is>
          <t>Um bairro inteiro assina a mesma procuração no mesmo dia</t>
        </is>
      </c>
      <c r="F14" s="4" t="inlineStr">
        <is>
          <t>Um Centenário foge do arquivo com uma lista de nomes, e um dos nomes é de um personagem</t>
        </is>
      </c>
      <c r="G14" s="4" t="inlineStr">
        <is>
          <t>Um Escultor de Carne devolve, curado, um aliado que o grupo tinha perdido — melhorado</t>
        </is>
      </c>
      <c r="H14" s="4" t="inlineStr">
        <is>
          <t>A Vazia Coroada oferece ao grupo o fim sem dor, com sinceridade total</t>
        </is>
      </c>
      <c r="I14" s="4" t="inlineStr">
        <is>
          <t>Legião da Antimatéria</t>
        </is>
      </c>
      <c r="J14" s="4" t="inlineStr">
        <is>
          <t>Frente de guerra</t>
        </is>
      </c>
      <c r="K14" s="19">
        <f>IF(AG14&gt;0,"O Google leu como fórmula: escolha de novo ou digite com ' na frente.","")</f>
        <v/>
      </c>
      <c r="N14" s="2">
        <f>N13+IF(LEN($X$14)&gt;0,1,0)</f>
        <v/>
      </c>
      <c r="O14" s="2">
        <f>O13+IF(LEN($Y$14)&gt;0,1,0)</f>
        <v/>
      </c>
      <c r="P14" s="2">
        <f>P13+IF(LEN($Z$14)&gt;0,1,0)</f>
        <v/>
      </c>
      <c r="Q14" s="2">
        <f>Q13+IF(LEN($AA$14)&gt;0,1,0)</f>
        <v/>
      </c>
      <c r="R14" s="2">
        <f>R13+IF(LEN($AB$14)&gt;0,1,0)</f>
        <v/>
      </c>
      <c r="S14" s="2">
        <f>S13+IF(LEN($AC$14)&gt;0,1,0)</f>
        <v/>
      </c>
      <c r="T14" s="2">
        <f>T13+IF(LEN($AD$14)&gt;0,1,0)</f>
        <v/>
      </c>
      <c r="U14" s="2">
        <f>U13+IF(LEN($AE$14)&gt;0,1,0)</f>
        <v/>
      </c>
      <c r="X14" s="2">
        <f>IF(ISERROR($B$14),"",IF(ISBLANK($B$14),"",$B$14))</f>
        <v/>
      </c>
      <c r="Y14" s="2">
        <f>IF(ISERROR($C$14),"",IF(ISBLANK($C$14),"",$C$14))</f>
        <v/>
      </c>
      <c r="Z14" s="2">
        <f>IF(ISERROR($D$14),"",IF(ISBLANK($D$14),"",$D$14))</f>
        <v/>
      </c>
      <c r="AA14" s="2">
        <f>IF(ISERROR($E$14),"",IF(ISBLANK($E$14),"",$E$14))</f>
        <v/>
      </c>
      <c r="AB14" s="2">
        <f>IF(ISERROR($F$14),"",IF(ISBLANK($F$14),"",$F$14))</f>
        <v/>
      </c>
      <c r="AC14" s="2">
        <f>IF(ISERROR($G$14),"",IF(ISBLANK($G$14),"",$G$14))</f>
        <v/>
      </c>
      <c r="AD14" s="2">
        <f>IF(ISERROR($H$14),"",IF(ISBLANK($H$14),"",$H$14))</f>
        <v/>
      </c>
      <c r="AE14" s="2">
        <f>IF(ISERROR($I$14),"",IF(ISBLANK($I$14),"",$I$14))</f>
        <v/>
      </c>
      <c r="AF14" s="2">
        <f>IF(ISERROR($J$14),"",IF(ISBLANK($J$14),"",$J$14))</f>
        <v/>
      </c>
      <c r="AG14" s="2">
        <f>ISERROR($B$14)*1+ISERROR($C$14)*1+ISERROR($D$14)*1+ISERROR($E$14)*1+ISERROR($F$14)*1+ISERROR($G$14)*1+ISERROR($H$14)*1+ISERROR($I$14)*1+ISERROR($J$14)*1</f>
        <v/>
      </c>
    </row>
    <row r="15" ht="48" customHeight="1">
      <c r="B15" s="35" t="inlineStr">
        <is>
          <t>Caçadores de Stellaron</t>
        </is>
      </c>
      <c r="C15" s="29" t="inlineStr">
        <is>
          <t>A Frota de Jade</t>
        </is>
      </c>
      <c r="D15" s="29" t="inlineStr">
        <is>
          <t>Um Peão da Antimatéria se rende e entrega o cronograma do próprio pelotão</t>
        </is>
      </c>
      <c r="E15" s="29" t="inlineStr">
        <is>
          <t>O Pretor Vazio-Nove manda um ultimato com prazo de três dias — e cumpre prazo</t>
        </is>
      </c>
      <c r="F15" s="29" t="inlineStr">
        <is>
          <t>Um informante vende a mesma informação ao grupo três vezes, e as três estão certas</t>
        </is>
      </c>
      <c r="G15" s="29" t="inlineStr">
        <is>
          <t>Dois contratos sobre o grupo circulam ao mesmo tempo, e um deles é para protegê-lo</t>
        </is>
      </c>
      <c r="H15" s="29" t="inlineStr">
        <is>
          <t>O Stellaron que o grupo carrega amadurece, e uma das facções deste capítulo oferece ajuda de graça</t>
        </is>
      </c>
      <c r="I15" s="29" t="inlineStr">
        <is>
          <t>Legião da Antimatéria</t>
        </is>
      </c>
      <c r="J15" s="29" t="inlineStr">
        <is>
          <t>Lua-forja</t>
        </is>
      </c>
      <c r="K15" s="19">
        <f>IF(AG15&gt;0,"O Google leu como fórmula: escolha de novo ou digite com ' na frente.","")</f>
        <v/>
      </c>
      <c r="N15" s="2">
        <f>N14+IF(LEN($X$15)&gt;0,1,0)</f>
        <v/>
      </c>
      <c r="O15" s="2">
        <f>O14+IF(LEN($Y$15)&gt;0,1,0)</f>
        <v/>
      </c>
      <c r="P15" s="2">
        <f>P14+IF(LEN($Z$15)&gt;0,1,0)</f>
        <v/>
      </c>
      <c r="Q15" s="2">
        <f>Q14+IF(LEN($AA$15)&gt;0,1,0)</f>
        <v/>
      </c>
      <c r="R15" s="2">
        <f>R14+IF(LEN($AB$15)&gt;0,1,0)</f>
        <v/>
      </c>
      <c r="S15" s="2">
        <f>S14+IF(LEN($AC$15)&gt;0,1,0)</f>
        <v/>
      </c>
      <c r="T15" s="2">
        <f>T14+IF(LEN($AD$15)&gt;0,1,0)</f>
        <v/>
      </c>
      <c r="U15" s="2">
        <f>U14+IF(LEN($AE$15)&gt;0,1,0)</f>
        <v/>
      </c>
      <c r="X15" s="2">
        <f>IF(ISERROR($B$15),"",IF(ISBLANK($B$15),"",$B$15))</f>
        <v/>
      </c>
      <c r="Y15" s="2">
        <f>IF(ISERROR($C$15),"",IF(ISBLANK($C$15),"",$C$15))</f>
        <v/>
      </c>
      <c r="Z15" s="2">
        <f>IF(ISERROR($D$15),"",IF(ISBLANK($D$15),"",$D$15))</f>
        <v/>
      </c>
      <c r="AA15" s="2">
        <f>IF(ISERROR($E$15),"",IF(ISBLANK($E$15),"",$E$15))</f>
        <v/>
      </c>
      <c r="AB15" s="2">
        <f>IF(ISERROR($F$15),"",IF(ISBLANK($F$15),"",$F$15))</f>
        <v/>
      </c>
      <c r="AC15" s="2">
        <f>IF(ISERROR($G$15),"",IF(ISBLANK($G$15),"",$G$15))</f>
        <v/>
      </c>
      <c r="AD15" s="2">
        <f>IF(ISERROR($H$15),"",IF(ISBLANK($H$15),"",$H$15))</f>
        <v/>
      </c>
      <c r="AE15" s="2">
        <f>IF(ISERROR($I$15),"",IF(ISBLANK($I$15),"",$I$15))</f>
        <v/>
      </c>
      <c r="AF15" s="2">
        <f>IF(ISERROR($J$15),"",IF(ISBLANK($J$15),"",$J$15))</f>
        <v/>
      </c>
      <c r="AG15" s="2">
        <f>ISERROR($B$15)*1+ISERROR($C$15)*1+ISERROR($D$15)*1+ISERROR($E$15)*1+ISERROR($F$15)*1+ISERROR($G$15)*1+ISERROR($H$15)*1+ISERROR($I$15)*1+ISERROR($J$15)*1</f>
        <v/>
      </c>
    </row>
    <row r="16" ht="26" customHeight="1">
      <c r="B16" s="33" t="inlineStr">
        <is>
          <t>Tolos Mascarados</t>
        </is>
      </c>
      <c r="C16" s="4" t="inlineStr">
        <is>
          <t>O Ateliê de Vênia</t>
        </is>
      </c>
      <c r="D16" s="4" t="n"/>
      <c r="E16" s="4" t="n"/>
      <c r="F16" s="4" t="n"/>
      <c r="G16" s="4" t="n"/>
      <c r="H16" s="4" t="n"/>
      <c r="I16" s="4" t="inlineStr">
        <is>
          <t>Corporação da Paz Interastral</t>
        </is>
      </c>
      <c r="J16" s="4" t="inlineStr">
        <is>
          <t>Estação</t>
        </is>
      </c>
      <c r="K16" s="19">
        <f>IF(AG16&gt;0,"O Google leu como fórmula: escolha de novo ou digite com ' na frente.","")</f>
        <v/>
      </c>
      <c r="N16" s="2">
        <f>N15+IF(LEN($X$16)&gt;0,1,0)</f>
        <v/>
      </c>
      <c r="O16" s="2">
        <f>O15+IF(LEN($Y$16)&gt;0,1,0)</f>
        <v/>
      </c>
      <c r="P16" s="2">
        <f>P15+IF(LEN($Z$16)&gt;0,1,0)</f>
        <v/>
      </c>
      <c r="Q16" s="2">
        <f>Q15+IF(LEN($AA$16)&gt;0,1,0)</f>
        <v/>
      </c>
      <c r="R16" s="2">
        <f>R15+IF(LEN($AB$16)&gt;0,1,0)</f>
        <v/>
      </c>
      <c r="S16" s="2">
        <f>S15+IF(LEN($AC$16)&gt;0,1,0)</f>
        <v/>
      </c>
      <c r="T16" s="2">
        <f>T15+IF(LEN($AD$16)&gt;0,1,0)</f>
        <v/>
      </c>
      <c r="U16" s="2">
        <f>U15+IF(LEN($AE$16)&gt;0,1,0)</f>
        <v/>
      </c>
      <c r="X16" s="2">
        <f>IF(ISERROR($B$16),"",IF(ISBLANK($B$16),"",$B$16))</f>
        <v/>
      </c>
      <c r="Y16" s="2">
        <f>IF(ISERROR($C$16),"",IF(ISBLANK($C$16),"",$C$16))</f>
        <v/>
      </c>
      <c r="Z16" s="2">
        <f>IF(ISERROR($D$16),"",IF(ISBLANK($D$16),"",$D$16))</f>
        <v/>
      </c>
      <c r="AA16" s="2">
        <f>IF(ISERROR($E$16),"",IF(ISBLANK($E$16),"",$E$16))</f>
        <v/>
      </c>
      <c r="AB16" s="2">
        <f>IF(ISERROR($F$16),"",IF(ISBLANK($F$16),"",$F$16))</f>
        <v/>
      </c>
      <c r="AC16" s="2">
        <f>IF(ISERROR($G$16),"",IF(ISBLANK($G$16),"",$G$16))</f>
        <v/>
      </c>
      <c r="AD16" s="2">
        <f>IF(ISERROR($H$16),"",IF(ISBLANK($H$16),"",$H$16))</f>
        <v/>
      </c>
      <c r="AE16" s="2">
        <f>IF(ISERROR($I$16),"",IF(ISBLANK($I$16),"",$I$16))</f>
        <v/>
      </c>
      <c r="AF16" s="2">
        <f>IF(ISERROR($J$16),"",IF(ISBLANK($J$16),"",$J$16))</f>
        <v/>
      </c>
      <c r="AG16" s="2">
        <f>ISERROR($B$16)*1+ISERROR($C$16)*1+ISERROR($D$16)*1+ISERROR($E$16)*1+ISERROR($F$16)*1+ISERROR($G$16)*1+ISERROR($H$16)*1+ISERROR($I$16)*1+ISERROR($J$16)*1</f>
        <v/>
      </c>
    </row>
    <row r="17" ht="26" customHeight="1">
      <c r="B17" s="35" t="inlineStr">
        <is>
          <t>Cavaleiros da Beleza</t>
        </is>
      </c>
      <c r="C17" s="29" t="inlineStr">
        <is>
          <t>Hesperin</t>
        </is>
      </c>
      <c r="D17" s="29" t="n"/>
      <c r="E17" s="29" t="n"/>
      <c r="F17" s="29" t="n"/>
      <c r="G17" s="29" t="n"/>
      <c r="H17" s="29" t="n"/>
      <c r="I17" s="29" t="inlineStr">
        <is>
          <t>Corporação da Paz Interastral</t>
        </is>
      </c>
      <c r="J17" s="29" t="inlineStr">
        <is>
          <t>Cidade corporativa</t>
        </is>
      </c>
      <c r="K17" s="19">
        <f>IF(AG17&gt;0,"O Google leu como fórmula: escolha de novo ou digite com ' na frente.","")</f>
        <v/>
      </c>
      <c r="N17" s="2">
        <f>N16+IF(LEN($X$17)&gt;0,1,0)</f>
        <v/>
      </c>
      <c r="O17" s="2">
        <f>O16+IF(LEN($Y$17)&gt;0,1,0)</f>
        <v/>
      </c>
      <c r="P17" s="2">
        <f>P16+IF(LEN($Z$17)&gt;0,1,0)</f>
        <v/>
      </c>
      <c r="Q17" s="2">
        <f>Q16+IF(LEN($AA$17)&gt;0,1,0)</f>
        <v/>
      </c>
      <c r="R17" s="2">
        <f>R16+IF(LEN($AB$17)&gt;0,1,0)</f>
        <v/>
      </c>
      <c r="S17" s="2">
        <f>S16+IF(LEN($AC$17)&gt;0,1,0)</f>
        <v/>
      </c>
      <c r="T17" s="2">
        <f>T16+IF(LEN($AD$17)&gt;0,1,0)</f>
        <v/>
      </c>
      <c r="U17" s="2">
        <f>U16+IF(LEN($AE$17)&gt;0,1,0)</f>
        <v/>
      </c>
      <c r="X17" s="2">
        <f>IF(ISERROR($B$17),"",IF(ISBLANK($B$17),"",$B$17))</f>
        <v/>
      </c>
      <c r="Y17" s="2">
        <f>IF(ISERROR($C$17),"",IF(ISBLANK($C$17),"",$C$17))</f>
        <v/>
      </c>
      <c r="Z17" s="2">
        <f>IF(ISERROR($D$17),"",IF(ISBLANK($D$17),"",$D$17))</f>
        <v/>
      </c>
      <c r="AA17" s="2">
        <f>IF(ISERROR($E$17),"",IF(ISBLANK($E$17),"",$E$17))</f>
        <v/>
      </c>
      <c r="AB17" s="2">
        <f>IF(ISERROR($F$17),"",IF(ISBLANK($F$17),"",$F$17))</f>
        <v/>
      </c>
      <c r="AC17" s="2">
        <f>IF(ISERROR($G$17),"",IF(ISBLANK($G$17),"",$G$17))</f>
        <v/>
      </c>
      <c r="AD17" s="2">
        <f>IF(ISERROR($H$17),"",IF(ISBLANK($H$17),"",$H$17))</f>
        <v/>
      </c>
      <c r="AE17" s="2">
        <f>IF(ISERROR($I$17),"",IF(ISBLANK($I$17),"",$I$17))</f>
        <v/>
      </c>
      <c r="AF17" s="2">
        <f>IF(ISERROR($J$17),"",IF(ISBLANK($J$17),"",$J$17))</f>
        <v/>
      </c>
      <c r="AG17" s="2">
        <f>ISERROR($B$17)*1+ISERROR($C$17)*1+ISERROR($D$17)*1+ISERROR($E$17)*1+ISERROR($F$17)*1+ISERROR($G$17)*1+ISERROR($H$17)*1+ISERROR($I$17)*1+ISERROR($J$17)*1</f>
        <v/>
      </c>
    </row>
    <row r="18" ht="26" customHeight="1">
      <c r="B18" s="33" t="inlineStr">
        <is>
          <t>Culto da Inexistência</t>
        </is>
      </c>
      <c r="C18" s="4" t="n"/>
      <c r="D18" s="4" t="n"/>
      <c r="E18" s="4" t="n"/>
      <c r="F18" s="4" t="n"/>
      <c r="G18" s="4" t="n"/>
      <c r="H18" s="4" t="n"/>
      <c r="I18" s="4" t="inlineStr">
        <is>
          <t>Aliança Xianzhou</t>
        </is>
      </c>
      <c r="J18" s="4" t="inlineStr">
        <is>
          <t>Nave-cidade</t>
        </is>
      </c>
      <c r="K18" s="19">
        <f>IF(AG18&gt;0,"O Google leu como fórmula: escolha de novo ou digite com ' na frente.","")</f>
        <v/>
      </c>
      <c r="N18" s="2">
        <f>N17+IF(LEN($X$18)&gt;0,1,0)</f>
        <v/>
      </c>
      <c r="O18" s="2">
        <f>O17+IF(LEN($Y$18)&gt;0,1,0)</f>
        <v/>
      </c>
      <c r="P18" s="2">
        <f>P17+IF(LEN($Z$18)&gt;0,1,0)</f>
        <v/>
      </c>
      <c r="Q18" s="2">
        <f>Q17+IF(LEN($AA$18)&gt;0,1,0)</f>
        <v/>
      </c>
      <c r="R18" s="2">
        <f>R17+IF(LEN($AB$18)&gt;0,1,0)</f>
        <v/>
      </c>
      <c r="S18" s="2">
        <f>S17+IF(LEN($AC$18)&gt;0,1,0)</f>
        <v/>
      </c>
      <c r="T18" s="2">
        <f>T17+IF(LEN($AD$18)&gt;0,1,0)</f>
        <v/>
      </c>
      <c r="U18" s="2">
        <f>U17+IF(LEN($AE$18)&gt;0,1,0)</f>
        <v/>
      </c>
      <c r="X18" s="2">
        <f>IF(ISERROR($B$18),"",IF(ISBLANK($B$18),"",$B$18))</f>
        <v/>
      </c>
      <c r="Y18" s="2">
        <f>IF(ISERROR($C$18),"",IF(ISBLANK($C$18),"",$C$18))</f>
        <v/>
      </c>
      <c r="Z18" s="2">
        <f>IF(ISERROR($D$18),"",IF(ISBLANK($D$18),"",$D$18))</f>
        <v/>
      </c>
      <c r="AA18" s="2">
        <f>IF(ISERROR($E$18),"",IF(ISBLANK($E$18),"",$E$18))</f>
        <v/>
      </c>
      <c r="AB18" s="2">
        <f>IF(ISERROR($F$18),"",IF(ISBLANK($F$18),"",$F$18))</f>
        <v/>
      </c>
      <c r="AC18" s="2">
        <f>IF(ISERROR($G$18),"",IF(ISBLANK($G$18),"",$G$18))</f>
        <v/>
      </c>
      <c r="AD18" s="2">
        <f>IF(ISERROR($H$18),"",IF(ISBLANK($H$18),"",$H$18))</f>
        <v/>
      </c>
      <c r="AE18" s="2">
        <f>IF(ISERROR($I$18),"",IF(ISBLANK($I$18),"",$I$18))</f>
        <v/>
      </c>
      <c r="AF18" s="2">
        <f>IF(ISERROR($J$18),"",IF(ISBLANK($J$18),"",$J$18))</f>
        <v/>
      </c>
      <c r="AG18" s="2">
        <f>ISERROR($B$18)*1+ISERROR($C$18)*1+ISERROR($D$18)*1+ISERROR($E$18)*1+ISERROR($F$18)*1+ISERROR($G$18)*1+ISERROR($H$18)*1+ISERROR($I$18)*1+ISERROR($J$18)*1</f>
        <v/>
      </c>
    </row>
    <row r="19" ht="26" customHeight="1">
      <c r="B19" s="35" t="inlineStr">
        <is>
          <t>Autômatos</t>
        </is>
      </c>
      <c r="C19" s="29" t="n"/>
      <c r="D19" s="29" t="n"/>
      <c r="E19" s="29" t="n"/>
      <c r="F19" s="29" t="n"/>
      <c r="G19" s="29" t="n"/>
      <c r="H19" s="29" t="n"/>
      <c r="I19" s="29" t="inlineStr">
        <is>
          <t>Xianzhou</t>
        </is>
      </c>
      <c r="J19" s="29" t="inlineStr">
        <is>
          <t>Nave-cidade</t>
        </is>
      </c>
      <c r="K19" s="19">
        <f>IF(AG19&gt;0,"O Google leu como fórmula: escolha de novo ou digite com ' na frente.","")</f>
        <v/>
      </c>
      <c r="N19" s="2">
        <f>N18+IF(LEN($X$19)&gt;0,1,0)</f>
        <v/>
      </c>
      <c r="O19" s="2">
        <f>O18+IF(LEN($Y$19)&gt;0,1,0)</f>
        <v/>
      </c>
      <c r="P19" s="2">
        <f>P18+IF(LEN($Z$19)&gt;0,1,0)</f>
        <v/>
      </c>
      <c r="Q19" s="2">
        <f>Q18+IF(LEN($AA$19)&gt;0,1,0)</f>
        <v/>
      </c>
      <c r="R19" s="2">
        <f>R18+IF(LEN($AB$19)&gt;0,1,0)</f>
        <v/>
      </c>
      <c r="S19" s="2">
        <f>S18+IF(LEN($AC$19)&gt;0,1,0)</f>
        <v/>
      </c>
      <c r="T19" s="2">
        <f>T18+IF(LEN($AD$19)&gt;0,1,0)</f>
        <v/>
      </c>
      <c r="U19" s="2">
        <f>U18+IF(LEN($AE$19)&gt;0,1,0)</f>
        <v/>
      </c>
      <c r="X19" s="2">
        <f>IF(ISERROR($B$19),"",IF(ISBLANK($B$19),"",$B$19))</f>
        <v/>
      </c>
      <c r="Y19" s="2">
        <f>IF(ISERROR($C$19),"",IF(ISBLANK($C$19),"",$C$19))</f>
        <v/>
      </c>
      <c r="Z19" s="2">
        <f>IF(ISERROR($D$19),"",IF(ISBLANK($D$19),"",$D$19))</f>
        <v/>
      </c>
      <c r="AA19" s="2">
        <f>IF(ISERROR($E$19),"",IF(ISBLANK($E$19),"",$E$19))</f>
        <v/>
      </c>
      <c r="AB19" s="2">
        <f>IF(ISERROR($F$19),"",IF(ISBLANK($F$19),"",$F$19))</f>
        <v/>
      </c>
      <c r="AC19" s="2">
        <f>IF(ISERROR($G$19),"",IF(ISBLANK($G$19),"",$G$19))</f>
        <v/>
      </c>
      <c r="AD19" s="2">
        <f>IF(ISERROR($H$19),"",IF(ISBLANK($H$19),"",$H$19))</f>
        <v/>
      </c>
      <c r="AE19" s="2">
        <f>IF(ISERROR($I$19),"",IF(ISBLANK($I$19),"",$I$19))</f>
        <v/>
      </c>
      <c r="AF19" s="2">
        <f>IF(ISERROR($J$19),"",IF(ISBLANK($J$19),"",$J$19))</f>
        <v/>
      </c>
      <c r="AG19" s="2">
        <f>ISERROR($B$19)*1+ISERROR($C$19)*1+ISERROR($D$19)*1+ISERROR($E$19)*1+ISERROR($F$19)*1+ISERROR($G$19)*1+ISERROR($H$19)*1+ISERROR($I$19)*1+ISERROR($J$19)*1</f>
        <v/>
      </c>
    </row>
    <row r="20" ht="26" customHeight="1">
      <c r="B20" s="33" t="n"/>
      <c r="C20" s="4" t="n"/>
      <c r="D20" s="4" t="n"/>
      <c r="E20" s="4" t="n"/>
      <c r="F20" s="4" t="n"/>
      <c r="G20" s="4" t="n"/>
      <c r="H20" s="4" t="n"/>
      <c r="I20" s="4" t="inlineStr">
        <is>
          <t>Tolos Mascarados</t>
        </is>
      </c>
      <c r="J20" s="4" t="inlineStr">
        <is>
          <t>Teatro, festa ou multidão</t>
        </is>
      </c>
      <c r="K20" s="19">
        <f>IF(AG20&gt;0,"O Google leu como fórmula: escolha de novo ou digite com ' na frente.","")</f>
        <v/>
      </c>
      <c r="N20" s="2">
        <f>N19+IF(LEN($X$20)&gt;0,1,0)</f>
        <v/>
      </c>
      <c r="O20" s="2">
        <f>O19+IF(LEN($Y$20)&gt;0,1,0)</f>
        <v/>
      </c>
      <c r="P20" s="2">
        <f>P19+IF(LEN($Z$20)&gt;0,1,0)</f>
        <v/>
      </c>
      <c r="Q20" s="2">
        <f>Q19+IF(LEN($AA$20)&gt;0,1,0)</f>
        <v/>
      </c>
      <c r="R20" s="2">
        <f>R19+IF(LEN($AB$20)&gt;0,1,0)</f>
        <v/>
      </c>
      <c r="S20" s="2">
        <f>S19+IF(LEN($AC$20)&gt;0,1,0)</f>
        <v/>
      </c>
      <c r="T20" s="2">
        <f>T19+IF(LEN($AD$20)&gt;0,1,0)</f>
        <v/>
      </c>
      <c r="U20" s="2">
        <f>U19+IF(LEN($AE$20)&gt;0,1,0)</f>
        <v/>
      </c>
      <c r="X20" s="2">
        <f>IF(ISERROR($B$20),"",IF(ISBLANK($B$20),"",$B$20))</f>
        <v/>
      </c>
      <c r="Y20" s="2">
        <f>IF(ISERROR($C$20),"",IF(ISBLANK($C$20),"",$C$20))</f>
        <v/>
      </c>
      <c r="Z20" s="2">
        <f>IF(ISERROR($D$20),"",IF(ISBLANK($D$20),"",$D$20))</f>
        <v/>
      </c>
      <c r="AA20" s="2">
        <f>IF(ISERROR($E$20),"",IF(ISBLANK($E$20),"",$E$20))</f>
        <v/>
      </c>
      <c r="AB20" s="2">
        <f>IF(ISERROR($F$20),"",IF(ISBLANK($F$20),"",$F$20))</f>
        <v/>
      </c>
      <c r="AC20" s="2">
        <f>IF(ISERROR($G$20),"",IF(ISBLANK($G$20),"",$G$20))</f>
        <v/>
      </c>
      <c r="AD20" s="2">
        <f>IF(ISERROR($H$20),"",IF(ISBLANK($H$20),"",$H$20))</f>
        <v/>
      </c>
      <c r="AE20" s="2">
        <f>IF(ISERROR($I$20),"",IF(ISBLANK($I$20),"",$I$20))</f>
        <v/>
      </c>
      <c r="AF20" s="2">
        <f>IF(ISERROR($J$20),"",IF(ISBLANK($J$20),"",$J$20))</f>
        <v/>
      </c>
      <c r="AG20" s="2">
        <f>ISERROR($B$20)*1+ISERROR($C$20)*1+ISERROR($D$20)*1+ISERROR($E$20)*1+ISERROR($F$20)*1+ISERROR($G$20)*1+ISERROR($H$20)*1+ISERROR($I$20)*1+ISERROR($J$20)*1</f>
        <v/>
      </c>
    </row>
    <row r="21" ht="26" customHeight="1">
      <c r="B21" s="35" t="n"/>
      <c r="C21" s="29" t="n"/>
      <c r="D21" s="29" t="n"/>
      <c r="E21" s="29" t="n"/>
      <c r="F21" s="29" t="n"/>
      <c r="G21" s="29" t="n"/>
      <c r="H21" s="29" t="n"/>
      <c r="I21" s="29" t="inlineStr">
        <is>
          <t>Cavaleiros da Beleza</t>
        </is>
      </c>
      <c r="J21" s="29" t="inlineStr">
        <is>
          <t>Clínica ou ateliê</t>
        </is>
      </c>
      <c r="K21" s="19">
        <f>IF(AG21&gt;0,"O Google leu como fórmula: escolha de novo ou digite com ' na frente.","")</f>
        <v/>
      </c>
      <c r="N21" s="2">
        <f>N20+IF(LEN($X$21)&gt;0,1,0)</f>
        <v/>
      </c>
      <c r="O21" s="2">
        <f>O20+IF(LEN($Y$21)&gt;0,1,0)</f>
        <v/>
      </c>
      <c r="P21" s="2">
        <f>P20+IF(LEN($Z$21)&gt;0,1,0)</f>
        <v/>
      </c>
      <c r="Q21" s="2">
        <f>Q20+IF(LEN($AA$21)&gt;0,1,0)</f>
        <v/>
      </c>
      <c r="R21" s="2">
        <f>R20+IF(LEN($AB$21)&gt;0,1,0)</f>
        <v/>
      </c>
      <c r="S21" s="2">
        <f>S20+IF(LEN($AC$21)&gt;0,1,0)</f>
        <v/>
      </c>
      <c r="T21" s="2">
        <f>T20+IF(LEN($AD$21)&gt;0,1,0)</f>
        <v/>
      </c>
      <c r="U21" s="2">
        <f>U20+IF(LEN($AE$21)&gt;0,1,0)</f>
        <v/>
      </c>
      <c r="X21" s="2">
        <f>IF(ISERROR($B$21),"",IF(ISBLANK($B$21),"",$B$21))</f>
        <v/>
      </c>
      <c r="Y21" s="2">
        <f>IF(ISERROR($C$21),"",IF(ISBLANK($C$21),"",$C$21))</f>
        <v/>
      </c>
      <c r="Z21" s="2">
        <f>IF(ISERROR($D$21),"",IF(ISBLANK($D$21),"",$D$21))</f>
        <v/>
      </c>
      <c r="AA21" s="2">
        <f>IF(ISERROR($E$21),"",IF(ISBLANK($E$21),"",$E$21))</f>
        <v/>
      </c>
      <c r="AB21" s="2">
        <f>IF(ISERROR($F$21),"",IF(ISBLANK($F$21),"",$F$21))</f>
        <v/>
      </c>
      <c r="AC21" s="2">
        <f>IF(ISERROR($G$21),"",IF(ISBLANK($G$21),"",$G$21))</f>
        <v/>
      </c>
      <c r="AD21" s="2">
        <f>IF(ISERROR($H$21),"",IF(ISBLANK($H$21),"",$H$21))</f>
        <v/>
      </c>
      <c r="AE21" s="2">
        <f>IF(ISERROR($I$21),"",IF(ISBLANK($I$21),"",$I$21))</f>
        <v/>
      </c>
      <c r="AF21" s="2">
        <f>IF(ISERROR($J$21),"",IF(ISBLANK($J$21),"",$J$21))</f>
        <v/>
      </c>
      <c r="AG21" s="2">
        <f>ISERROR($B$21)*1+ISERROR($C$21)*1+ISERROR($D$21)*1+ISERROR($E$21)*1+ISERROR($F$21)*1+ISERROR($G$21)*1+ISERROR($H$21)*1+ISERROR($I$21)*1+ISERROR($J$21)*1</f>
        <v/>
      </c>
    </row>
    <row r="22" ht="26" customHeight="1">
      <c r="B22" s="33" t="n"/>
      <c r="C22" s="4" t="n"/>
      <c r="D22" s="4" t="n"/>
      <c r="E22" s="4" t="n"/>
      <c r="F22" s="4" t="n"/>
      <c r="G22" s="4" t="n"/>
      <c r="H22" s="4" t="n"/>
      <c r="I22" s="4" t="inlineStr">
        <is>
          <t>Caçadores de Stellaron</t>
        </is>
      </c>
      <c r="J22" s="4" t="inlineStr">
        <is>
          <t>Qualquer lugar onde o grupo esteja</t>
        </is>
      </c>
      <c r="K22" s="19">
        <f>IF(AG22&gt;0,"O Google leu como fórmula: escolha de novo ou digite com ' na frente.","")</f>
        <v/>
      </c>
      <c r="N22" s="2">
        <f>N21+IF(LEN($X$22)&gt;0,1,0)</f>
        <v/>
      </c>
      <c r="O22" s="2">
        <f>O21+IF(LEN($Y$22)&gt;0,1,0)</f>
        <v/>
      </c>
      <c r="P22" s="2">
        <f>P21+IF(LEN($Z$22)&gt;0,1,0)</f>
        <v/>
      </c>
      <c r="Q22" s="2">
        <f>Q21+IF(LEN($AA$22)&gt;0,1,0)</f>
        <v/>
      </c>
      <c r="R22" s="2">
        <f>R21+IF(LEN($AB$22)&gt;0,1,0)</f>
        <v/>
      </c>
      <c r="S22" s="2">
        <f>S21+IF(LEN($AC$22)&gt;0,1,0)</f>
        <v/>
      </c>
      <c r="T22" s="2">
        <f>T21+IF(LEN($AD$22)&gt;0,1,0)</f>
        <v/>
      </c>
      <c r="U22" s="2">
        <f>U21+IF(LEN($AE$22)&gt;0,1,0)</f>
        <v/>
      </c>
      <c r="X22" s="2">
        <f>IF(ISERROR($B$22),"",IF(ISBLANK($B$22),"",$B$22))</f>
        <v/>
      </c>
      <c r="Y22" s="2">
        <f>IF(ISERROR($C$22),"",IF(ISBLANK($C$22),"",$C$22))</f>
        <v/>
      </c>
      <c r="Z22" s="2">
        <f>IF(ISERROR($D$22),"",IF(ISBLANK($D$22),"",$D$22))</f>
        <v/>
      </c>
      <c r="AA22" s="2">
        <f>IF(ISERROR($E$22),"",IF(ISBLANK($E$22),"",$E$22))</f>
        <v/>
      </c>
      <c r="AB22" s="2">
        <f>IF(ISERROR($F$22),"",IF(ISBLANK($F$22),"",$F$22))</f>
        <v/>
      </c>
      <c r="AC22" s="2">
        <f>IF(ISERROR($G$22),"",IF(ISBLANK($G$22),"",$G$22))</f>
        <v/>
      </c>
      <c r="AD22" s="2">
        <f>IF(ISERROR($H$22),"",IF(ISBLANK($H$22),"",$H$22))</f>
        <v/>
      </c>
      <c r="AE22" s="2">
        <f>IF(ISERROR($I$22),"",IF(ISBLANK($I$22),"",$I$22))</f>
        <v/>
      </c>
      <c r="AF22" s="2">
        <f>IF(ISERROR($J$22),"",IF(ISBLANK($J$22),"",$J$22))</f>
        <v/>
      </c>
      <c r="AG22" s="2">
        <f>ISERROR($B$22)*1+ISERROR($C$22)*1+ISERROR($D$22)*1+ISERROR($E$22)*1+ISERROR($F$22)*1+ISERROR($G$22)*1+ISERROR($H$22)*1+ISERROR($I$22)*1+ISERROR($J$22)*1</f>
        <v/>
      </c>
    </row>
    <row r="23" ht="26" customHeight="1">
      <c r="B23" s="35" t="n"/>
      <c r="C23" s="29" t="n"/>
      <c r="D23" s="29" t="n"/>
      <c r="E23" s="29" t="n"/>
      <c r="F23" s="29" t="n"/>
      <c r="G23" s="29" t="n"/>
      <c r="H23" s="29" t="n"/>
      <c r="I23" s="29" t="inlineStr">
        <is>
          <t>Culto da Inexistência</t>
        </is>
      </c>
      <c r="J23" s="29" t="inlineStr">
        <is>
          <t>Lugar esvaziado</t>
        </is>
      </c>
      <c r="K23" s="19">
        <f>IF(AG23&gt;0,"O Google leu como fórmula: escolha de novo ou digite com ' na frente.","")</f>
        <v/>
      </c>
      <c r="N23" s="2">
        <f>N22+IF(LEN($X$23)&gt;0,1,0)</f>
        <v/>
      </c>
      <c r="O23" s="2">
        <f>O22+IF(LEN($Y$23)&gt;0,1,0)</f>
        <v/>
      </c>
      <c r="P23" s="2">
        <f>P22+IF(LEN($Z$23)&gt;0,1,0)</f>
        <v/>
      </c>
      <c r="Q23" s="2">
        <f>Q22+IF(LEN($AA$23)&gt;0,1,0)</f>
        <v/>
      </c>
      <c r="R23" s="2">
        <f>R22+IF(LEN($AB$23)&gt;0,1,0)</f>
        <v/>
      </c>
      <c r="S23" s="2">
        <f>S22+IF(LEN($AC$23)&gt;0,1,0)</f>
        <v/>
      </c>
      <c r="T23" s="2">
        <f>T22+IF(LEN($AD$23)&gt;0,1,0)</f>
        <v/>
      </c>
      <c r="U23" s="2">
        <f>U22+IF(LEN($AE$23)&gt;0,1,0)</f>
        <v/>
      </c>
      <c r="X23" s="2">
        <f>IF(ISERROR($B$23),"",IF(ISBLANK($B$23),"",$B$23))</f>
        <v/>
      </c>
      <c r="Y23" s="2">
        <f>IF(ISERROR($C$23),"",IF(ISBLANK($C$23),"",$C$23))</f>
        <v/>
      </c>
      <c r="Z23" s="2">
        <f>IF(ISERROR($D$23),"",IF(ISBLANK($D$23),"",$D$23))</f>
        <v/>
      </c>
      <c r="AA23" s="2">
        <f>IF(ISERROR($E$23),"",IF(ISBLANK($E$23),"",$E$23))</f>
        <v/>
      </c>
      <c r="AB23" s="2">
        <f>IF(ISERROR($F$23),"",IF(ISBLANK($F$23),"",$F$23))</f>
        <v/>
      </c>
      <c r="AC23" s="2">
        <f>IF(ISERROR($G$23),"",IF(ISBLANK($G$23),"",$G$23))</f>
        <v/>
      </c>
      <c r="AD23" s="2">
        <f>IF(ISERROR($H$23),"",IF(ISBLANK($H$23),"",$H$23))</f>
        <v/>
      </c>
      <c r="AE23" s="2">
        <f>IF(ISERROR($I$23),"",IF(ISBLANK($I$23),"",$I$23))</f>
        <v/>
      </c>
      <c r="AF23" s="2">
        <f>IF(ISERROR($J$23),"",IF(ISBLANK($J$23),"",$J$23))</f>
        <v/>
      </c>
      <c r="AG23" s="2">
        <f>ISERROR($B$23)*1+ISERROR($C$23)*1+ISERROR($D$23)*1+ISERROR($E$23)*1+ISERROR($F$23)*1+ISERROR($G$23)*1+ISERROR($H$23)*1+ISERROR($I$23)*1+ISERROR($J$23)*1</f>
        <v/>
      </c>
    </row>
    <row r="24" ht="26" customHeight="1">
      <c r="B24" s="33" t="n"/>
      <c r="C24" s="4" t="n"/>
      <c r="D24" s="4" t="n"/>
      <c r="E24" s="4" t="n"/>
      <c r="F24" s="4" t="n"/>
      <c r="G24" s="4" t="n"/>
      <c r="H24" s="4" t="n"/>
      <c r="I24" s="4" t="inlineStr">
        <is>
          <t>Autômato</t>
        </is>
      </c>
      <c r="J24" s="4" t="inlineStr">
        <is>
          <t>Instalação antiga</t>
        </is>
      </c>
      <c r="K24" s="19">
        <f>IF(AG24&gt;0,"O Google leu como fórmula: escolha de novo ou digite com ' na frente.","")</f>
        <v/>
      </c>
      <c r="N24" s="2">
        <f>N23+IF(LEN($X$24)&gt;0,1,0)</f>
        <v/>
      </c>
      <c r="O24" s="2">
        <f>O23+IF(LEN($Y$24)&gt;0,1,0)</f>
        <v/>
      </c>
      <c r="P24" s="2">
        <f>P23+IF(LEN($Z$24)&gt;0,1,0)</f>
        <v/>
      </c>
      <c r="Q24" s="2">
        <f>Q23+IF(LEN($AA$24)&gt;0,1,0)</f>
        <v/>
      </c>
      <c r="R24" s="2">
        <f>R23+IF(LEN($AB$24)&gt;0,1,0)</f>
        <v/>
      </c>
      <c r="S24" s="2">
        <f>S23+IF(LEN($AC$24)&gt;0,1,0)</f>
        <v/>
      </c>
      <c r="T24" s="2">
        <f>T23+IF(LEN($AD$24)&gt;0,1,0)</f>
        <v/>
      </c>
      <c r="U24" s="2">
        <f>U23+IF(LEN($AE$24)&gt;0,1,0)</f>
        <v/>
      </c>
      <c r="X24" s="2">
        <f>IF(ISERROR($B$24),"",IF(ISBLANK($B$24),"",$B$24))</f>
        <v/>
      </c>
      <c r="Y24" s="2">
        <f>IF(ISERROR($C$24),"",IF(ISBLANK($C$24),"",$C$24))</f>
        <v/>
      </c>
      <c r="Z24" s="2">
        <f>IF(ISERROR($D$24),"",IF(ISBLANK($D$24),"",$D$24))</f>
        <v/>
      </c>
      <c r="AA24" s="2">
        <f>IF(ISERROR($E$24),"",IF(ISBLANK($E$24),"",$E$24))</f>
        <v/>
      </c>
      <c r="AB24" s="2">
        <f>IF(ISERROR($F$24),"",IF(ISBLANK($F$24),"",$F$24))</f>
        <v/>
      </c>
      <c r="AC24" s="2">
        <f>IF(ISERROR($G$24),"",IF(ISBLANK($G$24),"",$G$24))</f>
        <v/>
      </c>
      <c r="AD24" s="2">
        <f>IF(ISERROR($H$24),"",IF(ISBLANK($H$24),"",$H$24))</f>
        <v/>
      </c>
      <c r="AE24" s="2">
        <f>IF(ISERROR($I$24),"",IF(ISBLANK($I$24),"",$I$24))</f>
        <v/>
      </c>
      <c r="AF24" s="2">
        <f>IF(ISERROR($J$24),"",IF(ISBLANK($J$24),"",$J$24))</f>
        <v/>
      </c>
      <c r="AG24" s="2">
        <f>ISERROR($B$24)*1+ISERROR($C$24)*1+ISERROR($D$24)*1+ISERROR($E$24)*1+ISERROR($F$24)*1+ISERROR($G$24)*1+ISERROR($H$24)*1+ISERROR($I$24)*1+ISERROR($J$24)*1</f>
        <v/>
      </c>
    </row>
    <row r="25" ht="15" customHeight="1">
      <c r="B25" s="8" t="inlineStr">
        <is>
          <t>Facções</t>
        </is>
      </c>
      <c r="C25" s="8" t="inlineStr">
        <is>
          <t>Locais</t>
        </is>
      </c>
      <c r="D25" s="8" t="inlineStr">
        <is>
          <t>Ganchos 1-4</t>
        </is>
      </c>
      <c r="E25" s="8" t="inlineStr">
        <is>
          <t>Ganchos 5-8</t>
        </is>
      </c>
      <c r="F25" s="8" t="inlineStr">
        <is>
          <t>Ganchos 9-12</t>
        </is>
      </c>
      <c r="G25" s="8" t="inlineStr">
        <is>
          <t>Ganchos 13-16</t>
        </is>
      </c>
      <c r="H25" s="8" t="inlineStr">
        <is>
          <t>Ganchos 17-20</t>
        </is>
      </c>
      <c r="I25" s="8" t="inlineStr">
        <is>
          <t>Facção ou origem (H8)</t>
        </is>
      </c>
      <c r="J25" s="8" t="inlineStr">
        <is>
          <t>Ambiente (H8)</t>
        </is>
      </c>
      <c r="N25" s="2">
        <f>N24</f>
        <v/>
      </c>
      <c r="O25" s="2">
        <f>O24</f>
        <v/>
      </c>
      <c r="P25" s="2">
        <f>P24</f>
        <v/>
      </c>
      <c r="Q25" s="2">
        <f>Q24</f>
        <v/>
      </c>
      <c r="R25" s="2">
        <f>R24</f>
        <v/>
      </c>
      <c r="S25" s="2">
        <f>S24</f>
        <v/>
      </c>
      <c r="T25" s="2">
        <f>T24</f>
        <v/>
      </c>
      <c r="U25" s="2">
        <f>U24</f>
        <v/>
      </c>
      <c r="X25" s="2">
        <f>IF(ISERROR($B$25),"",IF(ISBLANK($B$25),"",$B$25))</f>
        <v/>
      </c>
      <c r="Y25" s="2">
        <f>IF(ISERROR($C$25),"",IF(ISBLANK($C$25),"",$C$25))</f>
        <v/>
      </c>
      <c r="Z25" s="2">
        <f>IF(ISERROR($D$25),"",IF(ISBLANK($D$25),"",$D$25))</f>
        <v/>
      </c>
      <c r="AA25" s="2">
        <f>IF(ISERROR($E$25),"",IF(ISBLANK($E$25),"",$E$25))</f>
        <v/>
      </c>
      <c r="AB25" s="2">
        <f>IF(ISERROR($F$25),"",IF(ISBLANK($F$25),"",$F$25))</f>
        <v/>
      </c>
      <c r="AC25" s="2">
        <f>IF(ISERROR($G$25),"",IF(ISBLANK($G$25),"",$G$25))</f>
        <v/>
      </c>
      <c r="AD25" s="2">
        <f>IF(ISERROR($H$25),"",IF(ISBLANK($H$25),"",$H$25))</f>
        <v/>
      </c>
      <c r="AE25" s="2">
        <f>IF(ISERROR($I$25),"",IF(ISBLANK($I$25),"",$I$25))</f>
        <v/>
      </c>
      <c r="AF25" s="2">
        <f>IF(ISERROR($J$25),"",IF(ISBLANK($J$25),"",$J$25))</f>
        <v/>
      </c>
    </row>
    <row r="26" ht="26" customHeight="1">
      <c r="B26" s="33" t="n"/>
      <c r="C26" s="4" t="n"/>
      <c r="D26" s="4" t="n"/>
      <c r="E26" s="4" t="n"/>
      <c r="F26" s="4" t="n"/>
      <c r="G26" s="4" t="n"/>
      <c r="H26" s="4" t="n"/>
      <c r="I26" s="4" t="inlineStr">
        <is>
          <t>Autômato de guerra</t>
        </is>
      </c>
      <c r="J26" s="4" t="inlineStr">
        <is>
          <t>Instalação antiga</t>
        </is>
      </c>
      <c r="K26" s="19">
        <f>IF(AG26&gt;0,"O Google leu como fórmula: escolha de novo ou digite com ' na frente.","")</f>
        <v/>
      </c>
      <c r="N26" s="2">
        <f>N25+IF(LEN($X$26)&gt;0,1,0)</f>
        <v/>
      </c>
      <c r="O26" s="2">
        <f>O25+IF(LEN($Y$26)&gt;0,1,0)</f>
        <v/>
      </c>
      <c r="P26" s="2">
        <f>P25+IF(LEN($Z$26)&gt;0,1,0)</f>
        <v/>
      </c>
      <c r="Q26" s="2">
        <f>Q25+IF(LEN($AA$26)&gt;0,1,0)</f>
        <v/>
      </c>
      <c r="R26" s="2">
        <f>R25+IF(LEN($AB$26)&gt;0,1,0)</f>
        <v/>
      </c>
      <c r="S26" s="2">
        <f>S25+IF(LEN($AC$26)&gt;0,1,0)</f>
        <v/>
      </c>
      <c r="T26" s="2">
        <f>T25+IF(LEN($AD$26)&gt;0,1,0)</f>
        <v/>
      </c>
      <c r="U26" s="2">
        <f>U25+IF(LEN($AE$26)&gt;0,1,0)</f>
        <v/>
      </c>
      <c r="X26" s="2">
        <f>IF(ISERROR($B$26),"",IF(ISBLANK($B$26),"",$B$26))</f>
        <v/>
      </c>
      <c r="Y26" s="2">
        <f>IF(ISERROR($C$26),"",IF(ISBLANK($C$26),"",$C$26))</f>
        <v/>
      </c>
      <c r="Z26" s="2">
        <f>IF(ISERROR($D$26),"",IF(ISBLANK($D$26),"",$D$26))</f>
        <v/>
      </c>
      <c r="AA26" s="2">
        <f>IF(ISERROR($E$26),"",IF(ISBLANK($E$26),"",$E$26))</f>
        <v/>
      </c>
      <c r="AB26" s="2">
        <f>IF(ISERROR($F$26),"",IF(ISBLANK($F$26),"",$F$26))</f>
        <v/>
      </c>
      <c r="AC26" s="2">
        <f>IF(ISERROR($G$26),"",IF(ISBLANK($G$26),"",$G$26))</f>
        <v/>
      </c>
      <c r="AD26" s="2">
        <f>IF(ISERROR($H$26),"",IF(ISBLANK($H$26),"",$H$26))</f>
        <v/>
      </c>
      <c r="AE26" s="2">
        <f>IF(ISERROR($I$26),"",IF(ISBLANK($I$26),"",$I$26))</f>
        <v/>
      </c>
      <c r="AF26" s="2">
        <f>IF(ISERROR($J$26),"",IF(ISBLANK($J$26),"",$J$26))</f>
        <v/>
      </c>
      <c r="AG26" s="2">
        <f>ISERROR($B$26)*1+ISERROR($C$26)*1+ISERROR($D$26)*1+ISERROR($E$26)*1+ISERROR($F$26)*1+ISERROR($G$26)*1+ISERROR($H$26)*1+ISERROR($I$26)*1+ISERROR($J$26)*1</f>
        <v/>
      </c>
    </row>
    <row r="27" ht="26" customHeight="1">
      <c r="B27" s="35" t="n"/>
      <c r="C27" s="29" t="n"/>
      <c r="D27" s="29" t="n"/>
      <c r="E27" s="29" t="n"/>
      <c r="F27" s="29" t="n"/>
      <c r="G27" s="29" t="n"/>
      <c r="H27" s="29" t="n"/>
      <c r="I27" s="29" t="inlineStr">
        <is>
          <t>Stellaron</t>
        </is>
      </c>
      <c r="J27" s="29" t="inlineStr">
        <is>
          <t>Mundo com Stellaron</t>
        </is>
      </c>
      <c r="K27" s="19">
        <f>IF(AG27&gt;0,"O Google leu como fórmula: escolha de novo ou digite com ' na frente.","")</f>
        <v/>
      </c>
      <c r="N27" s="2">
        <f>N26+IF(LEN($X$27)&gt;0,1,0)</f>
        <v/>
      </c>
      <c r="O27" s="2">
        <f>O26+IF(LEN($Y$27)&gt;0,1,0)</f>
        <v/>
      </c>
      <c r="P27" s="2">
        <f>P26+IF(LEN($Z$27)&gt;0,1,0)</f>
        <v/>
      </c>
      <c r="Q27" s="2">
        <f>Q26+IF(LEN($AA$27)&gt;0,1,0)</f>
        <v/>
      </c>
      <c r="R27" s="2">
        <f>R26+IF(LEN($AB$27)&gt;0,1,0)</f>
        <v/>
      </c>
      <c r="S27" s="2">
        <f>S26+IF(LEN($AC$27)&gt;0,1,0)</f>
        <v/>
      </c>
      <c r="T27" s="2">
        <f>T26+IF(LEN($AD$27)&gt;0,1,0)</f>
        <v/>
      </c>
      <c r="U27" s="2">
        <f>U26+IF(LEN($AE$27)&gt;0,1,0)</f>
        <v/>
      </c>
      <c r="X27" s="2">
        <f>IF(ISERROR($B$27),"",IF(ISBLANK($B$27),"",$B$27))</f>
        <v/>
      </c>
      <c r="Y27" s="2">
        <f>IF(ISERROR($C$27),"",IF(ISBLANK($C$27),"",$C$27))</f>
        <v/>
      </c>
      <c r="Z27" s="2">
        <f>IF(ISERROR($D$27),"",IF(ISBLANK($D$27),"",$D$27))</f>
        <v/>
      </c>
      <c r="AA27" s="2">
        <f>IF(ISERROR($E$27),"",IF(ISBLANK($E$27),"",$E$27))</f>
        <v/>
      </c>
      <c r="AB27" s="2">
        <f>IF(ISERROR($F$27),"",IF(ISBLANK($F$27),"",$F$27))</f>
        <v/>
      </c>
      <c r="AC27" s="2">
        <f>IF(ISERROR($G$27),"",IF(ISBLANK($G$27),"",$G$27))</f>
        <v/>
      </c>
      <c r="AD27" s="2">
        <f>IF(ISERROR($H$27),"",IF(ISBLANK($H$27),"",$H$27))</f>
        <v/>
      </c>
      <c r="AE27" s="2">
        <f>IF(ISERROR($I$27),"",IF(ISBLANK($I$27),"",$I$27))</f>
        <v/>
      </c>
      <c r="AF27" s="2">
        <f>IF(ISERROR($J$27),"",IF(ISBLANK($J$27),"",$J$27))</f>
        <v/>
      </c>
      <c r="AG27" s="2">
        <f>ISERROR($B$27)*1+ISERROR($C$27)*1+ISERROR($D$27)*1+ISERROR($E$27)*1+ISERROR($F$27)*1+ISERROR($G$27)*1+ISERROR($H$27)*1+ISERROR($I$27)*1+ISERROR($J$27)*1</f>
        <v/>
      </c>
    </row>
    <row r="28" ht="26" customHeight="1">
      <c r="B28" s="33" t="n"/>
      <c r="C28" s="4" t="n"/>
      <c r="D28" s="4" t="n"/>
      <c r="E28" s="4" t="n"/>
      <c r="F28" s="4" t="n"/>
      <c r="G28" s="4" t="n"/>
      <c r="H28" s="4" t="n"/>
      <c r="I28" s="4" t="inlineStr">
        <is>
          <t>Emanadora da Inexistência</t>
        </is>
      </c>
      <c r="J28" s="4" t="inlineStr">
        <is>
          <t>Mundo com Stellaron</t>
        </is>
      </c>
      <c r="K28" s="19">
        <f>IF(AG28&gt;0,"O Google leu como fórmula: escolha de novo ou digite com ' na frente.","")</f>
        <v/>
      </c>
      <c r="N28" s="2">
        <f>N27+IF(LEN($X$28)&gt;0,1,0)</f>
        <v/>
      </c>
      <c r="O28" s="2">
        <f>O27+IF(LEN($Y$28)&gt;0,1,0)</f>
        <v/>
      </c>
      <c r="P28" s="2">
        <f>P27+IF(LEN($Z$28)&gt;0,1,0)</f>
        <v/>
      </c>
      <c r="Q28" s="2">
        <f>Q27+IF(LEN($AA$28)&gt;0,1,0)</f>
        <v/>
      </c>
      <c r="R28" s="2">
        <f>R27+IF(LEN($AB$28)&gt;0,1,0)</f>
        <v/>
      </c>
      <c r="S28" s="2">
        <f>S27+IF(LEN($AC$28)&gt;0,1,0)</f>
        <v/>
      </c>
      <c r="T28" s="2">
        <f>T27+IF(LEN($AD$28)&gt;0,1,0)</f>
        <v/>
      </c>
      <c r="U28" s="2">
        <f>U27+IF(LEN($AE$28)&gt;0,1,0)</f>
        <v/>
      </c>
      <c r="X28" s="2">
        <f>IF(ISERROR($B$28),"",IF(ISBLANK($B$28),"",$B$28))</f>
        <v/>
      </c>
      <c r="Y28" s="2">
        <f>IF(ISERROR($C$28),"",IF(ISBLANK($C$28),"",$C$28))</f>
        <v/>
      </c>
      <c r="Z28" s="2">
        <f>IF(ISERROR($D$28),"",IF(ISBLANK($D$28),"",$D$28))</f>
        <v/>
      </c>
      <c r="AA28" s="2">
        <f>IF(ISERROR($E$28),"",IF(ISBLANK($E$28),"",$E$28))</f>
        <v/>
      </c>
      <c r="AB28" s="2">
        <f>IF(ISERROR($F$28),"",IF(ISBLANK($F$28),"",$F$28))</f>
        <v/>
      </c>
      <c r="AC28" s="2">
        <f>IF(ISERROR($G$28),"",IF(ISBLANK($G$28),"",$G$28))</f>
        <v/>
      </c>
      <c r="AD28" s="2">
        <f>IF(ISERROR($H$28),"",IF(ISBLANK($H$28),"",$H$28))</f>
        <v/>
      </c>
      <c r="AE28" s="2">
        <f>IF(ISERROR($I$28),"",IF(ISBLANK($I$28),"",$I$28))</f>
        <v/>
      </c>
      <c r="AF28" s="2">
        <f>IF(ISERROR($J$28),"",IF(ISBLANK($J$28),"",$J$28))</f>
        <v/>
      </c>
      <c r="AG28" s="2">
        <f>ISERROR($B$28)*1+ISERROR($C$28)*1+ISERROR($D$28)*1+ISERROR($E$28)*1+ISERROR($F$28)*1+ISERROR($G$28)*1+ISERROR($H$28)*1+ISERROR($I$28)*1+ISERROR($J$28)*1</f>
        <v/>
      </c>
    </row>
    <row r="29" ht="26" customHeight="1">
      <c r="B29" s="35" t="n"/>
      <c r="C29" s="29" t="n"/>
      <c r="D29" s="29" t="n"/>
      <c r="E29" s="29" t="n"/>
      <c r="F29" s="29" t="n"/>
      <c r="G29" s="29" t="n"/>
      <c r="H29" s="29" t="n"/>
      <c r="I29" s="29" t="inlineStr">
        <is>
          <t>Emanador</t>
        </is>
      </c>
      <c r="J29" s="29" t="inlineStr">
        <is>
          <t>Mundo com Stellaron</t>
        </is>
      </c>
      <c r="K29" s="19">
        <f>IF(AG29&gt;0,"O Google leu como fórmula: escolha de novo ou digite com ' na frente.","")</f>
        <v/>
      </c>
      <c r="N29" s="2">
        <f>N28+IF(LEN($X$29)&gt;0,1,0)</f>
        <v/>
      </c>
      <c r="O29" s="2">
        <f>O28+IF(LEN($Y$29)&gt;0,1,0)</f>
        <v/>
      </c>
      <c r="P29" s="2">
        <f>P28+IF(LEN($Z$29)&gt;0,1,0)</f>
        <v/>
      </c>
      <c r="Q29" s="2">
        <f>Q28+IF(LEN($AA$29)&gt;0,1,0)</f>
        <v/>
      </c>
      <c r="R29" s="2">
        <f>R28+IF(LEN($AB$29)&gt;0,1,0)</f>
        <v/>
      </c>
      <c r="S29" s="2">
        <f>S28+IF(LEN($AC$29)&gt;0,1,0)</f>
        <v/>
      </c>
      <c r="T29" s="2">
        <f>T28+IF(LEN($AD$29)&gt;0,1,0)</f>
        <v/>
      </c>
      <c r="U29" s="2">
        <f>U28+IF(LEN($AE$29)&gt;0,1,0)</f>
        <v/>
      </c>
      <c r="X29" s="2">
        <f>IF(ISERROR($B$29),"",IF(ISBLANK($B$29),"",$B$29))</f>
        <v/>
      </c>
      <c r="Y29" s="2">
        <f>IF(ISERROR($C$29),"",IF(ISBLANK($C$29),"",$C$29))</f>
        <v/>
      </c>
      <c r="Z29" s="2">
        <f>IF(ISERROR($D$29),"",IF(ISBLANK($D$29),"",$D$29))</f>
        <v/>
      </c>
      <c r="AA29" s="2">
        <f>IF(ISERROR($E$29),"",IF(ISBLANK($E$29),"",$E$29))</f>
        <v/>
      </c>
      <c r="AB29" s="2">
        <f>IF(ISERROR($F$29),"",IF(ISBLANK($F$29),"",$F$29))</f>
        <v/>
      </c>
      <c r="AC29" s="2">
        <f>IF(ISERROR($G$29),"",IF(ISBLANK($G$29),"",$G$29))</f>
        <v/>
      </c>
      <c r="AD29" s="2">
        <f>IF(ISERROR($H$29),"",IF(ISBLANK($H$29),"",$H$29))</f>
        <v/>
      </c>
      <c r="AE29" s="2">
        <f>IF(ISERROR($I$29),"",IF(ISBLANK($I$29),"",$I$29))</f>
        <v/>
      </c>
      <c r="AF29" s="2">
        <f>IF(ISERROR($J$29),"",IF(ISBLANK($J$29),"",$J$29))</f>
        <v/>
      </c>
      <c r="AG29" s="2">
        <f>ISERROR($B$29)*1+ISERROR($C$29)*1+ISERROR($D$29)*1+ISERROR($E$29)*1+ISERROR($F$29)*1+ISERROR($G$29)*1+ISERROR($H$29)*1+ISERROR($I$29)*1+ISERROR($J$29)*1</f>
        <v/>
      </c>
    </row>
    <row r="30" ht="26" customHeight="1">
      <c r="B30" s="33" t="n"/>
      <c r="C30" s="4" t="n"/>
      <c r="D30" s="4" t="n"/>
      <c r="E30" s="4" t="n"/>
      <c r="F30" s="4" t="n"/>
      <c r="G30" s="4" t="n"/>
      <c r="H30" s="4" t="n"/>
      <c r="I30" s="4" t="n"/>
      <c r="J30" s="4" t="n"/>
      <c r="K30" s="19">
        <f>IF(AG30&gt;0,"O Google leu como fórmula: escolha de novo ou digite com ' na frente.","")</f>
        <v/>
      </c>
      <c r="N30" s="2">
        <f>N29+IF(LEN($X$30)&gt;0,1,0)</f>
        <v/>
      </c>
      <c r="O30" s="2">
        <f>O29+IF(LEN($Y$30)&gt;0,1,0)</f>
        <v/>
      </c>
      <c r="P30" s="2">
        <f>P29+IF(LEN($Z$30)&gt;0,1,0)</f>
        <v/>
      </c>
      <c r="Q30" s="2">
        <f>Q29+IF(LEN($AA$30)&gt;0,1,0)</f>
        <v/>
      </c>
      <c r="R30" s="2">
        <f>R29+IF(LEN($AB$30)&gt;0,1,0)</f>
        <v/>
      </c>
      <c r="S30" s="2">
        <f>S29+IF(LEN($AC$30)&gt;0,1,0)</f>
        <v/>
      </c>
      <c r="T30" s="2">
        <f>T29+IF(LEN($AD$30)&gt;0,1,0)</f>
        <v/>
      </c>
      <c r="U30" s="2">
        <f>U29+IF(LEN($AE$30)&gt;0,1,0)</f>
        <v/>
      </c>
      <c r="X30" s="2">
        <f>IF(ISERROR($B$30),"",IF(ISBLANK($B$30),"",$B$30))</f>
        <v/>
      </c>
      <c r="Y30" s="2">
        <f>IF(ISERROR($C$30),"",IF(ISBLANK($C$30),"",$C$30))</f>
        <v/>
      </c>
      <c r="Z30" s="2">
        <f>IF(ISERROR($D$30),"",IF(ISBLANK($D$30),"",$D$30))</f>
        <v/>
      </c>
      <c r="AA30" s="2">
        <f>IF(ISERROR($E$30),"",IF(ISBLANK($E$30),"",$E$30))</f>
        <v/>
      </c>
      <c r="AB30" s="2">
        <f>IF(ISERROR($F$30),"",IF(ISBLANK($F$30),"",$F$30))</f>
        <v/>
      </c>
      <c r="AC30" s="2">
        <f>IF(ISERROR($G$30),"",IF(ISBLANK($G$30),"",$G$30))</f>
        <v/>
      </c>
      <c r="AD30" s="2">
        <f>IF(ISERROR($H$30),"",IF(ISBLANK($H$30),"",$H$30))</f>
        <v/>
      </c>
      <c r="AE30" s="2">
        <f>IF(ISERROR($I$30),"",IF(ISBLANK($I$30),"",$I$30))</f>
        <v/>
      </c>
      <c r="AF30" s="2">
        <f>IF(ISERROR($J$30),"",IF(ISBLANK($J$30),"",$J$30))</f>
        <v/>
      </c>
      <c r="AG30" s="2">
        <f>ISERROR($B$30)*1+ISERROR($C$30)*1+ISERROR($D$30)*1+ISERROR($E$30)*1+ISERROR($F$30)*1+ISERROR($G$30)*1+ISERROR($H$30)*1+ISERROR($I$30)*1+ISERROR($J$30)*1</f>
        <v/>
      </c>
    </row>
    <row r="31" ht="26" customHeight="1">
      <c r="B31" s="35" t="n"/>
      <c r="C31" s="29" t="n"/>
      <c r="D31" s="29" t="n"/>
      <c r="E31" s="29" t="n"/>
      <c r="F31" s="29" t="n"/>
      <c r="G31" s="29" t="n"/>
      <c r="H31" s="29" t="n"/>
      <c r="I31" s="29" t="n"/>
      <c r="J31" s="29" t="n"/>
      <c r="K31" s="19">
        <f>IF(AG31&gt;0,"O Google leu como fórmula: escolha de novo ou digite com ' na frente.","")</f>
        <v/>
      </c>
      <c r="N31" s="2">
        <f>N30+IF(LEN($X$31)&gt;0,1,0)</f>
        <v/>
      </c>
      <c r="O31" s="2">
        <f>O30+IF(LEN($Y$31)&gt;0,1,0)</f>
        <v/>
      </c>
      <c r="P31" s="2">
        <f>P30+IF(LEN($Z$31)&gt;0,1,0)</f>
        <v/>
      </c>
      <c r="Q31" s="2">
        <f>Q30+IF(LEN($AA$31)&gt;0,1,0)</f>
        <v/>
      </c>
      <c r="R31" s="2">
        <f>R30+IF(LEN($AB$31)&gt;0,1,0)</f>
        <v/>
      </c>
      <c r="S31" s="2">
        <f>S30+IF(LEN($AC$31)&gt;0,1,0)</f>
        <v/>
      </c>
      <c r="T31" s="2">
        <f>T30+IF(LEN($AD$31)&gt;0,1,0)</f>
        <v/>
      </c>
      <c r="U31" s="2">
        <f>U30+IF(LEN($AE$31)&gt;0,1,0)</f>
        <v/>
      </c>
      <c r="X31" s="2">
        <f>IF(ISERROR($B$31),"",IF(ISBLANK($B$31),"",$B$31))</f>
        <v/>
      </c>
      <c r="Y31" s="2">
        <f>IF(ISERROR($C$31),"",IF(ISBLANK($C$31),"",$C$31))</f>
        <v/>
      </c>
      <c r="Z31" s="2">
        <f>IF(ISERROR($D$31),"",IF(ISBLANK($D$31),"",$D$31))</f>
        <v/>
      </c>
      <c r="AA31" s="2">
        <f>IF(ISERROR($E$31),"",IF(ISBLANK($E$31),"",$E$31))</f>
        <v/>
      </c>
      <c r="AB31" s="2">
        <f>IF(ISERROR($F$31),"",IF(ISBLANK($F$31),"",$F$31))</f>
        <v/>
      </c>
      <c r="AC31" s="2">
        <f>IF(ISERROR($G$31),"",IF(ISBLANK($G$31),"",$G$31))</f>
        <v/>
      </c>
      <c r="AD31" s="2">
        <f>IF(ISERROR($H$31),"",IF(ISBLANK($H$31),"",$H$31))</f>
        <v/>
      </c>
      <c r="AE31" s="2">
        <f>IF(ISERROR($I$31),"",IF(ISBLANK($I$31),"",$I$31))</f>
        <v/>
      </c>
      <c r="AF31" s="2">
        <f>IF(ISERROR($J$31),"",IF(ISBLANK($J$31),"",$J$31))</f>
        <v/>
      </c>
      <c r="AG31" s="2">
        <f>ISERROR($B$31)*1+ISERROR($C$31)*1+ISERROR($D$31)*1+ISERROR($E$31)*1+ISERROR($F$31)*1+ISERROR($G$31)*1+ISERROR($H$31)*1+ISERROR($I$31)*1+ISERROR($J$31)*1</f>
        <v/>
      </c>
    </row>
    <row r="32" ht="26" customHeight="1">
      <c r="B32" s="33" t="n"/>
      <c r="C32" s="4" t="n"/>
      <c r="D32" s="4" t="n"/>
      <c r="E32" s="4" t="n"/>
      <c r="F32" s="4" t="n"/>
      <c r="G32" s="4" t="n"/>
      <c r="H32" s="4" t="n"/>
      <c r="I32" s="4" t="n"/>
      <c r="J32" s="4" t="n"/>
      <c r="K32" s="19">
        <f>IF(AG32&gt;0,"O Google leu como fórmula: escolha de novo ou digite com ' na frente.","")</f>
        <v/>
      </c>
      <c r="N32" s="2">
        <f>N31+IF(LEN($X$32)&gt;0,1,0)</f>
        <v/>
      </c>
      <c r="O32" s="2">
        <f>O31+IF(LEN($Y$32)&gt;0,1,0)</f>
        <v/>
      </c>
      <c r="P32" s="2">
        <f>P31+IF(LEN($Z$32)&gt;0,1,0)</f>
        <v/>
      </c>
      <c r="Q32" s="2">
        <f>Q31+IF(LEN($AA$32)&gt;0,1,0)</f>
        <v/>
      </c>
      <c r="R32" s="2">
        <f>R31+IF(LEN($AB$32)&gt;0,1,0)</f>
        <v/>
      </c>
      <c r="S32" s="2">
        <f>S31+IF(LEN($AC$32)&gt;0,1,0)</f>
        <v/>
      </c>
      <c r="T32" s="2">
        <f>T31+IF(LEN($AD$32)&gt;0,1,0)</f>
        <v/>
      </c>
      <c r="U32" s="2">
        <f>U31+IF(LEN($AE$32)&gt;0,1,0)</f>
        <v/>
      </c>
      <c r="X32" s="2">
        <f>IF(ISERROR($B$32),"",IF(ISBLANK($B$32),"",$B$32))</f>
        <v/>
      </c>
      <c r="Y32" s="2">
        <f>IF(ISERROR($C$32),"",IF(ISBLANK($C$32),"",$C$32))</f>
        <v/>
      </c>
      <c r="Z32" s="2">
        <f>IF(ISERROR($D$32),"",IF(ISBLANK($D$32),"",$D$32))</f>
        <v/>
      </c>
      <c r="AA32" s="2">
        <f>IF(ISERROR($E$32),"",IF(ISBLANK($E$32),"",$E$32))</f>
        <v/>
      </c>
      <c r="AB32" s="2">
        <f>IF(ISERROR($F$32),"",IF(ISBLANK($F$32),"",$F$32))</f>
        <v/>
      </c>
      <c r="AC32" s="2">
        <f>IF(ISERROR($G$32),"",IF(ISBLANK($G$32),"",$G$32))</f>
        <v/>
      </c>
      <c r="AD32" s="2">
        <f>IF(ISERROR($H$32),"",IF(ISBLANK($H$32),"",$H$32))</f>
        <v/>
      </c>
      <c r="AE32" s="2">
        <f>IF(ISERROR($I$32),"",IF(ISBLANK($I$32),"",$I$32))</f>
        <v/>
      </c>
      <c r="AF32" s="2">
        <f>IF(ISERROR($J$32),"",IF(ISBLANK($J$32),"",$J$32))</f>
        <v/>
      </c>
      <c r="AG32" s="2">
        <f>ISERROR($B$32)*1+ISERROR($C$32)*1+ISERROR($D$32)*1+ISERROR($E$32)*1+ISERROR($F$32)*1+ISERROR($G$32)*1+ISERROR($H$32)*1+ISERROR($I$32)*1+ISERROR($J$32)*1</f>
        <v/>
      </c>
    </row>
    <row r="33" ht="26" customHeight="1">
      <c r="B33" s="35" t="n"/>
      <c r="C33" s="29" t="n"/>
      <c r="D33" s="29" t="n"/>
      <c r="E33" s="29" t="n"/>
      <c r="F33" s="29" t="n"/>
      <c r="G33" s="29" t="n"/>
      <c r="H33" s="29" t="n"/>
      <c r="I33" s="29" t="n"/>
      <c r="J33" s="29" t="n"/>
      <c r="K33" s="19">
        <f>IF(AG33&gt;0,"O Google leu como fórmula: escolha de novo ou digite com ' na frente.","")</f>
        <v/>
      </c>
      <c r="N33" s="2">
        <f>N32+IF(LEN($X$33)&gt;0,1,0)</f>
        <v/>
      </c>
      <c r="O33" s="2">
        <f>O32+IF(LEN($Y$33)&gt;0,1,0)</f>
        <v/>
      </c>
      <c r="P33" s="2">
        <f>P32+IF(LEN($Z$33)&gt;0,1,0)</f>
        <v/>
      </c>
      <c r="Q33" s="2">
        <f>Q32+IF(LEN($AA$33)&gt;0,1,0)</f>
        <v/>
      </c>
      <c r="R33" s="2">
        <f>R32+IF(LEN($AB$33)&gt;0,1,0)</f>
        <v/>
      </c>
      <c r="S33" s="2">
        <f>S32+IF(LEN($AC$33)&gt;0,1,0)</f>
        <v/>
      </c>
      <c r="T33" s="2">
        <f>T32+IF(LEN($AD$33)&gt;0,1,0)</f>
        <v/>
      </c>
      <c r="U33" s="2">
        <f>U32+IF(LEN($AE$33)&gt;0,1,0)</f>
        <v/>
      </c>
      <c r="X33" s="2">
        <f>IF(ISERROR($B$33),"",IF(ISBLANK($B$33),"",$B$33))</f>
        <v/>
      </c>
      <c r="Y33" s="2">
        <f>IF(ISERROR($C$33),"",IF(ISBLANK($C$33),"",$C$33))</f>
        <v/>
      </c>
      <c r="Z33" s="2">
        <f>IF(ISERROR($D$33),"",IF(ISBLANK($D$33),"",$D$33))</f>
        <v/>
      </c>
      <c r="AA33" s="2">
        <f>IF(ISERROR($E$33),"",IF(ISBLANK($E$33),"",$E$33))</f>
        <v/>
      </c>
      <c r="AB33" s="2">
        <f>IF(ISERROR($F$33),"",IF(ISBLANK($F$33),"",$F$33))</f>
        <v/>
      </c>
      <c r="AC33" s="2">
        <f>IF(ISERROR($G$33),"",IF(ISBLANK($G$33),"",$G$33))</f>
        <v/>
      </c>
      <c r="AD33" s="2">
        <f>IF(ISERROR($H$33),"",IF(ISBLANK($H$33),"",$H$33))</f>
        <v/>
      </c>
      <c r="AE33" s="2">
        <f>IF(ISERROR($I$33),"",IF(ISBLANK($I$33),"",$I$33))</f>
        <v/>
      </c>
      <c r="AF33" s="2">
        <f>IF(ISERROR($J$33),"",IF(ISBLANK($J$33),"",$J$33))</f>
        <v/>
      </c>
      <c r="AG33" s="2">
        <f>ISERROR($B$33)*1+ISERROR($C$33)*1+ISERROR($D$33)*1+ISERROR($E$33)*1+ISERROR($F$33)*1+ISERROR($G$33)*1+ISERROR($H$33)*1+ISERROR($I$33)*1+ISERROR($J$33)*1</f>
        <v/>
      </c>
    </row>
    <row r="34" ht="26" customHeight="1">
      <c r="B34" s="33" t="n"/>
      <c r="C34" s="4" t="n"/>
      <c r="D34" s="4" t="n"/>
      <c r="E34" s="4" t="n"/>
      <c r="F34" s="4" t="n"/>
      <c r="G34" s="4" t="n"/>
      <c r="H34" s="4" t="n"/>
      <c r="I34" s="4" t="n"/>
      <c r="J34" s="4" t="n"/>
      <c r="K34" s="19">
        <f>IF(AG34&gt;0,"O Google leu como fórmula: escolha de novo ou digite com ' na frente.","")</f>
        <v/>
      </c>
      <c r="N34" s="2">
        <f>N33+IF(LEN($X$34)&gt;0,1,0)</f>
        <v/>
      </c>
      <c r="O34" s="2">
        <f>O33+IF(LEN($Y$34)&gt;0,1,0)</f>
        <v/>
      </c>
      <c r="P34" s="2">
        <f>P33+IF(LEN($Z$34)&gt;0,1,0)</f>
        <v/>
      </c>
      <c r="Q34" s="2">
        <f>Q33+IF(LEN($AA$34)&gt;0,1,0)</f>
        <v/>
      </c>
      <c r="R34" s="2">
        <f>R33+IF(LEN($AB$34)&gt;0,1,0)</f>
        <v/>
      </c>
      <c r="S34" s="2">
        <f>S33+IF(LEN($AC$34)&gt;0,1,0)</f>
        <v/>
      </c>
      <c r="T34" s="2">
        <f>T33+IF(LEN($AD$34)&gt;0,1,0)</f>
        <v/>
      </c>
      <c r="U34" s="2">
        <f>U33+IF(LEN($AE$34)&gt;0,1,0)</f>
        <v/>
      </c>
      <c r="X34" s="2">
        <f>IF(ISERROR($B$34),"",IF(ISBLANK($B$34),"",$B$34))</f>
        <v/>
      </c>
      <c r="Y34" s="2">
        <f>IF(ISERROR($C$34),"",IF(ISBLANK($C$34),"",$C$34))</f>
        <v/>
      </c>
      <c r="Z34" s="2">
        <f>IF(ISERROR($D$34),"",IF(ISBLANK($D$34),"",$D$34))</f>
        <v/>
      </c>
      <c r="AA34" s="2">
        <f>IF(ISERROR($E$34),"",IF(ISBLANK($E$34),"",$E$34))</f>
        <v/>
      </c>
      <c r="AB34" s="2">
        <f>IF(ISERROR($F$34),"",IF(ISBLANK($F$34),"",$F$34))</f>
        <v/>
      </c>
      <c r="AC34" s="2">
        <f>IF(ISERROR($G$34),"",IF(ISBLANK($G$34),"",$G$34))</f>
        <v/>
      </c>
      <c r="AD34" s="2">
        <f>IF(ISERROR($H$34),"",IF(ISBLANK($H$34),"",$H$34))</f>
        <v/>
      </c>
      <c r="AE34" s="2">
        <f>IF(ISERROR($I$34),"",IF(ISBLANK($I$34),"",$I$34))</f>
        <v/>
      </c>
      <c r="AF34" s="2">
        <f>IF(ISERROR($J$34),"",IF(ISBLANK($J$34),"",$J$34))</f>
        <v/>
      </c>
      <c r="AG34" s="2">
        <f>ISERROR($B$34)*1+ISERROR($C$34)*1+ISERROR($D$34)*1+ISERROR($E$34)*1+ISERROR($F$34)*1+ISERROR($G$34)*1+ISERROR($H$34)*1+ISERROR($I$34)*1+ISERROR($J$34)*1</f>
        <v/>
      </c>
    </row>
    <row r="35" ht="26" customHeight="1">
      <c r="B35" s="35" t="n"/>
      <c r="C35" s="29" t="n"/>
      <c r="D35" s="29" t="n"/>
      <c r="E35" s="29" t="n"/>
      <c r="F35" s="29" t="n"/>
      <c r="G35" s="29" t="n"/>
      <c r="H35" s="29" t="n"/>
      <c r="I35" s="29" t="n"/>
      <c r="J35" s="29" t="n"/>
      <c r="K35" s="19">
        <f>IF(AG35&gt;0,"O Google leu como fórmula: escolha de novo ou digite com ' na frente.","")</f>
        <v/>
      </c>
      <c r="N35" s="2">
        <f>N34+IF(LEN($X$35)&gt;0,1,0)</f>
        <v/>
      </c>
      <c r="O35" s="2">
        <f>O34+IF(LEN($Y$35)&gt;0,1,0)</f>
        <v/>
      </c>
      <c r="P35" s="2">
        <f>P34+IF(LEN($Z$35)&gt;0,1,0)</f>
        <v/>
      </c>
      <c r="Q35" s="2">
        <f>Q34+IF(LEN($AA$35)&gt;0,1,0)</f>
        <v/>
      </c>
      <c r="R35" s="2">
        <f>R34+IF(LEN($AB$35)&gt;0,1,0)</f>
        <v/>
      </c>
      <c r="S35" s="2">
        <f>S34+IF(LEN($AC$35)&gt;0,1,0)</f>
        <v/>
      </c>
      <c r="T35" s="2">
        <f>T34+IF(LEN($AD$35)&gt;0,1,0)</f>
        <v/>
      </c>
      <c r="U35" s="2">
        <f>U34+IF(LEN($AE$35)&gt;0,1,0)</f>
        <v/>
      </c>
      <c r="X35" s="2">
        <f>IF(ISERROR($B$35),"",IF(ISBLANK($B$35),"",$B$35))</f>
        <v/>
      </c>
      <c r="Y35" s="2">
        <f>IF(ISERROR($C$35),"",IF(ISBLANK($C$35),"",$C$35))</f>
        <v/>
      </c>
      <c r="Z35" s="2">
        <f>IF(ISERROR($D$35),"",IF(ISBLANK($D$35),"",$D$35))</f>
        <v/>
      </c>
      <c r="AA35" s="2">
        <f>IF(ISERROR($E$35),"",IF(ISBLANK($E$35),"",$E$35))</f>
        <v/>
      </c>
      <c r="AB35" s="2">
        <f>IF(ISERROR($F$35),"",IF(ISBLANK($F$35),"",$F$35))</f>
        <v/>
      </c>
      <c r="AC35" s="2">
        <f>IF(ISERROR($G$35),"",IF(ISBLANK($G$35),"",$G$35))</f>
        <v/>
      </c>
      <c r="AD35" s="2">
        <f>IF(ISERROR($H$35),"",IF(ISBLANK($H$35),"",$H$35))</f>
        <v/>
      </c>
      <c r="AE35" s="2">
        <f>IF(ISERROR($I$35),"",IF(ISBLANK($I$35),"",$I$35))</f>
        <v/>
      </c>
      <c r="AF35" s="2">
        <f>IF(ISERROR($J$35),"",IF(ISBLANK($J$35),"",$J$35))</f>
        <v/>
      </c>
      <c r="AG35" s="2">
        <f>ISERROR($B$35)*1+ISERROR($C$35)*1+ISERROR($D$35)*1+ISERROR($E$35)*1+ISERROR($F$35)*1+ISERROR($G$35)*1+ISERROR($H$35)*1+ISERROR($I$35)*1+ISERROR($J$35)*1</f>
        <v/>
      </c>
    </row>
    <row r="36" ht="26" customHeight="1">
      <c r="B36" s="33" t="n"/>
      <c r="C36" s="4" t="n"/>
      <c r="D36" s="4" t="n"/>
      <c r="E36" s="4" t="n"/>
      <c r="F36" s="4" t="n"/>
      <c r="G36" s="4" t="n"/>
      <c r="H36" s="4" t="n"/>
      <c r="I36" s="4" t="n"/>
      <c r="J36" s="4" t="n"/>
      <c r="K36" s="19">
        <f>IF(AG36&gt;0,"O Google leu como fórmula: escolha de novo ou digite com ' na frente.","")</f>
        <v/>
      </c>
      <c r="N36" s="2">
        <f>N35+IF(LEN($X$36)&gt;0,1,0)</f>
        <v/>
      </c>
      <c r="O36" s="2">
        <f>O35+IF(LEN($Y$36)&gt;0,1,0)</f>
        <v/>
      </c>
      <c r="P36" s="2">
        <f>P35+IF(LEN($Z$36)&gt;0,1,0)</f>
        <v/>
      </c>
      <c r="Q36" s="2">
        <f>Q35+IF(LEN($AA$36)&gt;0,1,0)</f>
        <v/>
      </c>
      <c r="R36" s="2">
        <f>R35+IF(LEN($AB$36)&gt;0,1,0)</f>
        <v/>
      </c>
      <c r="S36" s="2">
        <f>S35+IF(LEN($AC$36)&gt;0,1,0)</f>
        <v/>
      </c>
      <c r="T36" s="2">
        <f>T35+IF(LEN($AD$36)&gt;0,1,0)</f>
        <v/>
      </c>
      <c r="U36" s="2">
        <f>U35+IF(LEN($AE$36)&gt;0,1,0)</f>
        <v/>
      </c>
      <c r="X36" s="2">
        <f>IF(ISERROR($B$36),"",IF(ISBLANK($B$36),"",$B$36))</f>
        <v/>
      </c>
      <c r="Y36" s="2">
        <f>IF(ISERROR($C$36),"",IF(ISBLANK($C$36),"",$C$36))</f>
        <v/>
      </c>
      <c r="Z36" s="2">
        <f>IF(ISERROR($D$36),"",IF(ISBLANK($D$36),"",$D$36))</f>
        <v/>
      </c>
      <c r="AA36" s="2">
        <f>IF(ISERROR($E$36),"",IF(ISBLANK($E$36),"",$E$36))</f>
        <v/>
      </c>
      <c r="AB36" s="2">
        <f>IF(ISERROR($F$36),"",IF(ISBLANK($F$36),"",$F$36))</f>
        <v/>
      </c>
      <c r="AC36" s="2">
        <f>IF(ISERROR($G$36),"",IF(ISBLANK($G$36),"",$G$36))</f>
        <v/>
      </c>
      <c r="AD36" s="2">
        <f>IF(ISERROR($H$36),"",IF(ISBLANK($H$36),"",$H$36))</f>
        <v/>
      </c>
      <c r="AE36" s="2">
        <f>IF(ISERROR($I$36),"",IF(ISBLANK($I$36),"",$I$36))</f>
        <v/>
      </c>
      <c r="AF36" s="2">
        <f>IF(ISERROR($J$36),"",IF(ISBLANK($J$36),"",$J$36))</f>
        <v/>
      </c>
      <c r="AG36" s="2">
        <f>ISERROR($B$36)*1+ISERROR($C$36)*1+ISERROR($D$36)*1+ISERROR($E$36)*1+ISERROR($F$36)*1+ISERROR($G$36)*1+ISERROR($H$36)*1+ISERROR($I$36)*1+ISERROR($J$36)*1</f>
        <v/>
      </c>
    </row>
    <row r="37" ht="26" customHeight="1">
      <c r="B37" s="35" t="n"/>
      <c r="C37" s="29" t="n"/>
      <c r="D37" s="29" t="n"/>
      <c r="E37" s="29" t="n"/>
      <c r="F37" s="29" t="n"/>
      <c r="G37" s="29" t="n"/>
      <c r="H37" s="29" t="n"/>
      <c r="I37" s="29" t="n"/>
      <c r="J37" s="29" t="n"/>
      <c r="K37" s="19">
        <f>IF(AG37&gt;0,"O Google leu como fórmula: escolha de novo ou digite com ' na frente.","")</f>
        <v/>
      </c>
      <c r="N37" s="2">
        <f>N36+IF(LEN($X$37)&gt;0,1,0)</f>
        <v/>
      </c>
      <c r="O37" s="2">
        <f>O36+IF(LEN($Y$37)&gt;0,1,0)</f>
        <v/>
      </c>
      <c r="P37" s="2">
        <f>P36+IF(LEN($Z$37)&gt;0,1,0)</f>
        <v/>
      </c>
      <c r="Q37" s="2">
        <f>Q36+IF(LEN($AA$37)&gt;0,1,0)</f>
        <v/>
      </c>
      <c r="R37" s="2">
        <f>R36+IF(LEN($AB$37)&gt;0,1,0)</f>
        <v/>
      </c>
      <c r="S37" s="2">
        <f>S36+IF(LEN($AC$37)&gt;0,1,0)</f>
        <v/>
      </c>
      <c r="T37" s="2">
        <f>T36+IF(LEN($AD$37)&gt;0,1,0)</f>
        <v/>
      </c>
      <c r="U37" s="2">
        <f>U36+IF(LEN($AE$37)&gt;0,1,0)</f>
        <v/>
      </c>
      <c r="X37" s="2">
        <f>IF(ISERROR($B$37),"",IF(ISBLANK($B$37),"",$B$37))</f>
        <v/>
      </c>
      <c r="Y37" s="2">
        <f>IF(ISERROR($C$37),"",IF(ISBLANK($C$37),"",$C$37))</f>
        <v/>
      </c>
      <c r="Z37" s="2">
        <f>IF(ISERROR($D$37),"",IF(ISBLANK($D$37),"",$D$37))</f>
        <v/>
      </c>
      <c r="AA37" s="2">
        <f>IF(ISERROR($E$37),"",IF(ISBLANK($E$37),"",$E$37))</f>
        <v/>
      </c>
      <c r="AB37" s="2">
        <f>IF(ISERROR($F$37),"",IF(ISBLANK($F$37),"",$F$37))</f>
        <v/>
      </c>
      <c r="AC37" s="2">
        <f>IF(ISERROR($G$37),"",IF(ISBLANK($G$37),"",$G$37))</f>
        <v/>
      </c>
      <c r="AD37" s="2">
        <f>IF(ISERROR($H$37),"",IF(ISBLANK($H$37),"",$H$37))</f>
        <v/>
      </c>
      <c r="AE37" s="2">
        <f>IF(ISERROR($I$37),"",IF(ISBLANK($I$37),"",$I$37))</f>
        <v/>
      </c>
      <c r="AF37" s="2">
        <f>IF(ISERROR($J$37),"",IF(ISBLANK($J$37),"",$J$37))</f>
        <v/>
      </c>
      <c r="AG37" s="2">
        <f>ISERROR($B$37)*1+ISERROR($C$37)*1+ISERROR($D$37)*1+ISERROR($E$37)*1+ISERROR($F$37)*1+ISERROR($G$37)*1+ISERROR($H$37)*1+ISERROR($I$37)*1+ISERROR($J$37)*1</f>
        <v/>
      </c>
    </row>
    <row r="38" ht="26" customHeight="1">
      <c r="B38" s="33" t="n"/>
      <c r="C38" s="4" t="n"/>
      <c r="D38" s="4" t="n"/>
      <c r="E38" s="4" t="n"/>
      <c r="F38" s="4" t="n"/>
      <c r="G38" s="4" t="n"/>
      <c r="H38" s="4" t="n"/>
      <c r="I38" s="4" t="n"/>
      <c r="J38" s="4" t="n"/>
      <c r="K38" s="19">
        <f>IF(AG38&gt;0,"O Google leu como fórmula: escolha de novo ou digite com ' na frente.","")</f>
        <v/>
      </c>
      <c r="N38" s="2">
        <f>N37+IF(LEN($X$38)&gt;0,1,0)</f>
        <v/>
      </c>
      <c r="O38" s="2">
        <f>O37+IF(LEN($Y$38)&gt;0,1,0)</f>
        <v/>
      </c>
      <c r="P38" s="2">
        <f>P37+IF(LEN($Z$38)&gt;0,1,0)</f>
        <v/>
      </c>
      <c r="Q38" s="2">
        <f>Q37+IF(LEN($AA$38)&gt;0,1,0)</f>
        <v/>
      </c>
      <c r="R38" s="2">
        <f>R37+IF(LEN($AB$38)&gt;0,1,0)</f>
        <v/>
      </c>
      <c r="S38" s="2">
        <f>S37+IF(LEN($AC$38)&gt;0,1,0)</f>
        <v/>
      </c>
      <c r="T38" s="2">
        <f>T37+IF(LEN($AD$38)&gt;0,1,0)</f>
        <v/>
      </c>
      <c r="U38" s="2">
        <f>U37+IF(LEN($AE$38)&gt;0,1,0)</f>
        <v/>
      </c>
      <c r="X38" s="2">
        <f>IF(ISERROR($B$38),"",IF(ISBLANK($B$38),"",$B$38))</f>
        <v/>
      </c>
      <c r="Y38" s="2">
        <f>IF(ISERROR($C$38),"",IF(ISBLANK($C$38),"",$C$38))</f>
        <v/>
      </c>
      <c r="Z38" s="2">
        <f>IF(ISERROR($D$38),"",IF(ISBLANK($D$38),"",$D$38))</f>
        <v/>
      </c>
      <c r="AA38" s="2">
        <f>IF(ISERROR($E$38),"",IF(ISBLANK($E$38),"",$E$38))</f>
        <v/>
      </c>
      <c r="AB38" s="2">
        <f>IF(ISERROR($F$38),"",IF(ISBLANK($F$38),"",$F$38))</f>
        <v/>
      </c>
      <c r="AC38" s="2">
        <f>IF(ISERROR($G$38),"",IF(ISBLANK($G$38),"",$G$38))</f>
        <v/>
      </c>
      <c r="AD38" s="2">
        <f>IF(ISERROR($H$38),"",IF(ISBLANK($H$38),"",$H$38))</f>
        <v/>
      </c>
      <c r="AE38" s="2">
        <f>IF(ISERROR($I$38),"",IF(ISBLANK($I$38),"",$I$38))</f>
        <v/>
      </c>
      <c r="AF38" s="2">
        <f>IF(ISERROR($J$38),"",IF(ISBLANK($J$38),"",$J$38))</f>
        <v/>
      </c>
      <c r="AG38" s="2">
        <f>ISERROR($B$38)*1+ISERROR($C$38)*1+ISERROR($D$38)*1+ISERROR($E$38)*1+ISERROR($F$38)*1+ISERROR($G$38)*1+ISERROR($H$38)*1+ISERROR($I$38)*1+ISERROR($J$38)*1</f>
        <v/>
      </c>
    </row>
    <row r="39" ht="15" customHeight="1">
      <c r="B39" s="8" t="inlineStr">
        <is>
          <t>Facções</t>
        </is>
      </c>
      <c r="C39" s="8" t="inlineStr">
        <is>
          <t>Locais</t>
        </is>
      </c>
      <c r="D39" s="8" t="inlineStr">
        <is>
          <t>Ganchos 1-4</t>
        </is>
      </c>
      <c r="E39" s="8" t="inlineStr">
        <is>
          <t>Ganchos 5-8</t>
        </is>
      </c>
      <c r="F39" s="8" t="inlineStr">
        <is>
          <t>Ganchos 9-12</t>
        </is>
      </c>
      <c r="G39" s="8" t="inlineStr">
        <is>
          <t>Ganchos 13-16</t>
        </is>
      </c>
      <c r="H39" s="8" t="inlineStr">
        <is>
          <t>Ganchos 17-20</t>
        </is>
      </c>
      <c r="I39" s="8" t="inlineStr">
        <is>
          <t>Facção ou origem (H8)</t>
        </is>
      </c>
      <c r="J39" s="8" t="inlineStr">
        <is>
          <t>Ambiente (H8)</t>
        </is>
      </c>
      <c r="N39" s="2">
        <f>N38</f>
        <v/>
      </c>
      <c r="O39" s="2">
        <f>O38</f>
        <v/>
      </c>
      <c r="P39" s="2">
        <f>P38</f>
        <v/>
      </c>
      <c r="Q39" s="2">
        <f>Q38</f>
        <v/>
      </c>
      <c r="R39" s="2">
        <f>R38</f>
        <v/>
      </c>
      <c r="S39" s="2">
        <f>S38</f>
        <v/>
      </c>
      <c r="T39" s="2">
        <f>T38</f>
        <v/>
      </c>
      <c r="U39" s="2">
        <f>U38</f>
        <v/>
      </c>
      <c r="X39" s="2">
        <f>IF(ISERROR($B$39),"",IF(ISBLANK($B$39),"",$B$39))</f>
        <v/>
      </c>
      <c r="Y39" s="2">
        <f>IF(ISERROR($C$39),"",IF(ISBLANK($C$39),"",$C$39))</f>
        <v/>
      </c>
      <c r="Z39" s="2">
        <f>IF(ISERROR($D$39),"",IF(ISBLANK($D$39),"",$D$39))</f>
        <v/>
      </c>
      <c r="AA39" s="2">
        <f>IF(ISERROR($E$39),"",IF(ISBLANK($E$39),"",$E$39))</f>
        <v/>
      </c>
      <c r="AB39" s="2">
        <f>IF(ISERROR($F$39),"",IF(ISBLANK($F$39),"",$F$39))</f>
        <v/>
      </c>
      <c r="AC39" s="2">
        <f>IF(ISERROR($G$39),"",IF(ISBLANK($G$39),"",$G$39))</f>
        <v/>
      </c>
      <c r="AD39" s="2">
        <f>IF(ISERROR($H$39),"",IF(ISBLANK($H$39),"",$H$39))</f>
        <v/>
      </c>
      <c r="AE39" s="2">
        <f>IF(ISERROR($I$39),"",IF(ISBLANK($I$39),"",$I$39))</f>
        <v/>
      </c>
      <c r="AF39" s="2">
        <f>IF(ISERROR($J$39),"",IF(ISBLANK($J$39),"",$J$39))</f>
        <v/>
      </c>
    </row>
    <row r="40" ht="26" customHeight="1">
      <c r="B40" s="33" t="n"/>
      <c r="C40" s="4" t="n"/>
      <c r="D40" s="4" t="n"/>
      <c r="E40" s="4" t="n"/>
      <c r="F40" s="4" t="n"/>
      <c r="G40" s="4" t="n"/>
      <c r="H40" s="4" t="n"/>
      <c r="I40" s="4" t="n"/>
      <c r="J40" s="4" t="n"/>
      <c r="K40" s="19">
        <f>IF(AG40&gt;0,"O Google leu como fórmula: escolha de novo ou digite com ' na frente.","")</f>
        <v/>
      </c>
      <c r="N40" s="2">
        <f>N39+IF(LEN($X$40)&gt;0,1,0)</f>
        <v/>
      </c>
      <c r="O40" s="2">
        <f>O39+IF(LEN($Y$40)&gt;0,1,0)</f>
        <v/>
      </c>
      <c r="P40" s="2">
        <f>P39+IF(LEN($Z$40)&gt;0,1,0)</f>
        <v/>
      </c>
      <c r="Q40" s="2">
        <f>Q39+IF(LEN($AA$40)&gt;0,1,0)</f>
        <v/>
      </c>
      <c r="R40" s="2">
        <f>R39+IF(LEN($AB$40)&gt;0,1,0)</f>
        <v/>
      </c>
      <c r="S40" s="2">
        <f>S39+IF(LEN($AC$40)&gt;0,1,0)</f>
        <v/>
      </c>
      <c r="T40" s="2">
        <f>T39+IF(LEN($AD$40)&gt;0,1,0)</f>
        <v/>
      </c>
      <c r="U40" s="2">
        <f>U39+IF(LEN($AE$40)&gt;0,1,0)</f>
        <v/>
      </c>
      <c r="X40" s="2">
        <f>IF(ISERROR($B$40),"",IF(ISBLANK($B$40),"",$B$40))</f>
        <v/>
      </c>
      <c r="Y40" s="2">
        <f>IF(ISERROR($C$40),"",IF(ISBLANK($C$40),"",$C$40))</f>
        <v/>
      </c>
      <c r="Z40" s="2">
        <f>IF(ISERROR($D$40),"",IF(ISBLANK($D$40),"",$D$40))</f>
        <v/>
      </c>
      <c r="AA40" s="2">
        <f>IF(ISERROR($E$40),"",IF(ISBLANK($E$40),"",$E$40))</f>
        <v/>
      </c>
      <c r="AB40" s="2">
        <f>IF(ISERROR($F$40),"",IF(ISBLANK($F$40),"",$F$40))</f>
        <v/>
      </c>
      <c r="AC40" s="2">
        <f>IF(ISERROR($G$40),"",IF(ISBLANK($G$40),"",$G$40))</f>
        <v/>
      </c>
      <c r="AD40" s="2">
        <f>IF(ISERROR($H$40),"",IF(ISBLANK($H$40),"",$H$40))</f>
        <v/>
      </c>
      <c r="AE40" s="2">
        <f>IF(ISERROR($I$40),"",IF(ISBLANK($I$40),"",$I$40))</f>
        <v/>
      </c>
      <c r="AF40" s="2">
        <f>IF(ISERROR($J$40),"",IF(ISBLANK($J$40),"",$J$40))</f>
        <v/>
      </c>
      <c r="AG40" s="2">
        <f>ISERROR($B$40)*1+ISERROR($C$40)*1+ISERROR($D$40)*1+ISERROR($E$40)*1+ISERROR($F$40)*1+ISERROR($G$40)*1+ISERROR($H$40)*1+ISERROR($I$40)*1+ISERROR($J$40)*1</f>
        <v/>
      </c>
    </row>
    <row r="41" ht="26" customHeight="1">
      <c r="B41" s="35" t="n"/>
      <c r="C41" s="29" t="n"/>
      <c r="D41" s="29" t="n"/>
      <c r="E41" s="29" t="n"/>
      <c r="F41" s="29" t="n"/>
      <c r="G41" s="29" t="n"/>
      <c r="H41" s="29" t="n"/>
      <c r="I41" s="29" t="n"/>
      <c r="J41" s="29" t="n"/>
      <c r="K41" s="19">
        <f>IF(AG41&gt;0,"O Google leu como fórmula: escolha de novo ou digite com ' na frente.","")</f>
        <v/>
      </c>
      <c r="N41" s="2">
        <f>N40+IF(LEN($X$41)&gt;0,1,0)</f>
        <v/>
      </c>
      <c r="O41" s="2">
        <f>O40+IF(LEN($Y$41)&gt;0,1,0)</f>
        <v/>
      </c>
      <c r="P41" s="2">
        <f>P40+IF(LEN($Z$41)&gt;0,1,0)</f>
        <v/>
      </c>
      <c r="Q41" s="2">
        <f>Q40+IF(LEN($AA$41)&gt;0,1,0)</f>
        <v/>
      </c>
      <c r="R41" s="2">
        <f>R40+IF(LEN($AB$41)&gt;0,1,0)</f>
        <v/>
      </c>
      <c r="S41" s="2">
        <f>S40+IF(LEN($AC$41)&gt;0,1,0)</f>
        <v/>
      </c>
      <c r="T41" s="2">
        <f>T40+IF(LEN($AD$41)&gt;0,1,0)</f>
        <v/>
      </c>
      <c r="U41" s="2">
        <f>U40+IF(LEN($AE$41)&gt;0,1,0)</f>
        <v/>
      </c>
      <c r="X41" s="2">
        <f>IF(ISERROR($B$41),"",IF(ISBLANK($B$41),"",$B$41))</f>
        <v/>
      </c>
      <c r="Y41" s="2">
        <f>IF(ISERROR($C$41),"",IF(ISBLANK($C$41),"",$C$41))</f>
        <v/>
      </c>
      <c r="Z41" s="2">
        <f>IF(ISERROR($D$41),"",IF(ISBLANK($D$41),"",$D$41))</f>
        <v/>
      </c>
      <c r="AA41" s="2">
        <f>IF(ISERROR($E$41),"",IF(ISBLANK($E$41),"",$E$41))</f>
        <v/>
      </c>
      <c r="AB41" s="2">
        <f>IF(ISERROR($F$41),"",IF(ISBLANK($F$41),"",$F$41))</f>
        <v/>
      </c>
      <c r="AC41" s="2">
        <f>IF(ISERROR($G$41),"",IF(ISBLANK($G$41),"",$G$41))</f>
        <v/>
      </c>
      <c r="AD41" s="2">
        <f>IF(ISERROR($H$41),"",IF(ISBLANK($H$41),"",$H$41))</f>
        <v/>
      </c>
      <c r="AE41" s="2">
        <f>IF(ISERROR($I$41),"",IF(ISBLANK($I$41),"",$I$41))</f>
        <v/>
      </c>
      <c r="AF41" s="2">
        <f>IF(ISERROR($J$41),"",IF(ISBLANK($J$41),"",$J$41))</f>
        <v/>
      </c>
      <c r="AG41" s="2">
        <f>ISERROR($B$41)*1+ISERROR($C$41)*1+ISERROR($D$41)*1+ISERROR($E$41)*1+ISERROR($F$41)*1+ISERROR($G$41)*1+ISERROR($H$41)*1+ISERROR($I$41)*1+ISERROR($J$41)*1</f>
        <v/>
      </c>
    </row>
    <row r="42" ht="26" customHeight="1">
      <c r="B42" s="33" t="n"/>
      <c r="C42" s="4" t="n"/>
      <c r="D42" s="4" t="n"/>
      <c r="E42" s="4" t="n"/>
      <c r="F42" s="4" t="n"/>
      <c r="G42" s="4" t="n"/>
      <c r="H42" s="4" t="n"/>
      <c r="I42" s="4" t="n"/>
      <c r="J42" s="4" t="n"/>
      <c r="K42" s="19">
        <f>IF(AG42&gt;0,"O Google leu como fórmula: escolha de novo ou digite com ' na frente.","")</f>
        <v/>
      </c>
      <c r="N42" s="2">
        <f>N41+IF(LEN($X$42)&gt;0,1,0)</f>
        <v/>
      </c>
      <c r="O42" s="2">
        <f>O41+IF(LEN($Y$42)&gt;0,1,0)</f>
        <v/>
      </c>
      <c r="P42" s="2">
        <f>P41+IF(LEN($Z$42)&gt;0,1,0)</f>
        <v/>
      </c>
      <c r="Q42" s="2">
        <f>Q41+IF(LEN($AA$42)&gt;0,1,0)</f>
        <v/>
      </c>
      <c r="R42" s="2">
        <f>R41+IF(LEN($AB$42)&gt;0,1,0)</f>
        <v/>
      </c>
      <c r="S42" s="2">
        <f>S41+IF(LEN($AC$42)&gt;0,1,0)</f>
        <v/>
      </c>
      <c r="T42" s="2">
        <f>T41+IF(LEN($AD$42)&gt;0,1,0)</f>
        <v/>
      </c>
      <c r="U42" s="2">
        <f>U41+IF(LEN($AE$42)&gt;0,1,0)</f>
        <v/>
      </c>
      <c r="X42" s="2">
        <f>IF(ISERROR($B$42),"",IF(ISBLANK($B$42),"",$B$42))</f>
        <v/>
      </c>
      <c r="Y42" s="2">
        <f>IF(ISERROR($C$42),"",IF(ISBLANK($C$42),"",$C$42))</f>
        <v/>
      </c>
      <c r="Z42" s="2">
        <f>IF(ISERROR($D$42),"",IF(ISBLANK($D$42),"",$D$42))</f>
        <v/>
      </c>
      <c r="AA42" s="2">
        <f>IF(ISERROR($E$42),"",IF(ISBLANK($E$42),"",$E$42))</f>
        <v/>
      </c>
      <c r="AB42" s="2">
        <f>IF(ISERROR($F$42),"",IF(ISBLANK($F$42),"",$F$42))</f>
        <v/>
      </c>
      <c r="AC42" s="2">
        <f>IF(ISERROR($G$42),"",IF(ISBLANK($G$42),"",$G$42))</f>
        <v/>
      </c>
      <c r="AD42" s="2">
        <f>IF(ISERROR($H$42),"",IF(ISBLANK($H$42),"",$H$42))</f>
        <v/>
      </c>
      <c r="AE42" s="2">
        <f>IF(ISERROR($I$42),"",IF(ISBLANK($I$42),"",$I$42))</f>
        <v/>
      </c>
      <c r="AF42" s="2">
        <f>IF(ISERROR($J$42),"",IF(ISBLANK($J$42),"",$J$42))</f>
        <v/>
      </c>
      <c r="AG42" s="2">
        <f>ISERROR($B$42)*1+ISERROR($C$42)*1+ISERROR($D$42)*1+ISERROR($E$42)*1+ISERROR($F$42)*1+ISERROR($G$42)*1+ISERROR($H$42)*1+ISERROR($I$42)*1+ISERROR($J$42)*1</f>
        <v/>
      </c>
    </row>
    <row r="43" ht="26" customHeight="1">
      <c r="B43" s="35" t="n"/>
      <c r="C43" s="29" t="n"/>
      <c r="D43" s="29" t="n"/>
      <c r="E43" s="29" t="n"/>
      <c r="F43" s="29" t="n"/>
      <c r="G43" s="29" t="n"/>
      <c r="H43" s="29" t="n"/>
      <c r="I43" s="29" t="n"/>
      <c r="J43" s="29" t="n"/>
      <c r="K43" s="19">
        <f>IF(AG43&gt;0,"O Google leu como fórmula: escolha de novo ou digite com ' na frente.","")</f>
        <v/>
      </c>
      <c r="N43" s="2">
        <f>N42+IF(LEN($X$43)&gt;0,1,0)</f>
        <v/>
      </c>
      <c r="O43" s="2">
        <f>O42+IF(LEN($Y$43)&gt;0,1,0)</f>
        <v/>
      </c>
      <c r="P43" s="2">
        <f>P42+IF(LEN($Z$43)&gt;0,1,0)</f>
        <v/>
      </c>
      <c r="Q43" s="2">
        <f>Q42+IF(LEN($AA$43)&gt;0,1,0)</f>
        <v/>
      </c>
      <c r="R43" s="2">
        <f>R42+IF(LEN($AB$43)&gt;0,1,0)</f>
        <v/>
      </c>
      <c r="S43" s="2">
        <f>S42+IF(LEN($AC$43)&gt;0,1,0)</f>
        <v/>
      </c>
      <c r="T43" s="2">
        <f>T42+IF(LEN($AD$43)&gt;0,1,0)</f>
        <v/>
      </c>
      <c r="U43" s="2">
        <f>U42+IF(LEN($AE$43)&gt;0,1,0)</f>
        <v/>
      </c>
      <c r="X43" s="2">
        <f>IF(ISERROR($B$43),"",IF(ISBLANK($B$43),"",$B$43))</f>
        <v/>
      </c>
      <c r="Y43" s="2">
        <f>IF(ISERROR($C$43),"",IF(ISBLANK($C$43),"",$C$43))</f>
        <v/>
      </c>
      <c r="Z43" s="2">
        <f>IF(ISERROR($D$43),"",IF(ISBLANK($D$43),"",$D$43))</f>
        <v/>
      </c>
      <c r="AA43" s="2">
        <f>IF(ISERROR($E$43),"",IF(ISBLANK($E$43),"",$E$43))</f>
        <v/>
      </c>
      <c r="AB43" s="2">
        <f>IF(ISERROR($F$43),"",IF(ISBLANK($F$43),"",$F$43))</f>
        <v/>
      </c>
      <c r="AC43" s="2">
        <f>IF(ISERROR($G$43),"",IF(ISBLANK($G$43),"",$G$43))</f>
        <v/>
      </c>
      <c r="AD43" s="2">
        <f>IF(ISERROR($H$43),"",IF(ISBLANK($H$43),"",$H$43))</f>
        <v/>
      </c>
      <c r="AE43" s="2">
        <f>IF(ISERROR($I$43),"",IF(ISBLANK($I$43),"",$I$43))</f>
        <v/>
      </c>
      <c r="AF43" s="2">
        <f>IF(ISERROR($J$43),"",IF(ISBLANK($J$43),"",$J$43))</f>
        <v/>
      </c>
      <c r="AG43" s="2">
        <f>ISERROR($B$43)*1+ISERROR($C$43)*1+ISERROR($D$43)*1+ISERROR($E$43)*1+ISERROR($F$43)*1+ISERROR($G$43)*1+ISERROR($H$43)*1+ISERROR($I$43)*1+ISERROR($J$43)*1</f>
        <v/>
      </c>
    </row>
    <row r="44" ht="26" customHeight="1">
      <c r="B44" s="33" t="n"/>
      <c r="C44" s="4" t="n"/>
      <c r="D44" s="4" t="n"/>
      <c r="E44" s="4" t="n"/>
      <c r="F44" s="4" t="n"/>
      <c r="G44" s="4" t="n"/>
      <c r="H44" s="4" t="n"/>
      <c r="I44" s="4" t="n"/>
      <c r="J44" s="4" t="n"/>
      <c r="K44" s="19">
        <f>IF(AG44&gt;0,"O Google leu como fórmula: escolha de novo ou digite com ' na frente.","")</f>
        <v/>
      </c>
      <c r="N44" s="2">
        <f>N43+IF(LEN($X$44)&gt;0,1,0)</f>
        <v/>
      </c>
      <c r="O44" s="2">
        <f>O43+IF(LEN($Y$44)&gt;0,1,0)</f>
        <v/>
      </c>
      <c r="P44" s="2">
        <f>P43+IF(LEN($Z$44)&gt;0,1,0)</f>
        <v/>
      </c>
      <c r="Q44" s="2">
        <f>Q43+IF(LEN($AA$44)&gt;0,1,0)</f>
        <v/>
      </c>
      <c r="R44" s="2">
        <f>R43+IF(LEN($AB$44)&gt;0,1,0)</f>
        <v/>
      </c>
      <c r="S44" s="2">
        <f>S43+IF(LEN($AC$44)&gt;0,1,0)</f>
        <v/>
      </c>
      <c r="T44" s="2">
        <f>T43+IF(LEN($AD$44)&gt;0,1,0)</f>
        <v/>
      </c>
      <c r="U44" s="2">
        <f>U43+IF(LEN($AE$44)&gt;0,1,0)</f>
        <v/>
      </c>
      <c r="X44" s="2">
        <f>IF(ISERROR($B$44),"",IF(ISBLANK($B$44),"",$B$44))</f>
        <v/>
      </c>
      <c r="Y44" s="2">
        <f>IF(ISERROR($C$44),"",IF(ISBLANK($C$44),"",$C$44))</f>
        <v/>
      </c>
      <c r="Z44" s="2">
        <f>IF(ISERROR($D$44),"",IF(ISBLANK($D$44),"",$D$44))</f>
        <v/>
      </c>
      <c r="AA44" s="2">
        <f>IF(ISERROR($E$44),"",IF(ISBLANK($E$44),"",$E$44))</f>
        <v/>
      </c>
      <c r="AB44" s="2">
        <f>IF(ISERROR($F$44),"",IF(ISBLANK($F$44),"",$F$44))</f>
        <v/>
      </c>
      <c r="AC44" s="2">
        <f>IF(ISERROR($G$44),"",IF(ISBLANK($G$44),"",$G$44))</f>
        <v/>
      </c>
      <c r="AD44" s="2">
        <f>IF(ISERROR($H$44),"",IF(ISBLANK($H$44),"",$H$44))</f>
        <v/>
      </c>
      <c r="AE44" s="2">
        <f>IF(ISERROR($I$44),"",IF(ISBLANK($I$44),"",$I$44))</f>
        <v/>
      </c>
      <c r="AF44" s="2">
        <f>IF(ISERROR($J$44),"",IF(ISBLANK($J$44),"",$J$44))</f>
        <v/>
      </c>
      <c r="AG44" s="2">
        <f>ISERROR($B$44)*1+ISERROR($C$44)*1+ISERROR($D$44)*1+ISERROR($E$44)*1+ISERROR($F$44)*1+ISERROR($G$44)*1+ISERROR($H$44)*1+ISERROR($I$44)*1+ISERROR($J$44)*1</f>
        <v/>
      </c>
    </row>
    <row r="45" ht="26" customHeight="1">
      <c r="B45" s="35" t="n"/>
      <c r="C45" s="29" t="n"/>
      <c r="D45" s="29" t="n"/>
      <c r="E45" s="29" t="n"/>
      <c r="F45" s="29" t="n"/>
      <c r="G45" s="29" t="n"/>
      <c r="H45" s="29" t="n"/>
      <c r="I45" s="29" t="n"/>
      <c r="J45" s="29" t="n"/>
      <c r="K45" s="19">
        <f>IF(AG45&gt;0,"O Google leu como fórmula: escolha de novo ou digite com ' na frente.","")</f>
        <v/>
      </c>
      <c r="N45" s="2">
        <f>N44+IF(LEN($X$45)&gt;0,1,0)</f>
        <v/>
      </c>
      <c r="O45" s="2">
        <f>O44+IF(LEN($Y$45)&gt;0,1,0)</f>
        <v/>
      </c>
      <c r="P45" s="2">
        <f>P44+IF(LEN($Z$45)&gt;0,1,0)</f>
        <v/>
      </c>
      <c r="Q45" s="2">
        <f>Q44+IF(LEN($AA$45)&gt;0,1,0)</f>
        <v/>
      </c>
      <c r="R45" s="2">
        <f>R44+IF(LEN($AB$45)&gt;0,1,0)</f>
        <v/>
      </c>
      <c r="S45" s="2">
        <f>S44+IF(LEN($AC$45)&gt;0,1,0)</f>
        <v/>
      </c>
      <c r="T45" s="2">
        <f>T44+IF(LEN($AD$45)&gt;0,1,0)</f>
        <v/>
      </c>
      <c r="U45" s="2">
        <f>U44+IF(LEN($AE$45)&gt;0,1,0)</f>
        <v/>
      </c>
      <c r="X45" s="2">
        <f>IF(ISERROR($B$45),"",IF(ISBLANK($B$45),"",$B$45))</f>
        <v/>
      </c>
      <c r="Y45" s="2">
        <f>IF(ISERROR($C$45),"",IF(ISBLANK($C$45),"",$C$45))</f>
        <v/>
      </c>
      <c r="Z45" s="2">
        <f>IF(ISERROR($D$45),"",IF(ISBLANK($D$45),"",$D$45))</f>
        <v/>
      </c>
      <c r="AA45" s="2">
        <f>IF(ISERROR($E$45),"",IF(ISBLANK($E$45),"",$E$45))</f>
        <v/>
      </c>
      <c r="AB45" s="2">
        <f>IF(ISERROR($F$45),"",IF(ISBLANK($F$45),"",$F$45))</f>
        <v/>
      </c>
      <c r="AC45" s="2">
        <f>IF(ISERROR($G$45),"",IF(ISBLANK($G$45),"",$G$45))</f>
        <v/>
      </c>
      <c r="AD45" s="2">
        <f>IF(ISERROR($H$45),"",IF(ISBLANK($H$45),"",$H$45))</f>
        <v/>
      </c>
      <c r="AE45" s="2">
        <f>IF(ISERROR($I$45),"",IF(ISBLANK($I$45),"",$I$45))</f>
        <v/>
      </c>
      <c r="AF45" s="2">
        <f>IF(ISERROR($J$45),"",IF(ISBLANK($J$45),"",$J$45))</f>
        <v/>
      </c>
      <c r="AG45" s="2">
        <f>ISERROR($B$45)*1+ISERROR($C$45)*1+ISERROR($D$45)*1+ISERROR($E$45)*1+ISERROR($F$45)*1+ISERROR($G$45)*1+ISERROR($H$45)*1+ISERROR($I$45)*1+ISERROR($J$45)*1</f>
        <v/>
      </c>
    </row>
    <row r="46" ht="26" customHeight="1">
      <c r="B46" s="33" t="n"/>
      <c r="C46" s="4" t="n"/>
      <c r="D46" s="4" t="n"/>
      <c r="E46" s="4" t="n"/>
      <c r="F46" s="4" t="n"/>
      <c r="G46" s="4" t="n"/>
      <c r="H46" s="4" t="n"/>
      <c r="I46" s="4" t="n"/>
      <c r="J46" s="4" t="n"/>
      <c r="K46" s="19">
        <f>IF(AG46&gt;0,"O Google leu como fórmula: escolha de novo ou digite com ' na frente.","")</f>
        <v/>
      </c>
      <c r="N46" s="2">
        <f>N45+IF(LEN($X$46)&gt;0,1,0)</f>
        <v/>
      </c>
      <c r="O46" s="2">
        <f>O45+IF(LEN($Y$46)&gt;0,1,0)</f>
        <v/>
      </c>
      <c r="P46" s="2">
        <f>P45+IF(LEN($Z$46)&gt;0,1,0)</f>
        <v/>
      </c>
      <c r="Q46" s="2">
        <f>Q45+IF(LEN($AA$46)&gt;0,1,0)</f>
        <v/>
      </c>
      <c r="R46" s="2">
        <f>R45+IF(LEN($AB$46)&gt;0,1,0)</f>
        <v/>
      </c>
      <c r="S46" s="2">
        <f>S45+IF(LEN($AC$46)&gt;0,1,0)</f>
        <v/>
      </c>
      <c r="T46" s="2">
        <f>T45+IF(LEN($AD$46)&gt;0,1,0)</f>
        <v/>
      </c>
      <c r="U46" s="2">
        <f>U45+IF(LEN($AE$46)&gt;0,1,0)</f>
        <v/>
      </c>
      <c r="X46" s="2">
        <f>IF(ISERROR($B$46),"",IF(ISBLANK($B$46),"",$B$46))</f>
        <v/>
      </c>
      <c r="Y46" s="2">
        <f>IF(ISERROR($C$46),"",IF(ISBLANK($C$46),"",$C$46))</f>
        <v/>
      </c>
      <c r="Z46" s="2">
        <f>IF(ISERROR($D$46),"",IF(ISBLANK($D$46),"",$D$46))</f>
        <v/>
      </c>
      <c r="AA46" s="2">
        <f>IF(ISERROR($E$46),"",IF(ISBLANK($E$46),"",$E$46))</f>
        <v/>
      </c>
      <c r="AB46" s="2">
        <f>IF(ISERROR($F$46),"",IF(ISBLANK($F$46),"",$F$46))</f>
        <v/>
      </c>
      <c r="AC46" s="2">
        <f>IF(ISERROR($G$46),"",IF(ISBLANK($G$46),"",$G$46))</f>
        <v/>
      </c>
      <c r="AD46" s="2">
        <f>IF(ISERROR($H$46),"",IF(ISBLANK($H$46),"",$H$46))</f>
        <v/>
      </c>
      <c r="AE46" s="2">
        <f>IF(ISERROR($I$46),"",IF(ISBLANK($I$46),"",$I$46))</f>
        <v/>
      </c>
      <c r="AF46" s="2">
        <f>IF(ISERROR($J$46),"",IF(ISBLANK($J$46),"",$J$46))</f>
        <v/>
      </c>
      <c r="AG46" s="2">
        <f>ISERROR($B$46)*1+ISERROR($C$46)*1+ISERROR($D$46)*1+ISERROR($E$46)*1+ISERROR($F$46)*1+ISERROR($G$46)*1+ISERROR($H$46)*1+ISERROR($I$46)*1+ISERROR($J$46)*1</f>
        <v/>
      </c>
    </row>
    <row r="47" ht="26" customHeight="1">
      <c r="B47" s="35" t="n"/>
      <c r="C47" s="29" t="n"/>
      <c r="D47" s="29" t="n"/>
      <c r="E47" s="29" t="n"/>
      <c r="F47" s="29" t="n"/>
      <c r="G47" s="29" t="n"/>
      <c r="H47" s="29" t="n"/>
      <c r="I47" s="29" t="n"/>
      <c r="J47" s="29" t="n"/>
      <c r="K47" s="19">
        <f>IF(AG47&gt;0,"O Google leu como fórmula: escolha de novo ou digite com ' na frente.","")</f>
        <v/>
      </c>
      <c r="N47" s="2">
        <f>N46+IF(LEN($X$47)&gt;0,1,0)</f>
        <v/>
      </c>
      <c r="O47" s="2">
        <f>O46+IF(LEN($Y$47)&gt;0,1,0)</f>
        <v/>
      </c>
      <c r="P47" s="2">
        <f>P46+IF(LEN($Z$47)&gt;0,1,0)</f>
        <v/>
      </c>
      <c r="Q47" s="2">
        <f>Q46+IF(LEN($AA$47)&gt;0,1,0)</f>
        <v/>
      </c>
      <c r="R47" s="2">
        <f>R46+IF(LEN($AB$47)&gt;0,1,0)</f>
        <v/>
      </c>
      <c r="S47" s="2">
        <f>S46+IF(LEN($AC$47)&gt;0,1,0)</f>
        <v/>
      </c>
      <c r="T47" s="2">
        <f>T46+IF(LEN($AD$47)&gt;0,1,0)</f>
        <v/>
      </c>
      <c r="U47" s="2">
        <f>U46+IF(LEN($AE$47)&gt;0,1,0)</f>
        <v/>
      </c>
      <c r="X47" s="2">
        <f>IF(ISERROR($B$47),"",IF(ISBLANK($B$47),"",$B$47))</f>
        <v/>
      </c>
      <c r="Y47" s="2">
        <f>IF(ISERROR($C$47),"",IF(ISBLANK($C$47),"",$C$47))</f>
        <v/>
      </c>
      <c r="Z47" s="2">
        <f>IF(ISERROR($D$47),"",IF(ISBLANK($D$47),"",$D$47))</f>
        <v/>
      </c>
      <c r="AA47" s="2">
        <f>IF(ISERROR($E$47),"",IF(ISBLANK($E$47),"",$E$47))</f>
        <v/>
      </c>
      <c r="AB47" s="2">
        <f>IF(ISERROR($F$47),"",IF(ISBLANK($F$47),"",$F$47))</f>
        <v/>
      </c>
      <c r="AC47" s="2">
        <f>IF(ISERROR($G$47),"",IF(ISBLANK($G$47),"",$G$47))</f>
        <v/>
      </c>
      <c r="AD47" s="2">
        <f>IF(ISERROR($H$47),"",IF(ISBLANK($H$47),"",$H$47))</f>
        <v/>
      </c>
      <c r="AE47" s="2">
        <f>IF(ISERROR($I$47),"",IF(ISBLANK($I$47),"",$I$47))</f>
        <v/>
      </c>
      <c r="AF47" s="2">
        <f>IF(ISERROR($J$47),"",IF(ISBLANK($J$47),"",$J$47))</f>
        <v/>
      </c>
      <c r="AG47" s="2">
        <f>ISERROR($B$47)*1+ISERROR($C$47)*1+ISERROR($D$47)*1+ISERROR($E$47)*1+ISERROR($F$47)*1+ISERROR($G$47)*1+ISERROR($H$47)*1+ISERROR($I$47)*1+ISERROR($J$47)*1</f>
        <v/>
      </c>
    </row>
    <row r="48" ht="26" customHeight="1">
      <c r="B48" s="33" t="n"/>
      <c r="C48" s="4" t="n"/>
      <c r="D48" s="4" t="n"/>
      <c r="E48" s="4" t="n"/>
      <c r="F48" s="4" t="n"/>
      <c r="G48" s="4" t="n"/>
      <c r="H48" s="4" t="n"/>
      <c r="I48" s="4" t="n"/>
      <c r="J48" s="4" t="n"/>
      <c r="K48" s="19">
        <f>IF(AG48&gt;0,"O Google leu como fórmula: escolha de novo ou digite com ' na frente.","")</f>
        <v/>
      </c>
      <c r="N48" s="2">
        <f>N47+IF(LEN($X$48)&gt;0,1,0)</f>
        <v/>
      </c>
      <c r="O48" s="2">
        <f>O47+IF(LEN($Y$48)&gt;0,1,0)</f>
        <v/>
      </c>
      <c r="P48" s="2">
        <f>P47+IF(LEN($Z$48)&gt;0,1,0)</f>
        <v/>
      </c>
      <c r="Q48" s="2">
        <f>Q47+IF(LEN($AA$48)&gt;0,1,0)</f>
        <v/>
      </c>
      <c r="R48" s="2">
        <f>R47+IF(LEN($AB$48)&gt;0,1,0)</f>
        <v/>
      </c>
      <c r="S48" s="2">
        <f>S47+IF(LEN($AC$48)&gt;0,1,0)</f>
        <v/>
      </c>
      <c r="T48" s="2">
        <f>T47+IF(LEN($AD$48)&gt;0,1,0)</f>
        <v/>
      </c>
      <c r="U48" s="2">
        <f>U47+IF(LEN($AE$48)&gt;0,1,0)</f>
        <v/>
      </c>
      <c r="X48" s="2">
        <f>IF(ISERROR($B$48),"",IF(ISBLANK($B$48),"",$B$48))</f>
        <v/>
      </c>
      <c r="Y48" s="2">
        <f>IF(ISERROR($C$48),"",IF(ISBLANK($C$48),"",$C$48))</f>
        <v/>
      </c>
      <c r="Z48" s="2">
        <f>IF(ISERROR($D$48),"",IF(ISBLANK($D$48),"",$D$48))</f>
        <v/>
      </c>
      <c r="AA48" s="2">
        <f>IF(ISERROR($E$48),"",IF(ISBLANK($E$48),"",$E$48))</f>
        <v/>
      </c>
      <c r="AB48" s="2">
        <f>IF(ISERROR($F$48),"",IF(ISBLANK($F$48),"",$F$48))</f>
        <v/>
      </c>
      <c r="AC48" s="2">
        <f>IF(ISERROR($G$48),"",IF(ISBLANK($G$48),"",$G$48))</f>
        <v/>
      </c>
      <c r="AD48" s="2">
        <f>IF(ISERROR($H$48),"",IF(ISBLANK($H$48),"",$H$48))</f>
        <v/>
      </c>
      <c r="AE48" s="2">
        <f>IF(ISERROR($I$48),"",IF(ISBLANK($I$48),"",$I$48))</f>
        <v/>
      </c>
      <c r="AF48" s="2">
        <f>IF(ISERROR($J$48),"",IF(ISBLANK($J$48),"",$J$48))</f>
        <v/>
      </c>
      <c r="AG48" s="2">
        <f>ISERROR($B$48)*1+ISERROR($C$48)*1+ISERROR($D$48)*1+ISERROR($E$48)*1+ISERROR($F$48)*1+ISERROR($G$48)*1+ISERROR($H$48)*1+ISERROR($I$48)*1+ISERROR($J$48)*1</f>
        <v/>
      </c>
    </row>
    <row r="49" ht="26" customHeight="1">
      <c r="B49" s="35" t="n"/>
      <c r="C49" s="29" t="n"/>
      <c r="D49" s="29" t="n"/>
      <c r="E49" s="29" t="n"/>
      <c r="F49" s="29" t="n"/>
      <c r="G49" s="29" t="n"/>
      <c r="H49" s="29" t="n"/>
      <c r="I49" s="29" t="n"/>
      <c r="J49" s="29" t="n"/>
      <c r="K49" s="19">
        <f>IF(AG49&gt;0,"O Google leu como fórmula: escolha de novo ou digite com ' na frente.","")</f>
        <v/>
      </c>
      <c r="N49" s="2">
        <f>N48+IF(LEN($X$49)&gt;0,1,0)</f>
        <v/>
      </c>
      <c r="O49" s="2">
        <f>O48+IF(LEN($Y$49)&gt;0,1,0)</f>
        <v/>
      </c>
      <c r="P49" s="2">
        <f>P48+IF(LEN($Z$49)&gt;0,1,0)</f>
        <v/>
      </c>
      <c r="Q49" s="2">
        <f>Q48+IF(LEN($AA$49)&gt;0,1,0)</f>
        <v/>
      </c>
      <c r="R49" s="2">
        <f>R48+IF(LEN($AB$49)&gt;0,1,0)</f>
        <v/>
      </c>
      <c r="S49" s="2">
        <f>S48+IF(LEN($AC$49)&gt;0,1,0)</f>
        <v/>
      </c>
      <c r="T49" s="2">
        <f>T48+IF(LEN($AD$49)&gt;0,1,0)</f>
        <v/>
      </c>
      <c r="U49" s="2">
        <f>U48+IF(LEN($AE$49)&gt;0,1,0)</f>
        <v/>
      </c>
      <c r="X49" s="2">
        <f>IF(ISERROR($B$49),"",IF(ISBLANK($B$49),"",$B$49))</f>
        <v/>
      </c>
      <c r="Y49" s="2">
        <f>IF(ISERROR($C$49),"",IF(ISBLANK($C$49),"",$C$49))</f>
        <v/>
      </c>
      <c r="Z49" s="2">
        <f>IF(ISERROR($D$49),"",IF(ISBLANK($D$49),"",$D$49))</f>
        <v/>
      </c>
      <c r="AA49" s="2">
        <f>IF(ISERROR($E$49),"",IF(ISBLANK($E$49),"",$E$49))</f>
        <v/>
      </c>
      <c r="AB49" s="2">
        <f>IF(ISERROR($F$49),"",IF(ISBLANK($F$49),"",$F$49))</f>
        <v/>
      </c>
      <c r="AC49" s="2">
        <f>IF(ISERROR($G$49),"",IF(ISBLANK($G$49),"",$G$49))</f>
        <v/>
      </c>
      <c r="AD49" s="2">
        <f>IF(ISERROR($H$49),"",IF(ISBLANK($H$49),"",$H$49))</f>
        <v/>
      </c>
      <c r="AE49" s="2">
        <f>IF(ISERROR($I$49),"",IF(ISBLANK($I$49),"",$I$49))</f>
        <v/>
      </c>
      <c r="AF49" s="2">
        <f>IF(ISERROR($J$49),"",IF(ISBLANK($J$49),"",$J$49))</f>
        <v/>
      </c>
      <c r="AG49" s="2">
        <f>ISERROR($B$49)*1+ISERROR($C$49)*1+ISERROR($D$49)*1+ISERROR($E$49)*1+ISERROR($F$49)*1+ISERROR($G$49)*1+ISERROR($H$49)*1+ISERROR($I$49)*1+ISERROR($J$49)*1</f>
        <v/>
      </c>
    </row>
    <row r="50" ht="26" customHeight="1">
      <c r="B50" s="33" t="n"/>
      <c r="C50" s="4" t="n"/>
      <c r="D50" s="4" t="n"/>
      <c r="E50" s="4" t="n"/>
      <c r="F50" s="4" t="n"/>
      <c r="G50" s="4" t="n"/>
      <c r="H50" s="4" t="n"/>
      <c r="I50" s="4" t="n"/>
      <c r="J50" s="4" t="n"/>
      <c r="K50" s="19">
        <f>IF(AG50&gt;0,"O Google leu como fórmula: escolha de novo ou digite com ' na frente.","")</f>
        <v/>
      </c>
      <c r="N50" s="2">
        <f>N49+IF(LEN($X$50)&gt;0,1,0)</f>
        <v/>
      </c>
      <c r="O50" s="2">
        <f>O49+IF(LEN($Y$50)&gt;0,1,0)</f>
        <v/>
      </c>
      <c r="P50" s="2">
        <f>P49+IF(LEN($Z$50)&gt;0,1,0)</f>
        <v/>
      </c>
      <c r="Q50" s="2">
        <f>Q49+IF(LEN($AA$50)&gt;0,1,0)</f>
        <v/>
      </c>
      <c r="R50" s="2">
        <f>R49+IF(LEN($AB$50)&gt;0,1,0)</f>
        <v/>
      </c>
      <c r="S50" s="2">
        <f>S49+IF(LEN($AC$50)&gt;0,1,0)</f>
        <v/>
      </c>
      <c r="T50" s="2">
        <f>T49+IF(LEN($AD$50)&gt;0,1,0)</f>
        <v/>
      </c>
      <c r="U50" s="2">
        <f>U49+IF(LEN($AE$50)&gt;0,1,0)</f>
        <v/>
      </c>
      <c r="X50" s="2">
        <f>IF(ISERROR($B$50),"",IF(ISBLANK($B$50),"",$B$50))</f>
        <v/>
      </c>
      <c r="Y50" s="2">
        <f>IF(ISERROR($C$50),"",IF(ISBLANK($C$50),"",$C$50))</f>
        <v/>
      </c>
      <c r="Z50" s="2">
        <f>IF(ISERROR($D$50),"",IF(ISBLANK($D$50),"",$D$50))</f>
        <v/>
      </c>
      <c r="AA50" s="2">
        <f>IF(ISERROR($E$50),"",IF(ISBLANK($E$50),"",$E$50))</f>
        <v/>
      </c>
      <c r="AB50" s="2">
        <f>IF(ISERROR($F$50),"",IF(ISBLANK($F$50),"",$F$50))</f>
        <v/>
      </c>
      <c r="AC50" s="2">
        <f>IF(ISERROR($G$50),"",IF(ISBLANK($G$50),"",$G$50))</f>
        <v/>
      </c>
      <c r="AD50" s="2">
        <f>IF(ISERROR($H$50),"",IF(ISBLANK($H$50),"",$H$50))</f>
        <v/>
      </c>
      <c r="AE50" s="2">
        <f>IF(ISERROR($I$50),"",IF(ISBLANK($I$50),"",$I$50))</f>
        <v/>
      </c>
      <c r="AF50" s="2">
        <f>IF(ISERROR($J$50),"",IF(ISBLANK($J$50),"",$J$50))</f>
        <v/>
      </c>
      <c r="AG50" s="2">
        <f>ISERROR($B$50)*1+ISERROR($C$50)*1+ISERROR($D$50)*1+ISERROR($E$50)*1+ISERROR($F$50)*1+ISERROR($G$50)*1+ISERROR($H$50)*1+ISERROR($I$50)*1+ISERROR($J$50)*1</f>
        <v/>
      </c>
    </row>
    <row r="51" ht="26" customHeight="1">
      <c r="B51" s="35" t="n"/>
      <c r="C51" s="29" t="n"/>
      <c r="D51" s="29" t="n"/>
      <c r="E51" s="29" t="n"/>
      <c r="F51" s="29" t="n"/>
      <c r="G51" s="29" t="n"/>
      <c r="H51" s="29" t="n"/>
      <c r="I51" s="29" t="n"/>
      <c r="J51" s="29" t="n"/>
      <c r="K51" s="19">
        <f>IF(AG51&gt;0,"O Google leu como fórmula: escolha de novo ou digite com ' na frente.","")</f>
        <v/>
      </c>
      <c r="N51" s="2">
        <f>N50+IF(LEN($X$51)&gt;0,1,0)</f>
        <v/>
      </c>
      <c r="O51" s="2">
        <f>O50+IF(LEN($Y$51)&gt;0,1,0)</f>
        <v/>
      </c>
      <c r="P51" s="2">
        <f>P50+IF(LEN($Z$51)&gt;0,1,0)</f>
        <v/>
      </c>
      <c r="Q51" s="2">
        <f>Q50+IF(LEN($AA$51)&gt;0,1,0)</f>
        <v/>
      </c>
      <c r="R51" s="2">
        <f>R50+IF(LEN($AB$51)&gt;0,1,0)</f>
        <v/>
      </c>
      <c r="S51" s="2">
        <f>S50+IF(LEN($AC$51)&gt;0,1,0)</f>
        <v/>
      </c>
      <c r="T51" s="2">
        <f>T50+IF(LEN($AD$51)&gt;0,1,0)</f>
        <v/>
      </c>
      <c r="U51" s="2">
        <f>U50+IF(LEN($AE$51)&gt;0,1,0)</f>
        <v/>
      </c>
      <c r="X51" s="2">
        <f>IF(ISERROR($B$51),"",IF(ISBLANK($B$51),"",$B$51))</f>
        <v/>
      </c>
      <c r="Y51" s="2">
        <f>IF(ISERROR($C$51),"",IF(ISBLANK($C$51),"",$C$51))</f>
        <v/>
      </c>
      <c r="Z51" s="2">
        <f>IF(ISERROR($D$51),"",IF(ISBLANK($D$51),"",$D$51))</f>
        <v/>
      </c>
      <c r="AA51" s="2">
        <f>IF(ISERROR($E$51),"",IF(ISBLANK($E$51),"",$E$51))</f>
        <v/>
      </c>
      <c r="AB51" s="2">
        <f>IF(ISERROR($F$51),"",IF(ISBLANK($F$51),"",$F$51))</f>
        <v/>
      </c>
      <c r="AC51" s="2">
        <f>IF(ISERROR($G$51),"",IF(ISBLANK($G$51),"",$G$51))</f>
        <v/>
      </c>
      <c r="AD51" s="2">
        <f>IF(ISERROR($H$51),"",IF(ISBLANK($H$51),"",$H$51))</f>
        <v/>
      </c>
      <c r="AE51" s="2">
        <f>IF(ISERROR($I$51),"",IF(ISBLANK($I$51),"",$I$51))</f>
        <v/>
      </c>
      <c r="AF51" s="2">
        <f>IF(ISERROR($J$51),"",IF(ISBLANK($J$51),"",$J$51))</f>
        <v/>
      </c>
      <c r="AG51" s="2">
        <f>ISERROR($B$51)*1+ISERROR($C$51)*1+ISERROR($D$51)*1+ISERROR($E$51)*1+ISERROR($F$51)*1+ISERROR($G$51)*1+ISERROR($H$51)*1+ISERROR($I$51)*1+ISERROR($J$51)*1</f>
        <v/>
      </c>
    </row>
    <row r="52" ht="26" customHeight="1">
      <c r="B52" s="33" t="n"/>
      <c r="C52" s="4" t="n"/>
      <c r="D52" s="4" t="n"/>
      <c r="E52" s="4" t="n"/>
      <c r="F52" s="4" t="n"/>
      <c r="G52" s="4" t="n"/>
      <c r="H52" s="4" t="n"/>
      <c r="I52" s="4" t="n"/>
      <c r="J52" s="4" t="n"/>
      <c r="K52" s="19">
        <f>IF(AG52&gt;0,"O Google leu como fórmula: escolha de novo ou digite com ' na frente.","")</f>
        <v/>
      </c>
      <c r="N52" s="2">
        <f>N51+IF(LEN($X$52)&gt;0,1,0)</f>
        <v/>
      </c>
      <c r="O52" s="2">
        <f>O51+IF(LEN($Y$52)&gt;0,1,0)</f>
        <v/>
      </c>
      <c r="P52" s="2">
        <f>P51+IF(LEN($Z$52)&gt;0,1,0)</f>
        <v/>
      </c>
      <c r="Q52" s="2">
        <f>Q51+IF(LEN($AA$52)&gt;0,1,0)</f>
        <v/>
      </c>
      <c r="R52" s="2">
        <f>R51+IF(LEN($AB$52)&gt;0,1,0)</f>
        <v/>
      </c>
      <c r="S52" s="2">
        <f>S51+IF(LEN($AC$52)&gt;0,1,0)</f>
        <v/>
      </c>
      <c r="T52" s="2">
        <f>T51+IF(LEN($AD$52)&gt;0,1,0)</f>
        <v/>
      </c>
      <c r="U52" s="2">
        <f>U51+IF(LEN($AE$52)&gt;0,1,0)</f>
        <v/>
      </c>
      <c r="X52" s="2">
        <f>IF(ISERROR($B$52),"",IF(ISBLANK($B$52),"",$B$52))</f>
        <v/>
      </c>
      <c r="Y52" s="2">
        <f>IF(ISERROR($C$52),"",IF(ISBLANK($C$52),"",$C$52))</f>
        <v/>
      </c>
      <c r="Z52" s="2">
        <f>IF(ISERROR($D$52),"",IF(ISBLANK($D$52),"",$D$52))</f>
        <v/>
      </c>
      <c r="AA52" s="2">
        <f>IF(ISERROR($E$52),"",IF(ISBLANK($E$52),"",$E$52))</f>
        <v/>
      </c>
      <c r="AB52" s="2">
        <f>IF(ISERROR($F$52),"",IF(ISBLANK($F$52),"",$F$52))</f>
        <v/>
      </c>
      <c r="AC52" s="2">
        <f>IF(ISERROR($G$52),"",IF(ISBLANK($G$52),"",$G$52))</f>
        <v/>
      </c>
      <c r="AD52" s="2">
        <f>IF(ISERROR($H$52),"",IF(ISBLANK($H$52),"",$H$52))</f>
        <v/>
      </c>
      <c r="AE52" s="2">
        <f>IF(ISERROR($I$52),"",IF(ISBLANK($I$52),"",$I$52))</f>
        <v/>
      </c>
      <c r="AF52" s="2">
        <f>IF(ISERROR($J$52),"",IF(ISBLANK($J$52),"",$J$52))</f>
        <v/>
      </c>
      <c r="AG52" s="2">
        <f>ISERROR($B$52)*1+ISERROR($C$52)*1+ISERROR($D$52)*1+ISERROR($E$52)*1+ISERROR($F$52)*1+ISERROR($G$52)*1+ISERROR($H$52)*1+ISERROR($I$52)*1+ISERROR($J$52)*1</f>
        <v/>
      </c>
    </row>
    <row r="53" ht="15" customHeight="1">
      <c r="B53" s="8" t="inlineStr">
        <is>
          <t>Facções</t>
        </is>
      </c>
      <c r="C53" s="8" t="inlineStr">
        <is>
          <t>Locais</t>
        </is>
      </c>
      <c r="D53" s="8" t="inlineStr">
        <is>
          <t>Ganchos 1-4</t>
        </is>
      </c>
      <c r="E53" s="8" t="inlineStr">
        <is>
          <t>Ganchos 5-8</t>
        </is>
      </c>
      <c r="F53" s="8" t="inlineStr">
        <is>
          <t>Ganchos 9-12</t>
        </is>
      </c>
      <c r="G53" s="8" t="inlineStr">
        <is>
          <t>Ganchos 13-16</t>
        </is>
      </c>
      <c r="H53" s="8" t="inlineStr">
        <is>
          <t>Ganchos 17-20</t>
        </is>
      </c>
      <c r="I53" s="8" t="inlineStr">
        <is>
          <t>Facção ou origem (H8)</t>
        </is>
      </c>
      <c r="J53" s="8" t="inlineStr">
        <is>
          <t>Ambiente (H8)</t>
        </is>
      </c>
      <c r="N53" s="2">
        <f>N52</f>
        <v/>
      </c>
      <c r="O53" s="2">
        <f>O52</f>
        <v/>
      </c>
      <c r="P53" s="2">
        <f>P52</f>
        <v/>
      </c>
      <c r="Q53" s="2">
        <f>Q52</f>
        <v/>
      </c>
      <c r="R53" s="2">
        <f>R52</f>
        <v/>
      </c>
      <c r="S53" s="2">
        <f>S52</f>
        <v/>
      </c>
      <c r="T53" s="2">
        <f>T52</f>
        <v/>
      </c>
      <c r="U53" s="2">
        <f>U52</f>
        <v/>
      </c>
      <c r="X53" s="2">
        <f>IF(ISERROR($B$53),"",IF(ISBLANK($B$53),"",$B$53))</f>
        <v/>
      </c>
      <c r="Y53" s="2">
        <f>IF(ISERROR($C$53),"",IF(ISBLANK($C$53),"",$C$53))</f>
        <v/>
      </c>
      <c r="Z53" s="2">
        <f>IF(ISERROR($D$53),"",IF(ISBLANK($D$53),"",$D$53))</f>
        <v/>
      </c>
      <c r="AA53" s="2">
        <f>IF(ISERROR($E$53),"",IF(ISBLANK($E$53),"",$E$53))</f>
        <v/>
      </c>
      <c r="AB53" s="2">
        <f>IF(ISERROR($F$53),"",IF(ISBLANK($F$53),"",$F$53))</f>
        <v/>
      </c>
      <c r="AC53" s="2">
        <f>IF(ISERROR($G$53),"",IF(ISBLANK($G$53),"",$G$53))</f>
        <v/>
      </c>
      <c r="AD53" s="2">
        <f>IF(ISERROR($H$53),"",IF(ISBLANK($H$53),"",$H$53))</f>
        <v/>
      </c>
      <c r="AE53" s="2">
        <f>IF(ISERROR($I$53),"",IF(ISBLANK($I$53),"",$I$53))</f>
        <v/>
      </c>
      <c r="AF53" s="2">
        <f>IF(ISERROR($J$53),"",IF(ISBLANK($J$53),"",$J$53))</f>
        <v/>
      </c>
    </row>
    <row r="54" ht="26" customHeight="1">
      <c r="B54" s="33" t="n"/>
      <c r="C54" s="4" t="n"/>
      <c r="D54" s="4" t="n"/>
      <c r="E54" s="4" t="n"/>
      <c r="F54" s="4" t="n"/>
      <c r="G54" s="4" t="n"/>
      <c r="H54" s="4" t="n"/>
      <c r="I54" s="4" t="n"/>
      <c r="J54" s="4" t="n"/>
      <c r="K54" s="19">
        <f>IF(AG54&gt;0,"O Google leu como fórmula: escolha de novo ou digite com ' na frente.","")</f>
        <v/>
      </c>
      <c r="N54" s="2">
        <f>N53+IF(LEN($X$54)&gt;0,1,0)</f>
        <v/>
      </c>
      <c r="O54" s="2">
        <f>O53+IF(LEN($Y$54)&gt;0,1,0)</f>
        <v/>
      </c>
      <c r="P54" s="2">
        <f>P53+IF(LEN($Z$54)&gt;0,1,0)</f>
        <v/>
      </c>
      <c r="Q54" s="2">
        <f>Q53+IF(LEN($AA$54)&gt;0,1,0)</f>
        <v/>
      </c>
      <c r="R54" s="2">
        <f>R53+IF(LEN($AB$54)&gt;0,1,0)</f>
        <v/>
      </c>
      <c r="S54" s="2">
        <f>S53+IF(LEN($AC$54)&gt;0,1,0)</f>
        <v/>
      </c>
      <c r="T54" s="2">
        <f>T53+IF(LEN($AD$54)&gt;0,1,0)</f>
        <v/>
      </c>
      <c r="U54" s="2">
        <f>U53+IF(LEN($AE$54)&gt;0,1,0)</f>
        <v/>
      </c>
      <c r="X54" s="2">
        <f>IF(ISERROR($B$54),"",IF(ISBLANK($B$54),"",$B$54))</f>
        <v/>
      </c>
      <c r="Y54" s="2">
        <f>IF(ISERROR($C$54),"",IF(ISBLANK($C$54),"",$C$54))</f>
        <v/>
      </c>
      <c r="Z54" s="2">
        <f>IF(ISERROR($D$54),"",IF(ISBLANK($D$54),"",$D$54))</f>
        <v/>
      </c>
      <c r="AA54" s="2">
        <f>IF(ISERROR($E$54),"",IF(ISBLANK($E$54),"",$E$54))</f>
        <v/>
      </c>
      <c r="AB54" s="2">
        <f>IF(ISERROR($F$54),"",IF(ISBLANK($F$54),"",$F$54))</f>
        <v/>
      </c>
      <c r="AC54" s="2">
        <f>IF(ISERROR($G$54),"",IF(ISBLANK($G$54),"",$G$54))</f>
        <v/>
      </c>
      <c r="AD54" s="2">
        <f>IF(ISERROR($H$54),"",IF(ISBLANK($H$54),"",$H$54))</f>
        <v/>
      </c>
      <c r="AE54" s="2">
        <f>IF(ISERROR($I$54),"",IF(ISBLANK($I$54),"",$I$54))</f>
        <v/>
      </c>
      <c r="AF54" s="2">
        <f>IF(ISERROR($J$54),"",IF(ISBLANK($J$54),"",$J$54))</f>
        <v/>
      </c>
      <c r="AG54" s="2">
        <f>ISERROR($B$54)*1+ISERROR($C$54)*1+ISERROR($D$54)*1+ISERROR($E$54)*1+ISERROR($F$54)*1+ISERROR($G$54)*1+ISERROR($H$54)*1+ISERROR($I$54)*1+ISERROR($J$54)*1</f>
        <v/>
      </c>
    </row>
    <row r="55" ht="26" customHeight="1">
      <c r="B55" s="35" t="n"/>
      <c r="C55" s="29" t="n"/>
      <c r="D55" s="29" t="n"/>
      <c r="E55" s="29" t="n"/>
      <c r="F55" s="29" t="n"/>
      <c r="G55" s="29" t="n"/>
      <c r="H55" s="29" t="n"/>
      <c r="I55" s="29" t="n"/>
      <c r="J55" s="29" t="n"/>
      <c r="K55" s="19">
        <f>IF(AG55&gt;0,"O Google leu como fórmula: escolha de novo ou digite com ' na frente.","")</f>
        <v/>
      </c>
      <c r="N55" s="2">
        <f>N54+IF(LEN($X$55)&gt;0,1,0)</f>
        <v/>
      </c>
      <c r="O55" s="2">
        <f>O54+IF(LEN($Y$55)&gt;0,1,0)</f>
        <v/>
      </c>
      <c r="P55" s="2">
        <f>P54+IF(LEN($Z$55)&gt;0,1,0)</f>
        <v/>
      </c>
      <c r="Q55" s="2">
        <f>Q54+IF(LEN($AA$55)&gt;0,1,0)</f>
        <v/>
      </c>
      <c r="R55" s="2">
        <f>R54+IF(LEN($AB$55)&gt;0,1,0)</f>
        <v/>
      </c>
      <c r="S55" s="2">
        <f>S54+IF(LEN($AC$55)&gt;0,1,0)</f>
        <v/>
      </c>
      <c r="T55" s="2">
        <f>T54+IF(LEN($AD$55)&gt;0,1,0)</f>
        <v/>
      </c>
      <c r="U55" s="2">
        <f>U54+IF(LEN($AE$55)&gt;0,1,0)</f>
        <v/>
      </c>
      <c r="X55" s="2">
        <f>IF(ISERROR($B$55),"",IF(ISBLANK($B$55),"",$B$55))</f>
        <v/>
      </c>
      <c r="Y55" s="2">
        <f>IF(ISERROR($C$55),"",IF(ISBLANK($C$55),"",$C$55))</f>
        <v/>
      </c>
      <c r="Z55" s="2">
        <f>IF(ISERROR($D$55),"",IF(ISBLANK($D$55),"",$D$55))</f>
        <v/>
      </c>
      <c r="AA55" s="2">
        <f>IF(ISERROR($E$55),"",IF(ISBLANK($E$55),"",$E$55))</f>
        <v/>
      </c>
      <c r="AB55" s="2">
        <f>IF(ISERROR($F$55),"",IF(ISBLANK($F$55),"",$F$55))</f>
        <v/>
      </c>
      <c r="AC55" s="2">
        <f>IF(ISERROR($G$55),"",IF(ISBLANK($G$55),"",$G$55))</f>
        <v/>
      </c>
      <c r="AD55" s="2">
        <f>IF(ISERROR($H$55),"",IF(ISBLANK($H$55),"",$H$55))</f>
        <v/>
      </c>
      <c r="AE55" s="2">
        <f>IF(ISERROR($I$55),"",IF(ISBLANK($I$55),"",$I$55))</f>
        <v/>
      </c>
      <c r="AF55" s="2">
        <f>IF(ISERROR($J$55),"",IF(ISBLANK($J$55),"",$J$55))</f>
        <v/>
      </c>
      <c r="AG55" s="2">
        <f>ISERROR($B$55)*1+ISERROR($C$55)*1+ISERROR($D$55)*1+ISERROR($E$55)*1+ISERROR($F$55)*1+ISERROR($G$55)*1+ISERROR($H$55)*1+ISERROR($I$55)*1+ISERROR($J$55)*1</f>
        <v/>
      </c>
    </row>
    <row r="56" ht="26" customHeight="1">
      <c r="B56" s="33" t="n"/>
      <c r="C56" s="4" t="n"/>
      <c r="D56" s="4" t="n"/>
      <c r="E56" s="4" t="n"/>
      <c r="F56" s="4" t="n"/>
      <c r="G56" s="4" t="n"/>
      <c r="H56" s="4" t="n"/>
      <c r="I56" s="4" t="n"/>
      <c r="J56" s="4" t="n"/>
      <c r="K56" s="19">
        <f>IF(AG56&gt;0,"O Google leu como fórmula: escolha de novo ou digite com ' na frente.","")</f>
        <v/>
      </c>
      <c r="N56" s="2">
        <f>N55+IF(LEN($X$56)&gt;0,1,0)</f>
        <v/>
      </c>
      <c r="O56" s="2">
        <f>O55+IF(LEN($Y$56)&gt;0,1,0)</f>
        <v/>
      </c>
      <c r="P56" s="2">
        <f>P55+IF(LEN($Z$56)&gt;0,1,0)</f>
        <v/>
      </c>
      <c r="Q56" s="2">
        <f>Q55+IF(LEN($AA$56)&gt;0,1,0)</f>
        <v/>
      </c>
      <c r="R56" s="2">
        <f>R55+IF(LEN($AB$56)&gt;0,1,0)</f>
        <v/>
      </c>
      <c r="S56" s="2">
        <f>S55+IF(LEN($AC$56)&gt;0,1,0)</f>
        <v/>
      </c>
      <c r="T56" s="2">
        <f>T55+IF(LEN($AD$56)&gt;0,1,0)</f>
        <v/>
      </c>
      <c r="U56" s="2">
        <f>U55+IF(LEN($AE$56)&gt;0,1,0)</f>
        <v/>
      </c>
      <c r="X56" s="2">
        <f>IF(ISERROR($B$56),"",IF(ISBLANK($B$56),"",$B$56))</f>
        <v/>
      </c>
      <c r="Y56" s="2">
        <f>IF(ISERROR($C$56),"",IF(ISBLANK($C$56),"",$C$56))</f>
        <v/>
      </c>
      <c r="Z56" s="2">
        <f>IF(ISERROR($D$56),"",IF(ISBLANK($D$56),"",$D$56))</f>
        <v/>
      </c>
      <c r="AA56" s="2">
        <f>IF(ISERROR($E$56),"",IF(ISBLANK($E$56),"",$E$56))</f>
        <v/>
      </c>
      <c r="AB56" s="2">
        <f>IF(ISERROR($F$56),"",IF(ISBLANK($F$56),"",$F$56))</f>
        <v/>
      </c>
      <c r="AC56" s="2">
        <f>IF(ISERROR($G$56),"",IF(ISBLANK($G$56),"",$G$56))</f>
        <v/>
      </c>
      <c r="AD56" s="2">
        <f>IF(ISERROR($H$56),"",IF(ISBLANK($H$56),"",$H$56))</f>
        <v/>
      </c>
      <c r="AE56" s="2">
        <f>IF(ISERROR($I$56),"",IF(ISBLANK($I$56),"",$I$56))</f>
        <v/>
      </c>
      <c r="AF56" s="2">
        <f>IF(ISERROR($J$56),"",IF(ISBLANK($J$56),"",$J$56))</f>
        <v/>
      </c>
      <c r="AG56" s="2">
        <f>ISERROR($B$56)*1+ISERROR($C$56)*1+ISERROR($D$56)*1+ISERROR($E$56)*1+ISERROR($F$56)*1+ISERROR($G$56)*1+ISERROR($H$56)*1+ISERROR($I$56)*1+ISERROR($J$56)*1</f>
        <v/>
      </c>
    </row>
    <row r="57" ht="26" customHeight="1">
      <c r="B57" s="35" t="n"/>
      <c r="C57" s="29" t="n"/>
      <c r="D57" s="29" t="n"/>
      <c r="E57" s="29" t="n"/>
      <c r="F57" s="29" t="n"/>
      <c r="G57" s="29" t="n"/>
      <c r="H57" s="29" t="n"/>
      <c r="I57" s="29" t="n"/>
      <c r="J57" s="29" t="n"/>
      <c r="K57" s="19">
        <f>IF(AG57&gt;0,"O Google leu como fórmula: escolha de novo ou digite com ' na frente.","")</f>
        <v/>
      </c>
      <c r="N57" s="2">
        <f>N56+IF(LEN($X$57)&gt;0,1,0)</f>
        <v/>
      </c>
      <c r="O57" s="2">
        <f>O56+IF(LEN($Y$57)&gt;0,1,0)</f>
        <v/>
      </c>
      <c r="P57" s="2">
        <f>P56+IF(LEN($Z$57)&gt;0,1,0)</f>
        <v/>
      </c>
      <c r="Q57" s="2">
        <f>Q56+IF(LEN($AA$57)&gt;0,1,0)</f>
        <v/>
      </c>
      <c r="R57" s="2">
        <f>R56+IF(LEN($AB$57)&gt;0,1,0)</f>
        <v/>
      </c>
      <c r="S57" s="2">
        <f>S56+IF(LEN($AC$57)&gt;0,1,0)</f>
        <v/>
      </c>
      <c r="T57" s="2">
        <f>T56+IF(LEN($AD$57)&gt;0,1,0)</f>
        <v/>
      </c>
      <c r="U57" s="2">
        <f>U56+IF(LEN($AE$57)&gt;0,1,0)</f>
        <v/>
      </c>
      <c r="X57" s="2">
        <f>IF(ISERROR($B$57),"",IF(ISBLANK($B$57),"",$B$57))</f>
        <v/>
      </c>
      <c r="Y57" s="2">
        <f>IF(ISERROR($C$57),"",IF(ISBLANK($C$57),"",$C$57))</f>
        <v/>
      </c>
      <c r="Z57" s="2">
        <f>IF(ISERROR($D$57),"",IF(ISBLANK($D$57),"",$D$57))</f>
        <v/>
      </c>
      <c r="AA57" s="2">
        <f>IF(ISERROR($E$57),"",IF(ISBLANK($E$57),"",$E$57))</f>
        <v/>
      </c>
      <c r="AB57" s="2">
        <f>IF(ISERROR($F$57),"",IF(ISBLANK($F$57),"",$F$57))</f>
        <v/>
      </c>
      <c r="AC57" s="2">
        <f>IF(ISERROR($G$57),"",IF(ISBLANK($G$57),"",$G$57))</f>
        <v/>
      </c>
      <c r="AD57" s="2">
        <f>IF(ISERROR($H$57),"",IF(ISBLANK($H$57),"",$H$57))</f>
        <v/>
      </c>
      <c r="AE57" s="2">
        <f>IF(ISERROR($I$57),"",IF(ISBLANK($I$57),"",$I$57))</f>
        <v/>
      </c>
      <c r="AF57" s="2">
        <f>IF(ISERROR($J$57),"",IF(ISBLANK($J$57),"",$J$57))</f>
        <v/>
      </c>
      <c r="AG57" s="2">
        <f>ISERROR($B$57)*1+ISERROR($C$57)*1+ISERROR($D$57)*1+ISERROR($E$57)*1+ISERROR($F$57)*1+ISERROR($G$57)*1+ISERROR($H$57)*1+ISERROR($I$57)*1+ISERROR($J$57)*1</f>
        <v/>
      </c>
    </row>
    <row r="58" ht="26" customHeight="1">
      <c r="B58" s="33" t="n"/>
      <c r="C58" s="4" t="n"/>
      <c r="D58" s="4" t="n"/>
      <c r="E58" s="4" t="n"/>
      <c r="F58" s="4" t="n"/>
      <c r="G58" s="4" t="n"/>
      <c r="H58" s="4" t="n"/>
      <c r="I58" s="4" t="n"/>
      <c r="J58" s="4" t="n"/>
      <c r="K58" s="19">
        <f>IF(AG58&gt;0,"O Google leu como fórmula: escolha de novo ou digite com ' na frente.","")</f>
        <v/>
      </c>
      <c r="N58" s="2">
        <f>N57+IF(LEN($X$58)&gt;0,1,0)</f>
        <v/>
      </c>
      <c r="O58" s="2">
        <f>O57+IF(LEN($Y$58)&gt;0,1,0)</f>
        <v/>
      </c>
      <c r="P58" s="2">
        <f>P57+IF(LEN($Z$58)&gt;0,1,0)</f>
        <v/>
      </c>
      <c r="Q58" s="2">
        <f>Q57+IF(LEN($AA$58)&gt;0,1,0)</f>
        <v/>
      </c>
      <c r="R58" s="2">
        <f>R57+IF(LEN($AB$58)&gt;0,1,0)</f>
        <v/>
      </c>
      <c r="S58" s="2">
        <f>S57+IF(LEN($AC$58)&gt;0,1,0)</f>
        <v/>
      </c>
      <c r="T58" s="2">
        <f>T57+IF(LEN($AD$58)&gt;0,1,0)</f>
        <v/>
      </c>
      <c r="U58" s="2">
        <f>U57+IF(LEN($AE$58)&gt;0,1,0)</f>
        <v/>
      </c>
      <c r="X58" s="2">
        <f>IF(ISERROR($B$58),"",IF(ISBLANK($B$58),"",$B$58))</f>
        <v/>
      </c>
      <c r="Y58" s="2">
        <f>IF(ISERROR($C$58),"",IF(ISBLANK($C$58),"",$C$58))</f>
        <v/>
      </c>
      <c r="Z58" s="2">
        <f>IF(ISERROR($D$58),"",IF(ISBLANK($D$58),"",$D$58))</f>
        <v/>
      </c>
      <c r="AA58" s="2">
        <f>IF(ISERROR($E$58),"",IF(ISBLANK($E$58),"",$E$58))</f>
        <v/>
      </c>
      <c r="AB58" s="2">
        <f>IF(ISERROR($F$58),"",IF(ISBLANK($F$58),"",$F$58))</f>
        <v/>
      </c>
      <c r="AC58" s="2">
        <f>IF(ISERROR($G$58),"",IF(ISBLANK($G$58),"",$G$58))</f>
        <v/>
      </c>
      <c r="AD58" s="2">
        <f>IF(ISERROR($H$58),"",IF(ISBLANK($H$58),"",$H$58))</f>
        <v/>
      </c>
      <c r="AE58" s="2">
        <f>IF(ISERROR($I$58),"",IF(ISBLANK($I$58),"",$I$58))</f>
        <v/>
      </c>
      <c r="AF58" s="2">
        <f>IF(ISERROR($J$58),"",IF(ISBLANK($J$58),"",$J$58))</f>
        <v/>
      </c>
      <c r="AG58" s="2">
        <f>ISERROR($B$58)*1+ISERROR($C$58)*1+ISERROR($D$58)*1+ISERROR($E$58)*1+ISERROR($F$58)*1+ISERROR($G$58)*1+ISERROR($H$58)*1+ISERROR($I$58)*1+ISERROR($J$58)*1</f>
        <v/>
      </c>
    </row>
    <row r="59" ht="26" customHeight="1">
      <c r="B59" s="35" t="n"/>
      <c r="C59" s="29" t="n"/>
      <c r="D59" s="29" t="n"/>
      <c r="E59" s="29" t="n"/>
      <c r="F59" s="29" t="n"/>
      <c r="G59" s="29" t="n"/>
      <c r="H59" s="29" t="n"/>
      <c r="I59" s="29" t="n"/>
      <c r="J59" s="29" t="n"/>
      <c r="K59" s="19">
        <f>IF(AG59&gt;0,"O Google leu como fórmula: escolha de novo ou digite com ' na frente.","")</f>
        <v/>
      </c>
      <c r="N59" s="2">
        <f>N58+IF(LEN($X$59)&gt;0,1,0)</f>
        <v/>
      </c>
      <c r="O59" s="2">
        <f>O58+IF(LEN($Y$59)&gt;0,1,0)</f>
        <v/>
      </c>
      <c r="P59" s="2">
        <f>P58+IF(LEN($Z$59)&gt;0,1,0)</f>
        <v/>
      </c>
      <c r="Q59" s="2">
        <f>Q58+IF(LEN($AA$59)&gt;0,1,0)</f>
        <v/>
      </c>
      <c r="R59" s="2">
        <f>R58+IF(LEN($AB$59)&gt;0,1,0)</f>
        <v/>
      </c>
      <c r="S59" s="2">
        <f>S58+IF(LEN($AC$59)&gt;0,1,0)</f>
        <v/>
      </c>
      <c r="T59" s="2">
        <f>T58+IF(LEN($AD$59)&gt;0,1,0)</f>
        <v/>
      </c>
      <c r="U59" s="2">
        <f>U58+IF(LEN($AE$59)&gt;0,1,0)</f>
        <v/>
      </c>
      <c r="X59" s="2">
        <f>IF(ISERROR($B$59),"",IF(ISBLANK($B$59),"",$B$59))</f>
        <v/>
      </c>
      <c r="Y59" s="2">
        <f>IF(ISERROR($C$59),"",IF(ISBLANK($C$59),"",$C$59))</f>
        <v/>
      </c>
      <c r="Z59" s="2">
        <f>IF(ISERROR($D$59),"",IF(ISBLANK($D$59),"",$D$59))</f>
        <v/>
      </c>
      <c r="AA59" s="2">
        <f>IF(ISERROR($E$59),"",IF(ISBLANK($E$59),"",$E$59))</f>
        <v/>
      </c>
      <c r="AB59" s="2">
        <f>IF(ISERROR($F$59),"",IF(ISBLANK($F$59),"",$F$59))</f>
        <v/>
      </c>
      <c r="AC59" s="2">
        <f>IF(ISERROR($G$59),"",IF(ISBLANK($G$59),"",$G$59))</f>
        <v/>
      </c>
      <c r="AD59" s="2">
        <f>IF(ISERROR($H$59),"",IF(ISBLANK($H$59),"",$H$59))</f>
        <v/>
      </c>
      <c r="AE59" s="2">
        <f>IF(ISERROR($I$59),"",IF(ISBLANK($I$59),"",$I$59))</f>
        <v/>
      </c>
      <c r="AF59" s="2">
        <f>IF(ISERROR($J$59),"",IF(ISBLANK($J$59),"",$J$59))</f>
        <v/>
      </c>
      <c r="AG59" s="2">
        <f>ISERROR($B$59)*1+ISERROR($C$59)*1+ISERROR($D$59)*1+ISERROR($E$59)*1+ISERROR($F$59)*1+ISERROR($G$59)*1+ISERROR($H$59)*1+ISERROR($I$59)*1+ISERROR($J$59)*1</f>
        <v/>
      </c>
    </row>
    <row r="60" ht="26" customHeight="1">
      <c r="B60" s="33" t="n"/>
      <c r="C60" s="4" t="n"/>
      <c r="D60" s="4" t="n"/>
      <c r="E60" s="4" t="n"/>
      <c r="F60" s="4" t="n"/>
      <c r="G60" s="4" t="n"/>
      <c r="H60" s="4" t="n"/>
      <c r="I60" s="4" t="n"/>
      <c r="J60" s="4" t="n"/>
      <c r="K60" s="19">
        <f>IF(AG60&gt;0,"O Google leu como fórmula: escolha de novo ou digite com ' na frente.","")</f>
        <v/>
      </c>
      <c r="N60" s="2">
        <f>N59+IF(LEN($X$60)&gt;0,1,0)</f>
        <v/>
      </c>
      <c r="O60" s="2">
        <f>O59+IF(LEN($Y$60)&gt;0,1,0)</f>
        <v/>
      </c>
      <c r="P60" s="2">
        <f>P59+IF(LEN($Z$60)&gt;0,1,0)</f>
        <v/>
      </c>
      <c r="Q60" s="2">
        <f>Q59+IF(LEN($AA$60)&gt;0,1,0)</f>
        <v/>
      </c>
      <c r="R60" s="2">
        <f>R59+IF(LEN($AB$60)&gt;0,1,0)</f>
        <v/>
      </c>
      <c r="S60" s="2">
        <f>S59+IF(LEN($AC$60)&gt;0,1,0)</f>
        <v/>
      </c>
      <c r="T60" s="2">
        <f>T59+IF(LEN($AD$60)&gt;0,1,0)</f>
        <v/>
      </c>
      <c r="U60" s="2">
        <f>U59+IF(LEN($AE$60)&gt;0,1,0)</f>
        <v/>
      </c>
      <c r="X60" s="2">
        <f>IF(ISERROR($B$60),"",IF(ISBLANK($B$60),"",$B$60))</f>
        <v/>
      </c>
      <c r="Y60" s="2">
        <f>IF(ISERROR($C$60),"",IF(ISBLANK($C$60),"",$C$60))</f>
        <v/>
      </c>
      <c r="Z60" s="2">
        <f>IF(ISERROR($D$60),"",IF(ISBLANK($D$60),"",$D$60))</f>
        <v/>
      </c>
      <c r="AA60" s="2">
        <f>IF(ISERROR($E$60),"",IF(ISBLANK($E$60),"",$E$60))</f>
        <v/>
      </c>
      <c r="AB60" s="2">
        <f>IF(ISERROR($F$60),"",IF(ISBLANK($F$60),"",$F$60))</f>
        <v/>
      </c>
      <c r="AC60" s="2">
        <f>IF(ISERROR($G$60),"",IF(ISBLANK($G$60),"",$G$60))</f>
        <v/>
      </c>
      <c r="AD60" s="2">
        <f>IF(ISERROR($H$60),"",IF(ISBLANK($H$60),"",$H$60))</f>
        <v/>
      </c>
      <c r="AE60" s="2">
        <f>IF(ISERROR($I$60),"",IF(ISBLANK($I$60),"",$I$60))</f>
        <v/>
      </c>
      <c r="AF60" s="2">
        <f>IF(ISERROR($J$60),"",IF(ISBLANK($J$60),"",$J$60))</f>
        <v/>
      </c>
      <c r="AG60" s="2">
        <f>ISERROR($B$60)*1+ISERROR($C$60)*1+ISERROR($D$60)*1+ISERROR($E$60)*1+ISERROR($F$60)*1+ISERROR($G$60)*1+ISERROR($H$60)*1+ISERROR($I$60)*1+ISERROR($J$60)*1</f>
        <v/>
      </c>
    </row>
    <row r="61" ht="26" customHeight="1">
      <c r="B61" s="35" t="n"/>
      <c r="C61" s="29" t="n"/>
      <c r="D61" s="29" t="n"/>
      <c r="E61" s="29" t="n"/>
      <c r="F61" s="29" t="n"/>
      <c r="G61" s="29" t="n"/>
      <c r="H61" s="29" t="n"/>
      <c r="I61" s="29" t="n"/>
      <c r="J61" s="29" t="n"/>
      <c r="K61" s="19">
        <f>IF(AG61&gt;0,"O Google leu como fórmula: escolha de novo ou digite com ' na frente.","")</f>
        <v/>
      </c>
      <c r="N61" s="2">
        <f>N60+IF(LEN($X$61)&gt;0,1,0)</f>
        <v/>
      </c>
      <c r="O61" s="2">
        <f>O60+IF(LEN($Y$61)&gt;0,1,0)</f>
        <v/>
      </c>
      <c r="P61" s="2">
        <f>P60+IF(LEN($Z$61)&gt;0,1,0)</f>
        <v/>
      </c>
      <c r="Q61" s="2">
        <f>Q60+IF(LEN($AA$61)&gt;0,1,0)</f>
        <v/>
      </c>
      <c r="R61" s="2">
        <f>R60+IF(LEN($AB$61)&gt;0,1,0)</f>
        <v/>
      </c>
      <c r="S61" s="2">
        <f>S60+IF(LEN($AC$61)&gt;0,1,0)</f>
        <v/>
      </c>
      <c r="T61" s="2">
        <f>T60+IF(LEN($AD$61)&gt;0,1,0)</f>
        <v/>
      </c>
      <c r="U61" s="2">
        <f>U60+IF(LEN($AE$61)&gt;0,1,0)</f>
        <v/>
      </c>
      <c r="X61" s="2">
        <f>IF(ISERROR($B$61),"",IF(ISBLANK($B$61),"",$B$61))</f>
        <v/>
      </c>
      <c r="Y61" s="2">
        <f>IF(ISERROR($C$61),"",IF(ISBLANK($C$61),"",$C$61))</f>
        <v/>
      </c>
      <c r="Z61" s="2">
        <f>IF(ISERROR($D$61),"",IF(ISBLANK($D$61),"",$D$61))</f>
        <v/>
      </c>
      <c r="AA61" s="2">
        <f>IF(ISERROR($E$61),"",IF(ISBLANK($E$61),"",$E$61))</f>
        <v/>
      </c>
      <c r="AB61" s="2">
        <f>IF(ISERROR($F$61),"",IF(ISBLANK($F$61),"",$F$61))</f>
        <v/>
      </c>
      <c r="AC61" s="2">
        <f>IF(ISERROR($G$61),"",IF(ISBLANK($G$61),"",$G$61))</f>
        <v/>
      </c>
      <c r="AD61" s="2">
        <f>IF(ISERROR($H$61),"",IF(ISBLANK($H$61),"",$H$61))</f>
        <v/>
      </c>
      <c r="AE61" s="2">
        <f>IF(ISERROR($I$61),"",IF(ISBLANK($I$61),"",$I$61))</f>
        <v/>
      </c>
      <c r="AF61" s="2">
        <f>IF(ISERROR($J$61),"",IF(ISBLANK($J$61),"",$J$61))</f>
        <v/>
      </c>
      <c r="AG61" s="2">
        <f>ISERROR($B$61)*1+ISERROR($C$61)*1+ISERROR($D$61)*1+ISERROR($E$61)*1+ISERROR($F$61)*1+ISERROR($G$61)*1+ISERROR($H$61)*1+ISERROR($I$61)*1+ISERROR($J$61)*1</f>
        <v/>
      </c>
    </row>
    <row r="62" ht="26" customHeight="1">
      <c r="B62" s="33" t="n"/>
      <c r="C62" s="4" t="n"/>
      <c r="D62" s="4" t="n"/>
      <c r="E62" s="4" t="n"/>
      <c r="F62" s="4" t="n"/>
      <c r="G62" s="4" t="n"/>
      <c r="H62" s="4" t="n"/>
      <c r="I62" s="4" t="n"/>
      <c r="J62" s="4" t="n"/>
      <c r="K62" s="19">
        <f>IF(AG62&gt;0,"O Google leu como fórmula: escolha de novo ou digite com ' na frente.","")</f>
        <v/>
      </c>
      <c r="N62" s="2">
        <f>N61+IF(LEN($X$62)&gt;0,1,0)</f>
        <v/>
      </c>
      <c r="O62" s="2">
        <f>O61+IF(LEN($Y$62)&gt;0,1,0)</f>
        <v/>
      </c>
      <c r="P62" s="2">
        <f>P61+IF(LEN($Z$62)&gt;0,1,0)</f>
        <v/>
      </c>
      <c r="Q62" s="2">
        <f>Q61+IF(LEN($AA$62)&gt;0,1,0)</f>
        <v/>
      </c>
      <c r="R62" s="2">
        <f>R61+IF(LEN($AB$62)&gt;0,1,0)</f>
        <v/>
      </c>
      <c r="S62" s="2">
        <f>S61+IF(LEN($AC$62)&gt;0,1,0)</f>
        <v/>
      </c>
      <c r="T62" s="2">
        <f>T61+IF(LEN($AD$62)&gt;0,1,0)</f>
        <v/>
      </c>
      <c r="U62" s="2">
        <f>U61+IF(LEN($AE$62)&gt;0,1,0)</f>
        <v/>
      </c>
      <c r="X62" s="2">
        <f>IF(ISERROR($B$62),"",IF(ISBLANK($B$62),"",$B$62))</f>
        <v/>
      </c>
      <c r="Y62" s="2">
        <f>IF(ISERROR($C$62),"",IF(ISBLANK($C$62),"",$C$62))</f>
        <v/>
      </c>
      <c r="Z62" s="2">
        <f>IF(ISERROR($D$62),"",IF(ISBLANK($D$62),"",$D$62))</f>
        <v/>
      </c>
      <c r="AA62" s="2">
        <f>IF(ISERROR($E$62),"",IF(ISBLANK($E$62),"",$E$62))</f>
        <v/>
      </c>
      <c r="AB62" s="2">
        <f>IF(ISERROR($F$62),"",IF(ISBLANK($F$62),"",$F$62))</f>
        <v/>
      </c>
      <c r="AC62" s="2">
        <f>IF(ISERROR($G$62),"",IF(ISBLANK($G$62),"",$G$62))</f>
        <v/>
      </c>
      <c r="AD62" s="2">
        <f>IF(ISERROR($H$62),"",IF(ISBLANK($H$62),"",$H$62))</f>
        <v/>
      </c>
      <c r="AE62" s="2">
        <f>IF(ISERROR($I$62),"",IF(ISBLANK($I$62),"",$I$62))</f>
        <v/>
      </c>
      <c r="AF62" s="2">
        <f>IF(ISERROR($J$62),"",IF(ISBLANK($J$62),"",$J$62))</f>
        <v/>
      </c>
      <c r="AG62" s="2">
        <f>ISERROR($B$62)*1+ISERROR($C$62)*1+ISERROR($D$62)*1+ISERROR($E$62)*1+ISERROR($F$62)*1+ISERROR($G$62)*1+ISERROR($H$62)*1+ISERROR($I$62)*1+ISERROR($J$62)*1</f>
        <v/>
      </c>
    </row>
    <row r="63" ht="26" customHeight="1">
      <c r="B63" s="35" t="n"/>
      <c r="C63" s="29" t="n"/>
      <c r="D63" s="29" t="n"/>
      <c r="E63" s="29" t="n"/>
      <c r="F63" s="29" t="n"/>
      <c r="G63" s="29" t="n"/>
      <c r="H63" s="29" t="n"/>
      <c r="I63" s="29" t="n"/>
      <c r="J63" s="29" t="n"/>
      <c r="K63" s="19">
        <f>IF(AG63&gt;0,"O Google leu como fórmula: escolha de novo ou digite com ' na frente.","")</f>
        <v/>
      </c>
      <c r="N63" s="2">
        <f>N62+IF(LEN($X$63)&gt;0,1,0)</f>
        <v/>
      </c>
      <c r="O63" s="2">
        <f>O62+IF(LEN($Y$63)&gt;0,1,0)</f>
        <v/>
      </c>
      <c r="P63" s="2">
        <f>P62+IF(LEN($Z$63)&gt;0,1,0)</f>
        <v/>
      </c>
      <c r="Q63" s="2">
        <f>Q62+IF(LEN($AA$63)&gt;0,1,0)</f>
        <v/>
      </c>
      <c r="R63" s="2">
        <f>R62+IF(LEN($AB$63)&gt;0,1,0)</f>
        <v/>
      </c>
      <c r="S63" s="2">
        <f>S62+IF(LEN($AC$63)&gt;0,1,0)</f>
        <v/>
      </c>
      <c r="T63" s="2">
        <f>T62+IF(LEN($AD$63)&gt;0,1,0)</f>
        <v/>
      </c>
      <c r="U63" s="2">
        <f>U62+IF(LEN($AE$63)&gt;0,1,0)</f>
        <v/>
      </c>
      <c r="X63" s="2">
        <f>IF(ISERROR($B$63),"",IF(ISBLANK($B$63),"",$B$63))</f>
        <v/>
      </c>
      <c r="Y63" s="2">
        <f>IF(ISERROR($C$63),"",IF(ISBLANK($C$63),"",$C$63))</f>
        <v/>
      </c>
      <c r="Z63" s="2">
        <f>IF(ISERROR($D$63),"",IF(ISBLANK($D$63),"",$D$63))</f>
        <v/>
      </c>
      <c r="AA63" s="2">
        <f>IF(ISERROR($E$63),"",IF(ISBLANK($E$63),"",$E$63))</f>
        <v/>
      </c>
      <c r="AB63" s="2">
        <f>IF(ISERROR($F$63),"",IF(ISBLANK($F$63),"",$F$63))</f>
        <v/>
      </c>
      <c r="AC63" s="2">
        <f>IF(ISERROR($G$63),"",IF(ISBLANK($G$63),"",$G$63))</f>
        <v/>
      </c>
      <c r="AD63" s="2">
        <f>IF(ISERROR($H$63),"",IF(ISBLANK($H$63),"",$H$63))</f>
        <v/>
      </c>
      <c r="AE63" s="2">
        <f>IF(ISERROR($I$63),"",IF(ISBLANK($I$63),"",$I$63))</f>
        <v/>
      </c>
      <c r="AF63" s="2">
        <f>IF(ISERROR($J$63),"",IF(ISBLANK($J$63),"",$J$63))</f>
        <v/>
      </c>
      <c r="AG63" s="2">
        <f>ISERROR($B$63)*1+ISERROR($C$63)*1+ISERROR($D$63)*1+ISERROR($E$63)*1+ISERROR($F$63)*1+ISERROR($G$63)*1+ISERROR($H$63)*1+ISERROR($I$63)*1+ISERROR($J$63)*1</f>
        <v/>
      </c>
    </row>
    <row r="64" ht="26" customHeight="1">
      <c r="B64" s="33" t="n"/>
      <c r="C64" s="4" t="n"/>
      <c r="D64" s="4" t="n"/>
      <c r="E64" s="4" t="n"/>
      <c r="F64" s="4" t="n"/>
      <c r="G64" s="4" t="n"/>
      <c r="H64" s="4" t="n"/>
      <c r="I64" s="4" t="n"/>
      <c r="J64" s="4" t="n"/>
      <c r="K64" s="19">
        <f>IF(AG64&gt;0,"O Google leu como fórmula: escolha de novo ou digite com ' na frente.","")</f>
        <v/>
      </c>
      <c r="N64" s="2">
        <f>N63+IF(LEN($X$64)&gt;0,1,0)</f>
        <v/>
      </c>
      <c r="O64" s="2">
        <f>O63+IF(LEN($Y$64)&gt;0,1,0)</f>
        <v/>
      </c>
      <c r="P64" s="2">
        <f>P63+IF(LEN($Z$64)&gt;0,1,0)</f>
        <v/>
      </c>
      <c r="Q64" s="2">
        <f>Q63+IF(LEN($AA$64)&gt;0,1,0)</f>
        <v/>
      </c>
      <c r="R64" s="2">
        <f>R63+IF(LEN($AB$64)&gt;0,1,0)</f>
        <v/>
      </c>
      <c r="S64" s="2">
        <f>S63+IF(LEN($AC$64)&gt;0,1,0)</f>
        <v/>
      </c>
      <c r="T64" s="2">
        <f>T63+IF(LEN($AD$64)&gt;0,1,0)</f>
        <v/>
      </c>
      <c r="U64" s="2">
        <f>U63+IF(LEN($AE$64)&gt;0,1,0)</f>
        <v/>
      </c>
      <c r="X64" s="2">
        <f>IF(ISERROR($B$64),"",IF(ISBLANK($B$64),"",$B$64))</f>
        <v/>
      </c>
      <c r="Y64" s="2">
        <f>IF(ISERROR($C$64),"",IF(ISBLANK($C$64),"",$C$64))</f>
        <v/>
      </c>
      <c r="Z64" s="2">
        <f>IF(ISERROR($D$64),"",IF(ISBLANK($D$64),"",$D$64))</f>
        <v/>
      </c>
      <c r="AA64" s="2">
        <f>IF(ISERROR($E$64),"",IF(ISBLANK($E$64),"",$E$64))</f>
        <v/>
      </c>
      <c r="AB64" s="2">
        <f>IF(ISERROR($F$64),"",IF(ISBLANK($F$64),"",$F$64))</f>
        <v/>
      </c>
      <c r="AC64" s="2">
        <f>IF(ISERROR($G$64),"",IF(ISBLANK($G$64),"",$G$64))</f>
        <v/>
      </c>
      <c r="AD64" s="2">
        <f>IF(ISERROR($H$64),"",IF(ISBLANK($H$64),"",$H$64))</f>
        <v/>
      </c>
      <c r="AE64" s="2">
        <f>IF(ISERROR($I$64),"",IF(ISBLANK($I$64),"",$I$64))</f>
        <v/>
      </c>
      <c r="AF64" s="2">
        <f>IF(ISERROR($J$64),"",IF(ISBLANK($J$64),"",$J$64))</f>
        <v/>
      </c>
      <c r="AG64" s="2">
        <f>ISERROR($B$64)*1+ISERROR($C$64)*1+ISERROR($D$64)*1+ISERROR($E$64)*1+ISERROR($F$64)*1+ISERROR($G$64)*1+ISERROR($H$64)*1+ISERROR($I$64)*1+ISERROR($J$64)*1</f>
        <v/>
      </c>
    </row>
    <row r="65" ht="26" customHeight="1">
      <c r="B65" s="35" t="n"/>
      <c r="C65" s="29" t="n"/>
      <c r="D65" s="29" t="n"/>
      <c r="E65" s="29" t="n"/>
      <c r="F65" s="29" t="n"/>
      <c r="G65" s="29" t="n"/>
      <c r="H65" s="29" t="n"/>
      <c r="I65" s="29" t="n"/>
      <c r="J65" s="29" t="n"/>
      <c r="K65" s="19">
        <f>IF(AG65&gt;0,"O Google leu como fórmula: escolha de novo ou digite com ' na frente.","")</f>
        <v/>
      </c>
      <c r="N65" s="2">
        <f>N64+IF(LEN($X$65)&gt;0,1,0)</f>
        <v/>
      </c>
      <c r="O65" s="2">
        <f>O64+IF(LEN($Y$65)&gt;0,1,0)</f>
        <v/>
      </c>
      <c r="P65" s="2">
        <f>P64+IF(LEN($Z$65)&gt;0,1,0)</f>
        <v/>
      </c>
      <c r="Q65" s="2">
        <f>Q64+IF(LEN($AA$65)&gt;0,1,0)</f>
        <v/>
      </c>
      <c r="R65" s="2">
        <f>R64+IF(LEN($AB$65)&gt;0,1,0)</f>
        <v/>
      </c>
      <c r="S65" s="2">
        <f>S64+IF(LEN($AC$65)&gt;0,1,0)</f>
        <v/>
      </c>
      <c r="T65" s="2">
        <f>T64+IF(LEN($AD$65)&gt;0,1,0)</f>
        <v/>
      </c>
      <c r="U65" s="2">
        <f>U64+IF(LEN($AE$65)&gt;0,1,0)</f>
        <v/>
      </c>
      <c r="X65" s="2">
        <f>IF(ISERROR($B$65),"",IF(ISBLANK($B$65),"",$B$65))</f>
        <v/>
      </c>
      <c r="Y65" s="2">
        <f>IF(ISERROR($C$65),"",IF(ISBLANK($C$65),"",$C$65))</f>
        <v/>
      </c>
      <c r="Z65" s="2">
        <f>IF(ISERROR($D$65),"",IF(ISBLANK($D$65),"",$D$65))</f>
        <v/>
      </c>
      <c r="AA65" s="2">
        <f>IF(ISERROR($E$65),"",IF(ISBLANK($E$65),"",$E$65))</f>
        <v/>
      </c>
      <c r="AB65" s="2">
        <f>IF(ISERROR($F$65),"",IF(ISBLANK($F$65),"",$F$65))</f>
        <v/>
      </c>
      <c r="AC65" s="2">
        <f>IF(ISERROR($G$65),"",IF(ISBLANK($G$65),"",$G$65))</f>
        <v/>
      </c>
      <c r="AD65" s="2">
        <f>IF(ISERROR($H$65),"",IF(ISBLANK($H$65),"",$H$65))</f>
        <v/>
      </c>
      <c r="AE65" s="2">
        <f>IF(ISERROR($I$65),"",IF(ISBLANK($I$65),"",$I$65))</f>
        <v/>
      </c>
      <c r="AF65" s="2">
        <f>IF(ISERROR($J$65),"",IF(ISBLANK($J$65),"",$J$65))</f>
        <v/>
      </c>
      <c r="AG65" s="2">
        <f>ISERROR($B$65)*1+ISERROR($C$65)*1+ISERROR($D$65)*1+ISERROR($E$65)*1+ISERROR($F$65)*1+ISERROR($G$65)*1+ISERROR($H$65)*1+ISERROR($I$65)*1+ISERROR($J$65)*1</f>
        <v/>
      </c>
    </row>
    <row r="66" ht="26" customHeight="1">
      <c r="B66" s="33" t="n"/>
      <c r="C66" s="4" t="n"/>
      <c r="D66" s="4" t="n"/>
      <c r="E66" s="4" t="n"/>
      <c r="F66" s="4" t="n"/>
      <c r="G66" s="4" t="n"/>
      <c r="H66" s="4" t="n"/>
      <c r="I66" s="4" t="n"/>
      <c r="J66" s="4" t="n"/>
      <c r="K66" s="19">
        <f>IF(AG66&gt;0,"O Google leu como fórmula: escolha de novo ou digite com ' na frente.","")</f>
        <v/>
      </c>
      <c r="N66" s="2">
        <f>N65+IF(LEN($X$66)&gt;0,1,0)</f>
        <v/>
      </c>
      <c r="O66" s="2">
        <f>O65+IF(LEN($Y$66)&gt;0,1,0)</f>
        <v/>
      </c>
      <c r="P66" s="2">
        <f>P65+IF(LEN($Z$66)&gt;0,1,0)</f>
        <v/>
      </c>
      <c r="Q66" s="2">
        <f>Q65+IF(LEN($AA$66)&gt;0,1,0)</f>
        <v/>
      </c>
      <c r="R66" s="2">
        <f>R65+IF(LEN($AB$66)&gt;0,1,0)</f>
        <v/>
      </c>
      <c r="S66" s="2">
        <f>S65+IF(LEN($AC$66)&gt;0,1,0)</f>
        <v/>
      </c>
      <c r="T66" s="2">
        <f>T65+IF(LEN($AD$66)&gt;0,1,0)</f>
        <v/>
      </c>
      <c r="U66" s="2">
        <f>U65+IF(LEN($AE$66)&gt;0,1,0)</f>
        <v/>
      </c>
      <c r="X66" s="2">
        <f>IF(ISERROR($B$66),"",IF(ISBLANK($B$66),"",$B$66))</f>
        <v/>
      </c>
      <c r="Y66" s="2">
        <f>IF(ISERROR($C$66),"",IF(ISBLANK($C$66),"",$C$66))</f>
        <v/>
      </c>
      <c r="Z66" s="2">
        <f>IF(ISERROR($D$66),"",IF(ISBLANK($D$66),"",$D$66))</f>
        <v/>
      </c>
      <c r="AA66" s="2">
        <f>IF(ISERROR($E$66),"",IF(ISBLANK($E$66),"",$E$66))</f>
        <v/>
      </c>
      <c r="AB66" s="2">
        <f>IF(ISERROR($F$66),"",IF(ISBLANK($F$66),"",$F$66))</f>
        <v/>
      </c>
      <c r="AC66" s="2">
        <f>IF(ISERROR($G$66),"",IF(ISBLANK($G$66),"",$G$66))</f>
        <v/>
      </c>
      <c r="AD66" s="2">
        <f>IF(ISERROR($H$66),"",IF(ISBLANK($H$66),"",$H$66))</f>
        <v/>
      </c>
      <c r="AE66" s="2">
        <f>IF(ISERROR($I$66),"",IF(ISBLANK($I$66),"",$I$66))</f>
        <v/>
      </c>
      <c r="AF66" s="2">
        <f>IF(ISERROR($J$66),"",IF(ISBLANK($J$66),"",$J$66))</f>
        <v/>
      </c>
      <c r="AG66" s="2">
        <f>ISERROR($B$66)*1+ISERROR($C$66)*1+ISERROR($D$66)*1+ISERROR($E$66)*1+ISERROR($F$66)*1+ISERROR($G$66)*1+ISERROR($H$66)*1+ISERROR($I$66)*1+ISERROR($J$66)*1</f>
        <v/>
      </c>
    </row>
    <row r="67" ht="15" customHeight="1">
      <c r="B67" s="8" t="inlineStr">
        <is>
          <t>Facções</t>
        </is>
      </c>
      <c r="C67" s="8" t="inlineStr">
        <is>
          <t>Locais</t>
        </is>
      </c>
      <c r="D67" s="8" t="inlineStr">
        <is>
          <t>Ganchos 1-4</t>
        </is>
      </c>
      <c r="E67" s="8" t="inlineStr">
        <is>
          <t>Ganchos 5-8</t>
        </is>
      </c>
      <c r="F67" s="8" t="inlineStr">
        <is>
          <t>Ganchos 9-12</t>
        </is>
      </c>
      <c r="G67" s="8" t="inlineStr">
        <is>
          <t>Ganchos 13-16</t>
        </is>
      </c>
      <c r="H67" s="8" t="inlineStr">
        <is>
          <t>Ganchos 17-20</t>
        </is>
      </c>
      <c r="I67" s="8" t="inlineStr">
        <is>
          <t>Facção ou origem (H8)</t>
        </is>
      </c>
      <c r="J67" s="8" t="inlineStr">
        <is>
          <t>Ambiente (H8)</t>
        </is>
      </c>
      <c r="N67" s="2">
        <f>N66</f>
        <v/>
      </c>
      <c r="O67" s="2">
        <f>O66</f>
        <v/>
      </c>
      <c r="P67" s="2">
        <f>P66</f>
        <v/>
      </c>
      <c r="Q67" s="2">
        <f>Q66</f>
        <v/>
      </c>
      <c r="R67" s="2">
        <f>R66</f>
        <v/>
      </c>
      <c r="S67" s="2">
        <f>S66</f>
        <v/>
      </c>
      <c r="T67" s="2">
        <f>T66</f>
        <v/>
      </c>
      <c r="U67" s="2">
        <f>U66</f>
        <v/>
      </c>
      <c r="X67" s="2">
        <f>IF(ISERROR($B$67),"",IF(ISBLANK($B$67),"",$B$67))</f>
        <v/>
      </c>
      <c r="Y67" s="2">
        <f>IF(ISERROR($C$67),"",IF(ISBLANK($C$67),"",$C$67))</f>
        <v/>
      </c>
      <c r="Z67" s="2">
        <f>IF(ISERROR($D$67),"",IF(ISBLANK($D$67),"",$D$67))</f>
        <v/>
      </c>
      <c r="AA67" s="2">
        <f>IF(ISERROR($E$67),"",IF(ISBLANK($E$67),"",$E$67))</f>
        <v/>
      </c>
      <c r="AB67" s="2">
        <f>IF(ISERROR($F$67),"",IF(ISBLANK($F$67),"",$F$67))</f>
        <v/>
      </c>
      <c r="AC67" s="2">
        <f>IF(ISERROR($G$67),"",IF(ISBLANK($G$67),"",$G$67))</f>
        <v/>
      </c>
      <c r="AD67" s="2">
        <f>IF(ISERROR($H$67),"",IF(ISBLANK($H$67),"",$H$67))</f>
        <v/>
      </c>
      <c r="AE67" s="2">
        <f>IF(ISERROR($I$67),"",IF(ISBLANK($I$67),"",$I$67))</f>
        <v/>
      </c>
      <c r="AF67" s="2">
        <f>IF(ISERROR($J$67),"",IF(ISBLANK($J$67),"",$J$67))</f>
        <v/>
      </c>
    </row>
    <row r="68" ht="26" customHeight="1">
      <c r="B68" s="33" t="n"/>
      <c r="C68" s="4" t="n"/>
      <c r="D68" s="4" t="n"/>
      <c r="E68" s="4" t="n"/>
      <c r="F68" s="4" t="n"/>
      <c r="G68" s="4" t="n"/>
      <c r="H68" s="4" t="n"/>
      <c r="I68" s="4" t="n"/>
      <c r="J68" s="4" t="n"/>
      <c r="K68" s="19">
        <f>IF(AG68&gt;0,"O Google leu como fórmula: escolha de novo ou digite com ' na frente.","")</f>
        <v/>
      </c>
      <c r="N68" s="2">
        <f>N67+IF(LEN($X$68)&gt;0,1,0)</f>
        <v/>
      </c>
      <c r="O68" s="2">
        <f>O67+IF(LEN($Y$68)&gt;0,1,0)</f>
        <v/>
      </c>
      <c r="P68" s="2">
        <f>P67+IF(LEN($Z$68)&gt;0,1,0)</f>
        <v/>
      </c>
      <c r="Q68" s="2">
        <f>Q67+IF(LEN($AA$68)&gt;0,1,0)</f>
        <v/>
      </c>
      <c r="R68" s="2">
        <f>R67+IF(LEN($AB$68)&gt;0,1,0)</f>
        <v/>
      </c>
      <c r="S68" s="2">
        <f>S67+IF(LEN($AC$68)&gt;0,1,0)</f>
        <v/>
      </c>
      <c r="T68" s="2">
        <f>T67+IF(LEN($AD$68)&gt;0,1,0)</f>
        <v/>
      </c>
      <c r="U68" s="2">
        <f>U67+IF(LEN($AE$68)&gt;0,1,0)</f>
        <v/>
      </c>
      <c r="X68" s="2">
        <f>IF(ISERROR($B$68),"",IF(ISBLANK($B$68),"",$B$68))</f>
        <v/>
      </c>
      <c r="Y68" s="2">
        <f>IF(ISERROR($C$68),"",IF(ISBLANK($C$68),"",$C$68))</f>
        <v/>
      </c>
      <c r="Z68" s="2">
        <f>IF(ISERROR($D$68),"",IF(ISBLANK($D$68),"",$D$68))</f>
        <v/>
      </c>
      <c r="AA68" s="2">
        <f>IF(ISERROR($E$68),"",IF(ISBLANK($E$68),"",$E$68))</f>
        <v/>
      </c>
      <c r="AB68" s="2">
        <f>IF(ISERROR($F$68),"",IF(ISBLANK($F$68),"",$F$68))</f>
        <v/>
      </c>
      <c r="AC68" s="2">
        <f>IF(ISERROR($G$68),"",IF(ISBLANK($G$68),"",$G$68))</f>
        <v/>
      </c>
      <c r="AD68" s="2">
        <f>IF(ISERROR($H$68),"",IF(ISBLANK($H$68),"",$H$68))</f>
        <v/>
      </c>
      <c r="AE68" s="2">
        <f>IF(ISERROR($I$68),"",IF(ISBLANK($I$68),"",$I$68))</f>
        <v/>
      </c>
      <c r="AF68" s="2">
        <f>IF(ISERROR($J$68),"",IF(ISBLANK($J$68),"",$J$68))</f>
        <v/>
      </c>
      <c r="AG68" s="2">
        <f>ISERROR($B$68)*1+ISERROR($C$68)*1+ISERROR($D$68)*1+ISERROR($E$68)*1+ISERROR($F$68)*1+ISERROR($G$68)*1+ISERROR($H$68)*1+ISERROR($I$68)*1+ISERROR($J$68)*1</f>
        <v/>
      </c>
    </row>
    <row r="69" ht="26" customHeight="1">
      <c r="B69" s="35" t="n"/>
      <c r="C69" s="29" t="n"/>
      <c r="D69" s="29" t="n"/>
      <c r="E69" s="29" t="n"/>
      <c r="F69" s="29" t="n"/>
      <c r="G69" s="29" t="n"/>
      <c r="H69" s="29" t="n"/>
      <c r="I69" s="29" t="n"/>
      <c r="J69" s="29" t="n"/>
      <c r="K69" s="19">
        <f>IF(AG69&gt;0,"O Google leu como fórmula: escolha de novo ou digite com ' na frente.","")</f>
        <v/>
      </c>
      <c r="N69" s="2">
        <f>N68+IF(LEN($X$69)&gt;0,1,0)</f>
        <v/>
      </c>
      <c r="O69" s="2">
        <f>O68+IF(LEN($Y$69)&gt;0,1,0)</f>
        <v/>
      </c>
      <c r="P69" s="2">
        <f>P68+IF(LEN($Z$69)&gt;0,1,0)</f>
        <v/>
      </c>
      <c r="Q69" s="2">
        <f>Q68+IF(LEN($AA$69)&gt;0,1,0)</f>
        <v/>
      </c>
      <c r="R69" s="2">
        <f>R68+IF(LEN($AB$69)&gt;0,1,0)</f>
        <v/>
      </c>
      <c r="S69" s="2">
        <f>S68+IF(LEN($AC$69)&gt;0,1,0)</f>
        <v/>
      </c>
      <c r="T69" s="2">
        <f>T68+IF(LEN($AD$69)&gt;0,1,0)</f>
        <v/>
      </c>
      <c r="U69" s="2">
        <f>U68+IF(LEN($AE$69)&gt;0,1,0)</f>
        <v/>
      </c>
      <c r="X69" s="2">
        <f>IF(ISERROR($B$69),"",IF(ISBLANK($B$69),"",$B$69))</f>
        <v/>
      </c>
      <c r="Y69" s="2">
        <f>IF(ISERROR($C$69),"",IF(ISBLANK($C$69),"",$C$69))</f>
        <v/>
      </c>
      <c r="Z69" s="2">
        <f>IF(ISERROR($D$69),"",IF(ISBLANK($D$69),"",$D$69))</f>
        <v/>
      </c>
      <c r="AA69" s="2">
        <f>IF(ISERROR($E$69),"",IF(ISBLANK($E$69),"",$E$69))</f>
        <v/>
      </c>
      <c r="AB69" s="2">
        <f>IF(ISERROR($F$69),"",IF(ISBLANK($F$69),"",$F$69))</f>
        <v/>
      </c>
      <c r="AC69" s="2">
        <f>IF(ISERROR($G$69),"",IF(ISBLANK($G$69),"",$G$69))</f>
        <v/>
      </c>
      <c r="AD69" s="2">
        <f>IF(ISERROR($H$69),"",IF(ISBLANK($H$69),"",$H$69))</f>
        <v/>
      </c>
      <c r="AE69" s="2">
        <f>IF(ISERROR($I$69),"",IF(ISBLANK($I$69),"",$I$69))</f>
        <v/>
      </c>
      <c r="AF69" s="2">
        <f>IF(ISERROR($J$69),"",IF(ISBLANK($J$69),"",$J$69))</f>
        <v/>
      </c>
      <c r="AG69" s="2">
        <f>ISERROR($B$69)*1+ISERROR($C$69)*1+ISERROR($D$69)*1+ISERROR($E$69)*1+ISERROR($F$69)*1+ISERROR($G$69)*1+ISERROR($H$69)*1+ISERROR($I$69)*1+ISERROR($J$69)*1</f>
        <v/>
      </c>
    </row>
    <row r="70" ht="26" customHeight="1">
      <c r="B70" s="33" t="n"/>
      <c r="C70" s="4" t="n"/>
      <c r="D70" s="4" t="n"/>
      <c r="E70" s="4" t="n"/>
      <c r="F70" s="4" t="n"/>
      <c r="G70" s="4" t="n"/>
      <c r="H70" s="4" t="n"/>
      <c r="I70" s="4" t="n"/>
      <c r="J70" s="4" t="n"/>
      <c r="K70" s="19">
        <f>IF(AG70&gt;0,"O Google leu como fórmula: escolha de novo ou digite com ' na frente.","")</f>
        <v/>
      </c>
      <c r="N70" s="2">
        <f>N69+IF(LEN($X$70)&gt;0,1,0)</f>
        <v/>
      </c>
      <c r="O70" s="2">
        <f>O69+IF(LEN($Y$70)&gt;0,1,0)</f>
        <v/>
      </c>
      <c r="P70" s="2">
        <f>P69+IF(LEN($Z$70)&gt;0,1,0)</f>
        <v/>
      </c>
      <c r="Q70" s="2">
        <f>Q69+IF(LEN($AA$70)&gt;0,1,0)</f>
        <v/>
      </c>
      <c r="R70" s="2">
        <f>R69+IF(LEN($AB$70)&gt;0,1,0)</f>
        <v/>
      </c>
      <c r="S70" s="2">
        <f>S69+IF(LEN($AC$70)&gt;0,1,0)</f>
        <v/>
      </c>
      <c r="T70" s="2">
        <f>T69+IF(LEN($AD$70)&gt;0,1,0)</f>
        <v/>
      </c>
      <c r="U70" s="2">
        <f>U69+IF(LEN($AE$70)&gt;0,1,0)</f>
        <v/>
      </c>
      <c r="X70" s="2">
        <f>IF(ISERROR($B$70),"",IF(ISBLANK($B$70),"",$B$70))</f>
        <v/>
      </c>
      <c r="Y70" s="2">
        <f>IF(ISERROR($C$70),"",IF(ISBLANK($C$70),"",$C$70))</f>
        <v/>
      </c>
      <c r="Z70" s="2">
        <f>IF(ISERROR($D$70),"",IF(ISBLANK($D$70),"",$D$70))</f>
        <v/>
      </c>
      <c r="AA70" s="2">
        <f>IF(ISERROR($E$70),"",IF(ISBLANK($E$70),"",$E$70))</f>
        <v/>
      </c>
      <c r="AB70" s="2">
        <f>IF(ISERROR($F$70),"",IF(ISBLANK($F$70),"",$F$70))</f>
        <v/>
      </c>
      <c r="AC70" s="2">
        <f>IF(ISERROR($G$70),"",IF(ISBLANK($G$70),"",$G$70))</f>
        <v/>
      </c>
      <c r="AD70" s="2">
        <f>IF(ISERROR($H$70),"",IF(ISBLANK($H$70),"",$H$70))</f>
        <v/>
      </c>
      <c r="AE70" s="2">
        <f>IF(ISERROR($I$70),"",IF(ISBLANK($I$70),"",$I$70))</f>
        <v/>
      </c>
      <c r="AF70" s="2">
        <f>IF(ISERROR($J$70),"",IF(ISBLANK($J$70),"",$J$70))</f>
        <v/>
      </c>
      <c r="AG70" s="2">
        <f>ISERROR($B$70)*1+ISERROR($C$70)*1+ISERROR($D$70)*1+ISERROR($E$70)*1+ISERROR($F$70)*1+ISERROR($G$70)*1+ISERROR($H$70)*1+ISERROR($I$70)*1+ISERROR($J$70)*1</f>
        <v/>
      </c>
    </row>
    <row r="71" ht="26" customHeight="1">
      <c r="B71" s="35" t="n"/>
      <c r="C71" s="29" t="n"/>
      <c r="D71" s="29" t="n"/>
      <c r="E71" s="29" t="n"/>
      <c r="F71" s="29" t="n"/>
      <c r="G71" s="29" t="n"/>
      <c r="H71" s="29" t="n"/>
      <c r="I71" s="29" t="n"/>
      <c r="J71" s="29" t="n"/>
      <c r="K71" s="19">
        <f>IF(AG71&gt;0,"O Google leu como fórmula: escolha de novo ou digite com ' na frente.","")</f>
        <v/>
      </c>
      <c r="N71" s="2">
        <f>N70+IF(LEN($X$71)&gt;0,1,0)</f>
        <v/>
      </c>
      <c r="O71" s="2">
        <f>O70+IF(LEN($Y$71)&gt;0,1,0)</f>
        <v/>
      </c>
      <c r="P71" s="2">
        <f>P70+IF(LEN($Z$71)&gt;0,1,0)</f>
        <v/>
      </c>
      <c r="Q71" s="2">
        <f>Q70+IF(LEN($AA$71)&gt;0,1,0)</f>
        <v/>
      </c>
      <c r="R71" s="2">
        <f>R70+IF(LEN($AB$71)&gt;0,1,0)</f>
        <v/>
      </c>
      <c r="S71" s="2">
        <f>S70+IF(LEN($AC$71)&gt;0,1,0)</f>
        <v/>
      </c>
      <c r="T71" s="2">
        <f>T70+IF(LEN($AD$71)&gt;0,1,0)</f>
        <v/>
      </c>
      <c r="U71" s="2">
        <f>U70+IF(LEN($AE$71)&gt;0,1,0)</f>
        <v/>
      </c>
      <c r="X71" s="2">
        <f>IF(ISERROR($B$71),"",IF(ISBLANK($B$71),"",$B$71))</f>
        <v/>
      </c>
      <c r="Y71" s="2">
        <f>IF(ISERROR($C$71),"",IF(ISBLANK($C$71),"",$C$71))</f>
        <v/>
      </c>
      <c r="Z71" s="2">
        <f>IF(ISERROR($D$71),"",IF(ISBLANK($D$71),"",$D$71))</f>
        <v/>
      </c>
      <c r="AA71" s="2">
        <f>IF(ISERROR($E$71),"",IF(ISBLANK($E$71),"",$E$71))</f>
        <v/>
      </c>
      <c r="AB71" s="2">
        <f>IF(ISERROR($F$71),"",IF(ISBLANK($F$71),"",$F$71))</f>
        <v/>
      </c>
      <c r="AC71" s="2">
        <f>IF(ISERROR($G$71),"",IF(ISBLANK($G$71),"",$G$71))</f>
        <v/>
      </c>
      <c r="AD71" s="2">
        <f>IF(ISERROR($H$71),"",IF(ISBLANK($H$71),"",$H$71))</f>
        <v/>
      </c>
      <c r="AE71" s="2">
        <f>IF(ISERROR($I$71),"",IF(ISBLANK($I$71),"",$I$71))</f>
        <v/>
      </c>
      <c r="AF71" s="2">
        <f>IF(ISERROR($J$71),"",IF(ISBLANK($J$71),"",$J$71))</f>
        <v/>
      </c>
      <c r="AG71" s="2">
        <f>ISERROR($B$71)*1+ISERROR($C$71)*1+ISERROR($D$71)*1+ISERROR($E$71)*1+ISERROR($F$71)*1+ISERROR($G$71)*1+ISERROR($H$71)*1+ISERROR($I$71)*1+ISERROR($J$71)*1</f>
        <v/>
      </c>
    </row>
    <row r="72" ht="26" customHeight="1">
      <c r="B72" s="33" t="n"/>
      <c r="C72" s="4" t="n"/>
      <c r="D72" s="4" t="n"/>
      <c r="E72" s="4" t="n"/>
      <c r="F72" s="4" t="n"/>
      <c r="G72" s="4" t="n"/>
      <c r="H72" s="4" t="n"/>
      <c r="I72" s="4" t="n"/>
      <c r="J72" s="4" t="n"/>
      <c r="K72" s="19">
        <f>IF(AG72&gt;0,"O Google leu como fórmula: escolha de novo ou digite com ' na frente.","")</f>
        <v/>
      </c>
      <c r="N72" s="2">
        <f>N71+IF(LEN($X$72)&gt;0,1,0)</f>
        <v/>
      </c>
      <c r="O72" s="2">
        <f>O71+IF(LEN($Y$72)&gt;0,1,0)</f>
        <v/>
      </c>
      <c r="P72" s="2">
        <f>P71+IF(LEN($Z$72)&gt;0,1,0)</f>
        <v/>
      </c>
      <c r="Q72" s="2">
        <f>Q71+IF(LEN($AA$72)&gt;0,1,0)</f>
        <v/>
      </c>
      <c r="R72" s="2">
        <f>R71+IF(LEN($AB$72)&gt;0,1,0)</f>
        <v/>
      </c>
      <c r="S72" s="2">
        <f>S71+IF(LEN($AC$72)&gt;0,1,0)</f>
        <v/>
      </c>
      <c r="T72" s="2">
        <f>T71+IF(LEN($AD$72)&gt;0,1,0)</f>
        <v/>
      </c>
      <c r="U72" s="2">
        <f>U71+IF(LEN($AE$72)&gt;0,1,0)</f>
        <v/>
      </c>
      <c r="X72" s="2">
        <f>IF(ISERROR($B$72),"",IF(ISBLANK($B$72),"",$B$72))</f>
        <v/>
      </c>
      <c r="Y72" s="2">
        <f>IF(ISERROR($C$72),"",IF(ISBLANK($C$72),"",$C$72))</f>
        <v/>
      </c>
      <c r="Z72" s="2">
        <f>IF(ISERROR($D$72),"",IF(ISBLANK($D$72),"",$D$72))</f>
        <v/>
      </c>
      <c r="AA72" s="2">
        <f>IF(ISERROR($E$72),"",IF(ISBLANK($E$72),"",$E$72))</f>
        <v/>
      </c>
      <c r="AB72" s="2">
        <f>IF(ISERROR($F$72),"",IF(ISBLANK($F$72),"",$F$72))</f>
        <v/>
      </c>
      <c r="AC72" s="2">
        <f>IF(ISERROR($G$72),"",IF(ISBLANK($G$72),"",$G$72))</f>
        <v/>
      </c>
      <c r="AD72" s="2">
        <f>IF(ISERROR($H$72),"",IF(ISBLANK($H$72),"",$H$72))</f>
        <v/>
      </c>
      <c r="AE72" s="2">
        <f>IF(ISERROR($I$72),"",IF(ISBLANK($I$72),"",$I$72))</f>
        <v/>
      </c>
      <c r="AF72" s="2">
        <f>IF(ISERROR($J$72),"",IF(ISBLANK($J$72),"",$J$72))</f>
        <v/>
      </c>
      <c r="AG72" s="2">
        <f>ISERROR($B$72)*1+ISERROR($C$72)*1+ISERROR($D$72)*1+ISERROR($E$72)*1+ISERROR($F$72)*1+ISERROR($G$72)*1+ISERROR($H$72)*1+ISERROR($I$72)*1+ISERROR($J$72)*1</f>
        <v/>
      </c>
    </row>
    <row r="73" ht="26" customHeight="1">
      <c r="B73" s="35" t="n"/>
      <c r="C73" s="29" t="n"/>
      <c r="D73" s="29" t="n"/>
      <c r="E73" s="29" t="n"/>
      <c r="F73" s="29" t="n"/>
      <c r="G73" s="29" t="n"/>
      <c r="H73" s="29" t="n"/>
      <c r="I73" s="29" t="n"/>
      <c r="J73" s="29" t="n"/>
      <c r="K73" s="19">
        <f>IF(AG73&gt;0,"O Google leu como fórmula: escolha de novo ou digite com ' na frente.","")</f>
        <v/>
      </c>
      <c r="N73" s="2">
        <f>N72+IF(LEN($X$73)&gt;0,1,0)</f>
        <v/>
      </c>
      <c r="O73" s="2">
        <f>O72+IF(LEN($Y$73)&gt;0,1,0)</f>
        <v/>
      </c>
      <c r="P73" s="2">
        <f>P72+IF(LEN($Z$73)&gt;0,1,0)</f>
        <v/>
      </c>
      <c r="Q73" s="2">
        <f>Q72+IF(LEN($AA$73)&gt;0,1,0)</f>
        <v/>
      </c>
      <c r="R73" s="2">
        <f>R72+IF(LEN($AB$73)&gt;0,1,0)</f>
        <v/>
      </c>
      <c r="S73" s="2">
        <f>S72+IF(LEN($AC$73)&gt;0,1,0)</f>
        <v/>
      </c>
      <c r="T73" s="2">
        <f>T72+IF(LEN($AD$73)&gt;0,1,0)</f>
        <v/>
      </c>
      <c r="U73" s="2">
        <f>U72+IF(LEN($AE$73)&gt;0,1,0)</f>
        <v/>
      </c>
      <c r="X73" s="2">
        <f>IF(ISERROR($B$73),"",IF(ISBLANK($B$73),"",$B$73))</f>
        <v/>
      </c>
      <c r="Y73" s="2">
        <f>IF(ISERROR($C$73),"",IF(ISBLANK($C$73),"",$C$73))</f>
        <v/>
      </c>
      <c r="Z73" s="2">
        <f>IF(ISERROR($D$73),"",IF(ISBLANK($D$73),"",$D$73))</f>
        <v/>
      </c>
      <c r="AA73" s="2">
        <f>IF(ISERROR($E$73),"",IF(ISBLANK($E$73),"",$E$73))</f>
        <v/>
      </c>
      <c r="AB73" s="2">
        <f>IF(ISERROR($F$73),"",IF(ISBLANK($F$73),"",$F$73))</f>
        <v/>
      </c>
      <c r="AC73" s="2">
        <f>IF(ISERROR($G$73),"",IF(ISBLANK($G$73),"",$G$73))</f>
        <v/>
      </c>
      <c r="AD73" s="2">
        <f>IF(ISERROR($H$73),"",IF(ISBLANK($H$73),"",$H$73))</f>
        <v/>
      </c>
      <c r="AE73" s="2">
        <f>IF(ISERROR($I$73),"",IF(ISBLANK($I$73),"",$I$73))</f>
        <v/>
      </c>
      <c r="AF73" s="2">
        <f>IF(ISERROR($J$73),"",IF(ISBLANK($J$73),"",$J$73))</f>
        <v/>
      </c>
      <c r="AG73" s="2">
        <f>ISERROR($B$73)*1+ISERROR($C$73)*1+ISERROR($D$73)*1+ISERROR($E$73)*1+ISERROR($F$73)*1+ISERROR($G$73)*1+ISERROR($H$73)*1+ISERROR($I$73)*1+ISERROR($J$73)*1</f>
        <v/>
      </c>
    </row>
    <row r="74" ht="26" customHeight="1">
      <c r="B74" s="33" t="n"/>
      <c r="C74" s="4" t="n"/>
      <c r="D74" s="4" t="n"/>
      <c r="E74" s="4" t="n"/>
      <c r="F74" s="4" t="n"/>
      <c r="G74" s="4" t="n"/>
      <c r="H74" s="4" t="n"/>
      <c r="I74" s="4" t="n"/>
      <c r="J74" s="4" t="n"/>
      <c r="K74" s="19">
        <f>IF(AG74&gt;0,"O Google leu como fórmula: escolha de novo ou digite com ' na frente.","")</f>
        <v/>
      </c>
      <c r="N74" s="2">
        <f>N73+IF(LEN($X$74)&gt;0,1,0)</f>
        <v/>
      </c>
      <c r="O74" s="2">
        <f>O73+IF(LEN($Y$74)&gt;0,1,0)</f>
        <v/>
      </c>
      <c r="P74" s="2">
        <f>P73+IF(LEN($Z$74)&gt;0,1,0)</f>
        <v/>
      </c>
      <c r="Q74" s="2">
        <f>Q73+IF(LEN($AA$74)&gt;0,1,0)</f>
        <v/>
      </c>
      <c r="R74" s="2">
        <f>R73+IF(LEN($AB$74)&gt;0,1,0)</f>
        <v/>
      </c>
      <c r="S74" s="2">
        <f>S73+IF(LEN($AC$74)&gt;0,1,0)</f>
        <v/>
      </c>
      <c r="T74" s="2">
        <f>T73+IF(LEN($AD$74)&gt;0,1,0)</f>
        <v/>
      </c>
      <c r="U74" s="2">
        <f>U73+IF(LEN($AE$74)&gt;0,1,0)</f>
        <v/>
      </c>
      <c r="X74" s="2">
        <f>IF(ISERROR($B$74),"",IF(ISBLANK($B$74),"",$B$74))</f>
        <v/>
      </c>
      <c r="Y74" s="2">
        <f>IF(ISERROR($C$74),"",IF(ISBLANK($C$74),"",$C$74))</f>
        <v/>
      </c>
      <c r="Z74" s="2">
        <f>IF(ISERROR($D$74),"",IF(ISBLANK($D$74),"",$D$74))</f>
        <v/>
      </c>
      <c r="AA74" s="2">
        <f>IF(ISERROR($E$74),"",IF(ISBLANK($E$74),"",$E$74))</f>
        <v/>
      </c>
      <c r="AB74" s="2">
        <f>IF(ISERROR($F$74),"",IF(ISBLANK($F$74),"",$F$74))</f>
        <v/>
      </c>
      <c r="AC74" s="2">
        <f>IF(ISERROR($G$74),"",IF(ISBLANK($G$74),"",$G$74))</f>
        <v/>
      </c>
      <c r="AD74" s="2">
        <f>IF(ISERROR($H$74),"",IF(ISBLANK($H$74),"",$H$74))</f>
        <v/>
      </c>
      <c r="AE74" s="2">
        <f>IF(ISERROR($I$74),"",IF(ISBLANK($I$74),"",$I$74))</f>
        <v/>
      </c>
      <c r="AF74" s="2">
        <f>IF(ISERROR($J$74),"",IF(ISBLANK($J$74),"",$J$74))</f>
        <v/>
      </c>
      <c r="AG74" s="2">
        <f>ISERROR($B$74)*1+ISERROR($C$74)*1+ISERROR($D$74)*1+ISERROR($E$74)*1+ISERROR($F$74)*1+ISERROR($G$74)*1+ISERROR($H$74)*1+ISERROR($I$74)*1+ISERROR($J$74)*1</f>
        <v/>
      </c>
    </row>
    <row r="75" ht="26" customHeight="1">
      <c r="B75" s="35" t="n"/>
      <c r="C75" s="29" t="n"/>
      <c r="D75" s="29" t="n"/>
      <c r="E75" s="29" t="n"/>
      <c r="F75" s="29" t="n"/>
      <c r="G75" s="29" t="n"/>
      <c r="H75" s="29" t="n"/>
      <c r="I75" s="29" t="n"/>
      <c r="J75" s="29" t="n"/>
      <c r="K75" s="19">
        <f>IF(AG75&gt;0,"O Google leu como fórmula: escolha de novo ou digite com ' na frente.","")</f>
        <v/>
      </c>
      <c r="N75" s="2">
        <f>N74+IF(LEN($X$75)&gt;0,1,0)</f>
        <v/>
      </c>
      <c r="O75" s="2">
        <f>O74+IF(LEN($Y$75)&gt;0,1,0)</f>
        <v/>
      </c>
      <c r="P75" s="2">
        <f>P74+IF(LEN($Z$75)&gt;0,1,0)</f>
        <v/>
      </c>
      <c r="Q75" s="2">
        <f>Q74+IF(LEN($AA$75)&gt;0,1,0)</f>
        <v/>
      </c>
      <c r="R75" s="2">
        <f>R74+IF(LEN($AB$75)&gt;0,1,0)</f>
        <v/>
      </c>
      <c r="S75" s="2">
        <f>S74+IF(LEN($AC$75)&gt;0,1,0)</f>
        <v/>
      </c>
      <c r="T75" s="2">
        <f>T74+IF(LEN($AD$75)&gt;0,1,0)</f>
        <v/>
      </c>
      <c r="U75" s="2">
        <f>U74+IF(LEN($AE$75)&gt;0,1,0)</f>
        <v/>
      </c>
      <c r="X75" s="2">
        <f>IF(ISERROR($B$75),"",IF(ISBLANK($B$75),"",$B$75))</f>
        <v/>
      </c>
      <c r="Y75" s="2">
        <f>IF(ISERROR($C$75),"",IF(ISBLANK($C$75),"",$C$75))</f>
        <v/>
      </c>
      <c r="Z75" s="2">
        <f>IF(ISERROR($D$75),"",IF(ISBLANK($D$75),"",$D$75))</f>
        <v/>
      </c>
      <c r="AA75" s="2">
        <f>IF(ISERROR($E$75),"",IF(ISBLANK($E$75),"",$E$75))</f>
        <v/>
      </c>
      <c r="AB75" s="2">
        <f>IF(ISERROR($F$75),"",IF(ISBLANK($F$75),"",$F$75))</f>
        <v/>
      </c>
      <c r="AC75" s="2">
        <f>IF(ISERROR($G$75),"",IF(ISBLANK($G$75),"",$G$75))</f>
        <v/>
      </c>
      <c r="AD75" s="2">
        <f>IF(ISERROR($H$75),"",IF(ISBLANK($H$75),"",$H$75))</f>
        <v/>
      </c>
      <c r="AE75" s="2">
        <f>IF(ISERROR($I$75),"",IF(ISBLANK($I$75),"",$I$75))</f>
        <v/>
      </c>
      <c r="AF75" s="2">
        <f>IF(ISERROR($J$75),"",IF(ISBLANK($J$75),"",$J$75))</f>
        <v/>
      </c>
      <c r="AG75" s="2">
        <f>ISERROR($B$75)*1+ISERROR($C$75)*1+ISERROR($D$75)*1+ISERROR($E$75)*1+ISERROR($F$75)*1+ISERROR($G$75)*1+ISERROR($H$75)*1+ISERROR($I$75)*1+ISERROR($J$75)*1</f>
        <v/>
      </c>
    </row>
    <row r="76" ht="26" customHeight="1">
      <c r="B76" s="33" t="n"/>
      <c r="C76" s="4" t="n"/>
      <c r="D76" s="4" t="n"/>
      <c r="E76" s="4" t="n"/>
      <c r="F76" s="4" t="n"/>
      <c r="G76" s="4" t="n"/>
      <c r="H76" s="4" t="n"/>
      <c r="I76" s="4" t="n"/>
      <c r="J76" s="4" t="n"/>
      <c r="K76" s="19">
        <f>IF(AG76&gt;0,"O Google leu como fórmula: escolha de novo ou digite com ' na frente.","")</f>
        <v/>
      </c>
      <c r="N76" s="2">
        <f>N75+IF(LEN($X$76)&gt;0,1,0)</f>
        <v/>
      </c>
      <c r="O76" s="2">
        <f>O75+IF(LEN($Y$76)&gt;0,1,0)</f>
        <v/>
      </c>
      <c r="P76" s="2">
        <f>P75+IF(LEN($Z$76)&gt;0,1,0)</f>
        <v/>
      </c>
      <c r="Q76" s="2">
        <f>Q75+IF(LEN($AA$76)&gt;0,1,0)</f>
        <v/>
      </c>
      <c r="R76" s="2">
        <f>R75+IF(LEN($AB$76)&gt;0,1,0)</f>
        <v/>
      </c>
      <c r="S76" s="2">
        <f>S75+IF(LEN($AC$76)&gt;0,1,0)</f>
        <v/>
      </c>
      <c r="T76" s="2">
        <f>T75+IF(LEN($AD$76)&gt;0,1,0)</f>
        <v/>
      </c>
      <c r="U76" s="2">
        <f>U75+IF(LEN($AE$76)&gt;0,1,0)</f>
        <v/>
      </c>
      <c r="X76" s="2">
        <f>IF(ISERROR($B$76),"",IF(ISBLANK($B$76),"",$B$76))</f>
        <v/>
      </c>
      <c r="Y76" s="2">
        <f>IF(ISERROR($C$76),"",IF(ISBLANK($C$76),"",$C$76))</f>
        <v/>
      </c>
      <c r="Z76" s="2">
        <f>IF(ISERROR($D$76),"",IF(ISBLANK($D$76),"",$D$76))</f>
        <v/>
      </c>
      <c r="AA76" s="2">
        <f>IF(ISERROR($E$76),"",IF(ISBLANK($E$76),"",$E$76))</f>
        <v/>
      </c>
      <c r="AB76" s="2">
        <f>IF(ISERROR($F$76),"",IF(ISBLANK($F$76),"",$F$76))</f>
        <v/>
      </c>
      <c r="AC76" s="2">
        <f>IF(ISERROR($G$76),"",IF(ISBLANK($G$76),"",$G$76))</f>
        <v/>
      </c>
      <c r="AD76" s="2">
        <f>IF(ISERROR($H$76),"",IF(ISBLANK($H$76),"",$H$76))</f>
        <v/>
      </c>
      <c r="AE76" s="2">
        <f>IF(ISERROR($I$76),"",IF(ISBLANK($I$76),"",$I$76))</f>
        <v/>
      </c>
      <c r="AF76" s="2">
        <f>IF(ISERROR($J$76),"",IF(ISBLANK($J$76),"",$J$76))</f>
        <v/>
      </c>
      <c r="AG76" s="2">
        <f>ISERROR($B$76)*1+ISERROR($C$76)*1+ISERROR($D$76)*1+ISERROR($E$76)*1+ISERROR($F$76)*1+ISERROR($G$76)*1+ISERROR($H$76)*1+ISERROR($I$76)*1+ISERROR($J$76)*1</f>
        <v/>
      </c>
    </row>
    <row r="77" ht="26" customHeight="1">
      <c r="B77" s="35" t="n"/>
      <c r="C77" s="29" t="n"/>
      <c r="D77" s="29" t="n"/>
      <c r="E77" s="29" t="n"/>
      <c r="F77" s="29" t="n"/>
      <c r="G77" s="29" t="n"/>
      <c r="H77" s="29" t="n"/>
      <c r="I77" s="29" t="n"/>
      <c r="J77" s="29" t="n"/>
      <c r="K77" s="19">
        <f>IF(AG77&gt;0,"O Google leu como fórmula: escolha de novo ou digite com ' na frente.","")</f>
        <v/>
      </c>
      <c r="N77" s="2">
        <f>N76+IF(LEN($X$77)&gt;0,1,0)</f>
        <v/>
      </c>
      <c r="O77" s="2">
        <f>O76+IF(LEN($Y$77)&gt;0,1,0)</f>
        <v/>
      </c>
      <c r="P77" s="2">
        <f>P76+IF(LEN($Z$77)&gt;0,1,0)</f>
        <v/>
      </c>
      <c r="Q77" s="2">
        <f>Q76+IF(LEN($AA$77)&gt;0,1,0)</f>
        <v/>
      </c>
      <c r="R77" s="2">
        <f>R76+IF(LEN($AB$77)&gt;0,1,0)</f>
        <v/>
      </c>
      <c r="S77" s="2">
        <f>S76+IF(LEN($AC$77)&gt;0,1,0)</f>
        <v/>
      </c>
      <c r="T77" s="2">
        <f>T76+IF(LEN($AD$77)&gt;0,1,0)</f>
        <v/>
      </c>
      <c r="U77" s="2">
        <f>U76+IF(LEN($AE$77)&gt;0,1,0)</f>
        <v/>
      </c>
      <c r="X77" s="2">
        <f>IF(ISERROR($B$77),"",IF(ISBLANK($B$77),"",$B$77))</f>
        <v/>
      </c>
      <c r="Y77" s="2">
        <f>IF(ISERROR($C$77),"",IF(ISBLANK($C$77),"",$C$77))</f>
        <v/>
      </c>
      <c r="Z77" s="2">
        <f>IF(ISERROR($D$77),"",IF(ISBLANK($D$77),"",$D$77))</f>
        <v/>
      </c>
      <c r="AA77" s="2">
        <f>IF(ISERROR($E$77),"",IF(ISBLANK($E$77),"",$E$77))</f>
        <v/>
      </c>
      <c r="AB77" s="2">
        <f>IF(ISERROR($F$77),"",IF(ISBLANK($F$77),"",$F$77))</f>
        <v/>
      </c>
      <c r="AC77" s="2">
        <f>IF(ISERROR($G$77),"",IF(ISBLANK($G$77),"",$G$77))</f>
        <v/>
      </c>
      <c r="AD77" s="2">
        <f>IF(ISERROR($H$77),"",IF(ISBLANK($H$77),"",$H$77))</f>
        <v/>
      </c>
      <c r="AE77" s="2">
        <f>IF(ISERROR($I$77),"",IF(ISBLANK($I$77),"",$I$77))</f>
        <v/>
      </c>
      <c r="AF77" s="2">
        <f>IF(ISERROR($J$77),"",IF(ISBLANK($J$77),"",$J$77))</f>
        <v/>
      </c>
      <c r="AG77" s="2">
        <f>ISERROR($B$77)*1+ISERROR($C$77)*1+ISERROR($D$77)*1+ISERROR($E$77)*1+ISERROR($F$77)*1+ISERROR($G$77)*1+ISERROR($H$77)*1+ISERROR($I$77)*1+ISERROR($J$77)*1</f>
        <v/>
      </c>
    </row>
    <row r="78" ht="26" customHeight="1">
      <c r="B78" s="33" t="n"/>
      <c r="C78" s="4" t="n"/>
      <c r="D78" s="4" t="n"/>
      <c r="E78" s="4" t="n"/>
      <c r="F78" s="4" t="n"/>
      <c r="G78" s="4" t="n"/>
      <c r="H78" s="4" t="n"/>
      <c r="I78" s="4" t="n"/>
      <c r="J78" s="4" t="n"/>
      <c r="K78" s="19">
        <f>IF(AG78&gt;0,"O Google leu como fórmula: escolha de novo ou digite com ' na frente.","")</f>
        <v/>
      </c>
      <c r="N78" s="2">
        <f>N77+IF(LEN($X$78)&gt;0,1,0)</f>
        <v/>
      </c>
      <c r="O78" s="2">
        <f>O77+IF(LEN($Y$78)&gt;0,1,0)</f>
        <v/>
      </c>
      <c r="P78" s="2">
        <f>P77+IF(LEN($Z$78)&gt;0,1,0)</f>
        <v/>
      </c>
      <c r="Q78" s="2">
        <f>Q77+IF(LEN($AA$78)&gt;0,1,0)</f>
        <v/>
      </c>
      <c r="R78" s="2">
        <f>R77+IF(LEN($AB$78)&gt;0,1,0)</f>
        <v/>
      </c>
      <c r="S78" s="2">
        <f>S77+IF(LEN($AC$78)&gt;0,1,0)</f>
        <v/>
      </c>
      <c r="T78" s="2">
        <f>T77+IF(LEN($AD$78)&gt;0,1,0)</f>
        <v/>
      </c>
      <c r="U78" s="2">
        <f>U77+IF(LEN($AE$78)&gt;0,1,0)</f>
        <v/>
      </c>
      <c r="X78" s="2">
        <f>IF(ISERROR($B$78),"",IF(ISBLANK($B$78),"",$B$78))</f>
        <v/>
      </c>
      <c r="Y78" s="2">
        <f>IF(ISERROR($C$78),"",IF(ISBLANK($C$78),"",$C$78))</f>
        <v/>
      </c>
      <c r="Z78" s="2">
        <f>IF(ISERROR($D$78),"",IF(ISBLANK($D$78),"",$D$78))</f>
        <v/>
      </c>
      <c r="AA78" s="2">
        <f>IF(ISERROR($E$78),"",IF(ISBLANK($E$78),"",$E$78))</f>
        <v/>
      </c>
      <c r="AB78" s="2">
        <f>IF(ISERROR($F$78),"",IF(ISBLANK($F$78),"",$F$78))</f>
        <v/>
      </c>
      <c r="AC78" s="2">
        <f>IF(ISERROR($G$78),"",IF(ISBLANK($G$78),"",$G$78))</f>
        <v/>
      </c>
      <c r="AD78" s="2">
        <f>IF(ISERROR($H$78),"",IF(ISBLANK($H$78),"",$H$78))</f>
        <v/>
      </c>
      <c r="AE78" s="2">
        <f>IF(ISERROR($I$78),"",IF(ISBLANK($I$78),"",$I$78))</f>
        <v/>
      </c>
      <c r="AF78" s="2">
        <f>IF(ISERROR($J$78),"",IF(ISBLANK($J$78),"",$J$78))</f>
        <v/>
      </c>
      <c r="AG78" s="2">
        <f>ISERROR($B$78)*1+ISERROR($C$78)*1+ISERROR($D$78)*1+ISERROR($E$78)*1+ISERROR($F$78)*1+ISERROR($G$78)*1+ISERROR($H$78)*1+ISERROR($I$78)*1+ISERROR($J$78)*1</f>
        <v/>
      </c>
    </row>
    <row r="79" ht="26" customHeight="1">
      <c r="B79" s="35" t="n"/>
      <c r="C79" s="29" t="n"/>
      <c r="D79" s="29" t="n"/>
      <c r="E79" s="29" t="n"/>
      <c r="F79" s="29" t="n"/>
      <c r="G79" s="29" t="n"/>
      <c r="H79" s="29" t="n"/>
      <c r="I79" s="29" t="n"/>
      <c r="J79" s="29" t="n"/>
      <c r="K79" s="19">
        <f>IF(AG79&gt;0,"O Google leu como fórmula: escolha de novo ou digite com ' na frente.","")</f>
        <v/>
      </c>
      <c r="N79" s="2">
        <f>N78+IF(LEN($X$79)&gt;0,1,0)</f>
        <v/>
      </c>
      <c r="O79" s="2">
        <f>O78+IF(LEN($Y$79)&gt;0,1,0)</f>
        <v/>
      </c>
      <c r="P79" s="2">
        <f>P78+IF(LEN($Z$79)&gt;0,1,0)</f>
        <v/>
      </c>
      <c r="Q79" s="2">
        <f>Q78+IF(LEN($AA$79)&gt;0,1,0)</f>
        <v/>
      </c>
      <c r="R79" s="2">
        <f>R78+IF(LEN($AB$79)&gt;0,1,0)</f>
        <v/>
      </c>
      <c r="S79" s="2">
        <f>S78+IF(LEN($AC$79)&gt;0,1,0)</f>
        <v/>
      </c>
      <c r="T79" s="2">
        <f>T78+IF(LEN($AD$79)&gt;0,1,0)</f>
        <v/>
      </c>
      <c r="U79" s="2">
        <f>U78+IF(LEN($AE$79)&gt;0,1,0)</f>
        <v/>
      </c>
      <c r="X79" s="2">
        <f>IF(ISERROR($B$79),"",IF(ISBLANK($B$79),"",$B$79))</f>
        <v/>
      </c>
      <c r="Y79" s="2">
        <f>IF(ISERROR($C$79),"",IF(ISBLANK($C$79),"",$C$79))</f>
        <v/>
      </c>
      <c r="Z79" s="2">
        <f>IF(ISERROR($D$79),"",IF(ISBLANK($D$79),"",$D$79))</f>
        <v/>
      </c>
      <c r="AA79" s="2">
        <f>IF(ISERROR($E$79),"",IF(ISBLANK($E$79),"",$E$79))</f>
        <v/>
      </c>
      <c r="AB79" s="2">
        <f>IF(ISERROR($F$79),"",IF(ISBLANK($F$79),"",$F$79))</f>
        <v/>
      </c>
      <c r="AC79" s="2">
        <f>IF(ISERROR($G$79),"",IF(ISBLANK($G$79),"",$G$79))</f>
        <v/>
      </c>
      <c r="AD79" s="2">
        <f>IF(ISERROR($H$79),"",IF(ISBLANK($H$79),"",$H$79))</f>
        <v/>
      </c>
      <c r="AE79" s="2">
        <f>IF(ISERROR($I$79),"",IF(ISBLANK($I$79),"",$I$79))</f>
        <v/>
      </c>
      <c r="AF79" s="2">
        <f>IF(ISERROR($J$79),"",IF(ISBLANK($J$79),"",$J$79))</f>
        <v/>
      </c>
      <c r="AG79" s="2">
        <f>ISERROR($B$79)*1+ISERROR($C$79)*1+ISERROR($D$79)*1+ISERROR($E$79)*1+ISERROR($F$79)*1+ISERROR($G$79)*1+ISERROR($H$79)*1+ISERROR($I$79)*1+ISERROR($J$79)*1</f>
        <v/>
      </c>
    </row>
    <row r="80" ht="26" customHeight="1">
      <c r="B80" s="33" t="n"/>
      <c r="C80" s="4" t="n"/>
      <c r="D80" s="4" t="n"/>
      <c r="E80" s="4" t="n"/>
      <c r="F80" s="4" t="n"/>
      <c r="G80" s="4" t="n"/>
      <c r="H80" s="4" t="n"/>
      <c r="I80" s="4" t="n"/>
      <c r="J80" s="4" t="n"/>
      <c r="K80" s="19">
        <f>IF(AG80&gt;0,"O Google leu como fórmula: escolha de novo ou digite com ' na frente.","")</f>
        <v/>
      </c>
      <c r="N80" s="2">
        <f>N79+IF(LEN($X$80)&gt;0,1,0)</f>
        <v/>
      </c>
      <c r="O80" s="2">
        <f>O79+IF(LEN($Y$80)&gt;0,1,0)</f>
        <v/>
      </c>
      <c r="P80" s="2">
        <f>P79+IF(LEN($Z$80)&gt;0,1,0)</f>
        <v/>
      </c>
      <c r="Q80" s="2">
        <f>Q79+IF(LEN($AA$80)&gt;0,1,0)</f>
        <v/>
      </c>
      <c r="R80" s="2">
        <f>R79+IF(LEN($AB$80)&gt;0,1,0)</f>
        <v/>
      </c>
      <c r="S80" s="2">
        <f>S79+IF(LEN($AC$80)&gt;0,1,0)</f>
        <v/>
      </c>
      <c r="T80" s="2">
        <f>T79+IF(LEN($AD$80)&gt;0,1,0)</f>
        <v/>
      </c>
      <c r="U80" s="2">
        <f>U79+IF(LEN($AE$80)&gt;0,1,0)</f>
        <v/>
      </c>
      <c r="X80" s="2">
        <f>IF(ISERROR($B$80),"",IF(ISBLANK($B$80),"",$B$80))</f>
        <v/>
      </c>
      <c r="Y80" s="2">
        <f>IF(ISERROR($C$80),"",IF(ISBLANK($C$80),"",$C$80))</f>
        <v/>
      </c>
      <c r="Z80" s="2">
        <f>IF(ISERROR($D$80),"",IF(ISBLANK($D$80),"",$D$80))</f>
        <v/>
      </c>
      <c r="AA80" s="2">
        <f>IF(ISERROR($E$80),"",IF(ISBLANK($E$80),"",$E$80))</f>
        <v/>
      </c>
      <c r="AB80" s="2">
        <f>IF(ISERROR($F$80),"",IF(ISBLANK($F$80),"",$F$80))</f>
        <v/>
      </c>
      <c r="AC80" s="2">
        <f>IF(ISERROR($G$80),"",IF(ISBLANK($G$80),"",$G$80))</f>
        <v/>
      </c>
      <c r="AD80" s="2">
        <f>IF(ISERROR($H$80),"",IF(ISBLANK($H$80),"",$H$80))</f>
        <v/>
      </c>
      <c r="AE80" s="2">
        <f>IF(ISERROR($I$80),"",IF(ISBLANK($I$80),"",$I$80))</f>
        <v/>
      </c>
      <c r="AF80" s="2">
        <f>IF(ISERROR($J$80),"",IF(ISBLANK($J$80),"",$J$80))</f>
        <v/>
      </c>
      <c r="AG80" s="2">
        <f>ISERROR($B$80)*1+ISERROR($C$80)*1+ISERROR($D$80)*1+ISERROR($E$80)*1+ISERROR($F$80)*1+ISERROR($G$80)*1+ISERROR($H$80)*1+ISERROR($I$80)*1+ISERROR($J$80)*1</f>
        <v/>
      </c>
    </row>
    <row r="81" ht="15" customHeight="1">
      <c r="B81" s="8" t="inlineStr">
        <is>
          <t>Facções</t>
        </is>
      </c>
      <c r="C81" s="8" t="inlineStr">
        <is>
          <t>Locais</t>
        </is>
      </c>
      <c r="D81" s="8" t="inlineStr">
        <is>
          <t>Ganchos 1-4</t>
        </is>
      </c>
      <c r="E81" s="8" t="inlineStr">
        <is>
          <t>Ganchos 5-8</t>
        </is>
      </c>
      <c r="F81" s="8" t="inlineStr">
        <is>
          <t>Ganchos 9-12</t>
        </is>
      </c>
      <c r="G81" s="8" t="inlineStr">
        <is>
          <t>Ganchos 13-16</t>
        </is>
      </c>
      <c r="H81" s="8" t="inlineStr">
        <is>
          <t>Ganchos 17-20</t>
        </is>
      </c>
      <c r="I81" s="8" t="inlineStr">
        <is>
          <t>Facção ou origem (H8)</t>
        </is>
      </c>
      <c r="J81" s="8" t="inlineStr">
        <is>
          <t>Ambiente (H8)</t>
        </is>
      </c>
      <c r="N81" s="2">
        <f>N80</f>
        <v/>
      </c>
      <c r="O81" s="2">
        <f>O80</f>
        <v/>
      </c>
      <c r="P81" s="2">
        <f>P80</f>
        <v/>
      </c>
      <c r="Q81" s="2">
        <f>Q80</f>
        <v/>
      </c>
      <c r="R81" s="2">
        <f>R80</f>
        <v/>
      </c>
      <c r="S81" s="2">
        <f>S80</f>
        <v/>
      </c>
      <c r="T81" s="2">
        <f>T80</f>
        <v/>
      </c>
      <c r="U81" s="2">
        <f>U80</f>
        <v/>
      </c>
      <c r="X81" s="2">
        <f>IF(ISERROR($B$81),"",IF(ISBLANK($B$81),"",$B$81))</f>
        <v/>
      </c>
      <c r="Y81" s="2">
        <f>IF(ISERROR($C$81),"",IF(ISBLANK($C$81),"",$C$81))</f>
        <v/>
      </c>
      <c r="Z81" s="2">
        <f>IF(ISERROR($D$81),"",IF(ISBLANK($D$81),"",$D$81))</f>
        <v/>
      </c>
      <c r="AA81" s="2">
        <f>IF(ISERROR($E$81),"",IF(ISBLANK($E$81),"",$E$81))</f>
        <v/>
      </c>
      <c r="AB81" s="2">
        <f>IF(ISERROR($F$81),"",IF(ISBLANK($F$81),"",$F$81))</f>
        <v/>
      </c>
      <c r="AC81" s="2">
        <f>IF(ISERROR($G$81),"",IF(ISBLANK($G$81),"",$G$81))</f>
        <v/>
      </c>
      <c r="AD81" s="2">
        <f>IF(ISERROR($H$81),"",IF(ISBLANK($H$81),"",$H$81))</f>
        <v/>
      </c>
      <c r="AE81" s="2">
        <f>IF(ISERROR($I$81),"",IF(ISBLANK($I$81),"",$I$81))</f>
        <v/>
      </c>
      <c r="AF81" s="2">
        <f>IF(ISERROR($J$81),"",IF(ISBLANK($J$81),"",$J$81))</f>
        <v/>
      </c>
    </row>
    <row r="82" ht="26" customHeight="1">
      <c r="B82" s="33" t="n"/>
      <c r="C82" s="4" t="n"/>
      <c r="D82" s="4" t="n"/>
      <c r="E82" s="4" t="n"/>
      <c r="F82" s="4" t="n"/>
      <c r="G82" s="4" t="n"/>
      <c r="H82" s="4" t="n"/>
      <c r="I82" s="4" t="n"/>
      <c r="J82" s="4" t="n"/>
      <c r="K82" s="19">
        <f>IF(AG82&gt;0,"O Google leu como fórmula: escolha de novo ou digite com ' na frente.","")</f>
        <v/>
      </c>
      <c r="N82" s="2">
        <f>N81+IF(LEN($X$82)&gt;0,1,0)</f>
        <v/>
      </c>
      <c r="O82" s="2">
        <f>O81+IF(LEN($Y$82)&gt;0,1,0)</f>
        <v/>
      </c>
      <c r="P82" s="2">
        <f>P81+IF(LEN($Z$82)&gt;0,1,0)</f>
        <v/>
      </c>
      <c r="Q82" s="2">
        <f>Q81+IF(LEN($AA$82)&gt;0,1,0)</f>
        <v/>
      </c>
      <c r="R82" s="2">
        <f>R81+IF(LEN($AB$82)&gt;0,1,0)</f>
        <v/>
      </c>
      <c r="S82" s="2">
        <f>S81+IF(LEN($AC$82)&gt;0,1,0)</f>
        <v/>
      </c>
      <c r="T82" s="2">
        <f>T81+IF(LEN($AD$82)&gt;0,1,0)</f>
        <v/>
      </c>
      <c r="U82" s="2">
        <f>U81+IF(LEN($AE$82)&gt;0,1,0)</f>
        <v/>
      </c>
      <c r="X82" s="2">
        <f>IF(ISERROR($B$82),"",IF(ISBLANK($B$82),"",$B$82))</f>
        <v/>
      </c>
      <c r="Y82" s="2">
        <f>IF(ISERROR($C$82),"",IF(ISBLANK($C$82),"",$C$82))</f>
        <v/>
      </c>
      <c r="Z82" s="2">
        <f>IF(ISERROR($D$82),"",IF(ISBLANK($D$82),"",$D$82))</f>
        <v/>
      </c>
      <c r="AA82" s="2">
        <f>IF(ISERROR($E$82),"",IF(ISBLANK($E$82),"",$E$82))</f>
        <v/>
      </c>
      <c r="AB82" s="2">
        <f>IF(ISERROR($F$82),"",IF(ISBLANK($F$82),"",$F$82))</f>
        <v/>
      </c>
      <c r="AC82" s="2">
        <f>IF(ISERROR($G$82),"",IF(ISBLANK($G$82),"",$G$82))</f>
        <v/>
      </c>
      <c r="AD82" s="2">
        <f>IF(ISERROR($H$82),"",IF(ISBLANK($H$82),"",$H$82))</f>
        <v/>
      </c>
      <c r="AE82" s="2">
        <f>IF(ISERROR($I$82),"",IF(ISBLANK($I$82),"",$I$82))</f>
        <v/>
      </c>
      <c r="AF82" s="2">
        <f>IF(ISERROR($J$82),"",IF(ISBLANK($J$82),"",$J$82))</f>
        <v/>
      </c>
      <c r="AG82" s="2">
        <f>ISERROR($B$82)*1+ISERROR($C$82)*1+ISERROR($D$82)*1+ISERROR($E$82)*1+ISERROR($F$82)*1+ISERROR($G$82)*1+ISERROR($H$82)*1+ISERROR($I$82)*1+ISERROR($J$82)*1</f>
        <v/>
      </c>
    </row>
    <row r="83" ht="26" customHeight="1">
      <c r="B83" s="35" t="n"/>
      <c r="C83" s="29" t="n"/>
      <c r="D83" s="29" t="n"/>
      <c r="E83" s="29" t="n"/>
      <c r="F83" s="29" t="n"/>
      <c r="G83" s="29" t="n"/>
      <c r="H83" s="29" t="n"/>
      <c r="I83" s="29" t="n"/>
      <c r="J83" s="29" t="n"/>
      <c r="K83" s="19">
        <f>IF(AG83&gt;0,"O Google leu como fórmula: escolha de novo ou digite com ' na frente.","")</f>
        <v/>
      </c>
      <c r="N83" s="2">
        <f>N82+IF(LEN($X$83)&gt;0,1,0)</f>
        <v/>
      </c>
      <c r="O83" s="2">
        <f>O82+IF(LEN($Y$83)&gt;0,1,0)</f>
        <v/>
      </c>
      <c r="P83" s="2">
        <f>P82+IF(LEN($Z$83)&gt;0,1,0)</f>
        <v/>
      </c>
      <c r="Q83" s="2">
        <f>Q82+IF(LEN($AA$83)&gt;0,1,0)</f>
        <v/>
      </c>
      <c r="R83" s="2">
        <f>R82+IF(LEN($AB$83)&gt;0,1,0)</f>
        <v/>
      </c>
      <c r="S83" s="2">
        <f>S82+IF(LEN($AC$83)&gt;0,1,0)</f>
        <v/>
      </c>
      <c r="T83" s="2">
        <f>T82+IF(LEN($AD$83)&gt;0,1,0)</f>
        <v/>
      </c>
      <c r="U83" s="2">
        <f>U82+IF(LEN($AE$83)&gt;0,1,0)</f>
        <v/>
      </c>
      <c r="X83" s="2">
        <f>IF(ISERROR($B$83),"",IF(ISBLANK($B$83),"",$B$83))</f>
        <v/>
      </c>
      <c r="Y83" s="2">
        <f>IF(ISERROR($C$83),"",IF(ISBLANK($C$83),"",$C$83))</f>
        <v/>
      </c>
      <c r="Z83" s="2">
        <f>IF(ISERROR($D$83),"",IF(ISBLANK($D$83),"",$D$83))</f>
        <v/>
      </c>
      <c r="AA83" s="2">
        <f>IF(ISERROR($E$83),"",IF(ISBLANK($E$83),"",$E$83))</f>
        <v/>
      </c>
      <c r="AB83" s="2">
        <f>IF(ISERROR($F$83),"",IF(ISBLANK($F$83),"",$F$83))</f>
        <v/>
      </c>
      <c r="AC83" s="2">
        <f>IF(ISERROR($G$83),"",IF(ISBLANK($G$83),"",$G$83))</f>
        <v/>
      </c>
      <c r="AD83" s="2">
        <f>IF(ISERROR($H$83),"",IF(ISBLANK($H$83),"",$H$83))</f>
        <v/>
      </c>
      <c r="AE83" s="2">
        <f>IF(ISERROR($I$83),"",IF(ISBLANK($I$83),"",$I$83))</f>
        <v/>
      </c>
      <c r="AF83" s="2">
        <f>IF(ISERROR($J$83),"",IF(ISBLANK($J$83),"",$J$83))</f>
        <v/>
      </c>
      <c r="AG83" s="2">
        <f>ISERROR($B$83)*1+ISERROR($C$83)*1+ISERROR($D$83)*1+ISERROR($E$83)*1+ISERROR($F$83)*1+ISERROR($G$83)*1+ISERROR($H$83)*1+ISERROR($I$83)*1+ISERROR($J$83)*1</f>
        <v/>
      </c>
    </row>
    <row r="84" ht="26" customHeight="1">
      <c r="B84" s="33" t="n"/>
      <c r="C84" s="4" t="n"/>
      <c r="D84" s="4" t="n"/>
      <c r="E84" s="4" t="n"/>
      <c r="F84" s="4" t="n"/>
      <c r="G84" s="4" t="n"/>
      <c r="H84" s="4" t="n"/>
      <c r="I84" s="4" t="n"/>
      <c r="J84" s="4" t="n"/>
      <c r="K84" s="19">
        <f>IF(AG84&gt;0,"O Google leu como fórmula: escolha de novo ou digite com ' na frente.","")</f>
        <v/>
      </c>
      <c r="N84" s="2">
        <f>N83+IF(LEN($X$84)&gt;0,1,0)</f>
        <v/>
      </c>
      <c r="O84" s="2">
        <f>O83+IF(LEN($Y$84)&gt;0,1,0)</f>
        <v/>
      </c>
      <c r="P84" s="2">
        <f>P83+IF(LEN($Z$84)&gt;0,1,0)</f>
        <v/>
      </c>
      <c r="Q84" s="2">
        <f>Q83+IF(LEN($AA$84)&gt;0,1,0)</f>
        <v/>
      </c>
      <c r="R84" s="2">
        <f>R83+IF(LEN($AB$84)&gt;0,1,0)</f>
        <v/>
      </c>
      <c r="S84" s="2">
        <f>S83+IF(LEN($AC$84)&gt;0,1,0)</f>
        <v/>
      </c>
      <c r="T84" s="2">
        <f>T83+IF(LEN($AD$84)&gt;0,1,0)</f>
        <v/>
      </c>
      <c r="U84" s="2">
        <f>U83+IF(LEN($AE$84)&gt;0,1,0)</f>
        <v/>
      </c>
      <c r="X84" s="2">
        <f>IF(ISERROR($B$84),"",IF(ISBLANK($B$84),"",$B$84))</f>
        <v/>
      </c>
      <c r="Y84" s="2">
        <f>IF(ISERROR($C$84),"",IF(ISBLANK($C$84),"",$C$84))</f>
        <v/>
      </c>
      <c r="Z84" s="2">
        <f>IF(ISERROR($D$84),"",IF(ISBLANK($D$84),"",$D$84))</f>
        <v/>
      </c>
      <c r="AA84" s="2">
        <f>IF(ISERROR($E$84),"",IF(ISBLANK($E$84),"",$E$84))</f>
        <v/>
      </c>
      <c r="AB84" s="2">
        <f>IF(ISERROR($F$84),"",IF(ISBLANK($F$84),"",$F$84))</f>
        <v/>
      </c>
      <c r="AC84" s="2">
        <f>IF(ISERROR($G$84),"",IF(ISBLANK($G$84),"",$G$84))</f>
        <v/>
      </c>
      <c r="AD84" s="2">
        <f>IF(ISERROR($H$84),"",IF(ISBLANK($H$84),"",$H$84))</f>
        <v/>
      </c>
      <c r="AE84" s="2">
        <f>IF(ISERROR($I$84),"",IF(ISBLANK($I$84),"",$I$84))</f>
        <v/>
      </c>
      <c r="AF84" s="2">
        <f>IF(ISERROR($J$84),"",IF(ISBLANK($J$84),"",$J$84))</f>
        <v/>
      </c>
      <c r="AG84" s="2">
        <f>ISERROR($B$84)*1+ISERROR($C$84)*1+ISERROR($D$84)*1+ISERROR($E$84)*1+ISERROR($F$84)*1+ISERROR($G$84)*1+ISERROR($H$84)*1+ISERROR($I$84)*1+ISERROR($J$84)*1</f>
        <v/>
      </c>
    </row>
    <row r="85" ht="26" customHeight="1">
      <c r="B85" s="35" t="n"/>
      <c r="C85" s="29" t="n"/>
      <c r="D85" s="29" t="n"/>
      <c r="E85" s="29" t="n"/>
      <c r="F85" s="29" t="n"/>
      <c r="G85" s="29" t="n"/>
      <c r="H85" s="29" t="n"/>
      <c r="I85" s="29" t="n"/>
      <c r="J85" s="29" t="n"/>
      <c r="K85" s="19">
        <f>IF(AG85&gt;0,"O Google leu como fórmula: escolha de novo ou digite com ' na frente.","")</f>
        <v/>
      </c>
      <c r="N85" s="2">
        <f>N84+IF(LEN($X$85)&gt;0,1,0)</f>
        <v/>
      </c>
      <c r="O85" s="2">
        <f>O84+IF(LEN($Y$85)&gt;0,1,0)</f>
        <v/>
      </c>
      <c r="P85" s="2">
        <f>P84+IF(LEN($Z$85)&gt;0,1,0)</f>
        <v/>
      </c>
      <c r="Q85" s="2">
        <f>Q84+IF(LEN($AA$85)&gt;0,1,0)</f>
        <v/>
      </c>
      <c r="R85" s="2">
        <f>R84+IF(LEN($AB$85)&gt;0,1,0)</f>
        <v/>
      </c>
      <c r="S85" s="2">
        <f>S84+IF(LEN($AC$85)&gt;0,1,0)</f>
        <v/>
      </c>
      <c r="T85" s="2">
        <f>T84+IF(LEN($AD$85)&gt;0,1,0)</f>
        <v/>
      </c>
      <c r="U85" s="2">
        <f>U84+IF(LEN($AE$85)&gt;0,1,0)</f>
        <v/>
      </c>
      <c r="X85" s="2">
        <f>IF(ISERROR($B$85),"",IF(ISBLANK($B$85),"",$B$85))</f>
        <v/>
      </c>
      <c r="Y85" s="2">
        <f>IF(ISERROR($C$85),"",IF(ISBLANK($C$85),"",$C$85))</f>
        <v/>
      </c>
      <c r="Z85" s="2">
        <f>IF(ISERROR($D$85),"",IF(ISBLANK($D$85),"",$D$85))</f>
        <v/>
      </c>
      <c r="AA85" s="2">
        <f>IF(ISERROR($E$85),"",IF(ISBLANK($E$85),"",$E$85))</f>
        <v/>
      </c>
      <c r="AB85" s="2">
        <f>IF(ISERROR($F$85),"",IF(ISBLANK($F$85),"",$F$85))</f>
        <v/>
      </c>
      <c r="AC85" s="2">
        <f>IF(ISERROR($G$85),"",IF(ISBLANK($G$85),"",$G$85))</f>
        <v/>
      </c>
      <c r="AD85" s="2">
        <f>IF(ISERROR($H$85),"",IF(ISBLANK($H$85),"",$H$85))</f>
        <v/>
      </c>
      <c r="AE85" s="2">
        <f>IF(ISERROR($I$85),"",IF(ISBLANK($I$85),"",$I$85))</f>
        <v/>
      </c>
      <c r="AF85" s="2">
        <f>IF(ISERROR($J$85),"",IF(ISBLANK($J$85),"",$J$85))</f>
        <v/>
      </c>
      <c r="AG85" s="2">
        <f>ISERROR($B$85)*1+ISERROR($C$85)*1+ISERROR($D$85)*1+ISERROR($E$85)*1+ISERROR($F$85)*1+ISERROR($G$85)*1+ISERROR($H$85)*1+ISERROR($I$85)*1+ISERROR($J$85)*1</f>
        <v/>
      </c>
    </row>
    <row r="86" ht="26" customHeight="1">
      <c r="B86" s="33" t="n"/>
      <c r="C86" s="4" t="n"/>
      <c r="D86" s="4" t="n"/>
      <c r="E86" s="4" t="n"/>
      <c r="F86" s="4" t="n"/>
      <c r="G86" s="4" t="n"/>
      <c r="H86" s="4" t="n"/>
      <c r="I86" s="4" t="n"/>
      <c r="J86" s="4" t="n"/>
      <c r="K86" s="19">
        <f>IF(AG86&gt;0,"O Google leu como fórmula: escolha de novo ou digite com ' na frente.","")</f>
        <v/>
      </c>
      <c r="N86" s="2">
        <f>N85+IF(LEN($X$86)&gt;0,1,0)</f>
        <v/>
      </c>
      <c r="O86" s="2">
        <f>O85+IF(LEN($Y$86)&gt;0,1,0)</f>
        <v/>
      </c>
      <c r="P86" s="2">
        <f>P85+IF(LEN($Z$86)&gt;0,1,0)</f>
        <v/>
      </c>
      <c r="Q86" s="2">
        <f>Q85+IF(LEN($AA$86)&gt;0,1,0)</f>
        <v/>
      </c>
      <c r="R86" s="2">
        <f>R85+IF(LEN($AB$86)&gt;0,1,0)</f>
        <v/>
      </c>
      <c r="S86" s="2">
        <f>S85+IF(LEN($AC$86)&gt;0,1,0)</f>
        <v/>
      </c>
      <c r="T86" s="2">
        <f>T85+IF(LEN($AD$86)&gt;0,1,0)</f>
        <v/>
      </c>
      <c r="U86" s="2">
        <f>U85+IF(LEN($AE$86)&gt;0,1,0)</f>
        <v/>
      </c>
      <c r="X86" s="2">
        <f>IF(ISERROR($B$86),"",IF(ISBLANK($B$86),"",$B$86))</f>
        <v/>
      </c>
      <c r="Y86" s="2">
        <f>IF(ISERROR($C$86),"",IF(ISBLANK($C$86),"",$C$86))</f>
        <v/>
      </c>
      <c r="Z86" s="2">
        <f>IF(ISERROR($D$86),"",IF(ISBLANK($D$86),"",$D$86))</f>
        <v/>
      </c>
      <c r="AA86" s="2">
        <f>IF(ISERROR($E$86),"",IF(ISBLANK($E$86),"",$E$86))</f>
        <v/>
      </c>
      <c r="AB86" s="2">
        <f>IF(ISERROR($F$86),"",IF(ISBLANK($F$86),"",$F$86))</f>
        <v/>
      </c>
      <c r="AC86" s="2">
        <f>IF(ISERROR($G$86),"",IF(ISBLANK($G$86),"",$G$86))</f>
        <v/>
      </c>
      <c r="AD86" s="2">
        <f>IF(ISERROR($H$86),"",IF(ISBLANK($H$86),"",$H$86))</f>
        <v/>
      </c>
      <c r="AE86" s="2">
        <f>IF(ISERROR($I$86),"",IF(ISBLANK($I$86),"",$I$86))</f>
        <v/>
      </c>
      <c r="AF86" s="2">
        <f>IF(ISERROR($J$86),"",IF(ISBLANK($J$86),"",$J$86))</f>
        <v/>
      </c>
      <c r="AG86" s="2">
        <f>ISERROR($B$86)*1+ISERROR($C$86)*1+ISERROR($D$86)*1+ISERROR($E$86)*1+ISERROR($F$86)*1+ISERROR($G$86)*1+ISERROR($H$86)*1+ISERROR($I$86)*1+ISERROR($J$86)*1</f>
        <v/>
      </c>
    </row>
    <row r="87" ht="26" customHeight="1">
      <c r="B87" s="35" t="n"/>
      <c r="C87" s="29" t="n"/>
      <c r="D87" s="29" t="n"/>
      <c r="E87" s="29" t="n"/>
      <c r="F87" s="29" t="n"/>
      <c r="G87" s="29" t="n"/>
      <c r="H87" s="29" t="n"/>
      <c r="I87" s="29" t="n"/>
      <c r="J87" s="29" t="n"/>
      <c r="K87" s="19">
        <f>IF(AG87&gt;0,"O Google leu como fórmula: escolha de novo ou digite com ' na frente.","")</f>
        <v/>
      </c>
      <c r="N87" s="2">
        <f>N86+IF(LEN($X$87)&gt;0,1,0)</f>
        <v/>
      </c>
      <c r="O87" s="2">
        <f>O86+IF(LEN($Y$87)&gt;0,1,0)</f>
        <v/>
      </c>
      <c r="P87" s="2">
        <f>P86+IF(LEN($Z$87)&gt;0,1,0)</f>
        <v/>
      </c>
      <c r="Q87" s="2">
        <f>Q86+IF(LEN($AA$87)&gt;0,1,0)</f>
        <v/>
      </c>
      <c r="R87" s="2">
        <f>R86+IF(LEN($AB$87)&gt;0,1,0)</f>
        <v/>
      </c>
      <c r="S87" s="2">
        <f>S86+IF(LEN($AC$87)&gt;0,1,0)</f>
        <v/>
      </c>
      <c r="T87" s="2">
        <f>T86+IF(LEN($AD$87)&gt;0,1,0)</f>
        <v/>
      </c>
      <c r="U87" s="2">
        <f>U86+IF(LEN($AE$87)&gt;0,1,0)</f>
        <v/>
      </c>
      <c r="X87" s="2">
        <f>IF(ISERROR($B$87),"",IF(ISBLANK($B$87),"",$B$87))</f>
        <v/>
      </c>
      <c r="Y87" s="2">
        <f>IF(ISERROR($C$87),"",IF(ISBLANK($C$87),"",$C$87))</f>
        <v/>
      </c>
      <c r="Z87" s="2">
        <f>IF(ISERROR($D$87),"",IF(ISBLANK($D$87),"",$D$87))</f>
        <v/>
      </c>
      <c r="AA87" s="2">
        <f>IF(ISERROR($E$87),"",IF(ISBLANK($E$87),"",$E$87))</f>
        <v/>
      </c>
      <c r="AB87" s="2">
        <f>IF(ISERROR($F$87),"",IF(ISBLANK($F$87),"",$F$87))</f>
        <v/>
      </c>
      <c r="AC87" s="2">
        <f>IF(ISERROR($G$87),"",IF(ISBLANK($G$87),"",$G$87))</f>
        <v/>
      </c>
      <c r="AD87" s="2">
        <f>IF(ISERROR($H$87),"",IF(ISBLANK($H$87),"",$H$87))</f>
        <v/>
      </c>
      <c r="AE87" s="2">
        <f>IF(ISERROR($I$87),"",IF(ISBLANK($I$87),"",$I$87))</f>
        <v/>
      </c>
      <c r="AF87" s="2">
        <f>IF(ISERROR($J$87),"",IF(ISBLANK($J$87),"",$J$87))</f>
        <v/>
      </c>
      <c r="AG87" s="2">
        <f>ISERROR($B$87)*1+ISERROR($C$87)*1+ISERROR($D$87)*1+ISERROR($E$87)*1+ISERROR($F$87)*1+ISERROR($G$87)*1+ISERROR($H$87)*1+ISERROR($I$87)*1+ISERROR($J$87)*1</f>
        <v/>
      </c>
    </row>
    <row r="88" ht="26" customHeight="1">
      <c r="B88" s="33" t="n"/>
      <c r="C88" s="4" t="n"/>
      <c r="D88" s="4" t="n"/>
      <c r="E88" s="4" t="n"/>
      <c r="F88" s="4" t="n"/>
      <c r="G88" s="4" t="n"/>
      <c r="H88" s="4" t="n"/>
      <c r="I88" s="4" t="n"/>
      <c r="J88" s="4" t="n"/>
      <c r="K88" s="19">
        <f>IF(AG88&gt;0,"O Google leu como fórmula: escolha de novo ou digite com ' na frente.","")</f>
        <v/>
      </c>
      <c r="N88" s="2">
        <f>N87+IF(LEN($X$88)&gt;0,1,0)</f>
        <v/>
      </c>
      <c r="O88" s="2">
        <f>O87+IF(LEN($Y$88)&gt;0,1,0)</f>
        <v/>
      </c>
      <c r="P88" s="2">
        <f>P87+IF(LEN($Z$88)&gt;0,1,0)</f>
        <v/>
      </c>
      <c r="Q88" s="2">
        <f>Q87+IF(LEN($AA$88)&gt;0,1,0)</f>
        <v/>
      </c>
      <c r="R88" s="2">
        <f>R87+IF(LEN($AB$88)&gt;0,1,0)</f>
        <v/>
      </c>
      <c r="S88" s="2">
        <f>S87+IF(LEN($AC$88)&gt;0,1,0)</f>
        <v/>
      </c>
      <c r="T88" s="2">
        <f>T87+IF(LEN($AD$88)&gt;0,1,0)</f>
        <v/>
      </c>
      <c r="U88" s="2">
        <f>U87+IF(LEN($AE$88)&gt;0,1,0)</f>
        <v/>
      </c>
      <c r="X88" s="2">
        <f>IF(ISERROR($B$88),"",IF(ISBLANK($B$88),"",$B$88))</f>
        <v/>
      </c>
      <c r="Y88" s="2">
        <f>IF(ISERROR($C$88),"",IF(ISBLANK($C$88),"",$C$88))</f>
        <v/>
      </c>
      <c r="Z88" s="2">
        <f>IF(ISERROR($D$88),"",IF(ISBLANK($D$88),"",$D$88))</f>
        <v/>
      </c>
      <c r="AA88" s="2">
        <f>IF(ISERROR($E$88),"",IF(ISBLANK($E$88),"",$E$88))</f>
        <v/>
      </c>
      <c r="AB88" s="2">
        <f>IF(ISERROR($F$88),"",IF(ISBLANK($F$88),"",$F$88))</f>
        <v/>
      </c>
      <c r="AC88" s="2">
        <f>IF(ISERROR($G$88),"",IF(ISBLANK($G$88),"",$G$88))</f>
        <v/>
      </c>
      <c r="AD88" s="2">
        <f>IF(ISERROR($H$88),"",IF(ISBLANK($H$88),"",$H$88))</f>
        <v/>
      </c>
      <c r="AE88" s="2">
        <f>IF(ISERROR($I$88),"",IF(ISBLANK($I$88),"",$I$88))</f>
        <v/>
      </c>
      <c r="AF88" s="2">
        <f>IF(ISERROR($J$88),"",IF(ISBLANK($J$88),"",$J$88))</f>
        <v/>
      </c>
      <c r="AG88" s="2">
        <f>ISERROR($B$88)*1+ISERROR($C$88)*1+ISERROR($D$88)*1+ISERROR($E$88)*1+ISERROR($F$88)*1+ISERROR($G$88)*1+ISERROR($H$88)*1+ISERROR($I$88)*1+ISERROR($J$88)*1</f>
        <v/>
      </c>
    </row>
    <row r="89" ht="26" customHeight="1">
      <c r="B89" s="35" t="n"/>
      <c r="C89" s="29" t="n"/>
      <c r="D89" s="29" t="n"/>
      <c r="E89" s="29" t="n"/>
      <c r="F89" s="29" t="n"/>
      <c r="G89" s="29" t="n"/>
      <c r="H89" s="29" t="n"/>
      <c r="I89" s="29" t="n"/>
      <c r="J89" s="29" t="n"/>
      <c r="K89" s="19">
        <f>IF(AG89&gt;0,"O Google leu como fórmula: escolha de novo ou digite com ' na frente.","")</f>
        <v/>
      </c>
      <c r="N89" s="2">
        <f>N88+IF(LEN($X$89)&gt;0,1,0)</f>
        <v/>
      </c>
      <c r="O89" s="2">
        <f>O88+IF(LEN($Y$89)&gt;0,1,0)</f>
        <v/>
      </c>
      <c r="P89" s="2">
        <f>P88+IF(LEN($Z$89)&gt;0,1,0)</f>
        <v/>
      </c>
      <c r="Q89" s="2">
        <f>Q88+IF(LEN($AA$89)&gt;0,1,0)</f>
        <v/>
      </c>
      <c r="R89" s="2">
        <f>R88+IF(LEN($AB$89)&gt;0,1,0)</f>
        <v/>
      </c>
      <c r="S89" s="2">
        <f>S88+IF(LEN($AC$89)&gt;0,1,0)</f>
        <v/>
      </c>
      <c r="T89" s="2">
        <f>T88+IF(LEN($AD$89)&gt;0,1,0)</f>
        <v/>
      </c>
      <c r="U89" s="2">
        <f>U88+IF(LEN($AE$89)&gt;0,1,0)</f>
        <v/>
      </c>
      <c r="X89" s="2">
        <f>IF(ISERROR($B$89),"",IF(ISBLANK($B$89),"",$B$89))</f>
        <v/>
      </c>
      <c r="Y89" s="2">
        <f>IF(ISERROR($C$89),"",IF(ISBLANK($C$89),"",$C$89))</f>
        <v/>
      </c>
      <c r="Z89" s="2">
        <f>IF(ISERROR($D$89),"",IF(ISBLANK($D$89),"",$D$89))</f>
        <v/>
      </c>
      <c r="AA89" s="2">
        <f>IF(ISERROR($E$89),"",IF(ISBLANK($E$89),"",$E$89))</f>
        <v/>
      </c>
      <c r="AB89" s="2">
        <f>IF(ISERROR($F$89),"",IF(ISBLANK($F$89),"",$F$89))</f>
        <v/>
      </c>
      <c r="AC89" s="2">
        <f>IF(ISERROR($G$89),"",IF(ISBLANK($G$89),"",$G$89))</f>
        <v/>
      </c>
      <c r="AD89" s="2">
        <f>IF(ISERROR($H$89),"",IF(ISBLANK($H$89),"",$H$89))</f>
        <v/>
      </c>
      <c r="AE89" s="2">
        <f>IF(ISERROR($I$89),"",IF(ISBLANK($I$89),"",$I$89))</f>
        <v/>
      </c>
      <c r="AF89" s="2">
        <f>IF(ISERROR($J$89),"",IF(ISBLANK($J$89),"",$J$89))</f>
        <v/>
      </c>
      <c r="AG89" s="2">
        <f>ISERROR($B$89)*1+ISERROR($C$89)*1+ISERROR($D$89)*1+ISERROR($E$89)*1+ISERROR($F$89)*1+ISERROR($G$89)*1+ISERROR($H$89)*1+ISERROR($I$89)*1+ISERROR($J$89)*1</f>
        <v/>
      </c>
    </row>
    <row r="90" ht="26" customHeight="1">
      <c r="B90" s="33" t="n"/>
      <c r="C90" s="4" t="n"/>
      <c r="D90" s="4" t="n"/>
      <c r="E90" s="4" t="n"/>
      <c r="F90" s="4" t="n"/>
      <c r="G90" s="4" t="n"/>
      <c r="H90" s="4" t="n"/>
      <c r="I90" s="4" t="n"/>
      <c r="J90" s="4" t="n"/>
      <c r="K90" s="19">
        <f>IF(AG90&gt;0,"O Google leu como fórmula: escolha de novo ou digite com ' na frente.","")</f>
        <v/>
      </c>
      <c r="N90" s="2">
        <f>N89+IF(LEN($X$90)&gt;0,1,0)</f>
        <v/>
      </c>
      <c r="O90" s="2">
        <f>O89+IF(LEN($Y$90)&gt;0,1,0)</f>
        <v/>
      </c>
      <c r="P90" s="2">
        <f>P89+IF(LEN($Z$90)&gt;0,1,0)</f>
        <v/>
      </c>
      <c r="Q90" s="2">
        <f>Q89+IF(LEN($AA$90)&gt;0,1,0)</f>
        <v/>
      </c>
      <c r="R90" s="2">
        <f>R89+IF(LEN($AB$90)&gt;0,1,0)</f>
        <v/>
      </c>
      <c r="S90" s="2">
        <f>S89+IF(LEN($AC$90)&gt;0,1,0)</f>
        <v/>
      </c>
      <c r="T90" s="2">
        <f>T89+IF(LEN($AD$90)&gt;0,1,0)</f>
        <v/>
      </c>
      <c r="U90" s="2">
        <f>U89+IF(LEN($AE$90)&gt;0,1,0)</f>
        <v/>
      </c>
      <c r="X90" s="2">
        <f>IF(ISERROR($B$90),"",IF(ISBLANK($B$90),"",$B$90))</f>
        <v/>
      </c>
      <c r="Y90" s="2">
        <f>IF(ISERROR($C$90),"",IF(ISBLANK($C$90),"",$C$90))</f>
        <v/>
      </c>
      <c r="Z90" s="2">
        <f>IF(ISERROR($D$90),"",IF(ISBLANK($D$90),"",$D$90))</f>
        <v/>
      </c>
      <c r="AA90" s="2">
        <f>IF(ISERROR($E$90),"",IF(ISBLANK($E$90),"",$E$90))</f>
        <v/>
      </c>
      <c r="AB90" s="2">
        <f>IF(ISERROR($F$90),"",IF(ISBLANK($F$90),"",$F$90))</f>
        <v/>
      </c>
      <c r="AC90" s="2">
        <f>IF(ISERROR($G$90),"",IF(ISBLANK($G$90),"",$G$90))</f>
        <v/>
      </c>
      <c r="AD90" s="2">
        <f>IF(ISERROR($H$90),"",IF(ISBLANK($H$90),"",$H$90))</f>
        <v/>
      </c>
      <c r="AE90" s="2">
        <f>IF(ISERROR($I$90),"",IF(ISBLANK($I$90),"",$I$90))</f>
        <v/>
      </c>
      <c r="AF90" s="2">
        <f>IF(ISERROR($J$90),"",IF(ISBLANK($J$90),"",$J$90))</f>
        <v/>
      </c>
      <c r="AG90" s="2">
        <f>ISERROR($B$90)*1+ISERROR($C$90)*1+ISERROR($D$90)*1+ISERROR($E$90)*1+ISERROR($F$90)*1+ISERROR($G$90)*1+ISERROR($H$90)*1+ISERROR($I$90)*1+ISERROR($J$90)*1</f>
        <v/>
      </c>
    </row>
    <row r="91" ht="26" customHeight="1">
      <c r="B91" s="35" t="n"/>
      <c r="C91" s="29" t="n"/>
      <c r="D91" s="29" t="n"/>
      <c r="E91" s="29" t="n"/>
      <c r="F91" s="29" t="n"/>
      <c r="G91" s="29" t="n"/>
      <c r="H91" s="29" t="n"/>
      <c r="I91" s="29" t="n"/>
      <c r="J91" s="29" t="n"/>
      <c r="K91" s="19">
        <f>IF(AG91&gt;0,"O Google leu como fórmula: escolha de novo ou digite com ' na frente.","")</f>
        <v/>
      </c>
      <c r="N91" s="2">
        <f>N90+IF(LEN($X$91)&gt;0,1,0)</f>
        <v/>
      </c>
      <c r="O91" s="2">
        <f>O90+IF(LEN($Y$91)&gt;0,1,0)</f>
        <v/>
      </c>
      <c r="P91" s="2">
        <f>P90+IF(LEN($Z$91)&gt;0,1,0)</f>
        <v/>
      </c>
      <c r="Q91" s="2">
        <f>Q90+IF(LEN($AA$91)&gt;0,1,0)</f>
        <v/>
      </c>
      <c r="R91" s="2">
        <f>R90+IF(LEN($AB$91)&gt;0,1,0)</f>
        <v/>
      </c>
      <c r="S91" s="2">
        <f>S90+IF(LEN($AC$91)&gt;0,1,0)</f>
        <v/>
      </c>
      <c r="T91" s="2">
        <f>T90+IF(LEN($AD$91)&gt;0,1,0)</f>
        <v/>
      </c>
      <c r="U91" s="2">
        <f>U90+IF(LEN($AE$91)&gt;0,1,0)</f>
        <v/>
      </c>
      <c r="X91" s="2">
        <f>IF(ISERROR($B$91),"",IF(ISBLANK($B$91),"",$B$91))</f>
        <v/>
      </c>
      <c r="Y91" s="2">
        <f>IF(ISERROR($C$91),"",IF(ISBLANK($C$91),"",$C$91))</f>
        <v/>
      </c>
      <c r="Z91" s="2">
        <f>IF(ISERROR($D$91),"",IF(ISBLANK($D$91),"",$D$91))</f>
        <v/>
      </c>
      <c r="AA91" s="2">
        <f>IF(ISERROR($E$91),"",IF(ISBLANK($E$91),"",$E$91))</f>
        <v/>
      </c>
      <c r="AB91" s="2">
        <f>IF(ISERROR($F$91),"",IF(ISBLANK($F$91),"",$F$91))</f>
        <v/>
      </c>
      <c r="AC91" s="2">
        <f>IF(ISERROR($G$91),"",IF(ISBLANK($G$91),"",$G$91))</f>
        <v/>
      </c>
      <c r="AD91" s="2">
        <f>IF(ISERROR($H$91),"",IF(ISBLANK($H$91),"",$H$91))</f>
        <v/>
      </c>
      <c r="AE91" s="2">
        <f>IF(ISERROR($I$91),"",IF(ISBLANK($I$91),"",$I$91))</f>
        <v/>
      </c>
      <c r="AF91" s="2">
        <f>IF(ISERROR($J$91),"",IF(ISBLANK($J$91),"",$J$91))</f>
        <v/>
      </c>
      <c r="AG91" s="2">
        <f>ISERROR($B$91)*1+ISERROR($C$91)*1+ISERROR($D$91)*1+ISERROR($E$91)*1+ISERROR($F$91)*1+ISERROR($G$91)*1+ISERROR($H$91)*1+ISERROR($I$91)*1+ISERROR($J$91)*1</f>
        <v/>
      </c>
    </row>
    <row r="92" ht="26" customHeight="1">
      <c r="B92" s="33" t="n"/>
      <c r="C92" s="4" t="n"/>
      <c r="D92" s="4" t="n"/>
      <c r="E92" s="4" t="n"/>
      <c r="F92" s="4" t="n"/>
      <c r="G92" s="4" t="n"/>
      <c r="H92" s="4" t="n"/>
      <c r="I92" s="4" t="n"/>
      <c r="J92" s="4" t="n"/>
      <c r="K92" s="19">
        <f>IF(AG92&gt;0,"O Google leu como fórmula: escolha de novo ou digite com ' na frente.","")</f>
        <v/>
      </c>
      <c r="N92" s="2">
        <f>N91+IF(LEN($X$92)&gt;0,1,0)</f>
        <v/>
      </c>
      <c r="O92" s="2">
        <f>O91+IF(LEN($Y$92)&gt;0,1,0)</f>
        <v/>
      </c>
      <c r="P92" s="2">
        <f>P91+IF(LEN($Z$92)&gt;0,1,0)</f>
        <v/>
      </c>
      <c r="Q92" s="2">
        <f>Q91+IF(LEN($AA$92)&gt;0,1,0)</f>
        <v/>
      </c>
      <c r="R92" s="2">
        <f>R91+IF(LEN($AB$92)&gt;0,1,0)</f>
        <v/>
      </c>
      <c r="S92" s="2">
        <f>S91+IF(LEN($AC$92)&gt;0,1,0)</f>
        <v/>
      </c>
      <c r="T92" s="2">
        <f>T91+IF(LEN($AD$92)&gt;0,1,0)</f>
        <v/>
      </c>
      <c r="U92" s="2">
        <f>U91+IF(LEN($AE$92)&gt;0,1,0)</f>
        <v/>
      </c>
      <c r="X92" s="2">
        <f>IF(ISERROR($B$92),"",IF(ISBLANK($B$92),"",$B$92))</f>
        <v/>
      </c>
      <c r="Y92" s="2">
        <f>IF(ISERROR($C$92),"",IF(ISBLANK($C$92),"",$C$92))</f>
        <v/>
      </c>
      <c r="Z92" s="2">
        <f>IF(ISERROR($D$92),"",IF(ISBLANK($D$92),"",$D$92))</f>
        <v/>
      </c>
      <c r="AA92" s="2">
        <f>IF(ISERROR($E$92),"",IF(ISBLANK($E$92),"",$E$92))</f>
        <v/>
      </c>
      <c r="AB92" s="2">
        <f>IF(ISERROR($F$92),"",IF(ISBLANK($F$92),"",$F$92))</f>
        <v/>
      </c>
      <c r="AC92" s="2">
        <f>IF(ISERROR($G$92),"",IF(ISBLANK($G$92),"",$G$92))</f>
        <v/>
      </c>
      <c r="AD92" s="2">
        <f>IF(ISERROR($H$92),"",IF(ISBLANK($H$92),"",$H$92))</f>
        <v/>
      </c>
      <c r="AE92" s="2">
        <f>IF(ISERROR($I$92),"",IF(ISBLANK($I$92),"",$I$92))</f>
        <v/>
      </c>
      <c r="AF92" s="2">
        <f>IF(ISERROR($J$92),"",IF(ISBLANK($J$92),"",$J$92))</f>
        <v/>
      </c>
      <c r="AG92" s="2">
        <f>ISERROR($B$92)*1+ISERROR($C$92)*1+ISERROR($D$92)*1+ISERROR($E$92)*1+ISERROR($F$92)*1+ISERROR($G$92)*1+ISERROR($H$92)*1+ISERROR($I$92)*1+ISERROR($J$92)*1</f>
        <v/>
      </c>
    </row>
    <row r="93" ht="26" customHeight="1">
      <c r="B93" s="35" t="n"/>
      <c r="C93" s="29" t="n"/>
      <c r="D93" s="29" t="n"/>
      <c r="E93" s="29" t="n"/>
      <c r="F93" s="29" t="n"/>
      <c r="G93" s="29" t="n"/>
      <c r="H93" s="29" t="n"/>
      <c r="I93" s="29" t="n"/>
      <c r="J93" s="29" t="n"/>
      <c r="K93" s="19">
        <f>IF(AG93&gt;0,"O Google leu como fórmula: escolha de novo ou digite com ' na frente.","")</f>
        <v/>
      </c>
      <c r="N93" s="2">
        <f>N92+IF(LEN($X$93)&gt;0,1,0)</f>
        <v/>
      </c>
      <c r="O93" s="2">
        <f>O92+IF(LEN($Y$93)&gt;0,1,0)</f>
        <v/>
      </c>
      <c r="P93" s="2">
        <f>P92+IF(LEN($Z$93)&gt;0,1,0)</f>
        <v/>
      </c>
      <c r="Q93" s="2">
        <f>Q92+IF(LEN($AA$93)&gt;0,1,0)</f>
        <v/>
      </c>
      <c r="R93" s="2">
        <f>R92+IF(LEN($AB$93)&gt;0,1,0)</f>
        <v/>
      </c>
      <c r="S93" s="2">
        <f>S92+IF(LEN($AC$93)&gt;0,1,0)</f>
        <v/>
      </c>
      <c r="T93" s="2">
        <f>T92+IF(LEN($AD$93)&gt;0,1,0)</f>
        <v/>
      </c>
      <c r="U93" s="2">
        <f>U92+IF(LEN($AE$93)&gt;0,1,0)</f>
        <v/>
      </c>
      <c r="X93" s="2">
        <f>IF(ISERROR($B$93),"",IF(ISBLANK($B$93),"",$B$93))</f>
        <v/>
      </c>
      <c r="Y93" s="2">
        <f>IF(ISERROR($C$93),"",IF(ISBLANK($C$93),"",$C$93))</f>
        <v/>
      </c>
      <c r="Z93" s="2">
        <f>IF(ISERROR($D$93),"",IF(ISBLANK($D$93),"",$D$93))</f>
        <v/>
      </c>
      <c r="AA93" s="2">
        <f>IF(ISERROR($E$93),"",IF(ISBLANK($E$93),"",$E$93))</f>
        <v/>
      </c>
      <c r="AB93" s="2">
        <f>IF(ISERROR($F$93),"",IF(ISBLANK($F$93),"",$F$93))</f>
        <v/>
      </c>
      <c r="AC93" s="2">
        <f>IF(ISERROR($G$93),"",IF(ISBLANK($G$93),"",$G$93))</f>
        <v/>
      </c>
      <c r="AD93" s="2">
        <f>IF(ISERROR($H$93),"",IF(ISBLANK($H$93),"",$H$93))</f>
        <v/>
      </c>
      <c r="AE93" s="2">
        <f>IF(ISERROR($I$93),"",IF(ISBLANK($I$93),"",$I$93))</f>
        <v/>
      </c>
      <c r="AF93" s="2">
        <f>IF(ISERROR($J$93),"",IF(ISBLANK($J$93),"",$J$93))</f>
        <v/>
      </c>
      <c r="AG93" s="2">
        <f>ISERROR($B$93)*1+ISERROR($C$93)*1+ISERROR($D$93)*1+ISERROR($E$93)*1+ISERROR($F$93)*1+ISERROR($G$93)*1+ISERROR($H$93)*1+ISERROR($I$93)*1+ISERROR($J$93)*1</f>
        <v/>
      </c>
    </row>
    <row r="94" ht="26" customHeight="1">
      <c r="B94" s="33" t="n"/>
      <c r="C94" s="4" t="n"/>
      <c r="D94" s="4" t="n"/>
      <c r="E94" s="4" t="n"/>
      <c r="F94" s="4" t="n"/>
      <c r="G94" s="4" t="n"/>
      <c r="H94" s="4" t="n"/>
      <c r="I94" s="4" t="n"/>
      <c r="J94" s="4" t="n"/>
      <c r="K94" s="19">
        <f>IF(AG94&gt;0,"O Google leu como fórmula: escolha de novo ou digite com ' na frente.","")</f>
        <v/>
      </c>
      <c r="N94" s="2">
        <f>N93+IF(LEN($X$94)&gt;0,1,0)</f>
        <v/>
      </c>
      <c r="O94" s="2">
        <f>O93+IF(LEN($Y$94)&gt;0,1,0)</f>
        <v/>
      </c>
      <c r="P94" s="2">
        <f>P93+IF(LEN($Z$94)&gt;0,1,0)</f>
        <v/>
      </c>
      <c r="Q94" s="2">
        <f>Q93+IF(LEN($AA$94)&gt;0,1,0)</f>
        <v/>
      </c>
      <c r="R94" s="2">
        <f>R93+IF(LEN($AB$94)&gt;0,1,0)</f>
        <v/>
      </c>
      <c r="S94" s="2">
        <f>S93+IF(LEN($AC$94)&gt;0,1,0)</f>
        <v/>
      </c>
      <c r="T94" s="2">
        <f>T93+IF(LEN($AD$94)&gt;0,1,0)</f>
        <v/>
      </c>
      <c r="U94" s="2">
        <f>U93+IF(LEN($AE$94)&gt;0,1,0)</f>
        <v/>
      </c>
      <c r="X94" s="2">
        <f>IF(ISERROR($B$94),"",IF(ISBLANK($B$94),"",$B$94))</f>
        <v/>
      </c>
      <c r="Y94" s="2">
        <f>IF(ISERROR($C$94),"",IF(ISBLANK($C$94),"",$C$94))</f>
        <v/>
      </c>
      <c r="Z94" s="2">
        <f>IF(ISERROR($D$94),"",IF(ISBLANK($D$94),"",$D$94))</f>
        <v/>
      </c>
      <c r="AA94" s="2">
        <f>IF(ISERROR($E$94),"",IF(ISBLANK($E$94),"",$E$94))</f>
        <v/>
      </c>
      <c r="AB94" s="2">
        <f>IF(ISERROR($F$94),"",IF(ISBLANK($F$94),"",$F$94))</f>
        <v/>
      </c>
      <c r="AC94" s="2">
        <f>IF(ISERROR($G$94),"",IF(ISBLANK($G$94),"",$G$94))</f>
        <v/>
      </c>
      <c r="AD94" s="2">
        <f>IF(ISERROR($H$94),"",IF(ISBLANK($H$94),"",$H$94))</f>
        <v/>
      </c>
      <c r="AE94" s="2">
        <f>IF(ISERROR($I$94),"",IF(ISBLANK($I$94),"",$I$94))</f>
        <v/>
      </c>
      <c r="AF94" s="2">
        <f>IF(ISERROR($J$94),"",IF(ISBLANK($J$94),"",$J$94))</f>
        <v/>
      </c>
      <c r="AG94" s="2">
        <f>ISERROR($B$94)*1+ISERROR($C$94)*1+ISERROR($D$94)*1+ISERROR($E$94)*1+ISERROR($F$94)*1+ISERROR($G$94)*1+ISERROR($H$94)*1+ISERROR($I$94)*1+ISERROR($J$94)*1</f>
        <v/>
      </c>
    </row>
    <row r="95" ht="15" customHeight="1">
      <c r="B95" s="8" t="inlineStr">
        <is>
          <t>Facções</t>
        </is>
      </c>
      <c r="C95" s="8" t="inlineStr">
        <is>
          <t>Locais</t>
        </is>
      </c>
      <c r="D95" s="8" t="inlineStr">
        <is>
          <t>Ganchos 1-4</t>
        </is>
      </c>
      <c r="E95" s="8" t="inlineStr">
        <is>
          <t>Ganchos 5-8</t>
        </is>
      </c>
      <c r="F95" s="8" t="inlineStr">
        <is>
          <t>Ganchos 9-12</t>
        </is>
      </c>
      <c r="G95" s="8" t="inlineStr">
        <is>
          <t>Ganchos 13-16</t>
        </is>
      </c>
      <c r="H95" s="8" t="inlineStr">
        <is>
          <t>Ganchos 17-20</t>
        </is>
      </c>
      <c r="I95" s="8" t="inlineStr">
        <is>
          <t>Facção ou origem (H8)</t>
        </is>
      </c>
      <c r="J95" s="8" t="inlineStr">
        <is>
          <t>Ambiente (H8)</t>
        </is>
      </c>
      <c r="N95" s="2">
        <f>N94</f>
        <v/>
      </c>
      <c r="O95" s="2">
        <f>O94</f>
        <v/>
      </c>
      <c r="P95" s="2">
        <f>P94</f>
        <v/>
      </c>
      <c r="Q95" s="2">
        <f>Q94</f>
        <v/>
      </c>
      <c r="R95" s="2">
        <f>R94</f>
        <v/>
      </c>
      <c r="S95" s="2">
        <f>S94</f>
        <v/>
      </c>
      <c r="T95" s="2">
        <f>T94</f>
        <v/>
      </c>
      <c r="U95" s="2">
        <f>U94</f>
        <v/>
      </c>
      <c r="X95" s="2">
        <f>IF(ISERROR($B$95),"",IF(ISBLANK($B$95),"",$B$95))</f>
        <v/>
      </c>
      <c r="Y95" s="2">
        <f>IF(ISERROR($C$95),"",IF(ISBLANK($C$95),"",$C$95))</f>
        <v/>
      </c>
      <c r="Z95" s="2">
        <f>IF(ISERROR($D$95),"",IF(ISBLANK($D$95),"",$D$95))</f>
        <v/>
      </c>
      <c r="AA95" s="2">
        <f>IF(ISERROR($E$95),"",IF(ISBLANK($E$95),"",$E$95))</f>
        <v/>
      </c>
      <c r="AB95" s="2">
        <f>IF(ISERROR($F$95),"",IF(ISBLANK($F$95),"",$F$95))</f>
        <v/>
      </c>
      <c r="AC95" s="2">
        <f>IF(ISERROR($G$95),"",IF(ISBLANK($G$95),"",$G$95))</f>
        <v/>
      </c>
      <c r="AD95" s="2">
        <f>IF(ISERROR($H$95),"",IF(ISBLANK($H$95),"",$H$95))</f>
        <v/>
      </c>
      <c r="AE95" s="2">
        <f>IF(ISERROR($I$95),"",IF(ISBLANK($I$95),"",$I$95))</f>
        <v/>
      </c>
      <c r="AF95" s="2">
        <f>IF(ISERROR($J$95),"",IF(ISBLANK($J$95),"",$J$95))</f>
        <v/>
      </c>
    </row>
    <row r="96" ht="26" customHeight="1">
      <c r="B96" s="33" t="n"/>
      <c r="C96" s="4" t="n"/>
      <c r="D96" s="4" t="n"/>
      <c r="E96" s="4" t="n"/>
      <c r="F96" s="4" t="n"/>
      <c r="G96" s="4" t="n"/>
      <c r="H96" s="4" t="n"/>
      <c r="I96" s="4" t="n"/>
      <c r="J96" s="4" t="n"/>
      <c r="K96" s="19">
        <f>IF(AG96&gt;0,"O Google leu como fórmula: escolha de novo ou digite com ' na frente.","")</f>
        <v/>
      </c>
      <c r="N96" s="2">
        <f>N95+IF(LEN($X$96)&gt;0,1,0)</f>
        <v/>
      </c>
      <c r="O96" s="2">
        <f>O95+IF(LEN($Y$96)&gt;0,1,0)</f>
        <v/>
      </c>
      <c r="P96" s="2">
        <f>P95+IF(LEN($Z$96)&gt;0,1,0)</f>
        <v/>
      </c>
      <c r="Q96" s="2">
        <f>Q95+IF(LEN($AA$96)&gt;0,1,0)</f>
        <v/>
      </c>
      <c r="R96" s="2">
        <f>R95+IF(LEN($AB$96)&gt;0,1,0)</f>
        <v/>
      </c>
      <c r="S96" s="2">
        <f>S95+IF(LEN($AC$96)&gt;0,1,0)</f>
        <v/>
      </c>
      <c r="T96" s="2">
        <f>T95+IF(LEN($AD$96)&gt;0,1,0)</f>
        <v/>
      </c>
      <c r="U96" s="2">
        <f>U95+IF(LEN($AE$96)&gt;0,1,0)</f>
        <v/>
      </c>
      <c r="X96" s="2">
        <f>IF(ISERROR($B$96),"",IF(ISBLANK($B$96),"",$B$96))</f>
        <v/>
      </c>
      <c r="Y96" s="2">
        <f>IF(ISERROR($C$96),"",IF(ISBLANK($C$96),"",$C$96))</f>
        <v/>
      </c>
      <c r="Z96" s="2">
        <f>IF(ISERROR($D$96),"",IF(ISBLANK($D$96),"",$D$96))</f>
        <v/>
      </c>
      <c r="AA96" s="2">
        <f>IF(ISERROR($E$96),"",IF(ISBLANK($E$96),"",$E$96))</f>
        <v/>
      </c>
      <c r="AB96" s="2">
        <f>IF(ISERROR($F$96),"",IF(ISBLANK($F$96),"",$F$96))</f>
        <v/>
      </c>
      <c r="AC96" s="2">
        <f>IF(ISERROR($G$96),"",IF(ISBLANK($G$96),"",$G$96))</f>
        <v/>
      </c>
      <c r="AD96" s="2">
        <f>IF(ISERROR($H$96),"",IF(ISBLANK($H$96),"",$H$96))</f>
        <v/>
      </c>
      <c r="AE96" s="2">
        <f>IF(ISERROR($I$96),"",IF(ISBLANK($I$96),"",$I$96))</f>
        <v/>
      </c>
      <c r="AF96" s="2">
        <f>IF(ISERROR($J$96),"",IF(ISBLANK($J$96),"",$J$96))</f>
        <v/>
      </c>
      <c r="AG96" s="2">
        <f>ISERROR($B$96)*1+ISERROR($C$96)*1+ISERROR($D$96)*1+ISERROR($E$96)*1+ISERROR($F$96)*1+ISERROR($G$96)*1+ISERROR($H$96)*1+ISERROR($I$96)*1+ISERROR($J$96)*1</f>
        <v/>
      </c>
    </row>
    <row r="97" ht="26" customHeight="1">
      <c r="B97" s="35" t="n"/>
      <c r="C97" s="29" t="n"/>
      <c r="D97" s="29" t="n"/>
      <c r="E97" s="29" t="n"/>
      <c r="F97" s="29" t="n"/>
      <c r="G97" s="29" t="n"/>
      <c r="H97" s="29" t="n"/>
      <c r="I97" s="29" t="n"/>
      <c r="J97" s="29" t="n"/>
      <c r="K97" s="19">
        <f>IF(AG97&gt;0,"O Google leu como fórmula: escolha de novo ou digite com ' na frente.","")</f>
        <v/>
      </c>
      <c r="N97" s="2">
        <f>N96+IF(LEN($X$97)&gt;0,1,0)</f>
        <v/>
      </c>
      <c r="O97" s="2">
        <f>O96+IF(LEN($Y$97)&gt;0,1,0)</f>
        <v/>
      </c>
      <c r="P97" s="2">
        <f>P96+IF(LEN($Z$97)&gt;0,1,0)</f>
        <v/>
      </c>
      <c r="Q97" s="2">
        <f>Q96+IF(LEN($AA$97)&gt;0,1,0)</f>
        <v/>
      </c>
      <c r="R97" s="2">
        <f>R96+IF(LEN($AB$97)&gt;0,1,0)</f>
        <v/>
      </c>
      <c r="S97" s="2">
        <f>S96+IF(LEN($AC$97)&gt;0,1,0)</f>
        <v/>
      </c>
      <c r="T97" s="2">
        <f>T96+IF(LEN($AD$97)&gt;0,1,0)</f>
        <v/>
      </c>
      <c r="U97" s="2">
        <f>U96+IF(LEN($AE$97)&gt;0,1,0)</f>
        <v/>
      </c>
      <c r="X97" s="2">
        <f>IF(ISERROR($B$97),"",IF(ISBLANK($B$97),"",$B$97))</f>
        <v/>
      </c>
      <c r="Y97" s="2">
        <f>IF(ISERROR($C$97),"",IF(ISBLANK($C$97),"",$C$97))</f>
        <v/>
      </c>
      <c r="Z97" s="2">
        <f>IF(ISERROR($D$97),"",IF(ISBLANK($D$97),"",$D$97))</f>
        <v/>
      </c>
      <c r="AA97" s="2">
        <f>IF(ISERROR($E$97),"",IF(ISBLANK($E$97),"",$E$97))</f>
        <v/>
      </c>
      <c r="AB97" s="2">
        <f>IF(ISERROR($F$97),"",IF(ISBLANK($F$97),"",$F$97))</f>
        <v/>
      </c>
      <c r="AC97" s="2">
        <f>IF(ISERROR($G$97),"",IF(ISBLANK($G$97),"",$G$97))</f>
        <v/>
      </c>
      <c r="AD97" s="2">
        <f>IF(ISERROR($H$97),"",IF(ISBLANK($H$97),"",$H$97))</f>
        <v/>
      </c>
      <c r="AE97" s="2">
        <f>IF(ISERROR($I$97),"",IF(ISBLANK($I$97),"",$I$97))</f>
        <v/>
      </c>
      <c r="AF97" s="2">
        <f>IF(ISERROR($J$97),"",IF(ISBLANK($J$97),"",$J$97))</f>
        <v/>
      </c>
      <c r="AG97" s="2">
        <f>ISERROR($B$97)*1+ISERROR($C$97)*1+ISERROR($D$97)*1+ISERROR($E$97)*1+ISERROR($F$97)*1+ISERROR($G$97)*1+ISERROR($H$97)*1+ISERROR($I$97)*1+ISERROR($J$97)*1</f>
        <v/>
      </c>
    </row>
    <row r="98" ht="26" customHeight="1">
      <c r="B98" s="33" t="n"/>
      <c r="C98" s="4" t="n"/>
      <c r="D98" s="4" t="n"/>
      <c r="E98" s="4" t="n"/>
      <c r="F98" s="4" t="n"/>
      <c r="G98" s="4" t="n"/>
      <c r="H98" s="4" t="n"/>
      <c r="I98" s="4" t="n"/>
      <c r="J98" s="4" t="n"/>
      <c r="K98" s="19">
        <f>IF(AG98&gt;0,"O Google leu como fórmula: escolha de novo ou digite com ' na frente.","")</f>
        <v/>
      </c>
      <c r="N98" s="2">
        <f>N97+IF(LEN($X$98)&gt;0,1,0)</f>
        <v/>
      </c>
      <c r="O98" s="2">
        <f>O97+IF(LEN($Y$98)&gt;0,1,0)</f>
        <v/>
      </c>
      <c r="P98" s="2">
        <f>P97+IF(LEN($Z$98)&gt;0,1,0)</f>
        <v/>
      </c>
      <c r="Q98" s="2">
        <f>Q97+IF(LEN($AA$98)&gt;0,1,0)</f>
        <v/>
      </c>
      <c r="R98" s="2">
        <f>R97+IF(LEN($AB$98)&gt;0,1,0)</f>
        <v/>
      </c>
      <c r="S98" s="2">
        <f>S97+IF(LEN($AC$98)&gt;0,1,0)</f>
        <v/>
      </c>
      <c r="T98" s="2">
        <f>T97+IF(LEN($AD$98)&gt;0,1,0)</f>
        <v/>
      </c>
      <c r="U98" s="2">
        <f>U97+IF(LEN($AE$98)&gt;0,1,0)</f>
        <v/>
      </c>
      <c r="X98" s="2">
        <f>IF(ISERROR($B$98),"",IF(ISBLANK($B$98),"",$B$98))</f>
        <v/>
      </c>
      <c r="Y98" s="2">
        <f>IF(ISERROR($C$98),"",IF(ISBLANK($C$98),"",$C$98))</f>
        <v/>
      </c>
      <c r="Z98" s="2">
        <f>IF(ISERROR($D$98),"",IF(ISBLANK($D$98),"",$D$98))</f>
        <v/>
      </c>
      <c r="AA98" s="2">
        <f>IF(ISERROR($E$98),"",IF(ISBLANK($E$98),"",$E$98))</f>
        <v/>
      </c>
      <c r="AB98" s="2">
        <f>IF(ISERROR($F$98),"",IF(ISBLANK($F$98),"",$F$98))</f>
        <v/>
      </c>
      <c r="AC98" s="2">
        <f>IF(ISERROR($G$98),"",IF(ISBLANK($G$98),"",$G$98))</f>
        <v/>
      </c>
      <c r="AD98" s="2">
        <f>IF(ISERROR($H$98),"",IF(ISBLANK($H$98),"",$H$98))</f>
        <v/>
      </c>
      <c r="AE98" s="2">
        <f>IF(ISERROR($I$98),"",IF(ISBLANK($I$98),"",$I$98))</f>
        <v/>
      </c>
      <c r="AF98" s="2">
        <f>IF(ISERROR($J$98),"",IF(ISBLANK($J$98),"",$J$98))</f>
        <v/>
      </c>
      <c r="AG98" s="2">
        <f>ISERROR($B$98)*1+ISERROR($C$98)*1+ISERROR($D$98)*1+ISERROR($E$98)*1+ISERROR($F$98)*1+ISERROR($G$98)*1+ISERROR($H$98)*1+ISERROR($I$98)*1+ISERROR($J$98)*1</f>
        <v/>
      </c>
    </row>
    <row r="99" ht="26" customHeight="1">
      <c r="B99" s="35" t="n"/>
      <c r="C99" s="29" t="n"/>
      <c r="D99" s="29" t="n"/>
      <c r="E99" s="29" t="n"/>
      <c r="F99" s="29" t="n"/>
      <c r="G99" s="29" t="n"/>
      <c r="H99" s="29" t="n"/>
      <c r="I99" s="29" t="n"/>
      <c r="J99" s="29" t="n"/>
      <c r="K99" s="19">
        <f>IF(AG99&gt;0,"O Google leu como fórmula: escolha de novo ou digite com ' na frente.","")</f>
        <v/>
      </c>
      <c r="N99" s="2">
        <f>N98+IF(LEN($X$99)&gt;0,1,0)</f>
        <v/>
      </c>
      <c r="O99" s="2">
        <f>O98+IF(LEN($Y$99)&gt;0,1,0)</f>
        <v/>
      </c>
      <c r="P99" s="2">
        <f>P98+IF(LEN($Z$99)&gt;0,1,0)</f>
        <v/>
      </c>
      <c r="Q99" s="2">
        <f>Q98+IF(LEN($AA$99)&gt;0,1,0)</f>
        <v/>
      </c>
      <c r="R99" s="2">
        <f>R98+IF(LEN($AB$99)&gt;0,1,0)</f>
        <v/>
      </c>
      <c r="S99" s="2">
        <f>S98+IF(LEN($AC$99)&gt;0,1,0)</f>
        <v/>
      </c>
      <c r="T99" s="2">
        <f>T98+IF(LEN($AD$99)&gt;0,1,0)</f>
        <v/>
      </c>
      <c r="U99" s="2">
        <f>U98+IF(LEN($AE$99)&gt;0,1,0)</f>
        <v/>
      </c>
      <c r="X99" s="2">
        <f>IF(ISERROR($B$99),"",IF(ISBLANK($B$99),"",$B$99))</f>
        <v/>
      </c>
      <c r="Y99" s="2">
        <f>IF(ISERROR($C$99),"",IF(ISBLANK($C$99),"",$C$99))</f>
        <v/>
      </c>
      <c r="Z99" s="2">
        <f>IF(ISERROR($D$99),"",IF(ISBLANK($D$99),"",$D$99))</f>
        <v/>
      </c>
      <c r="AA99" s="2">
        <f>IF(ISERROR($E$99),"",IF(ISBLANK($E$99),"",$E$99))</f>
        <v/>
      </c>
      <c r="AB99" s="2">
        <f>IF(ISERROR($F$99),"",IF(ISBLANK($F$99),"",$F$99))</f>
        <v/>
      </c>
      <c r="AC99" s="2">
        <f>IF(ISERROR($G$99),"",IF(ISBLANK($G$99),"",$G$99))</f>
        <v/>
      </c>
      <c r="AD99" s="2">
        <f>IF(ISERROR($H$99),"",IF(ISBLANK($H$99),"",$H$99))</f>
        <v/>
      </c>
      <c r="AE99" s="2">
        <f>IF(ISERROR($I$99),"",IF(ISBLANK($I$99),"",$I$99))</f>
        <v/>
      </c>
      <c r="AF99" s="2">
        <f>IF(ISERROR($J$99),"",IF(ISBLANK($J$99),"",$J$99))</f>
        <v/>
      </c>
      <c r="AG99" s="2">
        <f>ISERROR($B$99)*1+ISERROR($C$99)*1+ISERROR($D$99)*1+ISERROR($E$99)*1+ISERROR($F$99)*1+ISERROR($G$99)*1+ISERROR($H$99)*1+ISERROR($I$99)*1+ISERROR($J$99)*1</f>
        <v/>
      </c>
    </row>
    <row r="100" ht="26" customHeight="1">
      <c r="B100" s="33" t="n"/>
      <c r="C100" s="4" t="n"/>
      <c r="D100" s="4" t="n"/>
      <c r="E100" s="4" t="n"/>
      <c r="F100" s="4" t="n"/>
      <c r="G100" s="4" t="n"/>
      <c r="H100" s="4" t="n"/>
      <c r="I100" s="4" t="n"/>
      <c r="J100" s="4" t="n"/>
      <c r="K100" s="19">
        <f>IF(AG100&gt;0,"O Google leu como fórmula: escolha de novo ou digite com ' na frente.","")</f>
        <v/>
      </c>
      <c r="N100" s="2">
        <f>N99+IF(LEN($X$100)&gt;0,1,0)</f>
        <v/>
      </c>
      <c r="O100" s="2">
        <f>O99+IF(LEN($Y$100)&gt;0,1,0)</f>
        <v/>
      </c>
      <c r="P100" s="2">
        <f>P99+IF(LEN($Z$100)&gt;0,1,0)</f>
        <v/>
      </c>
      <c r="Q100" s="2">
        <f>Q99+IF(LEN($AA$100)&gt;0,1,0)</f>
        <v/>
      </c>
      <c r="R100" s="2">
        <f>R99+IF(LEN($AB$100)&gt;0,1,0)</f>
        <v/>
      </c>
      <c r="S100" s="2">
        <f>S99+IF(LEN($AC$100)&gt;0,1,0)</f>
        <v/>
      </c>
      <c r="T100" s="2">
        <f>T99+IF(LEN($AD$100)&gt;0,1,0)</f>
        <v/>
      </c>
      <c r="U100" s="2">
        <f>U99+IF(LEN($AE$100)&gt;0,1,0)</f>
        <v/>
      </c>
      <c r="X100" s="2">
        <f>IF(ISERROR($B$100),"",IF(ISBLANK($B$100),"",$B$100))</f>
        <v/>
      </c>
      <c r="Y100" s="2">
        <f>IF(ISERROR($C$100),"",IF(ISBLANK($C$100),"",$C$100))</f>
        <v/>
      </c>
      <c r="Z100" s="2">
        <f>IF(ISERROR($D$100),"",IF(ISBLANK($D$100),"",$D$100))</f>
        <v/>
      </c>
      <c r="AA100" s="2">
        <f>IF(ISERROR($E$100),"",IF(ISBLANK($E$100),"",$E$100))</f>
        <v/>
      </c>
      <c r="AB100" s="2">
        <f>IF(ISERROR($F$100),"",IF(ISBLANK($F$100),"",$F$100))</f>
        <v/>
      </c>
      <c r="AC100" s="2">
        <f>IF(ISERROR($G$100),"",IF(ISBLANK($G$100),"",$G$100))</f>
        <v/>
      </c>
      <c r="AD100" s="2">
        <f>IF(ISERROR($H$100),"",IF(ISBLANK($H$100),"",$H$100))</f>
        <v/>
      </c>
      <c r="AE100" s="2">
        <f>IF(ISERROR($I$100),"",IF(ISBLANK($I$100),"",$I$100))</f>
        <v/>
      </c>
      <c r="AF100" s="2">
        <f>IF(ISERROR($J$100),"",IF(ISBLANK($J$100),"",$J$100))</f>
        <v/>
      </c>
      <c r="AG100" s="2">
        <f>ISERROR($B$100)*1+ISERROR($C$100)*1+ISERROR($D$100)*1+ISERROR($E$100)*1+ISERROR($F$100)*1+ISERROR($G$100)*1+ISERROR($H$100)*1+ISERROR($I$100)*1+ISERROR($J$100)*1</f>
        <v/>
      </c>
    </row>
    <row r="101" ht="26" customHeight="1">
      <c r="B101" s="35" t="n"/>
      <c r="C101" s="29" t="n"/>
      <c r="D101" s="29" t="n"/>
      <c r="E101" s="29" t="n"/>
      <c r="F101" s="29" t="n"/>
      <c r="G101" s="29" t="n"/>
      <c r="H101" s="29" t="n"/>
      <c r="I101" s="29" t="n"/>
      <c r="J101" s="29" t="n"/>
      <c r="K101" s="19">
        <f>IF(AG101&gt;0,"O Google leu como fórmula: escolha de novo ou digite com ' na frente.","")</f>
        <v/>
      </c>
      <c r="N101" s="2">
        <f>N100+IF(LEN($X$101)&gt;0,1,0)</f>
        <v/>
      </c>
      <c r="O101" s="2">
        <f>O100+IF(LEN($Y$101)&gt;0,1,0)</f>
        <v/>
      </c>
      <c r="P101" s="2">
        <f>P100+IF(LEN($Z$101)&gt;0,1,0)</f>
        <v/>
      </c>
      <c r="Q101" s="2">
        <f>Q100+IF(LEN($AA$101)&gt;0,1,0)</f>
        <v/>
      </c>
      <c r="R101" s="2">
        <f>R100+IF(LEN($AB$101)&gt;0,1,0)</f>
        <v/>
      </c>
      <c r="S101" s="2">
        <f>S100+IF(LEN($AC$101)&gt;0,1,0)</f>
        <v/>
      </c>
      <c r="T101" s="2">
        <f>T100+IF(LEN($AD$101)&gt;0,1,0)</f>
        <v/>
      </c>
      <c r="U101" s="2">
        <f>U100+IF(LEN($AE$101)&gt;0,1,0)</f>
        <v/>
      </c>
      <c r="X101" s="2">
        <f>IF(ISERROR($B$101),"",IF(ISBLANK($B$101),"",$B$101))</f>
        <v/>
      </c>
      <c r="Y101" s="2">
        <f>IF(ISERROR($C$101),"",IF(ISBLANK($C$101),"",$C$101))</f>
        <v/>
      </c>
      <c r="Z101" s="2">
        <f>IF(ISERROR($D$101),"",IF(ISBLANK($D$101),"",$D$101))</f>
        <v/>
      </c>
      <c r="AA101" s="2">
        <f>IF(ISERROR($E$101),"",IF(ISBLANK($E$101),"",$E$101))</f>
        <v/>
      </c>
      <c r="AB101" s="2">
        <f>IF(ISERROR($F$101),"",IF(ISBLANK($F$101),"",$F$101))</f>
        <v/>
      </c>
      <c r="AC101" s="2">
        <f>IF(ISERROR($G$101),"",IF(ISBLANK($G$101),"",$G$101))</f>
        <v/>
      </c>
      <c r="AD101" s="2">
        <f>IF(ISERROR($H$101),"",IF(ISBLANK($H$101),"",$H$101))</f>
        <v/>
      </c>
      <c r="AE101" s="2">
        <f>IF(ISERROR($I$101),"",IF(ISBLANK($I$101),"",$I$101))</f>
        <v/>
      </c>
      <c r="AF101" s="2">
        <f>IF(ISERROR($J$101),"",IF(ISBLANK($J$101),"",$J$101))</f>
        <v/>
      </c>
      <c r="AG101" s="2">
        <f>ISERROR($B$101)*1+ISERROR($C$101)*1+ISERROR($D$101)*1+ISERROR($E$101)*1+ISERROR($F$101)*1+ISERROR($G$101)*1+ISERROR($H$101)*1+ISERROR($I$101)*1+ISERROR($J$101)*1</f>
        <v/>
      </c>
    </row>
    <row r="102" ht="26" customHeight="1">
      <c r="B102" s="33" t="n"/>
      <c r="C102" s="4" t="n"/>
      <c r="D102" s="4" t="n"/>
      <c r="E102" s="4" t="n"/>
      <c r="F102" s="4" t="n"/>
      <c r="G102" s="4" t="n"/>
      <c r="H102" s="4" t="n"/>
      <c r="I102" s="4" t="n"/>
      <c r="J102" s="4" t="n"/>
      <c r="K102" s="19">
        <f>IF(AG102&gt;0,"O Google leu como fórmula: escolha de novo ou digite com ' na frente.","")</f>
        <v/>
      </c>
      <c r="N102" s="2">
        <f>N101+IF(LEN($X$102)&gt;0,1,0)</f>
        <v/>
      </c>
      <c r="O102" s="2">
        <f>O101+IF(LEN($Y$102)&gt;0,1,0)</f>
        <v/>
      </c>
      <c r="P102" s="2">
        <f>P101+IF(LEN($Z$102)&gt;0,1,0)</f>
        <v/>
      </c>
      <c r="Q102" s="2">
        <f>Q101+IF(LEN($AA$102)&gt;0,1,0)</f>
        <v/>
      </c>
      <c r="R102" s="2">
        <f>R101+IF(LEN($AB$102)&gt;0,1,0)</f>
        <v/>
      </c>
      <c r="S102" s="2">
        <f>S101+IF(LEN($AC$102)&gt;0,1,0)</f>
        <v/>
      </c>
      <c r="T102" s="2">
        <f>T101+IF(LEN($AD$102)&gt;0,1,0)</f>
        <v/>
      </c>
      <c r="U102" s="2">
        <f>U101+IF(LEN($AE$102)&gt;0,1,0)</f>
        <v/>
      </c>
      <c r="X102" s="2">
        <f>IF(ISERROR($B$102),"",IF(ISBLANK($B$102),"",$B$102))</f>
        <v/>
      </c>
      <c r="Y102" s="2">
        <f>IF(ISERROR($C$102),"",IF(ISBLANK($C$102),"",$C$102))</f>
        <v/>
      </c>
      <c r="Z102" s="2">
        <f>IF(ISERROR($D$102),"",IF(ISBLANK($D$102),"",$D$102))</f>
        <v/>
      </c>
      <c r="AA102" s="2">
        <f>IF(ISERROR($E$102),"",IF(ISBLANK($E$102),"",$E$102))</f>
        <v/>
      </c>
      <c r="AB102" s="2">
        <f>IF(ISERROR($F$102),"",IF(ISBLANK($F$102),"",$F$102))</f>
        <v/>
      </c>
      <c r="AC102" s="2">
        <f>IF(ISERROR($G$102),"",IF(ISBLANK($G$102),"",$G$102))</f>
        <v/>
      </c>
      <c r="AD102" s="2">
        <f>IF(ISERROR($H$102),"",IF(ISBLANK($H$102),"",$H$102))</f>
        <v/>
      </c>
      <c r="AE102" s="2">
        <f>IF(ISERROR($I$102),"",IF(ISBLANK($I$102),"",$I$102))</f>
        <v/>
      </c>
      <c r="AF102" s="2">
        <f>IF(ISERROR($J$102),"",IF(ISBLANK($J$102),"",$J$102))</f>
        <v/>
      </c>
      <c r="AG102" s="2">
        <f>ISERROR($B$102)*1+ISERROR($C$102)*1+ISERROR($D$102)*1+ISERROR($E$102)*1+ISERROR($F$102)*1+ISERROR($G$102)*1+ISERROR($H$102)*1+ISERROR($I$102)*1+ISERROR($J$102)*1</f>
        <v/>
      </c>
    </row>
    <row r="103" ht="26" customHeight="1">
      <c r="B103" s="35" t="n"/>
      <c r="C103" s="29" t="n"/>
      <c r="D103" s="29" t="n"/>
      <c r="E103" s="29" t="n"/>
      <c r="F103" s="29" t="n"/>
      <c r="G103" s="29" t="n"/>
      <c r="H103" s="29" t="n"/>
      <c r="I103" s="29" t="n"/>
      <c r="J103" s="29" t="n"/>
      <c r="K103" s="19">
        <f>IF(AG103&gt;0,"O Google leu como fórmula: escolha de novo ou digite com ' na frente.","")</f>
        <v/>
      </c>
      <c r="N103" s="2">
        <f>N102+IF(LEN($X$103)&gt;0,1,0)</f>
        <v/>
      </c>
      <c r="O103" s="2">
        <f>O102+IF(LEN($Y$103)&gt;0,1,0)</f>
        <v/>
      </c>
      <c r="P103" s="2">
        <f>P102+IF(LEN($Z$103)&gt;0,1,0)</f>
        <v/>
      </c>
      <c r="Q103" s="2">
        <f>Q102+IF(LEN($AA$103)&gt;0,1,0)</f>
        <v/>
      </c>
      <c r="R103" s="2">
        <f>R102+IF(LEN($AB$103)&gt;0,1,0)</f>
        <v/>
      </c>
      <c r="S103" s="2">
        <f>S102+IF(LEN($AC$103)&gt;0,1,0)</f>
        <v/>
      </c>
      <c r="T103" s="2">
        <f>T102+IF(LEN($AD$103)&gt;0,1,0)</f>
        <v/>
      </c>
      <c r="U103" s="2">
        <f>U102+IF(LEN($AE$103)&gt;0,1,0)</f>
        <v/>
      </c>
      <c r="X103" s="2">
        <f>IF(ISERROR($B$103),"",IF(ISBLANK($B$103),"",$B$103))</f>
        <v/>
      </c>
      <c r="Y103" s="2">
        <f>IF(ISERROR($C$103),"",IF(ISBLANK($C$103),"",$C$103))</f>
        <v/>
      </c>
      <c r="Z103" s="2">
        <f>IF(ISERROR($D$103),"",IF(ISBLANK($D$103),"",$D$103))</f>
        <v/>
      </c>
      <c r="AA103" s="2">
        <f>IF(ISERROR($E$103),"",IF(ISBLANK($E$103),"",$E$103))</f>
        <v/>
      </c>
      <c r="AB103" s="2">
        <f>IF(ISERROR($F$103),"",IF(ISBLANK($F$103),"",$F$103))</f>
        <v/>
      </c>
      <c r="AC103" s="2">
        <f>IF(ISERROR($G$103),"",IF(ISBLANK($G$103),"",$G$103))</f>
        <v/>
      </c>
      <c r="AD103" s="2">
        <f>IF(ISERROR($H$103),"",IF(ISBLANK($H$103),"",$H$103))</f>
        <v/>
      </c>
      <c r="AE103" s="2">
        <f>IF(ISERROR($I$103),"",IF(ISBLANK($I$103),"",$I$103))</f>
        <v/>
      </c>
      <c r="AF103" s="2">
        <f>IF(ISERROR($J$103),"",IF(ISBLANK($J$103),"",$J$103))</f>
        <v/>
      </c>
      <c r="AG103" s="2">
        <f>ISERROR($B$103)*1+ISERROR($C$103)*1+ISERROR($D$103)*1+ISERROR($E$103)*1+ISERROR($F$103)*1+ISERROR($G$103)*1+ISERROR($H$103)*1+ISERROR($I$103)*1+ISERROR($J$103)*1</f>
        <v/>
      </c>
    </row>
    <row r="104" ht="26" customHeight="1">
      <c r="B104" s="33" t="n"/>
      <c r="C104" s="4" t="n"/>
      <c r="D104" s="4" t="n"/>
      <c r="E104" s="4" t="n"/>
      <c r="F104" s="4" t="n"/>
      <c r="G104" s="4" t="n"/>
      <c r="H104" s="4" t="n"/>
      <c r="I104" s="4" t="n"/>
      <c r="J104" s="4" t="n"/>
      <c r="K104" s="19">
        <f>IF(AG104&gt;0,"O Google leu como fórmula: escolha de novo ou digite com ' na frente.","")</f>
        <v/>
      </c>
      <c r="N104" s="2">
        <f>N103+IF(LEN($X$104)&gt;0,1,0)</f>
        <v/>
      </c>
      <c r="O104" s="2">
        <f>O103+IF(LEN($Y$104)&gt;0,1,0)</f>
        <v/>
      </c>
      <c r="P104" s="2">
        <f>P103+IF(LEN($Z$104)&gt;0,1,0)</f>
        <v/>
      </c>
      <c r="Q104" s="2">
        <f>Q103+IF(LEN($AA$104)&gt;0,1,0)</f>
        <v/>
      </c>
      <c r="R104" s="2">
        <f>R103+IF(LEN($AB$104)&gt;0,1,0)</f>
        <v/>
      </c>
      <c r="S104" s="2">
        <f>S103+IF(LEN($AC$104)&gt;0,1,0)</f>
        <v/>
      </c>
      <c r="T104" s="2">
        <f>T103+IF(LEN($AD$104)&gt;0,1,0)</f>
        <v/>
      </c>
      <c r="U104" s="2">
        <f>U103+IF(LEN($AE$104)&gt;0,1,0)</f>
        <v/>
      </c>
      <c r="X104" s="2">
        <f>IF(ISERROR($B$104),"",IF(ISBLANK($B$104),"",$B$104))</f>
        <v/>
      </c>
      <c r="Y104" s="2">
        <f>IF(ISERROR($C$104),"",IF(ISBLANK($C$104),"",$C$104))</f>
        <v/>
      </c>
      <c r="Z104" s="2">
        <f>IF(ISERROR($D$104),"",IF(ISBLANK($D$104),"",$D$104))</f>
        <v/>
      </c>
      <c r="AA104" s="2">
        <f>IF(ISERROR($E$104),"",IF(ISBLANK($E$104),"",$E$104))</f>
        <v/>
      </c>
      <c r="AB104" s="2">
        <f>IF(ISERROR($F$104),"",IF(ISBLANK($F$104),"",$F$104))</f>
        <v/>
      </c>
      <c r="AC104" s="2">
        <f>IF(ISERROR($G$104),"",IF(ISBLANK($G$104),"",$G$104))</f>
        <v/>
      </c>
      <c r="AD104" s="2">
        <f>IF(ISERROR($H$104),"",IF(ISBLANK($H$104),"",$H$104))</f>
        <v/>
      </c>
      <c r="AE104" s="2">
        <f>IF(ISERROR($I$104),"",IF(ISBLANK($I$104),"",$I$104))</f>
        <v/>
      </c>
      <c r="AF104" s="2">
        <f>IF(ISERROR($J$104),"",IF(ISBLANK($J$104),"",$J$104))</f>
        <v/>
      </c>
      <c r="AG104" s="2">
        <f>ISERROR($B$104)*1+ISERROR($C$104)*1+ISERROR($D$104)*1+ISERROR($E$104)*1+ISERROR($F$104)*1+ISERROR($G$104)*1+ISERROR($H$104)*1+ISERROR($I$104)*1+ISERROR($J$104)*1</f>
        <v/>
      </c>
    </row>
    <row r="105" ht="26" customHeight="1">
      <c r="B105" s="35" t="n"/>
      <c r="C105" s="29" t="n"/>
      <c r="D105" s="29" t="n"/>
      <c r="E105" s="29" t="n"/>
      <c r="F105" s="29" t="n"/>
      <c r="G105" s="29" t="n"/>
      <c r="H105" s="29" t="n"/>
      <c r="I105" s="29" t="n"/>
      <c r="J105" s="29" t="n"/>
      <c r="K105" s="19">
        <f>IF(AG105&gt;0,"O Google leu como fórmula: escolha de novo ou digite com ' na frente.","")</f>
        <v/>
      </c>
      <c r="N105" s="2">
        <f>N104+IF(LEN($X$105)&gt;0,1,0)</f>
        <v/>
      </c>
      <c r="O105" s="2">
        <f>O104+IF(LEN($Y$105)&gt;0,1,0)</f>
        <v/>
      </c>
      <c r="P105" s="2">
        <f>P104+IF(LEN($Z$105)&gt;0,1,0)</f>
        <v/>
      </c>
      <c r="Q105" s="2">
        <f>Q104+IF(LEN($AA$105)&gt;0,1,0)</f>
        <v/>
      </c>
      <c r="R105" s="2">
        <f>R104+IF(LEN($AB$105)&gt;0,1,0)</f>
        <v/>
      </c>
      <c r="S105" s="2">
        <f>S104+IF(LEN($AC$105)&gt;0,1,0)</f>
        <v/>
      </c>
      <c r="T105" s="2">
        <f>T104+IF(LEN($AD$105)&gt;0,1,0)</f>
        <v/>
      </c>
      <c r="U105" s="2">
        <f>U104+IF(LEN($AE$105)&gt;0,1,0)</f>
        <v/>
      </c>
      <c r="X105" s="2">
        <f>IF(ISERROR($B$105),"",IF(ISBLANK($B$105),"",$B$105))</f>
        <v/>
      </c>
      <c r="Y105" s="2">
        <f>IF(ISERROR($C$105),"",IF(ISBLANK($C$105),"",$C$105))</f>
        <v/>
      </c>
      <c r="Z105" s="2">
        <f>IF(ISERROR($D$105),"",IF(ISBLANK($D$105),"",$D$105))</f>
        <v/>
      </c>
      <c r="AA105" s="2">
        <f>IF(ISERROR($E$105),"",IF(ISBLANK($E$105),"",$E$105))</f>
        <v/>
      </c>
      <c r="AB105" s="2">
        <f>IF(ISERROR($F$105),"",IF(ISBLANK($F$105),"",$F$105))</f>
        <v/>
      </c>
      <c r="AC105" s="2">
        <f>IF(ISERROR($G$105),"",IF(ISBLANK($G$105),"",$G$105))</f>
        <v/>
      </c>
      <c r="AD105" s="2">
        <f>IF(ISERROR($H$105),"",IF(ISBLANK($H$105),"",$H$105))</f>
        <v/>
      </c>
      <c r="AE105" s="2">
        <f>IF(ISERROR($I$105),"",IF(ISBLANK($I$105),"",$I$105))</f>
        <v/>
      </c>
      <c r="AF105" s="2">
        <f>IF(ISERROR($J$105),"",IF(ISBLANK($J$105),"",$J$105))</f>
        <v/>
      </c>
      <c r="AG105" s="2">
        <f>ISERROR($B$105)*1+ISERROR($C$105)*1+ISERROR($D$105)*1+ISERROR($E$105)*1+ISERROR($F$105)*1+ISERROR($G$105)*1+ISERROR($H$105)*1+ISERROR($I$105)*1+ISERROR($J$105)*1</f>
        <v/>
      </c>
    </row>
    <row r="106" ht="26" customHeight="1">
      <c r="B106" s="33" t="n"/>
      <c r="C106" s="4" t="n"/>
      <c r="D106" s="4" t="n"/>
      <c r="E106" s="4" t="n"/>
      <c r="F106" s="4" t="n"/>
      <c r="G106" s="4" t="n"/>
      <c r="H106" s="4" t="n"/>
      <c r="I106" s="4" t="n"/>
      <c r="J106" s="4" t="n"/>
      <c r="K106" s="19">
        <f>IF(AG106&gt;0,"O Google leu como fórmula: escolha de novo ou digite com ' na frente.","")</f>
        <v/>
      </c>
      <c r="N106" s="2">
        <f>N105+IF(LEN($X$106)&gt;0,1,0)</f>
        <v/>
      </c>
      <c r="O106" s="2">
        <f>O105+IF(LEN($Y$106)&gt;0,1,0)</f>
        <v/>
      </c>
      <c r="P106" s="2">
        <f>P105+IF(LEN($Z$106)&gt;0,1,0)</f>
        <v/>
      </c>
      <c r="Q106" s="2">
        <f>Q105+IF(LEN($AA$106)&gt;0,1,0)</f>
        <v/>
      </c>
      <c r="R106" s="2">
        <f>R105+IF(LEN($AB$106)&gt;0,1,0)</f>
        <v/>
      </c>
      <c r="S106" s="2">
        <f>S105+IF(LEN($AC$106)&gt;0,1,0)</f>
        <v/>
      </c>
      <c r="T106" s="2">
        <f>T105+IF(LEN($AD$106)&gt;0,1,0)</f>
        <v/>
      </c>
      <c r="U106" s="2">
        <f>U105+IF(LEN($AE$106)&gt;0,1,0)</f>
        <v/>
      </c>
      <c r="X106" s="2">
        <f>IF(ISERROR($B$106),"",IF(ISBLANK($B$106),"",$B$106))</f>
        <v/>
      </c>
      <c r="Y106" s="2">
        <f>IF(ISERROR($C$106),"",IF(ISBLANK($C$106),"",$C$106))</f>
        <v/>
      </c>
      <c r="Z106" s="2">
        <f>IF(ISERROR($D$106),"",IF(ISBLANK($D$106),"",$D$106))</f>
        <v/>
      </c>
      <c r="AA106" s="2">
        <f>IF(ISERROR($E$106),"",IF(ISBLANK($E$106),"",$E$106))</f>
        <v/>
      </c>
      <c r="AB106" s="2">
        <f>IF(ISERROR($F$106),"",IF(ISBLANK($F$106),"",$F$106))</f>
        <v/>
      </c>
      <c r="AC106" s="2">
        <f>IF(ISERROR($G$106),"",IF(ISBLANK($G$106),"",$G$106))</f>
        <v/>
      </c>
      <c r="AD106" s="2">
        <f>IF(ISERROR($H$106),"",IF(ISBLANK($H$106),"",$H$106))</f>
        <v/>
      </c>
      <c r="AE106" s="2">
        <f>IF(ISERROR($I$106),"",IF(ISBLANK($I$106),"",$I$106))</f>
        <v/>
      </c>
      <c r="AF106" s="2">
        <f>IF(ISERROR($J$106),"",IF(ISBLANK($J$106),"",$J$106))</f>
        <v/>
      </c>
      <c r="AG106" s="2">
        <f>ISERROR($B$106)*1+ISERROR($C$106)*1+ISERROR($D$106)*1+ISERROR($E$106)*1+ISERROR($F$106)*1+ISERROR($G$106)*1+ISERROR($H$106)*1+ISERROR($I$106)*1+ISERROR($J$106)*1</f>
        <v/>
      </c>
    </row>
    <row r="107" ht="26" customHeight="1">
      <c r="B107" s="35" t="n"/>
      <c r="C107" s="29" t="n"/>
      <c r="D107" s="29" t="n"/>
      <c r="E107" s="29" t="n"/>
      <c r="F107" s="29" t="n"/>
      <c r="G107" s="29" t="n"/>
      <c r="H107" s="29" t="n"/>
      <c r="I107" s="29" t="n"/>
      <c r="J107" s="29" t="n"/>
      <c r="K107" s="19">
        <f>IF(AG107&gt;0,"O Google leu como fórmula: escolha de novo ou digite com ' na frente.","")</f>
        <v/>
      </c>
      <c r="N107" s="2">
        <f>N106+IF(LEN($X$107)&gt;0,1,0)</f>
        <v/>
      </c>
      <c r="O107" s="2">
        <f>O106+IF(LEN($Y$107)&gt;0,1,0)</f>
        <v/>
      </c>
      <c r="P107" s="2">
        <f>P106+IF(LEN($Z$107)&gt;0,1,0)</f>
        <v/>
      </c>
      <c r="Q107" s="2">
        <f>Q106+IF(LEN($AA$107)&gt;0,1,0)</f>
        <v/>
      </c>
      <c r="R107" s="2">
        <f>R106+IF(LEN($AB$107)&gt;0,1,0)</f>
        <v/>
      </c>
      <c r="S107" s="2">
        <f>S106+IF(LEN($AC$107)&gt;0,1,0)</f>
        <v/>
      </c>
      <c r="T107" s="2">
        <f>T106+IF(LEN($AD$107)&gt;0,1,0)</f>
        <v/>
      </c>
      <c r="U107" s="2">
        <f>U106+IF(LEN($AE$107)&gt;0,1,0)</f>
        <v/>
      </c>
      <c r="X107" s="2">
        <f>IF(ISERROR($B$107),"",IF(ISBLANK($B$107),"",$B$107))</f>
        <v/>
      </c>
      <c r="Y107" s="2">
        <f>IF(ISERROR($C$107),"",IF(ISBLANK($C$107),"",$C$107))</f>
        <v/>
      </c>
      <c r="Z107" s="2">
        <f>IF(ISERROR($D$107),"",IF(ISBLANK($D$107),"",$D$107))</f>
        <v/>
      </c>
      <c r="AA107" s="2">
        <f>IF(ISERROR($E$107),"",IF(ISBLANK($E$107),"",$E$107))</f>
        <v/>
      </c>
      <c r="AB107" s="2">
        <f>IF(ISERROR($F$107),"",IF(ISBLANK($F$107),"",$F$107))</f>
        <v/>
      </c>
      <c r="AC107" s="2">
        <f>IF(ISERROR($G$107),"",IF(ISBLANK($G$107),"",$G$107))</f>
        <v/>
      </c>
      <c r="AD107" s="2">
        <f>IF(ISERROR($H$107),"",IF(ISBLANK($H$107),"",$H$107))</f>
        <v/>
      </c>
      <c r="AE107" s="2">
        <f>IF(ISERROR($I$107),"",IF(ISBLANK($I$107),"",$I$107))</f>
        <v/>
      </c>
      <c r="AF107" s="2">
        <f>IF(ISERROR($J$107),"",IF(ISBLANK($J$107),"",$J$107))</f>
        <v/>
      </c>
      <c r="AG107" s="2">
        <f>ISERROR($B$107)*1+ISERROR($C$107)*1+ISERROR($D$107)*1+ISERROR($E$107)*1+ISERROR($F$107)*1+ISERROR($G$107)*1+ISERROR($H$107)*1+ISERROR($I$107)*1+ISERROR($J$107)*1</f>
        <v/>
      </c>
    </row>
    <row r="108" ht="26" customHeight="1">
      <c r="B108" s="33" t="n"/>
      <c r="C108" s="4" t="n"/>
      <c r="D108" s="4" t="n"/>
      <c r="E108" s="4" t="n"/>
      <c r="F108" s="4" t="n"/>
      <c r="G108" s="4" t="n"/>
      <c r="H108" s="4" t="n"/>
      <c r="I108" s="4" t="n"/>
      <c r="J108" s="4" t="n"/>
      <c r="K108" s="19">
        <f>IF(AG108&gt;0,"O Google leu como fórmula: escolha de novo ou digite com ' na frente.","")</f>
        <v/>
      </c>
      <c r="N108" s="2">
        <f>N107+IF(LEN($X$108)&gt;0,1,0)</f>
        <v/>
      </c>
      <c r="O108" s="2">
        <f>O107+IF(LEN($Y$108)&gt;0,1,0)</f>
        <v/>
      </c>
      <c r="P108" s="2">
        <f>P107+IF(LEN($Z$108)&gt;0,1,0)</f>
        <v/>
      </c>
      <c r="Q108" s="2">
        <f>Q107+IF(LEN($AA$108)&gt;0,1,0)</f>
        <v/>
      </c>
      <c r="R108" s="2">
        <f>R107+IF(LEN($AB$108)&gt;0,1,0)</f>
        <v/>
      </c>
      <c r="S108" s="2">
        <f>S107+IF(LEN($AC$108)&gt;0,1,0)</f>
        <v/>
      </c>
      <c r="T108" s="2">
        <f>T107+IF(LEN($AD$108)&gt;0,1,0)</f>
        <v/>
      </c>
      <c r="U108" s="2">
        <f>U107+IF(LEN($AE$108)&gt;0,1,0)</f>
        <v/>
      </c>
      <c r="X108" s="2">
        <f>IF(ISERROR($B$108),"",IF(ISBLANK($B$108),"",$B$108))</f>
        <v/>
      </c>
      <c r="Y108" s="2">
        <f>IF(ISERROR($C$108),"",IF(ISBLANK($C$108),"",$C$108))</f>
        <v/>
      </c>
      <c r="Z108" s="2">
        <f>IF(ISERROR($D$108),"",IF(ISBLANK($D$108),"",$D$108))</f>
        <v/>
      </c>
      <c r="AA108" s="2">
        <f>IF(ISERROR($E$108),"",IF(ISBLANK($E$108),"",$E$108))</f>
        <v/>
      </c>
      <c r="AB108" s="2">
        <f>IF(ISERROR($F$108),"",IF(ISBLANK($F$108),"",$F$108))</f>
        <v/>
      </c>
      <c r="AC108" s="2">
        <f>IF(ISERROR($G$108),"",IF(ISBLANK($G$108),"",$G$108))</f>
        <v/>
      </c>
      <c r="AD108" s="2">
        <f>IF(ISERROR($H$108),"",IF(ISBLANK($H$108),"",$H$108))</f>
        <v/>
      </c>
      <c r="AE108" s="2">
        <f>IF(ISERROR($I$108),"",IF(ISBLANK($I$108),"",$I$108))</f>
        <v/>
      </c>
      <c r="AF108" s="2">
        <f>IF(ISERROR($J$108),"",IF(ISBLANK($J$108),"",$J$108))</f>
        <v/>
      </c>
      <c r="AG108" s="2">
        <f>ISERROR($B$108)*1+ISERROR($C$108)*1+ISERROR($D$108)*1+ISERROR($E$108)*1+ISERROR($F$108)*1+ISERROR($G$108)*1+ISERROR($H$108)*1+ISERROR($I$108)*1+ISERROR($J$108)*1</f>
        <v/>
      </c>
    </row>
    <row r="109" ht="15" customHeight="1">
      <c r="B109" s="8" t="inlineStr">
        <is>
          <t>Facções</t>
        </is>
      </c>
      <c r="C109" s="8" t="inlineStr">
        <is>
          <t>Locais</t>
        </is>
      </c>
      <c r="D109" s="8" t="inlineStr">
        <is>
          <t>Ganchos 1-4</t>
        </is>
      </c>
      <c r="E109" s="8" t="inlineStr">
        <is>
          <t>Ganchos 5-8</t>
        </is>
      </c>
      <c r="F109" s="8" t="inlineStr">
        <is>
          <t>Ganchos 9-12</t>
        </is>
      </c>
      <c r="G109" s="8" t="inlineStr">
        <is>
          <t>Ganchos 13-16</t>
        </is>
      </c>
      <c r="H109" s="8" t="inlineStr">
        <is>
          <t>Ganchos 17-20</t>
        </is>
      </c>
      <c r="I109" s="8" t="inlineStr">
        <is>
          <t>Facção ou origem (H8)</t>
        </is>
      </c>
      <c r="J109" s="8" t="inlineStr">
        <is>
          <t>Ambiente (H8)</t>
        </is>
      </c>
      <c r="N109" s="2">
        <f>N108</f>
        <v/>
      </c>
      <c r="O109" s="2">
        <f>O108</f>
        <v/>
      </c>
      <c r="P109" s="2">
        <f>P108</f>
        <v/>
      </c>
      <c r="Q109" s="2">
        <f>Q108</f>
        <v/>
      </c>
      <c r="R109" s="2">
        <f>R108</f>
        <v/>
      </c>
      <c r="S109" s="2">
        <f>S108</f>
        <v/>
      </c>
      <c r="T109" s="2">
        <f>T108</f>
        <v/>
      </c>
      <c r="U109" s="2">
        <f>U108</f>
        <v/>
      </c>
      <c r="X109" s="2">
        <f>IF(ISERROR($B$109),"",IF(ISBLANK($B$109),"",$B$109))</f>
        <v/>
      </c>
      <c r="Y109" s="2">
        <f>IF(ISERROR($C$109),"",IF(ISBLANK($C$109),"",$C$109))</f>
        <v/>
      </c>
      <c r="Z109" s="2">
        <f>IF(ISERROR($D$109),"",IF(ISBLANK($D$109),"",$D$109))</f>
        <v/>
      </c>
      <c r="AA109" s="2">
        <f>IF(ISERROR($E$109),"",IF(ISBLANK($E$109),"",$E$109))</f>
        <v/>
      </c>
      <c r="AB109" s="2">
        <f>IF(ISERROR($F$109),"",IF(ISBLANK($F$109),"",$F$109))</f>
        <v/>
      </c>
      <c r="AC109" s="2">
        <f>IF(ISERROR($G$109),"",IF(ISBLANK($G$109),"",$G$109))</f>
        <v/>
      </c>
      <c r="AD109" s="2">
        <f>IF(ISERROR($H$109),"",IF(ISBLANK($H$109),"",$H$109))</f>
        <v/>
      </c>
      <c r="AE109" s="2">
        <f>IF(ISERROR($I$109),"",IF(ISBLANK($I$109),"",$I$109))</f>
        <v/>
      </c>
      <c r="AF109" s="2">
        <f>IF(ISERROR($J$109),"",IF(ISBLANK($J$109),"",$J$109))</f>
        <v/>
      </c>
    </row>
    <row r="110" ht="26" customHeight="1">
      <c r="B110" s="33" t="n"/>
      <c r="C110" s="4" t="n"/>
      <c r="D110" s="4" t="n"/>
      <c r="E110" s="4" t="n"/>
      <c r="F110" s="4" t="n"/>
      <c r="G110" s="4" t="n"/>
      <c r="H110" s="4" t="n"/>
      <c r="I110" s="4" t="n"/>
      <c r="J110" s="4" t="n"/>
      <c r="K110" s="19">
        <f>IF(AG110&gt;0,"O Google leu como fórmula: escolha de novo ou digite com ' na frente.","")</f>
        <v/>
      </c>
      <c r="N110" s="2">
        <f>N109+IF(LEN($X$110)&gt;0,1,0)</f>
        <v/>
      </c>
      <c r="O110" s="2">
        <f>O109+IF(LEN($Y$110)&gt;0,1,0)</f>
        <v/>
      </c>
      <c r="P110" s="2">
        <f>P109+IF(LEN($Z$110)&gt;0,1,0)</f>
        <v/>
      </c>
      <c r="Q110" s="2">
        <f>Q109+IF(LEN($AA$110)&gt;0,1,0)</f>
        <v/>
      </c>
      <c r="R110" s="2">
        <f>R109+IF(LEN($AB$110)&gt;0,1,0)</f>
        <v/>
      </c>
      <c r="S110" s="2">
        <f>S109+IF(LEN($AC$110)&gt;0,1,0)</f>
        <v/>
      </c>
      <c r="T110" s="2">
        <f>T109+IF(LEN($AD$110)&gt;0,1,0)</f>
        <v/>
      </c>
      <c r="U110" s="2">
        <f>U109+IF(LEN($AE$110)&gt;0,1,0)</f>
        <v/>
      </c>
      <c r="X110" s="2">
        <f>IF(ISERROR($B$110),"",IF(ISBLANK($B$110),"",$B$110))</f>
        <v/>
      </c>
      <c r="Y110" s="2">
        <f>IF(ISERROR($C$110),"",IF(ISBLANK($C$110),"",$C$110))</f>
        <v/>
      </c>
      <c r="Z110" s="2">
        <f>IF(ISERROR($D$110),"",IF(ISBLANK($D$110),"",$D$110))</f>
        <v/>
      </c>
      <c r="AA110" s="2">
        <f>IF(ISERROR($E$110),"",IF(ISBLANK($E$110),"",$E$110))</f>
        <v/>
      </c>
      <c r="AB110" s="2">
        <f>IF(ISERROR($F$110),"",IF(ISBLANK($F$110),"",$F$110))</f>
        <v/>
      </c>
      <c r="AC110" s="2">
        <f>IF(ISERROR($G$110),"",IF(ISBLANK($G$110),"",$G$110))</f>
        <v/>
      </c>
      <c r="AD110" s="2">
        <f>IF(ISERROR($H$110),"",IF(ISBLANK($H$110),"",$H$110))</f>
        <v/>
      </c>
      <c r="AE110" s="2">
        <f>IF(ISERROR($I$110),"",IF(ISBLANK($I$110),"",$I$110))</f>
        <v/>
      </c>
      <c r="AF110" s="2">
        <f>IF(ISERROR($J$110),"",IF(ISBLANK($J$110),"",$J$110))</f>
        <v/>
      </c>
      <c r="AG110" s="2">
        <f>ISERROR($B$110)*1+ISERROR($C$110)*1+ISERROR($D$110)*1+ISERROR($E$110)*1+ISERROR($F$110)*1+ISERROR($G$110)*1+ISERROR($H$110)*1+ISERROR($I$110)*1+ISERROR($J$110)*1</f>
        <v/>
      </c>
    </row>
    <row r="111" ht="26" customHeight="1">
      <c r="B111" s="35" t="n"/>
      <c r="C111" s="29" t="n"/>
      <c r="D111" s="29" t="n"/>
      <c r="E111" s="29" t="n"/>
      <c r="F111" s="29" t="n"/>
      <c r="G111" s="29" t="n"/>
      <c r="H111" s="29" t="n"/>
      <c r="I111" s="29" t="n"/>
      <c r="J111" s="29" t="n"/>
      <c r="K111" s="19">
        <f>IF(AG111&gt;0,"O Google leu como fórmula: escolha de novo ou digite com ' na frente.","")</f>
        <v/>
      </c>
      <c r="N111" s="2">
        <f>N110+IF(LEN($X$111)&gt;0,1,0)</f>
        <v/>
      </c>
      <c r="O111" s="2">
        <f>O110+IF(LEN($Y$111)&gt;0,1,0)</f>
        <v/>
      </c>
      <c r="P111" s="2">
        <f>P110+IF(LEN($Z$111)&gt;0,1,0)</f>
        <v/>
      </c>
      <c r="Q111" s="2">
        <f>Q110+IF(LEN($AA$111)&gt;0,1,0)</f>
        <v/>
      </c>
      <c r="R111" s="2">
        <f>R110+IF(LEN($AB$111)&gt;0,1,0)</f>
        <v/>
      </c>
      <c r="S111" s="2">
        <f>S110+IF(LEN($AC$111)&gt;0,1,0)</f>
        <v/>
      </c>
      <c r="T111" s="2">
        <f>T110+IF(LEN($AD$111)&gt;0,1,0)</f>
        <v/>
      </c>
      <c r="U111" s="2">
        <f>U110+IF(LEN($AE$111)&gt;0,1,0)</f>
        <v/>
      </c>
      <c r="X111" s="2">
        <f>IF(ISERROR($B$111),"",IF(ISBLANK($B$111),"",$B$111))</f>
        <v/>
      </c>
      <c r="Y111" s="2">
        <f>IF(ISERROR($C$111),"",IF(ISBLANK($C$111),"",$C$111))</f>
        <v/>
      </c>
      <c r="Z111" s="2">
        <f>IF(ISERROR($D$111),"",IF(ISBLANK($D$111),"",$D$111))</f>
        <v/>
      </c>
      <c r="AA111" s="2">
        <f>IF(ISERROR($E$111),"",IF(ISBLANK($E$111),"",$E$111))</f>
        <v/>
      </c>
      <c r="AB111" s="2">
        <f>IF(ISERROR($F$111),"",IF(ISBLANK($F$111),"",$F$111))</f>
        <v/>
      </c>
      <c r="AC111" s="2">
        <f>IF(ISERROR($G$111),"",IF(ISBLANK($G$111),"",$G$111))</f>
        <v/>
      </c>
      <c r="AD111" s="2">
        <f>IF(ISERROR($H$111),"",IF(ISBLANK($H$111),"",$H$111))</f>
        <v/>
      </c>
      <c r="AE111" s="2">
        <f>IF(ISERROR($I$111),"",IF(ISBLANK($I$111),"",$I$111))</f>
        <v/>
      </c>
      <c r="AF111" s="2">
        <f>IF(ISERROR($J$111),"",IF(ISBLANK($J$111),"",$J$111))</f>
        <v/>
      </c>
      <c r="AG111" s="2">
        <f>ISERROR($B$111)*1+ISERROR($C$111)*1+ISERROR($D$111)*1+ISERROR($E$111)*1+ISERROR($F$111)*1+ISERROR($G$111)*1+ISERROR($H$111)*1+ISERROR($I$111)*1+ISERROR($J$111)*1</f>
        <v/>
      </c>
    </row>
    <row r="112" ht="26" customHeight="1">
      <c r="B112" s="33" t="n"/>
      <c r="C112" s="4" t="n"/>
      <c r="D112" s="4" t="n"/>
      <c r="E112" s="4" t="n"/>
      <c r="F112" s="4" t="n"/>
      <c r="G112" s="4" t="n"/>
      <c r="H112" s="4" t="n"/>
      <c r="I112" s="4" t="n"/>
      <c r="J112" s="4" t="n"/>
      <c r="K112" s="19">
        <f>IF(AG112&gt;0,"O Google leu como fórmula: escolha de novo ou digite com ' na frente.","")</f>
        <v/>
      </c>
      <c r="N112" s="2">
        <f>N111+IF(LEN($X$112)&gt;0,1,0)</f>
        <v/>
      </c>
      <c r="O112" s="2">
        <f>O111+IF(LEN($Y$112)&gt;0,1,0)</f>
        <v/>
      </c>
      <c r="P112" s="2">
        <f>P111+IF(LEN($Z$112)&gt;0,1,0)</f>
        <v/>
      </c>
      <c r="Q112" s="2">
        <f>Q111+IF(LEN($AA$112)&gt;0,1,0)</f>
        <v/>
      </c>
      <c r="R112" s="2">
        <f>R111+IF(LEN($AB$112)&gt;0,1,0)</f>
        <v/>
      </c>
      <c r="S112" s="2">
        <f>S111+IF(LEN($AC$112)&gt;0,1,0)</f>
        <v/>
      </c>
      <c r="T112" s="2">
        <f>T111+IF(LEN($AD$112)&gt;0,1,0)</f>
        <v/>
      </c>
      <c r="U112" s="2">
        <f>U111+IF(LEN($AE$112)&gt;0,1,0)</f>
        <v/>
      </c>
      <c r="X112" s="2">
        <f>IF(ISERROR($B$112),"",IF(ISBLANK($B$112),"",$B$112))</f>
        <v/>
      </c>
      <c r="Y112" s="2">
        <f>IF(ISERROR($C$112),"",IF(ISBLANK($C$112),"",$C$112))</f>
        <v/>
      </c>
      <c r="Z112" s="2">
        <f>IF(ISERROR($D$112),"",IF(ISBLANK($D$112),"",$D$112))</f>
        <v/>
      </c>
      <c r="AA112" s="2">
        <f>IF(ISERROR($E$112),"",IF(ISBLANK($E$112),"",$E$112))</f>
        <v/>
      </c>
      <c r="AB112" s="2">
        <f>IF(ISERROR($F$112),"",IF(ISBLANK($F$112),"",$F$112))</f>
        <v/>
      </c>
      <c r="AC112" s="2">
        <f>IF(ISERROR($G$112),"",IF(ISBLANK($G$112),"",$G$112))</f>
        <v/>
      </c>
      <c r="AD112" s="2">
        <f>IF(ISERROR($H$112),"",IF(ISBLANK($H$112),"",$H$112))</f>
        <v/>
      </c>
      <c r="AE112" s="2">
        <f>IF(ISERROR($I$112),"",IF(ISBLANK($I$112),"",$I$112))</f>
        <v/>
      </c>
      <c r="AF112" s="2">
        <f>IF(ISERROR($J$112),"",IF(ISBLANK($J$112),"",$J$112))</f>
        <v/>
      </c>
      <c r="AG112" s="2">
        <f>ISERROR($B$112)*1+ISERROR($C$112)*1+ISERROR($D$112)*1+ISERROR($E$112)*1+ISERROR($F$112)*1+ISERROR($G$112)*1+ISERROR($H$112)*1+ISERROR($I$112)*1+ISERROR($J$112)*1</f>
        <v/>
      </c>
    </row>
    <row r="113" ht="26" customHeight="1">
      <c r="B113" s="35" t="n"/>
      <c r="C113" s="29" t="n"/>
      <c r="D113" s="29" t="n"/>
      <c r="E113" s="29" t="n"/>
      <c r="F113" s="29" t="n"/>
      <c r="G113" s="29" t="n"/>
      <c r="H113" s="29" t="n"/>
      <c r="I113" s="29" t="n"/>
      <c r="J113" s="29" t="n"/>
      <c r="K113" s="19">
        <f>IF(AG113&gt;0,"O Google leu como fórmula: escolha de novo ou digite com ' na frente.","")</f>
        <v/>
      </c>
      <c r="N113" s="2">
        <f>N112+IF(LEN($X$113)&gt;0,1,0)</f>
        <v/>
      </c>
      <c r="O113" s="2">
        <f>O112+IF(LEN($Y$113)&gt;0,1,0)</f>
        <v/>
      </c>
      <c r="P113" s="2">
        <f>P112+IF(LEN($Z$113)&gt;0,1,0)</f>
        <v/>
      </c>
      <c r="Q113" s="2">
        <f>Q112+IF(LEN($AA$113)&gt;0,1,0)</f>
        <v/>
      </c>
      <c r="R113" s="2">
        <f>R112+IF(LEN($AB$113)&gt;0,1,0)</f>
        <v/>
      </c>
      <c r="S113" s="2">
        <f>S112+IF(LEN($AC$113)&gt;0,1,0)</f>
        <v/>
      </c>
      <c r="T113" s="2">
        <f>T112+IF(LEN($AD$113)&gt;0,1,0)</f>
        <v/>
      </c>
      <c r="U113" s="2">
        <f>U112+IF(LEN($AE$113)&gt;0,1,0)</f>
        <v/>
      </c>
      <c r="X113" s="2">
        <f>IF(ISERROR($B$113),"",IF(ISBLANK($B$113),"",$B$113))</f>
        <v/>
      </c>
      <c r="Y113" s="2">
        <f>IF(ISERROR($C$113),"",IF(ISBLANK($C$113),"",$C$113))</f>
        <v/>
      </c>
      <c r="Z113" s="2">
        <f>IF(ISERROR($D$113),"",IF(ISBLANK($D$113),"",$D$113))</f>
        <v/>
      </c>
      <c r="AA113" s="2">
        <f>IF(ISERROR($E$113),"",IF(ISBLANK($E$113),"",$E$113))</f>
        <v/>
      </c>
      <c r="AB113" s="2">
        <f>IF(ISERROR($F$113),"",IF(ISBLANK($F$113),"",$F$113))</f>
        <v/>
      </c>
      <c r="AC113" s="2">
        <f>IF(ISERROR($G$113),"",IF(ISBLANK($G$113),"",$G$113))</f>
        <v/>
      </c>
      <c r="AD113" s="2">
        <f>IF(ISERROR($H$113),"",IF(ISBLANK($H$113),"",$H$113))</f>
        <v/>
      </c>
      <c r="AE113" s="2">
        <f>IF(ISERROR($I$113),"",IF(ISBLANK($I$113),"",$I$113))</f>
        <v/>
      </c>
      <c r="AF113" s="2">
        <f>IF(ISERROR($J$113),"",IF(ISBLANK($J$113),"",$J$113))</f>
        <v/>
      </c>
      <c r="AG113" s="2">
        <f>ISERROR($B$113)*1+ISERROR($C$113)*1+ISERROR($D$113)*1+ISERROR($E$113)*1+ISERROR($F$113)*1+ISERROR($G$113)*1+ISERROR($H$113)*1+ISERROR($I$113)*1+ISERROR($J$113)*1</f>
        <v/>
      </c>
    </row>
    <row r="114" ht="26" customHeight="1">
      <c r="B114" s="33" t="n"/>
      <c r="C114" s="4" t="n"/>
      <c r="D114" s="4" t="n"/>
      <c r="E114" s="4" t="n"/>
      <c r="F114" s="4" t="n"/>
      <c r="G114" s="4" t="n"/>
      <c r="H114" s="4" t="n"/>
      <c r="I114" s="4" t="n"/>
      <c r="J114" s="4" t="n"/>
      <c r="K114" s="19">
        <f>IF(AG114&gt;0,"O Google leu como fórmula: escolha de novo ou digite com ' na frente.","")</f>
        <v/>
      </c>
      <c r="N114" s="2">
        <f>N113+IF(LEN($X$114)&gt;0,1,0)</f>
        <v/>
      </c>
      <c r="O114" s="2">
        <f>O113+IF(LEN($Y$114)&gt;0,1,0)</f>
        <v/>
      </c>
      <c r="P114" s="2">
        <f>P113+IF(LEN($Z$114)&gt;0,1,0)</f>
        <v/>
      </c>
      <c r="Q114" s="2">
        <f>Q113+IF(LEN($AA$114)&gt;0,1,0)</f>
        <v/>
      </c>
      <c r="R114" s="2">
        <f>R113+IF(LEN($AB$114)&gt;0,1,0)</f>
        <v/>
      </c>
      <c r="S114" s="2">
        <f>S113+IF(LEN($AC$114)&gt;0,1,0)</f>
        <v/>
      </c>
      <c r="T114" s="2">
        <f>T113+IF(LEN($AD$114)&gt;0,1,0)</f>
        <v/>
      </c>
      <c r="U114" s="2">
        <f>U113+IF(LEN($AE$114)&gt;0,1,0)</f>
        <v/>
      </c>
      <c r="X114" s="2">
        <f>IF(ISERROR($B$114),"",IF(ISBLANK($B$114),"",$B$114))</f>
        <v/>
      </c>
      <c r="Y114" s="2">
        <f>IF(ISERROR($C$114),"",IF(ISBLANK($C$114),"",$C$114))</f>
        <v/>
      </c>
      <c r="Z114" s="2">
        <f>IF(ISERROR($D$114),"",IF(ISBLANK($D$114),"",$D$114))</f>
        <v/>
      </c>
      <c r="AA114" s="2">
        <f>IF(ISERROR($E$114),"",IF(ISBLANK($E$114),"",$E$114))</f>
        <v/>
      </c>
      <c r="AB114" s="2">
        <f>IF(ISERROR($F$114),"",IF(ISBLANK($F$114),"",$F$114))</f>
        <v/>
      </c>
      <c r="AC114" s="2">
        <f>IF(ISERROR($G$114),"",IF(ISBLANK($G$114),"",$G$114))</f>
        <v/>
      </c>
      <c r="AD114" s="2">
        <f>IF(ISERROR($H$114),"",IF(ISBLANK($H$114),"",$H$114))</f>
        <v/>
      </c>
      <c r="AE114" s="2">
        <f>IF(ISERROR($I$114),"",IF(ISBLANK($I$114),"",$I$114))</f>
        <v/>
      </c>
      <c r="AF114" s="2">
        <f>IF(ISERROR($J$114),"",IF(ISBLANK($J$114),"",$J$114))</f>
        <v/>
      </c>
      <c r="AG114" s="2">
        <f>ISERROR($B$114)*1+ISERROR($C$114)*1+ISERROR($D$114)*1+ISERROR($E$114)*1+ISERROR($F$114)*1+ISERROR($G$114)*1+ISERROR($H$114)*1+ISERROR($I$114)*1+ISERROR($J$114)*1</f>
        <v/>
      </c>
    </row>
    <row r="115" ht="26" customHeight="1">
      <c r="B115" s="35" t="n"/>
      <c r="C115" s="29" t="n"/>
      <c r="D115" s="29" t="n"/>
      <c r="E115" s="29" t="n"/>
      <c r="F115" s="29" t="n"/>
      <c r="G115" s="29" t="n"/>
      <c r="H115" s="29" t="n"/>
      <c r="I115" s="29" t="n"/>
      <c r="J115" s="29" t="n"/>
      <c r="K115" s="19">
        <f>IF(AG115&gt;0,"O Google leu como fórmula: escolha de novo ou digite com ' na frente.","")</f>
        <v/>
      </c>
      <c r="N115" s="2">
        <f>N114+IF(LEN($X$115)&gt;0,1,0)</f>
        <v/>
      </c>
      <c r="O115" s="2">
        <f>O114+IF(LEN($Y$115)&gt;0,1,0)</f>
        <v/>
      </c>
      <c r="P115" s="2">
        <f>P114+IF(LEN($Z$115)&gt;0,1,0)</f>
        <v/>
      </c>
      <c r="Q115" s="2">
        <f>Q114+IF(LEN($AA$115)&gt;0,1,0)</f>
        <v/>
      </c>
      <c r="R115" s="2">
        <f>R114+IF(LEN($AB$115)&gt;0,1,0)</f>
        <v/>
      </c>
      <c r="S115" s="2">
        <f>S114+IF(LEN($AC$115)&gt;0,1,0)</f>
        <v/>
      </c>
      <c r="T115" s="2">
        <f>T114+IF(LEN($AD$115)&gt;0,1,0)</f>
        <v/>
      </c>
      <c r="U115" s="2">
        <f>U114+IF(LEN($AE$115)&gt;0,1,0)</f>
        <v/>
      </c>
      <c r="X115" s="2">
        <f>IF(ISERROR($B$115),"",IF(ISBLANK($B$115),"",$B$115))</f>
        <v/>
      </c>
      <c r="Y115" s="2">
        <f>IF(ISERROR($C$115),"",IF(ISBLANK($C$115),"",$C$115))</f>
        <v/>
      </c>
      <c r="Z115" s="2">
        <f>IF(ISERROR($D$115),"",IF(ISBLANK($D$115),"",$D$115))</f>
        <v/>
      </c>
      <c r="AA115" s="2">
        <f>IF(ISERROR($E$115),"",IF(ISBLANK($E$115),"",$E$115))</f>
        <v/>
      </c>
      <c r="AB115" s="2">
        <f>IF(ISERROR($F$115),"",IF(ISBLANK($F$115),"",$F$115))</f>
        <v/>
      </c>
      <c r="AC115" s="2">
        <f>IF(ISERROR($G$115),"",IF(ISBLANK($G$115),"",$G$115))</f>
        <v/>
      </c>
      <c r="AD115" s="2">
        <f>IF(ISERROR($H$115),"",IF(ISBLANK($H$115),"",$H$115))</f>
        <v/>
      </c>
      <c r="AE115" s="2">
        <f>IF(ISERROR($I$115),"",IF(ISBLANK($I$115),"",$I$115))</f>
        <v/>
      </c>
      <c r="AF115" s="2">
        <f>IF(ISERROR($J$115),"",IF(ISBLANK($J$115),"",$J$115))</f>
        <v/>
      </c>
      <c r="AG115" s="2">
        <f>ISERROR($B$115)*1+ISERROR($C$115)*1+ISERROR($D$115)*1+ISERROR($E$115)*1+ISERROR($F$115)*1+ISERROR($G$115)*1+ISERROR($H$115)*1+ISERROR($I$115)*1+ISERROR($J$115)*1</f>
        <v/>
      </c>
    </row>
    <row r="116" ht="26" customHeight="1">
      <c r="B116" s="33" t="n"/>
      <c r="C116" s="4" t="n"/>
      <c r="D116" s="4" t="n"/>
      <c r="E116" s="4" t="n"/>
      <c r="F116" s="4" t="n"/>
      <c r="G116" s="4" t="n"/>
      <c r="H116" s="4" t="n"/>
      <c r="I116" s="4" t="n"/>
      <c r="J116" s="4" t="n"/>
      <c r="K116" s="19">
        <f>IF(AG116&gt;0,"O Google leu como fórmula: escolha de novo ou digite com ' na frente.","")</f>
        <v/>
      </c>
      <c r="N116" s="2">
        <f>N115+IF(LEN($X$116)&gt;0,1,0)</f>
        <v/>
      </c>
      <c r="O116" s="2">
        <f>O115+IF(LEN($Y$116)&gt;0,1,0)</f>
        <v/>
      </c>
      <c r="P116" s="2">
        <f>P115+IF(LEN($Z$116)&gt;0,1,0)</f>
        <v/>
      </c>
      <c r="Q116" s="2">
        <f>Q115+IF(LEN($AA$116)&gt;0,1,0)</f>
        <v/>
      </c>
      <c r="R116" s="2">
        <f>R115+IF(LEN($AB$116)&gt;0,1,0)</f>
        <v/>
      </c>
      <c r="S116" s="2">
        <f>S115+IF(LEN($AC$116)&gt;0,1,0)</f>
        <v/>
      </c>
      <c r="T116" s="2">
        <f>T115+IF(LEN($AD$116)&gt;0,1,0)</f>
        <v/>
      </c>
      <c r="U116" s="2">
        <f>U115+IF(LEN($AE$116)&gt;0,1,0)</f>
        <v/>
      </c>
      <c r="X116" s="2">
        <f>IF(ISERROR($B$116),"",IF(ISBLANK($B$116),"",$B$116))</f>
        <v/>
      </c>
      <c r="Y116" s="2">
        <f>IF(ISERROR($C$116),"",IF(ISBLANK($C$116),"",$C$116))</f>
        <v/>
      </c>
      <c r="Z116" s="2">
        <f>IF(ISERROR($D$116),"",IF(ISBLANK($D$116),"",$D$116))</f>
        <v/>
      </c>
      <c r="AA116" s="2">
        <f>IF(ISERROR($E$116),"",IF(ISBLANK($E$116),"",$E$116))</f>
        <v/>
      </c>
      <c r="AB116" s="2">
        <f>IF(ISERROR($F$116),"",IF(ISBLANK($F$116),"",$F$116))</f>
        <v/>
      </c>
      <c r="AC116" s="2">
        <f>IF(ISERROR($G$116),"",IF(ISBLANK($G$116),"",$G$116))</f>
        <v/>
      </c>
      <c r="AD116" s="2">
        <f>IF(ISERROR($H$116),"",IF(ISBLANK($H$116),"",$H$116))</f>
        <v/>
      </c>
      <c r="AE116" s="2">
        <f>IF(ISERROR($I$116),"",IF(ISBLANK($I$116),"",$I$116))</f>
        <v/>
      </c>
      <c r="AF116" s="2">
        <f>IF(ISERROR($J$116),"",IF(ISBLANK($J$116),"",$J$116))</f>
        <v/>
      </c>
      <c r="AG116" s="2">
        <f>ISERROR($B$116)*1+ISERROR($C$116)*1+ISERROR($D$116)*1+ISERROR($E$116)*1+ISERROR($F$116)*1+ISERROR($G$116)*1+ISERROR($H$116)*1+ISERROR($I$116)*1+ISERROR($J$116)*1</f>
        <v/>
      </c>
    </row>
    <row r="117" ht="26" customHeight="1">
      <c r="B117" s="35" t="n"/>
      <c r="C117" s="29" t="n"/>
      <c r="D117" s="29" t="n"/>
      <c r="E117" s="29" t="n"/>
      <c r="F117" s="29" t="n"/>
      <c r="G117" s="29" t="n"/>
      <c r="H117" s="29" t="n"/>
      <c r="I117" s="29" t="n"/>
      <c r="J117" s="29" t="n"/>
      <c r="K117" s="19">
        <f>IF(AG117&gt;0,"O Google leu como fórmula: escolha de novo ou digite com ' na frente.","")</f>
        <v/>
      </c>
      <c r="N117" s="2">
        <f>N116+IF(LEN($X$117)&gt;0,1,0)</f>
        <v/>
      </c>
      <c r="O117" s="2">
        <f>O116+IF(LEN($Y$117)&gt;0,1,0)</f>
        <v/>
      </c>
      <c r="P117" s="2">
        <f>P116+IF(LEN($Z$117)&gt;0,1,0)</f>
        <v/>
      </c>
      <c r="Q117" s="2">
        <f>Q116+IF(LEN($AA$117)&gt;0,1,0)</f>
        <v/>
      </c>
      <c r="R117" s="2">
        <f>R116+IF(LEN($AB$117)&gt;0,1,0)</f>
        <v/>
      </c>
      <c r="S117" s="2">
        <f>S116+IF(LEN($AC$117)&gt;0,1,0)</f>
        <v/>
      </c>
      <c r="T117" s="2">
        <f>T116+IF(LEN($AD$117)&gt;0,1,0)</f>
        <v/>
      </c>
      <c r="U117" s="2">
        <f>U116+IF(LEN($AE$117)&gt;0,1,0)</f>
        <v/>
      </c>
      <c r="X117" s="2">
        <f>IF(ISERROR($B$117),"",IF(ISBLANK($B$117),"",$B$117))</f>
        <v/>
      </c>
      <c r="Y117" s="2">
        <f>IF(ISERROR($C$117),"",IF(ISBLANK($C$117),"",$C$117))</f>
        <v/>
      </c>
      <c r="Z117" s="2">
        <f>IF(ISERROR($D$117),"",IF(ISBLANK($D$117),"",$D$117))</f>
        <v/>
      </c>
      <c r="AA117" s="2">
        <f>IF(ISERROR($E$117),"",IF(ISBLANK($E$117),"",$E$117))</f>
        <v/>
      </c>
      <c r="AB117" s="2">
        <f>IF(ISERROR($F$117),"",IF(ISBLANK($F$117),"",$F$117))</f>
        <v/>
      </c>
      <c r="AC117" s="2">
        <f>IF(ISERROR($G$117),"",IF(ISBLANK($G$117),"",$G$117))</f>
        <v/>
      </c>
      <c r="AD117" s="2">
        <f>IF(ISERROR($H$117),"",IF(ISBLANK($H$117),"",$H$117))</f>
        <v/>
      </c>
      <c r="AE117" s="2">
        <f>IF(ISERROR($I$117),"",IF(ISBLANK($I$117),"",$I$117))</f>
        <v/>
      </c>
      <c r="AF117" s="2">
        <f>IF(ISERROR($J$117),"",IF(ISBLANK($J$117),"",$J$117))</f>
        <v/>
      </c>
      <c r="AG117" s="2">
        <f>ISERROR($B$117)*1+ISERROR($C$117)*1+ISERROR($D$117)*1+ISERROR($E$117)*1+ISERROR($F$117)*1+ISERROR($G$117)*1+ISERROR($H$117)*1+ISERROR($I$117)*1+ISERROR($J$117)*1</f>
        <v/>
      </c>
    </row>
    <row r="118" ht="26" customHeight="1">
      <c r="B118" s="33" t="n"/>
      <c r="C118" s="4" t="n"/>
      <c r="D118" s="4" t="n"/>
      <c r="E118" s="4" t="n"/>
      <c r="F118" s="4" t="n"/>
      <c r="G118" s="4" t="n"/>
      <c r="H118" s="4" t="n"/>
      <c r="I118" s="4" t="n"/>
      <c r="J118" s="4" t="n"/>
      <c r="K118" s="19">
        <f>IF(AG118&gt;0,"O Google leu como fórmula: escolha de novo ou digite com ' na frente.","")</f>
        <v/>
      </c>
      <c r="N118" s="2">
        <f>N117+IF(LEN($X$118)&gt;0,1,0)</f>
        <v/>
      </c>
      <c r="O118" s="2">
        <f>O117+IF(LEN($Y$118)&gt;0,1,0)</f>
        <v/>
      </c>
      <c r="P118" s="2">
        <f>P117+IF(LEN($Z$118)&gt;0,1,0)</f>
        <v/>
      </c>
      <c r="Q118" s="2">
        <f>Q117+IF(LEN($AA$118)&gt;0,1,0)</f>
        <v/>
      </c>
      <c r="R118" s="2">
        <f>R117+IF(LEN($AB$118)&gt;0,1,0)</f>
        <v/>
      </c>
      <c r="S118" s="2">
        <f>S117+IF(LEN($AC$118)&gt;0,1,0)</f>
        <v/>
      </c>
      <c r="T118" s="2">
        <f>T117+IF(LEN($AD$118)&gt;0,1,0)</f>
        <v/>
      </c>
      <c r="U118" s="2">
        <f>U117+IF(LEN($AE$118)&gt;0,1,0)</f>
        <v/>
      </c>
      <c r="X118" s="2">
        <f>IF(ISERROR($B$118),"",IF(ISBLANK($B$118),"",$B$118))</f>
        <v/>
      </c>
      <c r="Y118" s="2">
        <f>IF(ISERROR($C$118),"",IF(ISBLANK($C$118),"",$C$118))</f>
        <v/>
      </c>
      <c r="Z118" s="2">
        <f>IF(ISERROR($D$118),"",IF(ISBLANK($D$118),"",$D$118))</f>
        <v/>
      </c>
      <c r="AA118" s="2">
        <f>IF(ISERROR($E$118),"",IF(ISBLANK($E$118),"",$E$118))</f>
        <v/>
      </c>
      <c r="AB118" s="2">
        <f>IF(ISERROR($F$118),"",IF(ISBLANK($F$118),"",$F$118))</f>
        <v/>
      </c>
      <c r="AC118" s="2">
        <f>IF(ISERROR($G$118),"",IF(ISBLANK($G$118),"",$G$118))</f>
        <v/>
      </c>
      <c r="AD118" s="2">
        <f>IF(ISERROR($H$118),"",IF(ISBLANK($H$118),"",$H$118))</f>
        <v/>
      </c>
      <c r="AE118" s="2">
        <f>IF(ISERROR($I$118),"",IF(ISBLANK($I$118),"",$I$118))</f>
        <v/>
      </c>
      <c r="AF118" s="2">
        <f>IF(ISERROR($J$118),"",IF(ISBLANK($J$118),"",$J$118))</f>
        <v/>
      </c>
      <c r="AG118" s="2">
        <f>ISERROR($B$118)*1+ISERROR($C$118)*1+ISERROR($D$118)*1+ISERROR($E$118)*1+ISERROR($F$118)*1+ISERROR($G$118)*1+ISERROR($H$118)*1+ISERROR($I$118)*1+ISERROR($J$118)*1</f>
        <v/>
      </c>
    </row>
    <row r="119"/>
    <row r="120" ht="20" customHeight="1">
      <c r="A120" s="13" t="inlineStr">
        <is>
          <t>Nomes por cultura (05) — Sugestão da planilha; ficam fora da ortografia — 100 vagas por lista</t>
        </is>
      </c>
    </row>
    <row r="121">
      <c r="A121" s="12" t="inlineStr">
        <is>
          <t>Apague para trocar, use as vagas vazias para ampliar. Não insira linhas: o contador corrido pularia a linha nova.</t>
        </is>
      </c>
    </row>
    <row r="122">
      <c r="A122" s="8" t="inlineStr">
        <is>
          <t>Lista</t>
        </is>
      </c>
      <c r="B122" s="8" t="inlineStr">
        <is>
          <t>Nome — Humano</t>
        </is>
      </c>
      <c r="C122" s="8" t="inlineStr">
        <is>
          <t>Nome — Xianzhouíta</t>
        </is>
      </c>
      <c r="D122" s="8" t="inlineStr">
        <is>
          <t>Nome — Vidyadhara</t>
        </is>
      </c>
      <c r="E122" s="8" t="inlineStr">
        <is>
          <t>Nome — Vulpes</t>
        </is>
      </c>
      <c r="F122" s="8" t="inlineStr">
        <is>
          <t>Nome — Haloviano</t>
        </is>
      </c>
      <c r="G122" s="8" t="inlineStr">
        <is>
          <t>Nome — Avginiano</t>
        </is>
      </c>
      <c r="H122" s="8" t="inlineStr">
        <is>
          <t>Nome — Intellitron</t>
        </is>
      </c>
    </row>
    <row r="123" ht="26" customHeight="1">
      <c r="A123" s="9" t="inlineStr">
        <is>
          <t>Fonte</t>
        </is>
      </c>
      <c r="B123" s="14" t="inlineStr">
        <is>
          <t>Sugestão da planilha (estilo de 05, Humano)</t>
        </is>
      </c>
      <c r="C123" s="14" t="inlineStr">
        <is>
          <t>Sugestão da planilha (estilo de 05, Xianzhouíta)</t>
        </is>
      </c>
      <c r="D123" s="14" t="inlineStr">
        <is>
          <t>Sugestão da planilha (estilo de 05, Vidyadhara)</t>
        </is>
      </c>
      <c r="E123" s="14" t="inlineStr">
        <is>
          <t>Sugestão da planilha (estilo de 05, Vulpes)</t>
        </is>
      </c>
      <c r="F123" s="14" t="inlineStr">
        <is>
          <t>Sugestão da planilha (estilo de 05, Haloviano)</t>
        </is>
      </c>
      <c r="G123" s="14" t="inlineStr">
        <is>
          <t>Sugestão da planilha (estilo de 05, Avginiano)</t>
        </is>
      </c>
      <c r="H123" s="14" t="inlineStr">
        <is>
          <t>Sugestão da planilha (estilo de 05, Intellitron)</t>
        </is>
      </c>
    </row>
    <row r="124" ht="26" customHeight="1">
      <c r="A124" s="21" t="inlineStr">
        <is>
          <t>Tamanho da lista</t>
        </is>
      </c>
      <c r="B124" s="23">
        <f>N233</f>
        <v/>
      </c>
      <c r="C124" s="23">
        <f>O233</f>
        <v/>
      </c>
      <c r="D124" s="23">
        <f>P233</f>
        <v/>
      </c>
      <c r="E124" s="23">
        <f>Q233</f>
        <v/>
      </c>
      <c r="F124" s="23">
        <f>R233</f>
        <v/>
      </c>
      <c r="G124" s="23">
        <f>S233</f>
        <v/>
      </c>
      <c r="H124" s="23">
        <f>T233</f>
        <v/>
      </c>
    </row>
    <row r="125" ht="26" customHeight="1">
      <c r="A125" s="9" t="inlineStr">
        <is>
          <t>Aviso</t>
        </is>
      </c>
      <c r="B125" s="19">
        <f>IF(N233&gt;=100,"Lista cheia (100): use Minhas Tabelas para uma lista maior","")</f>
        <v/>
      </c>
      <c r="C125" s="19">
        <f>IF(O233&gt;=100,"Lista cheia (100): use Minhas Tabelas para uma lista maior","")</f>
        <v/>
      </c>
      <c r="D125" s="19">
        <f>IF(P233&gt;=100,"Lista cheia (100): use Minhas Tabelas para uma lista maior","")</f>
        <v/>
      </c>
      <c r="E125" s="19">
        <f>IF(Q233&gt;=100,"Lista cheia (100): use Minhas Tabelas para uma lista maior","")</f>
        <v/>
      </c>
      <c r="F125" s="19">
        <f>IF(R233&gt;=100,"Lista cheia (100): use Minhas Tabelas para uma lista maior","")</f>
        <v/>
      </c>
      <c r="G125" s="19">
        <f>IF(S233&gt;=100,"Lista cheia (100): use Minhas Tabelas para uma lista maior","")</f>
        <v/>
      </c>
      <c r="H125" s="19">
        <f>IF(T233&gt;=100,"Lista cheia (100): use Minhas Tabelas para uma lista maior","")</f>
        <v/>
      </c>
    </row>
    <row r="126" ht="15" customHeight="1">
      <c r="B126" s="8" t="inlineStr">
        <is>
          <t>Nome — Humano</t>
        </is>
      </c>
      <c r="C126" s="8" t="inlineStr">
        <is>
          <t>Nome — Xianzhouíta</t>
        </is>
      </c>
      <c r="D126" s="8" t="inlineStr">
        <is>
          <t>Nome — Vidyadhara</t>
        </is>
      </c>
      <c r="E126" s="8" t="inlineStr">
        <is>
          <t>Nome — Vulpes</t>
        </is>
      </c>
      <c r="F126" s="8" t="inlineStr">
        <is>
          <t>Nome — Haloviano</t>
        </is>
      </c>
      <c r="G126" s="8" t="inlineStr">
        <is>
          <t>Nome — Avginiano</t>
        </is>
      </c>
      <c r="H126" s="8" t="inlineStr">
        <is>
          <t>Nome — Intellitron</t>
        </is>
      </c>
      <c r="N126" s="2">
        <f>0</f>
        <v/>
      </c>
      <c r="O126" s="2">
        <f>0</f>
        <v/>
      </c>
      <c r="P126" s="2">
        <f>0</f>
        <v/>
      </c>
      <c r="Q126" s="2">
        <f>0</f>
        <v/>
      </c>
      <c r="R126" s="2">
        <f>0</f>
        <v/>
      </c>
      <c r="S126" s="2">
        <f>0</f>
        <v/>
      </c>
      <c r="T126" s="2">
        <f>0</f>
        <v/>
      </c>
    </row>
    <row r="127" ht="26" customHeight="1">
      <c r="B127" s="33" t="inlineStr">
        <is>
          <t>Teodora</t>
        </is>
      </c>
      <c r="C127" s="4" t="inlineStr">
        <is>
          <t>Wenshu</t>
        </is>
      </c>
      <c r="D127" s="4" t="inlineStr">
        <is>
          <t>Chaoyinhe</t>
        </is>
      </c>
      <c r="E127" s="4" t="inlineStr">
        <is>
          <t>Rin</t>
        </is>
      </c>
      <c r="F127" s="4" t="inlineStr">
        <is>
          <t>Aelia</t>
        </is>
      </c>
      <c r="G127" s="4" t="inlineStr">
        <is>
          <t>Kesh</t>
        </is>
      </c>
      <c r="H127" s="4" t="inlineStr">
        <is>
          <t>AT-07</t>
        </is>
      </c>
      <c r="K127" s="19">
        <f>IF(AG127&gt;0,"O Google leu como fórmula: digite de novo com ' na frente.","")</f>
        <v/>
      </c>
      <c r="N127" s="2">
        <f>N126+IF(LEN($X$127)&gt;0,1,0)</f>
        <v/>
      </c>
      <c r="O127" s="2">
        <f>O126+IF(LEN($Y$127)&gt;0,1,0)</f>
        <v/>
      </c>
      <c r="P127" s="2">
        <f>P126+IF(LEN($Z$127)&gt;0,1,0)</f>
        <v/>
      </c>
      <c r="Q127" s="2">
        <f>Q126+IF(LEN($AA$127)&gt;0,1,0)</f>
        <v/>
      </c>
      <c r="R127" s="2">
        <f>R126+IF(LEN($AB$127)&gt;0,1,0)</f>
        <v/>
      </c>
      <c r="S127" s="2">
        <f>S126+IF(LEN($AC$127)&gt;0,1,0)</f>
        <v/>
      </c>
      <c r="T127" s="2">
        <f>T126+IF(LEN($AD$127)&gt;0,1,0)</f>
        <v/>
      </c>
      <c r="X127" s="2">
        <f>IF(ISERROR($B$127),"",IF(ISBLANK($B$127),"",$B$127))</f>
        <v/>
      </c>
      <c r="Y127" s="2">
        <f>IF(ISERROR($C$127),"",IF(ISBLANK($C$127),"",$C$127))</f>
        <v/>
      </c>
      <c r="Z127" s="2">
        <f>IF(ISERROR($D$127),"",IF(ISBLANK($D$127),"",$D$127))</f>
        <v/>
      </c>
      <c r="AA127" s="2">
        <f>IF(ISERROR($E$127),"",IF(ISBLANK($E$127),"",$E$127))</f>
        <v/>
      </c>
      <c r="AB127" s="2">
        <f>IF(ISERROR($F$127),"",IF(ISBLANK($F$127),"",$F$127))</f>
        <v/>
      </c>
      <c r="AC127" s="2">
        <f>IF(ISERROR($G$127),"",IF(ISBLANK($G$127),"",$G$127))</f>
        <v/>
      </c>
      <c r="AD127" s="2">
        <f>IF(ISERROR($H$127),"",IF(ISBLANK($H$127),"",$H$127))</f>
        <v/>
      </c>
      <c r="AG127" s="2">
        <f>ISERROR($B$127)*1+ISERROR($C$127)*1+ISERROR($D$127)*1+ISERROR($E$127)*1+ISERROR($F$127)*1+ISERROR($G$127)*1+ISERROR($H$127)*1</f>
        <v/>
      </c>
    </row>
    <row r="128" ht="26" customHeight="1">
      <c r="B128" s="35" t="inlineStr">
        <is>
          <t>Ilan</t>
        </is>
      </c>
      <c r="C128" s="29" t="inlineStr">
        <is>
          <t>Zhaolin</t>
        </is>
      </c>
      <c r="D128" s="29" t="inlineStr">
        <is>
          <t>Haishenglu</t>
        </is>
      </c>
      <c r="E128" s="29" t="inlineStr">
        <is>
          <t>Kiku</t>
        </is>
      </c>
      <c r="F128" s="29" t="inlineStr">
        <is>
          <t>Ilauna</t>
        </is>
      </c>
      <c r="G128" s="29" t="inlineStr">
        <is>
          <t>Tavi</t>
        </is>
      </c>
      <c r="H128" s="29" t="inlineStr">
        <is>
          <t>RQ-31</t>
        </is>
      </c>
      <c r="K128" s="19">
        <f>IF(AG128&gt;0,"O Google leu como fórmula: digite de novo com ' na frente.","")</f>
        <v/>
      </c>
      <c r="N128" s="2">
        <f>N127+IF(LEN($X$128)&gt;0,1,0)</f>
        <v/>
      </c>
      <c r="O128" s="2">
        <f>O127+IF(LEN($Y$128)&gt;0,1,0)</f>
        <v/>
      </c>
      <c r="P128" s="2">
        <f>P127+IF(LEN($Z$128)&gt;0,1,0)</f>
        <v/>
      </c>
      <c r="Q128" s="2">
        <f>Q127+IF(LEN($AA$128)&gt;0,1,0)</f>
        <v/>
      </c>
      <c r="R128" s="2">
        <f>R127+IF(LEN($AB$128)&gt;0,1,0)</f>
        <v/>
      </c>
      <c r="S128" s="2">
        <f>S127+IF(LEN($AC$128)&gt;0,1,0)</f>
        <v/>
      </c>
      <c r="T128" s="2">
        <f>T127+IF(LEN($AD$128)&gt;0,1,0)</f>
        <v/>
      </c>
      <c r="X128" s="2">
        <f>IF(ISERROR($B$128),"",IF(ISBLANK($B$128),"",$B$128))</f>
        <v/>
      </c>
      <c r="Y128" s="2">
        <f>IF(ISERROR($C$128),"",IF(ISBLANK($C$128),"",$C$128))</f>
        <v/>
      </c>
      <c r="Z128" s="2">
        <f>IF(ISERROR($D$128),"",IF(ISBLANK($D$128),"",$D$128))</f>
        <v/>
      </c>
      <c r="AA128" s="2">
        <f>IF(ISERROR($E$128),"",IF(ISBLANK($E$128),"",$E$128))</f>
        <v/>
      </c>
      <c r="AB128" s="2">
        <f>IF(ISERROR($F$128),"",IF(ISBLANK($F$128),"",$F$128))</f>
        <v/>
      </c>
      <c r="AC128" s="2">
        <f>IF(ISERROR($G$128),"",IF(ISBLANK($G$128),"",$G$128))</f>
        <v/>
      </c>
      <c r="AD128" s="2">
        <f>IF(ISERROR($H$128),"",IF(ISBLANK($H$128),"",$H$128))</f>
        <v/>
      </c>
      <c r="AG128" s="2">
        <f>ISERROR($B$128)*1+ISERROR($C$128)*1+ISERROR($D$128)*1+ISERROR($E$128)*1+ISERROR($F$128)*1+ISERROR($G$128)*1+ISERROR($H$128)*1</f>
        <v/>
      </c>
    </row>
    <row r="129" ht="26" customHeight="1">
      <c r="B129" s="33" t="inlineStr">
        <is>
          <t>Marisol</t>
        </is>
      </c>
      <c r="C129" s="4" t="inlineStr">
        <is>
          <t>Chunhe</t>
        </is>
      </c>
      <c r="D129" s="4" t="inlineStr">
        <is>
          <t>Langqiuyan</t>
        </is>
      </c>
      <c r="E129" s="4" t="inlineStr">
        <is>
          <t>Yuna</t>
        </is>
      </c>
      <c r="F129" s="4" t="inlineStr">
        <is>
          <t>Oraelo</t>
        </is>
      </c>
      <c r="G129" s="4" t="inlineStr">
        <is>
          <t>Ondo</t>
        </is>
      </c>
      <c r="H129" s="4" t="inlineStr">
        <is>
          <t>MN-40</t>
        </is>
      </c>
      <c r="K129" s="19">
        <f>IF(AG129&gt;0,"O Google leu como fórmula: digite de novo com ' na frente.","")</f>
        <v/>
      </c>
      <c r="N129" s="2">
        <f>N128+IF(LEN($X$129)&gt;0,1,0)</f>
        <v/>
      </c>
      <c r="O129" s="2">
        <f>O128+IF(LEN($Y$129)&gt;0,1,0)</f>
        <v/>
      </c>
      <c r="P129" s="2">
        <f>P128+IF(LEN($Z$129)&gt;0,1,0)</f>
        <v/>
      </c>
      <c r="Q129" s="2">
        <f>Q128+IF(LEN($AA$129)&gt;0,1,0)</f>
        <v/>
      </c>
      <c r="R129" s="2">
        <f>R128+IF(LEN($AB$129)&gt;0,1,0)</f>
        <v/>
      </c>
      <c r="S129" s="2">
        <f>S128+IF(LEN($AC$129)&gt;0,1,0)</f>
        <v/>
      </c>
      <c r="T129" s="2">
        <f>T128+IF(LEN($AD$129)&gt;0,1,0)</f>
        <v/>
      </c>
      <c r="X129" s="2">
        <f>IF(ISERROR($B$129),"",IF(ISBLANK($B$129),"",$B$129))</f>
        <v/>
      </c>
      <c r="Y129" s="2">
        <f>IF(ISERROR($C$129),"",IF(ISBLANK($C$129),"",$C$129))</f>
        <v/>
      </c>
      <c r="Z129" s="2">
        <f>IF(ISERROR($D$129),"",IF(ISBLANK($D$129),"",$D$129))</f>
        <v/>
      </c>
      <c r="AA129" s="2">
        <f>IF(ISERROR($E$129),"",IF(ISBLANK($E$129),"",$E$129))</f>
        <v/>
      </c>
      <c r="AB129" s="2">
        <f>IF(ISERROR($F$129),"",IF(ISBLANK($F$129),"",$F$129))</f>
        <v/>
      </c>
      <c r="AC129" s="2">
        <f>IF(ISERROR($G$129),"",IF(ISBLANK($G$129),"",$G$129))</f>
        <v/>
      </c>
      <c r="AD129" s="2">
        <f>IF(ISERROR($H$129),"",IF(ISBLANK($H$129),"",$H$129))</f>
        <v/>
      </c>
      <c r="AG129" s="2">
        <f>ISERROR($B$129)*1+ISERROR($C$129)*1+ISERROR($D$129)*1+ISERROR($E$129)*1+ISERROR($F$129)*1+ISERROR($G$129)*1+ISERROR($H$129)*1</f>
        <v/>
      </c>
    </row>
    <row r="130" ht="26" customHeight="1">
      <c r="B130" s="35" t="inlineStr">
        <is>
          <t>Kwame</t>
        </is>
      </c>
      <c r="C130" s="29" t="inlineStr">
        <is>
          <t>Qiuyan</t>
        </is>
      </c>
      <c r="D130" s="29" t="inlineStr">
        <is>
          <t>Yuanchaoming</t>
        </is>
      </c>
      <c r="E130" s="29" t="inlineStr">
        <is>
          <t>Tomo</t>
        </is>
      </c>
      <c r="F130" s="29" t="inlineStr">
        <is>
          <t>Mirava</t>
        </is>
      </c>
      <c r="G130" s="29" t="inlineStr">
        <is>
          <t>Zev</t>
        </is>
      </c>
      <c r="H130" s="29" t="inlineStr">
        <is>
          <t>ZL-9</t>
        </is>
      </c>
      <c r="K130" s="19">
        <f>IF(AG130&gt;0,"O Google leu como fórmula: digite de novo com ' na frente.","")</f>
        <v/>
      </c>
      <c r="N130" s="2">
        <f>N129+IF(LEN($X$130)&gt;0,1,0)</f>
        <v/>
      </c>
      <c r="O130" s="2">
        <f>O129+IF(LEN($Y$130)&gt;0,1,0)</f>
        <v/>
      </c>
      <c r="P130" s="2">
        <f>P129+IF(LEN($Z$130)&gt;0,1,0)</f>
        <v/>
      </c>
      <c r="Q130" s="2">
        <f>Q129+IF(LEN($AA$130)&gt;0,1,0)</f>
        <v/>
      </c>
      <c r="R130" s="2">
        <f>R129+IF(LEN($AB$130)&gt;0,1,0)</f>
        <v/>
      </c>
      <c r="S130" s="2">
        <f>S129+IF(LEN($AC$130)&gt;0,1,0)</f>
        <v/>
      </c>
      <c r="T130" s="2">
        <f>T129+IF(LEN($AD$130)&gt;0,1,0)</f>
        <v/>
      </c>
      <c r="X130" s="2">
        <f>IF(ISERROR($B$130),"",IF(ISBLANK($B$130),"",$B$130))</f>
        <v/>
      </c>
      <c r="Y130" s="2">
        <f>IF(ISERROR($C$130),"",IF(ISBLANK($C$130),"",$C$130))</f>
        <v/>
      </c>
      <c r="Z130" s="2">
        <f>IF(ISERROR($D$130),"",IF(ISBLANK($D$130),"",$D$130))</f>
        <v/>
      </c>
      <c r="AA130" s="2">
        <f>IF(ISERROR($E$130),"",IF(ISBLANK($E$130),"",$E$130))</f>
        <v/>
      </c>
      <c r="AB130" s="2">
        <f>IF(ISERROR($F$130),"",IF(ISBLANK($F$130),"",$F$130))</f>
        <v/>
      </c>
      <c r="AC130" s="2">
        <f>IF(ISERROR($G$130),"",IF(ISBLANK($G$130),"",$G$130))</f>
        <v/>
      </c>
      <c r="AD130" s="2">
        <f>IF(ISERROR($H$130),"",IF(ISBLANK($H$130),"",$H$130))</f>
        <v/>
      </c>
      <c r="AG130" s="2">
        <f>ISERROR($B$130)*1+ISERROR($C$130)*1+ISERROR($D$130)*1+ISERROR($E$130)*1+ISERROR($F$130)*1+ISERROR($G$130)*1+ISERROR($H$130)*1</f>
        <v/>
      </c>
    </row>
    <row r="131" ht="26" customHeight="1">
      <c r="B131" s="33" t="inlineStr">
        <is>
          <t>Ingrid</t>
        </is>
      </c>
      <c r="C131" s="4" t="inlineStr">
        <is>
          <t>Shuiming</t>
        </is>
      </c>
      <c r="D131" s="4" t="inlineStr">
        <is>
          <t>Shuiyueqing</t>
        </is>
      </c>
      <c r="E131" s="4" t="inlineStr">
        <is>
          <t>Haru</t>
        </is>
      </c>
      <c r="F131" s="4" t="inlineStr">
        <is>
          <t>Solenne</t>
        </is>
      </c>
      <c r="G131" s="4" t="inlineStr">
        <is>
          <t>Ilo</t>
        </is>
      </c>
      <c r="H131" s="4" t="inlineStr">
        <is>
          <t>OX-112</t>
        </is>
      </c>
      <c r="K131" s="19">
        <f>IF(AG131&gt;0,"O Google leu como fórmula: digite de novo com ' na frente.","")</f>
        <v/>
      </c>
      <c r="N131" s="2">
        <f>N130+IF(LEN($X$131)&gt;0,1,0)</f>
        <v/>
      </c>
      <c r="O131" s="2">
        <f>O130+IF(LEN($Y$131)&gt;0,1,0)</f>
        <v/>
      </c>
      <c r="P131" s="2">
        <f>P130+IF(LEN($Z$131)&gt;0,1,0)</f>
        <v/>
      </c>
      <c r="Q131" s="2">
        <f>Q130+IF(LEN($AA$131)&gt;0,1,0)</f>
        <v/>
      </c>
      <c r="R131" s="2">
        <f>R130+IF(LEN($AB$131)&gt;0,1,0)</f>
        <v/>
      </c>
      <c r="S131" s="2">
        <f>S130+IF(LEN($AC$131)&gt;0,1,0)</f>
        <v/>
      </c>
      <c r="T131" s="2">
        <f>T130+IF(LEN($AD$131)&gt;0,1,0)</f>
        <v/>
      </c>
      <c r="X131" s="2">
        <f>IF(ISERROR($B$131),"",IF(ISBLANK($B$131),"",$B$131))</f>
        <v/>
      </c>
      <c r="Y131" s="2">
        <f>IF(ISERROR($C$131),"",IF(ISBLANK($C$131),"",$C$131))</f>
        <v/>
      </c>
      <c r="Z131" s="2">
        <f>IF(ISERROR($D$131),"",IF(ISBLANK($D$131),"",$D$131))</f>
        <v/>
      </c>
      <c r="AA131" s="2">
        <f>IF(ISERROR($E$131),"",IF(ISBLANK($E$131),"",$E$131))</f>
        <v/>
      </c>
      <c r="AB131" s="2">
        <f>IF(ISERROR($F$131),"",IF(ISBLANK($F$131),"",$F$131))</f>
        <v/>
      </c>
      <c r="AC131" s="2">
        <f>IF(ISERROR($G$131),"",IF(ISBLANK($G$131),"",$G$131))</f>
        <v/>
      </c>
      <c r="AD131" s="2">
        <f>IF(ISERROR($H$131),"",IF(ISBLANK($H$131),"",$H$131))</f>
        <v/>
      </c>
      <c r="AG131" s="2">
        <f>ISERROR($B$131)*1+ISERROR($C$131)*1+ISERROR($D$131)*1+ISERROR($E$131)*1+ISERROR($F$131)*1+ISERROR($G$131)*1+ISERROR($H$131)*1</f>
        <v/>
      </c>
    </row>
    <row r="132" ht="26" customHeight="1">
      <c r="B132" s="35" t="inlineStr">
        <is>
          <t>Tadeu</t>
        </is>
      </c>
      <c r="C132" s="29" t="inlineStr">
        <is>
          <t>Rongan</t>
        </is>
      </c>
      <c r="D132" s="29" t="inlineStr">
        <is>
          <t>Haiyuanzhi</t>
        </is>
      </c>
      <c r="E132" s="29" t="inlineStr">
        <is>
          <t>Mika</t>
        </is>
      </c>
      <c r="F132" s="29" t="inlineStr">
        <is>
          <t>Liora</t>
        </is>
      </c>
      <c r="G132" s="29" t="inlineStr">
        <is>
          <t>Saka</t>
        </is>
      </c>
      <c r="H132" s="29" t="inlineStr">
        <is>
          <t>PT-5</t>
        </is>
      </c>
      <c r="K132" s="19">
        <f>IF(AG132&gt;0,"O Google leu como fórmula: digite de novo com ' na frente.","")</f>
        <v/>
      </c>
      <c r="N132" s="2">
        <f>N131+IF(LEN($X$132)&gt;0,1,0)</f>
        <v/>
      </c>
      <c r="O132" s="2">
        <f>O131+IF(LEN($Y$132)&gt;0,1,0)</f>
        <v/>
      </c>
      <c r="P132" s="2">
        <f>P131+IF(LEN($Z$132)&gt;0,1,0)</f>
        <v/>
      </c>
      <c r="Q132" s="2">
        <f>Q131+IF(LEN($AA$132)&gt;0,1,0)</f>
        <v/>
      </c>
      <c r="R132" s="2">
        <f>R131+IF(LEN($AB$132)&gt;0,1,0)</f>
        <v/>
      </c>
      <c r="S132" s="2">
        <f>S131+IF(LEN($AC$132)&gt;0,1,0)</f>
        <v/>
      </c>
      <c r="T132" s="2">
        <f>T131+IF(LEN($AD$132)&gt;0,1,0)</f>
        <v/>
      </c>
      <c r="X132" s="2">
        <f>IF(ISERROR($B$132),"",IF(ISBLANK($B$132),"",$B$132))</f>
        <v/>
      </c>
      <c r="Y132" s="2">
        <f>IF(ISERROR($C$132),"",IF(ISBLANK($C$132),"",$C$132))</f>
        <v/>
      </c>
      <c r="Z132" s="2">
        <f>IF(ISERROR($D$132),"",IF(ISBLANK($D$132),"",$D$132))</f>
        <v/>
      </c>
      <c r="AA132" s="2">
        <f>IF(ISERROR($E$132),"",IF(ISBLANK($E$132),"",$E$132))</f>
        <v/>
      </c>
      <c r="AB132" s="2">
        <f>IF(ISERROR($F$132),"",IF(ISBLANK($F$132),"",$F$132))</f>
        <v/>
      </c>
      <c r="AC132" s="2">
        <f>IF(ISERROR($G$132),"",IF(ISBLANK($G$132),"",$G$132))</f>
        <v/>
      </c>
      <c r="AD132" s="2">
        <f>IF(ISERROR($H$132),"",IF(ISBLANK($H$132),"",$H$132))</f>
        <v/>
      </c>
      <c r="AG132" s="2">
        <f>ISERROR($B$132)*1+ISERROR($C$132)*1+ISERROR($D$132)*1+ISERROR($E$132)*1+ISERROR($F$132)*1+ISERROR($G$132)*1+ISERROR($H$132)*1</f>
        <v/>
      </c>
    </row>
    <row r="133" ht="26" customHeight="1">
      <c r="B133" s="33" t="inlineStr">
        <is>
          <t>Yasmin</t>
        </is>
      </c>
      <c r="C133" s="4" t="inlineStr">
        <is>
          <t>Huaijin</t>
        </is>
      </c>
      <c r="D133" s="4" t="inlineStr">
        <is>
          <t>Bolanxinyu</t>
        </is>
      </c>
      <c r="E133" s="4" t="inlineStr">
        <is>
          <t>Aoi</t>
        </is>
      </c>
      <c r="F133" s="4" t="inlineStr">
        <is>
          <t>Avaneh</t>
        </is>
      </c>
      <c r="G133" s="4" t="inlineStr">
        <is>
          <t>Bren</t>
        </is>
      </c>
      <c r="H133" s="4" t="inlineStr">
        <is>
          <t>VK-23</t>
        </is>
      </c>
      <c r="K133" s="19">
        <f>IF(AG133&gt;0,"O Google leu como fórmula: digite de novo com ' na frente.","")</f>
        <v/>
      </c>
      <c r="N133" s="2">
        <f>N132+IF(LEN($X$133)&gt;0,1,0)</f>
        <v/>
      </c>
      <c r="O133" s="2">
        <f>O132+IF(LEN($Y$133)&gt;0,1,0)</f>
        <v/>
      </c>
      <c r="P133" s="2">
        <f>P132+IF(LEN($Z$133)&gt;0,1,0)</f>
        <v/>
      </c>
      <c r="Q133" s="2">
        <f>Q132+IF(LEN($AA$133)&gt;0,1,0)</f>
        <v/>
      </c>
      <c r="R133" s="2">
        <f>R132+IF(LEN($AB$133)&gt;0,1,0)</f>
        <v/>
      </c>
      <c r="S133" s="2">
        <f>S132+IF(LEN($AC$133)&gt;0,1,0)</f>
        <v/>
      </c>
      <c r="T133" s="2">
        <f>T132+IF(LEN($AD$133)&gt;0,1,0)</f>
        <v/>
      </c>
      <c r="X133" s="2">
        <f>IF(ISERROR($B$133),"",IF(ISBLANK($B$133),"",$B$133))</f>
        <v/>
      </c>
      <c r="Y133" s="2">
        <f>IF(ISERROR($C$133),"",IF(ISBLANK($C$133),"",$C$133))</f>
        <v/>
      </c>
      <c r="Z133" s="2">
        <f>IF(ISERROR($D$133),"",IF(ISBLANK($D$133),"",$D$133))</f>
        <v/>
      </c>
      <c r="AA133" s="2">
        <f>IF(ISERROR($E$133),"",IF(ISBLANK($E$133),"",$E$133))</f>
        <v/>
      </c>
      <c r="AB133" s="2">
        <f>IF(ISERROR($F$133),"",IF(ISBLANK($F$133),"",$F$133))</f>
        <v/>
      </c>
      <c r="AC133" s="2">
        <f>IF(ISERROR($G$133),"",IF(ISBLANK($G$133),"",$G$133))</f>
        <v/>
      </c>
      <c r="AD133" s="2">
        <f>IF(ISERROR($H$133),"",IF(ISBLANK($H$133),"",$H$133))</f>
        <v/>
      </c>
      <c r="AG133" s="2">
        <f>ISERROR($B$133)*1+ISERROR($C$133)*1+ISERROR($D$133)*1+ISERROR($E$133)*1+ISERROR($F$133)*1+ISERROR($G$133)*1+ISERROR($H$133)*1</f>
        <v/>
      </c>
    </row>
    <row r="134" ht="26" customHeight="1">
      <c r="B134" s="35" t="inlineStr">
        <is>
          <t>Oleg</t>
        </is>
      </c>
      <c r="C134" s="29" t="inlineStr">
        <is>
          <t>Lianshu</t>
        </is>
      </c>
      <c r="D134" s="29" t="inlineStr">
        <is>
          <t>Chenhaijun</t>
        </is>
      </c>
      <c r="E134" s="29" t="inlineStr">
        <is>
          <t>Ren</t>
        </is>
      </c>
      <c r="F134" s="29" t="inlineStr">
        <is>
          <t>Elaré</t>
        </is>
      </c>
      <c r="G134" s="29" t="inlineStr">
        <is>
          <t>Dalu</t>
        </is>
      </c>
      <c r="H134" s="29" t="inlineStr">
        <is>
          <t>HL-88</t>
        </is>
      </c>
      <c r="K134" s="19">
        <f>IF(AG134&gt;0,"O Google leu como fórmula: digite de novo com ' na frente.","")</f>
        <v/>
      </c>
      <c r="N134" s="2">
        <f>N133+IF(LEN($X$134)&gt;0,1,0)</f>
        <v/>
      </c>
      <c r="O134" s="2">
        <f>O133+IF(LEN($Y$134)&gt;0,1,0)</f>
        <v/>
      </c>
      <c r="P134" s="2">
        <f>P133+IF(LEN($Z$134)&gt;0,1,0)</f>
        <v/>
      </c>
      <c r="Q134" s="2">
        <f>Q133+IF(LEN($AA$134)&gt;0,1,0)</f>
        <v/>
      </c>
      <c r="R134" s="2">
        <f>R133+IF(LEN($AB$134)&gt;0,1,0)</f>
        <v/>
      </c>
      <c r="S134" s="2">
        <f>S133+IF(LEN($AC$134)&gt;0,1,0)</f>
        <v/>
      </c>
      <c r="T134" s="2">
        <f>T133+IF(LEN($AD$134)&gt;0,1,0)</f>
        <v/>
      </c>
      <c r="X134" s="2">
        <f>IF(ISERROR($B$134),"",IF(ISBLANK($B$134),"",$B$134))</f>
        <v/>
      </c>
      <c r="Y134" s="2">
        <f>IF(ISERROR($C$134),"",IF(ISBLANK($C$134),"",$C$134))</f>
        <v/>
      </c>
      <c r="Z134" s="2">
        <f>IF(ISERROR($D$134),"",IF(ISBLANK($D$134),"",$D$134))</f>
        <v/>
      </c>
      <c r="AA134" s="2">
        <f>IF(ISERROR($E$134),"",IF(ISBLANK($E$134),"",$E$134))</f>
        <v/>
      </c>
      <c r="AB134" s="2">
        <f>IF(ISERROR($F$134),"",IF(ISBLANK($F$134),"",$F$134))</f>
        <v/>
      </c>
      <c r="AC134" s="2">
        <f>IF(ISERROR($G$134),"",IF(ISBLANK($G$134),"",$G$134))</f>
        <v/>
      </c>
      <c r="AD134" s="2">
        <f>IF(ISERROR($H$134),"",IF(ISBLANK($H$134),"",$H$134))</f>
        <v/>
      </c>
      <c r="AG134" s="2">
        <f>ISERROR($B$134)*1+ISERROR($C$134)*1+ISERROR($D$134)*1+ISERROR($E$134)*1+ISERROR($F$134)*1+ISERROR($G$134)*1+ISERROR($H$134)*1</f>
        <v/>
      </c>
    </row>
    <row r="135" ht="26" customHeight="1">
      <c r="B135" s="33" t="inlineStr">
        <is>
          <t>Beatriz</t>
        </is>
      </c>
      <c r="C135" s="4" t="inlineStr">
        <is>
          <t>Mingde</t>
        </is>
      </c>
      <c r="D135" s="4" t="inlineStr">
        <is>
          <t>Yongchaoxi</t>
        </is>
      </c>
      <c r="E135" s="4" t="inlineStr">
        <is>
          <t>Kaede</t>
        </is>
      </c>
      <c r="F135" s="4" t="inlineStr">
        <is>
          <t>Ianthe</t>
        </is>
      </c>
      <c r="G135" s="4" t="inlineStr">
        <is>
          <t>Hesk</t>
        </is>
      </c>
      <c r="H135" s="4" t="inlineStr">
        <is>
          <t>SN-14</t>
        </is>
      </c>
      <c r="K135" s="19">
        <f>IF(AG135&gt;0,"O Google leu como fórmula: digite de novo com ' na frente.","")</f>
        <v/>
      </c>
      <c r="N135" s="2">
        <f>N134+IF(LEN($X$135)&gt;0,1,0)</f>
        <v/>
      </c>
      <c r="O135" s="2">
        <f>O134+IF(LEN($Y$135)&gt;0,1,0)</f>
        <v/>
      </c>
      <c r="P135" s="2">
        <f>P134+IF(LEN($Z$135)&gt;0,1,0)</f>
        <v/>
      </c>
      <c r="Q135" s="2">
        <f>Q134+IF(LEN($AA$135)&gt;0,1,0)</f>
        <v/>
      </c>
      <c r="R135" s="2">
        <f>R134+IF(LEN($AB$135)&gt;0,1,0)</f>
        <v/>
      </c>
      <c r="S135" s="2">
        <f>S134+IF(LEN($AC$135)&gt;0,1,0)</f>
        <v/>
      </c>
      <c r="T135" s="2">
        <f>T134+IF(LEN($AD$135)&gt;0,1,0)</f>
        <v/>
      </c>
      <c r="X135" s="2">
        <f>IF(ISERROR($B$135),"",IF(ISBLANK($B$135),"",$B$135))</f>
        <v/>
      </c>
      <c r="Y135" s="2">
        <f>IF(ISERROR($C$135),"",IF(ISBLANK($C$135),"",$C$135))</f>
        <v/>
      </c>
      <c r="Z135" s="2">
        <f>IF(ISERROR($D$135),"",IF(ISBLANK($D$135),"",$D$135))</f>
        <v/>
      </c>
      <c r="AA135" s="2">
        <f>IF(ISERROR($E$135),"",IF(ISBLANK($E$135),"",$E$135))</f>
        <v/>
      </c>
      <c r="AB135" s="2">
        <f>IF(ISERROR($F$135),"",IF(ISBLANK($F$135),"",$F$135))</f>
        <v/>
      </c>
      <c r="AC135" s="2">
        <f>IF(ISERROR($G$135),"",IF(ISBLANK($G$135),"",$G$135))</f>
        <v/>
      </c>
      <c r="AD135" s="2">
        <f>IF(ISERROR($H$135),"",IF(ISBLANK($H$135),"",$H$135))</f>
        <v/>
      </c>
      <c r="AG135" s="2">
        <f>ISERROR($B$135)*1+ISERROR($C$135)*1+ISERROR($D$135)*1+ISERROR($E$135)*1+ISERROR($F$135)*1+ISERROR($G$135)*1+ISERROR($H$135)*1</f>
        <v/>
      </c>
    </row>
    <row r="136" ht="26" customHeight="1">
      <c r="B136" s="35" t="inlineStr">
        <is>
          <t>Ravi</t>
        </is>
      </c>
      <c r="C136" s="29" t="inlineStr">
        <is>
          <t>Yaozhen</t>
        </is>
      </c>
      <c r="D136" s="29" t="inlineStr">
        <is>
          <t>Ruohaifeng</t>
        </is>
      </c>
      <c r="E136" s="29" t="inlineStr">
        <is>
          <t>Nagi</t>
        </is>
      </c>
      <c r="F136" s="29" t="inlineStr">
        <is>
          <t>Orimae</t>
        </is>
      </c>
      <c r="G136" s="29" t="inlineStr">
        <is>
          <t>Nima</t>
        </is>
      </c>
      <c r="H136" s="29" t="inlineStr">
        <is>
          <t>TM-60</t>
        </is>
      </c>
      <c r="K136" s="19">
        <f>IF(AG136&gt;0,"O Google leu como fórmula: digite de novo com ' na frente.","")</f>
        <v/>
      </c>
      <c r="N136" s="2">
        <f>N135+IF(LEN($X$136)&gt;0,1,0)</f>
        <v/>
      </c>
      <c r="O136" s="2">
        <f>O135+IF(LEN($Y$136)&gt;0,1,0)</f>
        <v/>
      </c>
      <c r="P136" s="2">
        <f>P135+IF(LEN($Z$136)&gt;0,1,0)</f>
        <v/>
      </c>
      <c r="Q136" s="2">
        <f>Q135+IF(LEN($AA$136)&gt;0,1,0)</f>
        <v/>
      </c>
      <c r="R136" s="2">
        <f>R135+IF(LEN($AB$136)&gt;0,1,0)</f>
        <v/>
      </c>
      <c r="S136" s="2">
        <f>S135+IF(LEN($AC$136)&gt;0,1,0)</f>
        <v/>
      </c>
      <c r="T136" s="2">
        <f>T135+IF(LEN($AD$136)&gt;0,1,0)</f>
        <v/>
      </c>
      <c r="X136" s="2">
        <f>IF(ISERROR($B$136),"",IF(ISBLANK($B$136),"",$B$136))</f>
        <v/>
      </c>
      <c r="Y136" s="2">
        <f>IF(ISERROR($C$136),"",IF(ISBLANK($C$136),"",$C$136))</f>
        <v/>
      </c>
      <c r="Z136" s="2">
        <f>IF(ISERROR($D$136),"",IF(ISBLANK($D$136),"",$D$136))</f>
        <v/>
      </c>
      <c r="AA136" s="2">
        <f>IF(ISERROR($E$136),"",IF(ISBLANK($E$136),"",$E$136))</f>
        <v/>
      </c>
      <c r="AB136" s="2">
        <f>IF(ISERROR($F$136),"",IF(ISBLANK($F$136),"",$F$136))</f>
        <v/>
      </c>
      <c r="AC136" s="2">
        <f>IF(ISERROR($G$136),"",IF(ISBLANK($G$136),"",$G$136))</f>
        <v/>
      </c>
      <c r="AD136" s="2">
        <f>IF(ISERROR($H$136),"",IF(ISBLANK($H$136),"",$H$136))</f>
        <v/>
      </c>
      <c r="AG136" s="2">
        <f>ISERROR($B$136)*1+ISERROR($C$136)*1+ISERROR($D$136)*1+ISERROR($E$136)*1+ISERROR($F$136)*1+ISERROR($G$136)*1+ISERROR($H$136)*1</f>
        <v/>
      </c>
    </row>
    <row r="137" ht="26" customHeight="1">
      <c r="B137" s="33" t="inlineStr">
        <is>
          <t>Joaquim</t>
        </is>
      </c>
      <c r="C137" s="4" t="inlineStr">
        <is>
          <t>Shoucheng</t>
        </is>
      </c>
      <c r="D137" s="4" t="inlineStr">
        <is>
          <t>Qianlangsu</t>
        </is>
      </c>
      <c r="E137" s="4" t="inlineStr">
        <is>
          <t>Sae</t>
        </is>
      </c>
      <c r="F137" s="4" t="inlineStr">
        <is>
          <t>Saluen</t>
        </is>
      </c>
      <c r="G137" s="4" t="inlineStr">
        <is>
          <t>Teva</t>
        </is>
      </c>
      <c r="H137" s="4" t="inlineStr">
        <is>
          <t>QB-17</t>
        </is>
      </c>
      <c r="K137" s="19">
        <f>IF(AG137&gt;0,"O Google leu como fórmula: digite de novo com ' na frente.","")</f>
        <v/>
      </c>
      <c r="N137" s="2">
        <f>N136+IF(LEN($X$137)&gt;0,1,0)</f>
        <v/>
      </c>
      <c r="O137" s="2">
        <f>O136+IF(LEN($Y$137)&gt;0,1,0)</f>
        <v/>
      </c>
      <c r="P137" s="2">
        <f>P136+IF(LEN($Z$137)&gt;0,1,0)</f>
        <v/>
      </c>
      <c r="Q137" s="2">
        <f>Q136+IF(LEN($AA$137)&gt;0,1,0)</f>
        <v/>
      </c>
      <c r="R137" s="2">
        <f>R136+IF(LEN($AB$137)&gt;0,1,0)</f>
        <v/>
      </c>
      <c r="S137" s="2">
        <f>S136+IF(LEN($AC$137)&gt;0,1,0)</f>
        <v/>
      </c>
      <c r="T137" s="2">
        <f>T136+IF(LEN($AD$137)&gt;0,1,0)</f>
        <v/>
      </c>
      <c r="X137" s="2">
        <f>IF(ISERROR($B$137),"",IF(ISBLANK($B$137),"",$B$137))</f>
        <v/>
      </c>
      <c r="Y137" s="2">
        <f>IF(ISERROR($C$137),"",IF(ISBLANK($C$137),"",$C$137))</f>
        <v/>
      </c>
      <c r="Z137" s="2">
        <f>IF(ISERROR($D$137),"",IF(ISBLANK($D$137),"",$D$137))</f>
        <v/>
      </c>
      <c r="AA137" s="2">
        <f>IF(ISERROR($E$137),"",IF(ISBLANK($E$137),"",$E$137))</f>
        <v/>
      </c>
      <c r="AB137" s="2">
        <f>IF(ISERROR($F$137),"",IF(ISBLANK($F$137),"",$F$137))</f>
        <v/>
      </c>
      <c r="AC137" s="2">
        <f>IF(ISERROR($G$137),"",IF(ISBLANK($G$137),"",$G$137))</f>
        <v/>
      </c>
      <c r="AD137" s="2">
        <f>IF(ISERROR($H$137),"",IF(ISBLANK($H$137),"",$H$137))</f>
        <v/>
      </c>
      <c r="AG137" s="2">
        <f>ISERROR($B$137)*1+ISERROR($C$137)*1+ISERROR($D$137)*1+ISERROR($E$137)*1+ISERROR($F$137)*1+ISERROR($G$137)*1+ISERROR($H$137)*1</f>
        <v/>
      </c>
    </row>
    <row r="138" ht="26" customHeight="1">
      <c r="B138" s="35" t="inlineStr">
        <is>
          <t>Aiko</t>
        </is>
      </c>
      <c r="C138" s="29" t="inlineStr">
        <is>
          <t>Xinhe</t>
        </is>
      </c>
      <c r="D138" s="29" t="inlineStr">
        <is>
          <t>Haitangrui</t>
        </is>
      </c>
      <c r="E138" s="29" t="inlineStr">
        <is>
          <t>Ryo</t>
        </is>
      </c>
      <c r="F138" s="29" t="inlineStr">
        <is>
          <t>Valoa</t>
        </is>
      </c>
      <c r="G138" s="29" t="inlineStr">
        <is>
          <t>Kalo</t>
        </is>
      </c>
      <c r="H138" s="29" t="inlineStr">
        <is>
          <t>LX-02</t>
        </is>
      </c>
      <c r="K138" s="19">
        <f>IF(AG138&gt;0,"O Google leu como fórmula: digite de novo com ' na frente.","")</f>
        <v/>
      </c>
      <c r="N138" s="2">
        <f>N137+IF(LEN($X$138)&gt;0,1,0)</f>
        <v/>
      </c>
      <c r="O138" s="2">
        <f>O137+IF(LEN($Y$138)&gt;0,1,0)</f>
        <v/>
      </c>
      <c r="P138" s="2">
        <f>P137+IF(LEN($Z$138)&gt;0,1,0)</f>
        <v/>
      </c>
      <c r="Q138" s="2">
        <f>Q137+IF(LEN($AA$138)&gt;0,1,0)</f>
        <v/>
      </c>
      <c r="R138" s="2">
        <f>R137+IF(LEN($AB$138)&gt;0,1,0)</f>
        <v/>
      </c>
      <c r="S138" s="2">
        <f>S137+IF(LEN($AC$138)&gt;0,1,0)</f>
        <v/>
      </c>
      <c r="T138" s="2">
        <f>T137+IF(LEN($AD$138)&gt;0,1,0)</f>
        <v/>
      </c>
      <c r="X138" s="2">
        <f>IF(ISERROR($B$138),"",IF(ISBLANK($B$138),"",$B$138))</f>
        <v/>
      </c>
      <c r="Y138" s="2">
        <f>IF(ISERROR($C$138),"",IF(ISBLANK($C$138),"",$C$138))</f>
        <v/>
      </c>
      <c r="Z138" s="2">
        <f>IF(ISERROR($D$138),"",IF(ISBLANK($D$138),"",$D$138))</f>
        <v/>
      </c>
      <c r="AA138" s="2">
        <f>IF(ISERROR($E$138),"",IF(ISBLANK($E$138),"",$E$138))</f>
        <v/>
      </c>
      <c r="AB138" s="2">
        <f>IF(ISERROR($F$138),"",IF(ISBLANK($F$138),"",$F$138))</f>
        <v/>
      </c>
      <c r="AC138" s="2">
        <f>IF(ISERROR($G$138),"",IF(ISBLANK($G$138),"",$G$138))</f>
        <v/>
      </c>
      <c r="AD138" s="2">
        <f>IF(ISERROR($H$138),"",IF(ISBLANK($H$138),"",$H$138))</f>
        <v/>
      </c>
      <c r="AG138" s="2">
        <f>ISERROR($B$138)*1+ISERROR($C$138)*1+ISERROR($D$138)*1+ISERROR($E$138)*1+ISERROR($F$138)*1+ISERROR($G$138)*1+ISERROR($H$138)*1</f>
        <v/>
      </c>
    </row>
    <row r="139" ht="26" customHeight="1">
      <c r="B139" s="33" t="inlineStr">
        <is>
          <t>Dário</t>
        </is>
      </c>
      <c r="C139" s="4" t="inlineStr">
        <is>
          <t>Jinlu</t>
        </is>
      </c>
      <c r="D139" s="4" t="inlineStr">
        <is>
          <t>Xuchaolin</t>
        </is>
      </c>
      <c r="E139" s="4" t="inlineStr">
        <is>
          <t>Hina</t>
        </is>
      </c>
      <c r="F139" s="4" t="inlineStr">
        <is>
          <t>Eolin</t>
        </is>
      </c>
      <c r="G139" s="4" t="inlineStr">
        <is>
          <t>Asha</t>
        </is>
      </c>
      <c r="H139" s="4" t="inlineStr">
        <is>
          <t>EV-71</t>
        </is>
      </c>
      <c r="K139" s="19">
        <f>IF(AG139&gt;0,"O Google leu como fórmula: digite de novo com ' na frente.","")</f>
        <v/>
      </c>
      <c r="N139" s="2">
        <f>N138+IF(LEN($X$139)&gt;0,1,0)</f>
        <v/>
      </c>
      <c r="O139" s="2">
        <f>O138+IF(LEN($Y$139)&gt;0,1,0)</f>
        <v/>
      </c>
      <c r="P139" s="2">
        <f>P138+IF(LEN($Z$139)&gt;0,1,0)</f>
        <v/>
      </c>
      <c r="Q139" s="2">
        <f>Q138+IF(LEN($AA$139)&gt;0,1,0)</f>
        <v/>
      </c>
      <c r="R139" s="2">
        <f>R138+IF(LEN($AB$139)&gt;0,1,0)</f>
        <v/>
      </c>
      <c r="S139" s="2">
        <f>S138+IF(LEN($AC$139)&gt;0,1,0)</f>
        <v/>
      </c>
      <c r="T139" s="2">
        <f>T138+IF(LEN($AD$139)&gt;0,1,0)</f>
        <v/>
      </c>
      <c r="X139" s="2">
        <f>IF(ISERROR($B$139),"",IF(ISBLANK($B$139),"",$B$139))</f>
        <v/>
      </c>
      <c r="Y139" s="2">
        <f>IF(ISERROR($C$139),"",IF(ISBLANK($C$139),"",$C$139))</f>
        <v/>
      </c>
      <c r="Z139" s="2">
        <f>IF(ISERROR($D$139),"",IF(ISBLANK($D$139),"",$D$139))</f>
        <v/>
      </c>
      <c r="AA139" s="2">
        <f>IF(ISERROR($E$139),"",IF(ISBLANK($E$139),"",$E$139))</f>
        <v/>
      </c>
      <c r="AB139" s="2">
        <f>IF(ISERROR($F$139),"",IF(ISBLANK($F$139),"",$F$139))</f>
        <v/>
      </c>
      <c r="AC139" s="2">
        <f>IF(ISERROR($G$139),"",IF(ISBLANK($G$139),"",$G$139))</f>
        <v/>
      </c>
      <c r="AD139" s="2">
        <f>IF(ISERROR($H$139),"",IF(ISBLANK($H$139),"",$H$139))</f>
        <v/>
      </c>
      <c r="AG139" s="2">
        <f>ISERROR($B$139)*1+ISERROR($C$139)*1+ISERROR($D$139)*1+ISERROR($E$139)*1+ISERROR($F$139)*1+ISERROR($G$139)*1+ISERROR($H$139)*1</f>
        <v/>
      </c>
    </row>
    <row r="140" ht="15" customHeight="1">
      <c r="B140" s="8" t="inlineStr">
        <is>
          <t>Nome — Humano</t>
        </is>
      </c>
      <c r="C140" s="8" t="inlineStr">
        <is>
          <t>Nome — Xianzhouíta</t>
        </is>
      </c>
      <c r="D140" s="8" t="inlineStr">
        <is>
          <t>Nome — Vidyadhara</t>
        </is>
      </c>
      <c r="E140" s="8" t="inlineStr">
        <is>
          <t>Nome — Vulpes</t>
        </is>
      </c>
      <c r="F140" s="8" t="inlineStr">
        <is>
          <t>Nome — Haloviano</t>
        </is>
      </c>
      <c r="G140" s="8" t="inlineStr">
        <is>
          <t>Nome — Avginiano</t>
        </is>
      </c>
      <c r="H140" s="8" t="inlineStr">
        <is>
          <t>Nome — Intellitron</t>
        </is>
      </c>
      <c r="N140" s="2">
        <f>N139</f>
        <v/>
      </c>
      <c r="O140" s="2">
        <f>O139</f>
        <v/>
      </c>
      <c r="P140" s="2">
        <f>P139</f>
        <v/>
      </c>
      <c r="Q140" s="2">
        <f>Q139</f>
        <v/>
      </c>
      <c r="R140" s="2">
        <f>R139</f>
        <v/>
      </c>
      <c r="S140" s="2">
        <f>S139</f>
        <v/>
      </c>
      <c r="T140" s="2">
        <f>T139</f>
        <v/>
      </c>
      <c r="X140" s="2">
        <f>IF(ISERROR($B$140),"",IF(ISBLANK($B$140),"",$B$140))</f>
        <v/>
      </c>
      <c r="Y140" s="2">
        <f>IF(ISERROR($C$140),"",IF(ISBLANK($C$140),"",$C$140))</f>
        <v/>
      </c>
      <c r="Z140" s="2">
        <f>IF(ISERROR($D$140),"",IF(ISBLANK($D$140),"",$D$140))</f>
        <v/>
      </c>
      <c r="AA140" s="2">
        <f>IF(ISERROR($E$140),"",IF(ISBLANK($E$140),"",$E$140))</f>
        <v/>
      </c>
      <c r="AB140" s="2">
        <f>IF(ISERROR($F$140),"",IF(ISBLANK($F$140),"",$F$140))</f>
        <v/>
      </c>
      <c r="AC140" s="2">
        <f>IF(ISERROR($G$140),"",IF(ISBLANK($G$140),"",$G$140))</f>
        <v/>
      </c>
      <c r="AD140" s="2">
        <f>IF(ISERROR($H$140),"",IF(ISBLANK($H$140),"",$H$140))</f>
        <v/>
      </c>
    </row>
    <row r="141" ht="26" customHeight="1">
      <c r="B141" s="33" t="inlineStr">
        <is>
          <t>Fenna</t>
        </is>
      </c>
      <c r="C141" s="4" t="inlineStr">
        <is>
          <t>Zhenhai</t>
        </is>
      </c>
      <c r="D141" s="4" t="inlineStr">
        <is>
          <t>Mingchaohua</t>
        </is>
      </c>
      <c r="E141" s="4" t="inlineStr">
        <is>
          <t>Taki</t>
        </is>
      </c>
      <c r="F141" s="4" t="inlineStr">
        <is>
          <t>Amarae</t>
        </is>
      </c>
      <c r="G141" s="4" t="inlineStr">
        <is>
          <t>Rovi</t>
        </is>
      </c>
      <c r="H141" s="4" t="inlineStr">
        <is>
          <t>GR-45</t>
        </is>
      </c>
      <c r="K141" s="19">
        <f>IF(AG141&gt;0,"O Google leu como fórmula: digite de novo com ' na frente.","")</f>
        <v/>
      </c>
      <c r="N141" s="2">
        <f>N140+IF(LEN($X$141)&gt;0,1,0)</f>
        <v/>
      </c>
      <c r="O141" s="2">
        <f>O140+IF(LEN($Y$141)&gt;0,1,0)</f>
        <v/>
      </c>
      <c r="P141" s="2">
        <f>P140+IF(LEN($Z$141)&gt;0,1,0)</f>
        <v/>
      </c>
      <c r="Q141" s="2">
        <f>Q140+IF(LEN($AA$141)&gt;0,1,0)</f>
        <v/>
      </c>
      <c r="R141" s="2">
        <f>R140+IF(LEN($AB$141)&gt;0,1,0)</f>
        <v/>
      </c>
      <c r="S141" s="2">
        <f>S140+IF(LEN($AC$141)&gt;0,1,0)</f>
        <v/>
      </c>
      <c r="T141" s="2">
        <f>T140+IF(LEN($AD$141)&gt;0,1,0)</f>
        <v/>
      </c>
      <c r="X141" s="2">
        <f>IF(ISERROR($B$141),"",IF(ISBLANK($B$141),"",$B$141))</f>
        <v/>
      </c>
      <c r="Y141" s="2">
        <f>IF(ISERROR($C$141),"",IF(ISBLANK($C$141),"",$C$141))</f>
        <v/>
      </c>
      <c r="Z141" s="2">
        <f>IF(ISERROR($D$141),"",IF(ISBLANK($D$141),"",$D$141))</f>
        <v/>
      </c>
      <c r="AA141" s="2">
        <f>IF(ISERROR($E$141),"",IF(ISBLANK($E$141),"",$E$141))</f>
        <v/>
      </c>
      <c r="AB141" s="2">
        <f>IF(ISERROR($F$141),"",IF(ISBLANK($F$141),"",$F$141))</f>
        <v/>
      </c>
      <c r="AC141" s="2">
        <f>IF(ISERROR($G$141),"",IF(ISBLANK($G$141),"",$G$141))</f>
        <v/>
      </c>
      <c r="AD141" s="2">
        <f>IF(ISERROR($H$141),"",IF(ISBLANK($H$141),"",$H$141))</f>
        <v/>
      </c>
      <c r="AG141" s="2">
        <f>ISERROR($B$141)*1+ISERROR($C$141)*1+ISERROR($D$141)*1+ISERROR($E$141)*1+ISERROR($F$141)*1+ISERROR($G$141)*1+ISERROR($H$141)*1</f>
        <v/>
      </c>
    </row>
    <row r="142" ht="26" customHeight="1">
      <c r="B142" s="35" t="inlineStr">
        <is>
          <t>Emeka</t>
        </is>
      </c>
      <c r="C142" s="29" t="inlineStr">
        <is>
          <t>Yuehan</t>
        </is>
      </c>
      <c r="D142" s="29" t="inlineStr">
        <is>
          <t>Taoshuiwen</t>
        </is>
      </c>
      <c r="E142" s="29" t="inlineStr">
        <is>
          <t>Kumi</t>
        </is>
      </c>
      <c r="F142" s="29" t="inlineStr">
        <is>
          <t>Noelia</t>
        </is>
      </c>
      <c r="G142" s="29" t="inlineStr">
        <is>
          <t>Siv</t>
        </is>
      </c>
      <c r="H142" s="29" t="inlineStr">
        <is>
          <t>NC-8</t>
        </is>
      </c>
      <c r="K142" s="19">
        <f>IF(AG142&gt;0,"O Google leu como fórmula: digite de novo com ' na frente.","")</f>
        <v/>
      </c>
      <c r="N142" s="2">
        <f>N141+IF(LEN($X$142)&gt;0,1,0)</f>
        <v/>
      </c>
      <c r="O142" s="2">
        <f>O141+IF(LEN($Y$142)&gt;0,1,0)</f>
        <v/>
      </c>
      <c r="P142" s="2">
        <f>P141+IF(LEN($Z$142)&gt;0,1,0)</f>
        <v/>
      </c>
      <c r="Q142" s="2">
        <f>Q141+IF(LEN($AA$142)&gt;0,1,0)</f>
        <v/>
      </c>
      <c r="R142" s="2">
        <f>R141+IF(LEN($AB$142)&gt;0,1,0)</f>
        <v/>
      </c>
      <c r="S142" s="2">
        <f>S141+IF(LEN($AC$142)&gt;0,1,0)</f>
        <v/>
      </c>
      <c r="T142" s="2">
        <f>T141+IF(LEN($AD$142)&gt;0,1,0)</f>
        <v/>
      </c>
      <c r="X142" s="2">
        <f>IF(ISERROR($B$142),"",IF(ISBLANK($B$142),"",$B$142))</f>
        <v/>
      </c>
      <c r="Y142" s="2">
        <f>IF(ISERROR($C$142),"",IF(ISBLANK($C$142),"",$C$142))</f>
        <v/>
      </c>
      <c r="Z142" s="2">
        <f>IF(ISERROR($D$142),"",IF(ISBLANK($D$142),"",$D$142))</f>
        <v/>
      </c>
      <c r="AA142" s="2">
        <f>IF(ISERROR($E$142),"",IF(ISBLANK($E$142),"",$E$142))</f>
        <v/>
      </c>
      <c r="AB142" s="2">
        <f>IF(ISERROR($F$142),"",IF(ISBLANK($F$142),"",$F$142))</f>
        <v/>
      </c>
      <c r="AC142" s="2">
        <f>IF(ISERROR($G$142),"",IF(ISBLANK($G$142),"",$G$142))</f>
        <v/>
      </c>
      <c r="AD142" s="2">
        <f>IF(ISERROR($H$142),"",IF(ISBLANK($H$142),"",$H$142))</f>
        <v/>
      </c>
      <c r="AG142" s="2">
        <f>ISERROR($B$142)*1+ISERROR($C$142)*1+ISERROR($D$142)*1+ISERROR($E$142)*1+ISERROR($F$142)*1+ISERROR($G$142)*1+ISERROR($H$142)*1</f>
        <v/>
      </c>
    </row>
    <row r="143" ht="26" customHeight="1">
      <c r="B143" s="33" t="inlineStr">
        <is>
          <t>Lúcia</t>
        </is>
      </c>
      <c r="C143" s="4" t="inlineStr">
        <is>
          <t>Songli</t>
        </is>
      </c>
      <c r="D143" s="4" t="inlineStr">
        <is>
          <t>Liuhaiqing</t>
        </is>
      </c>
      <c r="E143" s="4" t="inlineStr">
        <is>
          <t>Shin</t>
        </is>
      </c>
      <c r="F143" s="4" t="inlineStr">
        <is>
          <t>Ilevara</t>
        </is>
      </c>
      <c r="G143" s="4" t="inlineStr">
        <is>
          <t>Arno</t>
        </is>
      </c>
      <c r="H143" s="4" t="inlineStr">
        <is>
          <t>WY-19</t>
        </is>
      </c>
      <c r="K143" s="19">
        <f>IF(AG143&gt;0,"O Google leu como fórmula: digite de novo com ' na frente.","")</f>
        <v/>
      </c>
      <c r="N143" s="2">
        <f>N142+IF(LEN($X$143)&gt;0,1,0)</f>
        <v/>
      </c>
      <c r="O143" s="2">
        <f>O142+IF(LEN($Y$143)&gt;0,1,0)</f>
        <v/>
      </c>
      <c r="P143" s="2">
        <f>P142+IF(LEN($Z$143)&gt;0,1,0)</f>
        <v/>
      </c>
      <c r="Q143" s="2">
        <f>Q142+IF(LEN($AA$143)&gt;0,1,0)</f>
        <v/>
      </c>
      <c r="R143" s="2">
        <f>R142+IF(LEN($AB$143)&gt;0,1,0)</f>
        <v/>
      </c>
      <c r="S143" s="2">
        <f>S142+IF(LEN($AC$143)&gt;0,1,0)</f>
        <v/>
      </c>
      <c r="T143" s="2">
        <f>T142+IF(LEN($AD$143)&gt;0,1,0)</f>
        <v/>
      </c>
      <c r="X143" s="2">
        <f>IF(ISERROR($B$143),"",IF(ISBLANK($B$143),"",$B$143))</f>
        <v/>
      </c>
      <c r="Y143" s="2">
        <f>IF(ISERROR($C$143),"",IF(ISBLANK($C$143),"",$C$143))</f>
        <v/>
      </c>
      <c r="Z143" s="2">
        <f>IF(ISERROR($D$143),"",IF(ISBLANK($D$143),"",$D$143))</f>
        <v/>
      </c>
      <c r="AA143" s="2">
        <f>IF(ISERROR($E$143),"",IF(ISBLANK($E$143),"",$E$143))</f>
        <v/>
      </c>
      <c r="AB143" s="2">
        <f>IF(ISERROR($F$143),"",IF(ISBLANK($F$143),"",$F$143))</f>
        <v/>
      </c>
      <c r="AC143" s="2">
        <f>IF(ISERROR($G$143),"",IF(ISBLANK($G$143),"",$G$143))</f>
        <v/>
      </c>
      <c r="AD143" s="2">
        <f>IF(ISERROR($H$143),"",IF(ISBLANK($H$143),"",$H$143))</f>
        <v/>
      </c>
      <c r="AG143" s="2">
        <f>ISERROR($B$143)*1+ISERROR($C$143)*1+ISERROR($D$143)*1+ISERROR($E$143)*1+ISERROR($F$143)*1+ISERROR($G$143)*1+ISERROR($H$143)*1</f>
        <v/>
      </c>
    </row>
    <row r="144" ht="26" customHeight="1">
      <c r="B144" s="35" t="inlineStr">
        <is>
          <t>Bastian</t>
        </is>
      </c>
      <c r="C144" s="29" t="inlineStr">
        <is>
          <t>Ruoshui</t>
        </is>
      </c>
      <c r="D144" s="29" t="inlineStr">
        <is>
          <t>Shenlanyue</t>
        </is>
      </c>
      <c r="E144" s="29" t="inlineStr">
        <is>
          <t>Emi</t>
        </is>
      </c>
      <c r="F144" s="29" t="inlineStr">
        <is>
          <t>Auralie</t>
        </is>
      </c>
      <c r="G144" s="29" t="inlineStr">
        <is>
          <t>Leku</t>
        </is>
      </c>
      <c r="H144" s="29" t="inlineStr">
        <is>
          <t>BT-306</t>
        </is>
      </c>
      <c r="K144" s="19">
        <f>IF(AG144&gt;0,"O Google leu como fórmula: digite de novo com ' na frente.","")</f>
        <v/>
      </c>
      <c r="N144" s="2">
        <f>N143+IF(LEN($X$144)&gt;0,1,0)</f>
        <v/>
      </c>
      <c r="O144" s="2">
        <f>O143+IF(LEN($Y$144)&gt;0,1,0)</f>
        <v/>
      </c>
      <c r="P144" s="2">
        <f>P143+IF(LEN($Z$144)&gt;0,1,0)</f>
        <v/>
      </c>
      <c r="Q144" s="2">
        <f>Q143+IF(LEN($AA$144)&gt;0,1,0)</f>
        <v/>
      </c>
      <c r="R144" s="2">
        <f>R143+IF(LEN($AB$144)&gt;0,1,0)</f>
        <v/>
      </c>
      <c r="S144" s="2">
        <f>S143+IF(LEN($AC$144)&gt;0,1,0)</f>
        <v/>
      </c>
      <c r="T144" s="2">
        <f>T143+IF(LEN($AD$144)&gt;0,1,0)</f>
        <v/>
      </c>
      <c r="X144" s="2">
        <f>IF(ISERROR($B$144),"",IF(ISBLANK($B$144),"",$B$144))</f>
        <v/>
      </c>
      <c r="Y144" s="2">
        <f>IF(ISERROR($C$144),"",IF(ISBLANK($C$144),"",$C$144))</f>
        <v/>
      </c>
      <c r="Z144" s="2">
        <f>IF(ISERROR($D$144),"",IF(ISBLANK($D$144),"",$D$144))</f>
        <v/>
      </c>
      <c r="AA144" s="2">
        <f>IF(ISERROR($E$144),"",IF(ISBLANK($E$144),"",$E$144))</f>
        <v/>
      </c>
      <c r="AB144" s="2">
        <f>IF(ISERROR($F$144),"",IF(ISBLANK($F$144),"",$F$144))</f>
        <v/>
      </c>
      <c r="AC144" s="2">
        <f>IF(ISERROR($G$144),"",IF(ISBLANK($G$144),"",$G$144))</f>
        <v/>
      </c>
      <c r="AD144" s="2">
        <f>IF(ISERROR($H$144),"",IF(ISBLANK($H$144),"",$H$144))</f>
        <v/>
      </c>
      <c r="AG144" s="2">
        <f>ISERROR($B$144)*1+ISERROR($C$144)*1+ISERROR($D$144)*1+ISERROR($E$144)*1+ISERROR($F$144)*1+ISERROR($G$144)*1+ISERROR($H$144)*1</f>
        <v/>
      </c>
    </row>
    <row r="145" ht="26" customHeight="1">
      <c r="B145" s="33" t="inlineStr">
        <is>
          <t>Priya</t>
        </is>
      </c>
      <c r="C145" s="4" t="inlineStr">
        <is>
          <t>Heqing</t>
        </is>
      </c>
      <c r="D145" s="4" t="inlineStr">
        <is>
          <t>Zhaochaoyi</t>
        </is>
      </c>
      <c r="E145" s="4" t="inlineStr">
        <is>
          <t>Yori</t>
        </is>
      </c>
      <c r="F145" s="4" t="inlineStr">
        <is>
          <t>Selaro</t>
        </is>
      </c>
      <c r="G145" s="4" t="inlineStr">
        <is>
          <t>Mavi</t>
        </is>
      </c>
      <c r="H145" s="4" t="inlineStr">
        <is>
          <t>IO-22</t>
        </is>
      </c>
      <c r="K145" s="19">
        <f>IF(AG145&gt;0,"O Google leu como fórmula: digite de novo com ' na frente.","")</f>
        <v/>
      </c>
      <c r="N145" s="2">
        <f>N144+IF(LEN($X$145)&gt;0,1,0)</f>
        <v/>
      </c>
      <c r="O145" s="2">
        <f>O144+IF(LEN($Y$145)&gt;0,1,0)</f>
        <v/>
      </c>
      <c r="P145" s="2">
        <f>P144+IF(LEN($Z$145)&gt;0,1,0)</f>
        <v/>
      </c>
      <c r="Q145" s="2">
        <f>Q144+IF(LEN($AA$145)&gt;0,1,0)</f>
        <v/>
      </c>
      <c r="R145" s="2">
        <f>R144+IF(LEN($AB$145)&gt;0,1,0)</f>
        <v/>
      </c>
      <c r="S145" s="2">
        <f>S144+IF(LEN($AC$145)&gt;0,1,0)</f>
        <v/>
      </c>
      <c r="T145" s="2">
        <f>T144+IF(LEN($AD$145)&gt;0,1,0)</f>
        <v/>
      </c>
      <c r="X145" s="2">
        <f>IF(ISERROR($B$145),"",IF(ISBLANK($B$145),"",$B$145))</f>
        <v/>
      </c>
      <c r="Y145" s="2">
        <f>IF(ISERROR($C$145),"",IF(ISBLANK($C$145),"",$C$145))</f>
        <v/>
      </c>
      <c r="Z145" s="2">
        <f>IF(ISERROR($D$145),"",IF(ISBLANK($D$145),"",$D$145))</f>
        <v/>
      </c>
      <c r="AA145" s="2">
        <f>IF(ISERROR($E$145),"",IF(ISBLANK($E$145),"",$E$145))</f>
        <v/>
      </c>
      <c r="AB145" s="2">
        <f>IF(ISERROR($F$145),"",IF(ISBLANK($F$145),"",$F$145))</f>
        <v/>
      </c>
      <c r="AC145" s="2">
        <f>IF(ISERROR($G$145),"",IF(ISBLANK($G$145),"",$G$145))</f>
        <v/>
      </c>
      <c r="AD145" s="2">
        <f>IF(ISERROR($H$145),"",IF(ISBLANK($H$145),"",$H$145))</f>
        <v/>
      </c>
      <c r="AG145" s="2">
        <f>ISERROR($B$145)*1+ISERROR($C$145)*1+ISERROR($D$145)*1+ISERROR($E$145)*1+ISERROR($F$145)*1+ISERROR($G$145)*1+ISERROR($H$145)*1</f>
        <v/>
      </c>
    </row>
    <row r="146" ht="26" customHeight="1">
      <c r="B146" s="35" t="inlineStr">
        <is>
          <t>Caetano</t>
        </is>
      </c>
      <c r="C146" s="29" t="inlineStr">
        <is>
          <t>Lianyi</t>
        </is>
      </c>
      <c r="D146" s="29" t="inlineStr">
        <is>
          <t>Wuhaisheng</t>
        </is>
      </c>
      <c r="E146" s="29" t="inlineStr">
        <is>
          <t>Koto</t>
        </is>
      </c>
      <c r="F146" s="29" t="inlineStr">
        <is>
          <t>Maelune</t>
        </is>
      </c>
      <c r="G146" s="29" t="inlineStr">
        <is>
          <t>Odda</t>
        </is>
      </c>
      <c r="H146" s="29" t="inlineStr">
        <is>
          <t>FK-11</t>
        </is>
      </c>
      <c r="K146" s="19">
        <f>IF(AG146&gt;0,"O Google leu como fórmula: digite de novo com ' na frente.","")</f>
        <v/>
      </c>
      <c r="N146" s="2">
        <f>N145+IF(LEN($X$146)&gt;0,1,0)</f>
        <v/>
      </c>
      <c r="O146" s="2">
        <f>O145+IF(LEN($Y$146)&gt;0,1,0)</f>
        <v/>
      </c>
      <c r="P146" s="2">
        <f>P145+IF(LEN($Z$146)&gt;0,1,0)</f>
        <v/>
      </c>
      <c r="Q146" s="2">
        <f>Q145+IF(LEN($AA$146)&gt;0,1,0)</f>
        <v/>
      </c>
      <c r="R146" s="2">
        <f>R145+IF(LEN($AB$146)&gt;0,1,0)</f>
        <v/>
      </c>
      <c r="S146" s="2">
        <f>S145+IF(LEN($AC$146)&gt;0,1,0)</f>
        <v/>
      </c>
      <c r="T146" s="2">
        <f>T145+IF(LEN($AD$146)&gt;0,1,0)</f>
        <v/>
      </c>
      <c r="X146" s="2">
        <f>IF(ISERROR($B$146),"",IF(ISBLANK($B$146),"",$B$146))</f>
        <v/>
      </c>
      <c r="Y146" s="2">
        <f>IF(ISERROR($C$146),"",IF(ISBLANK($C$146),"",$C$146))</f>
        <v/>
      </c>
      <c r="Z146" s="2">
        <f>IF(ISERROR($D$146),"",IF(ISBLANK($D$146),"",$D$146))</f>
        <v/>
      </c>
      <c r="AA146" s="2">
        <f>IF(ISERROR($E$146),"",IF(ISBLANK($E$146),"",$E$146))</f>
        <v/>
      </c>
      <c r="AB146" s="2">
        <f>IF(ISERROR($F$146),"",IF(ISBLANK($F$146),"",$F$146))</f>
        <v/>
      </c>
      <c r="AC146" s="2">
        <f>IF(ISERROR($G$146),"",IF(ISBLANK($G$146),"",$G$146))</f>
        <v/>
      </c>
      <c r="AD146" s="2">
        <f>IF(ISERROR($H$146),"",IF(ISBLANK($H$146),"",$H$146))</f>
        <v/>
      </c>
      <c r="AG146" s="2">
        <f>ISERROR($B$146)*1+ISERROR($C$146)*1+ISERROR($D$146)*1+ISERROR($E$146)*1+ISERROR($F$146)*1+ISERROR($G$146)*1+ISERROR($H$146)*1</f>
        <v/>
      </c>
    </row>
    <row r="147" ht="26" customHeight="1">
      <c r="B147" s="33" t="inlineStr">
        <is>
          <t>Sigrid</t>
        </is>
      </c>
      <c r="C147" s="4" t="inlineStr">
        <is>
          <t>Chengfeng</t>
        </is>
      </c>
      <c r="D147" s="4" t="inlineStr">
        <is>
          <t>Yinlangshu</t>
        </is>
      </c>
      <c r="E147" s="4" t="inlineStr">
        <is>
          <t>Sumi</t>
        </is>
      </c>
      <c r="F147" s="4" t="inlineStr">
        <is>
          <t>Oriane</t>
        </is>
      </c>
      <c r="G147" s="4" t="inlineStr">
        <is>
          <t>Raki</t>
        </is>
      </c>
      <c r="H147" s="4" t="inlineStr">
        <is>
          <t>UR-6</t>
        </is>
      </c>
      <c r="K147" s="19">
        <f>IF(AG147&gt;0,"O Google leu como fórmula: digite de novo com ' na frente.","")</f>
        <v/>
      </c>
      <c r="N147" s="2">
        <f>N146+IF(LEN($X$147)&gt;0,1,0)</f>
        <v/>
      </c>
      <c r="O147" s="2">
        <f>O146+IF(LEN($Y$147)&gt;0,1,0)</f>
        <v/>
      </c>
      <c r="P147" s="2">
        <f>P146+IF(LEN($Z$147)&gt;0,1,0)</f>
        <v/>
      </c>
      <c r="Q147" s="2">
        <f>Q146+IF(LEN($AA$147)&gt;0,1,0)</f>
        <v/>
      </c>
      <c r="R147" s="2">
        <f>R146+IF(LEN($AB$147)&gt;0,1,0)</f>
        <v/>
      </c>
      <c r="S147" s="2">
        <f>S146+IF(LEN($AC$147)&gt;0,1,0)</f>
        <v/>
      </c>
      <c r="T147" s="2">
        <f>T146+IF(LEN($AD$147)&gt;0,1,0)</f>
        <v/>
      </c>
      <c r="X147" s="2">
        <f>IF(ISERROR($B$147),"",IF(ISBLANK($B$147),"",$B$147))</f>
        <v/>
      </c>
      <c r="Y147" s="2">
        <f>IF(ISERROR($C$147),"",IF(ISBLANK($C$147),"",$C$147))</f>
        <v/>
      </c>
      <c r="Z147" s="2">
        <f>IF(ISERROR($D$147),"",IF(ISBLANK($D$147),"",$D$147))</f>
        <v/>
      </c>
      <c r="AA147" s="2">
        <f>IF(ISERROR($E$147),"",IF(ISBLANK($E$147),"",$E$147))</f>
        <v/>
      </c>
      <c r="AB147" s="2">
        <f>IF(ISERROR($F$147),"",IF(ISBLANK($F$147),"",$F$147))</f>
        <v/>
      </c>
      <c r="AC147" s="2">
        <f>IF(ISERROR($G$147),"",IF(ISBLANK($G$147),"",$G$147))</f>
        <v/>
      </c>
      <c r="AD147" s="2">
        <f>IF(ISERROR($H$147),"",IF(ISBLANK($H$147),"",$H$147))</f>
        <v/>
      </c>
      <c r="AG147" s="2">
        <f>ISERROR($B$147)*1+ISERROR($C$147)*1+ISERROR($D$147)*1+ISERROR($E$147)*1+ISERROR($F$147)*1+ISERROR($G$147)*1+ISERROR($H$147)*1</f>
        <v/>
      </c>
    </row>
    <row r="148" ht="26" customHeight="1">
      <c r="B148" s="35" t="inlineStr">
        <is>
          <t>Matteo</t>
        </is>
      </c>
      <c r="C148" s="29" t="inlineStr">
        <is>
          <t>Mujin</t>
        </is>
      </c>
      <c r="D148" s="29" t="inlineStr">
        <is>
          <t>Huaichaoyun</t>
        </is>
      </c>
      <c r="E148" s="29" t="inlineStr">
        <is>
          <t>Maru</t>
        </is>
      </c>
      <c r="F148" s="29" t="inlineStr">
        <is>
          <t>Leova</t>
        </is>
      </c>
      <c r="G148" s="29" t="inlineStr">
        <is>
          <t>Tesa</t>
        </is>
      </c>
      <c r="H148" s="29" t="inlineStr">
        <is>
          <t>JD-90</t>
        </is>
      </c>
      <c r="K148" s="19">
        <f>IF(AG148&gt;0,"O Google leu como fórmula: digite de novo com ' na frente.","")</f>
        <v/>
      </c>
      <c r="N148" s="2">
        <f>N147+IF(LEN($X$148)&gt;0,1,0)</f>
        <v/>
      </c>
      <c r="O148" s="2">
        <f>O147+IF(LEN($Y$148)&gt;0,1,0)</f>
        <v/>
      </c>
      <c r="P148" s="2">
        <f>P147+IF(LEN($Z$148)&gt;0,1,0)</f>
        <v/>
      </c>
      <c r="Q148" s="2">
        <f>Q147+IF(LEN($AA$148)&gt;0,1,0)</f>
        <v/>
      </c>
      <c r="R148" s="2">
        <f>R147+IF(LEN($AB$148)&gt;0,1,0)</f>
        <v/>
      </c>
      <c r="S148" s="2">
        <f>S147+IF(LEN($AC$148)&gt;0,1,0)</f>
        <v/>
      </c>
      <c r="T148" s="2">
        <f>T147+IF(LEN($AD$148)&gt;0,1,0)</f>
        <v/>
      </c>
      <c r="X148" s="2">
        <f>IF(ISERROR($B$148),"",IF(ISBLANK($B$148),"",$B$148))</f>
        <v/>
      </c>
      <c r="Y148" s="2">
        <f>IF(ISERROR($C$148),"",IF(ISBLANK($C$148),"",$C$148))</f>
        <v/>
      </c>
      <c r="Z148" s="2">
        <f>IF(ISERROR($D$148),"",IF(ISBLANK($D$148),"",$D$148))</f>
        <v/>
      </c>
      <c r="AA148" s="2">
        <f>IF(ISERROR($E$148),"",IF(ISBLANK($E$148),"",$E$148))</f>
        <v/>
      </c>
      <c r="AB148" s="2">
        <f>IF(ISERROR($F$148),"",IF(ISBLANK($F$148),"",$F$148))</f>
        <v/>
      </c>
      <c r="AC148" s="2">
        <f>IF(ISERROR($G$148),"",IF(ISBLANK($G$148),"",$G$148))</f>
        <v/>
      </c>
      <c r="AD148" s="2">
        <f>IF(ISERROR($H$148),"",IF(ISBLANK($H$148),"",$H$148))</f>
        <v/>
      </c>
      <c r="AG148" s="2">
        <f>ISERROR($B$148)*1+ISERROR($C$148)*1+ISERROR($D$148)*1+ISERROR($E$148)*1+ISERROR($F$148)*1+ISERROR($G$148)*1+ISERROR($H$148)*1</f>
        <v/>
      </c>
    </row>
    <row r="149" ht="26" customHeight="1">
      <c r="B149" s="33" t="inlineStr">
        <is>
          <t>Zuleica</t>
        </is>
      </c>
      <c r="C149" s="4" t="inlineStr">
        <is>
          <t>Tianze</t>
        </is>
      </c>
      <c r="D149" s="4" t="inlineStr">
        <is>
          <t>Pingbohai</t>
        </is>
      </c>
      <c r="E149" s="4" t="inlineStr">
        <is>
          <t>Chika</t>
        </is>
      </c>
      <c r="F149" s="4" t="inlineStr">
        <is>
          <t>Inaela</t>
        </is>
      </c>
      <c r="G149" s="4" t="inlineStr">
        <is>
          <t>Uli</t>
        </is>
      </c>
      <c r="H149" s="4" t="inlineStr">
        <is>
          <t>CA-27</t>
        </is>
      </c>
      <c r="K149" s="19">
        <f>IF(AG149&gt;0,"O Google leu como fórmula: digite de novo com ' na frente.","")</f>
        <v/>
      </c>
      <c r="N149" s="2">
        <f>N148+IF(LEN($X$149)&gt;0,1,0)</f>
        <v/>
      </c>
      <c r="O149" s="2">
        <f>O148+IF(LEN($Y$149)&gt;0,1,0)</f>
        <v/>
      </c>
      <c r="P149" s="2">
        <f>P148+IF(LEN($Z$149)&gt;0,1,0)</f>
        <v/>
      </c>
      <c r="Q149" s="2">
        <f>Q148+IF(LEN($AA$149)&gt;0,1,0)</f>
        <v/>
      </c>
      <c r="R149" s="2">
        <f>R148+IF(LEN($AB$149)&gt;0,1,0)</f>
        <v/>
      </c>
      <c r="S149" s="2">
        <f>S148+IF(LEN($AC$149)&gt;0,1,0)</f>
        <v/>
      </c>
      <c r="T149" s="2">
        <f>T148+IF(LEN($AD$149)&gt;0,1,0)</f>
        <v/>
      </c>
      <c r="X149" s="2">
        <f>IF(ISERROR($B$149),"",IF(ISBLANK($B$149),"",$B$149))</f>
        <v/>
      </c>
      <c r="Y149" s="2">
        <f>IF(ISERROR($C$149),"",IF(ISBLANK($C$149),"",$C$149))</f>
        <v/>
      </c>
      <c r="Z149" s="2">
        <f>IF(ISERROR($D$149),"",IF(ISBLANK($D$149),"",$D$149))</f>
        <v/>
      </c>
      <c r="AA149" s="2">
        <f>IF(ISERROR($E$149),"",IF(ISBLANK($E$149),"",$E$149))</f>
        <v/>
      </c>
      <c r="AB149" s="2">
        <f>IF(ISERROR($F$149),"",IF(ISBLANK($F$149),"",$F$149))</f>
        <v/>
      </c>
      <c r="AC149" s="2">
        <f>IF(ISERROR($G$149),"",IF(ISBLANK($G$149),"",$G$149))</f>
        <v/>
      </c>
      <c r="AD149" s="2">
        <f>IF(ISERROR($H$149),"",IF(ISBLANK($H$149),"",$H$149))</f>
        <v/>
      </c>
      <c r="AG149" s="2">
        <f>ISERROR($B$149)*1+ISERROR($C$149)*1+ISERROR($D$149)*1+ISERROR($E$149)*1+ISERROR($F$149)*1+ISERROR($G$149)*1+ISERROR($H$149)*1</f>
        <v/>
      </c>
    </row>
    <row r="150" ht="26" customHeight="1">
      <c r="B150" s="35" t="inlineStr">
        <is>
          <t>Anselmo</t>
        </is>
      </c>
      <c r="C150" s="29" t="inlineStr">
        <is>
          <t>Xuanhe</t>
        </is>
      </c>
      <c r="D150" s="29" t="inlineStr">
        <is>
          <t>Jiangyuexin</t>
        </is>
      </c>
      <c r="E150" s="29" t="inlineStr">
        <is>
          <t>Rei</t>
        </is>
      </c>
      <c r="F150" s="29" t="inlineStr">
        <is>
          <t>Aruena</t>
        </is>
      </c>
      <c r="G150" s="29" t="inlineStr">
        <is>
          <t>Vasko</t>
        </is>
      </c>
      <c r="H150" s="29" t="inlineStr">
        <is>
          <t>YM-13</t>
        </is>
      </c>
      <c r="K150" s="19">
        <f>IF(AG150&gt;0,"O Google leu como fórmula: digite de novo com ' na frente.","")</f>
        <v/>
      </c>
      <c r="N150" s="2">
        <f>N149+IF(LEN($X$150)&gt;0,1,0)</f>
        <v/>
      </c>
      <c r="O150" s="2">
        <f>O149+IF(LEN($Y$150)&gt;0,1,0)</f>
        <v/>
      </c>
      <c r="P150" s="2">
        <f>P149+IF(LEN($Z$150)&gt;0,1,0)</f>
        <v/>
      </c>
      <c r="Q150" s="2">
        <f>Q149+IF(LEN($AA$150)&gt;0,1,0)</f>
        <v/>
      </c>
      <c r="R150" s="2">
        <f>R149+IF(LEN($AB$150)&gt;0,1,0)</f>
        <v/>
      </c>
      <c r="S150" s="2">
        <f>S149+IF(LEN($AC$150)&gt;0,1,0)</f>
        <v/>
      </c>
      <c r="T150" s="2">
        <f>T149+IF(LEN($AD$150)&gt;0,1,0)</f>
        <v/>
      </c>
      <c r="X150" s="2">
        <f>IF(ISERROR($B$150),"",IF(ISBLANK($B$150),"",$B$150))</f>
        <v/>
      </c>
      <c r="Y150" s="2">
        <f>IF(ISERROR($C$150),"",IF(ISBLANK($C$150),"",$C$150))</f>
        <v/>
      </c>
      <c r="Z150" s="2">
        <f>IF(ISERROR($D$150),"",IF(ISBLANK($D$150),"",$D$150))</f>
        <v/>
      </c>
      <c r="AA150" s="2">
        <f>IF(ISERROR($E$150),"",IF(ISBLANK($E$150),"",$E$150))</f>
        <v/>
      </c>
      <c r="AB150" s="2">
        <f>IF(ISERROR($F$150),"",IF(ISBLANK($F$150),"",$F$150))</f>
        <v/>
      </c>
      <c r="AC150" s="2">
        <f>IF(ISERROR($G$150),"",IF(ISBLANK($G$150),"",$G$150))</f>
        <v/>
      </c>
      <c r="AD150" s="2">
        <f>IF(ISERROR($H$150),"",IF(ISBLANK($H$150),"",$H$150))</f>
        <v/>
      </c>
      <c r="AG150" s="2">
        <f>ISERROR($B$150)*1+ISERROR($C$150)*1+ISERROR($D$150)*1+ISERROR($E$150)*1+ISERROR($F$150)*1+ISERROR($G$150)*1+ISERROR($H$150)*1</f>
        <v/>
      </c>
    </row>
    <row r="151" ht="26" customHeight="1">
      <c r="B151" s="33" t="inlineStr">
        <is>
          <t>Hanna</t>
        </is>
      </c>
      <c r="C151" s="4" t="inlineStr">
        <is>
          <t>Jianshu</t>
        </is>
      </c>
      <c r="D151" s="4" t="inlineStr">
        <is>
          <t>Moshuilan</t>
        </is>
      </c>
      <c r="E151" s="4" t="inlineStr">
        <is>
          <t>Ayu</t>
        </is>
      </c>
      <c r="F151" s="4" t="inlineStr">
        <is>
          <t>Celavo</t>
        </is>
      </c>
      <c r="G151" s="4" t="inlineStr">
        <is>
          <t>Yeni</t>
        </is>
      </c>
      <c r="H151" s="4" t="inlineStr">
        <is>
          <t>KR-55</t>
        </is>
      </c>
      <c r="K151" s="19">
        <f>IF(AG151&gt;0,"O Google leu como fórmula: digite de novo com ' na frente.","")</f>
        <v/>
      </c>
      <c r="N151" s="2">
        <f>N150+IF(LEN($X$151)&gt;0,1,0)</f>
        <v/>
      </c>
      <c r="O151" s="2">
        <f>O150+IF(LEN($Y$151)&gt;0,1,0)</f>
        <v/>
      </c>
      <c r="P151" s="2">
        <f>P150+IF(LEN($Z$151)&gt;0,1,0)</f>
        <v/>
      </c>
      <c r="Q151" s="2">
        <f>Q150+IF(LEN($AA$151)&gt;0,1,0)</f>
        <v/>
      </c>
      <c r="R151" s="2">
        <f>R150+IF(LEN($AB$151)&gt;0,1,0)</f>
        <v/>
      </c>
      <c r="S151" s="2">
        <f>S150+IF(LEN($AC$151)&gt;0,1,0)</f>
        <v/>
      </c>
      <c r="T151" s="2">
        <f>T150+IF(LEN($AD$151)&gt;0,1,0)</f>
        <v/>
      </c>
      <c r="X151" s="2">
        <f>IF(ISERROR($B$151),"",IF(ISBLANK($B$151),"",$B$151))</f>
        <v/>
      </c>
      <c r="Y151" s="2">
        <f>IF(ISERROR($C$151),"",IF(ISBLANK($C$151),"",$C$151))</f>
        <v/>
      </c>
      <c r="Z151" s="2">
        <f>IF(ISERROR($D$151),"",IF(ISBLANK($D$151),"",$D$151))</f>
        <v/>
      </c>
      <c r="AA151" s="2">
        <f>IF(ISERROR($E$151),"",IF(ISBLANK($E$151),"",$E$151))</f>
        <v/>
      </c>
      <c r="AB151" s="2">
        <f>IF(ISERROR($F$151),"",IF(ISBLANK($F$151),"",$F$151))</f>
        <v/>
      </c>
      <c r="AC151" s="2">
        <f>IF(ISERROR($G$151),"",IF(ISBLANK($G$151),"",$G$151))</f>
        <v/>
      </c>
      <c r="AD151" s="2">
        <f>IF(ISERROR($H$151),"",IF(ISBLANK($H$151),"",$H$151))</f>
        <v/>
      </c>
      <c r="AG151" s="2">
        <f>ISERROR($B$151)*1+ISERROR($C$151)*1+ISERROR($D$151)*1+ISERROR($E$151)*1+ISERROR($F$151)*1+ISERROR($G$151)*1+ISERROR($H$151)*1</f>
        <v/>
      </c>
    </row>
    <row r="152" ht="26" customHeight="1">
      <c r="B152" s="35" t="inlineStr">
        <is>
          <t>Otávio</t>
        </is>
      </c>
      <c r="C152" s="29" t="inlineStr">
        <is>
          <t>Shanqiu</t>
        </is>
      </c>
      <c r="D152" s="29" t="inlineStr">
        <is>
          <t>Haoranbohai</t>
        </is>
      </c>
      <c r="E152" s="29" t="inlineStr">
        <is>
          <t>Tsuki</t>
        </is>
      </c>
      <c r="F152" s="29" t="inlineStr">
        <is>
          <t>Elouan</t>
        </is>
      </c>
      <c r="G152" s="29" t="inlineStr">
        <is>
          <t>Zora</t>
        </is>
      </c>
      <c r="H152" s="29" t="inlineStr">
        <is>
          <t>SB-4</t>
        </is>
      </c>
      <c r="K152" s="19">
        <f>IF(AG152&gt;0,"O Google leu como fórmula: digite de novo com ' na frente.","")</f>
        <v/>
      </c>
      <c r="N152" s="2">
        <f>N151+IF(LEN($X$152)&gt;0,1,0)</f>
        <v/>
      </c>
      <c r="O152" s="2">
        <f>O151+IF(LEN($Y$152)&gt;0,1,0)</f>
        <v/>
      </c>
      <c r="P152" s="2">
        <f>P151+IF(LEN($Z$152)&gt;0,1,0)</f>
        <v/>
      </c>
      <c r="Q152" s="2">
        <f>Q151+IF(LEN($AA$152)&gt;0,1,0)</f>
        <v/>
      </c>
      <c r="R152" s="2">
        <f>R151+IF(LEN($AB$152)&gt;0,1,0)</f>
        <v/>
      </c>
      <c r="S152" s="2">
        <f>S151+IF(LEN($AC$152)&gt;0,1,0)</f>
        <v/>
      </c>
      <c r="T152" s="2">
        <f>T151+IF(LEN($AD$152)&gt;0,1,0)</f>
        <v/>
      </c>
      <c r="X152" s="2">
        <f>IF(ISERROR($B$152),"",IF(ISBLANK($B$152),"",$B$152))</f>
        <v/>
      </c>
      <c r="Y152" s="2">
        <f>IF(ISERROR($C$152),"",IF(ISBLANK($C$152),"",$C$152))</f>
        <v/>
      </c>
      <c r="Z152" s="2">
        <f>IF(ISERROR($D$152),"",IF(ISBLANK($D$152),"",$D$152))</f>
        <v/>
      </c>
      <c r="AA152" s="2">
        <f>IF(ISERROR($E$152),"",IF(ISBLANK($E$152),"",$E$152))</f>
        <v/>
      </c>
      <c r="AB152" s="2">
        <f>IF(ISERROR($F$152),"",IF(ISBLANK($F$152),"",$F$152))</f>
        <v/>
      </c>
      <c r="AC152" s="2">
        <f>IF(ISERROR($G$152),"",IF(ISBLANK($G$152),"",$G$152))</f>
        <v/>
      </c>
      <c r="AD152" s="2">
        <f>IF(ISERROR($H$152),"",IF(ISBLANK($H$152),"",$H$152))</f>
        <v/>
      </c>
      <c r="AG152" s="2">
        <f>ISERROR($B$152)*1+ISERROR($C$152)*1+ISERROR($D$152)*1+ISERROR($E$152)*1+ISERROR($F$152)*1+ISERROR($G$152)*1+ISERROR($H$152)*1</f>
        <v/>
      </c>
    </row>
    <row r="153" ht="26" customHeight="1">
      <c r="B153" s="33" t="inlineStr">
        <is>
          <t>Renata</t>
        </is>
      </c>
      <c r="C153" s="4" t="inlineStr">
        <is>
          <t>Yuanxi</t>
        </is>
      </c>
      <c r="D153" s="4" t="inlineStr">
        <is>
          <t>Qingchaozhi</t>
        </is>
      </c>
      <c r="E153" s="4" t="inlineStr">
        <is>
          <t>Nami</t>
        </is>
      </c>
      <c r="F153" s="4" t="inlineStr">
        <is>
          <t>Yselde</t>
        </is>
      </c>
      <c r="G153" s="4" t="inlineStr">
        <is>
          <t>Gabo</t>
        </is>
      </c>
      <c r="H153" s="4" t="inlineStr">
        <is>
          <t>PL-73</t>
        </is>
      </c>
      <c r="K153" s="19">
        <f>IF(AG153&gt;0,"O Google leu como fórmula: digite de novo com ' na frente.","")</f>
        <v/>
      </c>
      <c r="N153" s="2">
        <f>N152+IF(LEN($X$153)&gt;0,1,0)</f>
        <v/>
      </c>
      <c r="O153" s="2">
        <f>O152+IF(LEN($Y$153)&gt;0,1,0)</f>
        <v/>
      </c>
      <c r="P153" s="2">
        <f>P152+IF(LEN($Z$153)&gt;0,1,0)</f>
        <v/>
      </c>
      <c r="Q153" s="2">
        <f>Q152+IF(LEN($AA$153)&gt;0,1,0)</f>
        <v/>
      </c>
      <c r="R153" s="2">
        <f>R152+IF(LEN($AB$153)&gt;0,1,0)</f>
        <v/>
      </c>
      <c r="S153" s="2">
        <f>S152+IF(LEN($AC$153)&gt;0,1,0)</f>
        <v/>
      </c>
      <c r="T153" s="2">
        <f>T152+IF(LEN($AD$153)&gt;0,1,0)</f>
        <v/>
      </c>
      <c r="X153" s="2">
        <f>IF(ISERROR($B$153),"",IF(ISBLANK($B$153),"",$B$153))</f>
        <v/>
      </c>
      <c r="Y153" s="2">
        <f>IF(ISERROR($C$153),"",IF(ISBLANK($C$153),"",$C$153))</f>
        <v/>
      </c>
      <c r="Z153" s="2">
        <f>IF(ISERROR($D$153),"",IF(ISBLANK($D$153),"",$D$153))</f>
        <v/>
      </c>
      <c r="AA153" s="2">
        <f>IF(ISERROR($E$153),"",IF(ISBLANK($E$153),"",$E$153))</f>
        <v/>
      </c>
      <c r="AB153" s="2">
        <f>IF(ISERROR($F$153),"",IF(ISBLANK($F$153),"",$F$153))</f>
        <v/>
      </c>
      <c r="AC153" s="2">
        <f>IF(ISERROR($G$153),"",IF(ISBLANK($G$153),"",$G$153))</f>
        <v/>
      </c>
      <c r="AD153" s="2">
        <f>IF(ISERROR($H$153),"",IF(ISBLANK($H$153),"",$H$153))</f>
        <v/>
      </c>
      <c r="AG153" s="2">
        <f>ISERROR($B$153)*1+ISERROR($C$153)*1+ISERROR($D$153)*1+ISERROR($E$153)*1+ISERROR($F$153)*1+ISERROR($G$153)*1+ISERROR($H$153)*1</f>
        <v/>
      </c>
    </row>
    <row r="154" ht="15" customHeight="1">
      <c r="B154" s="8" t="inlineStr">
        <is>
          <t>Nome — Humano</t>
        </is>
      </c>
      <c r="C154" s="8" t="inlineStr">
        <is>
          <t>Nome — Xianzhouíta</t>
        </is>
      </c>
      <c r="D154" s="8" t="inlineStr">
        <is>
          <t>Nome — Vidyadhara</t>
        </is>
      </c>
      <c r="E154" s="8" t="inlineStr">
        <is>
          <t>Nome — Vulpes</t>
        </is>
      </c>
      <c r="F154" s="8" t="inlineStr">
        <is>
          <t>Nome — Haloviano</t>
        </is>
      </c>
      <c r="G154" s="8" t="inlineStr">
        <is>
          <t>Nome — Avginiano</t>
        </is>
      </c>
      <c r="H154" s="8" t="inlineStr">
        <is>
          <t>Nome — Intellitron</t>
        </is>
      </c>
      <c r="N154" s="2">
        <f>N153</f>
        <v/>
      </c>
      <c r="O154" s="2">
        <f>O153</f>
        <v/>
      </c>
      <c r="P154" s="2">
        <f>P153</f>
        <v/>
      </c>
      <c r="Q154" s="2">
        <f>Q153</f>
        <v/>
      </c>
      <c r="R154" s="2">
        <f>R153</f>
        <v/>
      </c>
      <c r="S154" s="2">
        <f>S153</f>
        <v/>
      </c>
      <c r="T154" s="2">
        <f>T153</f>
        <v/>
      </c>
      <c r="X154" s="2">
        <f>IF(ISERROR($B$154),"",IF(ISBLANK($B$154),"",$B$154))</f>
        <v/>
      </c>
      <c r="Y154" s="2">
        <f>IF(ISERROR($C$154),"",IF(ISBLANK($C$154),"",$C$154))</f>
        <v/>
      </c>
      <c r="Z154" s="2">
        <f>IF(ISERROR($D$154),"",IF(ISBLANK($D$154),"",$D$154))</f>
        <v/>
      </c>
      <c r="AA154" s="2">
        <f>IF(ISERROR($E$154),"",IF(ISBLANK($E$154),"",$E$154))</f>
        <v/>
      </c>
      <c r="AB154" s="2">
        <f>IF(ISERROR($F$154),"",IF(ISBLANK($F$154),"",$F$154))</f>
        <v/>
      </c>
      <c r="AC154" s="2">
        <f>IF(ISERROR($G$154),"",IF(ISBLANK($G$154),"",$G$154))</f>
        <v/>
      </c>
      <c r="AD154" s="2">
        <f>IF(ISERROR($H$154),"",IF(ISBLANK($H$154),"",$H$154))</f>
        <v/>
      </c>
    </row>
    <row r="155" ht="26" customHeight="1">
      <c r="B155" s="33" t="inlineStr">
        <is>
          <t>Kofi</t>
        </is>
      </c>
      <c r="C155" s="4" t="inlineStr">
        <is>
          <t>Zhuoran</t>
        </is>
      </c>
      <c r="D155" s="4" t="inlineStr">
        <is>
          <t>Ruilanhai</t>
        </is>
      </c>
      <c r="E155" s="4" t="inlineStr">
        <is>
          <t>Hoshi</t>
        </is>
      </c>
      <c r="F155" s="4" t="inlineStr">
        <is>
          <t>Amaleo</t>
        </is>
      </c>
      <c r="G155" s="4" t="inlineStr">
        <is>
          <t>Pema</t>
        </is>
      </c>
      <c r="H155" s="4" t="inlineStr">
        <is>
          <t>XE-38</t>
        </is>
      </c>
      <c r="K155" s="19">
        <f>IF(AG155&gt;0,"O Google leu como fórmula: digite de novo com ' na frente.","")</f>
        <v/>
      </c>
      <c r="N155" s="2">
        <f>N154+IF(LEN($X$155)&gt;0,1,0)</f>
        <v/>
      </c>
      <c r="O155" s="2">
        <f>O154+IF(LEN($Y$155)&gt;0,1,0)</f>
        <v/>
      </c>
      <c r="P155" s="2">
        <f>P154+IF(LEN($Z$155)&gt;0,1,0)</f>
        <v/>
      </c>
      <c r="Q155" s="2">
        <f>Q154+IF(LEN($AA$155)&gt;0,1,0)</f>
        <v/>
      </c>
      <c r="R155" s="2">
        <f>R154+IF(LEN($AB$155)&gt;0,1,0)</f>
        <v/>
      </c>
      <c r="S155" s="2">
        <f>S154+IF(LEN($AC$155)&gt;0,1,0)</f>
        <v/>
      </c>
      <c r="T155" s="2">
        <f>T154+IF(LEN($AD$155)&gt;0,1,0)</f>
        <v/>
      </c>
      <c r="X155" s="2">
        <f>IF(ISERROR($B$155),"",IF(ISBLANK($B$155),"",$B$155))</f>
        <v/>
      </c>
      <c r="Y155" s="2">
        <f>IF(ISERROR($C$155),"",IF(ISBLANK($C$155),"",$C$155))</f>
        <v/>
      </c>
      <c r="Z155" s="2">
        <f>IF(ISERROR($D$155),"",IF(ISBLANK($D$155),"",$D$155))</f>
        <v/>
      </c>
      <c r="AA155" s="2">
        <f>IF(ISERROR($E$155),"",IF(ISBLANK($E$155),"",$E$155))</f>
        <v/>
      </c>
      <c r="AB155" s="2">
        <f>IF(ISERROR($F$155),"",IF(ISBLANK($F$155),"",$F$155))</f>
        <v/>
      </c>
      <c r="AC155" s="2">
        <f>IF(ISERROR($G$155),"",IF(ISBLANK($G$155),"",$G$155))</f>
        <v/>
      </c>
      <c r="AD155" s="2">
        <f>IF(ISERROR($H$155),"",IF(ISBLANK($H$155),"",$H$155))</f>
        <v/>
      </c>
      <c r="AG155" s="2">
        <f>ISERROR($B$155)*1+ISERROR($C$155)*1+ISERROR($D$155)*1+ISERROR($E$155)*1+ISERROR($F$155)*1+ISERROR($G$155)*1+ISERROR($H$155)*1</f>
        <v/>
      </c>
    </row>
    <row r="156" ht="26" customHeight="1">
      <c r="B156" s="35" t="inlineStr">
        <is>
          <t>Ilse</t>
        </is>
      </c>
      <c r="C156" s="29" t="inlineStr">
        <is>
          <t>Kunlin</t>
        </is>
      </c>
      <c r="D156" s="29" t="inlineStr">
        <is>
          <t>Xiaochaoming</t>
        </is>
      </c>
      <c r="E156" s="29" t="inlineStr">
        <is>
          <t>Kazu</t>
        </is>
      </c>
      <c r="F156" s="29" t="inlineStr">
        <is>
          <t>Oleanor</t>
        </is>
      </c>
      <c r="G156" s="29" t="inlineStr">
        <is>
          <t>Orik</t>
        </is>
      </c>
      <c r="H156" s="29" t="inlineStr">
        <is>
          <t>MO-1</t>
        </is>
      </c>
      <c r="K156" s="19">
        <f>IF(AG156&gt;0,"O Google leu como fórmula: digite de novo com ' na frente.","")</f>
        <v/>
      </c>
      <c r="N156" s="2">
        <f>N155+IF(LEN($X$156)&gt;0,1,0)</f>
        <v/>
      </c>
      <c r="O156" s="2">
        <f>O155+IF(LEN($Y$156)&gt;0,1,0)</f>
        <v/>
      </c>
      <c r="P156" s="2">
        <f>P155+IF(LEN($Z$156)&gt;0,1,0)</f>
        <v/>
      </c>
      <c r="Q156" s="2">
        <f>Q155+IF(LEN($AA$156)&gt;0,1,0)</f>
        <v/>
      </c>
      <c r="R156" s="2">
        <f>R155+IF(LEN($AB$156)&gt;0,1,0)</f>
        <v/>
      </c>
      <c r="S156" s="2">
        <f>S155+IF(LEN($AC$156)&gt;0,1,0)</f>
        <v/>
      </c>
      <c r="T156" s="2">
        <f>T155+IF(LEN($AD$156)&gt;0,1,0)</f>
        <v/>
      </c>
      <c r="X156" s="2">
        <f>IF(ISERROR($B$156),"",IF(ISBLANK($B$156),"",$B$156))</f>
        <v/>
      </c>
      <c r="Y156" s="2">
        <f>IF(ISERROR($C$156),"",IF(ISBLANK($C$156),"",$C$156))</f>
        <v/>
      </c>
      <c r="Z156" s="2">
        <f>IF(ISERROR($D$156),"",IF(ISBLANK($D$156),"",$D$156))</f>
        <v/>
      </c>
      <c r="AA156" s="2">
        <f>IF(ISERROR($E$156),"",IF(ISBLANK($E$156),"",$E$156))</f>
        <v/>
      </c>
      <c r="AB156" s="2">
        <f>IF(ISERROR($F$156),"",IF(ISBLANK($F$156),"",$F$156))</f>
        <v/>
      </c>
      <c r="AC156" s="2">
        <f>IF(ISERROR($G$156),"",IF(ISBLANK($G$156),"",$G$156))</f>
        <v/>
      </c>
      <c r="AD156" s="2">
        <f>IF(ISERROR($H$156),"",IF(ISBLANK($H$156),"",$H$156))</f>
        <v/>
      </c>
      <c r="AG156" s="2">
        <f>ISERROR($B$156)*1+ISERROR($C$156)*1+ISERROR($D$156)*1+ISERROR($E$156)*1+ISERROR($F$156)*1+ISERROR($G$156)*1+ISERROR($H$156)*1</f>
        <v/>
      </c>
    </row>
    <row r="157" ht="26" customHeight="1">
      <c r="B157" s="33" t="inlineStr">
        <is>
          <t>Esperança</t>
        </is>
      </c>
      <c r="C157" s="4" t="inlineStr">
        <is>
          <t>Haoyu</t>
        </is>
      </c>
      <c r="D157" s="4" t="inlineStr">
        <is>
          <t>Duhaiyuan</t>
        </is>
      </c>
      <c r="E157" s="4" t="inlineStr">
        <is>
          <t>Fumi</t>
        </is>
      </c>
      <c r="F157" s="4" t="inlineStr">
        <is>
          <t>Siora</t>
        </is>
      </c>
      <c r="G157" s="4" t="inlineStr">
        <is>
          <t>Dessa</t>
        </is>
      </c>
      <c r="H157" s="4" t="inlineStr">
        <is>
          <t>TR-210</t>
        </is>
      </c>
      <c r="K157" s="19">
        <f>IF(AG157&gt;0,"O Google leu como fórmula: digite de novo com ' na frente.","")</f>
        <v/>
      </c>
      <c r="N157" s="2">
        <f>N156+IF(LEN($X$157)&gt;0,1,0)</f>
        <v/>
      </c>
      <c r="O157" s="2">
        <f>O156+IF(LEN($Y$157)&gt;0,1,0)</f>
        <v/>
      </c>
      <c r="P157" s="2">
        <f>P156+IF(LEN($Z$157)&gt;0,1,0)</f>
        <v/>
      </c>
      <c r="Q157" s="2">
        <f>Q156+IF(LEN($AA$157)&gt;0,1,0)</f>
        <v/>
      </c>
      <c r="R157" s="2">
        <f>R156+IF(LEN($AB$157)&gt;0,1,0)</f>
        <v/>
      </c>
      <c r="S157" s="2">
        <f>S156+IF(LEN($AC$157)&gt;0,1,0)</f>
        <v/>
      </c>
      <c r="T157" s="2">
        <f>T156+IF(LEN($AD$157)&gt;0,1,0)</f>
        <v/>
      </c>
      <c r="X157" s="2">
        <f>IF(ISERROR($B$157),"",IF(ISBLANK($B$157),"",$B$157))</f>
        <v/>
      </c>
      <c r="Y157" s="2">
        <f>IF(ISERROR($C$157),"",IF(ISBLANK($C$157),"",$C$157))</f>
        <v/>
      </c>
      <c r="Z157" s="2">
        <f>IF(ISERROR($D$157),"",IF(ISBLANK($D$157),"",$D$157))</f>
        <v/>
      </c>
      <c r="AA157" s="2">
        <f>IF(ISERROR($E$157),"",IF(ISBLANK($E$157),"",$E$157))</f>
        <v/>
      </c>
      <c r="AB157" s="2">
        <f>IF(ISERROR($F$157),"",IF(ISBLANK($F$157),"",$F$157))</f>
        <v/>
      </c>
      <c r="AC157" s="2">
        <f>IF(ISERROR($G$157),"",IF(ISBLANK($G$157),"",$G$157))</f>
        <v/>
      </c>
      <c r="AD157" s="2">
        <f>IF(ISERROR($H$157),"",IF(ISBLANK($H$157),"",$H$157))</f>
        <v/>
      </c>
      <c r="AG157" s="2">
        <f>ISERROR($B$157)*1+ISERROR($C$157)*1+ISERROR($D$157)*1+ISERROR($E$157)*1+ISERROR($F$157)*1+ISERROR($G$157)*1+ISERROR($H$157)*1</f>
        <v/>
      </c>
    </row>
    <row r="158" ht="26" customHeight="1">
      <c r="B158" s="35" t="inlineStr">
        <is>
          <t>Leif</t>
        </is>
      </c>
      <c r="C158" s="29" t="inlineStr">
        <is>
          <t>Baozhen</t>
        </is>
      </c>
      <c r="D158" s="29" t="inlineStr">
        <is>
          <t>Lanchaosong</t>
        </is>
      </c>
      <c r="E158" s="29" t="inlineStr">
        <is>
          <t>Akane</t>
        </is>
      </c>
      <c r="F158" s="29" t="inlineStr">
        <is>
          <t>Evarina</t>
        </is>
      </c>
      <c r="G158" s="29" t="inlineStr">
        <is>
          <t>Fen</t>
        </is>
      </c>
      <c r="H158" s="29" t="inlineStr">
        <is>
          <t>DV-66</t>
        </is>
      </c>
      <c r="K158" s="19">
        <f>IF(AG158&gt;0,"O Google leu como fórmula: digite de novo com ' na frente.","")</f>
        <v/>
      </c>
      <c r="N158" s="2">
        <f>N157+IF(LEN($X$158)&gt;0,1,0)</f>
        <v/>
      </c>
      <c r="O158" s="2">
        <f>O157+IF(LEN($Y$158)&gt;0,1,0)</f>
        <v/>
      </c>
      <c r="P158" s="2">
        <f>P157+IF(LEN($Z$158)&gt;0,1,0)</f>
        <v/>
      </c>
      <c r="Q158" s="2">
        <f>Q157+IF(LEN($AA$158)&gt;0,1,0)</f>
        <v/>
      </c>
      <c r="R158" s="2">
        <f>R157+IF(LEN($AB$158)&gt;0,1,0)</f>
        <v/>
      </c>
      <c r="S158" s="2">
        <f>S157+IF(LEN($AC$158)&gt;0,1,0)</f>
        <v/>
      </c>
      <c r="T158" s="2">
        <f>T157+IF(LEN($AD$158)&gt;0,1,0)</f>
        <v/>
      </c>
      <c r="X158" s="2">
        <f>IF(ISERROR($B$158),"",IF(ISBLANK($B$158),"",$B$158))</f>
        <v/>
      </c>
      <c r="Y158" s="2">
        <f>IF(ISERROR($C$158),"",IF(ISBLANK($C$158),"",$C$158))</f>
        <v/>
      </c>
      <c r="Z158" s="2">
        <f>IF(ISERROR($D$158),"",IF(ISBLANK($D$158),"",$D$158))</f>
        <v/>
      </c>
      <c r="AA158" s="2">
        <f>IF(ISERROR($E$158),"",IF(ISBLANK($E$158),"",$E$158))</f>
        <v/>
      </c>
      <c r="AB158" s="2">
        <f>IF(ISERROR($F$158),"",IF(ISBLANK($F$158),"",$F$158))</f>
        <v/>
      </c>
      <c r="AC158" s="2">
        <f>IF(ISERROR($G$158),"",IF(ISBLANK($G$158),"",$G$158))</f>
        <v/>
      </c>
      <c r="AD158" s="2">
        <f>IF(ISERROR($H$158),"",IF(ISBLANK($H$158),"",$H$158))</f>
        <v/>
      </c>
      <c r="AG158" s="2">
        <f>ISERROR($B$158)*1+ISERROR($C$158)*1+ISERROR($D$158)*1+ISERROR($E$158)*1+ISERROR($F$158)*1+ISERROR($G$158)*1+ISERROR($H$158)*1</f>
        <v/>
      </c>
    </row>
    <row r="159" ht="26" customHeight="1">
      <c r="B159" s="33" t="inlineStr">
        <is>
          <t>Amara</t>
        </is>
      </c>
      <c r="C159" s="4" t="inlineStr">
        <is>
          <t>Dezhao</t>
        </is>
      </c>
      <c r="D159" s="4" t="inlineStr">
        <is>
          <t>Wenbolang</t>
        </is>
      </c>
      <c r="E159" s="4" t="inlineStr">
        <is>
          <t>Ume</t>
        </is>
      </c>
      <c r="F159" s="4" t="inlineStr">
        <is>
          <t>Aurenor</t>
        </is>
      </c>
      <c r="G159" s="4" t="inlineStr">
        <is>
          <t>Juta</t>
        </is>
      </c>
      <c r="H159" s="4" t="inlineStr">
        <is>
          <t>HZ-501</t>
        </is>
      </c>
      <c r="K159" s="19">
        <f>IF(AG159&gt;0,"O Google leu como fórmula: digite de novo com ' na frente.","")</f>
        <v/>
      </c>
      <c r="N159" s="2">
        <f>N158+IF(LEN($X$159)&gt;0,1,0)</f>
        <v/>
      </c>
      <c r="O159" s="2">
        <f>O158+IF(LEN($Y$159)&gt;0,1,0)</f>
        <v/>
      </c>
      <c r="P159" s="2">
        <f>P158+IF(LEN($Z$159)&gt;0,1,0)</f>
        <v/>
      </c>
      <c r="Q159" s="2">
        <f>Q158+IF(LEN($AA$159)&gt;0,1,0)</f>
        <v/>
      </c>
      <c r="R159" s="2">
        <f>R158+IF(LEN($AB$159)&gt;0,1,0)</f>
        <v/>
      </c>
      <c r="S159" s="2">
        <f>S158+IF(LEN($AC$159)&gt;0,1,0)</f>
        <v/>
      </c>
      <c r="T159" s="2">
        <f>T158+IF(LEN($AD$159)&gt;0,1,0)</f>
        <v/>
      </c>
      <c r="X159" s="2">
        <f>IF(ISERROR($B$159),"",IF(ISBLANK($B$159),"",$B$159))</f>
        <v/>
      </c>
      <c r="Y159" s="2">
        <f>IF(ISERROR($C$159),"",IF(ISBLANK($C$159),"",$C$159))</f>
        <v/>
      </c>
      <c r="Z159" s="2">
        <f>IF(ISERROR($D$159),"",IF(ISBLANK($D$159),"",$D$159))</f>
        <v/>
      </c>
      <c r="AA159" s="2">
        <f>IF(ISERROR($E$159),"",IF(ISBLANK($E$159),"",$E$159))</f>
        <v/>
      </c>
      <c r="AB159" s="2">
        <f>IF(ISERROR($F$159),"",IF(ISBLANK($F$159),"",$F$159))</f>
        <v/>
      </c>
      <c r="AC159" s="2">
        <f>IF(ISERROR($G$159),"",IF(ISBLANK($G$159),"",$G$159))</f>
        <v/>
      </c>
      <c r="AD159" s="2">
        <f>IF(ISERROR($H$159),"",IF(ISBLANK($H$159),"",$H$159))</f>
        <v/>
      </c>
      <c r="AG159" s="2">
        <f>ISERROR($B$159)*1+ISERROR($C$159)*1+ISERROR($D$159)*1+ISERROR($E$159)*1+ISERROR($F$159)*1+ISERROR($G$159)*1+ISERROR($H$159)*1</f>
        <v/>
      </c>
    </row>
    <row r="160" ht="26" customHeight="1">
      <c r="B160" s="35" t="inlineStr">
        <is>
          <t>Vítor</t>
        </is>
      </c>
      <c r="C160" s="29" t="inlineStr">
        <is>
          <t>Qiaoming</t>
        </is>
      </c>
      <c r="D160" s="29" t="n"/>
      <c r="E160" s="29" t="n"/>
      <c r="F160" s="29" t="n"/>
      <c r="G160" s="29" t="n"/>
      <c r="H160" s="29" t="n"/>
      <c r="K160" s="19">
        <f>IF(AG160&gt;0,"O Google leu como fórmula: digite de novo com ' na frente.","")</f>
        <v/>
      </c>
      <c r="N160" s="2">
        <f>N159+IF(LEN($X$160)&gt;0,1,0)</f>
        <v/>
      </c>
      <c r="O160" s="2">
        <f>O159+IF(LEN($Y$160)&gt;0,1,0)</f>
        <v/>
      </c>
      <c r="P160" s="2">
        <f>P159+IF(LEN($Z$160)&gt;0,1,0)</f>
        <v/>
      </c>
      <c r="Q160" s="2">
        <f>Q159+IF(LEN($AA$160)&gt;0,1,0)</f>
        <v/>
      </c>
      <c r="R160" s="2">
        <f>R159+IF(LEN($AB$160)&gt;0,1,0)</f>
        <v/>
      </c>
      <c r="S160" s="2">
        <f>S159+IF(LEN($AC$160)&gt;0,1,0)</f>
        <v/>
      </c>
      <c r="T160" s="2">
        <f>T159+IF(LEN($AD$160)&gt;0,1,0)</f>
        <v/>
      </c>
      <c r="X160" s="2">
        <f>IF(ISERROR($B$160),"",IF(ISBLANK($B$160),"",$B$160))</f>
        <v/>
      </c>
      <c r="Y160" s="2">
        <f>IF(ISERROR($C$160),"",IF(ISBLANK($C$160),"",$C$160))</f>
        <v/>
      </c>
      <c r="Z160" s="2">
        <f>IF(ISERROR($D$160),"",IF(ISBLANK($D$160),"",$D$160))</f>
        <v/>
      </c>
      <c r="AA160" s="2">
        <f>IF(ISERROR($E$160),"",IF(ISBLANK($E$160),"",$E$160))</f>
        <v/>
      </c>
      <c r="AB160" s="2">
        <f>IF(ISERROR($F$160),"",IF(ISBLANK($F$160),"",$F$160))</f>
        <v/>
      </c>
      <c r="AC160" s="2">
        <f>IF(ISERROR($G$160),"",IF(ISBLANK($G$160),"",$G$160))</f>
        <v/>
      </c>
      <c r="AD160" s="2">
        <f>IF(ISERROR($H$160),"",IF(ISBLANK($H$160),"",$H$160))</f>
        <v/>
      </c>
      <c r="AG160" s="2">
        <f>ISERROR($B$160)*1+ISERROR($C$160)*1+ISERROR($D$160)*1+ISERROR($E$160)*1+ISERROR($F$160)*1+ISERROR($G$160)*1+ISERROR($H$160)*1</f>
        <v/>
      </c>
    </row>
    <row r="161" ht="26" customHeight="1">
      <c r="B161" s="33" t="n"/>
      <c r="C161" s="4" t="n"/>
      <c r="D161" s="4" t="n"/>
      <c r="E161" s="4" t="n"/>
      <c r="F161" s="4" t="n"/>
      <c r="G161" s="4" t="n"/>
      <c r="H161" s="4" t="n"/>
      <c r="K161" s="19">
        <f>IF(AG161&gt;0,"O Google leu como fórmula: digite de novo com ' na frente.","")</f>
        <v/>
      </c>
      <c r="N161" s="2">
        <f>N160+IF(LEN($X$161)&gt;0,1,0)</f>
        <v/>
      </c>
      <c r="O161" s="2">
        <f>O160+IF(LEN($Y$161)&gt;0,1,0)</f>
        <v/>
      </c>
      <c r="P161" s="2">
        <f>P160+IF(LEN($Z$161)&gt;0,1,0)</f>
        <v/>
      </c>
      <c r="Q161" s="2">
        <f>Q160+IF(LEN($AA$161)&gt;0,1,0)</f>
        <v/>
      </c>
      <c r="R161" s="2">
        <f>R160+IF(LEN($AB$161)&gt;0,1,0)</f>
        <v/>
      </c>
      <c r="S161" s="2">
        <f>S160+IF(LEN($AC$161)&gt;0,1,0)</f>
        <v/>
      </c>
      <c r="T161" s="2">
        <f>T160+IF(LEN($AD$161)&gt;0,1,0)</f>
        <v/>
      </c>
      <c r="X161" s="2">
        <f>IF(ISERROR($B$161),"",IF(ISBLANK($B$161),"",$B$161))</f>
        <v/>
      </c>
      <c r="Y161" s="2">
        <f>IF(ISERROR($C$161),"",IF(ISBLANK($C$161),"",$C$161))</f>
        <v/>
      </c>
      <c r="Z161" s="2">
        <f>IF(ISERROR($D$161),"",IF(ISBLANK($D$161),"",$D$161))</f>
        <v/>
      </c>
      <c r="AA161" s="2">
        <f>IF(ISERROR($E$161),"",IF(ISBLANK($E$161),"",$E$161))</f>
        <v/>
      </c>
      <c r="AB161" s="2">
        <f>IF(ISERROR($F$161),"",IF(ISBLANK($F$161),"",$F$161))</f>
        <v/>
      </c>
      <c r="AC161" s="2">
        <f>IF(ISERROR($G$161),"",IF(ISBLANK($G$161),"",$G$161))</f>
        <v/>
      </c>
      <c r="AD161" s="2">
        <f>IF(ISERROR($H$161),"",IF(ISBLANK($H$161),"",$H$161))</f>
        <v/>
      </c>
      <c r="AG161" s="2">
        <f>ISERROR($B$161)*1+ISERROR($C$161)*1+ISERROR($D$161)*1+ISERROR($E$161)*1+ISERROR($F$161)*1+ISERROR($G$161)*1+ISERROR($H$161)*1</f>
        <v/>
      </c>
    </row>
    <row r="162" ht="26" customHeight="1">
      <c r="B162" s="35" t="n"/>
      <c r="C162" s="29" t="n"/>
      <c r="D162" s="29" t="n"/>
      <c r="E162" s="29" t="n"/>
      <c r="F162" s="29" t="n"/>
      <c r="G162" s="29" t="n"/>
      <c r="H162" s="29" t="n"/>
      <c r="K162" s="19">
        <f>IF(AG162&gt;0,"O Google leu como fórmula: digite de novo com ' na frente.","")</f>
        <v/>
      </c>
      <c r="N162" s="2">
        <f>N161+IF(LEN($X$162)&gt;0,1,0)</f>
        <v/>
      </c>
      <c r="O162" s="2">
        <f>O161+IF(LEN($Y$162)&gt;0,1,0)</f>
        <v/>
      </c>
      <c r="P162" s="2">
        <f>P161+IF(LEN($Z$162)&gt;0,1,0)</f>
        <v/>
      </c>
      <c r="Q162" s="2">
        <f>Q161+IF(LEN($AA$162)&gt;0,1,0)</f>
        <v/>
      </c>
      <c r="R162" s="2">
        <f>R161+IF(LEN($AB$162)&gt;0,1,0)</f>
        <v/>
      </c>
      <c r="S162" s="2">
        <f>S161+IF(LEN($AC$162)&gt;0,1,0)</f>
        <v/>
      </c>
      <c r="T162" s="2">
        <f>T161+IF(LEN($AD$162)&gt;0,1,0)</f>
        <v/>
      </c>
      <c r="X162" s="2">
        <f>IF(ISERROR($B$162),"",IF(ISBLANK($B$162),"",$B$162))</f>
        <v/>
      </c>
      <c r="Y162" s="2">
        <f>IF(ISERROR($C$162),"",IF(ISBLANK($C$162),"",$C$162))</f>
        <v/>
      </c>
      <c r="Z162" s="2">
        <f>IF(ISERROR($D$162),"",IF(ISBLANK($D$162),"",$D$162))</f>
        <v/>
      </c>
      <c r="AA162" s="2">
        <f>IF(ISERROR($E$162),"",IF(ISBLANK($E$162),"",$E$162))</f>
        <v/>
      </c>
      <c r="AB162" s="2">
        <f>IF(ISERROR($F$162),"",IF(ISBLANK($F$162),"",$F$162))</f>
        <v/>
      </c>
      <c r="AC162" s="2">
        <f>IF(ISERROR($G$162),"",IF(ISBLANK($G$162),"",$G$162))</f>
        <v/>
      </c>
      <c r="AD162" s="2">
        <f>IF(ISERROR($H$162),"",IF(ISBLANK($H$162),"",$H$162))</f>
        <v/>
      </c>
      <c r="AG162" s="2">
        <f>ISERROR($B$162)*1+ISERROR($C$162)*1+ISERROR($D$162)*1+ISERROR($E$162)*1+ISERROR($F$162)*1+ISERROR($G$162)*1+ISERROR($H$162)*1</f>
        <v/>
      </c>
    </row>
    <row r="163" ht="26" customHeight="1">
      <c r="B163" s="33" t="n"/>
      <c r="C163" s="4" t="n"/>
      <c r="D163" s="4" t="n"/>
      <c r="E163" s="4" t="n"/>
      <c r="F163" s="4" t="n"/>
      <c r="G163" s="4" t="n"/>
      <c r="H163" s="4" t="n"/>
      <c r="K163" s="19">
        <f>IF(AG163&gt;0,"O Google leu como fórmula: digite de novo com ' na frente.","")</f>
        <v/>
      </c>
      <c r="N163" s="2">
        <f>N162+IF(LEN($X$163)&gt;0,1,0)</f>
        <v/>
      </c>
      <c r="O163" s="2">
        <f>O162+IF(LEN($Y$163)&gt;0,1,0)</f>
        <v/>
      </c>
      <c r="P163" s="2">
        <f>P162+IF(LEN($Z$163)&gt;0,1,0)</f>
        <v/>
      </c>
      <c r="Q163" s="2">
        <f>Q162+IF(LEN($AA$163)&gt;0,1,0)</f>
        <v/>
      </c>
      <c r="R163" s="2">
        <f>R162+IF(LEN($AB$163)&gt;0,1,0)</f>
        <v/>
      </c>
      <c r="S163" s="2">
        <f>S162+IF(LEN($AC$163)&gt;0,1,0)</f>
        <v/>
      </c>
      <c r="T163" s="2">
        <f>T162+IF(LEN($AD$163)&gt;0,1,0)</f>
        <v/>
      </c>
      <c r="X163" s="2">
        <f>IF(ISERROR($B$163),"",IF(ISBLANK($B$163),"",$B$163))</f>
        <v/>
      </c>
      <c r="Y163" s="2">
        <f>IF(ISERROR($C$163),"",IF(ISBLANK($C$163),"",$C$163))</f>
        <v/>
      </c>
      <c r="Z163" s="2">
        <f>IF(ISERROR($D$163),"",IF(ISBLANK($D$163),"",$D$163))</f>
        <v/>
      </c>
      <c r="AA163" s="2">
        <f>IF(ISERROR($E$163),"",IF(ISBLANK($E$163),"",$E$163))</f>
        <v/>
      </c>
      <c r="AB163" s="2">
        <f>IF(ISERROR($F$163),"",IF(ISBLANK($F$163),"",$F$163))</f>
        <v/>
      </c>
      <c r="AC163" s="2">
        <f>IF(ISERROR($G$163),"",IF(ISBLANK($G$163),"",$G$163))</f>
        <v/>
      </c>
      <c r="AD163" s="2">
        <f>IF(ISERROR($H$163),"",IF(ISBLANK($H$163),"",$H$163))</f>
        <v/>
      </c>
      <c r="AG163" s="2">
        <f>ISERROR($B$163)*1+ISERROR($C$163)*1+ISERROR($D$163)*1+ISERROR($E$163)*1+ISERROR($F$163)*1+ISERROR($G$163)*1+ISERROR($H$163)*1</f>
        <v/>
      </c>
    </row>
    <row r="164" ht="26" customHeight="1">
      <c r="B164" s="35" t="n"/>
      <c r="C164" s="29" t="n"/>
      <c r="D164" s="29" t="n"/>
      <c r="E164" s="29" t="n"/>
      <c r="F164" s="29" t="n"/>
      <c r="G164" s="29" t="n"/>
      <c r="H164" s="29" t="n"/>
      <c r="K164" s="19">
        <f>IF(AG164&gt;0,"O Google leu como fórmula: digite de novo com ' na frente.","")</f>
        <v/>
      </c>
      <c r="N164" s="2">
        <f>N163+IF(LEN($X$164)&gt;0,1,0)</f>
        <v/>
      </c>
      <c r="O164" s="2">
        <f>O163+IF(LEN($Y$164)&gt;0,1,0)</f>
        <v/>
      </c>
      <c r="P164" s="2">
        <f>P163+IF(LEN($Z$164)&gt;0,1,0)</f>
        <v/>
      </c>
      <c r="Q164" s="2">
        <f>Q163+IF(LEN($AA$164)&gt;0,1,0)</f>
        <v/>
      </c>
      <c r="R164" s="2">
        <f>R163+IF(LEN($AB$164)&gt;0,1,0)</f>
        <v/>
      </c>
      <c r="S164" s="2">
        <f>S163+IF(LEN($AC$164)&gt;0,1,0)</f>
        <v/>
      </c>
      <c r="T164" s="2">
        <f>T163+IF(LEN($AD$164)&gt;0,1,0)</f>
        <v/>
      </c>
      <c r="X164" s="2">
        <f>IF(ISERROR($B$164),"",IF(ISBLANK($B$164),"",$B$164))</f>
        <v/>
      </c>
      <c r="Y164" s="2">
        <f>IF(ISERROR($C$164),"",IF(ISBLANK($C$164),"",$C$164))</f>
        <v/>
      </c>
      <c r="Z164" s="2">
        <f>IF(ISERROR($D$164),"",IF(ISBLANK($D$164),"",$D$164))</f>
        <v/>
      </c>
      <c r="AA164" s="2">
        <f>IF(ISERROR($E$164),"",IF(ISBLANK($E$164),"",$E$164))</f>
        <v/>
      </c>
      <c r="AB164" s="2">
        <f>IF(ISERROR($F$164),"",IF(ISBLANK($F$164),"",$F$164))</f>
        <v/>
      </c>
      <c r="AC164" s="2">
        <f>IF(ISERROR($G$164),"",IF(ISBLANK($G$164),"",$G$164))</f>
        <v/>
      </c>
      <c r="AD164" s="2">
        <f>IF(ISERROR($H$164),"",IF(ISBLANK($H$164),"",$H$164))</f>
        <v/>
      </c>
      <c r="AG164" s="2">
        <f>ISERROR($B$164)*1+ISERROR($C$164)*1+ISERROR($D$164)*1+ISERROR($E$164)*1+ISERROR($F$164)*1+ISERROR($G$164)*1+ISERROR($H$164)*1</f>
        <v/>
      </c>
    </row>
    <row r="165" ht="26" customHeight="1">
      <c r="B165" s="33" t="n"/>
      <c r="C165" s="4" t="n"/>
      <c r="D165" s="4" t="n"/>
      <c r="E165" s="4" t="n"/>
      <c r="F165" s="4" t="n"/>
      <c r="G165" s="4" t="n"/>
      <c r="H165" s="4" t="n"/>
      <c r="K165" s="19">
        <f>IF(AG165&gt;0,"O Google leu como fórmula: digite de novo com ' na frente.","")</f>
        <v/>
      </c>
      <c r="N165" s="2">
        <f>N164+IF(LEN($X$165)&gt;0,1,0)</f>
        <v/>
      </c>
      <c r="O165" s="2">
        <f>O164+IF(LEN($Y$165)&gt;0,1,0)</f>
        <v/>
      </c>
      <c r="P165" s="2">
        <f>P164+IF(LEN($Z$165)&gt;0,1,0)</f>
        <v/>
      </c>
      <c r="Q165" s="2">
        <f>Q164+IF(LEN($AA$165)&gt;0,1,0)</f>
        <v/>
      </c>
      <c r="R165" s="2">
        <f>R164+IF(LEN($AB$165)&gt;0,1,0)</f>
        <v/>
      </c>
      <c r="S165" s="2">
        <f>S164+IF(LEN($AC$165)&gt;0,1,0)</f>
        <v/>
      </c>
      <c r="T165" s="2">
        <f>T164+IF(LEN($AD$165)&gt;0,1,0)</f>
        <v/>
      </c>
      <c r="X165" s="2">
        <f>IF(ISERROR($B$165),"",IF(ISBLANK($B$165),"",$B$165))</f>
        <v/>
      </c>
      <c r="Y165" s="2">
        <f>IF(ISERROR($C$165),"",IF(ISBLANK($C$165),"",$C$165))</f>
        <v/>
      </c>
      <c r="Z165" s="2">
        <f>IF(ISERROR($D$165),"",IF(ISBLANK($D$165),"",$D$165))</f>
        <v/>
      </c>
      <c r="AA165" s="2">
        <f>IF(ISERROR($E$165),"",IF(ISBLANK($E$165),"",$E$165))</f>
        <v/>
      </c>
      <c r="AB165" s="2">
        <f>IF(ISERROR($F$165),"",IF(ISBLANK($F$165),"",$F$165))</f>
        <v/>
      </c>
      <c r="AC165" s="2">
        <f>IF(ISERROR($G$165),"",IF(ISBLANK($G$165),"",$G$165))</f>
        <v/>
      </c>
      <c r="AD165" s="2">
        <f>IF(ISERROR($H$165),"",IF(ISBLANK($H$165),"",$H$165))</f>
        <v/>
      </c>
      <c r="AG165" s="2">
        <f>ISERROR($B$165)*1+ISERROR($C$165)*1+ISERROR($D$165)*1+ISERROR($E$165)*1+ISERROR($F$165)*1+ISERROR($G$165)*1+ISERROR($H$165)*1</f>
        <v/>
      </c>
    </row>
    <row r="166" ht="26" customHeight="1">
      <c r="B166" s="35" t="n"/>
      <c r="C166" s="29" t="n"/>
      <c r="D166" s="29" t="n"/>
      <c r="E166" s="29" t="n"/>
      <c r="F166" s="29" t="n"/>
      <c r="G166" s="29" t="n"/>
      <c r="H166" s="29" t="n"/>
      <c r="K166" s="19">
        <f>IF(AG166&gt;0,"O Google leu como fórmula: digite de novo com ' na frente.","")</f>
        <v/>
      </c>
      <c r="N166" s="2">
        <f>N165+IF(LEN($X$166)&gt;0,1,0)</f>
        <v/>
      </c>
      <c r="O166" s="2">
        <f>O165+IF(LEN($Y$166)&gt;0,1,0)</f>
        <v/>
      </c>
      <c r="P166" s="2">
        <f>P165+IF(LEN($Z$166)&gt;0,1,0)</f>
        <v/>
      </c>
      <c r="Q166" s="2">
        <f>Q165+IF(LEN($AA$166)&gt;0,1,0)</f>
        <v/>
      </c>
      <c r="R166" s="2">
        <f>R165+IF(LEN($AB$166)&gt;0,1,0)</f>
        <v/>
      </c>
      <c r="S166" s="2">
        <f>S165+IF(LEN($AC$166)&gt;0,1,0)</f>
        <v/>
      </c>
      <c r="T166" s="2">
        <f>T165+IF(LEN($AD$166)&gt;0,1,0)</f>
        <v/>
      </c>
      <c r="X166" s="2">
        <f>IF(ISERROR($B$166),"",IF(ISBLANK($B$166),"",$B$166))</f>
        <v/>
      </c>
      <c r="Y166" s="2">
        <f>IF(ISERROR($C$166),"",IF(ISBLANK($C$166),"",$C$166))</f>
        <v/>
      </c>
      <c r="Z166" s="2">
        <f>IF(ISERROR($D$166),"",IF(ISBLANK($D$166),"",$D$166))</f>
        <v/>
      </c>
      <c r="AA166" s="2">
        <f>IF(ISERROR($E$166),"",IF(ISBLANK($E$166),"",$E$166))</f>
        <v/>
      </c>
      <c r="AB166" s="2">
        <f>IF(ISERROR($F$166),"",IF(ISBLANK($F$166),"",$F$166))</f>
        <v/>
      </c>
      <c r="AC166" s="2">
        <f>IF(ISERROR($G$166),"",IF(ISBLANK($G$166),"",$G$166))</f>
        <v/>
      </c>
      <c r="AD166" s="2">
        <f>IF(ISERROR($H$166),"",IF(ISBLANK($H$166),"",$H$166))</f>
        <v/>
      </c>
      <c r="AG166" s="2">
        <f>ISERROR($B$166)*1+ISERROR($C$166)*1+ISERROR($D$166)*1+ISERROR($E$166)*1+ISERROR($F$166)*1+ISERROR($G$166)*1+ISERROR($H$166)*1</f>
        <v/>
      </c>
    </row>
    <row r="167" ht="26" customHeight="1">
      <c r="B167" s="33" t="n"/>
      <c r="C167" s="4" t="n"/>
      <c r="D167" s="4" t="n"/>
      <c r="E167" s="4" t="n"/>
      <c r="F167" s="4" t="n"/>
      <c r="G167" s="4" t="n"/>
      <c r="H167" s="4" t="n"/>
      <c r="K167" s="19">
        <f>IF(AG167&gt;0,"O Google leu como fórmula: digite de novo com ' na frente.","")</f>
        <v/>
      </c>
      <c r="N167" s="2">
        <f>N166+IF(LEN($X$167)&gt;0,1,0)</f>
        <v/>
      </c>
      <c r="O167" s="2">
        <f>O166+IF(LEN($Y$167)&gt;0,1,0)</f>
        <v/>
      </c>
      <c r="P167" s="2">
        <f>P166+IF(LEN($Z$167)&gt;0,1,0)</f>
        <v/>
      </c>
      <c r="Q167" s="2">
        <f>Q166+IF(LEN($AA$167)&gt;0,1,0)</f>
        <v/>
      </c>
      <c r="R167" s="2">
        <f>R166+IF(LEN($AB$167)&gt;0,1,0)</f>
        <v/>
      </c>
      <c r="S167" s="2">
        <f>S166+IF(LEN($AC$167)&gt;0,1,0)</f>
        <v/>
      </c>
      <c r="T167" s="2">
        <f>T166+IF(LEN($AD$167)&gt;0,1,0)</f>
        <v/>
      </c>
      <c r="X167" s="2">
        <f>IF(ISERROR($B$167),"",IF(ISBLANK($B$167),"",$B$167))</f>
        <v/>
      </c>
      <c r="Y167" s="2">
        <f>IF(ISERROR($C$167),"",IF(ISBLANK($C$167),"",$C$167))</f>
        <v/>
      </c>
      <c r="Z167" s="2">
        <f>IF(ISERROR($D$167),"",IF(ISBLANK($D$167),"",$D$167))</f>
        <v/>
      </c>
      <c r="AA167" s="2">
        <f>IF(ISERROR($E$167),"",IF(ISBLANK($E$167),"",$E$167))</f>
        <v/>
      </c>
      <c r="AB167" s="2">
        <f>IF(ISERROR($F$167),"",IF(ISBLANK($F$167),"",$F$167))</f>
        <v/>
      </c>
      <c r="AC167" s="2">
        <f>IF(ISERROR($G$167),"",IF(ISBLANK($G$167),"",$G$167))</f>
        <v/>
      </c>
      <c r="AD167" s="2">
        <f>IF(ISERROR($H$167),"",IF(ISBLANK($H$167),"",$H$167))</f>
        <v/>
      </c>
      <c r="AG167" s="2">
        <f>ISERROR($B$167)*1+ISERROR($C$167)*1+ISERROR($D$167)*1+ISERROR($E$167)*1+ISERROR($F$167)*1+ISERROR($G$167)*1+ISERROR($H$167)*1</f>
        <v/>
      </c>
    </row>
    <row r="168" ht="15" customHeight="1">
      <c r="B168" s="8" t="inlineStr">
        <is>
          <t>Nome — Humano</t>
        </is>
      </c>
      <c r="C168" s="8" t="inlineStr">
        <is>
          <t>Nome — Xianzhouíta</t>
        </is>
      </c>
      <c r="D168" s="8" t="inlineStr">
        <is>
          <t>Nome — Vidyadhara</t>
        </is>
      </c>
      <c r="E168" s="8" t="inlineStr">
        <is>
          <t>Nome — Vulpes</t>
        </is>
      </c>
      <c r="F168" s="8" t="inlineStr">
        <is>
          <t>Nome — Haloviano</t>
        </is>
      </c>
      <c r="G168" s="8" t="inlineStr">
        <is>
          <t>Nome — Avginiano</t>
        </is>
      </c>
      <c r="H168" s="8" t="inlineStr">
        <is>
          <t>Nome — Intellitron</t>
        </is>
      </c>
      <c r="N168" s="2">
        <f>N167</f>
        <v/>
      </c>
      <c r="O168" s="2">
        <f>O167</f>
        <v/>
      </c>
      <c r="P168" s="2">
        <f>P167</f>
        <v/>
      </c>
      <c r="Q168" s="2">
        <f>Q167</f>
        <v/>
      </c>
      <c r="R168" s="2">
        <f>R167</f>
        <v/>
      </c>
      <c r="S168" s="2">
        <f>S167</f>
        <v/>
      </c>
      <c r="T168" s="2">
        <f>T167</f>
        <v/>
      </c>
      <c r="X168" s="2">
        <f>IF(ISERROR($B$168),"",IF(ISBLANK($B$168),"",$B$168))</f>
        <v/>
      </c>
      <c r="Y168" s="2">
        <f>IF(ISERROR($C$168),"",IF(ISBLANK($C$168),"",$C$168))</f>
        <v/>
      </c>
      <c r="Z168" s="2">
        <f>IF(ISERROR($D$168),"",IF(ISBLANK($D$168),"",$D$168))</f>
        <v/>
      </c>
      <c r="AA168" s="2">
        <f>IF(ISERROR($E$168),"",IF(ISBLANK($E$168),"",$E$168))</f>
        <v/>
      </c>
      <c r="AB168" s="2">
        <f>IF(ISERROR($F$168),"",IF(ISBLANK($F$168),"",$F$168))</f>
        <v/>
      </c>
      <c r="AC168" s="2">
        <f>IF(ISERROR($G$168),"",IF(ISBLANK($G$168),"",$G$168))</f>
        <v/>
      </c>
      <c r="AD168" s="2">
        <f>IF(ISERROR($H$168),"",IF(ISBLANK($H$168),"",$H$168))</f>
        <v/>
      </c>
    </row>
    <row r="169" ht="26" customHeight="1">
      <c r="B169" s="33" t="n"/>
      <c r="C169" s="4" t="n"/>
      <c r="D169" s="4" t="n"/>
      <c r="E169" s="4" t="n"/>
      <c r="F169" s="4" t="n"/>
      <c r="G169" s="4" t="n"/>
      <c r="H169" s="4" t="n"/>
      <c r="K169" s="19">
        <f>IF(AG169&gt;0,"O Google leu como fórmula: digite de novo com ' na frente.","")</f>
        <v/>
      </c>
      <c r="N169" s="2">
        <f>N168+IF(LEN($X$169)&gt;0,1,0)</f>
        <v/>
      </c>
      <c r="O169" s="2">
        <f>O168+IF(LEN($Y$169)&gt;0,1,0)</f>
        <v/>
      </c>
      <c r="P169" s="2">
        <f>P168+IF(LEN($Z$169)&gt;0,1,0)</f>
        <v/>
      </c>
      <c r="Q169" s="2">
        <f>Q168+IF(LEN($AA$169)&gt;0,1,0)</f>
        <v/>
      </c>
      <c r="R169" s="2">
        <f>R168+IF(LEN($AB$169)&gt;0,1,0)</f>
        <v/>
      </c>
      <c r="S169" s="2">
        <f>S168+IF(LEN($AC$169)&gt;0,1,0)</f>
        <v/>
      </c>
      <c r="T169" s="2">
        <f>T168+IF(LEN($AD$169)&gt;0,1,0)</f>
        <v/>
      </c>
      <c r="X169" s="2">
        <f>IF(ISERROR($B$169),"",IF(ISBLANK($B$169),"",$B$169))</f>
        <v/>
      </c>
      <c r="Y169" s="2">
        <f>IF(ISERROR($C$169),"",IF(ISBLANK($C$169),"",$C$169))</f>
        <v/>
      </c>
      <c r="Z169" s="2">
        <f>IF(ISERROR($D$169),"",IF(ISBLANK($D$169),"",$D$169))</f>
        <v/>
      </c>
      <c r="AA169" s="2">
        <f>IF(ISERROR($E$169),"",IF(ISBLANK($E$169),"",$E$169))</f>
        <v/>
      </c>
      <c r="AB169" s="2">
        <f>IF(ISERROR($F$169),"",IF(ISBLANK($F$169),"",$F$169))</f>
        <v/>
      </c>
      <c r="AC169" s="2">
        <f>IF(ISERROR($G$169),"",IF(ISBLANK($G$169),"",$G$169))</f>
        <v/>
      </c>
      <c r="AD169" s="2">
        <f>IF(ISERROR($H$169),"",IF(ISBLANK($H$169),"",$H$169))</f>
        <v/>
      </c>
      <c r="AG169" s="2">
        <f>ISERROR($B$169)*1+ISERROR($C$169)*1+ISERROR($D$169)*1+ISERROR($E$169)*1+ISERROR($F$169)*1+ISERROR($G$169)*1+ISERROR($H$169)*1</f>
        <v/>
      </c>
    </row>
    <row r="170" ht="26" customHeight="1">
      <c r="B170" s="35" t="n"/>
      <c r="C170" s="29" t="n"/>
      <c r="D170" s="29" t="n"/>
      <c r="E170" s="29" t="n"/>
      <c r="F170" s="29" t="n"/>
      <c r="G170" s="29" t="n"/>
      <c r="H170" s="29" t="n"/>
      <c r="K170" s="19">
        <f>IF(AG170&gt;0,"O Google leu como fórmula: digite de novo com ' na frente.","")</f>
        <v/>
      </c>
      <c r="N170" s="2">
        <f>N169+IF(LEN($X$170)&gt;0,1,0)</f>
        <v/>
      </c>
      <c r="O170" s="2">
        <f>O169+IF(LEN($Y$170)&gt;0,1,0)</f>
        <v/>
      </c>
      <c r="P170" s="2">
        <f>P169+IF(LEN($Z$170)&gt;0,1,0)</f>
        <v/>
      </c>
      <c r="Q170" s="2">
        <f>Q169+IF(LEN($AA$170)&gt;0,1,0)</f>
        <v/>
      </c>
      <c r="R170" s="2">
        <f>R169+IF(LEN($AB$170)&gt;0,1,0)</f>
        <v/>
      </c>
      <c r="S170" s="2">
        <f>S169+IF(LEN($AC$170)&gt;0,1,0)</f>
        <v/>
      </c>
      <c r="T170" s="2">
        <f>T169+IF(LEN($AD$170)&gt;0,1,0)</f>
        <v/>
      </c>
      <c r="X170" s="2">
        <f>IF(ISERROR($B$170),"",IF(ISBLANK($B$170),"",$B$170))</f>
        <v/>
      </c>
      <c r="Y170" s="2">
        <f>IF(ISERROR($C$170),"",IF(ISBLANK($C$170),"",$C$170))</f>
        <v/>
      </c>
      <c r="Z170" s="2">
        <f>IF(ISERROR($D$170),"",IF(ISBLANK($D$170),"",$D$170))</f>
        <v/>
      </c>
      <c r="AA170" s="2">
        <f>IF(ISERROR($E$170),"",IF(ISBLANK($E$170),"",$E$170))</f>
        <v/>
      </c>
      <c r="AB170" s="2">
        <f>IF(ISERROR($F$170),"",IF(ISBLANK($F$170),"",$F$170))</f>
        <v/>
      </c>
      <c r="AC170" s="2">
        <f>IF(ISERROR($G$170),"",IF(ISBLANK($G$170),"",$G$170))</f>
        <v/>
      </c>
      <c r="AD170" s="2">
        <f>IF(ISERROR($H$170),"",IF(ISBLANK($H$170),"",$H$170))</f>
        <v/>
      </c>
      <c r="AG170" s="2">
        <f>ISERROR($B$170)*1+ISERROR($C$170)*1+ISERROR($D$170)*1+ISERROR($E$170)*1+ISERROR($F$170)*1+ISERROR($G$170)*1+ISERROR($H$170)*1</f>
        <v/>
      </c>
    </row>
    <row r="171" ht="26" customHeight="1">
      <c r="B171" s="33" t="n"/>
      <c r="C171" s="4" t="n"/>
      <c r="D171" s="4" t="n"/>
      <c r="E171" s="4" t="n"/>
      <c r="F171" s="4" t="n"/>
      <c r="G171" s="4" t="n"/>
      <c r="H171" s="4" t="n"/>
      <c r="K171" s="19">
        <f>IF(AG171&gt;0,"O Google leu como fórmula: digite de novo com ' na frente.","")</f>
        <v/>
      </c>
      <c r="N171" s="2">
        <f>N170+IF(LEN($X$171)&gt;0,1,0)</f>
        <v/>
      </c>
      <c r="O171" s="2">
        <f>O170+IF(LEN($Y$171)&gt;0,1,0)</f>
        <v/>
      </c>
      <c r="P171" s="2">
        <f>P170+IF(LEN($Z$171)&gt;0,1,0)</f>
        <v/>
      </c>
      <c r="Q171" s="2">
        <f>Q170+IF(LEN($AA$171)&gt;0,1,0)</f>
        <v/>
      </c>
      <c r="R171" s="2">
        <f>R170+IF(LEN($AB$171)&gt;0,1,0)</f>
        <v/>
      </c>
      <c r="S171" s="2">
        <f>S170+IF(LEN($AC$171)&gt;0,1,0)</f>
        <v/>
      </c>
      <c r="T171" s="2">
        <f>T170+IF(LEN($AD$171)&gt;0,1,0)</f>
        <v/>
      </c>
      <c r="X171" s="2">
        <f>IF(ISERROR($B$171),"",IF(ISBLANK($B$171),"",$B$171))</f>
        <v/>
      </c>
      <c r="Y171" s="2">
        <f>IF(ISERROR($C$171),"",IF(ISBLANK($C$171),"",$C$171))</f>
        <v/>
      </c>
      <c r="Z171" s="2">
        <f>IF(ISERROR($D$171),"",IF(ISBLANK($D$171),"",$D$171))</f>
        <v/>
      </c>
      <c r="AA171" s="2">
        <f>IF(ISERROR($E$171),"",IF(ISBLANK($E$171),"",$E$171))</f>
        <v/>
      </c>
      <c r="AB171" s="2">
        <f>IF(ISERROR($F$171),"",IF(ISBLANK($F$171),"",$F$171))</f>
        <v/>
      </c>
      <c r="AC171" s="2">
        <f>IF(ISERROR($G$171),"",IF(ISBLANK($G$171),"",$G$171))</f>
        <v/>
      </c>
      <c r="AD171" s="2">
        <f>IF(ISERROR($H$171),"",IF(ISBLANK($H$171),"",$H$171))</f>
        <v/>
      </c>
      <c r="AG171" s="2">
        <f>ISERROR($B$171)*1+ISERROR($C$171)*1+ISERROR($D$171)*1+ISERROR($E$171)*1+ISERROR($F$171)*1+ISERROR($G$171)*1+ISERROR($H$171)*1</f>
        <v/>
      </c>
    </row>
    <row r="172" ht="26" customHeight="1">
      <c r="B172" s="35" t="n"/>
      <c r="C172" s="29" t="n"/>
      <c r="D172" s="29" t="n"/>
      <c r="E172" s="29" t="n"/>
      <c r="F172" s="29" t="n"/>
      <c r="G172" s="29" t="n"/>
      <c r="H172" s="29" t="n"/>
      <c r="K172" s="19">
        <f>IF(AG172&gt;0,"O Google leu como fórmula: digite de novo com ' na frente.","")</f>
        <v/>
      </c>
      <c r="N172" s="2">
        <f>N171+IF(LEN($X$172)&gt;0,1,0)</f>
        <v/>
      </c>
      <c r="O172" s="2">
        <f>O171+IF(LEN($Y$172)&gt;0,1,0)</f>
        <v/>
      </c>
      <c r="P172" s="2">
        <f>P171+IF(LEN($Z$172)&gt;0,1,0)</f>
        <v/>
      </c>
      <c r="Q172" s="2">
        <f>Q171+IF(LEN($AA$172)&gt;0,1,0)</f>
        <v/>
      </c>
      <c r="R172" s="2">
        <f>R171+IF(LEN($AB$172)&gt;0,1,0)</f>
        <v/>
      </c>
      <c r="S172" s="2">
        <f>S171+IF(LEN($AC$172)&gt;0,1,0)</f>
        <v/>
      </c>
      <c r="T172" s="2">
        <f>T171+IF(LEN($AD$172)&gt;0,1,0)</f>
        <v/>
      </c>
      <c r="X172" s="2">
        <f>IF(ISERROR($B$172),"",IF(ISBLANK($B$172),"",$B$172))</f>
        <v/>
      </c>
      <c r="Y172" s="2">
        <f>IF(ISERROR($C$172),"",IF(ISBLANK($C$172),"",$C$172))</f>
        <v/>
      </c>
      <c r="Z172" s="2">
        <f>IF(ISERROR($D$172),"",IF(ISBLANK($D$172),"",$D$172))</f>
        <v/>
      </c>
      <c r="AA172" s="2">
        <f>IF(ISERROR($E$172),"",IF(ISBLANK($E$172),"",$E$172))</f>
        <v/>
      </c>
      <c r="AB172" s="2">
        <f>IF(ISERROR($F$172),"",IF(ISBLANK($F$172),"",$F$172))</f>
        <v/>
      </c>
      <c r="AC172" s="2">
        <f>IF(ISERROR($G$172),"",IF(ISBLANK($G$172),"",$G$172))</f>
        <v/>
      </c>
      <c r="AD172" s="2">
        <f>IF(ISERROR($H$172),"",IF(ISBLANK($H$172),"",$H$172))</f>
        <v/>
      </c>
      <c r="AG172" s="2">
        <f>ISERROR($B$172)*1+ISERROR($C$172)*1+ISERROR($D$172)*1+ISERROR($E$172)*1+ISERROR($F$172)*1+ISERROR($G$172)*1+ISERROR($H$172)*1</f>
        <v/>
      </c>
    </row>
    <row r="173" ht="26" customHeight="1">
      <c r="B173" s="33" t="n"/>
      <c r="C173" s="4" t="n"/>
      <c r="D173" s="4" t="n"/>
      <c r="E173" s="4" t="n"/>
      <c r="F173" s="4" t="n"/>
      <c r="G173" s="4" t="n"/>
      <c r="H173" s="4" t="n"/>
      <c r="K173" s="19">
        <f>IF(AG173&gt;0,"O Google leu como fórmula: digite de novo com ' na frente.","")</f>
        <v/>
      </c>
      <c r="N173" s="2">
        <f>N172+IF(LEN($X$173)&gt;0,1,0)</f>
        <v/>
      </c>
      <c r="O173" s="2">
        <f>O172+IF(LEN($Y$173)&gt;0,1,0)</f>
        <v/>
      </c>
      <c r="P173" s="2">
        <f>P172+IF(LEN($Z$173)&gt;0,1,0)</f>
        <v/>
      </c>
      <c r="Q173" s="2">
        <f>Q172+IF(LEN($AA$173)&gt;0,1,0)</f>
        <v/>
      </c>
      <c r="R173" s="2">
        <f>R172+IF(LEN($AB$173)&gt;0,1,0)</f>
        <v/>
      </c>
      <c r="S173" s="2">
        <f>S172+IF(LEN($AC$173)&gt;0,1,0)</f>
        <v/>
      </c>
      <c r="T173" s="2">
        <f>T172+IF(LEN($AD$173)&gt;0,1,0)</f>
        <v/>
      </c>
      <c r="X173" s="2">
        <f>IF(ISERROR($B$173),"",IF(ISBLANK($B$173),"",$B$173))</f>
        <v/>
      </c>
      <c r="Y173" s="2">
        <f>IF(ISERROR($C$173),"",IF(ISBLANK($C$173),"",$C$173))</f>
        <v/>
      </c>
      <c r="Z173" s="2">
        <f>IF(ISERROR($D$173),"",IF(ISBLANK($D$173),"",$D$173))</f>
        <v/>
      </c>
      <c r="AA173" s="2">
        <f>IF(ISERROR($E$173),"",IF(ISBLANK($E$173),"",$E$173))</f>
        <v/>
      </c>
      <c r="AB173" s="2">
        <f>IF(ISERROR($F$173),"",IF(ISBLANK($F$173),"",$F$173))</f>
        <v/>
      </c>
      <c r="AC173" s="2">
        <f>IF(ISERROR($G$173),"",IF(ISBLANK($G$173),"",$G$173))</f>
        <v/>
      </c>
      <c r="AD173" s="2">
        <f>IF(ISERROR($H$173),"",IF(ISBLANK($H$173),"",$H$173))</f>
        <v/>
      </c>
      <c r="AG173" s="2">
        <f>ISERROR($B$173)*1+ISERROR($C$173)*1+ISERROR($D$173)*1+ISERROR($E$173)*1+ISERROR($F$173)*1+ISERROR($G$173)*1+ISERROR($H$173)*1</f>
        <v/>
      </c>
    </row>
    <row r="174" ht="26" customHeight="1">
      <c r="B174" s="35" t="n"/>
      <c r="C174" s="29" t="n"/>
      <c r="D174" s="29" t="n"/>
      <c r="E174" s="29" t="n"/>
      <c r="F174" s="29" t="n"/>
      <c r="G174" s="29" t="n"/>
      <c r="H174" s="29" t="n"/>
      <c r="K174" s="19">
        <f>IF(AG174&gt;0,"O Google leu como fórmula: digite de novo com ' na frente.","")</f>
        <v/>
      </c>
      <c r="N174" s="2">
        <f>N173+IF(LEN($X$174)&gt;0,1,0)</f>
        <v/>
      </c>
      <c r="O174" s="2">
        <f>O173+IF(LEN($Y$174)&gt;0,1,0)</f>
        <v/>
      </c>
      <c r="P174" s="2">
        <f>P173+IF(LEN($Z$174)&gt;0,1,0)</f>
        <v/>
      </c>
      <c r="Q174" s="2">
        <f>Q173+IF(LEN($AA$174)&gt;0,1,0)</f>
        <v/>
      </c>
      <c r="R174" s="2">
        <f>R173+IF(LEN($AB$174)&gt;0,1,0)</f>
        <v/>
      </c>
      <c r="S174" s="2">
        <f>S173+IF(LEN($AC$174)&gt;0,1,0)</f>
        <v/>
      </c>
      <c r="T174" s="2">
        <f>T173+IF(LEN($AD$174)&gt;0,1,0)</f>
        <v/>
      </c>
      <c r="X174" s="2">
        <f>IF(ISERROR($B$174),"",IF(ISBLANK($B$174),"",$B$174))</f>
        <v/>
      </c>
      <c r="Y174" s="2">
        <f>IF(ISERROR($C$174),"",IF(ISBLANK($C$174),"",$C$174))</f>
        <v/>
      </c>
      <c r="Z174" s="2">
        <f>IF(ISERROR($D$174),"",IF(ISBLANK($D$174),"",$D$174))</f>
        <v/>
      </c>
      <c r="AA174" s="2">
        <f>IF(ISERROR($E$174),"",IF(ISBLANK($E$174),"",$E$174))</f>
        <v/>
      </c>
      <c r="AB174" s="2">
        <f>IF(ISERROR($F$174),"",IF(ISBLANK($F$174),"",$F$174))</f>
        <v/>
      </c>
      <c r="AC174" s="2">
        <f>IF(ISERROR($G$174),"",IF(ISBLANK($G$174),"",$G$174))</f>
        <v/>
      </c>
      <c r="AD174" s="2">
        <f>IF(ISERROR($H$174),"",IF(ISBLANK($H$174),"",$H$174))</f>
        <v/>
      </c>
      <c r="AG174" s="2">
        <f>ISERROR($B$174)*1+ISERROR($C$174)*1+ISERROR($D$174)*1+ISERROR($E$174)*1+ISERROR($F$174)*1+ISERROR($G$174)*1+ISERROR($H$174)*1</f>
        <v/>
      </c>
    </row>
    <row r="175" ht="26" customHeight="1">
      <c r="B175" s="33" t="n"/>
      <c r="C175" s="4" t="n"/>
      <c r="D175" s="4" t="n"/>
      <c r="E175" s="4" t="n"/>
      <c r="F175" s="4" t="n"/>
      <c r="G175" s="4" t="n"/>
      <c r="H175" s="4" t="n"/>
      <c r="K175" s="19">
        <f>IF(AG175&gt;0,"O Google leu como fórmula: digite de novo com ' na frente.","")</f>
        <v/>
      </c>
      <c r="N175" s="2">
        <f>N174+IF(LEN($X$175)&gt;0,1,0)</f>
        <v/>
      </c>
      <c r="O175" s="2">
        <f>O174+IF(LEN($Y$175)&gt;0,1,0)</f>
        <v/>
      </c>
      <c r="P175" s="2">
        <f>P174+IF(LEN($Z$175)&gt;0,1,0)</f>
        <v/>
      </c>
      <c r="Q175" s="2">
        <f>Q174+IF(LEN($AA$175)&gt;0,1,0)</f>
        <v/>
      </c>
      <c r="R175" s="2">
        <f>R174+IF(LEN($AB$175)&gt;0,1,0)</f>
        <v/>
      </c>
      <c r="S175" s="2">
        <f>S174+IF(LEN($AC$175)&gt;0,1,0)</f>
        <v/>
      </c>
      <c r="T175" s="2">
        <f>T174+IF(LEN($AD$175)&gt;0,1,0)</f>
        <v/>
      </c>
      <c r="X175" s="2">
        <f>IF(ISERROR($B$175),"",IF(ISBLANK($B$175),"",$B$175))</f>
        <v/>
      </c>
      <c r="Y175" s="2">
        <f>IF(ISERROR($C$175),"",IF(ISBLANK($C$175),"",$C$175))</f>
        <v/>
      </c>
      <c r="Z175" s="2">
        <f>IF(ISERROR($D$175),"",IF(ISBLANK($D$175),"",$D$175))</f>
        <v/>
      </c>
      <c r="AA175" s="2">
        <f>IF(ISERROR($E$175),"",IF(ISBLANK($E$175),"",$E$175))</f>
        <v/>
      </c>
      <c r="AB175" s="2">
        <f>IF(ISERROR($F$175),"",IF(ISBLANK($F$175),"",$F$175))</f>
        <v/>
      </c>
      <c r="AC175" s="2">
        <f>IF(ISERROR($G$175),"",IF(ISBLANK($G$175),"",$G$175))</f>
        <v/>
      </c>
      <c r="AD175" s="2">
        <f>IF(ISERROR($H$175),"",IF(ISBLANK($H$175),"",$H$175))</f>
        <v/>
      </c>
      <c r="AG175" s="2">
        <f>ISERROR($B$175)*1+ISERROR($C$175)*1+ISERROR($D$175)*1+ISERROR($E$175)*1+ISERROR($F$175)*1+ISERROR($G$175)*1+ISERROR($H$175)*1</f>
        <v/>
      </c>
    </row>
    <row r="176" ht="26" customHeight="1">
      <c r="B176" s="35" t="n"/>
      <c r="C176" s="29" t="n"/>
      <c r="D176" s="29" t="n"/>
      <c r="E176" s="29" t="n"/>
      <c r="F176" s="29" t="n"/>
      <c r="G176" s="29" t="n"/>
      <c r="H176" s="29" t="n"/>
      <c r="K176" s="19">
        <f>IF(AG176&gt;0,"O Google leu como fórmula: digite de novo com ' na frente.","")</f>
        <v/>
      </c>
      <c r="N176" s="2">
        <f>N175+IF(LEN($X$176)&gt;0,1,0)</f>
        <v/>
      </c>
      <c r="O176" s="2">
        <f>O175+IF(LEN($Y$176)&gt;0,1,0)</f>
        <v/>
      </c>
      <c r="P176" s="2">
        <f>P175+IF(LEN($Z$176)&gt;0,1,0)</f>
        <v/>
      </c>
      <c r="Q176" s="2">
        <f>Q175+IF(LEN($AA$176)&gt;0,1,0)</f>
        <v/>
      </c>
      <c r="R176" s="2">
        <f>R175+IF(LEN($AB$176)&gt;0,1,0)</f>
        <v/>
      </c>
      <c r="S176" s="2">
        <f>S175+IF(LEN($AC$176)&gt;0,1,0)</f>
        <v/>
      </c>
      <c r="T176" s="2">
        <f>T175+IF(LEN($AD$176)&gt;0,1,0)</f>
        <v/>
      </c>
      <c r="X176" s="2">
        <f>IF(ISERROR($B$176),"",IF(ISBLANK($B$176),"",$B$176))</f>
        <v/>
      </c>
      <c r="Y176" s="2">
        <f>IF(ISERROR($C$176),"",IF(ISBLANK($C$176),"",$C$176))</f>
        <v/>
      </c>
      <c r="Z176" s="2">
        <f>IF(ISERROR($D$176),"",IF(ISBLANK($D$176),"",$D$176))</f>
        <v/>
      </c>
      <c r="AA176" s="2">
        <f>IF(ISERROR($E$176),"",IF(ISBLANK($E$176),"",$E$176))</f>
        <v/>
      </c>
      <c r="AB176" s="2">
        <f>IF(ISERROR($F$176),"",IF(ISBLANK($F$176),"",$F$176))</f>
        <v/>
      </c>
      <c r="AC176" s="2">
        <f>IF(ISERROR($G$176),"",IF(ISBLANK($G$176),"",$G$176))</f>
        <v/>
      </c>
      <c r="AD176" s="2">
        <f>IF(ISERROR($H$176),"",IF(ISBLANK($H$176),"",$H$176))</f>
        <v/>
      </c>
      <c r="AG176" s="2">
        <f>ISERROR($B$176)*1+ISERROR($C$176)*1+ISERROR($D$176)*1+ISERROR($E$176)*1+ISERROR($F$176)*1+ISERROR($G$176)*1+ISERROR($H$176)*1</f>
        <v/>
      </c>
    </row>
    <row r="177" ht="26" customHeight="1">
      <c r="B177" s="33" t="n"/>
      <c r="C177" s="4" t="n"/>
      <c r="D177" s="4" t="n"/>
      <c r="E177" s="4" t="n"/>
      <c r="F177" s="4" t="n"/>
      <c r="G177" s="4" t="n"/>
      <c r="H177" s="4" t="n"/>
      <c r="K177" s="19">
        <f>IF(AG177&gt;0,"O Google leu como fórmula: digite de novo com ' na frente.","")</f>
        <v/>
      </c>
      <c r="N177" s="2">
        <f>N176+IF(LEN($X$177)&gt;0,1,0)</f>
        <v/>
      </c>
      <c r="O177" s="2">
        <f>O176+IF(LEN($Y$177)&gt;0,1,0)</f>
        <v/>
      </c>
      <c r="P177" s="2">
        <f>P176+IF(LEN($Z$177)&gt;0,1,0)</f>
        <v/>
      </c>
      <c r="Q177" s="2">
        <f>Q176+IF(LEN($AA$177)&gt;0,1,0)</f>
        <v/>
      </c>
      <c r="R177" s="2">
        <f>R176+IF(LEN($AB$177)&gt;0,1,0)</f>
        <v/>
      </c>
      <c r="S177" s="2">
        <f>S176+IF(LEN($AC$177)&gt;0,1,0)</f>
        <v/>
      </c>
      <c r="T177" s="2">
        <f>T176+IF(LEN($AD$177)&gt;0,1,0)</f>
        <v/>
      </c>
      <c r="X177" s="2">
        <f>IF(ISERROR($B$177),"",IF(ISBLANK($B$177),"",$B$177))</f>
        <v/>
      </c>
      <c r="Y177" s="2">
        <f>IF(ISERROR($C$177),"",IF(ISBLANK($C$177),"",$C$177))</f>
        <v/>
      </c>
      <c r="Z177" s="2">
        <f>IF(ISERROR($D$177),"",IF(ISBLANK($D$177),"",$D$177))</f>
        <v/>
      </c>
      <c r="AA177" s="2">
        <f>IF(ISERROR($E$177),"",IF(ISBLANK($E$177),"",$E$177))</f>
        <v/>
      </c>
      <c r="AB177" s="2">
        <f>IF(ISERROR($F$177),"",IF(ISBLANK($F$177),"",$F$177))</f>
        <v/>
      </c>
      <c r="AC177" s="2">
        <f>IF(ISERROR($G$177),"",IF(ISBLANK($G$177),"",$G$177))</f>
        <v/>
      </c>
      <c r="AD177" s="2">
        <f>IF(ISERROR($H$177),"",IF(ISBLANK($H$177),"",$H$177))</f>
        <v/>
      </c>
      <c r="AG177" s="2">
        <f>ISERROR($B$177)*1+ISERROR($C$177)*1+ISERROR($D$177)*1+ISERROR($E$177)*1+ISERROR($F$177)*1+ISERROR($G$177)*1+ISERROR($H$177)*1</f>
        <v/>
      </c>
    </row>
    <row r="178" ht="26" customHeight="1">
      <c r="B178" s="35" t="n"/>
      <c r="C178" s="29" t="n"/>
      <c r="D178" s="29" t="n"/>
      <c r="E178" s="29" t="n"/>
      <c r="F178" s="29" t="n"/>
      <c r="G178" s="29" t="n"/>
      <c r="H178" s="29" t="n"/>
      <c r="K178" s="19">
        <f>IF(AG178&gt;0,"O Google leu como fórmula: digite de novo com ' na frente.","")</f>
        <v/>
      </c>
      <c r="N178" s="2">
        <f>N177+IF(LEN($X$178)&gt;0,1,0)</f>
        <v/>
      </c>
      <c r="O178" s="2">
        <f>O177+IF(LEN($Y$178)&gt;0,1,0)</f>
        <v/>
      </c>
      <c r="P178" s="2">
        <f>P177+IF(LEN($Z$178)&gt;0,1,0)</f>
        <v/>
      </c>
      <c r="Q178" s="2">
        <f>Q177+IF(LEN($AA$178)&gt;0,1,0)</f>
        <v/>
      </c>
      <c r="R178" s="2">
        <f>R177+IF(LEN($AB$178)&gt;0,1,0)</f>
        <v/>
      </c>
      <c r="S178" s="2">
        <f>S177+IF(LEN($AC$178)&gt;0,1,0)</f>
        <v/>
      </c>
      <c r="T178" s="2">
        <f>T177+IF(LEN($AD$178)&gt;0,1,0)</f>
        <v/>
      </c>
      <c r="X178" s="2">
        <f>IF(ISERROR($B$178),"",IF(ISBLANK($B$178),"",$B$178))</f>
        <v/>
      </c>
      <c r="Y178" s="2">
        <f>IF(ISERROR($C$178),"",IF(ISBLANK($C$178),"",$C$178))</f>
        <v/>
      </c>
      <c r="Z178" s="2">
        <f>IF(ISERROR($D$178),"",IF(ISBLANK($D$178),"",$D$178))</f>
        <v/>
      </c>
      <c r="AA178" s="2">
        <f>IF(ISERROR($E$178),"",IF(ISBLANK($E$178),"",$E$178))</f>
        <v/>
      </c>
      <c r="AB178" s="2">
        <f>IF(ISERROR($F$178),"",IF(ISBLANK($F$178),"",$F$178))</f>
        <v/>
      </c>
      <c r="AC178" s="2">
        <f>IF(ISERROR($G$178),"",IF(ISBLANK($G$178),"",$G$178))</f>
        <v/>
      </c>
      <c r="AD178" s="2">
        <f>IF(ISERROR($H$178),"",IF(ISBLANK($H$178),"",$H$178))</f>
        <v/>
      </c>
      <c r="AG178" s="2">
        <f>ISERROR($B$178)*1+ISERROR($C$178)*1+ISERROR($D$178)*1+ISERROR($E$178)*1+ISERROR($F$178)*1+ISERROR($G$178)*1+ISERROR($H$178)*1</f>
        <v/>
      </c>
    </row>
    <row r="179" ht="26" customHeight="1">
      <c r="B179" s="33" t="n"/>
      <c r="C179" s="4" t="n"/>
      <c r="D179" s="4" t="n"/>
      <c r="E179" s="4" t="n"/>
      <c r="F179" s="4" t="n"/>
      <c r="G179" s="4" t="n"/>
      <c r="H179" s="4" t="n"/>
      <c r="K179" s="19">
        <f>IF(AG179&gt;0,"O Google leu como fórmula: digite de novo com ' na frente.","")</f>
        <v/>
      </c>
      <c r="N179" s="2">
        <f>N178+IF(LEN($X$179)&gt;0,1,0)</f>
        <v/>
      </c>
      <c r="O179" s="2">
        <f>O178+IF(LEN($Y$179)&gt;0,1,0)</f>
        <v/>
      </c>
      <c r="P179" s="2">
        <f>P178+IF(LEN($Z$179)&gt;0,1,0)</f>
        <v/>
      </c>
      <c r="Q179" s="2">
        <f>Q178+IF(LEN($AA$179)&gt;0,1,0)</f>
        <v/>
      </c>
      <c r="R179" s="2">
        <f>R178+IF(LEN($AB$179)&gt;0,1,0)</f>
        <v/>
      </c>
      <c r="S179" s="2">
        <f>S178+IF(LEN($AC$179)&gt;0,1,0)</f>
        <v/>
      </c>
      <c r="T179" s="2">
        <f>T178+IF(LEN($AD$179)&gt;0,1,0)</f>
        <v/>
      </c>
      <c r="X179" s="2">
        <f>IF(ISERROR($B$179),"",IF(ISBLANK($B$179),"",$B$179))</f>
        <v/>
      </c>
      <c r="Y179" s="2">
        <f>IF(ISERROR($C$179),"",IF(ISBLANK($C$179),"",$C$179))</f>
        <v/>
      </c>
      <c r="Z179" s="2">
        <f>IF(ISERROR($D$179),"",IF(ISBLANK($D$179),"",$D$179))</f>
        <v/>
      </c>
      <c r="AA179" s="2">
        <f>IF(ISERROR($E$179),"",IF(ISBLANK($E$179),"",$E$179))</f>
        <v/>
      </c>
      <c r="AB179" s="2">
        <f>IF(ISERROR($F$179),"",IF(ISBLANK($F$179),"",$F$179))</f>
        <v/>
      </c>
      <c r="AC179" s="2">
        <f>IF(ISERROR($G$179),"",IF(ISBLANK($G$179),"",$G$179))</f>
        <v/>
      </c>
      <c r="AD179" s="2">
        <f>IF(ISERROR($H$179),"",IF(ISBLANK($H$179),"",$H$179))</f>
        <v/>
      </c>
      <c r="AG179" s="2">
        <f>ISERROR($B$179)*1+ISERROR($C$179)*1+ISERROR($D$179)*1+ISERROR($E$179)*1+ISERROR($F$179)*1+ISERROR($G$179)*1+ISERROR($H$179)*1</f>
        <v/>
      </c>
    </row>
    <row r="180" ht="26" customHeight="1">
      <c r="B180" s="35" t="n"/>
      <c r="C180" s="29" t="n"/>
      <c r="D180" s="29" t="n"/>
      <c r="E180" s="29" t="n"/>
      <c r="F180" s="29" t="n"/>
      <c r="G180" s="29" t="n"/>
      <c r="H180" s="29" t="n"/>
      <c r="K180" s="19">
        <f>IF(AG180&gt;0,"O Google leu como fórmula: digite de novo com ' na frente.","")</f>
        <v/>
      </c>
      <c r="N180" s="2">
        <f>N179+IF(LEN($X$180)&gt;0,1,0)</f>
        <v/>
      </c>
      <c r="O180" s="2">
        <f>O179+IF(LEN($Y$180)&gt;0,1,0)</f>
        <v/>
      </c>
      <c r="P180" s="2">
        <f>P179+IF(LEN($Z$180)&gt;0,1,0)</f>
        <v/>
      </c>
      <c r="Q180" s="2">
        <f>Q179+IF(LEN($AA$180)&gt;0,1,0)</f>
        <v/>
      </c>
      <c r="R180" s="2">
        <f>R179+IF(LEN($AB$180)&gt;0,1,0)</f>
        <v/>
      </c>
      <c r="S180" s="2">
        <f>S179+IF(LEN($AC$180)&gt;0,1,0)</f>
        <v/>
      </c>
      <c r="T180" s="2">
        <f>T179+IF(LEN($AD$180)&gt;0,1,0)</f>
        <v/>
      </c>
      <c r="X180" s="2">
        <f>IF(ISERROR($B$180),"",IF(ISBLANK($B$180),"",$B$180))</f>
        <v/>
      </c>
      <c r="Y180" s="2">
        <f>IF(ISERROR($C$180),"",IF(ISBLANK($C$180),"",$C$180))</f>
        <v/>
      </c>
      <c r="Z180" s="2">
        <f>IF(ISERROR($D$180),"",IF(ISBLANK($D$180),"",$D$180))</f>
        <v/>
      </c>
      <c r="AA180" s="2">
        <f>IF(ISERROR($E$180),"",IF(ISBLANK($E$180),"",$E$180))</f>
        <v/>
      </c>
      <c r="AB180" s="2">
        <f>IF(ISERROR($F$180),"",IF(ISBLANK($F$180),"",$F$180))</f>
        <v/>
      </c>
      <c r="AC180" s="2">
        <f>IF(ISERROR($G$180),"",IF(ISBLANK($G$180),"",$G$180))</f>
        <v/>
      </c>
      <c r="AD180" s="2">
        <f>IF(ISERROR($H$180),"",IF(ISBLANK($H$180),"",$H$180))</f>
        <v/>
      </c>
      <c r="AG180" s="2">
        <f>ISERROR($B$180)*1+ISERROR($C$180)*1+ISERROR($D$180)*1+ISERROR($E$180)*1+ISERROR($F$180)*1+ISERROR($G$180)*1+ISERROR($H$180)*1</f>
        <v/>
      </c>
    </row>
    <row r="181" ht="26" customHeight="1">
      <c r="B181" s="33" t="n"/>
      <c r="C181" s="4" t="n"/>
      <c r="D181" s="4" t="n"/>
      <c r="E181" s="4" t="n"/>
      <c r="F181" s="4" t="n"/>
      <c r="G181" s="4" t="n"/>
      <c r="H181" s="4" t="n"/>
      <c r="K181" s="19">
        <f>IF(AG181&gt;0,"O Google leu como fórmula: digite de novo com ' na frente.","")</f>
        <v/>
      </c>
      <c r="N181" s="2">
        <f>N180+IF(LEN($X$181)&gt;0,1,0)</f>
        <v/>
      </c>
      <c r="O181" s="2">
        <f>O180+IF(LEN($Y$181)&gt;0,1,0)</f>
        <v/>
      </c>
      <c r="P181" s="2">
        <f>P180+IF(LEN($Z$181)&gt;0,1,0)</f>
        <v/>
      </c>
      <c r="Q181" s="2">
        <f>Q180+IF(LEN($AA$181)&gt;0,1,0)</f>
        <v/>
      </c>
      <c r="R181" s="2">
        <f>R180+IF(LEN($AB$181)&gt;0,1,0)</f>
        <v/>
      </c>
      <c r="S181" s="2">
        <f>S180+IF(LEN($AC$181)&gt;0,1,0)</f>
        <v/>
      </c>
      <c r="T181" s="2">
        <f>T180+IF(LEN($AD$181)&gt;0,1,0)</f>
        <v/>
      </c>
      <c r="X181" s="2">
        <f>IF(ISERROR($B$181),"",IF(ISBLANK($B$181),"",$B$181))</f>
        <v/>
      </c>
      <c r="Y181" s="2">
        <f>IF(ISERROR($C$181),"",IF(ISBLANK($C$181),"",$C$181))</f>
        <v/>
      </c>
      <c r="Z181" s="2">
        <f>IF(ISERROR($D$181),"",IF(ISBLANK($D$181),"",$D$181))</f>
        <v/>
      </c>
      <c r="AA181" s="2">
        <f>IF(ISERROR($E$181),"",IF(ISBLANK($E$181),"",$E$181))</f>
        <v/>
      </c>
      <c r="AB181" s="2">
        <f>IF(ISERROR($F$181),"",IF(ISBLANK($F$181),"",$F$181))</f>
        <v/>
      </c>
      <c r="AC181" s="2">
        <f>IF(ISERROR($G$181),"",IF(ISBLANK($G$181),"",$G$181))</f>
        <v/>
      </c>
      <c r="AD181" s="2">
        <f>IF(ISERROR($H$181),"",IF(ISBLANK($H$181),"",$H$181))</f>
        <v/>
      </c>
      <c r="AG181" s="2">
        <f>ISERROR($B$181)*1+ISERROR($C$181)*1+ISERROR($D$181)*1+ISERROR($E$181)*1+ISERROR($F$181)*1+ISERROR($G$181)*1+ISERROR($H$181)*1</f>
        <v/>
      </c>
    </row>
    <row r="182" ht="15" customHeight="1">
      <c r="B182" s="8" t="inlineStr">
        <is>
          <t>Nome — Humano</t>
        </is>
      </c>
      <c r="C182" s="8" t="inlineStr">
        <is>
          <t>Nome — Xianzhouíta</t>
        </is>
      </c>
      <c r="D182" s="8" t="inlineStr">
        <is>
          <t>Nome — Vidyadhara</t>
        </is>
      </c>
      <c r="E182" s="8" t="inlineStr">
        <is>
          <t>Nome — Vulpes</t>
        </is>
      </c>
      <c r="F182" s="8" t="inlineStr">
        <is>
          <t>Nome — Haloviano</t>
        </is>
      </c>
      <c r="G182" s="8" t="inlineStr">
        <is>
          <t>Nome — Avginiano</t>
        </is>
      </c>
      <c r="H182" s="8" t="inlineStr">
        <is>
          <t>Nome — Intellitron</t>
        </is>
      </c>
      <c r="N182" s="2">
        <f>N181</f>
        <v/>
      </c>
      <c r="O182" s="2">
        <f>O181</f>
        <v/>
      </c>
      <c r="P182" s="2">
        <f>P181</f>
        <v/>
      </c>
      <c r="Q182" s="2">
        <f>Q181</f>
        <v/>
      </c>
      <c r="R182" s="2">
        <f>R181</f>
        <v/>
      </c>
      <c r="S182" s="2">
        <f>S181</f>
        <v/>
      </c>
      <c r="T182" s="2">
        <f>T181</f>
        <v/>
      </c>
      <c r="X182" s="2">
        <f>IF(ISERROR($B$182),"",IF(ISBLANK($B$182),"",$B$182))</f>
        <v/>
      </c>
      <c r="Y182" s="2">
        <f>IF(ISERROR($C$182),"",IF(ISBLANK($C$182),"",$C$182))</f>
        <v/>
      </c>
      <c r="Z182" s="2">
        <f>IF(ISERROR($D$182),"",IF(ISBLANK($D$182),"",$D$182))</f>
        <v/>
      </c>
      <c r="AA182" s="2">
        <f>IF(ISERROR($E$182),"",IF(ISBLANK($E$182),"",$E$182))</f>
        <v/>
      </c>
      <c r="AB182" s="2">
        <f>IF(ISERROR($F$182),"",IF(ISBLANK($F$182),"",$F$182))</f>
        <v/>
      </c>
      <c r="AC182" s="2">
        <f>IF(ISERROR($G$182),"",IF(ISBLANK($G$182),"",$G$182))</f>
        <v/>
      </c>
      <c r="AD182" s="2">
        <f>IF(ISERROR($H$182),"",IF(ISBLANK($H$182),"",$H$182))</f>
        <v/>
      </c>
    </row>
    <row r="183" ht="26" customHeight="1">
      <c r="B183" s="33" t="n"/>
      <c r="C183" s="4" t="n"/>
      <c r="D183" s="4" t="n"/>
      <c r="E183" s="4" t="n"/>
      <c r="F183" s="4" t="n"/>
      <c r="G183" s="4" t="n"/>
      <c r="H183" s="4" t="n"/>
      <c r="K183" s="19">
        <f>IF(AG183&gt;0,"O Google leu como fórmula: digite de novo com ' na frente.","")</f>
        <v/>
      </c>
      <c r="N183" s="2">
        <f>N182+IF(LEN($X$183)&gt;0,1,0)</f>
        <v/>
      </c>
      <c r="O183" s="2">
        <f>O182+IF(LEN($Y$183)&gt;0,1,0)</f>
        <v/>
      </c>
      <c r="P183" s="2">
        <f>P182+IF(LEN($Z$183)&gt;0,1,0)</f>
        <v/>
      </c>
      <c r="Q183" s="2">
        <f>Q182+IF(LEN($AA$183)&gt;0,1,0)</f>
        <v/>
      </c>
      <c r="R183" s="2">
        <f>R182+IF(LEN($AB$183)&gt;0,1,0)</f>
        <v/>
      </c>
      <c r="S183" s="2">
        <f>S182+IF(LEN($AC$183)&gt;0,1,0)</f>
        <v/>
      </c>
      <c r="T183" s="2">
        <f>T182+IF(LEN($AD$183)&gt;0,1,0)</f>
        <v/>
      </c>
      <c r="X183" s="2">
        <f>IF(ISERROR($B$183),"",IF(ISBLANK($B$183),"",$B$183))</f>
        <v/>
      </c>
      <c r="Y183" s="2">
        <f>IF(ISERROR($C$183),"",IF(ISBLANK($C$183),"",$C$183))</f>
        <v/>
      </c>
      <c r="Z183" s="2">
        <f>IF(ISERROR($D$183),"",IF(ISBLANK($D$183),"",$D$183))</f>
        <v/>
      </c>
      <c r="AA183" s="2">
        <f>IF(ISERROR($E$183),"",IF(ISBLANK($E$183),"",$E$183))</f>
        <v/>
      </c>
      <c r="AB183" s="2">
        <f>IF(ISERROR($F$183),"",IF(ISBLANK($F$183),"",$F$183))</f>
        <v/>
      </c>
      <c r="AC183" s="2">
        <f>IF(ISERROR($G$183),"",IF(ISBLANK($G$183),"",$G$183))</f>
        <v/>
      </c>
      <c r="AD183" s="2">
        <f>IF(ISERROR($H$183),"",IF(ISBLANK($H$183),"",$H$183))</f>
        <v/>
      </c>
      <c r="AG183" s="2">
        <f>ISERROR($B$183)*1+ISERROR($C$183)*1+ISERROR($D$183)*1+ISERROR($E$183)*1+ISERROR($F$183)*1+ISERROR($G$183)*1+ISERROR($H$183)*1</f>
        <v/>
      </c>
    </row>
    <row r="184" ht="26" customHeight="1">
      <c r="B184" s="35" t="n"/>
      <c r="C184" s="29" t="n"/>
      <c r="D184" s="29" t="n"/>
      <c r="E184" s="29" t="n"/>
      <c r="F184" s="29" t="n"/>
      <c r="G184" s="29" t="n"/>
      <c r="H184" s="29" t="n"/>
      <c r="K184" s="19">
        <f>IF(AG184&gt;0,"O Google leu como fórmula: digite de novo com ' na frente.","")</f>
        <v/>
      </c>
      <c r="N184" s="2">
        <f>N183+IF(LEN($X$184)&gt;0,1,0)</f>
        <v/>
      </c>
      <c r="O184" s="2">
        <f>O183+IF(LEN($Y$184)&gt;0,1,0)</f>
        <v/>
      </c>
      <c r="P184" s="2">
        <f>P183+IF(LEN($Z$184)&gt;0,1,0)</f>
        <v/>
      </c>
      <c r="Q184" s="2">
        <f>Q183+IF(LEN($AA$184)&gt;0,1,0)</f>
        <v/>
      </c>
      <c r="R184" s="2">
        <f>R183+IF(LEN($AB$184)&gt;0,1,0)</f>
        <v/>
      </c>
      <c r="S184" s="2">
        <f>S183+IF(LEN($AC$184)&gt;0,1,0)</f>
        <v/>
      </c>
      <c r="T184" s="2">
        <f>T183+IF(LEN($AD$184)&gt;0,1,0)</f>
        <v/>
      </c>
      <c r="X184" s="2">
        <f>IF(ISERROR($B$184),"",IF(ISBLANK($B$184),"",$B$184))</f>
        <v/>
      </c>
      <c r="Y184" s="2">
        <f>IF(ISERROR($C$184),"",IF(ISBLANK($C$184),"",$C$184))</f>
        <v/>
      </c>
      <c r="Z184" s="2">
        <f>IF(ISERROR($D$184),"",IF(ISBLANK($D$184),"",$D$184))</f>
        <v/>
      </c>
      <c r="AA184" s="2">
        <f>IF(ISERROR($E$184),"",IF(ISBLANK($E$184),"",$E$184))</f>
        <v/>
      </c>
      <c r="AB184" s="2">
        <f>IF(ISERROR($F$184),"",IF(ISBLANK($F$184),"",$F$184))</f>
        <v/>
      </c>
      <c r="AC184" s="2">
        <f>IF(ISERROR($G$184),"",IF(ISBLANK($G$184),"",$G$184))</f>
        <v/>
      </c>
      <c r="AD184" s="2">
        <f>IF(ISERROR($H$184),"",IF(ISBLANK($H$184),"",$H$184))</f>
        <v/>
      </c>
      <c r="AG184" s="2">
        <f>ISERROR($B$184)*1+ISERROR($C$184)*1+ISERROR($D$184)*1+ISERROR($E$184)*1+ISERROR($F$184)*1+ISERROR($G$184)*1+ISERROR($H$184)*1</f>
        <v/>
      </c>
    </row>
    <row r="185" ht="26" customHeight="1">
      <c r="B185" s="33" t="n"/>
      <c r="C185" s="4" t="n"/>
      <c r="D185" s="4" t="n"/>
      <c r="E185" s="4" t="n"/>
      <c r="F185" s="4" t="n"/>
      <c r="G185" s="4" t="n"/>
      <c r="H185" s="4" t="n"/>
      <c r="K185" s="19">
        <f>IF(AG185&gt;0,"O Google leu como fórmula: digite de novo com ' na frente.","")</f>
        <v/>
      </c>
      <c r="N185" s="2">
        <f>N184+IF(LEN($X$185)&gt;0,1,0)</f>
        <v/>
      </c>
      <c r="O185" s="2">
        <f>O184+IF(LEN($Y$185)&gt;0,1,0)</f>
        <v/>
      </c>
      <c r="P185" s="2">
        <f>P184+IF(LEN($Z$185)&gt;0,1,0)</f>
        <v/>
      </c>
      <c r="Q185" s="2">
        <f>Q184+IF(LEN($AA$185)&gt;0,1,0)</f>
        <v/>
      </c>
      <c r="R185" s="2">
        <f>R184+IF(LEN($AB$185)&gt;0,1,0)</f>
        <v/>
      </c>
      <c r="S185" s="2">
        <f>S184+IF(LEN($AC$185)&gt;0,1,0)</f>
        <v/>
      </c>
      <c r="T185" s="2">
        <f>T184+IF(LEN($AD$185)&gt;0,1,0)</f>
        <v/>
      </c>
      <c r="X185" s="2">
        <f>IF(ISERROR($B$185),"",IF(ISBLANK($B$185),"",$B$185))</f>
        <v/>
      </c>
      <c r="Y185" s="2">
        <f>IF(ISERROR($C$185),"",IF(ISBLANK($C$185),"",$C$185))</f>
        <v/>
      </c>
      <c r="Z185" s="2">
        <f>IF(ISERROR($D$185),"",IF(ISBLANK($D$185),"",$D$185))</f>
        <v/>
      </c>
      <c r="AA185" s="2">
        <f>IF(ISERROR($E$185),"",IF(ISBLANK($E$185),"",$E$185))</f>
        <v/>
      </c>
      <c r="AB185" s="2">
        <f>IF(ISERROR($F$185),"",IF(ISBLANK($F$185),"",$F$185))</f>
        <v/>
      </c>
      <c r="AC185" s="2">
        <f>IF(ISERROR($G$185),"",IF(ISBLANK($G$185),"",$G$185))</f>
        <v/>
      </c>
      <c r="AD185" s="2">
        <f>IF(ISERROR($H$185),"",IF(ISBLANK($H$185),"",$H$185))</f>
        <v/>
      </c>
      <c r="AG185" s="2">
        <f>ISERROR($B$185)*1+ISERROR($C$185)*1+ISERROR($D$185)*1+ISERROR($E$185)*1+ISERROR($F$185)*1+ISERROR($G$185)*1+ISERROR($H$185)*1</f>
        <v/>
      </c>
    </row>
    <row r="186" ht="26" customHeight="1">
      <c r="B186" s="35" t="n"/>
      <c r="C186" s="29" t="n"/>
      <c r="D186" s="29" t="n"/>
      <c r="E186" s="29" t="n"/>
      <c r="F186" s="29" t="n"/>
      <c r="G186" s="29" t="n"/>
      <c r="H186" s="29" t="n"/>
      <c r="K186" s="19">
        <f>IF(AG186&gt;0,"O Google leu como fórmula: digite de novo com ' na frente.","")</f>
        <v/>
      </c>
      <c r="N186" s="2">
        <f>N185+IF(LEN($X$186)&gt;0,1,0)</f>
        <v/>
      </c>
      <c r="O186" s="2">
        <f>O185+IF(LEN($Y$186)&gt;0,1,0)</f>
        <v/>
      </c>
      <c r="P186" s="2">
        <f>P185+IF(LEN($Z$186)&gt;0,1,0)</f>
        <v/>
      </c>
      <c r="Q186" s="2">
        <f>Q185+IF(LEN($AA$186)&gt;0,1,0)</f>
        <v/>
      </c>
      <c r="R186" s="2">
        <f>R185+IF(LEN($AB$186)&gt;0,1,0)</f>
        <v/>
      </c>
      <c r="S186" s="2">
        <f>S185+IF(LEN($AC$186)&gt;0,1,0)</f>
        <v/>
      </c>
      <c r="T186" s="2">
        <f>T185+IF(LEN($AD$186)&gt;0,1,0)</f>
        <v/>
      </c>
      <c r="X186" s="2">
        <f>IF(ISERROR($B$186),"",IF(ISBLANK($B$186),"",$B$186))</f>
        <v/>
      </c>
      <c r="Y186" s="2">
        <f>IF(ISERROR($C$186),"",IF(ISBLANK($C$186),"",$C$186))</f>
        <v/>
      </c>
      <c r="Z186" s="2">
        <f>IF(ISERROR($D$186),"",IF(ISBLANK($D$186),"",$D$186))</f>
        <v/>
      </c>
      <c r="AA186" s="2">
        <f>IF(ISERROR($E$186),"",IF(ISBLANK($E$186),"",$E$186))</f>
        <v/>
      </c>
      <c r="AB186" s="2">
        <f>IF(ISERROR($F$186),"",IF(ISBLANK($F$186),"",$F$186))</f>
        <v/>
      </c>
      <c r="AC186" s="2">
        <f>IF(ISERROR($G$186),"",IF(ISBLANK($G$186),"",$G$186))</f>
        <v/>
      </c>
      <c r="AD186" s="2">
        <f>IF(ISERROR($H$186),"",IF(ISBLANK($H$186),"",$H$186))</f>
        <v/>
      </c>
      <c r="AG186" s="2">
        <f>ISERROR($B$186)*1+ISERROR($C$186)*1+ISERROR($D$186)*1+ISERROR($E$186)*1+ISERROR($F$186)*1+ISERROR($G$186)*1+ISERROR($H$186)*1</f>
        <v/>
      </c>
    </row>
    <row r="187" ht="26" customHeight="1">
      <c r="B187" s="33" t="n"/>
      <c r="C187" s="4" t="n"/>
      <c r="D187" s="4" t="n"/>
      <c r="E187" s="4" t="n"/>
      <c r="F187" s="4" t="n"/>
      <c r="G187" s="4" t="n"/>
      <c r="H187" s="4" t="n"/>
      <c r="K187" s="19">
        <f>IF(AG187&gt;0,"O Google leu como fórmula: digite de novo com ' na frente.","")</f>
        <v/>
      </c>
      <c r="N187" s="2">
        <f>N186+IF(LEN($X$187)&gt;0,1,0)</f>
        <v/>
      </c>
      <c r="O187" s="2">
        <f>O186+IF(LEN($Y$187)&gt;0,1,0)</f>
        <v/>
      </c>
      <c r="P187" s="2">
        <f>P186+IF(LEN($Z$187)&gt;0,1,0)</f>
        <v/>
      </c>
      <c r="Q187" s="2">
        <f>Q186+IF(LEN($AA$187)&gt;0,1,0)</f>
        <v/>
      </c>
      <c r="R187" s="2">
        <f>R186+IF(LEN($AB$187)&gt;0,1,0)</f>
        <v/>
      </c>
      <c r="S187" s="2">
        <f>S186+IF(LEN($AC$187)&gt;0,1,0)</f>
        <v/>
      </c>
      <c r="T187" s="2">
        <f>T186+IF(LEN($AD$187)&gt;0,1,0)</f>
        <v/>
      </c>
      <c r="X187" s="2">
        <f>IF(ISERROR($B$187),"",IF(ISBLANK($B$187),"",$B$187))</f>
        <v/>
      </c>
      <c r="Y187" s="2">
        <f>IF(ISERROR($C$187),"",IF(ISBLANK($C$187),"",$C$187))</f>
        <v/>
      </c>
      <c r="Z187" s="2">
        <f>IF(ISERROR($D$187),"",IF(ISBLANK($D$187),"",$D$187))</f>
        <v/>
      </c>
      <c r="AA187" s="2">
        <f>IF(ISERROR($E$187),"",IF(ISBLANK($E$187),"",$E$187))</f>
        <v/>
      </c>
      <c r="AB187" s="2">
        <f>IF(ISERROR($F$187),"",IF(ISBLANK($F$187),"",$F$187))</f>
        <v/>
      </c>
      <c r="AC187" s="2">
        <f>IF(ISERROR($G$187),"",IF(ISBLANK($G$187),"",$G$187))</f>
        <v/>
      </c>
      <c r="AD187" s="2">
        <f>IF(ISERROR($H$187),"",IF(ISBLANK($H$187),"",$H$187))</f>
        <v/>
      </c>
      <c r="AG187" s="2">
        <f>ISERROR($B$187)*1+ISERROR($C$187)*1+ISERROR($D$187)*1+ISERROR($E$187)*1+ISERROR($F$187)*1+ISERROR($G$187)*1+ISERROR($H$187)*1</f>
        <v/>
      </c>
    </row>
    <row r="188" ht="26" customHeight="1">
      <c r="B188" s="35" t="n"/>
      <c r="C188" s="29" t="n"/>
      <c r="D188" s="29" t="n"/>
      <c r="E188" s="29" t="n"/>
      <c r="F188" s="29" t="n"/>
      <c r="G188" s="29" t="n"/>
      <c r="H188" s="29" t="n"/>
      <c r="K188" s="19">
        <f>IF(AG188&gt;0,"O Google leu como fórmula: digite de novo com ' na frente.","")</f>
        <v/>
      </c>
      <c r="N188" s="2">
        <f>N187+IF(LEN($X$188)&gt;0,1,0)</f>
        <v/>
      </c>
      <c r="O188" s="2">
        <f>O187+IF(LEN($Y$188)&gt;0,1,0)</f>
        <v/>
      </c>
      <c r="P188" s="2">
        <f>P187+IF(LEN($Z$188)&gt;0,1,0)</f>
        <v/>
      </c>
      <c r="Q188" s="2">
        <f>Q187+IF(LEN($AA$188)&gt;0,1,0)</f>
        <v/>
      </c>
      <c r="R188" s="2">
        <f>R187+IF(LEN($AB$188)&gt;0,1,0)</f>
        <v/>
      </c>
      <c r="S188" s="2">
        <f>S187+IF(LEN($AC$188)&gt;0,1,0)</f>
        <v/>
      </c>
      <c r="T188" s="2">
        <f>T187+IF(LEN($AD$188)&gt;0,1,0)</f>
        <v/>
      </c>
      <c r="X188" s="2">
        <f>IF(ISERROR($B$188),"",IF(ISBLANK($B$188),"",$B$188))</f>
        <v/>
      </c>
      <c r="Y188" s="2">
        <f>IF(ISERROR($C$188),"",IF(ISBLANK($C$188),"",$C$188))</f>
        <v/>
      </c>
      <c r="Z188" s="2">
        <f>IF(ISERROR($D$188),"",IF(ISBLANK($D$188),"",$D$188))</f>
        <v/>
      </c>
      <c r="AA188" s="2">
        <f>IF(ISERROR($E$188),"",IF(ISBLANK($E$188),"",$E$188))</f>
        <v/>
      </c>
      <c r="AB188" s="2">
        <f>IF(ISERROR($F$188),"",IF(ISBLANK($F$188),"",$F$188))</f>
        <v/>
      </c>
      <c r="AC188" s="2">
        <f>IF(ISERROR($G$188),"",IF(ISBLANK($G$188),"",$G$188))</f>
        <v/>
      </c>
      <c r="AD188" s="2">
        <f>IF(ISERROR($H$188),"",IF(ISBLANK($H$188),"",$H$188))</f>
        <v/>
      </c>
      <c r="AG188" s="2">
        <f>ISERROR($B$188)*1+ISERROR($C$188)*1+ISERROR($D$188)*1+ISERROR($E$188)*1+ISERROR($F$188)*1+ISERROR($G$188)*1+ISERROR($H$188)*1</f>
        <v/>
      </c>
    </row>
    <row r="189" ht="26" customHeight="1">
      <c r="B189" s="33" t="n"/>
      <c r="C189" s="4" t="n"/>
      <c r="D189" s="4" t="n"/>
      <c r="E189" s="4" t="n"/>
      <c r="F189" s="4" t="n"/>
      <c r="G189" s="4" t="n"/>
      <c r="H189" s="4" t="n"/>
      <c r="K189" s="19">
        <f>IF(AG189&gt;0,"O Google leu como fórmula: digite de novo com ' na frente.","")</f>
        <v/>
      </c>
      <c r="N189" s="2">
        <f>N188+IF(LEN($X$189)&gt;0,1,0)</f>
        <v/>
      </c>
      <c r="O189" s="2">
        <f>O188+IF(LEN($Y$189)&gt;0,1,0)</f>
        <v/>
      </c>
      <c r="P189" s="2">
        <f>P188+IF(LEN($Z$189)&gt;0,1,0)</f>
        <v/>
      </c>
      <c r="Q189" s="2">
        <f>Q188+IF(LEN($AA$189)&gt;0,1,0)</f>
        <v/>
      </c>
      <c r="R189" s="2">
        <f>R188+IF(LEN($AB$189)&gt;0,1,0)</f>
        <v/>
      </c>
      <c r="S189" s="2">
        <f>S188+IF(LEN($AC$189)&gt;0,1,0)</f>
        <v/>
      </c>
      <c r="T189" s="2">
        <f>T188+IF(LEN($AD$189)&gt;0,1,0)</f>
        <v/>
      </c>
      <c r="X189" s="2">
        <f>IF(ISERROR($B$189),"",IF(ISBLANK($B$189),"",$B$189))</f>
        <v/>
      </c>
      <c r="Y189" s="2">
        <f>IF(ISERROR($C$189),"",IF(ISBLANK($C$189),"",$C$189))</f>
        <v/>
      </c>
      <c r="Z189" s="2">
        <f>IF(ISERROR($D$189),"",IF(ISBLANK($D$189),"",$D$189))</f>
        <v/>
      </c>
      <c r="AA189" s="2">
        <f>IF(ISERROR($E$189),"",IF(ISBLANK($E$189),"",$E$189))</f>
        <v/>
      </c>
      <c r="AB189" s="2">
        <f>IF(ISERROR($F$189),"",IF(ISBLANK($F$189),"",$F$189))</f>
        <v/>
      </c>
      <c r="AC189" s="2">
        <f>IF(ISERROR($G$189),"",IF(ISBLANK($G$189),"",$G$189))</f>
        <v/>
      </c>
      <c r="AD189" s="2">
        <f>IF(ISERROR($H$189),"",IF(ISBLANK($H$189),"",$H$189))</f>
        <v/>
      </c>
      <c r="AG189" s="2">
        <f>ISERROR($B$189)*1+ISERROR($C$189)*1+ISERROR($D$189)*1+ISERROR($E$189)*1+ISERROR($F$189)*1+ISERROR($G$189)*1+ISERROR($H$189)*1</f>
        <v/>
      </c>
    </row>
    <row r="190" ht="26" customHeight="1">
      <c r="B190" s="35" t="n"/>
      <c r="C190" s="29" t="n"/>
      <c r="D190" s="29" t="n"/>
      <c r="E190" s="29" t="n"/>
      <c r="F190" s="29" t="n"/>
      <c r="G190" s="29" t="n"/>
      <c r="H190" s="29" t="n"/>
      <c r="K190" s="19">
        <f>IF(AG190&gt;0,"O Google leu como fórmula: digite de novo com ' na frente.","")</f>
        <v/>
      </c>
      <c r="N190" s="2">
        <f>N189+IF(LEN($X$190)&gt;0,1,0)</f>
        <v/>
      </c>
      <c r="O190" s="2">
        <f>O189+IF(LEN($Y$190)&gt;0,1,0)</f>
        <v/>
      </c>
      <c r="P190" s="2">
        <f>P189+IF(LEN($Z$190)&gt;0,1,0)</f>
        <v/>
      </c>
      <c r="Q190" s="2">
        <f>Q189+IF(LEN($AA$190)&gt;0,1,0)</f>
        <v/>
      </c>
      <c r="R190" s="2">
        <f>R189+IF(LEN($AB$190)&gt;0,1,0)</f>
        <v/>
      </c>
      <c r="S190" s="2">
        <f>S189+IF(LEN($AC$190)&gt;0,1,0)</f>
        <v/>
      </c>
      <c r="T190" s="2">
        <f>T189+IF(LEN($AD$190)&gt;0,1,0)</f>
        <v/>
      </c>
      <c r="X190" s="2">
        <f>IF(ISERROR($B$190),"",IF(ISBLANK($B$190),"",$B$190))</f>
        <v/>
      </c>
      <c r="Y190" s="2">
        <f>IF(ISERROR($C$190),"",IF(ISBLANK($C$190),"",$C$190))</f>
        <v/>
      </c>
      <c r="Z190" s="2">
        <f>IF(ISERROR($D$190),"",IF(ISBLANK($D$190),"",$D$190))</f>
        <v/>
      </c>
      <c r="AA190" s="2">
        <f>IF(ISERROR($E$190),"",IF(ISBLANK($E$190),"",$E$190))</f>
        <v/>
      </c>
      <c r="AB190" s="2">
        <f>IF(ISERROR($F$190),"",IF(ISBLANK($F$190),"",$F$190))</f>
        <v/>
      </c>
      <c r="AC190" s="2">
        <f>IF(ISERROR($G$190),"",IF(ISBLANK($G$190),"",$G$190))</f>
        <v/>
      </c>
      <c r="AD190" s="2">
        <f>IF(ISERROR($H$190),"",IF(ISBLANK($H$190),"",$H$190))</f>
        <v/>
      </c>
      <c r="AG190" s="2">
        <f>ISERROR($B$190)*1+ISERROR($C$190)*1+ISERROR($D$190)*1+ISERROR($E$190)*1+ISERROR($F$190)*1+ISERROR($G$190)*1+ISERROR($H$190)*1</f>
        <v/>
      </c>
    </row>
    <row r="191" ht="26" customHeight="1">
      <c r="B191" s="33" t="n"/>
      <c r="C191" s="4" t="n"/>
      <c r="D191" s="4" t="n"/>
      <c r="E191" s="4" t="n"/>
      <c r="F191" s="4" t="n"/>
      <c r="G191" s="4" t="n"/>
      <c r="H191" s="4" t="n"/>
      <c r="K191" s="19">
        <f>IF(AG191&gt;0,"O Google leu como fórmula: digite de novo com ' na frente.","")</f>
        <v/>
      </c>
      <c r="N191" s="2">
        <f>N190+IF(LEN($X$191)&gt;0,1,0)</f>
        <v/>
      </c>
      <c r="O191" s="2">
        <f>O190+IF(LEN($Y$191)&gt;0,1,0)</f>
        <v/>
      </c>
      <c r="P191" s="2">
        <f>P190+IF(LEN($Z$191)&gt;0,1,0)</f>
        <v/>
      </c>
      <c r="Q191" s="2">
        <f>Q190+IF(LEN($AA$191)&gt;0,1,0)</f>
        <v/>
      </c>
      <c r="R191" s="2">
        <f>R190+IF(LEN($AB$191)&gt;0,1,0)</f>
        <v/>
      </c>
      <c r="S191" s="2">
        <f>S190+IF(LEN($AC$191)&gt;0,1,0)</f>
        <v/>
      </c>
      <c r="T191" s="2">
        <f>T190+IF(LEN($AD$191)&gt;0,1,0)</f>
        <v/>
      </c>
      <c r="X191" s="2">
        <f>IF(ISERROR($B$191),"",IF(ISBLANK($B$191),"",$B$191))</f>
        <v/>
      </c>
      <c r="Y191" s="2">
        <f>IF(ISERROR($C$191),"",IF(ISBLANK($C$191),"",$C$191))</f>
        <v/>
      </c>
      <c r="Z191" s="2">
        <f>IF(ISERROR($D$191),"",IF(ISBLANK($D$191),"",$D$191))</f>
        <v/>
      </c>
      <c r="AA191" s="2">
        <f>IF(ISERROR($E$191),"",IF(ISBLANK($E$191),"",$E$191))</f>
        <v/>
      </c>
      <c r="AB191" s="2">
        <f>IF(ISERROR($F$191),"",IF(ISBLANK($F$191),"",$F$191))</f>
        <v/>
      </c>
      <c r="AC191" s="2">
        <f>IF(ISERROR($G$191),"",IF(ISBLANK($G$191),"",$G$191))</f>
        <v/>
      </c>
      <c r="AD191" s="2">
        <f>IF(ISERROR($H$191),"",IF(ISBLANK($H$191),"",$H$191))</f>
        <v/>
      </c>
      <c r="AG191" s="2">
        <f>ISERROR($B$191)*1+ISERROR($C$191)*1+ISERROR($D$191)*1+ISERROR($E$191)*1+ISERROR($F$191)*1+ISERROR($G$191)*1+ISERROR($H$191)*1</f>
        <v/>
      </c>
    </row>
    <row r="192" ht="26" customHeight="1">
      <c r="B192" s="35" t="n"/>
      <c r="C192" s="29" t="n"/>
      <c r="D192" s="29" t="n"/>
      <c r="E192" s="29" t="n"/>
      <c r="F192" s="29" t="n"/>
      <c r="G192" s="29" t="n"/>
      <c r="H192" s="29" t="n"/>
      <c r="K192" s="19">
        <f>IF(AG192&gt;0,"O Google leu como fórmula: digite de novo com ' na frente.","")</f>
        <v/>
      </c>
      <c r="N192" s="2">
        <f>N191+IF(LEN($X$192)&gt;0,1,0)</f>
        <v/>
      </c>
      <c r="O192" s="2">
        <f>O191+IF(LEN($Y$192)&gt;0,1,0)</f>
        <v/>
      </c>
      <c r="P192" s="2">
        <f>P191+IF(LEN($Z$192)&gt;0,1,0)</f>
        <v/>
      </c>
      <c r="Q192" s="2">
        <f>Q191+IF(LEN($AA$192)&gt;0,1,0)</f>
        <v/>
      </c>
      <c r="R192" s="2">
        <f>R191+IF(LEN($AB$192)&gt;0,1,0)</f>
        <v/>
      </c>
      <c r="S192" s="2">
        <f>S191+IF(LEN($AC$192)&gt;0,1,0)</f>
        <v/>
      </c>
      <c r="T192" s="2">
        <f>T191+IF(LEN($AD$192)&gt;0,1,0)</f>
        <v/>
      </c>
      <c r="X192" s="2">
        <f>IF(ISERROR($B$192),"",IF(ISBLANK($B$192),"",$B$192))</f>
        <v/>
      </c>
      <c r="Y192" s="2">
        <f>IF(ISERROR($C$192),"",IF(ISBLANK($C$192),"",$C$192))</f>
        <v/>
      </c>
      <c r="Z192" s="2">
        <f>IF(ISERROR($D$192),"",IF(ISBLANK($D$192),"",$D$192))</f>
        <v/>
      </c>
      <c r="AA192" s="2">
        <f>IF(ISERROR($E$192),"",IF(ISBLANK($E$192),"",$E$192))</f>
        <v/>
      </c>
      <c r="AB192" s="2">
        <f>IF(ISERROR($F$192),"",IF(ISBLANK($F$192),"",$F$192))</f>
        <v/>
      </c>
      <c r="AC192" s="2">
        <f>IF(ISERROR($G$192),"",IF(ISBLANK($G$192),"",$G$192))</f>
        <v/>
      </c>
      <c r="AD192" s="2">
        <f>IF(ISERROR($H$192),"",IF(ISBLANK($H$192),"",$H$192))</f>
        <v/>
      </c>
      <c r="AG192" s="2">
        <f>ISERROR($B$192)*1+ISERROR($C$192)*1+ISERROR($D$192)*1+ISERROR($E$192)*1+ISERROR($F$192)*1+ISERROR($G$192)*1+ISERROR($H$192)*1</f>
        <v/>
      </c>
    </row>
    <row r="193" ht="26" customHeight="1">
      <c r="B193" s="33" t="n"/>
      <c r="C193" s="4" t="n"/>
      <c r="D193" s="4" t="n"/>
      <c r="E193" s="4" t="n"/>
      <c r="F193" s="4" t="n"/>
      <c r="G193" s="4" t="n"/>
      <c r="H193" s="4" t="n"/>
      <c r="K193" s="19">
        <f>IF(AG193&gt;0,"O Google leu como fórmula: digite de novo com ' na frente.","")</f>
        <v/>
      </c>
      <c r="N193" s="2">
        <f>N192+IF(LEN($X$193)&gt;0,1,0)</f>
        <v/>
      </c>
      <c r="O193" s="2">
        <f>O192+IF(LEN($Y$193)&gt;0,1,0)</f>
        <v/>
      </c>
      <c r="P193" s="2">
        <f>P192+IF(LEN($Z$193)&gt;0,1,0)</f>
        <v/>
      </c>
      <c r="Q193" s="2">
        <f>Q192+IF(LEN($AA$193)&gt;0,1,0)</f>
        <v/>
      </c>
      <c r="R193" s="2">
        <f>R192+IF(LEN($AB$193)&gt;0,1,0)</f>
        <v/>
      </c>
      <c r="S193" s="2">
        <f>S192+IF(LEN($AC$193)&gt;0,1,0)</f>
        <v/>
      </c>
      <c r="T193" s="2">
        <f>T192+IF(LEN($AD$193)&gt;0,1,0)</f>
        <v/>
      </c>
      <c r="X193" s="2">
        <f>IF(ISERROR($B$193),"",IF(ISBLANK($B$193),"",$B$193))</f>
        <v/>
      </c>
      <c r="Y193" s="2">
        <f>IF(ISERROR($C$193),"",IF(ISBLANK($C$193),"",$C$193))</f>
        <v/>
      </c>
      <c r="Z193" s="2">
        <f>IF(ISERROR($D$193),"",IF(ISBLANK($D$193),"",$D$193))</f>
        <v/>
      </c>
      <c r="AA193" s="2">
        <f>IF(ISERROR($E$193),"",IF(ISBLANK($E$193),"",$E$193))</f>
        <v/>
      </c>
      <c r="AB193" s="2">
        <f>IF(ISERROR($F$193),"",IF(ISBLANK($F$193),"",$F$193))</f>
        <v/>
      </c>
      <c r="AC193" s="2">
        <f>IF(ISERROR($G$193),"",IF(ISBLANK($G$193),"",$G$193))</f>
        <v/>
      </c>
      <c r="AD193" s="2">
        <f>IF(ISERROR($H$193),"",IF(ISBLANK($H$193),"",$H$193))</f>
        <v/>
      </c>
      <c r="AG193" s="2">
        <f>ISERROR($B$193)*1+ISERROR($C$193)*1+ISERROR($D$193)*1+ISERROR($E$193)*1+ISERROR($F$193)*1+ISERROR($G$193)*1+ISERROR($H$193)*1</f>
        <v/>
      </c>
    </row>
    <row r="194" ht="26" customHeight="1">
      <c r="B194" s="35" t="n"/>
      <c r="C194" s="29" t="n"/>
      <c r="D194" s="29" t="n"/>
      <c r="E194" s="29" t="n"/>
      <c r="F194" s="29" t="n"/>
      <c r="G194" s="29" t="n"/>
      <c r="H194" s="29" t="n"/>
      <c r="K194" s="19">
        <f>IF(AG194&gt;0,"O Google leu como fórmula: digite de novo com ' na frente.","")</f>
        <v/>
      </c>
      <c r="N194" s="2">
        <f>N193+IF(LEN($X$194)&gt;0,1,0)</f>
        <v/>
      </c>
      <c r="O194" s="2">
        <f>O193+IF(LEN($Y$194)&gt;0,1,0)</f>
        <v/>
      </c>
      <c r="P194" s="2">
        <f>P193+IF(LEN($Z$194)&gt;0,1,0)</f>
        <v/>
      </c>
      <c r="Q194" s="2">
        <f>Q193+IF(LEN($AA$194)&gt;0,1,0)</f>
        <v/>
      </c>
      <c r="R194" s="2">
        <f>R193+IF(LEN($AB$194)&gt;0,1,0)</f>
        <v/>
      </c>
      <c r="S194" s="2">
        <f>S193+IF(LEN($AC$194)&gt;0,1,0)</f>
        <v/>
      </c>
      <c r="T194" s="2">
        <f>T193+IF(LEN($AD$194)&gt;0,1,0)</f>
        <v/>
      </c>
      <c r="X194" s="2">
        <f>IF(ISERROR($B$194),"",IF(ISBLANK($B$194),"",$B$194))</f>
        <v/>
      </c>
      <c r="Y194" s="2">
        <f>IF(ISERROR($C$194),"",IF(ISBLANK($C$194),"",$C$194))</f>
        <v/>
      </c>
      <c r="Z194" s="2">
        <f>IF(ISERROR($D$194),"",IF(ISBLANK($D$194),"",$D$194))</f>
        <v/>
      </c>
      <c r="AA194" s="2">
        <f>IF(ISERROR($E$194),"",IF(ISBLANK($E$194),"",$E$194))</f>
        <v/>
      </c>
      <c r="AB194" s="2">
        <f>IF(ISERROR($F$194),"",IF(ISBLANK($F$194),"",$F$194))</f>
        <v/>
      </c>
      <c r="AC194" s="2">
        <f>IF(ISERROR($G$194),"",IF(ISBLANK($G$194),"",$G$194))</f>
        <v/>
      </c>
      <c r="AD194" s="2">
        <f>IF(ISERROR($H$194),"",IF(ISBLANK($H$194),"",$H$194))</f>
        <v/>
      </c>
      <c r="AG194" s="2">
        <f>ISERROR($B$194)*1+ISERROR($C$194)*1+ISERROR($D$194)*1+ISERROR($E$194)*1+ISERROR($F$194)*1+ISERROR($G$194)*1+ISERROR($H$194)*1</f>
        <v/>
      </c>
    </row>
    <row r="195" ht="26" customHeight="1">
      <c r="B195" s="33" t="n"/>
      <c r="C195" s="4" t="n"/>
      <c r="D195" s="4" t="n"/>
      <c r="E195" s="4" t="n"/>
      <c r="F195" s="4" t="n"/>
      <c r="G195" s="4" t="n"/>
      <c r="H195" s="4" t="n"/>
      <c r="K195" s="19">
        <f>IF(AG195&gt;0,"O Google leu como fórmula: digite de novo com ' na frente.","")</f>
        <v/>
      </c>
      <c r="N195" s="2">
        <f>N194+IF(LEN($X$195)&gt;0,1,0)</f>
        <v/>
      </c>
      <c r="O195" s="2">
        <f>O194+IF(LEN($Y$195)&gt;0,1,0)</f>
        <v/>
      </c>
      <c r="P195" s="2">
        <f>P194+IF(LEN($Z$195)&gt;0,1,0)</f>
        <v/>
      </c>
      <c r="Q195" s="2">
        <f>Q194+IF(LEN($AA$195)&gt;0,1,0)</f>
        <v/>
      </c>
      <c r="R195" s="2">
        <f>R194+IF(LEN($AB$195)&gt;0,1,0)</f>
        <v/>
      </c>
      <c r="S195" s="2">
        <f>S194+IF(LEN($AC$195)&gt;0,1,0)</f>
        <v/>
      </c>
      <c r="T195" s="2">
        <f>T194+IF(LEN($AD$195)&gt;0,1,0)</f>
        <v/>
      </c>
      <c r="X195" s="2">
        <f>IF(ISERROR($B$195),"",IF(ISBLANK($B$195),"",$B$195))</f>
        <v/>
      </c>
      <c r="Y195" s="2">
        <f>IF(ISERROR($C$195),"",IF(ISBLANK($C$195),"",$C$195))</f>
        <v/>
      </c>
      <c r="Z195" s="2">
        <f>IF(ISERROR($D$195),"",IF(ISBLANK($D$195),"",$D$195))</f>
        <v/>
      </c>
      <c r="AA195" s="2">
        <f>IF(ISERROR($E$195),"",IF(ISBLANK($E$195),"",$E$195))</f>
        <v/>
      </c>
      <c r="AB195" s="2">
        <f>IF(ISERROR($F$195),"",IF(ISBLANK($F$195),"",$F$195))</f>
        <v/>
      </c>
      <c r="AC195" s="2">
        <f>IF(ISERROR($G$195),"",IF(ISBLANK($G$195),"",$G$195))</f>
        <v/>
      </c>
      <c r="AD195" s="2">
        <f>IF(ISERROR($H$195),"",IF(ISBLANK($H$195),"",$H$195))</f>
        <v/>
      </c>
      <c r="AG195" s="2">
        <f>ISERROR($B$195)*1+ISERROR($C$195)*1+ISERROR($D$195)*1+ISERROR($E$195)*1+ISERROR($F$195)*1+ISERROR($G$195)*1+ISERROR($H$195)*1</f>
        <v/>
      </c>
    </row>
    <row r="196" ht="15" customHeight="1">
      <c r="B196" s="8" t="inlineStr">
        <is>
          <t>Nome — Humano</t>
        </is>
      </c>
      <c r="C196" s="8" t="inlineStr">
        <is>
          <t>Nome — Xianzhouíta</t>
        </is>
      </c>
      <c r="D196" s="8" t="inlineStr">
        <is>
          <t>Nome — Vidyadhara</t>
        </is>
      </c>
      <c r="E196" s="8" t="inlineStr">
        <is>
          <t>Nome — Vulpes</t>
        </is>
      </c>
      <c r="F196" s="8" t="inlineStr">
        <is>
          <t>Nome — Haloviano</t>
        </is>
      </c>
      <c r="G196" s="8" t="inlineStr">
        <is>
          <t>Nome — Avginiano</t>
        </is>
      </c>
      <c r="H196" s="8" t="inlineStr">
        <is>
          <t>Nome — Intellitron</t>
        </is>
      </c>
      <c r="N196" s="2">
        <f>N195</f>
        <v/>
      </c>
      <c r="O196" s="2">
        <f>O195</f>
        <v/>
      </c>
      <c r="P196" s="2">
        <f>P195</f>
        <v/>
      </c>
      <c r="Q196" s="2">
        <f>Q195</f>
        <v/>
      </c>
      <c r="R196" s="2">
        <f>R195</f>
        <v/>
      </c>
      <c r="S196" s="2">
        <f>S195</f>
        <v/>
      </c>
      <c r="T196" s="2">
        <f>T195</f>
        <v/>
      </c>
      <c r="X196" s="2">
        <f>IF(ISERROR($B$196),"",IF(ISBLANK($B$196),"",$B$196))</f>
        <v/>
      </c>
      <c r="Y196" s="2">
        <f>IF(ISERROR($C$196),"",IF(ISBLANK($C$196),"",$C$196))</f>
        <v/>
      </c>
      <c r="Z196" s="2">
        <f>IF(ISERROR($D$196),"",IF(ISBLANK($D$196),"",$D$196))</f>
        <v/>
      </c>
      <c r="AA196" s="2">
        <f>IF(ISERROR($E$196),"",IF(ISBLANK($E$196),"",$E$196))</f>
        <v/>
      </c>
      <c r="AB196" s="2">
        <f>IF(ISERROR($F$196),"",IF(ISBLANK($F$196),"",$F$196))</f>
        <v/>
      </c>
      <c r="AC196" s="2">
        <f>IF(ISERROR($G$196),"",IF(ISBLANK($G$196),"",$G$196))</f>
        <v/>
      </c>
      <c r="AD196" s="2">
        <f>IF(ISERROR($H$196),"",IF(ISBLANK($H$196),"",$H$196))</f>
        <v/>
      </c>
    </row>
    <row r="197" ht="26" customHeight="1">
      <c r="B197" s="33" t="n"/>
      <c r="C197" s="4" t="n"/>
      <c r="D197" s="4" t="n"/>
      <c r="E197" s="4" t="n"/>
      <c r="F197" s="4" t="n"/>
      <c r="G197" s="4" t="n"/>
      <c r="H197" s="4" t="n"/>
      <c r="K197" s="19">
        <f>IF(AG197&gt;0,"O Google leu como fórmula: digite de novo com ' na frente.","")</f>
        <v/>
      </c>
      <c r="N197" s="2">
        <f>N196+IF(LEN($X$197)&gt;0,1,0)</f>
        <v/>
      </c>
      <c r="O197" s="2">
        <f>O196+IF(LEN($Y$197)&gt;0,1,0)</f>
        <v/>
      </c>
      <c r="P197" s="2">
        <f>P196+IF(LEN($Z$197)&gt;0,1,0)</f>
        <v/>
      </c>
      <c r="Q197" s="2">
        <f>Q196+IF(LEN($AA$197)&gt;0,1,0)</f>
        <v/>
      </c>
      <c r="R197" s="2">
        <f>R196+IF(LEN($AB$197)&gt;0,1,0)</f>
        <v/>
      </c>
      <c r="S197" s="2">
        <f>S196+IF(LEN($AC$197)&gt;0,1,0)</f>
        <v/>
      </c>
      <c r="T197" s="2">
        <f>T196+IF(LEN($AD$197)&gt;0,1,0)</f>
        <v/>
      </c>
      <c r="X197" s="2">
        <f>IF(ISERROR($B$197),"",IF(ISBLANK($B$197),"",$B$197))</f>
        <v/>
      </c>
      <c r="Y197" s="2">
        <f>IF(ISERROR($C$197),"",IF(ISBLANK($C$197),"",$C$197))</f>
        <v/>
      </c>
      <c r="Z197" s="2">
        <f>IF(ISERROR($D$197),"",IF(ISBLANK($D$197),"",$D$197))</f>
        <v/>
      </c>
      <c r="AA197" s="2">
        <f>IF(ISERROR($E$197),"",IF(ISBLANK($E$197),"",$E$197))</f>
        <v/>
      </c>
      <c r="AB197" s="2">
        <f>IF(ISERROR($F$197),"",IF(ISBLANK($F$197),"",$F$197))</f>
        <v/>
      </c>
      <c r="AC197" s="2">
        <f>IF(ISERROR($G$197),"",IF(ISBLANK($G$197),"",$G$197))</f>
        <v/>
      </c>
      <c r="AD197" s="2">
        <f>IF(ISERROR($H$197),"",IF(ISBLANK($H$197),"",$H$197))</f>
        <v/>
      </c>
      <c r="AG197" s="2">
        <f>ISERROR($B$197)*1+ISERROR($C$197)*1+ISERROR($D$197)*1+ISERROR($E$197)*1+ISERROR($F$197)*1+ISERROR($G$197)*1+ISERROR($H$197)*1</f>
        <v/>
      </c>
    </row>
    <row r="198" ht="26" customHeight="1">
      <c r="B198" s="35" t="n"/>
      <c r="C198" s="29" t="n"/>
      <c r="D198" s="29" t="n"/>
      <c r="E198" s="29" t="n"/>
      <c r="F198" s="29" t="n"/>
      <c r="G198" s="29" t="n"/>
      <c r="H198" s="29" t="n"/>
      <c r="K198" s="19">
        <f>IF(AG198&gt;0,"O Google leu como fórmula: digite de novo com ' na frente.","")</f>
        <v/>
      </c>
      <c r="N198" s="2">
        <f>N197+IF(LEN($X$198)&gt;0,1,0)</f>
        <v/>
      </c>
      <c r="O198" s="2">
        <f>O197+IF(LEN($Y$198)&gt;0,1,0)</f>
        <v/>
      </c>
      <c r="P198" s="2">
        <f>P197+IF(LEN($Z$198)&gt;0,1,0)</f>
        <v/>
      </c>
      <c r="Q198" s="2">
        <f>Q197+IF(LEN($AA$198)&gt;0,1,0)</f>
        <v/>
      </c>
      <c r="R198" s="2">
        <f>R197+IF(LEN($AB$198)&gt;0,1,0)</f>
        <v/>
      </c>
      <c r="S198" s="2">
        <f>S197+IF(LEN($AC$198)&gt;0,1,0)</f>
        <v/>
      </c>
      <c r="T198" s="2">
        <f>T197+IF(LEN($AD$198)&gt;0,1,0)</f>
        <v/>
      </c>
      <c r="X198" s="2">
        <f>IF(ISERROR($B$198),"",IF(ISBLANK($B$198),"",$B$198))</f>
        <v/>
      </c>
      <c r="Y198" s="2">
        <f>IF(ISERROR($C$198),"",IF(ISBLANK($C$198),"",$C$198))</f>
        <v/>
      </c>
      <c r="Z198" s="2">
        <f>IF(ISERROR($D$198),"",IF(ISBLANK($D$198),"",$D$198))</f>
        <v/>
      </c>
      <c r="AA198" s="2">
        <f>IF(ISERROR($E$198),"",IF(ISBLANK($E$198),"",$E$198))</f>
        <v/>
      </c>
      <c r="AB198" s="2">
        <f>IF(ISERROR($F$198),"",IF(ISBLANK($F$198),"",$F$198))</f>
        <v/>
      </c>
      <c r="AC198" s="2">
        <f>IF(ISERROR($G$198),"",IF(ISBLANK($G$198),"",$G$198))</f>
        <v/>
      </c>
      <c r="AD198" s="2">
        <f>IF(ISERROR($H$198),"",IF(ISBLANK($H$198),"",$H$198))</f>
        <v/>
      </c>
      <c r="AG198" s="2">
        <f>ISERROR($B$198)*1+ISERROR($C$198)*1+ISERROR($D$198)*1+ISERROR($E$198)*1+ISERROR($F$198)*1+ISERROR($G$198)*1+ISERROR($H$198)*1</f>
        <v/>
      </c>
    </row>
    <row r="199" ht="26" customHeight="1">
      <c r="B199" s="33" t="n"/>
      <c r="C199" s="4" t="n"/>
      <c r="D199" s="4" t="n"/>
      <c r="E199" s="4" t="n"/>
      <c r="F199" s="4" t="n"/>
      <c r="G199" s="4" t="n"/>
      <c r="H199" s="4" t="n"/>
      <c r="K199" s="19">
        <f>IF(AG199&gt;0,"O Google leu como fórmula: digite de novo com ' na frente.","")</f>
        <v/>
      </c>
      <c r="N199" s="2">
        <f>N198+IF(LEN($X$199)&gt;0,1,0)</f>
        <v/>
      </c>
      <c r="O199" s="2">
        <f>O198+IF(LEN($Y$199)&gt;0,1,0)</f>
        <v/>
      </c>
      <c r="P199" s="2">
        <f>P198+IF(LEN($Z$199)&gt;0,1,0)</f>
        <v/>
      </c>
      <c r="Q199" s="2">
        <f>Q198+IF(LEN($AA$199)&gt;0,1,0)</f>
        <v/>
      </c>
      <c r="R199" s="2">
        <f>R198+IF(LEN($AB$199)&gt;0,1,0)</f>
        <v/>
      </c>
      <c r="S199" s="2">
        <f>S198+IF(LEN($AC$199)&gt;0,1,0)</f>
        <v/>
      </c>
      <c r="T199" s="2">
        <f>T198+IF(LEN($AD$199)&gt;0,1,0)</f>
        <v/>
      </c>
      <c r="X199" s="2">
        <f>IF(ISERROR($B$199),"",IF(ISBLANK($B$199),"",$B$199))</f>
        <v/>
      </c>
      <c r="Y199" s="2">
        <f>IF(ISERROR($C$199),"",IF(ISBLANK($C$199),"",$C$199))</f>
        <v/>
      </c>
      <c r="Z199" s="2">
        <f>IF(ISERROR($D$199),"",IF(ISBLANK($D$199),"",$D$199))</f>
        <v/>
      </c>
      <c r="AA199" s="2">
        <f>IF(ISERROR($E$199),"",IF(ISBLANK($E$199),"",$E$199))</f>
        <v/>
      </c>
      <c r="AB199" s="2">
        <f>IF(ISERROR($F$199),"",IF(ISBLANK($F$199),"",$F$199))</f>
        <v/>
      </c>
      <c r="AC199" s="2">
        <f>IF(ISERROR($G$199),"",IF(ISBLANK($G$199),"",$G$199))</f>
        <v/>
      </c>
      <c r="AD199" s="2">
        <f>IF(ISERROR($H$199),"",IF(ISBLANK($H$199),"",$H$199))</f>
        <v/>
      </c>
      <c r="AG199" s="2">
        <f>ISERROR($B$199)*1+ISERROR($C$199)*1+ISERROR($D$199)*1+ISERROR($E$199)*1+ISERROR($F$199)*1+ISERROR($G$199)*1+ISERROR($H$199)*1</f>
        <v/>
      </c>
    </row>
    <row r="200" ht="26" customHeight="1">
      <c r="B200" s="35" t="n"/>
      <c r="C200" s="29" t="n"/>
      <c r="D200" s="29" t="n"/>
      <c r="E200" s="29" t="n"/>
      <c r="F200" s="29" t="n"/>
      <c r="G200" s="29" t="n"/>
      <c r="H200" s="29" t="n"/>
      <c r="K200" s="19">
        <f>IF(AG200&gt;0,"O Google leu como fórmula: digite de novo com ' na frente.","")</f>
        <v/>
      </c>
      <c r="N200" s="2">
        <f>N199+IF(LEN($X$200)&gt;0,1,0)</f>
        <v/>
      </c>
      <c r="O200" s="2">
        <f>O199+IF(LEN($Y$200)&gt;0,1,0)</f>
        <v/>
      </c>
      <c r="P200" s="2">
        <f>P199+IF(LEN($Z$200)&gt;0,1,0)</f>
        <v/>
      </c>
      <c r="Q200" s="2">
        <f>Q199+IF(LEN($AA$200)&gt;0,1,0)</f>
        <v/>
      </c>
      <c r="R200" s="2">
        <f>R199+IF(LEN($AB$200)&gt;0,1,0)</f>
        <v/>
      </c>
      <c r="S200" s="2">
        <f>S199+IF(LEN($AC$200)&gt;0,1,0)</f>
        <v/>
      </c>
      <c r="T200" s="2">
        <f>T199+IF(LEN($AD$200)&gt;0,1,0)</f>
        <v/>
      </c>
      <c r="X200" s="2">
        <f>IF(ISERROR($B$200),"",IF(ISBLANK($B$200),"",$B$200))</f>
        <v/>
      </c>
      <c r="Y200" s="2">
        <f>IF(ISERROR($C$200),"",IF(ISBLANK($C$200),"",$C$200))</f>
        <v/>
      </c>
      <c r="Z200" s="2">
        <f>IF(ISERROR($D$200),"",IF(ISBLANK($D$200),"",$D$200))</f>
        <v/>
      </c>
      <c r="AA200" s="2">
        <f>IF(ISERROR($E$200),"",IF(ISBLANK($E$200),"",$E$200))</f>
        <v/>
      </c>
      <c r="AB200" s="2">
        <f>IF(ISERROR($F$200),"",IF(ISBLANK($F$200),"",$F$200))</f>
        <v/>
      </c>
      <c r="AC200" s="2">
        <f>IF(ISERROR($G$200),"",IF(ISBLANK($G$200),"",$G$200))</f>
        <v/>
      </c>
      <c r="AD200" s="2">
        <f>IF(ISERROR($H$200),"",IF(ISBLANK($H$200),"",$H$200))</f>
        <v/>
      </c>
      <c r="AG200" s="2">
        <f>ISERROR($B$200)*1+ISERROR($C$200)*1+ISERROR($D$200)*1+ISERROR($E$200)*1+ISERROR($F$200)*1+ISERROR($G$200)*1+ISERROR($H$200)*1</f>
        <v/>
      </c>
    </row>
    <row r="201" ht="26" customHeight="1">
      <c r="B201" s="33" t="n"/>
      <c r="C201" s="4" t="n"/>
      <c r="D201" s="4" t="n"/>
      <c r="E201" s="4" t="n"/>
      <c r="F201" s="4" t="n"/>
      <c r="G201" s="4" t="n"/>
      <c r="H201" s="4" t="n"/>
      <c r="K201" s="19">
        <f>IF(AG201&gt;0,"O Google leu como fórmula: digite de novo com ' na frente.","")</f>
        <v/>
      </c>
      <c r="N201" s="2">
        <f>N200+IF(LEN($X$201)&gt;0,1,0)</f>
        <v/>
      </c>
      <c r="O201" s="2">
        <f>O200+IF(LEN($Y$201)&gt;0,1,0)</f>
        <v/>
      </c>
      <c r="P201" s="2">
        <f>P200+IF(LEN($Z$201)&gt;0,1,0)</f>
        <v/>
      </c>
      <c r="Q201" s="2">
        <f>Q200+IF(LEN($AA$201)&gt;0,1,0)</f>
        <v/>
      </c>
      <c r="R201" s="2">
        <f>R200+IF(LEN($AB$201)&gt;0,1,0)</f>
        <v/>
      </c>
      <c r="S201" s="2">
        <f>S200+IF(LEN($AC$201)&gt;0,1,0)</f>
        <v/>
      </c>
      <c r="T201" s="2">
        <f>T200+IF(LEN($AD$201)&gt;0,1,0)</f>
        <v/>
      </c>
      <c r="X201" s="2">
        <f>IF(ISERROR($B$201),"",IF(ISBLANK($B$201),"",$B$201))</f>
        <v/>
      </c>
      <c r="Y201" s="2">
        <f>IF(ISERROR($C$201),"",IF(ISBLANK($C$201),"",$C$201))</f>
        <v/>
      </c>
      <c r="Z201" s="2">
        <f>IF(ISERROR($D$201),"",IF(ISBLANK($D$201),"",$D$201))</f>
        <v/>
      </c>
      <c r="AA201" s="2">
        <f>IF(ISERROR($E$201),"",IF(ISBLANK($E$201),"",$E$201))</f>
        <v/>
      </c>
      <c r="AB201" s="2">
        <f>IF(ISERROR($F$201),"",IF(ISBLANK($F$201),"",$F$201))</f>
        <v/>
      </c>
      <c r="AC201" s="2">
        <f>IF(ISERROR($G$201),"",IF(ISBLANK($G$201),"",$G$201))</f>
        <v/>
      </c>
      <c r="AD201" s="2">
        <f>IF(ISERROR($H$201),"",IF(ISBLANK($H$201),"",$H$201))</f>
        <v/>
      </c>
      <c r="AG201" s="2">
        <f>ISERROR($B$201)*1+ISERROR($C$201)*1+ISERROR($D$201)*1+ISERROR($E$201)*1+ISERROR($F$201)*1+ISERROR($G$201)*1+ISERROR($H$201)*1</f>
        <v/>
      </c>
    </row>
    <row r="202" ht="26" customHeight="1">
      <c r="B202" s="35" t="n"/>
      <c r="C202" s="29" t="n"/>
      <c r="D202" s="29" t="n"/>
      <c r="E202" s="29" t="n"/>
      <c r="F202" s="29" t="n"/>
      <c r="G202" s="29" t="n"/>
      <c r="H202" s="29" t="n"/>
      <c r="K202" s="19">
        <f>IF(AG202&gt;0,"O Google leu como fórmula: digite de novo com ' na frente.","")</f>
        <v/>
      </c>
      <c r="N202" s="2">
        <f>N201+IF(LEN($X$202)&gt;0,1,0)</f>
        <v/>
      </c>
      <c r="O202" s="2">
        <f>O201+IF(LEN($Y$202)&gt;0,1,0)</f>
        <v/>
      </c>
      <c r="P202" s="2">
        <f>P201+IF(LEN($Z$202)&gt;0,1,0)</f>
        <v/>
      </c>
      <c r="Q202" s="2">
        <f>Q201+IF(LEN($AA$202)&gt;0,1,0)</f>
        <v/>
      </c>
      <c r="R202" s="2">
        <f>R201+IF(LEN($AB$202)&gt;0,1,0)</f>
        <v/>
      </c>
      <c r="S202" s="2">
        <f>S201+IF(LEN($AC$202)&gt;0,1,0)</f>
        <v/>
      </c>
      <c r="T202" s="2">
        <f>T201+IF(LEN($AD$202)&gt;0,1,0)</f>
        <v/>
      </c>
      <c r="X202" s="2">
        <f>IF(ISERROR($B$202),"",IF(ISBLANK($B$202),"",$B$202))</f>
        <v/>
      </c>
      <c r="Y202" s="2">
        <f>IF(ISERROR($C$202),"",IF(ISBLANK($C$202),"",$C$202))</f>
        <v/>
      </c>
      <c r="Z202" s="2">
        <f>IF(ISERROR($D$202),"",IF(ISBLANK($D$202),"",$D$202))</f>
        <v/>
      </c>
      <c r="AA202" s="2">
        <f>IF(ISERROR($E$202),"",IF(ISBLANK($E$202),"",$E$202))</f>
        <v/>
      </c>
      <c r="AB202" s="2">
        <f>IF(ISERROR($F$202),"",IF(ISBLANK($F$202),"",$F$202))</f>
        <v/>
      </c>
      <c r="AC202" s="2">
        <f>IF(ISERROR($G$202),"",IF(ISBLANK($G$202),"",$G$202))</f>
        <v/>
      </c>
      <c r="AD202" s="2">
        <f>IF(ISERROR($H$202),"",IF(ISBLANK($H$202),"",$H$202))</f>
        <v/>
      </c>
      <c r="AG202" s="2">
        <f>ISERROR($B$202)*1+ISERROR($C$202)*1+ISERROR($D$202)*1+ISERROR($E$202)*1+ISERROR($F$202)*1+ISERROR($G$202)*1+ISERROR($H$202)*1</f>
        <v/>
      </c>
    </row>
    <row r="203" ht="26" customHeight="1">
      <c r="B203" s="33" t="n"/>
      <c r="C203" s="4" t="n"/>
      <c r="D203" s="4" t="n"/>
      <c r="E203" s="4" t="n"/>
      <c r="F203" s="4" t="n"/>
      <c r="G203" s="4" t="n"/>
      <c r="H203" s="4" t="n"/>
      <c r="K203" s="19">
        <f>IF(AG203&gt;0,"O Google leu como fórmula: digite de novo com ' na frente.","")</f>
        <v/>
      </c>
      <c r="N203" s="2">
        <f>N202+IF(LEN($X$203)&gt;0,1,0)</f>
        <v/>
      </c>
      <c r="O203" s="2">
        <f>O202+IF(LEN($Y$203)&gt;0,1,0)</f>
        <v/>
      </c>
      <c r="P203" s="2">
        <f>P202+IF(LEN($Z$203)&gt;0,1,0)</f>
        <v/>
      </c>
      <c r="Q203" s="2">
        <f>Q202+IF(LEN($AA$203)&gt;0,1,0)</f>
        <v/>
      </c>
      <c r="R203" s="2">
        <f>R202+IF(LEN($AB$203)&gt;0,1,0)</f>
        <v/>
      </c>
      <c r="S203" s="2">
        <f>S202+IF(LEN($AC$203)&gt;0,1,0)</f>
        <v/>
      </c>
      <c r="T203" s="2">
        <f>T202+IF(LEN($AD$203)&gt;0,1,0)</f>
        <v/>
      </c>
      <c r="X203" s="2">
        <f>IF(ISERROR($B$203),"",IF(ISBLANK($B$203),"",$B$203))</f>
        <v/>
      </c>
      <c r="Y203" s="2">
        <f>IF(ISERROR($C$203),"",IF(ISBLANK($C$203),"",$C$203))</f>
        <v/>
      </c>
      <c r="Z203" s="2">
        <f>IF(ISERROR($D$203),"",IF(ISBLANK($D$203),"",$D$203))</f>
        <v/>
      </c>
      <c r="AA203" s="2">
        <f>IF(ISERROR($E$203),"",IF(ISBLANK($E$203),"",$E$203))</f>
        <v/>
      </c>
      <c r="AB203" s="2">
        <f>IF(ISERROR($F$203),"",IF(ISBLANK($F$203),"",$F$203))</f>
        <v/>
      </c>
      <c r="AC203" s="2">
        <f>IF(ISERROR($G$203),"",IF(ISBLANK($G$203),"",$G$203))</f>
        <v/>
      </c>
      <c r="AD203" s="2">
        <f>IF(ISERROR($H$203),"",IF(ISBLANK($H$203),"",$H$203))</f>
        <v/>
      </c>
      <c r="AG203" s="2">
        <f>ISERROR($B$203)*1+ISERROR($C$203)*1+ISERROR($D$203)*1+ISERROR($E$203)*1+ISERROR($F$203)*1+ISERROR($G$203)*1+ISERROR($H$203)*1</f>
        <v/>
      </c>
    </row>
    <row r="204" ht="26" customHeight="1">
      <c r="B204" s="35" t="n"/>
      <c r="C204" s="29" t="n"/>
      <c r="D204" s="29" t="n"/>
      <c r="E204" s="29" t="n"/>
      <c r="F204" s="29" t="n"/>
      <c r="G204" s="29" t="n"/>
      <c r="H204" s="29" t="n"/>
      <c r="K204" s="19">
        <f>IF(AG204&gt;0,"O Google leu como fórmula: digite de novo com ' na frente.","")</f>
        <v/>
      </c>
      <c r="N204" s="2">
        <f>N203+IF(LEN($X$204)&gt;0,1,0)</f>
        <v/>
      </c>
      <c r="O204" s="2">
        <f>O203+IF(LEN($Y$204)&gt;0,1,0)</f>
        <v/>
      </c>
      <c r="P204" s="2">
        <f>P203+IF(LEN($Z$204)&gt;0,1,0)</f>
        <v/>
      </c>
      <c r="Q204" s="2">
        <f>Q203+IF(LEN($AA$204)&gt;0,1,0)</f>
        <v/>
      </c>
      <c r="R204" s="2">
        <f>R203+IF(LEN($AB$204)&gt;0,1,0)</f>
        <v/>
      </c>
      <c r="S204" s="2">
        <f>S203+IF(LEN($AC$204)&gt;0,1,0)</f>
        <v/>
      </c>
      <c r="T204" s="2">
        <f>T203+IF(LEN($AD$204)&gt;0,1,0)</f>
        <v/>
      </c>
      <c r="X204" s="2">
        <f>IF(ISERROR($B$204),"",IF(ISBLANK($B$204),"",$B$204))</f>
        <v/>
      </c>
      <c r="Y204" s="2">
        <f>IF(ISERROR($C$204),"",IF(ISBLANK($C$204),"",$C$204))</f>
        <v/>
      </c>
      <c r="Z204" s="2">
        <f>IF(ISERROR($D$204),"",IF(ISBLANK($D$204),"",$D$204))</f>
        <v/>
      </c>
      <c r="AA204" s="2">
        <f>IF(ISERROR($E$204),"",IF(ISBLANK($E$204),"",$E$204))</f>
        <v/>
      </c>
      <c r="AB204" s="2">
        <f>IF(ISERROR($F$204),"",IF(ISBLANK($F$204),"",$F$204))</f>
        <v/>
      </c>
      <c r="AC204" s="2">
        <f>IF(ISERROR($G$204),"",IF(ISBLANK($G$204),"",$G$204))</f>
        <v/>
      </c>
      <c r="AD204" s="2">
        <f>IF(ISERROR($H$204),"",IF(ISBLANK($H$204),"",$H$204))</f>
        <v/>
      </c>
      <c r="AG204" s="2">
        <f>ISERROR($B$204)*1+ISERROR($C$204)*1+ISERROR($D$204)*1+ISERROR($E$204)*1+ISERROR($F$204)*1+ISERROR($G$204)*1+ISERROR($H$204)*1</f>
        <v/>
      </c>
    </row>
    <row r="205" ht="26" customHeight="1">
      <c r="B205" s="33" t="n"/>
      <c r="C205" s="4" t="n"/>
      <c r="D205" s="4" t="n"/>
      <c r="E205" s="4" t="n"/>
      <c r="F205" s="4" t="n"/>
      <c r="G205" s="4" t="n"/>
      <c r="H205" s="4" t="n"/>
      <c r="K205" s="19">
        <f>IF(AG205&gt;0,"O Google leu como fórmula: digite de novo com ' na frente.","")</f>
        <v/>
      </c>
      <c r="N205" s="2">
        <f>N204+IF(LEN($X$205)&gt;0,1,0)</f>
        <v/>
      </c>
      <c r="O205" s="2">
        <f>O204+IF(LEN($Y$205)&gt;0,1,0)</f>
        <v/>
      </c>
      <c r="P205" s="2">
        <f>P204+IF(LEN($Z$205)&gt;0,1,0)</f>
        <v/>
      </c>
      <c r="Q205" s="2">
        <f>Q204+IF(LEN($AA$205)&gt;0,1,0)</f>
        <v/>
      </c>
      <c r="R205" s="2">
        <f>R204+IF(LEN($AB$205)&gt;0,1,0)</f>
        <v/>
      </c>
      <c r="S205" s="2">
        <f>S204+IF(LEN($AC$205)&gt;0,1,0)</f>
        <v/>
      </c>
      <c r="T205" s="2">
        <f>T204+IF(LEN($AD$205)&gt;0,1,0)</f>
        <v/>
      </c>
      <c r="X205" s="2">
        <f>IF(ISERROR($B$205),"",IF(ISBLANK($B$205),"",$B$205))</f>
        <v/>
      </c>
      <c r="Y205" s="2">
        <f>IF(ISERROR($C$205),"",IF(ISBLANK($C$205),"",$C$205))</f>
        <v/>
      </c>
      <c r="Z205" s="2">
        <f>IF(ISERROR($D$205),"",IF(ISBLANK($D$205),"",$D$205))</f>
        <v/>
      </c>
      <c r="AA205" s="2">
        <f>IF(ISERROR($E$205),"",IF(ISBLANK($E$205),"",$E$205))</f>
        <v/>
      </c>
      <c r="AB205" s="2">
        <f>IF(ISERROR($F$205),"",IF(ISBLANK($F$205),"",$F$205))</f>
        <v/>
      </c>
      <c r="AC205" s="2">
        <f>IF(ISERROR($G$205),"",IF(ISBLANK($G$205),"",$G$205))</f>
        <v/>
      </c>
      <c r="AD205" s="2">
        <f>IF(ISERROR($H$205),"",IF(ISBLANK($H$205),"",$H$205))</f>
        <v/>
      </c>
      <c r="AG205" s="2">
        <f>ISERROR($B$205)*1+ISERROR($C$205)*1+ISERROR($D$205)*1+ISERROR($E$205)*1+ISERROR($F$205)*1+ISERROR($G$205)*1+ISERROR($H$205)*1</f>
        <v/>
      </c>
    </row>
    <row r="206" ht="26" customHeight="1">
      <c r="B206" s="35" t="n"/>
      <c r="C206" s="29" t="n"/>
      <c r="D206" s="29" t="n"/>
      <c r="E206" s="29" t="n"/>
      <c r="F206" s="29" t="n"/>
      <c r="G206" s="29" t="n"/>
      <c r="H206" s="29" t="n"/>
      <c r="K206" s="19">
        <f>IF(AG206&gt;0,"O Google leu como fórmula: digite de novo com ' na frente.","")</f>
        <v/>
      </c>
      <c r="N206" s="2">
        <f>N205+IF(LEN($X$206)&gt;0,1,0)</f>
        <v/>
      </c>
      <c r="O206" s="2">
        <f>O205+IF(LEN($Y$206)&gt;0,1,0)</f>
        <v/>
      </c>
      <c r="P206" s="2">
        <f>P205+IF(LEN($Z$206)&gt;0,1,0)</f>
        <v/>
      </c>
      <c r="Q206" s="2">
        <f>Q205+IF(LEN($AA$206)&gt;0,1,0)</f>
        <v/>
      </c>
      <c r="R206" s="2">
        <f>R205+IF(LEN($AB$206)&gt;0,1,0)</f>
        <v/>
      </c>
      <c r="S206" s="2">
        <f>S205+IF(LEN($AC$206)&gt;0,1,0)</f>
        <v/>
      </c>
      <c r="T206" s="2">
        <f>T205+IF(LEN($AD$206)&gt;0,1,0)</f>
        <v/>
      </c>
      <c r="X206" s="2">
        <f>IF(ISERROR($B$206),"",IF(ISBLANK($B$206),"",$B$206))</f>
        <v/>
      </c>
      <c r="Y206" s="2">
        <f>IF(ISERROR($C$206),"",IF(ISBLANK($C$206),"",$C$206))</f>
        <v/>
      </c>
      <c r="Z206" s="2">
        <f>IF(ISERROR($D$206),"",IF(ISBLANK($D$206),"",$D$206))</f>
        <v/>
      </c>
      <c r="AA206" s="2">
        <f>IF(ISERROR($E$206),"",IF(ISBLANK($E$206),"",$E$206))</f>
        <v/>
      </c>
      <c r="AB206" s="2">
        <f>IF(ISERROR($F$206),"",IF(ISBLANK($F$206),"",$F$206))</f>
        <v/>
      </c>
      <c r="AC206" s="2">
        <f>IF(ISERROR($G$206),"",IF(ISBLANK($G$206),"",$G$206))</f>
        <v/>
      </c>
      <c r="AD206" s="2">
        <f>IF(ISERROR($H$206),"",IF(ISBLANK($H$206),"",$H$206))</f>
        <v/>
      </c>
      <c r="AG206" s="2">
        <f>ISERROR($B$206)*1+ISERROR($C$206)*1+ISERROR($D$206)*1+ISERROR($E$206)*1+ISERROR($F$206)*1+ISERROR($G$206)*1+ISERROR($H$206)*1</f>
        <v/>
      </c>
    </row>
    <row r="207" ht="26" customHeight="1">
      <c r="B207" s="33" t="n"/>
      <c r="C207" s="4" t="n"/>
      <c r="D207" s="4" t="n"/>
      <c r="E207" s="4" t="n"/>
      <c r="F207" s="4" t="n"/>
      <c r="G207" s="4" t="n"/>
      <c r="H207" s="4" t="n"/>
      <c r="K207" s="19">
        <f>IF(AG207&gt;0,"O Google leu como fórmula: digite de novo com ' na frente.","")</f>
        <v/>
      </c>
      <c r="N207" s="2">
        <f>N206+IF(LEN($X$207)&gt;0,1,0)</f>
        <v/>
      </c>
      <c r="O207" s="2">
        <f>O206+IF(LEN($Y$207)&gt;0,1,0)</f>
        <v/>
      </c>
      <c r="P207" s="2">
        <f>P206+IF(LEN($Z$207)&gt;0,1,0)</f>
        <v/>
      </c>
      <c r="Q207" s="2">
        <f>Q206+IF(LEN($AA$207)&gt;0,1,0)</f>
        <v/>
      </c>
      <c r="R207" s="2">
        <f>R206+IF(LEN($AB$207)&gt;0,1,0)</f>
        <v/>
      </c>
      <c r="S207" s="2">
        <f>S206+IF(LEN($AC$207)&gt;0,1,0)</f>
        <v/>
      </c>
      <c r="T207" s="2">
        <f>T206+IF(LEN($AD$207)&gt;0,1,0)</f>
        <v/>
      </c>
      <c r="X207" s="2">
        <f>IF(ISERROR($B$207),"",IF(ISBLANK($B$207),"",$B$207))</f>
        <v/>
      </c>
      <c r="Y207" s="2">
        <f>IF(ISERROR($C$207),"",IF(ISBLANK($C$207),"",$C$207))</f>
        <v/>
      </c>
      <c r="Z207" s="2">
        <f>IF(ISERROR($D$207),"",IF(ISBLANK($D$207),"",$D$207))</f>
        <v/>
      </c>
      <c r="AA207" s="2">
        <f>IF(ISERROR($E$207),"",IF(ISBLANK($E$207),"",$E$207))</f>
        <v/>
      </c>
      <c r="AB207" s="2">
        <f>IF(ISERROR($F$207),"",IF(ISBLANK($F$207),"",$F$207))</f>
        <v/>
      </c>
      <c r="AC207" s="2">
        <f>IF(ISERROR($G$207),"",IF(ISBLANK($G$207),"",$G$207))</f>
        <v/>
      </c>
      <c r="AD207" s="2">
        <f>IF(ISERROR($H$207),"",IF(ISBLANK($H$207),"",$H$207))</f>
        <v/>
      </c>
      <c r="AG207" s="2">
        <f>ISERROR($B$207)*1+ISERROR($C$207)*1+ISERROR($D$207)*1+ISERROR($E$207)*1+ISERROR($F$207)*1+ISERROR($G$207)*1+ISERROR($H$207)*1</f>
        <v/>
      </c>
    </row>
    <row r="208" ht="26" customHeight="1">
      <c r="B208" s="35" t="n"/>
      <c r="C208" s="29" t="n"/>
      <c r="D208" s="29" t="n"/>
      <c r="E208" s="29" t="n"/>
      <c r="F208" s="29" t="n"/>
      <c r="G208" s="29" t="n"/>
      <c r="H208" s="29" t="n"/>
      <c r="K208" s="19">
        <f>IF(AG208&gt;0,"O Google leu como fórmula: digite de novo com ' na frente.","")</f>
        <v/>
      </c>
      <c r="N208" s="2">
        <f>N207+IF(LEN($X$208)&gt;0,1,0)</f>
        <v/>
      </c>
      <c r="O208" s="2">
        <f>O207+IF(LEN($Y$208)&gt;0,1,0)</f>
        <v/>
      </c>
      <c r="P208" s="2">
        <f>P207+IF(LEN($Z$208)&gt;0,1,0)</f>
        <v/>
      </c>
      <c r="Q208" s="2">
        <f>Q207+IF(LEN($AA$208)&gt;0,1,0)</f>
        <v/>
      </c>
      <c r="R208" s="2">
        <f>R207+IF(LEN($AB$208)&gt;0,1,0)</f>
        <v/>
      </c>
      <c r="S208" s="2">
        <f>S207+IF(LEN($AC$208)&gt;0,1,0)</f>
        <v/>
      </c>
      <c r="T208" s="2">
        <f>T207+IF(LEN($AD$208)&gt;0,1,0)</f>
        <v/>
      </c>
      <c r="X208" s="2">
        <f>IF(ISERROR($B$208),"",IF(ISBLANK($B$208),"",$B$208))</f>
        <v/>
      </c>
      <c r="Y208" s="2">
        <f>IF(ISERROR($C$208),"",IF(ISBLANK($C$208),"",$C$208))</f>
        <v/>
      </c>
      <c r="Z208" s="2">
        <f>IF(ISERROR($D$208),"",IF(ISBLANK($D$208),"",$D$208))</f>
        <v/>
      </c>
      <c r="AA208" s="2">
        <f>IF(ISERROR($E$208),"",IF(ISBLANK($E$208),"",$E$208))</f>
        <v/>
      </c>
      <c r="AB208" s="2">
        <f>IF(ISERROR($F$208),"",IF(ISBLANK($F$208),"",$F$208))</f>
        <v/>
      </c>
      <c r="AC208" s="2">
        <f>IF(ISERROR($G$208),"",IF(ISBLANK($G$208),"",$G$208))</f>
        <v/>
      </c>
      <c r="AD208" s="2">
        <f>IF(ISERROR($H$208),"",IF(ISBLANK($H$208),"",$H$208))</f>
        <v/>
      </c>
      <c r="AG208" s="2">
        <f>ISERROR($B$208)*1+ISERROR($C$208)*1+ISERROR($D$208)*1+ISERROR($E$208)*1+ISERROR($F$208)*1+ISERROR($G$208)*1+ISERROR($H$208)*1</f>
        <v/>
      </c>
    </row>
    <row r="209" ht="26" customHeight="1">
      <c r="B209" s="33" t="n"/>
      <c r="C209" s="4" t="n"/>
      <c r="D209" s="4" t="n"/>
      <c r="E209" s="4" t="n"/>
      <c r="F209" s="4" t="n"/>
      <c r="G209" s="4" t="n"/>
      <c r="H209" s="4" t="n"/>
      <c r="K209" s="19">
        <f>IF(AG209&gt;0,"O Google leu como fórmula: digite de novo com ' na frente.","")</f>
        <v/>
      </c>
      <c r="N209" s="2">
        <f>N208+IF(LEN($X$209)&gt;0,1,0)</f>
        <v/>
      </c>
      <c r="O209" s="2">
        <f>O208+IF(LEN($Y$209)&gt;0,1,0)</f>
        <v/>
      </c>
      <c r="P209" s="2">
        <f>P208+IF(LEN($Z$209)&gt;0,1,0)</f>
        <v/>
      </c>
      <c r="Q209" s="2">
        <f>Q208+IF(LEN($AA$209)&gt;0,1,0)</f>
        <v/>
      </c>
      <c r="R209" s="2">
        <f>R208+IF(LEN($AB$209)&gt;0,1,0)</f>
        <v/>
      </c>
      <c r="S209" s="2">
        <f>S208+IF(LEN($AC$209)&gt;0,1,0)</f>
        <v/>
      </c>
      <c r="T209" s="2">
        <f>T208+IF(LEN($AD$209)&gt;0,1,0)</f>
        <v/>
      </c>
      <c r="X209" s="2">
        <f>IF(ISERROR($B$209),"",IF(ISBLANK($B$209),"",$B$209))</f>
        <v/>
      </c>
      <c r="Y209" s="2">
        <f>IF(ISERROR($C$209),"",IF(ISBLANK($C$209),"",$C$209))</f>
        <v/>
      </c>
      <c r="Z209" s="2">
        <f>IF(ISERROR($D$209),"",IF(ISBLANK($D$209),"",$D$209))</f>
        <v/>
      </c>
      <c r="AA209" s="2">
        <f>IF(ISERROR($E$209),"",IF(ISBLANK($E$209),"",$E$209))</f>
        <v/>
      </c>
      <c r="AB209" s="2">
        <f>IF(ISERROR($F$209),"",IF(ISBLANK($F$209),"",$F$209))</f>
        <v/>
      </c>
      <c r="AC209" s="2">
        <f>IF(ISERROR($G$209),"",IF(ISBLANK($G$209),"",$G$209))</f>
        <v/>
      </c>
      <c r="AD209" s="2">
        <f>IF(ISERROR($H$209),"",IF(ISBLANK($H$209),"",$H$209))</f>
        <v/>
      </c>
      <c r="AG209" s="2">
        <f>ISERROR($B$209)*1+ISERROR($C$209)*1+ISERROR($D$209)*1+ISERROR($E$209)*1+ISERROR($F$209)*1+ISERROR($G$209)*1+ISERROR($H$209)*1</f>
        <v/>
      </c>
    </row>
    <row r="210" ht="15" customHeight="1">
      <c r="B210" s="8" t="inlineStr">
        <is>
          <t>Nome — Humano</t>
        </is>
      </c>
      <c r="C210" s="8" t="inlineStr">
        <is>
          <t>Nome — Xianzhouíta</t>
        </is>
      </c>
      <c r="D210" s="8" t="inlineStr">
        <is>
          <t>Nome — Vidyadhara</t>
        </is>
      </c>
      <c r="E210" s="8" t="inlineStr">
        <is>
          <t>Nome — Vulpes</t>
        </is>
      </c>
      <c r="F210" s="8" t="inlineStr">
        <is>
          <t>Nome — Haloviano</t>
        </is>
      </c>
      <c r="G210" s="8" t="inlineStr">
        <is>
          <t>Nome — Avginiano</t>
        </is>
      </c>
      <c r="H210" s="8" t="inlineStr">
        <is>
          <t>Nome — Intellitron</t>
        </is>
      </c>
      <c r="N210" s="2">
        <f>N209</f>
        <v/>
      </c>
      <c r="O210" s="2">
        <f>O209</f>
        <v/>
      </c>
      <c r="P210" s="2">
        <f>P209</f>
        <v/>
      </c>
      <c r="Q210" s="2">
        <f>Q209</f>
        <v/>
      </c>
      <c r="R210" s="2">
        <f>R209</f>
        <v/>
      </c>
      <c r="S210" s="2">
        <f>S209</f>
        <v/>
      </c>
      <c r="T210" s="2">
        <f>T209</f>
        <v/>
      </c>
      <c r="X210" s="2">
        <f>IF(ISERROR($B$210),"",IF(ISBLANK($B$210),"",$B$210))</f>
        <v/>
      </c>
      <c r="Y210" s="2">
        <f>IF(ISERROR($C$210),"",IF(ISBLANK($C$210),"",$C$210))</f>
        <v/>
      </c>
      <c r="Z210" s="2">
        <f>IF(ISERROR($D$210),"",IF(ISBLANK($D$210),"",$D$210))</f>
        <v/>
      </c>
      <c r="AA210" s="2">
        <f>IF(ISERROR($E$210),"",IF(ISBLANK($E$210),"",$E$210))</f>
        <v/>
      </c>
      <c r="AB210" s="2">
        <f>IF(ISERROR($F$210),"",IF(ISBLANK($F$210),"",$F$210))</f>
        <v/>
      </c>
      <c r="AC210" s="2">
        <f>IF(ISERROR($G$210),"",IF(ISBLANK($G$210),"",$G$210))</f>
        <v/>
      </c>
      <c r="AD210" s="2">
        <f>IF(ISERROR($H$210),"",IF(ISBLANK($H$210),"",$H$210))</f>
        <v/>
      </c>
    </row>
    <row r="211" ht="26" customHeight="1">
      <c r="B211" s="33" t="n"/>
      <c r="C211" s="4" t="n"/>
      <c r="D211" s="4" t="n"/>
      <c r="E211" s="4" t="n"/>
      <c r="F211" s="4" t="n"/>
      <c r="G211" s="4" t="n"/>
      <c r="H211" s="4" t="n"/>
      <c r="K211" s="19">
        <f>IF(AG211&gt;0,"O Google leu como fórmula: digite de novo com ' na frente.","")</f>
        <v/>
      </c>
      <c r="N211" s="2">
        <f>N210+IF(LEN($X$211)&gt;0,1,0)</f>
        <v/>
      </c>
      <c r="O211" s="2">
        <f>O210+IF(LEN($Y$211)&gt;0,1,0)</f>
        <v/>
      </c>
      <c r="P211" s="2">
        <f>P210+IF(LEN($Z$211)&gt;0,1,0)</f>
        <v/>
      </c>
      <c r="Q211" s="2">
        <f>Q210+IF(LEN($AA$211)&gt;0,1,0)</f>
        <v/>
      </c>
      <c r="R211" s="2">
        <f>R210+IF(LEN($AB$211)&gt;0,1,0)</f>
        <v/>
      </c>
      <c r="S211" s="2">
        <f>S210+IF(LEN($AC$211)&gt;0,1,0)</f>
        <v/>
      </c>
      <c r="T211" s="2">
        <f>T210+IF(LEN($AD$211)&gt;0,1,0)</f>
        <v/>
      </c>
      <c r="X211" s="2">
        <f>IF(ISERROR($B$211),"",IF(ISBLANK($B$211),"",$B$211))</f>
        <v/>
      </c>
      <c r="Y211" s="2">
        <f>IF(ISERROR($C$211),"",IF(ISBLANK($C$211),"",$C$211))</f>
        <v/>
      </c>
      <c r="Z211" s="2">
        <f>IF(ISERROR($D$211),"",IF(ISBLANK($D$211),"",$D$211))</f>
        <v/>
      </c>
      <c r="AA211" s="2">
        <f>IF(ISERROR($E$211),"",IF(ISBLANK($E$211),"",$E$211))</f>
        <v/>
      </c>
      <c r="AB211" s="2">
        <f>IF(ISERROR($F$211),"",IF(ISBLANK($F$211),"",$F$211))</f>
        <v/>
      </c>
      <c r="AC211" s="2">
        <f>IF(ISERROR($G$211),"",IF(ISBLANK($G$211),"",$G$211))</f>
        <v/>
      </c>
      <c r="AD211" s="2">
        <f>IF(ISERROR($H$211),"",IF(ISBLANK($H$211),"",$H$211))</f>
        <v/>
      </c>
      <c r="AG211" s="2">
        <f>ISERROR($B$211)*1+ISERROR($C$211)*1+ISERROR($D$211)*1+ISERROR($E$211)*1+ISERROR($F$211)*1+ISERROR($G$211)*1+ISERROR($H$211)*1</f>
        <v/>
      </c>
    </row>
    <row r="212" ht="26" customHeight="1">
      <c r="B212" s="35" t="n"/>
      <c r="C212" s="29" t="n"/>
      <c r="D212" s="29" t="n"/>
      <c r="E212" s="29" t="n"/>
      <c r="F212" s="29" t="n"/>
      <c r="G212" s="29" t="n"/>
      <c r="H212" s="29" t="n"/>
      <c r="K212" s="19">
        <f>IF(AG212&gt;0,"O Google leu como fórmula: digite de novo com ' na frente.","")</f>
        <v/>
      </c>
      <c r="N212" s="2">
        <f>N211+IF(LEN($X$212)&gt;0,1,0)</f>
        <v/>
      </c>
      <c r="O212" s="2">
        <f>O211+IF(LEN($Y$212)&gt;0,1,0)</f>
        <v/>
      </c>
      <c r="P212" s="2">
        <f>P211+IF(LEN($Z$212)&gt;0,1,0)</f>
        <v/>
      </c>
      <c r="Q212" s="2">
        <f>Q211+IF(LEN($AA$212)&gt;0,1,0)</f>
        <v/>
      </c>
      <c r="R212" s="2">
        <f>R211+IF(LEN($AB$212)&gt;0,1,0)</f>
        <v/>
      </c>
      <c r="S212" s="2">
        <f>S211+IF(LEN($AC$212)&gt;0,1,0)</f>
        <v/>
      </c>
      <c r="T212" s="2">
        <f>T211+IF(LEN($AD$212)&gt;0,1,0)</f>
        <v/>
      </c>
      <c r="X212" s="2">
        <f>IF(ISERROR($B$212),"",IF(ISBLANK($B$212),"",$B$212))</f>
        <v/>
      </c>
      <c r="Y212" s="2">
        <f>IF(ISERROR($C$212),"",IF(ISBLANK($C$212),"",$C$212))</f>
        <v/>
      </c>
      <c r="Z212" s="2">
        <f>IF(ISERROR($D$212),"",IF(ISBLANK($D$212),"",$D$212))</f>
        <v/>
      </c>
      <c r="AA212" s="2">
        <f>IF(ISERROR($E$212),"",IF(ISBLANK($E$212),"",$E$212))</f>
        <v/>
      </c>
      <c r="AB212" s="2">
        <f>IF(ISERROR($F$212),"",IF(ISBLANK($F$212),"",$F$212))</f>
        <v/>
      </c>
      <c r="AC212" s="2">
        <f>IF(ISERROR($G$212),"",IF(ISBLANK($G$212),"",$G$212))</f>
        <v/>
      </c>
      <c r="AD212" s="2">
        <f>IF(ISERROR($H$212),"",IF(ISBLANK($H$212),"",$H$212))</f>
        <v/>
      </c>
      <c r="AG212" s="2">
        <f>ISERROR($B$212)*1+ISERROR($C$212)*1+ISERROR($D$212)*1+ISERROR($E$212)*1+ISERROR($F$212)*1+ISERROR($G$212)*1+ISERROR($H$212)*1</f>
        <v/>
      </c>
    </row>
    <row r="213" ht="26" customHeight="1">
      <c r="B213" s="33" t="n"/>
      <c r="C213" s="4" t="n"/>
      <c r="D213" s="4" t="n"/>
      <c r="E213" s="4" t="n"/>
      <c r="F213" s="4" t="n"/>
      <c r="G213" s="4" t="n"/>
      <c r="H213" s="4" t="n"/>
      <c r="K213" s="19">
        <f>IF(AG213&gt;0,"O Google leu como fórmula: digite de novo com ' na frente.","")</f>
        <v/>
      </c>
      <c r="N213" s="2">
        <f>N212+IF(LEN($X$213)&gt;0,1,0)</f>
        <v/>
      </c>
      <c r="O213" s="2">
        <f>O212+IF(LEN($Y$213)&gt;0,1,0)</f>
        <v/>
      </c>
      <c r="P213" s="2">
        <f>P212+IF(LEN($Z$213)&gt;0,1,0)</f>
        <v/>
      </c>
      <c r="Q213" s="2">
        <f>Q212+IF(LEN($AA$213)&gt;0,1,0)</f>
        <v/>
      </c>
      <c r="R213" s="2">
        <f>R212+IF(LEN($AB$213)&gt;0,1,0)</f>
        <v/>
      </c>
      <c r="S213" s="2">
        <f>S212+IF(LEN($AC$213)&gt;0,1,0)</f>
        <v/>
      </c>
      <c r="T213" s="2">
        <f>T212+IF(LEN($AD$213)&gt;0,1,0)</f>
        <v/>
      </c>
      <c r="X213" s="2">
        <f>IF(ISERROR($B$213),"",IF(ISBLANK($B$213),"",$B$213))</f>
        <v/>
      </c>
      <c r="Y213" s="2">
        <f>IF(ISERROR($C$213),"",IF(ISBLANK($C$213),"",$C$213))</f>
        <v/>
      </c>
      <c r="Z213" s="2">
        <f>IF(ISERROR($D$213),"",IF(ISBLANK($D$213),"",$D$213))</f>
        <v/>
      </c>
      <c r="AA213" s="2">
        <f>IF(ISERROR($E$213),"",IF(ISBLANK($E$213),"",$E$213))</f>
        <v/>
      </c>
      <c r="AB213" s="2">
        <f>IF(ISERROR($F$213),"",IF(ISBLANK($F$213),"",$F$213))</f>
        <v/>
      </c>
      <c r="AC213" s="2">
        <f>IF(ISERROR($G$213),"",IF(ISBLANK($G$213),"",$G$213))</f>
        <v/>
      </c>
      <c r="AD213" s="2">
        <f>IF(ISERROR($H$213),"",IF(ISBLANK($H$213),"",$H$213))</f>
        <v/>
      </c>
      <c r="AG213" s="2">
        <f>ISERROR($B$213)*1+ISERROR($C$213)*1+ISERROR($D$213)*1+ISERROR($E$213)*1+ISERROR($F$213)*1+ISERROR($G$213)*1+ISERROR($H$213)*1</f>
        <v/>
      </c>
    </row>
    <row r="214" ht="26" customHeight="1">
      <c r="B214" s="35" t="n"/>
      <c r="C214" s="29" t="n"/>
      <c r="D214" s="29" t="n"/>
      <c r="E214" s="29" t="n"/>
      <c r="F214" s="29" t="n"/>
      <c r="G214" s="29" t="n"/>
      <c r="H214" s="29" t="n"/>
      <c r="K214" s="19">
        <f>IF(AG214&gt;0,"O Google leu como fórmula: digite de novo com ' na frente.","")</f>
        <v/>
      </c>
      <c r="N214" s="2">
        <f>N213+IF(LEN($X$214)&gt;0,1,0)</f>
        <v/>
      </c>
      <c r="O214" s="2">
        <f>O213+IF(LEN($Y$214)&gt;0,1,0)</f>
        <v/>
      </c>
      <c r="P214" s="2">
        <f>P213+IF(LEN($Z$214)&gt;0,1,0)</f>
        <v/>
      </c>
      <c r="Q214" s="2">
        <f>Q213+IF(LEN($AA$214)&gt;0,1,0)</f>
        <v/>
      </c>
      <c r="R214" s="2">
        <f>R213+IF(LEN($AB$214)&gt;0,1,0)</f>
        <v/>
      </c>
      <c r="S214" s="2">
        <f>S213+IF(LEN($AC$214)&gt;0,1,0)</f>
        <v/>
      </c>
      <c r="T214" s="2">
        <f>T213+IF(LEN($AD$214)&gt;0,1,0)</f>
        <v/>
      </c>
      <c r="X214" s="2">
        <f>IF(ISERROR($B$214),"",IF(ISBLANK($B$214),"",$B$214))</f>
        <v/>
      </c>
      <c r="Y214" s="2">
        <f>IF(ISERROR($C$214),"",IF(ISBLANK($C$214),"",$C$214))</f>
        <v/>
      </c>
      <c r="Z214" s="2">
        <f>IF(ISERROR($D$214),"",IF(ISBLANK($D$214),"",$D$214))</f>
        <v/>
      </c>
      <c r="AA214" s="2">
        <f>IF(ISERROR($E$214),"",IF(ISBLANK($E$214),"",$E$214))</f>
        <v/>
      </c>
      <c r="AB214" s="2">
        <f>IF(ISERROR($F$214),"",IF(ISBLANK($F$214),"",$F$214))</f>
        <v/>
      </c>
      <c r="AC214" s="2">
        <f>IF(ISERROR($G$214),"",IF(ISBLANK($G$214),"",$G$214))</f>
        <v/>
      </c>
      <c r="AD214" s="2">
        <f>IF(ISERROR($H$214),"",IF(ISBLANK($H$214),"",$H$214))</f>
        <v/>
      </c>
      <c r="AG214" s="2">
        <f>ISERROR($B$214)*1+ISERROR($C$214)*1+ISERROR($D$214)*1+ISERROR($E$214)*1+ISERROR($F$214)*1+ISERROR($G$214)*1+ISERROR($H$214)*1</f>
        <v/>
      </c>
    </row>
    <row r="215" ht="26" customHeight="1">
      <c r="B215" s="33" t="n"/>
      <c r="C215" s="4" t="n"/>
      <c r="D215" s="4" t="n"/>
      <c r="E215" s="4" t="n"/>
      <c r="F215" s="4" t="n"/>
      <c r="G215" s="4" t="n"/>
      <c r="H215" s="4" t="n"/>
      <c r="K215" s="19">
        <f>IF(AG215&gt;0,"O Google leu como fórmula: digite de novo com ' na frente.","")</f>
        <v/>
      </c>
      <c r="N215" s="2">
        <f>N214+IF(LEN($X$215)&gt;0,1,0)</f>
        <v/>
      </c>
      <c r="O215" s="2">
        <f>O214+IF(LEN($Y$215)&gt;0,1,0)</f>
        <v/>
      </c>
      <c r="P215" s="2">
        <f>P214+IF(LEN($Z$215)&gt;0,1,0)</f>
        <v/>
      </c>
      <c r="Q215" s="2">
        <f>Q214+IF(LEN($AA$215)&gt;0,1,0)</f>
        <v/>
      </c>
      <c r="R215" s="2">
        <f>R214+IF(LEN($AB$215)&gt;0,1,0)</f>
        <v/>
      </c>
      <c r="S215" s="2">
        <f>S214+IF(LEN($AC$215)&gt;0,1,0)</f>
        <v/>
      </c>
      <c r="T215" s="2">
        <f>T214+IF(LEN($AD$215)&gt;0,1,0)</f>
        <v/>
      </c>
      <c r="X215" s="2">
        <f>IF(ISERROR($B$215),"",IF(ISBLANK($B$215),"",$B$215))</f>
        <v/>
      </c>
      <c r="Y215" s="2">
        <f>IF(ISERROR($C$215),"",IF(ISBLANK($C$215),"",$C$215))</f>
        <v/>
      </c>
      <c r="Z215" s="2">
        <f>IF(ISERROR($D$215),"",IF(ISBLANK($D$215),"",$D$215))</f>
        <v/>
      </c>
      <c r="AA215" s="2">
        <f>IF(ISERROR($E$215),"",IF(ISBLANK($E$215),"",$E$215))</f>
        <v/>
      </c>
      <c r="AB215" s="2">
        <f>IF(ISERROR($F$215),"",IF(ISBLANK($F$215),"",$F$215))</f>
        <v/>
      </c>
      <c r="AC215" s="2">
        <f>IF(ISERROR($G$215),"",IF(ISBLANK($G$215),"",$G$215))</f>
        <v/>
      </c>
      <c r="AD215" s="2">
        <f>IF(ISERROR($H$215),"",IF(ISBLANK($H$215),"",$H$215))</f>
        <v/>
      </c>
      <c r="AG215" s="2">
        <f>ISERROR($B$215)*1+ISERROR($C$215)*1+ISERROR($D$215)*1+ISERROR($E$215)*1+ISERROR($F$215)*1+ISERROR($G$215)*1+ISERROR($H$215)*1</f>
        <v/>
      </c>
    </row>
    <row r="216" ht="26" customHeight="1">
      <c r="B216" s="35" t="n"/>
      <c r="C216" s="29" t="n"/>
      <c r="D216" s="29" t="n"/>
      <c r="E216" s="29" t="n"/>
      <c r="F216" s="29" t="n"/>
      <c r="G216" s="29" t="n"/>
      <c r="H216" s="29" t="n"/>
      <c r="K216" s="19">
        <f>IF(AG216&gt;0,"O Google leu como fórmula: digite de novo com ' na frente.","")</f>
        <v/>
      </c>
      <c r="N216" s="2">
        <f>N215+IF(LEN($X$216)&gt;0,1,0)</f>
        <v/>
      </c>
      <c r="O216" s="2">
        <f>O215+IF(LEN($Y$216)&gt;0,1,0)</f>
        <v/>
      </c>
      <c r="P216" s="2">
        <f>P215+IF(LEN($Z$216)&gt;0,1,0)</f>
        <v/>
      </c>
      <c r="Q216" s="2">
        <f>Q215+IF(LEN($AA$216)&gt;0,1,0)</f>
        <v/>
      </c>
      <c r="R216" s="2">
        <f>R215+IF(LEN($AB$216)&gt;0,1,0)</f>
        <v/>
      </c>
      <c r="S216" s="2">
        <f>S215+IF(LEN($AC$216)&gt;0,1,0)</f>
        <v/>
      </c>
      <c r="T216" s="2">
        <f>T215+IF(LEN($AD$216)&gt;0,1,0)</f>
        <v/>
      </c>
      <c r="X216" s="2">
        <f>IF(ISERROR($B$216),"",IF(ISBLANK($B$216),"",$B$216))</f>
        <v/>
      </c>
      <c r="Y216" s="2">
        <f>IF(ISERROR($C$216),"",IF(ISBLANK($C$216),"",$C$216))</f>
        <v/>
      </c>
      <c r="Z216" s="2">
        <f>IF(ISERROR($D$216),"",IF(ISBLANK($D$216),"",$D$216))</f>
        <v/>
      </c>
      <c r="AA216" s="2">
        <f>IF(ISERROR($E$216),"",IF(ISBLANK($E$216),"",$E$216))</f>
        <v/>
      </c>
      <c r="AB216" s="2">
        <f>IF(ISERROR($F$216),"",IF(ISBLANK($F$216),"",$F$216))</f>
        <v/>
      </c>
      <c r="AC216" s="2">
        <f>IF(ISERROR($G$216),"",IF(ISBLANK($G$216),"",$G$216))</f>
        <v/>
      </c>
      <c r="AD216" s="2">
        <f>IF(ISERROR($H$216),"",IF(ISBLANK($H$216),"",$H$216))</f>
        <v/>
      </c>
      <c r="AG216" s="2">
        <f>ISERROR($B$216)*1+ISERROR($C$216)*1+ISERROR($D$216)*1+ISERROR($E$216)*1+ISERROR($F$216)*1+ISERROR($G$216)*1+ISERROR($H$216)*1</f>
        <v/>
      </c>
    </row>
    <row r="217" ht="26" customHeight="1">
      <c r="B217" s="33" t="n"/>
      <c r="C217" s="4" t="n"/>
      <c r="D217" s="4" t="n"/>
      <c r="E217" s="4" t="n"/>
      <c r="F217" s="4" t="n"/>
      <c r="G217" s="4" t="n"/>
      <c r="H217" s="4" t="n"/>
      <c r="K217" s="19">
        <f>IF(AG217&gt;0,"O Google leu como fórmula: digite de novo com ' na frente.","")</f>
        <v/>
      </c>
      <c r="N217" s="2">
        <f>N216+IF(LEN($X$217)&gt;0,1,0)</f>
        <v/>
      </c>
      <c r="O217" s="2">
        <f>O216+IF(LEN($Y$217)&gt;0,1,0)</f>
        <v/>
      </c>
      <c r="P217" s="2">
        <f>P216+IF(LEN($Z$217)&gt;0,1,0)</f>
        <v/>
      </c>
      <c r="Q217" s="2">
        <f>Q216+IF(LEN($AA$217)&gt;0,1,0)</f>
        <v/>
      </c>
      <c r="R217" s="2">
        <f>R216+IF(LEN($AB$217)&gt;0,1,0)</f>
        <v/>
      </c>
      <c r="S217" s="2">
        <f>S216+IF(LEN($AC$217)&gt;0,1,0)</f>
        <v/>
      </c>
      <c r="T217" s="2">
        <f>T216+IF(LEN($AD$217)&gt;0,1,0)</f>
        <v/>
      </c>
      <c r="X217" s="2">
        <f>IF(ISERROR($B$217),"",IF(ISBLANK($B$217),"",$B$217))</f>
        <v/>
      </c>
      <c r="Y217" s="2">
        <f>IF(ISERROR($C$217),"",IF(ISBLANK($C$217),"",$C$217))</f>
        <v/>
      </c>
      <c r="Z217" s="2">
        <f>IF(ISERROR($D$217),"",IF(ISBLANK($D$217),"",$D$217))</f>
        <v/>
      </c>
      <c r="AA217" s="2">
        <f>IF(ISERROR($E$217),"",IF(ISBLANK($E$217),"",$E$217))</f>
        <v/>
      </c>
      <c r="AB217" s="2">
        <f>IF(ISERROR($F$217),"",IF(ISBLANK($F$217),"",$F$217))</f>
        <v/>
      </c>
      <c r="AC217" s="2">
        <f>IF(ISERROR($G$217),"",IF(ISBLANK($G$217),"",$G$217))</f>
        <v/>
      </c>
      <c r="AD217" s="2">
        <f>IF(ISERROR($H$217),"",IF(ISBLANK($H$217),"",$H$217))</f>
        <v/>
      </c>
      <c r="AG217" s="2">
        <f>ISERROR($B$217)*1+ISERROR($C$217)*1+ISERROR($D$217)*1+ISERROR($E$217)*1+ISERROR($F$217)*1+ISERROR($G$217)*1+ISERROR($H$217)*1</f>
        <v/>
      </c>
    </row>
    <row r="218" ht="26" customHeight="1">
      <c r="B218" s="35" t="n"/>
      <c r="C218" s="29" t="n"/>
      <c r="D218" s="29" t="n"/>
      <c r="E218" s="29" t="n"/>
      <c r="F218" s="29" t="n"/>
      <c r="G218" s="29" t="n"/>
      <c r="H218" s="29" t="n"/>
      <c r="K218" s="19">
        <f>IF(AG218&gt;0,"O Google leu como fórmula: digite de novo com ' na frente.","")</f>
        <v/>
      </c>
      <c r="N218" s="2">
        <f>N217+IF(LEN($X$218)&gt;0,1,0)</f>
        <v/>
      </c>
      <c r="O218" s="2">
        <f>O217+IF(LEN($Y$218)&gt;0,1,0)</f>
        <v/>
      </c>
      <c r="P218" s="2">
        <f>P217+IF(LEN($Z$218)&gt;0,1,0)</f>
        <v/>
      </c>
      <c r="Q218" s="2">
        <f>Q217+IF(LEN($AA$218)&gt;0,1,0)</f>
        <v/>
      </c>
      <c r="R218" s="2">
        <f>R217+IF(LEN($AB$218)&gt;0,1,0)</f>
        <v/>
      </c>
      <c r="S218" s="2">
        <f>S217+IF(LEN($AC$218)&gt;0,1,0)</f>
        <v/>
      </c>
      <c r="T218" s="2">
        <f>T217+IF(LEN($AD$218)&gt;0,1,0)</f>
        <v/>
      </c>
      <c r="X218" s="2">
        <f>IF(ISERROR($B$218),"",IF(ISBLANK($B$218),"",$B$218))</f>
        <v/>
      </c>
      <c r="Y218" s="2">
        <f>IF(ISERROR($C$218),"",IF(ISBLANK($C$218),"",$C$218))</f>
        <v/>
      </c>
      <c r="Z218" s="2">
        <f>IF(ISERROR($D$218),"",IF(ISBLANK($D$218),"",$D$218))</f>
        <v/>
      </c>
      <c r="AA218" s="2">
        <f>IF(ISERROR($E$218),"",IF(ISBLANK($E$218),"",$E$218))</f>
        <v/>
      </c>
      <c r="AB218" s="2">
        <f>IF(ISERROR($F$218),"",IF(ISBLANK($F$218),"",$F$218))</f>
        <v/>
      </c>
      <c r="AC218" s="2">
        <f>IF(ISERROR($G$218),"",IF(ISBLANK($G$218),"",$G$218))</f>
        <v/>
      </c>
      <c r="AD218" s="2">
        <f>IF(ISERROR($H$218),"",IF(ISBLANK($H$218),"",$H$218))</f>
        <v/>
      </c>
      <c r="AG218" s="2">
        <f>ISERROR($B$218)*1+ISERROR($C$218)*1+ISERROR($D$218)*1+ISERROR($E$218)*1+ISERROR($F$218)*1+ISERROR($G$218)*1+ISERROR($H$218)*1</f>
        <v/>
      </c>
    </row>
    <row r="219" ht="26" customHeight="1">
      <c r="B219" s="33" t="n"/>
      <c r="C219" s="4" t="n"/>
      <c r="D219" s="4" t="n"/>
      <c r="E219" s="4" t="n"/>
      <c r="F219" s="4" t="n"/>
      <c r="G219" s="4" t="n"/>
      <c r="H219" s="4" t="n"/>
      <c r="K219" s="19">
        <f>IF(AG219&gt;0,"O Google leu como fórmula: digite de novo com ' na frente.","")</f>
        <v/>
      </c>
      <c r="N219" s="2">
        <f>N218+IF(LEN($X$219)&gt;0,1,0)</f>
        <v/>
      </c>
      <c r="O219" s="2">
        <f>O218+IF(LEN($Y$219)&gt;0,1,0)</f>
        <v/>
      </c>
      <c r="P219" s="2">
        <f>P218+IF(LEN($Z$219)&gt;0,1,0)</f>
        <v/>
      </c>
      <c r="Q219" s="2">
        <f>Q218+IF(LEN($AA$219)&gt;0,1,0)</f>
        <v/>
      </c>
      <c r="R219" s="2">
        <f>R218+IF(LEN($AB$219)&gt;0,1,0)</f>
        <v/>
      </c>
      <c r="S219" s="2">
        <f>S218+IF(LEN($AC$219)&gt;0,1,0)</f>
        <v/>
      </c>
      <c r="T219" s="2">
        <f>T218+IF(LEN($AD$219)&gt;0,1,0)</f>
        <v/>
      </c>
      <c r="X219" s="2">
        <f>IF(ISERROR($B$219),"",IF(ISBLANK($B$219),"",$B$219))</f>
        <v/>
      </c>
      <c r="Y219" s="2">
        <f>IF(ISERROR($C$219),"",IF(ISBLANK($C$219),"",$C$219))</f>
        <v/>
      </c>
      <c r="Z219" s="2">
        <f>IF(ISERROR($D$219),"",IF(ISBLANK($D$219),"",$D$219))</f>
        <v/>
      </c>
      <c r="AA219" s="2">
        <f>IF(ISERROR($E$219),"",IF(ISBLANK($E$219),"",$E$219))</f>
        <v/>
      </c>
      <c r="AB219" s="2">
        <f>IF(ISERROR($F$219),"",IF(ISBLANK($F$219),"",$F$219))</f>
        <v/>
      </c>
      <c r="AC219" s="2">
        <f>IF(ISERROR($G$219),"",IF(ISBLANK($G$219),"",$G$219))</f>
        <v/>
      </c>
      <c r="AD219" s="2">
        <f>IF(ISERROR($H$219),"",IF(ISBLANK($H$219),"",$H$219))</f>
        <v/>
      </c>
      <c r="AG219" s="2">
        <f>ISERROR($B$219)*1+ISERROR($C$219)*1+ISERROR($D$219)*1+ISERROR($E$219)*1+ISERROR($F$219)*1+ISERROR($G$219)*1+ISERROR($H$219)*1</f>
        <v/>
      </c>
    </row>
    <row r="220" ht="26" customHeight="1">
      <c r="B220" s="35" t="n"/>
      <c r="C220" s="29" t="n"/>
      <c r="D220" s="29" t="n"/>
      <c r="E220" s="29" t="n"/>
      <c r="F220" s="29" t="n"/>
      <c r="G220" s="29" t="n"/>
      <c r="H220" s="29" t="n"/>
      <c r="K220" s="19">
        <f>IF(AG220&gt;0,"O Google leu como fórmula: digite de novo com ' na frente.","")</f>
        <v/>
      </c>
      <c r="N220" s="2">
        <f>N219+IF(LEN($X$220)&gt;0,1,0)</f>
        <v/>
      </c>
      <c r="O220" s="2">
        <f>O219+IF(LEN($Y$220)&gt;0,1,0)</f>
        <v/>
      </c>
      <c r="P220" s="2">
        <f>P219+IF(LEN($Z$220)&gt;0,1,0)</f>
        <v/>
      </c>
      <c r="Q220" s="2">
        <f>Q219+IF(LEN($AA$220)&gt;0,1,0)</f>
        <v/>
      </c>
      <c r="R220" s="2">
        <f>R219+IF(LEN($AB$220)&gt;0,1,0)</f>
        <v/>
      </c>
      <c r="S220" s="2">
        <f>S219+IF(LEN($AC$220)&gt;0,1,0)</f>
        <v/>
      </c>
      <c r="T220" s="2">
        <f>T219+IF(LEN($AD$220)&gt;0,1,0)</f>
        <v/>
      </c>
      <c r="X220" s="2">
        <f>IF(ISERROR($B$220),"",IF(ISBLANK($B$220),"",$B$220))</f>
        <v/>
      </c>
      <c r="Y220" s="2">
        <f>IF(ISERROR($C$220),"",IF(ISBLANK($C$220),"",$C$220))</f>
        <v/>
      </c>
      <c r="Z220" s="2">
        <f>IF(ISERROR($D$220),"",IF(ISBLANK($D$220),"",$D$220))</f>
        <v/>
      </c>
      <c r="AA220" s="2">
        <f>IF(ISERROR($E$220),"",IF(ISBLANK($E$220),"",$E$220))</f>
        <v/>
      </c>
      <c r="AB220" s="2">
        <f>IF(ISERROR($F$220),"",IF(ISBLANK($F$220),"",$F$220))</f>
        <v/>
      </c>
      <c r="AC220" s="2">
        <f>IF(ISERROR($G$220),"",IF(ISBLANK($G$220),"",$G$220))</f>
        <v/>
      </c>
      <c r="AD220" s="2">
        <f>IF(ISERROR($H$220),"",IF(ISBLANK($H$220),"",$H$220))</f>
        <v/>
      </c>
      <c r="AG220" s="2">
        <f>ISERROR($B$220)*1+ISERROR($C$220)*1+ISERROR($D$220)*1+ISERROR($E$220)*1+ISERROR($F$220)*1+ISERROR($G$220)*1+ISERROR($H$220)*1</f>
        <v/>
      </c>
    </row>
    <row r="221" ht="26" customHeight="1">
      <c r="B221" s="33" t="n"/>
      <c r="C221" s="4" t="n"/>
      <c r="D221" s="4" t="n"/>
      <c r="E221" s="4" t="n"/>
      <c r="F221" s="4" t="n"/>
      <c r="G221" s="4" t="n"/>
      <c r="H221" s="4" t="n"/>
      <c r="K221" s="19">
        <f>IF(AG221&gt;0,"O Google leu como fórmula: digite de novo com ' na frente.","")</f>
        <v/>
      </c>
      <c r="N221" s="2">
        <f>N220+IF(LEN($X$221)&gt;0,1,0)</f>
        <v/>
      </c>
      <c r="O221" s="2">
        <f>O220+IF(LEN($Y$221)&gt;0,1,0)</f>
        <v/>
      </c>
      <c r="P221" s="2">
        <f>P220+IF(LEN($Z$221)&gt;0,1,0)</f>
        <v/>
      </c>
      <c r="Q221" s="2">
        <f>Q220+IF(LEN($AA$221)&gt;0,1,0)</f>
        <v/>
      </c>
      <c r="R221" s="2">
        <f>R220+IF(LEN($AB$221)&gt;0,1,0)</f>
        <v/>
      </c>
      <c r="S221" s="2">
        <f>S220+IF(LEN($AC$221)&gt;0,1,0)</f>
        <v/>
      </c>
      <c r="T221" s="2">
        <f>T220+IF(LEN($AD$221)&gt;0,1,0)</f>
        <v/>
      </c>
      <c r="X221" s="2">
        <f>IF(ISERROR($B$221),"",IF(ISBLANK($B$221),"",$B$221))</f>
        <v/>
      </c>
      <c r="Y221" s="2">
        <f>IF(ISERROR($C$221),"",IF(ISBLANK($C$221),"",$C$221))</f>
        <v/>
      </c>
      <c r="Z221" s="2">
        <f>IF(ISERROR($D$221),"",IF(ISBLANK($D$221),"",$D$221))</f>
        <v/>
      </c>
      <c r="AA221" s="2">
        <f>IF(ISERROR($E$221),"",IF(ISBLANK($E$221),"",$E$221))</f>
        <v/>
      </c>
      <c r="AB221" s="2">
        <f>IF(ISERROR($F$221),"",IF(ISBLANK($F$221),"",$F$221))</f>
        <v/>
      </c>
      <c r="AC221" s="2">
        <f>IF(ISERROR($G$221),"",IF(ISBLANK($G$221),"",$G$221))</f>
        <v/>
      </c>
      <c r="AD221" s="2">
        <f>IF(ISERROR($H$221),"",IF(ISBLANK($H$221),"",$H$221))</f>
        <v/>
      </c>
      <c r="AG221" s="2">
        <f>ISERROR($B$221)*1+ISERROR($C$221)*1+ISERROR($D$221)*1+ISERROR($E$221)*1+ISERROR($F$221)*1+ISERROR($G$221)*1+ISERROR($H$221)*1</f>
        <v/>
      </c>
    </row>
    <row r="222" ht="26" customHeight="1">
      <c r="B222" s="35" t="n"/>
      <c r="C222" s="29" t="n"/>
      <c r="D222" s="29" t="n"/>
      <c r="E222" s="29" t="n"/>
      <c r="F222" s="29" t="n"/>
      <c r="G222" s="29" t="n"/>
      <c r="H222" s="29" t="n"/>
      <c r="K222" s="19">
        <f>IF(AG222&gt;0,"O Google leu como fórmula: digite de novo com ' na frente.","")</f>
        <v/>
      </c>
      <c r="N222" s="2">
        <f>N221+IF(LEN($X$222)&gt;0,1,0)</f>
        <v/>
      </c>
      <c r="O222" s="2">
        <f>O221+IF(LEN($Y$222)&gt;0,1,0)</f>
        <v/>
      </c>
      <c r="P222" s="2">
        <f>P221+IF(LEN($Z$222)&gt;0,1,0)</f>
        <v/>
      </c>
      <c r="Q222" s="2">
        <f>Q221+IF(LEN($AA$222)&gt;0,1,0)</f>
        <v/>
      </c>
      <c r="R222" s="2">
        <f>R221+IF(LEN($AB$222)&gt;0,1,0)</f>
        <v/>
      </c>
      <c r="S222" s="2">
        <f>S221+IF(LEN($AC$222)&gt;0,1,0)</f>
        <v/>
      </c>
      <c r="T222" s="2">
        <f>T221+IF(LEN($AD$222)&gt;0,1,0)</f>
        <v/>
      </c>
      <c r="X222" s="2">
        <f>IF(ISERROR($B$222),"",IF(ISBLANK($B$222),"",$B$222))</f>
        <v/>
      </c>
      <c r="Y222" s="2">
        <f>IF(ISERROR($C$222),"",IF(ISBLANK($C$222),"",$C$222))</f>
        <v/>
      </c>
      <c r="Z222" s="2">
        <f>IF(ISERROR($D$222),"",IF(ISBLANK($D$222),"",$D$222))</f>
        <v/>
      </c>
      <c r="AA222" s="2">
        <f>IF(ISERROR($E$222),"",IF(ISBLANK($E$222),"",$E$222))</f>
        <v/>
      </c>
      <c r="AB222" s="2">
        <f>IF(ISERROR($F$222),"",IF(ISBLANK($F$222),"",$F$222))</f>
        <v/>
      </c>
      <c r="AC222" s="2">
        <f>IF(ISERROR($G$222),"",IF(ISBLANK($G$222),"",$G$222))</f>
        <v/>
      </c>
      <c r="AD222" s="2">
        <f>IF(ISERROR($H$222),"",IF(ISBLANK($H$222),"",$H$222))</f>
        <v/>
      </c>
      <c r="AG222" s="2">
        <f>ISERROR($B$222)*1+ISERROR($C$222)*1+ISERROR($D$222)*1+ISERROR($E$222)*1+ISERROR($F$222)*1+ISERROR($G$222)*1+ISERROR($H$222)*1</f>
        <v/>
      </c>
    </row>
    <row r="223" ht="26" customHeight="1">
      <c r="B223" s="33" t="n"/>
      <c r="C223" s="4" t="n"/>
      <c r="D223" s="4" t="n"/>
      <c r="E223" s="4" t="n"/>
      <c r="F223" s="4" t="n"/>
      <c r="G223" s="4" t="n"/>
      <c r="H223" s="4" t="n"/>
      <c r="K223" s="19">
        <f>IF(AG223&gt;0,"O Google leu como fórmula: digite de novo com ' na frente.","")</f>
        <v/>
      </c>
      <c r="N223" s="2">
        <f>N222+IF(LEN($X$223)&gt;0,1,0)</f>
        <v/>
      </c>
      <c r="O223" s="2">
        <f>O222+IF(LEN($Y$223)&gt;0,1,0)</f>
        <v/>
      </c>
      <c r="P223" s="2">
        <f>P222+IF(LEN($Z$223)&gt;0,1,0)</f>
        <v/>
      </c>
      <c r="Q223" s="2">
        <f>Q222+IF(LEN($AA$223)&gt;0,1,0)</f>
        <v/>
      </c>
      <c r="R223" s="2">
        <f>R222+IF(LEN($AB$223)&gt;0,1,0)</f>
        <v/>
      </c>
      <c r="S223" s="2">
        <f>S222+IF(LEN($AC$223)&gt;0,1,0)</f>
        <v/>
      </c>
      <c r="T223" s="2">
        <f>T222+IF(LEN($AD$223)&gt;0,1,0)</f>
        <v/>
      </c>
      <c r="X223" s="2">
        <f>IF(ISERROR($B$223),"",IF(ISBLANK($B$223),"",$B$223))</f>
        <v/>
      </c>
      <c r="Y223" s="2">
        <f>IF(ISERROR($C$223),"",IF(ISBLANK($C$223),"",$C$223))</f>
        <v/>
      </c>
      <c r="Z223" s="2">
        <f>IF(ISERROR($D$223),"",IF(ISBLANK($D$223),"",$D$223))</f>
        <v/>
      </c>
      <c r="AA223" s="2">
        <f>IF(ISERROR($E$223),"",IF(ISBLANK($E$223),"",$E$223))</f>
        <v/>
      </c>
      <c r="AB223" s="2">
        <f>IF(ISERROR($F$223),"",IF(ISBLANK($F$223),"",$F$223))</f>
        <v/>
      </c>
      <c r="AC223" s="2">
        <f>IF(ISERROR($G$223),"",IF(ISBLANK($G$223),"",$G$223))</f>
        <v/>
      </c>
      <c r="AD223" s="2">
        <f>IF(ISERROR($H$223),"",IF(ISBLANK($H$223),"",$H$223))</f>
        <v/>
      </c>
      <c r="AG223" s="2">
        <f>ISERROR($B$223)*1+ISERROR($C$223)*1+ISERROR($D$223)*1+ISERROR($E$223)*1+ISERROR($F$223)*1+ISERROR($G$223)*1+ISERROR($H$223)*1</f>
        <v/>
      </c>
    </row>
    <row r="224" ht="15" customHeight="1">
      <c r="B224" s="8" t="inlineStr">
        <is>
          <t>Nome — Humano</t>
        </is>
      </c>
      <c r="C224" s="8" t="inlineStr">
        <is>
          <t>Nome — Xianzhouíta</t>
        </is>
      </c>
      <c r="D224" s="8" t="inlineStr">
        <is>
          <t>Nome — Vidyadhara</t>
        </is>
      </c>
      <c r="E224" s="8" t="inlineStr">
        <is>
          <t>Nome — Vulpes</t>
        </is>
      </c>
      <c r="F224" s="8" t="inlineStr">
        <is>
          <t>Nome — Haloviano</t>
        </is>
      </c>
      <c r="G224" s="8" t="inlineStr">
        <is>
          <t>Nome — Avginiano</t>
        </is>
      </c>
      <c r="H224" s="8" t="inlineStr">
        <is>
          <t>Nome — Intellitron</t>
        </is>
      </c>
      <c r="N224" s="2">
        <f>N223</f>
        <v/>
      </c>
      <c r="O224" s="2">
        <f>O223</f>
        <v/>
      </c>
      <c r="P224" s="2">
        <f>P223</f>
        <v/>
      </c>
      <c r="Q224" s="2">
        <f>Q223</f>
        <v/>
      </c>
      <c r="R224" s="2">
        <f>R223</f>
        <v/>
      </c>
      <c r="S224" s="2">
        <f>S223</f>
        <v/>
      </c>
      <c r="T224" s="2">
        <f>T223</f>
        <v/>
      </c>
      <c r="X224" s="2">
        <f>IF(ISERROR($B$224),"",IF(ISBLANK($B$224),"",$B$224))</f>
        <v/>
      </c>
      <c r="Y224" s="2">
        <f>IF(ISERROR($C$224),"",IF(ISBLANK($C$224),"",$C$224))</f>
        <v/>
      </c>
      <c r="Z224" s="2">
        <f>IF(ISERROR($D$224),"",IF(ISBLANK($D$224),"",$D$224))</f>
        <v/>
      </c>
      <c r="AA224" s="2">
        <f>IF(ISERROR($E$224),"",IF(ISBLANK($E$224),"",$E$224))</f>
        <v/>
      </c>
      <c r="AB224" s="2">
        <f>IF(ISERROR($F$224),"",IF(ISBLANK($F$224),"",$F$224))</f>
        <v/>
      </c>
      <c r="AC224" s="2">
        <f>IF(ISERROR($G$224),"",IF(ISBLANK($G$224),"",$G$224))</f>
        <v/>
      </c>
      <c r="AD224" s="2">
        <f>IF(ISERROR($H$224),"",IF(ISBLANK($H$224),"",$H$224))</f>
        <v/>
      </c>
    </row>
    <row r="225" ht="26" customHeight="1">
      <c r="B225" s="33" t="n"/>
      <c r="C225" s="4" t="n"/>
      <c r="D225" s="4" t="n"/>
      <c r="E225" s="4" t="n"/>
      <c r="F225" s="4" t="n"/>
      <c r="G225" s="4" t="n"/>
      <c r="H225" s="4" t="n"/>
      <c r="K225" s="19">
        <f>IF(AG225&gt;0,"O Google leu como fórmula: digite de novo com ' na frente.","")</f>
        <v/>
      </c>
      <c r="N225" s="2">
        <f>N224+IF(LEN($X$225)&gt;0,1,0)</f>
        <v/>
      </c>
      <c r="O225" s="2">
        <f>O224+IF(LEN($Y$225)&gt;0,1,0)</f>
        <v/>
      </c>
      <c r="P225" s="2">
        <f>P224+IF(LEN($Z$225)&gt;0,1,0)</f>
        <v/>
      </c>
      <c r="Q225" s="2">
        <f>Q224+IF(LEN($AA$225)&gt;0,1,0)</f>
        <v/>
      </c>
      <c r="R225" s="2">
        <f>R224+IF(LEN($AB$225)&gt;0,1,0)</f>
        <v/>
      </c>
      <c r="S225" s="2">
        <f>S224+IF(LEN($AC$225)&gt;0,1,0)</f>
        <v/>
      </c>
      <c r="T225" s="2">
        <f>T224+IF(LEN($AD$225)&gt;0,1,0)</f>
        <v/>
      </c>
      <c r="X225" s="2">
        <f>IF(ISERROR($B$225),"",IF(ISBLANK($B$225),"",$B$225))</f>
        <v/>
      </c>
      <c r="Y225" s="2">
        <f>IF(ISERROR($C$225),"",IF(ISBLANK($C$225),"",$C$225))</f>
        <v/>
      </c>
      <c r="Z225" s="2">
        <f>IF(ISERROR($D$225),"",IF(ISBLANK($D$225),"",$D$225))</f>
        <v/>
      </c>
      <c r="AA225" s="2">
        <f>IF(ISERROR($E$225),"",IF(ISBLANK($E$225),"",$E$225))</f>
        <v/>
      </c>
      <c r="AB225" s="2">
        <f>IF(ISERROR($F$225),"",IF(ISBLANK($F$225),"",$F$225))</f>
        <v/>
      </c>
      <c r="AC225" s="2">
        <f>IF(ISERROR($G$225),"",IF(ISBLANK($G$225),"",$G$225))</f>
        <v/>
      </c>
      <c r="AD225" s="2">
        <f>IF(ISERROR($H$225),"",IF(ISBLANK($H$225),"",$H$225))</f>
        <v/>
      </c>
      <c r="AG225" s="2">
        <f>ISERROR($B$225)*1+ISERROR($C$225)*1+ISERROR($D$225)*1+ISERROR($E$225)*1+ISERROR($F$225)*1+ISERROR($G$225)*1+ISERROR($H$225)*1</f>
        <v/>
      </c>
    </row>
    <row r="226" ht="26" customHeight="1">
      <c r="B226" s="35" t="n"/>
      <c r="C226" s="29" t="n"/>
      <c r="D226" s="29" t="n"/>
      <c r="E226" s="29" t="n"/>
      <c r="F226" s="29" t="n"/>
      <c r="G226" s="29" t="n"/>
      <c r="H226" s="29" t="n"/>
      <c r="K226" s="19">
        <f>IF(AG226&gt;0,"O Google leu como fórmula: digite de novo com ' na frente.","")</f>
        <v/>
      </c>
      <c r="N226" s="2">
        <f>N225+IF(LEN($X$226)&gt;0,1,0)</f>
        <v/>
      </c>
      <c r="O226" s="2">
        <f>O225+IF(LEN($Y$226)&gt;0,1,0)</f>
        <v/>
      </c>
      <c r="P226" s="2">
        <f>P225+IF(LEN($Z$226)&gt;0,1,0)</f>
        <v/>
      </c>
      <c r="Q226" s="2">
        <f>Q225+IF(LEN($AA$226)&gt;0,1,0)</f>
        <v/>
      </c>
      <c r="R226" s="2">
        <f>R225+IF(LEN($AB$226)&gt;0,1,0)</f>
        <v/>
      </c>
      <c r="S226" s="2">
        <f>S225+IF(LEN($AC$226)&gt;0,1,0)</f>
        <v/>
      </c>
      <c r="T226" s="2">
        <f>T225+IF(LEN($AD$226)&gt;0,1,0)</f>
        <v/>
      </c>
      <c r="X226" s="2">
        <f>IF(ISERROR($B$226),"",IF(ISBLANK($B$226),"",$B$226))</f>
        <v/>
      </c>
      <c r="Y226" s="2">
        <f>IF(ISERROR($C$226),"",IF(ISBLANK($C$226),"",$C$226))</f>
        <v/>
      </c>
      <c r="Z226" s="2">
        <f>IF(ISERROR($D$226),"",IF(ISBLANK($D$226),"",$D$226))</f>
        <v/>
      </c>
      <c r="AA226" s="2">
        <f>IF(ISERROR($E$226),"",IF(ISBLANK($E$226),"",$E$226))</f>
        <v/>
      </c>
      <c r="AB226" s="2">
        <f>IF(ISERROR($F$226),"",IF(ISBLANK($F$226),"",$F$226))</f>
        <v/>
      </c>
      <c r="AC226" s="2">
        <f>IF(ISERROR($G$226),"",IF(ISBLANK($G$226),"",$G$226))</f>
        <v/>
      </c>
      <c r="AD226" s="2">
        <f>IF(ISERROR($H$226),"",IF(ISBLANK($H$226),"",$H$226))</f>
        <v/>
      </c>
      <c r="AG226" s="2">
        <f>ISERROR($B$226)*1+ISERROR($C$226)*1+ISERROR($D$226)*1+ISERROR($E$226)*1+ISERROR($F$226)*1+ISERROR($G$226)*1+ISERROR($H$226)*1</f>
        <v/>
      </c>
    </row>
    <row r="227" ht="26" customHeight="1">
      <c r="B227" s="33" t="n"/>
      <c r="C227" s="4" t="n"/>
      <c r="D227" s="4" t="n"/>
      <c r="E227" s="4" t="n"/>
      <c r="F227" s="4" t="n"/>
      <c r="G227" s="4" t="n"/>
      <c r="H227" s="4" t="n"/>
      <c r="K227" s="19">
        <f>IF(AG227&gt;0,"O Google leu como fórmula: digite de novo com ' na frente.","")</f>
        <v/>
      </c>
      <c r="N227" s="2">
        <f>N226+IF(LEN($X$227)&gt;0,1,0)</f>
        <v/>
      </c>
      <c r="O227" s="2">
        <f>O226+IF(LEN($Y$227)&gt;0,1,0)</f>
        <v/>
      </c>
      <c r="P227" s="2">
        <f>P226+IF(LEN($Z$227)&gt;0,1,0)</f>
        <v/>
      </c>
      <c r="Q227" s="2">
        <f>Q226+IF(LEN($AA$227)&gt;0,1,0)</f>
        <v/>
      </c>
      <c r="R227" s="2">
        <f>R226+IF(LEN($AB$227)&gt;0,1,0)</f>
        <v/>
      </c>
      <c r="S227" s="2">
        <f>S226+IF(LEN($AC$227)&gt;0,1,0)</f>
        <v/>
      </c>
      <c r="T227" s="2">
        <f>T226+IF(LEN($AD$227)&gt;0,1,0)</f>
        <v/>
      </c>
      <c r="X227" s="2">
        <f>IF(ISERROR($B$227),"",IF(ISBLANK($B$227),"",$B$227))</f>
        <v/>
      </c>
      <c r="Y227" s="2">
        <f>IF(ISERROR($C$227),"",IF(ISBLANK($C$227),"",$C$227))</f>
        <v/>
      </c>
      <c r="Z227" s="2">
        <f>IF(ISERROR($D$227),"",IF(ISBLANK($D$227),"",$D$227))</f>
        <v/>
      </c>
      <c r="AA227" s="2">
        <f>IF(ISERROR($E$227),"",IF(ISBLANK($E$227),"",$E$227))</f>
        <v/>
      </c>
      <c r="AB227" s="2">
        <f>IF(ISERROR($F$227),"",IF(ISBLANK($F$227),"",$F$227))</f>
        <v/>
      </c>
      <c r="AC227" s="2">
        <f>IF(ISERROR($G$227),"",IF(ISBLANK($G$227),"",$G$227))</f>
        <v/>
      </c>
      <c r="AD227" s="2">
        <f>IF(ISERROR($H$227),"",IF(ISBLANK($H$227),"",$H$227))</f>
        <v/>
      </c>
      <c r="AG227" s="2">
        <f>ISERROR($B$227)*1+ISERROR($C$227)*1+ISERROR($D$227)*1+ISERROR($E$227)*1+ISERROR($F$227)*1+ISERROR($G$227)*1+ISERROR($H$227)*1</f>
        <v/>
      </c>
    </row>
    <row r="228" ht="26" customHeight="1">
      <c r="B228" s="35" t="n"/>
      <c r="C228" s="29" t="n"/>
      <c r="D228" s="29" t="n"/>
      <c r="E228" s="29" t="n"/>
      <c r="F228" s="29" t="n"/>
      <c r="G228" s="29" t="n"/>
      <c r="H228" s="29" t="n"/>
      <c r="K228" s="19">
        <f>IF(AG228&gt;0,"O Google leu como fórmula: digite de novo com ' na frente.","")</f>
        <v/>
      </c>
      <c r="N228" s="2">
        <f>N227+IF(LEN($X$228)&gt;0,1,0)</f>
        <v/>
      </c>
      <c r="O228" s="2">
        <f>O227+IF(LEN($Y$228)&gt;0,1,0)</f>
        <v/>
      </c>
      <c r="P228" s="2">
        <f>P227+IF(LEN($Z$228)&gt;0,1,0)</f>
        <v/>
      </c>
      <c r="Q228" s="2">
        <f>Q227+IF(LEN($AA$228)&gt;0,1,0)</f>
        <v/>
      </c>
      <c r="R228" s="2">
        <f>R227+IF(LEN($AB$228)&gt;0,1,0)</f>
        <v/>
      </c>
      <c r="S228" s="2">
        <f>S227+IF(LEN($AC$228)&gt;0,1,0)</f>
        <v/>
      </c>
      <c r="T228" s="2">
        <f>T227+IF(LEN($AD$228)&gt;0,1,0)</f>
        <v/>
      </c>
      <c r="X228" s="2">
        <f>IF(ISERROR($B$228),"",IF(ISBLANK($B$228),"",$B$228))</f>
        <v/>
      </c>
      <c r="Y228" s="2">
        <f>IF(ISERROR($C$228),"",IF(ISBLANK($C$228),"",$C$228))</f>
        <v/>
      </c>
      <c r="Z228" s="2">
        <f>IF(ISERROR($D$228),"",IF(ISBLANK($D$228),"",$D$228))</f>
        <v/>
      </c>
      <c r="AA228" s="2">
        <f>IF(ISERROR($E$228),"",IF(ISBLANK($E$228),"",$E$228))</f>
        <v/>
      </c>
      <c r="AB228" s="2">
        <f>IF(ISERROR($F$228),"",IF(ISBLANK($F$228),"",$F$228))</f>
        <v/>
      </c>
      <c r="AC228" s="2">
        <f>IF(ISERROR($G$228),"",IF(ISBLANK($G$228),"",$G$228))</f>
        <v/>
      </c>
      <c r="AD228" s="2">
        <f>IF(ISERROR($H$228),"",IF(ISBLANK($H$228),"",$H$228))</f>
        <v/>
      </c>
      <c r="AG228" s="2">
        <f>ISERROR($B$228)*1+ISERROR($C$228)*1+ISERROR($D$228)*1+ISERROR($E$228)*1+ISERROR($F$228)*1+ISERROR($G$228)*1+ISERROR($H$228)*1</f>
        <v/>
      </c>
    </row>
    <row r="229" ht="26" customHeight="1">
      <c r="B229" s="33" t="n"/>
      <c r="C229" s="4" t="n"/>
      <c r="D229" s="4" t="n"/>
      <c r="E229" s="4" t="n"/>
      <c r="F229" s="4" t="n"/>
      <c r="G229" s="4" t="n"/>
      <c r="H229" s="4" t="n"/>
      <c r="K229" s="19">
        <f>IF(AG229&gt;0,"O Google leu como fórmula: digite de novo com ' na frente.","")</f>
        <v/>
      </c>
      <c r="N229" s="2">
        <f>N228+IF(LEN($X$229)&gt;0,1,0)</f>
        <v/>
      </c>
      <c r="O229" s="2">
        <f>O228+IF(LEN($Y$229)&gt;0,1,0)</f>
        <v/>
      </c>
      <c r="P229" s="2">
        <f>P228+IF(LEN($Z$229)&gt;0,1,0)</f>
        <v/>
      </c>
      <c r="Q229" s="2">
        <f>Q228+IF(LEN($AA$229)&gt;0,1,0)</f>
        <v/>
      </c>
      <c r="R229" s="2">
        <f>R228+IF(LEN($AB$229)&gt;0,1,0)</f>
        <v/>
      </c>
      <c r="S229" s="2">
        <f>S228+IF(LEN($AC$229)&gt;0,1,0)</f>
        <v/>
      </c>
      <c r="T229" s="2">
        <f>T228+IF(LEN($AD$229)&gt;0,1,0)</f>
        <v/>
      </c>
      <c r="X229" s="2">
        <f>IF(ISERROR($B$229),"",IF(ISBLANK($B$229),"",$B$229))</f>
        <v/>
      </c>
      <c r="Y229" s="2">
        <f>IF(ISERROR($C$229),"",IF(ISBLANK($C$229),"",$C$229))</f>
        <v/>
      </c>
      <c r="Z229" s="2">
        <f>IF(ISERROR($D$229),"",IF(ISBLANK($D$229),"",$D$229))</f>
        <v/>
      </c>
      <c r="AA229" s="2">
        <f>IF(ISERROR($E$229),"",IF(ISBLANK($E$229),"",$E$229))</f>
        <v/>
      </c>
      <c r="AB229" s="2">
        <f>IF(ISERROR($F$229),"",IF(ISBLANK($F$229),"",$F$229))</f>
        <v/>
      </c>
      <c r="AC229" s="2">
        <f>IF(ISERROR($G$229),"",IF(ISBLANK($G$229),"",$G$229))</f>
        <v/>
      </c>
      <c r="AD229" s="2">
        <f>IF(ISERROR($H$229),"",IF(ISBLANK($H$229),"",$H$229))</f>
        <v/>
      </c>
      <c r="AG229" s="2">
        <f>ISERROR($B$229)*1+ISERROR($C$229)*1+ISERROR($D$229)*1+ISERROR($E$229)*1+ISERROR($F$229)*1+ISERROR($G$229)*1+ISERROR($H$229)*1</f>
        <v/>
      </c>
    </row>
    <row r="230" ht="26" customHeight="1">
      <c r="B230" s="35" t="n"/>
      <c r="C230" s="29" t="n"/>
      <c r="D230" s="29" t="n"/>
      <c r="E230" s="29" t="n"/>
      <c r="F230" s="29" t="n"/>
      <c r="G230" s="29" t="n"/>
      <c r="H230" s="29" t="n"/>
      <c r="K230" s="19">
        <f>IF(AG230&gt;0,"O Google leu como fórmula: digite de novo com ' na frente.","")</f>
        <v/>
      </c>
      <c r="N230" s="2">
        <f>N229+IF(LEN($X$230)&gt;0,1,0)</f>
        <v/>
      </c>
      <c r="O230" s="2">
        <f>O229+IF(LEN($Y$230)&gt;0,1,0)</f>
        <v/>
      </c>
      <c r="P230" s="2">
        <f>P229+IF(LEN($Z$230)&gt;0,1,0)</f>
        <v/>
      </c>
      <c r="Q230" s="2">
        <f>Q229+IF(LEN($AA$230)&gt;0,1,0)</f>
        <v/>
      </c>
      <c r="R230" s="2">
        <f>R229+IF(LEN($AB$230)&gt;0,1,0)</f>
        <v/>
      </c>
      <c r="S230" s="2">
        <f>S229+IF(LEN($AC$230)&gt;0,1,0)</f>
        <v/>
      </c>
      <c r="T230" s="2">
        <f>T229+IF(LEN($AD$230)&gt;0,1,0)</f>
        <v/>
      </c>
      <c r="X230" s="2">
        <f>IF(ISERROR($B$230),"",IF(ISBLANK($B$230),"",$B$230))</f>
        <v/>
      </c>
      <c r="Y230" s="2">
        <f>IF(ISERROR($C$230),"",IF(ISBLANK($C$230),"",$C$230))</f>
        <v/>
      </c>
      <c r="Z230" s="2">
        <f>IF(ISERROR($D$230),"",IF(ISBLANK($D$230),"",$D$230))</f>
        <v/>
      </c>
      <c r="AA230" s="2">
        <f>IF(ISERROR($E$230),"",IF(ISBLANK($E$230),"",$E$230))</f>
        <v/>
      </c>
      <c r="AB230" s="2">
        <f>IF(ISERROR($F$230),"",IF(ISBLANK($F$230),"",$F$230))</f>
        <v/>
      </c>
      <c r="AC230" s="2">
        <f>IF(ISERROR($G$230),"",IF(ISBLANK($G$230),"",$G$230))</f>
        <v/>
      </c>
      <c r="AD230" s="2">
        <f>IF(ISERROR($H$230),"",IF(ISBLANK($H$230),"",$H$230))</f>
        <v/>
      </c>
      <c r="AG230" s="2">
        <f>ISERROR($B$230)*1+ISERROR($C$230)*1+ISERROR($D$230)*1+ISERROR($E$230)*1+ISERROR($F$230)*1+ISERROR($G$230)*1+ISERROR($H$230)*1</f>
        <v/>
      </c>
    </row>
    <row r="231" ht="26" customHeight="1">
      <c r="B231" s="33" t="n"/>
      <c r="C231" s="4" t="n"/>
      <c r="D231" s="4" t="n"/>
      <c r="E231" s="4" t="n"/>
      <c r="F231" s="4" t="n"/>
      <c r="G231" s="4" t="n"/>
      <c r="H231" s="4" t="n"/>
      <c r="K231" s="19">
        <f>IF(AG231&gt;0,"O Google leu como fórmula: digite de novo com ' na frente.","")</f>
        <v/>
      </c>
      <c r="N231" s="2">
        <f>N230+IF(LEN($X$231)&gt;0,1,0)</f>
        <v/>
      </c>
      <c r="O231" s="2">
        <f>O230+IF(LEN($Y$231)&gt;0,1,0)</f>
        <v/>
      </c>
      <c r="P231" s="2">
        <f>P230+IF(LEN($Z$231)&gt;0,1,0)</f>
        <v/>
      </c>
      <c r="Q231" s="2">
        <f>Q230+IF(LEN($AA$231)&gt;0,1,0)</f>
        <v/>
      </c>
      <c r="R231" s="2">
        <f>R230+IF(LEN($AB$231)&gt;0,1,0)</f>
        <v/>
      </c>
      <c r="S231" s="2">
        <f>S230+IF(LEN($AC$231)&gt;0,1,0)</f>
        <v/>
      </c>
      <c r="T231" s="2">
        <f>T230+IF(LEN($AD$231)&gt;0,1,0)</f>
        <v/>
      </c>
      <c r="X231" s="2">
        <f>IF(ISERROR($B$231),"",IF(ISBLANK($B$231),"",$B$231))</f>
        <v/>
      </c>
      <c r="Y231" s="2">
        <f>IF(ISERROR($C$231),"",IF(ISBLANK($C$231),"",$C$231))</f>
        <v/>
      </c>
      <c r="Z231" s="2">
        <f>IF(ISERROR($D$231),"",IF(ISBLANK($D$231),"",$D$231))</f>
        <v/>
      </c>
      <c r="AA231" s="2">
        <f>IF(ISERROR($E$231),"",IF(ISBLANK($E$231),"",$E$231))</f>
        <v/>
      </c>
      <c r="AB231" s="2">
        <f>IF(ISERROR($F$231),"",IF(ISBLANK($F$231),"",$F$231))</f>
        <v/>
      </c>
      <c r="AC231" s="2">
        <f>IF(ISERROR($G$231),"",IF(ISBLANK($G$231),"",$G$231))</f>
        <v/>
      </c>
      <c r="AD231" s="2">
        <f>IF(ISERROR($H$231),"",IF(ISBLANK($H$231),"",$H$231))</f>
        <v/>
      </c>
      <c r="AG231" s="2">
        <f>ISERROR($B$231)*1+ISERROR($C$231)*1+ISERROR($D$231)*1+ISERROR($E$231)*1+ISERROR($F$231)*1+ISERROR($G$231)*1+ISERROR($H$231)*1</f>
        <v/>
      </c>
    </row>
    <row r="232" ht="26" customHeight="1">
      <c r="B232" s="35" t="n"/>
      <c r="C232" s="29" t="n"/>
      <c r="D232" s="29" t="n"/>
      <c r="E232" s="29" t="n"/>
      <c r="F232" s="29" t="n"/>
      <c r="G232" s="29" t="n"/>
      <c r="H232" s="29" t="n"/>
      <c r="K232" s="19">
        <f>IF(AG232&gt;0,"O Google leu como fórmula: digite de novo com ' na frente.","")</f>
        <v/>
      </c>
      <c r="N232" s="2">
        <f>N231+IF(LEN($X$232)&gt;0,1,0)</f>
        <v/>
      </c>
      <c r="O232" s="2">
        <f>O231+IF(LEN($Y$232)&gt;0,1,0)</f>
        <v/>
      </c>
      <c r="P232" s="2">
        <f>P231+IF(LEN($Z$232)&gt;0,1,0)</f>
        <v/>
      </c>
      <c r="Q232" s="2">
        <f>Q231+IF(LEN($AA$232)&gt;0,1,0)</f>
        <v/>
      </c>
      <c r="R232" s="2">
        <f>R231+IF(LEN($AB$232)&gt;0,1,0)</f>
        <v/>
      </c>
      <c r="S232" s="2">
        <f>S231+IF(LEN($AC$232)&gt;0,1,0)</f>
        <v/>
      </c>
      <c r="T232" s="2">
        <f>T231+IF(LEN($AD$232)&gt;0,1,0)</f>
        <v/>
      </c>
      <c r="X232" s="2">
        <f>IF(ISERROR($B$232),"",IF(ISBLANK($B$232),"",$B$232))</f>
        <v/>
      </c>
      <c r="Y232" s="2">
        <f>IF(ISERROR($C$232),"",IF(ISBLANK($C$232),"",$C$232))</f>
        <v/>
      </c>
      <c r="Z232" s="2">
        <f>IF(ISERROR($D$232),"",IF(ISBLANK($D$232),"",$D$232))</f>
        <v/>
      </c>
      <c r="AA232" s="2">
        <f>IF(ISERROR($E$232),"",IF(ISBLANK($E$232),"",$E$232))</f>
        <v/>
      </c>
      <c r="AB232" s="2">
        <f>IF(ISERROR($F$232),"",IF(ISBLANK($F$232),"",$F$232))</f>
        <v/>
      </c>
      <c r="AC232" s="2">
        <f>IF(ISERROR($G$232),"",IF(ISBLANK($G$232),"",$G$232))</f>
        <v/>
      </c>
      <c r="AD232" s="2">
        <f>IF(ISERROR($H$232),"",IF(ISBLANK($H$232),"",$H$232))</f>
        <v/>
      </c>
      <c r="AG232" s="2">
        <f>ISERROR($B$232)*1+ISERROR($C$232)*1+ISERROR($D$232)*1+ISERROR($E$232)*1+ISERROR($F$232)*1+ISERROR($G$232)*1+ISERROR($H$232)*1</f>
        <v/>
      </c>
    </row>
    <row r="233" ht="26" customHeight="1">
      <c r="B233" s="33" t="n"/>
      <c r="C233" s="4" t="n"/>
      <c r="D233" s="4" t="n"/>
      <c r="E233" s="4" t="n"/>
      <c r="F233" s="4" t="n"/>
      <c r="G233" s="4" t="n"/>
      <c r="H233" s="4" t="n"/>
      <c r="K233" s="19">
        <f>IF(AG233&gt;0,"O Google leu como fórmula: digite de novo com ' na frente.","")</f>
        <v/>
      </c>
      <c r="N233" s="2">
        <f>N232+IF(LEN($X$233)&gt;0,1,0)</f>
        <v/>
      </c>
      <c r="O233" s="2">
        <f>O232+IF(LEN($Y$233)&gt;0,1,0)</f>
        <v/>
      </c>
      <c r="P233" s="2">
        <f>P232+IF(LEN($Z$233)&gt;0,1,0)</f>
        <v/>
      </c>
      <c r="Q233" s="2">
        <f>Q232+IF(LEN($AA$233)&gt;0,1,0)</f>
        <v/>
      </c>
      <c r="R233" s="2">
        <f>R232+IF(LEN($AB$233)&gt;0,1,0)</f>
        <v/>
      </c>
      <c r="S233" s="2">
        <f>S232+IF(LEN($AC$233)&gt;0,1,0)</f>
        <v/>
      </c>
      <c r="T233" s="2">
        <f>T232+IF(LEN($AD$233)&gt;0,1,0)</f>
        <v/>
      </c>
      <c r="X233" s="2">
        <f>IF(ISERROR($B$233),"",IF(ISBLANK($B$233),"",$B$233))</f>
        <v/>
      </c>
      <c r="Y233" s="2">
        <f>IF(ISERROR($C$233),"",IF(ISBLANK($C$233),"",$C$233))</f>
        <v/>
      </c>
      <c r="Z233" s="2">
        <f>IF(ISERROR($D$233),"",IF(ISBLANK($D$233),"",$D$233))</f>
        <v/>
      </c>
      <c r="AA233" s="2">
        <f>IF(ISERROR($E$233),"",IF(ISBLANK($E$233),"",$E$233))</f>
        <v/>
      </c>
      <c r="AB233" s="2">
        <f>IF(ISERROR($F$233),"",IF(ISBLANK($F$233),"",$F$233))</f>
        <v/>
      </c>
      <c r="AC233" s="2">
        <f>IF(ISERROR($G$233),"",IF(ISBLANK($G$233),"",$G$233))</f>
        <v/>
      </c>
      <c r="AD233" s="2">
        <f>IF(ISERROR($H$233),"",IF(ISBLANK($H$233),"",$H$233))</f>
        <v/>
      </c>
      <c r="AG233" s="2">
        <f>ISERROR($B$233)*1+ISERROR($C$233)*1+ISERROR($D$233)*1+ISERROR($E$233)*1+ISERROR($F$233)*1+ISERROR($G$233)*1+ISERROR($H$233)*1</f>
        <v/>
      </c>
    </row>
    <row r="234"/>
    <row r="235" ht="20" customHeight="1">
      <c r="A235" s="13" t="inlineStr">
        <is>
          <t>Sobrenomes, epítetos, clãs e nomes escolhidos (05) — Sugestão da planilha — 100 vagas por lista</t>
        </is>
      </c>
    </row>
    <row r="236">
      <c r="A236" s="12" t="inlineStr">
        <is>
          <t>Apague para trocar, use as vagas vazias para ampliar. Não insira linhas: o contador corrido pularia a linha nova.</t>
        </is>
      </c>
    </row>
    <row r="237">
      <c r="A237" s="8" t="inlineStr">
        <is>
          <t>Lista</t>
        </is>
      </c>
      <c r="B237" s="8" t="inlineStr">
        <is>
          <t>Sobrenome — Humano</t>
        </is>
      </c>
      <c r="C237" s="8" t="inlineStr">
        <is>
          <t>Sobrenome — Xianzhouíta</t>
        </is>
      </c>
      <c r="D237" s="8" t="inlineStr">
        <is>
          <t>Sobrenome — Vidyadhara</t>
        </is>
      </c>
      <c r="E237" s="8" t="inlineStr">
        <is>
          <t>Sobrenome — Vulpes</t>
        </is>
      </c>
      <c r="F237" s="8" t="inlineStr">
        <is>
          <t>Sobrenome — Haloviano</t>
        </is>
      </c>
      <c r="G237" s="8" t="inlineStr">
        <is>
          <t>Sobrenome — Avginiano</t>
        </is>
      </c>
      <c r="H237" s="8" t="inlineStr">
        <is>
          <t>Sobrenome — Intellitron</t>
        </is>
      </c>
    </row>
    <row r="238" ht="26" customHeight="1">
      <c r="A238" s="9" t="inlineStr">
        <is>
          <t>Fonte</t>
        </is>
      </c>
      <c r="B238" s="14" t="inlineStr">
        <is>
          <t>Sugestão da planilha (estilo de 05, Humano)</t>
        </is>
      </c>
      <c r="C238" s="14" t="inlineStr">
        <is>
          <t>Sugestão da planilha (estilo de 05, Xianzhouíta)</t>
        </is>
      </c>
      <c r="D238" s="14" t="inlineStr">
        <is>
          <t>Sugestão da planilha (estilo de 05, Vidyadhara)</t>
        </is>
      </c>
      <c r="E238" s="14" t="inlineStr">
        <is>
          <t>Sugestão da planilha (estilo de 05, Vulpes)</t>
        </is>
      </c>
      <c r="F238" s="14" t="inlineStr">
        <is>
          <t>Sugestão da planilha (estilo de 05, Haloviano)</t>
        </is>
      </c>
      <c r="G238" s="14" t="inlineStr">
        <is>
          <t>Sugestão da planilha (estilo de 05, Avginiano)</t>
        </is>
      </c>
      <c r="H238" s="14" t="inlineStr">
        <is>
          <t>Sugestão da planilha (estilo de 05, Intellitron)</t>
        </is>
      </c>
    </row>
    <row r="239" ht="26" customHeight="1">
      <c r="A239" s="21" t="inlineStr">
        <is>
          <t>Tamanho da lista</t>
        </is>
      </c>
      <c r="B239" s="23">
        <f>N348</f>
        <v/>
      </c>
      <c r="C239" s="23">
        <f>O348</f>
        <v/>
      </c>
      <c r="D239" s="23">
        <f>P348</f>
        <v/>
      </c>
      <c r="E239" s="23">
        <f>Q348</f>
        <v/>
      </c>
      <c r="F239" s="23">
        <f>R348</f>
        <v/>
      </c>
      <c r="G239" s="23">
        <f>S348</f>
        <v/>
      </c>
      <c r="H239" s="23">
        <f>T348</f>
        <v/>
      </c>
    </row>
    <row r="240" ht="26" customHeight="1">
      <c r="A240" s="9" t="inlineStr">
        <is>
          <t>Aviso</t>
        </is>
      </c>
      <c r="B240" s="19">
        <f>IF(N348&gt;=100,"Lista cheia (100): use Minhas Tabelas para uma lista maior","")</f>
        <v/>
      </c>
      <c r="C240" s="19">
        <f>IF(O348&gt;=100,"Lista cheia (100): use Minhas Tabelas para uma lista maior","")</f>
        <v/>
      </c>
      <c r="D240" s="19">
        <f>IF(P348&gt;=100,"Lista cheia (100): use Minhas Tabelas para uma lista maior","")</f>
        <v/>
      </c>
      <c r="E240" s="19">
        <f>IF(Q348&gt;=100,"Lista cheia (100): use Minhas Tabelas para uma lista maior","")</f>
        <v/>
      </c>
      <c r="F240" s="19">
        <f>IF(R348&gt;=100,"Lista cheia (100): use Minhas Tabelas para uma lista maior","")</f>
        <v/>
      </c>
      <c r="G240" s="19">
        <f>IF(S348&gt;=100,"Lista cheia (100): use Minhas Tabelas para uma lista maior","")</f>
        <v/>
      </c>
      <c r="H240" s="19">
        <f>IF(T348&gt;=100,"Lista cheia (100): use Minhas Tabelas para uma lista maior","")</f>
        <v/>
      </c>
    </row>
    <row r="241" ht="15" customHeight="1">
      <c r="B241" s="8" t="inlineStr">
        <is>
          <t>Sobrenome — Humano</t>
        </is>
      </c>
      <c r="C241" s="8" t="inlineStr">
        <is>
          <t>Sobrenome — Xianzhouíta</t>
        </is>
      </c>
      <c r="D241" s="8" t="inlineStr">
        <is>
          <t>Sobrenome — Vidyadhara</t>
        </is>
      </c>
      <c r="E241" s="8" t="inlineStr">
        <is>
          <t>Sobrenome — Vulpes</t>
        </is>
      </c>
      <c r="F241" s="8" t="inlineStr">
        <is>
          <t>Sobrenome — Haloviano</t>
        </is>
      </c>
      <c r="G241" s="8" t="inlineStr">
        <is>
          <t>Sobrenome — Avginiano</t>
        </is>
      </c>
      <c r="H241" s="8" t="inlineStr">
        <is>
          <t>Sobrenome — Intellitron</t>
        </is>
      </c>
      <c r="N241" s="2">
        <f>0</f>
        <v/>
      </c>
      <c r="O241" s="2">
        <f>0</f>
        <v/>
      </c>
      <c r="P241" s="2">
        <f>0</f>
        <v/>
      </c>
      <c r="Q241" s="2">
        <f>0</f>
        <v/>
      </c>
      <c r="R241" s="2">
        <f>0</f>
        <v/>
      </c>
      <c r="S241" s="2">
        <f>0</f>
        <v/>
      </c>
      <c r="T241" s="2">
        <f>0</f>
        <v/>
      </c>
    </row>
    <row r="242" ht="26" customHeight="1">
      <c r="B242" s="33" t="inlineStr">
        <is>
          <t>Okonkwo-Reis</t>
        </is>
      </c>
      <c r="C242" s="4" t="inlineStr">
        <is>
          <t>Shen</t>
        </is>
      </c>
      <c r="D242" s="4" t="inlineStr">
        <is>
          <t>da Maré Funda</t>
        </is>
      </c>
      <c r="E242" s="4" t="inlineStr">
        <is>
          <t>Sete Caudas</t>
        </is>
      </c>
      <c r="F242" s="4" t="inlineStr">
        <is>
          <t>Canto da Aurora</t>
        </is>
      </c>
      <c r="G242" s="4" t="inlineStr">
        <is>
          <t>Tenda Vermelha</t>
        </is>
      </c>
      <c r="H242" s="4" t="inlineStr">
        <is>
          <t>Vigília</t>
        </is>
      </c>
      <c r="K242" s="19">
        <f>IF(AG242&gt;0,"O Google leu como fórmula: digite de novo com ' na frente.","")</f>
        <v/>
      </c>
      <c r="N242" s="2">
        <f>N241+IF(LEN($X$242)&gt;0,1,0)</f>
        <v/>
      </c>
      <c r="O242" s="2">
        <f>O241+IF(LEN($Y$242)&gt;0,1,0)</f>
        <v/>
      </c>
      <c r="P242" s="2">
        <f>P241+IF(LEN($Z$242)&gt;0,1,0)</f>
        <v/>
      </c>
      <c r="Q242" s="2">
        <f>Q241+IF(LEN($AA$242)&gt;0,1,0)</f>
        <v/>
      </c>
      <c r="R242" s="2">
        <f>R241+IF(LEN($AB$242)&gt;0,1,0)</f>
        <v/>
      </c>
      <c r="S242" s="2">
        <f>S241+IF(LEN($AC$242)&gt;0,1,0)</f>
        <v/>
      </c>
      <c r="T242" s="2">
        <f>T241+IF(LEN($AD$242)&gt;0,1,0)</f>
        <v/>
      </c>
      <c r="X242" s="2">
        <f>IF(ISERROR($B$242),"",IF(ISBLANK($B$242),"",$B$242))</f>
        <v/>
      </c>
      <c r="Y242" s="2">
        <f>IF(ISERROR($C$242),"",IF(ISBLANK($C$242),"",$C$242))</f>
        <v/>
      </c>
      <c r="Z242" s="2">
        <f>IF(ISERROR($D$242),"",IF(ISBLANK($D$242),"",$D$242))</f>
        <v/>
      </c>
      <c r="AA242" s="2">
        <f>IF(ISERROR($E$242),"",IF(ISBLANK($E$242),"",$E$242))</f>
        <v/>
      </c>
      <c r="AB242" s="2">
        <f>IF(ISERROR($F$242),"",IF(ISBLANK($F$242),"",$F$242))</f>
        <v/>
      </c>
      <c r="AC242" s="2">
        <f>IF(ISERROR($G$242),"",IF(ISBLANK($G$242),"",$G$242))</f>
        <v/>
      </c>
      <c r="AD242" s="2">
        <f>IF(ISERROR($H$242),"",IF(ISBLANK($H$242),"",$H$242))</f>
        <v/>
      </c>
      <c r="AG242" s="2">
        <f>ISERROR($B$242)*1+ISERROR($C$242)*1+ISERROR($D$242)*1+ISERROR($E$242)*1+ISERROR($F$242)*1+ISERROR($G$242)*1+ISERROR($H$242)*1</f>
        <v/>
      </c>
    </row>
    <row r="243" ht="26" customHeight="1">
      <c r="B243" s="35" t="inlineStr">
        <is>
          <t>Vasquez</t>
        </is>
      </c>
      <c r="C243" s="29" t="inlineStr">
        <is>
          <t>Lou</t>
        </is>
      </c>
      <c r="D243" s="29" t="inlineStr">
        <is>
          <t>do Recife Calado</t>
        </is>
      </c>
      <c r="E243" s="29" t="inlineStr">
        <is>
          <t>Cauda de Cobre</t>
        </is>
      </c>
      <c r="F243" s="29" t="inlineStr">
        <is>
          <t>Coro Distante</t>
        </is>
      </c>
      <c r="G243" s="29" t="inlineStr">
        <is>
          <t>Caravana do Sal</t>
        </is>
      </c>
      <c r="H243" s="29" t="inlineStr">
        <is>
          <t>Constância</t>
        </is>
      </c>
      <c r="K243" s="19">
        <f>IF(AG243&gt;0,"O Google leu como fórmula: digite de novo com ' na frente.","")</f>
        <v/>
      </c>
      <c r="N243" s="2">
        <f>N242+IF(LEN($X$243)&gt;0,1,0)</f>
        <v/>
      </c>
      <c r="O243" s="2">
        <f>O242+IF(LEN($Y$243)&gt;0,1,0)</f>
        <v/>
      </c>
      <c r="P243" s="2">
        <f>P242+IF(LEN($Z$243)&gt;0,1,0)</f>
        <v/>
      </c>
      <c r="Q243" s="2">
        <f>Q242+IF(LEN($AA$243)&gt;0,1,0)</f>
        <v/>
      </c>
      <c r="R243" s="2">
        <f>R242+IF(LEN($AB$243)&gt;0,1,0)</f>
        <v/>
      </c>
      <c r="S243" s="2">
        <f>S242+IF(LEN($AC$243)&gt;0,1,0)</f>
        <v/>
      </c>
      <c r="T243" s="2">
        <f>T242+IF(LEN($AD$243)&gt;0,1,0)</f>
        <v/>
      </c>
      <c r="X243" s="2">
        <f>IF(ISERROR($B$243),"",IF(ISBLANK($B$243),"",$B$243))</f>
        <v/>
      </c>
      <c r="Y243" s="2">
        <f>IF(ISERROR($C$243),"",IF(ISBLANK($C$243),"",$C$243))</f>
        <v/>
      </c>
      <c r="Z243" s="2">
        <f>IF(ISERROR($D$243),"",IF(ISBLANK($D$243),"",$D$243))</f>
        <v/>
      </c>
      <c r="AA243" s="2">
        <f>IF(ISERROR($E$243),"",IF(ISBLANK($E$243),"",$E$243))</f>
        <v/>
      </c>
      <c r="AB243" s="2">
        <f>IF(ISERROR($F$243),"",IF(ISBLANK($F$243),"",$F$243))</f>
        <v/>
      </c>
      <c r="AC243" s="2">
        <f>IF(ISERROR($G$243),"",IF(ISBLANK($G$243),"",$G$243))</f>
        <v/>
      </c>
      <c r="AD243" s="2">
        <f>IF(ISERROR($H$243),"",IF(ISBLANK($H$243),"",$H$243))</f>
        <v/>
      </c>
      <c r="AG243" s="2">
        <f>ISERROR($B$243)*1+ISERROR($C$243)*1+ISERROR($D$243)*1+ISERROR($E$243)*1+ISERROR($F$243)*1+ISERROR($G$243)*1+ISERROR($H$243)*1</f>
        <v/>
      </c>
    </row>
    <row r="244" ht="26" customHeight="1">
      <c r="B244" s="33" t="inlineStr">
        <is>
          <t>Lindqvist</t>
        </is>
      </c>
      <c r="C244" s="4" t="inlineStr">
        <is>
          <t>Qian</t>
        </is>
      </c>
      <c r="D244" s="4" t="inlineStr">
        <is>
          <t>da Corrente Fria</t>
        </is>
      </c>
      <c r="E244" s="4" t="inlineStr">
        <is>
          <t>Balança Fiel</t>
        </is>
      </c>
      <c r="F244" s="4" t="inlineStr">
        <is>
          <t>Nota Suspensa</t>
        </is>
      </c>
      <c r="G244" s="4" t="inlineStr">
        <is>
          <t>Trilha Cinzenta</t>
        </is>
      </c>
      <c r="H244" s="4" t="inlineStr">
        <is>
          <t>Silêncio</t>
        </is>
      </c>
      <c r="K244" s="19">
        <f>IF(AG244&gt;0,"O Google leu como fórmula: digite de novo com ' na frente.","")</f>
        <v/>
      </c>
      <c r="N244" s="2">
        <f>N243+IF(LEN($X$244)&gt;0,1,0)</f>
        <v/>
      </c>
      <c r="O244" s="2">
        <f>O243+IF(LEN($Y$244)&gt;0,1,0)</f>
        <v/>
      </c>
      <c r="P244" s="2">
        <f>P243+IF(LEN($Z$244)&gt;0,1,0)</f>
        <v/>
      </c>
      <c r="Q244" s="2">
        <f>Q243+IF(LEN($AA$244)&gt;0,1,0)</f>
        <v/>
      </c>
      <c r="R244" s="2">
        <f>R243+IF(LEN($AB$244)&gt;0,1,0)</f>
        <v/>
      </c>
      <c r="S244" s="2">
        <f>S243+IF(LEN($AC$244)&gt;0,1,0)</f>
        <v/>
      </c>
      <c r="T244" s="2">
        <f>T243+IF(LEN($AD$244)&gt;0,1,0)</f>
        <v/>
      </c>
      <c r="X244" s="2">
        <f>IF(ISERROR($B$244),"",IF(ISBLANK($B$244),"",$B$244))</f>
        <v/>
      </c>
      <c r="Y244" s="2">
        <f>IF(ISERROR($C$244),"",IF(ISBLANK($C$244),"",$C$244))</f>
        <v/>
      </c>
      <c r="Z244" s="2">
        <f>IF(ISERROR($D$244),"",IF(ISBLANK($D$244),"",$D$244))</f>
        <v/>
      </c>
      <c r="AA244" s="2">
        <f>IF(ISERROR($E$244),"",IF(ISBLANK($E$244),"",$E$244))</f>
        <v/>
      </c>
      <c r="AB244" s="2">
        <f>IF(ISERROR($F$244),"",IF(ISBLANK($F$244),"",$F$244))</f>
        <v/>
      </c>
      <c r="AC244" s="2">
        <f>IF(ISERROR($G$244),"",IF(ISBLANK($G$244),"",$G$244))</f>
        <v/>
      </c>
      <c r="AD244" s="2">
        <f>IF(ISERROR($H$244),"",IF(ISBLANK($H$244),"",$H$244))</f>
        <v/>
      </c>
      <c r="AG244" s="2">
        <f>ISERROR($B$244)*1+ISERROR($C$244)*1+ISERROR($D$244)*1+ISERROR($E$244)*1+ISERROR($F$244)*1+ISERROR($G$244)*1+ISERROR($H$244)*1</f>
        <v/>
      </c>
    </row>
    <row r="245" ht="26" customHeight="1">
      <c r="B245" s="35" t="inlineStr">
        <is>
          <t>Moraes</t>
        </is>
      </c>
      <c r="C245" s="29" t="inlineStr">
        <is>
          <t>Guo</t>
        </is>
      </c>
      <c r="D245" s="29" t="inlineStr">
        <is>
          <t>das Águas Paradas</t>
        </is>
      </c>
      <c r="E245" s="29" t="inlineStr">
        <is>
          <t>Preço Justo</t>
        </is>
      </c>
      <c r="F245" s="29" t="inlineStr">
        <is>
          <t>Hino das Asas</t>
        </is>
      </c>
      <c r="G245" s="29" t="inlineStr">
        <is>
          <t>Poeira Viva</t>
        </is>
      </c>
      <c r="H245" s="29" t="inlineStr">
        <is>
          <t>Prudência</t>
        </is>
      </c>
      <c r="K245" s="19">
        <f>IF(AG245&gt;0,"O Google leu como fórmula: digite de novo com ' na frente.","")</f>
        <v/>
      </c>
      <c r="N245" s="2">
        <f>N244+IF(LEN($X$245)&gt;0,1,0)</f>
        <v/>
      </c>
      <c r="O245" s="2">
        <f>O244+IF(LEN($Y$245)&gt;0,1,0)</f>
        <v/>
      </c>
      <c r="P245" s="2">
        <f>P244+IF(LEN($Z$245)&gt;0,1,0)</f>
        <v/>
      </c>
      <c r="Q245" s="2">
        <f>Q244+IF(LEN($AA$245)&gt;0,1,0)</f>
        <v/>
      </c>
      <c r="R245" s="2">
        <f>R244+IF(LEN($AB$245)&gt;0,1,0)</f>
        <v/>
      </c>
      <c r="S245" s="2">
        <f>S244+IF(LEN($AC$245)&gt;0,1,0)</f>
        <v/>
      </c>
      <c r="T245" s="2">
        <f>T244+IF(LEN($AD$245)&gt;0,1,0)</f>
        <v/>
      </c>
      <c r="X245" s="2">
        <f>IF(ISERROR($B$245),"",IF(ISBLANK($B$245),"",$B$245))</f>
        <v/>
      </c>
      <c r="Y245" s="2">
        <f>IF(ISERROR($C$245),"",IF(ISBLANK($C$245),"",$C$245))</f>
        <v/>
      </c>
      <c r="Z245" s="2">
        <f>IF(ISERROR($D$245),"",IF(ISBLANK($D$245),"",$D$245))</f>
        <v/>
      </c>
      <c r="AA245" s="2">
        <f>IF(ISERROR($E$245),"",IF(ISBLANK($E$245),"",$E$245))</f>
        <v/>
      </c>
      <c r="AB245" s="2">
        <f>IF(ISERROR($F$245),"",IF(ISBLANK($F$245),"",$F$245))</f>
        <v/>
      </c>
      <c r="AC245" s="2">
        <f>IF(ISERROR($G$245),"",IF(ISBLANK($G$245),"",$G$245))</f>
        <v/>
      </c>
      <c r="AD245" s="2">
        <f>IF(ISERROR($H$245),"",IF(ISBLANK($H$245),"",$H$245))</f>
        <v/>
      </c>
      <c r="AG245" s="2">
        <f>ISERROR($B$245)*1+ISERROR($C$245)*1+ISERROR($D$245)*1+ISERROR($E$245)*1+ISERROR($F$245)*1+ISERROR($G$245)*1+ISERROR($H$245)*1</f>
        <v/>
      </c>
    </row>
    <row r="246" ht="26" customHeight="1">
      <c r="B246" s="33" t="inlineStr">
        <is>
          <t>Tanaka-Oduya</t>
        </is>
      </c>
      <c r="C246" s="4" t="inlineStr">
        <is>
          <t>Cen</t>
        </is>
      </c>
      <c r="D246" s="4" t="inlineStr">
        <is>
          <t>do Abismo Azul</t>
        </is>
      </c>
      <c r="E246" s="4" t="inlineStr">
        <is>
          <t>Moeda Dobrada</t>
        </is>
      </c>
      <c r="F246" s="4" t="inlineStr">
        <is>
          <t>Balada Lenta</t>
        </is>
      </c>
      <c r="G246" s="4" t="inlineStr">
        <is>
          <t>Fogueira Sem Chão</t>
        </is>
      </c>
      <c r="H246" s="4" t="inlineStr">
        <is>
          <t>Aurora</t>
        </is>
      </c>
      <c r="K246" s="19">
        <f>IF(AG246&gt;0,"O Google leu como fórmula: digite de novo com ' na frente.","")</f>
        <v/>
      </c>
      <c r="N246" s="2">
        <f>N245+IF(LEN($X$246)&gt;0,1,0)</f>
        <v/>
      </c>
      <c r="O246" s="2">
        <f>O245+IF(LEN($Y$246)&gt;0,1,0)</f>
        <v/>
      </c>
      <c r="P246" s="2">
        <f>P245+IF(LEN($Z$246)&gt;0,1,0)</f>
        <v/>
      </c>
      <c r="Q246" s="2">
        <f>Q245+IF(LEN($AA$246)&gt;0,1,0)</f>
        <v/>
      </c>
      <c r="R246" s="2">
        <f>R245+IF(LEN($AB$246)&gt;0,1,0)</f>
        <v/>
      </c>
      <c r="S246" s="2">
        <f>S245+IF(LEN($AC$246)&gt;0,1,0)</f>
        <v/>
      </c>
      <c r="T246" s="2">
        <f>T245+IF(LEN($AD$246)&gt;0,1,0)</f>
        <v/>
      </c>
      <c r="X246" s="2">
        <f>IF(ISERROR($B$246),"",IF(ISBLANK($B$246),"",$B$246))</f>
        <v/>
      </c>
      <c r="Y246" s="2">
        <f>IF(ISERROR($C$246),"",IF(ISBLANK($C$246),"",$C$246))</f>
        <v/>
      </c>
      <c r="Z246" s="2">
        <f>IF(ISERROR($D$246),"",IF(ISBLANK($D$246),"",$D$246))</f>
        <v/>
      </c>
      <c r="AA246" s="2">
        <f>IF(ISERROR($E$246),"",IF(ISBLANK($E$246),"",$E$246))</f>
        <v/>
      </c>
      <c r="AB246" s="2">
        <f>IF(ISERROR($F$246),"",IF(ISBLANK($F$246),"",$F$246))</f>
        <v/>
      </c>
      <c r="AC246" s="2">
        <f>IF(ISERROR($G$246),"",IF(ISBLANK($G$246),"",$G$246))</f>
        <v/>
      </c>
      <c r="AD246" s="2">
        <f>IF(ISERROR($H$246),"",IF(ISBLANK($H$246),"",$H$246))</f>
        <v/>
      </c>
      <c r="AG246" s="2">
        <f>ISERROR($B$246)*1+ISERROR($C$246)*1+ISERROR($D$246)*1+ISERROR($E$246)*1+ISERROR($F$246)*1+ISERROR($G$246)*1+ISERROR($H$246)*1</f>
        <v/>
      </c>
    </row>
    <row r="247" ht="26" customHeight="1">
      <c r="B247" s="35" t="inlineStr">
        <is>
          <t>Brandão</t>
        </is>
      </c>
      <c r="C247" s="29" t="inlineStr">
        <is>
          <t>Pei</t>
        </is>
      </c>
      <c r="D247" s="29" t="inlineStr">
        <is>
          <t>da Espuma Antiga</t>
        </is>
      </c>
      <c r="E247" s="29" t="inlineStr">
        <is>
          <t>Cauda Ruiva</t>
        </is>
      </c>
      <c r="F247" s="29" t="inlineStr">
        <is>
          <t>Refrão de Prata</t>
        </is>
      </c>
      <c r="G247" s="29" t="inlineStr">
        <is>
          <t>Estrada Longa</t>
        </is>
      </c>
      <c r="H247" s="29" t="inlineStr">
        <is>
          <t>Engrenagem</t>
        </is>
      </c>
      <c r="K247" s="19">
        <f>IF(AG247&gt;0,"O Google leu como fórmula: digite de novo com ' na frente.","")</f>
        <v/>
      </c>
      <c r="N247" s="2">
        <f>N246+IF(LEN($X$247)&gt;0,1,0)</f>
        <v/>
      </c>
      <c r="O247" s="2">
        <f>O246+IF(LEN($Y$247)&gt;0,1,0)</f>
        <v/>
      </c>
      <c r="P247" s="2">
        <f>P246+IF(LEN($Z$247)&gt;0,1,0)</f>
        <v/>
      </c>
      <c r="Q247" s="2">
        <f>Q246+IF(LEN($AA$247)&gt;0,1,0)</f>
        <v/>
      </c>
      <c r="R247" s="2">
        <f>R246+IF(LEN($AB$247)&gt;0,1,0)</f>
        <v/>
      </c>
      <c r="S247" s="2">
        <f>S246+IF(LEN($AC$247)&gt;0,1,0)</f>
        <v/>
      </c>
      <c r="T247" s="2">
        <f>T246+IF(LEN($AD$247)&gt;0,1,0)</f>
        <v/>
      </c>
      <c r="X247" s="2">
        <f>IF(ISERROR($B$247),"",IF(ISBLANK($B$247),"",$B$247))</f>
        <v/>
      </c>
      <c r="Y247" s="2">
        <f>IF(ISERROR($C$247),"",IF(ISBLANK($C$247),"",$C$247))</f>
        <v/>
      </c>
      <c r="Z247" s="2">
        <f>IF(ISERROR($D$247),"",IF(ISBLANK($D$247),"",$D$247))</f>
        <v/>
      </c>
      <c r="AA247" s="2">
        <f>IF(ISERROR($E$247),"",IF(ISBLANK($E$247),"",$E$247))</f>
        <v/>
      </c>
      <c r="AB247" s="2">
        <f>IF(ISERROR($F$247),"",IF(ISBLANK($F$247),"",$F$247))</f>
        <v/>
      </c>
      <c r="AC247" s="2">
        <f>IF(ISERROR($G$247),"",IF(ISBLANK($G$247),"",$G$247))</f>
        <v/>
      </c>
      <c r="AD247" s="2">
        <f>IF(ISERROR($H$247),"",IF(ISBLANK($H$247),"",$H$247))</f>
        <v/>
      </c>
      <c r="AG247" s="2">
        <f>ISERROR($B$247)*1+ISERROR($C$247)*1+ISERROR($D$247)*1+ISERROR($E$247)*1+ISERROR($F$247)*1+ISERROR($G$247)*1+ISERROR($H$247)*1</f>
        <v/>
      </c>
    </row>
    <row r="248" ht="26" customHeight="1">
      <c r="B248" s="33" t="inlineStr">
        <is>
          <t>Kowalczyk</t>
        </is>
      </c>
      <c r="C248" s="4" t="inlineStr">
        <is>
          <t>Xu</t>
        </is>
      </c>
      <c r="D248" s="4" t="inlineStr">
        <is>
          <t>do Poço de Pérolas</t>
        </is>
      </c>
      <c r="E248" s="4" t="inlineStr">
        <is>
          <t>Pelo de Prata</t>
        </is>
      </c>
      <c r="F248" s="4" t="inlineStr">
        <is>
          <t>Voz do Halo</t>
        </is>
      </c>
      <c r="G248" s="4" t="inlineStr">
        <is>
          <t>Rebanho de Estrelas</t>
        </is>
      </c>
      <c r="H248" s="4" t="inlineStr">
        <is>
          <t>Lembrança</t>
        </is>
      </c>
      <c r="K248" s="19">
        <f>IF(AG248&gt;0,"O Google leu como fórmula: digite de novo com ' na frente.","")</f>
        <v/>
      </c>
      <c r="N248" s="2">
        <f>N247+IF(LEN($X$248)&gt;0,1,0)</f>
        <v/>
      </c>
      <c r="O248" s="2">
        <f>O247+IF(LEN($Y$248)&gt;0,1,0)</f>
        <v/>
      </c>
      <c r="P248" s="2">
        <f>P247+IF(LEN($Z$248)&gt;0,1,0)</f>
        <v/>
      </c>
      <c r="Q248" s="2">
        <f>Q247+IF(LEN($AA$248)&gt;0,1,0)</f>
        <v/>
      </c>
      <c r="R248" s="2">
        <f>R247+IF(LEN($AB$248)&gt;0,1,0)</f>
        <v/>
      </c>
      <c r="S248" s="2">
        <f>S247+IF(LEN($AC$248)&gt;0,1,0)</f>
        <v/>
      </c>
      <c r="T248" s="2">
        <f>T247+IF(LEN($AD$248)&gt;0,1,0)</f>
        <v/>
      </c>
      <c r="X248" s="2">
        <f>IF(ISERROR($B$248),"",IF(ISBLANK($B$248),"",$B$248))</f>
        <v/>
      </c>
      <c r="Y248" s="2">
        <f>IF(ISERROR($C$248),"",IF(ISBLANK($C$248),"",$C$248))</f>
        <v/>
      </c>
      <c r="Z248" s="2">
        <f>IF(ISERROR($D$248),"",IF(ISBLANK($D$248),"",$D$248))</f>
        <v/>
      </c>
      <c r="AA248" s="2">
        <f>IF(ISERROR($E$248),"",IF(ISBLANK($E$248),"",$E$248))</f>
        <v/>
      </c>
      <c r="AB248" s="2">
        <f>IF(ISERROR($F$248),"",IF(ISBLANK($F$248),"",$F$248))</f>
        <v/>
      </c>
      <c r="AC248" s="2">
        <f>IF(ISERROR($G$248),"",IF(ISBLANK($G$248),"",$G$248))</f>
        <v/>
      </c>
      <c r="AD248" s="2">
        <f>IF(ISERROR($H$248),"",IF(ISBLANK($H$248),"",$H$248))</f>
        <v/>
      </c>
      <c r="AG248" s="2">
        <f>ISERROR($B$248)*1+ISERROR($C$248)*1+ISERROR($D$248)*1+ISERROR($E$248)*1+ISERROR($F$248)*1+ISERROR($G$248)*1+ISERROR($H$248)*1</f>
        <v/>
      </c>
    </row>
    <row r="249" ht="26" customHeight="1">
      <c r="B249" s="35" t="inlineStr">
        <is>
          <t>Haddad</t>
        </is>
      </c>
      <c r="C249" s="29" t="inlineStr">
        <is>
          <t>Tang</t>
        </is>
      </c>
      <c r="D249" s="29" t="inlineStr">
        <is>
          <t>da Baía Sem Nome</t>
        </is>
      </c>
      <c r="E249" s="29" t="inlineStr">
        <is>
          <t>Bolsa Funda</t>
        </is>
      </c>
      <c r="F249" s="29" t="inlineStr">
        <is>
          <t>Acorde Aberto</t>
        </is>
      </c>
      <c r="G249" s="29" t="inlineStr">
        <is>
          <t>Vento de Passagem</t>
        </is>
      </c>
      <c r="H249" s="29" t="inlineStr">
        <is>
          <t>Sereno</t>
        </is>
      </c>
      <c r="K249" s="19">
        <f>IF(AG249&gt;0,"O Google leu como fórmula: digite de novo com ' na frente.","")</f>
        <v/>
      </c>
      <c r="N249" s="2">
        <f>N248+IF(LEN($X$249)&gt;0,1,0)</f>
        <v/>
      </c>
      <c r="O249" s="2">
        <f>O248+IF(LEN($Y$249)&gt;0,1,0)</f>
        <v/>
      </c>
      <c r="P249" s="2">
        <f>P248+IF(LEN($Z$249)&gt;0,1,0)</f>
        <v/>
      </c>
      <c r="Q249" s="2">
        <f>Q248+IF(LEN($AA$249)&gt;0,1,0)</f>
        <v/>
      </c>
      <c r="R249" s="2">
        <f>R248+IF(LEN($AB$249)&gt;0,1,0)</f>
        <v/>
      </c>
      <c r="S249" s="2">
        <f>S248+IF(LEN($AC$249)&gt;0,1,0)</f>
        <v/>
      </c>
      <c r="T249" s="2">
        <f>T248+IF(LEN($AD$249)&gt;0,1,0)</f>
        <v/>
      </c>
      <c r="X249" s="2">
        <f>IF(ISERROR($B$249),"",IF(ISBLANK($B$249),"",$B$249))</f>
        <v/>
      </c>
      <c r="Y249" s="2">
        <f>IF(ISERROR($C$249),"",IF(ISBLANK($C$249),"",$C$249))</f>
        <v/>
      </c>
      <c r="Z249" s="2">
        <f>IF(ISERROR($D$249),"",IF(ISBLANK($D$249),"",$D$249))</f>
        <v/>
      </c>
      <c r="AA249" s="2">
        <f>IF(ISERROR($E$249),"",IF(ISBLANK($E$249),"",$E$249))</f>
        <v/>
      </c>
      <c r="AB249" s="2">
        <f>IF(ISERROR($F$249),"",IF(ISBLANK($F$249),"",$F$249))</f>
        <v/>
      </c>
      <c r="AC249" s="2">
        <f>IF(ISERROR($G$249),"",IF(ISBLANK($G$249),"",$G$249))</f>
        <v/>
      </c>
      <c r="AD249" s="2">
        <f>IF(ISERROR($H$249),"",IF(ISBLANK($H$249),"",$H$249))</f>
        <v/>
      </c>
      <c r="AG249" s="2">
        <f>ISERROR($B$249)*1+ISERROR($C$249)*1+ISERROR($D$249)*1+ISERROR($E$249)*1+ISERROR($F$249)*1+ISERROR($G$249)*1+ISERROR($H$249)*1</f>
        <v/>
      </c>
    </row>
    <row r="250" ht="26" customHeight="1">
      <c r="B250" s="33" t="inlineStr">
        <is>
          <t>Fonseca</t>
        </is>
      </c>
      <c r="C250" s="4" t="inlineStr">
        <is>
          <t>Zou</t>
        </is>
      </c>
      <c r="D250" s="4" t="inlineStr">
        <is>
          <t>da Onda Quebrada</t>
        </is>
      </c>
      <c r="E250" s="4" t="inlineStr">
        <is>
          <t>Conta Certa</t>
        </is>
      </c>
      <c r="F250" s="4" t="inlineStr">
        <is>
          <t>Cantiga do Vento</t>
        </is>
      </c>
      <c r="G250" s="4" t="inlineStr">
        <is>
          <t>Último Oásis</t>
        </is>
      </c>
      <c r="H250" s="4" t="inlineStr">
        <is>
          <t>Cuidado</t>
        </is>
      </c>
      <c r="K250" s="19">
        <f>IF(AG250&gt;0,"O Google leu como fórmula: digite de novo com ' na frente.","")</f>
        <v/>
      </c>
      <c r="N250" s="2">
        <f>N249+IF(LEN($X$250)&gt;0,1,0)</f>
        <v/>
      </c>
      <c r="O250" s="2">
        <f>O249+IF(LEN($Y$250)&gt;0,1,0)</f>
        <v/>
      </c>
      <c r="P250" s="2">
        <f>P249+IF(LEN($Z$250)&gt;0,1,0)</f>
        <v/>
      </c>
      <c r="Q250" s="2">
        <f>Q249+IF(LEN($AA$250)&gt;0,1,0)</f>
        <v/>
      </c>
      <c r="R250" s="2">
        <f>R249+IF(LEN($AB$250)&gt;0,1,0)</f>
        <v/>
      </c>
      <c r="S250" s="2">
        <f>S249+IF(LEN($AC$250)&gt;0,1,0)</f>
        <v/>
      </c>
      <c r="T250" s="2">
        <f>T249+IF(LEN($AD$250)&gt;0,1,0)</f>
        <v/>
      </c>
      <c r="X250" s="2">
        <f>IF(ISERROR($B$250),"",IF(ISBLANK($B$250),"",$B$250))</f>
        <v/>
      </c>
      <c r="Y250" s="2">
        <f>IF(ISERROR($C$250),"",IF(ISBLANK($C$250),"",$C$250))</f>
        <v/>
      </c>
      <c r="Z250" s="2">
        <f>IF(ISERROR($D$250),"",IF(ISBLANK($D$250),"",$D$250))</f>
        <v/>
      </c>
      <c r="AA250" s="2">
        <f>IF(ISERROR($E$250),"",IF(ISBLANK($E$250),"",$E$250))</f>
        <v/>
      </c>
      <c r="AB250" s="2">
        <f>IF(ISERROR($F$250),"",IF(ISBLANK($F$250),"",$F$250))</f>
        <v/>
      </c>
      <c r="AC250" s="2">
        <f>IF(ISERROR($G$250),"",IF(ISBLANK($G$250),"",$G$250))</f>
        <v/>
      </c>
      <c r="AD250" s="2">
        <f>IF(ISERROR($H$250),"",IF(ISBLANK($H$250),"",$H$250))</f>
        <v/>
      </c>
      <c r="AG250" s="2">
        <f>ISERROR($B$250)*1+ISERROR($C$250)*1+ISERROR($D$250)*1+ISERROR($E$250)*1+ISERROR($F$250)*1+ISERROR($G$250)*1+ISERROR($H$250)*1</f>
        <v/>
      </c>
    </row>
    <row r="251" ht="26" customHeight="1">
      <c r="B251" s="35" t="inlineStr">
        <is>
          <t>Achterberg</t>
        </is>
      </c>
      <c r="C251" s="29" t="inlineStr">
        <is>
          <t>Kong</t>
        </is>
      </c>
      <c r="D251" s="29" t="inlineStr">
        <is>
          <t>do Leito de Coral</t>
        </is>
      </c>
      <c r="E251" s="29" t="inlineStr">
        <is>
          <t>Feira Longa</t>
        </is>
      </c>
      <c r="F251" s="29" t="inlineStr">
        <is>
          <t>Prelúdio Azul</t>
        </is>
      </c>
      <c r="G251" s="29" t="inlineStr">
        <is>
          <t>Pegada Funda</t>
        </is>
      </c>
      <c r="H251" s="29" t="inlineStr">
        <is>
          <t>Persistência</t>
        </is>
      </c>
      <c r="K251" s="19">
        <f>IF(AG251&gt;0,"O Google leu como fórmula: digite de novo com ' na frente.","")</f>
        <v/>
      </c>
      <c r="N251" s="2">
        <f>N250+IF(LEN($X$251)&gt;0,1,0)</f>
        <v/>
      </c>
      <c r="O251" s="2">
        <f>O250+IF(LEN($Y$251)&gt;0,1,0)</f>
        <v/>
      </c>
      <c r="P251" s="2">
        <f>P250+IF(LEN($Z$251)&gt;0,1,0)</f>
        <v/>
      </c>
      <c r="Q251" s="2">
        <f>Q250+IF(LEN($AA$251)&gt;0,1,0)</f>
        <v/>
      </c>
      <c r="R251" s="2">
        <f>R250+IF(LEN($AB$251)&gt;0,1,0)</f>
        <v/>
      </c>
      <c r="S251" s="2">
        <f>S250+IF(LEN($AC$251)&gt;0,1,0)</f>
        <v/>
      </c>
      <c r="T251" s="2">
        <f>T250+IF(LEN($AD$251)&gt;0,1,0)</f>
        <v/>
      </c>
      <c r="X251" s="2">
        <f>IF(ISERROR($B$251),"",IF(ISBLANK($B$251),"",$B$251))</f>
        <v/>
      </c>
      <c r="Y251" s="2">
        <f>IF(ISERROR($C$251),"",IF(ISBLANK($C$251),"",$C$251))</f>
        <v/>
      </c>
      <c r="Z251" s="2">
        <f>IF(ISERROR($D$251),"",IF(ISBLANK($D$251),"",$D$251))</f>
        <v/>
      </c>
      <c r="AA251" s="2">
        <f>IF(ISERROR($E$251),"",IF(ISBLANK($E$251),"",$E$251))</f>
        <v/>
      </c>
      <c r="AB251" s="2">
        <f>IF(ISERROR($F$251),"",IF(ISBLANK($F$251),"",$F$251))</f>
        <v/>
      </c>
      <c r="AC251" s="2">
        <f>IF(ISERROR($G$251),"",IF(ISBLANK($G$251),"",$G$251))</f>
        <v/>
      </c>
      <c r="AD251" s="2">
        <f>IF(ISERROR($H$251),"",IF(ISBLANK($H$251),"",$H$251))</f>
        <v/>
      </c>
      <c r="AG251" s="2">
        <f>ISERROR($B$251)*1+ISERROR($C$251)*1+ISERROR($D$251)*1+ISERROR($E$251)*1+ISERROR($F$251)*1+ISERROR($G$251)*1+ISERROR($H$251)*1</f>
        <v/>
      </c>
    </row>
    <row r="252" ht="26" customHeight="1">
      <c r="B252" s="33" t="inlineStr">
        <is>
          <t>Nakamura</t>
        </is>
      </c>
      <c r="C252" s="4" t="inlineStr">
        <is>
          <t>Shi</t>
        </is>
      </c>
      <c r="D252" s="4" t="inlineStr">
        <is>
          <t>da Névoa Salgada</t>
        </is>
      </c>
      <c r="E252" s="4" t="inlineStr">
        <is>
          <t>Selo de Âmbar</t>
        </is>
      </c>
      <c r="F252" s="4" t="inlineStr">
        <is>
          <t>Canção de Ninar</t>
        </is>
      </c>
      <c r="G252" s="4" t="inlineStr">
        <is>
          <t>Lona Remendada</t>
        </is>
      </c>
      <c r="H252" s="4" t="inlineStr">
        <is>
          <t>Origem</t>
        </is>
      </c>
      <c r="K252" s="19">
        <f>IF(AG252&gt;0,"O Google leu como fórmula: digite de novo com ' na frente.","")</f>
        <v/>
      </c>
      <c r="N252" s="2">
        <f>N251+IF(LEN($X$252)&gt;0,1,0)</f>
        <v/>
      </c>
      <c r="O252" s="2">
        <f>O251+IF(LEN($Y$252)&gt;0,1,0)</f>
        <v/>
      </c>
      <c r="P252" s="2">
        <f>P251+IF(LEN($Z$252)&gt;0,1,0)</f>
        <v/>
      </c>
      <c r="Q252" s="2">
        <f>Q251+IF(LEN($AA$252)&gt;0,1,0)</f>
        <v/>
      </c>
      <c r="R252" s="2">
        <f>R251+IF(LEN($AB$252)&gt;0,1,0)</f>
        <v/>
      </c>
      <c r="S252" s="2">
        <f>S251+IF(LEN($AC$252)&gt;0,1,0)</f>
        <v/>
      </c>
      <c r="T252" s="2">
        <f>T251+IF(LEN($AD$252)&gt;0,1,0)</f>
        <v/>
      </c>
      <c r="X252" s="2">
        <f>IF(ISERROR($B$252),"",IF(ISBLANK($B$252),"",$B$252))</f>
        <v/>
      </c>
      <c r="Y252" s="2">
        <f>IF(ISERROR($C$252),"",IF(ISBLANK($C$252),"",$C$252))</f>
        <v/>
      </c>
      <c r="Z252" s="2">
        <f>IF(ISERROR($D$252),"",IF(ISBLANK($D$252),"",$D$252))</f>
        <v/>
      </c>
      <c r="AA252" s="2">
        <f>IF(ISERROR($E$252),"",IF(ISBLANK($E$252),"",$E$252))</f>
        <v/>
      </c>
      <c r="AB252" s="2">
        <f>IF(ISERROR($F$252),"",IF(ISBLANK($F$252),"",$F$252))</f>
        <v/>
      </c>
      <c r="AC252" s="2">
        <f>IF(ISERROR($G$252),"",IF(ISBLANK($G$252),"",$G$252))</f>
        <v/>
      </c>
      <c r="AD252" s="2">
        <f>IF(ISERROR($H$252),"",IF(ISBLANK($H$252),"",$H$252))</f>
        <v/>
      </c>
      <c r="AG252" s="2">
        <f>ISERROR($B$252)*1+ISERROR($C$252)*1+ISERROR($D$252)*1+ISERROR($E$252)*1+ISERROR($F$252)*1+ISERROR($G$252)*1+ISERROR($H$252)*1</f>
        <v/>
      </c>
    </row>
    <row r="253" ht="26" customHeight="1">
      <c r="B253" s="35" t="inlineStr">
        <is>
          <t>Sorensen</t>
        </is>
      </c>
      <c r="C253" s="29" t="inlineStr">
        <is>
          <t>Feng</t>
        </is>
      </c>
      <c r="D253" s="29" t="inlineStr">
        <is>
          <t>do Farol Afundado</t>
        </is>
      </c>
      <c r="E253" s="29" t="inlineStr">
        <is>
          <t>Cauda Partida</t>
        </is>
      </c>
      <c r="F253" s="29" t="inlineStr">
        <is>
          <t>Eco Sereno</t>
        </is>
      </c>
      <c r="G253" s="29" t="inlineStr">
        <is>
          <t>Roda Quebrada</t>
        </is>
      </c>
      <c r="H253" s="29" t="inlineStr">
        <is>
          <t>Bússola</t>
        </is>
      </c>
      <c r="K253" s="19">
        <f>IF(AG253&gt;0,"O Google leu como fórmula: digite de novo com ' na frente.","")</f>
        <v/>
      </c>
      <c r="N253" s="2">
        <f>N252+IF(LEN($X$253)&gt;0,1,0)</f>
        <v/>
      </c>
      <c r="O253" s="2">
        <f>O252+IF(LEN($Y$253)&gt;0,1,0)</f>
        <v/>
      </c>
      <c r="P253" s="2">
        <f>P252+IF(LEN($Z$253)&gt;0,1,0)</f>
        <v/>
      </c>
      <c r="Q253" s="2">
        <f>Q252+IF(LEN($AA$253)&gt;0,1,0)</f>
        <v/>
      </c>
      <c r="R253" s="2">
        <f>R252+IF(LEN($AB$253)&gt;0,1,0)</f>
        <v/>
      </c>
      <c r="S253" s="2">
        <f>S252+IF(LEN($AC$253)&gt;0,1,0)</f>
        <v/>
      </c>
      <c r="T253" s="2">
        <f>T252+IF(LEN($AD$253)&gt;0,1,0)</f>
        <v/>
      </c>
      <c r="X253" s="2">
        <f>IF(ISERROR($B$253),"",IF(ISBLANK($B$253),"",$B$253))</f>
        <v/>
      </c>
      <c r="Y253" s="2">
        <f>IF(ISERROR($C$253),"",IF(ISBLANK($C$253),"",$C$253))</f>
        <v/>
      </c>
      <c r="Z253" s="2">
        <f>IF(ISERROR($D$253),"",IF(ISBLANK($D$253),"",$D$253))</f>
        <v/>
      </c>
      <c r="AA253" s="2">
        <f>IF(ISERROR($E$253),"",IF(ISBLANK($E$253),"",$E$253))</f>
        <v/>
      </c>
      <c r="AB253" s="2">
        <f>IF(ISERROR($F$253),"",IF(ISBLANK($F$253),"",$F$253))</f>
        <v/>
      </c>
      <c r="AC253" s="2">
        <f>IF(ISERROR($G$253),"",IF(ISBLANK($G$253),"",$G$253))</f>
        <v/>
      </c>
      <c r="AD253" s="2">
        <f>IF(ISERROR($H$253),"",IF(ISBLANK($H$253),"",$H$253))</f>
        <v/>
      </c>
      <c r="AG253" s="2">
        <f>ISERROR($B$253)*1+ISERROR($C$253)*1+ISERROR($D$253)*1+ISERROR($E$253)*1+ISERROR($F$253)*1+ISERROR($G$253)*1+ISERROR($H$253)*1</f>
        <v/>
      </c>
    </row>
    <row r="254" ht="26" customHeight="1">
      <c r="B254" s="33" t="inlineStr">
        <is>
          <t>Albuquerque</t>
        </is>
      </c>
      <c r="C254" s="4" t="inlineStr">
        <is>
          <t>Wei</t>
        </is>
      </c>
      <c r="D254" s="4" t="inlineStr">
        <is>
          <t>da Maré Vazante</t>
        </is>
      </c>
      <c r="E254" s="4" t="inlineStr">
        <is>
          <t>Três Contratos</t>
        </is>
      </c>
      <c r="F254" s="4" t="inlineStr">
        <is>
          <t>Melodia Quebrada</t>
        </is>
      </c>
      <c r="G254" s="4" t="inlineStr">
        <is>
          <t>Dunas Altas</t>
        </is>
      </c>
      <c r="H254" s="4" t="inlineStr">
        <is>
          <t>Resposta</t>
        </is>
      </c>
      <c r="K254" s="19">
        <f>IF(AG254&gt;0,"O Google leu como fórmula: digite de novo com ' na frente.","")</f>
        <v/>
      </c>
      <c r="N254" s="2">
        <f>N253+IF(LEN($X$254)&gt;0,1,0)</f>
        <v/>
      </c>
      <c r="O254" s="2">
        <f>O253+IF(LEN($Y$254)&gt;0,1,0)</f>
        <v/>
      </c>
      <c r="P254" s="2">
        <f>P253+IF(LEN($Z$254)&gt;0,1,0)</f>
        <v/>
      </c>
      <c r="Q254" s="2">
        <f>Q253+IF(LEN($AA$254)&gt;0,1,0)</f>
        <v/>
      </c>
      <c r="R254" s="2">
        <f>R253+IF(LEN($AB$254)&gt;0,1,0)</f>
        <v/>
      </c>
      <c r="S254" s="2">
        <f>S253+IF(LEN($AC$254)&gt;0,1,0)</f>
        <v/>
      </c>
      <c r="T254" s="2">
        <f>T253+IF(LEN($AD$254)&gt;0,1,0)</f>
        <v/>
      </c>
      <c r="X254" s="2">
        <f>IF(ISERROR($B$254),"",IF(ISBLANK($B$254),"",$B$254))</f>
        <v/>
      </c>
      <c r="Y254" s="2">
        <f>IF(ISERROR($C$254),"",IF(ISBLANK($C$254),"",$C$254))</f>
        <v/>
      </c>
      <c r="Z254" s="2">
        <f>IF(ISERROR($D$254),"",IF(ISBLANK($D$254),"",$D$254))</f>
        <v/>
      </c>
      <c r="AA254" s="2">
        <f>IF(ISERROR($E$254),"",IF(ISBLANK($E$254),"",$E$254))</f>
        <v/>
      </c>
      <c r="AB254" s="2">
        <f>IF(ISERROR($F$254),"",IF(ISBLANK($F$254),"",$F$254))</f>
        <v/>
      </c>
      <c r="AC254" s="2">
        <f>IF(ISERROR($G$254),"",IF(ISBLANK($G$254),"",$G$254))</f>
        <v/>
      </c>
      <c r="AD254" s="2">
        <f>IF(ISERROR($H$254),"",IF(ISBLANK($H$254),"",$H$254))</f>
        <v/>
      </c>
      <c r="AG254" s="2">
        <f>ISERROR($B$254)*1+ISERROR($C$254)*1+ISERROR($D$254)*1+ISERROR($E$254)*1+ISERROR($F$254)*1+ISERROR($G$254)*1+ISERROR($H$254)*1</f>
        <v/>
      </c>
    </row>
    <row r="255" ht="15" customHeight="1">
      <c r="B255" s="8" t="inlineStr">
        <is>
          <t>Sobrenome — Humano</t>
        </is>
      </c>
      <c r="C255" s="8" t="inlineStr">
        <is>
          <t>Sobrenome — Xianzhouíta</t>
        </is>
      </c>
      <c r="D255" s="8" t="inlineStr">
        <is>
          <t>Sobrenome — Vidyadhara</t>
        </is>
      </c>
      <c r="E255" s="8" t="inlineStr">
        <is>
          <t>Sobrenome — Vulpes</t>
        </is>
      </c>
      <c r="F255" s="8" t="inlineStr">
        <is>
          <t>Sobrenome — Haloviano</t>
        </is>
      </c>
      <c r="G255" s="8" t="inlineStr">
        <is>
          <t>Sobrenome — Avginiano</t>
        </is>
      </c>
      <c r="H255" s="8" t="inlineStr">
        <is>
          <t>Sobrenome — Intellitron</t>
        </is>
      </c>
      <c r="N255" s="2">
        <f>N254</f>
        <v/>
      </c>
      <c r="O255" s="2">
        <f>O254</f>
        <v/>
      </c>
      <c r="P255" s="2">
        <f>P254</f>
        <v/>
      </c>
      <c r="Q255" s="2">
        <f>Q254</f>
        <v/>
      </c>
      <c r="R255" s="2">
        <f>R254</f>
        <v/>
      </c>
      <c r="S255" s="2">
        <f>S254</f>
        <v/>
      </c>
      <c r="T255" s="2">
        <f>T254</f>
        <v/>
      </c>
      <c r="X255" s="2">
        <f>IF(ISERROR($B$255),"",IF(ISBLANK($B$255),"",$B$255))</f>
        <v/>
      </c>
      <c r="Y255" s="2">
        <f>IF(ISERROR($C$255),"",IF(ISBLANK($C$255),"",$C$255))</f>
        <v/>
      </c>
      <c r="Z255" s="2">
        <f>IF(ISERROR($D$255),"",IF(ISBLANK($D$255),"",$D$255))</f>
        <v/>
      </c>
      <c r="AA255" s="2">
        <f>IF(ISERROR($E$255),"",IF(ISBLANK($E$255),"",$E$255))</f>
        <v/>
      </c>
      <c r="AB255" s="2">
        <f>IF(ISERROR($F$255),"",IF(ISBLANK($F$255),"",$F$255))</f>
        <v/>
      </c>
      <c r="AC255" s="2">
        <f>IF(ISERROR($G$255),"",IF(ISBLANK($G$255),"",$G$255))</f>
        <v/>
      </c>
      <c r="AD255" s="2">
        <f>IF(ISERROR($H$255),"",IF(ISBLANK($H$255),"",$H$255))</f>
        <v/>
      </c>
    </row>
    <row r="256" ht="26" customHeight="1">
      <c r="B256" s="33" t="inlineStr">
        <is>
          <t>Mbeki</t>
        </is>
      </c>
      <c r="C256" s="4" t="inlineStr">
        <is>
          <t>Hua</t>
        </is>
      </c>
      <c r="D256" s="4" t="inlineStr">
        <is>
          <t>das Escamas de Prata</t>
        </is>
      </c>
      <c r="E256" s="4" t="inlineStr">
        <is>
          <t>Lanterna do Cais</t>
        </is>
      </c>
      <c r="F256" s="4" t="inlineStr">
        <is>
          <t>Ária da Manhã</t>
        </is>
      </c>
      <c r="G256" s="4" t="inlineStr">
        <is>
          <t>Cinza Errante</t>
        </is>
      </c>
      <c r="H256" s="4" t="inlineStr">
        <is>
          <t>Ternura</t>
        </is>
      </c>
      <c r="K256" s="19">
        <f>IF(AG256&gt;0,"O Google leu como fórmula: digite de novo com ' na frente.","")</f>
        <v/>
      </c>
      <c r="N256" s="2">
        <f>N255+IF(LEN($X$256)&gt;0,1,0)</f>
        <v/>
      </c>
      <c r="O256" s="2">
        <f>O255+IF(LEN($Y$256)&gt;0,1,0)</f>
        <v/>
      </c>
      <c r="P256" s="2">
        <f>P255+IF(LEN($Z$256)&gt;0,1,0)</f>
        <v/>
      </c>
      <c r="Q256" s="2">
        <f>Q255+IF(LEN($AA$256)&gt;0,1,0)</f>
        <v/>
      </c>
      <c r="R256" s="2">
        <f>R255+IF(LEN($AB$256)&gt;0,1,0)</f>
        <v/>
      </c>
      <c r="S256" s="2">
        <f>S255+IF(LEN($AC$256)&gt;0,1,0)</f>
        <v/>
      </c>
      <c r="T256" s="2">
        <f>T255+IF(LEN($AD$256)&gt;0,1,0)</f>
        <v/>
      </c>
      <c r="X256" s="2">
        <f>IF(ISERROR($B$256),"",IF(ISBLANK($B$256),"",$B$256))</f>
        <v/>
      </c>
      <c r="Y256" s="2">
        <f>IF(ISERROR($C$256),"",IF(ISBLANK($C$256),"",$C$256))</f>
        <v/>
      </c>
      <c r="Z256" s="2">
        <f>IF(ISERROR($D$256),"",IF(ISBLANK($D$256),"",$D$256))</f>
        <v/>
      </c>
      <c r="AA256" s="2">
        <f>IF(ISERROR($E$256),"",IF(ISBLANK($E$256),"",$E$256))</f>
        <v/>
      </c>
      <c r="AB256" s="2">
        <f>IF(ISERROR($F$256),"",IF(ISBLANK($F$256),"",$F$256))</f>
        <v/>
      </c>
      <c r="AC256" s="2">
        <f>IF(ISERROR($G$256),"",IF(ISBLANK($G$256),"",$G$256))</f>
        <v/>
      </c>
      <c r="AD256" s="2">
        <f>IF(ISERROR($H$256),"",IF(ISBLANK($H$256),"",$H$256))</f>
        <v/>
      </c>
      <c r="AG256" s="2">
        <f>ISERROR($B$256)*1+ISERROR($C$256)*1+ISERROR($D$256)*1+ISERROR($E$256)*1+ISERROR($F$256)*1+ISERROR($G$256)*1+ISERROR($H$256)*1</f>
        <v/>
      </c>
    </row>
    <row r="257" ht="26" customHeight="1">
      <c r="B257" s="35" t="inlineStr">
        <is>
          <t>Petrov</t>
        </is>
      </c>
      <c r="C257" s="29" t="inlineStr">
        <is>
          <t>Jiang</t>
        </is>
      </c>
      <c r="D257" s="29" t="inlineStr">
        <is>
          <t>do Mar de Dentro</t>
        </is>
      </c>
      <c r="E257" s="29" t="inlineStr">
        <is>
          <t>Palavra Doce</t>
        </is>
      </c>
      <c r="F257" s="29" t="inlineStr">
        <is>
          <t>Toada Antiga</t>
        </is>
      </c>
      <c r="G257" s="29" t="inlineStr">
        <is>
          <t>Sem Porto</t>
        </is>
      </c>
      <c r="H257" s="29" t="inlineStr">
        <is>
          <t>Clemência</t>
        </is>
      </c>
      <c r="K257" s="19">
        <f>IF(AG257&gt;0,"O Google leu como fórmula: digite de novo com ' na frente.","")</f>
        <v/>
      </c>
      <c r="N257" s="2">
        <f>N256+IF(LEN($X$257)&gt;0,1,0)</f>
        <v/>
      </c>
      <c r="O257" s="2">
        <f>O256+IF(LEN($Y$257)&gt;0,1,0)</f>
        <v/>
      </c>
      <c r="P257" s="2">
        <f>P256+IF(LEN($Z$257)&gt;0,1,0)</f>
        <v/>
      </c>
      <c r="Q257" s="2">
        <f>Q256+IF(LEN($AA$257)&gt;0,1,0)</f>
        <v/>
      </c>
      <c r="R257" s="2">
        <f>R256+IF(LEN($AB$257)&gt;0,1,0)</f>
        <v/>
      </c>
      <c r="S257" s="2">
        <f>S256+IF(LEN($AC$257)&gt;0,1,0)</f>
        <v/>
      </c>
      <c r="T257" s="2">
        <f>T256+IF(LEN($AD$257)&gt;0,1,0)</f>
        <v/>
      </c>
      <c r="X257" s="2">
        <f>IF(ISERROR($B$257),"",IF(ISBLANK($B$257),"",$B$257))</f>
        <v/>
      </c>
      <c r="Y257" s="2">
        <f>IF(ISERROR($C$257),"",IF(ISBLANK($C$257),"",$C$257))</f>
        <v/>
      </c>
      <c r="Z257" s="2">
        <f>IF(ISERROR($D$257),"",IF(ISBLANK($D$257),"",$D$257))</f>
        <v/>
      </c>
      <c r="AA257" s="2">
        <f>IF(ISERROR($E$257),"",IF(ISBLANK($E$257),"",$E$257))</f>
        <v/>
      </c>
      <c r="AB257" s="2">
        <f>IF(ISERROR($F$257),"",IF(ISBLANK($F$257),"",$F$257))</f>
        <v/>
      </c>
      <c r="AC257" s="2">
        <f>IF(ISERROR($G$257),"",IF(ISBLANK($G$257),"",$G$257))</f>
        <v/>
      </c>
      <c r="AD257" s="2">
        <f>IF(ISERROR($H$257),"",IF(ISBLANK($H$257),"",$H$257))</f>
        <v/>
      </c>
      <c r="AG257" s="2">
        <f>ISERROR($B$257)*1+ISERROR($C$257)*1+ISERROR($D$257)*1+ISERROR($E$257)*1+ISERROR($F$257)*1+ISERROR($G$257)*1+ISERROR($H$257)*1</f>
        <v/>
      </c>
    </row>
    <row r="258" ht="26" customHeight="1">
      <c r="B258" s="33" t="inlineStr">
        <is>
          <t>Castellanos</t>
        </is>
      </c>
      <c r="C258" s="4" t="inlineStr">
        <is>
          <t>Yao</t>
        </is>
      </c>
      <c r="D258" s="4" t="inlineStr">
        <is>
          <t>da Fonte Submersa</t>
        </is>
      </c>
      <c r="E258" s="4" t="inlineStr">
        <is>
          <t>Faro Fino</t>
        </is>
      </c>
      <c r="F258" s="4" t="inlineStr">
        <is>
          <t>Harpa Silenciosa</t>
        </is>
      </c>
      <c r="G258" s="4" t="inlineStr">
        <is>
          <t>Ponte de Corda</t>
        </is>
      </c>
      <c r="H258" s="4" t="inlineStr">
        <is>
          <t>Horizonte</t>
        </is>
      </c>
      <c r="K258" s="19">
        <f>IF(AG258&gt;0,"O Google leu como fórmula: digite de novo com ' na frente.","")</f>
        <v/>
      </c>
      <c r="N258" s="2">
        <f>N257+IF(LEN($X$258)&gt;0,1,0)</f>
        <v/>
      </c>
      <c r="O258" s="2">
        <f>O257+IF(LEN($Y$258)&gt;0,1,0)</f>
        <v/>
      </c>
      <c r="P258" s="2">
        <f>P257+IF(LEN($Z$258)&gt;0,1,0)</f>
        <v/>
      </c>
      <c r="Q258" s="2">
        <f>Q257+IF(LEN($AA$258)&gt;0,1,0)</f>
        <v/>
      </c>
      <c r="R258" s="2">
        <f>R257+IF(LEN($AB$258)&gt;0,1,0)</f>
        <v/>
      </c>
      <c r="S258" s="2">
        <f>S257+IF(LEN($AC$258)&gt;0,1,0)</f>
        <v/>
      </c>
      <c r="T258" s="2">
        <f>T257+IF(LEN($AD$258)&gt;0,1,0)</f>
        <v/>
      </c>
      <c r="X258" s="2">
        <f>IF(ISERROR($B$258),"",IF(ISBLANK($B$258),"",$B$258))</f>
        <v/>
      </c>
      <c r="Y258" s="2">
        <f>IF(ISERROR($C$258),"",IF(ISBLANK($C$258),"",$C$258))</f>
        <v/>
      </c>
      <c r="Z258" s="2">
        <f>IF(ISERROR($D$258),"",IF(ISBLANK($D$258),"",$D$258))</f>
        <v/>
      </c>
      <c r="AA258" s="2">
        <f>IF(ISERROR($E$258),"",IF(ISBLANK($E$258),"",$E$258))</f>
        <v/>
      </c>
      <c r="AB258" s="2">
        <f>IF(ISERROR($F$258),"",IF(ISBLANK($F$258),"",$F$258))</f>
        <v/>
      </c>
      <c r="AC258" s="2">
        <f>IF(ISERROR($G$258),"",IF(ISBLANK($G$258),"",$G$258))</f>
        <v/>
      </c>
      <c r="AD258" s="2">
        <f>IF(ISERROR($H$258),"",IF(ISBLANK($H$258),"",$H$258))</f>
        <v/>
      </c>
      <c r="AG258" s="2">
        <f>ISERROR($B$258)*1+ISERROR($C$258)*1+ISERROR($D$258)*1+ISERROR($E$258)*1+ISERROR($F$258)*1+ISERROR($G$258)*1+ISERROR($H$258)*1</f>
        <v/>
      </c>
    </row>
    <row r="259" ht="26" customHeight="1">
      <c r="B259" s="35" t="inlineStr">
        <is>
          <t>Iwu</t>
        </is>
      </c>
      <c r="C259" s="29" t="inlineStr">
        <is>
          <t>Ning</t>
        </is>
      </c>
      <c r="D259" s="29" t="inlineStr">
        <is>
          <t>do Redemoinho Lento</t>
        </is>
      </c>
      <c r="E259" s="29" t="inlineStr">
        <is>
          <t>Caravana Lenta</t>
        </is>
      </c>
      <c r="F259" s="29" t="inlineStr">
        <is>
          <t>Verso Final</t>
        </is>
      </c>
      <c r="G259" s="29" t="inlineStr">
        <is>
          <t>Fronteira Aberta</t>
        </is>
      </c>
      <c r="H259" s="29" t="inlineStr">
        <is>
          <t>Faísca</t>
        </is>
      </c>
      <c r="K259" s="19">
        <f>IF(AG259&gt;0,"O Google leu como fórmula: digite de novo com ' na frente.","")</f>
        <v/>
      </c>
      <c r="N259" s="2">
        <f>N258+IF(LEN($X$259)&gt;0,1,0)</f>
        <v/>
      </c>
      <c r="O259" s="2">
        <f>O258+IF(LEN($Y$259)&gt;0,1,0)</f>
        <v/>
      </c>
      <c r="P259" s="2">
        <f>P258+IF(LEN($Z$259)&gt;0,1,0)</f>
        <v/>
      </c>
      <c r="Q259" s="2">
        <f>Q258+IF(LEN($AA$259)&gt;0,1,0)</f>
        <v/>
      </c>
      <c r="R259" s="2">
        <f>R258+IF(LEN($AB$259)&gt;0,1,0)</f>
        <v/>
      </c>
      <c r="S259" s="2">
        <f>S258+IF(LEN($AC$259)&gt;0,1,0)</f>
        <v/>
      </c>
      <c r="T259" s="2">
        <f>T258+IF(LEN($AD$259)&gt;0,1,0)</f>
        <v/>
      </c>
      <c r="X259" s="2">
        <f>IF(ISERROR($B$259),"",IF(ISBLANK($B$259),"",$B$259))</f>
        <v/>
      </c>
      <c r="Y259" s="2">
        <f>IF(ISERROR($C$259),"",IF(ISBLANK($C$259),"",$C$259))</f>
        <v/>
      </c>
      <c r="Z259" s="2">
        <f>IF(ISERROR($D$259),"",IF(ISBLANK($D$259),"",$D$259))</f>
        <v/>
      </c>
      <c r="AA259" s="2">
        <f>IF(ISERROR($E$259),"",IF(ISBLANK($E$259),"",$E$259))</f>
        <v/>
      </c>
      <c r="AB259" s="2">
        <f>IF(ISERROR($F$259),"",IF(ISBLANK($F$259),"",$F$259))</f>
        <v/>
      </c>
      <c r="AC259" s="2">
        <f>IF(ISERROR($G$259),"",IF(ISBLANK($G$259),"",$G$259))</f>
        <v/>
      </c>
      <c r="AD259" s="2">
        <f>IF(ISERROR($H$259),"",IF(ISBLANK($H$259),"",$H$259))</f>
        <v/>
      </c>
      <c r="AG259" s="2">
        <f>ISERROR($B$259)*1+ISERROR($C$259)*1+ISERROR($D$259)*1+ISERROR($E$259)*1+ISERROR($F$259)*1+ISERROR($G$259)*1+ISERROR($H$259)*1</f>
        <v/>
      </c>
    </row>
    <row r="260" ht="26" customHeight="1">
      <c r="B260" s="33" t="inlineStr">
        <is>
          <t>Halvorsen</t>
        </is>
      </c>
      <c r="C260" s="4" t="inlineStr">
        <is>
          <t>Qu</t>
        </is>
      </c>
      <c r="D260" s="4" t="inlineStr">
        <is>
          <t>da Concha Partida</t>
        </is>
      </c>
      <c r="E260" s="4" t="inlineStr">
        <is>
          <t>Cauda Branca</t>
        </is>
      </c>
      <c r="F260" s="4" t="inlineStr">
        <is>
          <t>Coral das Luzes</t>
        </is>
      </c>
      <c r="G260" s="4" t="inlineStr">
        <is>
          <t>Chão Emprestado</t>
        </is>
      </c>
      <c r="H260" s="4" t="inlineStr">
        <is>
          <t>Medida</t>
        </is>
      </c>
      <c r="K260" s="19">
        <f>IF(AG260&gt;0,"O Google leu como fórmula: digite de novo com ' na frente.","")</f>
        <v/>
      </c>
      <c r="N260" s="2">
        <f>N259+IF(LEN($X$260)&gt;0,1,0)</f>
        <v/>
      </c>
      <c r="O260" s="2">
        <f>O259+IF(LEN($Y$260)&gt;0,1,0)</f>
        <v/>
      </c>
      <c r="P260" s="2">
        <f>P259+IF(LEN($Z$260)&gt;0,1,0)</f>
        <v/>
      </c>
      <c r="Q260" s="2">
        <f>Q259+IF(LEN($AA$260)&gt;0,1,0)</f>
        <v/>
      </c>
      <c r="R260" s="2">
        <f>R259+IF(LEN($AB$260)&gt;0,1,0)</f>
        <v/>
      </c>
      <c r="S260" s="2">
        <f>S259+IF(LEN($AC$260)&gt;0,1,0)</f>
        <v/>
      </c>
      <c r="T260" s="2">
        <f>T259+IF(LEN($AD$260)&gt;0,1,0)</f>
        <v/>
      </c>
      <c r="X260" s="2">
        <f>IF(ISERROR($B$260),"",IF(ISBLANK($B$260),"",$B$260))</f>
        <v/>
      </c>
      <c r="Y260" s="2">
        <f>IF(ISERROR($C$260),"",IF(ISBLANK($C$260),"",$C$260))</f>
        <v/>
      </c>
      <c r="Z260" s="2">
        <f>IF(ISERROR($D$260),"",IF(ISBLANK($D$260),"",$D$260))</f>
        <v/>
      </c>
      <c r="AA260" s="2">
        <f>IF(ISERROR($E$260),"",IF(ISBLANK($E$260),"",$E$260))</f>
        <v/>
      </c>
      <c r="AB260" s="2">
        <f>IF(ISERROR($F$260),"",IF(ISBLANK($F$260),"",$F$260))</f>
        <v/>
      </c>
      <c r="AC260" s="2">
        <f>IF(ISERROR($G$260),"",IF(ISBLANK($G$260),"",$G$260))</f>
        <v/>
      </c>
      <c r="AD260" s="2">
        <f>IF(ISERROR($H$260),"",IF(ISBLANK($H$260),"",$H$260))</f>
        <v/>
      </c>
      <c r="AG260" s="2">
        <f>ISERROR($B$260)*1+ISERROR($C$260)*1+ISERROR($D$260)*1+ISERROR($E$260)*1+ISERROR($F$260)*1+ISERROR($G$260)*1+ISERROR($H$260)*1</f>
        <v/>
      </c>
    </row>
    <row r="261" ht="26" customHeight="1">
      <c r="B261" s="35" t="inlineStr">
        <is>
          <t>Quaresma</t>
        </is>
      </c>
      <c r="C261" s="29" t="inlineStr">
        <is>
          <t>Rong</t>
        </is>
      </c>
      <c r="D261" s="29" t="inlineStr">
        <is>
          <t>das Profundezas Mansas</t>
        </is>
      </c>
      <c r="E261" s="29" t="inlineStr">
        <is>
          <t>Juro Baixo</t>
        </is>
      </c>
      <c r="F261" s="29" t="inlineStr">
        <is>
          <t>Sonata Breve</t>
        </is>
      </c>
      <c r="G261" s="29" t="inlineStr">
        <is>
          <t>Mapa Rasgado</t>
        </is>
      </c>
      <c r="H261" s="29" t="inlineStr">
        <is>
          <t>Âncora</t>
        </is>
      </c>
      <c r="K261" s="19">
        <f>IF(AG261&gt;0,"O Google leu como fórmula: digite de novo com ' na frente.","")</f>
        <v/>
      </c>
      <c r="N261" s="2">
        <f>N260+IF(LEN($X$261)&gt;0,1,0)</f>
        <v/>
      </c>
      <c r="O261" s="2">
        <f>O260+IF(LEN($Y$261)&gt;0,1,0)</f>
        <v/>
      </c>
      <c r="P261" s="2">
        <f>P260+IF(LEN($Z$261)&gt;0,1,0)</f>
        <v/>
      </c>
      <c r="Q261" s="2">
        <f>Q260+IF(LEN($AA$261)&gt;0,1,0)</f>
        <v/>
      </c>
      <c r="R261" s="2">
        <f>R260+IF(LEN($AB$261)&gt;0,1,0)</f>
        <v/>
      </c>
      <c r="S261" s="2">
        <f>S260+IF(LEN($AC$261)&gt;0,1,0)</f>
        <v/>
      </c>
      <c r="T261" s="2">
        <f>T260+IF(LEN($AD$261)&gt;0,1,0)</f>
        <v/>
      </c>
      <c r="X261" s="2">
        <f>IF(ISERROR($B$261),"",IF(ISBLANK($B$261),"",$B$261))</f>
        <v/>
      </c>
      <c r="Y261" s="2">
        <f>IF(ISERROR($C$261),"",IF(ISBLANK($C$261),"",$C$261))</f>
        <v/>
      </c>
      <c r="Z261" s="2">
        <f>IF(ISERROR($D$261),"",IF(ISBLANK($D$261),"",$D$261))</f>
        <v/>
      </c>
      <c r="AA261" s="2">
        <f>IF(ISERROR($E$261),"",IF(ISBLANK($E$261),"",$E$261))</f>
        <v/>
      </c>
      <c r="AB261" s="2">
        <f>IF(ISERROR($F$261),"",IF(ISBLANK($F$261),"",$F$261))</f>
        <v/>
      </c>
      <c r="AC261" s="2">
        <f>IF(ISERROR($G$261),"",IF(ISBLANK($G$261),"",$G$261))</f>
        <v/>
      </c>
      <c r="AD261" s="2">
        <f>IF(ISERROR($H$261),"",IF(ISBLANK($H$261),"",$H$261))</f>
        <v/>
      </c>
      <c r="AG261" s="2">
        <f>ISERROR($B$261)*1+ISERROR($C$261)*1+ISERROR($D$261)*1+ISERROR($E$261)*1+ISERROR($F$261)*1+ISERROR($G$261)*1+ISERROR($H$261)*1</f>
        <v/>
      </c>
    </row>
    <row r="262" ht="26" customHeight="1">
      <c r="B262" s="33" t="inlineStr">
        <is>
          <t>Delacroix</t>
        </is>
      </c>
      <c r="C262" s="4" t="inlineStr">
        <is>
          <t>Xiang</t>
        </is>
      </c>
      <c r="D262" s="4" t="inlineStr">
        <is>
          <t>do Estreito Velho</t>
        </is>
      </c>
      <c r="E262" s="4" t="inlineStr">
        <is>
          <t>Troca Rápida</t>
        </is>
      </c>
      <c r="F262" s="4" t="inlineStr">
        <is>
          <t>Cadência Doce</t>
        </is>
      </c>
      <c r="G262" s="4" t="inlineStr">
        <is>
          <t>Tenda de Couro</t>
        </is>
      </c>
      <c r="H262" s="4" t="inlineStr">
        <is>
          <t>Promessa</t>
        </is>
      </c>
      <c r="K262" s="19">
        <f>IF(AG262&gt;0,"O Google leu como fórmula: digite de novo com ' na frente.","")</f>
        <v/>
      </c>
      <c r="N262" s="2">
        <f>N261+IF(LEN($X$262)&gt;0,1,0)</f>
        <v/>
      </c>
      <c r="O262" s="2">
        <f>O261+IF(LEN($Y$262)&gt;0,1,0)</f>
        <v/>
      </c>
      <c r="P262" s="2">
        <f>P261+IF(LEN($Z$262)&gt;0,1,0)</f>
        <v/>
      </c>
      <c r="Q262" s="2">
        <f>Q261+IF(LEN($AA$262)&gt;0,1,0)</f>
        <v/>
      </c>
      <c r="R262" s="2">
        <f>R261+IF(LEN($AB$262)&gt;0,1,0)</f>
        <v/>
      </c>
      <c r="S262" s="2">
        <f>S261+IF(LEN($AC$262)&gt;0,1,0)</f>
        <v/>
      </c>
      <c r="T262" s="2">
        <f>T261+IF(LEN($AD$262)&gt;0,1,0)</f>
        <v/>
      </c>
      <c r="X262" s="2">
        <f>IF(ISERROR($B$262),"",IF(ISBLANK($B$262),"",$B$262))</f>
        <v/>
      </c>
      <c r="Y262" s="2">
        <f>IF(ISERROR($C$262),"",IF(ISBLANK($C$262),"",$C$262))</f>
        <v/>
      </c>
      <c r="Z262" s="2">
        <f>IF(ISERROR($D$262),"",IF(ISBLANK($D$262),"",$D$262))</f>
        <v/>
      </c>
      <c r="AA262" s="2">
        <f>IF(ISERROR($E$262),"",IF(ISBLANK($E$262),"",$E$262))</f>
        <v/>
      </c>
      <c r="AB262" s="2">
        <f>IF(ISERROR($F$262),"",IF(ISBLANK($F$262),"",$F$262))</f>
        <v/>
      </c>
      <c r="AC262" s="2">
        <f>IF(ISERROR($G$262),"",IF(ISBLANK($G$262),"",$G$262))</f>
        <v/>
      </c>
      <c r="AD262" s="2">
        <f>IF(ISERROR($H$262),"",IF(ISBLANK($H$262),"",$H$262))</f>
        <v/>
      </c>
      <c r="AG262" s="2">
        <f>ISERROR($B$262)*1+ISERROR($C$262)*1+ISERROR($D$262)*1+ISERROR($E$262)*1+ISERROR($F$262)*1+ISERROR($G$262)*1+ISERROR($H$262)*1</f>
        <v/>
      </c>
    </row>
    <row r="263" ht="26" customHeight="1">
      <c r="B263" s="35" t="inlineStr">
        <is>
          <t>Ferraz</t>
        </is>
      </c>
      <c r="C263" s="29" t="inlineStr">
        <is>
          <t>Zeng</t>
        </is>
      </c>
      <c r="D263" s="29" t="inlineStr">
        <is>
          <t>da Lua sobre a Água</t>
        </is>
      </c>
      <c r="E263" s="29" t="inlineStr">
        <is>
          <t>Orelha Atenta</t>
        </is>
      </c>
      <c r="F263" s="29" t="inlineStr">
        <is>
          <t>Serenata Longa</t>
        </is>
      </c>
      <c r="G263" s="29" t="inlineStr">
        <is>
          <t>Brasa Guardada</t>
        </is>
      </c>
      <c r="H263" s="29" t="inlineStr">
        <is>
          <t>Teimosia</t>
        </is>
      </c>
      <c r="K263" s="19">
        <f>IF(AG263&gt;0,"O Google leu como fórmula: digite de novo com ' na frente.","")</f>
        <v/>
      </c>
      <c r="N263" s="2">
        <f>N262+IF(LEN($X$263)&gt;0,1,0)</f>
        <v/>
      </c>
      <c r="O263" s="2">
        <f>O262+IF(LEN($Y$263)&gt;0,1,0)</f>
        <v/>
      </c>
      <c r="P263" s="2">
        <f>P262+IF(LEN($Z$263)&gt;0,1,0)</f>
        <v/>
      </c>
      <c r="Q263" s="2">
        <f>Q262+IF(LEN($AA$263)&gt;0,1,0)</f>
        <v/>
      </c>
      <c r="R263" s="2">
        <f>R262+IF(LEN($AB$263)&gt;0,1,0)</f>
        <v/>
      </c>
      <c r="S263" s="2">
        <f>S262+IF(LEN($AC$263)&gt;0,1,0)</f>
        <v/>
      </c>
      <c r="T263" s="2">
        <f>T262+IF(LEN($AD$263)&gt;0,1,0)</f>
        <v/>
      </c>
      <c r="X263" s="2">
        <f>IF(ISERROR($B$263),"",IF(ISBLANK($B$263),"",$B$263))</f>
        <v/>
      </c>
      <c r="Y263" s="2">
        <f>IF(ISERROR($C$263),"",IF(ISBLANK($C$263),"",$C$263))</f>
        <v/>
      </c>
      <c r="Z263" s="2">
        <f>IF(ISERROR($D$263),"",IF(ISBLANK($D$263),"",$D$263))</f>
        <v/>
      </c>
      <c r="AA263" s="2">
        <f>IF(ISERROR($E$263),"",IF(ISBLANK($E$263),"",$E$263))</f>
        <v/>
      </c>
      <c r="AB263" s="2">
        <f>IF(ISERROR($F$263),"",IF(ISBLANK($F$263),"",$F$263))</f>
        <v/>
      </c>
      <c r="AC263" s="2">
        <f>IF(ISERROR($G$263),"",IF(ISBLANK($G$263),"",$G$263))</f>
        <v/>
      </c>
      <c r="AD263" s="2">
        <f>IF(ISERROR($H$263),"",IF(ISBLANK($H$263),"",$H$263))</f>
        <v/>
      </c>
      <c r="AG263" s="2">
        <f>ISERROR($B$263)*1+ISERROR($C$263)*1+ISERROR($D$263)*1+ISERROR($E$263)*1+ISERROR($F$263)*1+ISERROR($G$263)*1+ISERROR($H$263)*1</f>
        <v/>
      </c>
    </row>
    <row r="264" ht="26" customHeight="1">
      <c r="B264" s="33" t="inlineStr">
        <is>
          <t>Oyelaran</t>
        </is>
      </c>
      <c r="C264" s="4" t="inlineStr">
        <is>
          <t>Mu</t>
        </is>
      </c>
      <c r="D264" s="4" t="inlineStr">
        <is>
          <t>da Chuva de Sal</t>
        </is>
      </c>
      <c r="E264" s="4" t="inlineStr">
        <is>
          <t>Balcão Antigo</t>
        </is>
      </c>
      <c r="F264" s="4" t="inlineStr">
        <is>
          <t>Nota Alta</t>
        </is>
      </c>
      <c r="G264" s="4" t="inlineStr">
        <is>
          <t>Passo Leve</t>
        </is>
      </c>
      <c r="H264" s="4" t="inlineStr">
        <is>
          <t>Inverno</t>
        </is>
      </c>
      <c r="K264" s="19">
        <f>IF(AG264&gt;0,"O Google leu como fórmula: digite de novo com ' na frente.","")</f>
        <v/>
      </c>
      <c r="N264" s="2">
        <f>N263+IF(LEN($X$264)&gt;0,1,0)</f>
        <v/>
      </c>
      <c r="O264" s="2">
        <f>O263+IF(LEN($Y$264)&gt;0,1,0)</f>
        <v/>
      </c>
      <c r="P264" s="2">
        <f>P263+IF(LEN($Z$264)&gt;0,1,0)</f>
        <v/>
      </c>
      <c r="Q264" s="2">
        <f>Q263+IF(LEN($AA$264)&gt;0,1,0)</f>
        <v/>
      </c>
      <c r="R264" s="2">
        <f>R263+IF(LEN($AB$264)&gt;0,1,0)</f>
        <v/>
      </c>
      <c r="S264" s="2">
        <f>S263+IF(LEN($AC$264)&gt;0,1,0)</f>
        <v/>
      </c>
      <c r="T264" s="2">
        <f>T263+IF(LEN($AD$264)&gt;0,1,0)</f>
        <v/>
      </c>
      <c r="X264" s="2">
        <f>IF(ISERROR($B$264),"",IF(ISBLANK($B$264),"",$B$264))</f>
        <v/>
      </c>
      <c r="Y264" s="2">
        <f>IF(ISERROR($C$264),"",IF(ISBLANK($C$264),"",$C$264))</f>
        <v/>
      </c>
      <c r="Z264" s="2">
        <f>IF(ISERROR($D$264),"",IF(ISBLANK($D$264),"",$D$264))</f>
        <v/>
      </c>
      <c r="AA264" s="2">
        <f>IF(ISERROR($E$264),"",IF(ISBLANK($E$264),"",$E$264))</f>
        <v/>
      </c>
      <c r="AB264" s="2">
        <f>IF(ISERROR($F$264),"",IF(ISBLANK($F$264),"",$F$264))</f>
        <v/>
      </c>
      <c r="AC264" s="2">
        <f>IF(ISERROR($G$264),"",IF(ISBLANK($G$264),"",$G$264))</f>
        <v/>
      </c>
      <c r="AD264" s="2">
        <f>IF(ISERROR($H$264),"",IF(ISBLANK($H$264),"",$H$264))</f>
        <v/>
      </c>
      <c r="AG264" s="2">
        <f>ISERROR($B$264)*1+ISERROR($C$264)*1+ISERROR($D$264)*1+ISERROR($E$264)*1+ISERROR($F$264)*1+ISERROR($G$264)*1+ISERROR($H$264)*1</f>
        <v/>
      </c>
    </row>
    <row r="265" ht="26" customHeight="1">
      <c r="B265" s="35" t="inlineStr">
        <is>
          <t>Varga</t>
        </is>
      </c>
      <c r="C265" s="29" t="inlineStr">
        <is>
          <t>Dou</t>
        </is>
      </c>
      <c r="D265" s="29" t="inlineStr">
        <is>
          <t>do Lago Sem Fundo</t>
        </is>
      </c>
      <c r="E265" s="29" t="inlineStr">
        <is>
          <t>Leilão da Lua</t>
        </is>
      </c>
      <c r="F265" s="29" t="inlineStr">
        <is>
          <t>Canto Sem Fim</t>
        </is>
      </c>
      <c r="G265" s="29" t="inlineStr">
        <is>
          <t>Céu Aberto</t>
        </is>
      </c>
      <c r="H265" s="29" t="inlineStr">
        <is>
          <t>Coerência</t>
        </is>
      </c>
      <c r="K265" s="19">
        <f>IF(AG265&gt;0,"O Google leu como fórmula: digite de novo com ' na frente.","")</f>
        <v/>
      </c>
      <c r="N265" s="2">
        <f>N264+IF(LEN($X$265)&gt;0,1,0)</f>
        <v/>
      </c>
      <c r="O265" s="2">
        <f>O264+IF(LEN($Y$265)&gt;0,1,0)</f>
        <v/>
      </c>
      <c r="P265" s="2">
        <f>P264+IF(LEN($Z$265)&gt;0,1,0)</f>
        <v/>
      </c>
      <c r="Q265" s="2">
        <f>Q264+IF(LEN($AA$265)&gt;0,1,0)</f>
        <v/>
      </c>
      <c r="R265" s="2">
        <f>R264+IF(LEN($AB$265)&gt;0,1,0)</f>
        <v/>
      </c>
      <c r="S265" s="2">
        <f>S264+IF(LEN($AC$265)&gt;0,1,0)</f>
        <v/>
      </c>
      <c r="T265" s="2">
        <f>T264+IF(LEN($AD$265)&gt;0,1,0)</f>
        <v/>
      </c>
      <c r="X265" s="2">
        <f>IF(ISERROR($B$265),"",IF(ISBLANK($B$265),"",$B$265))</f>
        <v/>
      </c>
      <c r="Y265" s="2">
        <f>IF(ISERROR($C$265),"",IF(ISBLANK($C$265),"",$C$265))</f>
        <v/>
      </c>
      <c r="Z265" s="2">
        <f>IF(ISERROR($D$265),"",IF(ISBLANK($D$265),"",$D$265))</f>
        <v/>
      </c>
      <c r="AA265" s="2">
        <f>IF(ISERROR($E$265),"",IF(ISBLANK($E$265),"",$E$265))</f>
        <v/>
      </c>
      <c r="AB265" s="2">
        <f>IF(ISERROR($F$265),"",IF(ISBLANK($F$265),"",$F$265))</f>
        <v/>
      </c>
      <c r="AC265" s="2">
        <f>IF(ISERROR($G$265),"",IF(ISBLANK($G$265),"",$G$265))</f>
        <v/>
      </c>
      <c r="AD265" s="2">
        <f>IF(ISERROR($H$265),"",IF(ISBLANK($H$265),"",$H$265))</f>
        <v/>
      </c>
      <c r="AG265" s="2">
        <f>ISERROR($B$265)*1+ISERROR($C$265)*1+ISERROR($D$265)*1+ISERROR($E$265)*1+ISERROR($F$265)*1+ISERROR($G$265)*1+ISERROR($H$265)*1</f>
        <v/>
      </c>
    </row>
    <row r="266" ht="26" customHeight="1">
      <c r="B266" s="33" t="inlineStr">
        <is>
          <t>Montenegro</t>
        </is>
      </c>
      <c r="C266" s="4" t="inlineStr">
        <is>
          <t>Ke</t>
        </is>
      </c>
      <c r="D266" s="4" t="inlineStr">
        <is>
          <t>da Corrente Quente</t>
        </is>
      </c>
      <c r="E266" s="4" t="inlineStr">
        <is>
          <t>Cauda de Fumaça</t>
        </is>
      </c>
      <c r="F266" s="4" t="inlineStr">
        <is>
          <t>Abertura Dourada</t>
        </is>
      </c>
      <c r="G266" s="4" t="inlineStr">
        <is>
          <t>Rota Esquecida</t>
        </is>
      </c>
      <c r="H266" s="4" t="inlineStr">
        <is>
          <t>Gentileza</t>
        </is>
      </c>
      <c r="K266" s="19">
        <f>IF(AG266&gt;0,"O Google leu como fórmula: digite de novo com ' na frente.","")</f>
        <v/>
      </c>
      <c r="N266" s="2">
        <f>N265+IF(LEN($X$266)&gt;0,1,0)</f>
        <v/>
      </c>
      <c r="O266" s="2">
        <f>O265+IF(LEN($Y$266)&gt;0,1,0)</f>
        <v/>
      </c>
      <c r="P266" s="2">
        <f>P265+IF(LEN($Z$266)&gt;0,1,0)</f>
        <v/>
      </c>
      <c r="Q266" s="2">
        <f>Q265+IF(LEN($AA$266)&gt;0,1,0)</f>
        <v/>
      </c>
      <c r="R266" s="2">
        <f>R265+IF(LEN($AB$266)&gt;0,1,0)</f>
        <v/>
      </c>
      <c r="S266" s="2">
        <f>S265+IF(LEN($AC$266)&gt;0,1,0)</f>
        <v/>
      </c>
      <c r="T266" s="2">
        <f>T265+IF(LEN($AD$266)&gt;0,1,0)</f>
        <v/>
      </c>
      <c r="X266" s="2">
        <f>IF(ISERROR($B$266),"",IF(ISBLANK($B$266),"",$B$266))</f>
        <v/>
      </c>
      <c r="Y266" s="2">
        <f>IF(ISERROR($C$266),"",IF(ISBLANK($C$266),"",$C$266))</f>
        <v/>
      </c>
      <c r="Z266" s="2">
        <f>IF(ISERROR($D$266),"",IF(ISBLANK($D$266),"",$D$266))</f>
        <v/>
      </c>
      <c r="AA266" s="2">
        <f>IF(ISERROR($E$266),"",IF(ISBLANK($E$266),"",$E$266))</f>
        <v/>
      </c>
      <c r="AB266" s="2">
        <f>IF(ISERROR($F$266),"",IF(ISBLANK($F$266),"",$F$266))</f>
        <v/>
      </c>
      <c r="AC266" s="2">
        <f>IF(ISERROR($G$266),"",IF(ISBLANK($G$266),"",$G$266))</f>
        <v/>
      </c>
      <c r="AD266" s="2">
        <f>IF(ISERROR($H$266),"",IF(ISBLANK($H$266),"",$H$266))</f>
        <v/>
      </c>
      <c r="AG266" s="2">
        <f>ISERROR($B$266)*1+ISERROR($C$266)*1+ISERROR($D$266)*1+ISERROR($E$266)*1+ISERROR($F$266)*1+ISERROR($G$266)*1+ISERROR($H$266)*1</f>
        <v/>
      </c>
    </row>
    <row r="267" ht="26" customHeight="1">
      <c r="B267" s="35" t="inlineStr">
        <is>
          <t>Szabo</t>
        </is>
      </c>
      <c r="C267" s="29" t="inlineStr">
        <is>
          <t>Ji</t>
        </is>
      </c>
      <c r="D267" s="29" t="inlineStr">
        <is>
          <t>das Ilhas Caídas</t>
        </is>
      </c>
      <c r="E267" s="29" t="inlineStr">
        <is>
          <t>Peso Honesto</t>
        </is>
      </c>
      <c r="F267" s="29" t="inlineStr">
        <is>
          <t>Refrão Perdido</t>
        </is>
      </c>
      <c r="G267" s="29" t="inlineStr">
        <is>
          <t>Água Contada</t>
        </is>
      </c>
      <c r="H267" s="29" t="inlineStr">
        <is>
          <t>Atenção</t>
        </is>
      </c>
      <c r="K267" s="19">
        <f>IF(AG267&gt;0,"O Google leu como fórmula: digite de novo com ' na frente.","")</f>
        <v/>
      </c>
      <c r="N267" s="2">
        <f>N266+IF(LEN($X$267)&gt;0,1,0)</f>
        <v/>
      </c>
      <c r="O267" s="2">
        <f>O266+IF(LEN($Y$267)&gt;0,1,0)</f>
        <v/>
      </c>
      <c r="P267" s="2">
        <f>P266+IF(LEN($Z$267)&gt;0,1,0)</f>
        <v/>
      </c>
      <c r="Q267" s="2">
        <f>Q266+IF(LEN($AA$267)&gt;0,1,0)</f>
        <v/>
      </c>
      <c r="R267" s="2">
        <f>R266+IF(LEN($AB$267)&gt;0,1,0)</f>
        <v/>
      </c>
      <c r="S267" s="2">
        <f>S266+IF(LEN($AC$267)&gt;0,1,0)</f>
        <v/>
      </c>
      <c r="T267" s="2">
        <f>T266+IF(LEN($AD$267)&gt;0,1,0)</f>
        <v/>
      </c>
      <c r="X267" s="2">
        <f>IF(ISERROR($B$267),"",IF(ISBLANK($B$267),"",$B$267))</f>
        <v/>
      </c>
      <c r="Y267" s="2">
        <f>IF(ISERROR($C$267),"",IF(ISBLANK($C$267),"",$C$267))</f>
        <v/>
      </c>
      <c r="Z267" s="2">
        <f>IF(ISERROR($D$267),"",IF(ISBLANK($D$267),"",$D$267))</f>
        <v/>
      </c>
      <c r="AA267" s="2">
        <f>IF(ISERROR($E$267),"",IF(ISBLANK($E$267),"",$E$267))</f>
        <v/>
      </c>
      <c r="AB267" s="2">
        <f>IF(ISERROR($F$267),"",IF(ISBLANK($F$267),"",$F$267))</f>
        <v/>
      </c>
      <c r="AC267" s="2">
        <f>IF(ISERROR($G$267),"",IF(ISBLANK($G$267),"",$G$267))</f>
        <v/>
      </c>
      <c r="AD267" s="2">
        <f>IF(ISERROR($H$267),"",IF(ISBLANK($H$267),"",$H$267))</f>
        <v/>
      </c>
      <c r="AG267" s="2">
        <f>ISERROR($B$267)*1+ISERROR($C$267)*1+ISERROR($D$267)*1+ISERROR($E$267)*1+ISERROR($F$267)*1+ISERROR($G$267)*1+ISERROR($H$267)*1</f>
        <v/>
      </c>
    </row>
    <row r="268" ht="26" customHeight="1">
      <c r="B268" s="33" t="inlineStr">
        <is>
          <t>Rocha</t>
        </is>
      </c>
      <c r="C268" s="4" t="inlineStr">
        <is>
          <t>Tao</t>
        </is>
      </c>
      <c r="D268" s="4" t="inlineStr">
        <is>
          <t>do Cardume Dourado</t>
        </is>
      </c>
      <c r="E268" s="4" t="inlineStr">
        <is>
          <t>Conchas Contadas</t>
        </is>
      </c>
      <c r="F268" s="4" t="inlineStr">
        <is>
          <t>Hino do Sono</t>
        </is>
      </c>
      <c r="G268" s="4" t="inlineStr">
        <is>
          <t>Pedra Carregada</t>
        </is>
      </c>
      <c r="H268" s="4" t="inlineStr">
        <is>
          <t>Retorno</t>
        </is>
      </c>
      <c r="K268" s="19">
        <f>IF(AG268&gt;0,"O Google leu como fórmula: digite de novo com ' na frente.","")</f>
        <v/>
      </c>
      <c r="N268" s="2">
        <f>N267+IF(LEN($X$268)&gt;0,1,0)</f>
        <v/>
      </c>
      <c r="O268" s="2">
        <f>O267+IF(LEN($Y$268)&gt;0,1,0)</f>
        <v/>
      </c>
      <c r="P268" s="2">
        <f>P267+IF(LEN($Z$268)&gt;0,1,0)</f>
        <v/>
      </c>
      <c r="Q268" s="2">
        <f>Q267+IF(LEN($AA$268)&gt;0,1,0)</f>
        <v/>
      </c>
      <c r="R268" s="2">
        <f>R267+IF(LEN($AB$268)&gt;0,1,0)</f>
        <v/>
      </c>
      <c r="S268" s="2">
        <f>S267+IF(LEN($AC$268)&gt;0,1,0)</f>
        <v/>
      </c>
      <c r="T268" s="2">
        <f>T267+IF(LEN($AD$268)&gt;0,1,0)</f>
        <v/>
      </c>
      <c r="X268" s="2">
        <f>IF(ISERROR($B$268),"",IF(ISBLANK($B$268),"",$B$268))</f>
        <v/>
      </c>
      <c r="Y268" s="2">
        <f>IF(ISERROR($C$268),"",IF(ISBLANK($C$268),"",$C$268))</f>
        <v/>
      </c>
      <c r="Z268" s="2">
        <f>IF(ISERROR($D$268),"",IF(ISBLANK($D$268),"",$D$268))</f>
        <v/>
      </c>
      <c r="AA268" s="2">
        <f>IF(ISERROR($E$268),"",IF(ISBLANK($E$268),"",$E$268))</f>
        <v/>
      </c>
      <c r="AB268" s="2">
        <f>IF(ISERROR($F$268),"",IF(ISBLANK($F$268),"",$F$268))</f>
        <v/>
      </c>
      <c r="AC268" s="2">
        <f>IF(ISERROR($G$268),"",IF(ISBLANK($G$268),"",$G$268))</f>
        <v/>
      </c>
      <c r="AD268" s="2">
        <f>IF(ISERROR($H$268),"",IF(ISBLANK($H$268),"",$H$268))</f>
        <v/>
      </c>
      <c r="AG268" s="2">
        <f>ISERROR($B$268)*1+ISERROR($C$268)*1+ISERROR($D$268)*1+ISERROR($E$268)*1+ISERROR($F$268)*1+ISERROR($G$268)*1+ISERROR($H$268)*1</f>
        <v/>
      </c>
    </row>
    <row r="269" ht="15" customHeight="1">
      <c r="B269" s="8" t="inlineStr">
        <is>
          <t>Sobrenome — Humano</t>
        </is>
      </c>
      <c r="C269" s="8" t="inlineStr">
        <is>
          <t>Sobrenome — Xianzhouíta</t>
        </is>
      </c>
      <c r="D269" s="8" t="inlineStr">
        <is>
          <t>Sobrenome — Vidyadhara</t>
        </is>
      </c>
      <c r="E269" s="8" t="inlineStr">
        <is>
          <t>Sobrenome — Vulpes</t>
        </is>
      </c>
      <c r="F269" s="8" t="inlineStr">
        <is>
          <t>Sobrenome — Haloviano</t>
        </is>
      </c>
      <c r="G269" s="8" t="inlineStr">
        <is>
          <t>Sobrenome — Avginiano</t>
        </is>
      </c>
      <c r="H269" s="8" t="inlineStr">
        <is>
          <t>Sobrenome — Intellitron</t>
        </is>
      </c>
      <c r="N269" s="2">
        <f>N268</f>
        <v/>
      </c>
      <c r="O269" s="2">
        <f>O268</f>
        <v/>
      </c>
      <c r="P269" s="2">
        <f>P268</f>
        <v/>
      </c>
      <c r="Q269" s="2">
        <f>Q268</f>
        <v/>
      </c>
      <c r="R269" s="2">
        <f>R268</f>
        <v/>
      </c>
      <c r="S269" s="2">
        <f>S268</f>
        <v/>
      </c>
      <c r="T269" s="2">
        <f>T268</f>
        <v/>
      </c>
      <c r="X269" s="2">
        <f>IF(ISERROR($B$269),"",IF(ISBLANK($B$269),"",$B$269))</f>
        <v/>
      </c>
      <c r="Y269" s="2">
        <f>IF(ISERROR($C$269),"",IF(ISBLANK($C$269),"",$C$269))</f>
        <v/>
      </c>
      <c r="Z269" s="2">
        <f>IF(ISERROR($D$269),"",IF(ISBLANK($D$269),"",$D$269))</f>
        <v/>
      </c>
      <c r="AA269" s="2">
        <f>IF(ISERROR($E$269),"",IF(ISBLANK($E$269),"",$E$269))</f>
        <v/>
      </c>
      <c r="AB269" s="2">
        <f>IF(ISERROR($F$269),"",IF(ISBLANK($F$269),"",$F$269))</f>
        <v/>
      </c>
      <c r="AC269" s="2">
        <f>IF(ISERROR($G$269),"",IF(ISBLANK($G$269),"",$G$269))</f>
        <v/>
      </c>
      <c r="AD269" s="2">
        <f>IF(ISERROR($H$269),"",IF(ISBLANK($H$269),"",$H$269))</f>
        <v/>
      </c>
    </row>
    <row r="270" ht="26" customHeight="1">
      <c r="B270" s="33" t="inlineStr">
        <is>
          <t>Abernathy</t>
        </is>
      </c>
      <c r="C270" s="4" t="inlineStr">
        <is>
          <t>Ou</t>
        </is>
      </c>
      <c r="D270" s="4" t="inlineStr">
        <is>
          <t>da Água que Lembra</t>
        </is>
      </c>
      <c r="E270" s="4" t="inlineStr">
        <is>
          <t>Lucro Paciente</t>
        </is>
      </c>
      <c r="F270" s="4" t="inlineStr">
        <is>
          <t>Cantiga de Roda</t>
        </is>
      </c>
      <c r="G270" s="4" t="inlineStr">
        <is>
          <t>Sol Poente</t>
        </is>
      </c>
      <c r="H270" s="4" t="inlineStr">
        <is>
          <t>Calma</t>
        </is>
      </c>
      <c r="K270" s="19">
        <f>IF(AG270&gt;0,"O Google leu como fórmula: digite de novo com ' na frente.","")</f>
        <v/>
      </c>
      <c r="N270" s="2">
        <f>N269+IF(LEN($X$270)&gt;0,1,0)</f>
        <v/>
      </c>
      <c r="O270" s="2">
        <f>O269+IF(LEN($Y$270)&gt;0,1,0)</f>
        <v/>
      </c>
      <c r="P270" s="2">
        <f>P269+IF(LEN($Z$270)&gt;0,1,0)</f>
        <v/>
      </c>
      <c r="Q270" s="2">
        <f>Q269+IF(LEN($AA$270)&gt;0,1,0)</f>
        <v/>
      </c>
      <c r="R270" s="2">
        <f>R269+IF(LEN($AB$270)&gt;0,1,0)</f>
        <v/>
      </c>
      <c r="S270" s="2">
        <f>S269+IF(LEN($AC$270)&gt;0,1,0)</f>
        <v/>
      </c>
      <c r="T270" s="2">
        <f>T269+IF(LEN($AD$270)&gt;0,1,0)</f>
        <v/>
      </c>
      <c r="X270" s="2">
        <f>IF(ISERROR($B$270),"",IF(ISBLANK($B$270),"",$B$270))</f>
        <v/>
      </c>
      <c r="Y270" s="2">
        <f>IF(ISERROR($C$270),"",IF(ISBLANK($C$270),"",$C$270))</f>
        <v/>
      </c>
      <c r="Z270" s="2">
        <f>IF(ISERROR($D$270),"",IF(ISBLANK($D$270),"",$D$270))</f>
        <v/>
      </c>
      <c r="AA270" s="2">
        <f>IF(ISERROR($E$270),"",IF(ISBLANK($E$270),"",$E$270))</f>
        <v/>
      </c>
      <c r="AB270" s="2">
        <f>IF(ISERROR($F$270),"",IF(ISBLANK($F$270),"",$F$270))</f>
        <v/>
      </c>
      <c r="AC270" s="2">
        <f>IF(ISERROR($G$270),"",IF(ISBLANK($G$270),"",$G$270))</f>
        <v/>
      </c>
      <c r="AD270" s="2">
        <f>IF(ISERROR($H$270),"",IF(ISBLANK($H$270),"",$H$270))</f>
        <v/>
      </c>
      <c r="AG270" s="2">
        <f>ISERROR($B$270)*1+ISERROR($C$270)*1+ISERROR($D$270)*1+ISERROR($E$270)*1+ISERROR($F$270)*1+ISERROR($G$270)*1+ISERROR($H$270)*1</f>
        <v/>
      </c>
    </row>
    <row r="271" ht="26" customHeight="1">
      <c r="B271" s="35" t="inlineStr">
        <is>
          <t>Kaur</t>
        </is>
      </c>
      <c r="C271" s="29" t="inlineStr">
        <is>
          <t>Bian</t>
        </is>
      </c>
      <c r="D271" s="29" t="inlineStr">
        <is>
          <t>do Rio que Volta</t>
        </is>
      </c>
      <c r="E271" s="29" t="inlineStr">
        <is>
          <t>Fio de Ouro</t>
        </is>
      </c>
      <c r="F271" s="29" t="inlineStr">
        <is>
          <t>Coro das Marés</t>
        </is>
      </c>
      <c r="G271" s="29" t="inlineStr">
        <is>
          <t>Bússola Torta</t>
        </is>
      </c>
      <c r="H271" s="29" t="inlineStr">
        <is>
          <t>Curiosidade</t>
        </is>
      </c>
      <c r="K271" s="19">
        <f>IF(AG271&gt;0,"O Google leu como fórmula: digite de novo com ' na frente.","")</f>
        <v/>
      </c>
      <c r="N271" s="2">
        <f>N270+IF(LEN($X$271)&gt;0,1,0)</f>
        <v/>
      </c>
      <c r="O271" s="2">
        <f>O270+IF(LEN($Y$271)&gt;0,1,0)</f>
        <v/>
      </c>
      <c r="P271" s="2">
        <f>P270+IF(LEN($Z$271)&gt;0,1,0)</f>
        <v/>
      </c>
      <c r="Q271" s="2">
        <f>Q270+IF(LEN($AA$271)&gt;0,1,0)</f>
        <v/>
      </c>
      <c r="R271" s="2">
        <f>R270+IF(LEN($AB$271)&gt;0,1,0)</f>
        <v/>
      </c>
      <c r="S271" s="2">
        <f>S270+IF(LEN($AC$271)&gt;0,1,0)</f>
        <v/>
      </c>
      <c r="T271" s="2">
        <f>T270+IF(LEN($AD$271)&gt;0,1,0)</f>
        <v/>
      </c>
      <c r="X271" s="2">
        <f>IF(ISERROR($B$271),"",IF(ISBLANK($B$271),"",$B$271))</f>
        <v/>
      </c>
      <c r="Y271" s="2">
        <f>IF(ISERROR($C$271),"",IF(ISBLANK($C$271),"",$C$271))</f>
        <v/>
      </c>
      <c r="Z271" s="2">
        <f>IF(ISERROR($D$271),"",IF(ISBLANK($D$271),"",$D$271))</f>
        <v/>
      </c>
      <c r="AA271" s="2">
        <f>IF(ISERROR($E$271),"",IF(ISBLANK($E$271),"",$E$271))</f>
        <v/>
      </c>
      <c r="AB271" s="2">
        <f>IF(ISERROR($F$271),"",IF(ISBLANK($F$271),"",$F$271))</f>
        <v/>
      </c>
      <c r="AC271" s="2">
        <f>IF(ISERROR($G$271),"",IF(ISBLANK($G$271),"",$G$271))</f>
        <v/>
      </c>
      <c r="AD271" s="2">
        <f>IF(ISERROR($H$271),"",IF(ISBLANK($H$271),"",$H$271))</f>
        <v/>
      </c>
      <c r="AG271" s="2">
        <f>ISERROR($B$271)*1+ISERROR($C$271)*1+ISERROR($D$271)*1+ISERROR($E$271)*1+ISERROR($F$271)*1+ISERROR($G$271)*1+ISERROR($H$271)*1</f>
        <v/>
      </c>
    </row>
    <row r="272" ht="26" customHeight="1">
      <c r="B272" s="33" t="inlineStr">
        <is>
          <t>Lisboa</t>
        </is>
      </c>
      <c r="C272" s="4" t="inlineStr">
        <is>
          <t>Gong</t>
        </is>
      </c>
      <c r="D272" s="4" t="inlineStr">
        <is>
          <t>da Maré Cheia</t>
        </is>
      </c>
      <c r="E272" s="4" t="inlineStr">
        <is>
          <t>Nove Recibos</t>
        </is>
      </c>
      <c r="F272" s="4" t="inlineStr">
        <is>
          <t>Acorde Menor</t>
        </is>
      </c>
      <c r="G272" s="4" t="inlineStr">
        <is>
          <t>Noite Fria</t>
        </is>
      </c>
      <c r="H272" s="4" t="inlineStr">
        <is>
          <t>Esperança</t>
        </is>
      </c>
      <c r="K272" s="19">
        <f>IF(AG272&gt;0,"O Google leu como fórmula: digite de novo com ' na frente.","")</f>
        <v/>
      </c>
      <c r="N272" s="2">
        <f>N271+IF(LEN($X$272)&gt;0,1,0)</f>
        <v/>
      </c>
      <c r="O272" s="2">
        <f>O271+IF(LEN($Y$272)&gt;0,1,0)</f>
        <v/>
      </c>
      <c r="P272" s="2">
        <f>P271+IF(LEN($Z$272)&gt;0,1,0)</f>
        <v/>
      </c>
      <c r="Q272" s="2">
        <f>Q271+IF(LEN($AA$272)&gt;0,1,0)</f>
        <v/>
      </c>
      <c r="R272" s="2">
        <f>R271+IF(LEN($AB$272)&gt;0,1,0)</f>
        <v/>
      </c>
      <c r="S272" s="2">
        <f>S271+IF(LEN($AC$272)&gt;0,1,0)</f>
        <v/>
      </c>
      <c r="T272" s="2">
        <f>T271+IF(LEN($AD$272)&gt;0,1,0)</f>
        <v/>
      </c>
      <c r="X272" s="2">
        <f>IF(ISERROR($B$272),"",IF(ISBLANK($B$272),"",$B$272))</f>
        <v/>
      </c>
      <c r="Y272" s="2">
        <f>IF(ISERROR($C$272),"",IF(ISBLANK($C$272),"",$C$272))</f>
        <v/>
      </c>
      <c r="Z272" s="2">
        <f>IF(ISERROR($D$272),"",IF(ISBLANK($D$272),"",$D$272))</f>
        <v/>
      </c>
      <c r="AA272" s="2">
        <f>IF(ISERROR($E$272),"",IF(ISBLANK($E$272),"",$E$272))</f>
        <v/>
      </c>
      <c r="AB272" s="2">
        <f>IF(ISERROR($F$272),"",IF(ISBLANK($F$272),"",$F$272))</f>
        <v/>
      </c>
      <c r="AC272" s="2">
        <f>IF(ISERROR($G$272),"",IF(ISBLANK($G$272),"",$G$272))</f>
        <v/>
      </c>
      <c r="AD272" s="2">
        <f>IF(ISERROR($H$272),"",IF(ISBLANK($H$272),"",$H$272))</f>
        <v/>
      </c>
      <c r="AG272" s="2">
        <f>ISERROR($B$272)*1+ISERROR($C$272)*1+ISERROR($D$272)*1+ISERROR($E$272)*1+ISERROR($F$272)*1+ISERROR($G$272)*1+ISERROR($H$272)*1</f>
        <v/>
      </c>
    </row>
    <row r="273" ht="26" customHeight="1">
      <c r="B273" s="35" t="inlineStr">
        <is>
          <t>Ostrowski</t>
        </is>
      </c>
      <c r="C273" s="29" t="inlineStr">
        <is>
          <t>Zhuo</t>
        </is>
      </c>
      <c r="D273" s="29" t="inlineStr">
        <is>
          <t>das Algas Altas</t>
        </is>
      </c>
      <c r="E273" s="29" t="inlineStr">
        <is>
          <t>Cauda Inquieta</t>
        </is>
      </c>
      <c r="F273" s="29" t="inlineStr">
        <is>
          <t>Canção do Retorno</t>
        </is>
      </c>
      <c r="G273" s="29" t="inlineStr">
        <is>
          <t>Muitos Portos</t>
        </is>
      </c>
      <c r="H273" s="29" t="inlineStr">
        <is>
          <t>Fôlego</t>
        </is>
      </c>
      <c r="K273" s="19">
        <f>IF(AG273&gt;0,"O Google leu como fórmula: digite de novo com ' na frente.","")</f>
        <v/>
      </c>
      <c r="N273" s="2">
        <f>N272+IF(LEN($X$273)&gt;0,1,0)</f>
        <v/>
      </c>
      <c r="O273" s="2">
        <f>O272+IF(LEN($Y$273)&gt;0,1,0)</f>
        <v/>
      </c>
      <c r="P273" s="2">
        <f>P272+IF(LEN($Z$273)&gt;0,1,0)</f>
        <v/>
      </c>
      <c r="Q273" s="2">
        <f>Q272+IF(LEN($AA$273)&gt;0,1,0)</f>
        <v/>
      </c>
      <c r="R273" s="2">
        <f>R272+IF(LEN($AB$273)&gt;0,1,0)</f>
        <v/>
      </c>
      <c r="S273" s="2">
        <f>S272+IF(LEN($AC$273)&gt;0,1,0)</f>
        <v/>
      </c>
      <c r="T273" s="2">
        <f>T272+IF(LEN($AD$273)&gt;0,1,0)</f>
        <v/>
      </c>
      <c r="X273" s="2">
        <f>IF(ISERROR($B$273),"",IF(ISBLANK($B$273),"",$B$273))</f>
        <v/>
      </c>
      <c r="Y273" s="2">
        <f>IF(ISERROR($C$273),"",IF(ISBLANK($C$273),"",$C$273))</f>
        <v/>
      </c>
      <c r="Z273" s="2">
        <f>IF(ISERROR($D$273),"",IF(ISBLANK($D$273),"",$D$273))</f>
        <v/>
      </c>
      <c r="AA273" s="2">
        <f>IF(ISERROR($E$273),"",IF(ISBLANK($E$273),"",$E$273))</f>
        <v/>
      </c>
      <c r="AB273" s="2">
        <f>IF(ISERROR($F$273),"",IF(ISBLANK($F$273),"",$F$273))</f>
        <v/>
      </c>
      <c r="AC273" s="2">
        <f>IF(ISERROR($G$273),"",IF(ISBLANK($G$273),"",$G$273))</f>
        <v/>
      </c>
      <c r="AD273" s="2">
        <f>IF(ISERROR($H$273),"",IF(ISBLANK($H$273),"",$H$273))</f>
        <v/>
      </c>
      <c r="AG273" s="2">
        <f>ISERROR($B$273)*1+ISERROR($C$273)*1+ISERROR($D$273)*1+ISERROR($E$273)*1+ISERROR($F$273)*1+ISERROR($G$273)*1+ISERROR($H$273)*1</f>
        <v/>
      </c>
    </row>
    <row r="274" ht="26" customHeight="1">
      <c r="B274" s="33" t="inlineStr">
        <is>
          <t>Duarte-Kim</t>
        </is>
      </c>
      <c r="C274" s="4" t="inlineStr">
        <is>
          <t>Cui</t>
        </is>
      </c>
      <c r="D274" s="4" t="n"/>
      <c r="E274" s="4" t="n"/>
      <c r="F274" s="4" t="n"/>
      <c r="G274" s="4" t="n"/>
      <c r="H274" s="4" t="n"/>
      <c r="K274" s="19">
        <f>IF(AG274&gt;0,"O Google leu como fórmula: digite de novo com ' na frente.","")</f>
        <v/>
      </c>
      <c r="N274" s="2">
        <f>N273+IF(LEN($X$274)&gt;0,1,0)</f>
        <v/>
      </c>
      <c r="O274" s="2">
        <f>O273+IF(LEN($Y$274)&gt;0,1,0)</f>
        <v/>
      </c>
      <c r="P274" s="2">
        <f>P273+IF(LEN($Z$274)&gt;0,1,0)</f>
        <v/>
      </c>
      <c r="Q274" s="2">
        <f>Q273+IF(LEN($AA$274)&gt;0,1,0)</f>
        <v/>
      </c>
      <c r="R274" s="2">
        <f>R273+IF(LEN($AB$274)&gt;0,1,0)</f>
        <v/>
      </c>
      <c r="S274" s="2">
        <f>S273+IF(LEN($AC$274)&gt;0,1,0)</f>
        <v/>
      </c>
      <c r="T274" s="2">
        <f>T273+IF(LEN($AD$274)&gt;0,1,0)</f>
        <v/>
      </c>
      <c r="X274" s="2">
        <f>IF(ISERROR($B$274),"",IF(ISBLANK($B$274),"",$B$274))</f>
        <v/>
      </c>
      <c r="Y274" s="2">
        <f>IF(ISERROR($C$274),"",IF(ISBLANK($C$274),"",$C$274))</f>
        <v/>
      </c>
      <c r="Z274" s="2">
        <f>IF(ISERROR($D$274),"",IF(ISBLANK($D$274),"",$D$274))</f>
        <v/>
      </c>
      <c r="AA274" s="2">
        <f>IF(ISERROR($E$274),"",IF(ISBLANK($E$274),"",$E$274))</f>
        <v/>
      </c>
      <c r="AB274" s="2">
        <f>IF(ISERROR($F$274),"",IF(ISBLANK($F$274),"",$F$274))</f>
        <v/>
      </c>
      <c r="AC274" s="2">
        <f>IF(ISERROR($G$274),"",IF(ISBLANK($G$274),"",$G$274))</f>
        <v/>
      </c>
      <c r="AD274" s="2">
        <f>IF(ISERROR($H$274),"",IF(ISBLANK($H$274),"",$H$274))</f>
        <v/>
      </c>
      <c r="AG274" s="2">
        <f>ISERROR($B$274)*1+ISERROR($C$274)*1+ISERROR($D$274)*1+ISERROR($E$274)*1+ISERROR($F$274)*1+ISERROR($G$274)*1+ISERROR($H$274)*1</f>
        <v/>
      </c>
    </row>
    <row r="275" ht="26" customHeight="1">
      <c r="B275" s="35" t="n"/>
      <c r="C275" s="29" t="inlineStr">
        <is>
          <t>Gao</t>
        </is>
      </c>
      <c r="D275" s="29" t="n"/>
      <c r="E275" s="29" t="n"/>
      <c r="F275" s="29" t="n"/>
      <c r="G275" s="29" t="n"/>
      <c r="H275" s="29" t="n"/>
      <c r="K275" s="19">
        <f>IF(AG275&gt;0,"O Google leu como fórmula: digite de novo com ' na frente.","")</f>
        <v/>
      </c>
      <c r="N275" s="2">
        <f>N274+IF(LEN($X$275)&gt;0,1,0)</f>
        <v/>
      </c>
      <c r="O275" s="2">
        <f>O274+IF(LEN($Y$275)&gt;0,1,0)</f>
        <v/>
      </c>
      <c r="P275" s="2">
        <f>P274+IF(LEN($Z$275)&gt;0,1,0)</f>
        <v/>
      </c>
      <c r="Q275" s="2">
        <f>Q274+IF(LEN($AA$275)&gt;0,1,0)</f>
        <v/>
      </c>
      <c r="R275" s="2">
        <f>R274+IF(LEN($AB$275)&gt;0,1,0)</f>
        <v/>
      </c>
      <c r="S275" s="2">
        <f>S274+IF(LEN($AC$275)&gt;0,1,0)</f>
        <v/>
      </c>
      <c r="T275" s="2">
        <f>T274+IF(LEN($AD$275)&gt;0,1,0)</f>
        <v/>
      </c>
      <c r="X275" s="2">
        <f>IF(ISERROR($B$275),"",IF(ISBLANK($B$275),"",$B$275))</f>
        <v/>
      </c>
      <c r="Y275" s="2">
        <f>IF(ISERROR($C$275),"",IF(ISBLANK($C$275),"",$C$275))</f>
        <v/>
      </c>
      <c r="Z275" s="2">
        <f>IF(ISERROR($D$275),"",IF(ISBLANK($D$275),"",$D$275))</f>
        <v/>
      </c>
      <c r="AA275" s="2">
        <f>IF(ISERROR($E$275),"",IF(ISBLANK($E$275),"",$E$275))</f>
        <v/>
      </c>
      <c r="AB275" s="2">
        <f>IF(ISERROR($F$275),"",IF(ISBLANK($F$275),"",$F$275))</f>
        <v/>
      </c>
      <c r="AC275" s="2">
        <f>IF(ISERROR($G$275),"",IF(ISBLANK($G$275),"",$G$275))</f>
        <v/>
      </c>
      <c r="AD275" s="2">
        <f>IF(ISERROR($H$275),"",IF(ISBLANK($H$275),"",$H$275))</f>
        <v/>
      </c>
      <c r="AG275" s="2">
        <f>ISERROR($B$275)*1+ISERROR($C$275)*1+ISERROR($D$275)*1+ISERROR($E$275)*1+ISERROR($F$275)*1+ISERROR($G$275)*1+ISERROR($H$275)*1</f>
        <v/>
      </c>
    </row>
    <row r="276" ht="26" customHeight="1">
      <c r="B276" s="33" t="n"/>
      <c r="C276" s="4" t="n"/>
      <c r="D276" s="4" t="n"/>
      <c r="E276" s="4" t="n"/>
      <c r="F276" s="4" t="n"/>
      <c r="G276" s="4" t="n"/>
      <c r="H276" s="4" t="n"/>
      <c r="K276" s="19">
        <f>IF(AG276&gt;0,"O Google leu como fórmula: digite de novo com ' na frente.","")</f>
        <v/>
      </c>
      <c r="N276" s="2">
        <f>N275+IF(LEN($X$276)&gt;0,1,0)</f>
        <v/>
      </c>
      <c r="O276" s="2">
        <f>O275+IF(LEN($Y$276)&gt;0,1,0)</f>
        <v/>
      </c>
      <c r="P276" s="2">
        <f>P275+IF(LEN($Z$276)&gt;0,1,0)</f>
        <v/>
      </c>
      <c r="Q276" s="2">
        <f>Q275+IF(LEN($AA$276)&gt;0,1,0)</f>
        <v/>
      </c>
      <c r="R276" s="2">
        <f>R275+IF(LEN($AB$276)&gt;0,1,0)</f>
        <v/>
      </c>
      <c r="S276" s="2">
        <f>S275+IF(LEN($AC$276)&gt;0,1,0)</f>
        <v/>
      </c>
      <c r="T276" s="2">
        <f>T275+IF(LEN($AD$276)&gt;0,1,0)</f>
        <v/>
      </c>
      <c r="X276" s="2">
        <f>IF(ISERROR($B$276),"",IF(ISBLANK($B$276),"",$B$276))</f>
        <v/>
      </c>
      <c r="Y276" s="2">
        <f>IF(ISERROR($C$276),"",IF(ISBLANK($C$276),"",$C$276))</f>
        <v/>
      </c>
      <c r="Z276" s="2">
        <f>IF(ISERROR($D$276),"",IF(ISBLANK($D$276),"",$D$276))</f>
        <v/>
      </c>
      <c r="AA276" s="2">
        <f>IF(ISERROR($E$276),"",IF(ISBLANK($E$276),"",$E$276))</f>
        <v/>
      </c>
      <c r="AB276" s="2">
        <f>IF(ISERROR($F$276),"",IF(ISBLANK($F$276),"",$F$276))</f>
        <v/>
      </c>
      <c r="AC276" s="2">
        <f>IF(ISERROR($G$276),"",IF(ISBLANK($G$276),"",$G$276))</f>
        <v/>
      </c>
      <c r="AD276" s="2">
        <f>IF(ISERROR($H$276),"",IF(ISBLANK($H$276),"",$H$276))</f>
        <v/>
      </c>
      <c r="AG276" s="2">
        <f>ISERROR($B$276)*1+ISERROR($C$276)*1+ISERROR($D$276)*1+ISERROR($E$276)*1+ISERROR($F$276)*1+ISERROR($G$276)*1+ISERROR($H$276)*1</f>
        <v/>
      </c>
    </row>
    <row r="277" ht="26" customHeight="1">
      <c r="B277" s="35" t="n"/>
      <c r="C277" s="29" t="n"/>
      <c r="D277" s="29" t="n"/>
      <c r="E277" s="29" t="n"/>
      <c r="F277" s="29" t="n"/>
      <c r="G277" s="29" t="n"/>
      <c r="H277" s="29" t="n"/>
      <c r="K277" s="19">
        <f>IF(AG277&gt;0,"O Google leu como fórmula: digite de novo com ' na frente.","")</f>
        <v/>
      </c>
      <c r="N277" s="2">
        <f>N276+IF(LEN($X$277)&gt;0,1,0)</f>
        <v/>
      </c>
      <c r="O277" s="2">
        <f>O276+IF(LEN($Y$277)&gt;0,1,0)</f>
        <v/>
      </c>
      <c r="P277" s="2">
        <f>P276+IF(LEN($Z$277)&gt;0,1,0)</f>
        <v/>
      </c>
      <c r="Q277" s="2">
        <f>Q276+IF(LEN($AA$277)&gt;0,1,0)</f>
        <v/>
      </c>
      <c r="R277" s="2">
        <f>R276+IF(LEN($AB$277)&gt;0,1,0)</f>
        <v/>
      </c>
      <c r="S277" s="2">
        <f>S276+IF(LEN($AC$277)&gt;0,1,0)</f>
        <v/>
      </c>
      <c r="T277" s="2">
        <f>T276+IF(LEN($AD$277)&gt;0,1,0)</f>
        <v/>
      </c>
      <c r="X277" s="2">
        <f>IF(ISERROR($B$277),"",IF(ISBLANK($B$277),"",$B$277))</f>
        <v/>
      </c>
      <c r="Y277" s="2">
        <f>IF(ISERROR($C$277),"",IF(ISBLANK($C$277),"",$C$277))</f>
        <v/>
      </c>
      <c r="Z277" s="2">
        <f>IF(ISERROR($D$277),"",IF(ISBLANK($D$277),"",$D$277))</f>
        <v/>
      </c>
      <c r="AA277" s="2">
        <f>IF(ISERROR($E$277),"",IF(ISBLANK($E$277),"",$E$277))</f>
        <v/>
      </c>
      <c r="AB277" s="2">
        <f>IF(ISERROR($F$277),"",IF(ISBLANK($F$277),"",$F$277))</f>
        <v/>
      </c>
      <c r="AC277" s="2">
        <f>IF(ISERROR($G$277),"",IF(ISBLANK($G$277),"",$G$277))</f>
        <v/>
      </c>
      <c r="AD277" s="2">
        <f>IF(ISERROR($H$277),"",IF(ISBLANK($H$277),"",$H$277))</f>
        <v/>
      </c>
      <c r="AG277" s="2">
        <f>ISERROR($B$277)*1+ISERROR($C$277)*1+ISERROR($D$277)*1+ISERROR($E$277)*1+ISERROR($F$277)*1+ISERROR($G$277)*1+ISERROR($H$277)*1</f>
        <v/>
      </c>
    </row>
    <row r="278" ht="26" customHeight="1">
      <c r="B278" s="33" t="n"/>
      <c r="C278" s="4" t="n"/>
      <c r="D278" s="4" t="n"/>
      <c r="E278" s="4" t="n"/>
      <c r="F278" s="4" t="n"/>
      <c r="G278" s="4" t="n"/>
      <c r="H278" s="4" t="n"/>
      <c r="K278" s="19">
        <f>IF(AG278&gt;0,"O Google leu como fórmula: digite de novo com ' na frente.","")</f>
        <v/>
      </c>
      <c r="N278" s="2">
        <f>N277+IF(LEN($X$278)&gt;0,1,0)</f>
        <v/>
      </c>
      <c r="O278" s="2">
        <f>O277+IF(LEN($Y$278)&gt;0,1,0)</f>
        <v/>
      </c>
      <c r="P278" s="2">
        <f>P277+IF(LEN($Z$278)&gt;0,1,0)</f>
        <v/>
      </c>
      <c r="Q278" s="2">
        <f>Q277+IF(LEN($AA$278)&gt;0,1,0)</f>
        <v/>
      </c>
      <c r="R278" s="2">
        <f>R277+IF(LEN($AB$278)&gt;0,1,0)</f>
        <v/>
      </c>
      <c r="S278" s="2">
        <f>S277+IF(LEN($AC$278)&gt;0,1,0)</f>
        <v/>
      </c>
      <c r="T278" s="2">
        <f>T277+IF(LEN($AD$278)&gt;0,1,0)</f>
        <v/>
      </c>
      <c r="X278" s="2">
        <f>IF(ISERROR($B$278),"",IF(ISBLANK($B$278),"",$B$278))</f>
        <v/>
      </c>
      <c r="Y278" s="2">
        <f>IF(ISERROR($C$278),"",IF(ISBLANK($C$278),"",$C$278))</f>
        <v/>
      </c>
      <c r="Z278" s="2">
        <f>IF(ISERROR($D$278),"",IF(ISBLANK($D$278),"",$D$278))</f>
        <v/>
      </c>
      <c r="AA278" s="2">
        <f>IF(ISERROR($E$278),"",IF(ISBLANK($E$278),"",$E$278))</f>
        <v/>
      </c>
      <c r="AB278" s="2">
        <f>IF(ISERROR($F$278),"",IF(ISBLANK($F$278),"",$F$278))</f>
        <v/>
      </c>
      <c r="AC278" s="2">
        <f>IF(ISERROR($G$278),"",IF(ISBLANK($G$278),"",$G$278))</f>
        <v/>
      </c>
      <c r="AD278" s="2">
        <f>IF(ISERROR($H$278),"",IF(ISBLANK($H$278),"",$H$278))</f>
        <v/>
      </c>
      <c r="AG278" s="2">
        <f>ISERROR($B$278)*1+ISERROR($C$278)*1+ISERROR($D$278)*1+ISERROR($E$278)*1+ISERROR($F$278)*1+ISERROR($G$278)*1+ISERROR($H$278)*1</f>
        <v/>
      </c>
    </row>
    <row r="279" ht="26" customHeight="1">
      <c r="B279" s="35" t="n"/>
      <c r="C279" s="29" t="n"/>
      <c r="D279" s="29" t="n"/>
      <c r="E279" s="29" t="n"/>
      <c r="F279" s="29" t="n"/>
      <c r="G279" s="29" t="n"/>
      <c r="H279" s="29" t="n"/>
      <c r="K279" s="19">
        <f>IF(AG279&gt;0,"O Google leu como fórmula: digite de novo com ' na frente.","")</f>
        <v/>
      </c>
      <c r="N279" s="2">
        <f>N278+IF(LEN($X$279)&gt;0,1,0)</f>
        <v/>
      </c>
      <c r="O279" s="2">
        <f>O278+IF(LEN($Y$279)&gt;0,1,0)</f>
        <v/>
      </c>
      <c r="P279" s="2">
        <f>P278+IF(LEN($Z$279)&gt;0,1,0)</f>
        <v/>
      </c>
      <c r="Q279" s="2">
        <f>Q278+IF(LEN($AA$279)&gt;0,1,0)</f>
        <v/>
      </c>
      <c r="R279" s="2">
        <f>R278+IF(LEN($AB$279)&gt;0,1,0)</f>
        <v/>
      </c>
      <c r="S279" s="2">
        <f>S278+IF(LEN($AC$279)&gt;0,1,0)</f>
        <v/>
      </c>
      <c r="T279" s="2">
        <f>T278+IF(LEN($AD$279)&gt;0,1,0)</f>
        <v/>
      </c>
      <c r="X279" s="2">
        <f>IF(ISERROR($B$279),"",IF(ISBLANK($B$279),"",$B$279))</f>
        <v/>
      </c>
      <c r="Y279" s="2">
        <f>IF(ISERROR($C$279),"",IF(ISBLANK($C$279),"",$C$279))</f>
        <v/>
      </c>
      <c r="Z279" s="2">
        <f>IF(ISERROR($D$279),"",IF(ISBLANK($D$279),"",$D$279))</f>
        <v/>
      </c>
      <c r="AA279" s="2">
        <f>IF(ISERROR($E$279),"",IF(ISBLANK($E$279),"",$E$279))</f>
        <v/>
      </c>
      <c r="AB279" s="2">
        <f>IF(ISERROR($F$279),"",IF(ISBLANK($F$279),"",$F$279))</f>
        <v/>
      </c>
      <c r="AC279" s="2">
        <f>IF(ISERROR($G$279),"",IF(ISBLANK($G$279),"",$G$279))</f>
        <v/>
      </c>
      <c r="AD279" s="2">
        <f>IF(ISERROR($H$279),"",IF(ISBLANK($H$279),"",$H$279))</f>
        <v/>
      </c>
      <c r="AG279" s="2">
        <f>ISERROR($B$279)*1+ISERROR($C$279)*1+ISERROR($D$279)*1+ISERROR($E$279)*1+ISERROR($F$279)*1+ISERROR($G$279)*1+ISERROR($H$279)*1</f>
        <v/>
      </c>
    </row>
    <row r="280" ht="26" customHeight="1">
      <c r="B280" s="33" t="n"/>
      <c r="C280" s="4" t="n"/>
      <c r="D280" s="4" t="n"/>
      <c r="E280" s="4" t="n"/>
      <c r="F280" s="4" t="n"/>
      <c r="G280" s="4" t="n"/>
      <c r="H280" s="4" t="n"/>
      <c r="K280" s="19">
        <f>IF(AG280&gt;0,"O Google leu como fórmula: digite de novo com ' na frente.","")</f>
        <v/>
      </c>
      <c r="N280" s="2">
        <f>N279+IF(LEN($X$280)&gt;0,1,0)</f>
        <v/>
      </c>
      <c r="O280" s="2">
        <f>O279+IF(LEN($Y$280)&gt;0,1,0)</f>
        <v/>
      </c>
      <c r="P280" s="2">
        <f>P279+IF(LEN($Z$280)&gt;0,1,0)</f>
        <v/>
      </c>
      <c r="Q280" s="2">
        <f>Q279+IF(LEN($AA$280)&gt;0,1,0)</f>
        <v/>
      </c>
      <c r="R280" s="2">
        <f>R279+IF(LEN($AB$280)&gt;0,1,0)</f>
        <v/>
      </c>
      <c r="S280" s="2">
        <f>S279+IF(LEN($AC$280)&gt;0,1,0)</f>
        <v/>
      </c>
      <c r="T280" s="2">
        <f>T279+IF(LEN($AD$280)&gt;0,1,0)</f>
        <v/>
      </c>
      <c r="X280" s="2">
        <f>IF(ISERROR($B$280),"",IF(ISBLANK($B$280),"",$B$280))</f>
        <v/>
      </c>
      <c r="Y280" s="2">
        <f>IF(ISERROR($C$280),"",IF(ISBLANK($C$280),"",$C$280))</f>
        <v/>
      </c>
      <c r="Z280" s="2">
        <f>IF(ISERROR($D$280),"",IF(ISBLANK($D$280),"",$D$280))</f>
        <v/>
      </c>
      <c r="AA280" s="2">
        <f>IF(ISERROR($E$280),"",IF(ISBLANK($E$280),"",$E$280))</f>
        <v/>
      </c>
      <c r="AB280" s="2">
        <f>IF(ISERROR($F$280),"",IF(ISBLANK($F$280),"",$F$280))</f>
        <v/>
      </c>
      <c r="AC280" s="2">
        <f>IF(ISERROR($G$280),"",IF(ISBLANK($G$280),"",$G$280))</f>
        <v/>
      </c>
      <c r="AD280" s="2">
        <f>IF(ISERROR($H$280),"",IF(ISBLANK($H$280),"",$H$280))</f>
        <v/>
      </c>
      <c r="AG280" s="2">
        <f>ISERROR($B$280)*1+ISERROR($C$280)*1+ISERROR($D$280)*1+ISERROR($E$280)*1+ISERROR($F$280)*1+ISERROR($G$280)*1+ISERROR($H$280)*1</f>
        <v/>
      </c>
    </row>
    <row r="281" ht="26" customHeight="1">
      <c r="B281" s="35" t="n"/>
      <c r="C281" s="29" t="n"/>
      <c r="D281" s="29" t="n"/>
      <c r="E281" s="29" t="n"/>
      <c r="F281" s="29" t="n"/>
      <c r="G281" s="29" t="n"/>
      <c r="H281" s="29" t="n"/>
      <c r="K281" s="19">
        <f>IF(AG281&gt;0,"O Google leu como fórmula: digite de novo com ' na frente.","")</f>
        <v/>
      </c>
      <c r="N281" s="2">
        <f>N280+IF(LEN($X$281)&gt;0,1,0)</f>
        <v/>
      </c>
      <c r="O281" s="2">
        <f>O280+IF(LEN($Y$281)&gt;0,1,0)</f>
        <v/>
      </c>
      <c r="P281" s="2">
        <f>P280+IF(LEN($Z$281)&gt;0,1,0)</f>
        <v/>
      </c>
      <c r="Q281" s="2">
        <f>Q280+IF(LEN($AA$281)&gt;0,1,0)</f>
        <v/>
      </c>
      <c r="R281" s="2">
        <f>R280+IF(LEN($AB$281)&gt;0,1,0)</f>
        <v/>
      </c>
      <c r="S281" s="2">
        <f>S280+IF(LEN($AC$281)&gt;0,1,0)</f>
        <v/>
      </c>
      <c r="T281" s="2">
        <f>T280+IF(LEN($AD$281)&gt;0,1,0)</f>
        <v/>
      </c>
      <c r="X281" s="2">
        <f>IF(ISERROR($B$281),"",IF(ISBLANK($B$281),"",$B$281))</f>
        <v/>
      </c>
      <c r="Y281" s="2">
        <f>IF(ISERROR($C$281),"",IF(ISBLANK($C$281),"",$C$281))</f>
        <v/>
      </c>
      <c r="Z281" s="2">
        <f>IF(ISERROR($D$281),"",IF(ISBLANK($D$281),"",$D$281))</f>
        <v/>
      </c>
      <c r="AA281" s="2">
        <f>IF(ISERROR($E$281),"",IF(ISBLANK($E$281),"",$E$281))</f>
        <v/>
      </c>
      <c r="AB281" s="2">
        <f>IF(ISERROR($F$281),"",IF(ISBLANK($F$281),"",$F$281))</f>
        <v/>
      </c>
      <c r="AC281" s="2">
        <f>IF(ISERROR($G$281),"",IF(ISBLANK($G$281),"",$G$281))</f>
        <v/>
      </c>
      <c r="AD281" s="2">
        <f>IF(ISERROR($H$281),"",IF(ISBLANK($H$281),"",$H$281))</f>
        <v/>
      </c>
      <c r="AG281" s="2">
        <f>ISERROR($B$281)*1+ISERROR($C$281)*1+ISERROR($D$281)*1+ISERROR($E$281)*1+ISERROR($F$281)*1+ISERROR($G$281)*1+ISERROR($H$281)*1</f>
        <v/>
      </c>
    </row>
    <row r="282" ht="26" customHeight="1">
      <c r="B282" s="33" t="n"/>
      <c r="C282" s="4" t="n"/>
      <c r="D282" s="4" t="n"/>
      <c r="E282" s="4" t="n"/>
      <c r="F282" s="4" t="n"/>
      <c r="G282" s="4" t="n"/>
      <c r="H282" s="4" t="n"/>
      <c r="K282" s="19">
        <f>IF(AG282&gt;0,"O Google leu como fórmula: digite de novo com ' na frente.","")</f>
        <v/>
      </c>
      <c r="N282" s="2">
        <f>N281+IF(LEN($X$282)&gt;0,1,0)</f>
        <v/>
      </c>
      <c r="O282" s="2">
        <f>O281+IF(LEN($Y$282)&gt;0,1,0)</f>
        <v/>
      </c>
      <c r="P282" s="2">
        <f>P281+IF(LEN($Z$282)&gt;0,1,0)</f>
        <v/>
      </c>
      <c r="Q282" s="2">
        <f>Q281+IF(LEN($AA$282)&gt;0,1,0)</f>
        <v/>
      </c>
      <c r="R282" s="2">
        <f>R281+IF(LEN($AB$282)&gt;0,1,0)</f>
        <v/>
      </c>
      <c r="S282" s="2">
        <f>S281+IF(LEN($AC$282)&gt;0,1,0)</f>
        <v/>
      </c>
      <c r="T282" s="2">
        <f>T281+IF(LEN($AD$282)&gt;0,1,0)</f>
        <v/>
      </c>
      <c r="X282" s="2">
        <f>IF(ISERROR($B$282),"",IF(ISBLANK($B$282),"",$B$282))</f>
        <v/>
      </c>
      <c r="Y282" s="2">
        <f>IF(ISERROR($C$282),"",IF(ISBLANK($C$282),"",$C$282))</f>
        <v/>
      </c>
      <c r="Z282" s="2">
        <f>IF(ISERROR($D$282),"",IF(ISBLANK($D$282),"",$D$282))</f>
        <v/>
      </c>
      <c r="AA282" s="2">
        <f>IF(ISERROR($E$282),"",IF(ISBLANK($E$282),"",$E$282))</f>
        <v/>
      </c>
      <c r="AB282" s="2">
        <f>IF(ISERROR($F$282),"",IF(ISBLANK($F$282),"",$F$282))</f>
        <v/>
      </c>
      <c r="AC282" s="2">
        <f>IF(ISERROR($G$282),"",IF(ISBLANK($G$282),"",$G$282))</f>
        <v/>
      </c>
      <c r="AD282" s="2">
        <f>IF(ISERROR($H$282),"",IF(ISBLANK($H$282),"",$H$282))</f>
        <v/>
      </c>
      <c r="AG282" s="2">
        <f>ISERROR($B$282)*1+ISERROR($C$282)*1+ISERROR($D$282)*1+ISERROR($E$282)*1+ISERROR($F$282)*1+ISERROR($G$282)*1+ISERROR($H$282)*1</f>
        <v/>
      </c>
    </row>
    <row r="283" ht="15" customHeight="1">
      <c r="B283" s="8" t="inlineStr">
        <is>
          <t>Sobrenome — Humano</t>
        </is>
      </c>
      <c r="C283" s="8" t="inlineStr">
        <is>
          <t>Sobrenome — Xianzhouíta</t>
        </is>
      </c>
      <c r="D283" s="8" t="inlineStr">
        <is>
          <t>Sobrenome — Vidyadhara</t>
        </is>
      </c>
      <c r="E283" s="8" t="inlineStr">
        <is>
          <t>Sobrenome — Vulpes</t>
        </is>
      </c>
      <c r="F283" s="8" t="inlineStr">
        <is>
          <t>Sobrenome — Haloviano</t>
        </is>
      </c>
      <c r="G283" s="8" t="inlineStr">
        <is>
          <t>Sobrenome — Avginiano</t>
        </is>
      </c>
      <c r="H283" s="8" t="inlineStr">
        <is>
          <t>Sobrenome — Intellitron</t>
        </is>
      </c>
      <c r="N283" s="2">
        <f>N282</f>
        <v/>
      </c>
      <c r="O283" s="2">
        <f>O282</f>
        <v/>
      </c>
      <c r="P283" s="2">
        <f>P282</f>
        <v/>
      </c>
      <c r="Q283" s="2">
        <f>Q282</f>
        <v/>
      </c>
      <c r="R283" s="2">
        <f>R282</f>
        <v/>
      </c>
      <c r="S283" s="2">
        <f>S282</f>
        <v/>
      </c>
      <c r="T283" s="2">
        <f>T282</f>
        <v/>
      </c>
      <c r="X283" s="2">
        <f>IF(ISERROR($B$283),"",IF(ISBLANK($B$283),"",$B$283))</f>
        <v/>
      </c>
      <c r="Y283" s="2">
        <f>IF(ISERROR($C$283),"",IF(ISBLANK($C$283),"",$C$283))</f>
        <v/>
      </c>
      <c r="Z283" s="2">
        <f>IF(ISERROR($D$283),"",IF(ISBLANK($D$283),"",$D$283))</f>
        <v/>
      </c>
      <c r="AA283" s="2">
        <f>IF(ISERROR($E$283),"",IF(ISBLANK($E$283),"",$E$283))</f>
        <v/>
      </c>
      <c r="AB283" s="2">
        <f>IF(ISERROR($F$283),"",IF(ISBLANK($F$283),"",$F$283))</f>
        <v/>
      </c>
      <c r="AC283" s="2">
        <f>IF(ISERROR($G$283),"",IF(ISBLANK($G$283),"",$G$283))</f>
        <v/>
      </c>
      <c r="AD283" s="2">
        <f>IF(ISERROR($H$283),"",IF(ISBLANK($H$283),"",$H$283))</f>
        <v/>
      </c>
    </row>
    <row r="284" ht="26" customHeight="1">
      <c r="B284" s="33" t="n"/>
      <c r="C284" s="4" t="n"/>
      <c r="D284" s="4" t="n"/>
      <c r="E284" s="4" t="n"/>
      <c r="F284" s="4" t="n"/>
      <c r="G284" s="4" t="n"/>
      <c r="H284" s="4" t="n"/>
      <c r="K284" s="19">
        <f>IF(AG284&gt;0,"O Google leu como fórmula: digite de novo com ' na frente.","")</f>
        <v/>
      </c>
      <c r="N284" s="2">
        <f>N283+IF(LEN($X$284)&gt;0,1,0)</f>
        <v/>
      </c>
      <c r="O284" s="2">
        <f>O283+IF(LEN($Y$284)&gt;0,1,0)</f>
        <v/>
      </c>
      <c r="P284" s="2">
        <f>P283+IF(LEN($Z$284)&gt;0,1,0)</f>
        <v/>
      </c>
      <c r="Q284" s="2">
        <f>Q283+IF(LEN($AA$284)&gt;0,1,0)</f>
        <v/>
      </c>
      <c r="R284" s="2">
        <f>R283+IF(LEN($AB$284)&gt;0,1,0)</f>
        <v/>
      </c>
      <c r="S284" s="2">
        <f>S283+IF(LEN($AC$284)&gt;0,1,0)</f>
        <v/>
      </c>
      <c r="T284" s="2">
        <f>T283+IF(LEN($AD$284)&gt;0,1,0)</f>
        <v/>
      </c>
      <c r="X284" s="2">
        <f>IF(ISERROR($B$284),"",IF(ISBLANK($B$284),"",$B$284))</f>
        <v/>
      </c>
      <c r="Y284" s="2">
        <f>IF(ISERROR($C$284),"",IF(ISBLANK($C$284),"",$C$284))</f>
        <v/>
      </c>
      <c r="Z284" s="2">
        <f>IF(ISERROR($D$284),"",IF(ISBLANK($D$284),"",$D$284))</f>
        <v/>
      </c>
      <c r="AA284" s="2">
        <f>IF(ISERROR($E$284),"",IF(ISBLANK($E$284),"",$E$284))</f>
        <v/>
      </c>
      <c r="AB284" s="2">
        <f>IF(ISERROR($F$284),"",IF(ISBLANK($F$284),"",$F$284))</f>
        <v/>
      </c>
      <c r="AC284" s="2">
        <f>IF(ISERROR($G$284),"",IF(ISBLANK($G$284),"",$G$284))</f>
        <v/>
      </c>
      <c r="AD284" s="2">
        <f>IF(ISERROR($H$284),"",IF(ISBLANK($H$284),"",$H$284))</f>
        <v/>
      </c>
      <c r="AG284" s="2">
        <f>ISERROR($B$284)*1+ISERROR($C$284)*1+ISERROR($D$284)*1+ISERROR($E$284)*1+ISERROR($F$284)*1+ISERROR($G$284)*1+ISERROR($H$284)*1</f>
        <v/>
      </c>
    </row>
    <row r="285" ht="26" customHeight="1">
      <c r="B285" s="35" t="n"/>
      <c r="C285" s="29" t="n"/>
      <c r="D285" s="29" t="n"/>
      <c r="E285" s="29" t="n"/>
      <c r="F285" s="29" t="n"/>
      <c r="G285" s="29" t="n"/>
      <c r="H285" s="29" t="n"/>
      <c r="K285" s="19">
        <f>IF(AG285&gt;0,"O Google leu como fórmula: digite de novo com ' na frente.","")</f>
        <v/>
      </c>
      <c r="N285" s="2">
        <f>N284+IF(LEN($X$285)&gt;0,1,0)</f>
        <v/>
      </c>
      <c r="O285" s="2">
        <f>O284+IF(LEN($Y$285)&gt;0,1,0)</f>
        <v/>
      </c>
      <c r="P285" s="2">
        <f>P284+IF(LEN($Z$285)&gt;0,1,0)</f>
        <v/>
      </c>
      <c r="Q285" s="2">
        <f>Q284+IF(LEN($AA$285)&gt;0,1,0)</f>
        <v/>
      </c>
      <c r="R285" s="2">
        <f>R284+IF(LEN($AB$285)&gt;0,1,0)</f>
        <v/>
      </c>
      <c r="S285" s="2">
        <f>S284+IF(LEN($AC$285)&gt;0,1,0)</f>
        <v/>
      </c>
      <c r="T285" s="2">
        <f>T284+IF(LEN($AD$285)&gt;0,1,0)</f>
        <v/>
      </c>
      <c r="X285" s="2">
        <f>IF(ISERROR($B$285),"",IF(ISBLANK($B$285),"",$B$285))</f>
        <v/>
      </c>
      <c r="Y285" s="2">
        <f>IF(ISERROR($C$285),"",IF(ISBLANK($C$285),"",$C$285))</f>
        <v/>
      </c>
      <c r="Z285" s="2">
        <f>IF(ISERROR($D$285),"",IF(ISBLANK($D$285),"",$D$285))</f>
        <v/>
      </c>
      <c r="AA285" s="2">
        <f>IF(ISERROR($E$285),"",IF(ISBLANK($E$285),"",$E$285))</f>
        <v/>
      </c>
      <c r="AB285" s="2">
        <f>IF(ISERROR($F$285),"",IF(ISBLANK($F$285),"",$F$285))</f>
        <v/>
      </c>
      <c r="AC285" s="2">
        <f>IF(ISERROR($G$285),"",IF(ISBLANK($G$285),"",$G$285))</f>
        <v/>
      </c>
      <c r="AD285" s="2">
        <f>IF(ISERROR($H$285),"",IF(ISBLANK($H$285),"",$H$285))</f>
        <v/>
      </c>
      <c r="AG285" s="2">
        <f>ISERROR($B$285)*1+ISERROR($C$285)*1+ISERROR($D$285)*1+ISERROR($E$285)*1+ISERROR($F$285)*1+ISERROR($G$285)*1+ISERROR($H$285)*1</f>
        <v/>
      </c>
    </row>
    <row r="286" ht="26" customHeight="1">
      <c r="B286" s="33" t="n"/>
      <c r="C286" s="4" t="n"/>
      <c r="D286" s="4" t="n"/>
      <c r="E286" s="4" t="n"/>
      <c r="F286" s="4" t="n"/>
      <c r="G286" s="4" t="n"/>
      <c r="H286" s="4" t="n"/>
      <c r="K286" s="19">
        <f>IF(AG286&gt;0,"O Google leu como fórmula: digite de novo com ' na frente.","")</f>
        <v/>
      </c>
      <c r="N286" s="2">
        <f>N285+IF(LEN($X$286)&gt;0,1,0)</f>
        <v/>
      </c>
      <c r="O286" s="2">
        <f>O285+IF(LEN($Y$286)&gt;0,1,0)</f>
        <v/>
      </c>
      <c r="P286" s="2">
        <f>P285+IF(LEN($Z$286)&gt;0,1,0)</f>
        <v/>
      </c>
      <c r="Q286" s="2">
        <f>Q285+IF(LEN($AA$286)&gt;0,1,0)</f>
        <v/>
      </c>
      <c r="R286" s="2">
        <f>R285+IF(LEN($AB$286)&gt;0,1,0)</f>
        <v/>
      </c>
      <c r="S286" s="2">
        <f>S285+IF(LEN($AC$286)&gt;0,1,0)</f>
        <v/>
      </c>
      <c r="T286" s="2">
        <f>T285+IF(LEN($AD$286)&gt;0,1,0)</f>
        <v/>
      </c>
      <c r="X286" s="2">
        <f>IF(ISERROR($B$286),"",IF(ISBLANK($B$286),"",$B$286))</f>
        <v/>
      </c>
      <c r="Y286" s="2">
        <f>IF(ISERROR($C$286),"",IF(ISBLANK($C$286),"",$C$286))</f>
        <v/>
      </c>
      <c r="Z286" s="2">
        <f>IF(ISERROR($D$286),"",IF(ISBLANK($D$286),"",$D$286))</f>
        <v/>
      </c>
      <c r="AA286" s="2">
        <f>IF(ISERROR($E$286),"",IF(ISBLANK($E$286),"",$E$286))</f>
        <v/>
      </c>
      <c r="AB286" s="2">
        <f>IF(ISERROR($F$286),"",IF(ISBLANK($F$286),"",$F$286))</f>
        <v/>
      </c>
      <c r="AC286" s="2">
        <f>IF(ISERROR($G$286),"",IF(ISBLANK($G$286),"",$G$286))</f>
        <v/>
      </c>
      <c r="AD286" s="2">
        <f>IF(ISERROR($H$286),"",IF(ISBLANK($H$286),"",$H$286))</f>
        <v/>
      </c>
      <c r="AG286" s="2">
        <f>ISERROR($B$286)*1+ISERROR($C$286)*1+ISERROR($D$286)*1+ISERROR($E$286)*1+ISERROR($F$286)*1+ISERROR($G$286)*1+ISERROR($H$286)*1</f>
        <v/>
      </c>
    </row>
    <row r="287" ht="26" customHeight="1">
      <c r="B287" s="35" t="n"/>
      <c r="C287" s="29" t="n"/>
      <c r="D287" s="29" t="n"/>
      <c r="E287" s="29" t="n"/>
      <c r="F287" s="29" t="n"/>
      <c r="G287" s="29" t="n"/>
      <c r="H287" s="29" t="n"/>
      <c r="K287" s="19">
        <f>IF(AG287&gt;0,"O Google leu como fórmula: digite de novo com ' na frente.","")</f>
        <v/>
      </c>
      <c r="N287" s="2">
        <f>N286+IF(LEN($X$287)&gt;0,1,0)</f>
        <v/>
      </c>
      <c r="O287" s="2">
        <f>O286+IF(LEN($Y$287)&gt;0,1,0)</f>
        <v/>
      </c>
      <c r="P287" s="2">
        <f>P286+IF(LEN($Z$287)&gt;0,1,0)</f>
        <v/>
      </c>
      <c r="Q287" s="2">
        <f>Q286+IF(LEN($AA$287)&gt;0,1,0)</f>
        <v/>
      </c>
      <c r="R287" s="2">
        <f>R286+IF(LEN($AB$287)&gt;0,1,0)</f>
        <v/>
      </c>
      <c r="S287" s="2">
        <f>S286+IF(LEN($AC$287)&gt;0,1,0)</f>
        <v/>
      </c>
      <c r="T287" s="2">
        <f>T286+IF(LEN($AD$287)&gt;0,1,0)</f>
        <v/>
      </c>
      <c r="X287" s="2">
        <f>IF(ISERROR($B$287),"",IF(ISBLANK($B$287),"",$B$287))</f>
        <v/>
      </c>
      <c r="Y287" s="2">
        <f>IF(ISERROR($C$287),"",IF(ISBLANK($C$287),"",$C$287))</f>
        <v/>
      </c>
      <c r="Z287" s="2">
        <f>IF(ISERROR($D$287),"",IF(ISBLANK($D$287),"",$D$287))</f>
        <v/>
      </c>
      <c r="AA287" s="2">
        <f>IF(ISERROR($E$287),"",IF(ISBLANK($E$287),"",$E$287))</f>
        <v/>
      </c>
      <c r="AB287" s="2">
        <f>IF(ISERROR($F$287),"",IF(ISBLANK($F$287),"",$F$287))</f>
        <v/>
      </c>
      <c r="AC287" s="2">
        <f>IF(ISERROR($G$287),"",IF(ISBLANK($G$287),"",$G$287))</f>
        <v/>
      </c>
      <c r="AD287" s="2">
        <f>IF(ISERROR($H$287),"",IF(ISBLANK($H$287),"",$H$287))</f>
        <v/>
      </c>
      <c r="AG287" s="2">
        <f>ISERROR($B$287)*1+ISERROR($C$287)*1+ISERROR($D$287)*1+ISERROR($E$287)*1+ISERROR($F$287)*1+ISERROR($G$287)*1+ISERROR($H$287)*1</f>
        <v/>
      </c>
    </row>
    <row r="288" ht="26" customHeight="1">
      <c r="B288" s="33" t="n"/>
      <c r="C288" s="4" t="n"/>
      <c r="D288" s="4" t="n"/>
      <c r="E288" s="4" t="n"/>
      <c r="F288" s="4" t="n"/>
      <c r="G288" s="4" t="n"/>
      <c r="H288" s="4" t="n"/>
      <c r="K288" s="19">
        <f>IF(AG288&gt;0,"O Google leu como fórmula: digite de novo com ' na frente.","")</f>
        <v/>
      </c>
      <c r="N288" s="2">
        <f>N287+IF(LEN($X$288)&gt;0,1,0)</f>
        <v/>
      </c>
      <c r="O288" s="2">
        <f>O287+IF(LEN($Y$288)&gt;0,1,0)</f>
        <v/>
      </c>
      <c r="P288" s="2">
        <f>P287+IF(LEN($Z$288)&gt;0,1,0)</f>
        <v/>
      </c>
      <c r="Q288" s="2">
        <f>Q287+IF(LEN($AA$288)&gt;0,1,0)</f>
        <v/>
      </c>
      <c r="R288" s="2">
        <f>R287+IF(LEN($AB$288)&gt;0,1,0)</f>
        <v/>
      </c>
      <c r="S288" s="2">
        <f>S287+IF(LEN($AC$288)&gt;0,1,0)</f>
        <v/>
      </c>
      <c r="T288" s="2">
        <f>T287+IF(LEN($AD$288)&gt;0,1,0)</f>
        <v/>
      </c>
      <c r="X288" s="2">
        <f>IF(ISERROR($B$288),"",IF(ISBLANK($B$288),"",$B$288))</f>
        <v/>
      </c>
      <c r="Y288" s="2">
        <f>IF(ISERROR($C$288),"",IF(ISBLANK($C$288),"",$C$288))</f>
        <v/>
      </c>
      <c r="Z288" s="2">
        <f>IF(ISERROR($D$288),"",IF(ISBLANK($D$288),"",$D$288))</f>
        <v/>
      </c>
      <c r="AA288" s="2">
        <f>IF(ISERROR($E$288),"",IF(ISBLANK($E$288),"",$E$288))</f>
        <v/>
      </c>
      <c r="AB288" s="2">
        <f>IF(ISERROR($F$288),"",IF(ISBLANK($F$288),"",$F$288))</f>
        <v/>
      </c>
      <c r="AC288" s="2">
        <f>IF(ISERROR($G$288),"",IF(ISBLANK($G$288),"",$G$288))</f>
        <v/>
      </c>
      <c r="AD288" s="2">
        <f>IF(ISERROR($H$288),"",IF(ISBLANK($H$288),"",$H$288))</f>
        <v/>
      </c>
      <c r="AG288" s="2">
        <f>ISERROR($B$288)*1+ISERROR($C$288)*1+ISERROR($D$288)*1+ISERROR($E$288)*1+ISERROR($F$288)*1+ISERROR($G$288)*1+ISERROR($H$288)*1</f>
        <v/>
      </c>
    </row>
    <row r="289" ht="26" customHeight="1">
      <c r="B289" s="35" t="n"/>
      <c r="C289" s="29" t="n"/>
      <c r="D289" s="29" t="n"/>
      <c r="E289" s="29" t="n"/>
      <c r="F289" s="29" t="n"/>
      <c r="G289" s="29" t="n"/>
      <c r="H289" s="29" t="n"/>
      <c r="K289" s="19">
        <f>IF(AG289&gt;0,"O Google leu como fórmula: digite de novo com ' na frente.","")</f>
        <v/>
      </c>
      <c r="N289" s="2">
        <f>N288+IF(LEN($X$289)&gt;0,1,0)</f>
        <v/>
      </c>
      <c r="O289" s="2">
        <f>O288+IF(LEN($Y$289)&gt;0,1,0)</f>
        <v/>
      </c>
      <c r="P289" s="2">
        <f>P288+IF(LEN($Z$289)&gt;0,1,0)</f>
        <v/>
      </c>
      <c r="Q289" s="2">
        <f>Q288+IF(LEN($AA$289)&gt;0,1,0)</f>
        <v/>
      </c>
      <c r="R289" s="2">
        <f>R288+IF(LEN($AB$289)&gt;0,1,0)</f>
        <v/>
      </c>
      <c r="S289" s="2">
        <f>S288+IF(LEN($AC$289)&gt;0,1,0)</f>
        <v/>
      </c>
      <c r="T289" s="2">
        <f>T288+IF(LEN($AD$289)&gt;0,1,0)</f>
        <v/>
      </c>
      <c r="X289" s="2">
        <f>IF(ISERROR($B$289),"",IF(ISBLANK($B$289),"",$B$289))</f>
        <v/>
      </c>
      <c r="Y289" s="2">
        <f>IF(ISERROR($C$289),"",IF(ISBLANK($C$289),"",$C$289))</f>
        <v/>
      </c>
      <c r="Z289" s="2">
        <f>IF(ISERROR($D$289),"",IF(ISBLANK($D$289),"",$D$289))</f>
        <v/>
      </c>
      <c r="AA289" s="2">
        <f>IF(ISERROR($E$289),"",IF(ISBLANK($E$289),"",$E$289))</f>
        <v/>
      </c>
      <c r="AB289" s="2">
        <f>IF(ISERROR($F$289),"",IF(ISBLANK($F$289),"",$F$289))</f>
        <v/>
      </c>
      <c r="AC289" s="2">
        <f>IF(ISERROR($G$289),"",IF(ISBLANK($G$289),"",$G$289))</f>
        <v/>
      </c>
      <c r="AD289" s="2">
        <f>IF(ISERROR($H$289),"",IF(ISBLANK($H$289),"",$H$289))</f>
        <v/>
      </c>
      <c r="AG289" s="2">
        <f>ISERROR($B$289)*1+ISERROR($C$289)*1+ISERROR($D$289)*1+ISERROR($E$289)*1+ISERROR($F$289)*1+ISERROR($G$289)*1+ISERROR($H$289)*1</f>
        <v/>
      </c>
    </row>
    <row r="290" ht="26" customHeight="1">
      <c r="B290" s="33" t="n"/>
      <c r="C290" s="4" t="n"/>
      <c r="D290" s="4" t="n"/>
      <c r="E290" s="4" t="n"/>
      <c r="F290" s="4" t="n"/>
      <c r="G290" s="4" t="n"/>
      <c r="H290" s="4" t="n"/>
      <c r="K290" s="19">
        <f>IF(AG290&gt;0,"O Google leu como fórmula: digite de novo com ' na frente.","")</f>
        <v/>
      </c>
      <c r="N290" s="2">
        <f>N289+IF(LEN($X$290)&gt;0,1,0)</f>
        <v/>
      </c>
      <c r="O290" s="2">
        <f>O289+IF(LEN($Y$290)&gt;0,1,0)</f>
        <v/>
      </c>
      <c r="P290" s="2">
        <f>P289+IF(LEN($Z$290)&gt;0,1,0)</f>
        <v/>
      </c>
      <c r="Q290" s="2">
        <f>Q289+IF(LEN($AA$290)&gt;0,1,0)</f>
        <v/>
      </c>
      <c r="R290" s="2">
        <f>R289+IF(LEN($AB$290)&gt;0,1,0)</f>
        <v/>
      </c>
      <c r="S290" s="2">
        <f>S289+IF(LEN($AC$290)&gt;0,1,0)</f>
        <v/>
      </c>
      <c r="T290" s="2">
        <f>T289+IF(LEN($AD$290)&gt;0,1,0)</f>
        <v/>
      </c>
      <c r="X290" s="2">
        <f>IF(ISERROR($B$290),"",IF(ISBLANK($B$290),"",$B$290))</f>
        <v/>
      </c>
      <c r="Y290" s="2">
        <f>IF(ISERROR($C$290),"",IF(ISBLANK($C$290),"",$C$290))</f>
        <v/>
      </c>
      <c r="Z290" s="2">
        <f>IF(ISERROR($D$290),"",IF(ISBLANK($D$290),"",$D$290))</f>
        <v/>
      </c>
      <c r="AA290" s="2">
        <f>IF(ISERROR($E$290),"",IF(ISBLANK($E$290),"",$E$290))</f>
        <v/>
      </c>
      <c r="AB290" s="2">
        <f>IF(ISERROR($F$290),"",IF(ISBLANK($F$290),"",$F$290))</f>
        <v/>
      </c>
      <c r="AC290" s="2">
        <f>IF(ISERROR($G$290),"",IF(ISBLANK($G$290),"",$G$290))</f>
        <v/>
      </c>
      <c r="AD290" s="2">
        <f>IF(ISERROR($H$290),"",IF(ISBLANK($H$290),"",$H$290))</f>
        <v/>
      </c>
      <c r="AG290" s="2">
        <f>ISERROR($B$290)*1+ISERROR($C$290)*1+ISERROR($D$290)*1+ISERROR($E$290)*1+ISERROR($F$290)*1+ISERROR($G$290)*1+ISERROR($H$290)*1</f>
        <v/>
      </c>
    </row>
    <row r="291" ht="26" customHeight="1">
      <c r="B291" s="35" t="n"/>
      <c r="C291" s="29" t="n"/>
      <c r="D291" s="29" t="n"/>
      <c r="E291" s="29" t="n"/>
      <c r="F291" s="29" t="n"/>
      <c r="G291" s="29" t="n"/>
      <c r="H291" s="29" t="n"/>
      <c r="K291" s="19">
        <f>IF(AG291&gt;0,"O Google leu como fórmula: digite de novo com ' na frente.","")</f>
        <v/>
      </c>
      <c r="N291" s="2">
        <f>N290+IF(LEN($X$291)&gt;0,1,0)</f>
        <v/>
      </c>
      <c r="O291" s="2">
        <f>O290+IF(LEN($Y$291)&gt;0,1,0)</f>
        <v/>
      </c>
      <c r="P291" s="2">
        <f>P290+IF(LEN($Z$291)&gt;0,1,0)</f>
        <v/>
      </c>
      <c r="Q291" s="2">
        <f>Q290+IF(LEN($AA$291)&gt;0,1,0)</f>
        <v/>
      </c>
      <c r="R291" s="2">
        <f>R290+IF(LEN($AB$291)&gt;0,1,0)</f>
        <v/>
      </c>
      <c r="S291" s="2">
        <f>S290+IF(LEN($AC$291)&gt;0,1,0)</f>
        <v/>
      </c>
      <c r="T291" s="2">
        <f>T290+IF(LEN($AD$291)&gt;0,1,0)</f>
        <v/>
      </c>
      <c r="X291" s="2">
        <f>IF(ISERROR($B$291),"",IF(ISBLANK($B$291),"",$B$291))</f>
        <v/>
      </c>
      <c r="Y291" s="2">
        <f>IF(ISERROR($C$291),"",IF(ISBLANK($C$291),"",$C$291))</f>
        <v/>
      </c>
      <c r="Z291" s="2">
        <f>IF(ISERROR($D$291),"",IF(ISBLANK($D$291),"",$D$291))</f>
        <v/>
      </c>
      <c r="AA291" s="2">
        <f>IF(ISERROR($E$291),"",IF(ISBLANK($E$291),"",$E$291))</f>
        <v/>
      </c>
      <c r="AB291" s="2">
        <f>IF(ISERROR($F$291),"",IF(ISBLANK($F$291),"",$F$291))</f>
        <v/>
      </c>
      <c r="AC291" s="2">
        <f>IF(ISERROR($G$291),"",IF(ISBLANK($G$291),"",$G$291))</f>
        <v/>
      </c>
      <c r="AD291" s="2">
        <f>IF(ISERROR($H$291),"",IF(ISBLANK($H$291),"",$H$291))</f>
        <v/>
      </c>
      <c r="AG291" s="2">
        <f>ISERROR($B$291)*1+ISERROR($C$291)*1+ISERROR($D$291)*1+ISERROR($E$291)*1+ISERROR($F$291)*1+ISERROR($G$291)*1+ISERROR($H$291)*1</f>
        <v/>
      </c>
    </row>
    <row r="292" ht="26" customHeight="1">
      <c r="B292" s="33" t="n"/>
      <c r="C292" s="4" t="n"/>
      <c r="D292" s="4" t="n"/>
      <c r="E292" s="4" t="n"/>
      <c r="F292" s="4" t="n"/>
      <c r="G292" s="4" t="n"/>
      <c r="H292" s="4" t="n"/>
      <c r="K292" s="19">
        <f>IF(AG292&gt;0,"O Google leu como fórmula: digite de novo com ' na frente.","")</f>
        <v/>
      </c>
      <c r="N292" s="2">
        <f>N291+IF(LEN($X$292)&gt;0,1,0)</f>
        <v/>
      </c>
      <c r="O292" s="2">
        <f>O291+IF(LEN($Y$292)&gt;0,1,0)</f>
        <v/>
      </c>
      <c r="P292" s="2">
        <f>P291+IF(LEN($Z$292)&gt;0,1,0)</f>
        <v/>
      </c>
      <c r="Q292" s="2">
        <f>Q291+IF(LEN($AA$292)&gt;0,1,0)</f>
        <v/>
      </c>
      <c r="R292" s="2">
        <f>R291+IF(LEN($AB$292)&gt;0,1,0)</f>
        <v/>
      </c>
      <c r="S292" s="2">
        <f>S291+IF(LEN($AC$292)&gt;0,1,0)</f>
        <v/>
      </c>
      <c r="T292" s="2">
        <f>T291+IF(LEN($AD$292)&gt;0,1,0)</f>
        <v/>
      </c>
      <c r="X292" s="2">
        <f>IF(ISERROR($B$292),"",IF(ISBLANK($B$292),"",$B$292))</f>
        <v/>
      </c>
      <c r="Y292" s="2">
        <f>IF(ISERROR($C$292),"",IF(ISBLANK($C$292),"",$C$292))</f>
        <v/>
      </c>
      <c r="Z292" s="2">
        <f>IF(ISERROR($D$292),"",IF(ISBLANK($D$292),"",$D$292))</f>
        <v/>
      </c>
      <c r="AA292" s="2">
        <f>IF(ISERROR($E$292),"",IF(ISBLANK($E$292),"",$E$292))</f>
        <v/>
      </c>
      <c r="AB292" s="2">
        <f>IF(ISERROR($F$292),"",IF(ISBLANK($F$292),"",$F$292))</f>
        <v/>
      </c>
      <c r="AC292" s="2">
        <f>IF(ISERROR($G$292),"",IF(ISBLANK($G$292),"",$G$292))</f>
        <v/>
      </c>
      <c r="AD292" s="2">
        <f>IF(ISERROR($H$292),"",IF(ISBLANK($H$292),"",$H$292))</f>
        <v/>
      </c>
      <c r="AG292" s="2">
        <f>ISERROR($B$292)*1+ISERROR($C$292)*1+ISERROR($D$292)*1+ISERROR($E$292)*1+ISERROR($F$292)*1+ISERROR($G$292)*1+ISERROR($H$292)*1</f>
        <v/>
      </c>
    </row>
    <row r="293" ht="26" customHeight="1">
      <c r="B293" s="35" t="n"/>
      <c r="C293" s="29" t="n"/>
      <c r="D293" s="29" t="n"/>
      <c r="E293" s="29" t="n"/>
      <c r="F293" s="29" t="n"/>
      <c r="G293" s="29" t="n"/>
      <c r="H293" s="29" t="n"/>
      <c r="K293" s="19">
        <f>IF(AG293&gt;0,"O Google leu como fórmula: digite de novo com ' na frente.","")</f>
        <v/>
      </c>
      <c r="N293" s="2">
        <f>N292+IF(LEN($X$293)&gt;0,1,0)</f>
        <v/>
      </c>
      <c r="O293" s="2">
        <f>O292+IF(LEN($Y$293)&gt;0,1,0)</f>
        <v/>
      </c>
      <c r="P293" s="2">
        <f>P292+IF(LEN($Z$293)&gt;0,1,0)</f>
        <v/>
      </c>
      <c r="Q293" s="2">
        <f>Q292+IF(LEN($AA$293)&gt;0,1,0)</f>
        <v/>
      </c>
      <c r="R293" s="2">
        <f>R292+IF(LEN($AB$293)&gt;0,1,0)</f>
        <v/>
      </c>
      <c r="S293" s="2">
        <f>S292+IF(LEN($AC$293)&gt;0,1,0)</f>
        <v/>
      </c>
      <c r="T293" s="2">
        <f>T292+IF(LEN($AD$293)&gt;0,1,0)</f>
        <v/>
      </c>
      <c r="X293" s="2">
        <f>IF(ISERROR($B$293),"",IF(ISBLANK($B$293),"",$B$293))</f>
        <v/>
      </c>
      <c r="Y293" s="2">
        <f>IF(ISERROR($C$293),"",IF(ISBLANK($C$293),"",$C$293))</f>
        <v/>
      </c>
      <c r="Z293" s="2">
        <f>IF(ISERROR($D$293),"",IF(ISBLANK($D$293),"",$D$293))</f>
        <v/>
      </c>
      <c r="AA293" s="2">
        <f>IF(ISERROR($E$293),"",IF(ISBLANK($E$293),"",$E$293))</f>
        <v/>
      </c>
      <c r="AB293" s="2">
        <f>IF(ISERROR($F$293),"",IF(ISBLANK($F$293),"",$F$293))</f>
        <v/>
      </c>
      <c r="AC293" s="2">
        <f>IF(ISERROR($G$293),"",IF(ISBLANK($G$293),"",$G$293))</f>
        <v/>
      </c>
      <c r="AD293" s="2">
        <f>IF(ISERROR($H$293),"",IF(ISBLANK($H$293),"",$H$293))</f>
        <v/>
      </c>
      <c r="AG293" s="2">
        <f>ISERROR($B$293)*1+ISERROR($C$293)*1+ISERROR($D$293)*1+ISERROR($E$293)*1+ISERROR($F$293)*1+ISERROR($G$293)*1+ISERROR($H$293)*1</f>
        <v/>
      </c>
    </row>
    <row r="294" ht="26" customHeight="1">
      <c r="B294" s="33" t="n"/>
      <c r="C294" s="4" t="n"/>
      <c r="D294" s="4" t="n"/>
      <c r="E294" s="4" t="n"/>
      <c r="F294" s="4" t="n"/>
      <c r="G294" s="4" t="n"/>
      <c r="H294" s="4" t="n"/>
      <c r="K294" s="19">
        <f>IF(AG294&gt;0,"O Google leu como fórmula: digite de novo com ' na frente.","")</f>
        <v/>
      </c>
      <c r="N294" s="2">
        <f>N293+IF(LEN($X$294)&gt;0,1,0)</f>
        <v/>
      </c>
      <c r="O294" s="2">
        <f>O293+IF(LEN($Y$294)&gt;0,1,0)</f>
        <v/>
      </c>
      <c r="P294" s="2">
        <f>P293+IF(LEN($Z$294)&gt;0,1,0)</f>
        <v/>
      </c>
      <c r="Q294" s="2">
        <f>Q293+IF(LEN($AA$294)&gt;0,1,0)</f>
        <v/>
      </c>
      <c r="R294" s="2">
        <f>R293+IF(LEN($AB$294)&gt;0,1,0)</f>
        <v/>
      </c>
      <c r="S294" s="2">
        <f>S293+IF(LEN($AC$294)&gt;0,1,0)</f>
        <v/>
      </c>
      <c r="T294" s="2">
        <f>T293+IF(LEN($AD$294)&gt;0,1,0)</f>
        <v/>
      </c>
      <c r="X294" s="2">
        <f>IF(ISERROR($B$294),"",IF(ISBLANK($B$294),"",$B$294))</f>
        <v/>
      </c>
      <c r="Y294" s="2">
        <f>IF(ISERROR($C$294),"",IF(ISBLANK($C$294),"",$C$294))</f>
        <v/>
      </c>
      <c r="Z294" s="2">
        <f>IF(ISERROR($D$294),"",IF(ISBLANK($D$294),"",$D$294))</f>
        <v/>
      </c>
      <c r="AA294" s="2">
        <f>IF(ISERROR($E$294),"",IF(ISBLANK($E$294),"",$E$294))</f>
        <v/>
      </c>
      <c r="AB294" s="2">
        <f>IF(ISERROR($F$294),"",IF(ISBLANK($F$294),"",$F$294))</f>
        <v/>
      </c>
      <c r="AC294" s="2">
        <f>IF(ISERROR($G$294),"",IF(ISBLANK($G$294),"",$G$294))</f>
        <v/>
      </c>
      <c r="AD294" s="2">
        <f>IF(ISERROR($H$294),"",IF(ISBLANK($H$294),"",$H$294))</f>
        <v/>
      </c>
      <c r="AG294" s="2">
        <f>ISERROR($B$294)*1+ISERROR($C$294)*1+ISERROR($D$294)*1+ISERROR($E$294)*1+ISERROR($F$294)*1+ISERROR($G$294)*1+ISERROR($H$294)*1</f>
        <v/>
      </c>
    </row>
    <row r="295" ht="26" customHeight="1">
      <c r="B295" s="35" t="n"/>
      <c r="C295" s="29" t="n"/>
      <c r="D295" s="29" t="n"/>
      <c r="E295" s="29" t="n"/>
      <c r="F295" s="29" t="n"/>
      <c r="G295" s="29" t="n"/>
      <c r="H295" s="29" t="n"/>
      <c r="K295" s="19">
        <f>IF(AG295&gt;0,"O Google leu como fórmula: digite de novo com ' na frente.","")</f>
        <v/>
      </c>
      <c r="N295" s="2">
        <f>N294+IF(LEN($X$295)&gt;0,1,0)</f>
        <v/>
      </c>
      <c r="O295" s="2">
        <f>O294+IF(LEN($Y$295)&gt;0,1,0)</f>
        <v/>
      </c>
      <c r="P295" s="2">
        <f>P294+IF(LEN($Z$295)&gt;0,1,0)</f>
        <v/>
      </c>
      <c r="Q295" s="2">
        <f>Q294+IF(LEN($AA$295)&gt;0,1,0)</f>
        <v/>
      </c>
      <c r="R295" s="2">
        <f>R294+IF(LEN($AB$295)&gt;0,1,0)</f>
        <v/>
      </c>
      <c r="S295" s="2">
        <f>S294+IF(LEN($AC$295)&gt;0,1,0)</f>
        <v/>
      </c>
      <c r="T295" s="2">
        <f>T294+IF(LEN($AD$295)&gt;0,1,0)</f>
        <v/>
      </c>
      <c r="X295" s="2">
        <f>IF(ISERROR($B$295),"",IF(ISBLANK($B$295),"",$B$295))</f>
        <v/>
      </c>
      <c r="Y295" s="2">
        <f>IF(ISERROR($C$295),"",IF(ISBLANK($C$295),"",$C$295))</f>
        <v/>
      </c>
      <c r="Z295" s="2">
        <f>IF(ISERROR($D$295),"",IF(ISBLANK($D$295),"",$D$295))</f>
        <v/>
      </c>
      <c r="AA295" s="2">
        <f>IF(ISERROR($E$295),"",IF(ISBLANK($E$295),"",$E$295))</f>
        <v/>
      </c>
      <c r="AB295" s="2">
        <f>IF(ISERROR($F$295),"",IF(ISBLANK($F$295),"",$F$295))</f>
        <v/>
      </c>
      <c r="AC295" s="2">
        <f>IF(ISERROR($G$295),"",IF(ISBLANK($G$295),"",$G$295))</f>
        <v/>
      </c>
      <c r="AD295" s="2">
        <f>IF(ISERROR($H$295),"",IF(ISBLANK($H$295),"",$H$295))</f>
        <v/>
      </c>
      <c r="AG295" s="2">
        <f>ISERROR($B$295)*1+ISERROR($C$295)*1+ISERROR($D$295)*1+ISERROR($E$295)*1+ISERROR($F$295)*1+ISERROR($G$295)*1+ISERROR($H$295)*1</f>
        <v/>
      </c>
    </row>
    <row r="296" ht="26" customHeight="1">
      <c r="B296" s="33" t="n"/>
      <c r="C296" s="4" t="n"/>
      <c r="D296" s="4" t="n"/>
      <c r="E296" s="4" t="n"/>
      <c r="F296" s="4" t="n"/>
      <c r="G296" s="4" t="n"/>
      <c r="H296" s="4" t="n"/>
      <c r="K296" s="19">
        <f>IF(AG296&gt;0,"O Google leu como fórmula: digite de novo com ' na frente.","")</f>
        <v/>
      </c>
      <c r="N296" s="2">
        <f>N295+IF(LEN($X$296)&gt;0,1,0)</f>
        <v/>
      </c>
      <c r="O296" s="2">
        <f>O295+IF(LEN($Y$296)&gt;0,1,0)</f>
        <v/>
      </c>
      <c r="P296" s="2">
        <f>P295+IF(LEN($Z$296)&gt;0,1,0)</f>
        <v/>
      </c>
      <c r="Q296" s="2">
        <f>Q295+IF(LEN($AA$296)&gt;0,1,0)</f>
        <v/>
      </c>
      <c r="R296" s="2">
        <f>R295+IF(LEN($AB$296)&gt;0,1,0)</f>
        <v/>
      </c>
      <c r="S296" s="2">
        <f>S295+IF(LEN($AC$296)&gt;0,1,0)</f>
        <v/>
      </c>
      <c r="T296" s="2">
        <f>T295+IF(LEN($AD$296)&gt;0,1,0)</f>
        <v/>
      </c>
      <c r="X296" s="2">
        <f>IF(ISERROR($B$296),"",IF(ISBLANK($B$296),"",$B$296))</f>
        <v/>
      </c>
      <c r="Y296" s="2">
        <f>IF(ISERROR($C$296),"",IF(ISBLANK($C$296),"",$C$296))</f>
        <v/>
      </c>
      <c r="Z296" s="2">
        <f>IF(ISERROR($D$296),"",IF(ISBLANK($D$296),"",$D$296))</f>
        <v/>
      </c>
      <c r="AA296" s="2">
        <f>IF(ISERROR($E$296),"",IF(ISBLANK($E$296),"",$E$296))</f>
        <v/>
      </c>
      <c r="AB296" s="2">
        <f>IF(ISERROR($F$296),"",IF(ISBLANK($F$296),"",$F$296))</f>
        <v/>
      </c>
      <c r="AC296" s="2">
        <f>IF(ISERROR($G$296),"",IF(ISBLANK($G$296),"",$G$296))</f>
        <v/>
      </c>
      <c r="AD296" s="2">
        <f>IF(ISERROR($H$296),"",IF(ISBLANK($H$296),"",$H$296))</f>
        <v/>
      </c>
      <c r="AG296" s="2">
        <f>ISERROR($B$296)*1+ISERROR($C$296)*1+ISERROR($D$296)*1+ISERROR($E$296)*1+ISERROR($F$296)*1+ISERROR($G$296)*1+ISERROR($H$296)*1</f>
        <v/>
      </c>
    </row>
    <row r="297" ht="15" customHeight="1">
      <c r="B297" s="8" t="inlineStr">
        <is>
          <t>Sobrenome — Humano</t>
        </is>
      </c>
      <c r="C297" s="8" t="inlineStr">
        <is>
          <t>Sobrenome — Xianzhouíta</t>
        </is>
      </c>
      <c r="D297" s="8" t="inlineStr">
        <is>
          <t>Sobrenome — Vidyadhara</t>
        </is>
      </c>
      <c r="E297" s="8" t="inlineStr">
        <is>
          <t>Sobrenome — Vulpes</t>
        </is>
      </c>
      <c r="F297" s="8" t="inlineStr">
        <is>
          <t>Sobrenome — Haloviano</t>
        </is>
      </c>
      <c r="G297" s="8" t="inlineStr">
        <is>
          <t>Sobrenome — Avginiano</t>
        </is>
      </c>
      <c r="H297" s="8" t="inlineStr">
        <is>
          <t>Sobrenome — Intellitron</t>
        </is>
      </c>
      <c r="N297" s="2">
        <f>N296</f>
        <v/>
      </c>
      <c r="O297" s="2">
        <f>O296</f>
        <v/>
      </c>
      <c r="P297" s="2">
        <f>P296</f>
        <v/>
      </c>
      <c r="Q297" s="2">
        <f>Q296</f>
        <v/>
      </c>
      <c r="R297" s="2">
        <f>R296</f>
        <v/>
      </c>
      <c r="S297" s="2">
        <f>S296</f>
        <v/>
      </c>
      <c r="T297" s="2">
        <f>T296</f>
        <v/>
      </c>
      <c r="X297" s="2">
        <f>IF(ISERROR($B$297),"",IF(ISBLANK($B$297),"",$B$297))</f>
        <v/>
      </c>
      <c r="Y297" s="2">
        <f>IF(ISERROR($C$297),"",IF(ISBLANK($C$297),"",$C$297))</f>
        <v/>
      </c>
      <c r="Z297" s="2">
        <f>IF(ISERROR($D$297),"",IF(ISBLANK($D$297),"",$D$297))</f>
        <v/>
      </c>
      <c r="AA297" s="2">
        <f>IF(ISERROR($E$297),"",IF(ISBLANK($E$297),"",$E$297))</f>
        <v/>
      </c>
      <c r="AB297" s="2">
        <f>IF(ISERROR($F$297),"",IF(ISBLANK($F$297),"",$F$297))</f>
        <v/>
      </c>
      <c r="AC297" s="2">
        <f>IF(ISERROR($G$297),"",IF(ISBLANK($G$297),"",$G$297))</f>
        <v/>
      </c>
      <c r="AD297" s="2">
        <f>IF(ISERROR($H$297),"",IF(ISBLANK($H$297),"",$H$297))</f>
        <v/>
      </c>
    </row>
    <row r="298" ht="26" customHeight="1">
      <c r="B298" s="33" t="n"/>
      <c r="C298" s="4" t="n"/>
      <c r="D298" s="4" t="n"/>
      <c r="E298" s="4" t="n"/>
      <c r="F298" s="4" t="n"/>
      <c r="G298" s="4" t="n"/>
      <c r="H298" s="4" t="n"/>
      <c r="K298" s="19">
        <f>IF(AG298&gt;0,"O Google leu como fórmula: digite de novo com ' na frente.","")</f>
        <v/>
      </c>
      <c r="N298" s="2">
        <f>N297+IF(LEN($X$298)&gt;0,1,0)</f>
        <v/>
      </c>
      <c r="O298" s="2">
        <f>O297+IF(LEN($Y$298)&gt;0,1,0)</f>
        <v/>
      </c>
      <c r="P298" s="2">
        <f>P297+IF(LEN($Z$298)&gt;0,1,0)</f>
        <v/>
      </c>
      <c r="Q298" s="2">
        <f>Q297+IF(LEN($AA$298)&gt;0,1,0)</f>
        <v/>
      </c>
      <c r="R298" s="2">
        <f>R297+IF(LEN($AB$298)&gt;0,1,0)</f>
        <v/>
      </c>
      <c r="S298" s="2">
        <f>S297+IF(LEN($AC$298)&gt;0,1,0)</f>
        <v/>
      </c>
      <c r="T298" s="2">
        <f>T297+IF(LEN($AD$298)&gt;0,1,0)</f>
        <v/>
      </c>
      <c r="X298" s="2">
        <f>IF(ISERROR($B$298),"",IF(ISBLANK($B$298),"",$B$298))</f>
        <v/>
      </c>
      <c r="Y298" s="2">
        <f>IF(ISERROR($C$298),"",IF(ISBLANK($C$298),"",$C$298))</f>
        <v/>
      </c>
      <c r="Z298" s="2">
        <f>IF(ISERROR($D$298),"",IF(ISBLANK($D$298),"",$D$298))</f>
        <v/>
      </c>
      <c r="AA298" s="2">
        <f>IF(ISERROR($E$298),"",IF(ISBLANK($E$298),"",$E$298))</f>
        <v/>
      </c>
      <c r="AB298" s="2">
        <f>IF(ISERROR($F$298),"",IF(ISBLANK($F$298),"",$F$298))</f>
        <v/>
      </c>
      <c r="AC298" s="2">
        <f>IF(ISERROR($G$298),"",IF(ISBLANK($G$298),"",$G$298))</f>
        <v/>
      </c>
      <c r="AD298" s="2">
        <f>IF(ISERROR($H$298),"",IF(ISBLANK($H$298),"",$H$298))</f>
        <v/>
      </c>
      <c r="AG298" s="2">
        <f>ISERROR($B$298)*1+ISERROR($C$298)*1+ISERROR($D$298)*1+ISERROR($E$298)*1+ISERROR($F$298)*1+ISERROR($G$298)*1+ISERROR($H$298)*1</f>
        <v/>
      </c>
    </row>
    <row r="299" ht="26" customHeight="1">
      <c r="B299" s="35" t="n"/>
      <c r="C299" s="29" t="n"/>
      <c r="D299" s="29" t="n"/>
      <c r="E299" s="29" t="n"/>
      <c r="F299" s="29" t="n"/>
      <c r="G299" s="29" t="n"/>
      <c r="H299" s="29" t="n"/>
      <c r="K299" s="19">
        <f>IF(AG299&gt;0,"O Google leu como fórmula: digite de novo com ' na frente.","")</f>
        <v/>
      </c>
      <c r="N299" s="2">
        <f>N298+IF(LEN($X$299)&gt;0,1,0)</f>
        <v/>
      </c>
      <c r="O299" s="2">
        <f>O298+IF(LEN($Y$299)&gt;0,1,0)</f>
        <v/>
      </c>
      <c r="P299" s="2">
        <f>P298+IF(LEN($Z$299)&gt;0,1,0)</f>
        <v/>
      </c>
      <c r="Q299" s="2">
        <f>Q298+IF(LEN($AA$299)&gt;0,1,0)</f>
        <v/>
      </c>
      <c r="R299" s="2">
        <f>R298+IF(LEN($AB$299)&gt;0,1,0)</f>
        <v/>
      </c>
      <c r="S299" s="2">
        <f>S298+IF(LEN($AC$299)&gt;0,1,0)</f>
        <v/>
      </c>
      <c r="T299" s="2">
        <f>T298+IF(LEN($AD$299)&gt;0,1,0)</f>
        <v/>
      </c>
      <c r="X299" s="2">
        <f>IF(ISERROR($B$299),"",IF(ISBLANK($B$299),"",$B$299))</f>
        <v/>
      </c>
      <c r="Y299" s="2">
        <f>IF(ISERROR($C$299),"",IF(ISBLANK($C$299),"",$C$299))</f>
        <v/>
      </c>
      <c r="Z299" s="2">
        <f>IF(ISERROR($D$299),"",IF(ISBLANK($D$299),"",$D$299))</f>
        <v/>
      </c>
      <c r="AA299" s="2">
        <f>IF(ISERROR($E$299),"",IF(ISBLANK($E$299),"",$E$299))</f>
        <v/>
      </c>
      <c r="AB299" s="2">
        <f>IF(ISERROR($F$299),"",IF(ISBLANK($F$299),"",$F$299))</f>
        <v/>
      </c>
      <c r="AC299" s="2">
        <f>IF(ISERROR($G$299),"",IF(ISBLANK($G$299),"",$G$299))</f>
        <v/>
      </c>
      <c r="AD299" s="2">
        <f>IF(ISERROR($H$299),"",IF(ISBLANK($H$299),"",$H$299))</f>
        <v/>
      </c>
      <c r="AG299" s="2">
        <f>ISERROR($B$299)*1+ISERROR($C$299)*1+ISERROR($D$299)*1+ISERROR($E$299)*1+ISERROR($F$299)*1+ISERROR($G$299)*1+ISERROR($H$299)*1</f>
        <v/>
      </c>
    </row>
    <row r="300" ht="26" customHeight="1">
      <c r="B300" s="33" t="n"/>
      <c r="C300" s="4" t="n"/>
      <c r="D300" s="4" t="n"/>
      <c r="E300" s="4" t="n"/>
      <c r="F300" s="4" t="n"/>
      <c r="G300" s="4" t="n"/>
      <c r="H300" s="4" t="n"/>
      <c r="K300" s="19">
        <f>IF(AG300&gt;0,"O Google leu como fórmula: digite de novo com ' na frente.","")</f>
        <v/>
      </c>
      <c r="N300" s="2">
        <f>N299+IF(LEN($X$300)&gt;0,1,0)</f>
        <v/>
      </c>
      <c r="O300" s="2">
        <f>O299+IF(LEN($Y$300)&gt;0,1,0)</f>
        <v/>
      </c>
      <c r="P300" s="2">
        <f>P299+IF(LEN($Z$300)&gt;0,1,0)</f>
        <v/>
      </c>
      <c r="Q300" s="2">
        <f>Q299+IF(LEN($AA$300)&gt;0,1,0)</f>
        <v/>
      </c>
      <c r="R300" s="2">
        <f>R299+IF(LEN($AB$300)&gt;0,1,0)</f>
        <v/>
      </c>
      <c r="S300" s="2">
        <f>S299+IF(LEN($AC$300)&gt;0,1,0)</f>
        <v/>
      </c>
      <c r="T300" s="2">
        <f>T299+IF(LEN($AD$300)&gt;0,1,0)</f>
        <v/>
      </c>
      <c r="X300" s="2">
        <f>IF(ISERROR($B$300),"",IF(ISBLANK($B$300),"",$B$300))</f>
        <v/>
      </c>
      <c r="Y300" s="2">
        <f>IF(ISERROR($C$300),"",IF(ISBLANK($C$300),"",$C$300))</f>
        <v/>
      </c>
      <c r="Z300" s="2">
        <f>IF(ISERROR($D$300),"",IF(ISBLANK($D$300),"",$D$300))</f>
        <v/>
      </c>
      <c r="AA300" s="2">
        <f>IF(ISERROR($E$300),"",IF(ISBLANK($E$300),"",$E$300))</f>
        <v/>
      </c>
      <c r="AB300" s="2">
        <f>IF(ISERROR($F$300),"",IF(ISBLANK($F$300),"",$F$300))</f>
        <v/>
      </c>
      <c r="AC300" s="2">
        <f>IF(ISERROR($G$300),"",IF(ISBLANK($G$300),"",$G$300))</f>
        <v/>
      </c>
      <c r="AD300" s="2">
        <f>IF(ISERROR($H$300),"",IF(ISBLANK($H$300),"",$H$300))</f>
        <v/>
      </c>
      <c r="AG300" s="2">
        <f>ISERROR($B$300)*1+ISERROR($C$300)*1+ISERROR($D$300)*1+ISERROR($E$300)*1+ISERROR($F$300)*1+ISERROR($G$300)*1+ISERROR($H$300)*1</f>
        <v/>
      </c>
    </row>
    <row r="301" ht="26" customHeight="1">
      <c r="B301" s="35" t="n"/>
      <c r="C301" s="29" t="n"/>
      <c r="D301" s="29" t="n"/>
      <c r="E301" s="29" t="n"/>
      <c r="F301" s="29" t="n"/>
      <c r="G301" s="29" t="n"/>
      <c r="H301" s="29" t="n"/>
      <c r="K301" s="19">
        <f>IF(AG301&gt;0,"O Google leu como fórmula: digite de novo com ' na frente.","")</f>
        <v/>
      </c>
      <c r="N301" s="2">
        <f>N300+IF(LEN($X$301)&gt;0,1,0)</f>
        <v/>
      </c>
      <c r="O301" s="2">
        <f>O300+IF(LEN($Y$301)&gt;0,1,0)</f>
        <v/>
      </c>
      <c r="P301" s="2">
        <f>P300+IF(LEN($Z$301)&gt;0,1,0)</f>
        <v/>
      </c>
      <c r="Q301" s="2">
        <f>Q300+IF(LEN($AA$301)&gt;0,1,0)</f>
        <v/>
      </c>
      <c r="R301" s="2">
        <f>R300+IF(LEN($AB$301)&gt;0,1,0)</f>
        <v/>
      </c>
      <c r="S301" s="2">
        <f>S300+IF(LEN($AC$301)&gt;0,1,0)</f>
        <v/>
      </c>
      <c r="T301" s="2">
        <f>T300+IF(LEN($AD$301)&gt;0,1,0)</f>
        <v/>
      </c>
      <c r="X301" s="2">
        <f>IF(ISERROR($B$301),"",IF(ISBLANK($B$301),"",$B$301))</f>
        <v/>
      </c>
      <c r="Y301" s="2">
        <f>IF(ISERROR($C$301),"",IF(ISBLANK($C$301),"",$C$301))</f>
        <v/>
      </c>
      <c r="Z301" s="2">
        <f>IF(ISERROR($D$301),"",IF(ISBLANK($D$301),"",$D$301))</f>
        <v/>
      </c>
      <c r="AA301" s="2">
        <f>IF(ISERROR($E$301),"",IF(ISBLANK($E$301),"",$E$301))</f>
        <v/>
      </c>
      <c r="AB301" s="2">
        <f>IF(ISERROR($F$301),"",IF(ISBLANK($F$301),"",$F$301))</f>
        <v/>
      </c>
      <c r="AC301" s="2">
        <f>IF(ISERROR($G$301),"",IF(ISBLANK($G$301),"",$G$301))</f>
        <v/>
      </c>
      <c r="AD301" s="2">
        <f>IF(ISERROR($H$301),"",IF(ISBLANK($H$301),"",$H$301))</f>
        <v/>
      </c>
      <c r="AG301" s="2">
        <f>ISERROR($B$301)*1+ISERROR($C$301)*1+ISERROR($D$301)*1+ISERROR($E$301)*1+ISERROR($F$301)*1+ISERROR($G$301)*1+ISERROR($H$301)*1</f>
        <v/>
      </c>
    </row>
    <row r="302" ht="26" customHeight="1">
      <c r="B302" s="33" t="n"/>
      <c r="C302" s="4" t="n"/>
      <c r="D302" s="4" t="n"/>
      <c r="E302" s="4" t="n"/>
      <c r="F302" s="4" t="n"/>
      <c r="G302" s="4" t="n"/>
      <c r="H302" s="4" t="n"/>
      <c r="K302" s="19">
        <f>IF(AG302&gt;0,"O Google leu como fórmula: digite de novo com ' na frente.","")</f>
        <v/>
      </c>
      <c r="N302" s="2">
        <f>N301+IF(LEN($X$302)&gt;0,1,0)</f>
        <v/>
      </c>
      <c r="O302" s="2">
        <f>O301+IF(LEN($Y$302)&gt;0,1,0)</f>
        <v/>
      </c>
      <c r="P302" s="2">
        <f>P301+IF(LEN($Z$302)&gt;0,1,0)</f>
        <v/>
      </c>
      <c r="Q302" s="2">
        <f>Q301+IF(LEN($AA$302)&gt;0,1,0)</f>
        <v/>
      </c>
      <c r="R302" s="2">
        <f>R301+IF(LEN($AB$302)&gt;0,1,0)</f>
        <v/>
      </c>
      <c r="S302" s="2">
        <f>S301+IF(LEN($AC$302)&gt;0,1,0)</f>
        <v/>
      </c>
      <c r="T302" s="2">
        <f>T301+IF(LEN($AD$302)&gt;0,1,0)</f>
        <v/>
      </c>
      <c r="X302" s="2">
        <f>IF(ISERROR($B$302),"",IF(ISBLANK($B$302),"",$B$302))</f>
        <v/>
      </c>
      <c r="Y302" s="2">
        <f>IF(ISERROR($C$302),"",IF(ISBLANK($C$302),"",$C$302))</f>
        <v/>
      </c>
      <c r="Z302" s="2">
        <f>IF(ISERROR($D$302),"",IF(ISBLANK($D$302),"",$D$302))</f>
        <v/>
      </c>
      <c r="AA302" s="2">
        <f>IF(ISERROR($E$302),"",IF(ISBLANK($E$302),"",$E$302))</f>
        <v/>
      </c>
      <c r="AB302" s="2">
        <f>IF(ISERROR($F$302),"",IF(ISBLANK($F$302),"",$F$302))</f>
        <v/>
      </c>
      <c r="AC302" s="2">
        <f>IF(ISERROR($G$302),"",IF(ISBLANK($G$302),"",$G$302))</f>
        <v/>
      </c>
      <c r="AD302" s="2">
        <f>IF(ISERROR($H$302),"",IF(ISBLANK($H$302),"",$H$302))</f>
        <v/>
      </c>
      <c r="AG302" s="2">
        <f>ISERROR($B$302)*1+ISERROR($C$302)*1+ISERROR($D$302)*1+ISERROR($E$302)*1+ISERROR($F$302)*1+ISERROR($G$302)*1+ISERROR($H$302)*1</f>
        <v/>
      </c>
    </row>
    <row r="303" ht="26" customHeight="1">
      <c r="B303" s="35" t="n"/>
      <c r="C303" s="29" t="n"/>
      <c r="D303" s="29" t="n"/>
      <c r="E303" s="29" t="n"/>
      <c r="F303" s="29" t="n"/>
      <c r="G303" s="29" t="n"/>
      <c r="H303" s="29" t="n"/>
      <c r="K303" s="19">
        <f>IF(AG303&gt;0,"O Google leu como fórmula: digite de novo com ' na frente.","")</f>
        <v/>
      </c>
      <c r="N303" s="2">
        <f>N302+IF(LEN($X$303)&gt;0,1,0)</f>
        <v/>
      </c>
      <c r="O303" s="2">
        <f>O302+IF(LEN($Y$303)&gt;0,1,0)</f>
        <v/>
      </c>
      <c r="P303" s="2">
        <f>P302+IF(LEN($Z$303)&gt;0,1,0)</f>
        <v/>
      </c>
      <c r="Q303" s="2">
        <f>Q302+IF(LEN($AA$303)&gt;0,1,0)</f>
        <v/>
      </c>
      <c r="R303" s="2">
        <f>R302+IF(LEN($AB$303)&gt;0,1,0)</f>
        <v/>
      </c>
      <c r="S303" s="2">
        <f>S302+IF(LEN($AC$303)&gt;0,1,0)</f>
        <v/>
      </c>
      <c r="T303" s="2">
        <f>T302+IF(LEN($AD$303)&gt;0,1,0)</f>
        <v/>
      </c>
      <c r="X303" s="2">
        <f>IF(ISERROR($B$303),"",IF(ISBLANK($B$303),"",$B$303))</f>
        <v/>
      </c>
      <c r="Y303" s="2">
        <f>IF(ISERROR($C$303),"",IF(ISBLANK($C$303),"",$C$303))</f>
        <v/>
      </c>
      <c r="Z303" s="2">
        <f>IF(ISERROR($D$303),"",IF(ISBLANK($D$303),"",$D$303))</f>
        <v/>
      </c>
      <c r="AA303" s="2">
        <f>IF(ISERROR($E$303),"",IF(ISBLANK($E$303),"",$E$303))</f>
        <v/>
      </c>
      <c r="AB303" s="2">
        <f>IF(ISERROR($F$303),"",IF(ISBLANK($F$303),"",$F$303))</f>
        <v/>
      </c>
      <c r="AC303" s="2">
        <f>IF(ISERROR($G$303),"",IF(ISBLANK($G$303),"",$G$303))</f>
        <v/>
      </c>
      <c r="AD303" s="2">
        <f>IF(ISERROR($H$303),"",IF(ISBLANK($H$303),"",$H$303))</f>
        <v/>
      </c>
      <c r="AG303" s="2">
        <f>ISERROR($B$303)*1+ISERROR($C$303)*1+ISERROR($D$303)*1+ISERROR($E$303)*1+ISERROR($F$303)*1+ISERROR($G$303)*1+ISERROR($H$303)*1</f>
        <v/>
      </c>
    </row>
    <row r="304" ht="26" customHeight="1">
      <c r="B304" s="33" t="n"/>
      <c r="C304" s="4" t="n"/>
      <c r="D304" s="4" t="n"/>
      <c r="E304" s="4" t="n"/>
      <c r="F304" s="4" t="n"/>
      <c r="G304" s="4" t="n"/>
      <c r="H304" s="4" t="n"/>
      <c r="K304" s="19">
        <f>IF(AG304&gt;0,"O Google leu como fórmula: digite de novo com ' na frente.","")</f>
        <v/>
      </c>
      <c r="N304" s="2">
        <f>N303+IF(LEN($X$304)&gt;0,1,0)</f>
        <v/>
      </c>
      <c r="O304" s="2">
        <f>O303+IF(LEN($Y$304)&gt;0,1,0)</f>
        <v/>
      </c>
      <c r="P304" s="2">
        <f>P303+IF(LEN($Z$304)&gt;0,1,0)</f>
        <v/>
      </c>
      <c r="Q304" s="2">
        <f>Q303+IF(LEN($AA$304)&gt;0,1,0)</f>
        <v/>
      </c>
      <c r="R304" s="2">
        <f>R303+IF(LEN($AB$304)&gt;0,1,0)</f>
        <v/>
      </c>
      <c r="S304" s="2">
        <f>S303+IF(LEN($AC$304)&gt;0,1,0)</f>
        <v/>
      </c>
      <c r="T304" s="2">
        <f>T303+IF(LEN($AD$304)&gt;0,1,0)</f>
        <v/>
      </c>
      <c r="X304" s="2">
        <f>IF(ISERROR($B$304),"",IF(ISBLANK($B$304),"",$B$304))</f>
        <v/>
      </c>
      <c r="Y304" s="2">
        <f>IF(ISERROR($C$304),"",IF(ISBLANK($C$304),"",$C$304))</f>
        <v/>
      </c>
      <c r="Z304" s="2">
        <f>IF(ISERROR($D$304),"",IF(ISBLANK($D$304),"",$D$304))</f>
        <v/>
      </c>
      <c r="AA304" s="2">
        <f>IF(ISERROR($E$304),"",IF(ISBLANK($E$304),"",$E$304))</f>
        <v/>
      </c>
      <c r="AB304" s="2">
        <f>IF(ISERROR($F$304),"",IF(ISBLANK($F$304),"",$F$304))</f>
        <v/>
      </c>
      <c r="AC304" s="2">
        <f>IF(ISERROR($G$304),"",IF(ISBLANK($G$304),"",$G$304))</f>
        <v/>
      </c>
      <c r="AD304" s="2">
        <f>IF(ISERROR($H$304),"",IF(ISBLANK($H$304),"",$H$304))</f>
        <v/>
      </c>
      <c r="AG304" s="2">
        <f>ISERROR($B$304)*1+ISERROR($C$304)*1+ISERROR($D$304)*1+ISERROR($E$304)*1+ISERROR($F$304)*1+ISERROR($G$304)*1+ISERROR($H$304)*1</f>
        <v/>
      </c>
    </row>
    <row r="305" ht="26" customHeight="1">
      <c r="B305" s="35" t="n"/>
      <c r="C305" s="29" t="n"/>
      <c r="D305" s="29" t="n"/>
      <c r="E305" s="29" t="n"/>
      <c r="F305" s="29" t="n"/>
      <c r="G305" s="29" t="n"/>
      <c r="H305" s="29" t="n"/>
      <c r="K305" s="19">
        <f>IF(AG305&gt;0,"O Google leu como fórmula: digite de novo com ' na frente.","")</f>
        <v/>
      </c>
      <c r="N305" s="2">
        <f>N304+IF(LEN($X$305)&gt;0,1,0)</f>
        <v/>
      </c>
      <c r="O305" s="2">
        <f>O304+IF(LEN($Y$305)&gt;0,1,0)</f>
        <v/>
      </c>
      <c r="P305" s="2">
        <f>P304+IF(LEN($Z$305)&gt;0,1,0)</f>
        <v/>
      </c>
      <c r="Q305" s="2">
        <f>Q304+IF(LEN($AA$305)&gt;0,1,0)</f>
        <v/>
      </c>
      <c r="R305" s="2">
        <f>R304+IF(LEN($AB$305)&gt;0,1,0)</f>
        <v/>
      </c>
      <c r="S305" s="2">
        <f>S304+IF(LEN($AC$305)&gt;0,1,0)</f>
        <v/>
      </c>
      <c r="T305" s="2">
        <f>T304+IF(LEN($AD$305)&gt;0,1,0)</f>
        <v/>
      </c>
      <c r="X305" s="2">
        <f>IF(ISERROR($B$305),"",IF(ISBLANK($B$305),"",$B$305))</f>
        <v/>
      </c>
      <c r="Y305" s="2">
        <f>IF(ISERROR($C$305),"",IF(ISBLANK($C$305),"",$C$305))</f>
        <v/>
      </c>
      <c r="Z305" s="2">
        <f>IF(ISERROR($D$305),"",IF(ISBLANK($D$305),"",$D$305))</f>
        <v/>
      </c>
      <c r="AA305" s="2">
        <f>IF(ISERROR($E$305),"",IF(ISBLANK($E$305),"",$E$305))</f>
        <v/>
      </c>
      <c r="AB305" s="2">
        <f>IF(ISERROR($F$305),"",IF(ISBLANK($F$305),"",$F$305))</f>
        <v/>
      </c>
      <c r="AC305" s="2">
        <f>IF(ISERROR($G$305),"",IF(ISBLANK($G$305),"",$G$305))</f>
        <v/>
      </c>
      <c r="AD305" s="2">
        <f>IF(ISERROR($H$305),"",IF(ISBLANK($H$305),"",$H$305))</f>
        <v/>
      </c>
      <c r="AG305" s="2">
        <f>ISERROR($B$305)*1+ISERROR($C$305)*1+ISERROR($D$305)*1+ISERROR($E$305)*1+ISERROR($F$305)*1+ISERROR($G$305)*1+ISERROR($H$305)*1</f>
        <v/>
      </c>
    </row>
    <row r="306" ht="26" customHeight="1">
      <c r="B306" s="33" t="n"/>
      <c r="C306" s="4" t="n"/>
      <c r="D306" s="4" t="n"/>
      <c r="E306" s="4" t="n"/>
      <c r="F306" s="4" t="n"/>
      <c r="G306" s="4" t="n"/>
      <c r="H306" s="4" t="n"/>
      <c r="K306" s="19">
        <f>IF(AG306&gt;0,"O Google leu como fórmula: digite de novo com ' na frente.","")</f>
        <v/>
      </c>
      <c r="N306" s="2">
        <f>N305+IF(LEN($X$306)&gt;0,1,0)</f>
        <v/>
      </c>
      <c r="O306" s="2">
        <f>O305+IF(LEN($Y$306)&gt;0,1,0)</f>
        <v/>
      </c>
      <c r="P306" s="2">
        <f>P305+IF(LEN($Z$306)&gt;0,1,0)</f>
        <v/>
      </c>
      <c r="Q306" s="2">
        <f>Q305+IF(LEN($AA$306)&gt;0,1,0)</f>
        <v/>
      </c>
      <c r="R306" s="2">
        <f>R305+IF(LEN($AB$306)&gt;0,1,0)</f>
        <v/>
      </c>
      <c r="S306" s="2">
        <f>S305+IF(LEN($AC$306)&gt;0,1,0)</f>
        <v/>
      </c>
      <c r="T306" s="2">
        <f>T305+IF(LEN($AD$306)&gt;0,1,0)</f>
        <v/>
      </c>
      <c r="X306" s="2">
        <f>IF(ISERROR($B$306),"",IF(ISBLANK($B$306),"",$B$306))</f>
        <v/>
      </c>
      <c r="Y306" s="2">
        <f>IF(ISERROR($C$306),"",IF(ISBLANK($C$306),"",$C$306))</f>
        <v/>
      </c>
      <c r="Z306" s="2">
        <f>IF(ISERROR($D$306),"",IF(ISBLANK($D$306),"",$D$306))</f>
        <v/>
      </c>
      <c r="AA306" s="2">
        <f>IF(ISERROR($E$306),"",IF(ISBLANK($E$306),"",$E$306))</f>
        <v/>
      </c>
      <c r="AB306" s="2">
        <f>IF(ISERROR($F$306),"",IF(ISBLANK($F$306),"",$F$306))</f>
        <v/>
      </c>
      <c r="AC306" s="2">
        <f>IF(ISERROR($G$306),"",IF(ISBLANK($G$306),"",$G$306))</f>
        <v/>
      </c>
      <c r="AD306" s="2">
        <f>IF(ISERROR($H$306),"",IF(ISBLANK($H$306),"",$H$306))</f>
        <v/>
      </c>
      <c r="AG306" s="2">
        <f>ISERROR($B$306)*1+ISERROR($C$306)*1+ISERROR($D$306)*1+ISERROR($E$306)*1+ISERROR($F$306)*1+ISERROR($G$306)*1+ISERROR($H$306)*1</f>
        <v/>
      </c>
    </row>
    <row r="307" ht="26" customHeight="1">
      <c r="B307" s="35" t="n"/>
      <c r="C307" s="29" t="n"/>
      <c r="D307" s="29" t="n"/>
      <c r="E307" s="29" t="n"/>
      <c r="F307" s="29" t="n"/>
      <c r="G307" s="29" t="n"/>
      <c r="H307" s="29" t="n"/>
      <c r="K307" s="19">
        <f>IF(AG307&gt;0,"O Google leu como fórmula: digite de novo com ' na frente.","")</f>
        <v/>
      </c>
      <c r="N307" s="2">
        <f>N306+IF(LEN($X$307)&gt;0,1,0)</f>
        <v/>
      </c>
      <c r="O307" s="2">
        <f>O306+IF(LEN($Y$307)&gt;0,1,0)</f>
        <v/>
      </c>
      <c r="P307" s="2">
        <f>P306+IF(LEN($Z$307)&gt;0,1,0)</f>
        <v/>
      </c>
      <c r="Q307" s="2">
        <f>Q306+IF(LEN($AA$307)&gt;0,1,0)</f>
        <v/>
      </c>
      <c r="R307" s="2">
        <f>R306+IF(LEN($AB$307)&gt;0,1,0)</f>
        <v/>
      </c>
      <c r="S307" s="2">
        <f>S306+IF(LEN($AC$307)&gt;0,1,0)</f>
        <v/>
      </c>
      <c r="T307" s="2">
        <f>T306+IF(LEN($AD$307)&gt;0,1,0)</f>
        <v/>
      </c>
      <c r="X307" s="2">
        <f>IF(ISERROR($B$307),"",IF(ISBLANK($B$307),"",$B$307))</f>
        <v/>
      </c>
      <c r="Y307" s="2">
        <f>IF(ISERROR($C$307),"",IF(ISBLANK($C$307),"",$C$307))</f>
        <v/>
      </c>
      <c r="Z307" s="2">
        <f>IF(ISERROR($D$307),"",IF(ISBLANK($D$307),"",$D$307))</f>
        <v/>
      </c>
      <c r="AA307" s="2">
        <f>IF(ISERROR($E$307),"",IF(ISBLANK($E$307),"",$E$307))</f>
        <v/>
      </c>
      <c r="AB307" s="2">
        <f>IF(ISERROR($F$307),"",IF(ISBLANK($F$307),"",$F$307))</f>
        <v/>
      </c>
      <c r="AC307" s="2">
        <f>IF(ISERROR($G$307),"",IF(ISBLANK($G$307),"",$G$307))</f>
        <v/>
      </c>
      <c r="AD307" s="2">
        <f>IF(ISERROR($H$307),"",IF(ISBLANK($H$307),"",$H$307))</f>
        <v/>
      </c>
      <c r="AG307" s="2">
        <f>ISERROR($B$307)*1+ISERROR($C$307)*1+ISERROR($D$307)*1+ISERROR($E$307)*1+ISERROR($F$307)*1+ISERROR($G$307)*1+ISERROR($H$307)*1</f>
        <v/>
      </c>
    </row>
    <row r="308" ht="26" customHeight="1">
      <c r="B308" s="33" t="n"/>
      <c r="C308" s="4" t="n"/>
      <c r="D308" s="4" t="n"/>
      <c r="E308" s="4" t="n"/>
      <c r="F308" s="4" t="n"/>
      <c r="G308" s="4" t="n"/>
      <c r="H308" s="4" t="n"/>
      <c r="K308" s="19">
        <f>IF(AG308&gt;0,"O Google leu como fórmula: digite de novo com ' na frente.","")</f>
        <v/>
      </c>
      <c r="N308" s="2">
        <f>N307+IF(LEN($X$308)&gt;0,1,0)</f>
        <v/>
      </c>
      <c r="O308" s="2">
        <f>O307+IF(LEN($Y$308)&gt;0,1,0)</f>
        <v/>
      </c>
      <c r="P308" s="2">
        <f>P307+IF(LEN($Z$308)&gt;0,1,0)</f>
        <v/>
      </c>
      <c r="Q308" s="2">
        <f>Q307+IF(LEN($AA$308)&gt;0,1,0)</f>
        <v/>
      </c>
      <c r="R308" s="2">
        <f>R307+IF(LEN($AB$308)&gt;0,1,0)</f>
        <v/>
      </c>
      <c r="S308" s="2">
        <f>S307+IF(LEN($AC$308)&gt;0,1,0)</f>
        <v/>
      </c>
      <c r="T308" s="2">
        <f>T307+IF(LEN($AD$308)&gt;0,1,0)</f>
        <v/>
      </c>
      <c r="X308" s="2">
        <f>IF(ISERROR($B$308),"",IF(ISBLANK($B$308),"",$B$308))</f>
        <v/>
      </c>
      <c r="Y308" s="2">
        <f>IF(ISERROR($C$308),"",IF(ISBLANK($C$308),"",$C$308))</f>
        <v/>
      </c>
      <c r="Z308" s="2">
        <f>IF(ISERROR($D$308),"",IF(ISBLANK($D$308),"",$D$308))</f>
        <v/>
      </c>
      <c r="AA308" s="2">
        <f>IF(ISERROR($E$308),"",IF(ISBLANK($E$308),"",$E$308))</f>
        <v/>
      </c>
      <c r="AB308" s="2">
        <f>IF(ISERROR($F$308),"",IF(ISBLANK($F$308),"",$F$308))</f>
        <v/>
      </c>
      <c r="AC308" s="2">
        <f>IF(ISERROR($G$308),"",IF(ISBLANK($G$308),"",$G$308))</f>
        <v/>
      </c>
      <c r="AD308" s="2">
        <f>IF(ISERROR($H$308),"",IF(ISBLANK($H$308),"",$H$308))</f>
        <v/>
      </c>
      <c r="AG308" s="2">
        <f>ISERROR($B$308)*1+ISERROR($C$308)*1+ISERROR($D$308)*1+ISERROR($E$308)*1+ISERROR($F$308)*1+ISERROR($G$308)*1+ISERROR($H$308)*1</f>
        <v/>
      </c>
    </row>
    <row r="309" ht="26" customHeight="1">
      <c r="B309" s="35" t="n"/>
      <c r="C309" s="29" t="n"/>
      <c r="D309" s="29" t="n"/>
      <c r="E309" s="29" t="n"/>
      <c r="F309" s="29" t="n"/>
      <c r="G309" s="29" t="n"/>
      <c r="H309" s="29" t="n"/>
      <c r="K309" s="19">
        <f>IF(AG309&gt;0,"O Google leu como fórmula: digite de novo com ' na frente.","")</f>
        <v/>
      </c>
      <c r="N309" s="2">
        <f>N308+IF(LEN($X$309)&gt;0,1,0)</f>
        <v/>
      </c>
      <c r="O309" s="2">
        <f>O308+IF(LEN($Y$309)&gt;0,1,0)</f>
        <v/>
      </c>
      <c r="P309" s="2">
        <f>P308+IF(LEN($Z$309)&gt;0,1,0)</f>
        <v/>
      </c>
      <c r="Q309" s="2">
        <f>Q308+IF(LEN($AA$309)&gt;0,1,0)</f>
        <v/>
      </c>
      <c r="R309" s="2">
        <f>R308+IF(LEN($AB$309)&gt;0,1,0)</f>
        <v/>
      </c>
      <c r="S309" s="2">
        <f>S308+IF(LEN($AC$309)&gt;0,1,0)</f>
        <v/>
      </c>
      <c r="T309" s="2">
        <f>T308+IF(LEN($AD$309)&gt;0,1,0)</f>
        <v/>
      </c>
      <c r="X309" s="2">
        <f>IF(ISERROR($B$309),"",IF(ISBLANK($B$309),"",$B$309))</f>
        <v/>
      </c>
      <c r="Y309" s="2">
        <f>IF(ISERROR($C$309),"",IF(ISBLANK($C$309),"",$C$309))</f>
        <v/>
      </c>
      <c r="Z309" s="2">
        <f>IF(ISERROR($D$309),"",IF(ISBLANK($D$309),"",$D$309))</f>
        <v/>
      </c>
      <c r="AA309" s="2">
        <f>IF(ISERROR($E$309),"",IF(ISBLANK($E$309),"",$E$309))</f>
        <v/>
      </c>
      <c r="AB309" s="2">
        <f>IF(ISERROR($F$309),"",IF(ISBLANK($F$309),"",$F$309))</f>
        <v/>
      </c>
      <c r="AC309" s="2">
        <f>IF(ISERROR($G$309),"",IF(ISBLANK($G$309),"",$G$309))</f>
        <v/>
      </c>
      <c r="AD309" s="2">
        <f>IF(ISERROR($H$309),"",IF(ISBLANK($H$309),"",$H$309))</f>
        <v/>
      </c>
      <c r="AG309" s="2">
        <f>ISERROR($B$309)*1+ISERROR($C$309)*1+ISERROR($D$309)*1+ISERROR($E$309)*1+ISERROR($F$309)*1+ISERROR($G$309)*1+ISERROR($H$309)*1</f>
        <v/>
      </c>
    </row>
    <row r="310" ht="26" customHeight="1">
      <c r="B310" s="33" t="n"/>
      <c r="C310" s="4" t="n"/>
      <c r="D310" s="4" t="n"/>
      <c r="E310" s="4" t="n"/>
      <c r="F310" s="4" t="n"/>
      <c r="G310" s="4" t="n"/>
      <c r="H310" s="4" t="n"/>
      <c r="K310" s="19">
        <f>IF(AG310&gt;0,"O Google leu como fórmula: digite de novo com ' na frente.","")</f>
        <v/>
      </c>
      <c r="N310" s="2">
        <f>N309+IF(LEN($X$310)&gt;0,1,0)</f>
        <v/>
      </c>
      <c r="O310" s="2">
        <f>O309+IF(LEN($Y$310)&gt;0,1,0)</f>
        <v/>
      </c>
      <c r="P310" s="2">
        <f>P309+IF(LEN($Z$310)&gt;0,1,0)</f>
        <v/>
      </c>
      <c r="Q310" s="2">
        <f>Q309+IF(LEN($AA$310)&gt;0,1,0)</f>
        <v/>
      </c>
      <c r="R310" s="2">
        <f>R309+IF(LEN($AB$310)&gt;0,1,0)</f>
        <v/>
      </c>
      <c r="S310" s="2">
        <f>S309+IF(LEN($AC$310)&gt;0,1,0)</f>
        <v/>
      </c>
      <c r="T310" s="2">
        <f>T309+IF(LEN($AD$310)&gt;0,1,0)</f>
        <v/>
      </c>
      <c r="X310" s="2">
        <f>IF(ISERROR($B$310),"",IF(ISBLANK($B$310),"",$B$310))</f>
        <v/>
      </c>
      <c r="Y310" s="2">
        <f>IF(ISERROR($C$310),"",IF(ISBLANK($C$310),"",$C$310))</f>
        <v/>
      </c>
      <c r="Z310" s="2">
        <f>IF(ISERROR($D$310),"",IF(ISBLANK($D$310),"",$D$310))</f>
        <v/>
      </c>
      <c r="AA310" s="2">
        <f>IF(ISERROR($E$310),"",IF(ISBLANK($E$310),"",$E$310))</f>
        <v/>
      </c>
      <c r="AB310" s="2">
        <f>IF(ISERROR($F$310),"",IF(ISBLANK($F$310),"",$F$310))</f>
        <v/>
      </c>
      <c r="AC310" s="2">
        <f>IF(ISERROR($G$310),"",IF(ISBLANK($G$310),"",$G$310))</f>
        <v/>
      </c>
      <c r="AD310" s="2">
        <f>IF(ISERROR($H$310),"",IF(ISBLANK($H$310),"",$H$310))</f>
        <v/>
      </c>
      <c r="AG310" s="2">
        <f>ISERROR($B$310)*1+ISERROR($C$310)*1+ISERROR($D$310)*1+ISERROR($E$310)*1+ISERROR($F$310)*1+ISERROR($G$310)*1+ISERROR($H$310)*1</f>
        <v/>
      </c>
    </row>
    <row r="311" ht="15" customHeight="1">
      <c r="B311" s="8" t="inlineStr">
        <is>
          <t>Sobrenome — Humano</t>
        </is>
      </c>
      <c r="C311" s="8" t="inlineStr">
        <is>
          <t>Sobrenome — Xianzhouíta</t>
        </is>
      </c>
      <c r="D311" s="8" t="inlineStr">
        <is>
          <t>Sobrenome — Vidyadhara</t>
        </is>
      </c>
      <c r="E311" s="8" t="inlineStr">
        <is>
          <t>Sobrenome — Vulpes</t>
        </is>
      </c>
      <c r="F311" s="8" t="inlineStr">
        <is>
          <t>Sobrenome — Haloviano</t>
        </is>
      </c>
      <c r="G311" s="8" t="inlineStr">
        <is>
          <t>Sobrenome — Avginiano</t>
        </is>
      </c>
      <c r="H311" s="8" t="inlineStr">
        <is>
          <t>Sobrenome — Intellitron</t>
        </is>
      </c>
      <c r="N311" s="2">
        <f>N310</f>
        <v/>
      </c>
      <c r="O311" s="2">
        <f>O310</f>
        <v/>
      </c>
      <c r="P311" s="2">
        <f>P310</f>
        <v/>
      </c>
      <c r="Q311" s="2">
        <f>Q310</f>
        <v/>
      </c>
      <c r="R311" s="2">
        <f>R310</f>
        <v/>
      </c>
      <c r="S311" s="2">
        <f>S310</f>
        <v/>
      </c>
      <c r="T311" s="2">
        <f>T310</f>
        <v/>
      </c>
      <c r="X311" s="2">
        <f>IF(ISERROR($B$311),"",IF(ISBLANK($B$311),"",$B$311))</f>
        <v/>
      </c>
      <c r="Y311" s="2">
        <f>IF(ISERROR($C$311),"",IF(ISBLANK($C$311),"",$C$311))</f>
        <v/>
      </c>
      <c r="Z311" s="2">
        <f>IF(ISERROR($D$311),"",IF(ISBLANK($D$311),"",$D$311))</f>
        <v/>
      </c>
      <c r="AA311" s="2">
        <f>IF(ISERROR($E$311),"",IF(ISBLANK($E$311),"",$E$311))</f>
        <v/>
      </c>
      <c r="AB311" s="2">
        <f>IF(ISERROR($F$311),"",IF(ISBLANK($F$311),"",$F$311))</f>
        <v/>
      </c>
      <c r="AC311" s="2">
        <f>IF(ISERROR($G$311),"",IF(ISBLANK($G$311),"",$G$311))</f>
        <v/>
      </c>
      <c r="AD311" s="2">
        <f>IF(ISERROR($H$311),"",IF(ISBLANK($H$311),"",$H$311))</f>
        <v/>
      </c>
    </row>
    <row r="312" ht="26" customHeight="1">
      <c r="B312" s="33" t="n"/>
      <c r="C312" s="4" t="n"/>
      <c r="D312" s="4" t="n"/>
      <c r="E312" s="4" t="n"/>
      <c r="F312" s="4" t="n"/>
      <c r="G312" s="4" t="n"/>
      <c r="H312" s="4" t="n"/>
      <c r="K312" s="19">
        <f>IF(AG312&gt;0,"O Google leu como fórmula: digite de novo com ' na frente.","")</f>
        <v/>
      </c>
      <c r="N312" s="2">
        <f>N311+IF(LEN($X$312)&gt;0,1,0)</f>
        <v/>
      </c>
      <c r="O312" s="2">
        <f>O311+IF(LEN($Y$312)&gt;0,1,0)</f>
        <v/>
      </c>
      <c r="P312" s="2">
        <f>P311+IF(LEN($Z$312)&gt;0,1,0)</f>
        <v/>
      </c>
      <c r="Q312" s="2">
        <f>Q311+IF(LEN($AA$312)&gt;0,1,0)</f>
        <v/>
      </c>
      <c r="R312" s="2">
        <f>R311+IF(LEN($AB$312)&gt;0,1,0)</f>
        <v/>
      </c>
      <c r="S312" s="2">
        <f>S311+IF(LEN($AC$312)&gt;0,1,0)</f>
        <v/>
      </c>
      <c r="T312" s="2">
        <f>T311+IF(LEN($AD$312)&gt;0,1,0)</f>
        <v/>
      </c>
      <c r="X312" s="2">
        <f>IF(ISERROR($B$312),"",IF(ISBLANK($B$312),"",$B$312))</f>
        <v/>
      </c>
      <c r="Y312" s="2">
        <f>IF(ISERROR($C$312),"",IF(ISBLANK($C$312),"",$C$312))</f>
        <v/>
      </c>
      <c r="Z312" s="2">
        <f>IF(ISERROR($D$312),"",IF(ISBLANK($D$312),"",$D$312))</f>
        <v/>
      </c>
      <c r="AA312" s="2">
        <f>IF(ISERROR($E$312),"",IF(ISBLANK($E$312),"",$E$312))</f>
        <v/>
      </c>
      <c r="AB312" s="2">
        <f>IF(ISERROR($F$312),"",IF(ISBLANK($F$312),"",$F$312))</f>
        <v/>
      </c>
      <c r="AC312" s="2">
        <f>IF(ISERROR($G$312),"",IF(ISBLANK($G$312),"",$G$312))</f>
        <v/>
      </c>
      <c r="AD312" s="2">
        <f>IF(ISERROR($H$312),"",IF(ISBLANK($H$312),"",$H$312))</f>
        <v/>
      </c>
      <c r="AG312" s="2">
        <f>ISERROR($B$312)*1+ISERROR($C$312)*1+ISERROR($D$312)*1+ISERROR($E$312)*1+ISERROR($F$312)*1+ISERROR($G$312)*1+ISERROR($H$312)*1</f>
        <v/>
      </c>
    </row>
    <row r="313" ht="26" customHeight="1">
      <c r="B313" s="35" t="n"/>
      <c r="C313" s="29" t="n"/>
      <c r="D313" s="29" t="n"/>
      <c r="E313" s="29" t="n"/>
      <c r="F313" s="29" t="n"/>
      <c r="G313" s="29" t="n"/>
      <c r="H313" s="29" t="n"/>
      <c r="K313" s="19">
        <f>IF(AG313&gt;0,"O Google leu como fórmula: digite de novo com ' na frente.","")</f>
        <v/>
      </c>
      <c r="N313" s="2">
        <f>N312+IF(LEN($X$313)&gt;0,1,0)</f>
        <v/>
      </c>
      <c r="O313" s="2">
        <f>O312+IF(LEN($Y$313)&gt;0,1,0)</f>
        <v/>
      </c>
      <c r="P313" s="2">
        <f>P312+IF(LEN($Z$313)&gt;0,1,0)</f>
        <v/>
      </c>
      <c r="Q313" s="2">
        <f>Q312+IF(LEN($AA$313)&gt;0,1,0)</f>
        <v/>
      </c>
      <c r="R313" s="2">
        <f>R312+IF(LEN($AB$313)&gt;0,1,0)</f>
        <v/>
      </c>
      <c r="S313" s="2">
        <f>S312+IF(LEN($AC$313)&gt;0,1,0)</f>
        <v/>
      </c>
      <c r="T313" s="2">
        <f>T312+IF(LEN($AD$313)&gt;0,1,0)</f>
        <v/>
      </c>
      <c r="X313" s="2">
        <f>IF(ISERROR($B$313),"",IF(ISBLANK($B$313),"",$B$313))</f>
        <v/>
      </c>
      <c r="Y313" s="2">
        <f>IF(ISERROR($C$313),"",IF(ISBLANK($C$313),"",$C$313))</f>
        <v/>
      </c>
      <c r="Z313" s="2">
        <f>IF(ISERROR($D$313),"",IF(ISBLANK($D$313),"",$D$313))</f>
        <v/>
      </c>
      <c r="AA313" s="2">
        <f>IF(ISERROR($E$313),"",IF(ISBLANK($E$313),"",$E$313))</f>
        <v/>
      </c>
      <c r="AB313" s="2">
        <f>IF(ISERROR($F$313),"",IF(ISBLANK($F$313),"",$F$313))</f>
        <v/>
      </c>
      <c r="AC313" s="2">
        <f>IF(ISERROR($G$313),"",IF(ISBLANK($G$313),"",$G$313))</f>
        <v/>
      </c>
      <c r="AD313" s="2">
        <f>IF(ISERROR($H$313),"",IF(ISBLANK($H$313),"",$H$313))</f>
        <v/>
      </c>
      <c r="AG313" s="2">
        <f>ISERROR($B$313)*1+ISERROR($C$313)*1+ISERROR($D$313)*1+ISERROR($E$313)*1+ISERROR($F$313)*1+ISERROR($G$313)*1+ISERROR($H$313)*1</f>
        <v/>
      </c>
    </row>
    <row r="314" ht="26" customHeight="1">
      <c r="B314" s="33" t="n"/>
      <c r="C314" s="4" t="n"/>
      <c r="D314" s="4" t="n"/>
      <c r="E314" s="4" t="n"/>
      <c r="F314" s="4" t="n"/>
      <c r="G314" s="4" t="n"/>
      <c r="H314" s="4" t="n"/>
      <c r="K314" s="19">
        <f>IF(AG314&gt;0,"O Google leu como fórmula: digite de novo com ' na frente.","")</f>
        <v/>
      </c>
      <c r="N314" s="2">
        <f>N313+IF(LEN($X$314)&gt;0,1,0)</f>
        <v/>
      </c>
      <c r="O314" s="2">
        <f>O313+IF(LEN($Y$314)&gt;0,1,0)</f>
        <v/>
      </c>
      <c r="P314" s="2">
        <f>P313+IF(LEN($Z$314)&gt;0,1,0)</f>
        <v/>
      </c>
      <c r="Q314" s="2">
        <f>Q313+IF(LEN($AA$314)&gt;0,1,0)</f>
        <v/>
      </c>
      <c r="R314" s="2">
        <f>R313+IF(LEN($AB$314)&gt;0,1,0)</f>
        <v/>
      </c>
      <c r="S314" s="2">
        <f>S313+IF(LEN($AC$314)&gt;0,1,0)</f>
        <v/>
      </c>
      <c r="T314" s="2">
        <f>T313+IF(LEN($AD$314)&gt;0,1,0)</f>
        <v/>
      </c>
      <c r="X314" s="2">
        <f>IF(ISERROR($B$314),"",IF(ISBLANK($B$314),"",$B$314))</f>
        <v/>
      </c>
      <c r="Y314" s="2">
        <f>IF(ISERROR($C$314),"",IF(ISBLANK($C$314),"",$C$314))</f>
        <v/>
      </c>
      <c r="Z314" s="2">
        <f>IF(ISERROR($D$314),"",IF(ISBLANK($D$314),"",$D$314))</f>
        <v/>
      </c>
      <c r="AA314" s="2">
        <f>IF(ISERROR($E$314),"",IF(ISBLANK($E$314),"",$E$314))</f>
        <v/>
      </c>
      <c r="AB314" s="2">
        <f>IF(ISERROR($F$314),"",IF(ISBLANK($F$314),"",$F$314))</f>
        <v/>
      </c>
      <c r="AC314" s="2">
        <f>IF(ISERROR($G$314),"",IF(ISBLANK($G$314),"",$G$314))</f>
        <v/>
      </c>
      <c r="AD314" s="2">
        <f>IF(ISERROR($H$314),"",IF(ISBLANK($H$314),"",$H$314))</f>
        <v/>
      </c>
      <c r="AG314" s="2">
        <f>ISERROR($B$314)*1+ISERROR($C$314)*1+ISERROR($D$314)*1+ISERROR($E$314)*1+ISERROR($F$314)*1+ISERROR($G$314)*1+ISERROR($H$314)*1</f>
        <v/>
      </c>
    </row>
    <row r="315" ht="26" customHeight="1">
      <c r="B315" s="35" t="n"/>
      <c r="C315" s="29" t="n"/>
      <c r="D315" s="29" t="n"/>
      <c r="E315" s="29" t="n"/>
      <c r="F315" s="29" t="n"/>
      <c r="G315" s="29" t="n"/>
      <c r="H315" s="29" t="n"/>
      <c r="K315" s="19">
        <f>IF(AG315&gt;0,"O Google leu como fórmula: digite de novo com ' na frente.","")</f>
        <v/>
      </c>
      <c r="N315" s="2">
        <f>N314+IF(LEN($X$315)&gt;0,1,0)</f>
        <v/>
      </c>
      <c r="O315" s="2">
        <f>O314+IF(LEN($Y$315)&gt;0,1,0)</f>
        <v/>
      </c>
      <c r="P315" s="2">
        <f>P314+IF(LEN($Z$315)&gt;0,1,0)</f>
        <v/>
      </c>
      <c r="Q315" s="2">
        <f>Q314+IF(LEN($AA$315)&gt;0,1,0)</f>
        <v/>
      </c>
      <c r="R315" s="2">
        <f>R314+IF(LEN($AB$315)&gt;0,1,0)</f>
        <v/>
      </c>
      <c r="S315" s="2">
        <f>S314+IF(LEN($AC$315)&gt;0,1,0)</f>
        <v/>
      </c>
      <c r="T315" s="2">
        <f>T314+IF(LEN($AD$315)&gt;0,1,0)</f>
        <v/>
      </c>
      <c r="X315" s="2">
        <f>IF(ISERROR($B$315),"",IF(ISBLANK($B$315),"",$B$315))</f>
        <v/>
      </c>
      <c r="Y315" s="2">
        <f>IF(ISERROR($C$315),"",IF(ISBLANK($C$315),"",$C$315))</f>
        <v/>
      </c>
      <c r="Z315" s="2">
        <f>IF(ISERROR($D$315),"",IF(ISBLANK($D$315),"",$D$315))</f>
        <v/>
      </c>
      <c r="AA315" s="2">
        <f>IF(ISERROR($E$315),"",IF(ISBLANK($E$315),"",$E$315))</f>
        <v/>
      </c>
      <c r="AB315" s="2">
        <f>IF(ISERROR($F$315),"",IF(ISBLANK($F$315),"",$F$315))</f>
        <v/>
      </c>
      <c r="AC315" s="2">
        <f>IF(ISERROR($G$315),"",IF(ISBLANK($G$315),"",$G$315))</f>
        <v/>
      </c>
      <c r="AD315" s="2">
        <f>IF(ISERROR($H$315),"",IF(ISBLANK($H$315),"",$H$315))</f>
        <v/>
      </c>
      <c r="AG315" s="2">
        <f>ISERROR($B$315)*1+ISERROR($C$315)*1+ISERROR($D$315)*1+ISERROR($E$315)*1+ISERROR($F$315)*1+ISERROR($G$315)*1+ISERROR($H$315)*1</f>
        <v/>
      </c>
    </row>
    <row r="316" ht="26" customHeight="1">
      <c r="B316" s="33" t="n"/>
      <c r="C316" s="4" t="n"/>
      <c r="D316" s="4" t="n"/>
      <c r="E316" s="4" t="n"/>
      <c r="F316" s="4" t="n"/>
      <c r="G316" s="4" t="n"/>
      <c r="H316" s="4" t="n"/>
      <c r="K316" s="19">
        <f>IF(AG316&gt;0,"O Google leu como fórmula: digite de novo com ' na frente.","")</f>
        <v/>
      </c>
      <c r="N316" s="2">
        <f>N315+IF(LEN($X$316)&gt;0,1,0)</f>
        <v/>
      </c>
      <c r="O316" s="2">
        <f>O315+IF(LEN($Y$316)&gt;0,1,0)</f>
        <v/>
      </c>
      <c r="P316" s="2">
        <f>P315+IF(LEN($Z$316)&gt;0,1,0)</f>
        <v/>
      </c>
      <c r="Q316" s="2">
        <f>Q315+IF(LEN($AA$316)&gt;0,1,0)</f>
        <v/>
      </c>
      <c r="R316" s="2">
        <f>R315+IF(LEN($AB$316)&gt;0,1,0)</f>
        <v/>
      </c>
      <c r="S316" s="2">
        <f>S315+IF(LEN($AC$316)&gt;0,1,0)</f>
        <v/>
      </c>
      <c r="T316" s="2">
        <f>T315+IF(LEN($AD$316)&gt;0,1,0)</f>
        <v/>
      </c>
      <c r="X316" s="2">
        <f>IF(ISERROR($B$316),"",IF(ISBLANK($B$316),"",$B$316))</f>
        <v/>
      </c>
      <c r="Y316" s="2">
        <f>IF(ISERROR($C$316),"",IF(ISBLANK($C$316),"",$C$316))</f>
        <v/>
      </c>
      <c r="Z316" s="2">
        <f>IF(ISERROR($D$316),"",IF(ISBLANK($D$316),"",$D$316))</f>
        <v/>
      </c>
      <c r="AA316" s="2">
        <f>IF(ISERROR($E$316),"",IF(ISBLANK($E$316),"",$E$316))</f>
        <v/>
      </c>
      <c r="AB316" s="2">
        <f>IF(ISERROR($F$316),"",IF(ISBLANK($F$316),"",$F$316))</f>
        <v/>
      </c>
      <c r="AC316" s="2">
        <f>IF(ISERROR($G$316),"",IF(ISBLANK($G$316),"",$G$316))</f>
        <v/>
      </c>
      <c r="AD316" s="2">
        <f>IF(ISERROR($H$316),"",IF(ISBLANK($H$316),"",$H$316))</f>
        <v/>
      </c>
      <c r="AG316" s="2">
        <f>ISERROR($B$316)*1+ISERROR($C$316)*1+ISERROR($D$316)*1+ISERROR($E$316)*1+ISERROR($F$316)*1+ISERROR($G$316)*1+ISERROR($H$316)*1</f>
        <v/>
      </c>
    </row>
    <row r="317" ht="26" customHeight="1">
      <c r="B317" s="35" t="n"/>
      <c r="C317" s="29" t="n"/>
      <c r="D317" s="29" t="n"/>
      <c r="E317" s="29" t="n"/>
      <c r="F317" s="29" t="n"/>
      <c r="G317" s="29" t="n"/>
      <c r="H317" s="29" t="n"/>
      <c r="K317" s="19">
        <f>IF(AG317&gt;0,"O Google leu como fórmula: digite de novo com ' na frente.","")</f>
        <v/>
      </c>
      <c r="N317" s="2">
        <f>N316+IF(LEN($X$317)&gt;0,1,0)</f>
        <v/>
      </c>
      <c r="O317" s="2">
        <f>O316+IF(LEN($Y$317)&gt;0,1,0)</f>
        <v/>
      </c>
      <c r="P317" s="2">
        <f>P316+IF(LEN($Z$317)&gt;0,1,0)</f>
        <v/>
      </c>
      <c r="Q317" s="2">
        <f>Q316+IF(LEN($AA$317)&gt;0,1,0)</f>
        <v/>
      </c>
      <c r="R317" s="2">
        <f>R316+IF(LEN($AB$317)&gt;0,1,0)</f>
        <v/>
      </c>
      <c r="S317" s="2">
        <f>S316+IF(LEN($AC$317)&gt;0,1,0)</f>
        <v/>
      </c>
      <c r="T317" s="2">
        <f>T316+IF(LEN($AD$317)&gt;0,1,0)</f>
        <v/>
      </c>
      <c r="X317" s="2">
        <f>IF(ISERROR($B$317),"",IF(ISBLANK($B$317),"",$B$317))</f>
        <v/>
      </c>
      <c r="Y317" s="2">
        <f>IF(ISERROR($C$317),"",IF(ISBLANK($C$317),"",$C$317))</f>
        <v/>
      </c>
      <c r="Z317" s="2">
        <f>IF(ISERROR($D$317),"",IF(ISBLANK($D$317),"",$D$317))</f>
        <v/>
      </c>
      <c r="AA317" s="2">
        <f>IF(ISERROR($E$317),"",IF(ISBLANK($E$317),"",$E$317))</f>
        <v/>
      </c>
      <c r="AB317" s="2">
        <f>IF(ISERROR($F$317),"",IF(ISBLANK($F$317),"",$F$317))</f>
        <v/>
      </c>
      <c r="AC317" s="2">
        <f>IF(ISERROR($G$317),"",IF(ISBLANK($G$317),"",$G$317))</f>
        <v/>
      </c>
      <c r="AD317" s="2">
        <f>IF(ISERROR($H$317),"",IF(ISBLANK($H$317),"",$H$317))</f>
        <v/>
      </c>
      <c r="AG317" s="2">
        <f>ISERROR($B$317)*1+ISERROR($C$317)*1+ISERROR($D$317)*1+ISERROR($E$317)*1+ISERROR($F$317)*1+ISERROR($G$317)*1+ISERROR($H$317)*1</f>
        <v/>
      </c>
    </row>
    <row r="318" ht="26" customHeight="1">
      <c r="B318" s="33" t="n"/>
      <c r="C318" s="4" t="n"/>
      <c r="D318" s="4" t="n"/>
      <c r="E318" s="4" t="n"/>
      <c r="F318" s="4" t="n"/>
      <c r="G318" s="4" t="n"/>
      <c r="H318" s="4" t="n"/>
      <c r="K318" s="19">
        <f>IF(AG318&gt;0,"O Google leu como fórmula: digite de novo com ' na frente.","")</f>
        <v/>
      </c>
      <c r="N318" s="2">
        <f>N317+IF(LEN($X$318)&gt;0,1,0)</f>
        <v/>
      </c>
      <c r="O318" s="2">
        <f>O317+IF(LEN($Y$318)&gt;0,1,0)</f>
        <v/>
      </c>
      <c r="P318" s="2">
        <f>P317+IF(LEN($Z$318)&gt;0,1,0)</f>
        <v/>
      </c>
      <c r="Q318" s="2">
        <f>Q317+IF(LEN($AA$318)&gt;0,1,0)</f>
        <v/>
      </c>
      <c r="R318" s="2">
        <f>R317+IF(LEN($AB$318)&gt;0,1,0)</f>
        <v/>
      </c>
      <c r="S318" s="2">
        <f>S317+IF(LEN($AC$318)&gt;0,1,0)</f>
        <v/>
      </c>
      <c r="T318" s="2">
        <f>T317+IF(LEN($AD$318)&gt;0,1,0)</f>
        <v/>
      </c>
      <c r="X318" s="2">
        <f>IF(ISERROR($B$318),"",IF(ISBLANK($B$318),"",$B$318))</f>
        <v/>
      </c>
      <c r="Y318" s="2">
        <f>IF(ISERROR($C$318),"",IF(ISBLANK($C$318),"",$C$318))</f>
        <v/>
      </c>
      <c r="Z318" s="2">
        <f>IF(ISERROR($D$318),"",IF(ISBLANK($D$318),"",$D$318))</f>
        <v/>
      </c>
      <c r="AA318" s="2">
        <f>IF(ISERROR($E$318),"",IF(ISBLANK($E$318),"",$E$318))</f>
        <v/>
      </c>
      <c r="AB318" s="2">
        <f>IF(ISERROR($F$318),"",IF(ISBLANK($F$318),"",$F$318))</f>
        <v/>
      </c>
      <c r="AC318" s="2">
        <f>IF(ISERROR($G$318),"",IF(ISBLANK($G$318),"",$G$318))</f>
        <v/>
      </c>
      <c r="AD318" s="2">
        <f>IF(ISERROR($H$318),"",IF(ISBLANK($H$318),"",$H$318))</f>
        <v/>
      </c>
      <c r="AG318" s="2">
        <f>ISERROR($B$318)*1+ISERROR($C$318)*1+ISERROR($D$318)*1+ISERROR($E$318)*1+ISERROR($F$318)*1+ISERROR($G$318)*1+ISERROR($H$318)*1</f>
        <v/>
      </c>
    </row>
    <row r="319" ht="26" customHeight="1">
      <c r="B319" s="35" t="n"/>
      <c r="C319" s="29" t="n"/>
      <c r="D319" s="29" t="n"/>
      <c r="E319" s="29" t="n"/>
      <c r="F319" s="29" t="n"/>
      <c r="G319" s="29" t="n"/>
      <c r="H319" s="29" t="n"/>
      <c r="K319" s="19">
        <f>IF(AG319&gt;0,"O Google leu como fórmula: digite de novo com ' na frente.","")</f>
        <v/>
      </c>
      <c r="N319" s="2">
        <f>N318+IF(LEN($X$319)&gt;0,1,0)</f>
        <v/>
      </c>
      <c r="O319" s="2">
        <f>O318+IF(LEN($Y$319)&gt;0,1,0)</f>
        <v/>
      </c>
      <c r="P319" s="2">
        <f>P318+IF(LEN($Z$319)&gt;0,1,0)</f>
        <v/>
      </c>
      <c r="Q319" s="2">
        <f>Q318+IF(LEN($AA$319)&gt;0,1,0)</f>
        <v/>
      </c>
      <c r="R319" s="2">
        <f>R318+IF(LEN($AB$319)&gt;0,1,0)</f>
        <v/>
      </c>
      <c r="S319" s="2">
        <f>S318+IF(LEN($AC$319)&gt;0,1,0)</f>
        <v/>
      </c>
      <c r="T319" s="2">
        <f>T318+IF(LEN($AD$319)&gt;0,1,0)</f>
        <v/>
      </c>
      <c r="X319" s="2">
        <f>IF(ISERROR($B$319),"",IF(ISBLANK($B$319),"",$B$319))</f>
        <v/>
      </c>
      <c r="Y319" s="2">
        <f>IF(ISERROR($C$319),"",IF(ISBLANK($C$319),"",$C$319))</f>
        <v/>
      </c>
      <c r="Z319" s="2">
        <f>IF(ISERROR($D$319),"",IF(ISBLANK($D$319),"",$D$319))</f>
        <v/>
      </c>
      <c r="AA319" s="2">
        <f>IF(ISERROR($E$319),"",IF(ISBLANK($E$319),"",$E$319))</f>
        <v/>
      </c>
      <c r="AB319" s="2">
        <f>IF(ISERROR($F$319),"",IF(ISBLANK($F$319),"",$F$319))</f>
        <v/>
      </c>
      <c r="AC319" s="2">
        <f>IF(ISERROR($G$319),"",IF(ISBLANK($G$319),"",$G$319))</f>
        <v/>
      </c>
      <c r="AD319" s="2">
        <f>IF(ISERROR($H$319),"",IF(ISBLANK($H$319),"",$H$319))</f>
        <v/>
      </c>
      <c r="AG319" s="2">
        <f>ISERROR($B$319)*1+ISERROR($C$319)*1+ISERROR($D$319)*1+ISERROR($E$319)*1+ISERROR($F$319)*1+ISERROR($G$319)*1+ISERROR($H$319)*1</f>
        <v/>
      </c>
    </row>
    <row r="320" ht="26" customHeight="1">
      <c r="B320" s="33" t="n"/>
      <c r="C320" s="4" t="n"/>
      <c r="D320" s="4" t="n"/>
      <c r="E320" s="4" t="n"/>
      <c r="F320" s="4" t="n"/>
      <c r="G320" s="4" t="n"/>
      <c r="H320" s="4" t="n"/>
      <c r="K320" s="19">
        <f>IF(AG320&gt;0,"O Google leu como fórmula: digite de novo com ' na frente.","")</f>
        <v/>
      </c>
      <c r="N320" s="2">
        <f>N319+IF(LEN($X$320)&gt;0,1,0)</f>
        <v/>
      </c>
      <c r="O320" s="2">
        <f>O319+IF(LEN($Y$320)&gt;0,1,0)</f>
        <v/>
      </c>
      <c r="P320" s="2">
        <f>P319+IF(LEN($Z$320)&gt;0,1,0)</f>
        <v/>
      </c>
      <c r="Q320" s="2">
        <f>Q319+IF(LEN($AA$320)&gt;0,1,0)</f>
        <v/>
      </c>
      <c r="R320" s="2">
        <f>R319+IF(LEN($AB$320)&gt;0,1,0)</f>
        <v/>
      </c>
      <c r="S320" s="2">
        <f>S319+IF(LEN($AC$320)&gt;0,1,0)</f>
        <v/>
      </c>
      <c r="T320" s="2">
        <f>T319+IF(LEN($AD$320)&gt;0,1,0)</f>
        <v/>
      </c>
      <c r="X320" s="2">
        <f>IF(ISERROR($B$320),"",IF(ISBLANK($B$320),"",$B$320))</f>
        <v/>
      </c>
      <c r="Y320" s="2">
        <f>IF(ISERROR($C$320),"",IF(ISBLANK($C$320),"",$C$320))</f>
        <v/>
      </c>
      <c r="Z320" s="2">
        <f>IF(ISERROR($D$320),"",IF(ISBLANK($D$320),"",$D$320))</f>
        <v/>
      </c>
      <c r="AA320" s="2">
        <f>IF(ISERROR($E$320),"",IF(ISBLANK($E$320),"",$E$320))</f>
        <v/>
      </c>
      <c r="AB320" s="2">
        <f>IF(ISERROR($F$320),"",IF(ISBLANK($F$320),"",$F$320))</f>
        <v/>
      </c>
      <c r="AC320" s="2">
        <f>IF(ISERROR($G$320),"",IF(ISBLANK($G$320),"",$G$320))</f>
        <v/>
      </c>
      <c r="AD320" s="2">
        <f>IF(ISERROR($H$320),"",IF(ISBLANK($H$320),"",$H$320))</f>
        <v/>
      </c>
      <c r="AG320" s="2">
        <f>ISERROR($B$320)*1+ISERROR($C$320)*1+ISERROR($D$320)*1+ISERROR($E$320)*1+ISERROR($F$320)*1+ISERROR($G$320)*1+ISERROR($H$320)*1</f>
        <v/>
      </c>
    </row>
    <row r="321" ht="26" customHeight="1">
      <c r="B321" s="35" t="n"/>
      <c r="C321" s="29" t="n"/>
      <c r="D321" s="29" t="n"/>
      <c r="E321" s="29" t="n"/>
      <c r="F321" s="29" t="n"/>
      <c r="G321" s="29" t="n"/>
      <c r="H321" s="29" t="n"/>
      <c r="K321" s="19">
        <f>IF(AG321&gt;0,"O Google leu como fórmula: digite de novo com ' na frente.","")</f>
        <v/>
      </c>
      <c r="N321" s="2">
        <f>N320+IF(LEN($X$321)&gt;0,1,0)</f>
        <v/>
      </c>
      <c r="O321" s="2">
        <f>O320+IF(LEN($Y$321)&gt;0,1,0)</f>
        <v/>
      </c>
      <c r="P321" s="2">
        <f>P320+IF(LEN($Z$321)&gt;0,1,0)</f>
        <v/>
      </c>
      <c r="Q321" s="2">
        <f>Q320+IF(LEN($AA$321)&gt;0,1,0)</f>
        <v/>
      </c>
      <c r="R321" s="2">
        <f>R320+IF(LEN($AB$321)&gt;0,1,0)</f>
        <v/>
      </c>
      <c r="S321" s="2">
        <f>S320+IF(LEN($AC$321)&gt;0,1,0)</f>
        <v/>
      </c>
      <c r="T321" s="2">
        <f>T320+IF(LEN($AD$321)&gt;0,1,0)</f>
        <v/>
      </c>
      <c r="X321" s="2">
        <f>IF(ISERROR($B$321),"",IF(ISBLANK($B$321),"",$B$321))</f>
        <v/>
      </c>
      <c r="Y321" s="2">
        <f>IF(ISERROR($C$321),"",IF(ISBLANK($C$321),"",$C$321))</f>
        <v/>
      </c>
      <c r="Z321" s="2">
        <f>IF(ISERROR($D$321),"",IF(ISBLANK($D$321),"",$D$321))</f>
        <v/>
      </c>
      <c r="AA321" s="2">
        <f>IF(ISERROR($E$321),"",IF(ISBLANK($E$321),"",$E$321))</f>
        <v/>
      </c>
      <c r="AB321" s="2">
        <f>IF(ISERROR($F$321),"",IF(ISBLANK($F$321),"",$F$321))</f>
        <v/>
      </c>
      <c r="AC321" s="2">
        <f>IF(ISERROR($G$321),"",IF(ISBLANK($G$321),"",$G$321))</f>
        <v/>
      </c>
      <c r="AD321" s="2">
        <f>IF(ISERROR($H$321),"",IF(ISBLANK($H$321),"",$H$321))</f>
        <v/>
      </c>
      <c r="AG321" s="2">
        <f>ISERROR($B$321)*1+ISERROR($C$321)*1+ISERROR($D$321)*1+ISERROR($E$321)*1+ISERROR($F$321)*1+ISERROR($G$321)*1+ISERROR($H$321)*1</f>
        <v/>
      </c>
    </row>
    <row r="322" ht="26" customHeight="1">
      <c r="B322" s="33" t="n"/>
      <c r="C322" s="4" t="n"/>
      <c r="D322" s="4" t="n"/>
      <c r="E322" s="4" t="n"/>
      <c r="F322" s="4" t="n"/>
      <c r="G322" s="4" t="n"/>
      <c r="H322" s="4" t="n"/>
      <c r="K322" s="19">
        <f>IF(AG322&gt;0,"O Google leu como fórmula: digite de novo com ' na frente.","")</f>
        <v/>
      </c>
      <c r="N322" s="2">
        <f>N321+IF(LEN($X$322)&gt;0,1,0)</f>
        <v/>
      </c>
      <c r="O322" s="2">
        <f>O321+IF(LEN($Y$322)&gt;0,1,0)</f>
        <v/>
      </c>
      <c r="P322" s="2">
        <f>P321+IF(LEN($Z$322)&gt;0,1,0)</f>
        <v/>
      </c>
      <c r="Q322" s="2">
        <f>Q321+IF(LEN($AA$322)&gt;0,1,0)</f>
        <v/>
      </c>
      <c r="R322" s="2">
        <f>R321+IF(LEN($AB$322)&gt;0,1,0)</f>
        <v/>
      </c>
      <c r="S322" s="2">
        <f>S321+IF(LEN($AC$322)&gt;0,1,0)</f>
        <v/>
      </c>
      <c r="T322" s="2">
        <f>T321+IF(LEN($AD$322)&gt;0,1,0)</f>
        <v/>
      </c>
      <c r="X322" s="2">
        <f>IF(ISERROR($B$322),"",IF(ISBLANK($B$322),"",$B$322))</f>
        <v/>
      </c>
      <c r="Y322" s="2">
        <f>IF(ISERROR($C$322),"",IF(ISBLANK($C$322),"",$C$322))</f>
        <v/>
      </c>
      <c r="Z322" s="2">
        <f>IF(ISERROR($D$322),"",IF(ISBLANK($D$322),"",$D$322))</f>
        <v/>
      </c>
      <c r="AA322" s="2">
        <f>IF(ISERROR($E$322),"",IF(ISBLANK($E$322),"",$E$322))</f>
        <v/>
      </c>
      <c r="AB322" s="2">
        <f>IF(ISERROR($F$322),"",IF(ISBLANK($F$322),"",$F$322))</f>
        <v/>
      </c>
      <c r="AC322" s="2">
        <f>IF(ISERROR($G$322),"",IF(ISBLANK($G$322),"",$G$322))</f>
        <v/>
      </c>
      <c r="AD322" s="2">
        <f>IF(ISERROR($H$322),"",IF(ISBLANK($H$322),"",$H$322))</f>
        <v/>
      </c>
      <c r="AG322" s="2">
        <f>ISERROR($B$322)*1+ISERROR($C$322)*1+ISERROR($D$322)*1+ISERROR($E$322)*1+ISERROR($F$322)*1+ISERROR($G$322)*1+ISERROR($H$322)*1</f>
        <v/>
      </c>
    </row>
    <row r="323" ht="26" customHeight="1">
      <c r="B323" s="35" t="n"/>
      <c r="C323" s="29" t="n"/>
      <c r="D323" s="29" t="n"/>
      <c r="E323" s="29" t="n"/>
      <c r="F323" s="29" t="n"/>
      <c r="G323" s="29" t="n"/>
      <c r="H323" s="29" t="n"/>
      <c r="K323" s="19">
        <f>IF(AG323&gt;0,"O Google leu como fórmula: digite de novo com ' na frente.","")</f>
        <v/>
      </c>
      <c r="N323" s="2">
        <f>N322+IF(LEN($X$323)&gt;0,1,0)</f>
        <v/>
      </c>
      <c r="O323" s="2">
        <f>O322+IF(LEN($Y$323)&gt;0,1,0)</f>
        <v/>
      </c>
      <c r="P323" s="2">
        <f>P322+IF(LEN($Z$323)&gt;0,1,0)</f>
        <v/>
      </c>
      <c r="Q323" s="2">
        <f>Q322+IF(LEN($AA$323)&gt;0,1,0)</f>
        <v/>
      </c>
      <c r="R323" s="2">
        <f>R322+IF(LEN($AB$323)&gt;0,1,0)</f>
        <v/>
      </c>
      <c r="S323" s="2">
        <f>S322+IF(LEN($AC$323)&gt;0,1,0)</f>
        <v/>
      </c>
      <c r="T323" s="2">
        <f>T322+IF(LEN($AD$323)&gt;0,1,0)</f>
        <v/>
      </c>
      <c r="X323" s="2">
        <f>IF(ISERROR($B$323),"",IF(ISBLANK($B$323),"",$B$323))</f>
        <v/>
      </c>
      <c r="Y323" s="2">
        <f>IF(ISERROR($C$323),"",IF(ISBLANK($C$323),"",$C$323))</f>
        <v/>
      </c>
      <c r="Z323" s="2">
        <f>IF(ISERROR($D$323),"",IF(ISBLANK($D$323),"",$D$323))</f>
        <v/>
      </c>
      <c r="AA323" s="2">
        <f>IF(ISERROR($E$323),"",IF(ISBLANK($E$323),"",$E$323))</f>
        <v/>
      </c>
      <c r="AB323" s="2">
        <f>IF(ISERROR($F$323),"",IF(ISBLANK($F$323),"",$F$323))</f>
        <v/>
      </c>
      <c r="AC323" s="2">
        <f>IF(ISERROR($G$323),"",IF(ISBLANK($G$323),"",$G$323))</f>
        <v/>
      </c>
      <c r="AD323" s="2">
        <f>IF(ISERROR($H$323),"",IF(ISBLANK($H$323),"",$H$323))</f>
        <v/>
      </c>
      <c r="AG323" s="2">
        <f>ISERROR($B$323)*1+ISERROR($C$323)*1+ISERROR($D$323)*1+ISERROR($E$323)*1+ISERROR($F$323)*1+ISERROR($G$323)*1+ISERROR($H$323)*1</f>
        <v/>
      </c>
    </row>
    <row r="324" ht="26" customHeight="1">
      <c r="B324" s="33" t="n"/>
      <c r="C324" s="4" t="n"/>
      <c r="D324" s="4" t="n"/>
      <c r="E324" s="4" t="n"/>
      <c r="F324" s="4" t="n"/>
      <c r="G324" s="4" t="n"/>
      <c r="H324" s="4" t="n"/>
      <c r="K324" s="19">
        <f>IF(AG324&gt;0,"O Google leu como fórmula: digite de novo com ' na frente.","")</f>
        <v/>
      </c>
      <c r="N324" s="2">
        <f>N323+IF(LEN($X$324)&gt;0,1,0)</f>
        <v/>
      </c>
      <c r="O324" s="2">
        <f>O323+IF(LEN($Y$324)&gt;0,1,0)</f>
        <v/>
      </c>
      <c r="P324" s="2">
        <f>P323+IF(LEN($Z$324)&gt;0,1,0)</f>
        <v/>
      </c>
      <c r="Q324" s="2">
        <f>Q323+IF(LEN($AA$324)&gt;0,1,0)</f>
        <v/>
      </c>
      <c r="R324" s="2">
        <f>R323+IF(LEN($AB$324)&gt;0,1,0)</f>
        <v/>
      </c>
      <c r="S324" s="2">
        <f>S323+IF(LEN($AC$324)&gt;0,1,0)</f>
        <v/>
      </c>
      <c r="T324" s="2">
        <f>T323+IF(LEN($AD$324)&gt;0,1,0)</f>
        <v/>
      </c>
      <c r="X324" s="2">
        <f>IF(ISERROR($B$324),"",IF(ISBLANK($B$324),"",$B$324))</f>
        <v/>
      </c>
      <c r="Y324" s="2">
        <f>IF(ISERROR($C$324),"",IF(ISBLANK($C$324),"",$C$324))</f>
        <v/>
      </c>
      <c r="Z324" s="2">
        <f>IF(ISERROR($D$324),"",IF(ISBLANK($D$324),"",$D$324))</f>
        <v/>
      </c>
      <c r="AA324" s="2">
        <f>IF(ISERROR($E$324),"",IF(ISBLANK($E$324),"",$E$324))</f>
        <v/>
      </c>
      <c r="AB324" s="2">
        <f>IF(ISERROR($F$324),"",IF(ISBLANK($F$324),"",$F$324))</f>
        <v/>
      </c>
      <c r="AC324" s="2">
        <f>IF(ISERROR($G$324),"",IF(ISBLANK($G$324),"",$G$324))</f>
        <v/>
      </c>
      <c r="AD324" s="2">
        <f>IF(ISERROR($H$324),"",IF(ISBLANK($H$324),"",$H$324))</f>
        <v/>
      </c>
      <c r="AG324" s="2">
        <f>ISERROR($B$324)*1+ISERROR($C$324)*1+ISERROR($D$324)*1+ISERROR($E$324)*1+ISERROR($F$324)*1+ISERROR($G$324)*1+ISERROR($H$324)*1</f>
        <v/>
      </c>
    </row>
    <row r="325" ht="15" customHeight="1">
      <c r="B325" s="8" t="inlineStr">
        <is>
          <t>Sobrenome — Humano</t>
        </is>
      </c>
      <c r="C325" s="8" t="inlineStr">
        <is>
          <t>Sobrenome — Xianzhouíta</t>
        </is>
      </c>
      <c r="D325" s="8" t="inlineStr">
        <is>
          <t>Sobrenome — Vidyadhara</t>
        </is>
      </c>
      <c r="E325" s="8" t="inlineStr">
        <is>
          <t>Sobrenome — Vulpes</t>
        </is>
      </c>
      <c r="F325" s="8" t="inlineStr">
        <is>
          <t>Sobrenome — Haloviano</t>
        </is>
      </c>
      <c r="G325" s="8" t="inlineStr">
        <is>
          <t>Sobrenome — Avginiano</t>
        </is>
      </c>
      <c r="H325" s="8" t="inlineStr">
        <is>
          <t>Sobrenome — Intellitron</t>
        </is>
      </c>
      <c r="N325" s="2">
        <f>N324</f>
        <v/>
      </c>
      <c r="O325" s="2">
        <f>O324</f>
        <v/>
      </c>
      <c r="P325" s="2">
        <f>P324</f>
        <v/>
      </c>
      <c r="Q325" s="2">
        <f>Q324</f>
        <v/>
      </c>
      <c r="R325" s="2">
        <f>R324</f>
        <v/>
      </c>
      <c r="S325" s="2">
        <f>S324</f>
        <v/>
      </c>
      <c r="T325" s="2">
        <f>T324</f>
        <v/>
      </c>
      <c r="X325" s="2">
        <f>IF(ISERROR($B$325),"",IF(ISBLANK($B$325),"",$B$325))</f>
        <v/>
      </c>
      <c r="Y325" s="2">
        <f>IF(ISERROR($C$325),"",IF(ISBLANK($C$325),"",$C$325))</f>
        <v/>
      </c>
      <c r="Z325" s="2">
        <f>IF(ISERROR($D$325),"",IF(ISBLANK($D$325),"",$D$325))</f>
        <v/>
      </c>
      <c r="AA325" s="2">
        <f>IF(ISERROR($E$325),"",IF(ISBLANK($E$325),"",$E$325))</f>
        <v/>
      </c>
      <c r="AB325" s="2">
        <f>IF(ISERROR($F$325),"",IF(ISBLANK($F$325),"",$F$325))</f>
        <v/>
      </c>
      <c r="AC325" s="2">
        <f>IF(ISERROR($G$325),"",IF(ISBLANK($G$325),"",$G$325))</f>
        <v/>
      </c>
      <c r="AD325" s="2">
        <f>IF(ISERROR($H$325),"",IF(ISBLANK($H$325),"",$H$325))</f>
        <v/>
      </c>
    </row>
    <row r="326" ht="26" customHeight="1">
      <c r="B326" s="33" t="n"/>
      <c r="C326" s="4" t="n"/>
      <c r="D326" s="4" t="n"/>
      <c r="E326" s="4" t="n"/>
      <c r="F326" s="4" t="n"/>
      <c r="G326" s="4" t="n"/>
      <c r="H326" s="4" t="n"/>
      <c r="K326" s="19">
        <f>IF(AG326&gt;0,"O Google leu como fórmula: digite de novo com ' na frente.","")</f>
        <v/>
      </c>
      <c r="N326" s="2">
        <f>N325+IF(LEN($X$326)&gt;0,1,0)</f>
        <v/>
      </c>
      <c r="O326" s="2">
        <f>O325+IF(LEN($Y$326)&gt;0,1,0)</f>
        <v/>
      </c>
      <c r="P326" s="2">
        <f>P325+IF(LEN($Z$326)&gt;0,1,0)</f>
        <v/>
      </c>
      <c r="Q326" s="2">
        <f>Q325+IF(LEN($AA$326)&gt;0,1,0)</f>
        <v/>
      </c>
      <c r="R326" s="2">
        <f>R325+IF(LEN($AB$326)&gt;0,1,0)</f>
        <v/>
      </c>
      <c r="S326" s="2">
        <f>S325+IF(LEN($AC$326)&gt;0,1,0)</f>
        <v/>
      </c>
      <c r="T326" s="2">
        <f>T325+IF(LEN($AD$326)&gt;0,1,0)</f>
        <v/>
      </c>
      <c r="X326" s="2">
        <f>IF(ISERROR($B$326),"",IF(ISBLANK($B$326),"",$B$326))</f>
        <v/>
      </c>
      <c r="Y326" s="2">
        <f>IF(ISERROR($C$326),"",IF(ISBLANK($C$326),"",$C$326))</f>
        <v/>
      </c>
      <c r="Z326" s="2">
        <f>IF(ISERROR($D$326),"",IF(ISBLANK($D$326),"",$D$326))</f>
        <v/>
      </c>
      <c r="AA326" s="2">
        <f>IF(ISERROR($E$326),"",IF(ISBLANK($E$326),"",$E$326))</f>
        <v/>
      </c>
      <c r="AB326" s="2">
        <f>IF(ISERROR($F$326),"",IF(ISBLANK($F$326),"",$F$326))</f>
        <v/>
      </c>
      <c r="AC326" s="2">
        <f>IF(ISERROR($G$326),"",IF(ISBLANK($G$326),"",$G$326))</f>
        <v/>
      </c>
      <c r="AD326" s="2">
        <f>IF(ISERROR($H$326),"",IF(ISBLANK($H$326),"",$H$326))</f>
        <v/>
      </c>
      <c r="AG326" s="2">
        <f>ISERROR($B$326)*1+ISERROR($C$326)*1+ISERROR($D$326)*1+ISERROR($E$326)*1+ISERROR($F$326)*1+ISERROR($G$326)*1+ISERROR($H$326)*1</f>
        <v/>
      </c>
    </row>
    <row r="327" ht="26" customHeight="1">
      <c r="B327" s="35" t="n"/>
      <c r="C327" s="29" t="n"/>
      <c r="D327" s="29" t="n"/>
      <c r="E327" s="29" t="n"/>
      <c r="F327" s="29" t="n"/>
      <c r="G327" s="29" t="n"/>
      <c r="H327" s="29" t="n"/>
      <c r="K327" s="19">
        <f>IF(AG327&gt;0,"O Google leu como fórmula: digite de novo com ' na frente.","")</f>
        <v/>
      </c>
      <c r="N327" s="2">
        <f>N326+IF(LEN($X$327)&gt;0,1,0)</f>
        <v/>
      </c>
      <c r="O327" s="2">
        <f>O326+IF(LEN($Y$327)&gt;0,1,0)</f>
        <v/>
      </c>
      <c r="P327" s="2">
        <f>P326+IF(LEN($Z$327)&gt;0,1,0)</f>
        <v/>
      </c>
      <c r="Q327" s="2">
        <f>Q326+IF(LEN($AA$327)&gt;0,1,0)</f>
        <v/>
      </c>
      <c r="R327" s="2">
        <f>R326+IF(LEN($AB$327)&gt;0,1,0)</f>
        <v/>
      </c>
      <c r="S327" s="2">
        <f>S326+IF(LEN($AC$327)&gt;0,1,0)</f>
        <v/>
      </c>
      <c r="T327" s="2">
        <f>T326+IF(LEN($AD$327)&gt;0,1,0)</f>
        <v/>
      </c>
      <c r="X327" s="2">
        <f>IF(ISERROR($B$327),"",IF(ISBLANK($B$327),"",$B$327))</f>
        <v/>
      </c>
      <c r="Y327" s="2">
        <f>IF(ISERROR($C$327),"",IF(ISBLANK($C$327),"",$C$327))</f>
        <v/>
      </c>
      <c r="Z327" s="2">
        <f>IF(ISERROR($D$327),"",IF(ISBLANK($D$327),"",$D$327))</f>
        <v/>
      </c>
      <c r="AA327" s="2">
        <f>IF(ISERROR($E$327),"",IF(ISBLANK($E$327),"",$E$327))</f>
        <v/>
      </c>
      <c r="AB327" s="2">
        <f>IF(ISERROR($F$327),"",IF(ISBLANK($F$327),"",$F$327))</f>
        <v/>
      </c>
      <c r="AC327" s="2">
        <f>IF(ISERROR($G$327),"",IF(ISBLANK($G$327),"",$G$327))</f>
        <v/>
      </c>
      <c r="AD327" s="2">
        <f>IF(ISERROR($H$327),"",IF(ISBLANK($H$327),"",$H$327))</f>
        <v/>
      </c>
      <c r="AG327" s="2">
        <f>ISERROR($B$327)*1+ISERROR($C$327)*1+ISERROR($D$327)*1+ISERROR($E$327)*1+ISERROR($F$327)*1+ISERROR($G$327)*1+ISERROR($H$327)*1</f>
        <v/>
      </c>
    </row>
    <row r="328" ht="26" customHeight="1">
      <c r="B328" s="33" t="n"/>
      <c r="C328" s="4" t="n"/>
      <c r="D328" s="4" t="n"/>
      <c r="E328" s="4" t="n"/>
      <c r="F328" s="4" t="n"/>
      <c r="G328" s="4" t="n"/>
      <c r="H328" s="4" t="n"/>
      <c r="K328" s="19">
        <f>IF(AG328&gt;0,"O Google leu como fórmula: digite de novo com ' na frente.","")</f>
        <v/>
      </c>
      <c r="N328" s="2">
        <f>N327+IF(LEN($X$328)&gt;0,1,0)</f>
        <v/>
      </c>
      <c r="O328" s="2">
        <f>O327+IF(LEN($Y$328)&gt;0,1,0)</f>
        <v/>
      </c>
      <c r="P328" s="2">
        <f>P327+IF(LEN($Z$328)&gt;0,1,0)</f>
        <v/>
      </c>
      <c r="Q328" s="2">
        <f>Q327+IF(LEN($AA$328)&gt;0,1,0)</f>
        <v/>
      </c>
      <c r="R328" s="2">
        <f>R327+IF(LEN($AB$328)&gt;0,1,0)</f>
        <v/>
      </c>
      <c r="S328" s="2">
        <f>S327+IF(LEN($AC$328)&gt;0,1,0)</f>
        <v/>
      </c>
      <c r="T328" s="2">
        <f>T327+IF(LEN($AD$328)&gt;0,1,0)</f>
        <v/>
      </c>
      <c r="X328" s="2">
        <f>IF(ISERROR($B$328),"",IF(ISBLANK($B$328),"",$B$328))</f>
        <v/>
      </c>
      <c r="Y328" s="2">
        <f>IF(ISERROR($C$328),"",IF(ISBLANK($C$328),"",$C$328))</f>
        <v/>
      </c>
      <c r="Z328" s="2">
        <f>IF(ISERROR($D$328),"",IF(ISBLANK($D$328),"",$D$328))</f>
        <v/>
      </c>
      <c r="AA328" s="2">
        <f>IF(ISERROR($E$328),"",IF(ISBLANK($E$328),"",$E$328))</f>
        <v/>
      </c>
      <c r="AB328" s="2">
        <f>IF(ISERROR($F$328),"",IF(ISBLANK($F$328),"",$F$328))</f>
        <v/>
      </c>
      <c r="AC328" s="2">
        <f>IF(ISERROR($G$328),"",IF(ISBLANK($G$328),"",$G$328))</f>
        <v/>
      </c>
      <c r="AD328" s="2">
        <f>IF(ISERROR($H$328),"",IF(ISBLANK($H$328),"",$H$328))</f>
        <v/>
      </c>
      <c r="AG328" s="2">
        <f>ISERROR($B$328)*1+ISERROR($C$328)*1+ISERROR($D$328)*1+ISERROR($E$328)*1+ISERROR($F$328)*1+ISERROR($G$328)*1+ISERROR($H$328)*1</f>
        <v/>
      </c>
    </row>
    <row r="329" ht="26" customHeight="1">
      <c r="B329" s="35" t="n"/>
      <c r="C329" s="29" t="n"/>
      <c r="D329" s="29" t="n"/>
      <c r="E329" s="29" t="n"/>
      <c r="F329" s="29" t="n"/>
      <c r="G329" s="29" t="n"/>
      <c r="H329" s="29" t="n"/>
      <c r="K329" s="19">
        <f>IF(AG329&gt;0,"O Google leu como fórmula: digite de novo com ' na frente.","")</f>
        <v/>
      </c>
      <c r="N329" s="2">
        <f>N328+IF(LEN($X$329)&gt;0,1,0)</f>
        <v/>
      </c>
      <c r="O329" s="2">
        <f>O328+IF(LEN($Y$329)&gt;0,1,0)</f>
        <v/>
      </c>
      <c r="P329" s="2">
        <f>P328+IF(LEN($Z$329)&gt;0,1,0)</f>
        <v/>
      </c>
      <c r="Q329" s="2">
        <f>Q328+IF(LEN($AA$329)&gt;0,1,0)</f>
        <v/>
      </c>
      <c r="R329" s="2">
        <f>R328+IF(LEN($AB$329)&gt;0,1,0)</f>
        <v/>
      </c>
      <c r="S329" s="2">
        <f>S328+IF(LEN($AC$329)&gt;0,1,0)</f>
        <v/>
      </c>
      <c r="T329" s="2">
        <f>T328+IF(LEN($AD$329)&gt;0,1,0)</f>
        <v/>
      </c>
      <c r="X329" s="2">
        <f>IF(ISERROR($B$329),"",IF(ISBLANK($B$329),"",$B$329))</f>
        <v/>
      </c>
      <c r="Y329" s="2">
        <f>IF(ISERROR($C$329),"",IF(ISBLANK($C$329),"",$C$329))</f>
        <v/>
      </c>
      <c r="Z329" s="2">
        <f>IF(ISERROR($D$329),"",IF(ISBLANK($D$329),"",$D$329))</f>
        <v/>
      </c>
      <c r="AA329" s="2">
        <f>IF(ISERROR($E$329),"",IF(ISBLANK($E$329),"",$E$329))</f>
        <v/>
      </c>
      <c r="AB329" s="2">
        <f>IF(ISERROR($F$329),"",IF(ISBLANK($F$329),"",$F$329))</f>
        <v/>
      </c>
      <c r="AC329" s="2">
        <f>IF(ISERROR($G$329),"",IF(ISBLANK($G$329),"",$G$329))</f>
        <v/>
      </c>
      <c r="AD329" s="2">
        <f>IF(ISERROR($H$329),"",IF(ISBLANK($H$329),"",$H$329))</f>
        <v/>
      </c>
      <c r="AG329" s="2">
        <f>ISERROR($B$329)*1+ISERROR($C$329)*1+ISERROR($D$329)*1+ISERROR($E$329)*1+ISERROR($F$329)*1+ISERROR($G$329)*1+ISERROR($H$329)*1</f>
        <v/>
      </c>
    </row>
    <row r="330" ht="26" customHeight="1">
      <c r="B330" s="33" t="n"/>
      <c r="C330" s="4" t="n"/>
      <c r="D330" s="4" t="n"/>
      <c r="E330" s="4" t="n"/>
      <c r="F330" s="4" t="n"/>
      <c r="G330" s="4" t="n"/>
      <c r="H330" s="4" t="n"/>
      <c r="K330" s="19">
        <f>IF(AG330&gt;0,"O Google leu como fórmula: digite de novo com ' na frente.","")</f>
        <v/>
      </c>
      <c r="N330" s="2">
        <f>N329+IF(LEN($X$330)&gt;0,1,0)</f>
        <v/>
      </c>
      <c r="O330" s="2">
        <f>O329+IF(LEN($Y$330)&gt;0,1,0)</f>
        <v/>
      </c>
      <c r="P330" s="2">
        <f>P329+IF(LEN($Z$330)&gt;0,1,0)</f>
        <v/>
      </c>
      <c r="Q330" s="2">
        <f>Q329+IF(LEN($AA$330)&gt;0,1,0)</f>
        <v/>
      </c>
      <c r="R330" s="2">
        <f>R329+IF(LEN($AB$330)&gt;0,1,0)</f>
        <v/>
      </c>
      <c r="S330" s="2">
        <f>S329+IF(LEN($AC$330)&gt;0,1,0)</f>
        <v/>
      </c>
      <c r="T330" s="2">
        <f>T329+IF(LEN($AD$330)&gt;0,1,0)</f>
        <v/>
      </c>
      <c r="X330" s="2">
        <f>IF(ISERROR($B$330),"",IF(ISBLANK($B$330),"",$B$330))</f>
        <v/>
      </c>
      <c r="Y330" s="2">
        <f>IF(ISERROR($C$330),"",IF(ISBLANK($C$330),"",$C$330))</f>
        <v/>
      </c>
      <c r="Z330" s="2">
        <f>IF(ISERROR($D$330),"",IF(ISBLANK($D$330),"",$D$330))</f>
        <v/>
      </c>
      <c r="AA330" s="2">
        <f>IF(ISERROR($E$330),"",IF(ISBLANK($E$330),"",$E$330))</f>
        <v/>
      </c>
      <c r="AB330" s="2">
        <f>IF(ISERROR($F$330),"",IF(ISBLANK($F$330),"",$F$330))</f>
        <v/>
      </c>
      <c r="AC330" s="2">
        <f>IF(ISERROR($G$330),"",IF(ISBLANK($G$330),"",$G$330))</f>
        <v/>
      </c>
      <c r="AD330" s="2">
        <f>IF(ISERROR($H$330),"",IF(ISBLANK($H$330),"",$H$330))</f>
        <v/>
      </c>
      <c r="AG330" s="2">
        <f>ISERROR($B$330)*1+ISERROR($C$330)*1+ISERROR($D$330)*1+ISERROR($E$330)*1+ISERROR($F$330)*1+ISERROR($G$330)*1+ISERROR($H$330)*1</f>
        <v/>
      </c>
    </row>
    <row r="331" ht="26" customHeight="1">
      <c r="B331" s="35" t="n"/>
      <c r="C331" s="29" t="n"/>
      <c r="D331" s="29" t="n"/>
      <c r="E331" s="29" t="n"/>
      <c r="F331" s="29" t="n"/>
      <c r="G331" s="29" t="n"/>
      <c r="H331" s="29" t="n"/>
      <c r="K331" s="19">
        <f>IF(AG331&gt;0,"O Google leu como fórmula: digite de novo com ' na frente.","")</f>
        <v/>
      </c>
      <c r="N331" s="2">
        <f>N330+IF(LEN($X$331)&gt;0,1,0)</f>
        <v/>
      </c>
      <c r="O331" s="2">
        <f>O330+IF(LEN($Y$331)&gt;0,1,0)</f>
        <v/>
      </c>
      <c r="P331" s="2">
        <f>P330+IF(LEN($Z$331)&gt;0,1,0)</f>
        <v/>
      </c>
      <c r="Q331" s="2">
        <f>Q330+IF(LEN($AA$331)&gt;0,1,0)</f>
        <v/>
      </c>
      <c r="R331" s="2">
        <f>R330+IF(LEN($AB$331)&gt;0,1,0)</f>
        <v/>
      </c>
      <c r="S331" s="2">
        <f>S330+IF(LEN($AC$331)&gt;0,1,0)</f>
        <v/>
      </c>
      <c r="T331" s="2">
        <f>T330+IF(LEN($AD$331)&gt;0,1,0)</f>
        <v/>
      </c>
      <c r="X331" s="2">
        <f>IF(ISERROR($B$331),"",IF(ISBLANK($B$331),"",$B$331))</f>
        <v/>
      </c>
      <c r="Y331" s="2">
        <f>IF(ISERROR($C$331),"",IF(ISBLANK($C$331),"",$C$331))</f>
        <v/>
      </c>
      <c r="Z331" s="2">
        <f>IF(ISERROR($D$331),"",IF(ISBLANK($D$331),"",$D$331))</f>
        <v/>
      </c>
      <c r="AA331" s="2">
        <f>IF(ISERROR($E$331),"",IF(ISBLANK($E$331),"",$E$331))</f>
        <v/>
      </c>
      <c r="AB331" s="2">
        <f>IF(ISERROR($F$331),"",IF(ISBLANK($F$331),"",$F$331))</f>
        <v/>
      </c>
      <c r="AC331" s="2">
        <f>IF(ISERROR($G$331),"",IF(ISBLANK($G$331),"",$G$331))</f>
        <v/>
      </c>
      <c r="AD331" s="2">
        <f>IF(ISERROR($H$331),"",IF(ISBLANK($H$331),"",$H$331))</f>
        <v/>
      </c>
      <c r="AG331" s="2">
        <f>ISERROR($B$331)*1+ISERROR($C$331)*1+ISERROR($D$331)*1+ISERROR($E$331)*1+ISERROR($F$331)*1+ISERROR($G$331)*1+ISERROR($H$331)*1</f>
        <v/>
      </c>
    </row>
    <row r="332" ht="26" customHeight="1">
      <c r="B332" s="33" t="n"/>
      <c r="C332" s="4" t="n"/>
      <c r="D332" s="4" t="n"/>
      <c r="E332" s="4" t="n"/>
      <c r="F332" s="4" t="n"/>
      <c r="G332" s="4" t="n"/>
      <c r="H332" s="4" t="n"/>
      <c r="K332" s="19">
        <f>IF(AG332&gt;0,"O Google leu como fórmula: digite de novo com ' na frente.","")</f>
        <v/>
      </c>
      <c r="N332" s="2">
        <f>N331+IF(LEN($X$332)&gt;0,1,0)</f>
        <v/>
      </c>
      <c r="O332" s="2">
        <f>O331+IF(LEN($Y$332)&gt;0,1,0)</f>
        <v/>
      </c>
      <c r="P332" s="2">
        <f>P331+IF(LEN($Z$332)&gt;0,1,0)</f>
        <v/>
      </c>
      <c r="Q332" s="2">
        <f>Q331+IF(LEN($AA$332)&gt;0,1,0)</f>
        <v/>
      </c>
      <c r="R332" s="2">
        <f>R331+IF(LEN($AB$332)&gt;0,1,0)</f>
        <v/>
      </c>
      <c r="S332" s="2">
        <f>S331+IF(LEN($AC$332)&gt;0,1,0)</f>
        <v/>
      </c>
      <c r="T332" s="2">
        <f>T331+IF(LEN($AD$332)&gt;0,1,0)</f>
        <v/>
      </c>
      <c r="X332" s="2">
        <f>IF(ISERROR($B$332),"",IF(ISBLANK($B$332),"",$B$332))</f>
        <v/>
      </c>
      <c r="Y332" s="2">
        <f>IF(ISERROR($C$332),"",IF(ISBLANK($C$332),"",$C$332))</f>
        <v/>
      </c>
      <c r="Z332" s="2">
        <f>IF(ISERROR($D$332),"",IF(ISBLANK($D$332),"",$D$332))</f>
        <v/>
      </c>
      <c r="AA332" s="2">
        <f>IF(ISERROR($E$332),"",IF(ISBLANK($E$332),"",$E$332))</f>
        <v/>
      </c>
      <c r="AB332" s="2">
        <f>IF(ISERROR($F$332),"",IF(ISBLANK($F$332),"",$F$332))</f>
        <v/>
      </c>
      <c r="AC332" s="2">
        <f>IF(ISERROR($G$332),"",IF(ISBLANK($G$332),"",$G$332))</f>
        <v/>
      </c>
      <c r="AD332" s="2">
        <f>IF(ISERROR($H$332),"",IF(ISBLANK($H$332),"",$H$332))</f>
        <v/>
      </c>
      <c r="AG332" s="2">
        <f>ISERROR($B$332)*1+ISERROR($C$332)*1+ISERROR($D$332)*1+ISERROR($E$332)*1+ISERROR($F$332)*1+ISERROR($G$332)*1+ISERROR($H$332)*1</f>
        <v/>
      </c>
    </row>
    <row r="333" ht="26" customHeight="1">
      <c r="B333" s="35" t="n"/>
      <c r="C333" s="29" t="n"/>
      <c r="D333" s="29" t="n"/>
      <c r="E333" s="29" t="n"/>
      <c r="F333" s="29" t="n"/>
      <c r="G333" s="29" t="n"/>
      <c r="H333" s="29" t="n"/>
      <c r="K333" s="19">
        <f>IF(AG333&gt;0,"O Google leu como fórmula: digite de novo com ' na frente.","")</f>
        <v/>
      </c>
      <c r="N333" s="2">
        <f>N332+IF(LEN($X$333)&gt;0,1,0)</f>
        <v/>
      </c>
      <c r="O333" s="2">
        <f>O332+IF(LEN($Y$333)&gt;0,1,0)</f>
        <v/>
      </c>
      <c r="P333" s="2">
        <f>P332+IF(LEN($Z$333)&gt;0,1,0)</f>
        <v/>
      </c>
      <c r="Q333" s="2">
        <f>Q332+IF(LEN($AA$333)&gt;0,1,0)</f>
        <v/>
      </c>
      <c r="R333" s="2">
        <f>R332+IF(LEN($AB$333)&gt;0,1,0)</f>
        <v/>
      </c>
      <c r="S333" s="2">
        <f>S332+IF(LEN($AC$333)&gt;0,1,0)</f>
        <v/>
      </c>
      <c r="T333" s="2">
        <f>T332+IF(LEN($AD$333)&gt;0,1,0)</f>
        <v/>
      </c>
      <c r="X333" s="2">
        <f>IF(ISERROR($B$333),"",IF(ISBLANK($B$333),"",$B$333))</f>
        <v/>
      </c>
      <c r="Y333" s="2">
        <f>IF(ISERROR($C$333),"",IF(ISBLANK($C$333),"",$C$333))</f>
        <v/>
      </c>
      <c r="Z333" s="2">
        <f>IF(ISERROR($D$333),"",IF(ISBLANK($D$333),"",$D$333))</f>
        <v/>
      </c>
      <c r="AA333" s="2">
        <f>IF(ISERROR($E$333),"",IF(ISBLANK($E$333),"",$E$333))</f>
        <v/>
      </c>
      <c r="AB333" s="2">
        <f>IF(ISERROR($F$333),"",IF(ISBLANK($F$333),"",$F$333))</f>
        <v/>
      </c>
      <c r="AC333" s="2">
        <f>IF(ISERROR($G$333),"",IF(ISBLANK($G$333),"",$G$333))</f>
        <v/>
      </c>
      <c r="AD333" s="2">
        <f>IF(ISERROR($H$333),"",IF(ISBLANK($H$333),"",$H$333))</f>
        <v/>
      </c>
      <c r="AG333" s="2">
        <f>ISERROR($B$333)*1+ISERROR($C$333)*1+ISERROR($D$333)*1+ISERROR($E$333)*1+ISERROR($F$333)*1+ISERROR($G$333)*1+ISERROR($H$333)*1</f>
        <v/>
      </c>
    </row>
    <row r="334" ht="26" customHeight="1">
      <c r="B334" s="33" t="n"/>
      <c r="C334" s="4" t="n"/>
      <c r="D334" s="4" t="n"/>
      <c r="E334" s="4" t="n"/>
      <c r="F334" s="4" t="n"/>
      <c r="G334" s="4" t="n"/>
      <c r="H334" s="4" t="n"/>
      <c r="K334" s="19">
        <f>IF(AG334&gt;0,"O Google leu como fórmula: digite de novo com ' na frente.","")</f>
        <v/>
      </c>
      <c r="N334" s="2">
        <f>N333+IF(LEN($X$334)&gt;0,1,0)</f>
        <v/>
      </c>
      <c r="O334" s="2">
        <f>O333+IF(LEN($Y$334)&gt;0,1,0)</f>
        <v/>
      </c>
      <c r="P334" s="2">
        <f>P333+IF(LEN($Z$334)&gt;0,1,0)</f>
        <v/>
      </c>
      <c r="Q334" s="2">
        <f>Q333+IF(LEN($AA$334)&gt;0,1,0)</f>
        <v/>
      </c>
      <c r="R334" s="2">
        <f>R333+IF(LEN($AB$334)&gt;0,1,0)</f>
        <v/>
      </c>
      <c r="S334" s="2">
        <f>S333+IF(LEN($AC$334)&gt;0,1,0)</f>
        <v/>
      </c>
      <c r="T334" s="2">
        <f>T333+IF(LEN($AD$334)&gt;0,1,0)</f>
        <v/>
      </c>
      <c r="X334" s="2">
        <f>IF(ISERROR($B$334),"",IF(ISBLANK($B$334),"",$B$334))</f>
        <v/>
      </c>
      <c r="Y334" s="2">
        <f>IF(ISERROR($C$334),"",IF(ISBLANK($C$334),"",$C$334))</f>
        <v/>
      </c>
      <c r="Z334" s="2">
        <f>IF(ISERROR($D$334),"",IF(ISBLANK($D$334),"",$D$334))</f>
        <v/>
      </c>
      <c r="AA334" s="2">
        <f>IF(ISERROR($E$334),"",IF(ISBLANK($E$334),"",$E$334))</f>
        <v/>
      </c>
      <c r="AB334" s="2">
        <f>IF(ISERROR($F$334),"",IF(ISBLANK($F$334),"",$F$334))</f>
        <v/>
      </c>
      <c r="AC334" s="2">
        <f>IF(ISERROR($G$334),"",IF(ISBLANK($G$334),"",$G$334))</f>
        <v/>
      </c>
      <c r="AD334" s="2">
        <f>IF(ISERROR($H$334),"",IF(ISBLANK($H$334),"",$H$334))</f>
        <v/>
      </c>
      <c r="AG334" s="2">
        <f>ISERROR($B$334)*1+ISERROR($C$334)*1+ISERROR($D$334)*1+ISERROR($E$334)*1+ISERROR($F$334)*1+ISERROR($G$334)*1+ISERROR($H$334)*1</f>
        <v/>
      </c>
    </row>
    <row r="335" ht="26" customHeight="1">
      <c r="B335" s="35" t="n"/>
      <c r="C335" s="29" t="n"/>
      <c r="D335" s="29" t="n"/>
      <c r="E335" s="29" t="n"/>
      <c r="F335" s="29" t="n"/>
      <c r="G335" s="29" t="n"/>
      <c r="H335" s="29" t="n"/>
      <c r="K335" s="19">
        <f>IF(AG335&gt;0,"O Google leu como fórmula: digite de novo com ' na frente.","")</f>
        <v/>
      </c>
      <c r="N335" s="2">
        <f>N334+IF(LEN($X$335)&gt;0,1,0)</f>
        <v/>
      </c>
      <c r="O335" s="2">
        <f>O334+IF(LEN($Y$335)&gt;0,1,0)</f>
        <v/>
      </c>
      <c r="P335" s="2">
        <f>P334+IF(LEN($Z$335)&gt;0,1,0)</f>
        <v/>
      </c>
      <c r="Q335" s="2">
        <f>Q334+IF(LEN($AA$335)&gt;0,1,0)</f>
        <v/>
      </c>
      <c r="R335" s="2">
        <f>R334+IF(LEN($AB$335)&gt;0,1,0)</f>
        <v/>
      </c>
      <c r="S335" s="2">
        <f>S334+IF(LEN($AC$335)&gt;0,1,0)</f>
        <v/>
      </c>
      <c r="T335" s="2">
        <f>T334+IF(LEN($AD$335)&gt;0,1,0)</f>
        <v/>
      </c>
      <c r="X335" s="2">
        <f>IF(ISERROR($B$335),"",IF(ISBLANK($B$335),"",$B$335))</f>
        <v/>
      </c>
      <c r="Y335" s="2">
        <f>IF(ISERROR($C$335),"",IF(ISBLANK($C$335),"",$C$335))</f>
        <v/>
      </c>
      <c r="Z335" s="2">
        <f>IF(ISERROR($D$335),"",IF(ISBLANK($D$335),"",$D$335))</f>
        <v/>
      </c>
      <c r="AA335" s="2">
        <f>IF(ISERROR($E$335),"",IF(ISBLANK($E$335),"",$E$335))</f>
        <v/>
      </c>
      <c r="AB335" s="2">
        <f>IF(ISERROR($F$335),"",IF(ISBLANK($F$335),"",$F$335))</f>
        <v/>
      </c>
      <c r="AC335" s="2">
        <f>IF(ISERROR($G$335),"",IF(ISBLANK($G$335),"",$G$335))</f>
        <v/>
      </c>
      <c r="AD335" s="2">
        <f>IF(ISERROR($H$335),"",IF(ISBLANK($H$335),"",$H$335))</f>
        <v/>
      </c>
      <c r="AG335" s="2">
        <f>ISERROR($B$335)*1+ISERROR($C$335)*1+ISERROR($D$335)*1+ISERROR($E$335)*1+ISERROR($F$335)*1+ISERROR($G$335)*1+ISERROR($H$335)*1</f>
        <v/>
      </c>
    </row>
    <row r="336" ht="26" customHeight="1">
      <c r="B336" s="33" t="n"/>
      <c r="C336" s="4" t="n"/>
      <c r="D336" s="4" t="n"/>
      <c r="E336" s="4" t="n"/>
      <c r="F336" s="4" t="n"/>
      <c r="G336" s="4" t="n"/>
      <c r="H336" s="4" t="n"/>
      <c r="K336" s="19">
        <f>IF(AG336&gt;0,"O Google leu como fórmula: digite de novo com ' na frente.","")</f>
        <v/>
      </c>
      <c r="N336" s="2">
        <f>N335+IF(LEN($X$336)&gt;0,1,0)</f>
        <v/>
      </c>
      <c r="O336" s="2">
        <f>O335+IF(LEN($Y$336)&gt;0,1,0)</f>
        <v/>
      </c>
      <c r="P336" s="2">
        <f>P335+IF(LEN($Z$336)&gt;0,1,0)</f>
        <v/>
      </c>
      <c r="Q336" s="2">
        <f>Q335+IF(LEN($AA$336)&gt;0,1,0)</f>
        <v/>
      </c>
      <c r="R336" s="2">
        <f>R335+IF(LEN($AB$336)&gt;0,1,0)</f>
        <v/>
      </c>
      <c r="S336" s="2">
        <f>S335+IF(LEN($AC$336)&gt;0,1,0)</f>
        <v/>
      </c>
      <c r="T336" s="2">
        <f>T335+IF(LEN($AD$336)&gt;0,1,0)</f>
        <v/>
      </c>
      <c r="X336" s="2">
        <f>IF(ISERROR($B$336),"",IF(ISBLANK($B$336),"",$B$336))</f>
        <v/>
      </c>
      <c r="Y336" s="2">
        <f>IF(ISERROR($C$336),"",IF(ISBLANK($C$336),"",$C$336))</f>
        <v/>
      </c>
      <c r="Z336" s="2">
        <f>IF(ISERROR($D$336),"",IF(ISBLANK($D$336),"",$D$336))</f>
        <v/>
      </c>
      <c r="AA336" s="2">
        <f>IF(ISERROR($E$336),"",IF(ISBLANK($E$336),"",$E$336))</f>
        <v/>
      </c>
      <c r="AB336" s="2">
        <f>IF(ISERROR($F$336),"",IF(ISBLANK($F$336),"",$F$336))</f>
        <v/>
      </c>
      <c r="AC336" s="2">
        <f>IF(ISERROR($G$336),"",IF(ISBLANK($G$336),"",$G$336))</f>
        <v/>
      </c>
      <c r="AD336" s="2">
        <f>IF(ISERROR($H$336),"",IF(ISBLANK($H$336),"",$H$336))</f>
        <v/>
      </c>
      <c r="AG336" s="2">
        <f>ISERROR($B$336)*1+ISERROR($C$336)*1+ISERROR($D$336)*1+ISERROR($E$336)*1+ISERROR($F$336)*1+ISERROR($G$336)*1+ISERROR($H$336)*1</f>
        <v/>
      </c>
    </row>
    <row r="337" ht="26" customHeight="1">
      <c r="B337" s="35" t="n"/>
      <c r="C337" s="29" t="n"/>
      <c r="D337" s="29" t="n"/>
      <c r="E337" s="29" t="n"/>
      <c r="F337" s="29" t="n"/>
      <c r="G337" s="29" t="n"/>
      <c r="H337" s="29" t="n"/>
      <c r="K337" s="19">
        <f>IF(AG337&gt;0,"O Google leu como fórmula: digite de novo com ' na frente.","")</f>
        <v/>
      </c>
      <c r="N337" s="2">
        <f>N336+IF(LEN($X$337)&gt;0,1,0)</f>
        <v/>
      </c>
      <c r="O337" s="2">
        <f>O336+IF(LEN($Y$337)&gt;0,1,0)</f>
        <v/>
      </c>
      <c r="P337" s="2">
        <f>P336+IF(LEN($Z$337)&gt;0,1,0)</f>
        <v/>
      </c>
      <c r="Q337" s="2">
        <f>Q336+IF(LEN($AA$337)&gt;0,1,0)</f>
        <v/>
      </c>
      <c r="R337" s="2">
        <f>R336+IF(LEN($AB$337)&gt;0,1,0)</f>
        <v/>
      </c>
      <c r="S337" s="2">
        <f>S336+IF(LEN($AC$337)&gt;0,1,0)</f>
        <v/>
      </c>
      <c r="T337" s="2">
        <f>T336+IF(LEN($AD$337)&gt;0,1,0)</f>
        <v/>
      </c>
      <c r="X337" s="2">
        <f>IF(ISERROR($B$337),"",IF(ISBLANK($B$337),"",$B$337))</f>
        <v/>
      </c>
      <c r="Y337" s="2">
        <f>IF(ISERROR($C$337),"",IF(ISBLANK($C$337),"",$C$337))</f>
        <v/>
      </c>
      <c r="Z337" s="2">
        <f>IF(ISERROR($D$337),"",IF(ISBLANK($D$337),"",$D$337))</f>
        <v/>
      </c>
      <c r="AA337" s="2">
        <f>IF(ISERROR($E$337),"",IF(ISBLANK($E$337),"",$E$337))</f>
        <v/>
      </c>
      <c r="AB337" s="2">
        <f>IF(ISERROR($F$337),"",IF(ISBLANK($F$337),"",$F$337))</f>
        <v/>
      </c>
      <c r="AC337" s="2">
        <f>IF(ISERROR($G$337),"",IF(ISBLANK($G$337),"",$G$337))</f>
        <v/>
      </c>
      <c r="AD337" s="2">
        <f>IF(ISERROR($H$337),"",IF(ISBLANK($H$337),"",$H$337))</f>
        <v/>
      </c>
      <c r="AG337" s="2">
        <f>ISERROR($B$337)*1+ISERROR($C$337)*1+ISERROR($D$337)*1+ISERROR($E$337)*1+ISERROR($F$337)*1+ISERROR($G$337)*1+ISERROR($H$337)*1</f>
        <v/>
      </c>
    </row>
    <row r="338" ht="26" customHeight="1">
      <c r="B338" s="33" t="n"/>
      <c r="C338" s="4" t="n"/>
      <c r="D338" s="4" t="n"/>
      <c r="E338" s="4" t="n"/>
      <c r="F338" s="4" t="n"/>
      <c r="G338" s="4" t="n"/>
      <c r="H338" s="4" t="n"/>
      <c r="K338" s="19">
        <f>IF(AG338&gt;0,"O Google leu como fórmula: digite de novo com ' na frente.","")</f>
        <v/>
      </c>
      <c r="N338" s="2">
        <f>N337+IF(LEN($X$338)&gt;0,1,0)</f>
        <v/>
      </c>
      <c r="O338" s="2">
        <f>O337+IF(LEN($Y$338)&gt;0,1,0)</f>
        <v/>
      </c>
      <c r="P338" s="2">
        <f>P337+IF(LEN($Z$338)&gt;0,1,0)</f>
        <v/>
      </c>
      <c r="Q338" s="2">
        <f>Q337+IF(LEN($AA$338)&gt;0,1,0)</f>
        <v/>
      </c>
      <c r="R338" s="2">
        <f>R337+IF(LEN($AB$338)&gt;0,1,0)</f>
        <v/>
      </c>
      <c r="S338" s="2">
        <f>S337+IF(LEN($AC$338)&gt;0,1,0)</f>
        <v/>
      </c>
      <c r="T338" s="2">
        <f>T337+IF(LEN($AD$338)&gt;0,1,0)</f>
        <v/>
      </c>
      <c r="X338" s="2">
        <f>IF(ISERROR($B$338),"",IF(ISBLANK($B$338),"",$B$338))</f>
        <v/>
      </c>
      <c r="Y338" s="2">
        <f>IF(ISERROR($C$338),"",IF(ISBLANK($C$338),"",$C$338))</f>
        <v/>
      </c>
      <c r="Z338" s="2">
        <f>IF(ISERROR($D$338),"",IF(ISBLANK($D$338),"",$D$338))</f>
        <v/>
      </c>
      <c r="AA338" s="2">
        <f>IF(ISERROR($E$338),"",IF(ISBLANK($E$338),"",$E$338))</f>
        <v/>
      </c>
      <c r="AB338" s="2">
        <f>IF(ISERROR($F$338),"",IF(ISBLANK($F$338),"",$F$338))</f>
        <v/>
      </c>
      <c r="AC338" s="2">
        <f>IF(ISERROR($G$338),"",IF(ISBLANK($G$338),"",$G$338))</f>
        <v/>
      </c>
      <c r="AD338" s="2">
        <f>IF(ISERROR($H$338),"",IF(ISBLANK($H$338),"",$H$338))</f>
        <v/>
      </c>
      <c r="AG338" s="2">
        <f>ISERROR($B$338)*1+ISERROR($C$338)*1+ISERROR($D$338)*1+ISERROR($E$338)*1+ISERROR($F$338)*1+ISERROR($G$338)*1+ISERROR($H$338)*1</f>
        <v/>
      </c>
    </row>
    <row r="339" ht="15" customHeight="1">
      <c r="B339" s="8" t="inlineStr">
        <is>
          <t>Sobrenome — Humano</t>
        </is>
      </c>
      <c r="C339" s="8" t="inlineStr">
        <is>
          <t>Sobrenome — Xianzhouíta</t>
        </is>
      </c>
      <c r="D339" s="8" t="inlineStr">
        <is>
          <t>Sobrenome — Vidyadhara</t>
        </is>
      </c>
      <c r="E339" s="8" t="inlineStr">
        <is>
          <t>Sobrenome — Vulpes</t>
        </is>
      </c>
      <c r="F339" s="8" t="inlineStr">
        <is>
          <t>Sobrenome — Haloviano</t>
        </is>
      </c>
      <c r="G339" s="8" t="inlineStr">
        <is>
          <t>Sobrenome — Avginiano</t>
        </is>
      </c>
      <c r="H339" s="8" t="inlineStr">
        <is>
          <t>Sobrenome — Intellitron</t>
        </is>
      </c>
      <c r="N339" s="2">
        <f>N338</f>
        <v/>
      </c>
      <c r="O339" s="2">
        <f>O338</f>
        <v/>
      </c>
      <c r="P339" s="2">
        <f>P338</f>
        <v/>
      </c>
      <c r="Q339" s="2">
        <f>Q338</f>
        <v/>
      </c>
      <c r="R339" s="2">
        <f>R338</f>
        <v/>
      </c>
      <c r="S339" s="2">
        <f>S338</f>
        <v/>
      </c>
      <c r="T339" s="2">
        <f>T338</f>
        <v/>
      </c>
      <c r="X339" s="2">
        <f>IF(ISERROR($B$339),"",IF(ISBLANK($B$339),"",$B$339))</f>
        <v/>
      </c>
      <c r="Y339" s="2">
        <f>IF(ISERROR($C$339),"",IF(ISBLANK($C$339),"",$C$339))</f>
        <v/>
      </c>
      <c r="Z339" s="2">
        <f>IF(ISERROR($D$339),"",IF(ISBLANK($D$339),"",$D$339))</f>
        <v/>
      </c>
      <c r="AA339" s="2">
        <f>IF(ISERROR($E$339),"",IF(ISBLANK($E$339),"",$E$339))</f>
        <v/>
      </c>
      <c r="AB339" s="2">
        <f>IF(ISERROR($F$339),"",IF(ISBLANK($F$339),"",$F$339))</f>
        <v/>
      </c>
      <c r="AC339" s="2">
        <f>IF(ISERROR($G$339),"",IF(ISBLANK($G$339),"",$G$339))</f>
        <v/>
      </c>
      <c r="AD339" s="2">
        <f>IF(ISERROR($H$339),"",IF(ISBLANK($H$339),"",$H$339))</f>
        <v/>
      </c>
    </row>
    <row r="340" ht="26" customHeight="1">
      <c r="B340" s="33" t="n"/>
      <c r="C340" s="4" t="n"/>
      <c r="D340" s="4" t="n"/>
      <c r="E340" s="4" t="n"/>
      <c r="F340" s="4" t="n"/>
      <c r="G340" s="4" t="n"/>
      <c r="H340" s="4" t="n"/>
      <c r="K340" s="19">
        <f>IF(AG340&gt;0,"O Google leu como fórmula: digite de novo com ' na frente.","")</f>
        <v/>
      </c>
      <c r="N340" s="2">
        <f>N339+IF(LEN($X$340)&gt;0,1,0)</f>
        <v/>
      </c>
      <c r="O340" s="2">
        <f>O339+IF(LEN($Y$340)&gt;0,1,0)</f>
        <v/>
      </c>
      <c r="P340" s="2">
        <f>P339+IF(LEN($Z$340)&gt;0,1,0)</f>
        <v/>
      </c>
      <c r="Q340" s="2">
        <f>Q339+IF(LEN($AA$340)&gt;0,1,0)</f>
        <v/>
      </c>
      <c r="R340" s="2">
        <f>R339+IF(LEN($AB$340)&gt;0,1,0)</f>
        <v/>
      </c>
      <c r="S340" s="2">
        <f>S339+IF(LEN($AC$340)&gt;0,1,0)</f>
        <v/>
      </c>
      <c r="T340" s="2">
        <f>T339+IF(LEN($AD$340)&gt;0,1,0)</f>
        <v/>
      </c>
      <c r="X340" s="2">
        <f>IF(ISERROR($B$340),"",IF(ISBLANK($B$340),"",$B$340))</f>
        <v/>
      </c>
      <c r="Y340" s="2">
        <f>IF(ISERROR($C$340),"",IF(ISBLANK($C$340),"",$C$340))</f>
        <v/>
      </c>
      <c r="Z340" s="2">
        <f>IF(ISERROR($D$340),"",IF(ISBLANK($D$340),"",$D$340))</f>
        <v/>
      </c>
      <c r="AA340" s="2">
        <f>IF(ISERROR($E$340),"",IF(ISBLANK($E$340),"",$E$340))</f>
        <v/>
      </c>
      <c r="AB340" s="2">
        <f>IF(ISERROR($F$340),"",IF(ISBLANK($F$340),"",$F$340))</f>
        <v/>
      </c>
      <c r="AC340" s="2">
        <f>IF(ISERROR($G$340),"",IF(ISBLANK($G$340),"",$G$340))</f>
        <v/>
      </c>
      <c r="AD340" s="2">
        <f>IF(ISERROR($H$340),"",IF(ISBLANK($H$340),"",$H$340))</f>
        <v/>
      </c>
      <c r="AG340" s="2">
        <f>ISERROR($B$340)*1+ISERROR($C$340)*1+ISERROR($D$340)*1+ISERROR($E$340)*1+ISERROR($F$340)*1+ISERROR($G$340)*1+ISERROR($H$340)*1</f>
        <v/>
      </c>
    </row>
    <row r="341" ht="26" customHeight="1">
      <c r="B341" s="35" t="n"/>
      <c r="C341" s="29" t="n"/>
      <c r="D341" s="29" t="n"/>
      <c r="E341" s="29" t="n"/>
      <c r="F341" s="29" t="n"/>
      <c r="G341" s="29" t="n"/>
      <c r="H341" s="29" t="n"/>
      <c r="K341" s="19">
        <f>IF(AG341&gt;0,"O Google leu como fórmula: digite de novo com ' na frente.","")</f>
        <v/>
      </c>
      <c r="N341" s="2">
        <f>N340+IF(LEN($X$341)&gt;0,1,0)</f>
        <v/>
      </c>
      <c r="O341" s="2">
        <f>O340+IF(LEN($Y$341)&gt;0,1,0)</f>
        <v/>
      </c>
      <c r="P341" s="2">
        <f>P340+IF(LEN($Z$341)&gt;0,1,0)</f>
        <v/>
      </c>
      <c r="Q341" s="2">
        <f>Q340+IF(LEN($AA$341)&gt;0,1,0)</f>
        <v/>
      </c>
      <c r="R341" s="2">
        <f>R340+IF(LEN($AB$341)&gt;0,1,0)</f>
        <v/>
      </c>
      <c r="S341" s="2">
        <f>S340+IF(LEN($AC$341)&gt;0,1,0)</f>
        <v/>
      </c>
      <c r="T341" s="2">
        <f>T340+IF(LEN($AD$341)&gt;0,1,0)</f>
        <v/>
      </c>
      <c r="X341" s="2">
        <f>IF(ISERROR($B$341),"",IF(ISBLANK($B$341),"",$B$341))</f>
        <v/>
      </c>
      <c r="Y341" s="2">
        <f>IF(ISERROR($C$341),"",IF(ISBLANK($C$341),"",$C$341))</f>
        <v/>
      </c>
      <c r="Z341" s="2">
        <f>IF(ISERROR($D$341),"",IF(ISBLANK($D$341),"",$D$341))</f>
        <v/>
      </c>
      <c r="AA341" s="2">
        <f>IF(ISERROR($E$341),"",IF(ISBLANK($E$341),"",$E$341))</f>
        <v/>
      </c>
      <c r="AB341" s="2">
        <f>IF(ISERROR($F$341),"",IF(ISBLANK($F$341),"",$F$341))</f>
        <v/>
      </c>
      <c r="AC341" s="2">
        <f>IF(ISERROR($G$341),"",IF(ISBLANK($G$341),"",$G$341))</f>
        <v/>
      </c>
      <c r="AD341" s="2">
        <f>IF(ISERROR($H$341),"",IF(ISBLANK($H$341),"",$H$341))</f>
        <v/>
      </c>
      <c r="AG341" s="2">
        <f>ISERROR($B$341)*1+ISERROR($C$341)*1+ISERROR($D$341)*1+ISERROR($E$341)*1+ISERROR($F$341)*1+ISERROR($G$341)*1+ISERROR($H$341)*1</f>
        <v/>
      </c>
    </row>
    <row r="342" ht="26" customHeight="1">
      <c r="B342" s="33" t="n"/>
      <c r="C342" s="4" t="n"/>
      <c r="D342" s="4" t="n"/>
      <c r="E342" s="4" t="n"/>
      <c r="F342" s="4" t="n"/>
      <c r="G342" s="4" t="n"/>
      <c r="H342" s="4" t="n"/>
      <c r="K342" s="19">
        <f>IF(AG342&gt;0,"O Google leu como fórmula: digite de novo com ' na frente.","")</f>
        <v/>
      </c>
      <c r="N342" s="2">
        <f>N341+IF(LEN($X$342)&gt;0,1,0)</f>
        <v/>
      </c>
      <c r="O342" s="2">
        <f>O341+IF(LEN($Y$342)&gt;0,1,0)</f>
        <v/>
      </c>
      <c r="P342" s="2">
        <f>P341+IF(LEN($Z$342)&gt;0,1,0)</f>
        <v/>
      </c>
      <c r="Q342" s="2">
        <f>Q341+IF(LEN($AA$342)&gt;0,1,0)</f>
        <v/>
      </c>
      <c r="R342" s="2">
        <f>R341+IF(LEN($AB$342)&gt;0,1,0)</f>
        <v/>
      </c>
      <c r="S342" s="2">
        <f>S341+IF(LEN($AC$342)&gt;0,1,0)</f>
        <v/>
      </c>
      <c r="T342" s="2">
        <f>T341+IF(LEN($AD$342)&gt;0,1,0)</f>
        <v/>
      </c>
      <c r="X342" s="2">
        <f>IF(ISERROR($B$342),"",IF(ISBLANK($B$342),"",$B$342))</f>
        <v/>
      </c>
      <c r="Y342" s="2">
        <f>IF(ISERROR($C$342),"",IF(ISBLANK($C$342),"",$C$342))</f>
        <v/>
      </c>
      <c r="Z342" s="2">
        <f>IF(ISERROR($D$342),"",IF(ISBLANK($D$342),"",$D$342))</f>
        <v/>
      </c>
      <c r="AA342" s="2">
        <f>IF(ISERROR($E$342),"",IF(ISBLANK($E$342),"",$E$342))</f>
        <v/>
      </c>
      <c r="AB342" s="2">
        <f>IF(ISERROR($F$342),"",IF(ISBLANK($F$342),"",$F$342))</f>
        <v/>
      </c>
      <c r="AC342" s="2">
        <f>IF(ISERROR($G$342),"",IF(ISBLANK($G$342),"",$G$342))</f>
        <v/>
      </c>
      <c r="AD342" s="2">
        <f>IF(ISERROR($H$342),"",IF(ISBLANK($H$342),"",$H$342))</f>
        <v/>
      </c>
      <c r="AG342" s="2">
        <f>ISERROR($B$342)*1+ISERROR($C$342)*1+ISERROR($D$342)*1+ISERROR($E$342)*1+ISERROR($F$342)*1+ISERROR($G$342)*1+ISERROR($H$342)*1</f>
        <v/>
      </c>
    </row>
    <row r="343" ht="26" customHeight="1">
      <c r="B343" s="35" t="n"/>
      <c r="C343" s="29" t="n"/>
      <c r="D343" s="29" t="n"/>
      <c r="E343" s="29" t="n"/>
      <c r="F343" s="29" t="n"/>
      <c r="G343" s="29" t="n"/>
      <c r="H343" s="29" t="n"/>
      <c r="K343" s="19">
        <f>IF(AG343&gt;0,"O Google leu como fórmula: digite de novo com ' na frente.","")</f>
        <v/>
      </c>
      <c r="N343" s="2">
        <f>N342+IF(LEN($X$343)&gt;0,1,0)</f>
        <v/>
      </c>
      <c r="O343" s="2">
        <f>O342+IF(LEN($Y$343)&gt;0,1,0)</f>
        <v/>
      </c>
      <c r="P343" s="2">
        <f>P342+IF(LEN($Z$343)&gt;0,1,0)</f>
        <v/>
      </c>
      <c r="Q343" s="2">
        <f>Q342+IF(LEN($AA$343)&gt;0,1,0)</f>
        <v/>
      </c>
      <c r="R343" s="2">
        <f>R342+IF(LEN($AB$343)&gt;0,1,0)</f>
        <v/>
      </c>
      <c r="S343" s="2">
        <f>S342+IF(LEN($AC$343)&gt;0,1,0)</f>
        <v/>
      </c>
      <c r="T343" s="2">
        <f>T342+IF(LEN($AD$343)&gt;0,1,0)</f>
        <v/>
      </c>
      <c r="X343" s="2">
        <f>IF(ISERROR($B$343),"",IF(ISBLANK($B$343),"",$B$343))</f>
        <v/>
      </c>
      <c r="Y343" s="2">
        <f>IF(ISERROR($C$343),"",IF(ISBLANK($C$343),"",$C$343))</f>
        <v/>
      </c>
      <c r="Z343" s="2">
        <f>IF(ISERROR($D$343),"",IF(ISBLANK($D$343),"",$D$343))</f>
        <v/>
      </c>
      <c r="AA343" s="2">
        <f>IF(ISERROR($E$343),"",IF(ISBLANK($E$343),"",$E$343))</f>
        <v/>
      </c>
      <c r="AB343" s="2">
        <f>IF(ISERROR($F$343),"",IF(ISBLANK($F$343),"",$F$343))</f>
        <v/>
      </c>
      <c r="AC343" s="2">
        <f>IF(ISERROR($G$343),"",IF(ISBLANK($G$343),"",$G$343))</f>
        <v/>
      </c>
      <c r="AD343" s="2">
        <f>IF(ISERROR($H$343),"",IF(ISBLANK($H$343),"",$H$343))</f>
        <v/>
      </c>
      <c r="AG343" s="2">
        <f>ISERROR($B$343)*1+ISERROR($C$343)*1+ISERROR($D$343)*1+ISERROR($E$343)*1+ISERROR($F$343)*1+ISERROR($G$343)*1+ISERROR($H$343)*1</f>
        <v/>
      </c>
    </row>
    <row r="344" ht="26" customHeight="1">
      <c r="B344" s="33" t="n"/>
      <c r="C344" s="4" t="n"/>
      <c r="D344" s="4" t="n"/>
      <c r="E344" s="4" t="n"/>
      <c r="F344" s="4" t="n"/>
      <c r="G344" s="4" t="n"/>
      <c r="H344" s="4" t="n"/>
      <c r="K344" s="19">
        <f>IF(AG344&gt;0,"O Google leu como fórmula: digite de novo com ' na frente.","")</f>
        <v/>
      </c>
      <c r="N344" s="2">
        <f>N343+IF(LEN($X$344)&gt;0,1,0)</f>
        <v/>
      </c>
      <c r="O344" s="2">
        <f>O343+IF(LEN($Y$344)&gt;0,1,0)</f>
        <v/>
      </c>
      <c r="P344" s="2">
        <f>P343+IF(LEN($Z$344)&gt;0,1,0)</f>
        <v/>
      </c>
      <c r="Q344" s="2">
        <f>Q343+IF(LEN($AA$344)&gt;0,1,0)</f>
        <v/>
      </c>
      <c r="R344" s="2">
        <f>R343+IF(LEN($AB$344)&gt;0,1,0)</f>
        <v/>
      </c>
      <c r="S344" s="2">
        <f>S343+IF(LEN($AC$344)&gt;0,1,0)</f>
        <v/>
      </c>
      <c r="T344" s="2">
        <f>T343+IF(LEN($AD$344)&gt;0,1,0)</f>
        <v/>
      </c>
      <c r="X344" s="2">
        <f>IF(ISERROR($B$344),"",IF(ISBLANK($B$344),"",$B$344))</f>
        <v/>
      </c>
      <c r="Y344" s="2">
        <f>IF(ISERROR($C$344),"",IF(ISBLANK($C$344),"",$C$344))</f>
        <v/>
      </c>
      <c r="Z344" s="2">
        <f>IF(ISERROR($D$344),"",IF(ISBLANK($D$344),"",$D$344))</f>
        <v/>
      </c>
      <c r="AA344" s="2">
        <f>IF(ISERROR($E$344),"",IF(ISBLANK($E$344),"",$E$344))</f>
        <v/>
      </c>
      <c r="AB344" s="2">
        <f>IF(ISERROR($F$344),"",IF(ISBLANK($F$344),"",$F$344))</f>
        <v/>
      </c>
      <c r="AC344" s="2">
        <f>IF(ISERROR($G$344),"",IF(ISBLANK($G$344),"",$G$344))</f>
        <v/>
      </c>
      <c r="AD344" s="2">
        <f>IF(ISERROR($H$344),"",IF(ISBLANK($H$344),"",$H$344))</f>
        <v/>
      </c>
      <c r="AG344" s="2">
        <f>ISERROR($B$344)*1+ISERROR($C$344)*1+ISERROR($D$344)*1+ISERROR($E$344)*1+ISERROR($F$344)*1+ISERROR($G$344)*1+ISERROR($H$344)*1</f>
        <v/>
      </c>
    </row>
    <row r="345" ht="26" customHeight="1">
      <c r="B345" s="35" t="n"/>
      <c r="C345" s="29" t="n"/>
      <c r="D345" s="29" t="n"/>
      <c r="E345" s="29" t="n"/>
      <c r="F345" s="29" t="n"/>
      <c r="G345" s="29" t="n"/>
      <c r="H345" s="29" t="n"/>
      <c r="K345" s="19">
        <f>IF(AG345&gt;0,"O Google leu como fórmula: digite de novo com ' na frente.","")</f>
        <v/>
      </c>
      <c r="N345" s="2">
        <f>N344+IF(LEN($X$345)&gt;0,1,0)</f>
        <v/>
      </c>
      <c r="O345" s="2">
        <f>O344+IF(LEN($Y$345)&gt;0,1,0)</f>
        <v/>
      </c>
      <c r="P345" s="2">
        <f>P344+IF(LEN($Z$345)&gt;0,1,0)</f>
        <v/>
      </c>
      <c r="Q345" s="2">
        <f>Q344+IF(LEN($AA$345)&gt;0,1,0)</f>
        <v/>
      </c>
      <c r="R345" s="2">
        <f>R344+IF(LEN($AB$345)&gt;0,1,0)</f>
        <v/>
      </c>
      <c r="S345" s="2">
        <f>S344+IF(LEN($AC$345)&gt;0,1,0)</f>
        <v/>
      </c>
      <c r="T345" s="2">
        <f>T344+IF(LEN($AD$345)&gt;0,1,0)</f>
        <v/>
      </c>
      <c r="X345" s="2">
        <f>IF(ISERROR($B$345),"",IF(ISBLANK($B$345),"",$B$345))</f>
        <v/>
      </c>
      <c r="Y345" s="2">
        <f>IF(ISERROR($C$345),"",IF(ISBLANK($C$345),"",$C$345))</f>
        <v/>
      </c>
      <c r="Z345" s="2">
        <f>IF(ISERROR($D$345),"",IF(ISBLANK($D$345),"",$D$345))</f>
        <v/>
      </c>
      <c r="AA345" s="2">
        <f>IF(ISERROR($E$345),"",IF(ISBLANK($E$345),"",$E$345))</f>
        <v/>
      </c>
      <c r="AB345" s="2">
        <f>IF(ISERROR($F$345),"",IF(ISBLANK($F$345),"",$F$345))</f>
        <v/>
      </c>
      <c r="AC345" s="2">
        <f>IF(ISERROR($G$345),"",IF(ISBLANK($G$345),"",$G$345))</f>
        <v/>
      </c>
      <c r="AD345" s="2">
        <f>IF(ISERROR($H$345),"",IF(ISBLANK($H$345),"",$H$345))</f>
        <v/>
      </c>
      <c r="AG345" s="2">
        <f>ISERROR($B$345)*1+ISERROR($C$345)*1+ISERROR($D$345)*1+ISERROR($E$345)*1+ISERROR($F$345)*1+ISERROR($G$345)*1+ISERROR($H$345)*1</f>
        <v/>
      </c>
    </row>
    <row r="346" ht="26" customHeight="1">
      <c r="B346" s="33" t="n"/>
      <c r="C346" s="4" t="n"/>
      <c r="D346" s="4" t="n"/>
      <c r="E346" s="4" t="n"/>
      <c r="F346" s="4" t="n"/>
      <c r="G346" s="4" t="n"/>
      <c r="H346" s="4" t="n"/>
      <c r="K346" s="19">
        <f>IF(AG346&gt;0,"O Google leu como fórmula: digite de novo com ' na frente.","")</f>
        <v/>
      </c>
      <c r="N346" s="2">
        <f>N345+IF(LEN($X$346)&gt;0,1,0)</f>
        <v/>
      </c>
      <c r="O346" s="2">
        <f>O345+IF(LEN($Y$346)&gt;0,1,0)</f>
        <v/>
      </c>
      <c r="P346" s="2">
        <f>P345+IF(LEN($Z$346)&gt;0,1,0)</f>
        <v/>
      </c>
      <c r="Q346" s="2">
        <f>Q345+IF(LEN($AA$346)&gt;0,1,0)</f>
        <v/>
      </c>
      <c r="R346" s="2">
        <f>R345+IF(LEN($AB$346)&gt;0,1,0)</f>
        <v/>
      </c>
      <c r="S346" s="2">
        <f>S345+IF(LEN($AC$346)&gt;0,1,0)</f>
        <v/>
      </c>
      <c r="T346" s="2">
        <f>T345+IF(LEN($AD$346)&gt;0,1,0)</f>
        <v/>
      </c>
      <c r="X346" s="2">
        <f>IF(ISERROR($B$346),"",IF(ISBLANK($B$346),"",$B$346))</f>
        <v/>
      </c>
      <c r="Y346" s="2">
        <f>IF(ISERROR($C$346),"",IF(ISBLANK($C$346),"",$C$346))</f>
        <v/>
      </c>
      <c r="Z346" s="2">
        <f>IF(ISERROR($D$346),"",IF(ISBLANK($D$346),"",$D$346))</f>
        <v/>
      </c>
      <c r="AA346" s="2">
        <f>IF(ISERROR($E$346),"",IF(ISBLANK($E$346),"",$E$346))</f>
        <v/>
      </c>
      <c r="AB346" s="2">
        <f>IF(ISERROR($F$346),"",IF(ISBLANK($F$346),"",$F$346))</f>
        <v/>
      </c>
      <c r="AC346" s="2">
        <f>IF(ISERROR($G$346),"",IF(ISBLANK($G$346),"",$G$346))</f>
        <v/>
      </c>
      <c r="AD346" s="2">
        <f>IF(ISERROR($H$346),"",IF(ISBLANK($H$346),"",$H$346))</f>
        <v/>
      </c>
      <c r="AG346" s="2">
        <f>ISERROR($B$346)*1+ISERROR($C$346)*1+ISERROR($D$346)*1+ISERROR($E$346)*1+ISERROR($F$346)*1+ISERROR($G$346)*1+ISERROR($H$346)*1</f>
        <v/>
      </c>
    </row>
    <row r="347" ht="26" customHeight="1">
      <c r="B347" s="35" t="n"/>
      <c r="C347" s="29" t="n"/>
      <c r="D347" s="29" t="n"/>
      <c r="E347" s="29" t="n"/>
      <c r="F347" s="29" t="n"/>
      <c r="G347" s="29" t="n"/>
      <c r="H347" s="29" t="n"/>
      <c r="K347" s="19">
        <f>IF(AG347&gt;0,"O Google leu como fórmula: digite de novo com ' na frente.","")</f>
        <v/>
      </c>
      <c r="N347" s="2">
        <f>N346+IF(LEN($X$347)&gt;0,1,0)</f>
        <v/>
      </c>
      <c r="O347" s="2">
        <f>O346+IF(LEN($Y$347)&gt;0,1,0)</f>
        <v/>
      </c>
      <c r="P347" s="2">
        <f>P346+IF(LEN($Z$347)&gt;0,1,0)</f>
        <v/>
      </c>
      <c r="Q347" s="2">
        <f>Q346+IF(LEN($AA$347)&gt;0,1,0)</f>
        <v/>
      </c>
      <c r="R347" s="2">
        <f>R346+IF(LEN($AB$347)&gt;0,1,0)</f>
        <v/>
      </c>
      <c r="S347" s="2">
        <f>S346+IF(LEN($AC$347)&gt;0,1,0)</f>
        <v/>
      </c>
      <c r="T347" s="2">
        <f>T346+IF(LEN($AD$347)&gt;0,1,0)</f>
        <v/>
      </c>
      <c r="X347" s="2">
        <f>IF(ISERROR($B$347),"",IF(ISBLANK($B$347),"",$B$347))</f>
        <v/>
      </c>
      <c r="Y347" s="2">
        <f>IF(ISERROR($C$347),"",IF(ISBLANK($C$347),"",$C$347))</f>
        <v/>
      </c>
      <c r="Z347" s="2">
        <f>IF(ISERROR($D$347),"",IF(ISBLANK($D$347),"",$D$347))</f>
        <v/>
      </c>
      <c r="AA347" s="2">
        <f>IF(ISERROR($E$347),"",IF(ISBLANK($E$347),"",$E$347))</f>
        <v/>
      </c>
      <c r="AB347" s="2">
        <f>IF(ISERROR($F$347),"",IF(ISBLANK($F$347),"",$F$347))</f>
        <v/>
      </c>
      <c r="AC347" s="2">
        <f>IF(ISERROR($G$347),"",IF(ISBLANK($G$347),"",$G$347))</f>
        <v/>
      </c>
      <c r="AD347" s="2">
        <f>IF(ISERROR($H$347),"",IF(ISBLANK($H$347),"",$H$347))</f>
        <v/>
      </c>
      <c r="AG347" s="2">
        <f>ISERROR($B$347)*1+ISERROR($C$347)*1+ISERROR($D$347)*1+ISERROR($E$347)*1+ISERROR($F$347)*1+ISERROR($G$347)*1+ISERROR($H$347)*1</f>
        <v/>
      </c>
    </row>
    <row r="348" ht="26" customHeight="1">
      <c r="B348" s="33" t="n"/>
      <c r="C348" s="4" t="n"/>
      <c r="D348" s="4" t="n"/>
      <c r="E348" s="4" t="n"/>
      <c r="F348" s="4" t="n"/>
      <c r="G348" s="4" t="n"/>
      <c r="H348" s="4" t="n"/>
      <c r="K348" s="19">
        <f>IF(AG348&gt;0,"O Google leu como fórmula: digite de novo com ' na frente.","")</f>
        <v/>
      </c>
      <c r="N348" s="2">
        <f>N347+IF(LEN($X$348)&gt;0,1,0)</f>
        <v/>
      </c>
      <c r="O348" s="2">
        <f>O347+IF(LEN($Y$348)&gt;0,1,0)</f>
        <v/>
      </c>
      <c r="P348" s="2">
        <f>P347+IF(LEN($Z$348)&gt;0,1,0)</f>
        <v/>
      </c>
      <c r="Q348" s="2">
        <f>Q347+IF(LEN($AA$348)&gt;0,1,0)</f>
        <v/>
      </c>
      <c r="R348" s="2">
        <f>R347+IF(LEN($AB$348)&gt;0,1,0)</f>
        <v/>
      </c>
      <c r="S348" s="2">
        <f>S347+IF(LEN($AC$348)&gt;0,1,0)</f>
        <v/>
      </c>
      <c r="T348" s="2">
        <f>T347+IF(LEN($AD$348)&gt;0,1,0)</f>
        <v/>
      </c>
      <c r="X348" s="2">
        <f>IF(ISERROR($B$348),"",IF(ISBLANK($B$348),"",$B$348))</f>
        <v/>
      </c>
      <c r="Y348" s="2">
        <f>IF(ISERROR($C$348),"",IF(ISBLANK($C$348),"",$C$348))</f>
        <v/>
      </c>
      <c r="Z348" s="2">
        <f>IF(ISERROR($D$348),"",IF(ISBLANK($D$348),"",$D$348))</f>
        <v/>
      </c>
      <c r="AA348" s="2">
        <f>IF(ISERROR($E$348),"",IF(ISBLANK($E$348),"",$E$348))</f>
        <v/>
      </c>
      <c r="AB348" s="2">
        <f>IF(ISERROR($F$348),"",IF(ISBLANK($F$348),"",$F$348))</f>
        <v/>
      </c>
      <c r="AC348" s="2">
        <f>IF(ISERROR($G$348),"",IF(ISBLANK($G$348),"",$G$348))</f>
        <v/>
      </c>
      <c r="AD348" s="2">
        <f>IF(ISERROR($H$348),"",IF(ISBLANK($H$348),"",$H$348))</f>
        <v/>
      </c>
      <c r="AG348" s="2">
        <f>ISERROR($B$348)*1+ISERROR($C$348)*1+ISERROR($D$348)*1+ISERROR($E$348)*1+ISERROR($F$348)*1+ISERROR($G$348)*1+ISERROR($H$348)*1</f>
        <v/>
      </c>
    </row>
    <row r="349"/>
    <row r="350" ht="20" customHeight="1">
      <c r="A350" s="13" t="inlineStr">
        <is>
          <t>Gerador de NPCs (aba NPCs) — Sugestão da planilha (H11) — 100 vagas por lista</t>
        </is>
      </c>
    </row>
    <row r="351">
      <c r="A351" s="12" t="inlineStr">
        <is>
          <t>Apague para trocar, use as vagas vazias para ampliar. Não insira linhas: o contador corrido pularia a linha nova.</t>
        </is>
      </c>
    </row>
    <row r="352">
      <c r="A352" s="8" t="inlineStr">
        <is>
          <t>Lista</t>
        </is>
      </c>
      <c r="B352" s="8" t="inlineStr">
        <is>
          <t>Ocupação (NPC)</t>
        </is>
      </c>
      <c r="C352" s="8" t="inlineStr">
        <is>
          <t>Traço de aparência</t>
        </is>
      </c>
      <c r="D352" s="8" t="inlineStr">
        <is>
          <t>Personalidade</t>
        </is>
      </c>
      <c r="E352" s="8" t="inlineStr">
        <is>
          <t>Motivação (sem Caminho)</t>
        </is>
      </c>
      <c r="F352" s="8" t="inlineStr">
        <is>
          <t>Segredo</t>
        </is>
      </c>
      <c r="G352" s="8" t="inlineStr">
        <is>
          <t>Maneirismo e voz</t>
        </is>
      </c>
      <c r="H352" s="8" t="inlineStr">
        <is>
          <t>Caminho do NPC (peso)</t>
        </is>
      </c>
      <c r="I352" s="8" t="inlineStr">
        <is>
          <t>Atitude com o grupo</t>
        </is>
      </c>
      <c r="J352" s="8" t="inlineStr">
        <is>
          <t>Gancho do NPC</t>
        </is>
      </c>
    </row>
    <row r="353" ht="37" customHeight="1">
      <c r="A353" s="9" t="inlineStr">
        <is>
          <t>Fonte</t>
        </is>
      </c>
      <c r="B353" s="14" t="inlineStr">
        <is>
          <t>Sugestão da planilha (H11)</t>
        </is>
      </c>
      <c r="C353" s="14" t="inlineStr">
        <is>
          <t>Sugestão da planilha (H11)</t>
        </is>
      </c>
      <c r="D353" s="14" t="inlineStr">
        <is>
          <t>Sugestão da planilha (H11)</t>
        </is>
      </c>
      <c r="E353" s="14" t="inlineStr">
        <is>
          <t>Sugestão da planilha (H11)</t>
        </is>
      </c>
      <c r="F353" s="14" t="inlineStr">
        <is>
          <t>Sugestão da planilha (H11)</t>
        </is>
      </c>
      <c r="G353" s="14" t="inlineStr">
        <is>
          <t>Sugestão da planilha (H11)</t>
        </is>
      </c>
      <c r="H353" s="14" t="inlineStr">
        <is>
          <t>Livro 06.3 + Sugestão da planilha (H11: Nenhum ×3, 27.12)</t>
        </is>
      </c>
      <c r="I353" s="14" t="inlineStr">
        <is>
          <t>Sugestão da planilha (H11)</t>
        </is>
      </c>
      <c r="J353" s="14" t="inlineStr">
        <is>
          <t>Sugestão da planilha (H11)</t>
        </is>
      </c>
    </row>
    <row r="354" ht="26" customHeight="1">
      <c r="A354" s="21" t="inlineStr">
        <is>
          <t>Tamanho da lista</t>
        </is>
      </c>
      <c r="B354" s="23">
        <f>N463</f>
        <v/>
      </c>
      <c r="C354" s="23">
        <f>O463</f>
        <v/>
      </c>
      <c r="D354" s="23">
        <f>P463</f>
        <v/>
      </c>
      <c r="E354" s="23">
        <f>Q463</f>
        <v/>
      </c>
      <c r="F354" s="23">
        <f>R463</f>
        <v/>
      </c>
      <c r="G354" s="23">
        <f>S463</f>
        <v/>
      </c>
      <c r="H354" s="23">
        <f>T463</f>
        <v/>
      </c>
      <c r="I354" s="23">
        <f>U463</f>
        <v/>
      </c>
      <c r="J354" s="23">
        <f>V463</f>
        <v/>
      </c>
    </row>
    <row r="355" ht="26" customHeight="1">
      <c r="A355" s="9" t="inlineStr">
        <is>
          <t>Aviso</t>
        </is>
      </c>
      <c r="B355" s="19">
        <f>IF(N463&gt;=100,"Lista cheia (100): use Minhas Tabelas para uma lista maior","")</f>
        <v/>
      </c>
      <c r="C355" s="19">
        <f>IF(O463&gt;=100,"Lista cheia (100): use Minhas Tabelas para uma lista maior","")</f>
        <v/>
      </c>
      <c r="D355" s="19">
        <f>IF(P463&gt;=100,"Lista cheia (100): use Minhas Tabelas para uma lista maior","")</f>
        <v/>
      </c>
      <c r="E355" s="19">
        <f>IF(Q463&gt;=100,"Lista cheia (100): use Minhas Tabelas para uma lista maior","")</f>
        <v/>
      </c>
      <c r="F355" s="19">
        <f>IF(R463&gt;=100,"Lista cheia (100): use Minhas Tabelas para uma lista maior","")</f>
        <v/>
      </c>
      <c r="G355" s="19">
        <f>IF(S463&gt;=100,"Lista cheia (100): use Minhas Tabelas para uma lista maior","")</f>
        <v/>
      </c>
      <c r="H355" s="19">
        <f>IF(T463&gt;=100,"Lista cheia (100): use Minhas Tabelas para uma lista maior","")</f>
        <v/>
      </c>
      <c r="I355" s="19">
        <f>IF(U463&gt;=100,"Lista cheia (100): use Minhas Tabelas para uma lista maior","")</f>
        <v/>
      </c>
      <c r="J355" s="19">
        <f>IF(V463&gt;=100,"Lista cheia (100): use Minhas Tabelas para uma lista maior","")</f>
        <v/>
      </c>
    </row>
    <row r="356" ht="15" customHeight="1">
      <c r="B356" s="8" t="inlineStr">
        <is>
          <t>Ocupação (NPC)</t>
        </is>
      </c>
      <c r="C356" s="8" t="inlineStr">
        <is>
          <t>Traço de aparência</t>
        </is>
      </c>
      <c r="D356" s="8" t="inlineStr">
        <is>
          <t>Personalidade</t>
        </is>
      </c>
      <c r="E356" s="8" t="inlineStr">
        <is>
          <t>Motivação (sem Caminho)</t>
        </is>
      </c>
      <c r="F356" s="8" t="inlineStr">
        <is>
          <t>Segredo</t>
        </is>
      </c>
      <c r="G356" s="8" t="inlineStr">
        <is>
          <t>Maneirismo e voz</t>
        </is>
      </c>
      <c r="H356" s="8" t="inlineStr">
        <is>
          <t>Caminho do NPC (peso)</t>
        </is>
      </c>
      <c r="I356" s="8" t="inlineStr">
        <is>
          <t>Atitude com o grupo</t>
        </is>
      </c>
      <c r="J356" s="8" t="inlineStr">
        <is>
          <t>Gancho do NPC</t>
        </is>
      </c>
      <c r="N356" s="2">
        <f>0</f>
        <v/>
      </c>
      <c r="O356" s="2">
        <f>0</f>
        <v/>
      </c>
      <c r="P356" s="2">
        <f>0</f>
        <v/>
      </c>
      <c r="Q356" s="2">
        <f>0</f>
        <v/>
      </c>
      <c r="R356" s="2">
        <f>0</f>
        <v/>
      </c>
      <c r="S356" s="2">
        <f>0</f>
        <v/>
      </c>
      <c r="T356" s="2">
        <f>0</f>
        <v/>
      </c>
      <c r="U356" s="2">
        <f>0</f>
        <v/>
      </c>
      <c r="V356" s="2">
        <f>0</f>
        <v/>
      </c>
    </row>
    <row r="357" ht="26" customHeight="1">
      <c r="B357" s="33" t="inlineStr">
        <is>
          <t>piloto de cargueiro</t>
        </is>
      </c>
      <c r="C357" s="4" t="inlineStr">
        <is>
          <t>cicatriz que atravessa a sobrancelha</t>
        </is>
      </c>
      <c r="D357" s="4" t="inlineStr">
        <is>
          <t>desconfiado, mas leal quando conquistado</t>
        </is>
      </c>
      <c r="E357" s="4" t="inlineStr">
        <is>
          <t>pagar uma dívida antes que a cobrança chegue</t>
        </is>
      </c>
      <c r="F357" s="4" t="inlineStr">
        <is>
          <t>trabalha em segredo para a Corporação</t>
        </is>
      </c>
      <c r="G357" s="4" t="inlineStr">
        <is>
          <t>fala baixo e obriga todos a se aproximarem</t>
        </is>
      </c>
      <c r="H357" s="4" t="inlineStr">
        <is>
          <t>A Destruição</t>
        </is>
      </c>
      <c r="I357" s="4" t="inlineStr">
        <is>
          <t>Hostil</t>
        </is>
      </c>
      <c r="J357" s="4" t="inlineStr">
        <is>
          <t>pede ajuda para tirar alguém de uma cela da Corporação</t>
        </is>
      </c>
      <c r="K357" s="19">
        <f>IF(AG357&gt;0,"O Google leu como fórmula: digite de novo com ' na frente.","")</f>
        <v/>
      </c>
      <c r="N357" s="2">
        <f>N356+IF(LEN($X$357)&gt;0,1,0)</f>
        <v/>
      </c>
      <c r="O357" s="2">
        <f>O356+IF(LEN($Y$357)&gt;0,1,0)</f>
        <v/>
      </c>
      <c r="P357" s="2">
        <f>P356+IF(LEN($Z$357)&gt;0,1,0)</f>
        <v/>
      </c>
      <c r="Q357" s="2">
        <f>Q356+IF(LEN($AA$357)&gt;0,1,0)</f>
        <v/>
      </c>
      <c r="R357" s="2">
        <f>R356+IF(LEN($AB$357)&gt;0,1,0)</f>
        <v/>
      </c>
      <c r="S357" s="2">
        <f>S356+IF(LEN($AC$357)&gt;0,1,0)</f>
        <v/>
      </c>
      <c r="T357" s="2">
        <f>T356+IF(LEN($AD$357)&gt;0,1,0)</f>
        <v/>
      </c>
      <c r="U357" s="2">
        <f>U356+IF(LEN($AE$357)&gt;0,1,0)</f>
        <v/>
      </c>
      <c r="V357" s="2">
        <f>V356+IF(LEN($AF$357)&gt;0,1,0)</f>
        <v/>
      </c>
      <c r="X357" s="2">
        <f>IF(ISERROR($B$357),"",IF(ISBLANK($B$357),"",$B$357))</f>
        <v/>
      </c>
      <c r="Y357" s="2">
        <f>IF(ISERROR($C$357),"",IF(ISBLANK($C$357),"",$C$357))</f>
        <v/>
      </c>
      <c r="Z357" s="2">
        <f>IF(ISERROR($D$357),"",IF(ISBLANK($D$357),"",$D$357))</f>
        <v/>
      </c>
      <c r="AA357" s="2">
        <f>IF(ISERROR($E$357),"",IF(ISBLANK($E$357),"",$E$357))</f>
        <v/>
      </c>
      <c r="AB357" s="2">
        <f>IF(ISERROR($F$357),"",IF(ISBLANK($F$357),"",$F$357))</f>
        <v/>
      </c>
      <c r="AC357" s="2">
        <f>IF(ISERROR($G$357),"",IF(ISBLANK($G$357),"",$G$357))</f>
        <v/>
      </c>
      <c r="AD357" s="2">
        <f>IF(ISERROR($H$357),"",IF(ISBLANK($H$357),"",$H$357))</f>
        <v/>
      </c>
      <c r="AE357" s="2">
        <f>IF(ISERROR($I$357),"",IF(ISBLANK($I$357),"",$I$357))</f>
        <v/>
      </c>
      <c r="AF357" s="2">
        <f>IF(ISERROR($J$357),"",IF(ISBLANK($J$357),"",$J$357))</f>
        <v/>
      </c>
      <c r="AG357" s="2">
        <f>ISERROR($B$357)*1+ISERROR($C$357)*1+ISERROR($D$357)*1+ISERROR($E$357)*1+ISERROR($F$357)*1+ISERROR($G$357)*1+ISERROR($H$357)*1+ISERROR($I$357)*1+ISERROR($J$357)*1</f>
        <v/>
      </c>
    </row>
    <row r="358" ht="26" customHeight="1">
      <c r="B358" s="35" t="inlineStr">
        <is>
          <t>mecânico de doca</t>
        </is>
      </c>
      <c r="C358" s="29" t="inlineStr">
        <is>
          <t>olhos de cores diferentes</t>
        </is>
      </c>
      <c r="D358" s="29" t="inlineStr">
        <is>
          <t>fala demais quando está nervoso</t>
        </is>
      </c>
      <c r="E358" s="29" t="inlineStr">
        <is>
          <t>encontrar um irmão desaparecido</t>
        </is>
      </c>
      <c r="F358" s="29" t="inlineStr">
        <is>
          <t>deve dinheiro a um Tolo Mascarado</t>
        </is>
      </c>
      <c r="G358" s="29" t="inlineStr">
        <is>
          <t>termina toda frase com uma pergunta</t>
        </is>
      </c>
      <c r="H358" s="29" t="inlineStr">
        <is>
          <t>A Inexistência</t>
        </is>
      </c>
      <c r="I358" s="29" t="inlineStr">
        <is>
          <t>Desconfiado</t>
        </is>
      </c>
      <c r="J358" s="29" t="inlineStr">
        <is>
          <t>oferece pagamento adiantado por uma escolta curta</t>
        </is>
      </c>
      <c r="K358" s="19">
        <f>IF(AG358&gt;0,"O Google leu como fórmula: digite de novo com ' na frente.","")</f>
        <v/>
      </c>
      <c r="N358" s="2">
        <f>N357+IF(LEN($X$358)&gt;0,1,0)</f>
        <v/>
      </c>
      <c r="O358" s="2">
        <f>O357+IF(LEN($Y$358)&gt;0,1,0)</f>
        <v/>
      </c>
      <c r="P358" s="2">
        <f>P357+IF(LEN($Z$358)&gt;0,1,0)</f>
        <v/>
      </c>
      <c r="Q358" s="2">
        <f>Q357+IF(LEN($AA$358)&gt;0,1,0)</f>
        <v/>
      </c>
      <c r="R358" s="2">
        <f>R357+IF(LEN($AB$358)&gt;0,1,0)</f>
        <v/>
      </c>
      <c r="S358" s="2">
        <f>S357+IF(LEN($AC$358)&gt;0,1,0)</f>
        <v/>
      </c>
      <c r="T358" s="2">
        <f>T357+IF(LEN($AD$358)&gt;0,1,0)</f>
        <v/>
      </c>
      <c r="U358" s="2">
        <f>U357+IF(LEN($AE$358)&gt;0,1,0)</f>
        <v/>
      </c>
      <c r="V358" s="2">
        <f>V357+IF(LEN($AF$358)&gt;0,1,0)</f>
        <v/>
      </c>
      <c r="X358" s="2">
        <f>IF(ISERROR($B$358),"",IF(ISBLANK($B$358),"",$B$358))</f>
        <v/>
      </c>
      <c r="Y358" s="2">
        <f>IF(ISERROR($C$358),"",IF(ISBLANK($C$358),"",$C$358))</f>
        <v/>
      </c>
      <c r="Z358" s="2">
        <f>IF(ISERROR($D$358),"",IF(ISBLANK($D$358),"",$D$358))</f>
        <v/>
      </c>
      <c r="AA358" s="2">
        <f>IF(ISERROR($E$358),"",IF(ISBLANK($E$358),"",$E$358))</f>
        <v/>
      </c>
      <c r="AB358" s="2">
        <f>IF(ISERROR($F$358),"",IF(ISBLANK($F$358),"",$F$358))</f>
        <v/>
      </c>
      <c r="AC358" s="2">
        <f>IF(ISERROR($G$358),"",IF(ISBLANK($G$358),"",$G$358))</f>
        <v/>
      </c>
      <c r="AD358" s="2">
        <f>IF(ISERROR($H$358),"",IF(ISBLANK($H$358),"",$H$358))</f>
        <v/>
      </c>
      <c r="AE358" s="2">
        <f>IF(ISERROR($I$358),"",IF(ISBLANK($I$358),"",$I$358))</f>
        <v/>
      </c>
      <c r="AF358" s="2">
        <f>IF(ISERROR($J$358),"",IF(ISBLANK($J$358),"",$J$358))</f>
        <v/>
      </c>
      <c r="AG358" s="2">
        <f>ISERROR($B$358)*1+ISERROR($C$358)*1+ISERROR($D$358)*1+ISERROR($E$358)*1+ISERROR($F$358)*1+ISERROR($G$358)*1+ISERROR($H$358)*1+ISERROR($I$358)*1+ISERROR($J$358)*1</f>
        <v/>
      </c>
    </row>
    <row r="359" ht="37" customHeight="1">
      <c r="B359" s="33" t="inlineStr">
        <is>
          <t>despachante de carga</t>
        </is>
      </c>
      <c r="C359" s="4" t="inlineStr">
        <is>
          <t>tatuagem de rota estelar no pescoço</t>
        </is>
      </c>
      <c r="D359" s="4" t="inlineStr">
        <is>
          <t>gentil com crianças e ríspido com adultos</t>
        </is>
      </c>
      <c r="E359" s="4" t="inlineStr">
        <is>
          <t>sair desta estação para sempre</t>
        </is>
      </c>
      <c r="F359" s="4" t="inlineStr">
        <is>
          <t>já foi soldado da Legião</t>
        </is>
      </c>
      <c r="G359" s="4" t="inlineStr">
        <is>
          <t>assobia quando mente</t>
        </is>
      </c>
      <c r="H359" s="4" t="inlineStr">
        <is>
          <t>A Harmonia</t>
        </is>
      </c>
      <c r="I359" s="4" t="inlineStr">
        <is>
          <t>Indiferente</t>
        </is>
      </c>
      <c r="J359" s="4" t="inlineStr">
        <is>
          <t>jura ter visto um dos personagens num lugar onde ele nunca esteve</t>
        </is>
      </c>
      <c r="K359" s="19">
        <f>IF(AG359&gt;0,"O Google leu como fórmula: digite de novo com ' na frente.","")</f>
        <v/>
      </c>
      <c r="N359" s="2">
        <f>N358+IF(LEN($X$359)&gt;0,1,0)</f>
        <v/>
      </c>
      <c r="O359" s="2">
        <f>O358+IF(LEN($Y$359)&gt;0,1,0)</f>
        <v/>
      </c>
      <c r="P359" s="2">
        <f>P358+IF(LEN($Z$359)&gt;0,1,0)</f>
        <v/>
      </c>
      <c r="Q359" s="2">
        <f>Q358+IF(LEN($AA$359)&gt;0,1,0)</f>
        <v/>
      </c>
      <c r="R359" s="2">
        <f>R358+IF(LEN($AB$359)&gt;0,1,0)</f>
        <v/>
      </c>
      <c r="S359" s="2">
        <f>S358+IF(LEN($AC$359)&gt;0,1,0)</f>
        <v/>
      </c>
      <c r="T359" s="2">
        <f>T358+IF(LEN($AD$359)&gt;0,1,0)</f>
        <v/>
      </c>
      <c r="U359" s="2">
        <f>U358+IF(LEN($AE$359)&gt;0,1,0)</f>
        <v/>
      </c>
      <c r="V359" s="2">
        <f>V358+IF(LEN($AF$359)&gt;0,1,0)</f>
        <v/>
      </c>
      <c r="X359" s="2">
        <f>IF(ISERROR($B$359),"",IF(ISBLANK($B$359),"",$B$359))</f>
        <v/>
      </c>
      <c r="Y359" s="2">
        <f>IF(ISERROR($C$359),"",IF(ISBLANK($C$359),"",$C$359))</f>
        <v/>
      </c>
      <c r="Z359" s="2">
        <f>IF(ISERROR($D$359),"",IF(ISBLANK($D$359),"",$D$359))</f>
        <v/>
      </c>
      <c r="AA359" s="2">
        <f>IF(ISERROR($E$359),"",IF(ISBLANK($E$359),"",$E$359))</f>
        <v/>
      </c>
      <c r="AB359" s="2">
        <f>IF(ISERROR($F$359),"",IF(ISBLANK($F$359),"",$F$359))</f>
        <v/>
      </c>
      <c r="AC359" s="2">
        <f>IF(ISERROR($G$359),"",IF(ISBLANK($G$359),"",$G$359))</f>
        <v/>
      </c>
      <c r="AD359" s="2">
        <f>IF(ISERROR($H$359),"",IF(ISBLANK($H$359),"",$H$359))</f>
        <v/>
      </c>
      <c r="AE359" s="2">
        <f>IF(ISERROR($I$359),"",IF(ISBLANK($I$359),"",$I$359))</f>
        <v/>
      </c>
      <c r="AF359" s="2">
        <f>IF(ISERROR($J$359),"",IF(ISBLANK($J$359),"",$J$359))</f>
        <v/>
      </c>
      <c r="AG359" s="2">
        <f>ISERROR($B$359)*1+ISERROR($C$359)*1+ISERROR($D$359)*1+ISERROR($E$359)*1+ISERROR($F$359)*1+ISERROR($G$359)*1+ISERROR($H$359)*1+ISERROR($I$359)*1+ISERROR($J$359)*1</f>
        <v/>
      </c>
    </row>
    <row r="360" ht="26" customHeight="1">
      <c r="B360" s="35" t="inlineStr">
        <is>
          <t>médico de bordo</t>
        </is>
      </c>
      <c r="C360" s="29" t="inlineStr">
        <is>
          <t>mãos manchadas de graxa</t>
        </is>
      </c>
      <c r="D360" s="29" t="inlineStr">
        <is>
          <t>orgulhoso e fácil de ofender</t>
        </is>
      </c>
      <c r="E360" s="29" t="inlineStr">
        <is>
          <t>provar que não é covarde</t>
        </is>
      </c>
      <c r="F360" s="29" t="inlineStr">
        <is>
          <t>carrega um fragmento de Stellaron sem saber</t>
        </is>
      </c>
      <c r="G360" s="29" t="inlineStr">
        <is>
          <t>conta dinheiro enquanto conversa</t>
        </is>
      </c>
      <c r="H360" s="29" t="inlineStr">
        <is>
          <t>A Abundância</t>
        </is>
      </c>
      <c r="I360" s="29" t="inlineStr">
        <is>
          <t>Cordial</t>
        </is>
      </c>
      <c r="J360" s="29" t="inlineStr">
        <is>
          <t>precisa entregar um pacote que não pode ser aberto</t>
        </is>
      </c>
      <c r="K360" s="19">
        <f>IF(AG360&gt;0,"O Google leu como fórmula: digite de novo com ' na frente.","")</f>
        <v/>
      </c>
      <c r="N360" s="2">
        <f>N359+IF(LEN($X$360)&gt;0,1,0)</f>
        <v/>
      </c>
      <c r="O360" s="2">
        <f>O359+IF(LEN($Y$360)&gt;0,1,0)</f>
        <v/>
      </c>
      <c r="P360" s="2">
        <f>P359+IF(LEN($Z$360)&gt;0,1,0)</f>
        <v/>
      </c>
      <c r="Q360" s="2">
        <f>Q359+IF(LEN($AA$360)&gt;0,1,0)</f>
        <v/>
      </c>
      <c r="R360" s="2">
        <f>R359+IF(LEN($AB$360)&gt;0,1,0)</f>
        <v/>
      </c>
      <c r="S360" s="2">
        <f>S359+IF(LEN($AC$360)&gt;0,1,0)</f>
        <v/>
      </c>
      <c r="T360" s="2">
        <f>T359+IF(LEN($AD$360)&gt;0,1,0)</f>
        <v/>
      </c>
      <c r="U360" s="2">
        <f>U359+IF(LEN($AE$360)&gt;0,1,0)</f>
        <v/>
      </c>
      <c r="V360" s="2">
        <f>V359+IF(LEN($AF$360)&gt;0,1,0)</f>
        <v/>
      </c>
      <c r="X360" s="2">
        <f>IF(ISERROR($B$360),"",IF(ISBLANK($B$360),"",$B$360))</f>
        <v/>
      </c>
      <c r="Y360" s="2">
        <f>IF(ISERROR($C$360),"",IF(ISBLANK($C$360),"",$C$360))</f>
        <v/>
      </c>
      <c r="Z360" s="2">
        <f>IF(ISERROR($D$360),"",IF(ISBLANK($D$360),"",$D$360))</f>
        <v/>
      </c>
      <c r="AA360" s="2">
        <f>IF(ISERROR($E$360),"",IF(ISBLANK($E$360),"",$E$360))</f>
        <v/>
      </c>
      <c r="AB360" s="2">
        <f>IF(ISERROR($F$360),"",IF(ISBLANK($F$360),"",$F$360))</f>
        <v/>
      </c>
      <c r="AC360" s="2">
        <f>IF(ISERROR($G$360),"",IF(ISBLANK($G$360),"",$G$360))</f>
        <v/>
      </c>
      <c r="AD360" s="2">
        <f>IF(ISERROR($H$360),"",IF(ISBLANK($H$360),"",$H$360))</f>
        <v/>
      </c>
      <c r="AE360" s="2">
        <f>IF(ISERROR($I$360),"",IF(ISBLANK($I$360),"",$I$360))</f>
        <v/>
      </c>
      <c r="AF360" s="2">
        <f>IF(ISERROR($J$360),"",IF(ISBLANK($J$360),"",$J$360))</f>
        <v/>
      </c>
      <c r="AG360" s="2">
        <f>ISERROR($B$360)*1+ISERROR($C$360)*1+ISERROR($D$360)*1+ISERROR($E$360)*1+ISERROR($F$360)*1+ISERROR($G$360)*1+ISERROR($H$360)*1+ISERROR($I$360)*1+ISERROR($J$360)*1</f>
        <v/>
      </c>
    </row>
    <row r="361" ht="26" customHeight="1">
      <c r="B361" s="33" t="inlineStr">
        <is>
          <t>comerciante de peças usadas</t>
        </is>
      </c>
      <c r="C361" s="4" t="inlineStr">
        <is>
          <t>cabelo trançado com fios de cobre</t>
        </is>
      </c>
      <c r="D361" s="4" t="inlineStr">
        <is>
          <t>calmo até a primeira mentira</t>
        </is>
      </c>
      <c r="E361" s="4" t="inlineStr">
        <is>
          <t>proteger o negócio da família</t>
        </is>
      </c>
      <c r="F361" s="4" t="inlineStr">
        <is>
          <t>matou alguém e nunca contou</t>
        </is>
      </c>
      <c r="G361" s="4" t="inlineStr">
        <is>
          <t>cita provérbios inventados</t>
        </is>
      </c>
      <c r="H361" s="4" t="inlineStr">
        <is>
          <t>A Recordação</t>
        </is>
      </c>
      <c r="I361" s="4" t="inlineStr">
        <is>
          <t>Prestativo</t>
        </is>
      </c>
      <c r="J361" s="4" t="inlineStr">
        <is>
          <t>quer que o grupo recupere uma carga roubada pela Legião</t>
        </is>
      </c>
      <c r="K361" s="19">
        <f>IF(AG361&gt;0,"O Google leu como fórmula: digite de novo com ' na frente.","")</f>
        <v/>
      </c>
      <c r="N361" s="2">
        <f>N360+IF(LEN($X$361)&gt;0,1,0)</f>
        <v/>
      </c>
      <c r="O361" s="2">
        <f>O360+IF(LEN($Y$361)&gt;0,1,0)</f>
        <v/>
      </c>
      <c r="P361" s="2">
        <f>P360+IF(LEN($Z$361)&gt;0,1,0)</f>
        <v/>
      </c>
      <c r="Q361" s="2">
        <f>Q360+IF(LEN($AA$361)&gt;0,1,0)</f>
        <v/>
      </c>
      <c r="R361" s="2">
        <f>R360+IF(LEN($AB$361)&gt;0,1,0)</f>
        <v/>
      </c>
      <c r="S361" s="2">
        <f>S360+IF(LEN($AC$361)&gt;0,1,0)</f>
        <v/>
      </c>
      <c r="T361" s="2">
        <f>T360+IF(LEN($AD$361)&gt;0,1,0)</f>
        <v/>
      </c>
      <c r="U361" s="2">
        <f>U360+IF(LEN($AE$361)&gt;0,1,0)</f>
        <v/>
      </c>
      <c r="V361" s="2">
        <f>V360+IF(LEN($AF$361)&gt;0,1,0)</f>
        <v/>
      </c>
      <c r="X361" s="2">
        <f>IF(ISERROR($B$361),"",IF(ISBLANK($B$361),"",$B$361))</f>
        <v/>
      </c>
      <c r="Y361" s="2">
        <f>IF(ISERROR($C$361),"",IF(ISBLANK($C$361),"",$C$361))</f>
        <v/>
      </c>
      <c r="Z361" s="2">
        <f>IF(ISERROR($D$361),"",IF(ISBLANK($D$361),"",$D$361))</f>
        <v/>
      </c>
      <c r="AA361" s="2">
        <f>IF(ISERROR($E$361),"",IF(ISBLANK($E$361),"",$E$361))</f>
        <v/>
      </c>
      <c r="AB361" s="2">
        <f>IF(ISERROR($F$361),"",IF(ISBLANK($F$361),"",$F$361))</f>
        <v/>
      </c>
      <c r="AC361" s="2">
        <f>IF(ISERROR($G$361),"",IF(ISBLANK($G$361),"",$G$361))</f>
        <v/>
      </c>
      <c r="AD361" s="2">
        <f>IF(ISERROR($H$361),"",IF(ISBLANK($H$361),"",$H$361))</f>
        <v/>
      </c>
      <c r="AE361" s="2">
        <f>IF(ISERROR($I$361),"",IF(ISBLANK($I$361),"",$I$361))</f>
        <v/>
      </c>
      <c r="AF361" s="2">
        <f>IF(ISERROR($J$361),"",IF(ISBLANK($J$361),"",$J$361))</f>
        <v/>
      </c>
      <c r="AG361" s="2">
        <f>ISERROR($B$361)*1+ISERROR($C$361)*1+ISERROR($D$361)*1+ISERROR($E$361)*1+ISERROR($F$361)*1+ISERROR($G$361)*1+ISERROR($H$361)*1+ISERROR($I$361)*1+ISERROR($J$361)*1</f>
        <v/>
      </c>
    </row>
    <row r="362" ht="26" customHeight="1">
      <c r="B362" s="35" t="inlineStr">
        <is>
          <t>contrabandista aposentado</t>
        </is>
      </c>
      <c r="C362" s="29" t="inlineStr">
        <is>
          <t>prótese de braço antiga e barulhenta</t>
        </is>
      </c>
      <c r="D362" s="29" t="inlineStr">
        <is>
          <t>curioso a ponto de se meter em perigo</t>
        </is>
      </c>
      <c r="E362" s="29" t="inlineStr">
        <is>
          <t>juntar dinheiro para uma prótese melhor</t>
        </is>
      </c>
      <c r="F362" s="29" t="inlineStr">
        <is>
          <t>não é quem diz ser</t>
        </is>
      </c>
      <c r="G362" s="29" t="inlineStr">
        <is>
          <t>ri antes de dar uma má notícia</t>
        </is>
      </c>
      <c r="H362" s="29" t="inlineStr">
        <is>
          <t>A Erudição</t>
        </is>
      </c>
      <c r="I362" s="29" t="n"/>
      <c r="J362" s="29" t="inlineStr">
        <is>
          <t>vende um mapa que parece verdadeiro demais</t>
        </is>
      </c>
      <c r="K362" s="19">
        <f>IF(AG362&gt;0,"O Google leu como fórmula: digite de novo com ' na frente.","")</f>
        <v/>
      </c>
      <c r="N362" s="2">
        <f>N361+IF(LEN($X$362)&gt;0,1,0)</f>
        <v/>
      </c>
      <c r="O362" s="2">
        <f>O361+IF(LEN($Y$362)&gt;0,1,0)</f>
        <v/>
      </c>
      <c r="P362" s="2">
        <f>P361+IF(LEN($Z$362)&gt;0,1,0)</f>
        <v/>
      </c>
      <c r="Q362" s="2">
        <f>Q361+IF(LEN($AA$362)&gt;0,1,0)</f>
        <v/>
      </c>
      <c r="R362" s="2">
        <f>R361+IF(LEN($AB$362)&gt;0,1,0)</f>
        <v/>
      </c>
      <c r="S362" s="2">
        <f>S361+IF(LEN($AC$362)&gt;0,1,0)</f>
        <v/>
      </c>
      <c r="T362" s="2">
        <f>T361+IF(LEN($AD$362)&gt;0,1,0)</f>
        <v/>
      </c>
      <c r="U362" s="2">
        <f>U361+IF(LEN($AE$362)&gt;0,1,0)</f>
        <v/>
      </c>
      <c r="V362" s="2">
        <f>V361+IF(LEN($AF$362)&gt;0,1,0)</f>
        <v/>
      </c>
      <c r="X362" s="2">
        <f>IF(ISERROR($B$362),"",IF(ISBLANK($B$362),"",$B$362))</f>
        <v/>
      </c>
      <c r="Y362" s="2">
        <f>IF(ISERROR($C$362),"",IF(ISBLANK($C$362),"",$C$362))</f>
        <v/>
      </c>
      <c r="Z362" s="2">
        <f>IF(ISERROR($D$362),"",IF(ISBLANK($D$362),"",$D$362))</f>
        <v/>
      </c>
      <c r="AA362" s="2">
        <f>IF(ISERROR($E$362),"",IF(ISBLANK($E$362),"",$E$362))</f>
        <v/>
      </c>
      <c r="AB362" s="2">
        <f>IF(ISERROR($F$362),"",IF(ISBLANK($F$362),"",$F$362))</f>
        <v/>
      </c>
      <c r="AC362" s="2">
        <f>IF(ISERROR($G$362),"",IF(ISBLANK($G$362),"",$G$362))</f>
        <v/>
      </c>
      <c r="AD362" s="2">
        <f>IF(ISERROR($H$362),"",IF(ISBLANK($H$362),"",$H$362))</f>
        <v/>
      </c>
      <c r="AE362" s="2">
        <f>IF(ISERROR($I$362),"",IF(ISBLANK($I$362),"",$I$362))</f>
        <v/>
      </c>
      <c r="AF362" s="2">
        <f>IF(ISERROR($J$362),"",IF(ISBLANK($J$362),"",$J$362))</f>
        <v/>
      </c>
      <c r="AG362" s="2">
        <f>ISERROR($B$362)*1+ISERROR($C$362)*1+ISERROR($D$362)*1+ISERROR($E$362)*1+ISERROR($F$362)*1+ISERROR($G$362)*1+ISERROR($H$362)*1+ISERROR($I$362)*1+ISERROR($J$362)*1</f>
        <v/>
      </c>
    </row>
    <row r="363" ht="26" customHeight="1">
      <c r="B363" s="33" t="inlineStr">
        <is>
          <t>arquivista da Frota de Jade</t>
        </is>
      </c>
      <c r="C363" s="4" t="inlineStr">
        <is>
          <t>sardas por todo o rosto</t>
        </is>
      </c>
      <c r="D363" s="4" t="inlineStr">
        <is>
          <t>pessimista que sempre ajuda mesmo assim</t>
        </is>
      </c>
      <c r="E363" s="4" t="inlineStr">
        <is>
          <t>limpar o próprio nome</t>
        </is>
      </c>
      <c r="F363" s="4" t="inlineStr">
        <is>
          <t>tem uma família em outro mundo</t>
        </is>
      </c>
      <c r="G363" s="4" t="inlineStr">
        <is>
          <t>nunca olha nos olhos</t>
        </is>
      </c>
      <c r="H363" s="4" t="inlineStr">
        <is>
          <t>A Euforia</t>
        </is>
      </c>
      <c r="I363" s="4" t="n"/>
      <c r="J363" s="4" t="inlineStr">
        <is>
          <t>pede que o grupo finja ser a sua família por uma noite</t>
        </is>
      </c>
      <c r="K363" s="19">
        <f>IF(AG363&gt;0,"O Google leu como fórmula: digite de novo com ' na frente.","")</f>
        <v/>
      </c>
      <c r="N363" s="2">
        <f>N362+IF(LEN($X$363)&gt;0,1,0)</f>
        <v/>
      </c>
      <c r="O363" s="2">
        <f>O362+IF(LEN($Y$363)&gt;0,1,0)</f>
        <v/>
      </c>
      <c r="P363" s="2">
        <f>P362+IF(LEN($Z$363)&gt;0,1,0)</f>
        <v/>
      </c>
      <c r="Q363" s="2">
        <f>Q362+IF(LEN($AA$363)&gt;0,1,0)</f>
        <v/>
      </c>
      <c r="R363" s="2">
        <f>R362+IF(LEN($AB$363)&gt;0,1,0)</f>
        <v/>
      </c>
      <c r="S363" s="2">
        <f>S362+IF(LEN($AC$363)&gt;0,1,0)</f>
        <v/>
      </c>
      <c r="T363" s="2">
        <f>T362+IF(LEN($AD$363)&gt;0,1,0)</f>
        <v/>
      </c>
      <c r="U363" s="2">
        <f>U362+IF(LEN($AE$363)&gt;0,1,0)</f>
        <v/>
      </c>
      <c r="V363" s="2">
        <f>V362+IF(LEN($AF$363)&gt;0,1,0)</f>
        <v/>
      </c>
      <c r="X363" s="2">
        <f>IF(ISERROR($B$363),"",IF(ISBLANK($B$363),"",$B$363))</f>
        <v/>
      </c>
      <c r="Y363" s="2">
        <f>IF(ISERROR($C$363),"",IF(ISBLANK($C$363),"",$C$363))</f>
        <v/>
      </c>
      <c r="Z363" s="2">
        <f>IF(ISERROR($D$363),"",IF(ISBLANK($D$363),"",$D$363))</f>
        <v/>
      </c>
      <c r="AA363" s="2">
        <f>IF(ISERROR($E$363),"",IF(ISBLANK($E$363),"",$E$363))</f>
        <v/>
      </c>
      <c r="AB363" s="2">
        <f>IF(ISERROR($F$363),"",IF(ISBLANK($F$363),"",$F$363))</f>
        <v/>
      </c>
      <c r="AC363" s="2">
        <f>IF(ISERROR($G$363),"",IF(ISBLANK($G$363),"",$G$363))</f>
        <v/>
      </c>
      <c r="AD363" s="2">
        <f>IF(ISERROR($H$363),"",IF(ISBLANK($H$363),"",$H$363))</f>
        <v/>
      </c>
      <c r="AE363" s="2">
        <f>IF(ISERROR($I$363),"",IF(ISBLANK($I$363),"",$I$363))</f>
        <v/>
      </c>
      <c r="AF363" s="2">
        <f>IF(ISERROR($J$363),"",IF(ISBLANK($J$363),"",$J$363))</f>
        <v/>
      </c>
      <c r="AG363" s="2">
        <f>ISERROR($B$363)*1+ISERROR($C$363)*1+ISERROR($D$363)*1+ISERROR($E$363)*1+ISERROR($F$363)*1+ISERROR($G$363)*1+ISERROR($H$363)*1+ISERROR($I$363)*1+ISERROR($J$363)*1</f>
        <v/>
      </c>
    </row>
    <row r="364" ht="26" customHeight="1">
      <c r="B364" s="35" t="inlineStr">
        <is>
          <t>cozinheiro de estação</t>
        </is>
      </c>
      <c r="C364" s="29" t="inlineStr">
        <is>
          <t>casaco grande demais</t>
        </is>
      </c>
      <c r="D364" s="29" t="inlineStr">
        <is>
          <t>brincalhão que esconde o medo</t>
        </is>
      </c>
      <c r="E364" s="29" t="inlineStr">
        <is>
          <t>ver o mar de verdade uma vez na vida</t>
        </is>
      </c>
      <c r="F364" s="29" t="inlineStr">
        <is>
          <t>roubou o próprio patrão</t>
        </is>
      </c>
      <c r="G364" s="29" t="inlineStr">
        <is>
          <t>estala os dedos quando pensa</t>
        </is>
      </c>
      <c r="H364" s="29" t="inlineStr">
        <is>
          <t>A Caça</t>
        </is>
      </c>
      <c r="I364" s="29" t="n"/>
      <c r="J364" s="29" t="inlineStr">
        <is>
          <t>tem uma dívida que só o grupo pode quitar</t>
        </is>
      </c>
      <c r="K364" s="19">
        <f>IF(AG364&gt;0,"O Google leu como fórmula: digite de novo com ' na frente.","")</f>
        <v/>
      </c>
      <c r="N364" s="2">
        <f>N363+IF(LEN($X$364)&gt;0,1,0)</f>
        <v/>
      </c>
      <c r="O364" s="2">
        <f>O363+IF(LEN($Y$364)&gt;0,1,0)</f>
        <v/>
      </c>
      <c r="P364" s="2">
        <f>P363+IF(LEN($Z$364)&gt;0,1,0)</f>
        <v/>
      </c>
      <c r="Q364" s="2">
        <f>Q363+IF(LEN($AA$364)&gt;0,1,0)</f>
        <v/>
      </c>
      <c r="R364" s="2">
        <f>R363+IF(LEN($AB$364)&gt;0,1,0)</f>
        <v/>
      </c>
      <c r="S364" s="2">
        <f>S363+IF(LEN($AC$364)&gt;0,1,0)</f>
        <v/>
      </c>
      <c r="T364" s="2">
        <f>T363+IF(LEN($AD$364)&gt;0,1,0)</f>
        <v/>
      </c>
      <c r="U364" s="2">
        <f>U363+IF(LEN($AE$364)&gt;0,1,0)</f>
        <v/>
      </c>
      <c r="V364" s="2">
        <f>V363+IF(LEN($AF$364)&gt;0,1,0)</f>
        <v/>
      </c>
      <c r="X364" s="2">
        <f>IF(ISERROR($B$364),"",IF(ISBLANK($B$364),"",$B$364))</f>
        <v/>
      </c>
      <c r="Y364" s="2">
        <f>IF(ISERROR($C$364),"",IF(ISBLANK($C$364),"",$C$364))</f>
        <v/>
      </c>
      <c r="Z364" s="2">
        <f>IF(ISERROR($D$364),"",IF(ISBLANK($D$364),"",$D$364))</f>
        <v/>
      </c>
      <c r="AA364" s="2">
        <f>IF(ISERROR($E$364),"",IF(ISBLANK($E$364),"",$E$364))</f>
        <v/>
      </c>
      <c r="AB364" s="2">
        <f>IF(ISERROR($F$364),"",IF(ISBLANK($F$364),"",$F$364))</f>
        <v/>
      </c>
      <c r="AC364" s="2">
        <f>IF(ISERROR($G$364),"",IF(ISBLANK($G$364),"",$G$364))</f>
        <v/>
      </c>
      <c r="AD364" s="2">
        <f>IF(ISERROR($H$364),"",IF(ISBLANK($H$364),"",$H$364))</f>
        <v/>
      </c>
      <c r="AE364" s="2">
        <f>IF(ISERROR($I$364),"",IF(ISBLANK($I$364),"",$I$364))</f>
        <v/>
      </c>
      <c r="AF364" s="2">
        <f>IF(ISERROR($J$364),"",IF(ISBLANK($J$364),"",$J$364))</f>
        <v/>
      </c>
      <c r="AG364" s="2">
        <f>ISERROR($B$364)*1+ISERROR($C$364)*1+ISERROR($D$364)*1+ISERROR($E$364)*1+ISERROR($F$364)*1+ISERROR($G$364)*1+ISERROR($H$364)*1+ISERROR($I$364)*1+ISERROR($J$364)*1</f>
        <v/>
      </c>
    </row>
    <row r="365" ht="26" customHeight="1">
      <c r="B365" s="33" t="inlineStr">
        <is>
          <t>guarda de alfândega</t>
        </is>
      </c>
      <c r="C365" s="4" t="inlineStr">
        <is>
          <t>anéis em todos os dedos</t>
        </is>
      </c>
      <c r="D365" s="4" t="inlineStr">
        <is>
          <t>metódico, anota tudo</t>
        </is>
      </c>
      <c r="E365" s="4" t="inlineStr">
        <is>
          <t>esquecer alguém</t>
        </is>
      </c>
      <c r="F365" s="4" t="inlineStr">
        <is>
          <t>foi tocado de leve pelo Fragmentum</t>
        </is>
      </c>
      <c r="G365" s="4" t="inlineStr">
        <is>
          <t>chama todo mundo de chefe</t>
        </is>
      </c>
      <c r="H365" s="4" t="inlineStr">
        <is>
          <t>A Preservação</t>
        </is>
      </c>
      <c r="I365" s="4" t="n"/>
      <c r="J365" s="4" t="inlineStr">
        <is>
          <t>conhece um atalho pelos dutos abandonados</t>
        </is>
      </c>
      <c r="K365" s="19">
        <f>IF(AG365&gt;0,"O Google leu como fórmula: digite de novo com ' na frente.","")</f>
        <v/>
      </c>
      <c r="N365" s="2">
        <f>N364+IF(LEN($X$365)&gt;0,1,0)</f>
        <v/>
      </c>
      <c r="O365" s="2">
        <f>O364+IF(LEN($Y$365)&gt;0,1,0)</f>
        <v/>
      </c>
      <c r="P365" s="2">
        <f>P364+IF(LEN($Z$365)&gt;0,1,0)</f>
        <v/>
      </c>
      <c r="Q365" s="2">
        <f>Q364+IF(LEN($AA$365)&gt;0,1,0)</f>
        <v/>
      </c>
      <c r="R365" s="2">
        <f>R364+IF(LEN($AB$365)&gt;0,1,0)</f>
        <v/>
      </c>
      <c r="S365" s="2">
        <f>S364+IF(LEN($AC$365)&gt;0,1,0)</f>
        <v/>
      </c>
      <c r="T365" s="2">
        <f>T364+IF(LEN($AD$365)&gt;0,1,0)</f>
        <v/>
      </c>
      <c r="U365" s="2">
        <f>U364+IF(LEN($AE$365)&gt;0,1,0)</f>
        <v/>
      </c>
      <c r="V365" s="2">
        <f>V364+IF(LEN($AF$365)&gt;0,1,0)</f>
        <v/>
      </c>
      <c r="X365" s="2">
        <f>IF(ISERROR($B$365),"",IF(ISBLANK($B$365),"",$B$365))</f>
        <v/>
      </c>
      <c r="Y365" s="2">
        <f>IF(ISERROR($C$365),"",IF(ISBLANK($C$365),"",$C$365))</f>
        <v/>
      </c>
      <c r="Z365" s="2">
        <f>IF(ISERROR($D$365),"",IF(ISBLANK($D$365),"",$D$365))</f>
        <v/>
      </c>
      <c r="AA365" s="2">
        <f>IF(ISERROR($E$365),"",IF(ISBLANK($E$365),"",$E$365))</f>
        <v/>
      </c>
      <c r="AB365" s="2">
        <f>IF(ISERROR($F$365),"",IF(ISBLANK($F$365),"",$F$365))</f>
        <v/>
      </c>
      <c r="AC365" s="2">
        <f>IF(ISERROR($G$365),"",IF(ISBLANK($G$365),"",$G$365))</f>
        <v/>
      </c>
      <c r="AD365" s="2">
        <f>IF(ISERROR($H$365),"",IF(ISBLANK($H$365),"",$H$365))</f>
        <v/>
      </c>
      <c r="AE365" s="2">
        <f>IF(ISERROR($I$365),"",IF(ISBLANK($I$365),"",$I$365))</f>
        <v/>
      </c>
      <c r="AF365" s="2">
        <f>IF(ISERROR($J$365),"",IF(ISBLANK($J$365),"",$J$365))</f>
        <v/>
      </c>
      <c r="AG365" s="2">
        <f>ISERROR($B$365)*1+ISERROR($C$365)*1+ISERROR($D$365)*1+ISERROR($E$365)*1+ISERROR($F$365)*1+ISERROR($G$365)*1+ISERROR($H$365)*1+ISERROR($I$365)*1+ISERROR($J$365)*1</f>
        <v/>
      </c>
    </row>
    <row r="366" ht="26" customHeight="1">
      <c r="B366" s="35" t="inlineStr">
        <is>
          <t>minerador de asteroide</t>
        </is>
      </c>
      <c r="C366" s="29" t="inlineStr">
        <is>
          <t>óculos remendados com fita</t>
        </is>
      </c>
      <c r="D366" s="29" t="inlineStr">
        <is>
          <t>generoso com o dinheiro dos outros</t>
        </is>
      </c>
      <c r="E366" s="29" t="inlineStr">
        <is>
          <t>ser lembrado por algo bom</t>
        </is>
      </c>
      <c r="F366" s="29" t="inlineStr">
        <is>
          <t>sabe onde está um carregamento desaparecido</t>
        </is>
      </c>
      <c r="G366" s="29" t="inlineStr">
        <is>
          <t>fala de si na terceira pessoa</t>
        </is>
      </c>
      <c r="H366" s="29" t="inlineStr">
        <is>
          <t>Nenhum</t>
        </is>
      </c>
      <c r="I366" s="29" t="n"/>
      <c r="J366" s="29" t="inlineStr">
        <is>
          <t>procura um médico que não faça perguntas</t>
        </is>
      </c>
      <c r="K366" s="19">
        <f>IF(AG366&gt;0,"O Google leu como fórmula: digite de novo com ' na frente.","")</f>
        <v/>
      </c>
      <c r="N366" s="2">
        <f>N365+IF(LEN($X$366)&gt;0,1,0)</f>
        <v/>
      </c>
      <c r="O366" s="2">
        <f>O365+IF(LEN($Y$366)&gt;0,1,0)</f>
        <v/>
      </c>
      <c r="P366" s="2">
        <f>P365+IF(LEN($Z$366)&gt;0,1,0)</f>
        <v/>
      </c>
      <c r="Q366" s="2">
        <f>Q365+IF(LEN($AA$366)&gt;0,1,0)</f>
        <v/>
      </c>
      <c r="R366" s="2">
        <f>R365+IF(LEN($AB$366)&gt;0,1,0)</f>
        <v/>
      </c>
      <c r="S366" s="2">
        <f>S365+IF(LEN($AC$366)&gt;0,1,0)</f>
        <v/>
      </c>
      <c r="T366" s="2">
        <f>T365+IF(LEN($AD$366)&gt;0,1,0)</f>
        <v/>
      </c>
      <c r="U366" s="2">
        <f>U365+IF(LEN($AE$366)&gt;0,1,0)</f>
        <v/>
      </c>
      <c r="V366" s="2">
        <f>V365+IF(LEN($AF$366)&gt;0,1,0)</f>
        <v/>
      </c>
      <c r="X366" s="2">
        <f>IF(ISERROR($B$366),"",IF(ISBLANK($B$366),"",$B$366))</f>
        <v/>
      </c>
      <c r="Y366" s="2">
        <f>IF(ISERROR($C$366),"",IF(ISBLANK($C$366),"",$C$366))</f>
        <v/>
      </c>
      <c r="Z366" s="2">
        <f>IF(ISERROR($D$366),"",IF(ISBLANK($D$366),"",$D$366))</f>
        <v/>
      </c>
      <c r="AA366" s="2">
        <f>IF(ISERROR($E$366),"",IF(ISBLANK($E$366),"",$E$366))</f>
        <v/>
      </c>
      <c r="AB366" s="2">
        <f>IF(ISERROR($F$366),"",IF(ISBLANK($F$366),"",$F$366))</f>
        <v/>
      </c>
      <c r="AC366" s="2">
        <f>IF(ISERROR($G$366),"",IF(ISBLANK($G$366),"",$G$366))</f>
        <v/>
      </c>
      <c r="AD366" s="2">
        <f>IF(ISERROR($H$366),"",IF(ISBLANK($H$366),"",$H$366))</f>
        <v/>
      </c>
      <c r="AE366" s="2">
        <f>IF(ISERROR($I$366),"",IF(ISBLANK($I$366),"",$I$366))</f>
        <v/>
      </c>
      <c r="AF366" s="2">
        <f>IF(ISERROR($J$366),"",IF(ISBLANK($J$366),"",$J$366))</f>
        <v/>
      </c>
      <c r="AG366" s="2">
        <f>ISERROR($B$366)*1+ISERROR($C$366)*1+ISERROR($D$366)*1+ISERROR($E$366)*1+ISERROR($F$366)*1+ISERROR($G$366)*1+ISERROR($H$366)*1+ISERROR($I$366)*1+ISERROR($J$366)*1</f>
        <v/>
      </c>
    </row>
    <row r="367" ht="26" customHeight="1">
      <c r="B367" s="33" t="inlineStr">
        <is>
          <t>cartógrafo de rotas</t>
        </is>
      </c>
      <c r="C367" s="4" t="inlineStr">
        <is>
          <t>dentes de metal</t>
        </is>
      </c>
      <c r="D367" s="4" t="inlineStr">
        <is>
          <t>ansioso, sempre olhando o relógio</t>
        </is>
      </c>
      <c r="E367" s="4" t="inlineStr">
        <is>
          <t>vingar um amigo</t>
        </is>
      </c>
      <c r="F367" s="4" t="inlineStr">
        <is>
          <t>é informante dos Caçadores de Stellaron</t>
        </is>
      </c>
      <c r="G367" s="4" t="inlineStr">
        <is>
          <t>repete a última palavra de quem falou</t>
        </is>
      </c>
      <c r="H367" s="4" t="inlineStr">
        <is>
          <t>Nenhum</t>
        </is>
      </c>
      <c r="I367" s="4" t="n"/>
      <c r="J367" s="4" t="inlineStr">
        <is>
          <t>quer comprar um objeto que o grupo carrega</t>
        </is>
      </c>
      <c r="K367" s="19">
        <f>IF(AG367&gt;0,"O Google leu como fórmula: digite de novo com ' na frente.","")</f>
        <v/>
      </c>
      <c r="N367" s="2">
        <f>N366+IF(LEN($X$367)&gt;0,1,0)</f>
        <v/>
      </c>
      <c r="O367" s="2">
        <f>O366+IF(LEN($Y$367)&gt;0,1,0)</f>
        <v/>
      </c>
      <c r="P367" s="2">
        <f>P366+IF(LEN($Z$367)&gt;0,1,0)</f>
        <v/>
      </c>
      <c r="Q367" s="2">
        <f>Q366+IF(LEN($AA$367)&gt;0,1,0)</f>
        <v/>
      </c>
      <c r="R367" s="2">
        <f>R366+IF(LEN($AB$367)&gt;0,1,0)</f>
        <v/>
      </c>
      <c r="S367" s="2">
        <f>S366+IF(LEN($AC$367)&gt;0,1,0)</f>
        <v/>
      </c>
      <c r="T367" s="2">
        <f>T366+IF(LEN($AD$367)&gt;0,1,0)</f>
        <v/>
      </c>
      <c r="U367" s="2">
        <f>U366+IF(LEN($AE$367)&gt;0,1,0)</f>
        <v/>
      </c>
      <c r="V367" s="2">
        <f>V366+IF(LEN($AF$367)&gt;0,1,0)</f>
        <v/>
      </c>
      <c r="X367" s="2">
        <f>IF(ISERROR($B$367),"",IF(ISBLANK($B$367),"",$B$367))</f>
        <v/>
      </c>
      <c r="Y367" s="2">
        <f>IF(ISERROR($C$367),"",IF(ISBLANK($C$367),"",$C$367))</f>
        <v/>
      </c>
      <c r="Z367" s="2">
        <f>IF(ISERROR($D$367),"",IF(ISBLANK($D$367),"",$D$367))</f>
        <v/>
      </c>
      <c r="AA367" s="2">
        <f>IF(ISERROR($E$367),"",IF(ISBLANK($E$367),"",$E$367))</f>
        <v/>
      </c>
      <c r="AB367" s="2">
        <f>IF(ISERROR($F$367),"",IF(ISBLANK($F$367),"",$F$367))</f>
        <v/>
      </c>
      <c r="AC367" s="2">
        <f>IF(ISERROR($G$367),"",IF(ISBLANK($G$367),"",$G$367))</f>
        <v/>
      </c>
      <c r="AD367" s="2">
        <f>IF(ISERROR($H$367),"",IF(ISBLANK($H$367),"",$H$367))</f>
        <v/>
      </c>
      <c r="AE367" s="2">
        <f>IF(ISERROR($I$367),"",IF(ISBLANK($I$367),"",$I$367))</f>
        <v/>
      </c>
      <c r="AF367" s="2">
        <f>IF(ISERROR($J$367),"",IF(ISBLANK($J$367),"",$J$367))</f>
        <v/>
      </c>
      <c r="AG367" s="2">
        <f>ISERROR($B$367)*1+ISERROR($C$367)*1+ISERROR($D$367)*1+ISERROR($E$367)*1+ISERROR($F$367)*1+ISERROR($G$367)*1+ISERROR($H$367)*1+ISERROR($I$367)*1+ISERROR($J$367)*1</f>
        <v/>
      </c>
    </row>
    <row r="368" ht="26" customHeight="1">
      <c r="B368" s="35" t="inlineStr">
        <is>
          <t>tradutor de dialetos</t>
        </is>
      </c>
      <c r="C368" s="29" t="inlineStr">
        <is>
          <t>pele queimada pelo sol de outro mundo</t>
        </is>
      </c>
      <c r="D368" s="29" t="inlineStr">
        <is>
          <t>cínico com a Corporação</t>
        </is>
      </c>
      <c r="E368" s="29" t="inlineStr">
        <is>
          <t>subir na hierarquia</t>
        </is>
      </c>
      <c r="F368" s="29" t="inlineStr">
        <is>
          <t>foi curado pelos Cavaleiros da Beleza e voltou diferente</t>
        </is>
      </c>
      <c r="G368" s="29" t="inlineStr">
        <is>
          <t>gagueja diante de quem tem patente</t>
        </is>
      </c>
      <c r="H368" s="29" t="inlineStr">
        <is>
          <t>Nenhum</t>
        </is>
      </c>
      <c r="I368" s="29" t="n"/>
      <c r="J368" s="29" t="inlineStr">
        <is>
          <t>pede proteção contra alguém que não quer nomear</t>
        </is>
      </c>
      <c r="K368" s="19">
        <f>IF(AG368&gt;0,"O Google leu como fórmula: digite de novo com ' na frente.","")</f>
        <v/>
      </c>
      <c r="N368" s="2">
        <f>N367+IF(LEN($X$368)&gt;0,1,0)</f>
        <v/>
      </c>
      <c r="O368" s="2">
        <f>O367+IF(LEN($Y$368)&gt;0,1,0)</f>
        <v/>
      </c>
      <c r="P368" s="2">
        <f>P367+IF(LEN($Z$368)&gt;0,1,0)</f>
        <v/>
      </c>
      <c r="Q368" s="2">
        <f>Q367+IF(LEN($AA$368)&gt;0,1,0)</f>
        <v/>
      </c>
      <c r="R368" s="2">
        <f>R367+IF(LEN($AB$368)&gt;0,1,0)</f>
        <v/>
      </c>
      <c r="S368" s="2">
        <f>S367+IF(LEN($AC$368)&gt;0,1,0)</f>
        <v/>
      </c>
      <c r="T368" s="2">
        <f>T367+IF(LEN($AD$368)&gt;0,1,0)</f>
        <v/>
      </c>
      <c r="U368" s="2">
        <f>U367+IF(LEN($AE$368)&gt;0,1,0)</f>
        <v/>
      </c>
      <c r="V368" s="2">
        <f>V367+IF(LEN($AF$368)&gt;0,1,0)</f>
        <v/>
      </c>
      <c r="X368" s="2">
        <f>IF(ISERROR($B$368),"",IF(ISBLANK($B$368),"",$B$368))</f>
        <v/>
      </c>
      <c r="Y368" s="2">
        <f>IF(ISERROR($C$368),"",IF(ISBLANK($C$368),"",$C$368))</f>
        <v/>
      </c>
      <c r="Z368" s="2">
        <f>IF(ISERROR($D$368),"",IF(ISBLANK($D$368),"",$D$368))</f>
        <v/>
      </c>
      <c r="AA368" s="2">
        <f>IF(ISERROR($E$368),"",IF(ISBLANK($E$368),"",$E$368))</f>
        <v/>
      </c>
      <c r="AB368" s="2">
        <f>IF(ISERROR($F$368),"",IF(ISBLANK($F$368),"",$F$368))</f>
        <v/>
      </c>
      <c r="AC368" s="2">
        <f>IF(ISERROR($G$368),"",IF(ISBLANK($G$368),"",$G$368))</f>
        <v/>
      </c>
      <c r="AD368" s="2">
        <f>IF(ISERROR($H$368),"",IF(ISBLANK($H$368),"",$H$368))</f>
        <v/>
      </c>
      <c r="AE368" s="2">
        <f>IF(ISERROR($I$368),"",IF(ISBLANK($I$368),"",$I$368))</f>
        <v/>
      </c>
      <c r="AF368" s="2">
        <f>IF(ISERROR($J$368),"",IF(ISBLANK($J$368),"",$J$368))</f>
        <v/>
      </c>
      <c r="AG368" s="2">
        <f>ISERROR($B$368)*1+ISERROR($C$368)*1+ISERROR($D$368)*1+ISERROR($E$368)*1+ISERROR($F$368)*1+ISERROR($G$368)*1+ISERROR($H$368)*1+ISERROR($I$368)*1+ISERROR($J$368)*1</f>
        <v/>
      </c>
    </row>
    <row r="369" ht="26" customHeight="1">
      <c r="B369" s="33" t="inlineStr">
        <is>
          <t>jornalista independente</t>
        </is>
      </c>
      <c r="C369" s="4" t="inlineStr">
        <is>
          <t>sempre de luvas</t>
        </is>
      </c>
      <c r="D369" s="4" t="inlineStr">
        <is>
          <t>romântico incurável</t>
        </is>
      </c>
      <c r="E369" s="4" t="inlineStr">
        <is>
          <t>manter um segredo enterrado</t>
        </is>
      </c>
      <c r="F369" s="4" t="inlineStr">
        <is>
          <t>vende informação para os dois lados</t>
        </is>
      </c>
      <c r="G369" s="4" t="inlineStr">
        <is>
          <t>canta baixinho sem perceber</t>
        </is>
      </c>
      <c r="H369" s="4" t="n"/>
      <c r="I369" s="4" t="n"/>
      <c r="J369" s="4" t="inlineStr">
        <is>
          <t>promete uma informação em troca de um favor</t>
        </is>
      </c>
      <c r="K369" s="19">
        <f>IF(AG369&gt;0,"O Google leu como fórmula: digite de novo com ' na frente.","")</f>
        <v/>
      </c>
      <c r="N369" s="2">
        <f>N368+IF(LEN($X$369)&gt;0,1,0)</f>
        <v/>
      </c>
      <c r="O369" s="2">
        <f>O368+IF(LEN($Y$369)&gt;0,1,0)</f>
        <v/>
      </c>
      <c r="P369" s="2">
        <f>P368+IF(LEN($Z$369)&gt;0,1,0)</f>
        <v/>
      </c>
      <c r="Q369" s="2">
        <f>Q368+IF(LEN($AA$369)&gt;0,1,0)</f>
        <v/>
      </c>
      <c r="R369" s="2">
        <f>R368+IF(LEN($AB$369)&gt;0,1,0)</f>
        <v/>
      </c>
      <c r="S369" s="2">
        <f>S368+IF(LEN($AC$369)&gt;0,1,0)</f>
        <v/>
      </c>
      <c r="T369" s="2">
        <f>T368+IF(LEN($AD$369)&gt;0,1,0)</f>
        <v/>
      </c>
      <c r="U369" s="2">
        <f>U368+IF(LEN($AE$369)&gt;0,1,0)</f>
        <v/>
      </c>
      <c r="V369" s="2">
        <f>V368+IF(LEN($AF$369)&gt;0,1,0)</f>
        <v/>
      </c>
      <c r="X369" s="2">
        <f>IF(ISERROR($B$369),"",IF(ISBLANK($B$369),"",$B$369))</f>
        <v/>
      </c>
      <c r="Y369" s="2">
        <f>IF(ISERROR($C$369),"",IF(ISBLANK($C$369),"",$C$369))</f>
        <v/>
      </c>
      <c r="Z369" s="2">
        <f>IF(ISERROR($D$369),"",IF(ISBLANK($D$369),"",$D$369))</f>
        <v/>
      </c>
      <c r="AA369" s="2">
        <f>IF(ISERROR($E$369),"",IF(ISBLANK($E$369),"",$E$369))</f>
        <v/>
      </c>
      <c r="AB369" s="2">
        <f>IF(ISERROR($F$369),"",IF(ISBLANK($F$369),"",$F$369))</f>
        <v/>
      </c>
      <c r="AC369" s="2">
        <f>IF(ISERROR($G$369),"",IF(ISBLANK($G$369),"",$G$369))</f>
        <v/>
      </c>
      <c r="AD369" s="2">
        <f>IF(ISERROR($H$369),"",IF(ISBLANK($H$369),"",$H$369))</f>
        <v/>
      </c>
      <c r="AE369" s="2">
        <f>IF(ISERROR($I$369),"",IF(ISBLANK($I$369),"",$I$369))</f>
        <v/>
      </c>
      <c r="AF369" s="2">
        <f>IF(ISERROR($J$369),"",IF(ISBLANK($J$369),"",$J$369))</f>
        <v/>
      </c>
      <c r="AG369" s="2">
        <f>ISERROR($B$369)*1+ISERROR($C$369)*1+ISERROR($D$369)*1+ISERROR($E$369)*1+ISERROR($F$369)*1+ISERROR($G$369)*1+ISERROR($H$369)*1+ISERROR($I$369)*1+ISERROR($J$369)*1</f>
        <v/>
      </c>
    </row>
    <row r="370" ht="15" customHeight="1">
      <c r="B370" s="8" t="inlineStr">
        <is>
          <t>Ocupação (NPC)</t>
        </is>
      </c>
      <c r="C370" s="8" t="inlineStr">
        <is>
          <t>Traço de aparência</t>
        </is>
      </c>
      <c r="D370" s="8" t="inlineStr">
        <is>
          <t>Personalidade</t>
        </is>
      </c>
      <c r="E370" s="8" t="inlineStr">
        <is>
          <t>Motivação (sem Caminho)</t>
        </is>
      </c>
      <c r="F370" s="8" t="inlineStr">
        <is>
          <t>Segredo</t>
        </is>
      </c>
      <c r="G370" s="8" t="inlineStr">
        <is>
          <t>Maneirismo e voz</t>
        </is>
      </c>
      <c r="H370" s="8" t="inlineStr">
        <is>
          <t>Caminho do NPC (peso)</t>
        </is>
      </c>
      <c r="I370" s="8" t="inlineStr">
        <is>
          <t>Atitude com o grupo</t>
        </is>
      </c>
      <c r="J370" s="8" t="inlineStr">
        <is>
          <t>Gancho do NPC</t>
        </is>
      </c>
      <c r="N370" s="2">
        <f>N369</f>
        <v/>
      </c>
      <c r="O370" s="2">
        <f>O369</f>
        <v/>
      </c>
      <c r="P370" s="2">
        <f>P369</f>
        <v/>
      </c>
      <c r="Q370" s="2">
        <f>Q369</f>
        <v/>
      </c>
      <c r="R370" s="2">
        <f>R369</f>
        <v/>
      </c>
      <c r="S370" s="2">
        <f>S369</f>
        <v/>
      </c>
      <c r="T370" s="2">
        <f>T369</f>
        <v/>
      </c>
      <c r="U370" s="2">
        <f>U369</f>
        <v/>
      </c>
      <c r="V370" s="2">
        <f>V369</f>
        <v/>
      </c>
      <c r="X370" s="2">
        <f>IF(ISERROR($B$370),"",IF(ISBLANK($B$370),"",$B$370))</f>
        <v/>
      </c>
      <c r="Y370" s="2">
        <f>IF(ISERROR($C$370),"",IF(ISBLANK($C$370),"",$C$370))</f>
        <v/>
      </c>
      <c r="Z370" s="2">
        <f>IF(ISERROR($D$370),"",IF(ISBLANK($D$370),"",$D$370))</f>
        <v/>
      </c>
      <c r="AA370" s="2">
        <f>IF(ISERROR($E$370),"",IF(ISBLANK($E$370),"",$E$370))</f>
        <v/>
      </c>
      <c r="AB370" s="2">
        <f>IF(ISERROR($F$370),"",IF(ISBLANK($F$370),"",$F$370))</f>
        <v/>
      </c>
      <c r="AC370" s="2">
        <f>IF(ISERROR($G$370),"",IF(ISBLANK($G$370),"",$G$370))</f>
        <v/>
      </c>
      <c r="AD370" s="2">
        <f>IF(ISERROR($H$370),"",IF(ISBLANK($H$370),"",$H$370))</f>
        <v/>
      </c>
      <c r="AE370" s="2">
        <f>IF(ISERROR($I$370),"",IF(ISBLANK($I$370),"",$I$370))</f>
        <v/>
      </c>
      <c r="AF370" s="2">
        <f>IF(ISERROR($J$370),"",IF(ISBLANK($J$370),"",$J$370))</f>
        <v/>
      </c>
    </row>
    <row r="371" ht="26" customHeight="1">
      <c r="B371" s="33" t="inlineStr">
        <is>
          <t>sacerdote de um Aeon esquecido</t>
        </is>
      </c>
      <c r="C371" s="4" t="inlineStr">
        <is>
          <t>cheiro forte de óleo de motor</t>
        </is>
      </c>
      <c r="D371" s="4" t="inlineStr">
        <is>
          <t>vaidoso e inseguro</t>
        </is>
      </c>
      <c r="E371" s="4" t="inlineStr">
        <is>
          <t>curar uma doença que ninguém sabe nomear</t>
        </is>
      </c>
      <c r="F371" s="4" t="inlineStr">
        <is>
          <t>tem medo de máquinas, mas trabalha com elas</t>
        </is>
      </c>
      <c r="G371" s="4" t="inlineStr">
        <is>
          <t>mexe num amuleto o tempo todo</t>
        </is>
      </c>
      <c r="H371" s="4" t="n"/>
      <c r="I371" s="4" t="n"/>
      <c r="J371" s="4" t="inlineStr">
        <is>
          <t>foi testemunha de algo e agora é caçado</t>
        </is>
      </c>
      <c r="K371" s="19">
        <f>IF(AG371&gt;0,"O Google leu como fórmula: digite de novo com ' na frente.","")</f>
        <v/>
      </c>
      <c r="N371" s="2">
        <f>N370+IF(LEN($X$371)&gt;0,1,0)</f>
        <v/>
      </c>
      <c r="O371" s="2">
        <f>O370+IF(LEN($Y$371)&gt;0,1,0)</f>
        <v/>
      </c>
      <c r="P371" s="2">
        <f>P370+IF(LEN($Z$371)&gt;0,1,0)</f>
        <v/>
      </c>
      <c r="Q371" s="2">
        <f>Q370+IF(LEN($AA$371)&gt;0,1,0)</f>
        <v/>
      </c>
      <c r="R371" s="2">
        <f>R370+IF(LEN($AB$371)&gt;0,1,0)</f>
        <v/>
      </c>
      <c r="S371" s="2">
        <f>S370+IF(LEN($AC$371)&gt;0,1,0)</f>
        <v/>
      </c>
      <c r="T371" s="2">
        <f>T370+IF(LEN($AD$371)&gt;0,1,0)</f>
        <v/>
      </c>
      <c r="U371" s="2">
        <f>U370+IF(LEN($AE$371)&gt;0,1,0)</f>
        <v/>
      </c>
      <c r="V371" s="2">
        <f>V370+IF(LEN($AF$371)&gt;0,1,0)</f>
        <v/>
      </c>
      <c r="X371" s="2">
        <f>IF(ISERROR($B$371),"",IF(ISBLANK($B$371),"",$B$371))</f>
        <v/>
      </c>
      <c r="Y371" s="2">
        <f>IF(ISERROR($C$371),"",IF(ISBLANK($C$371),"",$C$371))</f>
        <v/>
      </c>
      <c r="Z371" s="2">
        <f>IF(ISERROR($D$371),"",IF(ISBLANK($D$371),"",$D$371))</f>
        <v/>
      </c>
      <c r="AA371" s="2">
        <f>IF(ISERROR($E$371),"",IF(ISBLANK($E$371),"",$E$371))</f>
        <v/>
      </c>
      <c r="AB371" s="2">
        <f>IF(ISERROR($F$371),"",IF(ISBLANK($F$371),"",$F$371))</f>
        <v/>
      </c>
      <c r="AC371" s="2">
        <f>IF(ISERROR($G$371),"",IF(ISBLANK($G$371),"",$G$371))</f>
        <v/>
      </c>
      <c r="AD371" s="2">
        <f>IF(ISERROR($H$371),"",IF(ISBLANK($H$371),"",$H$371))</f>
        <v/>
      </c>
      <c r="AE371" s="2">
        <f>IF(ISERROR($I$371),"",IF(ISBLANK($I$371),"",$I$371))</f>
        <v/>
      </c>
      <c r="AF371" s="2">
        <f>IF(ISERROR($J$371),"",IF(ISBLANK($J$371),"",$J$371))</f>
        <v/>
      </c>
      <c r="AG371" s="2">
        <f>ISERROR($B$371)*1+ISERROR($C$371)*1+ISERROR($D$371)*1+ISERROR($E$371)*1+ISERROR($F$371)*1+ISERROR($G$371)*1+ISERROR($H$371)*1+ISERROR($I$371)*1+ISERROR($J$371)*1</f>
        <v/>
      </c>
    </row>
    <row r="372" ht="26" customHeight="1">
      <c r="B372" s="35" t="inlineStr">
        <is>
          <t>engenheiro de suporte de vida</t>
        </is>
      </c>
      <c r="C372" s="29" t="inlineStr">
        <is>
          <t>postura militar impecável</t>
        </is>
      </c>
      <c r="D372" s="29" t="inlineStr">
        <is>
          <t>direto, sem paciência para rodeios</t>
        </is>
      </c>
      <c r="E372" s="29" t="inlineStr">
        <is>
          <t>voltar para casa</t>
        </is>
      </c>
      <c r="F372" s="29" t="inlineStr">
        <is>
          <t>é procurado pela Frota de Jade</t>
        </is>
      </c>
      <c r="G372" s="29" t="inlineStr">
        <is>
          <t>fala depressa e engole sílabas</t>
        </is>
      </c>
      <c r="H372" s="29" t="n"/>
      <c r="I372" s="29" t="n"/>
      <c r="J372" s="29" t="inlineStr">
        <is>
          <t>precisa de alguém para ganhar uma aposta</t>
        </is>
      </c>
      <c r="K372" s="19">
        <f>IF(AG372&gt;0,"O Google leu como fórmula: digite de novo com ' na frente.","")</f>
        <v/>
      </c>
      <c r="N372" s="2">
        <f>N371+IF(LEN($X$372)&gt;0,1,0)</f>
        <v/>
      </c>
      <c r="O372" s="2">
        <f>O371+IF(LEN($Y$372)&gt;0,1,0)</f>
        <v/>
      </c>
      <c r="P372" s="2">
        <f>P371+IF(LEN($Z$372)&gt;0,1,0)</f>
        <v/>
      </c>
      <c r="Q372" s="2">
        <f>Q371+IF(LEN($AA$372)&gt;0,1,0)</f>
        <v/>
      </c>
      <c r="R372" s="2">
        <f>R371+IF(LEN($AB$372)&gt;0,1,0)</f>
        <v/>
      </c>
      <c r="S372" s="2">
        <f>S371+IF(LEN($AC$372)&gt;0,1,0)</f>
        <v/>
      </c>
      <c r="T372" s="2">
        <f>T371+IF(LEN($AD$372)&gt;0,1,0)</f>
        <v/>
      </c>
      <c r="U372" s="2">
        <f>U371+IF(LEN($AE$372)&gt;0,1,0)</f>
        <v/>
      </c>
      <c r="V372" s="2">
        <f>V371+IF(LEN($AF$372)&gt;0,1,0)</f>
        <v/>
      </c>
      <c r="X372" s="2">
        <f>IF(ISERROR($B$372),"",IF(ISBLANK($B$372),"",$B$372))</f>
        <v/>
      </c>
      <c r="Y372" s="2">
        <f>IF(ISERROR($C$372),"",IF(ISBLANK($C$372),"",$C$372))</f>
        <v/>
      </c>
      <c r="Z372" s="2">
        <f>IF(ISERROR($D$372),"",IF(ISBLANK($D$372),"",$D$372))</f>
        <v/>
      </c>
      <c r="AA372" s="2">
        <f>IF(ISERROR($E$372),"",IF(ISBLANK($E$372),"",$E$372))</f>
        <v/>
      </c>
      <c r="AB372" s="2">
        <f>IF(ISERROR($F$372),"",IF(ISBLANK($F$372),"",$F$372))</f>
        <v/>
      </c>
      <c r="AC372" s="2">
        <f>IF(ISERROR($G$372),"",IF(ISBLANK($G$372),"",$G$372))</f>
        <v/>
      </c>
      <c r="AD372" s="2">
        <f>IF(ISERROR($H$372),"",IF(ISBLANK($H$372),"",$H$372))</f>
        <v/>
      </c>
      <c r="AE372" s="2">
        <f>IF(ISERROR($I$372),"",IF(ISBLANK($I$372),"",$I$372))</f>
        <v/>
      </c>
      <c r="AF372" s="2">
        <f>IF(ISERROR($J$372),"",IF(ISBLANK($J$372),"",$J$372))</f>
        <v/>
      </c>
      <c r="AG372" s="2">
        <f>ISERROR($B$372)*1+ISERROR($C$372)*1+ISERROR($D$372)*1+ISERROR($E$372)*1+ISERROR($F$372)*1+ISERROR($G$372)*1+ISERROR($H$372)*1+ISERROR($I$372)*1+ISERROR($J$372)*1</f>
        <v/>
      </c>
    </row>
    <row r="373" ht="26" customHeight="1">
      <c r="B373" s="33" t="inlineStr">
        <is>
          <t>dono de bar no anel externo</t>
        </is>
      </c>
      <c r="C373" s="4" t="inlineStr">
        <is>
          <t>roupas caras e gastas</t>
        </is>
      </c>
      <c r="D373" s="4" t="inlineStr">
        <is>
          <t>supersticioso com números</t>
        </is>
      </c>
      <c r="E373" s="4" t="inlineStr">
        <is>
          <t>descobrir quem o abandonou</t>
        </is>
      </c>
      <c r="F373" s="4" t="inlineStr">
        <is>
          <t>ainda ouve a voz de um morto</t>
        </is>
      </c>
      <c r="G373" s="4" t="inlineStr">
        <is>
          <t>usa gírias de uma estação distante</t>
        </is>
      </c>
      <c r="H373" s="4" t="n"/>
      <c r="I373" s="4" t="n"/>
      <c r="J373" s="4" t="inlineStr">
        <is>
          <t>desafia um dos personagens para um duelo de honra</t>
        </is>
      </c>
      <c r="K373" s="19">
        <f>IF(AG373&gt;0,"O Google leu como fórmula: digite de novo com ' na frente.","")</f>
        <v/>
      </c>
      <c r="N373" s="2">
        <f>N372+IF(LEN($X$373)&gt;0,1,0)</f>
        <v/>
      </c>
      <c r="O373" s="2">
        <f>O372+IF(LEN($Y$373)&gt;0,1,0)</f>
        <v/>
      </c>
      <c r="P373" s="2">
        <f>P372+IF(LEN($Z$373)&gt;0,1,0)</f>
        <v/>
      </c>
      <c r="Q373" s="2">
        <f>Q372+IF(LEN($AA$373)&gt;0,1,0)</f>
        <v/>
      </c>
      <c r="R373" s="2">
        <f>R372+IF(LEN($AB$373)&gt;0,1,0)</f>
        <v/>
      </c>
      <c r="S373" s="2">
        <f>S372+IF(LEN($AC$373)&gt;0,1,0)</f>
        <v/>
      </c>
      <c r="T373" s="2">
        <f>T372+IF(LEN($AD$373)&gt;0,1,0)</f>
        <v/>
      </c>
      <c r="U373" s="2">
        <f>U372+IF(LEN($AE$373)&gt;0,1,0)</f>
        <v/>
      </c>
      <c r="V373" s="2">
        <f>V372+IF(LEN($AF$373)&gt;0,1,0)</f>
        <v/>
      </c>
      <c r="X373" s="2">
        <f>IF(ISERROR($B$373),"",IF(ISBLANK($B$373),"",$B$373))</f>
        <v/>
      </c>
      <c r="Y373" s="2">
        <f>IF(ISERROR($C$373),"",IF(ISBLANK($C$373),"",$C$373))</f>
        <v/>
      </c>
      <c r="Z373" s="2">
        <f>IF(ISERROR($D$373),"",IF(ISBLANK($D$373),"",$D$373))</f>
        <v/>
      </c>
      <c r="AA373" s="2">
        <f>IF(ISERROR($E$373),"",IF(ISBLANK($E$373),"",$E$373))</f>
        <v/>
      </c>
      <c r="AB373" s="2">
        <f>IF(ISERROR($F$373),"",IF(ISBLANK($F$373),"",$F$373))</f>
        <v/>
      </c>
      <c r="AC373" s="2">
        <f>IF(ISERROR($G$373),"",IF(ISBLANK($G$373),"",$G$373))</f>
        <v/>
      </c>
      <c r="AD373" s="2">
        <f>IF(ISERROR($H$373),"",IF(ISBLANK($H$373),"",$H$373))</f>
        <v/>
      </c>
      <c r="AE373" s="2">
        <f>IF(ISERROR($I$373),"",IF(ISBLANK($I$373),"",$I$373))</f>
        <v/>
      </c>
      <c r="AF373" s="2">
        <f>IF(ISERROR($J$373),"",IF(ISBLANK($J$373),"",$J$373))</f>
        <v/>
      </c>
      <c r="AG373" s="2">
        <f>ISERROR($B$373)*1+ISERROR($C$373)*1+ISERROR($D$373)*1+ISERROR($E$373)*1+ISERROR($F$373)*1+ISERROR($G$373)*1+ISERROR($H$373)*1+ISERROR($I$373)*1+ISERROR($J$373)*1</f>
        <v/>
      </c>
    </row>
    <row r="374" ht="26" customHeight="1">
      <c r="B374" s="35" t="inlineStr">
        <is>
          <t>caçador de recompensas novato</t>
        </is>
      </c>
      <c r="C374" s="29" t="inlineStr">
        <is>
          <t>um olho artificial que brilha fraco</t>
        </is>
      </c>
      <c r="D374" s="29" t="inlineStr">
        <is>
          <t>rancoroso, mas justo</t>
        </is>
      </c>
      <c r="E374" s="29" t="inlineStr">
        <is>
          <t>conseguir uma passagem no Expresso Astral</t>
        </is>
      </c>
      <c r="F374" s="29" t="inlineStr">
        <is>
          <t>falsificou a própria idade</t>
        </is>
      </c>
      <c r="G374" s="29" t="inlineStr">
        <is>
          <t>pede desculpas o tempo inteiro</t>
        </is>
      </c>
      <c r="H374" s="29" t="n"/>
      <c r="I374" s="29" t="n"/>
      <c r="J374" s="29" t="inlineStr">
        <is>
          <t>quer sair do planeta escondido na bagagem do grupo</t>
        </is>
      </c>
      <c r="K374" s="19">
        <f>IF(AG374&gt;0,"O Google leu como fórmula: digite de novo com ' na frente.","")</f>
        <v/>
      </c>
      <c r="N374" s="2">
        <f>N373+IF(LEN($X$374)&gt;0,1,0)</f>
        <v/>
      </c>
      <c r="O374" s="2">
        <f>O373+IF(LEN($Y$374)&gt;0,1,0)</f>
        <v/>
      </c>
      <c r="P374" s="2">
        <f>P373+IF(LEN($Z$374)&gt;0,1,0)</f>
        <v/>
      </c>
      <c r="Q374" s="2">
        <f>Q373+IF(LEN($AA$374)&gt;0,1,0)</f>
        <v/>
      </c>
      <c r="R374" s="2">
        <f>R373+IF(LEN($AB$374)&gt;0,1,0)</f>
        <v/>
      </c>
      <c r="S374" s="2">
        <f>S373+IF(LEN($AC$374)&gt;0,1,0)</f>
        <v/>
      </c>
      <c r="T374" s="2">
        <f>T373+IF(LEN($AD$374)&gt;0,1,0)</f>
        <v/>
      </c>
      <c r="U374" s="2">
        <f>U373+IF(LEN($AE$374)&gt;0,1,0)</f>
        <v/>
      </c>
      <c r="V374" s="2">
        <f>V373+IF(LEN($AF$374)&gt;0,1,0)</f>
        <v/>
      </c>
      <c r="X374" s="2">
        <f>IF(ISERROR($B$374),"",IF(ISBLANK($B$374),"",$B$374))</f>
        <v/>
      </c>
      <c r="Y374" s="2">
        <f>IF(ISERROR($C$374),"",IF(ISBLANK($C$374),"",$C$374))</f>
        <v/>
      </c>
      <c r="Z374" s="2">
        <f>IF(ISERROR($D$374),"",IF(ISBLANK($D$374),"",$D$374))</f>
        <v/>
      </c>
      <c r="AA374" s="2">
        <f>IF(ISERROR($E$374),"",IF(ISBLANK($E$374),"",$E$374))</f>
        <v/>
      </c>
      <c r="AB374" s="2">
        <f>IF(ISERROR($F$374),"",IF(ISBLANK($F$374),"",$F$374))</f>
        <v/>
      </c>
      <c r="AC374" s="2">
        <f>IF(ISERROR($G$374),"",IF(ISBLANK($G$374),"",$G$374))</f>
        <v/>
      </c>
      <c r="AD374" s="2">
        <f>IF(ISERROR($H$374),"",IF(ISBLANK($H$374),"",$H$374))</f>
        <v/>
      </c>
      <c r="AE374" s="2">
        <f>IF(ISERROR($I$374),"",IF(ISBLANK($I$374),"",$I$374))</f>
        <v/>
      </c>
      <c r="AF374" s="2">
        <f>IF(ISERROR($J$374),"",IF(ISBLANK($J$374),"",$J$374))</f>
        <v/>
      </c>
      <c r="AG374" s="2">
        <f>ISERROR($B$374)*1+ISERROR($C$374)*1+ISERROR($D$374)*1+ISERROR($E$374)*1+ISERROR($F$374)*1+ISERROR($G$374)*1+ISERROR($H$374)*1+ISERROR($I$374)*1+ISERROR($J$374)*1</f>
        <v/>
      </c>
    </row>
    <row r="375" ht="26" customHeight="1">
      <c r="B375" s="33" t="inlineStr">
        <is>
          <t>professor de história estelar</t>
        </is>
      </c>
      <c r="C375" s="4" t="inlineStr">
        <is>
          <t>cabelo raspado de um lado</t>
        </is>
      </c>
      <c r="D375" s="4" t="inlineStr">
        <is>
          <t>otimista teimoso</t>
        </is>
      </c>
      <c r="E375" s="4" t="inlineStr">
        <is>
          <t>terminar a obra de um mestre morto</t>
        </is>
      </c>
      <c r="F375" s="4" t="inlineStr">
        <is>
          <t>perdeu a memória de um ano inteiro</t>
        </is>
      </c>
      <c r="G375" s="4" t="inlineStr">
        <is>
          <t>faz uma pausa longa antes de responder</t>
        </is>
      </c>
      <c r="H375" s="4" t="n"/>
      <c r="I375" s="4" t="n"/>
      <c r="J375" s="4" t="inlineStr">
        <is>
          <t>traz um recado de alguém do passado de um personagem</t>
        </is>
      </c>
      <c r="K375" s="19">
        <f>IF(AG375&gt;0,"O Google leu como fórmula: digite de novo com ' na frente.","")</f>
        <v/>
      </c>
      <c r="N375" s="2">
        <f>N374+IF(LEN($X$375)&gt;0,1,0)</f>
        <v/>
      </c>
      <c r="O375" s="2">
        <f>O374+IF(LEN($Y$375)&gt;0,1,0)</f>
        <v/>
      </c>
      <c r="P375" s="2">
        <f>P374+IF(LEN($Z$375)&gt;0,1,0)</f>
        <v/>
      </c>
      <c r="Q375" s="2">
        <f>Q374+IF(LEN($AA$375)&gt;0,1,0)</f>
        <v/>
      </c>
      <c r="R375" s="2">
        <f>R374+IF(LEN($AB$375)&gt;0,1,0)</f>
        <v/>
      </c>
      <c r="S375" s="2">
        <f>S374+IF(LEN($AC$375)&gt;0,1,0)</f>
        <v/>
      </c>
      <c r="T375" s="2">
        <f>T374+IF(LEN($AD$375)&gt;0,1,0)</f>
        <v/>
      </c>
      <c r="U375" s="2">
        <f>U374+IF(LEN($AE$375)&gt;0,1,0)</f>
        <v/>
      </c>
      <c r="V375" s="2">
        <f>V374+IF(LEN($AF$375)&gt;0,1,0)</f>
        <v/>
      </c>
      <c r="X375" s="2">
        <f>IF(ISERROR($B$375),"",IF(ISBLANK($B$375),"",$B$375))</f>
        <v/>
      </c>
      <c r="Y375" s="2">
        <f>IF(ISERROR($C$375),"",IF(ISBLANK($C$375),"",$C$375))</f>
        <v/>
      </c>
      <c r="Z375" s="2">
        <f>IF(ISERROR($D$375),"",IF(ISBLANK($D$375),"",$D$375))</f>
        <v/>
      </c>
      <c r="AA375" s="2">
        <f>IF(ISERROR($E$375),"",IF(ISBLANK($E$375),"",$E$375))</f>
        <v/>
      </c>
      <c r="AB375" s="2">
        <f>IF(ISERROR($F$375),"",IF(ISBLANK($F$375),"",$F$375))</f>
        <v/>
      </c>
      <c r="AC375" s="2">
        <f>IF(ISERROR($G$375),"",IF(ISBLANK($G$375),"",$G$375))</f>
        <v/>
      </c>
      <c r="AD375" s="2">
        <f>IF(ISERROR($H$375),"",IF(ISBLANK($H$375),"",$H$375))</f>
        <v/>
      </c>
      <c r="AE375" s="2">
        <f>IF(ISERROR($I$375),"",IF(ISBLANK($I$375),"",$I$375))</f>
        <v/>
      </c>
      <c r="AF375" s="2">
        <f>IF(ISERROR($J$375),"",IF(ISBLANK($J$375),"",$J$375))</f>
        <v/>
      </c>
      <c r="AG375" s="2">
        <f>ISERROR($B$375)*1+ISERROR($C$375)*1+ISERROR($D$375)*1+ISERROR($E$375)*1+ISERROR($F$375)*1+ISERROR($G$375)*1+ISERROR($H$375)*1+ISERROR($I$375)*1+ISERROR($J$375)*1</f>
        <v/>
      </c>
    </row>
    <row r="376" ht="26" customHeight="1">
      <c r="B376" s="35" t="inlineStr">
        <is>
          <t>agiota da doca</t>
        </is>
      </c>
      <c r="C376" s="29" t="inlineStr">
        <is>
          <t>marcas antigas de Fragmentum nos braços</t>
        </is>
      </c>
      <c r="D376" s="29" t="inlineStr">
        <is>
          <t>tímido que se solta depois do segundo copo</t>
        </is>
      </c>
      <c r="E376" s="29" t="inlineStr">
        <is>
          <t>ficar rico depressa</t>
        </is>
      </c>
      <c r="F376" s="29" t="inlineStr">
        <is>
          <t>esconde um Intellitron foragido</t>
        </is>
      </c>
      <c r="G376" s="29" t="inlineStr">
        <is>
          <t>voz grave e lenta como um sino</t>
        </is>
      </c>
      <c r="H376" s="29" t="n"/>
      <c r="I376" s="29" t="n"/>
      <c r="J376" s="29" t="inlineStr">
        <is>
          <t>pede que o grupo investigue um sumiço no bairro</t>
        </is>
      </c>
      <c r="K376" s="19">
        <f>IF(AG376&gt;0,"O Google leu como fórmula: digite de novo com ' na frente.","")</f>
        <v/>
      </c>
      <c r="N376" s="2">
        <f>N375+IF(LEN($X$376)&gt;0,1,0)</f>
        <v/>
      </c>
      <c r="O376" s="2">
        <f>O375+IF(LEN($Y$376)&gt;0,1,0)</f>
        <v/>
      </c>
      <c r="P376" s="2">
        <f>P375+IF(LEN($Z$376)&gt;0,1,0)</f>
        <v/>
      </c>
      <c r="Q376" s="2">
        <f>Q375+IF(LEN($AA$376)&gt;0,1,0)</f>
        <v/>
      </c>
      <c r="R376" s="2">
        <f>R375+IF(LEN($AB$376)&gt;0,1,0)</f>
        <v/>
      </c>
      <c r="S376" s="2">
        <f>S375+IF(LEN($AC$376)&gt;0,1,0)</f>
        <v/>
      </c>
      <c r="T376" s="2">
        <f>T375+IF(LEN($AD$376)&gt;0,1,0)</f>
        <v/>
      </c>
      <c r="U376" s="2">
        <f>U375+IF(LEN($AE$376)&gt;0,1,0)</f>
        <v/>
      </c>
      <c r="V376" s="2">
        <f>V375+IF(LEN($AF$376)&gt;0,1,0)</f>
        <v/>
      </c>
      <c r="X376" s="2">
        <f>IF(ISERROR($B$376),"",IF(ISBLANK($B$376),"",$B$376))</f>
        <v/>
      </c>
      <c r="Y376" s="2">
        <f>IF(ISERROR($C$376),"",IF(ISBLANK($C$376),"",$C$376))</f>
        <v/>
      </c>
      <c r="Z376" s="2">
        <f>IF(ISERROR($D$376),"",IF(ISBLANK($D$376),"",$D$376))</f>
        <v/>
      </c>
      <c r="AA376" s="2">
        <f>IF(ISERROR($E$376),"",IF(ISBLANK($E$376),"",$E$376))</f>
        <v/>
      </c>
      <c r="AB376" s="2">
        <f>IF(ISERROR($F$376),"",IF(ISBLANK($F$376),"",$F$376))</f>
        <v/>
      </c>
      <c r="AC376" s="2">
        <f>IF(ISERROR($G$376),"",IF(ISBLANK($G$376),"",$G$376))</f>
        <v/>
      </c>
      <c r="AD376" s="2">
        <f>IF(ISERROR($H$376),"",IF(ISBLANK($H$376),"",$H$376))</f>
        <v/>
      </c>
      <c r="AE376" s="2">
        <f>IF(ISERROR($I$376),"",IF(ISBLANK($I$376),"",$I$376))</f>
        <v/>
      </c>
      <c r="AF376" s="2">
        <f>IF(ISERROR($J$376),"",IF(ISBLANK($J$376),"",$J$376))</f>
        <v/>
      </c>
      <c r="AG376" s="2">
        <f>ISERROR($B$376)*1+ISERROR($C$376)*1+ISERROR($D$376)*1+ISERROR($E$376)*1+ISERROR($F$376)*1+ISERROR($G$376)*1+ISERROR($H$376)*1+ISERROR($I$376)*1+ISERROR($J$376)*1</f>
        <v/>
      </c>
    </row>
    <row r="377" ht="26" customHeight="1">
      <c r="B377" s="33" t="inlineStr">
        <is>
          <t>técnico de comunicações</t>
        </is>
      </c>
      <c r="C377" s="4" t="inlineStr">
        <is>
          <t>colar de dentes de criatura</t>
        </is>
      </c>
      <c r="D377" s="4" t="inlineStr">
        <is>
          <t>competitivo em tudo</t>
        </is>
      </c>
      <c r="E377" s="4" t="inlineStr">
        <is>
          <t>manter a filha longe da guerra</t>
        </is>
      </c>
      <c r="F377" s="4" t="inlineStr">
        <is>
          <t>ama alguém do lado inimigo</t>
        </is>
      </c>
      <c r="G377" s="4" t="inlineStr">
        <is>
          <t>risada alta e contagiante</t>
        </is>
      </c>
      <c r="H377" s="4" t="n"/>
      <c r="I377" s="4" t="n"/>
      <c r="J377" s="4" t="inlineStr">
        <is>
          <t>oferece trabalho numa mina que ninguém mais aceita</t>
        </is>
      </c>
      <c r="K377" s="19">
        <f>IF(AG377&gt;0,"O Google leu como fórmula: digite de novo com ' na frente.","")</f>
        <v/>
      </c>
      <c r="N377" s="2">
        <f>N376+IF(LEN($X$377)&gt;0,1,0)</f>
        <v/>
      </c>
      <c r="O377" s="2">
        <f>O376+IF(LEN($Y$377)&gt;0,1,0)</f>
        <v/>
      </c>
      <c r="P377" s="2">
        <f>P376+IF(LEN($Z$377)&gt;0,1,0)</f>
        <v/>
      </c>
      <c r="Q377" s="2">
        <f>Q376+IF(LEN($AA$377)&gt;0,1,0)</f>
        <v/>
      </c>
      <c r="R377" s="2">
        <f>R376+IF(LEN($AB$377)&gt;0,1,0)</f>
        <v/>
      </c>
      <c r="S377" s="2">
        <f>S376+IF(LEN($AC$377)&gt;0,1,0)</f>
        <v/>
      </c>
      <c r="T377" s="2">
        <f>T376+IF(LEN($AD$377)&gt;0,1,0)</f>
        <v/>
      </c>
      <c r="U377" s="2">
        <f>U376+IF(LEN($AE$377)&gt;0,1,0)</f>
        <v/>
      </c>
      <c r="V377" s="2">
        <f>V376+IF(LEN($AF$377)&gt;0,1,0)</f>
        <v/>
      </c>
      <c r="X377" s="2">
        <f>IF(ISERROR($B$377),"",IF(ISBLANK($B$377),"",$B$377))</f>
        <v/>
      </c>
      <c r="Y377" s="2">
        <f>IF(ISERROR($C$377),"",IF(ISBLANK($C$377),"",$C$377))</f>
        <v/>
      </c>
      <c r="Z377" s="2">
        <f>IF(ISERROR($D$377),"",IF(ISBLANK($D$377),"",$D$377))</f>
        <v/>
      </c>
      <c r="AA377" s="2">
        <f>IF(ISERROR($E$377),"",IF(ISBLANK($E$377),"",$E$377))</f>
        <v/>
      </c>
      <c r="AB377" s="2">
        <f>IF(ISERROR($F$377),"",IF(ISBLANK($F$377),"",$F$377))</f>
        <v/>
      </c>
      <c r="AC377" s="2">
        <f>IF(ISERROR($G$377),"",IF(ISBLANK($G$377),"",$G$377))</f>
        <v/>
      </c>
      <c r="AD377" s="2">
        <f>IF(ISERROR($H$377),"",IF(ISBLANK($H$377),"",$H$377))</f>
        <v/>
      </c>
      <c r="AE377" s="2">
        <f>IF(ISERROR($I$377),"",IF(ISBLANK($I$377),"",$I$377))</f>
        <v/>
      </c>
      <c r="AF377" s="2">
        <f>IF(ISERROR($J$377),"",IF(ISBLANK($J$377),"",$J$377))</f>
        <v/>
      </c>
      <c r="AG377" s="2">
        <f>ISERROR($B$377)*1+ISERROR($C$377)*1+ISERROR($D$377)*1+ISERROR($E$377)*1+ISERROR($F$377)*1+ISERROR($G$377)*1+ISERROR($H$377)*1+ISERROR($I$377)*1+ISERROR($J$377)*1</f>
        <v/>
      </c>
    </row>
    <row r="378" ht="26" customHeight="1">
      <c r="B378" s="35" t="inlineStr">
        <is>
          <t>apostador profissional</t>
        </is>
      </c>
      <c r="C378" s="29" t="inlineStr">
        <is>
          <t>uniforme de uma empresa que faliu</t>
        </is>
      </c>
      <c r="D378" s="29" t="inlineStr">
        <is>
          <t>melancólico, vive no passado</t>
        </is>
      </c>
      <c r="E378" s="29" t="inlineStr">
        <is>
          <t>recuperar um objeto roubado</t>
        </is>
      </c>
      <c r="F378" s="29" t="inlineStr">
        <is>
          <t>sabotou a nave que trouxe o grupo</t>
        </is>
      </c>
      <c r="G378" s="29" t="inlineStr">
        <is>
          <t>conversa com as próprias máquinas</t>
        </is>
      </c>
      <c r="H378" s="29" t="n"/>
      <c r="I378" s="29" t="n"/>
      <c r="J378" s="29" t="inlineStr">
        <is>
          <t>precisa de ajuda para enterrar um amigo com dignidade</t>
        </is>
      </c>
      <c r="K378" s="19">
        <f>IF(AG378&gt;0,"O Google leu como fórmula: digite de novo com ' na frente.","")</f>
        <v/>
      </c>
      <c r="N378" s="2">
        <f>N377+IF(LEN($X$378)&gt;0,1,0)</f>
        <v/>
      </c>
      <c r="O378" s="2">
        <f>O377+IF(LEN($Y$378)&gt;0,1,0)</f>
        <v/>
      </c>
      <c r="P378" s="2">
        <f>P377+IF(LEN($Z$378)&gt;0,1,0)</f>
        <v/>
      </c>
      <c r="Q378" s="2">
        <f>Q377+IF(LEN($AA$378)&gt;0,1,0)</f>
        <v/>
      </c>
      <c r="R378" s="2">
        <f>R377+IF(LEN($AB$378)&gt;0,1,0)</f>
        <v/>
      </c>
      <c r="S378" s="2">
        <f>S377+IF(LEN($AC$378)&gt;0,1,0)</f>
        <v/>
      </c>
      <c r="T378" s="2">
        <f>T377+IF(LEN($AD$378)&gt;0,1,0)</f>
        <v/>
      </c>
      <c r="U378" s="2">
        <f>U377+IF(LEN($AE$378)&gt;0,1,0)</f>
        <v/>
      </c>
      <c r="V378" s="2">
        <f>V377+IF(LEN($AF$378)&gt;0,1,0)</f>
        <v/>
      </c>
      <c r="X378" s="2">
        <f>IF(ISERROR($B$378),"",IF(ISBLANK($B$378),"",$B$378))</f>
        <v/>
      </c>
      <c r="Y378" s="2">
        <f>IF(ISERROR($C$378),"",IF(ISBLANK($C$378),"",$C$378))</f>
        <v/>
      </c>
      <c r="Z378" s="2">
        <f>IF(ISERROR($D$378),"",IF(ISBLANK($D$378),"",$D$378))</f>
        <v/>
      </c>
      <c r="AA378" s="2">
        <f>IF(ISERROR($E$378),"",IF(ISBLANK($E$378),"",$E$378))</f>
        <v/>
      </c>
      <c r="AB378" s="2">
        <f>IF(ISERROR($F$378),"",IF(ISBLANK($F$378),"",$F$378))</f>
        <v/>
      </c>
      <c r="AC378" s="2">
        <f>IF(ISERROR($G$378),"",IF(ISBLANK($G$378),"",$G$378))</f>
        <v/>
      </c>
      <c r="AD378" s="2">
        <f>IF(ISERROR($H$378),"",IF(ISBLANK($H$378),"",$H$378))</f>
        <v/>
      </c>
      <c r="AE378" s="2">
        <f>IF(ISERROR($I$378),"",IF(ISBLANK($I$378),"",$I$378))</f>
        <v/>
      </c>
      <c r="AF378" s="2">
        <f>IF(ISERROR($J$378),"",IF(ISBLANK($J$378),"",$J$378))</f>
        <v/>
      </c>
      <c r="AG378" s="2">
        <f>ISERROR($B$378)*1+ISERROR($C$378)*1+ISERROR($D$378)*1+ISERROR($E$378)*1+ISERROR($F$378)*1+ISERROR($G$378)*1+ISERROR($H$378)*1+ISERROR($I$378)*1+ISERROR($J$378)*1</f>
        <v/>
      </c>
    </row>
    <row r="379" ht="26" customHeight="1">
      <c r="B379" s="33" t="inlineStr">
        <is>
          <t>artesão de próteses</t>
        </is>
      </c>
      <c r="C379" s="4" t="inlineStr">
        <is>
          <t>chapéu de aba larga</t>
        </is>
      </c>
      <c r="D379" s="4" t="inlineStr">
        <is>
          <t>protetor com quem considera família</t>
        </is>
      </c>
      <c r="E379" s="4" t="inlineStr">
        <is>
          <t>ganhar o respeito do pai</t>
        </is>
      </c>
      <c r="F379" s="4" t="inlineStr">
        <is>
          <t>é herdeiro de uma fortuna que não quer</t>
        </is>
      </c>
      <c r="G379" s="4" t="inlineStr">
        <is>
          <t>corrige a gramática dos outros</t>
        </is>
      </c>
      <c r="H379" s="4" t="n"/>
      <c r="I379" s="4" t="n"/>
      <c r="J379" s="4" t="inlineStr">
        <is>
          <t>quer que o grupo devolva algo que ele mesmo roubou</t>
        </is>
      </c>
      <c r="K379" s="19">
        <f>IF(AG379&gt;0,"O Google leu como fórmula: digite de novo com ' na frente.","")</f>
        <v/>
      </c>
      <c r="N379" s="2">
        <f>N378+IF(LEN($X$379)&gt;0,1,0)</f>
        <v/>
      </c>
      <c r="O379" s="2">
        <f>O378+IF(LEN($Y$379)&gt;0,1,0)</f>
        <v/>
      </c>
      <c r="P379" s="2">
        <f>P378+IF(LEN($Z$379)&gt;0,1,0)</f>
        <v/>
      </c>
      <c r="Q379" s="2">
        <f>Q378+IF(LEN($AA$379)&gt;0,1,0)</f>
        <v/>
      </c>
      <c r="R379" s="2">
        <f>R378+IF(LEN($AB$379)&gt;0,1,0)</f>
        <v/>
      </c>
      <c r="S379" s="2">
        <f>S378+IF(LEN($AC$379)&gt;0,1,0)</f>
        <v/>
      </c>
      <c r="T379" s="2">
        <f>T378+IF(LEN($AD$379)&gt;0,1,0)</f>
        <v/>
      </c>
      <c r="U379" s="2">
        <f>U378+IF(LEN($AE$379)&gt;0,1,0)</f>
        <v/>
      </c>
      <c r="V379" s="2">
        <f>V378+IF(LEN($AF$379)&gt;0,1,0)</f>
        <v/>
      </c>
      <c r="X379" s="2">
        <f>IF(ISERROR($B$379),"",IF(ISBLANK($B$379),"",$B$379))</f>
        <v/>
      </c>
      <c r="Y379" s="2">
        <f>IF(ISERROR($C$379),"",IF(ISBLANK($C$379),"",$C$379))</f>
        <v/>
      </c>
      <c r="Z379" s="2">
        <f>IF(ISERROR($D$379),"",IF(ISBLANK($D$379),"",$D$379))</f>
        <v/>
      </c>
      <c r="AA379" s="2">
        <f>IF(ISERROR($E$379),"",IF(ISBLANK($E$379),"",$E$379))</f>
        <v/>
      </c>
      <c r="AB379" s="2">
        <f>IF(ISERROR($F$379),"",IF(ISBLANK($F$379),"",$F$379))</f>
        <v/>
      </c>
      <c r="AC379" s="2">
        <f>IF(ISERROR($G$379),"",IF(ISBLANK($G$379),"",$G$379))</f>
        <v/>
      </c>
      <c r="AD379" s="2">
        <f>IF(ISERROR($H$379),"",IF(ISBLANK($H$379),"",$H$379))</f>
        <v/>
      </c>
      <c r="AE379" s="2">
        <f>IF(ISERROR($I$379),"",IF(ISBLANK($I$379),"",$I$379))</f>
        <v/>
      </c>
      <c r="AF379" s="2">
        <f>IF(ISERROR($J$379),"",IF(ISBLANK($J$379),"",$J$379))</f>
        <v/>
      </c>
      <c r="AG379" s="2">
        <f>ISERROR($B$379)*1+ISERROR($C$379)*1+ISERROR($D$379)*1+ISERROR($E$379)*1+ISERROR($F$379)*1+ISERROR($G$379)*1+ISERROR($H$379)*1+ISERROR($I$379)*1+ISERROR($J$379)*1</f>
        <v/>
      </c>
    </row>
    <row r="380" ht="26" customHeight="1">
      <c r="B380" s="35" t="inlineStr">
        <is>
          <t>colecionador de antiguidades falsas</t>
        </is>
      </c>
      <c r="C380" s="29" t="inlineStr">
        <is>
          <t>unhas pintadas de dourado</t>
        </is>
      </c>
      <c r="D380" s="29" t="inlineStr">
        <is>
          <t>preguiçoso, mas brilhante</t>
        </is>
      </c>
      <c r="E380" s="29" t="inlineStr">
        <is>
          <t>fugir de um contrato</t>
        </is>
      </c>
      <c r="F380" s="29" t="inlineStr">
        <is>
          <t>assinou uma apólice sobre a própria vida</t>
        </is>
      </c>
      <c r="G380" s="29" t="inlineStr">
        <is>
          <t>estala a língua quando discorda</t>
        </is>
      </c>
      <c r="H380" s="29" t="n"/>
      <c r="I380" s="29" t="n"/>
      <c r="J380" s="29" t="inlineStr">
        <is>
          <t>sabe quem está seguindo o grupo</t>
        </is>
      </c>
      <c r="K380" s="19">
        <f>IF(AG380&gt;0,"O Google leu como fórmula: digite de novo com ' na frente.","")</f>
        <v/>
      </c>
      <c r="N380" s="2">
        <f>N379+IF(LEN($X$380)&gt;0,1,0)</f>
        <v/>
      </c>
      <c r="O380" s="2">
        <f>O379+IF(LEN($Y$380)&gt;0,1,0)</f>
        <v/>
      </c>
      <c r="P380" s="2">
        <f>P379+IF(LEN($Z$380)&gt;0,1,0)</f>
        <v/>
      </c>
      <c r="Q380" s="2">
        <f>Q379+IF(LEN($AA$380)&gt;0,1,0)</f>
        <v/>
      </c>
      <c r="R380" s="2">
        <f>R379+IF(LEN($AB$380)&gt;0,1,0)</f>
        <v/>
      </c>
      <c r="S380" s="2">
        <f>S379+IF(LEN($AC$380)&gt;0,1,0)</f>
        <v/>
      </c>
      <c r="T380" s="2">
        <f>T379+IF(LEN($AD$380)&gt;0,1,0)</f>
        <v/>
      </c>
      <c r="U380" s="2">
        <f>U379+IF(LEN($AE$380)&gt;0,1,0)</f>
        <v/>
      </c>
      <c r="V380" s="2">
        <f>V379+IF(LEN($AF$380)&gt;0,1,0)</f>
        <v/>
      </c>
      <c r="X380" s="2">
        <f>IF(ISERROR($B$380),"",IF(ISBLANK($B$380),"",$B$380))</f>
        <v/>
      </c>
      <c r="Y380" s="2">
        <f>IF(ISERROR($C$380),"",IF(ISBLANK($C$380),"",$C$380))</f>
        <v/>
      </c>
      <c r="Z380" s="2">
        <f>IF(ISERROR($D$380),"",IF(ISBLANK($D$380),"",$D$380))</f>
        <v/>
      </c>
      <c r="AA380" s="2">
        <f>IF(ISERROR($E$380),"",IF(ISBLANK($E$380),"",$E$380))</f>
        <v/>
      </c>
      <c r="AB380" s="2">
        <f>IF(ISERROR($F$380),"",IF(ISBLANK($F$380),"",$F$380))</f>
        <v/>
      </c>
      <c r="AC380" s="2">
        <f>IF(ISERROR($G$380),"",IF(ISBLANK($G$380),"",$G$380))</f>
        <v/>
      </c>
      <c r="AD380" s="2">
        <f>IF(ISERROR($H$380),"",IF(ISBLANK($H$380),"",$H$380))</f>
        <v/>
      </c>
      <c r="AE380" s="2">
        <f>IF(ISERROR($I$380),"",IF(ISBLANK($I$380),"",$I$380))</f>
        <v/>
      </c>
      <c r="AF380" s="2">
        <f>IF(ISERROR($J$380),"",IF(ISBLANK($J$380),"",$J$380))</f>
        <v/>
      </c>
      <c r="AG380" s="2">
        <f>ISERROR($B$380)*1+ISERROR($C$380)*1+ISERROR($D$380)*1+ISERROR($E$380)*1+ISERROR($F$380)*1+ISERROR($G$380)*1+ISERROR($H$380)*1+ISERROR($I$380)*1+ISERROR($J$380)*1</f>
        <v/>
      </c>
    </row>
    <row r="381" ht="26" customHeight="1">
      <c r="B381" s="33" t="inlineStr">
        <is>
          <t>mensageiro</t>
        </is>
      </c>
      <c r="C381" s="4" t="inlineStr">
        <is>
          <t>cabelos brancos muito cedo</t>
        </is>
      </c>
      <c r="D381" s="4" t="inlineStr">
        <is>
          <t>pragmático: tudo tem preço</t>
        </is>
      </c>
      <c r="E381" s="4" t="inlineStr">
        <is>
          <t>entender um sonho que se repete</t>
        </is>
      </c>
      <c r="F381" s="4" t="inlineStr">
        <is>
          <t>já viu o Expresso Astral antes</t>
        </is>
      </c>
      <c r="G381" s="4" t="inlineStr">
        <is>
          <t>está sempre mastigando alguma coisa</t>
        </is>
      </c>
      <c r="H381" s="4" t="n"/>
      <c r="I381" s="4" t="n"/>
      <c r="J381" s="4" t="inlineStr">
        <is>
          <t>propõe sociedade num negócio arriscado</t>
        </is>
      </c>
      <c r="K381" s="19">
        <f>IF(AG381&gt;0,"O Google leu como fórmula: digite de novo com ' na frente.","")</f>
        <v/>
      </c>
      <c r="N381" s="2">
        <f>N380+IF(LEN($X$381)&gt;0,1,0)</f>
        <v/>
      </c>
      <c r="O381" s="2">
        <f>O380+IF(LEN($Y$381)&gt;0,1,0)</f>
        <v/>
      </c>
      <c r="P381" s="2">
        <f>P380+IF(LEN($Z$381)&gt;0,1,0)</f>
        <v/>
      </c>
      <c r="Q381" s="2">
        <f>Q380+IF(LEN($AA$381)&gt;0,1,0)</f>
        <v/>
      </c>
      <c r="R381" s="2">
        <f>R380+IF(LEN($AB$381)&gt;0,1,0)</f>
        <v/>
      </c>
      <c r="S381" s="2">
        <f>S380+IF(LEN($AC$381)&gt;0,1,0)</f>
        <v/>
      </c>
      <c r="T381" s="2">
        <f>T380+IF(LEN($AD$381)&gt;0,1,0)</f>
        <v/>
      </c>
      <c r="U381" s="2">
        <f>U380+IF(LEN($AE$381)&gt;0,1,0)</f>
        <v/>
      </c>
      <c r="V381" s="2">
        <f>V380+IF(LEN($AF$381)&gt;0,1,0)</f>
        <v/>
      </c>
      <c r="X381" s="2">
        <f>IF(ISERROR($B$381),"",IF(ISBLANK($B$381),"",$B$381))</f>
        <v/>
      </c>
      <c r="Y381" s="2">
        <f>IF(ISERROR($C$381),"",IF(ISBLANK($C$381),"",$C$381))</f>
        <v/>
      </c>
      <c r="Z381" s="2">
        <f>IF(ISERROR($D$381),"",IF(ISBLANK($D$381),"",$D$381))</f>
        <v/>
      </c>
      <c r="AA381" s="2">
        <f>IF(ISERROR($E$381),"",IF(ISBLANK($E$381),"",$E$381))</f>
        <v/>
      </c>
      <c r="AB381" s="2">
        <f>IF(ISERROR($F$381),"",IF(ISBLANK($F$381),"",$F$381))</f>
        <v/>
      </c>
      <c r="AC381" s="2">
        <f>IF(ISERROR($G$381),"",IF(ISBLANK($G$381),"",$G$381))</f>
        <v/>
      </c>
      <c r="AD381" s="2">
        <f>IF(ISERROR($H$381),"",IF(ISBLANK($H$381),"",$H$381))</f>
        <v/>
      </c>
      <c r="AE381" s="2">
        <f>IF(ISERROR($I$381),"",IF(ISBLANK($I$381),"",$I$381))</f>
        <v/>
      </c>
      <c r="AF381" s="2">
        <f>IF(ISERROR($J$381),"",IF(ISBLANK($J$381),"",$J$381))</f>
        <v/>
      </c>
      <c r="AG381" s="2">
        <f>ISERROR($B$381)*1+ISERROR($C$381)*1+ISERROR($D$381)*1+ISERROR($E$381)*1+ISERROR($F$381)*1+ISERROR($G$381)*1+ISERROR($H$381)*1+ISERROR($I$381)*1+ISERROR($J$381)*1</f>
        <v/>
      </c>
    </row>
    <row r="382" ht="26" customHeight="1">
      <c r="B382" s="35" t="inlineStr">
        <is>
          <t>guia turístico</t>
        </is>
      </c>
      <c r="C382" s="29" t="inlineStr">
        <is>
          <t>sorriso com um dente faltando</t>
        </is>
      </c>
      <c r="D382" s="29" t="inlineStr">
        <is>
          <t>devoto e tolerante</t>
        </is>
      </c>
      <c r="E382" s="29" t="inlineStr">
        <is>
          <t>ter uma noite de paz</t>
        </is>
      </c>
      <c r="F382" s="29" t="inlineStr">
        <is>
          <t>não sabe ler e disfarça</t>
        </is>
      </c>
      <c r="G382" s="29" t="inlineStr">
        <is>
          <t>coça a cicatriz quando fica nervoso</t>
        </is>
      </c>
      <c r="H382" s="29" t="n"/>
      <c r="I382" s="29" t="n"/>
      <c r="J382" s="29" t="inlineStr">
        <is>
          <t>pede ao grupo que apague um registro da Corporação</t>
        </is>
      </c>
      <c r="K382" s="19">
        <f>IF(AG382&gt;0,"O Google leu como fórmula: digite de novo com ' na frente.","")</f>
        <v/>
      </c>
      <c r="N382" s="2">
        <f>N381+IF(LEN($X$382)&gt;0,1,0)</f>
        <v/>
      </c>
      <c r="O382" s="2">
        <f>O381+IF(LEN($Y$382)&gt;0,1,0)</f>
        <v/>
      </c>
      <c r="P382" s="2">
        <f>P381+IF(LEN($Z$382)&gt;0,1,0)</f>
        <v/>
      </c>
      <c r="Q382" s="2">
        <f>Q381+IF(LEN($AA$382)&gt;0,1,0)</f>
        <v/>
      </c>
      <c r="R382" s="2">
        <f>R381+IF(LEN($AB$382)&gt;0,1,0)</f>
        <v/>
      </c>
      <c r="S382" s="2">
        <f>S381+IF(LEN($AC$382)&gt;0,1,0)</f>
        <v/>
      </c>
      <c r="T382" s="2">
        <f>T381+IF(LEN($AD$382)&gt;0,1,0)</f>
        <v/>
      </c>
      <c r="U382" s="2">
        <f>U381+IF(LEN($AE$382)&gt;0,1,0)</f>
        <v/>
      </c>
      <c r="V382" s="2">
        <f>V381+IF(LEN($AF$382)&gt;0,1,0)</f>
        <v/>
      </c>
      <c r="X382" s="2">
        <f>IF(ISERROR($B$382),"",IF(ISBLANK($B$382),"",$B$382))</f>
        <v/>
      </c>
      <c r="Y382" s="2">
        <f>IF(ISERROR($C$382),"",IF(ISBLANK($C$382),"",$C$382))</f>
        <v/>
      </c>
      <c r="Z382" s="2">
        <f>IF(ISERROR($D$382),"",IF(ISBLANK($D$382),"",$D$382))</f>
        <v/>
      </c>
      <c r="AA382" s="2">
        <f>IF(ISERROR($E$382),"",IF(ISBLANK($E$382),"",$E$382))</f>
        <v/>
      </c>
      <c r="AB382" s="2">
        <f>IF(ISERROR($F$382),"",IF(ISBLANK($F$382),"",$F$382))</f>
        <v/>
      </c>
      <c r="AC382" s="2">
        <f>IF(ISERROR($G$382),"",IF(ISBLANK($G$382),"",$G$382))</f>
        <v/>
      </c>
      <c r="AD382" s="2">
        <f>IF(ISERROR($H$382),"",IF(ISBLANK($H$382),"",$H$382))</f>
        <v/>
      </c>
      <c r="AE382" s="2">
        <f>IF(ISERROR($I$382),"",IF(ISBLANK($I$382),"",$I$382))</f>
        <v/>
      </c>
      <c r="AF382" s="2">
        <f>IF(ISERROR($J$382),"",IF(ISBLANK($J$382),"",$J$382))</f>
        <v/>
      </c>
      <c r="AG382" s="2">
        <f>ISERROR($B$382)*1+ISERROR($C$382)*1+ISERROR($D$382)*1+ISERROR($E$382)*1+ISERROR($F$382)*1+ISERROR($G$382)*1+ISERROR($H$382)*1+ISERROR($I$382)*1+ISERROR($J$382)*1</f>
        <v/>
      </c>
    </row>
    <row r="383" ht="26" customHeight="1">
      <c r="B383" s="33" t="inlineStr">
        <is>
          <t>segurança particular</t>
        </is>
      </c>
      <c r="C383" s="4" t="inlineStr">
        <is>
          <t>maquiagem de palco borrada</t>
        </is>
      </c>
      <c r="D383" s="4" t="inlineStr">
        <is>
          <t>sarcástico com quem manda</t>
        </is>
      </c>
      <c r="E383" s="4" t="inlineStr">
        <is>
          <t>expor uma injustiça</t>
        </is>
      </c>
      <c r="F383" s="4" t="inlineStr">
        <is>
          <t>planeja fugir esta noite</t>
        </is>
      </c>
      <c r="G383" s="4" t="inlineStr">
        <is>
          <t>fala em números e estatísticas</t>
        </is>
      </c>
      <c r="H383" s="4" t="n"/>
      <c r="I383" s="4" t="n"/>
      <c r="J383" s="4" t="inlineStr">
        <is>
          <t>está sendo chantageado e não sabe por quem</t>
        </is>
      </c>
      <c r="K383" s="19">
        <f>IF(AG383&gt;0,"O Google leu como fórmula: digite de novo com ' na frente.","")</f>
        <v/>
      </c>
      <c r="N383" s="2">
        <f>N382+IF(LEN($X$383)&gt;0,1,0)</f>
        <v/>
      </c>
      <c r="O383" s="2">
        <f>O382+IF(LEN($Y$383)&gt;0,1,0)</f>
        <v/>
      </c>
      <c r="P383" s="2">
        <f>P382+IF(LEN($Z$383)&gt;0,1,0)</f>
        <v/>
      </c>
      <c r="Q383" s="2">
        <f>Q382+IF(LEN($AA$383)&gt;0,1,0)</f>
        <v/>
      </c>
      <c r="R383" s="2">
        <f>R382+IF(LEN($AB$383)&gt;0,1,0)</f>
        <v/>
      </c>
      <c r="S383" s="2">
        <f>S382+IF(LEN($AC$383)&gt;0,1,0)</f>
        <v/>
      </c>
      <c r="T383" s="2">
        <f>T382+IF(LEN($AD$383)&gt;0,1,0)</f>
        <v/>
      </c>
      <c r="U383" s="2">
        <f>U382+IF(LEN($AE$383)&gt;0,1,0)</f>
        <v/>
      </c>
      <c r="V383" s="2">
        <f>V382+IF(LEN($AF$383)&gt;0,1,0)</f>
        <v/>
      </c>
      <c r="X383" s="2">
        <f>IF(ISERROR($B$383),"",IF(ISBLANK($B$383),"",$B$383))</f>
        <v/>
      </c>
      <c r="Y383" s="2">
        <f>IF(ISERROR($C$383),"",IF(ISBLANK($C$383),"",$C$383))</f>
        <v/>
      </c>
      <c r="Z383" s="2">
        <f>IF(ISERROR($D$383),"",IF(ISBLANK($D$383),"",$D$383))</f>
        <v/>
      </c>
      <c r="AA383" s="2">
        <f>IF(ISERROR($E$383),"",IF(ISBLANK($E$383),"",$E$383))</f>
        <v/>
      </c>
      <c r="AB383" s="2">
        <f>IF(ISERROR($F$383),"",IF(ISBLANK($F$383),"",$F$383))</f>
        <v/>
      </c>
      <c r="AC383" s="2">
        <f>IF(ISERROR($G$383),"",IF(ISBLANK($G$383),"",$G$383))</f>
        <v/>
      </c>
      <c r="AD383" s="2">
        <f>IF(ISERROR($H$383),"",IF(ISBLANK($H$383),"",$H$383))</f>
        <v/>
      </c>
      <c r="AE383" s="2">
        <f>IF(ISERROR($I$383),"",IF(ISBLANK($I$383),"",$I$383))</f>
        <v/>
      </c>
      <c r="AF383" s="2">
        <f>IF(ISERROR($J$383),"",IF(ISBLANK($J$383),"",$J$383))</f>
        <v/>
      </c>
      <c r="AG383" s="2">
        <f>ISERROR($B$383)*1+ISERROR($C$383)*1+ISERROR($D$383)*1+ISERROR($E$383)*1+ISERROR($F$383)*1+ISERROR($G$383)*1+ISERROR($H$383)*1+ISERROR($I$383)*1+ISERROR($J$383)*1</f>
        <v/>
      </c>
    </row>
    <row r="384" ht="15" customHeight="1">
      <c r="B384" s="8" t="inlineStr">
        <is>
          <t>Ocupação (NPC)</t>
        </is>
      </c>
      <c r="C384" s="8" t="inlineStr">
        <is>
          <t>Traço de aparência</t>
        </is>
      </c>
      <c r="D384" s="8" t="inlineStr">
        <is>
          <t>Personalidade</t>
        </is>
      </c>
      <c r="E384" s="8" t="inlineStr">
        <is>
          <t>Motivação (sem Caminho)</t>
        </is>
      </c>
      <c r="F384" s="8" t="inlineStr">
        <is>
          <t>Segredo</t>
        </is>
      </c>
      <c r="G384" s="8" t="inlineStr">
        <is>
          <t>Maneirismo e voz</t>
        </is>
      </c>
      <c r="H384" s="8" t="inlineStr">
        <is>
          <t>Caminho do NPC (peso)</t>
        </is>
      </c>
      <c r="I384" s="8" t="inlineStr">
        <is>
          <t>Atitude com o grupo</t>
        </is>
      </c>
      <c r="J384" s="8" t="inlineStr">
        <is>
          <t>Gancho do NPC</t>
        </is>
      </c>
      <c r="N384" s="2">
        <f>N383</f>
        <v/>
      </c>
      <c r="O384" s="2">
        <f>O383</f>
        <v/>
      </c>
      <c r="P384" s="2">
        <f>P383</f>
        <v/>
      </c>
      <c r="Q384" s="2">
        <f>Q383</f>
        <v/>
      </c>
      <c r="R384" s="2">
        <f>R383</f>
        <v/>
      </c>
      <c r="S384" s="2">
        <f>S383</f>
        <v/>
      </c>
      <c r="T384" s="2">
        <f>T383</f>
        <v/>
      </c>
      <c r="U384" s="2">
        <f>U383</f>
        <v/>
      </c>
      <c r="V384" s="2">
        <f>V383</f>
        <v/>
      </c>
      <c r="X384" s="2">
        <f>IF(ISERROR($B$384),"",IF(ISBLANK($B$384),"",$B$384))</f>
        <v/>
      </c>
      <c r="Y384" s="2">
        <f>IF(ISERROR($C$384),"",IF(ISBLANK($C$384),"",$C$384))</f>
        <v/>
      </c>
      <c r="Z384" s="2">
        <f>IF(ISERROR($D$384),"",IF(ISBLANK($D$384),"",$D$384))</f>
        <v/>
      </c>
      <c r="AA384" s="2">
        <f>IF(ISERROR($E$384),"",IF(ISBLANK($E$384),"",$E$384))</f>
        <v/>
      </c>
      <c r="AB384" s="2">
        <f>IF(ISERROR($F$384),"",IF(ISBLANK($F$384),"",$F$384))</f>
        <v/>
      </c>
      <c r="AC384" s="2">
        <f>IF(ISERROR($G$384),"",IF(ISBLANK($G$384),"",$G$384))</f>
        <v/>
      </c>
      <c r="AD384" s="2">
        <f>IF(ISERROR($H$384),"",IF(ISBLANK($H$384),"",$H$384))</f>
        <v/>
      </c>
      <c r="AE384" s="2">
        <f>IF(ISERROR($I$384),"",IF(ISBLANK($I$384),"",$I$384))</f>
        <v/>
      </c>
      <c r="AF384" s="2">
        <f>IF(ISERROR($J$384),"",IF(ISBLANK($J$384),"",$J$384))</f>
        <v/>
      </c>
    </row>
    <row r="385" ht="26" customHeight="1">
      <c r="B385" s="33" t="inlineStr">
        <is>
          <t>botânico de estufa orbital</t>
        </is>
      </c>
      <c r="C385" s="4" t="inlineStr">
        <is>
          <t>lenço que cobre metade do rosto</t>
        </is>
      </c>
      <c r="D385" s="4" t="inlineStr">
        <is>
          <t>ingênuo, acredita em quase tudo</t>
        </is>
      </c>
      <c r="E385" s="4" t="inlineStr">
        <is>
          <t>salvar um bairro da demolição</t>
        </is>
      </c>
      <c r="F385" s="4" t="inlineStr">
        <is>
          <t>guarda um mapa que leva a uma ruína</t>
        </is>
      </c>
      <c r="G385" s="4" t="inlineStr">
        <is>
          <t>sussurra nomes como se alguém escutasse</t>
        </is>
      </c>
      <c r="H385" s="4" t="n"/>
      <c r="I385" s="4" t="n"/>
      <c r="J385" s="4" t="inlineStr">
        <is>
          <t>quer conhecer o Expresso Astral por dentro</t>
        </is>
      </c>
      <c r="K385" s="19">
        <f>IF(AG385&gt;0,"O Google leu como fórmula: digite de novo com ' na frente.","")</f>
        <v/>
      </c>
      <c r="N385" s="2">
        <f>N384+IF(LEN($X$385)&gt;0,1,0)</f>
        <v/>
      </c>
      <c r="O385" s="2">
        <f>O384+IF(LEN($Y$385)&gt;0,1,0)</f>
        <v/>
      </c>
      <c r="P385" s="2">
        <f>P384+IF(LEN($Z$385)&gt;0,1,0)</f>
        <v/>
      </c>
      <c r="Q385" s="2">
        <f>Q384+IF(LEN($AA$385)&gt;0,1,0)</f>
        <v/>
      </c>
      <c r="R385" s="2">
        <f>R384+IF(LEN($AB$385)&gt;0,1,0)</f>
        <v/>
      </c>
      <c r="S385" s="2">
        <f>S384+IF(LEN($AC$385)&gt;0,1,0)</f>
        <v/>
      </c>
      <c r="T385" s="2">
        <f>T384+IF(LEN($AD$385)&gt;0,1,0)</f>
        <v/>
      </c>
      <c r="U385" s="2">
        <f>U384+IF(LEN($AE$385)&gt;0,1,0)</f>
        <v/>
      </c>
      <c r="V385" s="2">
        <f>V384+IF(LEN($AF$385)&gt;0,1,0)</f>
        <v/>
      </c>
      <c r="X385" s="2">
        <f>IF(ISERROR($B$385),"",IF(ISBLANK($B$385),"",$B$385))</f>
        <v/>
      </c>
      <c r="Y385" s="2">
        <f>IF(ISERROR($C$385),"",IF(ISBLANK($C$385),"",$C$385))</f>
        <v/>
      </c>
      <c r="Z385" s="2">
        <f>IF(ISERROR($D$385),"",IF(ISBLANK($D$385),"",$D$385))</f>
        <v/>
      </c>
      <c r="AA385" s="2">
        <f>IF(ISERROR($E$385),"",IF(ISBLANK($E$385),"",$E$385))</f>
        <v/>
      </c>
      <c r="AB385" s="2">
        <f>IF(ISERROR($F$385),"",IF(ISBLANK($F$385),"",$F$385))</f>
        <v/>
      </c>
      <c r="AC385" s="2">
        <f>IF(ISERROR($G$385),"",IF(ISBLANK($G$385),"",$G$385))</f>
        <v/>
      </c>
      <c r="AD385" s="2">
        <f>IF(ISERROR($H$385),"",IF(ISBLANK($H$385),"",$H$385))</f>
        <v/>
      </c>
      <c r="AE385" s="2">
        <f>IF(ISERROR($I$385),"",IF(ISBLANK($I$385),"",$I$385))</f>
        <v/>
      </c>
      <c r="AF385" s="2">
        <f>IF(ISERROR($J$385),"",IF(ISBLANK($J$385),"",$J$385))</f>
        <v/>
      </c>
      <c r="AG385" s="2">
        <f>ISERROR($B$385)*1+ISERROR($C$385)*1+ISERROR($D$385)*1+ISERROR($E$385)*1+ISERROR($F$385)*1+ISERROR($G$385)*1+ISERROR($H$385)*1+ISERROR($I$385)*1+ISERROR($J$385)*1</f>
        <v/>
      </c>
    </row>
    <row r="386" ht="37" customHeight="1">
      <c r="B386" s="35" t="inlineStr">
        <is>
          <t>operador de guindaste</t>
        </is>
      </c>
      <c r="C386" s="29" t="inlineStr">
        <is>
          <t>pulseira de identificação de prisioneiro</t>
        </is>
      </c>
      <c r="D386" s="29" t="inlineStr">
        <is>
          <t>paranoico com escutas</t>
        </is>
      </c>
      <c r="E386" s="29" t="inlineStr">
        <is>
          <t>reconquistar um amor perdido</t>
        </is>
      </c>
      <c r="F386" s="29" t="inlineStr">
        <is>
          <t>fez um acordo com um Devoto do Silêncio</t>
        </is>
      </c>
      <c r="G386" s="29" t="inlineStr">
        <is>
          <t>usa títulos formais com todo mundo</t>
        </is>
      </c>
      <c r="H386" s="29" t="n"/>
      <c r="I386" s="29" t="n"/>
      <c r="J386" s="29" t="inlineStr">
        <is>
          <t>tem uma máquina que só funciona perto de um dos personagens</t>
        </is>
      </c>
      <c r="K386" s="19">
        <f>IF(AG386&gt;0,"O Google leu como fórmula: digite de novo com ' na frente.","")</f>
        <v/>
      </c>
      <c r="N386" s="2">
        <f>N385+IF(LEN($X$386)&gt;0,1,0)</f>
        <v/>
      </c>
      <c r="O386" s="2">
        <f>O385+IF(LEN($Y$386)&gt;0,1,0)</f>
        <v/>
      </c>
      <c r="P386" s="2">
        <f>P385+IF(LEN($Z$386)&gt;0,1,0)</f>
        <v/>
      </c>
      <c r="Q386" s="2">
        <f>Q385+IF(LEN($AA$386)&gt;0,1,0)</f>
        <v/>
      </c>
      <c r="R386" s="2">
        <f>R385+IF(LEN($AB$386)&gt;0,1,0)</f>
        <v/>
      </c>
      <c r="S386" s="2">
        <f>S385+IF(LEN($AC$386)&gt;0,1,0)</f>
        <v/>
      </c>
      <c r="T386" s="2">
        <f>T385+IF(LEN($AD$386)&gt;0,1,0)</f>
        <v/>
      </c>
      <c r="U386" s="2">
        <f>U385+IF(LEN($AE$386)&gt;0,1,0)</f>
        <v/>
      </c>
      <c r="V386" s="2">
        <f>V385+IF(LEN($AF$386)&gt;0,1,0)</f>
        <v/>
      </c>
      <c r="X386" s="2">
        <f>IF(ISERROR($B$386),"",IF(ISBLANK($B$386),"",$B$386))</f>
        <v/>
      </c>
      <c r="Y386" s="2">
        <f>IF(ISERROR($C$386),"",IF(ISBLANK($C$386),"",$C$386))</f>
        <v/>
      </c>
      <c r="Z386" s="2">
        <f>IF(ISERROR($D$386),"",IF(ISBLANK($D$386),"",$D$386))</f>
        <v/>
      </c>
      <c r="AA386" s="2">
        <f>IF(ISERROR($E$386),"",IF(ISBLANK($E$386),"",$E$386))</f>
        <v/>
      </c>
      <c r="AB386" s="2">
        <f>IF(ISERROR($F$386),"",IF(ISBLANK($F$386),"",$F$386))</f>
        <v/>
      </c>
      <c r="AC386" s="2">
        <f>IF(ISERROR($G$386),"",IF(ISBLANK($G$386),"",$G$386))</f>
        <v/>
      </c>
      <c r="AD386" s="2">
        <f>IF(ISERROR($H$386),"",IF(ISBLANK($H$386),"",$H$386))</f>
        <v/>
      </c>
      <c r="AE386" s="2">
        <f>IF(ISERROR($I$386),"",IF(ISBLANK($I$386),"",$I$386))</f>
        <v/>
      </c>
      <c r="AF386" s="2">
        <f>IF(ISERROR($J$386),"",IF(ISBLANK($J$386),"",$J$386))</f>
        <v/>
      </c>
      <c r="AG386" s="2">
        <f>ISERROR($B$386)*1+ISERROR($C$386)*1+ISERROR($D$386)*1+ISERROR($E$386)*1+ISERROR($F$386)*1+ISERROR($G$386)*1+ISERROR($H$386)*1+ISERROR($I$386)*1+ISERROR($J$386)*1</f>
        <v/>
      </c>
    </row>
    <row r="387" ht="26" customHeight="1">
      <c r="B387" s="33" t="inlineStr">
        <is>
          <t>fiscal da Corporação</t>
        </is>
      </c>
      <c r="C387" s="4" t="inlineStr">
        <is>
          <t>muito alto e curvado</t>
        </is>
      </c>
      <c r="D387" s="4" t="inlineStr">
        <is>
          <t>educado demais para dizer não</t>
        </is>
      </c>
      <c r="E387" s="4" t="inlineStr">
        <is>
          <t>sobreviver a mais um ciclo de trabalho</t>
        </is>
      </c>
      <c r="F387" s="4" t="inlineStr">
        <is>
          <t>tem uma doença que piora com o frio</t>
        </is>
      </c>
      <c r="G387" s="4" t="inlineStr">
        <is>
          <t>conta histórias que nunca terminam</t>
        </is>
      </c>
      <c r="H387" s="4" t="n"/>
      <c r="I387" s="4" t="n"/>
      <c r="J387" s="4" t="inlineStr">
        <is>
          <t>procura alguém para cuidar de uma criança por um dia</t>
        </is>
      </c>
      <c r="K387" s="19">
        <f>IF(AG387&gt;0,"O Google leu como fórmula: digite de novo com ' na frente.","")</f>
        <v/>
      </c>
      <c r="N387" s="2">
        <f>N386+IF(LEN($X$387)&gt;0,1,0)</f>
        <v/>
      </c>
      <c r="O387" s="2">
        <f>O386+IF(LEN($Y$387)&gt;0,1,0)</f>
        <v/>
      </c>
      <c r="P387" s="2">
        <f>P386+IF(LEN($Z$387)&gt;0,1,0)</f>
        <v/>
      </c>
      <c r="Q387" s="2">
        <f>Q386+IF(LEN($AA$387)&gt;0,1,0)</f>
        <v/>
      </c>
      <c r="R387" s="2">
        <f>R386+IF(LEN($AB$387)&gt;0,1,0)</f>
        <v/>
      </c>
      <c r="S387" s="2">
        <f>S386+IF(LEN($AC$387)&gt;0,1,0)</f>
        <v/>
      </c>
      <c r="T387" s="2">
        <f>T386+IF(LEN($AD$387)&gt;0,1,0)</f>
        <v/>
      </c>
      <c r="U387" s="2">
        <f>U386+IF(LEN($AE$387)&gt;0,1,0)</f>
        <v/>
      </c>
      <c r="V387" s="2">
        <f>V386+IF(LEN($AF$387)&gt;0,1,0)</f>
        <v/>
      </c>
      <c r="X387" s="2">
        <f>IF(ISERROR($B$387),"",IF(ISBLANK($B$387),"",$B$387))</f>
        <v/>
      </c>
      <c r="Y387" s="2">
        <f>IF(ISERROR($C$387),"",IF(ISBLANK($C$387),"",$C$387))</f>
        <v/>
      </c>
      <c r="Z387" s="2">
        <f>IF(ISERROR($D$387),"",IF(ISBLANK($D$387),"",$D$387))</f>
        <v/>
      </c>
      <c r="AA387" s="2">
        <f>IF(ISERROR($E$387),"",IF(ISBLANK($E$387),"",$E$387))</f>
        <v/>
      </c>
      <c r="AB387" s="2">
        <f>IF(ISERROR($F$387),"",IF(ISBLANK($F$387),"",$F$387))</f>
        <v/>
      </c>
      <c r="AC387" s="2">
        <f>IF(ISERROR($G$387),"",IF(ISBLANK($G$387),"",$G$387))</f>
        <v/>
      </c>
      <c r="AD387" s="2">
        <f>IF(ISERROR($H$387),"",IF(ISBLANK($H$387),"",$H$387))</f>
        <v/>
      </c>
      <c r="AE387" s="2">
        <f>IF(ISERROR($I$387),"",IF(ISBLANK($I$387),"",$I$387))</f>
        <v/>
      </c>
      <c r="AF387" s="2">
        <f>IF(ISERROR($J$387),"",IF(ISBLANK($J$387),"",$J$387))</f>
        <v/>
      </c>
      <c r="AG387" s="2">
        <f>ISERROR($B$387)*1+ISERROR($C$387)*1+ISERROR($D$387)*1+ISERROR($E$387)*1+ISERROR($F$387)*1+ISERROR($G$387)*1+ISERROR($H$387)*1+ISERROR($I$387)*1+ISERROR($J$387)*1</f>
        <v/>
      </c>
    </row>
    <row r="388" ht="26" customHeight="1">
      <c r="B388" s="35" t="inlineStr">
        <is>
          <t>músico de rua</t>
        </is>
      </c>
      <c r="C388" s="29" t="inlineStr">
        <is>
          <t>baixo e largo como uma porta</t>
        </is>
      </c>
      <c r="D388" s="29" t="inlineStr">
        <is>
          <t>impulsivo, decide e depois pensa</t>
        </is>
      </c>
      <c r="E388" s="29" t="inlineStr">
        <is>
          <t>abrir a própria oficina</t>
        </is>
      </c>
      <c r="F388" s="29" t="inlineStr">
        <is>
          <t>é a única testemunha de um crime</t>
        </is>
      </c>
      <c r="G388" s="29" t="inlineStr">
        <is>
          <t>aponta com o queixo</t>
        </is>
      </c>
      <c r="H388" s="29" t="n"/>
      <c r="I388" s="29" t="n"/>
      <c r="J388" s="29" t="inlineStr">
        <is>
          <t>conta um rumor sobre um Stellaron perto dali</t>
        </is>
      </c>
      <c r="K388" s="19">
        <f>IF(AG388&gt;0,"O Google leu como fórmula: digite de novo com ' na frente.","")</f>
        <v/>
      </c>
      <c r="N388" s="2">
        <f>N387+IF(LEN($X$388)&gt;0,1,0)</f>
        <v/>
      </c>
      <c r="O388" s="2">
        <f>O387+IF(LEN($Y$388)&gt;0,1,0)</f>
        <v/>
      </c>
      <c r="P388" s="2">
        <f>P387+IF(LEN($Z$388)&gt;0,1,0)</f>
        <v/>
      </c>
      <c r="Q388" s="2">
        <f>Q387+IF(LEN($AA$388)&gt;0,1,0)</f>
        <v/>
      </c>
      <c r="R388" s="2">
        <f>R387+IF(LEN($AB$388)&gt;0,1,0)</f>
        <v/>
      </c>
      <c r="S388" s="2">
        <f>S387+IF(LEN($AC$388)&gt;0,1,0)</f>
        <v/>
      </c>
      <c r="T388" s="2">
        <f>T387+IF(LEN($AD$388)&gt;0,1,0)</f>
        <v/>
      </c>
      <c r="U388" s="2">
        <f>U387+IF(LEN($AE$388)&gt;0,1,0)</f>
        <v/>
      </c>
      <c r="V388" s="2">
        <f>V387+IF(LEN($AF$388)&gt;0,1,0)</f>
        <v/>
      </c>
      <c r="X388" s="2">
        <f>IF(ISERROR($B$388),"",IF(ISBLANK($B$388),"",$B$388))</f>
        <v/>
      </c>
      <c r="Y388" s="2">
        <f>IF(ISERROR($C$388),"",IF(ISBLANK($C$388),"",$C$388))</f>
        <v/>
      </c>
      <c r="Z388" s="2">
        <f>IF(ISERROR($D$388),"",IF(ISBLANK($D$388),"",$D$388))</f>
        <v/>
      </c>
      <c r="AA388" s="2">
        <f>IF(ISERROR($E$388),"",IF(ISBLANK($E$388),"",$E$388))</f>
        <v/>
      </c>
      <c r="AB388" s="2">
        <f>IF(ISERROR($F$388),"",IF(ISBLANK($F$388),"",$F$388))</f>
        <v/>
      </c>
      <c r="AC388" s="2">
        <f>IF(ISERROR($G$388),"",IF(ISBLANK($G$388),"",$G$388))</f>
        <v/>
      </c>
      <c r="AD388" s="2">
        <f>IF(ISERROR($H$388),"",IF(ISBLANK($H$388),"",$H$388))</f>
        <v/>
      </c>
      <c r="AE388" s="2">
        <f>IF(ISERROR($I$388),"",IF(ISBLANK($I$388),"",$I$388))</f>
        <v/>
      </c>
      <c r="AF388" s="2">
        <f>IF(ISERROR($J$388),"",IF(ISBLANK($J$388),"",$J$388))</f>
        <v/>
      </c>
      <c r="AG388" s="2">
        <f>ISERROR($B$388)*1+ISERROR($C$388)*1+ISERROR($D$388)*1+ISERROR($E$388)*1+ISERROR($F$388)*1+ISERROR($G$388)*1+ISERROR($H$388)*1+ISERROR($I$388)*1+ISERROR($J$388)*1</f>
        <v/>
      </c>
    </row>
    <row r="389" ht="26" customHeight="1">
      <c r="B389" s="33" t="inlineStr">
        <is>
          <t>ladrão de dados</t>
        </is>
      </c>
      <c r="C389" s="4" t="inlineStr">
        <is>
          <t>fios de luz tecidos no cabelo</t>
        </is>
      </c>
      <c r="D389" s="4" t="n"/>
      <c r="E389" s="4" t="n"/>
      <c r="F389" s="4" t="n"/>
      <c r="G389" s="4" t="n"/>
      <c r="H389" s="4" t="n"/>
      <c r="I389" s="4" t="n"/>
      <c r="J389" s="4" t="n"/>
      <c r="K389" s="19">
        <f>IF(AG389&gt;0,"O Google leu como fórmula: digite de novo com ' na frente.","")</f>
        <v/>
      </c>
      <c r="N389" s="2">
        <f>N388+IF(LEN($X$389)&gt;0,1,0)</f>
        <v/>
      </c>
      <c r="O389" s="2">
        <f>O388+IF(LEN($Y$389)&gt;0,1,0)</f>
        <v/>
      </c>
      <c r="P389" s="2">
        <f>P388+IF(LEN($Z$389)&gt;0,1,0)</f>
        <v/>
      </c>
      <c r="Q389" s="2">
        <f>Q388+IF(LEN($AA$389)&gt;0,1,0)</f>
        <v/>
      </c>
      <c r="R389" s="2">
        <f>R388+IF(LEN($AB$389)&gt;0,1,0)</f>
        <v/>
      </c>
      <c r="S389" s="2">
        <f>S388+IF(LEN($AC$389)&gt;0,1,0)</f>
        <v/>
      </c>
      <c r="T389" s="2">
        <f>T388+IF(LEN($AD$389)&gt;0,1,0)</f>
        <v/>
      </c>
      <c r="U389" s="2">
        <f>U388+IF(LEN($AE$389)&gt;0,1,0)</f>
        <v/>
      </c>
      <c r="V389" s="2">
        <f>V388+IF(LEN($AF$389)&gt;0,1,0)</f>
        <v/>
      </c>
      <c r="X389" s="2">
        <f>IF(ISERROR($B$389),"",IF(ISBLANK($B$389),"",$B$389))</f>
        <v/>
      </c>
      <c r="Y389" s="2">
        <f>IF(ISERROR($C$389),"",IF(ISBLANK($C$389),"",$C$389))</f>
        <v/>
      </c>
      <c r="Z389" s="2">
        <f>IF(ISERROR($D$389),"",IF(ISBLANK($D$389),"",$D$389))</f>
        <v/>
      </c>
      <c r="AA389" s="2">
        <f>IF(ISERROR($E$389),"",IF(ISBLANK($E$389),"",$E$389))</f>
        <v/>
      </c>
      <c r="AB389" s="2">
        <f>IF(ISERROR($F$389),"",IF(ISBLANK($F$389),"",$F$389))</f>
        <v/>
      </c>
      <c r="AC389" s="2">
        <f>IF(ISERROR($G$389),"",IF(ISBLANK($G$389),"",$G$389))</f>
        <v/>
      </c>
      <c r="AD389" s="2">
        <f>IF(ISERROR($H$389),"",IF(ISBLANK($H$389),"",$H$389))</f>
        <v/>
      </c>
      <c r="AE389" s="2">
        <f>IF(ISERROR($I$389),"",IF(ISBLANK($I$389),"",$I$389))</f>
        <v/>
      </c>
      <c r="AF389" s="2">
        <f>IF(ISERROR($J$389),"",IF(ISBLANK($J$389),"",$J$389))</f>
        <v/>
      </c>
      <c r="AG389" s="2">
        <f>ISERROR($B$389)*1+ISERROR($C$389)*1+ISERROR($D$389)*1+ISERROR($E$389)*1+ISERROR($F$389)*1+ISERROR($G$389)*1+ISERROR($H$389)*1+ISERROR($I$389)*1+ISERROR($J$389)*1</f>
        <v/>
      </c>
    </row>
    <row r="390" ht="26" customHeight="1">
      <c r="B390" s="35" t="inlineStr">
        <is>
          <t>corretor de seguros</t>
        </is>
      </c>
      <c r="C390" s="29" t="inlineStr">
        <is>
          <t>botas de mineiro gastas</t>
        </is>
      </c>
      <c r="D390" s="29" t="n"/>
      <c r="E390" s="29" t="n"/>
      <c r="F390" s="29" t="n"/>
      <c r="G390" s="29" t="n"/>
      <c r="H390" s="29" t="n"/>
      <c r="I390" s="29" t="n"/>
      <c r="J390" s="29" t="n"/>
      <c r="K390" s="19">
        <f>IF(AG390&gt;0,"O Google leu como fórmula: digite de novo com ' na frente.","")</f>
        <v/>
      </c>
      <c r="N390" s="2">
        <f>N389+IF(LEN($X$390)&gt;0,1,0)</f>
        <v/>
      </c>
      <c r="O390" s="2">
        <f>O389+IF(LEN($Y$390)&gt;0,1,0)</f>
        <v/>
      </c>
      <c r="P390" s="2">
        <f>P389+IF(LEN($Z$390)&gt;0,1,0)</f>
        <v/>
      </c>
      <c r="Q390" s="2">
        <f>Q389+IF(LEN($AA$390)&gt;0,1,0)</f>
        <v/>
      </c>
      <c r="R390" s="2">
        <f>R389+IF(LEN($AB$390)&gt;0,1,0)</f>
        <v/>
      </c>
      <c r="S390" s="2">
        <f>S389+IF(LEN($AC$390)&gt;0,1,0)</f>
        <v/>
      </c>
      <c r="T390" s="2">
        <f>T389+IF(LEN($AD$390)&gt;0,1,0)</f>
        <v/>
      </c>
      <c r="U390" s="2">
        <f>U389+IF(LEN($AE$390)&gt;0,1,0)</f>
        <v/>
      </c>
      <c r="V390" s="2">
        <f>V389+IF(LEN($AF$390)&gt;0,1,0)</f>
        <v/>
      </c>
      <c r="X390" s="2">
        <f>IF(ISERROR($B$390),"",IF(ISBLANK($B$390),"",$B$390))</f>
        <v/>
      </c>
      <c r="Y390" s="2">
        <f>IF(ISERROR($C$390),"",IF(ISBLANK($C$390),"",$C$390))</f>
        <v/>
      </c>
      <c r="Z390" s="2">
        <f>IF(ISERROR($D$390),"",IF(ISBLANK($D$390),"",$D$390))</f>
        <v/>
      </c>
      <c r="AA390" s="2">
        <f>IF(ISERROR($E$390),"",IF(ISBLANK($E$390),"",$E$390))</f>
        <v/>
      </c>
      <c r="AB390" s="2">
        <f>IF(ISERROR($F$390),"",IF(ISBLANK($F$390),"",$F$390))</f>
        <v/>
      </c>
      <c r="AC390" s="2">
        <f>IF(ISERROR($G$390),"",IF(ISBLANK($G$390),"",$G$390))</f>
        <v/>
      </c>
      <c r="AD390" s="2">
        <f>IF(ISERROR($H$390),"",IF(ISBLANK($H$390),"",$H$390))</f>
        <v/>
      </c>
      <c r="AE390" s="2">
        <f>IF(ISERROR($I$390),"",IF(ISBLANK($I$390),"",$I$390))</f>
        <v/>
      </c>
      <c r="AF390" s="2">
        <f>IF(ISERROR($J$390),"",IF(ISBLANK($J$390),"",$J$390))</f>
        <v/>
      </c>
      <c r="AG390" s="2">
        <f>ISERROR($B$390)*1+ISERROR($C$390)*1+ISERROR($D$390)*1+ISERROR($E$390)*1+ISERROR($F$390)*1+ISERROR($G$390)*1+ISERROR($H$390)*1+ISERROR($I$390)*1+ISERROR($J$390)*1</f>
        <v/>
      </c>
    </row>
    <row r="391" ht="26" customHeight="1">
      <c r="B391" s="33" t="inlineStr">
        <is>
          <t>enfermeiro de campanha</t>
        </is>
      </c>
      <c r="C391" s="4" t="inlineStr">
        <is>
          <t>medalha militar presa do lado errado</t>
        </is>
      </c>
      <c r="D391" s="4" t="n"/>
      <c r="E391" s="4" t="n"/>
      <c r="F391" s="4" t="n"/>
      <c r="G391" s="4" t="n"/>
      <c r="H391" s="4" t="n"/>
      <c r="I391" s="4" t="n"/>
      <c r="J391" s="4" t="n"/>
      <c r="K391" s="19">
        <f>IF(AG391&gt;0,"O Google leu como fórmula: digite de novo com ' na frente.","")</f>
        <v/>
      </c>
      <c r="N391" s="2">
        <f>N390+IF(LEN($X$391)&gt;0,1,0)</f>
        <v/>
      </c>
      <c r="O391" s="2">
        <f>O390+IF(LEN($Y$391)&gt;0,1,0)</f>
        <v/>
      </c>
      <c r="P391" s="2">
        <f>P390+IF(LEN($Z$391)&gt;0,1,0)</f>
        <v/>
      </c>
      <c r="Q391" s="2">
        <f>Q390+IF(LEN($AA$391)&gt;0,1,0)</f>
        <v/>
      </c>
      <c r="R391" s="2">
        <f>R390+IF(LEN($AB$391)&gt;0,1,0)</f>
        <v/>
      </c>
      <c r="S391" s="2">
        <f>S390+IF(LEN($AC$391)&gt;0,1,0)</f>
        <v/>
      </c>
      <c r="T391" s="2">
        <f>T390+IF(LEN($AD$391)&gt;0,1,0)</f>
        <v/>
      </c>
      <c r="U391" s="2">
        <f>U390+IF(LEN($AE$391)&gt;0,1,0)</f>
        <v/>
      </c>
      <c r="V391" s="2">
        <f>V390+IF(LEN($AF$391)&gt;0,1,0)</f>
        <v/>
      </c>
      <c r="X391" s="2">
        <f>IF(ISERROR($B$391),"",IF(ISBLANK($B$391),"",$B$391))</f>
        <v/>
      </c>
      <c r="Y391" s="2">
        <f>IF(ISERROR($C$391),"",IF(ISBLANK($C$391),"",$C$391))</f>
        <v/>
      </c>
      <c r="Z391" s="2">
        <f>IF(ISERROR($D$391),"",IF(ISBLANK($D$391),"",$D$391))</f>
        <v/>
      </c>
      <c r="AA391" s="2">
        <f>IF(ISERROR($E$391),"",IF(ISBLANK($E$391),"",$E$391))</f>
        <v/>
      </c>
      <c r="AB391" s="2">
        <f>IF(ISERROR($F$391),"",IF(ISBLANK($F$391),"",$F$391))</f>
        <v/>
      </c>
      <c r="AC391" s="2">
        <f>IF(ISERROR($G$391),"",IF(ISBLANK($G$391),"",$G$391))</f>
        <v/>
      </c>
      <c r="AD391" s="2">
        <f>IF(ISERROR($H$391),"",IF(ISBLANK($H$391),"",$H$391))</f>
        <v/>
      </c>
      <c r="AE391" s="2">
        <f>IF(ISERROR($I$391),"",IF(ISBLANK($I$391),"",$I$391))</f>
        <v/>
      </c>
      <c r="AF391" s="2">
        <f>IF(ISERROR($J$391),"",IF(ISBLANK($J$391),"",$J$391))</f>
        <v/>
      </c>
      <c r="AG391" s="2">
        <f>ISERROR($B$391)*1+ISERROR($C$391)*1+ISERROR($D$391)*1+ISERROR($E$391)*1+ISERROR($F$391)*1+ISERROR($G$391)*1+ISERROR($H$391)*1+ISERROR($I$391)*1+ISERROR($J$391)*1</f>
        <v/>
      </c>
    </row>
    <row r="392" ht="26" customHeight="1">
      <c r="B392" s="35" t="inlineStr">
        <is>
          <t>pescador de um mundo oceânico</t>
        </is>
      </c>
      <c r="C392" s="29" t="n"/>
      <c r="D392" s="29" t="n"/>
      <c r="E392" s="29" t="n"/>
      <c r="F392" s="29" t="n"/>
      <c r="G392" s="29" t="n"/>
      <c r="H392" s="29" t="n"/>
      <c r="I392" s="29" t="n"/>
      <c r="J392" s="29" t="n"/>
      <c r="K392" s="19">
        <f>IF(AG392&gt;0,"O Google leu como fórmula: digite de novo com ' na frente.","")</f>
        <v/>
      </c>
      <c r="N392" s="2">
        <f>N391+IF(LEN($X$392)&gt;0,1,0)</f>
        <v/>
      </c>
      <c r="O392" s="2">
        <f>O391+IF(LEN($Y$392)&gt;0,1,0)</f>
        <v/>
      </c>
      <c r="P392" s="2">
        <f>P391+IF(LEN($Z$392)&gt;0,1,0)</f>
        <v/>
      </c>
      <c r="Q392" s="2">
        <f>Q391+IF(LEN($AA$392)&gt;0,1,0)</f>
        <v/>
      </c>
      <c r="R392" s="2">
        <f>R391+IF(LEN($AB$392)&gt;0,1,0)</f>
        <v/>
      </c>
      <c r="S392" s="2">
        <f>S391+IF(LEN($AC$392)&gt;0,1,0)</f>
        <v/>
      </c>
      <c r="T392" s="2">
        <f>T391+IF(LEN($AD$392)&gt;0,1,0)</f>
        <v/>
      </c>
      <c r="U392" s="2">
        <f>U391+IF(LEN($AE$392)&gt;0,1,0)</f>
        <v/>
      </c>
      <c r="V392" s="2">
        <f>V391+IF(LEN($AF$392)&gt;0,1,0)</f>
        <v/>
      </c>
      <c r="X392" s="2">
        <f>IF(ISERROR($B$392),"",IF(ISBLANK($B$392),"",$B$392))</f>
        <v/>
      </c>
      <c r="Y392" s="2">
        <f>IF(ISERROR($C$392),"",IF(ISBLANK($C$392),"",$C$392))</f>
        <v/>
      </c>
      <c r="Z392" s="2">
        <f>IF(ISERROR($D$392),"",IF(ISBLANK($D$392),"",$D$392))</f>
        <v/>
      </c>
      <c r="AA392" s="2">
        <f>IF(ISERROR($E$392),"",IF(ISBLANK($E$392),"",$E$392))</f>
        <v/>
      </c>
      <c r="AB392" s="2">
        <f>IF(ISERROR($F$392),"",IF(ISBLANK($F$392),"",$F$392))</f>
        <v/>
      </c>
      <c r="AC392" s="2">
        <f>IF(ISERROR($G$392),"",IF(ISBLANK($G$392),"",$G$392))</f>
        <v/>
      </c>
      <c r="AD392" s="2">
        <f>IF(ISERROR($H$392),"",IF(ISBLANK($H$392),"",$H$392))</f>
        <v/>
      </c>
      <c r="AE392" s="2">
        <f>IF(ISERROR($I$392),"",IF(ISBLANK($I$392),"",$I$392))</f>
        <v/>
      </c>
      <c r="AF392" s="2">
        <f>IF(ISERROR($J$392),"",IF(ISBLANK($J$392),"",$J$392))</f>
        <v/>
      </c>
      <c r="AG392" s="2">
        <f>ISERROR($B$392)*1+ISERROR($C$392)*1+ISERROR($D$392)*1+ISERROR($E$392)*1+ISERROR($F$392)*1+ISERROR($G$392)*1+ISERROR($H$392)*1+ISERROR($I$392)*1+ISERROR($J$392)*1</f>
        <v/>
      </c>
    </row>
    <row r="393" ht="26" customHeight="1">
      <c r="B393" s="33" t="inlineStr">
        <is>
          <t>alfaiate de trajes de vácuo</t>
        </is>
      </c>
      <c r="C393" s="4" t="n"/>
      <c r="D393" s="4" t="n"/>
      <c r="E393" s="4" t="n"/>
      <c r="F393" s="4" t="n"/>
      <c r="G393" s="4" t="n"/>
      <c r="H393" s="4" t="n"/>
      <c r="I393" s="4" t="n"/>
      <c r="J393" s="4" t="n"/>
      <c r="K393" s="19">
        <f>IF(AG393&gt;0,"O Google leu como fórmula: digite de novo com ' na frente.","")</f>
        <v/>
      </c>
      <c r="N393" s="2">
        <f>N392+IF(LEN($X$393)&gt;0,1,0)</f>
        <v/>
      </c>
      <c r="O393" s="2">
        <f>O392+IF(LEN($Y$393)&gt;0,1,0)</f>
        <v/>
      </c>
      <c r="P393" s="2">
        <f>P392+IF(LEN($Z$393)&gt;0,1,0)</f>
        <v/>
      </c>
      <c r="Q393" s="2">
        <f>Q392+IF(LEN($AA$393)&gt;0,1,0)</f>
        <v/>
      </c>
      <c r="R393" s="2">
        <f>R392+IF(LEN($AB$393)&gt;0,1,0)</f>
        <v/>
      </c>
      <c r="S393" s="2">
        <f>S392+IF(LEN($AC$393)&gt;0,1,0)</f>
        <v/>
      </c>
      <c r="T393" s="2">
        <f>T392+IF(LEN($AD$393)&gt;0,1,0)</f>
        <v/>
      </c>
      <c r="U393" s="2">
        <f>U392+IF(LEN($AE$393)&gt;0,1,0)</f>
        <v/>
      </c>
      <c r="V393" s="2">
        <f>V392+IF(LEN($AF$393)&gt;0,1,0)</f>
        <v/>
      </c>
      <c r="X393" s="2">
        <f>IF(ISERROR($B$393),"",IF(ISBLANK($B$393),"",$B$393))</f>
        <v/>
      </c>
      <c r="Y393" s="2">
        <f>IF(ISERROR($C$393),"",IF(ISBLANK($C$393),"",$C$393))</f>
        <v/>
      </c>
      <c r="Z393" s="2">
        <f>IF(ISERROR($D$393),"",IF(ISBLANK($D$393),"",$D$393))</f>
        <v/>
      </c>
      <c r="AA393" s="2">
        <f>IF(ISERROR($E$393),"",IF(ISBLANK($E$393),"",$E$393))</f>
        <v/>
      </c>
      <c r="AB393" s="2">
        <f>IF(ISERROR($F$393),"",IF(ISBLANK($F$393),"",$F$393))</f>
        <v/>
      </c>
      <c r="AC393" s="2">
        <f>IF(ISERROR($G$393),"",IF(ISBLANK($G$393),"",$G$393))</f>
        <v/>
      </c>
      <c r="AD393" s="2">
        <f>IF(ISERROR($H$393),"",IF(ISBLANK($H$393),"",$H$393))</f>
        <v/>
      </c>
      <c r="AE393" s="2">
        <f>IF(ISERROR($I$393),"",IF(ISBLANK($I$393),"",$I$393))</f>
        <v/>
      </c>
      <c r="AF393" s="2">
        <f>IF(ISERROR($J$393),"",IF(ISBLANK($J$393),"",$J$393))</f>
        <v/>
      </c>
      <c r="AG393" s="2">
        <f>ISERROR($B$393)*1+ISERROR($C$393)*1+ISERROR($D$393)*1+ISERROR($E$393)*1+ISERROR($F$393)*1+ISERROR($G$393)*1+ISERROR($H$393)*1+ISERROR($I$393)*1+ISERROR($J$393)*1</f>
        <v/>
      </c>
    </row>
    <row r="394" ht="26" customHeight="1">
      <c r="B394" s="35" t="inlineStr">
        <is>
          <t>relojoeiro</t>
        </is>
      </c>
      <c r="C394" s="29" t="n"/>
      <c r="D394" s="29" t="n"/>
      <c r="E394" s="29" t="n"/>
      <c r="F394" s="29" t="n"/>
      <c r="G394" s="29" t="n"/>
      <c r="H394" s="29" t="n"/>
      <c r="I394" s="29" t="n"/>
      <c r="J394" s="29" t="n"/>
      <c r="K394" s="19">
        <f>IF(AG394&gt;0,"O Google leu como fórmula: digite de novo com ' na frente.","")</f>
        <v/>
      </c>
      <c r="N394" s="2">
        <f>N393+IF(LEN($X$394)&gt;0,1,0)</f>
        <v/>
      </c>
      <c r="O394" s="2">
        <f>O393+IF(LEN($Y$394)&gt;0,1,0)</f>
        <v/>
      </c>
      <c r="P394" s="2">
        <f>P393+IF(LEN($Z$394)&gt;0,1,0)</f>
        <v/>
      </c>
      <c r="Q394" s="2">
        <f>Q393+IF(LEN($AA$394)&gt;0,1,0)</f>
        <v/>
      </c>
      <c r="R394" s="2">
        <f>R393+IF(LEN($AB$394)&gt;0,1,0)</f>
        <v/>
      </c>
      <c r="S394" s="2">
        <f>S393+IF(LEN($AC$394)&gt;0,1,0)</f>
        <v/>
      </c>
      <c r="T394" s="2">
        <f>T393+IF(LEN($AD$394)&gt;0,1,0)</f>
        <v/>
      </c>
      <c r="U394" s="2">
        <f>U393+IF(LEN($AE$394)&gt;0,1,0)</f>
        <v/>
      </c>
      <c r="V394" s="2">
        <f>V393+IF(LEN($AF$394)&gt;0,1,0)</f>
        <v/>
      </c>
      <c r="X394" s="2">
        <f>IF(ISERROR($B$394),"",IF(ISBLANK($B$394),"",$B$394))</f>
        <v/>
      </c>
      <c r="Y394" s="2">
        <f>IF(ISERROR($C$394),"",IF(ISBLANK($C$394),"",$C$394))</f>
        <v/>
      </c>
      <c r="Z394" s="2">
        <f>IF(ISERROR($D$394),"",IF(ISBLANK($D$394),"",$D$394))</f>
        <v/>
      </c>
      <c r="AA394" s="2">
        <f>IF(ISERROR($E$394),"",IF(ISBLANK($E$394),"",$E$394))</f>
        <v/>
      </c>
      <c r="AB394" s="2">
        <f>IF(ISERROR($F$394),"",IF(ISBLANK($F$394),"",$F$394))</f>
        <v/>
      </c>
      <c r="AC394" s="2">
        <f>IF(ISERROR($G$394),"",IF(ISBLANK($G$394),"",$G$394))</f>
        <v/>
      </c>
      <c r="AD394" s="2">
        <f>IF(ISERROR($H$394),"",IF(ISBLANK($H$394),"",$H$394))</f>
        <v/>
      </c>
      <c r="AE394" s="2">
        <f>IF(ISERROR($I$394),"",IF(ISBLANK($I$394),"",$I$394))</f>
        <v/>
      </c>
      <c r="AF394" s="2">
        <f>IF(ISERROR($J$394),"",IF(ISBLANK($J$394),"",$J$394))</f>
        <v/>
      </c>
      <c r="AG394" s="2">
        <f>ISERROR($B$394)*1+ISERROR($C$394)*1+ISERROR($D$394)*1+ISERROR($E$394)*1+ISERROR($F$394)*1+ISERROR($G$394)*1+ISERROR($H$394)*1+ISERROR($I$394)*1+ISERROR($J$394)*1</f>
        <v/>
      </c>
    </row>
    <row r="395" ht="26" customHeight="1">
      <c r="B395" s="33" t="inlineStr">
        <is>
          <t>advogado de porto</t>
        </is>
      </c>
      <c r="C395" s="4" t="n"/>
      <c r="D395" s="4" t="n"/>
      <c r="E395" s="4" t="n"/>
      <c r="F395" s="4" t="n"/>
      <c r="G395" s="4" t="n"/>
      <c r="H395" s="4" t="n"/>
      <c r="I395" s="4" t="n"/>
      <c r="J395" s="4" t="n"/>
      <c r="K395" s="19">
        <f>IF(AG395&gt;0,"O Google leu como fórmula: digite de novo com ' na frente.","")</f>
        <v/>
      </c>
      <c r="N395" s="2">
        <f>N394+IF(LEN($X$395)&gt;0,1,0)</f>
        <v/>
      </c>
      <c r="O395" s="2">
        <f>O394+IF(LEN($Y$395)&gt;0,1,0)</f>
        <v/>
      </c>
      <c r="P395" s="2">
        <f>P394+IF(LEN($Z$395)&gt;0,1,0)</f>
        <v/>
      </c>
      <c r="Q395" s="2">
        <f>Q394+IF(LEN($AA$395)&gt;0,1,0)</f>
        <v/>
      </c>
      <c r="R395" s="2">
        <f>R394+IF(LEN($AB$395)&gt;0,1,0)</f>
        <v/>
      </c>
      <c r="S395" s="2">
        <f>S394+IF(LEN($AC$395)&gt;0,1,0)</f>
        <v/>
      </c>
      <c r="T395" s="2">
        <f>T394+IF(LEN($AD$395)&gt;0,1,0)</f>
        <v/>
      </c>
      <c r="U395" s="2">
        <f>U394+IF(LEN($AE$395)&gt;0,1,0)</f>
        <v/>
      </c>
      <c r="V395" s="2">
        <f>V394+IF(LEN($AF$395)&gt;0,1,0)</f>
        <v/>
      </c>
      <c r="X395" s="2">
        <f>IF(ISERROR($B$395),"",IF(ISBLANK($B$395),"",$B$395))</f>
        <v/>
      </c>
      <c r="Y395" s="2">
        <f>IF(ISERROR($C$395),"",IF(ISBLANK($C$395),"",$C$395))</f>
        <v/>
      </c>
      <c r="Z395" s="2">
        <f>IF(ISERROR($D$395),"",IF(ISBLANK($D$395),"",$D$395))</f>
        <v/>
      </c>
      <c r="AA395" s="2">
        <f>IF(ISERROR($E$395),"",IF(ISBLANK($E$395),"",$E$395))</f>
        <v/>
      </c>
      <c r="AB395" s="2">
        <f>IF(ISERROR($F$395),"",IF(ISBLANK($F$395),"",$F$395))</f>
        <v/>
      </c>
      <c r="AC395" s="2">
        <f>IF(ISERROR($G$395),"",IF(ISBLANK($G$395),"",$G$395))</f>
        <v/>
      </c>
      <c r="AD395" s="2">
        <f>IF(ISERROR($H$395),"",IF(ISBLANK($H$395),"",$H$395))</f>
        <v/>
      </c>
      <c r="AE395" s="2">
        <f>IF(ISERROR($I$395),"",IF(ISBLANK($I$395),"",$I$395))</f>
        <v/>
      </c>
      <c r="AF395" s="2">
        <f>IF(ISERROR($J$395),"",IF(ISBLANK($J$395),"",$J$395))</f>
        <v/>
      </c>
      <c r="AG395" s="2">
        <f>ISERROR($B$395)*1+ISERROR($C$395)*1+ISERROR($D$395)*1+ISERROR($E$395)*1+ISERROR($F$395)*1+ISERROR($G$395)*1+ISERROR($H$395)*1+ISERROR($I$395)*1+ISERROR($J$395)*1</f>
        <v/>
      </c>
    </row>
    <row r="396" ht="26" customHeight="1">
      <c r="B396" s="35" t="inlineStr">
        <is>
          <t>ex-soldado</t>
        </is>
      </c>
      <c r="C396" s="29" t="n"/>
      <c r="D396" s="29" t="n"/>
      <c r="E396" s="29" t="n"/>
      <c r="F396" s="29" t="n"/>
      <c r="G396" s="29" t="n"/>
      <c r="H396" s="29" t="n"/>
      <c r="I396" s="29" t="n"/>
      <c r="J396" s="29" t="n"/>
      <c r="K396" s="19">
        <f>IF(AG396&gt;0,"O Google leu como fórmula: digite de novo com ' na frente.","")</f>
        <v/>
      </c>
      <c r="N396" s="2">
        <f>N395+IF(LEN($X$396)&gt;0,1,0)</f>
        <v/>
      </c>
      <c r="O396" s="2">
        <f>O395+IF(LEN($Y$396)&gt;0,1,0)</f>
        <v/>
      </c>
      <c r="P396" s="2">
        <f>P395+IF(LEN($Z$396)&gt;0,1,0)</f>
        <v/>
      </c>
      <c r="Q396" s="2">
        <f>Q395+IF(LEN($AA$396)&gt;0,1,0)</f>
        <v/>
      </c>
      <c r="R396" s="2">
        <f>R395+IF(LEN($AB$396)&gt;0,1,0)</f>
        <v/>
      </c>
      <c r="S396" s="2">
        <f>S395+IF(LEN($AC$396)&gt;0,1,0)</f>
        <v/>
      </c>
      <c r="T396" s="2">
        <f>T395+IF(LEN($AD$396)&gt;0,1,0)</f>
        <v/>
      </c>
      <c r="U396" s="2">
        <f>U395+IF(LEN($AE$396)&gt;0,1,0)</f>
        <v/>
      </c>
      <c r="V396" s="2">
        <f>V395+IF(LEN($AF$396)&gt;0,1,0)</f>
        <v/>
      </c>
      <c r="X396" s="2">
        <f>IF(ISERROR($B$396),"",IF(ISBLANK($B$396),"",$B$396))</f>
        <v/>
      </c>
      <c r="Y396" s="2">
        <f>IF(ISERROR($C$396),"",IF(ISBLANK($C$396),"",$C$396))</f>
        <v/>
      </c>
      <c r="Z396" s="2">
        <f>IF(ISERROR($D$396),"",IF(ISBLANK($D$396),"",$D$396))</f>
        <v/>
      </c>
      <c r="AA396" s="2">
        <f>IF(ISERROR($E$396),"",IF(ISBLANK($E$396),"",$E$396))</f>
        <v/>
      </c>
      <c r="AB396" s="2">
        <f>IF(ISERROR($F$396),"",IF(ISBLANK($F$396),"",$F$396))</f>
        <v/>
      </c>
      <c r="AC396" s="2">
        <f>IF(ISERROR($G$396),"",IF(ISBLANK($G$396),"",$G$396))</f>
        <v/>
      </c>
      <c r="AD396" s="2">
        <f>IF(ISERROR($H$396),"",IF(ISBLANK($H$396),"",$H$396))</f>
        <v/>
      </c>
      <c r="AE396" s="2">
        <f>IF(ISERROR($I$396),"",IF(ISBLANK($I$396),"",$I$396))</f>
        <v/>
      </c>
      <c r="AF396" s="2">
        <f>IF(ISERROR($J$396),"",IF(ISBLANK($J$396),"",$J$396))</f>
        <v/>
      </c>
      <c r="AG396" s="2">
        <f>ISERROR($B$396)*1+ISERROR($C$396)*1+ISERROR($D$396)*1+ISERROR($E$396)*1+ISERROR($F$396)*1+ISERROR($G$396)*1+ISERROR($H$396)*1+ISERROR($I$396)*1+ISERROR($J$396)*1</f>
        <v/>
      </c>
    </row>
    <row r="397" ht="26" customHeight="1">
      <c r="B397" s="33" t="inlineStr">
        <is>
          <t>inventor fracassado</t>
        </is>
      </c>
      <c r="C397" s="4" t="n"/>
      <c r="D397" s="4" t="n"/>
      <c r="E397" s="4" t="n"/>
      <c r="F397" s="4" t="n"/>
      <c r="G397" s="4" t="n"/>
      <c r="H397" s="4" t="n"/>
      <c r="I397" s="4" t="n"/>
      <c r="J397" s="4" t="n"/>
      <c r="K397" s="19">
        <f>IF(AG397&gt;0,"O Google leu como fórmula: digite de novo com ' na frente.","")</f>
        <v/>
      </c>
      <c r="N397" s="2">
        <f>N396+IF(LEN($X$397)&gt;0,1,0)</f>
        <v/>
      </c>
      <c r="O397" s="2">
        <f>O396+IF(LEN($Y$397)&gt;0,1,0)</f>
        <v/>
      </c>
      <c r="P397" s="2">
        <f>P396+IF(LEN($Z$397)&gt;0,1,0)</f>
        <v/>
      </c>
      <c r="Q397" s="2">
        <f>Q396+IF(LEN($AA$397)&gt;0,1,0)</f>
        <v/>
      </c>
      <c r="R397" s="2">
        <f>R396+IF(LEN($AB$397)&gt;0,1,0)</f>
        <v/>
      </c>
      <c r="S397" s="2">
        <f>S396+IF(LEN($AC$397)&gt;0,1,0)</f>
        <v/>
      </c>
      <c r="T397" s="2">
        <f>T396+IF(LEN($AD$397)&gt;0,1,0)</f>
        <v/>
      </c>
      <c r="U397" s="2">
        <f>U396+IF(LEN($AE$397)&gt;0,1,0)</f>
        <v/>
      </c>
      <c r="V397" s="2">
        <f>V396+IF(LEN($AF$397)&gt;0,1,0)</f>
        <v/>
      </c>
      <c r="X397" s="2">
        <f>IF(ISERROR($B$397),"",IF(ISBLANK($B$397),"",$B$397))</f>
        <v/>
      </c>
      <c r="Y397" s="2">
        <f>IF(ISERROR($C$397),"",IF(ISBLANK($C$397),"",$C$397))</f>
        <v/>
      </c>
      <c r="Z397" s="2">
        <f>IF(ISERROR($D$397),"",IF(ISBLANK($D$397),"",$D$397))</f>
        <v/>
      </c>
      <c r="AA397" s="2">
        <f>IF(ISERROR($E$397),"",IF(ISBLANK($E$397),"",$E$397))</f>
        <v/>
      </c>
      <c r="AB397" s="2">
        <f>IF(ISERROR($F$397),"",IF(ISBLANK($F$397),"",$F$397))</f>
        <v/>
      </c>
      <c r="AC397" s="2">
        <f>IF(ISERROR($G$397),"",IF(ISBLANK($G$397),"",$G$397))</f>
        <v/>
      </c>
      <c r="AD397" s="2">
        <f>IF(ISERROR($H$397),"",IF(ISBLANK($H$397),"",$H$397))</f>
        <v/>
      </c>
      <c r="AE397" s="2">
        <f>IF(ISERROR($I$397),"",IF(ISBLANK($I$397),"",$I$397))</f>
        <v/>
      </c>
      <c r="AF397" s="2">
        <f>IF(ISERROR($J$397),"",IF(ISBLANK($J$397),"",$J$397))</f>
        <v/>
      </c>
      <c r="AG397" s="2">
        <f>ISERROR($B$397)*1+ISERROR($C$397)*1+ISERROR($D$397)*1+ISERROR($E$397)*1+ISERROR($F$397)*1+ISERROR($G$397)*1+ISERROR($H$397)*1+ISERROR($I$397)*1+ISERROR($J$397)*1</f>
        <v/>
      </c>
    </row>
    <row r="398" ht="15" customHeight="1">
      <c r="B398" s="8" t="inlineStr">
        <is>
          <t>Ocupação (NPC)</t>
        </is>
      </c>
      <c r="C398" s="8" t="inlineStr">
        <is>
          <t>Traço de aparência</t>
        </is>
      </c>
      <c r="D398" s="8" t="inlineStr">
        <is>
          <t>Personalidade</t>
        </is>
      </c>
      <c r="E398" s="8" t="inlineStr">
        <is>
          <t>Motivação (sem Caminho)</t>
        </is>
      </c>
      <c r="F398" s="8" t="inlineStr">
        <is>
          <t>Segredo</t>
        </is>
      </c>
      <c r="G398" s="8" t="inlineStr">
        <is>
          <t>Maneirismo e voz</t>
        </is>
      </c>
      <c r="H398" s="8" t="inlineStr">
        <is>
          <t>Caminho do NPC (peso)</t>
        </is>
      </c>
      <c r="I398" s="8" t="inlineStr">
        <is>
          <t>Atitude com o grupo</t>
        </is>
      </c>
      <c r="J398" s="8" t="inlineStr">
        <is>
          <t>Gancho do NPC</t>
        </is>
      </c>
      <c r="N398" s="2">
        <f>N397</f>
        <v/>
      </c>
      <c r="O398" s="2">
        <f>O397</f>
        <v/>
      </c>
      <c r="P398" s="2">
        <f>P397</f>
        <v/>
      </c>
      <c r="Q398" s="2">
        <f>Q397</f>
        <v/>
      </c>
      <c r="R398" s="2">
        <f>R397</f>
        <v/>
      </c>
      <c r="S398" s="2">
        <f>S397</f>
        <v/>
      </c>
      <c r="T398" s="2">
        <f>T397</f>
        <v/>
      </c>
      <c r="U398" s="2">
        <f>U397</f>
        <v/>
      </c>
      <c r="V398" s="2">
        <f>V397</f>
        <v/>
      </c>
      <c r="X398" s="2">
        <f>IF(ISERROR($B$398),"",IF(ISBLANK($B$398),"",$B$398))</f>
        <v/>
      </c>
      <c r="Y398" s="2">
        <f>IF(ISERROR($C$398),"",IF(ISBLANK($C$398),"",$C$398))</f>
        <v/>
      </c>
      <c r="Z398" s="2">
        <f>IF(ISERROR($D$398),"",IF(ISBLANK($D$398),"",$D$398))</f>
        <v/>
      </c>
      <c r="AA398" s="2">
        <f>IF(ISERROR($E$398),"",IF(ISBLANK($E$398),"",$E$398))</f>
        <v/>
      </c>
      <c r="AB398" s="2">
        <f>IF(ISERROR($F$398),"",IF(ISBLANK($F$398),"",$F$398))</f>
        <v/>
      </c>
      <c r="AC398" s="2">
        <f>IF(ISERROR($G$398),"",IF(ISBLANK($G$398),"",$G$398))</f>
        <v/>
      </c>
      <c r="AD398" s="2">
        <f>IF(ISERROR($H$398),"",IF(ISBLANK($H$398),"",$H$398))</f>
        <v/>
      </c>
      <c r="AE398" s="2">
        <f>IF(ISERROR($I$398),"",IF(ISBLANK($I$398),"",$I$398))</f>
        <v/>
      </c>
      <c r="AF398" s="2">
        <f>IF(ISERROR($J$398),"",IF(ISBLANK($J$398),"",$J$398))</f>
        <v/>
      </c>
    </row>
    <row r="399" ht="26" customHeight="1">
      <c r="B399" s="33" t="inlineStr">
        <is>
          <t>vendedor de mapas estelares</t>
        </is>
      </c>
      <c r="C399" s="4" t="n"/>
      <c r="D399" s="4" t="n"/>
      <c r="E399" s="4" t="n"/>
      <c r="F399" s="4" t="n"/>
      <c r="G399" s="4" t="n"/>
      <c r="H399" s="4" t="n"/>
      <c r="I399" s="4" t="n"/>
      <c r="J399" s="4" t="n"/>
      <c r="K399" s="19">
        <f>IF(AG399&gt;0,"O Google leu como fórmula: digite de novo com ' na frente.","")</f>
        <v/>
      </c>
      <c r="N399" s="2">
        <f>N398+IF(LEN($X$399)&gt;0,1,0)</f>
        <v/>
      </c>
      <c r="O399" s="2">
        <f>O398+IF(LEN($Y$399)&gt;0,1,0)</f>
        <v/>
      </c>
      <c r="P399" s="2">
        <f>P398+IF(LEN($Z$399)&gt;0,1,0)</f>
        <v/>
      </c>
      <c r="Q399" s="2">
        <f>Q398+IF(LEN($AA$399)&gt;0,1,0)</f>
        <v/>
      </c>
      <c r="R399" s="2">
        <f>R398+IF(LEN($AB$399)&gt;0,1,0)</f>
        <v/>
      </c>
      <c r="S399" s="2">
        <f>S398+IF(LEN($AC$399)&gt;0,1,0)</f>
        <v/>
      </c>
      <c r="T399" s="2">
        <f>T398+IF(LEN($AD$399)&gt;0,1,0)</f>
        <v/>
      </c>
      <c r="U399" s="2">
        <f>U398+IF(LEN($AE$399)&gt;0,1,0)</f>
        <v/>
      </c>
      <c r="V399" s="2">
        <f>V398+IF(LEN($AF$399)&gt;0,1,0)</f>
        <v/>
      </c>
      <c r="X399" s="2">
        <f>IF(ISERROR($B$399),"",IF(ISBLANK($B$399),"",$B$399))</f>
        <v/>
      </c>
      <c r="Y399" s="2">
        <f>IF(ISERROR($C$399),"",IF(ISBLANK($C$399),"",$C$399))</f>
        <v/>
      </c>
      <c r="Z399" s="2">
        <f>IF(ISERROR($D$399),"",IF(ISBLANK($D$399),"",$D$399))</f>
        <v/>
      </c>
      <c r="AA399" s="2">
        <f>IF(ISERROR($E$399),"",IF(ISBLANK($E$399),"",$E$399))</f>
        <v/>
      </c>
      <c r="AB399" s="2">
        <f>IF(ISERROR($F$399),"",IF(ISBLANK($F$399),"",$F$399))</f>
        <v/>
      </c>
      <c r="AC399" s="2">
        <f>IF(ISERROR($G$399),"",IF(ISBLANK($G$399),"",$G$399))</f>
        <v/>
      </c>
      <c r="AD399" s="2">
        <f>IF(ISERROR($H$399),"",IF(ISBLANK($H$399),"",$H$399))</f>
        <v/>
      </c>
      <c r="AE399" s="2">
        <f>IF(ISERROR($I$399),"",IF(ISBLANK($I$399),"",$I$399))</f>
        <v/>
      </c>
      <c r="AF399" s="2">
        <f>IF(ISERROR($J$399),"",IF(ISBLANK($J$399),"",$J$399))</f>
        <v/>
      </c>
      <c r="AG399" s="2">
        <f>ISERROR($B$399)*1+ISERROR($C$399)*1+ISERROR($D$399)*1+ISERROR($E$399)*1+ISERROR($F$399)*1+ISERROR($G$399)*1+ISERROR($H$399)*1+ISERROR($I$399)*1+ISERROR($J$399)*1</f>
        <v/>
      </c>
    </row>
    <row r="400" ht="26" customHeight="1">
      <c r="B400" s="35" t="inlineStr">
        <is>
          <t>zelador de templo</t>
        </is>
      </c>
      <c r="C400" s="29" t="n"/>
      <c r="D400" s="29" t="n"/>
      <c r="E400" s="29" t="n"/>
      <c r="F400" s="29" t="n"/>
      <c r="G400" s="29" t="n"/>
      <c r="H400" s="29" t="n"/>
      <c r="I400" s="29" t="n"/>
      <c r="J400" s="29" t="n"/>
      <c r="K400" s="19">
        <f>IF(AG400&gt;0,"O Google leu como fórmula: digite de novo com ' na frente.","")</f>
        <v/>
      </c>
      <c r="N400" s="2">
        <f>N399+IF(LEN($X$400)&gt;0,1,0)</f>
        <v/>
      </c>
      <c r="O400" s="2">
        <f>O399+IF(LEN($Y$400)&gt;0,1,0)</f>
        <v/>
      </c>
      <c r="P400" s="2">
        <f>P399+IF(LEN($Z$400)&gt;0,1,0)</f>
        <v/>
      </c>
      <c r="Q400" s="2">
        <f>Q399+IF(LEN($AA$400)&gt;0,1,0)</f>
        <v/>
      </c>
      <c r="R400" s="2">
        <f>R399+IF(LEN($AB$400)&gt;0,1,0)</f>
        <v/>
      </c>
      <c r="S400" s="2">
        <f>S399+IF(LEN($AC$400)&gt;0,1,0)</f>
        <v/>
      </c>
      <c r="T400" s="2">
        <f>T399+IF(LEN($AD$400)&gt;0,1,0)</f>
        <v/>
      </c>
      <c r="U400" s="2">
        <f>U399+IF(LEN($AE$400)&gt;0,1,0)</f>
        <v/>
      </c>
      <c r="V400" s="2">
        <f>V399+IF(LEN($AF$400)&gt;0,1,0)</f>
        <v/>
      </c>
      <c r="X400" s="2">
        <f>IF(ISERROR($B$400),"",IF(ISBLANK($B$400),"",$B$400))</f>
        <v/>
      </c>
      <c r="Y400" s="2">
        <f>IF(ISERROR($C$400),"",IF(ISBLANK($C$400),"",$C$400))</f>
        <v/>
      </c>
      <c r="Z400" s="2">
        <f>IF(ISERROR($D$400),"",IF(ISBLANK($D$400),"",$D$400))</f>
        <v/>
      </c>
      <c r="AA400" s="2">
        <f>IF(ISERROR($E$400),"",IF(ISBLANK($E$400),"",$E$400))</f>
        <v/>
      </c>
      <c r="AB400" s="2">
        <f>IF(ISERROR($F$400),"",IF(ISBLANK($F$400),"",$F$400))</f>
        <v/>
      </c>
      <c r="AC400" s="2">
        <f>IF(ISERROR($G$400),"",IF(ISBLANK($G$400),"",$G$400))</f>
        <v/>
      </c>
      <c r="AD400" s="2">
        <f>IF(ISERROR($H$400),"",IF(ISBLANK($H$400),"",$H$400))</f>
        <v/>
      </c>
      <c r="AE400" s="2">
        <f>IF(ISERROR($I$400),"",IF(ISBLANK($I$400),"",$I$400))</f>
        <v/>
      </c>
      <c r="AF400" s="2">
        <f>IF(ISERROR($J$400),"",IF(ISBLANK($J$400),"",$J$400))</f>
        <v/>
      </c>
      <c r="AG400" s="2">
        <f>ISERROR($B$400)*1+ISERROR($C$400)*1+ISERROR($D$400)*1+ISERROR($E$400)*1+ISERROR($F$400)*1+ISERROR($G$400)*1+ISERROR($H$400)*1+ISERROR($I$400)*1+ISERROR($J$400)*1</f>
        <v/>
      </c>
    </row>
    <row r="401" ht="26" customHeight="1">
      <c r="B401" s="33" t="inlineStr">
        <is>
          <t>astrônomo amador</t>
        </is>
      </c>
      <c r="C401" s="4" t="n"/>
      <c r="D401" s="4" t="n"/>
      <c r="E401" s="4" t="n"/>
      <c r="F401" s="4" t="n"/>
      <c r="G401" s="4" t="n"/>
      <c r="H401" s="4" t="n"/>
      <c r="I401" s="4" t="n"/>
      <c r="J401" s="4" t="n"/>
      <c r="K401" s="19">
        <f>IF(AG401&gt;0,"O Google leu como fórmula: digite de novo com ' na frente.","")</f>
        <v/>
      </c>
      <c r="N401" s="2">
        <f>N400+IF(LEN($X$401)&gt;0,1,0)</f>
        <v/>
      </c>
      <c r="O401" s="2">
        <f>O400+IF(LEN($Y$401)&gt;0,1,0)</f>
        <v/>
      </c>
      <c r="P401" s="2">
        <f>P400+IF(LEN($Z$401)&gt;0,1,0)</f>
        <v/>
      </c>
      <c r="Q401" s="2">
        <f>Q400+IF(LEN($AA$401)&gt;0,1,0)</f>
        <v/>
      </c>
      <c r="R401" s="2">
        <f>R400+IF(LEN($AB$401)&gt;0,1,0)</f>
        <v/>
      </c>
      <c r="S401" s="2">
        <f>S400+IF(LEN($AC$401)&gt;0,1,0)</f>
        <v/>
      </c>
      <c r="T401" s="2">
        <f>T400+IF(LEN($AD$401)&gt;0,1,0)</f>
        <v/>
      </c>
      <c r="U401" s="2">
        <f>U400+IF(LEN($AE$401)&gt;0,1,0)</f>
        <v/>
      </c>
      <c r="V401" s="2">
        <f>V400+IF(LEN($AF$401)&gt;0,1,0)</f>
        <v/>
      </c>
      <c r="X401" s="2">
        <f>IF(ISERROR($B$401),"",IF(ISBLANK($B$401),"",$B$401))</f>
        <v/>
      </c>
      <c r="Y401" s="2">
        <f>IF(ISERROR($C$401),"",IF(ISBLANK($C$401),"",$C$401))</f>
        <v/>
      </c>
      <c r="Z401" s="2">
        <f>IF(ISERROR($D$401),"",IF(ISBLANK($D$401),"",$D$401))</f>
        <v/>
      </c>
      <c r="AA401" s="2">
        <f>IF(ISERROR($E$401),"",IF(ISBLANK($E$401),"",$E$401))</f>
        <v/>
      </c>
      <c r="AB401" s="2">
        <f>IF(ISERROR($F$401),"",IF(ISBLANK($F$401),"",$F$401))</f>
        <v/>
      </c>
      <c r="AC401" s="2">
        <f>IF(ISERROR($G$401),"",IF(ISBLANK($G$401),"",$G$401))</f>
        <v/>
      </c>
      <c r="AD401" s="2">
        <f>IF(ISERROR($H$401),"",IF(ISBLANK($H$401),"",$H$401))</f>
        <v/>
      </c>
      <c r="AE401" s="2">
        <f>IF(ISERROR($I$401),"",IF(ISBLANK($I$401),"",$I$401))</f>
        <v/>
      </c>
      <c r="AF401" s="2">
        <f>IF(ISERROR($J$401),"",IF(ISBLANK($J$401),"",$J$401))</f>
        <v/>
      </c>
      <c r="AG401" s="2">
        <f>ISERROR($B$401)*1+ISERROR($C$401)*1+ISERROR($D$401)*1+ISERROR($E$401)*1+ISERROR($F$401)*1+ISERROR($G$401)*1+ISERROR($H$401)*1+ISERROR($I$401)*1+ISERROR($J$401)*1</f>
        <v/>
      </c>
    </row>
    <row r="402" ht="26" customHeight="1">
      <c r="B402" s="35" t="inlineStr">
        <is>
          <t>tratador de animais de carga</t>
        </is>
      </c>
      <c r="C402" s="29" t="n"/>
      <c r="D402" s="29" t="n"/>
      <c r="E402" s="29" t="n"/>
      <c r="F402" s="29" t="n"/>
      <c r="G402" s="29" t="n"/>
      <c r="H402" s="29" t="n"/>
      <c r="I402" s="29" t="n"/>
      <c r="J402" s="29" t="n"/>
      <c r="K402" s="19">
        <f>IF(AG402&gt;0,"O Google leu como fórmula: digite de novo com ' na frente.","")</f>
        <v/>
      </c>
      <c r="N402" s="2">
        <f>N401+IF(LEN($X$402)&gt;0,1,0)</f>
        <v/>
      </c>
      <c r="O402" s="2">
        <f>O401+IF(LEN($Y$402)&gt;0,1,0)</f>
        <v/>
      </c>
      <c r="P402" s="2">
        <f>P401+IF(LEN($Z$402)&gt;0,1,0)</f>
        <v/>
      </c>
      <c r="Q402" s="2">
        <f>Q401+IF(LEN($AA$402)&gt;0,1,0)</f>
        <v/>
      </c>
      <c r="R402" s="2">
        <f>R401+IF(LEN($AB$402)&gt;0,1,0)</f>
        <v/>
      </c>
      <c r="S402" s="2">
        <f>S401+IF(LEN($AC$402)&gt;0,1,0)</f>
        <v/>
      </c>
      <c r="T402" s="2">
        <f>T401+IF(LEN($AD$402)&gt;0,1,0)</f>
        <v/>
      </c>
      <c r="U402" s="2">
        <f>U401+IF(LEN($AE$402)&gt;0,1,0)</f>
        <v/>
      </c>
      <c r="V402" s="2">
        <f>V401+IF(LEN($AF$402)&gt;0,1,0)</f>
        <v/>
      </c>
      <c r="X402" s="2">
        <f>IF(ISERROR($B$402),"",IF(ISBLANK($B$402),"",$B$402))</f>
        <v/>
      </c>
      <c r="Y402" s="2">
        <f>IF(ISERROR($C$402),"",IF(ISBLANK($C$402),"",$C$402))</f>
        <v/>
      </c>
      <c r="Z402" s="2">
        <f>IF(ISERROR($D$402),"",IF(ISBLANK($D$402),"",$D$402))</f>
        <v/>
      </c>
      <c r="AA402" s="2">
        <f>IF(ISERROR($E$402),"",IF(ISBLANK($E$402),"",$E$402))</f>
        <v/>
      </c>
      <c r="AB402" s="2">
        <f>IF(ISERROR($F$402),"",IF(ISBLANK($F$402),"",$F$402))</f>
        <v/>
      </c>
      <c r="AC402" s="2">
        <f>IF(ISERROR($G$402),"",IF(ISBLANK($G$402),"",$G$402))</f>
        <v/>
      </c>
      <c r="AD402" s="2">
        <f>IF(ISERROR($H$402),"",IF(ISBLANK($H$402),"",$H$402))</f>
        <v/>
      </c>
      <c r="AE402" s="2">
        <f>IF(ISERROR($I$402),"",IF(ISBLANK($I$402),"",$I$402))</f>
        <v/>
      </c>
      <c r="AF402" s="2">
        <f>IF(ISERROR($J$402),"",IF(ISBLANK($J$402),"",$J$402))</f>
        <v/>
      </c>
      <c r="AG402" s="2">
        <f>ISERROR($B$402)*1+ISERROR($C$402)*1+ISERROR($D$402)*1+ISERROR($E$402)*1+ISERROR($F$402)*1+ISERROR($G$402)*1+ISERROR($H$402)*1+ISERROR($I$402)*1+ISERROR($J$402)*1</f>
        <v/>
      </c>
    </row>
    <row r="403" ht="26" customHeight="1">
      <c r="B403" s="33" t="inlineStr">
        <is>
          <t>informante</t>
        </is>
      </c>
      <c r="C403" s="4" t="n"/>
      <c r="D403" s="4" t="n"/>
      <c r="E403" s="4" t="n"/>
      <c r="F403" s="4" t="n"/>
      <c r="G403" s="4" t="n"/>
      <c r="H403" s="4" t="n"/>
      <c r="I403" s="4" t="n"/>
      <c r="J403" s="4" t="n"/>
      <c r="K403" s="19">
        <f>IF(AG403&gt;0,"O Google leu como fórmula: digite de novo com ' na frente.","")</f>
        <v/>
      </c>
      <c r="N403" s="2">
        <f>N402+IF(LEN($X$403)&gt;0,1,0)</f>
        <v/>
      </c>
      <c r="O403" s="2">
        <f>O402+IF(LEN($Y$403)&gt;0,1,0)</f>
        <v/>
      </c>
      <c r="P403" s="2">
        <f>P402+IF(LEN($Z$403)&gt;0,1,0)</f>
        <v/>
      </c>
      <c r="Q403" s="2">
        <f>Q402+IF(LEN($AA$403)&gt;0,1,0)</f>
        <v/>
      </c>
      <c r="R403" s="2">
        <f>R402+IF(LEN($AB$403)&gt;0,1,0)</f>
        <v/>
      </c>
      <c r="S403" s="2">
        <f>S402+IF(LEN($AC$403)&gt;0,1,0)</f>
        <v/>
      </c>
      <c r="T403" s="2">
        <f>T402+IF(LEN($AD$403)&gt;0,1,0)</f>
        <v/>
      </c>
      <c r="U403" s="2">
        <f>U402+IF(LEN($AE$403)&gt;0,1,0)</f>
        <v/>
      </c>
      <c r="V403" s="2">
        <f>V402+IF(LEN($AF$403)&gt;0,1,0)</f>
        <v/>
      </c>
      <c r="X403" s="2">
        <f>IF(ISERROR($B$403),"",IF(ISBLANK($B$403),"",$B$403))</f>
        <v/>
      </c>
      <c r="Y403" s="2">
        <f>IF(ISERROR($C$403),"",IF(ISBLANK($C$403),"",$C$403))</f>
        <v/>
      </c>
      <c r="Z403" s="2">
        <f>IF(ISERROR($D$403),"",IF(ISBLANK($D$403),"",$D$403))</f>
        <v/>
      </c>
      <c r="AA403" s="2">
        <f>IF(ISERROR($E$403),"",IF(ISBLANK($E$403),"",$E$403))</f>
        <v/>
      </c>
      <c r="AB403" s="2">
        <f>IF(ISERROR($F$403),"",IF(ISBLANK($F$403),"",$F$403))</f>
        <v/>
      </c>
      <c r="AC403" s="2">
        <f>IF(ISERROR($G$403),"",IF(ISBLANK($G$403),"",$G$403))</f>
        <v/>
      </c>
      <c r="AD403" s="2">
        <f>IF(ISERROR($H$403),"",IF(ISBLANK($H$403),"",$H$403))</f>
        <v/>
      </c>
      <c r="AE403" s="2">
        <f>IF(ISERROR($I$403),"",IF(ISBLANK($I$403),"",$I$403))</f>
        <v/>
      </c>
      <c r="AF403" s="2">
        <f>IF(ISERROR($J$403),"",IF(ISBLANK($J$403),"",$J$403))</f>
        <v/>
      </c>
      <c r="AG403" s="2">
        <f>ISERROR($B$403)*1+ISERROR($C$403)*1+ISERROR($D$403)*1+ISERROR($E$403)*1+ISERROR($F$403)*1+ISERROR($G$403)*1+ISERROR($H$403)*1+ISERROR($I$403)*1+ISERROR($J$403)*1</f>
        <v/>
      </c>
    </row>
    <row r="404" ht="26" customHeight="1">
      <c r="B404" s="35" t="n"/>
      <c r="C404" s="29" t="n"/>
      <c r="D404" s="29" t="n"/>
      <c r="E404" s="29" t="n"/>
      <c r="F404" s="29" t="n"/>
      <c r="G404" s="29" t="n"/>
      <c r="H404" s="29" t="n"/>
      <c r="I404" s="29" t="n"/>
      <c r="J404" s="29" t="n"/>
      <c r="K404" s="19">
        <f>IF(AG404&gt;0,"O Google leu como fórmula: digite de novo com ' na frente.","")</f>
        <v/>
      </c>
      <c r="N404" s="2">
        <f>N403+IF(LEN($X$404)&gt;0,1,0)</f>
        <v/>
      </c>
      <c r="O404" s="2">
        <f>O403+IF(LEN($Y$404)&gt;0,1,0)</f>
        <v/>
      </c>
      <c r="P404" s="2">
        <f>P403+IF(LEN($Z$404)&gt;0,1,0)</f>
        <v/>
      </c>
      <c r="Q404" s="2">
        <f>Q403+IF(LEN($AA$404)&gt;0,1,0)</f>
        <v/>
      </c>
      <c r="R404" s="2">
        <f>R403+IF(LEN($AB$404)&gt;0,1,0)</f>
        <v/>
      </c>
      <c r="S404" s="2">
        <f>S403+IF(LEN($AC$404)&gt;0,1,0)</f>
        <v/>
      </c>
      <c r="T404" s="2">
        <f>T403+IF(LEN($AD$404)&gt;0,1,0)</f>
        <v/>
      </c>
      <c r="U404" s="2">
        <f>U403+IF(LEN($AE$404)&gt;0,1,0)</f>
        <v/>
      </c>
      <c r="V404" s="2">
        <f>V403+IF(LEN($AF$404)&gt;0,1,0)</f>
        <v/>
      </c>
      <c r="X404" s="2">
        <f>IF(ISERROR($B$404),"",IF(ISBLANK($B$404),"",$B$404))</f>
        <v/>
      </c>
      <c r="Y404" s="2">
        <f>IF(ISERROR($C$404),"",IF(ISBLANK($C$404),"",$C$404))</f>
        <v/>
      </c>
      <c r="Z404" s="2">
        <f>IF(ISERROR($D$404),"",IF(ISBLANK($D$404),"",$D$404))</f>
        <v/>
      </c>
      <c r="AA404" s="2">
        <f>IF(ISERROR($E$404),"",IF(ISBLANK($E$404),"",$E$404))</f>
        <v/>
      </c>
      <c r="AB404" s="2">
        <f>IF(ISERROR($F$404),"",IF(ISBLANK($F$404),"",$F$404))</f>
        <v/>
      </c>
      <c r="AC404" s="2">
        <f>IF(ISERROR($G$404),"",IF(ISBLANK($G$404),"",$G$404))</f>
        <v/>
      </c>
      <c r="AD404" s="2">
        <f>IF(ISERROR($H$404),"",IF(ISBLANK($H$404),"",$H$404))</f>
        <v/>
      </c>
      <c r="AE404" s="2">
        <f>IF(ISERROR($I$404),"",IF(ISBLANK($I$404),"",$I$404))</f>
        <v/>
      </c>
      <c r="AF404" s="2">
        <f>IF(ISERROR($J$404),"",IF(ISBLANK($J$404),"",$J$404))</f>
        <v/>
      </c>
      <c r="AG404" s="2">
        <f>ISERROR($B$404)*1+ISERROR($C$404)*1+ISERROR($D$404)*1+ISERROR($E$404)*1+ISERROR($F$404)*1+ISERROR($G$404)*1+ISERROR($H$404)*1+ISERROR($I$404)*1+ISERROR($J$404)*1</f>
        <v/>
      </c>
    </row>
    <row r="405" ht="26" customHeight="1">
      <c r="B405" s="33" t="n"/>
      <c r="C405" s="4" t="n"/>
      <c r="D405" s="4" t="n"/>
      <c r="E405" s="4" t="n"/>
      <c r="F405" s="4" t="n"/>
      <c r="G405" s="4" t="n"/>
      <c r="H405" s="4" t="n"/>
      <c r="I405" s="4" t="n"/>
      <c r="J405" s="4" t="n"/>
      <c r="K405" s="19">
        <f>IF(AG405&gt;0,"O Google leu como fórmula: digite de novo com ' na frente.","")</f>
        <v/>
      </c>
      <c r="N405" s="2">
        <f>N404+IF(LEN($X$405)&gt;0,1,0)</f>
        <v/>
      </c>
      <c r="O405" s="2">
        <f>O404+IF(LEN($Y$405)&gt;0,1,0)</f>
        <v/>
      </c>
      <c r="P405" s="2">
        <f>P404+IF(LEN($Z$405)&gt;0,1,0)</f>
        <v/>
      </c>
      <c r="Q405" s="2">
        <f>Q404+IF(LEN($AA$405)&gt;0,1,0)</f>
        <v/>
      </c>
      <c r="R405" s="2">
        <f>R404+IF(LEN($AB$405)&gt;0,1,0)</f>
        <v/>
      </c>
      <c r="S405" s="2">
        <f>S404+IF(LEN($AC$405)&gt;0,1,0)</f>
        <v/>
      </c>
      <c r="T405" s="2">
        <f>T404+IF(LEN($AD$405)&gt;0,1,0)</f>
        <v/>
      </c>
      <c r="U405" s="2">
        <f>U404+IF(LEN($AE$405)&gt;0,1,0)</f>
        <v/>
      </c>
      <c r="V405" s="2">
        <f>V404+IF(LEN($AF$405)&gt;0,1,0)</f>
        <v/>
      </c>
      <c r="X405" s="2">
        <f>IF(ISERROR($B$405),"",IF(ISBLANK($B$405),"",$B$405))</f>
        <v/>
      </c>
      <c r="Y405" s="2">
        <f>IF(ISERROR($C$405),"",IF(ISBLANK($C$405),"",$C$405))</f>
        <v/>
      </c>
      <c r="Z405" s="2">
        <f>IF(ISERROR($D$405),"",IF(ISBLANK($D$405),"",$D$405))</f>
        <v/>
      </c>
      <c r="AA405" s="2">
        <f>IF(ISERROR($E$405),"",IF(ISBLANK($E$405),"",$E$405))</f>
        <v/>
      </c>
      <c r="AB405" s="2">
        <f>IF(ISERROR($F$405),"",IF(ISBLANK($F$405),"",$F$405))</f>
        <v/>
      </c>
      <c r="AC405" s="2">
        <f>IF(ISERROR($G$405),"",IF(ISBLANK($G$405),"",$G$405))</f>
        <v/>
      </c>
      <c r="AD405" s="2">
        <f>IF(ISERROR($H$405),"",IF(ISBLANK($H$405),"",$H$405))</f>
        <v/>
      </c>
      <c r="AE405" s="2">
        <f>IF(ISERROR($I$405),"",IF(ISBLANK($I$405),"",$I$405))</f>
        <v/>
      </c>
      <c r="AF405" s="2">
        <f>IF(ISERROR($J$405),"",IF(ISBLANK($J$405),"",$J$405))</f>
        <v/>
      </c>
      <c r="AG405" s="2">
        <f>ISERROR($B$405)*1+ISERROR($C$405)*1+ISERROR($D$405)*1+ISERROR($E$405)*1+ISERROR($F$405)*1+ISERROR($G$405)*1+ISERROR($H$405)*1+ISERROR($I$405)*1+ISERROR($J$405)*1</f>
        <v/>
      </c>
    </row>
    <row r="406" ht="26" customHeight="1">
      <c r="B406" s="35" t="n"/>
      <c r="C406" s="29" t="n"/>
      <c r="D406" s="29" t="n"/>
      <c r="E406" s="29" t="n"/>
      <c r="F406" s="29" t="n"/>
      <c r="G406" s="29" t="n"/>
      <c r="H406" s="29" t="n"/>
      <c r="I406" s="29" t="n"/>
      <c r="J406" s="29" t="n"/>
      <c r="K406" s="19">
        <f>IF(AG406&gt;0,"O Google leu como fórmula: digite de novo com ' na frente.","")</f>
        <v/>
      </c>
      <c r="N406" s="2">
        <f>N405+IF(LEN($X$406)&gt;0,1,0)</f>
        <v/>
      </c>
      <c r="O406" s="2">
        <f>O405+IF(LEN($Y$406)&gt;0,1,0)</f>
        <v/>
      </c>
      <c r="P406" s="2">
        <f>P405+IF(LEN($Z$406)&gt;0,1,0)</f>
        <v/>
      </c>
      <c r="Q406" s="2">
        <f>Q405+IF(LEN($AA$406)&gt;0,1,0)</f>
        <v/>
      </c>
      <c r="R406" s="2">
        <f>R405+IF(LEN($AB$406)&gt;0,1,0)</f>
        <v/>
      </c>
      <c r="S406" s="2">
        <f>S405+IF(LEN($AC$406)&gt;0,1,0)</f>
        <v/>
      </c>
      <c r="T406" s="2">
        <f>T405+IF(LEN($AD$406)&gt;0,1,0)</f>
        <v/>
      </c>
      <c r="U406" s="2">
        <f>U405+IF(LEN($AE$406)&gt;0,1,0)</f>
        <v/>
      </c>
      <c r="V406" s="2">
        <f>V405+IF(LEN($AF$406)&gt;0,1,0)</f>
        <v/>
      </c>
      <c r="X406" s="2">
        <f>IF(ISERROR($B$406),"",IF(ISBLANK($B$406),"",$B$406))</f>
        <v/>
      </c>
      <c r="Y406" s="2">
        <f>IF(ISERROR($C$406),"",IF(ISBLANK($C$406),"",$C$406))</f>
        <v/>
      </c>
      <c r="Z406" s="2">
        <f>IF(ISERROR($D$406),"",IF(ISBLANK($D$406),"",$D$406))</f>
        <v/>
      </c>
      <c r="AA406" s="2">
        <f>IF(ISERROR($E$406),"",IF(ISBLANK($E$406),"",$E$406))</f>
        <v/>
      </c>
      <c r="AB406" s="2">
        <f>IF(ISERROR($F$406),"",IF(ISBLANK($F$406),"",$F$406))</f>
        <v/>
      </c>
      <c r="AC406" s="2">
        <f>IF(ISERROR($G$406),"",IF(ISBLANK($G$406),"",$G$406))</f>
        <v/>
      </c>
      <c r="AD406" s="2">
        <f>IF(ISERROR($H$406),"",IF(ISBLANK($H$406),"",$H$406))</f>
        <v/>
      </c>
      <c r="AE406" s="2">
        <f>IF(ISERROR($I$406),"",IF(ISBLANK($I$406),"",$I$406))</f>
        <v/>
      </c>
      <c r="AF406" s="2">
        <f>IF(ISERROR($J$406),"",IF(ISBLANK($J$406),"",$J$406))</f>
        <v/>
      </c>
      <c r="AG406" s="2">
        <f>ISERROR($B$406)*1+ISERROR($C$406)*1+ISERROR($D$406)*1+ISERROR($E$406)*1+ISERROR($F$406)*1+ISERROR($G$406)*1+ISERROR($H$406)*1+ISERROR($I$406)*1+ISERROR($J$406)*1</f>
        <v/>
      </c>
    </row>
    <row r="407" ht="26" customHeight="1">
      <c r="B407" s="33" t="n"/>
      <c r="C407" s="4" t="n"/>
      <c r="D407" s="4" t="n"/>
      <c r="E407" s="4" t="n"/>
      <c r="F407" s="4" t="n"/>
      <c r="G407" s="4" t="n"/>
      <c r="H407" s="4" t="n"/>
      <c r="I407" s="4" t="n"/>
      <c r="J407" s="4" t="n"/>
      <c r="K407" s="19">
        <f>IF(AG407&gt;0,"O Google leu como fórmula: digite de novo com ' na frente.","")</f>
        <v/>
      </c>
      <c r="N407" s="2">
        <f>N406+IF(LEN($X$407)&gt;0,1,0)</f>
        <v/>
      </c>
      <c r="O407" s="2">
        <f>O406+IF(LEN($Y$407)&gt;0,1,0)</f>
        <v/>
      </c>
      <c r="P407" s="2">
        <f>P406+IF(LEN($Z$407)&gt;0,1,0)</f>
        <v/>
      </c>
      <c r="Q407" s="2">
        <f>Q406+IF(LEN($AA$407)&gt;0,1,0)</f>
        <v/>
      </c>
      <c r="R407" s="2">
        <f>R406+IF(LEN($AB$407)&gt;0,1,0)</f>
        <v/>
      </c>
      <c r="S407" s="2">
        <f>S406+IF(LEN($AC$407)&gt;0,1,0)</f>
        <v/>
      </c>
      <c r="T407" s="2">
        <f>T406+IF(LEN($AD$407)&gt;0,1,0)</f>
        <v/>
      </c>
      <c r="U407" s="2">
        <f>U406+IF(LEN($AE$407)&gt;0,1,0)</f>
        <v/>
      </c>
      <c r="V407" s="2">
        <f>V406+IF(LEN($AF$407)&gt;0,1,0)</f>
        <v/>
      </c>
      <c r="X407" s="2">
        <f>IF(ISERROR($B$407),"",IF(ISBLANK($B$407),"",$B$407))</f>
        <v/>
      </c>
      <c r="Y407" s="2">
        <f>IF(ISERROR($C$407),"",IF(ISBLANK($C$407),"",$C$407))</f>
        <v/>
      </c>
      <c r="Z407" s="2">
        <f>IF(ISERROR($D$407),"",IF(ISBLANK($D$407),"",$D$407))</f>
        <v/>
      </c>
      <c r="AA407" s="2">
        <f>IF(ISERROR($E$407),"",IF(ISBLANK($E$407),"",$E$407))</f>
        <v/>
      </c>
      <c r="AB407" s="2">
        <f>IF(ISERROR($F$407),"",IF(ISBLANK($F$407),"",$F$407))</f>
        <v/>
      </c>
      <c r="AC407" s="2">
        <f>IF(ISERROR($G$407),"",IF(ISBLANK($G$407),"",$G$407))</f>
        <v/>
      </c>
      <c r="AD407" s="2">
        <f>IF(ISERROR($H$407),"",IF(ISBLANK($H$407),"",$H$407))</f>
        <v/>
      </c>
      <c r="AE407" s="2">
        <f>IF(ISERROR($I$407),"",IF(ISBLANK($I$407),"",$I$407))</f>
        <v/>
      </c>
      <c r="AF407" s="2">
        <f>IF(ISERROR($J$407),"",IF(ISBLANK($J$407),"",$J$407))</f>
        <v/>
      </c>
      <c r="AG407" s="2">
        <f>ISERROR($B$407)*1+ISERROR($C$407)*1+ISERROR($D$407)*1+ISERROR($E$407)*1+ISERROR($F$407)*1+ISERROR($G$407)*1+ISERROR($H$407)*1+ISERROR($I$407)*1+ISERROR($J$407)*1</f>
        <v/>
      </c>
    </row>
    <row r="408" ht="26" customHeight="1">
      <c r="B408" s="35" t="n"/>
      <c r="C408" s="29" t="n"/>
      <c r="D408" s="29" t="n"/>
      <c r="E408" s="29" t="n"/>
      <c r="F408" s="29" t="n"/>
      <c r="G408" s="29" t="n"/>
      <c r="H408" s="29" t="n"/>
      <c r="I408" s="29" t="n"/>
      <c r="J408" s="29" t="n"/>
      <c r="K408" s="19">
        <f>IF(AG408&gt;0,"O Google leu como fórmula: digite de novo com ' na frente.","")</f>
        <v/>
      </c>
      <c r="N408" s="2">
        <f>N407+IF(LEN($X$408)&gt;0,1,0)</f>
        <v/>
      </c>
      <c r="O408" s="2">
        <f>O407+IF(LEN($Y$408)&gt;0,1,0)</f>
        <v/>
      </c>
      <c r="P408" s="2">
        <f>P407+IF(LEN($Z$408)&gt;0,1,0)</f>
        <v/>
      </c>
      <c r="Q408" s="2">
        <f>Q407+IF(LEN($AA$408)&gt;0,1,0)</f>
        <v/>
      </c>
      <c r="R408" s="2">
        <f>R407+IF(LEN($AB$408)&gt;0,1,0)</f>
        <v/>
      </c>
      <c r="S408" s="2">
        <f>S407+IF(LEN($AC$408)&gt;0,1,0)</f>
        <v/>
      </c>
      <c r="T408" s="2">
        <f>T407+IF(LEN($AD$408)&gt;0,1,0)</f>
        <v/>
      </c>
      <c r="U408" s="2">
        <f>U407+IF(LEN($AE$408)&gt;0,1,0)</f>
        <v/>
      </c>
      <c r="V408" s="2">
        <f>V407+IF(LEN($AF$408)&gt;0,1,0)</f>
        <v/>
      </c>
      <c r="X408" s="2">
        <f>IF(ISERROR($B$408),"",IF(ISBLANK($B$408),"",$B$408))</f>
        <v/>
      </c>
      <c r="Y408" s="2">
        <f>IF(ISERROR($C$408),"",IF(ISBLANK($C$408),"",$C$408))</f>
        <v/>
      </c>
      <c r="Z408" s="2">
        <f>IF(ISERROR($D$408),"",IF(ISBLANK($D$408),"",$D$408))</f>
        <v/>
      </c>
      <c r="AA408" s="2">
        <f>IF(ISERROR($E$408),"",IF(ISBLANK($E$408),"",$E$408))</f>
        <v/>
      </c>
      <c r="AB408" s="2">
        <f>IF(ISERROR($F$408),"",IF(ISBLANK($F$408),"",$F$408))</f>
        <v/>
      </c>
      <c r="AC408" s="2">
        <f>IF(ISERROR($G$408),"",IF(ISBLANK($G$408),"",$G$408))</f>
        <v/>
      </c>
      <c r="AD408" s="2">
        <f>IF(ISERROR($H$408),"",IF(ISBLANK($H$408),"",$H$408))</f>
        <v/>
      </c>
      <c r="AE408" s="2">
        <f>IF(ISERROR($I$408),"",IF(ISBLANK($I$408),"",$I$408))</f>
        <v/>
      </c>
      <c r="AF408" s="2">
        <f>IF(ISERROR($J$408),"",IF(ISBLANK($J$408),"",$J$408))</f>
        <v/>
      </c>
      <c r="AG408" s="2">
        <f>ISERROR($B$408)*1+ISERROR($C$408)*1+ISERROR($D$408)*1+ISERROR($E$408)*1+ISERROR($F$408)*1+ISERROR($G$408)*1+ISERROR($H$408)*1+ISERROR($I$408)*1+ISERROR($J$408)*1</f>
        <v/>
      </c>
    </row>
    <row r="409" ht="26" customHeight="1">
      <c r="B409" s="33" t="n"/>
      <c r="C409" s="4" t="n"/>
      <c r="D409" s="4" t="n"/>
      <c r="E409" s="4" t="n"/>
      <c r="F409" s="4" t="n"/>
      <c r="G409" s="4" t="n"/>
      <c r="H409" s="4" t="n"/>
      <c r="I409" s="4" t="n"/>
      <c r="J409" s="4" t="n"/>
      <c r="K409" s="19">
        <f>IF(AG409&gt;0,"O Google leu como fórmula: digite de novo com ' na frente.","")</f>
        <v/>
      </c>
      <c r="N409" s="2">
        <f>N408+IF(LEN($X$409)&gt;0,1,0)</f>
        <v/>
      </c>
      <c r="O409" s="2">
        <f>O408+IF(LEN($Y$409)&gt;0,1,0)</f>
        <v/>
      </c>
      <c r="P409" s="2">
        <f>P408+IF(LEN($Z$409)&gt;0,1,0)</f>
        <v/>
      </c>
      <c r="Q409" s="2">
        <f>Q408+IF(LEN($AA$409)&gt;0,1,0)</f>
        <v/>
      </c>
      <c r="R409" s="2">
        <f>R408+IF(LEN($AB$409)&gt;0,1,0)</f>
        <v/>
      </c>
      <c r="S409" s="2">
        <f>S408+IF(LEN($AC$409)&gt;0,1,0)</f>
        <v/>
      </c>
      <c r="T409" s="2">
        <f>T408+IF(LEN($AD$409)&gt;0,1,0)</f>
        <v/>
      </c>
      <c r="U409" s="2">
        <f>U408+IF(LEN($AE$409)&gt;0,1,0)</f>
        <v/>
      </c>
      <c r="V409" s="2">
        <f>V408+IF(LEN($AF$409)&gt;0,1,0)</f>
        <v/>
      </c>
      <c r="X409" s="2">
        <f>IF(ISERROR($B$409),"",IF(ISBLANK($B$409),"",$B$409))</f>
        <v/>
      </c>
      <c r="Y409" s="2">
        <f>IF(ISERROR($C$409),"",IF(ISBLANK($C$409),"",$C$409))</f>
        <v/>
      </c>
      <c r="Z409" s="2">
        <f>IF(ISERROR($D$409),"",IF(ISBLANK($D$409),"",$D$409))</f>
        <v/>
      </c>
      <c r="AA409" s="2">
        <f>IF(ISERROR($E$409),"",IF(ISBLANK($E$409),"",$E$409))</f>
        <v/>
      </c>
      <c r="AB409" s="2">
        <f>IF(ISERROR($F$409),"",IF(ISBLANK($F$409),"",$F$409))</f>
        <v/>
      </c>
      <c r="AC409" s="2">
        <f>IF(ISERROR($G$409),"",IF(ISBLANK($G$409),"",$G$409))</f>
        <v/>
      </c>
      <c r="AD409" s="2">
        <f>IF(ISERROR($H$409),"",IF(ISBLANK($H$409),"",$H$409))</f>
        <v/>
      </c>
      <c r="AE409" s="2">
        <f>IF(ISERROR($I$409),"",IF(ISBLANK($I$409),"",$I$409))</f>
        <v/>
      </c>
      <c r="AF409" s="2">
        <f>IF(ISERROR($J$409),"",IF(ISBLANK($J$409),"",$J$409))</f>
        <v/>
      </c>
      <c r="AG409" s="2">
        <f>ISERROR($B$409)*1+ISERROR($C$409)*1+ISERROR($D$409)*1+ISERROR($E$409)*1+ISERROR($F$409)*1+ISERROR($G$409)*1+ISERROR($H$409)*1+ISERROR($I$409)*1+ISERROR($J$409)*1</f>
        <v/>
      </c>
    </row>
    <row r="410" ht="26" customHeight="1">
      <c r="B410" s="35" t="n"/>
      <c r="C410" s="29" t="n"/>
      <c r="D410" s="29" t="n"/>
      <c r="E410" s="29" t="n"/>
      <c r="F410" s="29" t="n"/>
      <c r="G410" s="29" t="n"/>
      <c r="H410" s="29" t="n"/>
      <c r="I410" s="29" t="n"/>
      <c r="J410" s="29" t="n"/>
      <c r="K410" s="19">
        <f>IF(AG410&gt;0,"O Google leu como fórmula: digite de novo com ' na frente.","")</f>
        <v/>
      </c>
      <c r="N410" s="2">
        <f>N409+IF(LEN($X$410)&gt;0,1,0)</f>
        <v/>
      </c>
      <c r="O410" s="2">
        <f>O409+IF(LEN($Y$410)&gt;0,1,0)</f>
        <v/>
      </c>
      <c r="P410" s="2">
        <f>P409+IF(LEN($Z$410)&gt;0,1,0)</f>
        <v/>
      </c>
      <c r="Q410" s="2">
        <f>Q409+IF(LEN($AA$410)&gt;0,1,0)</f>
        <v/>
      </c>
      <c r="R410" s="2">
        <f>R409+IF(LEN($AB$410)&gt;0,1,0)</f>
        <v/>
      </c>
      <c r="S410" s="2">
        <f>S409+IF(LEN($AC$410)&gt;0,1,0)</f>
        <v/>
      </c>
      <c r="T410" s="2">
        <f>T409+IF(LEN($AD$410)&gt;0,1,0)</f>
        <v/>
      </c>
      <c r="U410" s="2">
        <f>U409+IF(LEN($AE$410)&gt;0,1,0)</f>
        <v/>
      </c>
      <c r="V410" s="2">
        <f>V409+IF(LEN($AF$410)&gt;0,1,0)</f>
        <v/>
      </c>
      <c r="X410" s="2">
        <f>IF(ISERROR($B$410),"",IF(ISBLANK($B$410),"",$B$410))</f>
        <v/>
      </c>
      <c r="Y410" s="2">
        <f>IF(ISERROR($C$410),"",IF(ISBLANK($C$410),"",$C$410))</f>
        <v/>
      </c>
      <c r="Z410" s="2">
        <f>IF(ISERROR($D$410),"",IF(ISBLANK($D$410),"",$D$410))</f>
        <v/>
      </c>
      <c r="AA410" s="2">
        <f>IF(ISERROR($E$410),"",IF(ISBLANK($E$410),"",$E$410))</f>
        <v/>
      </c>
      <c r="AB410" s="2">
        <f>IF(ISERROR($F$410),"",IF(ISBLANK($F$410),"",$F$410))</f>
        <v/>
      </c>
      <c r="AC410" s="2">
        <f>IF(ISERROR($G$410),"",IF(ISBLANK($G$410),"",$G$410))</f>
        <v/>
      </c>
      <c r="AD410" s="2">
        <f>IF(ISERROR($H$410),"",IF(ISBLANK($H$410),"",$H$410))</f>
        <v/>
      </c>
      <c r="AE410" s="2">
        <f>IF(ISERROR($I$410),"",IF(ISBLANK($I$410),"",$I$410))</f>
        <v/>
      </c>
      <c r="AF410" s="2">
        <f>IF(ISERROR($J$410),"",IF(ISBLANK($J$410),"",$J$410))</f>
        <v/>
      </c>
      <c r="AG410" s="2">
        <f>ISERROR($B$410)*1+ISERROR($C$410)*1+ISERROR($D$410)*1+ISERROR($E$410)*1+ISERROR($F$410)*1+ISERROR($G$410)*1+ISERROR($H$410)*1+ISERROR($I$410)*1+ISERROR($J$410)*1</f>
        <v/>
      </c>
    </row>
    <row r="411" ht="26" customHeight="1">
      <c r="B411" s="33" t="n"/>
      <c r="C411" s="4" t="n"/>
      <c r="D411" s="4" t="n"/>
      <c r="E411" s="4" t="n"/>
      <c r="F411" s="4" t="n"/>
      <c r="G411" s="4" t="n"/>
      <c r="H411" s="4" t="n"/>
      <c r="I411" s="4" t="n"/>
      <c r="J411" s="4" t="n"/>
      <c r="K411" s="19">
        <f>IF(AG411&gt;0,"O Google leu como fórmula: digite de novo com ' na frente.","")</f>
        <v/>
      </c>
      <c r="N411" s="2">
        <f>N410+IF(LEN($X$411)&gt;0,1,0)</f>
        <v/>
      </c>
      <c r="O411" s="2">
        <f>O410+IF(LEN($Y$411)&gt;0,1,0)</f>
        <v/>
      </c>
      <c r="P411" s="2">
        <f>P410+IF(LEN($Z$411)&gt;0,1,0)</f>
        <v/>
      </c>
      <c r="Q411" s="2">
        <f>Q410+IF(LEN($AA$411)&gt;0,1,0)</f>
        <v/>
      </c>
      <c r="R411" s="2">
        <f>R410+IF(LEN($AB$411)&gt;0,1,0)</f>
        <v/>
      </c>
      <c r="S411" s="2">
        <f>S410+IF(LEN($AC$411)&gt;0,1,0)</f>
        <v/>
      </c>
      <c r="T411" s="2">
        <f>T410+IF(LEN($AD$411)&gt;0,1,0)</f>
        <v/>
      </c>
      <c r="U411" s="2">
        <f>U410+IF(LEN($AE$411)&gt;0,1,0)</f>
        <v/>
      </c>
      <c r="V411" s="2">
        <f>V410+IF(LEN($AF$411)&gt;0,1,0)</f>
        <v/>
      </c>
      <c r="X411" s="2">
        <f>IF(ISERROR($B$411),"",IF(ISBLANK($B$411),"",$B$411))</f>
        <v/>
      </c>
      <c r="Y411" s="2">
        <f>IF(ISERROR($C$411),"",IF(ISBLANK($C$411),"",$C$411))</f>
        <v/>
      </c>
      <c r="Z411" s="2">
        <f>IF(ISERROR($D$411),"",IF(ISBLANK($D$411),"",$D$411))</f>
        <v/>
      </c>
      <c r="AA411" s="2">
        <f>IF(ISERROR($E$411),"",IF(ISBLANK($E$411),"",$E$411))</f>
        <v/>
      </c>
      <c r="AB411" s="2">
        <f>IF(ISERROR($F$411),"",IF(ISBLANK($F$411),"",$F$411))</f>
        <v/>
      </c>
      <c r="AC411" s="2">
        <f>IF(ISERROR($G$411),"",IF(ISBLANK($G$411),"",$G$411))</f>
        <v/>
      </c>
      <c r="AD411" s="2">
        <f>IF(ISERROR($H$411),"",IF(ISBLANK($H$411),"",$H$411))</f>
        <v/>
      </c>
      <c r="AE411" s="2">
        <f>IF(ISERROR($I$411),"",IF(ISBLANK($I$411),"",$I$411))</f>
        <v/>
      </c>
      <c r="AF411" s="2">
        <f>IF(ISERROR($J$411),"",IF(ISBLANK($J$411),"",$J$411))</f>
        <v/>
      </c>
      <c r="AG411" s="2">
        <f>ISERROR($B$411)*1+ISERROR($C$411)*1+ISERROR($D$411)*1+ISERROR($E$411)*1+ISERROR($F$411)*1+ISERROR($G$411)*1+ISERROR($H$411)*1+ISERROR($I$411)*1+ISERROR($J$411)*1</f>
        <v/>
      </c>
    </row>
    <row r="412" ht="15" customHeight="1">
      <c r="B412" s="8" t="inlineStr">
        <is>
          <t>Ocupação (NPC)</t>
        </is>
      </c>
      <c r="C412" s="8" t="inlineStr">
        <is>
          <t>Traço de aparência</t>
        </is>
      </c>
      <c r="D412" s="8" t="inlineStr">
        <is>
          <t>Personalidade</t>
        </is>
      </c>
      <c r="E412" s="8" t="inlineStr">
        <is>
          <t>Motivação (sem Caminho)</t>
        </is>
      </c>
      <c r="F412" s="8" t="inlineStr">
        <is>
          <t>Segredo</t>
        </is>
      </c>
      <c r="G412" s="8" t="inlineStr">
        <is>
          <t>Maneirismo e voz</t>
        </is>
      </c>
      <c r="H412" s="8" t="inlineStr">
        <is>
          <t>Caminho do NPC (peso)</t>
        </is>
      </c>
      <c r="I412" s="8" t="inlineStr">
        <is>
          <t>Atitude com o grupo</t>
        </is>
      </c>
      <c r="J412" s="8" t="inlineStr">
        <is>
          <t>Gancho do NPC</t>
        </is>
      </c>
      <c r="N412" s="2">
        <f>N411</f>
        <v/>
      </c>
      <c r="O412" s="2">
        <f>O411</f>
        <v/>
      </c>
      <c r="P412" s="2">
        <f>P411</f>
        <v/>
      </c>
      <c r="Q412" s="2">
        <f>Q411</f>
        <v/>
      </c>
      <c r="R412" s="2">
        <f>R411</f>
        <v/>
      </c>
      <c r="S412" s="2">
        <f>S411</f>
        <v/>
      </c>
      <c r="T412" s="2">
        <f>T411</f>
        <v/>
      </c>
      <c r="U412" s="2">
        <f>U411</f>
        <v/>
      </c>
      <c r="V412" s="2">
        <f>V411</f>
        <v/>
      </c>
      <c r="X412" s="2">
        <f>IF(ISERROR($B$412),"",IF(ISBLANK($B$412),"",$B$412))</f>
        <v/>
      </c>
      <c r="Y412" s="2">
        <f>IF(ISERROR($C$412),"",IF(ISBLANK($C$412),"",$C$412))</f>
        <v/>
      </c>
      <c r="Z412" s="2">
        <f>IF(ISERROR($D$412),"",IF(ISBLANK($D$412),"",$D$412))</f>
        <v/>
      </c>
      <c r="AA412" s="2">
        <f>IF(ISERROR($E$412),"",IF(ISBLANK($E$412),"",$E$412))</f>
        <v/>
      </c>
      <c r="AB412" s="2">
        <f>IF(ISERROR($F$412),"",IF(ISBLANK($F$412),"",$F$412))</f>
        <v/>
      </c>
      <c r="AC412" s="2">
        <f>IF(ISERROR($G$412),"",IF(ISBLANK($G$412),"",$G$412))</f>
        <v/>
      </c>
      <c r="AD412" s="2">
        <f>IF(ISERROR($H$412),"",IF(ISBLANK($H$412),"",$H$412))</f>
        <v/>
      </c>
      <c r="AE412" s="2">
        <f>IF(ISERROR($I$412),"",IF(ISBLANK($I$412),"",$I$412))</f>
        <v/>
      </c>
      <c r="AF412" s="2">
        <f>IF(ISERROR($J$412),"",IF(ISBLANK($J$412),"",$J$412))</f>
        <v/>
      </c>
    </row>
    <row r="413" ht="26" customHeight="1">
      <c r="B413" s="33" t="n"/>
      <c r="C413" s="4" t="n"/>
      <c r="D413" s="4" t="n"/>
      <c r="E413" s="4" t="n"/>
      <c r="F413" s="4" t="n"/>
      <c r="G413" s="4" t="n"/>
      <c r="H413" s="4" t="n"/>
      <c r="I413" s="4" t="n"/>
      <c r="J413" s="4" t="n"/>
      <c r="K413" s="19">
        <f>IF(AG413&gt;0,"O Google leu como fórmula: digite de novo com ' na frente.","")</f>
        <v/>
      </c>
      <c r="N413" s="2">
        <f>N412+IF(LEN($X$413)&gt;0,1,0)</f>
        <v/>
      </c>
      <c r="O413" s="2">
        <f>O412+IF(LEN($Y$413)&gt;0,1,0)</f>
        <v/>
      </c>
      <c r="P413" s="2">
        <f>P412+IF(LEN($Z$413)&gt;0,1,0)</f>
        <v/>
      </c>
      <c r="Q413" s="2">
        <f>Q412+IF(LEN($AA$413)&gt;0,1,0)</f>
        <v/>
      </c>
      <c r="R413" s="2">
        <f>R412+IF(LEN($AB$413)&gt;0,1,0)</f>
        <v/>
      </c>
      <c r="S413" s="2">
        <f>S412+IF(LEN($AC$413)&gt;0,1,0)</f>
        <v/>
      </c>
      <c r="T413" s="2">
        <f>T412+IF(LEN($AD$413)&gt;0,1,0)</f>
        <v/>
      </c>
      <c r="U413" s="2">
        <f>U412+IF(LEN($AE$413)&gt;0,1,0)</f>
        <v/>
      </c>
      <c r="V413" s="2">
        <f>V412+IF(LEN($AF$413)&gt;0,1,0)</f>
        <v/>
      </c>
      <c r="X413" s="2">
        <f>IF(ISERROR($B$413),"",IF(ISBLANK($B$413),"",$B$413))</f>
        <v/>
      </c>
      <c r="Y413" s="2">
        <f>IF(ISERROR($C$413),"",IF(ISBLANK($C$413),"",$C$413))</f>
        <v/>
      </c>
      <c r="Z413" s="2">
        <f>IF(ISERROR($D$413),"",IF(ISBLANK($D$413),"",$D$413))</f>
        <v/>
      </c>
      <c r="AA413" s="2">
        <f>IF(ISERROR($E$413),"",IF(ISBLANK($E$413),"",$E$413))</f>
        <v/>
      </c>
      <c r="AB413" s="2">
        <f>IF(ISERROR($F$413),"",IF(ISBLANK($F$413),"",$F$413))</f>
        <v/>
      </c>
      <c r="AC413" s="2">
        <f>IF(ISERROR($G$413),"",IF(ISBLANK($G$413),"",$G$413))</f>
        <v/>
      </c>
      <c r="AD413" s="2">
        <f>IF(ISERROR($H$413),"",IF(ISBLANK($H$413),"",$H$413))</f>
        <v/>
      </c>
      <c r="AE413" s="2">
        <f>IF(ISERROR($I$413),"",IF(ISBLANK($I$413),"",$I$413))</f>
        <v/>
      </c>
      <c r="AF413" s="2">
        <f>IF(ISERROR($J$413),"",IF(ISBLANK($J$413),"",$J$413))</f>
        <v/>
      </c>
      <c r="AG413" s="2">
        <f>ISERROR($B$413)*1+ISERROR($C$413)*1+ISERROR($D$413)*1+ISERROR($E$413)*1+ISERROR($F$413)*1+ISERROR($G$413)*1+ISERROR($H$413)*1+ISERROR($I$413)*1+ISERROR($J$413)*1</f>
        <v/>
      </c>
    </row>
    <row r="414" ht="26" customHeight="1">
      <c r="B414" s="35" t="n"/>
      <c r="C414" s="29" t="n"/>
      <c r="D414" s="29" t="n"/>
      <c r="E414" s="29" t="n"/>
      <c r="F414" s="29" t="n"/>
      <c r="G414" s="29" t="n"/>
      <c r="H414" s="29" t="n"/>
      <c r="I414" s="29" t="n"/>
      <c r="J414" s="29" t="n"/>
      <c r="K414" s="19">
        <f>IF(AG414&gt;0,"O Google leu como fórmula: digite de novo com ' na frente.","")</f>
        <v/>
      </c>
      <c r="N414" s="2">
        <f>N413+IF(LEN($X$414)&gt;0,1,0)</f>
        <v/>
      </c>
      <c r="O414" s="2">
        <f>O413+IF(LEN($Y$414)&gt;0,1,0)</f>
        <v/>
      </c>
      <c r="P414" s="2">
        <f>P413+IF(LEN($Z$414)&gt;0,1,0)</f>
        <v/>
      </c>
      <c r="Q414" s="2">
        <f>Q413+IF(LEN($AA$414)&gt;0,1,0)</f>
        <v/>
      </c>
      <c r="R414" s="2">
        <f>R413+IF(LEN($AB$414)&gt;0,1,0)</f>
        <v/>
      </c>
      <c r="S414" s="2">
        <f>S413+IF(LEN($AC$414)&gt;0,1,0)</f>
        <v/>
      </c>
      <c r="T414" s="2">
        <f>T413+IF(LEN($AD$414)&gt;0,1,0)</f>
        <v/>
      </c>
      <c r="U414" s="2">
        <f>U413+IF(LEN($AE$414)&gt;0,1,0)</f>
        <v/>
      </c>
      <c r="V414" s="2">
        <f>V413+IF(LEN($AF$414)&gt;0,1,0)</f>
        <v/>
      </c>
      <c r="X414" s="2">
        <f>IF(ISERROR($B$414),"",IF(ISBLANK($B$414),"",$B$414))</f>
        <v/>
      </c>
      <c r="Y414" s="2">
        <f>IF(ISERROR($C$414),"",IF(ISBLANK($C$414),"",$C$414))</f>
        <v/>
      </c>
      <c r="Z414" s="2">
        <f>IF(ISERROR($D$414),"",IF(ISBLANK($D$414),"",$D$414))</f>
        <v/>
      </c>
      <c r="AA414" s="2">
        <f>IF(ISERROR($E$414),"",IF(ISBLANK($E$414),"",$E$414))</f>
        <v/>
      </c>
      <c r="AB414" s="2">
        <f>IF(ISERROR($F$414),"",IF(ISBLANK($F$414),"",$F$414))</f>
        <v/>
      </c>
      <c r="AC414" s="2">
        <f>IF(ISERROR($G$414),"",IF(ISBLANK($G$414),"",$G$414))</f>
        <v/>
      </c>
      <c r="AD414" s="2">
        <f>IF(ISERROR($H$414),"",IF(ISBLANK($H$414),"",$H$414))</f>
        <v/>
      </c>
      <c r="AE414" s="2">
        <f>IF(ISERROR($I$414),"",IF(ISBLANK($I$414),"",$I$414))</f>
        <v/>
      </c>
      <c r="AF414" s="2">
        <f>IF(ISERROR($J$414),"",IF(ISBLANK($J$414),"",$J$414))</f>
        <v/>
      </c>
      <c r="AG414" s="2">
        <f>ISERROR($B$414)*1+ISERROR($C$414)*1+ISERROR($D$414)*1+ISERROR($E$414)*1+ISERROR($F$414)*1+ISERROR($G$414)*1+ISERROR($H$414)*1+ISERROR($I$414)*1+ISERROR($J$414)*1</f>
        <v/>
      </c>
    </row>
    <row r="415" ht="26" customHeight="1">
      <c r="B415" s="33" t="n"/>
      <c r="C415" s="4" t="n"/>
      <c r="D415" s="4" t="n"/>
      <c r="E415" s="4" t="n"/>
      <c r="F415" s="4" t="n"/>
      <c r="G415" s="4" t="n"/>
      <c r="H415" s="4" t="n"/>
      <c r="I415" s="4" t="n"/>
      <c r="J415" s="4" t="n"/>
      <c r="K415" s="19">
        <f>IF(AG415&gt;0,"O Google leu como fórmula: digite de novo com ' na frente.","")</f>
        <v/>
      </c>
      <c r="N415" s="2">
        <f>N414+IF(LEN($X$415)&gt;0,1,0)</f>
        <v/>
      </c>
      <c r="O415" s="2">
        <f>O414+IF(LEN($Y$415)&gt;0,1,0)</f>
        <v/>
      </c>
      <c r="P415" s="2">
        <f>P414+IF(LEN($Z$415)&gt;0,1,0)</f>
        <v/>
      </c>
      <c r="Q415" s="2">
        <f>Q414+IF(LEN($AA$415)&gt;0,1,0)</f>
        <v/>
      </c>
      <c r="R415" s="2">
        <f>R414+IF(LEN($AB$415)&gt;0,1,0)</f>
        <v/>
      </c>
      <c r="S415" s="2">
        <f>S414+IF(LEN($AC$415)&gt;0,1,0)</f>
        <v/>
      </c>
      <c r="T415" s="2">
        <f>T414+IF(LEN($AD$415)&gt;0,1,0)</f>
        <v/>
      </c>
      <c r="U415" s="2">
        <f>U414+IF(LEN($AE$415)&gt;0,1,0)</f>
        <v/>
      </c>
      <c r="V415" s="2">
        <f>V414+IF(LEN($AF$415)&gt;0,1,0)</f>
        <v/>
      </c>
      <c r="X415" s="2">
        <f>IF(ISERROR($B$415),"",IF(ISBLANK($B$415),"",$B$415))</f>
        <v/>
      </c>
      <c r="Y415" s="2">
        <f>IF(ISERROR($C$415),"",IF(ISBLANK($C$415),"",$C$415))</f>
        <v/>
      </c>
      <c r="Z415" s="2">
        <f>IF(ISERROR($D$415),"",IF(ISBLANK($D$415),"",$D$415))</f>
        <v/>
      </c>
      <c r="AA415" s="2">
        <f>IF(ISERROR($E$415),"",IF(ISBLANK($E$415),"",$E$415))</f>
        <v/>
      </c>
      <c r="AB415" s="2">
        <f>IF(ISERROR($F$415),"",IF(ISBLANK($F$415),"",$F$415))</f>
        <v/>
      </c>
      <c r="AC415" s="2">
        <f>IF(ISERROR($G$415),"",IF(ISBLANK($G$415),"",$G$415))</f>
        <v/>
      </c>
      <c r="AD415" s="2">
        <f>IF(ISERROR($H$415),"",IF(ISBLANK($H$415),"",$H$415))</f>
        <v/>
      </c>
      <c r="AE415" s="2">
        <f>IF(ISERROR($I$415),"",IF(ISBLANK($I$415),"",$I$415))</f>
        <v/>
      </c>
      <c r="AF415" s="2">
        <f>IF(ISERROR($J$415),"",IF(ISBLANK($J$415),"",$J$415))</f>
        <v/>
      </c>
      <c r="AG415" s="2">
        <f>ISERROR($B$415)*1+ISERROR($C$415)*1+ISERROR($D$415)*1+ISERROR($E$415)*1+ISERROR($F$415)*1+ISERROR($G$415)*1+ISERROR($H$415)*1+ISERROR($I$415)*1+ISERROR($J$415)*1</f>
        <v/>
      </c>
    </row>
    <row r="416" ht="26" customHeight="1">
      <c r="B416" s="35" t="n"/>
      <c r="C416" s="29" t="n"/>
      <c r="D416" s="29" t="n"/>
      <c r="E416" s="29" t="n"/>
      <c r="F416" s="29" t="n"/>
      <c r="G416" s="29" t="n"/>
      <c r="H416" s="29" t="n"/>
      <c r="I416" s="29" t="n"/>
      <c r="J416" s="29" t="n"/>
      <c r="K416" s="19">
        <f>IF(AG416&gt;0,"O Google leu como fórmula: digite de novo com ' na frente.","")</f>
        <v/>
      </c>
      <c r="N416" s="2">
        <f>N415+IF(LEN($X$416)&gt;0,1,0)</f>
        <v/>
      </c>
      <c r="O416" s="2">
        <f>O415+IF(LEN($Y$416)&gt;0,1,0)</f>
        <v/>
      </c>
      <c r="P416" s="2">
        <f>P415+IF(LEN($Z$416)&gt;0,1,0)</f>
        <v/>
      </c>
      <c r="Q416" s="2">
        <f>Q415+IF(LEN($AA$416)&gt;0,1,0)</f>
        <v/>
      </c>
      <c r="R416" s="2">
        <f>R415+IF(LEN($AB$416)&gt;0,1,0)</f>
        <v/>
      </c>
      <c r="S416" s="2">
        <f>S415+IF(LEN($AC$416)&gt;0,1,0)</f>
        <v/>
      </c>
      <c r="T416" s="2">
        <f>T415+IF(LEN($AD$416)&gt;0,1,0)</f>
        <v/>
      </c>
      <c r="U416" s="2">
        <f>U415+IF(LEN($AE$416)&gt;0,1,0)</f>
        <v/>
      </c>
      <c r="V416" s="2">
        <f>V415+IF(LEN($AF$416)&gt;0,1,0)</f>
        <v/>
      </c>
      <c r="X416" s="2">
        <f>IF(ISERROR($B$416),"",IF(ISBLANK($B$416),"",$B$416))</f>
        <v/>
      </c>
      <c r="Y416" s="2">
        <f>IF(ISERROR($C$416),"",IF(ISBLANK($C$416),"",$C$416))</f>
        <v/>
      </c>
      <c r="Z416" s="2">
        <f>IF(ISERROR($D$416),"",IF(ISBLANK($D$416),"",$D$416))</f>
        <v/>
      </c>
      <c r="AA416" s="2">
        <f>IF(ISERROR($E$416),"",IF(ISBLANK($E$416),"",$E$416))</f>
        <v/>
      </c>
      <c r="AB416" s="2">
        <f>IF(ISERROR($F$416),"",IF(ISBLANK($F$416),"",$F$416))</f>
        <v/>
      </c>
      <c r="AC416" s="2">
        <f>IF(ISERROR($G$416),"",IF(ISBLANK($G$416),"",$G$416))</f>
        <v/>
      </c>
      <c r="AD416" s="2">
        <f>IF(ISERROR($H$416),"",IF(ISBLANK($H$416),"",$H$416))</f>
        <v/>
      </c>
      <c r="AE416" s="2">
        <f>IF(ISERROR($I$416),"",IF(ISBLANK($I$416),"",$I$416))</f>
        <v/>
      </c>
      <c r="AF416" s="2">
        <f>IF(ISERROR($J$416),"",IF(ISBLANK($J$416),"",$J$416))</f>
        <v/>
      </c>
      <c r="AG416" s="2">
        <f>ISERROR($B$416)*1+ISERROR($C$416)*1+ISERROR($D$416)*1+ISERROR($E$416)*1+ISERROR($F$416)*1+ISERROR($G$416)*1+ISERROR($H$416)*1+ISERROR($I$416)*1+ISERROR($J$416)*1</f>
        <v/>
      </c>
    </row>
    <row r="417" ht="26" customHeight="1">
      <c r="B417" s="33" t="n"/>
      <c r="C417" s="4" t="n"/>
      <c r="D417" s="4" t="n"/>
      <c r="E417" s="4" t="n"/>
      <c r="F417" s="4" t="n"/>
      <c r="G417" s="4" t="n"/>
      <c r="H417" s="4" t="n"/>
      <c r="I417" s="4" t="n"/>
      <c r="J417" s="4" t="n"/>
      <c r="K417" s="19">
        <f>IF(AG417&gt;0,"O Google leu como fórmula: digite de novo com ' na frente.","")</f>
        <v/>
      </c>
      <c r="N417" s="2">
        <f>N416+IF(LEN($X$417)&gt;0,1,0)</f>
        <v/>
      </c>
      <c r="O417" s="2">
        <f>O416+IF(LEN($Y$417)&gt;0,1,0)</f>
        <v/>
      </c>
      <c r="P417" s="2">
        <f>P416+IF(LEN($Z$417)&gt;0,1,0)</f>
        <v/>
      </c>
      <c r="Q417" s="2">
        <f>Q416+IF(LEN($AA$417)&gt;0,1,0)</f>
        <v/>
      </c>
      <c r="R417" s="2">
        <f>R416+IF(LEN($AB$417)&gt;0,1,0)</f>
        <v/>
      </c>
      <c r="S417" s="2">
        <f>S416+IF(LEN($AC$417)&gt;0,1,0)</f>
        <v/>
      </c>
      <c r="T417" s="2">
        <f>T416+IF(LEN($AD$417)&gt;0,1,0)</f>
        <v/>
      </c>
      <c r="U417" s="2">
        <f>U416+IF(LEN($AE$417)&gt;0,1,0)</f>
        <v/>
      </c>
      <c r="V417" s="2">
        <f>V416+IF(LEN($AF$417)&gt;0,1,0)</f>
        <v/>
      </c>
      <c r="X417" s="2">
        <f>IF(ISERROR($B$417),"",IF(ISBLANK($B$417),"",$B$417))</f>
        <v/>
      </c>
      <c r="Y417" s="2">
        <f>IF(ISERROR($C$417),"",IF(ISBLANK($C$417),"",$C$417))</f>
        <v/>
      </c>
      <c r="Z417" s="2">
        <f>IF(ISERROR($D$417),"",IF(ISBLANK($D$417),"",$D$417))</f>
        <v/>
      </c>
      <c r="AA417" s="2">
        <f>IF(ISERROR($E$417),"",IF(ISBLANK($E$417),"",$E$417))</f>
        <v/>
      </c>
      <c r="AB417" s="2">
        <f>IF(ISERROR($F$417),"",IF(ISBLANK($F$417),"",$F$417))</f>
        <v/>
      </c>
      <c r="AC417" s="2">
        <f>IF(ISERROR($G$417),"",IF(ISBLANK($G$417),"",$G$417))</f>
        <v/>
      </c>
      <c r="AD417" s="2">
        <f>IF(ISERROR($H$417),"",IF(ISBLANK($H$417),"",$H$417))</f>
        <v/>
      </c>
      <c r="AE417" s="2">
        <f>IF(ISERROR($I$417),"",IF(ISBLANK($I$417),"",$I$417))</f>
        <v/>
      </c>
      <c r="AF417" s="2">
        <f>IF(ISERROR($J$417),"",IF(ISBLANK($J$417),"",$J$417))</f>
        <v/>
      </c>
      <c r="AG417" s="2">
        <f>ISERROR($B$417)*1+ISERROR($C$417)*1+ISERROR($D$417)*1+ISERROR($E$417)*1+ISERROR($F$417)*1+ISERROR($G$417)*1+ISERROR($H$417)*1+ISERROR($I$417)*1+ISERROR($J$417)*1</f>
        <v/>
      </c>
    </row>
    <row r="418" ht="26" customHeight="1">
      <c r="B418" s="35" t="n"/>
      <c r="C418" s="29" t="n"/>
      <c r="D418" s="29" t="n"/>
      <c r="E418" s="29" t="n"/>
      <c r="F418" s="29" t="n"/>
      <c r="G418" s="29" t="n"/>
      <c r="H418" s="29" t="n"/>
      <c r="I418" s="29" t="n"/>
      <c r="J418" s="29" t="n"/>
      <c r="K418" s="19">
        <f>IF(AG418&gt;0,"O Google leu como fórmula: digite de novo com ' na frente.","")</f>
        <v/>
      </c>
      <c r="N418" s="2">
        <f>N417+IF(LEN($X$418)&gt;0,1,0)</f>
        <v/>
      </c>
      <c r="O418" s="2">
        <f>O417+IF(LEN($Y$418)&gt;0,1,0)</f>
        <v/>
      </c>
      <c r="P418" s="2">
        <f>P417+IF(LEN($Z$418)&gt;0,1,0)</f>
        <v/>
      </c>
      <c r="Q418" s="2">
        <f>Q417+IF(LEN($AA$418)&gt;0,1,0)</f>
        <v/>
      </c>
      <c r="R418" s="2">
        <f>R417+IF(LEN($AB$418)&gt;0,1,0)</f>
        <v/>
      </c>
      <c r="S418" s="2">
        <f>S417+IF(LEN($AC$418)&gt;0,1,0)</f>
        <v/>
      </c>
      <c r="T418" s="2">
        <f>T417+IF(LEN($AD$418)&gt;0,1,0)</f>
        <v/>
      </c>
      <c r="U418" s="2">
        <f>U417+IF(LEN($AE$418)&gt;0,1,0)</f>
        <v/>
      </c>
      <c r="V418" s="2">
        <f>V417+IF(LEN($AF$418)&gt;0,1,0)</f>
        <v/>
      </c>
      <c r="X418" s="2">
        <f>IF(ISERROR($B$418),"",IF(ISBLANK($B$418),"",$B$418))</f>
        <v/>
      </c>
      <c r="Y418" s="2">
        <f>IF(ISERROR($C$418),"",IF(ISBLANK($C$418),"",$C$418))</f>
        <v/>
      </c>
      <c r="Z418" s="2">
        <f>IF(ISERROR($D$418),"",IF(ISBLANK($D$418),"",$D$418))</f>
        <v/>
      </c>
      <c r="AA418" s="2">
        <f>IF(ISERROR($E$418),"",IF(ISBLANK($E$418),"",$E$418))</f>
        <v/>
      </c>
      <c r="AB418" s="2">
        <f>IF(ISERROR($F$418),"",IF(ISBLANK($F$418),"",$F$418))</f>
        <v/>
      </c>
      <c r="AC418" s="2">
        <f>IF(ISERROR($G$418),"",IF(ISBLANK($G$418),"",$G$418))</f>
        <v/>
      </c>
      <c r="AD418" s="2">
        <f>IF(ISERROR($H$418),"",IF(ISBLANK($H$418),"",$H$418))</f>
        <v/>
      </c>
      <c r="AE418" s="2">
        <f>IF(ISERROR($I$418),"",IF(ISBLANK($I$418),"",$I$418))</f>
        <v/>
      </c>
      <c r="AF418" s="2">
        <f>IF(ISERROR($J$418),"",IF(ISBLANK($J$418),"",$J$418))</f>
        <v/>
      </c>
      <c r="AG418" s="2">
        <f>ISERROR($B$418)*1+ISERROR($C$418)*1+ISERROR($D$418)*1+ISERROR($E$418)*1+ISERROR($F$418)*1+ISERROR($G$418)*1+ISERROR($H$418)*1+ISERROR($I$418)*1+ISERROR($J$418)*1</f>
        <v/>
      </c>
    </row>
    <row r="419" ht="26" customHeight="1">
      <c r="B419" s="33" t="n"/>
      <c r="C419" s="4" t="n"/>
      <c r="D419" s="4" t="n"/>
      <c r="E419" s="4" t="n"/>
      <c r="F419" s="4" t="n"/>
      <c r="G419" s="4" t="n"/>
      <c r="H419" s="4" t="n"/>
      <c r="I419" s="4" t="n"/>
      <c r="J419" s="4" t="n"/>
      <c r="K419" s="19">
        <f>IF(AG419&gt;0,"O Google leu como fórmula: digite de novo com ' na frente.","")</f>
        <v/>
      </c>
      <c r="N419" s="2">
        <f>N418+IF(LEN($X$419)&gt;0,1,0)</f>
        <v/>
      </c>
      <c r="O419" s="2">
        <f>O418+IF(LEN($Y$419)&gt;0,1,0)</f>
        <v/>
      </c>
      <c r="P419" s="2">
        <f>P418+IF(LEN($Z$419)&gt;0,1,0)</f>
        <v/>
      </c>
      <c r="Q419" s="2">
        <f>Q418+IF(LEN($AA$419)&gt;0,1,0)</f>
        <v/>
      </c>
      <c r="R419" s="2">
        <f>R418+IF(LEN($AB$419)&gt;0,1,0)</f>
        <v/>
      </c>
      <c r="S419" s="2">
        <f>S418+IF(LEN($AC$419)&gt;0,1,0)</f>
        <v/>
      </c>
      <c r="T419" s="2">
        <f>T418+IF(LEN($AD$419)&gt;0,1,0)</f>
        <v/>
      </c>
      <c r="U419" s="2">
        <f>U418+IF(LEN($AE$419)&gt;0,1,0)</f>
        <v/>
      </c>
      <c r="V419" s="2">
        <f>V418+IF(LEN($AF$419)&gt;0,1,0)</f>
        <v/>
      </c>
      <c r="X419" s="2">
        <f>IF(ISERROR($B$419),"",IF(ISBLANK($B$419),"",$B$419))</f>
        <v/>
      </c>
      <c r="Y419" s="2">
        <f>IF(ISERROR($C$419),"",IF(ISBLANK($C$419),"",$C$419))</f>
        <v/>
      </c>
      <c r="Z419" s="2">
        <f>IF(ISERROR($D$419),"",IF(ISBLANK($D$419),"",$D$419))</f>
        <v/>
      </c>
      <c r="AA419" s="2">
        <f>IF(ISERROR($E$419),"",IF(ISBLANK($E$419),"",$E$419))</f>
        <v/>
      </c>
      <c r="AB419" s="2">
        <f>IF(ISERROR($F$419),"",IF(ISBLANK($F$419),"",$F$419))</f>
        <v/>
      </c>
      <c r="AC419" s="2">
        <f>IF(ISERROR($G$419),"",IF(ISBLANK($G$419),"",$G$419))</f>
        <v/>
      </c>
      <c r="AD419" s="2">
        <f>IF(ISERROR($H$419),"",IF(ISBLANK($H$419),"",$H$419))</f>
        <v/>
      </c>
      <c r="AE419" s="2">
        <f>IF(ISERROR($I$419),"",IF(ISBLANK($I$419),"",$I$419))</f>
        <v/>
      </c>
      <c r="AF419" s="2">
        <f>IF(ISERROR($J$419),"",IF(ISBLANK($J$419),"",$J$419))</f>
        <v/>
      </c>
      <c r="AG419" s="2">
        <f>ISERROR($B$419)*1+ISERROR($C$419)*1+ISERROR($D$419)*1+ISERROR($E$419)*1+ISERROR($F$419)*1+ISERROR($G$419)*1+ISERROR($H$419)*1+ISERROR($I$419)*1+ISERROR($J$419)*1</f>
        <v/>
      </c>
    </row>
    <row r="420" ht="26" customHeight="1">
      <c r="B420" s="35" t="n"/>
      <c r="C420" s="29" t="n"/>
      <c r="D420" s="29" t="n"/>
      <c r="E420" s="29" t="n"/>
      <c r="F420" s="29" t="n"/>
      <c r="G420" s="29" t="n"/>
      <c r="H420" s="29" t="n"/>
      <c r="I420" s="29" t="n"/>
      <c r="J420" s="29" t="n"/>
      <c r="K420" s="19">
        <f>IF(AG420&gt;0,"O Google leu como fórmula: digite de novo com ' na frente.","")</f>
        <v/>
      </c>
      <c r="N420" s="2">
        <f>N419+IF(LEN($X$420)&gt;0,1,0)</f>
        <v/>
      </c>
      <c r="O420" s="2">
        <f>O419+IF(LEN($Y$420)&gt;0,1,0)</f>
        <v/>
      </c>
      <c r="P420" s="2">
        <f>P419+IF(LEN($Z$420)&gt;0,1,0)</f>
        <v/>
      </c>
      <c r="Q420" s="2">
        <f>Q419+IF(LEN($AA$420)&gt;0,1,0)</f>
        <v/>
      </c>
      <c r="R420" s="2">
        <f>R419+IF(LEN($AB$420)&gt;0,1,0)</f>
        <v/>
      </c>
      <c r="S420" s="2">
        <f>S419+IF(LEN($AC$420)&gt;0,1,0)</f>
        <v/>
      </c>
      <c r="T420" s="2">
        <f>T419+IF(LEN($AD$420)&gt;0,1,0)</f>
        <v/>
      </c>
      <c r="U420" s="2">
        <f>U419+IF(LEN($AE$420)&gt;0,1,0)</f>
        <v/>
      </c>
      <c r="V420" s="2">
        <f>V419+IF(LEN($AF$420)&gt;0,1,0)</f>
        <v/>
      </c>
      <c r="X420" s="2">
        <f>IF(ISERROR($B$420),"",IF(ISBLANK($B$420),"",$B$420))</f>
        <v/>
      </c>
      <c r="Y420" s="2">
        <f>IF(ISERROR($C$420),"",IF(ISBLANK($C$420),"",$C$420))</f>
        <v/>
      </c>
      <c r="Z420" s="2">
        <f>IF(ISERROR($D$420),"",IF(ISBLANK($D$420),"",$D$420))</f>
        <v/>
      </c>
      <c r="AA420" s="2">
        <f>IF(ISERROR($E$420),"",IF(ISBLANK($E$420),"",$E$420))</f>
        <v/>
      </c>
      <c r="AB420" s="2">
        <f>IF(ISERROR($F$420),"",IF(ISBLANK($F$420),"",$F$420))</f>
        <v/>
      </c>
      <c r="AC420" s="2">
        <f>IF(ISERROR($G$420),"",IF(ISBLANK($G$420),"",$G$420))</f>
        <v/>
      </c>
      <c r="AD420" s="2">
        <f>IF(ISERROR($H$420),"",IF(ISBLANK($H$420),"",$H$420))</f>
        <v/>
      </c>
      <c r="AE420" s="2">
        <f>IF(ISERROR($I$420),"",IF(ISBLANK($I$420),"",$I$420))</f>
        <v/>
      </c>
      <c r="AF420" s="2">
        <f>IF(ISERROR($J$420),"",IF(ISBLANK($J$420),"",$J$420))</f>
        <v/>
      </c>
      <c r="AG420" s="2">
        <f>ISERROR($B$420)*1+ISERROR($C$420)*1+ISERROR($D$420)*1+ISERROR($E$420)*1+ISERROR($F$420)*1+ISERROR($G$420)*1+ISERROR($H$420)*1+ISERROR($I$420)*1+ISERROR($J$420)*1</f>
        <v/>
      </c>
    </row>
    <row r="421" ht="26" customHeight="1">
      <c r="B421" s="33" t="n"/>
      <c r="C421" s="4" t="n"/>
      <c r="D421" s="4" t="n"/>
      <c r="E421" s="4" t="n"/>
      <c r="F421" s="4" t="n"/>
      <c r="G421" s="4" t="n"/>
      <c r="H421" s="4" t="n"/>
      <c r="I421" s="4" t="n"/>
      <c r="J421" s="4" t="n"/>
      <c r="K421" s="19">
        <f>IF(AG421&gt;0,"O Google leu como fórmula: digite de novo com ' na frente.","")</f>
        <v/>
      </c>
      <c r="N421" s="2">
        <f>N420+IF(LEN($X$421)&gt;0,1,0)</f>
        <v/>
      </c>
      <c r="O421" s="2">
        <f>O420+IF(LEN($Y$421)&gt;0,1,0)</f>
        <v/>
      </c>
      <c r="P421" s="2">
        <f>P420+IF(LEN($Z$421)&gt;0,1,0)</f>
        <v/>
      </c>
      <c r="Q421" s="2">
        <f>Q420+IF(LEN($AA$421)&gt;0,1,0)</f>
        <v/>
      </c>
      <c r="R421" s="2">
        <f>R420+IF(LEN($AB$421)&gt;0,1,0)</f>
        <v/>
      </c>
      <c r="S421" s="2">
        <f>S420+IF(LEN($AC$421)&gt;0,1,0)</f>
        <v/>
      </c>
      <c r="T421" s="2">
        <f>T420+IF(LEN($AD$421)&gt;0,1,0)</f>
        <v/>
      </c>
      <c r="U421" s="2">
        <f>U420+IF(LEN($AE$421)&gt;0,1,0)</f>
        <v/>
      </c>
      <c r="V421" s="2">
        <f>V420+IF(LEN($AF$421)&gt;0,1,0)</f>
        <v/>
      </c>
      <c r="X421" s="2">
        <f>IF(ISERROR($B$421),"",IF(ISBLANK($B$421),"",$B$421))</f>
        <v/>
      </c>
      <c r="Y421" s="2">
        <f>IF(ISERROR($C$421),"",IF(ISBLANK($C$421),"",$C$421))</f>
        <v/>
      </c>
      <c r="Z421" s="2">
        <f>IF(ISERROR($D$421),"",IF(ISBLANK($D$421),"",$D$421))</f>
        <v/>
      </c>
      <c r="AA421" s="2">
        <f>IF(ISERROR($E$421),"",IF(ISBLANK($E$421),"",$E$421))</f>
        <v/>
      </c>
      <c r="AB421" s="2">
        <f>IF(ISERROR($F$421),"",IF(ISBLANK($F$421),"",$F$421))</f>
        <v/>
      </c>
      <c r="AC421" s="2">
        <f>IF(ISERROR($G$421),"",IF(ISBLANK($G$421),"",$G$421))</f>
        <v/>
      </c>
      <c r="AD421" s="2">
        <f>IF(ISERROR($H$421),"",IF(ISBLANK($H$421),"",$H$421))</f>
        <v/>
      </c>
      <c r="AE421" s="2">
        <f>IF(ISERROR($I$421),"",IF(ISBLANK($I$421),"",$I$421))</f>
        <v/>
      </c>
      <c r="AF421" s="2">
        <f>IF(ISERROR($J$421),"",IF(ISBLANK($J$421),"",$J$421))</f>
        <v/>
      </c>
      <c r="AG421" s="2">
        <f>ISERROR($B$421)*1+ISERROR($C$421)*1+ISERROR($D$421)*1+ISERROR($E$421)*1+ISERROR($F$421)*1+ISERROR($G$421)*1+ISERROR($H$421)*1+ISERROR($I$421)*1+ISERROR($J$421)*1</f>
        <v/>
      </c>
    </row>
    <row r="422" ht="26" customHeight="1">
      <c r="B422" s="35" t="n"/>
      <c r="C422" s="29" t="n"/>
      <c r="D422" s="29" t="n"/>
      <c r="E422" s="29" t="n"/>
      <c r="F422" s="29" t="n"/>
      <c r="G422" s="29" t="n"/>
      <c r="H422" s="29" t="n"/>
      <c r="I422" s="29" t="n"/>
      <c r="J422" s="29" t="n"/>
      <c r="K422" s="19">
        <f>IF(AG422&gt;0,"O Google leu como fórmula: digite de novo com ' na frente.","")</f>
        <v/>
      </c>
      <c r="N422" s="2">
        <f>N421+IF(LEN($X$422)&gt;0,1,0)</f>
        <v/>
      </c>
      <c r="O422" s="2">
        <f>O421+IF(LEN($Y$422)&gt;0,1,0)</f>
        <v/>
      </c>
      <c r="P422" s="2">
        <f>P421+IF(LEN($Z$422)&gt;0,1,0)</f>
        <v/>
      </c>
      <c r="Q422" s="2">
        <f>Q421+IF(LEN($AA$422)&gt;0,1,0)</f>
        <v/>
      </c>
      <c r="R422" s="2">
        <f>R421+IF(LEN($AB$422)&gt;0,1,0)</f>
        <v/>
      </c>
      <c r="S422" s="2">
        <f>S421+IF(LEN($AC$422)&gt;0,1,0)</f>
        <v/>
      </c>
      <c r="T422" s="2">
        <f>T421+IF(LEN($AD$422)&gt;0,1,0)</f>
        <v/>
      </c>
      <c r="U422" s="2">
        <f>U421+IF(LEN($AE$422)&gt;0,1,0)</f>
        <v/>
      </c>
      <c r="V422" s="2">
        <f>V421+IF(LEN($AF$422)&gt;0,1,0)</f>
        <v/>
      </c>
      <c r="X422" s="2">
        <f>IF(ISERROR($B$422),"",IF(ISBLANK($B$422),"",$B$422))</f>
        <v/>
      </c>
      <c r="Y422" s="2">
        <f>IF(ISERROR($C$422),"",IF(ISBLANK($C$422),"",$C$422))</f>
        <v/>
      </c>
      <c r="Z422" s="2">
        <f>IF(ISERROR($D$422),"",IF(ISBLANK($D$422),"",$D$422))</f>
        <v/>
      </c>
      <c r="AA422" s="2">
        <f>IF(ISERROR($E$422),"",IF(ISBLANK($E$422),"",$E$422))</f>
        <v/>
      </c>
      <c r="AB422" s="2">
        <f>IF(ISERROR($F$422),"",IF(ISBLANK($F$422),"",$F$422))</f>
        <v/>
      </c>
      <c r="AC422" s="2">
        <f>IF(ISERROR($G$422),"",IF(ISBLANK($G$422),"",$G$422))</f>
        <v/>
      </c>
      <c r="AD422" s="2">
        <f>IF(ISERROR($H$422),"",IF(ISBLANK($H$422),"",$H$422))</f>
        <v/>
      </c>
      <c r="AE422" s="2">
        <f>IF(ISERROR($I$422),"",IF(ISBLANK($I$422),"",$I$422))</f>
        <v/>
      </c>
      <c r="AF422" s="2">
        <f>IF(ISERROR($J$422),"",IF(ISBLANK($J$422),"",$J$422))</f>
        <v/>
      </c>
      <c r="AG422" s="2">
        <f>ISERROR($B$422)*1+ISERROR($C$422)*1+ISERROR($D$422)*1+ISERROR($E$422)*1+ISERROR($F$422)*1+ISERROR($G$422)*1+ISERROR($H$422)*1+ISERROR($I$422)*1+ISERROR($J$422)*1</f>
        <v/>
      </c>
    </row>
    <row r="423" ht="26" customHeight="1">
      <c r="B423" s="33" t="n"/>
      <c r="C423" s="4" t="n"/>
      <c r="D423" s="4" t="n"/>
      <c r="E423" s="4" t="n"/>
      <c r="F423" s="4" t="n"/>
      <c r="G423" s="4" t="n"/>
      <c r="H423" s="4" t="n"/>
      <c r="I423" s="4" t="n"/>
      <c r="J423" s="4" t="n"/>
      <c r="K423" s="19">
        <f>IF(AG423&gt;0,"O Google leu como fórmula: digite de novo com ' na frente.","")</f>
        <v/>
      </c>
      <c r="N423" s="2">
        <f>N422+IF(LEN($X$423)&gt;0,1,0)</f>
        <v/>
      </c>
      <c r="O423" s="2">
        <f>O422+IF(LEN($Y$423)&gt;0,1,0)</f>
        <v/>
      </c>
      <c r="P423" s="2">
        <f>P422+IF(LEN($Z$423)&gt;0,1,0)</f>
        <v/>
      </c>
      <c r="Q423" s="2">
        <f>Q422+IF(LEN($AA$423)&gt;0,1,0)</f>
        <v/>
      </c>
      <c r="R423" s="2">
        <f>R422+IF(LEN($AB$423)&gt;0,1,0)</f>
        <v/>
      </c>
      <c r="S423" s="2">
        <f>S422+IF(LEN($AC$423)&gt;0,1,0)</f>
        <v/>
      </c>
      <c r="T423" s="2">
        <f>T422+IF(LEN($AD$423)&gt;0,1,0)</f>
        <v/>
      </c>
      <c r="U423" s="2">
        <f>U422+IF(LEN($AE$423)&gt;0,1,0)</f>
        <v/>
      </c>
      <c r="V423" s="2">
        <f>V422+IF(LEN($AF$423)&gt;0,1,0)</f>
        <v/>
      </c>
      <c r="X423" s="2">
        <f>IF(ISERROR($B$423),"",IF(ISBLANK($B$423),"",$B$423))</f>
        <v/>
      </c>
      <c r="Y423" s="2">
        <f>IF(ISERROR($C$423),"",IF(ISBLANK($C$423),"",$C$423))</f>
        <v/>
      </c>
      <c r="Z423" s="2">
        <f>IF(ISERROR($D$423),"",IF(ISBLANK($D$423),"",$D$423))</f>
        <v/>
      </c>
      <c r="AA423" s="2">
        <f>IF(ISERROR($E$423),"",IF(ISBLANK($E$423),"",$E$423))</f>
        <v/>
      </c>
      <c r="AB423" s="2">
        <f>IF(ISERROR($F$423),"",IF(ISBLANK($F$423),"",$F$423))</f>
        <v/>
      </c>
      <c r="AC423" s="2">
        <f>IF(ISERROR($G$423),"",IF(ISBLANK($G$423),"",$G$423))</f>
        <v/>
      </c>
      <c r="AD423" s="2">
        <f>IF(ISERROR($H$423),"",IF(ISBLANK($H$423),"",$H$423))</f>
        <v/>
      </c>
      <c r="AE423" s="2">
        <f>IF(ISERROR($I$423),"",IF(ISBLANK($I$423),"",$I$423))</f>
        <v/>
      </c>
      <c r="AF423" s="2">
        <f>IF(ISERROR($J$423),"",IF(ISBLANK($J$423),"",$J$423))</f>
        <v/>
      </c>
      <c r="AG423" s="2">
        <f>ISERROR($B$423)*1+ISERROR($C$423)*1+ISERROR($D$423)*1+ISERROR($E$423)*1+ISERROR($F$423)*1+ISERROR($G$423)*1+ISERROR($H$423)*1+ISERROR($I$423)*1+ISERROR($J$423)*1</f>
        <v/>
      </c>
    </row>
    <row r="424" ht="26" customHeight="1">
      <c r="B424" s="35" t="n"/>
      <c r="C424" s="29" t="n"/>
      <c r="D424" s="29" t="n"/>
      <c r="E424" s="29" t="n"/>
      <c r="F424" s="29" t="n"/>
      <c r="G424" s="29" t="n"/>
      <c r="H424" s="29" t="n"/>
      <c r="I424" s="29" t="n"/>
      <c r="J424" s="29" t="n"/>
      <c r="K424" s="19">
        <f>IF(AG424&gt;0,"O Google leu como fórmula: digite de novo com ' na frente.","")</f>
        <v/>
      </c>
      <c r="N424" s="2">
        <f>N423+IF(LEN($X$424)&gt;0,1,0)</f>
        <v/>
      </c>
      <c r="O424" s="2">
        <f>O423+IF(LEN($Y$424)&gt;0,1,0)</f>
        <v/>
      </c>
      <c r="P424" s="2">
        <f>P423+IF(LEN($Z$424)&gt;0,1,0)</f>
        <v/>
      </c>
      <c r="Q424" s="2">
        <f>Q423+IF(LEN($AA$424)&gt;0,1,0)</f>
        <v/>
      </c>
      <c r="R424" s="2">
        <f>R423+IF(LEN($AB$424)&gt;0,1,0)</f>
        <v/>
      </c>
      <c r="S424" s="2">
        <f>S423+IF(LEN($AC$424)&gt;0,1,0)</f>
        <v/>
      </c>
      <c r="T424" s="2">
        <f>T423+IF(LEN($AD$424)&gt;0,1,0)</f>
        <v/>
      </c>
      <c r="U424" s="2">
        <f>U423+IF(LEN($AE$424)&gt;0,1,0)</f>
        <v/>
      </c>
      <c r="V424" s="2">
        <f>V423+IF(LEN($AF$424)&gt;0,1,0)</f>
        <v/>
      </c>
      <c r="X424" s="2">
        <f>IF(ISERROR($B$424),"",IF(ISBLANK($B$424),"",$B$424))</f>
        <v/>
      </c>
      <c r="Y424" s="2">
        <f>IF(ISERROR($C$424),"",IF(ISBLANK($C$424),"",$C$424))</f>
        <v/>
      </c>
      <c r="Z424" s="2">
        <f>IF(ISERROR($D$424),"",IF(ISBLANK($D$424),"",$D$424))</f>
        <v/>
      </c>
      <c r="AA424" s="2">
        <f>IF(ISERROR($E$424),"",IF(ISBLANK($E$424),"",$E$424))</f>
        <v/>
      </c>
      <c r="AB424" s="2">
        <f>IF(ISERROR($F$424),"",IF(ISBLANK($F$424),"",$F$424))</f>
        <v/>
      </c>
      <c r="AC424" s="2">
        <f>IF(ISERROR($G$424),"",IF(ISBLANK($G$424),"",$G$424))</f>
        <v/>
      </c>
      <c r="AD424" s="2">
        <f>IF(ISERROR($H$424),"",IF(ISBLANK($H$424),"",$H$424))</f>
        <v/>
      </c>
      <c r="AE424" s="2">
        <f>IF(ISERROR($I$424),"",IF(ISBLANK($I$424),"",$I$424))</f>
        <v/>
      </c>
      <c r="AF424" s="2">
        <f>IF(ISERROR($J$424),"",IF(ISBLANK($J$424),"",$J$424))</f>
        <v/>
      </c>
      <c r="AG424" s="2">
        <f>ISERROR($B$424)*1+ISERROR($C$424)*1+ISERROR($D$424)*1+ISERROR($E$424)*1+ISERROR($F$424)*1+ISERROR($G$424)*1+ISERROR($H$424)*1+ISERROR($I$424)*1+ISERROR($J$424)*1</f>
        <v/>
      </c>
    </row>
    <row r="425" ht="26" customHeight="1">
      <c r="B425" s="33" t="n"/>
      <c r="C425" s="4" t="n"/>
      <c r="D425" s="4" t="n"/>
      <c r="E425" s="4" t="n"/>
      <c r="F425" s="4" t="n"/>
      <c r="G425" s="4" t="n"/>
      <c r="H425" s="4" t="n"/>
      <c r="I425" s="4" t="n"/>
      <c r="J425" s="4" t="n"/>
      <c r="K425" s="19">
        <f>IF(AG425&gt;0,"O Google leu como fórmula: digite de novo com ' na frente.","")</f>
        <v/>
      </c>
      <c r="N425" s="2">
        <f>N424+IF(LEN($X$425)&gt;0,1,0)</f>
        <v/>
      </c>
      <c r="O425" s="2">
        <f>O424+IF(LEN($Y$425)&gt;0,1,0)</f>
        <v/>
      </c>
      <c r="P425" s="2">
        <f>P424+IF(LEN($Z$425)&gt;0,1,0)</f>
        <v/>
      </c>
      <c r="Q425" s="2">
        <f>Q424+IF(LEN($AA$425)&gt;0,1,0)</f>
        <v/>
      </c>
      <c r="R425" s="2">
        <f>R424+IF(LEN($AB$425)&gt;0,1,0)</f>
        <v/>
      </c>
      <c r="S425" s="2">
        <f>S424+IF(LEN($AC$425)&gt;0,1,0)</f>
        <v/>
      </c>
      <c r="T425" s="2">
        <f>T424+IF(LEN($AD$425)&gt;0,1,0)</f>
        <v/>
      </c>
      <c r="U425" s="2">
        <f>U424+IF(LEN($AE$425)&gt;0,1,0)</f>
        <v/>
      </c>
      <c r="V425" s="2">
        <f>V424+IF(LEN($AF$425)&gt;0,1,0)</f>
        <v/>
      </c>
      <c r="X425" s="2">
        <f>IF(ISERROR($B$425),"",IF(ISBLANK($B$425),"",$B$425))</f>
        <v/>
      </c>
      <c r="Y425" s="2">
        <f>IF(ISERROR($C$425),"",IF(ISBLANK($C$425),"",$C$425))</f>
        <v/>
      </c>
      <c r="Z425" s="2">
        <f>IF(ISERROR($D$425),"",IF(ISBLANK($D$425),"",$D$425))</f>
        <v/>
      </c>
      <c r="AA425" s="2">
        <f>IF(ISERROR($E$425),"",IF(ISBLANK($E$425),"",$E$425))</f>
        <v/>
      </c>
      <c r="AB425" s="2">
        <f>IF(ISERROR($F$425),"",IF(ISBLANK($F$425),"",$F$425))</f>
        <v/>
      </c>
      <c r="AC425" s="2">
        <f>IF(ISERROR($G$425),"",IF(ISBLANK($G$425),"",$G$425))</f>
        <v/>
      </c>
      <c r="AD425" s="2">
        <f>IF(ISERROR($H$425),"",IF(ISBLANK($H$425),"",$H$425))</f>
        <v/>
      </c>
      <c r="AE425" s="2">
        <f>IF(ISERROR($I$425),"",IF(ISBLANK($I$425),"",$I$425))</f>
        <v/>
      </c>
      <c r="AF425" s="2">
        <f>IF(ISERROR($J$425),"",IF(ISBLANK($J$425),"",$J$425))</f>
        <v/>
      </c>
      <c r="AG425" s="2">
        <f>ISERROR($B$425)*1+ISERROR($C$425)*1+ISERROR($D$425)*1+ISERROR($E$425)*1+ISERROR($F$425)*1+ISERROR($G$425)*1+ISERROR($H$425)*1+ISERROR($I$425)*1+ISERROR($J$425)*1</f>
        <v/>
      </c>
    </row>
    <row r="426" ht="15" customHeight="1">
      <c r="B426" s="8" t="inlineStr">
        <is>
          <t>Ocupação (NPC)</t>
        </is>
      </c>
      <c r="C426" s="8" t="inlineStr">
        <is>
          <t>Traço de aparência</t>
        </is>
      </c>
      <c r="D426" s="8" t="inlineStr">
        <is>
          <t>Personalidade</t>
        </is>
      </c>
      <c r="E426" s="8" t="inlineStr">
        <is>
          <t>Motivação (sem Caminho)</t>
        </is>
      </c>
      <c r="F426" s="8" t="inlineStr">
        <is>
          <t>Segredo</t>
        </is>
      </c>
      <c r="G426" s="8" t="inlineStr">
        <is>
          <t>Maneirismo e voz</t>
        </is>
      </c>
      <c r="H426" s="8" t="inlineStr">
        <is>
          <t>Caminho do NPC (peso)</t>
        </is>
      </c>
      <c r="I426" s="8" t="inlineStr">
        <is>
          <t>Atitude com o grupo</t>
        </is>
      </c>
      <c r="J426" s="8" t="inlineStr">
        <is>
          <t>Gancho do NPC</t>
        </is>
      </c>
      <c r="N426" s="2">
        <f>N425</f>
        <v/>
      </c>
      <c r="O426" s="2">
        <f>O425</f>
        <v/>
      </c>
      <c r="P426" s="2">
        <f>P425</f>
        <v/>
      </c>
      <c r="Q426" s="2">
        <f>Q425</f>
        <v/>
      </c>
      <c r="R426" s="2">
        <f>R425</f>
        <v/>
      </c>
      <c r="S426" s="2">
        <f>S425</f>
        <v/>
      </c>
      <c r="T426" s="2">
        <f>T425</f>
        <v/>
      </c>
      <c r="U426" s="2">
        <f>U425</f>
        <v/>
      </c>
      <c r="V426" s="2">
        <f>V425</f>
        <v/>
      </c>
      <c r="X426" s="2">
        <f>IF(ISERROR($B$426),"",IF(ISBLANK($B$426),"",$B$426))</f>
        <v/>
      </c>
      <c r="Y426" s="2">
        <f>IF(ISERROR($C$426),"",IF(ISBLANK($C$426),"",$C$426))</f>
        <v/>
      </c>
      <c r="Z426" s="2">
        <f>IF(ISERROR($D$426),"",IF(ISBLANK($D$426),"",$D$426))</f>
        <v/>
      </c>
      <c r="AA426" s="2">
        <f>IF(ISERROR($E$426),"",IF(ISBLANK($E$426),"",$E$426))</f>
        <v/>
      </c>
      <c r="AB426" s="2">
        <f>IF(ISERROR($F$426),"",IF(ISBLANK($F$426),"",$F$426))</f>
        <v/>
      </c>
      <c r="AC426" s="2">
        <f>IF(ISERROR($G$426),"",IF(ISBLANK($G$426),"",$G$426))</f>
        <v/>
      </c>
      <c r="AD426" s="2">
        <f>IF(ISERROR($H$426),"",IF(ISBLANK($H$426),"",$H$426))</f>
        <v/>
      </c>
      <c r="AE426" s="2">
        <f>IF(ISERROR($I$426),"",IF(ISBLANK($I$426),"",$I$426))</f>
        <v/>
      </c>
      <c r="AF426" s="2">
        <f>IF(ISERROR($J$426),"",IF(ISBLANK($J$426),"",$J$426))</f>
        <v/>
      </c>
    </row>
    <row r="427" ht="26" customHeight="1">
      <c r="B427" s="33" t="n"/>
      <c r="C427" s="4" t="n"/>
      <c r="D427" s="4" t="n"/>
      <c r="E427" s="4" t="n"/>
      <c r="F427" s="4" t="n"/>
      <c r="G427" s="4" t="n"/>
      <c r="H427" s="4" t="n"/>
      <c r="I427" s="4" t="n"/>
      <c r="J427" s="4" t="n"/>
      <c r="K427" s="19">
        <f>IF(AG427&gt;0,"O Google leu como fórmula: digite de novo com ' na frente.","")</f>
        <v/>
      </c>
      <c r="N427" s="2">
        <f>N426+IF(LEN($X$427)&gt;0,1,0)</f>
        <v/>
      </c>
      <c r="O427" s="2">
        <f>O426+IF(LEN($Y$427)&gt;0,1,0)</f>
        <v/>
      </c>
      <c r="P427" s="2">
        <f>P426+IF(LEN($Z$427)&gt;0,1,0)</f>
        <v/>
      </c>
      <c r="Q427" s="2">
        <f>Q426+IF(LEN($AA$427)&gt;0,1,0)</f>
        <v/>
      </c>
      <c r="R427" s="2">
        <f>R426+IF(LEN($AB$427)&gt;0,1,0)</f>
        <v/>
      </c>
      <c r="S427" s="2">
        <f>S426+IF(LEN($AC$427)&gt;0,1,0)</f>
        <v/>
      </c>
      <c r="T427" s="2">
        <f>T426+IF(LEN($AD$427)&gt;0,1,0)</f>
        <v/>
      </c>
      <c r="U427" s="2">
        <f>U426+IF(LEN($AE$427)&gt;0,1,0)</f>
        <v/>
      </c>
      <c r="V427" s="2">
        <f>V426+IF(LEN($AF$427)&gt;0,1,0)</f>
        <v/>
      </c>
      <c r="X427" s="2">
        <f>IF(ISERROR($B$427),"",IF(ISBLANK($B$427),"",$B$427))</f>
        <v/>
      </c>
      <c r="Y427" s="2">
        <f>IF(ISERROR($C$427),"",IF(ISBLANK($C$427),"",$C$427))</f>
        <v/>
      </c>
      <c r="Z427" s="2">
        <f>IF(ISERROR($D$427),"",IF(ISBLANK($D$427),"",$D$427))</f>
        <v/>
      </c>
      <c r="AA427" s="2">
        <f>IF(ISERROR($E$427),"",IF(ISBLANK($E$427),"",$E$427))</f>
        <v/>
      </c>
      <c r="AB427" s="2">
        <f>IF(ISERROR($F$427),"",IF(ISBLANK($F$427),"",$F$427))</f>
        <v/>
      </c>
      <c r="AC427" s="2">
        <f>IF(ISERROR($G$427),"",IF(ISBLANK($G$427),"",$G$427))</f>
        <v/>
      </c>
      <c r="AD427" s="2">
        <f>IF(ISERROR($H$427),"",IF(ISBLANK($H$427),"",$H$427))</f>
        <v/>
      </c>
      <c r="AE427" s="2">
        <f>IF(ISERROR($I$427),"",IF(ISBLANK($I$427),"",$I$427))</f>
        <v/>
      </c>
      <c r="AF427" s="2">
        <f>IF(ISERROR($J$427),"",IF(ISBLANK($J$427),"",$J$427))</f>
        <v/>
      </c>
      <c r="AG427" s="2">
        <f>ISERROR($B$427)*1+ISERROR($C$427)*1+ISERROR($D$427)*1+ISERROR($E$427)*1+ISERROR($F$427)*1+ISERROR($G$427)*1+ISERROR($H$427)*1+ISERROR($I$427)*1+ISERROR($J$427)*1</f>
        <v/>
      </c>
    </row>
    <row r="428" ht="26" customHeight="1">
      <c r="B428" s="35" t="n"/>
      <c r="C428" s="29" t="n"/>
      <c r="D428" s="29" t="n"/>
      <c r="E428" s="29" t="n"/>
      <c r="F428" s="29" t="n"/>
      <c r="G428" s="29" t="n"/>
      <c r="H428" s="29" t="n"/>
      <c r="I428" s="29" t="n"/>
      <c r="J428" s="29" t="n"/>
      <c r="K428" s="19">
        <f>IF(AG428&gt;0,"O Google leu como fórmula: digite de novo com ' na frente.","")</f>
        <v/>
      </c>
      <c r="N428" s="2">
        <f>N427+IF(LEN($X$428)&gt;0,1,0)</f>
        <v/>
      </c>
      <c r="O428" s="2">
        <f>O427+IF(LEN($Y$428)&gt;0,1,0)</f>
        <v/>
      </c>
      <c r="P428" s="2">
        <f>P427+IF(LEN($Z$428)&gt;0,1,0)</f>
        <v/>
      </c>
      <c r="Q428" s="2">
        <f>Q427+IF(LEN($AA$428)&gt;0,1,0)</f>
        <v/>
      </c>
      <c r="R428" s="2">
        <f>R427+IF(LEN($AB$428)&gt;0,1,0)</f>
        <v/>
      </c>
      <c r="S428" s="2">
        <f>S427+IF(LEN($AC$428)&gt;0,1,0)</f>
        <v/>
      </c>
      <c r="T428" s="2">
        <f>T427+IF(LEN($AD$428)&gt;0,1,0)</f>
        <v/>
      </c>
      <c r="U428" s="2">
        <f>U427+IF(LEN($AE$428)&gt;0,1,0)</f>
        <v/>
      </c>
      <c r="V428" s="2">
        <f>V427+IF(LEN($AF$428)&gt;0,1,0)</f>
        <v/>
      </c>
      <c r="X428" s="2">
        <f>IF(ISERROR($B$428),"",IF(ISBLANK($B$428),"",$B$428))</f>
        <v/>
      </c>
      <c r="Y428" s="2">
        <f>IF(ISERROR($C$428),"",IF(ISBLANK($C$428),"",$C$428))</f>
        <v/>
      </c>
      <c r="Z428" s="2">
        <f>IF(ISERROR($D$428),"",IF(ISBLANK($D$428),"",$D$428))</f>
        <v/>
      </c>
      <c r="AA428" s="2">
        <f>IF(ISERROR($E$428),"",IF(ISBLANK($E$428),"",$E$428))</f>
        <v/>
      </c>
      <c r="AB428" s="2">
        <f>IF(ISERROR($F$428),"",IF(ISBLANK($F$428),"",$F$428))</f>
        <v/>
      </c>
      <c r="AC428" s="2">
        <f>IF(ISERROR($G$428),"",IF(ISBLANK($G$428),"",$G$428))</f>
        <v/>
      </c>
      <c r="AD428" s="2">
        <f>IF(ISERROR($H$428),"",IF(ISBLANK($H$428),"",$H$428))</f>
        <v/>
      </c>
      <c r="AE428" s="2">
        <f>IF(ISERROR($I$428),"",IF(ISBLANK($I$428),"",$I$428))</f>
        <v/>
      </c>
      <c r="AF428" s="2">
        <f>IF(ISERROR($J$428),"",IF(ISBLANK($J$428),"",$J$428))</f>
        <v/>
      </c>
      <c r="AG428" s="2">
        <f>ISERROR($B$428)*1+ISERROR($C$428)*1+ISERROR($D$428)*1+ISERROR($E$428)*1+ISERROR($F$428)*1+ISERROR($G$428)*1+ISERROR($H$428)*1+ISERROR($I$428)*1+ISERROR($J$428)*1</f>
        <v/>
      </c>
    </row>
    <row r="429" ht="26" customHeight="1">
      <c r="B429" s="33" t="n"/>
      <c r="C429" s="4" t="n"/>
      <c r="D429" s="4" t="n"/>
      <c r="E429" s="4" t="n"/>
      <c r="F429" s="4" t="n"/>
      <c r="G429" s="4" t="n"/>
      <c r="H429" s="4" t="n"/>
      <c r="I429" s="4" t="n"/>
      <c r="J429" s="4" t="n"/>
      <c r="K429" s="19">
        <f>IF(AG429&gt;0,"O Google leu como fórmula: digite de novo com ' na frente.","")</f>
        <v/>
      </c>
      <c r="N429" s="2">
        <f>N428+IF(LEN($X$429)&gt;0,1,0)</f>
        <v/>
      </c>
      <c r="O429" s="2">
        <f>O428+IF(LEN($Y$429)&gt;0,1,0)</f>
        <v/>
      </c>
      <c r="P429" s="2">
        <f>P428+IF(LEN($Z$429)&gt;0,1,0)</f>
        <v/>
      </c>
      <c r="Q429" s="2">
        <f>Q428+IF(LEN($AA$429)&gt;0,1,0)</f>
        <v/>
      </c>
      <c r="R429" s="2">
        <f>R428+IF(LEN($AB$429)&gt;0,1,0)</f>
        <v/>
      </c>
      <c r="S429" s="2">
        <f>S428+IF(LEN($AC$429)&gt;0,1,0)</f>
        <v/>
      </c>
      <c r="T429" s="2">
        <f>T428+IF(LEN($AD$429)&gt;0,1,0)</f>
        <v/>
      </c>
      <c r="U429" s="2">
        <f>U428+IF(LEN($AE$429)&gt;0,1,0)</f>
        <v/>
      </c>
      <c r="V429" s="2">
        <f>V428+IF(LEN($AF$429)&gt;0,1,0)</f>
        <v/>
      </c>
      <c r="X429" s="2">
        <f>IF(ISERROR($B$429),"",IF(ISBLANK($B$429),"",$B$429))</f>
        <v/>
      </c>
      <c r="Y429" s="2">
        <f>IF(ISERROR($C$429),"",IF(ISBLANK($C$429),"",$C$429))</f>
        <v/>
      </c>
      <c r="Z429" s="2">
        <f>IF(ISERROR($D$429),"",IF(ISBLANK($D$429),"",$D$429))</f>
        <v/>
      </c>
      <c r="AA429" s="2">
        <f>IF(ISERROR($E$429),"",IF(ISBLANK($E$429),"",$E$429))</f>
        <v/>
      </c>
      <c r="AB429" s="2">
        <f>IF(ISERROR($F$429),"",IF(ISBLANK($F$429),"",$F$429))</f>
        <v/>
      </c>
      <c r="AC429" s="2">
        <f>IF(ISERROR($G$429),"",IF(ISBLANK($G$429),"",$G$429))</f>
        <v/>
      </c>
      <c r="AD429" s="2">
        <f>IF(ISERROR($H$429),"",IF(ISBLANK($H$429),"",$H$429))</f>
        <v/>
      </c>
      <c r="AE429" s="2">
        <f>IF(ISERROR($I$429),"",IF(ISBLANK($I$429),"",$I$429))</f>
        <v/>
      </c>
      <c r="AF429" s="2">
        <f>IF(ISERROR($J$429),"",IF(ISBLANK($J$429),"",$J$429))</f>
        <v/>
      </c>
      <c r="AG429" s="2">
        <f>ISERROR($B$429)*1+ISERROR($C$429)*1+ISERROR($D$429)*1+ISERROR($E$429)*1+ISERROR($F$429)*1+ISERROR($G$429)*1+ISERROR($H$429)*1+ISERROR($I$429)*1+ISERROR($J$429)*1</f>
        <v/>
      </c>
    </row>
    <row r="430" ht="26" customHeight="1">
      <c r="B430" s="35" t="n"/>
      <c r="C430" s="29" t="n"/>
      <c r="D430" s="29" t="n"/>
      <c r="E430" s="29" t="n"/>
      <c r="F430" s="29" t="n"/>
      <c r="G430" s="29" t="n"/>
      <c r="H430" s="29" t="n"/>
      <c r="I430" s="29" t="n"/>
      <c r="J430" s="29" t="n"/>
      <c r="K430" s="19">
        <f>IF(AG430&gt;0,"O Google leu como fórmula: digite de novo com ' na frente.","")</f>
        <v/>
      </c>
      <c r="N430" s="2">
        <f>N429+IF(LEN($X$430)&gt;0,1,0)</f>
        <v/>
      </c>
      <c r="O430" s="2">
        <f>O429+IF(LEN($Y$430)&gt;0,1,0)</f>
        <v/>
      </c>
      <c r="P430" s="2">
        <f>P429+IF(LEN($Z$430)&gt;0,1,0)</f>
        <v/>
      </c>
      <c r="Q430" s="2">
        <f>Q429+IF(LEN($AA$430)&gt;0,1,0)</f>
        <v/>
      </c>
      <c r="R430" s="2">
        <f>R429+IF(LEN($AB$430)&gt;0,1,0)</f>
        <v/>
      </c>
      <c r="S430" s="2">
        <f>S429+IF(LEN($AC$430)&gt;0,1,0)</f>
        <v/>
      </c>
      <c r="T430" s="2">
        <f>T429+IF(LEN($AD$430)&gt;0,1,0)</f>
        <v/>
      </c>
      <c r="U430" s="2">
        <f>U429+IF(LEN($AE$430)&gt;0,1,0)</f>
        <v/>
      </c>
      <c r="V430" s="2">
        <f>V429+IF(LEN($AF$430)&gt;0,1,0)</f>
        <v/>
      </c>
      <c r="X430" s="2">
        <f>IF(ISERROR($B$430),"",IF(ISBLANK($B$430),"",$B$430))</f>
        <v/>
      </c>
      <c r="Y430" s="2">
        <f>IF(ISERROR($C$430),"",IF(ISBLANK($C$430),"",$C$430))</f>
        <v/>
      </c>
      <c r="Z430" s="2">
        <f>IF(ISERROR($D$430),"",IF(ISBLANK($D$430),"",$D$430))</f>
        <v/>
      </c>
      <c r="AA430" s="2">
        <f>IF(ISERROR($E$430),"",IF(ISBLANK($E$430),"",$E$430))</f>
        <v/>
      </c>
      <c r="AB430" s="2">
        <f>IF(ISERROR($F$430),"",IF(ISBLANK($F$430),"",$F$430))</f>
        <v/>
      </c>
      <c r="AC430" s="2">
        <f>IF(ISERROR($G$430),"",IF(ISBLANK($G$430),"",$G$430))</f>
        <v/>
      </c>
      <c r="AD430" s="2">
        <f>IF(ISERROR($H$430),"",IF(ISBLANK($H$430),"",$H$430))</f>
        <v/>
      </c>
      <c r="AE430" s="2">
        <f>IF(ISERROR($I$430),"",IF(ISBLANK($I$430),"",$I$430))</f>
        <v/>
      </c>
      <c r="AF430" s="2">
        <f>IF(ISERROR($J$430),"",IF(ISBLANK($J$430),"",$J$430))</f>
        <v/>
      </c>
      <c r="AG430" s="2">
        <f>ISERROR($B$430)*1+ISERROR($C$430)*1+ISERROR($D$430)*1+ISERROR($E$430)*1+ISERROR($F$430)*1+ISERROR($G$430)*1+ISERROR($H$430)*1+ISERROR($I$430)*1+ISERROR($J$430)*1</f>
        <v/>
      </c>
    </row>
    <row r="431" ht="26" customHeight="1">
      <c r="B431" s="33" t="n"/>
      <c r="C431" s="4" t="n"/>
      <c r="D431" s="4" t="n"/>
      <c r="E431" s="4" t="n"/>
      <c r="F431" s="4" t="n"/>
      <c r="G431" s="4" t="n"/>
      <c r="H431" s="4" t="n"/>
      <c r="I431" s="4" t="n"/>
      <c r="J431" s="4" t="n"/>
      <c r="K431" s="19">
        <f>IF(AG431&gt;0,"O Google leu como fórmula: digite de novo com ' na frente.","")</f>
        <v/>
      </c>
      <c r="N431" s="2">
        <f>N430+IF(LEN($X$431)&gt;0,1,0)</f>
        <v/>
      </c>
      <c r="O431" s="2">
        <f>O430+IF(LEN($Y$431)&gt;0,1,0)</f>
        <v/>
      </c>
      <c r="P431" s="2">
        <f>P430+IF(LEN($Z$431)&gt;0,1,0)</f>
        <v/>
      </c>
      <c r="Q431" s="2">
        <f>Q430+IF(LEN($AA$431)&gt;0,1,0)</f>
        <v/>
      </c>
      <c r="R431" s="2">
        <f>R430+IF(LEN($AB$431)&gt;0,1,0)</f>
        <v/>
      </c>
      <c r="S431" s="2">
        <f>S430+IF(LEN($AC$431)&gt;0,1,0)</f>
        <v/>
      </c>
      <c r="T431" s="2">
        <f>T430+IF(LEN($AD$431)&gt;0,1,0)</f>
        <v/>
      </c>
      <c r="U431" s="2">
        <f>U430+IF(LEN($AE$431)&gt;0,1,0)</f>
        <v/>
      </c>
      <c r="V431" s="2">
        <f>V430+IF(LEN($AF$431)&gt;0,1,0)</f>
        <v/>
      </c>
      <c r="X431" s="2">
        <f>IF(ISERROR($B$431),"",IF(ISBLANK($B$431),"",$B$431))</f>
        <v/>
      </c>
      <c r="Y431" s="2">
        <f>IF(ISERROR($C$431),"",IF(ISBLANK($C$431),"",$C$431))</f>
        <v/>
      </c>
      <c r="Z431" s="2">
        <f>IF(ISERROR($D$431),"",IF(ISBLANK($D$431),"",$D$431))</f>
        <v/>
      </c>
      <c r="AA431" s="2">
        <f>IF(ISERROR($E$431),"",IF(ISBLANK($E$431),"",$E$431))</f>
        <v/>
      </c>
      <c r="AB431" s="2">
        <f>IF(ISERROR($F$431),"",IF(ISBLANK($F$431),"",$F$431))</f>
        <v/>
      </c>
      <c r="AC431" s="2">
        <f>IF(ISERROR($G$431),"",IF(ISBLANK($G$431),"",$G$431))</f>
        <v/>
      </c>
      <c r="AD431" s="2">
        <f>IF(ISERROR($H$431),"",IF(ISBLANK($H$431),"",$H$431))</f>
        <v/>
      </c>
      <c r="AE431" s="2">
        <f>IF(ISERROR($I$431),"",IF(ISBLANK($I$431),"",$I$431))</f>
        <v/>
      </c>
      <c r="AF431" s="2">
        <f>IF(ISERROR($J$431),"",IF(ISBLANK($J$431),"",$J$431))</f>
        <v/>
      </c>
      <c r="AG431" s="2">
        <f>ISERROR($B$431)*1+ISERROR($C$431)*1+ISERROR($D$431)*1+ISERROR($E$431)*1+ISERROR($F$431)*1+ISERROR($G$431)*1+ISERROR($H$431)*1+ISERROR($I$431)*1+ISERROR($J$431)*1</f>
        <v/>
      </c>
    </row>
    <row r="432" ht="26" customHeight="1">
      <c r="B432" s="35" t="n"/>
      <c r="C432" s="29" t="n"/>
      <c r="D432" s="29" t="n"/>
      <c r="E432" s="29" t="n"/>
      <c r="F432" s="29" t="n"/>
      <c r="G432" s="29" t="n"/>
      <c r="H432" s="29" t="n"/>
      <c r="I432" s="29" t="n"/>
      <c r="J432" s="29" t="n"/>
      <c r="K432" s="19">
        <f>IF(AG432&gt;0,"O Google leu como fórmula: digite de novo com ' na frente.","")</f>
        <v/>
      </c>
      <c r="N432" s="2">
        <f>N431+IF(LEN($X$432)&gt;0,1,0)</f>
        <v/>
      </c>
      <c r="O432" s="2">
        <f>O431+IF(LEN($Y$432)&gt;0,1,0)</f>
        <v/>
      </c>
      <c r="P432" s="2">
        <f>P431+IF(LEN($Z$432)&gt;0,1,0)</f>
        <v/>
      </c>
      <c r="Q432" s="2">
        <f>Q431+IF(LEN($AA$432)&gt;0,1,0)</f>
        <v/>
      </c>
      <c r="R432" s="2">
        <f>R431+IF(LEN($AB$432)&gt;0,1,0)</f>
        <v/>
      </c>
      <c r="S432" s="2">
        <f>S431+IF(LEN($AC$432)&gt;0,1,0)</f>
        <v/>
      </c>
      <c r="T432" s="2">
        <f>T431+IF(LEN($AD$432)&gt;0,1,0)</f>
        <v/>
      </c>
      <c r="U432" s="2">
        <f>U431+IF(LEN($AE$432)&gt;0,1,0)</f>
        <v/>
      </c>
      <c r="V432" s="2">
        <f>V431+IF(LEN($AF$432)&gt;0,1,0)</f>
        <v/>
      </c>
      <c r="X432" s="2">
        <f>IF(ISERROR($B$432),"",IF(ISBLANK($B$432),"",$B$432))</f>
        <v/>
      </c>
      <c r="Y432" s="2">
        <f>IF(ISERROR($C$432),"",IF(ISBLANK($C$432),"",$C$432))</f>
        <v/>
      </c>
      <c r="Z432" s="2">
        <f>IF(ISERROR($D$432),"",IF(ISBLANK($D$432),"",$D$432))</f>
        <v/>
      </c>
      <c r="AA432" s="2">
        <f>IF(ISERROR($E$432),"",IF(ISBLANK($E$432),"",$E$432))</f>
        <v/>
      </c>
      <c r="AB432" s="2">
        <f>IF(ISERROR($F$432),"",IF(ISBLANK($F$432),"",$F$432))</f>
        <v/>
      </c>
      <c r="AC432" s="2">
        <f>IF(ISERROR($G$432),"",IF(ISBLANK($G$432),"",$G$432))</f>
        <v/>
      </c>
      <c r="AD432" s="2">
        <f>IF(ISERROR($H$432),"",IF(ISBLANK($H$432),"",$H$432))</f>
        <v/>
      </c>
      <c r="AE432" s="2">
        <f>IF(ISERROR($I$432),"",IF(ISBLANK($I$432),"",$I$432))</f>
        <v/>
      </c>
      <c r="AF432" s="2">
        <f>IF(ISERROR($J$432),"",IF(ISBLANK($J$432),"",$J$432))</f>
        <v/>
      </c>
      <c r="AG432" s="2">
        <f>ISERROR($B$432)*1+ISERROR($C$432)*1+ISERROR($D$432)*1+ISERROR($E$432)*1+ISERROR($F$432)*1+ISERROR($G$432)*1+ISERROR($H$432)*1+ISERROR($I$432)*1+ISERROR($J$432)*1</f>
        <v/>
      </c>
    </row>
    <row r="433" ht="26" customHeight="1">
      <c r="B433" s="33" t="n"/>
      <c r="C433" s="4" t="n"/>
      <c r="D433" s="4" t="n"/>
      <c r="E433" s="4" t="n"/>
      <c r="F433" s="4" t="n"/>
      <c r="G433" s="4" t="n"/>
      <c r="H433" s="4" t="n"/>
      <c r="I433" s="4" t="n"/>
      <c r="J433" s="4" t="n"/>
      <c r="K433" s="19">
        <f>IF(AG433&gt;0,"O Google leu como fórmula: digite de novo com ' na frente.","")</f>
        <v/>
      </c>
      <c r="N433" s="2">
        <f>N432+IF(LEN($X$433)&gt;0,1,0)</f>
        <v/>
      </c>
      <c r="O433" s="2">
        <f>O432+IF(LEN($Y$433)&gt;0,1,0)</f>
        <v/>
      </c>
      <c r="P433" s="2">
        <f>P432+IF(LEN($Z$433)&gt;0,1,0)</f>
        <v/>
      </c>
      <c r="Q433" s="2">
        <f>Q432+IF(LEN($AA$433)&gt;0,1,0)</f>
        <v/>
      </c>
      <c r="R433" s="2">
        <f>R432+IF(LEN($AB$433)&gt;0,1,0)</f>
        <v/>
      </c>
      <c r="S433" s="2">
        <f>S432+IF(LEN($AC$433)&gt;0,1,0)</f>
        <v/>
      </c>
      <c r="T433" s="2">
        <f>T432+IF(LEN($AD$433)&gt;0,1,0)</f>
        <v/>
      </c>
      <c r="U433" s="2">
        <f>U432+IF(LEN($AE$433)&gt;0,1,0)</f>
        <v/>
      </c>
      <c r="V433" s="2">
        <f>V432+IF(LEN($AF$433)&gt;0,1,0)</f>
        <v/>
      </c>
      <c r="X433" s="2">
        <f>IF(ISERROR($B$433),"",IF(ISBLANK($B$433),"",$B$433))</f>
        <v/>
      </c>
      <c r="Y433" s="2">
        <f>IF(ISERROR($C$433),"",IF(ISBLANK($C$433),"",$C$433))</f>
        <v/>
      </c>
      <c r="Z433" s="2">
        <f>IF(ISERROR($D$433),"",IF(ISBLANK($D$433),"",$D$433))</f>
        <v/>
      </c>
      <c r="AA433" s="2">
        <f>IF(ISERROR($E$433),"",IF(ISBLANK($E$433),"",$E$433))</f>
        <v/>
      </c>
      <c r="AB433" s="2">
        <f>IF(ISERROR($F$433),"",IF(ISBLANK($F$433),"",$F$433))</f>
        <v/>
      </c>
      <c r="AC433" s="2">
        <f>IF(ISERROR($G$433),"",IF(ISBLANK($G$433),"",$G$433))</f>
        <v/>
      </c>
      <c r="AD433" s="2">
        <f>IF(ISERROR($H$433),"",IF(ISBLANK($H$433),"",$H$433))</f>
        <v/>
      </c>
      <c r="AE433" s="2">
        <f>IF(ISERROR($I$433),"",IF(ISBLANK($I$433),"",$I$433))</f>
        <v/>
      </c>
      <c r="AF433" s="2">
        <f>IF(ISERROR($J$433),"",IF(ISBLANK($J$433),"",$J$433))</f>
        <v/>
      </c>
      <c r="AG433" s="2">
        <f>ISERROR($B$433)*1+ISERROR($C$433)*1+ISERROR($D$433)*1+ISERROR($E$433)*1+ISERROR($F$433)*1+ISERROR($G$433)*1+ISERROR($H$433)*1+ISERROR($I$433)*1+ISERROR($J$433)*1</f>
        <v/>
      </c>
    </row>
    <row r="434" ht="26" customHeight="1">
      <c r="B434" s="35" t="n"/>
      <c r="C434" s="29" t="n"/>
      <c r="D434" s="29" t="n"/>
      <c r="E434" s="29" t="n"/>
      <c r="F434" s="29" t="n"/>
      <c r="G434" s="29" t="n"/>
      <c r="H434" s="29" t="n"/>
      <c r="I434" s="29" t="n"/>
      <c r="J434" s="29" t="n"/>
      <c r="K434" s="19">
        <f>IF(AG434&gt;0,"O Google leu como fórmula: digite de novo com ' na frente.","")</f>
        <v/>
      </c>
      <c r="N434" s="2">
        <f>N433+IF(LEN($X$434)&gt;0,1,0)</f>
        <v/>
      </c>
      <c r="O434" s="2">
        <f>O433+IF(LEN($Y$434)&gt;0,1,0)</f>
        <v/>
      </c>
      <c r="P434" s="2">
        <f>P433+IF(LEN($Z$434)&gt;0,1,0)</f>
        <v/>
      </c>
      <c r="Q434" s="2">
        <f>Q433+IF(LEN($AA$434)&gt;0,1,0)</f>
        <v/>
      </c>
      <c r="R434" s="2">
        <f>R433+IF(LEN($AB$434)&gt;0,1,0)</f>
        <v/>
      </c>
      <c r="S434" s="2">
        <f>S433+IF(LEN($AC$434)&gt;0,1,0)</f>
        <v/>
      </c>
      <c r="T434" s="2">
        <f>T433+IF(LEN($AD$434)&gt;0,1,0)</f>
        <v/>
      </c>
      <c r="U434" s="2">
        <f>U433+IF(LEN($AE$434)&gt;0,1,0)</f>
        <v/>
      </c>
      <c r="V434" s="2">
        <f>V433+IF(LEN($AF$434)&gt;0,1,0)</f>
        <v/>
      </c>
      <c r="X434" s="2">
        <f>IF(ISERROR($B$434),"",IF(ISBLANK($B$434),"",$B$434))</f>
        <v/>
      </c>
      <c r="Y434" s="2">
        <f>IF(ISERROR($C$434),"",IF(ISBLANK($C$434),"",$C$434))</f>
        <v/>
      </c>
      <c r="Z434" s="2">
        <f>IF(ISERROR($D$434),"",IF(ISBLANK($D$434),"",$D$434))</f>
        <v/>
      </c>
      <c r="AA434" s="2">
        <f>IF(ISERROR($E$434),"",IF(ISBLANK($E$434),"",$E$434))</f>
        <v/>
      </c>
      <c r="AB434" s="2">
        <f>IF(ISERROR($F$434),"",IF(ISBLANK($F$434),"",$F$434))</f>
        <v/>
      </c>
      <c r="AC434" s="2">
        <f>IF(ISERROR($G$434),"",IF(ISBLANK($G$434),"",$G$434))</f>
        <v/>
      </c>
      <c r="AD434" s="2">
        <f>IF(ISERROR($H$434),"",IF(ISBLANK($H$434),"",$H$434))</f>
        <v/>
      </c>
      <c r="AE434" s="2">
        <f>IF(ISERROR($I$434),"",IF(ISBLANK($I$434),"",$I$434))</f>
        <v/>
      </c>
      <c r="AF434" s="2">
        <f>IF(ISERROR($J$434),"",IF(ISBLANK($J$434),"",$J$434))</f>
        <v/>
      </c>
      <c r="AG434" s="2">
        <f>ISERROR($B$434)*1+ISERROR($C$434)*1+ISERROR($D$434)*1+ISERROR($E$434)*1+ISERROR($F$434)*1+ISERROR($G$434)*1+ISERROR($H$434)*1+ISERROR($I$434)*1+ISERROR($J$434)*1</f>
        <v/>
      </c>
    </row>
    <row r="435" ht="26" customHeight="1">
      <c r="B435" s="33" t="n"/>
      <c r="C435" s="4" t="n"/>
      <c r="D435" s="4" t="n"/>
      <c r="E435" s="4" t="n"/>
      <c r="F435" s="4" t="n"/>
      <c r="G435" s="4" t="n"/>
      <c r="H435" s="4" t="n"/>
      <c r="I435" s="4" t="n"/>
      <c r="J435" s="4" t="n"/>
      <c r="K435" s="19">
        <f>IF(AG435&gt;0,"O Google leu como fórmula: digite de novo com ' na frente.","")</f>
        <v/>
      </c>
      <c r="N435" s="2">
        <f>N434+IF(LEN($X$435)&gt;0,1,0)</f>
        <v/>
      </c>
      <c r="O435" s="2">
        <f>O434+IF(LEN($Y$435)&gt;0,1,0)</f>
        <v/>
      </c>
      <c r="P435" s="2">
        <f>P434+IF(LEN($Z$435)&gt;0,1,0)</f>
        <v/>
      </c>
      <c r="Q435" s="2">
        <f>Q434+IF(LEN($AA$435)&gt;0,1,0)</f>
        <v/>
      </c>
      <c r="R435" s="2">
        <f>R434+IF(LEN($AB$435)&gt;0,1,0)</f>
        <v/>
      </c>
      <c r="S435" s="2">
        <f>S434+IF(LEN($AC$435)&gt;0,1,0)</f>
        <v/>
      </c>
      <c r="T435" s="2">
        <f>T434+IF(LEN($AD$435)&gt;0,1,0)</f>
        <v/>
      </c>
      <c r="U435" s="2">
        <f>U434+IF(LEN($AE$435)&gt;0,1,0)</f>
        <v/>
      </c>
      <c r="V435" s="2">
        <f>V434+IF(LEN($AF$435)&gt;0,1,0)</f>
        <v/>
      </c>
      <c r="X435" s="2">
        <f>IF(ISERROR($B$435),"",IF(ISBLANK($B$435),"",$B$435))</f>
        <v/>
      </c>
      <c r="Y435" s="2">
        <f>IF(ISERROR($C$435),"",IF(ISBLANK($C$435),"",$C$435))</f>
        <v/>
      </c>
      <c r="Z435" s="2">
        <f>IF(ISERROR($D$435),"",IF(ISBLANK($D$435),"",$D$435))</f>
        <v/>
      </c>
      <c r="AA435" s="2">
        <f>IF(ISERROR($E$435),"",IF(ISBLANK($E$435),"",$E$435))</f>
        <v/>
      </c>
      <c r="AB435" s="2">
        <f>IF(ISERROR($F$435),"",IF(ISBLANK($F$435),"",$F$435))</f>
        <v/>
      </c>
      <c r="AC435" s="2">
        <f>IF(ISERROR($G$435),"",IF(ISBLANK($G$435),"",$G$435))</f>
        <v/>
      </c>
      <c r="AD435" s="2">
        <f>IF(ISERROR($H$435),"",IF(ISBLANK($H$435),"",$H$435))</f>
        <v/>
      </c>
      <c r="AE435" s="2">
        <f>IF(ISERROR($I$435),"",IF(ISBLANK($I$435),"",$I$435))</f>
        <v/>
      </c>
      <c r="AF435" s="2">
        <f>IF(ISERROR($J$435),"",IF(ISBLANK($J$435),"",$J$435))</f>
        <v/>
      </c>
      <c r="AG435" s="2">
        <f>ISERROR($B$435)*1+ISERROR($C$435)*1+ISERROR($D$435)*1+ISERROR($E$435)*1+ISERROR($F$435)*1+ISERROR($G$435)*1+ISERROR($H$435)*1+ISERROR($I$435)*1+ISERROR($J$435)*1</f>
        <v/>
      </c>
    </row>
    <row r="436" ht="26" customHeight="1">
      <c r="B436" s="35" t="n"/>
      <c r="C436" s="29" t="n"/>
      <c r="D436" s="29" t="n"/>
      <c r="E436" s="29" t="n"/>
      <c r="F436" s="29" t="n"/>
      <c r="G436" s="29" t="n"/>
      <c r="H436" s="29" t="n"/>
      <c r="I436" s="29" t="n"/>
      <c r="J436" s="29" t="n"/>
      <c r="K436" s="19">
        <f>IF(AG436&gt;0,"O Google leu como fórmula: digite de novo com ' na frente.","")</f>
        <v/>
      </c>
      <c r="N436" s="2">
        <f>N435+IF(LEN($X$436)&gt;0,1,0)</f>
        <v/>
      </c>
      <c r="O436" s="2">
        <f>O435+IF(LEN($Y$436)&gt;0,1,0)</f>
        <v/>
      </c>
      <c r="P436" s="2">
        <f>P435+IF(LEN($Z$436)&gt;0,1,0)</f>
        <v/>
      </c>
      <c r="Q436" s="2">
        <f>Q435+IF(LEN($AA$436)&gt;0,1,0)</f>
        <v/>
      </c>
      <c r="R436" s="2">
        <f>R435+IF(LEN($AB$436)&gt;0,1,0)</f>
        <v/>
      </c>
      <c r="S436" s="2">
        <f>S435+IF(LEN($AC$436)&gt;0,1,0)</f>
        <v/>
      </c>
      <c r="T436" s="2">
        <f>T435+IF(LEN($AD$436)&gt;0,1,0)</f>
        <v/>
      </c>
      <c r="U436" s="2">
        <f>U435+IF(LEN($AE$436)&gt;0,1,0)</f>
        <v/>
      </c>
      <c r="V436" s="2">
        <f>V435+IF(LEN($AF$436)&gt;0,1,0)</f>
        <v/>
      </c>
      <c r="X436" s="2">
        <f>IF(ISERROR($B$436),"",IF(ISBLANK($B$436),"",$B$436))</f>
        <v/>
      </c>
      <c r="Y436" s="2">
        <f>IF(ISERROR($C$436),"",IF(ISBLANK($C$436),"",$C$436))</f>
        <v/>
      </c>
      <c r="Z436" s="2">
        <f>IF(ISERROR($D$436),"",IF(ISBLANK($D$436),"",$D$436))</f>
        <v/>
      </c>
      <c r="AA436" s="2">
        <f>IF(ISERROR($E$436),"",IF(ISBLANK($E$436),"",$E$436))</f>
        <v/>
      </c>
      <c r="AB436" s="2">
        <f>IF(ISERROR($F$436),"",IF(ISBLANK($F$436),"",$F$436))</f>
        <v/>
      </c>
      <c r="AC436" s="2">
        <f>IF(ISERROR($G$436),"",IF(ISBLANK($G$436),"",$G$436))</f>
        <v/>
      </c>
      <c r="AD436" s="2">
        <f>IF(ISERROR($H$436),"",IF(ISBLANK($H$436),"",$H$436))</f>
        <v/>
      </c>
      <c r="AE436" s="2">
        <f>IF(ISERROR($I$436),"",IF(ISBLANK($I$436),"",$I$436))</f>
        <v/>
      </c>
      <c r="AF436" s="2">
        <f>IF(ISERROR($J$436),"",IF(ISBLANK($J$436),"",$J$436))</f>
        <v/>
      </c>
      <c r="AG436" s="2">
        <f>ISERROR($B$436)*1+ISERROR($C$436)*1+ISERROR($D$436)*1+ISERROR($E$436)*1+ISERROR($F$436)*1+ISERROR($G$436)*1+ISERROR($H$436)*1+ISERROR($I$436)*1+ISERROR($J$436)*1</f>
        <v/>
      </c>
    </row>
    <row r="437" ht="26" customHeight="1">
      <c r="B437" s="33" t="n"/>
      <c r="C437" s="4" t="n"/>
      <c r="D437" s="4" t="n"/>
      <c r="E437" s="4" t="n"/>
      <c r="F437" s="4" t="n"/>
      <c r="G437" s="4" t="n"/>
      <c r="H437" s="4" t="n"/>
      <c r="I437" s="4" t="n"/>
      <c r="J437" s="4" t="n"/>
      <c r="K437" s="19">
        <f>IF(AG437&gt;0,"O Google leu como fórmula: digite de novo com ' na frente.","")</f>
        <v/>
      </c>
      <c r="N437" s="2">
        <f>N436+IF(LEN($X$437)&gt;0,1,0)</f>
        <v/>
      </c>
      <c r="O437" s="2">
        <f>O436+IF(LEN($Y$437)&gt;0,1,0)</f>
        <v/>
      </c>
      <c r="P437" s="2">
        <f>P436+IF(LEN($Z$437)&gt;0,1,0)</f>
        <v/>
      </c>
      <c r="Q437" s="2">
        <f>Q436+IF(LEN($AA$437)&gt;0,1,0)</f>
        <v/>
      </c>
      <c r="R437" s="2">
        <f>R436+IF(LEN($AB$437)&gt;0,1,0)</f>
        <v/>
      </c>
      <c r="S437" s="2">
        <f>S436+IF(LEN($AC$437)&gt;0,1,0)</f>
        <v/>
      </c>
      <c r="T437" s="2">
        <f>T436+IF(LEN($AD$437)&gt;0,1,0)</f>
        <v/>
      </c>
      <c r="U437" s="2">
        <f>U436+IF(LEN($AE$437)&gt;0,1,0)</f>
        <v/>
      </c>
      <c r="V437" s="2">
        <f>V436+IF(LEN($AF$437)&gt;0,1,0)</f>
        <v/>
      </c>
      <c r="X437" s="2">
        <f>IF(ISERROR($B$437),"",IF(ISBLANK($B$437),"",$B$437))</f>
        <v/>
      </c>
      <c r="Y437" s="2">
        <f>IF(ISERROR($C$437),"",IF(ISBLANK($C$437),"",$C$437))</f>
        <v/>
      </c>
      <c r="Z437" s="2">
        <f>IF(ISERROR($D$437),"",IF(ISBLANK($D$437),"",$D$437))</f>
        <v/>
      </c>
      <c r="AA437" s="2">
        <f>IF(ISERROR($E$437),"",IF(ISBLANK($E$437),"",$E$437))</f>
        <v/>
      </c>
      <c r="AB437" s="2">
        <f>IF(ISERROR($F$437),"",IF(ISBLANK($F$437),"",$F$437))</f>
        <v/>
      </c>
      <c r="AC437" s="2">
        <f>IF(ISERROR($G$437),"",IF(ISBLANK($G$437),"",$G$437))</f>
        <v/>
      </c>
      <c r="AD437" s="2">
        <f>IF(ISERROR($H$437),"",IF(ISBLANK($H$437),"",$H$437))</f>
        <v/>
      </c>
      <c r="AE437" s="2">
        <f>IF(ISERROR($I$437),"",IF(ISBLANK($I$437),"",$I$437))</f>
        <v/>
      </c>
      <c r="AF437" s="2">
        <f>IF(ISERROR($J$437),"",IF(ISBLANK($J$437),"",$J$437))</f>
        <v/>
      </c>
      <c r="AG437" s="2">
        <f>ISERROR($B$437)*1+ISERROR($C$437)*1+ISERROR($D$437)*1+ISERROR($E$437)*1+ISERROR($F$437)*1+ISERROR($G$437)*1+ISERROR($H$437)*1+ISERROR($I$437)*1+ISERROR($J$437)*1</f>
        <v/>
      </c>
    </row>
    <row r="438" ht="26" customHeight="1">
      <c r="B438" s="35" t="n"/>
      <c r="C438" s="29" t="n"/>
      <c r="D438" s="29" t="n"/>
      <c r="E438" s="29" t="n"/>
      <c r="F438" s="29" t="n"/>
      <c r="G438" s="29" t="n"/>
      <c r="H438" s="29" t="n"/>
      <c r="I438" s="29" t="n"/>
      <c r="J438" s="29" t="n"/>
      <c r="K438" s="19">
        <f>IF(AG438&gt;0,"O Google leu como fórmula: digite de novo com ' na frente.","")</f>
        <v/>
      </c>
      <c r="N438" s="2">
        <f>N437+IF(LEN($X$438)&gt;0,1,0)</f>
        <v/>
      </c>
      <c r="O438" s="2">
        <f>O437+IF(LEN($Y$438)&gt;0,1,0)</f>
        <v/>
      </c>
      <c r="P438" s="2">
        <f>P437+IF(LEN($Z$438)&gt;0,1,0)</f>
        <v/>
      </c>
      <c r="Q438" s="2">
        <f>Q437+IF(LEN($AA$438)&gt;0,1,0)</f>
        <v/>
      </c>
      <c r="R438" s="2">
        <f>R437+IF(LEN($AB$438)&gt;0,1,0)</f>
        <v/>
      </c>
      <c r="S438" s="2">
        <f>S437+IF(LEN($AC$438)&gt;0,1,0)</f>
        <v/>
      </c>
      <c r="T438" s="2">
        <f>T437+IF(LEN($AD$438)&gt;0,1,0)</f>
        <v/>
      </c>
      <c r="U438" s="2">
        <f>U437+IF(LEN($AE$438)&gt;0,1,0)</f>
        <v/>
      </c>
      <c r="V438" s="2">
        <f>V437+IF(LEN($AF$438)&gt;0,1,0)</f>
        <v/>
      </c>
      <c r="X438" s="2">
        <f>IF(ISERROR($B$438),"",IF(ISBLANK($B$438),"",$B$438))</f>
        <v/>
      </c>
      <c r="Y438" s="2">
        <f>IF(ISERROR($C$438),"",IF(ISBLANK($C$438),"",$C$438))</f>
        <v/>
      </c>
      <c r="Z438" s="2">
        <f>IF(ISERROR($D$438),"",IF(ISBLANK($D$438),"",$D$438))</f>
        <v/>
      </c>
      <c r="AA438" s="2">
        <f>IF(ISERROR($E$438),"",IF(ISBLANK($E$438),"",$E$438))</f>
        <v/>
      </c>
      <c r="AB438" s="2">
        <f>IF(ISERROR($F$438),"",IF(ISBLANK($F$438),"",$F$438))</f>
        <v/>
      </c>
      <c r="AC438" s="2">
        <f>IF(ISERROR($G$438),"",IF(ISBLANK($G$438),"",$G$438))</f>
        <v/>
      </c>
      <c r="AD438" s="2">
        <f>IF(ISERROR($H$438),"",IF(ISBLANK($H$438),"",$H$438))</f>
        <v/>
      </c>
      <c r="AE438" s="2">
        <f>IF(ISERROR($I$438),"",IF(ISBLANK($I$438),"",$I$438))</f>
        <v/>
      </c>
      <c r="AF438" s="2">
        <f>IF(ISERROR($J$438),"",IF(ISBLANK($J$438),"",$J$438))</f>
        <v/>
      </c>
      <c r="AG438" s="2">
        <f>ISERROR($B$438)*1+ISERROR($C$438)*1+ISERROR($D$438)*1+ISERROR($E$438)*1+ISERROR($F$438)*1+ISERROR($G$438)*1+ISERROR($H$438)*1+ISERROR($I$438)*1+ISERROR($J$438)*1</f>
        <v/>
      </c>
    </row>
    <row r="439" ht="26" customHeight="1">
      <c r="B439" s="33" t="n"/>
      <c r="C439" s="4" t="n"/>
      <c r="D439" s="4" t="n"/>
      <c r="E439" s="4" t="n"/>
      <c r="F439" s="4" t="n"/>
      <c r="G439" s="4" t="n"/>
      <c r="H439" s="4" t="n"/>
      <c r="I439" s="4" t="n"/>
      <c r="J439" s="4" t="n"/>
      <c r="K439" s="19">
        <f>IF(AG439&gt;0,"O Google leu como fórmula: digite de novo com ' na frente.","")</f>
        <v/>
      </c>
      <c r="N439" s="2">
        <f>N438+IF(LEN($X$439)&gt;0,1,0)</f>
        <v/>
      </c>
      <c r="O439" s="2">
        <f>O438+IF(LEN($Y$439)&gt;0,1,0)</f>
        <v/>
      </c>
      <c r="P439" s="2">
        <f>P438+IF(LEN($Z$439)&gt;0,1,0)</f>
        <v/>
      </c>
      <c r="Q439" s="2">
        <f>Q438+IF(LEN($AA$439)&gt;0,1,0)</f>
        <v/>
      </c>
      <c r="R439" s="2">
        <f>R438+IF(LEN($AB$439)&gt;0,1,0)</f>
        <v/>
      </c>
      <c r="S439" s="2">
        <f>S438+IF(LEN($AC$439)&gt;0,1,0)</f>
        <v/>
      </c>
      <c r="T439" s="2">
        <f>T438+IF(LEN($AD$439)&gt;0,1,0)</f>
        <v/>
      </c>
      <c r="U439" s="2">
        <f>U438+IF(LEN($AE$439)&gt;0,1,0)</f>
        <v/>
      </c>
      <c r="V439" s="2">
        <f>V438+IF(LEN($AF$439)&gt;0,1,0)</f>
        <v/>
      </c>
      <c r="X439" s="2">
        <f>IF(ISERROR($B$439),"",IF(ISBLANK($B$439),"",$B$439))</f>
        <v/>
      </c>
      <c r="Y439" s="2">
        <f>IF(ISERROR($C$439),"",IF(ISBLANK($C$439),"",$C$439))</f>
        <v/>
      </c>
      <c r="Z439" s="2">
        <f>IF(ISERROR($D$439),"",IF(ISBLANK($D$439),"",$D$439))</f>
        <v/>
      </c>
      <c r="AA439" s="2">
        <f>IF(ISERROR($E$439),"",IF(ISBLANK($E$439),"",$E$439))</f>
        <v/>
      </c>
      <c r="AB439" s="2">
        <f>IF(ISERROR($F$439),"",IF(ISBLANK($F$439),"",$F$439))</f>
        <v/>
      </c>
      <c r="AC439" s="2">
        <f>IF(ISERROR($G$439),"",IF(ISBLANK($G$439),"",$G$439))</f>
        <v/>
      </c>
      <c r="AD439" s="2">
        <f>IF(ISERROR($H$439),"",IF(ISBLANK($H$439),"",$H$439))</f>
        <v/>
      </c>
      <c r="AE439" s="2">
        <f>IF(ISERROR($I$439),"",IF(ISBLANK($I$439),"",$I$439))</f>
        <v/>
      </c>
      <c r="AF439" s="2">
        <f>IF(ISERROR($J$439),"",IF(ISBLANK($J$439),"",$J$439))</f>
        <v/>
      </c>
      <c r="AG439" s="2">
        <f>ISERROR($B$439)*1+ISERROR($C$439)*1+ISERROR($D$439)*1+ISERROR($E$439)*1+ISERROR($F$439)*1+ISERROR($G$439)*1+ISERROR($H$439)*1+ISERROR($I$439)*1+ISERROR($J$439)*1</f>
        <v/>
      </c>
    </row>
    <row r="440" ht="15" customHeight="1">
      <c r="B440" s="8" t="inlineStr">
        <is>
          <t>Ocupação (NPC)</t>
        </is>
      </c>
      <c r="C440" s="8" t="inlineStr">
        <is>
          <t>Traço de aparência</t>
        </is>
      </c>
      <c r="D440" s="8" t="inlineStr">
        <is>
          <t>Personalidade</t>
        </is>
      </c>
      <c r="E440" s="8" t="inlineStr">
        <is>
          <t>Motivação (sem Caminho)</t>
        </is>
      </c>
      <c r="F440" s="8" t="inlineStr">
        <is>
          <t>Segredo</t>
        </is>
      </c>
      <c r="G440" s="8" t="inlineStr">
        <is>
          <t>Maneirismo e voz</t>
        </is>
      </c>
      <c r="H440" s="8" t="inlineStr">
        <is>
          <t>Caminho do NPC (peso)</t>
        </is>
      </c>
      <c r="I440" s="8" t="inlineStr">
        <is>
          <t>Atitude com o grupo</t>
        </is>
      </c>
      <c r="J440" s="8" t="inlineStr">
        <is>
          <t>Gancho do NPC</t>
        </is>
      </c>
      <c r="N440" s="2">
        <f>N439</f>
        <v/>
      </c>
      <c r="O440" s="2">
        <f>O439</f>
        <v/>
      </c>
      <c r="P440" s="2">
        <f>P439</f>
        <v/>
      </c>
      <c r="Q440" s="2">
        <f>Q439</f>
        <v/>
      </c>
      <c r="R440" s="2">
        <f>R439</f>
        <v/>
      </c>
      <c r="S440" s="2">
        <f>S439</f>
        <v/>
      </c>
      <c r="T440" s="2">
        <f>T439</f>
        <v/>
      </c>
      <c r="U440" s="2">
        <f>U439</f>
        <v/>
      </c>
      <c r="V440" s="2">
        <f>V439</f>
        <v/>
      </c>
      <c r="X440" s="2">
        <f>IF(ISERROR($B$440),"",IF(ISBLANK($B$440),"",$B$440))</f>
        <v/>
      </c>
      <c r="Y440" s="2">
        <f>IF(ISERROR($C$440),"",IF(ISBLANK($C$440),"",$C$440))</f>
        <v/>
      </c>
      <c r="Z440" s="2">
        <f>IF(ISERROR($D$440),"",IF(ISBLANK($D$440),"",$D$440))</f>
        <v/>
      </c>
      <c r="AA440" s="2">
        <f>IF(ISERROR($E$440),"",IF(ISBLANK($E$440),"",$E$440))</f>
        <v/>
      </c>
      <c r="AB440" s="2">
        <f>IF(ISERROR($F$440),"",IF(ISBLANK($F$440),"",$F$440))</f>
        <v/>
      </c>
      <c r="AC440" s="2">
        <f>IF(ISERROR($G$440),"",IF(ISBLANK($G$440),"",$G$440))</f>
        <v/>
      </c>
      <c r="AD440" s="2">
        <f>IF(ISERROR($H$440),"",IF(ISBLANK($H$440),"",$H$440))</f>
        <v/>
      </c>
      <c r="AE440" s="2">
        <f>IF(ISERROR($I$440),"",IF(ISBLANK($I$440),"",$I$440))</f>
        <v/>
      </c>
      <c r="AF440" s="2">
        <f>IF(ISERROR($J$440),"",IF(ISBLANK($J$440),"",$J$440))</f>
        <v/>
      </c>
    </row>
    <row r="441" ht="26" customHeight="1">
      <c r="B441" s="33" t="n"/>
      <c r="C441" s="4" t="n"/>
      <c r="D441" s="4" t="n"/>
      <c r="E441" s="4" t="n"/>
      <c r="F441" s="4" t="n"/>
      <c r="G441" s="4" t="n"/>
      <c r="H441" s="4" t="n"/>
      <c r="I441" s="4" t="n"/>
      <c r="J441" s="4" t="n"/>
      <c r="K441" s="19">
        <f>IF(AG441&gt;0,"O Google leu como fórmula: digite de novo com ' na frente.","")</f>
        <v/>
      </c>
      <c r="N441" s="2">
        <f>N440+IF(LEN($X$441)&gt;0,1,0)</f>
        <v/>
      </c>
      <c r="O441" s="2">
        <f>O440+IF(LEN($Y$441)&gt;0,1,0)</f>
        <v/>
      </c>
      <c r="P441" s="2">
        <f>P440+IF(LEN($Z$441)&gt;0,1,0)</f>
        <v/>
      </c>
      <c r="Q441" s="2">
        <f>Q440+IF(LEN($AA$441)&gt;0,1,0)</f>
        <v/>
      </c>
      <c r="R441" s="2">
        <f>R440+IF(LEN($AB$441)&gt;0,1,0)</f>
        <v/>
      </c>
      <c r="S441" s="2">
        <f>S440+IF(LEN($AC$441)&gt;0,1,0)</f>
        <v/>
      </c>
      <c r="T441" s="2">
        <f>T440+IF(LEN($AD$441)&gt;0,1,0)</f>
        <v/>
      </c>
      <c r="U441" s="2">
        <f>U440+IF(LEN($AE$441)&gt;0,1,0)</f>
        <v/>
      </c>
      <c r="V441" s="2">
        <f>V440+IF(LEN($AF$441)&gt;0,1,0)</f>
        <v/>
      </c>
      <c r="X441" s="2">
        <f>IF(ISERROR($B$441),"",IF(ISBLANK($B$441),"",$B$441))</f>
        <v/>
      </c>
      <c r="Y441" s="2">
        <f>IF(ISERROR($C$441),"",IF(ISBLANK($C$441),"",$C$441))</f>
        <v/>
      </c>
      <c r="Z441" s="2">
        <f>IF(ISERROR($D$441),"",IF(ISBLANK($D$441),"",$D$441))</f>
        <v/>
      </c>
      <c r="AA441" s="2">
        <f>IF(ISERROR($E$441),"",IF(ISBLANK($E$441),"",$E$441))</f>
        <v/>
      </c>
      <c r="AB441" s="2">
        <f>IF(ISERROR($F$441),"",IF(ISBLANK($F$441),"",$F$441))</f>
        <v/>
      </c>
      <c r="AC441" s="2">
        <f>IF(ISERROR($G$441),"",IF(ISBLANK($G$441),"",$G$441))</f>
        <v/>
      </c>
      <c r="AD441" s="2">
        <f>IF(ISERROR($H$441),"",IF(ISBLANK($H$441),"",$H$441))</f>
        <v/>
      </c>
      <c r="AE441" s="2">
        <f>IF(ISERROR($I$441),"",IF(ISBLANK($I$441),"",$I$441))</f>
        <v/>
      </c>
      <c r="AF441" s="2">
        <f>IF(ISERROR($J$441),"",IF(ISBLANK($J$441),"",$J$441))</f>
        <v/>
      </c>
      <c r="AG441" s="2">
        <f>ISERROR($B$441)*1+ISERROR($C$441)*1+ISERROR($D$441)*1+ISERROR($E$441)*1+ISERROR($F$441)*1+ISERROR($G$441)*1+ISERROR($H$441)*1+ISERROR($I$441)*1+ISERROR($J$441)*1</f>
        <v/>
      </c>
    </row>
    <row r="442" ht="26" customHeight="1">
      <c r="B442" s="35" t="n"/>
      <c r="C442" s="29" t="n"/>
      <c r="D442" s="29" t="n"/>
      <c r="E442" s="29" t="n"/>
      <c r="F442" s="29" t="n"/>
      <c r="G442" s="29" t="n"/>
      <c r="H442" s="29" t="n"/>
      <c r="I442" s="29" t="n"/>
      <c r="J442" s="29" t="n"/>
      <c r="K442" s="19">
        <f>IF(AG442&gt;0,"O Google leu como fórmula: digite de novo com ' na frente.","")</f>
        <v/>
      </c>
      <c r="N442" s="2">
        <f>N441+IF(LEN($X$442)&gt;0,1,0)</f>
        <v/>
      </c>
      <c r="O442" s="2">
        <f>O441+IF(LEN($Y$442)&gt;0,1,0)</f>
        <v/>
      </c>
      <c r="P442" s="2">
        <f>P441+IF(LEN($Z$442)&gt;0,1,0)</f>
        <v/>
      </c>
      <c r="Q442" s="2">
        <f>Q441+IF(LEN($AA$442)&gt;0,1,0)</f>
        <v/>
      </c>
      <c r="R442" s="2">
        <f>R441+IF(LEN($AB$442)&gt;0,1,0)</f>
        <v/>
      </c>
      <c r="S442" s="2">
        <f>S441+IF(LEN($AC$442)&gt;0,1,0)</f>
        <v/>
      </c>
      <c r="T442" s="2">
        <f>T441+IF(LEN($AD$442)&gt;0,1,0)</f>
        <v/>
      </c>
      <c r="U442" s="2">
        <f>U441+IF(LEN($AE$442)&gt;0,1,0)</f>
        <v/>
      </c>
      <c r="V442" s="2">
        <f>V441+IF(LEN($AF$442)&gt;0,1,0)</f>
        <v/>
      </c>
      <c r="X442" s="2">
        <f>IF(ISERROR($B$442),"",IF(ISBLANK($B$442),"",$B$442))</f>
        <v/>
      </c>
      <c r="Y442" s="2">
        <f>IF(ISERROR($C$442),"",IF(ISBLANK($C$442),"",$C$442))</f>
        <v/>
      </c>
      <c r="Z442" s="2">
        <f>IF(ISERROR($D$442),"",IF(ISBLANK($D$442),"",$D$442))</f>
        <v/>
      </c>
      <c r="AA442" s="2">
        <f>IF(ISERROR($E$442),"",IF(ISBLANK($E$442),"",$E$442))</f>
        <v/>
      </c>
      <c r="AB442" s="2">
        <f>IF(ISERROR($F$442),"",IF(ISBLANK($F$442),"",$F$442))</f>
        <v/>
      </c>
      <c r="AC442" s="2">
        <f>IF(ISERROR($G$442),"",IF(ISBLANK($G$442),"",$G$442))</f>
        <v/>
      </c>
      <c r="AD442" s="2">
        <f>IF(ISERROR($H$442),"",IF(ISBLANK($H$442),"",$H$442))</f>
        <v/>
      </c>
      <c r="AE442" s="2">
        <f>IF(ISERROR($I$442),"",IF(ISBLANK($I$442),"",$I$442))</f>
        <v/>
      </c>
      <c r="AF442" s="2">
        <f>IF(ISERROR($J$442),"",IF(ISBLANK($J$442),"",$J$442))</f>
        <v/>
      </c>
      <c r="AG442" s="2">
        <f>ISERROR($B$442)*1+ISERROR($C$442)*1+ISERROR($D$442)*1+ISERROR($E$442)*1+ISERROR($F$442)*1+ISERROR($G$442)*1+ISERROR($H$442)*1+ISERROR($I$442)*1+ISERROR($J$442)*1</f>
        <v/>
      </c>
    </row>
    <row r="443" ht="26" customHeight="1">
      <c r="B443" s="33" t="n"/>
      <c r="C443" s="4" t="n"/>
      <c r="D443" s="4" t="n"/>
      <c r="E443" s="4" t="n"/>
      <c r="F443" s="4" t="n"/>
      <c r="G443" s="4" t="n"/>
      <c r="H443" s="4" t="n"/>
      <c r="I443" s="4" t="n"/>
      <c r="J443" s="4" t="n"/>
      <c r="K443" s="19">
        <f>IF(AG443&gt;0,"O Google leu como fórmula: digite de novo com ' na frente.","")</f>
        <v/>
      </c>
      <c r="N443" s="2">
        <f>N442+IF(LEN($X$443)&gt;0,1,0)</f>
        <v/>
      </c>
      <c r="O443" s="2">
        <f>O442+IF(LEN($Y$443)&gt;0,1,0)</f>
        <v/>
      </c>
      <c r="P443" s="2">
        <f>P442+IF(LEN($Z$443)&gt;0,1,0)</f>
        <v/>
      </c>
      <c r="Q443" s="2">
        <f>Q442+IF(LEN($AA$443)&gt;0,1,0)</f>
        <v/>
      </c>
      <c r="R443" s="2">
        <f>R442+IF(LEN($AB$443)&gt;0,1,0)</f>
        <v/>
      </c>
      <c r="S443" s="2">
        <f>S442+IF(LEN($AC$443)&gt;0,1,0)</f>
        <v/>
      </c>
      <c r="T443" s="2">
        <f>T442+IF(LEN($AD$443)&gt;0,1,0)</f>
        <v/>
      </c>
      <c r="U443" s="2">
        <f>U442+IF(LEN($AE$443)&gt;0,1,0)</f>
        <v/>
      </c>
      <c r="V443" s="2">
        <f>V442+IF(LEN($AF$443)&gt;0,1,0)</f>
        <v/>
      </c>
      <c r="X443" s="2">
        <f>IF(ISERROR($B$443),"",IF(ISBLANK($B$443),"",$B$443))</f>
        <v/>
      </c>
      <c r="Y443" s="2">
        <f>IF(ISERROR($C$443),"",IF(ISBLANK($C$443),"",$C$443))</f>
        <v/>
      </c>
      <c r="Z443" s="2">
        <f>IF(ISERROR($D$443),"",IF(ISBLANK($D$443),"",$D$443))</f>
        <v/>
      </c>
      <c r="AA443" s="2">
        <f>IF(ISERROR($E$443),"",IF(ISBLANK($E$443),"",$E$443))</f>
        <v/>
      </c>
      <c r="AB443" s="2">
        <f>IF(ISERROR($F$443),"",IF(ISBLANK($F$443),"",$F$443))</f>
        <v/>
      </c>
      <c r="AC443" s="2">
        <f>IF(ISERROR($G$443),"",IF(ISBLANK($G$443),"",$G$443))</f>
        <v/>
      </c>
      <c r="AD443" s="2">
        <f>IF(ISERROR($H$443),"",IF(ISBLANK($H$443),"",$H$443))</f>
        <v/>
      </c>
      <c r="AE443" s="2">
        <f>IF(ISERROR($I$443),"",IF(ISBLANK($I$443),"",$I$443))</f>
        <v/>
      </c>
      <c r="AF443" s="2">
        <f>IF(ISERROR($J$443),"",IF(ISBLANK($J$443),"",$J$443))</f>
        <v/>
      </c>
      <c r="AG443" s="2">
        <f>ISERROR($B$443)*1+ISERROR($C$443)*1+ISERROR($D$443)*1+ISERROR($E$443)*1+ISERROR($F$443)*1+ISERROR($G$443)*1+ISERROR($H$443)*1+ISERROR($I$443)*1+ISERROR($J$443)*1</f>
        <v/>
      </c>
    </row>
    <row r="444" ht="26" customHeight="1">
      <c r="B444" s="35" t="n"/>
      <c r="C444" s="29" t="n"/>
      <c r="D444" s="29" t="n"/>
      <c r="E444" s="29" t="n"/>
      <c r="F444" s="29" t="n"/>
      <c r="G444" s="29" t="n"/>
      <c r="H444" s="29" t="n"/>
      <c r="I444" s="29" t="n"/>
      <c r="J444" s="29" t="n"/>
      <c r="K444" s="19">
        <f>IF(AG444&gt;0,"O Google leu como fórmula: digite de novo com ' na frente.","")</f>
        <v/>
      </c>
      <c r="N444" s="2">
        <f>N443+IF(LEN($X$444)&gt;0,1,0)</f>
        <v/>
      </c>
      <c r="O444" s="2">
        <f>O443+IF(LEN($Y$444)&gt;0,1,0)</f>
        <v/>
      </c>
      <c r="P444" s="2">
        <f>P443+IF(LEN($Z$444)&gt;0,1,0)</f>
        <v/>
      </c>
      <c r="Q444" s="2">
        <f>Q443+IF(LEN($AA$444)&gt;0,1,0)</f>
        <v/>
      </c>
      <c r="R444" s="2">
        <f>R443+IF(LEN($AB$444)&gt;0,1,0)</f>
        <v/>
      </c>
      <c r="S444" s="2">
        <f>S443+IF(LEN($AC$444)&gt;0,1,0)</f>
        <v/>
      </c>
      <c r="T444" s="2">
        <f>T443+IF(LEN($AD$444)&gt;0,1,0)</f>
        <v/>
      </c>
      <c r="U444" s="2">
        <f>U443+IF(LEN($AE$444)&gt;0,1,0)</f>
        <v/>
      </c>
      <c r="V444" s="2">
        <f>V443+IF(LEN($AF$444)&gt;0,1,0)</f>
        <v/>
      </c>
      <c r="X444" s="2">
        <f>IF(ISERROR($B$444),"",IF(ISBLANK($B$444),"",$B$444))</f>
        <v/>
      </c>
      <c r="Y444" s="2">
        <f>IF(ISERROR($C$444),"",IF(ISBLANK($C$444),"",$C$444))</f>
        <v/>
      </c>
      <c r="Z444" s="2">
        <f>IF(ISERROR($D$444),"",IF(ISBLANK($D$444),"",$D$444))</f>
        <v/>
      </c>
      <c r="AA444" s="2">
        <f>IF(ISERROR($E$444),"",IF(ISBLANK($E$444),"",$E$444))</f>
        <v/>
      </c>
      <c r="AB444" s="2">
        <f>IF(ISERROR($F$444),"",IF(ISBLANK($F$444),"",$F$444))</f>
        <v/>
      </c>
      <c r="AC444" s="2">
        <f>IF(ISERROR($G$444),"",IF(ISBLANK($G$444),"",$G$444))</f>
        <v/>
      </c>
      <c r="AD444" s="2">
        <f>IF(ISERROR($H$444),"",IF(ISBLANK($H$444),"",$H$444))</f>
        <v/>
      </c>
      <c r="AE444" s="2">
        <f>IF(ISERROR($I$444),"",IF(ISBLANK($I$444),"",$I$444))</f>
        <v/>
      </c>
      <c r="AF444" s="2">
        <f>IF(ISERROR($J$444),"",IF(ISBLANK($J$444),"",$J$444))</f>
        <v/>
      </c>
      <c r="AG444" s="2">
        <f>ISERROR($B$444)*1+ISERROR($C$444)*1+ISERROR($D$444)*1+ISERROR($E$444)*1+ISERROR($F$444)*1+ISERROR($G$444)*1+ISERROR($H$444)*1+ISERROR($I$444)*1+ISERROR($J$444)*1</f>
        <v/>
      </c>
    </row>
    <row r="445" ht="26" customHeight="1">
      <c r="B445" s="33" t="n"/>
      <c r="C445" s="4" t="n"/>
      <c r="D445" s="4" t="n"/>
      <c r="E445" s="4" t="n"/>
      <c r="F445" s="4" t="n"/>
      <c r="G445" s="4" t="n"/>
      <c r="H445" s="4" t="n"/>
      <c r="I445" s="4" t="n"/>
      <c r="J445" s="4" t="n"/>
      <c r="K445" s="19">
        <f>IF(AG445&gt;0,"O Google leu como fórmula: digite de novo com ' na frente.","")</f>
        <v/>
      </c>
      <c r="N445" s="2">
        <f>N444+IF(LEN($X$445)&gt;0,1,0)</f>
        <v/>
      </c>
      <c r="O445" s="2">
        <f>O444+IF(LEN($Y$445)&gt;0,1,0)</f>
        <v/>
      </c>
      <c r="P445" s="2">
        <f>P444+IF(LEN($Z$445)&gt;0,1,0)</f>
        <v/>
      </c>
      <c r="Q445" s="2">
        <f>Q444+IF(LEN($AA$445)&gt;0,1,0)</f>
        <v/>
      </c>
      <c r="R445" s="2">
        <f>R444+IF(LEN($AB$445)&gt;0,1,0)</f>
        <v/>
      </c>
      <c r="S445" s="2">
        <f>S444+IF(LEN($AC$445)&gt;0,1,0)</f>
        <v/>
      </c>
      <c r="T445" s="2">
        <f>T444+IF(LEN($AD$445)&gt;0,1,0)</f>
        <v/>
      </c>
      <c r="U445" s="2">
        <f>U444+IF(LEN($AE$445)&gt;0,1,0)</f>
        <v/>
      </c>
      <c r="V445" s="2">
        <f>V444+IF(LEN($AF$445)&gt;0,1,0)</f>
        <v/>
      </c>
      <c r="X445" s="2">
        <f>IF(ISERROR($B$445),"",IF(ISBLANK($B$445),"",$B$445))</f>
        <v/>
      </c>
      <c r="Y445" s="2">
        <f>IF(ISERROR($C$445),"",IF(ISBLANK($C$445),"",$C$445))</f>
        <v/>
      </c>
      <c r="Z445" s="2">
        <f>IF(ISERROR($D$445),"",IF(ISBLANK($D$445),"",$D$445))</f>
        <v/>
      </c>
      <c r="AA445" s="2">
        <f>IF(ISERROR($E$445),"",IF(ISBLANK($E$445),"",$E$445))</f>
        <v/>
      </c>
      <c r="AB445" s="2">
        <f>IF(ISERROR($F$445),"",IF(ISBLANK($F$445),"",$F$445))</f>
        <v/>
      </c>
      <c r="AC445" s="2">
        <f>IF(ISERROR($G$445),"",IF(ISBLANK($G$445),"",$G$445))</f>
        <v/>
      </c>
      <c r="AD445" s="2">
        <f>IF(ISERROR($H$445),"",IF(ISBLANK($H$445),"",$H$445))</f>
        <v/>
      </c>
      <c r="AE445" s="2">
        <f>IF(ISERROR($I$445),"",IF(ISBLANK($I$445),"",$I$445))</f>
        <v/>
      </c>
      <c r="AF445" s="2">
        <f>IF(ISERROR($J$445),"",IF(ISBLANK($J$445),"",$J$445))</f>
        <v/>
      </c>
      <c r="AG445" s="2">
        <f>ISERROR($B$445)*1+ISERROR($C$445)*1+ISERROR($D$445)*1+ISERROR($E$445)*1+ISERROR($F$445)*1+ISERROR($G$445)*1+ISERROR($H$445)*1+ISERROR($I$445)*1+ISERROR($J$445)*1</f>
        <v/>
      </c>
    </row>
    <row r="446" ht="26" customHeight="1">
      <c r="B446" s="35" t="n"/>
      <c r="C446" s="29" t="n"/>
      <c r="D446" s="29" t="n"/>
      <c r="E446" s="29" t="n"/>
      <c r="F446" s="29" t="n"/>
      <c r="G446" s="29" t="n"/>
      <c r="H446" s="29" t="n"/>
      <c r="I446" s="29" t="n"/>
      <c r="J446" s="29" t="n"/>
      <c r="K446" s="19">
        <f>IF(AG446&gt;0,"O Google leu como fórmula: digite de novo com ' na frente.","")</f>
        <v/>
      </c>
      <c r="N446" s="2">
        <f>N445+IF(LEN($X$446)&gt;0,1,0)</f>
        <v/>
      </c>
      <c r="O446" s="2">
        <f>O445+IF(LEN($Y$446)&gt;0,1,0)</f>
        <v/>
      </c>
      <c r="P446" s="2">
        <f>P445+IF(LEN($Z$446)&gt;0,1,0)</f>
        <v/>
      </c>
      <c r="Q446" s="2">
        <f>Q445+IF(LEN($AA$446)&gt;0,1,0)</f>
        <v/>
      </c>
      <c r="R446" s="2">
        <f>R445+IF(LEN($AB$446)&gt;0,1,0)</f>
        <v/>
      </c>
      <c r="S446" s="2">
        <f>S445+IF(LEN($AC$446)&gt;0,1,0)</f>
        <v/>
      </c>
      <c r="T446" s="2">
        <f>T445+IF(LEN($AD$446)&gt;0,1,0)</f>
        <v/>
      </c>
      <c r="U446" s="2">
        <f>U445+IF(LEN($AE$446)&gt;0,1,0)</f>
        <v/>
      </c>
      <c r="V446" s="2">
        <f>V445+IF(LEN($AF$446)&gt;0,1,0)</f>
        <v/>
      </c>
      <c r="X446" s="2">
        <f>IF(ISERROR($B$446),"",IF(ISBLANK($B$446),"",$B$446))</f>
        <v/>
      </c>
      <c r="Y446" s="2">
        <f>IF(ISERROR($C$446),"",IF(ISBLANK($C$446),"",$C$446))</f>
        <v/>
      </c>
      <c r="Z446" s="2">
        <f>IF(ISERROR($D$446),"",IF(ISBLANK($D$446),"",$D$446))</f>
        <v/>
      </c>
      <c r="AA446" s="2">
        <f>IF(ISERROR($E$446),"",IF(ISBLANK($E$446),"",$E$446))</f>
        <v/>
      </c>
      <c r="AB446" s="2">
        <f>IF(ISERROR($F$446),"",IF(ISBLANK($F$446),"",$F$446))</f>
        <v/>
      </c>
      <c r="AC446" s="2">
        <f>IF(ISERROR($G$446),"",IF(ISBLANK($G$446),"",$G$446))</f>
        <v/>
      </c>
      <c r="AD446" s="2">
        <f>IF(ISERROR($H$446),"",IF(ISBLANK($H$446),"",$H$446))</f>
        <v/>
      </c>
      <c r="AE446" s="2">
        <f>IF(ISERROR($I$446),"",IF(ISBLANK($I$446),"",$I$446))</f>
        <v/>
      </c>
      <c r="AF446" s="2">
        <f>IF(ISERROR($J$446),"",IF(ISBLANK($J$446),"",$J$446))</f>
        <v/>
      </c>
      <c r="AG446" s="2">
        <f>ISERROR($B$446)*1+ISERROR($C$446)*1+ISERROR($D$446)*1+ISERROR($E$446)*1+ISERROR($F$446)*1+ISERROR($G$446)*1+ISERROR($H$446)*1+ISERROR($I$446)*1+ISERROR($J$446)*1</f>
        <v/>
      </c>
    </row>
    <row r="447" ht="26" customHeight="1">
      <c r="B447" s="33" t="n"/>
      <c r="C447" s="4" t="n"/>
      <c r="D447" s="4" t="n"/>
      <c r="E447" s="4" t="n"/>
      <c r="F447" s="4" t="n"/>
      <c r="G447" s="4" t="n"/>
      <c r="H447" s="4" t="n"/>
      <c r="I447" s="4" t="n"/>
      <c r="J447" s="4" t="n"/>
      <c r="K447" s="19">
        <f>IF(AG447&gt;0,"O Google leu como fórmula: digite de novo com ' na frente.","")</f>
        <v/>
      </c>
      <c r="N447" s="2">
        <f>N446+IF(LEN($X$447)&gt;0,1,0)</f>
        <v/>
      </c>
      <c r="O447" s="2">
        <f>O446+IF(LEN($Y$447)&gt;0,1,0)</f>
        <v/>
      </c>
      <c r="P447" s="2">
        <f>P446+IF(LEN($Z$447)&gt;0,1,0)</f>
        <v/>
      </c>
      <c r="Q447" s="2">
        <f>Q446+IF(LEN($AA$447)&gt;0,1,0)</f>
        <v/>
      </c>
      <c r="R447" s="2">
        <f>R446+IF(LEN($AB$447)&gt;0,1,0)</f>
        <v/>
      </c>
      <c r="S447" s="2">
        <f>S446+IF(LEN($AC$447)&gt;0,1,0)</f>
        <v/>
      </c>
      <c r="T447" s="2">
        <f>T446+IF(LEN($AD$447)&gt;0,1,0)</f>
        <v/>
      </c>
      <c r="U447" s="2">
        <f>U446+IF(LEN($AE$447)&gt;0,1,0)</f>
        <v/>
      </c>
      <c r="V447" s="2">
        <f>V446+IF(LEN($AF$447)&gt;0,1,0)</f>
        <v/>
      </c>
      <c r="X447" s="2">
        <f>IF(ISERROR($B$447),"",IF(ISBLANK($B$447),"",$B$447))</f>
        <v/>
      </c>
      <c r="Y447" s="2">
        <f>IF(ISERROR($C$447),"",IF(ISBLANK($C$447),"",$C$447))</f>
        <v/>
      </c>
      <c r="Z447" s="2">
        <f>IF(ISERROR($D$447),"",IF(ISBLANK($D$447),"",$D$447))</f>
        <v/>
      </c>
      <c r="AA447" s="2">
        <f>IF(ISERROR($E$447),"",IF(ISBLANK($E$447),"",$E$447))</f>
        <v/>
      </c>
      <c r="AB447" s="2">
        <f>IF(ISERROR($F$447),"",IF(ISBLANK($F$447),"",$F$447))</f>
        <v/>
      </c>
      <c r="AC447" s="2">
        <f>IF(ISERROR($G$447),"",IF(ISBLANK($G$447),"",$G$447))</f>
        <v/>
      </c>
      <c r="AD447" s="2">
        <f>IF(ISERROR($H$447),"",IF(ISBLANK($H$447),"",$H$447))</f>
        <v/>
      </c>
      <c r="AE447" s="2">
        <f>IF(ISERROR($I$447),"",IF(ISBLANK($I$447),"",$I$447))</f>
        <v/>
      </c>
      <c r="AF447" s="2">
        <f>IF(ISERROR($J$447),"",IF(ISBLANK($J$447),"",$J$447))</f>
        <v/>
      </c>
      <c r="AG447" s="2">
        <f>ISERROR($B$447)*1+ISERROR($C$447)*1+ISERROR($D$447)*1+ISERROR($E$447)*1+ISERROR($F$447)*1+ISERROR($G$447)*1+ISERROR($H$447)*1+ISERROR($I$447)*1+ISERROR($J$447)*1</f>
        <v/>
      </c>
    </row>
    <row r="448" ht="26" customHeight="1">
      <c r="B448" s="35" t="n"/>
      <c r="C448" s="29" t="n"/>
      <c r="D448" s="29" t="n"/>
      <c r="E448" s="29" t="n"/>
      <c r="F448" s="29" t="n"/>
      <c r="G448" s="29" t="n"/>
      <c r="H448" s="29" t="n"/>
      <c r="I448" s="29" t="n"/>
      <c r="J448" s="29" t="n"/>
      <c r="K448" s="19">
        <f>IF(AG448&gt;0,"O Google leu como fórmula: digite de novo com ' na frente.","")</f>
        <v/>
      </c>
      <c r="N448" s="2">
        <f>N447+IF(LEN($X$448)&gt;0,1,0)</f>
        <v/>
      </c>
      <c r="O448" s="2">
        <f>O447+IF(LEN($Y$448)&gt;0,1,0)</f>
        <v/>
      </c>
      <c r="P448" s="2">
        <f>P447+IF(LEN($Z$448)&gt;0,1,0)</f>
        <v/>
      </c>
      <c r="Q448" s="2">
        <f>Q447+IF(LEN($AA$448)&gt;0,1,0)</f>
        <v/>
      </c>
      <c r="R448" s="2">
        <f>R447+IF(LEN($AB$448)&gt;0,1,0)</f>
        <v/>
      </c>
      <c r="S448" s="2">
        <f>S447+IF(LEN($AC$448)&gt;0,1,0)</f>
        <v/>
      </c>
      <c r="T448" s="2">
        <f>T447+IF(LEN($AD$448)&gt;0,1,0)</f>
        <v/>
      </c>
      <c r="U448" s="2">
        <f>U447+IF(LEN($AE$448)&gt;0,1,0)</f>
        <v/>
      </c>
      <c r="V448" s="2">
        <f>V447+IF(LEN($AF$448)&gt;0,1,0)</f>
        <v/>
      </c>
      <c r="X448" s="2">
        <f>IF(ISERROR($B$448),"",IF(ISBLANK($B$448),"",$B$448))</f>
        <v/>
      </c>
      <c r="Y448" s="2">
        <f>IF(ISERROR($C$448),"",IF(ISBLANK($C$448),"",$C$448))</f>
        <v/>
      </c>
      <c r="Z448" s="2">
        <f>IF(ISERROR($D$448),"",IF(ISBLANK($D$448),"",$D$448))</f>
        <v/>
      </c>
      <c r="AA448" s="2">
        <f>IF(ISERROR($E$448),"",IF(ISBLANK($E$448),"",$E$448))</f>
        <v/>
      </c>
      <c r="AB448" s="2">
        <f>IF(ISERROR($F$448),"",IF(ISBLANK($F$448),"",$F$448))</f>
        <v/>
      </c>
      <c r="AC448" s="2">
        <f>IF(ISERROR($G$448),"",IF(ISBLANK($G$448),"",$G$448))</f>
        <v/>
      </c>
      <c r="AD448" s="2">
        <f>IF(ISERROR($H$448),"",IF(ISBLANK($H$448),"",$H$448))</f>
        <v/>
      </c>
      <c r="AE448" s="2">
        <f>IF(ISERROR($I$448),"",IF(ISBLANK($I$448),"",$I$448))</f>
        <v/>
      </c>
      <c r="AF448" s="2">
        <f>IF(ISERROR($J$448),"",IF(ISBLANK($J$448),"",$J$448))</f>
        <v/>
      </c>
      <c r="AG448" s="2">
        <f>ISERROR($B$448)*1+ISERROR($C$448)*1+ISERROR($D$448)*1+ISERROR($E$448)*1+ISERROR($F$448)*1+ISERROR($G$448)*1+ISERROR($H$448)*1+ISERROR($I$448)*1+ISERROR($J$448)*1</f>
        <v/>
      </c>
    </row>
    <row r="449" ht="26" customHeight="1">
      <c r="B449" s="33" t="n"/>
      <c r="C449" s="4" t="n"/>
      <c r="D449" s="4" t="n"/>
      <c r="E449" s="4" t="n"/>
      <c r="F449" s="4" t="n"/>
      <c r="G449" s="4" t="n"/>
      <c r="H449" s="4" t="n"/>
      <c r="I449" s="4" t="n"/>
      <c r="J449" s="4" t="n"/>
      <c r="K449" s="19">
        <f>IF(AG449&gt;0,"O Google leu como fórmula: digite de novo com ' na frente.","")</f>
        <v/>
      </c>
      <c r="N449" s="2">
        <f>N448+IF(LEN($X$449)&gt;0,1,0)</f>
        <v/>
      </c>
      <c r="O449" s="2">
        <f>O448+IF(LEN($Y$449)&gt;0,1,0)</f>
        <v/>
      </c>
      <c r="P449" s="2">
        <f>P448+IF(LEN($Z$449)&gt;0,1,0)</f>
        <v/>
      </c>
      <c r="Q449" s="2">
        <f>Q448+IF(LEN($AA$449)&gt;0,1,0)</f>
        <v/>
      </c>
      <c r="R449" s="2">
        <f>R448+IF(LEN($AB$449)&gt;0,1,0)</f>
        <v/>
      </c>
      <c r="S449" s="2">
        <f>S448+IF(LEN($AC$449)&gt;0,1,0)</f>
        <v/>
      </c>
      <c r="T449" s="2">
        <f>T448+IF(LEN($AD$449)&gt;0,1,0)</f>
        <v/>
      </c>
      <c r="U449" s="2">
        <f>U448+IF(LEN($AE$449)&gt;0,1,0)</f>
        <v/>
      </c>
      <c r="V449" s="2">
        <f>V448+IF(LEN($AF$449)&gt;0,1,0)</f>
        <v/>
      </c>
      <c r="X449" s="2">
        <f>IF(ISERROR($B$449),"",IF(ISBLANK($B$449),"",$B$449))</f>
        <v/>
      </c>
      <c r="Y449" s="2">
        <f>IF(ISERROR($C$449),"",IF(ISBLANK($C$449),"",$C$449))</f>
        <v/>
      </c>
      <c r="Z449" s="2">
        <f>IF(ISERROR($D$449),"",IF(ISBLANK($D$449),"",$D$449))</f>
        <v/>
      </c>
      <c r="AA449" s="2">
        <f>IF(ISERROR($E$449),"",IF(ISBLANK($E$449),"",$E$449))</f>
        <v/>
      </c>
      <c r="AB449" s="2">
        <f>IF(ISERROR($F$449),"",IF(ISBLANK($F$449),"",$F$449))</f>
        <v/>
      </c>
      <c r="AC449" s="2">
        <f>IF(ISERROR($G$449),"",IF(ISBLANK($G$449),"",$G$449))</f>
        <v/>
      </c>
      <c r="AD449" s="2">
        <f>IF(ISERROR($H$449),"",IF(ISBLANK($H$449),"",$H$449))</f>
        <v/>
      </c>
      <c r="AE449" s="2">
        <f>IF(ISERROR($I$449),"",IF(ISBLANK($I$449),"",$I$449))</f>
        <v/>
      </c>
      <c r="AF449" s="2">
        <f>IF(ISERROR($J$449),"",IF(ISBLANK($J$449),"",$J$449))</f>
        <v/>
      </c>
      <c r="AG449" s="2">
        <f>ISERROR($B$449)*1+ISERROR($C$449)*1+ISERROR($D$449)*1+ISERROR($E$449)*1+ISERROR($F$449)*1+ISERROR($G$449)*1+ISERROR($H$449)*1+ISERROR($I$449)*1+ISERROR($J$449)*1</f>
        <v/>
      </c>
    </row>
    <row r="450" ht="26" customHeight="1">
      <c r="B450" s="35" t="n"/>
      <c r="C450" s="29" t="n"/>
      <c r="D450" s="29" t="n"/>
      <c r="E450" s="29" t="n"/>
      <c r="F450" s="29" t="n"/>
      <c r="G450" s="29" t="n"/>
      <c r="H450" s="29" t="n"/>
      <c r="I450" s="29" t="n"/>
      <c r="J450" s="29" t="n"/>
      <c r="K450" s="19">
        <f>IF(AG450&gt;0,"O Google leu como fórmula: digite de novo com ' na frente.","")</f>
        <v/>
      </c>
      <c r="N450" s="2">
        <f>N449+IF(LEN($X$450)&gt;0,1,0)</f>
        <v/>
      </c>
      <c r="O450" s="2">
        <f>O449+IF(LEN($Y$450)&gt;0,1,0)</f>
        <v/>
      </c>
      <c r="P450" s="2">
        <f>P449+IF(LEN($Z$450)&gt;0,1,0)</f>
        <v/>
      </c>
      <c r="Q450" s="2">
        <f>Q449+IF(LEN($AA$450)&gt;0,1,0)</f>
        <v/>
      </c>
      <c r="R450" s="2">
        <f>R449+IF(LEN($AB$450)&gt;0,1,0)</f>
        <v/>
      </c>
      <c r="S450" s="2">
        <f>S449+IF(LEN($AC$450)&gt;0,1,0)</f>
        <v/>
      </c>
      <c r="T450" s="2">
        <f>T449+IF(LEN($AD$450)&gt;0,1,0)</f>
        <v/>
      </c>
      <c r="U450" s="2">
        <f>U449+IF(LEN($AE$450)&gt;0,1,0)</f>
        <v/>
      </c>
      <c r="V450" s="2">
        <f>V449+IF(LEN($AF$450)&gt;0,1,0)</f>
        <v/>
      </c>
      <c r="X450" s="2">
        <f>IF(ISERROR($B$450),"",IF(ISBLANK($B$450),"",$B$450))</f>
        <v/>
      </c>
      <c r="Y450" s="2">
        <f>IF(ISERROR($C$450),"",IF(ISBLANK($C$450),"",$C$450))</f>
        <v/>
      </c>
      <c r="Z450" s="2">
        <f>IF(ISERROR($D$450),"",IF(ISBLANK($D$450),"",$D$450))</f>
        <v/>
      </c>
      <c r="AA450" s="2">
        <f>IF(ISERROR($E$450),"",IF(ISBLANK($E$450),"",$E$450))</f>
        <v/>
      </c>
      <c r="AB450" s="2">
        <f>IF(ISERROR($F$450),"",IF(ISBLANK($F$450),"",$F$450))</f>
        <v/>
      </c>
      <c r="AC450" s="2">
        <f>IF(ISERROR($G$450),"",IF(ISBLANK($G$450),"",$G$450))</f>
        <v/>
      </c>
      <c r="AD450" s="2">
        <f>IF(ISERROR($H$450),"",IF(ISBLANK($H$450),"",$H$450))</f>
        <v/>
      </c>
      <c r="AE450" s="2">
        <f>IF(ISERROR($I$450),"",IF(ISBLANK($I$450),"",$I$450))</f>
        <v/>
      </c>
      <c r="AF450" s="2">
        <f>IF(ISERROR($J$450),"",IF(ISBLANK($J$450),"",$J$450))</f>
        <v/>
      </c>
      <c r="AG450" s="2">
        <f>ISERROR($B$450)*1+ISERROR($C$450)*1+ISERROR($D$450)*1+ISERROR($E$450)*1+ISERROR($F$450)*1+ISERROR($G$450)*1+ISERROR($H$450)*1+ISERROR($I$450)*1+ISERROR($J$450)*1</f>
        <v/>
      </c>
    </row>
    <row r="451" ht="26" customHeight="1">
      <c r="B451" s="33" t="n"/>
      <c r="C451" s="4" t="n"/>
      <c r="D451" s="4" t="n"/>
      <c r="E451" s="4" t="n"/>
      <c r="F451" s="4" t="n"/>
      <c r="G451" s="4" t="n"/>
      <c r="H451" s="4" t="n"/>
      <c r="I451" s="4" t="n"/>
      <c r="J451" s="4" t="n"/>
      <c r="K451" s="19">
        <f>IF(AG451&gt;0,"O Google leu como fórmula: digite de novo com ' na frente.","")</f>
        <v/>
      </c>
      <c r="N451" s="2">
        <f>N450+IF(LEN($X$451)&gt;0,1,0)</f>
        <v/>
      </c>
      <c r="O451" s="2">
        <f>O450+IF(LEN($Y$451)&gt;0,1,0)</f>
        <v/>
      </c>
      <c r="P451" s="2">
        <f>P450+IF(LEN($Z$451)&gt;0,1,0)</f>
        <v/>
      </c>
      <c r="Q451" s="2">
        <f>Q450+IF(LEN($AA$451)&gt;0,1,0)</f>
        <v/>
      </c>
      <c r="R451" s="2">
        <f>R450+IF(LEN($AB$451)&gt;0,1,0)</f>
        <v/>
      </c>
      <c r="S451" s="2">
        <f>S450+IF(LEN($AC$451)&gt;0,1,0)</f>
        <v/>
      </c>
      <c r="T451" s="2">
        <f>T450+IF(LEN($AD$451)&gt;0,1,0)</f>
        <v/>
      </c>
      <c r="U451" s="2">
        <f>U450+IF(LEN($AE$451)&gt;0,1,0)</f>
        <v/>
      </c>
      <c r="V451" s="2">
        <f>V450+IF(LEN($AF$451)&gt;0,1,0)</f>
        <v/>
      </c>
      <c r="X451" s="2">
        <f>IF(ISERROR($B$451),"",IF(ISBLANK($B$451),"",$B$451))</f>
        <v/>
      </c>
      <c r="Y451" s="2">
        <f>IF(ISERROR($C$451),"",IF(ISBLANK($C$451),"",$C$451))</f>
        <v/>
      </c>
      <c r="Z451" s="2">
        <f>IF(ISERROR($D$451),"",IF(ISBLANK($D$451),"",$D$451))</f>
        <v/>
      </c>
      <c r="AA451" s="2">
        <f>IF(ISERROR($E$451),"",IF(ISBLANK($E$451),"",$E$451))</f>
        <v/>
      </c>
      <c r="AB451" s="2">
        <f>IF(ISERROR($F$451),"",IF(ISBLANK($F$451),"",$F$451))</f>
        <v/>
      </c>
      <c r="AC451" s="2">
        <f>IF(ISERROR($G$451),"",IF(ISBLANK($G$451),"",$G$451))</f>
        <v/>
      </c>
      <c r="AD451" s="2">
        <f>IF(ISERROR($H$451),"",IF(ISBLANK($H$451),"",$H$451))</f>
        <v/>
      </c>
      <c r="AE451" s="2">
        <f>IF(ISERROR($I$451),"",IF(ISBLANK($I$451),"",$I$451))</f>
        <v/>
      </c>
      <c r="AF451" s="2">
        <f>IF(ISERROR($J$451),"",IF(ISBLANK($J$451),"",$J$451))</f>
        <v/>
      </c>
      <c r="AG451" s="2">
        <f>ISERROR($B$451)*1+ISERROR($C$451)*1+ISERROR($D$451)*1+ISERROR($E$451)*1+ISERROR($F$451)*1+ISERROR($G$451)*1+ISERROR($H$451)*1+ISERROR($I$451)*1+ISERROR($J$451)*1</f>
        <v/>
      </c>
    </row>
    <row r="452" ht="26" customHeight="1">
      <c r="B452" s="35" t="n"/>
      <c r="C452" s="29" t="n"/>
      <c r="D452" s="29" t="n"/>
      <c r="E452" s="29" t="n"/>
      <c r="F452" s="29" t="n"/>
      <c r="G452" s="29" t="n"/>
      <c r="H452" s="29" t="n"/>
      <c r="I452" s="29" t="n"/>
      <c r="J452" s="29" t="n"/>
      <c r="K452" s="19">
        <f>IF(AG452&gt;0,"O Google leu como fórmula: digite de novo com ' na frente.","")</f>
        <v/>
      </c>
      <c r="N452" s="2">
        <f>N451+IF(LEN($X$452)&gt;0,1,0)</f>
        <v/>
      </c>
      <c r="O452" s="2">
        <f>O451+IF(LEN($Y$452)&gt;0,1,0)</f>
        <v/>
      </c>
      <c r="P452" s="2">
        <f>P451+IF(LEN($Z$452)&gt;0,1,0)</f>
        <v/>
      </c>
      <c r="Q452" s="2">
        <f>Q451+IF(LEN($AA$452)&gt;0,1,0)</f>
        <v/>
      </c>
      <c r="R452" s="2">
        <f>R451+IF(LEN($AB$452)&gt;0,1,0)</f>
        <v/>
      </c>
      <c r="S452" s="2">
        <f>S451+IF(LEN($AC$452)&gt;0,1,0)</f>
        <v/>
      </c>
      <c r="T452" s="2">
        <f>T451+IF(LEN($AD$452)&gt;0,1,0)</f>
        <v/>
      </c>
      <c r="U452" s="2">
        <f>U451+IF(LEN($AE$452)&gt;0,1,0)</f>
        <v/>
      </c>
      <c r="V452" s="2">
        <f>V451+IF(LEN($AF$452)&gt;0,1,0)</f>
        <v/>
      </c>
      <c r="X452" s="2">
        <f>IF(ISERROR($B$452),"",IF(ISBLANK($B$452),"",$B$452))</f>
        <v/>
      </c>
      <c r="Y452" s="2">
        <f>IF(ISERROR($C$452),"",IF(ISBLANK($C$452),"",$C$452))</f>
        <v/>
      </c>
      <c r="Z452" s="2">
        <f>IF(ISERROR($D$452),"",IF(ISBLANK($D$452),"",$D$452))</f>
        <v/>
      </c>
      <c r="AA452" s="2">
        <f>IF(ISERROR($E$452),"",IF(ISBLANK($E$452),"",$E$452))</f>
        <v/>
      </c>
      <c r="AB452" s="2">
        <f>IF(ISERROR($F$452),"",IF(ISBLANK($F$452),"",$F$452))</f>
        <v/>
      </c>
      <c r="AC452" s="2">
        <f>IF(ISERROR($G$452),"",IF(ISBLANK($G$452),"",$G$452))</f>
        <v/>
      </c>
      <c r="AD452" s="2">
        <f>IF(ISERROR($H$452),"",IF(ISBLANK($H$452),"",$H$452))</f>
        <v/>
      </c>
      <c r="AE452" s="2">
        <f>IF(ISERROR($I$452),"",IF(ISBLANK($I$452),"",$I$452))</f>
        <v/>
      </c>
      <c r="AF452" s="2">
        <f>IF(ISERROR($J$452),"",IF(ISBLANK($J$452),"",$J$452))</f>
        <v/>
      </c>
      <c r="AG452" s="2">
        <f>ISERROR($B$452)*1+ISERROR($C$452)*1+ISERROR($D$452)*1+ISERROR($E$452)*1+ISERROR($F$452)*1+ISERROR($G$452)*1+ISERROR($H$452)*1+ISERROR($I$452)*1+ISERROR($J$452)*1</f>
        <v/>
      </c>
    </row>
    <row r="453" ht="26" customHeight="1">
      <c r="B453" s="33" t="n"/>
      <c r="C453" s="4" t="n"/>
      <c r="D453" s="4" t="n"/>
      <c r="E453" s="4" t="n"/>
      <c r="F453" s="4" t="n"/>
      <c r="G453" s="4" t="n"/>
      <c r="H453" s="4" t="n"/>
      <c r="I453" s="4" t="n"/>
      <c r="J453" s="4" t="n"/>
      <c r="K453" s="19">
        <f>IF(AG453&gt;0,"O Google leu como fórmula: digite de novo com ' na frente.","")</f>
        <v/>
      </c>
      <c r="N453" s="2">
        <f>N452+IF(LEN($X$453)&gt;0,1,0)</f>
        <v/>
      </c>
      <c r="O453" s="2">
        <f>O452+IF(LEN($Y$453)&gt;0,1,0)</f>
        <v/>
      </c>
      <c r="P453" s="2">
        <f>P452+IF(LEN($Z$453)&gt;0,1,0)</f>
        <v/>
      </c>
      <c r="Q453" s="2">
        <f>Q452+IF(LEN($AA$453)&gt;0,1,0)</f>
        <v/>
      </c>
      <c r="R453" s="2">
        <f>R452+IF(LEN($AB$453)&gt;0,1,0)</f>
        <v/>
      </c>
      <c r="S453" s="2">
        <f>S452+IF(LEN($AC$453)&gt;0,1,0)</f>
        <v/>
      </c>
      <c r="T453" s="2">
        <f>T452+IF(LEN($AD$453)&gt;0,1,0)</f>
        <v/>
      </c>
      <c r="U453" s="2">
        <f>U452+IF(LEN($AE$453)&gt;0,1,0)</f>
        <v/>
      </c>
      <c r="V453" s="2">
        <f>V452+IF(LEN($AF$453)&gt;0,1,0)</f>
        <v/>
      </c>
      <c r="X453" s="2">
        <f>IF(ISERROR($B$453),"",IF(ISBLANK($B$453),"",$B$453))</f>
        <v/>
      </c>
      <c r="Y453" s="2">
        <f>IF(ISERROR($C$453),"",IF(ISBLANK($C$453),"",$C$453))</f>
        <v/>
      </c>
      <c r="Z453" s="2">
        <f>IF(ISERROR($D$453),"",IF(ISBLANK($D$453),"",$D$453))</f>
        <v/>
      </c>
      <c r="AA453" s="2">
        <f>IF(ISERROR($E$453),"",IF(ISBLANK($E$453),"",$E$453))</f>
        <v/>
      </c>
      <c r="AB453" s="2">
        <f>IF(ISERROR($F$453),"",IF(ISBLANK($F$453),"",$F$453))</f>
        <v/>
      </c>
      <c r="AC453" s="2">
        <f>IF(ISERROR($G$453),"",IF(ISBLANK($G$453),"",$G$453))</f>
        <v/>
      </c>
      <c r="AD453" s="2">
        <f>IF(ISERROR($H$453),"",IF(ISBLANK($H$453),"",$H$453))</f>
        <v/>
      </c>
      <c r="AE453" s="2">
        <f>IF(ISERROR($I$453),"",IF(ISBLANK($I$453),"",$I$453))</f>
        <v/>
      </c>
      <c r="AF453" s="2">
        <f>IF(ISERROR($J$453),"",IF(ISBLANK($J$453),"",$J$453))</f>
        <v/>
      </c>
      <c r="AG453" s="2">
        <f>ISERROR($B$453)*1+ISERROR($C$453)*1+ISERROR($D$453)*1+ISERROR($E$453)*1+ISERROR($F$453)*1+ISERROR($G$453)*1+ISERROR($H$453)*1+ISERROR($I$453)*1+ISERROR($J$453)*1</f>
        <v/>
      </c>
    </row>
    <row r="454" ht="15" customHeight="1">
      <c r="B454" s="8" t="inlineStr">
        <is>
          <t>Ocupação (NPC)</t>
        </is>
      </c>
      <c r="C454" s="8" t="inlineStr">
        <is>
          <t>Traço de aparência</t>
        </is>
      </c>
      <c r="D454" s="8" t="inlineStr">
        <is>
          <t>Personalidade</t>
        </is>
      </c>
      <c r="E454" s="8" t="inlineStr">
        <is>
          <t>Motivação (sem Caminho)</t>
        </is>
      </c>
      <c r="F454" s="8" t="inlineStr">
        <is>
          <t>Segredo</t>
        </is>
      </c>
      <c r="G454" s="8" t="inlineStr">
        <is>
          <t>Maneirismo e voz</t>
        </is>
      </c>
      <c r="H454" s="8" t="inlineStr">
        <is>
          <t>Caminho do NPC (peso)</t>
        </is>
      </c>
      <c r="I454" s="8" t="inlineStr">
        <is>
          <t>Atitude com o grupo</t>
        </is>
      </c>
      <c r="J454" s="8" t="inlineStr">
        <is>
          <t>Gancho do NPC</t>
        </is>
      </c>
      <c r="N454" s="2">
        <f>N453</f>
        <v/>
      </c>
      <c r="O454" s="2">
        <f>O453</f>
        <v/>
      </c>
      <c r="P454" s="2">
        <f>P453</f>
        <v/>
      </c>
      <c r="Q454" s="2">
        <f>Q453</f>
        <v/>
      </c>
      <c r="R454" s="2">
        <f>R453</f>
        <v/>
      </c>
      <c r="S454" s="2">
        <f>S453</f>
        <v/>
      </c>
      <c r="T454" s="2">
        <f>T453</f>
        <v/>
      </c>
      <c r="U454" s="2">
        <f>U453</f>
        <v/>
      </c>
      <c r="V454" s="2">
        <f>V453</f>
        <v/>
      </c>
      <c r="X454" s="2">
        <f>IF(ISERROR($B$454),"",IF(ISBLANK($B$454),"",$B$454))</f>
        <v/>
      </c>
      <c r="Y454" s="2">
        <f>IF(ISERROR($C$454),"",IF(ISBLANK($C$454),"",$C$454))</f>
        <v/>
      </c>
      <c r="Z454" s="2">
        <f>IF(ISERROR($D$454),"",IF(ISBLANK($D$454),"",$D$454))</f>
        <v/>
      </c>
      <c r="AA454" s="2">
        <f>IF(ISERROR($E$454),"",IF(ISBLANK($E$454),"",$E$454))</f>
        <v/>
      </c>
      <c r="AB454" s="2">
        <f>IF(ISERROR($F$454),"",IF(ISBLANK($F$454),"",$F$454))</f>
        <v/>
      </c>
      <c r="AC454" s="2">
        <f>IF(ISERROR($G$454),"",IF(ISBLANK($G$454),"",$G$454))</f>
        <v/>
      </c>
      <c r="AD454" s="2">
        <f>IF(ISERROR($H$454),"",IF(ISBLANK($H$454),"",$H$454))</f>
        <v/>
      </c>
      <c r="AE454" s="2">
        <f>IF(ISERROR($I$454),"",IF(ISBLANK($I$454),"",$I$454))</f>
        <v/>
      </c>
      <c r="AF454" s="2">
        <f>IF(ISERROR($J$454),"",IF(ISBLANK($J$454),"",$J$454))</f>
        <v/>
      </c>
    </row>
    <row r="455" ht="26" customHeight="1">
      <c r="B455" s="33" t="n"/>
      <c r="C455" s="4" t="n"/>
      <c r="D455" s="4" t="n"/>
      <c r="E455" s="4" t="n"/>
      <c r="F455" s="4" t="n"/>
      <c r="G455" s="4" t="n"/>
      <c r="H455" s="4" t="n"/>
      <c r="I455" s="4" t="n"/>
      <c r="J455" s="4" t="n"/>
      <c r="K455" s="19">
        <f>IF(AG455&gt;0,"O Google leu como fórmula: digite de novo com ' na frente.","")</f>
        <v/>
      </c>
      <c r="N455" s="2">
        <f>N454+IF(LEN($X$455)&gt;0,1,0)</f>
        <v/>
      </c>
      <c r="O455" s="2">
        <f>O454+IF(LEN($Y$455)&gt;0,1,0)</f>
        <v/>
      </c>
      <c r="P455" s="2">
        <f>P454+IF(LEN($Z$455)&gt;0,1,0)</f>
        <v/>
      </c>
      <c r="Q455" s="2">
        <f>Q454+IF(LEN($AA$455)&gt;0,1,0)</f>
        <v/>
      </c>
      <c r="R455" s="2">
        <f>R454+IF(LEN($AB$455)&gt;0,1,0)</f>
        <v/>
      </c>
      <c r="S455" s="2">
        <f>S454+IF(LEN($AC$455)&gt;0,1,0)</f>
        <v/>
      </c>
      <c r="T455" s="2">
        <f>T454+IF(LEN($AD$455)&gt;0,1,0)</f>
        <v/>
      </c>
      <c r="U455" s="2">
        <f>U454+IF(LEN($AE$455)&gt;0,1,0)</f>
        <v/>
      </c>
      <c r="V455" s="2">
        <f>V454+IF(LEN($AF$455)&gt;0,1,0)</f>
        <v/>
      </c>
      <c r="X455" s="2">
        <f>IF(ISERROR($B$455),"",IF(ISBLANK($B$455),"",$B$455))</f>
        <v/>
      </c>
      <c r="Y455" s="2">
        <f>IF(ISERROR($C$455),"",IF(ISBLANK($C$455),"",$C$455))</f>
        <v/>
      </c>
      <c r="Z455" s="2">
        <f>IF(ISERROR($D$455),"",IF(ISBLANK($D$455),"",$D$455))</f>
        <v/>
      </c>
      <c r="AA455" s="2">
        <f>IF(ISERROR($E$455),"",IF(ISBLANK($E$455),"",$E$455))</f>
        <v/>
      </c>
      <c r="AB455" s="2">
        <f>IF(ISERROR($F$455),"",IF(ISBLANK($F$455),"",$F$455))</f>
        <v/>
      </c>
      <c r="AC455" s="2">
        <f>IF(ISERROR($G$455),"",IF(ISBLANK($G$455),"",$G$455))</f>
        <v/>
      </c>
      <c r="AD455" s="2">
        <f>IF(ISERROR($H$455),"",IF(ISBLANK($H$455),"",$H$455))</f>
        <v/>
      </c>
      <c r="AE455" s="2">
        <f>IF(ISERROR($I$455),"",IF(ISBLANK($I$455),"",$I$455))</f>
        <v/>
      </c>
      <c r="AF455" s="2">
        <f>IF(ISERROR($J$455),"",IF(ISBLANK($J$455),"",$J$455))</f>
        <v/>
      </c>
      <c r="AG455" s="2">
        <f>ISERROR($B$455)*1+ISERROR($C$455)*1+ISERROR($D$455)*1+ISERROR($E$455)*1+ISERROR($F$455)*1+ISERROR($G$455)*1+ISERROR($H$455)*1+ISERROR($I$455)*1+ISERROR($J$455)*1</f>
        <v/>
      </c>
    </row>
    <row r="456" ht="26" customHeight="1">
      <c r="B456" s="35" t="n"/>
      <c r="C456" s="29" t="n"/>
      <c r="D456" s="29" t="n"/>
      <c r="E456" s="29" t="n"/>
      <c r="F456" s="29" t="n"/>
      <c r="G456" s="29" t="n"/>
      <c r="H456" s="29" t="n"/>
      <c r="I456" s="29" t="n"/>
      <c r="J456" s="29" t="n"/>
      <c r="K456" s="19">
        <f>IF(AG456&gt;0,"O Google leu como fórmula: digite de novo com ' na frente.","")</f>
        <v/>
      </c>
      <c r="N456" s="2">
        <f>N455+IF(LEN($X$456)&gt;0,1,0)</f>
        <v/>
      </c>
      <c r="O456" s="2">
        <f>O455+IF(LEN($Y$456)&gt;0,1,0)</f>
        <v/>
      </c>
      <c r="P456" s="2">
        <f>P455+IF(LEN($Z$456)&gt;0,1,0)</f>
        <v/>
      </c>
      <c r="Q456" s="2">
        <f>Q455+IF(LEN($AA$456)&gt;0,1,0)</f>
        <v/>
      </c>
      <c r="R456" s="2">
        <f>R455+IF(LEN($AB$456)&gt;0,1,0)</f>
        <v/>
      </c>
      <c r="S456" s="2">
        <f>S455+IF(LEN($AC$456)&gt;0,1,0)</f>
        <v/>
      </c>
      <c r="T456" s="2">
        <f>T455+IF(LEN($AD$456)&gt;0,1,0)</f>
        <v/>
      </c>
      <c r="U456" s="2">
        <f>U455+IF(LEN($AE$456)&gt;0,1,0)</f>
        <v/>
      </c>
      <c r="V456" s="2">
        <f>V455+IF(LEN($AF$456)&gt;0,1,0)</f>
        <v/>
      </c>
      <c r="X456" s="2">
        <f>IF(ISERROR($B$456),"",IF(ISBLANK($B$456),"",$B$456))</f>
        <v/>
      </c>
      <c r="Y456" s="2">
        <f>IF(ISERROR($C$456),"",IF(ISBLANK($C$456),"",$C$456))</f>
        <v/>
      </c>
      <c r="Z456" s="2">
        <f>IF(ISERROR($D$456),"",IF(ISBLANK($D$456),"",$D$456))</f>
        <v/>
      </c>
      <c r="AA456" s="2">
        <f>IF(ISERROR($E$456),"",IF(ISBLANK($E$456),"",$E$456))</f>
        <v/>
      </c>
      <c r="AB456" s="2">
        <f>IF(ISERROR($F$456),"",IF(ISBLANK($F$456),"",$F$456))</f>
        <v/>
      </c>
      <c r="AC456" s="2">
        <f>IF(ISERROR($G$456),"",IF(ISBLANK($G$456),"",$G$456))</f>
        <v/>
      </c>
      <c r="AD456" s="2">
        <f>IF(ISERROR($H$456),"",IF(ISBLANK($H$456),"",$H$456))</f>
        <v/>
      </c>
      <c r="AE456" s="2">
        <f>IF(ISERROR($I$456),"",IF(ISBLANK($I$456),"",$I$456))</f>
        <v/>
      </c>
      <c r="AF456" s="2">
        <f>IF(ISERROR($J$456),"",IF(ISBLANK($J$456),"",$J$456))</f>
        <v/>
      </c>
      <c r="AG456" s="2">
        <f>ISERROR($B$456)*1+ISERROR($C$456)*1+ISERROR($D$456)*1+ISERROR($E$456)*1+ISERROR($F$456)*1+ISERROR($G$456)*1+ISERROR($H$456)*1+ISERROR($I$456)*1+ISERROR($J$456)*1</f>
        <v/>
      </c>
    </row>
    <row r="457" ht="26" customHeight="1">
      <c r="B457" s="33" t="n"/>
      <c r="C457" s="4" t="n"/>
      <c r="D457" s="4" t="n"/>
      <c r="E457" s="4" t="n"/>
      <c r="F457" s="4" t="n"/>
      <c r="G457" s="4" t="n"/>
      <c r="H457" s="4" t="n"/>
      <c r="I457" s="4" t="n"/>
      <c r="J457" s="4" t="n"/>
      <c r="K457" s="19">
        <f>IF(AG457&gt;0,"O Google leu como fórmula: digite de novo com ' na frente.","")</f>
        <v/>
      </c>
      <c r="N457" s="2">
        <f>N456+IF(LEN($X$457)&gt;0,1,0)</f>
        <v/>
      </c>
      <c r="O457" s="2">
        <f>O456+IF(LEN($Y$457)&gt;0,1,0)</f>
        <v/>
      </c>
      <c r="P457" s="2">
        <f>P456+IF(LEN($Z$457)&gt;0,1,0)</f>
        <v/>
      </c>
      <c r="Q457" s="2">
        <f>Q456+IF(LEN($AA$457)&gt;0,1,0)</f>
        <v/>
      </c>
      <c r="R457" s="2">
        <f>R456+IF(LEN($AB$457)&gt;0,1,0)</f>
        <v/>
      </c>
      <c r="S457" s="2">
        <f>S456+IF(LEN($AC$457)&gt;0,1,0)</f>
        <v/>
      </c>
      <c r="T457" s="2">
        <f>T456+IF(LEN($AD$457)&gt;0,1,0)</f>
        <v/>
      </c>
      <c r="U457" s="2">
        <f>U456+IF(LEN($AE$457)&gt;0,1,0)</f>
        <v/>
      </c>
      <c r="V457" s="2">
        <f>V456+IF(LEN($AF$457)&gt;0,1,0)</f>
        <v/>
      </c>
      <c r="X457" s="2">
        <f>IF(ISERROR($B$457),"",IF(ISBLANK($B$457),"",$B$457))</f>
        <v/>
      </c>
      <c r="Y457" s="2">
        <f>IF(ISERROR($C$457),"",IF(ISBLANK($C$457),"",$C$457))</f>
        <v/>
      </c>
      <c r="Z457" s="2">
        <f>IF(ISERROR($D$457),"",IF(ISBLANK($D$457),"",$D$457))</f>
        <v/>
      </c>
      <c r="AA457" s="2">
        <f>IF(ISERROR($E$457),"",IF(ISBLANK($E$457),"",$E$457))</f>
        <v/>
      </c>
      <c r="AB457" s="2">
        <f>IF(ISERROR($F$457),"",IF(ISBLANK($F$457),"",$F$457))</f>
        <v/>
      </c>
      <c r="AC457" s="2">
        <f>IF(ISERROR($G$457),"",IF(ISBLANK($G$457),"",$G$457))</f>
        <v/>
      </c>
      <c r="AD457" s="2">
        <f>IF(ISERROR($H$457),"",IF(ISBLANK($H$457),"",$H$457))</f>
        <v/>
      </c>
      <c r="AE457" s="2">
        <f>IF(ISERROR($I$457),"",IF(ISBLANK($I$457),"",$I$457))</f>
        <v/>
      </c>
      <c r="AF457" s="2">
        <f>IF(ISERROR($J$457),"",IF(ISBLANK($J$457),"",$J$457))</f>
        <v/>
      </c>
      <c r="AG457" s="2">
        <f>ISERROR($B$457)*1+ISERROR($C$457)*1+ISERROR($D$457)*1+ISERROR($E$457)*1+ISERROR($F$457)*1+ISERROR($G$457)*1+ISERROR($H$457)*1+ISERROR($I$457)*1+ISERROR($J$457)*1</f>
        <v/>
      </c>
    </row>
    <row r="458" ht="26" customHeight="1">
      <c r="B458" s="35" t="n"/>
      <c r="C458" s="29" t="n"/>
      <c r="D458" s="29" t="n"/>
      <c r="E458" s="29" t="n"/>
      <c r="F458" s="29" t="n"/>
      <c r="G458" s="29" t="n"/>
      <c r="H458" s="29" t="n"/>
      <c r="I458" s="29" t="n"/>
      <c r="J458" s="29" t="n"/>
      <c r="K458" s="19">
        <f>IF(AG458&gt;0,"O Google leu como fórmula: digite de novo com ' na frente.","")</f>
        <v/>
      </c>
      <c r="N458" s="2">
        <f>N457+IF(LEN($X$458)&gt;0,1,0)</f>
        <v/>
      </c>
      <c r="O458" s="2">
        <f>O457+IF(LEN($Y$458)&gt;0,1,0)</f>
        <v/>
      </c>
      <c r="P458" s="2">
        <f>P457+IF(LEN($Z$458)&gt;0,1,0)</f>
        <v/>
      </c>
      <c r="Q458" s="2">
        <f>Q457+IF(LEN($AA$458)&gt;0,1,0)</f>
        <v/>
      </c>
      <c r="R458" s="2">
        <f>R457+IF(LEN($AB$458)&gt;0,1,0)</f>
        <v/>
      </c>
      <c r="S458" s="2">
        <f>S457+IF(LEN($AC$458)&gt;0,1,0)</f>
        <v/>
      </c>
      <c r="T458" s="2">
        <f>T457+IF(LEN($AD$458)&gt;0,1,0)</f>
        <v/>
      </c>
      <c r="U458" s="2">
        <f>U457+IF(LEN($AE$458)&gt;0,1,0)</f>
        <v/>
      </c>
      <c r="V458" s="2">
        <f>V457+IF(LEN($AF$458)&gt;0,1,0)</f>
        <v/>
      </c>
      <c r="X458" s="2">
        <f>IF(ISERROR($B$458),"",IF(ISBLANK($B$458),"",$B$458))</f>
        <v/>
      </c>
      <c r="Y458" s="2">
        <f>IF(ISERROR($C$458),"",IF(ISBLANK($C$458),"",$C$458))</f>
        <v/>
      </c>
      <c r="Z458" s="2">
        <f>IF(ISERROR($D$458),"",IF(ISBLANK($D$458),"",$D$458))</f>
        <v/>
      </c>
      <c r="AA458" s="2">
        <f>IF(ISERROR($E$458),"",IF(ISBLANK($E$458),"",$E$458))</f>
        <v/>
      </c>
      <c r="AB458" s="2">
        <f>IF(ISERROR($F$458),"",IF(ISBLANK($F$458),"",$F$458))</f>
        <v/>
      </c>
      <c r="AC458" s="2">
        <f>IF(ISERROR($G$458),"",IF(ISBLANK($G$458),"",$G$458))</f>
        <v/>
      </c>
      <c r="AD458" s="2">
        <f>IF(ISERROR($H$458),"",IF(ISBLANK($H$458),"",$H$458))</f>
        <v/>
      </c>
      <c r="AE458" s="2">
        <f>IF(ISERROR($I$458),"",IF(ISBLANK($I$458),"",$I$458))</f>
        <v/>
      </c>
      <c r="AF458" s="2">
        <f>IF(ISERROR($J$458),"",IF(ISBLANK($J$458),"",$J$458))</f>
        <v/>
      </c>
      <c r="AG458" s="2">
        <f>ISERROR($B$458)*1+ISERROR($C$458)*1+ISERROR($D$458)*1+ISERROR($E$458)*1+ISERROR($F$458)*1+ISERROR($G$458)*1+ISERROR($H$458)*1+ISERROR($I$458)*1+ISERROR($J$458)*1</f>
        <v/>
      </c>
    </row>
    <row r="459" ht="26" customHeight="1">
      <c r="B459" s="33" t="n"/>
      <c r="C459" s="4" t="n"/>
      <c r="D459" s="4" t="n"/>
      <c r="E459" s="4" t="n"/>
      <c r="F459" s="4" t="n"/>
      <c r="G459" s="4" t="n"/>
      <c r="H459" s="4" t="n"/>
      <c r="I459" s="4" t="n"/>
      <c r="J459" s="4" t="n"/>
      <c r="K459" s="19">
        <f>IF(AG459&gt;0,"O Google leu como fórmula: digite de novo com ' na frente.","")</f>
        <v/>
      </c>
      <c r="N459" s="2">
        <f>N458+IF(LEN($X$459)&gt;0,1,0)</f>
        <v/>
      </c>
      <c r="O459" s="2">
        <f>O458+IF(LEN($Y$459)&gt;0,1,0)</f>
        <v/>
      </c>
      <c r="P459" s="2">
        <f>P458+IF(LEN($Z$459)&gt;0,1,0)</f>
        <v/>
      </c>
      <c r="Q459" s="2">
        <f>Q458+IF(LEN($AA$459)&gt;0,1,0)</f>
        <v/>
      </c>
      <c r="R459" s="2">
        <f>R458+IF(LEN($AB$459)&gt;0,1,0)</f>
        <v/>
      </c>
      <c r="S459" s="2">
        <f>S458+IF(LEN($AC$459)&gt;0,1,0)</f>
        <v/>
      </c>
      <c r="T459" s="2">
        <f>T458+IF(LEN($AD$459)&gt;0,1,0)</f>
        <v/>
      </c>
      <c r="U459" s="2">
        <f>U458+IF(LEN($AE$459)&gt;0,1,0)</f>
        <v/>
      </c>
      <c r="V459" s="2">
        <f>V458+IF(LEN($AF$459)&gt;0,1,0)</f>
        <v/>
      </c>
      <c r="X459" s="2">
        <f>IF(ISERROR($B$459),"",IF(ISBLANK($B$459),"",$B$459))</f>
        <v/>
      </c>
      <c r="Y459" s="2">
        <f>IF(ISERROR($C$459),"",IF(ISBLANK($C$459),"",$C$459))</f>
        <v/>
      </c>
      <c r="Z459" s="2">
        <f>IF(ISERROR($D$459),"",IF(ISBLANK($D$459),"",$D$459))</f>
        <v/>
      </c>
      <c r="AA459" s="2">
        <f>IF(ISERROR($E$459),"",IF(ISBLANK($E$459),"",$E$459))</f>
        <v/>
      </c>
      <c r="AB459" s="2">
        <f>IF(ISERROR($F$459),"",IF(ISBLANK($F$459),"",$F$459))</f>
        <v/>
      </c>
      <c r="AC459" s="2">
        <f>IF(ISERROR($G$459),"",IF(ISBLANK($G$459),"",$G$459))</f>
        <v/>
      </c>
      <c r="AD459" s="2">
        <f>IF(ISERROR($H$459),"",IF(ISBLANK($H$459),"",$H$459))</f>
        <v/>
      </c>
      <c r="AE459" s="2">
        <f>IF(ISERROR($I$459),"",IF(ISBLANK($I$459),"",$I$459))</f>
        <v/>
      </c>
      <c r="AF459" s="2">
        <f>IF(ISERROR($J$459),"",IF(ISBLANK($J$459),"",$J$459))</f>
        <v/>
      </c>
      <c r="AG459" s="2">
        <f>ISERROR($B$459)*1+ISERROR($C$459)*1+ISERROR($D$459)*1+ISERROR($E$459)*1+ISERROR($F$459)*1+ISERROR($G$459)*1+ISERROR($H$459)*1+ISERROR($I$459)*1+ISERROR($J$459)*1</f>
        <v/>
      </c>
    </row>
    <row r="460" ht="26" customHeight="1">
      <c r="B460" s="35" t="n"/>
      <c r="C460" s="29" t="n"/>
      <c r="D460" s="29" t="n"/>
      <c r="E460" s="29" t="n"/>
      <c r="F460" s="29" t="n"/>
      <c r="G460" s="29" t="n"/>
      <c r="H460" s="29" t="n"/>
      <c r="I460" s="29" t="n"/>
      <c r="J460" s="29" t="n"/>
      <c r="K460" s="19">
        <f>IF(AG460&gt;0,"O Google leu como fórmula: digite de novo com ' na frente.","")</f>
        <v/>
      </c>
      <c r="N460" s="2">
        <f>N459+IF(LEN($X$460)&gt;0,1,0)</f>
        <v/>
      </c>
      <c r="O460" s="2">
        <f>O459+IF(LEN($Y$460)&gt;0,1,0)</f>
        <v/>
      </c>
      <c r="P460" s="2">
        <f>P459+IF(LEN($Z$460)&gt;0,1,0)</f>
        <v/>
      </c>
      <c r="Q460" s="2">
        <f>Q459+IF(LEN($AA$460)&gt;0,1,0)</f>
        <v/>
      </c>
      <c r="R460" s="2">
        <f>R459+IF(LEN($AB$460)&gt;0,1,0)</f>
        <v/>
      </c>
      <c r="S460" s="2">
        <f>S459+IF(LEN($AC$460)&gt;0,1,0)</f>
        <v/>
      </c>
      <c r="T460" s="2">
        <f>T459+IF(LEN($AD$460)&gt;0,1,0)</f>
        <v/>
      </c>
      <c r="U460" s="2">
        <f>U459+IF(LEN($AE$460)&gt;0,1,0)</f>
        <v/>
      </c>
      <c r="V460" s="2">
        <f>V459+IF(LEN($AF$460)&gt;0,1,0)</f>
        <v/>
      </c>
      <c r="X460" s="2">
        <f>IF(ISERROR($B$460),"",IF(ISBLANK($B$460),"",$B$460))</f>
        <v/>
      </c>
      <c r="Y460" s="2">
        <f>IF(ISERROR($C$460),"",IF(ISBLANK($C$460),"",$C$460))</f>
        <v/>
      </c>
      <c r="Z460" s="2">
        <f>IF(ISERROR($D$460),"",IF(ISBLANK($D$460),"",$D$460))</f>
        <v/>
      </c>
      <c r="AA460" s="2">
        <f>IF(ISERROR($E$460),"",IF(ISBLANK($E$460),"",$E$460))</f>
        <v/>
      </c>
      <c r="AB460" s="2">
        <f>IF(ISERROR($F$460),"",IF(ISBLANK($F$460),"",$F$460))</f>
        <v/>
      </c>
      <c r="AC460" s="2">
        <f>IF(ISERROR($G$460),"",IF(ISBLANK($G$460),"",$G$460))</f>
        <v/>
      </c>
      <c r="AD460" s="2">
        <f>IF(ISERROR($H$460),"",IF(ISBLANK($H$460),"",$H$460))</f>
        <v/>
      </c>
      <c r="AE460" s="2">
        <f>IF(ISERROR($I$460),"",IF(ISBLANK($I$460),"",$I$460))</f>
        <v/>
      </c>
      <c r="AF460" s="2">
        <f>IF(ISERROR($J$460),"",IF(ISBLANK($J$460),"",$J$460))</f>
        <v/>
      </c>
      <c r="AG460" s="2">
        <f>ISERROR($B$460)*1+ISERROR($C$460)*1+ISERROR($D$460)*1+ISERROR($E$460)*1+ISERROR($F$460)*1+ISERROR($G$460)*1+ISERROR($H$460)*1+ISERROR($I$460)*1+ISERROR($J$460)*1</f>
        <v/>
      </c>
    </row>
    <row r="461" ht="26" customHeight="1">
      <c r="B461" s="33" t="n"/>
      <c r="C461" s="4" t="n"/>
      <c r="D461" s="4" t="n"/>
      <c r="E461" s="4" t="n"/>
      <c r="F461" s="4" t="n"/>
      <c r="G461" s="4" t="n"/>
      <c r="H461" s="4" t="n"/>
      <c r="I461" s="4" t="n"/>
      <c r="J461" s="4" t="n"/>
      <c r="K461" s="19">
        <f>IF(AG461&gt;0,"O Google leu como fórmula: digite de novo com ' na frente.","")</f>
        <v/>
      </c>
      <c r="N461" s="2">
        <f>N460+IF(LEN($X$461)&gt;0,1,0)</f>
        <v/>
      </c>
      <c r="O461" s="2">
        <f>O460+IF(LEN($Y$461)&gt;0,1,0)</f>
        <v/>
      </c>
      <c r="P461" s="2">
        <f>P460+IF(LEN($Z$461)&gt;0,1,0)</f>
        <v/>
      </c>
      <c r="Q461" s="2">
        <f>Q460+IF(LEN($AA$461)&gt;0,1,0)</f>
        <v/>
      </c>
      <c r="R461" s="2">
        <f>R460+IF(LEN($AB$461)&gt;0,1,0)</f>
        <v/>
      </c>
      <c r="S461" s="2">
        <f>S460+IF(LEN($AC$461)&gt;0,1,0)</f>
        <v/>
      </c>
      <c r="T461" s="2">
        <f>T460+IF(LEN($AD$461)&gt;0,1,0)</f>
        <v/>
      </c>
      <c r="U461" s="2">
        <f>U460+IF(LEN($AE$461)&gt;0,1,0)</f>
        <v/>
      </c>
      <c r="V461" s="2">
        <f>V460+IF(LEN($AF$461)&gt;0,1,0)</f>
        <v/>
      </c>
      <c r="X461" s="2">
        <f>IF(ISERROR($B$461),"",IF(ISBLANK($B$461),"",$B$461))</f>
        <v/>
      </c>
      <c r="Y461" s="2">
        <f>IF(ISERROR($C$461),"",IF(ISBLANK($C$461),"",$C$461))</f>
        <v/>
      </c>
      <c r="Z461" s="2">
        <f>IF(ISERROR($D$461),"",IF(ISBLANK($D$461),"",$D$461))</f>
        <v/>
      </c>
      <c r="AA461" s="2">
        <f>IF(ISERROR($E$461),"",IF(ISBLANK($E$461),"",$E$461))</f>
        <v/>
      </c>
      <c r="AB461" s="2">
        <f>IF(ISERROR($F$461),"",IF(ISBLANK($F$461),"",$F$461))</f>
        <v/>
      </c>
      <c r="AC461" s="2">
        <f>IF(ISERROR($G$461),"",IF(ISBLANK($G$461),"",$G$461))</f>
        <v/>
      </c>
      <c r="AD461" s="2">
        <f>IF(ISERROR($H$461),"",IF(ISBLANK($H$461),"",$H$461))</f>
        <v/>
      </c>
      <c r="AE461" s="2">
        <f>IF(ISERROR($I$461),"",IF(ISBLANK($I$461),"",$I$461))</f>
        <v/>
      </c>
      <c r="AF461" s="2">
        <f>IF(ISERROR($J$461),"",IF(ISBLANK($J$461),"",$J$461))</f>
        <v/>
      </c>
      <c r="AG461" s="2">
        <f>ISERROR($B$461)*1+ISERROR($C$461)*1+ISERROR($D$461)*1+ISERROR($E$461)*1+ISERROR($F$461)*1+ISERROR($G$461)*1+ISERROR($H$461)*1+ISERROR($I$461)*1+ISERROR($J$461)*1</f>
        <v/>
      </c>
    </row>
    <row r="462" ht="26" customHeight="1">
      <c r="B462" s="35" t="n"/>
      <c r="C462" s="29" t="n"/>
      <c r="D462" s="29" t="n"/>
      <c r="E462" s="29" t="n"/>
      <c r="F462" s="29" t="n"/>
      <c r="G462" s="29" t="n"/>
      <c r="H462" s="29" t="n"/>
      <c r="I462" s="29" t="n"/>
      <c r="J462" s="29" t="n"/>
      <c r="K462" s="19">
        <f>IF(AG462&gt;0,"O Google leu como fórmula: digite de novo com ' na frente.","")</f>
        <v/>
      </c>
      <c r="N462" s="2">
        <f>N461+IF(LEN($X$462)&gt;0,1,0)</f>
        <v/>
      </c>
      <c r="O462" s="2">
        <f>O461+IF(LEN($Y$462)&gt;0,1,0)</f>
        <v/>
      </c>
      <c r="P462" s="2">
        <f>P461+IF(LEN($Z$462)&gt;0,1,0)</f>
        <v/>
      </c>
      <c r="Q462" s="2">
        <f>Q461+IF(LEN($AA$462)&gt;0,1,0)</f>
        <v/>
      </c>
      <c r="R462" s="2">
        <f>R461+IF(LEN($AB$462)&gt;0,1,0)</f>
        <v/>
      </c>
      <c r="S462" s="2">
        <f>S461+IF(LEN($AC$462)&gt;0,1,0)</f>
        <v/>
      </c>
      <c r="T462" s="2">
        <f>T461+IF(LEN($AD$462)&gt;0,1,0)</f>
        <v/>
      </c>
      <c r="U462" s="2">
        <f>U461+IF(LEN($AE$462)&gt;0,1,0)</f>
        <v/>
      </c>
      <c r="V462" s="2">
        <f>V461+IF(LEN($AF$462)&gt;0,1,0)</f>
        <v/>
      </c>
      <c r="X462" s="2">
        <f>IF(ISERROR($B$462),"",IF(ISBLANK($B$462),"",$B$462))</f>
        <v/>
      </c>
      <c r="Y462" s="2">
        <f>IF(ISERROR($C$462),"",IF(ISBLANK($C$462),"",$C$462))</f>
        <v/>
      </c>
      <c r="Z462" s="2">
        <f>IF(ISERROR($D$462),"",IF(ISBLANK($D$462),"",$D$462))</f>
        <v/>
      </c>
      <c r="AA462" s="2">
        <f>IF(ISERROR($E$462),"",IF(ISBLANK($E$462),"",$E$462))</f>
        <v/>
      </c>
      <c r="AB462" s="2">
        <f>IF(ISERROR($F$462),"",IF(ISBLANK($F$462),"",$F$462))</f>
        <v/>
      </c>
      <c r="AC462" s="2">
        <f>IF(ISERROR($G$462),"",IF(ISBLANK($G$462),"",$G$462))</f>
        <v/>
      </c>
      <c r="AD462" s="2">
        <f>IF(ISERROR($H$462),"",IF(ISBLANK($H$462),"",$H$462))</f>
        <v/>
      </c>
      <c r="AE462" s="2">
        <f>IF(ISERROR($I$462),"",IF(ISBLANK($I$462),"",$I$462))</f>
        <v/>
      </c>
      <c r="AF462" s="2">
        <f>IF(ISERROR($J$462),"",IF(ISBLANK($J$462),"",$J$462))</f>
        <v/>
      </c>
      <c r="AG462" s="2">
        <f>ISERROR($B$462)*1+ISERROR($C$462)*1+ISERROR($D$462)*1+ISERROR($E$462)*1+ISERROR($F$462)*1+ISERROR($G$462)*1+ISERROR($H$462)*1+ISERROR($I$462)*1+ISERROR($J$462)*1</f>
        <v/>
      </c>
    </row>
    <row r="463" ht="26" customHeight="1">
      <c r="B463" s="33" t="n"/>
      <c r="C463" s="4" t="n"/>
      <c r="D463" s="4" t="n"/>
      <c r="E463" s="4" t="n"/>
      <c r="F463" s="4" t="n"/>
      <c r="G463" s="4" t="n"/>
      <c r="H463" s="4" t="n"/>
      <c r="I463" s="4" t="n"/>
      <c r="J463" s="4" t="n"/>
      <c r="K463" s="19">
        <f>IF(AG463&gt;0,"O Google leu como fórmula: digite de novo com ' na frente.","")</f>
        <v/>
      </c>
      <c r="N463" s="2">
        <f>N462+IF(LEN($X$463)&gt;0,1,0)</f>
        <v/>
      </c>
      <c r="O463" s="2">
        <f>O462+IF(LEN($Y$463)&gt;0,1,0)</f>
        <v/>
      </c>
      <c r="P463" s="2">
        <f>P462+IF(LEN($Z$463)&gt;0,1,0)</f>
        <v/>
      </c>
      <c r="Q463" s="2">
        <f>Q462+IF(LEN($AA$463)&gt;0,1,0)</f>
        <v/>
      </c>
      <c r="R463" s="2">
        <f>R462+IF(LEN($AB$463)&gt;0,1,0)</f>
        <v/>
      </c>
      <c r="S463" s="2">
        <f>S462+IF(LEN($AC$463)&gt;0,1,0)</f>
        <v/>
      </c>
      <c r="T463" s="2">
        <f>T462+IF(LEN($AD$463)&gt;0,1,0)</f>
        <v/>
      </c>
      <c r="U463" s="2">
        <f>U462+IF(LEN($AE$463)&gt;0,1,0)</f>
        <v/>
      </c>
      <c r="V463" s="2">
        <f>V462+IF(LEN($AF$463)&gt;0,1,0)</f>
        <v/>
      </c>
      <c r="X463" s="2">
        <f>IF(ISERROR($B$463),"",IF(ISBLANK($B$463),"",$B$463))</f>
        <v/>
      </c>
      <c r="Y463" s="2">
        <f>IF(ISERROR($C$463),"",IF(ISBLANK($C$463),"",$C$463))</f>
        <v/>
      </c>
      <c r="Z463" s="2">
        <f>IF(ISERROR($D$463),"",IF(ISBLANK($D$463),"",$D$463))</f>
        <v/>
      </c>
      <c r="AA463" s="2">
        <f>IF(ISERROR($E$463),"",IF(ISBLANK($E$463),"",$E$463))</f>
        <v/>
      </c>
      <c r="AB463" s="2">
        <f>IF(ISERROR($F$463),"",IF(ISBLANK($F$463),"",$F$463))</f>
        <v/>
      </c>
      <c r="AC463" s="2">
        <f>IF(ISERROR($G$463),"",IF(ISBLANK($G$463),"",$G$463))</f>
        <v/>
      </c>
      <c r="AD463" s="2">
        <f>IF(ISERROR($H$463),"",IF(ISBLANK($H$463),"",$H$463))</f>
        <v/>
      </c>
      <c r="AE463" s="2">
        <f>IF(ISERROR($I$463),"",IF(ISBLANK($I$463),"",$I$463))</f>
        <v/>
      </c>
      <c r="AF463" s="2">
        <f>IF(ISERROR($J$463),"",IF(ISBLANK($J$463),"",$J$463))</f>
        <v/>
      </c>
      <c r="AG463" s="2">
        <f>ISERROR($B$463)*1+ISERROR($C$463)*1+ISERROR($D$463)*1+ISERROR($E$463)*1+ISERROR($F$463)*1+ISERROR($G$463)*1+ISERROR($H$463)*1+ISERROR($I$463)*1+ISERROR($J$463)*1</f>
        <v/>
      </c>
    </row>
    <row r="464"/>
    <row r="465" ht="20" customHeight="1">
      <c r="A465" s="13" t="inlineStr">
        <is>
          <t>Gerador de aventuras (aba Aventuras) — Sugestão da planilha (H11) (parte 1) — 100 vagas por lista</t>
        </is>
      </c>
    </row>
    <row r="466">
      <c r="A466" s="12" t="inlineStr">
        <is>
          <t>Apague para trocar, use as vagas vazias para ampliar. Não insira linhas: o contador corrido pularia a linha nova.</t>
        </is>
      </c>
    </row>
    <row r="467">
      <c r="A467" s="8" t="inlineStr">
        <is>
          <t>Lista</t>
        </is>
      </c>
      <c r="B467" s="8" t="inlineStr">
        <is>
          <t>Caminho (motivação)</t>
        </is>
      </c>
      <c r="C467" s="8" t="inlineStr">
        <is>
          <t>Motivação por Caminho</t>
        </is>
      </c>
      <c r="D467" s="8" t="inlineStr">
        <is>
          <t>Tipo (objetivo)</t>
        </is>
      </c>
      <c r="E467" s="8" t="inlineStr">
        <is>
          <t>Objetivo por tipo</t>
        </is>
      </c>
      <c r="F467" s="8" t="inlineStr">
        <is>
          <t>Tipo de aventura</t>
        </is>
      </c>
      <c r="G467" s="8" t="inlineStr">
        <is>
          <t>Gancho de aventura</t>
        </is>
      </c>
      <c r="H467" s="8" t="inlineStr">
        <is>
          <t>Local (sabor)</t>
        </is>
      </c>
      <c r="I467" s="8" t="inlineStr">
        <is>
          <t>Complicação</t>
        </is>
      </c>
      <c r="J467" s="8" t="inlineStr">
        <is>
          <t>Reviravolta</t>
        </is>
      </c>
    </row>
    <row r="468">
      <c r="A468" s="9" t="inlineStr">
        <is>
          <t>Fonte</t>
        </is>
      </c>
      <c r="B468" s="14" t="inlineStr">
        <is>
          <t>Sugestão da planilha (H11)</t>
        </is>
      </c>
      <c r="C468" s="14" t="inlineStr">
        <is>
          <t>Sugestão da planilha (H11)</t>
        </is>
      </c>
      <c r="D468" s="14" t="inlineStr">
        <is>
          <t>Sugestão da planilha (H11)</t>
        </is>
      </c>
      <c r="E468" s="14" t="inlineStr">
        <is>
          <t>Sugestão da planilha (H11)</t>
        </is>
      </c>
      <c r="F468" s="14" t="inlineStr">
        <is>
          <t>Sugestão da planilha (H11)</t>
        </is>
      </c>
      <c r="G468" s="14" t="inlineStr">
        <is>
          <t>Sugestão da planilha (H11)</t>
        </is>
      </c>
      <c r="H468" s="14" t="inlineStr">
        <is>
          <t>Sugestão da planilha (H11)</t>
        </is>
      </c>
      <c r="I468" s="14" t="inlineStr">
        <is>
          <t>Sugestão da planilha (H11)</t>
        </is>
      </c>
      <c r="J468" s="14" t="inlineStr">
        <is>
          <t>Sugestão da planilha (H11)</t>
        </is>
      </c>
    </row>
    <row r="469" ht="26" customHeight="1">
      <c r="A469" s="21" t="inlineStr">
        <is>
          <t>Tamanho da lista</t>
        </is>
      </c>
      <c r="B469" s="23">
        <f>N578</f>
        <v/>
      </c>
      <c r="C469" s="30" t="n"/>
      <c r="D469" s="23">
        <f>P578</f>
        <v/>
      </c>
      <c r="E469" s="30" t="n"/>
      <c r="F469" s="23">
        <f>R578</f>
        <v/>
      </c>
      <c r="G469" s="23">
        <f>S578</f>
        <v/>
      </c>
      <c r="H469" s="23">
        <f>T578</f>
        <v/>
      </c>
      <c r="I469" s="23">
        <f>U578</f>
        <v/>
      </c>
      <c r="J469" s="23">
        <f>V578</f>
        <v/>
      </c>
    </row>
    <row r="470" ht="26" customHeight="1">
      <c r="A470" s="9" t="inlineStr">
        <is>
          <t>Aviso</t>
        </is>
      </c>
      <c r="B470" s="19">
        <f>IF(N578&gt;=100,"Lista cheia (100): use Minhas Tabelas para uma lista maior","")</f>
        <v/>
      </c>
      <c r="D470" s="19">
        <f>IF(P578&gt;=100,"Lista cheia (100): use Minhas Tabelas para uma lista maior","")</f>
        <v/>
      </c>
      <c r="F470" s="19">
        <f>IF(R578&gt;=100,"Lista cheia (100): use Minhas Tabelas para uma lista maior","")</f>
        <v/>
      </c>
      <c r="G470" s="19">
        <f>IF(S578&gt;=100,"Lista cheia (100): use Minhas Tabelas para uma lista maior","")</f>
        <v/>
      </c>
      <c r="H470" s="19">
        <f>IF(T578&gt;=100,"Lista cheia (100): use Minhas Tabelas para uma lista maior","")</f>
        <v/>
      </c>
      <c r="I470" s="19">
        <f>IF(U578&gt;=100,"Lista cheia (100): use Minhas Tabelas para uma lista maior","")</f>
        <v/>
      </c>
      <c r="J470" s="19">
        <f>IF(V578&gt;=100,"Lista cheia (100): use Minhas Tabelas para uma lista maior","")</f>
        <v/>
      </c>
    </row>
    <row r="471" ht="15" customHeight="1">
      <c r="B471" s="8" t="inlineStr">
        <is>
          <t>Caminho (motivação)</t>
        </is>
      </c>
      <c r="C471" s="8" t="inlineStr">
        <is>
          <t>Motivação por Caminho</t>
        </is>
      </c>
      <c r="D471" s="8" t="inlineStr">
        <is>
          <t>Tipo (objetivo)</t>
        </is>
      </c>
      <c r="E471" s="8" t="inlineStr">
        <is>
          <t>Objetivo por tipo</t>
        </is>
      </c>
      <c r="F471" s="8" t="inlineStr">
        <is>
          <t>Tipo de aventura</t>
        </is>
      </c>
      <c r="G471" s="8" t="inlineStr">
        <is>
          <t>Gancho de aventura</t>
        </is>
      </c>
      <c r="H471" s="8" t="inlineStr">
        <is>
          <t>Local (sabor)</t>
        </is>
      </c>
      <c r="I471" s="8" t="inlineStr">
        <is>
          <t>Complicação</t>
        </is>
      </c>
      <c r="J471" s="8" t="inlineStr">
        <is>
          <t>Reviravolta</t>
        </is>
      </c>
      <c r="N471" s="2">
        <f>0</f>
        <v/>
      </c>
      <c r="P471" s="2">
        <f>0</f>
        <v/>
      </c>
      <c r="R471" s="2">
        <f>0</f>
        <v/>
      </c>
      <c r="S471" s="2">
        <f>0</f>
        <v/>
      </c>
      <c r="T471" s="2">
        <f>0</f>
        <v/>
      </c>
      <c r="U471" s="2">
        <f>0</f>
        <v/>
      </c>
      <c r="V471" s="2">
        <f>0</f>
        <v/>
      </c>
    </row>
    <row r="472" ht="48" customHeight="1">
      <c r="B472" s="33" t="inlineStr">
        <is>
          <t>A Destruição</t>
        </is>
      </c>
      <c r="C472" s="4" t="inlineStr">
        <is>
          <t>derrubar algo velho que já devia ter caído</t>
        </is>
      </c>
      <c r="D472" s="4" t="inlineStr">
        <is>
          <t>Resgate</t>
        </is>
      </c>
      <c r="E472" s="4" t="inlineStr">
        <is>
          <t>tirar um refém de uma cela antes da transferência</t>
        </is>
      </c>
      <c r="F472" s="4" t="inlineStr">
        <is>
          <t>Resgate</t>
        </is>
      </c>
      <c r="G472" s="4" t="inlineStr">
        <is>
          <t>Uma nave de resgate pede socorro na frequência do grupo, e a voz é de um dos personagens</t>
        </is>
      </c>
      <c r="H472" s="4" t="inlineStr">
        <is>
          <t>um mercado flutuante preso a um asteroide</t>
        </is>
      </c>
      <c r="I472" s="4" t="inlineStr">
        <is>
          <t>o contato do grupo foi preso ontem</t>
        </is>
      </c>
      <c r="J472" s="4" t="inlineStr">
        <is>
          <t>o contratante é o verdadeiro culpado</t>
        </is>
      </c>
      <c r="K472" s="19">
        <f>IF(AG472&gt;0,"O Google leu como fórmula: digite de novo com ' na frente.","")</f>
        <v/>
      </c>
      <c r="N472" s="2">
        <f>N471+IF(LEN($X$472)&gt;0,1,0)</f>
        <v/>
      </c>
      <c r="P472" s="2">
        <f>P471+IF(LEN($Z$472)&gt;0,1,0)</f>
        <v/>
      </c>
      <c r="R472" s="2">
        <f>R471+IF(LEN($AB$472)&gt;0,1,0)</f>
        <v/>
      </c>
      <c r="S472" s="2">
        <f>S471+IF(LEN($AC$472)&gt;0,1,0)</f>
        <v/>
      </c>
      <c r="T472" s="2">
        <f>T471+IF(LEN($AD$472)&gt;0,1,0)</f>
        <v/>
      </c>
      <c r="U472" s="2">
        <f>U471+IF(LEN($AE$472)&gt;0,1,0)</f>
        <v/>
      </c>
      <c r="V472" s="2">
        <f>V471+IF(LEN($AF$472)&gt;0,1,0)</f>
        <v/>
      </c>
      <c r="X472" s="2">
        <f>IF(ISERROR($B$472),"",IF(ISBLANK($B$472),"",$B$472))</f>
        <v/>
      </c>
      <c r="Y472" s="2">
        <f>IF(ISERROR($C$472),"",IF(ISBLANK($C$472),"",$C$472))</f>
        <v/>
      </c>
      <c r="Z472" s="2">
        <f>IF(ISERROR($D$472),"",IF(ISBLANK($D$472),"",$D$472))</f>
        <v/>
      </c>
      <c r="AA472" s="2">
        <f>IF(ISERROR($E$472),"",IF(ISBLANK($E$472),"",$E$472))</f>
        <v/>
      </c>
      <c r="AB472" s="2">
        <f>IF(ISERROR($F$472),"",IF(ISBLANK($F$472),"",$F$472))</f>
        <v/>
      </c>
      <c r="AC472" s="2">
        <f>IF(ISERROR($G$472),"",IF(ISBLANK($G$472),"",$G$472))</f>
        <v/>
      </c>
      <c r="AD472" s="2">
        <f>IF(ISERROR($H$472),"",IF(ISBLANK($H$472),"",$H$472))</f>
        <v/>
      </c>
      <c r="AE472" s="2">
        <f>IF(ISERROR($I$472),"",IF(ISBLANK($I$472),"",$I$472))</f>
        <v/>
      </c>
      <c r="AF472" s="2">
        <f>IF(ISERROR($J$472),"",IF(ISBLANK($J$472),"",$J$472))</f>
        <v/>
      </c>
      <c r="AG472" s="2">
        <f>ISERROR($B$472)*1+ISERROR($C$472)*1+ISERROR($D$472)*1+ISERROR($E$472)*1+ISERROR($F$472)*1+ISERROR($G$472)*1+ISERROR($H$472)*1+ISERROR($I$472)*1+ISERROR($J$472)*1</f>
        <v/>
      </c>
    </row>
    <row r="473" ht="37" customHeight="1">
      <c r="B473" s="35" t="inlineStr">
        <is>
          <t>A Destruição</t>
        </is>
      </c>
      <c r="C473" s="29" t="inlineStr">
        <is>
          <t>testar os próprios limites numa luta de verdade</t>
        </is>
      </c>
      <c r="D473" s="29" t="inlineStr">
        <is>
          <t>Resgate</t>
        </is>
      </c>
      <c r="E473" s="29" t="inlineStr">
        <is>
          <t>encontrar e trazer de volta uma equipe de mineiros presa</t>
        </is>
      </c>
      <c r="F473" s="29" t="inlineStr">
        <is>
          <t>Escolta</t>
        </is>
      </c>
      <c r="G473" s="29" t="inlineStr">
        <is>
          <t>Um cargueiro chega ao porto com a carga trocada por pedras</t>
        </is>
      </c>
      <c r="H473" s="29" t="inlineStr">
        <is>
          <t>uma estufa orbital com plantas que cantam</t>
        </is>
      </c>
      <c r="I473" s="29" t="inlineStr">
        <is>
          <t>a rota mais curta está bloqueada por um desabamento</t>
        </is>
      </c>
      <c r="J473" s="29" t="inlineStr">
        <is>
          <t>a vítima não quer ser salva</t>
        </is>
      </c>
      <c r="K473" s="19">
        <f>IF(AG473&gt;0,"O Google leu como fórmula: digite de novo com ' na frente.","")</f>
        <v/>
      </c>
      <c r="N473" s="2">
        <f>N472+IF(LEN($X$473)&gt;0,1,0)</f>
        <v/>
      </c>
      <c r="P473" s="2">
        <f>P472+IF(LEN($Z$473)&gt;0,1,0)</f>
        <v/>
      </c>
      <c r="R473" s="2">
        <f>R472+IF(LEN($AB$473)&gt;0,1,0)</f>
        <v/>
      </c>
      <c r="S473" s="2">
        <f>S472+IF(LEN($AC$473)&gt;0,1,0)</f>
        <v/>
      </c>
      <c r="T473" s="2">
        <f>T472+IF(LEN($AD$473)&gt;0,1,0)</f>
        <v/>
      </c>
      <c r="U473" s="2">
        <f>U472+IF(LEN($AE$473)&gt;0,1,0)</f>
        <v/>
      </c>
      <c r="V473" s="2">
        <f>V472+IF(LEN($AF$473)&gt;0,1,0)</f>
        <v/>
      </c>
      <c r="X473" s="2">
        <f>IF(ISERROR($B$473),"",IF(ISBLANK($B$473),"",$B$473))</f>
        <v/>
      </c>
      <c r="Y473" s="2">
        <f>IF(ISERROR($C$473),"",IF(ISBLANK($C$473),"",$C$473))</f>
        <v/>
      </c>
      <c r="Z473" s="2">
        <f>IF(ISERROR($D$473),"",IF(ISBLANK($D$473),"",$D$473))</f>
        <v/>
      </c>
      <c r="AA473" s="2">
        <f>IF(ISERROR($E$473),"",IF(ISBLANK($E$473),"",$E$473))</f>
        <v/>
      </c>
      <c r="AB473" s="2">
        <f>IF(ISERROR($F$473),"",IF(ISBLANK($F$473),"",$F$473))</f>
        <v/>
      </c>
      <c r="AC473" s="2">
        <f>IF(ISERROR($G$473),"",IF(ISBLANK($G$473),"",$G$473))</f>
        <v/>
      </c>
      <c r="AD473" s="2">
        <f>IF(ISERROR($H$473),"",IF(ISBLANK($H$473),"",$H$473))</f>
        <v/>
      </c>
      <c r="AE473" s="2">
        <f>IF(ISERROR($I$473),"",IF(ISBLANK($I$473),"",$I$473))</f>
        <v/>
      </c>
      <c r="AF473" s="2">
        <f>IF(ISERROR($J$473),"",IF(ISBLANK($J$473),"",$J$473))</f>
        <v/>
      </c>
      <c r="AG473" s="2">
        <f>ISERROR($B$473)*1+ISERROR($C$473)*1+ISERROR($D$473)*1+ISERROR($E$473)*1+ISERROR($F$473)*1+ISERROR($G$473)*1+ISERROR($H$473)*1+ISERROR($I$473)*1+ISERROR($J$473)*1</f>
        <v/>
      </c>
    </row>
    <row r="474" ht="26" customHeight="1">
      <c r="B474" s="33" t="inlineStr">
        <is>
          <t>A Destruição</t>
        </is>
      </c>
      <c r="C474" s="4" t="inlineStr">
        <is>
          <t>acabar com uma fonte de sofrimento, custe o que custar</t>
        </is>
      </c>
      <c r="D474" s="4" t="inlineStr">
        <is>
          <t>Resgate</t>
        </is>
      </c>
      <c r="E474" s="4" t="inlineStr">
        <is>
          <t>libertar um Intellitron leiloado como peça de reposição</t>
        </is>
      </c>
      <c r="F474" s="4" t="inlineStr">
        <is>
          <t>Investigação</t>
        </is>
      </c>
      <c r="G474" s="4" t="inlineStr">
        <is>
          <t>A luz de uma estação inteira se apaga de madrugada</t>
        </is>
      </c>
      <c r="H474" s="4" t="inlineStr">
        <is>
          <t>um cemitério de naves no anel externo</t>
        </is>
      </c>
      <c r="I474" s="4" t="inlineStr">
        <is>
          <t>outra equipe foi contratada para o mesmo serviço</t>
        </is>
      </c>
      <c r="J474" s="4" t="inlineStr">
        <is>
          <t>o antagonista está tentando impedir algo pior</t>
        </is>
      </c>
      <c r="K474" s="19">
        <f>IF(AG474&gt;0,"O Google leu como fórmula: digite de novo com ' na frente.","")</f>
        <v/>
      </c>
      <c r="N474" s="2">
        <f>N473+IF(LEN($X$474)&gt;0,1,0)</f>
        <v/>
      </c>
      <c r="P474" s="2">
        <f>P473+IF(LEN($Z$474)&gt;0,1,0)</f>
        <v/>
      </c>
      <c r="R474" s="2">
        <f>R473+IF(LEN($AB$474)&gt;0,1,0)</f>
        <v/>
      </c>
      <c r="S474" s="2">
        <f>S473+IF(LEN($AC$474)&gt;0,1,0)</f>
        <v/>
      </c>
      <c r="T474" s="2">
        <f>T473+IF(LEN($AD$474)&gt;0,1,0)</f>
        <v/>
      </c>
      <c r="U474" s="2">
        <f>U473+IF(LEN($AE$474)&gt;0,1,0)</f>
        <v/>
      </c>
      <c r="V474" s="2">
        <f>V473+IF(LEN($AF$474)&gt;0,1,0)</f>
        <v/>
      </c>
      <c r="X474" s="2">
        <f>IF(ISERROR($B$474),"",IF(ISBLANK($B$474),"",$B$474))</f>
        <v/>
      </c>
      <c r="Y474" s="2">
        <f>IF(ISERROR($C$474),"",IF(ISBLANK($C$474),"",$C$474))</f>
        <v/>
      </c>
      <c r="Z474" s="2">
        <f>IF(ISERROR($D$474),"",IF(ISBLANK($D$474),"",$D$474))</f>
        <v/>
      </c>
      <c r="AA474" s="2">
        <f>IF(ISERROR($E$474),"",IF(ISBLANK($E$474),"",$E$474))</f>
        <v/>
      </c>
      <c r="AB474" s="2">
        <f>IF(ISERROR($F$474),"",IF(ISBLANK($F$474),"",$F$474))</f>
        <v/>
      </c>
      <c r="AC474" s="2">
        <f>IF(ISERROR($G$474),"",IF(ISBLANK($G$474),"",$G$474))</f>
        <v/>
      </c>
      <c r="AD474" s="2">
        <f>IF(ISERROR($H$474),"",IF(ISBLANK($H$474),"",$H$474))</f>
        <v/>
      </c>
      <c r="AE474" s="2">
        <f>IF(ISERROR($I$474),"",IF(ISBLANK($I$474),"",$I$474))</f>
        <v/>
      </c>
      <c r="AF474" s="2">
        <f>IF(ISERROR($J$474),"",IF(ISBLANK($J$474),"",$J$474))</f>
        <v/>
      </c>
      <c r="AG474" s="2">
        <f>ISERROR($B$474)*1+ISERROR($C$474)*1+ISERROR($D$474)*1+ISERROR($E$474)*1+ISERROR($F$474)*1+ISERROR($G$474)*1+ISERROR($H$474)*1+ISERROR($I$474)*1+ISERROR($J$474)*1</f>
        <v/>
      </c>
    </row>
    <row r="475" ht="37" customHeight="1">
      <c r="B475" s="35" t="inlineStr">
        <is>
          <t>A Destruição</t>
        </is>
      </c>
      <c r="C475" s="29" t="inlineStr">
        <is>
          <t>romper a corrente que prende a sua gente</t>
        </is>
      </c>
      <c r="D475" s="29" t="inlineStr">
        <is>
          <t>Escolta</t>
        </is>
      </c>
      <c r="E475" s="29" t="inlineStr">
        <is>
          <t>levar um informante até a nave que o espera</t>
        </is>
      </c>
      <c r="F475" s="29" t="inlineStr">
        <is>
          <t>Infiltração</t>
        </is>
      </c>
      <c r="G475" s="29" t="inlineStr">
        <is>
          <t>Um mensageiro morre na porta do grupo com um endereço na mão</t>
        </is>
      </c>
      <c r="H475" s="29" t="inlineStr">
        <is>
          <t>uma vila de mineiros escavada no gelo</t>
        </is>
      </c>
      <c r="I475" s="29" t="inlineStr">
        <is>
          <t>o pagamento chega numa moeda que ninguém aceita</t>
        </is>
      </c>
      <c r="J475" s="29" t="inlineStr">
        <is>
          <t>a carga é uma pessoa</t>
        </is>
      </c>
      <c r="K475" s="19">
        <f>IF(AG475&gt;0,"O Google leu como fórmula: digite de novo com ' na frente.","")</f>
        <v/>
      </c>
      <c r="N475" s="2">
        <f>N474+IF(LEN($X$475)&gt;0,1,0)</f>
        <v/>
      </c>
      <c r="P475" s="2">
        <f>P474+IF(LEN($Z$475)&gt;0,1,0)</f>
        <v/>
      </c>
      <c r="R475" s="2">
        <f>R474+IF(LEN($AB$475)&gt;0,1,0)</f>
        <v/>
      </c>
      <c r="S475" s="2">
        <f>S474+IF(LEN($AC$475)&gt;0,1,0)</f>
        <v/>
      </c>
      <c r="T475" s="2">
        <f>T474+IF(LEN($AD$475)&gt;0,1,0)</f>
        <v/>
      </c>
      <c r="U475" s="2">
        <f>U474+IF(LEN($AE$475)&gt;0,1,0)</f>
        <v/>
      </c>
      <c r="V475" s="2">
        <f>V474+IF(LEN($AF$475)&gt;0,1,0)</f>
        <v/>
      </c>
      <c r="X475" s="2">
        <f>IF(ISERROR($B$475),"",IF(ISBLANK($B$475),"",$B$475))</f>
        <v/>
      </c>
      <c r="Y475" s="2">
        <f>IF(ISERROR($C$475),"",IF(ISBLANK($C$475),"",$C$475))</f>
        <v/>
      </c>
      <c r="Z475" s="2">
        <f>IF(ISERROR($D$475),"",IF(ISBLANK($D$475),"",$D$475))</f>
        <v/>
      </c>
      <c r="AA475" s="2">
        <f>IF(ISERROR($E$475),"",IF(ISBLANK($E$475),"",$E$475))</f>
        <v/>
      </c>
      <c r="AB475" s="2">
        <f>IF(ISERROR($F$475),"",IF(ISBLANK($F$475),"",$F$475))</f>
        <v/>
      </c>
      <c r="AC475" s="2">
        <f>IF(ISERROR($G$475),"",IF(ISBLANK($G$475),"",$G$475))</f>
        <v/>
      </c>
      <c r="AD475" s="2">
        <f>IF(ISERROR($H$475),"",IF(ISBLANK($H$475),"",$H$475))</f>
        <v/>
      </c>
      <c r="AE475" s="2">
        <f>IF(ISERROR($I$475),"",IF(ISBLANK($I$475),"",$I$475))</f>
        <v/>
      </c>
      <c r="AF475" s="2">
        <f>IF(ISERROR($J$475),"",IF(ISBLANK($J$475),"",$J$475))</f>
        <v/>
      </c>
      <c r="AG475" s="2">
        <f>ISERROR($B$475)*1+ISERROR($C$475)*1+ISERROR($D$475)*1+ISERROR($E$475)*1+ISERROR($F$475)*1+ISERROR($G$475)*1+ISERROR($H$475)*1+ISERROR($I$475)*1+ISERROR($J$475)*1</f>
        <v/>
      </c>
    </row>
    <row r="476" ht="37" customHeight="1">
      <c r="B476" s="33" t="inlineStr">
        <is>
          <t>A Destruição</t>
        </is>
      </c>
      <c r="C476" s="4" t="inlineStr">
        <is>
          <t>ver arder o lugar onde sofreu</t>
        </is>
      </c>
      <c r="D476" s="4" t="inlineStr">
        <is>
          <t>Escolta</t>
        </is>
      </c>
      <c r="E476" s="4" t="inlineStr">
        <is>
          <t>proteger uma caravana de suprimentos até a colônia</t>
        </is>
      </c>
      <c r="F476" s="4" t="inlineStr">
        <is>
          <t>Defesa de posição</t>
        </is>
      </c>
      <c r="G476" s="4" t="inlineStr">
        <is>
          <t>Uma criança entrega um desenho do Expresso Astral com uma data futura</t>
        </is>
      </c>
      <c r="H476" s="4" t="inlineStr">
        <is>
          <t>um hotel de luxo numa estação em quarentena</t>
        </is>
      </c>
      <c r="I476" s="4" t="inlineStr">
        <is>
          <t>um personagem é reconhecido por um velho inimigo</t>
        </is>
      </c>
      <c r="J476" s="4" t="inlineStr">
        <is>
          <t>o informante trabalha para os dois lados</t>
        </is>
      </c>
      <c r="K476" s="19">
        <f>IF(AG476&gt;0,"O Google leu como fórmula: digite de novo com ' na frente.","")</f>
        <v/>
      </c>
      <c r="N476" s="2">
        <f>N475+IF(LEN($X$476)&gt;0,1,0)</f>
        <v/>
      </c>
      <c r="P476" s="2">
        <f>P475+IF(LEN($Z$476)&gt;0,1,0)</f>
        <v/>
      </c>
      <c r="R476" s="2">
        <f>R475+IF(LEN($AB$476)&gt;0,1,0)</f>
        <v/>
      </c>
      <c r="S476" s="2">
        <f>S475+IF(LEN($AC$476)&gt;0,1,0)</f>
        <v/>
      </c>
      <c r="T476" s="2">
        <f>T475+IF(LEN($AD$476)&gt;0,1,0)</f>
        <v/>
      </c>
      <c r="U476" s="2">
        <f>U475+IF(LEN($AE$476)&gt;0,1,0)</f>
        <v/>
      </c>
      <c r="V476" s="2">
        <f>V475+IF(LEN($AF$476)&gt;0,1,0)</f>
        <v/>
      </c>
      <c r="X476" s="2">
        <f>IF(ISERROR($B$476),"",IF(ISBLANK($B$476),"",$B$476))</f>
        <v/>
      </c>
      <c r="Y476" s="2">
        <f>IF(ISERROR($C$476),"",IF(ISBLANK($C$476),"",$C$476))</f>
        <v/>
      </c>
      <c r="Z476" s="2">
        <f>IF(ISERROR($D$476),"",IF(ISBLANK($D$476),"",$D$476))</f>
        <v/>
      </c>
      <c r="AA476" s="2">
        <f>IF(ISERROR($E$476),"",IF(ISBLANK($E$476),"",$E$476))</f>
        <v/>
      </c>
      <c r="AB476" s="2">
        <f>IF(ISERROR($F$476),"",IF(ISBLANK($F$476),"",$F$476))</f>
        <v/>
      </c>
      <c r="AC476" s="2">
        <f>IF(ISERROR($G$476),"",IF(ISBLANK($G$476),"",$G$476))</f>
        <v/>
      </c>
      <c r="AD476" s="2">
        <f>IF(ISERROR($H$476),"",IF(ISBLANK($H$476),"",$H$476))</f>
        <v/>
      </c>
      <c r="AE476" s="2">
        <f>IF(ISERROR($I$476),"",IF(ISBLANK($I$476),"",$I$476))</f>
        <v/>
      </c>
      <c r="AF476" s="2">
        <f>IF(ISERROR($J$476),"",IF(ISBLANK($J$476),"",$J$476))</f>
        <v/>
      </c>
      <c r="AG476" s="2">
        <f>ISERROR($B$476)*1+ISERROR($C$476)*1+ISERROR($D$476)*1+ISERROR($E$476)*1+ISERROR($F$476)*1+ISERROR($G$476)*1+ISERROR($H$476)*1+ISERROR($I$476)*1+ISERROR($J$476)*1</f>
        <v/>
      </c>
    </row>
    <row r="477" ht="26" customHeight="1">
      <c r="B477" s="35" t="inlineStr">
        <is>
          <t>A Inexistência</t>
        </is>
      </c>
      <c r="C477" s="29" t="inlineStr">
        <is>
          <t>descobrir se alguma coisa ainda vale a pena</t>
        </is>
      </c>
      <c r="D477" s="29" t="inlineStr">
        <is>
          <t>Escolta</t>
        </is>
      </c>
      <c r="E477" s="29" t="inlineStr">
        <is>
          <t>acompanhar um diplomata por um bairro hostil</t>
        </is>
      </c>
      <c r="F477" s="29" t="inlineStr">
        <is>
          <t>Caçada</t>
        </is>
      </c>
      <c r="G477" s="29" t="inlineStr">
        <is>
          <t>O mercado amanhece fechado e ninguém diz por quê</t>
        </is>
      </c>
      <c r="H477" s="29" t="inlineStr">
        <is>
          <t>um arquivo subterrâneo cheio de goteiras</t>
        </is>
      </c>
      <c r="I477" s="29" t="inlineStr">
        <is>
          <t>a gravidade do lugar muda a cada hora</t>
        </is>
      </c>
      <c r="J477" s="29" t="inlineStr">
        <is>
          <t>o lugar já foi a casa de um dos personagens</t>
        </is>
      </c>
      <c r="K477" s="19">
        <f>IF(AG477&gt;0,"O Google leu como fórmula: digite de novo com ' na frente.","")</f>
        <v/>
      </c>
      <c r="N477" s="2">
        <f>N476+IF(LEN($X$477)&gt;0,1,0)</f>
        <v/>
      </c>
      <c r="P477" s="2">
        <f>P476+IF(LEN($Z$477)&gt;0,1,0)</f>
        <v/>
      </c>
      <c r="R477" s="2">
        <f>R476+IF(LEN($AB$477)&gt;0,1,0)</f>
        <v/>
      </c>
      <c r="S477" s="2">
        <f>S476+IF(LEN($AC$477)&gt;0,1,0)</f>
        <v/>
      </c>
      <c r="T477" s="2">
        <f>T476+IF(LEN($AD$477)&gt;0,1,0)</f>
        <v/>
      </c>
      <c r="U477" s="2">
        <f>U476+IF(LEN($AE$477)&gt;0,1,0)</f>
        <v/>
      </c>
      <c r="V477" s="2">
        <f>V476+IF(LEN($AF$477)&gt;0,1,0)</f>
        <v/>
      </c>
      <c r="X477" s="2">
        <f>IF(ISERROR($B$477),"",IF(ISBLANK($B$477),"",$B$477))</f>
        <v/>
      </c>
      <c r="Y477" s="2">
        <f>IF(ISERROR($C$477),"",IF(ISBLANK($C$477),"",$C$477))</f>
        <v/>
      </c>
      <c r="Z477" s="2">
        <f>IF(ISERROR($D$477),"",IF(ISBLANK($D$477),"",$D$477))</f>
        <v/>
      </c>
      <c r="AA477" s="2">
        <f>IF(ISERROR($E$477),"",IF(ISBLANK($E$477),"",$E$477))</f>
        <v/>
      </c>
      <c r="AB477" s="2">
        <f>IF(ISERROR($F$477),"",IF(ISBLANK($F$477),"",$F$477))</f>
        <v/>
      </c>
      <c r="AC477" s="2">
        <f>IF(ISERROR($G$477),"",IF(ISBLANK($G$477),"",$G$477))</f>
        <v/>
      </c>
      <c r="AD477" s="2">
        <f>IF(ISERROR($H$477),"",IF(ISBLANK($H$477),"",$H$477))</f>
        <v/>
      </c>
      <c r="AE477" s="2">
        <f>IF(ISERROR($I$477),"",IF(ISBLANK($I$477),"",$I$477))</f>
        <v/>
      </c>
      <c r="AF477" s="2">
        <f>IF(ISERROR($J$477),"",IF(ISBLANK($J$477),"",$J$477))</f>
        <v/>
      </c>
      <c r="AG477" s="2">
        <f>ISERROR($B$477)*1+ISERROR($C$477)*1+ISERROR($D$477)*1+ISERROR($E$477)*1+ISERROR($F$477)*1+ISERROR($G$477)*1+ISERROR($H$477)*1+ISERROR($I$477)*1+ISERROR($J$477)*1</f>
        <v/>
      </c>
    </row>
    <row r="478" ht="37" customHeight="1">
      <c r="B478" s="33" t="inlineStr">
        <is>
          <t>A Inexistência</t>
        </is>
      </c>
      <c r="C478" s="4" t="inlineStr">
        <is>
          <t>desaparecer sem deixar dívida</t>
        </is>
      </c>
      <c r="D478" s="4" t="inlineStr">
        <is>
          <t>Investigação</t>
        </is>
      </c>
      <c r="E478" s="4" t="inlineStr">
        <is>
          <t>descobrir quem sabotou o suporte de vida</t>
        </is>
      </c>
      <c r="F478" s="4" t="inlineStr">
        <is>
          <t>Entrega</t>
        </is>
      </c>
      <c r="G478" s="4" t="inlineStr">
        <is>
          <t>Um contrato aparece assinado com o nome de um personagem</t>
        </is>
      </c>
      <c r="H478" s="4" t="inlineStr">
        <is>
          <t>uma torre de comunicação abandonada</t>
        </is>
      </c>
      <c r="I478" s="4" t="inlineStr">
        <is>
          <t>o lugar está em quarentena</t>
        </is>
      </c>
      <c r="J478" s="4" t="inlineStr">
        <is>
          <t>a ameaça foi criada por quem pediu ajuda</t>
        </is>
      </c>
      <c r="K478" s="19">
        <f>IF(AG478&gt;0,"O Google leu como fórmula: digite de novo com ' na frente.","")</f>
        <v/>
      </c>
      <c r="N478" s="2">
        <f>N477+IF(LEN($X$478)&gt;0,1,0)</f>
        <v/>
      </c>
      <c r="P478" s="2">
        <f>P477+IF(LEN($Z$478)&gt;0,1,0)</f>
        <v/>
      </c>
      <c r="R478" s="2">
        <f>R477+IF(LEN($AB$478)&gt;0,1,0)</f>
        <v/>
      </c>
      <c r="S478" s="2">
        <f>S477+IF(LEN($AC$478)&gt;0,1,0)</f>
        <v/>
      </c>
      <c r="T478" s="2">
        <f>T477+IF(LEN($AD$478)&gt;0,1,0)</f>
        <v/>
      </c>
      <c r="U478" s="2">
        <f>U477+IF(LEN($AE$478)&gt;0,1,0)</f>
        <v/>
      </c>
      <c r="V478" s="2">
        <f>V477+IF(LEN($AF$478)&gt;0,1,0)</f>
        <v/>
      </c>
      <c r="X478" s="2">
        <f>IF(ISERROR($B$478),"",IF(ISBLANK($B$478),"",$B$478))</f>
        <v/>
      </c>
      <c r="Y478" s="2">
        <f>IF(ISERROR($C$478),"",IF(ISBLANK($C$478),"",$C$478))</f>
        <v/>
      </c>
      <c r="Z478" s="2">
        <f>IF(ISERROR($D$478),"",IF(ISBLANK($D$478),"",$D$478))</f>
        <v/>
      </c>
      <c r="AA478" s="2">
        <f>IF(ISERROR($E$478),"",IF(ISBLANK($E$478),"",$E$478))</f>
        <v/>
      </c>
      <c r="AB478" s="2">
        <f>IF(ISERROR($F$478),"",IF(ISBLANK($F$478),"",$F$478))</f>
        <v/>
      </c>
      <c r="AC478" s="2">
        <f>IF(ISERROR($G$478),"",IF(ISBLANK($G$478),"",$G$478))</f>
        <v/>
      </c>
      <c r="AD478" s="2">
        <f>IF(ISERROR($H$478),"",IF(ISBLANK($H$478),"",$H$478))</f>
        <v/>
      </c>
      <c r="AE478" s="2">
        <f>IF(ISERROR($I$478),"",IF(ISBLANK($I$478),"",$I$478))</f>
        <v/>
      </c>
      <c r="AF478" s="2">
        <f>IF(ISERROR($J$478),"",IF(ISBLANK($J$478),"",$J$478))</f>
        <v/>
      </c>
      <c r="AG478" s="2">
        <f>ISERROR($B$478)*1+ISERROR($C$478)*1+ISERROR($D$478)*1+ISERROR($E$478)*1+ISERROR($F$478)*1+ISERROR($G$478)*1+ISERROR($H$478)*1+ISERROR($I$478)*1+ISERROR($J$478)*1</f>
        <v/>
      </c>
    </row>
    <row r="479" ht="26" customHeight="1">
      <c r="B479" s="35" t="inlineStr">
        <is>
          <t>A Inexistência</t>
        </is>
      </c>
      <c r="C479" s="29" t="inlineStr">
        <is>
          <t>aceitar uma perda que ainda dói</t>
        </is>
      </c>
      <c r="D479" s="29" t="inlineStr">
        <is>
          <t>Investigação</t>
        </is>
      </c>
      <c r="E479" s="29" t="inlineStr">
        <is>
          <t>achar a origem de um sinal que repete nomes de mortos</t>
        </is>
      </c>
      <c r="F479" s="29" t="inlineStr">
        <is>
          <t>Sabotagem</t>
        </is>
      </c>
      <c r="G479" s="29" t="inlineStr">
        <is>
          <t>Um velho mapa ganha uma rota nova durante a noite</t>
        </is>
      </c>
      <c r="H479" s="29" t="inlineStr">
        <is>
          <t>uma feira de trocas num deserto de vidro</t>
        </is>
      </c>
      <c r="I479" s="29" t="inlineStr">
        <is>
          <t>o equipamento do grupo fica retido na alfândega</t>
        </is>
      </c>
      <c r="J479" s="29" t="inlineStr">
        <is>
          <t>o refém é um impostor</t>
        </is>
      </c>
      <c r="K479" s="19">
        <f>IF(AG479&gt;0,"O Google leu como fórmula: digite de novo com ' na frente.","")</f>
        <v/>
      </c>
      <c r="N479" s="2">
        <f>N478+IF(LEN($X$479)&gt;0,1,0)</f>
        <v/>
      </c>
      <c r="P479" s="2">
        <f>P478+IF(LEN($Z$479)&gt;0,1,0)</f>
        <v/>
      </c>
      <c r="R479" s="2">
        <f>R478+IF(LEN($AB$479)&gt;0,1,0)</f>
        <v/>
      </c>
      <c r="S479" s="2">
        <f>S478+IF(LEN($AC$479)&gt;0,1,0)</f>
        <v/>
      </c>
      <c r="T479" s="2">
        <f>T478+IF(LEN($AD$479)&gt;0,1,0)</f>
        <v/>
      </c>
      <c r="U479" s="2">
        <f>U478+IF(LEN($AE$479)&gt;0,1,0)</f>
        <v/>
      </c>
      <c r="V479" s="2">
        <f>V478+IF(LEN($AF$479)&gt;0,1,0)</f>
        <v/>
      </c>
      <c r="X479" s="2">
        <f>IF(ISERROR($B$479),"",IF(ISBLANK($B$479),"",$B$479))</f>
        <v/>
      </c>
      <c r="Y479" s="2">
        <f>IF(ISERROR($C$479),"",IF(ISBLANK($C$479),"",$C$479))</f>
        <v/>
      </c>
      <c r="Z479" s="2">
        <f>IF(ISERROR($D$479),"",IF(ISBLANK($D$479),"",$D$479))</f>
        <v/>
      </c>
      <c r="AA479" s="2">
        <f>IF(ISERROR($E$479),"",IF(ISBLANK($E$479),"",$E$479))</f>
        <v/>
      </c>
      <c r="AB479" s="2">
        <f>IF(ISERROR($F$479),"",IF(ISBLANK($F$479),"",$F$479))</f>
        <v/>
      </c>
      <c r="AC479" s="2">
        <f>IF(ISERROR($G$479),"",IF(ISBLANK($G$479),"",$G$479))</f>
        <v/>
      </c>
      <c r="AD479" s="2">
        <f>IF(ISERROR($H$479),"",IF(ISBLANK($H$479),"",$H$479))</f>
        <v/>
      </c>
      <c r="AE479" s="2">
        <f>IF(ISERROR($I$479),"",IF(ISBLANK($I$479),"",$I$479))</f>
        <v/>
      </c>
      <c r="AF479" s="2">
        <f>IF(ISERROR($J$479),"",IF(ISBLANK($J$479),"",$J$479))</f>
        <v/>
      </c>
      <c r="AG479" s="2">
        <f>ISERROR($B$479)*1+ISERROR($C$479)*1+ISERROR($D$479)*1+ISERROR($E$479)*1+ISERROR($F$479)*1+ISERROR($G$479)*1+ISERROR($H$479)*1+ISERROR($I$479)*1+ISERROR($J$479)*1</f>
        <v/>
      </c>
    </row>
    <row r="480" ht="26" customHeight="1">
      <c r="B480" s="33" t="inlineStr">
        <is>
          <t>A Inexistência</t>
        </is>
      </c>
      <c r="C480" s="4" t="inlineStr">
        <is>
          <t>encontrar silêncio num mundo barulhento</t>
        </is>
      </c>
      <c r="D480" s="4" t="inlineStr">
        <is>
          <t>Investigação</t>
        </is>
      </c>
      <c r="E480" s="4" t="inlineStr">
        <is>
          <t>provar que um acidente não foi acidente</t>
        </is>
      </c>
      <c r="F480" s="4" t="inlineStr">
        <is>
          <t>Negociação</t>
        </is>
      </c>
      <c r="G480" s="4" t="inlineStr">
        <is>
          <t>A Corporação congela a conta de um aliado do grupo</t>
        </is>
      </c>
      <c r="H480" s="4" t="inlineStr">
        <is>
          <t>um templo dedicado a um Aeon esquecido</t>
        </is>
      </c>
      <c r="I480" s="4" t="inlineStr">
        <is>
          <t>um aliado exige ir junto e só atrapalha</t>
        </is>
      </c>
      <c r="J480" s="4" t="inlineStr">
        <is>
          <t>o prazo era falso: já passou</t>
        </is>
      </c>
      <c r="K480" s="19">
        <f>IF(AG480&gt;0,"O Google leu como fórmula: digite de novo com ' na frente.","")</f>
        <v/>
      </c>
      <c r="N480" s="2">
        <f>N479+IF(LEN($X$480)&gt;0,1,0)</f>
        <v/>
      </c>
      <c r="P480" s="2">
        <f>P479+IF(LEN($Z$480)&gt;0,1,0)</f>
        <v/>
      </c>
      <c r="R480" s="2">
        <f>R479+IF(LEN($AB$480)&gt;0,1,0)</f>
        <v/>
      </c>
      <c r="S480" s="2">
        <f>S479+IF(LEN($AC$480)&gt;0,1,0)</f>
        <v/>
      </c>
      <c r="T480" s="2">
        <f>T479+IF(LEN($AD$480)&gt;0,1,0)</f>
        <v/>
      </c>
      <c r="U480" s="2">
        <f>U479+IF(LEN($AE$480)&gt;0,1,0)</f>
        <v/>
      </c>
      <c r="V480" s="2">
        <f>V479+IF(LEN($AF$480)&gt;0,1,0)</f>
        <v/>
      </c>
      <c r="X480" s="2">
        <f>IF(ISERROR($B$480),"",IF(ISBLANK($B$480),"",$B$480))</f>
        <v/>
      </c>
      <c r="Y480" s="2">
        <f>IF(ISERROR($C$480),"",IF(ISBLANK($C$480),"",$C$480))</f>
        <v/>
      </c>
      <c r="Z480" s="2">
        <f>IF(ISERROR($D$480),"",IF(ISBLANK($D$480),"",$D$480))</f>
        <v/>
      </c>
      <c r="AA480" s="2">
        <f>IF(ISERROR($E$480),"",IF(ISBLANK($E$480),"",$E$480))</f>
        <v/>
      </c>
      <c r="AB480" s="2">
        <f>IF(ISERROR($F$480),"",IF(ISBLANK($F$480),"",$F$480))</f>
        <v/>
      </c>
      <c r="AC480" s="2">
        <f>IF(ISERROR($G$480),"",IF(ISBLANK($G$480),"",$G$480))</f>
        <v/>
      </c>
      <c r="AD480" s="2">
        <f>IF(ISERROR($H$480),"",IF(ISBLANK($H$480),"",$H$480))</f>
        <v/>
      </c>
      <c r="AE480" s="2">
        <f>IF(ISERROR($I$480),"",IF(ISBLANK($I$480),"",$I$480))</f>
        <v/>
      </c>
      <c r="AF480" s="2">
        <f>IF(ISERROR($J$480),"",IF(ISBLANK($J$480),"",$J$480))</f>
        <v/>
      </c>
      <c r="AG480" s="2">
        <f>ISERROR($B$480)*1+ISERROR($C$480)*1+ISERROR($D$480)*1+ISERROR($E$480)*1+ISERROR($F$480)*1+ISERROR($G$480)*1+ISERROR($H$480)*1+ISERROR($I$480)*1+ISERROR($J$480)*1</f>
        <v/>
      </c>
    </row>
    <row r="481" ht="37" customHeight="1">
      <c r="B481" s="35" t="inlineStr">
        <is>
          <t>A Inexistência</t>
        </is>
      </c>
      <c r="C481" s="29" t="inlineStr">
        <is>
          <t>provar que nada é para sempre</t>
        </is>
      </c>
      <c r="D481" s="29" t="inlineStr">
        <is>
          <t>Infiltração</t>
        </is>
      </c>
      <c r="E481" s="29" t="inlineStr">
        <is>
          <t>entrar num arquivo da Corporação e copiar um contrato</t>
        </is>
      </c>
      <c r="F481" s="29" t="inlineStr">
        <is>
          <t>Exploração</t>
        </is>
      </c>
      <c r="G481" s="29" t="inlineStr">
        <is>
          <t>Um sino toca numa colônia que não tem sino</t>
        </is>
      </c>
      <c r="H481" s="29" t="inlineStr">
        <is>
          <t>uma refinaria que nunca desliga</t>
        </is>
      </c>
      <c r="I481" s="29" t="inlineStr">
        <is>
          <t>a Legião declara toque de recolher</t>
        </is>
      </c>
      <c r="J481" s="29" t="inlineStr">
        <is>
          <t>o tesouro é uma lembrança, não um objeto</t>
        </is>
      </c>
      <c r="K481" s="19">
        <f>IF(AG481&gt;0,"O Google leu como fórmula: digite de novo com ' na frente.","")</f>
        <v/>
      </c>
      <c r="N481" s="2">
        <f>N480+IF(LEN($X$481)&gt;0,1,0)</f>
        <v/>
      </c>
      <c r="P481" s="2">
        <f>P480+IF(LEN($Z$481)&gt;0,1,0)</f>
        <v/>
      </c>
      <c r="R481" s="2">
        <f>R480+IF(LEN($AB$481)&gt;0,1,0)</f>
        <v/>
      </c>
      <c r="S481" s="2">
        <f>S480+IF(LEN($AC$481)&gt;0,1,0)</f>
        <v/>
      </c>
      <c r="T481" s="2">
        <f>T480+IF(LEN($AD$481)&gt;0,1,0)</f>
        <v/>
      </c>
      <c r="U481" s="2">
        <f>U480+IF(LEN($AE$481)&gt;0,1,0)</f>
        <v/>
      </c>
      <c r="V481" s="2">
        <f>V480+IF(LEN($AF$481)&gt;0,1,0)</f>
        <v/>
      </c>
      <c r="X481" s="2">
        <f>IF(ISERROR($B$481),"",IF(ISBLANK($B$481),"",$B$481))</f>
        <v/>
      </c>
      <c r="Y481" s="2">
        <f>IF(ISERROR($C$481),"",IF(ISBLANK($C$481),"",$C$481))</f>
        <v/>
      </c>
      <c r="Z481" s="2">
        <f>IF(ISERROR($D$481),"",IF(ISBLANK($D$481),"",$D$481))</f>
        <v/>
      </c>
      <c r="AA481" s="2">
        <f>IF(ISERROR($E$481),"",IF(ISBLANK($E$481),"",$E$481))</f>
        <v/>
      </c>
      <c r="AB481" s="2">
        <f>IF(ISERROR($F$481),"",IF(ISBLANK($F$481),"",$F$481))</f>
        <v/>
      </c>
      <c r="AC481" s="2">
        <f>IF(ISERROR($G$481),"",IF(ISBLANK($G$481),"",$G$481))</f>
        <v/>
      </c>
      <c r="AD481" s="2">
        <f>IF(ISERROR($H$481),"",IF(ISBLANK($H$481),"",$H$481))</f>
        <v/>
      </c>
      <c r="AE481" s="2">
        <f>IF(ISERROR($I$481),"",IF(ISBLANK($I$481),"",$I$481))</f>
        <v/>
      </c>
      <c r="AF481" s="2">
        <f>IF(ISERROR($J$481),"",IF(ISBLANK($J$481),"",$J$481))</f>
        <v/>
      </c>
      <c r="AG481" s="2">
        <f>ISERROR($B$481)*1+ISERROR($C$481)*1+ISERROR($D$481)*1+ISERROR($E$481)*1+ISERROR($F$481)*1+ISERROR($G$481)*1+ISERROR($H$481)*1+ISERROR($I$481)*1+ISERROR($J$481)*1</f>
        <v/>
      </c>
    </row>
    <row r="482" ht="37" customHeight="1">
      <c r="B482" s="33" t="inlineStr">
        <is>
          <t>A Harmonia</t>
        </is>
      </c>
      <c r="C482" s="4" t="inlineStr">
        <is>
          <t>unir dois grupos que se odeiam</t>
        </is>
      </c>
      <c r="D482" s="4" t="inlineStr">
        <is>
          <t>Infiltração</t>
        </is>
      </c>
      <c r="E482" s="4" t="inlineStr">
        <is>
          <t>atravessar um baile de máscaras sem ser reconhecido</t>
        </is>
      </c>
      <c r="F482" s="4" t="inlineStr">
        <is>
          <t>Fuga</t>
        </is>
      </c>
      <c r="G482" s="4" t="inlineStr">
        <is>
          <t>Um minerador sai da mina falando uma língua que não existe</t>
        </is>
      </c>
      <c r="H482" s="4" t="inlineStr">
        <is>
          <t>um porto clandestino escondido numa lua</t>
        </is>
      </c>
      <c r="I482" s="4" t="inlineStr">
        <is>
          <t>uma tempestade de poeira corta a comunicação</t>
        </is>
      </c>
      <c r="J482" s="4" t="inlineStr">
        <is>
          <t>o inimigo derrotado era só um disfarce</t>
        </is>
      </c>
      <c r="K482" s="19">
        <f>IF(AG482&gt;0,"O Google leu como fórmula: digite de novo com ' na frente.","")</f>
        <v/>
      </c>
      <c r="N482" s="2">
        <f>N481+IF(LEN($X$482)&gt;0,1,0)</f>
        <v/>
      </c>
      <c r="P482" s="2">
        <f>P481+IF(LEN($Z$482)&gt;0,1,0)</f>
        <v/>
      </c>
      <c r="R482" s="2">
        <f>R481+IF(LEN($AB$482)&gt;0,1,0)</f>
        <v/>
      </c>
      <c r="S482" s="2">
        <f>S481+IF(LEN($AC$482)&gt;0,1,0)</f>
        <v/>
      </c>
      <c r="T482" s="2">
        <f>T481+IF(LEN($AD$482)&gt;0,1,0)</f>
        <v/>
      </c>
      <c r="U482" s="2">
        <f>U481+IF(LEN($AE$482)&gt;0,1,0)</f>
        <v/>
      </c>
      <c r="V482" s="2">
        <f>V481+IF(LEN($AF$482)&gt;0,1,0)</f>
        <v/>
      </c>
      <c r="X482" s="2">
        <f>IF(ISERROR($B$482),"",IF(ISBLANK($B$482),"",$B$482))</f>
        <v/>
      </c>
      <c r="Y482" s="2">
        <f>IF(ISERROR($C$482),"",IF(ISBLANK($C$482),"",$C$482))</f>
        <v/>
      </c>
      <c r="Z482" s="2">
        <f>IF(ISERROR($D$482),"",IF(ISBLANK($D$482),"",$D$482))</f>
        <v/>
      </c>
      <c r="AA482" s="2">
        <f>IF(ISERROR($E$482),"",IF(ISBLANK($E$482),"",$E$482))</f>
        <v/>
      </c>
      <c r="AB482" s="2">
        <f>IF(ISERROR($F$482),"",IF(ISBLANK($F$482),"",$F$482))</f>
        <v/>
      </c>
      <c r="AC482" s="2">
        <f>IF(ISERROR($G$482),"",IF(ISBLANK($G$482),"",$G$482))</f>
        <v/>
      </c>
      <c r="AD482" s="2">
        <f>IF(ISERROR($H$482),"",IF(ISBLANK($H$482),"",$H$482))</f>
        <v/>
      </c>
      <c r="AE482" s="2">
        <f>IF(ISERROR($I$482),"",IF(ISBLANK($I$482),"",$I$482))</f>
        <v/>
      </c>
      <c r="AF482" s="2">
        <f>IF(ISERROR($J$482),"",IF(ISBLANK($J$482),"",$J$482))</f>
        <v/>
      </c>
      <c r="AG482" s="2">
        <f>ISERROR($B$482)*1+ISERROR($C$482)*1+ISERROR($D$482)*1+ISERROR($E$482)*1+ISERROR($F$482)*1+ISERROR($G$482)*1+ISERROR($H$482)*1+ISERROR($I$482)*1+ISERROR($J$482)*1</f>
        <v/>
      </c>
    </row>
    <row r="483" ht="37" customHeight="1">
      <c r="B483" s="35" t="inlineStr">
        <is>
          <t>A Harmonia</t>
        </is>
      </c>
      <c r="C483" s="29" t="inlineStr">
        <is>
          <t>manter a paz na vizinhança</t>
        </is>
      </c>
      <c r="D483" s="29" t="inlineStr">
        <is>
          <t>Infiltração</t>
        </is>
      </c>
      <c r="E483" s="29" t="inlineStr">
        <is>
          <t>colocar um rastreador na nave de um contrabandista</t>
        </is>
      </c>
      <c r="F483" s="29" t="inlineStr">
        <is>
          <t>Contenção de Fragmentum</t>
        </is>
      </c>
      <c r="G483" s="29" t="inlineStr">
        <is>
          <t>Uma festa de casamento é interrompida por um alarme de lacre</t>
        </is>
      </c>
      <c r="H483" s="29" t="inlineStr">
        <is>
          <t>um bairro construído dentro de um navio encalhado</t>
        </is>
      </c>
      <c r="I483" s="29" t="inlineStr">
        <is>
          <t>o alvo está protegido por uma apólice da Corporação</t>
        </is>
      </c>
      <c r="J483" s="29" t="inlineStr">
        <is>
          <t>a missão era um teste de recrutamento</t>
        </is>
      </c>
      <c r="K483" s="19">
        <f>IF(AG483&gt;0,"O Google leu como fórmula: digite de novo com ' na frente.","")</f>
        <v/>
      </c>
      <c r="N483" s="2">
        <f>N482+IF(LEN($X$483)&gt;0,1,0)</f>
        <v/>
      </c>
      <c r="P483" s="2">
        <f>P482+IF(LEN($Z$483)&gt;0,1,0)</f>
        <v/>
      </c>
      <c r="R483" s="2">
        <f>R482+IF(LEN($AB$483)&gt;0,1,0)</f>
        <v/>
      </c>
      <c r="S483" s="2">
        <f>S482+IF(LEN($AC$483)&gt;0,1,0)</f>
        <v/>
      </c>
      <c r="T483" s="2">
        <f>T482+IF(LEN($AD$483)&gt;0,1,0)</f>
        <v/>
      </c>
      <c r="U483" s="2">
        <f>U482+IF(LEN($AE$483)&gt;0,1,0)</f>
        <v/>
      </c>
      <c r="V483" s="2">
        <f>V482+IF(LEN($AF$483)&gt;0,1,0)</f>
        <v/>
      </c>
      <c r="X483" s="2">
        <f>IF(ISERROR($B$483),"",IF(ISBLANK($B$483),"",$B$483))</f>
        <v/>
      </c>
      <c r="Y483" s="2">
        <f>IF(ISERROR($C$483),"",IF(ISBLANK($C$483),"",$C$483))</f>
        <v/>
      </c>
      <c r="Z483" s="2">
        <f>IF(ISERROR($D$483),"",IF(ISBLANK($D$483),"",$D$483))</f>
        <v/>
      </c>
      <c r="AA483" s="2">
        <f>IF(ISERROR($E$483),"",IF(ISBLANK($E$483),"",$E$483))</f>
        <v/>
      </c>
      <c r="AB483" s="2">
        <f>IF(ISERROR($F$483),"",IF(ISBLANK($F$483),"",$F$483))</f>
        <v/>
      </c>
      <c r="AC483" s="2">
        <f>IF(ISERROR($G$483),"",IF(ISBLANK($G$483),"",$G$483))</f>
        <v/>
      </c>
      <c r="AD483" s="2">
        <f>IF(ISERROR($H$483),"",IF(ISBLANK($H$483),"",$H$483))</f>
        <v/>
      </c>
      <c r="AE483" s="2">
        <f>IF(ISERROR($I$483),"",IF(ISBLANK($I$483),"",$I$483))</f>
        <v/>
      </c>
      <c r="AF483" s="2">
        <f>IF(ISERROR($J$483),"",IF(ISBLANK($J$483),"",$J$483))</f>
        <v/>
      </c>
      <c r="AG483" s="2">
        <f>ISERROR($B$483)*1+ISERROR($C$483)*1+ISERROR($D$483)*1+ISERROR($E$483)*1+ISERROR($F$483)*1+ISERROR($G$483)*1+ISERROR($H$483)*1+ISERROR($I$483)*1+ISERROR($J$483)*1</f>
        <v/>
      </c>
    </row>
    <row r="484" ht="37" customHeight="1">
      <c r="B484" s="33" t="inlineStr">
        <is>
          <t>A Harmonia</t>
        </is>
      </c>
      <c r="C484" s="4" t="inlineStr">
        <is>
          <t>reunir a família espalhada</t>
        </is>
      </c>
      <c r="D484" s="4" t="inlineStr">
        <is>
          <t>Defesa de posição</t>
        </is>
      </c>
      <c r="E484" s="4" t="inlineStr">
        <is>
          <t>segurar uma ponte até a evacuação terminar</t>
        </is>
      </c>
      <c r="F484" s="4" t="inlineStr">
        <is>
          <t>Rastro de Stellaron</t>
        </is>
      </c>
      <c r="G484" s="4" t="inlineStr">
        <is>
          <t>Três desconhecidos pedem a mesma informação ao grupo no mesmo dia</t>
        </is>
      </c>
      <c r="H484" s="4" t="inlineStr">
        <is>
          <t>um laboratório lacrado há cem anos</t>
        </is>
      </c>
      <c r="I484" s="4" t="inlineStr">
        <is>
          <t>a ponte de acesso desaba no meio do caminho</t>
        </is>
      </c>
      <c r="J484" s="4" t="inlineStr">
        <is>
          <t>o mapa leva ao Expresso Astral de outra época</t>
        </is>
      </c>
      <c r="K484" s="19">
        <f>IF(AG484&gt;0,"O Google leu como fórmula: digite de novo com ' na frente.","")</f>
        <v/>
      </c>
      <c r="N484" s="2">
        <f>N483+IF(LEN($X$484)&gt;0,1,0)</f>
        <v/>
      </c>
      <c r="P484" s="2">
        <f>P483+IF(LEN($Z$484)&gt;0,1,0)</f>
        <v/>
      </c>
      <c r="R484" s="2">
        <f>R483+IF(LEN($AB$484)&gt;0,1,0)</f>
        <v/>
      </c>
      <c r="S484" s="2">
        <f>S483+IF(LEN($AC$484)&gt;0,1,0)</f>
        <v/>
      </c>
      <c r="T484" s="2">
        <f>T483+IF(LEN($AD$484)&gt;0,1,0)</f>
        <v/>
      </c>
      <c r="U484" s="2">
        <f>U483+IF(LEN($AE$484)&gt;0,1,0)</f>
        <v/>
      </c>
      <c r="V484" s="2">
        <f>V483+IF(LEN($AF$484)&gt;0,1,0)</f>
        <v/>
      </c>
      <c r="X484" s="2">
        <f>IF(ISERROR($B$484),"",IF(ISBLANK($B$484),"",$B$484))</f>
        <v/>
      </c>
      <c r="Y484" s="2">
        <f>IF(ISERROR($C$484),"",IF(ISBLANK($C$484),"",$C$484))</f>
        <v/>
      </c>
      <c r="Z484" s="2">
        <f>IF(ISERROR($D$484),"",IF(ISBLANK($D$484),"",$D$484))</f>
        <v/>
      </c>
      <c r="AA484" s="2">
        <f>IF(ISERROR($E$484),"",IF(ISBLANK($E$484),"",$E$484))</f>
        <v/>
      </c>
      <c r="AB484" s="2">
        <f>IF(ISERROR($F$484),"",IF(ISBLANK($F$484),"",$F$484))</f>
        <v/>
      </c>
      <c r="AC484" s="2">
        <f>IF(ISERROR($G$484),"",IF(ISBLANK($G$484),"",$G$484))</f>
        <v/>
      </c>
      <c r="AD484" s="2">
        <f>IF(ISERROR($H$484),"",IF(ISBLANK($H$484),"",$H$484))</f>
        <v/>
      </c>
      <c r="AE484" s="2">
        <f>IF(ISERROR($I$484),"",IF(ISBLANK($I$484),"",$I$484))</f>
        <v/>
      </c>
      <c r="AF484" s="2">
        <f>IF(ISERROR($J$484),"",IF(ISBLANK($J$484),"",$J$484))</f>
        <v/>
      </c>
      <c r="AG484" s="2">
        <f>ISERROR($B$484)*1+ISERROR($C$484)*1+ISERROR($D$484)*1+ISERROR($E$484)*1+ISERROR($F$484)*1+ISERROR($G$484)*1+ISERROR($H$484)*1+ISERROR($I$484)*1+ISERROR($J$484)*1</f>
        <v/>
      </c>
    </row>
    <row r="485" ht="15" customHeight="1">
      <c r="B485" s="8" t="inlineStr">
        <is>
          <t>Caminho (motivação)</t>
        </is>
      </c>
      <c r="C485" s="8" t="inlineStr">
        <is>
          <t>Motivação por Caminho</t>
        </is>
      </c>
      <c r="D485" s="8" t="inlineStr">
        <is>
          <t>Tipo (objetivo)</t>
        </is>
      </c>
      <c r="E485" s="8" t="inlineStr">
        <is>
          <t>Objetivo por tipo</t>
        </is>
      </c>
      <c r="F485" s="8" t="inlineStr">
        <is>
          <t>Tipo de aventura</t>
        </is>
      </c>
      <c r="G485" s="8" t="inlineStr">
        <is>
          <t>Gancho de aventura</t>
        </is>
      </c>
      <c r="H485" s="8" t="inlineStr">
        <is>
          <t>Local (sabor)</t>
        </is>
      </c>
      <c r="I485" s="8" t="inlineStr">
        <is>
          <t>Complicação</t>
        </is>
      </c>
      <c r="J485" s="8" t="inlineStr">
        <is>
          <t>Reviravolta</t>
        </is>
      </c>
      <c r="N485" s="2">
        <f>N484</f>
        <v/>
      </c>
      <c r="P485" s="2">
        <f>P484</f>
        <v/>
      </c>
      <c r="R485" s="2">
        <f>R484</f>
        <v/>
      </c>
      <c r="S485" s="2">
        <f>S484</f>
        <v/>
      </c>
      <c r="T485" s="2">
        <f>T484</f>
        <v/>
      </c>
      <c r="U485" s="2">
        <f>U484</f>
        <v/>
      </c>
      <c r="V485" s="2">
        <f>V484</f>
        <v/>
      </c>
      <c r="X485" s="2">
        <f>IF(ISERROR($B$485),"",IF(ISBLANK($B$485),"",$B$485))</f>
        <v/>
      </c>
      <c r="Y485" s="2">
        <f>IF(ISERROR($C$485),"",IF(ISBLANK($C$485),"",$C$485))</f>
        <v/>
      </c>
      <c r="Z485" s="2">
        <f>IF(ISERROR($D$485),"",IF(ISBLANK($D$485),"",$D$485))</f>
        <v/>
      </c>
      <c r="AA485" s="2">
        <f>IF(ISERROR($E$485),"",IF(ISBLANK($E$485),"",$E$485))</f>
        <v/>
      </c>
      <c r="AB485" s="2">
        <f>IF(ISERROR($F$485),"",IF(ISBLANK($F$485),"",$F$485))</f>
        <v/>
      </c>
      <c r="AC485" s="2">
        <f>IF(ISERROR($G$485),"",IF(ISBLANK($G$485),"",$G$485))</f>
        <v/>
      </c>
      <c r="AD485" s="2">
        <f>IF(ISERROR($H$485),"",IF(ISBLANK($H$485),"",$H$485))</f>
        <v/>
      </c>
      <c r="AE485" s="2">
        <f>IF(ISERROR($I$485),"",IF(ISBLANK($I$485),"",$I$485))</f>
        <v/>
      </c>
      <c r="AF485" s="2">
        <f>IF(ISERROR($J$485),"",IF(ISBLANK($J$485),"",$J$485))</f>
        <v/>
      </c>
    </row>
    <row r="486" ht="37" customHeight="1">
      <c r="B486" s="33" t="inlineStr">
        <is>
          <t>A Harmonia</t>
        </is>
      </c>
      <c r="C486" s="4" t="inlineStr">
        <is>
          <t>fazer uma festa que todos lembrem</t>
        </is>
      </c>
      <c r="D486" s="4" t="inlineStr">
        <is>
          <t>Defesa de posição</t>
        </is>
      </c>
      <c r="E486" s="4" t="inlineStr">
        <is>
          <t>manter um gerador funcionando durante o cerco</t>
        </is>
      </c>
      <c r="F486" s="4" t="inlineStr">
        <is>
          <t>Cobrança de dívida</t>
        </is>
      </c>
      <c r="G486" s="4" t="inlineStr">
        <is>
          <t>Um transporte de prisioneiros desvia de rota</t>
        </is>
      </c>
      <c r="H486" s="4" t="inlineStr">
        <is>
          <t>um trem de carga que dá a volta num planeta</t>
        </is>
      </c>
      <c r="I486" s="4" t="inlineStr">
        <is>
          <t>um Tolo Mascarado decide transformar a missão em espetáculo</t>
        </is>
      </c>
      <c r="J486" s="4" t="inlineStr">
        <is>
          <t>dois grupos rivais querem a mesma coisa por motivos opostos</t>
        </is>
      </c>
      <c r="K486" s="19">
        <f>IF(AG486&gt;0,"O Google leu como fórmula: digite de novo com ' na frente.","")</f>
        <v/>
      </c>
      <c r="N486" s="2">
        <f>N485+IF(LEN($X$486)&gt;0,1,0)</f>
        <v/>
      </c>
      <c r="P486" s="2">
        <f>P485+IF(LEN($Z$486)&gt;0,1,0)</f>
        <v/>
      </c>
      <c r="R486" s="2">
        <f>R485+IF(LEN($AB$486)&gt;0,1,0)</f>
        <v/>
      </c>
      <c r="S486" s="2">
        <f>S485+IF(LEN($AC$486)&gt;0,1,0)</f>
        <v/>
      </c>
      <c r="T486" s="2">
        <f>T485+IF(LEN($AD$486)&gt;0,1,0)</f>
        <v/>
      </c>
      <c r="U486" s="2">
        <f>U485+IF(LEN($AE$486)&gt;0,1,0)</f>
        <v/>
      </c>
      <c r="V486" s="2">
        <f>V485+IF(LEN($AF$486)&gt;0,1,0)</f>
        <v/>
      </c>
      <c r="X486" s="2">
        <f>IF(ISERROR($B$486),"",IF(ISBLANK($B$486),"",$B$486))</f>
        <v/>
      </c>
      <c r="Y486" s="2">
        <f>IF(ISERROR($C$486),"",IF(ISBLANK($C$486),"",$C$486))</f>
        <v/>
      </c>
      <c r="Z486" s="2">
        <f>IF(ISERROR($D$486),"",IF(ISBLANK($D$486),"",$D$486))</f>
        <v/>
      </c>
      <c r="AA486" s="2">
        <f>IF(ISERROR($E$486),"",IF(ISBLANK($E$486),"",$E$486))</f>
        <v/>
      </c>
      <c r="AB486" s="2">
        <f>IF(ISERROR($F$486),"",IF(ISBLANK($F$486),"",$F$486))</f>
        <v/>
      </c>
      <c r="AC486" s="2">
        <f>IF(ISERROR($G$486),"",IF(ISBLANK($G$486),"",$G$486))</f>
        <v/>
      </c>
      <c r="AD486" s="2">
        <f>IF(ISERROR($H$486),"",IF(ISBLANK($H$486),"",$H$486))</f>
        <v/>
      </c>
      <c r="AE486" s="2">
        <f>IF(ISERROR($I$486),"",IF(ISBLANK($I$486),"",$I$486))</f>
        <v/>
      </c>
      <c r="AF486" s="2">
        <f>IF(ISERROR($J$486),"",IF(ISBLANK($J$486),"",$J$486))</f>
        <v/>
      </c>
      <c r="AG486" s="2">
        <f>ISERROR($B$486)*1+ISERROR($C$486)*1+ISERROR($D$486)*1+ISERROR($E$486)*1+ISERROR($F$486)*1+ISERROR($G$486)*1+ISERROR($H$486)*1+ISERROR($I$486)*1+ISERROR($J$486)*1</f>
        <v/>
      </c>
    </row>
    <row r="487" ht="37" customHeight="1">
      <c r="B487" s="35" t="inlineStr">
        <is>
          <t>A Harmonia</t>
        </is>
      </c>
      <c r="C487" s="29" t="inlineStr">
        <is>
          <t>achar um lugar onde todos caibam</t>
        </is>
      </c>
      <c r="D487" s="29" t="inlineStr">
        <is>
          <t>Defesa de posição</t>
        </is>
      </c>
      <c r="E487" s="29" t="inlineStr">
        <is>
          <t>proteger um hospital de campanha por uma noite</t>
        </is>
      </c>
      <c r="F487" s="29" t="n"/>
      <c r="G487" s="29" t="inlineStr">
        <is>
          <t>As máquinas de uma oficina começam a construir algo sozinhas</t>
        </is>
      </c>
      <c r="H487" s="29" t="inlineStr">
        <is>
          <t>uma prisão com uma fuga recente</t>
        </is>
      </c>
      <c r="I487" s="29" t="inlineStr">
        <is>
          <t>a energia da estação falha nos piores momentos</t>
        </is>
      </c>
      <c r="J487" s="29" t="inlineStr">
        <is>
          <t>a criatura protege os filhotes</t>
        </is>
      </c>
      <c r="K487" s="19">
        <f>IF(AG487&gt;0,"O Google leu como fórmula: digite de novo com ' na frente.","")</f>
        <v/>
      </c>
      <c r="N487" s="2">
        <f>N486+IF(LEN($X$487)&gt;0,1,0)</f>
        <v/>
      </c>
      <c r="P487" s="2">
        <f>P486+IF(LEN($Z$487)&gt;0,1,0)</f>
        <v/>
      </c>
      <c r="R487" s="2">
        <f>R486+IF(LEN($AB$487)&gt;0,1,0)</f>
        <v/>
      </c>
      <c r="S487" s="2">
        <f>S486+IF(LEN($AC$487)&gt;0,1,0)</f>
        <v/>
      </c>
      <c r="T487" s="2">
        <f>T486+IF(LEN($AD$487)&gt;0,1,0)</f>
        <v/>
      </c>
      <c r="U487" s="2">
        <f>U486+IF(LEN($AE$487)&gt;0,1,0)</f>
        <v/>
      </c>
      <c r="V487" s="2">
        <f>V486+IF(LEN($AF$487)&gt;0,1,0)</f>
        <v/>
      </c>
      <c r="X487" s="2">
        <f>IF(ISERROR($B$487),"",IF(ISBLANK($B$487),"",$B$487))</f>
        <v/>
      </c>
      <c r="Y487" s="2">
        <f>IF(ISERROR($C$487),"",IF(ISBLANK($C$487),"",$C$487))</f>
        <v/>
      </c>
      <c r="Z487" s="2">
        <f>IF(ISERROR($D$487),"",IF(ISBLANK($D$487),"",$D$487))</f>
        <v/>
      </c>
      <c r="AA487" s="2">
        <f>IF(ISERROR($E$487),"",IF(ISBLANK($E$487),"",$E$487))</f>
        <v/>
      </c>
      <c r="AB487" s="2">
        <f>IF(ISERROR($F$487),"",IF(ISBLANK($F$487),"",$F$487))</f>
        <v/>
      </c>
      <c r="AC487" s="2">
        <f>IF(ISERROR($G$487),"",IF(ISBLANK($G$487),"",$G$487))</f>
        <v/>
      </c>
      <c r="AD487" s="2">
        <f>IF(ISERROR($H$487),"",IF(ISBLANK($H$487),"",$H$487))</f>
        <v/>
      </c>
      <c r="AE487" s="2">
        <f>IF(ISERROR($I$487),"",IF(ISBLANK($I$487),"",$I$487))</f>
        <v/>
      </c>
      <c r="AF487" s="2">
        <f>IF(ISERROR($J$487),"",IF(ISBLANK($J$487),"",$J$487))</f>
        <v/>
      </c>
      <c r="AG487" s="2">
        <f>ISERROR($B$487)*1+ISERROR($C$487)*1+ISERROR($D$487)*1+ISERROR($E$487)*1+ISERROR($F$487)*1+ISERROR($G$487)*1+ISERROR($H$487)*1+ISERROR($I$487)*1+ISERROR($J$487)*1</f>
        <v/>
      </c>
    </row>
    <row r="488" ht="26" customHeight="1">
      <c r="B488" s="33" t="inlineStr">
        <is>
          <t>A Abundância</t>
        </is>
      </c>
      <c r="C488" s="4" t="inlineStr">
        <is>
          <t>curar quem ninguém mais quer curar</t>
        </is>
      </c>
      <c r="D488" s="4" t="inlineStr">
        <is>
          <t>Caçada</t>
        </is>
      </c>
      <c r="E488" s="4" t="inlineStr">
        <is>
          <t>rastrear uma criatura do Fragmentum até o ninho</t>
        </is>
      </c>
      <c r="F488" s="4" t="n"/>
      <c r="G488" s="4" t="inlineStr">
        <is>
          <t>O informante de sempre não aparece no encontro marcado</t>
        </is>
      </c>
      <c r="H488" s="4" t="inlineStr">
        <is>
          <t>um teatro de marionetes mecânicas</t>
        </is>
      </c>
      <c r="I488" s="4" t="inlineStr">
        <is>
          <t>o grupo precisa voltar antes da troca de guarda</t>
        </is>
      </c>
      <c r="J488" s="4" t="inlineStr">
        <is>
          <t>o aliado de confiança vendeu o grupo há semanas</t>
        </is>
      </c>
      <c r="K488" s="19">
        <f>IF(AG488&gt;0,"O Google leu como fórmula: digite de novo com ' na frente.","")</f>
        <v/>
      </c>
      <c r="N488" s="2">
        <f>N487+IF(LEN($X$488)&gt;0,1,0)</f>
        <v/>
      </c>
      <c r="P488" s="2">
        <f>P487+IF(LEN($Z$488)&gt;0,1,0)</f>
        <v/>
      </c>
      <c r="R488" s="2">
        <f>R487+IF(LEN($AB$488)&gt;0,1,0)</f>
        <v/>
      </c>
      <c r="S488" s="2">
        <f>S487+IF(LEN($AC$488)&gt;0,1,0)</f>
        <v/>
      </c>
      <c r="T488" s="2">
        <f>T487+IF(LEN($AD$488)&gt;0,1,0)</f>
        <v/>
      </c>
      <c r="U488" s="2">
        <f>U487+IF(LEN($AE$488)&gt;0,1,0)</f>
        <v/>
      </c>
      <c r="V488" s="2">
        <f>V487+IF(LEN($AF$488)&gt;0,1,0)</f>
        <v/>
      </c>
      <c r="X488" s="2">
        <f>IF(ISERROR($B$488),"",IF(ISBLANK($B$488),"",$B$488))</f>
        <v/>
      </c>
      <c r="Y488" s="2">
        <f>IF(ISERROR($C$488),"",IF(ISBLANK($C$488),"",$C$488))</f>
        <v/>
      </c>
      <c r="Z488" s="2">
        <f>IF(ISERROR($D$488),"",IF(ISBLANK($D$488),"",$D$488))</f>
        <v/>
      </c>
      <c r="AA488" s="2">
        <f>IF(ISERROR($E$488),"",IF(ISBLANK($E$488),"",$E$488))</f>
        <v/>
      </c>
      <c r="AB488" s="2">
        <f>IF(ISERROR($F$488),"",IF(ISBLANK($F$488),"",$F$488))</f>
        <v/>
      </c>
      <c r="AC488" s="2">
        <f>IF(ISERROR($G$488),"",IF(ISBLANK($G$488),"",$G$488))</f>
        <v/>
      </c>
      <c r="AD488" s="2">
        <f>IF(ISERROR($H$488),"",IF(ISBLANK($H$488),"",$H$488))</f>
        <v/>
      </c>
      <c r="AE488" s="2">
        <f>IF(ISERROR($I$488),"",IF(ISBLANK($I$488),"",$I$488))</f>
        <v/>
      </c>
      <c r="AF488" s="2">
        <f>IF(ISERROR($J$488),"",IF(ISBLANK($J$488),"",$J$488))</f>
        <v/>
      </c>
      <c r="AG488" s="2">
        <f>ISERROR($B$488)*1+ISERROR($C$488)*1+ISERROR($D$488)*1+ISERROR($E$488)*1+ISERROR($F$488)*1+ISERROR($G$488)*1+ISERROR($H$488)*1+ISERROR($I$488)*1+ISERROR($J$488)*1</f>
        <v/>
      </c>
    </row>
    <row r="489" ht="37" customHeight="1">
      <c r="B489" s="35" t="inlineStr">
        <is>
          <t>A Abundância</t>
        </is>
      </c>
      <c r="C489" s="29" t="inlineStr">
        <is>
          <t>manter alguém vivo a qualquer preço</t>
        </is>
      </c>
      <c r="D489" s="29" t="inlineStr">
        <is>
          <t>Caçada</t>
        </is>
      </c>
      <c r="E489" s="29" t="inlineStr">
        <is>
          <t>capturar vivo um desertor da Legião</t>
        </is>
      </c>
      <c r="F489" s="29" t="n"/>
      <c r="G489" s="29" t="inlineStr">
        <is>
          <t>Um navio-hospital pede abrigo e não deixa ninguém subir a bordo</t>
        </is>
      </c>
      <c r="H489" s="29" t="inlineStr">
        <is>
          <t>uma fazenda de algas num oceano raso</t>
        </is>
      </c>
      <c r="I489" s="29" t="inlineStr">
        <is>
          <t>um inocente fica preso no meio da confusão</t>
        </is>
      </c>
      <c r="J489" s="29" t="inlineStr">
        <is>
          <t>o objeto procurado está dentro de alguém</t>
        </is>
      </c>
      <c r="K489" s="19">
        <f>IF(AG489&gt;0,"O Google leu como fórmula: digite de novo com ' na frente.","")</f>
        <v/>
      </c>
      <c r="N489" s="2">
        <f>N488+IF(LEN($X$489)&gt;0,1,0)</f>
        <v/>
      </c>
      <c r="P489" s="2">
        <f>P488+IF(LEN($Z$489)&gt;0,1,0)</f>
        <v/>
      </c>
      <c r="R489" s="2">
        <f>R488+IF(LEN($AB$489)&gt;0,1,0)</f>
        <v/>
      </c>
      <c r="S489" s="2">
        <f>S488+IF(LEN($AC$489)&gt;0,1,0)</f>
        <v/>
      </c>
      <c r="T489" s="2">
        <f>T488+IF(LEN($AD$489)&gt;0,1,0)</f>
        <v/>
      </c>
      <c r="U489" s="2">
        <f>U488+IF(LEN($AE$489)&gt;0,1,0)</f>
        <v/>
      </c>
      <c r="V489" s="2">
        <f>V488+IF(LEN($AF$489)&gt;0,1,0)</f>
        <v/>
      </c>
      <c r="X489" s="2">
        <f>IF(ISERROR($B$489),"",IF(ISBLANK($B$489),"",$B$489))</f>
        <v/>
      </c>
      <c r="Y489" s="2">
        <f>IF(ISERROR($C$489),"",IF(ISBLANK($C$489),"",$C$489))</f>
        <v/>
      </c>
      <c r="Z489" s="2">
        <f>IF(ISERROR($D$489),"",IF(ISBLANK($D$489),"",$D$489))</f>
        <v/>
      </c>
      <c r="AA489" s="2">
        <f>IF(ISERROR($E$489),"",IF(ISBLANK($E$489),"",$E$489))</f>
        <v/>
      </c>
      <c r="AB489" s="2">
        <f>IF(ISERROR($F$489),"",IF(ISBLANK($F$489),"",$F$489))</f>
        <v/>
      </c>
      <c r="AC489" s="2">
        <f>IF(ISERROR($G$489),"",IF(ISBLANK($G$489),"",$G$489))</f>
        <v/>
      </c>
      <c r="AD489" s="2">
        <f>IF(ISERROR($H$489),"",IF(ISBLANK($H$489),"",$H$489))</f>
        <v/>
      </c>
      <c r="AE489" s="2">
        <f>IF(ISERROR($I$489),"",IF(ISBLANK($I$489),"",$I$489))</f>
        <v/>
      </c>
      <c r="AF489" s="2">
        <f>IF(ISERROR($J$489),"",IF(ISBLANK($J$489),"",$J$489))</f>
        <v/>
      </c>
      <c r="AG489" s="2">
        <f>ISERROR($B$489)*1+ISERROR($C$489)*1+ISERROR($D$489)*1+ISERROR($E$489)*1+ISERROR($F$489)*1+ISERROR($G$489)*1+ISERROR($H$489)*1+ISERROR($I$489)*1+ISERROR($J$489)*1</f>
        <v/>
      </c>
    </row>
    <row r="490" ht="26" customHeight="1">
      <c r="B490" s="33" t="inlineStr">
        <is>
          <t>A Abundância</t>
        </is>
      </c>
      <c r="C490" s="4" t="inlineStr">
        <is>
          <t>plantar algo que dure séculos</t>
        </is>
      </c>
      <c r="D490" s="4" t="inlineStr">
        <is>
          <t>Caçada</t>
        </is>
      </c>
      <c r="E490" s="4" t="inlineStr">
        <is>
          <t>encontrar o Autômato que foge pelos dutos</t>
        </is>
      </c>
      <c r="F490" s="4" t="n"/>
      <c r="G490" s="4" t="inlineStr">
        <is>
          <t>Um bairro inteiro sonha o mesmo sonho</t>
        </is>
      </c>
      <c r="H490" s="4" t="inlineStr">
        <is>
          <t>um observatório numa montanha sem ar</t>
        </is>
      </c>
      <c r="I490" s="4" t="inlineStr">
        <is>
          <t>o contratante muda as condições pela metade</t>
        </is>
      </c>
      <c r="J490" s="4" t="inlineStr">
        <is>
          <t>a colônia inteira sabia e se calou</t>
        </is>
      </c>
      <c r="K490" s="19">
        <f>IF(AG490&gt;0,"O Google leu como fórmula: digite de novo com ' na frente.","")</f>
        <v/>
      </c>
      <c r="N490" s="2">
        <f>N489+IF(LEN($X$490)&gt;0,1,0)</f>
        <v/>
      </c>
      <c r="P490" s="2">
        <f>P489+IF(LEN($Z$490)&gt;0,1,0)</f>
        <v/>
      </c>
      <c r="R490" s="2">
        <f>R489+IF(LEN($AB$490)&gt;0,1,0)</f>
        <v/>
      </c>
      <c r="S490" s="2">
        <f>S489+IF(LEN($AC$490)&gt;0,1,0)</f>
        <v/>
      </c>
      <c r="T490" s="2">
        <f>T489+IF(LEN($AD$490)&gt;0,1,0)</f>
        <v/>
      </c>
      <c r="U490" s="2">
        <f>U489+IF(LEN($AE$490)&gt;0,1,0)</f>
        <v/>
      </c>
      <c r="V490" s="2">
        <f>V489+IF(LEN($AF$490)&gt;0,1,0)</f>
        <v/>
      </c>
      <c r="X490" s="2">
        <f>IF(ISERROR($B$490),"",IF(ISBLANK($B$490),"",$B$490))</f>
        <v/>
      </c>
      <c r="Y490" s="2">
        <f>IF(ISERROR($C$490),"",IF(ISBLANK($C$490),"",$C$490))</f>
        <v/>
      </c>
      <c r="Z490" s="2">
        <f>IF(ISERROR($D$490),"",IF(ISBLANK($D$490),"",$D$490))</f>
        <v/>
      </c>
      <c r="AA490" s="2">
        <f>IF(ISERROR($E$490),"",IF(ISBLANK($E$490),"",$E$490))</f>
        <v/>
      </c>
      <c r="AB490" s="2">
        <f>IF(ISERROR($F$490),"",IF(ISBLANK($F$490),"",$F$490))</f>
        <v/>
      </c>
      <c r="AC490" s="2">
        <f>IF(ISERROR($G$490),"",IF(ISBLANK($G$490),"",$G$490))</f>
        <v/>
      </c>
      <c r="AD490" s="2">
        <f>IF(ISERROR($H$490),"",IF(ISBLANK($H$490),"",$H$490))</f>
        <v/>
      </c>
      <c r="AE490" s="2">
        <f>IF(ISERROR($I$490),"",IF(ISBLANK($I$490),"",$I$490))</f>
        <v/>
      </c>
      <c r="AF490" s="2">
        <f>IF(ISERROR($J$490),"",IF(ISBLANK($J$490),"",$J$490))</f>
        <v/>
      </c>
      <c r="AG490" s="2">
        <f>ISERROR($B$490)*1+ISERROR($C$490)*1+ISERROR($D$490)*1+ISERROR($E$490)*1+ISERROR($F$490)*1+ISERROR($G$490)*1+ISERROR($H$490)*1+ISERROR($I$490)*1+ISERROR($J$490)*1</f>
        <v/>
      </c>
    </row>
    <row r="491" ht="37" customHeight="1">
      <c r="B491" s="35" t="inlineStr">
        <is>
          <t>A Abundância</t>
        </is>
      </c>
      <c r="C491" s="29" t="inlineStr">
        <is>
          <t>devolver a saúde a um mundo doente</t>
        </is>
      </c>
      <c r="D491" s="29" t="inlineStr">
        <is>
          <t>Entrega</t>
        </is>
      </c>
      <c r="E491" s="29" t="inlineStr">
        <is>
          <t>levar um pacote lacrado sem abrir nem perguntar</t>
        </is>
      </c>
      <c r="F491" s="29" t="n"/>
      <c r="G491" s="29" t="inlineStr">
        <is>
          <t>Uma moeda antiga aparece no troco de todo mundo</t>
        </is>
      </c>
      <c r="H491" s="29" t="inlineStr">
        <is>
          <t>uma cidade-mercado sobre pernas de ferro</t>
        </is>
      </c>
      <c r="I491" s="29" t="inlineStr">
        <is>
          <t>uma criatura do Fragmentum aparece onde não devia</t>
        </is>
      </c>
      <c r="J491" s="29" t="inlineStr">
        <is>
          <t>o contrato da Corporação tem uma cláusula que prende o grupo</t>
        </is>
      </c>
      <c r="K491" s="19">
        <f>IF(AG491&gt;0,"O Google leu como fórmula: digite de novo com ' na frente.","")</f>
        <v/>
      </c>
      <c r="N491" s="2">
        <f>N490+IF(LEN($X$491)&gt;0,1,0)</f>
        <v/>
      </c>
      <c r="P491" s="2">
        <f>P490+IF(LEN($Z$491)&gt;0,1,0)</f>
        <v/>
      </c>
      <c r="R491" s="2">
        <f>R490+IF(LEN($AB$491)&gt;0,1,0)</f>
        <v/>
      </c>
      <c r="S491" s="2">
        <f>S490+IF(LEN($AC$491)&gt;0,1,0)</f>
        <v/>
      </c>
      <c r="T491" s="2">
        <f>T490+IF(LEN($AD$491)&gt;0,1,0)</f>
        <v/>
      </c>
      <c r="U491" s="2">
        <f>U490+IF(LEN($AE$491)&gt;0,1,0)</f>
        <v/>
      </c>
      <c r="V491" s="2">
        <f>V490+IF(LEN($AF$491)&gt;0,1,0)</f>
        <v/>
      </c>
      <c r="X491" s="2">
        <f>IF(ISERROR($B$491),"",IF(ISBLANK($B$491),"",$B$491))</f>
        <v/>
      </c>
      <c r="Y491" s="2">
        <f>IF(ISERROR($C$491),"",IF(ISBLANK($C$491),"",$C$491))</f>
        <v/>
      </c>
      <c r="Z491" s="2">
        <f>IF(ISERROR($D$491),"",IF(ISBLANK($D$491),"",$D$491))</f>
        <v/>
      </c>
      <c r="AA491" s="2">
        <f>IF(ISERROR($E$491),"",IF(ISBLANK($E$491),"",$E$491))</f>
        <v/>
      </c>
      <c r="AB491" s="2">
        <f>IF(ISERROR($F$491),"",IF(ISBLANK($F$491),"",$F$491))</f>
        <v/>
      </c>
      <c r="AC491" s="2">
        <f>IF(ISERROR($G$491),"",IF(ISBLANK($G$491),"",$G$491))</f>
        <v/>
      </c>
      <c r="AD491" s="2">
        <f>IF(ISERROR($H$491),"",IF(ISBLANK($H$491),"",$H$491))</f>
        <v/>
      </c>
      <c r="AE491" s="2">
        <f>IF(ISERROR($I$491),"",IF(ISBLANK($I$491),"",$I$491))</f>
        <v/>
      </c>
      <c r="AF491" s="2">
        <f>IF(ISERROR($J$491),"",IF(ISBLANK($J$491),"",$J$491))</f>
        <v/>
      </c>
      <c r="AG491" s="2">
        <f>ISERROR($B$491)*1+ISERROR($C$491)*1+ISERROR($D$491)*1+ISERROR($E$491)*1+ISERROR($F$491)*1+ISERROR($G$491)*1+ISERROR($H$491)*1+ISERROR($I$491)*1+ISERROR($J$491)*1</f>
        <v/>
      </c>
    </row>
    <row r="492" ht="37" customHeight="1">
      <c r="B492" s="33" t="inlineStr">
        <is>
          <t>A Abundância</t>
        </is>
      </c>
      <c r="C492" s="4" t="inlineStr">
        <is>
          <t>encontrar o remédio que salvou e condenou a sua gente</t>
        </is>
      </c>
      <c r="D492" s="4" t="inlineStr">
        <is>
          <t>Entrega</t>
        </is>
      </c>
      <c r="E492" s="4" t="inlineStr">
        <is>
          <t>entregar remédios antes que a colônia feche os portões</t>
        </is>
      </c>
      <c r="F492" s="4" t="n"/>
      <c r="G492" s="4" t="inlineStr">
        <is>
          <t>O rádio da nave capta uma transmissão de vinte anos atrás</t>
        </is>
      </c>
      <c r="H492" s="4" t="inlineStr">
        <is>
          <t>um hospital de campanha num vale nevado</t>
        </is>
      </c>
      <c r="I492" s="4" t="inlineStr">
        <is>
          <t>os moradores não querem ajuda e dizem isso com pedras</t>
        </is>
      </c>
      <c r="J492" s="4" t="inlineStr">
        <is>
          <t>o morto não está morto</t>
        </is>
      </c>
      <c r="K492" s="19">
        <f>IF(AG492&gt;0,"O Google leu como fórmula: digite de novo com ' na frente.","")</f>
        <v/>
      </c>
      <c r="N492" s="2">
        <f>N491+IF(LEN($X$492)&gt;0,1,0)</f>
        <v/>
      </c>
      <c r="P492" s="2">
        <f>P491+IF(LEN($Z$492)&gt;0,1,0)</f>
        <v/>
      </c>
      <c r="R492" s="2">
        <f>R491+IF(LEN($AB$492)&gt;0,1,0)</f>
        <v/>
      </c>
      <c r="S492" s="2">
        <f>S491+IF(LEN($AC$492)&gt;0,1,0)</f>
        <v/>
      </c>
      <c r="T492" s="2">
        <f>T491+IF(LEN($AD$492)&gt;0,1,0)</f>
        <v/>
      </c>
      <c r="U492" s="2">
        <f>U491+IF(LEN($AE$492)&gt;0,1,0)</f>
        <v/>
      </c>
      <c r="V492" s="2">
        <f>V491+IF(LEN($AF$492)&gt;0,1,0)</f>
        <v/>
      </c>
      <c r="X492" s="2">
        <f>IF(ISERROR($B$492),"",IF(ISBLANK($B$492),"",$B$492))</f>
        <v/>
      </c>
      <c r="Y492" s="2">
        <f>IF(ISERROR($C$492),"",IF(ISBLANK($C$492),"",$C$492))</f>
        <v/>
      </c>
      <c r="Z492" s="2">
        <f>IF(ISERROR($D$492),"",IF(ISBLANK($D$492),"",$D$492))</f>
        <v/>
      </c>
      <c r="AA492" s="2">
        <f>IF(ISERROR($E$492),"",IF(ISBLANK($E$492),"",$E$492))</f>
        <v/>
      </c>
      <c r="AB492" s="2">
        <f>IF(ISERROR($F$492),"",IF(ISBLANK($F$492),"",$F$492))</f>
        <v/>
      </c>
      <c r="AC492" s="2">
        <f>IF(ISERROR($G$492),"",IF(ISBLANK($G$492),"",$G$492))</f>
        <v/>
      </c>
      <c r="AD492" s="2">
        <f>IF(ISERROR($H$492),"",IF(ISBLANK($H$492),"",$H$492))</f>
        <v/>
      </c>
      <c r="AE492" s="2">
        <f>IF(ISERROR($I$492),"",IF(ISBLANK($I$492),"",$I$492))</f>
        <v/>
      </c>
      <c r="AF492" s="2">
        <f>IF(ISERROR($J$492),"",IF(ISBLANK($J$492),"",$J$492))</f>
        <v/>
      </c>
      <c r="AG492" s="2">
        <f>ISERROR($B$492)*1+ISERROR($C$492)*1+ISERROR($D$492)*1+ISERROR($E$492)*1+ISERROR($F$492)*1+ISERROR($G$492)*1+ISERROR($H$492)*1+ISERROR($I$492)*1+ISERROR($J$492)*1</f>
        <v/>
      </c>
    </row>
    <row r="493" ht="37" customHeight="1">
      <c r="B493" s="35" t="inlineStr">
        <is>
          <t>A Recordação</t>
        </is>
      </c>
      <c r="C493" s="29" t="inlineStr">
        <is>
          <t>guardar a memória de quem morreu</t>
        </is>
      </c>
      <c r="D493" s="29" t="inlineStr">
        <is>
          <t>Entrega</t>
        </is>
      </c>
      <c r="E493" s="29" t="inlineStr">
        <is>
          <t>fazer chegar uma carta a alguém que não quer ser achado</t>
        </is>
      </c>
      <c r="F493" s="29" t="n"/>
      <c r="G493" s="29" t="inlineStr">
        <is>
          <t>Um soldado da Legião bate à porta pedindo para desertar</t>
        </is>
      </c>
      <c r="H493" s="29" t="inlineStr">
        <is>
          <t>um depósito de sucata que vende de tudo</t>
        </is>
      </c>
      <c r="I493" s="29" t="inlineStr">
        <is>
          <t>o mapa está duas décadas desatualizado</t>
        </is>
      </c>
      <c r="J493" s="29" t="inlineStr">
        <is>
          <t>o sinal de socorro foi enviado pelo próprio antagonista</t>
        </is>
      </c>
      <c r="K493" s="19">
        <f>IF(AG493&gt;0,"O Google leu como fórmula: digite de novo com ' na frente.","")</f>
        <v/>
      </c>
      <c r="N493" s="2">
        <f>N492+IF(LEN($X$493)&gt;0,1,0)</f>
        <v/>
      </c>
      <c r="P493" s="2">
        <f>P492+IF(LEN($Z$493)&gt;0,1,0)</f>
        <v/>
      </c>
      <c r="R493" s="2">
        <f>R492+IF(LEN($AB$493)&gt;0,1,0)</f>
        <v/>
      </c>
      <c r="S493" s="2">
        <f>S492+IF(LEN($AC$493)&gt;0,1,0)</f>
        <v/>
      </c>
      <c r="T493" s="2">
        <f>T492+IF(LEN($AD$493)&gt;0,1,0)</f>
        <v/>
      </c>
      <c r="U493" s="2">
        <f>U492+IF(LEN($AE$493)&gt;0,1,0)</f>
        <v/>
      </c>
      <c r="V493" s="2">
        <f>V492+IF(LEN($AF$493)&gt;0,1,0)</f>
        <v/>
      </c>
      <c r="X493" s="2">
        <f>IF(ISERROR($B$493),"",IF(ISBLANK($B$493),"",$B$493))</f>
        <v/>
      </c>
      <c r="Y493" s="2">
        <f>IF(ISERROR($C$493),"",IF(ISBLANK($C$493),"",$C$493))</f>
        <v/>
      </c>
      <c r="Z493" s="2">
        <f>IF(ISERROR($D$493),"",IF(ISBLANK($D$493),"",$D$493))</f>
        <v/>
      </c>
      <c r="AA493" s="2">
        <f>IF(ISERROR($E$493),"",IF(ISBLANK($E$493),"",$E$493))</f>
        <v/>
      </c>
      <c r="AB493" s="2">
        <f>IF(ISERROR($F$493),"",IF(ISBLANK($F$493),"",$F$493))</f>
        <v/>
      </c>
      <c r="AC493" s="2">
        <f>IF(ISERROR($G$493),"",IF(ISBLANK($G$493),"",$G$493))</f>
        <v/>
      </c>
      <c r="AD493" s="2">
        <f>IF(ISERROR($H$493),"",IF(ISBLANK($H$493),"",$H$493))</f>
        <v/>
      </c>
      <c r="AE493" s="2">
        <f>IF(ISERROR($I$493),"",IF(ISBLANK($I$493),"",$I$493))</f>
        <v/>
      </c>
      <c r="AF493" s="2">
        <f>IF(ISERROR($J$493),"",IF(ISBLANK($J$493),"",$J$493))</f>
        <v/>
      </c>
      <c r="AG493" s="2">
        <f>ISERROR($B$493)*1+ISERROR($C$493)*1+ISERROR($D$493)*1+ISERROR($E$493)*1+ISERROR($F$493)*1+ISERROR($G$493)*1+ISERROR($H$493)*1+ISERROR($I$493)*1+ISERROR($J$493)*1</f>
        <v/>
      </c>
    </row>
    <row r="494" ht="26" customHeight="1">
      <c r="B494" s="33" t="inlineStr">
        <is>
          <t>A Recordação</t>
        </is>
      </c>
      <c r="C494" s="4" t="inlineStr">
        <is>
          <t>recuperar uma lembrança apagada</t>
        </is>
      </c>
      <c r="D494" s="4" t="inlineStr">
        <is>
          <t>Sabotagem</t>
        </is>
      </c>
      <c r="E494" s="4" t="inlineStr">
        <is>
          <t>desligar a forja que alimenta um batalhão</t>
        </is>
      </c>
      <c r="F494" s="4" t="n"/>
      <c r="G494" s="4" t="inlineStr">
        <is>
          <t>A água da estação fica com gosto de ferro</t>
        </is>
      </c>
      <c r="H494" s="4" t="inlineStr">
        <is>
          <t>uma estação de pesquisa sem tripulação</t>
        </is>
      </c>
      <c r="I494" s="4" t="inlineStr">
        <is>
          <t>um dos acessos só abre com a senha de um morto</t>
        </is>
      </c>
      <c r="J494" s="4" t="inlineStr">
        <is>
          <t>a porta trancada protegia o lado de fora</t>
        </is>
      </c>
      <c r="K494" s="19">
        <f>IF(AG494&gt;0,"O Google leu como fórmula: digite de novo com ' na frente.","")</f>
        <v/>
      </c>
      <c r="N494" s="2">
        <f>N493+IF(LEN($X$494)&gt;0,1,0)</f>
        <v/>
      </c>
      <c r="P494" s="2">
        <f>P493+IF(LEN($Z$494)&gt;0,1,0)</f>
        <v/>
      </c>
      <c r="R494" s="2">
        <f>R493+IF(LEN($AB$494)&gt;0,1,0)</f>
        <v/>
      </c>
      <c r="S494" s="2">
        <f>S493+IF(LEN($AC$494)&gt;0,1,0)</f>
        <v/>
      </c>
      <c r="T494" s="2">
        <f>T493+IF(LEN($AD$494)&gt;0,1,0)</f>
        <v/>
      </c>
      <c r="U494" s="2">
        <f>U493+IF(LEN($AE$494)&gt;0,1,0)</f>
        <v/>
      </c>
      <c r="V494" s="2">
        <f>V493+IF(LEN($AF$494)&gt;0,1,0)</f>
        <v/>
      </c>
      <c r="X494" s="2">
        <f>IF(ISERROR($B$494),"",IF(ISBLANK($B$494),"",$B$494))</f>
        <v/>
      </c>
      <c r="Y494" s="2">
        <f>IF(ISERROR($C$494),"",IF(ISBLANK($C$494),"",$C$494))</f>
        <v/>
      </c>
      <c r="Z494" s="2">
        <f>IF(ISERROR($D$494),"",IF(ISBLANK($D$494),"",$D$494))</f>
        <v/>
      </c>
      <c r="AA494" s="2">
        <f>IF(ISERROR($E$494),"",IF(ISBLANK($E$494),"",$E$494))</f>
        <v/>
      </c>
      <c r="AB494" s="2">
        <f>IF(ISERROR($F$494),"",IF(ISBLANK($F$494),"",$F$494))</f>
        <v/>
      </c>
      <c r="AC494" s="2">
        <f>IF(ISERROR($G$494),"",IF(ISBLANK($G$494),"",$G$494))</f>
        <v/>
      </c>
      <c r="AD494" s="2">
        <f>IF(ISERROR($H$494),"",IF(ISBLANK($H$494),"",$H$494))</f>
        <v/>
      </c>
      <c r="AE494" s="2">
        <f>IF(ISERROR($I$494),"",IF(ISBLANK($I$494),"",$I$494))</f>
        <v/>
      </c>
      <c r="AF494" s="2">
        <f>IF(ISERROR($J$494),"",IF(ISBLANK($J$494),"",$J$494))</f>
        <v/>
      </c>
      <c r="AG494" s="2">
        <f>ISERROR($B$494)*1+ISERROR($C$494)*1+ISERROR($D$494)*1+ISERROR($E$494)*1+ISERROR($F$494)*1+ISERROR($G$494)*1+ISERROR($H$494)*1+ISERROR($I$494)*1+ISERROR($J$494)*1</f>
        <v/>
      </c>
    </row>
    <row r="495" ht="37" customHeight="1">
      <c r="B495" s="35" t="inlineStr">
        <is>
          <t>A Recordação</t>
        </is>
      </c>
      <c r="C495" s="29" t="inlineStr">
        <is>
          <t>escrever a história verdadeira de um lugar</t>
        </is>
      </c>
      <c r="D495" s="29" t="inlineStr">
        <is>
          <t>Sabotagem</t>
        </is>
      </c>
      <c r="E495" s="29" t="inlineStr">
        <is>
          <t>apagar os registros de uma apólice</t>
        </is>
      </c>
      <c r="F495" s="29" t="n"/>
      <c r="G495" s="29" t="inlineStr">
        <is>
          <t>Um artista convida o grupo para uma estreia que ainda não tem palco</t>
        </is>
      </c>
      <c r="H495" s="29" t="inlineStr">
        <is>
          <t>o palácio de festas de uma família falida</t>
        </is>
      </c>
      <c r="I495" s="29" t="inlineStr">
        <is>
          <t>a carga é mais pesada do que disseram</t>
        </is>
      </c>
      <c r="J495" s="29" t="inlineStr">
        <is>
          <t>alguém atrasou o grupo de propósito</t>
        </is>
      </c>
      <c r="K495" s="19">
        <f>IF(AG495&gt;0,"O Google leu como fórmula: digite de novo com ' na frente.","")</f>
        <v/>
      </c>
      <c r="N495" s="2">
        <f>N494+IF(LEN($X$495)&gt;0,1,0)</f>
        <v/>
      </c>
      <c r="P495" s="2">
        <f>P494+IF(LEN($Z$495)&gt;0,1,0)</f>
        <v/>
      </c>
      <c r="R495" s="2">
        <f>R494+IF(LEN($AB$495)&gt;0,1,0)</f>
        <v/>
      </c>
      <c r="S495" s="2">
        <f>S494+IF(LEN($AC$495)&gt;0,1,0)</f>
        <v/>
      </c>
      <c r="T495" s="2">
        <f>T494+IF(LEN($AD$495)&gt;0,1,0)</f>
        <v/>
      </c>
      <c r="U495" s="2">
        <f>U494+IF(LEN($AE$495)&gt;0,1,0)</f>
        <v/>
      </c>
      <c r="V495" s="2">
        <f>V494+IF(LEN($AF$495)&gt;0,1,0)</f>
        <v/>
      </c>
      <c r="X495" s="2">
        <f>IF(ISERROR($B$495),"",IF(ISBLANK($B$495),"",$B$495))</f>
        <v/>
      </c>
      <c r="Y495" s="2">
        <f>IF(ISERROR($C$495),"",IF(ISBLANK($C$495),"",$C$495))</f>
        <v/>
      </c>
      <c r="Z495" s="2">
        <f>IF(ISERROR($D$495),"",IF(ISBLANK($D$495),"",$D$495))</f>
        <v/>
      </c>
      <c r="AA495" s="2">
        <f>IF(ISERROR($E$495),"",IF(ISBLANK($E$495),"",$E$495))</f>
        <v/>
      </c>
      <c r="AB495" s="2">
        <f>IF(ISERROR($F$495),"",IF(ISBLANK($F$495),"",$F$495))</f>
        <v/>
      </c>
      <c r="AC495" s="2">
        <f>IF(ISERROR($G$495),"",IF(ISBLANK($G$495),"",$G$495))</f>
        <v/>
      </c>
      <c r="AD495" s="2">
        <f>IF(ISERROR($H$495),"",IF(ISBLANK($H$495),"",$H$495))</f>
        <v/>
      </c>
      <c r="AE495" s="2">
        <f>IF(ISERROR($I$495),"",IF(ISBLANK($I$495),"",$I$495))</f>
        <v/>
      </c>
      <c r="AF495" s="2">
        <f>IF(ISERROR($J$495),"",IF(ISBLANK($J$495),"",$J$495))</f>
        <v/>
      </c>
      <c r="AG495" s="2">
        <f>ISERROR($B$495)*1+ISERROR($C$495)*1+ISERROR($D$495)*1+ISERROR($E$495)*1+ISERROR($F$495)*1+ISERROR($G$495)*1+ISERROR($H$495)*1+ISERROR($I$495)*1+ISERROR($J$495)*1</f>
        <v/>
      </c>
    </row>
    <row r="496" ht="37" customHeight="1">
      <c r="B496" s="33" t="inlineStr">
        <is>
          <t>A Recordação</t>
        </is>
      </c>
      <c r="C496" s="4" t="inlineStr">
        <is>
          <t>encontrar a fotografia que prova o passado</t>
        </is>
      </c>
      <c r="D496" s="4" t="inlineStr">
        <is>
          <t>Sabotagem</t>
        </is>
      </c>
      <c r="E496" s="4" t="inlineStr">
        <is>
          <t>danificar um transmissor sem deixar rastro</t>
        </is>
      </c>
      <c r="F496" s="4" t="n"/>
      <c r="G496" s="4" t="inlineStr">
        <is>
          <t>O dono do bar oferece bebida de graça em troca de um favor estranho</t>
        </is>
      </c>
      <c r="H496" s="4" t="inlineStr">
        <is>
          <t>uma ponte de mil quilômetros entre duas colônias</t>
        </is>
      </c>
      <c r="I496" s="4" t="inlineStr">
        <is>
          <t>o grupo é seguido desde o porto</t>
        </is>
      </c>
      <c r="J496" s="4" t="inlineStr">
        <is>
          <t>a recompensa prometida não existe</t>
        </is>
      </c>
      <c r="K496" s="19">
        <f>IF(AG496&gt;0,"O Google leu como fórmula: digite de novo com ' na frente.","")</f>
        <v/>
      </c>
      <c r="N496" s="2">
        <f>N495+IF(LEN($X$496)&gt;0,1,0)</f>
        <v/>
      </c>
      <c r="P496" s="2">
        <f>P495+IF(LEN($Z$496)&gt;0,1,0)</f>
        <v/>
      </c>
      <c r="R496" s="2">
        <f>R495+IF(LEN($AB$496)&gt;0,1,0)</f>
        <v/>
      </c>
      <c r="S496" s="2">
        <f>S495+IF(LEN($AC$496)&gt;0,1,0)</f>
        <v/>
      </c>
      <c r="T496" s="2">
        <f>T495+IF(LEN($AD$496)&gt;0,1,0)</f>
        <v/>
      </c>
      <c r="U496" s="2">
        <f>U495+IF(LEN($AE$496)&gt;0,1,0)</f>
        <v/>
      </c>
      <c r="V496" s="2">
        <f>V495+IF(LEN($AF$496)&gt;0,1,0)</f>
        <v/>
      </c>
      <c r="X496" s="2">
        <f>IF(ISERROR($B$496),"",IF(ISBLANK($B$496),"",$B$496))</f>
        <v/>
      </c>
      <c r="Y496" s="2">
        <f>IF(ISERROR($C$496),"",IF(ISBLANK($C$496),"",$C$496))</f>
        <v/>
      </c>
      <c r="Z496" s="2">
        <f>IF(ISERROR($D$496),"",IF(ISBLANK($D$496),"",$D$496))</f>
        <v/>
      </c>
      <c r="AA496" s="2">
        <f>IF(ISERROR($E$496),"",IF(ISBLANK($E$496),"",$E$496))</f>
        <v/>
      </c>
      <c r="AB496" s="2">
        <f>IF(ISERROR($F$496),"",IF(ISBLANK($F$496),"",$F$496))</f>
        <v/>
      </c>
      <c r="AC496" s="2">
        <f>IF(ISERROR($G$496),"",IF(ISBLANK($G$496),"",$G$496))</f>
        <v/>
      </c>
      <c r="AD496" s="2">
        <f>IF(ISERROR($H$496),"",IF(ISBLANK($H$496),"",$H$496))</f>
        <v/>
      </c>
      <c r="AE496" s="2">
        <f>IF(ISERROR($I$496),"",IF(ISBLANK($I$496),"",$I$496))</f>
        <v/>
      </c>
      <c r="AF496" s="2">
        <f>IF(ISERROR($J$496),"",IF(ISBLANK($J$496),"",$J$496))</f>
        <v/>
      </c>
      <c r="AG496" s="2">
        <f>ISERROR($B$496)*1+ISERROR($C$496)*1+ISERROR($D$496)*1+ISERROR($E$496)*1+ISERROR($F$496)*1+ISERROR($G$496)*1+ISERROR($H$496)*1+ISERROR($I$496)*1+ISERROR($J$496)*1</f>
        <v/>
      </c>
    </row>
    <row r="497" ht="37" customHeight="1">
      <c r="B497" s="35" t="inlineStr">
        <is>
          <t>A Recordação</t>
        </is>
      </c>
      <c r="C497" s="29" t="inlineStr">
        <is>
          <t>impedir que um nome seja esquecido</t>
        </is>
      </c>
      <c r="D497" s="29" t="inlineStr">
        <is>
          <t>Negociação</t>
        </is>
      </c>
      <c r="E497" s="29" t="inlineStr">
        <is>
          <t>convencer dois clãs a dividir um poço de água</t>
        </is>
      </c>
      <c r="F497" s="29" t="n"/>
      <c r="G497" s="29" t="inlineStr">
        <is>
          <t>Um animal de carga segue o grupo e não vai embora</t>
        </is>
      </c>
      <c r="H497" s="29" t="inlineStr">
        <is>
          <t>um mosteiro silencioso de Intellitrons</t>
        </is>
      </c>
      <c r="I497" s="29" t="inlineStr">
        <is>
          <t>a nave do grupo precisa de conserto urgente</t>
        </is>
      </c>
      <c r="J497" s="29" t="inlineStr">
        <is>
          <t>o antagonista conhece o Propósito de Vida de um personagem</t>
        </is>
      </c>
      <c r="K497" s="19">
        <f>IF(AG497&gt;0,"O Google leu como fórmula: digite de novo com ' na frente.","")</f>
        <v/>
      </c>
      <c r="N497" s="2">
        <f>N496+IF(LEN($X$497)&gt;0,1,0)</f>
        <v/>
      </c>
      <c r="P497" s="2">
        <f>P496+IF(LEN($Z$497)&gt;0,1,0)</f>
        <v/>
      </c>
      <c r="R497" s="2">
        <f>R496+IF(LEN($AB$497)&gt;0,1,0)</f>
        <v/>
      </c>
      <c r="S497" s="2">
        <f>S496+IF(LEN($AC$497)&gt;0,1,0)</f>
        <v/>
      </c>
      <c r="T497" s="2">
        <f>T496+IF(LEN($AD$497)&gt;0,1,0)</f>
        <v/>
      </c>
      <c r="U497" s="2">
        <f>U496+IF(LEN($AE$497)&gt;0,1,0)</f>
        <v/>
      </c>
      <c r="V497" s="2">
        <f>V496+IF(LEN($AF$497)&gt;0,1,0)</f>
        <v/>
      </c>
      <c r="X497" s="2">
        <f>IF(ISERROR($B$497),"",IF(ISBLANK($B$497),"",$B$497))</f>
        <v/>
      </c>
      <c r="Y497" s="2">
        <f>IF(ISERROR($C$497),"",IF(ISBLANK($C$497),"",$C$497))</f>
        <v/>
      </c>
      <c r="Z497" s="2">
        <f>IF(ISERROR($D$497),"",IF(ISBLANK($D$497),"",$D$497))</f>
        <v/>
      </c>
      <c r="AA497" s="2">
        <f>IF(ISERROR($E$497),"",IF(ISBLANK($E$497),"",$E$497))</f>
        <v/>
      </c>
      <c r="AB497" s="2">
        <f>IF(ISERROR($F$497),"",IF(ISBLANK($F$497),"",$F$497))</f>
        <v/>
      </c>
      <c r="AC497" s="2">
        <f>IF(ISERROR($G$497),"",IF(ISBLANK($G$497),"",$G$497))</f>
        <v/>
      </c>
      <c r="AD497" s="2">
        <f>IF(ISERROR($H$497),"",IF(ISBLANK($H$497),"",$H$497))</f>
        <v/>
      </c>
      <c r="AE497" s="2">
        <f>IF(ISERROR($I$497),"",IF(ISBLANK($I$497),"",$I$497))</f>
        <v/>
      </c>
      <c r="AF497" s="2">
        <f>IF(ISERROR($J$497),"",IF(ISBLANK($J$497),"",$J$497))</f>
        <v/>
      </c>
      <c r="AG497" s="2">
        <f>ISERROR($B$497)*1+ISERROR($C$497)*1+ISERROR($D$497)*1+ISERROR($E$497)*1+ISERROR($F$497)*1+ISERROR($G$497)*1+ISERROR($H$497)*1+ISERROR($I$497)*1+ISERROR($J$497)*1</f>
        <v/>
      </c>
    </row>
    <row r="498" ht="37" customHeight="1">
      <c r="B498" s="33" t="inlineStr">
        <is>
          <t>A Erudição</t>
        </is>
      </c>
      <c r="C498" s="4" t="inlineStr">
        <is>
          <t>resolver um enigma que ninguém resolveu</t>
        </is>
      </c>
      <c r="D498" s="4" t="inlineStr">
        <is>
          <t>Negociação</t>
        </is>
      </c>
      <c r="E498" s="4" t="inlineStr">
        <is>
          <t>comprar tempo com a Legião antes do ultimato</t>
        </is>
      </c>
      <c r="F498" s="4" t="n"/>
      <c r="G498" s="4" t="inlineStr">
        <is>
          <t>Um diário é encontrado num duto com o nome do grupo na última página</t>
        </is>
      </c>
      <c r="H498" s="4" t="inlineStr">
        <is>
          <t>uma doca seca cheia de naves inacabadas</t>
        </is>
      </c>
      <c r="I498" s="4" t="inlineStr">
        <is>
          <t>o idioma do lugar mudou desde o último contato</t>
        </is>
      </c>
      <c r="J498" s="4" t="inlineStr">
        <is>
          <t>o verdadeiro alvo era a nave do grupo</t>
        </is>
      </c>
      <c r="K498" s="19">
        <f>IF(AG498&gt;0,"O Google leu como fórmula: digite de novo com ' na frente.","")</f>
        <v/>
      </c>
      <c r="N498" s="2">
        <f>N497+IF(LEN($X$498)&gt;0,1,0)</f>
        <v/>
      </c>
      <c r="P498" s="2">
        <f>P497+IF(LEN($Z$498)&gt;0,1,0)</f>
        <v/>
      </c>
      <c r="R498" s="2">
        <f>R497+IF(LEN($AB$498)&gt;0,1,0)</f>
        <v/>
      </c>
      <c r="S498" s="2">
        <f>S497+IF(LEN($AC$498)&gt;0,1,0)</f>
        <v/>
      </c>
      <c r="T498" s="2">
        <f>T497+IF(LEN($AD$498)&gt;0,1,0)</f>
        <v/>
      </c>
      <c r="U498" s="2">
        <f>U497+IF(LEN($AE$498)&gt;0,1,0)</f>
        <v/>
      </c>
      <c r="V498" s="2">
        <f>V497+IF(LEN($AF$498)&gt;0,1,0)</f>
        <v/>
      </c>
      <c r="X498" s="2">
        <f>IF(ISERROR($B$498),"",IF(ISBLANK($B$498),"",$B$498))</f>
        <v/>
      </c>
      <c r="Y498" s="2">
        <f>IF(ISERROR($C$498),"",IF(ISBLANK($C$498),"",$C$498))</f>
        <v/>
      </c>
      <c r="Z498" s="2">
        <f>IF(ISERROR($D$498),"",IF(ISBLANK($D$498),"",$D$498))</f>
        <v/>
      </c>
      <c r="AA498" s="2">
        <f>IF(ISERROR($E$498),"",IF(ISBLANK($E$498),"",$E$498))</f>
        <v/>
      </c>
      <c r="AB498" s="2">
        <f>IF(ISERROR($F$498),"",IF(ISBLANK($F$498),"",$F$498))</f>
        <v/>
      </c>
      <c r="AC498" s="2">
        <f>IF(ISERROR($G$498),"",IF(ISBLANK($G$498),"",$G$498))</f>
        <v/>
      </c>
      <c r="AD498" s="2">
        <f>IF(ISERROR($H$498),"",IF(ISBLANK($H$498),"",$H$498))</f>
        <v/>
      </c>
      <c r="AE498" s="2">
        <f>IF(ISERROR($I$498),"",IF(ISBLANK($I$498),"",$I$498))</f>
        <v/>
      </c>
      <c r="AF498" s="2">
        <f>IF(ISERROR($J$498),"",IF(ISBLANK($J$498),"",$J$498))</f>
        <v/>
      </c>
      <c r="AG498" s="2">
        <f>ISERROR($B$498)*1+ISERROR($C$498)*1+ISERROR($D$498)*1+ISERROR($E$498)*1+ISERROR($F$498)*1+ISERROR($G$498)*1+ISERROR($H$498)*1+ISERROR($I$498)*1+ISERROR($J$498)*1</f>
        <v/>
      </c>
    </row>
    <row r="499" ht="15" customHeight="1">
      <c r="B499" s="8" t="inlineStr">
        <is>
          <t>Caminho (motivação)</t>
        </is>
      </c>
      <c r="C499" s="8" t="inlineStr">
        <is>
          <t>Motivação por Caminho</t>
        </is>
      </c>
      <c r="D499" s="8" t="inlineStr">
        <is>
          <t>Tipo (objetivo)</t>
        </is>
      </c>
      <c r="E499" s="8" t="inlineStr">
        <is>
          <t>Objetivo por tipo</t>
        </is>
      </c>
      <c r="F499" s="8" t="inlineStr">
        <is>
          <t>Tipo de aventura</t>
        </is>
      </c>
      <c r="G499" s="8" t="inlineStr">
        <is>
          <t>Gancho de aventura</t>
        </is>
      </c>
      <c r="H499" s="8" t="inlineStr">
        <is>
          <t>Local (sabor)</t>
        </is>
      </c>
      <c r="I499" s="8" t="inlineStr">
        <is>
          <t>Complicação</t>
        </is>
      </c>
      <c r="J499" s="8" t="inlineStr">
        <is>
          <t>Reviravolta</t>
        </is>
      </c>
      <c r="N499" s="2">
        <f>N498</f>
        <v/>
      </c>
      <c r="P499" s="2">
        <f>P498</f>
        <v/>
      </c>
      <c r="R499" s="2">
        <f>R498</f>
        <v/>
      </c>
      <c r="S499" s="2">
        <f>S498</f>
        <v/>
      </c>
      <c r="T499" s="2">
        <f>T498</f>
        <v/>
      </c>
      <c r="U499" s="2">
        <f>U498</f>
        <v/>
      </c>
      <c r="V499" s="2">
        <f>V498</f>
        <v/>
      </c>
      <c r="X499" s="2">
        <f>IF(ISERROR($B$499),"",IF(ISBLANK($B$499),"",$B$499))</f>
        <v/>
      </c>
      <c r="Y499" s="2">
        <f>IF(ISERROR($C$499),"",IF(ISBLANK($C$499),"",$C$499))</f>
        <v/>
      </c>
      <c r="Z499" s="2">
        <f>IF(ISERROR($D$499),"",IF(ISBLANK($D$499),"",$D$499))</f>
        <v/>
      </c>
      <c r="AA499" s="2">
        <f>IF(ISERROR($E$499),"",IF(ISBLANK($E$499),"",$E$499))</f>
        <v/>
      </c>
      <c r="AB499" s="2">
        <f>IF(ISERROR($F$499),"",IF(ISBLANK($F$499),"",$F$499))</f>
        <v/>
      </c>
      <c r="AC499" s="2">
        <f>IF(ISERROR($G$499),"",IF(ISBLANK($G$499),"",$G$499))</f>
        <v/>
      </c>
      <c r="AD499" s="2">
        <f>IF(ISERROR($H$499),"",IF(ISBLANK($H$499),"",$H$499))</f>
        <v/>
      </c>
      <c r="AE499" s="2">
        <f>IF(ISERROR($I$499),"",IF(ISBLANK($I$499),"",$I$499))</f>
        <v/>
      </c>
      <c r="AF499" s="2">
        <f>IF(ISERROR($J$499),"",IF(ISBLANK($J$499),"",$J$499))</f>
        <v/>
      </c>
    </row>
    <row r="500" ht="26" customHeight="1">
      <c r="B500" s="33" t="inlineStr">
        <is>
          <t>A Erudição</t>
        </is>
      </c>
      <c r="C500" s="4" t="inlineStr">
        <is>
          <t>entender como um Stellaron funciona</t>
        </is>
      </c>
      <c r="D500" s="4" t="inlineStr">
        <is>
          <t>Negociação</t>
        </is>
      </c>
      <c r="E500" s="4" t="inlineStr">
        <is>
          <t>fechar um acordo com um Tolo Mascarado sem ser enganado</t>
        </is>
      </c>
      <c r="F500" s="4" t="n"/>
      <c r="G500" s="4" t="inlineStr">
        <is>
          <t>Um tremor abre uma passagem sob a praça</t>
        </is>
      </c>
      <c r="H500" s="4" t="inlineStr">
        <is>
          <t>um bairro de refugiados ao redor de um farol</t>
        </is>
      </c>
      <c r="I500" s="4" t="inlineStr">
        <is>
          <t>um dos personagens adoece no caminho</t>
        </is>
      </c>
      <c r="J500" s="4" t="inlineStr">
        <is>
          <t>o lacre foi aberto para salvar alguém</t>
        </is>
      </c>
      <c r="K500" s="19">
        <f>IF(AG500&gt;0,"O Google leu como fórmula: digite de novo com ' na frente.","")</f>
        <v/>
      </c>
      <c r="N500" s="2">
        <f>N499+IF(LEN($X$500)&gt;0,1,0)</f>
        <v/>
      </c>
      <c r="P500" s="2">
        <f>P499+IF(LEN($Z$500)&gt;0,1,0)</f>
        <v/>
      </c>
      <c r="R500" s="2">
        <f>R499+IF(LEN($AB$500)&gt;0,1,0)</f>
        <v/>
      </c>
      <c r="S500" s="2">
        <f>S499+IF(LEN($AC$500)&gt;0,1,0)</f>
        <v/>
      </c>
      <c r="T500" s="2">
        <f>T499+IF(LEN($AD$500)&gt;0,1,0)</f>
        <v/>
      </c>
      <c r="U500" s="2">
        <f>U499+IF(LEN($AE$500)&gt;0,1,0)</f>
        <v/>
      </c>
      <c r="V500" s="2">
        <f>V499+IF(LEN($AF$500)&gt;0,1,0)</f>
        <v/>
      </c>
      <c r="X500" s="2">
        <f>IF(ISERROR($B$500),"",IF(ISBLANK($B$500),"",$B$500))</f>
        <v/>
      </c>
      <c r="Y500" s="2">
        <f>IF(ISERROR($C$500),"",IF(ISBLANK($C$500),"",$C$500))</f>
        <v/>
      </c>
      <c r="Z500" s="2">
        <f>IF(ISERROR($D$500),"",IF(ISBLANK($D$500),"",$D$500))</f>
        <v/>
      </c>
      <c r="AA500" s="2">
        <f>IF(ISERROR($E$500),"",IF(ISBLANK($E$500),"",$E$500))</f>
        <v/>
      </c>
      <c r="AB500" s="2">
        <f>IF(ISERROR($F$500),"",IF(ISBLANK($F$500),"",$F$500))</f>
        <v/>
      </c>
      <c r="AC500" s="2">
        <f>IF(ISERROR($G$500),"",IF(ISBLANK($G$500),"",$G$500))</f>
        <v/>
      </c>
      <c r="AD500" s="2">
        <f>IF(ISERROR($H$500),"",IF(ISBLANK($H$500),"",$H$500))</f>
        <v/>
      </c>
      <c r="AE500" s="2">
        <f>IF(ISERROR($I$500),"",IF(ISBLANK($I$500),"",$I$500))</f>
        <v/>
      </c>
      <c r="AF500" s="2">
        <f>IF(ISERROR($J$500),"",IF(ISBLANK($J$500),"",$J$500))</f>
        <v/>
      </c>
      <c r="AG500" s="2">
        <f>ISERROR($B$500)*1+ISERROR($C$500)*1+ISERROR($D$500)*1+ISERROR($E$500)*1+ISERROR($F$500)*1+ISERROR($G$500)*1+ISERROR($H$500)*1+ISERROR($I$500)*1+ISERROR($J$500)*1</f>
        <v/>
      </c>
    </row>
    <row r="501" ht="26" customHeight="1">
      <c r="B501" s="35" t="inlineStr">
        <is>
          <t>A Erudição</t>
        </is>
      </c>
      <c r="C501" s="29" t="inlineStr">
        <is>
          <t>ler um arquivo proibido</t>
        </is>
      </c>
      <c r="D501" s="29" t="inlineStr">
        <is>
          <t>Exploração</t>
        </is>
      </c>
      <c r="E501" s="29" t="inlineStr">
        <is>
          <t>mapear uma estação abandonada</t>
        </is>
      </c>
      <c r="F501" s="29" t="n"/>
      <c r="G501" s="29" t="inlineStr">
        <is>
          <t>Uma apólice de seguro vence amanhã, e o segurado sumiu</t>
        </is>
      </c>
      <c r="H501" s="29" t="inlineStr">
        <is>
          <t>uma mina de cristal que canta com o vento</t>
        </is>
      </c>
      <c r="I501" s="29" t="inlineStr">
        <is>
          <t>o lugar marcado para o encontro pega fogo</t>
        </is>
      </c>
      <c r="J501" s="29" t="inlineStr">
        <is>
          <t>a facção inimiga oferece uma trégua sincera</t>
        </is>
      </c>
      <c r="K501" s="19">
        <f>IF(AG501&gt;0,"O Google leu como fórmula: digite de novo com ' na frente.","")</f>
        <v/>
      </c>
      <c r="N501" s="2">
        <f>N500+IF(LEN($X$501)&gt;0,1,0)</f>
        <v/>
      </c>
      <c r="P501" s="2">
        <f>P500+IF(LEN($Z$501)&gt;0,1,0)</f>
        <v/>
      </c>
      <c r="R501" s="2">
        <f>R500+IF(LEN($AB$501)&gt;0,1,0)</f>
        <v/>
      </c>
      <c r="S501" s="2">
        <f>S500+IF(LEN($AC$501)&gt;0,1,0)</f>
        <v/>
      </c>
      <c r="T501" s="2">
        <f>T500+IF(LEN($AD$501)&gt;0,1,0)</f>
        <v/>
      </c>
      <c r="U501" s="2">
        <f>U500+IF(LEN($AE$501)&gt;0,1,0)</f>
        <v/>
      </c>
      <c r="V501" s="2">
        <f>V500+IF(LEN($AF$501)&gt;0,1,0)</f>
        <v/>
      </c>
      <c r="X501" s="2">
        <f>IF(ISERROR($B$501),"",IF(ISBLANK($B$501),"",$B$501))</f>
        <v/>
      </c>
      <c r="Y501" s="2">
        <f>IF(ISERROR($C$501),"",IF(ISBLANK($C$501),"",$C$501))</f>
        <v/>
      </c>
      <c r="Z501" s="2">
        <f>IF(ISERROR($D$501),"",IF(ISBLANK($D$501),"",$D$501))</f>
        <v/>
      </c>
      <c r="AA501" s="2">
        <f>IF(ISERROR($E$501),"",IF(ISBLANK($E$501),"",$E$501))</f>
        <v/>
      </c>
      <c r="AB501" s="2">
        <f>IF(ISERROR($F$501),"",IF(ISBLANK($F$501),"",$F$501))</f>
        <v/>
      </c>
      <c r="AC501" s="2">
        <f>IF(ISERROR($G$501),"",IF(ISBLANK($G$501),"",$G$501))</f>
        <v/>
      </c>
      <c r="AD501" s="2">
        <f>IF(ISERROR($H$501),"",IF(ISBLANK($H$501),"",$H$501))</f>
        <v/>
      </c>
      <c r="AE501" s="2">
        <f>IF(ISERROR($I$501),"",IF(ISBLANK($I$501),"",$I$501))</f>
        <v/>
      </c>
      <c r="AF501" s="2">
        <f>IF(ISERROR($J$501),"",IF(ISBLANK($J$501),"",$J$501))</f>
        <v/>
      </c>
      <c r="AG501" s="2">
        <f>ISERROR($B$501)*1+ISERROR($C$501)*1+ISERROR($D$501)*1+ISERROR($E$501)*1+ISERROR($F$501)*1+ISERROR($G$501)*1+ISERROR($H$501)*1+ISERROR($I$501)*1+ISERROR($J$501)*1</f>
        <v/>
      </c>
    </row>
    <row r="502" ht="26" customHeight="1">
      <c r="B502" s="33" t="inlineStr">
        <is>
          <t>A Erudição</t>
        </is>
      </c>
      <c r="C502" s="4" t="inlineStr">
        <is>
          <t>construir uma máquina que pense melhor do que ele</t>
        </is>
      </c>
      <c r="D502" s="4" t="inlineStr">
        <is>
          <t>Exploração</t>
        </is>
      </c>
      <c r="E502" s="4" t="inlineStr">
        <is>
          <t>chegar ao fundo de uma ruína antes dos saqueadores</t>
        </is>
      </c>
      <c r="F502" s="4" t="n"/>
      <c r="G502" s="4" t="inlineStr">
        <is>
          <t>Um retrato do grupo aparece pendurado numa galeria</t>
        </is>
      </c>
      <c r="H502" s="4" t="inlineStr">
        <is>
          <t>uma biblioteca itinerante a bordo de um cargueiro</t>
        </is>
      </c>
      <c r="I502" s="4" t="inlineStr">
        <is>
          <t>o alvo tem um gêmeo</t>
        </is>
      </c>
      <c r="J502" s="4" t="inlineStr">
        <is>
          <t>uma testemunha muda de lado no último minuto</t>
        </is>
      </c>
      <c r="K502" s="19">
        <f>IF(AG502&gt;0,"O Google leu como fórmula: digite de novo com ' na frente.","")</f>
        <v/>
      </c>
      <c r="N502" s="2">
        <f>N501+IF(LEN($X$502)&gt;0,1,0)</f>
        <v/>
      </c>
      <c r="P502" s="2">
        <f>P501+IF(LEN($Z$502)&gt;0,1,0)</f>
        <v/>
      </c>
      <c r="R502" s="2">
        <f>R501+IF(LEN($AB$502)&gt;0,1,0)</f>
        <v/>
      </c>
      <c r="S502" s="2">
        <f>S501+IF(LEN($AC$502)&gt;0,1,0)</f>
        <v/>
      </c>
      <c r="T502" s="2">
        <f>T501+IF(LEN($AD$502)&gt;0,1,0)</f>
        <v/>
      </c>
      <c r="U502" s="2">
        <f>U501+IF(LEN($AE$502)&gt;0,1,0)</f>
        <v/>
      </c>
      <c r="V502" s="2">
        <f>V501+IF(LEN($AF$502)&gt;0,1,0)</f>
        <v/>
      </c>
      <c r="X502" s="2">
        <f>IF(ISERROR($B$502),"",IF(ISBLANK($B$502),"",$B$502))</f>
        <v/>
      </c>
      <c r="Y502" s="2">
        <f>IF(ISERROR($C$502),"",IF(ISBLANK($C$502),"",$C$502))</f>
        <v/>
      </c>
      <c r="Z502" s="2">
        <f>IF(ISERROR($D$502),"",IF(ISBLANK($D$502),"",$D$502))</f>
        <v/>
      </c>
      <c r="AA502" s="2">
        <f>IF(ISERROR($E$502),"",IF(ISBLANK($E$502),"",$E$502))</f>
        <v/>
      </c>
      <c r="AB502" s="2">
        <f>IF(ISERROR($F$502),"",IF(ISBLANK($F$502),"",$F$502))</f>
        <v/>
      </c>
      <c r="AC502" s="2">
        <f>IF(ISERROR($G$502),"",IF(ISBLANK($G$502),"",$G$502))</f>
        <v/>
      </c>
      <c r="AD502" s="2">
        <f>IF(ISERROR($H$502),"",IF(ISBLANK($H$502),"",$H$502))</f>
        <v/>
      </c>
      <c r="AE502" s="2">
        <f>IF(ISERROR($I$502),"",IF(ISBLANK($I$502),"",$I$502))</f>
        <v/>
      </c>
      <c r="AF502" s="2">
        <f>IF(ISERROR($J$502),"",IF(ISBLANK($J$502),"",$J$502))</f>
        <v/>
      </c>
      <c r="AG502" s="2">
        <f>ISERROR($B$502)*1+ISERROR($C$502)*1+ISERROR($D$502)*1+ISERROR($E$502)*1+ISERROR($F$502)*1+ISERROR($G$502)*1+ISERROR($H$502)*1+ISERROR($I$502)*1+ISERROR($J$502)*1</f>
        <v/>
      </c>
    </row>
    <row r="503" ht="37" customHeight="1">
      <c r="B503" s="35" t="inlineStr">
        <is>
          <t>A Erudição</t>
        </is>
      </c>
      <c r="C503" s="29" t="inlineStr">
        <is>
          <t>vencer uma discussão com um gênio</t>
        </is>
      </c>
      <c r="D503" s="29" t="inlineStr">
        <is>
          <t>Exploração</t>
        </is>
      </c>
      <c r="E503" s="29" t="inlineStr">
        <is>
          <t>descobrir o que existe atrás de uma porta que ninguém abriu</t>
        </is>
      </c>
      <c r="F503" s="29" t="n"/>
      <c r="G503" s="29" t="inlineStr">
        <is>
          <t>Uma estação pede ajuda e, quando o grupo chega, diz que ninguém pediu</t>
        </is>
      </c>
      <c r="H503" s="29" t="inlineStr">
        <is>
          <t>um parque de diversões fechado numa lua de gelo</t>
        </is>
      </c>
      <c r="I503" s="29" t="inlineStr">
        <is>
          <t>a Frota de Jade emite uma ordem de inspeção</t>
        </is>
      </c>
      <c r="J503" s="29" t="inlineStr">
        <is>
          <t>o Stellaron não é a causa, é a consequência</t>
        </is>
      </c>
      <c r="K503" s="19">
        <f>IF(AG503&gt;0,"O Google leu como fórmula: digite de novo com ' na frente.","")</f>
        <v/>
      </c>
      <c r="N503" s="2">
        <f>N502+IF(LEN($X$503)&gt;0,1,0)</f>
        <v/>
      </c>
      <c r="P503" s="2">
        <f>P502+IF(LEN($Z$503)&gt;0,1,0)</f>
        <v/>
      </c>
      <c r="R503" s="2">
        <f>R502+IF(LEN($AB$503)&gt;0,1,0)</f>
        <v/>
      </c>
      <c r="S503" s="2">
        <f>S502+IF(LEN($AC$503)&gt;0,1,0)</f>
        <v/>
      </c>
      <c r="T503" s="2">
        <f>T502+IF(LEN($AD$503)&gt;0,1,0)</f>
        <v/>
      </c>
      <c r="U503" s="2">
        <f>U502+IF(LEN($AE$503)&gt;0,1,0)</f>
        <v/>
      </c>
      <c r="V503" s="2">
        <f>V502+IF(LEN($AF$503)&gt;0,1,0)</f>
        <v/>
      </c>
      <c r="X503" s="2">
        <f>IF(ISERROR($B$503),"",IF(ISBLANK($B$503),"",$B$503))</f>
        <v/>
      </c>
      <c r="Y503" s="2">
        <f>IF(ISERROR($C$503),"",IF(ISBLANK($C$503),"",$C$503))</f>
        <v/>
      </c>
      <c r="Z503" s="2">
        <f>IF(ISERROR($D$503),"",IF(ISBLANK($D$503),"",$D$503))</f>
        <v/>
      </c>
      <c r="AA503" s="2">
        <f>IF(ISERROR($E$503),"",IF(ISBLANK($E$503),"",$E$503))</f>
        <v/>
      </c>
      <c r="AB503" s="2">
        <f>IF(ISERROR($F$503),"",IF(ISBLANK($F$503),"",$F$503))</f>
        <v/>
      </c>
      <c r="AC503" s="2">
        <f>IF(ISERROR($G$503),"",IF(ISBLANK($G$503),"",$G$503))</f>
        <v/>
      </c>
      <c r="AD503" s="2">
        <f>IF(ISERROR($H$503),"",IF(ISBLANK($H$503),"",$H$503))</f>
        <v/>
      </c>
      <c r="AE503" s="2">
        <f>IF(ISERROR($I$503),"",IF(ISBLANK($I$503),"",$I$503))</f>
        <v/>
      </c>
      <c r="AF503" s="2">
        <f>IF(ISERROR($J$503),"",IF(ISBLANK($J$503),"",$J$503))</f>
        <v/>
      </c>
      <c r="AG503" s="2">
        <f>ISERROR($B$503)*1+ISERROR($C$503)*1+ISERROR($D$503)*1+ISERROR($E$503)*1+ISERROR($F$503)*1+ISERROR($G$503)*1+ISERROR($H$503)*1+ISERROR($I$503)*1+ISERROR($J$503)*1</f>
        <v/>
      </c>
    </row>
    <row r="504" ht="26" customHeight="1">
      <c r="B504" s="33" t="inlineStr">
        <is>
          <t>A Euforia</t>
        </is>
      </c>
      <c r="C504" s="4" t="inlineStr">
        <is>
          <t>rir na cara do perigo outra vez</t>
        </is>
      </c>
      <c r="D504" s="4" t="inlineStr">
        <is>
          <t>Fuga</t>
        </is>
      </c>
      <c r="E504" s="4" t="inlineStr">
        <is>
          <t>sair do planeta antes do bloqueio</t>
        </is>
      </c>
      <c r="F504" s="4" t="n"/>
      <c r="G504" s="4" t="n"/>
      <c r="H504" s="4" t="n"/>
      <c r="I504" s="4" t="n"/>
      <c r="J504" s="4" t="n"/>
      <c r="K504" s="19">
        <f>IF(AG504&gt;0,"O Google leu como fórmula: digite de novo com ' na frente.","")</f>
        <v/>
      </c>
      <c r="N504" s="2">
        <f>N503+IF(LEN($X$504)&gt;0,1,0)</f>
        <v/>
      </c>
      <c r="P504" s="2">
        <f>P503+IF(LEN($Z$504)&gt;0,1,0)</f>
        <v/>
      </c>
      <c r="R504" s="2">
        <f>R503+IF(LEN($AB$504)&gt;0,1,0)</f>
        <v/>
      </c>
      <c r="S504" s="2">
        <f>S503+IF(LEN($AC$504)&gt;0,1,0)</f>
        <v/>
      </c>
      <c r="T504" s="2">
        <f>T503+IF(LEN($AD$504)&gt;0,1,0)</f>
        <v/>
      </c>
      <c r="U504" s="2">
        <f>U503+IF(LEN($AE$504)&gt;0,1,0)</f>
        <v/>
      </c>
      <c r="V504" s="2">
        <f>V503+IF(LEN($AF$504)&gt;0,1,0)</f>
        <v/>
      </c>
      <c r="X504" s="2">
        <f>IF(ISERROR($B$504),"",IF(ISBLANK($B$504),"",$B$504))</f>
        <v/>
      </c>
      <c r="Y504" s="2">
        <f>IF(ISERROR($C$504),"",IF(ISBLANK($C$504),"",$C$504))</f>
        <v/>
      </c>
      <c r="Z504" s="2">
        <f>IF(ISERROR($D$504),"",IF(ISBLANK($D$504),"",$D$504))</f>
        <v/>
      </c>
      <c r="AA504" s="2">
        <f>IF(ISERROR($E$504),"",IF(ISBLANK($E$504),"",$E$504))</f>
        <v/>
      </c>
      <c r="AB504" s="2">
        <f>IF(ISERROR($F$504),"",IF(ISBLANK($F$504),"",$F$504))</f>
        <v/>
      </c>
      <c r="AC504" s="2">
        <f>IF(ISERROR($G$504),"",IF(ISBLANK($G$504),"",$G$504))</f>
        <v/>
      </c>
      <c r="AD504" s="2">
        <f>IF(ISERROR($H$504),"",IF(ISBLANK($H$504),"",$H$504))</f>
        <v/>
      </c>
      <c r="AE504" s="2">
        <f>IF(ISERROR($I$504),"",IF(ISBLANK($I$504),"",$I$504))</f>
        <v/>
      </c>
      <c r="AF504" s="2">
        <f>IF(ISERROR($J$504),"",IF(ISBLANK($J$504),"",$J$504))</f>
        <v/>
      </c>
      <c r="AG504" s="2">
        <f>ISERROR($B$504)*1+ISERROR($C$504)*1+ISERROR($D$504)*1+ISERROR($E$504)*1+ISERROR($F$504)*1+ISERROR($G$504)*1+ISERROR($H$504)*1+ISERROR($I$504)*1+ISERROR($J$504)*1</f>
        <v/>
      </c>
    </row>
    <row r="505" ht="26" customHeight="1">
      <c r="B505" s="35" t="inlineStr">
        <is>
          <t>A Euforia</t>
        </is>
      </c>
      <c r="C505" s="29" t="inlineStr">
        <is>
          <t>transformar uma tragédia em espetáculo</t>
        </is>
      </c>
      <c r="D505" s="29" t="inlineStr">
        <is>
          <t>Fuga</t>
        </is>
      </c>
      <c r="E505" s="29" t="inlineStr">
        <is>
          <t>escapar de uma prisão orbital com os outros detentos</t>
        </is>
      </c>
      <c r="F505" s="29" t="n"/>
      <c r="G505" s="29" t="n"/>
      <c r="H505" s="29" t="n"/>
      <c r="I505" s="29" t="n"/>
      <c r="J505" s="29" t="n"/>
      <c r="K505" s="19">
        <f>IF(AG505&gt;0,"O Google leu como fórmula: digite de novo com ' na frente.","")</f>
        <v/>
      </c>
      <c r="N505" s="2">
        <f>N504+IF(LEN($X$505)&gt;0,1,0)</f>
        <v/>
      </c>
      <c r="P505" s="2">
        <f>P504+IF(LEN($Z$505)&gt;0,1,0)</f>
        <v/>
      </c>
      <c r="R505" s="2">
        <f>R504+IF(LEN($AB$505)&gt;0,1,0)</f>
        <v/>
      </c>
      <c r="S505" s="2">
        <f>S504+IF(LEN($AC$505)&gt;0,1,0)</f>
        <v/>
      </c>
      <c r="T505" s="2">
        <f>T504+IF(LEN($AD$505)&gt;0,1,0)</f>
        <v/>
      </c>
      <c r="U505" s="2">
        <f>U504+IF(LEN($AE$505)&gt;0,1,0)</f>
        <v/>
      </c>
      <c r="V505" s="2">
        <f>V504+IF(LEN($AF$505)&gt;0,1,0)</f>
        <v/>
      </c>
      <c r="X505" s="2">
        <f>IF(ISERROR($B$505),"",IF(ISBLANK($B$505),"",$B$505))</f>
        <v/>
      </c>
      <c r="Y505" s="2">
        <f>IF(ISERROR($C$505),"",IF(ISBLANK($C$505),"",$C$505))</f>
        <v/>
      </c>
      <c r="Z505" s="2">
        <f>IF(ISERROR($D$505),"",IF(ISBLANK($D$505),"",$D$505))</f>
        <v/>
      </c>
      <c r="AA505" s="2">
        <f>IF(ISERROR($E$505),"",IF(ISBLANK($E$505),"",$E$505))</f>
        <v/>
      </c>
      <c r="AB505" s="2">
        <f>IF(ISERROR($F$505),"",IF(ISBLANK($F$505),"",$F$505))</f>
        <v/>
      </c>
      <c r="AC505" s="2">
        <f>IF(ISERROR($G$505),"",IF(ISBLANK($G$505),"",$G$505))</f>
        <v/>
      </c>
      <c r="AD505" s="2">
        <f>IF(ISERROR($H$505),"",IF(ISBLANK($H$505),"",$H$505))</f>
        <v/>
      </c>
      <c r="AE505" s="2">
        <f>IF(ISERROR($I$505),"",IF(ISBLANK($I$505),"",$I$505))</f>
        <v/>
      </c>
      <c r="AF505" s="2">
        <f>IF(ISERROR($J$505),"",IF(ISBLANK($J$505),"",$J$505))</f>
        <v/>
      </c>
      <c r="AG505" s="2">
        <f>ISERROR($B$505)*1+ISERROR($C$505)*1+ISERROR($D$505)*1+ISERROR($E$505)*1+ISERROR($F$505)*1+ISERROR($G$505)*1+ISERROR($H$505)*1+ISERROR($I$505)*1+ISERROR($J$505)*1</f>
        <v/>
      </c>
    </row>
    <row r="506" ht="26" customHeight="1">
      <c r="B506" s="33" t="inlineStr">
        <is>
          <t>A Euforia</t>
        </is>
      </c>
      <c r="C506" s="4" t="inlineStr">
        <is>
          <t>sentir o coração disparar mais uma vez</t>
        </is>
      </c>
      <c r="D506" s="4" t="inlineStr">
        <is>
          <t>Fuga</t>
        </is>
      </c>
      <c r="E506" s="4" t="inlineStr">
        <is>
          <t>atravessar a cidade com caçadores no encalço</t>
        </is>
      </c>
      <c r="F506" s="4" t="n"/>
      <c r="G506" s="4" t="n"/>
      <c r="H506" s="4" t="n"/>
      <c r="I506" s="4" t="n"/>
      <c r="J506" s="4" t="n"/>
      <c r="K506" s="19">
        <f>IF(AG506&gt;0,"O Google leu como fórmula: digite de novo com ' na frente.","")</f>
        <v/>
      </c>
      <c r="N506" s="2">
        <f>N505+IF(LEN($X$506)&gt;0,1,0)</f>
        <v/>
      </c>
      <c r="P506" s="2">
        <f>P505+IF(LEN($Z$506)&gt;0,1,0)</f>
        <v/>
      </c>
      <c r="R506" s="2">
        <f>R505+IF(LEN($AB$506)&gt;0,1,0)</f>
        <v/>
      </c>
      <c r="S506" s="2">
        <f>S505+IF(LEN($AC$506)&gt;0,1,0)</f>
        <v/>
      </c>
      <c r="T506" s="2">
        <f>T505+IF(LEN($AD$506)&gt;0,1,0)</f>
        <v/>
      </c>
      <c r="U506" s="2">
        <f>U505+IF(LEN($AE$506)&gt;0,1,0)</f>
        <v/>
      </c>
      <c r="V506" s="2">
        <f>V505+IF(LEN($AF$506)&gt;0,1,0)</f>
        <v/>
      </c>
      <c r="X506" s="2">
        <f>IF(ISERROR($B$506),"",IF(ISBLANK($B$506),"",$B$506))</f>
        <v/>
      </c>
      <c r="Y506" s="2">
        <f>IF(ISERROR($C$506),"",IF(ISBLANK($C$506),"",$C$506))</f>
        <v/>
      </c>
      <c r="Z506" s="2">
        <f>IF(ISERROR($D$506),"",IF(ISBLANK($D$506),"",$D$506))</f>
        <v/>
      </c>
      <c r="AA506" s="2">
        <f>IF(ISERROR($E$506),"",IF(ISBLANK($E$506),"",$E$506))</f>
        <v/>
      </c>
      <c r="AB506" s="2">
        <f>IF(ISERROR($F$506),"",IF(ISBLANK($F$506),"",$F$506))</f>
        <v/>
      </c>
      <c r="AC506" s="2">
        <f>IF(ISERROR($G$506),"",IF(ISBLANK($G$506),"",$G$506))</f>
        <v/>
      </c>
      <c r="AD506" s="2">
        <f>IF(ISERROR($H$506),"",IF(ISBLANK($H$506),"",$H$506))</f>
        <v/>
      </c>
      <c r="AE506" s="2">
        <f>IF(ISERROR($I$506),"",IF(ISBLANK($I$506),"",$I$506))</f>
        <v/>
      </c>
      <c r="AF506" s="2">
        <f>IF(ISERROR($J$506),"",IF(ISBLANK($J$506),"",$J$506))</f>
        <v/>
      </c>
      <c r="AG506" s="2">
        <f>ISERROR($B$506)*1+ISERROR($C$506)*1+ISERROR($D$506)*1+ISERROR($E$506)*1+ISERROR($F$506)*1+ISERROR($G$506)*1+ISERROR($H$506)*1+ISERROR($I$506)*1+ISERROR($J$506)*1</f>
        <v/>
      </c>
    </row>
    <row r="507" ht="26" customHeight="1">
      <c r="B507" s="35" t="inlineStr">
        <is>
          <t>A Euforia</t>
        </is>
      </c>
      <c r="C507" s="29" t="inlineStr">
        <is>
          <t>pregar a maior peça da galáxia</t>
        </is>
      </c>
      <c r="D507" s="29" t="inlineStr">
        <is>
          <t>Contenção de Fragmentum</t>
        </is>
      </c>
      <c r="E507" s="29" t="inlineStr">
        <is>
          <t>fechar um lacre que começou a ceder</t>
        </is>
      </c>
      <c r="F507" s="29" t="n"/>
      <c r="G507" s="29" t="n"/>
      <c r="H507" s="29" t="n"/>
      <c r="I507" s="29" t="n"/>
      <c r="J507" s="29" t="n"/>
      <c r="K507" s="19">
        <f>IF(AG507&gt;0,"O Google leu como fórmula: digite de novo com ' na frente.","")</f>
        <v/>
      </c>
      <c r="N507" s="2">
        <f>N506+IF(LEN($X$507)&gt;0,1,0)</f>
        <v/>
      </c>
      <c r="P507" s="2">
        <f>P506+IF(LEN($Z$507)&gt;0,1,0)</f>
        <v/>
      </c>
      <c r="R507" s="2">
        <f>R506+IF(LEN($AB$507)&gt;0,1,0)</f>
        <v/>
      </c>
      <c r="S507" s="2">
        <f>S506+IF(LEN($AC$507)&gt;0,1,0)</f>
        <v/>
      </c>
      <c r="T507" s="2">
        <f>T506+IF(LEN($AD$507)&gt;0,1,0)</f>
        <v/>
      </c>
      <c r="U507" s="2">
        <f>U506+IF(LEN($AE$507)&gt;0,1,0)</f>
        <v/>
      </c>
      <c r="V507" s="2">
        <f>V506+IF(LEN($AF$507)&gt;0,1,0)</f>
        <v/>
      </c>
      <c r="X507" s="2">
        <f>IF(ISERROR($B$507),"",IF(ISBLANK($B$507),"",$B$507))</f>
        <v/>
      </c>
      <c r="Y507" s="2">
        <f>IF(ISERROR($C$507),"",IF(ISBLANK($C$507),"",$C$507))</f>
        <v/>
      </c>
      <c r="Z507" s="2">
        <f>IF(ISERROR($D$507),"",IF(ISBLANK($D$507),"",$D$507))</f>
        <v/>
      </c>
      <c r="AA507" s="2">
        <f>IF(ISERROR($E$507),"",IF(ISBLANK($E$507),"",$E$507))</f>
        <v/>
      </c>
      <c r="AB507" s="2">
        <f>IF(ISERROR($F$507),"",IF(ISBLANK($F$507),"",$F$507))</f>
        <v/>
      </c>
      <c r="AC507" s="2">
        <f>IF(ISERROR($G$507),"",IF(ISBLANK($G$507),"",$G$507))</f>
        <v/>
      </c>
      <c r="AD507" s="2">
        <f>IF(ISERROR($H$507),"",IF(ISBLANK($H$507),"",$H$507))</f>
        <v/>
      </c>
      <c r="AE507" s="2">
        <f>IF(ISERROR($I$507),"",IF(ISBLANK($I$507),"",$I$507))</f>
        <v/>
      </c>
      <c r="AF507" s="2">
        <f>IF(ISERROR($J$507),"",IF(ISBLANK($J$507),"",$J$507))</f>
        <v/>
      </c>
      <c r="AG507" s="2">
        <f>ISERROR($B$507)*1+ISERROR($C$507)*1+ISERROR($D$507)*1+ISERROR($E$507)*1+ISERROR($F$507)*1+ISERROR($G$507)*1+ISERROR($H$507)*1+ISERROR($I$507)*1+ISERROR($J$507)*1</f>
        <v/>
      </c>
    </row>
    <row r="508" ht="26" customHeight="1">
      <c r="B508" s="33" t="inlineStr">
        <is>
          <t>A Euforia</t>
        </is>
      </c>
      <c r="C508" s="4" t="inlineStr">
        <is>
          <t>viver cada noite como se fosse a última</t>
        </is>
      </c>
      <c r="D508" s="4" t="inlineStr">
        <is>
          <t>Contenção de Fragmentum</t>
        </is>
      </c>
      <c r="E508" s="4" t="inlineStr">
        <is>
          <t>isolar um bairro antes que o Fragmentum se espalhe</t>
        </is>
      </c>
      <c r="F508" s="4" t="n"/>
      <c r="G508" s="4" t="n"/>
      <c r="H508" s="4" t="n"/>
      <c r="I508" s="4" t="n"/>
      <c r="J508" s="4" t="n"/>
      <c r="K508" s="19">
        <f>IF(AG508&gt;0,"O Google leu como fórmula: digite de novo com ' na frente.","")</f>
        <v/>
      </c>
      <c r="N508" s="2">
        <f>N507+IF(LEN($X$508)&gt;0,1,0)</f>
        <v/>
      </c>
      <c r="P508" s="2">
        <f>P507+IF(LEN($Z$508)&gt;0,1,0)</f>
        <v/>
      </c>
      <c r="R508" s="2">
        <f>R507+IF(LEN($AB$508)&gt;0,1,0)</f>
        <v/>
      </c>
      <c r="S508" s="2">
        <f>S507+IF(LEN($AC$508)&gt;0,1,0)</f>
        <v/>
      </c>
      <c r="T508" s="2">
        <f>T507+IF(LEN($AD$508)&gt;0,1,0)</f>
        <v/>
      </c>
      <c r="U508" s="2">
        <f>U507+IF(LEN($AE$508)&gt;0,1,0)</f>
        <v/>
      </c>
      <c r="V508" s="2">
        <f>V507+IF(LEN($AF$508)&gt;0,1,0)</f>
        <v/>
      </c>
      <c r="X508" s="2">
        <f>IF(ISERROR($B$508),"",IF(ISBLANK($B$508),"",$B$508))</f>
        <v/>
      </c>
      <c r="Y508" s="2">
        <f>IF(ISERROR($C$508),"",IF(ISBLANK($C$508),"",$C$508))</f>
        <v/>
      </c>
      <c r="Z508" s="2">
        <f>IF(ISERROR($D$508),"",IF(ISBLANK($D$508),"",$D$508))</f>
        <v/>
      </c>
      <c r="AA508" s="2">
        <f>IF(ISERROR($E$508),"",IF(ISBLANK($E$508),"",$E$508))</f>
        <v/>
      </c>
      <c r="AB508" s="2">
        <f>IF(ISERROR($F$508),"",IF(ISBLANK($F$508),"",$F$508))</f>
        <v/>
      </c>
      <c r="AC508" s="2">
        <f>IF(ISERROR($G$508),"",IF(ISBLANK($G$508),"",$G$508))</f>
        <v/>
      </c>
      <c r="AD508" s="2">
        <f>IF(ISERROR($H$508),"",IF(ISBLANK($H$508),"",$H$508))</f>
        <v/>
      </c>
      <c r="AE508" s="2">
        <f>IF(ISERROR($I$508),"",IF(ISBLANK($I$508),"",$I$508))</f>
        <v/>
      </c>
      <c r="AF508" s="2">
        <f>IF(ISERROR($J$508),"",IF(ISBLANK($J$508),"",$J$508))</f>
        <v/>
      </c>
      <c r="AG508" s="2">
        <f>ISERROR($B$508)*1+ISERROR($C$508)*1+ISERROR($D$508)*1+ISERROR($E$508)*1+ISERROR($F$508)*1+ISERROR($G$508)*1+ISERROR($H$508)*1+ISERROR($I$508)*1+ISERROR($J$508)*1</f>
        <v/>
      </c>
    </row>
    <row r="509" ht="26" customHeight="1">
      <c r="B509" s="35" t="inlineStr">
        <is>
          <t>A Caça</t>
        </is>
      </c>
      <c r="C509" s="29" t="inlineStr">
        <is>
          <t>acertar as contas com um alvo antigo</t>
        </is>
      </c>
      <c r="D509" s="29" t="inlineStr">
        <is>
          <t>Contenção de Fragmentum</t>
        </is>
      </c>
      <c r="E509" s="29" t="inlineStr">
        <is>
          <t>queimar o ninho sem derrubar a mina inteira</t>
        </is>
      </c>
      <c r="F509" s="29" t="n"/>
      <c r="G509" s="29" t="n"/>
      <c r="H509" s="29" t="n"/>
      <c r="I509" s="29" t="n"/>
      <c r="J509" s="29" t="n"/>
      <c r="K509" s="19">
        <f>IF(AG509&gt;0,"O Google leu como fórmula: digite de novo com ' na frente.","")</f>
        <v/>
      </c>
      <c r="N509" s="2">
        <f>N508+IF(LEN($X$509)&gt;0,1,0)</f>
        <v/>
      </c>
      <c r="P509" s="2">
        <f>P508+IF(LEN($Z$509)&gt;0,1,0)</f>
        <v/>
      </c>
      <c r="R509" s="2">
        <f>R508+IF(LEN($AB$509)&gt;0,1,0)</f>
        <v/>
      </c>
      <c r="S509" s="2">
        <f>S508+IF(LEN($AC$509)&gt;0,1,0)</f>
        <v/>
      </c>
      <c r="T509" s="2">
        <f>T508+IF(LEN($AD$509)&gt;0,1,0)</f>
        <v/>
      </c>
      <c r="U509" s="2">
        <f>U508+IF(LEN($AE$509)&gt;0,1,0)</f>
        <v/>
      </c>
      <c r="V509" s="2">
        <f>V508+IF(LEN($AF$509)&gt;0,1,0)</f>
        <v/>
      </c>
      <c r="X509" s="2">
        <f>IF(ISERROR($B$509),"",IF(ISBLANK($B$509),"",$B$509))</f>
        <v/>
      </c>
      <c r="Y509" s="2">
        <f>IF(ISERROR($C$509),"",IF(ISBLANK($C$509),"",$C$509))</f>
        <v/>
      </c>
      <c r="Z509" s="2">
        <f>IF(ISERROR($D$509),"",IF(ISBLANK($D$509),"",$D$509))</f>
        <v/>
      </c>
      <c r="AA509" s="2">
        <f>IF(ISERROR($E$509),"",IF(ISBLANK($E$509),"",$E$509))</f>
        <v/>
      </c>
      <c r="AB509" s="2">
        <f>IF(ISERROR($F$509),"",IF(ISBLANK($F$509),"",$F$509))</f>
        <v/>
      </c>
      <c r="AC509" s="2">
        <f>IF(ISERROR($G$509),"",IF(ISBLANK($G$509),"",$G$509))</f>
        <v/>
      </c>
      <c r="AD509" s="2">
        <f>IF(ISERROR($H$509),"",IF(ISBLANK($H$509),"",$H$509))</f>
        <v/>
      </c>
      <c r="AE509" s="2">
        <f>IF(ISERROR($I$509),"",IF(ISBLANK($I$509),"",$I$509))</f>
        <v/>
      </c>
      <c r="AF509" s="2">
        <f>IF(ISERROR($J$509),"",IF(ISBLANK($J$509),"",$J$509))</f>
        <v/>
      </c>
      <c r="AG509" s="2">
        <f>ISERROR($B$509)*1+ISERROR($C$509)*1+ISERROR($D$509)*1+ISERROR($E$509)*1+ISERROR($F$509)*1+ISERROR($G$509)*1+ISERROR($H$509)*1+ISERROR($I$509)*1+ISERROR($J$509)*1</f>
        <v/>
      </c>
    </row>
    <row r="510" ht="26" customHeight="1">
      <c r="B510" s="33" t="inlineStr">
        <is>
          <t>A Caça</t>
        </is>
      </c>
      <c r="C510" s="4" t="inlineStr">
        <is>
          <t>rastrear quem destruiu a sua casa</t>
        </is>
      </c>
      <c r="D510" s="4" t="inlineStr">
        <is>
          <t>Rastro de Stellaron</t>
        </is>
      </c>
      <c r="E510" s="4" t="inlineStr">
        <is>
          <t>seguir as anomalias até a fonte</t>
        </is>
      </c>
      <c r="F510" s="4" t="n"/>
      <c r="G510" s="4" t="n"/>
      <c r="H510" s="4" t="n"/>
      <c r="I510" s="4" t="n"/>
      <c r="J510" s="4" t="n"/>
      <c r="K510" s="19">
        <f>IF(AG510&gt;0,"O Google leu como fórmula: digite de novo com ' na frente.","")</f>
        <v/>
      </c>
      <c r="N510" s="2">
        <f>N509+IF(LEN($X$510)&gt;0,1,0)</f>
        <v/>
      </c>
      <c r="P510" s="2">
        <f>P509+IF(LEN($Z$510)&gt;0,1,0)</f>
        <v/>
      </c>
      <c r="R510" s="2">
        <f>R509+IF(LEN($AB$510)&gt;0,1,0)</f>
        <v/>
      </c>
      <c r="S510" s="2">
        <f>S509+IF(LEN($AC$510)&gt;0,1,0)</f>
        <v/>
      </c>
      <c r="T510" s="2">
        <f>T509+IF(LEN($AD$510)&gt;0,1,0)</f>
        <v/>
      </c>
      <c r="U510" s="2">
        <f>U509+IF(LEN($AE$510)&gt;0,1,0)</f>
        <v/>
      </c>
      <c r="V510" s="2">
        <f>V509+IF(LEN($AF$510)&gt;0,1,0)</f>
        <v/>
      </c>
      <c r="X510" s="2">
        <f>IF(ISERROR($B$510),"",IF(ISBLANK($B$510),"",$B$510))</f>
        <v/>
      </c>
      <c r="Y510" s="2">
        <f>IF(ISERROR($C$510),"",IF(ISBLANK($C$510),"",$C$510))</f>
        <v/>
      </c>
      <c r="Z510" s="2">
        <f>IF(ISERROR($D$510),"",IF(ISBLANK($D$510),"",$D$510))</f>
        <v/>
      </c>
      <c r="AA510" s="2">
        <f>IF(ISERROR($E$510),"",IF(ISBLANK($E$510),"",$E$510))</f>
        <v/>
      </c>
      <c r="AB510" s="2">
        <f>IF(ISERROR($F$510),"",IF(ISBLANK($F$510),"",$F$510))</f>
        <v/>
      </c>
      <c r="AC510" s="2">
        <f>IF(ISERROR($G$510),"",IF(ISBLANK($G$510),"",$G$510))</f>
        <v/>
      </c>
      <c r="AD510" s="2">
        <f>IF(ISERROR($H$510),"",IF(ISBLANK($H$510),"",$H$510))</f>
        <v/>
      </c>
      <c r="AE510" s="2">
        <f>IF(ISERROR($I$510),"",IF(ISBLANK($I$510),"",$I$510))</f>
        <v/>
      </c>
      <c r="AF510" s="2">
        <f>IF(ISERROR($J$510),"",IF(ISBLANK($J$510),"",$J$510))</f>
        <v/>
      </c>
      <c r="AG510" s="2">
        <f>ISERROR($B$510)*1+ISERROR($C$510)*1+ISERROR($D$510)*1+ISERROR($E$510)*1+ISERROR($F$510)*1+ISERROR($G$510)*1+ISERROR($H$510)*1+ISERROR($I$510)*1+ISERROR($J$510)*1</f>
        <v/>
      </c>
    </row>
    <row r="511" ht="26" customHeight="1">
      <c r="B511" s="35" t="inlineStr">
        <is>
          <t>A Caça</t>
        </is>
      </c>
      <c r="C511" s="29" t="inlineStr">
        <is>
          <t>pegar o maior predador do setor</t>
        </is>
      </c>
      <c r="D511" s="29" t="inlineStr">
        <is>
          <t>Rastro de Stellaron</t>
        </is>
      </c>
      <c r="E511" s="29" t="inlineStr">
        <is>
          <t>recuperar um fragmento antes dos Caçadores</t>
        </is>
      </c>
      <c r="F511" s="29" t="n"/>
      <c r="G511" s="29" t="n"/>
      <c r="H511" s="29" t="n"/>
      <c r="I511" s="29" t="n"/>
      <c r="J511" s="29" t="n"/>
      <c r="K511" s="19">
        <f>IF(AG511&gt;0,"O Google leu como fórmula: digite de novo com ' na frente.","")</f>
        <v/>
      </c>
      <c r="N511" s="2">
        <f>N510+IF(LEN($X$511)&gt;0,1,0)</f>
        <v/>
      </c>
      <c r="P511" s="2">
        <f>P510+IF(LEN($Z$511)&gt;0,1,0)</f>
        <v/>
      </c>
      <c r="R511" s="2">
        <f>R510+IF(LEN($AB$511)&gt;0,1,0)</f>
        <v/>
      </c>
      <c r="S511" s="2">
        <f>S510+IF(LEN($AC$511)&gt;0,1,0)</f>
        <v/>
      </c>
      <c r="T511" s="2">
        <f>T510+IF(LEN($AD$511)&gt;0,1,0)</f>
        <v/>
      </c>
      <c r="U511" s="2">
        <f>U510+IF(LEN($AE$511)&gt;0,1,0)</f>
        <v/>
      </c>
      <c r="V511" s="2">
        <f>V510+IF(LEN($AF$511)&gt;0,1,0)</f>
        <v/>
      </c>
      <c r="X511" s="2">
        <f>IF(ISERROR($B$511),"",IF(ISBLANK($B$511),"",$B$511))</f>
        <v/>
      </c>
      <c r="Y511" s="2">
        <f>IF(ISERROR($C$511),"",IF(ISBLANK($C$511),"",$C$511))</f>
        <v/>
      </c>
      <c r="Z511" s="2">
        <f>IF(ISERROR($D$511),"",IF(ISBLANK($D$511),"",$D$511))</f>
        <v/>
      </c>
      <c r="AA511" s="2">
        <f>IF(ISERROR($E$511),"",IF(ISBLANK($E$511),"",$E$511))</f>
        <v/>
      </c>
      <c r="AB511" s="2">
        <f>IF(ISERROR($F$511),"",IF(ISBLANK($F$511),"",$F$511))</f>
        <v/>
      </c>
      <c r="AC511" s="2">
        <f>IF(ISERROR($G$511),"",IF(ISBLANK($G$511),"",$G$511))</f>
        <v/>
      </c>
      <c r="AD511" s="2">
        <f>IF(ISERROR($H$511),"",IF(ISBLANK($H$511),"",$H$511))</f>
        <v/>
      </c>
      <c r="AE511" s="2">
        <f>IF(ISERROR($I$511),"",IF(ISBLANK($I$511),"",$I$511))</f>
        <v/>
      </c>
      <c r="AF511" s="2">
        <f>IF(ISERROR($J$511),"",IF(ISBLANK($J$511),"",$J$511))</f>
        <v/>
      </c>
      <c r="AG511" s="2">
        <f>ISERROR($B$511)*1+ISERROR($C$511)*1+ISERROR($D$511)*1+ISERROR($E$511)*1+ISERROR($F$511)*1+ISERROR($G$511)*1+ISERROR($H$511)*1+ISERROR($I$511)*1+ISERROR($J$511)*1</f>
        <v/>
      </c>
    </row>
    <row r="512" ht="26" customHeight="1">
      <c r="B512" s="33" t="inlineStr">
        <is>
          <t>A Caça</t>
        </is>
      </c>
      <c r="C512" s="4" t="inlineStr">
        <is>
          <t>cumprir um contrato que ninguém aceitou</t>
        </is>
      </c>
      <c r="D512" s="4" t="inlineStr">
        <is>
          <t>Rastro de Stellaron</t>
        </is>
      </c>
      <c r="E512" s="4" t="inlineStr">
        <is>
          <t>descobrir por que as estações do ano trocam em horas</t>
        </is>
      </c>
      <c r="F512" s="4" t="n"/>
      <c r="G512" s="4" t="n"/>
      <c r="H512" s="4" t="n"/>
      <c r="I512" s="4" t="n"/>
      <c r="J512" s="4" t="n"/>
      <c r="K512" s="19">
        <f>IF(AG512&gt;0,"O Google leu como fórmula: digite de novo com ' na frente.","")</f>
        <v/>
      </c>
      <c r="N512" s="2">
        <f>N511+IF(LEN($X$512)&gt;0,1,0)</f>
        <v/>
      </c>
      <c r="P512" s="2">
        <f>P511+IF(LEN($Z$512)&gt;0,1,0)</f>
        <v/>
      </c>
      <c r="R512" s="2">
        <f>R511+IF(LEN($AB$512)&gt;0,1,0)</f>
        <v/>
      </c>
      <c r="S512" s="2">
        <f>S511+IF(LEN($AC$512)&gt;0,1,0)</f>
        <v/>
      </c>
      <c r="T512" s="2">
        <f>T511+IF(LEN($AD$512)&gt;0,1,0)</f>
        <v/>
      </c>
      <c r="U512" s="2">
        <f>U511+IF(LEN($AE$512)&gt;0,1,0)</f>
        <v/>
      </c>
      <c r="V512" s="2">
        <f>V511+IF(LEN($AF$512)&gt;0,1,0)</f>
        <v/>
      </c>
      <c r="X512" s="2">
        <f>IF(ISERROR($B$512),"",IF(ISBLANK($B$512),"",$B$512))</f>
        <v/>
      </c>
      <c r="Y512" s="2">
        <f>IF(ISERROR($C$512),"",IF(ISBLANK($C$512),"",$C$512))</f>
        <v/>
      </c>
      <c r="Z512" s="2">
        <f>IF(ISERROR($D$512),"",IF(ISBLANK($D$512),"",$D$512))</f>
        <v/>
      </c>
      <c r="AA512" s="2">
        <f>IF(ISERROR($E$512),"",IF(ISBLANK($E$512),"",$E$512))</f>
        <v/>
      </c>
      <c r="AB512" s="2">
        <f>IF(ISERROR($F$512),"",IF(ISBLANK($F$512),"",$F$512))</f>
        <v/>
      </c>
      <c r="AC512" s="2">
        <f>IF(ISERROR($G$512),"",IF(ISBLANK($G$512),"",$G$512))</f>
        <v/>
      </c>
      <c r="AD512" s="2">
        <f>IF(ISERROR($H$512),"",IF(ISBLANK($H$512),"",$H$512))</f>
        <v/>
      </c>
      <c r="AE512" s="2">
        <f>IF(ISERROR($I$512),"",IF(ISBLANK($I$512),"",$I$512))</f>
        <v/>
      </c>
      <c r="AF512" s="2">
        <f>IF(ISERROR($J$512),"",IF(ISBLANK($J$512),"",$J$512))</f>
        <v/>
      </c>
      <c r="AG512" s="2">
        <f>ISERROR($B$512)*1+ISERROR($C$512)*1+ISERROR($D$512)*1+ISERROR($E$512)*1+ISERROR($F$512)*1+ISERROR($G$512)*1+ISERROR($H$512)*1+ISERROR($I$512)*1+ISERROR($J$512)*1</f>
        <v/>
      </c>
    </row>
    <row r="513" ht="15" customHeight="1">
      <c r="B513" s="8" t="inlineStr">
        <is>
          <t>Caminho (motivação)</t>
        </is>
      </c>
      <c r="C513" s="8" t="inlineStr">
        <is>
          <t>Motivação por Caminho</t>
        </is>
      </c>
      <c r="D513" s="8" t="inlineStr">
        <is>
          <t>Tipo (objetivo)</t>
        </is>
      </c>
      <c r="E513" s="8" t="inlineStr">
        <is>
          <t>Objetivo por tipo</t>
        </is>
      </c>
      <c r="F513" s="8" t="inlineStr">
        <is>
          <t>Tipo de aventura</t>
        </is>
      </c>
      <c r="G513" s="8" t="inlineStr">
        <is>
          <t>Gancho de aventura</t>
        </is>
      </c>
      <c r="H513" s="8" t="inlineStr">
        <is>
          <t>Local (sabor)</t>
        </is>
      </c>
      <c r="I513" s="8" t="inlineStr">
        <is>
          <t>Complicação</t>
        </is>
      </c>
      <c r="J513" s="8" t="inlineStr">
        <is>
          <t>Reviravolta</t>
        </is>
      </c>
      <c r="N513" s="2">
        <f>N512</f>
        <v/>
      </c>
      <c r="P513" s="2">
        <f>P512</f>
        <v/>
      </c>
      <c r="R513" s="2">
        <f>R512</f>
        <v/>
      </c>
      <c r="S513" s="2">
        <f>S512</f>
        <v/>
      </c>
      <c r="T513" s="2">
        <f>T512</f>
        <v/>
      </c>
      <c r="U513" s="2">
        <f>U512</f>
        <v/>
      </c>
      <c r="V513" s="2">
        <f>V512</f>
        <v/>
      </c>
      <c r="X513" s="2">
        <f>IF(ISERROR($B$513),"",IF(ISBLANK($B$513),"",$B$513))</f>
        <v/>
      </c>
      <c r="Y513" s="2">
        <f>IF(ISERROR($C$513),"",IF(ISBLANK($C$513),"",$C$513))</f>
        <v/>
      </c>
      <c r="Z513" s="2">
        <f>IF(ISERROR($D$513),"",IF(ISBLANK($D$513),"",$D$513))</f>
        <v/>
      </c>
      <c r="AA513" s="2">
        <f>IF(ISERROR($E$513),"",IF(ISBLANK($E$513),"",$E$513))</f>
        <v/>
      </c>
      <c r="AB513" s="2">
        <f>IF(ISERROR($F$513),"",IF(ISBLANK($F$513),"",$F$513))</f>
        <v/>
      </c>
      <c r="AC513" s="2">
        <f>IF(ISERROR($G$513),"",IF(ISBLANK($G$513),"",$G$513))</f>
        <v/>
      </c>
      <c r="AD513" s="2">
        <f>IF(ISERROR($H$513),"",IF(ISBLANK($H$513),"",$H$513))</f>
        <v/>
      </c>
      <c r="AE513" s="2">
        <f>IF(ISERROR($I$513),"",IF(ISBLANK($I$513),"",$I$513))</f>
        <v/>
      </c>
      <c r="AF513" s="2">
        <f>IF(ISERROR($J$513),"",IF(ISBLANK($J$513),"",$J$513))</f>
        <v/>
      </c>
    </row>
    <row r="514" ht="26" customHeight="1">
      <c r="B514" s="33" t="inlineStr">
        <is>
          <t>A Caça</t>
        </is>
      </c>
      <c r="C514" s="4" t="inlineStr">
        <is>
          <t>proteger os seus, caçando antes de ser caçado</t>
        </is>
      </c>
      <c r="D514" s="4" t="inlineStr">
        <is>
          <t>Cobrança de dívida</t>
        </is>
      </c>
      <c r="E514" s="4" t="inlineStr">
        <is>
          <t>cobrar um devedor que fugiu para outro mundo</t>
        </is>
      </c>
      <c r="F514" s="4" t="n"/>
      <c r="G514" s="4" t="n"/>
      <c r="H514" s="4" t="n"/>
      <c r="I514" s="4" t="n"/>
      <c r="J514" s="4" t="n"/>
      <c r="K514" s="19">
        <f>IF(AG514&gt;0,"O Google leu como fórmula: digite de novo com ' na frente.","")</f>
        <v/>
      </c>
      <c r="N514" s="2">
        <f>N513+IF(LEN($X$514)&gt;0,1,0)</f>
        <v/>
      </c>
      <c r="P514" s="2">
        <f>P513+IF(LEN($Z$514)&gt;0,1,0)</f>
        <v/>
      </c>
      <c r="R514" s="2">
        <f>R513+IF(LEN($AB$514)&gt;0,1,0)</f>
        <v/>
      </c>
      <c r="S514" s="2">
        <f>S513+IF(LEN($AC$514)&gt;0,1,0)</f>
        <v/>
      </c>
      <c r="T514" s="2">
        <f>T513+IF(LEN($AD$514)&gt;0,1,0)</f>
        <v/>
      </c>
      <c r="U514" s="2">
        <f>U513+IF(LEN($AE$514)&gt;0,1,0)</f>
        <v/>
      </c>
      <c r="V514" s="2">
        <f>V513+IF(LEN($AF$514)&gt;0,1,0)</f>
        <v/>
      </c>
      <c r="X514" s="2">
        <f>IF(ISERROR($B$514),"",IF(ISBLANK($B$514),"",$B$514))</f>
        <v/>
      </c>
      <c r="Y514" s="2">
        <f>IF(ISERROR($C$514),"",IF(ISBLANK($C$514),"",$C$514))</f>
        <v/>
      </c>
      <c r="Z514" s="2">
        <f>IF(ISERROR($D$514),"",IF(ISBLANK($D$514),"",$D$514))</f>
        <v/>
      </c>
      <c r="AA514" s="2">
        <f>IF(ISERROR($E$514),"",IF(ISBLANK($E$514),"",$E$514))</f>
        <v/>
      </c>
      <c r="AB514" s="2">
        <f>IF(ISERROR($F$514),"",IF(ISBLANK($F$514),"",$F$514))</f>
        <v/>
      </c>
      <c r="AC514" s="2">
        <f>IF(ISERROR($G$514),"",IF(ISBLANK($G$514),"",$G$514))</f>
        <v/>
      </c>
      <c r="AD514" s="2">
        <f>IF(ISERROR($H$514),"",IF(ISBLANK($H$514),"",$H$514))</f>
        <v/>
      </c>
      <c r="AE514" s="2">
        <f>IF(ISERROR($I$514),"",IF(ISBLANK($I$514),"",$I$514))</f>
        <v/>
      </c>
      <c r="AF514" s="2">
        <f>IF(ISERROR($J$514),"",IF(ISBLANK($J$514),"",$J$514))</f>
        <v/>
      </c>
      <c r="AG514" s="2">
        <f>ISERROR($B$514)*1+ISERROR($C$514)*1+ISERROR($D$514)*1+ISERROR($E$514)*1+ISERROR($F$514)*1+ISERROR($G$514)*1+ISERROR($H$514)*1+ISERROR($I$514)*1+ISERROR($J$514)*1</f>
        <v/>
      </c>
    </row>
    <row r="515" ht="26" customHeight="1">
      <c r="B515" s="35" t="inlineStr">
        <is>
          <t>A Preservação</t>
        </is>
      </c>
      <c r="C515" s="29" t="inlineStr">
        <is>
          <t>manter uma muralha de pé mais um dia</t>
        </is>
      </c>
      <c r="D515" s="29" t="inlineStr">
        <is>
          <t>Cobrança de dívida</t>
        </is>
      </c>
      <c r="E515" s="29" t="inlineStr">
        <is>
          <t>recuperar a garantia de um empréstimo</t>
        </is>
      </c>
      <c r="F515" s="29" t="n"/>
      <c r="G515" s="29" t="n"/>
      <c r="H515" s="29" t="n"/>
      <c r="I515" s="29" t="n"/>
      <c r="J515" s="29" t="n"/>
      <c r="K515" s="19">
        <f>IF(AG515&gt;0,"O Google leu como fórmula: digite de novo com ' na frente.","")</f>
        <v/>
      </c>
      <c r="N515" s="2">
        <f>N514+IF(LEN($X$515)&gt;0,1,0)</f>
        <v/>
      </c>
      <c r="P515" s="2">
        <f>P514+IF(LEN($Z$515)&gt;0,1,0)</f>
        <v/>
      </c>
      <c r="R515" s="2">
        <f>R514+IF(LEN($AB$515)&gt;0,1,0)</f>
        <v/>
      </c>
      <c r="S515" s="2">
        <f>S514+IF(LEN($AC$515)&gt;0,1,0)</f>
        <v/>
      </c>
      <c r="T515" s="2">
        <f>T514+IF(LEN($AD$515)&gt;0,1,0)</f>
        <v/>
      </c>
      <c r="U515" s="2">
        <f>U514+IF(LEN($AE$515)&gt;0,1,0)</f>
        <v/>
      </c>
      <c r="V515" s="2">
        <f>V514+IF(LEN($AF$515)&gt;0,1,0)</f>
        <v/>
      </c>
      <c r="X515" s="2">
        <f>IF(ISERROR($B$515),"",IF(ISBLANK($B$515),"",$B$515))</f>
        <v/>
      </c>
      <c r="Y515" s="2">
        <f>IF(ISERROR($C$515),"",IF(ISBLANK($C$515),"",$C$515))</f>
        <v/>
      </c>
      <c r="Z515" s="2">
        <f>IF(ISERROR($D$515),"",IF(ISBLANK($D$515),"",$D$515))</f>
        <v/>
      </c>
      <c r="AA515" s="2">
        <f>IF(ISERROR($E$515),"",IF(ISBLANK($E$515),"",$E$515))</f>
        <v/>
      </c>
      <c r="AB515" s="2">
        <f>IF(ISERROR($F$515),"",IF(ISBLANK($F$515),"",$F$515))</f>
        <v/>
      </c>
      <c r="AC515" s="2">
        <f>IF(ISERROR($G$515),"",IF(ISBLANK($G$515),"",$G$515))</f>
        <v/>
      </c>
      <c r="AD515" s="2">
        <f>IF(ISERROR($H$515),"",IF(ISBLANK($H$515),"",$H$515))</f>
        <v/>
      </c>
      <c r="AE515" s="2">
        <f>IF(ISERROR($I$515),"",IF(ISBLANK($I$515),"",$I$515))</f>
        <v/>
      </c>
      <c r="AF515" s="2">
        <f>IF(ISERROR($J$515),"",IF(ISBLANK($J$515),"",$J$515))</f>
        <v/>
      </c>
      <c r="AG515" s="2">
        <f>ISERROR($B$515)*1+ISERROR($C$515)*1+ISERROR($D$515)*1+ISERROR($E$515)*1+ISERROR($F$515)*1+ISERROR($G$515)*1+ISERROR($H$515)*1+ISERROR($I$515)*1+ISERROR($J$515)*1</f>
        <v/>
      </c>
    </row>
    <row r="516" ht="26" customHeight="1">
      <c r="B516" s="33" t="inlineStr">
        <is>
          <t>A Preservação</t>
        </is>
      </c>
      <c r="C516" s="4" t="inlineStr">
        <is>
          <t>proteger uma colônia esquecida</t>
        </is>
      </c>
      <c r="D516" s="4" t="inlineStr">
        <is>
          <t>Cobrança de dívida</t>
        </is>
      </c>
      <c r="E516" s="4" t="inlineStr">
        <is>
          <t>decidir se a dívida de um velho amigo vale uma briga</t>
        </is>
      </c>
      <c r="F516" s="4" t="n"/>
      <c r="G516" s="4" t="n"/>
      <c r="H516" s="4" t="n"/>
      <c r="I516" s="4" t="n"/>
      <c r="J516" s="4" t="n"/>
      <c r="K516" s="19">
        <f>IF(AG516&gt;0,"O Google leu como fórmula: digite de novo com ' na frente.","")</f>
        <v/>
      </c>
      <c r="N516" s="2">
        <f>N515+IF(LEN($X$516)&gt;0,1,0)</f>
        <v/>
      </c>
      <c r="P516" s="2">
        <f>P515+IF(LEN($Z$516)&gt;0,1,0)</f>
        <v/>
      </c>
      <c r="R516" s="2">
        <f>R515+IF(LEN($AB$516)&gt;0,1,0)</f>
        <v/>
      </c>
      <c r="S516" s="2">
        <f>S515+IF(LEN($AC$516)&gt;0,1,0)</f>
        <v/>
      </c>
      <c r="T516" s="2">
        <f>T515+IF(LEN($AD$516)&gt;0,1,0)</f>
        <v/>
      </c>
      <c r="U516" s="2">
        <f>U515+IF(LEN($AE$516)&gt;0,1,0)</f>
        <v/>
      </c>
      <c r="V516" s="2">
        <f>V515+IF(LEN($AF$516)&gt;0,1,0)</f>
        <v/>
      </c>
      <c r="X516" s="2">
        <f>IF(ISERROR($B$516),"",IF(ISBLANK($B$516),"",$B$516))</f>
        <v/>
      </c>
      <c r="Y516" s="2">
        <f>IF(ISERROR($C$516),"",IF(ISBLANK($C$516),"",$C$516))</f>
        <v/>
      </c>
      <c r="Z516" s="2">
        <f>IF(ISERROR($D$516),"",IF(ISBLANK($D$516),"",$D$516))</f>
        <v/>
      </c>
      <c r="AA516" s="2">
        <f>IF(ISERROR($E$516),"",IF(ISBLANK($E$516),"",$E$516))</f>
        <v/>
      </c>
      <c r="AB516" s="2">
        <f>IF(ISERROR($F$516),"",IF(ISBLANK($F$516),"",$F$516))</f>
        <v/>
      </c>
      <c r="AC516" s="2">
        <f>IF(ISERROR($G$516),"",IF(ISBLANK($G$516),"",$G$516))</f>
        <v/>
      </c>
      <c r="AD516" s="2">
        <f>IF(ISERROR($H$516),"",IF(ISBLANK($H$516),"",$H$516))</f>
        <v/>
      </c>
      <c r="AE516" s="2">
        <f>IF(ISERROR($I$516),"",IF(ISBLANK($I$516),"",$I$516))</f>
        <v/>
      </c>
      <c r="AF516" s="2">
        <f>IF(ISERROR($J$516),"",IF(ISBLANK($J$516),"",$J$516))</f>
        <v/>
      </c>
      <c r="AG516" s="2">
        <f>ISERROR($B$516)*1+ISERROR($C$516)*1+ISERROR($D$516)*1+ISERROR($E$516)*1+ISERROR($F$516)*1+ISERROR($G$516)*1+ISERROR($H$516)*1+ISERROR($I$516)*1+ISERROR($J$516)*1</f>
        <v/>
      </c>
    </row>
    <row r="517" ht="26" customHeight="1">
      <c r="B517" s="35" t="inlineStr">
        <is>
          <t>A Preservação</t>
        </is>
      </c>
      <c r="C517" s="29" t="inlineStr">
        <is>
          <t>cumprir uma promessa feita a um morto</t>
        </is>
      </c>
      <c r="D517" s="29" t="n"/>
      <c r="E517" s="29" t="n"/>
      <c r="F517" s="29" t="n"/>
      <c r="G517" s="29" t="n"/>
      <c r="H517" s="29" t="n"/>
      <c r="I517" s="29" t="n"/>
      <c r="J517" s="29" t="n"/>
      <c r="K517" s="19">
        <f>IF(AG517&gt;0,"O Google leu como fórmula: digite de novo com ' na frente.","")</f>
        <v/>
      </c>
      <c r="N517" s="2">
        <f>N516+IF(LEN($X$517)&gt;0,1,0)</f>
        <v/>
      </c>
      <c r="P517" s="2">
        <f>P516+IF(LEN($Z$517)&gt;0,1,0)</f>
        <v/>
      </c>
      <c r="R517" s="2">
        <f>R516+IF(LEN($AB$517)&gt;0,1,0)</f>
        <v/>
      </c>
      <c r="S517" s="2">
        <f>S516+IF(LEN($AC$517)&gt;0,1,0)</f>
        <v/>
      </c>
      <c r="T517" s="2">
        <f>T516+IF(LEN($AD$517)&gt;0,1,0)</f>
        <v/>
      </c>
      <c r="U517" s="2">
        <f>U516+IF(LEN($AE$517)&gt;0,1,0)</f>
        <v/>
      </c>
      <c r="V517" s="2">
        <f>V516+IF(LEN($AF$517)&gt;0,1,0)</f>
        <v/>
      </c>
      <c r="X517" s="2">
        <f>IF(ISERROR($B$517),"",IF(ISBLANK($B$517),"",$B$517))</f>
        <v/>
      </c>
      <c r="Y517" s="2">
        <f>IF(ISERROR($C$517),"",IF(ISBLANK($C$517),"",$C$517))</f>
        <v/>
      </c>
      <c r="Z517" s="2">
        <f>IF(ISERROR($D$517),"",IF(ISBLANK($D$517),"",$D$517))</f>
        <v/>
      </c>
      <c r="AA517" s="2">
        <f>IF(ISERROR($E$517),"",IF(ISBLANK($E$517),"",$E$517))</f>
        <v/>
      </c>
      <c r="AB517" s="2">
        <f>IF(ISERROR($F$517),"",IF(ISBLANK($F$517),"",$F$517))</f>
        <v/>
      </c>
      <c r="AC517" s="2">
        <f>IF(ISERROR($G$517),"",IF(ISBLANK($G$517),"",$G$517))</f>
        <v/>
      </c>
      <c r="AD517" s="2">
        <f>IF(ISERROR($H$517),"",IF(ISBLANK($H$517),"",$H$517))</f>
        <v/>
      </c>
      <c r="AE517" s="2">
        <f>IF(ISERROR($I$517),"",IF(ISBLANK($I$517),"",$I$517))</f>
        <v/>
      </c>
      <c r="AF517" s="2">
        <f>IF(ISERROR($J$517),"",IF(ISBLANK($J$517),"",$J$517))</f>
        <v/>
      </c>
      <c r="AG517" s="2">
        <f>ISERROR($B$517)*1+ISERROR($C$517)*1+ISERROR($D$517)*1+ISERROR($E$517)*1+ISERROR($F$517)*1+ISERROR($G$517)*1+ISERROR($H$517)*1+ISERROR($I$517)*1+ISERROR($J$517)*1</f>
        <v/>
      </c>
    </row>
    <row r="518" ht="26" customHeight="1">
      <c r="B518" s="33" t="inlineStr">
        <is>
          <t>A Preservação</t>
        </is>
      </c>
      <c r="C518" s="4" t="inlineStr">
        <is>
          <t>guardar a porta que não pode abrir</t>
        </is>
      </c>
      <c r="D518" s="4" t="n"/>
      <c r="E518" s="4" t="n"/>
      <c r="F518" s="4" t="n"/>
      <c r="G518" s="4" t="n"/>
      <c r="H518" s="4" t="n"/>
      <c r="I518" s="4" t="n"/>
      <c r="J518" s="4" t="n"/>
      <c r="K518" s="19">
        <f>IF(AG518&gt;0,"O Google leu como fórmula: digite de novo com ' na frente.","")</f>
        <v/>
      </c>
      <c r="N518" s="2">
        <f>N517+IF(LEN($X$518)&gt;0,1,0)</f>
        <v/>
      </c>
      <c r="P518" s="2">
        <f>P517+IF(LEN($Z$518)&gt;0,1,0)</f>
        <v/>
      </c>
      <c r="R518" s="2">
        <f>R517+IF(LEN($AB$518)&gt;0,1,0)</f>
        <v/>
      </c>
      <c r="S518" s="2">
        <f>S517+IF(LEN($AC$518)&gt;0,1,0)</f>
        <v/>
      </c>
      <c r="T518" s="2">
        <f>T517+IF(LEN($AD$518)&gt;0,1,0)</f>
        <v/>
      </c>
      <c r="U518" s="2">
        <f>U517+IF(LEN($AE$518)&gt;0,1,0)</f>
        <v/>
      </c>
      <c r="V518" s="2">
        <f>V517+IF(LEN($AF$518)&gt;0,1,0)</f>
        <v/>
      </c>
      <c r="X518" s="2">
        <f>IF(ISERROR($B$518),"",IF(ISBLANK($B$518),"",$B$518))</f>
        <v/>
      </c>
      <c r="Y518" s="2">
        <f>IF(ISERROR($C$518),"",IF(ISBLANK($C$518),"",$C$518))</f>
        <v/>
      </c>
      <c r="Z518" s="2">
        <f>IF(ISERROR($D$518),"",IF(ISBLANK($D$518),"",$D$518))</f>
        <v/>
      </c>
      <c r="AA518" s="2">
        <f>IF(ISERROR($E$518),"",IF(ISBLANK($E$518),"",$E$518))</f>
        <v/>
      </c>
      <c r="AB518" s="2">
        <f>IF(ISERROR($F$518),"",IF(ISBLANK($F$518),"",$F$518))</f>
        <v/>
      </c>
      <c r="AC518" s="2">
        <f>IF(ISERROR($G$518),"",IF(ISBLANK($G$518),"",$G$518))</f>
        <v/>
      </c>
      <c r="AD518" s="2">
        <f>IF(ISERROR($H$518),"",IF(ISBLANK($H$518),"",$H$518))</f>
        <v/>
      </c>
      <c r="AE518" s="2">
        <f>IF(ISERROR($I$518),"",IF(ISBLANK($I$518),"",$I$518))</f>
        <v/>
      </c>
      <c r="AF518" s="2">
        <f>IF(ISERROR($J$518),"",IF(ISBLANK($J$518),"",$J$518))</f>
        <v/>
      </c>
      <c r="AG518" s="2">
        <f>ISERROR($B$518)*1+ISERROR($C$518)*1+ISERROR($D$518)*1+ISERROR($E$518)*1+ISERROR($F$518)*1+ISERROR($G$518)*1+ISERROR($H$518)*1+ISERROR($I$518)*1+ISERROR($J$518)*1</f>
        <v/>
      </c>
    </row>
    <row r="519" ht="26" customHeight="1">
      <c r="B519" s="35" t="inlineStr">
        <is>
          <t>A Preservação</t>
        </is>
      </c>
      <c r="C519" s="29" t="inlineStr">
        <is>
          <t>construir um abrigo para quem não tem nenhum</t>
        </is>
      </c>
      <c r="D519" s="29" t="n"/>
      <c r="E519" s="29" t="n"/>
      <c r="F519" s="29" t="n"/>
      <c r="G519" s="29" t="n"/>
      <c r="H519" s="29" t="n"/>
      <c r="I519" s="29" t="n"/>
      <c r="J519" s="29" t="n"/>
      <c r="K519" s="19">
        <f>IF(AG519&gt;0,"O Google leu como fórmula: digite de novo com ' na frente.","")</f>
        <v/>
      </c>
      <c r="N519" s="2">
        <f>N518+IF(LEN($X$519)&gt;0,1,0)</f>
        <v/>
      </c>
      <c r="P519" s="2">
        <f>P518+IF(LEN($Z$519)&gt;0,1,0)</f>
        <v/>
      </c>
      <c r="R519" s="2">
        <f>R518+IF(LEN($AB$519)&gt;0,1,0)</f>
        <v/>
      </c>
      <c r="S519" s="2">
        <f>S518+IF(LEN($AC$519)&gt;0,1,0)</f>
        <v/>
      </c>
      <c r="T519" s="2">
        <f>T518+IF(LEN($AD$519)&gt;0,1,0)</f>
        <v/>
      </c>
      <c r="U519" s="2">
        <f>U518+IF(LEN($AE$519)&gt;0,1,0)</f>
        <v/>
      </c>
      <c r="V519" s="2">
        <f>V518+IF(LEN($AF$519)&gt;0,1,0)</f>
        <v/>
      </c>
      <c r="X519" s="2">
        <f>IF(ISERROR($B$519),"",IF(ISBLANK($B$519),"",$B$519))</f>
        <v/>
      </c>
      <c r="Y519" s="2">
        <f>IF(ISERROR($C$519),"",IF(ISBLANK($C$519),"",$C$519))</f>
        <v/>
      </c>
      <c r="Z519" s="2">
        <f>IF(ISERROR($D$519),"",IF(ISBLANK($D$519),"",$D$519))</f>
        <v/>
      </c>
      <c r="AA519" s="2">
        <f>IF(ISERROR($E$519),"",IF(ISBLANK($E$519),"",$E$519))</f>
        <v/>
      </c>
      <c r="AB519" s="2">
        <f>IF(ISERROR($F$519),"",IF(ISBLANK($F$519),"",$F$519))</f>
        <v/>
      </c>
      <c r="AC519" s="2">
        <f>IF(ISERROR($G$519),"",IF(ISBLANK($G$519),"",$G$519))</f>
        <v/>
      </c>
      <c r="AD519" s="2">
        <f>IF(ISERROR($H$519),"",IF(ISBLANK($H$519),"",$H$519))</f>
        <v/>
      </c>
      <c r="AE519" s="2">
        <f>IF(ISERROR($I$519),"",IF(ISBLANK($I$519),"",$I$519))</f>
        <v/>
      </c>
      <c r="AF519" s="2">
        <f>IF(ISERROR($J$519),"",IF(ISBLANK($J$519),"",$J$519))</f>
        <v/>
      </c>
      <c r="AG519" s="2">
        <f>ISERROR($B$519)*1+ISERROR($C$519)*1+ISERROR($D$519)*1+ISERROR($E$519)*1+ISERROR($F$519)*1+ISERROR($G$519)*1+ISERROR($H$519)*1+ISERROR($I$519)*1+ISERROR($J$519)*1</f>
        <v/>
      </c>
    </row>
    <row r="520" ht="26" customHeight="1">
      <c r="B520" s="33" t="n"/>
      <c r="C520" s="4" t="n"/>
      <c r="D520" s="4" t="n"/>
      <c r="E520" s="4" t="n"/>
      <c r="F520" s="4" t="n"/>
      <c r="G520" s="4" t="n"/>
      <c r="H520" s="4" t="n"/>
      <c r="I520" s="4" t="n"/>
      <c r="J520" s="4" t="n"/>
      <c r="K520" s="19">
        <f>IF(AG520&gt;0,"O Google leu como fórmula: digite de novo com ' na frente.","")</f>
        <v/>
      </c>
      <c r="N520" s="2">
        <f>N519+IF(LEN($X$520)&gt;0,1,0)</f>
        <v/>
      </c>
      <c r="P520" s="2">
        <f>P519+IF(LEN($Z$520)&gt;0,1,0)</f>
        <v/>
      </c>
      <c r="R520" s="2">
        <f>R519+IF(LEN($AB$520)&gt;0,1,0)</f>
        <v/>
      </c>
      <c r="S520" s="2">
        <f>S519+IF(LEN($AC$520)&gt;0,1,0)</f>
        <v/>
      </c>
      <c r="T520" s="2">
        <f>T519+IF(LEN($AD$520)&gt;0,1,0)</f>
        <v/>
      </c>
      <c r="U520" s="2">
        <f>U519+IF(LEN($AE$520)&gt;0,1,0)</f>
        <v/>
      </c>
      <c r="V520" s="2">
        <f>V519+IF(LEN($AF$520)&gt;0,1,0)</f>
        <v/>
      </c>
      <c r="X520" s="2">
        <f>IF(ISERROR($B$520),"",IF(ISBLANK($B$520),"",$B$520))</f>
        <v/>
      </c>
      <c r="Y520" s="2">
        <f>IF(ISERROR($C$520),"",IF(ISBLANK($C$520),"",$C$520))</f>
        <v/>
      </c>
      <c r="Z520" s="2">
        <f>IF(ISERROR($D$520),"",IF(ISBLANK($D$520),"",$D$520))</f>
        <v/>
      </c>
      <c r="AA520" s="2">
        <f>IF(ISERROR($E$520),"",IF(ISBLANK($E$520),"",$E$520))</f>
        <v/>
      </c>
      <c r="AB520" s="2">
        <f>IF(ISERROR($F$520),"",IF(ISBLANK($F$520),"",$F$520))</f>
        <v/>
      </c>
      <c r="AC520" s="2">
        <f>IF(ISERROR($G$520),"",IF(ISBLANK($G$520),"",$G$520))</f>
        <v/>
      </c>
      <c r="AD520" s="2">
        <f>IF(ISERROR($H$520),"",IF(ISBLANK($H$520),"",$H$520))</f>
        <v/>
      </c>
      <c r="AE520" s="2">
        <f>IF(ISERROR($I$520),"",IF(ISBLANK($I$520),"",$I$520))</f>
        <v/>
      </c>
      <c r="AF520" s="2">
        <f>IF(ISERROR($J$520),"",IF(ISBLANK($J$520),"",$J$520))</f>
        <v/>
      </c>
      <c r="AG520" s="2">
        <f>ISERROR($B$520)*1+ISERROR($C$520)*1+ISERROR($D$520)*1+ISERROR($E$520)*1+ISERROR($F$520)*1+ISERROR($G$520)*1+ISERROR($H$520)*1+ISERROR($I$520)*1+ISERROR($J$520)*1</f>
        <v/>
      </c>
    </row>
    <row r="521" ht="26" customHeight="1">
      <c r="B521" s="35" t="n"/>
      <c r="C521" s="29" t="n"/>
      <c r="D521" s="29" t="n"/>
      <c r="E521" s="29" t="n"/>
      <c r="F521" s="29" t="n"/>
      <c r="G521" s="29" t="n"/>
      <c r="H521" s="29" t="n"/>
      <c r="I521" s="29" t="n"/>
      <c r="J521" s="29" t="n"/>
      <c r="K521" s="19">
        <f>IF(AG521&gt;0,"O Google leu como fórmula: digite de novo com ' na frente.","")</f>
        <v/>
      </c>
      <c r="N521" s="2">
        <f>N520+IF(LEN($X$521)&gt;0,1,0)</f>
        <v/>
      </c>
      <c r="P521" s="2">
        <f>P520+IF(LEN($Z$521)&gt;0,1,0)</f>
        <v/>
      </c>
      <c r="R521" s="2">
        <f>R520+IF(LEN($AB$521)&gt;0,1,0)</f>
        <v/>
      </c>
      <c r="S521" s="2">
        <f>S520+IF(LEN($AC$521)&gt;0,1,0)</f>
        <v/>
      </c>
      <c r="T521" s="2">
        <f>T520+IF(LEN($AD$521)&gt;0,1,0)</f>
        <v/>
      </c>
      <c r="U521" s="2">
        <f>U520+IF(LEN($AE$521)&gt;0,1,0)</f>
        <v/>
      </c>
      <c r="V521" s="2">
        <f>V520+IF(LEN($AF$521)&gt;0,1,0)</f>
        <v/>
      </c>
      <c r="X521" s="2">
        <f>IF(ISERROR($B$521),"",IF(ISBLANK($B$521),"",$B$521))</f>
        <v/>
      </c>
      <c r="Y521" s="2">
        <f>IF(ISERROR($C$521),"",IF(ISBLANK($C$521),"",$C$521))</f>
        <v/>
      </c>
      <c r="Z521" s="2">
        <f>IF(ISERROR($D$521),"",IF(ISBLANK($D$521),"",$D$521))</f>
        <v/>
      </c>
      <c r="AA521" s="2">
        <f>IF(ISERROR($E$521),"",IF(ISBLANK($E$521),"",$E$521))</f>
        <v/>
      </c>
      <c r="AB521" s="2">
        <f>IF(ISERROR($F$521),"",IF(ISBLANK($F$521),"",$F$521))</f>
        <v/>
      </c>
      <c r="AC521" s="2">
        <f>IF(ISERROR($G$521),"",IF(ISBLANK($G$521),"",$G$521))</f>
        <v/>
      </c>
      <c r="AD521" s="2">
        <f>IF(ISERROR($H$521),"",IF(ISBLANK($H$521),"",$H$521))</f>
        <v/>
      </c>
      <c r="AE521" s="2">
        <f>IF(ISERROR($I$521),"",IF(ISBLANK($I$521),"",$I$521))</f>
        <v/>
      </c>
      <c r="AF521" s="2">
        <f>IF(ISERROR($J$521),"",IF(ISBLANK($J$521),"",$J$521))</f>
        <v/>
      </c>
      <c r="AG521" s="2">
        <f>ISERROR($B$521)*1+ISERROR($C$521)*1+ISERROR($D$521)*1+ISERROR($E$521)*1+ISERROR($F$521)*1+ISERROR($G$521)*1+ISERROR($H$521)*1+ISERROR($I$521)*1+ISERROR($J$521)*1</f>
        <v/>
      </c>
    </row>
    <row r="522" ht="26" customHeight="1">
      <c r="B522" s="33" t="n"/>
      <c r="C522" s="4" t="n"/>
      <c r="D522" s="4" t="n"/>
      <c r="E522" s="4" t="n"/>
      <c r="F522" s="4" t="n"/>
      <c r="G522" s="4" t="n"/>
      <c r="H522" s="4" t="n"/>
      <c r="I522" s="4" t="n"/>
      <c r="J522" s="4" t="n"/>
      <c r="K522" s="19">
        <f>IF(AG522&gt;0,"O Google leu como fórmula: digite de novo com ' na frente.","")</f>
        <v/>
      </c>
      <c r="N522" s="2">
        <f>N521+IF(LEN($X$522)&gt;0,1,0)</f>
        <v/>
      </c>
      <c r="P522" s="2">
        <f>P521+IF(LEN($Z$522)&gt;0,1,0)</f>
        <v/>
      </c>
      <c r="R522" s="2">
        <f>R521+IF(LEN($AB$522)&gt;0,1,0)</f>
        <v/>
      </c>
      <c r="S522" s="2">
        <f>S521+IF(LEN($AC$522)&gt;0,1,0)</f>
        <v/>
      </c>
      <c r="T522" s="2">
        <f>T521+IF(LEN($AD$522)&gt;0,1,0)</f>
        <v/>
      </c>
      <c r="U522" s="2">
        <f>U521+IF(LEN($AE$522)&gt;0,1,0)</f>
        <v/>
      </c>
      <c r="V522" s="2">
        <f>V521+IF(LEN($AF$522)&gt;0,1,0)</f>
        <v/>
      </c>
      <c r="X522" s="2">
        <f>IF(ISERROR($B$522),"",IF(ISBLANK($B$522),"",$B$522))</f>
        <v/>
      </c>
      <c r="Y522" s="2">
        <f>IF(ISERROR($C$522),"",IF(ISBLANK($C$522),"",$C$522))</f>
        <v/>
      </c>
      <c r="Z522" s="2">
        <f>IF(ISERROR($D$522),"",IF(ISBLANK($D$522),"",$D$522))</f>
        <v/>
      </c>
      <c r="AA522" s="2">
        <f>IF(ISERROR($E$522),"",IF(ISBLANK($E$522),"",$E$522))</f>
        <v/>
      </c>
      <c r="AB522" s="2">
        <f>IF(ISERROR($F$522),"",IF(ISBLANK($F$522),"",$F$522))</f>
        <v/>
      </c>
      <c r="AC522" s="2">
        <f>IF(ISERROR($G$522),"",IF(ISBLANK($G$522),"",$G$522))</f>
        <v/>
      </c>
      <c r="AD522" s="2">
        <f>IF(ISERROR($H$522),"",IF(ISBLANK($H$522),"",$H$522))</f>
        <v/>
      </c>
      <c r="AE522" s="2">
        <f>IF(ISERROR($I$522),"",IF(ISBLANK($I$522),"",$I$522))</f>
        <v/>
      </c>
      <c r="AF522" s="2">
        <f>IF(ISERROR($J$522),"",IF(ISBLANK($J$522),"",$J$522))</f>
        <v/>
      </c>
      <c r="AG522" s="2">
        <f>ISERROR($B$522)*1+ISERROR($C$522)*1+ISERROR($D$522)*1+ISERROR($E$522)*1+ISERROR($F$522)*1+ISERROR($G$522)*1+ISERROR($H$522)*1+ISERROR($I$522)*1+ISERROR($J$522)*1</f>
        <v/>
      </c>
    </row>
    <row r="523" ht="26" customHeight="1">
      <c r="B523" s="35" t="n"/>
      <c r="C523" s="29" t="n"/>
      <c r="D523" s="29" t="n"/>
      <c r="E523" s="29" t="n"/>
      <c r="F523" s="29" t="n"/>
      <c r="G523" s="29" t="n"/>
      <c r="H523" s="29" t="n"/>
      <c r="I523" s="29" t="n"/>
      <c r="J523" s="29" t="n"/>
      <c r="K523" s="19">
        <f>IF(AG523&gt;0,"O Google leu como fórmula: digite de novo com ' na frente.","")</f>
        <v/>
      </c>
      <c r="N523" s="2">
        <f>N522+IF(LEN($X$523)&gt;0,1,0)</f>
        <v/>
      </c>
      <c r="P523" s="2">
        <f>P522+IF(LEN($Z$523)&gt;0,1,0)</f>
        <v/>
      </c>
      <c r="R523" s="2">
        <f>R522+IF(LEN($AB$523)&gt;0,1,0)</f>
        <v/>
      </c>
      <c r="S523" s="2">
        <f>S522+IF(LEN($AC$523)&gt;0,1,0)</f>
        <v/>
      </c>
      <c r="T523" s="2">
        <f>T522+IF(LEN($AD$523)&gt;0,1,0)</f>
        <v/>
      </c>
      <c r="U523" s="2">
        <f>U522+IF(LEN($AE$523)&gt;0,1,0)</f>
        <v/>
      </c>
      <c r="V523" s="2">
        <f>V522+IF(LEN($AF$523)&gt;0,1,0)</f>
        <v/>
      </c>
      <c r="X523" s="2">
        <f>IF(ISERROR($B$523),"",IF(ISBLANK($B$523),"",$B$523))</f>
        <v/>
      </c>
      <c r="Y523" s="2">
        <f>IF(ISERROR($C$523),"",IF(ISBLANK($C$523),"",$C$523))</f>
        <v/>
      </c>
      <c r="Z523" s="2">
        <f>IF(ISERROR($D$523),"",IF(ISBLANK($D$523),"",$D$523))</f>
        <v/>
      </c>
      <c r="AA523" s="2">
        <f>IF(ISERROR($E$523),"",IF(ISBLANK($E$523),"",$E$523))</f>
        <v/>
      </c>
      <c r="AB523" s="2">
        <f>IF(ISERROR($F$523),"",IF(ISBLANK($F$523),"",$F$523))</f>
        <v/>
      </c>
      <c r="AC523" s="2">
        <f>IF(ISERROR($G$523),"",IF(ISBLANK($G$523),"",$G$523))</f>
        <v/>
      </c>
      <c r="AD523" s="2">
        <f>IF(ISERROR($H$523),"",IF(ISBLANK($H$523),"",$H$523))</f>
        <v/>
      </c>
      <c r="AE523" s="2">
        <f>IF(ISERROR($I$523),"",IF(ISBLANK($I$523),"",$I$523))</f>
        <v/>
      </c>
      <c r="AF523" s="2">
        <f>IF(ISERROR($J$523),"",IF(ISBLANK($J$523),"",$J$523))</f>
        <v/>
      </c>
      <c r="AG523" s="2">
        <f>ISERROR($B$523)*1+ISERROR($C$523)*1+ISERROR($D$523)*1+ISERROR($E$523)*1+ISERROR($F$523)*1+ISERROR($G$523)*1+ISERROR($H$523)*1+ISERROR($I$523)*1+ISERROR($J$523)*1</f>
        <v/>
      </c>
    </row>
    <row r="524" ht="26" customHeight="1">
      <c r="B524" s="33" t="n"/>
      <c r="C524" s="4" t="n"/>
      <c r="D524" s="4" t="n"/>
      <c r="E524" s="4" t="n"/>
      <c r="F524" s="4" t="n"/>
      <c r="G524" s="4" t="n"/>
      <c r="H524" s="4" t="n"/>
      <c r="I524" s="4" t="n"/>
      <c r="J524" s="4" t="n"/>
      <c r="K524" s="19">
        <f>IF(AG524&gt;0,"O Google leu como fórmula: digite de novo com ' na frente.","")</f>
        <v/>
      </c>
      <c r="N524" s="2">
        <f>N523+IF(LEN($X$524)&gt;0,1,0)</f>
        <v/>
      </c>
      <c r="P524" s="2">
        <f>P523+IF(LEN($Z$524)&gt;0,1,0)</f>
        <v/>
      </c>
      <c r="R524" s="2">
        <f>R523+IF(LEN($AB$524)&gt;0,1,0)</f>
        <v/>
      </c>
      <c r="S524" s="2">
        <f>S523+IF(LEN($AC$524)&gt;0,1,0)</f>
        <v/>
      </c>
      <c r="T524" s="2">
        <f>T523+IF(LEN($AD$524)&gt;0,1,0)</f>
        <v/>
      </c>
      <c r="U524" s="2">
        <f>U523+IF(LEN($AE$524)&gt;0,1,0)</f>
        <v/>
      </c>
      <c r="V524" s="2">
        <f>V523+IF(LEN($AF$524)&gt;0,1,0)</f>
        <v/>
      </c>
      <c r="X524" s="2">
        <f>IF(ISERROR($B$524),"",IF(ISBLANK($B$524),"",$B$524))</f>
        <v/>
      </c>
      <c r="Y524" s="2">
        <f>IF(ISERROR($C$524),"",IF(ISBLANK($C$524),"",$C$524))</f>
        <v/>
      </c>
      <c r="Z524" s="2">
        <f>IF(ISERROR($D$524),"",IF(ISBLANK($D$524),"",$D$524))</f>
        <v/>
      </c>
      <c r="AA524" s="2">
        <f>IF(ISERROR($E$524),"",IF(ISBLANK($E$524),"",$E$524))</f>
        <v/>
      </c>
      <c r="AB524" s="2">
        <f>IF(ISERROR($F$524),"",IF(ISBLANK($F$524),"",$F$524))</f>
        <v/>
      </c>
      <c r="AC524" s="2">
        <f>IF(ISERROR($G$524),"",IF(ISBLANK($G$524),"",$G$524))</f>
        <v/>
      </c>
      <c r="AD524" s="2">
        <f>IF(ISERROR($H$524),"",IF(ISBLANK($H$524),"",$H$524))</f>
        <v/>
      </c>
      <c r="AE524" s="2">
        <f>IF(ISERROR($I$524),"",IF(ISBLANK($I$524),"",$I$524))</f>
        <v/>
      </c>
      <c r="AF524" s="2">
        <f>IF(ISERROR($J$524),"",IF(ISBLANK($J$524),"",$J$524))</f>
        <v/>
      </c>
      <c r="AG524" s="2">
        <f>ISERROR($B$524)*1+ISERROR($C$524)*1+ISERROR($D$524)*1+ISERROR($E$524)*1+ISERROR($F$524)*1+ISERROR($G$524)*1+ISERROR($H$524)*1+ISERROR($I$524)*1+ISERROR($J$524)*1</f>
        <v/>
      </c>
    </row>
    <row r="525" ht="26" customHeight="1">
      <c r="B525" s="35" t="n"/>
      <c r="C525" s="29" t="n"/>
      <c r="D525" s="29" t="n"/>
      <c r="E525" s="29" t="n"/>
      <c r="F525" s="29" t="n"/>
      <c r="G525" s="29" t="n"/>
      <c r="H525" s="29" t="n"/>
      <c r="I525" s="29" t="n"/>
      <c r="J525" s="29" t="n"/>
      <c r="K525" s="19">
        <f>IF(AG525&gt;0,"O Google leu como fórmula: digite de novo com ' na frente.","")</f>
        <v/>
      </c>
      <c r="N525" s="2">
        <f>N524+IF(LEN($X$525)&gt;0,1,0)</f>
        <v/>
      </c>
      <c r="P525" s="2">
        <f>P524+IF(LEN($Z$525)&gt;0,1,0)</f>
        <v/>
      </c>
      <c r="R525" s="2">
        <f>R524+IF(LEN($AB$525)&gt;0,1,0)</f>
        <v/>
      </c>
      <c r="S525" s="2">
        <f>S524+IF(LEN($AC$525)&gt;0,1,0)</f>
        <v/>
      </c>
      <c r="T525" s="2">
        <f>T524+IF(LEN($AD$525)&gt;0,1,0)</f>
        <v/>
      </c>
      <c r="U525" s="2">
        <f>U524+IF(LEN($AE$525)&gt;0,1,0)</f>
        <v/>
      </c>
      <c r="V525" s="2">
        <f>V524+IF(LEN($AF$525)&gt;0,1,0)</f>
        <v/>
      </c>
      <c r="X525" s="2">
        <f>IF(ISERROR($B$525),"",IF(ISBLANK($B$525),"",$B$525))</f>
        <v/>
      </c>
      <c r="Y525" s="2">
        <f>IF(ISERROR($C$525),"",IF(ISBLANK($C$525),"",$C$525))</f>
        <v/>
      </c>
      <c r="Z525" s="2">
        <f>IF(ISERROR($D$525),"",IF(ISBLANK($D$525),"",$D$525))</f>
        <v/>
      </c>
      <c r="AA525" s="2">
        <f>IF(ISERROR($E$525),"",IF(ISBLANK($E$525),"",$E$525))</f>
        <v/>
      </c>
      <c r="AB525" s="2">
        <f>IF(ISERROR($F$525),"",IF(ISBLANK($F$525),"",$F$525))</f>
        <v/>
      </c>
      <c r="AC525" s="2">
        <f>IF(ISERROR($G$525),"",IF(ISBLANK($G$525),"",$G$525))</f>
        <v/>
      </c>
      <c r="AD525" s="2">
        <f>IF(ISERROR($H$525),"",IF(ISBLANK($H$525),"",$H$525))</f>
        <v/>
      </c>
      <c r="AE525" s="2">
        <f>IF(ISERROR($I$525),"",IF(ISBLANK($I$525),"",$I$525))</f>
        <v/>
      </c>
      <c r="AF525" s="2">
        <f>IF(ISERROR($J$525),"",IF(ISBLANK($J$525),"",$J$525))</f>
        <v/>
      </c>
      <c r="AG525" s="2">
        <f>ISERROR($B$525)*1+ISERROR($C$525)*1+ISERROR($D$525)*1+ISERROR($E$525)*1+ISERROR($F$525)*1+ISERROR($G$525)*1+ISERROR($H$525)*1+ISERROR($I$525)*1+ISERROR($J$525)*1</f>
        <v/>
      </c>
    </row>
    <row r="526" ht="26" customHeight="1">
      <c r="B526" s="33" t="n"/>
      <c r="C526" s="4" t="n"/>
      <c r="D526" s="4" t="n"/>
      <c r="E526" s="4" t="n"/>
      <c r="F526" s="4" t="n"/>
      <c r="G526" s="4" t="n"/>
      <c r="H526" s="4" t="n"/>
      <c r="I526" s="4" t="n"/>
      <c r="J526" s="4" t="n"/>
      <c r="K526" s="19">
        <f>IF(AG526&gt;0,"O Google leu como fórmula: digite de novo com ' na frente.","")</f>
        <v/>
      </c>
      <c r="N526" s="2">
        <f>N525+IF(LEN($X$526)&gt;0,1,0)</f>
        <v/>
      </c>
      <c r="P526" s="2">
        <f>P525+IF(LEN($Z$526)&gt;0,1,0)</f>
        <v/>
      </c>
      <c r="R526" s="2">
        <f>R525+IF(LEN($AB$526)&gt;0,1,0)</f>
        <v/>
      </c>
      <c r="S526" s="2">
        <f>S525+IF(LEN($AC$526)&gt;0,1,0)</f>
        <v/>
      </c>
      <c r="T526" s="2">
        <f>T525+IF(LEN($AD$526)&gt;0,1,0)</f>
        <v/>
      </c>
      <c r="U526" s="2">
        <f>U525+IF(LEN($AE$526)&gt;0,1,0)</f>
        <v/>
      </c>
      <c r="V526" s="2">
        <f>V525+IF(LEN($AF$526)&gt;0,1,0)</f>
        <v/>
      </c>
      <c r="X526" s="2">
        <f>IF(ISERROR($B$526),"",IF(ISBLANK($B$526),"",$B$526))</f>
        <v/>
      </c>
      <c r="Y526" s="2">
        <f>IF(ISERROR($C$526),"",IF(ISBLANK($C$526),"",$C$526))</f>
        <v/>
      </c>
      <c r="Z526" s="2">
        <f>IF(ISERROR($D$526),"",IF(ISBLANK($D$526),"",$D$526))</f>
        <v/>
      </c>
      <c r="AA526" s="2">
        <f>IF(ISERROR($E$526),"",IF(ISBLANK($E$526),"",$E$526))</f>
        <v/>
      </c>
      <c r="AB526" s="2">
        <f>IF(ISERROR($F$526),"",IF(ISBLANK($F$526),"",$F$526))</f>
        <v/>
      </c>
      <c r="AC526" s="2">
        <f>IF(ISERROR($G$526),"",IF(ISBLANK($G$526),"",$G$526))</f>
        <v/>
      </c>
      <c r="AD526" s="2">
        <f>IF(ISERROR($H$526),"",IF(ISBLANK($H$526),"",$H$526))</f>
        <v/>
      </c>
      <c r="AE526" s="2">
        <f>IF(ISERROR($I$526),"",IF(ISBLANK($I$526),"",$I$526))</f>
        <v/>
      </c>
      <c r="AF526" s="2">
        <f>IF(ISERROR($J$526),"",IF(ISBLANK($J$526),"",$J$526))</f>
        <v/>
      </c>
      <c r="AG526" s="2">
        <f>ISERROR($B$526)*1+ISERROR($C$526)*1+ISERROR($D$526)*1+ISERROR($E$526)*1+ISERROR($F$526)*1+ISERROR($G$526)*1+ISERROR($H$526)*1+ISERROR($I$526)*1+ISERROR($J$526)*1</f>
        <v/>
      </c>
    </row>
    <row r="527" ht="15" customHeight="1">
      <c r="B527" s="8" t="inlineStr">
        <is>
          <t>Caminho (motivação)</t>
        </is>
      </c>
      <c r="C527" s="8" t="inlineStr">
        <is>
          <t>Motivação por Caminho</t>
        </is>
      </c>
      <c r="D527" s="8" t="inlineStr">
        <is>
          <t>Tipo (objetivo)</t>
        </is>
      </c>
      <c r="E527" s="8" t="inlineStr">
        <is>
          <t>Objetivo por tipo</t>
        </is>
      </c>
      <c r="F527" s="8" t="inlineStr">
        <is>
          <t>Tipo de aventura</t>
        </is>
      </c>
      <c r="G527" s="8" t="inlineStr">
        <is>
          <t>Gancho de aventura</t>
        </is>
      </c>
      <c r="H527" s="8" t="inlineStr">
        <is>
          <t>Local (sabor)</t>
        </is>
      </c>
      <c r="I527" s="8" t="inlineStr">
        <is>
          <t>Complicação</t>
        </is>
      </c>
      <c r="J527" s="8" t="inlineStr">
        <is>
          <t>Reviravolta</t>
        </is>
      </c>
      <c r="N527" s="2">
        <f>N526</f>
        <v/>
      </c>
      <c r="P527" s="2">
        <f>P526</f>
        <v/>
      </c>
      <c r="R527" s="2">
        <f>R526</f>
        <v/>
      </c>
      <c r="S527" s="2">
        <f>S526</f>
        <v/>
      </c>
      <c r="T527" s="2">
        <f>T526</f>
        <v/>
      </c>
      <c r="U527" s="2">
        <f>U526</f>
        <v/>
      </c>
      <c r="V527" s="2">
        <f>V526</f>
        <v/>
      </c>
      <c r="X527" s="2">
        <f>IF(ISERROR($B$527),"",IF(ISBLANK($B$527),"",$B$527))</f>
        <v/>
      </c>
      <c r="Y527" s="2">
        <f>IF(ISERROR($C$527),"",IF(ISBLANK($C$527),"",$C$527))</f>
        <v/>
      </c>
      <c r="Z527" s="2">
        <f>IF(ISERROR($D$527),"",IF(ISBLANK($D$527),"",$D$527))</f>
        <v/>
      </c>
      <c r="AA527" s="2">
        <f>IF(ISERROR($E$527),"",IF(ISBLANK($E$527),"",$E$527))</f>
        <v/>
      </c>
      <c r="AB527" s="2">
        <f>IF(ISERROR($F$527),"",IF(ISBLANK($F$527),"",$F$527))</f>
        <v/>
      </c>
      <c r="AC527" s="2">
        <f>IF(ISERROR($G$527),"",IF(ISBLANK($G$527),"",$G$527))</f>
        <v/>
      </c>
      <c r="AD527" s="2">
        <f>IF(ISERROR($H$527),"",IF(ISBLANK($H$527),"",$H$527))</f>
        <v/>
      </c>
      <c r="AE527" s="2">
        <f>IF(ISERROR($I$527),"",IF(ISBLANK($I$527),"",$I$527))</f>
        <v/>
      </c>
      <c r="AF527" s="2">
        <f>IF(ISERROR($J$527),"",IF(ISBLANK($J$527),"",$J$527))</f>
        <v/>
      </c>
    </row>
    <row r="528" ht="26" customHeight="1">
      <c r="B528" s="33" t="n"/>
      <c r="C528" s="4" t="n"/>
      <c r="D528" s="4" t="n"/>
      <c r="E528" s="4" t="n"/>
      <c r="F528" s="4" t="n"/>
      <c r="G528" s="4" t="n"/>
      <c r="H528" s="4" t="n"/>
      <c r="I528" s="4" t="n"/>
      <c r="J528" s="4" t="n"/>
      <c r="K528" s="19">
        <f>IF(AG528&gt;0,"O Google leu como fórmula: digite de novo com ' na frente.","")</f>
        <v/>
      </c>
      <c r="N528" s="2">
        <f>N527+IF(LEN($X$528)&gt;0,1,0)</f>
        <v/>
      </c>
      <c r="P528" s="2">
        <f>P527+IF(LEN($Z$528)&gt;0,1,0)</f>
        <v/>
      </c>
      <c r="R528" s="2">
        <f>R527+IF(LEN($AB$528)&gt;0,1,0)</f>
        <v/>
      </c>
      <c r="S528" s="2">
        <f>S527+IF(LEN($AC$528)&gt;0,1,0)</f>
        <v/>
      </c>
      <c r="T528" s="2">
        <f>T527+IF(LEN($AD$528)&gt;0,1,0)</f>
        <v/>
      </c>
      <c r="U528" s="2">
        <f>U527+IF(LEN($AE$528)&gt;0,1,0)</f>
        <v/>
      </c>
      <c r="V528" s="2">
        <f>V527+IF(LEN($AF$528)&gt;0,1,0)</f>
        <v/>
      </c>
      <c r="X528" s="2">
        <f>IF(ISERROR($B$528),"",IF(ISBLANK($B$528),"",$B$528))</f>
        <v/>
      </c>
      <c r="Y528" s="2">
        <f>IF(ISERROR($C$528),"",IF(ISBLANK($C$528),"",$C$528))</f>
        <v/>
      </c>
      <c r="Z528" s="2">
        <f>IF(ISERROR($D$528),"",IF(ISBLANK($D$528),"",$D$528))</f>
        <v/>
      </c>
      <c r="AA528" s="2">
        <f>IF(ISERROR($E$528),"",IF(ISBLANK($E$528),"",$E$528))</f>
        <v/>
      </c>
      <c r="AB528" s="2">
        <f>IF(ISERROR($F$528),"",IF(ISBLANK($F$528),"",$F$528))</f>
        <v/>
      </c>
      <c r="AC528" s="2">
        <f>IF(ISERROR($G$528),"",IF(ISBLANK($G$528),"",$G$528))</f>
        <v/>
      </c>
      <c r="AD528" s="2">
        <f>IF(ISERROR($H$528),"",IF(ISBLANK($H$528),"",$H$528))</f>
        <v/>
      </c>
      <c r="AE528" s="2">
        <f>IF(ISERROR($I$528),"",IF(ISBLANK($I$528),"",$I$528))</f>
        <v/>
      </c>
      <c r="AF528" s="2">
        <f>IF(ISERROR($J$528),"",IF(ISBLANK($J$528),"",$J$528))</f>
        <v/>
      </c>
      <c r="AG528" s="2">
        <f>ISERROR($B$528)*1+ISERROR($C$528)*1+ISERROR($D$528)*1+ISERROR($E$528)*1+ISERROR($F$528)*1+ISERROR($G$528)*1+ISERROR($H$528)*1+ISERROR($I$528)*1+ISERROR($J$528)*1</f>
        <v/>
      </c>
    </row>
    <row r="529" ht="26" customHeight="1">
      <c r="B529" s="35" t="n"/>
      <c r="C529" s="29" t="n"/>
      <c r="D529" s="29" t="n"/>
      <c r="E529" s="29" t="n"/>
      <c r="F529" s="29" t="n"/>
      <c r="G529" s="29" t="n"/>
      <c r="H529" s="29" t="n"/>
      <c r="I529" s="29" t="n"/>
      <c r="J529" s="29" t="n"/>
      <c r="K529" s="19">
        <f>IF(AG529&gt;0,"O Google leu como fórmula: digite de novo com ' na frente.","")</f>
        <v/>
      </c>
      <c r="N529" s="2">
        <f>N528+IF(LEN($X$529)&gt;0,1,0)</f>
        <v/>
      </c>
      <c r="P529" s="2">
        <f>P528+IF(LEN($Z$529)&gt;0,1,0)</f>
        <v/>
      </c>
      <c r="R529" s="2">
        <f>R528+IF(LEN($AB$529)&gt;0,1,0)</f>
        <v/>
      </c>
      <c r="S529" s="2">
        <f>S528+IF(LEN($AC$529)&gt;0,1,0)</f>
        <v/>
      </c>
      <c r="T529" s="2">
        <f>T528+IF(LEN($AD$529)&gt;0,1,0)</f>
        <v/>
      </c>
      <c r="U529" s="2">
        <f>U528+IF(LEN($AE$529)&gt;0,1,0)</f>
        <v/>
      </c>
      <c r="V529" s="2">
        <f>V528+IF(LEN($AF$529)&gt;0,1,0)</f>
        <v/>
      </c>
      <c r="X529" s="2">
        <f>IF(ISERROR($B$529),"",IF(ISBLANK($B$529),"",$B$529))</f>
        <v/>
      </c>
      <c r="Y529" s="2">
        <f>IF(ISERROR($C$529),"",IF(ISBLANK($C$529),"",$C$529))</f>
        <v/>
      </c>
      <c r="Z529" s="2">
        <f>IF(ISERROR($D$529),"",IF(ISBLANK($D$529),"",$D$529))</f>
        <v/>
      </c>
      <c r="AA529" s="2">
        <f>IF(ISERROR($E$529),"",IF(ISBLANK($E$529),"",$E$529))</f>
        <v/>
      </c>
      <c r="AB529" s="2">
        <f>IF(ISERROR($F$529),"",IF(ISBLANK($F$529),"",$F$529))</f>
        <v/>
      </c>
      <c r="AC529" s="2">
        <f>IF(ISERROR($G$529),"",IF(ISBLANK($G$529),"",$G$529))</f>
        <v/>
      </c>
      <c r="AD529" s="2">
        <f>IF(ISERROR($H$529),"",IF(ISBLANK($H$529),"",$H$529))</f>
        <v/>
      </c>
      <c r="AE529" s="2">
        <f>IF(ISERROR($I$529),"",IF(ISBLANK($I$529),"",$I$529))</f>
        <v/>
      </c>
      <c r="AF529" s="2">
        <f>IF(ISERROR($J$529),"",IF(ISBLANK($J$529),"",$J$529))</f>
        <v/>
      </c>
      <c r="AG529" s="2">
        <f>ISERROR($B$529)*1+ISERROR($C$529)*1+ISERROR($D$529)*1+ISERROR($E$529)*1+ISERROR($F$529)*1+ISERROR($G$529)*1+ISERROR($H$529)*1+ISERROR($I$529)*1+ISERROR($J$529)*1</f>
        <v/>
      </c>
    </row>
    <row r="530" ht="26" customHeight="1">
      <c r="B530" s="33" t="n"/>
      <c r="C530" s="4" t="n"/>
      <c r="D530" s="4" t="n"/>
      <c r="E530" s="4" t="n"/>
      <c r="F530" s="4" t="n"/>
      <c r="G530" s="4" t="n"/>
      <c r="H530" s="4" t="n"/>
      <c r="I530" s="4" t="n"/>
      <c r="J530" s="4" t="n"/>
      <c r="K530" s="19">
        <f>IF(AG530&gt;0,"O Google leu como fórmula: digite de novo com ' na frente.","")</f>
        <v/>
      </c>
      <c r="N530" s="2">
        <f>N529+IF(LEN($X$530)&gt;0,1,0)</f>
        <v/>
      </c>
      <c r="P530" s="2">
        <f>P529+IF(LEN($Z$530)&gt;0,1,0)</f>
        <v/>
      </c>
      <c r="R530" s="2">
        <f>R529+IF(LEN($AB$530)&gt;0,1,0)</f>
        <v/>
      </c>
      <c r="S530" s="2">
        <f>S529+IF(LEN($AC$530)&gt;0,1,0)</f>
        <v/>
      </c>
      <c r="T530" s="2">
        <f>T529+IF(LEN($AD$530)&gt;0,1,0)</f>
        <v/>
      </c>
      <c r="U530" s="2">
        <f>U529+IF(LEN($AE$530)&gt;0,1,0)</f>
        <v/>
      </c>
      <c r="V530" s="2">
        <f>V529+IF(LEN($AF$530)&gt;0,1,0)</f>
        <v/>
      </c>
      <c r="X530" s="2">
        <f>IF(ISERROR($B$530),"",IF(ISBLANK($B$530),"",$B$530))</f>
        <v/>
      </c>
      <c r="Y530" s="2">
        <f>IF(ISERROR($C$530),"",IF(ISBLANK($C$530),"",$C$530))</f>
        <v/>
      </c>
      <c r="Z530" s="2">
        <f>IF(ISERROR($D$530),"",IF(ISBLANK($D$530),"",$D$530))</f>
        <v/>
      </c>
      <c r="AA530" s="2">
        <f>IF(ISERROR($E$530),"",IF(ISBLANK($E$530),"",$E$530))</f>
        <v/>
      </c>
      <c r="AB530" s="2">
        <f>IF(ISERROR($F$530),"",IF(ISBLANK($F$530),"",$F$530))</f>
        <v/>
      </c>
      <c r="AC530" s="2">
        <f>IF(ISERROR($G$530),"",IF(ISBLANK($G$530),"",$G$530))</f>
        <v/>
      </c>
      <c r="AD530" s="2">
        <f>IF(ISERROR($H$530),"",IF(ISBLANK($H$530),"",$H$530))</f>
        <v/>
      </c>
      <c r="AE530" s="2">
        <f>IF(ISERROR($I$530),"",IF(ISBLANK($I$530),"",$I$530))</f>
        <v/>
      </c>
      <c r="AF530" s="2">
        <f>IF(ISERROR($J$530),"",IF(ISBLANK($J$530),"",$J$530))</f>
        <v/>
      </c>
      <c r="AG530" s="2">
        <f>ISERROR($B$530)*1+ISERROR($C$530)*1+ISERROR($D$530)*1+ISERROR($E$530)*1+ISERROR($F$530)*1+ISERROR($G$530)*1+ISERROR($H$530)*1+ISERROR($I$530)*1+ISERROR($J$530)*1</f>
        <v/>
      </c>
    </row>
    <row r="531" ht="26" customHeight="1">
      <c r="B531" s="35" t="n"/>
      <c r="C531" s="29" t="n"/>
      <c r="D531" s="29" t="n"/>
      <c r="E531" s="29" t="n"/>
      <c r="F531" s="29" t="n"/>
      <c r="G531" s="29" t="n"/>
      <c r="H531" s="29" t="n"/>
      <c r="I531" s="29" t="n"/>
      <c r="J531" s="29" t="n"/>
      <c r="K531" s="19">
        <f>IF(AG531&gt;0,"O Google leu como fórmula: digite de novo com ' na frente.","")</f>
        <v/>
      </c>
      <c r="N531" s="2">
        <f>N530+IF(LEN($X$531)&gt;0,1,0)</f>
        <v/>
      </c>
      <c r="P531" s="2">
        <f>P530+IF(LEN($Z$531)&gt;0,1,0)</f>
        <v/>
      </c>
      <c r="R531" s="2">
        <f>R530+IF(LEN($AB$531)&gt;0,1,0)</f>
        <v/>
      </c>
      <c r="S531" s="2">
        <f>S530+IF(LEN($AC$531)&gt;0,1,0)</f>
        <v/>
      </c>
      <c r="T531" s="2">
        <f>T530+IF(LEN($AD$531)&gt;0,1,0)</f>
        <v/>
      </c>
      <c r="U531" s="2">
        <f>U530+IF(LEN($AE$531)&gt;0,1,0)</f>
        <v/>
      </c>
      <c r="V531" s="2">
        <f>V530+IF(LEN($AF$531)&gt;0,1,0)</f>
        <v/>
      </c>
      <c r="X531" s="2">
        <f>IF(ISERROR($B$531),"",IF(ISBLANK($B$531),"",$B$531))</f>
        <v/>
      </c>
      <c r="Y531" s="2">
        <f>IF(ISERROR($C$531),"",IF(ISBLANK($C$531),"",$C$531))</f>
        <v/>
      </c>
      <c r="Z531" s="2">
        <f>IF(ISERROR($D$531),"",IF(ISBLANK($D$531),"",$D$531))</f>
        <v/>
      </c>
      <c r="AA531" s="2">
        <f>IF(ISERROR($E$531),"",IF(ISBLANK($E$531),"",$E$531))</f>
        <v/>
      </c>
      <c r="AB531" s="2">
        <f>IF(ISERROR($F$531),"",IF(ISBLANK($F$531),"",$F$531))</f>
        <v/>
      </c>
      <c r="AC531" s="2">
        <f>IF(ISERROR($G$531),"",IF(ISBLANK($G$531),"",$G$531))</f>
        <v/>
      </c>
      <c r="AD531" s="2">
        <f>IF(ISERROR($H$531),"",IF(ISBLANK($H$531),"",$H$531))</f>
        <v/>
      </c>
      <c r="AE531" s="2">
        <f>IF(ISERROR($I$531),"",IF(ISBLANK($I$531),"",$I$531))</f>
        <v/>
      </c>
      <c r="AF531" s="2">
        <f>IF(ISERROR($J$531),"",IF(ISBLANK($J$531),"",$J$531))</f>
        <v/>
      </c>
      <c r="AG531" s="2">
        <f>ISERROR($B$531)*1+ISERROR($C$531)*1+ISERROR($D$531)*1+ISERROR($E$531)*1+ISERROR($F$531)*1+ISERROR($G$531)*1+ISERROR($H$531)*1+ISERROR($I$531)*1+ISERROR($J$531)*1</f>
        <v/>
      </c>
    </row>
    <row r="532" ht="26" customHeight="1">
      <c r="B532" s="33" t="n"/>
      <c r="C532" s="4" t="n"/>
      <c r="D532" s="4" t="n"/>
      <c r="E532" s="4" t="n"/>
      <c r="F532" s="4" t="n"/>
      <c r="G532" s="4" t="n"/>
      <c r="H532" s="4" t="n"/>
      <c r="I532" s="4" t="n"/>
      <c r="J532" s="4" t="n"/>
      <c r="K532" s="19">
        <f>IF(AG532&gt;0,"O Google leu como fórmula: digite de novo com ' na frente.","")</f>
        <v/>
      </c>
      <c r="N532" s="2">
        <f>N531+IF(LEN($X$532)&gt;0,1,0)</f>
        <v/>
      </c>
      <c r="P532" s="2">
        <f>P531+IF(LEN($Z$532)&gt;0,1,0)</f>
        <v/>
      </c>
      <c r="R532" s="2">
        <f>R531+IF(LEN($AB$532)&gt;0,1,0)</f>
        <v/>
      </c>
      <c r="S532" s="2">
        <f>S531+IF(LEN($AC$532)&gt;0,1,0)</f>
        <v/>
      </c>
      <c r="T532" s="2">
        <f>T531+IF(LEN($AD$532)&gt;0,1,0)</f>
        <v/>
      </c>
      <c r="U532" s="2">
        <f>U531+IF(LEN($AE$532)&gt;0,1,0)</f>
        <v/>
      </c>
      <c r="V532" s="2">
        <f>V531+IF(LEN($AF$532)&gt;0,1,0)</f>
        <v/>
      </c>
      <c r="X532" s="2">
        <f>IF(ISERROR($B$532),"",IF(ISBLANK($B$532),"",$B$532))</f>
        <v/>
      </c>
      <c r="Y532" s="2">
        <f>IF(ISERROR($C$532),"",IF(ISBLANK($C$532),"",$C$532))</f>
        <v/>
      </c>
      <c r="Z532" s="2">
        <f>IF(ISERROR($D$532),"",IF(ISBLANK($D$532),"",$D$532))</f>
        <v/>
      </c>
      <c r="AA532" s="2">
        <f>IF(ISERROR($E$532),"",IF(ISBLANK($E$532),"",$E$532))</f>
        <v/>
      </c>
      <c r="AB532" s="2">
        <f>IF(ISERROR($F$532),"",IF(ISBLANK($F$532),"",$F$532))</f>
        <v/>
      </c>
      <c r="AC532" s="2">
        <f>IF(ISERROR($G$532),"",IF(ISBLANK($G$532),"",$G$532))</f>
        <v/>
      </c>
      <c r="AD532" s="2">
        <f>IF(ISERROR($H$532),"",IF(ISBLANK($H$532),"",$H$532))</f>
        <v/>
      </c>
      <c r="AE532" s="2">
        <f>IF(ISERROR($I$532),"",IF(ISBLANK($I$532),"",$I$532))</f>
        <v/>
      </c>
      <c r="AF532" s="2">
        <f>IF(ISERROR($J$532),"",IF(ISBLANK($J$532),"",$J$532))</f>
        <v/>
      </c>
      <c r="AG532" s="2">
        <f>ISERROR($B$532)*1+ISERROR($C$532)*1+ISERROR($D$532)*1+ISERROR($E$532)*1+ISERROR($F$532)*1+ISERROR($G$532)*1+ISERROR($H$532)*1+ISERROR($I$532)*1+ISERROR($J$532)*1</f>
        <v/>
      </c>
    </row>
    <row r="533" ht="26" customHeight="1">
      <c r="B533" s="35" t="n"/>
      <c r="C533" s="29" t="n"/>
      <c r="D533" s="29" t="n"/>
      <c r="E533" s="29" t="n"/>
      <c r="F533" s="29" t="n"/>
      <c r="G533" s="29" t="n"/>
      <c r="H533" s="29" t="n"/>
      <c r="I533" s="29" t="n"/>
      <c r="J533" s="29" t="n"/>
      <c r="K533" s="19">
        <f>IF(AG533&gt;0,"O Google leu como fórmula: digite de novo com ' na frente.","")</f>
        <v/>
      </c>
      <c r="N533" s="2">
        <f>N532+IF(LEN($X$533)&gt;0,1,0)</f>
        <v/>
      </c>
      <c r="P533" s="2">
        <f>P532+IF(LEN($Z$533)&gt;0,1,0)</f>
        <v/>
      </c>
      <c r="R533" s="2">
        <f>R532+IF(LEN($AB$533)&gt;0,1,0)</f>
        <v/>
      </c>
      <c r="S533" s="2">
        <f>S532+IF(LEN($AC$533)&gt;0,1,0)</f>
        <v/>
      </c>
      <c r="T533" s="2">
        <f>T532+IF(LEN($AD$533)&gt;0,1,0)</f>
        <v/>
      </c>
      <c r="U533" s="2">
        <f>U532+IF(LEN($AE$533)&gt;0,1,0)</f>
        <v/>
      </c>
      <c r="V533" s="2">
        <f>V532+IF(LEN($AF$533)&gt;0,1,0)</f>
        <v/>
      </c>
      <c r="X533" s="2">
        <f>IF(ISERROR($B$533),"",IF(ISBLANK($B$533),"",$B$533))</f>
        <v/>
      </c>
      <c r="Y533" s="2">
        <f>IF(ISERROR($C$533),"",IF(ISBLANK($C$533),"",$C$533))</f>
        <v/>
      </c>
      <c r="Z533" s="2">
        <f>IF(ISERROR($D$533),"",IF(ISBLANK($D$533),"",$D$533))</f>
        <v/>
      </c>
      <c r="AA533" s="2">
        <f>IF(ISERROR($E$533),"",IF(ISBLANK($E$533),"",$E$533))</f>
        <v/>
      </c>
      <c r="AB533" s="2">
        <f>IF(ISERROR($F$533),"",IF(ISBLANK($F$533),"",$F$533))</f>
        <v/>
      </c>
      <c r="AC533" s="2">
        <f>IF(ISERROR($G$533),"",IF(ISBLANK($G$533),"",$G$533))</f>
        <v/>
      </c>
      <c r="AD533" s="2">
        <f>IF(ISERROR($H$533),"",IF(ISBLANK($H$533),"",$H$533))</f>
        <v/>
      </c>
      <c r="AE533" s="2">
        <f>IF(ISERROR($I$533),"",IF(ISBLANK($I$533),"",$I$533))</f>
        <v/>
      </c>
      <c r="AF533" s="2">
        <f>IF(ISERROR($J$533),"",IF(ISBLANK($J$533),"",$J$533))</f>
        <v/>
      </c>
      <c r="AG533" s="2">
        <f>ISERROR($B$533)*1+ISERROR($C$533)*1+ISERROR($D$533)*1+ISERROR($E$533)*1+ISERROR($F$533)*1+ISERROR($G$533)*1+ISERROR($H$533)*1+ISERROR($I$533)*1+ISERROR($J$533)*1</f>
        <v/>
      </c>
    </row>
    <row r="534" ht="26" customHeight="1">
      <c r="B534" s="33" t="n"/>
      <c r="C534" s="4" t="n"/>
      <c r="D534" s="4" t="n"/>
      <c r="E534" s="4" t="n"/>
      <c r="F534" s="4" t="n"/>
      <c r="G534" s="4" t="n"/>
      <c r="H534" s="4" t="n"/>
      <c r="I534" s="4" t="n"/>
      <c r="J534" s="4" t="n"/>
      <c r="K534" s="19">
        <f>IF(AG534&gt;0,"O Google leu como fórmula: digite de novo com ' na frente.","")</f>
        <v/>
      </c>
      <c r="N534" s="2">
        <f>N533+IF(LEN($X$534)&gt;0,1,0)</f>
        <v/>
      </c>
      <c r="P534" s="2">
        <f>P533+IF(LEN($Z$534)&gt;0,1,0)</f>
        <v/>
      </c>
      <c r="R534" s="2">
        <f>R533+IF(LEN($AB$534)&gt;0,1,0)</f>
        <v/>
      </c>
      <c r="S534" s="2">
        <f>S533+IF(LEN($AC$534)&gt;0,1,0)</f>
        <v/>
      </c>
      <c r="T534" s="2">
        <f>T533+IF(LEN($AD$534)&gt;0,1,0)</f>
        <v/>
      </c>
      <c r="U534" s="2">
        <f>U533+IF(LEN($AE$534)&gt;0,1,0)</f>
        <v/>
      </c>
      <c r="V534" s="2">
        <f>V533+IF(LEN($AF$534)&gt;0,1,0)</f>
        <v/>
      </c>
      <c r="X534" s="2">
        <f>IF(ISERROR($B$534),"",IF(ISBLANK($B$534),"",$B$534))</f>
        <v/>
      </c>
      <c r="Y534" s="2">
        <f>IF(ISERROR($C$534),"",IF(ISBLANK($C$534),"",$C$534))</f>
        <v/>
      </c>
      <c r="Z534" s="2">
        <f>IF(ISERROR($D$534),"",IF(ISBLANK($D$534),"",$D$534))</f>
        <v/>
      </c>
      <c r="AA534" s="2">
        <f>IF(ISERROR($E$534),"",IF(ISBLANK($E$534),"",$E$534))</f>
        <v/>
      </c>
      <c r="AB534" s="2">
        <f>IF(ISERROR($F$534),"",IF(ISBLANK($F$534),"",$F$534))</f>
        <v/>
      </c>
      <c r="AC534" s="2">
        <f>IF(ISERROR($G$534),"",IF(ISBLANK($G$534),"",$G$534))</f>
        <v/>
      </c>
      <c r="AD534" s="2">
        <f>IF(ISERROR($H$534),"",IF(ISBLANK($H$534),"",$H$534))</f>
        <v/>
      </c>
      <c r="AE534" s="2">
        <f>IF(ISERROR($I$534),"",IF(ISBLANK($I$534),"",$I$534))</f>
        <v/>
      </c>
      <c r="AF534" s="2">
        <f>IF(ISERROR($J$534),"",IF(ISBLANK($J$534),"",$J$534))</f>
        <v/>
      </c>
      <c r="AG534" s="2">
        <f>ISERROR($B$534)*1+ISERROR($C$534)*1+ISERROR($D$534)*1+ISERROR($E$534)*1+ISERROR($F$534)*1+ISERROR($G$534)*1+ISERROR($H$534)*1+ISERROR($I$534)*1+ISERROR($J$534)*1</f>
        <v/>
      </c>
    </row>
    <row r="535" ht="26" customHeight="1">
      <c r="B535" s="35" t="n"/>
      <c r="C535" s="29" t="n"/>
      <c r="D535" s="29" t="n"/>
      <c r="E535" s="29" t="n"/>
      <c r="F535" s="29" t="n"/>
      <c r="G535" s="29" t="n"/>
      <c r="H535" s="29" t="n"/>
      <c r="I535" s="29" t="n"/>
      <c r="J535" s="29" t="n"/>
      <c r="K535" s="19">
        <f>IF(AG535&gt;0,"O Google leu como fórmula: digite de novo com ' na frente.","")</f>
        <v/>
      </c>
      <c r="N535" s="2">
        <f>N534+IF(LEN($X$535)&gt;0,1,0)</f>
        <v/>
      </c>
      <c r="P535" s="2">
        <f>P534+IF(LEN($Z$535)&gt;0,1,0)</f>
        <v/>
      </c>
      <c r="R535" s="2">
        <f>R534+IF(LEN($AB$535)&gt;0,1,0)</f>
        <v/>
      </c>
      <c r="S535" s="2">
        <f>S534+IF(LEN($AC$535)&gt;0,1,0)</f>
        <v/>
      </c>
      <c r="T535" s="2">
        <f>T534+IF(LEN($AD$535)&gt;0,1,0)</f>
        <v/>
      </c>
      <c r="U535" s="2">
        <f>U534+IF(LEN($AE$535)&gt;0,1,0)</f>
        <v/>
      </c>
      <c r="V535" s="2">
        <f>V534+IF(LEN($AF$535)&gt;0,1,0)</f>
        <v/>
      </c>
      <c r="X535" s="2">
        <f>IF(ISERROR($B$535),"",IF(ISBLANK($B$535),"",$B$535))</f>
        <v/>
      </c>
      <c r="Y535" s="2">
        <f>IF(ISERROR($C$535),"",IF(ISBLANK($C$535),"",$C$535))</f>
        <v/>
      </c>
      <c r="Z535" s="2">
        <f>IF(ISERROR($D$535),"",IF(ISBLANK($D$535),"",$D$535))</f>
        <v/>
      </c>
      <c r="AA535" s="2">
        <f>IF(ISERROR($E$535),"",IF(ISBLANK($E$535),"",$E$535))</f>
        <v/>
      </c>
      <c r="AB535" s="2">
        <f>IF(ISERROR($F$535),"",IF(ISBLANK($F$535),"",$F$535))</f>
        <v/>
      </c>
      <c r="AC535" s="2">
        <f>IF(ISERROR($G$535),"",IF(ISBLANK($G$535),"",$G$535))</f>
        <v/>
      </c>
      <c r="AD535" s="2">
        <f>IF(ISERROR($H$535),"",IF(ISBLANK($H$535),"",$H$535))</f>
        <v/>
      </c>
      <c r="AE535" s="2">
        <f>IF(ISERROR($I$535),"",IF(ISBLANK($I$535),"",$I$535))</f>
        <v/>
      </c>
      <c r="AF535" s="2">
        <f>IF(ISERROR($J$535),"",IF(ISBLANK($J$535),"",$J$535))</f>
        <v/>
      </c>
      <c r="AG535" s="2">
        <f>ISERROR($B$535)*1+ISERROR($C$535)*1+ISERROR($D$535)*1+ISERROR($E$535)*1+ISERROR($F$535)*1+ISERROR($G$535)*1+ISERROR($H$535)*1+ISERROR($I$535)*1+ISERROR($J$535)*1</f>
        <v/>
      </c>
    </row>
    <row r="536" ht="26" customHeight="1">
      <c r="B536" s="33" t="n"/>
      <c r="C536" s="4" t="n"/>
      <c r="D536" s="4" t="n"/>
      <c r="E536" s="4" t="n"/>
      <c r="F536" s="4" t="n"/>
      <c r="G536" s="4" t="n"/>
      <c r="H536" s="4" t="n"/>
      <c r="I536" s="4" t="n"/>
      <c r="J536" s="4" t="n"/>
      <c r="K536" s="19">
        <f>IF(AG536&gt;0,"O Google leu como fórmula: digite de novo com ' na frente.","")</f>
        <v/>
      </c>
      <c r="N536" s="2">
        <f>N535+IF(LEN($X$536)&gt;0,1,0)</f>
        <v/>
      </c>
      <c r="P536" s="2">
        <f>P535+IF(LEN($Z$536)&gt;0,1,0)</f>
        <v/>
      </c>
      <c r="R536" s="2">
        <f>R535+IF(LEN($AB$536)&gt;0,1,0)</f>
        <v/>
      </c>
      <c r="S536" s="2">
        <f>S535+IF(LEN($AC$536)&gt;0,1,0)</f>
        <v/>
      </c>
      <c r="T536" s="2">
        <f>T535+IF(LEN($AD$536)&gt;0,1,0)</f>
        <v/>
      </c>
      <c r="U536" s="2">
        <f>U535+IF(LEN($AE$536)&gt;0,1,0)</f>
        <v/>
      </c>
      <c r="V536" s="2">
        <f>V535+IF(LEN($AF$536)&gt;0,1,0)</f>
        <v/>
      </c>
      <c r="X536" s="2">
        <f>IF(ISERROR($B$536),"",IF(ISBLANK($B$536),"",$B$536))</f>
        <v/>
      </c>
      <c r="Y536" s="2">
        <f>IF(ISERROR($C$536),"",IF(ISBLANK($C$536),"",$C$536))</f>
        <v/>
      </c>
      <c r="Z536" s="2">
        <f>IF(ISERROR($D$536),"",IF(ISBLANK($D$536),"",$D$536))</f>
        <v/>
      </c>
      <c r="AA536" s="2">
        <f>IF(ISERROR($E$536),"",IF(ISBLANK($E$536),"",$E$536))</f>
        <v/>
      </c>
      <c r="AB536" s="2">
        <f>IF(ISERROR($F$536),"",IF(ISBLANK($F$536),"",$F$536))</f>
        <v/>
      </c>
      <c r="AC536" s="2">
        <f>IF(ISERROR($G$536),"",IF(ISBLANK($G$536),"",$G$536))</f>
        <v/>
      </c>
      <c r="AD536" s="2">
        <f>IF(ISERROR($H$536),"",IF(ISBLANK($H$536),"",$H$536))</f>
        <v/>
      </c>
      <c r="AE536" s="2">
        <f>IF(ISERROR($I$536),"",IF(ISBLANK($I$536),"",$I$536))</f>
        <v/>
      </c>
      <c r="AF536" s="2">
        <f>IF(ISERROR($J$536),"",IF(ISBLANK($J$536),"",$J$536))</f>
        <v/>
      </c>
      <c r="AG536" s="2">
        <f>ISERROR($B$536)*1+ISERROR($C$536)*1+ISERROR($D$536)*1+ISERROR($E$536)*1+ISERROR($F$536)*1+ISERROR($G$536)*1+ISERROR($H$536)*1+ISERROR($I$536)*1+ISERROR($J$536)*1</f>
        <v/>
      </c>
    </row>
    <row r="537" ht="26" customHeight="1">
      <c r="B537" s="35" t="n"/>
      <c r="C537" s="29" t="n"/>
      <c r="D537" s="29" t="n"/>
      <c r="E537" s="29" t="n"/>
      <c r="F537" s="29" t="n"/>
      <c r="G537" s="29" t="n"/>
      <c r="H537" s="29" t="n"/>
      <c r="I537" s="29" t="n"/>
      <c r="J537" s="29" t="n"/>
      <c r="K537" s="19">
        <f>IF(AG537&gt;0,"O Google leu como fórmula: digite de novo com ' na frente.","")</f>
        <v/>
      </c>
      <c r="N537" s="2">
        <f>N536+IF(LEN($X$537)&gt;0,1,0)</f>
        <v/>
      </c>
      <c r="P537" s="2">
        <f>P536+IF(LEN($Z$537)&gt;0,1,0)</f>
        <v/>
      </c>
      <c r="R537" s="2">
        <f>R536+IF(LEN($AB$537)&gt;0,1,0)</f>
        <v/>
      </c>
      <c r="S537" s="2">
        <f>S536+IF(LEN($AC$537)&gt;0,1,0)</f>
        <v/>
      </c>
      <c r="T537" s="2">
        <f>T536+IF(LEN($AD$537)&gt;0,1,0)</f>
        <v/>
      </c>
      <c r="U537" s="2">
        <f>U536+IF(LEN($AE$537)&gt;0,1,0)</f>
        <v/>
      </c>
      <c r="V537" s="2">
        <f>V536+IF(LEN($AF$537)&gt;0,1,0)</f>
        <v/>
      </c>
      <c r="X537" s="2">
        <f>IF(ISERROR($B$537),"",IF(ISBLANK($B$537),"",$B$537))</f>
        <v/>
      </c>
      <c r="Y537" s="2">
        <f>IF(ISERROR($C$537),"",IF(ISBLANK($C$537),"",$C$537))</f>
        <v/>
      </c>
      <c r="Z537" s="2">
        <f>IF(ISERROR($D$537),"",IF(ISBLANK($D$537),"",$D$537))</f>
        <v/>
      </c>
      <c r="AA537" s="2">
        <f>IF(ISERROR($E$537),"",IF(ISBLANK($E$537),"",$E$537))</f>
        <v/>
      </c>
      <c r="AB537" s="2">
        <f>IF(ISERROR($F$537),"",IF(ISBLANK($F$537),"",$F$537))</f>
        <v/>
      </c>
      <c r="AC537" s="2">
        <f>IF(ISERROR($G$537),"",IF(ISBLANK($G$537),"",$G$537))</f>
        <v/>
      </c>
      <c r="AD537" s="2">
        <f>IF(ISERROR($H$537),"",IF(ISBLANK($H$537),"",$H$537))</f>
        <v/>
      </c>
      <c r="AE537" s="2">
        <f>IF(ISERROR($I$537),"",IF(ISBLANK($I$537),"",$I$537))</f>
        <v/>
      </c>
      <c r="AF537" s="2">
        <f>IF(ISERROR($J$537),"",IF(ISBLANK($J$537),"",$J$537))</f>
        <v/>
      </c>
      <c r="AG537" s="2">
        <f>ISERROR($B$537)*1+ISERROR($C$537)*1+ISERROR($D$537)*1+ISERROR($E$537)*1+ISERROR($F$537)*1+ISERROR($G$537)*1+ISERROR($H$537)*1+ISERROR($I$537)*1+ISERROR($J$537)*1</f>
        <v/>
      </c>
    </row>
    <row r="538" ht="26" customHeight="1">
      <c r="B538" s="33" t="n"/>
      <c r="C538" s="4" t="n"/>
      <c r="D538" s="4" t="n"/>
      <c r="E538" s="4" t="n"/>
      <c r="F538" s="4" t="n"/>
      <c r="G538" s="4" t="n"/>
      <c r="H538" s="4" t="n"/>
      <c r="I538" s="4" t="n"/>
      <c r="J538" s="4" t="n"/>
      <c r="K538" s="19">
        <f>IF(AG538&gt;0,"O Google leu como fórmula: digite de novo com ' na frente.","")</f>
        <v/>
      </c>
      <c r="N538" s="2">
        <f>N537+IF(LEN($X$538)&gt;0,1,0)</f>
        <v/>
      </c>
      <c r="P538" s="2">
        <f>P537+IF(LEN($Z$538)&gt;0,1,0)</f>
        <v/>
      </c>
      <c r="R538" s="2">
        <f>R537+IF(LEN($AB$538)&gt;0,1,0)</f>
        <v/>
      </c>
      <c r="S538" s="2">
        <f>S537+IF(LEN($AC$538)&gt;0,1,0)</f>
        <v/>
      </c>
      <c r="T538" s="2">
        <f>T537+IF(LEN($AD$538)&gt;0,1,0)</f>
        <v/>
      </c>
      <c r="U538" s="2">
        <f>U537+IF(LEN($AE$538)&gt;0,1,0)</f>
        <v/>
      </c>
      <c r="V538" s="2">
        <f>V537+IF(LEN($AF$538)&gt;0,1,0)</f>
        <v/>
      </c>
      <c r="X538" s="2">
        <f>IF(ISERROR($B$538),"",IF(ISBLANK($B$538),"",$B$538))</f>
        <v/>
      </c>
      <c r="Y538" s="2">
        <f>IF(ISERROR($C$538),"",IF(ISBLANK($C$538),"",$C$538))</f>
        <v/>
      </c>
      <c r="Z538" s="2">
        <f>IF(ISERROR($D$538),"",IF(ISBLANK($D$538),"",$D$538))</f>
        <v/>
      </c>
      <c r="AA538" s="2">
        <f>IF(ISERROR($E$538),"",IF(ISBLANK($E$538),"",$E$538))</f>
        <v/>
      </c>
      <c r="AB538" s="2">
        <f>IF(ISERROR($F$538),"",IF(ISBLANK($F$538),"",$F$538))</f>
        <v/>
      </c>
      <c r="AC538" s="2">
        <f>IF(ISERROR($G$538),"",IF(ISBLANK($G$538),"",$G$538))</f>
        <v/>
      </c>
      <c r="AD538" s="2">
        <f>IF(ISERROR($H$538),"",IF(ISBLANK($H$538),"",$H$538))</f>
        <v/>
      </c>
      <c r="AE538" s="2">
        <f>IF(ISERROR($I$538),"",IF(ISBLANK($I$538),"",$I$538))</f>
        <v/>
      </c>
      <c r="AF538" s="2">
        <f>IF(ISERROR($J$538),"",IF(ISBLANK($J$538),"",$J$538))</f>
        <v/>
      </c>
      <c r="AG538" s="2">
        <f>ISERROR($B$538)*1+ISERROR($C$538)*1+ISERROR($D$538)*1+ISERROR($E$538)*1+ISERROR($F$538)*1+ISERROR($G$538)*1+ISERROR($H$538)*1+ISERROR($I$538)*1+ISERROR($J$538)*1</f>
        <v/>
      </c>
    </row>
    <row r="539" ht="26" customHeight="1">
      <c r="B539" s="35" t="n"/>
      <c r="C539" s="29" t="n"/>
      <c r="D539" s="29" t="n"/>
      <c r="E539" s="29" t="n"/>
      <c r="F539" s="29" t="n"/>
      <c r="G539" s="29" t="n"/>
      <c r="H539" s="29" t="n"/>
      <c r="I539" s="29" t="n"/>
      <c r="J539" s="29" t="n"/>
      <c r="K539" s="19">
        <f>IF(AG539&gt;0,"O Google leu como fórmula: digite de novo com ' na frente.","")</f>
        <v/>
      </c>
      <c r="N539" s="2">
        <f>N538+IF(LEN($X$539)&gt;0,1,0)</f>
        <v/>
      </c>
      <c r="P539" s="2">
        <f>P538+IF(LEN($Z$539)&gt;0,1,0)</f>
        <v/>
      </c>
      <c r="R539" s="2">
        <f>R538+IF(LEN($AB$539)&gt;0,1,0)</f>
        <v/>
      </c>
      <c r="S539" s="2">
        <f>S538+IF(LEN($AC$539)&gt;0,1,0)</f>
        <v/>
      </c>
      <c r="T539" s="2">
        <f>T538+IF(LEN($AD$539)&gt;0,1,0)</f>
        <v/>
      </c>
      <c r="U539" s="2">
        <f>U538+IF(LEN($AE$539)&gt;0,1,0)</f>
        <v/>
      </c>
      <c r="V539" s="2">
        <f>V538+IF(LEN($AF$539)&gt;0,1,0)</f>
        <v/>
      </c>
      <c r="X539" s="2">
        <f>IF(ISERROR($B$539),"",IF(ISBLANK($B$539),"",$B$539))</f>
        <v/>
      </c>
      <c r="Y539" s="2">
        <f>IF(ISERROR($C$539),"",IF(ISBLANK($C$539),"",$C$539))</f>
        <v/>
      </c>
      <c r="Z539" s="2">
        <f>IF(ISERROR($D$539),"",IF(ISBLANK($D$539),"",$D$539))</f>
        <v/>
      </c>
      <c r="AA539" s="2">
        <f>IF(ISERROR($E$539),"",IF(ISBLANK($E$539),"",$E$539))</f>
        <v/>
      </c>
      <c r="AB539" s="2">
        <f>IF(ISERROR($F$539),"",IF(ISBLANK($F$539),"",$F$539))</f>
        <v/>
      </c>
      <c r="AC539" s="2">
        <f>IF(ISERROR($G$539),"",IF(ISBLANK($G$539),"",$G$539))</f>
        <v/>
      </c>
      <c r="AD539" s="2">
        <f>IF(ISERROR($H$539),"",IF(ISBLANK($H$539),"",$H$539))</f>
        <v/>
      </c>
      <c r="AE539" s="2">
        <f>IF(ISERROR($I$539),"",IF(ISBLANK($I$539),"",$I$539))</f>
        <v/>
      </c>
      <c r="AF539" s="2">
        <f>IF(ISERROR($J$539),"",IF(ISBLANK($J$539),"",$J$539))</f>
        <v/>
      </c>
      <c r="AG539" s="2">
        <f>ISERROR($B$539)*1+ISERROR($C$539)*1+ISERROR($D$539)*1+ISERROR($E$539)*1+ISERROR($F$539)*1+ISERROR($G$539)*1+ISERROR($H$539)*1+ISERROR($I$539)*1+ISERROR($J$539)*1</f>
        <v/>
      </c>
    </row>
    <row r="540" ht="26" customHeight="1">
      <c r="B540" s="33" t="n"/>
      <c r="C540" s="4" t="n"/>
      <c r="D540" s="4" t="n"/>
      <c r="E540" s="4" t="n"/>
      <c r="F540" s="4" t="n"/>
      <c r="G540" s="4" t="n"/>
      <c r="H540" s="4" t="n"/>
      <c r="I540" s="4" t="n"/>
      <c r="J540" s="4" t="n"/>
      <c r="K540" s="19">
        <f>IF(AG540&gt;0,"O Google leu como fórmula: digite de novo com ' na frente.","")</f>
        <v/>
      </c>
      <c r="N540" s="2">
        <f>N539+IF(LEN($X$540)&gt;0,1,0)</f>
        <v/>
      </c>
      <c r="P540" s="2">
        <f>P539+IF(LEN($Z$540)&gt;0,1,0)</f>
        <v/>
      </c>
      <c r="R540" s="2">
        <f>R539+IF(LEN($AB$540)&gt;0,1,0)</f>
        <v/>
      </c>
      <c r="S540" s="2">
        <f>S539+IF(LEN($AC$540)&gt;0,1,0)</f>
        <v/>
      </c>
      <c r="T540" s="2">
        <f>T539+IF(LEN($AD$540)&gt;0,1,0)</f>
        <v/>
      </c>
      <c r="U540" s="2">
        <f>U539+IF(LEN($AE$540)&gt;0,1,0)</f>
        <v/>
      </c>
      <c r="V540" s="2">
        <f>V539+IF(LEN($AF$540)&gt;0,1,0)</f>
        <v/>
      </c>
      <c r="X540" s="2">
        <f>IF(ISERROR($B$540),"",IF(ISBLANK($B$540),"",$B$540))</f>
        <v/>
      </c>
      <c r="Y540" s="2">
        <f>IF(ISERROR($C$540),"",IF(ISBLANK($C$540),"",$C$540))</f>
        <v/>
      </c>
      <c r="Z540" s="2">
        <f>IF(ISERROR($D$540),"",IF(ISBLANK($D$540),"",$D$540))</f>
        <v/>
      </c>
      <c r="AA540" s="2">
        <f>IF(ISERROR($E$540),"",IF(ISBLANK($E$540),"",$E$540))</f>
        <v/>
      </c>
      <c r="AB540" s="2">
        <f>IF(ISERROR($F$540),"",IF(ISBLANK($F$540),"",$F$540))</f>
        <v/>
      </c>
      <c r="AC540" s="2">
        <f>IF(ISERROR($G$540),"",IF(ISBLANK($G$540),"",$G$540))</f>
        <v/>
      </c>
      <c r="AD540" s="2">
        <f>IF(ISERROR($H$540),"",IF(ISBLANK($H$540),"",$H$540))</f>
        <v/>
      </c>
      <c r="AE540" s="2">
        <f>IF(ISERROR($I$540),"",IF(ISBLANK($I$540),"",$I$540))</f>
        <v/>
      </c>
      <c r="AF540" s="2">
        <f>IF(ISERROR($J$540),"",IF(ISBLANK($J$540),"",$J$540))</f>
        <v/>
      </c>
      <c r="AG540" s="2">
        <f>ISERROR($B$540)*1+ISERROR($C$540)*1+ISERROR($D$540)*1+ISERROR($E$540)*1+ISERROR($F$540)*1+ISERROR($G$540)*1+ISERROR($H$540)*1+ISERROR($I$540)*1+ISERROR($J$540)*1</f>
        <v/>
      </c>
    </row>
    <row r="541" ht="15" customHeight="1">
      <c r="B541" s="8" t="inlineStr">
        <is>
          <t>Caminho (motivação)</t>
        </is>
      </c>
      <c r="C541" s="8" t="inlineStr">
        <is>
          <t>Motivação por Caminho</t>
        </is>
      </c>
      <c r="D541" s="8" t="inlineStr">
        <is>
          <t>Tipo (objetivo)</t>
        </is>
      </c>
      <c r="E541" s="8" t="inlineStr">
        <is>
          <t>Objetivo por tipo</t>
        </is>
      </c>
      <c r="F541" s="8" t="inlineStr">
        <is>
          <t>Tipo de aventura</t>
        </is>
      </c>
      <c r="G541" s="8" t="inlineStr">
        <is>
          <t>Gancho de aventura</t>
        </is>
      </c>
      <c r="H541" s="8" t="inlineStr">
        <is>
          <t>Local (sabor)</t>
        </is>
      </c>
      <c r="I541" s="8" t="inlineStr">
        <is>
          <t>Complicação</t>
        </is>
      </c>
      <c r="J541" s="8" t="inlineStr">
        <is>
          <t>Reviravolta</t>
        </is>
      </c>
      <c r="N541" s="2">
        <f>N540</f>
        <v/>
      </c>
      <c r="P541" s="2">
        <f>P540</f>
        <v/>
      </c>
      <c r="R541" s="2">
        <f>R540</f>
        <v/>
      </c>
      <c r="S541" s="2">
        <f>S540</f>
        <v/>
      </c>
      <c r="T541" s="2">
        <f>T540</f>
        <v/>
      </c>
      <c r="U541" s="2">
        <f>U540</f>
        <v/>
      </c>
      <c r="V541" s="2">
        <f>V540</f>
        <v/>
      </c>
      <c r="X541" s="2">
        <f>IF(ISERROR($B$541),"",IF(ISBLANK($B$541),"",$B$541))</f>
        <v/>
      </c>
      <c r="Y541" s="2">
        <f>IF(ISERROR($C$541),"",IF(ISBLANK($C$541),"",$C$541))</f>
        <v/>
      </c>
      <c r="Z541" s="2">
        <f>IF(ISERROR($D$541),"",IF(ISBLANK($D$541),"",$D$541))</f>
        <v/>
      </c>
      <c r="AA541" s="2">
        <f>IF(ISERROR($E$541),"",IF(ISBLANK($E$541),"",$E$541))</f>
        <v/>
      </c>
      <c r="AB541" s="2">
        <f>IF(ISERROR($F$541),"",IF(ISBLANK($F$541),"",$F$541))</f>
        <v/>
      </c>
      <c r="AC541" s="2">
        <f>IF(ISERROR($G$541),"",IF(ISBLANK($G$541),"",$G$541))</f>
        <v/>
      </c>
      <c r="AD541" s="2">
        <f>IF(ISERROR($H$541),"",IF(ISBLANK($H$541),"",$H$541))</f>
        <v/>
      </c>
      <c r="AE541" s="2">
        <f>IF(ISERROR($I$541),"",IF(ISBLANK($I$541),"",$I$541))</f>
        <v/>
      </c>
      <c r="AF541" s="2">
        <f>IF(ISERROR($J$541),"",IF(ISBLANK($J$541),"",$J$541))</f>
        <v/>
      </c>
    </row>
    <row r="542" ht="26" customHeight="1">
      <c r="B542" s="33" t="n"/>
      <c r="C542" s="4" t="n"/>
      <c r="D542" s="4" t="n"/>
      <c r="E542" s="4" t="n"/>
      <c r="F542" s="4" t="n"/>
      <c r="G542" s="4" t="n"/>
      <c r="H542" s="4" t="n"/>
      <c r="I542" s="4" t="n"/>
      <c r="J542" s="4" t="n"/>
      <c r="K542" s="19">
        <f>IF(AG542&gt;0,"O Google leu como fórmula: digite de novo com ' na frente.","")</f>
        <v/>
      </c>
      <c r="N542" s="2">
        <f>N541+IF(LEN($X$542)&gt;0,1,0)</f>
        <v/>
      </c>
      <c r="P542" s="2">
        <f>P541+IF(LEN($Z$542)&gt;0,1,0)</f>
        <v/>
      </c>
      <c r="R542" s="2">
        <f>R541+IF(LEN($AB$542)&gt;0,1,0)</f>
        <v/>
      </c>
      <c r="S542" s="2">
        <f>S541+IF(LEN($AC$542)&gt;0,1,0)</f>
        <v/>
      </c>
      <c r="T542" s="2">
        <f>T541+IF(LEN($AD$542)&gt;0,1,0)</f>
        <v/>
      </c>
      <c r="U542" s="2">
        <f>U541+IF(LEN($AE$542)&gt;0,1,0)</f>
        <v/>
      </c>
      <c r="V542" s="2">
        <f>V541+IF(LEN($AF$542)&gt;0,1,0)</f>
        <v/>
      </c>
      <c r="X542" s="2">
        <f>IF(ISERROR($B$542),"",IF(ISBLANK($B$542),"",$B$542))</f>
        <v/>
      </c>
      <c r="Y542" s="2">
        <f>IF(ISERROR($C$542),"",IF(ISBLANK($C$542),"",$C$542))</f>
        <v/>
      </c>
      <c r="Z542" s="2">
        <f>IF(ISERROR($D$542),"",IF(ISBLANK($D$542),"",$D$542))</f>
        <v/>
      </c>
      <c r="AA542" s="2">
        <f>IF(ISERROR($E$542),"",IF(ISBLANK($E$542),"",$E$542))</f>
        <v/>
      </c>
      <c r="AB542" s="2">
        <f>IF(ISERROR($F$542),"",IF(ISBLANK($F$542),"",$F$542))</f>
        <v/>
      </c>
      <c r="AC542" s="2">
        <f>IF(ISERROR($G$542),"",IF(ISBLANK($G$542),"",$G$542))</f>
        <v/>
      </c>
      <c r="AD542" s="2">
        <f>IF(ISERROR($H$542),"",IF(ISBLANK($H$542),"",$H$542))</f>
        <v/>
      </c>
      <c r="AE542" s="2">
        <f>IF(ISERROR($I$542),"",IF(ISBLANK($I$542),"",$I$542))</f>
        <v/>
      </c>
      <c r="AF542" s="2">
        <f>IF(ISERROR($J$542),"",IF(ISBLANK($J$542),"",$J$542))</f>
        <v/>
      </c>
      <c r="AG542" s="2">
        <f>ISERROR($B$542)*1+ISERROR($C$542)*1+ISERROR($D$542)*1+ISERROR($E$542)*1+ISERROR($F$542)*1+ISERROR($G$542)*1+ISERROR($H$542)*1+ISERROR($I$542)*1+ISERROR($J$542)*1</f>
        <v/>
      </c>
    </row>
    <row r="543" ht="26" customHeight="1">
      <c r="B543" s="35" t="n"/>
      <c r="C543" s="29" t="n"/>
      <c r="D543" s="29" t="n"/>
      <c r="E543" s="29" t="n"/>
      <c r="F543" s="29" t="n"/>
      <c r="G543" s="29" t="n"/>
      <c r="H543" s="29" t="n"/>
      <c r="I543" s="29" t="n"/>
      <c r="J543" s="29" t="n"/>
      <c r="K543" s="19">
        <f>IF(AG543&gt;0,"O Google leu como fórmula: digite de novo com ' na frente.","")</f>
        <v/>
      </c>
      <c r="N543" s="2">
        <f>N542+IF(LEN($X$543)&gt;0,1,0)</f>
        <v/>
      </c>
      <c r="P543" s="2">
        <f>P542+IF(LEN($Z$543)&gt;0,1,0)</f>
        <v/>
      </c>
      <c r="R543" s="2">
        <f>R542+IF(LEN($AB$543)&gt;0,1,0)</f>
        <v/>
      </c>
      <c r="S543" s="2">
        <f>S542+IF(LEN($AC$543)&gt;0,1,0)</f>
        <v/>
      </c>
      <c r="T543" s="2">
        <f>T542+IF(LEN($AD$543)&gt;0,1,0)</f>
        <v/>
      </c>
      <c r="U543" s="2">
        <f>U542+IF(LEN($AE$543)&gt;0,1,0)</f>
        <v/>
      </c>
      <c r="V543" s="2">
        <f>V542+IF(LEN($AF$543)&gt;0,1,0)</f>
        <v/>
      </c>
      <c r="X543" s="2">
        <f>IF(ISERROR($B$543),"",IF(ISBLANK($B$543),"",$B$543))</f>
        <v/>
      </c>
      <c r="Y543" s="2">
        <f>IF(ISERROR($C$543),"",IF(ISBLANK($C$543),"",$C$543))</f>
        <v/>
      </c>
      <c r="Z543" s="2">
        <f>IF(ISERROR($D$543),"",IF(ISBLANK($D$543),"",$D$543))</f>
        <v/>
      </c>
      <c r="AA543" s="2">
        <f>IF(ISERROR($E$543),"",IF(ISBLANK($E$543),"",$E$543))</f>
        <v/>
      </c>
      <c r="AB543" s="2">
        <f>IF(ISERROR($F$543),"",IF(ISBLANK($F$543),"",$F$543))</f>
        <v/>
      </c>
      <c r="AC543" s="2">
        <f>IF(ISERROR($G$543),"",IF(ISBLANK($G$543),"",$G$543))</f>
        <v/>
      </c>
      <c r="AD543" s="2">
        <f>IF(ISERROR($H$543),"",IF(ISBLANK($H$543),"",$H$543))</f>
        <v/>
      </c>
      <c r="AE543" s="2">
        <f>IF(ISERROR($I$543),"",IF(ISBLANK($I$543),"",$I$543))</f>
        <v/>
      </c>
      <c r="AF543" s="2">
        <f>IF(ISERROR($J$543),"",IF(ISBLANK($J$543),"",$J$543))</f>
        <v/>
      </c>
      <c r="AG543" s="2">
        <f>ISERROR($B$543)*1+ISERROR($C$543)*1+ISERROR($D$543)*1+ISERROR($E$543)*1+ISERROR($F$543)*1+ISERROR($G$543)*1+ISERROR($H$543)*1+ISERROR($I$543)*1+ISERROR($J$543)*1</f>
        <v/>
      </c>
    </row>
    <row r="544" ht="26" customHeight="1">
      <c r="B544" s="33" t="n"/>
      <c r="C544" s="4" t="n"/>
      <c r="D544" s="4" t="n"/>
      <c r="E544" s="4" t="n"/>
      <c r="F544" s="4" t="n"/>
      <c r="G544" s="4" t="n"/>
      <c r="H544" s="4" t="n"/>
      <c r="I544" s="4" t="n"/>
      <c r="J544" s="4" t="n"/>
      <c r="K544" s="19">
        <f>IF(AG544&gt;0,"O Google leu como fórmula: digite de novo com ' na frente.","")</f>
        <v/>
      </c>
      <c r="N544" s="2">
        <f>N543+IF(LEN($X$544)&gt;0,1,0)</f>
        <v/>
      </c>
      <c r="P544" s="2">
        <f>P543+IF(LEN($Z$544)&gt;0,1,0)</f>
        <v/>
      </c>
      <c r="R544" s="2">
        <f>R543+IF(LEN($AB$544)&gt;0,1,0)</f>
        <v/>
      </c>
      <c r="S544" s="2">
        <f>S543+IF(LEN($AC$544)&gt;0,1,0)</f>
        <v/>
      </c>
      <c r="T544" s="2">
        <f>T543+IF(LEN($AD$544)&gt;0,1,0)</f>
        <v/>
      </c>
      <c r="U544" s="2">
        <f>U543+IF(LEN($AE$544)&gt;0,1,0)</f>
        <v/>
      </c>
      <c r="V544" s="2">
        <f>V543+IF(LEN($AF$544)&gt;0,1,0)</f>
        <v/>
      </c>
      <c r="X544" s="2">
        <f>IF(ISERROR($B$544),"",IF(ISBLANK($B$544),"",$B$544))</f>
        <v/>
      </c>
      <c r="Y544" s="2">
        <f>IF(ISERROR($C$544),"",IF(ISBLANK($C$544),"",$C$544))</f>
        <v/>
      </c>
      <c r="Z544" s="2">
        <f>IF(ISERROR($D$544),"",IF(ISBLANK($D$544),"",$D$544))</f>
        <v/>
      </c>
      <c r="AA544" s="2">
        <f>IF(ISERROR($E$544),"",IF(ISBLANK($E$544),"",$E$544))</f>
        <v/>
      </c>
      <c r="AB544" s="2">
        <f>IF(ISERROR($F$544),"",IF(ISBLANK($F$544),"",$F$544))</f>
        <v/>
      </c>
      <c r="AC544" s="2">
        <f>IF(ISERROR($G$544),"",IF(ISBLANK($G$544),"",$G$544))</f>
        <v/>
      </c>
      <c r="AD544" s="2">
        <f>IF(ISERROR($H$544),"",IF(ISBLANK($H$544),"",$H$544))</f>
        <v/>
      </c>
      <c r="AE544" s="2">
        <f>IF(ISERROR($I$544),"",IF(ISBLANK($I$544),"",$I$544))</f>
        <v/>
      </c>
      <c r="AF544" s="2">
        <f>IF(ISERROR($J$544),"",IF(ISBLANK($J$544),"",$J$544))</f>
        <v/>
      </c>
      <c r="AG544" s="2">
        <f>ISERROR($B$544)*1+ISERROR($C$544)*1+ISERROR($D$544)*1+ISERROR($E$544)*1+ISERROR($F$544)*1+ISERROR($G$544)*1+ISERROR($H$544)*1+ISERROR($I$544)*1+ISERROR($J$544)*1</f>
        <v/>
      </c>
    </row>
    <row r="545" ht="26" customHeight="1">
      <c r="B545" s="35" t="n"/>
      <c r="C545" s="29" t="n"/>
      <c r="D545" s="29" t="n"/>
      <c r="E545" s="29" t="n"/>
      <c r="F545" s="29" t="n"/>
      <c r="G545" s="29" t="n"/>
      <c r="H545" s="29" t="n"/>
      <c r="I545" s="29" t="n"/>
      <c r="J545" s="29" t="n"/>
      <c r="K545" s="19">
        <f>IF(AG545&gt;0,"O Google leu como fórmula: digite de novo com ' na frente.","")</f>
        <v/>
      </c>
      <c r="N545" s="2">
        <f>N544+IF(LEN($X$545)&gt;0,1,0)</f>
        <v/>
      </c>
      <c r="P545" s="2">
        <f>P544+IF(LEN($Z$545)&gt;0,1,0)</f>
        <v/>
      </c>
      <c r="R545" s="2">
        <f>R544+IF(LEN($AB$545)&gt;0,1,0)</f>
        <v/>
      </c>
      <c r="S545" s="2">
        <f>S544+IF(LEN($AC$545)&gt;0,1,0)</f>
        <v/>
      </c>
      <c r="T545" s="2">
        <f>T544+IF(LEN($AD$545)&gt;0,1,0)</f>
        <v/>
      </c>
      <c r="U545" s="2">
        <f>U544+IF(LEN($AE$545)&gt;0,1,0)</f>
        <v/>
      </c>
      <c r="V545" s="2">
        <f>V544+IF(LEN($AF$545)&gt;0,1,0)</f>
        <v/>
      </c>
      <c r="X545" s="2">
        <f>IF(ISERROR($B$545),"",IF(ISBLANK($B$545),"",$B$545))</f>
        <v/>
      </c>
      <c r="Y545" s="2">
        <f>IF(ISERROR($C$545),"",IF(ISBLANK($C$545),"",$C$545))</f>
        <v/>
      </c>
      <c r="Z545" s="2">
        <f>IF(ISERROR($D$545),"",IF(ISBLANK($D$545),"",$D$545))</f>
        <v/>
      </c>
      <c r="AA545" s="2">
        <f>IF(ISERROR($E$545),"",IF(ISBLANK($E$545),"",$E$545))</f>
        <v/>
      </c>
      <c r="AB545" s="2">
        <f>IF(ISERROR($F$545),"",IF(ISBLANK($F$545),"",$F$545))</f>
        <v/>
      </c>
      <c r="AC545" s="2">
        <f>IF(ISERROR($G$545),"",IF(ISBLANK($G$545),"",$G$545))</f>
        <v/>
      </c>
      <c r="AD545" s="2">
        <f>IF(ISERROR($H$545),"",IF(ISBLANK($H$545),"",$H$545))</f>
        <v/>
      </c>
      <c r="AE545" s="2">
        <f>IF(ISERROR($I$545),"",IF(ISBLANK($I$545),"",$I$545))</f>
        <v/>
      </c>
      <c r="AF545" s="2">
        <f>IF(ISERROR($J$545),"",IF(ISBLANK($J$545),"",$J$545))</f>
        <v/>
      </c>
      <c r="AG545" s="2">
        <f>ISERROR($B$545)*1+ISERROR($C$545)*1+ISERROR($D$545)*1+ISERROR($E$545)*1+ISERROR($F$545)*1+ISERROR($G$545)*1+ISERROR($H$545)*1+ISERROR($I$545)*1+ISERROR($J$545)*1</f>
        <v/>
      </c>
    </row>
    <row r="546" ht="26" customHeight="1">
      <c r="B546" s="33" t="n"/>
      <c r="C546" s="4" t="n"/>
      <c r="D546" s="4" t="n"/>
      <c r="E546" s="4" t="n"/>
      <c r="F546" s="4" t="n"/>
      <c r="G546" s="4" t="n"/>
      <c r="H546" s="4" t="n"/>
      <c r="I546" s="4" t="n"/>
      <c r="J546" s="4" t="n"/>
      <c r="K546" s="19">
        <f>IF(AG546&gt;0,"O Google leu como fórmula: digite de novo com ' na frente.","")</f>
        <v/>
      </c>
      <c r="N546" s="2">
        <f>N545+IF(LEN($X$546)&gt;0,1,0)</f>
        <v/>
      </c>
      <c r="P546" s="2">
        <f>P545+IF(LEN($Z$546)&gt;0,1,0)</f>
        <v/>
      </c>
      <c r="R546" s="2">
        <f>R545+IF(LEN($AB$546)&gt;0,1,0)</f>
        <v/>
      </c>
      <c r="S546" s="2">
        <f>S545+IF(LEN($AC$546)&gt;0,1,0)</f>
        <v/>
      </c>
      <c r="T546" s="2">
        <f>T545+IF(LEN($AD$546)&gt;0,1,0)</f>
        <v/>
      </c>
      <c r="U546" s="2">
        <f>U545+IF(LEN($AE$546)&gt;0,1,0)</f>
        <v/>
      </c>
      <c r="V546" s="2">
        <f>V545+IF(LEN($AF$546)&gt;0,1,0)</f>
        <v/>
      </c>
      <c r="X546" s="2">
        <f>IF(ISERROR($B$546),"",IF(ISBLANK($B$546),"",$B$546))</f>
        <v/>
      </c>
      <c r="Y546" s="2">
        <f>IF(ISERROR($C$546),"",IF(ISBLANK($C$546),"",$C$546))</f>
        <v/>
      </c>
      <c r="Z546" s="2">
        <f>IF(ISERROR($D$546),"",IF(ISBLANK($D$546),"",$D$546))</f>
        <v/>
      </c>
      <c r="AA546" s="2">
        <f>IF(ISERROR($E$546),"",IF(ISBLANK($E$546),"",$E$546))</f>
        <v/>
      </c>
      <c r="AB546" s="2">
        <f>IF(ISERROR($F$546),"",IF(ISBLANK($F$546),"",$F$546))</f>
        <v/>
      </c>
      <c r="AC546" s="2">
        <f>IF(ISERROR($G$546),"",IF(ISBLANK($G$546),"",$G$546))</f>
        <v/>
      </c>
      <c r="AD546" s="2">
        <f>IF(ISERROR($H$546),"",IF(ISBLANK($H$546),"",$H$546))</f>
        <v/>
      </c>
      <c r="AE546" s="2">
        <f>IF(ISERROR($I$546),"",IF(ISBLANK($I$546),"",$I$546))</f>
        <v/>
      </c>
      <c r="AF546" s="2">
        <f>IF(ISERROR($J$546),"",IF(ISBLANK($J$546),"",$J$546))</f>
        <v/>
      </c>
      <c r="AG546" s="2">
        <f>ISERROR($B$546)*1+ISERROR($C$546)*1+ISERROR($D$546)*1+ISERROR($E$546)*1+ISERROR($F$546)*1+ISERROR($G$546)*1+ISERROR($H$546)*1+ISERROR($I$546)*1+ISERROR($J$546)*1</f>
        <v/>
      </c>
    </row>
    <row r="547" ht="26" customHeight="1">
      <c r="B547" s="35" t="n"/>
      <c r="C547" s="29" t="n"/>
      <c r="D547" s="29" t="n"/>
      <c r="E547" s="29" t="n"/>
      <c r="F547" s="29" t="n"/>
      <c r="G547" s="29" t="n"/>
      <c r="H547" s="29" t="n"/>
      <c r="I547" s="29" t="n"/>
      <c r="J547" s="29" t="n"/>
      <c r="K547" s="19">
        <f>IF(AG547&gt;0,"O Google leu como fórmula: digite de novo com ' na frente.","")</f>
        <v/>
      </c>
      <c r="N547" s="2">
        <f>N546+IF(LEN($X$547)&gt;0,1,0)</f>
        <v/>
      </c>
      <c r="P547" s="2">
        <f>P546+IF(LEN($Z$547)&gt;0,1,0)</f>
        <v/>
      </c>
      <c r="R547" s="2">
        <f>R546+IF(LEN($AB$547)&gt;0,1,0)</f>
        <v/>
      </c>
      <c r="S547" s="2">
        <f>S546+IF(LEN($AC$547)&gt;0,1,0)</f>
        <v/>
      </c>
      <c r="T547" s="2">
        <f>T546+IF(LEN($AD$547)&gt;0,1,0)</f>
        <v/>
      </c>
      <c r="U547" s="2">
        <f>U546+IF(LEN($AE$547)&gt;0,1,0)</f>
        <v/>
      </c>
      <c r="V547" s="2">
        <f>V546+IF(LEN($AF$547)&gt;0,1,0)</f>
        <v/>
      </c>
      <c r="X547" s="2">
        <f>IF(ISERROR($B$547),"",IF(ISBLANK($B$547),"",$B$547))</f>
        <v/>
      </c>
      <c r="Y547" s="2">
        <f>IF(ISERROR($C$547),"",IF(ISBLANK($C$547),"",$C$547))</f>
        <v/>
      </c>
      <c r="Z547" s="2">
        <f>IF(ISERROR($D$547),"",IF(ISBLANK($D$547),"",$D$547))</f>
        <v/>
      </c>
      <c r="AA547" s="2">
        <f>IF(ISERROR($E$547),"",IF(ISBLANK($E$547),"",$E$547))</f>
        <v/>
      </c>
      <c r="AB547" s="2">
        <f>IF(ISERROR($F$547),"",IF(ISBLANK($F$547),"",$F$547))</f>
        <v/>
      </c>
      <c r="AC547" s="2">
        <f>IF(ISERROR($G$547),"",IF(ISBLANK($G$547),"",$G$547))</f>
        <v/>
      </c>
      <c r="AD547" s="2">
        <f>IF(ISERROR($H$547),"",IF(ISBLANK($H$547),"",$H$547))</f>
        <v/>
      </c>
      <c r="AE547" s="2">
        <f>IF(ISERROR($I$547),"",IF(ISBLANK($I$547),"",$I$547))</f>
        <v/>
      </c>
      <c r="AF547" s="2">
        <f>IF(ISERROR($J$547),"",IF(ISBLANK($J$547),"",$J$547))</f>
        <v/>
      </c>
      <c r="AG547" s="2">
        <f>ISERROR($B$547)*1+ISERROR($C$547)*1+ISERROR($D$547)*1+ISERROR($E$547)*1+ISERROR($F$547)*1+ISERROR($G$547)*1+ISERROR($H$547)*1+ISERROR($I$547)*1+ISERROR($J$547)*1</f>
        <v/>
      </c>
    </row>
    <row r="548" ht="26" customHeight="1">
      <c r="B548" s="33" t="n"/>
      <c r="C548" s="4" t="n"/>
      <c r="D548" s="4" t="n"/>
      <c r="E548" s="4" t="n"/>
      <c r="F548" s="4" t="n"/>
      <c r="G548" s="4" t="n"/>
      <c r="H548" s="4" t="n"/>
      <c r="I548" s="4" t="n"/>
      <c r="J548" s="4" t="n"/>
      <c r="K548" s="19">
        <f>IF(AG548&gt;0,"O Google leu como fórmula: digite de novo com ' na frente.","")</f>
        <v/>
      </c>
      <c r="N548" s="2">
        <f>N547+IF(LEN($X$548)&gt;0,1,0)</f>
        <v/>
      </c>
      <c r="P548" s="2">
        <f>P547+IF(LEN($Z$548)&gt;0,1,0)</f>
        <v/>
      </c>
      <c r="R548" s="2">
        <f>R547+IF(LEN($AB$548)&gt;0,1,0)</f>
        <v/>
      </c>
      <c r="S548" s="2">
        <f>S547+IF(LEN($AC$548)&gt;0,1,0)</f>
        <v/>
      </c>
      <c r="T548" s="2">
        <f>T547+IF(LEN($AD$548)&gt;0,1,0)</f>
        <v/>
      </c>
      <c r="U548" s="2">
        <f>U547+IF(LEN($AE$548)&gt;0,1,0)</f>
        <v/>
      </c>
      <c r="V548" s="2">
        <f>V547+IF(LEN($AF$548)&gt;0,1,0)</f>
        <v/>
      </c>
      <c r="X548" s="2">
        <f>IF(ISERROR($B$548),"",IF(ISBLANK($B$548),"",$B$548))</f>
        <v/>
      </c>
      <c r="Y548" s="2">
        <f>IF(ISERROR($C$548),"",IF(ISBLANK($C$548),"",$C$548))</f>
        <v/>
      </c>
      <c r="Z548" s="2">
        <f>IF(ISERROR($D$548),"",IF(ISBLANK($D$548),"",$D$548))</f>
        <v/>
      </c>
      <c r="AA548" s="2">
        <f>IF(ISERROR($E$548),"",IF(ISBLANK($E$548),"",$E$548))</f>
        <v/>
      </c>
      <c r="AB548" s="2">
        <f>IF(ISERROR($F$548),"",IF(ISBLANK($F$548),"",$F$548))</f>
        <v/>
      </c>
      <c r="AC548" s="2">
        <f>IF(ISERROR($G$548),"",IF(ISBLANK($G$548),"",$G$548))</f>
        <v/>
      </c>
      <c r="AD548" s="2">
        <f>IF(ISERROR($H$548),"",IF(ISBLANK($H$548),"",$H$548))</f>
        <v/>
      </c>
      <c r="AE548" s="2">
        <f>IF(ISERROR($I$548),"",IF(ISBLANK($I$548),"",$I$548))</f>
        <v/>
      </c>
      <c r="AF548" s="2">
        <f>IF(ISERROR($J$548),"",IF(ISBLANK($J$548),"",$J$548))</f>
        <v/>
      </c>
      <c r="AG548" s="2">
        <f>ISERROR($B$548)*1+ISERROR($C$548)*1+ISERROR($D$548)*1+ISERROR($E$548)*1+ISERROR($F$548)*1+ISERROR($G$548)*1+ISERROR($H$548)*1+ISERROR($I$548)*1+ISERROR($J$548)*1</f>
        <v/>
      </c>
    </row>
    <row r="549" ht="26" customHeight="1">
      <c r="B549" s="35" t="n"/>
      <c r="C549" s="29" t="n"/>
      <c r="D549" s="29" t="n"/>
      <c r="E549" s="29" t="n"/>
      <c r="F549" s="29" t="n"/>
      <c r="G549" s="29" t="n"/>
      <c r="H549" s="29" t="n"/>
      <c r="I549" s="29" t="n"/>
      <c r="J549" s="29" t="n"/>
      <c r="K549" s="19">
        <f>IF(AG549&gt;0,"O Google leu como fórmula: digite de novo com ' na frente.","")</f>
        <v/>
      </c>
      <c r="N549" s="2">
        <f>N548+IF(LEN($X$549)&gt;0,1,0)</f>
        <v/>
      </c>
      <c r="P549" s="2">
        <f>P548+IF(LEN($Z$549)&gt;0,1,0)</f>
        <v/>
      </c>
      <c r="R549" s="2">
        <f>R548+IF(LEN($AB$549)&gt;0,1,0)</f>
        <v/>
      </c>
      <c r="S549" s="2">
        <f>S548+IF(LEN($AC$549)&gt;0,1,0)</f>
        <v/>
      </c>
      <c r="T549" s="2">
        <f>T548+IF(LEN($AD$549)&gt;0,1,0)</f>
        <v/>
      </c>
      <c r="U549" s="2">
        <f>U548+IF(LEN($AE$549)&gt;0,1,0)</f>
        <v/>
      </c>
      <c r="V549" s="2">
        <f>V548+IF(LEN($AF$549)&gt;0,1,0)</f>
        <v/>
      </c>
      <c r="X549" s="2">
        <f>IF(ISERROR($B$549),"",IF(ISBLANK($B$549),"",$B$549))</f>
        <v/>
      </c>
      <c r="Y549" s="2">
        <f>IF(ISERROR($C$549),"",IF(ISBLANK($C$549),"",$C$549))</f>
        <v/>
      </c>
      <c r="Z549" s="2">
        <f>IF(ISERROR($D$549),"",IF(ISBLANK($D$549),"",$D$549))</f>
        <v/>
      </c>
      <c r="AA549" s="2">
        <f>IF(ISERROR($E$549),"",IF(ISBLANK($E$549),"",$E$549))</f>
        <v/>
      </c>
      <c r="AB549" s="2">
        <f>IF(ISERROR($F$549),"",IF(ISBLANK($F$549),"",$F$549))</f>
        <v/>
      </c>
      <c r="AC549" s="2">
        <f>IF(ISERROR($G$549),"",IF(ISBLANK($G$549),"",$G$549))</f>
        <v/>
      </c>
      <c r="AD549" s="2">
        <f>IF(ISERROR($H$549),"",IF(ISBLANK($H$549),"",$H$549))</f>
        <v/>
      </c>
      <c r="AE549" s="2">
        <f>IF(ISERROR($I$549),"",IF(ISBLANK($I$549),"",$I$549))</f>
        <v/>
      </c>
      <c r="AF549" s="2">
        <f>IF(ISERROR($J$549),"",IF(ISBLANK($J$549),"",$J$549))</f>
        <v/>
      </c>
      <c r="AG549" s="2">
        <f>ISERROR($B$549)*1+ISERROR($C$549)*1+ISERROR($D$549)*1+ISERROR($E$549)*1+ISERROR($F$549)*1+ISERROR($G$549)*1+ISERROR($H$549)*1+ISERROR($I$549)*1+ISERROR($J$549)*1</f>
        <v/>
      </c>
    </row>
    <row r="550" ht="26" customHeight="1">
      <c r="B550" s="33" t="n"/>
      <c r="C550" s="4" t="n"/>
      <c r="D550" s="4" t="n"/>
      <c r="E550" s="4" t="n"/>
      <c r="F550" s="4" t="n"/>
      <c r="G550" s="4" t="n"/>
      <c r="H550" s="4" t="n"/>
      <c r="I550" s="4" t="n"/>
      <c r="J550" s="4" t="n"/>
      <c r="K550" s="19">
        <f>IF(AG550&gt;0,"O Google leu como fórmula: digite de novo com ' na frente.","")</f>
        <v/>
      </c>
      <c r="N550" s="2">
        <f>N549+IF(LEN($X$550)&gt;0,1,0)</f>
        <v/>
      </c>
      <c r="P550" s="2">
        <f>P549+IF(LEN($Z$550)&gt;0,1,0)</f>
        <v/>
      </c>
      <c r="R550" s="2">
        <f>R549+IF(LEN($AB$550)&gt;0,1,0)</f>
        <v/>
      </c>
      <c r="S550" s="2">
        <f>S549+IF(LEN($AC$550)&gt;0,1,0)</f>
        <v/>
      </c>
      <c r="T550" s="2">
        <f>T549+IF(LEN($AD$550)&gt;0,1,0)</f>
        <v/>
      </c>
      <c r="U550" s="2">
        <f>U549+IF(LEN($AE$550)&gt;0,1,0)</f>
        <v/>
      </c>
      <c r="V550" s="2">
        <f>V549+IF(LEN($AF$550)&gt;0,1,0)</f>
        <v/>
      </c>
      <c r="X550" s="2">
        <f>IF(ISERROR($B$550),"",IF(ISBLANK($B$550),"",$B$550))</f>
        <v/>
      </c>
      <c r="Y550" s="2">
        <f>IF(ISERROR($C$550),"",IF(ISBLANK($C$550),"",$C$550))</f>
        <v/>
      </c>
      <c r="Z550" s="2">
        <f>IF(ISERROR($D$550),"",IF(ISBLANK($D$550),"",$D$550))</f>
        <v/>
      </c>
      <c r="AA550" s="2">
        <f>IF(ISERROR($E$550),"",IF(ISBLANK($E$550),"",$E$550))</f>
        <v/>
      </c>
      <c r="AB550" s="2">
        <f>IF(ISERROR($F$550),"",IF(ISBLANK($F$550),"",$F$550))</f>
        <v/>
      </c>
      <c r="AC550" s="2">
        <f>IF(ISERROR($G$550),"",IF(ISBLANK($G$550),"",$G$550))</f>
        <v/>
      </c>
      <c r="AD550" s="2">
        <f>IF(ISERROR($H$550),"",IF(ISBLANK($H$550),"",$H$550))</f>
        <v/>
      </c>
      <c r="AE550" s="2">
        <f>IF(ISERROR($I$550),"",IF(ISBLANK($I$550),"",$I$550))</f>
        <v/>
      </c>
      <c r="AF550" s="2">
        <f>IF(ISERROR($J$550),"",IF(ISBLANK($J$550),"",$J$550))</f>
        <v/>
      </c>
      <c r="AG550" s="2">
        <f>ISERROR($B$550)*1+ISERROR($C$550)*1+ISERROR($D$550)*1+ISERROR($E$550)*1+ISERROR($F$550)*1+ISERROR($G$550)*1+ISERROR($H$550)*1+ISERROR($I$550)*1+ISERROR($J$550)*1</f>
        <v/>
      </c>
    </row>
    <row r="551" ht="26" customHeight="1">
      <c r="B551" s="35" t="n"/>
      <c r="C551" s="29" t="n"/>
      <c r="D551" s="29" t="n"/>
      <c r="E551" s="29" t="n"/>
      <c r="F551" s="29" t="n"/>
      <c r="G551" s="29" t="n"/>
      <c r="H551" s="29" t="n"/>
      <c r="I551" s="29" t="n"/>
      <c r="J551" s="29" t="n"/>
      <c r="K551" s="19">
        <f>IF(AG551&gt;0,"O Google leu como fórmula: digite de novo com ' na frente.","")</f>
        <v/>
      </c>
      <c r="N551" s="2">
        <f>N550+IF(LEN($X$551)&gt;0,1,0)</f>
        <v/>
      </c>
      <c r="P551" s="2">
        <f>P550+IF(LEN($Z$551)&gt;0,1,0)</f>
        <v/>
      </c>
      <c r="R551" s="2">
        <f>R550+IF(LEN($AB$551)&gt;0,1,0)</f>
        <v/>
      </c>
      <c r="S551" s="2">
        <f>S550+IF(LEN($AC$551)&gt;0,1,0)</f>
        <v/>
      </c>
      <c r="T551" s="2">
        <f>T550+IF(LEN($AD$551)&gt;0,1,0)</f>
        <v/>
      </c>
      <c r="U551" s="2">
        <f>U550+IF(LEN($AE$551)&gt;0,1,0)</f>
        <v/>
      </c>
      <c r="V551" s="2">
        <f>V550+IF(LEN($AF$551)&gt;0,1,0)</f>
        <v/>
      </c>
      <c r="X551" s="2">
        <f>IF(ISERROR($B$551),"",IF(ISBLANK($B$551),"",$B$551))</f>
        <v/>
      </c>
      <c r="Y551" s="2">
        <f>IF(ISERROR($C$551),"",IF(ISBLANK($C$551),"",$C$551))</f>
        <v/>
      </c>
      <c r="Z551" s="2">
        <f>IF(ISERROR($D$551),"",IF(ISBLANK($D$551),"",$D$551))</f>
        <v/>
      </c>
      <c r="AA551" s="2">
        <f>IF(ISERROR($E$551),"",IF(ISBLANK($E$551),"",$E$551))</f>
        <v/>
      </c>
      <c r="AB551" s="2">
        <f>IF(ISERROR($F$551),"",IF(ISBLANK($F$551),"",$F$551))</f>
        <v/>
      </c>
      <c r="AC551" s="2">
        <f>IF(ISERROR($G$551),"",IF(ISBLANK($G$551),"",$G$551))</f>
        <v/>
      </c>
      <c r="AD551" s="2">
        <f>IF(ISERROR($H$551),"",IF(ISBLANK($H$551),"",$H$551))</f>
        <v/>
      </c>
      <c r="AE551" s="2">
        <f>IF(ISERROR($I$551),"",IF(ISBLANK($I$551),"",$I$551))</f>
        <v/>
      </c>
      <c r="AF551" s="2">
        <f>IF(ISERROR($J$551),"",IF(ISBLANK($J$551),"",$J$551))</f>
        <v/>
      </c>
      <c r="AG551" s="2">
        <f>ISERROR($B$551)*1+ISERROR($C$551)*1+ISERROR($D$551)*1+ISERROR($E$551)*1+ISERROR($F$551)*1+ISERROR($G$551)*1+ISERROR($H$551)*1+ISERROR($I$551)*1+ISERROR($J$551)*1</f>
        <v/>
      </c>
    </row>
    <row r="552" ht="26" customHeight="1">
      <c r="B552" s="33" t="n"/>
      <c r="C552" s="4" t="n"/>
      <c r="D552" s="4" t="n"/>
      <c r="E552" s="4" t="n"/>
      <c r="F552" s="4" t="n"/>
      <c r="G552" s="4" t="n"/>
      <c r="H552" s="4" t="n"/>
      <c r="I552" s="4" t="n"/>
      <c r="J552" s="4" t="n"/>
      <c r="K552" s="19">
        <f>IF(AG552&gt;0,"O Google leu como fórmula: digite de novo com ' na frente.","")</f>
        <v/>
      </c>
      <c r="N552" s="2">
        <f>N551+IF(LEN($X$552)&gt;0,1,0)</f>
        <v/>
      </c>
      <c r="P552" s="2">
        <f>P551+IF(LEN($Z$552)&gt;0,1,0)</f>
        <v/>
      </c>
      <c r="R552" s="2">
        <f>R551+IF(LEN($AB$552)&gt;0,1,0)</f>
        <v/>
      </c>
      <c r="S552" s="2">
        <f>S551+IF(LEN($AC$552)&gt;0,1,0)</f>
        <v/>
      </c>
      <c r="T552" s="2">
        <f>T551+IF(LEN($AD$552)&gt;0,1,0)</f>
        <v/>
      </c>
      <c r="U552" s="2">
        <f>U551+IF(LEN($AE$552)&gt;0,1,0)</f>
        <v/>
      </c>
      <c r="V552" s="2">
        <f>V551+IF(LEN($AF$552)&gt;0,1,0)</f>
        <v/>
      </c>
      <c r="X552" s="2">
        <f>IF(ISERROR($B$552),"",IF(ISBLANK($B$552),"",$B$552))</f>
        <v/>
      </c>
      <c r="Y552" s="2">
        <f>IF(ISERROR($C$552),"",IF(ISBLANK($C$552),"",$C$552))</f>
        <v/>
      </c>
      <c r="Z552" s="2">
        <f>IF(ISERROR($D$552),"",IF(ISBLANK($D$552),"",$D$552))</f>
        <v/>
      </c>
      <c r="AA552" s="2">
        <f>IF(ISERROR($E$552),"",IF(ISBLANK($E$552),"",$E$552))</f>
        <v/>
      </c>
      <c r="AB552" s="2">
        <f>IF(ISERROR($F$552),"",IF(ISBLANK($F$552),"",$F$552))</f>
        <v/>
      </c>
      <c r="AC552" s="2">
        <f>IF(ISERROR($G$552),"",IF(ISBLANK($G$552),"",$G$552))</f>
        <v/>
      </c>
      <c r="AD552" s="2">
        <f>IF(ISERROR($H$552),"",IF(ISBLANK($H$552),"",$H$552))</f>
        <v/>
      </c>
      <c r="AE552" s="2">
        <f>IF(ISERROR($I$552),"",IF(ISBLANK($I$552),"",$I$552))</f>
        <v/>
      </c>
      <c r="AF552" s="2">
        <f>IF(ISERROR($J$552),"",IF(ISBLANK($J$552),"",$J$552))</f>
        <v/>
      </c>
      <c r="AG552" s="2">
        <f>ISERROR($B$552)*1+ISERROR($C$552)*1+ISERROR($D$552)*1+ISERROR($E$552)*1+ISERROR($F$552)*1+ISERROR($G$552)*1+ISERROR($H$552)*1+ISERROR($I$552)*1+ISERROR($J$552)*1</f>
        <v/>
      </c>
    </row>
    <row r="553" ht="26" customHeight="1">
      <c r="B553" s="35" t="n"/>
      <c r="C553" s="29" t="n"/>
      <c r="D553" s="29" t="n"/>
      <c r="E553" s="29" t="n"/>
      <c r="F553" s="29" t="n"/>
      <c r="G553" s="29" t="n"/>
      <c r="H553" s="29" t="n"/>
      <c r="I553" s="29" t="n"/>
      <c r="J553" s="29" t="n"/>
      <c r="K553" s="19">
        <f>IF(AG553&gt;0,"O Google leu como fórmula: digite de novo com ' na frente.","")</f>
        <v/>
      </c>
      <c r="N553" s="2">
        <f>N552+IF(LEN($X$553)&gt;0,1,0)</f>
        <v/>
      </c>
      <c r="P553" s="2">
        <f>P552+IF(LEN($Z$553)&gt;0,1,0)</f>
        <v/>
      </c>
      <c r="R553" s="2">
        <f>R552+IF(LEN($AB$553)&gt;0,1,0)</f>
        <v/>
      </c>
      <c r="S553" s="2">
        <f>S552+IF(LEN($AC$553)&gt;0,1,0)</f>
        <v/>
      </c>
      <c r="T553" s="2">
        <f>T552+IF(LEN($AD$553)&gt;0,1,0)</f>
        <v/>
      </c>
      <c r="U553" s="2">
        <f>U552+IF(LEN($AE$553)&gt;0,1,0)</f>
        <v/>
      </c>
      <c r="V553" s="2">
        <f>V552+IF(LEN($AF$553)&gt;0,1,0)</f>
        <v/>
      </c>
      <c r="X553" s="2">
        <f>IF(ISERROR($B$553),"",IF(ISBLANK($B$553),"",$B$553))</f>
        <v/>
      </c>
      <c r="Y553" s="2">
        <f>IF(ISERROR($C$553),"",IF(ISBLANK($C$553),"",$C$553))</f>
        <v/>
      </c>
      <c r="Z553" s="2">
        <f>IF(ISERROR($D$553),"",IF(ISBLANK($D$553),"",$D$553))</f>
        <v/>
      </c>
      <c r="AA553" s="2">
        <f>IF(ISERROR($E$553),"",IF(ISBLANK($E$553),"",$E$553))</f>
        <v/>
      </c>
      <c r="AB553" s="2">
        <f>IF(ISERROR($F$553),"",IF(ISBLANK($F$553),"",$F$553))</f>
        <v/>
      </c>
      <c r="AC553" s="2">
        <f>IF(ISERROR($G$553),"",IF(ISBLANK($G$553),"",$G$553))</f>
        <v/>
      </c>
      <c r="AD553" s="2">
        <f>IF(ISERROR($H$553),"",IF(ISBLANK($H$553),"",$H$553))</f>
        <v/>
      </c>
      <c r="AE553" s="2">
        <f>IF(ISERROR($I$553),"",IF(ISBLANK($I$553),"",$I$553))</f>
        <v/>
      </c>
      <c r="AF553" s="2">
        <f>IF(ISERROR($J$553),"",IF(ISBLANK($J$553),"",$J$553))</f>
        <v/>
      </c>
      <c r="AG553" s="2">
        <f>ISERROR($B$553)*1+ISERROR($C$553)*1+ISERROR($D$553)*1+ISERROR($E$553)*1+ISERROR($F$553)*1+ISERROR($G$553)*1+ISERROR($H$553)*1+ISERROR($I$553)*1+ISERROR($J$553)*1</f>
        <v/>
      </c>
    </row>
    <row r="554" ht="26" customHeight="1">
      <c r="B554" s="33" t="n"/>
      <c r="C554" s="4" t="n"/>
      <c r="D554" s="4" t="n"/>
      <c r="E554" s="4" t="n"/>
      <c r="F554" s="4" t="n"/>
      <c r="G554" s="4" t="n"/>
      <c r="H554" s="4" t="n"/>
      <c r="I554" s="4" t="n"/>
      <c r="J554" s="4" t="n"/>
      <c r="K554" s="19">
        <f>IF(AG554&gt;0,"O Google leu como fórmula: digite de novo com ' na frente.","")</f>
        <v/>
      </c>
      <c r="N554" s="2">
        <f>N553+IF(LEN($X$554)&gt;0,1,0)</f>
        <v/>
      </c>
      <c r="P554" s="2">
        <f>P553+IF(LEN($Z$554)&gt;0,1,0)</f>
        <v/>
      </c>
      <c r="R554" s="2">
        <f>R553+IF(LEN($AB$554)&gt;0,1,0)</f>
        <v/>
      </c>
      <c r="S554" s="2">
        <f>S553+IF(LEN($AC$554)&gt;0,1,0)</f>
        <v/>
      </c>
      <c r="T554" s="2">
        <f>T553+IF(LEN($AD$554)&gt;0,1,0)</f>
        <v/>
      </c>
      <c r="U554" s="2">
        <f>U553+IF(LEN($AE$554)&gt;0,1,0)</f>
        <v/>
      </c>
      <c r="V554" s="2">
        <f>V553+IF(LEN($AF$554)&gt;0,1,0)</f>
        <v/>
      </c>
      <c r="X554" s="2">
        <f>IF(ISERROR($B$554),"",IF(ISBLANK($B$554),"",$B$554))</f>
        <v/>
      </c>
      <c r="Y554" s="2">
        <f>IF(ISERROR($C$554),"",IF(ISBLANK($C$554),"",$C$554))</f>
        <v/>
      </c>
      <c r="Z554" s="2">
        <f>IF(ISERROR($D$554),"",IF(ISBLANK($D$554),"",$D$554))</f>
        <v/>
      </c>
      <c r="AA554" s="2">
        <f>IF(ISERROR($E$554),"",IF(ISBLANK($E$554),"",$E$554))</f>
        <v/>
      </c>
      <c r="AB554" s="2">
        <f>IF(ISERROR($F$554),"",IF(ISBLANK($F$554),"",$F$554))</f>
        <v/>
      </c>
      <c r="AC554" s="2">
        <f>IF(ISERROR($G$554),"",IF(ISBLANK($G$554),"",$G$554))</f>
        <v/>
      </c>
      <c r="AD554" s="2">
        <f>IF(ISERROR($H$554),"",IF(ISBLANK($H$554),"",$H$554))</f>
        <v/>
      </c>
      <c r="AE554" s="2">
        <f>IF(ISERROR($I$554),"",IF(ISBLANK($I$554),"",$I$554))</f>
        <v/>
      </c>
      <c r="AF554" s="2">
        <f>IF(ISERROR($J$554),"",IF(ISBLANK($J$554),"",$J$554))</f>
        <v/>
      </c>
      <c r="AG554" s="2">
        <f>ISERROR($B$554)*1+ISERROR($C$554)*1+ISERROR($D$554)*1+ISERROR($E$554)*1+ISERROR($F$554)*1+ISERROR($G$554)*1+ISERROR($H$554)*1+ISERROR($I$554)*1+ISERROR($J$554)*1</f>
        <v/>
      </c>
    </row>
    <row r="555" ht="15" customHeight="1">
      <c r="B555" s="8" t="inlineStr">
        <is>
          <t>Caminho (motivação)</t>
        </is>
      </c>
      <c r="C555" s="8" t="inlineStr">
        <is>
          <t>Motivação por Caminho</t>
        </is>
      </c>
      <c r="D555" s="8" t="inlineStr">
        <is>
          <t>Tipo (objetivo)</t>
        </is>
      </c>
      <c r="E555" s="8" t="inlineStr">
        <is>
          <t>Objetivo por tipo</t>
        </is>
      </c>
      <c r="F555" s="8" t="inlineStr">
        <is>
          <t>Tipo de aventura</t>
        </is>
      </c>
      <c r="G555" s="8" t="inlineStr">
        <is>
          <t>Gancho de aventura</t>
        </is>
      </c>
      <c r="H555" s="8" t="inlineStr">
        <is>
          <t>Local (sabor)</t>
        </is>
      </c>
      <c r="I555" s="8" t="inlineStr">
        <is>
          <t>Complicação</t>
        </is>
      </c>
      <c r="J555" s="8" t="inlineStr">
        <is>
          <t>Reviravolta</t>
        </is>
      </c>
      <c r="N555" s="2">
        <f>N554</f>
        <v/>
      </c>
      <c r="P555" s="2">
        <f>P554</f>
        <v/>
      </c>
      <c r="R555" s="2">
        <f>R554</f>
        <v/>
      </c>
      <c r="S555" s="2">
        <f>S554</f>
        <v/>
      </c>
      <c r="T555" s="2">
        <f>T554</f>
        <v/>
      </c>
      <c r="U555" s="2">
        <f>U554</f>
        <v/>
      </c>
      <c r="V555" s="2">
        <f>V554</f>
        <v/>
      </c>
      <c r="X555" s="2">
        <f>IF(ISERROR($B$555),"",IF(ISBLANK($B$555),"",$B$555))</f>
        <v/>
      </c>
      <c r="Y555" s="2">
        <f>IF(ISERROR($C$555),"",IF(ISBLANK($C$555),"",$C$555))</f>
        <v/>
      </c>
      <c r="Z555" s="2">
        <f>IF(ISERROR($D$555),"",IF(ISBLANK($D$555),"",$D$555))</f>
        <v/>
      </c>
      <c r="AA555" s="2">
        <f>IF(ISERROR($E$555),"",IF(ISBLANK($E$555),"",$E$555))</f>
        <v/>
      </c>
      <c r="AB555" s="2">
        <f>IF(ISERROR($F$555),"",IF(ISBLANK($F$555),"",$F$555))</f>
        <v/>
      </c>
      <c r="AC555" s="2">
        <f>IF(ISERROR($G$555),"",IF(ISBLANK($G$555),"",$G$555))</f>
        <v/>
      </c>
      <c r="AD555" s="2">
        <f>IF(ISERROR($H$555),"",IF(ISBLANK($H$555),"",$H$555))</f>
        <v/>
      </c>
      <c r="AE555" s="2">
        <f>IF(ISERROR($I$555),"",IF(ISBLANK($I$555),"",$I$555))</f>
        <v/>
      </c>
      <c r="AF555" s="2">
        <f>IF(ISERROR($J$555),"",IF(ISBLANK($J$555),"",$J$555))</f>
        <v/>
      </c>
    </row>
    <row r="556" ht="26" customHeight="1">
      <c r="B556" s="33" t="n"/>
      <c r="C556" s="4" t="n"/>
      <c r="D556" s="4" t="n"/>
      <c r="E556" s="4" t="n"/>
      <c r="F556" s="4" t="n"/>
      <c r="G556" s="4" t="n"/>
      <c r="H556" s="4" t="n"/>
      <c r="I556" s="4" t="n"/>
      <c r="J556" s="4" t="n"/>
      <c r="K556" s="19">
        <f>IF(AG556&gt;0,"O Google leu como fórmula: digite de novo com ' na frente.","")</f>
        <v/>
      </c>
      <c r="N556" s="2">
        <f>N555+IF(LEN($X$556)&gt;0,1,0)</f>
        <v/>
      </c>
      <c r="P556" s="2">
        <f>P555+IF(LEN($Z$556)&gt;0,1,0)</f>
        <v/>
      </c>
      <c r="R556" s="2">
        <f>R555+IF(LEN($AB$556)&gt;0,1,0)</f>
        <v/>
      </c>
      <c r="S556" s="2">
        <f>S555+IF(LEN($AC$556)&gt;0,1,0)</f>
        <v/>
      </c>
      <c r="T556" s="2">
        <f>T555+IF(LEN($AD$556)&gt;0,1,0)</f>
        <v/>
      </c>
      <c r="U556" s="2">
        <f>U555+IF(LEN($AE$556)&gt;0,1,0)</f>
        <v/>
      </c>
      <c r="V556" s="2">
        <f>V555+IF(LEN($AF$556)&gt;0,1,0)</f>
        <v/>
      </c>
      <c r="X556" s="2">
        <f>IF(ISERROR($B$556),"",IF(ISBLANK($B$556),"",$B$556))</f>
        <v/>
      </c>
      <c r="Y556" s="2">
        <f>IF(ISERROR($C$556),"",IF(ISBLANK($C$556),"",$C$556))</f>
        <v/>
      </c>
      <c r="Z556" s="2">
        <f>IF(ISERROR($D$556),"",IF(ISBLANK($D$556),"",$D$556))</f>
        <v/>
      </c>
      <c r="AA556" s="2">
        <f>IF(ISERROR($E$556),"",IF(ISBLANK($E$556),"",$E$556))</f>
        <v/>
      </c>
      <c r="AB556" s="2">
        <f>IF(ISERROR($F$556),"",IF(ISBLANK($F$556),"",$F$556))</f>
        <v/>
      </c>
      <c r="AC556" s="2">
        <f>IF(ISERROR($G$556),"",IF(ISBLANK($G$556),"",$G$556))</f>
        <v/>
      </c>
      <c r="AD556" s="2">
        <f>IF(ISERROR($H$556),"",IF(ISBLANK($H$556),"",$H$556))</f>
        <v/>
      </c>
      <c r="AE556" s="2">
        <f>IF(ISERROR($I$556),"",IF(ISBLANK($I$556),"",$I$556))</f>
        <v/>
      </c>
      <c r="AF556" s="2">
        <f>IF(ISERROR($J$556),"",IF(ISBLANK($J$556),"",$J$556))</f>
        <v/>
      </c>
      <c r="AG556" s="2">
        <f>ISERROR($B$556)*1+ISERROR($C$556)*1+ISERROR($D$556)*1+ISERROR($E$556)*1+ISERROR($F$556)*1+ISERROR($G$556)*1+ISERROR($H$556)*1+ISERROR($I$556)*1+ISERROR($J$556)*1</f>
        <v/>
      </c>
    </row>
    <row r="557" ht="26" customHeight="1">
      <c r="B557" s="35" t="n"/>
      <c r="C557" s="29" t="n"/>
      <c r="D557" s="29" t="n"/>
      <c r="E557" s="29" t="n"/>
      <c r="F557" s="29" t="n"/>
      <c r="G557" s="29" t="n"/>
      <c r="H557" s="29" t="n"/>
      <c r="I557" s="29" t="n"/>
      <c r="J557" s="29" t="n"/>
      <c r="K557" s="19">
        <f>IF(AG557&gt;0,"O Google leu como fórmula: digite de novo com ' na frente.","")</f>
        <v/>
      </c>
      <c r="N557" s="2">
        <f>N556+IF(LEN($X$557)&gt;0,1,0)</f>
        <v/>
      </c>
      <c r="P557" s="2">
        <f>P556+IF(LEN($Z$557)&gt;0,1,0)</f>
        <v/>
      </c>
      <c r="R557" s="2">
        <f>R556+IF(LEN($AB$557)&gt;0,1,0)</f>
        <v/>
      </c>
      <c r="S557" s="2">
        <f>S556+IF(LEN($AC$557)&gt;0,1,0)</f>
        <v/>
      </c>
      <c r="T557" s="2">
        <f>T556+IF(LEN($AD$557)&gt;0,1,0)</f>
        <v/>
      </c>
      <c r="U557" s="2">
        <f>U556+IF(LEN($AE$557)&gt;0,1,0)</f>
        <v/>
      </c>
      <c r="V557" s="2">
        <f>V556+IF(LEN($AF$557)&gt;0,1,0)</f>
        <v/>
      </c>
      <c r="X557" s="2">
        <f>IF(ISERROR($B$557),"",IF(ISBLANK($B$557),"",$B$557))</f>
        <v/>
      </c>
      <c r="Y557" s="2">
        <f>IF(ISERROR($C$557),"",IF(ISBLANK($C$557),"",$C$557))</f>
        <v/>
      </c>
      <c r="Z557" s="2">
        <f>IF(ISERROR($D$557),"",IF(ISBLANK($D$557),"",$D$557))</f>
        <v/>
      </c>
      <c r="AA557" s="2">
        <f>IF(ISERROR($E$557),"",IF(ISBLANK($E$557),"",$E$557))</f>
        <v/>
      </c>
      <c r="AB557" s="2">
        <f>IF(ISERROR($F$557),"",IF(ISBLANK($F$557),"",$F$557))</f>
        <v/>
      </c>
      <c r="AC557" s="2">
        <f>IF(ISERROR($G$557),"",IF(ISBLANK($G$557),"",$G$557))</f>
        <v/>
      </c>
      <c r="AD557" s="2">
        <f>IF(ISERROR($H$557),"",IF(ISBLANK($H$557),"",$H$557))</f>
        <v/>
      </c>
      <c r="AE557" s="2">
        <f>IF(ISERROR($I$557),"",IF(ISBLANK($I$557),"",$I$557))</f>
        <v/>
      </c>
      <c r="AF557" s="2">
        <f>IF(ISERROR($J$557),"",IF(ISBLANK($J$557),"",$J$557))</f>
        <v/>
      </c>
      <c r="AG557" s="2">
        <f>ISERROR($B$557)*1+ISERROR($C$557)*1+ISERROR($D$557)*1+ISERROR($E$557)*1+ISERROR($F$557)*1+ISERROR($G$557)*1+ISERROR($H$557)*1+ISERROR($I$557)*1+ISERROR($J$557)*1</f>
        <v/>
      </c>
    </row>
    <row r="558" ht="26" customHeight="1">
      <c r="B558" s="33" t="n"/>
      <c r="C558" s="4" t="n"/>
      <c r="D558" s="4" t="n"/>
      <c r="E558" s="4" t="n"/>
      <c r="F558" s="4" t="n"/>
      <c r="G558" s="4" t="n"/>
      <c r="H558" s="4" t="n"/>
      <c r="I558" s="4" t="n"/>
      <c r="J558" s="4" t="n"/>
      <c r="K558" s="19">
        <f>IF(AG558&gt;0,"O Google leu como fórmula: digite de novo com ' na frente.","")</f>
        <v/>
      </c>
      <c r="N558" s="2">
        <f>N557+IF(LEN($X$558)&gt;0,1,0)</f>
        <v/>
      </c>
      <c r="P558" s="2">
        <f>P557+IF(LEN($Z$558)&gt;0,1,0)</f>
        <v/>
      </c>
      <c r="R558" s="2">
        <f>R557+IF(LEN($AB$558)&gt;0,1,0)</f>
        <v/>
      </c>
      <c r="S558" s="2">
        <f>S557+IF(LEN($AC$558)&gt;0,1,0)</f>
        <v/>
      </c>
      <c r="T558" s="2">
        <f>T557+IF(LEN($AD$558)&gt;0,1,0)</f>
        <v/>
      </c>
      <c r="U558" s="2">
        <f>U557+IF(LEN($AE$558)&gt;0,1,0)</f>
        <v/>
      </c>
      <c r="V558" s="2">
        <f>V557+IF(LEN($AF$558)&gt;0,1,0)</f>
        <v/>
      </c>
      <c r="X558" s="2">
        <f>IF(ISERROR($B$558),"",IF(ISBLANK($B$558),"",$B$558))</f>
        <v/>
      </c>
      <c r="Y558" s="2">
        <f>IF(ISERROR($C$558),"",IF(ISBLANK($C$558),"",$C$558))</f>
        <v/>
      </c>
      <c r="Z558" s="2">
        <f>IF(ISERROR($D$558),"",IF(ISBLANK($D$558),"",$D$558))</f>
        <v/>
      </c>
      <c r="AA558" s="2">
        <f>IF(ISERROR($E$558),"",IF(ISBLANK($E$558),"",$E$558))</f>
        <v/>
      </c>
      <c r="AB558" s="2">
        <f>IF(ISERROR($F$558),"",IF(ISBLANK($F$558),"",$F$558))</f>
        <v/>
      </c>
      <c r="AC558" s="2">
        <f>IF(ISERROR($G$558),"",IF(ISBLANK($G$558),"",$G$558))</f>
        <v/>
      </c>
      <c r="AD558" s="2">
        <f>IF(ISERROR($H$558),"",IF(ISBLANK($H$558),"",$H$558))</f>
        <v/>
      </c>
      <c r="AE558" s="2">
        <f>IF(ISERROR($I$558),"",IF(ISBLANK($I$558),"",$I$558))</f>
        <v/>
      </c>
      <c r="AF558" s="2">
        <f>IF(ISERROR($J$558),"",IF(ISBLANK($J$558),"",$J$558))</f>
        <v/>
      </c>
      <c r="AG558" s="2">
        <f>ISERROR($B$558)*1+ISERROR($C$558)*1+ISERROR($D$558)*1+ISERROR($E$558)*1+ISERROR($F$558)*1+ISERROR($G$558)*1+ISERROR($H$558)*1+ISERROR($I$558)*1+ISERROR($J$558)*1</f>
        <v/>
      </c>
    </row>
    <row r="559" ht="26" customHeight="1">
      <c r="B559" s="35" t="n"/>
      <c r="C559" s="29" t="n"/>
      <c r="D559" s="29" t="n"/>
      <c r="E559" s="29" t="n"/>
      <c r="F559" s="29" t="n"/>
      <c r="G559" s="29" t="n"/>
      <c r="H559" s="29" t="n"/>
      <c r="I559" s="29" t="n"/>
      <c r="J559" s="29" t="n"/>
      <c r="K559" s="19">
        <f>IF(AG559&gt;0,"O Google leu como fórmula: digite de novo com ' na frente.","")</f>
        <v/>
      </c>
      <c r="N559" s="2">
        <f>N558+IF(LEN($X$559)&gt;0,1,0)</f>
        <v/>
      </c>
      <c r="P559" s="2">
        <f>P558+IF(LEN($Z$559)&gt;0,1,0)</f>
        <v/>
      </c>
      <c r="R559" s="2">
        <f>R558+IF(LEN($AB$559)&gt;0,1,0)</f>
        <v/>
      </c>
      <c r="S559" s="2">
        <f>S558+IF(LEN($AC$559)&gt;0,1,0)</f>
        <v/>
      </c>
      <c r="T559" s="2">
        <f>T558+IF(LEN($AD$559)&gt;0,1,0)</f>
        <v/>
      </c>
      <c r="U559" s="2">
        <f>U558+IF(LEN($AE$559)&gt;0,1,0)</f>
        <v/>
      </c>
      <c r="V559" s="2">
        <f>V558+IF(LEN($AF$559)&gt;0,1,0)</f>
        <v/>
      </c>
      <c r="X559" s="2">
        <f>IF(ISERROR($B$559),"",IF(ISBLANK($B$559),"",$B$559))</f>
        <v/>
      </c>
      <c r="Y559" s="2">
        <f>IF(ISERROR($C$559),"",IF(ISBLANK($C$559),"",$C$559))</f>
        <v/>
      </c>
      <c r="Z559" s="2">
        <f>IF(ISERROR($D$559),"",IF(ISBLANK($D$559),"",$D$559))</f>
        <v/>
      </c>
      <c r="AA559" s="2">
        <f>IF(ISERROR($E$559),"",IF(ISBLANK($E$559),"",$E$559))</f>
        <v/>
      </c>
      <c r="AB559" s="2">
        <f>IF(ISERROR($F$559),"",IF(ISBLANK($F$559),"",$F$559))</f>
        <v/>
      </c>
      <c r="AC559" s="2">
        <f>IF(ISERROR($G$559),"",IF(ISBLANK($G$559),"",$G$559))</f>
        <v/>
      </c>
      <c r="AD559" s="2">
        <f>IF(ISERROR($H$559),"",IF(ISBLANK($H$559),"",$H$559))</f>
        <v/>
      </c>
      <c r="AE559" s="2">
        <f>IF(ISERROR($I$559),"",IF(ISBLANK($I$559),"",$I$559))</f>
        <v/>
      </c>
      <c r="AF559" s="2">
        <f>IF(ISERROR($J$559),"",IF(ISBLANK($J$559),"",$J$559))</f>
        <v/>
      </c>
      <c r="AG559" s="2">
        <f>ISERROR($B$559)*1+ISERROR($C$559)*1+ISERROR($D$559)*1+ISERROR($E$559)*1+ISERROR($F$559)*1+ISERROR($G$559)*1+ISERROR($H$559)*1+ISERROR($I$559)*1+ISERROR($J$559)*1</f>
        <v/>
      </c>
    </row>
    <row r="560" ht="26" customHeight="1">
      <c r="B560" s="33" t="n"/>
      <c r="C560" s="4" t="n"/>
      <c r="D560" s="4" t="n"/>
      <c r="E560" s="4" t="n"/>
      <c r="F560" s="4" t="n"/>
      <c r="G560" s="4" t="n"/>
      <c r="H560" s="4" t="n"/>
      <c r="I560" s="4" t="n"/>
      <c r="J560" s="4" t="n"/>
      <c r="K560" s="19">
        <f>IF(AG560&gt;0,"O Google leu como fórmula: digite de novo com ' na frente.","")</f>
        <v/>
      </c>
      <c r="N560" s="2">
        <f>N559+IF(LEN($X$560)&gt;0,1,0)</f>
        <v/>
      </c>
      <c r="P560" s="2">
        <f>P559+IF(LEN($Z$560)&gt;0,1,0)</f>
        <v/>
      </c>
      <c r="R560" s="2">
        <f>R559+IF(LEN($AB$560)&gt;0,1,0)</f>
        <v/>
      </c>
      <c r="S560" s="2">
        <f>S559+IF(LEN($AC$560)&gt;0,1,0)</f>
        <v/>
      </c>
      <c r="T560" s="2">
        <f>T559+IF(LEN($AD$560)&gt;0,1,0)</f>
        <v/>
      </c>
      <c r="U560" s="2">
        <f>U559+IF(LEN($AE$560)&gt;0,1,0)</f>
        <v/>
      </c>
      <c r="V560" s="2">
        <f>V559+IF(LEN($AF$560)&gt;0,1,0)</f>
        <v/>
      </c>
      <c r="X560" s="2">
        <f>IF(ISERROR($B$560),"",IF(ISBLANK($B$560),"",$B$560))</f>
        <v/>
      </c>
      <c r="Y560" s="2">
        <f>IF(ISERROR($C$560),"",IF(ISBLANK($C$560),"",$C$560))</f>
        <v/>
      </c>
      <c r="Z560" s="2">
        <f>IF(ISERROR($D$560),"",IF(ISBLANK($D$560),"",$D$560))</f>
        <v/>
      </c>
      <c r="AA560" s="2">
        <f>IF(ISERROR($E$560),"",IF(ISBLANK($E$560),"",$E$560))</f>
        <v/>
      </c>
      <c r="AB560" s="2">
        <f>IF(ISERROR($F$560),"",IF(ISBLANK($F$560),"",$F$560))</f>
        <v/>
      </c>
      <c r="AC560" s="2">
        <f>IF(ISERROR($G$560),"",IF(ISBLANK($G$560),"",$G$560))</f>
        <v/>
      </c>
      <c r="AD560" s="2">
        <f>IF(ISERROR($H$560),"",IF(ISBLANK($H$560),"",$H$560))</f>
        <v/>
      </c>
      <c r="AE560" s="2">
        <f>IF(ISERROR($I$560),"",IF(ISBLANK($I$560),"",$I$560))</f>
        <v/>
      </c>
      <c r="AF560" s="2">
        <f>IF(ISERROR($J$560),"",IF(ISBLANK($J$560),"",$J$560))</f>
        <v/>
      </c>
      <c r="AG560" s="2">
        <f>ISERROR($B$560)*1+ISERROR($C$560)*1+ISERROR($D$560)*1+ISERROR($E$560)*1+ISERROR($F$560)*1+ISERROR($G$560)*1+ISERROR($H$560)*1+ISERROR($I$560)*1+ISERROR($J$560)*1</f>
        <v/>
      </c>
    </row>
    <row r="561" ht="26" customHeight="1">
      <c r="B561" s="35" t="n"/>
      <c r="C561" s="29" t="n"/>
      <c r="D561" s="29" t="n"/>
      <c r="E561" s="29" t="n"/>
      <c r="F561" s="29" t="n"/>
      <c r="G561" s="29" t="n"/>
      <c r="H561" s="29" t="n"/>
      <c r="I561" s="29" t="n"/>
      <c r="J561" s="29" t="n"/>
      <c r="K561" s="19">
        <f>IF(AG561&gt;0,"O Google leu como fórmula: digite de novo com ' na frente.","")</f>
        <v/>
      </c>
      <c r="N561" s="2">
        <f>N560+IF(LEN($X$561)&gt;0,1,0)</f>
        <v/>
      </c>
      <c r="P561" s="2">
        <f>P560+IF(LEN($Z$561)&gt;0,1,0)</f>
        <v/>
      </c>
      <c r="R561" s="2">
        <f>R560+IF(LEN($AB$561)&gt;0,1,0)</f>
        <v/>
      </c>
      <c r="S561" s="2">
        <f>S560+IF(LEN($AC$561)&gt;0,1,0)</f>
        <v/>
      </c>
      <c r="T561" s="2">
        <f>T560+IF(LEN($AD$561)&gt;0,1,0)</f>
        <v/>
      </c>
      <c r="U561" s="2">
        <f>U560+IF(LEN($AE$561)&gt;0,1,0)</f>
        <v/>
      </c>
      <c r="V561" s="2">
        <f>V560+IF(LEN($AF$561)&gt;0,1,0)</f>
        <v/>
      </c>
      <c r="X561" s="2">
        <f>IF(ISERROR($B$561),"",IF(ISBLANK($B$561),"",$B$561))</f>
        <v/>
      </c>
      <c r="Y561" s="2">
        <f>IF(ISERROR($C$561),"",IF(ISBLANK($C$561),"",$C$561))</f>
        <v/>
      </c>
      <c r="Z561" s="2">
        <f>IF(ISERROR($D$561),"",IF(ISBLANK($D$561),"",$D$561))</f>
        <v/>
      </c>
      <c r="AA561" s="2">
        <f>IF(ISERROR($E$561),"",IF(ISBLANK($E$561),"",$E$561))</f>
        <v/>
      </c>
      <c r="AB561" s="2">
        <f>IF(ISERROR($F$561),"",IF(ISBLANK($F$561),"",$F$561))</f>
        <v/>
      </c>
      <c r="AC561" s="2">
        <f>IF(ISERROR($G$561),"",IF(ISBLANK($G$561),"",$G$561))</f>
        <v/>
      </c>
      <c r="AD561" s="2">
        <f>IF(ISERROR($H$561),"",IF(ISBLANK($H$561),"",$H$561))</f>
        <v/>
      </c>
      <c r="AE561" s="2">
        <f>IF(ISERROR($I$561),"",IF(ISBLANK($I$561),"",$I$561))</f>
        <v/>
      </c>
      <c r="AF561" s="2">
        <f>IF(ISERROR($J$561),"",IF(ISBLANK($J$561),"",$J$561))</f>
        <v/>
      </c>
      <c r="AG561" s="2">
        <f>ISERROR($B$561)*1+ISERROR($C$561)*1+ISERROR($D$561)*1+ISERROR($E$561)*1+ISERROR($F$561)*1+ISERROR($G$561)*1+ISERROR($H$561)*1+ISERROR($I$561)*1+ISERROR($J$561)*1</f>
        <v/>
      </c>
    </row>
    <row r="562" ht="26" customHeight="1">
      <c r="B562" s="33" t="n"/>
      <c r="C562" s="4" t="n"/>
      <c r="D562" s="4" t="n"/>
      <c r="E562" s="4" t="n"/>
      <c r="F562" s="4" t="n"/>
      <c r="G562" s="4" t="n"/>
      <c r="H562" s="4" t="n"/>
      <c r="I562" s="4" t="n"/>
      <c r="J562" s="4" t="n"/>
      <c r="K562" s="19">
        <f>IF(AG562&gt;0,"O Google leu como fórmula: digite de novo com ' na frente.","")</f>
        <v/>
      </c>
      <c r="N562" s="2">
        <f>N561+IF(LEN($X$562)&gt;0,1,0)</f>
        <v/>
      </c>
      <c r="P562" s="2">
        <f>P561+IF(LEN($Z$562)&gt;0,1,0)</f>
        <v/>
      </c>
      <c r="R562" s="2">
        <f>R561+IF(LEN($AB$562)&gt;0,1,0)</f>
        <v/>
      </c>
      <c r="S562" s="2">
        <f>S561+IF(LEN($AC$562)&gt;0,1,0)</f>
        <v/>
      </c>
      <c r="T562" s="2">
        <f>T561+IF(LEN($AD$562)&gt;0,1,0)</f>
        <v/>
      </c>
      <c r="U562" s="2">
        <f>U561+IF(LEN($AE$562)&gt;0,1,0)</f>
        <v/>
      </c>
      <c r="V562" s="2">
        <f>V561+IF(LEN($AF$562)&gt;0,1,0)</f>
        <v/>
      </c>
      <c r="X562" s="2">
        <f>IF(ISERROR($B$562),"",IF(ISBLANK($B$562),"",$B$562))</f>
        <v/>
      </c>
      <c r="Y562" s="2">
        <f>IF(ISERROR($C$562),"",IF(ISBLANK($C$562),"",$C$562))</f>
        <v/>
      </c>
      <c r="Z562" s="2">
        <f>IF(ISERROR($D$562),"",IF(ISBLANK($D$562),"",$D$562))</f>
        <v/>
      </c>
      <c r="AA562" s="2">
        <f>IF(ISERROR($E$562),"",IF(ISBLANK($E$562),"",$E$562))</f>
        <v/>
      </c>
      <c r="AB562" s="2">
        <f>IF(ISERROR($F$562),"",IF(ISBLANK($F$562),"",$F$562))</f>
        <v/>
      </c>
      <c r="AC562" s="2">
        <f>IF(ISERROR($G$562),"",IF(ISBLANK($G$562),"",$G$562))</f>
        <v/>
      </c>
      <c r="AD562" s="2">
        <f>IF(ISERROR($H$562),"",IF(ISBLANK($H$562),"",$H$562))</f>
        <v/>
      </c>
      <c r="AE562" s="2">
        <f>IF(ISERROR($I$562),"",IF(ISBLANK($I$562),"",$I$562))</f>
        <v/>
      </c>
      <c r="AF562" s="2">
        <f>IF(ISERROR($J$562),"",IF(ISBLANK($J$562),"",$J$562))</f>
        <v/>
      </c>
      <c r="AG562" s="2">
        <f>ISERROR($B$562)*1+ISERROR($C$562)*1+ISERROR($D$562)*1+ISERROR($E$562)*1+ISERROR($F$562)*1+ISERROR($G$562)*1+ISERROR($H$562)*1+ISERROR($I$562)*1+ISERROR($J$562)*1</f>
        <v/>
      </c>
    </row>
    <row r="563" ht="26" customHeight="1">
      <c r="B563" s="35" t="n"/>
      <c r="C563" s="29" t="n"/>
      <c r="D563" s="29" t="n"/>
      <c r="E563" s="29" t="n"/>
      <c r="F563" s="29" t="n"/>
      <c r="G563" s="29" t="n"/>
      <c r="H563" s="29" t="n"/>
      <c r="I563" s="29" t="n"/>
      <c r="J563" s="29" t="n"/>
      <c r="K563" s="19">
        <f>IF(AG563&gt;0,"O Google leu como fórmula: digite de novo com ' na frente.","")</f>
        <v/>
      </c>
      <c r="N563" s="2">
        <f>N562+IF(LEN($X$563)&gt;0,1,0)</f>
        <v/>
      </c>
      <c r="P563" s="2">
        <f>P562+IF(LEN($Z$563)&gt;0,1,0)</f>
        <v/>
      </c>
      <c r="R563" s="2">
        <f>R562+IF(LEN($AB$563)&gt;0,1,0)</f>
        <v/>
      </c>
      <c r="S563" s="2">
        <f>S562+IF(LEN($AC$563)&gt;0,1,0)</f>
        <v/>
      </c>
      <c r="T563" s="2">
        <f>T562+IF(LEN($AD$563)&gt;0,1,0)</f>
        <v/>
      </c>
      <c r="U563" s="2">
        <f>U562+IF(LEN($AE$563)&gt;0,1,0)</f>
        <v/>
      </c>
      <c r="V563" s="2">
        <f>V562+IF(LEN($AF$563)&gt;0,1,0)</f>
        <v/>
      </c>
      <c r="X563" s="2">
        <f>IF(ISERROR($B$563),"",IF(ISBLANK($B$563),"",$B$563))</f>
        <v/>
      </c>
      <c r="Y563" s="2">
        <f>IF(ISERROR($C$563),"",IF(ISBLANK($C$563),"",$C$563))</f>
        <v/>
      </c>
      <c r="Z563" s="2">
        <f>IF(ISERROR($D$563),"",IF(ISBLANK($D$563),"",$D$563))</f>
        <v/>
      </c>
      <c r="AA563" s="2">
        <f>IF(ISERROR($E$563),"",IF(ISBLANK($E$563),"",$E$563))</f>
        <v/>
      </c>
      <c r="AB563" s="2">
        <f>IF(ISERROR($F$563),"",IF(ISBLANK($F$563),"",$F$563))</f>
        <v/>
      </c>
      <c r="AC563" s="2">
        <f>IF(ISERROR($G$563),"",IF(ISBLANK($G$563),"",$G$563))</f>
        <v/>
      </c>
      <c r="AD563" s="2">
        <f>IF(ISERROR($H$563),"",IF(ISBLANK($H$563),"",$H$563))</f>
        <v/>
      </c>
      <c r="AE563" s="2">
        <f>IF(ISERROR($I$563),"",IF(ISBLANK($I$563),"",$I$563))</f>
        <v/>
      </c>
      <c r="AF563" s="2">
        <f>IF(ISERROR($J$563),"",IF(ISBLANK($J$563),"",$J$563))</f>
        <v/>
      </c>
      <c r="AG563" s="2">
        <f>ISERROR($B$563)*1+ISERROR($C$563)*1+ISERROR($D$563)*1+ISERROR($E$563)*1+ISERROR($F$563)*1+ISERROR($G$563)*1+ISERROR($H$563)*1+ISERROR($I$563)*1+ISERROR($J$563)*1</f>
        <v/>
      </c>
    </row>
    <row r="564" ht="26" customHeight="1">
      <c r="B564" s="33" t="n"/>
      <c r="C564" s="4" t="n"/>
      <c r="D564" s="4" t="n"/>
      <c r="E564" s="4" t="n"/>
      <c r="F564" s="4" t="n"/>
      <c r="G564" s="4" t="n"/>
      <c r="H564" s="4" t="n"/>
      <c r="I564" s="4" t="n"/>
      <c r="J564" s="4" t="n"/>
      <c r="K564" s="19">
        <f>IF(AG564&gt;0,"O Google leu como fórmula: digite de novo com ' na frente.","")</f>
        <v/>
      </c>
      <c r="N564" s="2">
        <f>N563+IF(LEN($X$564)&gt;0,1,0)</f>
        <v/>
      </c>
      <c r="P564" s="2">
        <f>P563+IF(LEN($Z$564)&gt;0,1,0)</f>
        <v/>
      </c>
      <c r="R564" s="2">
        <f>R563+IF(LEN($AB$564)&gt;0,1,0)</f>
        <v/>
      </c>
      <c r="S564" s="2">
        <f>S563+IF(LEN($AC$564)&gt;0,1,0)</f>
        <v/>
      </c>
      <c r="T564" s="2">
        <f>T563+IF(LEN($AD$564)&gt;0,1,0)</f>
        <v/>
      </c>
      <c r="U564" s="2">
        <f>U563+IF(LEN($AE$564)&gt;0,1,0)</f>
        <v/>
      </c>
      <c r="V564" s="2">
        <f>V563+IF(LEN($AF$564)&gt;0,1,0)</f>
        <v/>
      </c>
      <c r="X564" s="2">
        <f>IF(ISERROR($B$564),"",IF(ISBLANK($B$564),"",$B$564))</f>
        <v/>
      </c>
      <c r="Y564" s="2">
        <f>IF(ISERROR($C$564),"",IF(ISBLANK($C$564),"",$C$564))</f>
        <v/>
      </c>
      <c r="Z564" s="2">
        <f>IF(ISERROR($D$564),"",IF(ISBLANK($D$564),"",$D$564))</f>
        <v/>
      </c>
      <c r="AA564" s="2">
        <f>IF(ISERROR($E$564),"",IF(ISBLANK($E$564),"",$E$564))</f>
        <v/>
      </c>
      <c r="AB564" s="2">
        <f>IF(ISERROR($F$564),"",IF(ISBLANK($F$564),"",$F$564))</f>
        <v/>
      </c>
      <c r="AC564" s="2">
        <f>IF(ISERROR($G$564),"",IF(ISBLANK($G$564),"",$G$564))</f>
        <v/>
      </c>
      <c r="AD564" s="2">
        <f>IF(ISERROR($H$564),"",IF(ISBLANK($H$564),"",$H$564))</f>
        <v/>
      </c>
      <c r="AE564" s="2">
        <f>IF(ISERROR($I$564),"",IF(ISBLANK($I$564),"",$I$564))</f>
        <v/>
      </c>
      <c r="AF564" s="2">
        <f>IF(ISERROR($J$564),"",IF(ISBLANK($J$564),"",$J$564))</f>
        <v/>
      </c>
      <c r="AG564" s="2">
        <f>ISERROR($B$564)*1+ISERROR($C$564)*1+ISERROR($D$564)*1+ISERROR($E$564)*1+ISERROR($F$564)*1+ISERROR($G$564)*1+ISERROR($H$564)*1+ISERROR($I$564)*1+ISERROR($J$564)*1</f>
        <v/>
      </c>
    </row>
    <row r="565" ht="26" customHeight="1">
      <c r="B565" s="35" t="n"/>
      <c r="C565" s="29" t="n"/>
      <c r="D565" s="29" t="n"/>
      <c r="E565" s="29" t="n"/>
      <c r="F565" s="29" t="n"/>
      <c r="G565" s="29" t="n"/>
      <c r="H565" s="29" t="n"/>
      <c r="I565" s="29" t="n"/>
      <c r="J565" s="29" t="n"/>
      <c r="K565" s="19">
        <f>IF(AG565&gt;0,"O Google leu como fórmula: digite de novo com ' na frente.","")</f>
        <v/>
      </c>
      <c r="N565" s="2">
        <f>N564+IF(LEN($X$565)&gt;0,1,0)</f>
        <v/>
      </c>
      <c r="P565" s="2">
        <f>P564+IF(LEN($Z$565)&gt;0,1,0)</f>
        <v/>
      </c>
      <c r="R565" s="2">
        <f>R564+IF(LEN($AB$565)&gt;0,1,0)</f>
        <v/>
      </c>
      <c r="S565" s="2">
        <f>S564+IF(LEN($AC$565)&gt;0,1,0)</f>
        <v/>
      </c>
      <c r="T565" s="2">
        <f>T564+IF(LEN($AD$565)&gt;0,1,0)</f>
        <v/>
      </c>
      <c r="U565" s="2">
        <f>U564+IF(LEN($AE$565)&gt;0,1,0)</f>
        <v/>
      </c>
      <c r="V565" s="2">
        <f>V564+IF(LEN($AF$565)&gt;0,1,0)</f>
        <v/>
      </c>
      <c r="X565" s="2">
        <f>IF(ISERROR($B$565),"",IF(ISBLANK($B$565),"",$B$565))</f>
        <v/>
      </c>
      <c r="Y565" s="2">
        <f>IF(ISERROR($C$565),"",IF(ISBLANK($C$565),"",$C$565))</f>
        <v/>
      </c>
      <c r="Z565" s="2">
        <f>IF(ISERROR($D$565),"",IF(ISBLANK($D$565),"",$D$565))</f>
        <v/>
      </c>
      <c r="AA565" s="2">
        <f>IF(ISERROR($E$565),"",IF(ISBLANK($E$565),"",$E$565))</f>
        <v/>
      </c>
      <c r="AB565" s="2">
        <f>IF(ISERROR($F$565),"",IF(ISBLANK($F$565),"",$F$565))</f>
        <v/>
      </c>
      <c r="AC565" s="2">
        <f>IF(ISERROR($G$565),"",IF(ISBLANK($G$565),"",$G$565))</f>
        <v/>
      </c>
      <c r="AD565" s="2">
        <f>IF(ISERROR($H$565),"",IF(ISBLANK($H$565),"",$H$565))</f>
        <v/>
      </c>
      <c r="AE565" s="2">
        <f>IF(ISERROR($I$565),"",IF(ISBLANK($I$565),"",$I$565))</f>
        <v/>
      </c>
      <c r="AF565" s="2">
        <f>IF(ISERROR($J$565),"",IF(ISBLANK($J$565),"",$J$565))</f>
        <v/>
      </c>
      <c r="AG565" s="2">
        <f>ISERROR($B$565)*1+ISERROR($C$565)*1+ISERROR($D$565)*1+ISERROR($E$565)*1+ISERROR($F$565)*1+ISERROR($G$565)*1+ISERROR($H$565)*1+ISERROR($I$565)*1+ISERROR($J$565)*1</f>
        <v/>
      </c>
    </row>
    <row r="566" ht="26" customHeight="1">
      <c r="B566" s="33" t="n"/>
      <c r="C566" s="4" t="n"/>
      <c r="D566" s="4" t="n"/>
      <c r="E566" s="4" t="n"/>
      <c r="F566" s="4" t="n"/>
      <c r="G566" s="4" t="n"/>
      <c r="H566" s="4" t="n"/>
      <c r="I566" s="4" t="n"/>
      <c r="J566" s="4" t="n"/>
      <c r="K566" s="19">
        <f>IF(AG566&gt;0,"O Google leu como fórmula: digite de novo com ' na frente.","")</f>
        <v/>
      </c>
      <c r="N566" s="2">
        <f>N565+IF(LEN($X$566)&gt;0,1,0)</f>
        <v/>
      </c>
      <c r="P566" s="2">
        <f>P565+IF(LEN($Z$566)&gt;0,1,0)</f>
        <v/>
      </c>
      <c r="R566" s="2">
        <f>R565+IF(LEN($AB$566)&gt;0,1,0)</f>
        <v/>
      </c>
      <c r="S566" s="2">
        <f>S565+IF(LEN($AC$566)&gt;0,1,0)</f>
        <v/>
      </c>
      <c r="T566" s="2">
        <f>T565+IF(LEN($AD$566)&gt;0,1,0)</f>
        <v/>
      </c>
      <c r="U566" s="2">
        <f>U565+IF(LEN($AE$566)&gt;0,1,0)</f>
        <v/>
      </c>
      <c r="V566" s="2">
        <f>V565+IF(LEN($AF$566)&gt;0,1,0)</f>
        <v/>
      </c>
      <c r="X566" s="2">
        <f>IF(ISERROR($B$566),"",IF(ISBLANK($B$566),"",$B$566))</f>
        <v/>
      </c>
      <c r="Y566" s="2">
        <f>IF(ISERROR($C$566),"",IF(ISBLANK($C$566),"",$C$566))</f>
        <v/>
      </c>
      <c r="Z566" s="2">
        <f>IF(ISERROR($D$566),"",IF(ISBLANK($D$566),"",$D$566))</f>
        <v/>
      </c>
      <c r="AA566" s="2">
        <f>IF(ISERROR($E$566),"",IF(ISBLANK($E$566),"",$E$566))</f>
        <v/>
      </c>
      <c r="AB566" s="2">
        <f>IF(ISERROR($F$566),"",IF(ISBLANK($F$566),"",$F$566))</f>
        <v/>
      </c>
      <c r="AC566" s="2">
        <f>IF(ISERROR($G$566),"",IF(ISBLANK($G$566),"",$G$566))</f>
        <v/>
      </c>
      <c r="AD566" s="2">
        <f>IF(ISERROR($H$566),"",IF(ISBLANK($H$566),"",$H$566))</f>
        <v/>
      </c>
      <c r="AE566" s="2">
        <f>IF(ISERROR($I$566),"",IF(ISBLANK($I$566),"",$I$566))</f>
        <v/>
      </c>
      <c r="AF566" s="2">
        <f>IF(ISERROR($J$566),"",IF(ISBLANK($J$566),"",$J$566))</f>
        <v/>
      </c>
      <c r="AG566" s="2">
        <f>ISERROR($B$566)*1+ISERROR($C$566)*1+ISERROR($D$566)*1+ISERROR($E$566)*1+ISERROR($F$566)*1+ISERROR($G$566)*1+ISERROR($H$566)*1+ISERROR($I$566)*1+ISERROR($J$566)*1</f>
        <v/>
      </c>
    </row>
    <row r="567" ht="26" customHeight="1">
      <c r="B567" s="35" t="n"/>
      <c r="C567" s="29" t="n"/>
      <c r="D567" s="29" t="n"/>
      <c r="E567" s="29" t="n"/>
      <c r="F567" s="29" t="n"/>
      <c r="G567" s="29" t="n"/>
      <c r="H567" s="29" t="n"/>
      <c r="I567" s="29" t="n"/>
      <c r="J567" s="29" t="n"/>
      <c r="K567" s="19">
        <f>IF(AG567&gt;0,"O Google leu como fórmula: digite de novo com ' na frente.","")</f>
        <v/>
      </c>
      <c r="N567" s="2">
        <f>N566+IF(LEN($X$567)&gt;0,1,0)</f>
        <v/>
      </c>
      <c r="P567" s="2">
        <f>P566+IF(LEN($Z$567)&gt;0,1,0)</f>
        <v/>
      </c>
      <c r="R567" s="2">
        <f>R566+IF(LEN($AB$567)&gt;0,1,0)</f>
        <v/>
      </c>
      <c r="S567" s="2">
        <f>S566+IF(LEN($AC$567)&gt;0,1,0)</f>
        <v/>
      </c>
      <c r="T567" s="2">
        <f>T566+IF(LEN($AD$567)&gt;0,1,0)</f>
        <v/>
      </c>
      <c r="U567" s="2">
        <f>U566+IF(LEN($AE$567)&gt;0,1,0)</f>
        <v/>
      </c>
      <c r="V567" s="2">
        <f>V566+IF(LEN($AF$567)&gt;0,1,0)</f>
        <v/>
      </c>
      <c r="X567" s="2">
        <f>IF(ISERROR($B$567),"",IF(ISBLANK($B$567),"",$B$567))</f>
        <v/>
      </c>
      <c r="Y567" s="2">
        <f>IF(ISERROR($C$567),"",IF(ISBLANK($C$567),"",$C$567))</f>
        <v/>
      </c>
      <c r="Z567" s="2">
        <f>IF(ISERROR($D$567),"",IF(ISBLANK($D$567),"",$D$567))</f>
        <v/>
      </c>
      <c r="AA567" s="2">
        <f>IF(ISERROR($E$567),"",IF(ISBLANK($E$567),"",$E$567))</f>
        <v/>
      </c>
      <c r="AB567" s="2">
        <f>IF(ISERROR($F$567),"",IF(ISBLANK($F$567),"",$F$567))</f>
        <v/>
      </c>
      <c r="AC567" s="2">
        <f>IF(ISERROR($G$567),"",IF(ISBLANK($G$567),"",$G$567))</f>
        <v/>
      </c>
      <c r="AD567" s="2">
        <f>IF(ISERROR($H$567),"",IF(ISBLANK($H$567),"",$H$567))</f>
        <v/>
      </c>
      <c r="AE567" s="2">
        <f>IF(ISERROR($I$567),"",IF(ISBLANK($I$567),"",$I$567))</f>
        <v/>
      </c>
      <c r="AF567" s="2">
        <f>IF(ISERROR($J$567),"",IF(ISBLANK($J$567),"",$J$567))</f>
        <v/>
      </c>
      <c r="AG567" s="2">
        <f>ISERROR($B$567)*1+ISERROR($C$567)*1+ISERROR($D$567)*1+ISERROR($E$567)*1+ISERROR($F$567)*1+ISERROR($G$567)*1+ISERROR($H$567)*1+ISERROR($I$567)*1+ISERROR($J$567)*1</f>
        <v/>
      </c>
    </row>
    <row r="568" ht="26" customHeight="1">
      <c r="B568" s="33" t="n"/>
      <c r="C568" s="4" t="n"/>
      <c r="D568" s="4" t="n"/>
      <c r="E568" s="4" t="n"/>
      <c r="F568" s="4" t="n"/>
      <c r="G568" s="4" t="n"/>
      <c r="H568" s="4" t="n"/>
      <c r="I568" s="4" t="n"/>
      <c r="J568" s="4" t="n"/>
      <c r="K568" s="19">
        <f>IF(AG568&gt;0,"O Google leu como fórmula: digite de novo com ' na frente.","")</f>
        <v/>
      </c>
      <c r="N568" s="2">
        <f>N567+IF(LEN($X$568)&gt;0,1,0)</f>
        <v/>
      </c>
      <c r="P568" s="2">
        <f>P567+IF(LEN($Z$568)&gt;0,1,0)</f>
        <v/>
      </c>
      <c r="R568" s="2">
        <f>R567+IF(LEN($AB$568)&gt;0,1,0)</f>
        <v/>
      </c>
      <c r="S568" s="2">
        <f>S567+IF(LEN($AC$568)&gt;0,1,0)</f>
        <v/>
      </c>
      <c r="T568" s="2">
        <f>T567+IF(LEN($AD$568)&gt;0,1,0)</f>
        <v/>
      </c>
      <c r="U568" s="2">
        <f>U567+IF(LEN($AE$568)&gt;0,1,0)</f>
        <v/>
      </c>
      <c r="V568" s="2">
        <f>V567+IF(LEN($AF$568)&gt;0,1,0)</f>
        <v/>
      </c>
      <c r="X568" s="2">
        <f>IF(ISERROR($B$568),"",IF(ISBLANK($B$568),"",$B$568))</f>
        <v/>
      </c>
      <c r="Y568" s="2">
        <f>IF(ISERROR($C$568),"",IF(ISBLANK($C$568),"",$C$568))</f>
        <v/>
      </c>
      <c r="Z568" s="2">
        <f>IF(ISERROR($D$568),"",IF(ISBLANK($D$568),"",$D$568))</f>
        <v/>
      </c>
      <c r="AA568" s="2">
        <f>IF(ISERROR($E$568),"",IF(ISBLANK($E$568),"",$E$568))</f>
        <v/>
      </c>
      <c r="AB568" s="2">
        <f>IF(ISERROR($F$568),"",IF(ISBLANK($F$568),"",$F$568))</f>
        <v/>
      </c>
      <c r="AC568" s="2">
        <f>IF(ISERROR($G$568),"",IF(ISBLANK($G$568),"",$G$568))</f>
        <v/>
      </c>
      <c r="AD568" s="2">
        <f>IF(ISERROR($H$568),"",IF(ISBLANK($H$568),"",$H$568))</f>
        <v/>
      </c>
      <c r="AE568" s="2">
        <f>IF(ISERROR($I$568),"",IF(ISBLANK($I$568),"",$I$568))</f>
        <v/>
      </c>
      <c r="AF568" s="2">
        <f>IF(ISERROR($J$568),"",IF(ISBLANK($J$568),"",$J$568))</f>
        <v/>
      </c>
      <c r="AG568" s="2">
        <f>ISERROR($B$568)*1+ISERROR($C$568)*1+ISERROR($D$568)*1+ISERROR($E$568)*1+ISERROR($F$568)*1+ISERROR($G$568)*1+ISERROR($H$568)*1+ISERROR($I$568)*1+ISERROR($J$568)*1</f>
        <v/>
      </c>
    </row>
    <row r="569" ht="15" customHeight="1">
      <c r="B569" s="8" t="inlineStr">
        <is>
          <t>Caminho (motivação)</t>
        </is>
      </c>
      <c r="C569" s="8" t="inlineStr">
        <is>
          <t>Motivação por Caminho</t>
        </is>
      </c>
      <c r="D569" s="8" t="inlineStr">
        <is>
          <t>Tipo (objetivo)</t>
        </is>
      </c>
      <c r="E569" s="8" t="inlineStr">
        <is>
          <t>Objetivo por tipo</t>
        </is>
      </c>
      <c r="F569" s="8" t="inlineStr">
        <is>
          <t>Tipo de aventura</t>
        </is>
      </c>
      <c r="G569" s="8" t="inlineStr">
        <is>
          <t>Gancho de aventura</t>
        </is>
      </c>
      <c r="H569" s="8" t="inlineStr">
        <is>
          <t>Local (sabor)</t>
        </is>
      </c>
      <c r="I569" s="8" t="inlineStr">
        <is>
          <t>Complicação</t>
        </is>
      </c>
      <c r="J569" s="8" t="inlineStr">
        <is>
          <t>Reviravolta</t>
        </is>
      </c>
      <c r="N569" s="2">
        <f>N568</f>
        <v/>
      </c>
      <c r="P569" s="2">
        <f>P568</f>
        <v/>
      </c>
      <c r="R569" s="2">
        <f>R568</f>
        <v/>
      </c>
      <c r="S569" s="2">
        <f>S568</f>
        <v/>
      </c>
      <c r="T569" s="2">
        <f>T568</f>
        <v/>
      </c>
      <c r="U569" s="2">
        <f>U568</f>
        <v/>
      </c>
      <c r="V569" s="2">
        <f>V568</f>
        <v/>
      </c>
      <c r="X569" s="2">
        <f>IF(ISERROR($B$569),"",IF(ISBLANK($B$569),"",$B$569))</f>
        <v/>
      </c>
      <c r="Y569" s="2">
        <f>IF(ISERROR($C$569),"",IF(ISBLANK($C$569),"",$C$569))</f>
        <v/>
      </c>
      <c r="Z569" s="2">
        <f>IF(ISERROR($D$569),"",IF(ISBLANK($D$569),"",$D$569))</f>
        <v/>
      </c>
      <c r="AA569" s="2">
        <f>IF(ISERROR($E$569),"",IF(ISBLANK($E$569),"",$E$569))</f>
        <v/>
      </c>
      <c r="AB569" s="2">
        <f>IF(ISERROR($F$569),"",IF(ISBLANK($F$569),"",$F$569))</f>
        <v/>
      </c>
      <c r="AC569" s="2">
        <f>IF(ISERROR($G$569),"",IF(ISBLANK($G$569),"",$G$569))</f>
        <v/>
      </c>
      <c r="AD569" s="2">
        <f>IF(ISERROR($H$569),"",IF(ISBLANK($H$569),"",$H$569))</f>
        <v/>
      </c>
      <c r="AE569" s="2">
        <f>IF(ISERROR($I$569),"",IF(ISBLANK($I$569),"",$I$569))</f>
        <v/>
      </c>
      <c r="AF569" s="2">
        <f>IF(ISERROR($J$569),"",IF(ISBLANK($J$569),"",$J$569))</f>
        <v/>
      </c>
    </row>
    <row r="570" ht="26" customHeight="1">
      <c r="B570" s="33" t="n"/>
      <c r="C570" s="4" t="n"/>
      <c r="D570" s="4" t="n"/>
      <c r="E570" s="4" t="n"/>
      <c r="F570" s="4" t="n"/>
      <c r="G570" s="4" t="n"/>
      <c r="H570" s="4" t="n"/>
      <c r="I570" s="4" t="n"/>
      <c r="J570" s="4" t="n"/>
      <c r="K570" s="19">
        <f>IF(AG570&gt;0,"O Google leu como fórmula: digite de novo com ' na frente.","")</f>
        <v/>
      </c>
      <c r="N570" s="2">
        <f>N569+IF(LEN($X$570)&gt;0,1,0)</f>
        <v/>
      </c>
      <c r="P570" s="2">
        <f>P569+IF(LEN($Z$570)&gt;0,1,0)</f>
        <v/>
      </c>
      <c r="R570" s="2">
        <f>R569+IF(LEN($AB$570)&gt;0,1,0)</f>
        <v/>
      </c>
      <c r="S570" s="2">
        <f>S569+IF(LEN($AC$570)&gt;0,1,0)</f>
        <v/>
      </c>
      <c r="T570" s="2">
        <f>T569+IF(LEN($AD$570)&gt;0,1,0)</f>
        <v/>
      </c>
      <c r="U570" s="2">
        <f>U569+IF(LEN($AE$570)&gt;0,1,0)</f>
        <v/>
      </c>
      <c r="V570" s="2">
        <f>V569+IF(LEN($AF$570)&gt;0,1,0)</f>
        <v/>
      </c>
      <c r="X570" s="2">
        <f>IF(ISERROR($B$570),"",IF(ISBLANK($B$570),"",$B$570))</f>
        <v/>
      </c>
      <c r="Y570" s="2">
        <f>IF(ISERROR($C$570),"",IF(ISBLANK($C$570),"",$C$570))</f>
        <v/>
      </c>
      <c r="Z570" s="2">
        <f>IF(ISERROR($D$570),"",IF(ISBLANK($D$570),"",$D$570))</f>
        <v/>
      </c>
      <c r="AA570" s="2">
        <f>IF(ISERROR($E$570),"",IF(ISBLANK($E$570),"",$E$570))</f>
        <v/>
      </c>
      <c r="AB570" s="2">
        <f>IF(ISERROR($F$570),"",IF(ISBLANK($F$570),"",$F$570))</f>
        <v/>
      </c>
      <c r="AC570" s="2">
        <f>IF(ISERROR($G$570),"",IF(ISBLANK($G$570),"",$G$570))</f>
        <v/>
      </c>
      <c r="AD570" s="2">
        <f>IF(ISERROR($H$570),"",IF(ISBLANK($H$570),"",$H$570))</f>
        <v/>
      </c>
      <c r="AE570" s="2">
        <f>IF(ISERROR($I$570),"",IF(ISBLANK($I$570),"",$I$570))</f>
        <v/>
      </c>
      <c r="AF570" s="2">
        <f>IF(ISERROR($J$570),"",IF(ISBLANK($J$570),"",$J$570))</f>
        <v/>
      </c>
      <c r="AG570" s="2">
        <f>ISERROR($B$570)*1+ISERROR($C$570)*1+ISERROR($D$570)*1+ISERROR($E$570)*1+ISERROR($F$570)*1+ISERROR($G$570)*1+ISERROR($H$570)*1+ISERROR($I$570)*1+ISERROR($J$570)*1</f>
        <v/>
      </c>
    </row>
    <row r="571" ht="26" customHeight="1">
      <c r="B571" s="35" t="n"/>
      <c r="C571" s="29" t="n"/>
      <c r="D571" s="29" t="n"/>
      <c r="E571" s="29" t="n"/>
      <c r="F571" s="29" t="n"/>
      <c r="G571" s="29" t="n"/>
      <c r="H571" s="29" t="n"/>
      <c r="I571" s="29" t="n"/>
      <c r="J571" s="29" t="n"/>
      <c r="K571" s="19">
        <f>IF(AG571&gt;0,"O Google leu como fórmula: digite de novo com ' na frente.","")</f>
        <v/>
      </c>
      <c r="N571" s="2">
        <f>N570+IF(LEN($X$571)&gt;0,1,0)</f>
        <v/>
      </c>
      <c r="P571" s="2">
        <f>P570+IF(LEN($Z$571)&gt;0,1,0)</f>
        <v/>
      </c>
      <c r="R571" s="2">
        <f>R570+IF(LEN($AB$571)&gt;0,1,0)</f>
        <v/>
      </c>
      <c r="S571" s="2">
        <f>S570+IF(LEN($AC$571)&gt;0,1,0)</f>
        <v/>
      </c>
      <c r="T571" s="2">
        <f>T570+IF(LEN($AD$571)&gt;0,1,0)</f>
        <v/>
      </c>
      <c r="U571" s="2">
        <f>U570+IF(LEN($AE$571)&gt;0,1,0)</f>
        <v/>
      </c>
      <c r="V571" s="2">
        <f>V570+IF(LEN($AF$571)&gt;0,1,0)</f>
        <v/>
      </c>
      <c r="X571" s="2">
        <f>IF(ISERROR($B$571),"",IF(ISBLANK($B$571),"",$B$571))</f>
        <v/>
      </c>
      <c r="Y571" s="2">
        <f>IF(ISERROR($C$571),"",IF(ISBLANK($C$571),"",$C$571))</f>
        <v/>
      </c>
      <c r="Z571" s="2">
        <f>IF(ISERROR($D$571),"",IF(ISBLANK($D$571),"",$D$571))</f>
        <v/>
      </c>
      <c r="AA571" s="2">
        <f>IF(ISERROR($E$571),"",IF(ISBLANK($E$571),"",$E$571))</f>
        <v/>
      </c>
      <c r="AB571" s="2">
        <f>IF(ISERROR($F$571),"",IF(ISBLANK($F$571),"",$F$571))</f>
        <v/>
      </c>
      <c r="AC571" s="2">
        <f>IF(ISERROR($G$571),"",IF(ISBLANK($G$571),"",$G$571))</f>
        <v/>
      </c>
      <c r="AD571" s="2">
        <f>IF(ISERROR($H$571),"",IF(ISBLANK($H$571),"",$H$571))</f>
        <v/>
      </c>
      <c r="AE571" s="2">
        <f>IF(ISERROR($I$571),"",IF(ISBLANK($I$571),"",$I$571))</f>
        <v/>
      </c>
      <c r="AF571" s="2">
        <f>IF(ISERROR($J$571),"",IF(ISBLANK($J$571),"",$J$571))</f>
        <v/>
      </c>
      <c r="AG571" s="2">
        <f>ISERROR($B$571)*1+ISERROR($C$571)*1+ISERROR($D$571)*1+ISERROR($E$571)*1+ISERROR($F$571)*1+ISERROR($G$571)*1+ISERROR($H$571)*1+ISERROR($I$571)*1+ISERROR($J$571)*1</f>
        <v/>
      </c>
    </row>
    <row r="572" ht="26" customHeight="1">
      <c r="B572" s="33" t="n"/>
      <c r="C572" s="4" t="n"/>
      <c r="D572" s="4" t="n"/>
      <c r="E572" s="4" t="n"/>
      <c r="F572" s="4" t="n"/>
      <c r="G572" s="4" t="n"/>
      <c r="H572" s="4" t="n"/>
      <c r="I572" s="4" t="n"/>
      <c r="J572" s="4" t="n"/>
      <c r="K572" s="19">
        <f>IF(AG572&gt;0,"O Google leu como fórmula: digite de novo com ' na frente.","")</f>
        <v/>
      </c>
      <c r="N572" s="2">
        <f>N571+IF(LEN($X$572)&gt;0,1,0)</f>
        <v/>
      </c>
      <c r="P572" s="2">
        <f>P571+IF(LEN($Z$572)&gt;0,1,0)</f>
        <v/>
      </c>
      <c r="R572" s="2">
        <f>R571+IF(LEN($AB$572)&gt;0,1,0)</f>
        <v/>
      </c>
      <c r="S572" s="2">
        <f>S571+IF(LEN($AC$572)&gt;0,1,0)</f>
        <v/>
      </c>
      <c r="T572" s="2">
        <f>T571+IF(LEN($AD$572)&gt;0,1,0)</f>
        <v/>
      </c>
      <c r="U572" s="2">
        <f>U571+IF(LEN($AE$572)&gt;0,1,0)</f>
        <v/>
      </c>
      <c r="V572" s="2">
        <f>V571+IF(LEN($AF$572)&gt;0,1,0)</f>
        <v/>
      </c>
      <c r="X572" s="2">
        <f>IF(ISERROR($B$572),"",IF(ISBLANK($B$572),"",$B$572))</f>
        <v/>
      </c>
      <c r="Y572" s="2">
        <f>IF(ISERROR($C$572),"",IF(ISBLANK($C$572),"",$C$572))</f>
        <v/>
      </c>
      <c r="Z572" s="2">
        <f>IF(ISERROR($D$572),"",IF(ISBLANK($D$572),"",$D$572))</f>
        <v/>
      </c>
      <c r="AA572" s="2">
        <f>IF(ISERROR($E$572),"",IF(ISBLANK($E$572),"",$E$572))</f>
        <v/>
      </c>
      <c r="AB572" s="2">
        <f>IF(ISERROR($F$572),"",IF(ISBLANK($F$572),"",$F$572))</f>
        <v/>
      </c>
      <c r="AC572" s="2">
        <f>IF(ISERROR($G$572),"",IF(ISBLANK($G$572),"",$G$572))</f>
        <v/>
      </c>
      <c r="AD572" s="2">
        <f>IF(ISERROR($H$572),"",IF(ISBLANK($H$572),"",$H$572))</f>
        <v/>
      </c>
      <c r="AE572" s="2">
        <f>IF(ISERROR($I$572),"",IF(ISBLANK($I$572),"",$I$572))</f>
        <v/>
      </c>
      <c r="AF572" s="2">
        <f>IF(ISERROR($J$572),"",IF(ISBLANK($J$572),"",$J$572))</f>
        <v/>
      </c>
      <c r="AG572" s="2">
        <f>ISERROR($B$572)*1+ISERROR($C$572)*1+ISERROR($D$572)*1+ISERROR($E$572)*1+ISERROR($F$572)*1+ISERROR($G$572)*1+ISERROR($H$572)*1+ISERROR($I$572)*1+ISERROR($J$572)*1</f>
        <v/>
      </c>
    </row>
    <row r="573" ht="26" customHeight="1">
      <c r="B573" s="35" t="n"/>
      <c r="C573" s="29" t="n"/>
      <c r="D573" s="29" t="n"/>
      <c r="E573" s="29" t="n"/>
      <c r="F573" s="29" t="n"/>
      <c r="G573" s="29" t="n"/>
      <c r="H573" s="29" t="n"/>
      <c r="I573" s="29" t="n"/>
      <c r="J573" s="29" t="n"/>
      <c r="K573" s="19">
        <f>IF(AG573&gt;0,"O Google leu como fórmula: digite de novo com ' na frente.","")</f>
        <v/>
      </c>
      <c r="N573" s="2">
        <f>N572+IF(LEN($X$573)&gt;0,1,0)</f>
        <v/>
      </c>
      <c r="P573" s="2">
        <f>P572+IF(LEN($Z$573)&gt;0,1,0)</f>
        <v/>
      </c>
      <c r="R573" s="2">
        <f>R572+IF(LEN($AB$573)&gt;0,1,0)</f>
        <v/>
      </c>
      <c r="S573" s="2">
        <f>S572+IF(LEN($AC$573)&gt;0,1,0)</f>
        <v/>
      </c>
      <c r="T573" s="2">
        <f>T572+IF(LEN($AD$573)&gt;0,1,0)</f>
        <v/>
      </c>
      <c r="U573" s="2">
        <f>U572+IF(LEN($AE$573)&gt;0,1,0)</f>
        <v/>
      </c>
      <c r="V573" s="2">
        <f>V572+IF(LEN($AF$573)&gt;0,1,0)</f>
        <v/>
      </c>
      <c r="X573" s="2">
        <f>IF(ISERROR($B$573),"",IF(ISBLANK($B$573),"",$B$573))</f>
        <v/>
      </c>
      <c r="Y573" s="2">
        <f>IF(ISERROR($C$573),"",IF(ISBLANK($C$573),"",$C$573))</f>
        <v/>
      </c>
      <c r="Z573" s="2">
        <f>IF(ISERROR($D$573),"",IF(ISBLANK($D$573),"",$D$573))</f>
        <v/>
      </c>
      <c r="AA573" s="2">
        <f>IF(ISERROR($E$573),"",IF(ISBLANK($E$573),"",$E$573))</f>
        <v/>
      </c>
      <c r="AB573" s="2">
        <f>IF(ISERROR($F$573),"",IF(ISBLANK($F$573),"",$F$573))</f>
        <v/>
      </c>
      <c r="AC573" s="2">
        <f>IF(ISERROR($G$573),"",IF(ISBLANK($G$573),"",$G$573))</f>
        <v/>
      </c>
      <c r="AD573" s="2">
        <f>IF(ISERROR($H$573),"",IF(ISBLANK($H$573),"",$H$573))</f>
        <v/>
      </c>
      <c r="AE573" s="2">
        <f>IF(ISERROR($I$573),"",IF(ISBLANK($I$573),"",$I$573))</f>
        <v/>
      </c>
      <c r="AF573" s="2">
        <f>IF(ISERROR($J$573),"",IF(ISBLANK($J$573),"",$J$573))</f>
        <v/>
      </c>
      <c r="AG573" s="2">
        <f>ISERROR($B$573)*1+ISERROR($C$573)*1+ISERROR($D$573)*1+ISERROR($E$573)*1+ISERROR($F$573)*1+ISERROR($G$573)*1+ISERROR($H$573)*1+ISERROR($I$573)*1+ISERROR($J$573)*1</f>
        <v/>
      </c>
    </row>
    <row r="574" ht="26" customHeight="1">
      <c r="B574" s="33" t="n"/>
      <c r="C574" s="4" t="n"/>
      <c r="D574" s="4" t="n"/>
      <c r="E574" s="4" t="n"/>
      <c r="F574" s="4" t="n"/>
      <c r="G574" s="4" t="n"/>
      <c r="H574" s="4" t="n"/>
      <c r="I574" s="4" t="n"/>
      <c r="J574" s="4" t="n"/>
      <c r="K574" s="19">
        <f>IF(AG574&gt;0,"O Google leu como fórmula: digite de novo com ' na frente.","")</f>
        <v/>
      </c>
      <c r="N574" s="2">
        <f>N573+IF(LEN($X$574)&gt;0,1,0)</f>
        <v/>
      </c>
      <c r="P574" s="2">
        <f>P573+IF(LEN($Z$574)&gt;0,1,0)</f>
        <v/>
      </c>
      <c r="R574" s="2">
        <f>R573+IF(LEN($AB$574)&gt;0,1,0)</f>
        <v/>
      </c>
      <c r="S574" s="2">
        <f>S573+IF(LEN($AC$574)&gt;0,1,0)</f>
        <v/>
      </c>
      <c r="T574" s="2">
        <f>T573+IF(LEN($AD$574)&gt;0,1,0)</f>
        <v/>
      </c>
      <c r="U574" s="2">
        <f>U573+IF(LEN($AE$574)&gt;0,1,0)</f>
        <v/>
      </c>
      <c r="V574" s="2">
        <f>V573+IF(LEN($AF$574)&gt;0,1,0)</f>
        <v/>
      </c>
      <c r="X574" s="2">
        <f>IF(ISERROR($B$574),"",IF(ISBLANK($B$574),"",$B$574))</f>
        <v/>
      </c>
      <c r="Y574" s="2">
        <f>IF(ISERROR($C$574),"",IF(ISBLANK($C$574),"",$C$574))</f>
        <v/>
      </c>
      <c r="Z574" s="2">
        <f>IF(ISERROR($D$574),"",IF(ISBLANK($D$574),"",$D$574))</f>
        <v/>
      </c>
      <c r="AA574" s="2">
        <f>IF(ISERROR($E$574),"",IF(ISBLANK($E$574),"",$E$574))</f>
        <v/>
      </c>
      <c r="AB574" s="2">
        <f>IF(ISERROR($F$574),"",IF(ISBLANK($F$574),"",$F$574))</f>
        <v/>
      </c>
      <c r="AC574" s="2">
        <f>IF(ISERROR($G$574),"",IF(ISBLANK($G$574),"",$G$574))</f>
        <v/>
      </c>
      <c r="AD574" s="2">
        <f>IF(ISERROR($H$574),"",IF(ISBLANK($H$574),"",$H$574))</f>
        <v/>
      </c>
      <c r="AE574" s="2">
        <f>IF(ISERROR($I$574),"",IF(ISBLANK($I$574),"",$I$574))</f>
        <v/>
      </c>
      <c r="AF574" s="2">
        <f>IF(ISERROR($J$574),"",IF(ISBLANK($J$574),"",$J$574))</f>
        <v/>
      </c>
      <c r="AG574" s="2">
        <f>ISERROR($B$574)*1+ISERROR($C$574)*1+ISERROR($D$574)*1+ISERROR($E$574)*1+ISERROR($F$574)*1+ISERROR($G$574)*1+ISERROR($H$574)*1+ISERROR($I$574)*1+ISERROR($J$574)*1</f>
        <v/>
      </c>
    </row>
    <row r="575" ht="26" customHeight="1">
      <c r="B575" s="35" t="n"/>
      <c r="C575" s="29" t="n"/>
      <c r="D575" s="29" t="n"/>
      <c r="E575" s="29" t="n"/>
      <c r="F575" s="29" t="n"/>
      <c r="G575" s="29" t="n"/>
      <c r="H575" s="29" t="n"/>
      <c r="I575" s="29" t="n"/>
      <c r="J575" s="29" t="n"/>
      <c r="K575" s="19">
        <f>IF(AG575&gt;0,"O Google leu como fórmula: digite de novo com ' na frente.","")</f>
        <v/>
      </c>
      <c r="N575" s="2">
        <f>N574+IF(LEN($X$575)&gt;0,1,0)</f>
        <v/>
      </c>
      <c r="P575" s="2">
        <f>P574+IF(LEN($Z$575)&gt;0,1,0)</f>
        <v/>
      </c>
      <c r="R575" s="2">
        <f>R574+IF(LEN($AB$575)&gt;0,1,0)</f>
        <v/>
      </c>
      <c r="S575" s="2">
        <f>S574+IF(LEN($AC$575)&gt;0,1,0)</f>
        <v/>
      </c>
      <c r="T575" s="2">
        <f>T574+IF(LEN($AD$575)&gt;0,1,0)</f>
        <v/>
      </c>
      <c r="U575" s="2">
        <f>U574+IF(LEN($AE$575)&gt;0,1,0)</f>
        <v/>
      </c>
      <c r="V575" s="2">
        <f>V574+IF(LEN($AF$575)&gt;0,1,0)</f>
        <v/>
      </c>
      <c r="X575" s="2">
        <f>IF(ISERROR($B$575),"",IF(ISBLANK($B$575),"",$B$575))</f>
        <v/>
      </c>
      <c r="Y575" s="2">
        <f>IF(ISERROR($C$575),"",IF(ISBLANK($C$575),"",$C$575))</f>
        <v/>
      </c>
      <c r="Z575" s="2">
        <f>IF(ISERROR($D$575),"",IF(ISBLANK($D$575),"",$D$575))</f>
        <v/>
      </c>
      <c r="AA575" s="2">
        <f>IF(ISERROR($E$575),"",IF(ISBLANK($E$575),"",$E$575))</f>
        <v/>
      </c>
      <c r="AB575" s="2">
        <f>IF(ISERROR($F$575),"",IF(ISBLANK($F$575),"",$F$575))</f>
        <v/>
      </c>
      <c r="AC575" s="2">
        <f>IF(ISERROR($G$575),"",IF(ISBLANK($G$575),"",$G$575))</f>
        <v/>
      </c>
      <c r="AD575" s="2">
        <f>IF(ISERROR($H$575),"",IF(ISBLANK($H$575),"",$H$575))</f>
        <v/>
      </c>
      <c r="AE575" s="2">
        <f>IF(ISERROR($I$575),"",IF(ISBLANK($I$575),"",$I$575))</f>
        <v/>
      </c>
      <c r="AF575" s="2">
        <f>IF(ISERROR($J$575),"",IF(ISBLANK($J$575),"",$J$575))</f>
        <v/>
      </c>
      <c r="AG575" s="2">
        <f>ISERROR($B$575)*1+ISERROR($C$575)*1+ISERROR($D$575)*1+ISERROR($E$575)*1+ISERROR($F$575)*1+ISERROR($G$575)*1+ISERROR($H$575)*1+ISERROR($I$575)*1+ISERROR($J$575)*1</f>
        <v/>
      </c>
    </row>
    <row r="576" ht="26" customHeight="1">
      <c r="B576" s="33" t="n"/>
      <c r="C576" s="4" t="n"/>
      <c r="D576" s="4" t="n"/>
      <c r="E576" s="4" t="n"/>
      <c r="F576" s="4" t="n"/>
      <c r="G576" s="4" t="n"/>
      <c r="H576" s="4" t="n"/>
      <c r="I576" s="4" t="n"/>
      <c r="J576" s="4" t="n"/>
      <c r="K576" s="19">
        <f>IF(AG576&gt;0,"O Google leu como fórmula: digite de novo com ' na frente.","")</f>
        <v/>
      </c>
      <c r="N576" s="2">
        <f>N575+IF(LEN($X$576)&gt;0,1,0)</f>
        <v/>
      </c>
      <c r="P576" s="2">
        <f>P575+IF(LEN($Z$576)&gt;0,1,0)</f>
        <v/>
      </c>
      <c r="R576" s="2">
        <f>R575+IF(LEN($AB$576)&gt;0,1,0)</f>
        <v/>
      </c>
      <c r="S576" s="2">
        <f>S575+IF(LEN($AC$576)&gt;0,1,0)</f>
        <v/>
      </c>
      <c r="T576" s="2">
        <f>T575+IF(LEN($AD$576)&gt;0,1,0)</f>
        <v/>
      </c>
      <c r="U576" s="2">
        <f>U575+IF(LEN($AE$576)&gt;0,1,0)</f>
        <v/>
      </c>
      <c r="V576" s="2">
        <f>V575+IF(LEN($AF$576)&gt;0,1,0)</f>
        <v/>
      </c>
      <c r="X576" s="2">
        <f>IF(ISERROR($B$576),"",IF(ISBLANK($B$576),"",$B$576))</f>
        <v/>
      </c>
      <c r="Y576" s="2">
        <f>IF(ISERROR($C$576),"",IF(ISBLANK($C$576),"",$C$576))</f>
        <v/>
      </c>
      <c r="Z576" s="2">
        <f>IF(ISERROR($D$576),"",IF(ISBLANK($D$576),"",$D$576))</f>
        <v/>
      </c>
      <c r="AA576" s="2">
        <f>IF(ISERROR($E$576),"",IF(ISBLANK($E$576),"",$E$576))</f>
        <v/>
      </c>
      <c r="AB576" s="2">
        <f>IF(ISERROR($F$576),"",IF(ISBLANK($F$576),"",$F$576))</f>
        <v/>
      </c>
      <c r="AC576" s="2">
        <f>IF(ISERROR($G$576),"",IF(ISBLANK($G$576),"",$G$576))</f>
        <v/>
      </c>
      <c r="AD576" s="2">
        <f>IF(ISERROR($H$576),"",IF(ISBLANK($H$576),"",$H$576))</f>
        <v/>
      </c>
      <c r="AE576" s="2">
        <f>IF(ISERROR($I$576),"",IF(ISBLANK($I$576),"",$I$576))</f>
        <v/>
      </c>
      <c r="AF576" s="2">
        <f>IF(ISERROR($J$576),"",IF(ISBLANK($J$576),"",$J$576))</f>
        <v/>
      </c>
      <c r="AG576" s="2">
        <f>ISERROR($B$576)*1+ISERROR($C$576)*1+ISERROR($D$576)*1+ISERROR($E$576)*1+ISERROR($F$576)*1+ISERROR($G$576)*1+ISERROR($H$576)*1+ISERROR($I$576)*1+ISERROR($J$576)*1</f>
        <v/>
      </c>
    </row>
    <row r="577" ht="26" customHeight="1">
      <c r="B577" s="35" t="n"/>
      <c r="C577" s="29" t="n"/>
      <c r="D577" s="29" t="n"/>
      <c r="E577" s="29" t="n"/>
      <c r="F577" s="29" t="n"/>
      <c r="G577" s="29" t="n"/>
      <c r="H577" s="29" t="n"/>
      <c r="I577" s="29" t="n"/>
      <c r="J577" s="29" t="n"/>
      <c r="K577" s="19">
        <f>IF(AG577&gt;0,"O Google leu como fórmula: digite de novo com ' na frente.","")</f>
        <v/>
      </c>
      <c r="N577" s="2">
        <f>N576+IF(LEN($X$577)&gt;0,1,0)</f>
        <v/>
      </c>
      <c r="P577" s="2">
        <f>P576+IF(LEN($Z$577)&gt;0,1,0)</f>
        <v/>
      </c>
      <c r="R577" s="2">
        <f>R576+IF(LEN($AB$577)&gt;0,1,0)</f>
        <v/>
      </c>
      <c r="S577" s="2">
        <f>S576+IF(LEN($AC$577)&gt;0,1,0)</f>
        <v/>
      </c>
      <c r="T577" s="2">
        <f>T576+IF(LEN($AD$577)&gt;0,1,0)</f>
        <v/>
      </c>
      <c r="U577" s="2">
        <f>U576+IF(LEN($AE$577)&gt;0,1,0)</f>
        <v/>
      </c>
      <c r="V577" s="2">
        <f>V576+IF(LEN($AF$577)&gt;0,1,0)</f>
        <v/>
      </c>
      <c r="X577" s="2">
        <f>IF(ISERROR($B$577),"",IF(ISBLANK($B$577),"",$B$577))</f>
        <v/>
      </c>
      <c r="Y577" s="2">
        <f>IF(ISERROR($C$577),"",IF(ISBLANK($C$577),"",$C$577))</f>
        <v/>
      </c>
      <c r="Z577" s="2">
        <f>IF(ISERROR($D$577),"",IF(ISBLANK($D$577),"",$D$577))</f>
        <v/>
      </c>
      <c r="AA577" s="2">
        <f>IF(ISERROR($E$577),"",IF(ISBLANK($E$577),"",$E$577))</f>
        <v/>
      </c>
      <c r="AB577" s="2">
        <f>IF(ISERROR($F$577),"",IF(ISBLANK($F$577),"",$F$577))</f>
        <v/>
      </c>
      <c r="AC577" s="2">
        <f>IF(ISERROR($G$577),"",IF(ISBLANK($G$577),"",$G$577))</f>
        <v/>
      </c>
      <c r="AD577" s="2">
        <f>IF(ISERROR($H$577),"",IF(ISBLANK($H$577),"",$H$577))</f>
        <v/>
      </c>
      <c r="AE577" s="2">
        <f>IF(ISERROR($I$577),"",IF(ISBLANK($I$577),"",$I$577))</f>
        <v/>
      </c>
      <c r="AF577" s="2">
        <f>IF(ISERROR($J$577),"",IF(ISBLANK($J$577),"",$J$577))</f>
        <v/>
      </c>
      <c r="AG577" s="2">
        <f>ISERROR($B$577)*1+ISERROR($C$577)*1+ISERROR($D$577)*1+ISERROR($E$577)*1+ISERROR($F$577)*1+ISERROR($G$577)*1+ISERROR($H$577)*1+ISERROR($I$577)*1+ISERROR($J$577)*1</f>
        <v/>
      </c>
    </row>
    <row r="578" ht="26" customHeight="1">
      <c r="B578" s="33" t="n"/>
      <c r="C578" s="4" t="n"/>
      <c r="D578" s="4" t="n"/>
      <c r="E578" s="4" t="n"/>
      <c r="F578" s="4" t="n"/>
      <c r="G578" s="4" t="n"/>
      <c r="H578" s="4" t="n"/>
      <c r="I578" s="4" t="n"/>
      <c r="J578" s="4" t="n"/>
      <c r="K578" s="19">
        <f>IF(AG578&gt;0,"O Google leu como fórmula: digite de novo com ' na frente.","")</f>
        <v/>
      </c>
      <c r="N578" s="2">
        <f>N577+IF(LEN($X$578)&gt;0,1,0)</f>
        <v/>
      </c>
      <c r="P578" s="2">
        <f>P577+IF(LEN($Z$578)&gt;0,1,0)</f>
        <v/>
      </c>
      <c r="R578" s="2">
        <f>R577+IF(LEN($AB$578)&gt;0,1,0)</f>
        <v/>
      </c>
      <c r="S578" s="2">
        <f>S577+IF(LEN($AC$578)&gt;0,1,0)</f>
        <v/>
      </c>
      <c r="T578" s="2">
        <f>T577+IF(LEN($AD$578)&gt;0,1,0)</f>
        <v/>
      </c>
      <c r="U578" s="2">
        <f>U577+IF(LEN($AE$578)&gt;0,1,0)</f>
        <v/>
      </c>
      <c r="V578" s="2">
        <f>V577+IF(LEN($AF$578)&gt;0,1,0)</f>
        <v/>
      </c>
      <c r="X578" s="2">
        <f>IF(ISERROR($B$578),"",IF(ISBLANK($B$578),"",$B$578))</f>
        <v/>
      </c>
      <c r="Y578" s="2">
        <f>IF(ISERROR($C$578),"",IF(ISBLANK($C$578),"",$C$578))</f>
        <v/>
      </c>
      <c r="Z578" s="2">
        <f>IF(ISERROR($D$578),"",IF(ISBLANK($D$578),"",$D$578))</f>
        <v/>
      </c>
      <c r="AA578" s="2">
        <f>IF(ISERROR($E$578),"",IF(ISBLANK($E$578),"",$E$578))</f>
        <v/>
      </c>
      <c r="AB578" s="2">
        <f>IF(ISERROR($F$578),"",IF(ISBLANK($F$578),"",$F$578))</f>
        <v/>
      </c>
      <c r="AC578" s="2">
        <f>IF(ISERROR($G$578),"",IF(ISBLANK($G$578),"",$G$578))</f>
        <v/>
      </c>
      <c r="AD578" s="2">
        <f>IF(ISERROR($H$578),"",IF(ISBLANK($H$578),"",$H$578))</f>
        <v/>
      </c>
      <c r="AE578" s="2">
        <f>IF(ISERROR($I$578),"",IF(ISBLANK($I$578),"",$I$578))</f>
        <v/>
      </c>
      <c r="AF578" s="2">
        <f>IF(ISERROR($J$578),"",IF(ISBLANK($J$578),"",$J$578))</f>
        <v/>
      </c>
      <c r="AG578" s="2">
        <f>ISERROR($B$578)*1+ISERROR($C$578)*1+ISERROR($D$578)*1+ISERROR($E$578)*1+ISERROR($F$578)*1+ISERROR($G$578)*1+ISERROR($H$578)*1+ISERROR($I$578)*1+ISERROR($J$578)*1</f>
        <v/>
      </c>
    </row>
    <row r="579"/>
    <row r="580" ht="46" customHeight="1">
      <c r="A580" s="69" t="inlineStr">
        <is>
          <t>Gerador de aventuras (aba Aventuras) — Sugestão da planilha (H11) (parte 2) — 100 vagas por lista</t>
        </is>
      </c>
    </row>
    <row r="581" ht="37" customHeight="1">
      <c r="A581" s="12" t="inlineStr">
        <is>
          <t>Apague para trocar, use as vagas vazias para ampliar. Não insira linhas: o contador corrido pularia a linha nova.</t>
        </is>
      </c>
    </row>
    <row r="582">
      <c r="A582" s="8" t="inlineStr">
        <is>
          <t>Lista</t>
        </is>
      </c>
      <c r="B582" s="8" t="inlineStr">
        <is>
          <t>Prazo ou risco</t>
        </is>
      </c>
    </row>
    <row r="583" ht="26" customHeight="1">
      <c r="A583" s="9" t="inlineStr">
        <is>
          <t>Fonte</t>
        </is>
      </c>
      <c r="B583" s="14" t="inlineStr">
        <is>
          <t>Livro 27.7 (3 primeiras) + Sugestão da planilha (H11)</t>
        </is>
      </c>
    </row>
    <row r="584" ht="26" customHeight="1">
      <c r="A584" s="21" t="inlineStr">
        <is>
          <t>Tamanho da lista</t>
        </is>
      </c>
      <c r="B584" s="23">
        <f>N693</f>
        <v/>
      </c>
    </row>
    <row r="585" ht="26" customHeight="1">
      <c r="A585" s="9" t="inlineStr">
        <is>
          <t>Aviso</t>
        </is>
      </c>
      <c r="B585" s="19">
        <f>IF(N693&gt;=100,"Lista cheia (100): use Minhas Tabelas para uma lista maior","")</f>
        <v/>
      </c>
    </row>
    <row r="586" ht="15" customHeight="1">
      <c r="B586" s="8" t="inlineStr">
        <is>
          <t>Prazo ou risco</t>
        </is>
      </c>
      <c r="N586" s="2">
        <f>0</f>
        <v/>
      </c>
    </row>
    <row r="587" ht="26" customHeight="1">
      <c r="B587" s="33" t="inlineStr">
        <is>
          <t>a nave parte ao amanhecer</t>
        </is>
      </c>
      <c r="K587" s="19">
        <f>IF(AG587&gt;0,"O Google leu como fórmula: digite de novo com ' na frente.","")</f>
        <v/>
      </c>
      <c r="N587" s="2">
        <f>N586+IF(LEN($X$587)&gt;0,1,0)</f>
        <v/>
      </c>
      <c r="X587" s="2">
        <f>IF(ISERROR($B$587),"",IF(ISBLANK($B$587),"",$B$587))</f>
        <v/>
      </c>
      <c r="AG587" s="2">
        <f>ISERROR($B$587)*1</f>
        <v/>
      </c>
    </row>
    <row r="588" ht="26" customHeight="1">
      <c r="B588" s="35" t="inlineStr">
        <is>
          <t>o lacre não aguenta mais um dia</t>
        </is>
      </c>
      <c r="K588" s="19">
        <f>IF(AG588&gt;0,"O Google leu como fórmula: digite de novo com ' na frente.","")</f>
        <v/>
      </c>
      <c r="N588" s="2">
        <f>N587+IF(LEN($X$588)&gt;0,1,0)</f>
        <v/>
      </c>
      <c r="X588" s="2">
        <f>IF(ISERROR($B$588),"",IF(ISBLANK($B$588),"",$B$588))</f>
        <v/>
      </c>
      <c r="AG588" s="2">
        <f>ISERROR($B$588)*1</f>
        <v/>
      </c>
    </row>
    <row r="589" ht="26" customHeight="1">
      <c r="B589" s="33" t="inlineStr">
        <is>
          <t>a escolta chega em seis horas</t>
        </is>
      </c>
      <c r="K589" s="19">
        <f>IF(AG589&gt;0,"O Google leu como fórmula: digite de novo com ' na frente.","")</f>
        <v/>
      </c>
      <c r="N589" s="2">
        <f>N588+IF(LEN($X$589)&gt;0,1,0)</f>
        <v/>
      </c>
      <c r="X589" s="2">
        <f>IF(ISERROR($B$589),"",IF(ISBLANK($B$589),"",$B$589))</f>
        <v/>
      </c>
      <c r="AG589" s="2">
        <f>ISERROR($B$589)*1</f>
        <v/>
      </c>
    </row>
    <row r="590" ht="26" customHeight="1">
      <c r="B590" s="35" t="inlineStr">
        <is>
          <t>o leilão termina à meia-noite</t>
        </is>
      </c>
      <c r="K590" s="19">
        <f>IF(AG590&gt;0,"O Google leu como fórmula: digite de novo com ' na frente.","")</f>
        <v/>
      </c>
      <c r="N590" s="2">
        <f>N589+IF(LEN($X$590)&gt;0,1,0)</f>
        <v/>
      </c>
      <c r="X590" s="2">
        <f>IF(ISERROR($B$590),"",IF(ISBLANK($B$590),"",$B$590))</f>
        <v/>
      </c>
      <c r="AG590" s="2">
        <f>ISERROR($B$590)*1</f>
        <v/>
      </c>
    </row>
    <row r="591" ht="26" customHeight="1">
      <c r="B591" s="33" t="inlineStr">
        <is>
          <t>a maré de radiação volta em dois dias</t>
        </is>
      </c>
      <c r="K591" s="19">
        <f>IF(AG591&gt;0,"O Google leu como fórmula: digite de novo com ' na frente.","")</f>
        <v/>
      </c>
      <c r="N591" s="2">
        <f>N590+IF(LEN($X$591)&gt;0,1,0)</f>
        <v/>
      </c>
      <c r="X591" s="2">
        <f>IF(ISERROR($B$591),"",IF(ISBLANK($B$591),"",$B$591))</f>
        <v/>
      </c>
      <c r="AG591" s="2">
        <f>ISERROR($B$591)*1</f>
        <v/>
      </c>
    </row>
    <row r="592" ht="26" customHeight="1">
      <c r="B592" s="35" t="inlineStr">
        <is>
          <t>o julgamento é amanhã cedo</t>
        </is>
      </c>
      <c r="K592" s="19">
        <f>IF(AG592&gt;0,"O Google leu como fórmula: digite de novo com ' na frente.","")</f>
        <v/>
      </c>
      <c r="N592" s="2">
        <f>N591+IF(LEN($X$592)&gt;0,1,0)</f>
        <v/>
      </c>
      <c r="X592" s="2">
        <f>IF(ISERROR($B$592),"",IF(ISBLANK($B$592),"",$B$592))</f>
        <v/>
      </c>
      <c r="AG592" s="2">
        <f>ISERROR($B$592)*1</f>
        <v/>
      </c>
    </row>
    <row r="593" ht="26" customHeight="1">
      <c r="B593" s="33" t="inlineStr">
        <is>
          <t>o oxigênio da estação dura três turnos de trabalho</t>
        </is>
      </c>
      <c r="K593" s="19">
        <f>IF(AG593&gt;0,"O Google leu como fórmula: digite de novo com ' na frente.","")</f>
        <v/>
      </c>
      <c r="N593" s="2">
        <f>N592+IF(LEN($X$593)&gt;0,1,0)</f>
        <v/>
      </c>
      <c r="X593" s="2">
        <f>IF(ISERROR($B$593),"",IF(ISBLANK($B$593),"",$B$593))</f>
        <v/>
      </c>
      <c r="AG593" s="2">
        <f>ISERROR($B$593)*1</f>
        <v/>
      </c>
    </row>
    <row r="594" ht="26" customHeight="1">
      <c r="B594" s="35" t="inlineStr">
        <is>
          <t>o ultimato vence em três dias</t>
        </is>
      </c>
      <c r="K594" s="19">
        <f>IF(AG594&gt;0,"O Google leu como fórmula: digite de novo com ' na frente.","")</f>
        <v/>
      </c>
      <c r="N594" s="2">
        <f>N593+IF(LEN($X$594)&gt;0,1,0)</f>
        <v/>
      </c>
      <c r="X594" s="2">
        <f>IF(ISERROR($B$594),"",IF(ISBLANK($B$594),"",$B$594))</f>
        <v/>
      </c>
      <c r="AG594" s="2">
        <f>ISERROR($B$594)*1</f>
        <v/>
      </c>
    </row>
    <row r="595" ht="26" customHeight="1">
      <c r="B595" s="33" t="inlineStr">
        <is>
          <t>a janela de lançamento fecha ao pôr do sol</t>
        </is>
      </c>
      <c r="K595" s="19">
        <f>IF(AG595&gt;0,"O Google leu como fórmula: digite de novo com ' na frente.","")</f>
        <v/>
      </c>
      <c r="N595" s="2">
        <f>N594+IF(LEN($X$595)&gt;0,1,0)</f>
        <v/>
      </c>
      <c r="X595" s="2">
        <f>IF(ISERROR($B$595),"",IF(ISBLANK($B$595),"",$B$595))</f>
        <v/>
      </c>
      <c r="AG595" s="2">
        <f>ISERROR($B$595)*1</f>
        <v/>
      </c>
    </row>
    <row r="596" ht="26" customHeight="1">
      <c r="B596" s="35" t="inlineStr">
        <is>
          <t>a carga estraga em quarenta horas</t>
        </is>
      </c>
      <c r="K596" s="19">
        <f>IF(AG596&gt;0,"O Google leu como fórmula: digite de novo com ' na frente.","")</f>
        <v/>
      </c>
      <c r="N596" s="2">
        <f>N595+IF(LEN($X$596)&gt;0,1,0)</f>
        <v/>
      </c>
      <c r="X596" s="2">
        <f>IF(ISERROR($B$596),"",IF(ISBLANK($B$596),"",$B$596))</f>
        <v/>
      </c>
      <c r="AG596" s="2">
        <f>ISERROR($B$596)*1</f>
        <v/>
      </c>
    </row>
    <row r="597" ht="26" customHeight="1">
      <c r="B597" s="33" t="inlineStr">
        <is>
          <t>o refém será transferido na próxima troca de guarda</t>
        </is>
      </c>
      <c r="K597" s="19">
        <f>IF(AG597&gt;0,"O Google leu como fórmula: digite de novo com ' na frente.","")</f>
        <v/>
      </c>
      <c r="N597" s="2">
        <f>N596+IF(LEN($X$597)&gt;0,1,0)</f>
        <v/>
      </c>
      <c r="X597" s="2">
        <f>IF(ISERROR($B$597),"",IF(ISBLANK($B$597),"",$B$597))</f>
        <v/>
      </c>
      <c r="AG597" s="2">
        <f>ISERROR($B$597)*1</f>
        <v/>
      </c>
    </row>
    <row r="598" ht="26" customHeight="1">
      <c r="B598" s="35" t="inlineStr">
        <is>
          <t>a ponte será demolida no fim da semana</t>
        </is>
      </c>
      <c r="K598" s="19">
        <f>IF(AG598&gt;0,"O Google leu como fórmula: digite de novo com ' na frente.","")</f>
        <v/>
      </c>
      <c r="N598" s="2">
        <f>N597+IF(LEN($X$598)&gt;0,1,0)</f>
        <v/>
      </c>
      <c r="X598" s="2">
        <f>IF(ISERROR($B$598),"",IF(ISBLANK($B$598),"",$B$598))</f>
        <v/>
      </c>
      <c r="AG598" s="2">
        <f>ISERROR($B$598)*1</f>
        <v/>
      </c>
    </row>
    <row r="599" ht="26" customHeight="1">
      <c r="B599" s="33" t="inlineStr">
        <is>
          <t>o eclipse dura só uma hora</t>
        </is>
      </c>
      <c r="K599" s="19">
        <f>IF(AG599&gt;0,"O Google leu como fórmula: digite de novo com ' na frente.","")</f>
        <v/>
      </c>
      <c r="N599" s="2">
        <f>N598+IF(LEN($X$599)&gt;0,1,0)</f>
        <v/>
      </c>
      <c r="X599" s="2">
        <f>IF(ISERROR($B$599),"",IF(ISBLANK($B$599),"",$B$599))</f>
        <v/>
      </c>
      <c r="AG599" s="2">
        <f>ISERROR($B$599)*1</f>
        <v/>
      </c>
    </row>
    <row r="600" ht="15" customHeight="1">
      <c r="B600" s="8" t="inlineStr">
        <is>
          <t>Prazo ou risco</t>
        </is>
      </c>
      <c r="N600" s="2">
        <f>N599</f>
        <v/>
      </c>
      <c r="X600" s="2">
        <f>IF(ISERROR($B$600),"",IF(ISBLANK($B$600),"",$B$600))</f>
        <v/>
      </c>
    </row>
    <row r="601" ht="26" customHeight="1">
      <c r="B601" s="33" t="inlineStr">
        <is>
          <t>a festa acaba quando a música parar</t>
        </is>
      </c>
      <c r="K601" s="19">
        <f>IF(AG601&gt;0,"O Google leu como fórmula: digite de novo com ' na frente.","")</f>
        <v/>
      </c>
      <c r="N601" s="2">
        <f>N600+IF(LEN($X$601)&gt;0,1,0)</f>
        <v/>
      </c>
      <c r="X601" s="2">
        <f>IF(ISERROR($B$601),"",IF(ISBLANK($B$601),"",$B$601))</f>
        <v/>
      </c>
      <c r="AG601" s="2">
        <f>ISERROR($B$601)*1</f>
        <v/>
      </c>
    </row>
    <row r="602" ht="26" customHeight="1">
      <c r="B602" s="35" t="inlineStr">
        <is>
          <t>a tempestade chega antes do jantar</t>
        </is>
      </c>
      <c r="K602" s="19">
        <f>IF(AG602&gt;0,"O Google leu como fórmula: digite de novo com ' na frente.","")</f>
        <v/>
      </c>
      <c r="N602" s="2">
        <f>N601+IF(LEN($X$602)&gt;0,1,0)</f>
        <v/>
      </c>
      <c r="X602" s="2">
        <f>IF(ISERROR($B$602),"",IF(ISBLANK($B$602),"",$B$602))</f>
        <v/>
      </c>
      <c r="AG602" s="2">
        <f>ISERROR($B$602)*1</f>
        <v/>
      </c>
    </row>
    <row r="603" ht="26" customHeight="1">
      <c r="B603" s="33" t="inlineStr">
        <is>
          <t>o contrato expira no fim do mês</t>
        </is>
      </c>
      <c r="K603" s="19">
        <f>IF(AG603&gt;0,"O Google leu como fórmula: digite de novo com ' na frente.","")</f>
        <v/>
      </c>
      <c r="N603" s="2">
        <f>N602+IF(LEN($X$603)&gt;0,1,0)</f>
        <v/>
      </c>
      <c r="X603" s="2">
        <f>IF(ISERROR($B$603),"",IF(ISBLANK($B$603),"",$B$603))</f>
        <v/>
      </c>
      <c r="AG603" s="2">
        <f>ISERROR($B$603)*1</f>
        <v/>
      </c>
    </row>
    <row r="604" ht="26" customHeight="1">
      <c r="B604" s="35" t="inlineStr">
        <is>
          <t>o reator esfria em doze horas</t>
        </is>
      </c>
      <c r="K604" s="19">
        <f>IF(AG604&gt;0,"O Google leu como fórmula: digite de novo com ' na frente.","")</f>
        <v/>
      </c>
      <c r="N604" s="2">
        <f>N603+IF(LEN($X$604)&gt;0,1,0)</f>
        <v/>
      </c>
      <c r="X604" s="2">
        <f>IF(ISERROR($B$604),"",IF(ISBLANK($B$604),"",$B$604))</f>
        <v/>
      </c>
      <c r="AG604" s="2">
        <f>ISERROR($B$604)*1</f>
        <v/>
      </c>
    </row>
    <row r="605" ht="26" customHeight="1">
      <c r="B605" s="33" t="inlineStr">
        <is>
          <t>a frota parte no próximo salto</t>
        </is>
      </c>
      <c r="K605" s="19">
        <f>IF(AG605&gt;0,"O Google leu como fórmula: digite de novo com ' na frente.","")</f>
        <v/>
      </c>
      <c r="N605" s="2">
        <f>N604+IF(LEN($X$605)&gt;0,1,0)</f>
        <v/>
      </c>
      <c r="X605" s="2">
        <f>IF(ISERROR($B$605),"",IF(ISBLANK($B$605),"",$B$605))</f>
        <v/>
      </c>
      <c r="AG605" s="2">
        <f>ISERROR($B$605)*1</f>
        <v/>
      </c>
    </row>
    <row r="606" ht="26" customHeight="1">
      <c r="B606" s="35" t="inlineStr">
        <is>
          <t>a testemunha embarca hoje à noite</t>
        </is>
      </c>
      <c r="K606" s="19">
        <f>IF(AG606&gt;0,"O Google leu como fórmula: digite de novo com ' na frente.","")</f>
        <v/>
      </c>
      <c r="N606" s="2">
        <f>N605+IF(LEN($X$606)&gt;0,1,0)</f>
        <v/>
      </c>
      <c r="X606" s="2">
        <f>IF(ISERROR($B$606),"",IF(ISBLANK($B$606),"",$B$606))</f>
        <v/>
      </c>
      <c r="AG606" s="2">
        <f>ISERROR($B$606)*1</f>
        <v/>
      </c>
    </row>
    <row r="607" ht="26" customHeight="1">
      <c r="B607" s="33" t="inlineStr">
        <is>
          <t>o sinal se apaga em seis dias</t>
        </is>
      </c>
      <c r="K607" s="19">
        <f>IF(AG607&gt;0,"O Google leu como fórmula: digite de novo com ' na frente.","")</f>
        <v/>
      </c>
      <c r="N607" s="2">
        <f>N606+IF(LEN($X$607)&gt;0,1,0)</f>
        <v/>
      </c>
      <c r="X607" s="2">
        <f>IF(ISERROR($B$607),"",IF(ISBLANK($B$607),"",$B$607))</f>
        <v/>
      </c>
      <c r="AG607" s="2">
        <f>ISERROR($B$607)*1</f>
        <v/>
      </c>
    </row>
    <row r="608" ht="26" customHeight="1">
      <c r="B608" s="35" t="inlineStr">
        <is>
          <t>o inverno fecha as estradas em uma semana</t>
        </is>
      </c>
      <c r="K608" s="19">
        <f>IF(AG608&gt;0,"O Google leu como fórmula: digite de novo com ' na frente.","")</f>
        <v/>
      </c>
      <c r="N608" s="2">
        <f>N607+IF(LEN($X$608)&gt;0,1,0)</f>
        <v/>
      </c>
      <c r="X608" s="2">
        <f>IF(ISERROR($B$608),"",IF(ISBLANK($B$608),"",$B$608))</f>
        <v/>
      </c>
      <c r="AG608" s="2">
        <f>ISERROR($B$608)*1</f>
        <v/>
      </c>
    </row>
    <row r="609" ht="26" customHeight="1">
      <c r="B609" s="33" t="n"/>
      <c r="K609" s="19">
        <f>IF(AG609&gt;0,"O Google leu como fórmula: digite de novo com ' na frente.","")</f>
        <v/>
      </c>
      <c r="N609" s="2">
        <f>N608+IF(LEN($X$609)&gt;0,1,0)</f>
        <v/>
      </c>
      <c r="X609" s="2">
        <f>IF(ISERROR($B$609),"",IF(ISBLANK($B$609),"",$B$609))</f>
        <v/>
      </c>
      <c r="AG609" s="2">
        <f>ISERROR($B$609)*1</f>
        <v/>
      </c>
    </row>
    <row r="610" ht="26" customHeight="1">
      <c r="B610" s="35" t="n"/>
      <c r="K610" s="19">
        <f>IF(AG610&gt;0,"O Google leu como fórmula: digite de novo com ' na frente.","")</f>
        <v/>
      </c>
      <c r="N610" s="2">
        <f>N609+IF(LEN($X$610)&gt;0,1,0)</f>
        <v/>
      </c>
      <c r="X610" s="2">
        <f>IF(ISERROR($B$610),"",IF(ISBLANK($B$610),"",$B$610))</f>
        <v/>
      </c>
      <c r="AG610" s="2">
        <f>ISERROR($B$610)*1</f>
        <v/>
      </c>
    </row>
    <row r="611" ht="26" customHeight="1">
      <c r="B611" s="33" t="n"/>
      <c r="K611" s="19">
        <f>IF(AG611&gt;0,"O Google leu como fórmula: digite de novo com ' na frente.","")</f>
        <v/>
      </c>
      <c r="N611" s="2">
        <f>N610+IF(LEN($X$611)&gt;0,1,0)</f>
        <v/>
      </c>
      <c r="X611" s="2">
        <f>IF(ISERROR($B$611),"",IF(ISBLANK($B$611),"",$B$611))</f>
        <v/>
      </c>
      <c r="AG611" s="2">
        <f>ISERROR($B$611)*1</f>
        <v/>
      </c>
    </row>
    <row r="612" ht="26" customHeight="1">
      <c r="B612" s="35" t="n"/>
      <c r="K612" s="19">
        <f>IF(AG612&gt;0,"O Google leu como fórmula: digite de novo com ' na frente.","")</f>
        <v/>
      </c>
      <c r="N612" s="2">
        <f>N611+IF(LEN($X$612)&gt;0,1,0)</f>
        <v/>
      </c>
      <c r="X612" s="2">
        <f>IF(ISERROR($B$612),"",IF(ISBLANK($B$612),"",$B$612))</f>
        <v/>
      </c>
      <c r="AG612" s="2">
        <f>ISERROR($B$612)*1</f>
        <v/>
      </c>
    </row>
    <row r="613" ht="26" customHeight="1">
      <c r="B613" s="33" t="n"/>
      <c r="K613" s="19">
        <f>IF(AG613&gt;0,"O Google leu como fórmula: digite de novo com ' na frente.","")</f>
        <v/>
      </c>
      <c r="N613" s="2">
        <f>N612+IF(LEN($X$613)&gt;0,1,0)</f>
        <v/>
      </c>
      <c r="X613" s="2">
        <f>IF(ISERROR($B$613),"",IF(ISBLANK($B$613),"",$B$613))</f>
        <v/>
      </c>
      <c r="AG613" s="2">
        <f>ISERROR($B$613)*1</f>
        <v/>
      </c>
    </row>
    <row r="614" ht="15" customHeight="1">
      <c r="B614" s="8" t="inlineStr">
        <is>
          <t>Prazo ou risco</t>
        </is>
      </c>
      <c r="N614" s="2">
        <f>N613</f>
        <v/>
      </c>
      <c r="X614" s="2">
        <f>IF(ISERROR($B$614),"",IF(ISBLANK($B$614),"",$B$614))</f>
        <v/>
      </c>
    </row>
    <row r="615" ht="26" customHeight="1">
      <c r="B615" s="33" t="n"/>
      <c r="K615" s="19">
        <f>IF(AG615&gt;0,"O Google leu como fórmula: digite de novo com ' na frente.","")</f>
        <v/>
      </c>
      <c r="N615" s="2">
        <f>N614+IF(LEN($X$615)&gt;0,1,0)</f>
        <v/>
      </c>
      <c r="X615" s="2">
        <f>IF(ISERROR($B$615),"",IF(ISBLANK($B$615),"",$B$615))</f>
        <v/>
      </c>
      <c r="AG615" s="2">
        <f>ISERROR($B$615)*1</f>
        <v/>
      </c>
    </row>
    <row r="616" ht="26" customHeight="1">
      <c r="B616" s="35" t="n"/>
      <c r="K616" s="19">
        <f>IF(AG616&gt;0,"O Google leu como fórmula: digite de novo com ' na frente.","")</f>
        <v/>
      </c>
      <c r="N616" s="2">
        <f>N615+IF(LEN($X$616)&gt;0,1,0)</f>
        <v/>
      </c>
      <c r="X616" s="2">
        <f>IF(ISERROR($B$616),"",IF(ISBLANK($B$616),"",$B$616))</f>
        <v/>
      </c>
      <c r="AG616" s="2">
        <f>ISERROR($B$616)*1</f>
        <v/>
      </c>
    </row>
    <row r="617" ht="26" customHeight="1">
      <c r="B617" s="33" t="n"/>
      <c r="K617" s="19">
        <f>IF(AG617&gt;0,"O Google leu como fórmula: digite de novo com ' na frente.","")</f>
        <v/>
      </c>
      <c r="N617" s="2">
        <f>N616+IF(LEN($X$617)&gt;0,1,0)</f>
        <v/>
      </c>
      <c r="X617" s="2">
        <f>IF(ISERROR($B$617),"",IF(ISBLANK($B$617),"",$B$617))</f>
        <v/>
      </c>
      <c r="AG617" s="2">
        <f>ISERROR($B$617)*1</f>
        <v/>
      </c>
    </row>
    <row r="618" ht="26" customHeight="1">
      <c r="B618" s="35" t="n"/>
      <c r="K618" s="19">
        <f>IF(AG618&gt;0,"O Google leu como fórmula: digite de novo com ' na frente.","")</f>
        <v/>
      </c>
      <c r="N618" s="2">
        <f>N617+IF(LEN($X$618)&gt;0,1,0)</f>
        <v/>
      </c>
      <c r="X618" s="2">
        <f>IF(ISERROR($B$618),"",IF(ISBLANK($B$618),"",$B$618))</f>
        <v/>
      </c>
      <c r="AG618" s="2">
        <f>ISERROR($B$618)*1</f>
        <v/>
      </c>
    </row>
    <row r="619" ht="26" customHeight="1">
      <c r="B619" s="33" t="n"/>
      <c r="K619" s="19">
        <f>IF(AG619&gt;0,"O Google leu como fórmula: digite de novo com ' na frente.","")</f>
        <v/>
      </c>
      <c r="N619" s="2">
        <f>N618+IF(LEN($X$619)&gt;0,1,0)</f>
        <v/>
      </c>
      <c r="X619" s="2">
        <f>IF(ISERROR($B$619),"",IF(ISBLANK($B$619),"",$B$619))</f>
        <v/>
      </c>
      <c r="AG619" s="2">
        <f>ISERROR($B$619)*1</f>
        <v/>
      </c>
    </row>
    <row r="620" ht="26" customHeight="1">
      <c r="B620" s="35" t="n"/>
      <c r="K620" s="19">
        <f>IF(AG620&gt;0,"O Google leu como fórmula: digite de novo com ' na frente.","")</f>
        <v/>
      </c>
      <c r="N620" s="2">
        <f>N619+IF(LEN($X$620)&gt;0,1,0)</f>
        <v/>
      </c>
      <c r="X620" s="2">
        <f>IF(ISERROR($B$620),"",IF(ISBLANK($B$620),"",$B$620))</f>
        <v/>
      </c>
      <c r="AG620" s="2">
        <f>ISERROR($B$620)*1</f>
        <v/>
      </c>
    </row>
    <row r="621" ht="26" customHeight="1">
      <c r="B621" s="33" t="n"/>
      <c r="K621" s="19">
        <f>IF(AG621&gt;0,"O Google leu como fórmula: digite de novo com ' na frente.","")</f>
        <v/>
      </c>
      <c r="N621" s="2">
        <f>N620+IF(LEN($X$621)&gt;0,1,0)</f>
        <v/>
      </c>
      <c r="X621" s="2">
        <f>IF(ISERROR($B$621),"",IF(ISBLANK($B$621),"",$B$621))</f>
        <v/>
      </c>
      <c r="AG621" s="2">
        <f>ISERROR($B$621)*1</f>
        <v/>
      </c>
    </row>
    <row r="622" ht="26" customHeight="1">
      <c r="B622" s="35" t="n"/>
      <c r="K622" s="19">
        <f>IF(AG622&gt;0,"O Google leu como fórmula: digite de novo com ' na frente.","")</f>
        <v/>
      </c>
      <c r="N622" s="2">
        <f>N621+IF(LEN($X$622)&gt;0,1,0)</f>
        <v/>
      </c>
      <c r="X622" s="2">
        <f>IF(ISERROR($B$622),"",IF(ISBLANK($B$622),"",$B$622))</f>
        <v/>
      </c>
      <c r="AG622" s="2">
        <f>ISERROR($B$622)*1</f>
        <v/>
      </c>
    </row>
    <row r="623" ht="26" customHeight="1">
      <c r="B623" s="33" t="n"/>
      <c r="K623" s="19">
        <f>IF(AG623&gt;0,"O Google leu como fórmula: digite de novo com ' na frente.","")</f>
        <v/>
      </c>
      <c r="N623" s="2">
        <f>N622+IF(LEN($X$623)&gt;0,1,0)</f>
        <v/>
      </c>
      <c r="X623" s="2">
        <f>IF(ISERROR($B$623),"",IF(ISBLANK($B$623),"",$B$623))</f>
        <v/>
      </c>
      <c r="AG623" s="2">
        <f>ISERROR($B$623)*1</f>
        <v/>
      </c>
    </row>
    <row r="624" ht="26" customHeight="1">
      <c r="B624" s="35" t="n"/>
      <c r="K624" s="19">
        <f>IF(AG624&gt;0,"O Google leu como fórmula: digite de novo com ' na frente.","")</f>
        <v/>
      </c>
      <c r="N624" s="2">
        <f>N623+IF(LEN($X$624)&gt;0,1,0)</f>
        <v/>
      </c>
      <c r="X624" s="2">
        <f>IF(ISERROR($B$624),"",IF(ISBLANK($B$624),"",$B$624))</f>
        <v/>
      </c>
      <c r="AG624" s="2">
        <f>ISERROR($B$624)*1</f>
        <v/>
      </c>
    </row>
    <row r="625" ht="26" customHeight="1">
      <c r="B625" s="33" t="n"/>
      <c r="K625" s="19">
        <f>IF(AG625&gt;0,"O Google leu como fórmula: digite de novo com ' na frente.","")</f>
        <v/>
      </c>
      <c r="N625" s="2">
        <f>N624+IF(LEN($X$625)&gt;0,1,0)</f>
        <v/>
      </c>
      <c r="X625" s="2">
        <f>IF(ISERROR($B$625),"",IF(ISBLANK($B$625),"",$B$625))</f>
        <v/>
      </c>
      <c r="AG625" s="2">
        <f>ISERROR($B$625)*1</f>
        <v/>
      </c>
    </row>
    <row r="626" ht="26" customHeight="1">
      <c r="B626" s="35" t="n"/>
      <c r="K626" s="19">
        <f>IF(AG626&gt;0,"O Google leu como fórmula: digite de novo com ' na frente.","")</f>
        <v/>
      </c>
      <c r="N626" s="2">
        <f>N625+IF(LEN($X$626)&gt;0,1,0)</f>
        <v/>
      </c>
      <c r="X626" s="2">
        <f>IF(ISERROR($B$626),"",IF(ISBLANK($B$626),"",$B$626))</f>
        <v/>
      </c>
      <c r="AG626" s="2">
        <f>ISERROR($B$626)*1</f>
        <v/>
      </c>
    </row>
    <row r="627" ht="26" customHeight="1">
      <c r="B627" s="33" t="n"/>
      <c r="K627" s="19">
        <f>IF(AG627&gt;0,"O Google leu como fórmula: digite de novo com ' na frente.","")</f>
        <v/>
      </c>
      <c r="N627" s="2">
        <f>N626+IF(LEN($X$627)&gt;0,1,0)</f>
        <v/>
      </c>
      <c r="X627" s="2">
        <f>IF(ISERROR($B$627),"",IF(ISBLANK($B$627),"",$B$627))</f>
        <v/>
      </c>
      <c r="AG627" s="2">
        <f>ISERROR($B$627)*1</f>
        <v/>
      </c>
    </row>
    <row r="628" ht="15" customHeight="1">
      <c r="B628" s="8" t="inlineStr">
        <is>
          <t>Prazo ou risco</t>
        </is>
      </c>
      <c r="N628" s="2">
        <f>N627</f>
        <v/>
      </c>
      <c r="X628" s="2">
        <f>IF(ISERROR($B$628),"",IF(ISBLANK($B$628),"",$B$628))</f>
        <v/>
      </c>
    </row>
    <row r="629" ht="26" customHeight="1">
      <c r="B629" s="33" t="n"/>
      <c r="K629" s="19">
        <f>IF(AG629&gt;0,"O Google leu como fórmula: digite de novo com ' na frente.","")</f>
        <v/>
      </c>
      <c r="N629" s="2">
        <f>N628+IF(LEN($X$629)&gt;0,1,0)</f>
        <v/>
      </c>
      <c r="X629" s="2">
        <f>IF(ISERROR($B$629),"",IF(ISBLANK($B$629),"",$B$629))</f>
        <v/>
      </c>
      <c r="AG629" s="2">
        <f>ISERROR($B$629)*1</f>
        <v/>
      </c>
    </row>
    <row r="630" ht="26" customHeight="1">
      <c r="B630" s="35" t="n"/>
      <c r="K630" s="19">
        <f>IF(AG630&gt;0,"O Google leu como fórmula: digite de novo com ' na frente.","")</f>
        <v/>
      </c>
      <c r="N630" s="2">
        <f>N629+IF(LEN($X$630)&gt;0,1,0)</f>
        <v/>
      </c>
      <c r="X630" s="2">
        <f>IF(ISERROR($B$630),"",IF(ISBLANK($B$630),"",$B$630))</f>
        <v/>
      </c>
      <c r="AG630" s="2">
        <f>ISERROR($B$630)*1</f>
        <v/>
      </c>
    </row>
    <row r="631" ht="26" customHeight="1">
      <c r="B631" s="33" t="n"/>
      <c r="K631" s="19">
        <f>IF(AG631&gt;0,"O Google leu como fórmula: digite de novo com ' na frente.","")</f>
        <v/>
      </c>
      <c r="N631" s="2">
        <f>N630+IF(LEN($X$631)&gt;0,1,0)</f>
        <v/>
      </c>
      <c r="X631" s="2">
        <f>IF(ISERROR($B$631),"",IF(ISBLANK($B$631),"",$B$631))</f>
        <v/>
      </c>
      <c r="AG631" s="2">
        <f>ISERROR($B$631)*1</f>
        <v/>
      </c>
    </row>
    <row r="632" ht="26" customHeight="1">
      <c r="B632" s="35" t="n"/>
      <c r="K632" s="19">
        <f>IF(AG632&gt;0,"O Google leu como fórmula: digite de novo com ' na frente.","")</f>
        <v/>
      </c>
      <c r="N632" s="2">
        <f>N631+IF(LEN($X$632)&gt;0,1,0)</f>
        <v/>
      </c>
      <c r="X632" s="2">
        <f>IF(ISERROR($B$632),"",IF(ISBLANK($B$632),"",$B$632))</f>
        <v/>
      </c>
      <c r="AG632" s="2">
        <f>ISERROR($B$632)*1</f>
        <v/>
      </c>
    </row>
    <row r="633" ht="26" customHeight="1">
      <c r="B633" s="33" t="n"/>
      <c r="K633" s="19">
        <f>IF(AG633&gt;0,"O Google leu como fórmula: digite de novo com ' na frente.","")</f>
        <v/>
      </c>
      <c r="N633" s="2">
        <f>N632+IF(LEN($X$633)&gt;0,1,0)</f>
        <v/>
      </c>
      <c r="X633" s="2">
        <f>IF(ISERROR($B$633),"",IF(ISBLANK($B$633),"",$B$633))</f>
        <v/>
      </c>
      <c r="AG633" s="2">
        <f>ISERROR($B$633)*1</f>
        <v/>
      </c>
    </row>
    <row r="634" ht="26" customHeight="1">
      <c r="B634" s="35" t="n"/>
      <c r="K634" s="19">
        <f>IF(AG634&gt;0,"O Google leu como fórmula: digite de novo com ' na frente.","")</f>
        <v/>
      </c>
      <c r="N634" s="2">
        <f>N633+IF(LEN($X$634)&gt;0,1,0)</f>
        <v/>
      </c>
      <c r="X634" s="2">
        <f>IF(ISERROR($B$634),"",IF(ISBLANK($B$634),"",$B$634))</f>
        <v/>
      </c>
      <c r="AG634" s="2">
        <f>ISERROR($B$634)*1</f>
        <v/>
      </c>
    </row>
    <row r="635" ht="26" customHeight="1">
      <c r="B635" s="33" t="n"/>
      <c r="K635" s="19">
        <f>IF(AG635&gt;0,"O Google leu como fórmula: digite de novo com ' na frente.","")</f>
        <v/>
      </c>
      <c r="N635" s="2">
        <f>N634+IF(LEN($X$635)&gt;0,1,0)</f>
        <v/>
      </c>
      <c r="X635" s="2">
        <f>IF(ISERROR($B$635),"",IF(ISBLANK($B$635),"",$B$635))</f>
        <v/>
      </c>
      <c r="AG635" s="2">
        <f>ISERROR($B$635)*1</f>
        <v/>
      </c>
    </row>
    <row r="636" ht="26" customHeight="1">
      <c r="B636" s="35" t="n"/>
      <c r="K636" s="19">
        <f>IF(AG636&gt;0,"O Google leu como fórmula: digite de novo com ' na frente.","")</f>
        <v/>
      </c>
      <c r="N636" s="2">
        <f>N635+IF(LEN($X$636)&gt;0,1,0)</f>
        <v/>
      </c>
      <c r="X636" s="2">
        <f>IF(ISERROR($B$636),"",IF(ISBLANK($B$636),"",$B$636))</f>
        <v/>
      </c>
      <c r="AG636" s="2">
        <f>ISERROR($B$636)*1</f>
        <v/>
      </c>
    </row>
    <row r="637" ht="26" customHeight="1">
      <c r="B637" s="33" t="n"/>
      <c r="K637" s="19">
        <f>IF(AG637&gt;0,"O Google leu como fórmula: digite de novo com ' na frente.","")</f>
        <v/>
      </c>
      <c r="N637" s="2">
        <f>N636+IF(LEN($X$637)&gt;0,1,0)</f>
        <v/>
      </c>
      <c r="X637" s="2">
        <f>IF(ISERROR($B$637),"",IF(ISBLANK($B$637),"",$B$637))</f>
        <v/>
      </c>
      <c r="AG637" s="2">
        <f>ISERROR($B$637)*1</f>
        <v/>
      </c>
    </row>
    <row r="638" ht="26" customHeight="1">
      <c r="B638" s="35" t="n"/>
      <c r="K638" s="19">
        <f>IF(AG638&gt;0,"O Google leu como fórmula: digite de novo com ' na frente.","")</f>
        <v/>
      </c>
      <c r="N638" s="2">
        <f>N637+IF(LEN($X$638)&gt;0,1,0)</f>
        <v/>
      </c>
      <c r="X638" s="2">
        <f>IF(ISERROR($B$638),"",IF(ISBLANK($B$638),"",$B$638))</f>
        <v/>
      </c>
      <c r="AG638" s="2">
        <f>ISERROR($B$638)*1</f>
        <v/>
      </c>
    </row>
    <row r="639" ht="26" customHeight="1">
      <c r="B639" s="33" t="n"/>
      <c r="K639" s="19">
        <f>IF(AG639&gt;0,"O Google leu como fórmula: digite de novo com ' na frente.","")</f>
        <v/>
      </c>
      <c r="N639" s="2">
        <f>N638+IF(LEN($X$639)&gt;0,1,0)</f>
        <v/>
      </c>
      <c r="X639" s="2">
        <f>IF(ISERROR($B$639),"",IF(ISBLANK($B$639),"",$B$639))</f>
        <v/>
      </c>
      <c r="AG639" s="2">
        <f>ISERROR($B$639)*1</f>
        <v/>
      </c>
    </row>
    <row r="640" ht="26" customHeight="1">
      <c r="B640" s="35" t="n"/>
      <c r="K640" s="19">
        <f>IF(AG640&gt;0,"O Google leu como fórmula: digite de novo com ' na frente.","")</f>
        <v/>
      </c>
      <c r="N640" s="2">
        <f>N639+IF(LEN($X$640)&gt;0,1,0)</f>
        <v/>
      </c>
      <c r="X640" s="2">
        <f>IF(ISERROR($B$640),"",IF(ISBLANK($B$640),"",$B$640))</f>
        <v/>
      </c>
      <c r="AG640" s="2">
        <f>ISERROR($B$640)*1</f>
        <v/>
      </c>
    </row>
    <row r="641" ht="26" customHeight="1">
      <c r="B641" s="33" t="n"/>
      <c r="K641" s="19">
        <f>IF(AG641&gt;0,"O Google leu como fórmula: digite de novo com ' na frente.","")</f>
        <v/>
      </c>
      <c r="N641" s="2">
        <f>N640+IF(LEN($X$641)&gt;0,1,0)</f>
        <v/>
      </c>
      <c r="X641" s="2">
        <f>IF(ISERROR($B$641),"",IF(ISBLANK($B$641),"",$B$641))</f>
        <v/>
      </c>
      <c r="AG641" s="2">
        <f>ISERROR($B$641)*1</f>
        <v/>
      </c>
    </row>
    <row r="642" ht="15" customHeight="1">
      <c r="B642" s="8" t="inlineStr">
        <is>
          <t>Prazo ou risco</t>
        </is>
      </c>
      <c r="N642" s="2">
        <f>N641</f>
        <v/>
      </c>
      <c r="X642" s="2">
        <f>IF(ISERROR($B$642),"",IF(ISBLANK($B$642),"",$B$642))</f>
        <v/>
      </c>
    </row>
    <row r="643" ht="26" customHeight="1">
      <c r="B643" s="33" t="n"/>
      <c r="K643" s="19">
        <f>IF(AG643&gt;0,"O Google leu como fórmula: digite de novo com ' na frente.","")</f>
        <v/>
      </c>
      <c r="N643" s="2">
        <f>N642+IF(LEN($X$643)&gt;0,1,0)</f>
        <v/>
      </c>
      <c r="X643" s="2">
        <f>IF(ISERROR($B$643),"",IF(ISBLANK($B$643),"",$B$643))</f>
        <v/>
      </c>
      <c r="AG643" s="2">
        <f>ISERROR($B$643)*1</f>
        <v/>
      </c>
    </row>
    <row r="644" ht="26" customHeight="1">
      <c r="B644" s="35" t="n"/>
      <c r="K644" s="19">
        <f>IF(AG644&gt;0,"O Google leu como fórmula: digite de novo com ' na frente.","")</f>
        <v/>
      </c>
      <c r="N644" s="2">
        <f>N643+IF(LEN($X$644)&gt;0,1,0)</f>
        <v/>
      </c>
      <c r="X644" s="2">
        <f>IF(ISERROR($B$644),"",IF(ISBLANK($B$644),"",$B$644))</f>
        <v/>
      </c>
      <c r="AG644" s="2">
        <f>ISERROR($B$644)*1</f>
        <v/>
      </c>
    </row>
    <row r="645" ht="26" customHeight="1">
      <c r="B645" s="33" t="n"/>
      <c r="K645" s="19">
        <f>IF(AG645&gt;0,"O Google leu como fórmula: digite de novo com ' na frente.","")</f>
        <v/>
      </c>
      <c r="N645" s="2">
        <f>N644+IF(LEN($X$645)&gt;0,1,0)</f>
        <v/>
      </c>
      <c r="X645" s="2">
        <f>IF(ISERROR($B$645),"",IF(ISBLANK($B$645),"",$B$645))</f>
        <v/>
      </c>
      <c r="AG645" s="2">
        <f>ISERROR($B$645)*1</f>
        <v/>
      </c>
    </row>
    <row r="646" ht="26" customHeight="1">
      <c r="B646" s="35" t="n"/>
      <c r="K646" s="19">
        <f>IF(AG646&gt;0,"O Google leu como fórmula: digite de novo com ' na frente.","")</f>
        <v/>
      </c>
      <c r="N646" s="2">
        <f>N645+IF(LEN($X$646)&gt;0,1,0)</f>
        <v/>
      </c>
      <c r="X646" s="2">
        <f>IF(ISERROR($B$646),"",IF(ISBLANK($B$646),"",$B$646))</f>
        <v/>
      </c>
      <c r="AG646" s="2">
        <f>ISERROR($B$646)*1</f>
        <v/>
      </c>
    </row>
    <row r="647" ht="26" customHeight="1">
      <c r="B647" s="33" t="n"/>
      <c r="K647" s="19">
        <f>IF(AG647&gt;0,"O Google leu como fórmula: digite de novo com ' na frente.","")</f>
        <v/>
      </c>
      <c r="N647" s="2">
        <f>N646+IF(LEN($X$647)&gt;0,1,0)</f>
        <v/>
      </c>
      <c r="X647" s="2">
        <f>IF(ISERROR($B$647),"",IF(ISBLANK($B$647),"",$B$647))</f>
        <v/>
      </c>
      <c r="AG647" s="2">
        <f>ISERROR($B$647)*1</f>
        <v/>
      </c>
    </row>
    <row r="648" ht="26" customHeight="1">
      <c r="B648" s="35" t="n"/>
      <c r="K648" s="19">
        <f>IF(AG648&gt;0,"O Google leu como fórmula: digite de novo com ' na frente.","")</f>
        <v/>
      </c>
      <c r="N648" s="2">
        <f>N647+IF(LEN($X$648)&gt;0,1,0)</f>
        <v/>
      </c>
      <c r="X648" s="2">
        <f>IF(ISERROR($B$648),"",IF(ISBLANK($B$648),"",$B$648))</f>
        <v/>
      </c>
      <c r="AG648" s="2">
        <f>ISERROR($B$648)*1</f>
        <v/>
      </c>
    </row>
    <row r="649" ht="26" customHeight="1">
      <c r="B649" s="33" t="n"/>
      <c r="K649" s="19">
        <f>IF(AG649&gt;0,"O Google leu como fórmula: digite de novo com ' na frente.","")</f>
        <v/>
      </c>
      <c r="N649" s="2">
        <f>N648+IF(LEN($X$649)&gt;0,1,0)</f>
        <v/>
      </c>
      <c r="X649" s="2">
        <f>IF(ISERROR($B$649),"",IF(ISBLANK($B$649),"",$B$649))</f>
        <v/>
      </c>
      <c r="AG649" s="2">
        <f>ISERROR($B$649)*1</f>
        <v/>
      </c>
    </row>
    <row r="650" ht="26" customHeight="1">
      <c r="B650" s="35" t="n"/>
      <c r="K650" s="19">
        <f>IF(AG650&gt;0,"O Google leu como fórmula: digite de novo com ' na frente.","")</f>
        <v/>
      </c>
      <c r="N650" s="2">
        <f>N649+IF(LEN($X$650)&gt;0,1,0)</f>
        <v/>
      </c>
      <c r="X650" s="2">
        <f>IF(ISERROR($B$650),"",IF(ISBLANK($B$650),"",$B$650))</f>
        <v/>
      </c>
      <c r="AG650" s="2">
        <f>ISERROR($B$650)*1</f>
        <v/>
      </c>
    </row>
    <row r="651" ht="26" customHeight="1">
      <c r="B651" s="33" t="n"/>
      <c r="K651" s="19">
        <f>IF(AG651&gt;0,"O Google leu como fórmula: digite de novo com ' na frente.","")</f>
        <v/>
      </c>
      <c r="N651" s="2">
        <f>N650+IF(LEN($X$651)&gt;0,1,0)</f>
        <v/>
      </c>
      <c r="X651" s="2">
        <f>IF(ISERROR($B$651),"",IF(ISBLANK($B$651),"",$B$651))</f>
        <v/>
      </c>
      <c r="AG651" s="2">
        <f>ISERROR($B$651)*1</f>
        <v/>
      </c>
    </row>
    <row r="652" ht="26" customHeight="1">
      <c r="B652" s="35" t="n"/>
      <c r="K652" s="19">
        <f>IF(AG652&gt;0,"O Google leu como fórmula: digite de novo com ' na frente.","")</f>
        <v/>
      </c>
      <c r="N652" s="2">
        <f>N651+IF(LEN($X$652)&gt;0,1,0)</f>
        <v/>
      </c>
      <c r="X652" s="2">
        <f>IF(ISERROR($B$652),"",IF(ISBLANK($B$652),"",$B$652))</f>
        <v/>
      </c>
      <c r="AG652" s="2">
        <f>ISERROR($B$652)*1</f>
        <v/>
      </c>
    </row>
    <row r="653" ht="26" customHeight="1">
      <c r="B653" s="33" t="n"/>
      <c r="K653" s="19">
        <f>IF(AG653&gt;0,"O Google leu como fórmula: digite de novo com ' na frente.","")</f>
        <v/>
      </c>
      <c r="N653" s="2">
        <f>N652+IF(LEN($X$653)&gt;0,1,0)</f>
        <v/>
      </c>
      <c r="X653" s="2">
        <f>IF(ISERROR($B$653),"",IF(ISBLANK($B$653),"",$B$653))</f>
        <v/>
      </c>
      <c r="AG653" s="2">
        <f>ISERROR($B$653)*1</f>
        <v/>
      </c>
    </row>
    <row r="654" ht="26" customHeight="1">
      <c r="B654" s="35" t="n"/>
      <c r="K654" s="19">
        <f>IF(AG654&gt;0,"O Google leu como fórmula: digite de novo com ' na frente.","")</f>
        <v/>
      </c>
      <c r="N654" s="2">
        <f>N653+IF(LEN($X$654)&gt;0,1,0)</f>
        <v/>
      </c>
      <c r="X654" s="2">
        <f>IF(ISERROR($B$654),"",IF(ISBLANK($B$654),"",$B$654))</f>
        <v/>
      </c>
      <c r="AG654" s="2">
        <f>ISERROR($B$654)*1</f>
        <v/>
      </c>
    </row>
    <row r="655" ht="26" customHeight="1">
      <c r="B655" s="33" t="n"/>
      <c r="K655" s="19">
        <f>IF(AG655&gt;0,"O Google leu como fórmula: digite de novo com ' na frente.","")</f>
        <v/>
      </c>
      <c r="N655" s="2">
        <f>N654+IF(LEN($X$655)&gt;0,1,0)</f>
        <v/>
      </c>
      <c r="X655" s="2">
        <f>IF(ISERROR($B$655),"",IF(ISBLANK($B$655),"",$B$655))</f>
        <v/>
      </c>
      <c r="AG655" s="2">
        <f>ISERROR($B$655)*1</f>
        <v/>
      </c>
    </row>
    <row r="656" ht="15" customHeight="1">
      <c r="B656" s="8" t="inlineStr">
        <is>
          <t>Prazo ou risco</t>
        </is>
      </c>
      <c r="N656" s="2">
        <f>N655</f>
        <v/>
      </c>
      <c r="X656" s="2">
        <f>IF(ISERROR($B$656),"",IF(ISBLANK($B$656),"",$B$656))</f>
        <v/>
      </c>
    </row>
    <row r="657" ht="26" customHeight="1">
      <c r="B657" s="33" t="n"/>
      <c r="K657" s="19">
        <f>IF(AG657&gt;0,"O Google leu como fórmula: digite de novo com ' na frente.","")</f>
        <v/>
      </c>
      <c r="N657" s="2">
        <f>N656+IF(LEN($X$657)&gt;0,1,0)</f>
        <v/>
      </c>
      <c r="X657" s="2">
        <f>IF(ISERROR($B$657),"",IF(ISBLANK($B$657),"",$B$657))</f>
        <v/>
      </c>
      <c r="AG657" s="2">
        <f>ISERROR($B$657)*1</f>
        <v/>
      </c>
    </row>
    <row r="658" ht="26" customHeight="1">
      <c r="B658" s="35" t="n"/>
      <c r="K658" s="19">
        <f>IF(AG658&gt;0,"O Google leu como fórmula: digite de novo com ' na frente.","")</f>
        <v/>
      </c>
      <c r="N658" s="2">
        <f>N657+IF(LEN($X$658)&gt;0,1,0)</f>
        <v/>
      </c>
      <c r="X658" s="2">
        <f>IF(ISERROR($B$658),"",IF(ISBLANK($B$658),"",$B$658))</f>
        <v/>
      </c>
      <c r="AG658" s="2">
        <f>ISERROR($B$658)*1</f>
        <v/>
      </c>
    </row>
    <row r="659" ht="26" customHeight="1">
      <c r="B659" s="33" t="n"/>
      <c r="K659" s="19">
        <f>IF(AG659&gt;0,"O Google leu como fórmula: digite de novo com ' na frente.","")</f>
        <v/>
      </c>
      <c r="N659" s="2">
        <f>N658+IF(LEN($X$659)&gt;0,1,0)</f>
        <v/>
      </c>
      <c r="X659" s="2">
        <f>IF(ISERROR($B$659),"",IF(ISBLANK($B$659),"",$B$659))</f>
        <v/>
      </c>
      <c r="AG659" s="2">
        <f>ISERROR($B$659)*1</f>
        <v/>
      </c>
    </row>
    <row r="660" ht="26" customHeight="1">
      <c r="B660" s="35" t="n"/>
      <c r="K660" s="19">
        <f>IF(AG660&gt;0,"O Google leu como fórmula: digite de novo com ' na frente.","")</f>
        <v/>
      </c>
      <c r="N660" s="2">
        <f>N659+IF(LEN($X$660)&gt;0,1,0)</f>
        <v/>
      </c>
      <c r="X660" s="2">
        <f>IF(ISERROR($B$660),"",IF(ISBLANK($B$660),"",$B$660))</f>
        <v/>
      </c>
      <c r="AG660" s="2">
        <f>ISERROR($B$660)*1</f>
        <v/>
      </c>
    </row>
    <row r="661" ht="26" customHeight="1">
      <c r="B661" s="33" t="n"/>
      <c r="K661" s="19">
        <f>IF(AG661&gt;0,"O Google leu como fórmula: digite de novo com ' na frente.","")</f>
        <v/>
      </c>
      <c r="N661" s="2">
        <f>N660+IF(LEN($X$661)&gt;0,1,0)</f>
        <v/>
      </c>
      <c r="X661" s="2">
        <f>IF(ISERROR($B$661),"",IF(ISBLANK($B$661),"",$B$661))</f>
        <v/>
      </c>
      <c r="AG661" s="2">
        <f>ISERROR($B$661)*1</f>
        <v/>
      </c>
    </row>
    <row r="662" ht="26" customHeight="1">
      <c r="B662" s="35" t="n"/>
      <c r="K662" s="19">
        <f>IF(AG662&gt;0,"O Google leu como fórmula: digite de novo com ' na frente.","")</f>
        <v/>
      </c>
      <c r="N662" s="2">
        <f>N661+IF(LEN($X$662)&gt;0,1,0)</f>
        <v/>
      </c>
      <c r="X662" s="2">
        <f>IF(ISERROR($B$662),"",IF(ISBLANK($B$662),"",$B$662))</f>
        <v/>
      </c>
      <c r="AG662" s="2">
        <f>ISERROR($B$662)*1</f>
        <v/>
      </c>
    </row>
    <row r="663" ht="26" customHeight="1">
      <c r="B663" s="33" t="n"/>
      <c r="K663" s="19">
        <f>IF(AG663&gt;0,"O Google leu como fórmula: digite de novo com ' na frente.","")</f>
        <v/>
      </c>
      <c r="N663" s="2">
        <f>N662+IF(LEN($X$663)&gt;0,1,0)</f>
        <v/>
      </c>
      <c r="X663" s="2">
        <f>IF(ISERROR($B$663),"",IF(ISBLANK($B$663),"",$B$663))</f>
        <v/>
      </c>
      <c r="AG663" s="2">
        <f>ISERROR($B$663)*1</f>
        <v/>
      </c>
    </row>
    <row r="664" ht="26" customHeight="1">
      <c r="B664" s="35" t="n"/>
      <c r="K664" s="19">
        <f>IF(AG664&gt;0,"O Google leu como fórmula: digite de novo com ' na frente.","")</f>
        <v/>
      </c>
      <c r="N664" s="2">
        <f>N663+IF(LEN($X$664)&gt;0,1,0)</f>
        <v/>
      </c>
      <c r="X664" s="2">
        <f>IF(ISERROR($B$664),"",IF(ISBLANK($B$664),"",$B$664))</f>
        <v/>
      </c>
      <c r="AG664" s="2">
        <f>ISERROR($B$664)*1</f>
        <v/>
      </c>
    </row>
    <row r="665" ht="26" customHeight="1">
      <c r="B665" s="33" t="n"/>
      <c r="K665" s="19">
        <f>IF(AG665&gt;0,"O Google leu como fórmula: digite de novo com ' na frente.","")</f>
        <v/>
      </c>
      <c r="N665" s="2">
        <f>N664+IF(LEN($X$665)&gt;0,1,0)</f>
        <v/>
      </c>
      <c r="X665" s="2">
        <f>IF(ISERROR($B$665),"",IF(ISBLANK($B$665),"",$B$665))</f>
        <v/>
      </c>
      <c r="AG665" s="2">
        <f>ISERROR($B$665)*1</f>
        <v/>
      </c>
    </row>
    <row r="666" ht="26" customHeight="1">
      <c r="B666" s="35" t="n"/>
      <c r="K666" s="19">
        <f>IF(AG666&gt;0,"O Google leu como fórmula: digite de novo com ' na frente.","")</f>
        <v/>
      </c>
      <c r="N666" s="2">
        <f>N665+IF(LEN($X$666)&gt;0,1,0)</f>
        <v/>
      </c>
      <c r="X666" s="2">
        <f>IF(ISERROR($B$666),"",IF(ISBLANK($B$666),"",$B$666))</f>
        <v/>
      </c>
      <c r="AG666" s="2">
        <f>ISERROR($B$666)*1</f>
        <v/>
      </c>
    </row>
    <row r="667" ht="26" customHeight="1">
      <c r="B667" s="33" t="n"/>
      <c r="K667" s="19">
        <f>IF(AG667&gt;0,"O Google leu como fórmula: digite de novo com ' na frente.","")</f>
        <v/>
      </c>
      <c r="N667" s="2">
        <f>N666+IF(LEN($X$667)&gt;0,1,0)</f>
        <v/>
      </c>
      <c r="X667" s="2">
        <f>IF(ISERROR($B$667),"",IF(ISBLANK($B$667),"",$B$667))</f>
        <v/>
      </c>
      <c r="AG667" s="2">
        <f>ISERROR($B$667)*1</f>
        <v/>
      </c>
    </row>
    <row r="668" ht="26" customHeight="1">
      <c r="B668" s="35" t="n"/>
      <c r="K668" s="19">
        <f>IF(AG668&gt;0,"O Google leu como fórmula: digite de novo com ' na frente.","")</f>
        <v/>
      </c>
      <c r="N668" s="2">
        <f>N667+IF(LEN($X$668)&gt;0,1,0)</f>
        <v/>
      </c>
      <c r="X668" s="2">
        <f>IF(ISERROR($B$668),"",IF(ISBLANK($B$668),"",$B$668))</f>
        <v/>
      </c>
      <c r="AG668" s="2">
        <f>ISERROR($B$668)*1</f>
        <v/>
      </c>
    </row>
    <row r="669" ht="26" customHeight="1">
      <c r="B669" s="33" t="n"/>
      <c r="K669" s="19">
        <f>IF(AG669&gt;0,"O Google leu como fórmula: digite de novo com ' na frente.","")</f>
        <v/>
      </c>
      <c r="N669" s="2">
        <f>N668+IF(LEN($X$669)&gt;0,1,0)</f>
        <v/>
      </c>
      <c r="X669" s="2">
        <f>IF(ISERROR($B$669),"",IF(ISBLANK($B$669),"",$B$669))</f>
        <v/>
      </c>
      <c r="AG669" s="2">
        <f>ISERROR($B$669)*1</f>
        <v/>
      </c>
    </row>
    <row r="670" ht="15" customHeight="1">
      <c r="B670" s="8" t="inlineStr">
        <is>
          <t>Prazo ou risco</t>
        </is>
      </c>
      <c r="N670" s="2">
        <f>N669</f>
        <v/>
      </c>
      <c r="X670" s="2">
        <f>IF(ISERROR($B$670),"",IF(ISBLANK($B$670),"",$B$670))</f>
        <v/>
      </c>
    </row>
    <row r="671" ht="26" customHeight="1">
      <c r="B671" s="33" t="n"/>
      <c r="K671" s="19">
        <f>IF(AG671&gt;0,"O Google leu como fórmula: digite de novo com ' na frente.","")</f>
        <v/>
      </c>
      <c r="N671" s="2">
        <f>N670+IF(LEN($X$671)&gt;0,1,0)</f>
        <v/>
      </c>
      <c r="X671" s="2">
        <f>IF(ISERROR($B$671),"",IF(ISBLANK($B$671),"",$B$671))</f>
        <v/>
      </c>
      <c r="AG671" s="2">
        <f>ISERROR($B$671)*1</f>
        <v/>
      </c>
    </row>
    <row r="672" ht="26" customHeight="1">
      <c r="B672" s="35" t="n"/>
      <c r="K672" s="19">
        <f>IF(AG672&gt;0,"O Google leu como fórmula: digite de novo com ' na frente.","")</f>
        <v/>
      </c>
      <c r="N672" s="2">
        <f>N671+IF(LEN($X$672)&gt;0,1,0)</f>
        <v/>
      </c>
      <c r="X672" s="2">
        <f>IF(ISERROR($B$672),"",IF(ISBLANK($B$672),"",$B$672))</f>
        <v/>
      </c>
      <c r="AG672" s="2">
        <f>ISERROR($B$672)*1</f>
        <v/>
      </c>
    </row>
    <row r="673" ht="26" customHeight="1">
      <c r="B673" s="33" t="n"/>
      <c r="K673" s="19">
        <f>IF(AG673&gt;0,"O Google leu como fórmula: digite de novo com ' na frente.","")</f>
        <v/>
      </c>
      <c r="N673" s="2">
        <f>N672+IF(LEN($X$673)&gt;0,1,0)</f>
        <v/>
      </c>
      <c r="X673" s="2">
        <f>IF(ISERROR($B$673),"",IF(ISBLANK($B$673),"",$B$673))</f>
        <v/>
      </c>
      <c r="AG673" s="2">
        <f>ISERROR($B$673)*1</f>
        <v/>
      </c>
    </row>
    <row r="674" ht="26" customHeight="1">
      <c r="B674" s="35" t="n"/>
      <c r="K674" s="19">
        <f>IF(AG674&gt;0,"O Google leu como fórmula: digite de novo com ' na frente.","")</f>
        <v/>
      </c>
      <c r="N674" s="2">
        <f>N673+IF(LEN($X$674)&gt;0,1,0)</f>
        <v/>
      </c>
      <c r="X674" s="2">
        <f>IF(ISERROR($B$674),"",IF(ISBLANK($B$674),"",$B$674))</f>
        <v/>
      </c>
      <c r="AG674" s="2">
        <f>ISERROR($B$674)*1</f>
        <v/>
      </c>
    </row>
    <row r="675" ht="26" customHeight="1">
      <c r="B675" s="33" t="n"/>
      <c r="K675" s="19">
        <f>IF(AG675&gt;0,"O Google leu como fórmula: digite de novo com ' na frente.","")</f>
        <v/>
      </c>
      <c r="N675" s="2">
        <f>N674+IF(LEN($X$675)&gt;0,1,0)</f>
        <v/>
      </c>
      <c r="X675" s="2">
        <f>IF(ISERROR($B$675),"",IF(ISBLANK($B$675),"",$B$675))</f>
        <v/>
      </c>
      <c r="AG675" s="2">
        <f>ISERROR($B$675)*1</f>
        <v/>
      </c>
    </row>
    <row r="676" ht="26" customHeight="1">
      <c r="B676" s="35" t="n"/>
      <c r="K676" s="19">
        <f>IF(AG676&gt;0,"O Google leu como fórmula: digite de novo com ' na frente.","")</f>
        <v/>
      </c>
      <c r="N676" s="2">
        <f>N675+IF(LEN($X$676)&gt;0,1,0)</f>
        <v/>
      </c>
      <c r="X676" s="2">
        <f>IF(ISERROR($B$676),"",IF(ISBLANK($B$676),"",$B$676))</f>
        <v/>
      </c>
      <c r="AG676" s="2">
        <f>ISERROR($B$676)*1</f>
        <v/>
      </c>
    </row>
    <row r="677" ht="26" customHeight="1">
      <c r="B677" s="33" t="n"/>
      <c r="K677" s="19">
        <f>IF(AG677&gt;0,"O Google leu como fórmula: digite de novo com ' na frente.","")</f>
        <v/>
      </c>
      <c r="N677" s="2">
        <f>N676+IF(LEN($X$677)&gt;0,1,0)</f>
        <v/>
      </c>
      <c r="X677" s="2">
        <f>IF(ISERROR($B$677),"",IF(ISBLANK($B$677),"",$B$677))</f>
        <v/>
      </c>
      <c r="AG677" s="2">
        <f>ISERROR($B$677)*1</f>
        <v/>
      </c>
    </row>
    <row r="678" ht="26" customHeight="1">
      <c r="B678" s="35" t="n"/>
      <c r="K678" s="19">
        <f>IF(AG678&gt;0,"O Google leu como fórmula: digite de novo com ' na frente.","")</f>
        <v/>
      </c>
      <c r="N678" s="2">
        <f>N677+IF(LEN($X$678)&gt;0,1,0)</f>
        <v/>
      </c>
      <c r="X678" s="2">
        <f>IF(ISERROR($B$678),"",IF(ISBLANK($B$678),"",$B$678))</f>
        <v/>
      </c>
      <c r="AG678" s="2">
        <f>ISERROR($B$678)*1</f>
        <v/>
      </c>
    </row>
    <row r="679" ht="26" customHeight="1">
      <c r="B679" s="33" t="n"/>
      <c r="K679" s="19">
        <f>IF(AG679&gt;0,"O Google leu como fórmula: digite de novo com ' na frente.","")</f>
        <v/>
      </c>
      <c r="N679" s="2">
        <f>N678+IF(LEN($X$679)&gt;0,1,0)</f>
        <v/>
      </c>
      <c r="X679" s="2">
        <f>IF(ISERROR($B$679),"",IF(ISBLANK($B$679),"",$B$679))</f>
        <v/>
      </c>
      <c r="AG679" s="2">
        <f>ISERROR($B$679)*1</f>
        <v/>
      </c>
    </row>
    <row r="680" ht="26" customHeight="1">
      <c r="B680" s="35" t="n"/>
      <c r="K680" s="19">
        <f>IF(AG680&gt;0,"O Google leu como fórmula: digite de novo com ' na frente.","")</f>
        <v/>
      </c>
      <c r="N680" s="2">
        <f>N679+IF(LEN($X$680)&gt;0,1,0)</f>
        <v/>
      </c>
      <c r="X680" s="2">
        <f>IF(ISERROR($B$680),"",IF(ISBLANK($B$680),"",$B$680))</f>
        <v/>
      </c>
      <c r="AG680" s="2">
        <f>ISERROR($B$680)*1</f>
        <v/>
      </c>
    </row>
    <row r="681" ht="26" customHeight="1">
      <c r="B681" s="33" t="n"/>
      <c r="K681" s="19">
        <f>IF(AG681&gt;0,"O Google leu como fórmula: digite de novo com ' na frente.","")</f>
        <v/>
      </c>
      <c r="N681" s="2">
        <f>N680+IF(LEN($X$681)&gt;0,1,0)</f>
        <v/>
      </c>
      <c r="X681" s="2">
        <f>IF(ISERROR($B$681),"",IF(ISBLANK($B$681),"",$B$681))</f>
        <v/>
      </c>
      <c r="AG681" s="2">
        <f>ISERROR($B$681)*1</f>
        <v/>
      </c>
    </row>
    <row r="682" ht="26" customHeight="1">
      <c r="B682" s="35" t="n"/>
      <c r="K682" s="19">
        <f>IF(AG682&gt;0,"O Google leu como fórmula: digite de novo com ' na frente.","")</f>
        <v/>
      </c>
      <c r="N682" s="2">
        <f>N681+IF(LEN($X$682)&gt;0,1,0)</f>
        <v/>
      </c>
      <c r="X682" s="2">
        <f>IF(ISERROR($B$682),"",IF(ISBLANK($B$682),"",$B$682))</f>
        <v/>
      </c>
      <c r="AG682" s="2">
        <f>ISERROR($B$682)*1</f>
        <v/>
      </c>
    </row>
    <row r="683" ht="26" customHeight="1">
      <c r="B683" s="33" t="n"/>
      <c r="K683" s="19">
        <f>IF(AG683&gt;0,"O Google leu como fórmula: digite de novo com ' na frente.","")</f>
        <v/>
      </c>
      <c r="N683" s="2">
        <f>N682+IF(LEN($X$683)&gt;0,1,0)</f>
        <v/>
      </c>
      <c r="X683" s="2">
        <f>IF(ISERROR($B$683),"",IF(ISBLANK($B$683),"",$B$683))</f>
        <v/>
      </c>
      <c r="AG683" s="2">
        <f>ISERROR($B$683)*1</f>
        <v/>
      </c>
    </row>
    <row r="684" ht="15" customHeight="1">
      <c r="B684" s="8" t="inlineStr">
        <is>
          <t>Prazo ou risco</t>
        </is>
      </c>
      <c r="N684" s="2">
        <f>N683</f>
        <v/>
      </c>
      <c r="X684" s="2">
        <f>IF(ISERROR($B$684),"",IF(ISBLANK($B$684),"",$B$684))</f>
        <v/>
      </c>
    </row>
    <row r="685" ht="26" customHeight="1">
      <c r="B685" s="33" t="n"/>
      <c r="K685" s="19">
        <f>IF(AG685&gt;0,"O Google leu como fórmula: digite de novo com ' na frente.","")</f>
        <v/>
      </c>
      <c r="N685" s="2">
        <f>N684+IF(LEN($X$685)&gt;0,1,0)</f>
        <v/>
      </c>
      <c r="X685" s="2">
        <f>IF(ISERROR($B$685),"",IF(ISBLANK($B$685),"",$B$685))</f>
        <v/>
      </c>
      <c r="AG685" s="2">
        <f>ISERROR($B$685)*1</f>
        <v/>
      </c>
    </row>
    <row r="686" ht="26" customHeight="1">
      <c r="B686" s="35" t="n"/>
      <c r="K686" s="19">
        <f>IF(AG686&gt;0,"O Google leu como fórmula: digite de novo com ' na frente.","")</f>
        <v/>
      </c>
      <c r="N686" s="2">
        <f>N685+IF(LEN($X$686)&gt;0,1,0)</f>
        <v/>
      </c>
      <c r="X686" s="2">
        <f>IF(ISERROR($B$686),"",IF(ISBLANK($B$686),"",$B$686))</f>
        <v/>
      </c>
      <c r="AG686" s="2">
        <f>ISERROR($B$686)*1</f>
        <v/>
      </c>
    </row>
    <row r="687" ht="26" customHeight="1">
      <c r="B687" s="33" t="n"/>
      <c r="K687" s="19">
        <f>IF(AG687&gt;0,"O Google leu como fórmula: digite de novo com ' na frente.","")</f>
        <v/>
      </c>
      <c r="N687" s="2">
        <f>N686+IF(LEN($X$687)&gt;0,1,0)</f>
        <v/>
      </c>
      <c r="X687" s="2">
        <f>IF(ISERROR($B$687),"",IF(ISBLANK($B$687),"",$B$687))</f>
        <v/>
      </c>
      <c r="AG687" s="2">
        <f>ISERROR($B$687)*1</f>
        <v/>
      </c>
    </row>
    <row r="688" ht="26" customHeight="1">
      <c r="B688" s="35" t="n"/>
      <c r="K688" s="19">
        <f>IF(AG688&gt;0,"O Google leu como fórmula: digite de novo com ' na frente.","")</f>
        <v/>
      </c>
      <c r="N688" s="2">
        <f>N687+IF(LEN($X$688)&gt;0,1,0)</f>
        <v/>
      </c>
      <c r="X688" s="2">
        <f>IF(ISERROR($B$688),"",IF(ISBLANK($B$688),"",$B$688))</f>
        <v/>
      </c>
      <c r="AG688" s="2">
        <f>ISERROR($B$688)*1</f>
        <v/>
      </c>
    </row>
    <row r="689" ht="26" customHeight="1">
      <c r="B689" s="33" t="n"/>
      <c r="K689" s="19">
        <f>IF(AG689&gt;0,"O Google leu como fórmula: digite de novo com ' na frente.","")</f>
        <v/>
      </c>
      <c r="N689" s="2">
        <f>N688+IF(LEN($X$689)&gt;0,1,0)</f>
        <v/>
      </c>
      <c r="X689" s="2">
        <f>IF(ISERROR($B$689),"",IF(ISBLANK($B$689),"",$B$689))</f>
        <v/>
      </c>
      <c r="AG689" s="2">
        <f>ISERROR($B$689)*1</f>
        <v/>
      </c>
    </row>
    <row r="690" ht="26" customHeight="1">
      <c r="B690" s="35" t="n"/>
      <c r="K690" s="19">
        <f>IF(AG690&gt;0,"O Google leu como fórmula: digite de novo com ' na frente.","")</f>
        <v/>
      </c>
      <c r="N690" s="2">
        <f>N689+IF(LEN($X$690)&gt;0,1,0)</f>
        <v/>
      </c>
      <c r="X690" s="2">
        <f>IF(ISERROR($B$690),"",IF(ISBLANK($B$690),"",$B$690))</f>
        <v/>
      </c>
      <c r="AG690" s="2">
        <f>ISERROR($B$690)*1</f>
        <v/>
      </c>
    </row>
    <row r="691" ht="26" customHeight="1">
      <c r="B691" s="33" t="n"/>
      <c r="K691" s="19">
        <f>IF(AG691&gt;0,"O Google leu como fórmula: digite de novo com ' na frente.","")</f>
        <v/>
      </c>
      <c r="N691" s="2">
        <f>N690+IF(LEN($X$691)&gt;0,1,0)</f>
        <v/>
      </c>
      <c r="X691" s="2">
        <f>IF(ISERROR($B$691),"",IF(ISBLANK($B$691),"",$B$691))</f>
        <v/>
      </c>
      <c r="AG691" s="2">
        <f>ISERROR($B$691)*1</f>
        <v/>
      </c>
    </row>
    <row r="692" ht="26" customHeight="1">
      <c r="B692" s="35" t="n"/>
      <c r="K692" s="19">
        <f>IF(AG692&gt;0,"O Google leu como fórmula: digite de novo com ' na frente.","")</f>
        <v/>
      </c>
      <c r="N692" s="2">
        <f>N691+IF(LEN($X$692)&gt;0,1,0)</f>
        <v/>
      </c>
      <c r="X692" s="2">
        <f>IF(ISERROR($B$692),"",IF(ISBLANK($B$692),"",$B$692))</f>
        <v/>
      </c>
      <c r="AG692" s="2">
        <f>ISERROR($B$692)*1</f>
        <v/>
      </c>
    </row>
    <row r="693" ht="26" customHeight="1">
      <c r="B693" s="33" t="n"/>
      <c r="K693" s="19">
        <f>IF(AG693&gt;0,"O Google leu como fórmula: digite de novo com ' na frente.","")</f>
        <v/>
      </c>
      <c r="N693" s="2">
        <f>N692+IF(LEN($X$693)&gt;0,1,0)</f>
        <v/>
      </c>
      <c r="X693" s="2">
        <f>IF(ISERROR($B$693),"",IF(ISBLANK($B$693),"",$B$693))</f>
        <v/>
      </c>
      <c r="AG693" s="2">
        <f>ISERROR($B$693)*1</f>
        <v/>
      </c>
    </row>
    <row r="694"/>
    <row r="695" ht="20" customHeight="1">
      <c r="A695" s="13" t="inlineStr">
        <is>
          <t>Achados, Cones de Luz e Conjuntos (aba Recompensas) — Sugestão da planilha (H11) — 100 vagas por lista</t>
        </is>
      </c>
    </row>
    <row r="696">
      <c r="A696" s="12" t="inlineStr">
        <is>
          <t>Apague para trocar, use as vagas vazias para ampliar. Não insira linhas: o contador corrido pularia a linha nova.</t>
        </is>
      </c>
    </row>
    <row r="697" ht="26" customHeight="1">
      <c r="A697" s="8" t="inlineStr">
        <is>
          <t>Lista</t>
        </is>
      </c>
      <c r="B697" s="8" t="inlineStr">
        <is>
          <t>Pista</t>
        </is>
      </c>
      <c r="C697" s="8" t="inlineStr">
        <is>
          <t>Bugiganga</t>
        </is>
      </c>
      <c r="D697" s="8" t="inlineStr">
        <is>
          <t>Nome do Cone (início)</t>
        </is>
      </c>
      <c r="E697" s="8" t="inlineStr">
        <is>
          <t>Nome do Cone (fim)</t>
        </is>
      </c>
      <c r="F697" s="8" t="inlineStr">
        <is>
          <t>Memória do Cone</t>
        </is>
      </c>
      <c r="G697" s="8" t="inlineStr">
        <is>
          <t>Gatilho do Efeito Condicional</t>
        </is>
      </c>
      <c r="H697" s="8" t="inlineStr">
        <is>
          <t>Nome do Conjunto</t>
        </is>
      </c>
      <c r="I697" s="8" t="inlineStr">
        <is>
          <t>Origem do Conjunto</t>
        </is>
      </c>
      <c r="J697" s="8" t="inlineStr">
        <is>
          <t>Efeito de 4 peças</t>
        </is>
      </c>
    </row>
    <row r="698" ht="26" customHeight="1">
      <c r="A698" s="9" t="inlineStr">
        <is>
          <t>Fonte</t>
        </is>
      </c>
      <c r="B698" s="14" t="inlineStr">
        <is>
          <t>Sugestão da planilha (H11)</t>
        </is>
      </c>
      <c r="C698" s="14" t="inlineStr">
        <is>
          <t>Sugestão da planilha (H11)</t>
        </is>
      </c>
      <c r="D698" s="14" t="inlineStr">
        <is>
          <t>Sugestão da planilha (H11)</t>
        </is>
      </c>
      <c r="E698" s="14" t="inlineStr">
        <is>
          <t>Sugestão da planilha (H11)</t>
        </is>
      </c>
      <c r="F698" s="14" t="inlineStr">
        <is>
          <t>Sugestão da planilha (H11)</t>
        </is>
      </c>
      <c r="G698" s="14" t="inlineStr">
        <is>
          <t>Livro 25.2 (6 primeiras) + Sugestão da planilha (H11)</t>
        </is>
      </c>
      <c r="H698" s="14" t="inlineStr">
        <is>
          <t>Sugestão da planilha (H11)</t>
        </is>
      </c>
      <c r="I698" s="14" t="inlineStr">
        <is>
          <t>Sugestão da planilha (H11)</t>
        </is>
      </c>
      <c r="J698" s="14" t="inlineStr">
        <is>
          <t>Livro 25.3 (2 primeiras) + Sugestão da planilha (H11)</t>
        </is>
      </c>
    </row>
    <row r="699" ht="26" customHeight="1">
      <c r="A699" s="21" t="inlineStr">
        <is>
          <t>Tamanho da lista</t>
        </is>
      </c>
      <c r="B699" s="23">
        <f>N808</f>
        <v/>
      </c>
      <c r="C699" s="23">
        <f>O808</f>
        <v/>
      </c>
      <c r="D699" s="23">
        <f>P808</f>
        <v/>
      </c>
      <c r="E699" s="23">
        <f>Q808</f>
        <v/>
      </c>
      <c r="F699" s="23">
        <f>R808</f>
        <v/>
      </c>
      <c r="G699" s="23">
        <f>S808</f>
        <v/>
      </c>
      <c r="H699" s="23">
        <f>T808</f>
        <v/>
      </c>
      <c r="I699" s="23">
        <f>U808</f>
        <v/>
      </c>
      <c r="J699" s="23">
        <f>V808</f>
        <v/>
      </c>
    </row>
    <row r="700" ht="26" customHeight="1">
      <c r="A700" s="9" t="inlineStr">
        <is>
          <t>Aviso</t>
        </is>
      </c>
      <c r="B700" s="19">
        <f>IF(N808&gt;=100,"Lista cheia (100): use Minhas Tabelas para uma lista maior","")</f>
        <v/>
      </c>
      <c r="C700" s="19">
        <f>IF(O808&gt;=100,"Lista cheia (100): use Minhas Tabelas para uma lista maior","")</f>
        <v/>
      </c>
      <c r="D700" s="19">
        <f>IF(P808&gt;=100,"Lista cheia (100): use Minhas Tabelas para uma lista maior","")</f>
        <v/>
      </c>
      <c r="E700" s="19">
        <f>IF(Q808&gt;=100,"Lista cheia (100): use Minhas Tabelas para uma lista maior","")</f>
        <v/>
      </c>
      <c r="F700" s="19">
        <f>IF(R808&gt;=100,"Lista cheia (100): use Minhas Tabelas para uma lista maior","")</f>
        <v/>
      </c>
      <c r="G700" s="19">
        <f>IF(S808&gt;=100,"Lista cheia (100): use Minhas Tabelas para uma lista maior","")</f>
        <v/>
      </c>
      <c r="H700" s="19">
        <f>IF(T808&gt;=100,"Lista cheia (100): use Minhas Tabelas para uma lista maior","")</f>
        <v/>
      </c>
      <c r="I700" s="19">
        <f>IF(U808&gt;=100,"Lista cheia (100): use Minhas Tabelas para uma lista maior","")</f>
        <v/>
      </c>
      <c r="J700" s="19">
        <f>IF(V808&gt;=100,"Lista cheia (100): use Minhas Tabelas para uma lista maior","")</f>
        <v/>
      </c>
    </row>
    <row r="701" ht="26" customHeight="1">
      <c r="B701" s="8" t="inlineStr">
        <is>
          <t>Pista</t>
        </is>
      </c>
      <c r="C701" s="8" t="inlineStr">
        <is>
          <t>Bugiganga</t>
        </is>
      </c>
      <c r="D701" s="8" t="inlineStr">
        <is>
          <t>Nome do Cone (início)</t>
        </is>
      </c>
      <c r="E701" s="8" t="inlineStr">
        <is>
          <t>Nome do Cone (fim)</t>
        </is>
      </c>
      <c r="F701" s="8" t="inlineStr">
        <is>
          <t>Memória do Cone</t>
        </is>
      </c>
      <c r="G701" s="8" t="inlineStr">
        <is>
          <t>Gatilho do Efeito Condicional</t>
        </is>
      </c>
      <c r="H701" s="8" t="inlineStr">
        <is>
          <t>Nome do Conjunto</t>
        </is>
      </c>
      <c r="I701" s="8" t="inlineStr">
        <is>
          <t>Origem do Conjunto</t>
        </is>
      </c>
      <c r="J701" s="8" t="inlineStr">
        <is>
          <t>Efeito de 4 peças</t>
        </is>
      </c>
      <c r="N701" s="2">
        <f>0</f>
        <v/>
      </c>
      <c r="O701" s="2">
        <f>0</f>
        <v/>
      </c>
      <c r="P701" s="2">
        <f>0</f>
        <v/>
      </c>
      <c r="Q701" s="2">
        <f>0</f>
        <v/>
      </c>
      <c r="R701" s="2">
        <f>0</f>
        <v/>
      </c>
      <c r="S701" s="2">
        <f>0</f>
        <v/>
      </c>
      <c r="T701" s="2">
        <f>0</f>
        <v/>
      </c>
      <c r="U701" s="2">
        <f>0</f>
        <v/>
      </c>
      <c r="V701" s="2">
        <f>0</f>
        <v/>
      </c>
    </row>
    <row r="702" ht="37" customHeight="1">
      <c r="B702" s="33" t="inlineStr">
        <is>
          <t>um recibo com o carimbo de uma doca que não existe mais</t>
        </is>
      </c>
      <c r="C702" s="4" t="inlineStr">
        <is>
          <t>uma bússola que aponta para o último lugar onde você dormiu</t>
        </is>
      </c>
      <c r="D702" s="4" t="inlineStr">
        <is>
          <t>O Último Trem</t>
        </is>
      </c>
      <c r="E702" s="4" t="inlineStr">
        <is>
          <t>Para Casa</t>
        </is>
      </c>
      <c r="F702" s="4" t="inlineStr">
        <is>
          <t>a última viagem de um maquinista que nunca chegou</t>
        </is>
      </c>
      <c r="G702" s="4" t="inlineStr">
        <is>
          <t>quando você usa a Ultimate</t>
        </is>
      </c>
      <c r="H702" s="4" t="inlineStr">
        <is>
          <t>Vigília do Farol Afogado</t>
        </is>
      </c>
      <c r="I702" s="4" t="inlineStr">
        <is>
          <t>de um mesmo lugar: um farol que afundou com o vigia dentro</t>
        </is>
      </c>
      <c r="J702" s="4" t="inlineStr">
        <is>
          <t>ao Quebrar um inimigo, o seu próximo ataque ganha +1 dado</t>
        </is>
      </c>
      <c r="K702" s="19">
        <f>IF(AG702&gt;0,"O Google leu como fórmula: digite de novo com ' na frente.","")</f>
        <v/>
      </c>
      <c r="N702" s="2">
        <f>N701+IF(LEN($X$702)&gt;0,1,0)</f>
        <v/>
      </c>
      <c r="O702" s="2">
        <f>O701+IF(LEN($Y$702)&gt;0,1,0)</f>
        <v/>
      </c>
      <c r="P702" s="2">
        <f>P701+IF(LEN($Z$702)&gt;0,1,0)</f>
        <v/>
      </c>
      <c r="Q702" s="2">
        <f>Q701+IF(LEN($AA$702)&gt;0,1,0)</f>
        <v/>
      </c>
      <c r="R702" s="2">
        <f>R701+IF(LEN($AB$702)&gt;0,1,0)</f>
        <v/>
      </c>
      <c r="S702" s="2">
        <f>S701+IF(LEN($AC$702)&gt;0,1,0)</f>
        <v/>
      </c>
      <c r="T702" s="2">
        <f>T701+IF(LEN($AD$702)&gt;0,1,0)</f>
        <v/>
      </c>
      <c r="U702" s="2">
        <f>U701+IF(LEN($AE$702)&gt;0,1,0)</f>
        <v/>
      </c>
      <c r="V702" s="2">
        <f>V701+IF(LEN($AF$702)&gt;0,1,0)</f>
        <v/>
      </c>
      <c r="X702" s="2">
        <f>IF(ISERROR($B$702),"",IF(ISBLANK($B$702),"",$B$702))</f>
        <v/>
      </c>
      <c r="Y702" s="2">
        <f>IF(ISERROR($C$702),"",IF(ISBLANK($C$702),"",$C$702))</f>
        <v/>
      </c>
      <c r="Z702" s="2">
        <f>IF(ISERROR($D$702),"",IF(ISBLANK($D$702),"",$D$702))</f>
        <v/>
      </c>
      <c r="AA702" s="2">
        <f>IF(ISERROR($E$702),"",IF(ISBLANK($E$702),"",$E$702))</f>
        <v/>
      </c>
      <c r="AB702" s="2">
        <f>IF(ISERROR($F$702),"",IF(ISBLANK($F$702),"",$F$702))</f>
        <v/>
      </c>
      <c r="AC702" s="2">
        <f>IF(ISERROR($G$702),"",IF(ISBLANK($G$702),"",$G$702))</f>
        <v/>
      </c>
      <c r="AD702" s="2">
        <f>IF(ISERROR($H$702),"",IF(ISBLANK($H$702),"",$H$702))</f>
        <v/>
      </c>
      <c r="AE702" s="2">
        <f>IF(ISERROR($I$702),"",IF(ISBLANK($I$702),"",$I$702))</f>
        <v/>
      </c>
      <c r="AF702" s="2">
        <f>IF(ISERROR($J$702),"",IF(ISBLANK($J$702),"",$J$702))</f>
        <v/>
      </c>
      <c r="AG702" s="2">
        <f>ISERROR($B$702)*1+ISERROR($C$702)*1+ISERROR($D$702)*1+ISERROR($E$702)*1+ISERROR($F$702)*1+ISERROR($G$702)*1+ISERROR($H$702)*1+ISERROR($I$702)*1+ISERROR($J$702)*1</f>
        <v/>
      </c>
    </row>
    <row r="703" ht="37" customHeight="1">
      <c r="B703" s="35" t="inlineStr">
        <is>
          <t>pegadas que entram numa parede</t>
        </is>
      </c>
      <c r="C703" s="29" t="inlineStr">
        <is>
          <t>um relógio parado nas três e quinze</t>
        </is>
      </c>
      <c r="D703" s="29" t="inlineStr">
        <is>
          <t>A Última Carta</t>
        </is>
      </c>
      <c r="E703" s="29" t="inlineStr">
        <is>
          <t>Que Ninguém Leu</t>
        </is>
      </c>
      <c r="F703" s="29" t="inlineStr">
        <is>
          <t>o primeiro dia de aula numa colônia que já não existe</t>
        </is>
      </c>
      <c r="G703" s="29" t="inlineStr">
        <is>
          <t>quando você Quebra um inimigo</t>
        </is>
      </c>
      <c r="H703" s="29" t="inlineStr">
        <is>
          <t>Rastro da Caravana Perdida</t>
        </is>
      </c>
      <c r="I703" s="29" t="inlineStr">
        <is>
          <t>de uma mesma catástrofe: a queda de uma lua-forja</t>
        </is>
      </c>
      <c r="J703" s="29" t="inlineStr">
        <is>
          <t>ao usar a Ultimate, o grupo recebe +1 de Defesa por 1 Ciclo</t>
        </is>
      </c>
      <c r="K703" s="19">
        <f>IF(AG703&gt;0,"O Google leu como fórmula: digite de novo com ' na frente.","")</f>
        <v/>
      </c>
      <c r="N703" s="2">
        <f>N702+IF(LEN($X$703)&gt;0,1,0)</f>
        <v/>
      </c>
      <c r="O703" s="2">
        <f>O702+IF(LEN($Y$703)&gt;0,1,0)</f>
        <v/>
      </c>
      <c r="P703" s="2">
        <f>P702+IF(LEN($Z$703)&gt;0,1,0)</f>
        <v/>
      </c>
      <c r="Q703" s="2">
        <f>Q702+IF(LEN($AA$703)&gt;0,1,0)</f>
        <v/>
      </c>
      <c r="R703" s="2">
        <f>R702+IF(LEN($AB$703)&gt;0,1,0)</f>
        <v/>
      </c>
      <c r="S703" s="2">
        <f>S702+IF(LEN($AC$703)&gt;0,1,0)</f>
        <v/>
      </c>
      <c r="T703" s="2">
        <f>T702+IF(LEN($AD$703)&gt;0,1,0)</f>
        <v/>
      </c>
      <c r="U703" s="2">
        <f>U702+IF(LEN($AE$703)&gt;0,1,0)</f>
        <v/>
      </c>
      <c r="V703" s="2">
        <f>V702+IF(LEN($AF$703)&gt;0,1,0)</f>
        <v/>
      </c>
      <c r="X703" s="2">
        <f>IF(ISERROR($B$703),"",IF(ISBLANK($B$703),"",$B$703))</f>
        <v/>
      </c>
      <c r="Y703" s="2">
        <f>IF(ISERROR($C$703),"",IF(ISBLANK($C$703),"",$C$703))</f>
        <v/>
      </c>
      <c r="Z703" s="2">
        <f>IF(ISERROR($D$703),"",IF(ISBLANK($D$703),"",$D$703))</f>
        <v/>
      </c>
      <c r="AA703" s="2">
        <f>IF(ISERROR($E$703),"",IF(ISBLANK($E$703),"",$E$703))</f>
        <v/>
      </c>
      <c r="AB703" s="2">
        <f>IF(ISERROR($F$703),"",IF(ISBLANK($F$703),"",$F$703))</f>
        <v/>
      </c>
      <c r="AC703" s="2">
        <f>IF(ISERROR($G$703),"",IF(ISBLANK($G$703),"",$G$703))</f>
        <v/>
      </c>
      <c r="AD703" s="2">
        <f>IF(ISERROR($H$703),"",IF(ISBLANK($H$703),"",$H$703))</f>
        <v/>
      </c>
      <c r="AE703" s="2">
        <f>IF(ISERROR($I$703),"",IF(ISBLANK($I$703),"",$I$703))</f>
        <v/>
      </c>
      <c r="AF703" s="2">
        <f>IF(ISERROR($J$703),"",IF(ISBLANK($J$703),"",$J$703))</f>
        <v/>
      </c>
      <c r="AG703" s="2">
        <f>ISERROR($B$703)*1+ISERROR($C$703)*1+ISERROR($D$703)*1+ISERROR($E$703)*1+ISERROR($F$703)*1+ISERROR($G$703)*1+ISERROR($H$703)*1+ISERROR($I$703)*1+ISERROR($J$703)*1</f>
        <v/>
      </c>
    </row>
    <row r="704" ht="37" customHeight="1">
      <c r="B704" s="33" t="inlineStr">
        <is>
          <t>um nome riscado numa lista de passageiros</t>
        </is>
      </c>
      <c r="C704" s="4" t="inlineStr">
        <is>
          <t>uma moeda com duas caras</t>
        </is>
      </c>
      <c r="D704" s="4" t="inlineStr">
        <is>
          <t>O Farol</t>
        </is>
      </c>
      <c r="E704" s="4" t="inlineStr">
        <is>
          <t>Sobre o Mar</t>
        </is>
      </c>
      <c r="F704" s="4" t="inlineStr">
        <is>
          <t>um casamento interrompido por um alarme</t>
        </is>
      </c>
      <c r="G704" s="4" t="inlineStr">
        <is>
          <t>no primeiro Ciclo do combate</t>
        </is>
      </c>
      <c r="H704" s="4" t="inlineStr">
        <is>
          <t>Ossos da Lua-Forja</t>
        </is>
      </c>
      <c r="I704" s="4" t="inlineStr">
        <is>
          <t>de um mesmo morto ilustre: um general que se recusou a marchar</t>
        </is>
      </c>
      <c r="J704" s="4" t="inlineStr">
        <is>
          <t>ao derrotar um inimigo, você recebe +1 de Velocidade até o fim do Ciclo</t>
        </is>
      </c>
      <c r="K704" s="19">
        <f>IF(AG704&gt;0,"O Google leu como fórmula: digite de novo com ' na frente.","")</f>
        <v/>
      </c>
      <c r="N704" s="2">
        <f>N703+IF(LEN($X$704)&gt;0,1,0)</f>
        <v/>
      </c>
      <c r="O704" s="2">
        <f>O703+IF(LEN($Y$704)&gt;0,1,0)</f>
        <v/>
      </c>
      <c r="P704" s="2">
        <f>P703+IF(LEN($Z$704)&gt;0,1,0)</f>
        <v/>
      </c>
      <c r="Q704" s="2">
        <f>Q703+IF(LEN($AA$704)&gt;0,1,0)</f>
        <v/>
      </c>
      <c r="R704" s="2">
        <f>R703+IF(LEN($AB$704)&gt;0,1,0)</f>
        <v/>
      </c>
      <c r="S704" s="2">
        <f>S703+IF(LEN($AC$704)&gt;0,1,0)</f>
        <v/>
      </c>
      <c r="T704" s="2">
        <f>T703+IF(LEN($AD$704)&gt;0,1,0)</f>
        <v/>
      </c>
      <c r="U704" s="2">
        <f>U703+IF(LEN($AE$704)&gt;0,1,0)</f>
        <v/>
      </c>
      <c r="V704" s="2">
        <f>V703+IF(LEN($AF$704)&gt;0,1,0)</f>
        <v/>
      </c>
      <c r="X704" s="2">
        <f>IF(ISERROR($B$704),"",IF(ISBLANK($B$704),"",$B$704))</f>
        <v/>
      </c>
      <c r="Y704" s="2">
        <f>IF(ISERROR($C$704),"",IF(ISBLANK($C$704),"",$C$704))</f>
        <v/>
      </c>
      <c r="Z704" s="2">
        <f>IF(ISERROR($D$704),"",IF(ISBLANK($D$704),"",$D$704))</f>
        <v/>
      </c>
      <c r="AA704" s="2">
        <f>IF(ISERROR($E$704),"",IF(ISBLANK($E$704),"",$E$704))</f>
        <v/>
      </c>
      <c r="AB704" s="2">
        <f>IF(ISERROR($F$704),"",IF(ISBLANK($F$704),"",$F$704))</f>
        <v/>
      </c>
      <c r="AC704" s="2">
        <f>IF(ISERROR($G$704),"",IF(ISBLANK($G$704),"",$G$704))</f>
        <v/>
      </c>
      <c r="AD704" s="2">
        <f>IF(ISERROR($H$704),"",IF(ISBLANK($H$704),"",$H$704))</f>
        <v/>
      </c>
      <c r="AE704" s="2">
        <f>IF(ISERROR($I$704),"",IF(ISBLANK($I$704),"",$I$704))</f>
        <v/>
      </c>
      <c r="AF704" s="2">
        <f>IF(ISERROR($J$704),"",IF(ISBLANK($J$704),"",$J$704))</f>
        <v/>
      </c>
      <c r="AG704" s="2">
        <f>ISERROR($B$704)*1+ISERROR($C$704)*1+ISERROR($D$704)*1+ISERROR($E$704)*1+ISERROR($F$704)*1+ISERROR($G$704)*1+ISERROR($H$704)*1+ISERROR($I$704)*1+ISERROR($J$704)*1</f>
        <v/>
      </c>
    </row>
    <row r="705" ht="37" customHeight="1">
      <c r="B705" s="35" t="inlineStr">
        <is>
          <t>cheiro de ozônio onde não há máquina nenhuma</t>
        </is>
      </c>
      <c r="C705" s="29" t="inlineStr">
        <is>
          <t>uma caixinha de música que toca uma canção desconhecida</t>
        </is>
      </c>
      <c r="D705" s="29" t="inlineStr">
        <is>
          <t>Um Sonho</t>
        </is>
      </c>
      <c r="E705" s="29" t="inlineStr">
        <is>
          <t>Antes do Fim</t>
        </is>
      </c>
      <c r="F705" s="29" t="inlineStr">
        <is>
          <t>a vigília de um faroleiro durante uma tempestade de cem anos</t>
        </is>
      </c>
      <c r="G705" s="29" t="inlineStr">
        <is>
          <t>quando um aliado cai a Morrendo</t>
        </is>
      </c>
      <c r="H705" s="29" t="inlineStr">
        <is>
          <t>Sinos da Cidade Submersa</t>
        </is>
      </c>
      <c r="I705" s="29" t="inlineStr">
        <is>
          <t>de uma cidade engolida pelo Fragmentum numa única noite</t>
        </is>
      </c>
      <c r="J705" s="29" t="inlineStr">
        <is>
          <t>ao curar um aliado, ele recebe +1 de Defesa por 1 Ciclo</t>
        </is>
      </c>
      <c r="K705" s="19">
        <f>IF(AG705&gt;0,"O Google leu como fórmula: digite de novo com ' na frente.","")</f>
        <v/>
      </c>
      <c r="N705" s="2">
        <f>N704+IF(LEN($X$705)&gt;0,1,0)</f>
        <v/>
      </c>
      <c r="O705" s="2">
        <f>O704+IF(LEN($Y$705)&gt;0,1,0)</f>
        <v/>
      </c>
      <c r="P705" s="2">
        <f>P704+IF(LEN($Z$705)&gt;0,1,0)</f>
        <v/>
      </c>
      <c r="Q705" s="2">
        <f>Q704+IF(LEN($AA$705)&gt;0,1,0)</f>
        <v/>
      </c>
      <c r="R705" s="2">
        <f>R704+IF(LEN($AB$705)&gt;0,1,0)</f>
        <v/>
      </c>
      <c r="S705" s="2">
        <f>S704+IF(LEN($AC$705)&gt;0,1,0)</f>
        <v/>
      </c>
      <c r="T705" s="2">
        <f>T704+IF(LEN($AD$705)&gt;0,1,0)</f>
        <v/>
      </c>
      <c r="U705" s="2">
        <f>U704+IF(LEN($AE$705)&gt;0,1,0)</f>
        <v/>
      </c>
      <c r="V705" s="2">
        <f>V704+IF(LEN($AF$705)&gt;0,1,0)</f>
        <v/>
      </c>
      <c r="X705" s="2">
        <f>IF(ISERROR($B$705),"",IF(ISBLANK($B$705),"",$B$705))</f>
        <v/>
      </c>
      <c r="Y705" s="2">
        <f>IF(ISERROR($C$705),"",IF(ISBLANK($C$705),"",$C$705))</f>
        <v/>
      </c>
      <c r="Z705" s="2">
        <f>IF(ISERROR($D$705),"",IF(ISBLANK($D$705),"",$D$705))</f>
        <v/>
      </c>
      <c r="AA705" s="2">
        <f>IF(ISERROR($E$705),"",IF(ISBLANK($E$705),"",$E$705))</f>
        <v/>
      </c>
      <c r="AB705" s="2">
        <f>IF(ISERROR($F$705),"",IF(ISBLANK($F$705),"",$F$705))</f>
        <v/>
      </c>
      <c r="AC705" s="2">
        <f>IF(ISERROR($G$705),"",IF(ISBLANK($G$705),"",$G$705))</f>
        <v/>
      </c>
      <c r="AD705" s="2">
        <f>IF(ISERROR($H$705),"",IF(ISBLANK($H$705),"",$H$705))</f>
        <v/>
      </c>
      <c r="AE705" s="2">
        <f>IF(ISERROR($I$705),"",IF(ISBLANK($I$705),"",$I$705))</f>
        <v/>
      </c>
      <c r="AF705" s="2">
        <f>IF(ISERROR($J$705),"",IF(ISBLANK($J$705),"",$J$705))</f>
        <v/>
      </c>
      <c r="AG705" s="2">
        <f>ISERROR($B$705)*1+ISERROR($C$705)*1+ISERROR($D$705)*1+ISERROR($E$705)*1+ISERROR($F$705)*1+ISERROR($G$705)*1+ISERROR($H$705)*1+ISERROR($I$705)*1+ISERROR($J$705)*1</f>
        <v/>
      </c>
    </row>
    <row r="706" ht="37" customHeight="1">
      <c r="B706" s="33" t="inlineStr">
        <is>
          <t>uma gravação com dois segundos apagados</t>
        </is>
      </c>
      <c r="C706" s="4" t="inlineStr">
        <is>
          <t>um dado de osso com seis em todas as faces</t>
        </is>
      </c>
      <c r="D706" s="4" t="inlineStr">
        <is>
          <t>A Canção</t>
        </is>
      </c>
      <c r="E706" s="4" t="inlineStr">
        <is>
          <t>em Outro Mundo</t>
        </is>
      </c>
      <c r="F706" s="4" t="inlineStr">
        <is>
          <t>o último jantar de uma família antes da evacuação</t>
        </is>
      </c>
      <c r="G706" s="4" t="inlineStr">
        <is>
          <t>quando você acerta um alvo que já está Marcado</t>
        </is>
      </c>
      <c r="H706" s="4" t="inlineStr">
        <is>
          <t>Véus do Teatro Queimado</t>
        </is>
      </c>
      <c r="I706" s="4" t="inlineStr">
        <is>
          <t>de um teatro que pegou fogo na noite de estreia</t>
        </is>
      </c>
      <c r="J706" s="4" t="inlineStr">
        <is>
          <t>ao aplicar uma condição, o seu próximo Teste de Ataque ganha +1</t>
        </is>
      </c>
      <c r="K706" s="19">
        <f>IF(AG706&gt;0,"O Google leu como fórmula: digite de novo com ' na frente.","")</f>
        <v/>
      </c>
      <c r="N706" s="2">
        <f>N705+IF(LEN($X$706)&gt;0,1,0)</f>
        <v/>
      </c>
      <c r="O706" s="2">
        <f>O705+IF(LEN($Y$706)&gt;0,1,0)</f>
        <v/>
      </c>
      <c r="P706" s="2">
        <f>P705+IF(LEN($Z$706)&gt;0,1,0)</f>
        <v/>
      </c>
      <c r="Q706" s="2">
        <f>Q705+IF(LEN($AA$706)&gt;0,1,0)</f>
        <v/>
      </c>
      <c r="R706" s="2">
        <f>R705+IF(LEN($AB$706)&gt;0,1,0)</f>
        <v/>
      </c>
      <c r="S706" s="2">
        <f>S705+IF(LEN($AC$706)&gt;0,1,0)</f>
        <v/>
      </c>
      <c r="T706" s="2">
        <f>T705+IF(LEN($AD$706)&gt;0,1,0)</f>
        <v/>
      </c>
      <c r="U706" s="2">
        <f>U705+IF(LEN($AE$706)&gt;0,1,0)</f>
        <v/>
      </c>
      <c r="V706" s="2">
        <f>V705+IF(LEN($AF$706)&gt;0,1,0)</f>
        <v/>
      </c>
      <c r="X706" s="2">
        <f>IF(ISERROR($B$706),"",IF(ISBLANK($B$706),"",$B$706))</f>
        <v/>
      </c>
      <c r="Y706" s="2">
        <f>IF(ISERROR($C$706),"",IF(ISBLANK($C$706),"",$C$706))</f>
        <v/>
      </c>
      <c r="Z706" s="2">
        <f>IF(ISERROR($D$706),"",IF(ISBLANK($D$706),"",$D$706))</f>
        <v/>
      </c>
      <c r="AA706" s="2">
        <f>IF(ISERROR($E$706),"",IF(ISBLANK($E$706),"",$E$706))</f>
        <v/>
      </c>
      <c r="AB706" s="2">
        <f>IF(ISERROR($F$706),"",IF(ISBLANK($F$706),"",$F$706))</f>
        <v/>
      </c>
      <c r="AC706" s="2">
        <f>IF(ISERROR($G$706),"",IF(ISBLANK($G$706),"",$G$706))</f>
        <v/>
      </c>
      <c r="AD706" s="2">
        <f>IF(ISERROR($H$706),"",IF(ISBLANK($H$706),"",$H$706))</f>
        <v/>
      </c>
      <c r="AE706" s="2">
        <f>IF(ISERROR($I$706),"",IF(ISBLANK($I$706),"",$I$706))</f>
        <v/>
      </c>
      <c r="AF706" s="2">
        <f>IF(ISERROR($J$706),"",IF(ISBLANK($J$706),"",$J$706))</f>
        <v/>
      </c>
      <c r="AG706" s="2">
        <f>ISERROR($B$706)*1+ISERROR($C$706)*1+ISERROR($D$706)*1+ISERROR($E$706)*1+ISERROR($F$706)*1+ISERROR($G$706)*1+ISERROR($H$706)*1+ISERROR($I$706)*1+ISERROR($J$706)*1</f>
        <v/>
      </c>
    </row>
    <row r="707" ht="48" customHeight="1">
      <c r="B707" s="35" t="inlineStr">
        <is>
          <t>uma chave com o símbolo da Corporação</t>
        </is>
      </c>
      <c r="C707" s="29" t="inlineStr">
        <is>
          <t>um mapa dobrado de uma cidade que não existe</t>
        </is>
      </c>
      <c r="D707" s="29" t="inlineStr">
        <is>
          <t>O Relógio Parado</t>
        </is>
      </c>
      <c r="E707" s="29" t="inlineStr">
        <is>
          <t>da Estação Vazia</t>
        </is>
      </c>
      <c r="F707" s="29" t="inlineStr">
        <is>
          <t>a vitória de um time de várzea num mundo esquecido</t>
        </is>
      </c>
      <c r="G707" s="29" t="inlineStr">
        <is>
          <t>quando você gasta o último PH do grupo</t>
        </is>
      </c>
      <c r="H707" s="29" t="inlineStr">
        <is>
          <t>Engrenagens do Relojoeiro Cego</t>
        </is>
      </c>
      <c r="I707" s="29" t="inlineStr">
        <is>
          <t>da frota que desapareceu no primeiro salto</t>
        </is>
      </c>
      <c r="J707" s="29" t="inlineStr">
        <is>
          <t>ao revelar uma Fraqueza, o grupo ganha +1 no próximo Teste de Ataque contra aquele inimigo</t>
        </is>
      </c>
      <c r="K707" s="19">
        <f>IF(AG707&gt;0,"O Google leu como fórmula: digite de novo com ' na frente.","")</f>
        <v/>
      </c>
      <c r="N707" s="2">
        <f>N706+IF(LEN($X$707)&gt;0,1,0)</f>
        <v/>
      </c>
      <c r="O707" s="2">
        <f>O706+IF(LEN($Y$707)&gt;0,1,0)</f>
        <v/>
      </c>
      <c r="P707" s="2">
        <f>P706+IF(LEN($Z$707)&gt;0,1,0)</f>
        <v/>
      </c>
      <c r="Q707" s="2">
        <f>Q706+IF(LEN($AA$707)&gt;0,1,0)</f>
        <v/>
      </c>
      <c r="R707" s="2">
        <f>R706+IF(LEN($AB$707)&gt;0,1,0)</f>
        <v/>
      </c>
      <c r="S707" s="2">
        <f>S706+IF(LEN($AC$707)&gt;0,1,0)</f>
        <v/>
      </c>
      <c r="T707" s="2">
        <f>T706+IF(LEN($AD$707)&gt;0,1,0)</f>
        <v/>
      </c>
      <c r="U707" s="2">
        <f>U706+IF(LEN($AE$707)&gt;0,1,0)</f>
        <v/>
      </c>
      <c r="V707" s="2">
        <f>V706+IF(LEN($AF$707)&gt;0,1,0)</f>
        <v/>
      </c>
      <c r="X707" s="2">
        <f>IF(ISERROR($B$707),"",IF(ISBLANK($B$707),"",$B$707))</f>
        <v/>
      </c>
      <c r="Y707" s="2">
        <f>IF(ISERROR($C$707),"",IF(ISBLANK($C$707),"",$C$707))</f>
        <v/>
      </c>
      <c r="Z707" s="2">
        <f>IF(ISERROR($D$707),"",IF(ISBLANK($D$707),"",$D$707))</f>
        <v/>
      </c>
      <c r="AA707" s="2">
        <f>IF(ISERROR($E$707),"",IF(ISBLANK($E$707),"",$E$707))</f>
        <v/>
      </c>
      <c r="AB707" s="2">
        <f>IF(ISERROR($F$707),"",IF(ISBLANK($F$707),"",$F$707))</f>
        <v/>
      </c>
      <c r="AC707" s="2">
        <f>IF(ISERROR($G$707),"",IF(ISBLANK($G$707),"",$G$707))</f>
        <v/>
      </c>
      <c r="AD707" s="2">
        <f>IF(ISERROR($H$707),"",IF(ISBLANK($H$707),"",$H$707))</f>
        <v/>
      </c>
      <c r="AE707" s="2">
        <f>IF(ISERROR($I$707),"",IF(ISBLANK($I$707),"",$I$707))</f>
        <v/>
      </c>
      <c r="AF707" s="2">
        <f>IF(ISERROR($J$707),"",IF(ISBLANK($J$707),"",$J$707))</f>
        <v/>
      </c>
      <c r="AG707" s="2">
        <f>ISERROR($B$707)*1+ISERROR($C$707)*1+ISERROR($D$707)*1+ISERROR($E$707)*1+ISERROR($F$707)*1+ISERROR($G$707)*1+ISERROR($H$707)*1+ISERROR($I$707)*1+ISERROR($J$707)*1</f>
        <v/>
      </c>
    </row>
    <row r="708" ht="37" customHeight="1">
      <c r="B708" s="33" t="inlineStr">
        <is>
          <t>um cartucho da Legião com a data de amanhã</t>
        </is>
      </c>
      <c r="C708" s="4" t="inlineStr">
        <is>
          <t>um frasco com areia de um planeta morto</t>
        </is>
      </c>
      <c r="D708" s="4" t="inlineStr">
        <is>
          <t>A Ponte</t>
        </is>
      </c>
      <c r="E708" s="4" t="inlineStr">
        <is>
          <t>Que Volta Sempre</t>
        </is>
      </c>
      <c r="F708" s="4" t="inlineStr">
        <is>
          <t>a despedida de dois irmãos num porto lotado</t>
        </is>
      </c>
      <c r="G708" s="4" t="inlineStr">
        <is>
          <t>quando você termina o turno sem ter sido atingido</t>
        </is>
      </c>
      <c r="H708" s="4" t="inlineStr">
        <is>
          <t>Espinhos do Jardim Fechado</t>
        </is>
      </c>
      <c r="I708" s="4" t="inlineStr">
        <is>
          <t>de um jardim fechado depois de uma praga</t>
        </is>
      </c>
      <c r="J708" s="4" t="inlineStr">
        <is>
          <t>ao Avançar um aliado, o seu próximo ataque causa +2 de dano</t>
        </is>
      </c>
      <c r="K708" s="19">
        <f>IF(AG708&gt;0,"O Google leu como fórmula: digite de novo com ' na frente.","")</f>
        <v/>
      </c>
      <c r="N708" s="2">
        <f>N707+IF(LEN($X$708)&gt;0,1,0)</f>
        <v/>
      </c>
      <c r="O708" s="2">
        <f>O707+IF(LEN($Y$708)&gt;0,1,0)</f>
        <v/>
      </c>
      <c r="P708" s="2">
        <f>P707+IF(LEN($Z$708)&gt;0,1,0)</f>
        <v/>
      </c>
      <c r="Q708" s="2">
        <f>Q707+IF(LEN($AA$708)&gt;0,1,0)</f>
        <v/>
      </c>
      <c r="R708" s="2">
        <f>R707+IF(LEN($AB$708)&gt;0,1,0)</f>
        <v/>
      </c>
      <c r="S708" s="2">
        <f>S707+IF(LEN($AC$708)&gt;0,1,0)</f>
        <v/>
      </c>
      <c r="T708" s="2">
        <f>T707+IF(LEN($AD$708)&gt;0,1,0)</f>
        <v/>
      </c>
      <c r="U708" s="2">
        <f>U707+IF(LEN($AE$708)&gt;0,1,0)</f>
        <v/>
      </c>
      <c r="V708" s="2">
        <f>V707+IF(LEN($AF$708)&gt;0,1,0)</f>
        <v/>
      </c>
      <c r="X708" s="2">
        <f>IF(ISERROR($B$708),"",IF(ISBLANK($B$708),"",$B$708))</f>
        <v/>
      </c>
      <c r="Y708" s="2">
        <f>IF(ISERROR($C$708),"",IF(ISBLANK($C$708),"",$C$708))</f>
        <v/>
      </c>
      <c r="Z708" s="2">
        <f>IF(ISERROR($D$708),"",IF(ISBLANK($D$708),"",$D$708))</f>
        <v/>
      </c>
      <c r="AA708" s="2">
        <f>IF(ISERROR($E$708),"",IF(ISBLANK($E$708),"",$E$708))</f>
        <v/>
      </c>
      <c r="AB708" s="2">
        <f>IF(ISERROR($F$708),"",IF(ISBLANK($F$708),"",$F$708))</f>
        <v/>
      </c>
      <c r="AC708" s="2">
        <f>IF(ISERROR($G$708),"",IF(ISBLANK($G$708),"",$G$708))</f>
        <v/>
      </c>
      <c r="AD708" s="2">
        <f>IF(ISERROR($H$708),"",IF(ISBLANK($H$708),"",$H$708))</f>
        <v/>
      </c>
      <c r="AE708" s="2">
        <f>IF(ISERROR($I$708),"",IF(ISBLANK($I$708),"",$I$708))</f>
        <v/>
      </c>
      <c r="AF708" s="2">
        <f>IF(ISERROR($J$708),"",IF(ISBLANK($J$708),"",$J$708))</f>
        <v/>
      </c>
      <c r="AG708" s="2">
        <f>ISERROR($B$708)*1+ISERROR($C$708)*1+ISERROR($D$708)*1+ISERROR($E$708)*1+ISERROR($F$708)*1+ISERROR($G$708)*1+ISERROR($H$708)*1+ISERROR($I$708)*1+ISERROR($J$708)*1</f>
        <v/>
      </c>
    </row>
    <row r="709" ht="37" customHeight="1">
      <c r="B709" s="35" t="inlineStr">
        <is>
          <t>um bilhete escrito numa língua antiga de Xianzhou</t>
        </is>
      </c>
      <c r="C709" s="29" t="inlineStr">
        <is>
          <t>um broche da Corporação de uma filial fechada</t>
        </is>
      </c>
      <c r="D709" s="29" t="inlineStr">
        <is>
          <t>O Jardim</t>
        </is>
      </c>
      <c r="E709" s="29" t="inlineStr">
        <is>
          <t>Depois da Guerra</t>
        </is>
      </c>
      <c r="F709" s="29" t="inlineStr">
        <is>
          <t>a noite em que uma cidade inteira apagou as luzes para ver as estrelas</t>
        </is>
      </c>
      <c r="G709" s="29" t="inlineStr">
        <is>
          <t>quando você cura um aliado</t>
        </is>
      </c>
      <c r="H709" s="29" t="inlineStr">
        <is>
          <t>Pegadas do Último Mineiro</t>
        </is>
      </c>
      <c r="I709" s="29" t="inlineStr">
        <is>
          <t>de um relojoeiro que parou o tempo da própria loja</t>
        </is>
      </c>
      <c r="J709" s="29" t="inlineStr">
        <is>
          <t>ao ficar abaixo da metade dos PV, você recebe +1 RD por 1 Ciclo</t>
        </is>
      </c>
      <c r="K709" s="19">
        <f>IF(AG709&gt;0,"O Google leu como fórmula: digite de novo com ' na frente.","")</f>
        <v/>
      </c>
      <c r="N709" s="2">
        <f>N708+IF(LEN($X$709)&gt;0,1,0)</f>
        <v/>
      </c>
      <c r="O709" s="2">
        <f>O708+IF(LEN($Y$709)&gt;0,1,0)</f>
        <v/>
      </c>
      <c r="P709" s="2">
        <f>P708+IF(LEN($Z$709)&gt;0,1,0)</f>
        <v/>
      </c>
      <c r="Q709" s="2">
        <f>Q708+IF(LEN($AA$709)&gt;0,1,0)</f>
        <v/>
      </c>
      <c r="R709" s="2">
        <f>R708+IF(LEN($AB$709)&gt;0,1,0)</f>
        <v/>
      </c>
      <c r="S709" s="2">
        <f>S708+IF(LEN($AC$709)&gt;0,1,0)</f>
        <v/>
      </c>
      <c r="T709" s="2">
        <f>T708+IF(LEN($AD$709)&gt;0,1,0)</f>
        <v/>
      </c>
      <c r="U709" s="2">
        <f>U708+IF(LEN($AE$709)&gt;0,1,0)</f>
        <v/>
      </c>
      <c r="V709" s="2">
        <f>V708+IF(LEN($AF$709)&gt;0,1,0)</f>
        <v/>
      </c>
      <c r="X709" s="2">
        <f>IF(ISERROR($B$709),"",IF(ISBLANK($B$709),"",$B$709))</f>
        <v/>
      </c>
      <c r="Y709" s="2">
        <f>IF(ISERROR($C$709),"",IF(ISBLANK($C$709),"",$C$709))</f>
        <v/>
      </c>
      <c r="Z709" s="2">
        <f>IF(ISERROR($D$709),"",IF(ISBLANK($D$709),"",$D$709))</f>
        <v/>
      </c>
      <c r="AA709" s="2">
        <f>IF(ISERROR($E$709),"",IF(ISBLANK($E$709),"",$E$709))</f>
        <v/>
      </c>
      <c r="AB709" s="2">
        <f>IF(ISERROR($F$709),"",IF(ISBLANK($F$709),"",$F$709))</f>
        <v/>
      </c>
      <c r="AC709" s="2">
        <f>IF(ISERROR($G$709),"",IF(ISBLANK($G$709),"",$G$709))</f>
        <v/>
      </c>
      <c r="AD709" s="2">
        <f>IF(ISERROR($H$709),"",IF(ISBLANK($H$709),"",$H$709))</f>
        <v/>
      </c>
      <c r="AE709" s="2">
        <f>IF(ISERROR($I$709),"",IF(ISBLANK($I$709),"",$I$709))</f>
        <v/>
      </c>
      <c r="AF709" s="2">
        <f>IF(ISERROR($J$709),"",IF(ISBLANK($J$709),"",$J$709))</f>
        <v/>
      </c>
      <c r="AG709" s="2">
        <f>ISERROR($B$709)*1+ISERROR($C$709)*1+ISERROR($D$709)*1+ISERROR($E$709)*1+ISERROR($F$709)*1+ISERROR($G$709)*1+ISERROR($H$709)*1+ISERROR($I$709)*1+ISERROR($J$709)*1</f>
        <v/>
      </c>
    </row>
    <row r="710" ht="37" customHeight="1">
      <c r="B710" s="33" t="inlineStr">
        <is>
          <t>marcas de garra do lado de dentro de uma porta</t>
        </is>
      </c>
      <c r="C710" s="4" t="inlineStr">
        <is>
          <t>uma pena luminosa de uma ave extinta</t>
        </is>
      </c>
      <c r="D710" s="4" t="inlineStr">
        <is>
          <t>Uma Noite</t>
        </is>
      </c>
      <c r="E710" s="4" t="inlineStr">
        <is>
          <t>Entre as Estrelas</t>
        </is>
      </c>
      <c r="F710" s="4" t="inlineStr">
        <is>
          <t>o perdão que um soldado nunca pediu</t>
        </is>
      </c>
      <c r="G710" s="4" t="inlineStr">
        <is>
          <t>quando um inimigo erra você</t>
        </is>
      </c>
      <c r="H710" s="4" t="inlineStr">
        <is>
          <t>Brasões da Frota Esquecida</t>
        </is>
      </c>
      <c r="I710" s="4" t="inlineStr">
        <is>
          <t>da última caravana de um clã errante</t>
        </is>
      </c>
      <c r="J710" s="4" t="inlineStr">
        <is>
          <t>ao agir primeiro no Ciclo, o seu primeiro ataque causa +2 de dano</t>
        </is>
      </c>
      <c r="K710" s="19">
        <f>IF(AG710&gt;0,"O Google leu como fórmula: digite de novo com ' na frente.","")</f>
        <v/>
      </c>
      <c r="N710" s="2">
        <f>N709+IF(LEN($X$710)&gt;0,1,0)</f>
        <v/>
      </c>
      <c r="O710" s="2">
        <f>O709+IF(LEN($Y$710)&gt;0,1,0)</f>
        <v/>
      </c>
      <c r="P710" s="2">
        <f>P709+IF(LEN($Z$710)&gt;0,1,0)</f>
        <v/>
      </c>
      <c r="Q710" s="2">
        <f>Q709+IF(LEN($AA$710)&gt;0,1,0)</f>
        <v/>
      </c>
      <c r="R710" s="2">
        <f>R709+IF(LEN($AB$710)&gt;0,1,0)</f>
        <v/>
      </c>
      <c r="S710" s="2">
        <f>S709+IF(LEN($AC$710)&gt;0,1,0)</f>
        <v/>
      </c>
      <c r="T710" s="2">
        <f>T709+IF(LEN($AD$710)&gt;0,1,0)</f>
        <v/>
      </c>
      <c r="U710" s="2">
        <f>U709+IF(LEN($AE$710)&gt;0,1,0)</f>
        <v/>
      </c>
      <c r="V710" s="2">
        <f>V709+IF(LEN($AF$710)&gt;0,1,0)</f>
        <v/>
      </c>
      <c r="X710" s="2">
        <f>IF(ISERROR($B$710),"",IF(ISBLANK($B$710),"",$B$710))</f>
        <v/>
      </c>
      <c r="Y710" s="2">
        <f>IF(ISERROR($C$710),"",IF(ISBLANK($C$710),"",$C$710))</f>
        <v/>
      </c>
      <c r="Z710" s="2">
        <f>IF(ISERROR($D$710),"",IF(ISBLANK($D$710),"",$D$710))</f>
        <v/>
      </c>
      <c r="AA710" s="2">
        <f>IF(ISERROR($E$710),"",IF(ISBLANK($E$710),"",$E$710))</f>
        <v/>
      </c>
      <c r="AB710" s="2">
        <f>IF(ISERROR($F$710),"",IF(ISBLANK($F$710),"",$F$710))</f>
        <v/>
      </c>
      <c r="AC710" s="2">
        <f>IF(ISERROR($G$710),"",IF(ISBLANK($G$710),"",$G$710))</f>
        <v/>
      </c>
      <c r="AD710" s="2">
        <f>IF(ISERROR($H$710),"",IF(ISBLANK($H$710),"",$H$710))</f>
        <v/>
      </c>
      <c r="AE710" s="2">
        <f>IF(ISERROR($I$710),"",IF(ISBLANK($I$710),"",$I$710))</f>
        <v/>
      </c>
      <c r="AF710" s="2">
        <f>IF(ISERROR($J$710),"",IF(ISBLANK($J$710),"",$J$710))</f>
        <v/>
      </c>
      <c r="AG710" s="2">
        <f>ISERROR($B$710)*1+ISERROR($C$710)*1+ISERROR($D$710)*1+ISERROR($E$710)*1+ISERROR($F$710)*1+ISERROR($G$710)*1+ISERROR($H$710)*1+ISERROR($I$710)*1+ISERROR($J$710)*1</f>
        <v/>
      </c>
    </row>
    <row r="711" ht="37" customHeight="1">
      <c r="B711" s="35" t="inlineStr">
        <is>
          <t>um copo ainda quente numa sala vazia</t>
        </is>
      </c>
      <c r="C711" s="29" t="inlineStr">
        <is>
          <t>uma passagem do Expresso Astral, sem data</t>
        </is>
      </c>
      <c r="D711" s="29" t="inlineStr">
        <is>
          <t>O Retrato</t>
        </is>
      </c>
      <c r="E711" s="29" t="inlineStr">
        <is>
          <t>ao Amanhecer</t>
        </is>
      </c>
      <c r="F711" s="29" t="inlineStr">
        <is>
          <t>um concerto tocado para uma plateia vazia</t>
        </is>
      </c>
      <c r="G711" s="29" t="inlineStr">
        <is>
          <t>quando você é o último a agir no Ciclo</t>
        </is>
      </c>
      <c r="H711" s="29" t="inlineStr">
        <is>
          <t>Correntes da Prisão Orbital</t>
        </is>
      </c>
      <c r="I711" s="29" t="inlineStr">
        <is>
          <t>de um mosteiro de Intellitrons desligado à força</t>
        </is>
      </c>
      <c r="J711" s="29" t="inlineStr">
        <is>
          <t>ao acertar um alvo Marcado, você recebe +1 de Velocidade por 1 Ciclo</t>
        </is>
      </c>
      <c r="K711" s="19">
        <f>IF(AG711&gt;0,"O Google leu como fórmula: digite de novo com ' na frente.","")</f>
        <v/>
      </c>
      <c r="N711" s="2">
        <f>N710+IF(LEN($X$711)&gt;0,1,0)</f>
        <v/>
      </c>
      <c r="O711" s="2">
        <f>O710+IF(LEN($Y$711)&gt;0,1,0)</f>
        <v/>
      </c>
      <c r="P711" s="2">
        <f>P710+IF(LEN($Z$711)&gt;0,1,0)</f>
        <v/>
      </c>
      <c r="Q711" s="2">
        <f>Q710+IF(LEN($AA$711)&gt;0,1,0)</f>
        <v/>
      </c>
      <c r="R711" s="2">
        <f>R710+IF(LEN($AB$711)&gt;0,1,0)</f>
        <v/>
      </c>
      <c r="S711" s="2">
        <f>S710+IF(LEN($AC$711)&gt;0,1,0)</f>
        <v/>
      </c>
      <c r="T711" s="2">
        <f>T710+IF(LEN($AD$711)&gt;0,1,0)</f>
        <v/>
      </c>
      <c r="U711" s="2">
        <f>U710+IF(LEN($AE$711)&gt;0,1,0)</f>
        <v/>
      </c>
      <c r="V711" s="2">
        <f>V710+IF(LEN($AF$711)&gt;0,1,0)</f>
        <v/>
      </c>
      <c r="X711" s="2">
        <f>IF(ISERROR($B$711),"",IF(ISBLANK($B$711),"",$B$711))</f>
        <v/>
      </c>
      <c r="Y711" s="2">
        <f>IF(ISERROR($C$711),"",IF(ISBLANK($C$711),"",$C$711))</f>
        <v/>
      </c>
      <c r="Z711" s="2">
        <f>IF(ISERROR($D$711),"",IF(ISBLANK($D$711),"",$D$711))</f>
        <v/>
      </c>
      <c r="AA711" s="2">
        <f>IF(ISERROR($E$711),"",IF(ISBLANK($E$711),"",$E$711))</f>
        <v/>
      </c>
      <c r="AB711" s="2">
        <f>IF(ISERROR($F$711),"",IF(ISBLANK($F$711),"",$F$711))</f>
        <v/>
      </c>
      <c r="AC711" s="2">
        <f>IF(ISERROR($G$711),"",IF(ISBLANK($G$711),"",$G$711))</f>
        <v/>
      </c>
      <c r="AD711" s="2">
        <f>IF(ISERROR($H$711),"",IF(ISBLANK($H$711),"",$H$711))</f>
        <v/>
      </c>
      <c r="AE711" s="2">
        <f>IF(ISERROR($I$711),"",IF(ISBLANK($I$711),"",$I$711))</f>
        <v/>
      </c>
      <c r="AF711" s="2">
        <f>IF(ISERROR($J$711),"",IF(ISBLANK($J$711),"",$J$711))</f>
        <v/>
      </c>
      <c r="AG711" s="2">
        <f>ISERROR($B$711)*1+ISERROR($C$711)*1+ISERROR($D$711)*1+ISERROR($E$711)*1+ISERROR($F$711)*1+ISERROR($G$711)*1+ISERROR($H$711)*1+ISERROR($I$711)*1+ISERROR($J$711)*1</f>
        <v/>
      </c>
    </row>
    <row r="712" ht="37" customHeight="1">
      <c r="B712" s="33" t="inlineStr">
        <is>
          <t>uma conta paga em nome de um morto</t>
        </is>
      </c>
      <c r="C712" s="4" t="inlineStr">
        <is>
          <t>uma chave sem fechadura conhecida</t>
        </is>
      </c>
      <c r="D712" s="4" t="inlineStr">
        <is>
          <t>A Promessa</t>
        </is>
      </c>
      <c r="E712" s="4" t="inlineStr">
        <is>
          <t>Que Não Apagou</t>
        </is>
      </c>
      <c r="F712" s="4" t="inlineStr">
        <is>
          <t>a fuga de uma criança pelos dutos de uma estação</t>
        </is>
      </c>
      <c r="G712" s="4" t="inlineStr">
        <is>
          <t>quando você derrota um inimigo</t>
        </is>
      </c>
      <c r="H712" s="4" t="inlineStr">
        <is>
          <t>Pétalas do Ateliê Branco</t>
        </is>
      </c>
      <c r="I712" s="4" t="inlineStr">
        <is>
          <t>de um navio-hospital abandonado em órbita</t>
        </is>
      </c>
      <c r="J712" s="4" t="inlineStr">
        <is>
          <t>ao curar um aliado, o alvo recebe +1 nos Testes de Resistência por 1 Ciclo</t>
        </is>
      </c>
      <c r="K712" s="19">
        <f>IF(AG712&gt;0,"O Google leu como fórmula: digite de novo com ' na frente.","")</f>
        <v/>
      </c>
      <c r="N712" s="2">
        <f>N711+IF(LEN($X$712)&gt;0,1,0)</f>
        <v/>
      </c>
      <c r="O712" s="2">
        <f>O711+IF(LEN($Y$712)&gt;0,1,0)</f>
        <v/>
      </c>
      <c r="P712" s="2">
        <f>P711+IF(LEN($Z$712)&gt;0,1,0)</f>
        <v/>
      </c>
      <c r="Q712" s="2">
        <f>Q711+IF(LEN($AA$712)&gt;0,1,0)</f>
        <v/>
      </c>
      <c r="R712" s="2">
        <f>R711+IF(LEN($AB$712)&gt;0,1,0)</f>
        <v/>
      </c>
      <c r="S712" s="2">
        <f>S711+IF(LEN($AC$712)&gt;0,1,0)</f>
        <v/>
      </c>
      <c r="T712" s="2">
        <f>T711+IF(LEN($AD$712)&gt;0,1,0)</f>
        <v/>
      </c>
      <c r="U712" s="2">
        <f>U711+IF(LEN($AE$712)&gt;0,1,0)</f>
        <v/>
      </c>
      <c r="V712" s="2">
        <f>V711+IF(LEN($AF$712)&gt;0,1,0)</f>
        <v/>
      </c>
      <c r="X712" s="2">
        <f>IF(ISERROR($B$712),"",IF(ISBLANK($B$712),"",$B$712))</f>
        <v/>
      </c>
      <c r="Y712" s="2">
        <f>IF(ISERROR($C$712),"",IF(ISBLANK($C$712),"",$C$712))</f>
        <v/>
      </c>
      <c r="Z712" s="2">
        <f>IF(ISERROR($D$712),"",IF(ISBLANK($D$712),"",$D$712))</f>
        <v/>
      </c>
      <c r="AA712" s="2">
        <f>IF(ISERROR($E$712),"",IF(ISBLANK($E$712),"",$E$712))</f>
        <v/>
      </c>
      <c r="AB712" s="2">
        <f>IF(ISERROR($F$712),"",IF(ISBLANK($F$712),"",$F$712))</f>
        <v/>
      </c>
      <c r="AC712" s="2">
        <f>IF(ISERROR($G$712),"",IF(ISBLANK($G$712),"",$G$712))</f>
        <v/>
      </c>
      <c r="AD712" s="2">
        <f>IF(ISERROR($H$712),"",IF(ISBLANK($H$712),"",$H$712))</f>
        <v/>
      </c>
      <c r="AE712" s="2">
        <f>IF(ISERROR($I$712),"",IF(ISBLANK($I$712),"",$I$712))</f>
        <v/>
      </c>
      <c r="AF712" s="2">
        <f>IF(ISERROR($J$712),"",IF(ISBLANK($J$712),"",$J$712))</f>
        <v/>
      </c>
      <c r="AG712" s="2">
        <f>ISERROR($B$712)*1+ISERROR($C$712)*1+ISERROR($D$712)*1+ISERROR($E$712)*1+ISERROR($F$712)*1+ISERROR($G$712)*1+ISERROR($H$712)*1+ISERROR($I$712)*1+ISERROR($J$712)*1</f>
        <v/>
      </c>
    </row>
    <row r="713" ht="37" customHeight="1">
      <c r="B713" s="35" t="inlineStr">
        <is>
          <t>um desenho infantil com o rosto do antagonista</t>
        </is>
      </c>
      <c r="C713" s="29" t="inlineStr">
        <is>
          <t>um par de óculos que mostra tudo em preto e branco</t>
        </is>
      </c>
      <c r="D713" s="29" t="inlineStr">
        <is>
          <t>O Mapa Rasgado</t>
        </is>
      </c>
      <c r="E713" s="29" t="inlineStr">
        <is>
          <t>de Quem Ficou</t>
        </is>
      </c>
      <c r="F713" s="29" t="inlineStr">
        <is>
          <t>a promessa de voltar feita por alguém que não voltou</t>
        </is>
      </c>
      <c r="G713" s="29" t="inlineStr">
        <is>
          <t>quando você recebe dano acima da metade dos PV</t>
        </is>
      </c>
      <c r="H713" s="29" t="inlineStr">
        <is>
          <t>Lanternas do Cais Noturno</t>
        </is>
      </c>
      <c r="I713" s="29" t="inlineStr">
        <is>
          <t>de uma prisão orbital que libertou todos de uma vez</t>
        </is>
      </c>
      <c r="J713" s="29" t="inlineStr">
        <is>
          <t>ao derrotar um inimigo, o aliado mais próximo recebe +1 de Defesa por 1 Ciclo</t>
        </is>
      </c>
      <c r="K713" s="19">
        <f>IF(AG713&gt;0,"O Google leu como fórmula: digite de novo com ' na frente.","")</f>
        <v/>
      </c>
      <c r="N713" s="2">
        <f>N712+IF(LEN($X$713)&gt;0,1,0)</f>
        <v/>
      </c>
      <c r="O713" s="2">
        <f>O712+IF(LEN($Y$713)&gt;0,1,0)</f>
        <v/>
      </c>
      <c r="P713" s="2">
        <f>P712+IF(LEN($Z$713)&gt;0,1,0)</f>
        <v/>
      </c>
      <c r="Q713" s="2">
        <f>Q712+IF(LEN($AA$713)&gt;0,1,0)</f>
        <v/>
      </c>
      <c r="R713" s="2">
        <f>R712+IF(LEN($AB$713)&gt;0,1,0)</f>
        <v/>
      </c>
      <c r="S713" s="2">
        <f>S712+IF(LEN($AC$713)&gt;0,1,0)</f>
        <v/>
      </c>
      <c r="T713" s="2">
        <f>T712+IF(LEN($AD$713)&gt;0,1,0)</f>
        <v/>
      </c>
      <c r="U713" s="2">
        <f>U712+IF(LEN($AE$713)&gt;0,1,0)</f>
        <v/>
      </c>
      <c r="V713" s="2">
        <f>V712+IF(LEN($AF$713)&gt;0,1,0)</f>
        <v/>
      </c>
      <c r="X713" s="2">
        <f>IF(ISERROR($B$713),"",IF(ISBLANK($B$713),"",$B$713))</f>
        <v/>
      </c>
      <c r="Y713" s="2">
        <f>IF(ISERROR($C$713),"",IF(ISBLANK($C$713),"",$C$713))</f>
        <v/>
      </c>
      <c r="Z713" s="2">
        <f>IF(ISERROR($D$713),"",IF(ISBLANK($D$713),"",$D$713))</f>
        <v/>
      </c>
      <c r="AA713" s="2">
        <f>IF(ISERROR($E$713),"",IF(ISBLANK($E$713),"",$E$713))</f>
        <v/>
      </c>
      <c r="AB713" s="2">
        <f>IF(ISERROR($F$713),"",IF(ISBLANK($F$713),"",$F$713))</f>
        <v/>
      </c>
      <c r="AC713" s="2">
        <f>IF(ISERROR($G$713),"",IF(ISBLANK($G$713),"",$G$713))</f>
        <v/>
      </c>
      <c r="AD713" s="2">
        <f>IF(ISERROR($H$713),"",IF(ISBLANK($H$713),"",$H$713))</f>
        <v/>
      </c>
      <c r="AE713" s="2">
        <f>IF(ISERROR($I$713),"",IF(ISBLANK($I$713),"",$I$713))</f>
        <v/>
      </c>
      <c r="AF713" s="2">
        <f>IF(ISERROR($J$713),"",IF(ISBLANK($J$713),"",$J$713))</f>
        <v/>
      </c>
      <c r="AG713" s="2">
        <f>ISERROR($B$713)*1+ISERROR($C$713)*1+ISERROR($D$713)*1+ISERROR($E$713)*1+ISERROR($F$713)*1+ISERROR($G$713)*1+ISERROR($H$713)*1+ISERROR($I$713)*1+ISERROR($J$713)*1</f>
        <v/>
      </c>
    </row>
    <row r="714" ht="26" customHeight="1">
      <c r="B714" s="33" t="inlineStr">
        <is>
          <t>uma lista de compras com remédios proibidos</t>
        </is>
      </c>
      <c r="C714" s="4" t="inlineStr">
        <is>
          <t>um boneco de pano com um bolso secreto</t>
        </is>
      </c>
      <c r="D714" s="4" t="inlineStr">
        <is>
          <t>A Lanterna</t>
        </is>
      </c>
      <c r="E714" s="4" t="inlineStr">
        <is>
          <t>Sem Volta</t>
        </is>
      </c>
      <c r="F714" s="4" t="inlineStr">
        <is>
          <t>o último voo de uma piloto que salvou um comboio</t>
        </is>
      </c>
      <c r="G714" s="4" t="inlineStr">
        <is>
          <t>quando você usa uma Habilidade de Nível 3 ou mais</t>
        </is>
      </c>
      <c r="H714" s="4" t="inlineStr">
        <is>
          <t>Escamas da Maré Funda</t>
        </is>
      </c>
      <c r="I714" s="4" t="inlineStr">
        <is>
          <t>de um mercado que vendia memórias</t>
        </is>
      </c>
      <c r="J714" s="4" t="n"/>
      <c r="K714" s="19">
        <f>IF(AG714&gt;0,"O Google leu como fórmula: digite de novo com ' na frente.","")</f>
        <v/>
      </c>
      <c r="N714" s="2">
        <f>N713+IF(LEN($X$714)&gt;0,1,0)</f>
        <v/>
      </c>
      <c r="O714" s="2">
        <f>O713+IF(LEN($Y$714)&gt;0,1,0)</f>
        <v/>
      </c>
      <c r="P714" s="2">
        <f>P713+IF(LEN($Z$714)&gt;0,1,0)</f>
        <v/>
      </c>
      <c r="Q714" s="2">
        <f>Q713+IF(LEN($AA$714)&gt;0,1,0)</f>
        <v/>
      </c>
      <c r="R714" s="2">
        <f>R713+IF(LEN($AB$714)&gt;0,1,0)</f>
        <v/>
      </c>
      <c r="S714" s="2">
        <f>S713+IF(LEN($AC$714)&gt;0,1,0)</f>
        <v/>
      </c>
      <c r="T714" s="2">
        <f>T713+IF(LEN($AD$714)&gt;0,1,0)</f>
        <v/>
      </c>
      <c r="U714" s="2">
        <f>U713+IF(LEN($AE$714)&gt;0,1,0)</f>
        <v/>
      </c>
      <c r="V714" s="2">
        <f>V713+IF(LEN($AF$714)&gt;0,1,0)</f>
        <v/>
      </c>
      <c r="X714" s="2">
        <f>IF(ISERROR($B$714),"",IF(ISBLANK($B$714),"",$B$714))</f>
        <v/>
      </c>
      <c r="Y714" s="2">
        <f>IF(ISERROR($C$714),"",IF(ISBLANK($C$714),"",$C$714))</f>
        <v/>
      </c>
      <c r="Z714" s="2">
        <f>IF(ISERROR($D$714),"",IF(ISBLANK($D$714),"",$D$714))</f>
        <v/>
      </c>
      <c r="AA714" s="2">
        <f>IF(ISERROR($E$714),"",IF(ISBLANK($E$714),"",$E$714))</f>
        <v/>
      </c>
      <c r="AB714" s="2">
        <f>IF(ISERROR($F$714),"",IF(ISBLANK($F$714),"",$F$714))</f>
        <v/>
      </c>
      <c r="AC714" s="2">
        <f>IF(ISERROR($G$714),"",IF(ISBLANK($G$714),"",$G$714))</f>
        <v/>
      </c>
      <c r="AD714" s="2">
        <f>IF(ISERROR($H$714),"",IF(ISBLANK($H$714),"",$H$714))</f>
        <v/>
      </c>
      <c r="AE714" s="2">
        <f>IF(ISERROR($I$714),"",IF(ISBLANK($I$714),"",$I$714))</f>
        <v/>
      </c>
      <c r="AF714" s="2">
        <f>IF(ISERROR($J$714),"",IF(ISBLANK($J$714),"",$J$714))</f>
        <v/>
      </c>
      <c r="AG714" s="2">
        <f>ISERROR($B$714)*1+ISERROR($C$714)*1+ISERROR($D$714)*1+ISERROR($E$714)*1+ISERROR($F$714)*1+ISERROR($G$714)*1+ISERROR($H$714)*1+ISERROR($I$714)*1+ISERROR($J$714)*1</f>
        <v/>
      </c>
    </row>
    <row r="715" ht="26" customHeight="1">
      <c r="B715" s="8" t="inlineStr">
        <is>
          <t>Pista</t>
        </is>
      </c>
      <c r="C715" s="8" t="inlineStr">
        <is>
          <t>Bugiganga</t>
        </is>
      </c>
      <c r="D715" s="8" t="inlineStr">
        <is>
          <t>Nome do Cone (início)</t>
        </is>
      </c>
      <c r="E715" s="8" t="inlineStr">
        <is>
          <t>Nome do Cone (fim)</t>
        </is>
      </c>
      <c r="F715" s="8" t="inlineStr">
        <is>
          <t>Memória do Cone</t>
        </is>
      </c>
      <c r="G715" s="8" t="inlineStr">
        <is>
          <t>Gatilho do Efeito Condicional</t>
        </is>
      </c>
      <c r="H715" s="8" t="inlineStr">
        <is>
          <t>Nome do Conjunto</t>
        </is>
      </c>
      <c r="I715" s="8" t="inlineStr">
        <is>
          <t>Origem do Conjunto</t>
        </is>
      </c>
      <c r="J715" s="8" t="inlineStr">
        <is>
          <t>Efeito de 4 peças</t>
        </is>
      </c>
      <c r="N715" s="2">
        <f>N714</f>
        <v/>
      </c>
      <c r="O715" s="2">
        <f>O714</f>
        <v/>
      </c>
      <c r="P715" s="2">
        <f>P714</f>
        <v/>
      </c>
      <c r="Q715" s="2">
        <f>Q714</f>
        <v/>
      </c>
      <c r="R715" s="2">
        <f>R714</f>
        <v/>
      </c>
      <c r="S715" s="2">
        <f>S714</f>
        <v/>
      </c>
      <c r="T715" s="2">
        <f>T714</f>
        <v/>
      </c>
      <c r="U715" s="2">
        <f>U714</f>
        <v/>
      </c>
      <c r="V715" s="2">
        <f>V714</f>
        <v/>
      </c>
      <c r="X715" s="2">
        <f>IF(ISERROR($B$715),"",IF(ISBLANK($B$715),"",$B$715))</f>
        <v/>
      </c>
      <c r="Y715" s="2">
        <f>IF(ISERROR($C$715),"",IF(ISBLANK($C$715),"",$C$715))</f>
        <v/>
      </c>
      <c r="Z715" s="2">
        <f>IF(ISERROR($D$715),"",IF(ISBLANK($D$715),"",$D$715))</f>
        <v/>
      </c>
      <c r="AA715" s="2">
        <f>IF(ISERROR($E$715),"",IF(ISBLANK($E$715),"",$E$715))</f>
        <v/>
      </c>
      <c r="AB715" s="2">
        <f>IF(ISERROR($F$715),"",IF(ISBLANK($F$715),"",$F$715))</f>
        <v/>
      </c>
      <c r="AC715" s="2">
        <f>IF(ISERROR($G$715),"",IF(ISBLANK($G$715),"",$G$715))</f>
        <v/>
      </c>
      <c r="AD715" s="2">
        <f>IF(ISERROR($H$715),"",IF(ISBLANK($H$715),"",$H$715))</f>
        <v/>
      </c>
      <c r="AE715" s="2">
        <f>IF(ISERROR($I$715),"",IF(ISBLANK($I$715),"",$I$715))</f>
        <v/>
      </c>
      <c r="AF715" s="2">
        <f>IF(ISERROR($J$715),"",IF(ISBLANK($J$715),"",$J$715))</f>
        <v/>
      </c>
    </row>
    <row r="716" ht="26" customHeight="1">
      <c r="B716" s="33" t="inlineStr">
        <is>
          <t>terra de outro planeta na sola de uma bota</t>
        </is>
      </c>
      <c r="C716" s="4" t="inlineStr">
        <is>
          <t>um pedaço de casco com um nome gravado</t>
        </is>
      </c>
      <c r="D716" s="4" t="inlineStr">
        <is>
          <t>O Silêncio</t>
        </is>
      </c>
      <c r="E716" s="4" t="inlineStr">
        <is>
          <t>no Fim do Corredor</t>
        </is>
      </c>
      <c r="F716" s="4" t="inlineStr">
        <is>
          <t>o silêncio de um mosteiro na manhã de um ataque</t>
        </is>
      </c>
      <c r="G716" s="4" t="inlineStr">
        <is>
          <t>quando você age antes de todos os inimigos</t>
        </is>
      </c>
      <c r="H716" s="4" t="inlineStr">
        <is>
          <t>Fios da Tecelã Ausente</t>
        </is>
      </c>
      <c r="I716" s="4" t="inlineStr">
        <is>
          <t>do ateliê de um escultor que desapareceu</t>
        </is>
      </c>
      <c r="J716" s="4" t="n"/>
      <c r="K716" s="19">
        <f>IF(AG716&gt;0,"O Google leu como fórmula: digite de novo com ' na frente.","")</f>
        <v/>
      </c>
      <c r="N716" s="2">
        <f>N715+IF(LEN($X$716)&gt;0,1,0)</f>
        <v/>
      </c>
      <c r="O716" s="2">
        <f>O715+IF(LEN($Y$716)&gt;0,1,0)</f>
        <v/>
      </c>
      <c r="P716" s="2">
        <f>P715+IF(LEN($Z$716)&gt;0,1,0)</f>
        <v/>
      </c>
      <c r="Q716" s="2">
        <f>Q715+IF(LEN($AA$716)&gt;0,1,0)</f>
        <v/>
      </c>
      <c r="R716" s="2">
        <f>R715+IF(LEN($AB$716)&gt;0,1,0)</f>
        <v/>
      </c>
      <c r="S716" s="2">
        <f>S715+IF(LEN($AC$716)&gt;0,1,0)</f>
        <v/>
      </c>
      <c r="T716" s="2">
        <f>T715+IF(LEN($AD$716)&gt;0,1,0)</f>
        <v/>
      </c>
      <c r="U716" s="2">
        <f>U715+IF(LEN($AE$716)&gt;0,1,0)</f>
        <v/>
      </c>
      <c r="V716" s="2">
        <f>V715+IF(LEN($AF$716)&gt;0,1,0)</f>
        <v/>
      </c>
      <c r="X716" s="2">
        <f>IF(ISERROR($B$716),"",IF(ISBLANK($B$716),"",$B$716))</f>
        <v/>
      </c>
      <c r="Y716" s="2">
        <f>IF(ISERROR($C$716),"",IF(ISBLANK($C$716),"",$C$716))</f>
        <v/>
      </c>
      <c r="Z716" s="2">
        <f>IF(ISERROR($D$716),"",IF(ISBLANK($D$716),"",$D$716))</f>
        <v/>
      </c>
      <c r="AA716" s="2">
        <f>IF(ISERROR($E$716),"",IF(ISBLANK($E$716),"",$E$716))</f>
        <v/>
      </c>
      <c r="AB716" s="2">
        <f>IF(ISERROR($F$716),"",IF(ISBLANK($F$716),"",$F$716))</f>
        <v/>
      </c>
      <c r="AC716" s="2">
        <f>IF(ISERROR($G$716),"",IF(ISBLANK($G$716),"",$G$716))</f>
        <v/>
      </c>
      <c r="AD716" s="2">
        <f>IF(ISERROR($H$716),"",IF(ISBLANK($H$716),"",$H$716))</f>
        <v/>
      </c>
      <c r="AE716" s="2">
        <f>IF(ISERROR($I$716),"",IF(ISBLANK($I$716),"",$I$716))</f>
        <v/>
      </c>
      <c r="AF716" s="2">
        <f>IF(ISERROR($J$716),"",IF(ISBLANK($J$716),"",$J$716))</f>
        <v/>
      </c>
      <c r="AG716" s="2">
        <f>ISERROR($B$716)*1+ISERROR($C$716)*1+ISERROR($D$716)*1+ISERROR($E$716)*1+ISERROR($F$716)*1+ISERROR($G$716)*1+ISERROR($H$716)*1+ISERROR($I$716)*1+ISERROR($J$716)*1</f>
        <v/>
      </c>
    </row>
    <row r="717" ht="37" customHeight="1">
      <c r="B717" s="35" t="inlineStr">
        <is>
          <t>um anel de noivado num ninho do Fragmentum</t>
        </is>
      </c>
      <c r="C717" s="29" t="inlineStr">
        <is>
          <t>uma carta de baralho com o rosto de um personagem</t>
        </is>
      </c>
      <c r="D717" s="29" t="inlineStr">
        <is>
          <t>A Viagem</t>
        </is>
      </c>
      <c r="E717" s="29" t="inlineStr">
        <is>
          <t>do Último Inverno</t>
        </is>
      </c>
      <c r="F717" s="29" t="inlineStr">
        <is>
          <t>a colheita de uma estufa orbital antes do inverno</t>
        </is>
      </c>
      <c r="G717" s="29" t="inlineStr">
        <is>
          <t>quando você aplica uma condição</t>
        </is>
      </c>
      <c r="H717" s="29" t="inlineStr">
        <is>
          <t>Moedas do Mercador Sem Rosto</t>
        </is>
      </c>
      <c r="I717" s="29" t="inlineStr">
        <is>
          <t>de uma estação de pesquisa que estudou um Stellaron de perto</t>
        </is>
      </c>
      <c r="J717" s="29" t="n"/>
      <c r="K717" s="19">
        <f>IF(AG717&gt;0,"O Google leu como fórmula: digite de novo com ' na frente.","")</f>
        <v/>
      </c>
      <c r="N717" s="2">
        <f>N716+IF(LEN($X$717)&gt;0,1,0)</f>
        <v/>
      </c>
      <c r="O717" s="2">
        <f>O716+IF(LEN($Y$717)&gt;0,1,0)</f>
        <v/>
      </c>
      <c r="P717" s="2">
        <f>P716+IF(LEN($Z$717)&gt;0,1,0)</f>
        <v/>
      </c>
      <c r="Q717" s="2">
        <f>Q716+IF(LEN($AA$717)&gt;0,1,0)</f>
        <v/>
      </c>
      <c r="R717" s="2">
        <f>R716+IF(LEN($AB$717)&gt;0,1,0)</f>
        <v/>
      </c>
      <c r="S717" s="2">
        <f>S716+IF(LEN($AC$717)&gt;0,1,0)</f>
        <v/>
      </c>
      <c r="T717" s="2">
        <f>T716+IF(LEN($AD$717)&gt;0,1,0)</f>
        <v/>
      </c>
      <c r="U717" s="2">
        <f>U716+IF(LEN($AE$717)&gt;0,1,0)</f>
        <v/>
      </c>
      <c r="V717" s="2">
        <f>V716+IF(LEN($AF$717)&gt;0,1,0)</f>
        <v/>
      </c>
      <c r="X717" s="2">
        <f>IF(ISERROR($B$717),"",IF(ISBLANK($B$717),"",$B$717))</f>
        <v/>
      </c>
      <c r="Y717" s="2">
        <f>IF(ISERROR($C$717),"",IF(ISBLANK($C$717),"",$C$717))</f>
        <v/>
      </c>
      <c r="Z717" s="2">
        <f>IF(ISERROR($D$717),"",IF(ISBLANK($D$717),"",$D$717))</f>
        <v/>
      </c>
      <c r="AA717" s="2">
        <f>IF(ISERROR($E$717),"",IF(ISBLANK($E$717),"",$E$717))</f>
        <v/>
      </c>
      <c r="AB717" s="2">
        <f>IF(ISERROR($F$717),"",IF(ISBLANK($F$717),"",$F$717))</f>
        <v/>
      </c>
      <c r="AC717" s="2">
        <f>IF(ISERROR($G$717),"",IF(ISBLANK($G$717),"",$G$717))</f>
        <v/>
      </c>
      <c r="AD717" s="2">
        <f>IF(ISERROR($H$717),"",IF(ISBLANK($H$717),"",$H$717))</f>
        <v/>
      </c>
      <c r="AE717" s="2">
        <f>IF(ISERROR($I$717),"",IF(ISBLANK($I$717),"",$I$717))</f>
        <v/>
      </c>
      <c r="AF717" s="2">
        <f>IF(ISERROR($J$717),"",IF(ISBLANK($J$717),"",$J$717))</f>
        <v/>
      </c>
      <c r="AG717" s="2">
        <f>ISERROR($B$717)*1+ISERROR($C$717)*1+ISERROR($D$717)*1+ISERROR($E$717)*1+ISERROR($F$717)*1+ISERROR($G$717)*1+ISERROR($H$717)*1+ISERROR($I$717)*1+ISERROR($J$717)*1</f>
        <v/>
      </c>
    </row>
    <row r="718" ht="37" customHeight="1">
      <c r="B718" s="33" t="inlineStr">
        <is>
          <t>um mapa com uma rota marcada a sangue</t>
        </is>
      </c>
      <c r="C718" s="4" t="inlineStr">
        <is>
          <t>uma semente que não germina em lugar nenhum</t>
        </is>
      </c>
      <c r="D718" s="4" t="inlineStr">
        <is>
          <t>O Primeiro Passo</t>
        </is>
      </c>
      <c r="E718" s="4" t="inlineStr">
        <is>
          <t>Que Prometemos</t>
        </is>
      </c>
      <c r="F718" s="4" t="inlineStr">
        <is>
          <t>a carta que um prisioneiro escreveu e nunca enviou</t>
        </is>
      </c>
      <c r="G718" s="4" t="inlineStr">
        <is>
          <t>quando você Avança um aliado na Fila</t>
        </is>
      </c>
      <c r="H718" s="4" t="inlineStr">
        <is>
          <t>Chaves do Cofre Vazio</t>
        </is>
      </c>
      <c r="I718" s="4" t="inlineStr">
        <is>
          <t>de uma família nobre de Xianzhou que caiu em desgraça</t>
        </is>
      </c>
      <c r="J718" s="4" t="n"/>
      <c r="K718" s="19">
        <f>IF(AG718&gt;0,"O Google leu como fórmula: digite de novo com ' na frente.","")</f>
        <v/>
      </c>
      <c r="N718" s="2">
        <f>N717+IF(LEN($X$718)&gt;0,1,0)</f>
        <v/>
      </c>
      <c r="O718" s="2">
        <f>O717+IF(LEN($Y$718)&gt;0,1,0)</f>
        <v/>
      </c>
      <c r="P718" s="2">
        <f>P717+IF(LEN($Z$718)&gt;0,1,0)</f>
        <v/>
      </c>
      <c r="Q718" s="2">
        <f>Q717+IF(LEN($AA$718)&gt;0,1,0)</f>
        <v/>
      </c>
      <c r="R718" s="2">
        <f>R717+IF(LEN($AB$718)&gt;0,1,0)</f>
        <v/>
      </c>
      <c r="S718" s="2">
        <f>S717+IF(LEN($AC$718)&gt;0,1,0)</f>
        <v/>
      </c>
      <c r="T718" s="2">
        <f>T717+IF(LEN($AD$718)&gt;0,1,0)</f>
        <v/>
      </c>
      <c r="U718" s="2">
        <f>U717+IF(LEN($AE$718)&gt;0,1,0)</f>
        <v/>
      </c>
      <c r="V718" s="2">
        <f>V717+IF(LEN($AF$718)&gt;0,1,0)</f>
        <v/>
      </c>
      <c r="X718" s="2">
        <f>IF(ISERROR($B$718),"",IF(ISBLANK($B$718),"",$B$718))</f>
        <v/>
      </c>
      <c r="Y718" s="2">
        <f>IF(ISERROR($C$718),"",IF(ISBLANK($C$718),"",$C$718))</f>
        <v/>
      </c>
      <c r="Z718" s="2">
        <f>IF(ISERROR($D$718),"",IF(ISBLANK($D$718),"",$D$718))</f>
        <v/>
      </c>
      <c r="AA718" s="2">
        <f>IF(ISERROR($E$718),"",IF(ISBLANK($E$718),"",$E$718))</f>
        <v/>
      </c>
      <c r="AB718" s="2">
        <f>IF(ISERROR($F$718),"",IF(ISBLANK($F$718),"",$F$718))</f>
        <v/>
      </c>
      <c r="AC718" s="2">
        <f>IF(ISERROR($G$718),"",IF(ISBLANK($G$718),"",$G$718))</f>
        <v/>
      </c>
      <c r="AD718" s="2">
        <f>IF(ISERROR($H$718),"",IF(ISBLANK($H$718),"",$H$718))</f>
        <v/>
      </c>
      <c r="AE718" s="2">
        <f>IF(ISERROR($I$718),"",IF(ISBLANK($I$718),"",$I$718))</f>
        <v/>
      </c>
      <c r="AF718" s="2">
        <f>IF(ISERROR($J$718),"",IF(ISBLANK($J$718),"",$J$718))</f>
        <v/>
      </c>
      <c r="AG718" s="2">
        <f>ISERROR($B$718)*1+ISERROR($C$718)*1+ISERROR($D$718)*1+ISERROR($E$718)*1+ISERROR($F$718)*1+ISERROR($G$718)*1+ISERROR($H$718)*1+ISERROR($I$718)*1+ISERROR($J$718)*1</f>
        <v/>
      </c>
    </row>
    <row r="719" ht="37" customHeight="1">
      <c r="B719" s="35" t="inlineStr">
        <is>
          <t>um aviso de despejo de um prédio já demolido</t>
        </is>
      </c>
      <c r="C719" s="29" t="inlineStr">
        <is>
          <t>um cachimbo que nunca apaga</t>
        </is>
      </c>
      <c r="D719" s="29" t="inlineStr">
        <is>
          <t>Uma Janela</t>
        </is>
      </c>
      <c r="E719" s="29" t="inlineStr">
        <is>
          <t>Sob a Chuva</t>
        </is>
      </c>
      <c r="F719" s="29" t="inlineStr">
        <is>
          <t>a primeira vez que um Intellitron sonhou</t>
        </is>
      </c>
      <c r="G719" s="29" t="inlineStr">
        <is>
          <t>quando a sua Energia chega a 100</t>
        </is>
      </c>
      <c r="H719" s="29" t="inlineStr">
        <is>
          <t>Penas do Coro Distante</t>
        </is>
      </c>
      <c r="I719" s="29" t="inlineStr">
        <is>
          <t>de uma equipe de mineiros soterrados que nunca foi resgatada</t>
        </is>
      </c>
      <c r="J719" s="29" t="n"/>
      <c r="K719" s="19">
        <f>IF(AG719&gt;0,"O Google leu como fórmula: digite de novo com ' na frente.","")</f>
        <v/>
      </c>
      <c r="N719" s="2">
        <f>N718+IF(LEN($X$719)&gt;0,1,0)</f>
        <v/>
      </c>
      <c r="O719" s="2">
        <f>O718+IF(LEN($Y$719)&gt;0,1,0)</f>
        <v/>
      </c>
      <c r="P719" s="2">
        <f>P718+IF(LEN($Z$719)&gt;0,1,0)</f>
        <v/>
      </c>
      <c r="Q719" s="2">
        <f>Q718+IF(LEN($AA$719)&gt;0,1,0)</f>
        <v/>
      </c>
      <c r="R719" s="2">
        <f>R718+IF(LEN($AB$719)&gt;0,1,0)</f>
        <v/>
      </c>
      <c r="S719" s="2">
        <f>S718+IF(LEN($AC$719)&gt;0,1,0)</f>
        <v/>
      </c>
      <c r="T719" s="2">
        <f>T718+IF(LEN($AD$719)&gt;0,1,0)</f>
        <v/>
      </c>
      <c r="U719" s="2">
        <f>U718+IF(LEN($AE$719)&gt;0,1,0)</f>
        <v/>
      </c>
      <c r="V719" s="2">
        <f>V718+IF(LEN($AF$719)&gt;0,1,0)</f>
        <v/>
      </c>
      <c r="X719" s="2">
        <f>IF(ISERROR($B$719),"",IF(ISBLANK($B$719),"",$B$719))</f>
        <v/>
      </c>
      <c r="Y719" s="2">
        <f>IF(ISERROR($C$719),"",IF(ISBLANK($C$719),"",$C$719))</f>
        <v/>
      </c>
      <c r="Z719" s="2">
        <f>IF(ISERROR($D$719),"",IF(ISBLANK($D$719),"",$D$719))</f>
        <v/>
      </c>
      <c r="AA719" s="2">
        <f>IF(ISERROR($E$719),"",IF(ISBLANK($E$719),"",$E$719))</f>
        <v/>
      </c>
      <c r="AB719" s="2">
        <f>IF(ISERROR($F$719),"",IF(ISBLANK($F$719),"",$F$719))</f>
        <v/>
      </c>
      <c r="AC719" s="2">
        <f>IF(ISERROR($G$719),"",IF(ISBLANK($G$719),"",$G$719))</f>
        <v/>
      </c>
      <c r="AD719" s="2">
        <f>IF(ISERROR($H$719),"",IF(ISBLANK($H$719),"",$H$719))</f>
        <v/>
      </c>
      <c r="AE719" s="2">
        <f>IF(ISERROR($I$719),"",IF(ISBLANK($I$719),"",$I$719))</f>
        <v/>
      </c>
      <c r="AF719" s="2">
        <f>IF(ISERROR($J$719),"",IF(ISBLANK($J$719),"",$J$719))</f>
        <v/>
      </c>
      <c r="AG719" s="2">
        <f>ISERROR($B$719)*1+ISERROR($C$719)*1+ISERROR($D$719)*1+ISERROR($E$719)*1+ISERROR($F$719)*1+ISERROR($G$719)*1+ISERROR($H$719)*1+ISERROR($I$719)*1+ISERROR($J$719)*1</f>
        <v/>
      </c>
    </row>
    <row r="720" ht="26" customHeight="1">
      <c r="B720" s="33" t="inlineStr">
        <is>
          <t>um ingresso de teatro para uma peça que nunca estreou</t>
        </is>
      </c>
      <c r="C720" s="4" t="inlineStr">
        <is>
          <t>um anel de lata com uma promessa gravada por dentro</t>
        </is>
      </c>
      <c r="D720" s="4" t="inlineStr">
        <is>
          <t>A Chuva</t>
        </is>
      </c>
      <c r="E720" s="4" t="inlineStr">
        <is>
          <t>de um Velho Amigo</t>
        </is>
      </c>
      <c r="F720" s="4" t="inlineStr">
        <is>
          <t>o riso de um palhaço num hospital de campanha</t>
        </is>
      </c>
      <c r="G720" s="4" t="inlineStr">
        <is>
          <t>quando você fica abaixo da metade dos PV</t>
        </is>
      </c>
      <c r="H720" s="4" t="inlineStr">
        <is>
          <t>Pedras do Templo Sem Deus</t>
        </is>
      </c>
      <c r="I720" s="4" t="inlineStr">
        <is>
          <t>de uma biblioteca que queimou durante uma revolta</t>
        </is>
      </c>
      <c r="J720" s="4" t="n"/>
      <c r="K720" s="19">
        <f>IF(AG720&gt;0,"O Google leu como fórmula: digite de novo com ' na frente.","")</f>
        <v/>
      </c>
      <c r="N720" s="2">
        <f>N719+IF(LEN($X$720)&gt;0,1,0)</f>
        <v/>
      </c>
      <c r="O720" s="2">
        <f>O719+IF(LEN($Y$720)&gt;0,1,0)</f>
        <v/>
      </c>
      <c r="P720" s="2">
        <f>P719+IF(LEN($Z$720)&gt;0,1,0)</f>
        <v/>
      </c>
      <c r="Q720" s="2">
        <f>Q719+IF(LEN($AA$720)&gt;0,1,0)</f>
        <v/>
      </c>
      <c r="R720" s="2">
        <f>R719+IF(LEN($AB$720)&gt;0,1,0)</f>
        <v/>
      </c>
      <c r="S720" s="2">
        <f>S719+IF(LEN($AC$720)&gt;0,1,0)</f>
        <v/>
      </c>
      <c r="T720" s="2">
        <f>T719+IF(LEN($AD$720)&gt;0,1,0)</f>
        <v/>
      </c>
      <c r="U720" s="2">
        <f>U719+IF(LEN($AE$720)&gt;0,1,0)</f>
        <v/>
      </c>
      <c r="V720" s="2">
        <f>V719+IF(LEN($AF$720)&gt;0,1,0)</f>
        <v/>
      </c>
      <c r="X720" s="2">
        <f>IF(ISERROR($B$720),"",IF(ISBLANK($B$720),"",$B$720))</f>
        <v/>
      </c>
      <c r="Y720" s="2">
        <f>IF(ISERROR($C$720),"",IF(ISBLANK($C$720),"",$C$720))</f>
        <v/>
      </c>
      <c r="Z720" s="2">
        <f>IF(ISERROR($D$720),"",IF(ISBLANK($D$720),"",$D$720))</f>
        <v/>
      </c>
      <c r="AA720" s="2">
        <f>IF(ISERROR($E$720),"",IF(ISBLANK($E$720),"",$E$720))</f>
        <v/>
      </c>
      <c r="AB720" s="2">
        <f>IF(ISERROR($F$720),"",IF(ISBLANK($F$720),"",$F$720))</f>
        <v/>
      </c>
      <c r="AC720" s="2">
        <f>IF(ISERROR($G$720),"",IF(ISBLANK($G$720),"",$G$720))</f>
        <v/>
      </c>
      <c r="AD720" s="2">
        <f>IF(ISERROR($H$720),"",IF(ISBLANK($H$720),"",$H$720))</f>
        <v/>
      </c>
      <c r="AE720" s="2">
        <f>IF(ISERROR($I$720),"",IF(ISBLANK($I$720),"",$I$720))</f>
        <v/>
      </c>
      <c r="AF720" s="2">
        <f>IF(ISERROR($J$720),"",IF(ISBLANK($J$720),"",$J$720))</f>
        <v/>
      </c>
      <c r="AG720" s="2">
        <f>ISERROR($B$720)*1+ISERROR($C$720)*1+ISERROR($D$720)*1+ISERROR($E$720)*1+ISERROR($F$720)*1+ISERROR($G$720)*1+ISERROR($H$720)*1+ISERROR($I$720)*1+ISERROR($J$720)*1</f>
        <v/>
      </c>
    </row>
    <row r="721" ht="26" customHeight="1">
      <c r="B721" s="35" t="inlineStr">
        <is>
          <t>um rastro de óleo que leva aos dutos</t>
        </is>
      </c>
      <c r="C721" s="29" t="inlineStr">
        <is>
          <t>um livro com todas as páginas em branco menos a última</t>
        </is>
      </c>
      <c r="D721" s="29" t="inlineStr">
        <is>
          <t>O Eco</t>
        </is>
      </c>
      <c r="E721" s="29" t="inlineStr">
        <is>
          <t>Para Ninguém</t>
        </is>
      </c>
      <c r="F721" s="29" t="inlineStr">
        <is>
          <t>uma dança numa nave-cidade durante um cerco</t>
        </is>
      </c>
      <c r="G721" s="29" t="inlineStr">
        <is>
          <t>quando o grupo revela uma Fraqueza</t>
        </is>
      </c>
      <c r="H721" s="29" t="inlineStr">
        <is>
          <t>Agulhas da Bússola Torta</t>
        </is>
      </c>
      <c r="I721" s="29" t="inlineStr">
        <is>
          <t>de um coral que cantou até a última nota de um cerco</t>
        </is>
      </c>
      <c r="J721" s="29" t="n"/>
      <c r="K721" s="19">
        <f>IF(AG721&gt;0,"O Google leu como fórmula: digite de novo com ' na frente.","")</f>
        <v/>
      </c>
      <c r="N721" s="2">
        <f>N720+IF(LEN($X$721)&gt;0,1,0)</f>
        <v/>
      </c>
      <c r="O721" s="2">
        <f>O720+IF(LEN($Y$721)&gt;0,1,0)</f>
        <v/>
      </c>
      <c r="P721" s="2">
        <f>P720+IF(LEN($Z$721)&gt;0,1,0)</f>
        <v/>
      </c>
      <c r="Q721" s="2">
        <f>Q720+IF(LEN($AA$721)&gt;0,1,0)</f>
        <v/>
      </c>
      <c r="R721" s="2">
        <f>R720+IF(LEN($AB$721)&gt;0,1,0)</f>
        <v/>
      </c>
      <c r="S721" s="2">
        <f>S720+IF(LEN($AC$721)&gt;0,1,0)</f>
        <v/>
      </c>
      <c r="T721" s="2">
        <f>T720+IF(LEN($AD$721)&gt;0,1,0)</f>
        <v/>
      </c>
      <c r="U721" s="2">
        <f>U720+IF(LEN($AE$721)&gt;0,1,0)</f>
        <v/>
      </c>
      <c r="V721" s="2">
        <f>V720+IF(LEN($AF$721)&gt;0,1,0)</f>
        <v/>
      </c>
      <c r="X721" s="2">
        <f>IF(ISERROR($B$721),"",IF(ISBLANK($B$721),"",$B$721))</f>
        <v/>
      </c>
      <c r="Y721" s="2">
        <f>IF(ISERROR($C$721),"",IF(ISBLANK($C$721),"",$C$721))</f>
        <v/>
      </c>
      <c r="Z721" s="2">
        <f>IF(ISERROR($D$721),"",IF(ISBLANK($D$721),"",$D$721))</f>
        <v/>
      </c>
      <c r="AA721" s="2">
        <f>IF(ISERROR($E$721),"",IF(ISBLANK($E$721),"",$E$721))</f>
        <v/>
      </c>
      <c r="AB721" s="2">
        <f>IF(ISERROR($F$721),"",IF(ISBLANK($F$721),"",$F$721))</f>
        <v/>
      </c>
      <c r="AC721" s="2">
        <f>IF(ISERROR($G$721),"",IF(ISBLANK($G$721),"",$G$721))</f>
        <v/>
      </c>
      <c r="AD721" s="2">
        <f>IF(ISERROR($H$721),"",IF(ISBLANK($H$721),"",$H$721))</f>
        <v/>
      </c>
      <c r="AE721" s="2">
        <f>IF(ISERROR($I$721),"",IF(ISBLANK($I$721),"",$I$721))</f>
        <v/>
      </c>
      <c r="AF721" s="2">
        <f>IF(ISERROR($J$721),"",IF(ISBLANK($J$721),"",$J$721))</f>
        <v/>
      </c>
      <c r="AG721" s="2">
        <f>ISERROR($B$721)*1+ISERROR($C$721)*1+ISERROR($D$721)*1+ISERROR($E$721)*1+ISERROR($F$721)*1+ISERROR($G$721)*1+ISERROR($H$721)*1+ISERROR($I$721)*1+ISERROR($J$721)*1</f>
        <v/>
      </c>
    </row>
    <row r="722" ht="37" customHeight="1">
      <c r="B722" s="33" t="inlineStr">
        <is>
          <t>uma testemunha que descreve o mesmo homem com três rostos</t>
        </is>
      </c>
      <c r="C722" s="4" t="inlineStr">
        <is>
          <t>um cristal que esquenta ao luar</t>
        </is>
      </c>
      <c r="D722" s="4" t="inlineStr">
        <is>
          <t>A Fogueira</t>
        </is>
      </c>
      <c r="E722" s="4" t="inlineStr">
        <is>
          <t>no Céu Errado</t>
        </is>
      </c>
      <c r="F722" s="4" t="inlineStr">
        <is>
          <t>o mapa desenhado por uma exploradora perdida</t>
        </is>
      </c>
      <c r="G722" s="4" t="inlineStr">
        <is>
          <t>quando um aliado é Congelado</t>
        </is>
      </c>
      <c r="H722" s="4" t="inlineStr">
        <is>
          <t>Selos do Arquivo Proibido</t>
        </is>
      </c>
      <c r="I722" s="4" t="inlineStr">
        <is>
          <t>de um caçador que perseguiu a mesma presa por cinquenta anos</t>
        </is>
      </c>
      <c r="J722" s="4" t="n"/>
      <c r="K722" s="19">
        <f>IF(AG722&gt;0,"O Google leu como fórmula: digite de novo com ' na frente.","")</f>
        <v/>
      </c>
      <c r="N722" s="2">
        <f>N721+IF(LEN($X$722)&gt;0,1,0)</f>
        <v/>
      </c>
      <c r="O722" s="2">
        <f>O721+IF(LEN($Y$722)&gt;0,1,0)</f>
        <v/>
      </c>
      <c r="P722" s="2">
        <f>P721+IF(LEN($Z$722)&gt;0,1,0)</f>
        <v/>
      </c>
      <c r="Q722" s="2">
        <f>Q721+IF(LEN($AA$722)&gt;0,1,0)</f>
        <v/>
      </c>
      <c r="R722" s="2">
        <f>R721+IF(LEN($AB$722)&gt;0,1,0)</f>
        <v/>
      </c>
      <c r="S722" s="2">
        <f>S721+IF(LEN($AC$722)&gt;0,1,0)</f>
        <v/>
      </c>
      <c r="T722" s="2">
        <f>T721+IF(LEN($AD$722)&gt;0,1,0)</f>
        <v/>
      </c>
      <c r="U722" s="2">
        <f>U721+IF(LEN($AE$722)&gt;0,1,0)</f>
        <v/>
      </c>
      <c r="V722" s="2">
        <f>V721+IF(LEN($AF$722)&gt;0,1,0)</f>
        <v/>
      </c>
      <c r="X722" s="2">
        <f>IF(ISERROR($B$722),"",IF(ISBLANK($B$722),"",$B$722))</f>
        <v/>
      </c>
      <c r="Y722" s="2">
        <f>IF(ISERROR($C$722),"",IF(ISBLANK($C$722),"",$C$722))</f>
        <v/>
      </c>
      <c r="Z722" s="2">
        <f>IF(ISERROR($D$722),"",IF(ISBLANK($D$722),"",$D$722))</f>
        <v/>
      </c>
      <c r="AA722" s="2">
        <f>IF(ISERROR($E$722),"",IF(ISBLANK($E$722),"",$E$722))</f>
        <v/>
      </c>
      <c r="AB722" s="2">
        <f>IF(ISERROR($F$722),"",IF(ISBLANK($F$722),"",$F$722))</f>
        <v/>
      </c>
      <c r="AC722" s="2">
        <f>IF(ISERROR($G$722),"",IF(ISBLANK($G$722),"",$G$722))</f>
        <v/>
      </c>
      <c r="AD722" s="2">
        <f>IF(ISERROR($H$722),"",IF(ISBLANK($H$722),"",$H$722))</f>
        <v/>
      </c>
      <c r="AE722" s="2">
        <f>IF(ISERROR($I$722),"",IF(ISBLANK($I$722),"",$I$722))</f>
        <v/>
      </c>
      <c r="AF722" s="2">
        <f>IF(ISERROR($J$722),"",IF(ISBLANK($J$722),"",$J$722))</f>
        <v/>
      </c>
      <c r="AG722" s="2">
        <f>ISERROR($B$722)*1+ISERROR($C$722)*1+ISERROR($D$722)*1+ISERROR($E$722)*1+ISERROR($F$722)*1+ISERROR($G$722)*1+ISERROR($H$722)*1+ISERROR($I$722)*1+ISERROR($J$722)*1</f>
        <v/>
      </c>
    </row>
    <row r="723" ht="26" customHeight="1">
      <c r="B723" s="35" t="inlineStr">
        <is>
          <t>um selo de lacre quebrado por dentro</t>
        </is>
      </c>
      <c r="C723" s="29" t="inlineStr">
        <is>
          <t>uma fotografia de uma família desconhecida</t>
        </is>
      </c>
      <c r="D723" s="29" t="inlineStr">
        <is>
          <t>O Navio</t>
        </is>
      </c>
      <c r="E723" s="29" t="inlineStr">
        <is>
          <t>Que Esperou</t>
        </is>
      </c>
      <c r="F723" s="29" t="inlineStr">
        <is>
          <t>a canção de ninar de uma mãe num navio afundando</t>
        </is>
      </c>
      <c r="G723" s="29" t="n"/>
      <c r="H723" s="29" t="n"/>
      <c r="I723" s="29" t="n"/>
      <c r="J723" s="29" t="n"/>
      <c r="K723" s="19">
        <f>IF(AG723&gt;0,"O Google leu como fórmula: digite de novo com ' na frente.","")</f>
        <v/>
      </c>
      <c r="N723" s="2">
        <f>N722+IF(LEN($X$723)&gt;0,1,0)</f>
        <v/>
      </c>
      <c r="O723" s="2">
        <f>O722+IF(LEN($Y$723)&gt;0,1,0)</f>
        <v/>
      </c>
      <c r="P723" s="2">
        <f>P722+IF(LEN($Z$723)&gt;0,1,0)</f>
        <v/>
      </c>
      <c r="Q723" s="2">
        <f>Q722+IF(LEN($AA$723)&gt;0,1,0)</f>
        <v/>
      </c>
      <c r="R723" s="2">
        <f>R722+IF(LEN($AB$723)&gt;0,1,0)</f>
        <v/>
      </c>
      <c r="S723" s="2">
        <f>S722+IF(LEN($AC$723)&gt;0,1,0)</f>
        <v/>
      </c>
      <c r="T723" s="2">
        <f>T722+IF(LEN($AD$723)&gt;0,1,0)</f>
        <v/>
      </c>
      <c r="U723" s="2">
        <f>U722+IF(LEN($AE$723)&gt;0,1,0)</f>
        <v/>
      </c>
      <c r="V723" s="2">
        <f>V722+IF(LEN($AF$723)&gt;0,1,0)</f>
        <v/>
      </c>
      <c r="X723" s="2">
        <f>IF(ISERROR($B$723),"",IF(ISBLANK($B$723),"",$B$723))</f>
        <v/>
      </c>
      <c r="Y723" s="2">
        <f>IF(ISERROR($C$723),"",IF(ISBLANK($C$723),"",$C$723))</f>
        <v/>
      </c>
      <c r="Z723" s="2">
        <f>IF(ISERROR($D$723),"",IF(ISBLANK($D$723),"",$D$723))</f>
        <v/>
      </c>
      <c r="AA723" s="2">
        <f>IF(ISERROR($E$723),"",IF(ISBLANK($E$723),"",$E$723))</f>
        <v/>
      </c>
      <c r="AB723" s="2">
        <f>IF(ISERROR($F$723),"",IF(ISBLANK($F$723),"",$F$723))</f>
        <v/>
      </c>
      <c r="AC723" s="2">
        <f>IF(ISERROR($G$723),"",IF(ISBLANK($G$723),"",$G$723))</f>
        <v/>
      </c>
      <c r="AD723" s="2">
        <f>IF(ISERROR($H$723),"",IF(ISBLANK($H$723),"",$H$723))</f>
        <v/>
      </c>
      <c r="AE723" s="2">
        <f>IF(ISERROR($I$723),"",IF(ISBLANK($I$723),"",$I$723))</f>
        <v/>
      </c>
      <c r="AF723" s="2">
        <f>IF(ISERROR($J$723),"",IF(ISBLANK($J$723),"",$J$723))</f>
        <v/>
      </c>
      <c r="AG723" s="2">
        <f>ISERROR($B$723)*1+ISERROR($C$723)*1+ISERROR($D$723)*1+ISERROR($E$723)*1+ISERROR($F$723)*1+ISERROR($G$723)*1+ISERROR($H$723)*1+ISERROR($I$723)*1+ISERROR($J$723)*1</f>
        <v/>
      </c>
    </row>
    <row r="724" ht="26" customHeight="1">
      <c r="B724" s="33" t="inlineStr">
        <is>
          <t>uma frequência de rádio anotada num guardanapo</t>
        </is>
      </c>
      <c r="C724" s="4" t="inlineStr">
        <is>
          <t>um apito que só os Autômatos escutam</t>
        </is>
      </c>
      <c r="D724" s="4" t="inlineStr">
        <is>
          <t>A Despedida</t>
        </is>
      </c>
      <c r="E724" s="4" t="inlineStr">
        <is>
          <t>Além do Lacre</t>
        </is>
      </c>
      <c r="F724" s="4" t="inlineStr">
        <is>
          <t>o momento em que um juiz decidiu não condenar</t>
        </is>
      </c>
      <c r="G724" s="4" t="n"/>
      <c r="H724" s="4" t="n"/>
      <c r="I724" s="4" t="n"/>
      <c r="J724" s="4" t="n"/>
      <c r="K724" s="19">
        <f>IF(AG724&gt;0,"O Google leu como fórmula: digite de novo com ' na frente.","")</f>
        <v/>
      </c>
      <c r="N724" s="2">
        <f>N723+IF(LEN($X$724)&gt;0,1,0)</f>
        <v/>
      </c>
      <c r="O724" s="2">
        <f>O723+IF(LEN($Y$724)&gt;0,1,0)</f>
        <v/>
      </c>
      <c r="P724" s="2">
        <f>P723+IF(LEN($Z$724)&gt;0,1,0)</f>
        <v/>
      </c>
      <c r="Q724" s="2">
        <f>Q723+IF(LEN($AA$724)&gt;0,1,0)</f>
        <v/>
      </c>
      <c r="R724" s="2">
        <f>R723+IF(LEN($AB$724)&gt;0,1,0)</f>
        <v/>
      </c>
      <c r="S724" s="2">
        <f>S723+IF(LEN($AC$724)&gt;0,1,0)</f>
        <v/>
      </c>
      <c r="T724" s="2">
        <f>T723+IF(LEN($AD$724)&gt;0,1,0)</f>
        <v/>
      </c>
      <c r="U724" s="2">
        <f>U723+IF(LEN($AE$724)&gt;0,1,0)</f>
        <v/>
      </c>
      <c r="V724" s="2">
        <f>V723+IF(LEN($AF$724)&gt;0,1,0)</f>
        <v/>
      </c>
      <c r="X724" s="2">
        <f>IF(ISERROR($B$724),"",IF(ISBLANK($B$724),"",$B$724))</f>
        <v/>
      </c>
      <c r="Y724" s="2">
        <f>IF(ISERROR($C$724),"",IF(ISBLANK($C$724),"",$C$724))</f>
        <v/>
      </c>
      <c r="Z724" s="2">
        <f>IF(ISERROR($D$724),"",IF(ISBLANK($D$724),"",$D$724))</f>
        <v/>
      </c>
      <c r="AA724" s="2">
        <f>IF(ISERROR($E$724),"",IF(ISBLANK($E$724),"",$E$724))</f>
        <v/>
      </c>
      <c r="AB724" s="2">
        <f>IF(ISERROR($F$724),"",IF(ISBLANK($F$724),"",$F$724))</f>
        <v/>
      </c>
      <c r="AC724" s="2">
        <f>IF(ISERROR($G$724),"",IF(ISBLANK($G$724),"",$G$724))</f>
        <v/>
      </c>
      <c r="AD724" s="2">
        <f>IF(ISERROR($H$724),"",IF(ISBLANK($H$724),"",$H$724))</f>
        <v/>
      </c>
      <c r="AE724" s="2">
        <f>IF(ISERROR($I$724),"",IF(ISBLANK($I$724),"",$I$724))</f>
        <v/>
      </c>
      <c r="AF724" s="2">
        <f>IF(ISERROR($J$724),"",IF(ISBLANK($J$724),"",$J$724))</f>
        <v/>
      </c>
      <c r="AG724" s="2">
        <f>ISERROR($B$724)*1+ISERROR($C$724)*1+ISERROR($D$724)*1+ISERROR($E$724)*1+ISERROR($F$724)*1+ISERROR($G$724)*1+ISERROR($H$724)*1+ISERROR($I$724)*1+ISERROR($J$724)*1</f>
        <v/>
      </c>
    </row>
    <row r="725" ht="26" customHeight="1">
      <c r="B725" s="35" t="n"/>
      <c r="C725" s="29" t="inlineStr">
        <is>
          <t>um selo postal de um mundo extinto</t>
        </is>
      </c>
      <c r="D725" s="29" t="inlineStr">
        <is>
          <t>O Brinde</t>
        </is>
      </c>
      <c r="E725" s="29" t="inlineStr">
        <is>
          <t>do Primeiro Dia</t>
        </is>
      </c>
      <c r="F725" s="29" t="inlineStr">
        <is>
          <t>a reconstrução de uma ponte por mãos voluntárias</t>
        </is>
      </c>
      <c r="G725" s="29" t="n"/>
      <c r="H725" s="29" t="n"/>
      <c r="I725" s="29" t="n"/>
      <c r="J725" s="29" t="n"/>
      <c r="K725" s="19">
        <f>IF(AG725&gt;0,"O Google leu como fórmula: digite de novo com ' na frente.","")</f>
        <v/>
      </c>
      <c r="N725" s="2">
        <f>N724+IF(LEN($X$725)&gt;0,1,0)</f>
        <v/>
      </c>
      <c r="O725" s="2">
        <f>O724+IF(LEN($Y$725)&gt;0,1,0)</f>
        <v/>
      </c>
      <c r="P725" s="2">
        <f>P724+IF(LEN($Z$725)&gt;0,1,0)</f>
        <v/>
      </c>
      <c r="Q725" s="2">
        <f>Q724+IF(LEN($AA$725)&gt;0,1,0)</f>
        <v/>
      </c>
      <c r="R725" s="2">
        <f>R724+IF(LEN($AB$725)&gt;0,1,0)</f>
        <v/>
      </c>
      <c r="S725" s="2">
        <f>S724+IF(LEN($AC$725)&gt;0,1,0)</f>
        <v/>
      </c>
      <c r="T725" s="2">
        <f>T724+IF(LEN($AD$725)&gt;0,1,0)</f>
        <v/>
      </c>
      <c r="U725" s="2">
        <f>U724+IF(LEN($AE$725)&gt;0,1,0)</f>
        <v/>
      </c>
      <c r="V725" s="2">
        <f>V724+IF(LEN($AF$725)&gt;0,1,0)</f>
        <v/>
      </c>
      <c r="X725" s="2">
        <f>IF(ISERROR($B$725),"",IF(ISBLANK($B$725),"",$B$725))</f>
        <v/>
      </c>
      <c r="Y725" s="2">
        <f>IF(ISERROR($C$725),"",IF(ISBLANK($C$725),"",$C$725))</f>
        <v/>
      </c>
      <c r="Z725" s="2">
        <f>IF(ISERROR($D$725),"",IF(ISBLANK($D$725),"",$D$725))</f>
        <v/>
      </c>
      <c r="AA725" s="2">
        <f>IF(ISERROR($E$725),"",IF(ISBLANK($E$725),"",$E$725))</f>
        <v/>
      </c>
      <c r="AB725" s="2">
        <f>IF(ISERROR($F$725),"",IF(ISBLANK($F$725),"",$F$725))</f>
        <v/>
      </c>
      <c r="AC725" s="2">
        <f>IF(ISERROR($G$725),"",IF(ISBLANK($G$725),"",$G$725))</f>
        <v/>
      </c>
      <c r="AD725" s="2">
        <f>IF(ISERROR($H$725),"",IF(ISBLANK($H$725),"",$H$725))</f>
        <v/>
      </c>
      <c r="AE725" s="2">
        <f>IF(ISERROR($I$725),"",IF(ISBLANK($I$725),"",$I$725))</f>
        <v/>
      </c>
      <c r="AF725" s="2">
        <f>IF(ISERROR($J$725),"",IF(ISBLANK($J$725),"",$J$725))</f>
        <v/>
      </c>
      <c r="AG725" s="2">
        <f>ISERROR($B$725)*1+ISERROR($C$725)*1+ISERROR($D$725)*1+ISERROR($E$725)*1+ISERROR($F$725)*1+ISERROR($G$725)*1+ISERROR($H$725)*1+ISERROR($I$725)*1+ISERROR($J$725)*1</f>
        <v/>
      </c>
    </row>
    <row r="726" ht="26" customHeight="1">
      <c r="B726" s="33" t="n"/>
      <c r="C726" s="4" t="inlineStr">
        <is>
          <t>uma colher dobrada em forma de estrela</t>
        </is>
      </c>
      <c r="D726" s="4" t="inlineStr">
        <is>
          <t>A Sombra</t>
        </is>
      </c>
      <c r="E726" s="4" t="inlineStr">
        <is>
          <t>Sem Nome</t>
        </is>
      </c>
      <c r="F726" s="4" t="inlineStr">
        <is>
          <t>o último dia de um mercado antes da demolição</t>
        </is>
      </c>
      <c r="G726" s="4" t="n"/>
      <c r="H726" s="4" t="n"/>
      <c r="I726" s="4" t="n"/>
      <c r="J726" s="4" t="n"/>
      <c r="K726" s="19">
        <f>IF(AG726&gt;0,"O Google leu como fórmula: digite de novo com ' na frente.","")</f>
        <v/>
      </c>
      <c r="N726" s="2">
        <f>N725+IF(LEN($X$726)&gt;0,1,0)</f>
        <v/>
      </c>
      <c r="O726" s="2">
        <f>O725+IF(LEN($Y$726)&gt;0,1,0)</f>
        <v/>
      </c>
      <c r="P726" s="2">
        <f>P725+IF(LEN($Z$726)&gt;0,1,0)</f>
        <v/>
      </c>
      <c r="Q726" s="2">
        <f>Q725+IF(LEN($AA$726)&gt;0,1,0)</f>
        <v/>
      </c>
      <c r="R726" s="2">
        <f>R725+IF(LEN($AB$726)&gt;0,1,0)</f>
        <v/>
      </c>
      <c r="S726" s="2">
        <f>S725+IF(LEN($AC$726)&gt;0,1,0)</f>
        <v/>
      </c>
      <c r="T726" s="2">
        <f>T725+IF(LEN($AD$726)&gt;0,1,0)</f>
        <v/>
      </c>
      <c r="U726" s="2">
        <f>U725+IF(LEN($AE$726)&gt;0,1,0)</f>
        <v/>
      </c>
      <c r="V726" s="2">
        <f>V725+IF(LEN($AF$726)&gt;0,1,0)</f>
        <v/>
      </c>
      <c r="X726" s="2">
        <f>IF(ISERROR($B$726),"",IF(ISBLANK($B$726),"",$B$726))</f>
        <v/>
      </c>
      <c r="Y726" s="2">
        <f>IF(ISERROR($C$726),"",IF(ISBLANK($C$726),"",$C$726))</f>
        <v/>
      </c>
      <c r="Z726" s="2">
        <f>IF(ISERROR($D$726),"",IF(ISBLANK($D$726),"",$D$726))</f>
        <v/>
      </c>
      <c r="AA726" s="2">
        <f>IF(ISERROR($E$726),"",IF(ISBLANK($E$726),"",$E$726))</f>
        <v/>
      </c>
      <c r="AB726" s="2">
        <f>IF(ISERROR($F$726),"",IF(ISBLANK($F$726),"",$F$726))</f>
        <v/>
      </c>
      <c r="AC726" s="2">
        <f>IF(ISERROR($G$726),"",IF(ISBLANK($G$726),"",$G$726))</f>
        <v/>
      </c>
      <c r="AD726" s="2">
        <f>IF(ISERROR($H$726),"",IF(ISBLANK($H$726),"",$H$726))</f>
        <v/>
      </c>
      <c r="AE726" s="2">
        <f>IF(ISERROR($I$726),"",IF(ISBLANK($I$726),"",$I$726))</f>
        <v/>
      </c>
      <c r="AF726" s="2">
        <f>IF(ISERROR($J$726),"",IF(ISBLANK($J$726),"",$J$726))</f>
        <v/>
      </c>
      <c r="AG726" s="2">
        <f>ISERROR($B$726)*1+ISERROR($C$726)*1+ISERROR($D$726)*1+ISERROR($E$726)*1+ISERROR($F$726)*1+ISERROR($G$726)*1+ISERROR($H$726)*1+ISERROR($I$726)*1+ISERROR($J$726)*1</f>
        <v/>
      </c>
    </row>
    <row r="727" ht="26" customHeight="1">
      <c r="B727" s="35" t="n"/>
      <c r="C727" s="29" t="inlineStr">
        <is>
          <t>um lenço bordado com um brasão de Xianzhou</t>
        </is>
      </c>
      <c r="D727" s="29" t="inlineStr">
        <is>
          <t>O Espelho</t>
        </is>
      </c>
      <c r="E727" s="29" t="inlineStr">
        <is>
          <t>em Silêncio</t>
        </is>
      </c>
      <c r="F727" s="29" t="inlineStr">
        <is>
          <t>o encontro de dois inimigos que dividiram um abrigo</t>
        </is>
      </c>
      <c r="G727" s="29" t="n"/>
      <c r="H727" s="29" t="n"/>
      <c r="I727" s="29" t="n"/>
      <c r="J727" s="29" t="n"/>
      <c r="K727" s="19">
        <f>IF(AG727&gt;0,"O Google leu como fórmula: digite de novo com ' na frente.","")</f>
        <v/>
      </c>
      <c r="N727" s="2">
        <f>N726+IF(LEN($X$727)&gt;0,1,0)</f>
        <v/>
      </c>
      <c r="O727" s="2">
        <f>O726+IF(LEN($Y$727)&gt;0,1,0)</f>
        <v/>
      </c>
      <c r="P727" s="2">
        <f>P726+IF(LEN($Z$727)&gt;0,1,0)</f>
        <v/>
      </c>
      <c r="Q727" s="2">
        <f>Q726+IF(LEN($AA$727)&gt;0,1,0)</f>
        <v/>
      </c>
      <c r="R727" s="2">
        <f>R726+IF(LEN($AB$727)&gt;0,1,0)</f>
        <v/>
      </c>
      <c r="S727" s="2">
        <f>S726+IF(LEN($AC$727)&gt;0,1,0)</f>
        <v/>
      </c>
      <c r="T727" s="2">
        <f>T726+IF(LEN($AD$727)&gt;0,1,0)</f>
        <v/>
      </c>
      <c r="U727" s="2">
        <f>U726+IF(LEN($AE$727)&gt;0,1,0)</f>
        <v/>
      </c>
      <c r="V727" s="2">
        <f>V726+IF(LEN($AF$727)&gt;0,1,0)</f>
        <v/>
      </c>
      <c r="X727" s="2">
        <f>IF(ISERROR($B$727),"",IF(ISBLANK($B$727),"",$B$727))</f>
        <v/>
      </c>
      <c r="Y727" s="2">
        <f>IF(ISERROR($C$727),"",IF(ISBLANK($C$727),"",$C$727))</f>
        <v/>
      </c>
      <c r="Z727" s="2">
        <f>IF(ISERROR($D$727),"",IF(ISBLANK($D$727),"",$D$727))</f>
        <v/>
      </c>
      <c r="AA727" s="2">
        <f>IF(ISERROR($E$727),"",IF(ISBLANK($E$727),"",$E$727))</f>
        <v/>
      </c>
      <c r="AB727" s="2">
        <f>IF(ISERROR($F$727),"",IF(ISBLANK($F$727),"",$F$727))</f>
        <v/>
      </c>
      <c r="AC727" s="2">
        <f>IF(ISERROR($G$727),"",IF(ISBLANK($G$727),"",$G$727))</f>
        <v/>
      </c>
      <c r="AD727" s="2">
        <f>IF(ISERROR($H$727),"",IF(ISBLANK($H$727),"",$H$727))</f>
        <v/>
      </c>
      <c r="AE727" s="2">
        <f>IF(ISERROR($I$727),"",IF(ISBLANK($I$727),"",$I$727))</f>
        <v/>
      </c>
      <c r="AF727" s="2">
        <f>IF(ISERROR($J$727),"",IF(ISBLANK($J$727),"",$J$727))</f>
        <v/>
      </c>
      <c r="AG727" s="2">
        <f>ISERROR($B$727)*1+ISERROR($C$727)*1+ISERROR($D$727)*1+ISERROR($E$727)*1+ISERROR($F$727)*1+ISERROR($G$727)*1+ISERROR($H$727)*1+ISERROR($I$727)*1+ISERROR($J$727)*1</f>
        <v/>
      </c>
    </row>
    <row r="728" ht="26" customHeight="1">
      <c r="B728" s="33" t="n"/>
      <c r="C728" s="4" t="inlineStr">
        <is>
          <t>um medalhão vazio</t>
        </is>
      </c>
      <c r="D728" s="4" t="inlineStr">
        <is>
          <t>Uma Estrela</t>
        </is>
      </c>
      <c r="E728" s="4" t="inlineStr">
        <is>
          <t>Que o Tempo Esqueceu</t>
        </is>
      </c>
      <c r="F728" s="4" t="inlineStr">
        <is>
          <t>a travessia de um deserto por uma caravana sem água</t>
        </is>
      </c>
      <c r="G728" s="4" t="n"/>
      <c r="H728" s="4" t="n"/>
      <c r="I728" s="4" t="n"/>
      <c r="J728" s="4" t="n"/>
      <c r="K728" s="19">
        <f>IF(AG728&gt;0,"O Google leu como fórmula: digite de novo com ' na frente.","")</f>
        <v/>
      </c>
      <c r="N728" s="2">
        <f>N727+IF(LEN($X$728)&gt;0,1,0)</f>
        <v/>
      </c>
      <c r="O728" s="2">
        <f>O727+IF(LEN($Y$728)&gt;0,1,0)</f>
        <v/>
      </c>
      <c r="P728" s="2">
        <f>P727+IF(LEN($Z$728)&gt;0,1,0)</f>
        <v/>
      </c>
      <c r="Q728" s="2">
        <f>Q727+IF(LEN($AA$728)&gt;0,1,0)</f>
        <v/>
      </c>
      <c r="R728" s="2">
        <f>R727+IF(LEN($AB$728)&gt;0,1,0)</f>
        <v/>
      </c>
      <c r="S728" s="2">
        <f>S727+IF(LEN($AC$728)&gt;0,1,0)</f>
        <v/>
      </c>
      <c r="T728" s="2">
        <f>T727+IF(LEN($AD$728)&gt;0,1,0)</f>
        <v/>
      </c>
      <c r="U728" s="2">
        <f>U727+IF(LEN($AE$728)&gt;0,1,0)</f>
        <v/>
      </c>
      <c r="V728" s="2">
        <f>V727+IF(LEN($AF$728)&gt;0,1,0)</f>
        <v/>
      </c>
      <c r="X728" s="2">
        <f>IF(ISERROR($B$728),"",IF(ISBLANK($B$728),"",$B$728))</f>
        <v/>
      </c>
      <c r="Y728" s="2">
        <f>IF(ISERROR($C$728),"",IF(ISBLANK($C$728),"",$C$728))</f>
        <v/>
      </c>
      <c r="Z728" s="2">
        <f>IF(ISERROR($D$728),"",IF(ISBLANK($D$728),"",$D$728))</f>
        <v/>
      </c>
      <c r="AA728" s="2">
        <f>IF(ISERROR($E$728),"",IF(ISBLANK($E$728),"",$E$728))</f>
        <v/>
      </c>
      <c r="AB728" s="2">
        <f>IF(ISERROR($F$728),"",IF(ISBLANK($F$728),"",$F$728))</f>
        <v/>
      </c>
      <c r="AC728" s="2">
        <f>IF(ISERROR($G$728),"",IF(ISBLANK($G$728),"",$G$728))</f>
        <v/>
      </c>
      <c r="AD728" s="2">
        <f>IF(ISERROR($H$728),"",IF(ISBLANK($H$728),"",$H$728))</f>
        <v/>
      </c>
      <c r="AE728" s="2">
        <f>IF(ISERROR($I$728),"",IF(ISBLANK($I$728),"",$I$728))</f>
        <v/>
      </c>
      <c r="AF728" s="2">
        <f>IF(ISERROR($J$728),"",IF(ISBLANK($J$728),"",$J$728))</f>
        <v/>
      </c>
      <c r="AG728" s="2">
        <f>ISERROR($B$728)*1+ISERROR($C$728)*1+ISERROR($D$728)*1+ISERROR($E$728)*1+ISERROR($F$728)*1+ISERROR($G$728)*1+ISERROR($H$728)*1+ISERROR($I$728)*1+ISERROR($J$728)*1</f>
        <v/>
      </c>
    </row>
    <row r="729" ht="26" customHeight="1">
      <c r="B729" s="8" t="inlineStr">
        <is>
          <t>Pista</t>
        </is>
      </c>
      <c r="C729" s="8" t="inlineStr">
        <is>
          <t>Bugiganga</t>
        </is>
      </c>
      <c r="D729" s="8" t="inlineStr">
        <is>
          <t>Nome do Cone (início)</t>
        </is>
      </c>
      <c r="E729" s="8" t="inlineStr">
        <is>
          <t>Nome do Cone (fim)</t>
        </is>
      </c>
      <c r="F729" s="8" t="inlineStr">
        <is>
          <t>Memória do Cone</t>
        </is>
      </c>
      <c r="G729" s="8" t="inlineStr">
        <is>
          <t>Gatilho do Efeito Condicional</t>
        </is>
      </c>
      <c r="H729" s="8" t="inlineStr">
        <is>
          <t>Nome do Conjunto</t>
        </is>
      </c>
      <c r="I729" s="8" t="inlineStr">
        <is>
          <t>Origem do Conjunto</t>
        </is>
      </c>
      <c r="J729" s="8" t="inlineStr">
        <is>
          <t>Efeito de 4 peças</t>
        </is>
      </c>
      <c r="N729" s="2">
        <f>N728</f>
        <v/>
      </c>
      <c r="O729" s="2">
        <f>O728</f>
        <v/>
      </c>
      <c r="P729" s="2">
        <f>P728</f>
        <v/>
      </c>
      <c r="Q729" s="2">
        <f>Q728</f>
        <v/>
      </c>
      <c r="R729" s="2">
        <f>R728</f>
        <v/>
      </c>
      <c r="S729" s="2">
        <f>S728</f>
        <v/>
      </c>
      <c r="T729" s="2">
        <f>T728</f>
        <v/>
      </c>
      <c r="U729" s="2">
        <f>U728</f>
        <v/>
      </c>
      <c r="V729" s="2">
        <f>V728</f>
        <v/>
      </c>
      <c r="X729" s="2">
        <f>IF(ISERROR($B$729),"",IF(ISBLANK($B$729),"",$B$729))</f>
        <v/>
      </c>
      <c r="Y729" s="2">
        <f>IF(ISERROR($C$729),"",IF(ISBLANK($C$729),"",$C$729))</f>
        <v/>
      </c>
      <c r="Z729" s="2">
        <f>IF(ISERROR($D$729),"",IF(ISBLANK($D$729),"",$D$729))</f>
        <v/>
      </c>
      <c r="AA729" s="2">
        <f>IF(ISERROR($E$729),"",IF(ISBLANK($E$729),"",$E$729))</f>
        <v/>
      </c>
      <c r="AB729" s="2">
        <f>IF(ISERROR($F$729),"",IF(ISBLANK($F$729),"",$F$729))</f>
        <v/>
      </c>
      <c r="AC729" s="2">
        <f>IF(ISERROR($G$729),"",IF(ISBLANK($G$729),"",$G$729))</f>
        <v/>
      </c>
      <c r="AD729" s="2">
        <f>IF(ISERROR($H$729),"",IF(ISBLANK($H$729),"",$H$729))</f>
        <v/>
      </c>
      <c r="AE729" s="2">
        <f>IF(ISERROR($I$729),"",IF(ISBLANK($I$729),"",$I$729))</f>
        <v/>
      </c>
      <c r="AF729" s="2">
        <f>IF(ISERROR($J$729),"",IF(ISBLANK($J$729),"",$J$729))</f>
        <v/>
      </c>
    </row>
    <row r="730" ht="26" customHeight="1">
      <c r="B730" s="33" t="n"/>
      <c r="C730" s="4" t="inlineStr">
        <is>
          <t>um fone de ouvido que capta uma rádio distante</t>
        </is>
      </c>
      <c r="D730" s="4" t="inlineStr">
        <is>
          <t>O Vento</t>
        </is>
      </c>
      <c r="E730" s="4" t="inlineStr">
        <is>
          <t>de Mil Noites</t>
        </is>
      </c>
      <c r="F730" s="4" t="inlineStr">
        <is>
          <t>o dia em que um farol voltou a acender</t>
        </is>
      </c>
      <c r="G730" s="4" t="n"/>
      <c r="H730" s="4" t="n"/>
      <c r="I730" s="4" t="n"/>
      <c r="J730" s="4" t="n"/>
      <c r="K730" s="19">
        <f>IF(AG730&gt;0,"O Google leu como fórmula: digite de novo com ' na frente.","")</f>
        <v/>
      </c>
      <c r="N730" s="2">
        <f>N729+IF(LEN($X$730)&gt;0,1,0)</f>
        <v/>
      </c>
      <c r="O730" s="2">
        <f>O729+IF(LEN($Y$730)&gt;0,1,0)</f>
        <v/>
      </c>
      <c r="P730" s="2">
        <f>P729+IF(LEN($Z$730)&gt;0,1,0)</f>
        <v/>
      </c>
      <c r="Q730" s="2">
        <f>Q729+IF(LEN($AA$730)&gt;0,1,0)</f>
        <v/>
      </c>
      <c r="R730" s="2">
        <f>R729+IF(LEN($AB$730)&gt;0,1,0)</f>
        <v/>
      </c>
      <c r="S730" s="2">
        <f>S729+IF(LEN($AC$730)&gt;0,1,0)</f>
        <v/>
      </c>
      <c r="T730" s="2">
        <f>T729+IF(LEN($AD$730)&gt;0,1,0)</f>
        <v/>
      </c>
      <c r="U730" s="2">
        <f>U729+IF(LEN($AE$730)&gt;0,1,0)</f>
        <v/>
      </c>
      <c r="V730" s="2">
        <f>V729+IF(LEN($AF$730)&gt;0,1,0)</f>
        <v/>
      </c>
      <c r="X730" s="2">
        <f>IF(ISERROR($B$730),"",IF(ISBLANK($B$730),"",$B$730))</f>
        <v/>
      </c>
      <c r="Y730" s="2">
        <f>IF(ISERROR($C$730),"",IF(ISBLANK($C$730),"",$C$730))</f>
        <v/>
      </c>
      <c r="Z730" s="2">
        <f>IF(ISERROR($D$730),"",IF(ISBLANK($D$730),"",$D$730))</f>
        <v/>
      </c>
      <c r="AA730" s="2">
        <f>IF(ISERROR($E$730),"",IF(ISBLANK($E$730),"",$E$730))</f>
        <v/>
      </c>
      <c r="AB730" s="2">
        <f>IF(ISERROR($F$730),"",IF(ISBLANK($F$730),"",$F$730))</f>
        <v/>
      </c>
      <c r="AC730" s="2">
        <f>IF(ISERROR($G$730),"",IF(ISBLANK($G$730),"",$G$730))</f>
        <v/>
      </c>
      <c r="AD730" s="2">
        <f>IF(ISERROR($H$730),"",IF(ISBLANK($H$730),"",$H$730))</f>
        <v/>
      </c>
      <c r="AE730" s="2">
        <f>IF(ISERROR($I$730),"",IF(ISBLANK($I$730),"",$I$730))</f>
        <v/>
      </c>
      <c r="AF730" s="2">
        <f>IF(ISERROR($J$730),"",IF(ISBLANK($J$730),"",$J$730))</f>
        <v/>
      </c>
      <c r="AG730" s="2">
        <f>ISERROR($B$730)*1+ISERROR($C$730)*1+ISERROR($D$730)*1+ISERROR($E$730)*1+ISERROR($F$730)*1+ISERROR($G$730)*1+ISERROR($H$730)*1+ISERROR($I$730)*1+ISERROR($J$730)*1</f>
        <v/>
      </c>
    </row>
    <row r="731" ht="26" customHeight="1">
      <c r="B731" s="35" t="n"/>
      <c r="C731" s="29" t="inlineStr">
        <is>
          <t>um vidro de perfume quase vazio</t>
        </is>
      </c>
      <c r="D731" s="29" t="inlineStr">
        <is>
          <t>A Porta</t>
        </is>
      </c>
      <c r="E731" s="29" t="inlineStr">
        <is>
          <t>por um Instante</t>
        </is>
      </c>
      <c r="F731" s="29" t="inlineStr">
        <is>
          <t>um beijo trocado sob uma chuva de meteoros</t>
        </is>
      </c>
      <c r="G731" s="29" t="n"/>
      <c r="H731" s="29" t="n"/>
      <c r="I731" s="29" t="n"/>
      <c r="J731" s="29" t="n"/>
      <c r="K731" s="19">
        <f>IF(AG731&gt;0,"O Google leu como fórmula: digite de novo com ' na frente.","")</f>
        <v/>
      </c>
      <c r="N731" s="2">
        <f>N730+IF(LEN($X$731)&gt;0,1,0)</f>
        <v/>
      </c>
      <c r="O731" s="2">
        <f>O730+IF(LEN($Y$731)&gt;0,1,0)</f>
        <v/>
      </c>
      <c r="P731" s="2">
        <f>P730+IF(LEN($Z$731)&gt;0,1,0)</f>
        <v/>
      </c>
      <c r="Q731" s="2">
        <f>Q730+IF(LEN($AA$731)&gt;0,1,0)</f>
        <v/>
      </c>
      <c r="R731" s="2">
        <f>R730+IF(LEN($AB$731)&gt;0,1,0)</f>
        <v/>
      </c>
      <c r="S731" s="2">
        <f>S730+IF(LEN($AC$731)&gt;0,1,0)</f>
        <v/>
      </c>
      <c r="T731" s="2">
        <f>T730+IF(LEN($AD$731)&gt;0,1,0)</f>
        <v/>
      </c>
      <c r="U731" s="2">
        <f>U730+IF(LEN($AE$731)&gt;0,1,0)</f>
        <v/>
      </c>
      <c r="V731" s="2">
        <f>V730+IF(LEN($AF$731)&gt;0,1,0)</f>
        <v/>
      </c>
      <c r="X731" s="2">
        <f>IF(ISERROR($B$731),"",IF(ISBLANK($B$731),"",$B$731))</f>
        <v/>
      </c>
      <c r="Y731" s="2">
        <f>IF(ISERROR($C$731),"",IF(ISBLANK($C$731),"",$C$731))</f>
        <v/>
      </c>
      <c r="Z731" s="2">
        <f>IF(ISERROR($D$731),"",IF(ISBLANK($D$731),"",$D$731))</f>
        <v/>
      </c>
      <c r="AA731" s="2">
        <f>IF(ISERROR($E$731),"",IF(ISBLANK($E$731),"",$E$731))</f>
        <v/>
      </c>
      <c r="AB731" s="2">
        <f>IF(ISERROR($F$731),"",IF(ISBLANK($F$731),"",$F$731))</f>
        <v/>
      </c>
      <c r="AC731" s="2">
        <f>IF(ISERROR($G$731),"",IF(ISBLANK($G$731),"",$G$731))</f>
        <v/>
      </c>
      <c r="AD731" s="2">
        <f>IF(ISERROR($H$731),"",IF(ISBLANK($H$731),"",$H$731))</f>
        <v/>
      </c>
      <c r="AE731" s="2">
        <f>IF(ISERROR($I$731),"",IF(ISBLANK($I$731),"",$I$731))</f>
        <v/>
      </c>
      <c r="AF731" s="2">
        <f>IF(ISERROR($J$731),"",IF(ISBLANK($J$731),"",$J$731))</f>
        <v/>
      </c>
      <c r="AG731" s="2">
        <f>ISERROR($B$731)*1+ISERROR($C$731)*1+ISERROR($D$731)*1+ISERROR($E$731)*1+ISERROR($F$731)*1+ISERROR($G$731)*1+ISERROR($H$731)*1+ISERROR($I$731)*1+ISERROR($J$731)*1</f>
        <v/>
      </c>
    </row>
    <row r="732" ht="26" customHeight="1">
      <c r="B732" s="33" t="n"/>
      <c r="C732" s="4" t="inlineStr">
        <is>
          <t>um ingresso rasgado de um circo</t>
        </is>
      </c>
      <c r="D732" s="4" t="inlineStr">
        <is>
          <t>O Livro</t>
        </is>
      </c>
      <c r="E732" s="4" t="inlineStr">
        <is>
          <t>Contra o Vento</t>
        </is>
      </c>
      <c r="F732" s="4" t="inlineStr">
        <is>
          <t>a última aula de um professor que perdeu a voz</t>
        </is>
      </c>
      <c r="G732" s="4" t="n"/>
      <c r="H732" s="4" t="n"/>
      <c r="I732" s="4" t="n"/>
      <c r="J732" s="4" t="n"/>
      <c r="K732" s="19">
        <f>IF(AG732&gt;0,"O Google leu como fórmula: digite de novo com ' na frente.","")</f>
        <v/>
      </c>
      <c r="N732" s="2">
        <f>N731+IF(LEN($X$732)&gt;0,1,0)</f>
        <v/>
      </c>
      <c r="O732" s="2">
        <f>O731+IF(LEN($Y$732)&gt;0,1,0)</f>
        <v/>
      </c>
      <c r="P732" s="2">
        <f>P731+IF(LEN($Z$732)&gt;0,1,0)</f>
        <v/>
      </c>
      <c r="Q732" s="2">
        <f>Q731+IF(LEN($AA$732)&gt;0,1,0)</f>
        <v/>
      </c>
      <c r="R732" s="2">
        <f>R731+IF(LEN($AB$732)&gt;0,1,0)</f>
        <v/>
      </c>
      <c r="S732" s="2">
        <f>S731+IF(LEN($AC$732)&gt;0,1,0)</f>
        <v/>
      </c>
      <c r="T732" s="2">
        <f>T731+IF(LEN($AD$732)&gt;0,1,0)</f>
        <v/>
      </c>
      <c r="U732" s="2">
        <f>U731+IF(LEN($AE$732)&gt;0,1,0)</f>
        <v/>
      </c>
      <c r="V732" s="2">
        <f>V731+IF(LEN($AF$732)&gt;0,1,0)</f>
        <v/>
      </c>
      <c r="X732" s="2">
        <f>IF(ISERROR($B$732),"",IF(ISBLANK($B$732),"",$B$732))</f>
        <v/>
      </c>
      <c r="Y732" s="2">
        <f>IF(ISERROR($C$732),"",IF(ISBLANK($C$732),"",$C$732))</f>
        <v/>
      </c>
      <c r="Z732" s="2">
        <f>IF(ISERROR($D$732),"",IF(ISBLANK($D$732),"",$D$732))</f>
        <v/>
      </c>
      <c r="AA732" s="2">
        <f>IF(ISERROR($E$732),"",IF(ISBLANK($E$732),"",$E$732))</f>
        <v/>
      </c>
      <c r="AB732" s="2">
        <f>IF(ISERROR($F$732),"",IF(ISBLANK($F$732),"",$F$732))</f>
        <v/>
      </c>
      <c r="AC732" s="2">
        <f>IF(ISERROR($G$732),"",IF(ISBLANK($G$732),"",$G$732))</f>
        <v/>
      </c>
      <c r="AD732" s="2">
        <f>IF(ISERROR($H$732),"",IF(ISBLANK($H$732),"",$H$732))</f>
        <v/>
      </c>
      <c r="AE732" s="2">
        <f>IF(ISERROR($I$732),"",IF(ISBLANK($I$732),"",$I$732))</f>
        <v/>
      </c>
      <c r="AF732" s="2">
        <f>IF(ISERROR($J$732),"",IF(ISBLANK($J$732),"",$J$732))</f>
        <v/>
      </c>
      <c r="AG732" s="2">
        <f>ISERROR($B$732)*1+ISERROR($C$732)*1+ISERROR($D$732)*1+ISERROR($E$732)*1+ISERROR($F$732)*1+ISERROR($G$732)*1+ISERROR($H$732)*1+ISERROR($I$732)*1+ISERROR($J$732)*1</f>
        <v/>
      </c>
    </row>
    <row r="733" ht="37" customHeight="1">
      <c r="B733" s="35" t="n"/>
      <c r="C733" s="29" t="inlineStr">
        <is>
          <t>uma pedra lisa que flutua um dedo acima da mão</t>
        </is>
      </c>
      <c r="D733" s="29" t="inlineStr">
        <is>
          <t>A Dança</t>
        </is>
      </c>
      <c r="E733" s="29" t="inlineStr">
        <is>
          <t>Até Logo</t>
        </is>
      </c>
      <c r="F733" s="29" t="inlineStr">
        <is>
          <t>a noite em que uma colônia inteira cantou para não ter medo</t>
        </is>
      </c>
      <c r="G733" s="29" t="n"/>
      <c r="H733" s="29" t="n"/>
      <c r="I733" s="29" t="n"/>
      <c r="J733" s="29" t="n"/>
      <c r="K733" s="19">
        <f>IF(AG733&gt;0,"O Google leu como fórmula: digite de novo com ' na frente.","")</f>
        <v/>
      </c>
      <c r="N733" s="2">
        <f>N732+IF(LEN($X$733)&gt;0,1,0)</f>
        <v/>
      </c>
      <c r="O733" s="2">
        <f>O732+IF(LEN($Y$733)&gt;0,1,0)</f>
        <v/>
      </c>
      <c r="P733" s="2">
        <f>P732+IF(LEN($Z$733)&gt;0,1,0)</f>
        <v/>
      </c>
      <c r="Q733" s="2">
        <f>Q732+IF(LEN($AA$733)&gt;0,1,0)</f>
        <v/>
      </c>
      <c r="R733" s="2">
        <f>R732+IF(LEN($AB$733)&gt;0,1,0)</f>
        <v/>
      </c>
      <c r="S733" s="2">
        <f>S732+IF(LEN($AC$733)&gt;0,1,0)</f>
        <v/>
      </c>
      <c r="T733" s="2">
        <f>T732+IF(LEN($AD$733)&gt;0,1,0)</f>
        <v/>
      </c>
      <c r="U733" s="2">
        <f>U732+IF(LEN($AE$733)&gt;0,1,0)</f>
        <v/>
      </c>
      <c r="V733" s="2">
        <f>V732+IF(LEN($AF$733)&gt;0,1,0)</f>
        <v/>
      </c>
      <c r="X733" s="2">
        <f>IF(ISERROR($B$733),"",IF(ISBLANK($B$733),"",$B$733))</f>
        <v/>
      </c>
      <c r="Y733" s="2">
        <f>IF(ISERROR($C$733),"",IF(ISBLANK($C$733),"",$C$733))</f>
        <v/>
      </c>
      <c r="Z733" s="2">
        <f>IF(ISERROR($D$733),"",IF(ISBLANK($D$733),"",$D$733))</f>
        <v/>
      </c>
      <c r="AA733" s="2">
        <f>IF(ISERROR($E$733),"",IF(ISBLANK($E$733),"",$E$733))</f>
        <v/>
      </c>
      <c r="AB733" s="2">
        <f>IF(ISERROR($F$733),"",IF(ISBLANK($F$733),"",$F$733))</f>
        <v/>
      </c>
      <c r="AC733" s="2">
        <f>IF(ISERROR($G$733),"",IF(ISBLANK($G$733),"",$G$733))</f>
        <v/>
      </c>
      <c r="AD733" s="2">
        <f>IF(ISERROR($H$733),"",IF(ISBLANK($H$733),"",$H$733))</f>
        <v/>
      </c>
      <c r="AE733" s="2">
        <f>IF(ISERROR($I$733),"",IF(ISBLANK($I$733),"",$I$733))</f>
        <v/>
      </c>
      <c r="AF733" s="2">
        <f>IF(ISERROR($J$733),"",IF(ISBLANK($J$733),"",$J$733))</f>
        <v/>
      </c>
      <c r="AG733" s="2">
        <f>ISERROR($B$733)*1+ISERROR($C$733)*1+ISERROR($D$733)*1+ISERROR($E$733)*1+ISERROR($F$733)*1+ISERROR($G$733)*1+ISERROR($H$733)*1+ISERROR($I$733)*1+ISERROR($J$733)*1</f>
        <v/>
      </c>
    </row>
    <row r="734" ht="26" customHeight="1">
      <c r="B734" s="33" t="n"/>
      <c r="C734" s="4" t="inlineStr">
        <is>
          <t>um pião de metal que gira por horas</t>
        </is>
      </c>
      <c r="D734" s="4" t="inlineStr">
        <is>
          <t>O Juramento</t>
        </is>
      </c>
      <c r="E734" s="4" t="n"/>
      <c r="F734" s="4" t="inlineStr">
        <is>
          <t>o sacrifício de uma tripulação para fechar um lacre</t>
        </is>
      </c>
      <c r="G734" s="4" t="n"/>
      <c r="H734" s="4" t="n"/>
      <c r="I734" s="4" t="n"/>
      <c r="J734" s="4" t="n"/>
      <c r="K734" s="19">
        <f>IF(AG734&gt;0,"O Google leu como fórmula: digite de novo com ' na frente.","")</f>
        <v/>
      </c>
      <c r="N734" s="2">
        <f>N733+IF(LEN($X$734)&gt;0,1,0)</f>
        <v/>
      </c>
      <c r="O734" s="2">
        <f>O733+IF(LEN($Y$734)&gt;0,1,0)</f>
        <v/>
      </c>
      <c r="P734" s="2">
        <f>P733+IF(LEN($Z$734)&gt;0,1,0)</f>
        <v/>
      </c>
      <c r="Q734" s="2">
        <f>Q733+IF(LEN($AA$734)&gt;0,1,0)</f>
        <v/>
      </c>
      <c r="R734" s="2">
        <f>R733+IF(LEN($AB$734)&gt;0,1,0)</f>
        <v/>
      </c>
      <c r="S734" s="2">
        <f>S733+IF(LEN($AC$734)&gt;0,1,0)</f>
        <v/>
      </c>
      <c r="T734" s="2">
        <f>T733+IF(LEN($AD$734)&gt;0,1,0)</f>
        <v/>
      </c>
      <c r="U734" s="2">
        <f>U733+IF(LEN($AE$734)&gt;0,1,0)</f>
        <v/>
      </c>
      <c r="V734" s="2">
        <f>V733+IF(LEN($AF$734)&gt;0,1,0)</f>
        <v/>
      </c>
      <c r="X734" s="2">
        <f>IF(ISERROR($B$734),"",IF(ISBLANK($B$734),"",$B$734))</f>
        <v/>
      </c>
      <c r="Y734" s="2">
        <f>IF(ISERROR($C$734),"",IF(ISBLANK($C$734),"",$C$734))</f>
        <v/>
      </c>
      <c r="Z734" s="2">
        <f>IF(ISERROR($D$734),"",IF(ISBLANK($D$734),"",$D$734))</f>
        <v/>
      </c>
      <c r="AA734" s="2">
        <f>IF(ISERROR($E$734),"",IF(ISBLANK($E$734),"",$E$734))</f>
        <v/>
      </c>
      <c r="AB734" s="2">
        <f>IF(ISERROR($F$734),"",IF(ISBLANK($F$734),"",$F$734))</f>
        <v/>
      </c>
      <c r="AC734" s="2">
        <f>IF(ISERROR($G$734),"",IF(ISBLANK($G$734),"",$G$734))</f>
        <v/>
      </c>
      <c r="AD734" s="2">
        <f>IF(ISERROR($H$734),"",IF(ISBLANK($H$734),"",$H$734))</f>
        <v/>
      </c>
      <c r="AE734" s="2">
        <f>IF(ISERROR($I$734),"",IF(ISBLANK($I$734),"",$I$734))</f>
        <v/>
      </c>
      <c r="AF734" s="2">
        <f>IF(ISERROR($J$734),"",IF(ISBLANK($J$734),"",$J$734))</f>
        <v/>
      </c>
      <c r="AG734" s="2">
        <f>ISERROR($B$734)*1+ISERROR($C$734)*1+ISERROR($D$734)*1+ISERROR($E$734)*1+ISERROR($F$734)*1+ISERROR($G$734)*1+ISERROR($H$734)*1+ISERROR($I$734)*1+ISERROR($J$734)*1</f>
        <v/>
      </c>
    </row>
    <row r="735" ht="26" customHeight="1">
      <c r="B735" s="35" t="n"/>
      <c r="C735" s="29" t="inlineStr">
        <is>
          <t>uma luva de criança</t>
        </is>
      </c>
      <c r="D735" s="29" t="n"/>
      <c r="E735" s="29" t="n"/>
      <c r="F735" s="29" t="n"/>
      <c r="G735" s="29" t="n"/>
      <c r="H735" s="29" t="n"/>
      <c r="I735" s="29" t="n"/>
      <c r="J735" s="29" t="n"/>
      <c r="K735" s="19">
        <f>IF(AG735&gt;0,"O Google leu como fórmula: digite de novo com ' na frente.","")</f>
        <v/>
      </c>
      <c r="N735" s="2">
        <f>N734+IF(LEN($X$735)&gt;0,1,0)</f>
        <v/>
      </c>
      <c r="O735" s="2">
        <f>O734+IF(LEN($Y$735)&gt;0,1,0)</f>
        <v/>
      </c>
      <c r="P735" s="2">
        <f>P734+IF(LEN($Z$735)&gt;0,1,0)</f>
        <v/>
      </c>
      <c r="Q735" s="2">
        <f>Q734+IF(LEN($AA$735)&gt;0,1,0)</f>
        <v/>
      </c>
      <c r="R735" s="2">
        <f>R734+IF(LEN($AB$735)&gt;0,1,0)</f>
        <v/>
      </c>
      <c r="S735" s="2">
        <f>S734+IF(LEN($AC$735)&gt;0,1,0)</f>
        <v/>
      </c>
      <c r="T735" s="2">
        <f>T734+IF(LEN($AD$735)&gt;0,1,0)</f>
        <v/>
      </c>
      <c r="U735" s="2">
        <f>U734+IF(LEN($AE$735)&gt;0,1,0)</f>
        <v/>
      </c>
      <c r="V735" s="2">
        <f>V734+IF(LEN($AF$735)&gt;0,1,0)</f>
        <v/>
      </c>
      <c r="X735" s="2">
        <f>IF(ISERROR($B$735),"",IF(ISBLANK($B$735),"",$B$735))</f>
        <v/>
      </c>
      <c r="Y735" s="2">
        <f>IF(ISERROR($C$735),"",IF(ISBLANK($C$735),"",$C$735))</f>
        <v/>
      </c>
      <c r="Z735" s="2">
        <f>IF(ISERROR($D$735),"",IF(ISBLANK($D$735),"",$D$735))</f>
        <v/>
      </c>
      <c r="AA735" s="2">
        <f>IF(ISERROR($E$735),"",IF(ISBLANK($E$735),"",$E$735))</f>
        <v/>
      </c>
      <c r="AB735" s="2">
        <f>IF(ISERROR($F$735),"",IF(ISBLANK($F$735),"",$F$735))</f>
        <v/>
      </c>
      <c r="AC735" s="2">
        <f>IF(ISERROR($G$735),"",IF(ISBLANK($G$735),"",$G$735))</f>
        <v/>
      </c>
      <c r="AD735" s="2">
        <f>IF(ISERROR($H$735),"",IF(ISBLANK($H$735),"",$H$735))</f>
        <v/>
      </c>
      <c r="AE735" s="2">
        <f>IF(ISERROR($I$735),"",IF(ISBLANK($I$735),"",$I$735))</f>
        <v/>
      </c>
      <c r="AF735" s="2">
        <f>IF(ISERROR($J$735),"",IF(ISBLANK($J$735),"",$J$735))</f>
        <v/>
      </c>
      <c r="AG735" s="2">
        <f>ISERROR($B$735)*1+ISERROR($C$735)*1+ISERROR($D$735)*1+ISERROR($E$735)*1+ISERROR($F$735)*1+ISERROR($G$735)*1+ISERROR($H$735)*1+ISERROR($I$735)*1+ISERROR($J$735)*1</f>
        <v/>
      </c>
    </row>
    <row r="736" ht="26" customHeight="1">
      <c r="B736" s="33" t="n"/>
      <c r="C736" s="4" t="inlineStr">
        <is>
          <t>um crachá de visitante do Vértice-9</t>
        </is>
      </c>
      <c r="D736" s="4" t="n"/>
      <c r="E736" s="4" t="n"/>
      <c r="F736" s="4" t="n"/>
      <c r="G736" s="4" t="n"/>
      <c r="H736" s="4" t="n"/>
      <c r="I736" s="4" t="n"/>
      <c r="J736" s="4" t="n"/>
      <c r="K736" s="19">
        <f>IF(AG736&gt;0,"O Google leu como fórmula: digite de novo com ' na frente.","")</f>
        <v/>
      </c>
      <c r="N736" s="2">
        <f>N735+IF(LEN($X$736)&gt;0,1,0)</f>
        <v/>
      </c>
      <c r="O736" s="2">
        <f>O735+IF(LEN($Y$736)&gt;0,1,0)</f>
        <v/>
      </c>
      <c r="P736" s="2">
        <f>P735+IF(LEN($Z$736)&gt;0,1,0)</f>
        <v/>
      </c>
      <c r="Q736" s="2">
        <f>Q735+IF(LEN($AA$736)&gt;0,1,0)</f>
        <v/>
      </c>
      <c r="R736" s="2">
        <f>R735+IF(LEN($AB$736)&gt;0,1,0)</f>
        <v/>
      </c>
      <c r="S736" s="2">
        <f>S735+IF(LEN($AC$736)&gt;0,1,0)</f>
        <v/>
      </c>
      <c r="T736" s="2">
        <f>T735+IF(LEN($AD$736)&gt;0,1,0)</f>
        <v/>
      </c>
      <c r="U736" s="2">
        <f>U735+IF(LEN($AE$736)&gt;0,1,0)</f>
        <v/>
      </c>
      <c r="V736" s="2">
        <f>V735+IF(LEN($AF$736)&gt;0,1,0)</f>
        <v/>
      </c>
      <c r="X736" s="2">
        <f>IF(ISERROR($B$736),"",IF(ISBLANK($B$736),"",$B$736))</f>
        <v/>
      </c>
      <c r="Y736" s="2">
        <f>IF(ISERROR($C$736),"",IF(ISBLANK($C$736),"",$C$736))</f>
        <v/>
      </c>
      <c r="Z736" s="2">
        <f>IF(ISERROR($D$736),"",IF(ISBLANK($D$736),"",$D$736))</f>
        <v/>
      </c>
      <c r="AA736" s="2">
        <f>IF(ISERROR($E$736),"",IF(ISBLANK($E$736),"",$E$736))</f>
        <v/>
      </c>
      <c r="AB736" s="2">
        <f>IF(ISERROR($F$736),"",IF(ISBLANK($F$736),"",$F$736))</f>
        <v/>
      </c>
      <c r="AC736" s="2">
        <f>IF(ISERROR($G$736),"",IF(ISBLANK($G$736),"",$G$736))</f>
        <v/>
      </c>
      <c r="AD736" s="2">
        <f>IF(ISERROR($H$736),"",IF(ISBLANK($H$736),"",$H$736))</f>
        <v/>
      </c>
      <c r="AE736" s="2">
        <f>IF(ISERROR($I$736),"",IF(ISBLANK($I$736),"",$I$736))</f>
        <v/>
      </c>
      <c r="AF736" s="2">
        <f>IF(ISERROR($J$736),"",IF(ISBLANK($J$736),"",$J$736))</f>
        <v/>
      </c>
      <c r="AG736" s="2">
        <f>ISERROR($B$736)*1+ISERROR($C$736)*1+ISERROR($D$736)*1+ISERROR($E$736)*1+ISERROR($F$736)*1+ISERROR($G$736)*1+ISERROR($H$736)*1+ISERROR($I$736)*1+ISERROR($J$736)*1</f>
        <v/>
      </c>
    </row>
    <row r="737" ht="26" customHeight="1">
      <c r="B737" s="35" t="n"/>
      <c r="C737" s="29" t="inlineStr">
        <is>
          <t>um parafuso de ouro</t>
        </is>
      </c>
      <c r="D737" s="29" t="n"/>
      <c r="E737" s="29" t="n"/>
      <c r="F737" s="29" t="n"/>
      <c r="G737" s="29" t="n"/>
      <c r="H737" s="29" t="n"/>
      <c r="I737" s="29" t="n"/>
      <c r="J737" s="29" t="n"/>
      <c r="K737" s="19">
        <f>IF(AG737&gt;0,"O Google leu como fórmula: digite de novo com ' na frente.","")</f>
        <v/>
      </c>
      <c r="N737" s="2">
        <f>N736+IF(LEN($X$737)&gt;0,1,0)</f>
        <v/>
      </c>
      <c r="O737" s="2">
        <f>O736+IF(LEN($Y$737)&gt;0,1,0)</f>
        <v/>
      </c>
      <c r="P737" s="2">
        <f>P736+IF(LEN($Z$737)&gt;0,1,0)</f>
        <v/>
      </c>
      <c r="Q737" s="2">
        <f>Q736+IF(LEN($AA$737)&gt;0,1,0)</f>
        <v/>
      </c>
      <c r="R737" s="2">
        <f>R736+IF(LEN($AB$737)&gt;0,1,0)</f>
        <v/>
      </c>
      <c r="S737" s="2">
        <f>S736+IF(LEN($AC$737)&gt;0,1,0)</f>
        <v/>
      </c>
      <c r="T737" s="2">
        <f>T736+IF(LEN($AD$737)&gt;0,1,0)</f>
        <v/>
      </c>
      <c r="U737" s="2">
        <f>U736+IF(LEN($AE$737)&gt;0,1,0)</f>
        <v/>
      </c>
      <c r="V737" s="2">
        <f>V736+IF(LEN($AF$737)&gt;0,1,0)</f>
        <v/>
      </c>
      <c r="X737" s="2">
        <f>IF(ISERROR($B$737),"",IF(ISBLANK($B$737),"",$B$737))</f>
        <v/>
      </c>
      <c r="Y737" s="2">
        <f>IF(ISERROR($C$737),"",IF(ISBLANK($C$737),"",$C$737))</f>
        <v/>
      </c>
      <c r="Z737" s="2">
        <f>IF(ISERROR($D$737),"",IF(ISBLANK($D$737),"",$D$737))</f>
        <v/>
      </c>
      <c r="AA737" s="2">
        <f>IF(ISERROR($E$737),"",IF(ISBLANK($E$737),"",$E$737))</f>
        <v/>
      </c>
      <c r="AB737" s="2">
        <f>IF(ISERROR($F$737),"",IF(ISBLANK($F$737),"",$F$737))</f>
        <v/>
      </c>
      <c r="AC737" s="2">
        <f>IF(ISERROR($G$737),"",IF(ISBLANK($G$737),"",$G$737))</f>
        <v/>
      </c>
      <c r="AD737" s="2">
        <f>IF(ISERROR($H$737),"",IF(ISBLANK($H$737),"",$H$737))</f>
        <v/>
      </c>
      <c r="AE737" s="2">
        <f>IF(ISERROR($I$737),"",IF(ISBLANK($I$737),"",$I$737))</f>
        <v/>
      </c>
      <c r="AF737" s="2">
        <f>IF(ISERROR($J$737),"",IF(ISBLANK($J$737),"",$J$737))</f>
        <v/>
      </c>
      <c r="AG737" s="2">
        <f>ISERROR($B$737)*1+ISERROR($C$737)*1+ISERROR($D$737)*1+ISERROR($E$737)*1+ISERROR($F$737)*1+ISERROR($G$737)*1+ISERROR($H$737)*1+ISERROR($I$737)*1+ISERROR($J$737)*1</f>
        <v/>
      </c>
    </row>
    <row r="738" ht="26" customHeight="1">
      <c r="B738" s="33" t="n"/>
      <c r="C738" s="4" t="inlineStr">
        <is>
          <t>um pote de tinta que muda de cor</t>
        </is>
      </c>
      <c r="D738" s="4" t="n"/>
      <c r="E738" s="4" t="n"/>
      <c r="F738" s="4" t="n"/>
      <c r="G738" s="4" t="n"/>
      <c r="H738" s="4" t="n"/>
      <c r="I738" s="4" t="n"/>
      <c r="J738" s="4" t="n"/>
      <c r="K738" s="19">
        <f>IF(AG738&gt;0,"O Google leu como fórmula: digite de novo com ' na frente.","")</f>
        <v/>
      </c>
      <c r="N738" s="2">
        <f>N737+IF(LEN($X$738)&gt;0,1,0)</f>
        <v/>
      </c>
      <c r="O738" s="2">
        <f>O737+IF(LEN($Y$738)&gt;0,1,0)</f>
        <v/>
      </c>
      <c r="P738" s="2">
        <f>P737+IF(LEN($Z$738)&gt;0,1,0)</f>
        <v/>
      </c>
      <c r="Q738" s="2">
        <f>Q737+IF(LEN($AA$738)&gt;0,1,0)</f>
        <v/>
      </c>
      <c r="R738" s="2">
        <f>R737+IF(LEN($AB$738)&gt;0,1,0)</f>
        <v/>
      </c>
      <c r="S738" s="2">
        <f>S737+IF(LEN($AC$738)&gt;0,1,0)</f>
        <v/>
      </c>
      <c r="T738" s="2">
        <f>T737+IF(LEN($AD$738)&gt;0,1,0)</f>
        <v/>
      </c>
      <c r="U738" s="2">
        <f>U737+IF(LEN($AE$738)&gt;0,1,0)</f>
        <v/>
      </c>
      <c r="V738" s="2">
        <f>V737+IF(LEN($AF$738)&gt;0,1,0)</f>
        <v/>
      </c>
      <c r="X738" s="2">
        <f>IF(ISERROR($B$738),"",IF(ISBLANK($B$738),"",$B$738))</f>
        <v/>
      </c>
      <c r="Y738" s="2">
        <f>IF(ISERROR($C$738),"",IF(ISBLANK($C$738),"",$C$738))</f>
        <v/>
      </c>
      <c r="Z738" s="2">
        <f>IF(ISERROR($D$738),"",IF(ISBLANK($D$738),"",$D$738))</f>
        <v/>
      </c>
      <c r="AA738" s="2">
        <f>IF(ISERROR($E$738),"",IF(ISBLANK($E$738),"",$E$738))</f>
        <v/>
      </c>
      <c r="AB738" s="2">
        <f>IF(ISERROR($F$738),"",IF(ISBLANK($F$738),"",$F$738))</f>
        <v/>
      </c>
      <c r="AC738" s="2">
        <f>IF(ISERROR($G$738),"",IF(ISBLANK($G$738),"",$G$738))</f>
        <v/>
      </c>
      <c r="AD738" s="2">
        <f>IF(ISERROR($H$738),"",IF(ISBLANK($H$738),"",$H$738))</f>
        <v/>
      </c>
      <c r="AE738" s="2">
        <f>IF(ISERROR($I$738),"",IF(ISBLANK($I$738),"",$I$738))</f>
        <v/>
      </c>
      <c r="AF738" s="2">
        <f>IF(ISERROR($J$738),"",IF(ISBLANK($J$738),"",$J$738))</f>
        <v/>
      </c>
      <c r="AG738" s="2">
        <f>ISERROR($B$738)*1+ISERROR($C$738)*1+ISERROR($D$738)*1+ISERROR($E$738)*1+ISERROR($F$738)*1+ISERROR($G$738)*1+ISERROR($H$738)*1+ISERROR($I$738)*1+ISERROR($J$738)*1</f>
        <v/>
      </c>
    </row>
    <row r="739" ht="26" customHeight="1">
      <c r="B739" s="35" t="n"/>
      <c r="C739" s="29" t="inlineStr">
        <is>
          <t>um mapa estelar bordado num pano</t>
        </is>
      </c>
      <c r="D739" s="29" t="n"/>
      <c r="E739" s="29" t="n"/>
      <c r="F739" s="29" t="n"/>
      <c r="G739" s="29" t="n"/>
      <c r="H739" s="29" t="n"/>
      <c r="I739" s="29" t="n"/>
      <c r="J739" s="29" t="n"/>
      <c r="K739" s="19">
        <f>IF(AG739&gt;0,"O Google leu como fórmula: digite de novo com ' na frente.","")</f>
        <v/>
      </c>
      <c r="N739" s="2">
        <f>N738+IF(LEN($X$739)&gt;0,1,0)</f>
        <v/>
      </c>
      <c r="O739" s="2">
        <f>O738+IF(LEN($Y$739)&gt;0,1,0)</f>
        <v/>
      </c>
      <c r="P739" s="2">
        <f>P738+IF(LEN($Z$739)&gt;0,1,0)</f>
        <v/>
      </c>
      <c r="Q739" s="2">
        <f>Q738+IF(LEN($AA$739)&gt;0,1,0)</f>
        <v/>
      </c>
      <c r="R739" s="2">
        <f>R738+IF(LEN($AB$739)&gt;0,1,0)</f>
        <v/>
      </c>
      <c r="S739" s="2">
        <f>S738+IF(LEN($AC$739)&gt;0,1,0)</f>
        <v/>
      </c>
      <c r="T739" s="2">
        <f>T738+IF(LEN($AD$739)&gt;0,1,0)</f>
        <v/>
      </c>
      <c r="U739" s="2">
        <f>U738+IF(LEN($AE$739)&gt;0,1,0)</f>
        <v/>
      </c>
      <c r="V739" s="2">
        <f>V738+IF(LEN($AF$739)&gt;0,1,0)</f>
        <v/>
      </c>
      <c r="X739" s="2">
        <f>IF(ISERROR($B$739),"",IF(ISBLANK($B$739),"",$B$739))</f>
        <v/>
      </c>
      <c r="Y739" s="2">
        <f>IF(ISERROR($C$739),"",IF(ISBLANK($C$739),"",$C$739))</f>
        <v/>
      </c>
      <c r="Z739" s="2">
        <f>IF(ISERROR($D$739),"",IF(ISBLANK($D$739),"",$D$739))</f>
        <v/>
      </c>
      <c r="AA739" s="2">
        <f>IF(ISERROR($E$739),"",IF(ISBLANK($E$739),"",$E$739))</f>
        <v/>
      </c>
      <c r="AB739" s="2">
        <f>IF(ISERROR($F$739),"",IF(ISBLANK($F$739),"",$F$739))</f>
        <v/>
      </c>
      <c r="AC739" s="2">
        <f>IF(ISERROR($G$739),"",IF(ISBLANK($G$739),"",$G$739))</f>
        <v/>
      </c>
      <c r="AD739" s="2">
        <f>IF(ISERROR($H$739),"",IF(ISBLANK($H$739),"",$H$739))</f>
        <v/>
      </c>
      <c r="AE739" s="2">
        <f>IF(ISERROR($I$739),"",IF(ISBLANK($I$739),"",$I$739))</f>
        <v/>
      </c>
      <c r="AF739" s="2">
        <f>IF(ISERROR($J$739),"",IF(ISBLANK($J$739),"",$J$739))</f>
        <v/>
      </c>
      <c r="AG739" s="2">
        <f>ISERROR($B$739)*1+ISERROR($C$739)*1+ISERROR($D$739)*1+ISERROR($E$739)*1+ISERROR($F$739)*1+ISERROR($G$739)*1+ISERROR($H$739)*1+ISERROR($I$739)*1+ISERROR($J$739)*1</f>
        <v/>
      </c>
    </row>
    <row r="740" ht="26" customHeight="1">
      <c r="B740" s="33" t="n"/>
      <c r="C740" s="4" t="inlineStr">
        <is>
          <t>uma faca de cozinha com cabo de coral</t>
        </is>
      </c>
      <c r="D740" s="4" t="n"/>
      <c r="E740" s="4" t="n"/>
      <c r="F740" s="4" t="n"/>
      <c r="G740" s="4" t="n"/>
      <c r="H740" s="4" t="n"/>
      <c r="I740" s="4" t="n"/>
      <c r="J740" s="4" t="n"/>
      <c r="K740" s="19">
        <f>IF(AG740&gt;0,"O Google leu como fórmula: digite de novo com ' na frente.","")</f>
        <v/>
      </c>
      <c r="N740" s="2">
        <f>N739+IF(LEN($X$740)&gt;0,1,0)</f>
        <v/>
      </c>
      <c r="O740" s="2">
        <f>O739+IF(LEN($Y$740)&gt;0,1,0)</f>
        <v/>
      </c>
      <c r="P740" s="2">
        <f>P739+IF(LEN($Z$740)&gt;0,1,0)</f>
        <v/>
      </c>
      <c r="Q740" s="2">
        <f>Q739+IF(LEN($AA$740)&gt;0,1,0)</f>
        <v/>
      </c>
      <c r="R740" s="2">
        <f>R739+IF(LEN($AB$740)&gt;0,1,0)</f>
        <v/>
      </c>
      <c r="S740" s="2">
        <f>S739+IF(LEN($AC$740)&gt;0,1,0)</f>
        <v/>
      </c>
      <c r="T740" s="2">
        <f>T739+IF(LEN($AD$740)&gt;0,1,0)</f>
        <v/>
      </c>
      <c r="U740" s="2">
        <f>U739+IF(LEN($AE$740)&gt;0,1,0)</f>
        <v/>
      </c>
      <c r="V740" s="2">
        <f>V739+IF(LEN($AF$740)&gt;0,1,0)</f>
        <v/>
      </c>
      <c r="X740" s="2">
        <f>IF(ISERROR($B$740),"",IF(ISBLANK($B$740),"",$B$740))</f>
        <v/>
      </c>
      <c r="Y740" s="2">
        <f>IF(ISERROR($C$740),"",IF(ISBLANK($C$740),"",$C$740))</f>
        <v/>
      </c>
      <c r="Z740" s="2">
        <f>IF(ISERROR($D$740),"",IF(ISBLANK($D$740),"",$D$740))</f>
        <v/>
      </c>
      <c r="AA740" s="2">
        <f>IF(ISERROR($E$740),"",IF(ISBLANK($E$740),"",$E$740))</f>
        <v/>
      </c>
      <c r="AB740" s="2">
        <f>IF(ISERROR($F$740),"",IF(ISBLANK($F$740),"",$F$740))</f>
        <v/>
      </c>
      <c r="AC740" s="2">
        <f>IF(ISERROR($G$740),"",IF(ISBLANK($G$740),"",$G$740))</f>
        <v/>
      </c>
      <c r="AD740" s="2">
        <f>IF(ISERROR($H$740),"",IF(ISBLANK($H$740),"",$H$740))</f>
        <v/>
      </c>
      <c r="AE740" s="2">
        <f>IF(ISERROR($I$740),"",IF(ISBLANK($I$740),"",$I$740))</f>
        <v/>
      </c>
      <c r="AF740" s="2">
        <f>IF(ISERROR($J$740),"",IF(ISBLANK($J$740),"",$J$740))</f>
        <v/>
      </c>
      <c r="AG740" s="2">
        <f>ISERROR($B$740)*1+ISERROR($C$740)*1+ISERROR($D$740)*1+ISERROR($E$740)*1+ISERROR($F$740)*1+ISERROR($G$740)*1+ISERROR($H$740)*1+ISERROR($I$740)*1+ISERROR($J$740)*1</f>
        <v/>
      </c>
    </row>
    <row r="741" ht="26" customHeight="1">
      <c r="B741" s="35" t="n"/>
      <c r="C741" s="29" t="inlineStr">
        <is>
          <t>um tabuleiro de xadrez com uma peça a mais</t>
        </is>
      </c>
      <c r="D741" s="29" t="n"/>
      <c r="E741" s="29" t="n"/>
      <c r="F741" s="29" t="n"/>
      <c r="G741" s="29" t="n"/>
      <c r="H741" s="29" t="n"/>
      <c r="I741" s="29" t="n"/>
      <c r="J741" s="29" t="n"/>
      <c r="K741" s="19">
        <f>IF(AG741&gt;0,"O Google leu como fórmula: digite de novo com ' na frente.","")</f>
        <v/>
      </c>
      <c r="N741" s="2">
        <f>N740+IF(LEN($X$741)&gt;0,1,0)</f>
        <v/>
      </c>
      <c r="O741" s="2">
        <f>O740+IF(LEN($Y$741)&gt;0,1,0)</f>
        <v/>
      </c>
      <c r="P741" s="2">
        <f>P740+IF(LEN($Z$741)&gt;0,1,0)</f>
        <v/>
      </c>
      <c r="Q741" s="2">
        <f>Q740+IF(LEN($AA$741)&gt;0,1,0)</f>
        <v/>
      </c>
      <c r="R741" s="2">
        <f>R740+IF(LEN($AB$741)&gt;0,1,0)</f>
        <v/>
      </c>
      <c r="S741" s="2">
        <f>S740+IF(LEN($AC$741)&gt;0,1,0)</f>
        <v/>
      </c>
      <c r="T741" s="2">
        <f>T740+IF(LEN($AD$741)&gt;0,1,0)</f>
        <v/>
      </c>
      <c r="U741" s="2">
        <f>U740+IF(LEN($AE$741)&gt;0,1,0)</f>
        <v/>
      </c>
      <c r="V741" s="2">
        <f>V740+IF(LEN($AF$741)&gt;0,1,0)</f>
        <v/>
      </c>
      <c r="X741" s="2">
        <f>IF(ISERROR($B$741),"",IF(ISBLANK($B$741),"",$B$741))</f>
        <v/>
      </c>
      <c r="Y741" s="2">
        <f>IF(ISERROR($C$741),"",IF(ISBLANK($C$741),"",$C$741))</f>
        <v/>
      </c>
      <c r="Z741" s="2">
        <f>IF(ISERROR($D$741),"",IF(ISBLANK($D$741),"",$D$741))</f>
        <v/>
      </c>
      <c r="AA741" s="2">
        <f>IF(ISERROR($E$741),"",IF(ISBLANK($E$741),"",$E$741))</f>
        <v/>
      </c>
      <c r="AB741" s="2">
        <f>IF(ISERROR($F$741),"",IF(ISBLANK($F$741),"",$F$741))</f>
        <v/>
      </c>
      <c r="AC741" s="2">
        <f>IF(ISERROR($G$741),"",IF(ISBLANK($G$741),"",$G$741))</f>
        <v/>
      </c>
      <c r="AD741" s="2">
        <f>IF(ISERROR($H$741),"",IF(ISBLANK($H$741),"",$H$741))</f>
        <v/>
      </c>
      <c r="AE741" s="2">
        <f>IF(ISERROR($I$741),"",IF(ISBLANK($I$741),"",$I$741))</f>
        <v/>
      </c>
      <c r="AF741" s="2">
        <f>IF(ISERROR($J$741),"",IF(ISBLANK($J$741),"",$J$741))</f>
        <v/>
      </c>
      <c r="AG741" s="2">
        <f>ISERROR($B$741)*1+ISERROR($C$741)*1+ISERROR($D$741)*1+ISERROR($E$741)*1+ISERROR($F$741)*1+ISERROR($G$741)*1+ISERROR($H$741)*1+ISERROR($I$741)*1+ISERROR($J$741)*1</f>
        <v/>
      </c>
    </row>
    <row r="742" ht="37" customHeight="1">
      <c r="B742" s="33" t="n"/>
      <c r="C742" s="4" t="inlineStr">
        <is>
          <t>uma etiqueta de bagagem de uma viagem que ninguém lembra</t>
        </is>
      </c>
      <c r="D742" s="4" t="n"/>
      <c r="E742" s="4" t="n"/>
      <c r="F742" s="4" t="n"/>
      <c r="G742" s="4" t="n"/>
      <c r="H742" s="4" t="n"/>
      <c r="I742" s="4" t="n"/>
      <c r="J742" s="4" t="n"/>
      <c r="K742" s="19">
        <f>IF(AG742&gt;0,"O Google leu como fórmula: digite de novo com ' na frente.","")</f>
        <v/>
      </c>
      <c r="N742" s="2">
        <f>N741+IF(LEN($X$742)&gt;0,1,0)</f>
        <v/>
      </c>
      <c r="O742" s="2">
        <f>O741+IF(LEN($Y$742)&gt;0,1,0)</f>
        <v/>
      </c>
      <c r="P742" s="2">
        <f>P741+IF(LEN($Z$742)&gt;0,1,0)</f>
        <v/>
      </c>
      <c r="Q742" s="2">
        <f>Q741+IF(LEN($AA$742)&gt;0,1,0)</f>
        <v/>
      </c>
      <c r="R742" s="2">
        <f>R741+IF(LEN($AB$742)&gt;0,1,0)</f>
        <v/>
      </c>
      <c r="S742" s="2">
        <f>S741+IF(LEN($AC$742)&gt;0,1,0)</f>
        <v/>
      </c>
      <c r="T742" s="2">
        <f>T741+IF(LEN($AD$742)&gt;0,1,0)</f>
        <v/>
      </c>
      <c r="U742" s="2">
        <f>U741+IF(LEN($AE$742)&gt;0,1,0)</f>
        <v/>
      </c>
      <c r="V742" s="2">
        <f>V741+IF(LEN($AF$742)&gt;0,1,0)</f>
        <v/>
      </c>
      <c r="X742" s="2">
        <f>IF(ISERROR($B$742),"",IF(ISBLANK($B$742),"",$B$742))</f>
        <v/>
      </c>
      <c r="Y742" s="2">
        <f>IF(ISERROR($C$742),"",IF(ISBLANK($C$742),"",$C$742))</f>
        <v/>
      </c>
      <c r="Z742" s="2">
        <f>IF(ISERROR($D$742),"",IF(ISBLANK($D$742),"",$D$742))</f>
        <v/>
      </c>
      <c r="AA742" s="2">
        <f>IF(ISERROR($E$742),"",IF(ISBLANK($E$742),"",$E$742))</f>
        <v/>
      </c>
      <c r="AB742" s="2">
        <f>IF(ISERROR($F$742),"",IF(ISBLANK($F$742),"",$F$742))</f>
        <v/>
      </c>
      <c r="AC742" s="2">
        <f>IF(ISERROR($G$742),"",IF(ISBLANK($G$742),"",$G$742))</f>
        <v/>
      </c>
      <c r="AD742" s="2">
        <f>IF(ISERROR($H$742),"",IF(ISBLANK($H$742),"",$H$742))</f>
        <v/>
      </c>
      <c r="AE742" s="2">
        <f>IF(ISERROR($I$742),"",IF(ISBLANK($I$742),"",$I$742))</f>
        <v/>
      </c>
      <c r="AF742" s="2">
        <f>IF(ISERROR($J$742),"",IF(ISBLANK($J$742),"",$J$742))</f>
        <v/>
      </c>
      <c r="AG742" s="2">
        <f>ISERROR($B$742)*1+ISERROR($C$742)*1+ISERROR($D$742)*1+ISERROR($E$742)*1+ISERROR($F$742)*1+ISERROR($G$742)*1+ISERROR($H$742)*1+ISERROR($I$742)*1+ISERROR($J$742)*1</f>
        <v/>
      </c>
    </row>
    <row r="743" ht="26" customHeight="1">
      <c r="B743" s="8" t="inlineStr">
        <is>
          <t>Pista</t>
        </is>
      </c>
      <c r="C743" s="8" t="inlineStr">
        <is>
          <t>Bugiganga</t>
        </is>
      </c>
      <c r="D743" s="8" t="inlineStr">
        <is>
          <t>Nome do Cone (início)</t>
        </is>
      </c>
      <c r="E743" s="8" t="inlineStr">
        <is>
          <t>Nome do Cone (fim)</t>
        </is>
      </c>
      <c r="F743" s="8" t="inlineStr">
        <is>
          <t>Memória do Cone</t>
        </is>
      </c>
      <c r="G743" s="8" t="inlineStr">
        <is>
          <t>Gatilho do Efeito Condicional</t>
        </is>
      </c>
      <c r="H743" s="8" t="inlineStr">
        <is>
          <t>Nome do Conjunto</t>
        </is>
      </c>
      <c r="I743" s="8" t="inlineStr">
        <is>
          <t>Origem do Conjunto</t>
        </is>
      </c>
      <c r="J743" s="8" t="inlineStr">
        <is>
          <t>Efeito de 4 peças</t>
        </is>
      </c>
      <c r="N743" s="2">
        <f>N742</f>
        <v/>
      </c>
      <c r="O743" s="2">
        <f>O742</f>
        <v/>
      </c>
      <c r="P743" s="2">
        <f>P742</f>
        <v/>
      </c>
      <c r="Q743" s="2">
        <f>Q742</f>
        <v/>
      </c>
      <c r="R743" s="2">
        <f>R742</f>
        <v/>
      </c>
      <c r="S743" s="2">
        <f>S742</f>
        <v/>
      </c>
      <c r="T743" s="2">
        <f>T742</f>
        <v/>
      </c>
      <c r="U743" s="2">
        <f>U742</f>
        <v/>
      </c>
      <c r="V743" s="2">
        <f>V742</f>
        <v/>
      </c>
      <c r="X743" s="2">
        <f>IF(ISERROR($B$743),"",IF(ISBLANK($B$743),"",$B$743))</f>
        <v/>
      </c>
      <c r="Y743" s="2">
        <f>IF(ISERROR($C$743),"",IF(ISBLANK($C$743),"",$C$743))</f>
        <v/>
      </c>
      <c r="Z743" s="2">
        <f>IF(ISERROR($D$743),"",IF(ISBLANK($D$743),"",$D$743))</f>
        <v/>
      </c>
      <c r="AA743" s="2">
        <f>IF(ISERROR($E$743),"",IF(ISBLANK($E$743),"",$E$743))</f>
        <v/>
      </c>
      <c r="AB743" s="2">
        <f>IF(ISERROR($F$743),"",IF(ISBLANK($F$743),"",$F$743))</f>
        <v/>
      </c>
      <c r="AC743" s="2">
        <f>IF(ISERROR($G$743),"",IF(ISBLANK($G$743),"",$G$743))</f>
        <v/>
      </c>
      <c r="AD743" s="2">
        <f>IF(ISERROR($H$743),"",IF(ISBLANK($H$743),"",$H$743))</f>
        <v/>
      </c>
      <c r="AE743" s="2">
        <f>IF(ISERROR($I$743),"",IF(ISBLANK($I$743),"",$I$743))</f>
        <v/>
      </c>
      <c r="AF743" s="2">
        <f>IF(ISERROR($J$743),"",IF(ISBLANK($J$743),"",$J$743))</f>
        <v/>
      </c>
    </row>
    <row r="744" ht="26" customHeight="1">
      <c r="B744" s="33" t="n"/>
      <c r="C744" s="4" t="inlineStr">
        <is>
          <t>uma concha que guarda o som de outro mar</t>
        </is>
      </c>
      <c r="D744" s="4" t="n"/>
      <c r="E744" s="4" t="n"/>
      <c r="F744" s="4" t="n"/>
      <c r="G744" s="4" t="n"/>
      <c r="H744" s="4" t="n"/>
      <c r="I744" s="4" t="n"/>
      <c r="J744" s="4" t="n"/>
      <c r="K744" s="19">
        <f>IF(AG744&gt;0,"O Google leu como fórmula: digite de novo com ' na frente.","")</f>
        <v/>
      </c>
      <c r="N744" s="2">
        <f>N743+IF(LEN($X$744)&gt;0,1,0)</f>
        <v/>
      </c>
      <c r="O744" s="2">
        <f>O743+IF(LEN($Y$744)&gt;0,1,0)</f>
        <v/>
      </c>
      <c r="P744" s="2">
        <f>P743+IF(LEN($Z$744)&gt;0,1,0)</f>
        <v/>
      </c>
      <c r="Q744" s="2">
        <f>Q743+IF(LEN($AA$744)&gt;0,1,0)</f>
        <v/>
      </c>
      <c r="R744" s="2">
        <f>R743+IF(LEN($AB$744)&gt;0,1,0)</f>
        <v/>
      </c>
      <c r="S744" s="2">
        <f>S743+IF(LEN($AC$744)&gt;0,1,0)</f>
        <v/>
      </c>
      <c r="T744" s="2">
        <f>T743+IF(LEN($AD$744)&gt;0,1,0)</f>
        <v/>
      </c>
      <c r="U744" s="2">
        <f>U743+IF(LEN($AE$744)&gt;0,1,0)</f>
        <v/>
      </c>
      <c r="V744" s="2">
        <f>V743+IF(LEN($AF$744)&gt;0,1,0)</f>
        <v/>
      </c>
      <c r="X744" s="2">
        <f>IF(ISERROR($B$744),"",IF(ISBLANK($B$744),"",$B$744))</f>
        <v/>
      </c>
      <c r="Y744" s="2">
        <f>IF(ISERROR($C$744),"",IF(ISBLANK($C$744),"",$C$744))</f>
        <v/>
      </c>
      <c r="Z744" s="2">
        <f>IF(ISERROR($D$744),"",IF(ISBLANK($D$744),"",$D$744))</f>
        <v/>
      </c>
      <c r="AA744" s="2">
        <f>IF(ISERROR($E$744),"",IF(ISBLANK($E$744),"",$E$744))</f>
        <v/>
      </c>
      <c r="AB744" s="2">
        <f>IF(ISERROR($F$744),"",IF(ISBLANK($F$744),"",$F$744))</f>
        <v/>
      </c>
      <c r="AC744" s="2">
        <f>IF(ISERROR($G$744),"",IF(ISBLANK($G$744),"",$G$744))</f>
        <v/>
      </c>
      <c r="AD744" s="2">
        <f>IF(ISERROR($H$744),"",IF(ISBLANK($H$744),"",$H$744))</f>
        <v/>
      </c>
      <c r="AE744" s="2">
        <f>IF(ISERROR($I$744),"",IF(ISBLANK($I$744),"",$I$744))</f>
        <v/>
      </c>
      <c r="AF744" s="2">
        <f>IF(ISERROR($J$744),"",IF(ISBLANK($J$744),"",$J$744))</f>
        <v/>
      </c>
      <c r="AG744" s="2">
        <f>ISERROR($B$744)*1+ISERROR($C$744)*1+ISERROR($D$744)*1+ISERROR($E$744)*1+ISERROR($F$744)*1+ISERROR($G$744)*1+ISERROR($H$744)*1+ISERROR($I$744)*1+ISERROR($J$744)*1</f>
        <v/>
      </c>
    </row>
    <row r="745" ht="26" customHeight="1">
      <c r="B745" s="35" t="n"/>
      <c r="C745" s="29" t="inlineStr">
        <is>
          <t>um caderno de receitas de um cozinheiro famoso</t>
        </is>
      </c>
      <c r="D745" s="29" t="n"/>
      <c r="E745" s="29" t="n"/>
      <c r="F745" s="29" t="n"/>
      <c r="G745" s="29" t="n"/>
      <c r="H745" s="29" t="n"/>
      <c r="I745" s="29" t="n"/>
      <c r="J745" s="29" t="n"/>
      <c r="K745" s="19">
        <f>IF(AG745&gt;0,"O Google leu como fórmula: digite de novo com ' na frente.","")</f>
        <v/>
      </c>
      <c r="N745" s="2">
        <f>N744+IF(LEN($X$745)&gt;0,1,0)</f>
        <v/>
      </c>
      <c r="O745" s="2">
        <f>O744+IF(LEN($Y$745)&gt;0,1,0)</f>
        <v/>
      </c>
      <c r="P745" s="2">
        <f>P744+IF(LEN($Z$745)&gt;0,1,0)</f>
        <v/>
      </c>
      <c r="Q745" s="2">
        <f>Q744+IF(LEN($AA$745)&gt;0,1,0)</f>
        <v/>
      </c>
      <c r="R745" s="2">
        <f>R744+IF(LEN($AB$745)&gt;0,1,0)</f>
        <v/>
      </c>
      <c r="S745" s="2">
        <f>S744+IF(LEN($AC$745)&gt;0,1,0)</f>
        <v/>
      </c>
      <c r="T745" s="2">
        <f>T744+IF(LEN($AD$745)&gt;0,1,0)</f>
        <v/>
      </c>
      <c r="U745" s="2">
        <f>U744+IF(LEN($AE$745)&gt;0,1,0)</f>
        <v/>
      </c>
      <c r="V745" s="2">
        <f>V744+IF(LEN($AF$745)&gt;0,1,0)</f>
        <v/>
      </c>
      <c r="X745" s="2">
        <f>IF(ISERROR($B$745),"",IF(ISBLANK($B$745),"",$B$745))</f>
        <v/>
      </c>
      <c r="Y745" s="2">
        <f>IF(ISERROR($C$745),"",IF(ISBLANK($C$745),"",$C$745))</f>
        <v/>
      </c>
      <c r="Z745" s="2">
        <f>IF(ISERROR($D$745),"",IF(ISBLANK($D$745),"",$D$745))</f>
        <v/>
      </c>
      <c r="AA745" s="2">
        <f>IF(ISERROR($E$745),"",IF(ISBLANK($E$745),"",$E$745))</f>
        <v/>
      </c>
      <c r="AB745" s="2">
        <f>IF(ISERROR($F$745),"",IF(ISBLANK($F$745),"",$F$745))</f>
        <v/>
      </c>
      <c r="AC745" s="2">
        <f>IF(ISERROR($G$745),"",IF(ISBLANK($G$745),"",$G$745))</f>
        <v/>
      </c>
      <c r="AD745" s="2">
        <f>IF(ISERROR($H$745),"",IF(ISBLANK($H$745),"",$H$745))</f>
        <v/>
      </c>
      <c r="AE745" s="2">
        <f>IF(ISERROR($I$745),"",IF(ISBLANK($I$745),"",$I$745))</f>
        <v/>
      </c>
      <c r="AF745" s="2">
        <f>IF(ISERROR($J$745),"",IF(ISBLANK($J$745),"",$J$745))</f>
        <v/>
      </c>
      <c r="AG745" s="2">
        <f>ISERROR($B$745)*1+ISERROR($C$745)*1+ISERROR($D$745)*1+ISERROR($E$745)*1+ISERROR($F$745)*1+ISERROR($G$745)*1+ISERROR($H$745)*1+ISERROR($I$745)*1+ISERROR($J$745)*1</f>
        <v/>
      </c>
    </row>
    <row r="746" ht="26" customHeight="1">
      <c r="B746" s="33" t="n"/>
      <c r="C746" s="4" t="inlineStr">
        <is>
          <t>uma fita de cabelo com um nó que não desata</t>
        </is>
      </c>
      <c r="D746" s="4" t="n"/>
      <c r="E746" s="4" t="n"/>
      <c r="F746" s="4" t="n"/>
      <c r="G746" s="4" t="n"/>
      <c r="H746" s="4" t="n"/>
      <c r="I746" s="4" t="n"/>
      <c r="J746" s="4" t="n"/>
      <c r="K746" s="19">
        <f>IF(AG746&gt;0,"O Google leu como fórmula: digite de novo com ' na frente.","")</f>
        <v/>
      </c>
      <c r="N746" s="2">
        <f>N745+IF(LEN($X$746)&gt;0,1,0)</f>
        <v/>
      </c>
      <c r="O746" s="2">
        <f>O745+IF(LEN($Y$746)&gt;0,1,0)</f>
        <v/>
      </c>
      <c r="P746" s="2">
        <f>P745+IF(LEN($Z$746)&gt;0,1,0)</f>
        <v/>
      </c>
      <c r="Q746" s="2">
        <f>Q745+IF(LEN($AA$746)&gt;0,1,0)</f>
        <v/>
      </c>
      <c r="R746" s="2">
        <f>R745+IF(LEN($AB$746)&gt;0,1,0)</f>
        <v/>
      </c>
      <c r="S746" s="2">
        <f>S745+IF(LEN($AC$746)&gt;0,1,0)</f>
        <v/>
      </c>
      <c r="T746" s="2">
        <f>T745+IF(LEN($AD$746)&gt;0,1,0)</f>
        <v/>
      </c>
      <c r="U746" s="2">
        <f>U745+IF(LEN($AE$746)&gt;0,1,0)</f>
        <v/>
      </c>
      <c r="V746" s="2">
        <f>V745+IF(LEN($AF$746)&gt;0,1,0)</f>
        <v/>
      </c>
      <c r="X746" s="2">
        <f>IF(ISERROR($B$746),"",IF(ISBLANK($B$746),"",$B$746))</f>
        <v/>
      </c>
      <c r="Y746" s="2">
        <f>IF(ISERROR($C$746),"",IF(ISBLANK($C$746),"",$C$746))</f>
        <v/>
      </c>
      <c r="Z746" s="2">
        <f>IF(ISERROR($D$746),"",IF(ISBLANK($D$746),"",$D$746))</f>
        <v/>
      </c>
      <c r="AA746" s="2">
        <f>IF(ISERROR($E$746),"",IF(ISBLANK($E$746),"",$E$746))</f>
        <v/>
      </c>
      <c r="AB746" s="2">
        <f>IF(ISERROR($F$746),"",IF(ISBLANK($F$746),"",$F$746))</f>
        <v/>
      </c>
      <c r="AC746" s="2">
        <f>IF(ISERROR($G$746),"",IF(ISBLANK($G$746),"",$G$746))</f>
        <v/>
      </c>
      <c r="AD746" s="2">
        <f>IF(ISERROR($H$746),"",IF(ISBLANK($H$746),"",$H$746))</f>
        <v/>
      </c>
      <c r="AE746" s="2">
        <f>IF(ISERROR($I$746),"",IF(ISBLANK($I$746),"",$I$746))</f>
        <v/>
      </c>
      <c r="AF746" s="2">
        <f>IF(ISERROR($J$746),"",IF(ISBLANK($J$746),"",$J$746))</f>
        <v/>
      </c>
      <c r="AG746" s="2">
        <f>ISERROR($B$746)*1+ISERROR($C$746)*1+ISERROR($D$746)*1+ISERROR($E$746)*1+ISERROR($F$746)*1+ISERROR($G$746)*1+ISERROR($H$746)*1+ISERROR($I$746)*1+ISERROR($J$746)*1</f>
        <v/>
      </c>
    </row>
    <row r="747" ht="26" customHeight="1">
      <c r="B747" s="35" t="n"/>
      <c r="C747" s="29" t="inlineStr">
        <is>
          <t>uma ampulheta que corre para cima</t>
        </is>
      </c>
      <c r="D747" s="29" t="n"/>
      <c r="E747" s="29" t="n"/>
      <c r="F747" s="29" t="n"/>
      <c r="G747" s="29" t="n"/>
      <c r="H747" s="29" t="n"/>
      <c r="I747" s="29" t="n"/>
      <c r="J747" s="29" t="n"/>
      <c r="K747" s="19">
        <f>IF(AG747&gt;0,"O Google leu como fórmula: digite de novo com ' na frente.","")</f>
        <v/>
      </c>
      <c r="N747" s="2">
        <f>N746+IF(LEN($X$747)&gt;0,1,0)</f>
        <v/>
      </c>
      <c r="O747" s="2">
        <f>O746+IF(LEN($Y$747)&gt;0,1,0)</f>
        <v/>
      </c>
      <c r="P747" s="2">
        <f>P746+IF(LEN($Z$747)&gt;0,1,0)</f>
        <v/>
      </c>
      <c r="Q747" s="2">
        <f>Q746+IF(LEN($AA$747)&gt;0,1,0)</f>
        <v/>
      </c>
      <c r="R747" s="2">
        <f>R746+IF(LEN($AB$747)&gt;0,1,0)</f>
        <v/>
      </c>
      <c r="S747" s="2">
        <f>S746+IF(LEN($AC$747)&gt;0,1,0)</f>
        <v/>
      </c>
      <c r="T747" s="2">
        <f>T746+IF(LEN($AD$747)&gt;0,1,0)</f>
        <v/>
      </c>
      <c r="U747" s="2">
        <f>U746+IF(LEN($AE$747)&gt;0,1,0)</f>
        <v/>
      </c>
      <c r="V747" s="2">
        <f>V746+IF(LEN($AF$747)&gt;0,1,0)</f>
        <v/>
      </c>
      <c r="X747" s="2">
        <f>IF(ISERROR($B$747),"",IF(ISBLANK($B$747),"",$B$747))</f>
        <v/>
      </c>
      <c r="Y747" s="2">
        <f>IF(ISERROR($C$747),"",IF(ISBLANK($C$747),"",$C$747))</f>
        <v/>
      </c>
      <c r="Z747" s="2">
        <f>IF(ISERROR($D$747),"",IF(ISBLANK($D$747),"",$D$747))</f>
        <v/>
      </c>
      <c r="AA747" s="2">
        <f>IF(ISERROR($E$747),"",IF(ISBLANK($E$747),"",$E$747))</f>
        <v/>
      </c>
      <c r="AB747" s="2">
        <f>IF(ISERROR($F$747),"",IF(ISBLANK($F$747),"",$F$747))</f>
        <v/>
      </c>
      <c r="AC747" s="2">
        <f>IF(ISERROR($G$747),"",IF(ISBLANK($G$747),"",$G$747))</f>
        <v/>
      </c>
      <c r="AD747" s="2">
        <f>IF(ISERROR($H$747),"",IF(ISBLANK($H$747),"",$H$747))</f>
        <v/>
      </c>
      <c r="AE747" s="2">
        <f>IF(ISERROR($I$747),"",IF(ISBLANK($I$747),"",$I$747))</f>
        <v/>
      </c>
      <c r="AF747" s="2">
        <f>IF(ISERROR($J$747),"",IF(ISBLANK($J$747),"",$J$747))</f>
        <v/>
      </c>
      <c r="AG747" s="2">
        <f>ISERROR($B$747)*1+ISERROR($C$747)*1+ISERROR($D$747)*1+ISERROR($E$747)*1+ISERROR($F$747)*1+ISERROR($G$747)*1+ISERROR($H$747)*1+ISERROR($I$747)*1+ISERROR($J$747)*1</f>
        <v/>
      </c>
    </row>
    <row r="748" ht="26" customHeight="1">
      <c r="B748" s="33" t="n"/>
      <c r="C748" s="4" t="inlineStr">
        <is>
          <t>um sino pequeno sem badalo</t>
        </is>
      </c>
      <c r="D748" s="4" t="n"/>
      <c r="E748" s="4" t="n"/>
      <c r="F748" s="4" t="n"/>
      <c r="G748" s="4" t="n"/>
      <c r="H748" s="4" t="n"/>
      <c r="I748" s="4" t="n"/>
      <c r="J748" s="4" t="n"/>
      <c r="K748" s="19">
        <f>IF(AG748&gt;0,"O Google leu como fórmula: digite de novo com ' na frente.","")</f>
        <v/>
      </c>
      <c r="N748" s="2">
        <f>N747+IF(LEN($X$748)&gt;0,1,0)</f>
        <v/>
      </c>
      <c r="O748" s="2">
        <f>O747+IF(LEN($Y$748)&gt;0,1,0)</f>
        <v/>
      </c>
      <c r="P748" s="2">
        <f>P747+IF(LEN($Z$748)&gt;0,1,0)</f>
        <v/>
      </c>
      <c r="Q748" s="2">
        <f>Q747+IF(LEN($AA$748)&gt;0,1,0)</f>
        <v/>
      </c>
      <c r="R748" s="2">
        <f>R747+IF(LEN($AB$748)&gt;0,1,0)</f>
        <v/>
      </c>
      <c r="S748" s="2">
        <f>S747+IF(LEN($AC$748)&gt;0,1,0)</f>
        <v/>
      </c>
      <c r="T748" s="2">
        <f>T747+IF(LEN($AD$748)&gt;0,1,0)</f>
        <v/>
      </c>
      <c r="U748" s="2">
        <f>U747+IF(LEN($AE$748)&gt;0,1,0)</f>
        <v/>
      </c>
      <c r="V748" s="2">
        <f>V747+IF(LEN($AF$748)&gt;0,1,0)</f>
        <v/>
      </c>
      <c r="X748" s="2">
        <f>IF(ISERROR($B$748),"",IF(ISBLANK($B$748),"",$B$748))</f>
        <v/>
      </c>
      <c r="Y748" s="2">
        <f>IF(ISERROR($C$748),"",IF(ISBLANK($C$748),"",$C$748))</f>
        <v/>
      </c>
      <c r="Z748" s="2">
        <f>IF(ISERROR($D$748),"",IF(ISBLANK($D$748),"",$D$748))</f>
        <v/>
      </c>
      <c r="AA748" s="2">
        <f>IF(ISERROR($E$748),"",IF(ISBLANK($E$748),"",$E$748))</f>
        <v/>
      </c>
      <c r="AB748" s="2">
        <f>IF(ISERROR($F$748),"",IF(ISBLANK($F$748),"",$F$748))</f>
        <v/>
      </c>
      <c r="AC748" s="2">
        <f>IF(ISERROR($G$748),"",IF(ISBLANK($G$748),"",$G$748))</f>
        <v/>
      </c>
      <c r="AD748" s="2">
        <f>IF(ISERROR($H$748),"",IF(ISBLANK($H$748),"",$H$748))</f>
        <v/>
      </c>
      <c r="AE748" s="2">
        <f>IF(ISERROR($I$748),"",IF(ISBLANK($I$748),"",$I$748))</f>
        <v/>
      </c>
      <c r="AF748" s="2">
        <f>IF(ISERROR($J$748),"",IF(ISBLANK($J$748),"",$J$748))</f>
        <v/>
      </c>
      <c r="AG748" s="2">
        <f>ISERROR($B$748)*1+ISERROR($C$748)*1+ISERROR($D$748)*1+ISERROR($E$748)*1+ISERROR($F$748)*1+ISERROR($G$748)*1+ISERROR($H$748)*1+ISERROR($I$748)*1+ISERROR($J$748)*1</f>
        <v/>
      </c>
    </row>
    <row r="749" ht="26" customHeight="1">
      <c r="B749" s="35" t="n"/>
      <c r="C749" s="29" t="inlineStr">
        <is>
          <t>um retrato a lápis de um Intellitron sorrindo</t>
        </is>
      </c>
      <c r="D749" s="29" t="n"/>
      <c r="E749" s="29" t="n"/>
      <c r="F749" s="29" t="n"/>
      <c r="G749" s="29" t="n"/>
      <c r="H749" s="29" t="n"/>
      <c r="I749" s="29" t="n"/>
      <c r="J749" s="29" t="n"/>
      <c r="K749" s="19">
        <f>IF(AG749&gt;0,"O Google leu como fórmula: digite de novo com ' na frente.","")</f>
        <v/>
      </c>
      <c r="N749" s="2">
        <f>N748+IF(LEN($X$749)&gt;0,1,0)</f>
        <v/>
      </c>
      <c r="O749" s="2">
        <f>O748+IF(LEN($Y$749)&gt;0,1,0)</f>
        <v/>
      </c>
      <c r="P749" s="2">
        <f>P748+IF(LEN($Z$749)&gt;0,1,0)</f>
        <v/>
      </c>
      <c r="Q749" s="2">
        <f>Q748+IF(LEN($AA$749)&gt;0,1,0)</f>
        <v/>
      </c>
      <c r="R749" s="2">
        <f>R748+IF(LEN($AB$749)&gt;0,1,0)</f>
        <v/>
      </c>
      <c r="S749" s="2">
        <f>S748+IF(LEN($AC$749)&gt;0,1,0)</f>
        <v/>
      </c>
      <c r="T749" s="2">
        <f>T748+IF(LEN($AD$749)&gt;0,1,0)</f>
        <v/>
      </c>
      <c r="U749" s="2">
        <f>U748+IF(LEN($AE$749)&gt;0,1,0)</f>
        <v/>
      </c>
      <c r="V749" s="2">
        <f>V748+IF(LEN($AF$749)&gt;0,1,0)</f>
        <v/>
      </c>
      <c r="X749" s="2">
        <f>IF(ISERROR($B$749),"",IF(ISBLANK($B$749),"",$B$749))</f>
        <v/>
      </c>
      <c r="Y749" s="2">
        <f>IF(ISERROR($C$749),"",IF(ISBLANK($C$749),"",$C$749))</f>
        <v/>
      </c>
      <c r="Z749" s="2">
        <f>IF(ISERROR($D$749),"",IF(ISBLANK($D$749),"",$D$749))</f>
        <v/>
      </c>
      <c r="AA749" s="2">
        <f>IF(ISERROR($E$749),"",IF(ISBLANK($E$749),"",$E$749))</f>
        <v/>
      </c>
      <c r="AB749" s="2">
        <f>IF(ISERROR($F$749),"",IF(ISBLANK($F$749),"",$F$749))</f>
        <v/>
      </c>
      <c r="AC749" s="2">
        <f>IF(ISERROR($G$749),"",IF(ISBLANK($G$749),"",$G$749))</f>
        <v/>
      </c>
      <c r="AD749" s="2">
        <f>IF(ISERROR($H$749),"",IF(ISBLANK($H$749),"",$H$749))</f>
        <v/>
      </c>
      <c r="AE749" s="2">
        <f>IF(ISERROR($I$749),"",IF(ISBLANK($I$749),"",$I$749))</f>
        <v/>
      </c>
      <c r="AF749" s="2">
        <f>IF(ISERROR($J$749),"",IF(ISBLANK($J$749),"",$J$749))</f>
        <v/>
      </c>
      <c r="AG749" s="2">
        <f>ISERROR($B$749)*1+ISERROR($C$749)*1+ISERROR($D$749)*1+ISERROR($E$749)*1+ISERROR($F$749)*1+ISERROR($G$749)*1+ISERROR($H$749)*1+ISERROR($I$749)*1+ISERROR($J$749)*1</f>
        <v/>
      </c>
    </row>
    <row r="750" ht="26" customHeight="1">
      <c r="B750" s="33" t="n"/>
      <c r="C750" s="4" t="inlineStr">
        <is>
          <t>uma garrafa com uma mensagem ilegível</t>
        </is>
      </c>
      <c r="D750" s="4" t="n"/>
      <c r="E750" s="4" t="n"/>
      <c r="F750" s="4" t="n"/>
      <c r="G750" s="4" t="n"/>
      <c r="H750" s="4" t="n"/>
      <c r="I750" s="4" t="n"/>
      <c r="J750" s="4" t="n"/>
      <c r="K750" s="19">
        <f>IF(AG750&gt;0,"O Google leu como fórmula: digite de novo com ' na frente.","")</f>
        <v/>
      </c>
      <c r="N750" s="2">
        <f>N749+IF(LEN($X$750)&gt;0,1,0)</f>
        <v/>
      </c>
      <c r="O750" s="2">
        <f>O749+IF(LEN($Y$750)&gt;0,1,0)</f>
        <v/>
      </c>
      <c r="P750" s="2">
        <f>P749+IF(LEN($Z$750)&gt;0,1,0)</f>
        <v/>
      </c>
      <c r="Q750" s="2">
        <f>Q749+IF(LEN($AA$750)&gt;0,1,0)</f>
        <v/>
      </c>
      <c r="R750" s="2">
        <f>R749+IF(LEN($AB$750)&gt;0,1,0)</f>
        <v/>
      </c>
      <c r="S750" s="2">
        <f>S749+IF(LEN($AC$750)&gt;0,1,0)</f>
        <v/>
      </c>
      <c r="T750" s="2">
        <f>T749+IF(LEN($AD$750)&gt;0,1,0)</f>
        <v/>
      </c>
      <c r="U750" s="2">
        <f>U749+IF(LEN($AE$750)&gt;0,1,0)</f>
        <v/>
      </c>
      <c r="V750" s="2">
        <f>V749+IF(LEN($AF$750)&gt;0,1,0)</f>
        <v/>
      </c>
      <c r="X750" s="2">
        <f>IF(ISERROR($B$750),"",IF(ISBLANK($B$750),"",$B$750))</f>
        <v/>
      </c>
      <c r="Y750" s="2">
        <f>IF(ISERROR($C$750),"",IF(ISBLANK($C$750),"",$C$750))</f>
        <v/>
      </c>
      <c r="Z750" s="2">
        <f>IF(ISERROR($D$750),"",IF(ISBLANK($D$750),"",$D$750))</f>
        <v/>
      </c>
      <c r="AA750" s="2">
        <f>IF(ISERROR($E$750),"",IF(ISBLANK($E$750),"",$E$750))</f>
        <v/>
      </c>
      <c r="AB750" s="2">
        <f>IF(ISERROR($F$750),"",IF(ISBLANK($F$750),"",$F$750))</f>
        <v/>
      </c>
      <c r="AC750" s="2">
        <f>IF(ISERROR($G$750),"",IF(ISBLANK($G$750),"",$G$750))</f>
        <v/>
      </c>
      <c r="AD750" s="2">
        <f>IF(ISERROR($H$750),"",IF(ISBLANK($H$750),"",$H$750))</f>
        <v/>
      </c>
      <c r="AE750" s="2">
        <f>IF(ISERROR($I$750),"",IF(ISBLANK($I$750),"",$I$750))</f>
        <v/>
      </c>
      <c r="AF750" s="2">
        <f>IF(ISERROR($J$750),"",IF(ISBLANK($J$750),"",$J$750))</f>
        <v/>
      </c>
      <c r="AG750" s="2">
        <f>ISERROR($B$750)*1+ISERROR($C$750)*1+ISERROR($D$750)*1+ISERROR($E$750)*1+ISERROR($F$750)*1+ISERROR($G$750)*1+ISERROR($H$750)*1+ISERROR($I$750)*1+ISERROR($J$750)*1</f>
        <v/>
      </c>
    </row>
    <row r="751" ht="26" customHeight="1">
      <c r="B751" s="35" t="n"/>
      <c r="C751" s="29" t="inlineStr">
        <is>
          <t>um cartão de visita de um detetive aposentado</t>
        </is>
      </c>
      <c r="D751" s="29" t="n"/>
      <c r="E751" s="29" t="n"/>
      <c r="F751" s="29" t="n"/>
      <c r="G751" s="29" t="n"/>
      <c r="H751" s="29" t="n"/>
      <c r="I751" s="29" t="n"/>
      <c r="J751" s="29" t="n"/>
      <c r="K751" s="19">
        <f>IF(AG751&gt;0,"O Google leu como fórmula: digite de novo com ' na frente.","")</f>
        <v/>
      </c>
      <c r="N751" s="2">
        <f>N750+IF(LEN($X$751)&gt;0,1,0)</f>
        <v/>
      </c>
      <c r="O751" s="2">
        <f>O750+IF(LEN($Y$751)&gt;0,1,0)</f>
        <v/>
      </c>
      <c r="P751" s="2">
        <f>P750+IF(LEN($Z$751)&gt;0,1,0)</f>
        <v/>
      </c>
      <c r="Q751" s="2">
        <f>Q750+IF(LEN($AA$751)&gt;0,1,0)</f>
        <v/>
      </c>
      <c r="R751" s="2">
        <f>R750+IF(LEN($AB$751)&gt;0,1,0)</f>
        <v/>
      </c>
      <c r="S751" s="2">
        <f>S750+IF(LEN($AC$751)&gt;0,1,0)</f>
        <v/>
      </c>
      <c r="T751" s="2">
        <f>T750+IF(LEN($AD$751)&gt;0,1,0)</f>
        <v/>
      </c>
      <c r="U751" s="2">
        <f>U750+IF(LEN($AE$751)&gt;0,1,0)</f>
        <v/>
      </c>
      <c r="V751" s="2">
        <f>V750+IF(LEN($AF$751)&gt;0,1,0)</f>
        <v/>
      </c>
      <c r="X751" s="2">
        <f>IF(ISERROR($B$751),"",IF(ISBLANK($B$751),"",$B$751))</f>
        <v/>
      </c>
      <c r="Y751" s="2">
        <f>IF(ISERROR($C$751),"",IF(ISBLANK($C$751),"",$C$751))</f>
        <v/>
      </c>
      <c r="Z751" s="2">
        <f>IF(ISERROR($D$751),"",IF(ISBLANK($D$751),"",$D$751))</f>
        <v/>
      </c>
      <c r="AA751" s="2">
        <f>IF(ISERROR($E$751),"",IF(ISBLANK($E$751),"",$E$751))</f>
        <v/>
      </c>
      <c r="AB751" s="2">
        <f>IF(ISERROR($F$751),"",IF(ISBLANK($F$751),"",$F$751))</f>
        <v/>
      </c>
      <c r="AC751" s="2">
        <f>IF(ISERROR($G$751),"",IF(ISBLANK($G$751),"",$G$751))</f>
        <v/>
      </c>
      <c r="AD751" s="2">
        <f>IF(ISERROR($H$751),"",IF(ISBLANK($H$751),"",$H$751))</f>
        <v/>
      </c>
      <c r="AE751" s="2">
        <f>IF(ISERROR($I$751),"",IF(ISBLANK($I$751),"",$I$751))</f>
        <v/>
      </c>
      <c r="AF751" s="2">
        <f>IF(ISERROR($J$751),"",IF(ISBLANK($J$751),"",$J$751))</f>
        <v/>
      </c>
      <c r="AG751" s="2">
        <f>ISERROR($B$751)*1+ISERROR($C$751)*1+ISERROR($D$751)*1+ISERROR($E$751)*1+ISERROR($F$751)*1+ISERROR($G$751)*1+ISERROR($H$751)*1+ISERROR($I$751)*1+ISERROR($J$751)*1</f>
        <v/>
      </c>
    </row>
    <row r="752" ht="26" customHeight="1">
      <c r="B752" s="33" t="n"/>
      <c r="C752" s="4" t="inlineStr">
        <is>
          <t>uma flor seca de uma estufa orbital</t>
        </is>
      </c>
      <c r="D752" s="4" t="n"/>
      <c r="E752" s="4" t="n"/>
      <c r="F752" s="4" t="n"/>
      <c r="G752" s="4" t="n"/>
      <c r="H752" s="4" t="n"/>
      <c r="I752" s="4" t="n"/>
      <c r="J752" s="4" t="n"/>
      <c r="K752" s="19">
        <f>IF(AG752&gt;0,"O Google leu como fórmula: digite de novo com ' na frente.","")</f>
        <v/>
      </c>
      <c r="N752" s="2">
        <f>N751+IF(LEN($X$752)&gt;0,1,0)</f>
        <v/>
      </c>
      <c r="O752" s="2">
        <f>O751+IF(LEN($Y$752)&gt;0,1,0)</f>
        <v/>
      </c>
      <c r="P752" s="2">
        <f>P751+IF(LEN($Z$752)&gt;0,1,0)</f>
        <v/>
      </c>
      <c r="Q752" s="2">
        <f>Q751+IF(LEN($AA$752)&gt;0,1,0)</f>
        <v/>
      </c>
      <c r="R752" s="2">
        <f>R751+IF(LEN($AB$752)&gt;0,1,0)</f>
        <v/>
      </c>
      <c r="S752" s="2">
        <f>S751+IF(LEN($AC$752)&gt;0,1,0)</f>
        <v/>
      </c>
      <c r="T752" s="2">
        <f>T751+IF(LEN($AD$752)&gt;0,1,0)</f>
        <v/>
      </c>
      <c r="U752" s="2">
        <f>U751+IF(LEN($AE$752)&gt;0,1,0)</f>
        <v/>
      </c>
      <c r="V752" s="2">
        <f>V751+IF(LEN($AF$752)&gt;0,1,0)</f>
        <v/>
      </c>
      <c r="X752" s="2">
        <f>IF(ISERROR($B$752),"",IF(ISBLANK($B$752),"",$B$752))</f>
        <v/>
      </c>
      <c r="Y752" s="2">
        <f>IF(ISERROR($C$752),"",IF(ISBLANK($C$752),"",$C$752))</f>
        <v/>
      </c>
      <c r="Z752" s="2">
        <f>IF(ISERROR($D$752),"",IF(ISBLANK($D$752),"",$D$752))</f>
        <v/>
      </c>
      <c r="AA752" s="2">
        <f>IF(ISERROR($E$752),"",IF(ISBLANK($E$752),"",$E$752))</f>
        <v/>
      </c>
      <c r="AB752" s="2">
        <f>IF(ISERROR($F$752),"",IF(ISBLANK($F$752),"",$F$752))</f>
        <v/>
      </c>
      <c r="AC752" s="2">
        <f>IF(ISERROR($G$752),"",IF(ISBLANK($G$752),"",$G$752))</f>
        <v/>
      </c>
      <c r="AD752" s="2">
        <f>IF(ISERROR($H$752),"",IF(ISBLANK($H$752),"",$H$752))</f>
        <v/>
      </c>
      <c r="AE752" s="2">
        <f>IF(ISERROR($I$752),"",IF(ISBLANK($I$752),"",$I$752))</f>
        <v/>
      </c>
      <c r="AF752" s="2">
        <f>IF(ISERROR($J$752),"",IF(ISBLANK($J$752),"",$J$752))</f>
        <v/>
      </c>
      <c r="AG752" s="2">
        <f>ISERROR($B$752)*1+ISERROR($C$752)*1+ISERROR($D$752)*1+ISERROR($E$752)*1+ISERROR($F$752)*1+ISERROR($G$752)*1+ISERROR($H$752)*1+ISERROR($I$752)*1+ISERROR($J$752)*1</f>
        <v/>
      </c>
    </row>
    <row r="753" ht="26" customHeight="1">
      <c r="B753" s="35" t="n"/>
      <c r="C753" s="29" t="inlineStr">
        <is>
          <t>um botão de farda da Legião</t>
        </is>
      </c>
      <c r="D753" s="29" t="n"/>
      <c r="E753" s="29" t="n"/>
      <c r="F753" s="29" t="n"/>
      <c r="G753" s="29" t="n"/>
      <c r="H753" s="29" t="n"/>
      <c r="I753" s="29" t="n"/>
      <c r="J753" s="29" t="n"/>
      <c r="K753" s="19">
        <f>IF(AG753&gt;0,"O Google leu como fórmula: digite de novo com ' na frente.","")</f>
        <v/>
      </c>
      <c r="N753" s="2">
        <f>N752+IF(LEN($X$753)&gt;0,1,0)</f>
        <v/>
      </c>
      <c r="O753" s="2">
        <f>O752+IF(LEN($Y$753)&gt;0,1,0)</f>
        <v/>
      </c>
      <c r="P753" s="2">
        <f>P752+IF(LEN($Z$753)&gt;0,1,0)</f>
        <v/>
      </c>
      <c r="Q753" s="2">
        <f>Q752+IF(LEN($AA$753)&gt;0,1,0)</f>
        <v/>
      </c>
      <c r="R753" s="2">
        <f>R752+IF(LEN($AB$753)&gt;0,1,0)</f>
        <v/>
      </c>
      <c r="S753" s="2">
        <f>S752+IF(LEN($AC$753)&gt;0,1,0)</f>
        <v/>
      </c>
      <c r="T753" s="2">
        <f>T752+IF(LEN($AD$753)&gt;0,1,0)</f>
        <v/>
      </c>
      <c r="U753" s="2">
        <f>U752+IF(LEN($AE$753)&gt;0,1,0)</f>
        <v/>
      </c>
      <c r="V753" s="2">
        <f>V752+IF(LEN($AF$753)&gt;0,1,0)</f>
        <v/>
      </c>
      <c r="X753" s="2">
        <f>IF(ISERROR($B$753),"",IF(ISBLANK($B$753),"",$B$753))</f>
        <v/>
      </c>
      <c r="Y753" s="2">
        <f>IF(ISERROR($C$753),"",IF(ISBLANK($C$753),"",$C$753))</f>
        <v/>
      </c>
      <c r="Z753" s="2">
        <f>IF(ISERROR($D$753),"",IF(ISBLANK($D$753),"",$D$753))</f>
        <v/>
      </c>
      <c r="AA753" s="2">
        <f>IF(ISERROR($E$753),"",IF(ISBLANK($E$753),"",$E$753))</f>
        <v/>
      </c>
      <c r="AB753" s="2">
        <f>IF(ISERROR($F$753),"",IF(ISBLANK($F$753),"",$F$753))</f>
        <v/>
      </c>
      <c r="AC753" s="2">
        <f>IF(ISERROR($G$753),"",IF(ISBLANK($G$753),"",$G$753))</f>
        <v/>
      </c>
      <c r="AD753" s="2">
        <f>IF(ISERROR($H$753),"",IF(ISBLANK($H$753),"",$H$753))</f>
        <v/>
      </c>
      <c r="AE753" s="2">
        <f>IF(ISERROR($I$753),"",IF(ISBLANK($I$753),"",$I$753))</f>
        <v/>
      </c>
      <c r="AF753" s="2">
        <f>IF(ISERROR($J$753),"",IF(ISBLANK($J$753),"",$J$753))</f>
        <v/>
      </c>
      <c r="AG753" s="2">
        <f>ISERROR($B$753)*1+ISERROR($C$753)*1+ISERROR($D$753)*1+ISERROR($E$753)*1+ISERROR($F$753)*1+ISERROR($G$753)*1+ISERROR($H$753)*1+ISERROR($I$753)*1+ISERROR($J$753)*1</f>
        <v/>
      </c>
    </row>
    <row r="754" ht="26" customHeight="1">
      <c r="B754" s="33" t="n"/>
      <c r="C754" s="4" t="inlineStr">
        <is>
          <t>um carimbo de alfândega com o nome do grupo</t>
        </is>
      </c>
      <c r="D754" s="4" t="n"/>
      <c r="E754" s="4" t="n"/>
      <c r="F754" s="4" t="n"/>
      <c r="G754" s="4" t="n"/>
      <c r="H754" s="4" t="n"/>
      <c r="I754" s="4" t="n"/>
      <c r="J754" s="4" t="n"/>
      <c r="K754" s="19">
        <f>IF(AG754&gt;0,"O Google leu como fórmula: digite de novo com ' na frente.","")</f>
        <v/>
      </c>
      <c r="N754" s="2">
        <f>N753+IF(LEN($X$754)&gt;0,1,0)</f>
        <v/>
      </c>
      <c r="O754" s="2">
        <f>O753+IF(LEN($Y$754)&gt;0,1,0)</f>
        <v/>
      </c>
      <c r="P754" s="2">
        <f>P753+IF(LEN($Z$754)&gt;0,1,0)</f>
        <v/>
      </c>
      <c r="Q754" s="2">
        <f>Q753+IF(LEN($AA$754)&gt;0,1,0)</f>
        <v/>
      </c>
      <c r="R754" s="2">
        <f>R753+IF(LEN($AB$754)&gt;0,1,0)</f>
        <v/>
      </c>
      <c r="S754" s="2">
        <f>S753+IF(LEN($AC$754)&gt;0,1,0)</f>
        <v/>
      </c>
      <c r="T754" s="2">
        <f>T753+IF(LEN($AD$754)&gt;0,1,0)</f>
        <v/>
      </c>
      <c r="U754" s="2">
        <f>U753+IF(LEN($AE$754)&gt;0,1,0)</f>
        <v/>
      </c>
      <c r="V754" s="2">
        <f>V753+IF(LEN($AF$754)&gt;0,1,0)</f>
        <v/>
      </c>
      <c r="X754" s="2">
        <f>IF(ISERROR($B$754),"",IF(ISBLANK($B$754),"",$B$754))</f>
        <v/>
      </c>
      <c r="Y754" s="2">
        <f>IF(ISERROR($C$754),"",IF(ISBLANK($C$754),"",$C$754))</f>
        <v/>
      </c>
      <c r="Z754" s="2">
        <f>IF(ISERROR($D$754),"",IF(ISBLANK($D$754),"",$D$754))</f>
        <v/>
      </c>
      <c r="AA754" s="2">
        <f>IF(ISERROR($E$754),"",IF(ISBLANK($E$754),"",$E$754))</f>
        <v/>
      </c>
      <c r="AB754" s="2">
        <f>IF(ISERROR($F$754),"",IF(ISBLANK($F$754),"",$F$754))</f>
        <v/>
      </c>
      <c r="AC754" s="2">
        <f>IF(ISERROR($G$754),"",IF(ISBLANK($G$754),"",$G$754))</f>
        <v/>
      </c>
      <c r="AD754" s="2">
        <f>IF(ISERROR($H$754),"",IF(ISBLANK($H$754),"",$H$754))</f>
        <v/>
      </c>
      <c r="AE754" s="2">
        <f>IF(ISERROR($I$754),"",IF(ISBLANK($I$754),"",$I$754))</f>
        <v/>
      </c>
      <c r="AF754" s="2">
        <f>IF(ISERROR($J$754),"",IF(ISBLANK($J$754),"",$J$754))</f>
        <v/>
      </c>
      <c r="AG754" s="2">
        <f>ISERROR($B$754)*1+ISERROR($C$754)*1+ISERROR($D$754)*1+ISERROR($E$754)*1+ISERROR($F$754)*1+ISERROR($G$754)*1+ISERROR($H$754)*1+ISERROR($I$754)*1+ISERROR($J$754)*1</f>
        <v/>
      </c>
    </row>
    <row r="755" ht="26" customHeight="1">
      <c r="B755" s="35" t="n"/>
      <c r="C755" s="29" t="inlineStr">
        <is>
          <t>um amuleto de cauda de raposa</t>
        </is>
      </c>
      <c r="D755" s="29" t="n"/>
      <c r="E755" s="29" t="n"/>
      <c r="F755" s="29" t="n"/>
      <c r="G755" s="29" t="n"/>
      <c r="H755" s="29" t="n"/>
      <c r="I755" s="29" t="n"/>
      <c r="J755" s="29" t="n"/>
      <c r="K755" s="19">
        <f>IF(AG755&gt;0,"O Google leu como fórmula: digite de novo com ' na frente.","")</f>
        <v/>
      </c>
      <c r="N755" s="2">
        <f>N754+IF(LEN($X$755)&gt;0,1,0)</f>
        <v/>
      </c>
      <c r="O755" s="2">
        <f>O754+IF(LEN($Y$755)&gt;0,1,0)</f>
        <v/>
      </c>
      <c r="P755" s="2">
        <f>P754+IF(LEN($Z$755)&gt;0,1,0)</f>
        <v/>
      </c>
      <c r="Q755" s="2">
        <f>Q754+IF(LEN($AA$755)&gt;0,1,0)</f>
        <v/>
      </c>
      <c r="R755" s="2">
        <f>R754+IF(LEN($AB$755)&gt;0,1,0)</f>
        <v/>
      </c>
      <c r="S755" s="2">
        <f>S754+IF(LEN($AC$755)&gt;0,1,0)</f>
        <v/>
      </c>
      <c r="T755" s="2">
        <f>T754+IF(LEN($AD$755)&gt;0,1,0)</f>
        <v/>
      </c>
      <c r="U755" s="2">
        <f>U754+IF(LEN($AE$755)&gt;0,1,0)</f>
        <v/>
      </c>
      <c r="V755" s="2">
        <f>V754+IF(LEN($AF$755)&gt;0,1,0)</f>
        <v/>
      </c>
      <c r="X755" s="2">
        <f>IF(ISERROR($B$755),"",IF(ISBLANK($B$755),"",$B$755))</f>
        <v/>
      </c>
      <c r="Y755" s="2">
        <f>IF(ISERROR($C$755),"",IF(ISBLANK($C$755),"",$C$755))</f>
        <v/>
      </c>
      <c r="Z755" s="2">
        <f>IF(ISERROR($D$755),"",IF(ISBLANK($D$755),"",$D$755))</f>
        <v/>
      </c>
      <c r="AA755" s="2">
        <f>IF(ISERROR($E$755),"",IF(ISBLANK($E$755),"",$E$755))</f>
        <v/>
      </c>
      <c r="AB755" s="2">
        <f>IF(ISERROR($F$755),"",IF(ISBLANK($F$755),"",$F$755))</f>
        <v/>
      </c>
      <c r="AC755" s="2">
        <f>IF(ISERROR($G$755),"",IF(ISBLANK($G$755),"",$G$755))</f>
        <v/>
      </c>
      <c r="AD755" s="2">
        <f>IF(ISERROR($H$755),"",IF(ISBLANK($H$755),"",$H$755))</f>
        <v/>
      </c>
      <c r="AE755" s="2">
        <f>IF(ISERROR($I$755),"",IF(ISBLANK($I$755),"",$I$755))</f>
        <v/>
      </c>
      <c r="AF755" s="2">
        <f>IF(ISERROR($J$755),"",IF(ISBLANK($J$755),"",$J$755))</f>
        <v/>
      </c>
      <c r="AG755" s="2">
        <f>ISERROR($B$755)*1+ISERROR($C$755)*1+ISERROR($D$755)*1+ISERROR($E$755)*1+ISERROR($F$755)*1+ISERROR($G$755)*1+ISERROR($H$755)*1+ISERROR($I$755)*1+ISERROR($J$755)*1</f>
        <v/>
      </c>
    </row>
    <row r="756" ht="26" customHeight="1">
      <c r="B756" s="33" t="n"/>
      <c r="C756" s="4" t="n"/>
      <c r="D756" s="4" t="n"/>
      <c r="E756" s="4" t="n"/>
      <c r="F756" s="4" t="n"/>
      <c r="G756" s="4" t="n"/>
      <c r="H756" s="4" t="n"/>
      <c r="I756" s="4" t="n"/>
      <c r="J756" s="4" t="n"/>
      <c r="K756" s="19">
        <f>IF(AG756&gt;0,"O Google leu como fórmula: digite de novo com ' na frente.","")</f>
        <v/>
      </c>
      <c r="N756" s="2">
        <f>N755+IF(LEN($X$756)&gt;0,1,0)</f>
        <v/>
      </c>
      <c r="O756" s="2">
        <f>O755+IF(LEN($Y$756)&gt;0,1,0)</f>
        <v/>
      </c>
      <c r="P756" s="2">
        <f>P755+IF(LEN($Z$756)&gt;0,1,0)</f>
        <v/>
      </c>
      <c r="Q756" s="2">
        <f>Q755+IF(LEN($AA$756)&gt;0,1,0)</f>
        <v/>
      </c>
      <c r="R756" s="2">
        <f>R755+IF(LEN($AB$756)&gt;0,1,0)</f>
        <v/>
      </c>
      <c r="S756" s="2">
        <f>S755+IF(LEN($AC$756)&gt;0,1,0)</f>
        <v/>
      </c>
      <c r="T756" s="2">
        <f>T755+IF(LEN($AD$756)&gt;0,1,0)</f>
        <v/>
      </c>
      <c r="U756" s="2">
        <f>U755+IF(LEN($AE$756)&gt;0,1,0)</f>
        <v/>
      </c>
      <c r="V756" s="2">
        <f>V755+IF(LEN($AF$756)&gt;0,1,0)</f>
        <v/>
      </c>
      <c r="X756" s="2">
        <f>IF(ISERROR($B$756),"",IF(ISBLANK($B$756),"",$B$756))</f>
        <v/>
      </c>
      <c r="Y756" s="2">
        <f>IF(ISERROR($C$756),"",IF(ISBLANK($C$756),"",$C$756))</f>
        <v/>
      </c>
      <c r="Z756" s="2">
        <f>IF(ISERROR($D$756),"",IF(ISBLANK($D$756),"",$D$756))</f>
        <v/>
      </c>
      <c r="AA756" s="2">
        <f>IF(ISERROR($E$756),"",IF(ISBLANK($E$756),"",$E$756))</f>
        <v/>
      </c>
      <c r="AB756" s="2">
        <f>IF(ISERROR($F$756),"",IF(ISBLANK($F$756),"",$F$756))</f>
        <v/>
      </c>
      <c r="AC756" s="2">
        <f>IF(ISERROR($G$756),"",IF(ISBLANK($G$756),"",$G$756))</f>
        <v/>
      </c>
      <c r="AD756" s="2">
        <f>IF(ISERROR($H$756),"",IF(ISBLANK($H$756),"",$H$756))</f>
        <v/>
      </c>
      <c r="AE756" s="2">
        <f>IF(ISERROR($I$756),"",IF(ISBLANK($I$756),"",$I$756))</f>
        <v/>
      </c>
      <c r="AF756" s="2">
        <f>IF(ISERROR($J$756),"",IF(ISBLANK($J$756),"",$J$756))</f>
        <v/>
      </c>
      <c r="AG756" s="2">
        <f>ISERROR($B$756)*1+ISERROR($C$756)*1+ISERROR($D$756)*1+ISERROR($E$756)*1+ISERROR($F$756)*1+ISERROR($G$756)*1+ISERROR($H$756)*1+ISERROR($I$756)*1+ISERROR($J$756)*1</f>
        <v/>
      </c>
    </row>
    <row r="757" ht="26" customHeight="1">
      <c r="B757" s="8" t="inlineStr">
        <is>
          <t>Pista</t>
        </is>
      </c>
      <c r="C757" s="8" t="inlineStr">
        <is>
          <t>Bugiganga</t>
        </is>
      </c>
      <c r="D757" s="8" t="inlineStr">
        <is>
          <t>Nome do Cone (início)</t>
        </is>
      </c>
      <c r="E757" s="8" t="inlineStr">
        <is>
          <t>Nome do Cone (fim)</t>
        </is>
      </c>
      <c r="F757" s="8" t="inlineStr">
        <is>
          <t>Memória do Cone</t>
        </is>
      </c>
      <c r="G757" s="8" t="inlineStr">
        <is>
          <t>Gatilho do Efeito Condicional</t>
        </is>
      </c>
      <c r="H757" s="8" t="inlineStr">
        <is>
          <t>Nome do Conjunto</t>
        </is>
      </c>
      <c r="I757" s="8" t="inlineStr">
        <is>
          <t>Origem do Conjunto</t>
        </is>
      </c>
      <c r="J757" s="8" t="inlineStr">
        <is>
          <t>Efeito de 4 peças</t>
        </is>
      </c>
      <c r="N757" s="2">
        <f>N756</f>
        <v/>
      </c>
      <c r="O757" s="2">
        <f>O756</f>
        <v/>
      </c>
      <c r="P757" s="2">
        <f>P756</f>
        <v/>
      </c>
      <c r="Q757" s="2">
        <f>Q756</f>
        <v/>
      </c>
      <c r="R757" s="2">
        <f>R756</f>
        <v/>
      </c>
      <c r="S757" s="2">
        <f>S756</f>
        <v/>
      </c>
      <c r="T757" s="2">
        <f>T756</f>
        <v/>
      </c>
      <c r="U757" s="2">
        <f>U756</f>
        <v/>
      </c>
      <c r="V757" s="2">
        <f>V756</f>
        <v/>
      </c>
      <c r="X757" s="2">
        <f>IF(ISERROR($B$757),"",IF(ISBLANK($B$757),"",$B$757))</f>
        <v/>
      </c>
      <c r="Y757" s="2">
        <f>IF(ISERROR($C$757),"",IF(ISBLANK($C$757),"",$C$757))</f>
        <v/>
      </c>
      <c r="Z757" s="2">
        <f>IF(ISERROR($D$757),"",IF(ISBLANK($D$757),"",$D$757))</f>
        <v/>
      </c>
      <c r="AA757" s="2">
        <f>IF(ISERROR($E$757),"",IF(ISBLANK($E$757),"",$E$757))</f>
        <v/>
      </c>
      <c r="AB757" s="2">
        <f>IF(ISERROR($F$757),"",IF(ISBLANK($F$757),"",$F$757))</f>
        <v/>
      </c>
      <c r="AC757" s="2">
        <f>IF(ISERROR($G$757),"",IF(ISBLANK($G$757),"",$G$757))</f>
        <v/>
      </c>
      <c r="AD757" s="2">
        <f>IF(ISERROR($H$757),"",IF(ISBLANK($H$757),"",$H$757))</f>
        <v/>
      </c>
      <c r="AE757" s="2">
        <f>IF(ISERROR($I$757),"",IF(ISBLANK($I$757),"",$I$757))</f>
        <v/>
      </c>
      <c r="AF757" s="2">
        <f>IF(ISERROR($J$757),"",IF(ISBLANK($J$757),"",$J$757))</f>
        <v/>
      </c>
    </row>
    <row r="758" ht="26" customHeight="1">
      <c r="B758" s="33" t="n"/>
      <c r="C758" s="4" t="n"/>
      <c r="D758" s="4" t="n"/>
      <c r="E758" s="4" t="n"/>
      <c r="F758" s="4" t="n"/>
      <c r="G758" s="4" t="n"/>
      <c r="H758" s="4" t="n"/>
      <c r="I758" s="4" t="n"/>
      <c r="J758" s="4" t="n"/>
      <c r="K758" s="19">
        <f>IF(AG758&gt;0,"O Google leu como fórmula: digite de novo com ' na frente.","")</f>
        <v/>
      </c>
      <c r="N758" s="2">
        <f>N757+IF(LEN($X$758)&gt;0,1,0)</f>
        <v/>
      </c>
      <c r="O758" s="2">
        <f>O757+IF(LEN($Y$758)&gt;0,1,0)</f>
        <v/>
      </c>
      <c r="P758" s="2">
        <f>P757+IF(LEN($Z$758)&gt;0,1,0)</f>
        <v/>
      </c>
      <c r="Q758" s="2">
        <f>Q757+IF(LEN($AA$758)&gt;0,1,0)</f>
        <v/>
      </c>
      <c r="R758" s="2">
        <f>R757+IF(LEN($AB$758)&gt;0,1,0)</f>
        <v/>
      </c>
      <c r="S758" s="2">
        <f>S757+IF(LEN($AC$758)&gt;0,1,0)</f>
        <v/>
      </c>
      <c r="T758" s="2">
        <f>T757+IF(LEN($AD$758)&gt;0,1,0)</f>
        <v/>
      </c>
      <c r="U758" s="2">
        <f>U757+IF(LEN($AE$758)&gt;0,1,0)</f>
        <v/>
      </c>
      <c r="V758" s="2">
        <f>V757+IF(LEN($AF$758)&gt;0,1,0)</f>
        <v/>
      </c>
      <c r="X758" s="2">
        <f>IF(ISERROR($B$758),"",IF(ISBLANK($B$758),"",$B$758))</f>
        <v/>
      </c>
      <c r="Y758" s="2">
        <f>IF(ISERROR($C$758),"",IF(ISBLANK($C$758),"",$C$758))</f>
        <v/>
      </c>
      <c r="Z758" s="2">
        <f>IF(ISERROR($D$758),"",IF(ISBLANK($D$758),"",$D$758))</f>
        <v/>
      </c>
      <c r="AA758" s="2">
        <f>IF(ISERROR($E$758),"",IF(ISBLANK($E$758),"",$E$758))</f>
        <v/>
      </c>
      <c r="AB758" s="2">
        <f>IF(ISERROR($F$758),"",IF(ISBLANK($F$758),"",$F$758))</f>
        <v/>
      </c>
      <c r="AC758" s="2">
        <f>IF(ISERROR($G$758),"",IF(ISBLANK($G$758),"",$G$758))</f>
        <v/>
      </c>
      <c r="AD758" s="2">
        <f>IF(ISERROR($H$758),"",IF(ISBLANK($H$758),"",$H$758))</f>
        <v/>
      </c>
      <c r="AE758" s="2">
        <f>IF(ISERROR($I$758),"",IF(ISBLANK($I$758),"",$I$758))</f>
        <v/>
      </c>
      <c r="AF758" s="2">
        <f>IF(ISERROR($J$758),"",IF(ISBLANK($J$758),"",$J$758))</f>
        <v/>
      </c>
      <c r="AG758" s="2">
        <f>ISERROR($B$758)*1+ISERROR($C$758)*1+ISERROR($D$758)*1+ISERROR($E$758)*1+ISERROR($F$758)*1+ISERROR($G$758)*1+ISERROR($H$758)*1+ISERROR($I$758)*1+ISERROR($J$758)*1</f>
        <v/>
      </c>
    </row>
    <row r="759" ht="26" customHeight="1">
      <c r="B759" s="35" t="n"/>
      <c r="C759" s="29" t="n"/>
      <c r="D759" s="29" t="n"/>
      <c r="E759" s="29" t="n"/>
      <c r="F759" s="29" t="n"/>
      <c r="G759" s="29" t="n"/>
      <c r="H759" s="29" t="n"/>
      <c r="I759" s="29" t="n"/>
      <c r="J759" s="29" t="n"/>
      <c r="K759" s="19">
        <f>IF(AG759&gt;0,"O Google leu como fórmula: digite de novo com ' na frente.","")</f>
        <v/>
      </c>
      <c r="N759" s="2">
        <f>N758+IF(LEN($X$759)&gt;0,1,0)</f>
        <v/>
      </c>
      <c r="O759" s="2">
        <f>O758+IF(LEN($Y$759)&gt;0,1,0)</f>
        <v/>
      </c>
      <c r="P759" s="2">
        <f>P758+IF(LEN($Z$759)&gt;0,1,0)</f>
        <v/>
      </c>
      <c r="Q759" s="2">
        <f>Q758+IF(LEN($AA$759)&gt;0,1,0)</f>
        <v/>
      </c>
      <c r="R759" s="2">
        <f>R758+IF(LEN($AB$759)&gt;0,1,0)</f>
        <v/>
      </c>
      <c r="S759" s="2">
        <f>S758+IF(LEN($AC$759)&gt;0,1,0)</f>
        <v/>
      </c>
      <c r="T759" s="2">
        <f>T758+IF(LEN($AD$759)&gt;0,1,0)</f>
        <v/>
      </c>
      <c r="U759" s="2">
        <f>U758+IF(LEN($AE$759)&gt;0,1,0)</f>
        <v/>
      </c>
      <c r="V759" s="2">
        <f>V758+IF(LEN($AF$759)&gt;0,1,0)</f>
        <v/>
      </c>
      <c r="X759" s="2">
        <f>IF(ISERROR($B$759),"",IF(ISBLANK($B$759),"",$B$759))</f>
        <v/>
      </c>
      <c r="Y759" s="2">
        <f>IF(ISERROR($C$759),"",IF(ISBLANK($C$759),"",$C$759))</f>
        <v/>
      </c>
      <c r="Z759" s="2">
        <f>IF(ISERROR($D$759),"",IF(ISBLANK($D$759),"",$D$759))</f>
        <v/>
      </c>
      <c r="AA759" s="2">
        <f>IF(ISERROR($E$759),"",IF(ISBLANK($E$759),"",$E$759))</f>
        <v/>
      </c>
      <c r="AB759" s="2">
        <f>IF(ISERROR($F$759),"",IF(ISBLANK($F$759),"",$F$759))</f>
        <v/>
      </c>
      <c r="AC759" s="2">
        <f>IF(ISERROR($G$759),"",IF(ISBLANK($G$759),"",$G$759))</f>
        <v/>
      </c>
      <c r="AD759" s="2">
        <f>IF(ISERROR($H$759),"",IF(ISBLANK($H$759),"",$H$759))</f>
        <v/>
      </c>
      <c r="AE759" s="2">
        <f>IF(ISERROR($I$759),"",IF(ISBLANK($I$759),"",$I$759))</f>
        <v/>
      </c>
      <c r="AF759" s="2">
        <f>IF(ISERROR($J$759),"",IF(ISBLANK($J$759),"",$J$759))</f>
        <v/>
      </c>
      <c r="AG759" s="2">
        <f>ISERROR($B$759)*1+ISERROR($C$759)*1+ISERROR($D$759)*1+ISERROR($E$759)*1+ISERROR($F$759)*1+ISERROR($G$759)*1+ISERROR($H$759)*1+ISERROR($I$759)*1+ISERROR($J$759)*1</f>
        <v/>
      </c>
    </row>
    <row r="760" ht="26" customHeight="1">
      <c r="B760" s="33" t="n"/>
      <c r="C760" s="4" t="n"/>
      <c r="D760" s="4" t="n"/>
      <c r="E760" s="4" t="n"/>
      <c r="F760" s="4" t="n"/>
      <c r="G760" s="4" t="n"/>
      <c r="H760" s="4" t="n"/>
      <c r="I760" s="4" t="n"/>
      <c r="J760" s="4" t="n"/>
      <c r="K760" s="19">
        <f>IF(AG760&gt;0,"O Google leu como fórmula: digite de novo com ' na frente.","")</f>
        <v/>
      </c>
      <c r="N760" s="2">
        <f>N759+IF(LEN($X$760)&gt;0,1,0)</f>
        <v/>
      </c>
      <c r="O760" s="2">
        <f>O759+IF(LEN($Y$760)&gt;0,1,0)</f>
        <v/>
      </c>
      <c r="P760" s="2">
        <f>P759+IF(LEN($Z$760)&gt;0,1,0)</f>
        <v/>
      </c>
      <c r="Q760" s="2">
        <f>Q759+IF(LEN($AA$760)&gt;0,1,0)</f>
        <v/>
      </c>
      <c r="R760" s="2">
        <f>R759+IF(LEN($AB$760)&gt;0,1,0)</f>
        <v/>
      </c>
      <c r="S760" s="2">
        <f>S759+IF(LEN($AC$760)&gt;0,1,0)</f>
        <v/>
      </c>
      <c r="T760" s="2">
        <f>T759+IF(LEN($AD$760)&gt;0,1,0)</f>
        <v/>
      </c>
      <c r="U760" s="2">
        <f>U759+IF(LEN($AE$760)&gt;0,1,0)</f>
        <v/>
      </c>
      <c r="V760" s="2">
        <f>V759+IF(LEN($AF$760)&gt;0,1,0)</f>
        <v/>
      </c>
      <c r="X760" s="2">
        <f>IF(ISERROR($B$760),"",IF(ISBLANK($B$760),"",$B$760))</f>
        <v/>
      </c>
      <c r="Y760" s="2">
        <f>IF(ISERROR($C$760),"",IF(ISBLANK($C$760),"",$C$760))</f>
        <v/>
      </c>
      <c r="Z760" s="2">
        <f>IF(ISERROR($D$760),"",IF(ISBLANK($D$760),"",$D$760))</f>
        <v/>
      </c>
      <c r="AA760" s="2">
        <f>IF(ISERROR($E$760),"",IF(ISBLANK($E$760),"",$E$760))</f>
        <v/>
      </c>
      <c r="AB760" s="2">
        <f>IF(ISERROR($F$760),"",IF(ISBLANK($F$760),"",$F$760))</f>
        <v/>
      </c>
      <c r="AC760" s="2">
        <f>IF(ISERROR($G$760),"",IF(ISBLANK($G$760),"",$G$760))</f>
        <v/>
      </c>
      <c r="AD760" s="2">
        <f>IF(ISERROR($H$760),"",IF(ISBLANK($H$760),"",$H$760))</f>
        <v/>
      </c>
      <c r="AE760" s="2">
        <f>IF(ISERROR($I$760),"",IF(ISBLANK($I$760),"",$I$760))</f>
        <v/>
      </c>
      <c r="AF760" s="2">
        <f>IF(ISERROR($J$760),"",IF(ISBLANK($J$760),"",$J$760))</f>
        <v/>
      </c>
      <c r="AG760" s="2">
        <f>ISERROR($B$760)*1+ISERROR($C$760)*1+ISERROR($D$760)*1+ISERROR($E$760)*1+ISERROR($F$760)*1+ISERROR($G$760)*1+ISERROR($H$760)*1+ISERROR($I$760)*1+ISERROR($J$760)*1</f>
        <v/>
      </c>
    </row>
    <row r="761" ht="26" customHeight="1">
      <c r="B761" s="35" t="n"/>
      <c r="C761" s="29" t="n"/>
      <c r="D761" s="29" t="n"/>
      <c r="E761" s="29" t="n"/>
      <c r="F761" s="29" t="n"/>
      <c r="G761" s="29" t="n"/>
      <c r="H761" s="29" t="n"/>
      <c r="I761" s="29" t="n"/>
      <c r="J761" s="29" t="n"/>
      <c r="K761" s="19">
        <f>IF(AG761&gt;0,"O Google leu como fórmula: digite de novo com ' na frente.","")</f>
        <v/>
      </c>
      <c r="N761" s="2">
        <f>N760+IF(LEN($X$761)&gt;0,1,0)</f>
        <v/>
      </c>
      <c r="O761" s="2">
        <f>O760+IF(LEN($Y$761)&gt;0,1,0)</f>
        <v/>
      </c>
      <c r="P761" s="2">
        <f>P760+IF(LEN($Z$761)&gt;0,1,0)</f>
        <v/>
      </c>
      <c r="Q761" s="2">
        <f>Q760+IF(LEN($AA$761)&gt;0,1,0)</f>
        <v/>
      </c>
      <c r="R761" s="2">
        <f>R760+IF(LEN($AB$761)&gt;0,1,0)</f>
        <v/>
      </c>
      <c r="S761" s="2">
        <f>S760+IF(LEN($AC$761)&gt;0,1,0)</f>
        <v/>
      </c>
      <c r="T761" s="2">
        <f>T760+IF(LEN($AD$761)&gt;0,1,0)</f>
        <v/>
      </c>
      <c r="U761" s="2">
        <f>U760+IF(LEN($AE$761)&gt;0,1,0)</f>
        <v/>
      </c>
      <c r="V761" s="2">
        <f>V760+IF(LEN($AF$761)&gt;0,1,0)</f>
        <v/>
      </c>
      <c r="X761" s="2">
        <f>IF(ISERROR($B$761),"",IF(ISBLANK($B$761),"",$B$761))</f>
        <v/>
      </c>
      <c r="Y761" s="2">
        <f>IF(ISERROR($C$761),"",IF(ISBLANK($C$761),"",$C$761))</f>
        <v/>
      </c>
      <c r="Z761" s="2">
        <f>IF(ISERROR($D$761),"",IF(ISBLANK($D$761),"",$D$761))</f>
        <v/>
      </c>
      <c r="AA761" s="2">
        <f>IF(ISERROR($E$761),"",IF(ISBLANK($E$761),"",$E$761))</f>
        <v/>
      </c>
      <c r="AB761" s="2">
        <f>IF(ISERROR($F$761),"",IF(ISBLANK($F$761),"",$F$761))</f>
        <v/>
      </c>
      <c r="AC761" s="2">
        <f>IF(ISERROR($G$761),"",IF(ISBLANK($G$761),"",$G$761))</f>
        <v/>
      </c>
      <c r="AD761" s="2">
        <f>IF(ISERROR($H$761),"",IF(ISBLANK($H$761),"",$H$761))</f>
        <v/>
      </c>
      <c r="AE761" s="2">
        <f>IF(ISERROR($I$761),"",IF(ISBLANK($I$761),"",$I$761))</f>
        <v/>
      </c>
      <c r="AF761" s="2">
        <f>IF(ISERROR($J$761),"",IF(ISBLANK($J$761),"",$J$761))</f>
        <v/>
      </c>
      <c r="AG761" s="2">
        <f>ISERROR($B$761)*1+ISERROR($C$761)*1+ISERROR($D$761)*1+ISERROR($E$761)*1+ISERROR($F$761)*1+ISERROR($G$761)*1+ISERROR($H$761)*1+ISERROR($I$761)*1+ISERROR($J$761)*1</f>
        <v/>
      </c>
    </row>
    <row r="762" ht="26" customHeight="1">
      <c r="B762" s="33" t="n"/>
      <c r="C762" s="4" t="n"/>
      <c r="D762" s="4" t="n"/>
      <c r="E762" s="4" t="n"/>
      <c r="F762" s="4" t="n"/>
      <c r="G762" s="4" t="n"/>
      <c r="H762" s="4" t="n"/>
      <c r="I762" s="4" t="n"/>
      <c r="J762" s="4" t="n"/>
      <c r="K762" s="19">
        <f>IF(AG762&gt;0,"O Google leu como fórmula: digite de novo com ' na frente.","")</f>
        <v/>
      </c>
      <c r="N762" s="2">
        <f>N761+IF(LEN($X$762)&gt;0,1,0)</f>
        <v/>
      </c>
      <c r="O762" s="2">
        <f>O761+IF(LEN($Y$762)&gt;0,1,0)</f>
        <v/>
      </c>
      <c r="P762" s="2">
        <f>P761+IF(LEN($Z$762)&gt;0,1,0)</f>
        <v/>
      </c>
      <c r="Q762" s="2">
        <f>Q761+IF(LEN($AA$762)&gt;0,1,0)</f>
        <v/>
      </c>
      <c r="R762" s="2">
        <f>R761+IF(LEN($AB$762)&gt;0,1,0)</f>
        <v/>
      </c>
      <c r="S762" s="2">
        <f>S761+IF(LEN($AC$762)&gt;0,1,0)</f>
        <v/>
      </c>
      <c r="T762" s="2">
        <f>T761+IF(LEN($AD$762)&gt;0,1,0)</f>
        <v/>
      </c>
      <c r="U762" s="2">
        <f>U761+IF(LEN($AE$762)&gt;0,1,0)</f>
        <v/>
      </c>
      <c r="V762" s="2">
        <f>V761+IF(LEN($AF$762)&gt;0,1,0)</f>
        <v/>
      </c>
      <c r="X762" s="2">
        <f>IF(ISERROR($B$762),"",IF(ISBLANK($B$762),"",$B$762))</f>
        <v/>
      </c>
      <c r="Y762" s="2">
        <f>IF(ISERROR($C$762),"",IF(ISBLANK($C$762),"",$C$762))</f>
        <v/>
      </c>
      <c r="Z762" s="2">
        <f>IF(ISERROR($D$762),"",IF(ISBLANK($D$762),"",$D$762))</f>
        <v/>
      </c>
      <c r="AA762" s="2">
        <f>IF(ISERROR($E$762),"",IF(ISBLANK($E$762),"",$E$762))</f>
        <v/>
      </c>
      <c r="AB762" s="2">
        <f>IF(ISERROR($F$762),"",IF(ISBLANK($F$762),"",$F$762))</f>
        <v/>
      </c>
      <c r="AC762" s="2">
        <f>IF(ISERROR($G$762),"",IF(ISBLANK($G$762),"",$G$762))</f>
        <v/>
      </c>
      <c r="AD762" s="2">
        <f>IF(ISERROR($H$762),"",IF(ISBLANK($H$762),"",$H$762))</f>
        <v/>
      </c>
      <c r="AE762" s="2">
        <f>IF(ISERROR($I$762),"",IF(ISBLANK($I$762),"",$I$762))</f>
        <v/>
      </c>
      <c r="AF762" s="2">
        <f>IF(ISERROR($J$762),"",IF(ISBLANK($J$762),"",$J$762))</f>
        <v/>
      </c>
      <c r="AG762" s="2">
        <f>ISERROR($B$762)*1+ISERROR($C$762)*1+ISERROR($D$762)*1+ISERROR($E$762)*1+ISERROR($F$762)*1+ISERROR($G$762)*1+ISERROR($H$762)*1+ISERROR($I$762)*1+ISERROR($J$762)*1</f>
        <v/>
      </c>
    </row>
    <row r="763" ht="26" customHeight="1">
      <c r="B763" s="35" t="n"/>
      <c r="C763" s="29" t="n"/>
      <c r="D763" s="29" t="n"/>
      <c r="E763" s="29" t="n"/>
      <c r="F763" s="29" t="n"/>
      <c r="G763" s="29" t="n"/>
      <c r="H763" s="29" t="n"/>
      <c r="I763" s="29" t="n"/>
      <c r="J763" s="29" t="n"/>
      <c r="K763" s="19">
        <f>IF(AG763&gt;0,"O Google leu como fórmula: digite de novo com ' na frente.","")</f>
        <v/>
      </c>
      <c r="N763" s="2">
        <f>N762+IF(LEN($X$763)&gt;0,1,0)</f>
        <v/>
      </c>
      <c r="O763" s="2">
        <f>O762+IF(LEN($Y$763)&gt;0,1,0)</f>
        <v/>
      </c>
      <c r="P763" s="2">
        <f>P762+IF(LEN($Z$763)&gt;0,1,0)</f>
        <v/>
      </c>
      <c r="Q763" s="2">
        <f>Q762+IF(LEN($AA$763)&gt;0,1,0)</f>
        <v/>
      </c>
      <c r="R763" s="2">
        <f>R762+IF(LEN($AB$763)&gt;0,1,0)</f>
        <v/>
      </c>
      <c r="S763" s="2">
        <f>S762+IF(LEN($AC$763)&gt;0,1,0)</f>
        <v/>
      </c>
      <c r="T763" s="2">
        <f>T762+IF(LEN($AD$763)&gt;0,1,0)</f>
        <v/>
      </c>
      <c r="U763" s="2">
        <f>U762+IF(LEN($AE$763)&gt;0,1,0)</f>
        <v/>
      </c>
      <c r="V763" s="2">
        <f>V762+IF(LEN($AF$763)&gt;0,1,0)</f>
        <v/>
      </c>
      <c r="X763" s="2">
        <f>IF(ISERROR($B$763),"",IF(ISBLANK($B$763),"",$B$763))</f>
        <v/>
      </c>
      <c r="Y763" s="2">
        <f>IF(ISERROR($C$763),"",IF(ISBLANK($C$763),"",$C$763))</f>
        <v/>
      </c>
      <c r="Z763" s="2">
        <f>IF(ISERROR($D$763),"",IF(ISBLANK($D$763),"",$D$763))</f>
        <v/>
      </c>
      <c r="AA763" s="2">
        <f>IF(ISERROR($E$763),"",IF(ISBLANK($E$763),"",$E$763))</f>
        <v/>
      </c>
      <c r="AB763" s="2">
        <f>IF(ISERROR($F$763),"",IF(ISBLANK($F$763),"",$F$763))</f>
        <v/>
      </c>
      <c r="AC763" s="2">
        <f>IF(ISERROR($G$763),"",IF(ISBLANK($G$763),"",$G$763))</f>
        <v/>
      </c>
      <c r="AD763" s="2">
        <f>IF(ISERROR($H$763),"",IF(ISBLANK($H$763),"",$H$763))</f>
        <v/>
      </c>
      <c r="AE763" s="2">
        <f>IF(ISERROR($I$763),"",IF(ISBLANK($I$763),"",$I$763))</f>
        <v/>
      </c>
      <c r="AF763" s="2">
        <f>IF(ISERROR($J$763),"",IF(ISBLANK($J$763),"",$J$763))</f>
        <v/>
      </c>
      <c r="AG763" s="2">
        <f>ISERROR($B$763)*1+ISERROR($C$763)*1+ISERROR($D$763)*1+ISERROR($E$763)*1+ISERROR($F$763)*1+ISERROR($G$763)*1+ISERROR($H$763)*1+ISERROR($I$763)*1+ISERROR($J$763)*1</f>
        <v/>
      </c>
    </row>
    <row r="764" ht="26" customHeight="1">
      <c r="B764" s="33" t="n"/>
      <c r="C764" s="4" t="n"/>
      <c r="D764" s="4" t="n"/>
      <c r="E764" s="4" t="n"/>
      <c r="F764" s="4" t="n"/>
      <c r="G764" s="4" t="n"/>
      <c r="H764" s="4" t="n"/>
      <c r="I764" s="4" t="n"/>
      <c r="J764" s="4" t="n"/>
      <c r="K764" s="19">
        <f>IF(AG764&gt;0,"O Google leu como fórmula: digite de novo com ' na frente.","")</f>
        <v/>
      </c>
      <c r="N764" s="2">
        <f>N763+IF(LEN($X$764)&gt;0,1,0)</f>
        <v/>
      </c>
      <c r="O764" s="2">
        <f>O763+IF(LEN($Y$764)&gt;0,1,0)</f>
        <v/>
      </c>
      <c r="P764" s="2">
        <f>P763+IF(LEN($Z$764)&gt;0,1,0)</f>
        <v/>
      </c>
      <c r="Q764" s="2">
        <f>Q763+IF(LEN($AA$764)&gt;0,1,0)</f>
        <v/>
      </c>
      <c r="R764" s="2">
        <f>R763+IF(LEN($AB$764)&gt;0,1,0)</f>
        <v/>
      </c>
      <c r="S764" s="2">
        <f>S763+IF(LEN($AC$764)&gt;0,1,0)</f>
        <v/>
      </c>
      <c r="T764" s="2">
        <f>T763+IF(LEN($AD$764)&gt;0,1,0)</f>
        <v/>
      </c>
      <c r="U764" s="2">
        <f>U763+IF(LEN($AE$764)&gt;0,1,0)</f>
        <v/>
      </c>
      <c r="V764" s="2">
        <f>V763+IF(LEN($AF$764)&gt;0,1,0)</f>
        <v/>
      </c>
      <c r="X764" s="2">
        <f>IF(ISERROR($B$764),"",IF(ISBLANK($B$764),"",$B$764))</f>
        <v/>
      </c>
      <c r="Y764" s="2">
        <f>IF(ISERROR($C$764),"",IF(ISBLANK($C$764),"",$C$764))</f>
        <v/>
      </c>
      <c r="Z764" s="2">
        <f>IF(ISERROR($D$764),"",IF(ISBLANK($D$764),"",$D$764))</f>
        <v/>
      </c>
      <c r="AA764" s="2">
        <f>IF(ISERROR($E$764),"",IF(ISBLANK($E$764),"",$E$764))</f>
        <v/>
      </c>
      <c r="AB764" s="2">
        <f>IF(ISERROR($F$764),"",IF(ISBLANK($F$764),"",$F$764))</f>
        <v/>
      </c>
      <c r="AC764" s="2">
        <f>IF(ISERROR($G$764),"",IF(ISBLANK($G$764),"",$G$764))</f>
        <v/>
      </c>
      <c r="AD764" s="2">
        <f>IF(ISERROR($H$764),"",IF(ISBLANK($H$764),"",$H$764))</f>
        <v/>
      </c>
      <c r="AE764" s="2">
        <f>IF(ISERROR($I$764),"",IF(ISBLANK($I$764),"",$I$764))</f>
        <v/>
      </c>
      <c r="AF764" s="2">
        <f>IF(ISERROR($J$764),"",IF(ISBLANK($J$764),"",$J$764))</f>
        <v/>
      </c>
      <c r="AG764" s="2">
        <f>ISERROR($B$764)*1+ISERROR($C$764)*1+ISERROR($D$764)*1+ISERROR($E$764)*1+ISERROR($F$764)*1+ISERROR($G$764)*1+ISERROR($H$764)*1+ISERROR($I$764)*1+ISERROR($J$764)*1</f>
        <v/>
      </c>
    </row>
    <row r="765" ht="26" customHeight="1">
      <c r="B765" s="35" t="n"/>
      <c r="C765" s="29" t="n"/>
      <c r="D765" s="29" t="n"/>
      <c r="E765" s="29" t="n"/>
      <c r="F765" s="29" t="n"/>
      <c r="G765" s="29" t="n"/>
      <c r="H765" s="29" t="n"/>
      <c r="I765" s="29" t="n"/>
      <c r="J765" s="29" t="n"/>
      <c r="K765" s="19">
        <f>IF(AG765&gt;0,"O Google leu como fórmula: digite de novo com ' na frente.","")</f>
        <v/>
      </c>
      <c r="N765" s="2">
        <f>N764+IF(LEN($X$765)&gt;0,1,0)</f>
        <v/>
      </c>
      <c r="O765" s="2">
        <f>O764+IF(LEN($Y$765)&gt;0,1,0)</f>
        <v/>
      </c>
      <c r="P765" s="2">
        <f>P764+IF(LEN($Z$765)&gt;0,1,0)</f>
        <v/>
      </c>
      <c r="Q765" s="2">
        <f>Q764+IF(LEN($AA$765)&gt;0,1,0)</f>
        <v/>
      </c>
      <c r="R765" s="2">
        <f>R764+IF(LEN($AB$765)&gt;0,1,0)</f>
        <v/>
      </c>
      <c r="S765" s="2">
        <f>S764+IF(LEN($AC$765)&gt;0,1,0)</f>
        <v/>
      </c>
      <c r="T765" s="2">
        <f>T764+IF(LEN($AD$765)&gt;0,1,0)</f>
        <v/>
      </c>
      <c r="U765" s="2">
        <f>U764+IF(LEN($AE$765)&gt;0,1,0)</f>
        <v/>
      </c>
      <c r="V765" s="2">
        <f>V764+IF(LEN($AF$765)&gt;0,1,0)</f>
        <v/>
      </c>
      <c r="X765" s="2">
        <f>IF(ISERROR($B$765),"",IF(ISBLANK($B$765),"",$B$765))</f>
        <v/>
      </c>
      <c r="Y765" s="2">
        <f>IF(ISERROR($C$765),"",IF(ISBLANK($C$765),"",$C$765))</f>
        <v/>
      </c>
      <c r="Z765" s="2">
        <f>IF(ISERROR($D$765),"",IF(ISBLANK($D$765),"",$D$765))</f>
        <v/>
      </c>
      <c r="AA765" s="2">
        <f>IF(ISERROR($E$765),"",IF(ISBLANK($E$765),"",$E$765))</f>
        <v/>
      </c>
      <c r="AB765" s="2">
        <f>IF(ISERROR($F$765),"",IF(ISBLANK($F$765),"",$F$765))</f>
        <v/>
      </c>
      <c r="AC765" s="2">
        <f>IF(ISERROR($G$765),"",IF(ISBLANK($G$765),"",$G$765))</f>
        <v/>
      </c>
      <c r="AD765" s="2">
        <f>IF(ISERROR($H$765),"",IF(ISBLANK($H$765),"",$H$765))</f>
        <v/>
      </c>
      <c r="AE765" s="2">
        <f>IF(ISERROR($I$765),"",IF(ISBLANK($I$765),"",$I$765))</f>
        <v/>
      </c>
      <c r="AF765" s="2">
        <f>IF(ISERROR($J$765),"",IF(ISBLANK($J$765),"",$J$765))</f>
        <v/>
      </c>
      <c r="AG765" s="2">
        <f>ISERROR($B$765)*1+ISERROR($C$765)*1+ISERROR($D$765)*1+ISERROR($E$765)*1+ISERROR($F$765)*1+ISERROR($G$765)*1+ISERROR($H$765)*1+ISERROR($I$765)*1+ISERROR($J$765)*1</f>
        <v/>
      </c>
    </row>
    <row r="766" ht="26" customHeight="1">
      <c r="B766" s="33" t="n"/>
      <c r="C766" s="4" t="n"/>
      <c r="D766" s="4" t="n"/>
      <c r="E766" s="4" t="n"/>
      <c r="F766" s="4" t="n"/>
      <c r="G766" s="4" t="n"/>
      <c r="H766" s="4" t="n"/>
      <c r="I766" s="4" t="n"/>
      <c r="J766" s="4" t="n"/>
      <c r="K766" s="19">
        <f>IF(AG766&gt;0,"O Google leu como fórmula: digite de novo com ' na frente.","")</f>
        <v/>
      </c>
      <c r="N766" s="2">
        <f>N765+IF(LEN($X$766)&gt;0,1,0)</f>
        <v/>
      </c>
      <c r="O766" s="2">
        <f>O765+IF(LEN($Y$766)&gt;0,1,0)</f>
        <v/>
      </c>
      <c r="P766" s="2">
        <f>P765+IF(LEN($Z$766)&gt;0,1,0)</f>
        <v/>
      </c>
      <c r="Q766" s="2">
        <f>Q765+IF(LEN($AA$766)&gt;0,1,0)</f>
        <v/>
      </c>
      <c r="R766" s="2">
        <f>R765+IF(LEN($AB$766)&gt;0,1,0)</f>
        <v/>
      </c>
      <c r="S766" s="2">
        <f>S765+IF(LEN($AC$766)&gt;0,1,0)</f>
        <v/>
      </c>
      <c r="T766" s="2">
        <f>T765+IF(LEN($AD$766)&gt;0,1,0)</f>
        <v/>
      </c>
      <c r="U766" s="2">
        <f>U765+IF(LEN($AE$766)&gt;0,1,0)</f>
        <v/>
      </c>
      <c r="V766" s="2">
        <f>V765+IF(LEN($AF$766)&gt;0,1,0)</f>
        <v/>
      </c>
      <c r="X766" s="2">
        <f>IF(ISERROR($B$766),"",IF(ISBLANK($B$766),"",$B$766))</f>
        <v/>
      </c>
      <c r="Y766" s="2">
        <f>IF(ISERROR($C$766),"",IF(ISBLANK($C$766),"",$C$766))</f>
        <v/>
      </c>
      <c r="Z766" s="2">
        <f>IF(ISERROR($D$766),"",IF(ISBLANK($D$766),"",$D$766))</f>
        <v/>
      </c>
      <c r="AA766" s="2">
        <f>IF(ISERROR($E$766),"",IF(ISBLANK($E$766),"",$E$766))</f>
        <v/>
      </c>
      <c r="AB766" s="2">
        <f>IF(ISERROR($F$766),"",IF(ISBLANK($F$766),"",$F$766))</f>
        <v/>
      </c>
      <c r="AC766" s="2">
        <f>IF(ISERROR($G$766),"",IF(ISBLANK($G$766),"",$G$766))</f>
        <v/>
      </c>
      <c r="AD766" s="2">
        <f>IF(ISERROR($H$766),"",IF(ISBLANK($H$766),"",$H$766))</f>
        <v/>
      </c>
      <c r="AE766" s="2">
        <f>IF(ISERROR($I$766),"",IF(ISBLANK($I$766),"",$I$766))</f>
        <v/>
      </c>
      <c r="AF766" s="2">
        <f>IF(ISERROR($J$766),"",IF(ISBLANK($J$766),"",$J$766))</f>
        <v/>
      </c>
      <c r="AG766" s="2">
        <f>ISERROR($B$766)*1+ISERROR($C$766)*1+ISERROR($D$766)*1+ISERROR($E$766)*1+ISERROR($F$766)*1+ISERROR($G$766)*1+ISERROR($H$766)*1+ISERROR($I$766)*1+ISERROR($J$766)*1</f>
        <v/>
      </c>
    </row>
    <row r="767" ht="26" customHeight="1">
      <c r="B767" s="35" t="n"/>
      <c r="C767" s="29" t="n"/>
      <c r="D767" s="29" t="n"/>
      <c r="E767" s="29" t="n"/>
      <c r="F767" s="29" t="n"/>
      <c r="G767" s="29" t="n"/>
      <c r="H767" s="29" t="n"/>
      <c r="I767" s="29" t="n"/>
      <c r="J767" s="29" t="n"/>
      <c r="K767" s="19">
        <f>IF(AG767&gt;0,"O Google leu como fórmula: digite de novo com ' na frente.","")</f>
        <v/>
      </c>
      <c r="N767" s="2">
        <f>N766+IF(LEN($X$767)&gt;0,1,0)</f>
        <v/>
      </c>
      <c r="O767" s="2">
        <f>O766+IF(LEN($Y$767)&gt;0,1,0)</f>
        <v/>
      </c>
      <c r="P767" s="2">
        <f>P766+IF(LEN($Z$767)&gt;0,1,0)</f>
        <v/>
      </c>
      <c r="Q767" s="2">
        <f>Q766+IF(LEN($AA$767)&gt;0,1,0)</f>
        <v/>
      </c>
      <c r="R767" s="2">
        <f>R766+IF(LEN($AB$767)&gt;0,1,0)</f>
        <v/>
      </c>
      <c r="S767" s="2">
        <f>S766+IF(LEN($AC$767)&gt;0,1,0)</f>
        <v/>
      </c>
      <c r="T767" s="2">
        <f>T766+IF(LEN($AD$767)&gt;0,1,0)</f>
        <v/>
      </c>
      <c r="U767" s="2">
        <f>U766+IF(LEN($AE$767)&gt;0,1,0)</f>
        <v/>
      </c>
      <c r="V767" s="2">
        <f>V766+IF(LEN($AF$767)&gt;0,1,0)</f>
        <v/>
      </c>
      <c r="X767" s="2">
        <f>IF(ISERROR($B$767),"",IF(ISBLANK($B$767),"",$B$767))</f>
        <v/>
      </c>
      <c r="Y767" s="2">
        <f>IF(ISERROR($C$767),"",IF(ISBLANK($C$767),"",$C$767))</f>
        <v/>
      </c>
      <c r="Z767" s="2">
        <f>IF(ISERROR($D$767),"",IF(ISBLANK($D$767),"",$D$767))</f>
        <v/>
      </c>
      <c r="AA767" s="2">
        <f>IF(ISERROR($E$767),"",IF(ISBLANK($E$767),"",$E$767))</f>
        <v/>
      </c>
      <c r="AB767" s="2">
        <f>IF(ISERROR($F$767),"",IF(ISBLANK($F$767),"",$F$767))</f>
        <v/>
      </c>
      <c r="AC767" s="2">
        <f>IF(ISERROR($G$767),"",IF(ISBLANK($G$767),"",$G$767))</f>
        <v/>
      </c>
      <c r="AD767" s="2">
        <f>IF(ISERROR($H$767),"",IF(ISBLANK($H$767),"",$H$767))</f>
        <v/>
      </c>
      <c r="AE767" s="2">
        <f>IF(ISERROR($I$767),"",IF(ISBLANK($I$767),"",$I$767))</f>
        <v/>
      </c>
      <c r="AF767" s="2">
        <f>IF(ISERROR($J$767),"",IF(ISBLANK($J$767),"",$J$767))</f>
        <v/>
      </c>
      <c r="AG767" s="2">
        <f>ISERROR($B$767)*1+ISERROR($C$767)*1+ISERROR($D$767)*1+ISERROR($E$767)*1+ISERROR($F$767)*1+ISERROR($G$767)*1+ISERROR($H$767)*1+ISERROR($I$767)*1+ISERROR($J$767)*1</f>
        <v/>
      </c>
    </row>
    <row r="768" ht="26" customHeight="1">
      <c r="B768" s="33" t="n"/>
      <c r="C768" s="4" t="n"/>
      <c r="D768" s="4" t="n"/>
      <c r="E768" s="4" t="n"/>
      <c r="F768" s="4" t="n"/>
      <c r="G768" s="4" t="n"/>
      <c r="H768" s="4" t="n"/>
      <c r="I768" s="4" t="n"/>
      <c r="J768" s="4" t="n"/>
      <c r="K768" s="19">
        <f>IF(AG768&gt;0,"O Google leu como fórmula: digite de novo com ' na frente.","")</f>
        <v/>
      </c>
      <c r="N768" s="2">
        <f>N767+IF(LEN($X$768)&gt;0,1,0)</f>
        <v/>
      </c>
      <c r="O768" s="2">
        <f>O767+IF(LEN($Y$768)&gt;0,1,0)</f>
        <v/>
      </c>
      <c r="P768" s="2">
        <f>P767+IF(LEN($Z$768)&gt;0,1,0)</f>
        <v/>
      </c>
      <c r="Q768" s="2">
        <f>Q767+IF(LEN($AA$768)&gt;0,1,0)</f>
        <v/>
      </c>
      <c r="R768" s="2">
        <f>R767+IF(LEN($AB$768)&gt;0,1,0)</f>
        <v/>
      </c>
      <c r="S768" s="2">
        <f>S767+IF(LEN($AC$768)&gt;0,1,0)</f>
        <v/>
      </c>
      <c r="T768" s="2">
        <f>T767+IF(LEN($AD$768)&gt;0,1,0)</f>
        <v/>
      </c>
      <c r="U768" s="2">
        <f>U767+IF(LEN($AE$768)&gt;0,1,0)</f>
        <v/>
      </c>
      <c r="V768" s="2">
        <f>V767+IF(LEN($AF$768)&gt;0,1,0)</f>
        <v/>
      </c>
      <c r="X768" s="2">
        <f>IF(ISERROR($B$768),"",IF(ISBLANK($B$768),"",$B$768))</f>
        <v/>
      </c>
      <c r="Y768" s="2">
        <f>IF(ISERROR($C$768),"",IF(ISBLANK($C$768),"",$C$768))</f>
        <v/>
      </c>
      <c r="Z768" s="2">
        <f>IF(ISERROR($D$768),"",IF(ISBLANK($D$768),"",$D$768))</f>
        <v/>
      </c>
      <c r="AA768" s="2">
        <f>IF(ISERROR($E$768),"",IF(ISBLANK($E$768),"",$E$768))</f>
        <v/>
      </c>
      <c r="AB768" s="2">
        <f>IF(ISERROR($F$768),"",IF(ISBLANK($F$768),"",$F$768))</f>
        <v/>
      </c>
      <c r="AC768" s="2">
        <f>IF(ISERROR($G$768),"",IF(ISBLANK($G$768),"",$G$768))</f>
        <v/>
      </c>
      <c r="AD768" s="2">
        <f>IF(ISERROR($H$768),"",IF(ISBLANK($H$768),"",$H$768))</f>
        <v/>
      </c>
      <c r="AE768" s="2">
        <f>IF(ISERROR($I$768),"",IF(ISBLANK($I$768),"",$I$768))</f>
        <v/>
      </c>
      <c r="AF768" s="2">
        <f>IF(ISERROR($J$768),"",IF(ISBLANK($J$768),"",$J$768))</f>
        <v/>
      </c>
      <c r="AG768" s="2">
        <f>ISERROR($B$768)*1+ISERROR($C$768)*1+ISERROR($D$768)*1+ISERROR($E$768)*1+ISERROR($F$768)*1+ISERROR($G$768)*1+ISERROR($H$768)*1+ISERROR($I$768)*1+ISERROR($J$768)*1</f>
        <v/>
      </c>
    </row>
    <row r="769" ht="26" customHeight="1">
      <c r="B769" s="35" t="n"/>
      <c r="C769" s="29" t="n"/>
      <c r="D769" s="29" t="n"/>
      <c r="E769" s="29" t="n"/>
      <c r="F769" s="29" t="n"/>
      <c r="G769" s="29" t="n"/>
      <c r="H769" s="29" t="n"/>
      <c r="I769" s="29" t="n"/>
      <c r="J769" s="29" t="n"/>
      <c r="K769" s="19">
        <f>IF(AG769&gt;0,"O Google leu como fórmula: digite de novo com ' na frente.","")</f>
        <v/>
      </c>
      <c r="N769" s="2">
        <f>N768+IF(LEN($X$769)&gt;0,1,0)</f>
        <v/>
      </c>
      <c r="O769" s="2">
        <f>O768+IF(LEN($Y$769)&gt;0,1,0)</f>
        <v/>
      </c>
      <c r="P769" s="2">
        <f>P768+IF(LEN($Z$769)&gt;0,1,0)</f>
        <v/>
      </c>
      <c r="Q769" s="2">
        <f>Q768+IF(LEN($AA$769)&gt;0,1,0)</f>
        <v/>
      </c>
      <c r="R769" s="2">
        <f>R768+IF(LEN($AB$769)&gt;0,1,0)</f>
        <v/>
      </c>
      <c r="S769" s="2">
        <f>S768+IF(LEN($AC$769)&gt;0,1,0)</f>
        <v/>
      </c>
      <c r="T769" s="2">
        <f>T768+IF(LEN($AD$769)&gt;0,1,0)</f>
        <v/>
      </c>
      <c r="U769" s="2">
        <f>U768+IF(LEN($AE$769)&gt;0,1,0)</f>
        <v/>
      </c>
      <c r="V769" s="2">
        <f>V768+IF(LEN($AF$769)&gt;0,1,0)</f>
        <v/>
      </c>
      <c r="X769" s="2">
        <f>IF(ISERROR($B$769),"",IF(ISBLANK($B$769),"",$B$769))</f>
        <v/>
      </c>
      <c r="Y769" s="2">
        <f>IF(ISERROR($C$769),"",IF(ISBLANK($C$769),"",$C$769))</f>
        <v/>
      </c>
      <c r="Z769" s="2">
        <f>IF(ISERROR($D$769),"",IF(ISBLANK($D$769),"",$D$769))</f>
        <v/>
      </c>
      <c r="AA769" s="2">
        <f>IF(ISERROR($E$769),"",IF(ISBLANK($E$769),"",$E$769))</f>
        <v/>
      </c>
      <c r="AB769" s="2">
        <f>IF(ISERROR($F$769),"",IF(ISBLANK($F$769),"",$F$769))</f>
        <v/>
      </c>
      <c r="AC769" s="2">
        <f>IF(ISERROR($G$769),"",IF(ISBLANK($G$769),"",$G$769))</f>
        <v/>
      </c>
      <c r="AD769" s="2">
        <f>IF(ISERROR($H$769),"",IF(ISBLANK($H$769),"",$H$769))</f>
        <v/>
      </c>
      <c r="AE769" s="2">
        <f>IF(ISERROR($I$769),"",IF(ISBLANK($I$769),"",$I$769))</f>
        <v/>
      </c>
      <c r="AF769" s="2">
        <f>IF(ISERROR($J$769),"",IF(ISBLANK($J$769),"",$J$769))</f>
        <v/>
      </c>
      <c r="AG769" s="2">
        <f>ISERROR($B$769)*1+ISERROR($C$769)*1+ISERROR($D$769)*1+ISERROR($E$769)*1+ISERROR($F$769)*1+ISERROR($G$769)*1+ISERROR($H$769)*1+ISERROR($I$769)*1+ISERROR($J$769)*1</f>
        <v/>
      </c>
    </row>
    <row r="770" ht="26" customHeight="1">
      <c r="B770" s="33" t="n"/>
      <c r="C770" s="4" t="n"/>
      <c r="D770" s="4" t="n"/>
      <c r="E770" s="4" t="n"/>
      <c r="F770" s="4" t="n"/>
      <c r="G770" s="4" t="n"/>
      <c r="H770" s="4" t="n"/>
      <c r="I770" s="4" t="n"/>
      <c r="J770" s="4" t="n"/>
      <c r="K770" s="19">
        <f>IF(AG770&gt;0,"O Google leu como fórmula: digite de novo com ' na frente.","")</f>
        <v/>
      </c>
      <c r="N770" s="2">
        <f>N769+IF(LEN($X$770)&gt;0,1,0)</f>
        <v/>
      </c>
      <c r="O770" s="2">
        <f>O769+IF(LEN($Y$770)&gt;0,1,0)</f>
        <v/>
      </c>
      <c r="P770" s="2">
        <f>P769+IF(LEN($Z$770)&gt;0,1,0)</f>
        <v/>
      </c>
      <c r="Q770" s="2">
        <f>Q769+IF(LEN($AA$770)&gt;0,1,0)</f>
        <v/>
      </c>
      <c r="R770" s="2">
        <f>R769+IF(LEN($AB$770)&gt;0,1,0)</f>
        <v/>
      </c>
      <c r="S770" s="2">
        <f>S769+IF(LEN($AC$770)&gt;0,1,0)</f>
        <v/>
      </c>
      <c r="T770" s="2">
        <f>T769+IF(LEN($AD$770)&gt;0,1,0)</f>
        <v/>
      </c>
      <c r="U770" s="2">
        <f>U769+IF(LEN($AE$770)&gt;0,1,0)</f>
        <v/>
      </c>
      <c r="V770" s="2">
        <f>V769+IF(LEN($AF$770)&gt;0,1,0)</f>
        <v/>
      </c>
      <c r="X770" s="2">
        <f>IF(ISERROR($B$770),"",IF(ISBLANK($B$770),"",$B$770))</f>
        <v/>
      </c>
      <c r="Y770" s="2">
        <f>IF(ISERROR($C$770),"",IF(ISBLANK($C$770),"",$C$770))</f>
        <v/>
      </c>
      <c r="Z770" s="2">
        <f>IF(ISERROR($D$770),"",IF(ISBLANK($D$770),"",$D$770))</f>
        <v/>
      </c>
      <c r="AA770" s="2">
        <f>IF(ISERROR($E$770),"",IF(ISBLANK($E$770),"",$E$770))</f>
        <v/>
      </c>
      <c r="AB770" s="2">
        <f>IF(ISERROR($F$770),"",IF(ISBLANK($F$770),"",$F$770))</f>
        <v/>
      </c>
      <c r="AC770" s="2">
        <f>IF(ISERROR($G$770),"",IF(ISBLANK($G$770),"",$G$770))</f>
        <v/>
      </c>
      <c r="AD770" s="2">
        <f>IF(ISERROR($H$770),"",IF(ISBLANK($H$770),"",$H$770))</f>
        <v/>
      </c>
      <c r="AE770" s="2">
        <f>IF(ISERROR($I$770),"",IF(ISBLANK($I$770),"",$I$770))</f>
        <v/>
      </c>
      <c r="AF770" s="2">
        <f>IF(ISERROR($J$770),"",IF(ISBLANK($J$770),"",$J$770))</f>
        <v/>
      </c>
      <c r="AG770" s="2">
        <f>ISERROR($B$770)*1+ISERROR($C$770)*1+ISERROR($D$770)*1+ISERROR($E$770)*1+ISERROR($F$770)*1+ISERROR($G$770)*1+ISERROR($H$770)*1+ISERROR($I$770)*1+ISERROR($J$770)*1</f>
        <v/>
      </c>
    </row>
    <row r="771" ht="26" customHeight="1">
      <c r="B771" s="8" t="inlineStr">
        <is>
          <t>Pista</t>
        </is>
      </c>
      <c r="C771" s="8" t="inlineStr">
        <is>
          <t>Bugiganga</t>
        </is>
      </c>
      <c r="D771" s="8" t="inlineStr">
        <is>
          <t>Nome do Cone (início)</t>
        </is>
      </c>
      <c r="E771" s="8" t="inlineStr">
        <is>
          <t>Nome do Cone (fim)</t>
        </is>
      </c>
      <c r="F771" s="8" t="inlineStr">
        <is>
          <t>Memória do Cone</t>
        </is>
      </c>
      <c r="G771" s="8" t="inlineStr">
        <is>
          <t>Gatilho do Efeito Condicional</t>
        </is>
      </c>
      <c r="H771" s="8" t="inlineStr">
        <is>
          <t>Nome do Conjunto</t>
        </is>
      </c>
      <c r="I771" s="8" t="inlineStr">
        <is>
          <t>Origem do Conjunto</t>
        </is>
      </c>
      <c r="J771" s="8" t="inlineStr">
        <is>
          <t>Efeito de 4 peças</t>
        </is>
      </c>
      <c r="N771" s="2">
        <f>N770</f>
        <v/>
      </c>
      <c r="O771" s="2">
        <f>O770</f>
        <v/>
      </c>
      <c r="P771" s="2">
        <f>P770</f>
        <v/>
      </c>
      <c r="Q771" s="2">
        <f>Q770</f>
        <v/>
      </c>
      <c r="R771" s="2">
        <f>R770</f>
        <v/>
      </c>
      <c r="S771" s="2">
        <f>S770</f>
        <v/>
      </c>
      <c r="T771" s="2">
        <f>T770</f>
        <v/>
      </c>
      <c r="U771" s="2">
        <f>U770</f>
        <v/>
      </c>
      <c r="V771" s="2">
        <f>V770</f>
        <v/>
      </c>
      <c r="X771" s="2">
        <f>IF(ISERROR($B$771),"",IF(ISBLANK($B$771),"",$B$771))</f>
        <v/>
      </c>
      <c r="Y771" s="2">
        <f>IF(ISERROR($C$771),"",IF(ISBLANK($C$771),"",$C$771))</f>
        <v/>
      </c>
      <c r="Z771" s="2">
        <f>IF(ISERROR($D$771),"",IF(ISBLANK($D$771),"",$D$771))</f>
        <v/>
      </c>
      <c r="AA771" s="2">
        <f>IF(ISERROR($E$771),"",IF(ISBLANK($E$771),"",$E$771))</f>
        <v/>
      </c>
      <c r="AB771" s="2">
        <f>IF(ISERROR($F$771),"",IF(ISBLANK($F$771),"",$F$771))</f>
        <v/>
      </c>
      <c r="AC771" s="2">
        <f>IF(ISERROR($G$771),"",IF(ISBLANK($G$771),"",$G$771))</f>
        <v/>
      </c>
      <c r="AD771" s="2">
        <f>IF(ISERROR($H$771),"",IF(ISBLANK($H$771),"",$H$771))</f>
        <v/>
      </c>
      <c r="AE771" s="2">
        <f>IF(ISERROR($I$771),"",IF(ISBLANK($I$771),"",$I$771))</f>
        <v/>
      </c>
      <c r="AF771" s="2">
        <f>IF(ISERROR($J$771),"",IF(ISBLANK($J$771),"",$J$771))</f>
        <v/>
      </c>
    </row>
    <row r="772" ht="26" customHeight="1">
      <c r="B772" s="33" t="n"/>
      <c r="C772" s="4" t="n"/>
      <c r="D772" s="4" t="n"/>
      <c r="E772" s="4" t="n"/>
      <c r="F772" s="4" t="n"/>
      <c r="G772" s="4" t="n"/>
      <c r="H772" s="4" t="n"/>
      <c r="I772" s="4" t="n"/>
      <c r="J772" s="4" t="n"/>
      <c r="K772" s="19">
        <f>IF(AG772&gt;0,"O Google leu como fórmula: digite de novo com ' na frente.","")</f>
        <v/>
      </c>
      <c r="N772" s="2">
        <f>N771+IF(LEN($X$772)&gt;0,1,0)</f>
        <v/>
      </c>
      <c r="O772" s="2">
        <f>O771+IF(LEN($Y$772)&gt;0,1,0)</f>
        <v/>
      </c>
      <c r="P772" s="2">
        <f>P771+IF(LEN($Z$772)&gt;0,1,0)</f>
        <v/>
      </c>
      <c r="Q772" s="2">
        <f>Q771+IF(LEN($AA$772)&gt;0,1,0)</f>
        <v/>
      </c>
      <c r="R772" s="2">
        <f>R771+IF(LEN($AB$772)&gt;0,1,0)</f>
        <v/>
      </c>
      <c r="S772" s="2">
        <f>S771+IF(LEN($AC$772)&gt;0,1,0)</f>
        <v/>
      </c>
      <c r="T772" s="2">
        <f>T771+IF(LEN($AD$772)&gt;0,1,0)</f>
        <v/>
      </c>
      <c r="U772" s="2">
        <f>U771+IF(LEN($AE$772)&gt;0,1,0)</f>
        <v/>
      </c>
      <c r="V772" s="2">
        <f>V771+IF(LEN($AF$772)&gt;0,1,0)</f>
        <v/>
      </c>
      <c r="X772" s="2">
        <f>IF(ISERROR($B$772),"",IF(ISBLANK($B$772),"",$B$772))</f>
        <v/>
      </c>
      <c r="Y772" s="2">
        <f>IF(ISERROR($C$772),"",IF(ISBLANK($C$772),"",$C$772))</f>
        <v/>
      </c>
      <c r="Z772" s="2">
        <f>IF(ISERROR($D$772),"",IF(ISBLANK($D$772),"",$D$772))</f>
        <v/>
      </c>
      <c r="AA772" s="2">
        <f>IF(ISERROR($E$772),"",IF(ISBLANK($E$772),"",$E$772))</f>
        <v/>
      </c>
      <c r="AB772" s="2">
        <f>IF(ISERROR($F$772),"",IF(ISBLANK($F$772),"",$F$772))</f>
        <v/>
      </c>
      <c r="AC772" s="2">
        <f>IF(ISERROR($G$772),"",IF(ISBLANK($G$772),"",$G$772))</f>
        <v/>
      </c>
      <c r="AD772" s="2">
        <f>IF(ISERROR($H$772),"",IF(ISBLANK($H$772),"",$H$772))</f>
        <v/>
      </c>
      <c r="AE772" s="2">
        <f>IF(ISERROR($I$772),"",IF(ISBLANK($I$772),"",$I$772))</f>
        <v/>
      </c>
      <c r="AF772" s="2">
        <f>IF(ISERROR($J$772),"",IF(ISBLANK($J$772),"",$J$772))</f>
        <v/>
      </c>
      <c r="AG772" s="2">
        <f>ISERROR($B$772)*1+ISERROR($C$772)*1+ISERROR($D$772)*1+ISERROR($E$772)*1+ISERROR($F$772)*1+ISERROR($G$772)*1+ISERROR($H$772)*1+ISERROR($I$772)*1+ISERROR($J$772)*1</f>
        <v/>
      </c>
    </row>
    <row r="773" ht="26" customHeight="1">
      <c r="B773" s="35" t="n"/>
      <c r="C773" s="29" t="n"/>
      <c r="D773" s="29" t="n"/>
      <c r="E773" s="29" t="n"/>
      <c r="F773" s="29" t="n"/>
      <c r="G773" s="29" t="n"/>
      <c r="H773" s="29" t="n"/>
      <c r="I773" s="29" t="n"/>
      <c r="J773" s="29" t="n"/>
      <c r="K773" s="19">
        <f>IF(AG773&gt;0,"O Google leu como fórmula: digite de novo com ' na frente.","")</f>
        <v/>
      </c>
      <c r="N773" s="2">
        <f>N772+IF(LEN($X$773)&gt;0,1,0)</f>
        <v/>
      </c>
      <c r="O773" s="2">
        <f>O772+IF(LEN($Y$773)&gt;0,1,0)</f>
        <v/>
      </c>
      <c r="P773" s="2">
        <f>P772+IF(LEN($Z$773)&gt;0,1,0)</f>
        <v/>
      </c>
      <c r="Q773" s="2">
        <f>Q772+IF(LEN($AA$773)&gt;0,1,0)</f>
        <v/>
      </c>
      <c r="R773" s="2">
        <f>R772+IF(LEN($AB$773)&gt;0,1,0)</f>
        <v/>
      </c>
      <c r="S773" s="2">
        <f>S772+IF(LEN($AC$773)&gt;0,1,0)</f>
        <v/>
      </c>
      <c r="T773" s="2">
        <f>T772+IF(LEN($AD$773)&gt;0,1,0)</f>
        <v/>
      </c>
      <c r="U773" s="2">
        <f>U772+IF(LEN($AE$773)&gt;0,1,0)</f>
        <v/>
      </c>
      <c r="V773" s="2">
        <f>V772+IF(LEN($AF$773)&gt;0,1,0)</f>
        <v/>
      </c>
      <c r="X773" s="2">
        <f>IF(ISERROR($B$773),"",IF(ISBLANK($B$773),"",$B$773))</f>
        <v/>
      </c>
      <c r="Y773" s="2">
        <f>IF(ISERROR($C$773),"",IF(ISBLANK($C$773),"",$C$773))</f>
        <v/>
      </c>
      <c r="Z773" s="2">
        <f>IF(ISERROR($D$773),"",IF(ISBLANK($D$773),"",$D$773))</f>
        <v/>
      </c>
      <c r="AA773" s="2">
        <f>IF(ISERROR($E$773),"",IF(ISBLANK($E$773),"",$E$773))</f>
        <v/>
      </c>
      <c r="AB773" s="2">
        <f>IF(ISERROR($F$773),"",IF(ISBLANK($F$773),"",$F$773))</f>
        <v/>
      </c>
      <c r="AC773" s="2">
        <f>IF(ISERROR($G$773),"",IF(ISBLANK($G$773),"",$G$773))</f>
        <v/>
      </c>
      <c r="AD773" s="2">
        <f>IF(ISERROR($H$773),"",IF(ISBLANK($H$773),"",$H$773))</f>
        <v/>
      </c>
      <c r="AE773" s="2">
        <f>IF(ISERROR($I$773),"",IF(ISBLANK($I$773),"",$I$773))</f>
        <v/>
      </c>
      <c r="AF773" s="2">
        <f>IF(ISERROR($J$773),"",IF(ISBLANK($J$773),"",$J$773))</f>
        <v/>
      </c>
      <c r="AG773" s="2">
        <f>ISERROR($B$773)*1+ISERROR($C$773)*1+ISERROR($D$773)*1+ISERROR($E$773)*1+ISERROR($F$773)*1+ISERROR($G$773)*1+ISERROR($H$773)*1+ISERROR($I$773)*1+ISERROR($J$773)*1</f>
        <v/>
      </c>
    </row>
    <row r="774" ht="26" customHeight="1">
      <c r="B774" s="33" t="n"/>
      <c r="C774" s="4" t="n"/>
      <c r="D774" s="4" t="n"/>
      <c r="E774" s="4" t="n"/>
      <c r="F774" s="4" t="n"/>
      <c r="G774" s="4" t="n"/>
      <c r="H774" s="4" t="n"/>
      <c r="I774" s="4" t="n"/>
      <c r="J774" s="4" t="n"/>
      <c r="K774" s="19">
        <f>IF(AG774&gt;0,"O Google leu como fórmula: digite de novo com ' na frente.","")</f>
        <v/>
      </c>
      <c r="N774" s="2">
        <f>N773+IF(LEN($X$774)&gt;0,1,0)</f>
        <v/>
      </c>
      <c r="O774" s="2">
        <f>O773+IF(LEN($Y$774)&gt;0,1,0)</f>
        <v/>
      </c>
      <c r="P774" s="2">
        <f>P773+IF(LEN($Z$774)&gt;0,1,0)</f>
        <v/>
      </c>
      <c r="Q774" s="2">
        <f>Q773+IF(LEN($AA$774)&gt;0,1,0)</f>
        <v/>
      </c>
      <c r="R774" s="2">
        <f>R773+IF(LEN($AB$774)&gt;0,1,0)</f>
        <v/>
      </c>
      <c r="S774" s="2">
        <f>S773+IF(LEN($AC$774)&gt;0,1,0)</f>
        <v/>
      </c>
      <c r="T774" s="2">
        <f>T773+IF(LEN($AD$774)&gt;0,1,0)</f>
        <v/>
      </c>
      <c r="U774" s="2">
        <f>U773+IF(LEN($AE$774)&gt;0,1,0)</f>
        <v/>
      </c>
      <c r="V774" s="2">
        <f>V773+IF(LEN($AF$774)&gt;0,1,0)</f>
        <v/>
      </c>
      <c r="X774" s="2">
        <f>IF(ISERROR($B$774),"",IF(ISBLANK($B$774),"",$B$774))</f>
        <v/>
      </c>
      <c r="Y774" s="2">
        <f>IF(ISERROR($C$774),"",IF(ISBLANK($C$774),"",$C$774))</f>
        <v/>
      </c>
      <c r="Z774" s="2">
        <f>IF(ISERROR($D$774),"",IF(ISBLANK($D$774),"",$D$774))</f>
        <v/>
      </c>
      <c r="AA774" s="2">
        <f>IF(ISERROR($E$774),"",IF(ISBLANK($E$774),"",$E$774))</f>
        <v/>
      </c>
      <c r="AB774" s="2">
        <f>IF(ISERROR($F$774),"",IF(ISBLANK($F$774),"",$F$774))</f>
        <v/>
      </c>
      <c r="AC774" s="2">
        <f>IF(ISERROR($G$774),"",IF(ISBLANK($G$774),"",$G$774))</f>
        <v/>
      </c>
      <c r="AD774" s="2">
        <f>IF(ISERROR($H$774),"",IF(ISBLANK($H$774),"",$H$774))</f>
        <v/>
      </c>
      <c r="AE774" s="2">
        <f>IF(ISERROR($I$774),"",IF(ISBLANK($I$774),"",$I$774))</f>
        <v/>
      </c>
      <c r="AF774" s="2">
        <f>IF(ISERROR($J$774),"",IF(ISBLANK($J$774),"",$J$774))</f>
        <v/>
      </c>
      <c r="AG774" s="2">
        <f>ISERROR($B$774)*1+ISERROR($C$774)*1+ISERROR($D$774)*1+ISERROR($E$774)*1+ISERROR($F$774)*1+ISERROR($G$774)*1+ISERROR($H$774)*1+ISERROR($I$774)*1+ISERROR($J$774)*1</f>
        <v/>
      </c>
    </row>
    <row r="775" ht="26" customHeight="1">
      <c r="B775" s="35" t="n"/>
      <c r="C775" s="29" t="n"/>
      <c r="D775" s="29" t="n"/>
      <c r="E775" s="29" t="n"/>
      <c r="F775" s="29" t="n"/>
      <c r="G775" s="29" t="n"/>
      <c r="H775" s="29" t="n"/>
      <c r="I775" s="29" t="n"/>
      <c r="J775" s="29" t="n"/>
      <c r="K775" s="19">
        <f>IF(AG775&gt;0,"O Google leu como fórmula: digite de novo com ' na frente.","")</f>
        <v/>
      </c>
      <c r="N775" s="2">
        <f>N774+IF(LEN($X$775)&gt;0,1,0)</f>
        <v/>
      </c>
      <c r="O775" s="2">
        <f>O774+IF(LEN($Y$775)&gt;0,1,0)</f>
        <v/>
      </c>
      <c r="P775" s="2">
        <f>P774+IF(LEN($Z$775)&gt;0,1,0)</f>
        <v/>
      </c>
      <c r="Q775" s="2">
        <f>Q774+IF(LEN($AA$775)&gt;0,1,0)</f>
        <v/>
      </c>
      <c r="R775" s="2">
        <f>R774+IF(LEN($AB$775)&gt;0,1,0)</f>
        <v/>
      </c>
      <c r="S775" s="2">
        <f>S774+IF(LEN($AC$775)&gt;0,1,0)</f>
        <v/>
      </c>
      <c r="T775" s="2">
        <f>T774+IF(LEN($AD$775)&gt;0,1,0)</f>
        <v/>
      </c>
      <c r="U775" s="2">
        <f>U774+IF(LEN($AE$775)&gt;0,1,0)</f>
        <v/>
      </c>
      <c r="V775" s="2">
        <f>V774+IF(LEN($AF$775)&gt;0,1,0)</f>
        <v/>
      </c>
      <c r="X775" s="2">
        <f>IF(ISERROR($B$775),"",IF(ISBLANK($B$775),"",$B$775))</f>
        <v/>
      </c>
      <c r="Y775" s="2">
        <f>IF(ISERROR($C$775),"",IF(ISBLANK($C$775),"",$C$775))</f>
        <v/>
      </c>
      <c r="Z775" s="2">
        <f>IF(ISERROR($D$775),"",IF(ISBLANK($D$775),"",$D$775))</f>
        <v/>
      </c>
      <c r="AA775" s="2">
        <f>IF(ISERROR($E$775),"",IF(ISBLANK($E$775),"",$E$775))</f>
        <v/>
      </c>
      <c r="AB775" s="2">
        <f>IF(ISERROR($F$775),"",IF(ISBLANK($F$775),"",$F$775))</f>
        <v/>
      </c>
      <c r="AC775" s="2">
        <f>IF(ISERROR($G$775),"",IF(ISBLANK($G$775),"",$G$775))</f>
        <v/>
      </c>
      <c r="AD775" s="2">
        <f>IF(ISERROR($H$775),"",IF(ISBLANK($H$775),"",$H$775))</f>
        <v/>
      </c>
      <c r="AE775" s="2">
        <f>IF(ISERROR($I$775),"",IF(ISBLANK($I$775),"",$I$775))</f>
        <v/>
      </c>
      <c r="AF775" s="2">
        <f>IF(ISERROR($J$775),"",IF(ISBLANK($J$775),"",$J$775))</f>
        <v/>
      </c>
      <c r="AG775" s="2">
        <f>ISERROR($B$775)*1+ISERROR($C$775)*1+ISERROR($D$775)*1+ISERROR($E$775)*1+ISERROR($F$775)*1+ISERROR($G$775)*1+ISERROR($H$775)*1+ISERROR($I$775)*1+ISERROR($J$775)*1</f>
        <v/>
      </c>
    </row>
    <row r="776" ht="26" customHeight="1">
      <c r="B776" s="33" t="n"/>
      <c r="C776" s="4" t="n"/>
      <c r="D776" s="4" t="n"/>
      <c r="E776" s="4" t="n"/>
      <c r="F776" s="4" t="n"/>
      <c r="G776" s="4" t="n"/>
      <c r="H776" s="4" t="n"/>
      <c r="I776" s="4" t="n"/>
      <c r="J776" s="4" t="n"/>
      <c r="K776" s="19">
        <f>IF(AG776&gt;0,"O Google leu como fórmula: digite de novo com ' na frente.","")</f>
        <v/>
      </c>
      <c r="N776" s="2">
        <f>N775+IF(LEN($X$776)&gt;0,1,0)</f>
        <v/>
      </c>
      <c r="O776" s="2">
        <f>O775+IF(LEN($Y$776)&gt;0,1,0)</f>
        <v/>
      </c>
      <c r="P776" s="2">
        <f>P775+IF(LEN($Z$776)&gt;0,1,0)</f>
        <v/>
      </c>
      <c r="Q776" s="2">
        <f>Q775+IF(LEN($AA$776)&gt;0,1,0)</f>
        <v/>
      </c>
      <c r="R776" s="2">
        <f>R775+IF(LEN($AB$776)&gt;0,1,0)</f>
        <v/>
      </c>
      <c r="S776" s="2">
        <f>S775+IF(LEN($AC$776)&gt;0,1,0)</f>
        <v/>
      </c>
      <c r="T776" s="2">
        <f>T775+IF(LEN($AD$776)&gt;0,1,0)</f>
        <v/>
      </c>
      <c r="U776" s="2">
        <f>U775+IF(LEN($AE$776)&gt;0,1,0)</f>
        <v/>
      </c>
      <c r="V776" s="2">
        <f>V775+IF(LEN($AF$776)&gt;0,1,0)</f>
        <v/>
      </c>
      <c r="X776" s="2">
        <f>IF(ISERROR($B$776),"",IF(ISBLANK($B$776),"",$B$776))</f>
        <v/>
      </c>
      <c r="Y776" s="2">
        <f>IF(ISERROR($C$776),"",IF(ISBLANK($C$776),"",$C$776))</f>
        <v/>
      </c>
      <c r="Z776" s="2">
        <f>IF(ISERROR($D$776),"",IF(ISBLANK($D$776),"",$D$776))</f>
        <v/>
      </c>
      <c r="AA776" s="2">
        <f>IF(ISERROR($E$776),"",IF(ISBLANK($E$776),"",$E$776))</f>
        <v/>
      </c>
      <c r="AB776" s="2">
        <f>IF(ISERROR($F$776),"",IF(ISBLANK($F$776),"",$F$776))</f>
        <v/>
      </c>
      <c r="AC776" s="2">
        <f>IF(ISERROR($G$776),"",IF(ISBLANK($G$776),"",$G$776))</f>
        <v/>
      </c>
      <c r="AD776" s="2">
        <f>IF(ISERROR($H$776),"",IF(ISBLANK($H$776),"",$H$776))</f>
        <v/>
      </c>
      <c r="AE776" s="2">
        <f>IF(ISERROR($I$776),"",IF(ISBLANK($I$776),"",$I$776))</f>
        <v/>
      </c>
      <c r="AF776" s="2">
        <f>IF(ISERROR($J$776),"",IF(ISBLANK($J$776),"",$J$776))</f>
        <v/>
      </c>
      <c r="AG776" s="2">
        <f>ISERROR($B$776)*1+ISERROR($C$776)*1+ISERROR($D$776)*1+ISERROR($E$776)*1+ISERROR($F$776)*1+ISERROR($G$776)*1+ISERROR($H$776)*1+ISERROR($I$776)*1+ISERROR($J$776)*1</f>
        <v/>
      </c>
    </row>
    <row r="777" ht="26" customHeight="1">
      <c r="B777" s="35" t="n"/>
      <c r="C777" s="29" t="n"/>
      <c r="D777" s="29" t="n"/>
      <c r="E777" s="29" t="n"/>
      <c r="F777" s="29" t="n"/>
      <c r="G777" s="29" t="n"/>
      <c r="H777" s="29" t="n"/>
      <c r="I777" s="29" t="n"/>
      <c r="J777" s="29" t="n"/>
      <c r="K777" s="19">
        <f>IF(AG777&gt;0,"O Google leu como fórmula: digite de novo com ' na frente.","")</f>
        <v/>
      </c>
      <c r="N777" s="2">
        <f>N776+IF(LEN($X$777)&gt;0,1,0)</f>
        <v/>
      </c>
      <c r="O777" s="2">
        <f>O776+IF(LEN($Y$777)&gt;0,1,0)</f>
        <v/>
      </c>
      <c r="P777" s="2">
        <f>P776+IF(LEN($Z$777)&gt;0,1,0)</f>
        <v/>
      </c>
      <c r="Q777" s="2">
        <f>Q776+IF(LEN($AA$777)&gt;0,1,0)</f>
        <v/>
      </c>
      <c r="R777" s="2">
        <f>R776+IF(LEN($AB$777)&gt;0,1,0)</f>
        <v/>
      </c>
      <c r="S777" s="2">
        <f>S776+IF(LEN($AC$777)&gt;0,1,0)</f>
        <v/>
      </c>
      <c r="T777" s="2">
        <f>T776+IF(LEN($AD$777)&gt;0,1,0)</f>
        <v/>
      </c>
      <c r="U777" s="2">
        <f>U776+IF(LEN($AE$777)&gt;0,1,0)</f>
        <v/>
      </c>
      <c r="V777" s="2">
        <f>V776+IF(LEN($AF$777)&gt;0,1,0)</f>
        <v/>
      </c>
      <c r="X777" s="2">
        <f>IF(ISERROR($B$777),"",IF(ISBLANK($B$777),"",$B$777))</f>
        <v/>
      </c>
      <c r="Y777" s="2">
        <f>IF(ISERROR($C$777),"",IF(ISBLANK($C$777),"",$C$777))</f>
        <v/>
      </c>
      <c r="Z777" s="2">
        <f>IF(ISERROR($D$777),"",IF(ISBLANK($D$777),"",$D$777))</f>
        <v/>
      </c>
      <c r="AA777" s="2">
        <f>IF(ISERROR($E$777),"",IF(ISBLANK($E$777),"",$E$777))</f>
        <v/>
      </c>
      <c r="AB777" s="2">
        <f>IF(ISERROR($F$777),"",IF(ISBLANK($F$777),"",$F$777))</f>
        <v/>
      </c>
      <c r="AC777" s="2">
        <f>IF(ISERROR($G$777),"",IF(ISBLANK($G$777),"",$G$777))</f>
        <v/>
      </c>
      <c r="AD777" s="2">
        <f>IF(ISERROR($H$777),"",IF(ISBLANK($H$777),"",$H$777))</f>
        <v/>
      </c>
      <c r="AE777" s="2">
        <f>IF(ISERROR($I$777),"",IF(ISBLANK($I$777),"",$I$777))</f>
        <v/>
      </c>
      <c r="AF777" s="2">
        <f>IF(ISERROR($J$777),"",IF(ISBLANK($J$777),"",$J$777))</f>
        <v/>
      </c>
      <c r="AG777" s="2">
        <f>ISERROR($B$777)*1+ISERROR($C$777)*1+ISERROR($D$777)*1+ISERROR($E$777)*1+ISERROR($F$777)*1+ISERROR($G$777)*1+ISERROR($H$777)*1+ISERROR($I$777)*1+ISERROR($J$777)*1</f>
        <v/>
      </c>
    </row>
    <row r="778" ht="26" customHeight="1">
      <c r="B778" s="33" t="n"/>
      <c r="C778" s="4" t="n"/>
      <c r="D778" s="4" t="n"/>
      <c r="E778" s="4" t="n"/>
      <c r="F778" s="4" t="n"/>
      <c r="G778" s="4" t="n"/>
      <c r="H778" s="4" t="n"/>
      <c r="I778" s="4" t="n"/>
      <c r="J778" s="4" t="n"/>
      <c r="K778" s="19">
        <f>IF(AG778&gt;0,"O Google leu como fórmula: digite de novo com ' na frente.","")</f>
        <v/>
      </c>
      <c r="N778" s="2">
        <f>N777+IF(LEN($X$778)&gt;0,1,0)</f>
        <v/>
      </c>
      <c r="O778" s="2">
        <f>O777+IF(LEN($Y$778)&gt;0,1,0)</f>
        <v/>
      </c>
      <c r="P778" s="2">
        <f>P777+IF(LEN($Z$778)&gt;0,1,0)</f>
        <v/>
      </c>
      <c r="Q778" s="2">
        <f>Q777+IF(LEN($AA$778)&gt;0,1,0)</f>
        <v/>
      </c>
      <c r="R778" s="2">
        <f>R777+IF(LEN($AB$778)&gt;0,1,0)</f>
        <v/>
      </c>
      <c r="S778" s="2">
        <f>S777+IF(LEN($AC$778)&gt;0,1,0)</f>
        <v/>
      </c>
      <c r="T778" s="2">
        <f>T777+IF(LEN($AD$778)&gt;0,1,0)</f>
        <v/>
      </c>
      <c r="U778" s="2">
        <f>U777+IF(LEN($AE$778)&gt;0,1,0)</f>
        <v/>
      </c>
      <c r="V778" s="2">
        <f>V777+IF(LEN($AF$778)&gt;0,1,0)</f>
        <v/>
      </c>
      <c r="X778" s="2">
        <f>IF(ISERROR($B$778),"",IF(ISBLANK($B$778),"",$B$778))</f>
        <v/>
      </c>
      <c r="Y778" s="2">
        <f>IF(ISERROR($C$778),"",IF(ISBLANK($C$778),"",$C$778))</f>
        <v/>
      </c>
      <c r="Z778" s="2">
        <f>IF(ISERROR($D$778),"",IF(ISBLANK($D$778),"",$D$778))</f>
        <v/>
      </c>
      <c r="AA778" s="2">
        <f>IF(ISERROR($E$778),"",IF(ISBLANK($E$778),"",$E$778))</f>
        <v/>
      </c>
      <c r="AB778" s="2">
        <f>IF(ISERROR($F$778),"",IF(ISBLANK($F$778),"",$F$778))</f>
        <v/>
      </c>
      <c r="AC778" s="2">
        <f>IF(ISERROR($G$778),"",IF(ISBLANK($G$778),"",$G$778))</f>
        <v/>
      </c>
      <c r="AD778" s="2">
        <f>IF(ISERROR($H$778),"",IF(ISBLANK($H$778),"",$H$778))</f>
        <v/>
      </c>
      <c r="AE778" s="2">
        <f>IF(ISERROR($I$778),"",IF(ISBLANK($I$778),"",$I$778))</f>
        <v/>
      </c>
      <c r="AF778" s="2">
        <f>IF(ISERROR($J$778),"",IF(ISBLANK($J$778),"",$J$778))</f>
        <v/>
      </c>
      <c r="AG778" s="2">
        <f>ISERROR($B$778)*1+ISERROR($C$778)*1+ISERROR($D$778)*1+ISERROR($E$778)*1+ISERROR($F$778)*1+ISERROR($G$778)*1+ISERROR($H$778)*1+ISERROR($I$778)*1+ISERROR($J$778)*1</f>
        <v/>
      </c>
    </row>
    <row r="779" ht="26" customHeight="1">
      <c r="B779" s="35" t="n"/>
      <c r="C779" s="29" t="n"/>
      <c r="D779" s="29" t="n"/>
      <c r="E779" s="29" t="n"/>
      <c r="F779" s="29" t="n"/>
      <c r="G779" s="29" t="n"/>
      <c r="H779" s="29" t="n"/>
      <c r="I779" s="29" t="n"/>
      <c r="J779" s="29" t="n"/>
      <c r="K779" s="19">
        <f>IF(AG779&gt;0,"O Google leu como fórmula: digite de novo com ' na frente.","")</f>
        <v/>
      </c>
      <c r="N779" s="2">
        <f>N778+IF(LEN($X$779)&gt;0,1,0)</f>
        <v/>
      </c>
      <c r="O779" s="2">
        <f>O778+IF(LEN($Y$779)&gt;0,1,0)</f>
        <v/>
      </c>
      <c r="P779" s="2">
        <f>P778+IF(LEN($Z$779)&gt;0,1,0)</f>
        <v/>
      </c>
      <c r="Q779" s="2">
        <f>Q778+IF(LEN($AA$779)&gt;0,1,0)</f>
        <v/>
      </c>
      <c r="R779" s="2">
        <f>R778+IF(LEN($AB$779)&gt;0,1,0)</f>
        <v/>
      </c>
      <c r="S779" s="2">
        <f>S778+IF(LEN($AC$779)&gt;0,1,0)</f>
        <v/>
      </c>
      <c r="T779" s="2">
        <f>T778+IF(LEN($AD$779)&gt;0,1,0)</f>
        <v/>
      </c>
      <c r="U779" s="2">
        <f>U778+IF(LEN($AE$779)&gt;0,1,0)</f>
        <v/>
      </c>
      <c r="V779" s="2">
        <f>V778+IF(LEN($AF$779)&gt;0,1,0)</f>
        <v/>
      </c>
      <c r="X779" s="2">
        <f>IF(ISERROR($B$779),"",IF(ISBLANK($B$779),"",$B$779))</f>
        <v/>
      </c>
      <c r="Y779" s="2">
        <f>IF(ISERROR($C$779),"",IF(ISBLANK($C$779),"",$C$779))</f>
        <v/>
      </c>
      <c r="Z779" s="2">
        <f>IF(ISERROR($D$779),"",IF(ISBLANK($D$779),"",$D$779))</f>
        <v/>
      </c>
      <c r="AA779" s="2">
        <f>IF(ISERROR($E$779),"",IF(ISBLANK($E$779),"",$E$779))</f>
        <v/>
      </c>
      <c r="AB779" s="2">
        <f>IF(ISERROR($F$779),"",IF(ISBLANK($F$779),"",$F$779))</f>
        <v/>
      </c>
      <c r="AC779" s="2">
        <f>IF(ISERROR($G$779),"",IF(ISBLANK($G$779),"",$G$779))</f>
        <v/>
      </c>
      <c r="AD779" s="2">
        <f>IF(ISERROR($H$779),"",IF(ISBLANK($H$779),"",$H$779))</f>
        <v/>
      </c>
      <c r="AE779" s="2">
        <f>IF(ISERROR($I$779),"",IF(ISBLANK($I$779),"",$I$779))</f>
        <v/>
      </c>
      <c r="AF779" s="2">
        <f>IF(ISERROR($J$779),"",IF(ISBLANK($J$779),"",$J$779))</f>
        <v/>
      </c>
      <c r="AG779" s="2">
        <f>ISERROR($B$779)*1+ISERROR($C$779)*1+ISERROR($D$779)*1+ISERROR($E$779)*1+ISERROR($F$779)*1+ISERROR($G$779)*1+ISERROR($H$779)*1+ISERROR($I$779)*1+ISERROR($J$779)*1</f>
        <v/>
      </c>
    </row>
    <row r="780" ht="26" customHeight="1">
      <c r="B780" s="33" t="n"/>
      <c r="C780" s="4" t="n"/>
      <c r="D780" s="4" t="n"/>
      <c r="E780" s="4" t="n"/>
      <c r="F780" s="4" t="n"/>
      <c r="G780" s="4" t="n"/>
      <c r="H780" s="4" t="n"/>
      <c r="I780" s="4" t="n"/>
      <c r="J780" s="4" t="n"/>
      <c r="K780" s="19">
        <f>IF(AG780&gt;0,"O Google leu como fórmula: digite de novo com ' na frente.","")</f>
        <v/>
      </c>
      <c r="N780" s="2">
        <f>N779+IF(LEN($X$780)&gt;0,1,0)</f>
        <v/>
      </c>
      <c r="O780" s="2">
        <f>O779+IF(LEN($Y$780)&gt;0,1,0)</f>
        <v/>
      </c>
      <c r="P780" s="2">
        <f>P779+IF(LEN($Z$780)&gt;0,1,0)</f>
        <v/>
      </c>
      <c r="Q780" s="2">
        <f>Q779+IF(LEN($AA$780)&gt;0,1,0)</f>
        <v/>
      </c>
      <c r="R780" s="2">
        <f>R779+IF(LEN($AB$780)&gt;0,1,0)</f>
        <v/>
      </c>
      <c r="S780" s="2">
        <f>S779+IF(LEN($AC$780)&gt;0,1,0)</f>
        <v/>
      </c>
      <c r="T780" s="2">
        <f>T779+IF(LEN($AD$780)&gt;0,1,0)</f>
        <v/>
      </c>
      <c r="U780" s="2">
        <f>U779+IF(LEN($AE$780)&gt;0,1,0)</f>
        <v/>
      </c>
      <c r="V780" s="2">
        <f>V779+IF(LEN($AF$780)&gt;0,1,0)</f>
        <v/>
      </c>
      <c r="X780" s="2">
        <f>IF(ISERROR($B$780),"",IF(ISBLANK($B$780),"",$B$780))</f>
        <v/>
      </c>
      <c r="Y780" s="2">
        <f>IF(ISERROR($C$780),"",IF(ISBLANK($C$780),"",$C$780))</f>
        <v/>
      </c>
      <c r="Z780" s="2">
        <f>IF(ISERROR($D$780),"",IF(ISBLANK($D$780),"",$D$780))</f>
        <v/>
      </c>
      <c r="AA780" s="2">
        <f>IF(ISERROR($E$780),"",IF(ISBLANK($E$780),"",$E$780))</f>
        <v/>
      </c>
      <c r="AB780" s="2">
        <f>IF(ISERROR($F$780),"",IF(ISBLANK($F$780),"",$F$780))</f>
        <v/>
      </c>
      <c r="AC780" s="2">
        <f>IF(ISERROR($G$780),"",IF(ISBLANK($G$780),"",$G$780))</f>
        <v/>
      </c>
      <c r="AD780" s="2">
        <f>IF(ISERROR($H$780),"",IF(ISBLANK($H$780),"",$H$780))</f>
        <v/>
      </c>
      <c r="AE780" s="2">
        <f>IF(ISERROR($I$780),"",IF(ISBLANK($I$780),"",$I$780))</f>
        <v/>
      </c>
      <c r="AF780" s="2">
        <f>IF(ISERROR($J$780),"",IF(ISBLANK($J$780),"",$J$780))</f>
        <v/>
      </c>
      <c r="AG780" s="2">
        <f>ISERROR($B$780)*1+ISERROR($C$780)*1+ISERROR($D$780)*1+ISERROR($E$780)*1+ISERROR($F$780)*1+ISERROR($G$780)*1+ISERROR($H$780)*1+ISERROR($I$780)*1+ISERROR($J$780)*1</f>
        <v/>
      </c>
    </row>
    <row r="781" ht="26" customHeight="1">
      <c r="B781" s="35" t="n"/>
      <c r="C781" s="29" t="n"/>
      <c r="D781" s="29" t="n"/>
      <c r="E781" s="29" t="n"/>
      <c r="F781" s="29" t="n"/>
      <c r="G781" s="29" t="n"/>
      <c r="H781" s="29" t="n"/>
      <c r="I781" s="29" t="n"/>
      <c r="J781" s="29" t="n"/>
      <c r="K781" s="19">
        <f>IF(AG781&gt;0,"O Google leu como fórmula: digite de novo com ' na frente.","")</f>
        <v/>
      </c>
      <c r="N781" s="2">
        <f>N780+IF(LEN($X$781)&gt;0,1,0)</f>
        <v/>
      </c>
      <c r="O781" s="2">
        <f>O780+IF(LEN($Y$781)&gt;0,1,0)</f>
        <v/>
      </c>
      <c r="P781" s="2">
        <f>P780+IF(LEN($Z$781)&gt;0,1,0)</f>
        <v/>
      </c>
      <c r="Q781" s="2">
        <f>Q780+IF(LEN($AA$781)&gt;0,1,0)</f>
        <v/>
      </c>
      <c r="R781" s="2">
        <f>R780+IF(LEN($AB$781)&gt;0,1,0)</f>
        <v/>
      </c>
      <c r="S781" s="2">
        <f>S780+IF(LEN($AC$781)&gt;0,1,0)</f>
        <v/>
      </c>
      <c r="T781" s="2">
        <f>T780+IF(LEN($AD$781)&gt;0,1,0)</f>
        <v/>
      </c>
      <c r="U781" s="2">
        <f>U780+IF(LEN($AE$781)&gt;0,1,0)</f>
        <v/>
      </c>
      <c r="V781" s="2">
        <f>V780+IF(LEN($AF$781)&gt;0,1,0)</f>
        <v/>
      </c>
      <c r="X781" s="2">
        <f>IF(ISERROR($B$781),"",IF(ISBLANK($B$781),"",$B$781))</f>
        <v/>
      </c>
      <c r="Y781" s="2">
        <f>IF(ISERROR($C$781),"",IF(ISBLANK($C$781),"",$C$781))</f>
        <v/>
      </c>
      <c r="Z781" s="2">
        <f>IF(ISERROR($D$781),"",IF(ISBLANK($D$781),"",$D$781))</f>
        <v/>
      </c>
      <c r="AA781" s="2">
        <f>IF(ISERROR($E$781),"",IF(ISBLANK($E$781),"",$E$781))</f>
        <v/>
      </c>
      <c r="AB781" s="2">
        <f>IF(ISERROR($F$781),"",IF(ISBLANK($F$781),"",$F$781))</f>
        <v/>
      </c>
      <c r="AC781" s="2">
        <f>IF(ISERROR($G$781),"",IF(ISBLANK($G$781),"",$G$781))</f>
        <v/>
      </c>
      <c r="AD781" s="2">
        <f>IF(ISERROR($H$781),"",IF(ISBLANK($H$781),"",$H$781))</f>
        <v/>
      </c>
      <c r="AE781" s="2">
        <f>IF(ISERROR($I$781),"",IF(ISBLANK($I$781),"",$I$781))</f>
        <v/>
      </c>
      <c r="AF781" s="2">
        <f>IF(ISERROR($J$781),"",IF(ISBLANK($J$781),"",$J$781))</f>
        <v/>
      </c>
      <c r="AG781" s="2">
        <f>ISERROR($B$781)*1+ISERROR($C$781)*1+ISERROR($D$781)*1+ISERROR($E$781)*1+ISERROR($F$781)*1+ISERROR($G$781)*1+ISERROR($H$781)*1+ISERROR($I$781)*1+ISERROR($J$781)*1</f>
        <v/>
      </c>
    </row>
    <row r="782" ht="26" customHeight="1">
      <c r="B782" s="33" t="n"/>
      <c r="C782" s="4" t="n"/>
      <c r="D782" s="4" t="n"/>
      <c r="E782" s="4" t="n"/>
      <c r="F782" s="4" t="n"/>
      <c r="G782" s="4" t="n"/>
      <c r="H782" s="4" t="n"/>
      <c r="I782" s="4" t="n"/>
      <c r="J782" s="4" t="n"/>
      <c r="K782" s="19">
        <f>IF(AG782&gt;0,"O Google leu como fórmula: digite de novo com ' na frente.","")</f>
        <v/>
      </c>
      <c r="N782" s="2">
        <f>N781+IF(LEN($X$782)&gt;0,1,0)</f>
        <v/>
      </c>
      <c r="O782" s="2">
        <f>O781+IF(LEN($Y$782)&gt;0,1,0)</f>
        <v/>
      </c>
      <c r="P782" s="2">
        <f>P781+IF(LEN($Z$782)&gt;0,1,0)</f>
        <v/>
      </c>
      <c r="Q782" s="2">
        <f>Q781+IF(LEN($AA$782)&gt;0,1,0)</f>
        <v/>
      </c>
      <c r="R782" s="2">
        <f>R781+IF(LEN($AB$782)&gt;0,1,0)</f>
        <v/>
      </c>
      <c r="S782" s="2">
        <f>S781+IF(LEN($AC$782)&gt;0,1,0)</f>
        <v/>
      </c>
      <c r="T782" s="2">
        <f>T781+IF(LEN($AD$782)&gt;0,1,0)</f>
        <v/>
      </c>
      <c r="U782" s="2">
        <f>U781+IF(LEN($AE$782)&gt;0,1,0)</f>
        <v/>
      </c>
      <c r="V782" s="2">
        <f>V781+IF(LEN($AF$782)&gt;0,1,0)</f>
        <v/>
      </c>
      <c r="X782" s="2">
        <f>IF(ISERROR($B$782),"",IF(ISBLANK($B$782),"",$B$782))</f>
        <v/>
      </c>
      <c r="Y782" s="2">
        <f>IF(ISERROR($C$782),"",IF(ISBLANK($C$782),"",$C$782))</f>
        <v/>
      </c>
      <c r="Z782" s="2">
        <f>IF(ISERROR($D$782),"",IF(ISBLANK($D$782),"",$D$782))</f>
        <v/>
      </c>
      <c r="AA782" s="2">
        <f>IF(ISERROR($E$782),"",IF(ISBLANK($E$782),"",$E$782))</f>
        <v/>
      </c>
      <c r="AB782" s="2">
        <f>IF(ISERROR($F$782),"",IF(ISBLANK($F$782),"",$F$782))</f>
        <v/>
      </c>
      <c r="AC782" s="2">
        <f>IF(ISERROR($G$782),"",IF(ISBLANK($G$782),"",$G$782))</f>
        <v/>
      </c>
      <c r="AD782" s="2">
        <f>IF(ISERROR($H$782),"",IF(ISBLANK($H$782),"",$H$782))</f>
        <v/>
      </c>
      <c r="AE782" s="2">
        <f>IF(ISERROR($I$782),"",IF(ISBLANK($I$782),"",$I$782))</f>
        <v/>
      </c>
      <c r="AF782" s="2">
        <f>IF(ISERROR($J$782),"",IF(ISBLANK($J$782),"",$J$782))</f>
        <v/>
      </c>
      <c r="AG782" s="2">
        <f>ISERROR($B$782)*1+ISERROR($C$782)*1+ISERROR($D$782)*1+ISERROR($E$782)*1+ISERROR($F$782)*1+ISERROR($G$782)*1+ISERROR($H$782)*1+ISERROR($I$782)*1+ISERROR($J$782)*1</f>
        <v/>
      </c>
    </row>
    <row r="783" ht="26" customHeight="1">
      <c r="B783" s="35" t="n"/>
      <c r="C783" s="29" t="n"/>
      <c r="D783" s="29" t="n"/>
      <c r="E783" s="29" t="n"/>
      <c r="F783" s="29" t="n"/>
      <c r="G783" s="29" t="n"/>
      <c r="H783" s="29" t="n"/>
      <c r="I783" s="29" t="n"/>
      <c r="J783" s="29" t="n"/>
      <c r="K783" s="19">
        <f>IF(AG783&gt;0,"O Google leu como fórmula: digite de novo com ' na frente.","")</f>
        <v/>
      </c>
      <c r="N783" s="2">
        <f>N782+IF(LEN($X$783)&gt;0,1,0)</f>
        <v/>
      </c>
      <c r="O783" s="2">
        <f>O782+IF(LEN($Y$783)&gt;0,1,0)</f>
        <v/>
      </c>
      <c r="P783" s="2">
        <f>P782+IF(LEN($Z$783)&gt;0,1,0)</f>
        <v/>
      </c>
      <c r="Q783" s="2">
        <f>Q782+IF(LEN($AA$783)&gt;0,1,0)</f>
        <v/>
      </c>
      <c r="R783" s="2">
        <f>R782+IF(LEN($AB$783)&gt;0,1,0)</f>
        <v/>
      </c>
      <c r="S783" s="2">
        <f>S782+IF(LEN($AC$783)&gt;0,1,0)</f>
        <v/>
      </c>
      <c r="T783" s="2">
        <f>T782+IF(LEN($AD$783)&gt;0,1,0)</f>
        <v/>
      </c>
      <c r="U783" s="2">
        <f>U782+IF(LEN($AE$783)&gt;0,1,0)</f>
        <v/>
      </c>
      <c r="V783" s="2">
        <f>V782+IF(LEN($AF$783)&gt;0,1,0)</f>
        <v/>
      </c>
      <c r="X783" s="2">
        <f>IF(ISERROR($B$783),"",IF(ISBLANK($B$783),"",$B$783))</f>
        <v/>
      </c>
      <c r="Y783" s="2">
        <f>IF(ISERROR($C$783),"",IF(ISBLANK($C$783),"",$C$783))</f>
        <v/>
      </c>
      <c r="Z783" s="2">
        <f>IF(ISERROR($D$783),"",IF(ISBLANK($D$783),"",$D$783))</f>
        <v/>
      </c>
      <c r="AA783" s="2">
        <f>IF(ISERROR($E$783),"",IF(ISBLANK($E$783),"",$E$783))</f>
        <v/>
      </c>
      <c r="AB783" s="2">
        <f>IF(ISERROR($F$783),"",IF(ISBLANK($F$783),"",$F$783))</f>
        <v/>
      </c>
      <c r="AC783" s="2">
        <f>IF(ISERROR($G$783),"",IF(ISBLANK($G$783),"",$G$783))</f>
        <v/>
      </c>
      <c r="AD783" s="2">
        <f>IF(ISERROR($H$783),"",IF(ISBLANK($H$783),"",$H$783))</f>
        <v/>
      </c>
      <c r="AE783" s="2">
        <f>IF(ISERROR($I$783),"",IF(ISBLANK($I$783),"",$I$783))</f>
        <v/>
      </c>
      <c r="AF783" s="2">
        <f>IF(ISERROR($J$783),"",IF(ISBLANK($J$783),"",$J$783))</f>
        <v/>
      </c>
      <c r="AG783" s="2">
        <f>ISERROR($B$783)*1+ISERROR($C$783)*1+ISERROR($D$783)*1+ISERROR($E$783)*1+ISERROR($F$783)*1+ISERROR($G$783)*1+ISERROR($H$783)*1+ISERROR($I$783)*1+ISERROR($J$783)*1</f>
        <v/>
      </c>
    </row>
    <row r="784" ht="26" customHeight="1">
      <c r="B784" s="33" t="n"/>
      <c r="C784" s="4" t="n"/>
      <c r="D784" s="4" t="n"/>
      <c r="E784" s="4" t="n"/>
      <c r="F784" s="4" t="n"/>
      <c r="G784" s="4" t="n"/>
      <c r="H784" s="4" t="n"/>
      <c r="I784" s="4" t="n"/>
      <c r="J784" s="4" t="n"/>
      <c r="K784" s="19">
        <f>IF(AG784&gt;0,"O Google leu como fórmula: digite de novo com ' na frente.","")</f>
        <v/>
      </c>
      <c r="N784" s="2">
        <f>N783+IF(LEN($X$784)&gt;0,1,0)</f>
        <v/>
      </c>
      <c r="O784" s="2">
        <f>O783+IF(LEN($Y$784)&gt;0,1,0)</f>
        <v/>
      </c>
      <c r="P784" s="2">
        <f>P783+IF(LEN($Z$784)&gt;0,1,0)</f>
        <v/>
      </c>
      <c r="Q784" s="2">
        <f>Q783+IF(LEN($AA$784)&gt;0,1,0)</f>
        <v/>
      </c>
      <c r="R784" s="2">
        <f>R783+IF(LEN($AB$784)&gt;0,1,0)</f>
        <v/>
      </c>
      <c r="S784" s="2">
        <f>S783+IF(LEN($AC$784)&gt;0,1,0)</f>
        <v/>
      </c>
      <c r="T784" s="2">
        <f>T783+IF(LEN($AD$784)&gt;0,1,0)</f>
        <v/>
      </c>
      <c r="U784" s="2">
        <f>U783+IF(LEN($AE$784)&gt;0,1,0)</f>
        <v/>
      </c>
      <c r="V784" s="2">
        <f>V783+IF(LEN($AF$784)&gt;0,1,0)</f>
        <v/>
      </c>
      <c r="X784" s="2">
        <f>IF(ISERROR($B$784),"",IF(ISBLANK($B$784),"",$B$784))</f>
        <v/>
      </c>
      <c r="Y784" s="2">
        <f>IF(ISERROR($C$784),"",IF(ISBLANK($C$784),"",$C$784))</f>
        <v/>
      </c>
      <c r="Z784" s="2">
        <f>IF(ISERROR($D$784),"",IF(ISBLANK($D$784),"",$D$784))</f>
        <v/>
      </c>
      <c r="AA784" s="2">
        <f>IF(ISERROR($E$784),"",IF(ISBLANK($E$784),"",$E$784))</f>
        <v/>
      </c>
      <c r="AB784" s="2">
        <f>IF(ISERROR($F$784),"",IF(ISBLANK($F$784),"",$F$784))</f>
        <v/>
      </c>
      <c r="AC784" s="2">
        <f>IF(ISERROR($G$784),"",IF(ISBLANK($G$784),"",$G$784))</f>
        <v/>
      </c>
      <c r="AD784" s="2">
        <f>IF(ISERROR($H$784),"",IF(ISBLANK($H$784),"",$H$784))</f>
        <v/>
      </c>
      <c r="AE784" s="2">
        <f>IF(ISERROR($I$784),"",IF(ISBLANK($I$784),"",$I$784))</f>
        <v/>
      </c>
      <c r="AF784" s="2">
        <f>IF(ISERROR($J$784),"",IF(ISBLANK($J$784),"",$J$784))</f>
        <v/>
      </c>
      <c r="AG784" s="2">
        <f>ISERROR($B$784)*1+ISERROR($C$784)*1+ISERROR($D$784)*1+ISERROR($E$784)*1+ISERROR($F$784)*1+ISERROR($G$784)*1+ISERROR($H$784)*1+ISERROR($I$784)*1+ISERROR($J$784)*1</f>
        <v/>
      </c>
    </row>
    <row r="785" ht="26" customHeight="1">
      <c r="B785" s="8" t="inlineStr">
        <is>
          <t>Pista</t>
        </is>
      </c>
      <c r="C785" s="8" t="inlineStr">
        <is>
          <t>Bugiganga</t>
        </is>
      </c>
      <c r="D785" s="8" t="inlineStr">
        <is>
          <t>Nome do Cone (início)</t>
        </is>
      </c>
      <c r="E785" s="8" t="inlineStr">
        <is>
          <t>Nome do Cone (fim)</t>
        </is>
      </c>
      <c r="F785" s="8" t="inlineStr">
        <is>
          <t>Memória do Cone</t>
        </is>
      </c>
      <c r="G785" s="8" t="inlineStr">
        <is>
          <t>Gatilho do Efeito Condicional</t>
        </is>
      </c>
      <c r="H785" s="8" t="inlineStr">
        <is>
          <t>Nome do Conjunto</t>
        </is>
      </c>
      <c r="I785" s="8" t="inlineStr">
        <is>
          <t>Origem do Conjunto</t>
        </is>
      </c>
      <c r="J785" s="8" t="inlineStr">
        <is>
          <t>Efeito de 4 peças</t>
        </is>
      </c>
      <c r="N785" s="2">
        <f>N784</f>
        <v/>
      </c>
      <c r="O785" s="2">
        <f>O784</f>
        <v/>
      </c>
      <c r="P785" s="2">
        <f>P784</f>
        <v/>
      </c>
      <c r="Q785" s="2">
        <f>Q784</f>
        <v/>
      </c>
      <c r="R785" s="2">
        <f>R784</f>
        <v/>
      </c>
      <c r="S785" s="2">
        <f>S784</f>
        <v/>
      </c>
      <c r="T785" s="2">
        <f>T784</f>
        <v/>
      </c>
      <c r="U785" s="2">
        <f>U784</f>
        <v/>
      </c>
      <c r="V785" s="2">
        <f>V784</f>
        <v/>
      </c>
      <c r="X785" s="2">
        <f>IF(ISERROR($B$785),"",IF(ISBLANK($B$785),"",$B$785))</f>
        <v/>
      </c>
      <c r="Y785" s="2">
        <f>IF(ISERROR($C$785),"",IF(ISBLANK($C$785),"",$C$785))</f>
        <v/>
      </c>
      <c r="Z785" s="2">
        <f>IF(ISERROR($D$785),"",IF(ISBLANK($D$785),"",$D$785))</f>
        <v/>
      </c>
      <c r="AA785" s="2">
        <f>IF(ISERROR($E$785),"",IF(ISBLANK($E$785),"",$E$785))</f>
        <v/>
      </c>
      <c r="AB785" s="2">
        <f>IF(ISERROR($F$785),"",IF(ISBLANK($F$785),"",$F$785))</f>
        <v/>
      </c>
      <c r="AC785" s="2">
        <f>IF(ISERROR($G$785),"",IF(ISBLANK($G$785),"",$G$785))</f>
        <v/>
      </c>
      <c r="AD785" s="2">
        <f>IF(ISERROR($H$785),"",IF(ISBLANK($H$785),"",$H$785))</f>
        <v/>
      </c>
      <c r="AE785" s="2">
        <f>IF(ISERROR($I$785),"",IF(ISBLANK($I$785),"",$I$785))</f>
        <v/>
      </c>
      <c r="AF785" s="2">
        <f>IF(ISERROR($J$785),"",IF(ISBLANK($J$785),"",$J$785))</f>
        <v/>
      </c>
    </row>
    <row r="786" ht="26" customHeight="1">
      <c r="B786" s="33" t="n"/>
      <c r="C786" s="4" t="n"/>
      <c r="D786" s="4" t="n"/>
      <c r="E786" s="4" t="n"/>
      <c r="F786" s="4" t="n"/>
      <c r="G786" s="4" t="n"/>
      <c r="H786" s="4" t="n"/>
      <c r="I786" s="4" t="n"/>
      <c r="J786" s="4" t="n"/>
      <c r="K786" s="19">
        <f>IF(AG786&gt;0,"O Google leu como fórmula: digite de novo com ' na frente.","")</f>
        <v/>
      </c>
      <c r="N786" s="2">
        <f>N785+IF(LEN($X$786)&gt;0,1,0)</f>
        <v/>
      </c>
      <c r="O786" s="2">
        <f>O785+IF(LEN($Y$786)&gt;0,1,0)</f>
        <v/>
      </c>
      <c r="P786" s="2">
        <f>P785+IF(LEN($Z$786)&gt;0,1,0)</f>
        <v/>
      </c>
      <c r="Q786" s="2">
        <f>Q785+IF(LEN($AA$786)&gt;0,1,0)</f>
        <v/>
      </c>
      <c r="R786" s="2">
        <f>R785+IF(LEN($AB$786)&gt;0,1,0)</f>
        <v/>
      </c>
      <c r="S786" s="2">
        <f>S785+IF(LEN($AC$786)&gt;0,1,0)</f>
        <v/>
      </c>
      <c r="T786" s="2">
        <f>T785+IF(LEN($AD$786)&gt;0,1,0)</f>
        <v/>
      </c>
      <c r="U786" s="2">
        <f>U785+IF(LEN($AE$786)&gt;0,1,0)</f>
        <v/>
      </c>
      <c r="V786" s="2">
        <f>V785+IF(LEN($AF$786)&gt;0,1,0)</f>
        <v/>
      </c>
      <c r="X786" s="2">
        <f>IF(ISERROR($B$786),"",IF(ISBLANK($B$786),"",$B$786))</f>
        <v/>
      </c>
      <c r="Y786" s="2">
        <f>IF(ISERROR($C$786),"",IF(ISBLANK($C$786),"",$C$786))</f>
        <v/>
      </c>
      <c r="Z786" s="2">
        <f>IF(ISERROR($D$786),"",IF(ISBLANK($D$786),"",$D$786))</f>
        <v/>
      </c>
      <c r="AA786" s="2">
        <f>IF(ISERROR($E$786),"",IF(ISBLANK($E$786),"",$E$786))</f>
        <v/>
      </c>
      <c r="AB786" s="2">
        <f>IF(ISERROR($F$786),"",IF(ISBLANK($F$786),"",$F$786))</f>
        <v/>
      </c>
      <c r="AC786" s="2">
        <f>IF(ISERROR($G$786),"",IF(ISBLANK($G$786),"",$G$786))</f>
        <v/>
      </c>
      <c r="AD786" s="2">
        <f>IF(ISERROR($H$786),"",IF(ISBLANK($H$786),"",$H$786))</f>
        <v/>
      </c>
      <c r="AE786" s="2">
        <f>IF(ISERROR($I$786),"",IF(ISBLANK($I$786),"",$I$786))</f>
        <v/>
      </c>
      <c r="AF786" s="2">
        <f>IF(ISERROR($J$786),"",IF(ISBLANK($J$786),"",$J$786))</f>
        <v/>
      </c>
      <c r="AG786" s="2">
        <f>ISERROR($B$786)*1+ISERROR($C$786)*1+ISERROR($D$786)*1+ISERROR($E$786)*1+ISERROR($F$786)*1+ISERROR($G$786)*1+ISERROR($H$786)*1+ISERROR($I$786)*1+ISERROR($J$786)*1</f>
        <v/>
      </c>
    </row>
    <row r="787" ht="26" customHeight="1">
      <c r="B787" s="35" t="n"/>
      <c r="C787" s="29" t="n"/>
      <c r="D787" s="29" t="n"/>
      <c r="E787" s="29" t="n"/>
      <c r="F787" s="29" t="n"/>
      <c r="G787" s="29" t="n"/>
      <c r="H787" s="29" t="n"/>
      <c r="I787" s="29" t="n"/>
      <c r="J787" s="29" t="n"/>
      <c r="K787" s="19">
        <f>IF(AG787&gt;0,"O Google leu como fórmula: digite de novo com ' na frente.","")</f>
        <v/>
      </c>
      <c r="N787" s="2">
        <f>N786+IF(LEN($X$787)&gt;0,1,0)</f>
        <v/>
      </c>
      <c r="O787" s="2">
        <f>O786+IF(LEN($Y$787)&gt;0,1,0)</f>
        <v/>
      </c>
      <c r="P787" s="2">
        <f>P786+IF(LEN($Z$787)&gt;0,1,0)</f>
        <v/>
      </c>
      <c r="Q787" s="2">
        <f>Q786+IF(LEN($AA$787)&gt;0,1,0)</f>
        <v/>
      </c>
      <c r="R787" s="2">
        <f>R786+IF(LEN($AB$787)&gt;0,1,0)</f>
        <v/>
      </c>
      <c r="S787" s="2">
        <f>S786+IF(LEN($AC$787)&gt;0,1,0)</f>
        <v/>
      </c>
      <c r="T787" s="2">
        <f>T786+IF(LEN($AD$787)&gt;0,1,0)</f>
        <v/>
      </c>
      <c r="U787" s="2">
        <f>U786+IF(LEN($AE$787)&gt;0,1,0)</f>
        <v/>
      </c>
      <c r="V787" s="2">
        <f>V786+IF(LEN($AF$787)&gt;0,1,0)</f>
        <v/>
      </c>
      <c r="X787" s="2">
        <f>IF(ISERROR($B$787),"",IF(ISBLANK($B$787),"",$B$787))</f>
        <v/>
      </c>
      <c r="Y787" s="2">
        <f>IF(ISERROR($C$787),"",IF(ISBLANK($C$787),"",$C$787))</f>
        <v/>
      </c>
      <c r="Z787" s="2">
        <f>IF(ISERROR($D$787),"",IF(ISBLANK($D$787),"",$D$787))</f>
        <v/>
      </c>
      <c r="AA787" s="2">
        <f>IF(ISERROR($E$787),"",IF(ISBLANK($E$787),"",$E$787))</f>
        <v/>
      </c>
      <c r="AB787" s="2">
        <f>IF(ISERROR($F$787),"",IF(ISBLANK($F$787),"",$F$787))</f>
        <v/>
      </c>
      <c r="AC787" s="2">
        <f>IF(ISERROR($G$787),"",IF(ISBLANK($G$787),"",$G$787))</f>
        <v/>
      </c>
      <c r="AD787" s="2">
        <f>IF(ISERROR($H$787),"",IF(ISBLANK($H$787),"",$H$787))</f>
        <v/>
      </c>
      <c r="AE787" s="2">
        <f>IF(ISERROR($I$787),"",IF(ISBLANK($I$787),"",$I$787))</f>
        <v/>
      </c>
      <c r="AF787" s="2">
        <f>IF(ISERROR($J$787),"",IF(ISBLANK($J$787),"",$J$787))</f>
        <v/>
      </c>
      <c r="AG787" s="2">
        <f>ISERROR($B$787)*1+ISERROR($C$787)*1+ISERROR($D$787)*1+ISERROR($E$787)*1+ISERROR($F$787)*1+ISERROR($G$787)*1+ISERROR($H$787)*1+ISERROR($I$787)*1+ISERROR($J$787)*1</f>
        <v/>
      </c>
    </row>
    <row r="788" ht="26" customHeight="1">
      <c r="B788" s="33" t="n"/>
      <c r="C788" s="4" t="n"/>
      <c r="D788" s="4" t="n"/>
      <c r="E788" s="4" t="n"/>
      <c r="F788" s="4" t="n"/>
      <c r="G788" s="4" t="n"/>
      <c r="H788" s="4" t="n"/>
      <c r="I788" s="4" t="n"/>
      <c r="J788" s="4" t="n"/>
      <c r="K788" s="19">
        <f>IF(AG788&gt;0,"O Google leu como fórmula: digite de novo com ' na frente.","")</f>
        <v/>
      </c>
      <c r="N788" s="2">
        <f>N787+IF(LEN($X$788)&gt;0,1,0)</f>
        <v/>
      </c>
      <c r="O788" s="2">
        <f>O787+IF(LEN($Y$788)&gt;0,1,0)</f>
        <v/>
      </c>
      <c r="P788" s="2">
        <f>P787+IF(LEN($Z$788)&gt;0,1,0)</f>
        <v/>
      </c>
      <c r="Q788" s="2">
        <f>Q787+IF(LEN($AA$788)&gt;0,1,0)</f>
        <v/>
      </c>
      <c r="R788" s="2">
        <f>R787+IF(LEN($AB$788)&gt;0,1,0)</f>
        <v/>
      </c>
      <c r="S788" s="2">
        <f>S787+IF(LEN($AC$788)&gt;0,1,0)</f>
        <v/>
      </c>
      <c r="T788" s="2">
        <f>T787+IF(LEN($AD$788)&gt;0,1,0)</f>
        <v/>
      </c>
      <c r="U788" s="2">
        <f>U787+IF(LEN($AE$788)&gt;0,1,0)</f>
        <v/>
      </c>
      <c r="V788" s="2">
        <f>V787+IF(LEN($AF$788)&gt;0,1,0)</f>
        <v/>
      </c>
      <c r="X788" s="2">
        <f>IF(ISERROR($B$788),"",IF(ISBLANK($B$788),"",$B$788))</f>
        <v/>
      </c>
      <c r="Y788" s="2">
        <f>IF(ISERROR($C$788),"",IF(ISBLANK($C$788),"",$C$788))</f>
        <v/>
      </c>
      <c r="Z788" s="2">
        <f>IF(ISERROR($D$788),"",IF(ISBLANK($D$788),"",$D$788))</f>
        <v/>
      </c>
      <c r="AA788" s="2">
        <f>IF(ISERROR($E$788),"",IF(ISBLANK($E$788),"",$E$788))</f>
        <v/>
      </c>
      <c r="AB788" s="2">
        <f>IF(ISERROR($F$788),"",IF(ISBLANK($F$788),"",$F$788))</f>
        <v/>
      </c>
      <c r="AC788" s="2">
        <f>IF(ISERROR($G$788),"",IF(ISBLANK($G$788),"",$G$788))</f>
        <v/>
      </c>
      <c r="AD788" s="2">
        <f>IF(ISERROR($H$788),"",IF(ISBLANK($H$788),"",$H$788))</f>
        <v/>
      </c>
      <c r="AE788" s="2">
        <f>IF(ISERROR($I$788),"",IF(ISBLANK($I$788),"",$I$788))</f>
        <v/>
      </c>
      <c r="AF788" s="2">
        <f>IF(ISERROR($J$788),"",IF(ISBLANK($J$788),"",$J$788))</f>
        <v/>
      </c>
      <c r="AG788" s="2">
        <f>ISERROR($B$788)*1+ISERROR($C$788)*1+ISERROR($D$788)*1+ISERROR($E$788)*1+ISERROR($F$788)*1+ISERROR($G$788)*1+ISERROR($H$788)*1+ISERROR($I$788)*1+ISERROR($J$788)*1</f>
        <v/>
      </c>
    </row>
    <row r="789" ht="26" customHeight="1">
      <c r="B789" s="35" t="n"/>
      <c r="C789" s="29" t="n"/>
      <c r="D789" s="29" t="n"/>
      <c r="E789" s="29" t="n"/>
      <c r="F789" s="29" t="n"/>
      <c r="G789" s="29" t="n"/>
      <c r="H789" s="29" t="n"/>
      <c r="I789" s="29" t="n"/>
      <c r="J789" s="29" t="n"/>
      <c r="K789" s="19">
        <f>IF(AG789&gt;0,"O Google leu como fórmula: digite de novo com ' na frente.","")</f>
        <v/>
      </c>
      <c r="N789" s="2">
        <f>N788+IF(LEN($X$789)&gt;0,1,0)</f>
        <v/>
      </c>
      <c r="O789" s="2">
        <f>O788+IF(LEN($Y$789)&gt;0,1,0)</f>
        <v/>
      </c>
      <c r="P789" s="2">
        <f>P788+IF(LEN($Z$789)&gt;0,1,0)</f>
        <v/>
      </c>
      <c r="Q789" s="2">
        <f>Q788+IF(LEN($AA$789)&gt;0,1,0)</f>
        <v/>
      </c>
      <c r="R789" s="2">
        <f>R788+IF(LEN($AB$789)&gt;0,1,0)</f>
        <v/>
      </c>
      <c r="S789" s="2">
        <f>S788+IF(LEN($AC$789)&gt;0,1,0)</f>
        <v/>
      </c>
      <c r="T789" s="2">
        <f>T788+IF(LEN($AD$789)&gt;0,1,0)</f>
        <v/>
      </c>
      <c r="U789" s="2">
        <f>U788+IF(LEN($AE$789)&gt;0,1,0)</f>
        <v/>
      </c>
      <c r="V789" s="2">
        <f>V788+IF(LEN($AF$789)&gt;0,1,0)</f>
        <v/>
      </c>
      <c r="X789" s="2">
        <f>IF(ISERROR($B$789),"",IF(ISBLANK($B$789),"",$B$789))</f>
        <v/>
      </c>
      <c r="Y789" s="2">
        <f>IF(ISERROR($C$789),"",IF(ISBLANK($C$789),"",$C$789))</f>
        <v/>
      </c>
      <c r="Z789" s="2">
        <f>IF(ISERROR($D$789),"",IF(ISBLANK($D$789),"",$D$789))</f>
        <v/>
      </c>
      <c r="AA789" s="2">
        <f>IF(ISERROR($E$789),"",IF(ISBLANK($E$789),"",$E$789))</f>
        <v/>
      </c>
      <c r="AB789" s="2">
        <f>IF(ISERROR($F$789),"",IF(ISBLANK($F$789),"",$F$789))</f>
        <v/>
      </c>
      <c r="AC789" s="2">
        <f>IF(ISERROR($G$789),"",IF(ISBLANK($G$789),"",$G$789))</f>
        <v/>
      </c>
      <c r="AD789" s="2">
        <f>IF(ISERROR($H$789),"",IF(ISBLANK($H$789),"",$H$789))</f>
        <v/>
      </c>
      <c r="AE789" s="2">
        <f>IF(ISERROR($I$789),"",IF(ISBLANK($I$789),"",$I$789))</f>
        <v/>
      </c>
      <c r="AF789" s="2">
        <f>IF(ISERROR($J$789),"",IF(ISBLANK($J$789),"",$J$789))</f>
        <v/>
      </c>
      <c r="AG789" s="2">
        <f>ISERROR($B$789)*1+ISERROR($C$789)*1+ISERROR($D$789)*1+ISERROR($E$789)*1+ISERROR($F$789)*1+ISERROR($G$789)*1+ISERROR($H$789)*1+ISERROR($I$789)*1+ISERROR($J$789)*1</f>
        <v/>
      </c>
    </row>
    <row r="790" ht="26" customHeight="1">
      <c r="B790" s="33" t="n"/>
      <c r="C790" s="4" t="n"/>
      <c r="D790" s="4" t="n"/>
      <c r="E790" s="4" t="n"/>
      <c r="F790" s="4" t="n"/>
      <c r="G790" s="4" t="n"/>
      <c r="H790" s="4" t="n"/>
      <c r="I790" s="4" t="n"/>
      <c r="J790" s="4" t="n"/>
      <c r="K790" s="19">
        <f>IF(AG790&gt;0,"O Google leu como fórmula: digite de novo com ' na frente.","")</f>
        <v/>
      </c>
      <c r="N790" s="2">
        <f>N789+IF(LEN($X$790)&gt;0,1,0)</f>
        <v/>
      </c>
      <c r="O790" s="2">
        <f>O789+IF(LEN($Y$790)&gt;0,1,0)</f>
        <v/>
      </c>
      <c r="P790" s="2">
        <f>P789+IF(LEN($Z$790)&gt;0,1,0)</f>
        <v/>
      </c>
      <c r="Q790" s="2">
        <f>Q789+IF(LEN($AA$790)&gt;0,1,0)</f>
        <v/>
      </c>
      <c r="R790" s="2">
        <f>R789+IF(LEN($AB$790)&gt;0,1,0)</f>
        <v/>
      </c>
      <c r="S790" s="2">
        <f>S789+IF(LEN($AC$790)&gt;0,1,0)</f>
        <v/>
      </c>
      <c r="T790" s="2">
        <f>T789+IF(LEN($AD$790)&gt;0,1,0)</f>
        <v/>
      </c>
      <c r="U790" s="2">
        <f>U789+IF(LEN($AE$790)&gt;0,1,0)</f>
        <v/>
      </c>
      <c r="V790" s="2">
        <f>V789+IF(LEN($AF$790)&gt;0,1,0)</f>
        <v/>
      </c>
      <c r="X790" s="2">
        <f>IF(ISERROR($B$790),"",IF(ISBLANK($B$790),"",$B$790))</f>
        <v/>
      </c>
      <c r="Y790" s="2">
        <f>IF(ISERROR($C$790),"",IF(ISBLANK($C$790),"",$C$790))</f>
        <v/>
      </c>
      <c r="Z790" s="2">
        <f>IF(ISERROR($D$790),"",IF(ISBLANK($D$790),"",$D$790))</f>
        <v/>
      </c>
      <c r="AA790" s="2">
        <f>IF(ISERROR($E$790),"",IF(ISBLANK($E$790),"",$E$790))</f>
        <v/>
      </c>
      <c r="AB790" s="2">
        <f>IF(ISERROR($F$790),"",IF(ISBLANK($F$790),"",$F$790))</f>
        <v/>
      </c>
      <c r="AC790" s="2">
        <f>IF(ISERROR($G$790),"",IF(ISBLANK($G$790),"",$G$790))</f>
        <v/>
      </c>
      <c r="AD790" s="2">
        <f>IF(ISERROR($H$790),"",IF(ISBLANK($H$790),"",$H$790))</f>
        <v/>
      </c>
      <c r="AE790" s="2">
        <f>IF(ISERROR($I$790),"",IF(ISBLANK($I$790),"",$I$790))</f>
        <v/>
      </c>
      <c r="AF790" s="2">
        <f>IF(ISERROR($J$790),"",IF(ISBLANK($J$790),"",$J$790))</f>
        <v/>
      </c>
      <c r="AG790" s="2">
        <f>ISERROR($B$790)*1+ISERROR($C$790)*1+ISERROR($D$790)*1+ISERROR($E$790)*1+ISERROR($F$790)*1+ISERROR($G$790)*1+ISERROR($H$790)*1+ISERROR($I$790)*1+ISERROR($J$790)*1</f>
        <v/>
      </c>
    </row>
    <row r="791" ht="26" customHeight="1">
      <c r="B791" s="35" t="n"/>
      <c r="C791" s="29" t="n"/>
      <c r="D791" s="29" t="n"/>
      <c r="E791" s="29" t="n"/>
      <c r="F791" s="29" t="n"/>
      <c r="G791" s="29" t="n"/>
      <c r="H791" s="29" t="n"/>
      <c r="I791" s="29" t="n"/>
      <c r="J791" s="29" t="n"/>
      <c r="K791" s="19">
        <f>IF(AG791&gt;0,"O Google leu como fórmula: digite de novo com ' na frente.","")</f>
        <v/>
      </c>
      <c r="N791" s="2">
        <f>N790+IF(LEN($X$791)&gt;0,1,0)</f>
        <v/>
      </c>
      <c r="O791" s="2">
        <f>O790+IF(LEN($Y$791)&gt;0,1,0)</f>
        <v/>
      </c>
      <c r="P791" s="2">
        <f>P790+IF(LEN($Z$791)&gt;0,1,0)</f>
        <v/>
      </c>
      <c r="Q791" s="2">
        <f>Q790+IF(LEN($AA$791)&gt;0,1,0)</f>
        <v/>
      </c>
      <c r="R791" s="2">
        <f>R790+IF(LEN($AB$791)&gt;0,1,0)</f>
        <v/>
      </c>
      <c r="S791" s="2">
        <f>S790+IF(LEN($AC$791)&gt;0,1,0)</f>
        <v/>
      </c>
      <c r="T791" s="2">
        <f>T790+IF(LEN($AD$791)&gt;0,1,0)</f>
        <v/>
      </c>
      <c r="U791" s="2">
        <f>U790+IF(LEN($AE$791)&gt;0,1,0)</f>
        <v/>
      </c>
      <c r="V791" s="2">
        <f>V790+IF(LEN($AF$791)&gt;0,1,0)</f>
        <v/>
      </c>
      <c r="X791" s="2">
        <f>IF(ISERROR($B$791),"",IF(ISBLANK($B$791),"",$B$791))</f>
        <v/>
      </c>
      <c r="Y791" s="2">
        <f>IF(ISERROR($C$791),"",IF(ISBLANK($C$791),"",$C$791))</f>
        <v/>
      </c>
      <c r="Z791" s="2">
        <f>IF(ISERROR($D$791),"",IF(ISBLANK($D$791),"",$D$791))</f>
        <v/>
      </c>
      <c r="AA791" s="2">
        <f>IF(ISERROR($E$791),"",IF(ISBLANK($E$791),"",$E$791))</f>
        <v/>
      </c>
      <c r="AB791" s="2">
        <f>IF(ISERROR($F$791),"",IF(ISBLANK($F$791),"",$F$791))</f>
        <v/>
      </c>
      <c r="AC791" s="2">
        <f>IF(ISERROR($G$791),"",IF(ISBLANK($G$791),"",$G$791))</f>
        <v/>
      </c>
      <c r="AD791" s="2">
        <f>IF(ISERROR($H$791),"",IF(ISBLANK($H$791),"",$H$791))</f>
        <v/>
      </c>
      <c r="AE791" s="2">
        <f>IF(ISERROR($I$791),"",IF(ISBLANK($I$791),"",$I$791))</f>
        <v/>
      </c>
      <c r="AF791" s="2">
        <f>IF(ISERROR($J$791),"",IF(ISBLANK($J$791),"",$J$791))</f>
        <v/>
      </c>
      <c r="AG791" s="2">
        <f>ISERROR($B$791)*1+ISERROR($C$791)*1+ISERROR($D$791)*1+ISERROR($E$791)*1+ISERROR($F$791)*1+ISERROR($G$791)*1+ISERROR($H$791)*1+ISERROR($I$791)*1+ISERROR($J$791)*1</f>
        <v/>
      </c>
    </row>
    <row r="792" ht="26" customHeight="1">
      <c r="B792" s="33" t="n"/>
      <c r="C792" s="4" t="n"/>
      <c r="D792" s="4" t="n"/>
      <c r="E792" s="4" t="n"/>
      <c r="F792" s="4" t="n"/>
      <c r="G792" s="4" t="n"/>
      <c r="H792" s="4" t="n"/>
      <c r="I792" s="4" t="n"/>
      <c r="J792" s="4" t="n"/>
      <c r="K792" s="19">
        <f>IF(AG792&gt;0,"O Google leu como fórmula: digite de novo com ' na frente.","")</f>
        <v/>
      </c>
      <c r="N792" s="2">
        <f>N791+IF(LEN($X$792)&gt;0,1,0)</f>
        <v/>
      </c>
      <c r="O792" s="2">
        <f>O791+IF(LEN($Y$792)&gt;0,1,0)</f>
        <v/>
      </c>
      <c r="P792" s="2">
        <f>P791+IF(LEN($Z$792)&gt;0,1,0)</f>
        <v/>
      </c>
      <c r="Q792" s="2">
        <f>Q791+IF(LEN($AA$792)&gt;0,1,0)</f>
        <v/>
      </c>
      <c r="R792" s="2">
        <f>R791+IF(LEN($AB$792)&gt;0,1,0)</f>
        <v/>
      </c>
      <c r="S792" s="2">
        <f>S791+IF(LEN($AC$792)&gt;0,1,0)</f>
        <v/>
      </c>
      <c r="T792" s="2">
        <f>T791+IF(LEN($AD$792)&gt;0,1,0)</f>
        <v/>
      </c>
      <c r="U792" s="2">
        <f>U791+IF(LEN($AE$792)&gt;0,1,0)</f>
        <v/>
      </c>
      <c r="V792" s="2">
        <f>V791+IF(LEN($AF$792)&gt;0,1,0)</f>
        <v/>
      </c>
      <c r="X792" s="2">
        <f>IF(ISERROR($B$792),"",IF(ISBLANK($B$792),"",$B$792))</f>
        <v/>
      </c>
      <c r="Y792" s="2">
        <f>IF(ISERROR($C$792),"",IF(ISBLANK($C$792),"",$C$792))</f>
        <v/>
      </c>
      <c r="Z792" s="2">
        <f>IF(ISERROR($D$792),"",IF(ISBLANK($D$792),"",$D$792))</f>
        <v/>
      </c>
      <c r="AA792" s="2">
        <f>IF(ISERROR($E$792),"",IF(ISBLANK($E$792),"",$E$792))</f>
        <v/>
      </c>
      <c r="AB792" s="2">
        <f>IF(ISERROR($F$792),"",IF(ISBLANK($F$792),"",$F$792))</f>
        <v/>
      </c>
      <c r="AC792" s="2">
        <f>IF(ISERROR($G$792),"",IF(ISBLANK($G$792),"",$G$792))</f>
        <v/>
      </c>
      <c r="AD792" s="2">
        <f>IF(ISERROR($H$792),"",IF(ISBLANK($H$792),"",$H$792))</f>
        <v/>
      </c>
      <c r="AE792" s="2">
        <f>IF(ISERROR($I$792),"",IF(ISBLANK($I$792),"",$I$792))</f>
        <v/>
      </c>
      <c r="AF792" s="2">
        <f>IF(ISERROR($J$792),"",IF(ISBLANK($J$792),"",$J$792))</f>
        <v/>
      </c>
      <c r="AG792" s="2">
        <f>ISERROR($B$792)*1+ISERROR($C$792)*1+ISERROR($D$792)*1+ISERROR($E$792)*1+ISERROR($F$792)*1+ISERROR($G$792)*1+ISERROR($H$792)*1+ISERROR($I$792)*1+ISERROR($J$792)*1</f>
        <v/>
      </c>
    </row>
    <row r="793" ht="26" customHeight="1">
      <c r="B793" s="35" t="n"/>
      <c r="C793" s="29" t="n"/>
      <c r="D793" s="29" t="n"/>
      <c r="E793" s="29" t="n"/>
      <c r="F793" s="29" t="n"/>
      <c r="G793" s="29" t="n"/>
      <c r="H793" s="29" t="n"/>
      <c r="I793" s="29" t="n"/>
      <c r="J793" s="29" t="n"/>
      <c r="K793" s="19">
        <f>IF(AG793&gt;0,"O Google leu como fórmula: digite de novo com ' na frente.","")</f>
        <v/>
      </c>
      <c r="N793" s="2">
        <f>N792+IF(LEN($X$793)&gt;0,1,0)</f>
        <v/>
      </c>
      <c r="O793" s="2">
        <f>O792+IF(LEN($Y$793)&gt;0,1,0)</f>
        <v/>
      </c>
      <c r="P793" s="2">
        <f>P792+IF(LEN($Z$793)&gt;0,1,0)</f>
        <v/>
      </c>
      <c r="Q793" s="2">
        <f>Q792+IF(LEN($AA$793)&gt;0,1,0)</f>
        <v/>
      </c>
      <c r="R793" s="2">
        <f>R792+IF(LEN($AB$793)&gt;0,1,0)</f>
        <v/>
      </c>
      <c r="S793" s="2">
        <f>S792+IF(LEN($AC$793)&gt;0,1,0)</f>
        <v/>
      </c>
      <c r="T793" s="2">
        <f>T792+IF(LEN($AD$793)&gt;0,1,0)</f>
        <v/>
      </c>
      <c r="U793" s="2">
        <f>U792+IF(LEN($AE$793)&gt;0,1,0)</f>
        <v/>
      </c>
      <c r="V793" s="2">
        <f>V792+IF(LEN($AF$793)&gt;0,1,0)</f>
        <v/>
      </c>
      <c r="X793" s="2">
        <f>IF(ISERROR($B$793),"",IF(ISBLANK($B$793),"",$B$793))</f>
        <v/>
      </c>
      <c r="Y793" s="2">
        <f>IF(ISERROR($C$793),"",IF(ISBLANK($C$793),"",$C$793))</f>
        <v/>
      </c>
      <c r="Z793" s="2">
        <f>IF(ISERROR($D$793),"",IF(ISBLANK($D$793),"",$D$793))</f>
        <v/>
      </c>
      <c r="AA793" s="2">
        <f>IF(ISERROR($E$793),"",IF(ISBLANK($E$793),"",$E$793))</f>
        <v/>
      </c>
      <c r="AB793" s="2">
        <f>IF(ISERROR($F$793),"",IF(ISBLANK($F$793),"",$F$793))</f>
        <v/>
      </c>
      <c r="AC793" s="2">
        <f>IF(ISERROR($G$793),"",IF(ISBLANK($G$793),"",$G$793))</f>
        <v/>
      </c>
      <c r="AD793" s="2">
        <f>IF(ISERROR($H$793),"",IF(ISBLANK($H$793),"",$H$793))</f>
        <v/>
      </c>
      <c r="AE793" s="2">
        <f>IF(ISERROR($I$793),"",IF(ISBLANK($I$793),"",$I$793))</f>
        <v/>
      </c>
      <c r="AF793" s="2">
        <f>IF(ISERROR($J$793),"",IF(ISBLANK($J$793),"",$J$793))</f>
        <v/>
      </c>
      <c r="AG793" s="2">
        <f>ISERROR($B$793)*1+ISERROR($C$793)*1+ISERROR($D$793)*1+ISERROR($E$793)*1+ISERROR($F$793)*1+ISERROR($G$793)*1+ISERROR($H$793)*1+ISERROR($I$793)*1+ISERROR($J$793)*1</f>
        <v/>
      </c>
    </row>
    <row r="794" ht="26" customHeight="1">
      <c r="B794" s="33" t="n"/>
      <c r="C794" s="4" t="n"/>
      <c r="D794" s="4" t="n"/>
      <c r="E794" s="4" t="n"/>
      <c r="F794" s="4" t="n"/>
      <c r="G794" s="4" t="n"/>
      <c r="H794" s="4" t="n"/>
      <c r="I794" s="4" t="n"/>
      <c r="J794" s="4" t="n"/>
      <c r="K794" s="19">
        <f>IF(AG794&gt;0,"O Google leu como fórmula: digite de novo com ' na frente.","")</f>
        <v/>
      </c>
      <c r="N794" s="2">
        <f>N793+IF(LEN($X$794)&gt;0,1,0)</f>
        <v/>
      </c>
      <c r="O794" s="2">
        <f>O793+IF(LEN($Y$794)&gt;0,1,0)</f>
        <v/>
      </c>
      <c r="P794" s="2">
        <f>P793+IF(LEN($Z$794)&gt;0,1,0)</f>
        <v/>
      </c>
      <c r="Q794" s="2">
        <f>Q793+IF(LEN($AA$794)&gt;0,1,0)</f>
        <v/>
      </c>
      <c r="R794" s="2">
        <f>R793+IF(LEN($AB$794)&gt;0,1,0)</f>
        <v/>
      </c>
      <c r="S794" s="2">
        <f>S793+IF(LEN($AC$794)&gt;0,1,0)</f>
        <v/>
      </c>
      <c r="T794" s="2">
        <f>T793+IF(LEN($AD$794)&gt;0,1,0)</f>
        <v/>
      </c>
      <c r="U794" s="2">
        <f>U793+IF(LEN($AE$794)&gt;0,1,0)</f>
        <v/>
      </c>
      <c r="V794" s="2">
        <f>V793+IF(LEN($AF$794)&gt;0,1,0)</f>
        <v/>
      </c>
      <c r="X794" s="2">
        <f>IF(ISERROR($B$794),"",IF(ISBLANK($B$794),"",$B$794))</f>
        <v/>
      </c>
      <c r="Y794" s="2">
        <f>IF(ISERROR($C$794),"",IF(ISBLANK($C$794),"",$C$794))</f>
        <v/>
      </c>
      <c r="Z794" s="2">
        <f>IF(ISERROR($D$794),"",IF(ISBLANK($D$794),"",$D$794))</f>
        <v/>
      </c>
      <c r="AA794" s="2">
        <f>IF(ISERROR($E$794),"",IF(ISBLANK($E$794),"",$E$794))</f>
        <v/>
      </c>
      <c r="AB794" s="2">
        <f>IF(ISERROR($F$794),"",IF(ISBLANK($F$794),"",$F$794))</f>
        <v/>
      </c>
      <c r="AC794" s="2">
        <f>IF(ISERROR($G$794),"",IF(ISBLANK($G$794),"",$G$794))</f>
        <v/>
      </c>
      <c r="AD794" s="2">
        <f>IF(ISERROR($H$794),"",IF(ISBLANK($H$794),"",$H$794))</f>
        <v/>
      </c>
      <c r="AE794" s="2">
        <f>IF(ISERROR($I$794),"",IF(ISBLANK($I$794),"",$I$794))</f>
        <v/>
      </c>
      <c r="AF794" s="2">
        <f>IF(ISERROR($J$794),"",IF(ISBLANK($J$794),"",$J$794))</f>
        <v/>
      </c>
      <c r="AG794" s="2">
        <f>ISERROR($B$794)*1+ISERROR($C$794)*1+ISERROR($D$794)*1+ISERROR($E$794)*1+ISERROR($F$794)*1+ISERROR($G$794)*1+ISERROR($H$794)*1+ISERROR($I$794)*1+ISERROR($J$794)*1</f>
        <v/>
      </c>
    </row>
    <row r="795" ht="26" customHeight="1">
      <c r="B795" s="35" t="n"/>
      <c r="C795" s="29" t="n"/>
      <c r="D795" s="29" t="n"/>
      <c r="E795" s="29" t="n"/>
      <c r="F795" s="29" t="n"/>
      <c r="G795" s="29" t="n"/>
      <c r="H795" s="29" t="n"/>
      <c r="I795" s="29" t="n"/>
      <c r="J795" s="29" t="n"/>
      <c r="K795" s="19">
        <f>IF(AG795&gt;0,"O Google leu como fórmula: digite de novo com ' na frente.","")</f>
        <v/>
      </c>
      <c r="N795" s="2">
        <f>N794+IF(LEN($X$795)&gt;0,1,0)</f>
        <v/>
      </c>
      <c r="O795" s="2">
        <f>O794+IF(LEN($Y$795)&gt;0,1,0)</f>
        <v/>
      </c>
      <c r="P795" s="2">
        <f>P794+IF(LEN($Z$795)&gt;0,1,0)</f>
        <v/>
      </c>
      <c r="Q795" s="2">
        <f>Q794+IF(LEN($AA$795)&gt;0,1,0)</f>
        <v/>
      </c>
      <c r="R795" s="2">
        <f>R794+IF(LEN($AB$795)&gt;0,1,0)</f>
        <v/>
      </c>
      <c r="S795" s="2">
        <f>S794+IF(LEN($AC$795)&gt;0,1,0)</f>
        <v/>
      </c>
      <c r="T795" s="2">
        <f>T794+IF(LEN($AD$795)&gt;0,1,0)</f>
        <v/>
      </c>
      <c r="U795" s="2">
        <f>U794+IF(LEN($AE$795)&gt;0,1,0)</f>
        <v/>
      </c>
      <c r="V795" s="2">
        <f>V794+IF(LEN($AF$795)&gt;0,1,0)</f>
        <v/>
      </c>
      <c r="X795" s="2">
        <f>IF(ISERROR($B$795),"",IF(ISBLANK($B$795),"",$B$795))</f>
        <v/>
      </c>
      <c r="Y795" s="2">
        <f>IF(ISERROR($C$795),"",IF(ISBLANK($C$795),"",$C$795))</f>
        <v/>
      </c>
      <c r="Z795" s="2">
        <f>IF(ISERROR($D$795),"",IF(ISBLANK($D$795),"",$D$795))</f>
        <v/>
      </c>
      <c r="AA795" s="2">
        <f>IF(ISERROR($E$795),"",IF(ISBLANK($E$795),"",$E$795))</f>
        <v/>
      </c>
      <c r="AB795" s="2">
        <f>IF(ISERROR($F$795),"",IF(ISBLANK($F$795),"",$F$795))</f>
        <v/>
      </c>
      <c r="AC795" s="2">
        <f>IF(ISERROR($G$795),"",IF(ISBLANK($G$795),"",$G$795))</f>
        <v/>
      </c>
      <c r="AD795" s="2">
        <f>IF(ISERROR($H$795),"",IF(ISBLANK($H$795),"",$H$795))</f>
        <v/>
      </c>
      <c r="AE795" s="2">
        <f>IF(ISERROR($I$795),"",IF(ISBLANK($I$795),"",$I$795))</f>
        <v/>
      </c>
      <c r="AF795" s="2">
        <f>IF(ISERROR($J$795),"",IF(ISBLANK($J$795),"",$J$795))</f>
        <v/>
      </c>
      <c r="AG795" s="2">
        <f>ISERROR($B$795)*1+ISERROR($C$795)*1+ISERROR($D$795)*1+ISERROR($E$795)*1+ISERROR($F$795)*1+ISERROR($G$795)*1+ISERROR($H$795)*1+ISERROR($I$795)*1+ISERROR($J$795)*1</f>
        <v/>
      </c>
    </row>
    <row r="796" ht="26" customHeight="1">
      <c r="B796" s="33" t="n"/>
      <c r="C796" s="4" t="n"/>
      <c r="D796" s="4" t="n"/>
      <c r="E796" s="4" t="n"/>
      <c r="F796" s="4" t="n"/>
      <c r="G796" s="4" t="n"/>
      <c r="H796" s="4" t="n"/>
      <c r="I796" s="4" t="n"/>
      <c r="J796" s="4" t="n"/>
      <c r="K796" s="19">
        <f>IF(AG796&gt;0,"O Google leu como fórmula: digite de novo com ' na frente.","")</f>
        <v/>
      </c>
      <c r="N796" s="2">
        <f>N795+IF(LEN($X$796)&gt;0,1,0)</f>
        <v/>
      </c>
      <c r="O796" s="2">
        <f>O795+IF(LEN($Y$796)&gt;0,1,0)</f>
        <v/>
      </c>
      <c r="P796" s="2">
        <f>P795+IF(LEN($Z$796)&gt;0,1,0)</f>
        <v/>
      </c>
      <c r="Q796" s="2">
        <f>Q795+IF(LEN($AA$796)&gt;0,1,0)</f>
        <v/>
      </c>
      <c r="R796" s="2">
        <f>R795+IF(LEN($AB$796)&gt;0,1,0)</f>
        <v/>
      </c>
      <c r="S796" s="2">
        <f>S795+IF(LEN($AC$796)&gt;0,1,0)</f>
        <v/>
      </c>
      <c r="T796" s="2">
        <f>T795+IF(LEN($AD$796)&gt;0,1,0)</f>
        <v/>
      </c>
      <c r="U796" s="2">
        <f>U795+IF(LEN($AE$796)&gt;0,1,0)</f>
        <v/>
      </c>
      <c r="V796" s="2">
        <f>V795+IF(LEN($AF$796)&gt;0,1,0)</f>
        <v/>
      </c>
      <c r="X796" s="2">
        <f>IF(ISERROR($B$796),"",IF(ISBLANK($B$796),"",$B$796))</f>
        <v/>
      </c>
      <c r="Y796" s="2">
        <f>IF(ISERROR($C$796),"",IF(ISBLANK($C$796),"",$C$796))</f>
        <v/>
      </c>
      <c r="Z796" s="2">
        <f>IF(ISERROR($D$796),"",IF(ISBLANK($D$796),"",$D$796))</f>
        <v/>
      </c>
      <c r="AA796" s="2">
        <f>IF(ISERROR($E$796),"",IF(ISBLANK($E$796),"",$E$796))</f>
        <v/>
      </c>
      <c r="AB796" s="2">
        <f>IF(ISERROR($F$796),"",IF(ISBLANK($F$796),"",$F$796))</f>
        <v/>
      </c>
      <c r="AC796" s="2">
        <f>IF(ISERROR($G$796),"",IF(ISBLANK($G$796),"",$G$796))</f>
        <v/>
      </c>
      <c r="AD796" s="2">
        <f>IF(ISERROR($H$796),"",IF(ISBLANK($H$796),"",$H$796))</f>
        <v/>
      </c>
      <c r="AE796" s="2">
        <f>IF(ISERROR($I$796),"",IF(ISBLANK($I$796),"",$I$796))</f>
        <v/>
      </c>
      <c r="AF796" s="2">
        <f>IF(ISERROR($J$796),"",IF(ISBLANK($J$796),"",$J$796))</f>
        <v/>
      </c>
      <c r="AG796" s="2">
        <f>ISERROR($B$796)*1+ISERROR($C$796)*1+ISERROR($D$796)*1+ISERROR($E$796)*1+ISERROR($F$796)*1+ISERROR($G$796)*1+ISERROR($H$796)*1+ISERROR($I$796)*1+ISERROR($J$796)*1</f>
        <v/>
      </c>
    </row>
    <row r="797" ht="26" customHeight="1">
      <c r="B797" s="35" t="n"/>
      <c r="C797" s="29" t="n"/>
      <c r="D797" s="29" t="n"/>
      <c r="E797" s="29" t="n"/>
      <c r="F797" s="29" t="n"/>
      <c r="G797" s="29" t="n"/>
      <c r="H797" s="29" t="n"/>
      <c r="I797" s="29" t="n"/>
      <c r="J797" s="29" t="n"/>
      <c r="K797" s="19">
        <f>IF(AG797&gt;0,"O Google leu como fórmula: digite de novo com ' na frente.","")</f>
        <v/>
      </c>
      <c r="N797" s="2">
        <f>N796+IF(LEN($X$797)&gt;0,1,0)</f>
        <v/>
      </c>
      <c r="O797" s="2">
        <f>O796+IF(LEN($Y$797)&gt;0,1,0)</f>
        <v/>
      </c>
      <c r="P797" s="2">
        <f>P796+IF(LEN($Z$797)&gt;0,1,0)</f>
        <v/>
      </c>
      <c r="Q797" s="2">
        <f>Q796+IF(LEN($AA$797)&gt;0,1,0)</f>
        <v/>
      </c>
      <c r="R797" s="2">
        <f>R796+IF(LEN($AB$797)&gt;0,1,0)</f>
        <v/>
      </c>
      <c r="S797" s="2">
        <f>S796+IF(LEN($AC$797)&gt;0,1,0)</f>
        <v/>
      </c>
      <c r="T797" s="2">
        <f>T796+IF(LEN($AD$797)&gt;0,1,0)</f>
        <v/>
      </c>
      <c r="U797" s="2">
        <f>U796+IF(LEN($AE$797)&gt;0,1,0)</f>
        <v/>
      </c>
      <c r="V797" s="2">
        <f>V796+IF(LEN($AF$797)&gt;0,1,0)</f>
        <v/>
      </c>
      <c r="X797" s="2">
        <f>IF(ISERROR($B$797),"",IF(ISBLANK($B$797),"",$B$797))</f>
        <v/>
      </c>
      <c r="Y797" s="2">
        <f>IF(ISERROR($C$797),"",IF(ISBLANK($C$797),"",$C$797))</f>
        <v/>
      </c>
      <c r="Z797" s="2">
        <f>IF(ISERROR($D$797),"",IF(ISBLANK($D$797),"",$D$797))</f>
        <v/>
      </c>
      <c r="AA797" s="2">
        <f>IF(ISERROR($E$797),"",IF(ISBLANK($E$797),"",$E$797))</f>
        <v/>
      </c>
      <c r="AB797" s="2">
        <f>IF(ISERROR($F$797),"",IF(ISBLANK($F$797),"",$F$797))</f>
        <v/>
      </c>
      <c r="AC797" s="2">
        <f>IF(ISERROR($G$797),"",IF(ISBLANK($G$797),"",$G$797))</f>
        <v/>
      </c>
      <c r="AD797" s="2">
        <f>IF(ISERROR($H$797),"",IF(ISBLANK($H$797),"",$H$797))</f>
        <v/>
      </c>
      <c r="AE797" s="2">
        <f>IF(ISERROR($I$797),"",IF(ISBLANK($I$797),"",$I$797))</f>
        <v/>
      </c>
      <c r="AF797" s="2">
        <f>IF(ISERROR($J$797),"",IF(ISBLANK($J$797),"",$J$797))</f>
        <v/>
      </c>
      <c r="AG797" s="2">
        <f>ISERROR($B$797)*1+ISERROR($C$797)*1+ISERROR($D$797)*1+ISERROR($E$797)*1+ISERROR($F$797)*1+ISERROR($G$797)*1+ISERROR($H$797)*1+ISERROR($I$797)*1+ISERROR($J$797)*1</f>
        <v/>
      </c>
    </row>
    <row r="798" ht="26" customHeight="1">
      <c r="B798" s="33" t="n"/>
      <c r="C798" s="4" t="n"/>
      <c r="D798" s="4" t="n"/>
      <c r="E798" s="4" t="n"/>
      <c r="F798" s="4" t="n"/>
      <c r="G798" s="4" t="n"/>
      <c r="H798" s="4" t="n"/>
      <c r="I798" s="4" t="n"/>
      <c r="J798" s="4" t="n"/>
      <c r="K798" s="19">
        <f>IF(AG798&gt;0,"O Google leu como fórmula: digite de novo com ' na frente.","")</f>
        <v/>
      </c>
      <c r="N798" s="2">
        <f>N797+IF(LEN($X$798)&gt;0,1,0)</f>
        <v/>
      </c>
      <c r="O798" s="2">
        <f>O797+IF(LEN($Y$798)&gt;0,1,0)</f>
        <v/>
      </c>
      <c r="P798" s="2">
        <f>P797+IF(LEN($Z$798)&gt;0,1,0)</f>
        <v/>
      </c>
      <c r="Q798" s="2">
        <f>Q797+IF(LEN($AA$798)&gt;0,1,0)</f>
        <v/>
      </c>
      <c r="R798" s="2">
        <f>R797+IF(LEN($AB$798)&gt;0,1,0)</f>
        <v/>
      </c>
      <c r="S798" s="2">
        <f>S797+IF(LEN($AC$798)&gt;0,1,0)</f>
        <v/>
      </c>
      <c r="T798" s="2">
        <f>T797+IF(LEN($AD$798)&gt;0,1,0)</f>
        <v/>
      </c>
      <c r="U798" s="2">
        <f>U797+IF(LEN($AE$798)&gt;0,1,0)</f>
        <v/>
      </c>
      <c r="V798" s="2">
        <f>V797+IF(LEN($AF$798)&gt;0,1,0)</f>
        <v/>
      </c>
      <c r="X798" s="2">
        <f>IF(ISERROR($B$798),"",IF(ISBLANK($B$798),"",$B$798))</f>
        <v/>
      </c>
      <c r="Y798" s="2">
        <f>IF(ISERROR($C$798),"",IF(ISBLANK($C$798),"",$C$798))</f>
        <v/>
      </c>
      <c r="Z798" s="2">
        <f>IF(ISERROR($D$798),"",IF(ISBLANK($D$798),"",$D$798))</f>
        <v/>
      </c>
      <c r="AA798" s="2">
        <f>IF(ISERROR($E$798),"",IF(ISBLANK($E$798),"",$E$798))</f>
        <v/>
      </c>
      <c r="AB798" s="2">
        <f>IF(ISERROR($F$798),"",IF(ISBLANK($F$798),"",$F$798))</f>
        <v/>
      </c>
      <c r="AC798" s="2">
        <f>IF(ISERROR($G$798),"",IF(ISBLANK($G$798),"",$G$798))</f>
        <v/>
      </c>
      <c r="AD798" s="2">
        <f>IF(ISERROR($H$798),"",IF(ISBLANK($H$798),"",$H$798))</f>
        <v/>
      </c>
      <c r="AE798" s="2">
        <f>IF(ISERROR($I$798),"",IF(ISBLANK($I$798),"",$I$798))</f>
        <v/>
      </c>
      <c r="AF798" s="2">
        <f>IF(ISERROR($J$798),"",IF(ISBLANK($J$798),"",$J$798))</f>
        <v/>
      </c>
      <c r="AG798" s="2">
        <f>ISERROR($B$798)*1+ISERROR($C$798)*1+ISERROR($D$798)*1+ISERROR($E$798)*1+ISERROR($F$798)*1+ISERROR($G$798)*1+ISERROR($H$798)*1+ISERROR($I$798)*1+ISERROR($J$798)*1</f>
        <v/>
      </c>
    </row>
    <row r="799" ht="26" customHeight="1">
      <c r="B799" s="8" t="inlineStr">
        <is>
          <t>Pista</t>
        </is>
      </c>
      <c r="C799" s="8" t="inlineStr">
        <is>
          <t>Bugiganga</t>
        </is>
      </c>
      <c r="D799" s="8" t="inlineStr">
        <is>
          <t>Nome do Cone (início)</t>
        </is>
      </c>
      <c r="E799" s="8" t="inlineStr">
        <is>
          <t>Nome do Cone (fim)</t>
        </is>
      </c>
      <c r="F799" s="8" t="inlineStr">
        <is>
          <t>Memória do Cone</t>
        </is>
      </c>
      <c r="G799" s="8" t="inlineStr">
        <is>
          <t>Gatilho do Efeito Condicional</t>
        </is>
      </c>
      <c r="H799" s="8" t="inlineStr">
        <is>
          <t>Nome do Conjunto</t>
        </is>
      </c>
      <c r="I799" s="8" t="inlineStr">
        <is>
          <t>Origem do Conjunto</t>
        </is>
      </c>
      <c r="J799" s="8" t="inlineStr">
        <is>
          <t>Efeito de 4 peças</t>
        </is>
      </c>
      <c r="N799" s="2">
        <f>N798</f>
        <v/>
      </c>
      <c r="O799" s="2">
        <f>O798</f>
        <v/>
      </c>
      <c r="P799" s="2">
        <f>P798</f>
        <v/>
      </c>
      <c r="Q799" s="2">
        <f>Q798</f>
        <v/>
      </c>
      <c r="R799" s="2">
        <f>R798</f>
        <v/>
      </c>
      <c r="S799" s="2">
        <f>S798</f>
        <v/>
      </c>
      <c r="T799" s="2">
        <f>T798</f>
        <v/>
      </c>
      <c r="U799" s="2">
        <f>U798</f>
        <v/>
      </c>
      <c r="V799" s="2">
        <f>V798</f>
        <v/>
      </c>
      <c r="X799" s="2">
        <f>IF(ISERROR($B$799),"",IF(ISBLANK($B$799),"",$B$799))</f>
        <v/>
      </c>
      <c r="Y799" s="2">
        <f>IF(ISERROR($C$799),"",IF(ISBLANK($C$799),"",$C$799))</f>
        <v/>
      </c>
      <c r="Z799" s="2">
        <f>IF(ISERROR($D$799),"",IF(ISBLANK($D$799),"",$D$799))</f>
        <v/>
      </c>
      <c r="AA799" s="2">
        <f>IF(ISERROR($E$799),"",IF(ISBLANK($E$799),"",$E$799))</f>
        <v/>
      </c>
      <c r="AB799" s="2">
        <f>IF(ISERROR($F$799),"",IF(ISBLANK($F$799),"",$F$799))</f>
        <v/>
      </c>
      <c r="AC799" s="2">
        <f>IF(ISERROR($G$799),"",IF(ISBLANK($G$799),"",$G$799))</f>
        <v/>
      </c>
      <c r="AD799" s="2">
        <f>IF(ISERROR($H$799),"",IF(ISBLANK($H$799),"",$H$799))</f>
        <v/>
      </c>
      <c r="AE799" s="2">
        <f>IF(ISERROR($I$799),"",IF(ISBLANK($I$799),"",$I$799))</f>
        <v/>
      </c>
      <c r="AF799" s="2">
        <f>IF(ISERROR($J$799),"",IF(ISBLANK($J$799),"",$J$799))</f>
        <v/>
      </c>
    </row>
    <row r="800" ht="26" customHeight="1">
      <c r="B800" s="33" t="n"/>
      <c r="C800" s="4" t="n"/>
      <c r="D800" s="4" t="n"/>
      <c r="E800" s="4" t="n"/>
      <c r="F800" s="4" t="n"/>
      <c r="G800" s="4" t="n"/>
      <c r="H800" s="4" t="n"/>
      <c r="I800" s="4" t="n"/>
      <c r="J800" s="4" t="n"/>
      <c r="K800" s="19">
        <f>IF(AG800&gt;0,"O Google leu como fórmula: digite de novo com ' na frente.","")</f>
        <v/>
      </c>
      <c r="N800" s="2">
        <f>N799+IF(LEN($X$800)&gt;0,1,0)</f>
        <v/>
      </c>
      <c r="O800" s="2">
        <f>O799+IF(LEN($Y$800)&gt;0,1,0)</f>
        <v/>
      </c>
      <c r="P800" s="2">
        <f>P799+IF(LEN($Z$800)&gt;0,1,0)</f>
        <v/>
      </c>
      <c r="Q800" s="2">
        <f>Q799+IF(LEN($AA$800)&gt;0,1,0)</f>
        <v/>
      </c>
      <c r="R800" s="2">
        <f>R799+IF(LEN($AB$800)&gt;0,1,0)</f>
        <v/>
      </c>
      <c r="S800" s="2">
        <f>S799+IF(LEN($AC$800)&gt;0,1,0)</f>
        <v/>
      </c>
      <c r="T800" s="2">
        <f>T799+IF(LEN($AD$800)&gt;0,1,0)</f>
        <v/>
      </c>
      <c r="U800" s="2">
        <f>U799+IF(LEN($AE$800)&gt;0,1,0)</f>
        <v/>
      </c>
      <c r="V800" s="2">
        <f>V799+IF(LEN($AF$800)&gt;0,1,0)</f>
        <v/>
      </c>
      <c r="X800" s="2">
        <f>IF(ISERROR($B$800),"",IF(ISBLANK($B$800),"",$B$800))</f>
        <v/>
      </c>
      <c r="Y800" s="2">
        <f>IF(ISERROR($C$800),"",IF(ISBLANK($C$800),"",$C$800))</f>
        <v/>
      </c>
      <c r="Z800" s="2">
        <f>IF(ISERROR($D$800),"",IF(ISBLANK($D$800),"",$D$800))</f>
        <v/>
      </c>
      <c r="AA800" s="2">
        <f>IF(ISERROR($E$800),"",IF(ISBLANK($E$800),"",$E$800))</f>
        <v/>
      </c>
      <c r="AB800" s="2">
        <f>IF(ISERROR($F$800),"",IF(ISBLANK($F$800),"",$F$800))</f>
        <v/>
      </c>
      <c r="AC800" s="2">
        <f>IF(ISERROR($G$800),"",IF(ISBLANK($G$800),"",$G$800))</f>
        <v/>
      </c>
      <c r="AD800" s="2">
        <f>IF(ISERROR($H$800),"",IF(ISBLANK($H$800),"",$H$800))</f>
        <v/>
      </c>
      <c r="AE800" s="2">
        <f>IF(ISERROR($I$800),"",IF(ISBLANK($I$800),"",$I$800))</f>
        <v/>
      </c>
      <c r="AF800" s="2">
        <f>IF(ISERROR($J$800),"",IF(ISBLANK($J$800),"",$J$800))</f>
        <v/>
      </c>
      <c r="AG800" s="2">
        <f>ISERROR($B$800)*1+ISERROR($C$800)*1+ISERROR($D$800)*1+ISERROR($E$800)*1+ISERROR($F$800)*1+ISERROR($G$800)*1+ISERROR($H$800)*1+ISERROR($I$800)*1+ISERROR($J$800)*1</f>
        <v/>
      </c>
    </row>
    <row r="801" ht="26" customHeight="1">
      <c r="B801" s="35" t="n"/>
      <c r="C801" s="29" t="n"/>
      <c r="D801" s="29" t="n"/>
      <c r="E801" s="29" t="n"/>
      <c r="F801" s="29" t="n"/>
      <c r="G801" s="29" t="n"/>
      <c r="H801" s="29" t="n"/>
      <c r="I801" s="29" t="n"/>
      <c r="J801" s="29" t="n"/>
      <c r="K801" s="19">
        <f>IF(AG801&gt;0,"O Google leu como fórmula: digite de novo com ' na frente.","")</f>
        <v/>
      </c>
      <c r="N801" s="2">
        <f>N800+IF(LEN($X$801)&gt;0,1,0)</f>
        <v/>
      </c>
      <c r="O801" s="2">
        <f>O800+IF(LEN($Y$801)&gt;0,1,0)</f>
        <v/>
      </c>
      <c r="P801" s="2">
        <f>P800+IF(LEN($Z$801)&gt;0,1,0)</f>
        <v/>
      </c>
      <c r="Q801" s="2">
        <f>Q800+IF(LEN($AA$801)&gt;0,1,0)</f>
        <v/>
      </c>
      <c r="R801" s="2">
        <f>R800+IF(LEN($AB$801)&gt;0,1,0)</f>
        <v/>
      </c>
      <c r="S801" s="2">
        <f>S800+IF(LEN($AC$801)&gt;0,1,0)</f>
        <v/>
      </c>
      <c r="T801" s="2">
        <f>T800+IF(LEN($AD$801)&gt;0,1,0)</f>
        <v/>
      </c>
      <c r="U801" s="2">
        <f>U800+IF(LEN($AE$801)&gt;0,1,0)</f>
        <v/>
      </c>
      <c r="V801" s="2">
        <f>V800+IF(LEN($AF$801)&gt;0,1,0)</f>
        <v/>
      </c>
      <c r="X801" s="2">
        <f>IF(ISERROR($B$801),"",IF(ISBLANK($B$801),"",$B$801))</f>
        <v/>
      </c>
      <c r="Y801" s="2">
        <f>IF(ISERROR($C$801),"",IF(ISBLANK($C$801),"",$C$801))</f>
        <v/>
      </c>
      <c r="Z801" s="2">
        <f>IF(ISERROR($D$801),"",IF(ISBLANK($D$801),"",$D$801))</f>
        <v/>
      </c>
      <c r="AA801" s="2">
        <f>IF(ISERROR($E$801),"",IF(ISBLANK($E$801),"",$E$801))</f>
        <v/>
      </c>
      <c r="AB801" s="2">
        <f>IF(ISERROR($F$801),"",IF(ISBLANK($F$801),"",$F$801))</f>
        <v/>
      </c>
      <c r="AC801" s="2">
        <f>IF(ISERROR($G$801),"",IF(ISBLANK($G$801),"",$G$801))</f>
        <v/>
      </c>
      <c r="AD801" s="2">
        <f>IF(ISERROR($H$801),"",IF(ISBLANK($H$801),"",$H$801))</f>
        <v/>
      </c>
      <c r="AE801" s="2">
        <f>IF(ISERROR($I$801),"",IF(ISBLANK($I$801),"",$I$801))</f>
        <v/>
      </c>
      <c r="AF801" s="2">
        <f>IF(ISERROR($J$801),"",IF(ISBLANK($J$801),"",$J$801))</f>
        <v/>
      </c>
      <c r="AG801" s="2">
        <f>ISERROR($B$801)*1+ISERROR($C$801)*1+ISERROR($D$801)*1+ISERROR($E$801)*1+ISERROR($F$801)*1+ISERROR($G$801)*1+ISERROR($H$801)*1+ISERROR($I$801)*1+ISERROR($J$801)*1</f>
        <v/>
      </c>
    </row>
    <row r="802" ht="26" customHeight="1">
      <c r="B802" s="33" t="n"/>
      <c r="C802" s="4" t="n"/>
      <c r="D802" s="4" t="n"/>
      <c r="E802" s="4" t="n"/>
      <c r="F802" s="4" t="n"/>
      <c r="G802" s="4" t="n"/>
      <c r="H802" s="4" t="n"/>
      <c r="I802" s="4" t="n"/>
      <c r="J802" s="4" t="n"/>
      <c r="K802" s="19">
        <f>IF(AG802&gt;0,"O Google leu como fórmula: digite de novo com ' na frente.","")</f>
        <v/>
      </c>
      <c r="N802" s="2">
        <f>N801+IF(LEN($X$802)&gt;0,1,0)</f>
        <v/>
      </c>
      <c r="O802" s="2">
        <f>O801+IF(LEN($Y$802)&gt;0,1,0)</f>
        <v/>
      </c>
      <c r="P802" s="2">
        <f>P801+IF(LEN($Z$802)&gt;0,1,0)</f>
        <v/>
      </c>
      <c r="Q802" s="2">
        <f>Q801+IF(LEN($AA$802)&gt;0,1,0)</f>
        <v/>
      </c>
      <c r="R802" s="2">
        <f>R801+IF(LEN($AB$802)&gt;0,1,0)</f>
        <v/>
      </c>
      <c r="S802" s="2">
        <f>S801+IF(LEN($AC$802)&gt;0,1,0)</f>
        <v/>
      </c>
      <c r="T802" s="2">
        <f>T801+IF(LEN($AD$802)&gt;0,1,0)</f>
        <v/>
      </c>
      <c r="U802" s="2">
        <f>U801+IF(LEN($AE$802)&gt;0,1,0)</f>
        <v/>
      </c>
      <c r="V802" s="2">
        <f>V801+IF(LEN($AF$802)&gt;0,1,0)</f>
        <v/>
      </c>
      <c r="X802" s="2">
        <f>IF(ISERROR($B$802),"",IF(ISBLANK($B$802),"",$B$802))</f>
        <v/>
      </c>
      <c r="Y802" s="2">
        <f>IF(ISERROR($C$802),"",IF(ISBLANK($C$802),"",$C$802))</f>
        <v/>
      </c>
      <c r="Z802" s="2">
        <f>IF(ISERROR($D$802),"",IF(ISBLANK($D$802),"",$D$802))</f>
        <v/>
      </c>
      <c r="AA802" s="2">
        <f>IF(ISERROR($E$802),"",IF(ISBLANK($E$802),"",$E$802))</f>
        <v/>
      </c>
      <c r="AB802" s="2">
        <f>IF(ISERROR($F$802),"",IF(ISBLANK($F$802),"",$F$802))</f>
        <v/>
      </c>
      <c r="AC802" s="2">
        <f>IF(ISERROR($G$802),"",IF(ISBLANK($G$802),"",$G$802))</f>
        <v/>
      </c>
      <c r="AD802" s="2">
        <f>IF(ISERROR($H$802),"",IF(ISBLANK($H$802),"",$H$802))</f>
        <v/>
      </c>
      <c r="AE802" s="2">
        <f>IF(ISERROR($I$802),"",IF(ISBLANK($I$802),"",$I$802))</f>
        <v/>
      </c>
      <c r="AF802" s="2">
        <f>IF(ISERROR($J$802),"",IF(ISBLANK($J$802),"",$J$802))</f>
        <v/>
      </c>
      <c r="AG802" s="2">
        <f>ISERROR($B$802)*1+ISERROR($C$802)*1+ISERROR($D$802)*1+ISERROR($E$802)*1+ISERROR($F$802)*1+ISERROR($G$802)*1+ISERROR($H$802)*1+ISERROR($I$802)*1+ISERROR($J$802)*1</f>
        <v/>
      </c>
    </row>
    <row r="803" ht="26" customHeight="1">
      <c r="B803" s="35" t="n"/>
      <c r="C803" s="29" t="n"/>
      <c r="D803" s="29" t="n"/>
      <c r="E803" s="29" t="n"/>
      <c r="F803" s="29" t="n"/>
      <c r="G803" s="29" t="n"/>
      <c r="H803" s="29" t="n"/>
      <c r="I803" s="29" t="n"/>
      <c r="J803" s="29" t="n"/>
      <c r="K803" s="19">
        <f>IF(AG803&gt;0,"O Google leu como fórmula: digite de novo com ' na frente.","")</f>
        <v/>
      </c>
      <c r="N803" s="2">
        <f>N802+IF(LEN($X$803)&gt;0,1,0)</f>
        <v/>
      </c>
      <c r="O803" s="2">
        <f>O802+IF(LEN($Y$803)&gt;0,1,0)</f>
        <v/>
      </c>
      <c r="P803" s="2">
        <f>P802+IF(LEN($Z$803)&gt;0,1,0)</f>
        <v/>
      </c>
      <c r="Q803" s="2">
        <f>Q802+IF(LEN($AA$803)&gt;0,1,0)</f>
        <v/>
      </c>
      <c r="R803" s="2">
        <f>R802+IF(LEN($AB$803)&gt;0,1,0)</f>
        <v/>
      </c>
      <c r="S803" s="2">
        <f>S802+IF(LEN($AC$803)&gt;0,1,0)</f>
        <v/>
      </c>
      <c r="T803" s="2">
        <f>T802+IF(LEN($AD$803)&gt;0,1,0)</f>
        <v/>
      </c>
      <c r="U803" s="2">
        <f>U802+IF(LEN($AE$803)&gt;0,1,0)</f>
        <v/>
      </c>
      <c r="V803" s="2">
        <f>V802+IF(LEN($AF$803)&gt;0,1,0)</f>
        <v/>
      </c>
      <c r="X803" s="2">
        <f>IF(ISERROR($B$803),"",IF(ISBLANK($B$803),"",$B$803))</f>
        <v/>
      </c>
      <c r="Y803" s="2">
        <f>IF(ISERROR($C$803),"",IF(ISBLANK($C$803),"",$C$803))</f>
        <v/>
      </c>
      <c r="Z803" s="2">
        <f>IF(ISERROR($D$803),"",IF(ISBLANK($D$803),"",$D$803))</f>
        <v/>
      </c>
      <c r="AA803" s="2">
        <f>IF(ISERROR($E$803),"",IF(ISBLANK($E$803),"",$E$803))</f>
        <v/>
      </c>
      <c r="AB803" s="2">
        <f>IF(ISERROR($F$803),"",IF(ISBLANK($F$803),"",$F$803))</f>
        <v/>
      </c>
      <c r="AC803" s="2">
        <f>IF(ISERROR($G$803),"",IF(ISBLANK($G$803),"",$G$803))</f>
        <v/>
      </c>
      <c r="AD803" s="2">
        <f>IF(ISERROR($H$803),"",IF(ISBLANK($H$803),"",$H$803))</f>
        <v/>
      </c>
      <c r="AE803" s="2">
        <f>IF(ISERROR($I$803),"",IF(ISBLANK($I$803),"",$I$803))</f>
        <v/>
      </c>
      <c r="AF803" s="2">
        <f>IF(ISERROR($J$803),"",IF(ISBLANK($J$803),"",$J$803))</f>
        <v/>
      </c>
      <c r="AG803" s="2">
        <f>ISERROR($B$803)*1+ISERROR($C$803)*1+ISERROR($D$803)*1+ISERROR($E$803)*1+ISERROR($F$803)*1+ISERROR($G$803)*1+ISERROR($H$803)*1+ISERROR($I$803)*1+ISERROR($J$803)*1</f>
        <v/>
      </c>
    </row>
    <row r="804" ht="26" customHeight="1">
      <c r="B804" s="33" t="n"/>
      <c r="C804" s="4" t="n"/>
      <c r="D804" s="4" t="n"/>
      <c r="E804" s="4" t="n"/>
      <c r="F804" s="4" t="n"/>
      <c r="G804" s="4" t="n"/>
      <c r="H804" s="4" t="n"/>
      <c r="I804" s="4" t="n"/>
      <c r="J804" s="4" t="n"/>
      <c r="K804" s="19">
        <f>IF(AG804&gt;0,"O Google leu como fórmula: digite de novo com ' na frente.","")</f>
        <v/>
      </c>
      <c r="N804" s="2">
        <f>N803+IF(LEN($X$804)&gt;0,1,0)</f>
        <v/>
      </c>
      <c r="O804" s="2">
        <f>O803+IF(LEN($Y$804)&gt;0,1,0)</f>
        <v/>
      </c>
      <c r="P804" s="2">
        <f>P803+IF(LEN($Z$804)&gt;0,1,0)</f>
        <v/>
      </c>
      <c r="Q804" s="2">
        <f>Q803+IF(LEN($AA$804)&gt;0,1,0)</f>
        <v/>
      </c>
      <c r="R804" s="2">
        <f>R803+IF(LEN($AB$804)&gt;0,1,0)</f>
        <v/>
      </c>
      <c r="S804" s="2">
        <f>S803+IF(LEN($AC$804)&gt;0,1,0)</f>
        <v/>
      </c>
      <c r="T804" s="2">
        <f>T803+IF(LEN($AD$804)&gt;0,1,0)</f>
        <v/>
      </c>
      <c r="U804" s="2">
        <f>U803+IF(LEN($AE$804)&gt;0,1,0)</f>
        <v/>
      </c>
      <c r="V804" s="2">
        <f>V803+IF(LEN($AF$804)&gt;0,1,0)</f>
        <v/>
      </c>
      <c r="X804" s="2">
        <f>IF(ISERROR($B$804),"",IF(ISBLANK($B$804),"",$B$804))</f>
        <v/>
      </c>
      <c r="Y804" s="2">
        <f>IF(ISERROR($C$804),"",IF(ISBLANK($C$804),"",$C$804))</f>
        <v/>
      </c>
      <c r="Z804" s="2">
        <f>IF(ISERROR($D$804),"",IF(ISBLANK($D$804),"",$D$804))</f>
        <v/>
      </c>
      <c r="AA804" s="2">
        <f>IF(ISERROR($E$804),"",IF(ISBLANK($E$804),"",$E$804))</f>
        <v/>
      </c>
      <c r="AB804" s="2">
        <f>IF(ISERROR($F$804),"",IF(ISBLANK($F$804),"",$F$804))</f>
        <v/>
      </c>
      <c r="AC804" s="2">
        <f>IF(ISERROR($G$804),"",IF(ISBLANK($G$804),"",$G$804))</f>
        <v/>
      </c>
      <c r="AD804" s="2">
        <f>IF(ISERROR($H$804),"",IF(ISBLANK($H$804),"",$H$804))</f>
        <v/>
      </c>
      <c r="AE804" s="2">
        <f>IF(ISERROR($I$804),"",IF(ISBLANK($I$804),"",$I$804))</f>
        <v/>
      </c>
      <c r="AF804" s="2">
        <f>IF(ISERROR($J$804),"",IF(ISBLANK($J$804),"",$J$804))</f>
        <v/>
      </c>
      <c r="AG804" s="2">
        <f>ISERROR($B$804)*1+ISERROR($C$804)*1+ISERROR($D$804)*1+ISERROR($E$804)*1+ISERROR($F$804)*1+ISERROR($G$804)*1+ISERROR($H$804)*1+ISERROR($I$804)*1+ISERROR($J$804)*1</f>
        <v/>
      </c>
    </row>
    <row r="805" ht="26" customHeight="1">
      <c r="B805" s="35" t="n"/>
      <c r="C805" s="29" t="n"/>
      <c r="D805" s="29" t="n"/>
      <c r="E805" s="29" t="n"/>
      <c r="F805" s="29" t="n"/>
      <c r="G805" s="29" t="n"/>
      <c r="H805" s="29" t="n"/>
      <c r="I805" s="29" t="n"/>
      <c r="J805" s="29" t="n"/>
      <c r="K805" s="19">
        <f>IF(AG805&gt;0,"O Google leu como fórmula: digite de novo com ' na frente.","")</f>
        <v/>
      </c>
      <c r="N805" s="2">
        <f>N804+IF(LEN($X$805)&gt;0,1,0)</f>
        <v/>
      </c>
      <c r="O805" s="2">
        <f>O804+IF(LEN($Y$805)&gt;0,1,0)</f>
        <v/>
      </c>
      <c r="P805" s="2">
        <f>P804+IF(LEN($Z$805)&gt;0,1,0)</f>
        <v/>
      </c>
      <c r="Q805" s="2">
        <f>Q804+IF(LEN($AA$805)&gt;0,1,0)</f>
        <v/>
      </c>
      <c r="R805" s="2">
        <f>R804+IF(LEN($AB$805)&gt;0,1,0)</f>
        <v/>
      </c>
      <c r="S805" s="2">
        <f>S804+IF(LEN($AC$805)&gt;0,1,0)</f>
        <v/>
      </c>
      <c r="T805" s="2">
        <f>T804+IF(LEN($AD$805)&gt;0,1,0)</f>
        <v/>
      </c>
      <c r="U805" s="2">
        <f>U804+IF(LEN($AE$805)&gt;0,1,0)</f>
        <v/>
      </c>
      <c r="V805" s="2">
        <f>V804+IF(LEN($AF$805)&gt;0,1,0)</f>
        <v/>
      </c>
      <c r="X805" s="2">
        <f>IF(ISERROR($B$805),"",IF(ISBLANK($B$805),"",$B$805))</f>
        <v/>
      </c>
      <c r="Y805" s="2">
        <f>IF(ISERROR($C$805),"",IF(ISBLANK($C$805),"",$C$805))</f>
        <v/>
      </c>
      <c r="Z805" s="2">
        <f>IF(ISERROR($D$805),"",IF(ISBLANK($D$805),"",$D$805))</f>
        <v/>
      </c>
      <c r="AA805" s="2">
        <f>IF(ISERROR($E$805),"",IF(ISBLANK($E$805),"",$E$805))</f>
        <v/>
      </c>
      <c r="AB805" s="2">
        <f>IF(ISERROR($F$805),"",IF(ISBLANK($F$805),"",$F$805))</f>
        <v/>
      </c>
      <c r="AC805" s="2">
        <f>IF(ISERROR($G$805),"",IF(ISBLANK($G$805),"",$G$805))</f>
        <v/>
      </c>
      <c r="AD805" s="2">
        <f>IF(ISERROR($H$805),"",IF(ISBLANK($H$805),"",$H$805))</f>
        <v/>
      </c>
      <c r="AE805" s="2">
        <f>IF(ISERROR($I$805),"",IF(ISBLANK($I$805),"",$I$805))</f>
        <v/>
      </c>
      <c r="AF805" s="2">
        <f>IF(ISERROR($J$805),"",IF(ISBLANK($J$805),"",$J$805))</f>
        <v/>
      </c>
      <c r="AG805" s="2">
        <f>ISERROR($B$805)*1+ISERROR($C$805)*1+ISERROR($D$805)*1+ISERROR($E$805)*1+ISERROR($F$805)*1+ISERROR($G$805)*1+ISERROR($H$805)*1+ISERROR($I$805)*1+ISERROR($J$805)*1</f>
        <v/>
      </c>
    </row>
    <row r="806" ht="26" customHeight="1">
      <c r="B806" s="33" t="n"/>
      <c r="C806" s="4" t="n"/>
      <c r="D806" s="4" t="n"/>
      <c r="E806" s="4" t="n"/>
      <c r="F806" s="4" t="n"/>
      <c r="G806" s="4" t="n"/>
      <c r="H806" s="4" t="n"/>
      <c r="I806" s="4" t="n"/>
      <c r="J806" s="4" t="n"/>
      <c r="K806" s="19">
        <f>IF(AG806&gt;0,"O Google leu como fórmula: digite de novo com ' na frente.","")</f>
        <v/>
      </c>
      <c r="N806" s="2">
        <f>N805+IF(LEN($X$806)&gt;0,1,0)</f>
        <v/>
      </c>
      <c r="O806" s="2">
        <f>O805+IF(LEN($Y$806)&gt;0,1,0)</f>
        <v/>
      </c>
      <c r="P806" s="2">
        <f>P805+IF(LEN($Z$806)&gt;0,1,0)</f>
        <v/>
      </c>
      <c r="Q806" s="2">
        <f>Q805+IF(LEN($AA$806)&gt;0,1,0)</f>
        <v/>
      </c>
      <c r="R806" s="2">
        <f>R805+IF(LEN($AB$806)&gt;0,1,0)</f>
        <v/>
      </c>
      <c r="S806" s="2">
        <f>S805+IF(LEN($AC$806)&gt;0,1,0)</f>
        <v/>
      </c>
      <c r="T806" s="2">
        <f>T805+IF(LEN($AD$806)&gt;0,1,0)</f>
        <v/>
      </c>
      <c r="U806" s="2">
        <f>U805+IF(LEN($AE$806)&gt;0,1,0)</f>
        <v/>
      </c>
      <c r="V806" s="2">
        <f>V805+IF(LEN($AF$806)&gt;0,1,0)</f>
        <v/>
      </c>
      <c r="X806" s="2">
        <f>IF(ISERROR($B$806),"",IF(ISBLANK($B$806),"",$B$806))</f>
        <v/>
      </c>
      <c r="Y806" s="2">
        <f>IF(ISERROR($C$806),"",IF(ISBLANK($C$806),"",$C$806))</f>
        <v/>
      </c>
      <c r="Z806" s="2">
        <f>IF(ISERROR($D$806),"",IF(ISBLANK($D$806),"",$D$806))</f>
        <v/>
      </c>
      <c r="AA806" s="2">
        <f>IF(ISERROR($E$806),"",IF(ISBLANK($E$806),"",$E$806))</f>
        <v/>
      </c>
      <c r="AB806" s="2">
        <f>IF(ISERROR($F$806),"",IF(ISBLANK($F$806),"",$F$806))</f>
        <v/>
      </c>
      <c r="AC806" s="2">
        <f>IF(ISERROR($G$806),"",IF(ISBLANK($G$806),"",$G$806))</f>
        <v/>
      </c>
      <c r="AD806" s="2">
        <f>IF(ISERROR($H$806),"",IF(ISBLANK($H$806),"",$H$806))</f>
        <v/>
      </c>
      <c r="AE806" s="2">
        <f>IF(ISERROR($I$806),"",IF(ISBLANK($I$806),"",$I$806))</f>
        <v/>
      </c>
      <c r="AF806" s="2">
        <f>IF(ISERROR($J$806),"",IF(ISBLANK($J$806),"",$J$806))</f>
        <v/>
      </c>
      <c r="AG806" s="2">
        <f>ISERROR($B$806)*1+ISERROR($C$806)*1+ISERROR($D$806)*1+ISERROR($E$806)*1+ISERROR($F$806)*1+ISERROR($G$806)*1+ISERROR($H$806)*1+ISERROR($I$806)*1+ISERROR($J$806)*1</f>
        <v/>
      </c>
    </row>
    <row r="807" ht="26" customHeight="1">
      <c r="B807" s="35" t="n"/>
      <c r="C807" s="29" t="n"/>
      <c r="D807" s="29" t="n"/>
      <c r="E807" s="29" t="n"/>
      <c r="F807" s="29" t="n"/>
      <c r="G807" s="29" t="n"/>
      <c r="H807" s="29" t="n"/>
      <c r="I807" s="29" t="n"/>
      <c r="J807" s="29" t="n"/>
      <c r="K807" s="19">
        <f>IF(AG807&gt;0,"O Google leu como fórmula: digite de novo com ' na frente.","")</f>
        <v/>
      </c>
      <c r="N807" s="2">
        <f>N806+IF(LEN($X$807)&gt;0,1,0)</f>
        <v/>
      </c>
      <c r="O807" s="2">
        <f>O806+IF(LEN($Y$807)&gt;0,1,0)</f>
        <v/>
      </c>
      <c r="P807" s="2">
        <f>P806+IF(LEN($Z$807)&gt;0,1,0)</f>
        <v/>
      </c>
      <c r="Q807" s="2">
        <f>Q806+IF(LEN($AA$807)&gt;0,1,0)</f>
        <v/>
      </c>
      <c r="R807" s="2">
        <f>R806+IF(LEN($AB$807)&gt;0,1,0)</f>
        <v/>
      </c>
      <c r="S807" s="2">
        <f>S806+IF(LEN($AC$807)&gt;0,1,0)</f>
        <v/>
      </c>
      <c r="T807" s="2">
        <f>T806+IF(LEN($AD$807)&gt;0,1,0)</f>
        <v/>
      </c>
      <c r="U807" s="2">
        <f>U806+IF(LEN($AE$807)&gt;0,1,0)</f>
        <v/>
      </c>
      <c r="V807" s="2">
        <f>V806+IF(LEN($AF$807)&gt;0,1,0)</f>
        <v/>
      </c>
      <c r="X807" s="2">
        <f>IF(ISERROR($B$807),"",IF(ISBLANK($B$807),"",$B$807))</f>
        <v/>
      </c>
      <c r="Y807" s="2">
        <f>IF(ISERROR($C$807),"",IF(ISBLANK($C$807),"",$C$807))</f>
        <v/>
      </c>
      <c r="Z807" s="2">
        <f>IF(ISERROR($D$807),"",IF(ISBLANK($D$807),"",$D$807))</f>
        <v/>
      </c>
      <c r="AA807" s="2">
        <f>IF(ISERROR($E$807),"",IF(ISBLANK($E$807),"",$E$807))</f>
        <v/>
      </c>
      <c r="AB807" s="2">
        <f>IF(ISERROR($F$807),"",IF(ISBLANK($F$807),"",$F$807))</f>
        <v/>
      </c>
      <c r="AC807" s="2">
        <f>IF(ISERROR($G$807),"",IF(ISBLANK($G$807),"",$G$807))</f>
        <v/>
      </c>
      <c r="AD807" s="2">
        <f>IF(ISERROR($H$807),"",IF(ISBLANK($H$807),"",$H$807))</f>
        <v/>
      </c>
      <c r="AE807" s="2">
        <f>IF(ISERROR($I$807),"",IF(ISBLANK($I$807),"",$I$807))</f>
        <v/>
      </c>
      <c r="AF807" s="2">
        <f>IF(ISERROR($J$807),"",IF(ISBLANK($J$807),"",$J$807))</f>
        <v/>
      </c>
      <c r="AG807" s="2">
        <f>ISERROR($B$807)*1+ISERROR($C$807)*1+ISERROR($D$807)*1+ISERROR($E$807)*1+ISERROR($F$807)*1+ISERROR($G$807)*1+ISERROR($H$807)*1+ISERROR($I$807)*1+ISERROR($J$807)*1</f>
        <v/>
      </c>
    </row>
    <row r="808" ht="26" customHeight="1">
      <c r="B808" s="33" t="n"/>
      <c r="C808" s="4" t="n"/>
      <c r="D808" s="4" t="n"/>
      <c r="E808" s="4" t="n"/>
      <c r="F808" s="4" t="n"/>
      <c r="G808" s="4" t="n"/>
      <c r="H808" s="4" t="n"/>
      <c r="I808" s="4" t="n"/>
      <c r="J808" s="4" t="n"/>
      <c r="K808" s="19">
        <f>IF(AG808&gt;0,"O Google leu como fórmula: digite de novo com ' na frente.","")</f>
        <v/>
      </c>
      <c r="N808" s="2">
        <f>N807+IF(LEN($X$808)&gt;0,1,0)</f>
        <v/>
      </c>
      <c r="O808" s="2">
        <f>O807+IF(LEN($Y$808)&gt;0,1,0)</f>
        <v/>
      </c>
      <c r="P808" s="2">
        <f>P807+IF(LEN($Z$808)&gt;0,1,0)</f>
        <v/>
      </c>
      <c r="Q808" s="2">
        <f>Q807+IF(LEN($AA$808)&gt;0,1,0)</f>
        <v/>
      </c>
      <c r="R808" s="2">
        <f>R807+IF(LEN($AB$808)&gt;0,1,0)</f>
        <v/>
      </c>
      <c r="S808" s="2">
        <f>S807+IF(LEN($AC$808)&gt;0,1,0)</f>
        <v/>
      </c>
      <c r="T808" s="2">
        <f>T807+IF(LEN($AD$808)&gt;0,1,0)</f>
        <v/>
      </c>
      <c r="U808" s="2">
        <f>U807+IF(LEN($AE$808)&gt;0,1,0)</f>
        <v/>
      </c>
      <c r="V808" s="2">
        <f>V807+IF(LEN($AF$808)&gt;0,1,0)</f>
        <v/>
      </c>
      <c r="X808" s="2">
        <f>IF(ISERROR($B$808),"",IF(ISBLANK($B$808),"",$B$808))</f>
        <v/>
      </c>
      <c r="Y808" s="2">
        <f>IF(ISERROR($C$808),"",IF(ISBLANK($C$808),"",$C$808))</f>
        <v/>
      </c>
      <c r="Z808" s="2">
        <f>IF(ISERROR($D$808),"",IF(ISBLANK($D$808),"",$D$808))</f>
        <v/>
      </c>
      <c r="AA808" s="2">
        <f>IF(ISERROR($E$808),"",IF(ISBLANK($E$808),"",$E$808))</f>
        <v/>
      </c>
      <c r="AB808" s="2">
        <f>IF(ISERROR($F$808),"",IF(ISBLANK($F$808),"",$F$808))</f>
        <v/>
      </c>
      <c r="AC808" s="2">
        <f>IF(ISERROR($G$808),"",IF(ISBLANK($G$808),"",$G$808))</f>
        <v/>
      </c>
      <c r="AD808" s="2">
        <f>IF(ISERROR($H$808),"",IF(ISBLANK($H$808),"",$H$808))</f>
        <v/>
      </c>
      <c r="AE808" s="2">
        <f>IF(ISERROR($I$808),"",IF(ISBLANK($I$808),"",$I$808))</f>
        <v/>
      </c>
      <c r="AF808" s="2">
        <f>IF(ISERROR($J$808),"",IF(ISBLANK($J$808),"",$J$808))</f>
        <v/>
      </c>
      <c r="AG808" s="2">
        <f>ISERROR($B$808)*1+ISERROR($C$808)*1+ISERROR($D$808)*1+ISERROR($E$808)*1+ISERROR($F$808)*1+ISERROR($G$808)*1+ISERROR($H$808)*1+ISERROR($I$808)*1+ISERROR($J$808)*1</f>
        <v/>
      </c>
    </row>
    <row r="809"/>
    <row r="810" ht="20" customHeight="1">
      <c r="A810" s="13" t="inlineStr">
        <is>
          <t>Planetas, estações, naves, facções e nomes (aba Mundos) — Sugestão da planilha (H11) (parte 1) — 100 vagas por lista</t>
        </is>
      </c>
    </row>
    <row r="811">
      <c r="A811" s="12" t="inlineStr">
        <is>
          <t>Apague para trocar, use as vagas vazias para ampliar. Não insira linhas: o contador corrido pularia a linha nova.</t>
        </is>
      </c>
    </row>
    <row r="812">
      <c r="A812" s="8" t="inlineStr">
        <is>
          <t>Lista</t>
        </is>
      </c>
      <c r="B812" s="8" t="inlineStr">
        <is>
          <t>Nome de lugar (início)</t>
        </is>
      </c>
      <c r="C812" s="8" t="inlineStr">
        <is>
          <t>Nome de lugar (fim)</t>
        </is>
      </c>
      <c r="D812" s="8" t="inlineStr">
        <is>
          <t>Nome de nave (início)</t>
        </is>
      </c>
      <c r="E812" s="8" t="inlineStr">
        <is>
          <t>Nome de nave (fim)</t>
        </is>
      </c>
      <c r="F812" s="8" t="inlineStr">
        <is>
          <t>Nome de facção (início)</t>
        </is>
      </c>
      <c r="G812" s="8" t="inlineStr">
        <is>
          <t>Nome de facção (fim)</t>
        </is>
      </c>
      <c r="H812" s="8" t="inlineStr">
        <is>
          <t>Organização</t>
        </is>
      </c>
      <c r="I812" s="8" t="inlineStr">
        <is>
          <t>Organização: o que oferece</t>
        </is>
      </c>
      <c r="J812" s="8" t="inlineStr">
        <is>
          <t>Organização: o que cobra</t>
        </is>
      </c>
    </row>
    <row r="813">
      <c r="A813" s="9" t="inlineStr">
        <is>
          <t>Fonte</t>
        </is>
      </c>
      <c r="B813" s="14" t="inlineStr">
        <is>
          <t>Sugestão da planilha (H11)</t>
        </is>
      </c>
      <c r="C813" s="14" t="inlineStr">
        <is>
          <t>Sugestão da planilha (H11)</t>
        </is>
      </c>
      <c r="D813" s="14" t="inlineStr">
        <is>
          <t>Sugestão da planilha (H11)</t>
        </is>
      </c>
      <c r="E813" s="14" t="inlineStr">
        <is>
          <t>Sugestão da planilha (H11)</t>
        </is>
      </c>
      <c r="F813" s="14" t="inlineStr">
        <is>
          <t>Sugestão da planilha (H11)</t>
        </is>
      </c>
      <c r="G813" s="14" t="inlineStr">
        <is>
          <t>Sugestão da planilha (H11)</t>
        </is>
      </c>
      <c r="H813" s="14" t="inlineStr">
        <is>
          <t>Sugestão da planilha (H11)</t>
        </is>
      </c>
      <c r="I813" s="14" t="inlineStr">
        <is>
          <t>Sugestão da planilha (H11)</t>
        </is>
      </c>
      <c r="J813" s="14" t="inlineStr">
        <is>
          <t>Sugestão da planilha (H11)</t>
        </is>
      </c>
    </row>
    <row r="814" ht="26" customHeight="1">
      <c r="A814" s="21" t="inlineStr">
        <is>
          <t>Tamanho da lista</t>
        </is>
      </c>
      <c r="B814" s="23">
        <f>N923</f>
        <v/>
      </c>
      <c r="C814" s="23">
        <f>O923</f>
        <v/>
      </c>
      <c r="D814" s="23">
        <f>P923</f>
        <v/>
      </c>
      <c r="E814" s="23">
        <f>Q923</f>
        <v/>
      </c>
      <c r="F814" s="23">
        <f>R923</f>
        <v/>
      </c>
      <c r="G814" s="23">
        <f>S923</f>
        <v/>
      </c>
      <c r="H814" s="23">
        <f>T923</f>
        <v/>
      </c>
      <c r="I814" s="23">
        <f>U923</f>
        <v/>
      </c>
      <c r="J814" s="23">
        <f>V923</f>
        <v/>
      </c>
    </row>
    <row r="815" ht="26" customHeight="1">
      <c r="A815" s="9" t="inlineStr">
        <is>
          <t>Aviso</t>
        </is>
      </c>
      <c r="B815" s="19">
        <f>IF(N923&gt;=100,"Lista cheia (100): use Minhas Tabelas para uma lista maior","")</f>
        <v/>
      </c>
      <c r="C815" s="19">
        <f>IF(O923&gt;=100,"Lista cheia (100): use Minhas Tabelas para uma lista maior","")</f>
        <v/>
      </c>
      <c r="D815" s="19">
        <f>IF(P923&gt;=100,"Lista cheia (100): use Minhas Tabelas para uma lista maior","")</f>
        <v/>
      </c>
      <c r="E815" s="19">
        <f>IF(Q923&gt;=100,"Lista cheia (100): use Minhas Tabelas para uma lista maior","")</f>
        <v/>
      </c>
      <c r="F815" s="19">
        <f>IF(R923&gt;=100,"Lista cheia (100): use Minhas Tabelas para uma lista maior","")</f>
        <v/>
      </c>
      <c r="G815" s="19">
        <f>IF(S923&gt;=100,"Lista cheia (100): use Minhas Tabelas para uma lista maior","")</f>
        <v/>
      </c>
      <c r="H815" s="19">
        <f>IF(T923&gt;=100,"Lista cheia (100): use Minhas Tabelas para uma lista maior","")</f>
        <v/>
      </c>
      <c r="I815" s="19">
        <f>IF(U923&gt;=100,"Lista cheia (100): use Minhas Tabelas para uma lista maior","")</f>
        <v/>
      </c>
      <c r="J815" s="19">
        <f>IF(V923&gt;=100,"Lista cheia (100): use Minhas Tabelas para uma lista maior","")</f>
        <v/>
      </c>
    </row>
    <row r="816" ht="15" customHeight="1">
      <c r="B816" s="8" t="inlineStr">
        <is>
          <t>Nome de lugar (início)</t>
        </is>
      </c>
      <c r="C816" s="8" t="inlineStr">
        <is>
          <t>Nome de lugar (fim)</t>
        </is>
      </c>
      <c r="D816" s="8" t="inlineStr">
        <is>
          <t>Nome de nave (início)</t>
        </is>
      </c>
      <c r="E816" s="8" t="inlineStr">
        <is>
          <t>Nome de nave (fim)</t>
        </is>
      </c>
      <c r="F816" s="8" t="inlineStr">
        <is>
          <t>Nome de facção (início)</t>
        </is>
      </c>
      <c r="G816" s="8" t="inlineStr">
        <is>
          <t>Nome de facção (fim)</t>
        </is>
      </c>
      <c r="H816" s="8" t="inlineStr">
        <is>
          <t>Organização</t>
        </is>
      </c>
      <c r="I816" s="8" t="inlineStr">
        <is>
          <t>Organização: o que oferece</t>
        </is>
      </c>
      <c r="J816" s="8" t="inlineStr">
        <is>
          <t>Organização: o que cobra</t>
        </is>
      </c>
      <c r="N816" s="2">
        <f>0</f>
        <v/>
      </c>
      <c r="O816" s="2">
        <f>0</f>
        <v/>
      </c>
      <c r="P816" s="2">
        <f>0</f>
        <v/>
      </c>
      <c r="Q816" s="2">
        <f>0</f>
        <v/>
      </c>
      <c r="R816" s="2">
        <f>0</f>
        <v/>
      </c>
      <c r="S816" s="2">
        <f>0</f>
        <v/>
      </c>
      <c r="T816" s="2">
        <f>0</f>
        <v/>
      </c>
      <c r="U816" s="2">
        <f>0</f>
        <v/>
      </c>
      <c r="V816" s="2">
        <f>0</f>
        <v/>
      </c>
    </row>
    <row r="817" ht="26" customHeight="1">
      <c r="B817" s="33" t="inlineStr">
        <is>
          <t>Porto</t>
        </is>
      </c>
      <c r="C817" s="4" t="inlineStr">
        <is>
          <t>de Cinza</t>
        </is>
      </c>
      <c r="D817" s="4" t="inlineStr">
        <is>
          <t>Andorinha</t>
        </is>
      </c>
      <c r="E817" s="4" t="inlineStr">
        <is>
          <t>de Vidro</t>
        </is>
      </c>
      <c r="F817" s="4" t="inlineStr">
        <is>
          <t>Irmandade</t>
        </is>
      </c>
      <c r="G817" s="4" t="inlineStr">
        <is>
          <t>da Chama Fria</t>
        </is>
      </c>
      <c r="H817" s="4" t="inlineStr">
        <is>
          <t>Sindicato dos Estivadores do Anel</t>
        </is>
      </c>
      <c r="I817" s="4" t="inlineStr">
        <is>
          <t>abrigo por uma noite, sem perguntas</t>
        </is>
      </c>
      <c r="J817" s="4" t="inlineStr">
        <is>
          <t>um favor, cobrado depois</t>
        </is>
      </c>
      <c r="K817" s="19">
        <f>IF(AG817&gt;0,"O Google leu como fórmula: digite de novo com ' na frente.","")</f>
        <v/>
      </c>
      <c r="N817" s="2">
        <f>N816+IF(LEN($X$817)&gt;0,1,0)</f>
        <v/>
      </c>
      <c r="O817" s="2">
        <f>O816+IF(LEN($Y$817)&gt;0,1,0)</f>
        <v/>
      </c>
      <c r="P817" s="2">
        <f>P816+IF(LEN($Z$817)&gt;0,1,0)</f>
        <v/>
      </c>
      <c r="Q817" s="2">
        <f>Q816+IF(LEN($AA$817)&gt;0,1,0)</f>
        <v/>
      </c>
      <c r="R817" s="2">
        <f>R816+IF(LEN($AB$817)&gt;0,1,0)</f>
        <v/>
      </c>
      <c r="S817" s="2">
        <f>S816+IF(LEN($AC$817)&gt;0,1,0)</f>
        <v/>
      </c>
      <c r="T817" s="2">
        <f>T816+IF(LEN($AD$817)&gt;0,1,0)</f>
        <v/>
      </c>
      <c r="U817" s="2">
        <f>U816+IF(LEN($AE$817)&gt;0,1,0)</f>
        <v/>
      </c>
      <c r="V817" s="2">
        <f>V816+IF(LEN($AF$817)&gt;0,1,0)</f>
        <v/>
      </c>
      <c r="X817" s="2">
        <f>IF(ISERROR($B$817),"",IF(ISBLANK($B$817),"",$B$817))</f>
        <v/>
      </c>
      <c r="Y817" s="2">
        <f>IF(ISERROR($C$817),"",IF(ISBLANK($C$817),"",$C$817))</f>
        <v/>
      </c>
      <c r="Z817" s="2">
        <f>IF(ISERROR($D$817),"",IF(ISBLANK($D$817),"",$D$817))</f>
        <v/>
      </c>
      <c r="AA817" s="2">
        <f>IF(ISERROR($E$817),"",IF(ISBLANK($E$817),"",$E$817))</f>
        <v/>
      </c>
      <c r="AB817" s="2">
        <f>IF(ISERROR($F$817),"",IF(ISBLANK($F$817),"",$F$817))</f>
        <v/>
      </c>
      <c r="AC817" s="2">
        <f>IF(ISERROR($G$817),"",IF(ISBLANK($G$817),"",$G$817))</f>
        <v/>
      </c>
      <c r="AD817" s="2">
        <f>IF(ISERROR($H$817),"",IF(ISBLANK($H$817),"",$H$817))</f>
        <v/>
      </c>
      <c r="AE817" s="2">
        <f>IF(ISERROR($I$817),"",IF(ISBLANK($I$817),"",$I$817))</f>
        <v/>
      </c>
      <c r="AF817" s="2">
        <f>IF(ISERROR($J$817),"",IF(ISBLANK($J$817),"",$J$817))</f>
        <v/>
      </c>
      <c r="AG817" s="2">
        <f>ISERROR($B$817)*1+ISERROR($C$817)*1+ISERROR($D$817)*1+ISERROR($E$817)*1+ISERROR($F$817)*1+ISERROR($G$817)*1+ISERROR($H$817)*1+ISERROR($I$817)*1+ISERROR($J$817)*1</f>
        <v/>
      </c>
    </row>
    <row r="818" ht="26" customHeight="1">
      <c r="B818" s="35" t="inlineStr">
        <is>
          <t>Vale</t>
        </is>
      </c>
      <c r="C818" s="29" t="inlineStr">
        <is>
          <t>das Marés Lentas</t>
        </is>
      </c>
      <c r="D818" s="29" t="inlineStr">
        <is>
          <t>Teimosa</t>
        </is>
      </c>
      <c r="E818" s="29" t="inlineStr">
        <is>
          <t>do Último Aviso</t>
        </is>
      </c>
      <c r="F818" s="29" t="inlineStr">
        <is>
          <t>Liga</t>
        </is>
      </c>
      <c r="G818" s="29" t="inlineStr">
        <is>
          <t>do Sétimo Portão</t>
        </is>
      </c>
      <c r="H818" s="29" t="inlineStr">
        <is>
          <t>Cooperativa dos Pilotos Sem Rota</t>
        </is>
      </c>
      <c r="I818" s="29" t="inlineStr">
        <is>
          <t>uma rota segura até a próxima estação</t>
        </is>
      </c>
      <c r="J818" s="29" t="inlineStr">
        <is>
          <t>que o grupo entregue uma carta sem abrir</t>
        </is>
      </c>
      <c r="K818" s="19">
        <f>IF(AG818&gt;0,"O Google leu como fórmula: digite de novo com ' na frente.","")</f>
        <v/>
      </c>
      <c r="N818" s="2">
        <f>N817+IF(LEN($X$818)&gt;0,1,0)</f>
        <v/>
      </c>
      <c r="O818" s="2">
        <f>O817+IF(LEN($Y$818)&gt;0,1,0)</f>
        <v/>
      </c>
      <c r="P818" s="2">
        <f>P817+IF(LEN($Z$818)&gt;0,1,0)</f>
        <v/>
      </c>
      <c r="Q818" s="2">
        <f>Q817+IF(LEN($AA$818)&gt;0,1,0)</f>
        <v/>
      </c>
      <c r="R818" s="2">
        <f>R817+IF(LEN($AB$818)&gt;0,1,0)</f>
        <v/>
      </c>
      <c r="S818" s="2">
        <f>S817+IF(LEN($AC$818)&gt;0,1,0)</f>
        <v/>
      </c>
      <c r="T818" s="2">
        <f>T817+IF(LEN($AD$818)&gt;0,1,0)</f>
        <v/>
      </c>
      <c r="U818" s="2">
        <f>U817+IF(LEN($AE$818)&gt;0,1,0)</f>
        <v/>
      </c>
      <c r="V818" s="2">
        <f>V817+IF(LEN($AF$818)&gt;0,1,0)</f>
        <v/>
      </c>
      <c r="X818" s="2">
        <f>IF(ISERROR($B$818),"",IF(ISBLANK($B$818),"",$B$818))</f>
        <v/>
      </c>
      <c r="Y818" s="2">
        <f>IF(ISERROR($C$818),"",IF(ISBLANK($C$818),"",$C$818))</f>
        <v/>
      </c>
      <c r="Z818" s="2">
        <f>IF(ISERROR($D$818),"",IF(ISBLANK($D$818),"",$D$818))</f>
        <v/>
      </c>
      <c r="AA818" s="2">
        <f>IF(ISERROR($E$818),"",IF(ISBLANK($E$818),"",$E$818))</f>
        <v/>
      </c>
      <c r="AB818" s="2">
        <f>IF(ISERROR($F$818),"",IF(ISBLANK($F$818),"",$F$818))</f>
        <v/>
      </c>
      <c r="AC818" s="2">
        <f>IF(ISERROR($G$818),"",IF(ISBLANK($G$818),"",$G$818))</f>
        <v/>
      </c>
      <c r="AD818" s="2">
        <f>IF(ISERROR($H$818),"",IF(ISBLANK($H$818),"",$H$818))</f>
        <v/>
      </c>
      <c r="AE818" s="2">
        <f>IF(ISERROR($I$818),"",IF(ISBLANK($I$818),"",$I$818))</f>
        <v/>
      </c>
      <c r="AF818" s="2">
        <f>IF(ISERROR($J$818),"",IF(ISBLANK($J$818),"",$J$818))</f>
        <v/>
      </c>
      <c r="AG818" s="2">
        <f>ISERROR($B$818)*1+ISERROR($C$818)*1+ISERROR($D$818)*1+ISERROR($E$818)*1+ISERROR($F$818)*1+ISERROR($G$818)*1+ISERROR($H$818)*1+ISERROR($I$818)*1+ISERROR($J$818)*1</f>
        <v/>
      </c>
    </row>
    <row r="819" ht="26" customHeight="1">
      <c r="B819" s="33" t="inlineStr">
        <is>
          <t>Anel</t>
        </is>
      </c>
      <c r="C819" s="4" t="inlineStr">
        <is>
          <t>do Sol Partido</t>
        </is>
      </c>
      <c r="D819" s="4" t="inlineStr">
        <is>
          <t>Velha Senhora</t>
        </is>
      </c>
      <c r="E819" s="4" t="inlineStr">
        <is>
          <t>das Estrelas Frias</t>
        </is>
      </c>
      <c r="F819" s="4" t="inlineStr">
        <is>
          <t>Conselho</t>
        </is>
      </c>
      <c r="G819" s="4" t="inlineStr">
        <is>
          <t>dos Relógios Quebrados</t>
        </is>
      </c>
      <c r="H819" s="4" t="inlineStr">
        <is>
          <t>Coral do Bairro Baixo</t>
        </is>
      </c>
      <c r="I819" s="4" t="inlineStr">
        <is>
          <t>documentos novos em dois dias</t>
        </is>
      </c>
      <c r="J819" s="4" t="inlineStr">
        <is>
          <t>uma parte do que o grupo achar</t>
        </is>
      </c>
      <c r="K819" s="19">
        <f>IF(AG819&gt;0,"O Google leu como fórmula: digite de novo com ' na frente.","")</f>
        <v/>
      </c>
      <c r="N819" s="2">
        <f>N818+IF(LEN($X$819)&gt;0,1,0)</f>
        <v/>
      </c>
      <c r="O819" s="2">
        <f>O818+IF(LEN($Y$819)&gt;0,1,0)</f>
        <v/>
      </c>
      <c r="P819" s="2">
        <f>P818+IF(LEN($Z$819)&gt;0,1,0)</f>
        <v/>
      </c>
      <c r="Q819" s="2">
        <f>Q818+IF(LEN($AA$819)&gt;0,1,0)</f>
        <v/>
      </c>
      <c r="R819" s="2">
        <f>R818+IF(LEN($AB$819)&gt;0,1,0)</f>
        <v/>
      </c>
      <c r="S819" s="2">
        <f>S818+IF(LEN($AC$819)&gt;0,1,0)</f>
        <v/>
      </c>
      <c r="T819" s="2">
        <f>T818+IF(LEN($AD$819)&gt;0,1,0)</f>
        <v/>
      </c>
      <c r="U819" s="2">
        <f>U818+IF(LEN($AE$819)&gt;0,1,0)</f>
        <v/>
      </c>
      <c r="V819" s="2">
        <f>V818+IF(LEN($AF$819)&gt;0,1,0)</f>
        <v/>
      </c>
      <c r="X819" s="2">
        <f>IF(ISERROR($B$819),"",IF(ISBLANK($B$819),"",$B$819))</f>
        <v/>
      </c>
      <c r="Y819" s="2">
        <f>IF(ISERROR($C$819),"",IF(ISBLANK($C$819),"",$C$819))</f>
        <v/>
      </c>
      <c r="Z819" s="2">
        <f>IF(ISERROR($D$819),"",IF(ISBLANK($D$819),"",$D$819))</f>
        <v/>
      </c>
      <c r="AA819" s="2">
        <f>IF(ISERROR($E$819),"",IF(ISBLANK($E$819),"",$E$819))</f>
        <v/>
      </c>
      <c r="AB819" s="2">
        <f>IF(ISERROR($F$819),"",IF(ISBLANK($F$819),"",$F$819))</f>
        <v/>
      </c>
      <c r="AC819" s="2">
        <f>IF(ISERROR($G$819),"",IF(ISBLANK($G$819),"",$G$819))</f>
        <v/>
      </c>
      <c r="AD819" s="2">
        <f>IF(ISERROR($H$819),"",IF(ISBLANK($H$819),"",$H$819))</f>
        <v/>
      </c>
      <c r="AE819" s="2">
        <f>IF(ISERROR($I$819),"",IF(ISBLANK($I$819),"",$I$819))</f>
        <v/>
      </c>
      <c r="AF819" s="2">
        <f>IF(ISERROR($J$819),"",IF(ISBLANK($J$819),"",$J$819))</f>
        <v/>
      </c>
      <c r="AG819" s="2">
        <f>ISERROR($B$819)*1+ISERROR($C$819)*1+ISERROR($D$819)*1+ISERROR($E$819)*1+ISERROR($F$819)*1+ISERROR($G$819)*1+ISERROR($H$819)*1+ISERROR($I$819)*1+ISERROR($J$819)*1</f>
        <v/>
      </c>
    </row>
    <row r="820" ht="26" customHeight="1">
      <c r="B820" s="35" t="inlineStr">
        <is>
          <t>Doca</t>
        </is>
      </c>
      <c r="C820" s="29" t="inlineStr">
        <is>
          <t>de Ferrugem</t>
        </is>
      </c>
      <c r="D820" s="29" t="inlineStr">
        <is>
          <t>Promessa</t>
        </is>
      </c>
      <c r="E820" s="29" t="inlineStr">
        <is>
          <t>Sem Rota</t>
        </is>
      </c>
      <c r="F820" s="29" t="inlineStr">
        <is>
          <t>Coro</t>
        </is>
      </c>
      <c r="G820" s="29" t="inlineStr">
        <is>
          <t>da Maré Quieta</t>
        </is>
      </c>
      <c r="H820" s="29" t="inlineStr">
        <is>
          <t>Arquivo Livre das Docas</t>
        </is>
      </c>
      <c r="I820" s="29" t="inlineStr">
        <is>
          <t>informação sobre quem chegou ontem</t>
        </is>
      </c>
      <c r="J820" s="29" t="inlineStr">
        <is>
          <t>silêncio sobre o que viu lá dentro</t>
        </is>
      </c>
      <c r="K820" s="19">
        <f>IF(AG820&gt;0,"O Google leu como fórmula: digite de novo com ' na frente.","")</f>
        <v/>
      </c>
      <c r="N820" s="2">
        <f>N819+IF(LEN($X$820)&gt;0,1,0)</f>
        <v/>
      </c>
      <c r="O820" s="2">
        <f>O819+IF(LEN($Y$820)&gt;0,1,0)</f>
        <v/>
      </c>
      <c r="P820" s="2">
        <f>P819+IF(LEN($Z$820)&gt;0,1,0)</f>
        <v/>
      </c>
      <c r="Q820" s="2">
        <f>Q819+IF(LEN($AA$820)&gt;0,1,0)</f>
        <v/>
      </c>
      <c r="R820" s="2">
        <f>R819+IF(LEN($AB$820)&gt;0,1,0)</f>
        <v/>
      </c>
      <c r="S820" s="2">
        <f>S819+IF(LEN($AC$820)&gt;0,1,0)</f>
        <v/>
      </c>
      <c r="T820" s="2">
        <f>T819+IF(LEN($AD$820)&gt;0,1,0)</f>
        <v/>
      </c>
      <c r="U820" s="2">
        <f>U819+IF(LEN($AE$820)&gt;0,1,0)</f>
        <v/>
      </c>
      <c r="V820" s="2">
        <f>V819+IF(LEN($AF$820)&gt;0,1,0)</f>
        <v/>
      </c>
      <c r="X820" s="2">
        <f>IF(ISERROR($B$820),"",IF(ISBLANK($B$820),"",$B$820))</f>
        <v/>
      </c>
      <c r="Y820" s="2">
        <f>IF(ISERROR($C$820),"",IF(ISBLANK($C$820),"",$C$820))</f>
        <v/>
      </c>
      <c r="Z820" s="2">
        <f>IF(ISERROR($D$820),"",IF(ISBLANK($D$820),"",$D$820))</f>
        <v/>
      </c>
      <c r="AA820" s="2">
        <f>IF(ISERROR($E$820),"",IF(ISBLANK($E$820),"",$E$820))</f>
        <v/>
      </c>
      <c r="AB820" s="2">
        <f>IF(ISERROR($F$820),"",IF(ISBLANK($F$820),"",$F$820))</f>
        <v/>
      </c>
      <c r="AC820" s="2">
        <f>IF(ISERROR($G$820),"",IF(ISBLANK($G$820),"",$G$820))</f>
        <v/>
      </c>
      <c r="AD820" s="2">
        <f>IF(ISERROR($H$820),"",IF(ISBLANK($H$820),"",$H$820))</f>
        <v/>
      </c>
      <c r="AE820" s="2">
        <f>IF(ISERROR($I$820),"",IF(ISBLANK($I$820),"",$I$820))</f>
        <v/>
      </c>
      <c r="AF820" s="2">
        <f>IF(ISERROR($J$820),"",IF(ISBLANK($J$820),"",$J$820))</f>
        <v/>
      </c>
      <c r="AG820" s="2">
        <f>ISERROR($B$820)*1+ISERROR($C$820)*1+ISERROR($D$820)*1+ISERROR($E$820)*1+ISERROR($F$820)*1+ISERROR($G$820)*1+ISERROR($H$820)*1+ISERROR($I$820)*1+ISERROR($J$820)*1</f>
        <v/>
      </c>
    </row>
    <row r="821" ht="26" customHeight="1">
      <c r="B821" s="33" t="inlineStr">
        <is>
          <t>Mirante</t>
        </is>
      </c>
      <c r="C821" s="4" t="inlineStr">
        <is>
          <t>das Sete Luas</t>
        </is>
      </c>
      <c r="D821" s="4" t="inlineStr">
        <is>
          <t>Agulha</t>
        </is>
      </c>
      <c r="E821" s="4" t="inlineStr">
        <is>
          <t>de Sete Portos</t>
        </is>
      </c>
      <c r="F821" s="4" t="inlineStr">
        <is>
          <t>Ordem</t>
        </is>
      </c>
      <c r="G821" s="4" t="inlineStr">
        <is>
          <t>do Olho Aberto</t>
        </is>
      </c>
      <c r="H821" s="4" t="inlineStr">
        <is>
          <t>Clube de Corrida de Sucata</t>
        </is>
      </c>
      <c r="I821" s="4" t="inlineStr">
        <is>
          <t>reparos baratos e rápidos</t>
        </is>
      </c>
      <c r="J821" s="4" t="inlineStr">
        <is>
          <t>presença numa reunião de votação</t>
        </is>
      </c>
      <c r="K821" s="19">
        <f>IF(AG821&gt;0,"O Google leu como fórmula: digite de novo com ' na frente.","")</f>
        <v/>
      </c>
      <c r="N821" s="2">
        <f>N820+IF(LEN($X$821)&gt;0,1,0)</f>
        <v/>
      </c>
      <c r="O821" s="2">
        <f>O820+IF(LEN($Y$821)&gt;0,1,0)</f>
        <v/>
      </c>
      <c r="P821" s="2">
        <f>P820+IF(LEN($Z$821)&gt;0,1,0)</f>
        <v/>
      </c>
      <c r="Q821" s="2">
        <f>Q820+IF(LEN($AA$821)&gt;0,1,0)</f>
        <v/>
      </c>
      <c r="R821" s="2">
        <f>R820+IF(LEN($AB$821)&gt;0,1,0)</f>
        <v/>
      </c>
      <c r="S821" s="2">
        <f>S820+IF(LEN($AC$821)&gt;0,1,0)</f>
        <v/>
      </c>
      <c r="T821" s="2">
        <f>T820+IF(LEN($AD$821)&gt;0,1,0)</f>
        <v/>
      </c>
      <c r="U821" s="2">
        <f>U820+IF(LEN($AE$821)&gt;0,1,0)</f>
        <v/>
      </c>
      <c r="V821" s="2">
        <f>V820+IF(LEN($AF$821)&gt;0,1,0)</f>
        <v/>
      </c>
      <c r="X821" s="2">
        <f>IF(ISERROR($B$821),"",IF(ISBLANK($B$821),"",$B$821))</f>
        <v/>
      </c>
      <c r="Y821" s="2">
        <f>IF(ISERROR($C$821),"",IF(ISBLANK($C$821),"",$C$821))</f>
        <v/>
      </c>
      <c r="Z821" s="2">
        <f>IF(ISERROR($D$821),"",IF(ISBLANK($D$821),"",$D$821))</f>
        <v/>
      </c>
      <c r="AA821" s="2">
        <f>IF(ISERROR($E$821),"",IF(ISBLANK($E$821),"",$E$821))</f>
        <v/>
      </c>
      <c r="AB821" s="2">
        <f>IF(ISERROR($F$821),"",IF(ISBLANK($F$821),"",$F$821))</f>
        <v/>
      </c>
      <c r="AC821" s="2">
        <f>IF(ISERROR($G$821),"",IF(ISBLANK($G$821),"",$G$821))</f>
        <v/>
      </c>
      <c r="AD821" s="2">
        <f>IF(ISERROR($H$821),"",IF(ISBLANK($H$821),"",$H$821))</f>
        <v/>
      </c>
      <c r="AE821" s="2">
        <f>IF(ISERROR($I$821),"",IF(ISBLANK($I$821),"",$I$821))</f>
        <v/>
      </c>
      <c r="AF821" s="2">
        <f>IF(ISERROR($J$821),"",IF(ISBLANK($J$821),"",$J$821))</f>
        <v/>
      </c>
      <c r="AG821" s="2">
        <f>ISERROR($B$821)*1+ISERROR($C$821)*1+ISERROR($D$821)*1+ISERROR($E$821)*1+ISERROR($F$821)*1+ISERROR($G$821)*1+ISERROR($H$821)*1+ISERROR($I$821)*1+ISERROR($J$821)*1</f>
        <v/>
      </c>
    </row>
    <row r="822" ht="26" customHeight="1">
      <c r="B822" s="35" t="inlineStr">
        <is>
          <t>Cidadela</t>
        </is>
      </c>
      <c r="C822" s="29" t="inlineStr">
        <is>
          <t>do Último Aviso</t>
        </is>
      </c>
      <c r="D822" s="29" t="inlineStr">
        <is>
          <t>Mariposa</t>
        </is>
      </c>
      <c r="E822" s="29" t="inlineStr">
        <is>
          <t>do Amanhecer</t>
        </is>
      </c>
      <c r="F822" s="29" t="inlineStr">
        <is>
          <t>Círculo</t>
        </is>
      </c>
      <c r="G822" s="29" t="inlineStr">
        <is>
          <t>das Mãos Limpas</t>
        </is>
      </c>
      <c r="H822" s="29" t="inlineStr">
        <is>
          <t>Associação dos Mineiros Aposentados</t>
        </is>
      </c>
      <c r="I822" s="29" t="inlineStr">
        <is>
          <t>uma escolta de dois veteranos</t>
        </is>
      </c>
      <c r="J822" s="29" t="inlineStr">
        <is>
          <t>que o grupo vigie um armazém por uma noite</t>
        </is>
      </c>
      <c r="K822" s="19">
        <f>IF(AG822&gt;0,"O Google leu como fórmula: digite de novo com ' na frente.","")</f>
        <v/>
      </c>
      <c r="N822" s="2">
        <f>N821+IF(LEN($X$822)&gt;0,1,0)</f>
        <v/>
      </c>
      <c r="O822" s="2">
        <f>O821+IF(LEN($Y$822)&gt;0,1,0)</f>
        <v/>
      </c>
      <c r="P822" s="2">
        <f>P821+IF(LEN($Z$822)&gt;0,1,0)</f>
        <v/>
      </c>
      <c r="Q822" s="2">
        <f>Q821+IF(LEN($AA$822)&gt;0,1,0)</f>
        <v/>
      </c>
      <c r="R822" s="2">
        <f>R821+IF(LEN($AB$822)&gt;0,1,0)</f>
        <v/>
      </c>
      <c r="S822" s="2">
        <f>S821+IF(LEN($AC$822)&gt;0,1,0)</f>
        <v/>
      </c>
      <c r="T822" s="2">
        <f>T821+IF(LEN($AD$822)&gt;0,1,0)</f>
        <v/>
      </c>
      <c r="U822" s="2">
        <f>U821+IF(LEN($AE$822)&gt;0,1,0)</f>
        <v/>
      </c>
      <c r="V822" s="2">
        <f>V821+IF(LEN($AF$822)&gt;0,1,0)</f>
        <v/>
      </c>
      <c r="X822" s="2">
        <f>IF(ISERROR($B$822),"",IF(ISBLANK($B$822),"",$B$822))</f>
        <v/>
      </c>
      <c r="Y822" s="2">
        <f>IF(ISERROR($C$822),"",IF(ISBLANK($C$822),"",$C$822))</f>
        <v/>
      </c>
      <c r="Z822" s="2">
        <f>IF(ISERROR($D$822),"",IF(ISBLANK($D$822),"",$D$822))</f>
        <v/>
      </c>
      <c r="AA822" s="2">
        <f>IF(ISERROR($E$822),"",IF(ISBLANK($E$822),"",$E$822))</f>
        <v/>
      </c>
      <c r="AB822" s="2">
        <f>IF(ISERROR($F$822),"",IF(ISBLANK($F$822),"",$F$822))</f>
        <v/>
      </c>
      <c r="AC822" s="2">
        <f>IF(ISERROR($G$822),"",IF(ISBLANK($G$822),"",$G$822))</f>
        <v/>
      </c>
      <c r="AD822" s="2">
        <f>IF(ISERROR($H$822),"",IF(ISBLANK($H$822),"",$H$822))</f>
        <v/>
      </c>
      <c r="AE822" s="2">
        <f>IF(ISERROR($I$822),"",IF(ISBLANK($I$822),"",$I$822))</f>
        <v/>
      </c>
      <c r="AF822" s="2">
        <f>IF(ISERROR($J$822),"",IF(ISBLANK($J$822),"",$J$822))</f>
        <v/>
      </c>
      <c r="AG822" s="2">
        <f>ISERROR($B$822)*1+ISERROR($C$822)*1+ISERROR($D$822)*1+ISERROR($E$822)*1+ISERROR($F$822)*1+ISERROR($G$822)*1+ISERROR($H$822)*1+ISERROR($I$822)*1+ISERROR($J$822)*1</f>
        <v/>
      </c>
    </row>
    <row r="823" ht="26" customHeight="1">
      <c r="B823" s="33" t="inlineStr">
        <is>
          <t>Vigia</t>
        </is>
      </c>
      <c r="C823" s="4" t="inlineStr">
        <is>
          <t>de Vidro Negro</t>
        </is>
      </c>
      <c r="D823" s="4" t="inlineStr">
        <is>
          <t>Coruja</t>
        </is>
      </c>
      <c r="E823" s="4" t="inlineStr">
        <is>
          <t>da Maré</t>
        </is>
      </c>
      <c r="F823" s="4" t="inlineStr">
        <is>
          <t>Companhia</t>
        </is>
      </c>
      <c r="G823" s="4" t="inlineStr">
        <is>
          <t>do Último Verso</t>
        </is>
      </c>
      <c r="H823" s="4" t="inlineStr">
        <is>
          <t>Hospital de Caridade da Estação</t>
        </is>
      </c>
      <c r="I823" s="4" t="inlineStr">
        <is>
          <t>acesso ao arquivo antigo</t>
        </is>
      </c>
      <c r="J823" s="4" t="inlineStr">
        <is>
          <t>o nome de quem mandou o grupo</t>
        </is>
      </c>
      <c r="K823" s="19">
        <f>IF(AG823&gt;0,"O Google leu como fórmula: digite de novo com ' na frente.","")</f>
        <v/>
      </c>
      <c r="N823" s="2">
        <f>N822+IF(LEN($X$823)&gt;0,1,0)</f>
        <v/>
      </c>
      <c r="O823" s="2">
        <f>O822+IF(LEN($Y$823)&gt;0,1,0)</f>
        <v/>
      </c>
      <c r="P823" s="2">
        <f>P822+IF(LEN($Z$823)&gt;0,1,0)</f>
        <v/>
      </c>
      <c r="Q823" s="2">
        <f>Q822+IF(LEN($AA$823)&gt;0,1,0)</f>
        <v/>
      </c>
      <c r="R823" s="2">
        <f>R822+IF(LEN($AB$823)&gt;0,1,0)</f>
        <v/>
      </c>
      <c r="S823" s="2">
        <f>S822+IF(LEN($AC$823)&gt;0,1,0)</f>
        <v/>
      </c>
      <c r="T823" s="2">
        <f>T822+IF(LEN($AD$823)&gt;0,1,0)</f>
        <v/>
      </c>
      <c r="U823" s="2">
        <f>U822+IF(LEN($AE$823)&gt;0,1,0)</f>
        <v/>
      </c>
      <c r="V823" s="2">
        <f>V822+IF(LEN($AF$823)&gt;0,1,0)</f>
        <v/>
      </c>
      <c r="X823" s="2">
        <f>IF(ISERROR($B$823),"",IF(ISBLANK($B$823),"",$B$823))</f>
        <v/>
      </c>
      <c r="Y823" s="2">
        <f>IF(ISERROR($C$823),"",IF(ISBLANK($C$823),"",$C$823))</f>
        <v/>
      </c>
      <c r="Z823" s="2">
        <f>IF(ISERROR($D$823),"",IF(ISBLANK($D$823),"",$D$823))</f>
        <v/>
      </c>
      <c r="AA823" s="2">
        <f>IF(ISERROR($E$823),"",IF(ISBLANK($E$823),"",$E$823))</f>
        <v/>
      </c>
      <c r="AB823" s="2">
        <f>IF(ISERROR($F$823),"",IF(ISBLANK($F$823),"",$F$823))</f>
        <v/>
      </c>
      <c r="AC823" s="2">
        <f>IF(ISERROR($G$823),"",IF(ISBLANK($G$823),"",$G$823))</f>
        <v/>
      </c>
      <c r="AD823" s="2">
        <f>IF(ISERROR($H$823),"",IF(ISBLANK($H$823),"",$H$823))</f>
        <v/>
      </c>
      <c r="AE823" s="2">
        <f>IF(ISERROR($I$823),"",IF(ISBLANK($I$823),"",$I$823))</f>
        <v/>
      </c>
      <c r="AF823" s="2">
        <f>IF(ISERROR($J$823),"",IF(ISBLANK($J$823),"",$J$823))</f>
        <v/>
      </c>
      <c r="AG823" s="2">
        <f>ISERROR($B$823)*1+ISERROR($C$823)*1+ISERROR($D$823)*1+ISERROR($E$823)*1+ISERROR($F$823)*1+ISERROR($G$823)*1+ISERROR($H$823)*1+ISERROR($I$823)*1+ISERROR($J$823)*1</f>
        <v/>
      </c>
    </row>
    <row r="824" ht="26" customHeight="1">
      <c r="B824" s="35" t="inlineStr">
        <is>
          <t>Colônia</t>
        </is>
      </c>
      <c r="C824" s="29" t="inlineStr">
        <is>
          <t>dos Ventos Mansos</t>
        </is>
      </c>
      <c r="D824" s="29" t="inlineStr">
        <is>
          <t>Lâmpada</t>
        </is>
      </c>
      <c r="E824" s="29" t="inlineStr">
        <is>
          <t>de Ferro Velho</t>
        </is>
      </c>
      <c r="F824" s="29" t="inlineStr">
        <is>
          <t>Guilda</t>
        </is>
      </c>
      <c r="G824" s="29" t="inlineStr">
        <is>
          <t>da Estrela Cega</t>
        </is>
      </c>
      <c r="H824" s="29" t="inlineStr">
        <is>
          <t>Casa de Penhores do Mercado Velho</t>
        </is>
      </c>
      <c r="I824" s="29" t="inlineStr">
        <is>
          <t>um contato dentro da Corporação</t>
        </is>
      </c>
      <c r="J824" s="29" t="inlineStr">
        <is>
          <t>trabalho braçal por um dia</t>
        </is>
      </c>
      <c r="K824" s="19">
        <f>IF(AG824&gt;0,"O Google leu como fórmula: digite de novo com ' na frente.","")</f>
        <v/>
      </c>
      <c r="N824" s="2">
        <f>N823+IF(LEN($X$824)&gt;0,1,0)</f>
        <v/>
      </c>
      <c r="O824" s="2">
        <f>O823+IF(LEN($Y$824)&gt;0,1,0)</f>
        <v/>
      </c>
      <c r="P824" s="2">
        <f>P823+IF(LEN($Z$824)&gt;0,1,0)</f>
        <v/>
      </c>
      <c r="Q824" s="2">
        <f>Q823+IF(LEN($AA$824)&gt;0,1,0)</f>
        <v/>
      </c>
      <c r="R824" s="2">
        <f>R823+IF(LEN($AB$824)&gt;0,1,0)</f>
        <v/>
      </c>
      <c r="S824" s="2">
        <f>S823+IF(LEN($AC$824)&gt;0,1,0)</f>
        <v/>
      </c>
      <c r="T824" s="2">
        <f>T823+IF(LEN($AD$824)&gt;0,1,0)</f>
        <v/>
      </c>
      <c r="U824" s="2">
        <f>U823+IF(LEN($AE$824)&gt;0,1,0)</f>
        <v/>
      </c>
      <c r="V824" s="2">
        <f>V823+IF(LEN($AF$824)&gt;0,1,0)</f>
        <v/>
      </c>
      <c r="X824" s="2">
        <f>IF(ISERROR($B$824),"",IF(ISBLANK($B$824),"",$B$824))</f>
        <v/>
      </c>
      <c r="Y824" s="2">
        <f>IF(ISERROR($C$824),"",IF(ISBLANK($C$824),"",$C$824))</f>
        <v/>
      </c>
      <c r="Z824" s="2">
        <f>IF(ISERROR($D$824),"",IF(ISBLANK($D$824),"",$D$824))</f>
        <v/>
      </c>
      <c r="AA824" s="2">
        <f>IF(ISERROR($E$824),"",IF(ISBLANK($E$824),"",$E$824))</f>
        <v/>
      </c>
      <c r="AB824" s="2">
        <f>IF(ISERROR($F$824),"",IF(ISBLANK($F$824),"",$F$824))</f>
        <v/>
      </c>
      <c r="AC824" s="2">
        <f>IF(ISERROR($G$824),"",IF(ISBLANK($G$824),"",$G$824))</f>
        <v/>
      </c>
      <c r="AD824" s="2">
        <f>IF(ISERROR($H$824),"",IF(ISBLANK($H$824),"",$H$824))</f>
        <v/>
      </c>
      <c r="AE824" s="2">
        <f>IF(ISERROR($I$824),"",IF(ISBLANK($I$824),"",$I$824))</f>
        <v/>
      </c>
      <c r="AF824" s="2">
        <f>IF(ISERROR($J$824),"",IF(ISBLANK($J$824),"",$J$824))</f>
        <v/>
      </c>
      <c r="AG824" s="2">
        <f>ISERROR($B$824)*1+ISERROR($C$824)*1+ISERROR($D$824)*1+ISERROR($E$824)*1+ISERROR($F$824)*1+ISERROR($G$824)*1+ISERROR($H$824)*1+ISERROR($I$824)*1+ISERROR($J$824)*1</f>
        <v/>
      </c>
    </row>
    <row r="825" ht="26" customHeight="1">
      <c r="B825" s="33" t="inlineStr">
        <is>
          <t>Abrigo</t>
        </is>
      </c>
      <c r="C825" s="4" t="inlineStr">
        <is>
          <t>da Neve Quente</t>
        </is>
      </c>
      <c r="D825" s="4" t="inlineStr">
        <is>
          <t>Errante</t>
        </is>
      </c>
      <c r="E825" s="4" t="inlineStr">
        <is>
          <t>Que Não Dorme</t>
        </is>
      </c>
      <c r="F825" s="4" t="inlineStr">
        <is>
          <t>Assembleia</t>
        </is>
      </c>
      <c r="G825" s="4" t="inlineStr">
        <is>
          <t>dos Que Lembram</t>
        </is>
      </c>
      <c r="H825" s="4" t="inlineStr">
        <is>
          <t>Escola de Navegação Estelar</t>
        </is>
      </c>
      <c r="I825" s="4" t="inlineStr">
        <is>
          <t>comida quente e um lugar para conversar</t>
        </is>
      </c>
      <c r="J825" s="4" t="inlineStr">
        <is>
          <t>um objeto que pertenceu a alguém do grupo</t>
        </is>
      </c>
      <c r="K825" s="19">
        <f>IF(AG825&gt;0,"O Google leu como fórmula: digite de novo com ' na frente.","")</f>
        <v/>
      </c>
      <c r="N825" s="2">
        <f>N824+IF(LEN($X$825)&gt;0,1,0)</f>
        <v/>
      </c>
      <c r="O825" s="2">
        <f>O824+IF(LEN($Y$825)&gt;0,1,0)</f>
        <v/>
      </c>
      <c r="P825" s="2">
        <f>P824+IF(LEN($Z$825)&gt;0,1,0)</f>
        <v/>
      </c>
      <c r="Q825" s="2">
        <f>Q824+IF(LEN($AA$825)&gt;0,1,0)</f>
        <v/>
      </c>
      <c r="R825" s="2">
        <f>R824+IF(LEN($AB$825)&gt;0,1,0)</f>
        <v/>
      </c>
      <c r="S825" s="2">
        <f>S824+IF(LEN($AC$825)&gt;0,1,0)</f>
        <v/>
      </c>
      <c r="T825" s="2">
        <f>T824+IF(LEN($AD$825)&gt;0,1,0)</f>
        <v/>
      </c>
      <c r="U825" s="2">
        <f>U824+IF(LEN($AE$825)&gt;0,1,0)</f>
        <v/>
      </c>
      <c r="V825" s="2">
        <f>V824+IF(LEN($AF$825)&gt;0,1,0)</f>
        <v/>
      </c>
      <c r="X825" s="2">
        <f>IF(ISERROR($B$825),"",IF(ISBLANK($B$825),"",$B$825))</f>
        <v/>
      </c>
      <c r="Y825" s="2">
        <f>IF(ISERROR($C$825),"",IF(ISBLANK($C$825),"",$C$825))</f>
        <v/>
      </c>
      <c r="Z825" s="2">
        <f>IF(ISERROR($D$825),"",IF(ISBLANK($D$825),"",$D$825))</f>
        <v/>
      </c>
      <c r="AA825" s="2">
        <f>IF(ISERROR($E$825),"",IF(ISBLANK($E$825),"",$E$825))</f>
        <v/>
      </c>
      <c r="AB825" s="2">
        <f>IF(ISERROR($F$825),"",IF(ISBLANK($F$825),"",$F$825))</f>
        <v/>
      </c>
      <c r="AC825" s="2">
        <f>IF(ISERROR($G$825),"",IF(ISBLANK($G$825),"",$G$825))</f>
        <v/>
      </c>
      <c r="AD825" s="2">
        <f>IF(ISERROR($H$825),"",IF(ISBLANK($H$825),"",$H$825))</f>
        <v/>
      </c>
      <c r="AE825" s="2">
        <f>IF(ISERROR($I$825),"",IF(ISBLANK($I$825),"",$I$825))</f>
        <v/>
      </c>
      <c r="AF825" s="2">
        <f>IF(ISERROR($J$825),"",IF(ISBLANK($J$825),"",$J$825))</f>
        <v/>
      </c>
      <c r="AG825" s="2">
        <f>ISERROR($B$825)*1+ISERROR($C$825)*1+ISERROR($D$825)*1+ISERROR($E$825)*1+ISERROR($F$825)*1+ISERROR($G$825)*1+ISERROR($H$825)*1+ISERROR($I$825)*1+ISERROR($J$825)*1</f>
        <v/>
      </c>
    </row>
    <row r="826" ht="26" customHeight="1">
      <c r="B826" s="35" t="inlineStr">
        <is>
          <t>Farol</t>
        </is>
      </c>
      <c r="C826" s="29" t="inlineStr">
        <is>
          <t>do Eco Longo</t>
        </is>
      </c>
      <c r="D826" s="29" t="inlineStr">
        <is>
          <t>Fiel</t>
        </is>
      </c>
      <c r="E826" s="29" t="inlineStr">
        <is>
          <t>de Ninguém</t>
        </is>
      </c>
      <c r="F826" s="29" t="inlineStr">
        <is>
          <t>Confraria</t>
        </is>
      </c>
      <c r="G826" s="29" t="inlineStr">
        <is>
          <t>do Vazio Manso</t>
        </is>
      </c>
      <c r="H826" s="29" t="inlineStr">
        <is>
          <t>Companhia de Teatro Itinerante</t>
        </is>
      </c>
      <c r="I826" s="29" t="inlineStr">
        <is>
          <t>crédito para uma compra urgente</t>
        </is>
      </c>
      <c r="J826" s="29" t="inlineStr">
        <is>
          <t>que ninguém da Corporação saiba</t>
        </is>
      </c>
      <c r="K826" s="19">
        <f>IF(AG826&gt;0,"O Google leu como fórmula: digite de novo com ' na frente.","")</f>
        <v/>
      </c>
      <c r="N826" s="2">
        <f>N825+IF(LEN($X$826)&gt;0,1,0)</f>
        <v/>
      </c>
      <c r="O826" s="2">
        <f>O825+IF(LEN($Y$826)&gt;0,1,0)</f>
        <v/>
      </c>
      <c r="P826" s="2">
        <f>P825+IF(LEN($Z$826)&gt;0,1,0)</f>
        <v/>
      </c>
      <c r="Q826" s="2">
        <f>Q825+IF(LEN($AA$826)&gt;0,1,0)</f>
        <v/>
      </c>
      <c r="R826" s="2">
        <f>R825+IF(LEN($AB$826)&gt;0,1,0)</f>
        <v/>
      </c>
      <c r="S826" s="2">
        <f>S825+IF(LEN($AC$826)&gt;0,1,0)</f>
        <v/>
      </c>
      <c r="T826" s="2">
        <f>T825+IF(LEN($AD$826)&gt;0,1,0)</f>
        <v/>
      </c>
      <c r="U826" s="2">
        <f>U825+IF(LEN($AE$826)&gt;0,1,0)</f>
        <v/>
      </c>
      <c r="V826" s="2">
        <f>V825+IF(LEN($AF$826)&gt;0,1,0)</f>
        <v/>
      </c>
      <c r="X826" s="2">
        <f>IF(ISERROR($B$826),"",IF(ISBLANK($B$826),"",$B$826))</f>
        <v/>
      </c>
      <c r="Y826" s="2">
        <f>IF(ISERROR($C$826),"",IF(ISBLANK($C$826),"",$C$826))</f>
        <v/>
      </c>
      <c r="Z826" s="2">
        <f>IF(ISERROR($D$826),"",IF(ISBLANK($D$826),"",$D$826))</f>
        <v/>
      </c>
      <c r="AA826" s="2">
        <f>IF(ISERROR($E$826),"",IF(ISBLANK($E$826),"",$E$826))</f>
        <v/>
      </c>
      <c r="AB826" s="2">
        <f>IF(ISERROR($F$826),"",IF(ISBLANK($F$826),"",$F$826))</f>
        <v/>
      </c>
      <c r="AC826" s="2">
        <f>IF(ISERROR($G$826),"",IF(ISBLANK($G$826),"",$G$826))</f>
        <v/>
      </c>
      <c r="AD826" s="2">
        <f>IF(ISERROR($H$826),"",IF(ISBLANK($H$826),"",$H$826))</f>
        <v/>
      </c>
      <c r="AE826" s="2">
        <f>IF(ISERROR($I$826),"",IF(ISBLANK($I$826),"",$I$826))</f>
        <v/>
      </c>
      <c r="AF826" s="2">
        <f>IF(ISERROR($J$826),"",IF(ISBLANK($J$826),"",$J$826))</f>
        <v/>
      </c>
      <c r="AG826" s="2">
        <f>ISERROR($B$826)*1+ISERROR($C$826)*1+ISERROR($D$826)*1+ISERROR($E$826)*1+ISERROR($F$826)*1+ISERROR($G$826)*1+ISERROR($H$826)*1+ISERROR($I$826)*1+ISERROR($J$826)*1</f>
        <v/>
      </c>
    </row>
    <row r="827" ht="26" customHeight="1">
      <c r="B827" s="33" t="inlineStr">
        <is>
          <t>Ponte</t>
        </is>
      </c>
      <c r="C827" s="4" t="inlineStr">
        <is>
          <t>das Lanternas</t>
        </is>
      </c>
      <c r="D827" s="4" t="inlineStr">
        <is>
          <t>Garça</t>
        </is>
      </c>
      <c r="E827" s="4" t="inlineStr">
        <is>
          <t>do Norte</t>
        </is>
      </c>
      <c r="F827" s="4" t="inlineStr">
        <is>
          <t>Sindicato</t>
        </is>
      </c>
      <c r="G827" s="4" t="inlineStr">
        <is>
          <t>da Ferrugem</t>
        </is>
      </c>
      <c r="H827" s="4" t="inlineStr">
        <is>
          <t>Grêmio dos Relojoeiros</t>
        </is>
      </c>
      <c r="I827" s="4" t="inlineStr">
        <is>
          <t>um mapa dos dutos de serviço</t>
        </is>
      </c>
      <c r="J827" s="4" t="inlineStr">
        <is>
          <t>lealdade numa disputa de bairro</t>
        </is>
      </c>
      <c r="K827" s="19">
        <f>IF(AG827&gt;0,"O Google leu como fórmula: digite de novo com ' na frente.","")</f>
        <v/>
      </c>
      <c r="N827" s="2">
        <f>N826+IF(LEN($X$827)&gt;0,1,0)</f>
        <v/>
      </c>
      <c r="O827" s="2">
        <f>O826+IF(LEN($Y$827)&gt;0,1,0)</f>
        <v/>
      </c>
      <c r="P827" s="2">
        <f>P826+IF(LEN($Z$827)&gt;0,1,0)</f>
        <v/>
      </c>
      <c r="Q827" s="2">
        <f>Q826+IF(LEN($AA$827)&gt;0,1,0)</f>
        <v/>
      </c>
      <c r="R827" s="2">
        <f>R826+IF(LEN($AB$827)&gt;0,1,0)</f>
        <v/>
      </c>
      <c r="S827" s="2">
        <f>S826+IF(LEN($AC$827)&gt;0,1,0)</f>
        <v/>
      </c>
      <c r="T827" s="2">
        <f>T826+IF(LEN($AD$827)&gt;0,1,0)</f>
        <v/>
      </c>
      <c r="U827" s="2">
        <f>U826+IF(LEN($AE$827)&gt;0,1,0)</f>
        <v/>
      </c>
      <c r="V827" s="2">
        <f>V826+IF(LEN($AF$827)&gt;0,1,0)</f>
        <v/>
      </c>
      <c r="X827" s="2">
        <f>IF(ISERROR($B$827),"",IF(ISBLANK($B$827),"",$B$827))</f>
        <v/>
      </c>
      <c r="Y827" s="2">
        <f>IF(ISERROR($C$827),"",IF(ISBLANK($C$827),"",$C$827))</f>
        <v/>
      </c>
      <c r="Z827" s="2">
        <f>IF(ISERROR($D$827),"",IF(ISBLANK($D$827),"",$D$827))</f>
        <v/>
      </c>
      <c r="AA827" s="2">
        <f>IF(ISERROR($E$827),"",IF(ISBLANK($E$827),"",$E$827))</f>
        <v/>
      </c>
      <c r="AB827" s="2">
        <f>IF(ISERROR($F$827),"",IF(ISBLANK($F$827),"",$F$827))</f>
        <v/>
      </c>
      <c r="AC827" s="2">
        <f>IF(ISERROR($G$827),"",IF(ISBLANK($G$827),"",$G$827))</f>
        <v/>
      </c>
      <c r="AD827" s="2">
        <f>IF(ISERROR($H$827),"",IF(ISBLANK($H$827),"",$H$827))</f>
        <v/>
      </c>
      <c r="AE827" s="2">
        <f>IF(ISERROR($I$827),"",IF(ISBLANK($I$827),"",$I$827))</f>
        <v/>
      </c>
      <c r="AF827" s="2">
        <f>IF(ISERROR($J$827),"",IF(ISBLANK($J$827),"",$J$827))</f>
        <v/>
      </c>
      <c r="AG827" s="2">
        <f>ISERROR($B$827)*1+ISERROR($C$827)*1+ISERROR($D$827)*1+ISERROR($E$827)*1+ISERROR($F$827)*1+ISERROR($G$827)*1+ISERROR($H$827)*1+ISERROR($I$827)*1+ISERROR($J$827)*1</f>
        <v/>
      </c>
    </row>
    <row r="828" ht="26" customHeight="1">
      <c r="B828" s="35" t="inlineStr">
        <is>
          <t>Cais</t>
        </is>
      </c>
      <c r="C828" s="29" t="inlineStr">
        <is>
          <t>de Sal</t>
        </is>
      </c>
      <c r="D828" s="29" t="inlineStr">
        <is>
          <t>Vaga-lume</t>
        </is>
      </c>
      <c r="E828" s="29" t="inlineStr">
        <is>
          <t>das Cinzas</t>
        </is>
      </c>
      <c r="F828" s="29" t="inlineStr">
        <is>
          <t>Clã</t>
        </is>
      </c>
      <c r="G828" s="29" t="inlineStr">
        <is>
          <t>do Lacre</t>
        </is>
      </c>
      <c r="H828" s="29" t="inlineStr">
        <is>
          <t>Liga dos Contrabandistas Honestos</t>
        </is>
      </c>
      <c r="I828" s="29" t="inlineStr">
        <is>
          <t>tratamento médico discreto</t>
        </is>
      </c>
      <c r="J828" s="29" t="inlineStr">
        <is>
          <t>que o grupo leve um aprendiz junto</t>
        </is>
      </c>
      <c r="K828" s="19">
        <f>IF(AG828&gt;0,"O Google leu como fórmula: digite de novo com ' na frente.","")</f>
        <v/>
      </c>
      <c r="N828" s="2">
        <f>N827+IF(LEN($X$828)&gt;0,1,0)</f>
        <v/>
      </c>
      <c r="O828" s="2">
        <f>O827+IF(LEN($Y$828)&gt;0,1,0)</f>
        <v/>
      </c>
      <c r="P828" s="2">
        <f>P827+IF(LEN($Z$828)&gt;0,1,0)</f>
        <v/>
      </c>
      <c r="Q828" s="2">
        <f>Q827+IF(LEN($AA$828)&gt;0,1,0)</f>
        <v/>
      </c>
      <c r="R828" s="2">
        <f>R827+IF(LEN($AB$828)&gt;0,1,0)</f>
        <v/>
      </c>
      <c r="S828" s="2">
        <f>S827+IF(LEN($AC$828)&gt;0,1,0)</f>
        <v/>
      </c>
      <c r="T828" s="2">
        <f>T827+IF(LEN($AD$828)&gt;0,1,0)</f>
        <v/>
      </c>
      <c r="U828" s="2">
        <f>U827+IF(LEN($AE$828)&gt;0,1,0)</f>
        <v/>
      </c>
      <c r="V828" s="2">
        <f>V827+IF(LEN($AF$828)&gt;0,1,0)</f>
        <v/>
      </c>
      <c r="X828" s="2">
        <f>IF(ISERROR($B$828),"",IF(ISBLANK($B$828),"",$B$828))</f>
        <v/>
      </c>
      <c r="Y828" s="2">
        <f>IF(ISERROR($C$828),"",IF(ISBLANK($C$828),"",$C$828))</f>
        <v/>
      </c>
      <c r="Z828" s="2">
        <f>IF(ISERROR($D$828),"",IF(ISBLANK($D$828),"",$D$828))</f>
        <v/>
      </c>
      <c r="AA828" s="2">
        <f>IF(ISERROR($E$828),"",IF(ISBLANK($E$828),"",$E$828))</f>
        <v/>
      </c>
      <c r="AB828" s="2">
        <f>IF(ISERROR($F$828),"",IF(ISBLANK($F$828),"",$F$828))</f>
        <v/>
      </c>
      <c r="AC828" s="2">
        <f>IF(ISERROR($G$828),"",IF(ISBLANK($G$828),"",$G$828))</f>
        <v/>
      </c>
      <c r="AD828" s="2">
        <f>IF(ISERROR($H$828),"",IF(ISBLANK($H$828),"",$H$828))</f>
        <v/>
      </c>
      <c r="AE828" s="2">
        <f>IF(ISERROR($I$828),"",IF(ISBLANK($I$828),"",$I$828))</f>
        <v/>
      </c>
      <c r="AF828" s="2">
        <f>IF(ISERROR($J$828),"",IF(ISBLANK($J$828),"",$J$828))</f>
        <v/>
      </c>
      <c r="AG828" s="2">
        <f>ISERROR($B$828)*1+ISERROR($C$828)*1+ISERROR($D$828)*1+ISERROR($E$828)*1+ISERROR($F$828)*1+ISERROR($G$828)*1+ISERROR($H$828)*1+ISERROR($I$828)*1+ISERROR($J$828)*1</f>
        <v/>
      </c>
    </row>
    <row r="829" ht="26" customHeight="1">
      <c r="B829" s="33" t="inlineStr">
        <is>
          <t>Poço</t>
        </is>
      </c>
      <c r="C829" s="4" t="inlineStr">
        <is>
          <t>do Relógio Torto</t>
        </is>
      </c>
      <c r="D829" s="4" t="inlineStr">
        <is>
          <t>Bigorna</t>
        </is>
      </c>
      <c r="E829" s="4" t="inlineStr">
        <is>
          <t>Dourada</t>
        </is>
      </c>
      <c r="F829" s="4" t="inlineStr">
        <is>
          <t>Casa</t>
        </is>
      </c>
      <c r="G829" s="4" t="inlineStr">
        <is>
          <t>da Ponte Partida</t>
        </is>
      </c>
      <c r="H829" s="4" t="inlineStr">
        <is>
          <t>Agência de Correio Interestelar</t>
        </is>
      </c>
      <c r="I829" s="4" t="inlineStr">
        <is>
          <t>um palco e uma plateia</t>
        </is>
      </c>
      <c r="J829" s="4" t="inlineStr">
        <is>
          <t>créditos adiantados, sem recibo</t>
        </is>
      </c>
      <c r="K829" s="19">
        <f>IF(AG829&gt;0,"O Google leu como fórmula: digite de novo com ' na frente.","")</f>
        <v/>
      </c>
      <c r="N829" s="2">
        <f>N828+IF(LEN($X$829)&gt;0,1,0)</f>
        <v/>
      </c>
      <c r="O829" s="2">
        <f>O828+IF(LEN($Y$829)&gt;0,1,0)</f>
        <v/>
      </c>
      <c r="P829" s="2">
        <f>P828+IF(LEN($Z$829)&gt;0,1,0)</f>
        <v/>
      </c>
      <c r="Q829" s="2">
        <f>Q828+IF(LEN($AA$829)&gt;0,1,0)</f>
        <v/>
      </c>
      <c r="R829" s="2">
        <f>R828+IF(LEN($AB$829)&gt;0,1,0)</f>
        <v/>
      </c>
      <c r="S829" s="2">
        <f>S828+IF(LEN($AC$829)&gt;0,1,0)</f>
        <v/>
      </c>
      <c r="T829" s="2">
        <f>T828+IF(LEN($AD$829)&gt;0,1,0)</f>
        <v/>
      </c>
      <c r="U829" s="2">
        <f>U828+IF(LEN($AE$829)&gt;0,1,0)</f>
        <v/>
      </c>
      <c r="V829" s="2">
        <f>V828+IF(LEN($AF$829)&gt;0,1,0)</f>
        <v/>
      </c>
      <c r="X829" s="2">
        <f>IF(ISERROR($B$829),"",IF(ISBLANK($B$829),"",$B$829))</f>
        <v/>
      </c>
      <c r="Y829" s="2">
        <f>IF(ISERROR($C$829),"",IF(ISBLANK($C$829),"",$C$829))</f>
        <v/>
      </c>
      <c r="Z829" s="2">
        <f>IF(ISERROR($D$829),"",IF(ISBLANK($D$829),"",$D$829))</f>
        <v/>
      </c>
      <c r="AA829" s="2">
        <f>IF(ISERROR($E$829),"",IF(ISBLANK($E$829),"",$E$829))</f>
        <v/>
      </c>
      <c r="AB829" s="2">
        <f>IF(ISERROR($F$829),"",IF(ISBLANK($F$829),"",$F$829))</f>
        <v/>
      </c>
      <c r="AC829" s="2">
        <f>IF(ISERROR($G$829),"",IF(ISBLANK($G$829),"",$G$829))</f>
        <v/>
      </c>
      <c r="AD829" s="2">
        <f>IF(ISERROR($H$829),"",IF(ISBLANK($H$829),"",$H$829))</f>
        <v/>
      </c>
      <c r="AE829" s="2">
        <f>IF(ISERROR($I$829),"",IF(ISBLANK($I$829),"",$I$829))</f>
        <v/>
      </c>
      <c r="AF829" s="2">
        <f>IF(ISERROR($J$829),"",IF(ISBLANK($J$829),"",$J$829))</f>
        <v/>
      </c>
      <c r="AG829" s="2">
        <f>ISERROR($B$829)*1+ISERROR($C$829)*1+ISERROR($D$829)*1+ISERROR($E$829)*1+ISERROR($F$829)*1+ISERROR($G$829)*1+ISERROR($H$829)*1+ISERROR($I$829)*1+ISERROR($J$829)*1</f>
        <v/>
      </c>
    </row>
    <row r="830" ht="15" customHeight="1">
      <c r="B830" s="8" t="inlineStr">
        <is>
          <t>Nome de lugar (início)</t>
        </is>
      </c>
      <c r="C830" s="8" t="inlineStr">
        <is>
          <t>Nome de lugar (fim)</t>
        </is>
      </c>
      <c r="D830" s="8" t="inlineStr">
        <is>
          <t>Nome de nave (início)</t>
        </is>
      </c>
      <c r="E830" s="8" t="inlineStr">
        <is>
          <t>Nome de nave (fim)</t>
        </is>
      </c>
      <c r="F830" s="8" t="inlineStr">
        <is>
          <t>Nome de facção (início)</t>
        </is>
      </c>
      <c r="G830" s="8" t="inlineStr">
        <is>
          <t>Nome de facção (fim)</t>
        </is>
      </c>
      <c r="H830" s="8" t="inlineStr">
        <is>
          <t>Organização</t>
        </is>
      </c>
      <c r="I830" s="8" t="inlineStr">
        <is>
          <t>Organização: o que oferece</t>
        </is>
      </c>
      <c r="J830" s="8" t="inlineStr">
        <is>
          <t>Organização: o que cobra</t>
        </is>
      </c>
      <c r="N830" s="2">
        <f>N829</f>
        <v/>
      </c>
      <c r="O830" s="2">
        <f>O829</f>
        <v/>
      </c>
      <c r="P830" s="2">
        <f>P829</f>
        <v/>
      </c>
      <c r="Q830" s="2">
        <f>Q829</f>
        <v/>
      </c>
      <c r="R830" s="2">
        <f>R829</f>
        <v/>
      </c>
      <c r="S830" s="2">
        <f>S829</f>
        <v/>
      </c>
      <c r="T830" s="2">
        <f>T829</f>
        <v/>
      </c>
      <c r="U830" s="2">
        <f>U829</f>
        <v/>
      </c>
      <c r="V830" s="2">
        <f>V829</f>
        <v/>
      </c>
      <c r="X830" s="2">
        <f>IF(ISERROR($B$830),"",IF(ISBLANK($B$830),"",$B$830))</f>
        <v/>
      </c>
      <c r="Y830" s="2">
        <f>IF(ISERROR($C$830),"",IF(ISBLANK($C$830),"",$C$830))</f>
        <v/>
      </c>
      <c r="Z830" s="2">
        <f>IF(ISERROR($D$830),"",IF(ISBLANK($D$830),"",$D$830))</f>
        <v/>
      </c>
      <c r="AA830" s="2">
        <f>IF(ISERROR($E$830),"",IF(ISBLANK($E$830),"",$E$830))</f>
        <v/>
      </c>
      <c r="AB830" s="2">
        <f>IF(ISERROR($F$830),"",IF(ISBLANK($F$830),"",$F$830))</f>
        <v/>
      </c>
      <c r="AC830" s="2">
        <f>IF(ISERROR($G$830),"",IF(ISBLANK($G$830),"",$G$830))</f>
        <v/>
      </c>
      <c r="AD830" s="2">
        <f>IF(ISERROR($H$830),"",IF(ISBLANK($H$830),"",$H$830))</f>
        <v/>
      </c>
      <c r="AE830" s="2">
        <f>IF(ISERROR($I$830),"",IF(ISBLANK($I$830),"",$I$830))</f>
        <v/>
      </c>
      <c r="AF830" s="2">
        <f>IF(ISERROR($J$830),"",IF(ISBLANK($J$830),"",$J$830))</f>
        <v/>
      </c>
    </row>
    <row r="831" ht="26" customHeight="1">
      <c r="B831" s="33" t="inlineStr">
        <is>
          <t>Pátio</t>
        </is>
      </c>
      <c r="C831" s="4" t="inlineStr">
        <is>
          <t>das Velas Apagadas</t>
        </is>
      </c>
      <c r="D831" s="4" t="inlineStr">
        <is>
          <t>Sereia</t>
        </is>
      </c>
      <c r="E831" s="4" t="inlineStr">
        <is>
          <t>Azul</t>
        </is>
      </c>
      <c r="F831" s="4" t="inlineStr">
        <is>
          <t>Escola</t>
        </is>
      </c>
      <c r="G831" s="4" t="inlineStr">
        <is>
          <t>dos Faróis</t>
        </is>
      </c>
      <c r="H831" s="4" t="inlineStr">
        <is>
          <t>Fundação de Restauro de Autômatos</t>
        </is>
      </c>
      <c r="I831" s="4" t="inlineStr">
        <is>
          <t>um advogado que conhece a cláusula</t>
        </is>
      </c>
      <c r="J831" s="4" t="inlineStr">
        <is>
          <t>uma história verdadeira, contada em público</t>
        </is>
      </c>
      <c r="K831" s="19">
        <f>IF(AG831&gt;0,"O Google leu como fórmula: digite de novo com ' na frente.","")</f>
        <v/>
      </c>
      <c r="N831" s="2">
        <f>N830+IF(LEN($X$831)&gt;0,1,0)</f>
        <v/>
      </c>
      <c r="O831" s="2">
        <f>O830+IF(LEN($Y$831)&gt;0,1,0)</f>
        <v/>
      </c>
      <c r="P831" s="2">
        <f>P830+IF(LEN($Z$831)&gt;0,1,0)</f>
        <v/>
      </c>
      <c r="Q831" s="2">
        <f>Q830+IF(LEN($AA$831)&gt;0,1,0)</f>
        <v/>
      </c>
      <c r="R831" s="2">
        <f>R830+IF(LEN($AB$831)&gt;0,1,0)</f>
        <v/>
      </c>
      <c r="S831" s="2">
        <f>S830+IF(LEN($AC$831)&gt;0,1,0)</f>
        <v/>
      </c>
      <c r="T831" s="2">
        <f>T830+IF(LEN($AD$831)&gt;0,1,0)</f>
        <v/>
      </c>
      <c r="U831" s="2">
        <f>U830+IF(LEN($AE$831)&gt;0,1,0)</f>
        <v/>
      </c>
      <c r="V831" s="2">
        <f>V830+IF(LEN($AF$831)&gt;0,1,0)</f>
        <v/>
      </c>
      <c r="X831" s="2">
        <f>IF(ISERROR($B$831),"",IF(ISBLANK($B$831),"",$B$831))</f>
        <v/>
      </c>
      <c r="Y831" s="2">
        <f>IF(ISERROR($C$831),"",IF(ISBLANK($C$831),"",$C$831))</f>
        <v/>
      </c>
      <c r="Z831" s="2">
        <f>IF(ISERROR($D$831),"",IF(ISBLANK($D$831),"",$D$831))</f>
        <v/>
      </c>
      <c r="AA831" s="2">
        <f>IF(ISERROR($E$831),"",IF(ISBLANK($E$831),"",$E$831))</f>
        <v/>
      </c>
      <c r="AB831" s="2">
        <f>IF(ISERROR($F$831),"",IF(ISBLANK($F$831),"",$F$831))</f>
        <v/>
      </c>
      <c r="AC831" s="2">
        <f>IF(ISERROR($G$831),"",IF(ISBLANK($G$831),"",$G$831))</f>
        <v/>
      </c>
      <c r="AD831" s="2">
        <f>IF(ISERROR($H$831),"",IF(ISBLANK($H$831),"",$H$831))</f>
        <v/>
      </c>
      <c r="AE831" s="2">
        <f>IF(ISERROR($I$831),"",IF(ISBLANK($I$831),"",$I$831))</f>
        <v/>
      </c>
      <c r="AF831" s="2">
        <f>IF(ISERROR($J$831),"",IF(ISBLANK($J$831),"",$J$831))</f>
        <v/>
      </c>
      <c r="AG831" s="2">
        <f>ISERROR($B$831)*1+ISERROR($C$831)*1+ISERROR($D$831)*1+ISERROR($E$831)*1+ISERROR($F$831)*1+ISERROR($G$831)*1+ISERROR($H$831)*1+ISERROR($I$831)*1+ISERROR($J$831)*1</f>
        <v/>
      </c>
    </row>
    <row r="832" ht="26" customHeight="1">
      <c r="B832" s="35" t="inlineStr">
        <is>
          <t>Torre</t>
        </is>
      </c>
      <c r="C832" s="29" t="inlineStr">
        <is>
          <t>da Maré Alta</t>
        </is>
      </c>
      <c r="D832" s="29" t="inlineStr">
        <is>
          <t>Caravela</t>
        </is>
      </c>
      <c r="E832" s="29" t="inlineStr">
        <is>
          <t>de Prata</t>
        </is>
      </c>
      <c r="F832" s="29" t="inlineStr">
        <is>
          <t>Frente</t>
        </is>
      </c>
      <c r="G832" s="29" t="inlineStr">
        <is>
          <t>da Semente Negra</t>
        </is>
      </c>
      <c r="H832" s="29" t="inlineStr">
        <is>
          <t>Círculo dos Observadores do Céu</t>
        </is>
      </c>
      <c r="I832" s="29" t="inlineStr">
        <is>
          <t>peças que não se acham em loja</t>
        </is>
      </c>
      <c r="J832" s="29" t="inlineStr">
        <is>
          <t>que o grupo devolva algo roubado há anos</t>
        </is>
      </c>
      <c r="K832" s="19">
        <f>IF(AG832&gt;0,"O Google leu como fórmula: digite de novo com ' na frente.","")</f>
        <v/>
      </c>
      <c r="N832" s="2">
        <f>N831+IF(LEN($X$832)&gt;0,1,0)</f>
        <v/>
      </c>
      <c r="O832" s="2">
        <f>O831+IF(LEN($Y$832)&gt;0,1,0)</f>
        <v/>
      </c>
      <c r="P832" s="2">
        <f>P831+IF(LEN($Z$832)&gt;0,1,0)</f>
        <v/>
      </c>
      <c r="Q832" s="2">
        <f>Q831+IF(LEN($AA$832)&gt;0,1,0)</f>
        <v/>
      </c>
      <c r="R832" s="2">
        <f>R831+IF(LEN($AB$832)&gt;0,1,0)</f>
        <v/>
      </c>
      <c r="S832" s="2">
        <f>S831+IF(LEN($AC$832)&gt;0,1,0)</f>
        <v/>
      </c>
      <c r="T832" s="2">
        <f>T831+IF(LEN($AD$832)&gt;0,1,0)</f>
        <v/>
      </c>
      <c r="U832" s="2">
        <f>U831+IF(LEN($AE$832)&gt;0,1,0)</f>
        <v/>
      </c>
      <c r="V832" s="2">
        <f>V831+IF(LEN($AF$832)&gt;0,1,0)</f>
        <v/>
      </c>
      <c r="X832" s="2">
        <f>IF(ISERROR($B$832),"",IF(ISBLANK($B$832),"",$B$832))</f>
        <v/>
      </c>
      <c r="Y832" s="2">
        <f>IF(ISERROR($C$832),"",IF(ISBLANK($C$832),"",$C$832))</f>
        <v/>
      </c>
      <c r="Z832" s="2">
        <f>IF(ISERROR($D$832),"",IF(ISBLANK($D$832),"",$D$832))</f>
        <v/>
      </c>
      <c r="AA832" s="2">
        <f>IF(ISERROR($E$832),"",IF(ISBLANK($E$832),"",$E$832))</f>
        <v/>
      </c>
      <c r="AB832" s="2">
        <f>IF(ISERROR($F$832),"",IF(ISBLANK($F$832),"",$F$832))</f>
        <v/>
      </c>
      <c r="AC832" s="2">
        <f>IF(ISERROR($G$832),"",IF(ISBLANK($G$832),"",$G$832))</f>
        <v/>
      </c>
      <c r="AD832" s="2">
        <f>IF(ISERROR($H$832),"",IF(ISBLANK($H$832),"",$H$832))</f>
        <v/>
      </c>
      <c r="AE832" s="2">
        <f>IF(ISERROR($I$832),"",IF(ISBLANK($I$832),"",$I$832))</f>
        <v/>
      </c>
      <c r="AF832" s="2">
        <f>IF(ISERROR($J$832),"",IF(ISBLANK($J$832),"",$J$832))</f>
        <v/>
      </c>
      <c r="AG832" s="2">
        <f>ISERROR($B$832)*1+ISERROR($C$832)*1+ISERROR($D$832)*1+ISERROR($E$832)*1+ISERROR($F$832)*1+ISERROR($G$832)*1+ISERROR($H$832)*1+ISERROR($I$832)*1+ISERROR($J$832)*1</f>
        <v/>
      </c>
    </row>
    <row r="833" ht="26" customHeight="1">
      <c r="B833" s="33" t="inlineStr">
        <is>
          <t>Jardim</t>
        </is>
      </c>
      <c r="C833" s="4" t="inlineStr">
        <is>
          <t>do Silêncio Verde</t>
        </is>
      </c>
      <c r="D833" s="4" t="inlineStr">
        <is>
          <t>Raposa</t>
        </is>
      </c>
      <c r="E833" s="4" t="inlineStr">
        <is>
          <t>Silenciosa</t>
        </is>
      </c>
      <c r="F833" s="4" t="inlineStr">
        <is>
          <t>Cooperativa</t>
        </is>
      </c>
      <c r="G833" s="4" t="inlineStr">
        <is>
          <t>do Silêncio</t>
        </is>
      </c>
      <c r="H833" s="4" t="inlineStr">
        <is>
          <t>Guarda de Bairro Voluntária</t>
        </is>
      </c>
      <c r="I833" s="4" t="inlineStr">
        <is>
          <t>a palavra de alguém respeitado</t>
        </is>
      </c>
      <c r="J833" s="4" t="inlineStr">
        <is>
          <t>uma visita ao túmulo de um fundador</t>
        </is>
      </c>
      <c r="K833" s="19">
        <f>IF(AG833&gt;0,"O Google leu como fórmula: digite de novo com ' na frente.","")</f>
        <v/>
      </c>
      <c r="N833" s="2">
        <f>N832+IF(LEN($X$833)&gt;0,1,0)</f>
        <v/>
      </c>
      <c r="O833" s="2">
        <f>O832+IF(LEN($Y$833)&gt;0,1,0)</f>
        <v/>
      </c>
      <c r="P833" s="2">
        <f>P832+IF(LEN($Z$833)&gt;0,1,0)</f>
        <v/>
      </c>
      <c r="Q833" s="2">
        <f>Q832+IF(LEN($AA$833)&gt;0,1,0)</f>
        <v/>
      </c>
      <c r="R833" s="2">
        <f>R832+IF(LEN($AB$833)&gt;0,1,0)</f>
        <v/>
      </c>
      <c r="S833" s="2">
        <f>S832+IF(LEN($AC$833)&gt;0,1,0)</f>
        <v/>
      </c>
      <c r="T833" s="2">
        <f>T832+IF(LEN($AD$833)&gt;0,1,0)</f>
        <v/>
      </c>
      <c r="U833" s="2">
        <f>U832+IF(LEN($AE$833)&gt;0,1,0)</f>
        <v/>
      </c>
      <c r="V833" s="2">
        <f>V832+IF(LEN($AF$833)&gt;0,1,0)</f>
        <v/>
      </c>
      <c r="X833" s="2">
        <f>IF(ISERROR($B$833),"",IF(ISBLANK($B$833),"",$B$833))</f>
        <v/>
      </c>
      <c r="Y833" s="2">
        <f>IF(ISERROR($C$833),"",IF(ISBLANK($C$833),"",$C$833))</f>
        <v/>
      </c>
      <c r="Z833" s="2">
        <f>IF(ISERROR($D$833),"",IF(ISBLANK($D$833),"",$D$833))</f>
        <v/>
      </c>
      <c r="AA833" s="2">
        <f>IF(ISERROR($E$833),"",IF(ISBLANK($E$833),"",$E$833))</f>
        <v/>
      </c>
      <c r="AB833" s="2">
        <f>IF(ISERROR($F$833),"",IF(ISBLANK($F$833),"",$F$833))</f>
        <v/>
      </c>
      <c r="AC833" s="2">
        <f>IF(ISERROR($G$833),"",IF(ISBLANK($G$833),"",$G$833))</f>
        <v/>
      </c>
      <c r="AD833" s="2">
        <f>IF(ISERROR($H$833),"",IF(ISBLANK($H$833),"",$H$833))</f>
        <v/>
      </c>
      <c r="AE833" s="2">
        <f>IF(ISERROR($I$833),"",IF(ISBLANK($I$833),"",$I$833))</f>
        <v/>
      </c>
      <c r="AF833" s="2">
        <f>IF(ISERROR($J$833),"",IF(ISBLANK($J$833),"",$J$833))</f>
        <v/>
      </c>
      <c r="AG833" s="2">
        <f>ISERROR($B$833)*1+ISERROR($C$833)*1+ISERROR($D$833)*1+ISERROR($E$833)*1+ISERROR($F$833)*1+ISERROR($G$833)*1+ISERROR($H$833)*1+ISERROR($I$833)*1+ISERROR($J$833)*1</f>
        <v/>
      </c>
    </row>
    <row r="834" ht="26" customHeight="1">
      <c r="B834" s="35" t="inlineStr">
        <is>
          <t>Muralha</t>
        </is>
      </c>
      <c r="C834" s="29" t="inlineStr">
        <is>
          <t>de Âmbar</t>
        </is>
      </c>
      <c r="D834" s="29" t="inlineStr">
        <is>
          <t>Âncora</t>
        </is>
      </c>
      <c r="E834" s="29" t="inlineStr">
        <is>
          <t>Que Volta</t>
        </is>
      </c>
      <c r="F834" s="29" t="inlineStr">
        <is>
          <t>Vigília</t>
        </is>
      </c>
      <c r="G834" s="29" t="inlineStr">
        <is>
          <t>da Promessa Antiga</t>
        </is>
      </c>
      <c r="H834" s="29" t="inlineStr">
        <is>
          <t>Casa de Apostas do Anel Externo</t>
        </is>
      </c>
      <c r="I834" s="29" t="inlineStr">
        <is>
          <t>transporte de carga sem registro</t>
        </is>
      </c>
      <c r="J834" s="29" t="inlineStr">
        <is>
          <t>que o grupo vote contra alguém</t>
        </is>
      </c>
      <c r="K834" s="19">
        <f>IF(AG834&gt;0,"O Google leu como fórmula: digite de novo com ' na frente.","")</f>
        <v/>
      </c>
      <c r="N834" s="2">
        <f>N833+IF(LEN($X$834)&gt;0,1,0)</f>
        <v/>
      </c>
      <c r="O834" s="2">
        <f>O833+IF(LEN($Y$834)&gt;0,1,0)</f>
        <v/>
      </c>
      <c r="P834" s="2">
        <f>P833+IF(LEN($Z$834)&gt;0,1,0)</f>
        <v/>
      </c>
      <c r="Q834" s="2">
        <f>Q833+IF(LEN($AA$834)&gt;0,1,0)</f>
        <v/>
      </c>
      <c r="R834" s="2">
        <f>R833+IF(LEN($AB$834)&gt;0,1,0)</f>
        <v/>
      </c>
      <c r="S834" s="2">
        <f>S833+IF(LEN($AC$834)&gt;0,1,0)</f>
        <v/>
      </c>
      <c r="T834" s="2">
        <f>T833+IF(LEN($AD$834)&gt;0,1,0)</f>
        <v/>
      </c>
      <c r="U834" s="2">
        <f>U833+IF(LEN($AE$834)&gt;0,1,0)</f>
        <v/>
      </c>
      <c r="V834" s="2">
        <f>V833+IF(LEN($AF$834)&gt;0,1,0)</f>
        <v/>
      </c>
      <c r="X834" s="2">
        <f>IF(ISERROR($B$834),"",IF(ISBLANK($B$834),"",$B$834))</f>
        <v/>
      </c>
      <c r="Y834" s="2">
        <f>IF(ISERROR($C$834),"",IF(ISBLANK($C$834),"",$C$834))</f>
        <v/>
      </c>
      <c r="Z834" s="2">
        <f>IF(ISERROR($D$834),"",IF(ISBLANK($D$834),"",$D$834))</f>
        <v/>
      </c>
      <c r="AA834" s="2">
        <f>IF(ISERROR($E$834),"",IF(ISBLANK($E$834),"",$E$834))</f>
        <v/>
      </c>
      <c r="AB834" s="2">
        <f>IF(ISERROR($F$834),"",IF(ISBLANK($F$834),"",$F$834))</f>
        <v/>
      </c>
      <c r="AC834" s="2">
        <f>IF(ISERROR($G$834),"",IF(ISBLANK($G$834),"",$G$834))</f>
        <v/>
      </c>
      <c r="AD834" s="2">
        <f>IF(ISERROR($H$834),"",IF(ISBLANK($H$834),"",$H$834))</f>
        <v/>
      </c>
      <c r="AE834" s="2">
        <f>IF(ISERROR($I$834),"",IF(ISBLANK($I$834),"",$I$834))</f>
        <v/>
      </c>
      <c r="AF834" s="2">
        <f>IF(ISERROR($J$834),"",IF(ISBLANK($J$834),"",$J$834))</f>
        <v/>
      </c>
      <c r="AG834" s="2">
        <f>ISERROR($B$834)*1+ISERROR($C$834)*1+ISERROR($D$834)*1+ISERROR($E$834)*1+ISERROR($F$834)*1+ISERROR($G$834)*1+ISERROR($H$834)*1+ISERROR($I$834)*1+ISERROR($J$834)*1</f>
        <v/>
      </c>
    </row>
    <row r="835" ht="26" customHeight="1">
      <c r="B835" s="33" t="inlineStr">
        <is>
          <t>Estaleiro</t>
        </is>
      </c>
      <c r="C835" s="4" t="inlineStr">
        <is>
          <t>dos Mineiros</t>
        </is>
      </c>
      <c r="D835" s="4" t="inlineStr">
        <is>
          <t>Cometa</t>
        </is>
      </c>
      <c r="E835" s="4" t="inlineStr">
        <is>
          <t>do Vale</t>
        </is>
      </c>
      <c r="F835" s="4" t="inlineStr">
        <is>
          <t>Rede</t>
        </is>
      </c>
      <c r="G835" s="4" t="inlineStr">
        <is>
          <t>dos Trilhos</t>
        </is>
      </c>
      <c r="H835" s="4" t="inlineStr">
        <is>
          <t>Oficina Comunitária de Próteses</t>
        </is>
      </c>
      <c r="I835" s="4" t="inlineStr">
        <is>
          <t>uma testemunha para um acordo</t>
        </is>
      </c>
      <c r="J835" s="4" t="inlineStr">
        <is>
          <t>um retrato tirado na frente da sede</t>
        </is>
      </c>
      <c r="K835" s="19">
        <f>IF(AG835&gt;0,"O Google leu como fórmula: digite de novo com ' na frente.","")</f>
        <v/>
      </c>
      <c r="N835" s="2">
        <f>N834+IF(LEN($X$835)&gt;0,1,0)</f>
        <v/>
      </c>
      <c r="O835" s="2">
        <f>O834+IF(LEN($Y$835)&gt;0,1,0)</f>
        <v/>
      </c>
      <c r="P835" s="2">
        <f>P834+IF(LEN($Z$835)&gt;0,1,0)</f>
        <v/>
      </c>
      <c r="Q835" s="2">
        <f>Q834+IF(LEN($AA$835)&gt;0,1,0)</f>
        <v/>
      </c>
      <c r="R835" s="2">
        <f>R834+IF(LEN($AB$835)&gt;0,1,0)</f>
        <v/>
      </c>
      <c r="S835" s="2">
        <f>S834+IF(LEN($AC$835)&gt;0,1,0)</f>
        <v/>
      </c>
      <c r="T835" s="2">
        <f>T834+IF(LEN($AD$835)&gt;0,1,0)</f>
        <v/>
      </c>
      <c r="U835" s="2">
        <f>U834+IF(LEN($AE$835)&gt;0,1,0)</f>
        <v/>
      </c>
      <c r="V835" s="2">
        <f>V834+IF(LEN($AF$835)&gt;0,1,0)</f>
        <v/>
      </c>
      <c r="X835" s="2">
        <f>IF(ISERROR($B$835),"",IF(ISBLANK($B$835),"",$B$835))</f>
        <v/>
      </c>
      <c r="Y835" s="2">
        <f>IF(ISERROR($C$835),"",IF(ISBLANK($C$835),"",$C$835))</f>
        <v/>
      </c>
      <c r="Z835" s="2">
        <f>IF(ISERROR($D$835),"",IF(ISBLANK($D$835),"",$D$835))</f>
        <v/>
      </c>
      <c r="AA835" s="2">
        <f>IF(ISERROR($E$835),"",IF(ISBLANK($E$835),"",$E$835))</f>
        <v/>
      </c>
      <c r="AB835" s="2">
        <f>IF(ISERROR($F$835),"",IF(ISBLANK($F$835),"",$F$835))</f>
        <v/>
      </c>
      <c r="AC835" s="2">
        <f>IF(ISERROR($G$835),"",IF(ISBLANK($G$835),"",$G$835))</f>
        <v/>
      </c>
      <c r="AD835" s="2">
        <f>IF(ISERROR($H$835),"",IF(ISBLANK($H$835),"",$H$835))</f>
        <v/>
      </c>
      <c r="AE835" s="2">
        <f>IF(ISERROR($I$835),"",IF(ISBLANK($I$835),"",$I$835))</f>
        <v/>
      </c>
      <c r="AF835" s="2">
        <f>IF(ISERROR($J$835),"",IF(ISBLANK($J$835),"",$J$835))</f>
        <v/>
      </c>
      <c r="AG835" s="2">
        <f>ISERROR($B$835)*1+ISERROR($C$835)*1+ISERROR($D$835)*1+ISERROR($E$835)*1+ISERROR($F$835)*1+ISERROR($G$835)*1+ISERROR($H$835)*1+ISERROR($I$835)*1+ISERROR($J$835)*1</f>
        <v/>
      </c>
    </row>
    <row r="836" ht="26" customHeight="1">
      <c r="B836" s="35" t="inlineStr">
        <is>
          <t>Feira</t>
        </is>
      </c>
      <c r="C836" s="29" t="inlineStr">
        <is>
          <t>da Segunda Chance</t>
        </is>
      </c>
      <c r="D836" s="29" t="inlineStr">
        <is>
          <t>Viúva</t>
        </is>
      </c>
      <c r="E836" s="29" t="inlineStr">
        <is>
          <t>Remendada</t>
        </is>
      </c>
      <c r="F836" s="29" t="inlineStr">
        <is>
          <t>Congregação</t>
        </is>
      </c>
      <c r="G836" s="29" t="inlineStr">
        <is>
          <t>da Lâmina Gentil</t>
        </is>
      </c>
      <c r="H836" s="29" t="inlineStr">
        <is>
          <t>Jornal Clandestino da Colônia</t>
        </is>
      </c>
      <c r="I836" s="29" t="inlineStr">
        <is>
          <t>treino para quem não sabe lutar</t>
        </is>
      </c>
      <c r="J836" s="29" t="inlineStr">
        <is>
          <t>o fim de uma rivalidade antiga</t>
        </is>
      </c>
      <c r="K836" s="19">
        <f>IF(AG836&gt;0,"O Google leu como fórmula: digite de novo com ' na frente.","")</f>
        <v/>
      </c>
      <c r="N836" s="2">
        <f>N835+IF(LEN($X$836)&gt;0,1,0)</f>
        <v/>
      </c>
      <c r="O836" s="2">
        <f>O835+IF(LEN($Y$836)&gt;0,1,0)</f>
        <v/>
      </c>
      <c r="P836" s="2">
        <f>P835+IF(LEN($Z$836)&gt;0,1,0)</f>
        <v/>
      </c>
      <c r="Q836" s="2">
        <f>Q835+IF(LEN($AA$836)&gt;0,1,0)</f>
        <v/>
      </c>
      <c r="R836" s="2">
        <f>R835+IF(LEN($AB$836)&gt;0,1,0)</f>
        <v/>
      </c>
      <c r="S836" s="2">
        <f>S835+IF(LEN($AC$836)&gt;0,1,0)</f>
        <v/>
      </c>
      <c r="T836" s="2">
        <f>T835+IF(LEN($AD$836)&gt;0,1,0)</f>
        <v/>
      </c>
      <c r="U836" s="2">
        <f>U835+IF(LEN($AE$836)&gt;0,1,0)</f>
        <v/>
      </c>
      <c r="V836" s="2">
        <f>V835+IF(LEN($AF$836)&gt;0,1,0)</f>
        <v/>
      </c>
      <c r="X836" s="2">
        <f>IF(ISERROR($B$836),"",IF(ISBLANK($B$836),"",$B$836))</f>
        <v/>
      </c>
      <c r="Y836" s="2">
        <f>IF(ISERROR($C$836),"",IF(ISBLANK($C$836),"",$C$836))</f>
        <v/>
      </c>
      <c r="Z836" s="2">
        <f>IF(ISERROR($D$836),"",IF(ISBLANK($D$836),"",$D$836))</f>
        <v/>
      </c>
      <c r="AA836" s="2">
        <f>IF(ISERROR($E$836),"",IF(ISBLANK($E$836),"",$E$836))</f>
        <v/>
      </c>
      <c r="AB836" s="2">
        <f>IF(ISERROR($F$836),"",IF(ISBLANK($F$836),"",$F$836))</f>
        <v/>
      </c>
      <c r="AC836" s="2">
        <f>IF(ISERROR($G$836),"",IF(ISBLANK($G$836),"",$G$836))</f>
        <v/>
      </c>
      <c r="AD836" s="2">
        <f>IF(ISERROR($H$836),"",IF(ISBLANK($H$836),"",$H$836))</f>
        <v/>
      </c>
      <c r="AE836" s="2">
        <f>IF(ISERROR($I$836),"",IF(ISBLANK($I$836),"",$I$836))</f>
        <v/>
      </c>
      <c r="AF836" s="2">
        <f>IF(ISERROR($J$836),"",IF(ISBLANK($J$836),"",$J$836))</f>
        <v/>
      </c>
      <c r="AG836" s="2">
        <f>ISERROR($B$836)*1+ISERROR($C$836)*1+ISERROR($D$836)*1+ISERROR($E$836)*1+ISERROR($F$836)*1+ISERROR($G$836)*1+ISERROR($H$836)*1+ISERROR($I$836)*1+ISERROR($J$836)*1</f>
        <v/>
      </c>
    </row>
    <row r="837" ht="26" customHeight="1">
      <c r="B837" s="33" t="inlineStr">
        <is>
          <t>Arco</t>
        </is>
      </c>
      <c r="C837" s="4" t="inlineStr">
        <is>
          <t>do Norte Frio</t>
        </is>
      </c>
      <c r="D837" s="4" t="inlineStr">
        <is>
          <t>Pérola</t>
        </is>
      </c>
      <c r="E837" s="4" t="inlineStr">
        <is>
          <t>da Sorte</t>
        </is>
      </c>
      <c r="F837" s="4" t="inlineStr">
        <is>
          <t>Corte</t>
        </is>
      </c>
      <c r="G837" s="4" t="inlineStr">
        <is>
          <t>do Céu Baixo</t>
        </is>
      </c>
      <c r="H837" s="4" t="inlineStr">
        <is>
          <t>Cartório de Rotas e Licenças</t>
        </is>
      </c>
      <c r="I837" s="4" t="inlineStr">
        <is>
          <t>um esconderijo para um objeto perigoso</t>
        </is>
      </c>
      <c r="J837" s="4" t="inlineStr">
        <is>
          <t>que o grupo não volte nunca mais</t>
        </is>
      </c>
      <c r="K837" s="19">
        <f>IF(AG837&gt;0,"O Google leu como fórmula: digite de novo com ' na frente.","")</f>
        <v/>
      </c>
      <c r="N837" s="2">
        <f>N836+IF(LEN($X$837)&gt;0,1,0)</f>
        <v/>
      </c>
      <c r="O837" s="2">
        <f>O836+IF(LEN($Y$837)&gt;0,1,0)</f>
        <v/>
      </c>
      <c r="P837" s="2">
        <f>P836+IF(LEN($Z$837)&gt;0,1,0)</f>
        <v/>
      </c>
      <c r="Q837" s="2">
        <f>Q836+IF(LEN($AA$837)&gt;0,1,0)</f>
        <v/>
      </c>
      <c r="R837" s="2">
        <f>R836+IF(LEN($AB$837)&gt;0,1,0)</f>
        <v/>
      </c>
      <c r="S837" s="2">
        <f>S836+IF(LEN($AC$837)&gt;0,1,0)</f>
        <v/>
      </c>
      <c r="T837" s="2">
        <f>T836+IF(LEN($AD$837)&gt;0,1,0)</f>
        <v/>
      </c>
      <c r="U837" s="2">
        <f>U836+IF(LEN($AE$837)&gt;0,1,0)</f>
        <v/>
      </c>
      <c r="V837" s="2">
        <f>V836+IF(LEN($AF$837)&gt;0,1,0)</f>
        <v/>
      </c>
      <c r="X837" s="2">
        <f>IF(ISERROR($B$837),"",IF(ISBLANK($B$837),"",$B$837))</f>
        <v/>
      </c>
      <c r="Y837" s="2">
        <f>IF(ISERROR($C$837),"",IF(ISBLANK($C$837),"",$C$837))</f>
        <v/>
      </c>
      <c r="Z837" s="2">
        <f>IF(ISERROR($D$837),"",IF(ISBLANK($D$837),"",$D$837))</f>
        <v/>
      </c>
      <c r="AA837" s="2">
        <f>IF(ISERROR($E$837),"",IF(ISBLANK($E$837),"",$E$837))</f>
        <v/>
      </c>
      <c r="AB837" s="2">
        <f>IF(ISERROR($F$837),"",IF(ISBLANK($F$837),"",$F$837))</f>
        <v/>
      </c>
      <c r="AC837" s="2">
        <f>IF(ISERROR($G$837),"",IF(ISBLANK($G$837),"",$G$837))</f>
        <v/>
      </c>
      <c r="AD837" s="2">
        <f>IF(ISERROR($H$837),"",IF(ISBLANK($H$837),"",$H$837))</f>
        <v/>
      </c>
      <c r="AE837" s="2">
        <f>IF(ISERROR($I$837),"",IF(ISBLANK($I$837),"",$I$837))</f>
        <v/>
      </c>
      <c r="AF837" s="2">
        <f>IF(ISERROR($J$837),"",IF(ISBLANK($J$837),"",$J$837))</f>
        <v/>
      </c>
      <c r="AG837" s="2">
        <f>ISERROR($B$837)*1+ISERROR($C$837)*1+ISERROR($D$837)*1+ISERROR($E$837)*1+ISERROR($F$837)*1+ISERROR($G$837)*1+ISERROR($H$837)*1+ISERROR($I$837)*1+ISERROR($J$837)*1</f>
        <v/>
      </c>
    </row>
    <row r="838" ht="26" customHeight="1">
      <c r="B838" s="35" t="inlineStr">
        <is>
          <t>Planalto</t>
        </is>
      </c>
      <c r="C838" s="29" t="inlineStr">
        <is>
          <t>das Correntes</t>
        </is>
      </c>
      <c r="D838" s="29" t="inlineStr">
        <is>
          <t>Gaivota</t>
        </is>
      </c>
      <c r="E838" s="29" t="inlineStr">
        <is>
          <t>do Abismo</t>
        </is>
      </c>
      <c r="F838" s="29" t="inlineStr">
        <is>
          <t>Legado</t>
        </is>
      </c>
      <c r="G838" s="29" t="inlineStr">
        <is>
          <t>das Cem Portas</t>
        </is>
      </c>
      <c r="H838" s="29" t="inlineStr">
        <is>
          <t>Irmandade dos Faroleiros</t>
        </is>
      </c>
      <c r="I838" s="29" t="n"/>
      <c r="J838" s="29" t="n"/>
      <c r="K838" s="19">
        <f>IF(AG838&gt;0,"O Google leu como fórmula: digite de novo com ' na frente.","")</f>
        <v/>
      </c>
      <c r="N838" s="2">
        <f>N837+IF(LEN($X$838)&gt;0,1,0)</f>
        <v/>
      </c>
      <c r="O838" s="2">
        <f>O837+IF(LEN($Y$838)&gt;0,1,0)</f>
        <v/>
      </c>
      <c r="P838" s="2">
        <f>P837+IF(LEN($Z$838)&gt;0,1,0)</f>
        <v/>
      </c>
      <c r="Q838" s="2">
        <f>Q837+IF(LEN($AA$838)&gt;0,1,0)</f>
        <v/>
      </c>
      <c r="R838" s="2">
        <f>R837+IF(LEN($AB$838)&gt;0,1,0)</f>
        <v/>
      </c>
      <c r="S838" s="2">
        <f>S837+IF(LEN($AC$838)&gt;0,1,0)</f>
        <v/>
      </c>
      <c r="T838" s="2">
        <f>T837+IF(LEN($AD$838)&gt;0,1,0)</f>
        <v/>
      </c>
      <c r="U838" s="2">
        <f>U837+IF(LEN($AE$838)&gt;0,1,0)</f>
        <v/>
      </c>
      <c r="V838" s="2">
        <f>V837+IF(LEN($AF$838)&gt;0,1,0)</f>
        <v/>
      </c>
      <c r="X838" s="2">
        <f>IF(ISERROR($B$838),"",IF(ISBLANK($B$838),"",$B$838))</f>
        <v/>
      </c>
      <c r="Y838" s="2">
        <f>IF(ISERROR($C$838),"",IF(ISBLANK($C$838),"",$C$838))</f>
        <v/>
      </c>
      <c r="Z838" s="2">
        <f>IF(ISERROR($D$838),"",IF(ISBLANK($D$838),"",$D$838))</f>
        <v/>
      </c>
      <c r="AA838" s="2">
        <f>IF(ISERROR($E$838),"",IF(ISBLANK($E$838),"",$E$838))</f>
        <v/>
      </c>
      <c r="AB838" s="2">
        <f>IF(ISERROR($F$838),"",IF(ISBLANK($F$838),"",$F$838))</f>
        <v/>
      </c>
      <c r="AC838" s="2">
        <f>IF(ISERROR($G$838),"",IF(ISBLANK($G$838),"",$G$838))</f>
        <v/>
      </c>
      <c r="AD838" s="2">
        <f>IF(ISERROR($H$838),"",IF(ISBLANK($H$838),"",$H$838))</f>
        <v/>
      </c>
      <c r="AE838" s="2">
        <f>IF(ISERROR($I$838),"",IF(ISBLANK($I$838),"",$I$838))</f>
        <v/>
      </c>
      <c r="AF838" s="2">
        <f>IF(ISERROR($J$838),"",IF(ISBLANK($J$838),"",$J$838))</f>
        <v/>
      </c>
      <c r="AG838" s="2">
        <f>ISERROR($B$838)*1+ISERROR($C$838)*1+ISERROR($D$838)*1+ISERROR($E$838)*1+ISERROR($F$838)*1+ISERROR($G$838)*1+ISERROR($H$838)*1+ISERROR($I$838)*1+ISERROR($J$838)*1</f>
        <v/>
      </c>
    </row>
    <row r="839" ht="26" customHeight="1">
      <c r="B839" s="33" t="inlineStr">
        <is>
          <t>Cratera</t>
        </is>
      </c>
      <c r="C839" s="4" t="inlineStr">
        <is>
          <t>de Cobre Velho</t>
        </is>
      </c>
      <c r="D839" s="4" t="inlineStr">
        <is>
          <t>Formiga</t>
        </is>
      </c>
      <c r="E839" s="4" t="inlineStr">
        <is>
          <t>de Papel</t>
        </is>
      </c>
      <c r="F839" s="4" t="inlineStr">
        <is>
          <t>Tribunal</t>
        </is>
      </c>
      <c r="G839" s="4" t="inlineStr">
        <is>
          <t>do Inverno Longo</t>
        </is>
      </c>
      <c r="H839" s="4" t="inlineStr">
        <is>
          <t>Mutirão de Reconstrução</t>
        </is>
      </c>
      <c r="I839" s="4" t="n"/>
      <c r="J839" s="4" t="n"/>
      <c r="K839" s="19">
        <f>IF(AG839&gt;0,"O Google leu como fórmula: digite de novo com ' na frente.","")</f>
        <v/>
      </c>
      <c r="N839" s="2">
        <f>N838+IF(LEN($X$839)&gt;0,1,0)</f>
        <v/>
      </c>
      <c r="O839" s="2">
        <f>O838+IF(LEN($Y$839)&gt;0,1,0)</f>
        <v/>
      </c>
      <c r="P839" s="2">
        <f>P838+IF(LEN($Z$839)&gt;0,1,0)</f>
        <v/>
      </c>
      <c r="Q839" s="2">
        <f>Q838+IF(LEN($AA$839)&gt;0,1,0)</f>
        <v/>
      </c>
      <c r="R839" s="2">
        <f>R838+IF(LEN($AB$839)&gt;0,1,0)</f>
        <v/>
      </c>
      <c r="S839" s="2">
        <f>S838+IF(LEN($AC$839)&gt;0,1,0)</f>
        <v/>
      </c>
      <c r="T839" s="2">
        <f>T838+IF(LEN($AD$839)&gt;0,1,0)</f>
        <v/>
      </c>
      <c r="U839" s="2">
        <f>U838+IF(LEN($AE$839)&gt;0,1,0)</f>
        <v/>
      </c>
      <c r="V839" s="2">
        <f>V838+IF(LEN($AF$839)&gt;0,1,0)</f>
        <v/>
      </c>
      <c r="X839" s="2">
        <f>IF(ISERROR($B$839),"",IF(ISBLANK($B$839),"",$B$839))</f>
        <v/>
      </c>
      <c r="Y839" s="2">
        <f>IF(ISERROR($C$839),"",IF(ISBLANK($C$839),"",$C$839))</f>
        <v/>
      </c>
      <c r="Z839" s="2">
        <f>IF(ISERROR($D$839),"",IF(ISBLANK($D$839),"",$D$839))</f>
        <v/>
      </c>
      <c r="AA839" s="2">
        <f>IF(ISERROR($E$839),"",IF(ISBLANK($E$839),"",$E$839))</f>
        <v/>
      </c>
      <c r="AB839" s="2">
        <f>IF(ISERROR($F$839),"",IF(ISBLANK($F$839),"",$F$839))</f>
        <v/>
      </c>
      <c r="AC839" s="2">
        <f>IF(ISERROR($G$839),"",IF(ISBLANK($G$839),"",$G$839))</f>
        <v/>
      </c>
      <c r="AD839" s="2">
        <f>IF(ISERROR($H$839),"",IF(ISBLANK($H$839),"",$H$839))</f>
        <v/>
      </c>
      <c r="AE839" s="2">
        <f>IF(ISERROR($I$839),"",IF(ISBLANK($I$839),"",$I$839))</f>
        <v/>
      </c>
      <c r="AF839" s="2">
        <f>IF(ISERROR($J$839),"",IF(ISBLANK($J$839),"",$J$839))</f>
        <v/>
      </c>
      <c r="AG839" s="2">
        <f>ISERROR($B$839)*1+ISERROR($C$839)*1+ISERROR($D$839)*1+ISERROR($E$839)*1+ISERROR($F$839)*1+ISERROR($G$839)*1+ISERROR($H$839)*1+ISERROR($I$839)*1+ISERROR($J$839)*1</f>
        <v/>
      </c>
    </row>
    <row r="840" ht="26" customHeight="1">
      <c r="B840" s="35" t="inlineStr">
        <is>
          <t>Recife</t>
        </is>
      </c>
      <c r="C840" s="29" t="inlineStr">
        <is>
          <t>da Aurora Curta</t>
        </is>
      </c>
      <c r="D840" s="29" t="inlineStr">
        <is>
          <t>Baleia</t>
        </is>
      </c>
      <c r="E840" s="29" t="inlineStr">
        <is>
          <t>Insistente</t>
        </is>
      </c>
      <c r="F840" s="29" t="inlineStr">
        <is>
          <t>Família</t>
        </is>
      </c>
      <c r="G840" s="29" t="inlineStr">
        <is>
          <t>da Brasa</t>
        </is>
      </c>
      <c r="H840" s="29" t="inlineStr">
        <is>
          <t>Leilão de Achados Orbitais</t>
        </is>
      </c>
      <c r="I840" s="29" t="n"/>
      <c r="J840" s="29" t="n"/>
      <c r="K840" s="19">
        <f>IF(AG840&gt;0,"O Google leu como fórmula: digite de novo com ' na frente.","")</f>
        <v/>
      </c>
      <c r="N840" s="2">
        <f>N839+IF(LEN($X$840)&gt;0,1,0)</f>
        <v/>
      </c>
      <c r="O840" s="2">
        <f>O839+IF(LEN($Y$840)&gt;0,1,0)</f>
        <v/>
      </c>
      <c r="P840" s="2">
        <f>P839+IF(LEN($Z$840)&gt;0,1,0)</f>
        <v/>
      </c>
      <c r="Q840" s="2">
        <f>Q839+IF(LEN($AA$840)&gt;0,1,0)</f>
        <v/>
      </c>
      <c r="R840" s="2">
        <f>R839+IF(LEN($AB$840)&gt;0,1,0)</f>
        <v/>
      </c>
      <c r="S840" s="2">
        <f>S839+IF(LEN($AC$840)&gt;0,1,0)</f>
        <v/>
      </c>
      <c r="T840" s="2">
        <f>T839+IF(LEN($AD$840)&gt;0,1,0)</f>
        <v/>
      </c>
      <c r="U840" s="2">
        <f>U839+IF(LEN($AE$840)&gt;0,1,0)</f>
        <v/>
      </c>
      <c r="V840" s="2">
        <f>V839+IF(LEN($AF$840)&gt;0,1,0)</f>
        <v/>
      </c>
      <c r="X840" s="2">
        <f>IF(ISERROR($B$840),"",IF(ISBLANK($B$840),"",$B$840))</f>
        <v/>
      </c>
      <c r="Y840" s="2">
        <f>IF(ISERROR($C$840),"",IF(ISBLANK($C$840),"",$C$840))</f>
        <v/>
      </c>
      <c r="Z840" s="2">
        <f>IF(ISERROR($D$840),"",IF(ISBLANK($D$840),"",$D$840))</f>
        <v/>
      </c>
      <c r="AA840" s="2">
        <f>IF(ISERROR($E$840),"",IF(ISBLANK($E$840),"",$E$840))</f>
        <v/>
      </c>
      <c r="AB840" s="2">
        <f>IF(ISERROR($F$840),"",IF(ISBLANK($F$840),"",$F$840))</f>
        <v/>
      </c>
      <c r="AC840" s="2">
        <f>IF(ISERROR($G$840),"",IF(ISBLANK($G$840),"",$G$840))</f>
        <v/>
      </c>
      <c r="AD840" s="2">
        <f>IF(ISERROR($H$840),"",IF(ISBLANK($H$840),"",$H$840))</f>
        <v/>
      </c>
      <c r="AE840" s="2">
        <f>IF(ISERROR($I$840),"",IF(ISBLANK($I$840),"",$I$840))</f>
        <v/>
      </c>
      <c r="AF840" s="2">
        <f>IF(ISERROR($J$840),"",IF(ISBLANK($J$840),"",$J$840))</f>
        <v/>
      </c>
      <c r="AG840" s="2">
        <f>ISERROR($B$840)*1+ISERROR($C$840)*1+ISERROR($D$840)*1+ISERROR($E$840)*1+ISERROR($F$840)*1+ISERROR($G$840)*1+ISERROR($H$840)*1+ISERROR($I$840)*1+ISERROR($J$840)*1</f>
        <v/>
      </c>
    </row>
    <row r="841" ht="26" customHeight="1">
      <c r="B841" s="33" t="inlineStr">
        <is>
          <t>Ilha</t>
        </is>
      </c>
      <c r="C841" s="4" t="inlineStr">
        <is>
          <t>do Poente Duplo</t>
        </is>
      </c>
      <c r="D841" s="4" t="inlineStr">
        <is>
          <t>Faísca</t>
        </is>
      </c>
      <c r="E841" s="4" t="inlineStr">
        <is>
          <t>Noturna</t>
        </is>
      </c>
      <c r="F841" s="4" t="inlineStr">
        <is>
          <t>Junta</t>
        </is>
      </c>
      <c r="G841" s="4" t="inlineStr">
        <is>
          <t>dos Nomes Riscados</t>
        </is>
      </c>
      <c r="H841" s="4" t="inlineStr">
        <is>
          <t>Clínica Sem Perguntas</t>
        </is>
      </c>
      <c r="I841" s="4" t="n"/>
      <c r="J841" s="4" t="n"/>
      <c r="K841" s="19">
        <f>IF(AG841&gt;0,"O Google leu como fórmula: digite de novo com ' na frente.","")</f>
        <v/>
      </c>
      <c r="N841" s="2">
        <f>N840+IF(LEN($X$841)&gt;0,1,0)</f>
        <v/>
      </c>
      <c r="O841" s="2">
        <f>O840+IF(LEN($Y$841)&gt;0,1,0)</f>
        <v/>
      </c>
      <c r="P841" s="2">
        <f>P840+IF(LEN($Z$841)&gt;0,1,0)</f>
        <v/>
      </c>
      <c r="Q841" s="2">
        <f>Q840+IF(LEN($AA$841)&gt;0,1,0)</f>
        <v/>
      </c>
      <c r="R841" s="2">
        <f>R840+IF(LEN($AB$841)&gt;0,1,0)</f>
        <v/>
      </c>
      <c r="S841" s="2">
        <f>S840+IF(LEN($AC$841)&gt;0,1,0)</f>
        <v/>
      </c>
      <c r="T841" s="2">
        <f>T840+IF(LEN($AD$841)&gt;0,1,0)</f>
        <v/>
      </c>
      <c r="U841" s="2">
        <f>U840+IF(LEN($AE$841)&gt;0,1,0)</f>
        <v/>
      </c>
      <c r="V841" s="2">
        <f>V840+IF(LEN($AF$841)&gt;0,1,0)</f>
        <v/>
      </c>
      <c r="X841" s="2">
        <f>IF(ISERROR($B$841),"",IF(ISBLANK($B$841),"",$B$841))</f>
        <v/>
      </c>
      <c r="Y841" s="2">
        <f>IF(ISERROR($C$841),"",IF(ISBLANK($C$841),"",$C$841))</f>
        <v/>
      </c>
      <c r="Z841" s="2">
        <f>IF(ISERROR($D$841),"",IF(ISBLANK($D$841),"",$D$841))</f>
        <v/>
      </c>
      <c r="AA841" s="2">
        <f>IF(ISERROR($E$841),"",IF(ISBLANK($E$841),"",$E$841))</f>
        <v/>
      </c>
      <c r="AB841" s="2">
        <f>IF(ISERROR($F$841),"",IF(ISBLANK($F$841),"",$F$841))</f>
        <v/>
      </c>
      <c r="AC841" s="2">
        <f>IF(ISERROR($G$841),"",IF(ISBLANK($G$841),"",$G$841))</f>
        <v/>
      </c>
      <c r="AD841" s="2">
        <f>IF(ISERROR($H$841),"",IF(ISBLANK($H$841),"",$H$841))</f>
        <v/>
      </c>
      <c r="AE841" s="2">
        <f>IF(ISERROR($I$841),"",IF(ISBLANK($I$841),"",$I$841))</f>
        <v/>
      </c>
      <c r="AF841" s="2">
        <f>IF(ISERROR($J$841),"",IF(ISBLANK($J$841),"",$J$841))</f>
        <v/>
      </c>
      <c r="AG841" s="2">
        <f>ISERROR($B$841)*1+ISERROR($C$841)*1+ISERROR($D$841)*1+ISERROR($E$841)*1+ISERROR($F$841)*1+ISERROR($G$841)*1+ISERROR($H$841)*1+ISERROR($I$841)*1+ISERROR($J$841)*1</f>
        <v/>
      </c>
    </row>
    <row r="842" ht="26" customHeight="1">
      <c r="B842" s="35" t="inlineStr">
        <is>
          <t>Bastião</t>
        </is>
      </c>
      <c r="C842" s="29" t="inlineStr">
        <is>
          <t>dos Sinos</t>
        </is>
      </c>
      <c r="D842" s="29" t="inlineStr">
        <is>
          <t>Sentinela</t>
        </is>
      </c>
      <c r="E842" s="29" t="inlineStr">
        <is>
          <t>do Farol</t>
        </is>
      </c>
      <c r="F842" s="29" t="inlineStr">
        <is>
          <t>Coletivo</t>
        </is>
      </c>
      <c r="G842" s="29" t="inlineStr">
        <is>
          <t>da Primeira Luz</t>
        </is>
      </c>
      <c r="H842" s="29" t="inlineStr">
        <is>
          <t>Associação de Herdeiros de Naves</t>
        </is>
      </c>
      <c r="I842" s="29" t="n"/>
      <c r="J842" s="29" t="n"/>
      <c r="K842" s="19">
        <f>IF(AG842&gt;0,"O Google leu como fórmula: digite de novo com ' na frente.","")</f>
        <v/>
      </c>
      <c r="N842" s="2">
        <f>N841+IF(LEN($X$842)&gt;0,1,0)</f>
        <v/>
      </c>
      <c r="O842" s="2">
        <f>O841+IF(LEN($Y$842)&gt;0,1,0)</f>
        <v/>
      </c>
      <c r="P842" s="2">
        <f>P841+IF(LEN($Z$842)&gt;0,1,0)</f>
        <v/>
      </c>
      <c r="Q842" s="2">
        <f>Q841+IF(LEN($AA$842)&gt;0,1,0)</f>
        <v/>
      </c>
      <c r="R842" s="2">
        <f>R841+IF(LEN($AB$842)&gt;0,1,0)</f>
        <v/>
      </c>
      <c r="S842" s="2">
        <f>S841+IF(LEN($AC$842)&gt;0,1,0)</f>
        <v/>
      </c>
      <c r="T842" s="2">
        <f>T841+IF(LEN($AD$842)&gt;0,1,0)</f>
        <v/>
      </c>
      <c r="U842" s="2">
        <f>U841+IF(LEN($AE$842)&gt;0,1,0)</f>
        <v/>
      </c>
      <c r="V842" s="2">
        <f>V841+IF(LEN($AF$842)&gt;0,1,0)</f>
        <v/>
      </c>
      <c r="X842" s="2">
        <f>IF(ISERROR($B$842),"",IF(ISBLANK($B$842),"",$B$842))</f>
        <v/>
      </c>
      <c r="Y842" s="2">
        <f>IF(ISERROR($C$842),"",IF(ISBLANK($C$842),"",$C$842))</f>
        <v/>
      </c>
      <c r="Z842" s="2">
        <f>IF(ISERROR($D$842),"",IF(ISBLANK($D$842),"",$D$842))</f>
        <v/>
      </c>
      <c r="AA842" s="2">
        <f>IF(ISERROR($E$842),"",IF(ISBLANK($E$842),"",$E$842))</f>
        <v/>
      </c>
      <c r="AB842" s="2">
        <f>IF(ISERROR($F$842),"",IF(ISBLANK($F$842),"",$F$842))</f>
        <v/>
      </c>
      <c r="AC842" s="2">
        <f>IF(ISERROR($G$842),"",IF(ISBLANK($G$842),"",$G$842))</f>
        <v/>
      </c>
      <c r="AD842" s="2">
        <f>IF(ISERROR($H$842),"",IF(ISBLANK($H$842),"",$H$842))</f>
        <v/>
      </c>
      <c r="AE842" s="2">
        <f>IF(ISERROR($I$842),"",IF(ISBLANK($I$842),"",$I$842))</f>
        <v/>
      </c>
      <c r="AF842" s="2">
        <f>IF(ISERROR($J$842),"",IF(ISBLANK($J$842),"",$J$842))</f>
        <v/>
      </c>
      <c r="AG842" s="2">
        <f>ISERROR($B$842)*1+ISERROR($C$842)*1+ISERROR($D$842)*1+ISERROR($E$842)*1+ISERROR($F$842)*1+ISERROR($G$842)*1+ISERROR($H$842)*1+ISERROR($I$842)*1+ISERROR($J$842)*1</f>
        <v/>
      </c>
    </row>
    <row r="843" ht="26" customHeight="1">
      <c r="B843" s="33" t="inlineStr">
        <is>
          <t>Santuário</t>
        </is>
      </c>
      <c r="C843" s="4" t="inlineStr">
        <is>
          <t>da Chuva Fina</t>
        </is>
      </c>
      <c r="D843" s="4" t="inlineStr">
        <is>
          <t>Peregrina</t>
        </is>
      </c>
      <c r="E843" s="4" t="inlineStr">
        <is>
          <t>de Bronze</t>
        </is>
      </c>
      <c r="F843" s="4" t="inlineStr">
        <is>
          <t>Mesa</t>
        </is>
      </c>
      <c r="G843" s="4" t="inlineStr">
        <is>
          <t>do Poço Fundo</t>
        </is>
      </c>
      <c r="H843" s="4" t="inlineStr">
        <is>
          <t>Escritório de Cobrança Educada</t>
        </is>
      </c>
      <c r="I843" s="4" t="n"/>
      <c r="J843" s="4" t="n"/>
      <c r="K843" s="19">
        <f>IF(AG843&gt;0,"O Google leu como fórmula: digite de novo com ' na frente.","")</f>
        <v/>
      </c>
      <c r="N843" s="2">
        <f>N842+IF(LEN($X$843)&gt;0,1,0)</f>
        <v/>
      </c>
      <c r="O843" s="2">
        <f>O842+IF(LEN($Y$843)&gt;0,1,0)</f>
        <v/>
      </c>
      <c r="P843" s="2">
        <f>P842+IF(LEN($Z$843)&gt;0,1,0)</f>
        <v/>
      </c>
      <c r="Q843" s="2">
        <f>Q842+IF(LEN($AA$843)&gt;0,1,0)</f>
        <v/>
      </c>
      <c r="R843" s="2">
        <f>R842+IF(LEN($AB$843)&gt;0,1,0)</f>
        <v/>
      </c>
      <c r="S843" s="2">
        <f>S842+IF(LEN($AC$843)&gt;0,1,0)</f>
        <v/>
      </c>
      <c r="T843" s="2">
        <f>T842+IF(LEN($AD$843)&gt;0,1,0)</f>
        <v/>
      </c>
      <c r="U843" s="2">
        <f>U842+IF(LEN($AE$843)&gt;0,1,0)</f>
        <v/>
      </c>
      <c r="V843" s="2">
        <f>V842+IF(LEN($AF$843)&gt;0,1,0)</f>
        <v/>
      </c>
      <c r="X843" s="2">
        <f>IF(ISERROR($B$843),"",IF(ISBLANK($B$843),"",$B$843))</f>
        <v/>
      </c>
      <c r="Y843" s="2">
        <f>IF(ISERROR($C$843),"",IF(ISBLANK($C$843),"",$C$843))</f>
        <v/>
      </c>
      <c r="Z843" s="2">
        <f>IF(ISERROR($D$843),"",IF(ISBLANK($D$843),"",$D$843))</f>
        <v/>
      </c>
      <c r="AA843" s="2">
        <f>IF(ISERROR($E$843),"",IF(ISBLANK($E$843),"",$E$843))</f>
        <v/>
      </c>
      <c r="AB843" s="2">
        <f>IF(ISERROR($F$843),"",IF(ISBLANK($F$843),"",$F$843))</f>
        <v/>
      </c>
      <c r="AC843" s="2">
        <f>IF(ISERROR($G$843),"",IF(ISBLANK($G$843),"",$G$843))</f>
        <v/>
      </c>
      <c r="AD843" s="2">
        <f>IF(ISERROR($H$843),"",IF(ISBLANK($H$843),"",$H$843))</f>
        <v/>
      </c>
      <c r="AE843" s="2">
        <f>IF(ISERROR($I$843),"",IF(ISBLANK($I$843),"",$I$843))</f>
        <v/>
      </c>
      <c r="AF843" s="2">
        <f>IF(ISERROR($J$843),"",IF(ISBLANK($J$843),"",$J$843))</f>
        <v/>
      </c>
      <c r="AG843" s="2">
        <f>ISERROR($B$843)*1+ISERROR($C$843)*1+ISERROR($D$843)*1+ISERROR($E$843)*1+ISERROR($F$843)*1+ISERROR($G$843)*1+ISERROR($H$843)*1+ISERROR($I$843)*1+ISERROR($J$843)*1</f>
        <v/>
      </c>
    </row>
    <row r="844" ht="15" customHeight="1">
      <c r="B844" s="8" t="inlineStr">
        <is>
          <t>Nome de lugar (início)</t>
        </is>
      </c>
      <c r="C844" s="8" t="inlineStr">
        <is>
          <t>Nome de lugar (fim)</t>
        </is>
      </c>
      <c r="D844" s="8" t="inlineStr">
        <is>
          <t>Nome de nave (início)</t>
        </is>
      </c>
      <c r="E844" s="8" t="inlineStr">
        <is>
          <t>Nome de nave (fim)</t>
        </is>
      </c>
      <c r="F844" s="8" t="inlineStr">
        <is>
          <t>Nome de facção (início)</t>
        </is>
      </c>
      <c r="G844" s="8" t="inlineStr">
        <is>
          <t>Nome de facção (fim)</t>
        </is>
      </c>
      <c r="H844" s="8" t="inlineStr">
        <is>
          <t>Organização</t>
        </is>
      </c>
      <c r="I844" s="8" t="inlineStr">
        <is>
          <t>Organização: o que oferece</t>
        </is>
      </c>
      <c r="J844" s="8" t="inlineStr">
        <is>
          <t>Organização: o que cobra</t>
        </is>
      </c>
      <c r="N844" s="2">
        <f>N843</f>
        <v/>
      </c>
      <c r="O844" s="2">
        <f>O843</f>
        <v/>
      </c>
      <c r="P844" s="2">
        <f>P843</f>
        <v/>
      </c>
      <c r="Q844" s="2">
        <f>Q843</f>
        <v/>
      </c>
      <c r="R844" s="2">
        <f>R843</f>
        <v/>
      </c>
      <c r="S844" s="2">
        <f>S843</f>
        <v/>
      </c>
      <c r="T844" s="2">
        <f>T843</f>
        <v/>
      </c>
      <c r="U844" s="2">
        <f>U843</f>
        <v/>
      </c>
      <c r="V844" s="2">
        <f>V843</f>
        <v/>
      </c>
      <c r="X844" s="2">
        <f>IF(ISERROR($B$844),"",IF(ISBLANK($B$844),"",$B$844))</f>
        <v/>
      </c>
      <c r="Y844" s="2">
        <f>IF(ISERROR($C$844),"",IF(ISBLANK($C$844),"",$C$844))</f>
        <v/>
      </c>
      <c r="Z844" s="2">
        <f>IF(ISERROR($D$844),"",IF(ISBLANK($D$844),"",$D$844))</f>
        <v/>
      </c>
      <c r="AA844" s="2">
        <f>IF(ISERROR($E$844),"",IF(ISBLANK($E$844),"",$E$844))</f>
        <v/>
      </c>
      <c r="AB844" s="2">
        <f>IF(ISERROR($F$844),"",IF(ISBLANK($F$844),"",$F$844))</f>
        <v/>
      </c>
      <c r="AC844" s="2">
        <f>IF(ISERROR($G$844),"",IF(ISBLANK($G$844),"",$G$844))</f>
        <v/>
      </c>
      <c r="AD844" s="2">
        <f>IF(ISERROR($H$844),"",IF(ISBLANK($H$844),"",$H$844))</f>
        <v/>
      </c>
      <c r="AE844" s="2">
        <f>IF(ISERROR($I$844),"",IF(ISBLANK($I$844),"",$I$844))</f>
        <v/>
      </c>
      <c r="AF844" s="2">
        <f>IF(ISERROR($J$844),"",IF(ISBLANK($J$844),"",$J$844))</f>
        <v/>
      </c>
    </row>
    <row r="845" ht="26" customHeight="1">
      <c r="B845" s="33" t="inlineStr">
        <is>
          <t>Refúgio</t>
        </is>
      </c>
      <c r="C845" s="4" t="inlineStr">
        <is>
          <t>do Fundo</t>
        </is>
      </c>
      <c r="D845" s="4" t="inlineStr">
        <is>
          <t>Boa Sorte</t>
        </is>
      </c>
      <c r="E845" s="4" t="inlineStr">
        <is>
          <t>Distante</t>
        </is>
      </c>
      <c r="F845" s="4" t="inlineStr">
        <is>
          <t>Fraternidade</t>
        </is>
      </c>
      <c r="G845" s="4" t="inlineStr">
        <is>
          <t>das Asas de Cobre</t>
        </is>
      </c>
      <c r="H845" s="4" t="inlineStr">
        <is>
          <t>Coletivo de Cozinheiros de Estação</t>
        </is>
      </c>
      <c r="I845" s="4" t="n"/>
      <c r="J845" s="4" t="n"/>
      <c r="K845" s="19">
        <f>IF(AG845&gt;0,"O Google leu como fórmula: digite de novo com ' na frente.","")</f>
        <v/>
      </c>
      <c r="N845" s="2">
        <f>N844+IF(LEN($X$845)&gt;0,1,0)</f>
        <v/>
      </c>
      <c r="O845" s="2">
        <f>O844+IF(LEN($Y$845)&gt;0,1,0)</f>
        <v/>
      </c>
      <c r="P845" s="2">
        <f>P844+IF(LEN($Z$845)&gt;0,1,0)</f>
        <v/>
      </c>
      <c r="Q845" s="2">
        <f>Q844+IF(LEN($AA$845)&gt;0,1,0)</f>
        <v/>
      </c>
      <c r="R845" s="2">
        <f>R844+IF(LEN($AB$845)&gt;0,1,0)</f>
        <v/>
      </c>
      <c r="S845" s="2">
        <f>S844+IF(LEN($AC$845)&gt;0,1,0)</f>
        <v/>
      </c>
      <c r="T845" s="2">
        <f>T844+IF(LEN($AD$845)&gt;0,1,0)</f>
        <v/>
      </c>
      <c r="U845" s="2">
        <f>U844+IF(LEN($AE$845)&gt;0,1,0)</f>
        <v/>
      </c>
      <c r="V845" s="2">
        <f>V844+IF(LEN($AF$845)&gt;0,1,0)</f>
        <v/>
      </c>
      <c r="X845" s="2">
        <f>IF(ISERROR($B$845),"",IF(ISBLANK($B$845),"",$B$845))</f>
        <v/>
      </c>
      <c r="Y845" s="2">
        <f>IF(ISERROR($C$845),"",IF(ISBLANK($C$845),"",$C$845))</f>
        <v/>
      </c>
      <c r="Z845" s="2">
        <f>IF(ISERROR($D$845),"",IF(ISBLANK($D$845),"",$D$845))</f>
        <v/>
      </c>
      <c r="AA845" s="2">
        <f>IF(ISERROR($E$845),"",IF(ISBLANK($E$845),"",$E$845))</f>
        <v/>
      </c>
      <c r="AB845" s="2">
        <f>IF(ISERROR($F$845),"",IF(ISBLANK($F$845),"",$F$845))</f>
        <v/>
      </c>
      <c r="AC845" s="2">
        <f>IF(ISERROR($G$845),"",IF(ISBLANK($G$845),"",$G$845))</f>
        <v/>
      </c>
      <c r="AD845" s="2">
        <f>IF(ISERROR($H$845),"",IF(ISBLANK($H$845),"",$H$845))</f>
        <v/>
      </c>
      <c r="AE845" s="2">
        <f>IF(ISERROR($I$845),"",IF(ISBLANK($I$845),"",$I$845))</f>
        <v/>
      </c>
      <c r="AF845" s="2">
        <f>IF(ISERROR($J$845),"",IF(ISBLANK($J$845),"",$J$845))</f>
        <v/>
      </c>
      <c r="AG845" s="2">
        <f>ISERROR($B$845)*1+ISERROR($C$845)*1+ISERROR($D$845)*1+ISERROR($E$845)*1+ISERROR($F$845)*1+ISERROR($G$845)*1+ISERROR($H$845)*1+ISERROR($I$845)*1+ISERROR($J$845)*1</f>
        <v/>
      </c>
    </row>
    <row r="846" ht="26" customHeight="1">
      <c r="B846" s="35" t="inlineStr">
        <is>
          <t>Passagem</t>
        </is>
      </c>
      <c r="C846" s="29" t="inlineStr">
        <is>
          <t>das Asas</t>
        </is>
      </c>
      <c r="D846" s="29" t="inlineStr">
        <is>
          <t>Cigarra</t>
        </is>
      </c>
      <c r="E846" s="29" t="inlineStr">
        <is>
          <t>da Neblina</t>
        </is>
      </c>
      <c r="F846" s="29" t="inlineStr">
        <is>
          <t>Sociedade</t>
        </is>
      </c>
      <c r="G846" s="29" t="inlineStr">
        <is>
          <t>da Cinza Branca</t>
        </is>
      </c>
      <c r="H846" s="29" t="inlineStr">
        <is>
          <t>Sociedade dos Mapas Proibidos</t>
        </is>
      </c>
      <c r="I846" s="29" t="n"/>
      <c r="J846" s="29" t="n"/>
      <c r="K846" s="19">
        <f>IF(AG846&gt;0,"O Google leu como fórmula: digite de novo com ' na frente.","")</f>
        <v/>
      </c>
      <c r="N846" s="2">
        <f>N845+IF(LEN($X$846)&gt;0,1,0)</f>
        <v/>
      </c>
      <c r="O846" s="2">
        <f>O845+IF(LEN($Y$846)&gt;0,1,0)</f>
        <v/>
      </c>
      <c r="P846" s="2">
        <f>P845+IF(LEN($Z$846)&gt;0,1,0)</f>
        <v/>
      </c>
      <c r="Q846" s="2">
        <f>Q845+IF(LEN($AA$846)&gt;0,1,0)</f>
        <v/>
      </c>
      <c r="R846" s="2">
        <f>R845+IF(LEN($AB$846)&gt;0,1,0)</f>
        <v/>
      </c>
      <c r="S846" s="2">
        <f>S845+IF(LEN($AC$846)&gt;0,1,0)</f>
        <v/>
      </c>
      <c r="T846" s="2">
        <f>T845+IF(LEN($AD$846)&gt;0,1,0)</f>
        <v/>
      </c>
      <c r="U846" s="2">
        <f>U845+IF(LEN($AE$846)&gt;0,1,0)</f>
        <v/>
      </c>
      <c r="V846" s="2">
        <f>V845+IF(LEN($AF$846)&gt;0,1,0)</f>
        <v/>
      </c>
      <c r="X846" s="2">
        <f>IF(ISERROR($B$846),"",IF(ISBLANK($B$846),"",$B$846))</f>
        <v/>
      </c>
      <c r="Y846" s="2">
        <f>IF(ISERROR($C$846),"",IF(ISBLANK($C$846),"",$C$846))</f>
        <v/>
      </c>
      <c r="Z846" s="2">
        <f>IF(ISERROR($D$846),"",IF(ISBLANK($D$846),"",$D$846))</f>
        <v/>
      </c>
      <c r="AA846" s="2">
        <f>IF(ISERROR($E$846),"",IF(ISBLANK($E$846),"",$E$846))</f>
        <v/>
      </c>
      <c r="AB846" s="2">
        <f>IF(ISERROR($F$846),"",IF(ISBLANK($F$846),"",$F$846))</f>
        <v/>
      </c>
      <c r="AC846" s="2">
        <f>IF(ISERROR($G$846),"",IF(ISBLANK($G$846),"",$G$846))</f>
        <v/>
      </c>
      <c r="AD846" s="2">
        <f>IF(ISERROR($H$846),"",IF(ISBLANK($H$846),"",$H$846))</f>
        <v/>
      </c>
      <c r="AE846" s="2">
        <f>IF(ISERROR($I$846),"",IF(ISBLANK($I$846),"",$I$846))</f>
        <v/>
      </c>
      <c r="AF846" s="2">
        <f>IF(ISERROR($J$846),"",IF(ISBLANK($J$846),"",$J$846))</f>
        <v/>
      </c>
      <c r="AG846" s="2">
        <f>ISERROR($B$846)*1+ISERROR($C$846)*1+ISERROR($D$846)*1+ISERROR($E$846)*1+ISERROR($F$846)*1+ISERROR($G$846)*1+ISERROR($H$846)*1+ISERROR($I$846)*1+ISERROR($J$846)*1</f>
        <v/>
      </c>
    </row>
    <row r="847" ht="26" customHeight="1">
      <c r="B847" s="33" t="inlineStr">
        <is>
          <t>Fenda</t>
        </is>
      </c>
      <c r="C847" s="4" t="inlineStr">
        <is>
          <t>de Pedra Viva</t>
        </is>
      </c>
      <c r="D847" s="4" t="inlineStr">
        <is>
          <t>Lua Torta</t>
        </is>
      </c>
      <c r="E847" s="4" t="inlineStr">
        <is>
          <t>de Graça</t>
        </is>
      </c>
      <c r="F847" s="4" t="inlineStr">
        <is>
          <t>Comuna</t>
        </is>
      </c>
      <c r="G847" s="4" t="inlineStr">
        <is>
          <t>do Juramento</t>
        </is>
      </c>
      <c r="H847" s="4" t="inlineStr">
        <is>
          <t>Comitê de Boas-Vindas do Porto</t>
        </is>
      </c>
      <c r="I847" s="4" t="n"/>
      <c r="J847" s="4" t="n"/>
      <c r="K847" s="19">
        <f>IF(AG847&gt;0,"O Google leu como fórmula: digite de novo com ' na frente.","")</f>
        <v/>
      </c>
      <c r="N847" s="2">
        <f>N846+IF(LEN($X$847)&gt;0,1,0)</f>
        <v/>
      </c>
      <c r="O847" s="2">
        <f>O846+IF(LEN($Y$847)&gt;0,1,0)</f>
        <v/>
      </c>
      <c r="P847" s="2">
        <f>P846+IF(LEN($Z$847)&gt;0,1,0)</f>
        <v/>
      </c>
      <c r="Q847" s="2">
        <f>Q846+IF(LEN($AA$847)&gt;0,1,0)</f>
        <v/>
      </c>
      <c r="R847" s="2">
        <f>R846+IF(LEN($AB$847)&gt;0,1,0)</f>
        <v/>
      </c>
      <c r="S847" s="2">
        <f>S846+IF(LEN($AC$847)&gt;0,1,0)</f>
        <v/>
      </c>
      <c r="T847" s="2">
        <f>T846+IF(LEN($AD$847)&gt;0,1,0)</f>
        <v/>
      </c>
      <c r="U847" s="2">
        <f>U846+IF(LEN($AE$847)&gt;0,1,0)</f>
        <v/>
      </c>
      <c r="V847" s="2">
        <f>V846+IF(LEN($AF$847)&gt;0,1,0)</f>
        <v/>
      </c>
      <c r="X847" s="2">
        <f>IF(ISERROR($B$847),"",IF(ISBLANK($B$847),"",$B$847))</f>
        <v/>
      </c>
      <c r="Y847" s="2">
        <f>IF(ISERROR($C$847),"",IF(ISBLANK($C$847),"",$C$847))</f>
        <v/>
      </c>
      <c r="Z847" s="2">
        <f>IF(ISERROR($D$847),"",IF(ISBLANK($D$847),"",$D$847))</f>
        <v/>
      </c>
      <c r="AA847" s="2">
        <f>IF(ISERROR($E$847),"",IF(ISBLANK($E$847),"",$E$847))</f>
        <v/>
      </c>
      <c r="AB847" s="2">
        <f>IF(ISERROR($F$847),"",IF(ISBLANK($F$847),"",$F$847))</f>
        <v/>
      </c>
      <c r="AC847" s="2">
        <f>IF(ISERROR($G$847),"",IF(ISBLANK($G$847),"",$G$847))</f>
        <v/>
      </c>
      <c r="AD847" s="2">
        <f>IF(ISERROR($H$847),"",IF(ISBLANK($H$847),"",$H$847))</f>
        <v/>
      </c>
      <c r="AE847" s="2">
        <f>IF(ISERROR($I$847),"",IF(ISBLANK($I$847),"",$I$847))</f>
        <v/>
      </c>
      <c r="AF847" s="2">
        <f>IF(ISERROR($J$847),"",IF(ISBLANK($J$847),"",$J$847))</f>
        <v/>
      </c>
      <c r="AG847" s="2">
        <f>ISERROR($B$847)*1+ISERROR($C$847)*1+ISERROR($D$847)*1+ISERROR($E$847)*1+ISERROR($F$847)*1+ISERROR($G$847)*1+ISERROR($H$847)*1+ISERROR($I$847)*1+ISERROR($J$847)*1</f>
        <v/>
      </c>
    </row>
    <row r="848" ht="26" customHeight="1">
      <c r="B848" s="35" t="inlineStr">
        <is>
          <t>Represa</t>
        </is>
      </c>
      <c r="C848" s="29" t="inlineStr">
        <is>
          <t>da Última Rota</t>
        </is>
      </c>
      <c r="D848" s="29" t="inlineStr">
        <is>
          <t>Corvo</t>
        </is>
      </c>
      <c r="E848" s="29" t="inlineStr">
        <is>
          <t>Sem Pressa</t>
        </is>
      </c>
      <c r="F848" s="29" t="inlineStr">
        <is>
          <t>Guarda</t>
        </is>
      </c>
      <c r="G848" s="29" t="inlineStr">
        <is>
          <t>da Rota Perdida</t>
        </is>
      </c>
      <c r="H848" s="29" t="inlineStr">
        <is>
          <t>Escola de Esgrima da Ponte</t>
        </is>
      </c>
      <c r="I848" s="29" t="n"/>
      <c r="J848" s="29" t="n"/>
      <c r="K848" s="19">
        <f>IF(AG848&gt;0,"O Google leu como fórmula: digite de novo com ' na frente.","")</f>
        <v/>
      </c>
      <c r="N848" s="2">
        <f>N847+IF(LEN($X$848)&gt;0,1,0)</f>
        <v/>
      </c>
      <c r="O848" s="2">
        <f>O847+IF(LEN($Y$848)&gt;0,1,0)</f>
        <v/>
      </c>
      <c r="P848" s="2">
        <f>P847+IF(LEN($Z$848)&gt;0,1,0)</f>
        <v/>
      </c>
      <c r="Q848" s="2">
        <f>Q847+IF(LEN($AA$848)&gt;0,1,0)</f>
        <v/>
      </c>
      <c r="R848" s="2">
        <f>R847+IF(LEN($AB$848)&gt;0,1,0)</f>
        <v/>
      </c>
      <c r="S848" s="2">
        <f>S847+IF(LEN($AC$848)&gt;0,1,0)</f>
        <v/>
      </c>
      <c r="T848" s="2">
        <f>T847+IF(LEN($AD$848)&gt;0,1,0)</f>
        <v/>
      </c>
      <c r="U848" s="2">
        <f>U847+IF(LEN($AE$848)&gt;0,1,0)</f>
        <v/>
      </c>
      <c r="V848" s="2">
        <f>V847+IF(LEN($AF$848)&gt;0,1,0)</f>
        <v/>
      </c>
      <c r="X848" s="2">
        <f>IF(ISERROR($B$848),"",IF(ISBLANK($B$848),"",$B$848))</f>
        <v/>
      </c>
      <c r="Y848" s="2">
        <f>IF(ISERROR($C$848),"",IF(ISBLANK($C$848),"",$C$848))</f>
        <v/>
      </c>
      <c r="Z848" s="2">
        <f>IF(ISERROR($D$848),"",IF(ISBLANK($D$848),"",$D$848))</f>
        <v/>
      </c>
      <c r="AA848" s="2">
        <f>IF(ISERROR($E$848),"",IF(ISBLANK($E$848),"",$E$848))</f>
        <v/>
      </c>
      <c r="AB848" s="2">
        <f>IF(ISERROR($F$848),"",IF(ISBLANK($F$848),"",$F$848))</f>
        <v/>
      </c>
      <c r="AC848" s="2">
        <f>IF(ISERROR($G$848),"",IF(ISBLANK($G$848),"",$G$848))</f>
        <v/>
      </c>
      <c r="AD848" s="2">
        <f>IF(ISERROR($H$848),"",IF(ISBLANK($H$848),"",$H$848))</f>
        <v/>
      </c>
      <c r="AE848" s="2">
        <f>IF(ISERROR($I$848),"",IF(ISBLANK($I$848),"",$I$848))</f>
        <v/>
      </c>
      <c r="AF848" s="2">
        <f>IF(ISERROR($J$848),"",IF(ISBLANK($J$848),"",$J$848))</f>
        <v/>
      </c>
      <c r="AG848" s="2">
        <f>ISERROR($B$848)*1+ISERROR($C$848)*1+ISERROR($D$848)*1+ISERROR($E$848)*1+ISERROR($F$848)*1+ISERROR($G$848)*1+ISERROR($H$848)*1+ISERROR($I$848)*1+ISERROR($J$848)*1</f>
        <v/>
      </c>
    </row>
    <row r="849" ht="26" customHeight="1">
      <c r="B849" s="33" t="n"/>
      <c r="C849" s="4" t="n"/>
      <c r="D849" s="4" t="n"/>
      <c r="E849" s="4" t="n"/>
      <c r="F849" s="4" t="n"/>
      <c r="G849" s="4" t="n"/>
      <c r="H849" s="4" t="n"/>
      <c r="I849" s="4" t="n"/>
      <c r="J849" s="4" t="n"/>
      <c r="K849" s="19">
        <f>IF(AG849&gt;0,"O Google leu como fórmula: digite de novo com ' na frente.","")</f>
        <v/>
      </c>
      <c r="N849" s="2">
        <f>N848+IF(LEN($X$849)&gt;0,1,0)</f>
        <v/>
      </c>
      <c r="O849" s="2">
        <f>O848+IF(LEN($Y$849)&gt;0,1,0)</f>
        <v/>
      </c>
      <c r="P849" s="2">
        <f>P848+IF(LEN($Z$849)&gt;0,1,0)</f>
        <v/>
      </c>
      <c r="Q849" s="2">
        <f>Q848+IF(LEN($AA$849)&gt;0,1,0)</f>
        <v/>
      </c>
      <c r="R849" s="2">
        <f>R848+IF(LEN($AB$849)&gt;0,1,0)</f>
        <v/>
      </c>
      <c r="S849" s="2">
        <f>S848+IF(LEN($AC$849)&gt;0,1,0)</f>
        <v/>
      </c>
      <c r="T849" s="2">
        <f>T848+IF(LEN($AD$849)&gt;0,1,0)</f>
        <v/>
      </c>
      <c r="U849" s="2">
        <f>U848+IF(LEN($AE$849)&gt;0,1,0)</f>
        <v/>
      </c>
      <c r="V849" s="2">
        <f>V848+IF(LEN($AF$849)&gt;0,1,0)</f>
        <v/>
      </c>
      <c r="X849" s="2">
        <f>IF(ISERROR($B$849),"",IF(ISBLANK($B$849),"",$B$849))</f>
        <v/>
      </c>
      <c r="Y849" s="2">
        <f>IF(ISERROR($C$849),"",IF(ISBLANK($C$849),"",$C$849))</f>
        <v/>
      </c>
      <c r="Z849" s="2">
        <f>IF(ISERROR($D$849),"",IF(ISBLANK($D$849),"",$D$849))</f>
        <v/>
      </c>
      <c r="AA849" s="2">
        <f>IF(ISERROR($E$849),"",IF(ISBLANK($E$849),"",$E$849))</f>
        <v/>
      </c>
      <c r="AB849" s="2">
        <f>IF(ISERROR($F$849),"",IF(ISBLANK($F$849),"",$F$849))</f>
        <v/>
      </c>
      <c r="AC849" s="2">
        <f>IF(ISERROR($G$849),"",IF(ISBLANK($G$849),"",$G$849))</f>
        <v/>
      </c>
      <c r="AD849" s="2">
        <f>IF(ISERROR($H$849),"",IF(ISBLANK($H$849),"",$H$849))</f>
        <v/>
      </c>
      <c r="AE849" s="2">
        <f>IF(ISERROR($I$849),"",IF(ISBLANK($I$849),"",$I$849))</f>
        <v/>
      </c>
      <c r="AF849" s="2">
        <f>IF(ISERROR($J$849),"",IF(ISBLANK($J$849),"",$J$849))</f>
        <v/>
      </c>
      <c r="AG849" s="2">
        <f>ISERROR($B$849)*1+ISERROR($C$849)*1+ISERROR($D$849)*1+ISERROR($E$849)*1+ISERROR($F$849)*1+ISERROR($G$849)*1+ISERROR($H$849)*1+ISERROR($I$849)*1+ISERROR($J$849)*1</f>
        <v/>
      </c>
    </row>
    <row r="850" ht="26" customHeight="1">
      <c r="B850" s="35" t="n"/>
      <c r="C850" s="29" t="n"/>
      <c r="D850" s="29" t="n"/>
      <c r="E850" s="29" t="n"/>
      <c r="F850" s="29" t="n"/>
      <c r="G850" s="29" t="n"/>
      <c r="H850" s="29" t="n"/>
      <c r="I850" s="29" t="n"/>
      <c r="J850" s="29" t="n"/>
      <c r="K850" s="19">
        <f>IF(AG850&gt;0,"O Google leu como fórmula: digite de novo com ' na frente.","")</f>
        <v/>
      </c>
      <c r="N850" s="2">
        <f>N849+IF(LEN($X$850)&gt;0,1,0)</f>
        <v/>
      </c>
      <c r="O850" s="2">
        <f>O849+IF(LEN($Y$850)&gt;0,1,0)</f>
        <v/>
      </c>
      <c r="P850" s="2">
        <f>P849+IF(LEN($Z$850)&gt;0,1,0)</f>
        <v/>
      </c>
      <c r="Q850" s="2">
        <f>Q849+IF(LEN($AA$850)&gt;0,1,0)</f>
        <v/>
      </c>
      <c r="R850" s="2">
        <f>R849+IF(LEN($AB$850)&gt;0,1,0)</f>
        <v/>
      </c>
      <c r="S850" s="2">
        <f>S849+IF(LEN($AC$850)&gt;0,1,0)</f>
        <v/>
      </c>
      <c r="T850" s="2">
        <f>T849+IF(LEN($AD$850)&gt;0,1,0)</f>
        <v/>
      </c>
      <c r="U850" s="2">
        <f>U849+IF(LEN($AE$850)&gt;0,1,0)</f>
        <v/>
      </c>
      <c r="V850" s="2">
        <f>V849+IF(LEN($AF$850)&gt;0,1,0)</f>
        <v/>
      </c>
      <c r="X850" s="2">
        <f>IF(ISERROR($B$850),"",IF(ISBLANK($B$850),"",$B$850))</f>
        <v/>
      </c>
      <c r="Y850" s="2">
        <f>IF(ISERROR($C$850),"",IF(ISBLANK($C$850),"",$C$850))</f>
        <v/>
      </c>
      <c r="Z850" s="2">
        <f>IF(ISERROR($D$850),"",IF(ISBLANK($D$850),"",$D$850))</f>
        <v/>
      </c>
      <c r="AA850" s="2">
        <f>IF(ISERROR($E$850),"",IF(ISBLANK($E$850),"",$E$850))</f>
        <v/>
      </c>
      <c r="AB850" s="2">
        <f>IF(ISERROR($F$850),"",IF(ISBLANK($F$850),"",$F$850))</f>
        <v/>
      </c>
      <c r="AC850" s="2">
        <f>IF(ISERROR($G$850),"",IF(ISBLANK($G$850),"",$G$850))</f>
        <v/>
      </c>
      <c r="AD850" s="2">
        <f>IF(ISERROR($H$850),"",IF(ISBLANK($H$850),"",$H$850))</f>
        <v/>
      </c>
      <c r="AE850" s="2">
        <f>IF(ISERROR($I$850),"",IF(ISBLANK($I$850),"",$I$850))</f>
        <v/>
      </c>
      <c r="AF850" s="2">
        <f>IF(ISERROR($J$850),"",IF(ISBLANK($J$850),"",$J$850))</f>
        <v/>
      </c>
      <c r="AG850" s="2">
        <f>ISERROR($B$850)*1+ISERROR($C$850)*1+ISERROR($D$850)*1+ISERROR($E$850)*1+ISERROR($F$850)*1+ISERROR($G$850)*1+ISERROR($H$850)*1+ISERROR($I$850)*1+ISERROR($J$850)*1</f>
        <v/>
      </c>
    </row>
    <row r="851" ht="26" customHeight="1">
      <c r="B851" s="33" t="n"/>
      <c r="C851" s="4" t="n"/>
      <c r="D851" s="4" t="n"/>
      <c r="E851" s="4" t="n"/>
      <c r="F851" s="4" t="n"/>
      <c r="G851" s="4" t="n"/>
      <c r="H851" s="4" t="n"/>
      <c r="I851" s="4" t="n"/>
      <c r="J851" s="4" t="n"/>
      <c r="K851" s="19">
        <f>IF(AG851&gt;0,"O Google leu como fórmula: digite de novo com ' na frente.","")</f>
        <v/>
      </c>
      <c r="N851" s="2">
        <f>N850+IF(LEN($X$851)&gt;0,1,0)</f>
        <v/>
      </c>
      <c r="O851" s="2">
        <f>O850+IF(LEN($Y$851)&gt;0,1,0)</f>
        <v/>
      </c>
      <c r="P851" s="2">
        <f>P850+IF(LEN($Z$851)&gt;0,1,0)</f>
        <v/>
      </c>
      <c r="Q851" s="2">
        <f>Q850+IF(LEN($AA$851)&gt;0,1,0)</f>
        <v/>
      </c>
      <c r="R851" s="2">
        <f>R850+IF(LEN($AB$851)&gt;0,1,0)</f>
        <v/>
      </c>
      <c r="S851" s="2">
        <f>S850+IF(LEN($AC$851)&gt;0,1,0)</f>
        <v/>
      </c>
      <c r="T851" s="2">
        <f>T850+IF(LEN($AD$851)&gt;0,1,0)</f>
        <v/>
      </c>
      <c r="U851" s="2">
        <f>U850+IF(LEN($AE$851)&gt;0,1,0)</f>
        <v/>
      </c>
      <c r="V851" s="2">
        <f>V850+IF(LEN($AF$851)&gt;0,1,0)</f>
        <v/>
      </c>
      <c r="X851" s="2">
        <f>IF(ISERROR($B$851),"",IF(ISBLANK($B$851),"",$B$851))</f>
        <v/>
      </c>
      <c r="Y851" s="2">
        <f>IF(ISERROR($C$851),"",IF(ISBLANK($C$851),"",$C$851))</f>
        <v/>
      </c>
      <c r="Z851" s="2">
        <f>IF(ISERROR($D$851),"",IF(ISBLANK($D$851),"",$D$851))</f>
        <v/>
      </c>
      <c r="AA851" s="2">
        <f>IF(ISERROR($E$851),"",IF(ISBLANK($E$851),"",$E$851))</f>
        <v/>
      </c>
      <c r="AB851" s="2">
        <f>IF(ISERROR($F$851),"",IF(ISBLANK($F$851),"",$F$851))</f>
        <v/>
      </c>
      <c r="AC851" s="2">
        <f>IF(ISERROR($G$851),"",IF(ISBLANK($G$851),"",$G$851))</f>
        <v/>
      </c>
      <c r="AD851" s="2">
        <f>IF(ISERROR($H$851),"",IF(ISBLANK($H$851),"",$H$851))</f>
        <v/>
      </c>
      <c r="AE851" s="2">
        <f>IF(ISERROR($I$851),"",IF(ISBLANK($I$851),"",$I$851))</f>
        <v/>
      </c>
      <c r="AF851" s="2">
        <f>IF(ISERROR($J$851),"",IF(ISBLANK($J$851),"",$J$851))</f>
        <v/>
      </c>
      <c r="AG851" s="2">
        <f>ISERROR($B$851)*1+ISERROR($C$851)*1+ISERROR($D$851)*1+ISERROR($E$851)*1+ISERROR($F$851)*1+ISERROR($G$851)*1+ISERROR($H$851)*1+ISERROR($I$851)*1+ISERROR($J$851)*1</f>
        <v/>
      </c>
    </row>
    <row r="852" ht="26" customHeight="1">
      <c r="B852" s="35" t="n"/>
      <c r="C852" s="29" t="n"/>
      <c r="D852" s="29" t="n"/>
      <c r="E852" s="29" t="n"/>
      <c r="F852" s="29" t="n"/>
      <c r="G852" s="29" t="n"/>
      <c r="H852" s="29" t="n"/>
      <c r="I852" s="29" t="n"/>
      <c r="J852" s="29" t="n"/>
      <c r="K852" s="19">
        <f>IF(AG852&gt;0,"O Google leu como fórmula: digite de novo com ' na frente.","")</f>
        <v/>
      </c>
      <c r="N852" s="2">
        <f>N851+IF(LEN($X$852)&gt;0,1,0)</f>
        <v/>
      </c>
      <c r="O852" s="2">
        <f>O851+IF(LEN($Y$852)&gt;0,1,0)</f>
        <v/>
      </c>
      <c r="P852" s="2">
        <f>P851+IF(LEN($Z$852)&gt;0,1,0)</f>
        <v/>
      </c>
      <c r="Q852" s="2">
        <f>Q851+IF(LEN($AA$852)&gt;0,1,0)</f>
        <v/>
      </c>
      <c r="R852" s="2">
        <f>R851+IF(LEN($AB$852)&gt;0,1,0)</f>
        <v/>
      </c>
      <c r="S852" s="2">
        <f>S851+IF(LEN($AC$852)&gt;0,1,0)</f>
        <v/>
      </c>
      <c r="T852" s="2">
        <f>T851+IF(LEN($AD$852)&gt;0,1,0)</f>
        <v/>
      </c>
      <c r="U852" s="2">
        <f>U851+IF(LEN($AE$852)&gt;0,1,0)</f>
        <v/>
      </c>
      <c r="V852" s="2">
        <f>V851+IF(LEN($AF$852)&gt;0,1,0)</f>
        <v/>
      </c>
      <c r="X852" s="2">
        <f>IF(ISERROR($B$852),"",IF(ISBLANK($B$852),"",$B$852))</f>
        <v/>
      </c>
      <c r="Y852" s="2">
        <f>IF(ISERROR($C$852),"",IF(ISBLANK($C$852),"",$C$852))</f>
        <v/>
      </c>
      <c r="Z852" s="2">
        <f>IF(ISERROR($D$852),"",IF(ISBLANK($D$852),"",$D$852))</f>
        <v/>
      </c>
      <c r="AA852" s="2">
        <f>IF(ISERROR($E$852),"",IF(ISBLANK($E$852),"",$E$852))</f>
        <v/>
      </c>
      <c r="AB852" s="2">
        <f>IF(ISERROR($F$852),"",IF(ISBLANK($F$852),"",$F$852))</f>
        <v/>
      </c>
      <c r="AC852" s="2">
        <f>IF(ISERROR($G$852),"",IF(ISBLANK($G$852),"",$G$852))</f>
        <v/>
      </c>
      <c r="AD852" s="2">
        <f>IF(ISERROR($H$852),"",IF(ISBLANK($H$852),"",$H$852))</f>
        <v/>
      </c>
      <c r="AE852" s="2">
        <f>IF(ISERROR($I$852),"",IF(ISBLANK($I$852),"",$I$852))</f>
        <v/>
      </c>
      <c r="AF852" s="2">
        <f>IF(ISERROR($J$852),"",IF(ISBLANK($J$852),"",$J$852))</f>
        <v/>
      </c>
      <c r="AG852" s="2">
        <f>ISERROR($B$852)*1+ISERROR($C$852)*1+ISERROR($D$852)*1+ISERROR($E$852)*1+ISERROR($F$852)*1+ISERROR($G$852)*1+ISERROR($H$852)*1+ISERROR($I$852)*1+ISERROR($J$852)*1</f>
        <v/>
      </c>
    </row>
    <row r="853" ht="26" customHeight="1">
      <c r="B853" s="33" t="n"/>
      <c r="C853" s="4" t="n"/>
      <c r="D853" s="4" t="n"/>
      <c r="E853" s="4" t="n"/>
      <c r="F853" s="4" t="n"/>
      <c r="G853" s="4" t="n"/>
      <c r="H853" s="4" t="n"/>
      <c r="I853" s="4" t="n"/>
      <c r="J853" s="4" t="n"/>
      <c r="K853" s="19">
        <f>IF(AG853&gt;0,"O Google leu como fórmula: digite de novo com ' na frente.","")</f>
        <v/>
      </c>
      <c r="N853" s="2">
        <f>N852+IF(LEN($X$853)&gt;0,1,0)</f>
        <v/>
      </c>
      <c r="O853" s="2">
        <f>O852+IF(LEN($Y$853)&gt;0,1,0)</f>
        <v/>
      </c>
      <c r="P853" s="2">
        <f>P852+IF(LEN($Z$853)&gt;0,1,0)</f>
        <v/>
      </c>
      <c r="Q853" s="2">
        <f>Q852+IF(LEN($AA$853)&gt;0,1,0)</f>
        <v/>
      </c>
      <c r="R853" s="2">
        <f>R852+IF(LEN($AB$853)&gt;0,1,0)</f>
        <v/>
      </c>
      <c r="S853" s="2">
        <f>S852+IF(LEN($AC$853)&gt;0,1,0)</f>
        <v/>
      </c>
      <c r="T853" s="2">
        <f>T852+IF(LEN($AD$853)&gt;0,1,0)</f>
        <v/>
      </c>
      <c r="U853" s="2">
        <f>U852+IF(LEN($AE$853)&gt;0,1,0)</f>
        <v/>
      </c>
      <c r="V853" s="2">
        <f>V852+IF(LEN($AF$853)&gt;0,1,0)</f>
        <v/>
      </c>
      <c r="X853" s="2">
        <f>IF(ISERROR($B$853),"",IF(ISBLANK($B$853),"",$B$853))</f>
        <v/>
      </c>
      <c r="Y853" s="2">
        <f>IF(ISERROR($C$853),"",IF(ISBLANK($C$853),"",$C$853))</f>
        <v/>
      </c>
      <c r="Z853" s="2">
        <f>IF(ISERROR($D$853),"",IF(ISBLANK($D$853),"",$D$853))</f>
        <v/>
      </c>
      <c r="AA853" s="2">
        <f>IF(ISERROR($E$853),"",IF(ISBLANK($E$853),"",$E$853))</f>
        <v/>
      </c>
      <c r="AB853" s="2">
        <f>IF(ISERROR($F$853),"",IF(ISBLANK($F$853),"",$F$853))</f>
        <v/>
      </c>
      <c r="AC853" s="2">
        <f>IF(ISERROR($G$853),"",IF(ISBLANK($G$853),"",$G$853))</f>
        <v/>
      </c>
      <c r="AD853" s="2">
        <f>IF(ISERROR($H$853),"",IF(ISBLANK($H$853),"",$H$853))</f>
        <v/>
      </c>
      <c r="AE853" s="2">
        <f>IF(ISERROR($I$853),"",IF(ISBLANK($I$853),"",$I$853))</f>
        <v/>
      </c>
      <c r="AF853" s="2">
        <f>IF(ISERROR($J$853),"",IF(ISBLANK($J$853),"",$J$853))</f>
        <v/>
      </c>
      <c r="AG853" s="2">
        <f>ISERROR($B$853)*1+ISERROR($C$853)*1+ISERROR($D$853)*1+ISERROR($E$853)*1+ISERROR($F$853)*1+ISERROR($G$853)*1+ISERROR($H$853)*1+ISERROR($I$853)*1+ISERROR($J$853)*1</f>
        <v/>
      </c>
    </row>
    <row r="854" ht="26" customHeight="1">
      <c r="B854" s="35" t="n"/>
      <c r="C854" s="29" t="n"/>
      <c r="D854" s="29" t="n"/>
      <c r="E854" s="29" t="n"/>
      <c r="F854" s="29" t="n"/>
      <c r="G854" s="29" t="n"/>
      <c r="H854" s="29" t="n"/>
      <c r="I854" s="29" t="n"/>
      <c r="J854" s="29" t="n"/>
      <c r="K854" s="19">
        <f>IF(AG854&gt;0,"O Google leu como fórmula: digite de novo com ' na frente.","")</f>
        <v/>
      </c>
      <c r="N854" s="2">
        <f>N853+IF(LEN($X$854)&gt;0,1,0)</f>
        <v/>
      </c>
      <c r="O854" s="2">
        <f>O853+IF(LEN($Y$854)&gt;0,1,0)</f>
        <v/>
      </c>
      <c r="P854" s="2">
        <f>P853+IF(LEN($Z$854)&gt;0,1,0)</f>
        <v/>
      </c>
      <c r="Q854" s="2">
        <f>Q853+IF(LEN($AA$854)&gt;0,1,0)</f>
        <v/>
      </c>
      <c r="R854" s="2">
        <f>R853+IF(LEN($AB$854)&gt;0,1,0)</f>
        <v/>
      </c>
      <c r="S854" s="2">
        <f>S853+IF(LEN($AC$854)&gt;0,1,0)</f>
        <v/>
      </c>
      <c r="T854" s="2">
        <f>T853+IF(LEN($AD$854)&gt;0,1,0)</f>
        <v/>
      </c>
      <c r="U854" s="2">
        <f>U853+IF(LEN($AE$854)&gt;0,1,0)</f>
        <v/>
      </c>
      <c r="V854" s="2">
        <f>V853+IF(LEN($AF$854)&gt;0,1,0)</f>
        <v/>
      </c>
      <c r="X854" s="2">
        <f>IF(ISERROR($B$854),"",IF(ISBLANK($B$854),"",$B$854))</f>
        <v/>
      </c>
      <c r="Y854" s="2">
        <f>IF(ISERROR($C$854),"",IF(ISBLANK($C$854),"",$C$854))</f>
        <v/>
      </c>
      <c r="Z854" s="2">
        <f>IF(ISERROR($D$854),"",IF(ISBLANK($D$854),"",$D$854))</f>
        <v/>
      </c>
      <c r="AA854" s="2">
        <f>IF(ISERROR($E$854),"",IF(ISBLANK($E$854),"",$E$854))</f>
        <v/>
      </c>
      <c r="AB854" s="2">
        <f>IF(ISERROR($F$854),"",IF(ISBLANK($F$854),"",$F$854))</f>
        <v/>
      </c>
      <c r="AC854" s="2">
        <f>IF(ISERROR($G$854),"",IF(ISBLANK($G$854),"",$G$854))</f>
        <v/>
      </c>
      <c r="AD854" s="2">
        <f>IF(ISERROR($H$854),"",IF(ISBLANK($H$854),"",$H$854))</f>
        <v/>
      </c>
      <c r="AE854" s="2">
        <f>IF(ISERROR($I$854),"",IF(ISBLANK($I$854),"",$I$854))</f>
        <v/>
      </c>
      <c r="AF854" s="2">
        <f>IF(ISERROR($J$854),"",IF(ISBLANK($J$854),"",$J$854))</f>
        <v/>
      </c>
      <c r="AG854" s="2">
        <f>ISERROR($B$854)*1+ISERROR($C$854)*1+ISERROR($D$854)*1+ISERROR($E$854)*1+ISERROR($F$854)*1+ISERROR($G$854)*1+ISERROR($H$854)*1+ISERROR($I$854)*1+ISERROR($J$854)*1</f>
        <v/>
      </c>
    </row>
    <row r="855" ht="26" customHeight="1">
      <c r="B855" s="33" t="n"/>
      <c r="C855" s="4" t="n"/>
      <c r="D855" s="4" t="n"/>
      <c r="E855" s="4" t="n"/>
      <c r="F855" s="4" t="n"/>
      <c r="G855" s="4" t="n"/>
      <c r="H855" s="4" t="n"/>
      <c r="I855" s="4" t="n"/>
      <c r="J855" s="4" t="n"/>
      <c r="K855" s="19">
        <f>IF(AG855&gt;0,"O Google leu como fórmula: digite de novo com ' na frente.","")</f>
        <v/>
      </c>
      <c r="N855" s="2">
        <f>N854+IF(LEN($X$855)&gt;0,1,0)</f>
        <v/>
      </c>
      <c r="O855" s="2">
        <f>O854+IF(LEN($Y$855)&gt;0,1,0)</f>
        <v/>
      </c>
      <c r="P855" s="2">
        <f>P854+IF(LEN($Z$855)&gt;0,1,0)</f>
        <v/>
      </c>
      <c r="Q855" s="2">
        <f>Q854+IF(LEN($AA$855)&gt;0,1,0)</f>
        <v/>
      </c>
      <c r="R855" s="2">
        <f>R854+IF(LEN($AB$855)&gt;0,1,0)</f>
        <v/>
      </c>
      <c r="S855" s="2">
        <f>S854+IF(LEN($AC$855)&gt;0,1,0)</f>
        <v/>
      </c>
      <c r="T855" s="2">
        <f>T854+IF(LEN($AD$855)&gt;0,1,0)</f>
        <v/>
      </c>
      <c r="U855" s="2">
        <f>U854+IF(LEN($AE$855)&gt;0,1,0)</f>
        <v/>
      </c>
      <c r="V855" s="2">
        <f>V854+IF(LEN($AF$855)&gt;0,1,0)</f>
        <v/>
      </c>
      <c r="X855" s="2">
        <f>IF(ISERROR($B$855),"",IF(ISBLANK($B$855),"",$B$855))</f>
        <v/>
      </c>
      <c r="Y855" s="2">
        <f>IF(ISERROR($C$855),"",IF(ISBLANK($C$855),"",$C$855))</f>
        <v/>
      </c>
      <c r="Z855" s="2">
        <f>IF(ISERROR($D$855),"",IF(ISBLANK($D$855),"",$D$855))</f>
        <v/>
      </c>
      <c r="AA855" s="2">
        <f>IF(ISERROR($E$855),"",IF(ISBLANK($E$855),"",$E$855))</f>
        <v/>
      </c>
      <c r="AB855" s="2">
        <f>IF(ISERROR($F$855),"",IF(ISBLANK($F$855),"",$F$855))</f>
        <v/>
      </c>
      <c r="AC855" s="2">
        <f>IF(ISERROR($G$855),"",IF(ISBLANK($G$855),"",$G$855))</f>
        <v/>
      </c>
      <c r="AD855" s="2">
        <f>IF(ISERROR($H$855),"",IF(ISBLANK($H$855),"",$H$855))</f>
        <v/>
      </c>
      <c r="AE855" s="2">
        <f>IF(ISERROR($I$855),"",IF(ISBLANK($I$855),"",$I$855))</f>
        <v/>
      </c>
      <c r="AF855" s="2">
        <f>IF(ISERROR($J$855),"",IF(ISBLANK($J$855),"",$J$855))</f>
        <v/>
      </c>
      <c r="AG855" s="2">
        <f>ISERROR($B$855)*1+ISERROR($C$855)*1+ISERROR($D$855)*1+ISERROR($E$855)*1+ISERROR($F$855)*1+ISERROR($G$855)*1+ISERROR($H$855)*1+ISERROR($I$855)*1+ISERROR($J$855)*1</f>
        <v/>
      </c>
    </row>
    <row r="856" ht="26" customHeight="1">
      <c r="B856" s="35" t="n"/>
      <c r="C856" s="29" t="n"/>
      <c r="D856" s="29" t="n"/>
      <c r="E856" s="29" t="n"/>
      <c r="F856" s="29" t="n"/>
      <c r="G856" s="29" t="n"/>
      <c r="H856" s="29" t="n"/>
      <c r="I856" s="29" t="n"/>
      <c r="J856" s="29" t="n"/>
      <c r="K856" s="19">
        <f>IF(AG856&gt;0,"O Google leu como fórmula: digite de novo com ' na frente.","")</f>
        <v/>
      </c>
      <c r="N856" s="2">
        <f>N855+IF(LEN($X$856)&gt;0,1,0)</f>
        <v/>
      </c>
      <c r="O856" s="2">
        <f>O855+IF(LEN($Y$856)&gt;0,1,0)</f>
        <v/>
      </c>
      <c r="P856" s="2">
        <f>P855+IF(LEN($Z$856)&gt;0,1,0)</f>
        <v/>
      </c>
      <c r="Q856" s="2">
        <f>Q855+IF(LEN($AA$856)&gt;0,1,0)</f>
        <v/>
      </c>
      <c r="R856" s="2">
        <f>R855+IF(LEN($AB$856)&gt;0,1,0)</f>
        <v/>
      </c>
      <c r="S856" s="2">
        <f>S855+IF(LEN($AC$856)&gt;0,1,0)</f>
        <v/>
      </c>
      <c r="T856" s="2">
        <f>T855+IF(LEN($AD$856)&gt;0,1,0)</f>
        <v/>
      </c>
      <c r="U856" s="2">
        <f>U855+IF(LEN($AE$856)&gt;0,1,0)</f>
        <v/>
      </c>
      <c r="V856" s="2">
        <f>V855+IF(LEN($AF$856)&gt;0,1,0)</f>
        <v/>
      </c>
      <c r="X856" s="2">
        <f>IF(ISERROR($B$856),"",IF(ISBLANK($B$856),"",$B$856))</f>
        <v/>
      </c>
      <c r="Y856" s="2">
        <f>IF(ISERROR($C$856),"",IF(ISBLANK($C$856),"",$C$856))</f>
        <v/>
      </c>
      <c r="Z856" s="2">
        <f>IF(ISERROR($D$856),"",IF(ISBLANK($D$856),"",$D$856))</f>
        <v/>
      </c>
      <c r="AA856" s="2">
        <f>IF(ISERROR($E$856),"",IF(ISBLANK($E$856),"",$E$856))</f>
        <v/>
      </c>
      <c r="AB856" s="2">
        <f>IF(ISERROR($F$856),"",IF(ISBLANK($F$856),"",$F$856))</f>
        <v/>
      </c>
      <c r="AC856" s="2">
        <f>IF(ISERROR($G$856),"",IF(ISBLANK($G$856),"",$G$856))</f>
        <v/>
      </c>
      <c r="AD856" s="2">
        <f>IF(ISERROR($H$856),"",IF(ISBLANK($H$856),"",$H$856))</f>
        <v/>
      </c>
      <c r="AE856" s="2">
        <f>IF(ISERROR($I$856),"",IF(ISBLANK($I$856),"",$I$856))</f>
        <v/>
      </c>
      <c r="AF856" s="2">
        <f>IF(ISERROR($J$856),"",IF(ISBLANK($J$856),"",$J$856))</f>
        <v/>
      </c>
      <c r="AG856" s="2">
        <f>ISERROR($B$856)*1+ISERROR($C$856)*1+ISERROR($D$856)*1+ISERROR($E$856)*1+ISERROR($F$856)*1+ISERROR($G$856)*1+ISERROR($H$856)*1+ISERROR($I$856)*1+ISERROR($J$856)*1</f>
        <v/>
      </c>
    </row>
    <row r="857" ht="26" customHeight="1">
      <c r="B857" s="33" t="n"/>
      <c r="C857" s="4" t="n"/>
      <c r="D857" s="4" t="n"/>
      <c r="E857" s="4" t="n"/>
      <c r="F857" s="4" t="n"/>
      <c r="G857" s="4" t="n"/>
      <c r="H857" s="4" t="n"/>
      <c r="I857" s="4" t="n"/>
      <c r="J857" s="4" t="n"/>
      <c r="K857" s="19">
        <f>IF(AG857&gt;0,"O Google leu como fórmula: digite de novo com ' na frente.","")</f>
        <v/>
      </c>
      <c r="N857" s="2">
        <f>N856+IF(LEN($X$857)&gt;0,1,0)</f>
        <v/>
      </c>
      <c r="O857" s="2">
        <f>O856+IF(LEN($Y$857)&gt;0,1,0)</f>
        <v/>
      </c>
      <c r="P857" s="2">
        <f>P856+IF(LEN($Z$857)&gt;0,1,0)</f>
        <v/>
      </c>
      <c r="Q857" s="2">
        <f>Q856+IF(LEN($AA$857)&gt;0,1,0)</f>
        <v/>
      </c>
      <c r="R857" s="2">
        <f>R856+IF(LEN($AB$857)&gt;0,1,0)</f>
        <v/>
      </c>
      <c r="S857" s="2">
        <f>S856+IF(LEN($AC$857)&gt;0,1,0)</f>
        <v/>
      </c>
      <c r="T857" s="2">
        <f>T856+IF(LEN($AD$857)&gt;0,1,0)</f>
        <v/>
      </c>
      <c r="U857" s="2">
        <f>U856+IF(LEN($AE$857)&gt;0,1,0)</f>
        <v/>
      </c>
      <c r="V857" s="2">
        <f>V856+IF(LEN($AF$857)&gt;0,1,0)</f>
        <v/>
      </c>
      <c r="X857" s="2">
        <f>IF(ISERROR($B$857),"",IF(ISBLANK($B$857),"",$B$857))</f>
        <v/>
      </c>
      <c r="Y857" s="2">
        <f>IF(ISERROR($C$857),"",IF(ISBLANK($C$857),"",$C$857))</f>
        <v/>
      </c>
      <c r="Z857" s="2">
        <f>IF(ISERROR($D$857),"",IF(ISBLANK($D$857),"",$D$857))</f>
        <v/>
      </c>
      <c r="AA857" s="2">
        <f>IF(ISERROR($E$857),"",IF(ISBLANK($E$857),"",$E$857))</f>
        <v/>
      </c>
      <c r="AB857" s="2">
        <f>IF(ISERROR($F$857),"",IF(ISBLANK($F$857),"",$F$857))</f>
        <v/>
      </c>
      <c r="AC857" s="2">
        <f>IF(ISERROR($G$857),"",IF(ISBLANK($G$857),"",$G$857))</f>
        <v/>
      </c>
      <c r="AD857" s="2">
        <f>IF(ISERROR($H$857),"",IF(ISBLANK($H$857),"",$H$857))</f>
        <v/>
      </c>
      <c r="AE857" s="2">
        <f>IF(ISERROR($I$857),"",IF(ISBLANK($I$857),"",$I$857))</f>
        <v/>
      </c>
      <c r="AF857" s="2">
        <f>IF(ISERROR($J$857),"",IF(ISBLANK($J$857),"",$J$857))</f>
        <v/>
      </c>
      <c r="AG857" s="2">
        <f>ISERROR($B$857)*1+ISERROR($C$857)*1+ISERROR($D$857)*1+ISERROR($E$857)*1+ISERROR($F$857)*1+ISERROR($G$857)*1+ISERROR($H$857)*1+ISERROR($I$857)*1+ISERROR($J$857)*1</f>
        <v/>
      </c>
    </row>
    <row r="858" ht="15" customHeight="1">
      <c r="B858" s="8" t="inlineStr">
        <is>
          <t>Nome de lugar (início)</t>
        </is>
      </c>
      <c r="C858" s="8" t="inlineStr">
        <is>
          <t>Nome de lugar (fim)</t>
        </is>
      </c>
      <c r="D858" s="8" t="inlineStr">
        <is>
          <t>Nome de nave (início)</t>
        </is>
      </c>
      <c r="E858" s="8" t="inlineStr">
        <is>
          <t>Nome de nave (fim)</t>
        </is>
      </c>
      <c r="F858" s="8" t="inlineStr">
        <is>
          <t>Nome de facção (início)</t>
        </is>
      </c>
      <c r="G858" s="8" t="inlineStr">
        <is>
          <t>Nome de facção (fim)</t>
        </is>
      </c>
      <c r="H858" s="8" t="inlineStr">
        <is>
          <t>Organização</t>
        </is>
      </c>
      <c r="I858" s="8" t="inlineStr">
        <is>
          <t>Organização: o que oferece</t>
        </is>
      </c>
      <c r="J858" s="8" t="inlineStr">
        <is>
          <t>Organização: o que cobra</t>
        </is>
      </c>
      <c r="N858" s="2">
        <f>N857</f>
        <v/>
      </c>
      <c r="O858" s="2">
        <f>O857</f>
        <v/>
      </c>
      <c r="P858" s="2">
        <f>P857</f>
        <v/>
      </c>
      <c r="Q858" s="2">
        <f>Q857</f>
        <v/>
      </c>
      <c r="R858" s="2">
        <f>R857</f>
        <v/>
      </c>
      <c r="S858" s="2">
        <f>S857</f>
        <v/>
      </c>
      <c r="T858" s="2">
        <f>T857</f>
        <v/>
      </c>
      <c r="U858" s="2">
        <f>U857</f>
        <v/>
      </c>
      <c r="V858" s="2">
        <f>V857</f>
        <v/>
      </c>
      <c r="X858" s="2">
        <f>IF(ISERROR($B$858),"",IF(ISBLANK($B$858),"",$B$858))</f>
        <v/>
      </c>
      <c r="Y858" s="2">
        <f>IF(ISERROR($C$858),"",IF(ISBLANK($C$858),"",$C$858))</f>
        <v/>
      </c>
      <c r="Z858" s="2">
        <f>IF(ISERROR($D$858),"",IF(ISBLANK($D$858),"",$D$858))</f>
        <v/>
      </c>
      <c r="AA858" s="2">
        <f>IF(ISERROR($E$858),"",IF(ISBLANK($E$858),"",$E$858))</f>
        <v/>
      </c>
      <c r="AB858" s="2">
        <f>IF(ISERROR($F$858),"",IF(ISBLANK($F$858),"",$F$858))</f>
        <v/>
      </c>
      <c r="AC858" s="2">
        <f>IF(ISERROR($G$858),"",IF(ISBLANK($G$858),"",$G$858))</f>
        <v/>
      </c>
      <c r="AD858" s="2">
        <f>IF(ISERROR($H$858),"",IF(ISBLANK($H$858),"",$H$858))</f>
        <v/>
      </c>
      <c r="AE858" s="2">
        <f>IF(ISERROR($I$858),"",IF(ISBLANK($I$858),"",$I$858))</f>
        <v/>
      </c>
      <c r="AF858" s="2">
        <f>IF(ISERROR($J$858),"",IF(ISBLANK($J$858),"",$J$858))</f>
        <v/>
      </c>
    </row>
    <row r="859" ht="26" customHeight="1">
      <c r="B859" s="33" t="n"/>
      <c r="C859" s="4" t="n"/>
      <c r="D859" s="4" t="n"/>
      <c r="E859" s="4" t="n"/>
      <c r="F859" s="4" t="n"/>
      <c r="G859" s="4" t="n"/>
      <c r="H859" s="4" t="n"/>
      <c r="I859" s="4" t="n"/>
      <c r="J859" s="4" t="n"/>
      <c r="K859" s="19">
        <f>IF(AG859&gt;0,"O Google leu como fórmula: digite de novo com ' na frente.","")</f>
        <v/>
      </c>
      <c r="N859" s="2">
        <f>N858+IF(LEN($X$859)&gt;0,1,0)</f>
        <v/>
      </c>
      <c r="O859" s="2">
        <f>O858+IF(LEN($Y$859)&gt;0,1,0)</f>
        <v/>
      </c>
      <c r="P859" s="2">
        <f>P858+IF(LEN($Z$859)&gt;0,1,0)</f>
        <v/>
      </c>
      <c r="Q859" s="2">
        <f>Q858+IF(LEN($AA$859)&gt;0,1,0)</f>
        <v/>
      </c>
      <c r="R859" s="2">
        <f>R858+IF(LEN($AB$859)&gt;0,1,0)</f>
        <v/>
      </c>
      <c r="S859" s="2">
        <f>S858+IF(LEN($AC$859)&gt;0,1,0)</f>
        <v/>
      </c>
      <c r="T859" s="2">
        <f>T858+IF(LEN($AD$859)&gt;0,1,0)</f>
        <v/>
      </c>
      <c r="U859" s="2">
        <f>U858+IF(LEN($AE$859)&gt;0,1,0)</f>
        <v/>
      </c>
      <c r="V859" s="2">
        <f>V858+IF(LEN($AF$859)&gt;0,1,0)</f>
        <v/>
      </c>
      <c r="X859" s="2">
        <f>IF(ISERROR($B$859),"",IF(ISBLANK($B$859),"",$B$859))</f>
        <v/>
      </c>
      <c r="Y859" s="2">
        <f>IF(ISERROR($C$859),"",IF(ISBLANK($C$859),"",$C$859))</f>
        <v/>
      </c>
      <c r="Z859" s="2">
        <f>IF(ISERROR($D$859),"",IF(ISBLANK($D$859),"",$D$859))</f>
        <v/>
      </c>
      <c r="AA859" s="2">
        <f>IF(ISERROR($E$859),"",IF(ISBLANK($E$859),"",$E$859))</f>
        <v/>
      </c>
      <c r="AB859" s="2">
        <f>IF(ISERROR($F$859),"",IF(ISBLANK($F$859),"",$F$859))</f>
        <v/>
      </c>
      <c r="AC859" s="2">
        <f>IF(ISERROR($G$859),"",IF(ISBLANK($G$859),"",$G$859))</f>
        <v/>
      </c>
      <c r="AD859" s="2">
        <f>IF(ISERROR($H$859),"",IF(ISBLANK($H$859),"",$H$859))</f>
        <v/>
      </c>
      <c r="AE859" s="2">
        <f>IF(ISERROR($I$859),"",IF(ISBLANK($I$859),"",$I$859))</f>
        <v/>
      </c>
      <c r="AF859" s="2">
        <f>IF(ISERROR($J$859),"",IF(ISBLANK($J$859),"",$J$859))</f>
        <v/>
      </c>
      <c r="AG859" s="2">
        <f>ISERROR($B$859)*1+ISERROR($C$859)*1+ISERROR($D$859)*1+ISERROR($E$859)*1+ISERROR($F$859)*1+ISERROR($G$859)*1+ISERROR($H$859)*1+ISERROR($I$859)*1+ISERROR($J$859)*1</f>
        <v/>
      </c>
    </row>
    <row r="860" ht="26" customHeight="1">
      <c r="B860" s="35" t="n"/>
      <c r="C860" s="29" t="n"/>
      <c r="D860" s="29" t="n"/>
      <c r="E860" s="29" t="n"/>
      <c r="F860" s="29" t="n"/>
      <c r="G860" s="29" t="n"/>
      <c r="H860" s="29" t="n"/>
      <c r="I860" s="29" t="n"/>
      <c r="J860" s="29" t="n"/>
      <c r="K860" s="19">
        <f>IF(AG860&gt;0,"O Google leu como fórmula: digite de novo com ' na frente.","")</f>
        <v/>
      </c>
      <c r="N860" s="2">
        <f>N859+IF(LEN($X$860)&gt;0,1,0)</f>
        <v/>
      </c>
      <c r="O860" s="2">
        <f>O859+IF(LEN($Y$860)&gt;0,1,0)</f>
        <v/>
      </c>
      <c r="P860" s="2">
        <f>P859+IF(LEN($Z$860)&gt;0,1,0)</f>
        <v/>
      </c>
      <c r="Q860" s="2">
        <f>Q859+IF(LEN($AA$860)&gt;0,1,0)</f>
        <v/>
      </c>
      <c r="R860" s="2">
        <f>R859+IF(LEN($AB$860)&gt;0,1,0)</f>
        <v/>
      </c>
      <c r="S860" s="2">
        <f>S859+IF(LEN($AC$860)&gt;0,1,0)</f>
        <v/>
      </c>
      <c r="T860" s="2">
        <f>T859+IF(LEN($AD$860)&gt;0,1,0)</f>
        <v/>
      </c>
      <c r="U860" s="2">
        <f>U859+IF(LEN($AE$860)&gt;0,1,0)</f>
        <v/>
      </c>
      <c r="V860" s="2">
        <f>V859+IF(LEN($AF$860)&gt;0,1,0)</f>
        <v/>
      </c>
      <c r="X860" s="2">
        <f>IF(ISERROR($B$860),"",IF(ISBLANK($B$860),"",$B$860))</f>
        <v/>
      </c>
      <c r="Y860" s="2">
        <f>IF(ISERROR($C$860),"",IF(ISBLANK($C$860),"",$C$860))</f>
        <v/>
      </c>
      <c r="Z860" s="2">
        <f>IF(ISERROR($D$860),"",IF(ISBLANK($D$860),"",$D$860))</f>
        <v/>
      </c>
      <c r="AA860" s="2">
        <f>IF(ISERROR($E$860),"",IF(ISBLANK($E$860),"",$E$860))</f>
        <v/>
      </c>
      <c r="AB860" s="2">
        <f>IF(ISERROR($F$860),"",IF(ISBLANK($F$860),"",$F$860))</f>
        <v/>
      </c>
      <c r="AC860" s="2">
        <f>IF(ISERROR($G$860),"",IF(ISBLANK($G$860),"",$G$860))</f>
        <v/>
      </c>
      <c r="AD860" s="2">
        <f>IF(ISERROR($H$860),"",IF(ISBLANK($H$860),"",$H$860))</f>
        <v/>
      </c>
      <c r="AE860" s="2">
        <f>IF(ISERROR($I$860),"",IF(ISBLANK($I$860),"",$I$860))</f>
        <v/>
      </c>
      <c r="AF860" s="2">
        <f>IF(ISERROR($J$860),"",IF(ISBLANK($J$860),"",$J$860))</f>
        <v/>
      </c>
      <c r="AG860" s="2">
        <f>ISERROR($B$860)*1+ISERROR($C$860)*1+ISERROR($D$860)*1+ISERROR($E$860)*1+ISERROR($F$860)*1+ISERROR($G$860)*1+ISERROR($H$860)*1+ISERROR($I$860)*1+ISERROR($J$860)*1</f>
        <v/>
      </c>
    </row>
    <row r="861" ht="26" customHeight="1">
      <c r="B861" s="33" t="n"/>
      <c r="C861" s="4" t="n"/>
      <c r="D861" s="4" t="n"/>
      <c r="E861" s="4" t="n"/>
      <c r="F861" s="4" t="n"/>
      <c r="G861" s="4" t="n"/>
      <c r="H861" s="4" t="n"/>
      <c r="I861" s="4" t="n"/>
      <c r="J861" s="4" t="n"/>
      <c r="K861" s="19">
        <f>IF(AG861&gt;0,"O Google leu como fórmula: digite de novo com ' na frente.","")</f>
        <v/>
      </c>
      <c r="N861" s="2">
        <f>N860+IF(LEN($X$861)&gt;0,1,0)</f>
        <v/>
      </c>
      <c r="O861" s="2">
        <f>O860+IF(LEN($Y$861)&gt;0,1,0)</f>
        <v/>
      </c>
      <c r="P861" s="2">
        <f>P860+IF(LEN($Z$861)&gt;0,1,0)</f>
        <v/>
      </c>
      <c r="Q861" s="2">
        <f>Q860+IF(LEN($AA$861)&gt;0,1,0)</f>
        <v/>
      </c>
      <c r="R861" s="2">
        <f>R860+IF(LEN($AB$861)&gt;0,1,0)</f>
        <v/>
      </c>
      <c r="S861" s="2">
        <f>S860+IF(LEN($AC$861)&gt;0,1,0)</f>
        <v/>
      </c>
      <c r="T861" s="2">
        <f>T860+IF(LEN($AD$861)&gt;0,1,0)</f>
        <v/>
      </c>
      <c r="U861" s="2">
        <f>U860+IF(LEN($AE$861)&gt;0,1,0)</f>
        <v/>
      </c>
      <c r="V861" s="2">
        <f>V860+IF(LEN($AF$861)&gt;0,1,0)</f>
        <v/>
      </c>
      <c r="X861" s="2">
        <f>IF(ISERROR($B$861),"",IF(ISBLANK($B$861),"",$B$861))</f>
        <v/>
      </c>
      <c r="Y861" s="2">
        <f>IF(ISERROR($C$861),"",IF(ISBLANK($C$861),"",$C$861))</f>
        <v/>
      </c>
      <c r="Z861" s="2">
        <f>IF(ISERROR($D$861),"",IF(ISBLANK($D$861),"",$D$861))</f>
        <v/>
      </c>
      <c r="AA861" s="2">
        <f>IF(ISERROR($E$861),"",IF(ISBLANK($E$861),"",$E$861))</f>
        <v/>
      </c>
      <c r="AB861" s="2">
        <f>IF(ISERROR($F$861),"",IF(ISBLANK($F$861),"",$F$861))</f>
        <v/>
      </c>
      <c r="AC861" s="2">
        <f>IF(ISERROR($G$861),"",IF(ISBLANK($G$861),"",$G$861))</f>
        <v/>
      </c>
      <c r="AD861" s="2">
        <f>IF(ISERROR($H$861),"",IF(ISBLANK($H$861),"",$H$861))</f>
        <v/>
      </c>
      <c r="AE861" s="2">
        <f>IF(ISERROR($I$861),"",IF(ISBLANK($I$861),"",$I$861))</f>
        <v/>
      </c>
      <c r="AF861" s="2">
        <f>IF(ISERROR($J$861),"",IF(ISBLANK($J$861),"",$J$861))</f>
        <v/>
      </c>
      <c r="AG861" s="2">
        <f>ISERROR($B$861)*1+ISERROR($C$861)*1+ISERROR($D$861)*1+ISERROR($E$861)*1+ISERROR($F$861)*1+ISERROR($G$861)*1+ISERROR($H$861)*1+ISERROR($I$861)*1+ISERROR($J$861)*1</f>
        <v/>
      </c>
    </row>
    <row r="862" ht="26" customHeight="1">
      <c r="B862" s="35" t="n"/>
      <c r="C862" s="29" t="n"/>
      <c r="D862" s="29" t="n"/>
      <c r="E862" s="29" t="n"/>
      <c r="F862" s="29" t="n"/>
      <c r="G862" s="29" t="n"/>
      <c r="H862" s="29" t="n"/>
      <c r="I862" s="29" t="n"/>
      <c r="J862" s="29" t="n"/>
      <c r="K862" s="19">
        <f>IF(AG862&gt;0,"O Google leu como fórmula: digite de novo com ' na frente.","")</f>
        <v/>
      </c>
      <c r="N862" s="2">
        <f>N861+IF(LEN($X$862)&gt;0,1,0)</f>
        <v/>
      </c>
      <c r="O862" s="2">
        <f>O861+IF(LEN($Y$862)&gt;0,1,0)</f>
        <v/>
      </c>
      <c r="P862" s="2">
        <f>P861+IF(LEN($Z$862)&gt;0,1,0)</f>
        <v/>
      </c>
      <c r="Q862" s="2">
        <f>Q861+IF(LEN($AA$862)&gt;0,1,0)</f>
        <v/>
      </c>
      <c r="R862" s="2">
        <f>R861+IF(LEN($AB$862)&gt;0,1,0)</f>
        <v/>
      </c>
      <c r="S862" s="2">
        <f>S861+IF(LEN($AC$862)&gt;0,1,0)</f>
        <v/>
      </c>
      <c r="T862" s="2">
        <f>T861+IF(LEN($AD$862)&gt;0,1,0)</f>
        <v/>
      </c>
      <c r="U862" s="2">
        <f>U861+IF(LEN($AE$862)&gt;0,1,0)</f>
        <v/>
      </c>
      <c r="V862" s="2">
        <f>V861+IF(LEN($AF$862)&gt;0,1,0)</f>
        <v/>
      </c>
      <c r="X862" s="2">
        <f>IF(ISERROR($B$862),"",IF(ISBLANK($B$862),"",$B$862))</f>
        <v/>
      </c>
      <c r="Y862" s="2">
        <f>IF(ISERROR($C$862),"",IF(ISBLANK($C$862),"",$C$862))</f>
        <v/>
      </c>
      <c r="Z862" s="2">
        <f>IF(ISERROR($D$862),"",IF(ISBLANK($D$862),"",$D$862))</f>
        <v/>
      </c>
      <c r="AA862" s="2">
        <f>IF(ISERROR($E$862),"",IF(ISBLANK($E$862),"",$E$862))</f>
        <v/>
      </c>
      <c r="AB862" s="2">
        <f>IF(ISERROR($F$862),"",IF(ISBLANK($F$862),"",$F$862))</f>
        <v/>
      </c>
      <c r="AC862" s="2">
        <f>IF(ISERROR($G$862),"",IF(ISBLANK($G$862),"",$G$862))</f>
        <v/>
      </c>
      <c r="AD862" s="2">
        <f>IF(ISERROR($H$862),"",IF(ISBLANK($H$862),"",$H$862))</f>
        <v/>
      </c>
      <c r="AE862" s="2">
        <f>IF(ISERROR($I$862),"",IF(ISBLANK($I$862),"",$I$862))</f>
        <v/>
      </c>
      <c r="AF862" s="2">
        <f>IF(ISERROR($J$862),"",IF(ISBLANK($J$862),"",$J$862))</f>
        <v/>
      </c>
      <c r="AG862" s="2">
        <f>ISERROR($B$862)*1+ISERROR($C$862)*1+ISERROR($D$862)*1+ISERROR($E$862)*1+ISERROR($F$862)*1+ISERROR($G$862)*1+ISERROR($H$862)*1+ISERROR($I$862)*1+ISERROR($J$862)*1</f>
        <v/>
      </c>
    </row>
    <row r="863" ht="26" customHeight="1">
      <c r="B863" s="33" t="n"/>
      <c r="C863" s="4" t="n"/>
      <c r="D863" s="4" t="n"/>
      <c r="E863" s="4" t="n"/>
      <c r="F863" s="4" t="n"/>
      <c r="G863" s="4" t="n"/>
      <c r="H863" s="4" t="n"/>
      <c r="I863" s="4" t="n"/>
      <c r="J863" s="4" t="n"/>
      <c r="K863" s="19">
        <f>IF(AG863&gt;0,"O Google leu como fórmula: digite de novo com ' na frente.","")</f>
        <v/>
      </c>
      <c r="N863" s="2">
        <f>N862+IF(LEN($X$863)&gt;0,1,0)</f>
        <v/>
      </c>
      <c r="O863" s="2">
        <f>O862+IF(LEN($Y$863)&gt;0,1,0)</f>
        <v/>
      </c>
      <c r="P863" s="2">
        <f>P862+IF(LEN($Z$863)&gt;0,1,0)</f>
        <v/>
      </c>
      <c r="Q863" s="2">
        <f>Q862+IF(LEN($AA$863)&gt;0,1,0)</f>
        <v/>
      </c>
      <c r="R863" s="2">
        <f>R862+IF(LEN($AB$863)&gt;0,1,0)</f>
        <v/>
      </c>
      <c r="S863" s="2">
        <f>S862+IF(LEN($AC$863)&gt;0,1,0)</f>
        <v/>
      </c>
      <c r="T863" s="2">
        <f>T862+IF(LEN($AD$863)&gt;0,1,0)</f>
        <v/>
      </c>
      <c r="U863" s="2">
        <f>U862+IF(LEN($AE$863)&gt;0,1,0)</f>
        <v/>
      </c>
      <c r="V863" s="2">
        <f>V862+IF(LEN($AF$863)&gt;0,1,0)</f>
        <v/>
      </c>
      <c r="X863" s="2">
        <f>IF(ISERROR($B$863),"",IF(ISBLANK($B$863),"",$B$863))</f>
        <v/>
      </c>
      <c r="Y863" s="2">
        <f>IF(ISERROR($C$863),"",IF(ISBLANK($C$863),"",$C$863))</f>
        <v/>
      </c>
      <c r="Z863" s="2">
        <f>IF(ISERROR($D$863),"",IF(ISBLANK($D$863),"",$D$863))</f>
        <v/>
      </c>
      <c r="AA863" s="2">
        <f>IF(ISERROR($E$863),"",IF(ISBLANK($E$863),"",$E$863))</f>
        <v/>
      </c>
      <c r="AB863" s="2">
        <f>IF(ISERROR($F$863),"",IF(ISBLANK($F$863),"",$F$863))</f>
        <v/>
      </c>
      <c r="AC863" s="2">
        <f>IF(ISERROR($G$863),"",IF(ISBLANK($G$863),"",$G$863))</f>
        <v/>
      </c>
      <c r="AD863" s="2">
        <f>IF(ISERROR($H$863),"",IF(ISBLANK($H$863),"",$H$863))</f>
        <v/>
      </c>
      <c r="AE863" s="2">
        <f>IF(ISERROR($I$863),"",IF(ISBLANK($I$863),"",$I$863))</f>
        <v/>
      </c>
      <c r="AF863" s="2">
        <f>IF(ISERROR($J$863),"",IF(ISBLANK($J$863),"",$J$863))</f>
        <v/>
      </c>
      <c r="AG863" s="2">
        <f>ISERROR($B$863)*1+ISERROR($C$863)*1+ISERROR($D$863)*1+ISERROR($E$863)*1+ISERROR($F$863)*1+ISERROR($G$863)*1+ISERROR($H$863)*1+ISERROR($I$863)*1+ISERROR($J$863)*1</f>
        <v/>
      </c>
    </row>
    <row r="864" ht="26" customHeight="1">
      <c r="B864" s="35" t="n"/>
      <c r="C864" s="29" t="n"/>
      <c r="D864" s="29" t="n"/>
      <c r="E864" s="29" t="n"/>
      <c r="F864" s="29" t="n"/>
      <c r="G864" s="29" t="n"/>
      <c r="H864" s="29" t="n"/>
      <c r="I864" s="29" t="n"/>
      <c r="J864" s="29" t="n"/>
      <c r="K864" s="19">
        <f>IF(AG864&gt;0,"O Google leu como fórmula: digite de novo com ' na frente.","")</f>
        <v/>
      </c>
      <c r="N864" s="2">
        <f>N863+IF(LEN($X$864)&gt;0,1,0)</f>
        <v/>
      </c>
      <c r="O864" s="2">
        <f>O863+IF(LEN($Y$864)&gt;0,1,0)</f>
        <v/>
      </c>
      <c r="P864" s="2">
        <f>P863+IF(LEN($Z$864)&gt;0,1,0)</f>
        <v/>
      </c>
      <c r="Q864" s="2">
        <f>Q863+IF(LEN($AA$864)&gt;0,1,0)</f>
        <v/>
      </c>
      <c r="R864" s="2">
        <f>R863+IF(LEN($AB$864)&gt;0,1,0)</f>
        <v/>
      </c>
      <c r="S864" s="2">
        <f>S863+IF(LEN($AC$864)&gt;0,1,0)</f>
        <v/>
      </c>
      <c r="T864" s="2">
        <f>T863+IF(LEN($AD$864)&gt;0,1,0)</f>
        <v/>
      </c>
      <c r="U864" s="2">
        <f>U863+IF(LEN($AE$864)&gt;0,1,0)</f>
        <v/>
      </c>
      <c r="V864" s="2">
        <f>V863+IF(LEN($AF$864)&gt;0,1,0)</f>
        <v/>
      </c>
      <c r="X864" s="2">
        <f>IF(ISERROR($B$864),"",IF(ISBLANK($B$864),"",$B$864))</f>
        <v/>
      </c>
      <c r="Y864" s="2">
        <f>IF(ISERROR($C$864),"",IF(ISBLANK($C$864),"",$C$864))</f>
        <v/>
      </c>
      <c r="Z864" s="2">
        <f>IF(ISERROR($D$864),"",IF(ISBLANK($D$864),"",$D$864))</f>
        <v/>
      </c>
      <c r="AA864" s="2">
        <f>IF(ISERROR($E$864),"",IF(ISBLANK($E$864),"",$E$864))</f>
        <v/>
      </c>
      <c r="AB864" s="2">
        <f>IF(ISERROR($F$864),"",IF(ISBLANK($F$864),"",$F$864))</f>
        <v/>
      </c>
      <c r="AC864" s="2">
        <f>IF(ISERROR($G$864),"",IF(ISBLANK($G$864),"",$G$864))</f>
        <v/>
      </c>
      <c r="AD864" s="2">
        <f>IF(ISERROR($H$864),"",IF(ISBLANK($H$864),"",$H$864))</f>
        <v/>
      </c>
      <c r="AE864" s="2">
        <f>IF(ISERROR($I$864),"",IF(ISBLANK($I$864),"",$I$864))</f>
        <v/>
      </c>
      <c r="AF864" s="2">
        <f>IF(ISERROR($J$864),"",IF(ISBLANK($J$864),"",$J$864))</f>
        <v/>
      </c>
      <c r="AG864" s="2">
        <f>ISERROR($B$864)*1+ISERROR($C$864)*1+ISERROR($D$864)*1+ISERROR($E$864)*1+ISERROR($F$864)*1+ISERROR($G$864)*1+ISERROR($H$864)*1+ISERROR($I$864)*1+ISERROR($J$864)*1</f>
        <v/>
      </c>
    </row>
    <row r="865" ht="26" customHeight="1">
      <c r="B865" s="33" t="n"/>
      <c r="C865" s="4" t="n"/>
      <c r="D865" s="4" t="n"/>
      <c r="E865" s="4" t="n"/>
      <c r="F865" s="4" t="n"/>
      <c r="G865" s="4" t="n"/>
      <c r="H865" s="4" t="n"/>
      <c r="I865" s="4" t="n"/>
      <c r="J865" s="4" t="n"/>
      <c r="K865" s="19">
        <f>IF(AG865&gt;0,"O Google leu como fórmula: digite de novo com ' na frente.","")</f>
        <v/>
      </c>
      <c r="N865" s="2">
        <f>N864+IF(LEN($X$865)&gt;0,1,0)</f>
        <v/>
      </c>
      <c r="O865" s="2">
        <f>O864+IF(LEN($Y$865)&gt;0,1,0)</f>
        <v/>
      </c>
      <c r="P865" s="2">
        <f>P864+IF(LEN($Z$865)&gt;0,1,0)</f>
        <v/>
      </c>
      <c r="Q865" s="2">
        <f>Q864+IF(LEN($AA$865)&gt;0,1,0)</f>
        <v/>
      </c>
      <c r="R865" s="2">
        <f>R864+IF(LEN($AB$865)&gt;0,1,0)</f>
        <v/>
      </c>
      <c r="S865" s="2">
        <f>S864+IF(LEN($AC$865)&gt;0,1,0)</f>
        <v/>
      </c>
      <c r="T865" s="2">
        <f>T864+IF(LEN($AD$865)&gt;0,1,0)</f>
        <v/>
      </c>
      <c r="U865" s="2">
        <f>U864+IF(LEN($AE$865)&gt;0,1,0)</f>
        <v/>
      </c>
      <c r="V865" s="2">
        <f>V864+IF(LEN($AF$865)&gt;0,1,0)</f>
        <v/>
      </c>
      <c r="X865" s="2">
        <f>IF(ISERROR($B$865),"",IF(ISBLANK($B$865),"",$B$865))</f>
        <v/>
      </c>
      <c r="Y865" s="2">
        <f>IF(ISERROR($C$865),"",IF(ISBLANK($C$865),"",$C$865))</f>
        <v/>
      </c>
      <c r="Z865" s="2">
        <f>IF(ISERROR($D$865),"",IF(ISBLANK($D$865),"",$D$865))</f>
        <v/>
      </c>
      <c r="AA865" s="2">
        <f>IF(ISERROR($E$865),"",IF(ISBLANK($E$865),"",$E$865))</f>
        <v/>
      </c>
      <c r="AB865" s="2">
        <f>IF(ISERROR($F$865),"",IF(ISBLANK($F$865),"",$F$865))</f>
        <v/>
      </c>
      <c r="AC865" s="2">
        <f>IF(ISERROR($G$865),"",IF(ISBLANK($G$865),"",$G$865))</f>
        <v/>
      </c>
      <c r="AD865" s="2">
        <f>IF(ISERROR($H$865),"",IF(ISBLANK($H$865),"",$H$865))</f>
        <v/>
      </c>
      <c r="AE865" s="2">
        <f>IF(ISERROR($I$865),"",IF(ISBLANK($I$865),"",$I$865))</f>
        <v/>
      </c>
      <c r="AF865" s="2">
        <f>IF(ISERROR($J$865),"",IF(ISBLANK($J$865),"",$J$865))</f>
        <v/>
      </c>
      <c r="AG865" s="2">
        <f>ISERROR($B$865)*1+ISERROR($C$865)*1+ISERROR($D$865)*1+ISERROR($E$865)*1+ISERROR($F$865)*1+ISERROR($G$865)*1+ISERROR($H$865)*1+ISERROR($I$865)*1+ISERROR($J$865)*1</f>
        <v/>
      </c>
    </row>
    <row r="866" ht="26" customHeight="1">
      <c r="B866" s="35" t="n"/>
      <c r="C866" s="29" t="n"/>
      <c r="D866" s="29" t="n"/>
      <c r="E866" s="29" t="n"/>
      <c r="F866" s="29" t="n"/>
      <c r="G866" s="29" t="n"/>
      <c r="H866" s="29" t="n"/>
      <c r="I866" s="29" t="n"/>
      <c r="J866" s="29" t="n"/>
      <c r="K866" s="19">
        <f>IF(AG866&gt;0,"O Google leu como fórmula: digite de novo com ' na frente.","")</f>
        <v/>
      </c>
      <c r="N866" s="2">
        <f>N865+IF(LEN($X$866)&gt;0,1,0)</f>
        <v/>
      </c>
      <c r="O866" s="2">
        <f>O865+IF(LEN($Y$866)&gt;0,1,0)</f>
        <v/>
      </c>
      <c r="P866" s="2">
        <f>P865+IF(LEN($Z$866)&gt;0,1,0)</f>
        <v/>
      </c>
      <c r="Q866" s="2">
        <f>Q865+IF(LEN($AA$866)&gt;0,1,0)</f>
        <v/>
      </c>
      <c r="R866" s="2">
        <f>R865+IF(LEN($AB$866)&gt;0,1,0)</f>
        <v/>
      </c>
      <c r="S866" s="2">
        <f>S865+IF(LEN($AC$866)&gt;0,1,0)</f>
        <v/>
      </c>
      <c r="T866" s="2">
        <f>T865+IF(LEN($AD$866)&gt;0,1,0)</f>
        <v/>
      </c>
      <c r="U866" s="2">
        <f>U865+IF(LEN($AE$866)&gt;0,1,0)</f>
        <v/>
      </c>
      <c r="V866" s="2">
        <f>V865+IF(LEN($AF$866)&gt;0,1,0)</f>
        <v/>
      </c>
      <c r="X866" s="2">
        <f>IF(ISERROR($B$866),"",IF(ISBLANK($B$866),"",$B$866))</f>
        <v/>
      </c>
      <c r="Y866" s="2">
        <f>IF(ISERROR($C$866),"",IF(ISBLANK($C$866),"",$C$866))</f>
        <v/>
      </c>
      <c r="Z866" s="2">
        <f>IF(ISERROR($D$866),"",IF(ISBLANK($D$866),"",$D$866))</f>
        <v/>
      </c>
      <c r="AA866" s="2">
        <f>IF(ISERROR($E$866),"",IF(ISBLANK($E$866),"",$E$866))</f>
        <v/>
      </c>
      <c r="AB866" s="2">
        <f>IF(ISERROR($F$866),"",IF(ISBLANK($F$866),"",$F$866))</f>
        <v/>
      </c>
      <c r="AC866" s="2">
        <f>IF(ISERROR($G$866),"",IF(ISBLANK($G$866),"",$G$866))</f>
        <v/>
      </c>
      <c r="AD866" s="2">
        <f>IF(ISERROR($H$866),"",IF(ISBLANK($H$866),"",$H$866))</f>
        <v/>
      </c>
      <c r="AE866" s="2">
        <f>IF(ISERROR($I$866),"",IF(ISBLANK($I$866),"",$I$866))</f>
        <v/>
      </c>
      <c r="AF866" s="2">
        <f>IF(ISERROR($J$866),"",IF(ISBLANK($J$866),"",$J$866))</f>
        <v/>
      </c>
      <c r="AG866" s="2">
        <f>ISERROR($B$866)*1+ISERROR($C$866)*1+ISERROR($D$866)*1+ISERROR($E$866)*1+ISERROR($F$866)*1+ISERROR($G$866)*1+ISERROR($H$866)*1+ISERROR($I$866)*1+ISERROR($J$866)*1</f>
        <v/>
      </c>
    </row>
    <row r="867" ht="26" customHeight="1">
      <c r="B867" s="33" t="n"/>
      <c r="C867" s="4" t="n"/>
      <c r="D867" s="4" t="n"/>
      <c r="E867" s="4" t="n"/>
      <c r="F867" s="4" t="n"/>
      <c r="G867" s="4" t="n"/>
      <c r="H867" s="4" t="n"/>
      <c r="I867" s="4" t="n"/>
      <c r="J867" s="4" t="n"/>
      <c r="K867" s="19">
        <f>IF(AG867&gt;0,"O Google leu como fórmula: digite de novo com ' na frente.","")</f>
        <v/>
      </c>
      <c r="N867" s="2">
        <f>N866+IF(LEN($X$867)&gt;0,1,0)</f>
        <v/>
      </c>
      <c r="O867" s="2">
        <f>O866+IF(LEN($Y$867)&gt;0,1,0)</f>
        <v/>
      </c>
      <c r="P867" s="2">
        <f>P866+IF(LEN($Z$867)&gt;0,1,0)</f>
        <v/>
      </c>
      <c r="Q867" s="2">
        <f>Q866+IF(LEN($AA$867)&gt;0,1,0)</f>
        <v/>
      </c>
      <c r="R867" s="2">
        <f>R866+IF(LEN($AB$867)&gt;0,1,0)</f>
        <v/>
      </c>
      <c r="S867" s="2">
        <f>S866+IF(LEN($AC$867)&gt;0,1,0)</f>
        <v/>
      </c>
      <c r="T867" s="2">
        <f>T866+IF(LEN($AD$867)&gt;0,1,0)</f>
        <v/>
      </c>
      <c r="U867" s="2">
        <f>U866+IF(LEN($AE$867)&gt;0,1,0)</f>
        <v/>
      </c>
      <c r="V867" s="2">
        <f>V866+IF(LEN($AF$867)&gt;0,1,0)</f>
        <v/>
      </c>
      <c r="X867" s="2">
        <f>IF(ISERROR($B$867),"",IF(ISBLANK($B$867),"",$B$867))</f>
        <v/>
      </c>
      <c r="Y867" s="2">
        <f>IF(ISERROR($C$867),"",IF(ISBLANK($C$867),"",$C$867))</f>
        <v/>
      </c>
      <c r="Z867" s="2">
        <f>IF(ISERROR($D$867),"",IF(ISBLANK($D$867),"",$D$867))</f>
        <v/>
      </c>
      <c r="AA867" s="2">
        <f>IF(ISERROR($E$867),"",IF(ISBLANK($E$867),"",$E$867))</f>
        <v/>
      </c>
      <c r="AB867" s="2">
        <f>IF(ISERROR($F$867),"",IF(ISBLANK($F$867),"",$F$867))</f>
        <v/>
      </c>
      <c r="AC867" s="2">
        <f>IF(ISERROR($G$867),"",IF(ISBLANK($G$867),"",$G$867))</f>
        <v/>
      </c>
      <c r="AD867" s="2">
        <f>IF(ISERROR($H$867),"",IF(ISBLANK($H$867),"",$H$867))</f>
        <v/>
      </c>
      <c r="AE867" s="2">
        <f>IF(ISERROR($I$867),"",IF(ISBLANK($I$867),"",$I$867))</f>
        <v/>
      </c>
      <c r="AF867" s="2">
        <f>IF(ISERROR($J$867),"",IF(ISBLANK($J$867),"",$J$867))</f>
        <v/>
      </c>
      <c r="AG867" s="2">
        <f>ISERROR($B$867)*1+ISERROR($C$867)*1+ISERROR($D$867)*1+ISERROR($E$867)*1+ISERROR($F$867)*1+ISERROR($G$867)*1+ISERROR($H$867)*1+ISERROR($I$867)*1+ISERROR($J$867)*1</f>
        <v/>
      </c>
    </row>
    <row r="868" ht="26" customHeight="1">
      <c r="B868" s="35" t="n"/>
      <c r="C868" s="29" t="n"/>
      <c r="D868" s="29" t="n"/>
      <c r="E868" s="29" t="n"/>
      <c r="F868" s="29" t="n"/>
      <c r="G868" s="29" t="n"/>
      <c r="H868" s="29" t="n"/>
      <c r="I868" s="29" t="n"/>
      <c r="J868" s="29" t="n"/>
      <c r="K868" s="19">
        <f>IF(AG868&gt;0,"O Google leu como fórmula: digite de novo com ' na frente.","")</f>
        <v/>
      </c>
      <c r="N868" s="2">
        <f>N867+IF(LEN($X$868)&gt;0,1,0)</f>
        <v/>
      </c>
      <c r="O868" s="2">
        <f>O867+IF(LEN($Y$868)&gt;0,1,0)</f>
        <v/>
      </c>
      <c r="P868" s="2">
        <f>P867+IF(LEN($Z$868)&gt;0,1,0)</f>
        <v/>
      </c>
      <c r="Q868" s="2">
        <f>Q867+IF(LEN($AA$868)&gt;0,1,0)</f>
        <v/>
      </c>
      <c r="R868" s="2">
        <f>R867+IF(LEN($AB$868)&gt;0,1,0)</f>
        <v/>
      </c>
      <c r="S868" s="2">
        <f>S867+IF(LEN($AC$868)&gt;0,1,0)</f>
        <v/>
      </c>
      <c r="T868" s="2">
        <f>T867+IF(LEN($AD$868)&gt;0,1,0)</f>
        <v/>
      </c>
      <c r="U868" s="2">
        <f>U867+IF(LEN($AE$868)&gt;0,1,0)</f>
        <v/>
      </c>
      <c r="V868" s="2">
        <f>V867+IF(LEN($AF$868)&gt;0,1,0)</f>
        <v/>
      </c>
      <c r="X868" s="2">
        <f>IF(ISERROR($B$868),"",IF(ISBLANK($B$868),"",$B$868))</f>
        <v/>
      </c>
      <c r="Y868" s="2">
        <f>IF(ISERROR($C$868),"",IF(ISBLANK($C$868),"",$C$868))</f>
        <v/>
      </c>
      <c r="Z868" s="2">
        <f>IF(ISERROR($D$868),"",IF(ISBLANK($D$868),"",$D$868))</f>
        <v/>
      </c>
      <c r="AA868" s="2">
        <f>IF(ISERROR($E$868),"",IF(ISBLANK($E$868),"",$E$868))</f>
        <v/>
      </c>
      <c r="AB868" s="2">
        <f>IF(ISERROR($F$868),"",IF(ISBLANK($F$868),"",$F$868))</f>
        <v/>
      </c>
      <c r="AC868" s="2">
        <f>IF(ISERROR($G$868),"",IF(ISBLANK($G$868),"",$G$868))</f>
        <v/>
      </c>
      <c r="AD868" s="2">
        <f>IF(ISERROR($H$868),"",IF(ISBLANK($H$868),"",$H$868))</f>
        <v/>
      </c>
      <c r="AE868" s="2">
        <f>IF(ISERROR($I$868),"",IF(ISBLANK($I$868),"",$I$868))</f>
        <v/>
      </c>
      <c r="AF868" s="2">
        <f>IF(ISERROR($J$868),"",IF(ISBLANK($J$868),"",$J$868))</f>
        <v/>
      </c>
      <c r="AG868" s="2">
        <f>ISERROR($B$868)*1+ISERROR($C$868)*1+ISERROR($D$868)*1+ISERROR($E$868)*1+ISERROR($F$868)*1+ISERROR($G$868)*1+ISERROR($H$868)*1+ISERROR($I$868)*1+ISERROR($J$868)*1</f>
        <v/>
      </c>
    </row>
    <row r="869" ht="26" customHeight="1">
      <c r="B869" s="33" t="n"/>
      <c r="C869" s="4" t="n"/>
      <c r="D869" s="4" t="n"/>
      <c r="E869" s="4" t="n"/>
      <c r="F869" s="4" t="n"/>
      <c r="G869" s="4" t="n"/>
      <c r="H869" s="4" t="n"/>
      <c r="I869" s="4" t="n"/>
      <c r="J869" s="4" t="n"/>
      <c r="K869" s="19">
        <f>IF(AG869&gt;0,"O Google leu como fórmula: digite de novo com ' na frente.","")</f>
        <v/>
      </c>
      <c r="N869" s="2">
        <f>N868+IF(LEN($X$869)&gt;0,1,0)</f>
        <v/>
      </c>
      <c r="O869" s="2">
        <f>O868+IF(LEN($Y$869)&gt;0,1,0)</f>
        <v/>
      </c>
      <c r="P869" s="2">
        <f>P868+IF(LEN($Z$869)&gt;0,1,0)</f>
        <v/>
      </c>
      <c r="Q869" s="2">
        <f>Q868+IF(LEN($AA$869)&gt;0,1,0)</f>
        <v/>
      </c>
      <c r="R869" s="2">
        <f>R868+IF(LEN($AB$869)&gt;0,1,0)</f>
        <v/>
      </c>
      <c r="S869" s="2">
        <f>S868+IF(LEN($AC$869)&gt;0,1,0)</f>
        <v/>
      </c>
      <c r="T869" s="2">
        <f>T868+IF(LEN($AD$869)&gt;0,1,0)</f>
        <v/>
      </c>
      <c r="U869" s="2">
        <f>U868+IF(LEN($AE$869)&gt;0,1,0)</f>
        <v/>
      </c>
      <c r="V869" s="2">
        <f>V868+IF(LEN($AF$869)&gt;0,1,0)</f>
        <v/>
      </c>
      <c r="X869" s="2">
        <f>IF(ISERROR($B$869),"",IF(ISBLANK($B$869),"",$B$869))</f>
        <v/>
      </c>
      <c r="Y869" s="2">
        <f>IF(ISERROR($C$869),"",IF(ISBLANK($C$869),"",$C$869))</f>
        <v/>
      </c>
      <c r="Z869" s="2">
        <f>IF(ISERROR($D$869),"",IF(ISBLANK($D$869),"",$D$869))</f>
        <v/>
      </c>
      <c r="AA869" s="2">
        <f>IF(ISERROR($E$869),"",IF(ISBLANK($E$869),"",$E$869))</f>
        <v/>
      </c>
      <c r="AB869" s="2">
        <f>IF(ISERROR($F$869),"",IF(ISBLANK($F$869),"",$F$869))</f>
        <v/>
      </c>
      <c r="AC869" s="2">
        <f>IF(ISERROR($G$869),"",IF(ISBLANK($G$869),"",$G$869))</f>
        <v/>
      </c>
      <c r="AD869" s="2">
        <f>IF(ISERROR($H$869),"",IF(ISBLANK($H$869),"",$H$869))</f>
        <v/>
      </c>
      <c r="AE869" s="2">
        <f>IF(ISERROR($I$869),"",IF(ISBLANK($I$869),"",$I$869))</f>
        <v/>
      </c>
      <c r="AF869" s="2">
        <f>IF(ISERROR($J$869),"",IF(ISBLANK($J$869),"",$J$869))</f>
        <v/>
      </c>
      <c r="AG869" s="2">
        <f>ISERROR($B$869)*1+ISERROR($C$869)*1+ISERROR($D$869)*1+ISERROR($E$869)*1+ISERROR($F$869)*1+ISERROR($G$869)*1+ISERROR($H$869)*1+ISERROR($I$869)*1+ISERROR($J$869)*1</f>
        <v/>
      </c>
    </row>
    <row r="870" ht="26" customHeight="1">
      <c r="B870" s="35" t="n"/>
      <c r="C870" s="29" t="n"/>
      <c r="D870" s="29" t="n"/>
      <c r="E870" s="29" t="n"/>
      <c r="F870" s="29" t="n"/>
      <c r="G870" s="29" t="n"/>
      <c r="H870" s="29" t="n"/>
      <c r="I870" s="29" t="n"/>
      <c r="J870" s="29" t="n"/>
      <c r="K870" s="19">
        <f>IF(AG870&gt;0,"O Google leu como fórmula: digite de novo com ' na frente.","")</f>
        <v/>
      </c>
      <c r="N870" s="2">
        <f>N869+IF(LEN($X$870)&gt;0,1,0)</f>
        <v/>
      </c>
      <c r="O870" s="2">
        <f>O869+IF(LEN($Y$870)&gt;0,1,0)</f>
        <v/>
      </c>
      <c r="P870" s="2">
        <f>P869+IF(LEN($Z$870)&gt;0,1,0)</f>
        <v/>
      </c>
      <c r="Q870" s="2">
        <f>Q869+IF(LEN($AA$870)&gt;0,1,0)</f>
        <v/>
      </c>
      <c r="R870" s="2">
        <f>R869+IF(LEN($AB$870)&gt;0,1,0)</f>
        <v/>
      </c>
      <c r="S870" s="2">
        <f>S869+IF(LEN($AC$870)&gt;0,1,0)</f>
        <v/>
      </c>
      <c r="T870" s="2">
        <f>T869+IF(LEN($AD$870)&gt;0,1,0)</f>
        <v/>
      </c>
      <c r="U870" s="2">
        <f>U869+IF(LEN($AE$870)&gt;0,1,0)</f>
        <v/>
      </c>
      <c r="V870" s="2">
        <f>V869+IF(LEN($AF$870)&gt;0,1,0)</f>
        <v/>
      </c>
      <c r="X870" s="2">
        <f>IF(ISERROR($B$870),"",IF(ISBLANK($B$870),"",$B$870))</f>
        <v/>
      </c>
      <c r="Y870" s="2">
        <f>IF(ISERROR($C$870),"",IF(ISBLANK($C$870),"",$C$870))</f>
        <v/>
      </c>
      <c r="Z870" s="2">
        <f>IF(ISERROR($D$870),"",IF(ISBLANK($D$870),"",$D$870))</f>
        <v/>
      </c>
      <c r="AA870" s="2">
        <f>IF(ISERROR($E$870),"",IF(ISBLANK($E$870),"",$E$870))</f>
        <v/>
      </c>
      <c r="AB870" s="2">
        <f>IF(ISERROR($F$870),"",IF(ISBLANK($F$870),"",$F$870))</f>
        <v/>
      </c>
      <c r="AC870" s="2">
        <f>IF(ISERROR($G$870),"",IF(ISBLANK($G$870),"",$G$870))</f>
        <v/>
      </c>
      <c r="AD870" s="2">
        <f>IF(ISERROR($H$870),"",IF(ISBLANK($H$870),"",$H$870))</f>
        <v/>
      </c>
      <c r="AE870" s="2">
        <f>IF(ISERROR($I$870),"",IF(ISBLANK($I$870),"",$I$870))</f>
        <v/>
      </c>
      <c r="AF870" s="2">
        <f>IF(ISERROR($J$870),"",IF(ISBLANK($J$870),"",$J$870))</f>
        <v/>
      </c>
      <c r="AG870" s="2">
        <f>ISERROR($B$870)*1+ISERROR($C$870)*1+ISERROR($D$870)*1+ISERROR($E$870)*1+ISERROR($F$870)*1+ISERROR($G$870)*1+ISERROR($H$870)*1+ISERROR($I$870)*1+ISERROR($J$870)*1</f>
        <v/>
      </c>
    </row>
    <row r="871" ht="26" customHeight="1">
      <c r="B871" s="33" t="n"/>
      <c r="C871" s="4" t="n"/>
      <c r="D871" s="4" t="n"/>
      <c r="E871" s="4" t="n"/>
      <c r="F871" s="4" t="n"/>
      <c r="G871" s="4" t="n"/>
      <c r="H871" s="4" t="n"/>
      <c r="I871" s="4" t="n"/>
      <c r="J871" s="4" t="n"/>
      <c r="K871" s="19">
        <f>IF(AG871&gt;0,"O Google leu como fórmula: digite de novo com ' na frente.","")</f>
        <v/>
      </c>
      <c r="N871" s="2">
        <f>N870+IF(LEN($X$871)&gt;0,1,0)</f>
        <v/>
      </c>
      <c r="O871" s="2">
        <f>O870+IF(LEN($Y$871)&gt;0,1,0)</f>
        <v/>
      </c>
      <c r="P871" s="2">
        <f>P870+IF(LEN($Z$871)&gt;0,1,0)</f>
        <v/>
      </c>
      <c r="Q871" s="2">
        <f>Q870+IF(LEN($AA$871)&gt;0,1,0)</f>
        <v/>
      </c>
      <c r="R871" s="2">
        <f>R870+IF(LEN($AB$871)&gt;0,1,0)</f>
        <v/>
      </c>
      <c r="S871" s="2">
        <f>S870+IF(LEN($AC$871)&gt;0,1,0)</f>
        <v/>
      </c>
      <c r="T871" s="2">
        <f>T870+IF(LEN($AD$871)&gt;0,1,0)</f>
        <v/>
      </c>
      <c r="U871" s="2">
        <f>U870+IF(LEN($AE$871)&gt;0,1,0)</f>
        <v/>
      </c>
      <c r="V871" s="2">
        <f>V870+IF(LEN($AF$871)&gt;0,1,0)</f>
        <v/>
      </c>
      <c r="X871" s="2">
        <f>IF(ISERROR($B$871),"",IF(ISBLANK($B$871),"",$B$871))</f>
        <v/>
      </c>
      <c r="Y871" s="2">
        <f>IF(ISERROR($C$871),"",IF(ISBLANK($C$871),"",$C$871))</f>
        <v/>
      </c>
      <c r="Z871" s="2">
        <f>IF(ISERROR($D$871),"",IF(ISBLANK($D$871),"",$D$871))</f>
        <v/>
      </c>
      <c r="AA871" s="2">
        <f>IF(ISERROR($E$871),"",IF(ISBLANK($E$871),"",$E$871))</f>
        <v/>
      </c>
      <c r="AB871" s="2">
        <f>IF(ISERROR($F$871),"",IF(ISBLANK($F$871),"",$F$871))</f>
        <v/>
      </c>
      <c r="AC871" s="2">
        <f>IF(ISERROR($G$871),"",IF(ISBLANK($G$871),"",$G$871))</f>
        <v/>
      </c>
      <c r="AD871" s="2">
        <f>IF(ISERROR($H$871),"",IF(ISBLANK($H$871),"",$H$871))</f>
        <v/>
      </c>
      <c r="AE871" s="2">
        <f>IF(ISERROR($I$871),"",IF(ISBLANK($I$871),"",$I$871))</f>
        <v/>
      </c>
      <c r="AF871" s="2">
        <f>IF(ISERROR($J$871),"",IF(ISBLANK($J$871),"",$J$871))</f>
        <v/>
      </c>
      <c r="AG871" s="2">
        <f>ISERROR($B$871)*1+ISERROR($C$871)*1+ISERROR($D$871)*1+ISERROR($E$871)*1+ISERROR($F$871)*1+ISERROR($G$871)*1+ISERROR($H$871)*1+ISERROR($I$871)*1+ISERROR($J$871)*1</f>
        <v/>
      </c>
    </row>
    <row r="872" ht="15" customHeight="1">
      <c r="B872" s="8" t="inlineStr">
        <is>
          <t>Nome de lugar (início)</t>
        </is>
      </c>
      <c r="C872" s="8" t="inlineStr">
        <is>
          <t>Nome de lugar (fim)</t>
        </is>
      </c>
      <c r="D872" s="8" t="inlineStr">
        <is>
          <t>Nome de nave (início)</t>
        </is>
      </c>
      <c r="E872" s="8" t="inlineStr">
        <is>
          <t>Nome de nave (fim)</t>
        </is>
      </c>
      <c r="F872" s="8" t="inlineStr">
        <is>
          <t>Nome de facção (início)</t>
        </is>
      </c>
      <c r="G872" s="8" t="inlineStr">
        <is>
          <t>Nome de facção (fim)</t>
        </is>
      </c>
      <c r="H872" s="8" t="inlineStr">
        <is>
          <t>Organização</t>
        </is>
      </c>
      <c r="I872" s="8" t="inlineStr">
        <is>
          <t>Organização: o que oferece</t>
        </is>
      </c>
      <c r="J872" s="8" t="inlineStr">
        <is>
          <t>Organização: o que cobra</t>
        </is>
      </c>
      <c r="N872" s="2">
        <f>N871</f>
        <v/>
      </c>
      <c r="O872" s="2">
        <f>O871</f>
        <v/>
      </c>
      <c r="P872" s="2">
        <f>P871</f>
        <v/>
      </c>
      <c r="Q872" s="2">
        <f>Q871</f>
        <v/>
      </c>
      <c r="R872" s="2">
        <f>R871</f>
        <v/>
      </c>
      <c r="S872" s="2">
        <f>S871</f>
        <v/>
      </c>
      <c r="T872" s="2">
        <f>T871</f>
        <v/>
      </c>
      <c r="U872" s="2">
        <f>U871</f>
        <v/>
      </c>
      <c r="V872" s="2">
        <f>V871</f>
        <v/>
      </c>
      <c r="X872" s="2">
        <f>IF(ISERROR($B$872),"",IF(ISBLANK($B$872),"",$B$872))</f>
        <v/>
      </c>
      <c r="Y872" s="2">
        <f>IF(ISERROR($C$872),"",IF(ISBLANK($C$872),"",$C$872))</f>
        <v/>
      </c>
      <c r="Z872" s="2">
        <f>IF(ISERROR($D$872),"",IF(ISBLANK($D$872),"",$D$872))</f>
        <v/>
      </c>
      <c r="AA872" s="2">
        <f>IF(ISERROR($E$872),"",IF(ISBLANK($E$872),"",$E$872))</f>
        <v/>
      </c>
      <c r="AB872" s="2">
        <f>IF(ISERROR($F$872),"",IF(ISBLANK($F$872),"",$F$872))</f>
        <v/>
      </c>
      <c r="AC872" s="2">
        <f>IF(ISERROR($G$872),"",IF(ISBLANK($G$872),"",$G$872))</f>
        <v/>
      </c>
      <c r="AD872" s="2">
        <f>IF(ISERROR($H$872),"",IF(ISBLANK($H$872),"",$H$872))</f>
        <v/>
      </c>
      <c r="AE872" s="2">
        <f>IF(ISERROR($I$872),"",IF(ISBLANK($I$872),"",$I$872))</f>
        <v/>
      </c>
      <c r="AF872" s="2">
        <f>IF(ISERROR($J$872),"",IF(ISBLANK($J$872),"",$J$872))</f>
        <v/>
      </c>
    </row>
    <row r="873" ht="26" customHeight="1">
      <c r="B873" s="33" t="n"/>
      <c r="C873" s="4" t="n"/>
      <c r="D873" s="4" t="n"/>
      <c r="E873" s="4" t="n"/>
      <c r="F873" s="4" t="n"/>
      <c r="G873" s="4" t="n"/>
      <c r="H873" s="4" t="n"/>
      <c r="I873" s="4" t="n"/>
      <c r="J873" s="4" t="n"/>
      <c r="K873" s="19">
        <f>IF(AG873&gt;0,"O Google leu como fórmula: digite de novo com ' na frente.","")</f>
        <v/>
      </c>
      <c r="N873" s="2">
        <f>N872+IF(LEN($X$873)&gt;0,1,0)</f>
        <v/>
      </c>
      <c r="O873" s="2">
        <f>O872+IF(LEN($Y$873)&gt;0,1,0)</f>
        <v/>
      </c>
      <c r="P873" s="2">
        <f>P872+IF(LEN($Z$873)&gt;0,1,0)</f>
        <v/>
      </c>
      <c r="Q873" s="2">
        <f>Q872+IF(LEN($AA$873)&gt;0,1,0)</f>
        <v/>
      </c>
      <c r="R873" s="2">
        <f>R872+IF(LEN($AB$873)&gt;0,1,0)</f>
        <v/>
      </c>
      <c r="S873" s="2">
        <f>S872+IF(LEN($AC$873)&gt;0,1,0)</f>
        <v/>
      </c>
      <c r="T873" s="2">
        <f>T872+IF(LEN($AD$873)&gt;0,1,0)</f>
        <v/>
      </c>
      <c r="U873" s="2">
        <f>U872+IF(LEN($AE$873)&gt;0,1,0)</f>
        <v/>
      </c>
      <c r="V873" s="2">
        <f>V872+IF(LEN($AF$873)&gt;0,1,0)</f>
        <v/>
      </c>
      <c r="X873" s="2">
        <f>IF(ISERROR($B$873),"",IF(ISBLANK($B$873),"",$B$873))</f>
        <v/>
      </c>
      <c r="Y873" s="2">
        <f>IF(ISERROR($C$873),"",IF(ISBLANK($C$873),"",$C$873))</f>
        <v/>
      </c>
      <c r="Z873" s="2">
        <f>IF(ISERROR($D$873),"",IF(ISBLANK($D$873),"",$D$873))</f>
        <v/>
      </c>
      <c r="AA873" s="2">
        <f>IF(ISERROR($E$873),"",IF(ISBLANK($E$873),"",$E$873))</f>
        <v/>
      </c>
      <c r="AB873" s="2">
        <f>IF(ISERROR($F$873),"",IF(ISBLANK($F$873),"",$F$873))</f>
        <v/>
      </c>
      <c r="AC873" s="2">
        <f>IF(ISERROR($G$873),"",IF(ISBLANK($G$873),"",$G$873))</f>
        <v/>
      </c>
      <c r="AD873" s="2">
        <f>IF(ISERROR($H$873),"",IF(ISBLANK($H$873),"",$H$873))</f>
        <v/>
      </c>
      <c r="AE873" s="2">
        <f>IF(ISERROR($I$873),"",IF(ISBLANK($I$873),"",$I$873))</f>
        <v/>
      </c>
      <c r="AF873" s="2">
        <f>IF(ISERROR($J$873),"",IF(ISBLANK($J$873),"",$J$873))</f>
        <v/>
      </c>
      <c r="AG873" s="2">
        <f>ISERROR($B$873)*1+ISERROR($C$873)*1+ISERROR($D$873)*1+ISERROR($E$873)*1+ISERROR($F$873)*1+ISERROR($G$873)*1+ISERROR($H$873)*1+ISERROR($I$873)*1+ISERROR($J$873)*1</f>
        <v/>
      </c>
    </row>
    <row r="874" ht="26" customHeight="1">
      <c r="B874" s="35" t="n"/>
      <c r="C874" s="29" t="n"/>
      <c r="D874" s="29" t="n"/>
      <c r="E874" s="29" t="n"/>
      <c r="F874" s="29" t="n"/>
      <c r="G874" s="29" t="n"/>
      <c r="H874" s="29" t="n"/>
      <c r="I874" s="29" t="n"/>
      <c r="J874" s="29" t="n"/>
      <c r="K874" s="19">
        <f>IF(AG874&gt;0,"O Google leu como fórmula: digite de novo com ' na frente.","")</f>
        <v/>
      </c>
      <c r="N874" s="2">
        <f>N873+IF(LEN($X$874)&gt;0,1,0)</f>
        <v/>
      </c>
      <c r="O874" s="2">
        <f>O873+IF(LEN($Y$874)&gt;0,1,0)</f>
        <v/>
      </c>
      <c r="P874" s="2">
        <f>P873+IF(LEN($Z$874)&gt;0,1,0)</f>
        <v/>
      </c>
      <c r="Q874" s="2">
        <f>Q873+IF(LEN($AA$874)&gt;0,1,0)</f>
        <v/>
      </c>
      <c r="R874" s="2">
        <f>R873+IF(LEN($AB$874)&gt;0,1,0)</f>
        <v/>
      </c>
      <c r="S874" s="2">
        <f>S873+IF(LEN($AC$874)&gt;0,1,0)</f>
        <v/>
      </c>
      <c r="T874" s="2">
        <f>T873+IF(LEN($AD$874)&gt;0,1,0)</f>
        <v/>
      </c>
      <c r="U874" s="2">
        <f>U873+IF(LEN($AE$874)&gt;0,1,0)</f>
        <v/>
      </c>
      <c r="V874" s="2">
        <f>V873+IF(LEN($AF$874)&gt;0,1,0)</f>
        <v/>
      </c>
      <c r="X874" s="2">
        <f>IF(ISERROR($B$874),"",IF(ISBLANK($B$874),"",$B$874))</f>
        <v/>
      </c>
      <c r="Y874" s="2">
        <f>IF(ISERROR($C$874),"",IF(ISBLANK($C$874),"",$C$874))</f>
        <v/>
      </c>
      <c r="Z874" s="2">
        <f>IF(ISERROR($D$874),"",IF(ISBLANK($D$874),"",$D$874))</f>
        <v/>
      </c>
      <c r="AA874" s="2">
        <f>IF(ISERROR($E$874),"",IF(ISBLANK($E$874),"",$E$874))</f>
        <v/>
      </c>
      <c r="AB874" s="2">
        <f>IF(ISERROR($F$874),"",IF(ISBLANK($F$874),"",$F$874))</f>
        <v/>
      </c>
      <c r="AC874" s="2">
        <f>IF(ISERROR($G$874),"",IF(ISBLANK($G$874),"",$G$874))</f>
        <v/>
      </c>
      <c r="AD874" s="2">
        <f>IF(ISERROR($H$874),"",IF(ISBLANK($H$874),"",$H$874))</f>
        <v/>
      </c>
      <c r="AE874" s="2">
        <f>IF(ISERROR($I$874),"",IF(ISBLANK($I$874),"",$I$874))</f>
        <v/>
      </c>
      <c r="AF874" s="2">
        <f>IF(ISERROR($J$874),"",IF(ISBLANK($J$874),"",$J$874))</f>
        <v/>
      </c>
      <c r="AG874" s="2">
        <f>ISERROR($B$874)*1+ISERROR($C$874)*1+ISERROR($D$874)*1+ISERROR($E$874)*1+ISERROR($F$874)*1+ISERROR($G$874)*1+ISERROR($H$874)*1+ISERROR($I$874)*1+ISERROR($J$874)*1</f>
        <v/>
      </c>
    </row>
    <row r="875" ht="26" customHeight="1">
      <c r="B875" s="33" t="n"/>
      <c r="C875" s="4" t="n"/>
      <c r="D875" s="4" t="n"/>
      <c r="E875" s="4" t="n"/>
      <c r="F875" s="4" t="n"/>
      <c r="G875" s="4" t="n"/>
      <c r="H875" s="4" t="n"/>
      <c r="I875" s="4" t="n"/>
      <c r="J875" s="4" t="n"/>
      <c r="K875" s="19">
        <f>IF(AG875&gt;0,"O Google leu como fórmula: digite de novo com ' na frente.","")</f>
        <v/>
      </c>
      <c r="N875" s="2">
        <f>N874+IF(LEN($X$875)&gt;0,1,0)</f>
        <v/>
      </c>
      <c r="O875" s="2">
        <f>O874+IF(LEN($Y$875)&gt;0,1,0)</f>
        <v/>
      </c>
      <c r="P875" s="2">
        <f>P874+IF(LEN($Z$875)&gt;0,1,0)</f>
        <v/>
      </c>
      <c r="Q875" s="2">
        <f>Q874+IF(LEN($AA$875)&gt;0,1,0)</f>
        <v/>
      </c>
      <c r="R875" s="2">
        <f>R874+IF(LEN($AB$875)&gt;0,1,0)</f>
        <v/>
      </c>
      <c r="S875" s="2">
        <f>S874+IF(LEN($AC$875)&gt;0,1,0)</f>
        <v/>
      </c>
      <c r="T875" s="2">
        <f>T874+IF(LEN($AD$875)&gt;0,1,0)</f>
        <v/>
      </c>
      <c r="U875" s="2">
        <f>U874+IF(LEN($AE$875)&gt;0,1,0)</f>
        <v/>
      </c>
      <c r="V875" s="2">
        <f>V874+IF(LEN($AF$875)&gt;0,1,0)</f>
        <v/>
      </c>
      <c r="X875" s="2">
        <f>IF(ISERROR($B$875),"",IF(ISBLANK($B$875),"",$B$875))</f>
        <v/>
      </c>
      <c r="Y875" s="2">
        <f>IF(ISERROR($C$875),"",IF(ISBLANK($C$875),"",$C$875))</f>
        <v/>
      </c>
      <c r="Z875" s="2">
        <f>IF(ISERROR($D$875),"",IF(ISBLANK($D$875),"",$D$875))</f>
        <v/>
      </c>
      <c r="AA875" s="2">
        <f>IF(ISERROR($E$875),"",IF(ISBLANK($E$875),"",$E$875))</f>
        <v/>
      </c>
      <c r="AB875" s="2">
        <f>IF(ISERROR($F$875),"",IF(ISBLANK($F$875),"",$F$875))</f>
        <v/>
      </c>
      <c r="AC875" s="2">
        <f>IF(ISERROR($G$875),"",IF(ISBLANK($G$875),"",$G$875))</f>
        <v/>
      </c>
      <c r="AD875" s="2">
        <f>IF(ISERROR($H$875),"",IF(ISBLANK($H$875),"",$H$875))</f>
        <v/>
      </c>
      <c r="AE875" s="2">
        <f>IF(ISERROR($I$875),"",IF(ISBLANK($I$875),"",$I$875))</f>
        <v/>
      </c>
      <c r="AF875" s="2">
        <f>IF(ISERROR($J$875),"",IF(ISBLANK($J$875),"",$J$875))</f>
        <v/>
      </c>
      <c r="AG875" s="2">
        <f>ISERROR($B$875)*1+ISERROR($C$875)*1+ISERROR($D$875)*1+ISERROR($E$875)*1+ISERROR($F$875)*1+ISERROR($G$875)*1+ISERROR($H$875)*1+ISERROR($I$875)*1+ISERROR($J$875)*1</f>
        <v/>
      </c>
    </row>
    <row r="876" ht="26" customHeight="1">
      <c r="B876" s="35" t="n"/>
      <c r="C876" s="29" t="n"/>
      <c r="D876" s="29" t="n"/>
      <c r="E876" s="29" t="n"/>
      <c r="F876" s="29" t="n"/>
      <c r="G876" s="29" t="n"/>
      <c r="H876" s="29" t="n"/>
      <c r="I876" s="29" t="n"/>
      <c r="J876" s="29" t="n"/>
      <c r="K876" s="19">
        <f>IF(AG876&gt;0,"O Google leu como fórmula: digite de novo com ' na frente.","")</f>
        <v/>
      </c>
      <c r="N876" s="2">
        <f>N875+IF(LEN($X$876)&gt;0,1,0)</f>
        <v/>
      </c>
      <c r="O876" s="2">
        <f>O875+IF(LEN($Y$876)&gt;0,1,0)</f>
        <v/>
      </c>
      <c r="P876" s="2">
        <f>P875+IF(LEN($Z$876)&gt;0,1,0)</f>
        <v/>
      </c>
      <c r="Q876" s="2">
        <f>Q875+IF(LEN($AA$876)&gt;0,1,0)</f>
        <v/>
      </c>
      <c r="R876" s="2">
        <f>R875+IF(LEN($AB$876)&gt;0,1,0)</f>
        <v/>
      </c>
      <c r="S876" s="2">
        <f>S875+IF(LEN($AC$876)&gt;0,1,0)</f>
        <v/>
      </c>
      <c r="T876" s="2">
        <f>T875+IF(LEN($AD$876)&gt;0,1,0)</f>
        <v/>
      </c>
      <c r="U876" s="2">
        <f>U875+IF(LEN($AE$876)&gt;0,1,0)</f>
        <v/>
      </c>
      <c r="V876" s="2">
        <f>V875+IF(LEN($AF$876)&gt;0,1,0)</f>
        <v/>
      </c>
      <c r="X876" s="2">
        <f>IF(ISERROR($B$876),"",IF(ISBLANK($B$876),"",$B$876))</f>
        <v/>
      </c>
      <c r="Y876" s="2">
        <f>IF(ISERROR($C$876),"",IF(ISBLANK($C$876),"",$C$876))</f>
        <v/>
      </c>
      <c r="Z876" s="2">
        <f>IF(ISERROR($D$876),"",IF(ISBLANK($D$876),"",$D$876))</f>
        <v/>
      </c>
      <c r="AA876" s="2">
        <f>IF(ISERROR($E$876),"",IF(ISBLANK($E$876),"",$E$876))</f>
        <v/>
      </c>
      <c r="AB876" s="2">
        <f>IF(ISERROR($F$876),"",IF(ISBLANK($F$876),"",$F$876))</f>
        <v/>
      </c>
      <c r="AC876" s="2">
        <f>IF(ISERROR($G$876),"",IF(ISBLANK($G$876),"",$G$876))</f>
        <v/>
      </c>
      <c r="AD876" s="2">
        <f>IF(ISERROR($H$876),"",IF(ISBLANK($H$876),"",$H$876))</f>
        <v/>
      </c>
      <c r="AE876" s="2">
        <f>IF(ISERROR($I$876),"",IF(ISBLANK($I$876),"",$I$876))</f>
        <v/>
      </c>
      <c r="AF876" s="2">
        <f>IF(ISERROR($J$876),"",IF(ISBLANK($J$876),"",$J$876))</f>
        <v/>
      </c>
      <c r="AG876" s="2">
        <f>ISERROR($B$876)*1+ISERROR($C$876)*1+ISERROR($D$876)*1+ISERROR($E$876)*1+ISERROR($F$876)*1+ISERROR($G$876)*1+ISERROR($H$876)*1+ISERROR($I$876)*1+ISERROR($J$876)*1</f>
        <v/>
      </c>
    </row>
    <row r="877" ht="26" customHeight="1">
      <c r="B877" s="33" t="n"/>
      <c r="C877" s="4" t="n"/>
      <c r="D877" s="4" t="n"/>
      <c r="E877" s="4" t="n"/>
      <c r="F877" s="4" t="n"/>
      <c r="G877" s="4" t="n"/>
      <c r="H877" s="4" t="n"/>
      <c r="I877" s="4" t="n"/>
      <c r="J877" s="4" t="n"/>
      <c r="K877" s="19">
        <f>IF(AG877&gt;0,"O Google leu como fórmula: digite de novo com ' na frente.","")</f>
        <v/>
      </c>
      <c r="N877" s="2">
        <f>N876+IF(LEN($X$877)&gt;0,1,0)</f>
        <v/>
      </c>
      <c r="O877" s="2">
        <f>O876+IF(LEN($Y$877)&gt;0,1,0)</f>
        <v/>
      </c>
      <c r="P877" s="2">
        <f>P876+IF(LEN($Z$877)&gt;0,1,0)</f>
        <v/>
      </c>
      <c r="Q877" s="2">
        <f>Q876+IF(LEN($AA$877)&gt;0,1,0)</f>
        <v/>
      </c>
      <c r="R877" s="2">
        <f>R876+IF(LEN($AB$877)&gt;0,1,0)</f>
        <v/>
      </c>
      <c r="S877" s="2">
        <f>S876+IF(LEN($AC$877)&gt;0,1,0)</f>
        <v/>
      </c>
      <c r="T877" s="2">
        <f>T876+IF(LEN($AD$877)&gt;0,1,0)</f>
        <v/>
      </c>
      <c r="U877" s="2">
        <f>U876+IF(LEN($AE$877)&gt;0,1,0)</f>
        <v/>
      </c>
      <c r="V877" s="2">
        <f>V876+IF(LEN($AF$877)&gt;0,1,0)</f>
        <v/>
      </c>
      <c r="X877" s="2">
        <f>IF(ISERROR($B$877),"",IF(ISBLANK($B$877),"",$B$877))</f>
        <v/>
      </c>
      <c r="Y877" s="2">
        <f>IF(ISERROR($C$877),"",IF(ISBLANK($C$877),"",$C$877))</f>
        <v/>
      </c>
      <c r="Z877" s="2">
        <f>IF(ISERROR($D$877),"",IF(ISBLANK($D$877),"",$D$877))</f>
        <v/>
      </c>
      <c r="AA877" s="2">
        <f>IF(ISERROR($E$877),"",IF(ISBLANK($E$877),"",$E$877))</f>
        <v/>
      </c>
      <c r="AB877" s="2">
        <f>IF(ISERROR($F$877),"",IF(ISBLANK($F$877),"",$F$877))</f>
        <v/>
      </c>
      <c r="AC877" s="2">
        <f>IF(ISERROR($G$877),"",IF(ISBLANK($G$877),"",$G$877))</f>
        <v/>
      </c>
      <c r="AD877" s="2">
        <f>IF(ISERROR($H$877),"",IF(ISBLANK($H$877),"",$H$877))</f>
        <v/>
      </c>
      <c r="AE877" s="2">
        <f>IF(ISERROR($I$877),"",IF(ISBLANK($I$877),"",$I$877))</f>
        <v/>
      </c>
      <c r="AF877" s="2">
        <f>IF(ISERROR($J$877),"",IF(ISBLANK($J$877),"",$J$877))</f>
        <v/>
      </c>
      <c r="AG877" s="2">
        <f>ISERROR($B$877)*1+ISERROR($C$877)*1+ISERROR($D$877)*1+ISERROR($E$877)*1+ISERROR($F$877)*1+ISERROR($G$877)*1+ISERROR($H$877)*1+ISERROR($I$877)*1+ISERROR($J$877)*1</f>
        <v/>
      </c>
    </row>
    <row r="878" ht="26" customHeight="1">
      <c r="B878" s="35" t="n"/>
      <c r="C878" s="29" t="n"/>
      <c r="D878" s="29" t="n"/>
      <c r="E878" s="29" t="n"/>
      <c r="F878" s="29" t="n"/>
      <c r="G878" s="29" t="n"/>
      <c r="H878" s="29" t="n"/>
      <c r="I878" s="29" t="n"/>
      <c r="J878" s="29" t="n"/>
      <c r="K878" s="19">
        <f>IF(AG878&gt;0,"O Google leu como fórmula: digite de novo com ' na frente.","")</f>
        <v/>
      </c>
      <c r="N878" s="2">
        <f>N877+IF(LEN($X$878)&gt;0,1,0)</f>
        <v/>
      </c>
      <c r="O878" s="2">
        <f>O877+IF(LEN($Y$878)&gt;0,1,0)</f>
        <v/>
      </c>
      <c r="P878" s="2">
        <f>P877+IF(LEN($Z$878)&gt;0,1,0)</f>
        <v/>
      </c>
      <c r="Q878" s="2">
        <f>Q877+IF(LEN($AA$878)&gt;0,1,0)</f>
        <v/>
      </c>
      <c r="R878" s="2">
        <f>R877+IF(LEN($AB$878)&gt;0,1,0)</f>
        <v/>
      </c>
      <c r="S878" s="2">
        <f>S877+IF(LEN($AC$878)&gt;0,1,0)</f>
        <v/>
      </c>
      <c r="T878" s="2">
        <f>T877+IF(LEN($AD$878)&gt;0,1,0)</f>
        <v/>
      </c>
      <c r="U878" s="2">
        <f>U877+IF(LEN($AE$878)&gt;0,1,0)</f>
        <v/>
      </c>
      <c r="V878" s="2">
        <f>V877+IF(LEN($AF$878)&gt;0,1,0)</f>
        <v/>
      </c>
      <c r="X878" s="2">
        <f>IF(ISERROR($B$878),"",IF(ISBLANK($B$878),"",$B$878))</f>
        <v/>
      </c>
      <c r="Y878" s="2">
        <f>IF(ISERROR($C$878),"",IF(ISBLANK($C$878),"",$C$878))</f>
        <v/>
      </c>
      <c r="Z878" s="2">
        <f>IF(ISERROR($D$878),"",IF(ISBLANK($D$878),"",$D$878))</f>
        <v/>
      </c>
      <c r="AA878" s="2">
        <f>IF(ISERROR($E$878),"",IF(ISBLANK($E$878),"",$E$878))</f>
        <v/>
      </c>
      <c r="AB878" s="2">
        <f>IF(ISERROR($F$878),"",IF(ISBLANK($F$878),"",$F$878))</f>
        <v/>
      </c>
      <c r="AC878" s="2">
        <f>IF(ISERROR($G$878),"",IF(ISBLANK($G$878),"",$G$878))</f>
        <v/>
      </c>
      <c r="AD878" s="2">
        <f>IF(ISERROR($H$878),"",IF(ISBLANK($H$878),"",$H$878))</f>
        <v/>
      </c>
      <c r="AE878" s="2">
        <f>IF(ISERROR($I$878),"",IF(ISBLANK($I$878),"",$I$878))</f>
        <v/>
      </c>
      <c r="AF878" s="2">
        <f>IF(ISERROR($J$878),"",IF(ISBLANK($J$878),"",$J$878))</f>
        <v/>
      </c>
      <c r="AG878" s="2">
        <f>ISERROR($B$878)*1+ISERROR($C$878)*1+ISERROR($D$878)*1+ISERROR($E$878)*1+ISERROR($F$878)*1+ISERROR($G$878)*1+ISERROR($H$878)*1+ISERROR($I$878)*1+ISERROR($J$878)*1</f>
        <v/>
      </c>
    </row>
    <row r="879" ht="26" customHeight="1">
      <c r="B879" s="33" t="n"/>
      <c r="C879" s="4" t="n"/>
      <c r="D879" s="4" t="n"/>
      <c r="E879" s="4" t="n"/>
      <c r="F879" s="4" t="n"/>
      <c r="G879" s="4" t="n"/>
      <c r="H879" s="4" t="n"/>
      <c r="I879" s="4" t="n"/>
      <c r="J879" s="4" t="n"/>
      <c r="K879" s="19">
        <f>IF(AG879&gt;0,"O Google leu como fórmula: digite de novo com ' na frente.","")</f>
        <v/>
      </c>
      <c r="N879" s="2">
        <f>N878+IF(LEN($X$879)&gt;0,1,0)</f>
        <v/>
      </c>
      <c r="O879" s="2">
        <f>O878+IF(LEN($Y$879)&gt;0,1,0)</f>
        <v/>
      </c>
      <c r="P879" s="2">
        <f>P878+IF(LEN($Z$879)&gt;0,1,0)</f>
        <v/>
      </c>
      <c r="Q879" s="2">
        <f>Q878+IF(LEN($AA$879)&gt;0,1,0)</f>
        <v/>
      </c>
      <c r="R879" s="2">
        <f>R878+IF(LEN($AB$879)&gt;0,1,0)</f>
        <v/>
      </c>
      <c r="S879" s="2">
        <f>S878+IF(LEN($AC$879)&gt;0,1,0)</f>
        <v/>
      </c>
      <c r="T879" s="2">
        <f>T878+IF(LEN($AD$879)&gt;0,1,0)</f>
        <v/>
      </c>
      <c r="U879" s="2">
        <f>U878+IF(LEN($AE$879)&gt;0,1,0)</f>
        <v/>
      </c>
      <c r="V879" s="2">
        <f>V878+IF(LEN($AF$879)&gt;0,1,0)</f>
        <v/>
      </c>
      <c r="X879" s="2">
        <f>IF(ISERROR($B$879),"",IF(ISBLANK($B$879),"",$B$879))</f>
        <v/>
      </c>
      <c r="Y879" s="2">
        <f>IF(ISERROR($C$879),"",IF(ISBLANK($C$879),"",$C$879))</f>
        <v/>
      </c>
      <c r="Z879" s="2">
        <f>IF(ISERROR($D$879),"",IF(ISBLANK($D$879),"",$D$879))</f>
        <v/>
      </c>
      <c r="AA879" s="2">
        <f>IF(ISERROR($E$879),"",IF(ISBLANK($E$879),"",$E$879))</f>
        <v/>
      </c>
      <c r="AB879" s="2">
        <f>IF(ISERROR($F$879),"",IF(ISBLANK($F$879),"",$F$879))</f>
        <v/>
      </c>
      <c r="AC879" s="2">
        <f>IF(ISERROR($G$879),"",IF(ISBLANK($G$879),"",$G$879))</f>
        <v/>
      </c>
      <c r="AD879" s="2">
        <f>IF(ISERROR($H$879),"",IF(ISBLANK($H$879),"",$H$879))</f>
        <v/>
      </c>
      <c r="AE879" s="2">
        <f>IF(ISERROR($I$879),"",IF(ISBLANK($I$879),"",$I$879))</f>
        <v/>
      </c>
      <c r="AF879" s="2">
        <f>IF(ISERROR($J$879),"",IF(ISBLANK($J$879),"",$J$879))</f>
        <v/>
      </c>
      <c r="AG879" s="2">
        <f>ISERROR($B$879)*1+ISERROR($C$879)*1+ISERROR($D$879)*1+ISERROR($E$879)*1+ISERROR($F$879)*1+ISERROR($G$879)*1+ISERROR($H$879)*1+ISERROR($I$879)*1+ISERROR($J$879)*1</f>
        <v/>
      </c>
    </row>
    <row r="880" ht="26" customHeight="1">
      <c r="B880" s="35" t="n"/>
      <c r="C880" s="29" t="n"/>
      <c r="D880" s="29" t="n"/>
      <c r="E880" s="29" t="n"/>
      <c r="F880" s="29" t="n"/>
      <c r="G880" s="29" t="n"/>
      <c r="H880" s="29" t="n"/>
      <c r="I880" s="29" t="n"/>
      <c r="J880" s="29" t="n"/>
      <c r="K880" s="19">
        <f>IF(AG880&gt;0,"O Google leu como fórmula: digite de novo com ' na frente.","")</f>
        <v/>
      </c>
      <c r="N880" s="2">
        <f>N879+IF(LEN($X$880)&gt;0,1,0)</f>
        <v/>
      </c>
      <c r="O880" s="2">
        <f>O879+IF(LEN($Y$880)&gt;0,1,0)</f>
        <v/>
      </c>
      <c r="P880" s="2">
        <f>P879+IF(LEN($Z$880)&gt;0,1,0)</f>
        <v/>
      </c>
      <c r="Q880" s="2">
        <f>Q879+IF(LEN($AA$880)&gt;0,1,0)</f>
        <v/>
      </c>
      <c r="R880" s="2">
        <f>R879+IF(LEN($AB$880)&gt;0,1,0)</f>
        <v/>
      </c>
      <c r="S880" s="2">
        <f>S879+IF(LEN($AC$880)&gt;0,1,0)</f>
        <v/>
      </c>
      <c r="T880" s="2">
        <f>T879+IF(LEN($AD$880)&gt;0,1,0)</f>
        <v/>
      </c>
      <c r="U880" s="2">
        <f>U879+IF(LEN($AE$880)&gt;0,1,0)</f>
        <v/>
      </c>
      <c r="V880" s="2">
        <f>V879+IF(LEN($AF$880)&gt;0,1,0)</f>
        <v/>
      </c>
      <c r="X880" s="2">
        <f>IF(ISERROR($B$880),"",IF(ISBLANK($B$880),"",$B$880))</f>
        <v/>
      </c>
      <c r="Y880" s="2">
        <f>IF(ISERROR($C$880),"",IF(ISBLANK($C$880),"",$C$880))</f>
        <v/>
      </c>
      <c r="Z880" s="2">
        <f>IF(ISERROR($D$880),"",IF(ISBLANK($D$880),"",$D$880))</f>
        <v/>
      </c>
      <c r="AA880" s="2">
        <f>IF(ISERROR($E$880),"",IF(ISBLANK($E$880),"",$E$880))</f>
        <v/>
      </c>
      <c r="AB880" s="2">
        <f>IF(ISERROR($F$880),"",IF(ISBLANK($F$880),"",$F$880))</f>
        <v/>
      </c>
      <c r="AC880" s="2">
        <f>IF(ISERROR($G$880),"",IF(ISBLANK($G$880),"",$G$880))</f>
        <v/>
      </c>
      <c r="AD880" s="2">
        <f>IF(ISERROR($H$880),"",IF(ISBLANK($H$880),"",$H$880))</f>
        <v/>
      </c>
      <c r="AE880" s="2">
        <f>IF(ISERROR($I$880),"",IF(ISBLANK($I$880),"",$I$880))</f>
        <v/>
      </c>
      <c r="AF880" s="2">
        <f>IF(ISERROR($J$880),"",IF(ISBLANK($J$880),"",$J$880))</f>
        <v/>
      </c>
      <c r="AG880" s="2">
        <f>ISERROR($B$880)*1+ISERROR($C$880)*1+ISERROR($D$880)*1+ISERROR($E$880)*1+ISERROR($F$880)*1+ISERROR($G$880)*1+ISERROR($H$880)*1+ISERROR($I$880)*1+ISERROR($J$880)*1</f>
        <v/>
      </c>
    </row>
    <row r="881" ht="26" customHeight="1">
      <c r="B881" s="33" t="n"/>
      <c r="C881" s="4" t="n"/>
      <c r="D881" s="4" t="n"/>
      <c r="E881" s="4" t="n"/>
      <c r="F881" s="4" t="n"/>
      <c r="G881" s="4" t="n"/>
      <c r="H881" s="4" t="n"/>
      <c r="I881" s="4" t="n"/>
      <c r="J881" s="4" t="n"/>
      <c r="K881" s="19">
        <f>IF(AG881&gt;0,"O Google leu como fórmula: digite de novo com ' na frente.","")</f>
        <v/>
      </c>
      <c r="N881" s="2">
        <f>N880+IF(LEN($X$881)&gt;0,1,0)</f>
        <v/>
      </c>
      <c r="O881" s="2">
        <f>O880+IF(LEN($Y$881)&gt;0,1,0)</f>
        <v/>
      </c>
      <c r="P881" s="2">
        <f>P880+IF(LEN($Z$881)&gt;0,1,0)</f>
        <v/>
      </c>
      <c r="Q881" s="2">
        <f>Q880+IF(LEN($AA$881)&gt;0,1,0)</f>
        <v/>
      </c>
      <c r="R881" s="2">
        <f>R880+IF(LEN($AB$881)&gt;0,1,0)</f>
        <v/>
      </c>
      <c r="S881" s="2">
        <f>S880+IF(LEN($AC$881)&gt;0,1,0)</f>
        <v/>
      </c>
      <c r="T881" s="2">
        <f>T880+IF(LEN($AD$881)&gt;0,1,0)</f>
        <v/>
      </c>
      <c r="U881" s="2">
        <f>U880+IF(LEN($AE$881)&gt;0,1,0)</f>
        <v/>
      </c>
      <c r="V881" s="2">
        <f>V880+IF(LEN($AF$881)&gt;0,1,0)</f>
        <v/>
      </c>
      <c r="X881" s="2">
        <f>IF(ISERROR($B$881),"",IF(ISBLANK($B$881),"",$B$881))</f>
        <v/>
      </c>
      <c r="Y881" s="2">
        <f>IF(ISERROR($C$881),"",IF(ISBLANK($C$881),"",$C$881))</f>
        <v/>
      </c>
      <c r="Z881" s="2">
        <f>IF(ISERROR($D$881),"",IF(ISBLANK($D$881),"",$D$881))</f>
        <v/>
      </c>
      <c r="AA881" s="2">
        <f>IF(ISERROR($E$881),"",IF(ISBLANK($E$881),"",$E$881))</f>
        <v/>
      </c>
      <c r="AB881" s="2">
        <f>IF(ISERROR($F$881),"",IF(ISBLANK($F$881),"",$F$881))</f>
        <v/>
      </c>
      <c r="AC881" s="2">
        <f>IF(ISERROR($G$881),"",IF(ISBLANK($G$881),"",$G$881))</f>
        <v/>
      </c>
      <c r="AD881" s="2">
        <f>IF(ISERROR($H$881),"",IF(ISBLANK($H$881),"",$H$881))</f>
        <v/>
      </c>
      <c r="AE881" s="2">
        <f>IF(ISERROR($I$881),"",IF(ISBLANK($I$881),"",$I$881))</f>
        <v/>
      </c>
      <c r="AF881" s="2">
        <f>IF(ISERROR($J$881),"",IF(ISBLANK($J$881),"",$J$881))</f>
        <v/>
      </c>
      <c r="AG881" s="2">
        <f>ISERROR($B$881)*1+ISERROR($C$881)*1+ISERROR($D$881)*1+ISERROR($E$881)*1+ISERROR($F$881)*1+ISERROR($G$881)*1+ISERROR($H$881)*1+ISERROR($I$881)*1+ISERROR($J$881)*1</f>
        <v/>
      </c>
    </row>
    <row r="882" ht="26" customHeight="1">
      <c r="B882" s="35" t="n"/>
      <c r="C882" s="29" t="n"/>
      <c r="D882" s="29" t="n"/>
      <c r="E882" s="29" t="n"/>
      <c r="F882" s="29" t="n"/>
      <c r="G882" s="29" t="n"/>
      <c r="H882" s="29" t="n"/>
      <c r="I882" s="29" t="n"/>
      <c r="J882" s="29" t="n"/>
      <c r="K882" s="19">
        <f>IF(AG882&gt;0,"O Google leu como fórmula: digite de novo com ' na frente.","")</f>
        <v/>
      </c>
      <c r="N882" s="2">
        <f>N881+IF(LEN($X$882)&gt;0,1,0)</f>
        <v/>
      </c>
      <c r="O882" s="2">
        <f>O881+IF(LEN($Y$882)&gt;0,1,0)</f>
        <v/>
      </c>
      <c r="P882" s="2">
        <f>P881+IF(LEN($Z$882)&gt;0,1,0)</f>
        <v/>
      </c>
      <c r="Q882" s="2">
        <f>Q881+IF(LEN($AA$882)&gt;0,1,0)</f>
        <v/>
      </c>
      <c r="R882" s="2">
        <f>R881+IF(LEN($AB$882)&gt;0,1,0)</f>
        <v/>
      </c>
      <c r="S882" s="2">
        <f>S881+IF(LEN($AC$882)&gt;0,1,0)</f>
        <v/>
      </c>
      <c r="T882" s="2">
        <f>T881+IF(LEN($AD$882)&gt;0,1,0)</f>
        <v/>
      </c>
      <c r="U882" s="2">
        <f>U881+IF(LEN($AE$882)&gt;0,1,0)</f>
        <v/>
      </c>
      <c r="V882" s="2">
        <f>V881+IF(LEN($AF$882)&gt;0,1,0)</f>
        <v/>
      </c>
      <c r="X882" s="2">
        <f>IF(ISERROR($B$882),"",IF(ISBLANK($B$882),"",$B$882))</f>
        <v/>
      </c>
      <c r="Y882" s="2">
        <f>IF(ISERROR($C$882),"",IF(ISBLANK($C$882),"",$C$882))</f>
        <v/>
      </c>
      <c r="Z882" s="2">
        <f>IF(ISERROR($D$882),"",IF(ISBLANK($D$882),"",$D$882))</f>
        <v/>
      </c>
      <c r="AA882" s="2">
        <f>IF(ISERROR($E$882),"",IF(ISBLANK($E$882),"",$E$882))</f>
        <v/>
      </c>
      <c r="AB882" s="2">
        <f>IF(ISERROR($F$882),"",IF(ISBLANK($F$882),"",$F$882))</f>
        <v/>
      </c>
      <c r="AC882" s="2">
        <f>IF(ISERROR($G$882),"",IF(ISBLANK($G$882),"",$G$882))</f>
        <v/>
      </c>
      <c r="AD882" s="2">
        <f>IF(ISERROR($H$882),"",IF(ISBLANK($H$882),"",$H$882))</f>
        <v/>
      </c>
      <c r="AE882" s="2">
        <f>IF(ISERROR($I$882),"",IF(ISBLANK($I$882),"",$I$882))</f>
        <v/>
      </c>
      <c r="AF882" s="2">
        <f>IF(ISERROR($J$882),"",IF(ISBLANK($J$882),"",$J$882))</f>
        <v/>
      </c>
      <c r="AG882" s="2">
        <f>ISERROR($B$882)*1+ISERROR($C$882)*1+ISERROR($D$882)*1+ISERROR($E$882)*1+ISERROR($F$882)*1+ISERROR($G$882)*1+ISERROR($H$882)*1+ISERROR($I$882)*1+ISERROR($J$882)*1</f>
        <v/>
      </c>
    </row>
    <row r="883" ht="26" customHeight="1">
      <c r="B883" s="33" t="n"/>
      <c r="C883" s="4" t="n"/>
      <c r="D883" s="4" t="n"/>
      <c r="E883" s="4" t="n"/>
      <c r="F883" s="4" t="n"/>
      <c r="G883" s="4" t="n"/>
      <c r="H883" s="4" t="n"/>
      <c r="I883" s="4" t="n"/>
      <c r="J883" s="4" t="n"/>
      <c r="K883" s="19">
        <f>IF(AG883&gt;0,"O Google leu como fórmula: digite de novo com ' na frente.","")</f>
        <v/>
      </c>
      <c r="N883" s="2">
        <f>N882+IF(LEN($X$883)&gt;0,1,0)</f>
        <v/>
      </c>
      <c r="O883" s="2">
        <f>O882+IF(LEN($Y$883)&gt;0,1,0)</f>
        <v/>
      </c>
      <c r="P883" s="2">
        <f>P882+IF(LEN($Z$883)&gt;0,1,0)</f>
        <v/>
      </c>
      <c r="Q883" s="2">
        <f>Q882+IF(LEN($AA$883)&gt;0,1,0)</f>
        <v/>
      </c>
      <c r="R883" s="2">
        <f>R882+IF(LEN($AB$883)&gt;0,1,0)</f>
        <v/>
      </c>
      <c r="S883" s="2">
        <f>S882+IF(LEN($AC$883)&gt;0,1,0)</f>
        <v/>
      </c>
      <c r="T883" s="2">
        <f>T882+IF(LEN($AD$883)&gt;0,1,0)</f>
        <v/>
      </c>
      <c r="U883" s="2">
        <f>U882+IF(LEN($AE$883)&gt;0,1,0)</f>
        <v/>
      </c>
      <c r="V883" s="2">
        <f>V882+IF(LEN($AF$883)&gt;0,1,0)</f>
        <v/>
      </c>
      <c r="X883" s="2">
        <f>IF(ISERROR($B$883),"",IF(ISBLANK($B$883),"",$B$883))</f>
        <v/>
      </c>
      <c r="Y883" s="2">
        <f>IF(ISERROR($C$883),"",IF(ISBLANK($C$883),"",$C$883))</f>
        <v/>
      </c>
      <c r="Z883" s="2">
        <f>IF(ISERROR($D$883),"",IF(ISBLANK($D$883),"",$D$883))</f>
        <v/>
      </c>
      <c r="AA883" s="2">
        <f>IF(ISERROR($E$883),"",IF(ISBLANK($E$883),"",$E$883))</f>
        <v/>
      </c>
      <c r="AB883" s="2">
        <f>IF(ISERROR($F$883),"",IF(ISBLANK($F$883),"",$F$883))</f>
        <v/>
      </c>
      <c r="AC883" s="2">
        <f>IF(ISERROR($G$883),"",IF(ISBLANK($G$883),"",$G$883))</f>
        <v/>
      </c>
      <c r="AD883" s="2">
        <f>IF(ISERROR($H$883),"",IF(ISBLANK($H$883),"",$H$883))</f>
        <v/>
      </c>
      <c r="AE883" s="2">
        <f>IF(ISERROR($I$883),"",IF(ISBLANK($I$883),"",$I$883))</f>
        <v/>
      </c>
      <c r="AF883" s="2">
        <f>IF(ISERROR($J$883),"",IF(ISBLANK($J$883),"",$J$883))</f>
        <v/>
      </c>
      <c r="AG883" s="2">
        <f>ISERROR($B$883)*1+ISERROR($C$883)*1+ISERROR($D$883)*1+ISERROR($E$883)*1+ISERROR($F$883)*1+ISERROR($G$883)*1+ISERROR($H$883)*1+ISERROR($I$883)*1+ISERROR($J$883)*1</f>
        <v/>
      </c>
    </row>
    <row r="884" ht="26" customHeight="1">
      <c r="B884" s="35" t="n"/>
      <c r="C884" s="29" t="n"/>
      <c r="D884" s="29" t="n"/>
      <c r="E884" s="29" t="n"/>
      <c r="F884" s="29" t="n"/>
      <c r="G884" s="29" t="n"/>
      <c r="H884" s="29" t="n"/>
      <c r="I884" s="29" t="n"/>
      <c r="J884" s="29" t="n"/>
      <c r="K884" s="19">
        <f>IF(AG884&gt;0,"O Google leu como fórmula: digite de novo com ' na frente.","")</f>
        <v/>
      </c>
      <c r="N884" s="2">
        <f>N883+IF(LEN($X$884)&gt;0,1,0)</f>
        <v/>
      </c>
      <c r="O884" s="2">
        <f>O883+IF(LEN($Y$884)&gt;0,1,0)</f>
        <v/>
      </c>
      <c r="P884" s="2">
        <f>P883+IF(LEN($Z$884)&gt;0,1,0)</f>
        <v/>
      </c>
      <c r="Q884" s="2">
        <f>Q883+IF(LEN($AA$884)&gt;0,1,0)</f>
        <v/>
      </c>
      <c r="R884" s="2">
        <f>R883+IF(LEN($AB$884)&gt;0,1,0)</f>
        <v/>
      </c>
      <c r="S884" s="2">
        <f>S883+IF(LEN($AC$884)&gt;0,1,0)</f>
        <v/>
      </c>
      <c r="T884" s="2">
        <f>T883+IF(LEN($AD$884)&gt;0,1,0)</f>
        <v/>
      </c>
      <c r="U884" s="2">
        <f>U883+IF(LEN($AE$884)&gt;0,1,0)</f>
        <v/>
      </c>
      <c r="V884" s="2">
        <f>V883+IF(LEN($AF$884)&gt;0,1,0)</f>
        <v/>
      </c>
      <c r="X884" s="2">
        <f>IF(ISERROR($B$884),"",IF(ISBLANK($B$884),"",$B$884))</f>
        <v/>
      </c>
      <c r="Y884" s="2">
        <f>IF(ISERROR($C$884),"",IF(ISBLANK($C$884),"",$C$884))</f>
        <v/>
      </c>
      <c r="Z884" s="2">
        <f>IF(ISERROR($D$884),"",IF(ISBLANK($D$884),"",$D$884))</f>
        <v/>
      </c>
      <c r="AA884" s="2">
        <f>IF(ISERROR($E$884),"",IF(ISBLANK($E$884),"",$E$884))</f>
        <v/>
      </c>
      <c r="AB884" s="2">
        <f>IF(ISERROR($F$884),"",IF(ISBLANK($F$884),"",$F$884))</f>
        <v/>
      </c>
      <c r="AC884" s="2">
        <f>IF(ISERROR($G$884),"",IF(ISBLANK($G$884),"",$G$884))</f>
        <v/>
      </c>
      <c r="AD884" s="2">
        <f>IF(ISERROR($H$884),"",IF(ISBLANK($H$884),"",$H$884))</f>
        <v/>
      </c>
      <c r="AE884" s="2">
        <f>IF(ISERROR($I$884),"",IF(ISBLANK($I$884),"",$I$884))</f>
        <v/>
      </c>
      <c r="AF884" s="2">
        <f>IF(ISERROR($J$884),"",IF(ISBLANK($J$884),"",$J$884))</f>
        <v/>
      </c>
      <c r="AG884" s="2">
        <f>ISERROR($B$884)*1+ISERROR($C$884)*1+ISERROR($D$884)*1+ISERROR($E$884)*1+ISERROR($F$884)*1+ISERROR($G$884)*1+ISERROR($H$884)*1+ISERROR($I$884)*1+ISERROR($J$884)*1</f>
        <v/>
      </c>
    </row>
    <row r="885" ht="26" customHeight="1">
      <c r="B885" s="33" t="n"/>
      <c r="C885" s="4" t="n"/>
      <c r="D885" s="4" t="n"/>
      <c r="E885" s="4" t="n"/>
      <c r="F885" s="4" t="n"/>
      <c r="G885" s="4" t="n"/>
      <c r="H885" s="4" t="n"/>
      <c r="I885" s="4" t="n"/>
      <c r="J885" s="4" t="n"/>
      <c r="K885" s="19">
        <f>IF(AG885&gt;0,"O Google leu como fórmula: digite de novo com ' na frente.","")</f>
        <v/>
      </c>
      <c r="N885" s="2">
        <f>N884+IF(LEN($X$885)&gt;0,1,0)</f>
        <v/>
      </c>
      <c r="O885" s="2">
        <f>O884+IF(LEN($Y$885)&gt;0,1,0)</f>
        <v/>
      </c>
      <c r="P885" s="2">
        <f>P884+IF(LEN($Z$885)&gt;0,1,0)</f>
        <v/>
      </c>
      <c r="Q885" s="2">
        <f>Q884+IF(LEN($AA$885)&gt;0,1,0)</f>
        <v/>
      </c>
      <c r="R885" s="2">
        <f>R884+IF(LEN($AB$885)&gt;0,1,0)</f>
        <v/>
      </c>
      <c r="S885" s="2">
        <f>S884+IF(LEN($AC$885)&gt;0,1,0)</f>
        <v/>
      </c>
      <c r="T885" s="2">
        <f>T884+IF(LEN($AD$885)&gt;0,1,0)</f>
        <v/>
      </c>
      <c r="U885" s="2">
        <f>U884+IF(LEN($AE$885)&gt;0,1,0)</f>
        <v/>
      </c>
      <c r="V885" s="2">
        <f>V884+IF(LEN($AF$885)&gt;0,1,0)</f>
        <v/>
      </c>
      <c r="X885" s="2">
        <f>IF(ISERROR($B$885),"",IF(ISBLANK($B$885),"",$B$885))</f>
        <v/>
      </c>
      <c r="Y885" s="2">
        <f>IF(ISERROR($C$885),"",IF(ISBLANK($C$885),"",$C$885))</f>
        <v/>
      </c>
      <c r="Z885" s="2">
        <f>IF(ISERROR($D$885),"",IF(ISBLANK($D$885),"",$D$885))</f>
        <v/>
      </c>
      <c r="AA885" s="2">
        <f>IF(ISERROR($E$885),"",IF(ISBLANK($E$885),"",$E$885))</f>
        <v/>
      </c>
      <c r="AB885" s="2">
        <f>IF(ISERROR($F$885),"",IF(ISBLANK($F$885),"",$F$885))</f>
        <v/>
      </c>
      <c r="AC885" s="2">
        <f>IF(ISERROR($G$885),"",IF(ISBLANK($G$885),"",$G$885))</f>
        <v/>
      </c>
      <c r="AD885" s="2">
        <f>IF(ISERROR($H$885),"",IF(ISBLANK($H$885),"",$H$885))</f>
        <v/>
      </c>
      <c r="AE885" s="2">
        <f>IF(ISERROR($I$885),"",IF(ISBLANK($I$885),"",$I$885))</f>
        <v/>
      </c>
      <c r="AF885" s="2">
        <f>IF(ISERROR($J$885),"",IF(ISBLANK($J$885),"",$J$885))</f>
        <v/>
      </c>
      <c r="AG885" s="2">
        <f>ISERROR($B$885)*1+ISERROR($C$885)*1+ISERROR($D$885)*1+ISERROR($E$885)*1+ISERROR($F$885)*1+ISERROR($G$885)*1+ISERROR($H$885)*1+ISERROR($I$885)*1+ISERROR($J$885)*1</f>
        <v/>
      </c>
    </row>
    <row r="886" ht="15" customHeight="1">
      <c r="B886" s="8" t="inlineStr">
        <is>
          <t>Nome de lugar (início)</t>
        </is>
      </c>
      <c r="C886" s="8" t="inlineStr">
        <is>
          <t>Nome de lugar (fim)</t>
        </is>
      </c>
      <c r="D886" s="8" t="inlineStr">
        <is>
          <t>Nome de nave (início)</t>
        </is>
      </c>
      <c r="E886" s="8" t="inlineStr">
        <is>
          <t>Nome de nave (fim)</t>
        </is>
      </c>
      <c r="F886" s="8" t="inlineStr">
        <is>
          <t>Nome de facção (início)</t>
        </is>
      </c>
      <c r="G886" s="8" t="inlineStr">
        <is>
          <t>Nome de facção (fim)</t>
        </is>
      </c>
      <c r="H886" s="8" t="inlineStr">
        <is>
          <t>Organização</t>
        </is>
      </c>
      <c r="I886" s="8" t="inlineStr">
        <is>
          <t>Organização: o que oferece</t>
        </is>
      </c>
      <c r="J886" s="8" t="inlineStr">
        <is>
          <t>Organização: o que cobra</t>
        </is>
      </c>
      <c r="N886" s="2">
        <f>N885</f>
        <v/>
      </c>
      <c r="O886" s="2">
        <f>O885</f>
        <v/>
      </c>
      <c r="P886" s="2">
        <f>P885</f>
        <v/>
      </c>
      <c r="Q886" s="2">
        <f>Q885</f>
        <v/>
      </c>
      <c r="R886" s="2">
        <f>R885</f>
        <v/>
      </c>
      <c r="S886" s="2">
        <f>S885</f>
        <v/>
      </c>
      <c r="T886" s="2">
        <f>T885</f>
        <v/>
      </c>
      <c r="U886" s="2">
        <f>U885</f>
        <v/>
      </c>
      <c r="V886" s="2">
        <f>V885</f>
        <v/>
      </c>
      <c r="X886" s="2">
        <f>IF(ISERROR($B$886),"",IF(ISBLANK($B$886),"",$B$886))</f>
        <v/>
      </c>
      <c r="Y886" s="2">
        <f>IF(ISERROR($C$886),"",IF(ISBLANK($C$886),"",$C$886))</f>
        <v/>
      </c>
      <c r="Z886" s="2">
        <f>IF(ISERROR($D$886),"",IF(ISBLANK($D$886),"",$D$886))</f>
        <v/>
      </c>
      <c r="AA886" s="2">
        <f>IF(ISERROR($E$886),"",IF(ISBLANK($E$886),"",$E$886))</f>
        <v/>
      </c>
      <c r="AB886" s="2">
        <f>IF(ISERROR($F$886),"",IF(ISBLANK($F$886),"",$F$886))</f>
        <v/>
      </c>
      <c r="AC886" s="2">
        <f>IF(ISERROR($G$886),"",IF(ISBLANK($G$886),"",$G$886))</f>
        <v/>
      </c>
      <c r="AD886" s="2">
        <f>IF(ISERROR($H$886),"",IF(ISBLANK($H$886),"",$H$886))</f>
        <v/>
      </c>
      <c r="AE886" s="2">
        <f>IF(ISERROR($I$886),"",IF(ISBLANK($I$886),"",$I$886))</f>
        <v/>
      </c>
      <c r="AF886" s="2">
        <f>IF(ISERROR($J$886),"",IF(ISBLANK($J$886),"",$J$886))</f>
        <v/>
      </c>
    </row>
    <row r="887" ht="26" customHeight="1">
      <c r="B887" s="33" t="n"/>
      <c r="C887" s="4" t="n"/>
      <c r="D887" s="4" t="n"/>
      <c r="E887" s="4" t="n"/>
      <c r="F887" s="4" t="n"/>
      <c r="G887" s="4" t="n"/>
      <c r="H887" s="4" t="n"/>
      <c r="I887" s="4" t="n"/>
      <c r="J887" s="4" t="n"/>
      <c r="K887" s="19">
        <f>IF(AG887&gt;0,"O Google leu como fórmula: digite de novo com ' na frente.","")</f>
        <v/>
      </c>
      <c r="N887" s="2">
        <f>N886+IF(LEN($X$887)&gt;0,1,0)</f>
        <v/>
      </c>
      <c r="O887" s="2">
        <f>O886+IF(LEN($Y$887)&gt;0,1,0)</f>
        <v/>
      </c>
      <c r="P887" s="2">
        <f>P886+IF(LEN($Z$887)&gt;0,1,0)</f>
        <v/>
      </c>
      <c r="Q887" s="2">
        <f>Q886+IF(LEN($AA$887)&gt;0,1,0)</f>
        <v/>
      </c>
      <c r="R887" s="2">
        <f>R886+IF(LEN($AB$887)&gt;0,1,0)</f>
        <v/>
      </c>
      <c r="S887" s="2">
        <f>S886+IF(LEN($AC$887)&gt;0,1,0)</f>
        <v/>
      </c>
      <c r="T887" s="2">
        <f>T886+IF(LEN($AD$887)&gt;0,1,0)</f>
        <v/>
      </c>
      <c r="U887" s="2">
        <f>U886+IF(LEN($AE$887)&gt;0,1,0)</f>
        <v/>
      </c>
      <c r="V887" s="2">
        <f>V886+IF(LEN($AF$887)&gt;0,1,0)</f>
        <v/>
      </c>
      <c r="X887" s="2">
        <f>IF(ISERROR($B$887),"",IF(ISBLANK($B$887),"",$B$887))</f>
        <v/>
      </c>
      <c r="Y887" s="2">
        <f>IF(ISERROR($C$887),"",IF(ISBLANK($C$887),"",$C$887))</f>
        <v/>
      </c>
      <c r="Z887" s="2">
        <f>IF(ISERROR($D$887),"",IF(ISBLANK($D$887),"",$D$887))</f>
        <v/>
      </c>
      <c r="AA887" s="2">
        <f>IF(ISERROR($E$887),"",IF(ISBLANK($E$887),"",$E$887))</f>
        <v/>
      </c>
      <c r="AB887" s="2">
        <f>IF(ISERROR($F$887),"",IF(ISBLANK($F$887),"",$F$887))</f>
        <v/>
      </c>
      <c r="AC887" s="2">
        <f>IF(ISERROR($G$887),"",IF(ISBLANK($G$887),"",$G$887))</f>
        <v/>
      </c>
      <c r="AD887" s="2">
        <f>IF(ISERROR($H$887),"",IF(ISBLANK($H$887),"",$H$887))</f>
        <v/>
      </c>
      <c r="AE887" s="2">
        <f>IF(ISERROR($I$887),"",IF(ISBLANK($I$887),"",$I$887))</f>
        <v/>
      </c>
      <c r="AF887" s="2">
        <f>IF(ISERROR($J$887),"",IF(ISBLANK($J$887),"",$J$887))</f>
        <v/>
      </c>
      <c r="AG887" s="2">
        <f>ISERROR($B$887)*1+ISERROR($C$887)*1+ISERROR($D$887)*1+ISERROR($E$887)*1+ISERROR($F$887)*1+ISERROR($G$887)*1+ISERROR($H$887)*1+ISERROR($I$887)*1+ISERROR($J$887)*1</f>
        <v/>
      </c>
    </row>
    <row r="888" ht="26" customHeight="1">
      <c r="B888" s="35" t="n"/>
      <c r="C888" s="29" t="n"/>
      <c r="D888" s="29" t="n"/>
      <c r="E888" s="29" t="n"/>
      <c r="F888" s="29" t="n"/>
      <c r="G888" s="29" t="n"/>
      <c r="H888" s="29" t="n"/>
      <c r="I888" s="29" t="n"/>
      <c r="J888" s="29" t="n"/>
      <c r="K888" s="19">
        <f>IF(AG888&gt;0,"O Google leu como fórmula: digite de novo com ' na frente.","")</f>
        <v/>
      </c>
      <c r="N888" s="2">
        <f>N887+IF(LEN($X$888)&gt;0,1,0)</f>
        <v/>
      </c>
      <c r="O888" s="2">
        <f>O887+IF(LEN($Y$888)&gt;0,1,0)</f>
        <v/>
      </c>
      <c r="P888" s="2">
        <f>P887+IF(LEN($Z$888)&gt;0,1,0)</f>
        <v/>
      </c>
      <c r="Q888" s="2">
        <f>Q887+IF(LEN($AA$888)&gt;0,1,0)</f>
        <v/>
      </c>
      <c r="R888" s="2">
        <f>R887+IF(LEN($AB$888)&gt;0,1,0)</f>
        <v/>
      </c>
      <c r="S888" s="2">
        <f>S887+IF(LEN($AC$888)&gt;0,1,0)</f>
        <v/>
      </c>
      <c r="T888" s="2">
        <f>T887+IF(LEN($AD$888)&gt;0,1,0)</f>
        <v/>
      </c>
      <c r="U888" s="2">
        <f>U887+IF(LEN($AE$888)&gt;0,1,0)</f>
        <v/>
      </c>
      <c r="V888" s="2">
        <f>V887+IF(LEN($AF$888)&gt;0,1,0)</f>
        <v/>
      </c>
      <c r="X888" s="2">
        <f>IF(ISERROR($B$888),"",IF(ISBLANK($B$888),"",$B$888))</f>
        <v/>
      </c>
      <c r="Y888" s="2">
        <f>IF(ISERROR($C$888),"",IF(ISBLANK($C$888),"",$C$888))</f>
        <v/>
      </c>
      <c r="Z888" s="2">
        <f>IF(ISERROR($D$888),"",IF(ISBLANK($D$888),"",$D$888))</f>
        <v/>
      </c>
      <c r="AA888" s="2">
        <f>IF(ISERROR($E$888),"",IF(ISBLANK($E$888),"",$E$888))</f>
        <v/>
      </c>
      <c r="AB888" s="2">
        <f>IF(ISERROR($F$888),"",IF(ISBLANK($F$888),"",$F$888))</f>
        <v/>
      </c>
      <c r="AC888" s="2">
        <f>IF(ISERROR($G$888),"",IF(ISBLANK($G$888),"",$G$888))</f>
        <v/>
      </c>
      <c r="AD888" s="2">
        <f>IF(ISERROR($H$888),"",IF(ISBLANK($H$888),"",$H$888))</f>
        <v/>
      </c>
      <c r="AE888" s="2">
        <f>IF(ISERROR($I$888),"",IF(ISBLANK($I$888),"",$I$888))</f>
        <v/>
      </c>
      <c r="AF888" s="2">
        <f>IF(ISERROR($J$888),"",IF(ISBLANK($J$888),"",$J$888))</f>
        <v/>
      </c>
      <c r="AG888" s="2">
        <f>ISERROR($B$888)*1+ISERROR($C$888)*1+ISERROR($D$888)*1+ISERROR($E$888)*1+ISERROR($F$888)*1+ISERROR($G$888)*1+ISERROR($H$888)*1+ISERROR($I$888)*1+ISERROR($J$888)*1</f>
        <v/>
      </c>
    </row>
    <row r="889" ht="26" customHeight="1">
      <c r="B889" s="33" t="n"/>
      <c r="C889" s="4" t="n"/>
      <c r="D889" s="4" t="n"/>
      <c r="E889" s="4" t="n"/>
      <c r="F889" s="4" t="n"/>
      <c r="G889" s="4" t="n"/>
      <c r="H889" s="4" t="n"/>
      <c r="I889" s="4" t="n"/>
      <c r="J889" s="4" t="n"/>
      <c r="K889" s="19">
        <f>IF(AG889&gt;0,"O Google leu como fórmula: digite de novo com ' na frente.","")</f>
        <v/>
      </c>
      <c r="N889" s="2">
        <f>N888+IF(LEN($X$889)&gt;0,1,0)</f>
        <v/>
      </c>
      <c r="O889" s="2">
        <f>O888+IF(LEN($Y$889)&gt;0,1,0)</f>
        <v/>
      </c>
      <c r="P889" s="2">
        <f>P888+IF(LEN($Z$889)&gt;0,1,0)</f>
        <v/>
      </c>
      <c r="Q889" s="2">
        <f>Q888+IF(LEN($AA$889)&gt;0,1,0)</f>
        <v/>
      </c>
      <c r="R889" s="2">
        <f>R888+IF(LEN($AB$889)&gt;0,1,0)</f>
        <v/>
      </c>
      <c r="S889" s="2">
        <f>S888+IF(LEN($AC$889)&gt;0,1,0)</f>
        <v/>
      </c>
      <c r="T889" s="2">
        <f>T888+IF(LEN($AD$889)&gt;0,1,0)</f>
        <v/>
      </c>
      <c r="U889" s="2">
        <f>U888+IF(LEN($AE$889)&gt;0,1,0)</f>
        <v/>
      </c>
      <c r="V889" s="2">
        <f>V888+IF(LEN($AF$889)&gt;0,1,0)</f>
        <v/>
      </c>
      <c r="X889" s="2">
        <f>IF(ISERROR($B$889),"",IF(ISBLANK($B$889),"",$B$889))</f>
        <v/>
      </c>
      <c r="Y889" s="2">
        <f>IF(ISERROR($C$889),"",IF(ISBLANK($C$889),"",$C$889))</f>
        <v/>
      </c>
      <c r="Z889" s="2">
        <f>IF(ISERROR($D$889),"",IF(ISBLANK($D$889),"",$D$889))</f>
        <v/>
      </c>
      <c r="AA889" s="2">
        <f>IF(ISERROR($E$889),"",IF(ISBLANK($E$889),"",$E$889))</f>
        <v/>
      </c>
      <c r="AB889" s="2">
        <f>IF(ISERROR($F$889),"",IF(ISBLANK($F$889),"",$F$889))</f>
        <v/>
      </c>
      <c r="AC889" s="2">
        <f>IF(ISERROR($G$889),"",IF(ISBLANK($G$889),"",$G$889))</f>
        <v/>
      </c>
      <c r="AD889" s="2">
        <f>IF(ISERROR($H$889),"",IF(ISBLANK($H$889),"",$H$889))</f>
        <v/>
      </c>
      <c r="AE889" s="2">
        <f>IF(ISERROR($I$889),"",IF(ISBLANK($I$889),"",$I$889))</f>
        <v/>
      </c>
      <c r="AF889" s="2">
        <f>IF(ISERROR($J$889),"",IF(ISBLANK($J$889),"",$J$889))</f>
        <v/>
      </c>
      <c r="AG889" s="2">
        <f>ISERROR($B$889)*1+ISERROR($C$889)*1+ISERROR($D$889)*1+ISERROR($E$889)*1+ISERROR($F$889)*1+ISERROR($G$889)*1+ISERROR($H$889)*1+ISERROR($I$889)*1+ISERROR($J$889)*1</f>
        <v/>
      </c>
    </row>
    <row r="890" ht="26" customHeight="1">
      <c r="B890" s="35" t="n"/>
      <c r="C890" s="29" t="n"/>
      <c r="D890" s="29" t="n"/>
      <c r="E890" s="29" t="n"/>
      <c r="F890" s="29" t="n"/>
      <c r="G890" s="29" t="n"/>
      <c r="H890" s="29" t="n"/>
      <c r="I890" s="29" t="n"/>
      <c r="J890" s="29" t="n"/>
      <c r="K890" s="19">
        <f>IF(AG890&gt;0,"O Google leu como fórmula: digite de novo com ' na frente.","")</f>
        <v/>
      </c>
      <c r="N890" s="2">
        <f>N889+IF(LEN($X$890)&gt;0,1,0)</f>
        <v/>
      </c>
      <c r="O890" s="2">
        <f>O889+IF(LEN($Y$890)&gt;0,1,0)</f>
        <v/>
      </c>
      <c r="P890" s="2">
        <f>P889+IF(LEN($Z$890)&gt;0,1,0)</f>
        <v/>
      </c>
      <c r="Q890" s="2">
        <f>Q889+IF(LEN($AA$890)&gt;0,1,0)</f>
        <v/>
      </c>
      <c r="R890" s="2">
        <f>R889+IF(LEN($AB$890)&gt;0,1,0)</f>
        <v/>
      </c>
      <c r="S890" s="2">
        <f>S889+IF(LEN($AC$890)&gt;0,1,0)</f>
        <v/>
      </c>
      <c r="T890" s="2">
        <f>T889+IF(LEN($AD$890)&gt;0,1,0)</f>
        <v/>
      </c>
      <c r="U890" s="2">
        <f>U889+IF(LEN($AE$890)&gt;0,1,0)</f>
        <v/>
      </c>
      <c r="V890" s="2">
        <f>V889+IF(LEN($AF$890)&gt;0,1,0)</f>
        <v/>
      </c>
      <c r="X890" s="2">
        <f>IF(ISERROR($B$890),"",IF(ISBLANK($B$890),"",$B$890))</f>
        <v/>
      </c>
      <c r="Y890" s="2">
        <f>IF(ISERROR($C$890),"",IF(ISBLANK($C$890),"",$C$890))</f>
        <v/>
      </c>
      <c r="Z890" s="2">
        <f>IF(ISERROR($D$890),"",IF(ISBLANK($D$890),"",$D$890))</f>
        <v/>
      </c>
      <c r="AA890" s="2">
        <f>IF(ISERROR($E$890),"",IF(ISBLANK($E$890),"",$E$890))</f>
        <v/>
      </c>
      <c r="AB890" s="2">
        <f>IF(ISERROR($F$890),"",IF(ISBLANK($F$890),"",$F$890))</f>
        <v/>
      </c>
      <c r="AC890" s="2">
        <f>IF(ISERROR($G$890),"",IF(ISBLANK($G$890),"",$G$890))</f>
        <v/>
      </c>
      <c r="AD890" s="2">
        <f>IF(ISERROR($H$890),"",IF(ISBLANK($H$890),"",$H$890))</f>
        <v/>
      </c>
      <c r="AE890" s="2">
        <f>IF(ISERROR($I$890),"",IF(ISBLANK($I$890),"",$I$890))</f>
        <v/>
      </c>
      <c r="AF890" s="2">
        <f>IF(ISERROR($J$890),"",IF(ISBLANK($J$890),"",$J$890))</f>
        <v/>
      </c>
      <c r="AG890" s="2">
        <f>ISERROR($B$890)*1+ISERROR($C$890)*1+ISERROR($D$890)*1+ISERROR($E$890)*1+ISERROR($F$890)*1+ISERROR($G$890)*1+ISERROR($H$890)*1+ISERROR($I$890)*1+ISERROR($J$890)*1</f>
        <v/>
      </c>
    </row>
    <row r="891" ht="26" customHeight="1">
      <c r="B891" s="33" t="n"/>
      <c r="C891" s="4" t="n"/>
      <c r="D891" s="4" t="n"/>
      <c r="E891" s="4" t="n"/>
      <c r="F891" s="4" t="n"/>
      <c r="G891" s="4" t="n"/>
      <c r="H891" s="4" t="n"/>
      <c r="I891" s="4" t="n"/>
      <c r="J891" s="4" t="n"/>
      <c r="K891" s="19">
        <f>IF(AG891&gt;0,"O Google leu como fórmula: digite de novo com ' na frente.","")</f>
        <v/>
      </c>
      <c r="N891" s="2">
        <f>N890+IF(LEN($X$891)&gt;0,1,0)</f>
        <v/>
      </c>
      <c r="O891" s="2">
        <f>O890+IF(LEN($Y$891)&gt;0,1,0)</f>
        <v/>
      </c>
      <c r="P891" s="2">
        <f>P890+IF(LEN($Z$891)&gt;0,1,0)</f>
        <v/>
      </c>
      <c r="Q891" s="2">
        <f>Q890+IF(LEN($AA$891)&gt;0,1,0)</f>
        <v/>
      </c>
      <c r="R891" s="2">
        <f>R890+IF(LEN($AB$891)&gt;0,1,0)</f>
        <v/>
      </c>
      <c r="S891" s="2">
        <f>S890+IF(LEN($AC$891)&gt;0,1,0)</f>
        <v/>
      </c>
      <c r="T891" s="2">
        <f>T890+IF(LEN($AD$891)&gt;0,1,0)</f>
        <v/>
      </c>
      <c r="U891" s="2">
        <f>U890+IF(LEN($AE$891)&gt;0,1,0)</f>
        <v/>
      </c>
      <c r="V891" s="2">
        <f>V890+IF(LEN($AF$891)&gt;0,1,0)</f>
        <v/>
      </c>
      <c r="X891" s="2">
        <f>IF(ISERROR($B$891),"",IF(ISBLANK($B$891),"",$B$891))</f>
        <v/>
      </c>
      <c r="Y891" s="2">
        <f>IF(ISERROR($C$891),"",IF(ISBLANK($C$891),"",$C$891))</f>
        <v/>
      </c>
      <c r="Z891" s="2">
        <f>IF(ISERROR($D$891),"",IF(ISBLANK($D$891),"",$D$891))</f>
        <v/>
      </c>
      <c r="AA891" s="2">
        <f>IF(ISERROR($E$891),"",IF(ISBLANK($E$891),"",$E$891))</f>
        <v/>
      </c>
      <c r="AB891" s="2">
        <f>IF(ISERROR($F$891),"",IF(ISBLANK($F$891),"",$F$891))</f>
        <v/>
      </c>
      <c r="AC891" s="2">
        <f>IF(ISERROR($G$891),"",IF(ISBLANK($G$891),"",$G$891))</f>
        <v/>
      </c>
      <c r="AD891" s="2">
        <f>IF(ISERROR($H$891),"",IF(ISBLANK($H$891),"",$H$891))</f>
        <v/>
      </c>
      <c r="AE891" s="2">
        <f>IF(ISERROR($I$891),"",IF(ISBLANK($I$891),"",$I$891))</f>
        <v/>
      </c>
      <c r="AF891" s="2">
        <f>IF(ISERROR($J$891),"",IF(ISBLANK($J$891),"",$J$891))</f>
        <v/>
      </c>
      <c r="AG891" s="2">
        <f>ISERROR($B$891)*1+ISERROR($C$891)*1+ISERROR($D$891)*1+ISERROR($E$891)*1+ISERROR($F$891)*1+ISERROR($G$891)*1+ISERROR($H$891)*1+ISERROR($I$891)*1+ISERROR($J$891)*1</f>
        <v/>
      </c>
    </row>
    <row r="892" ht="26" customHeight="1">
      <c r="B892" s="35" t="n"/>
      <c r="C892" s="29" t="n"/>
      <c r="D892" s="29" t="n"/>
      <c r="E892" s="29" t="n"/>
      <c r="F892" s="29" t="n"/>
      <c r="G892" s="29" t="n"/>
      <c r="H892" s="29" t="n"/>
      <c r="I892" s="29" t="n"/>
      <c r="J892" s="29" t="n"/>
      <c r="K892" s="19">
        <f>IF(AG892&gt;0,"O Google leu como fórmula: digite de novo com ' na frente.","")</f>
        <v/>
      </c>
      <c r="N892" s="2">
        <f>N891+IF(LEN($X$892)&gt;0,1,0)</f>
        <v/>
      </c>
      <c r="O892" s="2">
        <f>O891+IF(LEN($Y$892)&gt;0,1,0)</f>
        <v/>
      </c>
      <c r="P892" s="2">
        <f>P891+IF(LEN($Z$892)&gt;0,1,0)</f>
        <v/>
      </c>
      <c r="Q892" s="2">
        <f>Q891+IF(LEN($AA$892)&gt;0,1,0)</f>
        <v/>
      </c>
      <c r="R892" s="2">
        <f>R891+IF(LEN($AB$892)&gt;0,1,0)</f>
        <v/>
      </c>
      <c r="S892" s="2">
        <f>S891+IF(LEN($AC$892)&gt;0,1,0)</f>
        <v/>
      </c>
      <c r="T892" s="2">
        <f>T891+IF(LEN($AD$892)&gt;0,1,0)</f>
        <v/>
      </c>
      <c r="U892" s="2">
        <f>U891+IF(LEN($AE$892)&gt;0,1,0)</f>
        <v/>
      </c>
      <c r="V892" s="2">
        <f>V891+IF(LEN($AF$892)&gt;0,1,0)</f>
        <v/>
      </c>
      <c r="X892" s="2">
        <f>IF(ISERROR($B$892),"",IF(ISBLANK($B$892),"",$B$892))</f>
        <v/>
      </c>
      <c r="Y892" s="2">
        <f>IF(ISERROR($C$892),"",IF(ISBLANK($C$892),"",$C$892))</f>
        <v/>
      </c>
      <c r="Z892" s="2">
        <f>IF(ISERROR($D$892),"",IF(ISBLANK($D$892),"",$D$892))</f>
        <v/>
      </c>
      <c r="AA892" s="2">
        <f>IF(ISERROR($E$892),"",IF(ISBLANK($E$892),"",$E$892))</f>
        <v/>
      </c>
      <c r="AB892" s="2">
        <f>IF(ISERROR($F$892),"",IF(ISBLANK($F$892),"",$F$892))</f>
        <v/>
      </c>
      <c r="AC892" s="2">
        <f>IF(ISERROR($G$892),"",IF(ISBLANK($G$892),"",$G$892))</f>
        <v/>
      </c>
      <c r="AD892" s="2">
        <f>IF(ISERROR($H$892),"",IF(ISBLANK($H$892),"",$H$892))</f>
        <v/>
      </c>
      <c r="AE892" s="2">
        <f>IF(ISERROR($I$892),"",IF(ISBLANK($I$892),"",$I$892))</f>
        <v/>
      </c>
      <c r="AF892" s="2">
        <f>IF(ISERROR($J$892),"",IF(ISBLANK($J$892),"",$J$892))</f>
        <v/>
      </c>
      <c r="AG892" s="2">
        <f>ISERROR($B$892)*1+ISERROR($C$892)*1+ISERROR($D$892)*1+ISERROR($E$892)*1+ISERROR($F$892)*1+ISERROR($G$892)*1+ISERROR($H$892)*1+ISERROR($I$892)*1+ISERROR($J$892)*1</f>
        <v/>
      </c>
    </row>
    <row r="893" ht="26" customHeight="1">
      <c r="B893" s="33" t="n"/>
      <c r="C893" s="4" t="n"/>
      <c r="D893" s="4" t="n"/>
      <c r="E893" s="4" t="n"/>
      <c r="F893" s="4" t="n"/>
      <c r="G893" s="4" t="n"/>
      <c r="H893" s="4" t="n"/>
      <c r="I893" s="4" t="n"/>
      <c r="J893" s="4" t="n"/>
      <c r="K893" s="19">
        <f>IF(AG893&gt;0,"O Google leu como fórmula: digite de novo com ' na frente.","")</f>
        <v/>
      </c>
      <c r="N893" s="2">
        <f>N892+IF(LEN($X$893)&gt;0,1,0)</f>
        <v/>
      </c>
      <c r="O893" s="2">
        <f>O892+IF(LEN($Y$893)&gt;0,1,0)</f>
        <v/>
      </c>
      <c r="P893" s="2">
        <f>P892+IF(LEN($Z$893)&gt;0,1,0)</f>
        <v/>
      </c>
      <c r="Q893" s="2">
        <f>Q892+IF(LEN($AA$893)&gt;0,1,0)</f>
        <v/>
      </c>
      <c r="R893" s="2">
        <f>R892+IF(LEN($AB$893)&gt;0,1,0)</f>
        <v/>
      </c>
      <c r="S893" s="2">
        <f>S892+IF(LEN($AC$893)&gt;0,1,0)</f>
        <v/>
      </c>
      <c r="T893" s="2">
        <f>T892+IF(LEN($AD$893)&gt;0,1,0)</f>
        <v/>
      </c>
      <c r="U893" s="2">
        <f>U892+IF(LEN($AE$893)&gt;0,1,0)</f>
        <v/>
      </c>
      <c r="V893" s="2">
        <f>V892+IF(LEN($AF$893)&gt;0,1,0)</f>
        <v/>
      </c>
      <c r="X893" s="2">
        <f>IF(ISERROR($B$893),"",IF(ISBLANK($B$893),"",$B$893))</f>
        <v/>
      </c>
      <c r="Y893" s="2">
        <f>IF(ISERROR($C$893),"",IF(ISBLANK($C$893),"",$C$893))</f>
        <v/>
      </c>
      <c r="Z893" s="2">
        <f>IF(ISERROR($D$893),"",IF(ISBLANK($D$893),"",$D$893))</f>
        <v/>
      </c>
      <c r="AA893" s="2">
        <f>IF(ISERROR($E$893),"",IF(ISBLANK($E$893),"",$E$893))</f>
        <v/>
      </c>
      <c r="AB893" s="2">
        <f>IF(ISERROR($F$893),"",IF(ISBLANK($F$893),"",$F$893))</f>
        <v/>
      </c>
      <c r="AC893" s="2">
        <f>IF(ISERROR($G$893),"",IF(ISBLANK($G$893),"",$G$893))</f>
        <v/>
      </c>
      <c r="AD893" s="2">
        <f>IF(ISERROR($H$893),"",IF(ISBLANK($H$893),"",$H$893))</f>
        <v/>
      </c>
      <c r="AE893" s="2">
        <f>IF(ISERROR($I$893),"",IF(ISBLANK($I$893),"",$I$893))</f>
        <v/>
      </c>
      <c r="AF893" s="2">
        <f>IF(ISERROR($J$893),"",IF(ISBLANK($J$893),"",$J$893))</f>
        <v/>
      </c>
      <c r="AG893" s="2">
        <f>ISERROR($B$893)*1+ISERROR($C$893)*1+ISERROR($D$893)*1+ISERROR($E$893)*1+ISERROR($F$893)*1+ISERROR($G$893)*1+ISERROR($H$893)*1+ISERROR($I$893)*1+ISERROR($J$893)*1</f>
        <v/>
      </c>
    </row>
    <row r="894" ht="26" customHeight="1">
      <c r="B894" s="35" t="n"/>
      <c r="C894" s="29" t="n"/>
      <c r="D894" s="29" t="n"/>
      <c r="E894" s="29" t="n"/>
      <c r="F894" s="29" t="n"/>
      <c r="G894" s="29" t="n"/>
      <c r="H894" s="29" t="n"/>
      <c r="I894" s="29" t="n"/>
      <c r="J894" s="29" t="n"/>
      <c r="K894" s="19">
        <f>IF(AG894&gt;0,"O Google leu como fórmula: digite de novo com ' na frente.","")</f>
        <v/>
      </c>
      <c r="N894" s="2">
        <f>N893+IF(LEN($X$894)&gt;0,1,0)</f>
        <v/>
      </c>
      <c r="O894" s="2">
        <f>O893+IF(LEN($Y$894)&gt;0,1,0)</f>
        <v/>
      </c>
      <c r="P894" s="2">
        <f>P893+IF(LEN($Z$894)&gt;0,1,0)</f>
        <v/>
      </c>
      <c r="Q894" s="2">
        <f>Q893+IF(LEN($AA$894)&gt;0,1,0)</f>
        <v/>
      </c>
      <c r="R894" s="2">
        <f>R893+IF(LEN($AB$894)&gt;0,1,0)</f>
        <v/>
      </c>
      <c r="S894" s="2">
        <f>S893+IF(LEN($AC$894)&gt;0,1,0)</f>
        <v/>
      </c>
      <c r="T894" s="2">
        <f>T893+IF(LEN($AD$894)&gt;0,1,0)</f>
        <v/>
      </c>
      <c r="U894" s="2">
        <f>U893+IF(LEN($AE$894)&gt;0,1,0)</f>
        <v/>
      </c>
      <c r="V894" s="2">
        <f>V893+IF(LEN($AF$894)&gt;0,1,0)</f>
        <v/>
      </c>
      <c r="X894" s="2">
        <f>IF(ISERROR($B$894),"",IF(ISBLANK($B$894),"",$B$894))</f>
        <v/>
      </c>
      <c r="Y894" s="2">
        <f>IF(ISERROR($C$894),"",IF(ISBLANK($C$894),"",$C$894))</f>
        <v/>
      </c>
      <c r="Z894" s="2">
        <f>IF(ISERROR($D$894),"",IF(ISBLANK($D$894),"",$D$894))</f>
        <v/>
      </c>
      <c r="AA894" s="2">
        <f>IF(ISERROR($E$894),"",IF(ISBLANK($E$894),"",$E$894))</f>
        <v/>
      </c>
      <c r="AB894" s="2">
        <f>IF(ISERROR($F$894),"",IF(ISBLANK($F$894),"",$F$894))</f>
        <v/>
      </c>
      <c r="AC894" s="2">
        <f>IF(ISERROR($G$894),"",IF(ISBLANK($G$894),"",$G$894))</f>
        <v/>
      </c>
      <c r="AD894" s="2">
        <f>IF(ISERROR($H$894),"",IF(ISBLANK($H$894),"",$H$894))</f>
        <v/>
      </c>
      <c r="AE894" s="2">
        <f>IF(ISERROR($I$894),"",IF(ISBLANK($I$894),"",$I$894))</f>
        <v/>
      </c>
      <c r="AF894" s="2">
        <f>IF(ISERROR($J$894),"",IF(ISBLANK($J$894),"",$J$894))</f>
        <v/>
      </c>
      <c r="AG894" s="2">
        <f>ISERROR($B$894)*1+ISERROR($C$894)*1+ISERROR($D$894)*1+ISERROR($E$894)*1+ISERROR($F$894)*1+ISERROR($G$894)*1+ISERROR($H$894)*1+ISERROR($I$894)*1+ISERROR($J$894)*1</f>
        <v/>
      </c>
    </row>
    <row r="895" ht="26" customHeight="1">
      <c r="B895" s="33" t="n"/>
      <c r="C895" s="4" t="n"/>
      <c r="D895" s="4" t="n"/>
      <c r="E895" s="4" t="n"/>
      <c r="F895" s="4" t="n"/>
      <c r="G895" s="4" t="n"/>
      <c r="H895" s="4" t="n"/>
      <c r="I895" s="4" t="n"/>
      <c r="J895" s="4" t="n"/>
      <c r="K895" s="19">
        <f>IF(AG895&gt;0,"O Google leu como fórmula: digite de novo com ' na frente.","")</f>
        <v/>
      </c>
      <c r="N895" s="2">
        <f>N894+IF(LEN($X$895)&gt;0,1,0)</f>
        <v/>
      </c>
      <c r="O895" s="2">
        <f>O894+IF(LEN($Y$895)&gt;0,1,0)</f>
        <v/>
      </c>
      <c r="P895" s="2">
        <f>P894+IF(LEN($Z$895)&gt;0,1,0)</f>
        <v/>
      </c>
      <c r="Q895" s="2">
        <f>Q894+IF(LEN($AA$895)&gt;0,1,0)</f>
        <v/>
      </c>
      <c r="R895" s="2">
        <f>R894+IF(LEN($AB$895)&gt;0,1,0)</f>
        <v/>
      </c>
      <c r="S895" s="2">
        <f>S894+IF(LEN($AC$895)&gt;0,1,0)</f>
        <v/>
      </c>
      <c r="T895" s="2">
        <f>T894+IF(LEN($AD$895)&gt;0,1,0)</f>
        <v/>
      </c>
      <c r="U895" s="2">
        <f>U894+IF(LEN($AE$895)&gt;0,1,0)</f>
        <v/>
      </c>
      <c r="V895" s="2">
        <f>V894+IF(LEN($AF$895)&gt;0,1,0)</f>
        <v/>
      </c>
      <c r="X895" s="2">
        <f>IF(ISERROR($B$895),"",IF(ISBLANK($B$895),"",$B$895))</f>
        <v/>
      </c>
      <c r="Y895" s="2">
        <f>IF(ISERROR($C$895),"",IF(ISBLANK($C$895),"",$C$895))</f>
        <v/>
      </c>
      <c r="Z895" s="2">
        <f>IF(ISERROR($D$895),"",IF(ISBLANK($D$895),"",$D$895))</f>
        <v/>
      </c>
      <c r="AA895" s="2">
        <f>IF(ISERROR($E$895),"",IF(ISBLANK($E$895),"",$E$895))</f>
        <v/>
      </c>
      <c r="AB895" s="2">
        <f>IF(ISERROR($F$895),"",IF(ISBLANK($F$895),"",$F$895))</f>
        <v/>
      </c>
      <c r="AC895" s="2">
        <f>IF(ISERROR($G$895),"",IF(ISBLANK($G$895),"",$G$895))</f>
        <v/>
      </c>
      <c r="AD895" s="2">
        <f>IF(ISERROR($H$895),"",IF(ISBLANK($H$895),"",$H$895))</f>
        <v/>
      </c>
      <c r="AE895" s="2">
        <f>IF(ISERROR($I$895),"",IF(ISBLANK($I$895),"",$I$895))</f>
        <v/>
      </c>
      <c r="AF895" s="2">
        <f>IF(ISERROR($J$895),"",IF(ISBLANK($J$895),"",$J$895))</f>
        <v/>
      </c>
      <c r="AG895" s="2">
        <f>ISERROR($B$895)*1+ISERROR($C$895)*1+ISERROR($D$895)*1+ISERROR($E$895)*1+ISERROR($F$895)*1+ISERROR($G$895)*1+ISERROR($H$895)*1+ISERROR($I$895)*1+ISERROR($J$895)*1</f>
        <v/>
      </c>
    </row>
    <row r="896" ht="26" customHeight="1">
      <c r="B896" s="35" t="n"/>
      <c r="C896" s="29" t="n"/>
      <c r="D896" s="29" t="n"/>
      <c r="E896" s="29" t="n"/>
      <c r="F896" s="29" t="n"/>
      <c r="G896" s="29" t="n"/>
      <c r="H896" s="29" t="n"/>
      <c r="I896" s="29" t="n"/>
      <c r="J896" s="29" t="n"/>
      <c r="K896" s="19">
        <f>IF(AG896&gt;0,"O Google leu como fórmula: digite de novo com ' na frente.","")</f>
        <v/>
      </c>
      <c r="N896" s="2">
        <f>N895+IF(LEN($X$896)&gt;0,1,0)</f>
        <v/>
      </c>
      <c r="O896" s="2">
        <f>O895+IF(LEN($Y$896)&gt;0,1,0)</f>
        <v/>
      </c>
      <c r="P896" s="2">
        <f>P895+IF(LEN($Z$896)&gt;0,1,0)</f>
        <v/>
      </c>
      <c r="Q896" s="2">
        <f>Q895+IF(LEN($AA$896)&gt;0,1,0)</f>
        <v/>
      </c>
      <c r="R896" s="2">
        <f>R895+IF(LEN($AB$896)&gt;0,1,0)</f>
        <v/>
      </c>
      <c r="S896" s="2">
        <f>S895+IF(LEN($AC$896)&gt;0,1,0)</f>
        <v/>
      </c>
      <c r="T896" s="2">
        <f>T895+IF(LEN($AD$896)&gt;0,1,0)</f>
        <v/>
      </c>
      <c r="U896" s="2">
        <f>U895+IF(LEN($AE$896)&gt;0,1,0)</f>
        <v/>
      </c>
      <c r="V896" s="2">
        <f>V895+IF(LEN($AF$896)&gt;0,1,0)</f>
        <v/>
      </c>
      <c r="X896" s="2">
        <f>IF(ISERROR($B$896),"",IF(ISBLANK($B$896),"",$B$896))</f>
        <v/>
      </c>
      <c r="Y896" s="2">
        <f>IF(ISERROR($C$896),"",IF(ISBLANK($C$896),"",$C$896))</f>
        <v/>
      </c>
      <c r="Z896" s="2">
        <f>IF(ISERROR($D$896),"",IF(ISBLANK($D$896),"",$D$896))</f>
        <v/>
      </c>
      <c r="AA896" s="2">
        <f>IF(ISERROR($E$896),"",IF(ISBLANK($E$896),"",$E$896))</f>
        <v/>
      </c>
      <c r="AB896" s="2">
        <f>IF(ISERROR($F$896),"",IF(ISBLANK($F$896),"",$F$896))</f>
        <v/>
      </c>
      <c r="AC896" s="2">
        <f>IF(ISERROR($G$896),"",IF(ISBLANK($G$896),"",$G$896))</f>
        <v/>
      </c>
      <c r="AD896" s="2">
        <f>IF(ISERROR($H$896),"",IF(ISBLANK($H$896),"",$H$896))</f>
        <v/>
      </c>
      <c r="AE896" s="2">
        <f>IF(ISERROR($I$896),"",IF(ISBLANK($I$896),"",$I$896))</f>
        <v/>
      </c>
      <c r="AF896" s="2">
        <f>IF(ISERROR($J$896),"",IF(ISBLANK($J$896),"",$J$896))</f>
        <v/>
      </c>
      <c r="AG896" s="2">
        <f>ISERROR($B$896)*1+ISERROR($C$896)*1+ISERROR($D$896)*1+ISERROR($E$896)*1+ISERROR($F$896)*1+ISERROR($G$896)*1+ISERROR($H$896)*1+ISERROR($I$896)*1+ISERROR($J$896)*1</f>
        <v/>
      </c>
    </row>
    <row r="897" ht="26" customHeight="1">
      <c r="B897" s="33" t="n"/>
      <c r="C897" s="4" t="n"/>
      <c r="D897" s="4" t="n"/>
      <c r="E897" s="4" t="n"/>
      <c r="F897" s="4" t="n"/>
      <c r="G897" s="4" t="n"/>
      <c r="H897" s="4" t="n"/>
      <c r="I897" s="4" t="n"/>
      <c r="J897" s="4" t="n"/>
      <c r="K897" s="19">
        <f>IF(AG897&gt;0,"O Google leu como fórmula: digite de novo com ' na frente.","")</f>
        <v/>
      </c>
      <c r="N897" s="2">
        <f>N896+IF(LEN($X$897)&gt;0,1,0)</f>
        <v/>
      </c>
      <c r="O897" s="2">
        <f>O896+IF(LEN($Y$897)&gt;0,1,0)</f>
        <v/>
      </c>
      <c r="P897" s="2">
        <f>P896+IF(LEN($Z$897)&gt;0,1,0)</f>
        <v/>
      </c>
      <c r="Q897" s="2">
        <f>Q896+IF(LEN($AA$897)&gt;0,1,0)</f>
        <v/>
      </c>
      <c r="R897" s="2">
        <f>R896+IF(LEN($AB$897)&gt;0,1,0)</f>
        <v/>
      </c>
      <c r="S897" s="2">
        <f>S896+IF(LEN($AC$897)&gt;0,1,0)</f>
        <v/>
      </c>
      <c r="T897" s="2">
        <f>T896+IF(LEN($AD$897)&gt;0,1,0)</f>
        <v/>
      </c>
      <c r="U897" s="2">
        <f>U896+IF(LEN($AE$897)&gt;0,1,0)</f>
        <v/>
      </c>
      <c r="V897" s="2">
        <f>V896+IF(LEN($AF$897)&gt;0,1,0)</f>
        <v/>
      </c>
      <c r="X897" s="2">
        <f>IF(ISERROR($B$897),"",IF(ISBLANK($B$897),"",$B$897))</f>
        <v/>
      </c>
      <c r="Y897" s="2">
        <f>IF(ISERROR($C$897),"",IF(ISBLANK($C$897),"",$C$897))</f>
        <v/>
      </c>
      <c r="Z897" s="2">
        <f>IF(ISERROR($D$897),"",IF(ISBLANK($D$897),"",$D$897))</f>
        <v/>
      </c>
      <c r="AA897" s="2">
        <f>IF(ISERROR($E$897),"",IF(ISBLANK($E$897),"",$E$897))</f>
        <v/>
      </c>
      <c r="AB897" s="2">
        <f>IF(ISERROR($F$897),"",IF(ISBLANK($F$897),"",$F$897))</f>
        <v/>
      </c>
      <c r="AC897" s="2">
        <f>IF(ISERROR($G$897),"",IF(ISBLANK($G$897),"",$G$897))</f>
        <v/>
      </c>
      <c r="AD897" s="2">
        <f>IF(ISERROR($H$897),"",IF(ISBLANK($H$897),"",$H$897))</f>
        <v/>
      </c>
      <c r="AE897" s="2">
        <f>IF(ISERROR($I$897),"",IF(ISBLANK($I$897),"",$I$897))</f>
        <v/>
      </c>
      <c r="AF897" s="2">
        <f>IF(ISERROR($J$897),"",IF(ISBLANK($J$897),"",$J$897))</f>
        <v/>
      </c>
      <c r="AG897" s="2">
        <f>ISERROR($B$897)*1+ISERROR($C$897)*1+ISERROR($D$897)*1+ISERROR($E$897)*1+ISERROR($F$897)*1+ISERROR($G$897)*1+ISERROR($H$897)*1+ISERROR($I$897)*1+ISERROR($J$897)*1</f>
        <v/>
      </c>
    </row>
    <row r="898" ht="26" customHeight="1">
      <c r="B898" s="35" t="n"/>
      <c r="C898" s="29" t="n"/>
      <c r="D898" s="29" t="n"/>
      <c r="E898" s="29" t="n"/>
      <c r="F898" s="29" t="n"/>
      <c r="G898" s="29" t="n"/>
      <c r="H898" s="29" t="n"/>
      <c r="I898" s="29" t="n"/>
      <c r="J898" s="29" t="n"/>
      <c r="K898" s="19">
        <f>IF(AG898&gt;0,"O Google leu como fórmula: digite de novo com ' na frente.","")</f>
        <v/>
      </c>
      <c r="N898" s="2">
        <f>N897+IF(LEN($X$898)&gt;0,1,0)</f>
        <v/>
      </c>
      <c r="O898" s="2">
        <f>O897+IF(LEN($Y$898)&gt;0,1,0)</f>
        <v/>
      </c>
      <c r="P898" s="2">
        <f>P897+IF(LEN($Z$898)&gt;0,1,0)</f>
        <v/>
      </c>
      <c r="Q898" s="2">
        <f>Q897+IF(LEN($AA$898)&gt;0,1,0)</f>
        <v/>
      </c>
      <c r="R898" s="2">
        <f>R897+IF(LEN($AB$898)&gt;0,1,0)</f>
        <v/>
      </c>
      <c r="S898" s="2">
        <f>S897+IF(LEN($AC$898)&gt;0,1,0)</f>
        <v/>
      </c>
      <c r="T898" s="2">
        <f>T897+IF(LEN($AD$898)&gt;0,1,0)</f>
        <v/>
      </c>
      <c r="U898" s="2">
        <f>U897+IF(LEN($AE$898)&gt;0,1,0)</f>
        <v/>
      </c>
      <c r="V898" s="2">
        <f>V897+IF(LEN($AF$898)&gt;0,1,0)</f>
        <v/>
      </c>
      <c r="X898" s="2">
        <f>IF(ISERROR($B$898),"",IF(ISBLANK($B$898),"",$B$898))</f>
        <v/>
      </c>
      <c r="Y898" s="2">
        <f>IF(ISERROR($C$898),"",IF(ISBLANK($C$898),"",$C$898))</f>
        <v/>
      </c>
      <c r="Z898" s="2">
        <f>IF(ISERROR($D$898),"",IF(ISBLANK($D$898),"",$D$898))</f>
        <v/>
      </c>
      <c r="AA898" s="2">
        <f>IF(ISERROR($E$898),"",IF(ISBLANK($E$898),"",$E$898))</f>
        <v/>
      </c>
      <c r="AB898" s="2">
        <f>IF(ISERROR($F$898),"",IF(ISBLANK($F$898),"",$F$898))</f>
        <v/>
      </c>
      <c r="AC898" s="2">
        <f>IF(ISERROR($G$898),"",IF(ISBLANK($G$898),"",$G$898))</f>
        <v/>
      </c>
      <c r="AD898" s="2">
        <f>IF(ISERROR($H$898),"",IF(ISBLANK($H$898),"",$H$898))</f>
        <v/>
      </c>
      <c r="AE898" s="2">
        <f>IF(ISERROR($I$898),"",IF(ISBLANK($I$898),"",$I$898))</f>
        <v/>
      </c>
      <c r="AF898" s="2">
        <f>IF(ISERROR($J$898),"",IF(ISBLANK($J$898),"",$J$898))</f>
        <v/>
      </c>
      <c r="AG898" s="2">
        <f>ISERROR($B$898)*1+ISERROR($C$898)*1+ISERROR($D$898)*1+ISERROR($E$898)*1+ISERROR($F$898)*1+ISERROR($G$898)*1+ISERROR($H$898)*1+ISERROR($I$898)*1+ISERROR($J$898)*1</f>
        <v/>
      </c>
    </row>
    <row r="899" ht="26" customHeight="1">
      <c r="B899" s="33" t="n"/>
      <c r="C899" s="4" t="n"/>
      <c r="D899" s="4" t="n"/>
      <c r="E899" s="4" t="n"/>
      <c r="F899" s="4" t="n"/>
      <c r="G899" s="4" t="n"/>
      <c r="H899" s="4" t="n"/>
      <c r="I899" s="4" t="n"/>
      <c r="J899" s="4" t="n"/>
      <c r="K899" s="19">
        <f>IF(AG899&gt;0,"O Google leu como fórmula: digite de novo com ' na frente.","")</f>
        <v/>
      </c>
      <c r="N899" s="2">
        <f>N898+IF(LEN($X$899)&gt;0,1,0)</f>
        <v/>
      </c>
      <c r="O899" s="2">
        <f>O898+IF(LEN($Y$899)&gt;0,1,0)</f>
        <v/>
      </c>
      <c r="P899" s="2">
        <f>P898+IF(LEN($Z$899)&gt;0,1,0)</f>
        <v/>
      </c>
      <c r="Q899" s="2">
        <f>Q898+IF(LEN($AA$899)&gt;0,1,0)</f>
        <v/>
      </c>
      <c r="R899" s="2">
        <f>R898+IF(LEN($AB$899)&gt;0,1,0)</f>
        <v/>
      </c>
      <c r="S899" s="2">
        <f>S898+IF(LEN($AC$899)&gt;0,1,0)</f>
        <v/>
      </c>
      <c r="T899" s="2">
        <f>T898+IF(LEN($AD$899)&gt;0,1,0)</f>
        <v/>
      </c>
      <c r="U899" s="2">
        <f>U898+IF(LEN($AE$899)&gt;0,1,0)</f>
        <v/>
      </c>
      <c r="V899" s="2">
        <f>V898+IF(LEN($AF$899)&gt;0,1,0)</f>
        <v/>
      </c>
      <c r="X899" s="2">
        <f>IF(ISERROR($B$899),"",IF(ISBLANK($B$899),"",$B$899))</f>
        <v/>
      </c>
      <c r="Y899" s="2">
        <f>IF(ISERROR($C$899),"",IF(ISBLANK($C$899),"",$C$899))</f>
        <v/>
      </c>
      <c r="Z899" s="2">
        <f>IF(ISERROR($D$899),"",IF(ISBLANK($D$899),"",$D$899))</f>
        <v/>
      </c>
      <c r="AA899" s="2">
        <f>IF(ISERROR($E$899),"",IF(ISBLANK($E$899),"",$E$899))</f>
        <v/>
      </c>
      <c r="AB899" s="2">
        <f>IF(ISERROR($F$899),"",IF(ISBLANK($F$899),"",$F$899))</f>
        <v/>
      </c>
      <c r="AC899" s="2">
        <f>IF(ISERROR($G$899),"",IF(ISBLANK($G$899),"",$G$899))</f>
        <v/>
      </c>
      <c r="AD899" s="2">
        <f>IF(ISERROR($H$899),"",IF(ISBLANK($H$899),"",$H$899))</f>
        <v/>
      </c>
      <c r="AE899" s="2">
        <f>IF(ISERROR($I$899),"",IF(ISBLANK($I$899),"",$I$899))</f>
        <v/>
      </c>
      <c r="AF899" s="2">
        <f>IF(ISERROR($J$899),"",IF(ISBLANK($J$899),"",$J$899))</f>
        <v/>
      </c>
      <c r="AG899" s="2">
        <f>ISERROR($B$899)*1+ISERROR($C$899)*1+ISERROR($D$899)*1+ISERROR($E$899)*1+ISERROR($F$899)*1+ISERROR($G$899)*1+ISERROR($H$899)*1+ISERROR($I$899)*1+ISERROR($J$899)*1</f>
        <v/>
      </c>
    </row>
    <row r="900" ht="15" customHeight="1">
      <c r="B900" s="8" t="inlineStr">
        <is>
          <t>Nome de lugar (início)</t>
        </is>
      </c>
      <c r="C900" s="8" t="inlineStr">
        <is>
          <t>Nome de lugar (fim)</t>
        </is>
      </c>
      <c r="D900" s="8" t="inlineStr">
        <is>
          <t>Nome de nave (início)</t>
        </is>
      </c>
      <c r="E900" s="8" t="inlineStr">
        <is>
          <t>Nome de nave (fim)</t>
        </is>
      </c>
      <c r="F900" s="8" t="inlineStr">
        <is>
          <t>Nome de facção (início)</t>
        </is>
      </c>
      <c r="G900" s="8" t="inlineStr">
        <is>
          <t>Nome de facção (fim)</t>
        </is>
      </c>
      <c r="H900" s="8" t="inlineStr">
        <is>
          <t>Organização</t>
        </is>
      </c>
      <c r="I900" s="8" t="inlineStr">
        <is>
          <t>Organização: o que oferece</t>
        </is>
      </c>
      <c r="J900" s="8" t="inlineStr">
        <is>
          <t>Organização: o que cobra</t>
        </is>
      </c>
      <c r="N900" s="2">
        <f>N899</f>
        <v/>
      </c>
      <c r="O900" s="2">
        <f>O899</f>
        <v/>
      </c>
      <c r="P900" s="2">
        <f>P899</f>
        <v/>
      </c>
      <c r="Q900" s="2">
        <f>Q899</f>
        <v/>
      </c>
      <c r="R900" s="2">
        <f>R899</f>
        <v/>
      </c>
      <c r="S900" s="2">
        <f>S899</f>
        <v/>
      </c>
      <c r="T900" s="2">
        <f>T899</f>
        <v/>
      </c>
      <c r="U900" s="2">
        <f>U899</f>
        <v/>
      </c>
      <c r="V900" s="2">
        <f>V899</f>
        <v/>
      </c>
      <c r="X900" s="2">
        <f>IF(ISERROR($B$900),"",IF(ISBLANK($B$900),"",$B$900))</f>
        <v/>
      </c>
      <c r="Y900" s="2">
        <f>IF(ISERROR($C$900),"",IF(ISBLANK($C$900),"",$C$900))</f>
        <v/>
      </c>
      <c r="Z900" s="2">
        <f>IF(ISERROR($D$900),"",IF(ISBLANK($D$900),"",$D$900))</f>
        <v/>
      </c>
      <c r="AA900" s="2">
        <f>IF(ISERROR($E$900),"",IF(ISBLANK($E$900),"",$E$900))</f>
        <v/>
      </c>
      <c r="AB900" s="2">
        <f>IF(ISERROR($F$900),"",IF(ISBLANK($F$900),"",$F$900))</f>
        <v/>
      </c>
      <c r="AC900" s="2">
        <f>IF(ISERROR($G$900),"",IF(ISBLANK($G$900),"",$G$900))</f>
        <v/>
      </c>
      <c r="AD900" s="2">
        <f>IF(ISERROR($H$900),"",IF(ISBLANK($H$900),"",$H$900))</f>
        <v/>
      </c>
      <c r="AE900" s="2">
        <f>IF(ISERROR($I$900),"",IF(ISBLANK($I$900),"",$I$900))</f>
        <v/>
      </c>
      <c r="AF900" s="2">
        <f>IF(ISERROR($J$900),"",IF(ISBLANK($J$900),"",$J$900))</f>
        <v/>
      </c>
    </row>
    <row r="901" ht="26" customHeight="1">
      <c r="B901" s="33" t="n"/>
      <c r="C901" s="4" t="n"/>
      <c r="D901" s="4" t="n"/>
      <c r="E901" s="4" t="n"/>
      <c r="F901" s="4" t="n"/>
      <c r="G901" s="4" t="n"/>
      <c r="H901" s="4" t="n"/>
      <c r="I901" s="4" t="n"/>
      <c r="J901" s="4" t="n"/>
      <c r="K901" s="19">
        <f>IF(AG901&gt;0,"O Google leu como fórmula: digite de novo com ' na frente.","")</f>
        <v/>
      </c>
      <c r="N901" s="2">
        <f>N900+IF(LEN($X$901)&gt;0,1,0)</f>
        <v/>
      </c>
      <c r="O901" s="2">
        <f>O900+IF(LEN($Y$901)&gt;0,1,0)</f>
        <v/>
      </c>
      <c r="P901" s="2">
        <f>P900+IF(LEN($Z$901)&gt;0,1,0)</f>
        <v/>
      </c>
      <c r="Q901" s="2">
        <f>Q900+IF(LEN($AA$901)&gt;0,1,0)</f>
        <v/>
      </c>
      <c r="R901" s="2">
        <f>R900+IF(LEN($AB$901)&gt;0,1,0)</f>
        <v/>
      </c>
      <c r="S901" s="2">
        <f>S900+IF(LEN($AC$901)&gt;0,1,0)</f>
        <v/>
      </c>
      <c r="T901" s="2">
        <f>T900+IF(LEN($AD$901)&gt;0,1,0)</f>
        <v/>
      </c>
      <c r="U901" s="2">
        <f>U900+IF(LEN($AE$901)&gt;0,1,0)</f>
        <v/>
      </c>
      <c r="V901" s="2">
        <f>V900+IF(LEN($AF$901)&gt;0,1,0)</f>
        <v/>
      </c>
      <c r="X901" s="2">
        <f>IF(ISERROR($B$901),"",IF(ISBLANK($B$901),"",$B$901))</f>
        <v/>
      </c>
      <c r="Y901" s="2">
        <f>IF(ISERROR($C$901),"",IF(ISBLANK($C$901),"",$C$901))</f>
        <v/>
      </c>
      <c r="Z901" s="2">
        <f>IF(ISERROR($D$901),"",IF(ISBLANK($D$901),"",$D$901))</f>
        <v/>
      </c>
      <c r="AA901" s="2">
        <f>IF(ISERROR($E$901),"",IF(ISBLANK($E$901),"",$E$901))</f>
        <v/>
      </c>
      <c r="AB901" s="2">
        <f>IF(ISERROR($F$901),"",IF(ISBLANK($F$901),"",$F$901))</f>
        <v/>
      </c>
      <c r="AC901" s="2">
        <f>IF(ISERROR($G$901),"",IF(ISBLANK($G$901),"",$G$901))</f>
        <v/>
      </c>
      <c r="AD901" s="2">
        <f>IF(ISERROR($H$901),"",IF(ISBLANK($H$901),"",$H$901))</f>
        <v/>
      </c>
      <c r="AE901" s="2">
        <f>IF(ISERROR($I$901),"",IF(ISBLANK($I$901),"",$I$901))</f>
        <v/>
      </c>
      <c r="AF901" s="2">
        <f>IF(ISERROR($J$901),"",IF(ISBLANK($J$901),"",$J$901))</f>
        <v/>
      </c>
      <c r="AG901" s="2">
        <f>ISERROR($B$901)*1+ISERROR($C$901)*1+ISERROR($D$901)*1+ISERROR($E$901)*1+ISERROR($F$901)*1+ISERROR($G$901)*1+ISERROR($H$901)*1+ISERROR($I$901)*1+ISERROR($J$901)*1</f>
        <v/>
      </c>
    </row>
    <row r="902" ht="26" customHeight="1">
      <c r="B902" s="35" t="n"/>
      <c r="C902" s="29" t="n"/>
      <c r="D902" s="29" t="n"/>
      <c r="E902" s="29" t="n"/>
      <c r="F902" s="29" t="n"/>
      <c r="G902" s="29" t="n"/>
      <c r="H902" s="29" t="n"/>
      <c r="I902" s="29" t="n"/>
      <c r="J902" s="29" t="n"/>
      <c r="K902" s="19">
        <f>IF(AG902&gt;0,"O Google leu como fórmula: digite de novo com ' na frente.","")</f>
        <v/>
      </c>
      <c r="N902" s="2">
        <f>N901+IF(LEN($X$902)&gt;0,1,0)</f>
        <v/>
      </c>
      <c r="O902" s="2">
        <f>O901+IF(LEN($Y$902)&gt;0,1,0)</f>
        <v/>
      </c>
      <c r="P902" s="2">
        <f>P901+IF(LEN($Z$902)&gt;0,1,0)</f>
        <v/>
      </c>
      <c r="Q902" s="2">
        <f>Q901+IF(LEN($AA$902)&gt;0,1,0)</f>
        <v/>
      </c>
      <c r="R902" s="2">
        <f>R901+IF(LEN($AB$902)&gt;0,1,0)</f>
        <v/>
      </c>
      <c r="S902" s="2">
        <f>S901+IF(LEN($AC$902)&gt;0,1,0)</f>
        <v/>
      </c>
      <c r="T902" s="2">
        <f>T901+IF(LEN($AD$902)&gt;0,1,0)</f>
        <v/>
      </c>
      <c r="U902" s="2">
        <f>U901+IF(LEN($AE$902)&gt;0,1,0)</f>
        <v/>
      </c>
      <c r="V902" s="2">
        <f>V901+IF(LEN($AF$902)&gt;0,1,0)</f>
        <v/>
      </c>
      <c r="X902" s="2">
        <f>IF(ISERROR($B$902),"",IF(ISBLANK($B$902),"",$B$902))</f>
        <v/>
      </c>
      <c r="Y902" s="2">
        <f>IF(ISERROR($C$902),"",IF(ISBLANK($C$902),"",$C$902))</f>
        <v/>
      </c>
      <c r="Z902" s="2">
        <f>IF(ISERROR($D$902),"",IF(ISBLANK($D$902),"",$D$902))</f>
        <v/>
      </c>
      <c r="AA902" s="2">
        <f>IF(ISERROR($E$902),"",IF(ISBLANK($E$902),"",$E$902))</f>
        <v/>
      </c>
      <c r="AB902" s="2">
        <f>IF(ISERROR($F$902),"",IF(ISBLANK($F$902),"",$F$902))</f>
        <v/>
      </c>
      <c r="AC902" s="2">
        <f>IF(ISERROR($G$902),"",IF(ISBLANK($G$902),"",$G$902))</f>
        <v/>
      </c>
      <c r="AD902" s="2">
        <f>IF(ISERROR($H$902),"",IF(ISBLANK($H$902),"",$H$902))</f>
        <v/>
      </c>
      <c r="AE902" s="2">
        <f>IF(ISERROR($I$902),"",IF(ISBLANK($I$902),"",$I$902))</f>
        <v/>
      </c>
      <c r="AF902" s="2">
        <f>IF(ISERROR($J$902),"",IF(ISBLANK($J$902),"",$J$902))</f>
        <v/>
      </c>
      <c r="AG902" s="2">
        <f>ISERROR($B$902)*1+ISERROR($C$902)*1+ISERROR($D$902)*1+ISERROR($E$902)*1+ISERROR($F$902)*1+ISERROR($G$902)*1+ISERROR($H$902)*1+ISERROR($I$902)*1+ISERROR($J$902)*1</f>
        <v/>
      </c>
    </row>
    <row r="903" ht="26" customHeight="1">
      <c r="B903" s="33" t="n"/>
      <c r="C903" s="4" t="n"/>
      <c r="D903" s="4" t="n"/>
      <c r="E903" s="4" t="n"/>
      <c r="F903" s="4" t="n"/>
      <c r="G903" s="4" t="n"/>
      <c r="H903" s="4" t="n"/>
      <c r="I903" s="4" t="n"/>
      <c r="J903" s="4" t="n"/>
      <c r="K903" s="19">
        <f>IF(AG903&gt;0,"O Google leu como fórmula: digite de novo com ' na frente.","")</f>
        <v/>
      </c>
      <c r="N903" s="2">
        <f>N902+IF(LEN($X$903)&gt;0,1,0)</f>
        <v/>
      </c>
      <c r="O903" s="2">
        <f>O902+IF(LEN($Y$903)&gt;0,1,0)</f>
        <v/>
      </c>
      <c r="P903" s="2">
        <f>P902+IF(LEN($Z$903)&gt;0,1,0)</f>
        <v/>
      </c>
      <c r="Q903" s="2">
        <f>Q902+IF(LEN($AA$903)&gt;0,1,0)</f>
        <v/>
      </c>
      <c r="R903" s="2">
        <f>R902+IF(LEN($AB$903)&gt;0,1,0)</f>
        <v/>
      </c>
      <c r="S903" s="2">
        <f>S902+IF(LEN($AC$903)&gt;0,1,0)</f>
        <v/>
      </c>
      <c r="T903" s="2">
        <f>T902+IF(LEN($AD$903)&gt;0,1,0)</f>
        <v/>
      </c>
      <c r="U903" s="2">
        <f>U902+IF(LEN($AE$903)&gt;0,1,0)</f>
        <v/>
      </c>
      <c r="V903" s="2">
        <f>V902+IF(LEN($AF$903)&gt;0,1,0)</f>
        <v/>
      </c>
      <c r="X903" s="2">
        <f>IF(ISERROR($B$903),"",IF(ISBLANK($B$903),"",$B$903))</f>
        <v/>
      </c>
      <c r="Y903" s="2">
        <f>IF(ISERROR($C$903),"",IF(ISBLANK($C$903),"",$C$903))</f>
        <v/>
      </c>
      <c r="Z903" s="2">
        <f>IF(ISERROR($D$903),"",IF(ISBLANK($D$903),"",$D$903))</f>
        <v/>
      </c>
      <c r="AA903" s="2">
        <f>IF(ISERROR($E$903),"",IF(ISBLANK($E$903),"",$E$903))</f>
        <v/>
      </c>
      <c r="AB903" s="2">
        <f>IF(ISERROR($F$903),"",IF(ISBLANK($F$903),"",$F$903))</f>
        <v/>
      </c>
      <c r="AC903" s="2">
        <f>IF(ISERROR($G$903),"",IF(ISBLANK($G$903),"",$G$903))</f>
        <v/>
      </c>
      <c r="AD903" s="2">
        <f>IF(ISERROR($H$903),"",IF(ISBLANK($H$903),"",$H$903))</f>
        <v/>
      </c>
      <c r="AE903" s="2">
        <f>IF(ISERROR($I$903),"",IF(ISBLANK($I$903),"",$I$903))</f>
        <v/>
      </c>
      <c r="AF903" s="2">
        <f>IF(ISERROR($J$903),"",IF(ISBLANK($J$903),"",$J$903))</f>
        <v/>
      </c>
      <c r="AG903" s="2">
        <f>ISERROR($B$903)*1+ISERROR($C$903)*1+ISERROR($D$903)*1+ISERROR($E$903)*1+ISERROR($F$903)*1+ISERROR($G$903)*1+ISERROR($H$903)*1+ISERROR($I$903)*1+ISERROR($J$903)*1</f>
        <v/>
      </c>
    </row>
    <row r="904" ht="26" customHeight="1">
      <c r="B904" s="35" t="n"/>
      <c r="C904" s="29" t="n"/>
      <c r="D904" s="29" t="n"/>
      <c r="E904" s="29" t="n"/>
      <c r="F904" s="29" t="n"/>
      <c r="G904" s="29" t="n"/>
      <c r="H904" s="29" t="n"/>
      <c r="I904" s="29" t="n"/>
      <c r="J904" s="29" t="n"/>
      <c r="K904" s="19">
        <f>IF(AG904&gt;0,"O Google leu como fórmula: digite de novo com ' na frente.","")</f>
        <v/>
      </c>
      <c r="N904" s="2">
        <f>N903+IF(LEN($X$904)&gt;0,1,0)</f>
        <v/>
      </c>
      <c r="O904" s="2">
        <f>O903+IF(LEN($Y$904)&gt;0,1,0)</f>
        <v/>
      </c>
      <c r="P904" s="2">
        <f>P903+IF(LEN($Z$904)&gt;0,1,0)</f>
        <v/>
      </c>
      <c r="Q904" s="2">
        <f>Q903+IF(LEN($AA$904)&gt;0,1,0)</f>
        <v/>
      </c>
      <c r="R904" s="2">
        <f>R903+IF(LEN($AB$904)&gt;0,1,0)</f>
        <v/>
      </c>
      <c r="S904" s="2">
        <f>S903+IF(LEN($AC$904)&gt;0,1,0)</f>
        <v/>
      </c>
      <c r="T904" s="2">
        <f>T903+IF(LEN($AD$904)&gt;0,1,0)</f>
        <v/>
      </c>
      <c r="U904" s="2">
        <f>U903+IF(LEN($AE$904)&gt;0,1,0)</f>
        <v/>
      </c>
      <c r="V904" s="2">
        <f>V903+IF(LEN($AF$904)&gt;0,1,0)</f>
        <v/>
      </c>
      <c r="X904" s="2">
        <f>IF(ISERROR($B$904),"",IF(ISBLANK($B$904),"",$B$904))</f>
        <v/>
      </c>
      <c r="Y904" s="2">
        <f>IF(ISERROR($C$904),"",IF(ISBLANK($C$904),"",$C$904))</f>
        <v/>
      </c>
      <c r="Z904" s="2">
        <f>IF(ISERROR($D$904),"",IF(ISBLANK($D$904),"",$D$904))</f>
        <v/>
      </c>
      <c r="AA904" s="2">
        <f>IF(ISERROR($E$904),"",IF(ISBLANK($E$904),"",$E$904))</f>
        <v/>
      </c>
      <c r="AB904" s="2">
        <f>IF(ISERROR($F$904),"",IF(ISBLANK($F$904),"",$F$904))</f>
        <v/>
      </c>
      <c r="AC904" s="2">
        <f>IF(ISERROR($G$904),"",IF(ISBLANK($G$904),"",$G$904))</f>
        <v/>
      </c>
      <c r="AD904" s="2">
        <f>IF(ISERROR($H$904),"",IF(ISBLANK($H$904),"",$H$904))</f>
        <v/>
      </c>
      <c r="AE904" s="2">
        <f>IF(ISERROR($I$904),"",IF(ISBLANK($I$904),"",$I$904))</f>
        <v/>
      </c>
      <c r="AF904" s="2">
        <f>IF(ISERROR($J$904),"",IF(ISBLANK($J$904),"",$J$904))</f>
        <v/>
      </c>
      <c r="AG904" s="2">
        <f>ISERROR($B$904)*1+ISERROR($C$904)*1+ISERROR($D$904)*1+ISERROR($E$904)*1+ISERROR($F$904)*1+ISERROR($G$904)*1+ISERROR($H$904)*1+ISERROR($I$904)*1+ISERROR($J$904)*1</f>
        <v/>
      </c>
    </row>
    <row r="905" ht="26" customHeight="1">
      <c r="B905" s="33" t="n"/>
      <c r="C905" s="4" t="n"/>
      <c r="D905" s="4" t="n"/>
      <c r="E905" s="4" t="n"/>
      <c r="F905" s="4" t="n"/>
      <c r="G905" s="4" t="n"/>
      <c r="H905" s="4" t="n"/>
      <c r="I905" s="4" t="n"/>
      <c r="J905" s="4" t="n"/>
      <c r="K905" s="19">
        <f>IF(AG905&gt;0,"O Google leu como fórmula: digite de novo com ' na frente.","")</f>
        <v/>
      </c>
      <c r="N905" s="2">
        <f>N904+IF(LEN($X$905)&gt;0,1,0)</f>
        <v/>
      </c>
      <c r="O905" s="2">
        <f>O904+IF(LEN($Y$905)&gt;0,1,0)</f>
        <v/>
      </c>
      <c r="P905" s="2">
        <f>P904+IF(LEN($Z$905)&gt;0,1,0)</f>
        <v/>
      </c>
      <c r="Q905" s="2">
        <f>Q904+IF(LEN($AA$905)&gt;0,1,0)</f>
        <v/>
      </c>
      <c r="R905" s="2">
        <f>R904+IF(LEN($AB$905)&gt;0,1,0)</f>
        <v/>
      </c>
      <c r="S905" s="2">
        <f>S904+IF(LEN($AC$905)&gt;0,1,0)</f>
        <v/>
      </c>
      <c r="T905" s="2">
        <f>T904+IF(LEN($AD$905)&gt;0,1,0)</f>
        <v/>
      </c>
      <c r="U905" s="2">
        <f>U904+IF(LEN($AE$905)&gt;0,1,0)</f>
        <v/>
      </c>
      <c r="V905" s="2">
        <f>V904+IF(LEN($AF$905)&gt;0,1,0)</f>
        <v/>
      </c>
      <c r="X905" s="2">
        <f>IF(ISERROR($B$905),"",IF(ISBLANK($B$905),"",$B$905))</f>
        <v/>
      </c>
      <c r="Y905" s="2">
        <f>IF(ISERROR($C$905),"",IF(ISBLANK($C$905),"",$C$905))</f>
        <v/>
      </c>
      <c r="Z905" s="2">
        <f>IF(ISERROR($D$905),"",IF(ISBLANK($D$905),"",$D$905))</f>
        <v/>
      </c>
      <c r="AA905" s="2">
        <f>IF(ISERROR($E$905),"",IF(ISBLANK($E$905),"",$E$905))</f>
        <v/>
      </c>
      <c r="AB905" s="2">
        <f>IF(ISERROR($F$905),"",IF(ISBLANK($F$905),"",$F$905))</f>
        <v/>
      </c>
      <c r="AC905" s="2">
        <f>IF(ISERROR($G$905),"",IF(ISBLANK($G$905),"",$G$905))</f>
        <v/>
      </c>
      <c r="AD905" s="2">
        <f>IF(ISERROR($H$905),"",IF(ISBLANK($H$905),"",$H$905))</f>
        <v/>
      </c>
      <c r="AE905" s="2">
        <f>IF(ISERROR($I$905),"",IF(ISBLANK($I$905),"",$I$905))</f>
        <v/>
      </c>
      <c r="AF905" s="2">
        <f>IF(ISERROR($J$905),"",IF(ISBLANK($J$905),"",$J$905))</f>
        <v/>
      </c>
      <c r="AG905" s="2">
        <f>ISERROR($B$905)*1+ISERROR($C$905)*1+ISERROR($D$905)*1+ISERROR($E$905)*1+ISERROR($F$905)*1+ISERROR($G$905)*1+ISERROR($H$905)*1+ISERROR($I$905)*1+ISERROR($J$905)*1</f>
        <v/>
      </c>
    </row>
    <row r="906" ht="26" customHeight="1">
      <c r="B906" s="35" t="n"/>
      <c r="C906" s="29" t="n"/>
      <c r="D906" s="29" t="n"/>
      <c r="E906" s="29" t="n"/>
      <c r="F906" s="29" t="n"/>
      <c r="G906" s="29" t="n"/>
      <c r="H906" s="29" t="n"/>
      <c r="I906" s="29" t="n"/>
      <c r="J906" s="29" t="n"/>
      <c r="K906" s="19">
        <f>IF(AG906&gt;0,"O Google leu como fórmula: digite de novo com ' na frente.","")</f>
        <v/>
      </c>
      <c r="N906" s="2">
        <f>N905+IF(LEN($X$906)&gt;0,1,0)</f>
        <v/>
      </c>
      <c r="O906" s="2">
        <f>O905+IF(LEN($Y$906)&gt;0,1,0)</f>
        <v/>
      </c>
      <c r="P906" s="2">
        <f>P905+IF(LEN($Z$906)&gt;0,1,0)</f>
        <v/>
      </c>
      <c r="Q906" s="2">
        <f>Q905+IF(LEN($AA$906)&gt;0,1,0)</f>
        <v/>
      </c>
      <c r="R906" s="2">
        <f>R905+IF(LEN($AB$906)&gt;0,1,0)</f>
        <v/>
      </c>
      <c r="S906" s="2">
        <f>S905+IF(LEN($AC$906)&gt;0,1,0)</f>
        <v/>
      </c>
      <c r="T906" s="2">
        <f>T905+IF(LEN($AD$906)&gt;0,1,0)</f>
        <v/>
      </c>
      <c r="U906" s="2">
        <f>U905+IF(LEN($AE$906)&gt;0,1,0)</f>
        <v/>
      </c>
      <c r="V906" s="2">
        <f>V905+IF(LEN($AF$906)&gt;0,1,0)</f>
        <v/>
      </c>
      <c r="X906" s="2">
        <f>IF(ISERROR($B$906),"",IF(ISBLANK($B$906),"",$B$906))</f>
        <v/>
      </c>
      <c r="Y906" s="2">
        <f>IF(ISERROR($C$906),"",IF(ISBLANK($C$906),"",$C$906))</f>
        <v/>
      </c>
      <c r="Z906" s="2">
        <f>IF(ISERROR($D$906),"",IF(ISBLANK($D$906),"",$D$906))</f>
        <v/>
      </c>
      <c r="AA906" s="2">
        <f>IF(ISERROR($E$906),"",IF(ISBLANK($E$906),"",$E$906))</f>
        <v/>
      </c>
      <c r="AB906" s="2">
        <f>IF(ISERROR($F$906),"",IF(ISBLANK($F$906),"",$F$906))</f>
        <v/>
      </c>
      <c r="AC906" s="2">
        <f>IF(ISERROR($G$906),"",IF(ISBLANK($G$906),"",$G$906))</f>
        <v/>
      </c>
      <c r="AD906" s="2">
        <f>IF(ISERROR($H$906),"",IF(ISBLANK($H$906),"",$H$906))</f>
        <v/>
      </c>
      <c r="AE906" s="2">
        <f>IF(ISERROR($I$906),"",IF(ISBLANK($I$906),"",$I$906))</f>
        <v/>
      </c>
      <c r="AF906" s="2">
        <f>IF(ISERROR($J$906),"",IF(ISBLANK($J$906),"",$J$906))</f>
        <v/>
      </c>
      <c r="AG906" s="2">
        <f>ISERROR($B$906)*1+ISERROR($C$906)*1+ISERROR($D$906)*1+ISERROR($E$906)*1+ISERROR($F$906)*1+ISERROR($G$906)*1+ISERROR($H$906)*1+ISERROR($I$906)*1+ISERROR($J$906)*1</f>
        <v/>
      </c>
    </row>
    <row r="907" ht="26" customHeight="1">
      <c r="B907" s="33" t="n"/>
      <c r="C907" s="4" t="n"/>
      <c r="D907" s="4" t="n"/>
      <c r="E907" s="4" t="n"/>
      <c r="F907" s="4" t="n"/>
      <c r="G907" s="4" t="n"/>
      <c r="H907" s="4" t="n"/>
      <c r="I907" s="4" t="n"/>
      <c r="J907" s="4" t="n"/>
      <c r="K907" s="19">
        <f>IF(AG907&gt;0,"O Google leu como fórmula: digite de novo com ' na frente.","")</f>
        <v/>
      </c>
      <c r="N907" s="2">
        <f>N906+IF(LEN($X$907)&gt;0,1,0)</f>
        <v/>
      </c>
      <c r="O907" s="2">
        <f>O906+IF(LEN($Y$907)&gt;0,1,0)</f>
        <v/>
      </c>
      <c r="P907" s="2">
        <f>P906+IF(LEN($Z$907)&gt;0,1,0)</f>
        <v/>
      </c>
      <c r="Q907" s="2">
        <f>Q906+IF(LEN($AA$907)&gt;0,1,0)</f>
        <v/>
      </c>
      <c r="R907" s="2">
        <f>R906+IF(LEN($AB$907)&gt;0,1,0)</f>
        <v/>
      </c>
      <c r="S907" s="2">
        <f>S906+IF(LEN($AC$907)&gt;0,1,0)</f>
        <v/>
      </c>
      <c r="T907" s="2">
        <f>T906+IF(LEN($AD$907)&gt;0,1,0)</f>
        <v/>
      </c>
      <c r="U907" s="2">
        <f>U906+IF(LEN($AE$907)&gt;0,1,0)</f>
        <v/>
      </c>
      <c r="V907" s="2">
        <f>V906+IF(LEN($AF$907)&gt;0,1,0)</f>
        <v/>
      </c>
      <c r="X907" s="2">
        <f>IF(ISERROR($B$907),"",IF(ISBLANK($B$907),"",$B$907))</f>
        <v/>
      </c>
      <c r="Y907" s="2">
        <f>IF(ISERROR($C$907),"",IF(ISBLANK($C$907),"",$C$907))</f>
        <v/>
      </c>
      <c r="Z907" s="2">
        <f>IF(ISERROR($D$907),"",IF(ISBLANK($D$907),"",$D$907))</f>
        <v/>
      </c>
      <c r="AA907" s="2">
        <f>IF(ISERROR($E$907),"",IF(ISBLANK($E$907),"",$E$907))</f>
        <v/>
      </c>
      <c r="AB907" s="2">
        <f>IF(ISERROR($F$907),"",IF(ISBLANK($F$907),"",$F$907))</f>
        <v/>
      </c>
      <c r="AC907" s="2">
        <f>IF(ISERROR($G$907),"",IF(ISBLANK($G$907),"",$G$907))</f>
        <v/>
      </c>
      <c r="AD907" s="2">
        <f>IF(ISERROR($H$907),"",IF(ISBLANK($H$907),"",$H$907))</f>
        <v/>
      </c>
      <c r="AE907" s="2">
        <f>IF(ISERROR($I$907),"",IF(ISBLANK($I$907),"",$I$907))</f>
        <v/>
      </c>
      <c r="AF907" s="2">
        <f>IF(ISERROR($J$907),"",IF(ISBLANK($J$907),"",$J$907))</f>
        <v/>
      </c>
      <c r="AG907" s="2">
        <f>ISERROR($B$907)*1+ISERROR($C$907)*1+ISERROR($D$907)*1+ISERROR($E$907)*1+ISERROR($F$907)*1+ISERROR($G$907)*1+ISERROR($H$907)*1+ISERROR($I$907)*1+ISERROR($J$907)*1</f>
        <v/>
      </c>
    </row>
    <row r="908" ht="26" customHeight="1">
      <c r="B908" s="35" t="n"/>
      <c r="C908" s="29" t="n"/>
      <c r="D908" s="29" t="n"/>
      <c r="E908" s="29" t="n"/>
      <c r="F908" s="29" t="n"/>
      <c r="G908" s="29" t="n"/>
      <c r="H908" s="29" t="n"/>
      <c r="I908" s="29" t="n"/>
      <c r="J908" s="29" t="n"/>
      <c r="K908" s="19">
        <f>IF(AG908&gt;0,"O Google leu como fórmula: digite de novo com ' na frente.","")</f>
        <v/>
      </c>
      <c r="N908" s="2">
        <f>N907+IF(LEN($X$908)&gt;0,1,0)</f>
        <v/>
      </c>
      <c r="O908" s="2">
        <f>O907+IF(LEN($Y$908)&gt;0,1,0)</f>
        <v/>
      </c>
      <c r="P908" s="2">
        <f>P907+IF(LEN($Z$908)&gt;0,1,0)</f>
        <v/>
      </c>
      <c r="Q908" s="2">
        <f>Q907+IF(LEN($AA$908)&gt;0,1,0)</f>
        <v/>
      </c>
      <c r="R908" s="2">
        <f>R907+IF(LEN($AB$908)&gt;0,1,0)</f>
        <v/>
      </c>
      <c r="S908" s="2">
        <f>S907+IF(LEN($AC$908)&gt;0,1,0)</f>
        <v/>
      </c>
      <c r="T908" s="2">
        <f>T907+IF(LEN($AD$908)&gt;0,1,0)</f>
        <v/>
      </c>
      <c r="U908" s="2">
        <f>U907+IF(LEN($AE$908)&gt;0,1,0)</f>
        <v/>
      </c>
      <c r="V908" s="2">
        <f>V907+IF(LEN($AF$908)&gt;0,1,0)</f>
        <v/>
      </c>
      <c r="X908" s="2">
        <f>IF(ISERROR($B$908),"",IF(ISBLANK($B$908),"",$B$908))</f>
        <v/>
      </c>
      <c r="Y908" s="2">
        <f>IF(ISERROR($C$908),"",IF(ISBLANK($C$908),"",$C$908))</f>
        <v/>
      </c>
      <c r="Z908" s="2">
        <f>IF(ISERROR($D$908),"",IF(ISBLANK($D$908),"",$D$908))</f>
        <v/>
      </c>
      <c r="AA908" s="2">
        <f>IF(ISERROR($E$908),"",IF(ISBLANK($E$908),"",$E$908))</f>
        <v/>
      </c>
      <c r="AB908" s="2">
        <f>IF(ISERROR($F$908),"",IF(ISBLANK($F$908),"",$F$908))</f>
        <v/>
      </c>
      <c r="AC908" s="2">
        <f>IF(ISERROR($G$908),"",IF(ISBLANK($G$908),"",$G$908))</f>
        <v/>
      </c>
      <c r="AD908" s="2">
        <f>IF(ISERROR($H$908),"",IF(ISBLANK($H$908),"",$H$908))</f>
        <v/>
      </c>
      <c r="AE908" s="2">
        <f>IF(ISERROR($I$908),"",IF(ISBLANK($I$908),"",$I$908))</f>
        <v/>
      </c>
      <c r="AF908" s="2">
        <f>IF(ISERROR($J$908),"",IF(ISBLANK($J$908),"",$J$908))</f>
        <v/>
      </c>
      <c r="AG908" s="2">
        <f>ISERROR($B$908)*1+ISERROR($C$908)*1+ISERROR($D$908)*1+ISERROR($E$908)*1+ISERROR($F$908)*1+ISERROR($G$908)*1+ISERROR($H$908)*1+ISERROR($I$908)*1+ISERROR($J$908)*1</f>
        <v/>
      </c>
    </row>
    <row r="909" ht="26" customHeight="1">
      <c r="B909" s="33" t="n"/>
      <c r="C909" s="4" t="n"/>
      <c r="D909" s="4" t="n"/>
      <c r="E909" s="4" t="n"/>
      <c r="F909" s="4" t="n"/>
      <c r="G909" s="4" t="n"/>
      <c r="H909" s="4" t="n"/>
      <c r="I909" s="4" t="n"/>
      <c r="J909" s="4" t="n"/>
      <c r="K909" s="19">
        <f>IF(AG909&gt;0,"O Google leu como fórmula: digite de novo com ' na frente.","")</f>
        <v/>
      </c>
      <c r="N909" s="2">
        <f>N908+IF(LEN($X$909)&gt;0,1,0)</f>
        <v/>
      </c>
      <c r="O909" s="2">
        <f>O908+IF(LEN($Y$909)&gt;0,1,0)</f>
        <v/>
      </c>
      <c r="P909" s="2">
        <f>P908+IF(LEN($Z$909)&gt;0,1,0)</f>
        <v/>
      </c>
      <c r="Q909" s="2">
        <f>Q908+IF(LEN($AA$909)&gt;0,1,0)</f>
        <v/>
      </c>
      <c r="R909" s="2">
        <f>R908+IF(LEN($AB$909)&gt;0,1,0)</f>
        <v/>
      </c>
      <c r="S909" s="2">
        <f>S908+IF(LEN($AC$909)&gt;0,1,0)</f>
        <v/>
      </c>
      <c r="T909" s="2">
        <f>T908+IF(LEN($AD$909)&gt;0,1,0)</f>
        <v/>
      </c>
      <c r="U909" s="2">
        <f>U908+IF(LEN($AE$909)&gt;0,1,0)</f>
        <v/>
      </c>
      <c r="V909" s="2">
        <f>V908+IF(LEN($AF$909)&gt;0,1,0)</f>
        <v/>
      </c>
      <c r="X909" s="2">
        <f>IF(ISERROR($B$909),"",IF(ISBLANK($B$909),"",$B$909))</f>
        <v/>
      </c>
      <c r="Y909" s="2">
        <f>IF(ISERROR($C$909),"",IF(ISBLANK($C$909),"",$C$909))</f>
        <v/>
      </c>
      <c r="Z909" s="2">
        <f>IF(ISERROR($D$909),"",IF(ISBLANK($D$909),"",$D$909))</f>
        <v/>
      </c>
      <c r="AA909" s="2">
        <f>IF(ISERROR($E$909),"",IF(ISBLANK($E$909),"",$E$909))</f>
        <v/>
      </c>
      <c r="AB909" s="2">
        <f>IF(ISERROR($F$909),"",IF(ISBLANK($F$909),"",$F$909))</f>
        <v/>
      </c>
      <c r="AC909" s="2">
        <f>IF(ISERROR($G$909),"",IF(ISBLANK($G$909),"",$G$909))</f>
        <v/>
      </c>
      <c r="AD909" s="2">
        <f>IF(ISERROR($H$909),"",IF(ISBLANK($H$909),"",$H$909))</f>
        <v/>
      </c>
      <c r="AE909" s="2">
        <f>IF(ISERROR($I$909),"",IF(ISBLANK($I$909),"",$I$909))</f>
        <v/>
      </c>
      <c r="AF909" s="2">
        <f>IF(ISERROR($J$909),"",IF(ISBLANK($J$909),"",$J$909))</f>
        <v/>
      </c>
      <c r="AG909" s="2">
        <f>ISERROR($B$909)*1+ISERROR($C$909)*1+ISERROR($D$909)*1+ISERROR($E$909)*1+ISERROR($F$909)*1+ISERROR($G$909)*1+ISERROR($H$909)*1+ISERROR($I$909)*1+ISERROR($J$909)*1</f>
        <v/>
      </c>
    </row>
    <row r="910" ht="26" customHeight="1">
      <c r="B910" s="35" t="n"/>
      <c r="C910" s="29" t="n"/>
      <c r="D910" s="29" t="n"/>
      <c r="E910" s="29" t="n"/>
      <c r="F910" s="29" t="n"/>
      <c r="G910" s="29" t="n"/>
      <c r="H910" s="29" t="n"/>
      <c r="I910" s="29" t="n"/>
      <c r="J910" s="29" t="n"/>
      <c r="K910" s="19">
        <f>IF(AG910&gt;0,"O Google leu como fórmula: digite de novo com ' na frente.","")</f>
        <v/>
      </c>
      <c r="N910" s="2">
        <f>N909+IF(LEN($X$910)&gt;0,1,0)</f>
        <v/>
      </c>
      <c r="O910" s="2">
        <f>O909+IF(LEN($Y$910)&gt;0,1,0)</f>
        <v/>
      </c>
      <c r="P910" s="2">
        <f>P909+IF(LEN($Z$910)&gt;0,1,0)</f>
        <v/>
      </c>
      <c r="Q910" s="2">
        <f>Q909+IF(LEN($AA$910)&gt;0,1,0)</f>
        <v/>
      </c>
      <c r="R910" s="2">
        <f>R909+IF(LEN($AB$910)&gt;0,1,0)</f>
        <v/>
      </c>
      <c r="S910" s="2">
        <f>S909+IF(LEN($AC$910)&gt;0,1,0)</f>
        <v/>
      </c>
      <c r="T910" s="2">
        <f>T909+IF(LEN($AD$910)&gt;0,1,0)</f>
        <v/>
      </c>
      <c r="U910" s="2">
        <f>U909+IF(LEN($AE$910)&gt;0,1,0)</f>
        <v/>
      </c>
      <c r="V910" s="2">
        <f>V909+IF(LEN($AF$910)&gt;0,1,0)</f>
        <v/>
      </c>
      <c r="X910" s="2">
        <f>IF(ISERROR($B$910),"",IF(ISBLANK($B$910),"",$B$910))</f>
        <v/>
      </c>
      <c r="Y910" s="2">
        <f>IF(ISERROR($C$910),"",IF(ISBLANK($C$910),"",$C$910))</f>
        <v/>
      </c>
      <c r="Z910" s="2">
        <f>IF(ISERROR($D$910),"",IF(ISBLANK($D$910),"",$D$910))</f>
        <v/>
      </c>
      <c r="AA910" s="2">
        <f>IF(ISERROR($E$910),"",IF(ISBLANK($E$910),"",$E$910))</f>
        <v/>
      </c>
      <c r="AB910" s="2">
        <f>IF(ISERROR($F$910),"",IF(ISBLANK($F$910),"",$F$910))</f>
        <v/>
      </c>
      <c r="AC910" s="2">
        <f>IF(ISERROR($G$910),"",IF(ISBLANK($G$910),"",$G$910))</f>
        <v/>
      </c>
      <c r="AD910" s="2">
        <f>IF(ISERROR($H$910),"",IF(ISBLANK($H$910),"",$H$910))</f>
        <v/>
      </c>
      <c r="AE910" s="2">
        <f>IF(ISERROR($I$910),"",IF(ISBLANK($I$910),"",$I$910))</f>
        <v/>
      </c>
      <c r="AF910" s="2">
        <f>IF(ISERROR($J$910),"",IF(ISBLANK($J$910),"",$J$910))</f>
        <v/>
      </c>
      <c r="AG910" s="2">
        <f>ISERROR($B$910)*1+ISERROR($C$910)*1+ISERROR($D$910)*1+ISERROR($E$910)*1+ISERROR($F$910)*1+ISERROR($G$910)*1+ISERROR($H$910)*1+ISERROR($I$910)*1+ISERROR($J$910)*1</f>
        <v/>
      </c>
    </row>
    <row r="911" ht="26" customHeight="1">
      <c r="B911" s="33" t="n"/>
      <c r="C911" s="4" t="n"/>
      <c r="D911" s="4" t="n"/>
      <c r="E911" s="4" t="n"/>
      <c r="F911" s="4" t="n"/>
      <c r="G911" s="4" t="n"/>
      <c r="H911" s="4" t="n"/>
      <c r="I911" s="4" t="n"/>
      <c r="J911" s="4" t="n"/>
      <c r="K911" s="19">
        <f>IF(AG911&gt;0,"O Google leu como fórmula: digite de novo com ' na frente.","")</f>
        <v/>
      </c>
      <c r="N911" s="2">
        <f>N910+IF(LEN($X$911)&gt;0,1,0)</f>
        <v/>
      </c>
      <c r="O911" s="2">
        <f>O910+IF(LEN($Y$911)&gt;0,1,0)</f>
        <v/>
      </c>
      <c r="P911" s="2">
        <f>P910+IF(LEN($Z$911)&gt;0,1,0)</f>
        <v/>
      </c>
      <c r="Q911" s="2">
        <f>Q910+IF(LEN($AA$911)&gt;0,1,0)</f>
        <v/>
      </c>
      <c r="R911" s="2">
        <f>R910+IF(LEN($AB$911)&gt;0,1,0)</f>
        <v/>
      </c>
      <c r="S911" s="2">
        <f>S910+IF(LEN($AC$911)&gt;0,1,0)</f>
        <v/>
      </c>
      <c r="T911" s="2">
        <f>T910+IF(LEN($AD$911)&gt;0,1,0)</f>
        <v/>
      </c>
      <c r="U911" s="2">
        <f>U910+IF(LEN($AE$911)&gt;0,1,0)</f>
        <v/>
      </c>
      <c r="V911" s="2">
        <f>V910+IF(LEN($AF$911)&gt;0,1,0)</f>
        <v/>
      </c>
      <c r="X911" s="2">
        <f>IF(ISERROR($B$911),"",IF(ISBLANK($B$911),"",$B$911))</f>
        <v/>
      </c>
      <c r="Y911" s="2">
        <f>IF(ISERROR($C$911),"",IF(ISBLANK($C$911),"",$C$911))</f>
        <v/>
      </c>
      <c r="Z911" s="2">
        <f>IF(ISERROR($D$911),"",IF(ISBLANK($D$911),"",$D$911))</f>
        <v/>
      </c>
      <c r="AA911" s="2">
        <f>IF(ISERROR($E$911),"",IF(ISBLANK($E$911),"",$E$911))</f>
        <v/>
      </c>
      <c r="AB911" s="2">
        <f>IF(ISERROR($F$911),"",IF(ISBLANK($F$911),"",$F$911))</f>
        <v/>
      </c>
      <c r="AC911" s="2">
        <f>IF(ISERROR($G$911),"",IF(ISBLANK($G$911),"",$G$911))</f>
        <v/>
      </c>
      <c r="AD911" s="2">
        <f>IF(ISERROR($H$911),"",IF(ISBLANK($H$911),"",$H$911))</f>
        <v/>
      </c>
      <c r="AE911" s="2">
        <f>IF(ISERROR($I$911),"",IF(ISBLANK($I$911),"",$I$911))</f>
        <v/>
      </c>
      <c r="AF911" s="2">
        <f>IF(ISERROR($J$911),"",IF(ISBLANK($J$911),"",$J$911))</f>
        <v/>
      </c>
      <c r="AG911" s="2">
        <f>ISERROR($B$911)*1+ISERROR($C$911)*1+ISERROR($D$911)*1+ISERROR($E$911)*1+ISERROR($F$911)*1+ISERROR($G$911)*1+ISERROR($H$911)*1+ISERROR($I$911)*1+ISERROR($J$911)*1</f>
        <v/>
      </c>
    </row>
    <row r="912" ht="26" customHeight="1">
      <c r="B912" s="35" t="n"/>
      <c r="C912" s="29" t="n"/>
      <c r="D912" s="29" t="n"/>
      <c r="E912" s="29" t="n"/>
      <c r="F912" s="29" t="n"/>
      <c r="G912" s="29" t="n"/>
      <c r="H912" s="29" t="n"/>
      <c r="I912" s="29" t="n"/>
      <c r="J912" s="29" t="n"/>
      <c r="K912" s="19">
        <f>IF(AG912&gt;0,"O Google leu como fórmula: digite de novo com ' na frente.","")</f>
        <v/>
      </c>
      <c r="N912" s="2">
        <f>N911+IF(LEN($X$912)&gt;0,1,0)</f>
        <v/>
      </c>
      <c r="O912" s="2">
        <f>O911+IF(LEN($Y$912)&gt;0,1,0)</f>
        <v/>
      </c>
      <c r="P912" s="2">
        <f>P911+IF(LEN($Z$912)&gt;0,1,0)</f>
        <v/>
      </c>
      <c r="Q912" s="2">
        <f>Q911+IF(LEN($AA$912)&gt;0,1,0)</f>
        <v/>
      </c>
      <c r="R912" s="2">
        <f>R911+IF(LEN($AB$912)&gt;0,1,0)</f>
        <v/>
      </c>
      <c r="S912" s="2">
        <f>S911+IF(LEN($AC$912)&gt;0,1,0)</f>
        <v/>
      </c>
      <c r="T912" s="2">
        <f>T911+IF(LEN($AD$912)&gt;0,1,0)</f>
        <v/>
      </c>
      <c r="U912" s="2">
        <f>U911+IF(LEN($AE$912)&gt;0,1,0)</f>
        <v/>
      </c>
      <c r="V912" s="2">
        <f>V911+IF(LEN($AF$912)&gt;0,1,0)</f>
        <v/>
      </c>
      <c r="X912" s="2">
        <f>IF(ISERROR($B$912),"",IF(ISBLANK($B$912),"",$B$912))</f>
        <v/>
      </c>
      <c r="Y912" s="2">
        <f>IF(ISERROR($C$912),"",IF(ISBLANK($C$912),"",$C$912))</f>
        <v/>
      </c>
      <c r="Z912" s="2">
        <f>IF(ISERROR($D$912),"",IF(ISBLANK($D$912),"",$D$912))</f>
        <v/>
      </c>
      <c r="AA912" s="2">
        <f>IF(ISERROR($E$912),"",IF(ISBLANK($E$912),"",$E$912))</f>
        <v/>
      </c>
      <c r="AB912" s="2">
        <f>IF(ISERROR($F$912),"",IF(ISBLANK($F$912),"",$F$912))</f>
        <v/>
      </c>
      <c r="AC912" s="2">
        <f>IF(ISERROR($G$912),"",IF(ISBLANK($G$912),"",$G$912))</f>
        <v/>
      </c>
      <c r="AD912" s="2">
        <f>IF(ISERROR($H$912),"",IF(ISBLANK($H$912),"",$H$912))</f>
        <v/>
      </c>
      <c r="AE912" s="2">
        <f>IF(ISERROR($I$912),"",IF(ISBLANK($I$912),"",$I$912))</f>
        <v/>
      </c>
      <c r="AF912" s="2">
        <f>IF(ISERROR($J$912),"",IF(ISBLANK($J$912),"",$J$912))</f>
        <v/>
      </c>
      <c r="AG912" s="2">
        <f>ISERROR($B$912)*1+ISERROR($C$912)*1+ISERROR($D$912)*1+ISERROR($E$912)*1+ISERROR($F$912)*1+ISERROR($G$912)*1+ISERROR($H$912)*1+ISERROR($I$912)*1+ISERROR($J$912)*1</f>
        <v/>
      </c>
    </row>
    <row r="913" ht="26" customHeight="1">
      <c r="B913" s="33" t="n"/>
      <c r="C913" s="4" t="n"/>
      <c r="D913" s="4" t="n"/>
      <c r="E913" s="4" t="n"/>
      <c r="F913" s="4" t="n"/>
      <c r="G913" s="4" t="n"/>
      <c r="H913" s="4" t="n"/>
      <c r="I913" s="4" t="n"/>
      <c r="J913" s="4" t="n"/>
      <c r="K913" s="19">
        <f>IF(AG913&gt;0,"O Google leu como fórmula: digite de novo com ' na frente.","")</f>
        <v/>
      </c>
      <c r="N913" s="2">
        <f>N912+IF(LEN($X$913)&gt;0,1,0)</f>
        <v/>
      </c>
      <c r="O913" s="2">
        <f>O912+IF(LEN($Y$913)&gt;0,1,0)</f>
        <v/>
      </c>
      <c r="P913" s="2">
        <f>P912+IF(LEN($Z$913)&gt;0,1,0)</f>
        <v/>
      </c>
      <c r="Q913" s="2">
        <f>Q912+IF(LEN($AA$913)&gt;0,1,0)</f>
        <v/>
      </c>
      <c r="R913" s="2">
        <f>R912+IF(LEN($AB$913)&gt;0,1,0)</f>
        <v/>
      </c>
      <c r="S913" s="2">
        <f>S912+IF(LEN($AC$913)&gt;0,1,0)</f>
        <v/>
      </c>
      <c r="T913" s="2">
        <f>T912+IF(LEN($AD$913)&gt;0,1,0)</f>
        <v/>
      </c>
      <c r="U913" s="2">
        <f>U912+IF(LEN($AE$913)&gt;0,1,0)</f>
        <v/>
      </c>
      <c r="V913" s="2">
        <f>V912+IF(LEN($AF$913)&gt;0,1,0)</f>
        <v/>
      </c>
      <c r="X913" s="2">
        <f>IF(ISERROR($B$913),"",IF(ISBLANK($B$913),"",$B$913))</f>
        <v/>
      </c>
      <c r="Y913" s="2">
        <f>IF(ISERROR($C$913),"",IF(ISBLANK($C$913),"",$C$913))</f>
        <v/>
      </c>
      <c r="Z913" s="2">
        <f>IF(ISERROR($D$913),"",IF(ISBLANK($D$913),"",$D$913))</f>
        <v/>
      </c>
      <c r="AA913" s="2">
        <f>IF(ISERROR($E$913),"",IF(ISBLANK($E$913),"",$E$913))</f>
        <v/>
      </c>
      <c r="AB913" s="2">
        <f>IF(ISERROR($F$913),"",IF(ISBLANK($F$913),"",$F$913))</f>
        <v/>
      </c>
      <c r="AC913" s="2">
        <f>IF(ISERROR($G$913),"",IF(ISBLANK($G$913),"",$G$913))</f>
        <v/>
      </c>
      <c r="AD913" s="2">
        <f>IF(ISERROR($H$913),"",IF(ISBLANK($H$913),"",$H$913))</f>
        <v/>
      </c>
      <c r="AE913" s="2">
        <f>IF(ISERROR($I$913),"",IF(ISBLANK($I$913),"",$I$913))</f>
        <v/>
      </c>
      <c r="AF913" s="2">
        <f>IF(ISERROR($J$913),"",IF(ISBLANK($J$913),"",$J$913))</f>
        <v/>
      </c>
      <c r="AG913" s="2">
        <f>ISERROR($B$913)*1+ISERROR($C$913)*1+ISERROR($D$913)*1+ISERROR($E$913)*1+ISERROR($F$913)*1+ISERROR($G$913)*1+ISERROR($H$913)*1+ISERROR($I$913)*1+ISERROR($J$913)*1</f>
        <v/>
      </c>
    </row>
    <row r="914" ht="15" customHeight="1">
      <c r="B914" s="8" t="inlineStr">
        <is>
          <t>Nome de lugar (início)</t>
        </is>
      </c>
      <c r="C914" s="8" t="inlineStr">
        <is>
          <t>Nome de lugar (fim)</t>
        </is>
      </c>
      <c r="D914" s="8" t="inlineStr">
        <is>
          <t>Nome de nave (início)</t>
        </is>
      </c>
      <c r="E914" s="8" t="inlineStr">
        <is>
          <t>Nome de nave (fim)</t>
        </is>
      </c>
      <c r="F914" s="8" t="inlineStr">
        <is>
          <t>Nome de facção (início)</t>
        </is>
      </c>
      <c r="G914" s="8" t="inlineStr">
        <is>
          <t>Nome de facção (fim)</t>
        </is>
      </c>
      <c r="H914" s="8" t="inlineStr">
        <is>
          <t>Organização</t>
        </is>
      </c>
      <c r="I914" s="8" t="inlineStr">
        <is>
          <t>Organização: o que oferece</t>
        </is>
      </c>
      <c r="J914" s="8" t="inlineStr">
        <is>
          <t>Organização: o que cobra</t>
        </is>
      </c>
      <c r="N914" s="2">
        <f>N913</f>
        <v/>
      </c>
      <c r="O914" s="2">
        <f>O913</f>
        <v/>
      </c>
      <c r="P914" s="2">
        <f>P913</f>
        <v/>
      </c>
      <c r="Q914" s="2">
        <f>Q913</f>
        <v/>
      </c>
      <c r="R914" s="2">
        <f>R913</f>
        <v/>
      </c>
      <c r="S914" s="2">
        <f>S913</f>
        <v/>
      </c>
      <c r="T914" s="2">
        <f>T913</f>
        <v/>
      </c>
      <c r="U914" s="2">
        <f>U913</f>
        <v/>
      </c>
      <c r="V914" s="2">
        <f>V913</f>
        <v/>
      </c>
      <c r="X914" s="2">
        <f>IF(ISERROR($B$914),"",IF(ISBLANK($B$914),"",$B$914))</f>
        <v/>
      </c>
      <c r="Y914" s="2">
        <f>IF(ISERROR($C$914),"",IF(ISBLANK($C$914),"",$C$914))</f>
        <v/>
      </c>
      <c r="Z914" s="2">
        <f>IF(ISERROR($D$914),"",IF(ISBLANK($D$914),"",$D$914))</f>
        <v/>
      </c>
      <c r="AA914" s="2">
        <f>IF(ISERROR($E$914),"",IF(ISBLANK($E$914),"",$E$914))</f>
        <v/>
      </c>
      <c r="AB914" s="2">
        <f>IF(ISERROR($F$914),"",IF(ISBLANK($F$914),"",$F$914))</f>
        <v/>
      </c>
      <c r="AC914" s="2">
        <f>IF(ISERROR($G$914),"",IF(ISBLANK($G$914),"",$G$914))</f>
        <v/>
      </c>
      <c r="AD914" s="2">
        <f>IF(ISERROR($H$914),"",IF(ISBLANK($H$914),"",$H$914))</f>
        <v/>
      </c>
      <c r="AE914" s="2">
        <f>IF(ISERROR($I$914),"",IF(ISBLANK($I$914),"",$I$914))</f>
        <v/>
      </c>
      <c r="AF914" s="2">
        <f>IF(ISERROR($J$914),"",IF(ISBLANK($J$914),"",$J$914))</f>
        <v/>
      </c>
    </row>
    <row r="915" ht="26" customHeight="1">
      <c r="B915" s="33" t="n"/>
      <c r="C915" s="4" t="n"/>
      <c r="D915" s="4" t="n"/>
      <c r="E915" s="4" t="n"/>
      <c r="F915" s="4" t="n"/>
      <c r="G915" s="4" t="n"/>
      <c r="H915" s="4" t="n"/>
      <c r="I915" s="4" t="n"/>
      <c r="J915" s="4" t="n"/>
      <c r="K915" s="19">
        <f>IF(AG915&gt;0,"O Google leu como fórmula: digite de novo com ' na frente.","")</f>
        <v/>
      </c>
      <c r="N915" s="2">
        <f>N914+IF(LEN($X$915)&gt;0,1,0)</f>
        <v/>
      </c>
      <c r="O915" s="2">
        <f>O914+IF(LEN($Y$915)&gt;0,1,0)</f>
        <v/>
      </c>
      <c r="P915" s="2">
        <f>P914+IF(LEN($Z$915)&gt;0,1,0)</f>
        <v/>
      </c>
      <c r="Q915" s="2">
        <f>Q914+IF(LEN($AA$915)&gt;0,1,0)</f>
        <v/>
      </c>
      <c r="R915" s="2">
        <f>R914+IF(LEN($AB$915)&gt;0,1,0)</f>
        <v/>
      </c>
      <c r="S915" s="2">
        <f>S914+IF(LEN($AC$915)&gt;0,1,0)</f>
        <v/>
      </c>
      <c r="T915" s="2">
        <f>T914+IF(LEN($AD$915)&gt;0,1,0)</f>
        <v/>
      </c>
      <c r="U915" s="2">
        <f>U914+IF(LEN($AE$915)&gt;0,1,0)</f>
        <v/>
      </c>
      <c r="V915" s="2">
        <f>V914+IF(LEN($AF$915)&gt;0,1,0)</f>
        <v/>
      </c>
      <c r="X915" s="2">
        <f>IF(ISERROR($B$915),"",IF(ISBLANK($B$915),"",$B$915))</f>
        <v/>
      </c>
      <c r="Y915" s="2">
        <f>IF(ISERROR($C$915),"",IF(ISBLANK($C$915),"",$C$915))</f>
        <v/>
      </c>
      <c r="Z915" s="2">
        <f>IF(ISERROR($D$915),"",IF(ISBLANK($D$915),"",$D$915))</f>
        <v/>
      </c>
      <c r="AA915" s="2">
        <f>IF(ISERROR($E$915),"",IF(ISBLANK($E$915),"",$E$915))</f>
        <v/>
      </c>
      <c r="AB915" s="2">
        <f>IF(ISERROR($F$915),"",IF(ISBLANK($F$915),"",$F$915))</f>
        <v/>
      </c>
      <c r="AC915" s="2">
        <f>IF(ISERROR($G$915),"",IF(ISBLANK($G$915),"",$G$915))</f>
        <v/>
      </c>
      <c r="AD915" s="2">
        <f>IF(ISERROR($H$915),"",IF(ISBLANK($H$915),"",$H$915))</f>
        <v/>
      </c>
      <c r="AE915" s="2">
        <f>IF(ISERROR($I$915),"",IF(ISBLANK($I$915),"",$I$915))</f>
        <v/>
      </c>
      <c r="AF915" s="2">
        <f>IF(ISERROR($J$915),"",IF(ISBLANK($J$915),"",$J$915))</f>
        <v/>
      </c>
      <c r="AG915" s="2">
        <f>ISERROR($B$915)*1+ISERROR($C$915)*1+ISERROR($D$915)*1+ISERROR($E$915)*1+ISERROR($F$915)*1+ISERROR($G$915)*1+ISERROR($H$915)*1+ISERROR($I$915)*1+ISERROR($J$915)*1</f>
        <v/>
      </c>
    </row>
    <row r="916" ht="26" customHeight="1">
      <c r="B916" s="35" t="n"/>
      <c r="C916" s="29" t="n"/>
      <c r="D916" s="29" t="n"/>
      <c r="E916" s="29" t="n"/>
      <c r="F916" s="29" t="n"/>
      <c r="G916" s="29" t="n"/>
      <c r="H916" s="29" t="n"/>
      <c r="I916" s="29" t="n"/>
      <c r="J916" s="29" t="n"/>
      <c r="K916" s="19">
        <f>IF(AG916&gt;0,"O Google leu como fórmula: digite de novo com ' na frente.","")</f>
        <v/>
      </c>
      <c r="N916" s="2">
        <f>N915+IF(LEN($X$916)&gt;0,1,0)</f>
        <v/>
      </c>
      <c r="O916" s="2">
        <f>O915+IF(LEN($Y$916)&gt;0,1,0)</f>
        <v/>
      </c>
      <c r="P916" s="2">
        <f>P915+IF(LEN($Z$916)&gt;0,1,0)</f>
        <v/>
      </c>
      <c r="Q916" s="2">
        <f>Q915+IF(LEN($AA$916)&gt;0,1,0)</f>
        <v/>
      </c>
      <c r="R916" s="2">
        <f>R915+IF(LEN($AB$916)&gt;0,1,0)</f>
        <v/>
      </c>
      <c r="S916" s="2">
        <f>S915+IF(LEN($AC$916)&gt;0,1,0)</f>
        <v/>
      </c>
      <c r="T916" s="2">
        <f>T915+IF(LEN($AD$916)&gt;0,1,0)</f>
        <v/>
      </c>
      <c r="U916" s="2">
        <f>U915+IF(LEN($AE$916)&gt;0,1,0)</f>
        <v/>
      </c>
      <c r="V916" s="2">
        <f>V915+IF(LEN($AF$916)&gt;0,1,0)</f>
        <v/>
      </c>
      <c r="X916" s="2">
        <f>IF(ISERROR($B$916),"",IF(ISBLANK($B$916),"",$B$916))</f>
        <v/>
      </c>
      <c r="Y916" s="2">
        <f>IF(ISERROR($C$916),"",IF(ISBLANK($C$916),"",$C$916))</f>
        <v/>
      </c>
      <c r="Z916" s="2">
        <f>IF(ISERROR($D$916),"",IF(ISBLANK($D$916),"",$D$916))</f>
        <v/>
      </c>
      <c r="AA916" s="2">
        <f>IF(ISERROR($E$916),"",IF(ISBLANK($E$916),"",$E$916))</f>
        <v/>
      </c>
      <c r="AB916" s="2">
        <f>IF(ISERROR($F$916),"",IF(ISBLANK($F$916),"",$F$916))</f>
        <v/>
      </c>
      <c r="AC916" s="2">
        <f>IF(ISERROR($G$916),"",IF(ISBLANK($G$916),"",$G$916))</f>
        <v/>
      </c>
      <c r="AD916" s="2">
        <f>IF(ISERROR($H$916),"",IF(ISBLANK($H$916),"",$H$916))</f>
        <v/>
      </c>
      <c r="AE916" s="2">
        <f>IF(ISERROR($I$916),"",IF(ISBLANK($I$916),"",$I$916))</f>
        <v/>
      </c>
      <c r="AF916" s="2">
        <f>IF(ISERROR($J$916),"",IF(ISBLANK($J$916),"",$J$916))</f>
        <v/>
      </c>
      <c r="AG916" s="2">
        <f>ISERROR($B$916)*1+ISERROR($C$916)*1+ISERROR($D$916)*1+ISERROR($E$916)*1+ISERROR($F$916)*1+ISERROR($G$916)*1+ISERROR($H$916)*1+ISERROR($I$916)*1+ISERROR($J$916)*1</f>
        <v/>
      </c>
    </row>
    <row r="917" ht="26" customHeight="1">
      <c r="B917" s="33" t="n"/>
      <c r="C917" s="4" t="n"/>
      <c r="D917" s="4" t="n"/>
      <c r="E917" s="4" t="n"/>
      <c r="F917" s="4" t="n"/>
      <c r="G917" s="4" t="n"/>
      <c r="H917" s="4" t="n"/>
      <c r="I917" s="4" t="n"/>
      <c r="J917" s="4" t="n"/>
      <c r="K917" s="19">
        <f>IF(AG917&gt;0,"O Google leu como fórmula: digite de novo com ' na frente.","")</f>
        <v/>
      </c>
      <c r="N917" s="2">
        <f>N916+IF(LEN($X$917)&gt;0,1,0)</f>
        <v/>
      </c>
      <c r="O917" s="2">
        <f>O916+IF(LEN($Y$917)&gt;0,1,0)</f>
        <v/>
      </c>
      <c r="P917" s="2">
        <f>P916+IF(LEN($Z$917)&gt;0,1,0)</f>
        <v/>
      </c>
      <c r="Q917" s="2">
        <f>Q916+IF(LEN($AA$917)&gt;0,1,0)</f>
        <v/>
      </c>
      <c r="R917" s="2">
        <f>R916+IF(LEN($AB$917)&gt;0,1,0)</f>
        <v/>
      </c>
      <c r="S917" s="2">
        <f>S916+IF(LEN($AC$917)&gt;0,1,0)</f>
        <v/>
      </c>
      <c r="T917" s="2">
        <f>T916+IF(LEN($AD$917)&gt;0,1,0)</f>
        <v/>
      </c>
      <c r="U917" s="2">
        <f>U916+IF(LEN($AE$917)&gt;0,1,0)</f>
        <v/>
      </c>
      <c r="V917" s="2">
        <f>V916+IF(LEN($AF$917)&gt;0,1,0)</f>
        <v/>
      </c>
      <c r="X917" s="2">
        <f>IF(ISERROR($B$917),"",IF(ISBLANK($B$917),"",$B$917))</f>
        <v/>
      </c>
      <c r="Y917" s="2">
        <f>IF(ISERROR($C$917),"",IF(ISBLANK($C$917),"",$C$917))</f>
        <v/>
      </c>
      <c r="Z917" s="2">
        <f>IF(ISERROR($D$917),"",IF(ISBLANK($D$917),"",$D$917))</f>
        <v/>
      </c>
      <c r="AA917" s="2">
        <f>IF(ISERROR($E$917),"",IF(ISBLANK($E$917),"",$E$917))</f>
        <v/>
      </c>
      <c r="AB917" s="2">
        <f>IF(ISERROR($F$917),"",IF(ISBLANK($F$917),"",$F$917))</f>
        <v/>
      </c>
      <c r="AC917" s="2">
        <f>IF(ISERROR($G$917),"",IF(ISBLANK($G$917),"",$G$917))</f>
        <v/>
      </c>
      <c r="AD917" s="2">
        <f>IF(ISERROR($H$917),"",IF(ISBLANK($H$917),"",$H$917))</f>
        <v/>
      </c>
      <c r="AE917" s="2">
        <f>IF(ISERROR($I$917),"",IF(ISBLANK($I$917),"",$I$917))</f>
        <v/>
      </c>
      <c r="AF917" s="2">
        <f>IF(ISERROR($J$917),"",IF(ISBLANK($J$917),"",$J$917))</f>
        <v/>
      </c>
      <c r="AG917" s="2">
        <f>ISERROR($B$917)*1+ISERROR($C$917)*1+ISERROR($D$917)*1+ISERROR($E$917)*1+ISERROR($F$917)*1+ISERROR($G$917)*1+ISERROR($H$917)*1+ISERROR($I$917)*1+ISERROR($J$917)*1</f>
        <v/>
      </c>
    </row>
    <row r="918" ht="26" customHeight="1">
      <c r="B918" s="35" t="n"/>
      <c r="C918" s="29" t="n"/>
      <c r="D918" s="29" t="n"/>
      <c r="E918" s="29" t="n"/>
      <c r="F918" s="29" t="n"/>
      <c r="G918" s="29" t="n"/>
      <c r="H918" s="29" t="n"/>
      <c r="I918" s="29" t="n"/>
      <c r="J918" s="29" t="n"/>
      <c r="K918" s="19">
        <f>IF(AG918&gt;0,"O Google leu como fórmula: digite de novo com ' na frente.","")</f>
        <v/>
      </c>
      <c r="N918" s="2">
        <f>N917+IF(LEN($X$918)&gt;0,1,0)</f>
        <v/>
      </c>
      <c r="O918" s="2">
        <f>O917+IF(LEN($Y$918)&gt;0,1,0)</f>
        <v/>
      </c>
      <c r="P918" s="2">
        <f>P917+IF(LEN($Z$918)&gt;0,1,0)</f>
        <v/>
      </c>
      <c r="Q918" s="2">
        <f>Q917+IF(LEN($AA$918)&gt;0,1,0)</f>
        <v/>
      </c>
      <c r="R918" s="2">
        <f>R917+IF(LEN($AB$918)&gt;0,1,0)</f>
        <v/>
      </c>
      <c r="S918" s="2">
        <f>S917+IF(LEN($AC$918)&gt;0,1,0)</f>
        <v/>
      </c>
      <c r="T918" s="2">
        <f>T917+IF(LEN($AD$918)&gt;0,1,0)</f>
        <v/>
      </c>
      <c r="U918" s="2">
        <f>U917+IF(LEN($AE$918)&gt;0,1,0)</f>
        <v/>
      </c>
      <c r="V918" s="2">
        <f>V917+IF(LEN($AF$918)&gt;0,1,0)</f>
        <v/>
      </c>
      <c r="X918" s="2">
        <f>IF(ISERROR($B$918),"",IF(ISBLANK($B$918),"",$B$918))</f>
        <v/>
      </c>
      <c r="Y918" s="2">
        <f>IF(ISERROR($C$918),"",IF(ISBLANK($C$918),"",$C$918))</f>
        <v/>
      </c>
      <c r="Z918" s="2">
        <f>IF(ISERROR($D$918),"",IF(ISBLANK($D$918),"",$D$918))</f>
        <v/>
      </c>
      <c r="AA918" s="2">
        <f>IF(ISERROR($E$918),"",IF(ISBLANK($E$918),"",$E$918))</f>
        <v/>
      </c>
      <c r="AB918" s="2">
        <f>IF(ISERROR($F$918),"",IF(ISBLANK($F$918),"",$F$918))</f>
        <v/>
      </c>
      <c r="AC918" s="2">
        <f>IF(ISERROR($G$918),"",IF(ISBLANK($G$918),"",$G$918))</f>
        <v/>
      </c>
      <c r="AD918" s="2">
        <f>IF(ISERROR($H$918),"",IF(ISBLANK($H$918),"",$H$918))</f>
        <v/>
      </c>
      <c r="AE918" s="2">
        <f>IF(ISERROR($I$918),"",IF(ISBLANK($I$918),"",$I$918))</f>
        <v/>
      </c>
      <c r="AF918" s="2">
        <f>IF(ISERROR($J$918),"",IF(ISBLANK($J$918),"",$J$918))</f>
        <v/>
      </c>
      <c r="AG918" s="2">
        <f>ISERROR($B$918)*1+ISERROR($C$918)*1+ISERROR($D$918)*1+ISERROR($E$918)*1+ISERROR($F$918)*1+ISERROR($G$918)*1+ISERROR($H$918)*1+ISERROR($I$918)*1+ISERROR($J$918)*1</f>
        <v/>
      </c>
    </row>
    <row r="919" ht="26" customHeight="1">
      <c r="B919" s="33" t="n"/>
      <c r="C919" s="4" t="n"/>
      <c r="D919" s="4" t="n"/>
      <c r="E919" s="4" t="n"/>
      <c r="F919" s="4" t="n"/>
      <c r="G919" s="4" t="n"/>
      <c r="H919" s="4" t="n"/>
      <c r="I919" s="4" t="n"/>
      <c r="J919" s="4" t="n"/>
      <c r="K919" s="19">
        <f>IF(AG919&gt;0,"O Google leu como fórmula: digite de novo com ' na frente.","")</f>
        <v/>
      </c>
      <c r="N919" s="2">
        <f>N918+IF(LEN($X$919)&gt;0,1,0)</f>
        <v/>
      </c>
      <c r="O919" s="2">
        <f>O918+IF(LEN($Y$919)&gt;0,1,0)</f>
        <v/>
      </c>
      <c r="P919" s="2">
        <f>P918+IF(LEN($Z$919)&gt;0,1,0)</f>
        <v/>
      </c>
      <c r="Q919" s="2">
        <f>Q918+IF(LEN($AA$919)&gt;0,1,0)</f>
        <v/>
      </c>
      <c r="R919" s="2">
        <f>R918+IF(LEN($AB$919)&gt;0,1,0)</f>
        <v/>
      </c>
      <c r="S919" s="2">
        <f>S918+IF(LEN($AC$919)&gt;0,1,0)</f>
        <v/>
      </c>
      <c r="T919" s="2">
        <f>T918+IF(LEN($AD$919)&gt;0,1,0)</f>
        <v/>
      </c>
      <c r="U919" s="2">
        <f>U918+IF(LEN($AE$919)&gt;0,1,0)</f>
        <v/>
      </c>
      <c r="V919" s="2">
        <f>V918+IF(LEN($AF$919)&gt;0,1,0)</f>
        <v/>
      </c>
      <c r="X919" s="2">
        <f>IF(ISERROR($B$919),"",IF(ISBLANK($B$919),"",$B$919))</f>
        <v/>
      </c>
      <c r="Y919" s="2">
        <f>IF(ISERROR($C$919),"",IF(ISBLANK($C$919),"",$C$919))</f>
        <v/>
      </c>
      <c r="Z919" s="2">
        <f>IF(ISERROR($D$919),"",IF(ISBLANK($D$919),"",$D$919))</f>
        <v/>
      </c>
      <c r="AA919" s="2">
        <f>IF(ISERROR($E$919),"",IF(ISBLANK($E$919),"",$E$919))</f>
        <v/>
      </c>
      <c r="AB919" s="2">
        <f>IF(ISERROR($F$919),"",IF(ISBLANK($F$919),"",$F$919))</f>
        <v/>
      </c>
      <c r="AC919" s="2">
        <f>IF(ISERROR($G$919),"",IF(ISBLANK($G$919),"",$G$919))</f>
        <v/>
      </c>
      <c r="AD919" s="2">
        <f>IF(ISERROR($H$919),"",IF(ISBLANK($H$919),"",$H$919))</f>
        <v/>
      </c>
      <c r="AE919" s="2">
        <f>IF(ISERROR($I$919),"",IF(ISBLANK($I$919),"",$I$919))</f>
        <v/>
      </c>
      <c r="AF919" s="2">
        <f>IF(ISERROR($J$919),"",IF(ISBLANK($J$919),"",$J$919))</f>
        <v/>
      </c>
      <c r="AG919" s="2">
        <f>ISERROR($B$919)*1+ISERROR($C$919)*1+ISERROR($D$919)*1+ISERROR($E$919)*1+ISERROR($F$919)*1+ISERROR($G$919)*1+ISERROR($H$919)*1+ISERROR($I$919)*1+ISERROR($J$919)*1</f>
        <v/>
      </c>
    </row>
    <row r="920" ht="26" customHeight="1">
      <c r="B920" s="35" t="n"/>
      <c r="C920" s="29" t="n"/>
      <c r="D920" s="29" t="n"/>
      <c r="E920" s="29" t="n"/>
      <c r="F920" s="29" t="n"/>
      <c r="G920" s="29" t="n"/>
      <c r="H920" s="29" t="n"/>
      <c r="I920" s="29" t="n"/>
      <c r="J920" s="29" t="n"/>
      <c r="K920" s="19">
        <f>IF(AG920&gt;0,"O Google leu como fórmula: digite de novo com ' na frente.","")</f>
        <v/>
      </c>
      <c r="N920" s="2">
        <f>N919+IF(LEN($X$920)&gt;0,1,0)</f>
        <v/>
      </c>
      <c r="O920" s="2">
        <f>O919+IF(LEN($Y$920)&gt;0,1,0)</f>
        <v/>
      </c>
      <c r="P920" s="2">
        <f>P919+IF(LEN($Z$920)&gt;0,1,0)</f>
        <v/>
      </c>
      <c r="Q920" s="2">
        <f>Q919+IF(LEN($AA$920)&gt;0,1,0)</f>
        <v/>
      </c>
      <c r="R920" s="2">
        <f>R919+IF(LEN($AB$920)&gt;0,1,0)</f>
        <v/>
      </c>
      <c r="S920" s="2">
        <f>S919+IF(LEN($AC$920)&gt;0,1,0)</f>
        <v/>
      </c>
      <c r="T920" s="2">
        <f>T919+IF(LEN($AD$920)&gt;0,1,0)</f>
        <v/>
      </c>
      <c r="U920" s="2">
        <f>U919+IF(LEN($AE$920)&gt;0,1,0)</f>
        <v/>
      </c>
      <c r="V920" s="2">
        <f>V919+IF(LEN($AF$920)&gt;0,1,0)</f>
        <v/>
      </c>
      <c r="X920" s="2">
        <f>IF(ISERROR($B$920),"",IF(ISBLANK($B$920),"",$B$920))</f>
        <v/>
      </c>
      <c r="Y920" s="2">
        <f>IF(ISERROR($C$920),"",IF(ISBLANK($C$920),"",$C$920))</f>
        <v/>
      </c>
      <c r="Z920" s="2">
        <f>IF(ISERROR($D$920),"",IF(ISBLANK($D$920),"",$D$920))</f>
        <v/>
      </c>
      <c r="AA920" s="2">
        <f>IF(ISERROR($E$920),"",IF(ISBLANK($E$920),"",$E$920))</f>
        <v/>
      </c>
      <c r="AB920" s="2">
        <f>IF(ISERROR($F$920),"",IF(ISBLANK($F$920),"",$F$920))</f>
        <v/>
      </c>
      <c r="AC920" s="2">
        <f>IF(ISERROR($G$920),"",IF(ISBLANK($G$920),"",$G$920))</f>
        <v/>
      </c>
      <c r="AD920" s="2">
        <f>IF(ISERROR($H$920),"",IF(ISBLANK($H$920),"",$H$920))</f>
        <v/>
      </c>
      <c r="AE920" s="2">
        <f>IF(ISERROR($I$920),"",IF(ISBLANK($I$920),"",$I$920))</f>
        <v/>
      </c>
      <c r="AF920" s="2">
        <f>IF(ISERROR($J$920),"",IF(ISBLANK($J$920),"",$J$920))</f>
        <v/>
      </c>
      <c r="AG920" s="2">
        <f>ISERROR($B$920)*1+ISERROR($C$920)*1+ISERROR($D$920)*1+ISERROR($E$920)*1+ISERROR($F$920)*1+ISERROR($G$920)*1+ISERROR($H$920)*1+ISERROR($I$920)*1+ISERROR($J$920)*1</f>
        <v/>
      </c>
    </row>
    <row r="921" ht="26" customHeight="1">
      <c r="B921" s="33" t="n"/>
      <c r="C921" s="4" t="n"/>
      <c r="D921" s="4" t="n"/>
      <c r="E921" s="4" t="n"/>
      <c r="F921" s="4" t="n"/>
      <c r="G921" s="4" t="n"/>
      <c r="H921" s="4" t="n"/>
      <c r="I921" s="4" t="n"/>
      <c r="J921" s="4" t="n"/>
      <c r="K921" s="19">
        <f>IF(AG921&gt;0,"O Google leu como fórmula: digite de novo com ' na frente.","")</f>
        <v/>
      </c>
      <c r="N921" s="2">
        <f>N920+IF(LEN($X$921)&gt;0,1,0)</f>
        <v/>
      </c>
      <c r="O921" s="2">
        <f>O920+IF(LEN($Y$921)&gt;0,1,0)</f>
        <v/>
      </c>
      <c r="P921" s="2">
        <f>P920+IF(LEN($Z$921)&gt;0,1,0)</f>
        <v/>
      </c>
      <c r="Q921" s="2">
        <f>Q920+IF(LEN($AA$921)&gt;0,1,0)</f>
        <v/>
      </c>
      <c r="R921" s="2">
        <f>R920+IF(LEN($AB$921)&gt;0,1,0)</f>
        <v/>
      </c>
      <c r="S921" s="2">
        <f>S920+IF(LEN($AC$921)&gt;0,1,0)</f>
        <v/>
      </c>
      <c r="T921" s="2">
        <f>T920+IF(LEN($AD$921)&gt;0,1,0)</f>
        <v/>
      </c>
      <c r="U921" s="2">
        <f>U920+IF(LEN($AE$921)&gt;0,1,0)</f>
        <v/>
      </c>
      <c r="V921" s="2">
        <f>V920+IF(LEN($AF$921)&gt;0,1,0)</f>
        <v/>
      </c>
      <c r="X921" s="2">
        <f>IF(ISERROR($B$921),"",IF(ISBLANK($B$921),"",$B$921))</f>
        <v/>
      </c>
      <c r="Y921" s="2">
        <f>IF(ISERROR($C$921),"",IF(ISBLANK($C$921),"",$C$921))</f>
        <v/>
      </c>
      <c r="Z921" s="2">
        <f>IF(ISERROR($D$921),"",IF(ISBLANK($D$921),"",$D$921))</f>
        <v/>
      </c>
      <c r="AA921" s="2">
        <f>IF(ISERROR($E$921),"",IF(ISBLANK($E$921),"",$E$921))</f>
        <v/>
      </c>
      <c r="AB921" s="2">
        <f>IF(ISERROR($F$921),"",IF(ISBLANK($F$921),"",$F$921))</f>
        <v/>
      </c>
      <c r="AC921" s="2">
        <f>IF(ISERROR($G$921),"",IF(ISBLANK($G$921),"",$G$921))</f>
        <v/>
      </c>
      <c r="AD921" s="2">
        <f>IF(ISERROR($H$921),"",IF(ISBLANK($H$921),"",$H$921))</f>
        <v/>
      </c>
      <c r="AE921" s="2">
        <f>IF(ISERROR($I$921),"",IF(ISBLANK($I$921),"",$I$921))</f>
        <v/>
      </c>
      <c r="AF921" s="2">
        <f>IF(ISERROR($J$921),"",IF(ISBLANK($J$921),"",$J$921))</f>
        <v/>
      </c>
      <c r="AG921" s="2">
        <f>ISERROR($B$921)*1+ISERROR($C$921)*1+ISERROR($D$921)*1+ISERROR($E$921)*1+ISERROR($F$921)*1+ISERROR($G$921)*1+ISERROR($H$921)*1+ISERROR($I$921)*1+ISERROR($J$921)*1</f>
        <v/>
      </c>
    </row>
    <row r="922" ht="26" customHeight="1">
      <c r="B922" s="35" t="n"/>
      <c r="C922" s="29" t="n"/>
      <c r="D922" s="29" t="n"/>
      <c r="E922" s="29" t="n"/>
      <c r="F922" s="29" t="n"/>
      <c r="G922" s="29" t="n"/>
      <c r="H922" s="29" t="n"/>
      <c r="I922" s="29" t="n"/>
      <c r="J922" s="29" t="n"/>
      <c r="K922" s="19">
        <f>IF(AG922&gt;0,"O Google leu como fórmula: digite de novo com ' na frente.","")</f>
        <v/>
      </c>
      <c r="N922" s="2">
        <f>N921+IF(LEN($X$922)&gt;0,1,0)</f>
        <v/>
      </c>
      <c r="O922" s="2">
        <f>O921+IF(LEN($Y$922)&gt;0,1,0)</f>
        <v/>
      </c>
      <c r="P922" s="2">
        <f>P921+IF(LEN($Z$922)&gt;0,1,0)</f>
        <v/>
      </c>
      <c r="Q922" s="2">
        <f>Q921+IF(LEN($AA$922)&gt;0,1,0)</f>
        <v/>
      </c>
      <c r="R922" s="2">
        <f>R921+IF(LEN($AB$922)&gt;0,1,0)</f>
        <v/>
      </c>
      <c r="S922" s="2">
        <f>S921+IF(LEN($AC$922)&gt;0,1,0)</f>
        <v/>
      </c>
      <c r="T922" s="2">
        <f>T921+IF(LEN($AD$922)&gt;0,1,0)</f>
        <v/>
      </c>
      <c r="U922" s="2">
        <f>U921+IF(LEN($AE$922)&gt;0,1,0)</f>
        <v/>
      </c>
      <c r="V922" s="2">
        <f>V921+IF(LEN($AF$922)&gt;0,1,0)</f>
        <v/>
      </c>
      <c r="X922" s="2">
        <f>IF(ISERROR($B$922),"",IF(ISBLANK($B$922),"",$B$922))</f>
        <v/>
      </c>
      <c r="Y922" s="2">
        <f>IF(ISERROR($C$922),"",IF(ISBLANK($C$922),"",$C$922))</f>
        <v/>
      </c>
      <c r="Z922" s="2">
        <f>IF(ISERROR($D$922),"",IF(ISBLANK($D$922),"",$D$922))</f>
        <v/>
      </c>
      <c r="AA922" s="2">
        <f>IF(ISERROR($E$922),"",IF(ISBLANK($E$922),"",$E$922))</f>
        <v/>
      </c>
      <c r="AB922" s="2">
        <f>IF(ISERROR($F$922),"",IF(ISBLANK($F$922),"",$F$922))</f>
        <v/>
      </c>
      <c r="AC922" s="2">
        <f>IF(ISERROR($G$922),"",IF(ISBLANK($G$922),"",$G$922))</f>
        <v/>
      </c>
      <c r="AD922" s="2">
        <f>IF(ISERROR($H$922),"",IF(ISBLANK($H$922),"",$H$922))</f>
        <v/>
      </c>
      <c r="AE922" s="2">
        <f>IF(ISERROR($I$922),"",IF(ISBLANK($I$922),"",$I$922))</f>
        <v/>
      </c>
      <c r="AF922" s="2">
        <f>IF(ISERROR($J$922),"",IF(ISBLANK($J$922),"",$J$922))</f>
        <v/>
      </c>
      <c r="AG922" s="2">
        <f>ISERROR($B$922)*1+ISERROR($C$922)*1+ISERROR($D$922)*1+ISERROR($E$922)*1+ISERROR($F$922)*1+ISERROR($G$922)*1+ISERROR($H$922)*1+ISERROR($I$922)*1+ISERROR($J$922)*1</f>
        <v/>
      </c>
    </row>
    <row r="923" ht="26" customHeight="1">
      <c r="B923" s="33" t="n"/>
      <c r="C923" s="4" t="n"/>
      <c r="D923" s="4" t="n"/>
      <c r="E923" s="4" t="n"/>
      <c r="F923" s="4" t="n"/>
      <c r="G923" s="4" t="n"/>
      <c r="H923" s="4" t="n"/>
      <c r="I923" s="4" t="n"/>
      <c r="J923" s="4" t="n"/>
      <c r="K923" s="19">
        <f>IF(AG923&gt;0,"O Google leu como fórmula: digite de novo com ' na frente.","")</f>
        <v/>
      </c>
      <c r="N923" s="2">
        <f>N922+IF(LEN($X$923)&gt;0,1,0)</f>
        <v/>
      </c>
      <c r="O923" s="2">
        <f>O922+IF(LEN($Y$923)&gt;0,1,0)</f>
        <v/>
      </c>
      <c r="P923" s="2">
        <f>P922+IF(LEN($Z$923)&gt;0,1,0)</f>
        <v/>
      </c>
      <c r="Q923" s="2">
        <f>Q922+IF(LEN($AA$923)&gt;0,1,0)</f>
        <v/>
      </c>
      <c r="R923" s="2">
        <f>R922+IF(LEN($AB$923)&gt;0,1,0)</f>
        <v/>
      </c>
      <c r="S923" s="2">
        <f>S922+IF(LEN($AC$923)&gt;0,1,0)</f>
        <v/>
      </c>
      <c r="T923" s="2">
        <f>T922+IF(LEN($AD$923)&gt;0,1,0)</f>
        <v/>
      </c>
      <c r="U923" s="2">
        <f>U922+IF(LEN($AE$923)&gt;0,1,0)</f>
        <v/>
      </c>
      <c r="V923" s="2">
        <f>V922+IF(LEN($AF$923)&gt;0,1,0)</f>
        <v/>
      </c>
      <c r="X923" s="2">
        <f>IF(ISERROR($B$923),"",IF(ISBLANK($B$923),"",$B$923))</f>
        <v/>
      </c>
      <c r="Y923" s="2">
        <f>IF(ISERROR($C$923),"",IF(ISBLANK($C$923),"",$C$923))</f>
        <v/>
      </c>
      <c r="Z923" s="2">
        <f>IF(ISERROR($D$923),"",IF(ISBLANK($D$923),"",$D$923))</f>
        <v/>
      </c>
      <c r="AA923" s="2">
        <f>IF(ISERROR($E$923),"",IF(ISBLANK($E$923),"",$E$923))</f>
        <v/>
      </c>
      <c r="AB923" s="2">
        <f>IF(ISERROR($F$923),"",IF(ISBLANK($F$923),"",$F$923))</f>
        <v/>
      </c>
      <c r="AC923" s="2">
        <f>IF(ISERROR($G$923),"",IF(ISBLANK($G$923),"",$G$923))</f>
        <v/>
      </c>
      <c r="AD923" s="2">
        <f>IF(ISERROR($H$923),"",IF(ISBLANK($H$923),"",$H$923))</f>
        <v/>
      </c>
      <c r="AE923" s="2">
        <f>IF(ISERROR($I$923),"",IF(ISBLANK($I$923),"",$I$923))</f>
        <v/>
      </c>
      <c r="AF923" s="2">
        <f>IF(ISERROR($J$923),"",IF(ISBLANK($J$923),"",$J$923))</f>
        <v/>
      </c>
      <c r="AG923" s="2">
        <f>ISERROR($B$923)*1+ISERROR($C$923)*1+ISERROR($D$923)*1+ISERROR($E$923)*1+ISERROR($F$923)*1+ISERROR($G$923)*1+ISERROR($H$923)*1+ISERROR($I$923)*1+ISERROR($J$923)*1</f>
        <v/>
      </c>
    </row>
    <row r="924"/>
    <row r="925" ht="20" customHeight="1">
      <c r="A925" s="13" t="inlineStr">
        <is>
          <t>Planetas, estações, naves, facções e nomes (aba Mundos) — Sugestão da planilha (H11) (parte 2) — 100 vagas por lista</t>
        </is>
      </c>
    </row>
    <row r="926">
      <c r="A926" s="12" t="inlineStr">
        <is>
          <t>Apague para trocar, use as vagas vazias para ampliar. Não insira linhas: o contador corrido pularia a linha nova.</t>
        </is>
      </c>
    </row>
    <row r="927" ht="26" customHeight="1">
      <c r="A927" s="8" t="inlineStr">
        <is>
          <t>Lista</t>
        </is>
      </c>
      <c r="B927" s="8" t="inlineStr">
        <is>
          <t>Tipo de mundo</t>
        </is>
      </c>
      <c r="C927" s="8" t="inlineStr">
        <is>
          <t>Condição marcante</t>
        </is>
      </c>
      <c r="D927" s="8" t="inlineStr">
        <is>
          <t>O que fazem de manhã (27.17)</t>
        </is>
      </c>
      <c r="E927" s="8" t="inlineStr">
        <is>
          <t>O que pararam de fazer (27.17)</t>
        </is>
      </c>
      <c r="F927" s="8" t="inlineStr">
        <is>
          <t>Presença: Stellaron ou Fragmentum (peso)</t>
        </is>
      </c>
      <c r="G927" s="8" t="inlineStr">
        <is>
          <t>Função da estação</t>
        </is>
      </c>
      <c r="H927" s="8" t="inlineStr">
        <is>
          <t>Problema da estação</t>
        </is>
      </c>
      <c r="I927" s="8" t="inlineStr">
        <is>
          <t>Classe da nave</t>
        </is>
      </c>
      <c r="J927" s="8" t="inlineStr">
        <is>
          <t>Peculiaridade da nave</t>
        </is>
      </c>
    </row>
    <row r="928" ht="26" customHeight="1">
      <c r="A928" s="9" t="inlineStr">
        <is>
          <t>Fonte</t>
        </is>
      </c>
      <c r="B928" s="14" t="inlineStr">
        <is>
          <t>Sugestão da planilha (H11)</t>
        </is>
      </c>
      <c r="C928" s="14" t="inlineStr">
        <is>
          <t>Sugestão da planilha (H11)</t>
        </is>
      </c>
      <c r="D928" s="14" t="inlineStr">
        <is>
          <t>Livro 27.17 (pergunta) + Sugestão da planilha (H11)</t>
        </is>
      </c>
      <c r="E928" s="14" t="inlineStr">
        <is>
          <t>Livro 27.17 (pergunta) + Sugestão da planilha (H11)</t>
        </is>
      </c>
      <c r="F928" s="14" t="inlineStr">
        <is>
          <t>Livro 27.13 e 27.14 + Sugestão da planilha (H11: Nenhuma ×3)</t>
        </is>
      </c>
      <c r="G928" s="14" t="inlineStr">
        <is>
          <t>Livro 27.17 (a primeira) + Sugestão da planilha (H11)</t>
        </is>
      </c>
      <c r="H928" s="14" t="inlineStr">
        <is>
          <t>Sugestão da planilha (H11)</t>
        </is>
      </c>
      <c r="I928" s="14" t="inlineStr">
        <is>
          <t>Sugestão da planilha (H11)</t>
        </is>
      </c>
      <c r="J928" s="14" t="inlineStr">
        <is>
          <t>Sugestão da planilha (H11)</t>
        </is>
      </c>
    </row>
    <row r="929" ht="26" customHeight="1">
      <c r="A929" s="21" t="inlineStr">
        <is>
          <t>Tamanho da lista</t>
        </is>
      </c>
      <c r="B929" s="23">
        <f>N1038</f>
        <v/>
      </c>
      <c r="C929" s="23">
        <f>O1038</f>
        <v/>
      </c>
      <c r="D929" s="23">
        <f>P1038</f>
        <v/>
      </c>
      <c r="E929" s="23">
        <f>Q1038</f>
        <v/>
      </c>
      <c r="F929" s="23">
        <f>R1038</f>
        <v/>
      </c>
      <c r="G929" s="23">
        <f>S1038</f>
        <v/>
      </c>
      <c r="H929" s="23">
        <f>T1038</f>
        <v/>
      </c>
      <c r="I929" s="23">
        <f>U1038</f>
        <v/>
      </c>
      <c r="J929" s="23">
        <f>V1038</f>
        <v/>
      </c>
    </row>
    <row r="930" ht="26" customHeight="1">
      <c r="A930" s="9" t="inlineStr">
        <is>
          <t>Aviso</t>
        </is>
      </c>
      <c r="B930" s="19">
        <f>IF(N1038&gt;=100,"Lista cheia (100): use Minhas Tabelas para uma lista maior","")</f>
        <v/>
      </c>
      <c r="C930" s="19">
        <f>IF(O1038&gt;=100,"Lista cheia (100): use Minhas Tabelas para uma lista maior","")</f>
        <v/>
      </c>
      <c r="D930" s="19">
        <f>IF(P1038&gt;=100,"Lista cheia (100): use Minhas Tabelas para uma lista maior","")</f>
        <v/>
      </c>
      <c r="E930" s="19">
        <f>IF(Q1038&gt;=100,"Lista cheia (100): use Minhas Tabelas para uma lista maior","")</f>
        <v/>
      </c>
      <c r="F930" s="19">
        <f>IF(R1038&gt;=100,"Lista cheia (100): use Minhas Tabelas para uma lista maior","")</f>
        <v/>
      </c>
      <c r="G930" s="19">
        <f>IF(S1038&gt;=100,"Lista cheia (100): use Minhas Tabelas para uma lista maior","")</f>
        <v/>
      </c>
      <c r="H930" s="19">
        <f>IF(T1038&gt;=100,"Lista cheia (100): use Minhas Tabelas para uma lista maior","")</f>
        <v/>
      </c>
      <c r="I930" s="19">
        <f>IF(U1038&gt;=100,"Lista cheia (100): use Minhas Tabelas para uma lista maior","")</f>
        <v/>
      </c>
      <c r="J930" s="19">
        <f>IF(V1038&gt;=100,"Lista cheia (100): use Minhas Tabelas para uma lista maior","")</f>
        <v/>
      </c>
    </row>
    <row r="931" ht="26" customHeight="1">
      <c r="B931" s="8" t="inlineStr">
        <is>
          <t>Tipo de mundo</t>
        </is>
      </c>
      <c r="C931" s="8" t="inlineStr">
        <is>
          <t>Condição marcante</t>
        </is>
      </c>
      <c r="D931" s="8" t="inlineStr">
        <is>
          <t>O que fazem de manhã (27.17)</t>
        </is>
      </c>
      <c r="E931" s="8" t="inlineStr">
        <is>
          <t>O que pararam de fazer (27.17)</t>
        </is>
      </c>
      <c r="F931" s="8" t="inlineStr">
        <is>
          <t>Presença: Stellaron ou Fragmentum (peso)</t>
        </is>
      </c>
      <c r="G931" s="8" t="inlineStr">
        <is>
          <t>Função da estação</t>
        </is>
      </c>
      <c r="H931" s="8" t="inlineStr">
        <is>
          <t>Problema da estação</t>
        </is>
      </c>
      <c r="I931" s="8" t="inlineStr">
        <is>
          <t>Classe da nave</t>
        </is>
      </c>
      <c r="J931" s="8" t="inlineStr">
        <is>
          <t>Peculiaridade da nave</t>
        </is>
      </c>
      <c r="N931" s="2">
        <f>0</f>
        <v/>
      </c>
      <c r="O931" s="2">
        <f>0</f>
        <v/>
      </c>
      <c r="P931" s="2">
        <f>0</f>
        <v/>
      </c>
      <c r="Q931" s="2">
        <f>0</f>
        <v/>
      </c>
      <c r="R931" s="2">
        <f>0</f>
        <v/>
      </c>
      <c r="S931" s="2">
        <f>0</f>
        <v/>
      </c>
      <c r="T931" s="2">
        <f>0</f>
        <v/>
      </c>
      <c r="U931" s="2">
        <f>0</f>
        <v/>
      </c>
      <c r="V931" s="2">
        <f>0</f>
        <v/>
      </c>
    </row>
    <row r="932" ht="37" customHeight="1">
      <c r="B932" s="33" t="inlineStr">
        <is>
          <t>mundo-oceano com ilhas flutuantes</t>
        </is>
      </c>
      <c r="C932" s="4" t="inlineStr">
        <is>
          <t>a gravidade fica mais leve ao meio-dia</t>
        </is>
      </c>
      <c r="D932" s="4" t="inlineStr">
        <is>
          <t>fazem fila na bomba de água</t>
        </is>
      </c>
      <c r="E932" s="4" t="inlineStr">
        <is>
          <t>pescar no lago</t>
        </is>
      </c>
      <c r="F932" s="4" t="inlineStr">
        <is>
          <t>Um Stellaron dormindo no núcleo</t>
        </is>
      </c>
      <c r="G932" s="4" t="inlineStr">
        <is>
          <t>triagem, alfândega, armazém, tribunal e hotel no mesmo cilindro, como Vértice-9 (27.17)</t>
        </is>
      </c>
      <c r="H932" s="4" t="inlineStr">
        <is>
          <t>o sistema de ar está falhando num anel inteiro</t>
        </is>
      </c>
      <c r="I932" s="4" t="inlineStr">
        <is>
          <t>cargueiro pesado</t>
        </is>
      </c>
      <c r="J932" s="4" t="inlineStr">
        <is>
          <t>a gravidade muda de lado no corredor central</t>
        </is>
      </c>
      <c r="K932" s="19">
        <f>IF(AG932&gt;0,"O Google leu como fórmula: digite de novo com ' na frente.","")</f>
        <v/>
      </c>
      <c r="N932" s="2">
        <f>N931+IF(LEN($X$932)&gt;0,1,0)</f>
        <v/>
      </c>
      <c r="O932" s="2">
        <f>O931+IF(LEN($Y$932)&gt;0,1,0)</f>
        <v/>
      </c>
      <c r="P932" s="2">
        <f>P931+IF(LEN($Z$932)&gt;0,1,0)</f>
        <v/>
      </c>
      <c r="Q932" s="2">
        <f>Q931+IF(LEN($AA$932)&gt;0,1,0)</f>
        <v/>
      </c>
      <c r="R932" s="2">
        <f>R931+IF(LEN($AB$932)&gt;0,1,0)</f>
        <v/>
      </c>
      <c r="S932" s="2">
        <f>S931+IF(LEN($AC$932)&gt;0,1,0)</f>
        <v/>
      </c>
      <c r="T932" s="2">
        <f>T931+IF(LEN($AD$932)&gt;0,1,0)</f>
        <v/>
      </c>
      <c r="U932" s="2">
        <f>U931+IF(LEN($AE$932)&gt;0,1,0)</f>
        <v/>
      </c>
      <c r="V932" s="2">
        <f>V931+IF(LEN($AF$932)&gt;0,1,0)</f>
        <v/>
      </c>
      <c r="X932" s="2">
        <f>IF(ISERROR($B$932),"",IF(ISBLANK($B$932),"",$B$932))</f>
        <v/>
      </c>
      <c r="Y932" s="2">
        <f>IF(ISERROR($C$932),"",IF(ISBLANK($C$932),"",$C$932))</f>
        <v/>
      </c>
      <c r="Z932" s="2">
        <f>IF(ISERROR($D$932),"",IF(ISBLANK($D$932),"",$D$932))</f>
        <v/>
      </c>
      <c r="AA932" s="2">
        <f>IF(ISERROR($E$932),"",IF(ISBLANK($E$932),"",$E$932))</f>
        <v/>
      </c>
      <c r="AB932" s="2">
        <f>IF(ISERROR($F$932),"",IF(ISBLANK($F$932),"",$F$932))</f>
        <v/>
      </c>
      <c r="AC932" s="2">
        <f>IF(ISERROR($G$932),"",IF(ISBLANK($G$932),"",$G$932))</f>
        <v/>
      </c>
      <c r="AD932" s="2">
        <f>IF(ISERROR($H$932),"",IF(ISBLANK($H$932),"",$H$932))</f>
        <v/>
      </c>
      <c r="AE932" s="2">
        <f>IF(ISERROR($I$932),"",IF(ISBLANK($I$932),"",$I$932))</f>
        <v/>
      </c>
      <c r="AF932" s="2">
        <f>IF(ISERROR($J$932),"",IF(ISBLANK($J$932),"",$J$932))</f>
        <v/>
      </c>
      <c r="AG932" s="2">
        <f>ISERROR($B$932)*1+ISERROR($C$932)*1+ISERROR($D$932)*1+ISERROR($E$932)*1+ISERROR($F$932)*1+ISERROR($G$932)*1+ISERROR($H$932)*1+ISERROR($I$932)*1+ISERROR($J$932)*1</f>
        <v/>
      </c>
    </row>
    <row r="933" ht="26" customHeight="1">
      <c r="B933" s="35" t="inlineStr">
        <is>
          <t>lua de gelo com cidades subterrâneas</t>
        </is>
      </c>
      <c r="C933" s="29" t="inlineStr">
        <is>
          <t>o céu tem duas auroras de cores diferentes</t>
        </is>
      </c>
      <c r="D933" s="29" t="inlineStr">
        <is>
          <t>acendem lanternas nas janelas</t>
        </is>
      </c>
      <c r="E933" s="29" t="inlineStr">
        <is>
          <t>olhar para o céu</t>
        </is>
      </c>
      <c r="F933" s="29" t="inlineStr">
        <is>
          <t>Um Stellaron recém-cravado, que ninguém viu chegar</t>
        </is>
      </c>
      <c r="G933" s="29" t="inlineStr">
        <is>
          <t>estaleiro de reparos de cargueiros</t>
        </is>
      </c>
      <c r="H933" s="29" t="inlineStr">
        <is>
          <t>uma greve parou as docas</t>
        </is>
      </c>
      <c r="I933" s="29" t="inlineStr">
        <is>
          <t>rebocador de asteroides</t>
        </is>
      </c>
      <c r="J933" s="29" t="inlineStr">
        <is>
          <t>o computador de bordo só responde em verso</t>
        </is>
      </c>
      <c r="K933" s="19">
        <f>IF(AG933&gt;0,"O Google leu como fórmula: digite de novo com ' na frente.","")</f>
        <v/>
      </c>
      <c r="N933" s="2">
        <f>N932+IF(LEN($X$933)&gt;0,1,0)</f>
        <v/>
      </c>
      <c r="O933" s="2">
        <f>O932+IF(LEN($Y$933)&gt;0,1,0)</f>
        <v/>
      </c>
      <c r="P933" s="2">
        <f>P932+IF(LEN($Z$933)&gt;0,1,0)</f>
        <v/>
      </c>
      <c r="Q933" s="2">
        <f>Q932+IF(LEN($AA$933)&gt;0,1,0)</f>
        <v/>
      </c>
      <c r="R933" s="2">
        <f>R932+IF(LEN($AB$933)&gt;0,1,0)</f>
        <v/>
      </c>
      <c r="S933" s="2">
        <f>S932+IF(LEN($AC$933)&gt;0,1,0)</f>
        <v/>
      </c>
      <c r="T933" s="2">
        <f>T932+IF(LEN($AD$933)&gt;0,1,0)</f>
        <v/>
      </c>
      <c r="U933" s="2">
        <f>U932+IF(LEN($AE$933)&gt;0,1,0)</f>
        <v/>
      </c>
      <c r="V933" s="2">
        <f>V932+IF(LEN($AF$933)&gt;0,1,0)</f>
        <v/>
      </c>
      <c r="X933" s="2">
        <f>IF(ISERROR($B$933),"",IF(ISBLANK($B$933),"",$B$933))</f>
        <v/>
      </c>
      <c r="Y933" s="2">
        <f>IF(ISERROR($C$933),"",IF(ISBLANK($C$933),"",$C$933))</f>
        <v/>
      </c>
      <c r="Z933" s="2">
        <f>IF(ISERROR($D$933),"",IF(ISBLANK($D$933),"",$D$933))</f>
        <v/>
      </c>
      <c r="AA933" s="2">
        <f>IF(ISERROR($E$933),"",IF(ISBLANK($E$933),"",$E$933))</f>
        <v/>
      </c>
      <c r="AB933" s="2">
        <f>IF(ISERROR($F$933),"",IF(ISBLANK($F$933),"",$F$933))</f>
        <v/>
      </c>
      <c r="AC933" s="2">
        <f>IF(ISERROR($G$933),"",IF(ISBLANK($G$933),"",$G$933))</f>
        <v/>
      </c>
      <c r="AD933" s="2">
        <f>IF(ISERROR($H$933),"",IF(ISBLANK($H$933),"",$H$933))</f>
        <v/>
      </c>
      <c r="AE933" s="2">
        <f>IF(ISERROR($I$933),"",IF(ISBLANK($I$933),"",$I$933))</f>
        <v/>
      </c>
      <c r="AF933" s="2">
        <f>IF(ISERROR($J$933),"",IF(ISBLANK($J$933),"",$J$933))</f>
        <v/>
      </c>
      <c r="AG933" s="2">
        <f>ISERROR($B$933)*1+ISERROR($C$933)*1+ISERROR($D$933)*1+ISERROR($E$933)*1+ISERROR($F$933)*1+ISERROR($G$933)*1+ISERROR($H$933)*1+ISERROR($I$933)*1+ISERROR($J$933)*1</f>
        <v/>
      </c>
    </row>
    <row r="934" ht="26" customHeight="1">
      <c r="B934" s="33" t="inlineStr">
        <is>
          <t>planeta-deserto de vidro</t>
        </is>
      </c>
      <c r="C934" s="4" t="inlineStr">
        <is>
          <t>ninguém fala alto depois do pôr do sol</t>
        </is>
      </c>
      <c r="D934" s="4" t="inlineStr">
        <is>
          <t>rezam em voz baixa voltados para o céu</t>
        </is>
      </c>
      <c r="E934" s="4" t="inlineStr">
        <is>
          <t>dizer o nome da cidade antiga</t>
        </is>
      </c>
      <c r="F934" s="4" t="inlineStr">
        <is>
          <t>Rumores de um Stellaron sob a cidade</t>
        </is>
      </c>
      <c r="G934" s="4" t="inlineStr">
        <is>
          <t>hospital orbital</t>
        </is>
      </c>
      <c r="H934" s="4" t="inlineStr">
        <is>
          <t>um passageiro sumiu do registro</t>
        </is>
      </c>
      <c r="I934" s="4" t="inlineStr">
        <is>
          <t>transporte de passageiros</t>
        </is>
      </c>
      <c r="J934" s="4" t="inlineStr">
        <is>
          <t>tem um jardim no porão de carga</t>
        </is>
      </c>
      <c r="K934" s="19">
        <f>IF(AG934&gt;0,"O Google leu como fórmula: digite de novo com ' na frente.","")</f>
        <v/>
      </c>
      <c r="N934" s="2">
        <f>N933+IF(LEN($X$934)&gt;0,1,0)</f>
        <v/>
      </c>
      <c r="O934" s="2">
        <f>O933+IF(LEN($Y$934)&gt;0,1,0)</f>
        <v/>
      </c>
      <c r="P934" s="2">
        <f>P933+IF(LEN($Z$934)&gt;0,1,0)</f>
        <v/>
      </c>
      <c r="Q934" s="2">
        <f>Q933+IF(LEN($AA$934)&gt;0,1,0)</f>
        <v/>
      </c>
      <c r="R934" s="2">
        <f>R933+IF(LEN($AB$934)&gt;0,1,0)</f>
        <v/>
      </c>
      <c r="S934" s="2">
        <f>S933+IF(LEN($AC$934)&gt;0,1,0)</f>
        <v/>
      </c>
      <c r="T934" s="2">
        <f>T933+IF(LEN($AD$934)&gt;0,1,0)</f>
        <v/>
      </c>
      <c r="U934" s="2">
        <f>U933+IF(LEN($AE$934)&gt;0,1,0)</f>
        <v/>
      </c>
      <c r="V934" s="2">
        <f>V933+IF(LEN($AF$934)&gt;0,1,0)</f>
        <v/>
      </c>
      <c r="X934" s="2">
        <f>IF(ISERROR($B$934),"",IF(ISBLANK($B$934),"",$B$934))</f>
        <v/>
      </c>
      <c r="Y934" s="2">
        <f>IF(ISERROR($C$934),"",IF(ISBLANK($C$934),"",$C$934))</f>
        <v/>
      </c>
      <c r="Z934" s="2">
        <f>IF(ISERROR($D$934),"",IF(ISBLANK($D$934),"",$D$934))</f>
        <v/>
      </c>
      <c r="AA934" s="2">
        <f>IF(ISERROR($E$934),"",IF(ISBLANK($E$934),"",$E$934))</f>
        <v/>
      </c>
      <c r="AB934" s="2">
        <f>IF(ISERROR($F$934),"",IF(ISBLANK($F$934),"",$F$934))</f>
        <v/>
      </c>
      <c r="AC934" s="2">
        <f>IF(ISERROR($G$934),"",IF(ISBLANK($G$934),"",$G$934))</f>
        <v/>
      </c>
      <c r="AD934" s="2">
        <f>IF(ISERROR($H$934),"",IF(ISBLANK($H$934),"",$H$934))</f>
        <v/>
      </c>
      <c r="AE934" s="2">
        <f>IF(ISERROR($I$934),"",IF(ISBLANK($I$934),"",$I$934))</f>
        <v/>
      </c>
      <c r="AF934" s="2">
        <f>IF(ISERROR($J$934),"",IF(ISBLANK($J$934),"",$J$934))</f>
        <v/>
      </c>
      <c r="AG934" s="2">
        <f>ISERROR($B$934)*1+ISERROR($C$934)*1+ISERROR($D$934)*1+ISERROR($E$934)*1+ISERROR($F$934)*1+ISERROR($G$934)*1+ISERROR($H$934)*1+ISERROR($I$934)*1+ISERROR($J$934)*1</f>
        <v/>
      </c>
    </row>
    <row r="935" ht="26" customHeight="1">
      <c r="B935" s="35" t="inlineStr">
        <is>
          <t>mundo-floresta com árvores do tamanho de torres</t>
        </is>
      </c>
      <c r="C935" s="29" t="inlineStr">
        <is>
          <t>a água potável é dividida por sorteio</t>
        </is>
      </c>
      <c r="D935" s="29" t="inlineStr">
        <is>
          <t>consertam as redes de pesca</t>
        </is>
      </c>
      <c r="E935" s="29" t="inlineStr">
        <is>
          <t>enterrar os mortos</t>
        </is>
      </c>
      <c r="F935" s="29" t="inlineStr">
        <is>
          <t>Um culto que diz guardar um Stellaron</t>
        </is>
      </c>
      <c r="G935" s="29" t="inlineStr">
        <is>
          <t>posto de reabastecimento</t>
        </is>
      </c>
      <c r="H935" s="29" t="inlineStr">
        <is>
          <t>a Corporação mandou uma auditoria surpresa</t>
        </is>
      </c>
      <c r="I935" s="29" t="inlineStr">
        <is>
          <t>corveta de patrulha</t>
        </is>
      </c>
      <c r="J935" s="29" t="inlineStr">
        <is>
          <t>a tripulação nunca desliga a música</t>
        </is>
      </c>
      <c r="K935" s="19">
        <f>IF(AG935&gt;0,"O Google leu como fórmula: digite de novo com ' na frente.","")</f>
        <v/>
      </c>
      <c r="N935" s="2">
        <f>N934+IF(LEN($X$935)&gt;0,1,0)</f>
        <v/>
      </c>
      <c r="O935" s="2">
        <f>O934+IF(LEN($Y$935)&gt;0,1,0)</f>
        <v/>
      </c>
      <c r="P935" s="2">
        <f>P934+IF(LEN($Z$935)&gt;0,1,0)</f>
        <v/>
      </c>
      <c r="Q935" s="2">
        <f>Q934+IF(LEN($AA$935)&gt;0,1,0)</f>
        <v/>
      </c>
      <c r="R935" s="2">
        <f>R934+IF(LEN($AB$935)&gt;0,1,0)</f>
        <v/>
      </c>
      <c r="S935" s="2">
        <f>S934+IF(LEN($AC$935)&gt;0,1,0)</f>
        <v/>
      </c>
      <c r="T935" s="2">
        <f>T934+IF(LEN($AD$935)&gt;0,1,0)</f>
        <v/>
      </c>
      <c r="U935" s="2">
        <f>U934+IF(LEN($AE$935)&gt;0,1,0)</f>
        <v/>
      </c>
      <c r="V935" s="2">
        <f>V934+IF(LEN($AF$935)&gt;0,1,0)</f>
        <v/>
      </c>
      <c r="X935" s="2">
        <f>IF(ISERROR($B$935),"",IF(ISBLANK($B$935),"",$B$935))</f>
        <v/>
      </c>
      <c r="Y935" s="2">
        <f>IF(ISERROR($C$935),"",IF(ISBLANK($C$935),"",$C$935))</f>
        <v/>
      </c>
      <c r="Z935" s="2">
        <f>IF(ISERROR($D$935),"",IF(ISBLANK($D$935),"",$D$935))</f>
        <v/>
      </c>
      <c r="AA935" s="2">
        <f>IF(ISERROR($E$935),"",IF(ISBLANK($E$935),"",$E$935))</f>
        <v/>
      </c>
      <c r="AB935" s="2">
        <f>IF(ISERROR($F$935),"",IF(ISBLANK($F$935),"",$F$935))</f>
        <v/>
      </c>
      <c r="AC935" s="2">
        <f>IF(ISERROR($G$935),"",IF(ISBLANK($G$935),"",$G$935))</f>
        <v/>
      </c>
      <c r="AD935" s="2">
        <f>IF(ISERROR($H$935),"",IF(ISBLANK($H$935),"",$H$935))</f>
        <v/>
      </c>
      <c r="AE935" s="2">
        <f>IF(ISERROR($I$935),"",IF(ISBLANK($I$935),"",$I$935))</f>
        <v/>
      </c>
      <c r="AF935" s="2">
        <f>IF(ISERROR($J$935),"",IF(ISBLANK($J$935),"",$J$935))</f>
        <v/>
      </c>
      <c r="AG935" s="2">
        <f>ISERROR($B$935)*1+ISERROR($C$935)*1+ISERROR($D$935)*1+ISERROR($E$935)*1+ISERROR($F$935)*1+ISERROR($G$935)*1+ISERROR($H$935)*1+ISERROR($I$935)*1+ISERROR($J$935)*1</f>
        <v/>
      </c>
    </row>
    <row r="936" ht="26" customHeight="1">
      <c r="B936" s="33" t="inlineStr">
        <is>
          <t>asteroide minerador escavado por dentro</t>
        </is>
      </c>
      <c r="C936" s="4" t="inlineStr">
        <is>
          <t>o vento traz vozes de muito longe</t>
        </is>
      </c>
      <c r="D936" s="4" t="inlineStr">
        <is>
          <t>trocam notícias na feira</t>
        </is>
      </c>
      <c r="E936" s="4" t="inlineStr">
        <is>
          <t>abrir a porta para estranhos</t>
        </is>
      </c>
      <c r="F936" s="4" t="inlineStr">
        <is>
          <t>Caçadores de Stellaron de passagem, discretos</t>
        </is>
      </c>
      <c r="G936" s="4" t="inlineStr">
        <is>
          <t>observatório de tempestades solares</t>
        </is>
      </c>
      <c r="H936" s="4" t="inlineStr">
        <is>
          <t>um surto de doença na ala de carga</t>
        </is>
      </c>
      <c r="I936" s="4" t="inlineStr">
        <is>
          <t>nave de pesquisa</t>
        </is>
      </c>
      <c r="J936" s="4" t="inlineStr">
        <is>
          <t>um compartimento está soldado há anos</t>
        </is>
      </c>
      <c r="K936" s="19">
        <f>IF(AG936&gt;0,"O Google leu como fórmula: digite de novo com ' na frente.","")</f>
        <v/>
      </c>
      <c r="N936" s="2">
        <f>N935+IF(LEN($X$936)&gt;0,1,0)</f>
        <v/>
      </c>
      <c r="O936" s="2">
        <f>O935+IF(LEN($Y$936)&gt;0,1,0)</f>
        <v/>
      </c>
      <c r="P936" s="2">
        <f>P935+IF(LEN($Z$936)&gt;0,1,0)</f>
        <v/>
      </c>
      <c r="Q936" s="2">
        <f>Q935+IF(LEN($AA$936)&gt;0,1,0)</f>
        <v/>
      </c>
      <c r="R936" s="2">
        <f>R935+IF(LEN($AB$936)&gt;0,1,0)</f>
        <v/>
      </c>
      <c r="S936" s="2">
        <f>S935+IF(LEN($AC$936)&gt;0,1,0)</f>
        <v/>
      </c>
      <c r="T936" s="2">
        <f>T935+IF(LEN($AD$936)&gt;0,1,0)</f>
        <v/>
      </c>
      <c r="U936" s="2">
        <f>U935+IF(LEN($AE$936)&gt;0,1,0)</f>
        <v/>
      </c>
      <c r="V936" s="2">
        <f>V935+IF(LEN($AF$936)&gt;0,1,0)</f>
        <v/>
      </c>
      <c r="X936" s="2">
        <f>IF(ISERROR($B$936),"",IF(ISBLANK($B$936),"",$B$936))</f>
        <v/>
      </c>
      <c r="Y936" s="2">
        <f>IF(ISERROR($C$936),"",IF(ISBLANK($C$936),"",$C$936))</f>
        <v/>
      </c>
      <c r="Z936" s="2">
        <f>IF(ISERROR($D$936),"",IF(ISBLANK($D$936),"",$D$936))</f>
        <v/>
      </c>
      <c r="AA936" s="2">
        <f>IF(ISERROR($E$936),"",IF(ISBLANK($E$936),"",$E$936))</f>
        <v/>
      </c>
      <c r="AB936" s="2">
        <f>IF(ISERROR($F$936),"",IF(ISBLANK($F$936),"",$F$936))</f>
        <v/>
      </c>
      <c r="AC936" s="2">
        <f>IF(ISERROR($G$936),"",IF(ISBLANK($G$936),"",$G$936))</f>
        <v/>
      </c>
      <c r="AD936" s="2">
        <f>IF(ISERROR($H$936),"",IF(ISBLANK($H$936),"",$H$936))</f>
        <v/>
      </c>
      <c r="AE936" s="2">
        <f>IF(ISERROR($I$936),"",IF(ISBLANK($I$936),"",$I$936))</f>
        <v/>
      </c>
      <c r="AF936" s="2">
        <f>IF(ISERROR($J$936),"",IF(ISBLANK($J$936),"",$J$936))</f>
        <v/>
      </c>
      <c r="AG936" s="2">
        <f>ISERROR($B$936)*1+ISERROR($C$936)*1+ISERROR($D$936)*1+ISERROR($E$936)*1+ISERROR($F$936)*1+ISERROR($G$936)*1+ISERROR($H$936)*1+ISERROR($I$936)*1+ISERROR($J$936)*1</f>
        <v/>
      </c>
    </row>
    <row r="937" ht="26" customHeight="1">
      <c r="B937" s="35" t="inlineStr">
        <is>
          <t>planeta de crepúsculo eterno</t>
        </is>
      </c>
      <c r="C937" s="29" t="inlineStr">
        <is>
          <t>as sombras chegam um pouco depois dos corpos</t>
        </is>
      </c>
      <c r="D937" s="29" t="inlineStr">
        <is>
          <t>levam as crianças até a escola do abrigo</t>
        </is>
      </c>
      <c r="E937" s="29" t="inlineStr">
        <is>
          <t>cantar no trabalho</t>
        </is>
      </c>
      <c r="F937" s="29" t="inlineStr">
        <is>
          <t>Um Stellaron que já começou a reescrever as estações do ano</t>
        </is>
      </c>
      <c r="G937" s="29" t="inlineStr">
        <is>
          <t>prisão de segurança média</t>
        </is>
      </c>
      <c r="H937" s="29" t="inlineStr">
        <is>
          <t>o diretor desapareceu há três dias</t>
        </is>
      </c>
      <c r="I937" s="29" t="inlineStr">
        <is>
          <t>iate de luxo antigo</t>
        </is>
      </c>
      <c r="J937" s="29" t="inlineStr">
        <is>
          <t>o capitão dorme na ponte de comando</t>
        </is>
      </c>
      <c r="K937" s="19">
        <f>IF(AG937&gt;0,"O Google leu como fórmula: digite de novo com ' na frente.","")</f>
        <v/>
      </c>
      <c r="N937" s="2">
        <f>N936+IF(LEN($X$937)&gt;0,1,0)</f>
        <v/>
      </c>
      <c r="O937" s="2">
        <f>O936+IF(LEN($Y$937)&gt;0,1,0)</f>
        <v/>
      </c>
      <c r="P937" s="2">
        <f>P936+IF(LEN($Z$937)&gt;0,1,0)</f>
        <v/>
      </c>
      <c r="Q937" s="2">
        <f>Q936+IF(LEN($AA$937)&gt;0,1,0)</f>
        <v/>
      </c>
      <c r="R937" s="2">
        <f>R936+IF(LEN($AB$937)&gt;0,1,0)</f>
        <v/>
      </c>
      <c r="S937" s="2">
        <f>S936+IF(LEN($AC$937)&gt;0,1,0)</f>
        <v/>
      </c>
      <c r="T937" s="2">
        <f>T936+IF(LEN($AD$937)&gt;0,1,0)</f>
        <v/>
      </c>
      <c r="U937" s="2">
        <f>U936+IF(LEN($AE$937)&gt;0,1,0)</f>
        <v/>
      </c>
      <c r="V937" s="2">
        <f>V936+IF(LEN($AF$937)&gt;0,1,0)</f>
        <v/>
      </c>
      <c r="X937" s="2">
        <f>IF(ISERROR($B$937),"",IF(ISBLANK($B$937),"",$B$937))</f>
        <v/>
      </c>
      <c r="Y937" s="2">
        <f>IF(ISERROR($C$937),"",IF(ISBLANK($C$937),"",$C$937))</f>
        <v/>
      </c>
      <c r="Z937" s="2">
        <f>IF(ISERROR($D$937),"",IF(ISBLANK($D$937),"",$D$937))</f>
        <v/>
      </c>
      <c r="AA937" s="2">
        <f>IF(ISERROR($E$937),"",IF(ISBLANK($E$937),"",$E$937))</f>
        <v/>
      </c>
      <c r="AB937" s="2">
        <f>IF(ISERROR($F$937),"",IF(ISBLANK($F$937),"",$F$937))</f>
        <v/>
      </c>
      <c r="AC937" s="2">
        <f>IF(ISERROR($G$937),"",IF(ISBLANK($G$937),"",$G$937))</f>
        <v/>
      </c>
      <c r="AD937" s="2">
        <f>IF(ISERROR($H$937),"",IF(ISBLANK($H$937),"",$H$937))</f>
        <v/>
      </c>
      <c r="AE937" s="2">
        <f>IF(ISERROR($I$937),"",IF(ISBLANK($I$937),"",$I$937))</f>
        <v/>
      </c>
      <c r="AF937" s="2">
        <f>IF(ISERROR($J$937),"",IF(ISBLANK($J$937),"",$J$937))</f>
        <v/>
      </c>
      <c r="AG937" s="2">
        <f>ISERROR($B$937)*1+ISERROR($C$937)*1+ISERROR($D$937)*1+ISERROR($E$937)*1+ISERROR($F$937)*1+ISERROR($G$937)*1+ISERROR($H$937)*1+ISERROR($I$937)*1+ISERROR($J$937)*1</f>
        <v/>
      </c>
    </row>
    <row r="938" ht="26" customHeight="1">
      <c r="B938" s="33" t="inlineStr">
        <is>
          <t>mundo-cidade coberto de prédios</t>
        </is>
      </c>
      <c r="C938" s="4" t="inlineStr">
        <is>
          <t>metade da população dorme durante o dia</t>
        </is>
      </c>
      <c r="D938" s="4" t="inlineStr">
        <is>
          <t>varrem a poeira das calçadas</t>
        </is>
      </c>
      <c r="E938" s="4" t="inlineStr">
        <is>
          <t>usar a estrada do norte</t>
        </is>
      </c>
      <c r="F938" s="4" t="inlineStr">
        <is>
          <t>Uma facção que oferece um Stellaron a quem pagar mais</t>
        </is>
      </c>
      <c r="G938" s="4" t="inlineStr">
        <is>
          <t>mercado livre de impostos</t>
        </is>
      </c>
      <c r="H938" s="4" t="inlineStr">
        <is>
          <t>contrabandistas tomaram um setor</t>
        </is>
      </c>
      <c r="I938" s="4" t="inlineStr">
        <is>
          <t>barcaça de minério</t>
        </is>
      </c>
      <c r="J938" s="4" t="inlineStr">
        <is>
          <t>as luzes piscam quando alguém levanta a voz</t>
        </is>
      </c>
      <c r="K938" s="19">
        <f>IF(AG938&gt;0,"O Google leu como fórmula: digite de novo com ' na frente.","")</f>
        <v/>
      </c>
      <c r="N938" s="2">
        <f>N937+IF(LEN($X$938)&gt;0,1,0)</f>
        <v/>
      </c>
      <c r="O938" s="2">
        <f>O937+IF(LEN($Y$938)&gt;0,1,0)</f>
        <v/>
      </c>
      <c r="P938" s="2">
        <f>P937+IF(LEN($Z$938)&gt;0,1,0)</f>
        <v/>
      </c>
      <c r="Q938" s="2">
        <f>Q937+IF(LEN($AA$938)&gt;0,1,0)</f>
        <v/>
      </c>
      <c r="R938" s="2">
        <f>R937+IF(LEN($AB$938)&gt;0,1,0)</f>
        <v/>
      </c>
      <c r="S938" s="2">
        <f>S937+IF(LEN($AC$938)&gt;0,1,0)</f>
        <v/>
      </c>
      <c r="T938" s="2">
        <f>T937+IF(LEN($AD$938)&gt;0,1,0)</f>
        <v/>
      </c>
      <c r="U938" s="2">
        <f>U937+IF(LEN($AE$938)&gt;0,1,0)</f>
        <v/>
      </c>
      <c r="V938" s="2">
        <f>V937+IF(LEN($AF$938)&gt;0,1,0)</f>
        <v/>
      </c>
      <c r="X938" s="2">
        <f>IF(ISERROR($B$938),"",IF(ISBLANK($B$938),"",$B$938))</f>
        <v/>
      </c>
      <c r="Y938" s="2">
        <f>IF(ISERROR($C$938),"",IF(ISBLANK($C$938),"",$C$938))</f>
        <v/>
      </c>
      <c r="Z938" s="2">
        <f>IF(ISERROR($D$938),"",IF(ISBLANK($D$938),"",$D$938))</f>
        <v/>
      </c>
      <c r="AA938" s="2">
        <f>IF(ISERROR($E$938),"",IF(ISBLANK($E$938),"",$E$938))</f>
        <v/>
      </c>
      <c r="AB938" s="2">
        <f>IF(ISERROR($F$938),"",IF(ISBLANK($F$938),"",$F$938))</f>
        <v/>
      </c>
      <c r="AC938" s="2">
        <f>IF(ISERROR($G$938),"",IF(ISBLANK($G$938),"",$G$938))</f>
        <v/>
      </c>
      <c r="AD938" s="2">
        <f>IF(ISERROR($H$938),"",IF(ISBLANK($H$938),"",$H$938))</f>
        <v/>
      </c>
      <c r="AE938" s="2">
        <f>IF(ISERROR($I$938),"",IF(ISBLANK($I$938),"",$I$938))</f>
        <v/>
      </c>
      <c r="AF938" s="2">
        <f>IF(ISERROR($J$938),"",IF(ISBLANK($J$938),"",$J$938))</f>
        <v/>
      </c>
      <c r="AG938" s="2">
        <f>ISERROR($B$938)*1+ISERROR($C$938)*1+ISERROR($D$938)*1+ISERROR($E$938)*1+ISERROR($F$938)*1+ISERROR($G$938)*1+ISERROR($H$938)*1+ISERROR($I$938)*1+ISERROR($J$938)*1</f>
        <v/>
      </c>
    </row>
    <row r="939" ht="26" customHeight="1">
      <c r="B939" s="35" t="inlineStr">
        <is>
          <t>lua vulcânica com colônias em cúpulas</t>
        </is>
      </c>
      <c r="C939" s="29" t="inlineStr">
        <is>
          <t>a comunicação com fora cai toda tarde</t>
        </is>
      </c>
      <c r="D939" s="29" t="inlineStr">
        <is>
          <t>conferem o painel de radiação</t>
        </is>
      </c>
      <c r="E939" s="29" t="inlineStr">
        <is>
          <t>mandar cartas</t>
        </is>
      </c>
      <c r="F939" s="29" t="inlineStr">
        <is>
          <t>Um Stellaron que só se nota pelos sonhos dos moradores</t>
        </is>
      </c>
      <c r="G939" s="29" t="inlineStr">
        <is>
          <t>laboratório de pesquisa da Corporação</t>
        </is>
      </c>
      <c r="H939" s="29" t="inlineStr">
        <is>
          <t>a gravidade artificial falha à noite</t>
        </is>
      </c>
      <c r="I939" s="29" t="inlineStr">
        <is>
          <t>nave-hospital</t>
        </is>
      </c>
      <c r="J939" s="29" t="inlineStr">
        <is>
          <t>carrega um gato que ninguém trouxe</t>
        </is>
      </c>
      <c r="K939" s="19">
        <f>IF(AG939&gt;0,"O Google leu como fórmula: digite de novo com ' na frente.","")</f>
        <v/>
      </c>
      <c r="N939" s="2">
        <f>N938+IF(LEN($X$939)&gt;0,1,0)</f>
        <v/>
      </c>
      <c r="O939" s="2">
        <f>O938+IF(LEN($Y$939)&gt;0,1,0)</f>
        <v/>
      </c>
      <c r="P939" s="2">
        <f>P938+IF(LEN($Z$939)&gt;0,1,0)</f>
        <v/>
      </c>
      <c r="Q939" s="2">
        <f>Q938+IF(LEN($AA$939)&gt;0,1,0)</f>
        <v/>
      </c>
      <c r="R939" s="2">
        <f>R938+IF(LEN($AB$939)&gt;0,1,0)</f>
        <v/>
      </c>
      <c r="S939" s="2">
        <f>S938+IF(LEN($AC$939)&gt;0,1,0)</f>
        <v/>
      </c>
      <c r="T939" s="2">
        <f>T938+IF(LEN($AD$939)&gt;0,1,0)</f>
        <v/>
      </c>
      <c r="U939" s="2">
        <f>U938+IF(LEN($AE$939)&gt;0,1,0)</f>
        <v/>
      </c>
      <c r="V939" s="2">
        <f>V938+IF(LEN($AF$939)&gt;0,1,0)</f>
        <v/>
      </c>
      <c r="X939" s="2">
        <f>IF(ISERROR($B$939),"",IF(ISBLANK($B$939),"",$B$939))</f>
        <v/>
      </c>
      <c r="Y939" s="2">
        <f>IF(ISERROR($C$939),"",IF(ISBLANK($C$939),"",$C$939))</f>
        <v/>
      </c>
      <c r="Z939" s="2">
        <f>IF(ISERROR($D$939),"",IF(ISBLANK($D$939),"",$D$939))</f>
        <v/>
      </c>
      <c r="AA939" s="2">
        <f>IF(ISERROR($E$939),"",IF(ISBLANK($E$939),"",$E$939))</f>
        <v/>
      </c>
      <c r="AB939" s="2">
        <f>IF(ISERROR($F$939),"",IF(ISBLANK($F$939),"",$F$939))</f>
        <v/>
      </c>
      <c r="AC939" s="2">
        <f>IF(ISERROR($G$939),"",IF(ISBLANK($G$939),"",$G$939))</f>
        <v/>
      </c>
      <c r="AD939" s="2">
        <f>IF(ISERROR($H$939),"",IF(ISBLANK($H$939),"",$H$939))</f>
        <v/>
      </c>
      <c r="AE939" s="2">
        <f>IF(ISERROR($I$939),"",IF(ISBLANK($I$939),"",$I$939))</f>
        <v/>
      </c>
      <c r="AF939" s="2">
        <f>IF(ISERROR($J$939),"",IF(ISBLANK($J$939),"",$J$939))</f>
        <v/>
      </c>
      <c r="AG939" s="2">
        <f>ISERROR($B$939)*1+ISERROR($C$939)*1+ISERROR($D$939)*1+ISERROR($E$939)*1+ISERROR($F$939)*1+ISERROR($G$939)*1+ISERROR($H$939)*1+ISERROR($I$939)*1+ISERROR($J$939)*1</f>
        <v/>
      </c>
    </row>
    <row r="940" ht="26" customHeight="1">
      <c r="B940" s="33" t="inlineStr">
        <is>
          <t>planeta de pântanos luminosos</t>
        </is>
      </c>
      <c r="C940" s="4" t="inlineStr">
        <is>
          <t>a poeira brilha no escuro</t>
        </is>
      </c>
      <c r="D940" s="4" t="inlineStr">
        <is>
          <t>esperam o trem de carga</t>
        </is>
      </c>
      <c r="E940" s="4" t="inlineStr">
        <is>
          <t>acender luzes à noite</t>
        </is>
      </c>
      <c r="F940" s="4" t="inlineStr">
        <is>
          <t>Um Stellaron que a Corporação jura não existir</t>
        </is>
      </c>
      <c r="G940" s="4" t="inlineStr">
        <is>
          <t>entreposto de minério</t>
        </is>
      </c>
      <c r="H940" s="4" t="inlineStr">
        <is>
          <t>uma nave bateu no atracadouro</t>
        </is>
      </c>
      <c r="I940" s="4" t="inlineStr">
        <is>
          <t>batedor rápido</t>
        </is>
      </c>
      <c r="J940" s="4" t="inlineStr">
        <is>
          <t>a porta da enfermaria abre sozinha</t>
        </is>
      </c>
      <c r="K940" s="19">
        <f>IF(AG940&gt;0,"O Google leu como fórmula: digite de novo com ' na frente.","")</f>
        <v/>
      </c>
      <c r="N940" s="2">
        <f>N939+IF(LEN($X$940)&gt;0,1,0)</f>
        <v/>
      </c>
      <c r="O940" s="2">
        <f>O939+IF(LEN($Y$940)&gt;0,1,0)</f>
        <v/>
      </c>
      <c r="P940" s="2">
        <f>P939+IF(LEN($Z$940)&gt;0,1,0)</f>
        <v/>
      </c>
      <c r="Q940" s="2">
        <f>Q939+IF(LEN($AA$940)&gt;0,1,0)</f>
        <v/>
      </c>
      <c r="R940" s="2">
        <f>R939+IF(LEN($AB$940)&gt;0,1,0)</f>
        <v/>
      </c>
      <c r="S940" s="2">
        <f>S939+IF(LEN($AC$940)&gt;0,1,0)</f>
        <v/>
      </c>
      <c r="T940" s="2">
        <f>T939+IF(LEN($AD$940)&gt;0,1,0)</f>
        <v/>
      </c>
      <c r="U940" s="2">
        <f>U939+IF(LEN($AE$940)&gt;0,1,0)</f>
        <v/>
      </c>
      <c r="V940" s="2">
        <f>V939+IF(LEN($AF$940)&gt;0,1,0)</f>
        <v/>
      </c>
      <c r="X940" s="2">
        <f>IF(ISERROR($B$940),"",IF(ISBLANK($B$940),"",$B$940))</f>
        <v/>
      </c>
      <c r="Y940" s="2">
        <f>IF(ISERROR($C$940),"",IF(ISBLANK($C$940),"",$C$940))</f>
        <v/>
      </c>
      <c r="Z940" s="2">
        <f>IF(ISERROR($D$940),"",IF(ISBLANK($D$940),"",$D$940))</f>
        <v/>
      </c>
      <c r="AA940" s="2">
        <f>IF(ISERROR($E$940),"",IF(ISBLANK($E$940),"",$E$940))</f>
        <v/>
      </c>
      <c r="AB940" s="2">
        <f>IF(ISERROR($F$940),"",IF(ISBLANK($F$940),"",$F$940))</f>
        <v/>
      </c>
      <c r="AC940" s="2">
        <f>IF(ISERROR($G$940),"",IF(ISBLANK($G$940),"",$G$940))</f>
        <v/>
      </c>
      <c r="AD940" s="2">
        <f>IF(ISERROR($H$940),"",IF(ISBLANK($H$940),"",$H$940))</f>
        <v/>
      </c>
      <c r="AE940" s="2">
        <f>IF(ISERROR($I$940),"",IF(ISBLANK($I$940),"",$I$940))</f>
        <v/>
      </c>
      <c r="AF940" s="2">
        <f>IF(ISERROR($J$940),"",IF(ISBLANK($J$940),"",$J$940))</f>
        <v/>
      </c>
      <c r="AG940" s="2">
        <f>ISERROR($B$940)*1+ISERROR($C$940)*1+ISERROR($D$940)*1+ISERROR($E$940)*1+ISERROR($F$940)*1+ISERROR($G$940)*1+ISERROR($H$940)*1+ISERROR($I$940)*1+ISERROR($J$940)*1</f>
        <v/>
      </c>
    </row>
    <row r="941" ht="26" customHeight="1">
      <c r="B941" s="35" t="inlineStr">
        <is>
          <t>mundo de tempestades permanentes</t>
        </is>
      </c>
      <c r="C941" s="29" t="inlineStr">
        <is>
          <t>as estações do ano duram uma semana</t>
        </is>
      </c>
      <c r="D941" s="29" t="inlineStr">
        <is>
          <t>cantam na troca de turno da mina</t>
        </is>
      </c>
      <c r="E941" s="29" t="inlineStr">
        <is>
          <t>ir ao templo</t>
        </is>
      </c>
      <c r="F941" s="29" t="inlineStr">
        <is>
          <t>Fragmentum nos dutos antigos</t>
        </is>
      </c>
      <c r="G941" s="29" t="inlineStr">
        <is>
          <t>estação de retransmissão de rádio</t>
        </is>
      </c>
      <c r="H941" s="29" t="inlineStr">
        <is>
          <t>os autômatos de manutenção pararam de obedecer</t>
        </is>
      </c>
      <c r="I941" s="29" t="inlineStr">
        <is>
          <t>nave-correio</t>
        </is>
      </c>
      <c r="J941" s="29" t="inlineStr">
        <is>
          <t>o motor faz um barulho de choro</t>
        </is>
      </c>
      <c r="K941" s="19">
        <f>IF(AG941&gt;0,"O Google leu como fórmula: digite de novo com ' na frente.","")</f>
        <v/>
      </c>
      <c r="N941" s="2">
        <f>N940+IF(LEN($X$941)&gt;0,1,0)</f>
        <v/>
      </c>
      <c r="O941" s="2">
        <f>O940+IF(LEN($Y$941)&gt;0,1,0)</f>
        <v/>
      </c>
      <c r="P941" s="2">
        <f>P940+IF(LEN($Z$941)&gt;0,1,0)</f>
        <v/>
      </c>
      <c r="Q941" s="2">
        <f>Q940+IF(LEN($AA$941)&gt;0,1,0)</f>
        <v/>
      </c>
      <c r="R941" s="2">
        <f>R940+IF(LEN($AB$941)&gt;0,1,0)</f>
        <v/>
      </c>
      <c r="S941" s="2">
        <f>S940+IF(LEN($AC$941)&gt;0,1,0)</f>
        <v/>
      </c>
      <c r="T941" s="2">
        <f>T940+IF(LEN($AD$941)&gt;0,1,0)</f>
        <v/>
      </c>
      <c r="U941" s="2">
        <f>U940+IF(LEN($AE$941)&gt;0,1,0)</f>
        <v/>
      </c>
      <c r="V941" s="2">
        <f>V940+IF(LEN($AF$941)&gt;0,1,0)</f>
        <v/>
      </c>
      <c r="X941" s="2">
        <f>IF(ISERROR($B$941),"",IF(ISBLANK($B$941),"",$B$941))</f>
        <v/>
      </c>
      <c r="Y941" s="2">
        <f>IF(ISERROR($C$941),"",IF(ISBLANK($C$941),"",$C$941))</f>
        <v/>
      </c>
      <c r="Z941" s="2">
        <f>IF(ISERROR($D$941),"",IF(ISBLANK($D$941),"",$D$941))</f>
        <v/>
      </c>
      <c r="AA941" s="2">
        <f>IF(ISERROR($E$941),"",IF(ISBLANK($E$941),"",$E$941))</f>
        <v/>
      </c>
      <c r="AB941" s="2">
        <f>IF(ISERROR($F$941),"",IF(ISBLANK($F$941),"",$F$941))</f>
        <v/>
      </c>
      <c r="AC941" s="2">
        <f>IF(ISERROR($G$941),"",IF(ISBLANK($G$941),"",$G$941))</f>
        <v/>
      </c>
      <c r="AD941" s="2">
        <f>IF(ISERROR($H$941),"",IF(ISBLANK($H$941),"",$H$941))</f>
        <v/>
      </c>
      <c r="AE941" s="2">
        <f>IF(ISERROR($I$941),"",IF(ISBLANK($I$941),"",$I$941))</f>
        <v/>
      </c>
      <c r="AF941" s="2">
        <f>IF(ISERROR($J$941),"",IF(ISBLANK($J$941),"",$J$941))</f>
        <v/>
      </c>
      <c r="AG941" s="2">
        <f>ISERROR($B$941)*1+ISERROR($C$941)*1+ISERROR($D$941)*1+ISERROR($E$941)*1+ISERROR($F$941)*1+ISERROR($G$941)*1+ISERROR($H$941)*1+ISERROR($I$941)*1+ISERROR($J$941)*1</f>
        <v/>
      </c>
    </row>
    <row r="942" ht="26" customHeight="1">
      <c r="B942" s="33" t="inlineStr">
        <is>
          <t>planeta com anéis e vilas nos anéis</t>
        </is>
      </c>
      <c r="C942" s="4" t="inlineStr">
        <is>
          <t>chove para cima uma vez por mês</t>
        </is>
      </c>
      <c r="D942" s="4" t="inlineStr">
        <is>
          <t>regam as estufas</t>
        </is>
      </c>
      <c r="E942" s="4" t="inlineStr">
        <is>
          <t>consertar as máquinas velhas</t>
        </is>
      </c>
      <c r="F942" s="4" t="inlineStr">
        <is>
          <t>Fragmentum na água de um poço</t>
        </is>
      </c>
      <c r="G942" s="4" t="inlineStr">
        <is>
          <t>santuário de peregrinos</t>
        </is>
      </c>
      <c r="H942" s="4" t="inlineStr">
        <is>
          <t>falta comida para a próxima semana</t>
        </is>
      </c>
      <c r="I942" s="4" t="inlineStr">
        <is>
          <t>draga de detritos orbitais</t>
        </is>
      </c>
      <c r="J942" s="4" t="inlineStr">
        <is>
          <t>há um assento vazio que ninguém usa</t>
        </is>
      </c>
      <c r="K942" s="19">
        <f>IF(AG942&gt;0,"O Google leu como fórmula: digite de novo com ' na frente.","")</f>
        <v/>
      </c>
      <c r="N942" s="2">
        <f>N941+IF(LEN($X$942)&gt;0,1,0)</f>
        <v/>
      </c>
      <c r="O942" s="2">
        <f>O941+IF(LEN($Y$942)&gt;0,1,0)</f>
        <v/>
      </c>
      <c r="P942" s="2">
        <f>P941+IF(LEN($Z$942)&gt;0,1,0)</f>
        <v/>
      </c>
      <c r="Q942" s="2">
        <f>Q941+IF(LEN($AA$942)&gt;0,1,0)</f>
        <v/>
      </c>
      <c r="R942" s="2">
        <f>R941+IF(LEN($AB$942)&gt;0,1,0)</f>
        <v/>
      </c>
      <c r="S942" s="2">
        <f>S941+IF(LEN($AC$942)&gt;0,1,0)</f>
        <v/>
      </c>
      <c r="T942" s="2">
        <f>T941+IF(LEN($AD$942)&gt;0,1,0)</f>
        <v/>
      </c>
      <c r="U942" s="2">
        <f>U941+IF(LEN($AE$942)&gt;0,1,0)</f>
        <v/>
      </c>
      <c r="V942" s="2">
        <f>V941+IF(LEN($AF$942)&gt;0,1,0)</f>
        <v/>
      </c>
      <c r="X942" s="2">
        <f>IF(ISERROR($B$942),"",IF(ISBLANK($B$942),"",$B$942))</f>
        <v/>
      </c>
      <c r="Y942" s="2">
        <f>IF(ISERROR($C$942),"",IF(ISBLANK($C$942),"",$C$942))</f>
        <v/>
      </c>
      <c r="Z942" s="2">
        <f>IF(ISERROR($D$942),"",IF(ISBLANK($D$942),"",$D$942))</f>
        <v/>
      </c>
      <c r="AA942" s="2">
        <f>IF(ISERROR($E$942),"",IF(ISBLANK($E$942),"",$E$942))</f>
        <v/>
      </c>
      <c r="AB942" s="2">
        <f>IF(ISERROR($F$942),"",IF(ISBLANK($F$942),"",$F$942))</f>
        <v/>
      </c>
      <c r="AC942" s="2">
        <f>IF(ISERROR($G$942),"",IF(ISBLANK($G$942),"",$G$942))</f>
        <v/>
      </c>
      <c r="AD942" s="2">
        <f>IF(ISERROR($H$942),"",IF(ISBLANK($H$942),"",$H$942))</f>
        <v/>
      </c>
      <c r="AE942" s="2">
        <f>IF(ISERROR($I$942),"",IF(ISBLANK($I$942),"",$I$942))</f>
        <v/>
      </c>
      <c r="AF942" s="2">
        <f>IF(ISERROR($J$942),"",IF(ISBLANK($J$942),"",$J$942))</f>
        <v/>
      </c>
      <c r="AG942" s="2">
        <f>ISERROR($B$942)*1+ISERROR($C$942)*1+ISERROR($D$942)*1+ISERROR($E$942)*1+ISERROR($F$942)*1+ISERROR($G$942)*1+ISERROR($H$942)*1+ISERROR($I$942)*1+ISERROR($J$942)*1</f>
        <v/>
      </c>
    </row>
    <row r="943" ht="26" customHeight="1">
      <c r="B943" s="35" t="inlineStr">
        <is>
          <t>mundo agrícola de planícies sem fim</t>
        </is>
      </c>
      <c r="C943" s="29" t="inlineStr">
        <is>
          <t>o ar tem cheiro de metal quente</t>
        </is>
      </c>
      <c r="D943" s="29" t="inlineStr">
        <is>
          <t>leem os avisos da Corporação no mural</t>
        </is>
      </c>
      <c r="E943" s="29" t="inlineStr">
        <is>
          <t>comemorar aniversários</t>
        </is>
      </c>
      <c r="F943" s="29" t="inlineStr">
        <is>
          <t>Uma mina fechada por causa do Fragmentum</t>
        </is>
      </c>
      <c r="G943" s="29" t="inlineStr">
        <is>
          <t>escola de pilotagem</t>
        </is>
      </c>
      <c r="H943" s="29" t="inlineStr">
        <is>
          <t>uma facção exige a entrega de um refugiado</t>
        </is>
      </c>
      <c r="I943" s="29" t="inlineStr">
        <is>
          <t>nave-fábrica</t>
        </is>
      </c>
      <c r="J943" s="29" t="inlineStr">
        <is>
          <t>a nave já mudou de nome três vezes</t>
        </is>
      </c>
      <c r="K943" s="19">
        <f>IF(AG943&gt;0,"O Google leu como fórmula: digite de novo com ' na frente.","")</f>
        <v/>
      </c>
      <c r="N943" s="2">
        <f>N942+IF(LEN($X$943)&gt;0,1,0)</f>
        <v/>
      </c>
      <c r="O943" s="2">
        <f>O942+IF(LEN($Y$943)&gt;0,1,0)</f>
        <v/>
      </c>
      <c r="P943" s="2">
        <f>P942+IF(LEN($Z$943)&gt;0,1,0)</f>
        <v/>
      </c>
      <c r="Q943" s="2">
        <f>Q942+IF(LEN($AA$943)&gt;0,1,0)</f>
        <v/>
      </c>
      <c r="R943" s="2">
        <f>R942+IF(LEN($AB$943)&gt;0,1,0)</f>
        <v/>
      </c>
      <c r="S943" s="2">
        <f>S942+IF(LEN($AC$943)&gt;0,1,0)</f>
        <v/>
      </c>
      <c r="T943" s="2">
        <f>T942+IF(LEN($AD$943)&gt;0,1,0)</f>
        <v/>
      </c>
      <c r="U943" s="2">
        <f>U942+IF(LEN($AE$943)&gt;0,1,0)</f>
        <v/>
      </c>
      <c r="V943" s="2">
        <f>V942+IF(LEN($AF$943)&gt;0,1,0)</f>
        <v/>
      </c>
      <c r="X943" s="2">
        <f>IF(ISERROR($B$943),"",IF(ISBLANK($B$943),"",$B$943))</f>
        <v/>
      </c>
      <c r="Y943" s="2">
        <f>IF(ISERROR($C$943),"",IF(ISBLANK($C$943),"",$C$943))</f>
        <v/>
      </c>
      <c r="Z943" s="2">
        <f>IF(ISERROR($D$943),"",IF(ISBLANK($D$943),"",$D$943))</f>
        <v/>
      </c>
      <c r="AA943" s="2">
        <f>IF(ISERROR($E$943),"",IF(ISBLANK($E$943),"",$E$943))</f>
        <v/>
      </c>
      <c r="AB943" s="2">
        <f>IF(ISERROR($F$943),"",IF(ISBLANK($F$943),"",$F$943))</f>
        <v/>
      </c>
      <c r="AC943" s="2">
        <f>IF(ISERROR($G$943),"",IF(ISBLANK($G$943),"",$G$943))</f>
        <v/>
      </c>
      <c r="AD943" s="2">
        <f>IF(ISERROR($H$943),"",IF(ISBLANK($H$943),"",$H$943))</f>
        <v/>
      </c>
      <c r="AE943" s="2">
        <f>IF(ISERROR($I$943),"",IF(ISBLANK($I$943),"",$I$943))</f>
        <v/>
      </c>
      <c r="AF943" s="2">
        <f>IF(ISERROR($J$943),"",IF(ISBLANK($J$943),"",$J$943))</f>
        <v/>
      </c>
      <c r="AG943" s="2">
        <f>ISERROR($B$943)*1+ISERROR($C$943)*1+ISERROR($D$943)*1+ISERROR($E$943)*1+ISERROR($F$943)*1+ISERROR($G$943)*1+ISERROR($H$943)*1+ISERROR($I$943)*1+ISERROR($J$943)*1</f>
        <v/>
      </c>
    </row>
    <row r="944" ht="26" customHeight="1">
      <c r="B944" s="33" t="inlineStr">
        <is>
          <t>lua morta com ruínas antigas</t>
        </is>
      </c>
      <c r="C944" s="4" t="inlineStr">
        <is>
          <t>os sinos tocam sozinhos antes de uma tempestade</t>
        </is>
      </c>
      <c r="D944" s="4" t="inlineStr">
        <is>
          <t>alimentam os animais de carga</t>
        </is>
      </c>
      <c r="E944" s="4" t="inlineStr">
        <is>
          <t>confiar na rádio</t>
        </is>
      </c>
      <c r="F944" s="4" t="inlineStr">
        <is>
          <t>Fragmentum avançando devagar pelo deserto</t>
        </is>
      </c>
      <c r="G944" s="4" t="inlineStr">
        <is>
          <t>fazenda de estufas</t>
        </is>
      </c>
      <c r="H944" s="4" t="inlineStr">
        <is>
          <t>o reator está mais quente do que deveria</t>
        </is>
      </c>
      <c r="I944" s="4" t="inlineStr">
        <is>
          <t>transporte de colonos</t>
        </is>
      </c>
      <c r="J944" s="4" t="inlineStr">
        <is>
          <t>tem um mapa pintado no teto do refeitório</t>
        </is>
      </c>
      <c r="K944" s="19">
        <f>IF(AG944&gt;0,"O Google leu como fórmula: digite de novo com ' na frente.","")</f>
        <v/>
      </c>
      <c r="N944" s="2">
        <f>N943+IF(LEN($X$944)&gt;0,1,0)</f>
        <v/>
      </c>
      <c r="O944" s="2">
        <f>O943+IF(LEN($Y$944)&gt;0,1,0)</f>
        <v/>
      </c>
      <c r="P944" s="2">
        <f>P943+IF(LEN($Z$944)&gt;0,1,0)</f>
        <v/>
      </c>
      <c r="Q944" s="2">
        <f>Q943+IF(LEN($AA$944)&gt;0,1,0)</f>
        <v/>
      </c>
      <c r="R944" s="2">
        <f>R943+IF(LEN($AB$944)&gt;0,1,0)</f>
        <v/>
      </c>
      <c r="S944" s="2">
        <f>S943+IF(LEN($AC$944)&gt;0,1,0)</f>
        <v/>
      </c>
      <c r="T944" s="2">
        <f>T943+IF(LEN($AD$944)&gt;0,1,0)</f>
        <v/>
      </c>
      <c r="U944" s="2">
        <f>U943+IF(LEN($AE$944)&gt;0,1,0)</f>
        <v/>
      </c>
      <c r="V944" s="2">
        <f>V943+IF(LEN($AF$944)&gt;0,1,0)</f>
        <v/>
      </c>
      <c r="X944" s="2">
        <f>IF(ISERROR($B$944),"",IF(ISBLANK($B$944),"",$B$944))</f>
        <v/>
      </c>
      <c r="Y944" s="2">
        <f>IF(ISERROR($C$944),"",IF(ISBLANK($C$944),"",$C$944))</f>
        <v/>
      </c>
      <c r="Z944" s="2">
        <f>IF(ISERROR($D$944),"",IF(ISBLANK($D$944),"",$D$944))</f>
        <v/>
      </c>
      <c r="AA944" s="2">
        <f>IF(ISERROR($E$944),"",IF(ISBLANK($E$944),"",$E$944))</f>
        <v/>
      </c>
      <c r="AB944" s="2">
        <f>IF(ISERROR($F$944),"",IF(ISBLANK($F$944),"",$F$944))</f>
        <v/>
      </c>
      <c r="AC944" s="2">
        <f>IF(ISERROR($G$944),"",IF(ISBLANK($G$944),"",$G$944))</f>
        <v/>
      </c>
      <c r="AD944" s="2">
        <f>IF(ISERROR($H$944),"",IF(ISBLANK($H$944),"",$H$944))</f>
        <v/>
      </c>
      <c r="AE944" s="2">
        <f>IF(ISERROR($I$944),"",IF(ISBLANK($I$944),"",$I$944))</f>
        <v/>
      </c>
      <c r="AF944" s="2">
        <f>IF(ISERROR($J$944),"",IF(ISBLANK($J$944),"",$J$944))</f>
        <v/>
      </c>
      <c r="AG944" s="2">
        <f>ISERROR($B$944)*1+ISERROR($C$944)*1+ISERROR($D$944)*1+ISERROR($E$944)*1+ISERROR($F$944)*1+ISERROR($G$944)*1+ISERROR($H$944)*1+ISERROR($I$944)*1+ISERROR($J$944)*1</f>
        <v/>
      </c>
    </row>
    <row r="945" ht="26" customHeight="1">
      <c r="B945" s="8" t="inlineStr">
        <is>
          <t>Tipo de mundo</t>
        </is>
      </c>
      <c r="C945" s="8" t="inlineStr">
        <is>
          <t>Condição marcante</t>
        </is>
      </c>
      <c r="D945" s="8" t="inlineStr">
        <is>
          <t>O que fazem de manhã (27.17)</t>
        </is>
      </c>
      <c r="E945" s="8" t="inlineStr">
        <is>
          <t>O que pararam de fazer (27.17)</t>
        </is>
      </c>
      <c r="F945" s="8" t="inlineStr">
        <is>
          <t>Presença: Stellaron ou Fragmentum (peso)</t>
        </is>
      </c>
      <c r="G945" s="8" t="inlineStr">
        <is>
          <t>Função da estação</t>
        </is>
      </c>
      <c r="H945" s="8" t="inlineStr">
        <is>
          <t>Problema da estação</t>
        </is>
      </c>
      <c r="I945" s="8" t="inlineStr">
        <is>
          <t>Classe da nave</t>
        </is>
      </c>
      <c r="J945" s="8" t="inlineStr">
        <is>
          <t>Peculiaridade da nave</t>
        </is>
      </c>
      <c r="N945" s="2">
        <f>N944</f>
        <v/>
      </c>
      <c r="O945" s="2">
        <f>O944</f>
        <v/>
      </c>
      <c r="P945" s="2">
        <f>P944</f>
        <v/>
      </c>
      <c r="Q945" s="2">
        <f>Q944</f>
        <v/>
      </c>
      <c r="R945" s="2">
        <f>R944</f>
        <v/>
      </c>
      <c r="S945" s="2">
        <f>S944</f>
        <v/>
      </c>
      <c r="T945" s="2">
        <f>T944</f>
        <v/>
      </c>
      <c r="U945" s="2">
        <f>U944</f>
        <v/>
      </c>
      <c r="V945" s="2">
        <f>V944</f>
        <v/>
      </c>
      <c r="X945" s="2">
        <f>IF(ISERROR($B$945),"",IF(ISBLANK($B$945),"",$B$945))</f>
        <v/>
      </c>
      <c r="Y945" s="2">
        <f>IF(ISERROR($C$945),"",IF(ISBLANK($C$945),"",$C$945))</f>
        <v/>
      </c>
      <c r="Z945" s="2">
        <f>IF(ISERROR($D$945),"",IF(ISBLANK($D$945),"",$D$945))</f>
        <v/>
      </c>
      <c r="AA945" s="2">
        <f>IF(ISERROR($E$945),"",IF(ISBLANK($E$945),"",$E$945))</f>
        <v/>
      </c>
      <c r="AB945" s="2">
        <f>IF(ISERROR($F$945),"",IF(ISBLANK($F$945),"",$F$945))</f>
        <v/>
      </c>
      <c r="AC945" s="2">
        <f>IF(ISERROR($G$945),"",IF(ISBLANK($G$945),"",$G$945))</f>
        <v/>
      </c>
      <c r="AD945" s="2">
        <f>IF(ISERROR($H$945),"",IF(ISBLANK($H$945),"",$H$945))</f>
        <v/>
      </c>
      <c r="AE945" s="2">
        <f>IF(ISERROR($I$945),"",IF(ISBLANK($I$945),"",$I$945))</f>
        <v/>
      </c>
      <c r="AF945" s="2">
        <f>IF(ISERROR($J$945),"",IF(ISBLANK($J$945),"",$J$945))</f>
        <v/>
      </c>
    </row>
    <row r="946" ht="26" customHeight="1">
      <c r="B946" s="33" t="inlineStr">
        <is>
          <t>planeta-jardim cuidado por máquinas</t>
        </is>
      </c>
      <c r="C946" s="4" t="inlineStr">
        <is>
          <t>a noite é clara como o dia</t>
        </is>
      </c>
      <c r="D946" s="4" t="inlineStr">
        <is>
          <t>abrem as comportas das docas</t>
        </is>
      </c>
      <c r="E946" s="4" t="inlineStr">
        <is>
          <t>beber a água do poço</t>
        </is>
      </c>
      <c r="F946" s="4" t="inlineStr">
        <is>
          <t>Uma vila esvaziada pelo Fragmentum</t>
        </is>
      </c>
      <c r="G946" s="4" t="inlineStr">
        <is>
          <t>depósito de naves desativadas</t>
        </is>
      </c>
      <c r="H946" s="4" t="inlineStr">
        <is>
          <t>alguém sabota os elevadores</t>
        </is>
      </c>
      <c r="I946" s="4" t="inlineStr">
        <is>
          <t>nave de resgate</t>
        </is>
      </c>
      <c r="J946" s="4" t="inlineStr">
        <is>
          <t>as paredes estão cobertas de assinaturas</t>
        </is>
      </c>
      <c r="K946" s="19">
        <f>IF(AG946&gt;0,"O Google leu como fórmula: digite de novo com ' na frente.","")</f>
        <v/>
      </c>
      <c r="N946" s="2">
        <f>N945+IF(LEN($X$946)&gt;0,1,0)</f>
        <v/>
      </c>
      <c r="O946" s="2">
        <f>O945+IF(LEN($Y$946)&gt;0,1,0)</f>
        <v/>
      </c>
      <c r="P946" s="2">
        <f>P945+IF(LEN($Z$946)&gt;0,1,0)</f>
        <v/>
      </c>
      <c r="Q946" s="2">
        <f>Q945+IF(LEN($AA$946)&gt;0,1,0)</f>
        <v/>
      </c>
      <c r="R946" s="2">
        <f>R945+IF(LEN($AB$946)&gt;0,1,0)</f>
        <v/>
      </c>
      <c r="S946" s="2">
        <f>S945+IF(LEN($AC$946)&gt;0,1,0)</f>
        <v/>
      </c>
      <c r="T946" s="2">
        <f>T945+IF(LEN($AD$946)&gt;0,1,0)</f>
        <v/>
      </c>
      <c r="U946" s="2">
        <f>U945+IF(LEN($AE$946)&gt;0,1,0)</f>
        <v/>
      </c>
      <c r="V946" s="2">
        <f>V945+IF(LEN($AF$946)&gt;0,1,0)</f>
        <v/>
      </c>
      <c r="X946" s="2">
        <f>IF(ISERROR($B$946),"",IF(ISBLANK($B$946),"",$B$946))</f>
        <v/>
      </c>
      <c r="Y946" s="2">
        <f>IF(ISERROR($C$946),"",IF(ISBLANK($C$946),"",$C$946))</f>
        <v/>
      </c>
      <c r="Z946" s="2">
        <f>IF(ISERROR($D$946),"",IF(ISBLANK($D$946),"",$D$946))</f>
        <v/>
      </c>
      <c r="AA946" s="2">
        <f>IF(ISERROR($E$946),"",IF(ISBLANK($E$946),"",$E$946))</f>
        <v/>
      </c>
      <c r="AB946" s="2">
        <f>IF(ISERROR($F$946),"",IF(ISBLANK($F$946),"",$F$946))</f>
        <v/>
      </c>
      <c r="AC946" s="2">
        <f>IF(ISERROR($G$946),"",IF(ISBLANK($G$946),"",$G$946))</f>
        <v/>
      </c>
      <c r="AD946" s="2">
        <f>IF(ISERROR($H$946),"",IF(ISBLANK($H$946),"",$H$946))</f>
        <v/>
      </c>
      <c r="AE946" s="2">
        <f>IF(ISERROR($I$946),"",IF(ISBLANK($I$946),"",$I$946))</f>
        <v/>
      </c>
      <c r="AF946" s="2">
        <f>IF(ISERROR($J$946),"",IF(ISBLANK($J$946),"",$J$946))</f>
        <v/>
      </c>
      <c r="AG946" s="2">
        <f>ISERROR($B$946)*1+ISERROR($C$946)*1+ISERROR($D$946)*1+ISERROR($E$946)*1+ISERROR($F$946)*1+ISERROR($G$946)*1+ISERROR($H$946)*1+ISERROR($I$946)*1+ISERROR($J$946)*1</f>
        <v/>
      </c>
    </row>
    <row r="947" ht="26" customHeight="1">
      <c r="B947" s="35" t="inlineStr">
        <is>
          <t>mundo de cânions profundos</t>
        </is>
      </c>
      <c r="C947" s="29" t="inlineStr">
        <is>
          <t>o mar recua quilômetros toda madrugada</t>
        </is>
      </c>
      <c r="D947" s="29" t="inlineStr">
        <is>
          <t>fazem pão em fornos comunitários</t>
        </is>
      </c>
      <c r="E947" s="29" t="inlineStr">
        <is>
          <t>descer para os níveis de baixo</t>
        </is>
      </c>
      <c r="F947" s="29" t="inlineStr">
        <is>
          <t>Gente que voltou do Fragmentum e não fala</t>
        </is>
      </c>
      <c r="G947" s="29" t="inlineStr">
        <is>
          <t>hotel para tripulações em trânsito</t>
        </is>
      </c>
      <c r="H947" s="29" t="inlineStr">
        <is>
          <t>uma tempestade solar está chegando</t>
        </is>
      </c>
      <c r="I947" s="29" t="inlineStr">
        <is>
          <t>cargueiro refrigerado</t>
        </is>
      </c>
      <c r="J947" s="29" t="inlineStr">
        <is>
          <t>o reator foi trocado por um de outra nave</t>
        </is>
      </c>
      <c r="K947" s="19">
        <f>IF(AG947&gt;0,"O Google leu como fórmula: digite de novo com ' na frente.","")</f>
        <v/>
      </c>
      <c r="N947" s="2">
        <f>N946+IF(LEN($X$947)&gt;0,1,0)</f>
        <v/>
      </c>
      <c r="O947" s="2">
        <f>O946+IF(LEN($Y$947)&gt;0,1,0)</f>
        <v/>
      </c>
      <c r="P947" s="2">
        <f>P946+IF(LEN($Z$947)&gt;0,1,0)</f>
        <v/>
      </c>
      <c r="Q947" s="2">
        <f>Q946+IF(LEN($AA$947)&gt;0,1,0)</f>
        <v/>
      </c>
      <c r="R947" s="2">
        <f>R946+IF(LEN($AB$947)&gt;0,1,0)</f>
        <v/>
      </c>
      <c r="S947" s="2">
        <f>S946+IF(LEN($AC$947)&gt;0,1,0)</f>
        <v/>
      </c>
      <c r="T947" s="2">
        <f>T946+IF(LEN($AD$947)&gt;0,1,0)</f>
        <v/>
      </c>
      <c r="U947" s="2">
        <f>U946+IF(LEN($AE$947)&gt;0,1,0)</f>
        <v/>
      </c>
      <c r="V947" s="2">
        <f>V946+IF(LEN($AF$947)&gt;0,1,0)</f>
        <v/>
      </c>
      <c r="X947" s="2">
        <f>IF(ISERROR($B$947),"",IF(ISBLANK($B$947),"",$B$947))</f>
        <v/>
      </c>
      <c r="Y947" s="2">
        <f>IF(ISERROR($C$947),"",IF(ISBLANK($C$947),"",$C$947))</f>
        <v/>
      </c>
      <c r="Z947" s="2">
        <f>IF(ISERROR($D$947),"",IF(ISBLANK($D$947),"",$D$947))</f>
        <v/>
      </c>
      <c r="AA947" s="2">
        <f>IF(ISERROR($E$947),"",IF(ISBLANK($E$947),"",$E$947))</f>
        <v/>
      </c>
      <c r="AB947" s="2">
        <f>IF(ISERROR($F$947),"",IF(ISBLANK($F$947),"",$F$947))</f>
        <v/>
      </c>
      <c r="AC947" s="2">
        <f>IF(ISERROR($G$947),"",IF(ISBLANK($G$947),"",$G$947))</f>
        <v/>
      </c>
      <c r="AD947" s="2">
        <f>IF(ISERROR($H$947),"",IF(ISBLANK($H$947),"",$H$947))</f>
        <v/>
      </c>
      <c r="AE947" s="2">
        <f>IF(ISERROR($I$947),"",IF(ISBLANK($I$947),"",$I$947))</f>
        <v/>
      </c>
      <c r="AF947" s="2">
        <f>IF(ISERROR($J$947),"",IF(ISBLANK($J$947),"",$J$947))</f>
        <v/>
      </c>
      <c r="AG947" s="2">
        <f>ISERROR($B$947)*1+ISERROR($C$947)*1+ISERROR($D$947)*1+ISERROR($E$947)*1+ISERROR($F$947)*1+ISERROR($G$947)*1+ISERROR($H$947)*1+ISERROR($I$947)*1+ISERROR($J$947)*1</f>
        <v/>
      </c>
    </row>
    <row r="948" ht="26" customHeight="1">
      <c r="B948" s="33" t="inlineStr">
        <is>
          <t>planeta de chuva ácida e torres seladas</t>
        </is>
      </c>
      <c r="C948" s="4" t="inlineStr">
        <is>
          <t>as plantas se viram para quem passa</t>
        </is>
      </c>
      <c r="D948" s="4" t="inlineStr">
        <is>
          <t>limpam os filtros de ar</t>
        </is>
      </c>
      <c r="E948" s="4" t="inlineStr">
        <is>
          <t>ensinar a história do lugar</t>
        </is>
      </c>
      <c r="F948" s="4" t="inlineStr">
        <is>
          <t>Fragmentum preso atrás de um lacre que range</t>
        </is>
      </c>
      <c r="G948" s="4" t="inlineStr">
        <is>
          <t>base de quarentena</t>
        </is>
      </c>
      <c r="H948" s="4" t="inlineStr">
        <is>
          <t>o Fragmentum apareceu num duto de serviço</t>
        </is>
      </c>
      <c r="I948" s="4" t="inlineStr">
        <is>
          <t>veleiro solar</t>
        </is>
      </c>
      <c r="J948" s="4" t="inlineStr">
        <is>
          <t>o banheiro tem a melhor vista da galáxia</t>
        </is>
      </c>
      <c r="K948" s="19">
        <f>IF(AG948&gt;0,"O Google leu como fórmula: digite de novo com ' na frente.","")</f>
        <v/>
      </c>
      <c r="N948" s="2">
        <f>N947+IF(LEN($X$948)&gt;0,1,0)</f>
        <v/>
      </c>
      <c r="O948" s="2">
        <f>O947+IF(LEN($Y$948)&gt;0,1,0)</f>
        <v/>
      </c>
      <c r="P948" s="2">
        <f>P947+IF(LEN($Z$948)&gt;0,1,0)</f>
        <v/>
      </c>
      <c r="Q948" s="2">
        <f>Q947+IF(LEN($AA$948)&gt;0,1,0)</f>
        <v/>
      </c>
      <c r="R948" s="2">
        <f>R947+IF(LEN($AB$948)&gt;0,1,0)</f>
        <v/>
      </c>
      <c r="S948" s="2">
        <f>S947+IF(LEN($AC$948)&gt;0,1,0)</f>
        <v/>
      </c>
      <c r="T948" s="2">
        <f>T947+IF(LEN($AD$948)&gt;0,1,0)</f>
        <v/>
      </c>
      <c r="U948" s="2">
        <f>U947+IF(LEN($AE$948)&gt;0,1,0)</f>
        <v/>
      </c>
      <c r="V948" s="2">
        <f>V947+IF(LEN($AF$948)&gt;0,1,0)</f>
        <v/>
      </c>
      <c r="X948" s="2">
        <f>IF(ISERROR($B$948),"",IF(ISBLANK($B$948),"",$B$948))</f>
        <v/>
      </c>
      <c r="Y948" s="2">
        <f>IF(ISERROR($C$948),"",IF(ISBLANK($C$948),"",$C$948))</f>
        <v/>
      </c>
      <c r="Z948" s="2">
        <f>IF(ISERROR($D$948),"",IF(ISBLANK($D$948),"",$D$948))</f>
        <v/>
      </c>
      <c r="AA948" s="2">
        <f>IF(ISERROR($E$948),"",IF(ISBLANK($E$948),"",$E$948))</f>
        <v/>
      </c>
      <c r="AB948" s="2">
        <f>IF(ISERROR($F$948),"",IF(ISBLANK($F$948),"",$F$948))</f>
        <v/>
      </c>
      <c r="AC948" s="2">
        <f>IF(ISERROR($G$948),"",IF(ISBLANK($G$948),"",$G$948))</f>
        <v/>
      </c>
      <c r="AD948" s="2">
        <f>IF(ISERROR($H$948),"",IF(ISBLANK($H$948),"",$H$948))</f>
        <v/>
      </c>
      <c r="AE948" s="2">
        <f>IF(ISERROR($I$948),"",IF(ISBLANK($I$948),"",$I$948))</f>
        <v/>
      </c>
      <c r="AF948" s="2">
        <f>IF(ISERROR($J$948),"",IF(ISBLANK($J$948),"",$J$948))</f>
        <v/>
      </c>
      <c r="AG948" s="2">
        <f>ISERROR($B$948)*1+ISERROR($C$948)*1+ISERROR($D$948)*1+ISERROR($E$948)*1+ISERROR($F$948)*1+ISERROR($G$948)*1+ISERROR($H$948)*1+ISERROR($I$948)*1+ISERROR($J$948)*1</f>
        <v/>
      </c>
    </row>
    <row r="949" ht="26" customHeight="1">
      <c r="B949" s="35" t="inlineStr">
        <is>
          <t>mundo gelado com um único mar quente</t>
        </is>
      </c>
      <c r="C949" s="29" t="inlineStr">
        <is>
          <t>os relógios atrasam uma hora por dia</t>
        </is>
      </c>
      <c r="D949" s="29" t="inlineStr">
        <is>
          <t>marcam no muro os dias sem acidente</t>
        </is>
      </c>
      <c r="E949" s="29" t="inlineStr">
        <is>
          <t>vender para forasteiros</t>
        </is>
      </c>
      <c r="F949" s="29" t="inlineStr">
        <is>
          <t>Fragmentum vendido em frascos como remédio</t>
        </is>
      </c>
      <c r="G949" s="29" t="inlineStr">
        <is>
          <t>arquivo de registros de rota</t>
        </is>
      </c>
      <c r="H949" s="29" t="inlineStr">
        <is>
          <t>dois chefes de turno disputam o comando</t>
        </is>
      </c>
      <c r="I949" s="29" t="inlineStr">
        <is>
          <t>nave-escola</t>
        </is>
      </c>
      <c r="J949" s="29" t="inlineStr">
        <is>
          <t>a tripulação vota toda decisão</t>
        </is>
      </c>
      <c r="K949" s="19">
        <f>IF(AG949&gt;0,"O Google leu como fórmula: digite de novo com ' na frente.","")</f>
        <v/>
      </c>
      <c r="N949" s="2">
        <f>N948+IF(LEN($X$949)&gt;0,1,0)</f>
        <v/>
      </c>
      <c r="O949" s="2">
        <f>O948+IF(LEN($Y$949)&gt;0,1,0)</f>
        <v/>
      </c>
      <c r="P949" s="2">
        <f>P948+IF(LEN($Z$949)&gt;0,1,0)</f>
        <v/>
      </c>
      <c r="Q949" s="2">
        <f>Q948+IF(LEN($AA$949)&gt;0,1,0)</f>
        <v/>
      </c>
      <c r="R949" s="2">
        <f>R948+IF(LEN($AB$949)&gt;0,1,0)</f>
        <v/>
      </c>
      <c r="S949" s="2">
        <f>S948+IF(LEN($AC$949)&gt;0,1,0)</f>
        <v/>
      </c>
      <c r="T949" s="2">
        <f>T948+IF(LEN($AD$949)&gt;0,1,0)</f>
        <v/>
      </c>
      <c r="U949" s="2">
        <f>U948+IF(LEN($AE$949)&gt;0,1,0)</f>
        <v/>
      </c>
      <c r="V949" s="2">
        <f>V948+IF(LEN($AF$949)&gt;0,1,0)</f>
        <v/>
      </c>
      <c r="X949" s="2">
        <f>IF(ISERROR($B$949),"",IF(ISBLANK($B$949),"",$B$949))</f>
        <v/>
      </c>
      <c r="Y949" s="2">
        <f>IF(ISERROR($C$949),"",IF(ISBLANK($C$949),"",$C$949))</f>
        <v/>
      </c>
      <c r="Z949" s="2">
        <f>IF(ISERROR($D$949),"",IF(ISBLANK($D$949),"",$D$949))</f>
        <v/>
      </c>
      <c r="AA949" s="2">
        <f>IF(ISERROR($E$949),"",IF(ISBLANK($E$949),"",$E$949))</f>
        <v/>
      </c>
      <c r="AB949" s="2">
        <f>IF(ISERROR($F$949),"",IF(ISBLANK($F$949),"",$F$949))</f>
        <v/>
      </c>
      <c r="AC949" s="2">
        <f>IF(ISERROR($G$949),"",IF(ISBLANK($G$949),"",$G$949))</f>
        <v/>
      </c>
      <c r="AD949" s="2">
        <f>IF(ISERROR($H$949),"",IF(ISBLANK($H$949),"",$H$949))</f>
        <v/>
      </c>
      <c r="AE949" s="2">
        <f>IF(ISERROR($I$949),"",IF(ISBLANK($I$949),"",$I$949))</f>
        <v/>
      </c>
      <c r="AF949" s="2">
        <f>IF(ISERROR($J$949),"",IF(ISBLANK($J$949),"",$J$949))</f>
        <v/>
      </c>
      <c r="AG949" s="2">
        <f>ISERROR($B$949)*1+ISERROR($C$949)*1+ISERROR($D$949)*1+ISERROR($E$949)*1+ISERROR($F$949)*1+ISERROR($G$949)*1+ISERROR($H$949)*1+ISERROR($I$949)*1+ISERROR($J$949)*1</f>
        <v/>
      </c>
    </row>
    <row r="950" ht="26" customHeight="1">
      <c r="B950" s="33" t="inlineStr">
        <is>
          <t>estação construída sobre o casco de uma nave morta</t>
        </is>
      </c>
      <c r="C950" s="4" t="inlineStr">
        <is>
          <t>há um eco que responde com outras palavras</t>
        </is>
      </c>
      <c r="D950" s="4" t="inlineStr">
        <is>
          <t>medem a altura da maré</t>
        </is>
      </c>
      <c r="E950" s="4" t="inlineStr">
        <is>
          <t>sonhar, ou dizem que pararam</t>
        </is>
      </c>
      <c r="F950" s="4" t="inlineStr">
        <is>
          <t>Nenhuma: o lugar está em paz, por enquanto</t>
        </is>
      </c>
      <c r="G950" s="4" t="inlineStr">
        <is>
          <t>fábrica de trajes de vedação</t>
        </is>
      </c>
      <c r="H950" s="4" t="inlineStr">
        <is>
          <t>a rádio só transmite estática e uma voz</t>
        </is>
      </c>
      <c r="I950" s="4" t="inlineStr">
        <is>
          <t>caçador de sucata</t>
        </is>
      </c>
      <c r="J950" s="4" t="inlineStr">
        <is>
          <t>metade dos painéis está em outra língua</t>
        </is>
      </c>
      <c r="K950" s="19">
        <f>IF(AG950&gt;0,"O Google leu como fórmula: digite de novo com ' na frente.","")</f>
        <v/>
      </c>
      <c r="N950" s="2">
        <f>N949+IF(LEN($X$950)&gt;0,1,0)</f>
        <v/>
      </c>
      <c r="O950" s="2">
        <f>O949+IF(LEN($Y$950)&gt;0,1,0)</f>
        <v/>
      </c>
      <c r="P950" s="2">
        <f>P949+IF(LEN($Z$950)&gt;0,1,0)</f>
        <v/>
      </c>
      <c r="Q950" s="2">
        <f>Q949+IF(LEN($AA$950)&gt;0,1,0)</f>
        <v/>
      </c>
      <c r="R950" s="2">
        <f>R949+IF(LEN($AB$950)&gt;0,1,0)</f>
        <v/>
      </c>
      <c r="S950" s="2">
        <f>S949+IF(LEN($AC$950)&gt;0,1,0)</f>
        <v/>
      </c>
      <c r="T950" s="2">
        <f>T949+IF(LEN($AD$950)&gt;0,1,0)</f>
        <v/>
      </c>
      <c r="U950" s="2">
        <f>U949+IF(LEN($AE$950)&gt;0,1,0)</f>
        <v/>
      </c>
      <c r="V950" s="2">
        <f>V949+IF(LEN($AF$950)&gt;0,1,0)</f>
        <v/>
      </c>
      <c r="X950" s="2">
        <f>IF(ISERROR($B$950),"",IF(ISBLANK($B$950),"",$B$950))</f>
        <v/>
      </c>
      <c r="Y950" s="2">
        <f>IF(ISERROR($C$950),"",IF(ISBLANK($C$950),"",$C$950))</f>
        <v/>
      </c>
      <c r="Z950" s="2">
        <f>IF(ISERROR($D$950),"",IF(ISBLANK($D$950),"",$D$950))</f>
        <v/>
      </c>
      <c r="AA950" s="2">
        <f>IF(ISERROR($E$950),"",IF(ISBLANK($E$950),"",$E$950))</f>
        <v/>
      </c>
      <c r="AB950" s="2">
        <f>IF(ISERROR($F$950),"",IF(ISBLANK($F$950),"",$F$950))</f>
        <v/>
      </c>
      <c r="AC950" s="2">
        <f>IF(ISERROR($G$950),"",IF(ISBLANK($G$950),"",$G$950))</f>
        <v/>
      </c>
      <c r="AD950" s="2">
        <f>IF(ISERROR($H$950),"",IF(ISBLANK($H$950),"",$H$950))</f>
        <v/>
      </c>
      <c r="AE950" s="2">
        <f>IF(ISERROR($I$950),"",IF(ISBLANK($I$950),"",$I$950))</f>
        <v/>
      </c>
      <c r="AF950" s="2">
        <f>IF(ISERROR($J$950),"",IF(ISBLANK($J$950),"",$J$950))</f>
        <v/>
      </c>
      <c r="AG950" s="2">
        <f>ISERROR($B$950)*1+ISERROR($C$950)*1+ISERROR($D$950)*1+ISERROR($E$950)*1+ISERROR($F$950)*1+ISERROR($G$950)*1+ISERROR($H$950)*1+ISERROR($I$950)*1+ISERROR($J$950)*1</f>
        <v/>
      </c>
    </row>
    <row r="951" ht="26" customHeight="1">
      <c r="B951" s="35" t="inlineStr">
        <is>
          <t>planeta de montanhas que se movem devagar</t>
        </is>
      </c>
      <c r="C951" s="29" t="inlineStr">
        <is>
          <t>a neve é morna</t>
        </is>
      </c>
      <c r="D951" s="29" t="inlineStr">
        <is>
          <t>treinam com espadas de madeira na praça</t>
        </is>
      </c>
      <c r="E951" s="29" t="inlineStr">
        <is>
          <t>perguntar pelos desaparecidos</t>
        </is>
      </c>
      <c r="F951" s="29" t="inlineStr">
        <is>
          <t>Nenhuma: o lugar está em paz, por enquanto</t>
        </is>
      </c>
      <c r="G951" s="29" t="inlineStr">
        <is>
          <t>posto avançado de exploração</t>
        </is>
      </c>
      <c r="H951" s="29" t="inlineStr">
        <is>
          <t>os registros de carga não fecham</t>
        </is>
      </c>
      <c r="I951" s="29" t="inlineStr">
        <is>
          <t>nave de mudança de uma família inteira</t>
        </is>
      </c>
      <c r="J951" s="29" t="inlineStr">
        <is>
          <t>o casco tem marcas de garras</t>
        </is>
      </c>
      <c r="K951" s="19">
        <f>IF(AG951&gt;0,"O Google leu como fórmula: digite de novo com ' na frente.","")</f>
        <v/>
      </c>
      <c r="N951" s="2">
        <f>N950+IF(LEN($X$951)&gt;0,1,0)</f>
        <v/>
      </c>
      <c r="O951" s="2">
        <f>O950+IF(LEN($Y$951)&gt;0,1,0)</f>
        <v/>
      </c>
      <c r="P951" s="2">
        <f>P950+IF(LEN($Z$951)&gt;0,1,0)</f>
        <v/>
      </c>
      <c r="Q951" s="2">
        <f>Q950+IF(LEN($AA$951)&gt;0,1,0)</f>
        <v/>
      </c>
      <c r="R951" s="2">
        <f>R950+IF(LEN($AB$951)&gt;0,1,0)</f>
        <v/>
      </c>
      <c r="S951" s="2">
        <f>S950+IF(LEN($AC$951)&gt;0,1,0)</f>
        <v/>
      </c>
      <c r="T951" s="2">
        <f>T950+IF(LEN($AD$951)&gt;0,1,0)</f>
        <v/>
      </c>
      <c r="U951" s="2">
        <f>U950+IF(LEN($AE$951)&gt;0,1,0)</f>
        <v/>
      </c>
      <c r="V951" s="2">
        <f>V950+IF(LEN($AF$951)&gt;0,1,0)</f>
        <v/>
      </c>
      <c r="X951" s="2">
        <f>IF(ISERROR($B$951),"",IF(ISBLANK($B$951),"",$B$951))</f>
        <v/>
      </c>
      <c r="Y951" s="2">
        <f>IF(ISERROR($C$951),"",IF(ISBLANK($C$951),"",$C$951))</f>
        <v/>
      </c>
      <c r="Z951" s="2">
        <f>IF(ISERROR($D$951),"",IF(ISBLANK($D$951),"",$D$951))</f>
        <v/>
      </c>
      <c r="AA951" s="2">
        <f>IF(ISERROR($E$951),"",IF(ISBLANK($E$951),"",$E$951))</f>
        <v/>
      </c>
      <c r="AB951" s="2">
        <f>IF(ISERROR($F$951),"",IF(ISBLANK($F$951),"",$F$951))</f>
        <v/>
      </c>
      <c r="AC951" s="2">
        <f>IF(ISERROR($G$951),"",IF(ISBLANK($G$951),"",$G$951))</f>
        <v/>
      </c>
      <c r="AD951" s="2">
        <f>IF(ISERROR($H$951),"",IF(ISBLANK($H$951),"",$H$951))</f>
        <v/>
      </c>
      <c r="AE951" s="2">
        <f>IF(ISERROR($I$951),"",IF(ISBLANK($I$951),"",$I$951))</f>
        <v/>
      </c>
      <c r="AF951" s="2">
        <f>IF(ISERROR($J$951),"",IF(ISBLANK($J$951),"",$J$951))</f>
        <v/>
      </c>
      <c r="AG951" s="2">
        <f>ISERROR($B$951)*1+ISERROR($C$951)*1+ISERROR($D$951)*1+ISERROR($E$951)*1+ISERROR($F$951)*1+ISERROR($G$951)*1+ISERROR($H$951)*1+ISERROR($I$951)*1+ISERROR($J$951)*1</f>
        <v/>
      </c>
    </row>
    <row r="952" ht="26" customHeight="1">
      <c r="B952" s="33" t="inlineStr">
        <is>
          <t>lua-santuário de peregrinos</t>
        </is>
      </c>
      <c r="C952" s="4" t="inlineStr">
        <is>
          <t>toda porta tem duas fechaduras, por lei</t>
        </is>
      </c>
      <c r="D952" s="4" t="inlineStr">
        <is>
          <t>trocam o turno de vigia</t>
        </is>
      </c>
      <c r="E952" s="4" t="inlineStr">
        <is>
          <t>plantar no campo leste</t>
        </is>
      </c>
      <c r="F952" s="4" t="inlineStr">
        <is>
          <t>Nenhuma: o lugar está em paz, por enquanto</t>
        </is>
      </c>
      <c r="G952" s="4" t="inlineStr">
        <is>
          <t>cassino de passagem</t>
        </is>
      </c>
      <c r="H952" s="4" t="inlineStr">
        <is>
          <t>um Tolo Mascarado anunciou um espetáculo</t>
        </is>
      </c>
      <c r="I952" s="4" t="inlineStr">
        <is>
          <t>fragata aposentada que virou loja</t>
        </is>
      </c>
      <c r="J952" s="4" t="inlineStr">
        <is>
          <t>a nave cheira a canela</t>
        </is>
      </c>
      <c r="K952" s="19">
        <f>IF(AG952&gt;0,"O Google leu como fórmula: digite de novo com ' na frente.","")</f>
        <v/>
      </c>
      <c r="N952" s="2">
        <f>N951+IF(LEN($X$952)&gt;0,1,0)</f>
        <v/>
      </c>
      <c r="O952" s="2">
        <f>O951+IF(LEN($Y$952)&gt;0,1,0)</f>
        <v/>
      </c>
      <c r="P952" s="2">
        <f>P951+IF(LEN($Z$952)&gt;0,1,0)</f>
        <v/>
      </c>
      <c r="Q952" s="2">
        <f>Q951+IF(LEN($AA$952)&gt;0,1,0)</f>
        <v/>
      </c>
      <c r="R952" s="2">
        <f>R951+IF(LEN($AB$952)&gt;0,1,0)</f>
        <v/>
      </c>
      <c r="S952" s="2">
        <f>S951+IF(LEN($AC$952)&gt;0,1,0)</f>
        <v/>
      </c>
      <c r="T952" s="2">
        <f>T951+IF(LEN($AD$952)&gt;0,1,0)</f>
        <v/>
      </c>
      <c r="U952" s="2">
        <f>U951+IF(LEN($AE$952)&gt;0,1,0)</f>
        <v/>
      </c>
      <c r="V952" s="2">
        <f>V951+IF(LEN($AF$952)&gt;0,1,0)</f>
        <v/>
      </c>
      <c r="X952" s="2">
        <f>IF(ISERROR($B$952),"",IF(ISBLANK($B$952),"",$B$952))</f>
        <v/>
      </c>
      <c r="Y952" s="2">
        <f>IF(ISERROR($C$952),"",IF(ISBLANK($C$952),"",$C$952))</f>
        <v/>
      </c>
      <c r="Z952" s="2">
        <f>IF(ISERROR($D$952),"",IF(ISBLANK($D$952),"",$D$952))</f>
        <v/>
      </c>
      <c r="AA952" s="2">
        <f>IF(ISERROR($E$952),"",IF(ISBLANK($E$952),"",$E$952))</f>
        <v/>
      </c>
      <c r="AB952" s="2">
        <f>IF(ISERROR($F$952),"",IF(ISBLANK($F$952),"",$F$952))</f>
        <v/>
      </c>
      <c r="AC952" s="2">
        <f>IF(ISERROR($G$952),"",IF(ISBLANK($G$952),"",$G$952))</f>
        <v/>
      </c>
      <c r="AD952" s="2">
        <f>IF(ISERROR($H$952),"",IF(ISBLANK($H$952),"",$H$952))</f>
        <v/>
      </c>
      <c r="AE952" s="2">
        <f>IF(ISERROR($I$952),"",IF(ISBLANK($I$952),"",$I$952))</f>
        <v/>
      </c>
      <c r="AF952" s="2">
        <f>IF(ISERROR($J$952),"",IF(ISBLANK($J$952),"",$J$952))</f>
        <v/>
      </c>
      <c r="AG952" s="2">
        <f>ISERROR($B$952)*1+ISERROR($C$952)*1+ISERROR($D$952)*1+ISERROR($E$952)*1+ISERROR($F$952)*1+ISERROR($G$952)*1+ISERROR($H$952)*1+ISERROR($I$952)*1+ISERROR($J$952)*1</f>
        <v/>
      </c>
    </row>
    <row r="953" ht="26" customHeight="1">
      <c r="B953" s="35" t="inlineStr">
        <is>
          <t>mundo de areia que canta com o vento</t>
        </is>
      </c>
      <c r="C953" s="29" t="inlineStr">
        <is>
          <t>o horizonte parece perto demais</t>
        </is>
      </c>
      <c r="D953" s="29" t="inlineStr">
        <is>
          <t>levam flores a um memorial</t>
        </is>
      </c>
      <c r="E953" s="29" t="inlineStr">
        <is>
          <t>usar a moeda local</t>
        </is>
      </c>
      <c r="F953" s="29" t="n"/>
      <c r="G953" s="29" t="n"/>
      <c r="H953" s="29" t="n"/>
      <c r="I953" s="29" t="n"/>
      <c r="J953" s="29" t="inlineStr">
        <is>
          <t>existe um tripulante que só aparece à noite</t>
        </is>
      </c>
      <c r="K953" s="19">
        <f>IF(AG953&gt;0,"O Google leu como fórmula: digite de novo com ' na frente.","")</f>
        <v/>
      </c>
      <c r="N953" s="2">
        <f>N952+IF(LEN($X$953)&gt;0,1,0)</f>
        <v/>
      </c>
      <c r="O953" s="2">
        <f>O952+IF(LEN($Y$953)&gt;0,1,0)</f>
        <v/>
      </c>
      <c r="P953" s="2">
        <f>P952+IF(LEN($Z$953)&gt;0,1,0)</f>
        <v/>
      </c>
      <c r="Q953" s="2">
        <f>Q952+IF(LEN($AA$953)&gt;0,1,0)</f>
        <v/>
      </c>
      <c r="R953" s="2">
        <f>R952+IF(LEN($AB$953)&gt;0,1,0)</f>
        <v/>
      </c>
      <c r="S953" s="2">
        <f>S952+IF(LEN($AC$953)&gt;0,1,0)</f>
        <v/>
      </c>
      <c r="T953" s="2">
        <f>T952+IF(LEN($AD$953)&gt;0,1,0)</f>
        <v/>
      </c>
      <c r="U953" s="2">
        <f>U952+IF(LEN($AE$953)&gt;0,1,0)</f>
        <v/>
      </c>
      <c r="V953" s="2">
        <f>V952+IF(LEN($AF$953)&gt;0,1,0)</f>
        <v/>
      </c>
      <c r="X953" s="2">
        <f>IF(ISERROR($B$953),"",IF(ISBLANK($B$953),"",$B$953))</f>
        <v/>
      </c>
      <c r="Y953" s="2">
        <f>IF(ISERROR($C$953),"",IF(ISBLANK($C$953),"",$C$953))</f>
        <v/>
      </c>
      <c r="Z953" s="2">
        <f>IF(ISERROR($D$953),"",IF(ISBLANK($D$953),"",$D$953))</f>
        <v/>
      </c>
      <c r="AA953" s="2">
        <f>IF(ISERROR($E$953),"",IF(ISBLANK($E$953),"",$E$953))</f>
        <v/>
      </c>
      <c r="AB953" s="2">
        <f>IF(ISERROR($F$953),"",IF(ISBLANK($F$953),"",$F$953))</f>
        <v/>
      </c>
      <c r="AC953" s="2">
        <f>IF(ISERROR($G$953),"",IF(ISBLANK($G$953),"",$G$953))</f>
        <v/>
      </c>
      <c r="AD953" s="2">
        <f>IF(ISERROR($H$953),"",IF(ISBLANK($H$953),"",$H$953))</f>
        <v/>
      </c>
      <c r="AE953" s="2">
        <f>IF(ISERROR($I$953),"",IF(ISBLANK($I$953),"",$I$953))</f>
        <v/>
      </c>
      <c r="AF953" s="2">
        <f>IF(ISERROR($J$953),"",IF(ISBLANK($J$953),"",$J$953))</f>
        <v/>
      </c>
      <c r="AG953" s="2">
        <f>ISERROR($B$953)*1+ISERROR($C$953)*1+ISERROR($D$953)*1+ISERROR($E$953)*1+ISERROR($F$953)*1+ISERROR($G$953)*1+ISERROR($H$953)*1+ISERROR($I$953)*1+ISERROR($J$953)*1</f>
        <v/>
      </c>
    </row>
    <row r="954" ht="26" customHeight="1">
      <c r="B954" s="33" t="inlineStr">
        <is>
          <t>planeta de noites de três dias</t>
        </is>
      </c>
      <c r="C954" s="4" t="inlineStr">
        <is>
          <t>a luz do sol chega azulada</t>
        </is>
      </c>
      <c r="D954" s="4" t="inlineStr">
        <is>
          <t>compram peças usadas no mercado</t>
        </is>
      </c>
      <c r="E954" s="4" t="inlineStr">
        <is>
          <t>rir em público</t>
        </is>
      </c>
      <c r="F954" s="4" t="n"/>
      <c r="G954" s="4" t="n"/>
      <c r="H954" s="4" t="n"/>
      <c r="I954" s="4" t="n"/>
      <c r="J954" s="4" t="inlineStr">
        <is>
          <t>o piloto automático evita uma rota sem explicação</t>
        </is>
      </c>
      <c r="K954" s="19">
        <f>IF(AG954&gt;0,"O Google leu como fórmula: digite de novo com ' na frente.","")</f>
        <v/>
      </c>
      <c r="N954" s="2">
        <f>N953+IF(LEN($X$954)&gt;0,1,0)</f>
        <v/>
      </c>
      <c r="O954" s="2">
        <f>O953+IF(LEN($Y$954)&gt;0,1,0)</f>
        <v/>
      </c>
      <c r="P954" s="2">
        <f>P953+IF(LEN($Z$954)&gt;0,1,0)</f>
        <v/>
      </c>
      <c r="Q954" s="2">
        <f>Q953+IF(LEN($AA$954)&gt;0,1,0)</f>
        <v/>
      </c>
      <c r="R954" s="2">
        <f>R953+IF(LEN($AB$954)&gt;0,1,0)</f>
        <v/>
      </c>
      <c r="S954" s="2">
        <f>S953+IF(LEN($AC$954)&gt;0,1,0)</f>
        <v/>
      </c>
      <c r="T954" s="2">
        <f>T953+IF(LEN($AD$954)&gt;0,1,0)</f>
        <v/>
      </c>
      <c r="U954" s="2">
        <f>U953+IF(LEN($AE$954)&gt;0,1,0)</f>
        <v/>
      </c>
      <c r="V954" s="2">
        <f>V953+IF(LEN($AF$954)&gt;0,1,0)</f>
        <v/>
      </c>
      <c r="X954" s="2">
        <f>IF(ISERROR($B$954),"",IF(ISBLANK($B$954),"",$B$954))</f>
        <v/>
      </c>
      <c r="Y954" s="2">
        <f>IF(ISERROR($C$954),"",IF(ISBLANK($C$954),"",$C$954))</f>
        <v/>
      </c>
      <c r="Z954" s="2">
        <f>IF(ISERROR($D$954),"",IF(ISBLANK($D$954),"",$D$954))</f>
        <v/>
      </c>
      <c r="AA954" s="2">
        <f>IF(ISERROR($E$954),"",IF(ISBLANK($E$954),"",$E$954))</f>
        <v/>
      </c>
      <c r="AB954" s="2">
        <f>IF(ISERROR($F$954),"",IF(ISBLANK($F$954),"",$F$954))</f>
        <v/>
      </c>
      <c r="AC954" s="2">
        <f>IF(ISERROR($G$954),"",IF(ISBLANK($G$954),"",$G$954))</f>
        <v/>
      </c>
      <c r="AD954" s="2">
        <f>IF(ISERROR($H$954),"",IF(ISBLANK($H$954),"",$H$954))</f>
        <v/>
      </c>
      <c r="AE954" s="2">
        <f>IF(ISERROR($I$954),"",IF(ISBLANK($I$954),"",$I$954))</f>
        <v/>
      </c>
      <c r="AF954" s="2">
        <f>IF(ISERROR($J$954),"",IF(ISBLANK($J$954),"",$J$954))</f>
        <v/>
      </c>
      <c r="AG954" s="2">
        <f>ISERROR($B$954)*1+ISERROR($C$954)*1+ISERROR($D$954)*1+ISERROR($E$954)*1+ISERROR($F$954)*1+ISERROR($G$954)*1+ISERROR($H$954)*1+ISERROR($I$954)*1+ISERROR($J$954)*1</f>
        <v/>
      </c>
    </row>
    <row r="955" ht="26" customHeight="1">
      <c r="B955" s="35" t="n"/>
      <c r="C955" s="29" t="inlineStr">
        <is>
          <t>as pedras mudam de lugar durante a noite</t>
        </is>
      </c>
      <c r="D955" s="29" t="inlineStr">
        <is>
          <t>testam os trajes de vedação</t>
        </is>
      </c>
      <c r="E955" s="29" t="inlineStr">
        <is>
          <t>dormir sem vigia</t>
        </is>
      </c>
      <c r="F955" s="29" t="n"/>
      <c r="G955" s="29" t="n"/>
      <c r="H955" s="29" t="n"/>
      <c r="I955" s="29" t="n"/>
      <c r="J955" s="29" t="inlineStr">
        <is>
          <t>o porão tem uma cela</t>
        </is>
      </c>
      <c r="K955" s="19">
        <f>IF(AG955&gt;0,"O Google leu como fórmula: digite de novo com ' na frente.","")</f>
        <v/>
      </c>
      <c r="N955" s="2">
        <f>N954+IF(LEN($X$955)&gt;0,1,0)</f>
        <v/>
      </c>
      <c r="O955" s="2">
        <f>O954+IF(LEN($Y$955)&gt;0,1,0)</f>
        <v/>
      </c>
      <c r="P955" s="2">
        <f>P954+IF(LEN($Z$955)&gt;0,1,0)</f>
        <v/>
      </c>
      <c r="Q955" s="2">
        <f>Q954+IF(LEN($AA$955)&gt;0,1,0)</f>
        <v/>
      </c>
      <c r="R955" s="2">
        <f>R954+IF(LEN($AB$955)&gt;0,1,0)</f>
        <v/>
      </c>
      <c r="S955" s="2">
        <f>S954+IF(LEN($AC$955)&gt;0,1,0)</f>
        <v/>
      </c>
      <c r="T955" s="2">
        <f>T954+IF(LEN($AD$955)&gt;0,1,0)</f>
        <v/>
      </c>
      <c r="U955" s="2">
        <f>U954+IF(LEN($AE$955)&gt;0,1,0)</f>
        <v/>
      </c>
      <c r="V955" s="2">
        <f>V954+IF(LEN($AF$955)&gt;0,1,0)</f>
        <v/>
      </c>
      <c r="X955" s="2">
        <f>IF(ISERROR($B$955),"",IF(ISBLANK($B$955),"",$B$955))</f>
        <v/>
      </c>
      <c r="Y955" s="2">
        <f>IF(ISERROR($C$955),"",IF(ISBLANK($C$955),"",$C$955))</f>
        <v/>
      </c>
      <c r="Z955" s="2">
        <f>IF(ISERROR($D$955),"",IF(ISBLANK($D$955),"",$D$955))</f>
        <v/>
      </c>
      <c r="AA955" s="2">
        <f>IF(ISERROR($E$955),"",IF(ISBLANK($E$955),"",$E$955))</f>
        <v/>
      </c>
      <c r="AB955" s="2">
        <f>IF(ISERROR($F$955),"",IF(ISBLANK($F$955),"",$F$955))</f>
        <v/>
      </c>
      <c r="AC955" s="2">
        <f>IF(ISERROR($G$955),"",IF(ISBLANK($G$955),"",$G$955))</f>
        <v/>
      </c>
      <c r="AD955" s="2">
        <f>IF(ISERROR($H$955),"",IF(ISBLANK($H$955),"",$H$955))</f>
        <v/>
      </c>
      <c r="AE955" s="2">
        <f>IF(ISERROR($I$955),"",IF(ISBLANK($I$955),"",$I$955))</f>
        <v/>
      </c>
      <c r="AF955" s="2">
        <f>IF(ISERROR($J$955),"",IF(ISBLANK($J$955),"",$J$955))</f>
        <v/>
      </c>
      <c r="AG955" s="2">
        <f>ISERROR($B$955)*1+ISERROR($C$955)*1+ISERROR($D$955)*1+ISERROR($E$955)*1+ISERROR($F$955)*1+ISERROR($G$955)*1+ISERROR($H$955)*1+ISERROR($I$955)*1+ISERROR($J$955)*1</f>
        <v/>
      </c>
    </row>
    <row r="956" ht="26" customHeight="1">
      <c r="B956" s="33" t="n"/>
      <c r="C956" s="4" t="inlineStr">
        <is>
          <t>o chão treme de leve o tempo todo</t>
        </is>
      </c>
      <c r="D956" s="4" t="inlineStr">
        <is>
          <t>carregam caixas para o porto</t>
        </is>
      </c>
      <c r="E956" s="4" t="inlineStr">
        <is>
          <t>visitar o farol</t>
        </is>
      </c>
      <c r="F956" s="4" t="n"/>
      <c r="G956" s="4" t="n"/>
      <c r="H956" s="4" t="n"/>
      <c r="I956" s="4" t="n"/>
      <c r="J956" s="4" t="inlineStr">
        <is>
          <t>a comida é toda em lata, de um único sabor</t>
        </is>
      </c>
      <c r="K956" s="19">
        <f>IF(AG956&gt;0,"O Google leu como fórmula: digite de novo com ' na frente.","")</f>
        <v/>
      </c>
      <c r="N956" s="2">
        <f>N955+IF(LEN($X$956)&gt;0,1,0)</f>
        <v/>
      </c>
      <c r="O956" s="2">
        <f>O955+IF(LEN($Y$956)&gt;0,1,0)</f>
        <v/>
      </c>
      <c r="P956" s="2">
        <f>P955+IF(LEN($Z$956)&gt;0,1,0)</f>
        <v/>
      </c>
      <c r="Q956" s="2">
        <f>Q955+IF(LEN($AA$956)&gt;0,1,0)</f>
        <v/>
      </c>
      <c r="R956" s="2">
        <f>R955+IF(LEN($AB$956)&gt;0,1,0)</f>
        <v/>
      </c>
      <c r="S956" s="2">
        <f>S955+IF(LEN($AC$956)&gt;0,1,0)</f>
        <v/>
      </c>
      <c r="T956" s="2">
        <f>T955+IF(LEN($AD$956)&gt;0,1,0)</f>
        <v/>
      </c>
      <c r="U956" s="2">
        <f>U955+IF(LEN($AE$956)&gt;0,1,0)</f>
        <v/>
      </c>
      <c r="V956" s="2">
        <f>V955+IF(LEN($AF$956)&gt;0,1,0)</f>
        <v/>
      </c>
      <c r="X956" s="2">
        <f>IF(ISERROR($B$956),"",IF(ISBLANK($B$956),"",$B$956))</f>
        <v/>
      </c>
      <c r="Y956" s="2">
        <f>IF(ISERROR($C$956),"",IF(ISBLANK($C$956),"",$C$956))</f>
        <v/>
      </c>
      <c r="Z956" s="2">
        <f>IF(ISERROR($D$956),"",IF(ISBLANK($D$956),"",$D$956))</f>
        <v/>
      </c>
      <c r="AA956" s="2">
        <f>IF(ISERROR($E$956),"",IF(ISBLANK($E$956),"",$E$956))</f>
        <v/>
      </c>
      <c r="AB956" s="2">
        <f>IF(ISERROR($F$956),"",IF(ISBLANK($F$956),"",$F$956))</f>
        <v/>
      </c>
      <c r="AC956" s="2">
        <f>IF(ISERROR($G$956),"",IF(ISBLANK($G$956),"",$G$956))</f>
        <v/>
      </c>
      <c r="AD956" s="2">
        <f>IF(ISERROR($H$956),"",IF(ISBLANK($H$956),"",$H$956))</f>
        <v/>
      </c>
      <c r="AE956" s="2">
        <f>IF(ISERROR($I$956),"",IF(ISBLANK($I$956),"",$I$956))</f>
        <v/>
      </c>
      <c r="AF956" s="2">
        <f>IF(ISERROR($J$956),"",IF(ISBLANK($J$956),"",$J$956))</f>
        <v/>
      </c>
      <c r="AG956" s="2">
        <f>ISERROR($B$956)*1+ISERROR($C$956)*1+ISERROR($D$956)*1+ISERROR($E$956)*1+ISERROR($F$956)*1+ISERROR($G$956)*1+ISERROR($H$956)*1+ISERROR($I$956)*1+ISERROR($J$956)*1</f>
        <v/>
      </c>
    </row>
    <row r="957" ht="26" customHeight="1">
      <c r="B957" s="35" t="n"/>
      <c r="C957" s="29" t="inlineStr">
        <is>
          <t>o céu fica sem estrelas uma noite por semana</t>
        </is>
      </c>
      <c r="D957" s="29" t="inlineStr">
        <is>
          <t>dão corda nos relógios da torre</t>
        </is>
      </c>
      <c r="E957" s="29" t="inlineStr">
        <is>
          <t>votar</t>
        </is>
      </c>
      <c r="F957" s="29" t="n"/>
      <c r="G957" s="29" t="n"/>
      <c r="H957" s="29" t="n"/>
      <c r="I957" s="29" t="n"/>
      <c r="J957" s="29" t="inlineStr">
        <is>
          <t>há uma estufa de flores no convés</t>
        </is>
      </c>
      <c r="K957" s="19">
        <f>IF(AG957&gt;0,"O Google leu como fórmula: digite de novo com ' na frente.","")</f>
        <v/>
      </c>
      <c r="N957" s="2">
        <f>N956+IF(LEN($X$957)&gt;0,1,0)</f>
        <v/>
      </c>
      <c r="O957" s="2">
        <f>O956+IF(LEN($Y$957)&gt;0,1,0)</f>
        <v/>
      </c>
      <c r="P957" s="2">
        <f>P956+IF(LEN($Z$957)&gt;0,1,0)</f>
        <v/>
      </c>
      <c r="Q957" s="2">
        <f>Q956+IF(LEN($AA$957)&gt;0,1,0)</f>
        <v/>
      </c>
      <c r="R957" s="2">
        <f>R956+IF(LEN($AB$957)&gt;0,1,0)</f>
        <v/>
      </c>
      <c r="S957" s="2">
        <f>S956+IF(LEN($AC$957)&gt;0,1,0)</f>
        <v/>
      </c>
      <c r="T957" s="2">
        <f>T956+IF(LEN($AD$957)&gt;0,1,0)</f>
        <v/>
      </c>
      <c r="U957" s="2">
        <f>U956+IF(LEN($AE$957)&gt;0,1,0)</f>
        <v/>
      </c>
      <c r="V957" s="2">
        <f>V956+IF(LEN($AF$957)&gt;0,1,0)</f>
        <v/>
      </c>
      <c r="X957" s="2">
        <f>IF(ISERROR($B$957),"",IF(ISBLANK($B$957),"",$B$957))</f>
        <v/>
      </c>
      <c r="Y957" s="2">
        <f>IF(ISERROR($C$957),"",IF(ISBLANK($C$957),"",$C$957))</f>
        <v/>
      </c>
      <c r="Z957" s="2">
        <f>IF(ISERROR($D$957),"",IF(ISBLANK($D$957),"",$D$957))</f>
        <v/>
      </c>
      <c r="AA957" s="2">
        <f>IF(ISERROR($E$957),"",IF(ISBLANK($E$957),"",$E$957))</f>
        <v/>
      </c>
      <c r="AB957" s="2">
        <f>IF(ISERROR($F$957),"",IF(ISBLANK($F$957),"",$F$957))</f>
        <v/>
      </c>
      <c r="AC957" s="2">
        <f>IF(ISERROR($G$957),"",IF(ISBLANK($G$957),"",$G$957))</f>
        <v/>
      </c>
      <c r="AD957" s="2">
        <f>IF(ISERROR($H$957),"",IF(ISBLANK($H$957),"",$H$957))</f>
        <v/>
      </c>
      <c r="AE957" s="2">
        <f>IF(ISERROR($I$957),"",IF(ISBLANK($I$957),"",$I$957))</f>
        <v/>
      </c>
      <c r="AF957" s="2">
        <f>IF(ISERROR($J$957),"",IF(ISBLANK($J$957),"",$J$957))</f>
        <v/>
      </c>
      <c r="AG957" s="2">
        <f>ISERROR($B$957)*1+ISERROR($C$957)*1+ISERROR($D$957)*1+ISERROR($E$957)*1+ISERROR($F$957)*1+ISERROR($G$957)*1+ISERROR($H$957)*1+ISERROR($I$957)*1+ISERROR($J$957)*1</f>
        <v/>
      </c>
    </row>
    <row r="958" ht="26" customHeight="1">
      <c r="B958" s="33" t="n"/>
      <c r="C958" s="4" t="inlineStr">
        <is>
          <t>a fumaça das fábricas desenha formas no céu</t>
        </is>
      </c>
      <c r="D958" s="4" t="inlineStr">
        <is>
          <t>recolhem os painéis solares</t>
        </is>
      </c>
      <c r="E958" s="4" t="inlineStr">
        <is>
          <t>construir casas novas</t>
        </is>
      </c>
      <c r="F958" s="4" t="n"/>
      <c r="G958" s="4" t="n"/>
      <c r="H958" s="4" t="n"/>
      <c r="I958" s="4" t="n"/>
      <c r="J958" s="4" t="inlineStr">
        <is>
          <t>a nave transmite sem querer um sinal antigo</t>
        </is>
      </c>
      <c r="K958" s="19">
        <f>IF(AG958&gt;0,"O Google leu como fórmula: digite de novo com ' na frente.","")</f>
        <v/>
      </c>
      <c r="N958" s="2">
        <f>N957+IF(LEN($X$958)&gt;0,1,0)</f>
        <v/>
      </c>
      <c r="O958" s="2">
        <f>O957+IF(LEN($Y$958)&gt;0,1,0)</f>
        <v/>
      </c>
      <c r="P958" s="2">
        <f>P957+IF(LEN($Z$958)&gt;0,1,0)</f>
        <v/>
      </c>
      <c r="Q958" s="2">
        <f>Q957+IF(LEN($AA$958)&gt;0,1,0)</f>
        <v/>
      </c>
      <c r="R958" s="2">
        <f>R957+IF(LEN($AB$958)&gt;0,1,0)</f>
        <v/>
      </c>
      <c r="S958" s="2">
        <f>S957+IF(LEN($AC$958)&gt;0,1,0)</f>
        <v/>
      </c>
      <c r="T958" s="2">
        <f>T957+IF(LEN($AD$958)&gt;0,1,0)</f>
        <v/>
      </c>
      <c r="U958" s="2">
        <f>U957+IF(LEN($AE$958)&gt;0,1,0)</f>
        <v/>
      </c>
      <c r="V958" s="2">
        <f>V957+IF(LEN($AF$958)&gt;0,1,0)</f>
        <v/>
      </c>
      <c r="X958" s="2">
        <f>IF(ISERROR($B$958),"",IF(ISBLANK($B$958),"",$B$958))</f>
        <v/>
      </c>
      <c r="Y958" s="2">
        <f>IF(ISERROR($C$958),"",IF(ISBLANK($C$958),"",$C$958))</f>
        <v/>
      </c>
      <c r="Z958" s="2">
        <f>IF(ISERROR($D$958),"",IF(ISBLANK($D$958),"",$D$958))</f>
        <v/>
      </c>
      <c r="AA958" s="2">
        <f>IF(ISERROR($E$958),"",IF(ISBLANK($E$958),"",$E$958))</f>
        <v/>
      </c>
      <c r="AB958" s="2">
        <f>IF(ISERROR($F$958),"",IF(ISBLANK($F$958),"",$F$958))</f>
        <v/>
      </c>
      <c r="AC958" s="2">
        <f>IF(ISERROR($G$958),"",IF(ISBLANK($G$958),"",$G$958))</f>
        <v/>
      </c>
      <c r="AD958" s="2">
        <f>IF(ISERROR($H$958),"",IF(ISBLANK($H$958),"",$H$958))</f>
        <v/>
      </c>
      <c r="AE958" s="2">
        <f>IF(ISERROR($I$958),"",IF(ISBLANK($I$958),"",$I$958))</f>
        <v/>
      </c>
      <c r="AF958" s="2">
        <f>IF(ISERROR($J$958),"",IF(ISBLANK($J$958),"",$J$958))</f>
        <v/>
      </c>
      <c r="AG958" s="2">
        <f>ISERROR($B$958)*1+ISERROR($C$958)*1+ISERROR($D$958)*1+ISERROR($E$958)*1+ISERROR($F$958)*1+ISERROR($G$958)*1+ISERROR($H$958)*1+ISERROR($I$958)*1+ISERROR($J$958)*1</f>
        <v/>
      </c>
    </row>
    <row r="959" ht="26" customHeight="1">
      <c r="B959" s="8" t="inlineStr">
        <is>
          <t>Tipo de mundo</t>
        </is>
      </c>
      <c r="C959" s="8" t="inlineStr">
        <is>
          <t>Condição marcante</t>
        </is>
      </c>
      <c r="D959" s="8" t="inlineStr">
        <is>
          <t>O que fazem de manhã (27.17)</t>
        </is>
      </c>
      <c r="E959" s="8" t="inlineStr">
        <is>
          <t>O que pararam de fazer (27.17)</t>
        </is>
      </c>
      <c r="F959" s="8" t="inlineStr">
        <is>
          <t>Presença: Stellaron ou Fragmentum (peso)</t>
        </is>
      </c>
      <c r="G959" s="8" t="inlineStr">
        <is>
          <t>Função da estação</t>
        </is>
      </c>
      <c r="H959" s="8" t="inlineStr">
        <is>
          <t>Problema da estação</t>
        </is>
      </c>
      <c r="I959" s="8" t="inlineStr">
        <is>
          <t>Classe da nave</t>
        </is>
      </c>
      <c r="J959" s="8" t="inlineStr">
        <is>
          <t>Peculiaridade da nave</t>
        </is>
      </c>
      <c r="N959" s="2">
        <f>N958</f>
        <v/>
      </c>
      <c r="O959" s="2">
        <f>O958</f>
        <v/>
      </c>
      <c r="P959" s="2">
        <f>P958</f>
        <v/>
      </c>
      <c r="Q959" s="2">
        <f>Q958</f>
        <v/>
      </c>
      <c r="R959" s="2">
        <f>R958</f>
        <v/>
      </c>
      <c r="S959" s="2">
        <f>S958</f>
        <v/>
      </c>
      <c r="T959" s="2">
        <f>T958</f>
        <v/>
      </c>
      <c r="U959" s="2">
        <f>U958</f>
        <v/>
      </c>
      <c r="V959" s="2">
        <f>V958</f>
        <v/>
      </c>
      <c r="X959" s="2">
        <f>IF(ISERROR($B$959),"",IF(ISBLANK($B$959),"",$B$959))</f>
        <v/>
      </c>
      <c r="Y959" s="2">
        <f>IF(ISERROR($C$959),"",IF(ISBLANK($C$959),"",$C$959))</f>
        <v/>
      </c>
      <c r="Z959" s="2">
        <f>IF(ISERROR($D$959),"",IF(ISBLANK($D$959),"",$D$959))</f>
        <v/>
      </c>
      <c r="AA959" s="2">
        <f>IF(ISERROR($E$959),"",IF(ISBLANK($E$959),"",$E$959))</f>
        <v/>
      </c>
      <c r="AB959" s="2">
        <f>IF(ISERROR($F$959),"",IF(ISBLANK($F$959),"",$F$959))</f>
        <v/>
      </c>
      <c r="AC959" s="2">
        <f>IF(ISERROR($G$959),"",IF(ISBLANK($G$959),"",$G$959))</f>
        <v/>
      </c>
      <c r="AD959" s="2">
        <f>IF(ISERROR($H$959),"",IF(ISBLANK($H$959),"",$H$959))</f>
        <v/>
      </c>
      <c r="AE959" s="2">
        <f>IF(ISERROR($I$959),"",IF(ISBLANK($I$959),"",$I$959))</f>
        <v/>
      </c>
      <c r="AF959" s="2">
        <f>IF(ISERROR($J$959),"",IF(ISBLANK($J$959),"",$J$959))</f>
        <v/>
      </c>
    </row>
    <row r="960" ht="26" customHeight="1">
      <c r="B960" s="33" t="n"/>
      <c r="C960" s="4" t="inlineStr">
        <is>
          <t>os rios mudam de curso a cada estação</t>
        </is>
      </c>
      <c r="D960" s="4" t="inlineStr">
        <is>
          <t>conversam com os autômatos de rua</t>
        </is>
      </c>
      <c r="E960" s="4" t="inlineStr">
        <is>
          <t>chamar o médico</t>
        </is>
      </c>
      <c r="F960" s="4" t="n"/>
      <c r="G960" s="4" t="n"/>
      <c r="H960" s="4" t="n"/>
      <c r="I960" s="4" t="n"/>
      <c r="J960" s="4" t="inlineStr">
        <is>
          <t>o relógio de bordo marca outra data</t>
        </is>
      </c>
      <c r="K960" s="19">
        <f>IF(AG960&gt;0,"O Google leu como fórmula: digite de novo com ' na frente.","")</f>
        <v/>
      </c>
      <c r="N960" s="2">
        <f>N959+IF(LEN($X$960)&gt;0,1,0)</f>
        <v/>
      </c>
      <c r="O960" s="2">
        <f>O959+IF(LEN($Y$960)&gt;0,1,0)</f>
        <v/>
      </c>
      <c r="P960" s="2">
        <f>P959+IF(LEN($Z$960)&gt;0,1,0)</f>
        <v/>
      </c>
      <c r="Q960" s="2">
        <f>Q959+IF(LEN($AA$960)&gt;0,1,0)</f>
        <v/>
      </c>
      <c r="R960" s="2">
        <f>R959+IF(LEN($AB$960)&gt;0,1,0)</f>
        <v/>
      </c>
      <c r="S960" s="2">
        <f>S959+IF(LEN($AC$960)&gt;0,1,0)</f>
        <v/>
      </c>
      <c r="T960" s="2">
        <f>T959+IF(LEN($AD$960)&gt;0,1,0)</f>
        <v/>
      </c>
      <c r="U960" s="2">
        <f>U959+IF(LEN($AE$960)&gt;0,1,0)</f>
        <v/>
      </c>
      <c r="V960" s="2">
        <f>V959+IF(LEN($AF$960)&gt;0,1,0)</f>
        <v/>
      </c>
      <c r="X960" s="2">
        <f>IF(ISERROR($B$960),"",IF(ISBLANK($B$960),"",$B$960))</f>
        <v/>
      </c>
      <c r="Y960" s="2">
        <f>IF(ISERROR($C$960),"",IF(ISBLANK($C$960),"",$C$960))</f>
        <v/>
      </c>
      <c r="Z960" s="2">
        <f>IF(ISERROR($D$960),"",IF(ISBLANK($D$960),"",$D$960))</f>
        <v/>
      </c>
      <c r="AA960" s="2">
        <f>IF(ISERROR($E$960),"",IF(ISBLANK($E$960),"",$E$960))</f>
        <v/>
      </c>
      <c r="AB960" s="2">
        <f>IF(ISERROR($F$960),"",IF(ISBLANK($F$960),"",$F$960))</f>
        <v/>
      </c>
      <c r="AC960" s="2">
        <f>IF(ISERROR($G$960),"",IF(ISBLANK($G$960),"",$G$960))</f>
        <v/>
      </c>
      <c r="AD960" s="2">
        <f>IF(ISERROR($H$960),"",IF(ISBLANK($H$960),"",$H$960))</f>
        <v/>
      </c>
      <c r="AE960" s="2">
        <f>IF(ISERROR($I$960),"",IF(ISBLANK($I$960),"",$I$960))</f>
        <v/>
      </c>
      <c r="AF960" s="2">
        <f>IF(ISERROR($J$960),"",IF(ISBLANK($J$960),"",$J$960))</f>
        <v/>
      </c>
      <c r="AG960" s="2">
        <f>ISERROR($B$960)*1+ISERROR($C$960)*1+ISERROR($D$960)*1+ISERROR($E$960)*1+ISERROR($F$960)*1+ISERROR($G$960)*1+ISERROR($H$960)*1+ISERROR($I$960)*1+ISERROR($J$960)*1</f>
        <v/>
      </c>
    </row>
    <row r="961" ht="26" customHeight="1">
      <c r="B961" s="35" t="n"/>
      <c r="C961" s="29" t="inlineStr">
        <is>
          <t>o ar rarefeito obriga a usar máscara</t>
        </is>
      </c>
      <c r="D961" s="29" t="inlineStr">
        <is>
          <t>jogam cartas antes do expediente</t>
        </is>
      </c>
      <c r="E961" s="29" t="inlineStr">
        <is>
          <t>olhar nos espelhos</t>
        </is>
      </c>
      <c r="F961" s="29" t="n"/>
      <c r="G961" s="29" t="n"/>
      <c r="H961" s="29" t="n"/>
      <c r="I961" s="29" t="n"/>
      <c r="J961" s="29" t="inlineStr">
        <is>
          <t>um autômato antigo faz a limpeza e fala sozinho</t>
        </is>
      </c>
      <c r="K961" s="19">
        <f>IF(AG961&gt;0,"O Google leu como fórmula: digite de novo com ' na frente.","")</f>
        <v/>
      </c>
      <c r="N961" s="2">
        <f>N960+IF(LEN($X$961)&gt;0,1,0)</f>
        <v/>
      </c>
      <c r="O961" s="2">
        <f>O960+IF(LEN($Y$961)&gt;0,1,0)</f>
        <v/>
      </c>
      <c r="P961" s="2">
        <f>P960+IF(LEN($Z$961)&gt;0,1,0)</f>
        <v/>
      </c>
      <c r="Q961" s="2">
        <f>Q960+IF(LEN($AA$961)&gt;0,1,0)</f>
        <v/>
      </c>
      <c r="R961" s="2">
        <f>R960+IF(LEN($AB$961)&gt;0,1,0)</f>
        <v/>
      </c>
      <c r="S961" s="2">
        <f>S960+IF(LEN($AC$961)&gt;0,1,0)</f>
        <v/>
      </c>
      <c r="T961" s="2">
        <f>T960+IF(LEN($AD$961)&gt;0,1,0)</f>
        <v/>
      </c>
      <c r="U961" s="2">
        <f>U960+IF(LEN($AE$961)&gt;0,1,0)</f>
        <v/>
      </c>
      <c r="V961" s="2">
        <f>V960+IF(LEN($AF$961)&gt;0,1,0)</f>
        <v/>
      </c>
      <c r="X961" s="2">
        <f>IF(ISERROR($B$961),"",IF(ISBLANK($B$961),"",$B$961))</f>
        <v/>
      </c>
      <c r="Y961" s="2">
        <f>IF(ISERROR($C$961),"",IF(ISBLANK($C$961),"",$C$961))</f>
        <v/>
      </c>
      <c r="Z961" s="2">
        <f>IF(ISERROR($D$961),"",IF(ISBLANK($D$961),"",$D$961))</f>
        <v/>
      </c>
      <c r="AA961" s="2">
        <f>IF(ISERROR($E$961),"",IF(ISBLANK($E$961),"",$E$961))</f>
        <v/>
      </c>
      <c r="AB961" s="2">
        <f>IF(ISERROR($F$961),"",IF(ISBLANK($F$961),"",$F$961))</f>
        <v/>
      </c>
      <c r="AC961" s="2">
        <f>IF(ISERROR($G$961),"",IF(ISBLANK($G$961),"",$G$961))</f>
        <v/>
      </c>
      <c r="AD961" s="2">
        <f>IF(ISERROR($H$961),"",IF(ISBLANK($H$961),"",$H$961))</f>
        <v/>
      </c>
      <c r="AE961" s="2">
        <f>IF(ISERROR($I$961),"",IF(ISBLANK($I$961),"",$I$961))</f>
        <v/>
      </c>
      <c r="AF961" s="2">
        <f>IF(ISERROR($J$961),"",IF(ISBLANK($J$961),"",$J$961))</f>
        <v/>
      </c>
      <c r="AG961" s="2">
        <f>ISERROR($B$961)*1+ISERROR($C$961)*1+ISERROR($D$961)*1+ISERROR($E$961)*1+ISERROR($F$961)*1+ISERROR($G$961)*1+ISERROR($H$961)*1+ISERROR($I$961)*1+ISERROR($J$961)*1</f>
        <v/>
      </c>
    </row>
    <row r="962" ht="26" customHeight="1">
      <c r="B962" s="33" t="n"/>
      <c r="C962" s="4" t="inlineStr">
        <is>
          <t>o barulho do mar se ouve mesmo longe dele</t>
        </is>
      </c>
      <c r="D962" s="4" t="inlineStr">
        <is>
          <t>acendem fogueiras contra o frio</t>
        </is>
      </c>
      <c r="E962" s="4" t="inlineStr">
        <is>
          <t>tocar os sinos</t>
        </is>
      </c>
      <c r="F962" s="4" t="n"/>
      <c r="G962" s="4" t="n"/>
      <c r="H962" s="4" t="n"/>
      <c r="I962" s="4" t="n"/>
      <c r="J962" s="4" t="inlineStr">
        <is>
          <t>a antena foi feita com uma escada</t>
        </is>
      </c>
      <c r="K962" s="19">
        <f>IF(AG962&gt;0,"O Google leu como fórmula: digite de novo com ' na frente.","")</f>
        <v/>
      </c>
      <c r="N962" s="2">
        <f>N961+IF(LEN($X$962)&gt;0,1,0)</f>
        <v/>
      </c>
      <c r="O962" s="2">
        <f>O961+IF(LEN($Y$962)&gt;0,1,0)</f>
        <v/>
      </c>
      <c r="P962" s="2">
        <f>P961+IF(LEN($Z$962)&gt;0,1,0)</f>
        <v/>
      </c>
      <c r="Q962" s="2">
        <f>Q961+IF(LEN($AA$962)&gt;0,1,0)</f>
        <v/>
      </c>
      <c r="R962" s="2">
        <f>R961+IF(LEN($AB$962)&gt;0,1,0)</f>
        <v/>
      </c>
      <c r="S962" s="2">
        <f>S961+IF(LEN($AC$962)&gt;0,1,0)</f>
        <v/>
      </c>
      <c r="T962" s="2">
        <f>T961+IF(LEN($AD$962)&gt;0,1,0)</f>
        <v/>
      </c>
      <c r="U962" s="2">
        <f>U961+IF(LEN($AE$962)&gt;0,1,0)</f>
        <v/>
      </c>
      <c r="V962" s="2">
        <f>V961+IF(LEN($AF$962)&gt;0,1,0)</f>
        <v/>
      </c>
      <c r="X962" s="2">
        <f>IF(ISERROR($B$962),"",IF(ISBLANK($B$962),"",$B$962))</f>
        <v/>
      </c>
      <c r="Y962" s="2">
        <f>IF(ISERROR($C$962),"",IF(ISBLANK($C$962),"",$C$962))</f>
        <v/>
      </c>
      <c r="Z962" s="2">
        <f>IF(ISERROR($D$962),"",IF(ISBLANK($D$962),"",$D$962))</f>
        <v/>
      </c>
      <c r="AA962" s="2">
        <f>IF(ISERROR($E$962),"",IF(ISBLANK($E$962),"",$E$962))</f>
        <v/>
      </c>
      <c r="AB962" s="2">
        <f>IF(ISERROR($F$962),"",IF(ISBLANK($F$962),"",$F$962))</f>
        <v/>
      </c>
      <c r="AC962" s="2">
        <f>IF(ISERROR($G$962),"",IF(ISBLANK($G$962),"",$G$962))</f>
        <v/>
      </c>
      <c r="AD962" s="2">
        <f>IF(ISERROR($H$962),"",IF(ISBLANK($H$962),"",$H$962))</f>
        <v/>
      </c>
      <c r="AE962" s="2">
        <f>IF(ISERROR($I$962),"",IF(ISBLANK($I$962),"",$I$962))</f>
        <v/>
      </c>
      <c r="AF962" s="2">
        <f>IF(ISERROR($J$962),"",IF(ISBLANK($J$962),"",$J$962))</f>
        <v/>
      </c>
      <c r="AG962" s="2">
        <f>ISERROR($B$962)*1+ISERROR($C$962)*1+ISERROR($D$962)*1+ISERROR($E$962)*1+ISERROR($F$962)*1+ISERROR($G$962)*1+ISERROR($H$962)*1+ISERROR($I$962)*1+ISERROR($J$962)*1</f>
        <v/>
      </c>
    </row>
    <row r="963" ht="26" customHeight="1">
      <c r="B963" s="35" t="n"/>
      <c r="C963" s="29" t="inlineStr">
        <is>
          <t>a cor do céu anuncia o humor do dia</t>
        </is>
      </c>
      <c r="D963" s="29" t="inlineStr">
        <is>
          <t>escutam o boletim da rádio local</t>
        </is>
      </c>
      <c r="E963" s="29" t="inlineStr">
        <is>
          <t>esperar o trem</t>
        </is>
      </c>
      <c r="F963" s="29" t="n"/>
      <c r="G963" s="29" t="n"/>
      <c r="H963" s="29" t="n"/>
      <c r="I963" s="29" t="n"/>
      <c r="J963" s="29" t="inlineStr">
        <is>
          <t>a nave nunca pousou em planeta nenhum</t>
        </is>
      </c>
      <c r="K963" s="19">
        <f>IF(AG963&gt;0,"O Google leu como fórmula: digite de novo com ' na frente.","")</f>
        <v/>
      </c>
      <c r="N963" s="2">
        <f>N962+IF(LEN($X$963)&gt;0,1,0)</f>
        <v/>
      </c>
      <c r="O963" s="2">
        <f>O962+IF(LEN($Y$963)&gt;0,1,0)</f>
        <v/>
      </c>
      <c r="P963" s="2">
        <f>P962+IF(LEN($Z$963)&gt;0,1,0)</f>
        <v/>
      </c>
      <c r="Q963" s="2">
        <f>Q962+IF(LEN($AA$963)&gt;0,1,0)</f>
        <v/>
      </c>
      <c r="R963" s="2">
        <f>R962+IF(LEN($AB$963)&gt;0,1,0)</f>
        <v/>
      </c>
      <c r="S963" s="2">
        <f>S962+IF(LEN($AC$963)&gt;0,1,0)</f>
        <v/>
      </c>
      <c r="T963" s="2">
        <f>T962+IF(LEN($AD$963)&gt;0,1,0)</f>
        <v/>
      </c>
      <c r="U963" s="2">
        <f>U962+IF(LEN($AE$963)&gt;0,1,0)</f>
        <v/>
      </c>
      <c r="V963" s="2">
        <f>V962+IF(LEN($AF$963)&gt;0,1,0)</f>
        <v/>
      </c>
      <c r="X963" s="2">
        <f>IF(ISERROR($B$963),"",IF(ISBLANK($B$963),"",$B$963))</f>
        <v/>
      </c>
      <c r="Y963" s="2">
        <f>IF(ISERROR($C$963),"",IF(ISBLANK($C$963),"",$C$963))</f>
        <v/>
      </c>
      <c r="Z963" s="2">
        <f>IF(ISERROR($D$963),"",IF(ISBLANK($D$963),"",$D$963))</f>
        <v/>
      </c>
      <c r="AA963" s="2">
        <f>IF(ISERROR($E$963),"",IF(ISBLANK($E$963),"",$E$963))</f>
        <v/>
      </c>
      <c r="AB963" s="2">
        <f>IF(ISERROR($F$963),"",IF(ISBLANK($F$963),"",$F$963))</f>
        <v/>
      </c>
      <c r="AC963" s="2">
        <f>IF(ISERROR($G$963),"",IF(ISBLANK($G$963),"",$G$963))</f>
        <v/>
      </c>
      <c r="AD963" s="2">
        <f>IF(ISERROR($H$963),"",IF(ISBLANK($H$963),"",$H$963))</f>
        <v/>
      </c>
      <c r="AE963" s="2">
        <f>IF(ISERROR($I$963),"",IF(ISBLANK($I$963),"",$I$963))</f>
        <v/>
      </c>
      <c r="AF963" s="2">
        <f>IF(ISERROR($J$963),"",IF(ISBLANK($J$963),"",$J$963))</f>
        <v/>
      </c>
      <c r="AG963" s="2">
        <f>ISERROR($B$963)*1+ISERROR($C$963)*1+ISERROR($D$963)*1+ISERROR($E$963)*1+ISERROR($F$963)*1+ISERROR($G$963)*1+ISERROR($H$963)*1+ISERROR($I$963)*1+ISERROR($J$963)*1</f>
        <v/>
      </c>
    </row>
    <row r="964" ht="26" customHeight="1">
      <c r="B964" s="33" t="n"/>
      <c r="C964" s="4" t="n"/>
      <c r="D964" s="4" t="n"/>
      <c r="E964" s="4" t="n"/>
      <c r="F964" s="4" t="n"/>
      <c r="G964" s="4" t="n"/>
      <c r="H964" s="4" t="n"/>
      <c r="I964" s="4" t="n"/>
      <c r="J964" s="4" t="n"/>
      <c r="K964" s="19">
        <f>IF(AG964&gt;0,"O Google leu como fórmula: digite de novo com ' na frente.","")</f>
        <v/>
      </c>
      <c r="N964" s="2">
        <f>N963+IF(LEN($X$964)&gt;0,1,0)</f>
        <v/>
      </c>
      <c r="O964" s="2">
        <f>O963+IF(LEN($Y$964)&gt;0,1,0)</f>
        <v/>
      </c>
      <c r="P964" s="2">
        <f>P963+IF(LEN($Z$964)&gt;0,1,0)</f>
        <v/>
      </c>
      <c r="Q964" s="2">
        <f>Q963+IF(LEN($AA$964)&gt;0,1,0)</f>
        <v/>
      </c>
      <c r="R964" s="2">
        <f>R963+IF(LEN($AB$964)&gt;0,1,0)</f>
        <v/>
      </c>
      <c r="S964" s="2">
        <f>S963+IF(LEN($AC$964)&gt;0,1,0)</f>
        <v/>
      </c>
      <c r="T964" s="2">
        <f>T963+IF(LEN($AD$964)&gt;0,1,0)</f>
        <v/>
      </c>
      <c r="U964" s="2">
        <f>U963+IF(LEN($AE$964)&gt;0,1,0)</f>
        <v/>
      </c>
      <c r="V964" s="2">
        <f>V963+IF(LEN($AF$964)&gt;0,1,0)</f>
        <v/>
      </c>
      <c r="X964" s="2">
        <f>IF(ISERROR($B$964),"",IF(ISBLANK($B$964),"",$B$964))</f>
        <v/>
      </c>
      <c r="Y964" s="2">
        <f>IF(ISERROR($C$964),"",IF(ISBLANK($C$964),"",$C$964))</f>
        <v/>
      </c>
      <c r="Z964" s="2">
        <f>IF(ISERROR($D$964),"",IF(ISBLANK($D$964),"",$D$964))</f>
        <v/>
      </c>
      <c r="AA964" s="2">
        <f>IF(ISERROR($E$964),"",IF(ISBLANK($E$964),"",$E$964))</f>
        <v/>
      </c>
      <c r="AB964" s="2">
        <f>IF(ISERROR($F$964),"",IF(ISBLANK($F$964),"",$F$964))</f>
        <v/>
      </c>
      <c r="AC964" s="2">
        <f>IF(ISERROR($G$964),"",IF(ISBLANK($G$964),"",$G$964))</f>
        <v/>
      </c>
      <c r="AD964" s="2">
        <f>IF(ISERROR($H$964),"",IF(ISBLANK($H$964),"",$H$964))</f>
        <v/>
      </c>
      <c r="AE964" s="2">
        <f>IF(ISERROR($I$964),"",IF(ISBLANK($I$964),"",$I$964))</f>
        <v/>
      </c>
      <c r="AF964" s="2">
        <f>IF(ISERROR($J$964),"",IF(ISBLANK($J$964),"",$J$964))</f>
        <v/>
      </c>
      <c r="AG964" s="2">
        <f>ISERROR($B$964)*1+ISERROR($C$964)*1+ISERROR($D$964)*1+ISERROR($E$964)*1+ISERROR($F$964)*1+ISERROR($G$964)*1+ISERROR($H$964)*1+ISERROR($I$964)*1+ISERROR($J$964)*1</f>
        <v/>
      </c>
    </row>
    <row r="965" ht="26" customHeight="1">
      <c r="B965" s="35" t="n"/>
      <c r="C965" s="29" t="n"/>
      <c r="D965" s="29" t="n"/>
      <c r="E965" s="29" t="n"/>
      <c r="F965" s="29" t="n"/>
      <c r="G965" s="29" t="n"/>
      <c r="H965" s="29" t="n"/>
      <c r="I965" s="29" t="n"/>
      <c r="J965" s="29" t="n"/>
      <c r="K965" s="19">
        <f>IF(AG965&gt;0,"O Google leu como fórmula: digite de novo com ' na frente.","")</f>
        <v/>
      </c>
      <c r="N965" s="2">
        <f>N964+IF(LEN($X$965)&gt;0,1,0)</f>
        <v/>
      </c>
      <c r="O965" s="2">
        <f>O964+IF(LEN($Y$965)&gt;0,1,0)</f>
        <v/>
      </c>
      <c r="P965" s="2">
        <f>P964+IF(LEN($Z$965)&gt;0,1,0)</f>
        <v/>
      </c>
      <c r="Q965" s="2">
        <f>Q964+IF(LEN($AA$965)&gt;0,1,0)</f>
        <v/>
      </c>
      <c r="R965" s="2">
        <f>R964+IF(LEN($AB$965)&gt;0,1,0)</f>
        <v/>
      </c>
      <c r="S965" s="2">
        <f>S964+IF(LEN($AC$965)&gt;0,1,0)</f>
        <v/>
      </c>
      <c r="T965" s="2">
        <f>T964+IF(LEN($AD$965)&gt;0,1,0)</f>
        <v/>
      </c>
      <c r="U965" s="2">
        <f>U964+IF(LEN($AE$965)&gt;0,1,0)</f>
        <v/>
      </c>
      <c r="V965" s="2">
        <f>V964+IF(LEN($AF$965)&gt;0,1,0)</f>
        <v/>
      </c>
      <c r="X965" s="2">
        <f>IF(ISERROR($B$965),"",IF(ISBLANK($B$965),"",$B$965))</f>
        <v/>
      </c>
      <c r="Y965" s="2">
        <f>IF(ISERROR($C$965),"",IF(ISBLANK($C$965),"",$C$965))</f>
        <v/>
      </c>
      <c r="Z965" s="2">
        <f>IF(ISERROR($D$965),"",IF(ISBLANK($D$965),"",$D$965))</f>
        <v/>
      </c>
      <c r="AA965" s="2">
        <f>IF(ISERROR($E$965),"",IF(ISBLANK($E$965),"",$E$965))</f>
        <v/>
      </c>
      <c r="AB965" s="2">
        <f>IF(ISERROR($F$965),"",IF(ISBLANK($F$965),"",$F$965))</f>
        <v/>
      </c>
      <c r="AC965" s="2">
        <f>IF(ISERROR($G$965),"",IF(ISBLANK($G$965),"",$G$965))</f>
        <v/>
      </c>
      <c r="AD965" s="2">
        <f>IF(ISERROR($H$965),"",IF(ISBLANK($H$965),"",$H$965))</f>
        <v/>
      </c>
      <c r="AE965" s="2">
        <f>IF(ISERROR($I$965),"",IF(ISBLANK($I$965),"",$I$965))</f>
        <v/>
      </c>
      <c r="AF965" s="2">
        <f>IF(ISERROR($J$965),"",IF(ISBLANK($J$965),"",$J$965))</f>
        <v/>
      </c>
      <c r="AG965" s="2">
        <f>ISERROR($B$965)*1+ISERROR($C$965)*1+ISERROR($D$965)*1+ISERROR($E$965)*1+ISERROR($F$965)*1+ISERROR($G$965)*1+ISERROR($H$965)*1+ISERROR($I$965)*1+ISERROR($J$965)*1</f>
        <v/>
      </c>
    </row>
    <row r="966" ht="26" customHeight="1">
      <c r="B966" s="33" t="n"/>
      <c r="C966" s="4" t="n"/>
      <c r="D966" s="4" t="n"/>
      <c r="E966" s="4" t="n"/>
      <c r="F966" s="4" t="n"/>
      <c r="G966" s="4" t="n"/>
      <c r="H966" s="4" t="n"/>
      <c r="I966" s="4" t="n"/>
      <c r="J966" s="4" t="n"/>
      <c r="K966" s="19">
        <f>IF(AG966&gt;0,"O Google leu como fórmula: digite de novo com ' na frente.","")</f>
        <v/>
      </c>
      <c r="N966" s="2">
        <f>N965+IF(LEN($X$966)&gt;0,1,0)</f>
        <v/>
      </c>
      <c r="O966" s="2">
        <f>O965+IF(LEN($Y$966)&gt;0,1,0)</f>
        <v/>
      </c>
      <c r="P966" s="2">
        <f>P965+IF(LEN($Z$966)&gt;0,1,0)</f>
        <v/>
      </c>
      <c r="Q966" s="2">
        <f>Q965+IF(LEN($AA$966)&gt;0,1,0)</f>
        <v/>
      </c>
      <c r="R966" s="2">
        <f>R965+IF(LEN($AB$966)&gt;0,1,0)</f>
        <v/>
      </c>
      <c r="S966" s="2">
        <f>S965+IF(LEN($AC$966)&gt;0,1,0)</f>
        <v/>
      </c>
      <c r="T966" s="2">
        <f>T965+IF(LEN($AD$966)&gt;0,1,0)</f>
        <v/>
      </c>
      <c r="U966" s="2">
        <f>U965+IF(LEN($AE$966)&gt;0,1,0)</f>
        <v/>
      </c>
      <c r="V966" s="2">
        <f>V965+IF(LEN($AF$966)&gt;0,1,0)</f>
        <v/>
      </c>
      <c r="X966" s="2">
        <f>IF(ISERROR($B$966),"",IF(ISBLANK($B$966),"",$B$966))</f>
        <v/>
      </c>
      <c r="Y966" s="2">
        <f>IF(ISERROR($C$966),"",IF(ISBLANK($C$966),"",$C$966))</f>
        <v/>
      </c>
      <c r="Z966" s="2">
        <f>IF(ISERROR($D$966),"",IF(ISBLANK($D$966),"",$D$966))</f>
        <v/>
      </c>
      <c r="AA966" s="2">
        <f>IF(ISERROR($E$966),"",IF(ISBLANK($E$966),"",$E$966))</f>
        <v/>
      </c>
      <c r="AB966" s="2">
        <f>IF(ISERROR($F$966),"",IF(ISBLANK($F$966),"",$F$966))</f>
        <v/>
      </c>
      <c r="AC966" s="2">
        <f>IF(ISERROR($G$966),"",IF(ISBLANK($G$966),"",$G$966))</f>
        <v/>
      </c>
      <c r="AD966" s="2">
        <f>IF(ISERROR($H$966),"",IF(ISBLANK($H$966),"",$H$966))</f>
        <v/>
      </c>
      <c r="AE966" s="2">
        <f>IF(ISERROR($I$966),"",IF(ISBLANK($I$966),"",$I$966))</f>
        <v/>
      </c>
      <c r="AF966" s="2">
        <f>IF(ISERROR($J$966),"",IF(ISBLANK($J$966),"",$J$966))</f>
        <v/>
      </c>
      <c r="AG966" s="2">
        <f>ISERROR($B$966)*1+ISERROR($C$966)*1+ISERROR($D$966)*1+ISERROR($E$966)*1+ISERROR($F$966)*1+ISERROR($G$966)*1+ISERROR($H$966)*1+ISERROR($I$966)*1+ISERROR($J$966)*1</f>
        <v/>
      </c>
    </row>
    <row r="967" ht="26" customHeight="1">
      <c r="B967" s="35" t="n"/>
      <c r="C967" s="29" t="n"/>
      <c r="D967" s="29" t="n"/>
      <c r="E967" s="29" t="n"/>
      <c r="F967" s="29" t="n"/>
      <c r="G967" s="29" t="n"/>
      <c r="H967" s="29" t="n"/>
      <c r="I967" s="29" t="n"/>
      <c r="J967" s="29" t="n"/>
      <c r="K967" s="19">
        <f>IF(AG967&gt;0,"O Google leu como fórmula: digite de novo com ' na frente.","")</f>
        <v/>
      </c>
      <c r="N967" s="2">
        <f>N966+IF(LEN($X$967)&gt;0,1,0)</f>
        <v/>
      </c>
      <c r="O967" s="2">
        <f>O966+IF(LEN($Y$967)&gt;0,1,0)</f>
        <v/>
      </c>
      <c r="P967" s="2">
        <f>P966+IF(LEN($Z$967)&gt;0,1,0)</f>
        <v/>
      </c>
      <c r="Q967" s="2">
        <f>Q966+IF(LEN($AA$967)&gt;0,1,0)</f>
        <v/>
      </c>
      <c r="R967" s="2">
        <f>R966+IF(LEN($AB$967)&gt;0,1,0)</f>
        <v/>
      </c>
      <c r="S967" s="2">
        <f>S966+IF(LEN($AC$967)&gt;0,1,0)</f>
        <v/>
      </c>
      <c r="T967" s="2">
        <f>T966+IF(LEN($AD$967)&gt;0,1,0)</f>
        <v/>
      </c>
      <c r="U967" s="2">
        <f>U966+IF(LEN($AE$967)&gt;0,1,0)</f>
        <v/>
      </c>
      <c r="V967" s="2">
        <f>V966+IF(LEN($AF$967)&gt;0,1,0)</f>
        <v/>
      </c>
      <c r="X967" s="2">
        <f>IF(ISERROR($B$967),"",IF(ISBLANK($B$967),"",$B$967))</f>
        <v/>
      </c>
      <c r="Y967" s="2">
        <f>IF(ISERROR($C$967),"",IF(ISBLANK($C$967),"",$C$967))</f>
        <v/>
      </c>
      <c r="Z967" s="2">
        <f>IF(ISERROR($D$967),"",IF(ISBLANK($D$967),"",$D$967))</f>
        <v/>
      </c>
      <c r="AA967" s="2">
        <f>IF(ISERROR($E$967),"",IF(ISBLANK($E$967),"",$E$967))</f>
        <v/>
      </c>
      <c r="AB967" s="2">
        <f>IF(ISERROR($F$967),"",IF(ISBLANK($F$967),"",$F$967))</f>
        <v/>
      </c>
      <c r="AC967" s="2">
        <f>IF(ISERROR($G$967),"",IF(ISBLANK($G$967),"",$G$967))</f>
        <v/>
      </c>
      <c r="AD967" s="2">
        <f>IF(ISERROR($H$967),"",IF(ISBLANK($H$967),"",$H$967))</f>
        <v/>
      </c>
      <c r="AE967" s="2">
        <f>IF(ISERROR($I$967),"",IF(ISBLANK($I$967),"",$I$967))</f>
        <v/>
      </c>
      <c r="AF967" s="2">
        <f>IF(ISERROR($J$967),"",IF(ISBLANK($J$967),"",$J$967))</f>
        <v/>
      </c>
      <c r="AG967" s="2">
        <f>ISERROR($B$967)*1+ISERROR($C$967)*1+ISERROR($D$967)*1+ISERROR($E$967)*1+ISERROR($F$967)*1+ISERROR($G$967)*1+ISERROR($H$967)*1+ISERROR($I$967)*1+ISERROR($J$967)*1</f>
        <v/>
      </c>
    </row>
    <row r="968" ht="26" customHeight="1">
      <c r="B968" s="33" t="n"/>
      <c r="C968" s="4" t="n"/>
      <c r="D968" s="4" t="n"/>
      <c r="E968" s="4" t="n"/>
      <c r="F968" s="4" t="n"/>
      <c r="G968" s="4" t="n"/>
      <c r="H968" s="4" t="n"/>
      <c r="I968" s="4" t="n"/>
      <c r="J968" s="4" t="n"/>
      <c r="K968" s="19">
        <f>IF(AG968&gt;0,"O Google leu como fórmula: digite de novo com ' na frente.","")</f>
        <v/>
      </c>
      <c r="N968" s="2">
        <f>N967+IF(LEN($X$968)&gt;0,1,0)</f>
        <v/>
      </c>
      <c r="O968" s="2">
        <f>O967+IF(LEN($Y$968)&gt;0,1,0)</f>
        <v/>
      </c>
      <c r="P968" s="2">
        <f>P967+IF(LEN($Z$968)&gt;0,1,0)</f>
        <v/>
      </c>
      <c r="Q968" s="2">
        <f>Q967+IF(LEN($AA$968)&gt;0,1,0)</f>
        <v/>
      </c>
      <c r="R968" s="2">
        <f>R967+IF(LEN($AB$968)&gt;0,1,0)</f>
        <v/>
      </c>
      <c r="S968" s="2">
        <f>S967+IF(LEN($AC$968)&gt;0,1,0)</f>
        <v/>
      </c>
      <c r="T968" s="2">
        <f>T967+IF(LEN($AD$968)&gt;0,1,0)</f>
        <v/>
      </c>
      <c r="U968" s="2">
        <f>U967+IF(LEN($AE$968)&gt;0,1,0)</f>
        <v/>
      </c>
      <c r="V968" s="2">
        <f>V967+IF(LEN($AF$968)&gt;0,1,0)</f>
        <v/>
      </c>
      <c r="X968" s="2">
        <f>IF(ISERROR($B$968),"",IF(ISBLANK($B$968),"",$B$968))</f>
        <v/>
      </c>
      <c r="Y968" s="2">
        <f>IF(ISERROR($C$968),"",IF(ISBLANK($C$968),"",$C$968))</f>
        <v/>
      </c>
      <c r="Z968" s="2">
        <f>IF(ISERROR($D$968),"",IF(ISBLANK($D$968),"",$D$968))</f>
        <v/>
      </c>
      <c r="AA968" s="2">
        <f>IF(ISERROR($E$968),"",IF(ISBLANK($E$968),"",$E$968))</f>
        <v/>
      </c>
      <c r="AB968" s="2">
        <f>IF(ISERROR($F$968),"",IF(ISBLANK($F$968),"",$F$968))</f>
        <v/>
      </c>
      <c r="AC968" s="2">
        <f>IF(ISERROR($G$968),"",IF(ISBLANK($G$968),"",$G$968))</f>
        <v/>
      </c>
      <c r="AD968" s="2">
        <f>IF(ISERROR($H$968),"",IF(ISBLANK($H$968),"",$H$968))</f>
        <v/>
      </c>
      <c r="AE968" s="2">
        <f>IF(ISERROR($I$968),"",IF(ISBLANK($I$968),"",$I$968))</f>
        <v/>
      </c>
      <c r="AF968" s="2">
        <f>IF(ISERROR($J$968),"",IF(ISBLANK($J$968),"",$J$968))</f>
        <v/>
      </c>
      <c r="AG968" s="2">
        <f>ISERROR($B$968)*1+ISERROR($C$968)*1+ISERROR($D$968)*1+ISERROR($E$968)*1+ISERROR($F$968)*1+ISERROR($G$968)*1+ISERROR($H$968)*1+ISERROR($I$968)*1+ISERROR($J$968)*1</f>
        <v/>
      </c>
    </row>
    <row r="969" ht="26" customHeight="1">
      <c r="B969" s="35" t="n"/>
      <c r="C969" s="29" t="n"/>
      <c r="D969" s="29" t="n"/>
      <c r="E969" s="29" t="n"/>
      <c r="F969" s="29" t="n"/>
      <c r="G969" s="29" t="n"/>
      <c r="H969" s="29" t="n"/>
      <c r="I969" s="29" t="n"/>
      <c r="J969" s="29" t="n"/>
      <c r="K969" s="19">
        <f>IF(AG969&gt;0,"O Google leu como fórmula: digite de novo com ' na frente.","")</f>
        <v/>
      </c>
      <c r="N969" s="2">
        <f>N968+IF(LEN($X$969)&gt;0,1,0)</f>
        <v/>
      </c>
      <c r="O969" s="2">
        <f>O968+IF(LEN($Y$969)&gt;0,1,0)</f>
        <v/>
      </c>
      <c r="P969" s="2">
        <f>P968+IF(LEN($Z$969)&gt;0,1,0)</f>
        <v/>
      </c>
      <c r="Q969" s="2">
        <f>Q968+IF(LEN($AA$969)&gt;0,1,0)</f>
        <v/>
      </c>
      <c r="R969" s="2">
        <f>R968+IF(LEN($AB$969)&gt;0,1,0)</f>
        <v/>
      </c>
      <c r="S969" s="2">
        <f>S968+IF(LEN($AC$969)&gt;0,1,0)</f>
        <v/>
      </c>
      <c r="T969" s="2">
        <f>T968+IF(LEN($AD$969)&gt;0,1,0)</f>
        <v/>
      </c>
      <c r="U969" s="2">
        <f>U968+IF(LEN($AE$969)&gt;0,1,0)</f>
        <v/>
      </c>
      <c r="V969" s="2">
        <f>V968+IF(LEN($AF$969)&gt;0,1,0)</f>
        <v/>
      </c>
      <c r="X969" s="2">
        <f>IF(ISERROR($B$969),"",IF(ISBLANK($B$969),"",$B$969))</f>
        <v/>
      </c>
      <c r="Y969" s="2">
        <f>IF(ISERROR($C$969),"",IF(ISBLANK($C$969),"",$C$969))</f>
        <v/>
      </c>
      <c r="Z969" s="2">
        <f>IF(ISERROR($D$969),"",IF(ISBLANK($D$969),"",$D$969))</f>
        <v/>
      </c>
      <c r="AA969" s="2">
        <f>IF(ISERROR($E$969),"",IF(ISBLANK($E$969),"",$E$969))</f>
        <v/>
      </c>
      <c r="AB969" s="2">
        <f>IF(ISERROR($F$969),"",IF(ISBLANK($F$969),"",$F$969))</f>
        <v/>
      </c>
      <c r="AC969" s="2">
        <f>IF(ISERROR($G$969),"",IF(ISBLANK($G$969),"",$G$969))</f>
        <v/>
      </c>
      <c r="AD969" s="2">
        <f>IF(ISERROR($H$969),"",IF(ISBLANK($H$969),"",$H$969))</f>
        <v/>
      </c>
      <c r="AE969" s="2">
        <f>IF(ISERROR($I$969),"",IF(ISBLANK($I$969),"",$I$969))</f>
        <v/>
      </c>
      <c r="AF969" s="2">
        <f>IF(ISERROR($J$969),"",IF(ISBLANK($J$969),"",$J$969))</f>
        <v/>
      </c>
      <c r="AG969" s="2">
        <f>ISERROR($B$969)*1+ISERROR($C$969)*1+ISERROR($D$969)*1+ISERROR($E$969)*1+ISERROR($F$969)*1+ISERROR($G$969)*1+ISERROR($H$969)*1+ISERROR($I$969)*1+ISERROR($J$969)*1</f>
        <v/>
      </c>
    </row>
    <row r="970" ht="26" customHeight="1">
      <c r="B970" s="33" t="n"/>
      <c r="C970" s="4" t="n"/>
      <c r="D970" s="4" t="n"/>
      <c r="E970" s="4" t="n"/>
      <c r="F970" s="4" t="n"/>
      <c r="G970" s="4" t="n"/>
      <c r="H970" s="4" t="n"/>
      <c r="I970" s="4" t="n"/>
      <c r="J970" s="4" t="n"/>
      <c r="K970" s="19">
        <f>IF(AG970&gt;0,"O Google leu como fórmula: digite de novo com ' na frente.","")</f>
        <v/>
      </c>
      <c r="N970" s="2">
        <f>N969+IF(LEN($X$970)&gt;0,1,0)</f>
        <v/>
      </c>
      <c r="O970" s="2">
        <f>O969+IF(LEN($Y$970)&gt;0,1,0)</f>
        <v/>
      </c>
      <c r="P970" s="2">
        <f>P969+IF(LEN($Z$970)&gt;0,1,0)</f>
        <v/>
      </c>
      <c r="Q970" s="2">
        <f>Q969+IF(LEN($AA$970)&gt;0,1,0)</f>
        <v/>
      </c>
      <c r="R970" s="2">
        <f>R969+IF(LEN($AB$970)&gt;0,1,0)</f>
        <v/>
      </c>
      <c r="S970" s="2">
        <f>S969+IF(LEN($AC$970)&gt;0,1,0)</f>
        <v/>
      </c>
      <c r="T970" s="2">
        <f>T969+IF(LEN($AD$970)&gt;0,1,0)</f>
        <v/>
      </c>
      <c r="U970" s="2">
        <f>U969+IF(LEN($AE$970)&gt;0,1,0)</f>
        <v/>
      </c>
      <c r="V970" s="2">
        <f>V969+IF(LEN($AF$970)&gt;0,1,0)</f>
        <v/>
      </c>
      <c r="X970" s="2">
        <f>IF(ISERROR($B$970),"",IF(ISBLANK($B$970),"",$B$970))</f>
        <v/>
      </c>
      <c r="Y970" s="2">
        <f>IF(ISERROR($C$970),"",IF(ISBLANK($C$970),"",$C$970))</f>
        <v/>
      </c>
      <c r="Z970" s="2">
        <f>IF(ISERROR($D$970),"",IF(ISBLANK($D$970),"",$D$970))</f>
        <v/>
      </c>
      <c r="AA970" s="2">
        <f>IF(ISERROR($E$970),"",IF(ISBLANK($E$970),"",$E$970))</f>
        <v/>
      </c>
      <c r="AB970" s="2">
        <f>IF(ISERROR($F$970),"",IF(ISBLANK($F$970),"",$F$970))</f>
        <v/>
      </c>
      <c r="AC970" s="2">
        <f>IF(ISERROR($G$970),"",IF(ISBLANK($G$970),"",$G$970))</f>
        <v/>
      </c>
      <c r="AD970" s="2">
        <f>IF(ISERROR($H$970),"",IF(ISBLANK($H$970),"",$H$970))</f>
        <v/>
      </c>
      <c r="AE970" s="2">
        <f>IF(ISERROR($I$970),"",IF(ISBLANK($I$970),"",$I$970))</f>
        <v/>
      </c>
      <c r="AF970" s="2">
        <f>IF(ISERROR($J$970),"",IF(ISBLANK($J$970),"",$J$970))</f>
        <v/>
      </c>
      <c r="AG970" s="2">
        <f>ISERROR($B$970)*1+ISERROR($C$970)*1+ISERROR($D$970)*1+ISERROR($E$970)*1+ISERROR($F$970)*1+ISERROR($G$970)*1+ISERROR($H$970)*1+ISERROR($I$970)*1+ISERROR($J$970)*1</f>
        <v/>
      </c>
    </row>
    <row r="971" ht="26" customHeight="1">
      <c r="B971" s="35" t="n"/>
      <c r="C971" s="29" t="n"/>
      <c r="D971" s="29" t="n"/>
      <c r="E971" s="29" t="n"/>
      <c r="F971" s="29" t="n"/>
      <c r="G971" s="29" t="n"/>
      <c r="H971" s="29" t="n"/>
      <c r="I971" s="29" t="n"/>
      <c r="J971" s="29" t="n"/>
      <c r="K971" s="19">
        <f>IF(AG971&gt;0,"O Google leu como fórmula: digite de novo com ' na frente.","")</f>
        <v/>
      </c>
      <c r="N971" s="2">
        <f>N970+IF(LEN($X$971)&gt;0,1,0)</f>
        <v/>
      </c>
      <c r="O971" s="2">
        <f>O970+IF(LEN($Y$971)&gt;0,1,0)</f>
        <v/>
      </c>
      <c r="P971" s="2">
        <f>P970+IF(LEN($Z$971)&gt;0,1,0)</f>
        <v/>
      </c>
      <c r="Q971" s="2">
        <f>Q970+IF(LEN($AA$971)&gt;0,1,0)</f>
        <v/>
      </c>
      <c r="R971" s="2">
        <f>R970+IF(LEN($AB$971)&gt;0,1,0)</f>
        <v/>
      </c>
      <c r="S971" s="2">
        <f>S970+IF(LEN($AC$971)&gt;0,1,0)</f>
        <v/>
      </c>
      <c r="T971" s="2">
        <f>T970+IF(LEN($AD$971)&gt;0,1,0)</f>
        <v/>
      </c>
      <c r="U971" s="2">
        <f>U970+IF(LEN($AE$971)&gt;0,1,0)</f>
        <v/>
      </c>
      <c r="V971" s="2">
        <f>V970+IF(LEN($AF$971)&gt;0,1,0)</f>
        <v/>
      </c>
      <c r="X971" s="2">
        <f>IF(ISERROR($B$971),"",IF(ISBLANK($B$971),"",$B$971))</f>
        <v/>
      </c>
      <c r="Y971" s="2">
        <f>IF(ISERROR($C$971),"",IF(ISBLANK($C$971),"",$C$971))</f>
        <v/>
      </c>
      <c r="Z971" s="2">
        <f>IF(ISERROR($D$971),"",IF(ISBLANK($D$971),"",$D$971))</f>
        <v/>
      </c>
      <c r="AA971" s="2">
        <f>IF(ISERROR($E$971),"",IF(ISBLANK($E$971),"",$E$971))</f>
        <v/>
      </c>
      <c r="AB971" s="2">
        <f>IF(ISERROR($F$971),"",IF(ISBLANK($F$971),"",$F$971))</f>
        <v/>
      </c>
      <c r="AC971" s="2">
        <f>IF(ISERROR($G$971),"",IF(ISBLANK($G$971),"",$G$971))</f>
        <v/>
      </c>
      <c r="AD971" s="2">
        <f>IF(ISERROR($H$971),"",IF(ISBLANK($H$971),"",$H$971))</f>
        <v/>
      </c>
      <c r="AE971" s="2">
        <f>IF(ISERROR($I$971),"",IF(ISBLANK($I$971),"",$I$971))</f>
        <v/>
      </c>
      <c r="AF971" s="2">
        <f>IF(ISERROR($J$971),"",IF(ISBLANK($J$971),"",$J$971))</f>
        <v/>
      </c>
      <c r="AG971" s="2">
        <f>ISERROR($B$971)*1+ISERROR($C$971)*1+ISERROR($D$971)*1+ISERROR($E$971)*1+ISERROR($F$971)*1+ISERROR($G$971)*1+ISERROR($H$971)*1+ISERROR($I$971)*1+ISERROR($J$971)*1</f>
        <v/>
      </c>
    </row>
    <row r="972" ht="26" customHeight="1">
      <c r="B972" s="33" t="n"/>
      <c r="C972" s="4" t="n"/>
      <c r="D972" s="4" t="n"/>
      <c r="E972" s="4" t="n"/>
      <c r="F972" s="4" t="n"/>
      <c r="G972" s="4" t="n"/>
      <c r="H972" s="4" t="n"/>
      <c r="I972" s="4" t="n"/>
      <c r="J972" s="4" t="n"/>
      <c r="K972" s="19">
        <f>IF(AG972&gt;0,"O Google leu como fórmula: digite de novo com ' na frente.","")</f>
        <v/>
      </c>
      <c r="N972" s="2">
        <f>N971+IF(LEN($X$972)&gt;0,1,0)</f>
        <v/>
      </c>
      <c r="O972" s="2">
        <f>O971+IF(LEN($Y$972)&gt;0,1,0)</f>
        <v/>
      </c>
      <c r="P972" s="2">
        <f>P971+IF(LEN($Z$972)&gt;0,1,0)</f>
        <v/>
      </c>
      <c r="Q972" s="2">
        <f>Q971+IF(LEN($AA$972)&gt;0,1,0)</f>
        <v/>
      </c>
      <c r="R972" s="2">
        <f>R971+IF(LEN($AB$972)&gt;0,1,0)</f>
        <v/>
      </c>
      <c r="S972" s="2">
        <f>S971+IF(LEN($AC$972)&gt;0,1,0)</f>
        <v/>
      </c>
      <c r="T972" s="2">
        <f>T971+IF(LEN($AD$972)&gt;0,1,0)</f>
        <v/>
      </c>
      <c r="U972" s="2">
        <f>U971+IF(LEN($AE$972)&gt;0,1,0)</f>
        <v/>
      </c>
      <c r="V972" s="2">
        <f>V971+IF(LEN($AF$972)&gt;0,1,0)</f>
        <v/>
      </c>
      <c r="X972" s="2">
        <f>IF(ISERROR($B$972),"",IF(ISBLANK($B$972),"",$B$972))</f>
        <v/>
      </c>
      <c r="Y972" s="2">
        <f>IF(ISERROR($C$972),"",IF(ISBLANK($C$972),"",$C$972))</f>
        <v/>
      </c>
      <c r="Z972" s="2">
        <f>IF(ISERROR($D$972),"",IF(ISBLANK($D$972),"",$D$972))</f>
        <v/>
      </c>
      <c r="AA972" s="2">
        <f>IF(ISERROR($E$972),"",IF(ISBLANK($E$972),"",$E$972))</f>
        <v/>
      </c>
      <c r="AB972" s="2">
        <f>IF(ISERROR($F$972),"",IF(ISBLANK($F$972),"",$F$972))</f>
        <v/>
      </c>
      <c r="AC972" s="2">
        <f>IF(ISERROR($G$972),"",IF(ISBLANK($G$972),"",$G$972))</f>
        <v/>
      </c>
      <c r="AD972" s="2">
        <f>IF(ISERROR($H$972),"",IF(ISBLANK($H$972),"",$H$972))</f>
        <v/>
      </c>
      <c r="AE972" s="2">
        <f>IF(ISERROR($I$972),"",IF(ISBLANK($I$972),"",$I$972))</f>
        <v/>
      </c>
      <c r="AF972" s="2">
        <f>IF(ISERROR($J$972),"",IF(ISBLANK($J$972),"",$J$972))</f>
        <v/>
      </c>
      <c r="AG972" s="2">
        <f>ISERROR($B$972)*1+ISERROR($C$972)*1+ISERROR($D$972)*1+ISERROR($E$972)*1+ISERROR($F$972)*1+ISERROR($G$972)*1+ISERROR($H$972)*1+ISERROR($I$972)*1+ISERROR($J$972)*1</f>
        <v/>
      </c>
    </row>
    <row r="973" ht="26" customHeight="1">
      <c r="B973" s="8" t="inlineStr">
        <is>
          <t>Tipo de mundo</t>
        </is>
      </c>
      <c r="C973" s="8" t="inlineStr">
        <is>
          <t>Condição marcante</t>
        </is>
      </c>
      <c r="D973" s="8" t="inlineStr">
        <is>
          <t>O que fazem de manhã (27.17)</t>
        </is>
      </c>
      <c r="E973" s="8" t="inlineStr">
        <is>
          <t>O que pararam de fazer (27.17)</t>
        </is>
      </c>
      <c r="F973" s="8" t="inlineStr">
        <is>
          <t>Presença: Stellaron ou Fragmentum (peso)</t>
        </is>
      </c>
      <c r="G973" s="8" t="inlineStr">
        <is>
          <t>Função da estação</t>
        </is>
      </c>
      <c r="H973" s="8" t="inlineStr">
        <is>
          <t>Problema da estação</t>
        </is>
      </c>
      <c r="I973" s="8" t="inlineStr">
        <is>
          <t>Classe da nave</t>
        </is>
      </c>
      <c r="J973" s="8" t="inlineStr">
        <is>
          <t>Peculiaridade da nave</t>
        </is>
      </c>
      <c r="N973" s="2">
        <f>N972</f>
        <v/>
      </c>
      <c r="O973" s="2">
        <f>O972</f>
        <v/>
      </c>
      <c r="P973" s="2">
        <f>P972</f>
        <v/>
      </c>
      <c r="Q973" s="2">
        <f>Q972</f>
        <v/>
      </c>
      <c r="R973" s="2">
        <f>R972</f>
        <v/>
      </c>
      <c r="S973" s="2">
        <f>S972</f>
        <v/>
      </c>
      <c r="T973" s="2">
        <f>T972</f>
        <v/>
      </c>
      <c r="U973" s="2">
        <f>U972</f>
        <v/>
      </c>
      <c r="V973" s="2">
        <f>V972</f>
        <v/>
      </c>
      <c r="X973" s="2">
        <f>IF(ISERROR($B$973),"",IF(ISBLANK($B$973),"",$B$973))</f>
        <v/>
      </c>
      <c r="Y973" s="2">
        <f>IF(ISERROR($C$973),"",IF(ISBLANK($C$973),"",$C$973))</f>
        <v/>
      </c>
      <c r="Z973" s="2">
        <f>IF(ISERROR($D$973),"",IF(ISBLANK($D$973),"",$D$973))</f>
        <v/>
      </c>
      <c r="AA973" s="2">
        <f>IF(ISERROR($E$973),"",IF(ISBLANK($E$973),"",$E$973))</f>
        <v/>
      </c>
      <c r="AB973" s="2">
        <f>IF(ISERROR($F$973),"",IF(ISBLANK($F$973),"",$F$973))</f>
        <v/>
      </c>
      <c r="AC973" s="2">
        <f>IF(ISERROR($G$973),"",IF(ISBLANK($G$973),"",$G$973))</f>
        <v/>
      </c>
      <c r="AD973" s="2">
        <f>IF(ISERROR($H$973),"",IF(ISBLANK($H$973),"",$H$973))</f>
        <v/>
      </c>
      <c r="AE973" s="2">
        <f>IF(ISERROR($I$973),"",IF(ISBLANK($I$973),"",$I$973))</f>
        <v/>
      </c>
      <c r="AF973" s="2">
        <f>IF(ISERROR($J$973),"",IF(ISBLANK($J$973),"",$J$973))</f>
        <v/>
      </c>
    </row>
    <row r="974" ht="26" customHeight="1">
      <c r="B974" s="33" t="n"/>
      <c r="C974" s="4" t="n"/>
      <c r="D974" s="4" t="n"/>
      <c r="E974" s="4" t="n"/>
      <c r="F974" s="4" t="n"/>
      <c r="G974" s="4" t="n"/>
      <c r="H974" s="4" t="n"/>
      <c r="I974" s="4" t="n"/>
      <c r="J974" s="4" t="n"/>
      <c r="K974" s="19">
        <f>IF(AG974&gt;0,"O Google leu como fórmula: digite de novo com ' na frente.","")</f>
        <v/>
      </c>
      <c r="N974" s="2">
        <f>N973+IF(LEN($X$974)&gt;0,1,0)</f>
        <v/>
      </c>
      <c r="O974" s="2">
        <f>O973+IF(LEN($Y$974)&gt;0,1,0)</f>
        <v/>
      </c>
      <c r="P974" s="2">
        <f>P973+IF(LEN($Z$974)&gt;0,1,0)</f>
        <v/>
      </c>
      <c r="Q974" s="2">
        <f>Q973+IF(LEN($AA$974)&gt;0,1,0)</f>
        <v/>
      </c>
      <c r="R974" s="2">
        <f>R973+IF(LEN($AB$974)&gt;0,1,0)</f>
        <v/>
      </c>
      <c r="S974" s="2">
        <f>S973+IF(LEN($AC$974)&gt;0,1,0)</f>
        <v/>
      </c>
      <c r="T974" s="2">
        <f>T973+IF(LEN($AD$974)&gt;0,1,0)</f>
        <v/>
      </c>
      <c r="U974" s="2">
        <f>U973+IF(LEN($AE$974)&gt;0,1,0)</f>
        <v/>
      </c>
      <c r="V974" s="2">
        <f>V973+IF(LEN($AF$974)&gt;0,1,0)</f>
        <v/>
      </c>
      <c r="X974" s="2">
        <f>IF(ISERROR($B$974),"",IF(ISBLANK($B$974),"",$B$974))</f>
        <v/>
      </c>
      <c r="Y974" s="2">
        <f>IF(ISERROR($C$974),"",IF(ISBLANK($C$974),"",$C$974))</f>
        <v/>
      </c>
      <c r="Z974" s="2">
        <f>IF(ISERROR($D$974),"",IF(ISBLANK($D$974),"",$D$974))</f>
        <v/>
      </c>
      <c r="AA974" s="2">
        <f>IF(ISERROR($E$974),"",IF(ISBLANK($E$974),"",$E$974))</f>
        <v/>
      </c>
      <c r="AB974" s="2">
        <f>IF(ISERROR($F$974),"",IF(ISBLANK($F$974),"",$F$974))</f>
        <v/>
      </c>
      <c r="AC974" s="2">
        <f>IF(ISERROR($G$974),"",IF(ISBLANK($G$974),"",$G$974))</f>
        <v/>
      </c>
      <c r="AD974" s="2">
        <f>IF(ISERROR($H$974),"",IF(ISBLANK($H$974),"",$H$974))</f>
        <v/>
      </c>
      <c r="AE974" s="2">
        <f>IF(ISERROR($I$974),"",IF(ISBLANK($I$974),"",$I$974))</f>
        <v/>
      </c>
      <c r="AF974" s="2">
        <f>IF(ISERROR($J$974),"",IF(ISBLANK($J$974),"",$J$974))</f>
        <v/>
      </c>
      <c r="AG974" s="2">
        <f>ISERROR($B$974)*1+ISERROR($C$974)*1+ISERROR($D$974)*1+ISERROR($E$974)*1+ISERROR($F$974)*1+ISERROR($G$974)*1+ISERROR($H$974)*1+ISERROR($I$974)*1+ISERROR($J$974)*1</f>
        <v/>
      </c>
    </row>
    <row r="975" ht="26" customHeight="1">
      <c r="B975" s="35" t="n"/>
      <c r="C975" s="29" t="n"/>
      <c r="D975" s="29" t="n"/>
      <c r="E975" s="29" t="n"/>
      <c r="F975" s="29" t="n"/>
      <c r="G975" s="29" t="n"/>
      <c r="H975" s="29" t="n"/>
      <c r="I975" s="29" t="n"/>
      <c r="J975" s="29" t="n"/>
      <c r="K975" s="19">
        <f>IF(AG975&gt;0,"O Google leu como fórmula: digite de novo com ' na frente.","")</f>
        <v/>
      </c>
      <c r="N975" s="2">
        <f>N974+IF(LEN($X$975)&gt;0,1,0)</f>
        <v/>
      </c>
      <c r="O975" s="2">
        <f>O974+IF(LEN($Y$975)&gt;0,1,0)</f>
        <v/>
      </c>
      <c r="P975" s="2">
        <f>P974+IF(LEN($Z$975)&gt;0,1,0)</f>
        <v/>
      </c>
      <c r="Q975" s="2">
        <f>Q974+IF(LEN($AA$975)&gt;0,1,0)</f>
        <v/>
      </c>
      <c r="R975" s="2">
        <f>R974+IF(LEN($AB$975)&gt;0,1,0)</f>
        <v/>
      </c>
      <c r="S975" s="2">
        <f>S974+IF(LEN($AC$975)&gt;0,1,0)</f>
        <v/>
      </c>
      <c r="T975" s="2">
        <f>T974+IF(LEN($AD$975)&gt;0,1,0)</f>
        <v/>
      </c>
      <c r="U975" s="2">
        <f>U974+IF(LEN($AE$975)&gt;0,1,0)</f>
        <v/>
      </c>
      <c r="V975" s="2">
        <f>V974+IF(LEN($AF$975)&gt;0,1,0)</f>
        <v/>
      </c>
      <c r="X975" s="2">
        <f>IF(ISERROR($B$975),"",IF(ISBLANK($B$975),"",$B$975))</f>
        <v/>
      </c>
      <c r="Y975" s="2">
        <f>IF(ISERROR($C$975),"",IF(ISBLANK($C$975),"",$C$975))</f>
        <v/>
      </c>
      <c r="Z975" s="2">
        <f>IF(ISERROR($D$975),"",IF(ISBLANK($D$975),"",$D$975))</f>
        <v/>
      </c>
      <c r="AA975" s="2">
        <f>IF(ISERROR($E$975),"",IF(ISBLANK($E$975),"",$E$975))</f>
        <v/>
      </c>
      <c r="AB975" s="2">
        <f>IF(ISERROR($F$975),"",IF(ISBLANK($F$975),"",$F$975))</f>
        <v/>
      </c>
      <c r="AC975" s="2">
        <f>IF(ISERROR($G$975),"",IF(ISBLANK($G$975),"",$G$975))</f>
        <v/>
      </c>
      <c r="AD975" s="2">
        <f>IF(ISERROR($H$975),"",IF(ISBLANK($H$975),"",$H$975))</f>
        <v/>
      </c>
      <c r="AE975" s="2">
        <f>IF(ISERROR($I$975),"",IF(ISBLANK($I$975),"",$I$975))</f>
        <v/>
      </c>
      <c r="AF975" s="2">
        <f>IF(ISERROR($J$975),"",IF(ISBLANK($J$975),"",$J$975))</f>
        <v/>
      </c>
      <c r="AG975" s="2">
        <f>ISERROR($B$975)*1+ISERROR($C$975)*1+ISERROR($D$975)*1+ISERROR($E$975)*1+ISERROR($F$975)*1+ISERROR($G$975)*1+ISERROR($H$975)*1+ISERROR($I$975)*1+ISERROR($J$975)*1</f>
        <v/>
      </c>
    </row>
    <row r="976" ht="26" customHeight="1">
      <c r="B976" s="33" t="n"/>
      <c r="C976" s="4" t="n"/>
      <c r="D976" s="4" t="n"/>
      <c r="E976" s="4" t="n"/>
      <c r="F976" s="4" t="n"/>
      <c r="G976" s="4" t="n"/>
      <c r="H976" s="4" t="n"/>
      <c r="I976" s="4" t="n"/>
      <c r="J976" s="4" t="n"/>
      <c r="K976" s="19">
        <f>IF(AG976&gt;0,"O Google leu como fórmula: digite de novo com ' na frente.","")</f>
        <v/>
      </c>
      <c r="N976" s="2">
        <f>N975+IF(LEN($X$976)&gt;0,1,0)</f>
        <v/>
      </c>
      <c r="O976" s="2">
        <f>O975+IF(LEN($Y$976)&gt;0,1,0)</f>
        <v/>
      </c>
      <c r="P976" s="2">
        <f>P975+IF(LEN($Z$976)&gt;0,1,0)</f>
        <v/>
      </c>
      <c r="Q976" s="2">
        <f>Q975+IF(LEN($AA$976)&gt;0,1,0)</f>
        <v/>
      </c>
      <c r="R976" s="2">
        <f>R975+IF(LEN($AB$976)&gt;0,1,0)</f>
        <v/>
      </c>
      <c r="S976" s="2">
        <f>S975+IF(LEN($AC$976)&gt;0,1,0)</f>
        <v/>
      </c>
      <c r="T976" s="2">
        <f>T975+IF(LEN($AD$976)&gt;0,1,0)</f>
        <v/>
      </c>
      <c r="U976" s="2">
        <f>U975+IF(LEN($AE$976)&gt;0,1,0)</f>
        <v/>
      </c>
      <c r="V976" s="2">
        <f>V975+IF(LEN($AF$976)&gt;0,1,0)</f>
        <v/>
      </c>
      <c r="X976" s="2">
        <f>IF(ISERROR($B$976),"",IF(ISBLANK($B$976),"",$B$976))</f>
        <v/>
      </c>
      <c r="Y976" s="2">
        <f>IF(ISERROR($C$976),"",IF(ISBLANK($C$976),"",$C$976))</f>
        <v/>
      </c>
      <c r="Z976" s="2">
        <f>IF(ISERROR($D$976),"",IF(ISBLANK($D$976),"",$D$976))</f>
        <v/>
      </c>
      <c r="AA976" s="2">
        <f>IF(ISERROR($E$976),"",IF(ISBLANK($E$976),"",$E$976))</f>
        <v/>
      </c>
      <c r="AB976" s="2">
        <f>IF(ISERROR($F$976),"",IF(ISBLANK($F$976),"",$F$976))</f>
        <v/>
      </c>
      <c r="AC976" s="2">
        <f>IF(ISERROR($G$976),"",IF(ISBLANK($G$976),"",$G$976))</f>
        <v/>
      </c>
      <c r="AD976" s="2">
        <f>IF(ISERROR($H$976),"",IF(ISBLANK($H$976),"",$H$976))</f>
        <v/>
      </c>
      <c r="AE976" s="2">
        <f>IF(ISERROR($I$976),"",IF(ISBLANK($I$976),"",$I$976))</f>
        <v/>
      </c>
      <c r="AF976" s="2">
        <f>IF(ISERROR($J$976),"",IF(ISBLANK($J$976),"",$J$976))</f>
        <v/>
      </c>
      <c r="AG976" s="2">
        <f>ISERROR($B$976)*1+ISERROR($C$976)*1+ISERROR($D$976)*1+ISERROR($E$976)*1+ISERROR($F$976)*1+ISERROR($G$976)*1+ISERROR($H$976)*1+ISERROR($I$976)*1+ISERROR($J$976)*1</f>
        <v/>
      </c>
    </row>
    <row r="977" ht="26" customHeight="1">
      <c r="B977" s="35" t="n"/>
      <c r="C977" s="29" t="n"/>
      <c r="D977" s="29" t="n"/>
      <c r="E977" s="29" t="n"/>
      <c r="F977" s="29" t="n"/>
      <c r="G977" s="29" t="n"/>
      <c r="H977" s="29" t="n"/>
      <c r="I977" s="29" t="n"/>
      <c r="J977" s="29" t="n"/>
      <c r="K977" s="19">
        <f>IF(AG977&gt;0,"O Google leu como fórmula: digite de novo com ' na frente.","")</f>
        <v/>
      </c>
      <c r="N977" s="2">
        <f>N976+IF(LEN($X$977)&gt;0,1,0)</f>
        <v/>
      </c>
      <c r="O977" s="2">
        <f>O976+IF(LEN($Y$977)&gt;0,1,0)</f>
        <v/>
      </c>
      <c r="P977" s="2">
        <f>P976+IF(LEN($Z$977)&gt;0,1,0)</f>
        <v/>
      </c>
      <c r="Q977" s="2">
        <f>Q976+IF(LEN($AA$977)&gt;0,1,0)</f>
        <v/>
      </c>
      <c r="R977" s="2">
        <f>R976+IF(LEN($AB$977)&gt;0,1,0)</f>
        <v/>
      </c>
      <c r="S977" s="2">
        <f>S976+IF(LEN($AC$977)&gt;0,1,0)</f>
        <v/>
      </c>
      <c r="T977" s="2">
        <f>T976+IF(LEN($AD$977)&gt;0,1,0)</f>
        <v/>
      </c>
      <c r="U977" s="2">
        <f>U976+IF(LEN($AE$977)&gt;0,1,0)</f>
        <v/>
      </c>
      <c r="V977" s="2">
        <f>V976+IF(LEN($AF$977)&gt;0,1,0)</f>
        <v/>
      </c>
      <c r="X977" s="2">
        <f>IF(ISERROR($B$977),"",IF(ISBLANK($B$977),"",$B$977))</f>
        <v/>
      </c>
      <c r="Y977" s="2">
        <f>IF(ISERROR($C$977),"",IF(ISBLANK($C$977),"",$C$977))</f>
        <v/>
      </c>
      <c r="Z977" s="2">
        <f>IF(ISERROR($D$977),"",IF(ISBLANK($D$977),"",$D$977))</f>
        <v/>
      </c>
      <c r="AA977" s="2">
        <f>IF(ISERROR($E$977),"",IF(ISBLANK($E$977),"",$E$977))</f>
        <v/>
      </c>
      <c r="AB977" s="2">
        <f>IF(ISERROR($F$977),"",IF(ISBLANK($F$977),"",$F$977))</f>
        <v/>
      </c>
      <c r="AC977" s="2">
        <f>IF(ISERROR($G$977),"",IF(ISBLANK($G$977),"",$G$977))</f>
        <v/>
      </c>
      <c r="AD977" s="2">
        <f>IF(ISERROR($H$977),"",IF(ISBLANK($H$977),"",$H$977))</f>
        <v/>
      </c>
      <c r="AE977" s="2">
        <f>IF(ISERROR($I$977),"",IF(ISBLANK($I$977),"",$I$977))</f>
        <v/>
      </c>
      <c r="AF977" s="2">
        <f>IF(ISERROR($J$977),"",IF(ISBLANK($J$977),"",$J$977))</f>
        <v/>
      </c>
      <c r="AG977" s="2">
        <f>ISERROR($B$977)*1+ISERROR($C$977)*1+ISERROR($D$977)*1+ISERROR($E$977)*1+ISERROR($F$977)*1+ISERROR($G$977)*1+ISERROR($H$977)*1+ISERROR($I$977)*1+ISERROR($J$977)*1</f>
        <v/>
      </c>
    </row>
    <row r="978" ht="26" customHeight="1">
      <c r="B978" s="33" t="n"/>
      <c r="C978" s="4" t="n"/>
      <c r="D978" s="4" t="n"/>
      <c r="E978" s="4" t="n"/>
      <c r="F978" s="4" t="n"/>
      <c r="G978" s="4" t="n"/>
      <c r="H978" s="4" t="n"/>
      <c r="I978" s="4" t="n"/>
      <c r="J978" s="4" t="n"/>
      <c r="K978" s="19">
        <f>IF(AG978&gt;0,"O Google leu como fórmula: digite de novo com ' na frente.","")</f>
        <v/>
      </c>
      <c r="N978" s="2">
        <f>N977+IF(LEN($X$978)&gt;0,1,0)</f>
        <v/>
      </c>
      <c r="O978" s="2">
        <f>O977+IF(LEN($Y$978)&gt;0,1,0)</f>
        <v/>
      </c>
      <c r="P978" s="2">
        <f>P977+IF(LEN($Z$978)&gt;0,1,0)</f>
        <v/>
      </c>
      <c r="Q978" s="2">
        <f>Q977+IF(LEN($AA$978)&gt;0,1,0)</f>
        <v/>
      </c>
      <c r="R978" s="2">
        <f>R977+IF(LEN($AB$978)&gt;0,1,0)</f>
        <v/>
      </c>
      <c r="S978" s="2">
        <f>S977+IF(LEN($AC$978)&gt;0,1,0)</f>
        <v/>
      </c>
      <c r="T978" s="2">
        <f>T977+IF(LEN($AD$978)&gt;0,1,0)</f>
        <v/>
      </c>
      <c r="U978" s="2">
        <f>U977+IF(LEN($AE$978)&gt;0,1,0)</f>
        <v/>
      </c>
      <c r="V978" s="2">
        <f>V977+IF(LEN($AF$978)&gt;0,1,0)</f>
        <v/>
      </c>
      <c r="X978" s="2">
        <f>IF(ISERROR($B$978),"",IF(ISBLANK($B$978),"",$B$978))</f>
        <v/>
      </c>
      <c r="Y978" s="2">
        <f>IF(ISERROR($C$978),"",IF(ISBLANK($C$978),"",$C$978))</f>
        <v/>
      </c>
      <c r="Z978" s="2">
        <f>IF(ISERROR($D$978),"",IF(ISBLANK($D$978),"",$D$978))</f>
        <v/>
      </c>
      <c r="AA978" s="2">
        <f>IF(ISERROR($E$978),"",IF(ISBLANK($E$978),"",$E$978))</f>
        <v/>
      </c>
      <c r="AB978" s="2">
        <f>IF(ISERROR($F$978),"",IF(ISBLANK($F$978),"",$F$978))</f>
        <v/>
      </c>
      <c r="AC978" s="2">
        <f>IF(ISERROR($G$978),"",IF(ISBLANK($G$978),"",$G$978))</f>
        <v/>
      </c>
      <c r="AD978" s="2">
        <f>IF(ISERROR($H$978),"",IF(ISBLANK($H$978),"",$H$978))</f>
        <v/>
      </c>
      <c r="AE978" s="2">
        <f>IF(ISERROR($I$978),"",IF(ISBLANK($I$978),"",$I$978))</f>
        <v/>
      </c>
      <c r="AF978" s="2">
        <f>IF(ISERROR($J$978),"",IF(ISBLANK($J$978),"",$J$978))</f>
        <v/>
      </c>
      <c r="AG978" s="2">
        <f>ISERROR($B$978)*1+ISERROR($C$978)*1+ISERROR($D$978)*1+ISERROR($E$978)*1+ISERROR($F$978)*1+ISERROR($G$978)*1+ISERROR($H$978)*1+ISERROR($I$978)*1+ISERROR($J$978)*1</f>
        <v/>
      </c>
    </row>
    <row r="979" ht="26" customHeight="1">
      <c r="B979" s="35" t="n"/>
      <c r="C979" s="29" t="n"/>
      <c r="D979" s="29" t="n"/>
      <c r="E979" s="29" t="n"/>
      <c r="F979" s="29" t="n"/>
      <c r="G979" s="29" t="n"/>
      <c r="H979" s="29" t="n"/>
      <c r="I979" s="29" t="n"/>
      <c r="J979" s="29" t="n"/>
      <c r="K979" s="19">
        <f>IF(AG979&gt;0,"O Google leu como fórmula: digite de novo com ' na frente.","")</f>
        <v/>
      </c>
      <c r="N979" s="2">
        <f>N978+IF(LEN($X$979)&gt;0,1,0)</f>
        <v/>
      </c>
      <c r="O979" s="2">
        <f>O978+IF(LEN($Y$979)&gt;0,1,0)</f>
        <v/>
      </c>
      <c r="P979" s="2">
        <f>P978+IF(LEN($Z$979)&gt;0,1,0)</f>
        <v/>
      </c>
      <c r="Q979" s="2">
        <f>Q978+IF(LEN($AA$979)&gt;0,1,0)</f>
        <v/>
      </c>
      <c r="R979" s="2">
        <f>R978+IF(LEN($AB$979)&gt;0,1,0)</f>
        <v/>
      </c>
      <c r="S979" s="2">
        <f>S978+IF(LEN($AC$979)&gt;0,1,0)</f>
        <v/>
      </c>
      <c r="T979" s="2">
        <f>T978+IF(LEN($AD$979)&gt;0,1,0)</f>
        <v/>
      </c>
      <c r="U979" s="2">
        <f>U978+IF(LEN($AE$979)&gt;0,1,0)</f>
        <v/>
      </c>
      <c r="V979" s="2">
        <f>V978+IF(LEN($AF$979)&gt;0,1,0)</f>
        <v/>
      </c>
      <c r="X979" s="2">
        <f>IF(ISERROR($B$979),"",IF(ISBLANK($B$979),"",$B$979))</f>
        <v/>
      </c>
      <c r="Y979" s="2">
        <f>IF(ISERROR($C$979),"",IF(ISBLANK($C$979),"",$C$979))</f>
        <v/>
      </c>
      <c r="Z979" s="2">
        <f>IF(ISERROR($D$979),"",IF(ISBLANK($D$979),"",$D$979))</f>
        <v/>
      </c>
      <c r="AA979" s="2">
        <f>IF(ISERROR($E$979),"",IF(ISBLANK($E$979),"",$E$979))</f>
        <v/>
      </c>
      <c r="AB979" s="2">
        <f>IF(ISERROR($F$979),"",IF(ISBLANK($F$979),"",$F$979))</f>
        <v/>
      </c>
      <c r="AC979" s="2">
        <f>IF(ISERROR($G$979),"",IF(ISBLANK($G$979),"",$G$979))</f>
        <v/>
      </c>
      <c r="AD979" s="2">
        <f>IF(ISERROR($H$979),"",IF(ISBLANK($H$979),"",$H$979))</f>
        <v/>
      </c>
      <c r="AE979" s="2">
        <f>IF(ISERROR($I$979),"",IF(ISBLANK($I$979),"",$I$979))</f>
        <v/>
      </c>
      <c r="AF979" s="2">
        <f>IF(ISERROR($J$979),"",IF(ISBLANK($J$979),"",$J$979))</f>
        <v/>
      </c>
      <c r="AG979" s="2">
        <f>ISERROR($B$979)*1+ISERROR($C$979)*1+ISERROR($D$979)*1+ISERROR($E$979)*1+ISERROR($F$979)*1+ISERROR($G$979)*1+ISERROR($H$979)*1+ISERROR($I$979)*1+ISERROR($J$979)*1</f>
        <v/>
      </c>
    </row>
    <row r="980" ht="26" customHeight="1">
      <c r="B980" s="33" t="n"/>
      <c r="C980" s="4" t="n"/>
      <c r="D980" s="4" t="n"/>
      <c r="E980" s="4" t="n"/>
      <c r="F980" s="4" t="n"/>
      <c r="G980" s="4" t="n"/>
      <c r="H980" s="4" t="n"/>
      <c r="I980" s="4" t="n"/>
      <c r="J980" s="4" t="n"/>
      <c r="K980" s="19">
        <f>IF(AG980&gt;0,"O Google leu como fórmula: digite de novo com ' na frente.","")</f>
        <v/>
      </c>
      <c r="N980" s="2">
        <f>N979+IF(LEN($X$980)&gt;0,1,0)</f>
        <v/>
      </c>
      <c r="O980" s="2">
        <f>O979+IF(LEN($Y$980)&gt;0,1,0)</f>
        <v/>
      </c>
      <c r="P980" s="2">
        <f>P979+IF(LEN($Z$980)&gt;0,1,0)</f>
        <v/>
      </c>
      <c r="Q980" s="2">
        <f>Q979+IF(LEN($AA$980)&gt;0,1,0)</f>
        <v/>
      </c>
      <c r="R980" s="2">
        <f>R979+IF(LEN($AB$980)&gt;0,1,0)</f>
        <v/>
      </c>
      <c r="S980" s="2">
        <f>S979+IF(LEN($AC$980)&gt;0,1,0)</f>
        <v/>
      </c>
      <c r="T980" s="2">
        <f>T979+IF(LEN($AD$980)&gt;0,1,0)</f>
        <v/>
      </c>
      <c r="U980" s="2">
        <f>U979+IF(LEN($AE$980)&gt;0,1,0)</f>
        <v/>
      </c>
      <c r="V980" s="2">
        <f>V979+IF(LEN($AF$980)&gt;0,1,0)</f>
        <v/>
      </c>
      <c r="X980" s="2">
        <f>IF(ISERROR($B$980),"",IF(ISBLANK($B$980),"",$B$980))</f>
        <v/>
      </c>
      <c r="Y980" s="2">
        <f>IF(ISERROR($C$980),"",IF(ISBLANK($C$980),"",$C$980))</f>
        <v/>
      </c>
      <c r="Z980" s="2">
        <f>IF(ISERROR($D$980),"",IF(ISBLANK($D$980),"",$D$980))</f>
        <v/>
      </c>
      <c r="AA980" s="2">
        <f>IF(ISERROR($E$980),"",IF(ISBLANK($E$980),"",$E$980))</f>
        <v/>
      </c>
      <c r="AB980" s="2">
        <f>IF(ISERROR($F$980),"",IF(ISBLANK($F$980),"",$F$980))</f>
        <v/>
      </c>
      <c r="AC980" s="2">
        <f>IF(ISERROR($G$980),"",IF(ISBLANK($G$980),"",$G$980))</f>
        <v/>
      </c>
      <c r="AD980" s="2">
        <f>IF(ISERROR($H$980),"",IF(ISBLANK($H$980),"",$H$980))</f>
        <v/>
      </c>
      <c r="AE980" s="2">
        <f>IF(ISERROR($I$980),"",IF(ISBLANK($I$980),"",$I$980))</f>
        <v/>
      </c>
      <c r="AF980" s="2">
        <f>IF(ISERROR($J$980),"",IF(ISBLANK($J$980),"",$J$980))</f>
        <v/>
      </c>
      <c r="AG980" s="2">
        <f>ISERROR($B$980)*1+ISERROR($C$980)*1+ISERROR($D$980)*1+ISERROR($E$980)*1+ISERROR($F$980)*1+ISERROR($G$980)*1+ISERROR($H$980)*1+ISERROR($I$980)*1+ISERROR($J$980)*1</f>
        <v/>
      </c>
    </row>
    <row r="981" ht="26" customHeight="1">
      <c r="B981" s="35" t="n"/>
      <c r="C981" s="29" t="n"/>
      <c r="D981" s="29" t="n"/>
      <c r="E981" s="29" t="n"/>
      <c r="F981" s="29" t="n"/>
      <c r="G981" s="29" t="n"/>
      <c r="H981" s="29" t="n"/>
      <c r="I981" s="29" t="n"/>
      <c r="J981" s="29" t="n"/>
      <c r="K981" s="19">
        <f>IF(AG981&gt;0,"O Google leu como fórmula: digite de novo com ' na frente.","")</f>
        <v/>
      </c>
      <c r="N981" s="2">
        <f>N980+IF(LEN($X$981)&gt;0,1,0)</f>
        <v/>
      </c>
      <c r="O981" s="2">
        <f>O980+IF(LEN($Y$981)&gt;0,1,0)</f>
        <v/>
      </c>
      <c r="P981" s="2">
        <f>P980+IF(LEN($Z$981)&gt;0,1,0)</f>
        <v/>
      </c>
      <c r="Q981" s="2">
        <f>Q980+IF(LEN($AA$981)&gt;0,1,0)</f>
        <v/>
      </c>
      <c r="R981" s="2">
        <f>R980+IF(LEN($AB$981)&gt;0,1,0)</f>
        <v/>
      </c>
      <c r="S981" s="2">
        <f>S980+IF(LEN($AC$981)&gt;0,1,0)</f>
        <v/>
      </c>
      <c r="T981" s="2">
        <f>T980+IF(LEN($AD$981)&gt;0,1,0)</f>
        <v/>
      </c>
      <c r="U981" s="2">
        <f>U980+IF(LEN($AE$981)&gt;0,1,0)</f>
        <v/>
      </c>
      <c r="V981" s="2">
        <f>V980+IF(LEN($AF$981)&gt;0,1,0)</f>
        <v/>
      </c>
      <c r="X981" s="2">
        <f>IF(ISERROR($B$981),"",IF(ISBLANK($B$981),"",$B$981))</f>
        <v/>
      </c>
      <c r="Y981" s="2">
        <f>IF(ISERROR($C$981),"",IF(ISBLANK($C$981),"",$C$981))</f>
        <v/>
      </c>
      <c r="Z981" s="2">
        <f>IF(ISERROR($D$981),"",IF(ISBLANK($D$981),"",$D$981))</f>
        <v/>
      </c>
      <c r="AA981" s="2">
        <f>IF(ISERROR($E$981),"",IF(ISBLANK($E$981),"",$E$981))</f>
        <v/>
      </c>
      <c r="AB981" s="2">
        <f>IF(ISERROR($F$981),"",IF(ISBLANK($F$981),"",$F$981))</f>
        <v/>
      </c>
      <c r="AC981" s="2">
        <f>IF(ISERROR($G$981),"",IF(ISBLANK($G$981),"",$G$981))</f>
        <v/>
      </c>
      <c r="AD981" s="2">
        <f>IF(ISERROR($H$981),"",IF(ISBLANK($H$981),"",$H$981))</f>
        <v/>
      </c>
      <c r="AE981" s="2">
        <f>IF(ISERROR($I$981),"",IF(ISBLANK($I$981),"",$I$981))</f>
        <v/>
      </c>
      <c r="AF981" s="2">
        <f>IF(ISERROR($J$981),"",IF(ISBLANK($J$981),"",$J$981))</f>
        <v/>
      </c>
      <c r="AG981" s="2">
        <f>ISERROR($B$981)*1+ISERROR($C$981)*1+ISERROR($D$981)*1+ISERROR($E$981)*1+ISERROR($F$981)*1+ISERROR($G$981)*1+ISERROR($H$981)*1+ISERROR($I$981)*1+ISERROR($J$981)*1</f>
        <v/>
      </c>
    </row>
    <row r="982" ht="26" customHeight="1">
      <c r="B982" s="33" t="n"/>
      <c r="C982" s="4" t="n"/>
      <c r="D982" s="4" t="n"/>
      <c r="E982" s="4" t="n"/>
      <c r="F982" s="4" t="n"/>
      <c r="G982" s="4" t="n"/>
      <c r="H982" s="4" t="n"/>
      <c r="I982" s="4" t="n"/>
      <c r="J982" s="4" t="n"/>
      <c r="K982" s="19">
        <f>IF(AG982&gt;0,"O Google leu como fórmula: digite de novo com ' na frente.","")</f>
        <v/>
      </c>
      <c r="N982" s="2">
        <f>N981+IF(LEN($X$982)&gt;0,1,0)</f>
        <v/>
      </c>
      <c r="O982" s="2">
        <f>O981+IF(LEN($Y$982)&gt;0,1,0)</f>
        <v/>
      </c>
      <c r="P982" s="2">
        <f>P981+IF(LEN($Z$982)&gt;0,1,0)</f>
        <v/>
      </c>
      <c r="Q982" s="2">
        <f>Q981+IF(LEN($AA$982)&gt;0,1,0)</f>
        <v/>
      </c>
      <c r="R982" s="2">
        <f>R981+IF(LEN($AB$982)&gt;0,1,0)</f>
        <v/>
      </c>
      <c r="S982" s="2">
        <f>S981+IF(LEN($AC$982)&gt;0,1,0)</f>
        <v/>
      </c>
      <c r="T982" s="2">
        <f>T981+IF(LEN($AD$982)&gt;0,1,0)</f>
        <v/>
      </c>
      <c r="U982" s="2">
        <f>U981+IF(LEN($AE$982)&gt;0,1,0)</f>
        <v/>
      </c>
      <c r="V982" s="2">
        <f>V981+IF(LEN($AF$982)&gt;0,1,0)</f>
        <v/>
      </c>
      <c r="X982" s="2">
        <f>IF(ISERROR($B$982),"",IF(ISBLANK($B$982),"",$B$982))</f>
        <v/>
      </c>
      <c r="Y982" s="2">
        <f>IF(ISERROR($C$982),"",IF(ISBLANK($C$982),"",$C$982))</f>
        <v/>
      </c>
      <c r="Z982" s="2">
        <f>IF(ISERROR($D$982),"",IF(ISBLANK($D$982),"",$D$982))</f>
        <v/>
      </c>
      <c r="AA982" s="2">
        <f>IF(ISERROR($E$982),"",IF(ISBLANK($E$982),"",$E$982))</f>
        <v/>
      </c>
      <c r="AB982" s="2">
        <f>IF(ISERROR($F$982),"",IF(ISBLANK($F$982),"",$F$982))</f>
        <v/>
      </c>
      <c r="AC982" s="2">
        <f>IF(ISERROR($G$982),"",IF(ISBLANK($G$982),"",$G$982))</f>
        <v/>
      </c>
      <c r="AD982" s="2">
        <f>IF(ISERROR($H$982),"",IF(ISBLANK($H$982),"",$H$982))</f>
        <v/>
      </c>
      <c r="AE982" s="2">
        <f>IF(ISERROR($I$982),"",IF(ISBLANK($I$982),"",$I$982))</f>
        <v/>
      </c>
      <c r="AF982" s="2">
        <f>IF(ISERROR($J$982),"",IF(ISBLANK($J$982),"",$J$982))</f>
        <v/>
      </c>
      <c r="AG982" s="2">
        <f>ISERROR($B$982)*1+ISERROR($C$982)*1+ISERROR($D$982)*1+ISERROR($E$982)*1+ISERROR($F$982)*1+ISERROR($G$982)*1+ISERROR($H$982)*1+ISERROR($I$982)*1+ISERROR($J$982)*1</f>
        <v/>
      </c>
    </row>
    <row r="983" ht="26" customHeight="1">
      <c r="B983" s="35" t="n"/>
      <c r="C983" s="29" t="n"/>
      <c r="D983" s="29" t="n"/>
      <c r="E983" s="29" t="n"/>
      <c r="F983" s="29" t="n"/>
      <c r="G983" s="29" t="n"/>
      <c r="H983" s="29" t="n"/>
      <c r="I983" s="29" t="n"/>
      <c r="J983" s="29" t="n"/>
      <c r="K983" s="19">
        <f>IF(AG983&gt;0,"O Google leu como fórmula: digite de novo com ' na frente.","")</f>
        <v/>
      </c>
      <c r="N983" s="2">
        <f>N982+IF(LEN($X$983)&gt;0,1,0)</f>
        <v/>
      </c>
      <c r="O983" s="2">
        <f>O982+IF(LEN($Y$983)&gt;0,1,0)</f>
        <v/>
      </c>
      <c r="P983" s="2">
        <f>P982+IF(LEN($Z$983)&gt;0,1,0)</f>
        <v/>
      </c>
      <c r="Q983" s="2">
        <f>Q982+IF(LEN($AA$983)&gt;0,1,0)</f>
        <v/>
      </c>
      <c r="R983" s="2">
        <f>R982+IF(LEN($AB$983)&gt;0,1,0)</f>
        <v/>
      </c>
      <c r="S983" s="2">
        <f>S982+IF(LEN($AC$983)&gt;0,1,0)</f>
        <v/>
      </c>
      <c r="T983" s="2">
        <f>T982+IF(LEN($AD$983)&gt;0,1,0)</f>
        <v/>
      </c>
      <c r="U983" s="2">
        <f>U982+IF(LEN($AE$983)&gt;0,1,0)</f>
        <v/>
      </c>
      <c r="V983" s="2">
        <f>V982+IF(LEN($AF$983)&gt;0,1,0)</f>
        <v/>
      </c>
      <c r="X983" s="2">
        <f>IF(ISERROR($B$983),"",IF(ISBLANK($B$983),"",$B$983))</f>
        <v/>
      </c>
      <c r="Y983" s="2">
        <f>IF(ISERROR($C$983),"",IF(ISBLANK($C$983),"",$C$983))</f>
        <v/>
      </c>
      <c r="Z983" s="2">
        <f>IF(ISERROR($D$983),"",IF(ISBLANK($D$983),"",$D$983))</f>
        <v/>
      </c>
      <c r="AA983" s="2">
        <f>IF(ISERROR($E$983),"",IF(ISBLANK($E$983),"",$E$983))</f>
        <v/>
      </c>
      <c r="AB983" s="2">
        <f>IF(ISERROR($F$983),"",IF(ISBLANK($F$983),"",$F$983))</f>
        <v/>
      </c>
      <c r="AC983" s="2">
        <f>IF(ISERROR($G$983),"",IF(ISBLANK($G$983),"",$G$983))</f>
        <v/>
      </c>
      <c r="AD983" s="2">
        <f>IF(ISERROR($H$983),"",IF(ISBLANK($H$983),"",$H$983))</f>
        <v/>
      </c>
      <c r="AE983" s="2">
        <f>IF(ISERROR($I$983),"",IF(ISBLANK($I$983),"",$I$983))</f>
        <v/>
      </c>
      <c r="AF983" s="2">
        <f>IF(ISERROR($J$983),"",IF(ISBLANK($J$983),"",$J$983))</f>
        <v/>
      </c>
      <c r="AG983" s="2">
        <f>ISERROR($B$983)*1+ISERROR($C$983)*1+ISERROR($D$983)*1+ISERROR($E$983)*1+ISERROR($F$983)*1+ISERROR($G$983)*1+ISERROR($H$983)*1+ISERROR($I$983)*1+ISERROR($J$983)*1</f>
        <v/>
      </c>
    </row>
    <row r="984" ht="26" customHeight="1">
      <c r="B984" s="33" t="n"/>
      <c r="C984" s="4" t="n"/>
      <c r="D984" s="4" t="n"/>
      <c r="E984" s="4" t="n"/>
      <c r="F984" s="4" t="n"/>
      <c r="G984" s="4" t="n"/>
      <c r="H984" s="4" t="n"/>
      <c r="I984" s="4" t="n"/>
      <c r="J984" s="4" t="n"/>
      <c r="K984" s="19">
        <f>IF(AG984&gt;0,"O Google leu como fórmula: digite de novo com ' na frente.","")</f>
        <v/>
      </c>
      <c r="N984" s="2">
        <f>N983+IF(LEN($X$984)&gt;0,1,0)</f>
        <v/>
      </c>
      <c r="O984" s="2">
        <f>O983+IF(LEN($Y$984)&gt;0,1,0)</f>
        <v/>
      </c>
      <c r="P984" s="2">
        <f>P983+IF(LEN($Z$984)&gt;0,1,0)</f>
        <v/>
      </c>
      <c r="Q984" s="2">
        <f>Q983+IF(LEN($AA$984)&gt;0,1,0)</f>
        <v/>
      </c>
      <c r="R984" s="2">
        <f>R983+IF(LEN($AB$984)&gt;0,1,0)</f>
        <v/>
      </c>
      <c r="S984" s="2">
        <f>S983+IF(LEN($AC$984)&gt;0,1,0)</f>
        <v/>
      </c>
      <c r="T984" s="2">
        <f>T983+IF(LEN($AD$984)&gt;0,1,0)</f>
        <v/>
      </c>
      <c r="U984" s="2">
        <f>U983+IF(LEN($AE$984)&gt;0,1,0)</f>
        <v/>
      </c>
      <c r="V984" s="2">
        <f>V983+IF(LEN($AF$984)&gt;0,1,0)</f>
        <v/>
      </c>
      <c r="X984" s="2">
        <f>IF(ISERROR($B$984),"",IF(ISBLANK($B$984),"",$B$984))</f>
        <v/>
      </c>
      <c r="Y984" s="2">
        <f>IF(ISERROR($C$984),"",IF(ISBLANK($C$984),"",$C$984))</f>
        <v/>
      </c>
      <c r="Z984" s="2">
        <f>IF(ISERROR($D$984),"",IF(ISBLANK($D$984),"",$D$984))</f>
        <v/>
      </c>
      <c r="AA984" s="2">
        <f>IF(ISERROR($E$984),"",IF(ISBLANK($E$984),"",$E$984))</f>
        <v/>
      </c>
      <c r="AB984" s="2">
        <f>IF(ISERROR($F$984),"",IF(ISBLANK($F$984),"",$F$984))</f>
        <v/>
      </c>
      <c r="AC984" s="2">
        <f>IF(ISERROR($G$984),"",IF(ISBLANK($G$984),"",$G$984))</f>
        <v/>
      </c>
      <c r="AD984" s="2">
        <f>IF(ISERROR($H$984),"",IF(ISBLANK($H$984),"",$H$984))</f>
        <v/>
      </c>
      <c r="AE984" s="2">
        <f>IF(ISERROR($I$984),"",IF(ISBLANK($I$984),"",$I$984))</f>
        <v/>
      </c>
      <c r="AF984" s="2">
        <f>IF(ISERROR($J$984),"",IF(ISBLANK($J$984),"",$J$984))</f>
        <v/>
      </c>
      <c r="AG984" s="2">
        <f>ISERROR($B$984)*1+ISERROR($C$984)*1+ISERROR($D$984)*1+ISERROR($E$984)*1+ISERROR($F$984)*1+ISERROR($G$984)*1+ISERROR($H$984)*1+ISERROR($I$984)*1+ISERROR($J$984)*1</f>
        <v/>
      </c>
    </row>
    <row r="985" ht="26" customHeight="1">
      <c r="B985" s="35" t="n"/>
      <c r="C985" s="29" t="n"/>
      <c r="D985" s="29" t="n"/>
      <c r="E985" s="29" t="n"/>
      <c r="F985" s="29" t="n"/>
      <c r="G985" s="29" t="n"/>
      <c r="H985" s="29" t="n"/>
      <c r="I985" s="29" t="n"/>
      <c r="J985" s="29" t="n"/>
      <c r="K985" s="19">
        <f>IF(AG985&gt;0,"O Google leu como fórmula: digite de novo com ' na frente.","")</f>
        <v/>
      </c>
      <c r="N985" s="2">
        <f>N984+IF(LEN($X$985)&gt;0,1,0)</f>
        <v/>
      </c>
      <c r="O985" s="2">
        <f>O984+IF(LEN($Y$985)&gt;0,1,0)</f>
        <v/>
      </c>
      <c r="P985" s="2">
        <f>P984+IF(LEN($Z$985)&gt;0,1,0)</f>
        <v/>
      </c>
      <c r="Q985" s="2">
        <f>Q984+IF(LEN($AA$985)&gt;0,1,0)</f>
        <v/>
      </c>
      <c r="R985" s="2">
        <f>R984+IF(LEN($AB$985)&gt;0,1,0)</f>
        <v/>
      </c>
      <c r="S985" s="2">
        <f>S984+IF(LEN($AC$985)&gt;0,1,0)</f>
        <v/>
      </c>
      <c r="T985" s="2">
        <f>T984+IF(LEN($AD$985)&gt;0,1,0)</f>
        <v/>
      </c>
      <c r="U985" s="2">
        <f>U984+IF(LEN($AE$985)&gt;0,1,0)</f>
        <v/>
      </c>
      <c r="V985" s="2">
        <f>V984+IF(LEN($AF$985)&gt;0,1,0)</f>
        <v/>
      </c>
      <c r="X985" s="2">
        <f>IF(ISERROR($B$985),"",IF(ISBLANK($B$985),"",$B$985))</f>
        <v/>
      </c>
      <c r="Y985" s="2">
        <f>IF(ISERROR($C$985),"",IF(ISBLANK($C$985),"",$C$985))</f>
        <v/>
      </c>
      <c r="Z985" s="2">
        <f>IF(ISERROR($D$985),"",IF(ISBLANK($D$985),"",$D$985))</f>
        <v/>
      </c>
      <c r="AA985" s="2">
        <f>IF(ISERROR($E$985),"",IF(ISBLANK($E$985),"",$E$985))</f>
        <v/>
      </c>
      <c r="AB985" s="2">
        <f>IF(ISERROR($F$985),"",IF(ISBLANK($F$985),"",$F$985))</f>
        <v/>
      </c>
      <c r="AC985" s="2">
        <f>IF(ISERROR($G$985),"",IF(ISBLANK($G$985),"",$G$985))</f>
        <v/>
      </c>
      <c r="AD985" s="2">
        <f>IF(ISERROR($H$985),"",IF(ISBLANK($H$985),"",$H$985))</f>
        <v/>
      </c>
      <c r="AE985" s="2">
        <f>IF(ISERROR($I$985),"",IF(ISBLANK($I$985),"",$I$985))</f>
        <v/>
      </c>
      <c r="AF985" s="2">
        <f>IF(ISERROR($J$985),"",IF(ISBLANK($J$985),"",$J$985))</f>
        <v/>
      </c>
      <c r="AG985" s="2">
        <f>ISERROR($B$985)*1+ISERROR($C$985)*1+ISERROR($D$985)*1+ISERROR($E$985)*1+ISERROR($F$985)*1+ISERROR($G$985)*1+ISERROR($H$985)*1+ISERROR($I$985)*1+ISERROR($J$985)*1</f>
        <v/>
      </c>
    </row>
    <row r="986" ht="26" customHeight="1">
      <c r="B986" s="33" t="n"/>
      <c r="C986" s="4" t="n"/>
      <c r="D986" s="4" t="n"/>
      <c r="E986" s="4" t="n"/>
      <c r="F986" s="4" t="n"/>
      <c r="G986" s="4" t="n"/>
      <c r="H986" s="4" t="n"/>
      <c r="I986" s="4" t="n"/>
      <c r="J986" s="4" t="n"/>
      <c r="K986" s="19">
        <f>IF(AG986&gt;0,"O Google leu como fórmula: digite de novo com ' na frente.","")</f>
        <v/>
      </c>
      <c r="N986" s="2">
        <f>N985+IF(LEN($X$986)&gt;0,1,0)</f>
        <v/>
      </c>
      <c r="O986" s="2">
        <f>O985+IF(LEN($Y$986)&gt;0,1,0)</f>
        <v/>
      </c>
      <c r="P986" s="2">
        <f>P985+IF(LEN($Z$986)&gt;0,1,0)</f>
        <v/>
      </c>
      <c r="Q986" s="2">
        <f>Q985+IF(LEN($AA$986)&gt;0,1,0)</f>
        <v/>
      </c>
      <c r="R986" s="2">
        <f>R985+IF(LEN($AB$986)&gt;0,1,0)</f>
        <v/>
      </c>
      <c r="S986" s="2">
        <f>S985+IF(LEN($AC$986)&gt;0,1,0)</f>
        <v/>
      </c>
      <c r="T986" s="2">
        <f>T985+IF(LEN($AD$986)&gt;0,1,0)</f>
        <v/>
      </c>
      <c r="U986" s="2">
        <f>U985+IF(LEN($AE$986)&gt;0,1,0)</f>
        <v/>
      </c>
      <c r="V986" s="2">
        <f>V985+IF(LEN($AF$986)&gt;0,1,0)</f>
        <v/>
      </c>
      <c r="X986" s="2">
        <f>IF(ISERROR($B$986),"",IF(ISBLANK($B$986),"",$B$986))</f>
        <v/>
      </c>
      <c r="Y986" s="2">
        <f>IF(ISERROR($C$986),"",IF(ISBLANK($C$986),"",$C$986))</f>
        <v/>
      </c>
      <c r="Z986" s="2">
        <f>IF(ISERROR($D$986),"",IF(ISBLANK($D$986),"",$D$986))</f>
        <v/>
      </c>
      <c r="AA986" s="2">
        <f>IF(ISERROR($E$986),"",IF(ISBLANK($E$986),"",$E$986))</f>
        <v/>
      </c>
      <c r="AB986" s="2">
        <f>IF(ISERROR($F$986),"",IF(ISBLANK($F$986),"",$F$986))</f>
        <v/>
      </c>
      <c r="AC986" s="2">
        <f>IF(ISERROR($G$986),"",IF(ISBLANK($G$986),"",$G$986))</f>
        <v/>
      </c>
      <c r="AD986" s="2">
        <f>IF(ISERROR($H$986),"",IF(ISBLANK($H$986),"",$H$986))</f>
        <v/>
      </c>
      <c r="AE986" s="2">
        <f>IF(ISERROR($I$986),"",IF(ISBLANK($I$986),"",$I$986))</f>
        <v/>
      </c>
      <c r="AF986" s="2">
        <f>IF(ISERROR($J$986),"",IF(ISBLANK($J$986),"",$J$986))</f>
        <v/>
      </c>
      <c r="AG986" s="2">
        <f>ISERROR($B$986)*1+ISERROR($C$986)*1+ISERROR($D$986)*1+ISERROR($E$986)*1+ISERROR($F$986)*1+ISERROR($G$986)*1+ISERROR($H$986)*1+ISERROR($I$986)*1+ISERROR($J$986)*1</f>
        <v/>
      </c>
    </row>
    <row r="987" ht="26" customHeight="1">
      <c r="B987" s="8" t="inlineStr">
        <is>
          <t>Tipo de mundo</t>
        </is>
      </c>
      <c r="C987" s="8" t="inlineStr">
        <is>
          <t>Condição marcante</t>
        </is>
      </c>
      <c r="D987" s="8" t="inlineStr">
        <is>
          <t>O que fazem de manhã (27.17)</t>
        </is>
      </c>
      <c r="E987" s="8" t="inlineStr">
        <is>
          <t>O que pararam de fazer (27.17)</t>
        </is>
      </c>
      <c r="F987" s="8" t="inlineStr">
        <is>
          <t>Presença: Stellaron ou Fragmentum (peso)</t>
        </is>
      </c>
      <c r="G987" s="8" t="inlineStr">
        <is>
          <t>Função da estação</t>
        </is>
      </c>
      <c r="H987" s="8" t="inlineStr">
        <is>
          <t>Problema da estação</t>
        </is>
      </c>
      <c r="I987" s="8" t="inlineStr">
        <is>
          <t>Classe da nave</t>
        </is>
      </c>
      <c r="J987" s="8" t="inlineStr">
        <is>
          <t>Peculiaridade da nave</t>
        </is>
      </c>
      <c r="N987" s="2">
        <f>N986</f>
        <v/>
      </c>
      <c r="O987" s="2">
        <f>O986</f>
        <v/>
      </c>
      <c r="P987" s="2">
        <f>P986</f>
        <v/>
      </c>
      <c r="Q987" s="2">
        <f>Q986</f>
        <v/>
      </c>
      <c r="R987" s="2">
        <f>R986</f>
        <v/>
      </c>
      <c r="S987" s="2">
        <f>S986</f>
        <v/>
      </c>
      <c r="T987" s="2">
        <f>T986</f>
        <v/>
      </c>
      <c r="U987" s="2">
        <f>U986</f>
        <v/>
      </c>
      <c r="V987" s="2">
        <f>V986</f>
        <v/>
      </c>
      <c r="X987" s="2">
        <f>IF(ISERROR($B$987),"",IF(ISBLANK($B$987),"",$B$987))</f>
        <v/>
      </c>
      <c r="Y987" s="2">
        <f>IF(ISERROR($C$987),"",IF(ISBLANK($C$987),"",$C$987))</f>
        <v/>
      </c>
      <c r="Z987" s="2">
        <f>IF(ISERROR($D$987),"",IF(ISBLANK($D$987),"",$D$987))</f>
        <v/>
      </c>
      <c r="AA987" s="2">
        <f>IF(ISERROR($E$987),"",IF(ISBLANK($E$987),"",$E$987))</f>
        <v/>
      </c>
      <c r="AB987" s="2">
        <f>IF(ISERROR($F$987),"",IF(ISBLANK($F$987),"",$F$987))</f>
        <v/>
      </c>
      <c r="AC987" s="2">
        <f>IF(ISERROR($G$987),"",IF(ISBLANK($G$987),"",$G$987))</f>
        <v/>
      </c>
      <c r="AD987" s="2">
        <f>IF(ISERROR($H$987),"",IF(ISBLANK($H$987),"",$H$987))</f>
        <v/>
      </c>
      <c r="AE987" s="2">
        <f>IF(ISERROR($I$987),"",IF(ISBLANK($I$987),"",$I$987))</f>
        <v/>
      </c>
      <c r="AF987" s="2">
        <f>IF(ISERROR($J$987),"",IF(ISBLANK($J$987),"",$J$987))</f>
        <v/>
      </c>
    </row>
    <row r="988" ht="26" customHeight="1">
      <c r="B988" s="33" t="n"/>
      <c r="C988" s="4" t="n"/>
      <c r="D988" s="4" t="n"/>
      <c r="E988" s="4" t="n"/>
      <c r="F988" s="4" t="n"/>
      <c r="G988" s="4" t="n"/>
      <c r="H988" s="4" t="n"/>
      <c r="I988" s="4" t="n"/>
      <c r="J988" s="4" t="n"/>
      <c r="K988" s="19">
        <f>IF(AG988&gt;0,"O Google leu como fórmula: digite de novo com ' na frente.","")</f>
        <v/>
      </c>
      <c r="N988" s="2">
        <f>N987+IF(LEN($X$988)&gt;0,1,0)</f>
        <v/>
      </c>
      <c r="O988" s="2">
        <f>O987+IF(LEN($Y$988)&gt;0,1,0)</f>
        <v/>
      </c>
      <c r="P988" s="2">
        <f>P987+IF(LEN($Z$988)&gt;0,1,0)</f>
        <v/>
      </c>
      <c r="Q988" s="2">
        <f>Q987+IF(LEN($AA$988)&gt;0,1,0)</f>
        <v/>
      </c>
      <c r="R988" s="2">
        <f>R987+IF(LEN($AB$988)&gt;0,1,0)</f>
        <v/>
      </c>
      <c r="S988" s="2">
        <f>S987+IF(LEN($AC$988)&gt;0,1,0)</f>
        <v/>
      </c>
      <c r="T988" s="2">
        <f>T987+IF(LEN($AD$988)&gt;0,1,0)</f>
        <v/>
      </c>
      <c r="U988" s="2">
        <f>U987+IF(LEN($AE$988)&gt;0,1,0)</f>
        <v/>
      </c>
      <c r="V988" s="2">
        <f>V987+IF(LEN($AF$988)&gt;0,1,0)</f>
        <v/>
      </c>
      <c r="X988" s="2">
        <f>IF(ISERROR($B$988),"",IF(ISBLANK($B$988),"",$B$988))</f>
        <v/>
      </c>
      <c r="Y988" s="2">
        <f>IF(ISERROR($C$988),"",IF(ISBLANK($C$988),"",$C$988))</f>
        <v/>
      </c>
      <c r="Z988" s="2">
        <f>IF(ISERROR($D$988),"",IF(ISBLANK($D$988),"",$D$988))</f>
        <v/>
      </c>
      <c r="AA988" s="2">
        <f>IF(ISERROR($E$988),"",IF(ISBLANK($E$988),"",$E$988))</f>
        <v/>
      </c>
      <c r="AB988" s="2">
        <f>IF(ISERROR($F$988),"",IF(ISBLANK($F$988),"",$F$988))</f>
        <v/>
      </c>
      <c r="AC988" s="2">
        <f>IF(ISERROR($G$988),"",IF(ISBLANK($G$988),"",$G$988))</f>
        <v/>
      </c>
      <c r="AD988" s="2">
        <f>IF(ISERROR($H$988),"",IF(ISBLANK($H$988),"",$H$988))</f>
        <v/>
      </c>
      <c r="AE988" s="2">
        <f>IF(ISERROR($I$988),"",IF(ISBLANK($I$988),"",$I$988))</f>
        <v/>
      </c>
      <c r="AF988" s="2">
        <f>IF(ISERROR($J$988),"",IF(ISBLANK($J$988),"",$J$988))</f>
        <v/>
      </c>
      <c r="AG988" s="2">
        <f>ISERROR($B$988)*1+ISERROR($C$988)*1+ISERROR($D$988)*1+ISERROR($E$988)*1+ISERROR($F$988)*1+ISERROR($G$988)*1+ISERROR($H$988)*1+ISERROR($I$988)*1+ISERROR($J$988)*1</f>
        <v/>
      </c>
    </row>
    <row r="989" ht="26" customHeight="1">
      <c r="B989" s="35" t="n"/>
      <c r="C989" s="29" t="n"/>
      <c r="D989" s="29" t="n"/>
      <c r="E989" s="29" t="n"/>
      <c r="F989" s="29" t="n"/>
      <c r="G989" s="29" t="n"/>
      <c r="H989" s="29" t="n"/>
      <c r="I989" s="29" t="n"/>
      <c r="J989" s="29" t="n"/>
      <c r="K989" s="19">
        <f>IF(AG989&gt;0,"O Google leu como fórmula: digite de novo com ' na frente.","")</f>
        <v/>
      </c>
      <c r="N989" s="2">
        <f>N988+IF(LEN($X$989)&gt;0,1,0)</f>
        <v/>
      </c>
      <c r="O989" s="2">
        <f>O988+IF(LEN($Y$989)&gt;0,1,0)</f>
        <v/>
      </c>
      <c r="P989" s="2">
        <f>P988+IF(LEN($Z$989)&gt;0,1,0)</f>
        <v/>
      </c>
      <c r="Q989" s="2">
        <f>Q988+IF(LEN($AA$989)&gt;0,1,0)</f>
        <v/>
      </c>
      <c r="R989" s="2">
        <f>R988+IF(LEN($AB$989)&gt;0,1,0)</f>
        <v/>
      </c>
      <c r="S989" s="2">
        <f>S988+IF(LEN($AC$989)&gt;0,1,0)</f>
        <v/>
      </c>
      <c r="T989" s="2">
        <f>T988+IF(LEN($AD$989)&gt;0,1,0)</f>
        <v/>
      </c>
      <c r="U989" s="2">
        <f>U988+IF(LEN($AE$989)&gt;0,1,0)</f>
        <v/>
      </c>
      <c r="V989" s="2">
        <f>V988+IF(LEN($AF$989)&gt;0,1,0)</f>
        <v/>
      </c>
      <c r="X989" s="2">
        <f>IF(ISERROR($B$989),"",IF(ISBLANK($B$989),"",$B$989))</f>
        <v/>
      </c>
      <c r="Y989" s="2">
        <f>IF(ISERROR($C$989),"",IF(ISBLANK($C$989),"",$C$989))</f>
        <v/>
      </c>
      <c r="Z989" s="2">
        <f>IF(ISERROR($D$989),"",IF(ISBLANK($D$989),"",$D$989))</f>
        <v/>
      </c>
      <c r="AA989" s="2">
        <f>IF(ISERROR($E$989),"",IF(ISBLANK($E$989),"",$E$989))</f>
        <v/>
      </c>
      <c r="AB989" s="2">
        <f>IF(ISERROR($F$989),"",IF(ISBLANK($F$989),"",$F$989))</f>
        <v/>
      </c>
      <c r="AC989" s="2">
        <f>IF(ISERROR($G$989),"",IF(ISBLANK($G$989),"",$G$989))</f>
        <v/>
      </c>
      <c r="AD989" s="2">
        <f>IF(ISERROR($H$989),"",IF(ISBLANK($H$989),"",$H$989))</f>
        <v/>
      </c>
      <c r="AE989" s="2">
        <f>IF(ISERROR($I$989),"",IF(ISBLANK($I$989),"",$I$989))</f>
        <v/>
      </c>
      <c r="AF989" s="2">
        <f>IF(ISERROR($J$989),"",IF(ISBLANK($J$989),"",$J$989))</f>
        <v/>
      </c>
      <c r="AG989" s="2">
        <f>ISERROR($B$989)*1+ISERROR($C$989)*1+ISERROR($D$989)*1+ISERROR($E$989)*1+ISERROR($F$989)*1+ISERROR($G$989)*1+ISERROR($H$989)*1+ISERROR($I$989)*1+ISERROR($J$989)*1</f>
        <v/>
      </c>
    </row>
    <row r="990" ht="26" customHeight="1">
      <c r="B990" s="33" t="n"/>
      <c r="C990" s="4" t="n"/>
      <c r="D990" s="4" t="n"/>
      <c r="E990" s="4" t="n"/>
      <c r="F990" s="4" t="n"/>
      <c r="G990" s="4" t="n"/>
      <c r="H990" s="4" t="n"/>
      <c r="I990" s="4" t="n"/>
      <c r="J990" s="4" t="n"/>
      <c r="K990" s="19">
        <f>IF(AG990&gt;0,"O Google leu como fórmula: digite de novo com ' na frente.","")</f>
        <v/>
      </c>
      <c r="N990" s="2">
        <f>N989+IF(LEN($X$990)&gt;0,1,0)</f>
        <v/>
      </c>
      <c r="O990" s="2">
        <f>O989+IF(LEN($Y$990)&gt;0,1,0)</f>
        <v/>
      </c>
      <c r="P990" s="2">
        <f>P989+IF(LEN($Z$990)&gt;0,1,0)</f>
        <v/>
      </c>
      <c r="Q990" s="2">
        <f>Q989+IF(LEN($AA$990)&gt;0,1,0)</f>
        <v/>
      </c>
      <c r="R990" s="2">
        <f>R989+IF(LEN($AB$990)&gt;0,1,0)</f>
        <v/>
      </c>
      <c r="S990" s="2">
        <f>S989+IF(LEN($AC$990)&gt;0,1,0)</f>
        <v/>
      </c>
      <c r="T990" s="2">
        <f>T989+IF(LEN($AD$990)&gt;0,1,0)</f>
        <v/>
      </c>
      <c r="U990" s="2">
        <f>U989+IF(LEN($AE$990)&gt;0,1,0)</f>
        <v/>
      </c>
      <c r="V990" s="2">
        <f>V989+IF(LEN($AF$990)&gt;0,1,0)</f>
        <v/>
      </c>
      <c r="X990" s="2">
        <f>IF(ISERROR($B$990),"",IF(ISBLANK($B$990),"",$B$990))</f>
        <v/>
      </c>
      <c r="Y990" s="2">
        <f>IF(ISERROR($C$990),"",IF(ISBLANK($C$990),"",$C$990))</f>
        <v/>
      </c>
      <c r="Z990" s="2">
        <f>IF(ISERROR($D$990),"",IF(ISBLANK($D$990),"",$D$990))</f>
        <v/>
      </c>
      <c r="AA990" s="2">
        <f>IF(ISERROR($E$990),"",IF(ISBLANK($E$990),"",$E$990))</f>
        <v/>
      </c>
      <c r="AB990" s="2">
        <f>IF(ISERROR($F$990),"",IF(ISBLANK($F$990),"",$F$990))</f>
        <v/>
      </c>
      <c r="AC990" s="2">
        <f>IF(ISERROR($G$990),"",IF(ISBLANK($G$990),"",$G$990))</f>
        <v/>
      </c>
      <c r="AD990" s="2">
        <f>IF(ISERROR($H$990),"",IF(ISBLANK($H$990),"",$H$990))</f>
        <v/>
      </c>
      <c r="AE990" s="2">
        <f>IF(ISERROR($I$990),"",IF(ISBLANK($I$990),"",$I$990))</f>
        <v/>
      </c>
      <c r="AF990" s="2">
        <f>IF(ISERROR($J$990),"",IF(ISBLANK($J$990),"",$J$990))</f>
        <v/>
      </c>
      <c r="AG990" s="2">
        <f>ISERROR($B$990)*1+ISERROR($C$990)*1+ISERROR($D$990)*1+ISERROR($E$990)*1+ISERROR($F$990)*1+ISERROR($G$990)*1+ISERROR($H$990)*1+ISERROR($I$990)*1+ISERROR($J$990)*1</f>
        <v/>
      </c>
    </row>
    <row r="991" ht="26" customHeight="1">
      <c r="B991" s="35" t="n"/>
      <c r="C991" s="29" t="n"/>
      <c r="D991" s="29" t="n"/>
      <c r="E991" s="29" t="n"/>
      <c r="F991" s="29" t="n"/>
      <c r="G991" s="29" t="n"/>
      <c r="H991" s="29" t="n"/>
      <c r="I991" s="29" t="n"/>
      <c r="J991" s="29" t="n"/>
      <c r="K991" s="19">
        <f>IF(AG991&gt;0,"O Google leu como fórmula: digite de novo com ' na frente.","")</f>
        <v/>
      </c>
      <c r="N991" s="2">
        <f>N990+IF(LEN($X$991)&gt;0,1,0)</f>
        <v/>
      </c>
      <c r="O991" s="2">
        <f>O990+IF(LEN($Y$991)&gt;0,1,0)</f>
        <v/>
      </c>
      <c r="P991" s="2">
        <f>P990+IF(LEN($Z$991)&gt;0,1,0)</f>
        <v/>
      </c>
      <c r="Q991" s="2">
        <f>Q990+IF(LEN($AA$991)&gt;0,1,0)</f>
        <v/>
      </c>
      <c r="R991" s="2">
        <f>R990+IF(LEN($AB$991)&gt;0,1,0)</f>
        <v/>
      </c>
      <c r="S991" s="2">
        <f>S990+IF(LEN($AC$991)&gt;0,1,0)</f>
        <v/>
      </c>
      <c r="T991" s="2">
        <f>T990+IF(LEN($AD$991)&gt;0,1,0)</f>
        <v/>
      </c>
      <c r="U991" s="2">
        <f>U990+IF(LEN($AE$991)&gt;0,1,0)</f>
        <v/>
      </c>
      <c r="V991" s="2">
        <f>V990+IF(LEN($AF$991)&gt;0,1,0)</f>
        <v/>
      </c>
      <c r="X991" s="2">
        <f>IF(ISERROR($B$991),"",IF(ISBLANK($B$991),"",$B$991))</f>
        <v/>
      </c>
      <c r="Y991" s="2">
        <f>IF(ISERROR($C$991),"",IF(ISBLANK($C$991),"",$C$991))</f>
        <v/>
      </c>
      <c r="Z991" s="2">
        <f>IF(ISERROR($D$991),"",IF(ISBLANK($D$991),"",$D$991))</f>
        <v/>
      </c>
      <c r="AA991" s="2">
        <f>IF(ISERROR($E$991),"",IF(ISBLANK($E$991),"",$E$991))</f>
        <v/>
      </c>
      <c r="AB991" s="2">
        <f>IF(ISERROR($F$991),"",IF(ISBLANK($F$991),"",$F$991))</f>
        <v/>
      </c>
      <c r="AC991" s="2">
        <f>IF(ISERROR($G$991),"",IF(ISBLANK($G$991),"",$G$991))</f>
        <v/>
      </c>
      <c r="AD991" s="2">
        <f>IF(ISERROR($H$991),"",IF(ISBLANK($H$991),"",$H$991))</f>
        <v/>
      </c>
      <c r="AE991" s="2">
        <f>IF(ISERROR($I$991),"",IF(ISBLANK($I$991),"",$I$991))</f>
        <v/>
      </c>
      <c r="AF991" s="2">
        <f>IF(ISERROR($J$991),"",IF(ISBLANK($J$991),"",$J$991))</f>
        <v/>
      </c>
      <c r="AG991" s="2">
        <f>ISERROR($B$991)*1+ISERROR($C$991)*1+ISERROR($D$991)*1+ISERROR($E$991)*1+ISERROR($F$991)*1+ISERROR($G$991)*1+ISERROR($H$991)*1+ISERROR($I$991)*1+ISERROR($J$991)*1</f>
        <v/>
      </c>
    </row>
    <row r="992" ht="26" customHeight="1">
      <c r="B992" s="33" t="n"/>
      <c r="C992" s="4" t="n"/>
      <c r="D992" s="4" t="n"/>
      <c r="E992" s="4" t="n"/>
      <c r="F992" s="4" t="n"/>
      <c r="G992" s="4" t="n"/>
      <c r="H992" s="4" t="n"/>
      <c r="I992" s="4" t="n"/>
      <c r="J992" s="4" t="n"/>
      <c r="K992" s="19">
        <f>IF(AG992&gt;0,"O Google leu como fórmula: digite de novo com ' na frente.","")</f>
        <v/>
      </c>
      <c r="N992" s="2">
        <f>N991+IF(LEN($X$992)&gt;0,1,0)</f>
        <v/>
      </c>
      <c r="O992" s="2">
        <f>O991+IF(LEN($Y$992)&gt;0,1,0)</f>
        <v/>
      </c>
      <c r="P992" s="2">
        <f>P991+IF(LEN($Z$992)&gt;0,1,0)</f>
        <v/>
      </c>
      <c r="Q992" s="2">
        <f>Q991+IF(LEN($AA$992)&gt;0,1,0)</f>
        <v/>
      </c>
      <c r="R992" s="2">
        <f>R991+IF(LEN($AB$992)&gt;0,1,0)</f>
        <v/>
      </c>
      <c r="S992" s="2">
        <f>S991+IF(LEN($AC$992)&gt;0,1,0)</f>
        <v/>
      </c>
      <c r="T992" s="2">
        <f>T991+IF(LEN($AD$992)&gt;0,1,0)</f>
        <v/>
      </c>
      <c r="U992" s="2">
        <f>U991+IF(LEN($AE$992)&gt;0,1,0)</f>
        <v/>
      </c>
      <c r="V992" s="2">
        <f>V991+IF(LEN($AF$992)&gt;0,1,0)</f>
        <v/>
      </c>
      <c r="X992" s="2">
        <f>IF(ISERROR($B$992),"",IF(ISBLANK($B$992),"",$B$992))</f>
        <v/>
      </c>
      <c r="Y992" s="2">
        <f>IF(ISERROR($C$992),"",IF(ISBLANK($C$992),"",$C$992))</f>
        <v/>
      </c>
      <c r="Z992" s="2">
        <f>IF(ISERROR($D$992),"",IF(ISBLANK($D$992),"",$D$992))</f>
        <v/>
      </c>
      <c r="AA992" s="2">
        <f>IF(ISERROR($E$992),"",IF(ISBLANK($E$992),"",$E$992))</f>
        <v/>
      </c>
      <c r="AB992" s="2">
        <f>IF(ISERROR($F$992),"",IF(ISBLANK($F$992),"",$F$992))</f>
        <v/>
      </c>
      <c r="AC992" s="2">
        <f>IF(ISERROR($G$992),"",IF(ISBLANK($G$992),"",$G$992))</f>
        <v/>
      </c>
      <c r="AD992" s="2">
        <f>IF(ISERROR($H$992),"",IF(ISBLANK($H$992),"",$H$992))</f>
        <v/>
      </c>
      <c r="AE992" s="2">
        <f>IF(ISERROR($I$992),"",IF(ISBLANK($I$992),"",$I$992))</f>
        <v/>
      </c>
      <c r="AF992" s="2">
        <f>IF(ISERROR($J$992),"",IF(ISBLANK($J$992),"",$J$992))</f>
        <v/>
      </c>
      <c r="AG992" s="2">
        <f>ISERROR($B$992)*1+ISERROR($C$992)*1+ISERROR($D$992)*1+ISERROR($E$992)*1+ISERROR($F$992)*1+ISERROR($G$992)*1+ISERROR($H$992)*1+ISERROR($I$992)*1+ISERROR($J$992)*1</f>
        <v/>
      </c>
    </row>
    <row r="993" ht="26" customHeight="1">
      <c r="B993" s="35" t="n"/>
      <c r="C993" s="29" t="n"/>
      <c r="D993" s="29" t="n"/>
      <c r="E993" s="29" t="n"/>
      <c r="F993" s="29" t="n"/>
      <c r="G993" s="29" t="n"/>
      <c r="H993" s="29" t="n"/>
      <c r="I993" s="29" t="n"/>
      <c r="J993" s="29" t="n"/>
      <c r="K993" s="19">
        <f>IF(AG993&gt;0,"O Google leu como fórmula: digite de novo com ' na frente.","")</f>
        <v/>
      </c>
      <c r="N993" s="2">
        <f>N992+IF(LEN($X$993)&gt;0,1,0)</f>
        <v/>
      </c>
      <c r="O993" s="2">
        <f>O992+IF(LEN($Y$993)&gt;0,1,0)</f>
        <v/>
      </c>
      <c r="P993" s="2">
        <f>P992+IF(LEN($Z$993)&gt;0,1,0)</f>
        <v/>
      </c>
      <c r="Q993" s="2">
        <f>Q992+IF(LEN($AA$993)&gt;0,1,0)</f>
        <v/>
      </c>
      <c r="R993" s="2">
        <f>R992+IF(LEN($AB$993)&gt;0,1,0)</f>
        <v/>
      </c>
      <c r="S993" s="2">
        <f>S992+IF(LEN($AC$993)&gt;0,1,0)</f>
        <v/>
      </c>
      <c r="T993" s="2">
        <f>T992+IF(LEN($AD$993)&gt;0,1,0)</f>
        <v/>
      </c>
      <c r="U993" s="2">
        <f>U992+IF(LEN($AE$993)&gt;0,1,0)</f>
        <v/>
      </c>
      <c r="V993" s="2">
        <f>V992+IF(LEN($AF$993)&gt;0,1,0)</f>
        <v/>
      </c>
      <c r="X993" s="2">
        <f>IF(ISERROR($B$993),"",IF(ISBLANK($B$993),"",$B$993))</f>
        <v/>
      </c>
      <c r="Y993" s="2">
        <f>IF(ISERROR($C$993),"",IF(ISBLANK($C$993),"",$C$993))</f>
        <v/>
      </c>
      <c r="Z993" s="2">
        <f>IF(ISERROR($D$993),"",IF(ISBLANK($D$993),"",$D$993))</f>
        <v/>
      </c>
      <c r="AA993" s="2">
        <f>IF(ISERROR($E$993),"",IF(ISBLANK($E$993),"",$E$993))</f>
        <v/>
      </c>
      <c r="AB993" s="2">
        <f>IF(ISERROR($F$993),"",IF(ISBLANK($F$993),"",$F$993))</f>
        <v/>
      </c>
      <c r="AC993" s="2">
        <f>IF(ISERROR($G$993),"",IF(ISBLANK($G$993),"",$G$993))</f>
        <v/>
      </c>
      <c r="AD993" s="2">
        <f>IF(ISERROR($H$993),"",IF(ISBLANK($H$993),"",$H$993))</f>
        <v/>
      </c>
      <c r="AE993" s="2">
        <f>IF(ISERROR($I$993),"",IF(ISBLANK($I$993),"",$I$993))</f>
        <v/>
      </c>
      <c r="AF993" s="2">
        <f>IF(ISERROR($J$993),"",IF(ISBLANK($J$993),"",$J$993))</f>
        <v/>
      </c>
      <c r="AG993" s="2">
        <f>ISERROR($B$993)*1+ISERROR($C$993)*1+ISERROR($D$993)*1+ISERROR($E$993)*1+ISERROR($F$993)*1+ISERROR($G$993)*1+ISERROR($H$993)*1+ISERROR($I$993)*1+ISERROR($J$993)*1</f>
        <v/>
      </c>
    </row>
    <row r="994" ht="26" customHeight="1">
      <c r="B994" s="33" t="n"/>
      <c r="C994" s="4" t="n"/>
      <c r="D994" s="4" t="n"/>
      <c r="E994" s="4" t="n"/>
      <c r="F994" s="4" t="n"/>
      <c r="G994" s="4" t="n"/>
      <c r="H994" s="4" t="n"/>
      <c r="I994" s="4" t="n"/>
      <c r="J994" s="4" t="n"/>
      <c r="K994" s="19">
        <f>IF(AG994&gt;0,"O Google leu como fórmula: digite de novo com ' na frente.","")</f>
        <v/>
      </c>
      <c r="N994" s="2">
        <f>N993+IF(LEN($X$994)&gt;0,1,0)</f>
        <v/>
      </c>
      <c r="O994" s="2">
        <f>O993+IF(LEN($Y$994)&gt;0,1,0)</f>
        <v/>
      </c>
      <c r="P994" s="2">
        <f>P993+IF(LEN($Z$994)&gt;0,1,0)</f>
        <v/>
      </c>
      <c r="Q994" s="2">
        <f>Q993+IF(LEN($AA$994)&gt;0,1,0)</f>
        <v/>
      </c>
      <c r="R994" s="2">
        <f>R993+IF(LEN($AB$994)&gt;0,1,0)</f>
        <v/>
      </c>
      <c r="S994" s="2">
        <f>S993+IF(LEN($AC$994)&gt;0,1,0)</f>
        <v/>
      </c>
      <c r="T994" s="2">
        <f>T993+IF(LEN($AD$994)&gt;0,1,0)</f>
        <v/>
      </c>
      <c r="U994" s="2">
        <f>U993+IF(LEN($AE$994)&gt;0,1,0)</f>
        <v/>
      </c>
      <c r="V994" s="2">
        <f>V993+IF(LEN($AF$994)&gt;0,1,0)</f>
        <v/>
      </c>
      <c r="X994" s="2">
        <f>IF(ISERROR($B$994),"",IF(ISBLANK($B$994),"",$B$994))</f>
        <v/>
      </c>
      <c r="Y994" s="2">
        <f>IF(ISERROR($C$994),"",IF(ISBLANK($C$994),"",$C$994))</f>
        <v/>
      </c>
      <c r="Z994" s="2">
        <f>IF(ISERROR($D$994),"",IF(ISBLANK($D$994),"",$D$994))</f>
        <v/>
      </c>
      <c r="AA994" s="2">
        <f>IF(ISERROR($E$994),"",IF(ISBLANK($E$994),"",$E$994))</f>
        <v/>
      </c>
      <c r="AB994" s="2">
        <f>IF(ISERROR($F$994),"",IF(ISBLANK($F$994),"",$F$994))</f>
        <v/>
      </c>
      <c r="AC994" s="2">
        <f>IF(ISERROR($G$994),"",IF(ISBLANK($G$994),"",$G$994))</f>
        <v/>
      </c>
      <c r="AD994" s="2">
        <f>IF(ISERROR($H$994),"",IF(ISBLANK($H$994),"",$H$994))</f>
        <v/>
      </c>
      <c r="AE994" s="2">
        <f>IF(ISERROR($I$994),"",IF(ISBLANK($I$994),"",$I$994))</f>
        <v/>
      </c>
      <c r="AF994" s="2">
        <f>IF(ISERROR($J$994),"",IF(ISBLANK($J$994),"",$J$994))</f>
        <v/>
      </c>
      <c r="AG994" s="2">
        <f>ISERROR($B$994)*1+ISERROR($C$994)*1+ISERROR($D$994)*1+ISERROR($E$994)*1+ISERROR($F$994)*1+ISERROR($G$994)*1+ISERROR($H$994)*1+ISERROR($I$994)*1+ISERROR($J$994)*1</f>
        <v/>
      </c>
    </row>
    <row r="995" ht="26" customHeight="1">
      <c r="B995" s="35" t="n"/>
      <c r="C995" s="29" t="n"/>
      <c r="D995" s="29" t="n"/>
      <c r="E995" s="29" t="n"/>
      <c r="F995" s="29" t="n"/>
      <c r="G995" s="29" t="n"/>
      <c r="H995" s="29" t="n"/>
      <c r="I995" s="29" t="n"/>
      <c r="J995" s="29" t="n"/>
      <c r="K995" s="19">
        <f>IF(AG995&gt;0,"O Google leu como fórmula: digite de novo com ' na frente.","")</f>
        <v/>
      </c>
      <c r="N995" s="2">
        <f>N994+IF(LEN($X$995)&gt;0,1,0)</f>
        <v/>
      </c>
      <c r="O995" s="2">
        <f>O994+IF(LEN($Y$995)&gt;0,1,0)</f>
        <v/>
      </c>
      <c r="P995" s="2">
        <f>P994+IF(LEN($Z$995)&gt;0,1,0)</f>
        <v/>
      </c>
      <c r="Q995" s="2">
        <f>Q994+IF(LEN($AA$995)&gt;0,1,0)</f>
        <v/>
      </c>
      <c r="R995" s="2">
        <f>R994+IF(LEN($AB$995)&gt;0,1,0)</f>
        <v/>
      </c>
      <c r="S995" s="2">
        <f>S994+IF(LEN($AC$995)&gt;0,1,0)</f>
        <v/>
      </c>
      <c r="T995" s="2">
        <f>T994+IF(LEN($AD$995)&gt;0,1,0)</f>
        <v/>
      </c>
      <c r="U995" s="2">
        <f>U994+IF(LEN($AE$995)&gt;0,1,0)</f>
        <v/>
      </c>
      <c r="V995" s="2">
        <f>V994+IF(LEN($AF$995)&gt;0,1,0)</f>
        <v/>
      </c>
      <c r="X995" s="2">
        <f>IF(ISERROR($B$995),"",IF(ISBLANK($B$995),"",$B$995))</f>
        <v/>
      </c>
      <c r="Y995" s="2">
        <f>IF(ISERROR($C$995),"",IF(ISBLANK($C$995),"",$C$995))</f>
        <v/>
      </c>
      <c r="Z995" s="2">
        <f>IF(ISERROR($D$995),"",IF(ISBLANK($D$995),"",$D$995))</f>
        <v/>
      </c>
      <c r="AA995" s="2">
        <f>IF(ISERROR($E$995),"",IF(ISBLANK($E$995),"",$E$995))</f>
        <v/>
      </c>
      <c r="AB995" s="2">
        <f>IF(ISERROR($F$995),"",IF(ISBLANK($F$995),"",$F$995))</f>
        <v/>
      </c>
      <c r="AC995" s="2">
        <f>IF(ISERROR($G$995),"",IF(ISBLANK($G$995),"",$G$995))</f>
        <v/>
      </c>
      <c r="AD995" s="2">
        <f>IF(ISERROR($H$995),"",IF(ISBLANK($H$995),"",$H$995))</f>
        <v/>
      </c>
      <c r="AE995" s="2">
        <f>IF(ISERROR($I$995),"",IF(ISBLANK($I$995),"",$I$995))</f>
        <v/>
      </c>
      <c r="AF995" s="2">
        <f>IF(ISERROR($J$995),"",IF(ISBLANK($J$995),"",$J$995))</f>
        <v/>
      </c>
      <c r="AG995" s="2">
        <f>ISERROR($B$995)*1+ISERROR($C$995)*1+ISERROR($D$995)*1+ISERROR($E$995)*1+ISERROR($F$995)*1+ISERROR($G$995)*1+ISERROR($H$995)*1+ISERROR($I$995)*1+ISERROR($J$995)*1</f>
        <v/>
      </c>
    </row>
    <row r="996" ht="26" customHeight="1">
      <c r="B996" s="33" t="n"/>
      <c r="C996" s="4" t="n"/>
      <c r="D996" s="4" t="n"/>
      <c r="E996" s="4" t="n"/>
      <c r="F996" s="4" t="n"/>
      <c r="G996" s="4" t="n"/>
      <c r="H996" s="4" t="n"/>
      <c r="I996" s="4" t="n"/>
      <c r="J996" s="4" t="n"/>
      <c r="K996" s="19">
        <f>IF(AG996&gt;0,"O Google leu como fórmula: digite de novo com ' na frente.","")</f>
        <v/>
      </c>
      <c r="N996" s="2">
        <f>N995+IF(LEN($X$996)&gt;0,1,0)</f>
        <v/>
      </c>
      <c r="O996" s="2">
        <f>O995+IF(LEN($Y$996)&gt;0,1,0)</f>
        <v/>
      </c>
      <c r="P996" s="2">
        <f>P995+IF(LEN($Z$996)&gt;0,1,0)</f>
        <v/>
      </c>
      <c r="Q996" s="2">
        <f>Q995+IF(LEN($AA$996)&gt;0,1,0)</f>
        <v/>
      </c>
      <c r="R996" s="2">
        <f>R995+IF(LEN($AB$996)&gt;0,1,0)</f>
        <v/>
      </c>
      <c r="S996" s="2">
        <f>S995+IF(LEN($AC$996)&gt;0,1,0)</f>
        <v/>
      </c>
      <c r="T996" s="2">
        <f>T995+IF(LEN($AD$996)&gt;0,1,0)</f>
        <v/>
      </c>
      <c r="U996" s="2">
        <f>U995+IF(LEN($AE$996)&gt;0,1,0)</f>
        <v/>
      </c>
      <c r="V996" s="2">
        <f>V995+IF(LEN($AF$996)&gt;0,1,0)</f>
        <v/>
      </c>
      <c r="X996" s="2">
        <f>IF(ISERROR($B$996),"",IF(ISBLANK($B$996),"",$B$996))</f>
        <v/>
      </c>
      <c r="Y996" s="2">
        <f>IF(ISERROR($C$996),"",IF(ISBLANK($C$996),"",$C$996))</f>
        <v/>
      </c>
      <c r="Z996" s="2">
        <f>IF(ISERROR($D$996),"",IF(ISBLANK($D$996),"",$D$996))</f>
        <v/>
      </c>
      <c r="AA996" s="2">
        <f>IF(ISERROR($E$996),"",IF(ISBLANK($E$996),"",$E$996))</f>
        <v/>
      </c>
      <c r="AB996" s="2">
        <f>IF(ISERROR($F$996),"",IF(ISBLANK($F$996),"",$F$996))</f>
        <v/>
      </c>
      <c r="AC996" s="2">
        <f>IF(ISERROR($G$996),"",IF(ISBLANK($G$996),"",$G$996))</f>
        <v/>
      </c>
      <c r="AD996" s="2">
        <f>IF(ISERROR($H$996),"",IF(ISBLANK($H$996),"",$H$996))</f>
        <v/>
      </c>
      <c r="AE996" s="2">
        <f>IF(ISERROR($I$996),"",IF(ISBLANK($I$996),"",$I$996))</f>
        <v/>
      </c>
      <c r="AF996" s="2">
        <f>IF(ISERROR($J$996),"",IF(ISBLANK($J$996),"",$J$996))</f>
        <v/>
      </c>
      <c r="AG996" s="2">
        <f>ISERROR($B$996)*1+ISERROR($C$996)*1+ISERROR($D$996)*1+ISERROR($E$996)*1+ISERROR($F$996)*1+ISERROR($G$996)*1+ISERROR($H$996)*1+ISERROR($I$996)*1+ISERROR($J$996)*1</f>
        <v/>
      </c>
    </row>
    <row r="997" ht="26" customHeight="1">
      <c r="B997" s="35" t="n"/>
      <c r="C997" s="29" t="n"/>
      <c r="D997" s="29" t="n"/>
      <c r="E997" s="29" t="n"/>
      <c r="F997" s="29" t="n"/>
      <c r="G997" s="29" t="n"/>
      <c r="H997" s="29" t="n"/>
      <c r="I997" s="29" t="n"/>
      <c r="J997" s="29" t="n"/>
      <c r="K997" s="19">
        <f>IF(AG997&gt;0,"O Google leu como fórmula: digite de novo com ' na frente.","")</f>
        <v/>
      </c>
      <c r="N997" s="2">
        <f>N996+IF(LEN($X$997)&gt;0,1,0)</f>
        <v/>
      </c>
      <c r="O997" s="2">
        <f>O996+IF(LEN($Y$997)&gt;0,1,0)</f>
        <v/>
      </c>
      <c r="P997" s="2">
        <f>P996+IF(LEN($Z$997)&gt;0,1,0)</f>
        <v/>
      </c>
      <c r="Q997" s="2">
        <f>Q996+IF(LEN($AA$997)&gt;0,1,0)</f>
        <v/>
      </c>
      <c r="R997" s="2">
        <f>R996+IF(LEN($AB$997)&gt;0,1,0)</f>
        <v/>
      </c>
      <c r="S997" s="2">
        <f>S996+IF(LEN($AC$997)&gt;0,1,0)</f>
        <v/>
      </c>
      <c r="T997" s="2">
        <f>T996+IF(LEN($AD$997)&gt;0,1,0)</f>
        <v/>
      </c>
      <c r="U997" s="2">
        <f>U996+IF(LEN($AE$997)&gt;0,1,0)</f>
        <v/>
      </c>
      <c r="V997" s="2">
        <f>V996+IF(LEN($AF$997)&gt;0,1,0)</f>
        <v/>
      </c>
      <c r="X997" s="2">
        <f>IF(ISERROR($B$997),"",IF(ISBLANK($B$997),"",$B$997))</f>
        <v/>
      </c>
      <c r="Y997" s="2">
        <f>IF(ISERROR($C$997),"",IF(ISBLANK($C$997),"",$C$997))</f>
        <v/>
      </c>
      <c r="Z997" s="2">
        <f>IF(ISERROR($D$997),"",IF(ISBLANK($D$997),"",$D$997))</f>
        <v/>
      </c>
      <c r="AA997" s="2">
        <f>IF(ISERROR($E$997),"",IF(ISBLANK($E$997),"",$E$997))</f>
        <v/>
      </c>
      <c r="AB997" s="2">
        <f>IF(ISERROR($F$997),"",IF(ISBLANK($F$997),"",$F$997))</f>
        <v/>
      </c>
      <c r="AC997" s="2">
        <f>IF(ISERROR($G$997),"",IF(ISBLANK($G$997),"",$G$997))</f>
        <v/>
      </c>
      <c r="AD997" s="2">
        <f>IF(ISERROR($H$997),"",IF(ISBLANK($H$997),"",$H$997))</f>
        <v/>
      </c>
      <c r="AE997" s="2">
        <f>IF(ISERROR($I$997),"",IF(ISBLANK($I$997),"",$I$997))</f>
        <v/>
      </c>
      <c r="AF997" s="2">
        <f>IF(ISERROR($J$997),"",IF(ISBLANK($J$997),"",$J$997))</f>
        <v/>
      </c>
      <c r="AG997" s="2">
        <f>ISERROR($B$997)*1+ISERROR($C$997)*1+ISERROR($D$997)*1+ISERROR($E$997)*1+ISERROR($F$997)*1+ISERROR($G$997)*1+ISERROR($H$997)*1+ISERROR($I$997)*1+ISERROR($J$997)*1</f>
        <v/>
      </c>
    </row>
    <row r="998" ht="26" customHeight="1">
      <c r="B998" s="33" t="n"/>
      <c r="C998" s="4" t="n"/>
      <c r="D998" s="4" t="n"/>
      <c r="E998" s="4" t="n"/>
      <c r="F998" s="4" t="n"/>
      <c r="G998" s="4" t="n"/>
      <c r="H998" s="4" t="n"/>
      <c r="I998" s="4" t="n"/>
      <c r="J998" s="4" t="n"/>
      <c r="K998" s="19">
        <f>IF(AG998&gt;0,"O Google leu como fórmula: digite de novo com ' na frente.","")</f>
        <v/>
      </c>
      <c r="N998" s="2">
        <f>N997+IF(LEN($X$998)&gt;0,1,0)</f>
        <v/>
      </c>
      <c r="O998" s="2">
        <f>O997+IF(LEN($Y$998)&gt;0,1,0)</f>
        <v/>
      </c>
      <c r="P998" s="2">
        <f>P997+IF(LEN($Z$998)&gt;0,1,0)</f>
        <v/>
      </c>
      <c r="Q998" s="2">
        <f>Q997+IF(LEN($AA$998)&gt;0,1,0)</f>
        <v/>
      </c>
      <c r="R998" s="2">
        <f>R997+IF(LEN($AB$998)&gt;0,1,0)</f>
        <v/>
      </c>
      <c r="S998" s="2">
        <f>S997+IF(LEN($AC$998)&gt;0,1,0)</f>
        <v/>
      </c>
      <c r="T998" s="2">
        <f>T997+IF(LEN($AD$998)&gt;0,1,0)</f>
        <v/>
      </c>
      <c r="U998" s="2">
        <f>U997+IF(LEN($AE$998)&gt;0,1,0)</f>
        <v/>
      </c>
      <c r="V998" s="2">
        <f>V997+IF(LEN($AF$998)&gt;0,1,0)</f>
        <v/>
      </c>
      <c r="X998" s="2">
        <f>IF(ISERROR($B$998),"",IF(ISBLANK($B$998),"",$B$998))</f>
        <v/>
      </c>
      <c r="Y998" s="2">
        <f>IF(ISERROR($C$998),"",IF(ISBLANK($C$998),"",$C$998))</f>
        <v/>
      </c>
      <c r="Z998" s="2">
        <f>IF(ISERROR($D$998),"",IF(ISBLANK($D$998),"",$D$998))</f>
        <v/>
      </c>
      <c r="AA998" s="2">
        <f>IF(ISERROR($E$998),"",IF(ISBLANK($E$998),"",$E$998))</f>
        <v/>
      </c>
      <c r="AB998" s="2">
        <f>IF(ISERROR($F$998),"",IF(ISBLANK($F$998),"",$F$998))</f>
        <v/>
      </c>
      <c r="AC998" s="2">
        <f>IF(ISERROR($G$998),"",IF(ISBLANK($G$998),"",$G$998))</f>
        <v/>
      </c>
      <c r="AD998" s="2">
        <f>IF(ISERROR($H$998),"",IF(ISBLANK($H$998),"",$H$998))</f>
        <v/>
      </c>
      <c r="AE998" s="2">
        <f>IF(ISERROR($I$998),"",IF(ISBLANK($I$998),"",$I$998))</f>
        <v/>
      </c>
      <c r="AF998" s="2">
        <f>IF(ISERROR($J$998),"",IF(ISBLANK($J$998),"",$J$998))</f>
        <v/>
      </c>
      <c r="AG998" s="2">
        <f>ISERROR($B$998)*1+ISERROR($C$998)*1+ISERROR($D$998)*1+ISERROR($E$998)*1+ISERROR($F$998)*1+ISERROR($G$998)*1+ISERROR($H$998)*1+ISERROR($I$998)*1+ISERROR($J$998)*1</f>
        <v/>
      </c>
    </row>
    <row r="999" ht="26" customHeight="1">
      <c r="B999" s="35" t="n"/>
      <c r="C999" s="29" t="n"/>
      <c r="D999" s="29" t="n"/>
      <c r="E999" s="29" t="n"/>
      <c r="F999" s="29" t="n"/>
      <c r="G999" s="29" t="n"/>
      <c r="H999" s="29" t="n"/>
      <c r="I999" s="29" t="n"/>
      <c r="J999" s="29" t="n"/>
      <c r="K999" s="19">
        <f>IF(AG999&gt;0,"O Google leu como fórmula: digite de novo com ' na frente.","")</f>
        <v/>
      </c>
      <c r="N999" s="2">
        <f>N998+IF(LEN($X$999)&gt;0,1,0)</f>
        <v/>
      </c>
      <c r="O999" s="2">
        <f>O998+IF(LEN($Y$999)&gt;0,1,0)</f>
        <v/>
      </c>
      <c r="P999" s="2">
        <f>P998+IF(LEN($Z$999)&gt;0,1,0)</f>
        <v/>
      </c>
      <c r="Q999" s="2">
        <f>Q998+IF(LEN($AA$999)&gt;0,1,0)</f>
        <v/>
      </c>
      <c r="R999" s="2">
        <f>R998+IF(LEN($AB$999)&gt;0,1,0)</f>
        <v/>
      </c>
      <c r="S999" s="2">
        <f>S998+IF(LEN($AC$999)&gt;0,1,0)</f>
        <v/>
      </c>
      <c r="T999" s="2">
        <f>T998+IF(LEN($AD$999)&gt;0,1,0)</f>
        <v/>
      </c>
      <c r="U999" s="2">
        <f>U998+IF(LEN($AE$999)&gt;0,1,0)</f>
        <v/>
      </c>
      <c r="V999" s="2">
        <f>V998+IF(LEN($AF$999)&gt;0,1,0)</f>
        <v/>
      </c>
      <c r="X999" s="2">
        <f>IF(ISERROR($B$999),"",IF(ISBLANK($B$999),"",$B$999))</f>
        <v/>
      </c>
      <c r="Y999" s="2">
        <f>IF(ISERROR($C$999),"",IF(ISBLANK($C$999),"",$C$999))</f>
        <v/>
      </c>
      <c r="Z999" s="2">
        <f>IF(ISERROR($D$999),"",IF(ISBLANK($D$999),"",$D$999))</f>
        <v/>
      </c>
      <c r="AA999" s="2">
        <f>IF(ISERROR($E$999),"",IF(ISBLANK($E$999),"",$E$999))</f>
        <v/>
      </c>
      <c r="AB999" s="2">
        <f>IF(ISERROR($F$999),"",IF(ISBLANK($F$999),"",$F$999))</f>
        <v/>
      </c>
      <c r="AC999" s="2">
        <f>IF(ISERROR($G$999),"",IF(ISBLANK($G$999),"",$G$999))</f>
        <v/>
      </c>
      <c r="AD999" s="2">
        <f>IF(ISERROR($H$999),"",IF(ISBLANK($H$999),"",$H$999))</f>
        <v/>
      </c>
      <c r="AE999" s="2">
        <f>IF(ISERROR($I$999),"",IF(ISBLANK($I$999),"",$I$999))</f>
        <v/>
      </c>
      <c r="AF999" s="2">
        <f>IF(ISERROR($J$999),"",IF(ISBLANK($J$999),"",$J$999))</f>
        <v/>
      </c>
      <c r="AG999" s="2">
        <f>ISERROR($B$999)*1+ISERROR($C$999)*1+ISERROR($D$999)*1+ISERROR($E$999)*1+ISERROR($F$999)*1+ISERROR($G$999)*1+ISERROR($H$999)*1+ISERROR($I$999)*1+ISERROR($J$999)*1</f>
        <v/>
      </c>
    </row>
    <row r="1000" ht="26" customHeight="1">
      <c r="B1000" s="33" t="n"/>
      <c r="C1000" s="4" t="n"/>
      <c r="D1000" s="4" t="n"/>
      <c r="E1000" s="4" t="n"/>
      <c r="F1000" s="4" t="n"/>
      <c r="G1000" s="4" t="n"/>
      <c r="H1000" s="4" t="n"/>
      <c r="I1000" s="4" t="n"/>
      <c r="J1000" s="4" t="n"/>
      <c r="K1000" s="19">
        <f>IF(AG1000&gt;0,"O Google leu como fórmula: digite de novo com ' na frente.","")</f>
        <v/>
      </c>
      <c r="N1000" s="2">
        <f>N999+IF(LEN($X$1000)&gt;0,1,0)</f>
        <v/>
      </c>
      <c r="O1000" s="2">
        <f>O999+IF(LEN($Y$1000)&gt;0,1,0)</f>
        <v/>
      </c>
      <c r="P1000" s="2">
        <f>P999+IF(LEN($Z$1000)&gt;0,1,0)</f>
        <v/>
      </c>
      <c r="Q1000" s="2">
        <f>Q999+IF(LEN($AA$1000)&gt;0,1,0)</f>
        <v/>
      </c>
      <c r="R1000" s="2">
        <f>R999+IF(LEN($AB$1000)&gt;0,1,0)</f>
        <v/>
      </c>
      <c r="S1000" s="2">
        <f>S999+IF(LEN($AC$1000)&gt;0,1,0)</f>
        <v/>
      </c>
      <c r="T1000" s="2">
        <f>T999+IF(LEN($AD$1000)&gt;0,1,0)</f>
        <v/>
      </c>
      <c r="U1000" s="2">
        <f>U999+IF(LEN($AE$1000)&gt;0,1,0)</f>
        <v/>
      </c>
      <c r="V1000" s="2">
        <f>V999+IF(LEN($AF$1000)&gt;0,1,0)</f>
        <v/>
      </c>
      <c r="X1000" s="2">
        <f>IF(ISERROR($B$1000),"",IF(ISBLANK($B$1000),"",$B$1000))</f>
        <v/>
      </c>
      <c r="Y1000" s="2">
        <f>IF(ISERROR($C$1000),"",IF(ISBLANK($C$1000),"",$C$1000))</f>
        <v/>
      </c>
      <c r="Z1000" s="2">
        <f>IF(ISERROR($D$1000),"",IF(ISBLANK($D$1000),"",$D$1000))</f>
        <v/>
      </c>
      <c r="AA1000" s="2">
        <f>IF(ISERROR($E$1000),"",IF(ISBLANK($E$1000),"",$E$1000))</f>
        <v/>
      </c>
      <c r="AB1000" s="2">
        <f>IF(ISERROR($F$1000),"",IF(ISBLANK($F$1000),"",$F$1000))</f>
        <v/>
      </c>
      <c r="AC1000" s="2">
        <f>IF(ISERROR($G$1000),"",IF(ISBLANK($G$1000),"",$G$1000))</f>
        <v/>
      </c>
      <c r="AD1000" s="2">
        <f>IF(ISERROR($H$1000),"",IF(ISBLANK($H$1000),"",$H$1000))</f>
        <v/>
      </c>
      <c r="AE1000" s="2">
        <f>IF(ISERROR($I$1000),"",IF(ISBLANK($I$1000),"",$I$1000))</f>
        <v/>
      </c>
      <c r="AF1000" s="2">
        <f>IF(ISERROR($J$1000),"",IF(ISBLANK($J$1000),"",$J$1000))</f>
        <v/>
      </c>
      <c r="AG1000" s="2">
        <f>ISERROR($B$1000)*1+ISERROR($C$1000)*1+ISERROR($D$1000)*1+ISERROR($E$1000)*1+ISERROR($F$1000)*1+ISERROR($G$1000)*1+ISERROR($H$1000)*1+ISERROR($I$1000)*1+ISERROR($J$1000)*1</f>
        <v/>
      </c>
    </row>
    <row r="1001" ht="26" customHeight="1">
      <c r="B1001" s="8" t="inlineStr">
        <is>
          <t>Tipo de mundo</t>
        </is>
      </c>
      <c r="C1001" s="8" t="inlineStr">
        <is>
          <t>Condição marcante</t>
        </is>
      </c>
      <c r="D1001" s="8" t="inlineStr">
        <is>
          <t>O que fazem de manhã (27.17)</t>
        </is>
      </c>
      <c r="E1001" s="8" t="inlineStr">
        <is>
          <t>O que pararam de fazer (27.17)</t>
        </is>
      </c>
      <c r="F1001" s="8" t="inlineStr">
        <is>
          <t>Presença: Stellaron ou Fragmentum (peso)</t>
        </is>
      </c>
      <c r="G1001" s="8" t="inlineStr">
        <is>
          <t>Função da estação</t>
        </is>
      </c>
      <c r="H1001" s="8" t="inlineStr">
        <is>
          <t>Problema da estação</t>
        </is>
      </c>
      <c r="I1001" s="8" t="inlineStr">
        <is>
          <t>Classe da nave</t>
        </is>
      </c>
      <c r="J1001" s="8" t="inlineStr">
        <is>
          <t>Peculiaridade da nave</t>
        </is>
      </c>
      <c r="N1001" s="2">
        <f>N1000</f>
        <v/>
      </c>
      <c r="O1001" s="2">
        <f>O1000</f>
        <v/>
      </c>
      <c r="P1001" s="2">
        <f>P1000</f>
        <v/>
      </c>
      <c r="Q1001" s="2">
        <f>Q1000</f>
        <v/>
      </c>
      <c r="R1001" s="2">
        <f>R1000</f>
        <v/>
      </c>
      <c r="S1001" s="2">
        <f>S1000</f>
        <v/>
      </c>
      <c r="T1001" s="2">
        <f>T1000</f>
        <v/>
      </c>
      <c r="U1001" s="2">
        <f>U1000</f>
        <v/>
      </c>
      <c r="V1001" s="2">
        <f>V1000</f>
        <v/>
      </c>
      <c r="X1001" s="2">
        <f>IF(ISERROR($B$1001),"",IF(ISBLANK($B$1001),"",$B$1001))</f>
        <v/>
      </c>
      <c r="Y1001" s="2">
        <f>IF(ISERROR($C$1001),"",IF(ISBLANK($C$1001),"",$C$1001))</f>
        <v/>
      </c>
      <c r="Z1001" s="2">
        <f>IF(ISERROR($D$1001),"",IF(ISBLANK($D$1001),"",$D$1001))</f>
        <v/>
      </c>
      <c r="AA1001" s="2">
        <f>IF(ISERROR($E$1001),"",IF(ISBLANK($E$1001),"",$E$1001))</f>
        <v/>
      </c>
      <c r="AB1001" s="2">
        <f>IF(ISERROR($F$1001),"",IF(ISBLANK($F$1001),"",$F$1001))</f>
        <v/>
      </c>
      <c r="AC1001" s="2">
        <f>IF(ISERROR($G$1001),"",IF(ISBLANK($G$1001),"",$G$1001))</f>
        <v/>
      </c>
      <c r="AD1001" s="2">
        <f>IF(ISERROR($H$1001),"",IF(ISBLANK($H$1001),"",$H$1001))</f>
        <v/>
      </c>
      <c r="AE1001" s="2">
        <f>IF(ISERROR($I$1001),"",IF(ISBLANK($I$1001),"",$I$1001))</f>
        <v/>
      </c>
      <c r="AF1001" s="2">
        <f>IF(ISERROR($J$1001),"",IF(ISBLANK($J$1001),"",$J$1001))</f>
        <v/>
      </c>
    </row>
    <row r="1002" ht="26" customHeight="1">
      <c r="B1002" s="33" t="n"/>
      <c r="C1002" s="4" t="n"/>
      <c r="D1002" s="4" t="n"/>
      <c r="E1002" s="4" t="n"/>
      <c r="F1002" s="4" t="n"/>
      <c r="G1002" s="4" t="n"/>
      <c r="H1002" s="4" t="n"/>
      <c r="I1002" s="4" t="n"/>
      <c r="J1002" s="4" t="n"/>
      <c r="K1002" s="19">
        <f>IF(AG1002&gt;0,"O Google leu como fórmula: digite de novo com ' na frente.","")</f>
        <v/>
      </c>
      <c r="N1002" s="2">
        <f>N1001+IF(LEN($X$1002)&gt;0,1,0)</f>
        <v/>
      </c>
      <c r="O1002" s="2">
        <f>O1001+IF(LEN($Y$1002)&gt;0,1,0)</f>
        <v/>
      </c>
      <c r="P1002" s="2">
        <f>P1001+IF(LEN($Z$1002)&gt;0,1,0)</f>
        <v/>
      </c>
      <c r="Q1002" s="2">
        <f>Q1001+IF(LEN($AA$1002)&gt;0,1,0)</f>
        <v/>
      </c>
      <c r="R1002" s="2">
        <f>R1001+IF(LEN($AB$1002)&gt;0,1,0)</f>
        <v/>
      </c>
      <c r="S1002" s="2">
        <f>S1001+IF(LEN($AC$1002)&gt;0,1,0)</f>
        <v/>
      </c>
      <c r="T1002" s="2">
        <f>T1001+IF(LEN($AD$1002)&gt;0,1,0)</f>
        <v/>
      </c>
      <c r="U1002" s="2">
        <f>U1001+IF(LEN($AE$1002)&gt;0,1,0)</f>
        <v/>
      </c>
      <c r="V1002" s="2">
        <f>V1001+IF(LEN($AF$1002)&gt;0,1,0)</f>
        <v/>
      </c>
      <c r="X1002" s="2">
        <f>IF(ISERROR($B$1002),"",IF(ISBLANK($B$1002),"",$B$1002))</f>
        <v/>
      </c>
      <c r="Y1002" s="2">
        <f>IF(ISERROR($C$1002),"",IF(ISBLANK($C$1002),"",$C$1002))</f>
        <v/>
      </c>
      <c r="Z1002" s="2">
        <f>IF(ISERROR($D$1002),"",IF(ISBLANK($D$1002),"",$D$1002))</f>
        <v/>
      </c>
      <c r="AA1002" s="2">
        <f>IF(ISERROR($E$1002),"",IF(ISBLANK($E$1002),"",$E$1002))</f>
        <v/>
      </c>
      <c r="AB1002" s="2">
        <f>IF(ISERROR($F$1002),"",IF(ISBLANK($F$1002),"",$F$1002))</f>
        <v/>
      </c>
      <c r="AC1002" s="2">
        <f>IF(ISERROR($G$1002),"",IF(ISBLANK($G$1002),"",$G$1002))</f>
        <v/>
      </c>
      <c r="AD1002" s="2">
        <f>IF(ISERROR($H$1002),"",IF(ISBLANK($H$1002),"",$H$1002))</f>
        <v/>
      </c>
      <c r="AE1002" s="2">
        <f>IF(ISERROR($I$1002),"",IF(ISBLANK($I$1002),"",$I$1002))</f>
        <v/>
      </c>
      <c r="AF1002" s="2">
        <f>IF(ISERROR($J$1002),"",IF(ISBLANK($J$1002),"",$J$1002))</f>
        <v/>
      </c>
      <c r="AG1002" s="2">
        <f>ISERROR($B$1002)*1+ISERROR($C$1002)*1+ISERROR($D$1002)*1+ISERROR($E$1002)*1+ISERROR($F$1002)*1+ISERROR($G$1002)*1+ISERROR($H$1002)*1+ISERROR($I$1002)*1+ISERROR($J$1002)*1</f>
        <v/>
      </c>
    </row>
    <row r="1003" ht="26" customHeight="1">
      <c r="B1003" s="35" t="n"/>
      <c r="C1003" s="29" t="n"/>
      <c r="D1003" s="29" t="n"/>
      <c r="E1003" s="29" t="n"/>
      <c r="F1003" s="29" t="n"/>
      <c r="G1003" s="29" t="n"/>
      <c r="H1003" s="29" t="n"/>
      <c r="I1003" s="29" t="n"/>
      <c r="J1003" s="29" t="n"/>
      <c r="K1003" s="19">
        <f>IF(AG1003&gt;0,"O Google leu como fórmula: digite de novo com ' na frente.","")</f>
        <v/>
      </c>
      <c r="N1003" s="2">
        <f>N1002+IF(LEN($X$1003)&gt;0,1,0)</f>
        <v/>
      </c>
      <c r="O1003" s="2">
        <f>O1002+IF(LEN($Y$1003)&gt;0,1,0)</f>
        <v/>
      </c>
      <c r="P1003" s="2">
        <f>P1002+IF(LEN($Z$1003)&gt;0,1,0)</f>
        <v/>
      </c>
      <c r="Q1003" s="2">
        <f>Q1002+IF(LEN($AA$1003)&gt;0,1,0)</f>
        <v/>
      </c>
      <c r="R1003" s="2">
        <f>R1002+IF(LEN($AB$1003)&gt;0,1,0)</f>
        <v/>
      </c>
      <c r="S1003" s="2">
        <f>S1002+IF(LEN($AC$1003)&gt;0,1,0)</f>
        <v/>
      </c>
      <c r="T1003" s="2">
        <f>T1002+IF(LEN($AD$1003)&gt;0,1,0)</f>
        <v/>
      </c>
      <c r="U1003" s="2">
        <f>U1002+IF(LEN($AE$1003)&gt;0,1,0)</f>
        <v/>
      </c>
      <c r="V1003" s="2">
        <f>V1002+IF(LEN($AF$1003)&gt;0,1,0)</f>
        <v/>
      </c>
      <c r="X1003" s="2">
        <f>IF(ISERROR($B$1003),"",IF(ISBLANK($B$1003),"",$B$1003))</f>
        <v/>
      </c>
      <c r="Y1003" s="2">
        <f>IF(ISERROR($C$1003),"",IF(ISBLANK($C$1003),"",$C$1003))</f>
        <v/>
      </c>
      <c r="Z1003" s="2">
        <f>IF(ISERROR($D$1003),"",IF(ISBLANK($D$1003),"",$D$1003))</f>
        <v/>
      </c>
      <c r="AA1003" s="2">
        <f>IF(ISERROR($E$1003),"",IF(ISBLANK($E$1003),"",$E$1003))</f>
        <v/>
      </c>
      <c r="AB1003" s="2">
        <f>IF(ISERROR($F$1003),"",IF(ISBLANK($F$1003),"",$F$1003))</f>
        <v/>
      </c>
      <c r="AC1003" s="2">
        <f>IF(ISERROR($G$1003),"",IF(ISBLANK($G$1003),"",$G$1003))</f>
        <v/>
      </c>
      <c r="AD1003" s="2">
        <f>IF(ISERROR($H$1003),"",IF(ISBLANK($H$1003),"",$H$1003))</f>
        <v/>
      </c>
      <c r="AE1003" s="2">
        <f>IF(ISERROR($I$1003),"",IF(ISBLANK($I$1003),"",$I$1003))</f>
        <v/>
      </c>
      <c r="AF1003" s="2">
        <f>IF(ISERROR($J$1003),"",IF(ISBLANK($J$1003),"",$J$1003))</f>
        <v/>
      </c>
      <c r="AG1003" s="2">
        <f>ISERROR($B$1003)*1+ISERROR($C$1003)*1+ISERROR($D$1003)*1+ISERROR($E$1003)*1+ISERROR($F$1003)*1+ISERROR($G$1003)*1+ISERROR($H$1003)*1+ISERROR($I$1003)*1+ISERROR($J$1003)*1</f>
        <v/>
      </c>
    </row>
    <row r="1004" ht="26" customHeight="1">
      <c r="B1004" s="33" t="n"/>
      <c r="C1004" s="4" t="n"/>
      <c r="D1004" s="4" t="n"/>
      <c r="E1004" s="4" t="n"/>
      <c r="F1004" s="4" t="n"/>
      <c r="G1004" s="4" t="n"/>
      <c r="H1004" s="4" t="n"/>
      <c r="I1004" s="4" t="n"/>
      <c r="J1004" s="4" t="n"/>
      <c r="K1004" s="19">
        <f>IF(AG1004&gt;0,"O Google leu como fórmula: digite de novo com ' na frente.","")</f>
        <v/>
      </c>
      <c r="N1004" s="2">
        <f>N1003+IF(LEN($X$1004)&gt;0,1,0)</f>
        <v/>
      </c>
      <c r="O1004" s="2">
        <f>O1003+IF(LEN($Y$1004)&gt;0,1,0)</f>
        <v/>
      </c>
      <c r="P1004" s="2">
        <f>P1003+IF(LEN($Z$1004)&gt;0,1,0)</f>
        <v/>
      </c>
      <c r="Q1004" s="2">
        <f>Q1003+IF(LEN($AA$1004)&gt;0,1,0)</f>
        <v/>
      </c>
      <c r="R1004" s="2">
        <f>R1003+IF(LEN($AB$1004)&gt;0,1,0)</f>
        <v/>
      </c>
      <c r="S1004" s="2">
        <f>S1003+IF(LEN($AC$1004)&gt;0,1,0)</f>
        <v/>
      </c>
      <c r="T1004" s="2">
        <f>T1003+IF(LEN($AD$1004)&gt;0,1,0)</f>
        <v/>
      </c>
      <c r="U1004" s="2">
        <f>U1003+IF(LEN($AE$1004)&gt;0,1,0)</f>
        <v/>
      </c>
      <c r="V1004" s="2">
        <f>V1003+IF(LEN($AF$1004)&gt;0,1,0)</f>
        <v/>
      </c>
      <c r="X1004" s="2">
        <f>IF(ISERROR($B$1004),"",IF(ISBLANK($B$1004),"",$B$1004))</f>
        <v/>
      </c>
      <c r="Y1004" s="2">
        <f>IF(ISERROR($C$1004),"",IF(ISBLANK($C$1004),"",$C$1004))</f>
        <v/>
      </c>
      <c r="Z1004" s="2">
        <f>IF(ISERROR($D$1004),"",IF(ISBLANK($D$1004),"",$D$1004))</f>
        <v/>
      </c>
      <c r="AA1004" s="2">
        <f>IF(ISERROR($E$1004),"",IF(ISBLANK($E$1004),"",$E$1004))</f>
        <v/>
      </c>
      <c r="AB1004" s="2">
        <f>IF(ISERROR($F$1004),"",IF(ISBLANK($F$1004),"",$F$1004))</f>
        <v/>
      </c>
      <c r="AC1004" s="2">
        <f>IF(ISERROR($G$1004),"",IF(ISBLANK($G$1004),"",$G$1004))</f>
        <v/>
      </c>
      <c r="AD1004" s="2">
        <f>IF(ISERROR($H$1004),"",IF(ISBLANK($H$1004),"",$H$1004))</f>
        <v/>
      </c>
      <c r="AE1004" s="2">
        <f>IF(ISERROR($I$1004),"",IF(ISBLANK($I$1004),"",$I$1004))</f>
        <v/>
      </c>
      <c r="AF1004" s="2">
        <f>IF(ISERROR($J$1004),"",IF(ISBLANK($J$1004),"",$J$1004))</f>
        <v/>
      </c>
      <c r="AG1004" s="2">
        <f>ISERROR($B$1004)*1+ISERROR($C$1004)*1+ISERROR($D$1004)*1+ISERROR($E$1004)*1+ISERROR($F$1004)*1+ISERROR($G$1004)*1+ISERROR($H$1004)*1+ISERROR($I$1004)*1+ISERROR($J$1004)*1</f>
        <v/>
      </c>
    </row>
    <row r="1005" ht="26" customHeight="1">
      <c r="B1005" s="35" t="n"/>
      <c r="C1005" s="29" t="n"/>
      <c r="D1005" s="29" t="n"/>
      <c r="E1005" s="29" t="n"/>
      <c r="F1005" s="29" t="n"/>
      <c r="G1005" s="29" t="n"/>
      <c r="H1005" s="29" t="n"/>
      <c r="I1005" s="29" t="n"/>
      <c r="J1005" s="29" t="n"/>
      <c r="K1005" s="19">
        <f>IF(AG1005&gt;0,"O Google leu como fórmula: digite de novo com ' na frente.","")</f>
        <v/>
      </c>
      <c r="N1005" s="2">
        <f>N1004+IF(LEN($X$1005)&gt;0,1,0)</f>
        <v/>
      </c>
      <c r="O1005" s="2">
        <f>O1004+IF(LEN($Y$1005)&gt;0,1,0)</f>
        <v/>
      </c>
      <c r="P1005" s="2">
        <f>P1004+IF(LEN($Z$1005)&gt;0,1,0)</f>
        <v/>
      </c>
      <c r="Q1005" s="2">
        <f>Q1004+IF(LEN($AA$1005)&gt;0,1,0)</f>
        <v/>
      </c>
      <c r="R1005" s="2">
        <f>R1004+IF(LEN($AB$1005)&gt;0,1,0)</f>
        <v/>
      </c>
      <c r="S1005" s="2">
        <f>S1004+IF(LEN($AC$1005)&gt;0,1,0)</f>
        <v/>
      </c>
      <c r="T1005" s="2">
        <f>T1004+IF(LEN($AD$1005)&gt;0,1,0)</f>
        <v/>
      </c>
      <c r="U1005" s="2">
        <f>U1004+IF(LEN($AE$1005)&gt;0,1,0)</f>
        <v/>
      </c>
      <c r="V1005" s="2">
        <f>V1004+IF(LEN($AF$1005)&gt;0,1,0)</f>
        <v/>
      </c>
      <c r="X1005" s="2">
        <f>IF(ISERROR($B$1005),"",IF(ISBLANK($B$1005),"",$B$1005))</f>
        <v/>
      </c>
      <c r="Y1005" s="2">
        <f>IF(ISERROR($C$1005),"",IF(ISBLANK($C$1005),"",$C$1005))</f>
        <v/>
      </c>
      <c r="Z1005" s="2">
        <f>IF(ISERROR($D$1005),"",IF(ISBLANK($D$1005),"",$D$1005))</f>
        <v/>
      </c>
      <c r="AA1005" s="2">
        <f>IF(ISERROR($E$1005),"",IF(ISBLANK($E$1005),"",$E$1005))</f>
        <v/>
      </c>
      <c r="AB1005" s="2">
        <f>IF(ISERROR($F$1005),"",IF(ISBLANK($F$1005),"",$F$1005))</f>
        <v/>
      </c>
      <c r="AC1005" s="2">
        <f>IF(ISERROR($G$1005),"",IF(ISBLANK($G$1005),"",$G$1005))</f>
        <v/>
      </c>
      <c r="AD1005" s="2">
        <f>IF(ISERROR($H$1005),"",IF(ISBLANK($H$1005),"",$H$1005))</f>
        <v/>
      </c>
      <c r="AE1005" s="2">
        <f>IF(ISERROR($I$1005),"",IF(ISBLANK($I$1005),"",$I$1005))</f>
        <v/>
      </c>
      <c r="AF1005" s="2">
        <f>IF(ISERROR($J$1005),"",IF(ISBLANK($J$1005),"",$J$1005))</f>
        <v/>
      </c>
      <c r="AG1005" s="2">
        <f>ISERROR($B$1005)*1+ISERROR($C$1005)*1+ISERROR($D$1005)*1+ISERROR($E$1005)*1+ISERROR($F$1005)*1+ISERROR($G$1005)*1+ISERROR($H$1005)*1+ISERROR($I$1005)*1+ISERROR($J$1005)*1</f>
        <v/>
      </c>
    </row>
    <row r="1006" ht="26" customHeight="1">
      <c r="B1006" s="33" t="n"/>
      <c r="C1006" s="4" t="n"/>
      <c r="D1006" s="4" t="n"/>
      <c r="E1006" s="4" t="n"/>
      <c r="F1006" s="4" t="n"/>
      <c r="G1006" s="4" t="n"/>
      <c r="H1006" s="4" t="n"/>
      <c r="I1006" s="4" t="n"/>
      <c r="J1006" s="4" t="n"/>
      <c r="K1006" s="19">
        <f>IF(AG1006&gt;0,"O Google leu como fórmula: digite de novo com ' na frente.","")</f>
        <v/>
      </c>
      <c r="N1006" s="2">
        <f>N1005+IF(LEN($X$1006)&gt;0,1,0)</f>
        <v/>
      </c>
      <c r="O1006" s="2">
        <f>O1005+IF(LEN($Y$1006)&gt;0,1,0)</f>
        <v/>
      </c>
      <c r="P1006" s="2">
        <f>P1005+IF(LEN($Z$1006)&gt;0,1,0)</f>
        <v/>
      </c>
      <c r="Q1006" s="2">
        <f>Q1005+IF(LEN($AA$1006)&gt;0,1,0)</f>
        <v/>
      </c>
      <c r="R1006" s="2">
        <f>R1005+IF(LEN($AB$1006)&gt;0,1,0)</f>
        <v/>
      </c>
      <c r="S1006" s="2">
        <f>S1005+IF(LEN($AC$1006)&gt;0,1,0)</f>
        <v/>
      </c>
      <c r="T1006" s="2">
        <f>T1005+IF(LEN($AD$1006)&gt;0,1,0)</f>
        <v/>
      </c>
      <c r="U1006" s="2">
        <f>U1005+IF(LEN($AE$1006)&gt;0,1,0)</f>
        <v/>
      </c>
      <c r="V1006" s="2">
        <f>V1005+IF(LEN($AF$1006)&gt;0,1,0)</f>
        <v/>
      </c>
      <c r="X1006" s="2">
        <f>IF(ISERROR($B$1006),"",IF(ISBLANK($B$1006),"",$B$1006))</f>
        <v/>
      </c>
      <c r="Y1006" s="2">
        <f>IF(ISERROR($C$1006),"",IF(ISBLANK($C$1006),"",$C$1006))</f>
        <v/>
      </c>
      <c r="Z1006" s="2">
        <f>IF(ISERROR($D$1006),"",IF(ISBLANK($D$1006),"",$D$1006))</f>
        <v/>
      </c>
      <c r="AA1006" s="2">
        <f>IF(ISERROR($E$1006),"",IF(ISBLANK($E$1006),"",$E$1006))</f>
        <v/>
      </c>
      <c r="AB1006" s="2">
        <f>IF(ISERROR($F$1006),"",IF(ISBLANK($F$1006),"",$F$1006))</f>
        <v/>
      </c>
      <c r="AC1006" s="2">
        <f>IF(ISERROR($G$1006),"",IF(ISBLANK($G$1006),"",$G$1006))</f>
        <v/>
      </c>
      <c r="AD1006" s="2">
        <f>IF(ISERROR($H$1006),"",IF(ISBLANK($H$1006),"",$H$1006))</f>
        <v/>
      </c>
      <c r="AE1006" s="2">
        <f>IF(ISERROR($I$1006),"",IF(ISBLANK($I$1006),"",$I$1006))</f>
        <v/>
      </c>
      <c r="AF1006" s="2">
        <f>IF(ISERROR($J$1006),"",IF(ISBLANK($J$1006),"",$J$1006))</f>
        <v/>
      </c>
      <c r="AG1006" s="2">
        <f>ISERROR($B$1006)*1+ISERROR($C$1006)*1+ISERROR($D$1006)*1+ISERROR($E$1006)*1+ISERROR($F$1006)*1+ISERROR($G$1006)*1+ISERROR($H$1006)*1+ISERROR($I$1006)*1+ISERROR($J$1006)*1</f>
        <v/>
      </c>
    </row>
    <row r="1007" ht="26" customHeight="1">
      <c r="B1007" s="35" t="n"/>
      <c r="C1007" s="29" t="n"/>
      <c r="D1007" s="29" t="n"/>
      <c r="E1007" s="29" t="n"/>
      <c r="F1007" s="29" t="n"/>
      <c r="G1007" s="29" t="n"/>
      <c r="H1007" s="29" t="n"/>
      <c r="I1007" s="29" t="n"/>
      <c r="J1007" s="29" t="n"/>
      <c r="K1007" s="19">
        <f>IF(AG1007&gt;0,"O Google leu como fórmula: digite de novo com ' na frente.","")</f>
        <v/>
      </c>
      <c r="N1007" s="2">
        <f>N1006+IF(LEN($X$1007)&gt;0,1,0)</f>
        <v/>
      </c>
      <c r="O1007" s="2">
        <f>O1006+IF(LEN($Y$1007)&gt;0,1,0)</f>
        <v/>
      </c>
      <c r="P1007" s="2">
        <f>P1006+IF(LEN($Z$1007)&gt;0,1,0)</f>
        <v/>
      </c>
      <c r="Q1007" s="2">
        <f>Q1006+IF(LEN($AA$1007)&gt;0,1,0)</f>
        <v/>
      </c>
      <c r="R1007" s="2">
        <f>R1006+IF(LEN($AB$1007)&gt;0,1,0)</f>
        <v/>
      </c>
      <c r="S1007" s="2">
        <f>S1006+IF(LEN($AC$1007)&gt;0,1,0)</f>
        <v/>
      </c>
      <c r="T1007" s="2">
        <f>T1006+IF(LEN($AD$1007)&gt;0,1,0)</f>
        <v/>
      </c>
      <c r="U1007" s="2">
        <f>U1006+IF(LEN($AE$1007)&gt;0,1,0)</f>
        <v/>
      </c>
      <c r="V1007" s="2">
        <f>V1006+IF(LEN($AF$1007)&gt;0,1,0)</f>
        <v/>
      </c>
      <c r="X1007" s="2">
        <f>IF(ISERROR($B$1007),"",IF(ISBLANK($B$1007),"",$B$1007))</f>
        <v/>
      </c>
      <c r="Y1007" s="2">
        <f>IF(ISERROR($C$1007),"",IF(ISBLANK($C$1007),"",$C$1007))</f>
        <v/>
      </c>
      <c r="Z1007" s="2">
        <f>IF(ISERROR($D$1007),"",IF(ISBLANK($D$1007),"",$D$1007))</f>
        <v/>
      </c>
      <c r="AA1007" s="2">
        <f>IF(ISERROR($E$1007),"",IF(ISBLANK($E$1007),"",$E$1007))</f>
        <v/>
      </c>
      <c r="AB1007" s="2">
        <f>IF(ISERROR($F$1007),"",IF(ISBLANK($F$1007),"",$F$1007))</f>
        <v/>
      </c>
      <c r="AC1007" s="2">
        <f>IF(ISERROR($G$1007),"",IF(ISBLANK($G$1007),"",$G$1007))</f>
        <v/>
      </c>
      <c r="AD1007" s="2">
        <f>IF(ISERROR($H$1007),"",IF(ISBLANK($H$1007),"",$H$1007))</f>
        <v/>
      </c>
      <c r="AE1007" s="2">
        <f>IF(ISERROR($I$1007),"",IF(ISBLANK($I$1007),"",$I$1007))</f>
        <v/>
      </c>
      <c r="AF1007" s="2">
        <f>IF(ISERROR($J$1007),"",IF(ISBLANK($J$1007),"",$J$1007))</f>
        <v/>
      </c>
      <c r="AG1007" s="2">
        <f>ISERROR($B$1007)*1+ISERROR($C$1007)*1+ISERROR($D$1007)*1+ISERROR($E$1007)*1+ISERROR($F$1007)*1+ISERROR($G$1007)*1+ISERROR($H$1007)*1+ISERROR($I$1007)*1+ISERROR($J$1007)*1</f>
        <v/>
      </c>
    </row>
    <row r="1008" ht="26" customHeight="1">
      <c r="B1008" s="33" t="n"/>
      <c r="C1008" s="4" t="n"/>
      <c r="D1008" s="4" t="n"/>
      <c r="E1008" s="4" t="n"/>
      <c r="F1008" s="4" t="n"/>
      <c r="G1008" s="4" t="n"/>
      <c r="H1008" s="4" t="n"/>
      <c r="I1008" s="4" t="n"/>
      <c r="J1008" s="4" t="n"/>
      <c r="K1008" s="19">
        <f>IF(AG1008&gt;0,"O Google leu como fórmula: digite de novo com ' na frente.","")</f>
        <v/>
      </c>
      <c r="N1008" s="2">
        <f>N1007+IF(LEN($X$1008)&gt;0,1,0)</f>
        <v/>
      </c>
      <c r="O1008" s="2">
        <f>O1007+IF(LEN($Y$1008)&gt;0,1,0)</f>
        <v/>
      </c>
      <c r="P1008" s="2">
        <f>P1007+IF(LEN($Z$1008)&gt;0,1,0)</f>
        <v/>
      </c>
      <c r="Q1008" s="2">
        <f>Q1007+IF(LEN($AA$1008)&gt;0,1,0)</f>
        <v/>
      </c>
      <c r="R1008" s="2">
        <f>R1007+IF(LEN($AB$1008)&gt;0,1,0)</f>
        <v/>
      </c>
      <c r="S1008" s="2">
        <f>S1007+IF(LEN($AC$1008)&gt;0,1,0)</f>
        <v/>
      </c>
      <c r="T1008" s="2">
        <f>T1007+IF(LEN($AD$1008)&gt;0,1,0)</f>
        <v/>
      </c>
      <c r="U1008" s="2">
        <f>U1007+IF(LEN($AE$1008)&gt;0,1,0)</f>
        <v/>
      </c>
      <c r="V1008" s="2">
        <f>V1007+IF(LEN($AF$1008)&gt;0,1,0)</f>
        <v/>
      </c>
      <c r="X1008" s="2">
        <f>IF(ISERROR($B$1008),"",IF(ISBLANK($B$1008),"",$B$1008))</f>
        <v/>
      </c>
      <c r="Y1008" s="2">
        <f>IF(ISERROR($C$1008),"",IF(ISBLANK($C$1008),"",$C$1008))</f>
        <v/>
      </c>
      <c r="Z1008" s="2">
        <f>IF(ISERROR($D$1008),"",IF(ISBLANK($D$1008),"",$D$1008))</f>
        <v/>
      </c>
      <c r="AA1008" s="2">
        <f>IF(ISERROR($E$1008),"",IF(ISBLANK($E$1008),"",$E$1008))</f>
        <v/>
      </c>
      <c r="AB1008" s="2">
        <f>IF(ISERROR($F$1008),"",IF(ISBLANK($F$1008),"",$F$1008))</f>
        <v/>
      </c>
      <c r="AC1008" s="2">
        <f>IF(ISERROR($G$1008),"",IF(ISBLANK($G$1008),"",$G$1008))</f>
        <v/>
      </c>
      <c r="AD1008" s="2">
        <f>IF(ISERROR($H$1008),"",IF(ISBLANK($H$1008),"",$H$1008))</f>
        <v/>
      </c>
      <c r="AE1008" s="2">
        <f>IF(ISERROR($I$1008),"",IF(ISBLANK($I$1008),"",$I$1008))</f>
        <v/>
      </c>
      <c r="AF1008" s="2">
        <f>IF(ISERROR($J$1008),"",IF(ISBLANK($J$1008),"",$J$1008))</f>
        <v/>
      </c>
      <c r="AG1008" s="2">
        <f>ISERROR($B$1008)*1+ISERROR($C$1008)*1+ISERROR($D$1008)*1+ISERROR($E$1008)*1+ISERROR($F$1008)*1+ISERROR($G$1008)*1+ISERROR($H$1008)*1+ISERROR($I$1008)*1+ISERROR($J$1008)*1</f>
        <v/>
      </c>
    </row>
    <row r="1009" ht="26" customHeight="1">
      <c r="B1009" s="35" t="n"/>
      <c r="C1009" s="29" t="n"/>
      <c r="D1009" s="29" t="n"/>
      <c r="E1009" s="29" t="n"/>
      <c r="F1009" s="29" t="n"/>
      <c r="G1009" s="29" t="n"/>
      <c r="H1009" s="29" t="n"/>
      <c r="I1009" s="29" t="n"/>
      <c r="J1009" s="29" t="n"/>
      <c r="K1009" s="19">
        <f>IF(AG1009&gt;0,"O Google leu como fórmula: digite de novo com ' na frente.","")</f>
        <v/>
      </c>
      <c r="N1009" s="2">
        <f>N1008+IF(LEN($X$1009)&gt;0,1,0)</f>
        <v/>
      </c>
      <c r="O1009" s="2">
        <f>O1008+IF(LEN($Y$1009)&gt;0,1,0)</f>
        <v/>
      </c>
      <c r="P1009" s="2">
        <f>P1008+IF(LEN($Z$1009)&gt;0,1,0)</f>
        <v/>
      </c>
      <c r="Q1009" s="2">
        <f>Q1008+IF(LEN($AA$1009)&gt;0,1,0)</f>
        <v/>
      </c>
      <c r="R1009" s="2">
        <f>R1008+IF(LEN($AB$1009)&gt;0,1,0)</f>
        <v/>
      </c>
      <c r="S1009" s="2">
        <f>S1008+IF(LEN($AC$1009)&gt;0,1,0)</f>
        <v/>
      </c>
      <c r="T1009" s="2">
        <f>T1008+IF(LEN($AD$1009)&gt;0,1,0)</f>
        <v/>
      </c>
      <c r="U1009" s="2">
        <f>U1008+IF(LEN($AE$1009)&gt;0,1,0)</f>
        <v/>
      </c>
      <c r="V1009" s="2">
        <f>V1008+IF(LEN($AF$1009)&gt;0,1,0)</f>
        <v/>
      </c>
      <c r="X1009" s="2">
        <f>IF(ISERROR($B$1009),"",IF(ISBLANK($B$1009),"",$B$1009))</f>
        <v/>
      </c>
      <c r="Y1009" s="2">
        <f>IF(ISERROR($C$1009),"",IF(ISBLANK($C$1009),"",$C$1009))</f>
        <v/>
      </c>
      <c r="Z1009" s="2">
        <f>IF(ISERROR($D$1009),"",IF(ISBLANK($D$1009),"",$D$1009))</f>
        <v/>
      </c>
      <c r="AA1009" s="2">
        <f>IF(ISERROR($E$1009),"",IF(ISBLANK($E$1009),"",$E$1009))</f>
        <v/>
      </c>
      <c r="AB1009" s="2">
        <f>IF(ISERROR($F$1009),"",IF(ISBLANK($F$1009),"",$F$1009))</f>
        <v/>
      </c>
      <c r="AC1009" s="2">
        <f>IF(ISERROR($G$1009),"",IF(ISBLANK($G$1009),"",$G$1009))</f>
        <v/>
      </c>
      <c r="AD1009" s="2">
        <f>IF(ISERROR($H$1009),"",IF(ISBLANK($H$1009),"",$H$1009))</f>
        <v/>
      </c>
      <c r="AE1009" s="2">
        <f>IF(ISERROR($I$1009),"",IF(ISBLANK($I$1009),"",$I$1009))</f>
        <v/>
      </c>
      <c r="AF1009" s="2">
        <f>IF(ISERROR($J$1009),"",IF(ISBLANK($J$1009),"",$J$1009))</f>
        <v/>
      </c>
      <c r="AG1009" s="2">
        <f>ISERROR($B$1009)*1+ISERROR($C$1009)*1+ISERROR($D$1009)*1+ISERROR($E$1009)*1+ISERROR($F$1009)*1+ISERROR($G$1009)*1+ISERROR($H$1009)*1+ISERROR($I$1009)*1+ISERROR($J$1009)*1</f>
        <v/>
      </c>
    </row>
    <row r="1010" ht="26" customHeight="1">
      <c r="B1010" s="33" t="n"/>
      <c r="C1010" s="4" t="n"/>
      <c r="D1010" s="4" t="n"/>
      <c r="E1010" s="4" t="n"/>
      <c r="F1010" s="4" t="n"/>
      <c r="G1010" s="4" t="n"/>
      <c r="H1010" s="4" t="n"/>
      <c r="I1010" s="4" t="n"/>
      <c r="J1010" s="4" t="n"/>
      <c r="K1010" s="19">
        <f>IF(AG1010&gt;0,"O Google leu como fórmula: digite de novo com ' na frente.","")</f>
        <v/>
      </c>
      <c r="N1010" s="2">
        <f>N1009+IF(LEN($X$1010)&gt;0,1,0)</f>
        <v/>
      </c>
      <c r="O1010" s="2">
        <f>O1009+IF(LEN($Y$1010)&gt;0,1,0)</f>
        <v/>
      </c>
      <c r="P1010" s="2">
        <f>P1009+IF(LEN($Z$1010)&gt;0,1,0)</f>
        <v/>
      </c>
      <c r="Q1010" s="2">
        <f>Q1009+IF(LEN($AA$1010)&gt;0,1,0)</f>
        <v/>
      </c>
      <c r="R1010" s="2">
        <f>R1009+IF(LEN($AB$1010)&gt;0,1,0)</f>
        <v/>
      </c>
      <c r="S1010" s="2">
        <f>S1009+IF(LEN($AC$1010)&gt;0,1,0)</f>
        <v/>
      </c>
      <c r="T1010" s="2">
        <f>T1009+IF(LEN($AD$1010)&gt;0,1,0)</f>
        <v/>
      </c>
      <c r="U1010" s="2">
        <f>U1009+IF(LEN($AE$1010)&gt;0,1,0)</f>
        <v/>
      </c>
      <c r="V1010" s="2">
        <f>V1009+IF(LEN($AF$1010)&gt;0,1,0)</f>
        <v/>
      </c>
      <c r="X1010" s="2">
        <f>IF(ISERROR($B$1010),"",IF(ISBLANK($B$1010),"",$B$1010))</f>
        <v/>
      </c>
      <c r="Y1010" s="2">
        <f>IF(ISERROR($C$1010),"",IF(ISBLANK($C$1010),"",$C$1010))</f>
        <v/>
      </c>
      <c r="Z1010" s="2">
        <f>IF(ISERROR($D$1010),"",IF(ISBLANK($D$1010),"",$D$1010))</f>
        <v/>
      </c>
      <c r="AA1010" s="2">
        <f>IF(ISERROR($E$1010),"",IF(ISBLANK($E$1010),"",$E$1010))</f>
        <v/>
      </c>
      <c r="AB1010" s="2">
        <f>IF(ISERROR($F$1010),"",IF(ISBLANK($F$1010),"",$F$1010))</f>
        <v/>
      </c>
      <c r="AC1010" s="2">
        <f>IF(ISERROR($G$1010),"",IF(ISBLANK($G$1010),"",$G$1010))</f>
        <v/>
      </c>
      <c r="AD1010" s="2">
        <f>IF(ISERROR($H$1010),"",IF(ISBLANK($H$1010),"",$H$1010))</f>
        <v/>
      </c>
      <c r="AE1010" s="2">
        <f>IF(ISERROR($I$1010),"",IF(ISBLANK($I$1010),"",$I$1010))</f>
        <v/>
      </c>
      <c r="AF1010" s="2">
        <f>IF(ISERROR($J$1010),"",IF(ISBLANK($J$1010),"",$J$1010))</f>
        <v/>
      </c>
      <c r="AG1010" s="2">
        <f>ISERROR($B$1010)*1+ISERROR($C$1010)*1+ISERROR($D$1010)*1+ISERROR($E$1010)*1+ISERROR($F$1010)*1+ISERROR($G$1010)*1+ISERROR($H$1010)*1+ISERROR($I$1010)*1+ISERROR($J$1010)*1</f>
        <v/>
      </c>
    </row>
    <row r="1011" ht="26" customHeight="1">
      <c r="B1011" s="35" t="n"/>
      <c r="C1011" s="29" t="n"/>
      <c r="D1011" s="29" t="n"/>
      <c r="E1011" s="29" t="n"/>
      <c r="F1011" s="29" t="n"/>
      <c r="G1011" s="29" t="n"/>
      <c r="H1011" s="29" t="n"/>
      <c r="I1011" s="29" t="n"/>
      <c r="J1011" s="29" t="n"/>
      <c r="K1011" s="19">
        <f>IF(AG1011&gt;0,"O Google leu como fórmula: digite de novo com ' na frente.","")</f>
        <v/>
      </c>
      <c r="N1011" s="2">
        <f>N1010+IF(LEN($X$1011)&gt;0,1,0)</f>
        <v/>
      </c>
      <c r="O1011" s="2">
        <f>O1010+IF(LEN($Y$1011)&gt;0,1,0)</f>
        <v/>
      </c>
      <c r="P1011" s="2">
        <f>P1010+IF(LEN($Z$1011)&gt;0,1,0)</f>
        <v/>
      </c>
      <c r="Q1011" s="2">
        <f>Q1010+IF(LEN($AA$1011)&gt;0,1,0)</f>
        <v/>
      </c>
      <c r="R1011" s="2">
        <f>R1010+IF(LEN($AB$1011)&gt;0,1,0)</f>
        <v/>
      </c>
      <c r="S1011" s="2">
        <f>S1010+IF(LEN($AC$1011)&gt;0,1,0)</f>
        <v/>
      </c>
      <c r="T1011" s="2">
        <f>T1010+IF(LEN($AD$1011)&gt;0,1,0)</f>
        <v/>
      </c>
      <c r="U1011" s="2">
        <f>U1010+IF(LEN($AE$1011)&gt;0,1,0)</f>
        <v/>
      </c>
      <c r="V1011" s="2">
        <f>V1010+IF(LEN($AF$1011)&gt;0,1,0)</f>
        <v/>
      </c>
      <c r="X1011" s="2">
        <f>IF(ISERROR($B$1011),"",IF(ISBLANK($B$1011),"",$B$1011))</f>
        <v/>
      </c>
      <c r="Y1011" s="2">
        <f>IF(ISERROR($C$1011),"",IF(ISBLANK($C$1011),"",$C$1011))</f>
        <v/>
      </c>
      <c r="Z1011" s="2">
        <f>IF(ISERROR($D$1011),"",IF(ISBLANK($D$1011),"",$D$1011))</f>
        <v/>
      </c>
      <c r="AA1011" s="2">
        <f>IF(ISERROR($E$1011),"",IF(ISBLANK($E$1011),"",$E$1011))</f>
        <v/>
      </c>
      <c r="AB1011" s="2">
        <f>IF(ISERROR($F$1011),"",IF(ISBLANK($F$1011),"",$F$1011))</f>
        <v/>
      </c>
      <c r="AC1011" s="2">
        <f>IF(ISERROR($G$1011),"",IF(ISBLANK($G$1011),"",$G$1011))</f>
        <v/>
      </c>
      <c r="AD1011" s="2">
        <f>IF(ISERROR($H$1011),"",IF(ISBLANK($H$1011),"",$H$1011))</f>
        <v/>
      </c>
      <c r="AE1011" s="2">
        <f>IF(ISERROR($I$1011),"",IF(ISBLANK($I$1011),"",$I$1011))</f>
        <v/>
      </c>
      <c r="AF1011" s="2">
        <f>IF(ISERROR($J$1011),"",IF(ISBLANK($J$1011),"",$J$1011))</f>
        <v/>
      </c>
      <c r="AG1011" s="2">
        <f>ISERROR($B$1011)*1+ISERROR($C$1011)*1+ISERROR($D$1011)*1+ISERROR($E$1011)*1+ISERROR($F$1011)*1+ISERROR($G$1011)*1+ISERROR($H$1011)*1+ISERROR($I$1011)*1+ISERROR($J$1011)*1</f>
        <v/>
      </c>
    </row>
    <row r="1012" ht="26" customHeight="1">
      <c r="B1012" s="33" t="n"/>
      <c r="C1012" s="4" t="n"/>
      <c r="D1012" s="4" t="n"/>
      <c r="E1012" s="4" t="n"/>
      <c r="F1012" s="4" t="n"/>
      <c r="G1012" s="4" t="n"/>
      <c r="H1012" s="4" t="n"/>
      <c r="I1012" s="4" t="n"/>
      <c r="J1012" s="4" t="n"/>
      <c r="K1012" s="19">
        <f>IF(AG1012&gt;0,"O Google leu como fórmula: digite de novo com ' na frente.","")</f>
        <v/>
      </c>
      <c r="N1012" s="2">
        <f>N1011+IF(LEN($X$1012)&gt;0,1,0)</f>
        <v/>
      </c>
      <c r="O1012" s="2">
        <f>O1011+IF(LEN($Y$1012)&gt;0,1,0)</f>
        <v/>
      </c>
      <c r="P1012" s="2">
        <f>P1011+IF(LEN($Z$1012)&gt;0,1,0)</f>
        <v/>
      </c>
      <c r="Q1012" s="2">
        <f>Q1011+IF(LEN($AA$1012)&gt;0,1,0)</f>
        <v/>
      </c>
      <c r="R1012" s="2">
        <f>R1011+IF(LEN($AB$1012)&gt;0,1,0)</f>
        <v/>
      </c>
      <c r="S1012" s="2">
        <f>S1011+IF(LEN($AC$1012)&gt;0,1,0)</f>
        <v/>
      </c>
      <c r="T1012" s="2">
        <f>T1011+IF(LEN($AD$1012)&gt;0,1,0)</f>
        <v/>
      </c>
      <c r="U1012" s="2">
        <f>U1011+IF(LEN($AE$1012)&gt;0,1,0)</f>
        <v/>
      </c>
      <c r="V1012" s="2">
        <f>V1011+IF(LEN($AF$1012)&gt;0,1,0)</f>
        <v/>
      </c>
      <c r="X1012" s="2">
        <f>IF(ISERROR($B$1012),"",IF(ISBLANK($B$1012),"",$B$1012))</f>
        <v/>
      </c>
      <c r="Y1012" s="2">
        <f>IF(ISERROR($C$1012),"",IF(ISBLANK($C$1012),"",$C$1012))</f>
        <v/>
      </c>
      <c r="Z1012" s="2">
        <f>IF(ISERROR($D$1012),"",IF(ISBLANK($D$1012),"",$D$1012))</f>
        <v/>
      </c>
      <c r="AA1012" s="2">
        <f>IF(ISERROR($E$1012),"",IF(ISBLANK($E$1012),"",$E$1012))</f>
        <v/>
      </c>
      <c r="AB1012" s="2">
        <f>IF(ISERROR($F$1012),"",IF(ISBLANK($F$1012),"",$F$1012))</f>
        <v/>
      </c>
      <c r="AC1012" s="2">
        <f>IF(ISERROR($G$1012),"",IF(ISBLANK($G$1012),"",$G$1012))</f>
        <v/>
      </c>
      <c r="AD1012" s="2">
        <f>IF(ISERROR($H$1012),"",IF(ISBLANK($H$1012),"",$H$1012))</f>
        <v/>
      </c>
      <c r="AE1012" s="2">
        <f>IF(ISERROR($I$1012),"",IF(ISBLANK($I$1012),"",$I$1012))</f>
        <v/>
      </c>
      <c r="AF1012" s="2">
        <f>IF(ISERROR($J$1012),"",IF(ISBLANK($J$1012),"",$J$1012))</f>
        <v/>
      </c>
      <c r="AG1012" s="2">
        <f>ISERROR($B$1012)*1+ISERROR($C$1012)*1+ISERROR($D$1012)*1+ISERROR($E$1012)*1+ISERROR($F$1012)*1+ISERROR($G$1012)*1+ISERROR($H$1012)*1+ISERROR($I$1012)*1+ISERROR($J$1012)*1</f>
        <v/>
      </c>
    </row>
    <row r="1013" ht="26" customHeight="1">
      <c r="B1013" s="35" t="n"/>
      <c r="C1013" s="29" t="n"/>
      <c r="D1013" s="29" t="n"/>
      <c r="E1013" s="29" t="n"/>
      <c r="F1013" s="29" t="n"/>
      <c r="G1013" s="29" t="n"/>
      <c r="H1013" s="29" t="n"/>
      <c r="I1013" s="29" t="n"/>
      <c r="J1013" s="29" t="n"/>
      <c r="K1013" s="19">
        <f>IF(AG1013&gt;0,"O Google leu como fórmula: digite de novo com ' na frente.","")</f>
        <v/>
      </c>
      <c r="N1013" s="2">
        <f>N1012+IF(LEN($X$1013)&gt;0,1,0)</f>
        <v/>
      </c>
      <c r="O1013" s="2">
        <f>O1012+IF(LEN($Y$1013)&gt;0,1,0)</f>
        <v/>
      </c>
      <c r="P1013" s="2">
        <f>P1012+IF(LEN($Z$1013)&gt;0,1,0)</f>
        <v/>
      </c>
      <c r="Q1013" s="2">
        <f>Q1012+IF(LEN($AA$1013)&gt;0,1,0)</f>
        <v/>
      </c>
      <c r="R1013" s="2">
        <f>R1012+IF(LEN($AB$1013)&gt;0,1,0)</f>
        <v/>
      </c>
      <c r="S1013" s="2">
        <f>S1012+IF(LEN($AC$1013)&gt;0,1,0)</f>
        <v/>
      </c>
      <c r="T1013" s="2">
        <f>T1012+IF(LEN($AD$1013)&gt;0,1,0)</f>
        <v/>
      </c>
      <c r="U1013" s="2">
        <f>U1012+IF(LEN($AE$1013)&gt;0,1,0)</f>
        <v/>
      </c>
      <c r="V1013" s="2">
        <f>V1012+IF(LEN($AF$1013)&gt;0,1,0)</f>
        <v/>
      </c>
      <c r="X1013" s="2">
        <f>IF(ISERROR($B$1013),"",IF(ISBLANK($B$1013),"",$B$1013))</f>
        <v/>
      </c>
      <c r="Y1013" s="2">
        <f>IF(ISERROR($C$1013),"",IF(ISBLANK($C$1013),"",$C$1013))</f>
        <v/>
      </c>
      <c r="Z1013" s="2">
        <f>IF(ISERROR($D$1013),"",IF(ISBLANK($D$1013),"",$D$1013))</f>
        <v/>
      </c>
      <c r="AA1013" s="2">
        <f>IF(ISERROR($E$1013),"",IF(ISBLANK($E$1013),"",$E$1013))</f>
        <v/>
      </c>
      <c r="AB1013" s="2">
        <f>IF(ISERROR($F$1013),"",IF(ISBLANK($F$1013),"",$F$1013))</f>
        <v/>
      </c>
      <c r="AC1013" s="2">
        <f>IF(ISERROR($G$1013),"",IF(ISBLANK($G$1013),"",$G$1013))</f>
        <v/>
      </c>
      <c r="AD1013" s="2">
        <f>IF(ISERROR($H$1013),"",IF(ISBLANK($H$1013),"",$H$1013))</f>
        <v/>
      </c>
      <c r="AE1013" s="2">
        <f>IF(ISERROR($I$1013),"",IF(ISBLANK($I$1013),"",$I$1013))</f>
        <v/>
      </c>
      <c r="AF1013" s="2">
        <f>IF(ISERROR($J$1013),"",IF(ISBLANK($J$1013),"",$J$1013))</f>
        <v/>
      </c>
      <c r="AG1013" s="2">
        <f>ISERROR($B$1013)*1+ISERROR($C$1013)*1+ISERROR($D$1013)*1+ISERROR($E$1013)*1+ISERROR($F$1013)*1+ISERROR($G$1013)*1+ISERROR($H$1013)*1+ISERROR($I$1013)*1+ISERROR($J$1013)*1</f>
        <v/>
      </c>
    </row>
    <row r="1014" ht="26" customHeight="1">
      <c r="B1014" s="33" t="n"/>
      <c r="C1014" s="4" t="n"/>
      <c r="D1014" s="4" t="n"/>
      <c r="E1014" s="4" t="n"/>
      <c r="F1014" s="4" t="n"/>
      <c r="G1014" s="4" t="n"/>
      <c r="H1014" s="4" t="n"/>
      <c r="I1014" s="4" t="n"/>
      <c r="J1014" s="4" t="n"/>
      <c r="K1014" s="19">
        <f>IF(AG1014&gt;0,"O Google leu como fórmula: digite de novo com ' na frente.","")</f>
        <v/>
      </c>
      <c r="N1014" s="2">
        <f>N1013+IF(LEN($X$1014)&gt;0,1,0)</f>
        <v/>
      </c>
      <c r="O1014" s="2">
        <f>O1013+IF(LEN($Y$1014)&gt;0,1,0)</f>
        <v/>
      </c>
      <c r="P1014" s="2">
        <f>P1013+IF(LEN($Z$1014)&gt;0,1,0)</f>
        <v/>
      </c>
      <c r="Q1014" s="2">
        <f>Q1013+IF(LEN($AA$1014)&gt;0,1,0)</f>
        <v/>
      </c>
      <c r="R1014" s="2">
        <f>R1013+IF(LEN($AB$1014)&gt;0,1,0)</f>
        <v/>
      </c>
      <c r="S1014" s="2">
        <f>S1013+IF(LEN($AC$1014)&gt;0,1,0)</f>
        <v/>
      </c>
      <c r="T1014" s="2">
        <f>T1013+IF(LEN($AD$1014)&gt;0,1,0)</f>
        <v/>
      </c>
      <c r="U1014" s="2">
        <f>U1013+IF(LEN($AE$1014)&gt;0,1,0)</f>
        <v/>
      </c>
      <c r="V1014" s="2">
        <f>V1013+IF(LEN($AF$1014)&gt;0,1,0)</f>
        <v/>
      </c>
      <c r="X1014" s="2">
        <f>IF(ISERROR($B$1014),"",IF(ISBLANK($B$1014),"",$B$1014))</f>
        <v/>
      </c>
      <c r="Y1014" s="2">
        <f>IF(ISERROR($C$1014),"",IF(ISBLANK($C$1014),"",$C$1014))</f>
        <v/>
      </c>
      <c r="Z1014" s="2">
        <f>IF(ISERROR($D$1014),"",IF(ISBLANK($D$1014),"",$D$1014))</f>
        <v/>
      </c>
      <c r="AA1014" s="2">
        <f>IF(ISERROR($E$1014),"",IF(ISBLANK($E$1014),"",$E$1014))</f>
        <v/>
      </c>
      <c r="AB1014" s="2">
        <f>IF(ISERROR($F$1014),"",IF(ISBLANK($F$1014),"",$F$1014))</f>
        <v/>
      </c>
      <c r="AC1014" s="2">
        <f>IF(ISERROR($G$1014),"",IF(ISBLANK($G$1014),"",$G$1014))</f>
        <v/>
      </c>
      <c r="AD1014" s="2">
        <f>IF(ISERROR($H$1014),"",IF(ISBLANK($H$1014),"",$H$1014))</f>
        <v/>
      </c>
      <c r="AE1014" s="2">
        <f>IF(ISERROR($I$1014),"",IF(ISBLANK($I$1014),"",$I$1014))</f>
        <v/>
      </c>
      <c r="AF1014" s="2">
        <f>IF(ISERROR($J$1014),"",IF(ISBLANK($J$1014),"",$J$1014))</f>
        <v/>
      </c>
      <c r="AG1014" s="2">
        <f>ISERROR($B$1014)*1+ISERROR($C$1014)*1+ISERROR($D$1014)*1+ISERROR($E$1014)*1+ISERROR($F$1014)*1+ISERROR($G$1014)*1+ISERROR($H$1014)*1+ISERROR($I$1014)*1+ISERROR($J$1014)*1</f>
        <v/>
      </c>
    </row>
    <row r="1015" ht="26" customHeight="1">
      <c r="B1015" s="8" t="inlineStr">
        <is>
          <t>Tipo de mundo</t>
        </is>
      </c>
      <c r="C1015" s="8" t="inlineStr">
        <is>
          <t>Condição marcante</t>
        </is>
      </c>
      <c r="D1015" s="8" t="inlineStr">
        <is>
          <t>O que fazem de manhã (27.17)</t>
        </is>
      </c>
      <c r="E1015" s="8" t="inlineStr">
        <is>
          <t>O que pararam de fazer (27.17)</t>
        </is>
      </c>
      <c r="F1015" s="8" t="inlineStr">
        <is>
          <t>Presença: Stellaron ou Fragmentum (peso)</t>
        </is>
      </c>
      <c r="G1015" s="8" t="inlineStr">
        <is>
          <t>Função da estação</t>
        </is>
      </c>
      <c r="H1015" s="8" t="inlineStr">
        <is>
          <t>Problema da estação</t>
        </is>
      </c>
      <c r="I1015" s="8" t="inlineStr">
        <is>
          <t>Classe da nave</t>
        </is>
      </c>
      <c r="J1015" s="8" t="inlineStr">
        <is>
          <t>Peculiaridade da nave</t>
        </is>
      </c>
      <c r="N1015" s="2">
        <f>N1014</f>
        <v/>
      </c>
      <c r="O1015" s="2">
        <f>O1014</f>
        <v/>
      </c>
      <c r="P1015" s="2">
        <f>P1014</f>
        <v/>
      </c>
      <c r="Q1015" s="2">
        <f>Q1014</f>
        <v/>
      </c>
      <c r="R1015" s="2">
        <f>R1014</f>
        <v/>
      </c>
      <c r="S1015" s="2">
        <f>S1014</f>
        <v/>
      </c>
      <c r="T1015" s="2">
        <f>T1014</f>
        <v/>
      </c>
      <c r="U1015" s="2">
        <f>U1014</f>
        <v/>
      </c>
      <c r="V1015" s="2">
        <f>V1014</f>
        <v/>
      </c>
      <c r="X1015" s="2">
        <f>IF(ISERROR($B$1015),"",IF(ISBLANK($B$1015),"",$B$1015))</f>
        <v/>
      </c>
      <c r="Y1015" s="2">
        <f>IF(ISERROR($C$1015),"",IF(ISBLANK($C$1015),"",$C$1015))</f>
        <v/>
      </c>
      <c r="Z1015" s="2">
        <f>IF(ISERROR($D$1015),"",IF(ISBLANK($D$1015),"",$D$1015))</f>
        <v/>
      </c>
      <c r="AA1015" s="2">
        <f>IF(ISERROR($E$1015),"",IF(ISBLANK($E$1015),"",$E$1015))</f>
        <v/>
      </c>
      <c r="AB1015" s="2">
        <f>IF(ISERROR($F$1015),"",IF(ISBLANK($F$1015),"",$F$1015))</f>
        <v/>
      </c>
      <c r="AC1015" s="2">
        <f>IF(ISERROR($G$1015),"",IF(ISBLANK($G$1015),"",$G$1015))</f>
        <v/>
      </c>
      <c r="AD1015" s="2">
        <f>IF(ISERROR($H$1015),"",IF(ISBLANK($H$1015),"",$H$1015))</f>
        <v/>
      </c>
      <c r="AE1015" s="2">
        <f>IF(ISERROR($I$1015),"",IF(ISBLANK($I$1015),"",$I$1015))</f>
        <v/>
      </c>
      <c r="AF1015" s="2">
        <f>IF(ISERROR($J$1015),"",IF(ISBLANK($J$1015),"",$J$1015))</f>
        <v/>
      </c>
    </row>
    <row r="1016" ht="26" customHeight="1">
      <c r="B1016" s="33" t="n"/>
      <c r="C1016" s="4" t="n"/>
      <c r="D1016" s="4" t="n"/>
      <c r="E1016" s="4" t="n"/>
      <c r="F1016" s="4" t="n"/>
      <c r="G1016" s="4" t="n"/>
      <c r="H1016" s="4" t="n"/>
      <c r="I1016" s="4" t="n"/>
      <c r="J1016" s="4" t="n"/>
      <c r="K1016" s="19">
        <f>IF(AG1016&gt;0,"O Google leu como fórmula: digite de novo com ' na frente.","")</f>
        <v/>
      </c>
      <c r="N1016" s="2">
        <f>N1015+IF(LEN($X$1016)&gt;0,1,0)</f>
        <v/>
      </c>
      <c r="O1016" s="2">
        <f>O1015+IF(LEN($Y$1016)&gt;0,1,0)</f>
        <v/>
      </c>
      <c r="P1016" s="2">
        <f>P1015+IF(LEN($Z$1016)&gt;0,1,0)</f>
        <v/>
      </c>
      <c r="Q1016" s="2">
        <f>Q1015+IF(LEN($AA$1016)&gt;0,1,0)</f>
        <v/>
      </c>
      <c r="R1016" s="2">
        <f>R1015+IF(LEN($AB$1016)&gt;0,1,0)</f>
        <v/>
      </c>
      <c r="S1016" s="2">
        <f>S1015+IF(LEN($AC$1016)&gt;0,1,0)</f>
        <v/>
      </c>
      <c r="T1016" s="2">
        <f>T1015+IF(LEN($AD$1016)&gt;0,1,0)</f>
        <v/>
      </c>
      <c r="U1016" s="2">
        <f>U1015+IF(LEN($AE$1016)&gt;0,1,0)</f>
        <v/>
      </c>
      <c r="V1016" s="2">
        <f>V1015+IF(LEN($AF$1016)&gt;0,1,0)</f>
        <v/>
      </c>
      <c r="X1016" s="2">
        <f>IF(ISERROR($B$1016),"",IF(ISBLANK($B$1016),"",$B$1016))</f>
        <v/>
      </c>
      <c r="Y1016" s="2">
        <f>IF(ISERROR($C$1016),"",IF(ISBLANK($C$1016),"",$C$1016))</f>
        <v/>
      </c>
      <c r="Z1016" s="2">
        <f>IF(ISERROR($D$1016),"",IF(ISBLANK($D$1016),"",$D$1016))</f>
        <v/>
      </c>
      <c r="AA1016" s="2">
        <f>IF(ISERROR($E$1016),"",IF(ISBLANK($E$1016),"",$E$1016))</f>
        <v/>
      </c>
      <c r="AB1016" s="2">
        <f>IF(ISERROR($F$1016),"",IF(ISBLANK($F$1016),"",$F$1016))</f>
        <v/>
      </c>
      <c r="AC1016" s="2">
        <f>IF(ISERROR($G$1016),"",IF(ISBLANK($G$1016),"",$G$1016))</f>
        <v/>
      </c>
      <c r="AD1016" s="2">
        <f>IF(ISERROR($H$1016),"",IF(ISBLANK($H$1016),"",$H$1016))</f>
        <v/>
      </c>
      <c r="AE1016" s="2">
        <f>IF(ISERROR($I$1016),"",IF(ISBLANK($I$1016),"",$I$1016))</f>
        <v/>
      </c>
      <c r="AF1016" s="2">
        <f>IF(ISERROR($J$1016),"",IF(ISBLANK($J$1016),"",$J$1016))</f>
        <v/>
      </c>
      <c r="AG1016" s="2">
        <f>ISERROR($B$1016)*1+ISERROR($C$1016)*1+ISERROR($D$1016)*1+ISERROR($E$1016)*1+ISERROR($F$1016)*1+ISERROR($G$1016)*1+ISERROR($H$1016)*1+ISERROR($I$1016)*1+ISERROR($J$1016)*1</f>
        <v/>
      </c>
    </row>
    <row r="1017" ht="26" customHeight="1">
      <c r="B1017" s="35" t="n"/>
      <c r="C1017" s="29" t="n"/>
      <c r="D1017" s="29" t="n"/>
      <c r="E1017" s="29" t="n"/>
      <c r="F1017" s="29" t="n"/>
      <c r="G1017" s="29" t="n"/>
      <c r="H1017" s="29" t="n"/>
      <c r="I1017" s="29" t="n"/>
      <c r="J1017" s="29" t="n"/>
      <c r="K1017" s="19">
        <f>IF(AG1017&gt;0,"O Google leu como fórmula: digite de novo com ' na frente.","")</f>
        <v/>
      </c>
      <c r="N1017" s="2">
        <f>N1016+IF(LEN($X$1017)&gt;0,1,0)</f>
        <v/>
      </c>
      <c r="O1017" s="2">
        <f>O1016+IF(LEN($Y$1017)&gt;0,1,0)</f>
        <v/>
      </c>
      <c r="P1017" s="2">
        <f>P1016+IF(LEN($Z$1017)&gt;0,1,0)</f>
        <v/>
      </c>
      <c r="Q1017" s="2">
        <f>Q1016+IF(LEN($AA$1017)&gt;0,1,0)</f>
        <v/>
      </c>
      <c r="R1017" s="2">
        <f>R1016+IF(LEN($AB$1017)&gt;0,1,0)</f>
        <v/>
      </c>
      <c r="S1017" s="2">
        <f>S1016+IF(LEN($AC$1017)&gt;0,1,0)</f>
        <v/>
      </c>
      <c r="T1017" s="2">
        <f>T1016+IF(LEN($AD$1017)&gt;0,1,0)</f>
        <v/>
      </c>
      <c r="U1017" s="2">
        <f>U1016+IF(LEN($AE$1017)&gt;0,1,0)</f>
        <v/>
      </c>
      <c r="V1017" s="2">
        <f>V1016+IF(LEN($AF$1017)&gt;0,1,0)</f>
        <v/>
      </c>
      <c r="X1017" s="2">
        <f>IF(ISERROR($B$1017),"",IF(ISBLANK($B$1017),"",$B$1017))</f>
        <v/>
      </c>
      <c r="Y1017" s="2">
        <f>IF(ISERROR($C$1017),"",IF(ISBLANK($C$1017),"",$C$1017))</f>
        <v/>
      </c>
      <c r="Z1017" s="2">
        <f>IF(ISERROR($D$1017),"",IF(ISBLANK($D$1017),"",$D$1017))</f>
        <v/>
      </c>
      <c r="AA1017" s="2">
        <f>IF(ISERROR($E$1017),"",IF(ISBLANK($E$1017),"",$E$1017))</f>
        <v/>
      </c>
      <c r="AB1017" s="2">
        <f>IF(ISERROR($F$1017),"",IF(ISBLANK($F$1017),"",$F$1017))</f>
        <v/>
      </c>
      <c r="AC1017" s="2">
        <f>IF(ISERROR($G$1017),"",IF(ISBLANK($G$1017),"",$G$1017))</f>
        <v/>
      </c>
      <c r="AD1017" s="2">
        <f>IF(ISERROR($H$1017),"",IF(ISBLANK($H$1017),"",$H$1017))</f>
        <v/>
      </c>
      <c r="AE1017" s="2">
        <f>IF(ISERROR($I$1017),"",IF(ISBLANK($I$1017),"",$I$1017))</f>
        <v/>
      </c>
      <c r="AF1017" s="2">
        <f>IF(ISERROR($J$1017),"",IF(ISBLANK($J$1017),"",$J$1017))</f>
        <v/>
      </c>
      <c r="AG1017" s="2">
        <f>ISERROR($B$1017)*1+ISERROR($C$1017)*1+ISERROR($D$1017)*1+ISERROR($E$1017)*1+ISERROR($F$1017)*1+ISERROR($G$1017)*1+ISERROR($H$1017)*1+ISERROR($I$1017)*1+ISERROR($J$1017)*1</f>
        <v/>
      </c>
    </row>
    <row r="1018" ht="26" customHeight="1">
      <c r="B1018" s="33" t="n"/>
      <c r="C1018" s="4" t="n"/>
      <c r="D1018" s="4" t="n"/>
      <c r="E1018" s="4" t="n"/>
      <c r="F1018" s="4" t="n"/>
      <c r="G1018" s="4" t="n"/>
      <c r="H1018" s="4" t="n"/>
      <c r="I1018" s="4" t="n"/>
      <c r="J1018" s="4" t="n"/>
      <c r="K1018" s="19">
        <f>IF(AG1018&gt;0,"O Google leu como fórmula: digite de novo com ' na frente.","")</f>
        <v/>
      </c>
      <c r="N1018" s="2">
        <f>N1017+IF(LEN($X$1018)&gt;0,1,0)</f>
        <v/>
      </c>
      <c r="O1018" s="2">
        <f>O1017+IF(LEN($Y$1018)&gt;0,1,0)</f>
        <v/>
      </c>
      <c r="P1018" s="2">
        <f>P1017+IF(LEN($Z$1018)&gt;0,1,0)</f>
        <v/>
      </c>
      <c r="Q1018" s="2">
        <f>Q1017+IF(LEN($AA$1018)&gt;0,1,0)</f>
        <v/>
      </c>
      <c r="R1018" s="2">
        <f>R1017+IF(LEN($AB$1018)&gt;0,1,0)</f>
        <v/>
      </c>
      <c r="S1018" s="2">
        <f>S1017+IF(LEN($AC$1018)&gt;0,1,0)</f>
        <v/>
      </c>
      <c r="T1018" s="2">
        <f>T1017+IF(LEN($AD$1018)&gt;0,1,0)</f>
        <v/>
      </c>
      <c r="U1018" s="2">
        <f>U1017+IF(LEN($AE$1018)&gt;0,1,0)</f>
        <v/>
      </c>
      <c r="V1018" s="2">
        <f>V1017+IF(LEN($AF$1018)&gt;0,1,0)</f>
        <v/>
      </c>
      <c r="X1018" s="2">
        <f>IF(ISERROR($B$1018),"",IF(ISBLANK($B$1018),"",$B$1018))</f>
        <v/>
      </c>
      <c r="Y1018" s="2">
        <f>IF(ISERROR($C$1018),"",IF(ISBLANK($C$1018),"",$C$1018))</f>
        <v/>
      </c>
      <c r="Z1018" s="2">
        <f>IF(ISERROR($D$1018),"",IF(ISBLANK($D$1018),"",$D$1018))</f>
        <v/>
      </c>
      <c r="AA1018" s="2">
        <f>IF(ISERROR($E$1018),"",IF(ISBLANK($E$1018),"",$E$1018))</f>
        <v/>
      </c>
      <c r="AB1018" s="2">
        <f>IF(ISERROR($F$1018),"",IF(ISBLANK($F$1018),"",$F$1018))</f>
        <v/>
      </c>
      <c r="AC1018" s="2">
        <f>IF(ISERROR($G$1018),"",IF(ISBLANK($G$1018),"",$G$1018))</f>
        <v/>
      </c>
      <c r="AD1018" s="2">
        <f>IF(ISERROR($H$1018),"",IF(ISBLANK($H$1018),"",$H$1018))</f>
        <v/>
      </c>
      <c r="AE1018" s="2">
        <f>IF(ISERROR($I$1018),"",IF(ISBLANK($I$1018),"",$I$1018))</f>
        <v/>
      </c>
      <c r="AF1018" s="2">
        <f>IF(ISERROR($J$1018),"",IF(ISBLANK($J$1018),"",$J$1018))</f>
        <v/>
      </c>
      <c r="AG1018" s="2">
        <f>ISERROR($B$1018)*1+ISERROR($C$1018)*1+ISERROR($D$1018)*1+ISERROR($E$1018)*1+ISERROR($F$1018)*1+ISERROR($G$1018)*1+ISERROR($H$1018)*1+ISERROR($I$1018)*1+ISERROR($J$1018)*1</f>
        <v/>
      </c>
    </row>
    <row r="1019" ht="26" customHeight="1">
      <c r="B1019" s="35" t="n"/>
      <c r="C1019" s="29" t="n"/>
      <c r="D1019" s="29" t="n"/>
      <c r="E1019" s="29" t="n"/>
      <c r="F1019" s="29" t="n"/>
      <c r="G1019" s="29" t="n"/>
      <c r="H1019" s="29" t="n"/>
      <c r="I1019" s="29" t="n"/>
      <c r="J1019" s="29" t="n"/>
      <c r="K1019" s="19">
        <f>IF(AG1019&gt;0,"O Google leu como fórmula: digite de novo com ' na frente.","")</f>
        <v/>
      </c>
      <c r="N1019" s="2">
        <f>N1018+IF(LEN($X$1019)&gt;0,1,0)</f>
        <v/>
      </c>
      <c r="O1019" s="2">
        <f>O1018+IF(LEN($Y$1019)&gt;0,1,0)</f>
        <v/>
      </c>
      <c r="P1019" s="2">
        <f>P1018+IF(LEN($Z$1019)&gt;0,1,0)</f>
        <v/>
      </c>
      <c r="Q1019" s="2">
        <f>Q1018+IF(LEN($AA$1019)&gt;0,1,0)</f>
        <v/>
      </c>
      <c r="R1019" s="2">
        <f>R1018+IF(LEN($AB$1019)&gt;0,1,0)</f>
        <v/>
      </c>
      <c r="S1019" s="2">
        <f>S1018+IF(LEN($AC$1019)&gt;0,1,0)</f>
        <v/>
      </c>
      <c r="T1019" s="2">
        <f>T1018+IF(LEN($AD$1019)&gt;0,1,0)</f>
        <v/>
      </c>
      <c r="U1019" s="2">
        <f>U1018+IF(LEN($AE$1019)&gt;0,1,0)</f>
        <v/>
      </c>
      <c r="V1019" s="2">
        <f>V1018+IF(LEN($AF$1019)&gt;0,1,0)</f>
        <v/>
      </c>
      <c r="X1019" s="2">
        <f>IF(ISERROR($B$1019),"",IF(ISBLANK($B$1019),"",$B$1019))</f>
        <v/>
      </c>
      <c r="Y1019" s="2">
        <f>IF(ISERROR($C$1019),"",IF(ISBLANK($C$1019),"",$C$1019))</f>
        <v/>
      </c>
      <c r="Z1019" s="2">
        <f>IF(ISERROR($D$1019),"",IF(ISBLANK($D$1019),"",$D$1019))</f>
        <v/>
      </c>
      <c r="AA1019" s="2">
        <f>IF(ISERROR($E$1019),"",IF(ISBLANK($E$1019),"",$E$1019))</f>
        <v/>
      </c>
      <c r="AB1019" s="2">
        <f>IF(ISERROR($F$1019),"",IF(ISBLANK($F$1019),"",$F$1019))</f>
        <v/>
      </c>
      <c r="AC1019" s="2">
        <f>IF(ISERROR($G$1019),"",IF(ISBLANK($G$1019),"",$G$1019))</f>
        <v/>
      </c>
      <c r="AD1019" s="2">
        <f>IF(ISERROR($H$1019),"",IF(ISBLANK($H$1019),"",$H$1019))</f>
        <v/>
      </c>
      <c r="AE1019" s="2">
        <f>IF(ISERROR($I$1019),"",IF(ISBLANK($I$1019),"",$I$1019))</f>
        <v/>
      </c>
      <c r="AF1019" s="2">
        <f>IF(ISERROR($J$1019),"",IF(ISBLANK($J$1019),"",$J$1019))</f>
        <v/>
      </c>
      <c r="AG1019" s="2">
        <f>ISERROR($B$1019)*1+ISERROR($C$1019)*1+ISERROR($D$1019)*1+ISERROR($E$1019)*1+ISERROR($F$1019)*1+ISERROR($G$1019)*1+ISERROR($H$1019)*1+ISERROR($I$1019)*1+ISERROR($J$1019)*1</f>
        <v/>
      </c>
    </row>
    <row r="1020" ht="26" customHeight="1">
      <c r="B1020" s="33" t="n"/>
      <c r="C1020" s="4" t="n"/>
      <c r="D1020" s="4" t="n"/>
      <c r="E1020" s="4" t="n"/>
      <c r="F1020" s="4" t="n"/>
      <c r="G1020" s="4" t="n"/>
      <c r="H1020" s="4" t="n"/>
      <c r="I1020" s="4" t="n"/>
      <c r="J1020" s="4" t="n"/>
      <c r="K1020" s="19">
        <f>IF(AG1020&gt;0,"O Google leu como fórmula: digite de novo com ' na frente.","")</f>
        <v/>
      </c>
      <c r="N1020" s="2">
        <f>N1019+IF(LEN($X$1020)&gt;0,1,0)</f>
        <v/>
      </c>
      <c r="O1020" s="2">
        <f>O1019+IF(LEN($Y$1020)&gt;0,1,0)</f>
        <v/>
      </c>
      <c r="P1020" s="2">
        <f>P1019+IF(LEN($Z$1020)&gt;0,1,0)</f>
        <v/>
      </c>
      <c r="Q1020" s="2">
        <f>Q1019+IF(LEN($AA$1020)&gt;0,1,0)</f>
        <v/>
      </c>
      <c r="R1020" s="2">
        <f>R1019+IF(LEN($AB$1020)&gt;0,1,0)</f>
        <v/>
      </c>
      <c r="S1020" s="2">
        <f>S1019+IF(LEN($AC$1020)&gt;0,1,0)</f>
        <v/>
      </c>
      <c r="T1020" s="2">
        <f>T1019+IF(LEN($AD$1020)&gt;0,1,0)</f>
        <v/>
      </c>
      <c r="U1020" s="2">
        <f>U1019+IF(LEN($AE$1020)&gt;0,1,0)</f>
        <v/>
      </c>
      <c r="V1020" s="2">
        <f>V1019+IF(LEN($AF$1020)&gt;0,1,0)</f>
        <v/>
      </c>
      <c r="X1020" s="2">
        <f>IF(ISERROR($B$1020),"",IF(ISBLANK($B$1020),"",$B$1020))</f>
        <v/>
      </c>
      <c r="Y1020" s="2">
        <f>IF(ISERROR($C$1020),"",IF(ISBLANK($C$1020),"",$C$1020))</f>
        <v/>
      </c>
      <c r="Z1020" s="2">
        <f>IF(ISERROR($D$1020),"",IF(ISBLANK($D$1020),"",$D$1020))</f>
        <v/>
      </c>
      <c r="AA1020" s="2">
        <f>IF(ISERROR($E$1020),"",IF(ISBLANK($E$1020),"",$E$1020))</f>
        <v/>
      </c>
      <c r="AB1020" s="2">
        <f>IF(ISERROR($F$1020),"",IF(ISBLANK($F$1020),"",$F$1020))</f>
        <v/>
      </c>
      <c r="AC1020" s="2">
        <f>IF(ISERROR($G$1020),"",IF(ISBLANK($G$1020),"",$G$1020))</f>
        <v/>
      </c>
      <c r="AD1020" s="2">
        <f>IF(ISERROR($H$1020),"",IF(ISBLANK($H$1020),"",$H$1020))</f>
        <v/>
      </c>
      <c r="AE1020" s="2">
        <f>IF(ISERROR($I$1020),"",IF(ISBLANK($I$1020),"",$I$1020))</f>
        <v/>
      </c>
      <c r="AF1020" s="2">
        <f>IF(ISERROR($J$1020),"",IF(ISBLANK($J$1020),"",$J$1020))</f>
        <v/>
      </c>
      <c r="AG1020" s="2">
        <f>ISERROR($B$1020)*1+ISERROR($C$1020)*1+ISERROR($D$1020)*1+ISERROR($E$1020)*1+ISERROR($F$1020)*1+ISERROR($G$1020)*1+ISERROR($H$1020)*1+ISERROR($I$1020)*1+ISERROR($J$1020)*1</f>
        <v/>
      </c>
    </row>
    <row r="1021" ht="26" customHeight="1">
      <c r="B1021" s="35" t="n"/>
      <c r="C1021" s="29" t="n"/>
      <c r="D1021" s="29" t="n"/>
      <c r="E1021" s="29" t="n"/>
      <c r="F1021" s="29" t="n"/>
      <c r="G1021" s="29" t="n"/>
      <c r="H1021" s="29" t="n"/>
      <c r="I1021" s="29" t="n"/>
      <c r="J1021" s="29" t="n"/>
      <c r="K1021" s="19">
        <f>IF(AG1021&gt;0,"O Google leu como fórmula: digite de novo com ' na frente.","")</f>
        <v/>
      </c>
      <c r="N1021" s="2">
        <f>N1020+IF(LEN($X$1021)&gt;0,1,0)</f>
        <v/>
      </c>
      <c r="O1021" s="2">
        <f>O1020+IF(LEN($Y$1021)&gt;0,1,0)</f>
        <v/>
      </c>
      <c r="P1021" s="2">
        <f>P1020+IF(LEN($Z$1021)&gt;0,1,0)</f>
        <v/>
      </c>
      <c r="Q1021" s="2">
        <f>Q1020+IF(LEN($AA$1021)&gt;0,1,0)</f>
        <v/>
      </c>
      <c r="R1021" s="2">
        <f>R1020+IF(LEN($AB$1021)&gt;0,1,0)</f>
        <v/>
      </c>
      <c r="S1021" s="2">
        <f>S1020+IF(LEN($AC$1021)&gt;0,1,0)</f>
        <v/>
      </c>
      <c r="T1021" s="2">
        <f>T1020+IF(LEN($AD$1021)&gt;0,1,0)</f>
        <v/>
      </c>
      <c r="U1021" s="2">
        <f>U1020+IF(LEN($AE$1021)&gt;0,1,0)</f>
        <v/>
      </c>
      <c r="V1021" s="2">
        <f>V1020+IF(LEN($AF$1021)&gt;0,1,0)</f>
        <v/>
      </c>
      <c r="X1021" s="2">
        <f>IF(ISERROR($B$1021),"",IF(ISBLANK($B$1021),"",$B$1021))</f>
        <v/>
      </c>
      <c r="Y1021" s="2">
        <f>IF(ISERROR($C$1021),"",IF(ISBLANK($C$1021),"",$C$1021))</f>
        <v/>
      </c>
      <c r="Z1021" s="2">
        <f>IF(ISERROR($D$1021),"",IF(ISBLANK($D$1021),"",$D$1021))</f>
        <v/>
      </c>
      <c r="AA1021" s="2">
        <f>IF(ISERROR($E$1021),"",IF(ISBLANK($E$1021),"",$E$1021))</f>
        <v/>
      </c>
      <c r="AB1021" s="2">
        <f>IF(ISERROR($F$1021),"",IF(ISBLANK($F$1021),"",$F$1021))</f>
        <v/>
      </c>
      <c r="AC1021" s="2">
        <f>IF(ISERROR($G$1021),"",IF(ISBLANK($G$1021),"",$G$1021))</f>
        <v/>
      </c>
      <c r="AD1021" s="2">
        <f>IF(ISERROR($H$1021),"",IF(ISBLANK($H$1021),"",$H$1021))</f>
        <v/>
      </c>
      <c r="AE1021" s="2">
        <f>IF(ISERROR($I$1021),"",IF(ISBLANK($I$1021),"",$I$1021))</f>
        <v/>
      </c>
      <c r="AF1021" s="2">
        <f>IF(ISERROR($J$1021),"",IF(ISBLANK($J$1021),"",$J$1021))</f>
        <v/>
      </c>
      <c r="AG1021" s="2">
        <f>ISERROR($B$1021)*1+ISERROR($C$1021)*1+ISERROR($D$1021)*1+ISERROR($E$1021)*1+ISERROR($F$1021)*1+ISERROR($G$1021)*1+ISERROR($H$1021)*1+ISERROR($I$1021)*1+ISERROR($J$1021)*1</f>
        <v/>
      </c>
    </row>
    <row r="1022" ht="26" customHeight="1">
      <c r="B1022" s="33" t="n"/>
      <c r="C1022" s="4" t="n"/>
      <c r="D1022" s="4" t="n"/>
      <c r="E1022" s="4" t="n"/>
      <c r="F1022" s="4" t="n"/>
      <c r="G1022" s="4" t="n"/>
      <c r="H1022" s="4" t="n"/>
      <c r="I1022" s="4" t="n"/>
      <c r="J1022" s="4" t="n"/>
      <c r="K1022" s="19">
        <f>IF(AG1022&gt;0,"O Google leu como fórmula: digite de novo com ' na frente.","")</f>
        <v/>
      </c>
      <c r="N1022" s="2">
        <f>N1021+IF(LEN($X$1022)&gt;0,1,0)</f>
        <v/>
      </c>
      <c r="O1022" s="2">
        <f>O1021+IF(LEN($Y$1022)&gt;0,1,0)</f>
        <v/>
      </c>
      <c r="P1022" s="2">
        <f>P1021+IF(LEN($Z$1022)&gt;0,1,0)</f>
        <v/>
      </c>
      <c r="Q1022" s="2">
        <f>Q1021+IF(LEN($AA$1022)&gt;0,1,0)</f>
        <v/>
      </c>
      <c r="R1022" s="2">
        <f>R1021+IF(LEN($AB$1022)&gt;0,1,0)</f>
        <v/>
      </c>
      <c r="S1022" s="2">
        <f>S1021+IF(LEN($AC$1022)&gt;0,1,0)</f>
        <v/>
      </c>
      <c r="T1022" s="2">
        <f>T1021+IF(LEN($AD$1022)&gt;0,1,0)</f>
        <v/>
      </c>
      <c r="U1022" s="2">
        <f>U1021+IF(LEN($AE$1022)&gt;0,1,0)</f>
        <v/>
      </c>
      <c r="V1022" s="2">
        <f>V1021+IF(LEN($AF$1022)&gt;0,1,0)</f>
        <v/>
      </c>
      <c r="X1022" s="2">
        <f>IF(ISERROR($B$1022),"",IF(ISBLANK($B$1022),"",$B$1022))</f>
        <v/>
      </c>
      <c r="Y1022" s="2">
        <f>IF(ISERROR($C$1022),"",IF(ISBLANK($C$1022),"",$C$1022))</f>
        <v/>
      </c>
      <c r="Z1022" s="2">
        <f>IF(ISERROR($D$1022),"",IF(ISBLANK($D$1022),"",$D$1022))</f>
        <v/>
      </c>
      <c r="AA1022" s="2">
        <f>IF(ISERROR($E$1022),"",IF(ISBLANK($E$1022),"",$E$1022))</f>
        <v/>
      </c>
      <c r="AB1022" s="2">
        <f>IF(ISERROR($F$1022),"",IF(ISBLANK($F$1022),"",$F$1022))</f>
        <v/>
      </c>
      <c r="AC1022" s="2">
        <f>IF(ISERROR($G$1022),"",IF(ISBLANK($G$1022),"",$G$1022))</f>
        <v/>
      </c>
      <c r="AD1022" s="2">
        <f>IF(ISERROR($H$1022),"",IF(ISBLANK($H$1022),"",$H$1022))</f>
        <v/>
      </c>
      <c r="AE1022" s="2">
        <f>IF(ISERROR($I$1022),"",IF(ISBLANK($I$1022),"",$I$1022))</f>
        <v/>
      </c>
      <c r="AF1022" s="2">
        <f>IF(ISERROR($J$1022),"",IF(ISBLANK($J$1022),"",$J$1022))</f>
        <v/>
      </c>
      <c r="AG1022" s="2">
        <f>ISERROR($B$1022)*1+ISERROR($C$1022)*1+ISERROR($D$1022)*1+ISERROR($E$1022)*1+ISERROR($F$1022)*1+ISERROR($G$1022)*1+ISERROR($H$1022)*1+ISERROR($I$1022)*1+ISERROR($J$1022)*1</f>
        <v/>
      </c>
    </row>
    <row r="1023" ht="26" customHeight="1">
      <c r="B1023" s="35" t="n"/>
      <c r="C1023" s="29" t="n"/>
      <c r="D1023" s="29" t="n"/>
      <c r="E1023" s="29" t="n"/>
      <c r="F1023" s="29" t="n"/>
      <c r="G1023" s="29" t="n"/>
      <c r="H1023" s="29" t="n"/>
      <c r="I1023" s="29" t="n"/>
      <c r="J1023" s="29" t="n"/>
      <c r="K1023" s="19">
        <f>IF(AG1023&gt;0,"O Google leu como fórmula: digite de novo com ' na frente.","")</f>
        <v/>
      </c>
      <c r="N1023" s="2">
        <f>N1022+IF(LEN($X$1023)&gt;0,1,0)</f>
        <v/>
      </c>
      <c r="O1023" s="2">
        <f>O1022+IF(LEN($Y$1023)&gt;0,1,0)</f>
        <v/>
      </c>
      <c r="P1023" s="2">
        <f>P1022+IF(LEN($Z$1023)&gt;0,1,0)</f>
        <v/>
      </c>
      <c r="Q1023" s="2">
        <f>Q1022+IF(LEN($AA$1023)&gt;0,1,0)</f>
        <v/>
      </c>
      <c r="R1023" s="2">
        <f>R1022+IF(LEN($AB$1023)&gt;0,1,0)</f>
        <v/>
      </c>
      <c r="S1023" s="2">
        <f>S1022+IF(LEN($AC$1023)&gt;0,1,0)</f>
        <v/>
      </c>
      <c r="T1023" s="2">
        <f>T1022+IF(LEN($AD$1023)&gt;0,1,0)</f>
        <v/>
      </c>
      <c r="U1023" s="2">
        <f>U1022+IF(LEN($AE$1023)&gt;0,1,0)</f>
        <v/>
      </c>
      <c r="V1023" s="2">
        <f>V1022+IF(LEN($AF$1023)&gt;0,1,0)</f>
        <v/>
      </c>
      <c r="X1023" s="2">
        <f>IF(ISERROR($B$1023),"",IF(ISBLANK($B$1023),"",$B$1023))</f>
        <v/>
      </c>
      <c r="Y1023" s="2">
        <f>IF(ISERROR($C$1023),"",IF(ISBLANK($C$1023),"",$C$1023))</f>
        <v/>
      </c>
      <c r="Z1023" s="2">
        <f>IF(ISERROR($D$1023),"",IF(ISBLANK($D$1023),"",$D$1023))</f>
        <v/>
      </c>
      <c r="AA1023" s="2">
        <f>IF(ISERROR($E$1023),"",IF(ISBLANK($E$1023),"",$E$1023))</f>
        <v/>
      </c>
      <c r="AB1023" s="2">
        <f>IF(ISERROR($F$1023),"",IF(ISBLANK($F$1023),"",$F$1023))</f>
        <v/>
      </c>
      <c r="AC1023" s="2">
        <f>IF(ISERROR($G$1023),"",IF(ISBLANK($G$1023),"",$G$1023))</f>
        <v/>
      </c>
      <c r="AD1023" s="2">
        <f>IF(ISERROR($H$1023),"",IF(ISBLANK($H$1023),"",$H$1023))</f>
        <v/>
      </c>
      <c r="AE1023" s="2">
        <f>IF(ISERROR($I$1023),"",IF(ISBLANK($I$1023),"",$I$1023))</f>
        <v/>
      </c>
      <c r="AF1023" s="2">
        <f>IF(ISERROR($J$1023),"",IF(ISBLANK($J$1023),"",$J$1023))</f>
        <v/>
      </c>
      <c r="AG1023" s="2">
        <f>ISERROR($B$1023)*1+ISERROR($C$1023)*1+ISERROR($D$1023)*1+ISERROR($E$1023)*1+ISERROR($F$1023)*1+ISERROR($G$1023)*1+ISERROR($H$1023)*1+ISERROR($I$1023)*1+ISERROR($J$1023)*1</f>
        <v/>
      </c>
    </row>
    <row r="1024" ht="26" customHeight="1">
      <c r="B1024" s="33" t="n"/>
      <c r="C1024" s="4" t="n"/>
      <c r="D1024" s="4" t="n"/>
      <c r="E1024" s="4" t="n"/>
      <c r="F1024" s="4" t="n"/>
      <c r="G1024" s="4" t="n"/>
      <c r="H1024" s="4" t="n"/>
      <c r="I1024" s="4" t="n"/>
      <c r="J1024" s="4" t="n"/>
      <c r="K1024" s="19">
        <f>IF(AG1024&gt;0,"O Google leu como fórmula: digite de novo com ' na frente.","")</f>
        <v/>
      </c>
      <c r="N1024" s="2">
        <f>N1023+IF(LEN($X$1024)&gt;0,1,0)</f>
        <v/>
      </c>
      <c r="O1024" s="2">
        <f>O1023+IF(LEN($Y$1024)&gt;0,1,0)</f>
        <v/>
      </c>
      <c r="P1024" s="2">
        <f>P1023+IF(LEN($Z$1024)&gt;0,1,0)</f>
        <v/>
      </c>
      <c r="Q1024" s="2">
        <f>Q1023+IF(LEN($AA$1024)&gt;0,1,0)</f>
        <v/>
      </c>
      <c r="R1024" s="2">
        <f>R1023+IF(LEN($AB$1024)&gt;0,1,0)</f>
        <v/>
      </c>
      <c r="S1024" s="2">
        <f>S1023+IF(LEN($AC$1024)&gt;0,1,0)</f>
        <v/>
      </c>
      <c r="T1024" s="2">
        <f>T1023+IF(LEN($AD$1024)&gt;0,1,0)</f>
        <v/>
      </c>
      <c r="U1024" s="2">
        <f>U1023+IF(LEN($AE$1024)&gt;0,1,0)</f>
        <v/>
      </c>
      <c r="V1024" s="2">
        <f>V1023+IF(LEN($AF$1024)&gt;0,1,0)</f>
        <v/>
      </c>
      <c r="X1024" s="2">
        <f>IF(ISERROR($B$1024),"",IF(ISBLANK($B$1024),"",$B$1024))</f>
        <v/>
      </c>
      <c r="Y1024" s="2">
        <f>IF(ISERROR($C$1024),"",IF(ISBLANK($C$1024),"",$C$1024))</f>
        <v/>
      </c>
      <c r="Z1024" s="2">
        <f>IF(ISERROR($D$1024),"",IF(ISBLANK($D$1024),"",$D$1024))</f>
        <v/>
      </c>
      <c r="AA1024" s="2">
        <f>IF(ISERROR($E$1024),"",IF(ISBLANK($E$1024),"",$E$1024))</f>
        <v/>
      </c>
      <c r="AB1024" s="2">
        <f>IF(ISERROR($F$1024),"",IF(ISBLANK($F$1024),"",$F$1024))</f>
        <v/>
      </c>
      <c r="AC1024" s="2">
        <f>IF(ISERROR($G$1024),"",IF(ISBLANK($G$1024),"",$G$1024))</f>
        <v/>
      </c>
      <c r="AD1024" s="2">
        <f>IF(ISERROR($H$1024),"",IF(ISBLANK($H$1024),"",$H$1024))</f>
        <v/>
      </c>
      <c r="AE1024" s="2">
        <f>IF(ISERROR($I$1024),"",IF(ISBLANK($I$1024),"",$I$1024))</f>
        <v/>
      </c>
      <c r="AF1024" s="2">
        <f>IF(ISERROR($J$1024),"",IF(ISBLANK($J$1024),"",$J$1024))</f>
        <v/>
      </c>
      <c r="AG1024" s="2">
        <f>ISERROR($B$1024)*1+ISERROR($C$1024)*1+ISERROR($D$1024)*1+ISERROR($E$1024)*1+ISERROR($F$1024)*1+ISERROR($G$1024)*1+ISERROR($H$1024)*1+ISERROR($I$1024)*1+ISERROR($J$1024)*1</f>
        <v/>
      </c>
    </row>
    <row r="1025" ht="26" customHeight="1">
      <c r="B1025" s="35" t="n"/>
      <c r="C1025" s="29" t="n"/>
      <c r="D1025" s="29" t="n"/>
      <c r="E1025" s="29" t="n"/>
      <c r="F1025" s="29" t="n"/>
      <c r="G1025" s="29" t="n"/>
      <c r="H1025" s="29" t="n"/>
      <c r="I1025" s="29" t="n"/>
      <c r="J1025" s="29" t="n"/>
      <c r="K1025" s="19">
        <f>IF(AG1025&gt;0,"O Google leu como fórmula: digite de novo com ' na frente.","")</f>
        <v/>
      </c>
      <c r="N1025" s="2">
        <f>N1024+IF(LEN($X$1025)&gt;0,1,0)</f>
        <v/>
      </c>
      <c r="O1025" s="2">
        <f>O1024+IF(LEN($Y$1025)&gt;0,1,0)</f>
        <v/>
      </c>
      <c r="P1025" s="2">
        <f>P1024+IF(LEN($Z$1025)&gt;0,1,0)</f>
        <v/>
      </c>
      <c r="Q1025" s="2">
        <f>Q1024+IF(LEN($AA$1025)&gt;0,1,0)</f>
        <v/>
      </c>
      <c r="R1025" s="2">
        <f>R1024+IF(LEN($AB$1025)&gt;0,1,0)</f>
        <v/>
      </c>
      <c r="S1025" s="2">
        <f>S1024+IF(LEN($AC$1025)&gt;0,1,0)</f>
        <v/>
      </c>
      <c r="T1025" s="2">
        <f>T1024+IF(LEN($AD$1025)&gt;0,1,0)</f>
        <v/>
      </c>
      <c r="U1025" s="2">
        <f>U1024+IF(LEN($AE$1025)&gt;0,1,0)</f>
        <v/>
      </c>
      <c r="V1025" s="2">
        <f>V1024+IF(LEN($AF$1025)&gt;0,1,0)</f>
        <v/>
      </c>
      <c r="X1025" s="2">
        <f>IF(ISERROR($B$1025),"",IF(ISBLANK($B$1025),"",$B$1025))</f>
        <v/>
      </c>
      <c r="Y1025" s="2">
        <f>IF(ISERROR($C$1025),"",IF(ISBLANK($C$1025),"",$C$1025))</f>
        <v/>
      </c>
      <c r="Z1025" s="2">
        <f>IF(ISERROR($D$1025),"",IF(ISBLANK($D$1025),"",$D$1025))</f>
        <v/>
      </c>
      <c r="AA1025" s="2">
        <f>IF(ISERROR($E$1025),"",IF(ISBLANK($E$1025),"",$E$1025))</f>
        <v/>
      </c>
      <c r="AB1025" s="2">
        <f>IF(ISERROR($F$1025),"",IF(ISBLANK($F$1025),"",$F$1025))</f>
        <v/>
      </c>
      <c r="AC1025" s="2">
        <f>IF(ISERROR($G$1025),"",IF(ISBLANK($G$1025),"",$G$1025))</f>
        <v/>
      </c>
      <c r="AD1025" s="2">
        <f>IF(ISERROR($H$1025),"",IF(ISBLANK($H$1025),"",$H$1025))</f>
        <v/>
      </c>
      <c r="AE1025" s="2">
        <f>IF(ISERROR($I$1025),"",IF(ISBLANK($I$1025),"",$I$1025))</f>
        <v/>
      </c>
      <c r="AF1025" s="2">
        <f>IF(ISERROR($J$1025),"",IF(ISBLANK($J$1025),"",$J$1025))</f>
        <v/>
      </c>
      <c r="AG1025" s="2">
        <f>ISERROR($B$1025)*1+ISERROR($C$1025)*1+ISERROR($D$1025)*1+ISERROR($E$1025)*1+ISERROR($F$1025)*1+ISERROR($G$1025)*1+ISERROR($H$1025)*1+ISERROR($I$1025)*1+ISERROR($J$1025)*1</f>
        <v/>
      </c>
    </row>
    <row r="1026" ht="26" customHeight="1">
      <c r="B1026" s="33" t="n"/>
      <c r="C1026" s="4" t="n"/>
      <c r="D1026" s="4" t="n"/>
      <c r="E1026" s="4" t="n"/>
      <c r="F1026" s="4" t="n"/>
      <c r="G1026" s="4" t="n"/>
      <c r="H1026" s="4" t="n"/>
      <c r="I1026" s="4" t="n"/>
      <c r="J1026" s="4" t="n"/>
      <c r="K1026" s="19">
        <f>IF(AG1026&gt;0,"O Google leu como fórmula: digite de novo com ' na frente.","")</f>
        <v/>
      </c>
      <c r="N1026" s="2">
        <f>N1025+IF(LEN($X$1026)&gt;0,1,0)</f>
        <v/>
      </c>
      <c r="O1026" s="2">
        <f>O1025+IF(LEN($Y$1026)&gt;0,1,0)</f>
        <v/>
      </c>
      <c r="P1026" s="2">
        <f>P1025+IF(LEN($Z$1026)&gt;0,1,0)</f>
        <v/>
      </c>
      <c r="Q1026" s="2">
        <f>Q1025+IF(LEN($AA$1026)&gt;0,1,0)</f>
        <v/>
      </c>
      <c r="R1026" s="2">
        <f>R1025+IF(LEN($AB$1026)&gt;0,1,0)</f>
        <v/>
      </c>
      <c r="S1026" s="2">
        <f>S1025+IF(LEN($AC$1026)&gt;0,1,0)</f>
        <v/>
      </c>
      <c r="T1026" s="2">
        <f>T1025+IF(LEN($AD$1026)&gt;0,1,0)</f>
        <v/>
      </c>
      <c r="U1026" s="2">
        <f>U1025+IF(LEN($AE$1026)&gt;0,1,0)</f>
        <v/>
      </c>
      <c r="V1026" s="2">
        <f>V1025+IF(LEN($AF$1026)&gt;0,1,0)</f>
        <v/>
      </c>
      <c r="X1026" s="2">
        <f>IF(ISERROR($B$1026),"",IF(ISBLANK($B$1026),"",$B$1026))</f>
        <v/>
      </c>
      <c r="Y1026" s="2">
        <f>IF(ISERROR($C$1026),"",IF(ISBLANK($C$1026),"",$C$1026))</f>
        <v/>
      </c>
      <c r="Z1026" s="2">
        <f>IF(ISERROR($D$1026),"",IF(ISBLANK($D$1026),"",$D$1026))</f>
        <v/>
      </c>
      <c r="AA1026" s="2">
        <f>IF(ISERROR($E$1026),"",IF(ISBLANK($E$1026),"",$E$1026))</f>
        <v/>
      </c>
      <c r="AB1026" s="2">
        <f>IF(ISERROR($F$1026),"",IF(ISBLANK($F$1026),"",$F$1026))</f>
        <v/>
      </c>
      <c r="AC1026" s="2">
        <f>IF(ISERROR($G$1026),"",IF(ISBLANK($G$1026),"",$G$1026))</f>
        <v/>
      </c>
      <c r="AD1026" s="2">
        <f>IF(ISERROR($H$1026),"",IF(ISBLANK($H$1026),"",$H$1026))</f>
        <v/>
      </c>
      <c r="AE1026" s="2">
        <f>IF(ISERROR($I$1026),"",IF(ISBLANK($I$1026),"",$I$1026))</f>
        <v/>
      </c>
      <c r="AF1026" s="2">
        <f>IF(ISERROR($J$1026),"",IF(ISBLANK($J$1026),"",$J$1026))</f>
        <v/>
      </c>
      <c r="AG1026" s="2">
        <f>ISERROR($B$1026)*1+ISERROR($C$1026)*1+ISERROR($D$1026)*1+ISERROR($E$1026)*1+ISERROR($F$1026)*1+ISERROR($G$1026)*1+ISERROR($H$1026)*1+ISERROR($I$1026)*1+ISERROR($J$1026)*1</f>
        <v/>
      </c>
    </row>
    <row r="1027" ht="26" customHeight="1">
      <c r="B1027" s="35" t="n"/>
      <c r="C1027" s="29" t="n"/>
      <c r="D1027" s="29" t="n"/>
      <c r="E1027" s="29" t="n"/>
      <c r="F1027" s="29" t="n"/>
      <c r="G1027" s="29" t="n"/>
      <c r="H1027" s="29" t="n"/>
      <c r="I1027" s="29" t="n"/>
      <c r="J1027" s="29" t="n"/>
      <c r="K1027" s="19">
        <f>IF(AG1027&gt;0,"O Google leu como fórmula: digite de novo com ' na frente.","")</f>
        <v/>
      </c>
      <c r="N1027" s="2">
        <f>N1026+IF(LEN($X$1027)&gt;0,1,0)</f>
        <v/>
      </c>
      <c r="O1027" s="2">
        <f>O1026+IF(LEN($Y$1027)&gt;0,1,0)</f>
        <v/>
      </c>
      <c r="P1027" s="2">
        <f>P1026+IF(LEN($Z$1027)&gt;0,1,0)</f>
        <v/>
      </c>
      <c r="Q1027" s="2">
        <f>Q1026+IF(LEN($AA$1027)&gt;0,1,0)</f>
        <v/>
      </c>
      <c r="R1027" s="2">
        <f>R1026+IF(LEN($AB$1027)&gt;0,1,0)</f>
        <v/>
      </c>
      <c r="S1027" s="2">
        <f>S1026+IF(LEN($AC$1027)&gt;0,1,0)</f>
        <v/>
      </c>
      <c r="T1027" s="2">
        <f>T1026+IF(LEN($AD$1027)&gt;0,1,0)</f>
        <v/>
      </c>
      <c r="U1027" s="2">
        <f>U1026+IF(LEN($AE$1027)&gt;0,1,0)</f>
        <v/>
      </c>
      <c r="V1027" s="2">
        <f>V1026+IF(LEN($AF$1027)&gt;0,1,0)</f>
        <v/>
      </c>
      <c r="X1027" s="2">
        <f>IF(ISERROR($B$1027),"",IF(ISBLANK($B$1027),"",$B$1027))</f>
        <v/>
      </c>
      <c r="Y1027" s="2">
        <f>IF(ISERROR($C$1027),"",IF(ISBLANK($C$1027),"",$C$1027))</f>
        <v/>
      </c>
      <c r="Z1027" s="2">
        <f>IF(ISERROR($D$1027),"",IF(ISBLANK($D$1027),"",$D$1027))</f>
        <v/>
      </c>
      <c r="AA1027" s="2">
        <f>IF(ISERROR($E$1027),"",IF(ISBLANK($E$1027),"",$E$1027))</f>
        <v/>
      </c>
      <c r="AB1027" s="2">
        <f>IF(ISERROR($F$1027),"",IF(ISBLANK($F$1027),"",$F$1027))</f>
        <v/>
      </c>
      <c r="AC1027" s="2">
        <f>IF(ISERROR($G$1027),"",IF(ISBLANK($G$1027),"",$G$1027))</f>
        <v/>
      </c>
      <c r="AD1027" s="2">
        <f>IF(ISERROR($H$1027),"",IF(ISBLANK($H$1027),"",$H$1027))</f>
        <v/>
      </c>
      <c r="AE1027" s="2">
        <f>IF(ISERROR($I$1027),"",IF(ISBLANK($I$1027),"",$I$1027))</f>
        <v/>
      </c>
      <c r="AF1027" s="2">
        <f>IF(ISERROR($J$1027),"",IF(ISBLANK($J$1027),"",$J$1027))</f>
        <v/>
      </c>
      <c r="AG1027" s="2">
        <f>ISERROR($B$1027)*1+ISERROR($C$1027)*1+ISERROR($D$1027)*1+ISERROR($E$1027)*1+ISERROR($F$1027)*1+ISERROR($G$1027)*1+ISERROR($H$1027)*1+ISERROR($I$1027)*1+ISERROR($J$1027)*1</f>
        <v/>
      </c>
    </row>
    <row r="1028" ht="26" customHeight="1">
      <c r="B1028" s="33" t="n"/>
      <c r="C1028" s="4" t="n"/>
      <c r="D1028" s="4" t="n"/>
      <c r="E1028" s="4" t="n"/>
      <c r="F1028" s="4" t="n"/>
      <c r="G1028" s="4" t="n"/>
      <c r="H1028" s="4" t="n"/>
      <c r="I1028" s="4" t="n"/>
      <c r="J1028" s="4" t="n"/>
      <c r="K1028" s="19">
        <f>IF(AG1028&gt;0,"O Google leu como fórmula: digite de novo com ' na frente.","")</f>
        <v/>
      </c>
      <c r="N1028" s="2">
        <f>N1027+IF(LEN($X$1028)&gt;0,1,0)</f>
        <v/>
      </c>
      <c r="O1028" s="2">
        <f>O1027+IF(LEN($Y$1028)&gt;0,1,0)</f>
        <v/>
      </c>
      <c r="P1028" s="2">
        <f>P1027+IF(LEN($Z$1028)&gt;0,1,0)</f>
        <v/>
      </c>
      <c r="Q1028" s="2">
        <f>Q1027+IF(LEN($AA$1028)&gt;0,1,0)</f>
        <v/>
      </c>
      <c r="R1028" s="2">
        <f>R1027+IF(LEN($AB$1028)&gt;0,1,0)</f>
        <v/>
      </c>
      <c r="S1028" s="2">
        <f>S1027+IF(LEN($AC$1028)&gt;0,1,0)</f>
        <v/>
      </c>
      <c r="T1028" s="2">
        <f>T1027+IF(LEN($AD$1028)&gt;0,1,0)</f>
        <v/>
      </c>
      <c r="U1028" s="2">
        <f>U1027+IF(LEN($AE$1028)&gt;0,1,0)</f>
        <v/>
      </c>
      <c r="V1028" s="2">
        <f>V1027+IF(LEN($AF$1028)&gt;0,1,0)</f>
        <v/>
      </c>
      <c r="X1028" s="2">
        <f>IF(ISERROR($B$1028),"",IF(ISBLANK($B$1028),"",$B$1028))</f>
        <v/>
      </c>
      <c r="Y1028" s="2">
        <f>IF(ISERROR($C$1028),"",IF(ISBLANK($C$1028),"",$C$1028))</f>
        <v/>
      </c>
      <c r="Z1028" s="2">
        <f>IF(ISERROR($D$1028),"",IF(ISBLANK($D$1028),"",$D$1028))</f>
        <v/>
      </c>
      <c r="AA1028" s="2">
        <f>IF(ISERROR($E$1028),"",IF(ISBLANK($E$1028),"",$E$1028))</f>
        <v/>
      </c>
      <c r="AB1028" s="2">
        <f>IF(ISERROR($F$1028),"",IF(ISBLANK($F$1028),"",$F$1028))</f>
        <v/>
      </c>
      <c r="AC1028" s="2">
        <f>IF(ISERROR($G$1028),"",IF(ISBLANK($G$1028),"",$G$1028))</f>
        <v/>
      </c>
      <c r="AD1028" s="2">
        <f>IF(ISERROR($H$1028),"",IF(ISBLANK($H$1028),"",$H$1028))</f>
        <v/>
      </c>
      <c r="AE1028" s="2">
        <f>IF(ISERROR($I$1028),"",IF(ISBLANK($I$1028),"",$I$1028))</f>
        <v/>
      </c>
      <c r="AF1028" s="2">
        <f>IF(ISERROR($J$1028),"",IF(ISBLANK($J$1028),"",$J$1028))</f>
        <v/>
      </c>
      <c r="AG1028" s="2">
        <f>ISERROR($B$1028)*1+ISERROR($C$1028)*1+ISERROR($D$1028)*1+ISERROR($E$1028)*1+ISERROR($F$1028)*1+ISERROR($G$1028)*1+ISERROR($H$1028)*1+ISERROR($I$1028)*1+ISERROR($J$1028)*1</f>
        <v/>
      </c>
    </row>
    <row r="1029" ht="26" customHeight="1">
      <c r="B1029" s="8" t="inlineStr">
        <is>
          <t>Tipo de mundo</t>
        </is>
      </c>
      <c r="C1029" s="8" t="inlineStr">
        <is>
          <t>Condição marcante</t>
        </is>
      </c>
      <c r="D1029" s="8" t="inlineStr">
        <is>
          <t>O que fazem de manhã (27.17)</t>
        </is>
      </c>
      <c r="E1029" s="8" t="inlineStr">
        <is>
          <t>O que pararam de fazer (27.17)</t>
        </is>
      </c>
      <c r="F1029" s="8" t="inlineStr">
        <is>
          <t>Presença: Stellaron ou Fragmentum (peso)</t>
        </is>
      </c>
      <c r="G1029" s="8" t="inlineStr">
        <is>
          <t>Função da estação</t>
        </is>
      </c>
      <c r="H1029" s="8" t="inlineStr">
        <is>
          <t>Problema da estação</t>
        </is>
      </c>
      <c r="I1029" s="8" t="inlineStr">
        <is>
          <t>Classe da nave</t>
        </is>
      </c>
      <c r="J1029" s="8" t="inlineStr">
        <is>
          <t>Peculiaridade da nave</t>
        </is>
      </c>
      <c r="N1029" s="2">
        <f>N1028</f>
        <v/>
      </c>
      <c r="O1029" s="2">
        <f>O1028</f>
        <v/>
      </c>
      <c r="P1029" s="2">
        <f>P1028</f>
        <v/>
      </c>
      <c r="Q1029" s="2">
        <f>Q1028</f>
        <v/>
      </c>
      <c r="R1029" s="2">
        <f>R1028</f>
        <v/>
      </c>
      <c r="S1029" s="2">
        <f>S1028</f>
        <v/>
      </c>
      <c r="T1029" s="2">
        <f>T1028</f>
        <v/>
      </c>
      <c r="U1029" s="2">
        <f>U1028</f>
        <v/>
      </c>
      <c r="V1029" s="2">
        <f>V1028</f>
        <v/>
      </c>
      <c r="X1029" s="2">
        <f>IF(ISERROR($B$1029),"",IF(ISBLANK($B$1029),"",$B$1029))</f>
        <v/>
      </c>
      <c r="Y1029" s="2">
        <f>IF(ISERROR($C$1029),"",IF(ISBLANK($C$1029),"",$C$1029))</f>
        <v/>
      </c>
      <c r="Z1029" s="2">
        <f>IF(ISERROR($D$1029),"",IF(ISBLANK($D$1029),"",$D$1029))</f>
        <v/>
      </c>
      <c r="AA1029" s="2">
        <f>IF(ISERROR($E$1029),"",IF(ISBLANK($E$1029),"",$E$1029))</f>
        <v/>
      </c>
      <c r="AB1029" s="2">
        <f>IF(ISERROR($F$1029),"",IF(ISBLANK($F$1029),"",$F$1029))</f>
        <v/>
      </c>
      <c r="AC1029" s="2">
        <f>IF(ISERROR($G$1029),"",IF(ISBLANK($G$1029),"",$G$1029))</f>
        <v/>
      </c>
      <c r="AD1029" s="2">
        <f>IF(ISERROR($H$1029),"",IF(ISBLANK($H$1029),"",$H$1029))</f>
        <v/>
      </c>
      <c r="AE1029" s="2">
        <f>IF(ISERROR($I$1029),"",IF(ISBLANK($I$1029),"",$I$1029))</f>
        <v/>
      </c>
      <c r="AF1029" s="2">
        <f>IF(ISERROR($J$1029),"",IF(ISBLANK($J$1029),"",$J$1029))</f>
        <v/>
      </c>
    </row>
    <row r="1030" ht="26" customHeight="1">
      <c r="B1030" s="33" t="n"/>
      <c r="C1030" s="4" t="n"/>
      <c r="D1030" s="4" t="n"/>
      <c r="E1030" s="4" t="n"/>
      <c r="F1030" s="4" t="n"/>
      <c r="G1030" s="4" t="n"/>
      <c r="H1030" s="4" t="n"/>
      <c r="I1030" s="4" t="n"/>
      <c r="J1030" s="4" t="n"/>
      <c r="K1030" s="19">
        <f>IF(AG1030&gt;0,"O Google leu como fórmula: digite de novo com ' na frente.","")</f>
        <v/>
      </c>
      <c r="N1030" s="2">
        <f>N1029+IF(LEN($X$1030)&gt;0,1,0)</f>
        <v/>
      </c>
      <c r="O1030" s="2">
        <f>O1029+IF(LEN($Y$1030)&gt;0,1,0)</f>
        <v/>
      </c>
      <c r="P1030" s="2">
        <f>P1029+IF(LEN($Z$1030)&gt;0,1,0)</f>
        <v/>
      </c>
      <c r="Q1030" s="2">
        <f>Q1029+IF(LEN($AA$1030)&gt;0,1,0)</f>
        <v/>
      </c>
      <c r="R1030" s="2">
        <f>R1029+IF(LEN($AB$1030)&gt;0,1,0)</f>
        <v/>
      </c>
      <c r="S1030" s="2">
        <f>S1029+IF(LEN($AC$1030)&gt;0,1,0)</f>
        <v/>
      </c>
      <c r="T1030" s="2">
        <f>T1029+IF(LEN($AD$1030)&gt;0,1,0)</f>
        <v/>
      </c>
      <c r="U1030" s="2">
        <f>U1029+IF(LEN($AE$1030)&gt;0,1,0)</f>
        <v/>
      </c>
      <c r="V1030" s="2">
        <f>V1029+IF(LEN($AF$1030)&gt;0,1,0)</f>
        <v/>
      </c>
      <c r="X1030" s="2">
        <f>IF(ISERROR($B$1030),"",IF(ISBLANK($B$1030),"",$B$1030))</f>
        <v/>
      </c>
      <c r="Y1030" s="2">
        <f>IF(ISERROR($C$1030),"",IF(ISBLANK($C$1030),"",$C$1030))</f>
        <v/>
      </c>
      <c r="Z1030" s="2">
        <f>IF(ISERROR($D$1030),"",IF(ISBLANK($D$1030),"",$D$1030))</f>
        <v/>
      </c>
      <c r="AA1030" s="2">
        <f>IF(ISERROR($E$1030),"",IF(ISBLANK($E$1030),"",$E$1030))</f>
        <v/>
      </c>
      <c r="AB1030" s="2">
        <f>IF(ISERROR($F$1030),"",IF(ISBLANK($F$1030),"",$F$1030))</f>
        <v/>
      </c>
      <c r="AC1030" s="2">
        <f>IF(ISERROR($G$1030),"",IF(ISBLANK($G$1030),"",$G$1030))</f>
        <v/>
      </c>
      <c r="AD1030" s="2">
        <f>IF(ISERROR($H$1030),"",IF(ISBLANK($H$1030),"",$H$1030))</f>
        <v/>
      </c>
      <c r="AE1030" s="2">
        <f>IF(ISERROR($I$1030),"",IF(ISBLANK($I$1030),"",$I$1030))</f>
        <v/>
      </c>
      <c r="AF1030" s="2">
        <f>IF(ISERROR($J$1030),"",IF(ISBLANK($J$1030),"",$J$1030))</f>
        <v/>
      </c>
      <c r="AG1030" s="2">
        <f>ISERROR($B$1030)*1+ISERROR($C$1030)*1+ISERROR($D$1030)*1+ISERROR($E$1030)*1+ISERROR($F$1030)*1+ISERROR($G$1030)*1+ISERROR($H$1030)*1+ISERROR($I$1030)*1+ISERROR($J$1030)*1</f>
        <v/>
      </c>
    </row>
    <row r="1031" ht="26" customHeight="1">
      <c r="B1031" s="35" t="n"/>
      <c r="C1031" s="29" t="n"/>
      <c r="D1031" s="29" t="n"/>
      <c r="E1031" s="29" t="n"/>
      <c r="F1031" s="29" t="n"/>
      <c r="G1031" s="29" t="n"/>
      <c r="H1031" s="29" t="n"/>
      <c r="I1031" s="29" t="n"/>
      <c r="J1031" s="29" t="n"/>
      <c r="K1031" s="19">
        <f>IF(AG1031&gt;0,"O Google leu como fórmula: digite de novo com ' na frente.","")</f>
        <v/>
      </c>
      <c r="N1031" s="2">
        <f>N1030+IF(LEN($X$1031)&gt;0,1,0)</f>
        <v/>
      </c>
      <c r="O1031" s="2">
        <f>O1030+IF(LEN($Y$1031)&gt;0,1,0)</f>
        <v/>
      </c>
      <c r="P1031" s="2">
        <f>P1030+IF(LEN($Z$1031)&gt;0,1,0)</f>
        <v/>
      </c>
      <c r="Q1031" s="2">
        <f>Q1030+IF(LEN($AA$1031)&gt;0,1,0)</f>
        <v/>
      </c>
      <c r="R1031" s="2">
        <f>R1030+IF(LEN($AB$1031)&gt;0,1,0)</f>
        <v/>
      </c>
      <c r="S1031" s="2">
        <f>S1030+IF(LEN($AC$1031)&gt;0,1,0)</f>
        <v/>
      </c>
      <c r="T1031" s="2">
        <f>T1030+IF(LEN($AD$1031)&gt;0,1,0)</f>
        <v/>
      </c>
      <c r="U1031" s="2">
        <f>U1030+IF(LEN($AE$1031)&gt;0,1,0)</f>
        <v/>
      </c>
      <c r="V1031" s="2">
        <f>V1030+IF(LEN($AF$1031)&gt;0,1,0)</f>
        <v/>
      </c>
      <c r="X1031" s="2">
        <f>IF(ISERROR($B$1031),"",IF(ISBLANK($B$1031),"",$B$1031))</f>
        <v/>
      </c>
      <c r="Y1031" s="2">
        <f>IF(ISERROR($C$1031),"",IF(ISBLANK($C$1031),"",$C$1031))</f>
        <v/>
      </c>
      <c r="Z1031" s="2">
        <f>IF(ISERROR($D$1031),"",IF(ISBLANK($D$1031),"",$D$1031))</f>
        <v/>
      </c>
      <c r="AA1031" s="2">
        <f>IF(ISERROR($E$1031),"",IF(ISBLANK($E$1031),"",$E$1031))</f>
        <v/>
      </c>
      <c r="AB1031" s="2">
        <f>IF(ISERROR($F$1031),"",IF(ISBLANK($F$1031),"",$F$1031))</f>
        <v/>
      </c>
      <c r="AC1031" s="2">
        <f>IF(ISERROR($G$1031),"",IF(ISBLANK($G$1031),"",$G$1031))</f>
        <v/>
      </c>
      <c r="AD1031" s="2">
        <f>IF(ISERROR($H$1031),"",IF(ISBLANK($H$1031),"",$H$1031))</f>
        <v/>
      </c>
      <c r="AE1031" s="2">
        <f>IF(ISERROR($I$1031),"",IF(ISBLANK($I$1031),"",$I$1031))</f>
        <v/>
      </c>
      <c r="AF1031" s="2">
        <f>IF(ISERROR($J$1031),"",IF(ISBLANK($J$1031),"",$J$1031))</f>
        <v/>
      </c>
      <c r="AG1031" s="2">
        <f>ISERROR($B$1031)*1+ISERROR($C$1031)*1+ISERROR($D$1031)*1+ISERROR($E$1031)*1+ISERROR($F$1031)*1+ISERROR($G$1031)*1+ISERROR($H$1031)*1+ISERROR($I$1031)*1+ISERROR($J$1031)*1</f>
        <v/>
      </c>
    </row>
    <row r="1032" ht="26" customHeight="1">
      <c r="B1032" s="33" t="n"/>
      <c r="C1032" s="4" t="n"/>
      <c r="D1032" s="4" t="n"/>
      <c r="E1032" s="4" t="n"/>
      <c r="F1032" s="4" t="n"/>
      <c r="G1032" s="4" t="n"/>
      <c r="H1032" s="4" t="n"/>
      <c r="I1032" s="4" t="n"/>
      <c r="J1032" s="4" t="n"/>
      <c r="K1032" s="19">
        <f>IF(AG1032&gt;0,"O Google leu como fórmula: digite de novo com ' na frente.","")</f>
        <v/>
      </c>
      <c r="N1032" s="2">
        <f>N1031+IF(LEN($X$1032)&gt;0,1,0)</f>
        <v/>
      </c>
      <c r="O1032" s="2">
        <f>O1031+IF(LEN($Y$1032)&gt;0,1,0)</f>
        <v/>
      </c>
      <c r="P1032" s="2">
        <f>P1031+IF(LEN($Z$1032)&gt;0,1,0)</f>
        <v/>
      </c>
      <c r="Q1032" s="2">
        <f>Q1031+IF(LEN($AA$1032)&gt;0,1,0)</f>
        <v/>
      </c>
      <c r="R1032" s="2">
        <f>R1031+IF(LEN($AB$1032)&gt;0,1,0)</f>
        <v/>
      </c>
      <c r="S1032" s="2">
        <f>S1031+IF(LEN($AC$1032)&gt;0,1,0)</f>
        <v/>
      </c>
      <c r="T1032" s="2">
        <f>T1031+IF(LEN($AD$1032)&gt;0,1,0)</f>
        <v/>
      </c>
      <c r="U1032" s="2">
        <f>U1031+IF(LEN($AE$1032)&gt;0,1,0)</f>
        <v/>
      </c>
      <c r="V1032" s="2">
        <f>V1031+IF(LEN($AF$1032)&gt;0,1,0)</f>
        <v/>
      </c>
      <c r="X1032" s="2">
        <f>IF(ISERROR($B$1032),"",IF(ISBLANK($B$1032),"",$B$1032))</f>
        <v/>
      </c>
      <c r="Y1032" s="2">
        <f>IF(ISERROR($C$1032),"",IF(ISBLANK($C$1032),"",$C$1032))</f>
        <v/>
      </c>
      <c r="Z1032" s="2">
        <f>IF(ISERROR($D$1032),"",IF(ISBLANK($D$1032),"",$D$1032))</f>
        <v/>
      </c>
      <c r="AA1032" s="2">
        <f>IF(ISERROR($E$1032),"",IF(ISBLANK($E$1032),"",$E$1032))</f>
        <v/>
      </c>
      <c r="AB1032" s="2">
        <f>IF(ISERROR($F$1032),"",IF(ISBLANK($F$1032),"",$F$1032))</f>
        <v/>
      </c>
      <c r="AC1032" s="2">
        <f>IF(ISERROR($G$1032),"",IF(ISBLANK($G$1032),"",$G$1032))</f>
        <v/>
      </c>
      <c r="AD1032" s="2">
        <f>IF(ISERROR($H$1032),"",IF(ISBLANK($H$1032),"",$H$1032))</f>
        <v/>
      </c>
      <c r="AE1032" s="2">
        <f>IF(ISERROR($I$1032),"",IF(ISBLANK($I$1032),"",$I$1032))</f>
        <v/>
      </c>
      <c r="AF1032" s="2">
        <f>IF(ISERROR($J$1032),"",IF(ISBLANK($J$1032),"",$J$1032))</f>
        <v/>
      </c>
      <c r="AG1032" s="2">
        <f>ISERROR($B$1032)*1+ISERROR($C$1032)*1+ISERROR($D$1032)*1+ISERROR($E$1032)*1+ISERROR($F$1032)*1+ISERROR($G$1032)*1+ISERROR($H$1032)*1+ISERROR($I$1032)*1+ISERROR($J$1032)*1</f>
        <v/>
      </c>
    </row>
    <row r="1033" ht="26" customHeight="1">
      <c r="B1033" s="35" t="n"/>
      <c r="C1033" s="29" t="n"/>
      <c r="D1033" s="29" t="n"/>
      <c r="E1033" s="29" t="n"/>
      <c r="F1033" s="29" t="n"/>
      <c r="G1033" s="29" t="n"/>
      <c r="H1033" s="29" t="n"/>
      <c r="I1033" s="29" t="n"/>
      <c r="J1033" s="29" t="n"/>
      <c r="K1033" s="19">
        <f>IF(AG1033&gt;0,"O Google leu como fórmula: digite de novo com ' na frente.","")</f>
        <v/>
      </c>
      <c r="N1033" s="2">
        <f>N1032+IF(LEN($X$1033)&gt;0,1,0)</f>
        <v/>
      </c>
      <c r="O1033" s="2">
        <f>O1032+IF(LEN($Y$1033)&gt;0,1,0)</f>
        <v/>
      </c>
      <c r="P1033" s="2">
        <f>P1032+IF(LEN($Z$1033)&gt;0,1,0)</f>
        <v/>
      </c>
      <c r="Q1033" s="2">
        <f>Q1032+IF(LEN($AA$1033)&gt;0,1,0)</f>
        <v/>
      </c>
      <c r="R1033" s="2">
        <f>R1032+IF(LEN($AB$1033)&gt;0,1,0)</f>
        <v/>
      </c>
      <c r="S1033" s="2">
        <f>S1032+IF(LEN($AC$1033)&gt;0,1,0)</f>
        <v/>
      </c>
      <c r="T1033" s="2">
        <f>T1032+IF(LEN($AD$1033)&gt;0,1,0)</f>
        <v/>
      </c>
      <c r="U1033" s="2">
        <f>U1032+IF(LEN($AE$1033)&gt;0,1,0)</f>
        <v/>
      </c>
      <c r="V1033" s="2">
        <f>V1032+IF(LEN($AF$1033)&gt;0,1,0)</f>
        <v/>
      </c>
      <c r="X1033" s="2">
        <f>IF(ISERROR($B$1033),"",IF(ISBLANK($B$1033),"",$B$1033))</f>
        <v/>
      </c>
      <c r="Y1033" s="2">
        <f>IF(ISERROR($C$1033),"",IF(ISBLANK($C$1033),"",$C$1033))</f>
        <v/>
      </c>
      <c r="Z1033" s="2">
        <f>IF(ISERROR($D$1033),"",IF(ISBLANK($D$1033),"",$D$1033))</f>
        <v/>
      </c>
      <c r="AA1033" s="2">
        <f>IF(ISERROR($E$1033),"",IF(ISBLANK($E$1033),"",$E$1033))</f>
        <v/>
      </c>
      <c r="AB1033" s="2">
        <f>IF(ISERROR($F$1033),"",IF(ISBLANK($F$1033),"",$F$1033))</f>
        <v/>
      </c>
      <c r="AC1033" s="2">
        <f>IF(ISERROR($G$1033),"",IF(ISBLANK($G$1033),"",$G$1033))</f>
        <v/>
      </c>
      <c r="AD1033" s="2">
        <f>IF(ISERROR($H$1033),"",IF(ISBLANK($H$1033),"",$H$1033))</f>
        <v/>
      </c>
      <c r="AE1033" s="2">
        <f>IF(ISERROR($I$1033),"",IF(ISBLANK($I$1033),"",$I$1033))</f>
        <v/>
      </c>
      <c r="AF1033" s="2">
        <f>IF(ISERROR($J$1033),"",IF(ISBLANK($J$1033),"",$J$1033))</f>
        <v/>
      </c>
      <c r="AG1033" s="2">
        <f>ISERROR($B$1033)*1+ISERROR($C$1033)*1+ISERROR($D$1033)*1+ISERROR($E$1033)*1+ISERROR($F$1033)*1+ISERROR($G$1033)*1+ISERROR($H$1033)*1+ISERROR($I$1033)*1+ISERROR($J$1033)*1</f>
        <v/>
      </c>
    </row>
    <row r="1034" ht="26" customHeight="1">
      <c r="B1034" s="33" t="n"/>
      <c r="C1034" s="4" t="n"/>
      <c r="D1034" s="4" t="n"/>
      <c r="E1034" s="4" t="n"/>
      <c r="F1034" s="4" t="n"/>
      <c r="G1034" s="4" t="n"/>
      <c r="H1034" s="4" t="n"/>
      <c r="I1034" s="4" t="n"/>
      <c r="J1034" s="4" t="n"/>
      <c r="K1034" s="19">
        <f>IF(AG1034&gt;0,"O Google leu como fórmula: digite de novo com ' na frente.","")</f>
        <v/>
      </c>
      <c r="N1034" s="2">
        <f>N1033+IF(LEN($X$1034)&gt;0,1,0)</f>
        <v/>
      </c>
      <c r="O1034" s="2">
        <f>O1033+IF(LEN($Y$1034)&gt;0,1,0)</f>
        <v/>
      </c>
      <c r="P1034" s="2">
        <f>P1033+IF(LEN($Z$1034)&gt;0,1,0)</f>
        <v/>
      </c>
      <c r="Q1034" s="2">
        <f>Q1033+IF(LEN($AA$1034)&gt;0,1,0)</f>
        <v/>
      </c>
      <c r="R1034" s="2">
        <f>R1033+IF(LEN($AB$1034)&gt;0,1,0)</f>
        <v/>
      </c>
      <c r="S1034" s="2">
        <f>S1033+IF(LEN($AC$1034)&gt;0,1,0)</f>
        <v/>
      </c>
      <c r="T1034" s="2">
        <f>T1033+IF(LEN($AD$1034)&gt;0,1,0)</f>
        <v/>
      </c>
      <c r="U1034" s="2">
        <f>U1033+IF(LEN($AE$1034)&gt;0,1,0)</f>
        <v/>
      </c>
      <c r="V1034" s="2">
        <f>V1033+IF(LEN($AF$1034)&gt;0,1,0)</f>
        <v/>
      </c>
      <c r="X1034" s="2">
        <f>IF(ISERROR($B$1034),"",IF(ISBLANK($B$1034),"",$B$1034))</f>
        <v/>
      </c>
      <c r="Y1034" s="2">
        <f>IF(ISERROR($C$1034),"",IF(ISBLANK($C$1034),"",$C$1034))</f>
        <v/>
      </c>
      <c r="Z1034" s="2">
        <f>IF(ISERROR($D$1034),"",IF(ISBLANK($D$1034),"",$D$1034))</f>
        <v/>
      </c>
      <c r="AA1034" s="2">
        <f>IF(ISERROR($E$1034),"",IF(ISBLANK($E$1034),"",$E$1034))</f>
        <v/>
      </c>
      <c r="AB1034" s="2">
        <f>IF(ISERROR($F$1034),"",IF(ISBLANK($F$1034),"",$F$1034))</f>
        <v/>
      </c>
      <c r="AC1034" s="2">
        <f>IF(ISERROR($G$1034),"",IF(ISBLANK($G$1034),"",$G$1034))</f>
        <v/>
      </c>
      <c r="AD1034" s="2">
        <f>IF(ISERROR($H$1034),"",IF(ISBLANK($H$1034),"",$H$1034))</f>
        <v/>
      </c>
      <c r="AE1034" s="2">
        <f>IF(ISERROR($I$1034),"",IF(ISBLANK($I$1034),"",$I$1034))</f>
        <v/>
      </c>
      <c r="AF1034" s="2">
        <f>IF(ISERROR($J$1034),"",IF(ISBLANK($J$1034),"",$J$1034))</f>
        <v/>
      </c>
      <c r="AG1034" s="2">
        <f>ISERROR($B$1034)*1+ISERROR($C$1034)*1+ISERROR($D$1034)*1+ISERROR($E$1034)*1+ISERROR($F$1034)*1+ISERROR($G$1034)*1+ISERROR($H$1034)*1+ISERROR($I$1034)*1+ISERROR($J$1034)*1</f>
        <v/>
      </c>
    </row>
    <row r="1035" ht="26" customHeight="1">
      <c r="B1035" s="35" t="n"/>
      <c r="C1035" s="29" t="n"/>
      <c r="D1035" s="29" t="n"/>
      <c r="E1035" s="29" t="n"/>
      <c r="F1035" s="29" t="n"/>
      <c r="G1035" s="29" t="n"/>
      <c r="H1035" s="29" t="n"/>
      <c r="I1035" s="29" t="n"/>
      <c r="J1035" s="29" t="n"/>
      <c r="K1035" s="19">
        <f>IF(AG1035&gt;0,"O Google leu como fórmula: digite de novo com ' na frente.","")</f>
        <v/>
      </c>
      <c r="N1035" s="2">
        <f>N1034+IF(LEN($X$1035)&gt;0,1,0)</f>
        <v/>
      </c>
      <c r="O1035" s="2">
        <f>O1034+IF(LEN($Y$1035)&gt;0,1,0)</f>
        <v/>
      </c>
      <c r="P1035" s="2">
        <f>P1034+IF(LEN($Z$1035)&gt;0,1,0)</f>
        <v/>
      </c>
      <c r="Q1035" s="2">
        <f>Q1034+IF(LEN($AA$1035)&gt;0,1,0)</f>
        <v/>
      </c>
      <c r="R1035" s="2">
        <f>R1034+IF(LEN($AB$1035)&gt;0,1,0)</f>
        <v/>
      </c>
      <c r="S1035" s="2">
        <f>S1034+IF(LEN($AC$1035)&gt;0,1,0)</f>
        <v/>
      </c>
      <c r="T1035" s="2">
        <f>T1034+IF(LEN($AD$1035)&gt;0,1,0)</f>
        <v/>
      </c>
      <c r="U1035" s="2">
        <f>U1034+IF(LEN($AE$1035)&gt;0,1,0)</f>
        <v/>
      </c>
      <c r="V1035" s="2">
        <f>V1034+IF(LEN($AF$1035)&gt;0,1,0)</f>
        <v/>
      </c>
      <c r="X1035" s="2">
        <f>IF(ISERROR($B$1035),"",IF(ISBLANK($B$1035),"",$B$1035))</f>
        <v/>
      </c>
      <c r="Y1035" s="2">
        <f>IF(ISERROR($C$1035),"",IF(ISBLANK($C$1035),"",$C$1035))</f>
        <v/>
      </c>
      <c r="Z1035" s="2">
        <f>IF(ISERROR($D$1035),"",IF(ISBLANK($D$1035),"",$D$1035))</f>
        <v/>
      </c>
      <c r="AA1035" s="2">
        <f>IF(ISERROR($E$1035),"",IF(ISBLANK($E$1035),"",$E$1035))</f>
        <v/>
      </c>
      <c r="AB1035" s="2">
        <f>IF(ISERROR($F$1035),"",IF(ISBLANK($F$1035),"",$F$1035))</f>
        <v/>
      </c>
      <c r="AC1035" s="2">
        <f>IF(ISERROR($G$1035),"",IF(ISBLANK($G$1035),"",$G$1035))</f>
        <v/>
      </c>
      <c r="AD1035" s="2">
        <f>IF(ISERROR($H$1035),"",IF(ISBLANK($H$1035),"",$H$1035))</f>
        <v/>
      </c>
      <c r="AE1035" s="2">
        <f>IF(ISERROR($I$1035),"",IF(ISBLANK($I$1035),"",$I$1035))</f>
        <v/>
      </c>
      <c r="AF1035" s="2">
        <f>IF(ISERROR($J$1035),"",IF(ISBLANK($J$1035),"",$J$1035))</f>
        <v/>
      </c>
      <c r="AG1035" s="2">
        <f>ISERROR($B$1035)*1+ISERROR($C$1035)*1+ISERROR($D$1035)*1+ISERROR($E$1035)*1+ISERROR($F$1035)*1+ISERROR($G$1035)*1+ISERROR($H$1035)*1+ISERROR($I$1035)*1+ISERROR($J$1035)*1</f>
        <v/>
      </c>
    </row>
    <row r="1036" ht="26" customHeight="1">
      <c r="B1036" s="33" t="n"/>
      <c r="C1036" s="4" t="n"/>
      <c r="D1036" s="4" t="n"/>
      <c r="E1036" s="4" t="n"/>
      <c r="F1036" s="4" t="n"/>
      <c r="G1036" s="4" t="n"/>
      <c r="H1036" s="4" t="n"/>
      <c r="I1036" s="4" t="n"/>
      <c r="J1036" s="4" t="n"/>
      <c r="K1036" s="19">
        <f>IF(AG1036&gt;0,"O Google leu como fórmula: digite de novo com ' na frente.","")</f>
        <v/>
      </c>
      <c r="N1036" s="2">
        <f>N1035+IF(LEN($X$1036)&gt;0,1,0)</f>
        <v/>
      </c>
      <c r="O1036" s="2">
        <f>O1035+IF(LEN($Y$1036)&gt;0,1,0)</f>
        <v/>
      </c>
      <c r="P1036" s="2">
        <f>P1035+IF(LEN($Z$1036)&gt;0,1,0)</f>
        <v/>
      </c>
      <c r="Q1036" s="2">
        <f>Q1035+IF(LEN($AA$1036)&gt;0,1,0)</f>
        <v/>
      </c>
      <c r="R1036" s="2">
        <f>R1035+IF(LEN($AB$1036)&gt;0,1,0)</f>
        <v/>
      </c>
      <c r="S1036" s="2">
        <f>S1035+IF(LEN($AC$1036)&gt;0,1,0)</f>
        <v/>
      </c>
      <c r="T1036" s="2">
        <f>T1035+IF(LEN($AD$1036)&gt;0,1,0)</f>
        <v/>
      </c>
      <c r="U1036" s="2">
        <f>U1035+IF(LEN($AE$1036)&gt;0,1,0)</f>
        <v/>
      </c>
      <c r="V1036" s="2">
        <f>V1035+IF(LEN($AF$1036)&gt;0,1,0)</f>
        <v/>
      </c>
      <c r="X1036" s="2">
        <f>IF(ISERROR($B$1036),"",IF(ISBLANK($B$1036),"",$B$1036))</f>
        <v/>
      </c>
      <c r="Y1036" s="2">
        <f>IF(ISERROR($C$1036),"",IF(ISBLANK($C$1036),"",$C$1036))</f>
        <v/>
      </c>
      <c r="Z1036" s="2">
        <f>IF(ISERROR($D$1036),"",IF(ISBLANK($D$1036),"",$D$1036))</f>
        <v/>
      </c>
      <c r="AA1036" s="2">
        <f>IF(ISERROR($E$1036),"",IF(ISBLANK($E$1036),"",$E$1036))</f>
        <v/>
      </c>
      <c r="AB1036" s="2">
        <f>IF(ISERROR($F$1036),"",IF(ISBLANK($F$1036),"",$F$1036))</f>
        <v/>
      </c>
      <c r="AC1036" s="2">
        <f>IF(ISERROR($G$1036),"",IF(ISBLANK($G$1036),"",$G$1036))</f>
        <v/>
      </c>
      <c r="AD1036" s="2">
        <f>IF(ISERROR($H$1036),"",IF(ISBLANK($H$1036),"",$H$1036))</f>
        <v/>
      </c>
      <c r="AE1036" s="2">
        <f>IF(ISERROR($I$1036),"",IF(ISBLANK($I$1036),"",$I$1036))</f>
        <v/>
      </c>
      <c r="AF1036" s="2">
        <f>IF(ISERROR($J$1036),"",IF(ISBLANK($J$1036),"",$J$1036))</f>
        <v/>
      </c>
      <c r="AG1036" s="2">
        <f>ISERROR($B$1036)*1+ISERROR($C$1036)*1+ISERROR($D$1036)*1+ISERROR($E$1036)*1+ISERROR($F$1036)*1+ISERROR($G$1036)*1+ISERROR($H$1036)*1+ISERROR($I$1036)*1+ISERROR($J$1036)*1</f>
        <v/>
      </c>
    </row>
    <row r="1037" ht="26" customHeight="1">
      <c r="B1037" s="35" t="n"/>
      <c r="C1037" s="29" t="n"/>
      <c r="D1037" s="29" t="n"/>
      <c r="E1037" s="29" t="n"/>
      <c r="F1037" s="29" t="n"/>
      <c r="G1037" s="29" t="n"/>
      <c r="H1037" s="29" t="n"/>
      <c r="I1037" s="29" t="n"/>
      <c r="J1037" s="29" t="n"/>
      <c r="K1037" s="19">
        <f>IF(AG1037&gt;0,"O Google leu como fórmula: digite de novo com ' na frente.","")</f>
        <v/>
      </c>
      <c r="N1037" s="2">
        <f>N1036+IF(LEN($X$1037)&gt;0,1,0)</f>
        <v/>
      </c>
      <c r="O1037" s="2">
        <f>O1036+IF(LEN($Y$1037)&gt;0,1,0)</f>
        <v/>
      </c>
      <c r="P1037" s="2">
        <f>P1036+IF(LEN($Z$1037)&gt;0,1,0)</f>
        <v/>
      </c>
      <c r="Q1037" s="2">
        <f>Q1036+IF(LEN($AA$1037)&gt;0,1,0)</f>
        <v/>
      </c>
      <c r="R1037" s="2">
        <f>R1036+IF(LEN($AB$1037)&gt;0,1,0)</f>
        <v/>
      </c>
      <c r="S1037" s="2">
        <f>S1036+IF(LEN($AC$1037)&gt;0,1,0)</f>
        <v/>
      </c>
      <c r="T1037" s="2">
        <f>T1036+IF(LEN($AD$1037)&gt;0,1,0)</f>
        <v/>
      </c>
      <c r="U1037" s="2">
        <f>U1036+IF(LEN($AE$1037)&gt;0,1,0)</f>
        <v/>
      </c>
      <c r="V1037" s="2">
        <f>V1036+IF(LEN($AF$1037)&gt;0,1,0)</f>
        <v/>
      </c>
      <c r="X1037" s="2">
        <f>IF(ISERROR($B$1037),"",IF(ISBLANK($B$1037),"",$B$1037))</f>
        <v/>
      </c>
      <c r="Y1037" s="2">
        <f>IF(ISERROR($C$1037),"",IF(ISBLANK($C$1037),"",$C$1037))</f>
        <v/>
      </c>
      <c r="Z1037" s="2">
        <f>IF(ISERROR($D$1037),"",IF(ISBLANK($D$1037),"",$D$1037))</f>
        <v/>
      </c>
      <c r="AA1037" s="2">
        <f>IF(ISERROR($E$1037),"",IF(ISBLANK($E$1037),"",$E$1037))</f>
        <v/>
      </c>
      <c r="AB1037" s="2">
        <f>IF(ISERROR($F$1037),"",IF(ISBLANK($F$1037),"",$F$1037))</f>
        <v/>
      </c>
      <c r="AC1037" s="2">
        <f>IF(ISERROR($G$1037),"",IF(ISBLANK($G$1037),"",$G$1037))</f>
        <v/>
      </c>
      <c r="AD1037" s="2">
        <f>IF(ISERROR($H$1037),"",IF(ISBLANK($H$1037),"",$H$1037))</f>
        <v/>
      </c>
      <c r="AE1037" s="2">
        <f>IF(ISERROR($I$1037),"",IF(ISBLANK($I$1037),"",$I$1037))</f>
        <v/>
      </c>
      <c r="AF1037" s="2">
        <f>IF(ISERROR($J$1037),"",IF(ISBLANK($J$1037),"",$J$1037))</f>
        <v/>
      </c>
      <c r="AG1037" s="2">
        <f>ISERROR($B$1037)*1+ISERROR($C$1037)*1+ISERROR($D$1037)*1+ISERROR($E$1037)*1+ISERROR($F$1037)*1+ISERROR($G$1037)*1+ISERROR($H$1037)*1+ISERROR($I$1037)*1+ISERROR($J$1037)*1</f>
        <v/>
      </c>
    </row>
    <row r="1038" ht="26" customHeight="1">
      <c r="B1038" s="33" t="n"/>
      <c r="C1038" s="4" t="n"/>
      <c r="D1038" s="4" t="n"/>
      <c r="E1038" s="4" t="n"/>
      <c r="F1038" s="4" t="n"/>
      <c r="G1038" s="4" t="n"/>
      <c r="H1038" s="4" t="n"/>
      <c r="I1038" s="4" t="n"/>
      <c r="J1038" s="4" t="n"/>
      <c r="K1038" s="19">
        <f>IF(AG1038&gt;0,"O Google leu como fórmula: digite de novo com ' na frente.","")</f>
        <v/>
      </c>
      <c r="N1038" s="2">
        <f>N1037+IF(LEN($X$1038)&gt;0,1,0)</f>
        <v/>
      </c>
      <c r="O1038" s="2">
        <f>O1037+IF(LEN($Y$1038)&gt;0,1,0)</f>
        <v/>
      </c>
      <c r="P1038" s="2">
        <f>P1037+IF(LEN($Z$1038)&gt;0,1,0)</f>
        <v/>
      </c>
      <c r="Q1038" s="2">
        <f>Q1037+IF(LEN($AA$1038)&gt;0,1,0)</f>
        <v/>
      </c>
      <c r="R1038" s="2">
        <f>R1037+IF(LEN($AB$1038)&gt;0,1,0)</f>
        <v/>
      </c>
      <c r="S1038" s="2">
        <f>S1037+IF(LEN($AC$1038)&gt;0,1,0)</f>
        <v/>
      </c>
      <c r="T1038" s="2">
        <f>T1037+IF(LEN($AD$1038)&gt;0,1,0)</f>
        <v/>
      </c>
      <c r="U1038" s="2">
        <f>U1037+IF(LEN($AE$1038)&gt;0,1,0)</f>
        <v/>
      </c>
      <c r="V1038" s="2">
        <f>V1037+IF(LEN($AF$1038)&gt;0,1,0)</f>
        <v/>
      </c>
      <c r="X1038" s="2">
        <f>IF(ISERROR($B$1038),"",IF(ISBLANK($B$1038),"",$B$1038))</f>
        <v/>
      </c>
      <c r="Y1038" s="2">
        <f>IF(ISERROR($C$1038),"",IF(ISBLANK($C$1038),"",$C$1038))</f>
        <v/>
      </c>
      <c r="Z1038" s="2">
        <f>IF(ISERROR($D$1038),"",IF(ISBLANK($D$1038),"",$D$1038))</f>
        <v/>
      </c>
      <c r="AA1038" s="2">
        <f>IF(ISERROR($E$1038),"",IF(ISBLANK($E$1038),"",$E$1038))</f>
        <v/>
      </c>
      <c r="AB1038" s="2">
        <f>IF(ISERROR($F$1038),"",IF(ISBLANK($F$1038),"",$F$1038))</f>
        <v/>
      </c>
      <c r="AC1038" s="2">
        <f>IF(ISERROR($G$1038),"",IF(ISBLANK($G$1038),"",$G$1038))</f>
        <v/>
      </c>
      <c r="AD1038" s="2">
        <f>IF(ISERROR($H$1038),"",IF(ISBLANK($H$1038),"",$H$1038))</f>
        <v/>
      </c>
      <c r="AE1038" s="2">
        <f>IF(ISERROR($I$1038),"",IF(ISBLANK($I$1038),"",$I$1038))</f>
        <v/>
      </c>
      <c r="AF1038" s="2">
        <f>IF(ISERROR($J$1038),"",IF(ISBLANK($J$1038),"",$J$1038))</f>
        <v/>
      </c>
      <c r="AG1038" s="2">
        <f>ISERROR($B$1038)*1+ISERROR($C$1038)*1+ISERROR($D$1038)*1+ISERROR($E$1038)*1+ISERROR($F$1038)*1+ISERROR($G$1038)*1+ISERROR($H$1038)*1+ISERROR($I$1038)*1+ISERROR($J$1038)*1</f>
        <v/>
      </c>
    </row>
    <row r="1039"/>
    <row r="1040" ht="32" customHeight="1">
      <c r="A1040" s="69" t="inlineStr">
        <is>
          <t>Planetas, estações, naves, facções e nomes (aba Mundos) — Sugestão da planilha (H11) (parte 3) — 100 vagas por lista</t>
        </is>
      </c>
    </row>
    <row r="1041">
      <c r="A1041" s="12" t="inlineStr">
        <is>
          <t>Apague para trocar, use as vagas vazias para ampliar. Não insira linhas: o contador corrido pularia a linha nova.</t>
        </is>
      </c>
    </row>
    <row r="1042">
      <c r="A1042" s="8" t="inlineStr">
        <is>
          <t>Lista</t>
        </is>
      </c>
      <c r="B1042" s="8" t="inlineStr">
        <is>
          <t>Facção: o que quer</t>
        </is>
      </c>
      <c r="C1042" s="8" t="inlineStr">
        <is>
          <t>Facção: método</t>
        </is>
      </c>
      <c r="D1042" s="8" t="inlineStr">
        <is>
          <t>Facção: recurso</t>
        </is>
      </c>
      <c r="E1042" s="8" t="inlineStr">
        <is>
          <t>Facção: como usar</t>
        </is>
      </c>
    </row>
    <row r="1043" ht="26" customHeight="1">
      <c r="A1043" s="9" t="inlineStr">
        <is>
          <t>Fonte</t>
        </is>
      </c>
      <c r="B1043" s="14" t="inlineStr">
        <is>
          <t>Sugestão da planilha (H11)</t>
        </is>
      </c>
      <c r="C1043" s="14" t="inlineStr">
        <is>
          <t>Sugestão da planilha (H11)</t>
        </is>
      </c>
      <c r="D1043" s="14" t="inlineStr">
        <is>
          <t>Sugestão da planilha (H11)</t>
        </is>
      </c>
      <c r="E1043" s="14" t="inlineStr">
        <is>
          <t>Sugestão da planilha (H11), no tom de 27.16</t>
        </is>
      </c>
    </row>
    <row r="1044" ht="26" customHeight="1">
      <c r="A1044" s="21" t="inlineStr">
        <is>
          <t>Tamanho da lista</t>
        </is>
      </c>
      <c r="B1044" s="23">
        <f>N1153</f>
        <v/>
      </c>
      <c r="C1044" s="23">
        <f>O1153</f>
        <v/>
      </c>
      <c r="D1044" s="23">
        <f>P1153</f>
        <v/>
      </c>
      <c r="E1044" s="23">
        <f>Q1153</f>
        <v/>
      </c>
    </row>
    <row r="1045" ht="26" customHeight="1">
      <c r="A1045" s="9" t="inlineStr">
        <is>
          <t>Aviso</t>
        </is>
      </c>
      <c r="B1045" s="19">
        <f>IF(N1153&gt;=100,"Lista cheia (100): use Minhas Tabelas para uma lista maior","")</f>
        <v/>
      </c>
      <c r="C1045" s="19">
        <f>IF(O1153&gt;=100,"Lista cheia (100): use Minhas Tabelas para uma lista maior","")</f>
        <v/>
      </c>
      <c r="D1045" s="19">
        <f>IF(P1153&gt;=100,"Lista cheia (100): use Minhas Tabelas para uma lista maior","")</f>
        <v/>
      </c>
      <c r="E1045" s="19">
        <f>IF(Q1153&gt;=100,"Lista cheia (100): use Minhas Tabelas para uma lista maior","")</f>
        <v/>
      </c>
    </row>
    <row r="1046" ht="15" customHeight="1">
      <c r="B1046" s="8" t="inlineStr">
        <is>
          <t>Facção: o que quer</t>
        </is>
      </c>
      <c r="C1046" s="8" t="inlineStr">
        <is>
          <t>Facção: método</t>
        </is>
      </c>
      <c r="D1046" s="8" t="inlineStr">
        <is>
          <t>Facção: recurso</t>
        </is>
      </c>
      <c r="E1046" s="8" t="inlineStr">
        <is>
          <t>Facção: como usar</t>
        </is>
      </c>
      <c r="N1046" s="2">
        <f>0</f>
        <v/>
      </c>
      <c r="O1046" s="2">
        <f>0</f>
        <v/>
      </c>
      <c r="P1046" s="2">
        <f>0</f>
        <v/>
      </c>
      <c r="Q1046" s="2">
        <f>0</f>
        <v/>
      </c>
    </row>
    <row r="1047" ht="37" customHeight="1">
      <c r="B1047" s="33" t="inlineStr">
        <is>
          <t>controlar a única rota segura da região</t>
        </is>
      </c>
      <c r="C1047" s="4" t="inlineStr">
        <is>
          <t>contratos com letras miúdas</t>
        </is>
      </c>
      <c r="D1047" s="4" t="inlineStr">
        <is>
          <t>uma frota de cargueiros velhos</t>
        </is>
      </c>
      <c r="E1047" s="4" t="inlineStr">
        <is>
          <t>eles pedem ajuda antes de pedir obediência: ofereça o pedido na primeira cena</t>
        </is>
      </c>
      <c r="K1047" s="19">
        <f>IF(AG1047&gt;0,"O Google leu como fórmula: digite de novo com ' na frente.","")</f>
        <v/>
      </c>
      <c r="N1047" s="2">
        <f>N1046+IF(LEN($X$1047)&gt;0,1,0)</f>
        <v/>
      </c>
      <c r="O1047" s="2">
        <f>O1046+IF(LEN($Y$1047)&gt;0,1,0)</f>
        <v/>
      </c>
      <c r="P1047" s="2">
        <f>P1046+IF(LEN($Z$1047)&gt;0,1,0)</f>
        <v/>
      </c>
      <c r="Q1047" s="2">
        <f>Q1046+IF(LEN($AA$1047)&gt;0,1,0)</f>
        <v/>
      </c>
      <c r="X1047" s="2">
        <f>IF(ISERROR($B$1047),"",IF(ISBLANK($B$1047),"",$B$1047))</f>
        <v/>
      </c>
      <c r="Y1047" s="2">
        <f>IF(ISERROR($C$1047),"",IF(ISBLANK($C$1047),"",$C$1047))</f>
        <v/>
      </c>
      <c r="Z1047" s="2">
        <f>IF(ISERROR($D$1047),"",IF(ISBLANK($D$1047),"",$D$1047))</f>
        <v/>
      </c>
      <c r="AA1047" s="2">
        <f>IF(ISERROR($E$1047),"",IF(ISBLANK($E$1047),"",$E$1047))</f>
        <v/>
      </c>
      <c r="AG1047" s="2">
        <f>ISERROR($B$1047)*1+ISERROR($C$1047)*1+ISERROR($D$1047)*1+ISERROR($E$1047)*1</f>
        <v/>
      </c>
    </row>
    <row r="1048" ht="37" customHeight="1">
      <c r="B1048" s="35" t="inlineStr">
        <is>
          <t>apagar um registro antigo</t>
        </is>
      </c>
      <c r="C1048" s="29" t="inlineStr">
        <is>
          <t>sabotagem silenciosa</t>
        </is>
      </c>
      <c r="D1048" s="29" t="inlineStr">
        <is>
          <t>um arquivo que ninguém mais tem</t>
        </is>
      </c>
      <c r="E1048" s="29" t="inlineStr">
        <is>
          <t>mande um representante educado; o conflito começa quando o grupo recusa</t>
        </is>
      </c>
      <c r="K1048" s="19">
        <f>IF(AG1048&gt;0,"O Google leu como fórmula: digite de novo com ' na frente.","")</f>
        <v/>
      </c>
      <c r="N1048" s="2">
        <f>N1047+IF(LEN($X$1048)&gt;0,1,0)</f>
        <v/>
      </c>
      <c r="O1048" s="2">
        <f>O1047+IF(LEN($Y$1048)&gt;0,1,0)</f>
        <v/>
      </c>
      <c r="P1048" s="2">
        <f>P1047+IF(LEN($Z$1048)&gt;0,1,0)</f>
        <v/>
      </c>
      <c r="Q1048" s="2">
        <f>Q1047+IF(LEN($AA$1048)&gt;0,1,0)</f>
        <v/>
      </c>
      <c r="X1048" s="2">
        <f>IF(ISERROR($B$1048),"",IF(ISBLANK($B$1048),"",$B$1048))</f>
        <v/>
      </c>
      <c r="Y1048" s="2">
        <f>IF(ISERROR($C$1048),"",IF(ISBLANK($C$1048),"",$C$1048))</f>
        <v/>
      </c>
      <c r="Z1048" s="2">
        <f>IF(ISERROR($D$1048),"",IF(ISBLANK($D$1048),"",$D$1048))</f>
        <v/>
      </c>
      <c r="AA1048" s="2">
        <f>IF(ISERROR($E$1048),"",IF(ISBLANK($E$1048),"",$E$1048))</f>
        <v/>
      </c>
      <c r="AG1048" s="2">
        <f>ISERROR($B$1048)*1+ISERROR($C$1048)*1+ISERROR($D$1048)*1+ISERROR($E$1048)*1</f>
        <v/>
      </c>
    </row>
    <row r="1049" ht="37" customHeight="1">
      <c r="B1049" s="33" t="inlineStr">
        <is>
          <t>proteger um segredo de família</t>
        </is>
      </c>
      <c r="C1049" s="4" t="inlineStr">
        <is>
          <t>doações generosas com condições</t>
        </is>
      </c>
      <c r="D1049" s="4" t="inlineStr">
        <is>
          <t>um médico que salva qualquer um</t>
        </is>
      </c>
      <c r="E1049" s="4" t="inlineStr">
        <is>
          <t>eles cumprem a palavra: use uma promessa deles como relógio</t>
        </is>
      </c>
      <c r="K1049" s="19">
        <f>IF(AG1049&gt;0,"O Google leu como fórmula: digite de novo com ' na frente.","")</f>
        <v/>
      </c>
      <c r="N1049" s="2">
        <f>N1048+IF(LEN($X$1049)&gt;0,1,0)</f>
        <v/>
      </c>
      <c r="O1049" s="2">
        <f>O1048+IF(LEN($Y$1049)&gt;0,1,0)</f>
        <v/>
      </c>
      <c r="P1049" s="2">
        <f>P1048+IF(LEN($Z$1049)&gt;0,1,0)</f>
        <v/>
      </c>
      <c r="Q1049" s="2">
        <f>Q1048+IF(LEN($AA$1049)&gt;0,1,0)</f>
        <v/>
      </c>
      <c r="X1049" s="2">
        <f>IF(ISERROR($B$1049),"",IF(ISBLANK($B$1049),"",$B$1049))</f>
        <v/>
      </c>
      <c r="Y1049" s="2">
        <f>IF(ISERROR($C$1049),"",IF(ISBLANK($C$1049),"",$C$1049))</f>
        <v/>
      </c>
      <c r="Z1049" s="2">
        <f>IF(ISERROR($D$1049),"",IF(ISBLANK($D$1049),"",$D$1049))</f>
        <v/>
      </c>
      <c r="AA1049" s="2">
        <f>IF(ISERROR($E$1049),"",IF(ISBLANK($E$1049),"",$E$1049))</f>
        <v/>
      </c>
      <c r="AG1049" s="2">
        <f>ISERROR($B$1049)*1+ISERROR($C$1049)*1+ISERROR($D$1049)*1+ISERROR($E$1049)*1</f>
        <v/>
      </c>
    </row>
    <row r="1050" ht="26" customHeight="1">
      <c r="B1050" s="35" t="inlineStr">
        <is>
          <t>provar que uma profecia é falsa</t>
        </is>
      </c>
      <c r="C1050" s="29" t="inlineStr">
        <is>
          <t>chantagem educada</t>
        </is>
      </c>
      <c r="D1050" s="29" t="inlineStr">
        <is>
          <t>acesso às docas de uma estação</t>
        </is>
      </c>
      <c r="E1050" s="29" t="inlineStr">
        <is>
          <t>coloque-os do lado certo de uma causa errada</t>
        </is>
      </c>
      <c r="K1050" s="19">
        <f>IF(AG1050&gt;0,"O Google leu como fórmula: digite de novo com ' na frente.","")</f>
        <v/>
      </c>
      <c r="N1050" s="2">
        <f>N1049+IF(LEN($X$1050)&gt;0,1,0)</f>
        <v/>
      </c>
      <c r="O1050" s="2">
        <f>O1049+IF(LEN($Y$1050)&gt;0,1,0)</f>
        <v/>
      </c>
      <c r="P1050" s="2">
        <f>P1049+IF(LEN($Z$1050)&gt;0,1,0)</f>
        <v/>
      </c>
      <c r="Q1050" s="2">
        <f>Q1049+IF(LEN($AA$1050)&gt;0,1,0)</f>
        <v/>
      </c>
      <c r="X1050" s="2">
        <f>IF(ISERROR($B$1050),"",IF(ISBLANK($B$1050),"",$B$1050))</f>
        <v/>
      </c>
      <c r="Y1050" s="2">
        <f>IF(ISERROR($C$1050),"",IF(ISBLANK($C$1050),"",$C$1050))</f>
        <v/>
      </c>
      <c r="Z1050" s="2">
        <f>IF(ISERROR($D$1050),"",IF(ISBLANK($D$1050),"",$D$1050))</f>
        <v/>
      </c>
      <c r="AA1050" s="2">
        <f>IF(ISERROR($E$1050),"",IF(ISBLANK($E$1050),"",$E$1050))</f>
        <v/>
      </c>
      <c r="AG1050" s="2">
        <f>ISERROR($B$1050)*1+ISERROR($C$1050)*1+ISERROR($D$1050)*1+ISERROR($E$1050)*1</f>
        <v/>
      </c>
    </row>
    <row r="1051" ht="37" customHeight="1">
      <c r="B1051" s="33" t="inlineStr">
        <is>
          <t>comprar uma estação inteira</t>
        </is>
      </c>
      <c r="C1051" s="4" t="inlineStr">
        <is>
          <t>espetáculos públicos</t>
        </is>
      </c>
      <c r="D1051" s="4" t="inlineStr">
        <is>
          <t>uma fortuna escondida num asteroide</t>
        </is>
      </c>
      <c r="E1051" s="4" t="inlineStr">
        <is>
          <t>eles oferecem exatamente o que o grupo precisa, cedo demais</t>
        </is>
      </c>
      <c r="K1051" s="19">
        <f>IF(AG1051&gt;0,"O Google leu como fórmula: digite de novo com ' na frente.","")</f>
        <v/>
      </c>
      <c r="N1051" s="2">
        <f>N1050+IF(LEN($X$1051)&gt;0,1,0)</f>
        <v/>
      </c>
      <c r="O1051" s="2">
        <f>O1050+IF(LEN($Y$1051)&gt;0,1,0)</f>
        <v/>
      </c>
      <c r="P1051" s="2">
        <f>P1050+IF(LEN($Z$1051)&gt;0,1,0)</f>
        <v/>
      </c>
      <c r="Q1051" s="2">
        <f>Q1050+IF(LEN($AA$1051)&gt;0,1,0)</f>
        <v/>
      </c>
      <c r="X1051" s="2">
        <f>IF(ISERROR($B$1051),"",IF(ISBLANK($B$1051),"",$B$1051))</f>
        <v/>
      </c>
      <c r="Y1051" s="2">
        <f>IF(ISERROR($C$1051),"",IF(ISBLANK($C$1051),"",$C$1051))</f>
        <v/>
      </c>
      <c r="Z1051" s="2">
        <f>IF(ISERROR($D$1051),"",IF(ISBLANK($D$1051),"",$D$1051))</f>
        <v/>
      </c>
      <c r="AA1051" s="2">
        <f>IF(ISERROR($E$1051),"",IF(ISBLANK($E$1051),"",$E$1051))</f>
        <v/>
      </c>
      <c r="AG1051" s="2">
        <f>ISERROR($B$1051)*1+ISERROR($C$1051)*1+ISERROR($D$1051)*1+ISERROR($E$1051)*1</f>
        <v/>
      </c>
    </row>
    <row r="1052" ht="37" customHeight="1">
      <c r="B1052" s="35" t="inlineStr">
        <is>
          <t>vingar uma colônia destruída</t>
        </is>
      </c>
      <c r="C1052" s="29" t="inlineStr">
        <is>
          <t>milícias de bairro</t>
        </is>
      </c>
      <c r="D1052" s="29" t="inlineStr">
        <is>
          <t>um exército pequeno e leal</t>
        </is>
      </c>
      <c r="E1052" s="29" t="inlineStr">
        <is>
          <t>use-os como testemunhas: eles sempre viram alguma coisa</t>
        </is>
      </c>
      <c r="K1052" s="19">
        <f>IF(AG1052&gt;0,"O Google leu como fórmula: digite de novo com ' na frente.","")</f>
        <v/>
      </c>
      <c r="N1052" s="2">
        <f>N1051+IF(LEN($X$1052)&gt;0,1,0)</f>
        <v/>
      </c>
      <c r="O1052" s="2">
        <f>O1051+IF(LEN($Y$1052)&gt;0,1,0)</f>
        <v/>
      </c>
      <c r="P1052" s="2">
        <f>P1051+IF(LEN($Z$1052)&gt;0,1,0)</f>
        <v/>
      </c>
      <c r="Q1052" s="2">
        <f>Q1051+IF(LEN($AA$1052)&gt;0,1,0)</f>
        <v/>
      </c>
      <c r="X1052" s="2">
        <f>IF(ISERROR($B$1052),"",IF(ISBLANK($B$1052),"",$B$1052))</f>
        <v/>
      </c>
      <c r="Y1052" s="2">
        <f>IF(ISERROR($C$1052),"",IF(ISBLANK($C$1052),"",$C$1052))</f>
        <v/>
      </c>
      <c r="Z1052" s="2">
        <f>IF(ISERROR($D$1052),"",IF(ISBLANK($D$1052),"",$D$1052))</f>
        <v/>
      </c>
      <c r="AA1052" s="2">
        <f>IF(ISERROR($E$1052),"",IF(ISBLANK($E$1052),"",$E$1052))</f>
        <v/>
      </c>
      <c r="AG1052" s="2">
        <f>ISERROR($B$1052)*1+ISERROR($C$1052)*1+ISERROR($D$1052)*1+ISERROR($E$1052)*1</f>
        <v/>
      </c>
    </row>
    <row r="1053" ht="37" customHeight="1">
      <c r="B1053" s="33" t="inlineStr">
        <is>
          <t>libertar autômatos de uma última ordem</t>
        </is>
      </c>
      <c r="C1053" s="4" t="inlineStr">
        <is>
          <t>subornos de pequenos funcionários</t>
        </is>
      </c>
      <c r="D1053" s="4" t="inlineStr">
        <is>
          <t>um Intellitron que lembra de tudo</t>
        </is>
      </c>
      <c r="E1053" s="4" t="inlineStr">
        <is>
          <t>faça da primeira cena com eles uma conversa, não um combate</t>
        </is>
      </c>
      <c r="K1053" s="19">
        <f>IF(AG1053&gt;0,"O Google leu como fórmula: digite de novo com ' na frente.","")</f>
        <v/>
      </c>
      <c r="N1053" s="2">
        <f>N1052+IF(LEN($X$1053)&gt;0,1,0)</f>
        <v/>
      </c>
      <c r="O1053" s="2">
        <f>O1052+IF(LEN($Y$1053)&gt;0,1,0)</f>
        <v/>
      </c>
      <c r="P1053" s="2">
        <f>P1052+IF(LEN($Z$1053)&gt;0,1,0)</f>
        <v/>
      </c>
      <c r="Q1053" s="2">
        <f>Q1052+IF(LEN($AA$1053)&gt;0,1,0)</f>
        <v/>
      </c>
      <c r="X1053" s="2">
        <f>IF(ISERROR($B$1053),"",IF(ISBLANK($B$1053),"",$B$1053))</f>
        <v/>
      </c>
      <c r="Y1053" s="2">
        <f>IF(ISERROR($C$1053),"",IF(ISBLANK($C$1053),"",$C$1053))</f>
        <v/>
      </c>
      <c r="Z1053" s="2">
        <f>IF(ISERROR($D$1053),"",IF(ISBLANK($D$1053),"",$D$1053))</f>
        <v/>
      </c>
      <c r="AA1053" s="2">
        <f>IF(ISERROR($E$1053),"",IF(ISBLANK($E$1053),"",$E$1053))</f>
        <v/>
      </c>
      <c r="AG1053" s="2">
        <f>ISERROR($B$1053)*1+ISERROR($C$1053)*1+ISERROR($D$1053)*1+ISERROR($E$1053)*1</f>
        <v/>
      </c>
    </row>
    <row r="1054" ht="37" customHeight="1">
      <c r="B1054" s="35" t="inlineStr">
        <is>
          <t>reunir os pedaços de um Cone de Luz famoso</t>
        </is>
      </c>
      <c r="C1054" s="29" t="inlineStr">
        <is>
          <t>boatos plantados nas feiras</t>
        </is>
      </c>
      <c r="D1054" s="29" t="inlineStr">
        <is>
          <t>terras férteis numa lua seca</t>
        </is>
      </c>
      <c r="E1054" s="29" t="inlineStr">
        <is>
          <t>eles sabem o nome de um personagem antes de ele se apresentar</t>
        </is>
      </c>
      <c r="K1054" s="19">
        <f>IF(AG1054&gt;0,"O Google leu como fórmula: digite de novo com ' na frente.","")</f>
        <v/>
      </c>
      <c r="N1054" s="2">
        <f>N1053+IF(LEN($X$1054)&gt;0,1,0)</f>
        <v/>
      </c>
      <c r="O1054" s="2">
        <f>O1053+IF(LEN($Y$1054)&gt;0,1,0)</f>
        <v/>
      </c>
      <c r="P1054" s="2">
        <f>P1053+IF(LEN($Z$1054)&gt;0,1,0)</f>
        <v/>
      </c>
      <c r="Q1054" s="2">
        <f>Q1053+IF(LEN($AA$1054)&gt;0,1,0)</f>
        <v/>
      </c>
      <c r="X1054" s="2">
        <f>IF(ISERROR($B$1054),"",IF(ISBLANK($B$1054),"",$B$1054))</f>
        <v/>
      </c>
      <c r="Y1054" s="2">
        <f>IF(ISERROR($C$1054),"",IF(ISBLANK($C$1054),"",$C$1054))</f>
        <v/>
      </c>
      <c r="Z1054" s="2">
        <f>IF(ISERROR($D$1054),"",IF(ISBLANK($D$1054),"",$D$1054))</f>
        <v/>
      </c>
      <c r="AA1054" s="2">
        <f>IF(ISERROR($E$1054),"",IF(ISBLANK($E$1054),"",$E$1054))</f>
        <v/>
      </c>
      <c r="AG1054" s="2">
        <f>ISERROR($B$1054)*1+ISERROR($C$1054)*1+ISERROR($D$1054)*1+ISERROR($E$1054)*1</f>
        <v/>
      </c>
    </row>
    <row r="1055" ht="37" customHeight="1">
      <c r="B1055" s="33" t="inlineStr">
        <is>
          <t>manter a paz entre duas vilas</t>
        </is>
      </c>
      <c r="C1055" s="4" t="inlineStr">
        <is>
          <t>alianças por casamento</t>
        </is>
      </c>
      <c r="D1055" s="4" t="inlineStr">
        <is>
          <t>uma rede de informantes nas feiras</t>
        </is>
      </c>
      <c r="E1055" s="4" t="inlineStr">
        <is>
          <t>mostre o que eles constroem antes de mostrar o que destroem</t>
        </is>
      </c>
      <c r="K1055" s="19">
        <f>IF(AG1055&gt;0,"O Google leu como fórmula: digite de novo com ' na frente.","")</f>
        <v/>
      </c>
      <c r="N1055" s="2">
        <f>N1054+IF(LEN($X$1055)&gt;0,1,0)</f>
        <v/>
      </c>
      <c r="O1055" s="2">
        <f>O1054+IF(LEN($Y$1055)&gt;0,1,0)</f>
        <v/>
      </c>
      <c r="P1055" s="2">
        <f>P1054+IF(LEN($Z$1055)&gt;0,1,0)</f>
        <v/>
      </c>
      <c r="Q1055" s="2">
        <f>Q1054+IF(LEN($AA$1055)&gt;0,1,0)</f>
        <v/>
      </c>
      <c r="X1055" s="2">
        <f>IF(ISERROR($B$1055),"",IF(ISBLANK($B$1055),"",$B$1055))</f>
        <v/>
      </c>
      <c r="Y1055" s="2">
        <f>IF(ISERROR($C$1055),"",IF(ISBLANK($C$1055),"",$C$1055))</f>
        <v/>
      </c>
      <c r="Z1055" s="2">
        <f>IF(ISERROR($D$1055),"",IF(ISBLANK($D$1055),"",$D$1055))</f>
        <v/>
      </c>
      <c r="AA1055" s="2">
        <f>IF(ISERROR($E$1055),"",IF(ISBLANK($E$1055),"",$E$1055))</f>
        <v/>
      </c>
      <c r="AG1055" s="2">
        <f>ISERROR($B$1055)*1+ISERROR($C$1055)*1+ISERROR($D$1055)*1+ISERROR($E$1055)*1</f>
        <v/>
      </c>
    </row>
    <row r="1056" ht="26" customHeight="1">
      <c r="B1056" s="35" t="inlineStr">
        <is>
          <t>derrubar um governador corrupto</t>
        </is>
      </c>
      <c r="C1056" s="29" t="inlineStr">
        <is>
          <t>greves organizadas</t>
        </is>
      </c>
      <c r="D1056" s="29" t="inlineStr">
        <is>
          <t>um estaleiro clandestino</t>
        </is>
      </c>
      <c r="E1056" s="29" t="inlineStr">
        <is>
          <t>deixe o grupo dever um favor a eles bem cedo</t>
        </is>
      </c>
      <c r="K1056" s="19">
        <f>IF(AG1056&gt;0,"O Google leu como fórmula: digite de novo com ' na frente.","")</f>
        <v/>
      </c>
      <c r="N1056" s="2">
        <f>N1055+IF(LEN($X$1056)&gt;0,1,0)</f>
        <v/>
      </c>
      <c r="O1056" s="2">
        <f>O1055+IF(LEN($Y$1056)&gt;0,1,0)</f>
        <v/>
      </c>
      <c r="P1056" s="2">
        <f>P1055+IF(LEN($Z$1056)&gt;0,1,0)</f>
        <v/>
      </c>
      <c r="Q1056" s="2">
        <f>Q1055+IF(LEN($AA$1056)&gt;0,1,0)</f>
        <v/>
      </c>
      <c r="X1056" s="2">
        <f>IF(ISERROR($B$1056),"",IF(ISBLANK($B$1056),"",$B$1056))</f>
        <v/>
      </c>
      <c r="Y1056" s="2">
        <f>IF(ISERROR($C$1056),"",IF(ISBLANK($C$1056),"",$C$1056))</f>
        <v/>
      </c>
      <c r="Z1056" s="2">
        <f>IF(ISERROR($D$1056),"",IF(ISBLANK($D$1056),"",$D$1056))</f>
        <v/>
      </c>
      <c r="AA1056" s="2">
        <f>IF(ISERROR($E$1056),"",IF(ISBLANK($E$1056),"",$E$1056))</f>
        <v/>
      </c>
      <c r="AG1056" s="2">
        <f>ISERROR($B$1056)*1+ISERROR($C$1056)*1+ISERROR($D$1056)*1+ISERROR($E$1056)*1</f>
        <v/>
      </c>
    </row>
    <row r="1057" ht="26" customHeight="1">
      <c r="B1057" s="33" t="inlineStr">
        <is>
          <t>encontrar o fundador desaparecido</t>
        </is>
      </c>
      <c r="C1057" s="4" t="inlineStr">
        <is>
          <t>pesquisa científica</t>
        </is>
      </c>
      <c r="D1057" s="4" t="inlineStr">
        <is>
          <t>o apoio de uma família antiga</t>
        </is>
      </c>
      <c r="E1057" s="4" t="inlineStr">
        <is>
          <t>eles mudam de lado quando o grupo muda de ideia</t>
        </is>
      </c>
      <c r="K1057" s="19">
        <f>IF(AG1057&gt;0,"O Google leu como fórmula: digite de novo com ' na frente.","")</f>
        <v/>
      </c>
      <c r="N1057" s="2">
        <f>N1056+IF(LEN($X$1057)&gt;0,1,0)</f>
        <v/>
      </c>
      <c r="O1057" s="2">
        <f>O1056+IF(LEN($Y$1057)&gt;0,1,0)</f>
        <v/>
      </c>
      <c r="P1057" s="2">
        <f>P1056+IF(LEN($Z$1057)&gt;0,1,0)</f>
        <v/>
      </c>
      <c r="Q1057" s="2">
        <f>Q1056+IF(LEN($AA$1057)&gt;0,1,0)</f>
        <v/>
      </c>
      <c r="X1057" s="2">
        <f>IF(ISERROR($B$1057),"",IF(ISBLANK($B$1057),"",$B$1057))</f>
        <v/>
      </c>
      <c r="Y1057" s="2">
        <f>IF(ISERROR($C$1057),"",IF(ISBLANK($C$1057),"",$C$1057))</f>
        <v/>
      </c>
      <c r="Z1057" s="2">
        <f>IF(ISERROR($D$1057),"",IF(ISBLANK($D$1057),"",$D$1057))</f>
        <v/>
      </c>
      <c r="AA1057" s="2">
        <f>IF(ISERROR($E$1057),"",IF(ISBLANK($E$1057),"",$E$1057))</f>
        <v/>
      </c>
      <c r="AG1057" s="2">
        <f>ISERROR($B$1057)*1+ISERROR($C$1057)*1+ISERROR($D$1057)*1+ISERROR($E$1057)*1</f>
        <v/>
      </c>
    </row>
    <row r="1058" ht="26" customHeight="1">
      <c r="B1058" s="35" t="inlineStr">
        <is>
          <t>fechar um poço tomado pelo Fragmentum</t>
        </is>
      </c>
      <c r="C1058" s="29" t="inlineStr">
        <is>
          <t>pregação de porta em porta</t>
        </is>
      </c>
      <c r="D1058" s="29" t="inlineStr">
        <is>
          <t>um farol que guia as naves</t>
        </is>
      </c>
      <c r="E1058" s="29" t="inlineStr">
        <is>
          <t>use um membro jovem que discorda dos líderes</t>
        </is>
      </c>
      <c r="K1058" s="19">
        <f>IF(AG1058&gt;0,"O Google leu como fórmula: digite de novo com ' na frente.","")</f>
        <v/>
      </c>
      <c r="N1058" s="2">
        <f>N1057+IF(LEN($X$1058)&gt;0,1,0)</f>
        <v/>
      </c>
      <c r="O1058" s="2">
        <f>O1057+IF(LEN($Y$1058)&gt;0,1,0)</f>
        <v/>
      </c>
      <c r="P1058" s="2">
        <f>P1057+IF(LEN($Z$1058)&gt;0,1,0)</f>
        <v/>
      </c>
      <c r="Q1058" s="2">
        <f>Q1057+IF(LEN($AA$1058)&gt;0,1,0)</f>
        <v/>
      </c>
      <c r="X1058" s="2">
        <f>IF(ISERROR($B$1058),"",IF(ISBLANK($B$1058),"",$B$1058))</f>
        <v/>
      </c>
      <c r="Y1058" s="2">
        <f>IF(ISERROR($C$1058),"",IF(ISBLANK($C$1058),"",$C$1058))</f>
        <v/>
      </c>
      <c r="Z1058" s="2">
        <f>IF(ISERROR($D$1058),"",IF(ISBLANK($D$1058),"",$D$1058))</f>
        <v/>
      </c>
      <c r="AA1058" s="2">
        <f>IF(ISERROR($E$1058),"",IF(ISBLANK($E$1058),"",$E$1058))</f>
        <v/>
      </c>
      <c r="AG1058" s="2">
        <f>ISERROR($B$1058)*1+ISERROR($C$1058)*1+ISERROR($D$1058)*1+ISERROR($E$1058)*1</f>
        <v/>
      </c>
    </row>
    <row r="1059" ht="37" customHeight="1">
      <c r="B1059" s="33" t="inlineStr">
        <is>
          <t>guardar um Stellaron longe de todos</t>
        </is>
      </c>
      <c r="C1059" s="4" t="inlineStr">
        <is>
          <t>falsificação de documentos</t>
        </is>
      </c>
      <c r="D1059" s="4" t="inlineStr">
        <is>
          <t>um tribunal que decide a favor deles</t>
        </is>
      </c>
      <c r="E1059" s="4" t="inlineStr">
        <is>
          <t>eles chegam depois do problema, sempre com uma explicação</t>
        </is>
      </c>
      <c r="K1059" s="19">
        <f>IF(AG1059&gt;0,"O Google leu como fórmula: digite de novo com ' na frente.","")</f>
        <v/>
      </c>
      <c r="N1059" s="2">
        <f>N1058+IF(LEN($X$1059)&gt;0,1,0)</f>
        <v/>
      </c>
      <c r="O1059" s="2">
        <f>O1058+IF(LEN($Y$1059)&gt;0,1,0)</f>
        <v/>
      </c>
      <c r="P1059" s="2">
        <f>P1058+IF(LEN($Z$1059)&gt;0,1,0)</f>
        <v/>
      </c>
      <c r="Q1059" s="2">
        <f>Q1058+IF(LEN($AA$1059)&gt;0,1,0)</f>
        <v/>
      </c>
      <c r="X1059" s="2">
        <f>IF(ISERROR($B$1059),"",IF(ISBLANK($B$1059),"",$B$1059))</f>
        <v/>
      </c>
      <c r="Y1059" s="2">
        <f>IF(ISERROR($C$1059),"",IF(ISBLANK($C$1059),"",$C$1059))</f>
        <v/>
      </c>
      <c r="Z1059" s="2">
        <f>IF(ISERROR($D$1059),"",IF(ISBLANK($D$1059),"",$D$1059))</f>
        <v/>
      </c>
      <c r="AA1059" s="2">
        <f>IF(ISERROR($E$1059),"",IF(ISBLANK($E$1059),"",$E$1059))</f>
        <v/>
      </c>
      <c r="AG1059" s="2">
        <f>ISERROR($B$1059)*1+ISERROR($C$1059)*1+ISERROR($D$1059)*1+ISERROR($E$1059)*1</f>
        <v/>
      </c>
    </row>
    <row r="1060" ht="15" customHeight="1">
      <c r="B1060" s="8" t="inlineStr">
        <is>
          <t>Facção: o que quer</t>
        </is>
      </c>
      <c r="C1060" s="8" t="inlineStr">
        <is>
          <t>Facção: método</t>
        </is>
      </c>
      <c r="D1060" s="8" t="inlineStr">
        <is>
          <t>Facção: recurso</t>
        </is>
      </c>
      <c r="E1060" s="8" t="inlineStr">
        <is>
          <t>Facção: como usar</t>
        </is>
      </c>
      <c r="N1060" s="2">
        <f>N1059</f>
        <v/>
      </c>
      <c r="O1060" s="2">
        <f>O1059</f>
        <v/>
      </c>
      <c r="P1060" s="2">
        <f>P1059</f>
        <v/>
      </c>
      <c r="Q1060" s="2">
        <f>Q1059</f>
        <v/>
      </c>
      <c r="X1060" s="2">
        <f>IF(ISERROR($B$1060),"",IF(ISBLANK($B$1060),"",$B$1060))</f>
        <v/>
      </c>
      <c r="Y1060" s="2">
        <f>IF(ISERROR($C$1060),"",IF(ISBLANK($C$1060),"",$C$1060))</f>
        <v/>
      </c>
      <c r="Z1060" s="2">
        <f>IF(ISERROR($D$1060),"",IF(ISBLANK($D$1060),"",$D$1060))</f>
        <v/>
      </c>
      <c r="AA1060" s="2">
        <f>IF(ISERROR($E$1060),"",IF(ISBLANK($E$1060),"",$E$1060))</f>
        <v/>
      </c>
    </row>
    <row r="1061" ht="37" customHeight="1">
      <c r="B1061" s="33" t="inlineStr">
        <is>
          <t>transformar um planeta num museu</t>
        </is>
      </c>
      <c r="C1061" s="4" t="inlineStr">
        <is>
          <t>proteção paga</t>
        </is>
      </c>
      <c r="D1061" s="4" t="inlineStr">
        <is>
          <t>uma mina de minério raro</t>
        </is>
      </c>
      <c r="E1061" s="4" t="inlineStr">
        <is>
          <t>mostre um lugar que eles salvaram e um que eles arruinaram</t>
        </is>
      </c>
      <c r="K1061" s="19">
        <f>IF(AG1061&gt;0,"O Google leu como fórmula: digite de novo com ' na frente.","")</f>
        <v/>
      </c>
      <c r="N1061" s="2">
        <f>N1060+IF(LEN($X$1061)&gt;0,1,0)</f>
        <v/>
      </c>
      <c r="O1061" s="2">
        <f>O1060+IF(LEN($Y$1061)&gt;0,1,0)</f>
        <v/>
      </c>
      <c r="P1061" s="2">
        <f>P1060+IF(LEN($Z$1061)&gt;0,1,0)</f>
        <v/>
      </c>
      <c r="Q1061" s="2">
        <f>Q1060+IF(LEN($AA$1061)&gt;0,1,0)</f>
        <v/>
      </c>
      <c r="X1061" s="2">
        <f>IF(ISERROR($B$1061),"",IF(ISBLANK($B$1061),"",$B$1061))</f>
        <v/>
      </c>
      <c r="Y1061" s="2">
        <f>IF(ISERROR($C$1061),"",IF(ISBLANK($C$1061),"",$C$1061))</f>
        <v/>
      </c>
      <c r="Z1061" s="2">
        <f>IF(ISERROR($D$1061),"",IF(ISBLANK($D$1061),"",$D$1061))</f>
        <v/>
      </c>
      <c r="AA1061" s="2">
        <f>IF(ISERROR($E$1061),"",IF(ISBLANK($E$1061),"",$E$1061))</f>
        <v/>
      </c>
      <c r="AG1061" s="2">
        <f>ISERROR($B$1061)*1+ISERROR($C$1061)*1+ISERROR($D$1061)*1+ISERROR($E$1061)*1</f>
        <v/>
      </c>
    </row>
    <row r="1062" ht="26" customHeight="1">
      <c r="B1062" s="35" t="inlineStr">
        <is>
          <t>ensinar todos a ler os mapas antigos</t>
        </is>
      </c>
      <c r="C1062" s="29" t="inlineStr">
        <is>
          <t>infiltração em cargos baixos</t>
        </is>
      </c>
      <c r="D1062" s="29" t="inlineStr">
        <is>
          <t>um contrato assinado pela Corporação</t>
        </is>
      </c>
      <c r="E1062" s="29" t="inlineStr">
        <is>
          <t>faça-os negociar com outra facção na frente do grupo</t>
        </is>
      </c>
      <c r="K1062" s="19">
        <f>IF(AG1062&gt;0,"O Google leu como fórmula: digite de novo com ' na frente.","")</f>
        <v/>
      </c>
      <c r="N1062" s="2">
        <f>N1061+IF(LEN($X$1062)&gt;0,1,0)</f>
        <v/>
      </c>
      <c r="O1062" s="2">
        <f>O1061+IF(LEN($Y$1062)&gt;0,1,0)</f>
        <v/>
      </c>
      <c r="P1062" s="2">
        <f>P1061+IF(LEN($Z$1062)&gt;0,1,0)</f>
        <v/>
      </c>
      <c r="Q1062" s="2">
        <f>Q1061+IF(LEN($AA$1062)&gt;0,1,0)</f>
        <v/>
      </c>
      <c r="X1062" s="2">
        <f>IF(ISERROR($B$1062),"",IF(ISBLANK($B$1062),"",$B$1062))</f>
        <v/>
      </c>
      <c r="Y1062" s="2">
        <f>IF(ISERROR($C$1062),"",IF(ISBLANK($C$1062),"",$C$1062))</f>
        <v/>
      </c>
      <c r="Z1062" s="2">
        <f>IF(ISERROR($D$1062),"",IF(ISBLANK($D$1062),"",$D$1062))</f>
        <v/>
      </c>
      <c r="AA1062" s="2">
        <f>IF(ISERROR($E$1062),"",IF(ISBLANK($E$1062),"",$E$1062))</f>
        <v/>
      </c>
      <c r="AG1062" s="2">
        <f>ISERROR($B$1062)*1+ISERROR($C$1062)*1+ISERROR($D$1062)*1+ISERROR($E$1062)*1</f>
        <v/>
      </c>
    </row>
    <row r="1063" ht="26" customHeight="1">
      <c r="B1063" s="33" t="inlineStr">
        <is>
          <t>acabar com a fome numa lua</t>
        </is>
      </c>
      <c r="C1063" s="4" t="inlineStr">
        <is>
          <t>duelos formais</t>
        </is>
      </c>
      <c r="D1063" s="4" t="inlineStr">
        <is>
          <t>uma relíquia de outra era</t>
        </is>
      </c>
      <c r="E1063" s="4" t="inlineStr">
        <is>
          <t>eles cobram juros em favores, não em créditos</t>
        </is>
      </c>
      <c r="K1063" s="19">
        <f>IF(AG1063&gt;0,"O Google leu como fórmula: digite de novo com ' na frente.","")</f>
        <v/>
      </c>
      <c r="N1063" s="2">
        <f>N1062+IF(LEN($X$1063)&gt;0,1,0)</f>
        <v/>
      </c>
      <c r="O1063" s="2">
        <f>O1062+IF(LEN($Y$1063)&gt;0,1,0)</f>
        <v/>
      </c>
      <c r="P1063" s="2">
        <f>P1062+IF(LEN($Z$1063)&gt;0,1,0)</f>
        <v/>
      </c>
      <c r="Q1063" s="2">
        <f>Q1062+IF(LEN($AA$1063)&gt;0,1,0)</f>
        <v/>
      </c>
      <c r="X1063" s="2">
        <f>IF(ISERROR($B$1063),"",IF(ISBLANK($B$1063),"",$B$1063))</f>
        <v/>
      </c>
      <c r="Y1063" s="2">
        <f>IF(ISERROR($C$1063),"",IF(ISBLANK($C$1063),"",$C$1063))</f>
        <v/>
      </c>
      <c r="Z1063" s="2">
        <f>IF(ISERROR($D$1063),"",IF(ISBLANK($D$1063),"",$D$1063))</f>
        <v/>
      </c>
      <c r="AA1063" s="2">
        <f>IF(ISERROR($E$1063),"",IF(ISBLANK($E$1063),"",$E$1063))</f>
        <v/>
      </c>
      <c r="AG1063" s="2">
        <f>ISERROR($B$1063)*1+ISERROR($C$1063)*1+ISERROR($D$1063)*1+ISERROR($E$1063)*1</f>
        <v/>
      </c>
    </row>
    <row r="1064" ht="26" customHeight="1">
      <c r="B1064" s="35" t="inlineStr">
        <is>
          <t>levar o Expresso Astral até a sua estação</t>
        </is>
      </c>
      <c r="C1064" s="29" t="inlineStr">
        <is>
          <t>leilões viciados</t>
        </is>
      </c>
      <c r="D1064" s="29" t="inlineStr">
        <is>
          <t>a confiança dos mineiros</t>
        </is>
      </c>
      <c r="E1064" s="29" t="inlineStr">
        <is>
          <t>use a sede deles como lugar seguro, até não ser mais</t>
        </is>
      </c>
      <c r="K1064" s="19">
        <f>IF(AG1064&gt;0,"O Google leu como fórmula: digite de novo com ' na frente.","")</f>
        <v/>
      </c>
      <c r="N1064" s="2">
        <f>N1063+IF(LEN($X$1064)&gt;0,1,0)</f>
        <v/>
      </c>
      <c r="O1064" s="2">
        <f>O1063+IF(LEN($Y$1064)&gt;0,1,0)</f>
        <v/>
      </c>
      <c r="P1064" s="2">
        <f>P1063+IF(LEN($Z$1064)&gt;0,1,0)</f>
        <v/>
      </c>
      <c r="Q1064" s="2">
        <f>Q1063+IF(LEN($AA$1064)&gt;0,1,0)</f>
        <v/>
      </c>
      <c r="X1064" s="2">
        <f>IF(ISERROR($B$1064),"",IF(ISBLANK($B$1064),"",$B$1064))</f>
        <v/>
      </c>
      <c r="Y1064" s="2">
        <f>IF(ISERROR($C$1064),"",IF(ISBLANK($C$1064),"",$C$1064))</f>
        <v/>
      </c>
      <c r="Z1064" s="2">
        <f>IF(ISERROR($D$1064),"",IF(ISBLANK($D$1064),"",$D$1064))</f>
        <v/>
      </c>
      <c r="AA1064" s="2">
        <f>IF(ISERROR($E$1064),"",IF(ISBLANK($E$1064),"",$E$1064))</f>
        <v/>
      </c>
      <c r="AG1064" s="2">
        <f>ISERROR($B$1064)*1+ISERROR($C$1064)*1+ISERROR($D$1064)*1+ISERROR($E$1064)*1</f>
        <v/>
      </c>
    </row>
    <row r="1065" ht="26" customHeight="1">
      <c r="B1065" s="33" t="inlineStr">
        <is>
          <t>calar uma rádio que diz a verdade</t>
        </is>
      </c>
      <c r="C1065" s="4" t="inlineStr">
        <is>
          <t>rádio clandestina</t>
        </is>
      </c>
      <c r="D1065" s="4" t="inlineStr">
        <is>
          <t>um teatro inteiro</t>
        </is>
      </c>
      <c r="E1065" s="4" t="inlineStr">
        <is>
          <t>eles respeitam quem os enfrenta de frente</t>
        </is>
      </c>
      <c r="K1065" s="19">
        <f>IF(AG1065&gt;0,"O Google leu como fórmula: digite de novo com ' na frente.","")</f>
        <v/>
      </c>
      <c r="N1065" s="2">
        <f>N1064+IF(LEN($X$1065)&gt;0,1,0)</f>
        <v/>
      </c>
      <c r="O1065" s="2">
        <f>O1064+IF(LEN($Y$1065)&gt;0,1,0)</f>
        <v/>
      </c>
      <c r="P1065" s="2">
        <f>P1064+IF(LEN($Z$1065)&gt;0,1,0)</f>
        <v/>
      </c>
      <c r="Q1065" s="2">
        <f>Q1064+IF(LEN($AA$1065)&gt;0,1,0)</f>
        <v/>
      </c>
      <c r="X1065" s="2">
        <f>IF(ISERROR($B$1065),"",IF(ISBLANK($B$1065),"",$B$1065))</f>
        <v/>
      </c>
      <c r="Y1065" s="2">
        <f>IF(ISERROR($C$1065),"",IF(ISBLANK($C$1065),"",$C$1065))</f>
        <v/>
      </c>
      <c r="Z1065" s="2">
        <f>IF(ISERROR($D$1065),"",IF(ISBLANK($D$1065),"",$D$1065))</f>
        <v/>
      </c>
      <c r="AA1065" s="2">
        <f>IF(ISERROR($E$1065),"",IF(ISBLANK($E$1065),"",$E$1065))</f>
        <v/>
      </c>
      <c r="AG1065" s="2">
        <f>ISERROR($B$1065)*1+ISERROR($C$1065)*1+ISERROR($D$1065)*1+ISERROR($E$1065)*1</f>
        <v/>
      </c>
    </row>
    <row r="1066" ht="37" customHeight="1">
      <c r="B1066" s="35" t="inlineStr">
        <is>
          <t>abrir uma escola em cada porto</t>
        </is>
      </c>
      <c r="C1066" s="29" t="inlineStr">
        <is>
          <t>favores que nunca cobram na hora</t>
        </is>
      </c>
      <c r="D1066" s="29" t="inlineStr">
        <is>
          <t>uma rota secreta pelos anéis</t>
        </is>
      </c>
      <c r="E1066" s="29" t="inlineStr">
        <is>
          <t>comece por um boato sobre eles e confirme na sessão seguinte</t>
        </is>
      </c>
      <c r="K1066" s="19">
        <f>IF(AG1066&gt;0,"O Google leu como fórmula: digite de novo com ' na frente.","")</f>
        <v/>
      </c>
      <c r="N1066" s="2">
        <f>N1065+IF(LEN($X$1066)&gt;0,1,0)</f>
        <v/>
      </c>
      <c r="O1066" s="2">
        <f>O1065+IF(LEN($Y$1066)&gt;0,1,0)</f>
        <v/>
      </c>
      <c r="P1066" s="2">
        <f>P1065+IF(LEN($Z$1066)&gt;0,1,0)</f>
        <v/>
      </c>
      <c r="Q1066" s="2">
        <f>Q1065+IF(LEN($AA$1066)&gt;0,1,0)</f>
        <v/>
      </c>
      <c r="X1066" s="2">
        <f>IF(ISERROR($B$1066),"",IF(ISBLANK($B$1066),"",$B$1066))</f>
        <v/>
      </c>
      <c r="Y1066" s="2">
        <f>IF(ISERROR($C$1066),"",IF(ISBLANK($C$1066),"",$C$1066))</f>
        <v/>
      </c>
      <c r="Z1066" s="2">
        <f>IF(ISERROR($D$1066),"",IF(ISBLANK($D$1066),"",$D$1066))</f>
        <v/>
      </c>
      <c r="AA1066" s="2">
        <f>IF(ISERROR($E$1066),"",IF(ISBLANK($E$1066),"",$E$1066))</f>
        <v/>
      </c>
      <c r="AG1066" s="2">
        <f>ISERROR($B$1066)*1+ISERROR($C$1066)*1+ISERROR($D$1066)*1+ISERROR($E$1066)*1</f>
        <v/>
      </c>
    </row>
    <row r="1067" ht="37" customHeight="1">
      <c r="B1067" s="33" t="inlineStr">
        <is>
          <t>voltar para casa, onde quer que seja</t>
        </is>
      </c>
      <c r="C1067" s="4" t="inlineStr">
        <is>
          <t>mapas falsos vendidos a rivais</t>
        </is>
      </c>
      <c r="D1067" s="4" t="inlineStr">
        <is>
          <t>um refúgio que ninguém acha</t>
        </is>
      </c>
      <c r="E1067" s="4" t="inlineStr">
        <is>
          <t>eles têm um rival dentro de casa: o grupo pode escolher quem ajudar</t>
        </is>
      </c>
      <c r="K1067" s="19">
        <f>IF(AG1067&gt;0,"O Google leu como fórmula: digite de novo com ' na frente.","")</f>
        <v/>
      </c>
      <c r="N1067" s="2">
        <f>N1066+IF(LEN($X$1067)&gt;0,1,0)</f>
        <v/>
      </c>
      <c r="O1067" s="2">
        <f>O1066+IF(LEN($Y$1067)&gt;0,1,0)</f>
        <v/>
      </c>
      <c r="P1067" s="2">
        <f>P1066+IF(LEN($Z$1067)&gt;0,1,0)</f>
        <v/>
      </c>
      <c r="Q1067" s="2">
        <f>Q1066+IF(LEN($AA$1067)&gt;0,1,0)</f>
        <v/>
      </c>
      <c r="X1067" s="2">
        <f>IF(ISERROR($B$1067),"",IF(ISBLANK($B$1067),"",$B$1067))</f>
        <v/>
      </c>
      <c r="Y1067" s="2">
        <f>IF(ISERROR($C$1067),"",IF(ISBLANK($C$1067),"",$C$1067))</f>
        <v/>
      </c>
      <c r="Z1067" s="2">
        <f>IF(ISERROR($D$1067),"",IF(ISBLANK($D$1067),"",$D$1067))</f>
        <v/>
      </c>
      <c r="AA1067" s="2">
        <f>IF(ISERROR($E$1067),"",IF(ISBLANK($E$1067),"",$E$1067))</f>
        <v/>
      </c>
      <c r="AG1067" s="2">
        <f>ISERROR($B$1067)*1+ISERROR($C$1067)*1+ISERROR($D$1067)*1+ISERROR($E$1067)*1</f>
        <v/>
      </c>
    </row>
    <row r="1068" ht="26" customHeight="1">
      <c r="B1068" s="35" t="n"/>
      <c r="C1068" s="29" t="n"/>
      <c r="D1068" s="29" t="n"/>
      <c r="E1068" s="29" t="n"/>
      <c r="K1068" s="19">
        <f>IF(AG1068&gt;0,"O Google leu como fórmula: digite de novo com ' na frente.","")</f>
        <v/>
      </c>
      <c r="N1068" s="2">
        <f>N1067+IF(LEN($X$1068)&gt;0,1,0)</f>
        <v/>
      </c>
      <c r="O1068" s="2">
        <f>O1067+IF(LEN($Y$1068)&gt;0,1,0)</f>
        <v/>
      </c>
      <c r="P1068" s="2">
        <f>P1067+IF(LEN($Z$1068)&gt;0,1,0)</f>
        <v/>
      </c>
      <c r="Q1068" s="2">
        <f>Q1067+IF(LEN($AA$1068)&gt;0,1,0)</f>
        <v/>
      </c>
      <c r="X1068" s="2">
        <f>IF(ISERROR($B$1068),"",IF(ISBLANK($B$1068),"",$B$1068))</f>
        <v/>
      </c>
      <c r="Y1068" s="2">
        <f>IF(ISERROR($C$1068),"",IF(ISBLANK($C$1068),"",$C$1068))</f>
        <v/>
      </c>
      <c r="Z1068" s="2">
        <f>IF(ISERROR($D$1068),"",IF(ISBLANK($D$1068),"",$D$1068))</f>
        <v/>
      </c>
      <c r="AA1068" s="2">
        <f>IF(ISERROR($E$1068),"",IF(ISBLANK($E$1068),"",$E$1068))</f>
        <v/>
      </c>
      <c r="AG1068" s="2">
        <f>ISERROR($B$1068)*1+ISERROR($C$1068)*1+ISERROR($D$1068)*1+ISERROR($E$1068)*1</f>
        <v/>
      </c>
    </row>
    <row r="1069" ht="26" customHeight="1">
      <c r="B1069" s="33" t="n"/>
      <c r="C1069" s="4" t="n"/>
      <c r="D1069" s="4" t="n"/>
      <c r="E1069" s="4" t="n"/>
      <c r="K1069" s="19">
        <f>IF(AG1069&gt;0,"O Google leu como fórmula: digite de novo com ' na frente.","")</f>
        <v/>
      </c>
      <c r="N1069" s="2">
        <f>N1068+IF(LEN($X$1069)&gt;0,1,0)</f>
        <v/>
      </c>
      <c r="O1069" s="2">
        <f>O1068+IF(LEN($Y$1069)&gt;0,1,0)</f>
        <v/>
      </c>
      <c r="P1069" s="2">
        <f>P1068+IF(LEN($Z$1069)&gt;0,1,0)</f>
        <v/>
      </c>
      <c r="Q1069" s="2">
        <f>Q1068+IF(LEN($AA$1069)&gt;0,1,0)</f>
        <v/>
      </c>
      <c r="X1069" s="2">
        <f>IF(ISERROR($B$1069),"",IF(ISBLANK($B$1069),"",$B$1069))</f>
        <v/>
      </c>
      <c r="Y1069" s="2">
        <f>IF(ISERROR($C$1069),"",IF(ISBLANK($C$1069),"",$C$1069))</f>
        <v/>
      </c>
      <c r="Z1069" s="2">
        <f>IF(ISERROR($D$1069),"",IF(ISBLANK($D$1069),"",$D$1069))</f>
        <v/>
      </c>
      <c r="AA1069" s="2">
        <f>IF(ISERROR($E$1069),"",IF(ISBLANK($E$1069),"",$E$1069))</f>
        <v/>
      </c>
      <c r="AG1069" s="2">
        <f>ISERROR($B$1069)*1+ISERROR($C$1069)*1+ISERROR($D$1069)*1+ISERROR($E$1069)*1</f>
        <v/>
      </c>
    </row>
    <row r="1070" ht="26" customHeight="1">
      <c r="B1070" s="35" t="n"/>
      <c r="C1070" s="29" t="n"/>
      <c r="D1070" s="29" t="n"/>
      <c r="E1070" s="29" t="n"/>
      <c r="K1070" s="19">
        <f>IF(AG1070&gt;0,"O Google leu como fórmula: digite de novo com ' na frente.","")</f>
        <v/>
      </c>
      <c r="N1070" s="2">
        <f>N1069+IF(LEN($X$1070)&gt;0,1,0)</f>
        <v/>
      </c>
      <c r="O1070" s="2">
        <f>O1069+IF(LEN($Y$1070)&gt;0,1,0)</f>
        <v/>
      </c>
      <c r="P1070" s="2">
        <f>P1069+IF(LEN($Z$1070)&gt;0,1,0)</f>
        <v/>
      </c>
      <c r="Q1070" s="2">
        <f>Q1069+IF(LEN($AA$1070)&gt;0,1,0)</f>
        <v/>
      </c>
      <c r="X1070" s="2">
        <f>IF(ISERROR($B$1070),"",IF(ISBLANK($B$1070),"",$B$1070))</f>
        <v/>
      </c>
      <c r="Y1070" s="2">
        <f>IF(ISERROR($C$1070),"",IF(ISBLANK($C$1070),"",$C$1070))</f>
        <v/>
      </c>
      <c r="Z1070" s="2">
        <f>IF(ISERROR($D$1070),"",IF(ISBLANK($D$1070),"",$D$1070))</f>
        <v/>
      </c>
      <c r="AA1070" s="2">
        <f>IF(ISERROR($E$1070),"",IF(ISBLANK($E$1070),"",$E$1070))</f>
        <v/>
      </c>
      <c r="AG1070" s="2">
        <f>ISERROR($B$1070)*1+ISERROR($C$1070)*1+ISERROR($D$1070)*1+ISERROR($E$1070)*1</f>
        <v/>
      </c>
    </row>
    <row r="1071" ht="26" customHeight="1">
      <c r="B1071" s="33" t="n"/>
      <c r="C1071" s="4" t="n"/>
      <c r="D1071" s="4" t="n"/>
      <c r="E1071" s="4" t="n"/>
      <c r="K1071" s="19">
        <f>IF(AG1071&gt;0,"O Google leu como fórmula: digite de novo com ' na frente.","")</f>
        <v/>
      </c>
      <c r="N1071" s="2">
        <f>N1070+IF(LEN($X$1071)&gt;0,1,0)</f>
        <v/>
      </c>
      <c r="O1071" s="2">
        <f>O1070+IF(LEN($Y$1071)&gt;0,1,0)</f>
        <v/>
      </c>
      <c r="P1071" s="2">
        <f>P1070+IF(LEN($Z$1071)&gt;0,1,0)</f>
        <v/>
      </c>
      <c r="Q1071" s="2">
        <f>Q1070+IF(LEN($AA$1071)&gt;0,1,0)</f>
        <v/>
      </c>
      <c r="X1071" s="2">
        <f>IF(ISERROR($B$1071),"",IF(ISBLANK($B$1071),"",$B$1071))</f>
        <v/>
      </c>
      <c r="Y1071" s="2">
        <f>IF(ISERROR($C$1071),"",IF(ISBLANK($C$1071),"",$C$1071))</f>
        <v/>
      </c>
      <c r="Z1071" s="2">
        <f>IF(ISERROR($D$1071),"",IF(ISBLANK($D$1071),"",$D$1071))</f>
        <v/>
      </c>
      <c r="AA1071" s="2">
        <f>IF(ISERROR($E$1071),"",IF(ISBLANK($E$1071),"",$E$1071))</f>
        <v/>
      </c>
      <c r="AG1071" s="2">
        <f>ISERROR($B$1071)*1+ISERROR($C$1071)*1+ISERROR($D$1071)*1+ISERROR($E$1071)*1</f>
        <v/>
      </c>
    </row>
    <row r="1072" ht="26" customHeight="1">
      <c r="B1072" s="35" t="n"/>
      <c r="C1072" s="29" t="n"/>
      <c r="D1072" s="29" t="n"/>
      <c r="E1072" s="29" t="n"/>
      <c r="K1072" s="19">
        <f>IF(AG1072&gt;0,"O Google leu como fórmula: digite de novo com ' na frente.","")</f>
        <v/>
      </c>
      <c r="N1072" s="2">
        <f>N1071+IF(LEN($X$1072)&gt;0,1,0)</f>
        <v/>
      </c>
      <c r="O1072" s="2">
        <f>O1071+IF(LEN($Y$1072)&gt;0,1,0)</f>
        <v/>
      </c>
      <c r="P1072" s="2">
        <f>P1071+IF(LEN($Z$1072)&gt;0,1,0)</f>
        <v/>
      </c>
      <c r="Q1072" s="2">
        <f>Q1071+IF(LEN($AA$1072)&gt;0,1,0)</f>
        <v/>
      </c>
      <c r="X1072" s="2">
        <f>IF(ISERROR($B$1072),"",IF(ISBLANK($B$1072),"",$B$1072))</f>
        <v/>
      </c>
      <c r="Y1072" s="2">
        <f>IF(ISERROR($C$1072),"",IF(ISBLANK($C$1072),"",$C$1072))</f>
        <v/>
      </c>
      <c r="Z1072" s="2">
        <f>IF(ISERROR($D$1072),"",IF(ISBLANK($D$1072),"",$D$1072))</f>
        <v/>
      </c>
      <c r="AA1072" s="2">
        <f>IF(ISERROR($E$1072),"",IF(ISBLANK($E$1072),"",$E$1072))</f>
        <v/>
      </c>
      <c r="AG1072" s="2">
        <f>ISERROR($B$1072)*1+ISERROR($C$1072)*1+ISERROR($D$1072)*1+ISERROR($E$1072)*1</f>
        <v/>
      </c>
    </row>
    <row r="1073" ht="26" customHeight="1">
      <c r="B1073" s="33" t="n"/>
      <c r="C1073" s="4" t="n"/>
      <c r="D1073" s="4" t="n"/>
      <c r="E1073" s="4" t="n"/>
      <c r="K1073" s="19">
        <f>IF(AG1073&gt;0,"O Google leu como fórmula: digite de novo com ' na frente.","")</f>
        <v/>
      </c>
      <c r="N1073" s="2">
        <f>N1072+IF(LEN($X$1073)&gt;0,1,0)</f>
        <v/>
      </c>
      <c r="O1073" s="2">
        <f>O1072+IF(LEN($Y$1073)&gt;0,1,0)</f>
        <v/>
      </c>
      <c r="P1073" s="2">
        <f>P1072+IF(LEN($Z$1073)&gt;0,1,0)</f>
        <v/>
      </c>
      <c r="Q1073" s="2">
        <f>Q1072+IF(LEN($AA$1073)&gt;0,1,0)</f>
        <v/>
      </c>
      <c r="X1073" s="2">
        <f>IF(ISERROR($B$1073),"",IF(ISBLANK($B$1073),"",$B$1073))</f>
        <v/>
      </c>
      <c r="Y1073" s="2">
        <f>IF(ISERROR($C$1073),"",IF(ISBLANK($C$1073),"",$C$1073))</f>
        <v/>
      </c>
      <c r="Z1073" s="2">
        <f>IF(ISERROR($D$1073),"",IF(ISBLANK($D$1073),"",$D$1073))</f>
        <v/>
      </c>
      <c r="AA1073" s="2">
        <f>IF(ISERROR($E$1073),"",IF(ISBLANK($E$1073),"",$E$1073))</f>
        <v/>
      </c>
      <c r="AG1073" s="2">
        <f>ISERROR($B$1073)*1+ISERROR($C$1073)*1+ISERROR($D$1073)*1+ISERROR($E$1073)*1</f>
        <v/>
      </c>
    </row>
    <row r="1074" ht="15" customHeight="1">
      <c r="B1074" s="8" t="inlineStr">
        <is>
          <t>Facção: o que quer</t>
        </is>
      </c>
      <c r="C1074" s="8" t="inlineStr">
        <is>
          <t>Facção: método</t>
        </is>
      </c>
      <c r="D1074" s="8" t="inlineStr">
        <is>
          <t>Facção: recurso</t>
        </is>
      </c>
      <c r="E1074" s="8" t="inlineStr">
        <is>
          <t>Facção: como usar</t>
        </is>
      </c>
      <c r="N1074" s="2">
        <f>N1073</f>
        <v/>
      </c>
      <c r="O1074" s="2">
        <f>O1073</f>
        <v/>
      </c>
      <c r="P1074" s="2">
        <f>P1073</f>
        <v/>
      </c>
      <c r="Q1074" s="2">
        <f>Q1073</f>
        <v/>
      </c>
      <c r="X1074" s="2">
        <f>IF(ISERROR($B$1074),"",IF(ISBLANK($B$1074),"",$B$1074))</f>
        <v/>
      </c>
      <c r="Y1074" s="2">
        <f>IF(ISERROR($C$1074),"",IF(ISBLANK($C$1074),"",$C$1074))</f>
        <v/>
      </c>
      <c r="Z1074" s="2">
        <f>IF(ISERROR($D$1074),"",IF(ISBLANK($D$1074),"",$D$1074))</f>
        <v/>
      </c>
      <c r="AA1074" s="2">
        <f>IF(ISERROR($E$1074),"",IF(ISBLANK($E$1074),"",$E$1074))</f>
        <v/>
      </c>
    </row>
    <row r="1075" ht="26" customHeight="1">
      <c r="B1075" s="33" t="n"/>
      <c r="C1075" s="4" t="n"/>
      <c r="D1075" s="4" t="n"/>
      <c r="E1075" s="4" t="n"/>
      <c r="K1075" s="19">
        <f>IF(AG1075&gt;0,"O Google leu como fórmula: digite de novo com ' na frente.","")</f>
        <v/>
      </c>
      <c r="N1075" s="2">
        <f>N1074+IF(LEN($X$1075)&gt;0,1,0)</f>
        <v/>
      </c>
      <c r="O1075" s="2">
        <f>O1074+IF(LEN($Y$1075)&gt;0,1,0)</f>
        <v/>
      </c>
      <c r="P1075" s="2">
        <f>P1074+IF(LEN($Z$1075)&gt;0,1,0)</f>
        <v/>
      </c>
      <c r="Q1075" s="2">
        <f>Q1074+IF(LEN($AA$1075)&gt;0,1,0)</f>
        <v/>
      </c>
      <c r="X1075" s="2">
        <f>IF(ISERROR($B$1075),"",IF(ISBLANK($B$1075),"",$B$1075))</f>
        <v/>
      </c>
      <c r="Y1075" s="2">
        <f>IF(ISERROR($C$1075),"",IF(ISBLANK($C$1075),"",$C$1075))</f>
        <v/>
      </c>
      <c r="Z1075" s="2">
        <f>IF(ISERROR($D$1075),"",IF(ISBLANK($D$1075),"",$D$1075))</f>
        <v/>
      </c>
      <c r="AA1075" s="2">
        <f>IF(ISERROR($E$1075),"",IF(ISBLANK($E$1075),"",$E$1075))</f>
        <v/>
      </c>
      <c r="AG1075" s="2">
        <f>ISERROR($B$1075)*1+ISERROR($C$1075)*1+ISERROR($D$1075)*1+ISERROR($E$1075)*1</f>
        <v/>
      </c>
    </row>
    <row r="1076" ht="26" customHeight="1">
      <c r="B1076" s="35" t="n"/>
      <c r="C1076" s="29" t="n"/>
      <c r="D1076" s="29" t="n"/>
      <c r="E1076" s="29" t="n"/>
      <c r="K1076" s="19">
        <f>IF(AG1076&gt;0,"O Google leu como fórmula: digite de novo com ' na frente.","")</f>
        <v/>
      </c>
      <c r="N1076" s="2">
        <f>N1075+IF(LEN($X$1076)&gt;0,1,0)</f>
        <v/>
      </c>
      <c r="O1076" s="2">
        <f>O1075+IF(LEN($Y$1076)&gt;0,1,0)</f>
        <v/>
      </c>
      <c r="P1076" s="2">
        <f>P1075+IF(LEN($Z$1076)&gt;0,1,0)</f>
        <v/>
      </c>
      <c r="Q1076" s="2">
        <f>Q1075+IF(LEN($AA$1076)&gt;0,1,0)</f>
        <v/>
      </c>
      <c r="X1076" s="2">
        <f>IF(ISERROR($B$1076),"",IF(ISBLANK($B$1076),"",$B$1076))</f>
        <v/>
      </c>
      <c r="Y1076" s="2">
        <f>IF(ISERROR($C$1076),"",IF(ISBLANK($C$1076),"",$C$1076))</f>
        <v/>
      </c>
      <c r="Z1076" s="2">
        <f>IF(ISERROR($D$1076),"",IF(ISBLANK($D$1076),"",$D$1076))</f>
        <v/>
      </c>
      <c r="AA1076" s="2">
        <f>IF(ISERROR($E$1076),"",IF(ISBLANK($E$1076),"",$E$1076))</f>
        <v/>
      </c>
      <c r="AG1076" s="2">
        <f>ISERROR($B$1076)*1+ISERROR($C$1076)*1+ISERROR($D$1076)*1+ISERROR($E$1076)*1</f>
        <v/>
      </c>
    </row>
    <row r="1077" ht="26" customHeight="1">
      <c r="B1077" s="33" t="n"/>
      <c r="C1077" s="4" t="n"/>
      <c r="D1077" s="4" t="n"/>
      <c r="E1077" s="4" t="n"/>
      <c r="K1077" s="19">
        <f>IF(AG1077&gt;0,"O Google leu como fórmula: digite de novo com ' na frente.","")</f>
        <v/>
      </c>
      <c r="N1077" s="2">
        <f>N1076+IF(LEN($X$1077)&gt;0,1,0)</f>
        <v/>
      </c>
      <c r="O1077" s="2">
        <f>O1076+IF(LEN($Y$1077)&gt;0,1,0)</f>
        <v/>
      </c>
      <c r="P1077" s="2">
        <f>P1076+IF(LEN($Z$1077)&gt;0,1,0)</f>
        <v/>
      </c>
      <c r="Q1077" s="2">
        <f>Q1076+IF(LEN($AA$1077)&gt;0,1,0)</f>
        <v/>
      </c>
      <c r="X1077" s="2">
        <f>IF(ISERROR($B$1077),"",IF(ISBLANK($B$1077),"",$B$1077))</f>
        <v/>
      </c>
      <c r="Y1077" s="2">
        <f>IF(ISERROR($C$1077),"",IF(ISBLANK($C$1077),"",$C$1077))</f>
        <v/>
      </c>
      <c r="Z1077" s="2">
        <f>IF(ISERROR($D$1077),"",IF(ISBLANK($D$1077),"",$D$1077))</f>
        <v/>
      </c>
      <c r="AA1077" s="2">
        <f>IF(ISERROR($E$1077),"",IF(ISBLANK($E$1077),"",$E$1077))</f>
        <v/>
      </c>
      <c r="AG1077" s="2">
        <f>ISERROR($B$1077)*1+ISERROR($C$1077)*1+ISERROR($D$1077)*1+ISERROR($E$1077)*1</f>
        <v/>
      </c>
    </row>
    <row r="1078" ht="26" customHeight="1">
      <c r="B1078" s="35" t="n"/>
      <c r="C1078" s="29" t="n"/>
      <c r="D1078" s="29" t="n"/>
      <c r="E1078" s="29" t="n"/>
      <c r="K1078" s="19">
        <f>IF(AG1078&gt;0,"O Google leu como fórmula: digite de novo com ' na frente.","")</f>
        <v/>
      </c>
      <c r="N1078" s="2">
        <f>N1077+IF(LEN($X$1078)&gt;0,1,0)</f>
        <v/>
      </c>
      <c r="O1078" s="2">
        <f>O1077+IF(LEN($Y$1078)&gt;0,1,0)</f>
        <v/>
      </c>
      <c r="P1078" s="2">
        <f>P1077+IF(LEN($Z$1078)&gt;0,1,0)</f>
        <v/>
      </c>
      <c r="Q1078" s="2">
        <f>Q1077+IF(LEN($AA$1078)&gt;0,1,0)</f>
        <v/>
      </c>
      <c r="X1078" s="2">
        <f>IF(ISERROR($B$1078),"",IF(ISBLANK($B$1078),"",$B$1078))</f>
        <v/>
      </c>
      <c r="Y1078" s="2">
        <f>IF(ISERROR($C$1078),"",IF(ISBLANK($C$1078),"",$C$1078))</f>
        <v/>
      </c>
      <c r="Z1078" s="2">
        <f>IF(ISERROR($D$1078),"",IF(ISBLANK($D$1078),"",$D$1078))</f>
        <v/>
      </c>
      <c r="AA1078" s="2">
        <f>IF(ISERROR($E$1078),"",IF(ISBLANK($E$1078),"",$E$1078))</f>
        <v/>
      </c>
      <c r="AG1078" s="2">
        <f>ISERROR($B$1078)*1+ISERROR($C$1078)*1+ISERROR($D$1078)*1+ISERROR($E$1078)*1</f>
        <v/>
      </c>
    </row>
    <row r="1079" ht="26" customHeight="1">
      <c r="B1079" s="33" t="n"/>
      <c r="C1079" s="4" t="n"/>
      <c r="D1079" s="4" t="n"/>
      <c r="E1079" s="4" t="n"/>
      <c r="K1079" s="19">
        <f>IF(AG1079&gt;0,"O Google leu como fórmula: digite de novo com ' na frente.","")</f>
        <v/>
      </c>
      <c r="N1079" s="2">
        <f>N1078+IF(LEN($X$1079)&gt;0,1,0)</f>
        <v/>
      </c>
      <c r="O1079" s="2">
        <f>O1078+IF(LEN($Y$1079)&gt;0,1,0)</f>
        <v/>
      </c>
      <c r="P1079" s="2">
        <f>P1078+IF(LEN($Z$1079)&gt;0,1,0)</f>
        <v/>
      </c>
      <c r="Q1079" s="2">
        <f>Q1078+IF(LEN($AA$1079)&gt;0,1,0)</f>
        <v/>
      </c>
      <c r="X1079" s="2">
        <f>IF(ISERROR($B$1079),"",IF(ISBLANK($B$1079),"",$B$1079))</f>
        <v/>
      </c>
      <c r="Y1079" s="2">
        <f>IF(ISERROR($C$1079),"",IF(ISBLANK($C$1079),"",$C$1079))</f>
        <v/>
      </c>
      <c r="Z1079" s="2">
        <f>IF(ISERROR($D$1079),"",IF(ISBLANK($D$1079),"",$D$1079))</f>
        <v/>
      </c>
      <c r="AA1079" s="2">
        <f>IF(ISERROR($E$1079),"",IF(ISBLANK($E$1079),"",$E$1079))</f>
        <v/>
      </c>
      <c r="AG1079" s="2">
        <f>ISERROR($B$1079)*1+ISERROR($C$1079)*1+ISERROR($D$1079)*1+ISERROR($E$1079)*1</f>
        <v/>
      </c>
    </row>
    <row r="1080" ht="26" customHeight="1">
      <c r="B1080" s="35" t="n"/>
      <c r="C1080" s="29" t="n"/>
      <c r="D1080" s="29" t="n"/>
      <c r="E1080" s="29" t="n"/>
      <c r="K1080" s="19">
        <f>IF(AG1080&gt;0,"O Google leu como fórmula: digite de novo com ' na frente.","")</f>
        <v/>
      </c>
      <c r="N1080" s="2">
        <f>N1079+IF(LEN($X$1080)&gt;0,1,0)</f>
        <v/>
      </c>
      <c r="O1080" s="2">
        <f>O1079+IF(LEN($Y$1080)&gt;0,1,0)</f>
        <v/>
      </c>
      <c r="P1080" s="2">
        <f>P1079+IF(LEN($Z$1080)&gt;0,1,0)</f>
        <v/>
      </c>
      <c r="Q1080" s="2">
        <f>Q1079+IF(LEN($AA$1080)&gt;0,1,0)</f>
        <v/>
      </c>
      <c r="X1080" s="2">
        <f>IF(ISERROR($B$1080),"",IF(ISBLANK($B$1080),"",$B$1080))</f>
        <v/>
      </c>
      <c r="Y1080" s="2">
        <f>IF(ISERROR($C$1080),"",IF(ISBLANK($C$1080),"",$C$1080))</f>
        <v/>
      </c>
      <c r="Z1080" s="2">
        <f>IF(ISERROR($D$1080),"",IF(ISBLANK($D$1080),"",$D$1080))</f>
        <v/>
      </c>
      <c r="AA1080" s="2">
        <f>IF(ISERROR($E$1080),"",IF(ISBLANK($E$1080),"",$E$1080))</f>
        <v/>
      </c>
      <c r="AG1080" s="2">
        <f>ISERROR($B$1080)*1+ISERROR($C$1080)*1+ISERROR($D$1080)*1+ISERROR($E$1080)*1</f>
        <v/>
      </c>
    </row>
    <row r="1081" ht="26" customHeight="1">
      <c r="B1081" s="33" t="n"/>
      <c r="C1081" s="4" t="n"/>
      <c r="D1081" s="4" t="n"/>
      <c r="E1081" s="4" t="n"/>
      <c r="K1081" s="19">
        <f>IF(AG1081&gt;0,"O Google leu como fórmula: digite de novo com ' na frente.","")</f>
        <v/>
      </c>
      <c r="N1081" s="2">
        <f>N1080+IF(LEN($X$1081)&gt;0,1,0)</f>
        <v/>
      </c>
      <c r="O1081" s="2">
        <f>O1080+IF(LEN($Y$1081)&gt;0,1,0)</f>
        <v/>
      </c>
      <c r="P1081" s="2">
        <f>P1080+IF(LEN($Z$1081)&gt;0,1,0)</f>
        <v/>
      </c>
      <c r="Q1081" s="2">
        <f>Q1080+IF(LEN($AA$1081)&gt;0,1,0)</f>
        <v/>
      </c>
      <c r="X1081" s="2">
        <f>IF(ISERROR($B$1081),"",IF(ISBLANK($B$1081),"",$B$1081))</f>
        <v/>
      </c>
      <c r="Y1081" s="2">
        <f>IF(ISERROR($C$1081),"",IF(ISBLANK($C$1081),"",$C$1081))</f>
        <v/>
      </c>
      <c r="Z1081" s="2">
        <f>IF(ISERROR($D$1081),"",IF(ISBLANK($D$1081),"",$D$1081))</f>
        <v/>
      </c>
      <c r="AA1081" s="2">
        <f>IF(ISERROR($E$1081),"",IF(ISBLANK($E$1081),"",$E$1081))</f>
        <v/>
      </c>
      <c r="AG1081" s="2">
        <f>ISERROR($B$1081)*1+ISERROR($C$1081)*1+ISERROR($D$1081)*1+ISERROR($E$1081)*1</f>
        <v/>
      </c>
    </row>
    <row r="1082" ht="26" customHeight="1">
      <c r="B1082" s="35" t="n"/>
      <c r="C1082" s="29" t="n"/>
      <c r="D1082" s="29" t="n"/>
      <c r="E1082" s="29" t="n"/>
      <c r="K1082" s="19">
        <f>IF(AG1082&gt;0,"O Google leu como fórmula: digite de novo com ' na frente.","")</f>
        <v/>
      </c>
      <c r="N1082" s="2">
        <f>N1081+IF(LEN($X$1082)&gt;0,1,0)</f>
        <v/>
      </c>
      <c r="O1082" s="2">
        <f>O1081+IF(LEN($Y$1082)&gt;0,1,0)</f>
        <v/>
      </c>
      <c r="P1082" s="2">
        <f>P1081+IF(LEN($Z$1082)&gt;0,1,0)</f>
        <v/>
      </c>
      <c r="Q1082" s="2">
        <f>Q1081+IF(LEN($AA$1082)&gt;0,1,0)</f>
        <v/>
      </c>
      <c r="X1082" s="2">
        <f>IF(ISERROR($B$1082),"",IF(ISBLANK($B$1082),"",$B$1082))</f>
        <v/>
      </c>
      <c r="Y1082" s="2">
        <f>IF(ISERROR($C$1082),"",IF(ISBLANK($C$1082),"",$C$1082))</f>
        <v/>
      </c>
      <c r="Z1082" s="2">
        <f>IF(ISERROR($D$1082),"",IF(ISBLANK($D$1082),"",$D$1082))</f>
        <v/>
      </c>
      <c r="AA1082" s="2">
        <f>IF(ISERROR($E$1082),"",IF(ISBLANK($E$1082),"",$E$1082))</f>
        <v/>
      </c>
      <c r="AG1082" s="2">
        <f>ISERROR($B$1082)*1+ISERROR($C$1082)*1+ISERROR($D$1082)*1+ISERROR($E$1082)*1</f>
        <v/>
      </c>
    </row>
    <row r="1083" ht="26" customHeight="1">
      <c r="B1083" s="33" t="n"/>
      <c r="C1083" s="4" t="n"/>
      <c r="D1083" s="4" t="n"/>
      <c r="E1083" s="4" t="n"/>
      <c r="K1083" s="19">
        <f>IF(AG1083&gt;0,"O Google leu como fórmula: digite de novo com ' na frente.","")</f>
        <v/>
      </c>
      <c r="N1083" s="2">
        <f>N1082+IF(LEN($X$1083)&gt;0,1,0)</f>
        <v/>
      </c>
      <c r="O1083" s="2">
        <f>O1082+IF(LEN($Y$1083)&gt;0,1,0)</f>
        <v/>
      </c>
      <c r="P1083" s="2">
        <f>P1082+IF(LEN($Z$1083)&gt;0,1,0)</f>
        <v/>
      </c>
      <c r="Q1083" s="2">
        <f>Q1082+IF(LEN($AA$1083)&gt;0,1,0)</f>
        <v/>
      </c>
      <c r="X1083" s="2">
        <f>IF(ISERROR($B$1083),"",IF(ISBLANK($B$1083),"",$B$1083))</f>
        <v/>
      </c>
      <c r="Y1083" s="2">
        <f>IF(ISERROR($C$1083),"",IF(ISBLANK($C$1083),"",$C$1083))</f>
        <v/>
      </c>
      <c r="Z1083" s="2">
        <f>IF(ISERROR($D$1083),"",IF(ISBLANK($D$1083),"",$D$1083))</f>
        <v/>
      </c>
      <c r="AA1083" s="2">
        <f>IF(ISERROR($E$1083),"",IF(ISBLANK($E$1083),"",$E$1083))</f>
        <v/>
      </c>
      <c r="AG1083" s="2">
        <f>ISERROR($B$1083)*1+ISERROR($C$1083)*1+ISERROR($D$1083)*1+ISERROR($E$1083)*1</f>
        <v/>
      </c>
    </row>
    <row r="1084" ht="26" customHeight="1">
      <c r="B1084" s="35" t="n"/>
      <c r="C1084" s="29" t="n"/>
      <c r="D1084" s="29" t="n"/>
      <c r="E1084" s="29" t="n"/>
      <c r="K1084" s="19">
        <f>IF(AG1084&gt;0,"O Google leu como fórmula: digite de novo com ' na frente.","")</f>
        <v/>
      </c>
      <c r="N1084" s="2">
        <f>N1083+IF(LEN($X$1084)&gt;0,1,0)</f>
        <v/>
      </c>
      <c r="O1084" s="2">
        <f>O1083+IF(LEN($Y$1084)&gt;0,1,0)</f>
        <v/>
      </c>
      <c r="P1084" s="2">
        <f>P1083+IF(LEN($Z$1084)&gt;0,1,0)</f>
        <v/>
      </c>
      <c r="Q1084" s="2">
        <f>Q1083+IF(LEN($AA$1084)&gt;0,1,0)</f>
        <v/>
      </c>
      <c r="X1084" s="2">
        <f>IF(ISERROR($B$1084),"",IF(ISBLANK($B$1084),"",$B$1084))</f>
        <v/>
      </c>
      <c r="Y1084" s="2">
        <f>IF(ISERROR($C$1084),"",IF(ISBLANK($C$1084),"",$C$1084))</f>
        <v/>
      </c>
      <c r="Z1084" s="2">
        <f>IF(ISERROR($D$1084),"",IF(ISBLANK($D$1084),"",$D$1084))</f>
        <v/>
      </c>
      <c r="AA1084" s="2">
        <f>IF(ISERROR($E$1084),"",IF(ISBLANK($E$1084),"",$E$1084))</f>
        <v/>
      </c>
      <c r="AG1084" s="2">
        <f>ISERROR($B$1084)*1+ISERROR($C$1084)*1+ISERROR($D$1084)*1+ISERROR($E$1084)*1</f>
        <v/>
      </c>
    </row>
    <row r="1085" ht="26" customHeight="1">
      <c r="B1085" s="33" t="n"/>
      <c r="C1085" s="4" t="n"/>
      <c r="D1085" s="4" t="n"/>
      <c r="E1085" s="4" t="n"/>
      <c r="K1085" s="19">
        <f>IF(AG1085&gt;0,"O Google leu como fórmula: digite de novo com ' na frente.","")</f>
        <v/>
      </c>
      <c r="N1085" s="2">
        <f>N1084+IF(LEN($X$1085)&gt;0,1,0)</f>
        <v/>
      </c>
      <c r="O1085" s="2">
        <f>O1084+IF(LEN($Y$1085)&gt;0,1,0)</f>
        <v/>
      </c>
      <c r="P1085" s="2">
        <f>P1084+IF(LEN($Z$1085)&gt;0,1,0)</f>
        <v/>
      </c>
      <c r="Q1085" s="2">
        <f>Q1084+IF(LEN($AA$1085)&gt;0,1,0)</f>
        <v/>
      </c>
      <c r="X1085" s="2">
        <f>IF(ISERROR($B$1085),"",IF(ISBLANK($B$1085),"",$B$1085))</f>
        <v/>
      </c>
      <c r="Y1085" s="2">
        <f>IF(ISERROR($C$1085),"",IF(ISBLANK($C$1085),"",$C$1085))</f>
        <v/>
      </c>
      <c r="Z1085" s="2">
        <f>IF(ISERROR($D$1085),"",IF(ISBLANK($D$1085),"",$D$1085))</f>
        <v/>
      </c>
      <c r="AA1085" s="2">
        <f>IF(ISERROR($E$1085),"",IF(ISBLANK($E$1085),"",$E$1085))</f>
        <v/>
      </c>
      <c r="AG1085" s="2">
        <f>ISERROR($B$1085)*1+ISERROR($C$1085)*1+ISERROR($D$1085)*1+ISERROR($E$1085)*1</f>
        <v/>
      </c>
    </row>
    <row r="1086" ht="26" customHeight="1">
      <c r="B1086" s="35" t="n"/>
      <c r="C1086" s="29" t="n"/>
      <c r="D1086" s="29" t="n"/>
      <c r="E1086" s="29" t="n"/>
      <c r="K1086" s="19">
        <f>IF(AG1086&gt;0,"O Google leu como fórmula: digite de novo com ' na frente.","")</f>
        <v/>
      </c>
      <c r="N1086" s="2">
        <f>N1085+IF(LEN($X$1086)&gt;0,1,0)</f>
        <v/>
      </c>
      <c r="O1086" s="2">
        <f>O1085+IF(LEN($Y$1086)&gt;0,1,0)</f>
        <v/>
      </c>
      <c r="P1086" s="2">
        <f>P1085+IF(LEN($Z$1086)&gt;0,1,0)</f>
        <v/>
      </c>
      <c r="Q1086" s="2">
        <f>Q1085+IF(LEN($AA$1086)&gt;0,1,0)</f>
        <v/>
      </c>
      <c r="X1086" s="2">
        <f>IF(ISERROR($B$1086),"",IF(ISBLANK($B$1086),"",$B$1086))</f>
        <v/>
      </c>
      <c r="Y1086" s="2">
        <f>IF(ISERROR($C$1086),"",IF(ISBLANK($C$1086),"",$C$1086))</f>
        <v/>
      </c>
      <c r="Z1086" s="2">
        <f>IF(ISERROR($D$1086),"",IF(ISBLANK($D$1086),"",$D$1086))</f>
        <v/>
      </c>
      <c r="AA1086" s="2">
        <f>IF(ISERROR($E$1086),"",IF(ISBLANK($E$1086),"",$E$1086))</f>
        <v/>
      </c>
      <c r="AG1086" s="2">
        <f>ISERROR($B$1086)*1+ISERROR($C$1086)*1+ISERROR($D$1086)*1+ISERROR($E$1086)*1</f>
        <v/>
      </c>
    </row>
    <row r="1087" ht="26" customHeight="1">
      <c r="B1087" s="33" t="n"/>
      <c r="C1087" s="4" t="n"/>
      <c r="D1087" s="4" t="n"/>
      <c r="E1087" s="4" t="n"/>
      <c r="K1087" s="19">
        <f>IF(AG1087&gt;0,"O Google leu como fórmula: digite de novo com ' na frente.","")</f>
        <v/>
      </c>
      <c r="N1087" s="2">
        <f>N1086+IF(LEN($X$1087)&gt;0,1,0)</f>
        <v/>
      </c>
      <c r="O1087" s="2">
        <f>O1086+IF(LEN($Y$1087)&gt;0,1,0)</f>
        <v/>
      </c>
      <c r="P1087" s="2">
        <f>P1086+IF(LEN($Z$1087)&gt;0,1,0)</f>
        <v/>
      </c>
      <c r="Q1087" s="2">
        <f>Q1086+IF(LEN($AA$1087)&gt;0,1,0)</f>
        <v/>
      </c>
      <c r="X1087" s="2">
        <f>IF(ISERROR($B$1087),"",IF(ISBLANK($B$1087),"",$B$1087))</f>
        <v/>
      </c>
      <c r="Y1087" s="2">
        <f>IF(ISERROR($C$1087),"",IF(ISBLANK($C$1087),"",$C$1087))</f>
        <v/>
      </c>
      <c r="Z1087" s="2">
        <f>IF(ISERROR($D$1087),"",IF(ISBLANK($D$1087),"",$D$1087))</f>
        <v/>
      </c>
      <c r="AA1087" s="2">
        <f>IF(ISERROR($E$1087),"",IF(ISBLANK($E$1087),"",$E$1087))</f>
        <v/>
      </c>
      <c r="AG1087" s="2">
        <f>ISERROR($B$1087)*1+ISERROR($C$1087)*1+ISERROR($D$1087)*1+ISERROR($E$1087)*1</f>
        <v/>
      </c>
    </row>
    <row r="1088" ht="15" customHeight="1">
      <c r="B1088" s="8" t="inlineStr">
        <is>
          <t>Facção: o que quer</t>
        </is>
      </c>
      <c r="C1088" s="8" t="inlineStr">
        <is>
          <t>Facção: método</t>
        </is>
      </c>
      <c r="D1088" s="8" t="inlineStr">
        <is>
          <t>Facção: recurso</t>
        </is>
      </c>
      <c r="E1088" s="8" t="inlineStr">
        <is>
          <t>Facção: como usar</t>
        </is>
      </c>
      <c r="N1088" s="2">
        <f>N1087</f>
        <v/>
      </c>
      <c r="O1088" s="2">
        <f>O1087</f>
        <v/>
      </c>
      <c r="P1088" s="2">
        <f>P1087</f>
        <v/>
      </c>
      <c r="Q1088" s="2">
        <f>Q1087</f>
        <v/>
      </c>
      <c r="X1088" s="2">
        <f>IF(ISERROR($B$1088),"",IF(ISBLANK($B$1088),"",$B$1088))</f>
        <v/>
      </c>
      <c r="Y1088" s="2">
        <f>IF(ISERROR($C$1088),"",IF(ISBLANK($C$1088),"",$C$1088))</f>
        <v/>
      </c>
      <c r="Z1088" s="2">
        <f>IF(ISERROR($D$1088),"",IF(ISBLANK($D$1088),"",$D$1088))</f>
        <v/>
      </c>
      <c r="AA1088" s="2">
        <f>IF(ISERROR($E$1088),"",IF(ISBLANK($E$1088),"",$E$1088))</f>
        <v/>
      </c>
    </row>
    <row r="1089" ht="26" customHeight="1">
      <c r="B1089" s="33" t="n"/>
      <c r="C1089" s="4" t="n"/>
      <c r="D1089" s="4" t="n"/>
      <c r="E1089" s="4" t="n"/>
      <c r="K1089" s="19">
        <f>IF(AG1089&gt;0,"O Google leu como fórmula: digite de novo com ' na frente.","")</f>
        <v/>
      </c>
      <c r="N1089" s="2">
        <f>N1088+IF(LEN($X$1089)&gt;0,1,0)</f>
        <v/>
      </c>
      <c r="O1089" s="2">
        <f>O1088+IF(LEN($Y$1089)&gt;0,1,0)</f>
        <v/>
      </c>
      <c r="P1089" s="2">
        <f>P1088+IF(LEN($Z$1089)&gt;0,1,0)</f>
        <v/>
      </c>
      <c r="Q1089" s="2">
        <f>Q1088+IF(LEN($AA$1089)&gt;0,1,0)</f>
        <v/>
      </c>
      <c r="X1089" s="2">
        <f>IF(ISERROR($B$1089),"",IF(ISBLANK($B$1089),"",$B$1089))</f>
        <v/>
      </c>
      <c r="Y1089" s="2">
        <f>IF(ISERROR($C$1089),"",IF(ISBLANK($C$1089),"",$C$1089))</f>
        <v/>
      </c>
      <c r="Z1089" s="2">
        <f>IF(ISERROR($D$1089),"",IF(ISBLANK($D$1089),"",$D$1089))</f>
        <v/>
      </c>
      <c r="AA1089" s="2">
        <f>IF(ISERROR($E$1089),"",IF(ISBLANK($E$1089),"",$E$1089))</f>
        <v/>
      </c>
      <c r="AG1089" s="2">
        <f>ISERROR($B$1089)*1+ISERROR($C$1089)*1+ISERROR($D$1089)*1+ISERROR($E$1089)*1</f>
        <v/>
      </c>
    </row>
    <row r="1090" ht="26" customHeight="1">
      <c r="B1090" s="35" t="n"/>
      <c r="C1090" s="29" t="n"/>
      <c r="D1090" s="29" t="n"/>
      <c r="E1090" s="29" t="n"/>
      <c r="K1090" s="19">
        <f>IF(AG1090&gt;0,"O Google leu como fórmula: digite de novo com ' na frente.","")</f>
        <v/>
      </c>
      <c r="N1090" s="2">
        <f>N1089+IF(LEN($X$1090)&gt;0,1,0)</f>
        <v/>
      </c>
      <c r="O1090" s="2">
        <f>O1089+IF(LEN($Y$1090)&gt;0,1,0)</f>
        <v/>
      </c>
      <c r="P1090" s="2">
        <f>P1089+IF(LEN($Z$1090)&gt;0,1,0)</f>
        <v/>
      </c>
      <c r="Q1090" s="2">
        <f>Q1089+IF(LEN($AA$1090)&gt;0,1,0)</f>
        <v/>
      </c>
      <c r="X1090" s="2">
        <f>IF(ISERROR($B$1090),"",IF(ISBLANK($B$1090),"",$B$1090))</f>
        <v/>
      </c>
      <c r="Y1090" s="2">
        <f>IF(ISERROR($C$1090),"",IF(ISBLANK($C$1090),"",$C$1090))</f>
        <v/>
      </c>
      <c r="Z1090" s="2">
        <f>IF(ISERROR($D$1090),"",IF(ISBLANK($D$1090),"",$D$1090))</f>
        <v/>
      </c>
      <c r="AA1090" s="2">
        <f>IF(ISERROR($E$1090),"",IF(ISBLANK($E$1090),"",$E$1090))</f>
        <v/>
      </c>
      <c r="AG1090" s="2">
        <f>ISERROR($B$1090)*1+ISERROR($C$1090)*1+ISERROR($D$1090)*1+ISERROR($E$1090)*1</f>
        <v/>
      </c>
    </row>
    <row r="1091" ht="26" customHeight="1">
      <c r="B1091" s="33" t="n"/>
      <c r="C1091" s="4" t="n"/>
      <c r="D1091" s="4" t="n"/>
      <c r="E1091" s="4" t="n"/>
      <c r="K1091" s="19">
        <f>IF(AG1091&gt;0,"O Google leu como fórmula: digite de novo com ' na frente.","")</f>
        <v/>
      </c>
      <c r="N1091" s="2">
        <f>N1090+IF(LEN($X$1091)&gt;0,1,0)</f>
        <v/>
      </c>
      <c r="O1091" s="2">
        <f>O1090+IF(LEN($Y$1091)&gt;0,1,0)</f>
        <v/>
      </c>
      <c r="P1091" s="2">
        <f>P1090+IF(LEN($Z$1091)&gt;0,1,0)</f>
        <v/>
      </c>
      <c r="Q1091" s="2">
        <f>Q1090+IF(LEN($AA$1091)&gt;0,1,0)</f>
        <v/>
      </c>
      <c r="X1091" s="2">
        <f>IF(ISERROR($B$1091),"",IF(ISBLANK($B$1091),"",$B$1091))</f>
        <v/>
      </c>
      <c r="Y1091" s="2">
        <f>IF(ISERROR($C$1091),"",IF(ISBLANK($C$1091),"",$C$1091))</f>
        <v/>
      </c>
      <c r="Z1091" s="2">
        <f>IF(ISERROR($D$1091),"",IF(ISBLANK($D$1091),"",$D$1091))</f>
        <v/>
      </c>
      <c r="AA1091" s="2">
        <f>IF(ISERROR($E$1091),"",IF(ISBLANK($E$1091),"",$E$1091))</f>
        <v/>
      </c>
      <c r="AG1091" s="2">
        <f>ISERROR($B$1091)*1+ISERROR($C$1091)*1+ISERROR($D$1091)*1+ISERROR($E$1091)*1</f>
        <v/>
      </c>
    </row>
    <row r="1092" ht="26" customHeight="1">
      <c r="B1092" s="35" t="n"/>
      <c r="C1092" s="29" t="n"/>
      <c r="D1092" s="29" t="n"/>
      <c r="E1092" s="29" t="n"/>
      <c r="K1092" s="19">
        <f>IF(AG1092&gt;0,"O Google leu como fórmula: digite de novo com ' na frente.","")</f>
        <v/>
      </c>
      <c r="N1092" s="2">
        <f>N1091+IF(LEN($X$1092)&gt;0,1,0)</f>
        <v/>
      </c>
      <c r="O1092" s="2">
        <f>O1091+IF(LEN($Y$1092)&gt;0,1,0)</f>
        <v/>
      </c>
      <c r="P1092" s="2">
        <f>P1091+IF(LEN($Z$1092)&gt;0,1,0)</f>
        <v/>
      </c>
      <c r="Q1092" s="2">
        <f>Q1091+IF(LEN($AA$1092)&gt;0,1,0)</f>
        <v/>
      </c>
      <c r="X1092" s="2">
        <f>IF(ISERROR($B$1092),"",IF(ISBLANK($B$1092),"",$B$1092))</f>
        <v/>
      </c>
      <c r="Y1092" s="2">
        <f>IF(ISERROR($C$1092),"",IF(ISBLANK($C$1092),"",$C$1092))</f>
        <v/>
      </c>
      <c r="Z1092" s="2">
        <f>IF(ISERROR($D$1092),"",IF(ISBLANK($D$1092),"",$D$1092))</f>
        <v/>
      </c>
      <c r="AA1092" s="2">
        <f>IF(ISERROR($E$1092),"",IF(ISBLANK($E$1092),"",$E$1092))</f>
        <v/>
      </c>
      <c r="AG1092" s="2">
        <f>ISERROR($B$1092)*1+ISERROR($C$1092)*1+ISERROR($D$1092)*1+ISERROR($E$1092)*1</f>
        <v/>
      </c>
    </row>
    <row r="1093" ht="26" customHeight="1">
      <c r="B1093" s="33" t="n"/>
      <c r="C1093" s="4" t="n"/>
      <c r="D1093" s="4" t="n"/>
      <c r="E1093" s="4" t="n"/>
      <c r="K1093" s="19">
        <f>IF(AG1093&gt;0,"O Google leu como fórmula: digite de novo com ' na frente.","")</f>
        <v/>
      </c>
      <c r="N1093" s="2">
        <f>N1092+IF(LEN($X$1093)&gt;0,1,0)</f>
        <v/>
      </c>
      <c r="O1093" s="2">
        <f>O1092+IF(LEN($Y$1093)&gt;0,1,0)</f>
        <v/>
      </c>
      <c r="P1093" s="2">
        <f>P1092+IF(LEN($Z$1093)&gt;0,1,0)</f>
        <v/>
      </c>
      <c r="Q1093" s="2">
        <f>Q1092+IF(LEN($AA$1093)&gt;0,1,0)</f>
        <v/>
      </c>
      <c r="X1093" s="2">
        <f>IF(ISERROR($B$1093),"",IF(ISBLANK($B$1093),"",$B$1093))</f>
        <v/>
      </c>
      <c r="Y1093" s="2">
        <f>IF(ISERROR($C$1093),"",IF(ISBLANK($C$1093),"",$C$1093))</f>
        <v/>
      </c>
      <c r="Z1093" s="2">
        <f>IF(ISERROR($D$1093),"",IF(ISBLANK($D$1093),"",$D$1093))</f>
        <v/>
      </c>
      <c r="AA1093" s="2">
        <f>IF(ISERROR($E$1093),"",IF(ISBLANK($E$1093),"",$E$1093))</f>
        <v/>
      </c>
      <c r="AG1093" s="2">
        <f>ISERROR($B$1093)*1+ISERROR($C$1093)*1+ISERROR($D$1093)*1+ISERROR($E$1093)*1</f>
        <v/>
      </c>
    </row>
    <row r="1094" ht="26" customHeight="1">
      <c r="B1094" s="35" t="n"/>
      <c r="C1094" s="29" t="n"/>
      <c r="D1094" s="29" t="n"/>
      <c r="E1094" s="29" t="n"/>
      <c r="K1094" s="19">
        <f>IF(AG1094&gt;0,"O Google leu como fórmula: digite de novo com ' na frente.","")</f>
        <v/>
      </c>
      <c r="N1094" s="2">
        <f>N1093+IF(LEN($X$1094)&gt;0,1,0)</f>
        <v/>
      </c>
      <c r="O1094" s="2">
        <f>O1093+IF(LEN($Y$1094)&gt;0,1,0)</f>
        <v/>
      </c>
      <c r="P1094" s="2">
        <f>P1093+IF(LEN($Z$1094)&gt;0,1,0)</f>
        <v/>
      </c>
      <c r="Q1094" s="2">
        <f>Q1093+IF(LEN($AA$1094)&gt;0,1,0)</f>
        <v/>
      </c>
      <c r="X1094" s="2">
        <f>IF(ISERROR($B$1094),"",IF(ISBLANK($B$1094),"",$B$1094))</f>
        <v/>
      </c>
      <c r="Y1094" s="2">
        <f>IF(ISERROR($C$1094),"",IF(ISBLANK($C$1094),"",$C$1094))</f>
        <v/>
      </c>
      <c r="Z1094" s="2">
        <f>IF(ISERROR($D$1094),"",IF(ISBLANK($D$1094),"",$D$1094))</f>
        <v/>
      </c>
      <c r="AA1094" s="2">
        <f>IF(ISERROR($E$1094),"",IF(ISBLANK($E$1094),"",$E$1094))</f>
        <v/>
      </c>
      <c r="AG1094" s="2">
        <f>ISERROR($B$1094)*1+ISERROR($C$1094)*1+ISERROR($D$1094)*1+ISERROR($E$1094)*1</f>
        <v/>
      </c>
    </row>
    <row r="1095" ht="26" customHeight="1">
      <c r="B1095" s="33" t="n"/>
      <c r="C1095" s="4" t="n"/>
      <c r="D1095" s="4" t="n"/>
      <c r="E1095" s="4" t="n"/>
      <c r="K1095" s="19">
        <f>IF(AG1095&gt;0,"O Google leu como fórmula: digite de novo com ' na frente.","")</f>
        <v/>
      </c>
      <c r="N1095" s="2">
        <f>N1094+IF(LEN($X$1095)&gt;0,1,0)</f>
        <v/>
      </c>
      <c r="O1095" s="2">
        <f>O1094+IF(LEN($Y$1095)&gt;0,1,0)</f>
        <v/>
      </c>
      <c r="P1095" s="2">
        <f>P1094+IF(LEN($Z$1095)&gt;0,1,0)</f>
        <v/>
      </c>
      <c r="Q1095" s="2">
        <f>Q1094+IF(LEN($AA$1095)&gt;0,1,0)</f>
        <v/>
      </c>
      <c r="X1095" s="2">
        <f>IF(ISERROR($B$1095),"",IF(ISBLANK($B$1095),"",$B$1095))</f>
        <v/>
      </c>
      <c r="Y1095" s="2">
        <f>IF(ISERROR($C$1095),"",IF(ISBLANK($C$1095),"",$C$1095))</f>
        <v/>
      </c>
      <c r="Z1095" s="2">
        <f>IF(ISERROR($D$1095),"",IF(ISBLANK($D$1095),"",$D$1095))</f>
        <v/>
      </c>
      <c r="AA1095" s="2">
        <f>IF(ISERROR($E$1095),"",IF(ISBLANK($E$1095),"",$E$1095))</f>
        <v/>
      </c>
      <c r="AG1095" s="2">
        <f>ISERROR($B$1095)*1+ISERROR($C$1095)*1+ISERROR($D$1095)*1+ISERROR($E$1095)*1</f>
        <v/>
      </c>
    </row>
    <row r="1096" ht="26" customHeight="1">
      <c r="B1096" s="35" t="n"/>
      <c r="C1096" s="29" t="n"/>
      <c r="D1096" s="29" t="n"/>
      <c r="E1096" s="29" t="n"/>
      <c r="K1096" s="19">
        <f>IF(AG1096&gt;0,"O Google leu como fórmula: digite de novo com ' na frente.","")</f>
        <v/>
      </c>
      <c r="N1096" s="2">
        <f>N1095+IF(LEN($X$1096)&gt;0,1,0)</f>
        <v/>
      </c>
      <c r="O1096" s="2">
        <f>O1095+IF(LEN($Y$1096)&gt;0,1,0)</f>
        <v/>
      </c>
      <c r="P1096" s="2">
        <f>P1095+IF(LEN($Z$1096)&gt;0,1,0)</f>
        <v/>
      </c>
      <c r="Q1096" s="2">
        <f>Q1095+IF(LEN($AA$1096)&gt;0,1,0)</f>
        <v/>
      </c>
      <c r="X1096" s="2">
        <f>IF(ISERROR($B$1096),"",IF(ISBLANK($B$1096),"",$B$1096))</f>
        <v/>
      </c>
      <c r="Y1096" s="2">
        <f>IF(ISERROR($C$1096),"",IF(ISBLANK($C$1096),"",$C$1096))</f>
        <v/>
      </c>
      <c r="Z1096" s="2">
        <f>IF(ISERROR($D$1096),"",IF(ISBLANK($D$1096),"",$D$1096))</f>
        <v/>
      </c>
      <c r="AA1096" s="2">
        <f>IF(ISERROR($E$1096),"",IF(ISBLANK($E$1096),"",$E$1096))</f>
        <v/>
      </c>
      <c r="AG1096" s="2">
        <f>ISERROR($B$1096)*1+ISERROR($C$1096)*1+ISERROR($D$1096)*1+ISERROR($E$1096)*1</f>
        <v/>
      </c>
    </row>
    <row r="1097" ht="26" customHeight="1">
      <c r="B1097" s="33" t="n"/>
      <c r="C1097" s="4" t="n"/>
      <c r="D1097" s="4" t="n"/>
      <c r="E1097" s="4" t="n"/>
      <c r="K1097" s="19">
        <f>IF(AG1097&gt;0,"O Google leu como fórmula: digite de novo com ' na frente.","")</f>
        <v/>
      </c>
      <c r="N1097" s="2">
        <f>N1096+IF(LEN($X$1097)&gt;0,1,0)</f>
        <v/>
      </c>
      <c r="O1097" s="2">
        <f>O1096+IF(LEN($Y$1097)&gt;0,1,0)</f>
        <v/>
      </c>
      <c r="P1097" s="2">
        <f>P1096+IF(LEN($Z$1097)&gt;0,1,0)</f>
        <v/>
      </c>
      <c r="Q1097" s="2">
        <f>Q1096+IF(LEN($AA$1097)&gt;0,1,0)</f>
        <v/>
      </c>
      <c r="X1097" s="2">
        <f>IF(ISERROR($B$1097),"",IF(ISBLANK($B$1097),"",$B$1097))</f>
        <v/>
      </c>
      <c r="Y1097" s="2">
        <f>IF(ISERROR($C$1097),"",IF(ISBLANK($C$1097),"",$C$1097))</f>
        <v/>
      </c>
      <c r="Z1097" s="2">
        <f>IF(ISERROR($D$1097),"",IF(ISBLANK($D$1097),"",$D$1097))</f>
        <v/>
      </c>
      <c r="AA1097" s="2">
        <f>IF(ISERROR($E$1097),"",IF(ISBLANK($E$1097),"",$E$1097))</f>
        <v/>
      </c>
      <c r="AG1097" s="2">
        <f>ISERROR($B$1097)*1+ISERROR($C$1097)*1+ISERROR($D$1097)*1+ISERROR($E$1097)*1</f>
        <v/>
      </c>
    </row>
    <row r="1098" ht="26" customHeight="1">
      <c r="B1098" s="35" t="n"/>
      <c r="C1098" s="29" t="n"/>
      <c r="D1098" s="29" t="n"/>
      <c r="E1098" s="29" t="n"/>
      <c r="K1098" s="19">
        <f>IF(AG1098&gt;0,"O Google leu como fórmula: digite de novo com ' na frente.","")</f>
        <v/>
      </c>
      <c r="N1098" s="2">
        <f>N1097+IF(LEN($X$1098)&gt;0,1,0)</f>
        <v/>
      </c>
      <c r="O1098" s="2">
        <f>O1097+IF(LEN($Y$1098)&gt;0,1,0)</f>
        <v/>
      </c>
      <c r="P1098" s="2">
        <f>P1097+IF(LEN($Z$1098)&gt;0,1,0)</f>
        <v/>
      </c>
      <c r="Q1098" s="2">
        <f>Q1097+IF(LEN($AA$1098)&gt;0,1,0)</f>
        <v/>
      </c>
      <c r="X1098" s="2">
        <f>IF(ISERROR($B$1098),"",IF(ISBLANK($B$1098),"",$B$1098))</f>
        <v/>
      </c>
      <c r="Y1098" s="2">
        <f>IF(ISERROR($C$1098),"",IF(ISBLANK($C$1098),"",$C$1098))</f>
        <v/>
      </c>
      <c r="Z1098" s="2">
        <f>IF(ISERROR($D$1098),"",IF(ISBLANK($D$1098),"",$D$1098))</f>
        <v/>
      </c>
      <c r="AA1098" s="2">
        <f>IF(ISERROR($E$1098),"",IF(ISBLANK($E$1098),"",$E$1098))</f>
        <v/>
      </c>
      <c r="AG1098" s="2">
        <f>ISERROR($B$1098)*1+ISERROR($C$1098)*1+ISERROR($D$1098)*1+ISERROR($E$1098)*1</f>
        <v/>
      </c>
    </row>
    <row r="1099" ht="26" customHeight="1">
      <c r="B1099" s="33" t="n"/>
      <c r="C1099" s="4" t="n"/>
      <c r="D1099" s="4" t="n"/>
      <c r="E1099" s="4" t="n"/>
      <c r="K1099" s="19">
        <f>IF(AG1099&gt;0,"O Google leu como fórmula: digite de novo com ' na frente.","")</f>
        <v/>
      </c>
      <c r="N1099" s="2">
        <f>N1098+IF(LEN($X$1099)&gt;0,1,0)</f>
        <v/>
      </c>
      <c r="O1099" s="2">
        <f>O1098+IF(LEN($Y$1099)&gt;0,1,0)</f>
        <v/>
      </c>
      <c r="P1099" s="2">
        <f>P1098+IF(LEN($Z$1099)&gt;0,1,0)</f>
        <v/>
      </c>
      <c r="Q1099" s="2">
        <f>Q1098+IF(LEN($AA$1099)&gt;0,1,0)</f>
        <v/>
      </c>
      <c r="X1099" s="2">
        <f>IF(ISERROR($B$1099),"",IF(ISBLANK($B$1099),"",$B$1099))</f>
        <v/>
      </c>
      <c r="Y1099" s="2">
        <f>IF(ISERROR($C$1099),"",IF(ISBLANK($C$1099),"",$C$1099))</f>
        <v/>
      </c>
      <c r="Z1099" s="2">
        <f>IF(ISERROR($D$1099),"",IF(ISBLANK($D$1099),"",$D$1099))</f>
        <v/>
      </c>
      <c r="AA1099" s="2">
        <f>IF(ISERROR($E$1099),"",IF(ISBLANK($E$1099),"",$E$1099))</f>
        <v/>
      </c>
      <c r="AG1099" s="2">
        <f>ISERROR($B$1099)*1+ISERROR($C$1099)*1+ISERROR($D$1099)*1+ISERROR($E$1099)*1</f>
        <v/>
      </c>
    </row>
    <row r="1100" ht="26" customHeight="1">
      <c r="B1100" s="35" t="n"/>
      <c r="C1100" s="29" t="n"/>
      <c r="D1100" s="29" t="n"/>
      <c r="E1100" s="29" t="n"/>
      <c r="K1100" s="19">
        <f>IF(AG1100&gt;0,"O Google leu como fórmula: digite de novo com ' na frente.","")</f>
        <v/>
      </c>
      <c r="N1100" s="2">
        <f>N1099+IF(LEN($X$1100)&gt;0,1,0)</f>
        <v/>
      </c>
      <c r="O1100" s="2">
        <f>O1099+IF(LEN($Y$1100)&gt;0,1,0)</f>
        <v/>
      </c>
      <c r="P1100" s="2">
        <f>P1099+IF(LEN($Z$1100)&gt;0,1,0)</f>
        <v/>
      </c>
      <c r="Q1100" s="2">
        <f>Q1099+IF(LEN($AA$1100)&gt;0,1,0)</f>
        <v/>
      </c>
      <c r="X1100" s="2">
        <f>IF(ISERROR($B$1100),"",IF(ISBLANK($B$1100),"",$B$1100))</f>
        <v/>
      </c>
      <c r="Y1100" s="2">
        <f>IF(ISERROR($C$1100),"",IF(ISBLANK($C$1100),"",$C$1100))</f>
        <v/>
      </c>
      <c r="Z1100" s="2">
        <f>IF(ISERROR($D$1100),"",IF(ISBLANK($D$1100),"",$D$1100))</f>
        <v/>
      </c>
      <c r="AA1100" s="2">
        <f>IF(ISERROR($E$1100),"",IF(ISBLANK($E$1100),"",$E$1100))</f>
        <v/>
      </c>
      <c r="AG1100" s="2">
        <f>ISERROR($B$1100)*1+ISERROR($C$1100)*1+ISERROR($D$1100)*1+ISERROR($E$1100)*1</f>
        <v/>
      </c>
    </row>
    <row r="1101" ht="26" customHeight="1">
      <c r="B1101" s="33" t="n"/>
      <c r="C1101" s="4" t="n"/>
      <c r="D1101" s="4" t="n"/>
      <c r="E1101" s="4" t="n"/>
      <c r="K1101" s="19">
        <f>IF(AG1101&gt;0,"O Google leu como fórmula: digite de novo com ' na frente.","")</f>
        <v/>
      </c>
      <c r="N1101" s="2">
        <f>N1100+IF(LEN($X$1101)&gt;0,1,0)</f>
        <v/>
      </c>
      <c r="O1101" s="2">
        <f>O1100+IF(LEN($Y$1101)&gt;0,1,0)</f>
        <v/>
      </c>
      <c r="P1101" s="2">
        <f>P1100+IF(LEN($Z$1101)&gt;0,1,0)</f>
        <v/>
      </c>
      <c r="Q1101" s="2">
        <f>Q1100+IF(LEN($AA$1101)&gt;0,1,0)</f>
        <v/>
      </c>
      <c r="X1101" s="2">
        <f>IF(ISERROR($B$1101),"",IF(ISBLANK($B$1101),"",$B$1101))</f>
        <v/>
      </c>
      <c r="Y1101" s="2">
        <f>IF(ISERROR($C$1101),"",IF(ISBLANK($C$1101),"",$C$1101))</f>
        <v/>
      </c>
      <c r="Z1101" s="2">
        <f>IF(ISERROR($D$1101),"",IF(ISBLANK($D$1101),"",$D$1101))</f>
        <v/>
      </c>
      <c r="AA1101" s="2">
        <f>IF(ISERROR($E$1101),"",IF(ISBLANK($E$1101),"",$E$1101))</f>
        <v/>
      </c>
      <c r="AG1101" s="2">
        <f>ISERROR($B$1101)*1+ISERROR($C$1101)*1+ISERROR($D$1101)*1+ISERROR($E$1101)*1</f>
        <v/>
      </c>
    </row>
    <row r="1102" ht="15" customHeight="1">
      <c r="B1102" s="8" t="inlineStr">
        <is>
          <t>Facção: o que quer</t>
        </is>
      </c>
      <c r="C1102" s="8" t="inlineStr">
        <is>
          <t>Facção: método</t>
        </is>
      </c>
      <c r="D1102" s="8" t="inlineStr">
        <is>
          <t>Facção: recurso</t>
        </is>
      </c>
      <c r="E1102" s="8" t="inlineStr">
        <is>
          <t>Facção: como usar</t>
        </is>
      </c>
      <c r="N1102" s="2">
        <f>N1101</f>
        <v/>
      </c>
      <c r="O1102" s="2">
        <f>O1101</f>
        <v/>
      </c>
      <c r="P1102" s="2">
        <f>P1101</f>
        <v/>
      </c>
      <c r="Q1102" s="2">
        <f>Q1101</f>
        <v/>
      </c>
      <c r="X1102" s="2">
        <f>IF(ISERROR($B$1102),"",IF(ISBLANK($B$1102),"",$B$1102))</f>
        <v/>
      </c>
      <c r="Y1102" s="2">
        <f>IF(ISERROR($C$1102),"",IF(ISBLANK($C$1102),"",$C$1102))</f>
        <v/>
      </c>
      <c r="Z1102" s="2">
        <f>IF(ISERROR($D$1102),"",IF(ISBLANK($D$1102),"",$D$1102))</f>
        <v/>
      </c>
      <c r="AA1102" s="2">
        <f>IF(ISERROR($E$1102),"",IF(ISBLANK($E$1102),"",$E$1102))</f>
        <v/>
      </c>
    </row>
    <row r="1103" ht="26" customHeight="1">
      <c r="B1103" s="33" t="n"/>
      <c r="C1103" s="4" t="n"/>
      <c r="D1103" s="4" t="n"/>
      <c r="E1103" s="4" t="n"/>
      <c r="K1103" s="19">
        <f>IF(AG1103&gt;0,"O Google leu como fórmula: digite de novo com ' na frente.","")</f>
        <v/>
      </c>
      <c r="N1103" s="2">
        <f>N1102+IF(LEN($X$1103)&gt;0,1,0)</f>
        <v/>
      </c>
      <c r="O1103" s="2">
        <f>O1102+IF(LEN($Y$1103)&gt;0,1,0)</f>
        <v/>
      </c>
      <c r="P1103" s="2">
        <f>P1102+IF(LEN($Z$1103)&gt;0,1,0)</f>
        <v/>
      </c>
      <c r="Q1103" s="2">
        <f>Q1102+IF(LEN($AA$1103)&gt;0,1,0)</f>
        <v/>
      </c>
      <c r="X1103" s="2">
        <f>IF(ISERROR($B$1103),"",IF(ISBLANK($B$1103),"",$B$1103))</f>
        <v/>
      </c>
      <c r="Y1103" s="2">
        <f>IF(ISERROR($C$1103),"",IF(ISBLANK($C$1103),"",$C$1103))</f>
        <v/>
      </c>
      <c r="Z1103" s="2">
        <f>IF(ISERROR($D$1103),"",IF(ISBLANK($D$1103),"",$D$1103))</f>
        <v/>
      </c>
      <c r="AA1103" s="2">
        <f>IF(ISERROR($E$1103),"",IF(ISBLANK($E$1103),"",$E$1103))</f>
        <v/>
      </c>
      <c r="AG1103" s="2">
        <f>ISERROR($B$1103)*1+ISERROR($C$1103)*1+ISERROR($D$1103)*1+ISERROR($E$1103)*1</f>
        <v/>
      </c>
    </row>
    <row r="1104" ht="26" customHeight="1">
      <c r="B1104" s="35" t="n"/>
      <c r="C1104" s="29" t="n"/>
      <c r="D1104" s="29" t="n"/>
      <c r="E1104" s="29" t="n"/>
      <c r="K1104" s="19">
        <f>IF(AG1104&gt;0,"O Google leu como fórmula: digite de novo com ' na frente.","")</f>
        <v/>
      </c>
      <c r="N1104" s="2">
        <f>N1103+IF(LEN($X$1104)&gt;0,1,0)</f>
        <v/>
      </c>
      <c r="O1104" s="2">
        <f>O1103+IF(LEN($Y$1104)&gt;0,1,0)</f>
        <v/>
      </c>
      <c r="P1104" s="2">
        <f>P1103+IF(LEN($Z$1104)&gt;0,1,0)</f>
        <v/>
      </c>
      <c r="Q1104" s="2">
        <f>Q1103+IF(LEN($AA$1104)&gt;0,1,0)</f>
        <v/>
      </c>
      <c r="X1104" s="2">
        <f>IF(ISERROR($B$1104),"",IF(ISBLANK($B$1104),"",$B$1104))</f>
        <v/>
      </c>
      <c r="Y1104" s="2">
        <f>IF(ISERROR($C$1104),"",IF(ISBLANK($C$1104),"",$C$1104))</f>
        <v/>
      </c>
      <c r="Z1104" s="2">
        <f>IF(ISERROR($D$1104),"",IF(ISBLANK($D$1104),"",$D$1104))</f>
        <v/>
      </c>
      <c r="AA1104" s="2">
        <f>IF(ISERROR($E$1104),"",IF(ISBLANK($E$1104),"",$E$1104))</f>
        <v/>
      </c>
      <c r="AG1104" s="2">
        <f>ISERROR($B$1104)*1+ISERROR($C$1104)*1+ISERROR($D$1104)*1+ISERROR($E$1104)*1</f>
        <v/>
      </c>
    </row>
    <row r="1105" ht="26" customHeight="1">
      <c r="B1105" s="33" t="n"/>
      <c r="C1105" s="4" t="n"/>
      <c r="D1105" s="4" t="n"/>
      <c r="E1105" s="4" t="n"/>
      <c r="K1105" s="19">
        <f>IF(AG1105&gt;0,"O Google leu como fórmula: digite de novo com ' na frente.","")</f>
        <v/>
      </c>
      <c r="N1105" s="2">
        <f>N1104+IF(LEN($X$1105)&gt;0,1,0)</f>
        <v/>
      </c>
      <c r="O1105" s="2">
        <f>O1104+IF(LEN($Y$1105)&gt;0,1,0)</f>
        <v/>
      </c>
      <c r="P1105" s="2">
        <f>P1104+IF(LEN($Z$1105)&gt;0,1,0)</f>
        <v/>
      </c>
      <c r="Q1105" s="2">
        <f>Q1104+IF(LEN($AA$1105)&gt;0,1,0)</f>
        <v/>
      </c>
      <c r="X1105" s="2">
        <f>IF(ISERROR($B$1105),"",IF(ISBLANK($B$1105),"",$B$1105))</f>
        <v/>
      </c>
      <c r="Y1105" s="2">
        <f>IF(ISERROR($C$1105),"",IF(ISBLANK($C$1105),"",$C$1105))</f>
        <v/>
      </c>
      <c r="Z1105" s="2">
        <f>IF(ISERROR($D$1105),"",IF(ISBLANK($D$1105),"",$D$1105))</f>
        <v/>
      </c>
      <c r="AA1105" s="2">
        <f>IF(ISERROR($E$1105),"",IF(ISBLANK($E$1105),"",$E$1105))</f>
        <v/>
      </c>
      <c r="AG1105" s="2">
        <f>ISERROR($B$1105)*1+ISERROR($C$1105)*1+ISERROR($D$1105)*1+ISERROR($E$1105)*1</f>
        <v/>
      </c>
    </row>
    <row r="1106" ht="26" customHeight="1">
      <c r="B1106" s="35" t="n"/>
      <c r="C1106" s="29" t="n"/>
      <c r="D1106" s="29" t="n"/>
      <c r="E1106" s="29" t="n"/>
      <c r="K1106" s="19">
        <f>IF(AG1106&gt;0,"O Google leu como fórmula: digite de novo com ' na frente.","")</f>
        <v/>
      </c>
      <c r="N1106" s="2">
        <f>N1105+IF(LEN($X$1106)&gt;0,1,0)</f>
        <v/>
      </c>
      <c r="O1106" s="2">
        <f>O1105+IF(LEN($Y$1106)&gt;0,1,0)</f>
        <v/>
      </c>
      <c r="P1106" s="2">
        <f>P1105+IF(LEN($Z$1106)&gt;0,1,0)</f>
        <v/>
      </c>
      <c r="Q1106" s="2">
        <f>Q1105+IF(LEN($AA$1106)&gt;0,1,0)</f>
        <v/>
      </c>
      <c r="X1106" s="2">
        <f>IF(ISERROR($B$1106),"",IF(ISBLANK($B$1106),"",$B$1106))</f>
        <v/>
      </c>
      <c r="Y1106" s="2">
        <f>IF(ISERROR($C$1106),"",IF(ISBLANK($C$1106),"",$C$1106))</f>
        <v/>
      </c>
      <c r="Z1106" s="2">
        <f>IF(ISERROR($D$1106),"",IF(ISBLANK($D$1106),"",$D$1106))</f>
        <v/>
      </c>
      <c r="AA1106" s="2">
        <f>IF(ISERROR($E$1106),"",IF(ISBLANK($E$1106),"",$E$1106))</f>
        <v/>
      </c>
      <c r="AG1106" s="2">
        <f>ISERROR($B$1106)*1+ISERROR($C$1106)*1+ISERROR($D$1106)*1+ISERROR($E$1106)*1</f>
        <v/>
      </c>
    </row>
    <row r="1107" ht="26" customHeight="1">
      <c r="B1107" s="33" t="n"/>
      <c r="C1107" s="4" t="n"/>
      <c r="D1107" s="4" t="n"/>
      <c r="E1107" s="4" t="n"/>
      <c r="K1107" s="19">
        <f>IF(AG1107&gt;0,"O Google leu como fórmula: digite de novo com ' na frente.","")</f>
        <v/>
      </c>
      <c r="N1107" s="2">
        <f>N1106+IF(LEN($X$1107)&gt;0,1,0)</f>
        <v/>
      </c>
      <c r="O1107" s="2">
        <f>O1106+IF(LEN($Y$1107)&gt;0,1,0)</f>
        <v/>
      </c>
      <c r="P1107" s="2">
        <f>P1106+IF(LEN($Z$1107)&gt;0,1,0)</f>
        <v/>
      </c>
      <c r="Q1107" s="2">
        <f>Q1106+IF(LEN($AA$1107)&gt;0,1,0)</f>
        <v/>
      </c>
      <c r="X1107" s="2">
        <f>IF(ISERROR($B$1107),"",IF(ISBLANK($B$1107),"",$B$1107))</f>
        <v/>
      </c>
      <c r="Y1107" s="2">
        <f>IF(ISERROR($C$1107),"",IF(ISBLANK($C$1107),"",$C$1107))</f>
        <v/>
      </c>
      <c r="Z1107" s="2">
        <f>IF(ISERROR($D$1107),"",IF(ISBLANK($D$1107),"",$D$1107))</f>
        <v/>
      </c>
      <c r="AA1107" s="2">
        <f>IF(ISERROR($E$1107),"",IF(ISBLANK($E$1107),"",$E$1107))</f>
        <v/>
      </c>
      <c r="AG1107" s="2">
        <f>ISERROR($B$1107)*1+ISERROR($C$1107)*1+ISERROR($D$1107)*1+ISERROR($E$1107)*1</f>
        <v/>
      </c>
    </row>
    <row r="1108" ht="26" customHeight="1">
      <c r="B1108" s="35" t="n"/>
      <c r="C1108" s="29" t="n"/>
      <c r="D1108" s="29" t="n"/>
      <c r="E1108" s="29" t="n"/>
      <c r="K1108" s="19">
        <f>IF(AG1108&gt;0,"O Google leu como fórmula: digite de novo com ' na frente.","")</f>
        <v/>
      </c>
      <c r="N1108" s="2">
        <f>N1107+IF(LEN($X$1108)&gt;0,1,0)</f>
        <v/>
      </c>
      <c r="O1108" s="2">
        <f>O1107+IF(LEN($Y$1108)&gt;0,1,0)</f>
        <v/>
      </c>
      <c r="P1108" s="2">
        <f>P1107+IF(LEN($Z$1108)&gt;0,1,0)</f>
        <v/>
      </c>
      <c r="Q1108" s="2">
        <f>Q1107+IF(LEN($AA$1108)&gt;0,1,0)</f>
        <v/>
      </c>
      <c r="X1108" s="2">
        <f>IF(ISERROR($B$1108),"",IF(ISBLANK($B$1108),"",$B$1108))</f>
        <v/>
      </c>
      <c r="Y1108" s="2">
        <f>IF(ISERROR($C$1108),"",IF(ISBLANK($C$1108),"",$C$1108))</f>
        <v/>
      </c>
      <c r="Z1108" s="2">
        <f>IF(ISERROR($D$1108),"",IF(ISBLANK($D$1108),"",$D$1108))</f>
        <v/>
      </c>
      <c r="AA1108" s="2">
        <f>IF(ISERROR($E$1108),"",IF(ISBLANK($E$1108),"",$E$1108))</f>
        <v/>
      </c>
      <c r="AG1108" s="2">
        <f>ISERROR($B$1108)*1+ISERROR($C$1108)*1+ISERROR($D$1108)*1+ISERROR($E$1108)*1</f>
        <v/>
      </c>
    </row>
    <row r="1109" ht="26" customHeight="1">
      <c r="B1109" s="33" t="n"/>
      <c r="C1109" s="4" t="n"/>
      <c r="D1109" s="4" t="n"/>
      <c r="E1109" s="4" t="n"/>
      <c r="K1109" s="19">
        <f>IF(AG1109&gt;0,"O Google leu como fórmula: digite de novo com ' na frente.","")</f>
        <v/>
      </c>
      <c r="N1109" s="2">
        <f>N1108+IF(LEN($X$1109)&gt;0,1,0)</f>
        <v/>
      </c>
      <c r="O1109" s="2">
        <f>O1108+IF(LEN($Y$1109)&gt;0,1,0)</f>
        <v/>
      </c>
      <c r="P1109" s="2">
        <f>P1108+IF(LEN($Z$1109)&gt;0,1,0)</f>
        <v/>
      </c>
      <c r="Q1109" s="2">
        <f>Q1108+IF(LEN($AA$1109)&gt;0,1,0)</f>
        <v/>
      </c>
      <c r="X1109" s="2">
        <f>IF(ISERROR($B$1109),"",IF(ISBLANK($B$1109),"",$B$1109))</f>
        <v/>
      </c>
      <c r="Y1109" s="2">
        <f>IF(ISERROR($C$1109),"",IF(ISBLANK($C$1109),"",$C$1109))</f>
        <v/>
      </c>
      <c r="Z1109" s="2">
        <f>IF(ISERROR($D$1109),"",IF(ISBLANK($D$1109),"",$D$1109))</f>
        <v/>
      </c>
      <c r="AA1109" s="2">
        <f>IF(ISERROR($E$1109),"",IF(ISBLANK($E$1109),"",$E$1109))</f>
        <v/>
      </c>
      <c r="AG1109" s="2">
        <f>ISERROR($B$1109)*1+ISERROR($C$1109)*1+ISERROR($D$1109)*1+ISERROR($E$1109)*1</f>
        <v/>
      </c>
    </row>
    <row r="1110" ht="26" customHeight="1">
      <c r="B1110" s="35" t="n"/>
      <c r="C1110" s="29" t="n"/>
      <c r="D1110" s="29" t="n"/>
      <c r="E1110" s="29" t="n"/>
      <c r="K1110" s="19">
        <f>IF(AG1110&gt;0,"O Google leu como fórmula: digite de novo com ' na frente.","")</f>
        <v/>
      </c>
      <c r="N1110" s="2">
        <f>N1109+IF(LEN($X$1110)&gt;0,1,0)</f>
        <v/>
      </c>
      <c r="O1110" s="2">
        <f>O1109+IF(LEN($Y$1110)&gt;0,1,0)</f>
        <v/>
      </c>
      <c r="P1110" s="2">
        <f>P1109+IF(LEN($Z$1110)&gt;0,1,0)</f>
        <v/>
      </c>
      <c r="Q1110" s="2">
        <f>Q1109+IF(LEN($AA$1110)&gt;0,1,0)</f>
        <v/>
      </c>
      <c r="X1110" s="2">
        <f>IF(ISERROR($B$1110),"",IF(ISBLANK($B$1110),"",$B$1110))</f>
        <v/>
      </c>
      <c r="Y1110" s="2">
        <f>IF(ISERROR($C$1110),"",IF(ISBLANK($C$1110),"",$C$1110))</f>
        <v/>
      </c>
      <c r="Z1110" s="2">
        <f>IF(ISERROR($D$1110),"",IF(ISBLANK($D$1110),"",$D$1110))</f>
        <v/>
      </c>
      <c r="AA1110" s="2">
        <f>IF(ISERROR($E$1110),"",IF(ISBLANK($E$1110),"",$E$1110))</f>
        <v/>
      </c>
      <c r="AG1110" s="2">
        <f>ISERROR($B$1110)*1+ISERROR($C$1110)*1+ISERROR($D$1110)*1+ISERROR($E$1110)*1</f>
        <v/>
      </c>
    </row>
    <row r="1111" ht="26" customHeight="1">
      <c r="B1111" s="33" t="n"/>
      <c r="C1111" s="4" t="n"/>
      <c r="D1111" s="4" t="n"/>
      <c r="E1111" s="4" t="n"/>
      <c r="K1111" s="19">
        <f>IF(AG1111&gt;0,"O Google leu como fórmula: digite de novo com ' na frente.","")</f>
        <v/>
      </c>
      <c r="N1111" s="2">
        <f>N1110+IF(LEN($X$1111)&gt;0,1,0)</f>
        <v/>
      </c>
      <c r="O1111" s="2">
        <f>O1110+IF(LEN($Y$1111)&gt;0,1,0)</f>
        <v/>
      </c>
      <c r="P1111" s="2">
        <f>P1110+IF(LEN($Z$1111)&gt;0,1,0)</f>
        <v/>
      </c>
      <c r="Q1111" s="2">
        <f>Q1110+IF(LEN($AA$1111)&gt;0,1,0)</f>
        <v/>
      </c>
      <c r="X1111" s="2">
        <f>IF(ISERROR($B$1111),"",IF(ISBLANK($B$1111),"",$B$1111))</f>
        <v/>
      </c>
      <c r="Y1111" s="2">
        <f>IF(ISERROR($C$1111),"",IF(ISBLANK($C$1111),"",$C$1111))</f>
        <v/>
      </c>
      <c r="Z1111" s="2">
        <f>IF(ISERROR($D$1111),"",IF(ISBLANK($D$1111),"",$D$1111))</f>
        <v/>
      </c>
      <c r="AA1111" s="2">
        <f>IF(ISERROR($E$1111),"",IF(ISBLANK($E$1111),"",$E$1111))</f>
        <v/>
      </c>
      <c r="AG1111" s="2">
        <f>ISERROR($B$1111)*1+ISERROR($C$1111)*1+ISERROR($D$1111)*1+ISERROR($E$1111)*1</f>
        <v/>
      </c>
    </row>
    <row r="1112" ht="26" customHeight="1">
      <c r="B1112" s="35" t="n"/>
      <c r="C1112" s="29" t="n"/>
      <c r="D1112" s="29" t="n"/>
      <c r="E1112" s="29" t="n"/>
      <c r="K1112" s="19">
        <f>IF(AG1112&gt;0,"O Google leu como fórmula: digite de novo com ' na frente.","")</f>
        <v/>
      </c>
      <c r="N1112" s="2">
        <f>N1111+IF(LEN($X$1112)&gt;0,1,0)</f>
        <v/>
      </c>
      <c r="O1112" s="2">
        <f>O1111+IF(LEN($Y$1112)&gt;0,1,0)</f>
        <v/>
      </c>
      <c r="P1112" s="2">
        <f>P1111+IF(LEN($Z$1112)&gt;0,1,0)</f>
        <v/>
      </c>
      <c r="Q1112" s="2">
        <f>Q1111+IF(LEN($AA$1112)&gt;0,1,0)</f>
        <v/>
      </c>
      <c r="X1112" s="2">
        <f>IF(ISERROR($B$1112),"",IF(ISBLANK($B$1112),"",$B$1112))</f>
        <v/>
      </c>
      <c r="Y1112" s="2">
        <f>IF(ISERROR($C$1112),"",IF(ISBLANK($C$1112),"",$C$1112))</f>
        <v/>
      </c>
      <c r="Z1112" s="2">
        <f>IF(ISERROR($D$1112),"",IF(ISBLANK($D$1112),"",$D$1112))</f>
        <v/>
      </c>
      <c r="AA1112" s="2">
        <f>IF(ISERROR($E$1112),"",IF(ISBLANK($E$1112),"",$E$1112))</f>
        <v/>
      </c>
      <c r="AG1112" s="2">
        <f>ISERROR($B$1112)*1+ISERROR($C$1112)*1+ISERROR($D$1112)*1+ISERROR($E$1112)*1</f>
        <v/>
      </c>
    </row>
    <row r="1113" ht="26" customHeight="1">
      <c r="B1113" s="33" t="n"/>
      <c r="C1113" s="4" t="n"/>
      <c r="D1113" s="4" t="n"/>
      <c r="E1113" s="4" t="n"/>
      <c r="K1113" s="19">
        <f>IF(AG1113&gt;0,"O Google leu como fórmula: digite de novo com ' na frente.","")</f>
        <v/>
      </c>
      <c r="N1113" s="2">
        <f>N1112+IF(LEN($X$1113)&gt;0,1,0)</f>
        <v/>
      </c>
      <c r="O1113" s="2">
        <f>O1112+IF(LEN($Y$1113)&gt;0,1,0)</f>
        <v/>
      </c>
      <c r="P1113" s="2">
        <f>P1112+IF(LEN($Z$1113)&gt;0,1,0)</f>
        <v/>
      </c>
      <c r="Q1113" s="2">
        <f>Q1112+IF(LEN($AA$1113)&gt;0,1,0)</f>
        <v/>
      </c>
      <c r="X1113" s="2">
        <f>IF(ISERROR($B$1113),"",IF(ISBLANK($B$1113),"",$B$1113))</f>
        <v/>
      </c>
      <c r="Y1113" s="2">
        <f>IF(ISERROR($C$1113),"",IF(ISBLANK($C$1113),"",$C$1113))</f>
        <v/>
      </c>
      <c r="Z1113" s="2">
        <f>IF(ISERROR($D$1113),"",IF(ISBLANK($D$1113),"",$D$1113))</f>
        <v/>
      </c>
      <c r="AA1113" s="2">
        <f>IF(ISERROR($E$1113),"",IF(ISBLANK($E$1113),"",$E$1113))</f>
        <v/>
      </c>
      <c r="AG1113" s="2">
        <f>ISERROR($B$1113)*1+ISERROR($C$1113)*1+ISERROR($D$1113)*1+ISERROR($E$1113)*1</f>
        <v/>
      </c>
    </row>
    <row r="1114" ht="26" customHeight="1">
      <c r="B1114" s="35" t="n"/>
      <c r="C1114" s="29" t="n"/>
      <c r="D1114" s="29" t="n"/>
      <c r="E1114" s="29" t="n"/>
      <c r="K1114" s="19">
        <f>IF(AG1114&gt;0,"O Google leu como fórmula: digite de novo com ' na frente.","")</f>
        <v/>
      </c>
      <c r="N1114" s="2">
        <f>N1113+IF(LEN($X$1114)&gt;0,1,0)</f>
        <v/>
      </c>
      <c r="O1114" s="2">
        <f>O1113+IF(LEN($Y$1114)&gt;0,1,0)</f>
        <v/>
      </c>
      <c r="P1114" s="2">
        <f>P1113+IF(LEN($Z$1114)&gt;0,1,0)</f>
        <v/>
      </c>
      <c r="Q1114" s="2">
        <f>Q1113+IF(LEN($AA$1114)&gt;0,1,0)</f>
        <v/>
      </c>
      <c r="X1114" s="2">
        <f>IF(ISERROR($B$1114),"",IF(ISBLANK($B$1114),"",$B$1114))</f>
        <v/>
      </c>
      <c r="Y1114" s="2">
        <f>IF(ISERROR($C$1114),"",IF(ISBLANK($C$1114),"",$C$1114))</f>
        <v/>
      </c>
      <c r="Z1114" s="2">
        <f>IF(ISERROR($D$1114),"",IF(ISBLANK($D$1114),"",$D$1114))</f>
        <v/>
      </c>
      <c r="AA1114" s="2">
        <f>IF(ISERROR($E$1114),"",IF(ISBLANK($E$1114),"",$E$1114))</f>
        <v/>
      </c>
      <c r="AG1114" s="2">
        <f>ISERROR($B$1114)*1+ISERROR($C$1114)*1+ISERROR($D$1114)*1+ISERROR($E$1114)*1</f>
        <v/>
      </c>
    </row>
    <row r="1115" ht="26" customHeight="1">
      <c r="B1115" s="33" t="n"/>
      <c r="C1115" s="4" t="n"/>
      <c r="D1115" s="4" t="n"/>
      <c r="E1115" s="4" t="n"/>
      <c r="K1115" s="19">
        <f>IF(AG1115&gt;0,"O Google leu como fórmula: digite de novo com ' na frente.","")</f>
        <v/>
      </c>
      <c r="N1115" s="2">
        <f>N1114+IF(LEN($X$1115)&gt;0,1,0)</f>
        <v/>
      </c>
      <c r="O1115" s="2">
        <f>O1114+IF(LEN($Y$1115)&gt;0,1,0)</f>
        <v/>
      </c>
      <c r="P1115" s="2">
        <f>P1114+IF(LEN($Z$1115)&gt;0,1,0)</f>
        <v/>
      </c>
      <c r="Q1115" s="2">
        <f>Q1114+IF(LEN($AA$1115)&gt;0,1,0)</f>
        <v/>
      </c>
      <c r="X1115" s="2">
        <f>IF(ISERROR($B$1115),"",IF(ISBLANK($B$1115),"",$B$1115))</f>
        <v/>
      </c>
      <c r="Y1115" s="2">
        <f>IF(ISERROR($C$1115),"",IF(ISBLANK($C$1115),"",$C$1115))</f>
        <v/>
      </c>
      <c r="Z1115" s="2">
        <f>IF(ISERROR($D$1115),"",IF(ISBLANK($D$1115),"",$D$1115))</f>
        <v/>
      </c>
      <c r="AA1115" s="2">
        <f>IF(ISERROR($E$1115),"",IF(ISBLANK($E$1115),"",$E$1115))</f>
        <v/>
      </c>
      <c r="AG1115" s="2">
        <f>ISERROR($B$1115)*1+ISERROR($C$1115)*1+ISERROR($D$1115)*1+ISERROR($E$1115)*1</f>
        <v/>
      </c>
    </row>
    <row r="1116" ht="15" customHeight="1">
      <c r="B1116" s="8" t="inlineStr">
        <is>
          <t>Facção: o que quer</t>
        </is>
      </c>
      <c r="C1116" s="8" t="inlineStr">
        <is>
          <t>Facção: método</t>
        </is>
      </c>
      <c r="D1116" s="8" t="inlineStr">
        <is>
          <t>Facção: recurso</t>
        </is>
      </c>
      <c r="E1116" s="8" t="inlineStr">
        <is>
          <t>Facção: como usar</t>
        </is>
      </c>
      <c r="N1116" s="2">
        <f>N1115</f>
        <v/>
      </c>
      <c r="O1116" s="2">
        <f>O1115</f>
        <v/>
      </c>
      <c r="P1116" s="2">
        <f>P1115</f>
        <v/>
      </c>
      <c r="Q1116" s="2">
        <f>Q1115</f>
        <v/>
      </c>
      <c r="X1116" s="2">
        <f>IF(ISERROR($B$1116),"",IF(ISBLANK($B$1116),"",$B$1116))</f>
        <v/>
      </c>
      <c r="Y1116" s="2">
        <f>IF(ISERROR($C$1116),"",IF(ISBLANK($C$1116),"",$C$1116))</f>
        <v/>
      </c>
      <c r="Z1116" s="2">
        <f>IF(ISERROR($D$1116),"",IF(ISBLANK($D$1116),"",$D$1116))</f>
        <v/>
      </c>
      <c r="AA1116" s="2">
        <f>IF(ISERROR($E$1116),"",IF(ISBLANK($E$1116),"",$E$1116))</f>
        <v/>
      </c>
    </row>
    <row r="1117" ht="26" customHeight="1">
      <c r="B1117" s="33" t="n"/>
      <c r="C1117" s="4" t="n"/>
      <c r="D1117" s="4" t="n"/>
      <c r="E1117" s="4" t="n"/>
      <c r="K1117" s="19">
        <f>IF(AG1117&gt;0,"O Google leu como fórmula: digite de novo com ' na frente.","")</f>
        <v/>
      </c>
      <c r="N1117" s="2">
        <f>N1116+IF(LEN($X$1117)&gt;0,1,0)</f>
        <v/>
      </c>
      <c r="O1117" s="2">
        <f>O1116+IF(LEN($Y$1117)&gt;0,1,0)</f>
        <v/>
      </c>
      <c r="P1117" s="2">
        <f>P1116+IF(LEN($Z$1117)&gt;0,1,0)</f>
        <v/>
      </c>
      <c r="Q1117" s="2">
        <f>Q1116+IF(LEN($AA$1117)&gt;0,1,0)</f>
        <v/>
      </c>
      <c r="X1117" s="2">
        <f>IF(ISERROR($B$1117),"",IF(ISBLANK($B$1117),"",$B$1117))</f>
        <v/>
      </c>
      <c r="Y1117" s="2">
        <f>IF(ISERROR($C$1117),"",IF(ISBLANK($C$1117),"",$C$1117))</f>
        <v/>
      </c>
      <c r="Z1117" s="2">
        <f>IF(ISERROR($D$1117),"",IF(ISBLANK($D$1117),"",$D$1117))</f>
        <v/>
      </c>
      <c r="AA1117" s="2">
        <f>IF(ISERROR($E$1117),"",IF(ISBLANK($E$1117),"",$E$1117))</f>
        <v/>
      </c>
      <c r="AG1117" s="2">
        <f>ISERROR($B$1117)*1+ISERROR($C$1117)*1+ISERROR($D$1117)*1+ISERROR($E$1117)*1</f>
        <v/>
      </c>
    </row>
    <row r="1118" ht="26" customHeight="1">
      <c r="B1118" s="35" t="n"/>
      <c r="C1118" s="29" t="n"/>
      <c r="D1118" s="29" t="n"/>
      <c r="E1118" s="29" t="n"/>
      <c r="K1118" s="19">
        <f>IF(AG1118&gt;0,"O Google leu como fórmula: digite de novo com ' na frente.","")</f>
        <v/>
      </c>
      <c r="N1118" s="2">
        <f>N1117+IF(LEN($X$1118)&gt;0,1,0)</f>
        <v/>
      </c>
      <c r="O1118" s="2">
        <f>O1117+IF(LEN($Y$1118)&gt;0,1,0)</f>
        <v/>
      </c>
      <c r="P1118" s="2">
        <f>P1117+IF(LEN($Z$1118)&gt;0,1,0)</f>
        <v/>
      </c>
      <c r="Q1118" s="2">
        <f>Q1117+IF(LEN($AA$1118)&gt;0,1,0)</f>
        <v/>
      </c>
      <c r="X1118" s="2">
        <f>IF(ISERROR($B$1118),"",IF(ISBLANK($B$1118),"",$B$1118))</f>
        <v/>
      </c>
      <c r="Y1118" s="2">
        <f>IF(ISERROR($C$1118),"",IF(ISBLANK($C$1118),"",$C$1118))</f>
        <v/>
      </c>
      <c r="Z1118" s="2">
        <f>IF(ISERROR($D$1118),"",IF(ISBLANK($D$1118),"",$D$1118))</f>
        <v/>
      </c>
      <c r="AA1118" s="2">
        <f>IF(ISERROR($E$1118),"",IF(ISBLANK($E$1118),"",$E$1118))</f>
        <v/>
      </c>
      <c r="AG1118" s="2">
        <f>ISERROR($B$1118)*1+ISERROR($C$1118)*1+ISERROR($D$1118)*1+ISERROR($E$1118)*1</f>
        <v/>
      </c>
    </row>
    <row r="1119" ht="26" customHeight="1">
      <c r="B1119" s="33" t="n"/>
      <c r="C1119" s="4" t="n"/>
      <c r="D1119" s="4" t="n"/>
      <c r="E1119" s="4" t="n"/>
      <c r="K1119" s="19">
        <f>IF(AG1119&gt;0,"O Google leu como fórmula: digite de novo com ' na frente.","")</f>
        <v/>
      </c>
      <c r="N1119" s="2">
        <f>N1118+IF(LEN($X$1119)&gt;0,1,0)</f>
        <v/>
      </c>
      <c r="O1119" s="2">
        <f>O1118+IF(LEN($Y$1119)&gt;0,1,0)</f>
        <v/>
      </c>
      <c r="P1119" s="2">
        <f>P1118+IF(LEN($Z$1119)&gt;0,1,0)</f>
        <v/>
      </c>
      <c r="Q1119" s="2">
        <f>Q1118+IF(LEN($AA$1119)&gt;0,1,0)</f>
        <v/>
      </c>
      <c r="X1119" s="2">
        <f>IF(ISERROR($B$1119),"",IF(ISBLANK($B$1119),"",$B$1119))</f>
        <v/>
      </c>
      <c r="Y1119" s="2">
        <f>IF(ISERROR($C$1119),"",IF(ISBLANK($C$1119),"",$C$1119))</f>
        <v/>
      </c>
      <c r="Z1119" s="2">
        <f>IF(ISERROR($D$1119),"",IF(ISBLANK($D$1119),"",$D$1119))</f>
        <v/>
      </c>
      <c r="AA1119" s="2">
        <f>IF(ISERROR($E$1119),"",IF(ISBLANK($E$1119),"",$E$1119))</f>
        <v/>
      </c>
      <c r="AG1119" s="2">
        <f>ISERROR($B$1119)*1+ISERROR($C$1119)*1+ISERROR($D$1119)*1+ISERROR($E$1119)*1</f>
        <v/>
      </c>
    </row>
    <row r="1120" ht="26" customHeight="1">
      <c r="B1120" s="35" t="n"/>
      <c r="C1120" s="29" t="n"/>
      <c r="D1120" s="29" t="n"/>
      <c r="E1120" s="29" t="n"/>
      <c r="K1120" s="19">
        <f>IF(AG1120&gt;0,"O Google leu como fórmula: digite de novo com ' na frente.","")</f>
        <v/>
      </c>
      <c r="N1120" s="2">
        <f>N1119+IF(LEN($X$1120)&gt;0,1,0)</f>
        <v/>
      </c>
      <c r="O1120" s="2">
        <f>O1119+IF(LEN($Y$1120)&gt;0,1,0)</f>
        <v/>
      </c>
      <c r="P1120" s="2">
        <f>P1119+IF(LEN($Z$1120)&gt;0,1,0)</f>
        <v/>
      </c>
      <c r="Q1120" s="2">
        <f>Q1119+IF(LEN($AA$1120)&gt;0,1,0)</f>
        <v/>
      </c>
      <c r="X1120" s="2">
        <f>IF(ISERROR($B$1120),"",IF(ISBLANK($B$1120),"",$B$1120))</f>
        <v/>
      </c>
      <c r="Y1120" s="2">
        <f>IF(ISERROR($C$1120),"",IF(ISBLANK($C$1120),"",$C$1120))</f>
        <v/>
      </c>
      <c r="Z1120" s="2">
        <f>IF(ISERROR($D$1120),"",IF(ISBLANK($D$1120),"",$D$1120))</f>
        <v/>
      </c>
      <c r="AA1120" s="2">
        <f>IF(ISERROR($E$1120),"",IF(ISBLANK($E$1120),"",$E$1120))</f>
        <v/>
      </c>
      <c r="AG1120" s="2">
        <f>ISERROR($B$1120)*1+ISERROR($C$1120)*1+ISERROR($D$1120)*1+ISERROR($E$1120)*1</f>
        <v/>
      </c>
    </row>
    <row r="1121" ht="26" customHeight="1">
      <c r="B1121" s="33" t="n"/>
      <c r="C1121" s="4" t="n"/>
      <c r="D1121" s="4" t="n"/>
      <c r="E1121" s="4" t="n"/>
      <c r="K1121" s="19">
        <f>IF(AG1121&gt;0,"O Google leu como fórmula: digite de novo com ' na frente.","")</f>
        <v/>
      </c>
      <c r="N1121" s="2">
        <f>N1120+IF(LEN($X$1121)&gt;0,1,0)</f>
        <v/>
      </c>
      <c r="O1121" s="2">
        <f>O1120+IF(LEN($Y$1121)&gt;0,1,0)</f>
        <v/>
      </c>
      <c r="P1121" s="2">
        <f>P1120+IF(LEN($Z$1121)&gt;0,1,0)</f>
        <v/>
      </c>
      <c r="Q1121" s="2">
        <f>Q1120+IF(LEN($AA$1121)&gt;0,1,0)</f>
        <v/>
      </c>
      <c r="X1121" s="2">
        <f>IF(ISERROR($B$1121),"",IF(ISBLANK($B$1121),"",$B$1121))</f>
        <v/>
      </c>
      <c r="Y1121" s="2">
        <f>IF(ISERROR($C$1121),"",IF(ISBLANK($C$1121),"",$C$1121))</f>
        <v/>
      </c>
      <c r="Z1121" s="2">
        <f>IF(ISERROR($D$1121),"",IF(ISBLANK($D$1121),"",$D$1121))</f>
        <v/>
      </c>
      <c r="AA1121" s="2">
        <f>IF(ISERROR($E$1121),"",IF(ISBLANK($E$1121),"",$E$1121))</f>
        <v/>
      </c>
      <c r="AG1121" s="2">
        <f>ISERROR($B$1121)*1+ISERROR($C$1121)*1+ISERROR($D$1121)*1+ISERROR($E$1121)*1</f>
        <v/>
      </c>
    </row>
    <row r="1122" ht="26" customHeight="1">
      <c r="B1122" s="35" t="n"/>
      <c r="C1122" s="29" t="n"/>
      <c r="D1122" s="29" t="n"/>
      <c r="E1122" s="29" t="n"/>
      <c r="K1122" s="19">
        <f>IF(AG1122&gt;0,"O Google leu como fórmula: digite de novo com ' na frente.","")</f>
        <v/>
      </c>
      <c r="N1122" s="2">
        <f>N1121+IF(LEN($X$1122)&gt;0,1,0)</f>
        <v/>
      </c>
      <c r="O1122" s="2">
        <f>O1121+IF(LEN($Y$1122)&gt;0,1,0)</f>
        <v/>
      </c>
      <c r="P1122" s="2">
        <f>P1121+IF(LEN($Z$1122)&gt;0,1,0)</f>
        <v/>
      </c>
      <c r="Q1122" s="2">
        <f>Q1121+IF(LEN($AA$1122)&gt;0,1,0)</f>
        <v/>
      </c>
      <c r="X1122" s="2">
        <f>IF(ISERROR($B$1122),"",IF(ISBLANK($B$1122),"",$B$1122))</f>
        <v/>
      </c>
      <c r="Y1122" s="2">
        <f>IF(ISERROR($C$1122),"",IF(ISBLANK($C$1122),"",$C$1122))</f>
        <v/>
      </c>
      <c r="Z1122" s="2">
        <f>IF(ISERROR($D$1122),"",IF(ISBLANK($D$1122),"",$D$1122))</f>
        <v/>
      </c>
      <c r="AA1122" s="2">
        <f>IF(ISERROR($E$1122),"",IF(ISBLANK($E$1122),"",$E$1122))</f>
        <v/>
      </c>
      <c r="AG1122" s="2">
        <f>ISERROR($B$1122)*1+ISERROR($C$1122)*1+ISERROR($D$1122)*1+ISERROR($E$1122)*1</f>
        <v/>
      </c>
    </row>
    <row r="1123" ht="26" customHeight="1">
      <c r="B1123" s="33" t="n"/>
      <c r="C1123" s="4" t="n"/>
      <c r="D1123" s="4" t="n"/>
      <c r="E1123" s="4" t="n"/>
      <c r="K1123" s="19">
        <f>IF(AG1123&gt;0,"O Google leu como fórmula: digite de novo com ' na frente.","")</f>
        <v/>
      </c>
      <c r="N1123" s="2">
        <f>N1122+IF(LEN($X$1123)&gt;0,1,0)</f>
        <v/>
      </c>
      <c r="O1123" s="2">
        <f>O1122+IF(LEN($Y$1123)&gt;0,1,0)</f>
        <v/>
      </c>
      <c r="P1123" s="2">
        <f>P1122+IF(LEN($Z$1123)&gt;0,1,0)</f>
        <v/>
      </c>
      <c r="Q1123" s="2">
        <f>Q1122+IF(LEN($AA$1123)&gt;0,1,0)</f>
        <v/>
      </c>
      <c r="X1123" s="2">
        <f>IF(ISERROR($B$1123),"",IF(ISBLANK($B$1123),"",$B$1123))</f>
        <v/>
      </c>
      <c r="Y1123" s="2">
        <f>IF(ISERROR($C$1123),"",IF(ISBLANK($C$1123),"",$C$1123))</f>
        <v/>
      </c>
      <c r="Z1123" s="2">
        <f>IF(ISERROR($D$1123),"",IF(ISBLANK($D$1123),"",$D$1123))</f>
        <v/>
      </c>
      <c r="AA1123" s="2">
        <f>IF(ISERROR($E$1123),"",IF(ISBLANK($E$1123),"",$E$1123))</f>
        <v/>
      </c>
      <c r="AG1123" s="2">
        <f>ISERROR($B$1123)*1+ISERROR($C$1123)*1+ISERROR($D$1123)*1+ISERROR($E$1123)*1</f>
        <v/>
      </c>
    </row>
    <row r="1124" ht="26" customHeight="1">
      <c r="B1124" s="35" t="n"/>
      <c r="C1124" s="29" t="n"/>
      <c r="D1124" s="29" t="n"/>
      <c r="E1124" s="29" t="n"/>
      <c r="K1124" s="19">
        <f>IF(AG1124&gt;0,"O Google leu como fórmula: digite de novo com ' na frente.","")</f>
        <v/>
      </c>
      <c r="N1124" s="2">
        <f>N1123+IF(LEN($X$1124)&gt;0,1,0)</f>
        <v/>
      </c>
      <c r="O1124" s="2">
        <f>O1123+IF(LEN($Y$1124)&gt;0,1,0)</f>
        <v/>
      </c>
      <c r="P1124" s="2">
        <f>P1123+IF(LEN($Z$1124)&gt;0,1,0)</f>
        <v/>
      </c>
      <c r="Q1124" s="2">
        <f>Q1123+IF(LEN($AA$1124)&gt;0,1,0)</f>
        <v/>
      </c>
      <c r="X1124" s="2">
        <f>IF(ISERROR($B$1124),"",IF(ISBLANK($B$1124),"",$B$1124))</f>
        <v/>
      </c>
      <c r="Y1124" s="2">
        <f>IF(ISERROR($C$1124),"",IF(ISBLANK($C$1124),"",$C$1124))</f>
        <v/>
      </c>
      <c r="Z1124" s="2">
        <f>IF(ISERROR($D$1124),"",IF(ISBLANK($D$1124),"",$D$1124))</f>
        <v/>
      </c>
      <c r="AA1124" s="2">
        <f>IF(ISERROR($E$1124),"",IF(ISBLANK($E$1124),"",$E$1124))</f>
        <v/>
      </c>
      <c r="AG1124" s="2">
        <f>ISERROR($B$1124)*1+ISERROR($C$1124)*1+ISERROR($D$1124)*1+ISERROR($E$1124)*1</f>
        <v/>
      </c>
    </row>
    <row r="1125" ht="26" customHeight="1">
      <c r="B1125" s="33" t="n"/>
      <c r="C1125" s="4" t="n"/>
      <c r="D1125" s="4" t="n"/>
      <c r="E1125" s="4" t="n"/>
      <c r="K1125" s="19">
        <f>IF(AG1125&gt;0,"O Google leu como fórmula: digite de novo com ' na frente.","")</f>
        <v/>
      </c>
      <c r="N1125" s="2">
        <f>N1124+IF(LEN($X$1125)&gt;0,1,0)</f>
        <v/>
      </c>
      <c r="O1125" s="2">
        <f>O1124+IF(LEN($Y$1125)&gt;0,1,0)</f>
        <v/>
      </c>
      <c r="P1125" s="2">
        <f>P1124+IF(LEN($Z$1125)&gt;0,1,0)</f>
        <v/>
      </c>
      <c r="Q1125" s="2">
        <f>Q1124+IF(LEN($AA$1125)&gt;0,1,0)</f>
        <v/>
      </c>
      <c r="X1125" s="2">
        <f>IF(ISERROR($B$1125),"",IF(ISBLANK($B$1125),"",$B$1125))</f>
        <v/>
      </c>
      <c r="Y1125" s="2">
        <f>IF(ISERROR($C$1125),"",IF(ISBLANK($C$1125),"",$C$1125))</f>
        <v/>
      </c>
      <c r="Z1125" s="2">
        <f>IF(ISERROR($D$1125),"",IF(ISBLANK($D$1125),"",$D$1125))</f>
        <v/>
      </c>
      <c r="AA1125" s="2">
        <f>IF(ISERROR($E$1125),"",IF(ISBLANK($E$1125),"",$E$1125))</f>
        <v/>
      </c>
      <c r="AG1125" s="2">
        <f>ISERROR($B$1125)*1+ISERROR($C$1125)*1+ISERROR($D$1125)*1+ISERROR($E$1125)*1</f>
        <v/>
      </c>
    </row>
    <row r="1126" ht="26" customHeight="1">
      <c r="B1126" s="35" t="n"/>
      <c r="C1126" s="29" t="n"/>
      <c r="D1126" s="29" t="n"/>
      <c r="E1126" s="29" t="n"/>
      <c r="K1126" s="19">
        <f>IF(AG1126&gt;0,"O Google leu como fórmula: digite de novo com ' na frente.","")</f>
        <v/>
      </c>
      <c r="N1126" s="2">
        <f>N1125+IF(LEN($X$1126)&gt;0,1,0)</f>
        <v/>
      </c>
      <c r="O1126" s="2">
        <f>O1125+IF(LEN($Y$1126)&gt;0,1,0)</f>
        <v/>
      </c>
      <c r="P1126" s="2">
        <f>P1125+IF(LEN($Z$1126)&gt;0,1,0)</f>
        <v/>
      </c>
      <c r="Q1126" s="2">
        <f>Q1125+IF(LEN($AA$1126)&gt;0,1,0)</f>
        <v/>
      </c>
      <c r="X1126" s="2">
        <f>IF(ISERROR($B$1126),"",IF(ISBLANK($B$1126),"",$B$1126))</f>
        <v/>
      </c>
      <c r="Y1126" s="2">
        <f>IF(ISERROR($C$1126),"",IF(ISBLANK($C$1126),"",$C$1126))</f>
        <v/>
      </c>
      <c r="Z1126" s="2">
        <f>IF(ISERROR($D$1126),"",IF(ISBLANK($D$1126),"",$D$1126))</f>
        <v/>
      </c>
      <c r="AA1126" s="2">
        <f>IF(ISERROR($E$1126),"",IF(ISBLANK($E$1126),"",$E$1126))</f>
        <v/>
      </c>
      <c r="AG1126" s="2">
        <f>ISERROR($B$1126)*1+ISERROR($C$1126)*1+ISERROR($D$1126)*1+ISERROR($E$1126)*1</f>
        <v/>
      </c>
    </row>
    <row r="1127" ht="26" customHeight="1">
      <c r="B1127" s="33" t="n"/>
      <c r="C1127" s="4" t="n"/>
      <c r="D1127" s="4" t="n"/>
      <c r="E1127" s="4" t="n"/>
      <c r="K1127" s="19">
        <f>IF(AG1127&gt;0,"O Google leu como fórmula: digite de novo com ' na frente.","")</f>
        <v/>
      </c>
      <c r="N1127" s="2">
        <f>N1126+IF(LEN($X$1127)&gt;0,1,0)</f>
        <v/>
      </c>
      <c r="O1127" s="2">
        <f>O1126+IF(LEN($Y$1127)&gt;0,1,0)</f>
        <v/>
      </c>
      <c r="P1127" s="2">
        <f>P1126+IF(LEN($Z$1127)&gt;0,1,0)</f>
        <v/>
      </c>
      <c r="Q1127" s="2">
        <f>Q1126+IF(LEN($AA$1127)&gt;0,1,0)</f>
        <v/>
      </c>
      <c r="X1127" s="2">
        <f>IF(ISERROR($B$1127),"",IF(ISBLANK($B$1127),"",$B$1127))</f>
        <v/>
      </c>
      <c r="Y1127" s="2">
        <f>IF(ISERROR($C$1127),"",IF(ISBLANK($C$1127),"",$C$1127))</f>
        <v/>
      </c>
      <c r="Z1127" s="2">
        <f>IF(ISERROR($D$1127),"",IF(ISBLANK($D$1127),"",$D$1127))</f>
        <v/>
      </c>
      <c r="AA1127" s="2">
        <f>IF(ISERROR($E$1127),"",IF(ISBLANK($E$1127),"",$E$1127))</f>
        <v/>
      </c>
      <c r="AG1127" s="2">
        <f>ISERROR($B$1127)*1+ISERROR($C$1127)*1+ISERROR($D$1127)*1+ISERROR($E$1127)*1</f>
        <v/>
      </c>
    </row>
    <row r="1128" ht="26" customHeight="1">
      <c r="B1128" s="35" t="n"/>
      <c r="C1128" s="29" t="n"/>
      <c r="D1128" s="29" t="n"/>
      <c r="E1128" s="29" t="n"/>
      <c r="K1128" s="19">
        <f>IF(AG1128&gt;0,"O Google leu como fórmula: digite de novo com ' na frente.","")</f>
        <v/>
      </c>
      <c r="N1128" s="2">
        <f>N1127+IF(LEN($X$1128)&gt;0,1,0)</f>
        <v/>
      </c>
      <c r="O1128" s="2">
        <f>O1127+IF(LEN($Y$1128)&gt;0,1,0)</f>
        <v/>
      </c>
      <c r="P1128" s="2">
        <f>P1127+IF(LEN($Z$1128)&gt;0,1,0)</f>
        <v/>
      </c>
      <c r="Q1128" s="2">
        <f>Q1127+IF(LEN($AA$1128)&gt;0,1,0)</f>
        <v/>
      </c>
      <c r="X1128" s="2">
        <f>IF(ISERROR($B$1128),"",IF(ISBLANK($B$1128),"",$B$1128))</f>
        <v/>
      </c>
      <c r="Y1128" s="2">
        <f>IF(ISERROR($C$1128),"",IF(ISBLANK($C$1128),"",$C$1128))</f>
        <v/>
      </c>
      <c r="Z1128" s="2">
        <f>IF(ISERROR($D$1128),"",IF(ISBLANK($D$1128),"",$D$1128))</f>
        <v/>
      </c>
      <c r="AA1128" s="2">
        <f>IF(ISERROR($E$1128),"",IF(ISBLANK($E$1128),"",$E$1128))</f>
        <v/>
      </c>
      <c r="AG1128" s="2">
        <f>ISERROR($B$1128)*1+ISERROR($C$1128)*1+ISERROR($D$1128)*1+ISERROR($E$1128)*1</f>
        <v/>
      </c>
    </row>
    <row r="1129" ht="26" customHeight="1">
      <c r="B1129" s="33" t="n"/>
      <c r="C1129" s="4" t="n"/>
      <c r="D1129" s="4" t="n"/>
      <c r="E1129" s="4" t="n"/>
      <c r="K1129" s="19">
        <f>IF(AG1129&gt;0,"O Google leu como fórmula: digite de novo com ' na frente.","")</f>
        <v/>
      </c>
      <c r="N1129" s="2">
        <f>N1128+IF(LEN($X$1129)&gt;0,1,0)</f>
        <v/>
      </c>
      <c r="O1129" s="2">
        <f>O1128+IF(LEN($Y$1129)&gt;0,1,0)</f>
        <v/>
      </c>
      <c r="P1129" s="2">
        <f>P1128+IF(LEN($Z$1129)&gt;0,1,0)</f>
        <v/>
      </c>
      <c r="Q1129" s="2">
        <f>Q1128+IF(LEN($AA$1129)&gt;0,1,0)</f>
        <v/>
      </c>
      <c r="X1129" s="2">
        <f>IF(ISERROR($B$1129),"",IF(ISBLANK($B$1129),"",$B$1129))</f>
        <v/>
      </c>
      <c r="Y1129" s="2">
        <f>IF(ISERROR($C$1129),"",IF(ISBLANK($C$1129),"",$C$1129))</f>
        <v/>
      </c>
      <c r="Z1129" s="2">
        <f>IF(ISERROR($D$1129),"",IF(ISBLANK($D$1129),"",$D$1129))</f>
        <v/>
      </c>
      <c r="AA1129" s="2">
        <f>IF(ISERROR($E$1129),"",IF(ISBLANK($E$1129),"",$E$1129))</f>
        <v/>
      </c>
      <c r="AG1129" s="2">
        <f>ISERROR($B$1129)*1+ISERROR($C$1129)*1+ISERROR($D$1129)*1+ISERROR($E$1129)*1</f>
        <v/>
      </c>
    </row>
    <row r="1130" ht="15" customHeight="1">
      <c r="B1130" s="8" t="inlineStr">
        <is>
          <t>Facção: o que quer</t>
        </is>
      </c>
      <c r="C1130" s="8" t="inlineStr">
        <is>
          <t>Facção: método</t>
        </is>
      </c>
      <c r="D1130" s="8" t="inlineStr">
        <is>
          <t>Facção: recurso</t>
        </is>
      </c>
      <c r="E1130" s="8" t="inlineStr">
        <is>
          <t>Facção: como usar</t>
        </is>
      </c>
      <c r="N1130" s="2">
        <f>N1129</f>
        <v/>
      </c>
      <c r="O1130" s="2">
        <f>O1129</f>
        <v/>
      </c>
      <c r="P1130" s="2">
        <f>P1129</f>
        <v/>
      </c>
      <c r="Q1130" s="2">
        <f>Q1129</f>
        <v/>
      </c>
      <c r="X1130" s="2">
        <f>IF(ISERROR($B$1130),"",IF(ISBLANK($B$1130),"",$B$1130))</f>
        <v/>
      </c>
      <c r="Y1130" s="2">
        <f>IF(ISERROR($C$1130),"",IF(ISBLANK($C$1130),"",$C$1130))</f>
        <v/>
      </c>
      <c r="Z1130" s="2">
        <f>IF(ISERROR($D$1130),"",IF(ISBLANK($D$1130),"",$D$1130))</f>
        <v/>
      </c>
      <c r="AA1130" s="2">
        <f>IF(ISERROR($E$1130),"",IF(ISBLANK($E$1130),"",$E$1130))</f>
        <v/>
      </c>
    </row>
    <row r="1131" ht="26" customHeight="1">
      <c r="B1131" s="33" t="n"/>
      <c r="C1131" s="4" t="n"/>
      <c r="D1131" s="4" t="n"/>
      <c r="E1131" s="4" t="n"/>
      <c r="K1131" s="19">
        <f>IF(AG1131&gt;0,"O Google leu como fórmula: digite de novo com ' na frente.","")</f>
        <v/>
      </c>
      <c r="N1131" s="2">
        <f>N1130+IF(LEN($X$1131)&gt;0,1,0)</f>
        <v/>
      </c>
      <c r="O1131" s="2">
        <f>O1130+IF(LEN($Y$1131)&gt;0,1,0)</f>
        <v/>
      </c>
      <c r="P1131" s="2">
        <f>P1130+IF(LEN($Z$1131)&gt;0,1,0)</f>
        <v/>
      </c>
      <c r="Q1131" s="2">
        <f>Q1130+IF(LEN($AA$1131)&gt;0,1,0)</f>
        <v/>
      </c>
      <c r="X1131" s="2">
        <f>IF(ISERROR($B$1131),"",IF(ISBLANK($B$1131),"",$B$1131))</f>
        <v/>
      </c>
      <c r="Y1131" s="2">
        <f>IF(ISERROR($C$1131),"",IF(ISBLANK($C$1131),"",$C$1131))</f>
        <v/>
      </c>
      <c r="Z1131" s="2">
        <f>IF(ISERROR($D$1131),"",IF(ISBLANK($D$1131),"",$D$1131))</f>
        <v/>
      </c>
      <c r="AA1131" s="2">
        <f>IF(ISERROR($E$1131),"",IF(ISBLANK($E$1131),"",$E$1131))</f>
        <v/>
      </c>
      <c r="AG1131" s="2">
        <f>ISERROR($B$1131)*1+ISERROR($C$1131)*1+ISERROR($D$1131)*1+ISERROR($E$1131)*1</f>
        <v/>
      </c>
    </row>
    <row r="1132" ht="26" customHeight="1">
      <c r="B1132" s="35" t="n"/>
      <c r="C1132" s="29" t="n"/>
      <c r="D1132" s="29" t="n"/>
      <c r="E1132" s="29" t="n"/>
      <c r="K1132" s="19">
        <f>IF(AG1132&gt;0,"O Google leu como fórmula: digite de novo com ' na frente.","")</f>
        <v/>
      </c>
      <c r="N1132" s="2">
        <f>N1131+IF(LEN($X$1132)&gt;0,1,0)</f>
        <v/>
      </c>
      <c r="O1132" s="2">
        <f>O1131+IF(LEN($Y$1132)&gt;0,1,0)</f>
        <v/>
      </c>
      <c r="P1132" s="2">
        <f>P1131+IF(LEN($Z$1132)&gt;0,1,0)</f>
        <v/>
      </c>
      <c r="Q1132" s="2">
        <f>Q1131+IF(LEN($AA$1132)&gt;0,1,0)</f>
        <v/>
      </c>
      <c r="X1132" s="2">
        <f>IF(ISERROR($B$1132),"",IF(ISBLANK($B$1132),"",$B$1132))</f>
        <v/>
      </c>
      <c r="Y1132" s="2">
        <f>IF(ISERROR($C$1132),"",IF(ISBLANK($C$1132),"",$C$1132))</f>
        <v/>
      </c>
      <c r="Z1132" s="2">
        <f>IF(ISERROR($D$1132),"",IF(ISBLANK($D$1132),"",$D$1132))</f>
        <v/>
      </c>
      <c r="AA1132" s="2">
        <f>IF(ISERROR($E$1132),"",IF(ISBLANK($E$1132),"",$E$1132))</f>
        <v/>
      </c>
      <c r="AG1132" s="2">
        <f>ISERROR($B$1132)*1+ISERROR($C$1132)*1+ISERROR($D$1132)*1+ISERROR($E$1132)*1</f>
        <v/>
      </c>
    </row>
    <row r="1133" ht="26" customHeight="1">
      <c r="B1133" s="33" t="n"/>
      <c r="C1133" s="4" t="n"/>
      <c r="D1133" s="4" t="n"/>
      <c r="E1133" s="4" t="n"/>
      <c r="K1133" s="19">
        <f>IF(AG1133&gt;0,"O Google leu como fórmula: digite de novo com ' na frente.","")</f>
        <v/>
      </c>
      <c r="N1133" s="2">
        <f>N1132+IF(LEN($X$1133)&gt;0,1,0)</f>
        <v/>
      </c>
      <c r="O1133" s="2">
        <f>O1132+IF(LEN($Y$1133)&gt;0,1,0)</f>
        <v/>
      </c>
      <c r="P1133" s="2">
        <f>P1132+IF(LEN($Z$1133)&gt;0,1,0)</f>
        <v/>
      </c>
      <c r="Q1133" s="2">
        <f>Q1132+IF(LEN($AA$1133)&gt;0,1,0)</f>
        <v/>
      </c>
      <c r="X1133" s="2">
        <f>IF(ISERROR($B$1133),"",IF(ISBLANK($B$1133),"",$B$1133))</f>
        <v/>
      </c>
      <c r="Y1133" s="2">
        <f>IF(ISERROR($C$1133),"",IF(ISBLANK($C$1133),"",$C$1133))</f>
        <v/>
      </c>
      <c r="Z1133" s="2">
        <f>IF(ISERROR($D$1133),"",IF(ISBLANK($D$1133),"",$D$1133))</f>
        <v/>
      </c>
      <c r="AA1133" s="2">
        <f>IF(ISERROR($E$1133),"",IF(ISBLANK($E$1133),"",$E$1133))</f>
        <v/>
      </c>
      <c r="AG1133" s="2">
        <f>ISERROR($B$1133)*1+ISERROR($C$1133)*1+ISERROR($D$1133)*1+ISERROR($E$1133)*1</f>
        <v/>
      </c>
    </row>
    <row r="1134" ht="26" customHeight="1">
      <c r="B1134" s="35" t="n"/>
      <c r="C1134" s="29" t="n"/>
      <c r="D1134" s="29" t="n"/>
      <c r="E1134" s="29" t="n"/>
      <c r="K1134" s="19">
        <f>IF(AG1134&gt;0,"O Google leu como fórmula: digite de novo com ' na frente.","")</f>
        <v/>
      </c>
      <c r="N1134" s="2">
        <f>N1133+IF(LEN($X$1134)&gt;0,1,0)</f>
        <v/>
      </c>
      <c r="O1134" s="2">
        <f>O1133+IF(LEN($Y$1134)&gt;0,1,0)</f>
        <v/>
      </c>
      <c r="P1134" s="2">
        <f>P1133+IF(LEN($Z$1134)&gt;0,1,0)</f>
        <v/>
      </c>
      <c r="Q1134" s="2">
        <f>Q1133+IF(LEN($AA$1134)&gt;0,1,0)</f>
        <v/>
      </c>
      <c r="X1134" s="2">
        <f>IF(ISERROR($B$1134),"",IF(ISBLANK($B$1134),"",$B$1134))</f>
        <v/>
      </c>
      <c r="Y1134" s="2">
        <f>IF(ISERROR($C$1134),"",IF(ISBLANK($C$1134),"",$C$1134))</f>
        <v/>
      </c>
      <c r="Z1134" s="2">
        <f>IF(ISERROR($D$1134),"",IF(ISBLANK($D$1134),"",$D$1134))</f>
        <v/>
      </c>
      <c r="AA1134" s="2">
        <f>IF(ISERROR($E$1134),"",IF(ISBLANK($E$1134),"",$E$1134))</f>
        <v/>
      </c>
      <c r="AG1134" s="2">
        <f>ISERROR($B$1134)*1+ISERROR($C$1134)*1+ISERROR($D$1134)*1+ISERROR($E$1134)*1</f>
        <v/>
      </c>
    </row>
    <row r="1135" ht="26" customHeight="1">
      <c r="B1135" s="33" t="n"/>
      <c r="C1135" s="4" t="n"/>
      <c r="D1135" s="4" t="n"/>
      <c r="E1135" s="4" t="n"/>
      <c r="K1135" s="19">
        <f>IF(AG1135&gt;0,"O Google leu como fórmula: digite de novo com ' na frente.","")</f>
        <v/>
      </c>
      <c r="N1135" s="2">
        <f>N1134+IF(LEN($X$1135)&gt;0,1,0)</f>
        <v/>
      </c>
      <c r="O1135" s="2">
        <f>O1134+IF(LEN($Y$1135)&gt;0,1,0)</f>
        <v/>
      </c>
      <c r="P1135" s="2">
        <f>P1134+IF(LEN($Z$1135)&gt;0,1,0)</f>
        <v/>
      </c>
      <c r="Q1135" s="2">
        <f>Q1134+IF(LEN($AA$1135)&gt;0,1,0)</f>
        <v/>
      </c>
      <c r="X1135" s="2">
        <f>IF(ISERROR($B$1135),"",IF(ISBLANK($B$1135),"",$B$1135))</f>
        <v/>
      </c>
      <c r="Y1135" s="2">
        <f>IF(ISERROR($C$1135),"",IF(ISBLANK($C$1135),"",$C$1135))</f>
        <v/>
      </c>
      <c r="Z1135" s="2">
        <f>IF(ISERROR($D$1135),"",IF(ISBLANK($D$1135),"",$D$1135))</f>
        <v/>
      </c>
      <c r="AA1135" s="2">
        <f>IF(ISERROR($E$1135),"",IF(ISBLANK($E$1135),"",$E$1135))</f>
        <v/>
      </c>
      <c r="AG1135" s="2">
        <f>ISERROR($B$1135)*1+ISERROR($C$1135)*1+ISERROR($D$1135)*1+ISERROR($E$1135)*1</f>
        <v/>
      </c>
    </row>
    <row r="1136" ht="26" customHeight="1">
      <c r="B1136" s="35" t="n"/>
      <c r="C1136" s="29" t="n"/>
      <c r="D1136" s="29" t="n"/>
      <c r="E1136" s="29" t="n"/>
      <c r="K1136" s="19">
        <f>IF(AG1136&gt;0,"O Google leu como fórmula: digite de novo com ' na frente.","")</f>
        <v/>
      </c>
      <c r="N1136" s="2">
        <f>N1135+IF(LEN($X$1136)&gt;0,1,0)</f>
        <v/>
      </c>
      <c r="O1136" s="2">
        <f>O1135+IF(LEN($Y$1136)&gt;0,1,0)</f>
        <v/>
      </c>
      <c r="P1136" s="2">
        <f>P1135+IF(LEN($Z$1136)&gt;0,1,0)</f>
        <v/>
      </c>
      <c r="Q1136" s="2">
        <f>Q1135+IF(LEN($AA$1136)&gt;0,1,0)</f>
        <v/>
      </c>
      <c r="X1136" s="2">
        <f>IF(ISERROR($B$1136),"",IF(ISBLANK($B$1136),"",$B$1136))</f>
        <v/>
      </c>
      <c r="Y1136" s="2">
        <f>IF(ISERROR($C$1136),"",IF(ISBLANK($C$1136),"",$C$1136))</f>
        <v/>
      </c>
      <c r="Z1136" s="2">
        <f>IF(ISERROR($D$1136),"",IF(ISBLANK($D$1136),"",$D$1136))</f>
        <v/>
      </c>
      <c r="AA1136" s="2">
        <f>IF(ISERROR($E$1136),"",IF(ISBLANK($E$1136),"",$E$1136))</f>
        <v/>
      </c>
      <c r="AG1136" s="2">
        <f>ISERROR($B$1136)*1+ISERROR($C$1136)*1+ISERROR($D$1136)*1+ISERROR($E$1136)*1</f>
        <v/>
      </c>
    </row>
    <row r="1137" ht="26" customHeight="1">
      <c r="B1137" s="33" t="n"/>
      <c r="C1137" s="4" t="n"/>
      <c r="D1137" s="4" t="n"/>
      <c r="E1137" s="4" t="n"/>
      <c r="K1137" s="19">
        <f>IF(AG1137&gt;0,"O Google leu como fórmula: digite de novo com ' na frente.","")</f>
        <v/>
      </c>
      <c r="N1137" s="2">
        <f>N1136+IF(LEN($X$1137)&gt;0,1,0)</f>
        <v/>
      </c>
      <c r="O1137" s="2">
        <f>O1136+IF(LEN($Y$1137)&gt;0,1,0)</f>
        <v/>
      </c>
      <c r="P1137" s="2">
        <f>P1136+IF(LEN($Z$1137)&gt;0,1,0)</f>
        <v/>
      </c>
      <c r="Q1137" s="2">
        <f>Q1136+IF(LEN($AA$1137)&gt;0,1,0)</f>
        <v/>
      </c>
      <c r="X1137" s="2">
        <f>IF(ISERROR($B$1137),"",IF(ISBLANK($B$1137),"",$B$1137))</f>
        <v/>
      </c>
      <c r="Y1137" s="2">
        <f>IF(ISERROR($C$1137),"",IF(ISBLANK($C$1137),"",$C$1137))</f>
        <v/>
      </c>
      <c r="Z1137" s="2">
        <f>IF(ISERROR($D$1137),"",IF(ISBLANK($D$1137),"",$D$1137))</f>
        <v/>
      </c>
      <c r="AA1137" s="2">
        <f>IF(ISERROR($E$1137),"",IF(ISBLANK($E$1137),"",$E$1137))</f>
        <v/>
      </c>
      <c r="AG1137" s="2">
        <f>ISERROR($B$1137)*1+ISERROR($C$1137)*1+ISERROR($D$1137)*1+ISERROR($E$1137)*1</f>
        <v/>
      </c>
    </row>
    <row r="1138" ht="26" customHeight="1">
      <c r="B1138" s="35" t="n"/>
      <c r="C1138" s="29" t="n"/>
      <c r="D1138" s="29" t="n"/>
      <c r="E1138" s="29" t="n"/>
      <c r="K1138" s="19">
        <f>IF(AG1138&gt;0,"O Google leu como fórmula: digite de novo com ' na frente.","")</f>
        <v/>
      </c>
      <c r="N1138" s="2">
        <f>N1137+IF(LEN($X$1138)&gt;0,1,0)</f>
        <v/>
      </c>
      <c r="O1138" s="2">
        <f>O1137+IF(LEN($Y$1138)&gt;0,1,0)</f>
        <v/>
      </c>
      <c r="P1138" s="2">
        <f>P1137+IF(LEN($Z$1138)&gt;0,1,0)</f>
        <v/>
      </c>
      <c r="Q1138" s="2">
        <f>Q1137+IF(LEN($AA$1138)&gt;0,1,0)</f>
        <v/>
      </c>
      <c r="X1138" s="2">
        <f>IF(ISERROR($B$1138),"",IF(ISBLANK($B$1138),"",$B$1138))</f>
        <v/>
      </c>
      <c r="Y1138" s="2">
        <f>IF(ISERROR($C$1138),"",IF(ISBLANK($C$1138),"",$C$1138))</f>
        <v/>
      </c>
      <c r="Z1138" s="2">
        <f>IF(ISERROR($D$1138),"",IF(ISBLANK($D$1138),"",$D$1138))</f>
        <v/>
      </c>
      <c r="AA1138" s="2">
        <f>IF(ISERROR($E$1138),"",IF(ISBLANK($E$1138),"",$E$1138))</f>
        <v/>
      </c>
      <c r="AG1138" s="2">
        <f>ISERROR($B$1138)*1+ISERROR($C$1138)*1+ISERROR($D$1138)*1+ISERROR($E$1138)*1</f>
        <v/>
      </c>
    </row>
    <row r="1139" ht="26" customHeight="1">
      <c r="B1139" s="33" t="n"/>
      <c r="C1139" s="4" t="n"/>
      <c r="D1139" s="4" t="n"/>
      <c r="E1139" s="4" t="n"/>
      <c r="K1139" s="19">
        <f>IF(AG1139&gt;0,"O Google leu como fórmula: digite de novo com ' na frente.","")</f>
        <v/>
      </c>
      <c r="N1139" s="2">
        <f>N1138+IF(LEN($X$1139)&gt;0,1,0)</f>
        <v/>
      </c>
      <c r="O1139" s="2">
        <f>O1138+IF(LEN($Y$1139)&gt;0,1,0)</f>
        <v/>
      </c>
      <c r="P1139" s="2">
        <f>P1138+IF(LEN($Z$1139)&gt;0,1,0)</f>
        <v/>
      </c>
      <c r="Q1139" s="2">
        <f>Q1138+IF(LEN($AA$1139)&gt;0,1,0)</f>
        <v/>
      </c>
      <c r="X1139" s="2">
        <f>IF(ISERROR($B$1139),"",IF(ISBLANK($B$1139),"",$B$1139))</f>
        <v/>
      </c>
      <c r="Y1139" s="2">
        <f>IF(ISERROR($C$1139),"",IF(ISBLANK($C$1139),"",$C$1139))</f>
        <v/>
      </c>
      <c r="Z1139" s="2">
        <f>IF(ISERROR($D$1139),"",IF(ISBLANK($D$1139),"",$D$1139))</f>
        <v/>
      </c>
      <c r="AA1139" s="2">
        <f>IF(ISERROR($E$1139),"",IF(ISBLANK($E$1139),"",$E$1139))</f>
        <v/>
      </c>
      <c r="AG1139" s="2">
        <f>ISERROR($B$1139)*1+ISERROR($C$1139)*1+ISERROR($D$1139)*1+ISERROR($E$1139)*1</f>
        <v/>
      </c>
    </row>
    <row r="1140" ht="26" customHeight="1">
      <c r="B1140" s="35" t="n"/>
      <c r="C1140" s="29" t="n"/>
      <c r="D1140" s="29" t="n"/>
      <c r="E1140" s="29" t="n"/>
      <c r="K1140" s="19">
        <f>IF(AG1140&gt;0,"O Google leu como fórmula: digite de novo com ' na frente.","")</f>
        <v/>
      </c>
      <c r="N1140" s="2">
        <f>N1139+IF(LEN($X$1140)&gt;0,1,0)</f>
        <v/>
      </c>
      <c r="O1140" s="2">
        <f>O1139+IF(LEN($Y$1140)&gt;0,1,0)</f>
        <v/>
      </c>
      <c r="P1140" s="2">
        <f>P1139+IF(LEN($Z$1140)&gt;0,1,0)</f>
        <v/>
      </c>
      <c r="Q1140" s="2">
        <f>Q1139+IF(LEN($AA$1140)&gt;0,1,0)</f>
        <v/>
      </c>
      <c r="X1140" s="2">
        <f>IF(ISERROR($B$1140),"",IF(ISBLANK($B$1140),"",$B$1140))</f>
        <v/>
      </c>
      <c r="Y1140" s="2">
        <f>IF(ISERROR($C$1140),"",IF(ISBLANK($C$1140),"",$C$1140))</f>
        <v/>
      </c>
      <c r="Z1140" s="2">
        <f>IF(ISERROR($D$1140),"",IF(ISBLANK($D$1140),"",$D$1140))</f>
        <v/>
      </c>
      <c r="AA1140" s="2">
        <f>IF(ISERROR($E$1140),"",IF(ISBLANK($E$1140),"",$E$1140))</f>
        <v/>
      </c>
      <c r="AG1140" s="2">
        <f>ISERROR($B$1140)*1+ISERROR($C$1140)*1+ISERROR($D$1140)*1+ISERROR($E$1140)*1</f>
        <v/>
      </c>
    </row>
    <row r="1141" ht="26" customHeight="1">
      <c r="B1141" s="33" t="n"/>
      <c r="C1141" s="4" t="n"/>
      <c r="D1141" s="4" t="n"/>
      <c r="E1141" s="4" t="n"/>
      <c r="K1141" s="19">
        <f>IF(AG1141&gt;0,"O Google leu como fórmula: digite de novo com ' na frente.","")</f>
        <v/>
      </c>
      <c r="N1141" s="2">
        <f>N1140+IF(LEN($X$1141)&gt;0,1,0)</f>
        <v/>
      </c>
      <c r="O1141" s="2">
        <f>O1140+IF(LEN($Y$1141)&gt;0,1,0)</f>
        <v/>
      </c>
      <c r="P1141" s="2">
        <f>P1140+IF(LEN($Z$1141)&gt;0,1,0)</f>
        <v/>
      </c>
      <c r="Q1141" s="2">
        <f>Q1140+IF(LEN($AA$1141)&gt;0,1,0)</f>
        <v/>
      </c>
      <c r="X1141" s="2">
        <f>IF(ISERROR($B$1141),"",IF(ISBLANK($B$1141),"",$B$1141))</f>
        <v/>
      </c>
      <c r="Y1141" s="2">
        <f>IF(ISERROR($C$1141),"",IF(ISBLANK($C$1141),"",$C$1141))</f>
        <v/>
      </c>
      <c r="Z1141" s="2">
        <f>IF(ISERROR($D$1141),"",IF(ISBLANK($D$1141),"",$D$1141))</f>
        <v/>
      </c>
      <c r="AA1141" s="2">
        <f>IF(ISERROR($E$1141),"",IF(ISBLANK($E$1141),"",$E$1141))</f>
        <v/>
      </c>
      <c r="AG1141" s="2">
        <f>ISERROR($B$1141)*1+ISERROR($C$1141)*1+ISERROR($D$1141)*1+ISERROR($E$1141)*1</f>
        <v/>
      </c>
    </row>
    <row r="1142" ht="26" customHeight="1">
      <c r="B1142" s="35" t="n"/>
      <c r="C1142" s="29" t="n"/>
      <c r="D1142" s="29" t="n"/>
      <c r="E1142" s="29" t="n"/>
      <c r="K1142" s="19">
        <f>IF(AG1142&gt;0,"O Google leu como fórmula: digite de novo com ' na frente.","")</f>
        <v/>
      </c>
      <c r="N1142" s="2">
        <f>N1141+IF(LEN($X$1142)&gt;0,1,0)</f>
        <v/>
      </c>
      <c r="O1142" s="2">
        <f>O1141+IF(LEN($Y$1142)&gt;0,1,0)</f>
        <v/>
      </c>
      <c r="P1142" s="2">
        <f>P1141+IF(LEN($Z$1142)&gt;0,1,0)</f>
        <v/>
      </c>
      <c r="Q1142" s="2">
        <f>Q1141+IF(LEN($AA$1142)&gt;0,1,0)</f>
        <v/>
      </c>
      <c r="X1142" s="2">
        <f>IF(ISERROR($B$1142),"",IF(ISBLANK($B$1142),"",$B$1142))</f>
        <v/>
      </c>
      <c r="Y1142" s="2">
        <f>IF(ISERROR($C$1142),"",IF(ISBLANK($C$1142),"",$C$1142))</f>
        <v/>
      </c>
      <c r="Z1142" s="2">
        <f>IF(ISERROR($D$1142),"",IF(ISBLANK($D$1142),"",$D$1142))</f>
        <v/>
      </c>
      <c r="AA1142" s="2">
        <f>IF(ISERROR($E$1142),"",IF(ISBLANK($E$1142),"",$E$1142))</f>
        <v/>
      </c>
      <c r="AG1142" s="2">
        <f>ISERROR($B$1142)*1+ISERROR($C$1142)*1+ISERROR($D$1142)*1+ISERROR($E$1142)*1</f>
        <v/>
      </c>
    </row>
    <row r="1143" ht="26" customHeight="1">
      <c r="B1143" s="33" t="n"/>
      <c r="C1143" s="4" t="n"/>
      <c r="D1143" s="4" t="n"/>
      <c r="E1143" s="4" t="n"/>
      <c r="K1143" s="19">
        <f>IF(AG1143&gt;0,"O Google leu como fórmula: digite de novo com ' na frente.","")</f>
        <v/>
      </c>
      <c r="N1143" s="2">
        <f>N1142+IF(LEN($X$1143)&gt;0,1,0)</f>
        <v/>
      </c>
      <c r="O1143" s="2">
        <f>O1142+IF(LEN($Y$1143)&gt;0,1,0)</f>
        <v/>
      </c>
      <c r="P1143" s="2">
        <f>P1142+IF(LEN($Z$1143)&gt;0,1,0)</f>
        <v/>
      </c>
      <c r="Q1143" s="2">
        <f>Q1142+IF(LEN($AA$1143)&gt;0,1,0)</f>
        <v/>
      </c>
      <c r="X1143" s="2">
        <f>IF(ISERROR($B$1143),"",IF(ISBLANK($B$1143),"",$B$1143))</f>
        <v/>
      </c>
      <c r="Y1143" s="2">
        <f>IF(ISERROR($C$1143),"",IF(ISBLANK($C$1143),"",$C$1143))</f>
        <v/>
      </c>
      <c r="Z1143" s="2">
        <f>IF(ISERROR($D$1143),"",IF(ISBLANK($D$1143),"",$D$1143))</f>
        <v/>
      </c>
      <c r="AA1143" s="2">
        <f>IF(ISERROR($E$1143),"",IF(ISBLANK($E$1143),"",$E$1143))</f>
        <v/>
      </c>
      <c r="AG1143" s="2">
        <f>ISERROR($B$1143)*1+ISERROR($C$1143)*1+ISERROR($D$1143)*1+ISERROR($E$1143)*1</f>
        <v/>
      </c>
    </row>
    <row r="1144" ht="15" customHeight="1">
      <c r="B1144" s="8" t="inlineStr">
        <is>
          <t>Facção: o que quer</t>
        </is>
      </c>
      <c r="C1144" s="8" t="inlineStr">
        <is>
          <t>Facção: método</t>
        </is>
      </c>
      <c r="D1144" s="8" t="inlineStr">
        <is>
          <t>Facção: recurso</t>
        </is>
      </c>
      <c r="E1144" s="8" t="inlineStr">
        <is>
          <t>Facção: como usar</t>
        </is>
      </c>
      <c r="N1144" s="2">
        <f>N1143</f>
        <v/>
      </c>
      <c r="O1144" s="2">
        <f>O1143</f>
        <v/>
      </c>
      <c r="P1144" s="2">
        <f>P1143</f>
        <v/>
      </c>
      <c r="Q1144" s="2">
        <f>Q1143</f>
        <v/>
      </c>
      <c r="X1144" s="2">
        <f>IF(ISERROR($B$1144),"",IF(ISBLANK($B$1144),"",$B$1144))</f>
        <v/>
      </c>
      <c r="Y1144" s="2">
        <f>IF(ISERROR($C$1144),"",IF(ISBLANK($C$1144),"",$C$1144))</f>
        <v/>
      </c>
      <c r="Z1144" s="2">
        <f>IF(ISERROR($D$1144),"",IF(ISBLANK($D$1144),"",$D$1144))</f>
        <v/>
      </c>
      <c r="AA1144" s="2">
        <f>IF(ISERROR($E$1144),"",IF(ISBLANK($E$1144),"",$E$1144))</f>
        <v/>
      </c>
    </row>
    <row r="1145" ht="26" customHeight="1">
      <c r="B1145" s="33" t="n"/>
      <c r="C1145" s="4" t="n"/>
      <c r="D1145" s="4" t="n"/>
      <c r="E1145" s="4" t="n"/>
      <c r="K1145" s="19">
        <f>IF(AG1145&gt;0,"O Google leu como fórmula: digite de novo com ' na frente.","")</f>
        <v/>
      </c>
      <c r="N1145" s="2">
        <f>N1144+IF(LEN($X$1145)&gt;0,1,0)</f>
        <v/>
      </c>
      <c r="O1145" s="2">
        <f>O1144+IF(LEN($Y$1145)&gt;0,1,0)</f>
        <v/>
      </c>
      <c r="P1145" s="2">
        <f>P1144+IF(LEN($Z$1145)&gt;0,1,0)</f>
        <v/>
      </c>
      <c r="Q1145" s="2">
        <f>Q1144+IF(LEN($AA$1145)&gt;0,1,0)</f>
        <v/>
      </c>
      <c r="X1145" s="2">
        <f>IF(ISERROR($B$1145),"",IF(ISBLANK($B$1145),"",$B$1145))</f>
        <v/>
      </c>
      <c r="Y1145" s="2">
        <f>IF(ISERROR($C$1145),"",IF(ISBLANK($C$1145),"",$C$1145))</f>
        <v/>
      </c>
      <c r="Z1145" s="2">
        <f>IF(ISERROR($D$1145),"",IF(ISBLANK($D$1145),"",$D$1145))</f>
        <v/>
      </c>
      <c r="AA1145" s="2">
        <f>IF(ISERROR($E$1145),"",IF(ISBLANK($E$1145),"",$E$1145))</f>
        <v/>
      </c>
      <c r="AG1145" s="2">
        <f>ISERROR($B$1145)*1+ISERROR($C$1145)*1+ISERROR($D$1145)*1+ISERROR($E$1145)*1</f>
        <v/>
      </c>
    </row>
    <row r="1146" ht="26" customHeight="1">
      <c r="B1146" s="35" t="n"/>
      <c r="C1146" s="29" t="n"/>
      <c r="D1146" s="29" t="n"/>
      <c r="E1146" s="29" t="n"/>
      <c r="K1146" s="19">
        <f>IF(AG1146&gt;0,"O Google leu como fórmula: digite de novo com ' na frente.","")</f>
        <v/>
      </c>
      <c r="N1146" s="2">
        <f>N1145+IF(LEN($X$1146)&gt;0,1,0)</f>
        <v/>
      </c>
      <c r="O1146" s="2">
        <f>O1145+IF(LEN($Y$1146)&gt;0,1,0)</f>
        <v/>
      </c>
      <c r="P1146" s="2">
        <f>P1145+IF(LEN($Z$1146)&gt;0,1,0)</f>
        <v/>
      </c>
      <c r="Q1146" s="2">
        <f>Q1145+IF(LEN($AA$1146)&gt;0,1,0)</f>
        <v/>
      </c>
      <c r="X1146" s="2">
        <f>IF(ISERROR($B$1146),"",IF(ISBLANK($B$1146),"",$B$1146))</f>
        <v/>
      </c>
      <c r="Y1146" s="2">
        <f>IF(ISERROR($C$1146),"",IF(ISBLANK($C$1146),"",$C$1146))</f>
        <v/>
      </c>
      <c r="Z1146" s="2">
        <f>IF(ISERROR($D$1146),"",IF(ISBLANK($D$1146),"",$D$1146))</f>
        <v/>
      </c>
      <c r="AA1146" s="2">
        <f>IF(ISERROR($E$1146),"",IF(ISBLANK($E$1146),"",$E$1146))</f>
        <v/>
      </c>
      <c r="AG1146" s="2">
        <f>ISERROR($B$1146)*1+ISERROR($C$1146)*1+ISERROR($D$1146)*1+ISERROR($E$1146)*1</f>
        <v/>
      </c>
    </row>
    <row r="1147" ht="26" customHeight="1">
      <c r="B1147" s="33" t="n"/>
      <c r="C1147" s="4" t="n"/>
      <c r="D1147" s="4" t="n"/>
      <c r="E1147" s="4" t="n"/>
      <c r="K1147" s="19">
        <f>IF(AG1147&gt;0,"O Google leu como fórmula: digite de novo com ' na frente.","")</f>
        <v/>
      </c>
      <c r="N1147" s="2">
        <f>N1146+IF(LEN($X$1147)&gt;0,1,0)</f>
        <v/>
      </c>
      <c r="O1147" s="2">
        <f>O1146+IF(LEN($Y$1147)&gt;0,1,0)</f>
        <v/>
      </c>
      <c r="P1147" s="2">
        <f>P1146+IF(LEN($Z$1147)&gt;0,1,0)</f>
        <v/>
      </c>
      <c r="Q1147" s="2">
        <f>Q1146+IF(LEN($AA$1147)&gt;0,1,0)</f>
        <v/>
      </c>
      <c r="X1147" s="2">
        <f>IF(ISERROR($B$1147),"",IF(ISBLANK($B$1147),"",$B$1147))</f>
        <v/>
      </c>
      <c r="Y1147" s="2">
        <f>IF(ISERROR($C$1147),"",IF(ISBLANK($C$1147),"",$C$1147))</f>
        <v/>
      </c>
      <c r="Z1147" s="2">
        <f>IF(ISERROR($D$1147),"",IF(ISBLANK($D$1147),"",$D$1147))</f>
        <v/>
      </c>
      <c r="AA1147" s="2">
        <f>IF(ISERROR($E$1147),"",IF(ISBLANK($E$1147),"",$E$1147))</f>
        <v/>
      </c>
      <c r="AG1147" s="2">
        <f>ISERROR($B$1147)*1+ISERROR($C$1147)*1+ISERROR($D$1147)*1+ISERROR($E$1147)*1</f>
        <v/>
      </c>
    </row>
    <row r="1148" ht="26" customHeight="1">
      <c r="B1148" s="35" t="n"/>
      <c r="C1148" s="29" t="n"/>
      <c r="D1148" s="29" t="n"/>
      <c r="E1148" s="29" t="n"/>
      <c r="K1148" s="19">
        <f>IF(AG1148&gt;0,"O Google leu como fórmula: digite de novo com ' na frente.","")</f>
        <v/>
      </c>
      <c r="N1148" s="2">
        <f>N1147+IF(LEN($X$1148)&gt;0,1,0)</f>
        <v/>
      </c>
      <c r="O1148" s="2">
        <f>O1147+IF(LEN($Y$1148)&gt;0,1,0)</f>
        <v/>
      </c>
      <c r="P1148" s="2">
        <f>P1147+IF(LEN($Z$1148)&gt;0,1,0)</f>
        <v/>
      </c>
      <c r="Q1148" s="2">
        <f>Q1147+IF(LEN($AA$1148)&gt;0,1,0)</f>
        <v/>
      </c>
      <c r="X1148" s="2">
        <f>IF(ISERROR($B$1148),"",IF(ISBLANK($B$1148),"",$B$1148))</f>
        <v/>
      </c>
      <c r="Y1148" s="2">
        <f>IF(ISERROR($C$1148),"",IF(ISBLANK($C$1148),"",$C$1148))</f>
        <v/>
      </c>
      <c r="Z1148" s="2">
        <f>IF(ISERROR($D$1148),"",IF(ISBLANK($D$1148),"",$D$1148))</f>
        <v/>
      </c>
      <c r="AA1148" s="2">
        <f>IF(ISERROR($E$1148),"",IF(ISBLANK($E$1148),"",$E$1148))</f>
        <v/>
      </c>
      <c r="AG1148" s="2">
        <f>ISERROR($B$1148)*1+ISERROR($C$1148)*1+ISERROR($D$1148)*1+ISERROR($E$1148)*1</f>
        <v/>
      </c>
    </row>
    <row r="1149" ht="26" customHeight="1">
      <c r="B1149" s="33" t="n"/>
      <c r="C1149" s="4" t="n"/>
      <c r="D1149" s="4" t="n"/>
      <c r="E1149" s="4" t="n"/>
      <c r="K1149" s="19">
        <f>IF(AG1149&gt;0,"O Google leu como fórmula: digite de novo com ' na frente.","")</f>
        <v/>
      </c>
      <c r="N1149" s="2">
        <f>N1148+IF(LEN($X$1149)&gt;0,1,0)</f>
        <v/>
      </c>
      <c r="O1149" s="2">
        <f>O1148+IF(LEN($Y$1149)&gt;0,1,0)</f>
        <v/>
      </c>
      <c r="P1149" s="2">
        <f>P1148+IF(LEN($Z$1149)&gt;0,1,0)</f>
        <v/>
      </c>
      <c r="Q1149" s="2">
        <f>Q1148+IF(LEN($AA$1149)&gt;0,1,0)</f>
        <v/>
      </c>
      <c r="X1149" s="2">
        <f>IF(ISERROR($B$1149),"",IF(ISBLANK($B$1149),"",$B$1149))</f>
        <v/>
      </c>
      <c r="Y1149" s="2">
        <f>IF(ISERROR($C$1149),"",IF(ISBLANK($C$1149),"",$C$1149))</f>
        <v/>
      </c>
      <c r="Z1149" s="2">
        <f>IF(ISERROR($D$1149),"",IF(ISBLANK($D$1149),"",$D$1149))</f>
        <v/>
      </c>
      <c r="AA1149" s="2">
        <f>IF(ISERROR($E$1149),"",IF(ISBLANK($E$1149),"",$E$1149))</f>
        <v/>
      </c>
      <c r="AG1149" s="2">
        <f>ISERROR($B$1149)*1+ISERROR($C$1149)*1+ISERROR($D$1149)*1+ISERROR($E$1149)*1</f>
        <v/>
      </c>
    </row>
    <row r="1150" ht="26" customHeight="1">
      <c r="B1150" s="35" t="n"/>
      <c r="C1150" s="29" t="n"/>
      <c r="D1150" s="29" t="n"/>
      <c r="E1150" s="29" t="n"/>
      <c r="K1150" s="19">
        <f>IF(AG1150&gt;0,"O Google leu como fórmula: digite de novo com ' na frente.","")</f>
        <v/>
      </c>
      <c r="N1150" s="2">
        <f>N1149+IF(LEN($X$1150)&gt;0,1,0)</f>
        <v/>
      </c>
      <c r="O1150" s="2">
        <f>O1149+IF(LEN($Y$1150)&gt;0,1,0)</f>
        <v/>
      </c>
      <c r="P1150" s="2">
        <f>P1149+IF(LEN($Z$1150)&gt;0,1,0)</f>
        <v/>
      </c>
      <c r="Q1150" s="2">
        <f>Q1149+IF(LEN($AA$1150)&gt;0,1,0)</f>
        <v/>
      </c>
      <c r="X1150" s="2">
        <f>IF(ISERROR($B$1150),"",IF(ISBLANK($B$1150),"",$B$1150))</f>
        <v/>
      </c>
      <c r="Y1150" s="2">
        <f>IF(ISERROR($C$1150),"",IF(ISBLANK($C$1150),"",$C$1150))</f>
        <v/>
      </c>
      <c r="Z1150" s="2">
        <f>IF(ISERROR($D$1150),"",IF(ISBLANK($D$1150),"",$D$1150))</f>
        <v/>
      </c>
      <c r="AA1150" s="2">
        <f>IF(ISERROR($E$1150),"",IF(ISBLANK($E$1150),"",$E$1150))</f>
        <v/>
      </c>
      <c r="AG1150" s="2">
        <f>ISERROR($B$1150)*1+ISERROR($C$1150)*1+ISERROR($D$1150)*1+ISERROR($E$1150)*1</f>
        <v/>
      </c>
    </row>
    <row r="1151" ht="26" customHeight="1">
      <c r="B1151" s="33" t="n"/>
      <c r="C1151" s="4" t="n"/>
      <c r="D1151" s="4" t="n"/>
      <c r="E1151" s="4" t="n"/>
      <c r="K1151" s="19">
        <f>IF(AG1151&gt;0,"O Google leu como fórmula: digite de novo com ' na frente.","")</f>
        <v/>
      </c>
      <c r="N1151" s="2">
        <f>N1150+IF(LEN($X$1151)&gt;0,1,0)</f>
        <v/>
      </c>
      <c r="O1151" s="2">
        <f>O1150+IF(LEN($Y$1151)&gt;0,1,0)</f>
        <v/>
      </c>
      <c r="P1151" s="2">
        <f>P1150+IF(LEN($Z$1151)&gt;0,1,0)</f>
        <v/>
      </c>
      <c r="Q1151" s="2">
        <f>Q1150+IF(LEN($AA$1151)&gt;0,1,0)</f>
        <v/>
      </c>
      <c r="X1151" s="2">
        <f>IF(ISERROR($B$1151),"",IF(ISBLANK($B$1151),"",$B$1151))</f>
        <v/>
      </c>
      <c r="Y1151" s="2">
        <f>IF(ISERROR($C$1151),"",IF(ISBLANK($C$1151),"",$C$1151))</f>
        <v/>
      </c>
      <c r="Z1151" s="2">
        <f>IF(ISERROR($D$1151),"",IF(ISBLANK($D$1151),"",$D$1151))</f>
        <v/>
      </c>
      <c r="AA1151" s="2">
        <f>IF(ISERROR($E$1151),"",IF(ISBLANK($E$1151),"",$E$1151))</f>
        <v/>
      </c>
      <c r="AG1151" s="2">
        <f>ISERROR($B$1151)*1+ISERROR($C$1151)*1+ISERROR($D$1151)*1+ISERROR($E$1151)*1</f>
        <v/>
      </c>
    </row>
    <row r="1152" ht="26" customHeight="1">
      <c r="B1152" s="35" t="n"/>
      <c r="C1152" s="29" t="n"/>
      <c r="D1152" s="29" t="n"/>
      <c r="E1152" s="29" t="n"/>
      <c r="K1152" s="19">
        <f>IF(AG1152&gt;0,"O Google leu como fórmula: digite de novo com ' na frente.","")</f>
        <v/>
      </c>
      <c r="N1152" s="2">
        <f>N1151+IF(LEN($X$1152)&gt;0,1,0)</f>
        <v/>
      </c>
      <c r="O1152" s="2">
        <f>O1151+IF(LEN($Y$1152)&gt;0,1,0)</f>
        <v/>
      </c>
      <c r="P1152" s="2">
        <f>P1151+IF(LEN($Z$1152)&gt;0,1,0)</f>
        <v/>
      </c>
      <c r="Q1152" s="2">
        <f>Q1151+IF(LEN($AA$1152)&gt;0,1,0)</f>
        <v/>
      </c>
      <c r="X1152" s="2">
        <f>IF(ISERROR($B$1152),"",IF(ISBLANK($B$1152),"",$B$1152))</f>
        <v/>
      </c>
      <c r="Y1152" s="2">
        <f>IF(ISERROR($C$1152),"",IF(ISBLANK($C$1152),"",$C$1152))</f>
        <v/>
      </c>
      <c r="Z1152" s="2">
        <f>IF(ISERROR($D$1152),"",IF(ISBLANK($D$1152),"",$D$1152))</f>
        <v/>
      </c>
      <c r="AA1152" s="2">
        <f>IF(ISERROR($E$1152),"",IF(ISBLANK($E$1152),"",$E$1152))</f>
        <v/>
      </c>
      <c r="AG1152" s="2">
        <f>ISERROR($B$1152)*1+ISERROR($C$1152)*1+ISERROR($D$1152)*1+ISERROR($E$1152)*1</f>
        <v/>
      </c>
    </row>
    <row r="1153" ht="26" customHeight="1">
      <c r="B1153" s="33" t="n"/>
      <c r="C1153" s="4" t="n"/>
      <c r="D1153" s="4" t="n"/>
      <c r="E1153" s="4" t="n"/>
      <c r="K1153" s="19">
        <f>IF(AG1153&gt;0,"O Google leu como fórmula: digite de novo com ' na frente.","")</f>
        <v/>
      </c>
      <c r="N1153" s="2">
        <f>N1152+IF(LEN($X$1153)&gt;0,1,0)</f>
        <v/>
      </c>
      <c r="O1153" s="2">
        <f>O1152+IF(LEN($Y$1153)&gt;0,1,0)</f>
        <v/>
      </c>
      <c r="P1153" s="2">
        <f>P1152+IF(LEN($Z$1153)&gt;0,1,0)</f>
        <v/>
      </c>
      <c r="Q1153" s="2">
        <f>Q1152+IF(LEN($AA$1153)&gt;0,1,0)</f>
        <v/>
      </c>
      <c r="X1153" s="2">
        <f>IF(ISERROR($B$1153),"",IF(ISBLANK($B$1153),"",$B$1153))</f>
        <v/>
      </c>
      <c r="Y1153" s="2">
        <f>IF(ISERROR($C$1153),"",IF(ISBLANK($C$1153),"",$C$1153))</f>
        <v/>
      </c>
      <c r="Z1153" s="2">
        <f>IF(ISERROR($D$1153),"",IF(ISBLANK($D$1153),"",$D$1153))</f>
        <v/>
      </c>
      <c r="AA1153" s="2">
        <f>IF(ISERROR($E$1153),"",IF(ISBLANK($E$1153),"",$E$1153))</f>
        <v/>
      </c>
      <c r="AG1153" s="2">
        <f>ISERROR($B$1153)*1+ISERROR($C$1153)*1+ISERROR($D$1153)*1+ISERROR($E$1153)*1</f>
        <v/>
      </c>
    </row>
    <row r="1154"/>
    <row r="1155" ht="20" customHeight="1">
      <c r="A1155" s="13" t="inlineStr">
        <is>
          <t>Rumores, eventos, loja e oráculo (aba Improviso) — Sugestão da planilha (H10, H11) — 100 vagas por lista</t>
        </is>
      </c>
    </row>
    <row r="1156">
      <c r="A1156" s="12" t="inlineStr">
        <is>
          <t>Apague para trocar, use as vagas vazias para ampliar. Não insira linhas: o contador corrido pularia a linha nova.</t>
        </is>
      </c>
    </row>
    <row r="1157" ht="26" customHeight="1">
      <c r="A1157" s="8" t="inlineStr">
        <is>
          <t>Lista</t>
        </is>
      </c>
      <c r="B1157" s="8" t="inlineStr">
        <is>
          <t>Rumor</t>
        </is>
      </c>
      <c r="C1157" s="8" t="inlineStr">
        <is>
          <t>Veracidade do rumor (peso)</t>
        </is>
      </c>
      <c r="D1157" s="8" t="inlineStr">
        <is>
          <t>Evento de viagem</t>
        </is>
      </c>
      <c r="E1157" s="8" t="inlineStr">
        <is>
          <t>Evento no espaço</t>
        </is>
      </c>
      <c r="F1157" s="8" t="inlineStr">
        <is>
          <t>Evento na cidade</t>
        </is>
      </c>
      <c r="G1157" s="8" t="inlineStr">
        <is>
          <t>Falhe para frente: o custo</t>
        </is>
      </c>
      <c r="H1157" s="8" t="inlineStr">
        <is>
          <t>Item fora do comum (loja)</t>
        </is>
      </c>
      <c r="I1157" s="8" t="inlineStr">
        <is>
          <t>Oráculo: resposta</t>
        </is>
      </c>
      <c r="J1157" s="8" t="inlineStr">
        <is>
          <t>Oráculo: até (d20 + modificador)</t>
        </is>
      </c>
    </row>
    <row r="1158" ht="26" customHeight="1">
      <c r="A1158" s="9" t="inlineStr">
        <is>
          <t>Fonte</t>
        </is>
      </c>
      <c r="B1158" s="14" t="inlineStr">
        <is>
          <t>Sugestão da planilha (H11)</t>
        </is>
      </c>
      <c r="C1158" s="14" t="inlineStr">
        <is>
          <t>Sugestão da planilha (H11)</t>
        </is>
      </c>
      <c r="D1158" s="14" t="inlineStr">
        <is>
          <t>Sugestão da planilha (H11)</t>
        </is>
      </c>
      <c r="E1158" s="14" t="inlineStr">
        <is>
          <t>Sugestão da planilha (H11)</t>
        </is>
      </c>
      <c r="F1158" s="14" t="inlineStr">
        <is>
          <t>Sugestão da planilha (H11)</t>
        </is>
      </c>
      <c r="G1158" s="14" t="inlineStr">
        <is>
          <t>Livro 02 e 27.1 (os 5 custos) + Sugestão da planilha (H11)</t>
        </is>
      </c>
      <c r="H1158" s="14" t="inlineStr">
        <is>
          <t>Sugestão da planilha (H11)</t>
        </is>
      </c>
      <c r="I1158" s="14" t="inlineStr">
        <is>
          <t>Sugestão da planilha (H10)</t>
        </is>
      </c>
      <c r="J1158" s="14" t="inlineStr">
        <is>
          <t>Sugestão da planilha (H10)</t>
        </is>
      </c>
    </row>
    <row r="1159" ht="26" customHeight="1">
      <c r="A1159" s="21" t="inlineStr">
        <is>
          <t>Tamanho da lista</t>
        </is>
      </c>
      <c r="B1159" s="23">
        <f>N1268</f>
        <v/>
      </c>
      <c r="C1159" s="23">
        <f>O1268</f>
        <v/>
      </c>
      <c r="D1159" s="23">
        <f>P1268</f>
        <v/>
      </c>
      <c r="E1159" s="23">
        <f>Q1268</f>
        <v/>
      </c>
      <c r="F1159" s="23">
        <f>R1268</f>
        <v/>
      </c>
      <c r="G1159" s="23">
        <f>S1268</f>
        <v/>
      </c>
      <c r="H1159" s="23">
        <f>T1268</f>
        <v/>
      </c>
      <c r="I1159" s="23">
        <f>U1268</f>
        <v/>
      </c>
      <c r="J1159" s="30" t="n"/>
    </row>
    <row r="1160" ht="26" customHeight="1">
      <c r="A1160" s="9" t="inlineStr">
        <is>
          <t>Aviso</t>
        </is>
      </c>
      <c r="B1160" s="19">
        <f>IF(N1268&gt;=100,"Lista cheia (100): use Minhas Tabelas para uma lista maior","")</f>
        <v/>
      </c>
      <c r="C1160" s="19">
        <f>IF(O1268&gt;=100,"Lista cheia (100): use Minhas Tabelas para uma lista maior","")</f>
        <v/>
      </c>
      <c r="D1160" s="19">
        <f>IF(P1268&gt;=100,"Lista cheia (100): use Minhas Tabelas para uma lista maior","")</f>
        <v/>
      </c>
      <c r="E1160" s="19">
        <f>IF(Q1268&gt;=100,"Lista cheia (100): use Minhas Tabelas para uma lista maior","")</f>
        <v/>
      </c>
      <c r="F1160" s="19">
        <f>IF(R1268&gt;=100,"Lista cheia (100): use Minhas Tabelas para uma lista maior","")</f>
        <v/>
      </c>
      <c r="G1160" s="19">
        <f>IF(S1268&gt;=100,"Lista cheia (100): use Minhas Tabelas para uma lista maior","")</f>
        <v/>
      </c>
      <c r="H1160" s="19">
        <f>IF(T1268&gt;=100,"Lista cheia (100): use Minhas Tabelas para uma lista maior","")</f>
        <v/>
      </c>
      <c r="I1160" s="19">
        <f>IF(U1268&gt;=100,"Lista cheia (100): use Minhas Tabelas para uma lista maior","")</f>
        <v/>
      </c>
    </row>
    <row r="1161" ht="26" customHeight="1">
      <c r="B1161" s="8" t="inlineStr">
        <is>
          <t>Rumor</t>
        </is>
      </c>
      <c r="C1161" s="8" t="inlineStr">
        <is>
          <t>Veracidade do rumor (peso)</t>
        </is>
      </c>
      <c r="D1161" s="8" t="inlineStr">
        <is>
          <t>Evento de viagem</t>
        </is>
      </c>
      <c r="E1161" s="8" t="inlineStr">
        <is>
          <t>Evento no espaço</t>
        </is>
      </c>
      <c r="F1161" s="8" t="inlineStr">
        <is>
          <t>Evento na cidade</t>
        </is>
      </c>
      <c r="G1161" s="8" t="inlineStr">
        <is>
          <t>Falhe para frente: o custo</t>
        </is>
      </c>
      <c r="H1161" s="8" t="inlineStr">
        <is>
          <t>Item fora do comum (loja)</t>
        </is>
      </c>
      <c r="I1161" s="8" t="inlineStr">
        <is>
          <t>Oráculo: resposta</t>
        </is>
      </c>
      <c r="J1161" s="8" t="inlineStr">
        <is>
          <t>Oráculo: até (d20 + modificador)</t>
        </is>
      </c>
      <c r="N1161" s="2">
        <f>0</f>
        <v/>
      </c>
      <c r="O1161" s="2">
        <f>0</f>
        <v/>
      </c>
      <c r="P1161" s="2">
        <f>0</f>
        <v/>
      </c>
      <c r="Q1161" s="2">
        <f>0</f>
        <v/>
      </c>
      <c r="R1161" s="2">
        <f>0</f>
        <v/>
      </c>
      <c r="S1161" s="2">
        <f>0</f>
        <v/>
      </c>
      <c r="T1161" s="2">
        <f>0</f>
        <v/>
      </c>
      <c r="U1161" s="2">
        <f>0</f>
        <v/>
      </c>
    </row>
    <row r="1162" ht="37" customHeight="1">
      <c r="B1162" s="33" t="inlineStr">
        <is>
          <t>dizem que o diretor da estação vendeu o reator reserva</t>
        </is>
      </c>
      <c r="C1162" s="4" t="inlineStr">
        <is>
          <t>Verdadeiro</t>
        </is>
      </c>
      <c r="D1162" s="4" t="inlineStr">
        <is>
          <t>o trem atrasa e a próxima conexão já partiu</t>
        </is>
      </c>
      <c r="E1162" s="4" t="inlineStr">
        <is>
          <t>um campo de asteroides fora do mapa</t>
        </is>
      </c>
      <c r="F1162" s="4" t="inlineStr">
        <is>
          <t>um tumulto no mercado bloqueia a rua principal</t>
        </is>
      </c>
      <c r="G1162" s="4" t="inlineStr">
        <is>
          <t>custa tempo: a cena leva o dobro e o prazo aperta</t>
        </is>
      </c>
      <c r="H1162" s="4" t="inlineStr">
        <is>
          <t>um mapa estelar gravado em osso</t>
        </is>
      </c>
      <c r="I1162" s="4" t="inlineStr">
        <is>
          <t>Não, e…</t>
        </is>
      </c>
      <c r="J1162" s="4" t="n">
        <v>3</v>
      </c>
      <c r="K1162" s="19">
        <f>IF(AG1162&gt;0,"O Google leu como fórmula: digite de novo com ' na frente.","")</f>
        <v/>
      </c>
      <c r="N1162" s="2">
        <f>N1161+IF(LEN($X$1162)&gt;0,1,0)</f>
        <v/>
      </c>
      <c r="O1162" s="2">
        <f>O1161+IF(LEN($Y$1162)&gt;0,1,0)</f>
        <v/>
      </c>
      <c r="P1162" s="2">
        <f>P1161+IF(LEN($Z$1162)&gt;0,1,0)</f>
        <v/>
      </c>
      <c r="Q1162" s="2">
        <f>Q1161+IF(LEN($AA$1162)&gt;0,1,0)</f>
        <v/>
      </c>
      <c r="R1162" s="2">
        <f>R1161+IF(LEN($AB$1162)&gt;0,1,0)</f>
        <v/>
      </c>
      <c r="S1162" s="2">
        <f>S1161+IF(LEN($AC$1162)&gt;0,1,0)</f>
        <v/>
      </c>
      <c r="T1162" s="2">
        <f>T1161+IF(LEN($AD$1162)&gt;0,1,0)</f>
        <v/>
      </c>
      <c r="U1162" s="2">
        <f>U1161+IF(LEN($AE$1162)&gt;0,1,0)</f>
        <v/>
      </c>
      <c r="X1162" s="2">
        <f>IF(ISERROR($B$1162),"",IF(ISBLANK($B$1162),"",$B$1162))</f>
        <v/>
      </c>
      <c r="Y1162" s="2">
        <f>IF(ISERROR($C$1162),"",IF(ISBLANK($C$1162),"",$C$1162))</f>
        <v/>
      </c>
      <c r="Z1162" s="2">
        <f>IF(ISERROR($D$1162),"",IF(ISBLANK($D$1162),"",$D$1162))</f>
        <v/>
      </c>
      <c r="AA1162" s="2">
        <f>IF(ISERROR($E$1162),"",IF(ISBLANK($E$1162),"",$E$1162))</f>
        <v/>
      </c>
      <c r="AB1162" s="2">
        <f>IF(ISERROR($F$1162),"",IF(ISBLANK($F$1162),"",$F$1162))</f>
        <v/>
      </c>
      <c r="AC1162" s="2">
        <f>IF(ISERROR($G$1162),"",IF(ISBLANK($G$1162),"",$G$1162))</f>
        <v/>
      </c>
      <c r="AD1162" s="2">
        <f>IF(ISERROR($H$1162),"",IF(ISBLANK($H$1162),"",$H$1162))</f>
        <v/>
      </c>
      <c r="AE1162" s="2">
        <f>IF(ISERROR($I$1162),"",IF(ISBLANK($I$1162),"",$I$1162))</f>
        <v/>
      </c>
      <c r="AF1162" s="2">
        <f>IF(ISERROR($J$1162),"",IF(ISBLANK($J$1162),"",$J$1162))</f>
        <v/>
      </c>
      <c r="AG1162" s="2">
        <f>ISERROR($B$1162)*1+ISERROR($C$1162)*1+ISERROR($D$1162)*1+ISERROR($E$1162)*1+ISERROR($F$1162)*1+ISERROR($G$1162)*1+ISERROR($H$1162)*1+ISERROR($I$1162)*1+ISERROR($J$1162)*1</f>
        <v/>
      </c>
    </row>
    <row r="1163" ht="37" customHeight="1">
      <c r="B1163" s="35" t="inlineStr">
        <is>
          <t>contam que um Tolo Mascarado comprou todos os ingressos do teatro</t>
        </is>
      </c>
      <c r="C1163" s="29" t="inlineStr">
        <is>
          <t>Meia-verdade</t>
        </is>
      </c>
      <c r="D1163" s="29" t="inlineStr">
        <is>
          <t>um passageiro passa mal e pede ajuda</t>
        </is>
      </c>
      <c r="E1163" s="29" t="inlineStr">
        <is>
          <t>uma nave à deriva sem sinal de vida</t>
        </is>
      </c>
      <c r="F1163" s="29" t="inlineStr">
        <is>
          <t>a guarda fecha um bairro para uma busca</t>
        </is>
      </c>
      <c r="G1163" s="29" t="inlineStr">
        <is>
          <t>faz ruído: alguém ouviu e vem ver</t>
        </is>
      </c>
      <c r="H1163" s="29" t="inlineStr">
        <is>
          <t>uma bússola que aponta para o Stellaron mais próximo</t>
        </is>
      </c>
      <c r="I1163" s="29" t="inlineStr">
        <is>
          <t>Não</t>
        </is>
      </c>
      <c r="J1163" s="29" t="n">
        <v>7</v>
      </c>
      <c r="K1163" s="19">
        <f>IF(AG1163&gt;0,"O Google leu como fórmula: digite de novo com ' na frente.","")</f>
        <v/>
      </c>
      <c r="N1163" s="2">
        <f>N1162+IF(LEN($X$1163)&gt;0,1,0)</f>
        <v/>
      </c>
      <c r="O1163" s="2">
        <f>O1162+IF(LEN($Y$1163)&gt;0,1,0)</f>
        <v/>
      </c>
      <c r="P1163" s="2">
        <f>P1162+IF(LEN($Z$1163)&gt;0,1,0)</f>
        <v/>
      </c>
      <c r="Q1163" s="2">
        <f>Q1162+IF(LEN($AA$1163)&gt;0,1,0)</f>
        <v/>
      </c>
      <c r="R1163" s="2">
        <f>R1162+IF(LEN($AB$1163)&gt;0,1,0)</f>
        <v/>
      </c>
      <c r="S1163" s="2">
        <f>S1162+IF(LEN($AC$1163)&gt;0,1,0)</f>
        <v/>
      </c>
      <c r="T1163" s="2">
        <f>T1162+IF(LEN($AD$1163)&gt;0,1,0)</f>
        <v/>
      </c>
      <c r="U1163" s="2">
        <f>U1162+IF(LEN($AE$1163)&gt;0,1,0)</f>
        <v/>
      </c>
      <c r="X1163" s="2">
        <f>IF(ISERROR($B$1163),"",IF(ISBLANK($B$1163),"",$B$1163))</f>
        <v/>
      </c>
      <c r="Y1163" s="2">
        <f>IF(ISERROR($C$1163),"",IF(ISBLANK($C$1163),"",$C$1163))</f>
        <v/>
      </c>
      <c r="Z1163" s="2">
        <f>IF(ISERROR($D$1163),"",IF(ISBLANK($D$1163),"",$D$1163))</f>
        <v/>
      </c>
      <c r="AA1163" s="2">
        <f>IF(ISERROR($E$1163),"",IF(ISBLANK($E$1163),"",$E$1163))</f>
        <v/>
      </c>
      <c r="AB1163" s="2">
        <f>IF(ISERROR($F$1163),"",IF(ISBLANK($F$1163),"",$F$1163))</f>
        <v/>
      </c>
      <c r="AC1163" s="2">
        <f>IF(ISERROR($G$1163),"",IF(ISBLANK($G$1163),"",$G$1163))</f>
        <v/>
      </c>
      <c r="AD1163" s="2">
        <f>IF(ISERROR($H$1163),"",IF(ISBLANK($H$1163),"",$H$1163))</f>
        <v/>
      </c>
      <c r="AE1163" s="2">
        <f>IF(ISERROR($I$1163),"",IF(ISBLANK($I$1163),"",$I$1163))</f>
        <v/>
      </c>
      <c r="AF1163" s="2">
        <f>IF(ISERROR($J$1163),"",IF(ISBLANK($J$1163),"",$J$1163))</f>
        <v/>
      </c>
      <c r="AG1163" s="2">
        <f>ISERROR($B$1163)*1+ISERROR($C$1163)*1+ISERROR($D$1163)*1+ISERROR($E$1163)*1+ISERROR($F$1163)*1+ISERROR($G$1163)*1+ISERROR($H$1163)*1+ISERROR($I$1163)*1+ISERROR($J$1163)*1</f>
        <v/>
      </c>
    </row>
    <row r="1164" ht="26" customHeight="1">
      <c r="B1164" s="33" t="inlineStr">
        <is>
          <t>o novo médico do porto nunca dorme</t>
        </is>
      </c>
      <c r="C1164" s="4" t="inlineStr">
        <is>
          <t>Falso</t>
        </is>
      </c>
      <c r="D1164" s="4" t="inlineStr">
        <is>
          <t>a rota é desviada por um campo de detritos</t>
        </is>
      </c>
      <c r="E1164" s="4" t="inlineStr">
        <is>
          <t>uma tempestade solar obriga a desligar os sistemas</t>
        </is>
      </c>
      <c r="F1164" s="4" t="inlineStr">
        <is>
          <t>uma procissão atravessa o caminho do grupo</t>
        </is>
      </c>
      <c r="G1164" s="4" t="inlineStr">
        <is>
          <t>gasta um recurso: uma poção, um kit ou créditos</t>
        </is>
      </c>
      <c r="H1164" s="4" t="inlineStr">
        <is>
          <t>um traje de vedação de outra era</t>
        </is>
      </c>
      <c r="I1164" s="4" t="inlineStr">
        <is>
          <t>Não, mas…</t>
        </is>
      </c>
      <c r="J1164" s="4" t="n">
        <v>10</v>
      </c>
      <c r="K1164" s="19">
        <f>IF(AG1164&gt;0,"O Google leu como fórmula: digite de novo com ' na frente.","")</f>
        <v/>
      </c>
      <c r="N1164" s="2">
        <f>N1163+IF(LEN($X$1164)&gt;0,1,0)</f>
        <v/>
      </c>
      <c r="O1164" s="2">
        <f>O1163+IF(LEN($Y$1164)&gt;0,1,0)</f>
        <v/>
      </c>
      <c r="P1164" s="2">
        <f>P1163+IF(LEN($Z$1164)&gt;0,1,0)</f>
        <v/>
      </c>
      <c r="Q1164" s="2">
        <f>Q1163+IF(LEN($AA$1164)&gt;0,1,0)</f>
        <v/>
      </c>
      <c r="R1164" s="2">
        <f>R1163+IF(LEN($AB$1164)&gt;0,1,0)</f>
        <v/>
      </c>
      <c r="S1164" s="2">
        <f>S1163+IF(LEN($AC$1164)&gt;0,1,0)</f>
        <v/>
      </c>
      <c r="T1164" s="2">
        <f>T1163+IF(LEN($AD$1164)&gt;0,1,0)</f>
        <v/>
      </c>
      <c r="U1164" s="2">
        <f>U1163+IF(LEN($AE$1164)&gt;0,1,0)</f>
        <v/>
      </c>
      <c r="X1164" s="2">
        <f>IF(ISERROR($B$1164),"",IF(ISBLANK($B$1164),"",$B$1164))</f>
        <v/>
      </c>
      <c r="Y1164" s="2">
        <f>IF(ISERROR($C$1164),"",IF(ISBLANK($C$1164),"",$C$1164))</f>
        <v/>
      </c>
      <c r="Z1164" s="2">
        <f>IF(ISERROR($D$1164),"",IF(ISBLANK($D$1164),"",$D$1164))</f>
        <v/>
      </c>
      <c r="AA1164" s="2">
        <f>IF(ISERROR($E$1164),"",IF(ISBLANK($E$1164),"",$E$1164))</f>
        <v/>
      </c>
      <c r="AB1164" s="2">
        <f>IF(ISERROR($F$1164),"",IF(ISBLANK($F$1164),"",$F$1164))</f>
        <v/>
      </c>
      <c r="AC1164" s="2">
        <f>IF(ISERROR($G$1164),"",IF(ISBLANK($G$1164),"",$G$1164))</f>
        <v/>
      </c>
      <c r="AD1164" s="2">
        <f>IF(ISERROR($H$1164),"",IF(ISBLANK($H$1164),"",$H$1164))</f>
        <v/>
      </c>
      <c r="AE1164" s="2">
        <f>IF(ISERROR($I$1164),"",IF(ISBLANK($I$1164),"",$I$1164))</f>
        <v/>
      </c>
      <c r="AF1164" s="2">
        <f>IF(ISERROR($J$1164),"",IF(ISBLANK($J$1164),"",$J$1164))</f>
        <v/>
      </c>
      <c r="AG1164" s="2">
        <f>ISERROR($B$1164)*1+ISERROR($C$1164)*1+ISERROR($D$1164)*1+ISERROR($E$1164)*1+ISERROR($F$1164)*1+ISERROR($G$1164)*1+ISERROR($H$1164)*1+ISERROR($I$1164)*1+ISERROR($J$1164)*1</f>
        <v/>
      </c>
    </row>
    <row r="1165" ht="26" customHeight="1">
      <c r="B1165" s="35" t="inlineStr">
        <is>
          <t>uma nave sem nome atracou no anel externo à meia-noite</t>
        </is>
      </c>
      <c r="C1165" s="29" t="n"/>
      <c r="D1165" s="29" t="inlineStr">
        <is>
          <t>um controle de documentos surpresa no meio do caminho</t>
        </is>
      </c>
      <c r="E1165" s="29" t="inlineStr">
        <is>
          <t>um pedido de atracação de uma nave da Corporação</t>
        </is>
      </c>
      <c r="F1165" s="29" t="inlineStr">
        <is>
          <t>um batedor de carteiras leva algo importante</t>
        </is>
      </c>
      <c r="G1165" s="29" t="inlineStr">
        <is>
          <t>dá só informação incompleta: falta a parte mais importante</t>
        </is>
      </c>
      <c r="H1165" s="29" t="inlineStr">
        <is>
          <t>uma caixa de música dos Halovianos</t>
        </is>
      </c>
      <c r="I1165" s="29" t="inlineStr">
        <is>
          <t>Sim, mas…</t>
        </is>
      </c>
      <c r="J1165" s="29" t="n">
        <v>13</v>
      </c>
      <c r="K1165" s="19">
        <f>IF(AG1165&gt;0,"O Google leu como fórmula: digite de novo com ' na frente.","")</f>
        <v/>
      </c>
      <c r="N1165" s="2">
        <f>N1164+IF(LEN($X$1165)&gt;0,1,0)</f>
        <v/>
      </c>
      <c r="O1165" s="2">
        <f>O1164+IF(LEN($Y$1165)&gt;0,1,0)</f>
        <v/>
      </c>
      <c r="P1165" s="2">
        <f>P1164+IF(LEN($Z$1165)&gt;0,1,0)</f>
        <v/>
      </c>
      <c r="Q1165" s="2">
        <f>Q1164+IF(LEN($AA$1165)&gt;0,1,0)</f>
        <v/>
      </c>
      <c r="R1165" s="2">
        <f>R1164+IF(LEN($AB$1165)&gt;0,1,0)</f>
        <v/>
      </c>
      <c r="S1165" s="2">
        <f>S1164+IF(LEN($AC$1165)&gt;0,1,0)</f>
        <v/>
      </c>
      <c r="T1165" s="2">
        <f>T1164+IF(LEN($AD$1165)&gt;0,1,0)</f>
        <v/>
      </c>
      <c r="U1165" s="2">
        <f>U1164+IF(LEN($AE$1165)&gt;0,1,0)</f>
        <v/>
      </c>
      <c r="X1165" s="2">
        <f>IF(ISERROR($B$1165),"",IF(ISBLANK($B$1165),"",$B$1165))</f>
        <v/>
      </c>
      <c r="Y1165" s="2">
        <f>IF(ISERROR($C$1165),"",IF(ISBLANK($C$1165),"",$C$1165))</f>
        <v/>
      </c>
      <c r="Z1165" s="2">
        <f>IF(ISERROR($D$1165),"",IF(ISBLANK($D$1165),"",$D$1165))</f>
        <v/>
      </c>
      <c r="AA1165" s="2">
        <f>IF(ISERROR($E$1165),"",IF(ISBLANK($E$1165),"",$E$1165))</f>
        <v/>
      </c>
      <c r="AB1165" s="2">
        <f>IF(ISERROR($F$1165),"",IF(ISBLANK($F$1165),"",$F$1165))</f>
        <v/>
      </c>
      <c r="AC1165" s="2">
        <f>IF(ISERROR($G$1165),"",IF(ISBLANK($G$1165),"",$G$1165))</f>
        <v/>
      </c>
      <c r="AD1165" s="2">
        <f>IF(ISERROR($H$1165),"",IF(ISBLANK($H$1165),"",$H$1165))</f>
        <v/>
      </c>
      <c r="AE1165" s="2">
        <f>IF(ISERROR($I$1165),"",IF(ISBLANK($I$1165),"",$I$1165))</f>
        <v/>
      </c>
      <c r="AF1165" s="2">
        <f>IF(ISERROR($J$1165),"",IF(ISBLANK($J$1165),"",$J$1165))</f>
        <v/>
      </c>
      <c r="AG1165" s="2">
        <f>ISERROR($B$1165)*1+ISERROR($C$1165)*1+ISERROR($D$1165)*1+ISERROR($E$1165)*1+ISERROR($F$1165)*1+ISERROR($G$1165)*1+ISERROR($H$1165)*1+ISERROR($I$1165)*1+ISERROR($J$1165)*1</f>
        <v/>
      </c>
    </row>
    <row r="1166" ht="26" customHeight="1">
      <c r="B1166" s="33" t="inlineStr">
        <is>
          <t>alguém está pagando o dobro por mapas antigos</t>
        </is>
      </c>
      <c r="C1166" s="4" t="n"/>
      <c r="D1166" s="4" t="inlineStr">
        <is>
          <t>o combustível acaba antes do previsto</t>
        </is>
      </c>
      <c r="E1166" s="4" t="inlineStr">
        <is>
          <t>o casco é atingido por um pequeno meteoro</t>
        </is>
      </c>
      <c r="F1166" s="4" t="inlineStr">
        <is>
          <t>um prédio desaba e há gente presa</t>
        </is>
      </c>
      <c r="G1166" s="4" t="inlineStr">
        <is>
          <t>traz uma complicação nova: mais alguém se envolve</t>
        </is>
      </c>
      <c r="H1166" s="4" t="inlineStr">
        <is>
          <t>um frasco de água de um mundo que não existe mais</t>
        </is>
      </c>
      <c r="I1166" s="4" t="inlineStr">
        <is>
          <t>Sim</t>
        </is>
      </c>
      <c r="J1166" s="4" t="n">
        <v>17</v>
      </c>
      <c r="K1166" s="19">
        <f>IF(AG1166&gt;0,"O Google leu como fórmula: digite de novo com ' na frente.","")</f>
        <v/>
      </c>
      <c r="N1166" s="2">
        <f>N1165+IF(LEN($X$1166)&gt;0,1,0)</f>
        <v/>
      </c>
      <c r="O1166" s="2">
        <f>O1165+IF(LEN($Y$1166)&gt;0,1,0)</f>
        <v/>
      </c>
      <c r="P1166" s="2">
        <f>P1165+IF(LEN($Z$1166)&gt;0,1,0)</f>
        <v/>
      </c>
      <c r="Q1166" s="2">
        <f>Q1165+IF(LEN($AA$1166)&gt;0,1,0)</f>
        <v/>
      </c>
      <c r="R1166" s="2">
        <f>R1165+IF(LEN($AB$1166)&gt;0,1,0)</f>
        <v/>
      </c>
      <c r="S1166" s="2">
        <f>S1165+IF(LEN($AC$1166)&gt;0,1,0)</f>
        <v/>
      </c>
      <c r="T1166" s="2">
        <f>T1165+IF(LEN($AD$1166)&gt;0,1,0)</f>
        <v/>
      </c>
      <c r="U1166" s="2">
        <f>U1165+IF(LEN($AE$1166)&gt;0,1,0)</f>
        <v/>
      </c>
      <c r="X1166" s="2">
        <f>IF(ISERROR($B$1166),"",IF(ISBLANK($B$1166),"",$B$1166))</f>
        <v/>
      </c>
      <c r="Y1166" s="2">
        <f>IF(ISERROR($C$1166),"",IF(ISBLANK($C$1166),"",$C$1166))</f>
        <v/>
      </c>
      <c r="Z1166" s="2">
        <f>IF(ISERROR($D$1166),"",IF(ISBLANK($D$1166),"",$D$1166))</f>
        <v/>
      </c>
      <c r="AA1166" s="2">
        <f>IF(ISERROR($E$1166),"",IF(ISBLANK($E$1166),"",$E$1166))</f>
        <v/>
      </c>
      <c r="AB1166" s="2">
        <f>IF(ISERROR($F$1166),"",IF(ISBLANK($F$1166),"",$F$1166))</f>
        <v/>
      </c>
      <c r="AC1166" s="2">
        <f>IF(ISERROR($G$1166),"",IF(ISBLANK($G$1166),"",$G$1166))</f>
        <v/>
      </c>
      <c r="AD1166" s="2">
        <f>IF(ISERROR($H$1166),"",IF(ISBLANK($H$1166),"",$H$1166))</f>
        <v/>
      </c>
      <c r="AE1166" s="2">
        <f>IF(ISERROR($I$1166),"",IF(ISBLANK($I$1166),"",$I$1166))</f>
        <v/>
      </c>
      <c r="AF1166" s="2">
        <f>IF(ISERROR($J$1166),"",IF(ISBLANK($J$1166),"",$J$1166))</f>
        <v/>
      </c>
      <c r="AG1166" s="2">
        <f>ISERROR($B$1166)*1+ISERROR($C$1166)*1+ISERROR($D$1166)*1+ISERROR($E$1166)*1+ISERROR($F$1166)*1+ISERROR($G$1166)*1+ISERROR($H$1166)*1+ISERROR($I$1166)*1+ISERROR($J$1166)*1</f>
        <v/>
      </c>
    </row>
    <row r="1167" ht="37" customHeight="1">
      <c r="B1167" s="35" t="inlineStr">
        <is>
          <t>a Legião mandou um ultimato para uma vila vizinha</t>
        </is>
      </c>
      <c r="C1167" s="29" t="n"/>
      <c r="D1167" s="29" t="inlineStr">
        <is>
          <t>uma tempestade obriga a parar numa vila desconhecida</t>
        </is>
      </c>
      <c r="E1167" s="29" t="inlineStr">
        <is>
          <t>um farol de navegação transmite uma rota falsa</t>
        </is>
      </c>
      <c r="F1167" s="29" t="inlineStr">
        <is>
          <t>um leilão público de bens confiscados</t>
        </is>
      </c>
      <c r="G1167" s="29" t="inlineStr">
        <is>
          <t>custa um favor a um NPC</t>
        </is>
      </c>
      <c r="H1167" s="29" t="inlineStr">
        <is>
          <t>uma lâmina de jade com uma inscrição apagada</t>
        </is>
      </c>
      <c r="I1167" s="29" t="inlineStr">
        <is>
          <t>Sim, e…</t>
        </is>
      </c>
      <c r="J1167" s="29" t="inlineStr">
        <is>
          <t>acima</t>
        </is>
      </c>
      <c r="K1167" s="19">
        <f>IF(AG1167&gt;0,"O Google leu como fórmula: digite de novo com ' na frente.","")</f>
        <v/>
      </c>
      <c r="N1167" s="2">
        <f>N1166+IF(LEN($X$1167)&gt;0,1,0)</f>
        <v/>
      </c>
      <c r="O1167" s="2">
        <f>O1166+IF(LEN($Y$1167)&gt;0,1,0)</f>
        <v/>
      </c>
      <c r="P1167" s="2">
        <f>P1166+IF(LEN($Z$1167)&gt;0,1,0)</f>
        <v/>
      </c>
      <c r="Q1167" s="2">
        <f>Q1166+IF(LEN($AA$1167)&gt;0,1,0)</f>
        <v/>
      </c>
      <c r="R1167" s="2">
        <f>R1166+IF(LEN($AB$1167)&gt;0,1,0)</f>
        <v/>
      </c>
      <c r="S1167" s="2">
        <f>S1166+IF(LEN($AC$1167)&gt;0,1,0)</f>
        <v/>
      </c>
      <c r="T1167" s="2">
        <f>T1166+IF(LEN($AD$1167)&gt;0,1,0)</f>
        <v/>
      </c>
      <c r="U1167" s="2">
        <f>U1166+IF(LEN($AE$1167)&gt;0,1,0)</f>
        <v/>
      </c>
      <c r="X1167" s="2">
        <f>IF(ISERROR($B$1167),"",IF(ISBLANK($B$1167),"",$B$1167))</f>
        <v/>
      </c>
      <c r="Y1167" s="2">
        <f>IF(ISERROR($C$1167),"",IF(ISBLANK($C$1167),"",$C$1167))</f>
        <v/>
      </c>
      <c r="Z1167" s="2">
        <f>IF(ISERROR($D$1167),"",IF(ISBLANK($D$1167),"",$D$1167))</f>
        <v/>
      </c>
      <c r="AA1167" s="2">
        <f>IF(ISERROR($E$1167),"",IF(ISBLANK($E$1167),"",$E$1167))</f>
        <v/>
      </c>
      <c r="AB1167" s="2">
        <f>IF(ISERROR($F$1167),"",IF(ISBLANK($F$1167),"",$F$1167))</f>
        <v/>
      </c>
      <c r="AC1167" s="2">
        <f>IF(ISERROR($G$1167),"",IF(ISBLANK($G$1167),"",$G$1167))</f>
        <v/>
      </c>
      <c r="AD1167" s="2">
        <f>IF(ISERROR($H$1167),"",IF(ISBLANK($H$1167),"",$H$1167))</f>
        <v/>
      </c>
      <c r="AE1167" s="2">
        <f>IF(ISERROR($I$1167),"",IF(ISBLANK($I$1167),"",$I$1167))</f>
        <v/>
      </c>
      <c r="AF1167" s="2">
        <f>IF(ISERROR($J$1167),"",IF(ISBLANK($J$1167),"",$J$1167))</f>
        <v/>
      </c>
      <c r="AG1167" s="2">
        <f>ISERROR($B$1167)*1+ISERROR($C$1167)*1+ISERROR($D$1167)*1+ISERROR($E$1167)*1+ISERROR($F$1167)*1+ISERROR($G$1167)*1+ISERROR($H$1167)*1+ISERROR($I$1167)*1+ISERROR($J$1167)*1</f>
        <v/>
      </c>
    </row>
    <row r="1168" ht="26" customHeight="1">
      <c r="B1168" s="33" t="inlineStr">
        <is>
          <t>o lacre da mina velha foi aberto por dentro</t>
        </is>
      </c>
      <c r="C1168" s="4" t="n"/>
      <c r="D1168" s="4" t="inlineStr">
        <is>
          <t>um vendedor ambulante oferece um mapa curioso</t>
        </is>
      </c>
      <c r="E1168" s="4" t="inlineStr">
        <is>
          <t>catadores de sucata cercam a nave e pedem pedágio</t>
        </is>
      </c>
      <c r="F1168" s="4" t="inlineStr">
        <is>
          <t>uma briga de taverna envolve alguém conhecido</t>
        </is>
      </c>
      <c r="G1168" s="4" t="inlineStr">
        <is>
          <t>deixa um rastro que pode ser seguido</t>
        </is>
      </c>
      <c r="H1168" s="4" t="inlineStr">
        <is>
          <t>um diário de bordo antigo do Expresso Astral</t>
        </is>
      </c>
      <c r="I1168" s="4" t="n"/>
      <c r="J1168" s="4" t="n"/>
      <c r="K1168" s="19">
        <f>IF(AG1168&gt;0,"O Google leu como fórmula: digite de novo com ' na frente.","")</f>
        <v/>
      </c>
      <c r="N1168" s="2">
        <f>N1167+IF(LEN($X$1168)&gt;0,1,0)</f>
        <v/>
      </c>
      <c r="O1168" s="2">
        <f>O1167+IF(LEN($Y$1168)&gt;0,1,0)</f>
        <v/>
      </c>
      <c r="P1168" s="2">
        <f>P1167+IF(LEN($Z$1168)&gt;0,1,0)</f>
        <v/>
      </c>
      <c r="Q1168" s="2">
        <f>Q1167+IF(LEN($AA$1168)&gt;0,1,0)</f>
        <v/>
      </c>
      <c r="R1168" s="2">
        <f>R1167+IF(LEN($AB$1168)&gt;0,1,0)</f>
        <v/>
      </c>
      <c r="S1168" s="2">
        <f>S1167+IF(LEN($AC$1168)&gt;0,1,0)</f>
        <v/>
      </c>
      <c r="T1168" s="2">
        <f>T1167+IF(LEN($AD$1168)&gt;0,1,0)</f>
        <v/>
      </c>
      <c r="U1168" s="2">
        <f>U1167+IF(LEN($AE$1168)&gt;0,1,0)</f>
        <v/>
      </c>
      <c r="X1168" s="2">
        <f>IF(ISERROR($B$1168),"",IF(ISBLANK($B$1168),"",$B$1168))</f>
        <v/>
      </c>
      <c r="Y1168" s="2">
        <f>IF(ISERROR($C$1168),"",IF(ISBLANK($C$1168),"",$C$1168))</f>
        <v/>
      </c>
      <c r="Z1168" s="2">
        <f>IF(ISERROR($D$1168),"",IF(ISBLANK($D$1168),"",$D$1168))</f>
        <v/>
      </c>
      <c r="AA1168" s="2">
        <f>IF(ISERROR($E$1168),"",IF(ISBLANK($E$1168),"",$E$1168))</f>
        <v/>
      </c>
      <c r="AB1168" s="2">
        <f>IF(ISERROR($F$1168),"",IF(ISBLANK($F$1168),"",$F$1168))</f>
        <v/>
      </c>
      <c r="AC1168" s="2">
        <f>IF(ISERROR($G$1168),"",IF(ISBLANK($G$1168),"",$G$1168))</f>
        <v/>
      </c>
      <c r="AD1168" s="2">
        <f>IF(ISERROR($H$1168),"",IF(ISBLANK($H$1168),"",$H$1168))</f>
        <v/>
      </c>
      <c r="AE1168" s="2">
        <f>IF(ISERROR($I$1168),"",IF(ISBLANK($I$1168),"",$I$1168))</f>
        <v/>
      </c>
      <c r="AF1168" s="2">
        <f>IF(ISERROR($J$1168),"",IF(ISBLANK($J$1168),"",$J$1168))</f>
        <v/>
      </c>
      <c r="AG1168" s="2">
        <f>ISERROR($B$1168)*1+ISERROR($C$1168)*1+ISERROR($D$1168)*1+ISERROR($E$1168)*1+ISERROR($F$1168)*1+ISERROR($G$1168)*1+ISERROR($H$1168)*1+ISERROR($I$1168)*1+ISERROR($J$1168)*1</f>
        <v/>
      </c>
    </row>
    <row r="1169" ht="37" customHeight="1">
      <c r="B1169" s="35" t="inlineStr">
        <is>
          <t>a Corporação vai fechar o mercado na semana que vem</t>
        </is>
      </c>
      <c r="C1169" s="29" t="n"/>
      <c r="D1169" s="29" t="inlineStr">
        <is>
          <t>a bagagem de um personagem foi trocada</t>
        </is>
      </c>
      <c r="E1169" s="29" t="inlineStr">
        <is>
          <t>uma estação abandonada aparece onde não havia nada</t>
        </is>
      </c>
      <c r="F1169" s="29" t="inlineStr">
        <is>
          <t>a energia cai em metade da cidade</t>
        </is>
      </c>
      <c r="G1169" s="29" t="inlineStr">
        <is>
          <t>deixa o personagem exausto: ele chega por último à próxima cena</t>
        </is>
      </c>
      <c r="H1169" s="29" t="inlineStr">
        <is>
          <t>uma prótese antiga que ainda se mexe sozinha</t>
        </is>
      </c>
      <c r="I1169" s="29" t="n"/>
      <c r="J1169" s="29" t="n"/>
      <c r="K1169" s="19">
        <f>IF(AG1169&gt;0,"O Google leu como fórmula: digite de novo com ' na frente.","")</f>
        <v/>
      </c>
      <c r="N1169" s="2">
        <f>N1168+IF(LEN($X$1169)&gt;0,1,0)</f>
        <v/>
      </c>
      <c r="O1169" s="2">
        <f>O1168+IF(LEN($Y$1169)&gt;0,1,0)</f>
        <v/>
      </c>
      <c r="P1169" s="2">
        <f>P1168+IF(LEN($Z$1169)&gt;0,1,0)</f>
        <v/>
      </c>
      <c r="Q1169" s="2">
        <f>Q1168+IF(LEN($AA$1169)&gt;0,1,0)</f>
        <v/>
      </c>
      <c r="R1169" s="2">
        <f>R1168+IF(LEN($AB$1169)&gt;0,1,0)</f>
        <v/>
      </c>
      <c r="S1169" s="2">
        <f>S1168+IF(LEN($AC$1169)&gt;0,1,0)</f>
        <v/>
      </c>
      <c r="T1169" s="2">
        <f>T1168+IF(LEN($AD$1169)&gt;0,1,0)</f>
        <v/>
      </c>
      <c r="U1169" s="2">
        <f>U1168+IF(LEN($AE$1169)&gt;0,1,0)</f>
        <v/>
      </c>
      <c r="X1169" s="2">
        <f>IF(ISERROR($B$1169),"",IF(ISBLANK($B$1169),"",$B$1169))</f>
        <v/>
      </c>
      <c r="Y1169" s="2">
        <f>IF(ISERROR($C$1169),"",IF(ISBLANK($C$1169),"",$C$1169))</f>
        <v/>
      </c>
      <c r="Z1169" s="2">
        <f>IF(ISERROR($D$1169),"",IF(ISBLANK($D$1169),"",$D$1169))</f>
        <v/>
      </c>
      <c r="AA1169" s="2">
        <f>IF(ISERROR($E$1169),"",IF(ISBLANK($E$1169),"",$E$1169))</f>
        <v/>
      </c>
      <c r="AB1169" s="2">
        <f>IF(ISERROR($F$1169),"",IF(ISBLANK($F$1169),"",$F$1169))</f>
        <v/>
      </c>
      <c r="AC1169" s="2">
        <f>IF(ISERROR($G$1169),"",IF(ISBLANK($G$1169),"",$G$1169))</f>
        <v/>
      </c>
      <c r="AD1169" s="2">
        <f>IF(ISERROR($H$1169),"",IF(ISBLANK($H$1169),"",$H$1169))</f>
        <v/>
      </c>
      <c r="AE1169" s="2">
        <f>IF(ISERROR($I$1169),"",IF(ISBLANK($I$1169),"",$I$1169))</f>
        <v/>
      </c>
      <c r="AF1169" s="2">
        <f>IF(ISERROR($J$1169),"",IF(ISBLANK($J$1169),"",$J$1169))</f>
        <v/>
      </c>
      <c r="AG1169" s="2">
        <f>ISERROR($B$1169)*1+ISERROR($C$1169)*1+ISERROR($D$1169)*1+ISERROR($E$1169)*1+ISERROR($F$1169)*1+ISERROR($G$1169)*1+ISERROR($H$1169)*1+ISERROR($I$1169)*1+ISERROR($J$1169)*1</f>
        <v/>
      </c>
    </row>
    <row r="1170" ht="37" customHeight="1">
      <c r="B1170" s="33" t="inlineStr">
        <is>
          <t>há um Caçador de Stellaron hospedado na pensão da doca</t>
        </is>
      </c>
      <c r="C1170" s="4" t="n"/>
      <c r="D1170" s="4" t="inlineStr">
        <is>
          <t>um pedido de socorro numa frequência antiga</t>
        </is>
      </c>
      <c r="E1170" s="4" t="inlineStr">
        <is>
          <t>o sensor detecta um sinal fraco de Stellaron</t>
        </is>
      </c>
      <c r="F1170" s="4" t="inlineStr">
        <is>
          <t>um pregador acusa o grupo em praça pública</t>
        </is>
      </c>
      <c r="G1170" s="4" t="inlineStr">
        <is>
          <t>irrita um aliado</t>
        </is>
      </c>
      <c r="H1170" s="4" t="inlineStr">
        <is>
          <t>um selo da Corporação em branco</t>
        </is>
      </c>
      <c r="I1170" s="4" t="n"/>
      <c r="J1170" s="4" t="n"/>
      <c r="K1170" s="19">
        <f>IF(AG1170&gt;0,"O Google leu como fórmula: digite de novo com ' na frente.","")</f>
        <v/>
      </c>
      <c r="N1170" s="2">
        <f>N1169+IF(LEN($X$1170)&gt;0,1,0)</f>
        <v/>
      </c>
      <c r="O1170" s="2">
        <f>O1169+IF(LEN($Y$1170)&gt;0,1,0)</f>
        <v/>
      </c>
      <c r="P1170" s="2">
        <f>P1169+IF(LEN($Z$1170)&gt;0,1,0)</f>
        <v/>
      </c>
      <c r="Q1170" s="2">
        <f>Q1169+IF(LEN($AA$1170)&gt;0,1,0)</f>
        <v/>
      </c>
      <c r="R1170" s="2">
        <f>R1169+IF(LEN($AB$1170)&gt;0,1,0)</f>
        <v/>
      </c>
      <c r="S1170" s="2">
        <f>S1169+IF(LEN($AC$1170)&gt;0,1,0)</f>
        <v/>
      </c>
      <c r="T1170" s="2">
        <f>T1169+IF(LEN($AD$1170)&gt;0,1,0)</f>
        <v/>
      </c>
      <c r="U1170" s="2">
        <f>U1169+IF(LEN($AE$1170)&gt;0,1,0)</f>
        <v/>
      </c>
      <c r="X1170" s="2">
        <f>IF(ISERROR($B$1170),"",IF(ISBLANK($B$1170),"",$B$1170))</f>
        <v/>
      </c>
      <c r="Y1170" s="2">
        <f>IF(ISERROR($C$1170),"",IF(ISBLANK($C$1170),"",$C$1170))</f>
        <v/>
      </c>
      <c r="Z1170" s="2">
        <f>IF(ISERROR($D$1170),"",IF(ISBLANK($D$1170),"",$D$1170))</f>
        <v/>
      </c>
      <c r="AA1170" s="2">
        <f>IF(ISERROR($E$1170),"",IF(ISBLANK($E$1170),"",$E$1170))</f>
        <v/>
      </c>
      <c r="AB1170" s="2">
        <f>IF(ISERROR($F$1170),"",IF(ISBLANK($F$1170),"",$F$1170))</f>
        <v/>
      </c>
      <c r="AC1170" s="2">
        <f>IF(ISERROR($G$1170),"",IF(ISBLANK($G$1170),"",$G$1170))</f>
        <v/>
      </c>
      <c r="AD1170" s="2">
        <f>IF(ISERROR($H$1170),"",IF(ISBLANK($H$1170),"",$H$1170))</f>
        <v/>
      </c>
      <c r="AE1170" s="2">
        <f>IF(ISERROR($I$1170),"",IF(ISBLANK($I$1170),"",$I$1170))</f>
        <v/>
      </c>
      <c r="AF1170" s="2">
        <f>IF(ISERROR($J$1170),"",IF(ISBLANK($J$1170),"",$J$1170))</f>
        <v/>
      </c>
      <c r="AG1170" s="2">
        <f>ISERROR($B$1170)*1+ISERROR($C$1170)*1+ISERROR($D$1170)*1+ISERROR($E$1170)*1+ISERROR($F$1170)*1+ISERROR($G$1170)*1+ISERROR($H$1170)*1+ISERROR($I$1170)*1+ISERROR($J$1170)*1</f>
        <v/>
      </c>
    </row>
    <row r="1171" ht="26" customHeight="1">
      <c r="B1171" s="35" t="inlineStr">
        <is>
          <t>os autômatos de limpeza estão desenhando no chão</t>
        </is>
      </c>
      <c r="C1171" s="29" t="n"/>
      <c r="D1171" s="29" t="inlineStr">
        <is>
          <t>o piloto contratado some na escala</t>
        </is>
      </c>
      <c r="E1171" s="29" t="inlineStr">
        <is>
          <t>uma cápsula de fuga com alguém dormindo dentro</t>
        </is>
      </c>
      <c r="F1171" s="29" t="inlineStr">
        <is>
          <t>uma criança perdida segue o grupo</t>
        </is>
      </c>
      <c r="G1171" s="29" t="inlineStr">
        <is>
          <t>o equipamento quebra e precisa de conserto</t>
        </is>
      </c>
      <c r="H1171" s="29" t="inlineStr">
        <is>
          <t>um pedaço de casco de uma nave lendária</t>
        </is>
      </c>
      <c r="I1171" s="29" t="n"/>
      <c r="J1171" s="29" t="n"/>
      <c r="K1171" s="19">
        <f>IF(AG1171&gt;0,"O Google leu como fórmula: digite de novo com ' na frente.","")</f>
        <v/>
      </c>
      <c r="N1171" s="2">
        <f>N1170+IF(LEN($X$1171)&gt;0,1,0)</f>
        <v/>
      </c>
      <c r="O1171" s="2">
        <f>O1170+IF(LEN($Y$1171)&gt;0,1,0)</f>
        <v/>
      </c>
      <c r="P1171" s="2">
        <f>P1170+IF(LEN($Z$1171)&gt;0,1,0)</f>
        <v/>
      </c>
      <c r="Q1171" s="2">
        <f>Q1170+IF(LEN($AA$1171)&gt;0,1,0)</f>
        <v/>
      </c>
      <c r="R1171" s="2">
        <f>R1170+IF(LEN($AB$1171)&gt;0,1,0)</f>
        <v/>
      </c>
      <c r="S1171" s="2">
        <f>S1170+IF(LEN($AC$1171)&gt;0,1,0)</f>
        <v/>
      </c>
      <c r="T1171" s="2">
        <f>T1170+IF(LEN($AD$1171)&gt;0,1,0)</f>
        <v/>
      </c>
      <c r="U1171" s="2">
        <f>U1170+IF(LEN($AE$1171)&gt;0,1,0)</f>
        <v/>
      </c>
      <c r="X1171" s="2">
        <f>IF(ISERROR($B$1171),"",IF(ISBLANK($B$1171),"",$B$1171))</f>
        <v/>
      </c>
      <c r="Y1171" s="2">
        <f>IF(ISERROR($C$1171),"",IF(ISBLANK($C$1171),"",$C$1171))</f>
        <v/>
      </c>
      <c r="Z1171" s="2">
        <f>IF(ISERROR($D$1171),"",IF(ISBLANK($D$1171),"",$D$1171))</f>
        <v/>
      </c>
      <c r="AA1171" s="2">
        <f>IF(ISERROR($E$1171),"",IF(ISBLANK($E$1171),"",$E$1171))</f>
        <v/>
      </c>
      <c r="AB1171" s="2">
        <f>IF(ISERROR($F$1171),"",IF(ISBLANK($F$1171),"",$F$1171))</f>
        <v/>
      </c>
      <c r="AC1171" s="2">
        <f>IF(ISERROR($G$1171),"",IF(ISBLANK($G$1171),"",$G$1171))</f>
        <v/>
      </c>
      <c r="AD1171" s="2">
        <f>IF(ISERROR($H$1171),"",IF(ISBLANK($H$1171),"",$H$1171))</f>
        <v/>
      </c>
      <c r="AE1171" s="2">
        <f>IF(ISERROR($I$1171),"",IF(ISBLANK($I$1171),"",$I$1171))</f>
        <v/>
      </c>
      <c r="AF1171" s="2">
        <f>IF(ISERROR($J$1171),"",IF(ISBLANK($J$1171),"",$J$1171))</f>
        <v/>
      </c>
      <c r="AG1171" s="2">
        <f>ISERROR($B$1171)*1+ISERROR($C$1171)*1+ISERROR($D$1171)*1+ISERROR($E$1171)*1+ISERROR($F$1171)*1+ISERROR($G$1171)*1+ISERROR($H$1171)*1+ISERROR($I$1171)*1+ISERROR($J$1171)*1</f>
        <v/>
      </c>
    </row>
    <row r="1172" ht="26" customHeight="1">
      <c r="B1172" s="33" t="inlineStr">
        <is>
          <t>o poço da praça voltou a dar água, e a água é morna</t>
        </is>
      </c>
      <c r="C1172" s="4" t="n"/>
      <c r="D1172" s="4" t="inlineStr">
        <is>
          <t>uma ponte caiu e o desvio custa um dia</t>
        </is>
      </c>
      <c r="E1172" s="4" t="inlineStr">
        <is>
          <t>a gravidade de um planeta próximo puxa a rota</t>
        </is>
      </c>
      <c r="F1172" s="4" t="inlineStr">
        <is>
          <t>um festival fecha as ruas com fogos</t>
        </is>
      </c>
      <c r="G1172" s="4" t="inlineStr">
        <is>
          <t>dá certo, mas atrai a atenção de uma facção</t>
        </is>
      </c>
      <c r="H1172" s="4" t="inlineStr">
        <is>
          <t>uma semente de árvore de um planeta-jardim</t>
        </is>
      </c>
      <c r="I1172" s="4" t="n"/>
      <c r="J1172" s="4" t="n"/>
      <c r="K1172" s="19">
        <f>IF(AG1172&gt;0,"O Google leu como fórmula: digite de novo com ' na frente.","")</f>
        <v/>
      </c>
      <c r="N1172" s="2">
        <f>N1171+IF(LEN($X$1172)&gt;0,1,0)</f>
        <v/>
      </c>
      <c r="O1172" s="2">
        <f>O1171+IF(LEN($Y$1172)&gt;0,1,0)</f>
        <v/>
      </c>
      <c r="P1172" s="2">
        <f>P1171+IF(LEN($Z$1172)&gt;0,1,0)</f>
        <v/>
      </c>
      <c r="Q1172" s="2">
        <f>Q1171+IF(LEN($AA$1172)&gt;0,1,0)</f>
        <v/>
      </c>
      <c r="R1172" s="2">
        <f>R1171+IF(LEN($AB$1172)&gt;0,1,0)</f>
        <v/>
      </c>
      <c r="S1172" s="2">
        <f>S1171+IF(LEN($AC$1172)&gt;0,1,0)</f>
        <v/>
      </c>
      <c r="T1172" s="2">
        <f>T1171+IF(LEN($AD$1172)&gt;0,1,0)</f>
        <v/>
      </c>
      <c r="U1172" s="2">
        <f>U1171+IF(LEN($AE$1172)&gt;0,1,0)</f>
        <v/>
      </c>
      <c r="X1172" s="2">
        <f>IF(ISERROR($B$1172),"",IF(ISBLANK($B$1172),"",$B$1172))</f>
        <v/>
      </c>
      <c r="Y1172" s="2">
        <f>IF(ISERROR($C$1172),"",IF(ISBLANK($C$1172),"",$C$1172))</f>
        <v/>
      </c>
      <c r="Z1172" s="2">
        <f>IF(ISERROR($D$1172),"",IF(ISBLANK($D$1172),"",$D$1172))</f>
        <v/>
      </c>
      <c r="AA1172" s="2">
        <f>IF(ISERROR($E$1172),"",IF(ISBLANK($E$1172),"",$E$1172))</f>
        <v/>
      </c>
      <c r="AB1172" s="2">
        <f>IF(ISERROR($F$1172),"",IF(ISBLANK($F$1172),"",$F$1172))</f>
        <v/>
      </c>
      <c r="AC1172" s="2">
        <f>IF(ISERROR($G$1172),"",IF(ISBLANK($G$1172),"",$G$1172))</f>
        <v/>
      </c>
      <c r="AD1172" s="2">
        <f>IF(ISERROR($H$1172),"",IF(ISBLANK($H$1172),"",$H$1172))</f>
        <v/>
      </c>
      <c r="AE1172" s="2">
        <f>IF(ISERROR($I$1172),"",IF(ISBLANK($I$1172),"",$I$1172))</f>
        <v/>
      </c>
      <c r="AF1172" s="2">
        <f>IF(ISERROR($J$1172),"",IF(ISBLANK($J$1172),"",$J$1172))</f>
        <v/>
      </c>
      <c r="AG1172" s="2">
        <f>ISERROR($B$1172)*1+ISERROR($C$1172)*1+ISERROR($D$1172)*1+ISERROR($E$1172)*1+ISERROR($F$1172)*1+ISERROR($G$1172)*1+ISERROR($H$1172)*1+ISERROR($I$1172)*1+ISERROR($J$1172)*1</f>
        <v/>
      </c>
    </row>
    <row r="1173" ht="26" customHeight="1">
      <c r="B1173" s="35" t="inlineStr">
        <is>
          <t>um ex-soldado da Legião procura os antigos colegas</t>
        </is>
      </c>
      <c r="C1173" s="29" t="n"/>
      <c r="D1173" s="29" t="inlineStr">
        <is>
          <t>alguém da tripulação reconhece um personagem</t>
        </is>
      </c>
      <c r="E1173" s="29" t="inlineStr">
        <is>
          <t>uma frota da Legião passa em formação</t>
        </is>
      </c>
      <c r="F1173" s="29" t="inlineStr">
        <is>
          <t>um incêndio começa numa fábrica de tecidos</t>
        </is>
      </c>
      <c r="G1173" s="29" t="inlineStr">
        <is>
          <t>dá certo, mas outra pessoa leva o crédito</t>
        </is>
      </c>
      <c r="H1173" s="29" t="inlineStr">
        <is>
          <t>uma máscara de Tolo usada em cena</t>
        </is>
      </c>
      <c r="I1173" s="29" t="n"/>
      <c r="J1173" s="29" t="n"/>
      <c r="K1173" s="19">
        <f>IF(AG1173&gt;0,"O Google leu como fórmula: digite de novo com ' na frente.","")</f>
        <v/>
      </c>
      <c r="N1173" s="2">
        <f>N1172+IF(LEN($X$1173)&gt;0,1,0)</f>
        <v/>
      </c>
      <c r="O1173" s="2">
        <f>O1172+IF(LEN($Y$1173)&gt;0,1,0)</f>
        <v/>
      </c>
      <c r="P1173" s="2">
        <f>P1172+IF(LEN($Z$1173)&gt;0,1,0)</f>
        <v/>
      </c>
      <c r="Q1173" s="2">
        <f>Q1172+IF(LEN($AA$1173)&gt;0,1,0)</f>
        <v/>
      </c>
      <c r="R1173" s="2">
        <f>R1172+IF(LEN($AB$1173)&gt;0,1,0)</f>
        <v/>
      </c>
      <c r="S1173" s="2">
        <f>S1172+IF(LEN($AC$1173)&gt;0,1,0)</f>
        <v/>
      </c>
      <c r="T1173" s="2">
        <f>T1172+IF(LEN($AD$1173)&gt;0,1,0)</f>
        <v/>
      </c>
      <c r="U1173" s="2">
        <f>U1172+IF(LEN($AE$1173)&gt;0,1,0)</f>
        <v/>
      </c>
      <c r="X1173" s="2">
        <f>IF(ISERROR($B$1173),"",IF(ISBLANK($B$1173),"",$B$1173))</f>
        <v/>
      </c>
      <c r="Y1173" s="2">
        <f>IF(ISERROR($C$1173),"",IF(ISBLANK($C$1173),"",$C$1173))</f>
        <v/>
      </c>
      <c r="Z1173" s="2">
        <f>IF(ISERROR($D$1173),"",IF(ISBLANK($D$1173),"",$D$1173))</f>
        <v/>
      </c>
      <c r="AA1173" s="2">
        <f>IF(ISERROR($E$1173),"",IF(ISBLANK($E$1173),"",$E$1173))</f>
        <v/>
      </c>
      <c r="AB1173" s="2">
        <f>IF(ISERROR($F$1173),"",IF(ISBLANK($F$1173),"",$F$1173))</f>
        <v/>
      </c>
      <c r="AC1173" s="2">
        <f>IF(ISERROR($G$1173),"",IF(ISBLANK($G$1173),"",$G$1173))</f>
        <v/>
      </c>
      <c r="AD1173" s="2">
        <f>IF(ISERROR($H$1173),"",IF(ISBLANK($H$1173),"",$H$1173))</f>
        <v/>
      </c>
      <c r="AE1173" s="2">
        <f>IF(ISERROR($I$1173),"",IF(ISBLANK($I$1173),"",$I$1173))</f>
        <v/>
      </c>
      <c r="AF1173" s="2">
        <f>IF(ISERROR($J$1173),"",IF(ISBLANK($J$1173),"",$J$1173))</f>
        <v/>
      </c>
      <c r="AG1173" s="2">
        <f>ISERROR($B$1173)*1+ISERROR($C$1173)*1+ISERROR($D$1173)*1+ISERROR($E$1173)*1+ISERROR($F$1173)*1+ISERROR($G$1173)*1+ISERROR($H$1173)*1+ISERROR($I$1173)*1+ISERROR($J$1173)*1</f>
        <v/>
      </c>
    </row>
    <row r="1174" ht="37" customHeight="1">
      <c r="B1174" s="33" t="inlineStr">
        <is>
          <t>o Expresso Astral foi visto parado numa estação que não existe</t>
        </is>
      </c>
      <c r="C1174" s="4" t="n"/>
      <c r="D1174" s="4" t="inlineStr">
        <is>
          <t>o motor faz um barulho novo</t>
        </is>
      </c>
      <c r="E1174" s="4" t="inlineStr">
        <is>
          <t>um sinal de socorro gravado há décadas</t>
        </is>
      </c>
      <c r="F1174" s="4" t="inlineStr">
        <is>
          <t>um mensageiro entrega um convite anônimo</t>
        </is>
      </c>
      <c r="G1174" s="4" t="inlineStr">
        <is>
          <t>dá certo pela metade, e é preciso voltar depois</t>
        </is>
      </c>
      <c r="H1174" s="4" t="inlineStr">
        <is>
          <t>um cristal que guarda uma voz</t>
        </is>
      </c>
      <c r="I1174" s="4" t="n"/>
      <c r="J1174" s="4" t="n"/>
      <c r="K1174" s="19">
        <f>IF(AG1174&gt;0,"O Google leu como fórmula: digite de novo com ' na frente.","")</f>
        <v/>
      </c>
      <c r="N1174" s="2">
        <f>N1173+IF(LEN($X$1174)&gt;0,1,0)</f>
        <v/>
      </c>
      <c r="O1174" s="2">
        <f>O1173+IF(LEN($Y$1174)&gt;0,1,0)</f>
        <v/>
      </c>
      <c r="P1174" s="2">
        <f>P1173+IF(LEN($Z$1174)&gt;0,1,0)</f>
        <v/>
      </c>
      <c r="Q1174" s="2">
        <f>Q1173+IF(LEN($AA$1174)&gt;0,1,0)</f>
        <v/>
      </c>
      <c r="R1174" s="2">
        <f>R1173+IF(LEN($AB$1174)&gt;0,1,0)</f>
        <v/>
      </c>
      <c r="S1174" s="2">
        <f>S1173+IF(LEN($AC$1174)&gt;0,1,0)</f>
        <v/>
      </c>
      <c r="T1174" s="2">
        <f>T1173+IF(LEN($AD$1174)&gt;0,1,0)</f>
        <v/>
      </c>
      <c r="U1174" s="2">
        <f>U1173+IF(LEN($AE$1174)&gt;0,1,0)</f>
        <v/>
      </c>
      <c r="X1174" s="2">
        <f>IF(ISERROR($B$1174),"",IF(ISBLANK($B$1174),"",$B$1174))</f>
        <v/>
      </c>
      <c r="Y1174" s="2">
        <f>IF(ISERROR($C$1174),"",IF(ISBLANK($C$1174),"",$C$1174))</f>
        <v/>
      </c>
      <c r="Z1174" s="2">
        <f>IF(ISERROR($D$1174),"",IF(ISBLANK($D$1174),"",$D$1174))</f>
        <v/>
      </c>
      <c r="AA1174" s="2">
        <f>IF(ISERROR($E$1174),"",IF(ISBLANK($E$1174),"",$E$1174))</f>
        <v/>
      </c>
      <c r="AB1174" s="2">
        <f>IF(ISERROR($F$1174),"",IF(ISBLANK($F$1174),"",$F$1174))</f>
        <v/>
      </c>
      <c r="AC1174" s="2">
        <f>IF(ISERROR($G$1174),"",IF(ISBLANK($G$1174),"",$G$1174))</f>
        <v/>
      </c>
      <c r="AD1174" s="2">
        <f>IF(ISERROR($H$1174),"",IF(ISBLANK($H$1174),"",$H$1174))</f>
        <v/>
      </c>
      <c r="AE1174" s="2">
        <f>IF(ISERROR($I$1174),"",IF(ISBLANK($I$1174),"",$I$1174))</f>
        <v/>
      </c>
      <c r="AF1174" s="2">
        <f>IF(ISERROR($J$1174),"",IF(ISBLANK($J$1174),"",$J$1174))</f>
        <v/>
      </c>
      <c r="AG1174" s="2">
        <f>ISERROR($B$1174)*1+ISERROR($C$1174)*1+ISERROR($D$1174)*1+ISERROR($E$1174)*1+ISERROR($F$1174)*1+ISERROR($G$1174)*1+ISERROR($H$1174)*1+ISERROR($I$1174)*1+ISERROR($J$1174)*1</f>
        <v/>
      </c>
    </row>
    <row r="1175" ht="26" customHeight="1">
      <c r="B1175" s="8" t="inlineStr">
        <is>
          <t>Rumor</t>
        </is>
      </c>
      <c r="C1175" s="8" t="inlineStr">
        <is>
          <t>Veracidade do rumor (peso)</t>
        </is>
      </c>
      <c r="D1175" s="8" t="inlineStr">
        <is>
          <t>Evento de viagem</t>
        </is>
      </c>
      <c r="E1175" s="8" t="inlineStr">
        <is>
          <t>Evento no espaço</t>
        </is>
      </c>
      <c r="F1175" s="8" t="inlineStr">
        <is>
          <t>Evento na cidade</t>
        </is>
      </c>
      <c r="G1175" s="8" t="inlineStr">
        <is>
          <t>Falhe para frente: o custo</t>
        </is>
      </c>
      <c r="H1175" s="8" t="inlineStr">
        <is>
          <t>Item fora do comum (loja)</t>
        </is>
      </c>
      <c r="I1175" s="8" t="inlineStr">
        <is>
          <t>Oráculo: resposta</t>
        </is>
      </c>
      <c r="J1175" s="8" t="inlineStr">
        <is>
          <t>Oráculo: até (d20 + modificador)</t>
        </is>
      </c>
      <c r="N1175" s="2">
        <f>N1174</f>
        <v/>
      </c>
      <c r="O1175" s="2">
        <f>O1174</f>
        <v/>
      </c>
      <c r="P1175" s="2">
        <f>P1174</f>
        <v/>
      </c>
      <c r="Q1175" s="2">
        <f>Q1174</f>
        <v/>
      </c>
      <c r="R1175" s="2">
        <f>R1174</f>
        <v/>
      </c>
      <c r="S1175" s="2">
        <f>S1174</f>
        <v/>
      </c>
      <c r="T1175" s="2">
        <f>T1174</f>
        <v/>
      </c>
      <c r="U1175" s="2">
        <f>U1174</f>
        <v/>
      </c>
      <c r="X1175" s="2">
        <f>IF(ISERROR($B$1175),"",IF(ISBLANK($B$1175),"",$B$1175))</f>
        <v/>
      </c>
      <c r="Y1175" s="2">
        <f>IF(ISERROR($C$1175),"",IF(ISBLANK($C$1175),"",$C$1175))</f>
        <v/>
      </c>
      <c r="Z1175" s="2">
        <f>IF(ISERROR($D$1175),"",IF(ISBLANK($D$1175),"",$D$1175))</f>
        <v/>
      </c>
      <c r="AA1175" s="2">
        <f>IF(ISERROR($E$1175),"",IF(ISBLANK($E$1175),"",$E$1175))</f>
        <v/>
      </c>
      <c r="AB1175" s="2">
        <f>IF(ISERROR($F$1175),"",IF(ISBLANK($F$1175),"",$F$1175))</f>
        <v/>
      </c>
      <c r="AC1175" s="2">
        <f>IF(ISERROR($G$1175),"",IF(ISBLANK($G$1175),"",$G$1175))</f>
        <v/>
      </c>
      <c r="AD1175" s="2">
        <f>IF(ISERROR($H$1175),"",IF(ISBLANK($H$1175),"",$H$1175))</f>
        <v/>
      </c>
      <c r="AE1175" s="2">
        <f>IF(ISERROR($I$1175),"",IF(ISBLANK($I$1175),"",$I$1175))</f>
        <v/>
      </c>
      <c r="AF1175" s="2">
        <f>IF(ISERROR($J$1175),"",IF(ISBLANK($J$1175),"",$J$1175))</f>
        <v/>
      </c>
    </row>
    <row r="1176" ht="37" customHeight="1">
      <c r="B1176" s="33" t="inlineStr">
        <is>
          <t>a filha do prefeito fugiu com um piloto</t>
        </is>
      </c>
      <c r="C1176" s="4" t="n"/>
      <c r="D1176" s="4" t="inlineStr">
        <is>
          <t>um animal de carga se recusa a seguir</t>
        </is>
      </c>
      <c r="E1176" s="4" t="inlineStr">
        <is>
          <t>falha no suprimento de ar de um compartimento</t>
        </is>
      </c>
      <c r="F1176" s="4" t="inlineStr">
        <is>
          <t>um cobrador procura alguém com o nome de um personagem</t>
        </is>
      </c>
      <c r="G1176" s="4" t="inlineStr">
        <is>
          <t>o grupo perde a surpresa na próxima cena</t>
        </is>
      </c>
      <c r="H1176" s="4" t="inlineStr">
        <is>
          <t>um chip de memória de um Intellitron</t>
        </is>
      </c>
      <c r="I1176" s="4" t="n"/>
      <c r="J1176" s="4" t="n"/>
      <c r="K1176" s="19">
        <f>IF(AG1176&gt;0,"O Google leu como fórmula: digite de novo com ' na frente.","")</f>
        <v/>
      </c>
      <c r="N1176" s="2">
        <f>N1175+IF(LEN($X$1176)&gt;0,1,0)</f>
        <v/>
      </c>
      <c r="O1176" s="2">
        <f>O1175+IF(LEN($Y$1176)&gt;0,1,0)</f>
        <v/>
      </c>
      <c r="P1176" s="2">
        <f>P1175+IF(LEN($Z$1176)&gt;0,1,0)</f>
        <v/>
      </c>
      <c r="Q1176" s="2">
        <f>Q1175+IF(LEN($AA$1176)&gt;0,1,0)</f>
        <v/>
      </c>
      <c r="R1176" s="2">
        <f>R1175+IF(LEN($AB$1176)&gt;0,1,0)</f>
        <v/>
      </c>
      <c r="S1176" s="2">
        <f>S1175+IF(LEN($AC$1176)&gt;0,1,0)</f>
        <v/>
      </c>
      <c r="T1176" s="2">
        <f>T1175+IF(LEN($AD$1176)&gt;0,1,0)</f>
        <v/>
      </c>
      <c r="U1176" s="2">
        <f>U1175+IF(LEN($AE$1176)&gt;0,1,0)</f>
        <v/>
      </c>
      <c r="X1176" s="2">
        <f>IF(ISERROR($B$1176),"",IF(ISBLANK($B$1176),"",$B$1176))</f>
        <v/>
      </c>
      <c r="Y1176" s="2">
        <f>IF(ISERROR($C$1176),"",IF(ISBLANK($C$1176),"",$C$1176))</f>
        <v/>
      </c>
      <c r="Z1176" s="2">
        <f>IF(ISERROR($D$1176),"",IF(ISBLANK($D$1176),"",$D$1176))</f>
        <v/>
      </c>
      <c r="AA1176" s="2">
        <f>IF(ISERROR($E$1176),"",IF(ISBLANK($E$1176),"",$E$1176))</f>
        <v/>
      </c>
      <c r="AB1176" s="2">
        <f>IF(ISERROR($F$1176),"",IF(ISBLANK($F$1176),"",$F$1176))</f>
        <v/>
      </c>
      <c r="AC1176" s="2">
        <f>IF(ISERROR($G$1176),"",IF(ISBLANK($G$1176),"",$G$1176))</f>
        <v/>
      </c>
      <c r="AD1176" s="2">
        <f>IF(ISERROR($H$1176),"",IF(ISBLANK($H$1176),"",$H$1176))</f>
        <v/>
      </c>
      <c r="AE1176" s="2">
        <f>IF(ISERROR($I$1176),"",IF(ISBLANK($I$1176),"",$I$1176))</f>
        <v/>
      </c>
      <c r="AF1176" s="2">
        <f>IF(ISERROR($J$1176),"",IF(ISBLANK($J$1176),"",$J$1176))</f>
        <v/>
      </c>
      <c r="AG1176" s="2">
        <f>ISERROR($B$1176)*1+ISERROR($C$1176)*1+ISERROR($D$1176)*1+ISERROR($E$1176)*1+ISERROR($F$1176)*1+ISERROR($G$1176)*1+ISERROR($H$1176)*1+ISERROR($I$1176)*1+ISERROR($J$1176)*1</f>
        <v/>
      </c>
    </row>
    <row r="1177" ht="26" customHeight="1">
      <c r="B1177" s="35" t="inlineStr">
        <is>
          <t>o arquivo da cidade pegou fogo, menos uma prateleira</t>
        </is>
      </c>
      <c r="C1177" s="29" t="n"/>
      <c r="D1177" s="29" t="inlineStr">
        <is>
          <t>uma patrulha pede para revistar a carga</t>
        </is>
      </c>
      <c r="E1177" s="29" t="inlineStr">
        <is>
          <t>uma nave da Frota de Jade pede identificação</t>
        </is>
      </c>
      <c r="F1177" s="29" t="inlineStr">
        <is>
          <t>os sinos tocam o alarme sem motivo aparente</t>
        </is>
      </c>
      <c r="G1177" s="29" t="inlineStr">
        <is>
          <t>a porta abre, mas fica aberta para os outros também</t>
        </is>
      </c>
      <c r="H1177" s="29" t="inlineStr">
        <is>
          <t>o cachimbo de um capitão aposentado</t>
        </is>
      </c>
      <c r="I1177" s="29" t="n"/>
      <c r="J1177" s="29" t="n"/>
      <c r="K1177" s="19">
        <f>IF(AG1177&gt;0,"O Google leu como fórmula: digite de novo com ' na frente.","")</f>
        <v/>
      </c>
      <c r="N1177" s="2">
        <f>N1176+IF(LEN($X$1177)&gt;0,1,0)</f>
        <v/>
      </c>
      <c r="O1177" s="2">
        <f>O1176+IF(LEN($Y$1177)&gt;0,1,0)</f>
        <v/>
      </c>
      <c r="P1177" s="2">
        <f>P1176+IF(LEN($Z$1177)&gt;0,1,0)</f>
        <v/>
      </c>
      <c r="Q1177" s="2">
        <f>Q1176+IF(LEN($AA$1177)&gt;0,1,0)</f>
        <v/>
      </c>
      <c r="R1177" s="2">
        <f>R1176+IF(LEN($AB$1177)&gt;0,1,0)</f>
        <v/>
      </c>
      <c r="S1177" s="2">
        <f>S1176+IF(LEN($AC$1177)&gt;0,1,0)</f>
        <v/>
      </c>
      <c r="T1177" s="2">
        <f>T1176+IF(LEN($AD$1177)&gt;0,1,0)</f>
        <v/>
      </c>
      <c r="U1177" s="2">
        <f>U1176+IF(LEN($AE$1177)&gt;0,1,0)</f>
        <v/>
      </c>
      <c r="X1177" s="2">
        <f>IF(ISERROR($B$1177),"",IF(ISBLANK($B$1177),"",$B$1177))</f>
        <v/>
      </c>
      <c r="Y1177" s="2">
        <f>IF(ISERROR($C$1177),"",IF(ISBLANK($C$1177),"",$C$1177))</f>
        <v/>
      </c>
      <c r="Z1177" s="2">
        <f>IF(ISERROR($D$1177),"",IF(ISBLANK($D$1177),"",$D$1177))</f>
        <v/>
      </c>
      <c r="AA1177" s="2">
        <f>IF(ISERROR($E$1177),"",IF(ISBLANK($E$1177),"",$E$1177))</f>
        <v/>
      </c>
      <c r="AB1177" s="2">
        <f>IF(ISERROR($F$1177),"",IF(ISBLANK($F$1177),"",$F$1177))</f>
        <v/>
      </c>
      <c r="AC1177" s="2">
        <f>IF(ISERROR($G$1177),"",IF(ISBLANK($G$1177),"",$G$1177))</f>
        <v/>
      </c>
      <c r="AD1177" s="2">
        <f>IF(ISERROR($H$1177),"",IF(ISBLANK($H$1177),"",$H$1177))</f>
        <v/>
      </c>
      <c r="AE1177" s="2">
        <f>IF(ISERROR($I$1177),"",IF(ISBLANK($I$1177),"",$I$1177))</f>
        <v/>
      </c>
      <c r="AF1177" s="2">
        <f>IF(ISERROR($J$1177),"",IF(ISBLANK($J$1177),"",$J$1177))</f>
        <v/>
      </c>
      <c r="AG1177" s="2">
        <f>ISERROR($B$1177)*1+ISERROR($C$1177)*1+ISERROR($D$1177)*1+ISERROR($E$1177)*1+ISERROR($F$1177)*1+ISERROR($G$1177)*1+ISERROR($H$1177)*1+ISERROR($I$1177)*1+ISERROR($J$1177)*1</f>
        <v/>
      </c>
    </row>
    <row r="1178" ht="26" customHeight="1">
      <c r="B1178" s="33" t="inlineStr">
        <is>
          <t>a rádio pirata vai revelar um nome hoje à noite</t>
        </is>
      </c>
      <c r="C1178" s="4" t="n"/>
      <c r="D1178" s="4" t="inlineStr">
        <is>
          <t>a comida estraga na metade da viagem</t>
        </is>
      </c>
      <c r="E1178" s="4" t="inlineStr">
        <is>
          <t>o reator dá sinais de superaquecimento</t>
        </is>
      </c>
      <c r="F1178" s="4" t="inlineStr">
        <is>
          <t>uma greve para o transporte público</t>
        </is>
      </c>
      <c r="G1178" s="4" t="inlineStr">
        <is>
          <t>dá certo, mas em troca de uma promessa</t>
        </is>
      </c>
      <c r="H1178" s="4" t="inlineStr">
        <is>
          <t>o sino do templo de uma nave-cidade</t>
        </is>
      </c>
      <c r="I1178" s="4" t="n"/>
      <c r="J1178" s="4" t="n"/>
      <c r="K1178" s="19">
        <f>IF(AG1178&gt;0,"O Google leu como fórmula: digite de novo com ' na frente.","")</f>
        <v/>
      </c>
      <c r="N1178" s="2">
        <f>N1177+IF(LEN($X$1178)&gt;0,1,0)</f>
        <v/>
      </c>
      <c r="O1178" s="2">
        <f>O1177+IF(LEN($Y$1178)&gt;0,1,0)</f>
        <v/>
      </c>
      <c r="P1178" s="2">
        <f>P1177+IF(LEN($Z$1178)&gt;0,1,0)</f>
        <v/>
      </c>
      <c r="Q1178" s="2">
        <f>Q1177+IF(LEN($AA$1178)&gt;0,1,0)</f>
        <v/>
      </c>
      <c r="R1178" s="2">
        <f>R1177+IF(LEN($AB$1178)&gt;0,1,0)</f>
        <v/>
      </c>
      <c r="S1178" s="2">
        <f>S1177+IF(LEN($AC$1178)&gt;0,1,0)</f>
        <v/>
      </c>
      <c r="T1178" s="2">
        <f>T1177+IF(LEN($AD$1178)&gt;0,1,0)</f>
        <v/>
      </c>
      <c r="U1178" s="2">
        <f>U1177+IF(LEN($AE$1178)&gt;0,1,0)</f>
        <v/>
      </c>
      <c r="X1178" s="2">
        <f>IF(ISERROR($B$1178),"",IF(ISBLANK($B$1178),"",$B$1178))</f>
        <v/>
      </c>
      <c r="Y1178" s="2">
        <f>IF(ISERROR($C$1178),"",IF(ISBLANK($C$1178),"",$C$1178))</f>
        <v/>
      </c>
      <c r="Z1178" s="2">
        <f>IF(ISERROR($D$1178),"",IF(ISBLANK($D$1178),"",$D$1178))</f>
        <v/>
      </c>
      <c r="AA1178" s="2">
        <f>IF(ISERROR($E$1178),"",IF(ISBLANK($E$1178),"",$E$1178))</f>
        <v/>
      </c>
      <c r="AB1178" s="2">
        <f>IF(ISERROR($F$1178),"",IF(ISBLANK($F$1178),"",$F$1178))</f>
        <v/>
      </c>
      <c r="AC1178" s="2">
        <f>IF(ISERROR($G$1178),"",IF(ISBLANK($G$1178),"",$G$1178))</f>
        <v/>
      </c>
      <c r="AD1178" s="2">
        <f>IF(ISERROR($H$1178),"",IF(ISBLANK($H$1178),"",$H$1178))</f>
        <v/>
      </c>
      <c r="AE1178" s="2">
        <f>IF(ISERROR($I$1178),"",IF(ISBLANK($I$1178),"",$I$1178))</f>
        <v/>
      </c>
      <c r="AF1178" s="2">
        <f>IF(ISERROR($J$1178),"",IF(ISBLANK($J$1178),"",$J$1178))</f>
        <v/>
      </c>
      <c r="AG1178" s="2">
        <f>ISERROR($B$1178)*1+ISERROR($C$1178)*1+ISERROR($D$1178)*1+ISERROR($E$1178)*1+ISERROR($F$1178)*1+ISERROR($G$1178)*1+ISERROR($H$1178)*1+ISERROR($I$1178)*1+ISERROR($J$1178)*1</f>
        <v/>
      </c>
    </row>
    <row r="1179" ht="26" customHeight="1">
      <c r="B1179" s="35" t="inlineStr">
        <is>
          <t>os mineiros acharam uma porta no fundo do túnel</t>
        </is>
      </c>
      <c r="C1179" s="29" t="n"/>
      <c r="D1179" s="29" t="inlineStr">
        <is>
          <t>um mapa antigo mostra um atalho que não deveria existir</t>
        </is>
      </c>
      <c r="E1179" s="29" t="inlineStr">
        <is>
          <t>um cardume de criaturas do vácuo cruza a rota</t>
        </is>
      </c>
      <c r="F1179" s="29" t="inlineStr">
        <is>
          <t>um comerciante oferece um negócio bom demais</t>
        </is>
      </c>
      <c r="G1179" s="29" t="inlineStr">
        <is>
          <t>a pista leva a um lugar mais perigoso</t>
        </is>
      </c>
      <c r="H1179" s="29" t="inlineStr">
        <is>
          <t>uma carta de baralho com o rosto de um personagem</t>
        </is>
      </c>
      <c r="I1179" s="29" t="n"/>
      <c r="J1179" s="29" t="n"/>
      <c r="K1179" s="19">
        <f>IF(AG1179&gt;0,"O Google leu como fórmula: digite de novo com ' na frente.","")</f>
        <v/>
      </c>
      <c r="N1179" s="2">
        <f>N1178+IF(LEN($X$1179)&gt;0,1,0)</f>
        <v/>
      </c>
      <c r="O1179" s="2">
        <f>O1178+IF(LEN($Y$1179)&gt;0,1,0)</f>
        <v/>
      </c>
      <c r="P1179" s="2">
        <f>P1178+IF(LEN($Z$1179)&gt;0,1,0)</f>
        <v/>
      </c>
      <c r="Q1179" s="2">
        <f>Q1178+IF(LEN($AA$1179)&gt;0,1,0)</f>
        <v/>
      </c>
      <c r="R1179" s="2">
        <f>R1178+IF(LEN($AB$1179)&gt;0,1,0)</f>
        <v/>
      </c>
      <c r="S1179" s="2">
        <f>S1178+IF(LEN($AC$1179)&gt;0,1,0)</f>
        <v/>
      </c>
      <c r="T1179" s="2">
        <f>T1178+IF(LEN($AD$1179)&gt;0,1,0)</f>
        <v/>
      </c>
      <c r="U1179" s="2">
        <f>U1178+IF(LEN($AE$1179)&gt;0,1,0)</f>
        <v/>
      </c>
      <c r="X1179" s="2">
        <f>IF(ISERROR($B$1179),"",IF(ISBLANK($B$1179),"",$B$1179))</f>
        <v/>
      </c>
      <c r="Y1179" s="2">
        <f>IF(ISERROR($C$1179),"",IF(ISBLANK($C$1179),"",$C$1179))</f>
        <v/>
      </c>
      <c r="Z1179" s="2">
        <f>IF(ISERROR($D$1179),"",IF(ISBLANK($D$1179),"",$D$1179))</f>
        <v/>
      </c>
      <c r="AA1179" s="2">
        <f>IF(ISERROR($E$1179),"",IF(ISBLANK($E$1179),"",$E$1179))</f>
        <v/>
      </c>
      <c r="AB1179" s="2">
        <f>IF(ISERROR($F$1179),"",IF(ISBLANK($F$1179),"",$F$1179))</f>
        <v/>
      </c>
      <c r="AC1179" s="2">
        <f>IF(ISERROR($G$1179),"",IF(ISBLANK($G$1179),"",$G$1179))</f>
        <v/>
      </c>
      <c r="AD1179" s="2">
        <f>IF(ISERROR($H$1179),"",IF(ISBLANK($H$1179),"",$H$1179))</f>
        <v/>
      </c>
      <c r="AE1179" s="2">
        <f>IF(ISERROR($I$1179),"",IF(ISBLANK($I$1179),"",$I$1179))</f>
        <v/>
      </c>
      <c r="AF1179" s="2">
        <f>IF(ISERROR($J$1179),"",IF(ISBLANK($J$1179),"",$J$1179))</f>
        <v/>
      </c>
      <c r="AG1179" s="2">
        <f>ISERROR($B$1179)*1+ISERROR($C$1179)*1+ISERROR($D$1179)*1+ISERROR($E$1179)*1+ISERROR($F$1179)*1+ISERROR($G$1179)*1+ISERROR($H$1179)*1+ISERROR($I$1179)*1+ISERROR($J$1179)*1</f>
        <v/>
      </c>
    </row>
    <row r="1180" ht="26" customHeight="1">
      <c r="B1180" s="33" t="inlineStr">
        <is>
          <t>o chefe da guarda deve dinheiro a todo mundo</t>
        </is>
      </c>
      <c r="C1180" s="4" t="n"/>
      <c r="D1180" s="4" t="inlineStr">
        <is>
          <t>um carona oferece pagar a passagem com uma história</t>
        </is>
      </c>
      <c r="E1180" s="4" t="inlineStr">
        <is>
          <t>uma baliza de quarentena avisa para não seguir</t>
        </is>
      </c>
      <c r="F1180" s="4" t="inlineStr">
        <is>
          <t>um autômato de rua começa a seguir o grupo</t>
        </is>
      </c>
      <c r="G1180" s="4" t="inlineStr">
        <is>
          <t>o tempo extra deixa o adversário se preparar</t>
        </is>
      </c>
      <c r="H1180" s="4" t="inlineStr">
        <is>
          <t>um relógio que marca a hora de outro planeta</t>
        </is>
      </c>
      <c r="I1180" s="4" t="n"/>
      <c r="J1180" s="4" t="n"/>
      <c r="K1180" s="19">
        <f>IF(AG1180&gt;0,"O Google leu como fórmula: digite de novo com ' na frente.","")</f>
        <v/>
      </c>
      <c r="N1180" s="2">
        <f>N1179+IF(LEN($X$1180)&gt;0,1,0)</f>
        <v/>
      </c>
      <c r="O1180" s="2">
        <f>O1179+IF(LEN($Y$1180)&gt;0,1,0)</f>
        <v/>
      </c>
      <c r="P1180" s="2">
        <f>P1179+IF(LEN($Z$1180)&gt;0,1,0)</f>
        <v/>
      </c>
      <c r="Q1180" s="2">
        <f>Q1179+IF(LEN($AA$1180)&gt;0,1,0)</f>
        <v/>
      </c>
      <c r="R1180" s="2">
        <f>R1179+IF(LEN($AB$1180)&gt;0,1,0)</f>
        <v/>
      </c>
      <c r="S1180" s="2">
        <f>S1179+IF(LEN($AC$1180)&gt;0,1,0)</f>
        <v/>
      </c>
      <c r="T1180" s="2">
        <f>T1179+IF(LEN($AD$1180)&gt;0,1,0)</f>
        <v/>
      </c>
      <c r="U1180" s="2">
        <f>U1179+IF(LEN($AE$1180)&gt;0,1,0)</f>
        <v/>
      </c>
      <c r="X1180" s="2">
        <f>IF(ISERROR($B$1180),"",IF(ISBLANK($B$1180),"",$B$1180))</f>
        <v/>
      </c>
      <c r="Y1180" s="2">
        <f>IF(ISERROR($C$1180),"",IF(ISBLANK($C$1180),"",$C$1180))</f>
        <v/>
      </c>
      <c r="Z1180" s="2">
        <f>IF(ISERROR($D$1180),"",IF(ISBLANK($D$1180),"",$D$1180))</f>
        <v/>
      </c>
      <c r="AA1180" s="2">
        <f>IF(ISERROR($E$1180),"",IF(ISBLANK($E$1180),"",$E$1180))</f>
        <v/>
      </c>
      <c r="AB1180" s="2">
        <f>IF(ISERROR($F$1180),"",IF(ISBLANK($F$1180),"",$F$1180))</f>
        <v/>
      </c>
      <c r="AC1180" s="2">
        <f>IF(ISERROR($G$1180),"",IF(ISBLANK($G$1180),"",$G$1180))</f>
        <v/>
      </c>
      <c r="AD1180" s="2">
        <f>IF(ISERROR($H$1180),"",IF(ISBLANK($H$1180),"",$H$1180))</f>
        <v/>
      </c>
      <c r="AE1180" s="2">
        <f>IF(ISERROR($I$1180),"",IF(ISBLANK($I$1180),"",$I$1180))</f>
        <v/>
      </c>
      <c r="AF1180" s="2">
        <f>IF(ISERROR($J$1180),"",IF(ISBLANK($J$1180),"",$J$1180))</f>
        <v/>
      </c>
      <c r="AG1180" s="2">
        <f>ISERROR($B$1180)*1+ISERROR($C$1180)*1+ISERROR($D$1180)*1+ISERROR($E$1180)*1+ISERROR($F$1180)*1+ISERROR($G$1180)*1+ISERROR($H$1180)*1+ISERROR($I$1180)*1+ISERROR($J$1180)*1</f>
        <v/>
      </c>
    </row>
    <row r="1181" ht="26" customHeight="1">
      <c r="B1181" s="35" t="inlineStr">
        <is>
          <t>um Intellitron se recusa a desligar e pede asilo</t>
        </is>
      </c>
      <c r="C1181" s="29" t="n"/>
      <c r="D1181" s="29" t="inlineStr">
        <is>
          <t>o rádio capta uma conversa que não deveria</t>
        </is>
      </c>
      <c r="E1181" s="29" t="inlineStr">
        <is>
          <t>outro trem parece correr em trilhos paralelos</t>
        </is>
      </c>
      <c r="F1181" s="29" t="inlineStr">
        <is>
          <t>o grupo é confundido com outra equipe</t>
        </is>
      </c>
      <c r="G1181" s="29" t="inlineStr">
        <is>
          <t>o objeto chega danificado</t>
        </is>
      </c>
      <c r="H1181" s="29" t="inlineStr">
        <is>
          <t>uma medalha da Legião partida ao meio</t>
        </is>
      </c>
      <c r="I1181" s="29" t="n"/>
      <c r="J1181" s="29" t="n"/>
      <c r="K1181" s="19">
        <f>IF(AG1181&gt;0,"O Google leu como fórmula: digite de novo com ' na frente.","")</f>
        <v/>
      </c>
      <c r="N1181" s="2">
        <f>N1180+IF(LEN($X$1181)&gt;0,1,0)</f>
        <v/>
      </c>
      <c r="O1181" s="2">
        <f>O1180+IF(LEN($Y$1181)&gt;0,1,0)</f>
        <v/>
      </c>
      <c r="P1181" s="2">
        <f>P1180+IF(LEN($Z$1181)&gt;0,1,0)</f>
        <v/>
      </c>
      <c r="Q1181" s="2">
        <f>Q1180+IF(LEN($AA$1181)&gt;0,1,0)</f>
        <v/>
      </c>
      <c r="R1181" s="2">
        <f>R1180+IF(LEN($AB$1181)&gt;0,1,0)</f>
        <v/>
      </c>
      <c r="S1181" s="2">
        <f>S1180+IF(LEN($AC$1181)&gt;0,1,0)</f>
        <v/>
      </c>
      <c r="T1181" s="2">
        <f>T1180+IF(LEN($AD$1181)&gt;0,1,0)</f>
        <v/>
      </c>
      <c r="U1181" s="2">
        <f>U1180+IF(LEN($AE$1181)&gt;0,1,0)</f>
        <v/>
      </c>
      <c r="X1181" s="2">
        <f>IF(ISERROR($B$1181),"",IF(ISBLANK($B$1181),"",$B$1181))</f>
        <v/>
      </c>
      <c r="Y1181" s="2">
        <f>IF(ISERROR($C$1181),"",IF(ISBLANK($C$1181),"",$C$1181))</f>
        <v/>
      </c>
      <c r="Z1181" s="2">
        <f>IF(ISERROR($D$1181),"",IF(ISBLANK($D$1181),"",$D$1181))</f>
        <v/>
      </c>
      <c r="AA1181" s="2">
        <f>IF(ISERROR($E$1181),"",IF(ISBLANK($E$1181),"",$E$1181))</f>
        <v/>
      </c>
      <c r="AB1181" s="2">
        <f>IF(ISERROR($F$1181),"",IF(ISBLANK($F$1181),"",$F$1181))</f>
        <v/>
      </c>
      <c r="AC1181" s="2">
        <f>IF(ISERROR($G$1181),"",IF(ISBLANK($G$1181),"",$G$1181))</f>
        <v/>
      </c>
      <c r="AD1181" s="2">
        <f>IF(ISERROR($H$1181),"",IF(ISBLANK($H$1181),"",$H$1181))</f>
        <v/>
      </c>
      <c r="AE1181" s="2">
        <f>IF(ISERROR($I$1181),"",IF(ISBLANK($I$1181),"",$I$1181))</f>
        <v/>
      </c>
      <c r="AF1181" s="2">
        <f>IF(ISERROR($J$1181),"",IF(ISBLANK($J$1181),"",$J$1181))</f>
        <v/>
      </c>
      <c r="AG1181" s="2">
        <f>ISERROR($B$1181)*1+ISERROR($C$1181)*1+ISERROR($D$1181)*1+ISERROR($E$1181)*1+ISERROR($F$1181)*1+ISERROR($G$1181)*1+ISERROR($H$1181)*1+ISERROR($I$1181)*1+ISERROR($J$1181)*1</f>
        <v/>
      </c>
    </row>
    <row r="1182" ht="26" customHeight="1">
      <c r="B1182" s="33" t="inlineStr">
        <is>
          <t>a festa da colheita foi cancelada sem explicação</t>
        </is>
      </c>
      <c r="C1182" s="4" t="n"/>
      <c r="D1182" s="4" t="inlineStr">
        <is>
          <t>um fiscal cobra uma taxa que ninguém conhece</t>
        </is>
      </c>
      <c r="E1182" s="4" t="inlineStr">
        <is>
          <t>um satélite antigo responde ao chamado da nave</t>
        </is>
      </c>
      <c r="F1182" s="4" t="inlineStr">
        <is>
          <t>uma eleição local divide a vizinhança</t>
        </is>
      </c>
      <c r="G1182" s="4" t="inlineStr">
        <is>
          <t>a testemunha muda de versão</t>
        </is>
      </c>
      <c r="H1182" s="4" t="inlineStr">
        <is>
          <t>uma lanterna que só acende perto do Fragmentum</t>
        </is>
      </c>
      <c r="I1182" s="4" t="n"/>
      <c r="J1182" s="4" t="n"/>
      <c r="K1182" s="19">
        <f>IF(AG1182&gt;0,"O Google leu como fórmula: digite de novo com ' na frente.","")</f>
        <v/>
      </c>
      <c r="N1182" s="2">
        <f>N1181+IF(LEN($X$1182)&gt;0,1,0)</f>
        <v/>
      </c>
      <c r="O1182" s="2">
        <f>O1181+IF(LEN($Y$1182)&gt;0,1,0)</f>
        <v/>
      </c>
      <c r="P1182" s="2">
        <f>P1181+IF(LEN($Z$1182)&gt;0,1,0)</f>
        <v/>
      </c>
      <c r="Q1182" s="2">
        <f>Q1181+IF(LEN($AA$1182)&gt;0,1,0)</f>
        <v/>
      </c>
      <c r="R1182" s="2">
        <f>R1181+IF(LEN($AB$1182)&gt;0,1,0)</f>
        <v/>
      </c>
      <c r="S1182" s="2">
        <f>S1181+IF(LEN($AC$1182)&gt;0,1,0)</f>
        <v/>
      </c>
      <c r="T1182" s="2">
        <f>T1181+IF(LEN($AD$1182)&gt;0,1,0)</f>
        <v/>
      </c>
      <c r="U1182" s="2">
        <f>U1181+IF(LEN($AE$1182)&gt;0,1,0)</f>
        <v/>
      </c>
      <c r="X1182" s="2">
        <f>IF(ISERROR($B$1182),"",IF(ISBLANK($B$1182),"",$B$1182))</f>
        <v/>
      </c>
      <c r="Y1182" s="2">
        <f>IF(ISERROR($C$1182),"",IF(ISBLANK($C$1182),"",$C$1182))</f>
        <v/>
      </c>
      <c r="Z1182" s="2">
        <f>IF(ISERROR($D$1182),"",IF(ISBLANK($D$1182),"",$D$1182))</f>
        <v/>
      </c>
      <c r="AA1182" s="2">
        <f>IF(ISERROR($E$1182),"",IF(ISBLANK($E$1182),"",$E$1182))</f>
        <v/>
      </c>
      <c r="AB1182" s="2">
        <f>IF(ISERROR($F$1182),"",IF(ISBLANK($F$1182),"",$F$1182))</f>
        <v/>
      </c>
      <c r="AC1182" s="2">
        <f>IF(ISERROR($G$1182),"",IF(ISBLANK($G$1182),"",$G$1182))</f>
        <v/>
      </c>
      <c r="AD1182" s="2">
        <f>IF(ISERROR($H$1182),"",IF(ISBLANK($H$1182),"",$H$1182))</f>
        <v/>
      </c>
      <c r="AE1182" s="2">
        <f>IF(ISERROR($I$1182),"",IF(ISBLANK($I$1182),"",$I$1182))</f>
        <v/>
      </c>
      <c r="AF1182" s="2">
        <f>IF(ISERROR($J$1182),"",IF(ISBLANK($J$1182),"",$J$1182))</f>
        <v/>
      </c>
      <c r="AG1182" s="2">
        <f>ISERROR($B$1182)*1+ISERROR($C$1182)*1+ISERROR($D$1182)*1+ISERROR($E$1182)*1+ISERROR($F$1182)*1+ISERROR($G$1182)*1+ISERROR($H$1182)*1+ISERROR($I$1182)*1+ISERROR($J$1182)*1</f>
        <v/>
      </c>
    </row>
    <row r="1183" ht="37" customHeight="1">
      <c r="B1183" s="35" t="inlineStr">
        <is>
          <t>um cargueiro voltou com a tripulação inteira, mas mais jovem</t>
        </is>
      </c>
      <c r="C1183" s="29" t="n"/>
      <c r="D1183" s="29" t="inlineStr">
        <is>
          <t>a estrada está cheia de refugiados indo na direção contrária</t>
        </is>
      </c>
      <c r="E1183" s="29" t="inlineStr">
        <is>
          <t>destroços de uma batalha recente bloqueiam a passagem</t>
        </is>
      </c>
      <c r="F1183" s="29" t="inlineStr">
        <is>
          <t>um julgamento público acontece na praça</t>
        </is>
      </c>
      <c r="G1183" s="29" t="n"/>
      <c r="H1183" s="29" t="n"/>
      <c r="I1183" s="29" t="n"/>
      <c r="J1183" s="29" t="n"/>
      <c r="K1183" s="19">
        <f>IF(AG1183&gt;0,"O Google leu como fórmula: digite de novo com ' na frente.","")</f>
        <v/>
      </c>
      <c r="N1183" s="2">
        <f>N1182+IF(LEN($X$1183)&gt;0,1,0)</f>
        <v/>
      </c>
      <c r="O1183" s="2">
        <f>O1182+IF(LEN($Y$1183)&gt;0,1,0)</f>
        <v/>
      </c>
      <c r="P1183" s="2">
        <f>P1182+IF(LEN($Z$1183)&gt;0,1,0)</f>
        <v/>
      </c>
      <c r="Q1183" s="2">
        <f>Q1182+IF(LEN($AA$1183)&gt;0,1,0)</f>
        <v/>
      </c>
      <c r="R1183" s="2">
        <f>R1182+IF(LEN($AB$1183)&gt;0,1,0)</f>
        <v/>
      </c>
      <c r="S1183" s="2">
        <f>S1182+IF(LEN($AC$1183)&gt;0,1,0)</f>
        <v/>
      </c>
      <c r="T1183" s="2">
        <f>T1182+IF(LEN($AD$1183)&gt;0,1,0)</f>
        <v/>
      </c>
      <c r="U1183" s="2">
        <f>U1182+IF(LEN($AE$1183)&gt;0,1,0)</f>
        <v/>
      </c>
      <c r="X1183" s="2">
        <f>IF(ISERROR($B$1183),"",IF(ISBLANK($B$1183),"",$B$1183))</f>
        <v/>
      </c>
      <c r="Y1183" s="2">
        <f>IF(ISERROR($C$1183),"",IF(ISBLANK($C$1183),"",$C$1183))</f>
        <v/>
      </c>
      <c r="Z1183" s="2">
        <f>IF(ISERROR($D$1183),"",IF(ISBLANK($D$1183),"",$D$1183))</f>
        <v/>
      </c>
      <c r="AA1183" s="2">
        <f>IF(ISERROR($E$1183),"",IF(ISBLANK($E$1183),"",$E$1183))</f>
        <v/>
      </c>
      <c r="AB1183" s="2">
        <f>IF(ISERROR($F$1183),"",IF(ISBLANK($F$1183),"",$F$1183))</f>
        <v/>
      </c>
      <c r="AC1183" s="2">
        <f>IF(ISERROR($G$1183),"",IF(ISBLANK($G$1183),"",$G$1183))</f>
        <v/>
      </c>
      <c r="AD1183" s="2">
        <f>IF(ISERROR($H$1183),"",IF(ISBLANK($H$1183),"",$H$1183))</f>
        <v/>
      </c>
      <c r="AE1183" s="2">
        <f>IF(ISERROR($I$1183),"",IF(ISBLANK($I$1183),"",$I$1183))</f>
        <v/>
      </c>
      <c r="AF1183" s="2">
        <f>IF(ISERROR($J$1183),"",IF(ISBLANK($J$1183),"",$J$1183))</f>
        <v/>
      </c>
      <c r="AG1183" s="2">
        <f>ISERROR($B$1183)*1+ISERROR($C$1183)*1+ISERROR($D$1183)*1+ISERROR($E$1183)*1+ISERROR($F$1183)*1+ISERROR($G$1183)*1+ISERROR($H$1183)*1+ISERROR($I$1183)*1+ISERROR($J$1183)*1</f>
        <v/>
      </c>
    </row>
    <row r="1184" ht="26" customHeight="1">
      <c r="B1184" s="33" t="inlineStr">
        <is>
          <t>os Cavaleiros da Beleza abriram uma clínica gratuita</t>
        </is>
      </c>
      <c r="C1184" s="4" t="n"/>
      <c r="D1184" s="4" t="inlineStr">
        <is>
          <t>uma criança aparece escondida no porão de carga</t>
        </is>
      </c>
      <c r="E1184" s="4" t="inlineStr">
        <is>
          <t>a comunicação com a estação cai no pior momento</t>
        </is>
      </c>
      <c r="F1184" s="4" t="inlineStr">
        <is>
          <t>a rádio local fala do grupo</t>
        </is>
      </c>
      <c r="G1184" s="4" t="n"/>
      <c r="H1184" s="4" t="n"/>
      <c r="I1184" s="4" t="n"/>
      <c r="J1184" s="4" t="n"/>
      <c r="K1184" s="19">
        <f>IF(AG1184&gt;0,"O Google leu como fórmula: digite de novo com ' na frente.","")</f>
        <v/>
      </c>
      <c r="N1184" s="2">
        <f>N1183+IF(LEN($X$1184)&gt;0,1,0)</f>
        <v/>
      </c>
      <c r="O1184" s="2">
        <f>O1183+IF(LEN($Y$1184)&gt;0,1,0)</f>
        <v/>
      </c>
      <c r="P1184" s="2">
        <f>P1183+IF(LEN($Z$1184)&gt;0,1,0)</f>
        <v/>
      </c>
      <c r="Q1184" s="2">
        <f>Q1183+IF(LEN($AA$1184)&gt;0,1,0)</f>
        <v/>
      </c>
      <c r="R1184" s="2">
        <f>R1183+IF(LEN($AB$1184)&gt;0,1,0)</f>
        <v/>
      </c>
      <c r="S1184" s="2">
        <f>S1183+IF(LEN($AC$1184)&gt;0,1,0)</f>
        <v/>
      </c>
      <c r="T1184" s="2">
        <f>T1183+IF(LEN($AD$1184)&gt;0,1,0)</f>
        <v/>
      </c>
      <c r="U1184" s="2">
        <f>U1183+IF(LEN($AE$1184)&gt;0,1,0)</f>
        <v/>
      </c>
      <c r="X1184" s="2">
        <f>IF(ISERROR($B$1184),"",IF(ISBLANK($B$1184),"",$B$1184))</f>
        <v/>
      </c>
      <c r="Y1184" s="2">
        <f>IF(ISERROR($C$1184),"",IF(ISBLANK($C$1184),"",$C$1184))</f>
        <v/>
      </c>
      <c r="Z1184" s="2">
        <f>IF(ISERROR($D$1184),"",IF(ISBLANK($D$1184),"",$D$1184))</f>
        <v/>
      </c>
      <c r="AA1184" s="2">
        <f>IF(ISERROR($E$1184),"",IF(ISBLANK($E$1184),"",$E$1184))</f>
        <v/>
      </c>
      <c r="AB1184" s="2">
        <f>IF(ISERROR($F$1184),"",IF(ISBLANK($F$1184),"",$F$1184))</f>
        <v/>
      </c>
      <c r="AC1184" s="2">
        <f>IF(ISERROR($G$1184),"",IF(ISBLANK($G$1184),"",$G$1184))</f>
        <v/>
      </c>
      <c r="AD1184" s="2">
        <f>IF(ISERROR($H$1184),"",IF(ISBLANK($H$1184),"",$H$1184))</f>
        <v/>
      </c>
      <c r="AE1184" s="2">
        <f>IF(ISERROR($I$1184),"",IF(ISBLANK($I$1184),"",$I$1184))</f>
        <v/>
      </c>
      <c r="AF1184" s="2">
        <f>IF(ISERROR($J$1184),"",IF(ISBLANK($J$1184),"",$J$1184))</f>
        <v/>
      </c>
      <c r="AG1184" s="2">
        <f>ISERROR($B$1184)*1+ISERROR($C$1184)*1+ISERROR($D$1184)*1+ISERROR($E$1184)*1+ISERROR($F$1184)*1+ISERROR($G$1184)*1+ISERROR($H$1184)*1+ISERROR($I$1184)*1+ISERROR($J$1184)*1</f>
        <v/>
      </c>
    </row>
    <row r="1185" ht="26" customHeight="1">
      <c r="B1185" s="35" t="inlineStr">
        <is>
          <t>alguém compra cabelo e dentes no mercado velho</t>
        </is>
      </c>
      <c r="C1185" s="29" t="n"/>
      <c r="D1185" s="29" t="inlineStr">
        <is>
          <t>a escala é numa estação em quarentena</t>
        </is>
      </c>
      <c r="E1185" s="29" t="inlineStr">
        <is>
          <t>uma luz pisca em código numa lua sem colônia</t>
        </is>
      </c>
      <c r="F1185" s="29" t="inlineStr">
        <is>
          <t>um vendedor reconhece um item do grupo como roubado</t>
        </is>
      </c>
      <c r="G1185" s="29" t="n"/>
      <c r="H1185" s="29" t="n"/>
      <c r="I1185" s="29" t="n"/>
      <c r="J1185" s="29" t="n"/>
      <c r="K1185" s="19">
        <f>IF(AG1185&gt;0,"O Google leu como fórmula: digite de novo com ' na frente.","")</f>
        <v/>
      </c>
      <c r="N1185" s="2">
        <f>N1184+IF(LEN($X$1185)&gt;0,1,0)</f>
        <v/>
      </c>
      <c r="O1185" s="2">
        <f>O1184+IF(LEN($Y$1185)&gt;0,1,0)</f>
        <v/>
      </c>
      <c r="P1185" s="2">
        <f>P1184+IF(LEN($Z$1185)&gt;0,1,0)</f>
        <v/>
      </c>
      <c r="Q1185" s="2">
        <f>Q1184+IF(LEN($AA$1185)&gt;0,1,0)</f>
        <v/>
      </c>
      <c r="R1185" s="2">
        <f>R1184+IF(LEN($AB$1185)&gt;0,1,0)</f>
        <v/>
      </c>
      <c r="S1185" s="2">
        <f>S1184+IF(LEN($AC$1185)&gt;0,1,0)</f>
        <v/>
      </c>
      <c r="T1185" s="2">
        <f>T1184+IF(LEN($AD$1185)&gt;0,1,0)</f>
        <v/>
      </c>
      <c r="U1185" s="2">
        <f>U1184+IF(LEN($AE$1185)&gt;0,1,0)</f>
        <v/>
      </c>
      <c r="X1185" s="2">
        <f>IF(ISERROR($B$1185),"",IF(ISBLANK($B$1185),"",$B$1185))</f>
        <v/>
      </c>
      <c r="Y1185" s="2">
        <f>IF(ISERROR($C$1185),"",IF(ISBLANK($C$1185),"",$C$1185))</f>
        <v/>
      </c>
      <c r="Z1185" s="2">
        <f>IF(ISERROR($D$1185),"",IF(ISBLANK($D$1185),"",$D$1185))</f>
        <v/>
      </c>
      <c r="AA1185" s="2">
        <f>IF(ISERROR($E$1185),"",IF(ISBLANK($E$1185),"",$E$1185))</f>
        <v/>
      </c>
      <c r="AB1185" s="2">
        <f>IF(ISERROR($F$1185),"",IF(ISBLANK($F$1185),"",$F$1185))</f>
        <v/>
      </c>
      <c r="AC1185" s="2">
        <f>IF(ISERROR($G$1185),"",IF(ISBLANK($G$1185),"",$G$1185))</f>
        <v/>
      </c>
      <c r="AD1185" s="2">
        <f>IF(ISERROR($H$1185),"",IF(ISBLANK($H$1185),"",$H$1185))</f>
        <v/>
      </c>
      <c r="AE1185" s="2">
        <f>IF(ISERROR($I$1185),"",IF(ISBLANK($I$1185),"",$I$1185))</f>
        <v/>
      </c>
      <c r="AF1185" s="2">
        <f>IF(ISERROR($J$1185),"",IF(ISBLANK($J$1185),"",$J$1185))</f>
        <v/>
      </c>
      <c r="AG1185" s="2">
        <f>ISERROR($B$1185)*1+ISERROR($C$1185)*1+ISERROR($D$1185)*1+ISERROR($E$1185)*1+ISERROR($F$1185)*1+ISERROR($G$1185)*1+ISERROR($H$1185)*1+ISERROR($I$1185)*1+ISERROR($J$1185)*1</f>
        <v/>
      </c>
    </row>
    <row r="1186" ht="26" customHeight="1">
      <c r="B1186" s="33" t="inlineStr">
        <is>
          <t>a estrada do norte está livre pela primeira vez em anos</t>
        </is>
      </c>
      <c r="C1186" s="4" t="n"/>
      <c r="D1186" s="4" t="inlineStr">
        <is>
          <t>um passageiro tenta vender um objeto roubado</t>
        </is>
      </c>
      <c r="E1186" s="4" t="inlineStr">
        <is>
          <t>uma nave-cidade pede ajuda para um resgate</t>
        </is>
      </c>
      <c r="F1186" s="4" t="inlineStr">
        <is>
          <t>chega uma notícia de guerra numa lua vizinha</t>
        </is>
      </c>
      <c r="G1186" s="4" t="n"/>
      <c r="H1186" s="4" t="n"/>
      <c r="I1186" s="4" t="n"/>
      <c r="J1186" s="4" t="n"/>
      <c r="K1186" s="19">
        <f>IF(AG1186&gt;0,"O Google leu como fórmula: digite de novo com ' na frente.","")</f>
        <v/>
      </c>
      <c r="N1186" s="2">
        <f>N1185+IF(LEN($X$1186)&gt;0,1,0)</f>
        <v/>
      </c>
      <c r="O1186" s="2">
        <f>O1185+IF(LEN($Y$1186)&gt;0,1,0)</f>
        <v/>
      </c>
      <c r="P1186" s="2">
        <f>P1185+IF(LEN($Z$1186)&gt;0,1,0)</f>
        <v/>
      </c>
      <c r="Q1186" s="2">
        <f>Q1185+IF(LEN($AA$1186)&gt;0,1,0)</f>
        <v/>
      </c>
      <c r="R1186" s="2">
        <f>R1185+IF(LEN($AB$1186)&gt;0,1,0)</f>
        <v/>
      </c>
      <c r="S1186" s="2">
        <f>S1185+IF(LEN($AC$1186)&gt;0,1,0)</f>
        <v/>
      </c>
      <c r="T1186" s="2">
        <f>T1185+IF(LEN($AD$1186)&gt;0,1,0)</f>
        <v/>
      </c>
      <c r="U1186" s="2">
        <f>U1185+IF(LEN($AE$1186)&gt;0,1,0)</f>
        <v/>
      </c>
      <c r="X1186" s="2">
        <f>IF(ISERROR($B$1186),"",IF(ISBLANK($B$1186),"",$B$1186))</f>
        <v/>
      </c>
      <c r="Y1186" s="2">
        <f>IF(ISERROR($C$1186),"",IF(ISBLANK($C$1186),"",$C$1186))</f>
        <v/>
      </c>
      <c r="Z1186" s="2">
        <f>IF(ISERROR($D$1186),"",IF(ISBLANK($D$1186),"",$D$1186))</f>
        <v/>
      </c>
      <c r="AA1186" s="2">
        <f>IF(ISERROR($E$1186),"",IF(ISBLANK($E$1186),"",$E$1186))</f>
        <v/>
      </c>
      <c r="AB1186" s="2">
        <f>IF(ISERROR($F$1186),"",IF(ISBLANK($F$1186),"",$F$1186))</f>
        <v/>
      </c>
      <c r="AC1186" s="2">
        <f>IF(ISERROR($G$1186),"",IF(ISBLANK($G$1186),"",$G$1186))</f>
        <v/>
      </c>
      <c r="AD1186" s="2">
        <f>IF(ISERROR($H$1186),"",IF(ISBLANK($H$1186),"",$H$1186))</f>
        <v/>
      </c>
      <c r="AE1186" s="2">
        <f>IF(ISERROR($I$1186),"",IF(ISBLANK($I$1186),"",$I$1186))</f>
        <v/>
      </c>
      <c r="AF1186" s="2">
        <f>IF(ISERROR($J$1186),"",IF(ISBLANK($J$1186),"",$J$1186))</f>
        <v/>
      </c>
      <c r="AG1186" s="2">
        <f>ISERROR($B$1186)*1+ISERROR($C$1186)*1+ISERROR($D$1186)*1+ISERROR($E$1186)*1+ISERROR($F$1186)*1+ISERROR($G$1186)*1+ISERROR($H$1186)*1+ISERROR($I$1186)*1+ISERROR($J$1186)*1</f>
        <v/>
      </c>
    </row>
    <row r="1187" ht="26" customHeight="1">
      <c r="B1187" s="35" t="inlineStr">
        <is>
          <t>uma criança desenha a mesma estrela todos os dias</t>
        </is>
      </c>
      <c r="C1187" s="29" t="n"/>
      <c r="D1187" s="29" t="inlineStr">
        <is>
          <t>a navegação aponta para o lugar errado</t>
        </is>
      </c>
      <c r="E1187" s="29" t="inlineStr">
        <is>
          <t>a nave recebe uma mensagem endereçada a um personagem</t>
        </is>
      </c>
      <c r="F1187" s="29" t="inlineStr">
        <is>
          <t>um duelo formal está marcado para o meio-dia</t>
        </is>
      </c>
      <c r="G1187" s="29" t="n"/>
      <c r="H1187" s="29" t="n"/>
      <c r="I1187" s="29" t="n"/>
      <c r="J1187" s="29" t="n"/>
      <c r="K1187" s="19">
        <f>IF(AG1187&gt;0,"O Google leu como fórmula: digite de novo com ' na frente.","")</f>
        <v/>
      </c>
      <c r="N1187" s="2">
        <f>N1186+IF(LEN($X$1187)&gt;0,1,0)</f>
        <v/>
      </c>
      <c r="O1187" s="2">
        <f>O1186+IF(LEN($Y$1187)&gt;0,1,0)</f>
        <v/>
      </c>
      <c r="P1187" s="2">
        <f>P1186+IF(LEN($Z$1187)&gt;0,1,0)</f>
        <v/>
      </c>
      <c r="Q1187" s="2">
        <f>Q1186+IF(LEN($AA$1187)&gt;0,1,0)</f>
        <v/>
      </c>
      <c r="R1187" s="2">
        <f>R1186+IF(LEN($AB$1187)&gt;0,1,0)</f>
        <v/>
      </c>
      <c r="S1187" s="2">
        <f>S1186+IF(LEN($AC$1187)&gt;0,1,0)</f>
        <v/>
      </c>
      <c r="T1187" s="2">
        <f>T1186+IF(LEN($AD$1187)&gt;0,1,0)</f>
        <v/>
      </c>
      <c r="U1187" s="2">
        <f>U1186+IF(LEN($AE$1187)&gt;0,1,0)</f>
        <v/>
      </c>
      <c r="X1187" s="2">
        <f>IF(ISERROR($B$1187),"",IF(ISBLANK($B$1187),"",$B$1187))</f>
        <v/>
      </c>
      <c r="Y1187" s="2">
        <f>IF(ISERROR($C$1187),"",IF(ISBLANK($C$1187),"",$C$1187))</f>
        <v/>
      </c>
      <c r="Z1187" s="2">
        <f>IF(ISERROR($D$1187),"",IF(ISBLANK($D$1187),"",$D$1187))</f>
        <v/>
      </c>
      <c r="AA1187" s="2">
        <f>IF(ISERROR($E$1187),"",IF(ISBLANK($E$1187),"",$E$1187))</f>
        <v/>
      </c>
      <c r="AB1187" s="2">
        <f>IF(ISERROR($F$1187),"",IF(ISBLANK($F$1187),"",$F$1187))</f>
        <v/>
      </c>
      <c r="AC1187" s="2">
        <f>IF(ISERROR($G$1187),"",IF(ISBLANK($G$1187),"",$G$1187))</f>
        <v/>
      </c>
      <c r="AD1187" s="2">
        <f>IF(ISERROR($H$1187),"",IF(ISBLANK($H$1187),"",$H$1187))</f>
        <v/>
      </c>
      <c r="AE1187" s="2">
        <f>IF(ISERROR($I$1187),"",IF(ISBLANK($I$1187),"",$I$1187))</f>
        <v/>
      </c>
      <c r="AF1187" s="2">
        <f>IF(ISERROR($J$1187),"",IF(ISBLANK($J$1187),"",$J$1187))</f>
        <v/>
      </c>
      <c r="AG1187" s="2">
        <f>ISERROR($B$1187)*1+ISERROR($C$1187)*1+ISERROR($D$1187)*1+ISERROR($E$1187)*1+ISERROR($F$1187)*1+ISERROR($G$1187)*1+ISERROR($H$1187)*1+ISERROR($I$1187)*1+ISERROR($J$1187)*1</f>
        <v/>
      </c>
    </row>
    <row r="1188" ht="37" customHeight="1">
      <c r="B1188" s="33" t="inlineStr">
        <is>
          <t>o banco do porto não abre há três dias</t>
        </is>
      </c>
      <c r="C1188" s="4" t="n"/>
      <c r="D1188" s="4" t="inlineStr">
        <is>
          <t>o vagão-refeitório do Expresso fecha por causa de uma briga</t>
        </is>
      </c>
      <c r="E1188" s="4" t="inlineStr">
        <is>
          <t>um rombo no casco de uma nave vizinha espalha carga pelo vácuo</t>
        </is>
      </c>
      <c r="F1188" s="4" t="inlineStr">
        <is>
          <t>um hospital pede doadores com urgência</t>
        </is>
      </c>
      <c r="G1188" s="4" t="n"/>
      <c r="H1188" s="4" t="n"/>
      <c r="I1188" s="4" t="n"/>
      <c r="J1188" s="4" t="n"/>
      <c r="K1188" s="19">
        <f>IF(AG1188&gt;0,"O Google leu como fórmula: digite de novo com ' na frente.","")</f>
        <v/>
      </c>
      <c r="N1188" s="2">
        <f>N1187+IF(LEN($X$1188)&gt;0,1,0)</f>
        <v/>
      </c>
      <c r="O1188" s="2">
        <f>O1187+IF(LEN($Y$1188)&gt;0,1,0)</f>
        <v/>
      </c>
      <c r="P1188" s="2">
        <f>P1187+IF(LEN($Z$1188)&gt;0,1,0)</f>
        <v/>
      </c>
      <c r="Q1188" s="2">
        <f>Q1187+IF(LEN($AA$1188)&gt;0,1,0)</f>
        <v/>
      </c>
      <c r="R1188" s="2">
        <f>R1187+IF(LEN($AB$1188)&gt;0,1,0)</f>
        <v/>
      </c>
      <c r="S1188" s="2">
        <f>S1187+IF(LEN($AC$1188)&gt;0,1,0)</f>
        <v/>
      </c>
      <c r="T1188" s="2">
        <f>T1187+IF(LEN($AD$1188)&gt;0,1,0)</f>
        <v/>
      </c>
      <c r="U1188" s="2">
        <f>U1187+IF(LEN($AE$1188)&gt;0,1,0)</f>
        <v/>
      </c>
      <c r="X1188" s="2">
        <f>IF(ISERROR($B$1188),"",IF(ISBLANK($B$1188),"",$B$1188))</f>
        <v/>
      </c>
      <c r="Y1188" s="2">
        <f>IF(ISERROR($C$1188),"",IF(ISBLANK($C$1188),"",$C$1188))</f>
        <v/>
      </c>
      <c r="Z1188" s="2">
        <f>IF(ISERROR($D$1188),"",IF(ISBLANK($D$1188),"",$D$1188))</f>
        <v/>
      </c>
      <c r="AA1188" s="2">
        <f>IF(ISERROR($E$1188),"",IF(ISBLANK($E$1188),"",$E$1188))</f>
        <v/>
      </c>
      <c r="AB1188" s="2">
        <f>IF(ISERROR($F$1188),"",IF(ISBLANK($F$1188),"",$F$1188))</f>
        <v/>
      </c>
      <c r="AC1188" s="2">
        <f>IF(ISERROR($G$1188),"",IF(ISBLANK($G$1188),"",$G$1188))</f>
        <v/>
      </c>
      <c r="AD1188" s="2">
        <f>IF(ISERROR($H$1188),"",IF(ISBLANK($H$1188),"",$H$1188))</f>
        <v/>
      </c>
      <c r="AE1188" s="2">
        <f>IF(ISERROR($I$1188),"",IF(ISBLANK($I$1188),"",$I$1188))</f>
        <v/>
      </c>
      <c r="AF1188" s="2">
        <f>IF(ISERROR($J$1188),"",IF(ISBLANK($J$1188),"",$J$1188))</f>
        <v/>
      </c>
      <c r="AG1188" s="2">
        <f>ISERROR($B$1188)*1+ISERROR($C$1188)*1+ISERROR($D$1188)*1+ISERROR($E$1188)*1+ISERROR($F$1188)*1+ISERROR($G$1188)*1+ISERROR($H$1188)*1+ISERROR($I$1188)*1+ISERROR($J$1188)*1</f>
        <v/>
      </c>
    </row>
    <row r="1189" ht="26" customHeight="1">
      <c r="B1189" s="8" t="inlineStr">
        <is>
          <t>Rumor</t>
        </is>
      </c>
      <c r="C1189" s="8" t="inlineStr">
        <is>
          <t>Veracidade do rumor (peso)</t>
        </is>
      </c>
      <c r="D1189" s="8" t="inlineStr">
        <is>
          <t>Evento de viagem</t>
        </is>
      </c>
      <c r="E1189" s="8" t="inlineStr">
        <is>
          <t>Evento no espaço</t>
        </is>
      </c>
      <c r="F1189" s="8" t="inlineStr">
        <is>
          <t>Evento na cidade</t>
        </is>
      </c>
      <c r="G1189" s="8" t="inlineStr">
        <is>
          <t>Falhe para frente: o custo</t>
        </is>
      </c>
      <c r="H1189" s="8" t="inlineStr">
        <is>
          <t>Item fora do comum (loja)</t>
        </is>
      </c>
      <c r="I1189" s="8" t="inlineStr">
        <is>
          <t>Oráculo: resposta</t>
        </is>
      </c>
      <c r="J1189" s="8" t="inlineStr">
        <is>
          <t>Oráculo: até (d20 + modificador)</t>
        </is>
      </c>
      <c r="N1189" s="2">
        <f>N1188</f>
        <v/>
      </c>
      <c r="O1189" s="2">
        <f>O1188</f>
        <v/>
      </c>
      <c r="P1189" s="2">
        <f>P1188</f>
        <v/>
      </c>
      <c r="Q1189" s="2">
        <f>Q1188</f>
        <v/>
      </c>
      <c r="R1189" s="2">
        <f>R1188</f>
        <v/>
      </c>
      <c r="S1189" s="2">
        <f>S1188</f>
        <v/>
      </c>
      <c r="T1189" s="2">
        <f>T1188</f>
        <v/>
      </c>
      <c r="U1189" s="2">
        <f>U1188</f>
        <v/>
      </c>
      <c r="X1189" s="2">
        <f>IF(ISERROR($B$1189),"",IF(ISBLANK($B$1189),"",$B$1189))</f>
        <v/>
      </c>
      <c r="Y1189" s="2">
        <f>IF(ISERROR($C$1189),"",IF(ISBLANK($C$1189),"",$C$1189))</f>
        <v/>
      </c>
      <c r="Z1189" s="2">
        <f>IF(ISERROR($D$1189),"",IF(ISBLANK($D$1189),"",$D$1189))</f>
        <v/>
      </c>
      <c r="AA1189" s="2">
        <f>IF(ISERROR($E$1189),"",IF(ISBLANK($E$1189),"",$E$1189))</f>
        <v/>
      </c>
      <c r="AB1189" s="2">
        <f>IF(ISERROR($F$1189),"",IF(ISBLANK($F$1189),"",$F$1189))</f>
        <v/>
      </c>
      <c r="AC1189" s="2">
        <f>IF(ISERROR($G$1189),"",IF(ISBLANK($G$1189),"",$G$1189))</f>
        <v/>
      </c>
      <c r="AD1189" s="2">
        <f>IF(ISERROR($H$1189),"",IF(ISBLANK($H$1189),"",$H$1189))</f>
        <v/>
      </c>
      <c r="AE1189" s="2">
        <f>IF(ISERROR($I$1189),"",IF(ISBLANK($I$1189),"",$I$1189))</f>
        <v/>
      </c>
      <c r="AF1189" s="2">
        <f>IF(ISERROR($J$1189),"",IF(ISBLANK($J$1189),"",$J$1189))</f>
        <v/>
      </c>
    </row>
    <row r="1190" ht="26" customHeight="1">
      <c r="B1190" s="33" t="inlineStr">
        <is>
          <t>o sino do templo tocou sozinho às três da manhã</t>
        </is>
      </c>
      <c r="C1190" s="4" t="n"/>
      <c r="D1190" s="4" t="inlineStr">
        <is>
          <t>uma luz estranha acompanha a nave por horas</t>
        </is>
      </c>
      <c r="E1190" s="4" t="inlineStr">
        <is>
          <t>o piloto automático muda a rota sozinho</t>
        </is>
      </c>
      <c r="F1190" s="4" t="inlineStr">
        <is>
          <t>uma inundação nos níveis de baixo</t>
        </is>
      </c>
      <c r="G1190" s="4" t="n"/>
      <c r="H1190" s="4" t="n"/>
      <c r="I1190" s="4" t="n"/>
      <c r="J1190" s="4" t="n"/>
      <c r="K1190" s="19">
        <f>IF(AG1190&gt;0,"O Google leu como fórmula: digite de novo com ' na frente.","")</f>
        <v/>
      </c>
      <c r="N1190" s="2">
        <f>N1189+IF(LEN($X$1190)&gt;0,1,0)</f>
        <v/>
      </c>
      <c r="O1190" s="2">
        <f>O1189+IF(LEN($Y$1190)&gt;0,1,0)</f>
        <v/>
      </c>
      <c r="P1190" s="2">
        <f>P1189+IF(LEN($Z$1190)&gt;0,1,0)</f>
        <v/>
      </c>
      <c r="Q1190" s="2">
        <f>Q1189+IF(LEN($AA$1190)&gt;0,1,0)</f>
        <v/>
      </c>
      <c r="R1190" s="2">
        <f>R1189+IF(LEN($AB$1190)&gt;0,1,0)</f>
        <v/>
      </c>
      <c r="S1190" s="2">
        <f>S1189+IF(LEN($AC$1190)&gt;0,1,0)</f>
        <v/>
      </c>
      <c r="T1190" s="2">
        <f>T1189+IF(LEN($AD$1190)&gt;0,1,0)</f>
        <v/>
      </c>
      <c r="U1190" s="2">
        <f>U1189+IF(LEN($AE$1190)&gt;0,1,0)</f>
        <v/>
      </c>
      <c r="X1190" s="2">
        <f>IF(ISERROR($B$1190),"",IF(ISBLANK($B$1190),"",$B$1190))</f>
        <v/>
      </c>
      <c r="Y1190" s="2">
        <f>IF(ISERROR($C$1190),"",IF(ISBLANK($C$1190),"",$C$1190))</f>
        <v/>
      </c>
      <c r="Z1190" s="2">
        <f>IF(ISERROR($D$1190),"",IF(ISBLANK($D$1190),"",$D$1190))</f>
        <v/>
      </c>
      <c r="AA1190" s="2">
        <f>IF(ISERROR($E$1190),"",IF(ISBLANK($E$1190),"",$E$1190))</f>
        <v/>
      </c>
      <c r="AB1190" s="2">
        <f>IF(ISERROR($F$1190),"",IF(ISBLANK($F$1190),"",$F$1190))</f>
        <v/>
      </c>
      <c r="AC1190" s="2">
        <f>IF(ISERROR($G$1190),"",IF(ISBLANK($G$1190),"",$G$1190))</f>
        <v/>
      </c>
      <c r="AD1190" s="2">
        <f>IF(ISERROR($H$1190),"",IF(ISBLANK($H$1190),"",$H$1190))</f>
        <v/>
      </c>
      <c r="AE1190" s="2">
        <f>IF(ISERROR($I$1190),"",IF(ISBLANK($I$1190),"",$I$1190))</f>
        <v/>
      </c>
      <c r="AF1190" s="2">
        <f>IF(ISERROR($J$1190),"",IF(ISBLANK($J$1190),"",$J$1190))</f>
        <v/>
      </c>
      <c r="AG1190" s="2">
        <f>ISERROR($B$1190)*1+ISERROR($C$1190)*1+ISERROR($D$1190)*1+ISERROR($E$1190)*1+ISERROR($F$1190)*1+ISERROR($G$1190)*1+ISERROR($H$1190)*1+ISERROR($I$1190)*1+ISERROR($J$1190)*1</f>
        <v/>
      </c>
    </row>
    <row r="1191" ht="26" customHeight="1">
      <c r="B1191" s="35" t="inlineStr">
        <is>
          <t>um contrabandista vende água de outro planeta</t>
        </is>
      </c>
      <c r="C1191" s="29" t="n"/>
      <c r="D1191" s="29" t="inlineStr">
        <is>
          <t>um carteiro pede que o grupo leve uma carta urgente</t>
        </is>
      </c>
      <c r="E1191" s="29" t="inlineStr">
        <is>
          <t>um rebocador oferece ajuda por um preço alto</t>
        </is>
      </c>
      <c r="F1191" s="29" t="inlineStr">
        <is>
          <t>um teatro anuncia uma peça sobre o grupo</t>
        </is>
      </c>
      <c r="G1191" s="29" t="n"/>
      <c r="H1191" s="29" t="n"/>
      <c r="I1191" s="29" t="n"/>
      <c r="J1191" s="29" t="n"/>
      <c r="K1191" s="19">
        <f>IF(AG1191&gt;0,"O Google leu como fórmula: digite de novo com ' na frente.","")</f>
        <v/>
      </c>
      <c r="N1191" s="2">
        <f>N1190+IF(LEN($X$1191)&gt;0,1,0)</f>
        <v/>
      </c>
      <c r="O1191" s="2">
        <f>O1190+IF(LEN($Y$1191)&gt;0,1,0)</f>
        <v/>
      </c>
      <c r="P1191" s="2">
        <f>P1190+IF(LEN($Z$1191)&gt;0,1,0)</f>
        <v/>
      </c>
      <c r="Q1191" s="2">
        <f>Q1190+IF(LEN($AA$1191)&gt;0,1,0)</f>
        <v/>
      </c>
      <c r="R1191" s="2">
        <f>R1190+IF(LEN($AB$1191)&gt;0,1,0)</f>
        <v/>
      </c>
      <c r="S1191" s="2">
        <f>S1190+IF(LEN($AC$1191)&gt;0,1,0)</f>
        <v/>
      </c>
      <c r="T1191" s="2">
        <f>T1190+IF(LEN($AD$1191)&gt;0,1,0)</f>
        <v/>
      </c>
      <c r="U1191" s="2">
        <f>U1190+IF(LEN($AE$1191)&gt;0,1,0)</f>
        <v/>
      </c>
      <c r="X1191" s="2">
        <f>IF(ISERROR($B$1191),"",IF(ISBLANK($B$1191),"",$B$1191))</f>
        <v/>
      </c>
      <c r="Y1191" s="2">
        <f>IF(ISERROR($C$1191),"",IF(ISBLANK($C$1191),"",$C$1191))</f>
        <v/>
      </c>
      <c r="Z1191" s="2">
        <f>IF(ISERROR($D$1191),"",IF(ISBLANK($D$1191),"",$D$1191))</f>
        <v/>
      </c>
      <c r="AA1191" s="2">
        <f>IF(ISERROR($E$1191),"",IF(ISBLANK($E$1191),"",$E$1191))</f>
        <v/>
      </c>
      <c r="AB1191" s="2">
        <f>IF(ISERROR($F$1191),"",IF(ISBLANK($F$1191),"",$F$1191))</f>
        <v/>
      </c>
      <c r="AC1191" s="2">
        <f>IF(ISERROR($G$1191),"",IF(ISBLANK($G$1191),"",$G$1191))</f>
        <v/>
      </c>
      <c r="AD1191" s="2">
        <f>IF(ISERROR($H$1191),"",IF(ISBLANK($H$1191),"",$H$1191))</f>
        <v/>
      </c>
      <c r="AE1191" s="2">
        <f>IF(ISERROR($I$1191),"",IF(ISBLANK($I$1191),"",$I$1191))</f>
        <v/>
      </c>
      <c r="AF1191" s="2">
        <f>IF(ISERROR($J$1191),"",IF(ISBLANK($J$1191),"",$J$1191))</f>
        <v/>
      </c>
      <c r="AG1191" s="2">
        <f>ISERROR($B$1191)*1+ISERROR($C$1191)*1+ISERROR($D$1191)*1+ISERROR($E$1191)*1+ISERROR($F$1191)*1+ISERROR($G$1191)*1+ISERROR($H$1191)*1+ISERROR($I$1191)*1+ISERROR($J$1191)*1</f>
        <v/>
      </c>
    </row>
    <row r="1192" ht="37" customHeight="1">
      <c r="B1192" s="33" t="inlineStr">
        <is>
          <t>um general aposentado está escrevendo as memórias e citando nomes</t>
        </is>
      </c>
      <c r="C1192" s="4" t="n"/>
      <c r="D1192" s="4" t="inlineStr">
        <is>
          <t>a passagem de volta foi cancelada</t>
        </is>
      </c>
      <c r="E1192" s="4" t="inlineStr">
        <is>
          <t>uma nuvem de poeira estelar apaga as estrelas por uma hora</t>
        </is>
      </c>
      <c r="F1192" s="4" t="inlineStr">
        <is>
          <t>a polícia da Corporação cobra uma taxa nova</t>
        </is>
      </c>
      <c r="G1192" s="4" t="n"/>
      <c r="H1192" s="4" t="n"/>
      <c r="I1192" s="4" t="n"/>
      <c r="J1192" s="4" t="n"/>
      <c r="K1192" s="19">
        <f>IF(AG1192&gt;0,"O Google leu como fórmula: digite de novo com ' na frente.","")</f>
        <v/>
      </c>
      <c r="N1192" s="2">
        <f>N1191+IF(LEN($X$1192)&gt;0,1,0)</f>
        <v/>
      </c>
      <c r="O1192" s="2">
        <f>O1191+IF(LEN($Y$1192)&gt;0,1,0)</f>
        <v/>
      </c>
      <c r="P1192" s="2">
        <f>P1191+IF(LEN($Z$1192)&gt;0,1,0)</f>
        <v/>
      </c>
      <c r="Q1192" s="2">
        <f>Q1191+IF(LEN($AA$1192)&gt;0,1,0)</f>
        <v/>
      </c>
      <c r="R1192" s="2">
        <f>R1191+IF(LEN($AB$1192)&gt;0,1,0)</f>
        <v/>
      </c>
      <c r="S1192" s="2">
        <f>S1191+IF(LEN($AC$1192)&gt;0,1,0)</f>
        <v/>
      </c>
      <c r="T1192" s="2">
        <f>T1191+IF(LEN($AD$1192)&gt;0,1,0)</f>
        <v/>
      </c>
      <c r="U1192" s="2">
        <f>U1191+IF(LEN($AE$1192)&gt;0,1,0)</f>
        <v/>
      </c>
      <c r="X1192" s="2">
        <f>IF(ISERROR($B$1192),"",IF(ISBLANK($B$1192),"",$B$1192))</f>
        <v/>
      </c>
      <c r="Y1192" s="2">
        <f>IF(ISERROR($C$1192),"",IF(ISBLANK($C$1192),"",$C$1192))</f>
        <v/>
      </c>
      <c r="Z1192" s="2">
        <f>IF(ISERROR($D$1192),"",IF(ISBLANK($D$1192),"",$D$1192))</f>
        <v/>
      </c>
      <c r="AA1192" s="2">
        <f>IF(ISERROR($E$1192),"",IF(ISBLANK($E$1192),"",$E$1192))</f>
        <v/>
      </c>
      <c r="AB1192" s="2">
        <f>IF(ISERROR($F$1192),"",IF(ISBLANK($F$1192),"",$F$1192))</f>
        <v/>
      </c>
      <c r="AC1192" s="2">
        <f>IF(ISERROR($G$1192),"",IF(ISBLANK($G$1192),"",$G$1192))</f>
        <v/>
      </c>
      <c r="AD1192" s="2">
        <f>IF(ISERROR($H$1192),"",IF(ISBLANK($H$1192),"",$H$1192))</f>
        <v/>
      </c>
      <c r="AE1192" s="2">
        <f>IF(ISERROR($I$1192),"",IF(ISBLANK($I$1192),"",$I$1192))</f>
        <v/>
      </c>
      <c r="AF1192" s="2">
        <f>IF(ISERROR($J$1192),"",IF(ISBLANK($J$1192),"",$J$1192))</f>
        <v/>
      </c>
      <c r="AG1192" s="2">
        <f>ISERROR($B$1192)*1+ISERROR($C$1192)*1+ISERROR($D$1192)*1+ISERROR($E$1192)*1+ISERROR($F$1192)*1+ISERROR($G$1192)*1+ISERROR($H$1192)*1+ISERROR($I$1192)*1+ISERROR($J$1192)*1</f>
        <v/>
      </c>
    </row>
    <row r="1193" ht="37" customHeight="1">
      <c r="B1193" s="35" t="inlineStr">
        <is>
          <t>dizem que o Fragmentum sobe pelos canos quando chove</t>
        </is>
      </c>
      <c r="C1193" s="29" t="n"/>
      <c r="D1193" s="29" t="inlineStr">
        <is>
          <t>um velho conhecido embarca na mesma viagem</t>
        </is>
      </c>
      <c r="E1193" s="29" t="inlineStr">
        <is>
          <t>um dron de vigilância segue a nave sem se identificar</t>
        </is>
      </c>
      <c r="F1193" s="29" t="inlineStr">
        <is>
          <t>um velho amigo pede abrigo por uma noite</t>
        </is>
      </c>
      <c r="G1193" s="29" t="n"/>
      <c r="H1193" s="29" t="n"/>
      <c r="I1193" s="29" t="n"/>
      <c r="J1193" s="29" t="n"/>
      <c r="K1193" s="19">
        <f>IF(AG1193&gt;0,"O Google leu como fórmula: digite de novo com ' na frente.","")</f>
        <v/>
      </c>
      <c r="N1193" s="2">
        <f>N1192+IF(LEN($X$1193)&gt;0,1,0)</f>
        <v/>
      </c>
      <c r="O1193" s="2">
        <f>O1192+IF(LEN($Y$1193)&gt;0,1,0)</f>
        <v/>
      </c>
      <c r="P1193" s="2">
        <f>P1192+IF(LEN($Z$1193)&gt;0,1,0)</f>
        <v/>
      </c>
      <c r="Q1193" s="2">
        <f>Q1192+IF(LEN($AA$1193)&gt;0,1,0)</f>
        <v/>
      </c>
      <c r="R1193" s="2">
        <f>R1192+IF(LEN($AB$1193)&gt;0,1,0)</f>
        <v/>
      </c>
      <c r="S1193" s="2">
        <f>S1192+IF(LEN($AC$1193)&gt;0,1,0)</f>
        <v/>
      </c>
      <c r="T1193" s="2">
        <f>T1192+IF(LEN($AD$1193)&gt;0,1,0)</f>
        <v/>
      </c>
      <c r="U1193" s="2">
        <f>U1192+IF(LEN($AE$1193)&gt;0,1,0)</f>
        <v/>
      </c>
      <c r="X1193" s="2">
        <f>IF(ISERROR($B$1193),"",IF(ISBLANK($B$1193),"",$B$1193))</f>
        <v/>
      </c>
      <c r="Y1193" s="2">
        <f>IF(ISERROR($C$1193),"",IF(ISBLANK($C$1193),"",$C$1193))</f>
        <v/>
      </c>
      <c r="Z1193" s="2">
        <f>IF(ISERROR($D$1193),"",IF(ISBLANK($D$1193),"",$D$1193))</f>
        <v/>
      </c>
      <c r="AA1193" s="2">
        <f>IF(ISERROR($E$1193),"",IF(ISBLANK($E$1193),"",$E$1193))</f>
        <v/>
      </c>
      <c r="AB1193" s="2">
        <f>IF(ISERROR($F$1193),"",IF(ISBLANK($F$1193),"",$F$1193))</f>
        <v/>
      </c>
      <c r="AC1193" s="2">
        <f>IF(ISERROR($G$1193),"",IF(ISBLANK($G$1193),"",$G$1193))</f>
        <v/>
      </c>
      <c r="AD1193" s="2">
        <f>IF(ISERROR($H$1193),"",IF(ISBLANK($H$1193),"",$H$1193))</f>
        <v/>
      </c>
      <c r="AE1193" s="2">
        <f>IF(ISERROR($I$1193),"",IF(ISBLANK($I$1193),"",$I$1193))</f>
        <v/>
      </c>
      <c r="AF1193" s="2">
        <f>IF(ISERROR($J$1193),"",IF(ISBLANK($J$1193),"",$J$1193))</f>
        <v/>
      </c>
      <c r="AG1193" s="2">
        <f>ISERROR($B$1193)*1+ISERROR($C$1193)*1+ISERROR($D$1193)*1+ISERROR($E$1193)*1+ISERROR($F$1193)*1+ISERROR($G$1193)*1+ISERROR($H$1193)*1+ISERROR($I$1193)*1+ISERROR($J$1193)*1</f>
        <v/>
      </c>
    </row>
    <row r="1194" ht="37" customHeight="1">
      <c r="B1194" s="33" t="inlineStr">
        <is>
          <t>uma nave da Frota de Jade procura alguém com uma cicatriz no queixo</t>
        </is>
      </c>
      <c r="C1194" s="4" t="n"/>
      <c r="D1194" s="4" t="n"/>
      <c r="E1194" s="4" t="n"/>
      <c r="F1194" s="4" t="n"/>
      <c r="G1194" s="4" t="n"/>
      <c r="H1194" s="4" t="n"/>
      <c r="I1194" s="4" t="n"/>
      <c r="J1194" s="4" t="n"/>
      <c r="K1194" s="19">
        <f>IF(AG1194&gt;0,"O Google leu como fórmula: digite de novo com ' na frente.","")</f>
        <v/>
      </c>
      <c r="N1194" s="2">
        <f>N1193+IF(LEN($X$1194)&gt;0,1,0)</f>
        <v/>
      </c>
      <c r="O1194" s="2">
        <f>O1193+IF(LEN($Y$1194)&gt;0,1,0)</f>
        <v/>
      </c>
      <c r="P1194" s="2">
        <f>P1193+IF(LEN($Z$1194)&gt;0,1,0)</f>
        <v/>
      </c>
      <c r="Q1194" s="2">
        <f>Q1193+IF(LEN($AA$1194)&gt;0,1,0)</f>
        <v/>
      </c>
      <c r="R1194" s="2">
        <f>R1193+IF(LEN($AB$1194)&gt;0,1,0)</f>
        <v/>
      </c>
      <c r="S1194" s="2">
        <f>S1193+IF(LEN($AC$1194)&gt;0,1,0)</f>
        <v/>
      </c>
      <c r="T1194" s="2">
        <f>T1193+IF(LEN($AD$1194)&gt;0,1,0)</f>
        <v/>
      </c>
      <c r="U1194" s="2">
        <f>U1193+IF(LEN($AE$1194)&gt;0,1,0)</f>
        <v/>
      </c>
      <c r="X1194" s="2">
        <f>IF(ISERROR($B$1194),"",IF(ISBLANK($B$1194),"",$B$1194))</f>
        <v/>
      </c>
      <c r="Y1194" s="2">
        <f>IF(ISERROR($C$1194),"",IF(ISBLANK($C$1194),"",$C$1194))</f>
        <v/>
      </c>
      <c r="Z1194" s="2">
        <f>IF(ISERROR($D$1194),"",IF(ISBLANK($D$1194),"",$D$1194))</f>
        <v/>
      </c>
      <c r="AA1194" s="2">
        <f>IF(ISERROR($E$1194),"",IF(ISBLANK($E$1194),"",$E$1194))</f>
        <v/>
      </c>
      <c r="AB1194" s="2">
        <f>IF(ISERROR($F$1194),"",IF(ISBLANK($F$1194),"",$F$1194))</f>
        <v/>
      </c>
      <c r="AC1194" s="2">
        <f>IF(ISERROR($G$1194),"",IF(ISBLANK($G$1194),"",$G$1194))</f>
        <v/>
      </c>
      <c r="AD1194" s="2">
        <f>IF(ISERROR($H$1194),"",IF(ISBLANK($H$1194),"",$H$1194))</f>
        <v/>
      </c>
      <c r="AE1194" s="2">
        <f>IF(ISERROR($I$1194),"",IF(ISBLANK($I$1194),"",$I$1194))</f>
        <v/>
      </c>
      <c r="AF1194" s="2">
        <f>IF(ISERROR($J$1194),"",IF(ISBLANK($J$1194),"",$J$1194))</f>
        <v/>
      </c>
      <c r="AG1194" s="2">
        <f>ISERROR($B$1194)*1+ISERROR($C$1194)*1+ISERROR($D$1194)*1+ISERROR($E$1194)*1+ISERROR($F$1194)*1+ISERROR($G$1194)*1+ISERROR($H$1194)*1+ISERROR($I$1194)*1+ISERROR($J$1194)*1</f>
        <v/>
      </c>
    </row>
    <row r="1195" ht="26" customHeight="1">
      <c r="B1195" s="35" t="inlineStr">
        <is>
          <t>o casamento de amanhã é uma armadilha</t>
        </is>
      </c>
      <c r="C1195" s="29" t="n"/>
      <c r="D1195" s="29" t="n"/>
      <c r="E1195" s="29" t="n"/>
      <c r="F1195" s="29" t="n"/>
      <c r="G1195" s="29" t="n"/>
      <c r="H1195" s="29" t="n"/>
      <c r="I1195" s="29" t="n"/>
      <c r="J1195" s="29" t="n"/>
      <c r="K1195" s="19">
        <f>IF(AG1195&gt;0,"O Google leu como fórmula: digite de novo com ' na frente.","")</f>
        <v/>
      </c>
      <c r="N1195" s="2">
        <f>N1194+IF(LEN($X$1195)&gt;0,1,0)</f>
        <v/>
      </c>
      <c r="O1195" s="2">
        <f>O1194+IF(LEN($Y$1195)&gt;0,1,0)</f>
        <v/>
      </c>
      <c r="P1195" s="2">
        <f>P1194+IF(LEN($Z$1195)&gt;0,1,0)</f>
        <v/>
      </c>
      <c r="Q1195" s="2">
        <f>Q1194+IF(LEN($AA$1195)&gt;0,1,0)</f>
        <v/>
      </c>
      <c r="R1195" s="2">
        <f>R1194+IF(LEN($AB$1195)&gt;0,1,0)</f>
        <v/>
      </c>
      <c r="S1195" s="2">
        <f>S1194+IF(LEN($AC$1195)&gt;0,1,0)</f>
        <v/>
      </c>
      <c r="T1195" s="2">
        <f>T1194+IF(LEN($AD$1195)&gt;0,1,0)</f>
        <v/>
      </c>
      <c r="U1195" s="2">
        <f>U1194+IF(LEN($AE$1195)&gt;0,1,0)</f>
        <v/>
      </c>
      <c r="X1195" s="2">
        <f>IF(ISERROR($B$1195),"",IF(ISBLANK($B$1195),"",$B$1195))</f>
        <v/>
      </c>
      <c r="Y1195" s="2">
        <f>IF(ISERROR($C$1195),"",IF(ISBLANK($C$1195),"",$C$1195))</f>
        <v/>
      </c>
      <c r="Z1195" s="2">
        <f>IF(ISERROR($D$1195),"",IF(ISBLANK($D$1195),"",$D$1195))</f>
        <v/>
      </c>
      <c r="AA1195" s="2">
        <f>IF(ISERROR($E$1195),"",IF(ISBLANK($E$1195),"",$E$1195))</f>
        <v/>
      </c>
      <c r="AB1195" s="2">
        <f>IF(ISERROR($F$1195),"",IF(ISBLANK($F$1195),"",$F$1195))</f>
        <v/>
      </c>
      <c r="AC1195" s="2">
        <f>IF(ISERROR($G$1195),"",IF(ISBLANK($G$1195),"",$G$1195))</f>
        <v/>
      </c>
      <c r="AD1195" s="2">
        <f>IF(ISERROR($H$1195),"",IF(ISBLANK($H$1195),"",$H$1195))</f>
        <v/>
      </c>
      <c r="AE1195" s="2">
        <f>IF(ISERROR($I$1195),"",IF(ISBLANK($I$1195),"",$I$1195))</f>
        <v/>
      </c>
      <c r="AF1195" s="2">
        <f>IF(ISERROR($J$1195),"",IF(ISBLANK($J$1195),"",$J$1195))</f>
        <v/>
      </c>
      <c r="AG1195" s="2">
        <f>ISERROR($B$1195)*1+ISERROR($C$1195)*1+ISERROR($D$1195)*1+ISERROR($E$1195)*1+ISERROR($F$1195)*1+ISERROR($G$1195)*1+ISERROR($H$1195)*1+ISERROR($I$1195)*1+ISERROR($J$1195)*1</f>
        <v/>
      </c>
    </row>
    <row r="1196" ht="26" customHeight="1">
      <c r="B1196" s="33" t="inlineStr">
        <is>
          <t>o cozinheiro da estação já foi capitão de guerra</t>
        </is>
      </c>
      <c r="C1196" s="4" t="n"/>
      <c r="D1196" s="4" t="n"/>
      <c r="E1196" s="4" t="n"/>
      <c r="F1196" s="4" t="n"/>
      <c r="G1196" s="4" t="n"/>
      <c r="H1196" s="4" t="n"/>
      <c r="I1196" s="4" t="n"/>
      <c r="J1196" s="4" t="n"/>
      <c r="K1196" s="19">
        <f>IF(AG1196&gt;0,"O Google leu como fórmula: digite de novo com ' na frente.","")</f>
        <v/>
      </c>
      <c r="N1196" s="2">
        <f>N1195+IF(LEN($X$1196)&gt;0,1,0)</f>
        <v/>
      </c>
      <c r="O1196" s="2">
        <f>O1195+IF(LEN($Y$1196)&gt;0,1,0)</f>
        <v/>
      </c>
      <c r="P1196" s="2">
        <f>P1195+IF(LEN($Z$1196)&gt;0,1,0)</f>
        <v/>
      </c>
      <c r="Q1196" s="2">
        <f>Q1195+IF(LEN($AA$1196)&gt;0,1,0)</f>
        <v/>
      </c>
      <c r="R1196" s="2">
        <f>R1195+IF(LEN($AB$1196)&gt;0,1,0)</f>
        <v/>
      </c>
      <c r="S1196" s="2">
        <f>S1195+IF(LEN($AC$1196)&gt;0,1,0)</f>
        <v/>
      </c>
      <c r="T1196" s="2">
        <f>T1195+IF(LEN($AD$1196)&gt;0,1,0)</f>
        <v/>
      </c>
      <c r="U1196" s="2">
        <f>U1195+IF(LEN($AE$1196)&gt;0,1,0)</f>
        <v/>
      </c>
      <c r="X1196" s="2">
        <f>IF(ISERROR($B$1196),"",IF(ISBLANK($B$1196),"",$B$1196))</f>
        <v/>
      </c>
      <c r="Y1196" s="2">
        <f>IF(ISERROR($C$1196),"",IF(ISBLANK($C$1196),"",$C$1196))</f>
        <v/>
      </c>
      <c r="Z1196" s="2">
        <f>IF(ISERROR($D$1196),"",IF(ISBLANK($D$1196),"",$D$1196))</f>
        <v/>
      </c>
      <c r="AA1196" s="2">
        <f>IF(ISERROR($E$1196),"",IF(ISBLANK($E$1196),"",$E$1196))</f>
        <v/>
      </c>
      <c r="AB1196" s="2">
        <f>IF(ISERROR($F$1196),"",IF(ISBLANK($F$1196),"",$F$1196))</f>
        <v/>
      </c>
      <c r="AC1196" s="2">
        <f>IF(ISERROR($G$1196),"",IF(ISBLANK($G$1196),"",$G$1196))</f>
        <v/>
      </c>
      <c r="AD1196" s="2">
        <f>IF(ISERROR($H$1196),"",IF(ISBLANK($H$1196),"",$H$1196))</f>
        <v/>
      </c>
      <c r="AE1196" s="2">
        <f>IF(ISERROR($I$1196),"",IF(ISBLANK($I$1196),"",$I$1196))</f>
        <v/>
      </c>
      <c r="AF1196" s="2">
        <f>IF(ISERROR($J$1196),"",IF(ISBLANK($J$1196),"",$J$1196))</f>
        <v/>
      </c>
      <c r="AG1196" s="2">
        <f>ISERROR($B$1196)*1+ISERROR($C$1196)*1+ISERROR($D$1196)*1+ISERROR($E$1196)*1+ISERROR($F$1196)*1+ISERROR($G$1196)*1+ISERROR($H$1196)*1+ISERROR($I$1196)*1+ISERROR($J$1196)*1</f>
        <v/>
      </c>
    </row>
    <row r="1197" ht="37" customHeight="1">
      <c r="B1197" s="35" t="inlineStr">
        <is>
          <t>a Corporação ofereceu seguro de vida a todos os moradores, de graça</t>
        </is>
      </c>
      <c r="C1197" s="29" t="n"/>
      <c r="D1197" s="29" t="n"/>
      <c r="E1197" s="29" t="n"/>
      <c r="F1197" s="29" t="n"/>
      <c r="G1197" s="29" t="n"/>
      <c r="H1197" s="29" t="n"/>
      <c r="I1197" s="29" t="n"/>
      <c r="J1197" s="29" t="n"/>
      <c r="K1197" s="19">
        <f>IF(AG1197&gt;0,"O Google leu como fórmula: digite de novo com ' na frente.","")</f>
        <v/>
      </c>
      <c r="N1197" s="2">
        <f>N1196+IF(LEN($X$1197)&gt;0,1,0)</f>
        <v/>
      </c>
      <c r="O1197" s="2">
        <f>O1196+IF(LEN($Y$1197)&gt;0,1,0)</f>
        <v/>
      </c>
      <c r="P1197" s="2">
        <f>P1196+IF(LEN($Z$1197)&gt;0,1,0)</f>
        <v/>
      </c>
      <c r="Q1197" s="2">
        <f>Q1196+IF(LEN($AA$1197)&gt;0,1,0)</f>
        <v/>
      </c>
      <c r="R1197" s="2">
        <f>R1196+IF(LEN($AB$1197)&gt;0,1,0)</f>
        <v/>
      </c>
      <c r="S1197" s="2">
        <f>S1196+IF(LEN($AC$1197)&gt;0,1,0)</f>
        <v/>
      </c>
      <c r="T1197" s="2">
        <f>T1196+IF(LEN($AD$1197)&gt;0,1,0)</f>
        <v/>
      </c>
      <c r="U1197" s="2">
        <f>U1196+IF(LEN($AE$1197)&gt;0,1,0)</f>
        <v/>
      </c>
      <c r="X1197" s="2">
        <f>IF(ISERROR($B$1197),"",IF(ISBLANK($B$1197),"",$B$1197))</f>
        <v/>
      </c>
      <c r="Y1197" s="2">
        <f>IF(ISERROR($C$1197),"",IF(ISBLANK($C$1197),"",$C$1197))</f>
        <v/>
      </c>
      <c r="Z1197" s="2">
        <f>IF(ISERROR($D$1197),"",IF(ISBLANK($D$1197),"",$D$1197))</f>
        <v/>
      </c>
      <c r="AA1197" s="2">
        <f>IF(ISERROR($E$1197),"",IF(ISBLANK($E$1197),"",$E$1197))</f>
        <v/>
      </c>
      <c r="AB1197" s="2">
        <f>IF(ISERROR($F$1197),"",IF(ISBLANK($F$1197),"",$F$1197))</f>
        <v/>
      </c>
      <c r="AC1197" s="2">
        <f>IF(ISERROR($G$1197),"",IF(ISBLANK($G$1197),"",$G$1197))</f>
        <v/>
      </c>
      <c r="AD1197" s="2">
        <f>IF(ISERROR($H$1197),"",IF(ISBLANK($H$1197),"",$H$1197))</f>
        <v/>
      </c>
      <c r="AE1197" s="2">
        <f>IF(ISERROR($I$1197),"",IF(ISBLANK($I$1197),"",$I$1197))</f>
        <v/>
      </c>
      <c r="AF1197" s="2">
        <f>IF(ISERROR($J$1197),"",IF(ISBLANK($J$1197),"",$J$1197))</f>
        <v/>
      </c>
      <c r="AG1197" s="2">
        <f>ISERROR($B$1197)*1+ISERROR($C$1197)*1+ISERROR($D$1197)*1+ISERROR($E$1197)*1+ISERROR($F$1197)*1+ISERROR($G$1197)*1+ISERROR($H$1197)*1+ISERROR($I$1197)*1+ISERROR($J$1197)*1</f>
        <v/>
      </c>
    </row>
    <row r="1198" ht="26" customHeight="1">
      <c r="B1198" s="33" t="inlineStr">
        <is>
          <t>um farol apagado voltou a piscar uma mensagem</t>
        </is>
      </c>
      <c r="C1198" s="4" t="n"/>
      <c r="D1198" s="4" t="n"/>
      <c r="E1198" s="4" t="n"/>
      <c r="F1198" s="4" t="n"/>
      <c r="G1198" s="4" t="n"/>
      <c r="H1198" s="4" t="n"/>
      <c r="I1198" s="4" t="n"/>
      <c r="J1198" s="4" t="n"/>
      <c r="K1198" s="19">
        <f>IF(AG1198&gt;0,"O Google leu como fórmula: digite de novo com ' na frente.","")</f>
        <v/>
      </c>
      <c r="N1198" s="2">
        <f>N1197+IF(LEN($X$1198)&gt;0,1,0)</f>
        <v/>
      </c>
      <c r="O1198" s="2">
        <f>O1197+IF(LEN($Y$1198)&gt;0,1,0)</f>
        <v/>
      </c>
      <c r="P1198" s="2">
        <f>P1197+IF(LEN($Z$1198)&gt;0,1,0)</f>
        <v/>
      </c>
      <c r="Q1198" s="2">
        <f>Q1197+IF(LEN($AA$1198)&gt;0,1,0)</f>
        <v/>
      </c>
      <c r="R1198" s="2">
        <f>R1197+IF(LEN($AB$1198)&gt;0,1,0)</f>
        <v/>
      </c>
      <c r="S1198" s="2">
        <f>S1197+IF(LEN($AC$1198)&gt;0,1,0)</f>
        <v/>
      </c>
      <c r="T1198" s="2">
        <f>T1197+IF(LEN($AD$1198)&gt;0,1,0)</f>
        <v/>
      </c>
      <c r="U1198" s="2">
        <f>U1197+IF(LEN($AE$1198)&gt;0,1,0)</f>
        <v/>
      </c>
      <c r="X1198" s="2">
        <f>IF(ISERROR($B$1198),"",IF(ISBLANK($B$1198),"",$B$1198))</f>
        <v/>
      </c>
      <c r="Y1198" s="2">
        <f>IF(ISERROR($C$1198),"",IF(ISBLANK($C$1198),"",$C$1198))</f>
        <v/>
      </c>
      <c r="Z1198" s="2">
        <f>IF(ISERROR($D$1198),"",IF(ISBLANK($D$1198),"",$D$1198))</f>
        <v/>
      </c>
      <c r="AA1198" s="2">
        <f>IF(ISERROR($E$1198),"",IF(ISBLANK($E$1198),"",$E$1198))</f>
        <v/>
      </c>
      <c r="AB1198" s="2">
        <f>IF(ISERROR($F$1198),"",IF(ISBLANK($F$1198),"",$F$1198))</f>
        <v/>
      </c>
      <c r="AC1198" s="2">
        <f>IF(ISERROR($G$1198),"",IF(ISBLANK($G$1198),"",$G$1198))</f>
        <v/>
      </c>
      <c r="AD1198" s="2">
        <f>IF(ISERROR($H$1198),"",IF(ISBLANK($H$1198),"",$H$1198))</f>
        <v/>
      </c>
      <c r="AE1198" s="2">
        <f>IF(ISERROR($I$1198),"",IF(ISBLANK($I$1198),"",$I$1198))</f>
        <v/>
      </c>
      <c r="AF1198" s="2">
        <f>IF(ISERROR($J$1198),"",IF(ISBLANK($J$1198),"",$J$1198))</f>
        <v/>
      </c>
      <c r="AG1198" s="2">
        <f>ISERROR($B$1198)*1+ISERROR($C$1198)*1+ISERROR($D$1198)*1+ISERROR($E$1198)*1+ISERROR($F$1198)*1+ISERROR($G$1198)*1+ISERROR($H$1198)*1+ISERROR($I$1198)*1+ISERROR($J$1198)*1</f>
        <v/>
      </c>
    </row>
    <row r="1199" ht="37" customHeight="1">
      <c r="B1199" s="35" t="inlineStr">
        <is>
          <t>alguém viu um personagem do grupo num lugar onde ele nunca esteve</t>
        </is>
      </c>
      <c r="C1199" s="29" t="n"/>
      <c r="D1199" s="29" t="n"/>
      <c r="E1199" s="29" t="n"/>
      <c r="F1199" s="29" t="n"/>
      <c r="G1199" s="29" t="n"/>
      <c r="H1199" s="29" t="n"/>
      <c r="I1199" s="29" t="n"/>
      <c r="J1199" s="29" t="n"/>
      <c r="K1199" s="19">
        <f>IF(AG1199&gt;0,"O Google leu como fórmula: digite de novo com ' na frente.","")</f>
        <v/>
      </c>
      <c r="N1199" s="2">
        <f>N1198+IF(LEN($X$1199)&gt;0,1,0)</f>
        <v/>
      </c>
      <c r="O1199" s="2">
        <f>O1198+IF(LEN($Y$1199)&gt;0,1,0)</f>
        <v/>
      </c>
      <c r="P1199" s="2">
        <f>P1198+IF(LEN($Z$1199)&gt;0,1,0)</f>
        <v/>
      </c>
      <c r="Q1199" s="2">
        <f>Q1198+IF(LEN($AA$1199)&gt;0,1,0)</f>
        <v/>
      </c>
      <c r="R1199" s="2">
        <f>R1198+IF(LEN($AB$1199)&gt;0,1,0)</f>
        <v/>
      </c>
      <c r="S1199" s="2">
        <f>S1198+IF(LEN($AC$1199)&gt;0,1,0)</f>
        <v/>
      </c>
      <c r="T1199" s="2">
        <f>T1198+IF(LEN($AD$1199)&gt;0,1,0)</f>
        <v/>
      </c>
      <c r="U1199" s="2">
        <f>U1198+IF(LEN($AE$1199)&gt;0,1,0)</f>
        <v/>
      </c>
      <c r="X1199" s="2">
        <f>IF(ISERROR($B$1199),"",IF(ISBLANK($B$1199),"",$B$1199))</f>
        <v/>
      </c>
      <c r="Y1199" s="2">
        <f>IF(ISERROR($C$1199),"",IF(ISBLANK($C$1199),"",$C$1199))</f>
        <v/>
      </c>
      <c r="Z1199" s="2">
        <f>IF(ISERROR($D$1199),"",IF(ISBLANK($D$1199),"",$D$1199))</f>
        <v/>
      </c>
      <c r="AA1199" s="2">
        <f>IF(ISERROR($E$1199),"",IF(ISBLANK($E$1199),"",$E$1199))</f>
        <v/>
      </c>
      <c r="AB1199" s="2">
        <f>IF(ISERROR($F$1199),"",IF(ISBLANK($F$1199),"",$F$1199))</f>
        <v/>
      </c>
      <c r="AC1199" s="2">
        <f>IF(ISERROR($G$1199),"",IF(ISBLANK($G$1199),"",$G$1199))</f>
        <v/>
      </c>
      <c r="AD1199" s="2">
        <f>IF(ISERROR($H$1199),"",IF(ISBLANK($H$1199),"",$H$1199))</f>
        <v/>
      </c>
      <c r="AE1199" s="2">
        <f>IF(ISERROR($I$1199),"",IF(ISBLANK($I$1199),"",$I$1199))</f>
        <v/>
      </c>
      <c r="AF1199" s="2">
        <f>IF(ISERROR($J$1199),"",IF(ISBLANK($J$1199),"",$J$1199))</f>
        <v/>
      </c>
      <c r="AG1199" s="2">
        <f>ISERROR($B$1199)*1+ISERROR($C$1199)*1+ISERROR($D$1199)*1+ISERROR($E$1199)*1+ISERROR($F$1199)*1+ISERROR($G$1199)*1+ISERROR($H$1199)*1+ISERROR($I$1199)*1+ISERROR($J$1199)*1</f>
        <v/>
      </c>
    </row>
    <row r="1200" ht="37" customHeight="1">
      <c r="B1200" s="33" t="inlineStr">
        <is>
          <t>as lojas estão sem trajes de vedação, todas ao mesmo tempo</t>
        </is>
      </c>
      <c r="C1200" s="4" t="n"/>
      <c r="D1200" s="4" t="n"/>
      <c r="E1200" s="4" t="n"/>
      <c r="F1200" s="4" t="n"/>
      <c r="G1200" s="4" t="n"/>
      <c r="H1200" s="4" t="n"/>
      <c r="I1200" s="4" t="n"/>
      <c r="J1200" s="4" t="n"/>
      <c r="K1200" s="19">
        <f>IF(AG1200&gt;0,"O Google leu como fórmula: digite de novo com ' na frente.","")</f>
        <v/>
      </c>
      <c r="N1200" s="2">
        <f>N1199+IF(LEN($X$1200)&gt;0,1,0)</f>
        <v/>
      </c>
      <c r="O1200" s="2">
        <f>O1199+IF(LEN($Y$1200)&gt;0,1,0)</f>
        <v/>
      </c>
      <c r="P1200" s="2">
        <f>P1199+IF(LEN($Z$1200)&gt;0,1,0)</f>
        <v/>
      </c>
      <c r="Q1200" s="2">
        <f>Q1199+IF(LEN($AA$1200)&gt;0,1,0)</f>
        <v/>
      </c>
      <c r="R1200" s="2">
        <f>R1199+IF(LEN($AB$1200)&gt;0,1,0)</f>
        <v/>
      </c>
      <c r="S1200" s="2">
        <f>S1199+IF(LEN($AC$1200)&gt;0,1,0)</f>
        <v/>
      </c>
      <c r="T1200" s="2">
        <f>T1199+IF(LEN($AD$1200)&gt;0,1,0)</f>
        <v/>
      </c>
      <c r="U1200" s="2">
        <f>U1199+IF(LEN($AE$1200)&gt;0,1,0)</f>
        <v/>
      </c>
      <c r="X1200" s="2">
        <f>IF(ISERROR($B$1200),"",IF(ISBLANK($B$1200),"",$B$1200))</f>
        <v/>
      </c>
      <c r="Y1200" s="2">
        <f>IF(ISERROR($C$1200),"",IF(ISBLANK($C$1200),"",$C$1200))</f>
        <v/>
      </c>
      <c r="Z1200" s="2">
        <f>IF(ISERROR($D$1200),"",IF(ISBLANK($D$1200),"",$D$1200))</f>
        <v/>
      </c>
      <c r="AA1200" s="2">
        <f>IF(ISERROR($E$1200),"",IF(ISBLANK($E$1200),"",$E$1200))</f>
        <v/>
      </c>
      <c r="AB1200" s="2">
        <f>IF(ISERROR($F$1200),"",IF(ISBLANK($F$1200),"",$F$1200))</f>
        <v/>
      </c>
      <c r="AC1200" s="2">
        <f>IF(ISERROR($G$1200),"",IF(ISBLANK($G$1200),"",$G$1200))</f>
        <v/>
      </c>
      <c r="AD1200" s="2">
        <f>IF(ISERROR($H$1200),"",IF(ISBLANK($H$1200),"",$H$1200))</f>
        <v/>
      </c>
      <c r="AE1200" s="2">
        <f>IF(ISERROR($I$1200),"",IF(ISBLANK($I$1200),"",$I$1200))</f>
        <v/>
      </c>
      <c r="AF1200" s="2">
        <f>IF(ISERROR($J$1200),"",IF(ISBLANK($J$1200),"",$J$1200))</f>
        <v/>
      </c>
      <c r="AG1200" s="2">
        <f>ISERROR($B$1200)*1+ISERROR($C$1200)*1+ISERROR($D$1200)*1+ISERROR($E$1200)*1+ISERROR($F$1200)*1+ISERROR($G$1200)*1+ISERROR($H$1200)*1+ISERROR($I$1200)*1+ISERROR($J$1200)*1</f>
        <v/>
      </c>
    </row>
    <row r="1201" ht="37" customHeight="1">
      <c r="B1201" s="35" t="inlineStr">
        <is>
          <t>o Culto da Inexistência deixou uma flor em cada porta</t>
        </is>
      </c>
      <c r="C1201" s="29" t="n"/>
      <c r="D1201" s="29" t="n"/>
      <c r="E1201" s="29" t="n"/>
      <c r="F1201" s="29" t="n"/>
      <c r="G1201" s="29" t="n"/>
      <c r="H1201" s="29" t="n"/>
      <c r="I1201" s="29" t="n"/>
      <c r="J1201" s="29" t="n"/>
      <c r="K1201" s="19">
        <f>IF(AG1201&gt;0,"O Google leu como fórmula: digite de novo com ' na frente.","")</f>
        <v/>
      </c>
      <c r="N1201" s="2">
        <f>N1200+IF(LEN($X$1201)&gt;0,1,0)</f>
        <v/>
      </c>
      <c r="O1201" s="2">
        <f>O1200+IF(LEN($Y$1201)&gt;0,1,0)</f>
        <v/>
      </c>
      <c r="P1201" s="2">
        <f>P1200+IF(LEN($Z$1201)&gt;0,1,0)</f>
        <v/>
      </c>
      <c r="Q1201" s="2">
        <f>Q1200+IF(LEN($AA$1201)&gt;0,1,0)</f>
        <v/>
      </c>
      <c r="R1201" s="2">
        <f>R1200+IF(LEN($AB$1201)&gt;0,1,0)</f>
        <v/>
      </c>
      <c r="S1201" s="2">
        <f>S1200+IF(LEN($AC$1201)&gt;0,1,0)</f>
        <v/>
      </c>
      <c r="T1201" s="2">
        <f>T1200+IF(LEN($AD$1201)&gt;0,1,0)</f>
        <v/>
      </c>
      <c r="U1201" s="2">
        <f>U1200+IF(LEN($AE$1201)&gt;0,1,0)</f>
        <v/>
      </c>
      <c r="X1201" s="2">
        <f>IF(ISERROR($B$1201),"",IF(ISBLANK($B$1201),"",$B$1201))</f>
        <v/>
      </c>
      <c r="Y1201" s="2">
        <f>IF(ISERROR($C$1201),"",IF(ISBLANK($C$1201),"",$C$1201))</f>
        <v/>
      </c>
      <c r="Z1201" s="2">
        <f>IF(ISERROR($D$1201),"",IF(ISBLANK($D$1201),"",$D$1201))</f>
        <v/>
      </c>
      <c r="AA1201" s="2">
        <f>IF(ISERROR($E$1201),"",IF(ISBLANK($E$1201),"",$E$1201))</f>
        <v/>
      </c>
      <c r="AB1201" s="2">
        <f>IF(ISERROR($F$1201),"",IF(ISBLANK($F$1201),"",$F$1201))</f>
        <v/>
      </c>
      <c r="AC1201" s="2">
        <f>IF(ISERROR($G$1201),"",IF(ISBLANK($G$1201),"",$G$1201))</f>
        <v/>
      </c>
      <c r="AD1201" s="2">
        <f>IF(ISERROR($H$1201),"",IF(ISBLANK($H$1201),"",$H$1201))</f>
        <v/>
      </c>
      <c r="AE1201" s="2">
        <f>IF(ISERROR($I$1201),"",IF(ISBLANK($I$1201),"",$I$1201))</f>
        <v/>
      </c>
      <c r="AF1201" s="2">
        <f>IF(ISERROR($J$1201),"",IF(ISBLANK($J$1201),"",$J$1201))</f>
        <v/>
      </c>
      <c r="AG1201" s="2">
        <f>ISERROR($B$1201)*1+ISERROR($C$1201)*1+ISERROR($D$1201)*1+ISERROR($E$1201)*1+ISERROR($F$1201)*1+ISERROR($G$1201)*1+ISERROR($H$1201)*1+ISERROR($I$1201)*1+ISERROR($J$1201)*1</f>
        <v/>
      </c>
    </row>
    <row r="1202" ht="26" customHeight="1">
      <c r="B1202" s="33" t="inlineStr">
        <is>
          <t>um velho jura que conhece a cura para o Fragmentum</t>
        </is>
      </c>
      <c r="C1202" s="4" t="n"/>
      <c r="D1202" s="4" t="n"/>
      <c r="E1202" s="4" t="n"/>
      <c r="F1202" s="4" t="n"/>
      <c r="G1202" s="4" t="n"/>
      <c r="H1202" s="4" t="n"/>
      <c r="I1202" s="4" t="n"/>
      <c r="J1202" s="4" t="n"/>
      <c r="K1202" s="19">
        <f>IF(AG1202&gt;0,"O Google leu como fórmula: digite de novo com ' na frente.","")</f>
        <v/>
      </c>
      <c r="N1202" s="2">
        <f>N1201+IF(LEN($X$1202)&gt;0,1,0)</f>
        <v/>
      </c>
      <c r="O1202" s="2">
        <f>O1201+IF(LEN($Y$1202)&gt;0,1,0)</f>
        <v/>
      </c>
      <c r="P1202" s="2">
        <f>P1201+IF(LEN($Z$1202)&gt;0,1,0)</f>
        <v/>
      </c>
      <c r="Q1202" s="2">
        <f>Q1201+IF(LEN($AA$1202)&gt;0,1,0)</f>
        <v/>
      </c>
      <c r="R1202" s="2">
        <f>R1201+IF(LEN($AB$1202)&gt;0,1,0)</f>
        <v/>
      </c>
      <c r="S1202" s="2">
        <f>S1201+IF(LEN($AC$1202)&gt;0,1,0)</f>
        <v/>
      </c>
      <c r="T1202" s="2">
        <f>T1201+IF(LEN($AD$1202)&gt;0,1,0)</f>
        <v/>
      </c>
      <c r="U1202" s="2">
        <f>U1201+IF(LEN($AE$1202)&gt;0,1,0)</f>
        <v/>
      </c>
      <c r="X1202" s="2">
        <f>IF(ISERROR($B$1202),"",IF(ISBLANK($B$1202),"",$B$1202))</f>
        <v/>
      </c>
      <c r="Y1202" s="2">
        <f>IF(ISERROR($C$1202),"",IF(ISBLANK($C$1202),"",$C$1202))</f>
        <v/>
      </c>
      <c r="Z1202" s="2">
        <f>IF(ISERROR($D$1202),"",IF(ISBLANK($D$1202),"",$D$1202))</f>
        <v/>
      </c>
      <c r="AA1202" s="2">
        <f>IF(ISERROR($E$1202),"",IF(ISBLANK($E$1202),"",$E$1202))</f>
        <v/>
      </c>
      <c r="AB1202" s="2">
        <f>IF(ISERROR($F$1202),"",IF(ISBLANK($F$1202),"",$F$1202))</f>
        <v/>
      </c>
      <c r="AC1202" s="2">
        <f>IF(ISERROR($G$1202),"",IF(ISBLANK($G$1202),"",$G$1202))</f>
        <v/>
      </c>
      <c r="AD1202" s="2">
        <f>IF(ISERROR($H$1202),"",IF(ISBLANK($H$1202),"",$H$1202))</f>
        <v/>
      </c>
      <c r="AE1202" s="2">
        <f>IF(ISERROR($I$1202),"",IF(ISBLANK($I$1202),"",$I$1202))</f>
        <v/>
      </c>
      <c r="AF1202" s="2">
        <f>IF(ISERROR($J$1202),"",IF(ISBLANK($J$1202),"",$J$1202))</f>
        <v/>
      </c>
      <c r="AG1202" s="2">
        <f>ISERROR($B$1202)*1+ISERROR($C$1202)*1+ISERROR($D$1202)*1+ISERROR($E$1202)*1+ISERROR($F$1202)*1+ISERROR($G$1202)*1+ISERROR($H$1202)*1+ISERROR($I$1202)*1+ISERROR($J$1202)*1</f>
        <v/>
      </c>
    </row>
    <row r="1203" ht="26" customHeight="1">
      <c r="B1203" s="8" t="inlineStr">
        <is>
          <t>Rumor</t>
        </is>
      </c>
      <c r="C1203" s="8" t="inlineStr">
        <is>
          <t>Veracidade do rumor (peso)</t>
        </is>
      </c>
      <c r="D1203" s="8" t="inlineStr">
        <is>
          <t>Evento de viagem</t>
        </is>
      </c>
      <c r="E1203" s="8" t="inlineStr">
        <is>
          <t>Evento no espaço</t>
        </is>
      </c>
      <c r="F1203" s="8" t="inlineStr">
        <is>
          <t>Evento na cidade</t>
        </is>
      </c>
      <c r="G1203" s="8" t="inlineStr">
        <is>
          <t>Falhe para frente: o custo</t>
        </is>
      </c>
      <c r="H1203" s="8" t="inlineStr">
        <is>
          <t>Item fora do comum (loja)</t>
        </is>
      </c>
      <c r="I1203" s="8" t="inlineStr">
        <is>
          <t>Oráculo: resposta</t>
        </is>
      </c>
      <c r="J1203" s="8" t="inlineStr">
        <is>
          <t>Oráculo: até (d20 + modificador)</t>
        </is>
      </c>
      <c r="N1203" s="2">
        <f>N1202</f>
        <v/>
      </c>
      <c r="O1203" s="2">
        <f>O1202</f>
        <v/>
      </c>
      <c r="P1203" s="2">
        <f>P1202</f>
        <v/>
      </c>
      <c r="Q1203" s="2">
        <f>Q1202</f>
        <v/>
      </c>
      <c r="R1203" s="2">
        <f>R1202</f>
        <v/>
      </c>
      <c r="S1203" s="2">
        <f>S1202</f>
        <v/>
      </c>
      <c r="T1203" s="2">
        <f>T1202</f>
        <v/>
      </c>
      <c r="U1203" s="2">
        <f>U1202</f>
        <v/>
      </c>
      <c r="X1203" s="2">
        <f>IF(ISERROR($B$1203),"",IF(ISBLANK($B$1203),"",$B$1203))</f>
        <v/>
      </c>
      <c r="Y1203" s="2">
        <f>IF(ISERROR($C$1203),"",IF(ISBLANK($C$1203),"",$C$1203))</f>
        <v/>
      </c>
      <c r="Z1203" s="2">
        <f>IF(ISERROR($D$1203),"",IF(ISBLANK($D$1203),"",$D$1203))</f>
        <v/>
      </c>
      <c r="AA1203" s="2">
        <f>IF(ISERROR($E$1203),"",IF(ISBLANK($E$1203),"",$E$1203))</f>
        <v/>
      </c>
      <c r="AB1203" s="2">
        <f>IF(ISERROR($F$1203),"",IF(ISBLANK($F$1203),"",$F$1203))</f>
        <v/>
      </c>
      <c r="AC1203" s="2">
        <f>IF(ISERROR($G$1203),"",IF(ISBLANK($G$1203),"",$G$1203))</f>
        <v/>
      </c>
      <c r="AD1203" s="2">
        <f>IF(ISERROR($H$1203),"",IF(ISBLANK($H$1203),"",$H$1203))</f>
        <v/>
      </c>
      <c r="AE1203" s="2">
        <f>IF(ISERROR($I$1203),"",IF(ISBLANK($I$1203),"",$I$1203))</f>
        <v/>
      </c>
      <c r="AF1203" s="2">
        <f>IF(ISERROR($J$1203),"",IF(ISBLANK($J$1203),"",$J$1203))</f>
        <v/>
      </c>
    </row>
    <row r="1204" ht="37" customHeight="1">
      <c r="B1204" s="33" t="inlineStr">
        <is>
          <t>a melhor pilota da doca perdeu uma aposta e agora deve um favor perigoso</t>
        </is>
      </c>
      <c r="C1204" s="4" t="n"/>
      <c r="D1204" s="4" t="n"/>
      <c r="E1204" s="4" t="n"/>
      <c r="F1204" s="4" t="n"/>
      <c r="G1204" s="4" t="n"/>
      <c r="H1204" s="4" t="n"/>
      <c r="I1204" s="4" t="n"/>
      <c r="J1204" s="4" t="n"/>
      <c r="K1204" s="19">
        <f>IF(AG1204&gt;0,"O Google leu como fórmula: digite de novo com ' na frente.","")</f>
        <v/>
      </c>
      <c r="N1204" s="2">
        <f>N1203+IF(LEN($X$1204)&gt;0,1,0)</f>
        <v/>
      </c>
      <c r="O1204" s="2">
        <f>O1203+IF(LEN($Y$1204)&gt;0,1,0)</f>
        <v/>
      </c>
      <c r="P1204" s="2">
        <f>P1203+IF(LEN($Z$1204)&gt;0,1,0)</f>
        <v/>
      </c>
      <c r="Q1204" s="2">
        <f>Q1203+IF(LEN($AA$1204)&gt;0,1,0)</f>
        <v/>
      </c>
      <c r="R1204" s="2">
        <f>R1203+IF(LEN($AB$1204)&gt;0,1,0)</f>
        <v/>
      </c>
      <c r="S1204" s="2">
        <f>S1203+IF(LEN($AC$1204)&gt;0,1,0)</f>
        <v/>
      </c>
      <c r="T1204" s="2">
        <f>T1203+IF(LEN($AD$1204)&gt;0,1,0)</f>
        <v/>
      </c>
      <c r="U1204" s="2">
        <f>U1203+IF(LEN($AE$1204)&gt;0,1,0)</f>
        <v/>
      </c>
      <c r="X1204" s="2">
        <f>IF(ISERROR($B$1204),"",IF(ISBLANK($B$1204),"",$B$1204))</f>
        <v/>
      </c>
      <c r="Y1204" s="2">
        <f>IF(ISERROR($C$1204),"",IF(ISBLANK($C$1204),"",$C$1204))</f>
        <v/>
      </c>
      <c r="Z1204" s="2">
        <f>IF(ISERROR($D$1204),"",IF(ISBLANK($D$1204),"",$D$1204))</f>
        <v/>
      </c>
      <c r="AA1204" s="2">
        <f>IF(ISERROR($E$1204),"",IF(ISBLANK($E$1204),"",$E$1204))</f>
        <v/>
      </c>
      <c r="AB1204" s="2">
        <f>IF(ISERROR($F$1204),"",IF(ISBLANK($F$1204),"",$F$1204))</f>
        <v/>
      </c>
      <c r="AC1204" s="2">
        <f>IF(ISERROR($G$1204),"",IF(ISBLANK($G$1204),"",$G$1204))</f>
        <v/>
      </c>
      <c r="AD1204" s="2">
        <f>IF(ISERROR($H$1204),"",IF(ISBLANK($H$1204),"",$H$1204))</f>
        <v/>
      </c>
      <c r="AE1204" s="2">
        <f>IF(ISERROR($I$1204),"",IF(ISBLANK($I$1204),"",$I$1204))</f>
        <v/>
      </c>
      <c r="AF1204" s="2">
        <f>IF(ISERROR($J$1204),"",IF(ISBLANK($J$1204),"",$J$1204))</f>
        <v/>
      </c>
      <c r="AG1204" s="2">
        <f>ISERROR($B$1204)*1+ISERROR($C$1204)*1+ISERROR($D$1204)*1+ISERROR($E$1204)*1+ISERROR($F$1204)*1+ISERROR($G$1204)*1+ISERROR($H$1204)*1+ISERROR($I$1204)*1+ISERROR($J$1204)*1</f>
        <v/>
      </c>
    </row>
    <row r="1205" ht="26" customHeight="1">
      <c r="B1205" s="35" t="n"/>
      <c r="C1205" s="29" t="n"/>
      <c r="D1205" s="29" t="n"/>
      <c r="E1205" s="29" t="n"/>
      <c r="F1205" s="29" t="n"/>
      <c r="G1205" s="29" t="n"/>
      <c r="H1205" s="29" t="n"/>
      <c r="I1205" s="29" t="n"/>
      <c r="J1205" s="29" t="n"/>
      <c r="K1205" s="19">
        <f>IF(AG1205&gt;0,"O Google leu como fórmula: digite de novo com ' na frente.","")</f>
        <v/>
      </c>
      <c r="N1205" s="2">
        <f>N1204+IF(LEN($X$1205)&gt;0,1,0)</f>
        <v/>
      </c>
      <c r="O1205" s="2">
        <f>O1204+IF(LEN($Y$1205)&gt;0,1,0)</f>
        <v/>
      </c>
      <c r="P1205" s="2">
        <f>P1204+IF(LEN($Z$1205)&gt;0,1,0)</f>
        <v/>
      </c>
      <c r="Q1205" s="2">
        <f>Q1204+IF(LEN($AA$1205)&gt;0,1,0)</f>
        <v/>
      </c>
      <c r="R1205" s="2">
        <f>R1204+IF(LEN($AB$1205)&gt;0,1,0)</f>
        <v/>
      </c>
      <c r="S1205" s="2">
        <f>S1204+IF(LEN($AC$1205)&gt;0,1,0)</f>
        <v/>
      </c>
      <c r="T1205" s="2">
        <f>T1204+IF(LEN($AD$1205)&gt;0,1,0)</f>
        <v/>
      </c>
      <c r="U1205" s="2">
        <f>U1204+IF(LEN($AE$1205)&gt;0,1,0)</f>
        <v/>
      </c>
      <c r="X1205" s="2">
        <f>IF(ISERROR($B$1205),"",IF(ISBLANK($B$1205),"",$B$1205))</f>
        <v/>
      </c>
      <c r="Y1205" s="2">
        <f>IF(ISERROR($C$1205),"",IF(ISBLANK($C$1205),"",$C$1205))</f>
        <v/>
      </c>
      <c r="Z1205" s="2">
        <f>IF(ISERROR($D$1205),"",IF(ISBLANK($D$1205),"",$D$1205))</f>
        <v/>
      </c>
      <c r="AA1205" s="2">
        <f>IF(ISERROR($E$1205),"",IF(ISBLANK($E$1205),"",$E$1205))</f>
        <v/>
      </c>
      <c r="AB1205" s="2">
        <f>IF(ISERROR($F$1205),"",IF(ISBLANK($F$1205),"",$F$1205))</f>
        <v/>
      </c>
      <c r="AC1205" s="2">
        <f>IF(ISERROR($G$1205),"",IF(ISBLANK($G$1205),"",$G$1205))</f>
        <v/>
      </c>
      <c r="AD1205" s="2">
        <f>IF(ISERROR($H$1205),"",IF(ISBLANK($H$1205),"",$H$1205))</f>
        <v/>
      </c>
      <c r="AE1205" s="2">
        <f>IF(ISERROR($I$1205),"",IF(ISBLANK($I$1205),"",$I$1205))</f>
        <v/>
      </c>
      <c r="AF1205" s="2">
        <f>IF(ISERROR($J$1205),"",IF(ISBLANK($J$1205),"",$J$1205))</f>
        <v/>
      </c>
      <c r="AG1205" s="2">
        <f>ISERROR($B$1205)*1+ISERROR($C$1205)*1+ISERROR($D$1205)*1+ISERROR($E$1205)*1+ISERROR($F$1205)*1+ISERROR($G$1205)*1+ISERROR($H$1205)*1+ISERROR($I$1205)*1+ISERROR($J$1205)*1</f>
        <v/>
      </c>
    </row>
    <row r="1206" ht="26" customHeight="1">
      <c r="B1206" s="33" t="n"/>
      <c r="C1206" s="4" t="n"/>
      <c r="D1206" s="4" t="n"/>
      <c r="E1206" s="4" t="n"/>
      <c r="F1206" s="4" t="n"/>
      <c r="G1206" s="4" t="n"/>
      <c r="H1206" s="4" t="n"/>
      <c r="I1206" s="4" t="n"/>
      <c r="J1206" s="4" t="n"/>
      <c r="K1206" s="19">
        <f>IF(AG1206&gt;0,"O Google leu como fórmula: digite de novo com ' na frente.","")</f>
        <v/>
      </c>
      <c r="N1206" s="2">
        <f>N1205+IF(LEN($X$1206)&gt;0,1,0)</f>
        <v/>
      </c>
      <c r="O1206" s="2">
        <f>O1205+IF(LEN($Y$1206)&gt;0,1,0)</f>
        <v/>
      </c>
      <c r="P1206" s="2">
        <f>P1205+IF(LEN($Z$1206)&gt;0,1,0)</f>
        <v/>
      </c>
      <c r="Q1206" s="2">
        <f>Q1205+IF(LEN($AA$1206)&gt;0,1,0)</f>
        <v/>
      </c>
      <c r="R1206" s="2">
        <f>R1205+IF(LEN($AB$1206)&gt;0,1,0)</f>
        <v/>
      </c>
      <c r="S1206" s="2">
        <f>S1205+IF(LEN($AC$1206)&gt;0,1,0)</f>
        <v/>
      </c>
      <c r="T1206" s="2">
        <f>T1205+IF(LEN($AD$1206)&gt;0,1,0)</f>
        <v/>
      </c>
      <c r="U1206" s="2">
        <f>U1205+IF(LEN($AE$1206)&gt;0,1,0)</f>
        <v/>
      </c>
      <c r="X1206" s="2">
        <f>IF(ISERROR($B$1206),"",IF(ISBLANK($B$1206),"",$B$1206))</f>
        <v/>
      </c>
      <c r="Y1206" s="2">
        <f>IF(ISERROR($C$1206),"",IF(ISBLANK($C$1206),"",$C$1206))</f>
        <v/>
      </c>
      <c r="Z1206" s="2">
        <f>IF(ISERROR($D$1206),"",IF(ISBLANK($D$1206),"",$D$1206))</f>
        <v/>
      </c>
      <c r="AA1206" s="2">
        <f>IF(ISERROR($E$1206),"",IF(ISBLANK($E$1206),"",$E$1206))</f>
        <v/>
      </c>
      <c r="AB1206" s="2">
        <f>IF(ISERROR($F$1206),"",IF(ISBLANK($F$1206),"",$F$1206))</f>
        <v/>
      </c>
      <c r="AC1206" s="2">
        <f>IF(ISERROR($G$1206),"",IF(ISBLANK($G$1206),"",$G$1206))</f>
        <v/>
      </c>
      <c r="AD1206" s="2">
        <f>IF(ISERROR($H$1206),"",IF(ISBLANK($H$1206),"",$H$1206))</f>
        <v/>
      </c>
      <c r="AE1206" s="2">
        <f>IF(ISERROR($I$1206),"",IF(ISBLANK($I$1206),"",$I$1206))</f>
        <v/>
      </c>
      <c r="AF1206" s="2">
        <f>IF(ISERROR($J$1206),"",IF(ISBLANK($J$1206),"",$J$1206))</f>
        <v/>
      </c>
      <c r="AG1206" s="2">
        <f>ISERROR($B$1206)*1+ISERROR($C$1206)*1+ISERROR($D$1206)*1+ISERROR($E$1206)*1+ISERROR($F$1206)*1+ISERROR($G$1206)*1+ISERROR($H$1206)*1+ISERROR($I$1206)*1+ISERROR($J$1206)*1</f>
        <v/>
      </c>
    </row>
    <row r="1207" ht="26" customHeight="1">
      <c r="B1207" s="35" t="n"/>
      <c r="C1207" s="29" t="n"/>
      <c r="D1207" s="29" t="n"/>
      <c r="E1207" s="29" t="n"/>
      <c r="F1207" s="29" t="n"/>
      <c r="G1207" s="29" t="n"/>
      <c r="H1207" s="29" t="n"/>
      <c r="I1207" s="29" t="n"/>
      <c r="J1207" s="29" t="n"/>
      <c r="K1207" s="19">
        <f>IF(AG1207&gt;0,"O Google leu como fórmula: digite de novo com ' na frente.","")</f>
        <v/>
      </c>
      <c r="N1207" s="2">
        <f>N1206+IF(LEN($X$1207)&gt;0,1,0)</f>
        <v/>
      </c>
      <c r="O1207" s="2">
        <f>O1206+IF(LEN($Y$1207)&gt;0,1,0)</f>
        <v/>
      </c>
      <c r="P1207" s="2">
        <f>P1206+IF(LEN($Z$1207)&gt;0,1,0)</f>
        <v/>
      </c>
      <c r="Q1207" s="2">
        <f>Q1206+IF(LEN($AA$1207)&gt;0,1,0)</f>
        <v/>
      </c>
      <c r="R1207" s="2">
        <f>R1206+IF(LEN($AB$1207)&gt;0,1,0)</f>
        <v/>
      </c>
      <c r="S1207" s="2">
        <f>S1206+IF(LEN($AC$1207)&gt;0,1,0)</f>
        <v/>
      </c>
      <c r="T1207" s="2">
        <f>T1206+IF(LEN($AD$1207)&gt;0,1,0)</f>
        <v/>
      </c>
      <c r="U1207" s="2">
        <f>U1206+IF(LEN($AE$1207)&gt;0,1,0)</f>
        <v/>
      </c>
      <c r="X1207" s="2">
        <f>IF(ISERROR($B$1207),"",IF(ISBLANK($B$1207),"",$B$1207))</f>
        <v/>
      </c>
      <c r="Y1207" s="2">
        <f>IF(ISERROR($C$1207),"",IF(ISBLANK($C$1207),"",$C$1207))</f>
        <v/>
      </c>
      <c r="Z1207" s="2">
        <f>IF(ISERROR($D$1207),"",IF(ISBLANK($D$1207),"",$D$1207))</f>
        <v/>
      </c>
      <c r="AA1207" s="2">
        <f>IF(ISERROR($E$1207),"",IF(ISBLANK($E$1207),"",$E$1207))</f>
        <v/>
      </c>
      <c r="AB1207" s="2">
        <f>IF(ISERROR($F$1207),"",IF(ISBLANK($F$1207),"",$F$1207))</f>
        <v/>
      </c>
      <c r="AC1207" s="2">
        <f>IF(ISERROR($G$1207),"",IF(ISBLANK($G$1207),"",$G$1207))</f>
        <v/>
      </c>
      <c r="AD1207" s="2">
        <f>IF(ISERROR($H$1207),"",IF(ISBLANK($H$1207),"",$H$1207))</f>
        <v/>
      </c>
      <c r="AE1207" s="2">
        <f>IF(ISERROR($I$1207),"",IF(ISBLANK($I$1207),"",$I$1207))</f>
        <v/>
      </c>
      <c r="AF1207" s="2">
        <f>IF(ISERROR($J$1207),"",IF(ISBLANK($J$1207),"",$J$1207))</f>
        <v/>
      </c>
      <c r="AG1207" s="2">
        <f>ISERROR($B$1207)*1+ISERROR($C$1207)*1+ISERROR($D$1207)*1+ISERROR($E$1207)*1+ISERROR($F$1207)*1+ISERROR($G$1207)*1+ISERROR($H$1207)*1+ISERROR($I$1207)*1+ISERROR($J$1207)*1</f>
        <v/>
      </c>
    </row>
    <row r="1208" ht="26" customHeight="1">
      <c r="B1208" s="33" t="n"/>
      <c r="C1208" s="4" t="n"/>
      <c r="D1208" s="4" t="n"/>
      <c r="E1208" s="4" t="n"/>
      <c r="F1208" s="4" t="n"/>
      <c r="G1208" s="4" t="n"/>
      <c r="H1208" s="4" t="n"/>
      <c r="I1208" s="4" t="n"/>
      <c r="J1208" s="4" t="n"/>
      <c r="K1208" s="19">
        <f>IF(AG1208&gt;0,"O Google leu como fórmula: digite de novo com ' na frente.","")</f>
        <v/>
      </c>
      <c r="N1208" s="2">
        <f>N1207+IF(LEN($X$1208)&gt;0,1,0)</f>
        <v/>
      </c>
      <c r="O1208" s="2">
        <f>O1207+IF(LEN($Y$1208)&gt;0,1,0)</f>
        <v/>
      </c>
      <c r="P1208" s="2">
        <f>P1207+IF(LEN($Z$1208)&gt;0,1,0)</f>
        <v/>
      </c>
      <c r="Q1208" s="2">
        <f>Q1207+IF(LEN($AA$1208)&gt;0,1,0)</f>
        <v/>
      </c>
      <c r="R1208" s="2">
        <f>R1207+IF(LEN($AB$1208)&gt;0,1,0)</f>
        <v/>
      </c>
      <c r="S1208" s="2">
        <f>S1207+IF(LEN($AC$1208)&gt;0,1,0)</f>
        <v/>
      </c>
      <c r="T1208" s="2">
        <f>T1207+IF(LEN($AD$1208)&gt;0,1,0)</f>
        <v/>
      </c>
      <c r="U1208" s="2">
        <f>U1207+IF(LEN($AE$1208)&gt;0,1,0)</f>
        <v/>
      </c>
      <c r="X1208" s="2">
        <f>IF(ISERROR($B$1208),"",IF(ISBLANK($B$1208),"",$B$1208))</f>
        <v/>
      </c>
      <c r="Y1208" s="2">
        <f>IF(ISERROR($C$1208),"",IF(ISBLANK($C$1208),"",$C$1208))</f>
        <v/>
      </c>
      <c r="Z1208" s="2">
        <f>IF(ISERROR($D$1208),"",IF(ISBLANK($D$1208),"",$D$1208))</f>
        <v/>
      </c>
      <c r="AA1208" s="2">
        <f>IF(ISERROR($E$1208),"",IF(ISBLANK($E$1208),"",$E$1208))</f>
        <v/>
      </c>
      <c r="AB1208" s="2">
        <f>IF(ISERROR($F$1208),"",IF(ISBLANK($F$1208),"",$F$1208))</f>
        <v/>
      </c>
      <c r="AC1208" s="2">
        <f>IF(ISERROR($G$1208),"",IF(ISBLANK($G$1208),"",$G$1208))</f>
        <v/>
      </c>
      <c r="AD1208" s="2">
        <f>IF(ISERROR($H$1208),"",IF(ISBLANK($H$1208),"",$H$1208))</f>
        <v/>
      </c>
      <c r="AE1208" s="2">
        <f>IF(ISERROR($I$1208),"",IF(ISBLANK($I$1208),"",$I$1208))</f>
        <v/>
      </c>
      <c r="AF1208" s="2">
        <f>IF(ISERROR($J$1208),"",IF(ISBLANK($J$1208),"",$J$1208))</f>
        <v/>
      </c>
      <c r="AG1208" s="2">
        <f>ISERROR($B$1208)*1+ISERROR($C$1208)*1+ISERROR($D$1208)*1+ISERROR($E$1208)*1+ISERROR($F$1208)*1+ISERROR($G$1208)*1+ISERROR($H$1208)*1+ISERROR($I$1208)*1+ISERROR($J$1208)*1</f>
        <v/>
      </c>
    </row>
    <row r="1209" ht="26" customHeight="1">
      <c r="B1209" s="35" t="n"/>
      <c r="C1209" s="29" t="n"/>
      <c r="D1209" s="29" t="n"/>
      <c r="E1209" s="29" t="n"/>
      <c r="F1209" s="29" t="n"/>
      <c r="G1209" s="29" t="n"/>
      <c r="H1209" s="29" t="n"/>
      <c r="I1209" s="29" t="n"/>
      <c r="J1209" s="29" t="n"/>
      <c r="K1209" s="19">
        <f>IF(AG1209&gt;0,"O Google leu como fórmula: digite de novo com ' na frente.","")</f>
        <v/>
      </c>
      <c r="N1209" s="2">
        <f>N1208+IF(LEN($X$1209)&gt;0,1,0)</f>
        <v/>
      </c>
      <c r="O1209" s="2">
        <f>O1208+IF(LEN($Y$1209)&gt;0,1,0)</f>
        <v/>
      </c>
      <c r="P1209" s="2">
        <f>P1208+IF(LEN($Z$1209)&gt;0,1,0)</f>
        <v/>
      </c>
      <c r="Q1209" s="2">
        <f>Q1208+IF(LEN($AA$1209)&gt;0,1,0)</f>
        <v/>
      </c>
      <c r="R1209" s="2">
        <f>R1208+IF(LEN($AB$1209)&gt;0,1,0)</f>
        <v/>
      </c>
      <c r="S1209" s="2">
        <f>S1208+IF(LEN($AC$1209)&gt;0,1,0)</f>
        <v/>
      </c>
      <c r="T1209" s="2">
        <f>T1208+IF(LEN($AD$1209)&gt;0,1,0)</f>
        <v/>
      </c>
      <c r="U1209" s="2">
        <f>U1208+IF(LEN($AE$1209)&gt;0,1,0)</f>
        <v/>
      </c>
      <c r="X1209" s="2">
        <f>IF(ISERROR($B$1209),"",IF(ISBLANK($B$1209),"",$B$1209))</f>
        <v/>
      </c>
      <c r="Y1209" s="2">
        <f>IF(ISERROR($C$1209),"",IF(ISBLANK($C$1209),"",$C$1209))</f>
        <v/>
      </c>
      <c r="Z1209" s="2">
        <f>IF(ISERROR($D$1209),"",IF(ISBLANK($D$1209),"",$D$1209))</f>
        <v/>
      </c>
      <c r="AA1209" s="2">
        <f>IF(ISERROR($E$1209),"",IF(ISBLANK($E$1209),"",$E$1209))</f>
        <v/>
      </c>
      <c r="AB1209" s="2">
        <f>IF(ISERROR($F$1209),"",IF(ISBLANK($F$1209),"",$F$1209))</f>
        <v/>
      </c>
      <c r="AC1209" s="2">
        <f>IF(ISERROR($G$1209),"",IF(ISBLANK($G$1209),"",$G$1209))</f>
        <v/>
      </c>
      <c r="AD1209" s="2">
        <f>IF(ISERROR($H$1209),"",IF(ISBLANK($H$1209),"",$H$1209))</f>
        <v/>
      </c>
      <c r="AE1209" s="2">
        <f>IF(ISERROR($I$1209),"",IF(ISBLANK($I$1209),"",$I$1209))</f>
        <v/>
      </c>
      <c r="AF1209" s="2">
        <f>IF(ISERROR($J$1209),"",IF(ISBLANK($J$1209),"",$J$1209))</f>
        <v/>
      </c>
      <c r="AG1209" s="2">
        <f>ISERROR($B$1209)*1+ISERROR($C$1209)*1+ISERROR($D$1209)*1+ISERROR($E$1209)*1+ISERROR($F$1209)*1+ISERROR($G$1209)*1+ISERROR($H$1209)*1+ISERROR($I$1209)*1+ISERROR($J$1209)*1</f>
        <v/>
      </c>
    </row>
    <row r="1210" ht="26" customHeight="1">
      <c r="B1210" s="33" t="n"/>
      <c r="C1210" s="4" t="n"/>
      <c r="D1210" s="4" t="n"/>
      <c r="E1210" s="4" t="n"/>
      <c r="F1210" s="4" t="n"/>
      <c r="G1210" s="4" t="n"/>
      <c r="H1210" s="4" t="n"/>
      <c r="I1210" s="4" t="n"/>
      <c r="J1210" s="4" t="n"/>
      <c r="K1210" s="19">
        <f>IF(AG1210&gt;0,"O Google leu como fórmula: digite de novo com ' na frente.","")</f>
        <v/>
      </c>
      <c r="N1210" s="2">
        <f>N1209+IF(LEN($X$1210)&gt;0,1,0)</f>
        <v/>
      </c>
      <c r="O1210" s="2">
        <f>O1209+IF(LEN($Y$1210)&gt;0,1,0)</f>
        <v/>
      </c>
      <c r="P1210" s="2">
        <f>P1209+IF(LEN($Z$1210)&gt;0,1,0)</f>
        <v/>
      </c>
      <c r="Q1210" s="2">
        <f>Q1209+IF(LEN($AA$1210)&gt;0,1,0)</f>
        <v/>
      </c>
      <c r="R1210" s="2">
        <f>R1209+IF(LEN($AB$1210)&gt;0,1,0)</f>
        <v/>
      </c>
      <c r="S1210" s="2">
        <f>S1209+IF(LEN($AC$1210)&gt;0,1,0)</f>
        <v/>
      </c>
      <c r="T1210" s="2">
        <f>T1209+IF(LEN($AD$1210)&gt;0,1,0)</f>
        <v/>
      </c>
      <c r="U1210" s="2">
        <f>U1209+IF(LEN($AE$1210)&gt;0,1,0)</f>
        <v/>
      </c>
      <c r="X1210" s="2">
        <f>IF(ISERROR($B$1210),"",IF(ISBLANK($B$1210),"",$B$1210))</f>
        <v/>
      </c>
      <c r="Y1210" s="2">
        <f>IF(ISERROR($C$1210),"",IF(ISBLANK($C$1210),"",$C$1210))</f>
        <v/>
      </c>
      <c r="Z1210" s="2">
        <f>IF(ISERROR($D$1210),"",IF(ISBLANK($D$1210),"",$D$1210))</f>
        <v/>
      </c>
      <c r="AA1210" s="2">
        <f>IF(ISERROR($E$1210),"",IF(ISBLANK($E$1210),"",$E$1210))</f>
        <v/>
      </c>
      <c r="AB1210" s="2">
        <f>IF(ISERROR($F$1210),"",IF(ISBLANK($F$1210),"",$F$1210))</f>
        <v/>
      </c>
      <c r="AC1210" s="2">
        <f>IF(ISERROR($G$1210),"",IF(ISBLANK($G$1210),"",$G$1210))</f>
        <v/>
      </c>
      <c r="AD1210" s="2">
        <f>IF(ISERROR($H$1210),"",IF(ISBLANK($H$1210),"",$H$1210))</f>
        <v/>
      </c>
      <c r="AE1210" s="2">
        <f>IF(ISERROR($I$1210),"",IF(ISBLANK($I$1210),"",$I$1210))</f>
        <v/>
      </c>
      <c r="AF1210" s="2">
        <f>IF(ISERROR($J$1210),"",IF(ISBLANK($J$1210),"",$J$1210))</f>
        <v/>
      </c>
      <c r="AG1210" s="2">
        <f>ISERROR($B$1210)*1+ISERROR($C$1210)*1+ISERROR($D$1210)*1+ISERROR($E$1210)*1+ISERROR($F$1210)*1+ISERROR($G$1210)*1+ISERROR($H$1210)*1+ISERROR($I$1210)*1+ISERROR($J$1210)*1</f>
        <v/>
      </c>
    </row>
    <row r="1211" ht="26" customHeight="1">
      <c r="B1211" s="35" t="n"/>
      <c r="C1211" s="29" t="n"/>
      <c r="D1211" s="29" t="n"/>
      <c r="E1211" s="29" t="n"/>
      <c r="F1211" s="29" t="n"/>
      <c r="G1211" s="29" t="n"/>
      <c r="H1211" s="29" t="n"/>
      <c r="I1211" s="29" t="n"/>
      <c r="J1211" s="29" t="n"/>
      <c r="K1211" s="19">
        <f>IF(AG1211&gt;0,"O Google leu como fórmula: digite de novo com ' na frente.","")</f>
        <v/>
      </c>
      <c r="N1211" s="2">
        <f>N1210+IF(LEN($X$1211)&gt;0,1,0)</f>
        <v/>
      </c>
      <c r="O1211" s="2">
        <f>O1210+IF(LEN($Y$1211)&gt;0,1,0)</f>
        <v/>
      </c>
      <c r="P1211" s="2">
        <f>P1210+IF(LEN($Z$1211)&gt;0,1,0)</f>
        <v/>
      </c>
      <c r="Q1211" s="2">
        <f>Q1210+IF(LEN($AA$1211)&gt;0,1,0)</f>
        <v/>
      </c>
      <c r="R1211" s="2">
        <f>R1210+IF(LEN($AB$1211)&gt;0,1,0)</f>
        <v/>
      </c>
      <c r="S1211" s="2">
        <f>S1210+IF(LEN($AC$1211)&gt;0,1,0)</f>
        <v/>
      </c>
      <c r="T1211" s="2">
        <f>T1210+IF(LEN($AD$1211)&gt;0,1,0)</f>
        <v/>
      </c>
      <c r="U1211" s="2">
        <f>U1210+IF(LEN($AE$1211)&gt;0,1,0)</f>
        <v/>
      </c>
      <c r="X1211" s="2">
        <f>IF(ISERROR($B$1211),"",IF(ISBLANK($B$1211),"",$B$1211))</f>
        <v/>
      </c>
      <c r="Y1211" s="2">
        <f>IF(ISERROR($C$1211),"",IF(ISBLANK($C$1211),"",$C$1211))</f>
        <v/>
      </c>
      <c r="Z1211" s="2">
        <f>IF(ISERROR($D$1211),"",IF(ISBLANK($D$1211),"",$D$1211))</f>
        <v/>
      </c>
      <c r="AA1211" s="2">
        <f>IF(ISERROR($E$1211),"",IF(ISBLANK($E$1211),"",$E$1211))</f>
        <v/>
      </c>
      <c r="AB1211" s="2">
        <f>IF(ISERROR($F$1211),"",IF(ISBLANK($F$1211),"",$F$1211))</f>
        <v/>
      </c>
      <c r="AC1211" s="2">
        <f>IF(ISERROR($G$1211),"",IF(ISBLANK($G$1211),"",$G$1211))</f>
        <v/>
      </c>
      <c r="AD1211" s="2">
        <f>IF(ISERROR($H$1211),"",IF(ISBLANK($H$1211),"",$H$1211))</f>
        <v/>
      </c>
      <c r="AE1211" s="2">
        <f>IF(ISERROR($I$1211),"",IF(ISBLANK($I$1211),"",$I$1211))</f>
        <v/>
      </c>
      <c r="AF1211" s="2">
        <f>IF(ISERROR($J$1211),"",IF(ISBLANK($J$1211),"",$J$1211))</f>
        <v/>
      </c>
      <c r="AG1211" s="2">
        <f>ISERROR($B$1211)*1+ISERROR($C$1211)*1+ISERROR($D$1211)*1+ISERROR($E$1211)*1+ISERROR($F$1211)*1+ISERROR($G$1211)*1+ISERROR($H$1211)*1+ISERROR($I$1211)*1+ISERROR($J$1211)*1</f>
        <v/>
      </c>
    </row>
    <row r="1212" ht="26" customHeight="1">
      <c r="B1212" s="33" t="n"/>
      <c r="C1212" s="4" t="n"/>
      <c r="D1212" s="4" t="n"/>
      <c r="E1212" s="4" t="n"/>
      <c r="F1212" s="4" t="n"/>
      <c r="G1212" s="4" t="n"/>
      <c r="H1212" s="4" t="n"/>
      <c r="I1212" s="4" t="n"/>
      <c r="J1212" s="4" t="n"/>
      <c r="K1212" s="19">
        <f>IF(AG1212&gt;0,"O Google leu como fórmula: digite de novo com ' na frente.","")</f>
        <v/>
      </c>
      <c r="N1212" s="2">
        <f>N1211+IF(LEN($X$1212)&gt;0,1,0)</f>
        <v/>
      </c>
      <c r="O1212" s="2">
        <f>O1211+IF(LEN($Y$1212)&gt;0,1,0)</f>
        <v/>
      </c>
      <c r="P1212" s="2">
        <f>P1211+IF(LEN($Z$1212)&gt;0,1,0)</f>
        <v/>
      </c>
      <c r="Q1212" s="2">
        <f>Q1211+IF(LEN($AA$1212)&gt;0,1,0)</f>
        <v/>
      </c>
      <c r="R1212" s="2">
        <f>R1211+IF(LEN($AB$1212)&gt;0,1,0)</f>
        <v/>
      </c>
      <c r="S1212" s="2">
        <f>S1211+IF(LEN($AC$1212)&gt;0,1,0)</f>
        <v/>
      </c>
      <c r="T1212" s="2">
        <f>T1211+IF(LEN($AD$1212)&gt;0,1,0)</f>
        <v/>
      </c>
      <c r="U1212" s="2">
        <f>U1211+IF(LEN($AE$1212)&gt;0,1,0)</f>
        <v/>
      </c>
      <c r="X1212" s="2">
        <f>IF(ISERROR($B$1212),"",IF(ISBLANK($B$1212),"",$B$1212))</f>
        <v/>
      </c>
      <c r="Y1212" s="2">
        <f>IF(ISERROR($C$1212),"",IF(ISBLANK($C$1212),"",$C$1212))</f>
        <v/>
      </c>
      <c r="Z1212" s="2">
        <f>IF(ISERROR($D$1212),"",IF(ISBLANK($D$1212),"",$D$1212))</f>
        <v/>
      </c>
      <c r="AA1212" s="2">
        <f>IF(ISERROR($E$1212),"",IF(ISBLANK($E$1212),"",$E$1212))</f>
        <v/>
      </c>
      <c r="AB1212" s="2">
        <f>IF(ISERROR($F$1212),"",IF(ISBLANK($F$1212),"",$F$1212))</f>
        <v/>
      </c>
      <c r="AC1212" s="2">
        <f>IF(ISERROR($G$1212),"",IF(ISBLANK($G$1212),"",$G$1212))</f>
        <v/>
      </c>
      <c r="AD1212" s="2">
        <f>IF(ISERROR($H$1212),"",IF(ISBLANK($H$1212),"",$H$1212))</f>
        <v/>
      </c>
      <c r="AE1212" s="2">
        <f>IF(ISERROR($I$1212),"",IF(ISBLANK($I$1212),"",$I$1212))</f>
        <v/>
      </c>
      <c r="AF1212" s="2">
        <f>IF(ISERROR($J$1212),"",IF(ISBLANK($J$1212),"",$J$1212))</f>
        <v/>
      </c>
      <c r="AG1212" s="2">
        <f>ISERROR($B$1212)*1+ISERROR($C$1212)*1+ISERROR($D$1212)*1+ISERROR($E$1212)*1+ISERROR($F$1212)*1+ISERROR($G$1212)*1+ISERROR($H$1212)*1+ISERROR($I$1212)*1+ISERROR($J$1212)*1</f>
        <v/>
      </c>
    </row>
    <row r="1213" ht="26" customHeight="1">
      <c r="B1213" s="35" t="n"/>
      <c r="C1213" s="29" t="n"/>
      <c r="D1213" s="29" t="n"/>
      <c r="E1213" s="29" t="n"/>
      <c r="F1213" s="29" t="n"/>
      <c r="G1213" s="29" t="n"/>
      <c r="H1213" s="29" t="n"/>
      <c r="I1213" s="29" t="n"/>
      <c r="J1213" s="29" t="n"/>
      <c r="K1213" s="19">
        <f>IF(AG1213&gt;0,"O Google leu como fórmula: digite de novo com ' na frente.","")</f>
        <v/>
      </c>
      <c r="N1213" s="2">
        <f>N1212+IF(LEN($X$1213)&gt;0,1,0)</f>
        <v/>
      </c>
      <c r="O1213" s="2">
        <f>O1212+IF(LEN($Y$1213)&gt;0,1,0)</f>
        <v/>
      </c>
      <c r="P1213" s="2">
        <f>P1212+IF(LEN($Z$1213)&gt;0,1,0)</f>
        <v/>
      </c>
      <c r="Q1213" s="2">
        <f>Q1212+IF(LEN($AA$1213)&gt;0,1,0)</f>
        <v/>
      </c>
      <c r="R1213" s="2">
        <f>R1212+IF(LEN($AB$1213)&gt;0,1,0)</f>
        <v/>
      </c>
      <c r="S1213" s="2">
        <f>S1212+IF(LEN($AC$1213)&gt;0,1,0)</f>
        <v/>
      </c>
      <c r="T1213" s="2">
        <f>T1212+IF(LEN($AD$1213)&gt;0,1,0)</f>
        <v/>
      </c>
      <c r="U1213" s="2">
        <f>U1212+IF(LEN($AE$1213)&gt;0,1,0)</f>
        <v/>
      </c>
      <c r="X1213" s="2">
        <f>IF(ISERROR($B$1213),"",IF(ISBLANK($B$1213),"",$B$1213))</f>
        <v/>
      </c>
      <c r="Y1213" s="2">
        <f>IF(ISERROR($C$1213),"",IF(ISBLANK($C$1213),"",$C$1213))</f>
        <v/>
      </c>
      <c r="Z1213" s="2">
        <f>IF(ISERROR($D$1213),"",IF(ISBLANK($D$1213),"",$D$1213))</f>
        <v/>
      </c>
      <c r="AA1213" s="2">
        <f>IF(ISERROR($E$1213),"",IF(ISBLANK($E$1213),"",$E$1213))</f>
        <v/>
      </c>
      <c r="AB1213" s="2">
        <f>IF(ISERROR($F$1213),"",IF(ISBLANK($F$1213),"",$F$1213))</f>
        <v/>
      </c>
      <c r="AC1213" s="2">
        <f>IF(ISERROR($G$1213),"",IF(ISBLANK($G$1213),"",$G$1213))</f>
        <v/>
      </c>
      <c r="AD1213" s="2">
        <f>IF(ISERROR($H$1213),"",IF(ISBLANK($H$1213),"",$H$1213))</f>
        <v/>
      </c>
      <c r="AE1213" s="2">
        <f>IF(ISERROR($I$1213),"",IF(ISBLANK($I$1213),"",$I$1213))</f>
        <v/>
      </c>
      <c r="AF1213" s="2">
        <f>IF(ISERROR($J$1213),"",IF(ISBLANK($J$1213),"",$J$1213))</f>
        <v/>
      </c>
      <c r="AG1213" s="2">
        <f>ISERROR($B$1213)*1+ISERROR($C$1213)*1+ISERROR($D$1213)*1+ISERROR($E$1213)*1+ISERROR($F$1213)*1+ISERROR($G$1213)*1+ISERROR($H$1213)*1+ISERROR($I$1213)*1+ISERROR($J$1213)*1</f>
        <v/>
      </c>
    </row>
    <row r="1214" ht="26" customHeight="1">
      <c r="B1214" s="33" t="n"/>
      <c r="C1214" s="4" t="n"/>
      <c r="D1214" s="4" t="n"/>
      <c r="E1214" s="4" t="n"/>
      <c r="F1214" s="4" t="n"/>
      <c r="G1214" s="4" t="n"/>
      <c r="H1214" s="4" t="n"/>
      <c r="I1214" s="4" t="n"/>
      <c r="J1214" s="4" t="n"/>
      <c r="K1214" s="19">
        <f>IF(AG1214&gt;0,"O Google leu como fórmula: digite de novo com ' na frente.","")</f>
        <v/>
      </c>
      <c r="N1214" s="2">
        <f>N1213+IF(LEN($X$1214)&gt;0,1,0)</f>
        <v/>
      </c>
      <c r="O1214" s="2">
        <f>O1213+IF(LEN($Y$1214)&gt;0,1,0)</f>
        <v/>
      </c>
      <c r="P1214" s="2">
        <f>P1213+IF(LEN($Z$1214)&gt;0,1,0)</f>
        <v/>
      </c>
      <c r="Q1214" s="2">
        <f>Q1213+IF(LEN($AA$1214)&gt;0,1,0)</f>
        <v/>
      </c>
      <c r="R1214" s="2">
        <f>R1213+IF(LEN($AB$1214)&gt;0,1,0)</f>
        <v/>
      </c>
      <c r="S1214" s="2">
        <f>S1213+IF(LEN($AC$1214)&gt;0,1,0)</f>
        <v/>
      </c>
      <c r="T1214" s="2">
        <f>T1213+IF(LEN($AD$1214)&gt;0,1,0)</f>
        <v/>
      </c>
      <c r="U1214" s="2">
        <f>U1213+IF(LEN($AE$1214)&gt;0,1,0)</f>
        <v/>
      </c>
      <c r="X1214" s="2">
        <f>IF(ISERROR($B$1214),"",IF(ISBLANK($B$1214),"",$B$1214))</f>
        <v/>
      </c>
      <c r="Y1214" s="2">
        <f>IF(ISERROR($C$1214),"",IF(ISBLANK($C$1214),"",$C$1214))</f>
        <v/>
      </c>
      <c r="Z1214" s="2">
        <f>IF(ISERROR($D$1214),"",IF(ISBLANK($D$1214),"",$D$1214))</f>
        <v/>
      </c>
      <c r="AA1214" s="2">
        <f>IF(ISERROR($E$1214),"",IF(ISBLANK($E$1214),"",$E$1214))</f>
        <v/>
      </c>
      <c r="AB1214" s="2">
        <f>IF(ISERROR($F$1214),"",IF(ISBLANK($F$1214),"",$F$1214))</f>
        <v/>
      </c>
      <c r="AC1214" s="2">
        <f>IF(ISERROR($G$1214),"",IF(ISBLANK($G$1214),"",$G$1214))</f>
        <v/>
      </c>
      <c r="AD1214" s="2">
        <f>IF(ISERROR($H$1214),"",IF(ISBLANK($H$1214),"",$H$1214))</f>
        <v/>
      </c>
      <c r="AE1214" s="2">
        <f>IF(ISERROR($I$1214),"",IF(ISBLANK($I$1214),"",$I$1214))</f>
        <v/>
      </c>
      <c r="AF1214" s="2">
        <f>IF(ISERROR($J$1214),"",IF(ISBLANK($J$1214),"",$J$1214))</f>
        <v/>
      </c>
      <c r="AG1214" s="2">
        <f>ISERROR($B$1214)*1+ISERROR($C$1214)*1+ISERROR($D$1214)*1+ISERROR($E$1214)*1+ISERROR($F$1214)*1+ISERROR($G$1214)*1+ISERROR($H$1214)*1+ISERROR($I$1214)*1+ISERROR($J$1214)*1</f>
        <v/>
      </c>
    </row>
    <row r="1215" ht="26" customHeight="1">
      <c r="B1215" s="35" t="n"/>
      <c r="C1215" s="29" t="n"/>
      <c r="D1215" s="29" t="n"/>
      <c r="E1215" s="29" t="n"/>
      <c r="F1215" s="29" t="n"/>
      <c r="G1215" s="29" t="n"/>
      <c r="H1215" s="29" t="n"/>
      <c r="I1215" s="29" t="n"/>
      <c r="J1215" s="29" t="n"/>
      <c r="K1215" s="19">
        <f>IF(AG1215&gt;0,"O Google leu como fórmula: digite de novo com ' na frente.","")</f>
        <v/>
      </c>
      <c r="N1215" s="2">
        <f>N1214+IF(LEN($X$1215)&gt;0,1,0)</f>
        <v/>
      </c>
      <c r="O1215" s="2">
        <f>O1214+IF(LEN($Y$1215)&gt;0,1,0)</f>
        <v/>
      </c>
      <c r="P1215" s="2">
        <f>P1214+IF(LEN($Z$1215)&gt;0,1,0)</f>
        <v/>
      </c>
      <c r="Q1215" s="2">
        <f>Q1214+IF(LEN($AA$1215)&gt;0,1,0)</f>
        <v/>
      </c>
      <c r="R1215" s="2">
        <f>R1214+IF(LEN($AB$1215)&gt;0,1,0)</f>
        <v/>
      </c>
      <c r="S1215" s="2">
        <f>S1214+IF(LEN($AC$1215)&gt;0,1,0)</f>
        <v/>
      </c>
      <c r="T1215" s="2">
        <f>T1214+IF(LEN($AD$1215)&gt;0,1,0)</f>
        <v/>
      </c>
      <c r="U1215" s="2">
        <f>U1214+IF(LEN($AE$1215)&gt;0,1,0)</f>
        <v/>
      </c>
      <c r="X1215" s="2">
        <f>IF(ISERROR($B$1215),"",IF(ISBLANK($B$1215),"",$B$1215))</f>
        <v/>
      </c>
      <c r="Y1215" s="2">
        <f>IF(ISERROR($C$1215),"",IF(ISBLANK($C$1215),"",$C$1215))</f>
        <v/>
      </c>
      <c r="Z1215" s="2">
        <f>IF(ISERROR($D$1215),"",IF(ISBLANK($D$1215),"",$D$1215))</f>
        <v/>
      </c>
      <c r="AA1215" s="2">
        <f>IF(ISERROR($E$1215),"",IF(ISBLANK($E$1215),"",$E$1215))</f>
        <v/>
      </c>
      <c r="AB1215" s="2">
        <f>IF(ISERROR($F$1215),"",IF(ISBLANK($F$1215),"",$F$1215))</f>
        <v/>
      </c>
      <c r="AC1215" s="2">
        <f>IF(ISERROR($G$1215),"",IF(ISBLANK($G$1215),"",$G$1215))</f>
        <v/>
      </c>
      <c r="AD1215" s="2">
        <f>IF(ISERROR($H$1215),"",IF(ISBLANK($H$1215),"",$H$1215))</f>
        <v/>
      </c>
      <c r="AE1215" s="2">
        <f>IF(ISERROR($I$1215),"",IF(ISBLANK($I$1215),"",$I$1215))</f>
        <v/>
      </c>
      <c r="AF1215" s="2">
        <f>IF(ISERROR($J$1215),"",IF(ISBLANK($J$1215),"",$J$1215))</f>
        <v/>
      </c>
      <c r="AG1215" s="2">
        <f>ISERROR($B$1215)*1+ISERROR($C$1215)*1+ISERROR($D$1215)*1+ISERROR($E$1215)*1+ISERROR($F$1215)*1+ISERROR($G$1215)*1+ISERROR($H$1215)*1+ISERROR($I$1215)*1+ISERROR($J$1215)*1</f>
        <v/>
      </c>
    </row>
    <row r="1216" ht="26" customHeight="1">
      <c r="B1216" s="33" t="n"/>
      <c r="C1216" s="4" t="n"/>
      <c r="D1216" s="4" t="n"/>
      <c r="E1216" s="4" t="n"/>
      <c r="F1216" s="4" t="n"/>
      <c r="G1216" s="4" t="n"/>
      <c r="H1216" s="4" t="n"/>
      <c r="I1216" s="4" t="n"/>
      <c r="J1216" s="4" t="n"/>
      <c r="K1216" s="19">
        <f>IF(AG1216&gt;0,"O Google leu como fórmula: digite de novo com ' na frente.","")</f>
        <v/>
      </c>
      <c r="N1216" s="2">
        <f>N1215+IF(LEN($X$1216)&gt;0,1,0)</f>
        <v/>
      </c>
      <c r="O1216" s="2">
        <f>O1215+IF(LEN($Y$1216)&gt;0,1,0)</f>
        <v/>
      </c>
      <c r="P1216" s="2">
        <f>P1215+IF(LEN($Z$1216)&gt;0,1,0)</f>
        <v/>
      </c>
      <c r="Q1216" s="2">
        <f>Q1215+IF(LEN($AA$1216)&gt;0,1,0)</f>
        <v/>
      </c>
      <c r="R1216" s="2">
        <f>R1215+IF(LEN($AB$1216)&gt;0,1,0)</f>
        <v/>
      </c>
      <c r="S1216" s="2">
        <f>S1215+IF(LEN($AC$1216)&gt;0,1,0)</f>
        <v/>
      </c>
      <c r="T1216" s="2">
        <f>T1215+IF(LEN($AD$1216)&gt;0,1,0)</f>
        <v/>
      </c>
      <c r="U1216" s="2">
        <f>U1215+IF(LEN($AE$1216)&gt;0,1,0)</f>
        <v/>
      </c>
      <c r="X1216" s="2">
        <f>IF(ISERROR($B$1216),"",IF(ISBLANK($B$1216),"",$B$1216))</f>
        <v/>
      </c>
      <c r="Y1216" s="2">
        <f>IF(ISERROR($C$1216),"",IF(ISBLANK($C$1216),"",$C$1216))</f>
        <v/>
      </c>
      <c r="Z1216" s="2">
        <f>IF(ISERROR($D$1216),"",IF(ISBLANK($D$1216),"",$D$1216))</f>
        <v/>
      </c>
      <c r="AA1216" s="2">
        <f>IF(ISERROR($E$1216),"",IF(ISBLANK($E$1216),"",$E$1216))</f>
        <v/>
      </c>
      <c r="AB1216" s="2">
        <f>IF(ISERROR($F$1216),"",IF(ISBLANK($F$1216),"",$F$1216))</f>
        <v/>
      </c>
      <c r="AC1216" s="2">
        <f>IF(ISERROR($G$1216),"",IF(ISBLANK($G$1216),"",$G$1216))</f>
        <v/>
      </c>
      <c r="AD1216" s="2">
        <f>IF(ISERROR($H$1216),"",IF(ISBLANK($H$1216),"",$H$1216))</f>
        <v/>
      </c>
      <c r="AE1216" s="2">
        <f>IF(ISERROR($I$1216),"",IF(ISBLANK($I$1216),"",$I$1216))</f>
        <v/>
      </c>
      <c r="AF1216" s="2">
        <f>IF(ISERROR($J$1216),"",IF(ISBLANK($J$1216),"",$J$1216))</f>
        <v/>
      </c>
      <c r="AG1216" s="2">
        <f>ISERROR($B$1216)*1+ISERROR($C$1216)*1+ISERROR($D$1216)*1+ISERROR($E$1216)*1+ISERROR($F$1216)*1+ISERROR($G$1216)*1+ISERROR($H$1216)*1+ISERROR($I$1216)*1+ISERROR($J$1216)*1</f>
        <v/>
      </c>
    </row>
    <row r="1217" ht="26" customHeight="1">
      <c r="B1217" s="8" t="inlineStr">
        <is>
          <t>Rumor</t>
        </is>
      </c>
      <c r="C1217" s="8" t="inlineStr">
        <is>
          <t>Veracidade do rumor (peso)</t>
        </is>
      </c>
      <c r="D1217" s="8" t="inlineStr">
        <is>
          <t>Evento de viagem</t>
        </is>
      </c>
      <c r="E1217" s="8" t="inlineStr">
        <is>
          <t>Evento no espaço</t>
        </is>
      </c>
      <c r="F1217" s="8" t="inlineStr">
        <is>
          <t>Evento na cidade</t>
        </is>
      </c>
      <c r="G1217" s="8" t="inlineStr">
        <is>
          <t>Falhe para frente: o custo</t>
        </is>
      </c>
      <c r="H1217" s="8" t="inlineStr">
        <is>
          <t>Item fora do comum (loja)</t>
        </is>
      </c>
      <c r="I1217" s="8" t="inlineStr">
        <is>
          <t>Oráculo: resposta</t>
        </is>
      </c>
      <c r="J1217" s="8" t="inlineStr">
        <is>
          <t>Oráculo: até (d20 + modificador)</t>
        </is>
      </c>
      <c r="N1217" s="2">
        <f>N1216</f>
        <v/>
      </c>
      <c r="O1217" s="2">
        <f>O1216</f>
        <v/>
      </c>
      <c r="P1217" s="2">
        <f>P1216</f>
        <v/>
      </c>
      <c r="Q1217" s="2">
        <f>Q1216</f>
        <v/>
      </c>
      <c r="R1217" s="2">
        <f>R1216</f>
        <v/>
      </c>
      <c r="S1217" s="2">
        <f>S1216</f>
        <v/>
      </c>
      <c r="T1217" s="2">
        <f>T1216</f>
        <v/>
      </c>
      <c r="U1217" s="2">
        <f>U1216</f>
        <v/>
      </c>
      <c r="X1217" s="2">
        <f>IF(ISERROR($B$1217),"",IF(ISBLANK($B$1217),"",$B$1217))</f>
        <v/>
      </c>
      <c r="Y1217" s="2">
        <f>IF(ISERROR($C$1217),"",IF(ISBLANK($C$1217),"",$C$1217))</f>
        <v/>
      </c>
      <c r="Z1217" s="2">
        <f>IF(ISERROR($D$1217),"",IF(ISBLANK($D$1217),"",$D$1217))</f>
        <v/>
      </c>
      <c r="AA1217" s="2">
        <f>IF(ISERROR($E$1217),"",IF(ISBLANK($E$1217),"",$E$1217))</f>
        <v/>
      </c>
      <c r="AB1217" s="2">
        <f>IF(ISERROR($F$1217),"",IF(ISBLANK($F$1217),"",$F$1217))</f>
        <v/>
      </c>
      <c r="AC1217" s="2">
        <f>IF(ISERROR($G$1217),"",IF(ISBLANK($G$1217),"",$G$1217))</f>
        <v/>
      </c>
      <c r="AD1217" s="2">
        <f>IF(ISERROR($H$1217),"",IF(ISBLANK($H$1217),"",$H$1217))</f>
        <v/>
      </c>
      <c r="AE1217" s="2">
        <f>IF(ISERROR($I$1217),"",IF(ISBLANK($I$1217),"",$I$1217))</f>
        <v/>
      </c>
      <c r="AF1217" s="2">
        <f>IF(ISERROR($J$1217),"",IF(ISBLANK($J$1217),"",$J$1217))</f>
        <v/>
      </c>
    </row>
    <row r="1218" ht="26" customHeight="1">
      <c r="B1218" s="33" t="n"/>
      <c r="C1218" s="4" t="n"/>
      <c r="D1218" s="4" t="n"/>
      <c r="E1218" s="4" t="n"/>
      <c r="F1218" s="4" t="n"/>
      <c r="G1218" s="4" t="n"/>
      <c r="H1218" s="4" t="n"/>
      <c r="I1218" s="4" t="n"/>
      <c r="J1218" s="4" t="n"/>
      <c r="K1218" s="19">
        <f>IF(AG1218&gt;0,"O Google leu como fórmula: digite de novo com ' na frente.","")</f>
        <v/>
      </c>
      <c r="N1218" s="2">
        <f>N1217+IF(LEN($X$1218)&gt;0,1,0)</f>
        <v/>
      </c>
      <c r="O1218" s="2">
        <f>O1217+IF(LEN($Y$1218)&gt;0,1,0)</f>
        <v/>
      </c>
      <c r="P1218" s="2">
        <f>P1217+IF(LEN($Z$1218)&gt;0,1,0)</f>
        <v/>
      </c>
      <c r="Q1218" s="2">
        <f>Q1217+IF(LEN($AA$1218)&gt;0,1,0)</f>
        <v/>
      </c>
      <c r="R1218" s="2">
        <f>R1217+IF(LEN($AB$1218)&gt;0,1,0)</f>
        <v/>
      </c>
      <c r="S1218" s="2">
        <f>S1217+IF(LEN($AC$1218)&gt;0,1,0)</f>
        <v/>
      </c>
      <c r="T1218" s="2">
        <f>T1217+IF(LEN($AD$1218)&gt;0,1,0)</f>
        <v/>
      </c>
      <c r="U1218" s="2">
        <f>U1217+IF(LEN($AE$1218)&gt;0,1,0)</f>
        <v/>
      </c>
      <c r="X1218" s="2">
        <f>IF(ISERROR($B$1218),"",IF(ISBLANK($B$1218),"",$B$1218))</f>
        <v/>
      </c>
      <c r="Y1218" s="2">
        <f>IF(ISERROR($C$1218),"",IF(ISBLANK($C$1218),"",$C$1218))</f>
        <v/>
      </c>
      <c r="Z1218" s="2">
        <f>IF(ISERROR($D$1218),"",IF(ISBLANK($D$1218),"",$D$1218))</f>
        <v/>
      </c>
      <c r="AA1218" s="2">
        <f>IF(ISERROR($E$1218),"",IF(ISBLANK($E$1218),"",$E$1218))</f>
        <v/>
      </c>
      <c r="AB1218" s="2">
        <f>IF(ISERROR($F$1218),"",IF(ISBLANK($F$1218),"",$F$1218))</f>
        <v/>
      </c>
      <c r="AC1218" s="2">
        <f>IF(ISERROR($G$1218),"",IF(ISBLANK($G$1218),"",$G$1218))</f>
        <v/>
      </c>
      <c r="AD1218" s="2">
        <f>IF(ISERROR($H$1218),"",IF(ISBLANK($H$1218),"",$H$1218))</f>
        <v/>
      </c>
      <c r="AE1218" s="2">
        <f>IF(ISERROR($I$1218),"",IF(ISBLANK($I$1218),"",$I$1218))</f>
        <v/>
      </c>
      <c r="AF1218" s="2">
        <f>IF(ISERROR($J$1218),"",IF(ISBLANK($J$1218),"",$J$1218))</f>
        <v/>
      </c>
      <c r="AG1218" s="2">
        <f>ISERROR($B$1218)*1+ISERROR($C$1218)*1+ISERROR($D$1218)*1+ISERROR($E$1218)*1+ISERROR($F$1218)*1+ISERROR($G$1218)*1+ISERROR($H$1218)*1+ISERROR($I$1218)*1+ISERROR($J$1218)*1</f>
        <v/>
      </c>
    </row>
    <row r="1219" ht="26" customHeight="1">
      <c r="B1219" s="35" t="n"/>
      <c r="C1219" s="29" t="n"/>
      <c r="D1219" s="29" t="n"/>
      <c r="E1219" s="29" t="n"/>
      <c r="F1219" s="29" t="n"/>
      <c r="G1219" s="29" t="n"/>
      <c r="H1219" s="29" t="n"/>
      <c r="I1219" s="29" t="n"/>
      <c r="J1219" s="29" t="n"/>
      <c r="K1219" s="19">
        <f>IF(AG1219&gt;0,"O Google leu como fórmula: digite de novo com ' na frente.","")</f>
        <v/>
      </c>
      <c r="N1219" s="2">
        <f>N1218+IF(LEN($X$1219)&gt;0,1,0)</f>
        <v/>
      </c>
      <c r="O1219" s="2">
        <f>O1218+IF(LEN($Y$1219)&gt;0,1,0)</f>
        <v/>
      </c>
      <c r="P1219" s="2">
        <f>P1218+IF(LEN($Z$1219)&gt;0,1,0)</f>
        <v/>
      </c>
      <c r="Q1219" s="2">
        <f>Q1218+IF(LEN($AA$1219)&gt;0,1,0)</f>
        <v/>
      </c>
      <c r="R1219" s="2">
        <f>R1218+IF(LEN($AB$1219)&gt;0,1,0)</f>
        <v/>
      </c>
      <c r="S1219" s="2">
        <f>S1218+IF(LEN($AC$1219)&gt;0,1,0)</f>
        <v/>
      </c>
      <c r="T1219" s="2">
        <f>T1218+IF(LEN($AD$1219)&gt;0,1,0)</f>
        <v/>
      </c>
      <c r="U1219" s="2">
        <f>U1218+IF(LEN($AE$1219)&gt;0,1,0)</f>
        <v/>
      </c>
      <c r="X1219" s="2">
        <f>IF(ISERROR($B$1219),"",IF(ISBLANK($B$1219),"",$B$1219))</f>
        <v/>
      </c>
      <c r="Y1219" s="2">
        <f>IF(ISERROR($C$1219),"",IF(ISBLANK($C$1219),"",$C$1219))</f>
        <v/>
      </c>
      <c r="Z1219" s="2">
        <f>IF(ISERROR($D$1219),"",IF(ISBLANK($D$1219),"",$D$1219))</f>
        <v/>
      </c>
      <c r="AA1219" s="2">
        <f>IF(ISERROR($E$1219),"",IF(ISBLANK($E$1219),"",$E$1219))</f>
        <v/>
      </c>
      <c r="AB1219" s="2">
        <f>IF(ISERROR($F$1219),"",IF(ISBLANK($F$1219),"",$F$1219))</f>
        <v/>
      </c>
      <c r="AC1219" s="2">
        <f>IF(ISERROR($G$1219),"",IF(ISBLANK($G$1219),"",$G$1219))</f>
        <v/>
      </c>
      <c r="AD1219" s="2">
        <f>IF(ISERROR($H$1219),"",IF(ISBLANK($H$1219),"",$H$1219))</f>
        <v/>
      </c>
      <c r="AE1219" s="2">
        <f>IF(ISERROR($I$1219),"",IF(ISBLANK($I$1219),"",$I$1219))</f>
        <v/>
      </c>
      <c r="AF1219" s="2">
        <f>IF(ISERROR($J$1219),"",IF(ISBLANK($J$1219),"",$J$1219))</f>
        <v/>
      </c>
      <c r="AG1219" s="2">
        <f>ISERROR($B$1219)*1+ISERROR($C$1219)*1+ISERROR($D$1219)*1+ISERROR($E$1219)*1+ISERROR($F$1219)*1+ISERROR($G$1219)*1+ISERROR($H$1219)*1+ISERROR($I$1219)*1+ISERROR($J$1219)*1</f>
        <v/>
      </c>
    </row>
    <row r="1220" ht="26" customHeight="1">
      <c r="B1220" s="33" t="n"/>
      <c r="C1220" s="4" t="n"/>
      <c r="D1220" s="4" t="n"/>
      <c r="E1220" s="4" t="n"/>
      <c r="F1220" s="4" t="n"/>
      <c r="G1220" s="4" t="n"/>
      <c r="H1220" s="4" t="n"/>
      <c r="I1220" s="4" t="n"/>
      <c r="J1220" s="4" t="n"/>
      <c r="K1220" s="19">
        <f>IF(AG1220&gt;0,"O Google leu como fórmula: digite de novo com ' na frente.","")</f>
        <v/>
      </c>
      <c r="N1220" s="2">
        <f>N1219+IF(LEN($X$1220)&gt;0,1,0)</f>
        <v/>
      </c>
      <c r="O1220" s="2">
        <f>O1219+IF(LEN($Y$1220)&gt;0,1,0)</f>
        <v/>
      </c>
      <c r="P1220" s="2">
        <f>P1219+IF(LEN($Z$1220)&gt;0,1,0)</f>
        <v/>
      </c>
      <c r="Q1220" s="2">
        <f>Q1219+IF(LEN($AA$1220)&gt;0,1,0)</f>
        <v/>
      </c>
      <c r="R1220" s="2">
        <f>R1219+IF(LEN($AB$1220)&gt;0,1,0)</f>
        <v/>
      </c>
      <c r="S1220" s="2">
        <f>S1219+IF(LEN($AC$1220)&gt;0,1,0)</f>
        <v/>
      </c>
      <c r="T1220" s="2">
        <f>T1219+IF(LEN($AD$1220)&gt;0,1,0)</f>
        <v/>
      </c>
      <c r="U1220" s="2">
        <f>U1219+IF(LEN($AE$1220)&gt;0,1,0)</f>
        <v/>
      </c>
      <c r="X1220" s="2">
        <f>IF(ISERROR($B$1220),"",IF(ISBLANK($B$1220),"",$B$1220))</f>
        <v/>
      </c>
      <c r="Y1220" s="2">
        <f>IF(ISERROR($C$1220),"",IF(ISBLANK($C$1220),"",$C$1220))</f>
        <v/>
      </c>
      <c r="Z1220" s="2">
        <f>IF(ISERROR($D$1220),"",IF(ISBLANK($D$1220),"",$D$1220))</f>
        <v/>
      </c>
      <c r="AA1220" s="2">
        <f>IF(ISERROR($E$1220),"",IF(ISBLANK($E$1220),"",$E$1220))</f>
        <v/>
      </c>
      <c r="AB1220" s="2">
        <f>IF(ISERROR($F$1220),"",IF(ISBLANK($F$1220),"",$F$1220))</f>
        <v/>
      </c>
      <c r="AC1220" s="2">
        <f>IF(ISERROR($G$1220),"",IF(ISBLANK($G$1220),"",$G$1220))</f>
        <v/>
      </c>
      <c r="AD1220" s="2">
        <f>IF(ISERROR($H$1220),"",IF(ISBLANK($H$1220),"",$H$1220))</f>
        <v/>
      </c>
      <c r="AE1220" s="2">
        <f>IF(ISERROR($I$1220),"",IF(ISBLANK($I$1220),"",$I$1220))</f>
        <v/>
      </c>
      <c r="AF1220" s="2">
        <f>IF(ISERROR($J$1220),"",IF(ISBLANK($J$1220),"",$J$1220))</f>
        <v/>
      </c>
      <c r="AG1220" s="2">
        <f>ISERROR($B$1220)*1+ISERROR($C$1220)*1+ISERROR($D$1220)*1+ISERROR($E$1220)*1+ISERROR($F$1220)*1+ISERROR($G$1220)*1+ISERROR($H$1220)*1+ISERROR($I$1220)*1+ISERROR($J$1220)*1</f>
        <v/>
      </c>
    </row>
    <row r="1221" ht="26" customHeight="1">
      <c r="B1221" s="35" t="n"/>
      <c r="C1221" s="29" t="n"/>
      <c r="D1221" s="29" t="n"/>
      <c r="E1221" s="29" t="n"/>
      <c r="F1221" s="29" t="n"/>
      <c r="G1221" s="29" t="n"/>
      <c r="H1221" s="29" t="n"/>
      <c r="I1221" s="29" t="n"/>
      <c r="J1221" s="29" t="n"/>
      <c r="K1221" s="19">
        <f>IF(AG1221&gt;0,"O Google leu como fórmula: digite de novo com ' na frente.","")</f>
        <v/>
      </c>
      <c r="N1221" s="2">
        <f>N1220+IF(LEN($X$1221)&gt;0,1,0)</f>
        <v/>
      </c>
      <c r="O1221" s="2">
        <f>O1220+IF(LEN($Y$1221)&gt;0,1,0)</f>
        <v/>
      </c>
      <c r="P1221" s="2">
        <f>P1220+IF(LEN($Z$1221)&gt;0,1,0)</f>
        <v/>
      </c>
      <c r="Q1221" s="2">
        <f>Q1220+IF(LEN($AA$1221)&gt;0,1,0)</f>
        <v/>
      </c>
      <c r="R1221" s="2">
        <f>R1220+IF(LEN($AB$1221)&gt;0,1,0)</f>
        <v/>
      </c>
      <c r="S1221" s="2">
        <f>S1220+IF(LEN($AC$1221)&gt;0,1,0)</f>
        <v/>
      </c>
      <c r="T1221" s="2">
        <f>T1220+IF(LEN($AD$1221)&gt;0,1,0)</f>
        <v/>
      </c>
      <c r="U1221" s="2">
        <f>U1220+IF(LEN($AE$1221)&gt;0,1,0)</f>
        <v/>
      </c>
      <c r="X1221" s="2">
        <f>IF(ISERROR($B$1221),"",IF(ISBLANK($B$1221),"",$B$1221))</f>
        <v/>
      </c>
      <c r="Y1221" s="2">
        <f>IF(ISERROR($C$1221),"",IF(ISBLANK($C$1221),"",$C$1221))</f>
        <v/>
      </c>
      <c r="Z1221" s="2">
        <f>IF(ISERROR($D$1221),"",IF(ISBLANK($D$1221),"",$D$1221))</f>
        <v/>
      </c>
      <c r="AA1221" s="2">
        <f>IF(ISERROR($E$1221),"",IF(ISBLANK($E$1221),"",$E$1221))</f>
        <v/>
      </c>
      <c r="AB1221" s="2">
        <f>IF(ISERROR($F$1221),"",IF(ISBLANK($F$1221),"",$F$1221))</f>
        <v/>
      </c>
      <c r="AC1221" s="2">
        <f>IF(ISERROR($G$1221),"",IF(ISBLANK($G$1221),"",$G$1221))</f>
        <v/>
      </c>
      <c r="AD1221" s="2">
        <f>IF(ISERROR($H$1221),"",IF(ISBLANK($H$1221),"",$H$1221))</f>
        <v/>
      </c>
      <c r="AE1221" s="2">
        <f>IF(ISERROR($I$1221),"",IF(ISBLANK($I$1221),"",$I$1221))</f>
        <v/>
      </c>
      <c r="AF1221" s="2">
        <f>IF(ISERROR($J$1221),"",IF(ISBLANK($J$1221),"",$J$1221))</f>
        <v/>
      </c>
      <c r="AG1221" s="2">
        <f>ISERROR($B$1221)*1+ISERROR($C$1221)*1+ISERROR($D$1221)*1+ISERROR($E$1221)*1+ISERROR($F$1221)*1+ISERROR($G$1221)*1+ISERROR($H$1221)*1+ISERROR($I$1221)*1+ISERROR($J$1221)*1</f>
        <v/>
      </c>
    </row>
    <row r="1222" ht="26" customHeight="1">
      <c r="B1222" s="33" t="n"/>
      <c r="C1222" s="4" t="n"/>
      <c r="D1222" s="4" t="n"/>
      <c r="E1222" s="4" t="n"/>
      <c r="F1222" s="4" t="n"/>
      <c r="G1222" s="4" t="n"/>
      <c r="H1222" s="4" t="n"/>
      <c r="I1222" s="4" t="n"/>
      <c r="J1222" s="4" t="n"/>
      <c r="K1222" s="19">
        <f>IF(AG1222&gt;0,"O Google leu como fórmula: digite de novo com ' na frente.","")</f>
        <v/>
      </c>
      <c r="N1222" s="2">
        <f>N1221+IF(LEN($X$1222)&gt;0,1,0)</f>
        <v/>
      </c>
      <c r="O1222" s="2">
        <f>O1221+IF(LEN($Y$1222)&gt;0,1,0)</f>
        <v/>
      </c>
      <c r="P1222" s="2">
        <f>P1221+IF(LEN($Z$1222)&gt;0,1,0)</f>
        <v/>
      </c>
      <c r="Q1222" s="2">
        <f>Q1221+IF(LEN($AA$1222)&gt;0,1,0)</f>
        <v/>
      </c>
      <c r="R1222" s="2">
        <f>R1221+IF(LEN($AB$1222)&gt;0,1,0)</f>
        <v/>
      </c>
      <c r="S1222" s="2">
        <f>S1221+IF(LEN($AC$1222)&gt;0,1,0)</f>
        <v/>
      </c>
      <c r="T1222" s="2">
        <f>T1221+IF(LEN($AD$1222)&gt;0,1,0)</f>
        <v/>
      </c>
      <c r="U1222" s="2">
        <f>U1221+IF(LEN($AE$1222)&gt;0,1,0)</f>
        <v/>
      </c>
      <c r="X1222" s="2">
        <f>IF(ISERROR($B$1222),"",IF(ISBLANK($B$1222),"",$B$1222))</f>
        <v/>
      </c>
      <c r="Y1222" s="2">
        <f>IF(ISERROR($C$1222),"",IF(ISBLANK($C$1222),"",$C$1222))</f>
        <v/>
      </c>
      <c r="Z1222" s="2">
        <f>IF(ISERROR($D$1222),"",IF(ISBLANK($D$1222),"",$D$1222))</f>
        <v/>
      </c>
      <c r="AA1222" s="2">
        <f>IF(ISERROR($E$1222),"",IF(ISBLANK($E$1222),"",$E$1222))</f>
        <v/>
      </c>
      <c r="AB1222" s="2">
        <f>IF(ISERROR($F$1222),"",IF(ISBLANK($F$1222),"",$F$1222))</f>
        <v/>
      </c>
      <c r="AC1222" s="2">
        <f>IF(ISERROR($G$1222),"",IF(ISBLANK($G$1222),"",$G$1222))</f>
        <v/>
      </c>
      <c r="AD1222" s="2">
        <f>IF(ISERROR($H$1222),"",IF(ISBLANK($H$1222),"",$H$1222))</f>
        <v/>
      </c>
      <c r="AE1222" s="2">
        <f>IF(ISERROR($I$1222),"",IF(ISBLANK($I$1222),"",$I$1222))</f>
        <v/>
      </c>
      <c r="AF1222" s="2">
        <f>IF(ISERROR($J$1222),"",IF(ISBLANK($J$1222),"",$J$1222))</f>
        <v/>
      </c>
      <c r="AG1222" s="2">
        <f>ISERROR($B$1222)*1+ISERROR($C$1222)*1+ISERROR($D$1222)*1+ISERROR($E$1222)*1+ISERROR($F$1222)*1+ISERROR($G$1222)*1+ISERROR($H$1222)*1+ISERROR($I$1222)*1+ISERROR($J$1222)*1</f>
        <v/>
      </c>
    </row>
    <row r="1223" ht="26" customHeight="1">
      <c r="B1223" s="35" t="n"/>
      <c r="C1223" s="29" t="n"/>
      <c r="D1223" s="29" t="n"/>
      <c r="E1223" s="29" t="n"/>
      <c r="F1223" s="29" t="n"/>
      <c r="G1223" s="29" t="n"/>
      <c r="H1223" s="29" t="n"/>
      <c r="I1223" s="29" t="n"/>
      <c r="J1223" s="29" t="n"/>
      <c r="K1223" s="19">
        <f>IF(AG1223&gt;0,"O Google leu como fórmula: digite de novo com ' na frente.","")</f>
        <v/>
      </c>
      <c r="N1223" s="2">
        <f>N1222+IF(LEN($X$1223)&gt;0,1,0)</f>
        <v/>
      </c>
      <c r="O1223" s="2">
        <f>O1222+IF(LEN($Y$1223)&gt;0,1,0)</f>
        <v/>
      </c>
      <c r="P1223" s="2">
        <f>P1222+IF(LEN($Z$1223)&gt;0,1,0)</f>
        <v/>
      </c>
      <c r="Q1223" s="2">
        <f>Q1222+IF(LEN($AA$1223)&gt;0,1,0)</f>
        <v/>
      </c>
      <c r="R1223" s="2">
        <f>R1222+IF(LEN($AB$1223)&gt;0,1,0)</f>
        <v/>
      </c>
      <c r="S1223" s="2">
        <f>S1222+IF(LEN($AC$1223)&gt;0,1,0)</f>
        <v/>
      </c>
      <c r="T1223" s="2">
        <f>T1222+IF(LEN($AD$1223)&gt;0,1,0)</f>
        <v/>
      </c>
      <c r="U1223" s="2">
        <f>U1222+IF(LEN($AE$1223)&gt;0,1,0)</f>
        <v/>
      </c>
      <c r="X1223" s="2">
        <f>IF(ISERROR($B$1223),"",IF(ISBLANK($B$1223),"",$B$1223))</f>
        <v/>
      </c>
      <c r="Y1223" s="2">
        <f>IF(ISERROR($C$1223),"",IF(ISBLANK($C$1223),"",$C$1223))</f>
        <v/>
      </c>
      <c r="Z1223" s="2">
        <f>IF(ISERROR($D$1223),"",IF(ISBLANK($D$1223),"",$D$1223))</f>
        <v/>
      </c>
      <c r="AA1223" s="2">
        <f>IF(ISERROR($E$1223),"",IF(ISBLANK($E$1223),"",$E$1223))</f>
        <v/>
      </c>
      <c r="AB1223" s="2">
        <f>IF(ISERROR($F$1223),"",IF(ISBLANK($F$1223),"",$F$1223))</f>
        <v/>
      </c>
      <c r="AC1223" s="2">
        <f>IF(ISERROR($G$1223),"",IF(ISBLANK($G$1223),"",$G$1223))</f>
        <v/>
      </c>
      <c r="AD1223" s="2">
        <f>IF(ISERROR($H$1223),"",IF(ISBLANK($H$1223),"",$H$1223))</f>
        <v/>
      </c>
      <c r="AE1223" s="2">
        <f>IF(ISERROR($I$1223),"",IF(ISBLANK($I$1223),"",$I$1223))</f>
        <v/>
      </c>
      <c r="AF1223" s="2">
        <f>IF(ISERROR($J$1223),"",IF(ISBLANK($J$1223),"",$J$1223))</f>
        <v/>
      </c>
      <c r="AG1223" s="2">
        <f>ISERROR($B$1223)*1+ISERROR($C$1223)*1+ISERROR($D$1223)*1+ISERROR($E$1223)*1+ISERROR($F$1223)*1+ISERROR($G$1223)*1+ISERROR($H$1223)*1+ISERROR($I$1223)*1+ISERROR($J$1223)*1</f>
        <v/>
      </c>
    </row>
    <row r="1224" ht="26" customHeight="1">
      <c r="B1224" s="33" t="n"/>
      <c r="C1224" s="4" t="n"/>
      <c r="D1224" s="4" t="n"/>
      <c r="E1224" s="4" t="n"/>
      <c r="F1224" s="4" t="n"/>
      <c r="G1224" s="4" t="n"/>
      <c r="H1224" s="4" t="n"/>
      <c r="I1224" s="4" t="n"/>
      <c r="J1224" s="4" t="n"/>
      <c r="K1224" s="19">
        <f>IF(AG1224&gt;0,"O Google leu como fórmula: digite de novo com ' na frente.","")</f>
        <v/>
      </c>
      <c r="N1224" s="2">
        <f>N1223+IF(LEN($X$1224)&gt;0,1,0)</f>
        <v/>
      </c>
      <c r="O1224" s="2">
        <f>O1223+IF(LEN($Y$1224)&gt;0,1,0)</f>
        <v/>
      </c>
      <c r="P1224" s="2">
        <f>P1223+IF(LEN($Z$1224)&gt;0,1,0)</f>
        <v/>
      </c>
      <c r="Q1224" s="2">
        <f>Q1223+IF(LEN($AA$1224)&gt;0,1,0)</f>
        <v/>
      </c>
      <c r="R1224" s="2">
        <f>R1223+IF(LEN($AB$1224)&gt;0,1,0)</f>
        <v/>
      </c>
      <c r="S1224" s="2">
        <f>S1223+IF(LEN($AC$1224)&gt;0,1,0)</f>
        <v/>
      </c>
      <c r="T1224" s="2">
        <f>T1223+IF(LEN($AD$1224)&gt;0,1,0)</f>
        <v/>
      </c>
      <c r="U1224" s="2">
        <f>U1223+IF(LEN($AE$1224)&gt;0,1,0)</f>
        <v/>
      </c>
      <c r="X1224" s="2">
        <f>IF(ISERROR($B$1224),"",IF(ISBLANK($B$1224),"",$B$1224))</f>
        <v/>
      </c>
      <c r="Y1224" s="2">
        <f>IF(ISERROR($C$1224),"",IF(ISBLANK($C$1224),"",$C$1224))</f>
        <v/>
      </c>
      <c r="Z1224" s="2">
        <f>IF(ISERROR($D$1224),"",IF(ISBLANK($D$1224),"",$D$1224))</f>
        <v/>
      </c>
      <c r="AA1224" s="2">
        <f>IF(ISERROR($E$1224),"",IF(ISBLANK($E$1224),"",$E$1224))</f>
        <v/>
      </c>
      <c r="AB1224" s="2">
        <f>IF(ISERROR($F$1224),"",IF(ISBLANK($F$1224),"",$F$1224))</f>
        <v/>
      </c>
      <c r="AC1224" s="2">
        <f>IF(ISERROR($G$1224),"",IF(ISBLANK($G$1224),"",$G$1224))</f>
        <v/>
      </c>
      <c r="AD1224" s="2">
        <f>IF(ISERROR($H$1224),"",IF(ISBLANK($H$1224),"",$H$1224))</f>
        <v/>
      </c>
      <c r="AE1224" s="2">
        <f>IF(ISERROR($I$1224),"",IF(ISBLANK($I$1224),"",$I$1224))</f>
        <v/>
      </c>
      <c r="AF1224" s="2">
        <f>IF(ISERROR($J$1224),"",IF(ISBLANK($J$1224),"",$J$1224))</f>
        <v/>
      </c>
      <c r="AG1224" s="2">
        <f>ISERROR($B$1224)*1+ISERROR($C$1224)*1+ISERROR($D$1224)*1+ISERROR($E$1224)*1+ISERROR($F$1224)*1+ISERROR($G$1224)*1+ISERROR($H$1224)*1+ISERROR($I$1224)*1+ISERROR($J$1224)*1</f>
        <v/>
      </c>
    </row>
    <row r="1225" ht="26" customHeight="1">
      <c r="B1225" s="35" t="n"/>
      <c r="C1225" s="29" t="n"/>
      <c r="D1225" s="29" t="n"/>
      <c r="E1225" s="29" t="n"/>
      <c r="F1225" s="29" t="n"/>
      <c r="G1225" s="29" t="n"/>
      <c r="H1225" s="29" t="n"/>
      <c r="I1225" s="29" t="n"/>
      <c r="J1225" s="29" t="n"/>
      <c r="K1225" s="19">
        <f>IF(AG1225&gt;0,"O Google leu como fórmula: digite de novo com ' na frente.","")</f>
        <v/>
      </c>
      <c r="N1225" s="2">
        <f>N1224+IF(LEN($X$1225)&gt;0,1,0)</f>
        <v/>
      </c>
      <c r="O1225" s="2">
        <f>O1224+IF(LEN($Y$1225)&gt;0,1,0)</f>
        <v/>
      </c>
      <c r="P1225" s="2">
        <f>P1224+IF(LEN($Z$1225)&gt;0,1,0)</f>
        <v/>
      </c>
      <c r="Q1225" s="2">
        <f>Q1224+IF(LEN($AA$1225)&gt;0,1,0)</f>
        <v/>
      </c>
      <c r="R1225" s="2">
        <f>R1224+IF(LEN($AB$1225)&gt;0,1,0)</f>
        <v/>
      </c>
      <c r="S1225" s="2">
        <f>S1224+IF(LEN($AC$1225)&gt;0,1,0)</f>
        <v/>
      </c>
      <c r="T1225" s="2">
        <f>T1224+IF(LEN($AD$1225)&gt;0,1,0)</f>
        <v/>
      </c>
      <c r="U1225" s="2">
        <f>U1224+IF(LEN($AE$1225)&gt;0,1,0)</f>
        <v/>
      </c>
      <c r="X1225" s="2">
        <f>IF(ISERROR($B$1225),"",IF(ISBLANK($B$1225),"",$B$1225))</f>
        <v/>
      </c>
      <c r="Y1225" s="2">
        <f>IF(ISERROR($C$1225),"",IF(ISBLANK($C$1225),"",$C$1225))</f>
        <v/>
      </c>
      <c r="Z1225" s="2">
        <f>IF(ISERROR($D$1225),"",IF(ISBLANK($D$1225),"",$D$1225))</f>
        <v/>
      </c>
      <c r="AA1225" s="2">
        <f>IF(ISERROR($E$1225),"",IF(ISBLANK($E$1225),"",$E$1225))</f>
        <v/>
      </c>
      <c r="AB1225" s="2">
        <f>IF(ISERROR($F$1225),"",IF(ISBLANK($F$1225),"",$F$1225))</f>
        <v/>
      </c>
      <c r="AC1225" s="2">
        <f>IF(ISERROR($G$1225),"",IF(ISBLANK($G$1225),"",$G$1225))</f>
        <v/>
      </c>
      <c r="AD1225" s="2">
        <f>IF(ISERROR($H$1225),"",IF(ISBLANK($H$1225),"",$H$1225))</f>
        <v/>
      </c>
      <c r="AE1225" s="2">
        <f>IF(ISERROR($I$1225),"",IF(ISBLANK($I$1225),"",$I$1225))</f>
        <v/>
      </c>
      <c r="AF1225" s="2">
        <f>IF(ISERROR($J$1225),"",IF(ISBLANK($J$1225),"",$J$1225))</f>
        <v/>
      </c>
      <c r="AG1225" s="2">
        <f>ISERROR($B$1225)*1+ISERROR($C$1225)*1+ISERROR($D$1225)*1+ISERROR($E$1225)*1+ISERROR($F$1225)*1+ISERROR($G$1225)*1+ISERROR($H$1225)*1+ISERROR($I$1225)*1+ISERROR($J$1225)*1</f>
        <v/>
      </c>
    </row>
    <row r="1226" ht="26" customHeight="1">
      <c r="B1226" s="33" t="n"/>
      <c r="C1226" s="4" t="n"/>
      <c r="D1226" s="4" t="n"/>
      <c r="E1226" s="4" t="n"/>
      <c r="F1226" s="4" t="n"/>
      <c r="G1226" s="4" t="n"/>
      <c r="H1226" s="4" t="n"/>
      <c r="I1226" s="4" t="n"/>
      <c r="J1226" s="4" t="n"/>
      <c r="K1226" s="19">
        <f>IF(AG1226&gt;0,"O Google leu como fórmula: digite de novo com ' na frente.","")</f>
        <v/>
      </c>
      <c r="N1226" s="2">
        <f>N1225+IF(LEN($X$1226)&gt;0,1,0)</f>
        <v/>
      </c>
      <c r="O1226" s="2">
        <f>O1225+IF(LEN($Y$1226)&gt;0,1,0)</f>
        <v/>
      </c>
      <c r="P1226" s="2">
        <f>P1225+IF(LEN($Z$1226)&gt;0,1,0)</f>
        <v/>
      </c>
      <c r="Q1226" s="2">
        <f>Q1225+IF(LEN($AA$1226)&gt;0,1,0)</f>
        <v/>
      </c>
      <c r="R1226" s="2">
        <f>R1225+IF(LEN($AB$1226)&gt;0,1,0)</f>
        <v/>
      </c>
      <c r="S1226" s="2">
        <f>S1225+IF(LEN($AC$1226)&gt;0,1,0)</f>
        <v/>
      </c>
      <c r="T1226" s="2">
        <f>T1225+IF(LEN($AD$1226)&gt;0,1,0)</f>
        <v/>
      </c>
      <c r="U1226" s="2">
        <f>U1225+IF(LEN($AE$1226)&gt;0,1,0)</f>
        <v/>
      </c>
      <c r="X1226" s="2">
        <f>IF(ISERROR($B$1226),"",IF(ISBLANK($B$1226),"",$B$1226))</f>
        <v/>
      </c>
      <c r="Y1226" s="2">
        <f>IF(ISERROR($C$1226),"",IF(ISBLANK($C$1226),"",$C$1226))</f>
        <v/>
      </c>
      <c r="Z1226" s="2">
        <f>IF(ISERROR($D$1226),"",IF(ISBLANK($D$1226),"",$D$1226))</f>
        <v/>
      </c>
      <c r="AA1226" s="2">
        <f>IF(ISERROR($E$1226),"",IF(ISBLANK($E$1226),"",$E$1226))</f>
        <v/>
      </c>
      <c r="AB1226" s="2">
        <f>IF(ISERROR($F$1226),"",IF(ISBLANK($F$1226),"",$F$1226))</f>
        <v/>
      </c>
      <c r="AC1226" s="2">
        <f>IF(ISERROR($G$1226),"",IF(ISBLANK($G$1226),"",$G$1226))</f>
        <v/>
      </c>
      <c r="AD1226" s="2">
        <f>IF(ISERROR($H$1226),"",IF(ISBLANK($H$1226),"",$H$1226))</f>
        <v/>
      </c>
      <c r="AE1226" s="2">
        <f>IF(ISERROR($I$1226),"",IF(ISBLANK($I$1226),"",$I$1226))</f>
        <v/>
      </c>
      <c r="AF1226" s="2">
        <f>IF(ISERROR($J$1226),"",IF(ISBLANK($J$1226),"",$J$1226))</f>
        <v/>
      </c>
      <c r="AG1226" s="2">
        <f>ISERROR($B$1226)*1+ISERROR($C$1226)*1+ISERROR($D$1226)*1+ISERROR($E$1226)*1+ISERROR($F$1226)*1+ISERROR($G$1226)*1+ISERROR($H$1226)*1+ISERROR($I$1226)*1+ISERROR($J$1226)*1</f>
        <v/>
      </c>
    </row>
    <row r="1227" ht="26" customHeight="1">
      <c r="B1227" s="35" t="n"/>
      <c r="C1227" s="29" t="n"/>
      <c r="D1227" s="29" t="n"/>
      <c r="E1227" s="29" t="n"/>
      <c r="F1227" s="29" t="n"/>
      <c r="G1227" s="29" t="n"/>
      <c r="H1227" s="29" t="n"/>
      <c r="I1227" s="29" t="n"/>
      <c r="J1227" s="29" t="n"/>
      <c r="K1227" s="19">
        <f>IF(AG1227&gt;0,"O Google leu como fórmula: digite de novo com ' na frente.","")</f>
        <v/>
      </c>
      <c r="N1227" s="2">
        <f>N1226+IF(LEN($X$1227)&gt;0,1,0)</f>
        <v/>
      </c>
      <c r="O1227" s="2">
        <f>O1226+IF(LEN($Y$1227)&gt;0,1,0)</f>
        <v/>
      </c>
      <c r="P1227" s="2">
        <f>P1226+IF(LEN($Z$1227)&gt;0,1,0)</f>
        <v/>
      </c>
      <c r="Q1227" s="2">
        <f>Q1226+IF(LEN($AA$1227)&gt;0,1,0)</f>
        <v/>
      </c>
      <c r="R1227" s="2">
        <f>R1226+IF(LEN($AB$1227)&gt;0,1,0)</f>
        <v/>
      </c>
      <c r="S1227" s="2">
        <f>S1226+IF(LEN($AC$1227)&gt;0,1,0)</f>
        <v/>
      </c>
      <c r="T1227" s="2">
        <f>T1226+IF(LEN($AD$1227)&gt;0,1,0)</f>
        <v/>
      </c>
      <c r="U1227" s="2">
        <f>U1226+IF(LEN($AE$1227)&gt;0,1,0)</f>
        <v/>
      </c>
      <c r="X1227" s="2">
        <f>IF(ISERROR($B$1227),"",IF(ISBLANK($B$1227),"",$B$1227))</f>
        <v/>
      </c>
      <c r="Y1227" s="2">
        <f>IF(ISERROR($C$1227),"",IF(ISBLANK($C$1227),"",$C$1227))</f>
        <v/>
      </c>
      <c r="Z1227" s="2">
        <f>IF(ISERROR($D$1227),"",IF(ISBLANK($D$1227),"",$D$1227))</f>
        <v/>
      </c>
      <c r="AA1227" s="2">
        <f>IF(ISERROR($E$1227),"",IF(ISBLANK($E$1227),"",$E$1227))</f>
        <v/>
      </c>
      <c r="AB1227" s="2">
        <f>IF(ISERROR($F$1227),"",IF(ISBLANK($F$1227),"",$F$1227))</f>
        <v/>
      </c>
      <c r="AC1227" s="2">
        <f>IF(ISERROR($G$1227),"",IF(ISBLANK($G$1227),"",$G$1227))</f>
        <v/>
      </c>
      <c r="AD1227" s="2">
        <f>IF(ISERROR($H$1227),"",IF(ISBLANK($H$1227),"",$H$1227))</f>
        <v/>
      </c>
      <c r="AE1227" s="2">
        <f>IF(ISERROR($I$1227),"",IF(ISBLANK($I$1227),"",$I$1227))</f>
        <v/>
      </c>
      <c r="AF1227" s="2">
        <f>IF(ISERROR($J$1227),"",IF(ISBLANK($J$1227),"",$J$1227))</f>
        <v/>
      </c>
      <c r="AG1227" s="2">
        <f>ISERROR($B$1227)*1+ISERROR($C$1227)*1+ISERROR($D$1227)*1+ISERROR($E$1227)*1+ISERROR($F$1227)*1+ISERROR($G$1227)*1+ISERROR($H$1227)*1+ISERROR($I$1227)*1+ISERROR($J$1227)*1</f>
        <v/>
      </c>
    </row>
    <row r="1228" ht="26" customHeight="1">
      <c r="B1228" s="33" t="n"/>
      <c r="C1228" s="4" t="n"/>
      <c r="D1228" s="4" t="n"/>
      <c r="E1228" s="4" t="n"/>
      <c r="F1228" s="4" t="n"/>
      <c r="G1228" s="4" t="n"/>
      <c r="H1228" s="4" t="n"/>
      <c r="I1228" s="4" t="n"/>
      <c r="J1228" s="4" t="n"/>
      <c r="K1228" s="19">
        <f>IF(AG1228&gt;0,"O Google leu como fórmula: digite de novo com ' na frente.","")</f>
        <v/>
      </c>
      <c r="N1228" s="2">
        <f>N1227+IF(LEN($X$1228)&gt;0,1,0)</f>
        <v/>
      </c>
      <c r="O1228" s="2">
        <f>O1227+IF(LEN($Y$1228)&gt;0,1,0)</f>
        <v/>
      </c>
      <c r="P1228" s="2">
        <f>P1227+IF(LEN($Z$1228)&gt;0,1,0)</f>
        <v/>
      </c>
      <c r="Q1228" s="2">
        <f>Q1227+IF(LEN($AA$1228)&gt;0,1,0)</f>
        <v/>
      </c>
      <c r="R1228" s="2">
        <f>R1227+IF(LEN($AB$1228)&gt;0,1,0)</f>
        <v/>
      </c>
      <c r="S1228" s="2">
        <f>S1227+IF(LEN($AC$1228)&gt;0,1,0)</f>
        <v/>
      </c>
      <c r="T1228" s="2">
        <f>T1227+IF(LEN($AD$1228)&gt;0,1,0)</f>
        <v/>
      </c>
      <c r="U1228" s="2">
        <f>U1227+IF(LEN($AE$1228)&gt;0,1,0)</f>
        <v/>
      </c>
      <c r="X1228" s="2">
        <f>IF(ISERROR($B$1228),"",IF(ISBLANK($B$1228),"",$B$1228))</f>
        <v/>
      </c>
      <c r="Y1228" s="2">
        <f>IF(ISERROR($C$1228),"",IF(ISBLANK($C$1228),"",$C$1228))</f>
        <v/>
      </c>
      <c r="Z1228" s="2">
        <f>IF(ISERROR($D$1228),"",IF(ISBLANK($D$1228),"",$D$1228))</f>
        <v/>
      </c>
      <c r="AA1228" s="2">
        <f>IF(ISERROR($E$1228),"",IF(ISBLANK($E$1228),"",$E$1228))</f>
        <v/>
      </c>
      <c r="AB1228" s="2">
        <f>IF(ISERROR($F$1228),"",IF(ISBLANK($F$1228),"",$F$1228))</f>
        <v/>
      </c>
      <c r="AC1228" s="2">
        <f>IF(ISERROR($G$1228),"",IF(ISBLANK($G$1228),"",$G$1228))</f>
        <v/>
      </c>
      <c r="AD1228" s="2">
        <f>IF(ISERROR($H$1228),"",IF(ISBLANK($H$1228),"",$H$1228))</f>
        <v/>
      </c>
      <c r="AE1228" s="2">
        <f>IF(ISERROR($I$1228),"",IF(ISBLANK($I$1228),"",$I$1228))</f>
        <v/>
      </c>
      <c r="AF1228" s="2">
        <f>IF(ISERROR($J$1228),"",IF(ISBLANK($J$1228),"",$J$1228))</f>
        <v/>
      </c>
      <c r="AG1228" s="2">
        <f>ISERROR($B$1228)*1+ISERROR($C$1228)*1+ISERROR($D$1228)*1+ISERROR($E$1228)*1+ISERROR($F$1228)*1+ISERROR($G$1228)*1+ISERROR($H$1228)*1+ISERROR($I$1228)*1+ISERROR($J$1228)*1</f>
        <v/>
      </c>
    </row>
    <row r="1229" ht="26" customHeight="1">
      <c r="B1229" s="35" t="n"/>
      <c r="C1229" s="29" t="n"/>
      <c r="D1229" s="29" t="n"/>
      <c r="E1229" s="29" t="n"/>
      <c r="F1229" s="29" t="n"/>
      <c r="G1229" s="29" t="n"/>
      <c r="H1229" s="29" t="n"/>
      <c r="I1229" s="29" t="n"/>
      <c r="J1229" s="29" t="n"/>
      <c r="K1229" s="19">
        <f>IF(AG1229&gt;0,"O Google leu como fórmula: digite de novo com ' na frente.","")</f>
        <v/>
      </c>
      <c r="N1229" s="2">
        <f>N1228+IF(LEN($X$1229)&gt;0,1,0)</f>
        <v/>
      </c>
      <c r="O1229" s="2">
        <f>O1228+IF(LEN($Y$1229)&gt;0,1,0)</f>
        <v/>
      </c>
      <c r="P1229" s="2">
        <f>P1228+IF(LEN($Z$1229)&gt;0,1,0)</f>
        <v/>
      </c>
      <c r="Q1229" s="2">
        <f>Q1228+IF(LEN($AA$1229)&gt;0,1,0)</f>
        <v/>
      </c>
      <c r="R1229" s="2">
        <f>R1228+IF(LEN($AB$1229)&gt;0,1,0)</f>
        <v/>
      </c>
      <c r="S1229" s="2">
        <f>S1228+IF(LEN($AC$1229)&gt;0,1,0)</f>
        <v/>
      </c>
      <c r="T1229" s="2">
        <f>T1228+IF(LEN($AD$1229)&gt;0,1,0)</f>
        <v/>
      </c>
      <c r="U1229" s="2">
        <f>U1228+IF(LEN($AE$1229)&gt;0,1,0)</f>
        <v/>
      </c>
      <c r="X1229" s="2">
        <f>IF(ISERROR($B$1229),"",IF(ISBLANK($B$1229),"",$B$1229))</f>
        <v/>
      </c>
      <c r="Y1229" s="2">
        <f>IF(ISERROR($C$1229),"",IF(ISBLANK($C$1229),"",$C$1229))</f>
        <v/>
      </c>
      <c r="Z1229" s="2">
        <f>IF(ISERROR($D$1229),"",IF(ISBLANK($D$1229),"",$D$1229))</f>
        <v/>
      </c>
      <c r="AA1229" s="2">
        <f>IF(ISERROR($E$1229),"",IF(ISBLANK($E$1229),"",$E$1229))</f>
        <v/>
      </c>
      <c r="AB1229" s="2">
        <f>IF(ISERROR($F$1229),"",IF(ISBLANK($F$1229),"",$F$1229))</f>
        <v/>
      </c>
      <c r="AC1229" s="2">
        <f>IF(ISERROR($G$1229),"",IF(ISBLANK($G$1229),"",$G$1229))</f>
        <v/>
      </c>
      <c r="AD1229" s="2">
        <f>IF(ISERROR($H$1229),"",IF(ISBLANK($H$1229),"",$H$1229))</f>
        <v/>
      </c>
      <c r="AE1229" s="2">
        <f>IF(ISERROR($I$1229),"",IF(ISBLANK($I$1229),"",$I$1229))</f>
        <v/>
      </c>
      <c r="AF1229" s="2">
        <f>IF(ISERROR($J$1229),"",IF(ISBLANK($J$1229),"",$J$1229))</f>
        <v/>
      </c>
      <c r="AG1229" s="2">
        <f>ISERROR($B$1229)*1+ISERROR($C$1229)*1+ISERROR($D$1229)*1+ISERROR($E$1229)*1+ISERROR($F$1229)*1+ISERROR($G$1229)*1+ISERROR($H$1229)*1+ISERROR($I$1229)*1+ISERROR($J$1229)*1</f>
        <v/>
      </c>
    </row>
    <row r="1230" ht="26" customHeight="1">
      <c r="B1230" s="33" t="n"/>
      <c r="C1230" s="4" t="n"/>
      <c r="D1230" s="4" t="n"/>
      <c r="E1230" s="4" t="n"/>
      <c r="F1230" s="4" t="n"/>
      <c r="G1230" s="4" t="n"/>
      <c r="H1230" s="4" t="n"/>
      <c r="I1230" s="4" t="n"/>
      <c r="J1230" s="4" t="n"/>
      <c r="K1230" s="19">
        <f>IF(AG1230&gt;0,"O Google leu como fórmula: digite de novo com ' na frente.","")</f>
        <v/>
      </c>
      <c r="N1230" s="2">
        <f>N1229+IF(LEN($X$1230)&gt;0,1,0)</f>
        <v/>
      </c>
      <c r="O1230" s="2">
        <f>O1229+IF(LEN($Y$1230)&gt;0,1,0)</f>
        <v/>
      </c>
      <c r="P1230" s="2">
        <f>P1229+IF(LEN($Z$1230)&gt;0,1,0)</f>
        <v/>
      </c>
      <c r="Q1230" s="2">
        <f>Q1229+IF(LEN($AA$1230)&gt;0,1,0)</f>
        <v/>
      </c>
      <c r="R1230" s="2">
        <f>R1229+IF(LEN($AB$1230)&gt;0,1,0)</f>
        <v/>
      </c>
      <c r="S1230" s="2">
        <f>S1229+IF(LEN($AC$1230)&gt;0,1,0)</f>
        <v/>
      </c>
      <c r="T1230" s="2">
        <f>T1229+IF(LEN($AD$1230)&gt;0,1,0)</f>
        <v/>
      </c>
      <c r="U1230" s="2">
        <f>U1229+IF(LEN($AE$1230)&gt;0,1,0)</f>
        <v/>
      </c>
      <c r="X1230" s="2">
        <f>IF(ISERROR($B$1230),"",IF(ISBLANK($B$1230),"",$B$1230))</f>
        <v/>
      </c>
      <c r="Y1230" s="2">
        <f>IF(ISERROR($C$1230),"",IF(ISBLANK($C$1230),"",$C$1230))</f>
        <v/>
      </c>
      <c r="Z1230" s="2">
        <f>IF(ISERROR($D$1230),"",IF(ISBLANK($D$1230),"",$D$1230))</f>
        <v/>
      </c>
      <c r="AA1230" s="2">
        <f>IF(ISERROR($E$1230),"",IF(ISBLANK($E$1230),"",$E$1230))</f>
        <v/>
      </c>
      <c r="AB1230" s="2">
        <f>IF(ISERROR($F$1230),"",IF(ISBLANK($F$1230),"",$F$1230))</f>
        <v/>
      </c>
      <c r="AC1230" s="2">
        <f>IF(ISERROR($G$1230),"",IF(ISBLANK($G$1230),"",$G$1230))</f>
        <v/>
      </c>
      <c r="AD1230" s="2">
        <f>IF(ISERROR($H$1230),"",IF(ISBLANK($H$1230),"",$H$1230))</f>
        <v/>
      </c>
      <c r="AE1230" s="2">
        <f>IF(ISERROR($I$1230),"",IF(ISBLANK($I$1230),"",$I$1230))</f>
        <v/>
      </c>
      <c r="AF1230" s="2">
        <f>IF(ISERROR($J$1230),"",IF(ISBLANK($J$1230),"",$J$1230))</f>
        <v/>
      </c>
      <c r="AG1230" s="2">
        <f>ISERROR($B$1230)*1+ISERROR($C$1230)*1+ISERROR($D$1230)*1+ISERROR($E$1230)*1+ISERROR($F$1230)*1+ISERROR($G$1230)*1+ISERROR($H$1230)*1+ISERROR($I$1230)*1+ISERROR($J$1230)*1</f>
        <v/>
      </c>
    </row>
    <row r="1231" ht="26" customHeight="1">
      <c r="B1231" s="8" t="inlineStr">
        <is>
          <t>Rumor</t>
        </is>
      </c>
      <c r="C1231" s="8" t="inlineStr">
        <is>
          <t>Veracidade do rumor (peso)</t>
        </is>
      </c>
      <c r="D1231" s="8" t="inlineStr">
        <is>
          <t>Evento de viagem</t>
        </is>
      </c>
      <c r="E1231" s="8" t="inlineStr">
        <is>
          <t>Evento no espaço</t>
        </is>
      </c>
      <c r="F1231" s="8" t="inlineStr">
        <is>
          <t>Evento na cidade</t>
        </is>
      </c>
      <c r="G1231" s="8" t="inlineStr">
        <is>
          <t>Falhe para frente: o custo</t>
        </is>
      </c>
      <c r="H1231" s="8" t="inlineStr">
        <is>
          <t>Item fora do comum (loja)</t>
        </is>
      </c>
      <c r="I1231" s="8" t="inlineStr">
        <is>
          <t>Oráculo: resposta</t>
        </is>
      </c>
      <c r="J1231" s="8" t="inlineStr">
        <is>
          <t>Oráculo: até (d20 + modificador)</t>
        </is>
      </c>
      <c r="N1231" s="2">
        <f>N1230</f>
        <v/>
      </c>
      <c r="O1231" s="2">
        <f>O1230</f>
        <v/>
      </c>
      <c r="P1231" s="2">
        <f>P1230</f>
        <v/>
      </c>
      <c r="Q1231" s="2">
        <f>Q1230</f>
        <v/>
      </c>
      <c r="R1231" s="2">
        <f>R1230</f>
        <v/>
      </c>
      <c r="S1231" s="2">
        <f>S1230</f>
        <v/>
      </c>
      <c r="T1231" s="2">
        <f>T1230</f>
        <v/>
      </c>
      <c r="U1231" s="2">
        <f>U1230</f>
        <v/>
      </c>
      <c r="X1231" s="2">
        <f>IF(ISERROR($B$1231),"",IF(ISBLANK($B$1231),"",$B$1231))</f>
        <v/>
      </c>
      <c r="Y1231" s="2">
        <f>IF(ISERROR($C$1231),"",IF(ISBLANK($C$1231),"",$C$1231))</f>
        <v/>
      </c>
      <c r="Z1231" s="2">
        <f>IF(ISERROR($D$1231),"",IF(ISBLANK($D$1231),"",$D$1231))</f>
        <v/>
      </c>
      <c r="AA1231" s="2">
        <f>IF(ISERROR($E$1231),"",IF(ISBLANK($E$1231),"",$E$1231))</f>
        <v/>
      </c>
      <c r="AB1231" s="2">
        <f>IF(ISERROR($F$1231),"",IF(ISBLANK($F$1231),"",$F$1231))</f>
        <v/>
      </c>
      <c r="AC1231" s="2">
        <f>IF(ISERROR($G$1231),"",IF(ISBLANK($G$1231),"",$G$1231))</f>
        <v/>
      </c>
      <c r="AD1231" s="2">
        <f>IF(ISERROR($H$1231),"",IF(ISBLANK($H$1231),"",$H$1231))</f>
        <v/>
      </c>
      <c r="AE1231" s="2">
        <f>IF(ISERROR($I$1231),"",IF(ISBLANK($I$1231),"",$I$1231))</f>
        <v/>
      </c>
      <c r="AF1231" s="2">
        <f>IF(ISERROR($J$1231),"",IF(ISBLANK($J$1231),"",$J$1231))</f>
        <v/>
      </c>
    </row>
    <row r="1232" ht="26" customHeight="1">
      <c r="B1232" s="33" t="n"/>
      <c r="C1232" s="4" t="n"/>
      <c r="D1232" s="4" t="n"/>
      <c r="E1232" s="4" t="n"/>
      <c r="F1232" s="4" t="n"/>
      <c r="G1232" s="4" t="n"/>
      <c r="H1232" s="4" t="n"/>
      <c r="I1232" s="4" t="n"/>
      <c r="J1232" s="4" t="n"/>
      <c r="K1232" s="19">
        <f>IF(AG1232&gt;0,"O Google leu como fórmula: digite de novo com ' na frente.","")</f>
        <v/>
      </c>
      <c r="N1232" s="2">
        <f>N1231+IF(LEN($X$1232)&gt;0,1,0)</f>
        <v/>
      </c>
      <c r="O1232" s="2">
        <f>O1231+IF(LEN($Y$1232)&gt;0,1,0)</f>
        <v/>
      </c>
      <c r="P1232" s="2">
        <f>P1231+IF(LEN($Z$1232)&gt;0,1,0)</f>
        <v/>
      </c>
      <c r="Q1232" s="2">
        <f>Q1231+IF(LEN($AA$1232)&gt;0,1,0)</f>
        <v/>
      </c>
      <c r="R1232" s="2">
        <f>R1231+IF(LEN($AB$1232)&gt;0,1,0)</f>
        <v/>
      </c>
      <c r="S1232" s="2">
        <f>S1231+IF(LEN($AC$1232)&gt;0,1,0)</f>
        <v/>
      </c>
      <c r="T1232" s="2">
        <f>T1231+IF(LEN($AD$1232)&gt;0,1,0)</f>
        <v/>
      </c>
      <c r="U1232" s="2">
        <f>U1231+IF(LEN($AE$1232)&gt;0,1,0)</f>
        <v/>
      </c>
      <c r="X1232" s="2">
        <f>IF(ISERROR($B$1232),"",IF(ISBLANK($B$1232),"",$B$1232))</f>
        <v/>
      </c>
      <c r="Y1232" s="2">
        <f>IF(ISERROR($C$1232),"",IF(ISBLANK($C$1232),"",$C$1232))</f>
        <v/>
      </c>
      <c r="Z1232" s="2">
        <f>IF(ISERROR($D$1232),"",IF(ISBLANK($D$1232),"",$D$1232))</f>
        <v/>
      </c>
      <c r="AA1232" s="2">
        <f>IF(ISERROR($E$1232),"",IF(ISBLANK($E$1232),"",$E$1232))</f>
        <v/>
      </c>
      <c r="AB1232" s="2">
        <f>IF(ISERROR($F$1232),"",IF(ISBLANK($F$1232),"",$F$1232))</f>
        <v/>
      </c>
      <c r="AC1232" s="2">
        <f>IF(ISERROR($G$1232),"",IF(ISBLANK($G$1232),"",$G$1232))</f>
        <v/>
      </c>
      <c r="AD1232" s="2">
        <f>IF(ISERROR($H$1232),"",IF(ISBLANK($H$1232),"",$H$1232))</f>
        <v/>
      </c>
      <c r="AE1232" s="2">
        <f>IF(ISERROR($I$1232),"",IF(ISBLANK($I$1232),"",$I$1232))</f>
        <v/>
      </c>
      <c r="AF1232" s="2">
        <f>IF(ISERROR($J$1232),"",IF(ISBLANK($J$1232),"",$J$1232))</f>
        <v/>
      </c>
      <c r="AG1232" s="2">
        <f>ISERROR($B$1232)*1+ISERROR($C$1232)*1+ISERROR($D$1232)*1+ISERROR($E$1232)*1+ISERROR($F$1232)*1+ISERROR($G$1232)*1+ISERROR($H$1232)*1+ISERROR($I$1232)*1+ISERROR($J$1232)*1</f>
        <v/>
      </c>
    </row>
    <row r="1233" ht="26" customHeight="1">
      <c r="B1233" s="35" t="n"/>
      <c r="C1233" s="29" t="n"/>
      <c r="D1233" s="29" t="n"/>
      <c r="E1233" s="29" t="n"/>
      <c r="F1233" s="29" t="n"/>
      <c r="G1233" s="29" t="n"/>
      <c r="H1233" s="29" t="n"/>
      <c r="I1233" s="29" t="n"/>
      <c r="J1233" s="29" t="n"/>
      <c r="K1233" s="19">
        <f>IF(AG1233&gt;0,"O Google leu como fórmula: digite de novo com ' na frente.","")</f>
        <v/>
      </c>
      <c r="N1233" s="2">
        <f>N1232+IF(LEN($X$1233)&gt;0,1,0)</f>
        <v/>
      </c>
      <c r="O1233" s="2">
        <f>O1232+IF(LEN($Y$1233)&gt;0,1,0)</f>
        <v/>
      </c>
      <c r="P1233" s="2">
        <f>P1232+IF(LEN($Z$1233)&gt;0,1,0)</f>
        <v/>
      </c>
      <c r="Q1233" s="2">
        <f>Q1232+IF(LEN($AA$1233)&gt;0,1,0)</f>
        <v/>
      </c>
      <c r="R1233" s="2">
        <f>R1232+IF(LEN($AB$1233)&gt;0,1,0)</f>
        <v/>
      </c>
      <c r="S1233" s="2">
        <f>S1232+IF(LEN($AC$1233)&gt;0,1,0)</f>
        <v/>
      </c>
      <c r="T1233" s="2">
        <f>T1232+IF(LEN($AD$1233)&gt;0,1,0)</f>
        <v/>
      </c>
      <c r="U1233" s="2">
        <f>U1232+IF(LEN($AE$1233)&gt;0,1,0)</f>
        <v/>
      </c>
      <c r="X1233" s="2">
        <f>IF(ISERROR($B$1233),"",IF(ISBLANK($B$1233),"",$B$1233))</f>
        <v/>
      </c>
      <c r="Y1233" s="2">
        <f>IF(ISERROR($C$1233),"",IF(ISBLANK($C$1233),"",$C$1233))</f>
        <v/>
      </c>
      <c r="Z1233" s="2">
        <f>IF(ISERROR($D$1233),"",IF(ISBLANK($D$1233),"",$D$1233))</f>
        <v/>
      </c>
      <c r="AA1233" s="2">
        <f>IF(ISERROR($E$1233),"",IF(ISBLANK($E$1233),"",$E$1233))</f>
        <v/>
      </c>
      <c r="AB1233" s="2">
        <f>IF(ISERROR($F$1233),"",IF(ISBLANK($F$1233),"",$F$1233))</f>
        <v/>
      </c>
      <c r="AC1233" s="2">
        <f>IF(ISERROR($G$1233),"",IF(ISBLANK($G$1233),"",$G$1233))</f>
        <v/>
      </c>
      <c r="AD1233" s="2">
        <f>IF(ISERROR($H$1233),"",IF(ISBLANK($H$1233),"",$H$1233))</f>
        <v/>
      </c>
      <c r="AE1233" s="2">
        <f>IF(ISERROR($I$1233),"",IF(ISBLANK($I$1233),"",$I$1233))</f>
        <v/>
      </c>
      <c r="AF1233" s="2">
        <f>IF(ISERROR($J$1233),"",IF(ISBLANK($J$1233),"",$J$1233))</f>
        <v/>
      </c>
      <c r="AG1233" s="2">
        <f>ISERROR($B$1233)*1+ISERROR($C$1233)*1+ISERROR($D$1233)*1+ISERROR($E$1233)*1+ISERROR($F$1233)*1+ISERROR($G$1233)*1+ISERROR($H$1233)*1+ISERROR($I$1233)*1+ISERROR($J$1233)*1</f>
        <v/>
      </c>
    </row>
    <row r="1234" ht="26" customHeight="1">
      <c r="B1234" s="33" t="n"/>
      <c r="C1234" s="4" t="n"/>
      <c r="D1234" s="4" t="n"/>
      <c r="E1234" s="4" t="n"/>
      <c r="F1234" s="4" t="n"/>
      <c r="G1234" s="4" t="n"/>
      <c r="H1234" s="4" t="n"/>
      <c r="I1234" s="4" t="n"/>
      <c r="J1234" s="4" t="n"/>
      <c r="K1234" s="19">
        <f>IF(AG1234&gt;0,"O Google leu como fórmula: digite de novo com ' na frente.","")</f>
        <v/>
      </c>
      <c r="N1234" s="2">
        <f>N1233+IF(LEN($X$1234)&gt;0,1,0)</f>
        <v/>
      </c>
      <c r="O1234" s="2">
        <f>O1233+IF(LEN($Y$1234)&gt;0,1,0)</f>
        <v/>
      </c>
      <c r="P1234" s="2">
        <f>P1233+IF(LEN($Z$1234)&gt;0,1,0)</f>
        <v/>
      </c>
      <c r="Q1234" s="2">
        <f>Q1233+IF(LEN($AA$1234)&gt;0,1,0)</f>
        <v/>
      </c>
      <c r="R1234" s="2">
        <f>R1233+IF(LEN($AB$1234)&gt;0,1,0)</f>
        <v/>
      </c>
      <c r="S1234" s="2">
        <f>S1233+IF(LEN($AC$1234)&gt;0,1,0)</f>
        <v/>
      </c>
      <c r="T1234" s="2">
        <f>T1233+IF(LEN($AD$1234)&gt;0,1,0)</f>
        <v/>
      </c>
      <c r="U1234" s="2">
        <f>U1233+IF(LEN($AE$1234)&gt;0,1,0)</f>
        <v/>
      </c>
      <c r="X1234" s="2">
        <f>IF(ISERROR($B$1234),"",IF(ISBLANK($B$1234),"",$B$1234))</f>
        <v/>
      </c>
      <c r="Y1234" s="2">
        <f>IF(ISERROR($C$1234),"",IF(ISBLANK($C$1234),"",$C$1234))</f>
        <v/>
      </c>
      <c r="Z1234" s="2">
        <f>IF(ISERROR($D$1234),"",IF(ISBLANK($D$1234),"",$D$1234))</f>
        <v/>
      </c>
      <c r="AA1234" s="2">
        <f>IF(ISERROR($E$1234),"",IF(ISBLANK($E$1234),"",$E$1234))</f>
        <v/>
      </c>
      <c r="AB1234" s="2">
        <f>IF(ISERROR($F$1234),"",IF(ISBLANK($F$1234),"",$F$1234))</f>
        <v/>
      </c>
      <c r="AC1234" s="2">
        <f>IF(ISERROR($G$1234),"",IF(ISBLANK($G$1234),"",$G$1234))</f>
        <v/>
      </c>
      <c r="AD1234" s="2">
        <f>IF(ISERROR($H$1234),"",IF(ISBLANK($H$1234),"",$H$1234))</f>
        <v/>
      </c>
      <c r="AE1234" s="2">
        <f>IF(ISERROR($I$1234),"",IF(ISBLANK($I$1234),"",$I$1234))</f>
        <v/>
      </c>
      <c r="AF1234" s="2">
        <f>IF(ISERROR($J$1234),"",IF(ISBLANK($J$1234),"",$J$1234))</f>
        <v/>
      </c>
      <c r="AG1234" s="2">
        <f>ISERROR($B$1234)*1+ISERROR($C$1234)*1+ISERROR($D$1234)*1+ISERROR($E$1234)*1+ISERROR($F$1234)*1+ISERROR($G$1234)*1+ISERROR($H$1234)*1+ISERROR($I$1234)*1+ISERROR($J$1234)*1</f>
        <v/>
      </c>
    </row>
    <row r="1235" ht="26" customHeight="1">
      <c r="B1235" s="35" t="n"/>
      <c r="C1235" s="29" t="n"/>
      <c r="D1235" s="29" t="n"/>
      <c r="E1235" s="29" t="n"/>
      <c r="F1235" s="29" t="n"/>
      <c r="G1235" s="29" t="n"/>
      <c r="H1235" s="29" t="n"/>
      <c r="I1235" s="29" t="n"/>
      <c r="J1235" s="29" t="n"/>
      <c r="K1235" s="19">
        <f>IF(AG1235&gt;0,"O Google leu como fórmula: digite de novo com ' na frente.","")</f>
        <v/>
      </c>
      <c r="N1235" s="2">
        <f>N1234+IF(LEN($X$1235)&gt;0,1,0)</f>
        <v/>
      </c>
      <c r="O1235" s="2">
        <f>O1234+IF(LEN($Y$1235)&gt;0,1,0)</f>
        <v/>
      </c>
      <c r="P1235" s="2">
        <f>P1234+IF(LEN($Z$1235)&gt;0,1,0)</f>
        <v/>
      </c>
      <c r="Q1235" s="2">
        <f>Q1234+IF(LEN($AA$1235)&gt;0,1,0)</f>
        <v/>
      </c>
      <c r="R1235" s="2">
        <f>R1234+IF(LEN($AB$1235)&gt;0,1,0)</f>
        <v/>
      </c>
      <c r="S1235" s="2">
        <f>S1234+IF(LEN($AC$1235)&gt;0,1,0)</f>
        <v/>
      </c>
      <c r="T1235" s="2">
        <f>T1234+IF(LEN($AD$1235)&gt;0,1,0)</f>
        <v/>
      </c>
      <c r="U1235" s="2">
        <f>U1234+IF(LEN($AE$1235)&gt;0,1,0)</f>
        <v/>
      </c>
      <c r="X1235" s="2">
        <f>IF(ISERROR($B$1235),"",IF(ISBLANK($B$1235),"",$B$1235))</f>
        <v/>
      </c>
      <c r="Y1235" s="2">
        <f>IF(ISERROR($C$1235),"",IF(ISBLANK($C$1235),"",$C$1235))</f>
        <v/>
      </c>
      <c r="Z1235" s="2">
        <f>IF(ISERROR($D$1235),"",IF(ISBLANK($D$1235),"",$D$1235))</f>
        <v/>
      </c>
      <c r="AA1235" s="2">
        <f>IF(ISERROR($E$1235),"",IF(ISBLANK($E$1235),"",$E$1235))</f>
        <v/>
      </c>
      <c r="AB1235" s="2">
        <f>IF(ISERROR($F$1235),"",IF(ISBLANK($F$1235),"",$F$1235))</f>
        <v/>
      </c>
      <c r="AC1235" s="2">
        <f>IF(ISERROR($G$1235),"",IF(ISBLANK($G$1235),"",$G$1235))</f>
        <v/>
      </c>
      <c r="AD1235" s="2">
        <f>IF(ISERROR($H$1235),"",IF(ISBLANK($H$1235),"",$H$1235))</f>
        <v/>
      </c>
      <c r="AE1235" s="2">
        <f>IF(ISERROR($I$1235),"",IF(ISBLANK($I$1235),"",$I$1235))</f>
        <v/>
      </c>
      <c r="AF1235" s="2">
        <f>IF(ISERROR($J$1235),"",IF(ISBLANK($J$1235),"",$J$1235))</f>
        <v/>
      </c>
      <c r="AG1235" s="2">
        <f>ISERROR($B$1235)*1+ISERROR($C$1235)*1+ISERROR($D$1235)*1+ISERROR($E$1235)*1+ISERROR($F$1235)*1+ISERROR($G$1235)*1+ISERROR($H$1235)*1+ISERROR($I$1235)*1+ISERROR($J$1235)*1</f>
        <v/>
      </c>
    </row>
    <row r="1236" ht="26" customHeight="1">
      <c r="B1236" s="33" t="n"/>
      <c r="C1236" s="4" t="n"/>
      <c r="D1236" s="4" t="n"/>
      <c r="E1236" s="4" t="n"/>
      <c r="F1236" s="4" t="n"/>
      <c r="G1236" s="4" t="n"/>
      <c r="H1236" s="4" t="n"/>
      <c r="I1236" s="4" t="n"/>
      <c r="J1236" s="4" t="n"/>
      <c r="K1236" s="19">
        <f>IF(AG1236&gt;0,"O Google leu como fórmula: digite de novo com ' na frente.","")</f>
        <v/>
      </c>
      <c r="N1236" s="2">
        <f>N1235+IF(LEN($X$1236)&gt;0,1,0)</f>
        <v/>
      </c>
      <c r="O1236" s="2">
        <f>O1235+IF(LEN($Y$1236)&gt;0,1,0)</f>
        <v/>
      </c>
      <c r="P1236" s="2">
        <f>P1235+IF(LEN($Z$1236)&gt;0,1,0)</f>
        <v/>
      </c>
      <c r="Q1236" s="2">
        <f>Q1235+IF(LEN($AA$1236)&gt;0,1,0)</f>
        <v/>
      </c>
      <c r="R1236" s="2">
        <f>R1235+IF(LEN($AB$1236)&gt;0,1,0)</f>
        <v/>
      </c>
      <c r="S1236" s="2">
        <f>S1235+IF(LEN($AC$1236)&gt;0,1,0)</f>
        <v/>
      </c>
      <c r="T1236" s="2">
        <f>T1235+IF(LEN($AD$1236)&gt;0,1,0)</f>
        <v/>
      </c>
      <c r="U1236" s="2">
        <f>U1235+IF(LEN($AE$1236)&gt;0,1,0)</f>
        <v/>
      </c>
      <c r="X1236" s="2">
        <f>IF(ISERROR($B$1236),"",IF(ISBLANK($B$1236),"",$B$1236))</f>
        <v/>
      </c>
      <c r="Y1236" s="2">
        <f>IF(ISERROR($C$1236),"",IF(ISBLANK($C$1236),"",$C$1236))</f>
        <v/>
      </c>
      <c r="Z1236" s="2">
        <f>IF(ISERROR($D$1236),"",IF(ISBLANK($D$1236),"",$D$1236))</f>
        <v/>
      </c>
      <c r="AA1236" s="2">
        <f>IF(ISERROR($E$1236),"",IF(ISBLANK($E$1236),"",$E$1236))</f>
        <v/>
      </c>
      <c r="AB1236" s="2">
        <f>IF(ISERROR($F$1236),"",IF(ISBLANK($F$1236),"",$F$1236))</f>
        <v/>
      </c>
      <c r="AC1236" s="2">
        <f>IF(ISERROR($G$1236),"",IF(ISBLANK($G$1236),"",$G$1236))</f>
        <v/>
      </c>
      <c r="AD1236" s="2">
        <f>IF(ISERROR($H$1236),"",IF(ISBLANK($H$1236),"",$H$1236))</f>
        <v/>
      </c>
      <c r="AE1236" s="2">
        <f>IF(ISERROR($I$1236),"",IF(ISBLANK($I$1236),"",$I$1236))</f>
        <v/>
      </c>
      <c r="AF1236" s="2">
        <f>IF(ISERROR($J$1236),"",IF(ISBLANK($J$1236),"",$J$1236))</f>
        <v/>
      </c>
      <c r="AG1236" s="2">
        <f>ISERROR($B$1236)*1+ISERROR($C$1236)*1+ISERROR($D$1236)*1+ISERROR($E$1236)*1+ISERROR($F$1236)*1+ISERROR($G$1236)*1+ISERROR($H$1236)*1+ISERROR($I$1236)*1+ISERROR($J$1236)*1</f>
        <v/>
      </c>
    </row>
    <row r="1237" ht="26" customHeight="1">
      <c r="B1237" s="35" t="n"/>
      <c r="C1237" s="29" t="n"/>
      <c r="D1237" s="29" t="n"/>
      <c r="E1237" s="29" t="n"/>
      <c r="F1237" s="29" t="n"/>
      <c r="G1237" s="29" t="n"/>
      <c r="H1237" s="29" t="n"/>
      <c r="I1237" s="29" t="n"/>
      <c r="J1237" s="29" t="n"/>
      <c r="K1237" s="19">
        <f>IF(AG1237&gt;0,"O Google leu como fórmula: digite de novo com ' na frente.","")</f>
        <v/>
      </c>
      <c r="N1237" s="2">
        <f>N1236+IF(LEN($X$1237)&gt;0,1,0)</f>
        <v/>
      </c>
      <c r="O1237" s="2">
        <f>O1236+IF(LEN($Y$1237)&gt;0,1,0)</f>
        <v/>
      </c>
      <c r="P1237" s="2">
        <f>P1236+IF(LEN($Z$1237)&gt;0,1,0)</f>
        <v/>
      </c>
      <c r="Q1237" s="2">
        <f>Q1236+IF(LEN($AA$1237)&gt;0,1,0)</f>
        <v/>
      </c>
      <c r="R1237" s="2">
        <f>R1236+IF(LEN($AB$1237)&gt;0,1,0)</f>
        <v/>
      </c>
      <c r="S1237" s="2">
        <f>S1236+IF(LEN($AC$1237)&gt;0,1,0)</f>
        <v/>
      </c>
      <c r="T1237" s="2">
        <f>T1236+IF(LEN($AD$1237)&gt;0,1,0)</f>
        <v/>
      </c>
      <c r="U1237" s="2">
        <f>U1236+IF(LEN($AE$1237)&gt;0,1,0)</f>
        <v/>
      </c>
      <c r="X1237" s="2">
        <f>IF(ISERROR($B$1237),"",IF(ISBLANK($B$1237),"",$B$1237))</f>
        <v/>
      </c>
      <c r="Y1237" s="2">
        <f>IF(ISERROR($C$1237),"",IF(ISBLANK($C$1237),"",$C$1237))</f>
        <v/>
      </c>
      <c r="Z1237" s="2">
        <f>IF(ISERROR($D$1237),"",IF(ISBLANK($D$1237),"",$D$1237))</f>
        <v/>
      </c>
      <c r="AA1237" s="2">
        <f>IF(ISERROR($E$1237),"",IF(ISBLANK($E$1237),"",$E$1237))</f>
        <v/>
      </c>
      <c r="AB1237" s="2">
        <f>IF(ISERROR($F$1237),"",IF(ISBLANK($F$1237),"",$F$1237))</f>
        <v/>
      </c>
      <c r="AC1237" s="2">
        <f>IF(ISERROR($G$1237),"",IF(ISBLANK($G$1237),"",$G$1237))</f>
        <v/>
      </c>
      <c r="AD1237" s="2">
        <f>IF(ISERROR($H$1237),"",IF(ISBLANK($H$1237),"",$H$1237))</f>
        <v/>
      </c>
      <c r="AE1237" s="2">
        <f>IF(ISERROR($I$1237),"",IF(ISBLANK($I$1237),"",$I$1237))</f>
        <v/>
      </c>
      <c r="AF1237" s="2">
        <f>IF(ISERROR($J$1237),"",IF(ISBLANK($J$1237),"",$J$1237))</f>
        <v/>
      </c>
      <c r="AG1237" s="2">
        <f>ISERROR($B$1237)*1+ISERROR($C$1237)*1+ISERROR($D$1237)*1+ISERROR($E$1237)*1+ISERROR($F$1237)*1+ISERROR($G$1237)*1+ISERROR($H$1237)*1+ISERROR($I$1237)*1+ISERROR($J$1237)*1</f>
        <v/>
      </c>
    </row>
    <row r="1238" ht="26" customHeight="1">
      <c r="B1238" s="33" t="n"/>
      <c r="C1238" s="4" t="n"/>
      <c r="D1238" s="4" t="n"/>
      <c r="E1238" s="4" t="n"/>
      <c r="F1238" s="4" t="n"/>
      <c r="G1238" s="4" t="n"/>
      <c r="H1238" s="4" t="n"/>
      <c r="I1238" s="4" t="n"/>
      <c r="J1238" s="4" t="n"/>
      <c r="K1238" s="19">
        <f>IF(AG1238&gt;0,"O Google leu como fórmula: digite de novo com ' na frente.","")</f>
        <v/>
      </c>
      <c r="N1238" s="2">
        <f>N1237+IF(LEN($X$1238)&gt;0,1,0)</f>
        <v/>
      </c>
      <c r="O1238" s="2">
        <f>O1237+IF(LEN($Y$1238)&gt;0,1,0)</f>
        <v/>
      </c>
      <c r="P1238" s="2">
        <f>P1237+IF(LEN($Z$1238)&gt;0,1,0)</f>
        <v/>
      </c>
      <c r="Q1238" s="2">
        <f>Q1237+IF(LEN($AA$1238)&gt;0,1,0)</f>
        <v/>
      </c>
      <c r="R1238" s="2">
        <f>R1237+IF(LEN($AB$1238)&gt;0,1,0)</f>
        <v/>
      </c>
      <c r="S1238" s="2">
        <f>S1237+IF(LEN($AC$1238)&gt;0,1,0)</f>
        <v/>
      </c>
      <c r="T1238" s="2">
        <f>T1237+IF(LEN($AD$1238)&gt;0,1,0)</f>
        <v/>
      </c>
      <c r="U1238" s="2">
        <f>U1237+IF(LEN($AE$1238)&gt;0,1,0)</f>
        <v/>
      </c>
      <c r="X1238" s="2">
        <f>IF(ISERROR($B$1238),"",IF(ISBLANK($B$1238),"",$B$1238))</f>
        <v/>
      </c>
      <c r="Y1238" s="2">
        <f>IF(ISERROR($C$1238),"",IF(ISBLANK($C$1238),"",$C$1238))</f>
        <v/>
      </c>
      <c r="Z1238" s="2">
        <f>IF(ISERROR($D$1238),"",IF(ISBLANK($D$1238),"",$D$1238))</f>
        <v/>
      </c>
      <c r="AA1238" s="2">
        <f>IF(ISERROR($E$1238),"",IF(ISBLANK($E$1238),"",$E$1238))</f>
        <v/>
      </c>
      <c r="AB1238" s="2">
        <f>IF(ISERROR($F$1238),"",IF(ISBLANK($F$1238),"",$F$1238))</f>
        <v/>
      </c>
      <c r="AC1238" s="2">
        <f>IF(ISERROR($G$1238),"",IF(ISBLANK($G$1238),"",$G$1238))</f>
        <v/>
      </c>
      <c r="AD1238" s="2">
        <f>IF(ISERROR($H$1238),"",IF(ISBLANK($H$1238),"",$H$1238))</f>
        <v/>
      </c>
      <c r="AE1238" s="2">
        <f>IF(ISERROR($I$1238),"",IF(ISBLANK($I$1238),"",$I$1238))</f>
        <v/>
      </c>
      <c r="AF1238" s="2">
        <f>IF(ISERROR($J$1238),"",IF(ISBLANK($J$1238),"",$J$1238))</f>
        <v/>
      </c>
      <c r="AG1238" s="2">
        <f>ISERROR($B$1238)*1+ISERROR($C$1238)*1+ISERROR($D$1238)*1+ISERROR($E$1238)*1+ISERROR($F$1238)*1+ISERROR($G$1238)*1+ISERROR($H$1238)*1+ISERROR($I$1238)*1+ISERROR($J$1238)*1</f>
        <v/>
      </c>
    </row>
    <row r="1239" ht="26" customHeight="1">
      <c r="B1239" s="35" t="n"/>
      <c r="C1239" s="29" t="n"/>
      <c r="D1239" s="29" t="n"/>
      <c r="E1239" s="29" t="n"/>
      <c r="F1239" s="29" t="n"/>
      <c r="G1239" s="29" t="n"/>
      <c r="H1239" s="29" t="n"/>
      <c r="I1239" s="29" t="n"/>
      <c r="J1239" s="29" t="n"/>
      <c r="K1239" s="19">
        <f>IF(AG1239&gt;0,"O Google leu como fórmula: digite de novo com ' na frente.","")</f>
        <v/>
      </c>
      <c r="N1239" s="2">
        <f>N1238+IF(LEN($X$1239)&gt;0,1,0)</f>
        <v/>
      </c>
      <c r="O1239" s="2">
        <f>O1238+IF(LEN($Y$1239)&gt;0,1,0)</f>
        <v/>
      </c>
      <c r="P1239" s="2">
        <f>P1238+IF(LEN($Z$1239)&gt;0,1,0)</f>
        <v/>
      </c>
      <c r="Q1239" s="2">
        <f>Q1238+IF(LEN($AA$1239)&gt;0,1,0)</f>
        <v/>
      </c>
      <c r="R1239" s="2">
        <f>R1238+IF(LEN($AB$1239)&gt;0,1,0)</f>
        <v/>
      </c>
      <c r="S1239" s="2">
        <f>S1238+IF(LEN($AC$1239)&gt;0,1,0)</f>
        <v/>
      </c>
      <c r="T1239" s="2">
        <f>T1238+IF(LEN($AD$1239)&gt;0,1,0)</f>
        <v/>
      </c>
      <c r="U1239" s="2">
        <f>U1238+IF(LEN($AE$1239)&gt;0,1,0)</f>
        <v/>
      </c>
      <c r="X1239" s="2">
        <f>IF(ISERROR($B$1239),"",IF(ISBLANK($B$1239),"",$B$1239))</f>
        <v/>
      </c>
      <c r="Y1239" s="2">
        <f>IF(ISERROR($C$1239),"",IF(ISBLANK($C$1239),"",$C$1239))</f>
        <v/>
      </c>
      <c r="Z1239" s="2">
        <f>IF(ISERROR($D$1239),"",IF(ISBLANK($D$1239),"",$D$1239))</f>
        <v/>
      </c>
      <c r="AA1239" s="2">
        <f>IF(ISERROR($E$1239),"",IF(ISBLANK($E$1239),"",$E$1239))</f>
        <v/>
      </c>
      <c r="AB1239" s="2">
        <f>IF(ISERROR($F$1239),"",IF(ISBLANK($F$1239),"",$F$1239))</f>
        <v/>
      </c>
      <c r="AC1239" s="2">
        <f>IF(ISERROR($G$1239),"",IF(ISBLANK($G$1239),"",$G$1239))</f>
        <v/>
      </c>
      <c r="AD1239" s="2">
        <f>IF(ISERROR($H$1239),"",IF(ISBLANK($H$1239),"",$H$1239))</f>
        <v/>
      </c>
      <c r="AE1239" s="2">
        <f>IF(ISERROR($I$1239),"",IF(ISBLANK($I$1239),"",$I$1239))</f>
        <v/>
      </c>
      <c r="AF1239" s="2">
        <f>IF(ISERROR($J$1239),"",IF(ISBLANK($J$1239),"",$J$1239))</f>
        <v/>
      </c>
      <c r="AG1239" s="2">
        <f>ISERROR($B$1239)*1+ISERROR($C$1239)*1+ISERROR($D$1239)*1+ISERROR($E$1239)*1+ISERROR($F$1239)*1+ISERROR($G$1239)*1+ISERROR($H$1239)*1+ISERROR($I$1239)*1+ISERROR($J$1239)*1</f>
        <v/>
      </c>
    </row>
    <row r="1240" ht="26" customHeight="1">
      <c r="B1240" s="33" t="n"/>
      <c r="C1240" s="4" t="n"/>
      <c r="D1240" s="4" t="n"/>
      <c r="E1240" s="4" t="n"/>
      <c r="F1240" s="4" t="n"/>
      <c r="G1240" s="4" t="n"/>
      <c r="H1240" s="4" t="n"/>
      <c r="I1240" s="4" t="n"/>
      <c r="J1240" s="4" t="n"/>
      <c r="K1240" s="19">
        <f>IF(AG1240&gt;0,"O Google leu como fórmula: digite de novo com ' na frente.","")</f>
        <v/>
      </c>
      <c r="N1240" s="2">
        <f>N1239+IF(LEN($X$1240)&gt;0,1,0)</f>
        <v/>
      </c>
      <c r="O1240" s="2">
        <f>O1239+IF(LEN($Y$1240)&gt;0,1,0)</f>
        <v/>
      </c>
      <c r="P1240" s="2">
        <f>P1239+IF(LEN($Z$1240)&gt;0,1,0)</f>
        <v/>
      </c>
      <c r="Q1240" s="2">
        <f>Q1239+IF(LEN($AA$1240)&gt;0,1,0)</f>
        <v/>
      </c>
      <c r="R1240" s="2">
        <f>R1239+IF(LEN($AB$1240)&gt;0,1,0)</f>
        <v/>
      </c>
      <c r="S1240" s="2">
        <f>S1239+IF(LEN($AC$1240)&gt;0,1,0)</f>
        <v/>
      </c>
      <c r="T1240" s="2">
        <f>T1239+IF(LEN($AD$1240)&gt;0,1,0)</f>
        <v/>
      </c>
      <c r="U1240" s="2">
        <f>U1239+IF(LEN($AE$1240)&gt;0,1,0)</f>
        <v/>
      </c>
      <c r="X1240" s="2">
        <f>IF(ISERROR($B$1240),"",IF(ISBLANK($B$1240),"",$B$1240))</f>
        <v/>
      </c>
      <c r="Y1240" s="2">
        <f>IF(ISERROR($C$1240),"",IF(ISBLANK($C$1240),"",$C$1240))</f>
        <v/>
      </c>
      <c r="Z1240" s="2">
        <f>IF(ISERROR($D$1240),"",IF(ISBLANK($D$1240),"",$D$1240))</f>
        <v/>
      </c>
      <c r="AA1240" s="2">
        <f>IF(ISERROR($E$1240),"",IF(ISBLANK($E$1240),"",$E$1240))</f>
        <v/>
      </c>
      <c r="AB1240" s="2">
        <f>IF(ISERROR($F$1240),"",IF(ISBLANK($F$1240),"",$F$1240))</f>
        <v/>
      </c>
      <c r="AC1240" s="2">
        <f>IF(ISERROR($G$1240),"",IF(ISBLANK($G$1240),"",$G$1240))</f>
        <v/>
      </c>
      <c r="AD1240" s="2">
        <f>IF(ISERROR($H$1240),"",IF(ISBLANK($H$1240),"",$H$1240))</f>
        <v/>
      </c>
      <c r="AE1240" s="2">
        <f>IF(ISERROR($I$1240),"",IF(ISBLANK($I$1240),"",$I$1240))</f>
        <v/>
      </c>
      <c r="AF1240" s="2">
        <f>IF(ISERROR($J$1240),"",IF(ISBLANK($J$1240),"",$J$1240))</f>
        <v/>
      </c>
      <c r="AG1240" s="2">
        <f>ISERROR($B$1240)*1+ISERROR($C$1240)*1+ISERROR($D$1240)*1+ISERROR($E$1240)*1+ISERROR($F$1240)*1+ISERROR($G$1240)*1+ISERROR($H$1240)*1+ISERROR($I$1240)*1+ISERROR($J$1240)*1</f>
        <v/>
      </c>
    </row>
    <row r="1241" ht="26" customHeight="1">
      <c r="B1241" s="35" t="n"/>
      <c r="C1241" s="29" t="n"/>
      <c r="D1241" s="29" t="n"/>
      <c r="E1241" s="29" t="n"/>
      <c r="F1241" s="29" t="n"/>
      <c r="G1241" s="29" t="n"/>
      <c r="H1241" s="29" t="n"/>
      <c r="I1241" s="29" t="n"/>
      <c r="J1241" s="29" t="n"/>
      <c r="K1241" s="19">
        <f>IF(AG1241&gt;0,"O Google leu como fórmula: digite de novo com ' na frente.","")</f>
        <v/>
      </c>
      <c r="N1241" s="2">
        <f>N1240+IF(LEN($X$1241)&gt;0,1,0)</f>
        <v/>
      </c>
      <c r="O1241" s="2">
        <f>O1240+IF(LEN($Y$1241)&gt;0,1,0)</f>
        <v/>
      </c>
      <c r="P1241" s="2">
        <f>P1240+IF(LEN($Z$1241)&gt;0,1,0)</f>
        <v/>
      </c>
      <c r="Q1241" s="2">
        <f>Q1240+IF(LEN($AA$1241)&gt;0,1,0)</f>
        <v/>
      </c>
      <c r="R1241" s="2">
        <f>R1240+IF(LEN($AB$1241)&gt;0,1,0)</f>
        <v/>
      </c>
      <c r="S1241" s="2">
        <f>S1240+IF(LEN($AC$1241)&gt;0,1,0)</f>
        <v/>
      </c>
      <c r="T1241" s="2">
        <f>T1240+IF(LEN($AD$1241)&gt;0,1,0)</f>
        <v/>
      </c>
      <c r="U1241" s="2">
        <f>U1240+IF(LEN($AE$1241)&gt;0,1,0)</f>
        <v/>
      </c>
      <c r="X1241" s="2">
        <f>IF(ISERROR($B$1241),"",IF(ISBLANK($B$1241),"",$B$1241))</f>
        <v/>
      </c>
      <c r="Y1241" s="2">
        <f>IF(ISERROR($C$1241),"",IF(ISBLANK($C$1241),"",$C$1241))</f>
        <v/>
      </c>
      <c r="Z1241" s="2">
        <f>IF(ISERROR($D$1241),"",IF(ISBLANK($D$1241),"",$D$1241))</f>
        <v/>
      </c>
      <c r="AA1241" s="2">
        <f>IF(ISERROR($E$1241),"",IF(ISBLANK($E$1241),"",$E$1241))</f>
        <v/>
      </c>
      <c r="AB1241" s="2">
        <f>IF(ISERROR($F$1241),"",IF(ISBLANK($F$1241),"",$F$1241))</f>
        <v/>
      </c>
      <c r="AC1241" s="2">
        <f>IF(ISERROR($G$1241),"",IF(ISBLANK($G$1241),"",$G$1241))</f>
        <v/>
      </c>
      <c r="AD1241" s="2">
        <f>IF(ISERROR($H$1241),"",IF(ISBLANK($H$1241),"",$H$1241))</f>
        <v/>
      </c>
      <c r="AE1241" s="2">
        <f>IF(ISERROR($I$1241),"",IF(ISBLANK($I$1241),"",$I$1241))</f>
        <v/>
      </c>
      <c r="AF1241" s="2">
        <f>IF(ISERROR($J$1241),"",IF(ISBLANK($J$1241),"",$J$1241))</f>
        <v/>
      </c>
      <c r="AG1241" s="2">
        <f>ISERROR($B$1241)*1+ISERROR($C$1241)*1+ISERROR($D$1241)*1+ISERROR($E$1241)*1+ISERROR($F$1241)*1+ISERROR($G$1241)*1+ISERROR($H$1241)*1+ISERROR($I$1241)*1+ISERROR($J$1241)*1</f>
        <v/>
      </c>
    </row>
    <row r="1242" ht="26" customHeight="1">
      <c r="B1242" s="33" t="n"/>
      <c r="C1242" s="4" t="n"/>
      <c r="D1242" s="4" t="n"/>
      <c r="E1242" s="4" t="n"/>
      <c r="F1242" s="4" t="n"/>
      <c r="G1242" s="4" t="n"/>
      <c r="H1242" s="4" t="n"/>
      <c r="I1242" s="4" t="n"/>
      <c r="J1242" s="4" t="n"/>
      <c r="K1242" s="19">
        <f>IF(AG1242&gt;0,"O Google leu como fórmula: digite de novo com ' na frente.","")</f>
        <v/>
      </c>
      <c r="N1242" s="2">
        <f>N1241+IF(LEN($X$1242)&gt;0,1,0)</f>
        <v/>
      </c>
      <c r="O1242" s="2">
        <f>O1241+IF(LEN($Y$1242)&gt;0,1,0)</f>
        <v/>
      </c>
      <c r="P1242" s="2">
        <f>P1241+IF(LEN($Z$1242)&gt;0,1,0)</f>
        <v/>
      </c>
      <c r="Q1242" s="2">
        <f>Q1241+IF(LEN($AA$1242)&gt;0,1,0)</f>
        <v/>
      </c>
      <c r="R1242" s="2">
        <f>R1241+IF(LEN($AB$1242)&gt;0,1,0)</f>
        <v/>
      </c>
      <c r="S1242" s="2">
        <f>S1241+IF(LEN($AC$1242)&gt;0,1,0)</f>
        <v/>
      </c>
      <c r="T1242" s="2">
        <f>T1241+IF(LEN($AD$1242)&gt;0,1,0)</f>
        <v/>
      </c>
      <c r="U1242" s="2">
        <f>U1241+IF(LEN($AE$1242)&gt;0,1,0)</f>
        <v/>
      </c>
      <c r="X1242" s="2">
        <f>IF(ISERROR($B$1242),"",IF(ISBLANK($B$1242),"",$B$1242))</f>
        <v/>
      </c>
      <c r="Y1242" s="2">
        <f>IF(ISERROR($C$1242),"",IF(ISBLANK($C$1242),"",$C$1242))</f>
        <v/>
      </c>
      <c r="Z1242" s="2">
        <f>IF(ISERROR($D$1242),"",IF(ISBLANK($D$1242),"",$D$1242))</f>
        <v/>
      </c>
      <c r="AA1242" s="2">
        <f>IF(ISERROR($E$1242),"",IF(ISBLANK($E$1242),"",$E$1242))</f>
        <v/>
      </c>
      <c r="AB1242" s="2">
        <f>IF(ISERROR($F$1242),"",IF(ISBLANK($F$1242),"",$F$1242))</f>
        <v/>
      </c>
      <c r="AC1242" s="2">
        <f>IF(ISERROR($G$1242),"",IF(ISBLANK($G$1242),"",$G$1242))</f>
        <v/>
      </c>
      <c r="AD1242" s="2">
        <f>IF(ISERROR($H$1242),"",IF(ISBLANK($H$1242),"",$H$1242))</f>
        <v/>
      </c>
      <c r="AE1242" s="2">
        <f>IF(ISERROR($I$1242),"",IF(ISBLANK($I$1242),"",$I$1242))</f>
        <v/>
      </c>
      <c r="AF1242" s="2">
        <f>IF(ISERROR($J$1242),"",IF(ISBLANK($J$1242),"",$J$1242))</f>
        <v/>
      </c>
      <c r="AG1242" s="2">
        <f>ISERROR($B$1242)*1+ISERROR($C$1242)*1+ISERROR($D$1242)*1+ISERROR($E$1242)*1+ISERROR($F$1242)*1+ISERROR($G$1242)*1+ISERROR($H$1242)*1+ISERROR($I$1242)*1+ISERROR($J$1242)*1</f>
        <v/>
      </c>
    </row>
    <row r="1243" ht="26" customHeight="1">
      <c r="B1243" s="35" t="n"/>
      <c r="C1243" s="29" t="n"/>
      <c r="D1243" s="29" t="n"/>
      <c r="E1243" s="29" t="n"/>
      <c r="F1243" s="29" t="n"/>
      <c r="G1243" s="29" t="n"/>
      <c r="H1243" s="29" t="n"/>
      <c r="I1243" s="29" t="n"/>
      <c r="J1243" s="29" t="n"/>
      <c r="K1243" s="19">
        <f>IF(AG1243&gt;0,"O Google leu como fórmula: digite de novo com ' na frente.","")</f>
        <v/>
      </c>
      <c r="N1243" s="2">
        <f>N1242+IF(LEN($X$1243)&gt;0,1,0)</f>
        <v/>
      </c>
      <c r="O1243" s="2">
        <f>O1242+IF(LEN($Y$1243)&gt;0,1,0)</f>
        <v/>
      </c>
      <c r="P1243" s="2">
        <f>P1242+IF(LEN($Z$1243)&gt;0,1,0)</f>
        <v/>
      </c>
      <c r="Q1243" s="2">
        <f>Q1242+IF(LEN($AA$1243)&gt;0,1,0)</f>
        <v/>
      </c>
      <c r="R1243" s="2">
        <f>R1242+IF(LEN($AB$1243)&gt;0,1,0)</f>
        <v/>
      </c>
      <c r="S1243" s="2">
        <f>S1242+IF(LEN($AC$1243)&gt;0,1,0)</f>
        <v/>
      </c>
      <c r="T1243" s="2">
        <f>T1242+IF(LEN($AD$1243)&gt;0,1,0)</f>
        <v/>
      </c>
      <c r="U1243" s="2">
        <f>U1242+IF(LEN($AE$1243)&gt;0,1,0)</f>
        <v/>
      </c>
      <c r="X1243" s="2">
        <f>IF(ISERROR($B$1243),"",IF(ISBLANK($B$1243),"",$B$1243))</f>
        <v/>
      </c>
      <c r="Y1243" s="2">
        <f>IF(ISERROR($C$1243),"",IF(ISBLANK($C$1243),"",$C$1243))</f>
        <v/>
      </c>
      <c r="Z1243" s="2">
        <f>IF(ISERROR($D$1243),"",IF(ISBLANK($D$1243),"",$D$1243))</f>
        <v/>
      </c>
      <c r="AA1243" s="2">
        <f>IF(ISERROR($E$1243),"",IF(ISBLANK($E$1243),"",$E$1243))</f>
        <v/>
      </c>
      <c r="AB1243" s="2">
        <f>IF(ISERROR($F$1243),"",IF(ISBLANK($F$1243),"",$F$1243))</f>
        <v/>
      </c>
      <c r="AC1243" s="2">
        <f>IF(ISERROR($G$1243),"",IF(ISBLANK($G$1243),"",$G$1243))</f>
        <v/>
      </c>
      <c r="AD1243" s="2">
        <f>IF(ISERROR($H$1243),"",IF(ISBLANK($H$1243),"",$H$1243))</f>
        <v/>
      </c>
      <c r="AE1243" s="2">
        <f>IF(ISERROR($I$1243),"",IF(ISBLANK($I$1243),"",$I$1243))</f>
        <v/>
      </c>
      <c r="AF1243" s="2">
        <f>IF(ISERROR($J$1243),"",IF(ISBLANK($J$1243),"",$J$1243))</f>
        <v/>
      </c>
      <c r="AG1243" s="2">
        <f>ISERROR($B$1243)*1+ISERROR($C$1243)*1+ISERROR($D$1243)*1+ISERROR($E$1243)*1+ISERROR($F$1243)*1+ISERROR($G$1243)*1+ISERROR($H$1243)*1+ISERROR($I$1243)*1+ISERROR($J$1243)*1</f>
        <v/>
      </c>
    </row>
    <row r="1244" ht="26" customHeight="1">
      <c r="B1244" s="33" t="n"/>
      <c r="C1244" s="4" t="n"/>
      <c r="D1244" s="4" t="n"/>
      <c r="E1244" s="4" t="n"/>
      <c r="F1244" s="4" t="n"/>
      <c r="G1244" s="4" t="n"/>
      <c r="H1244" s="4" t="n"/>
      <c r="I1244" s="4" t="n"/>
      <c r="J1244" s="4" t="n"/>
      <c r="K1244" s="19">
        <f>IF(AG1244&gt;0,"O Google leu como fórmula: digite de novo com ' na frente.","")</f>
        <v/>
      </c>
      <c r="N1244" s="2">
        <f>N1243+IF(LEN($X$1244)&gt;0,1,0)</f>
        <v/>
      </c>
      <c r="O1244" s="2">
        <f>O1243+IF(LEN($Y$1244)&gt;0,1,0)</f>
        <v/>
      </c>
      <c r="P1244" s="2">
        <f>P1243+IF(LEN($Z$1244)&gt;0,1,0)</f>
        <v/>
      </c>
      <c r="Q1244" s="2">
        <f>Q1243+IF(LEN($AA$1244)&gt;0,1,0)</f>
        <v/>
      </c>
      <c r="R1244" s="2">
        <f>R1243+IF(LEN($AB$1244)&gt;0,1,0)</f>
        <v/>
      </c>
      <c r="S1244" s="2">
        <f>S1243+IF(LEN($AC$1244)&gt;0,1,0)</f>
        <v/>
      </c>
      <c r="T1244" s="2">
        <f>T1243+IF(LEN($AD$1244)&gt;0,1,0)</f>
        <v/>
      </c>
      <c r="U1244" s="2">
        <f>U1243+IF(LEN($AE$1244)&gt;0,1,0)</f>
        <v/>
      </c>
      <c r="X1244" s="2">
        <f>IF(ISERROR($B$1244),"",IF(ISBLANK($B$1244),"",$B$1244))</f>
        <v/>
      </c>
      <c r="Y1244" s="2">
        <f>IF(ISERROR($C$1244),"",IF(ISBLANK($C$1244),"",$C$1244))</f>
        <v/>
      </c>
      <c r="Z1244" s="2">
        <f>IF(ISERROR($D$1244),"",IF(ISBLANK($D$1244),"",$D$1244))</f>
        <v/>
      </c>
      <c r="AA1244" s="2">
        <f>IF(ISERROR($E$1244),"",IF(ISBLANK($E$1244),"",$E$1244))</f>
        <v/>
      </c>
      <c r="AB1244" s="2">
        <f>IF(ISERROR($F$1244),"",IF(ISBLANK($F$1244),"",$F$1244))</f>
        <v/>
      </c>
      <c r="AC1244" s="2">
        <f>IF(ISERROR($G$1244),"",IF(ISBLANK($G$1244),"",$G$1244))</f>
        <v/>
      </c>
      <c r="AD1244" s="2">
        <f>IF(ISERROR($H$1244),"",IF(ISBLANK($H$1244),"",$H$1244))</f>
        <v/>
      </c>
      <c r="AE1244" s="2">
        <f>IF(ISERROR($I$1244),"",IF(ISBLANK($I$1244),"",$I$1244))</f>
        <v/>
      </c>
      <c r="AF1244" s="2">
        <f>IF(ISERROR($J$1244),"",IF(ISBLANK($J$1244),"",$J$1244))</f>
        <v/>
      </c>
      <c r="AG1244" s="2">
        <f>ISERROR($B$1244)*1+ISERROR($C$1244)*1+ISERROR($D$1244)*1+ISERROR($E$1244)*1+ISERROR($F$1244)*1+ISERROR($G$1244)*1+ISERROR($H$1244)*1+ISERROR($I$1244)*1+ISERROR($J$1244)*1</f>
        <v/>
      </c>
    </row>
    <row r="1245" ht="26" customHeight="1">
      <c r="B1245" s="8" t="inlineStr">
        <is>
          <t>Rumor</t>
        </is>
      </c>
      <c r="C1245" s="8" t="inlineStr">
        <is>
          <t>Veracidade do rumor (peso)</t>
        </is>
      </c>
      <c r="D1245" s="8" t="inlineStr">
        <is>
          <t>Evento de viagem</t>
        </is>
      </c>
      <c r="E1245" s="8" t="inlineStr">
        <is>
          <t>Evento no espaço</t>
        </is>
      </c>
      <c r="F1245" s="8" t="inlineStr">
        <is>
          <t>Evento na cidade</t>
        </is>
      </c>
      <c r="G1245" s="8" t="inlineStr">
        <is>
          <t>Falhe para frente: o custo</t>
        </is>
      </c>
      <c r="H1245" s="8" t="inlineStr">
        <is>
          <t>Item fora do comum (loja)</t>
        </is>
      </c>
      <c r="I1245" s="8" t="inlineStr">
        <is>
          <t>Oráculo: resposta</t>
        </is>
      </c>
      <c r="J1245" s="8" t="inlineStr">
        <is>
          <t>Oráculo: até (d20 + modificador)</t>
        </is>
      </c>
      <c r="N1245" s="2">
        <f>N1244</f>
        <v/>
      </c>
      <c r="O1245" s="2">
        <f>O1244</f>
        <v/>
      </c>
      <c r="P1245" s="2">
        <f>P1244</f>
        <v/>
      </c>
      <c r="Q1245" s="2">
        <f>Q1244</f>
        <v/>
      </c>
      <c r="R1245" s="2">
        <f>R1244</f>
        <v/>
      </c>
      <c r="S1245" s="2">
        <f>S1244</f>
        <v/>
      </c>
      <c r="T1245" s="2">
        <f>T1244</f>
        <v/>
      </c>
      <c r="U1245" s="2">
        <f>U1244</f>
        <v/>
      </c>
      <c r="X1245" s="2">
        <f>IF(ISERROR($B$1245),"",IF(ISBLANK($B$1245),"",$B$1245))</f>
        <v/>
      </c>
      <c r="Y1245" s="2">
        <f>IF(ISERROR($C$1245),"",IF(ISBLANK($C$1245),"",$C$1245))</f>
        <v/>
      </c>
      <c r="Z1245" s="2">
        <f>IF(ISERROR($D$1245),"",IF(ISBLANK($D$1245),"",$D$1245))</f>
        <v/>
      </c>
      <c r="AA1245" s="2">
        <f>IF(ISERROR($E$1245),"",IF(ISBLANK($E$1245),"",$E$1245))</f>
        <v/>
      </c>
      <c r="AB1245" s="2">
        <f>IF(ISERROR($F$1245),"",IF(ISBLANK($F$1245),"",$F$1245))</f>
        <v/>
      </c>
      <c r="AC1245" s="2">
        <f>IF(ISERROR($G$1245),"",IF(ISBLANK($G$1245),"",$G$1245))</f>
        <v/>
      </c>
      <c r="AD1245" s="2">
        <f>IF(ISERROR($H$1245),"",IF(ISBLANK($H$1245),"",$H$1245))</f>
        <v/>
      </c>
      <c r="AE1245" s="2">
        <f>IF(ISERROR($I$1245),"",IF(ISBLANK($I$1245),"",$I$1245))</f>
        <v/>
      </c>
      <c r="AF1245" s="2">
        <f>IF(ISERROR($J$1245),"",IF(ISBLANK($J$1245),"",$J$1245))</f>
        <v/>
      </c>
    </row>
    <row r="1246" ht="26" customHeight="1">
      <c r="B1246" s="33" t="n"/>
      <c r="C1246" s="4" t="n"/>
      <c r="D1246" s="4" t="n"/>
      <c r="E1246" s="4" t="n"/>
      <c r="F1246" s="4" t="n"/>
      <c r="G1246" s="4" t="n"/>
      <c r="H1246" s="4" t="n"/>
      <c r="I1246" s="4" t="n"/>
      <c r="J1246" s="4" t="n"/>
      <c r="K1246" s="19">
        <f>IF(AG1246&gt;0,"O Google leu como fórmula: digite de novo com ' na frente.","")</f>
        <v/>
      </c>
      <c r="N1246" s="2">
        <f>N1245+IF(LEN($X$1246)&gt;0,1,0)</f>
        <v/>
      </c>
      <c r="O1246" s="2">
        <f>O1245+IF(LEN($Y$1246)&gt;0,1,0)</f>
        <v/>
      </c>
      <c r="P1246" s="2">
        <f>P1245+IF(LEN($Z$1246)&gt;0,1,0)</f>
        <v/>
      </c>
      <c r="Q1246" s="2">
        <f>Q1245+IF(LEN($AA$1246)&gt;0,1,0)</f>
        <v/>
      </c>
      <c r="R1246" s="2">
        <f>R1245+IF(LEN($AB$1246)&gt;0,1,0)</f>
        <v/>
      </c>
      <c r="S1246" s="2">
        <f>S1245+IF(LEN($AC$1246)&gt;0,1,0)</f>
        <v/>
      </c>
      <c r="T1246" s="2">
        <f>T1245+IF(LEN($AD$1246)&gt;0,1,0)</f>
        <v/>
      </c>
      <c r="U1246" s="2">
        <f>U1245+IF(LEN($AE$1246)&gt;0,1,0)</f>
        <v/>
      </c>
      <c r="X1246" s="2">
        <f>IF(ISERROR($B$1246),"",IF(ISBLANK($B$1246),"",$B$1246))</f>
        <v/>
      </c>
      <c r="Y1246" s="2">
        <f>IF(ISERROR($C$1246),"",IF(ISBLANK($C$1246),"",$C$1246))</f>
        <v/>
      </c>
      <c r="Z1246" s="2">
        <f>IF(ISERROR($D$1246),"",IF(ISBLANK($D$1246),"",$D$1246))</f>
        <v/>
      </c>
      <c r="AA1246" s="2">
        <f>IF(ISERROR($E$1246),"",IF(ISBLANK($E$1246),"",$E$1246))</f>
        <v/>
      </c>
      <c r="AB1246" s="2">
        <f>IF(ISERROR($F$1246),"",IF(ISBLANK($F$1246),"",$F$1246))</f>
        <v/>
      </c>
      <c r="AC1246" s="2">
        <f>IF(ISERROR($G$1246),"",IF(ISBLANK($G$1246),"",$G$1246))</f>
        <v/>
      </c>
      <c r="AD1246" s="2">
        <f>IF(ISERROR($H$1246),"",IF(ISBLANK($H$1246),"",$H$1246))</f>
        <v/>
      </c>
      <c r="AE1246" s="2">
        <f>IF(ISERROR($I$1246),"",IF(ISBLANK($I$1246),"",$I$1246))</f>
        <v/>
      </c>
      <c r="AF1246" s="2">
        <f>IF(ISERROR($J$1246),"",IF(ISBLANK($J$1246),"",$J$1246))</f>
        <v/>
      </c>
      <c r="AG1246" s="2">
        <f>ISERROR($B$1246)*1+ISERROR($C$1246)*1+ISERROR($D$1246)*1+ISERROR($E$1246)*1+ISERROR($F$1246)*1+ISERROR($G$1246)*1+ISERROR($H$1246)*1+ISERROR($I$1246)*1+ISERROR($J$1246)*1</f>
        <v/>
      </c>
    </row>
    <row r="1247" ht="26" customHeight="1">
      <c r="B1247" s="35" t="n"/>
      <c r="C1247" s="29" t="n"/>
      <c r="D1247" s="29" t="n"/>
      <c r="E1247" s="29" t="n"/>
      <c r="F1247" s="29" t="n"/>
      <c r="G1247" s="29" t="n"/>
      <c r="H1247" s="29" t="n"/>
      <c r="I1247" s="29" t="n"/>
      <c r="J1247" s="29" t="n"/>
      <c r="K1247" s="19">
        <f>IF(AG1247&gt;0,"O Google leu como fórmula: digite de novo com ' na frente.","")</f>
        <v/>
      </c>
      <c r="N1247" s="2">
        <f>N1246+IF(LEN($X$1247)&gt;0,1,0)</f>
        <v/>
      </c>
      <c r="O1247" s="2">
        <f>O1246+IF(LEN($Y$1247)&gt;0,1,0)</f>
        <v/>
      </c>
      <c r="P1247" s="2">
        <f>P1246+IF(LEN($Z$1247)&gt;0,1,0)</f>
        <v/>
      </c>
      <c r="Q1247" s="2">
        <f>Q1246+IF(LEN($AA$1247)&gt;0,1,0)</f>
        <v/>
      </c>
      <c r="R1247" s="2">
        <f>R1246+IF(LEN($AB$1247)&gt;0,1,0)</f>
        <v/>
      </c>
      <c r="S1247" s="2">
        <f>S1246+IF(LEN($AC$1247)&gt;0,1,0)</f>
        <v/>
      </c>
      <c r="T1247" s="2">
        <f>T1246+IF(LEN($AD$1247)&gt;0,1,0)</f>
        <v/>
      </c>
      <c r="U1247" s="2">
        <f>U1246+IF(LEN($AE$1247)&gt;0,1,0)</f>
        <v/>
      </c>
      <c r="X1247" s="2">
        <f>IF(ISERROR($B$1247),"",IF(ISBLANK($B$1247),"",$B$1247))</f>
        <v/>
      </c>
      <c r="Y1247" s="2">
        <f>IF(ISERROR($C$1247),"",IF(ISBLANK($C$1247),"",$C$1247))</f>
        <v/>
      </c>
      <c r="Z1247" s="2">
        <f>IF(ISERROR($D$1247),"",IF(ISBLANK($D$1247),"",$D$1247))</f>
        <v/>
      </c>
      <c r="AA1247" s="2">
        <f>IF(ISERROR($E$1247),"",IF(ISBLANK($E$1247),"",$E$1247))</f>
        <v/>
      </c>
      <c r="AB1247" s="2">
        <f>IF(ISERROR($F$1247),"",IF(ISBLANK($F$1247),"",$F$1247))</f>
        <v/>
      </c>
      <c r="AC1247" s="2">
        <f>IF(ISERROR($G$1247),"",IF(ISBLANK($G$1247),"",$G$1247))</f>
        <v/>
      </c>
      <c r="AD1247" s="2">
        <f>IF(ISERROR($H$1247),"",IF(ISBLANK($H$1247),"",$H$1247))</f>
        <v/>
      </c>
      <c r="AE1247" s="2">
        <f>IF(ISERROR($I$1247),"",IF(ISBLANK($I$1247),"",$I$1247))</f>
        <v/>
      </c>
      <c r="AF1247" s="2">
        <f>IF(ISERROR($J$1247),"",IF(ISBLANK($J$1247),"",$J$1247))</f>
        <v/>
      </c>
      <c r="AG1247" s="2">
        <f>ISERROR($B$1247)*1+ISERROR($C$1247)*1+ISERROR($D$1247)*1+ISERROR($E$1247)*1+ISERROR($F$1247)*1+ISERROR($G$1247)*1+ISERROR($H$1247)*1+ISERROR($I$1247)*1+ISERROR($J$1247)*1</f>
        <v/>
      </c>
    </row>
    <row r="1248" ht="26" customHeight="1">
      <c r="B1248" s="33" t="n"/>
      <c r="C1248" s="4" t="n"/>
      <c r="D1248" s="4" t="n"/>
      <c r="E1248" s="4" t="n"/>
      <c r="F1248" s="4" t="n"/>
      <c r="G1248" s="4" t="n"/>
      <c r="H1248" s="4" t="n"/>
      <c r="I1248" s="4" t="n"/>
      <c r="J1248" s="4" t="n"/>
      <c r="K1248" s="19">
        <f>IF(AG1248&gt;0,"O Google leu como fórmula: digite de novo com ' na frente.","")</f>
        <v/>
      </c>
      <c r="N1248" s="2">
        <f>N1247+IF(LEN($X$1248)&gt;0,1,0)</f>
        <v/>
      </c>
      <c r="O1248" s="2">
        <f>O1247+IF(LEN($Y$1248)&gt;0,1,0)</f>
        <v/>
      </c>
      <c r="P1248" s="2">
        <f>P1247+IF(LEN($Z$1248)&gt;0,1,0)</f>
        <v/>
      </c>
      <c r="Q1248" s="2">
        <f>Q1247+IF(LEN($AA$1248)&gt;0,1,0)</f>
        <v/>
      </c>
      <c r="R1248" s="2">
        <f>R1247+IF(LEN($AB$1248)&gt;0,1,0)</f>
        <v/>
      </c>
      <c r="S1248" s="2">
        <f>S1247+IF(LEN($AC$1248)&gt;0,1,0)</f>
        <v/>
      </c>
      <c r="T1248" s="2">
        <f>T1247+IF(LEN($AD$1248)&gt;0,1,0)</f>
        <v/>
      </c>
      <c r="U1248" s="2">
        <f>U1247+IF(LEN($AE$1248)&gt;0,1,0)</f>
        <v/>
      </c>
      <c r="X1248" s="2">
        <f>IF(ISERROR($B$1248),"",IF(ISBLANK($B$1248),"",$B$1248))</f>
        <v/>
      </c>
      <c r="Y1248" s="2">
        <f>IF(ISERROR($C$1248),"",IF(ISBLANK($C$1248),"",$C$1248))</f>
        <v/>
      </c>
      <c r="Z1248" s="2">
        <f>IF(ISERROR($D$1248),"",IF(ISBLANK($D$1248),"",$D$1248))</f>
        <v/>
      </c>
      <c r="AA1248" s="2">
        <f>IF(ISERROR($E$1248),"",IF(ISBLANK($E$1248),"",$E$1248))</f>
        <v/>
      </c>
      <c r="AB1248" s="2">
        <f>IF(ISERROR($F$1248),"",IF(ISBLANK($F$1248),"",$F$1248))</f>
        <v/>
      </c>
      <c r="AC1248" s="2">
        <f>IF(ISERROR($G$1248),"",IF(ISBLANK($G$1248),"",$G$1248))</f>
        <v/>
      </c>
      <c r="AD1248" s="2">
        <f>IF(ISERROR($H$1248),"",IF(ISBLANK($H$1248),"",$H$1248))</f>
        <v/>
      </c>
      <c r="AE1248" s="2">
        <f>IF(ISERROR($I$1248),"",IF(ISBLANK($I$1248),"",$I$1248))</f>
        <v/>
      </c>
      <c r="AF1248" s="2">
        <f>IF(ISERROR($J$1248),"",IF(ISBLANK($J$1248),"",$J$1248))</f>
        <v/>
      </c>
      <c r="AG1248" s="2">
        <f>ISERROR($B$1248)*1+ISERROR($C$1248)*1+ISERROR($D$1248)*1+ISERROR($E$1248)*1+ISERROR($F$1248)*1+ISERROR($G$1248)*1+ISERROR($H$1248)*1+ISERROR($I$1248)*1+ISERROR($J$1248)*1</f>
        <v/>
      </c>
    </row>
    <row r="1249" ht="26" customHeight="1">
      <c r="B1249" s="35" t="n"/>
      <c r="C1249" s="29" t="n"/>
      <c r="D1249" s="29" t="n"/>
      <c r="E1249" s="29" t="n"/>
      <c r="F1249" s="29" t="n"/>
      <c r="G1249" s="29" t="n"/>
      <c r="H1249" s="29" t="n"/>
      <c r="I1249" s="29" t="n"/>
      <c r="J1249" s="29" t="n"/>
      <c r="K1249" s="19">
        <f>IF(AG1249&gt;0,"O Google leu como fórmula: digite de novo com ' na frente.","")</f>
        <v/>
      </c>
      <c r="N1249" s="2">
        <f>N1248+IF(LEN($X$1249)&gt;0,1,0)</f>
        <v/>
      </c>
      <c r="O1249" s="2">
        <f>O1248+IF(LEN($Y$1249)&gt;0,1,0)</f>
        <v/>
      </c>
      <c r="P1249" s="2">
        <f>P1248+IF(LEN($Z$1249)&gt;0,1,0)</f>
        <v/>
      </c>
      <c r="Q1249" s="2">
        <f>Q1248+IF(LEN($AA$1249)&gt;0,1,0)</f>
        <v/>
      </c>
      <c r="R1249" s="2">
        <f>R1248+IF(LEN($AB$1249)&gt;0,1,0)</f>
        <v/>
      </c>
      <c r="S1249" s="2">
        <f>S1248+IF(LEN($AC$1249)&gt;0,1,0)</f>
        <v/>
      </c>
      <c r="T1249" s="2">
        <f>T1248+IF(LEN($AD$1249)&gt;0,1,0)</f>
        <v/>
      </c>
      <c r="U1249" s="2">
        <f>U1248+IF(LEN($AE$1249)&gt;0,1,0)</f>
        <v/>
      </c>
      <c r="X1249" s="2">
        <f>IF(ISERROR($B$1249),"",IF(ISBLANK($B$1249),"",$B$1249))</f>
        <v/>
      </c>
      <c r="Y1249" s="2">
        <f>IF(ISERROR($C$1249),"",IF(ISBLANK($C$1249),"",$C$1249))</f>
        <v/>
      </c>
      <c r="Z1249" s="2">
        <f>IF(ISERROR($D$1249),"",IF(ISBLANK($D$1249),"",$D$1249))</f>
        <v/>
      </c>
      <c r="AA1249" s="2">
        <f>IF(ISERROR($E$1249),"",IF(ISBLANK($E$1249),"",$E$1249))</f>
        <v/>
      </c>
      <c r="AB1249" s="2">
        <f>IF(ISERROR($F$1249),"",IF(ISBLANK($F$1249),"",$F$1249))</f>
        <v/>
      </c>
      <c r="AC1249" s="2">
        <f>IF(ISERROR($G$1249),"",IF(ISBLANK($G$1249),"",$G$1249))</f>
        <v/>
      </c>
      <c r="AD1249" s="2">
        <f>IF(ISERROR($H$1249),"",IF(ISBLANK($H$1249),"",$H$1249))</f>
        <v/>
      </c>
      <c r="AE1249" s="2">
        <f>IF(ISERROR($I$1249),"",IF(ISBLANK($I$1249),"",$I$1249))</f>
        <v/>
      </c>
      <c r="AF1249" s="2">
        <f>IF(ISERROR($J$1249),"",IF(ISBLANK($J$1249),"",$J$1249))</f>
        <v/>
      </c>
      <c r="AG1249" s="2">
        <f>ISERROR($B$1249)*1+ISERROR($C$1249)*1+ISERROR($D$1249)*1+ISERROR($E$1249)*1+ISERROR($F$1249)*1+ISERROR($G$1249)*1+ISERROR($H$1249)*1+ISERROR($I$1249)*1+ISERROR($J$1249)*1</f>
        <v/>
      </c>
    </row>
    <row r="1250" ht="26" customHeight="1">
      <c r="B1250" s="33" t="n"/>
      <c r="C1250" s="4" t="n"/>
      <c r="D1250" s="4" t="n"/>
      <c r="E1250" s="4" t="n"/>
      <c r="F1250" s="4" t="n"/>
      <c r="G1250" s="4" t="n"/>
      <c r="H1250" s="4" t="n"/>
      <c r="I1250" s="4" t="n"/>
      <c r="J1250" s="4" t="n"/>
      <c r="K1250" s="19">
        <f>IF(AG1250&gt;0,"O Google leu como fórmula: digite de novo com ' na frente.","")</f>
        <v/>
      </c>
      <c r="N1250" s="2">
        <f>N1249+IF(LEN($X$1250)&gt;0,1,0)</f>
        <v/>
      </c>
      <c r="O1250" s="2">
        <f>O1249+IF(LEN($Y$1250)&gt;0,1,0)</f>
        <v/>
      </c>
      <c r="P1250" s="2">
        <f>P1249+IF(LEN($Z$1250)&gt;0,1,0)</f>
        <v/>
      </c>
      <c r="Q1250" s="2">
        <f>Q1249+IF(LEN($AA$1250)&gt;0,1,0)</f>
        <v/>
      </c>
      <c r="R1250" s="2">
        <f>R1249+IF(LEN($AB$1250)&gt;0,1,0)</f>
        <v/>
      </c>
      <c r="S1250" s="2">
        <f>S1249+IF(LEN($AC$1250)&gt;0,1,0)</f>
        <v/>
      </c>
      <c r="T1250" s="2">
        <f>T1249+IF(LEN($AD$1250)&gt;0,1,0)</f>
        <v/>
      </c>
      <c r="U1250" s="2">
        <f>U1249+IF(LEN($AE$1250)&gt;0,1,0)</f>
        <v/>
      </c>
      <c r="X1250" s="2">
        <f>IF(ISERROR($B$1250),"",IF(ISBLANK($B$1250),"",$B$1250))</f>
        <v/>
      </c>
      <c r="Y1250" s="2">
        <f>IF(ISERROR($C$1250),"",IF(ISBLANK($C$1250),"",$C$1250))</f>
        <v/>
      </c>
      <c r="Z1250" s="2">
        <f>IF(ISERROR($D$1250),"",IF(ISBLANK($D$1250),"",$D$1250))</f>
        <v/>
      </c>
      <c r="AA1250" s="2">
        <f>IF(ISERROR($E$1250),"",IF(ISBLANK($E$1250),"",$E$1250))</f>
        <v/>
      </c>
      <c r="AB1250" s="2">
        <f>IF(ISERROR($F$1250),"",IF(ISBLANK($F$1250),"",$F$1250))</f>
        <v/>
      </c>
      <c r="AC1250" s="2">
        <f>IF(ISERROR($G$1250),"",IF(ISBLANK($G$1250),"",$G$1250))</f>
        <v/>
      </c>
      <c r="AD1250" s="2">
        <f>IF(ISERROR($H$1250),"",IF(ISBLANK($H$1250),"",$H$1250))</f>
        <v/>
      </c>
      <c r="AE1250" s="2">
        <f>IF(ISERROR($I$1250),"",IF(ISBLANK($I$1250),"",$I$1250))</f>
        <v/>
      </c>
      <c r="AF1250" s="2">
        <f>IF(ISERROR($J$1250),"",IF(ISBLANK($J$1250),"",$J$1250))</f>
        <v/>
      </c>
      <c r="AG1250" s="2">
        <f>ISERROR($B$1250)*1+ISERROR($C$1250)*1+ISERROR($D$1250)*1+ISERROR($E$1250)*1+ISERROR($F$1250)*1+ISERROR($G$1250)*1+ISERROR($H$1250)*1+ISERROR($I$1250)*1+ISERROR($J$1250)*1</f>
        <v/>
      </c>
    </row>
    <row r="1251" ht="26" customHeight="1">
      <c r="B1251" s="35" t="n"/>
      <c r="C1251" s="29" t="n"/>
      <c r="D1251" s="29" t="n"/>
      <c r="E1251" s="29" t="n"/>
      <c r="F1251" s="29" t="n"/>
      <c r="G1251" s="29" t="n"/>
      <c r="H1251" s="29" t="n"/>
      <c r="I1251" s="29" t="n"/>
      <c r="J1251" s="29" t="n"/>
      <c r="K1251" s="19">
        <f>IF(AG1251&gt;0,"O Google leu como fórmula: digite de novo com ' na frente.","")</f>
        <v/>
      </c>
      <c r="N1251" s="2">
        <f>N1250+IF(LEN($X$1251)&gt;0,1,0)</f>
        <v/>
      </c>
      <c r="O1251" s="2">
        <f>O1250+IF(LEN($Y$1251)&gt;0,1,0)</f>
        <v/>
      </c>
      <c r="P1251" s="2">
        <f>P1250+IF(LEN($Z$1251)&gt;0,1,0)</f>
        <v/>
      </c>
      <c r="Q1251" s="2">
        <f>Q1250+IF(LEN($AA$1251)&gt;0,1,0)</f>
        <v/>
      </c>
      <c r="R1251" s="2">
        <f>R1250+IF(LEN($AB$1251)&gt;0,1,0)</f>
        <v/>
      </c>
      <c r="S1251" s="2">
        <f>S1250+IF(LEN($AC$1251)&gt;0,1,0)</f>
        <v/>
      </c>
      <c r="T1251" s="2">
        <f>T1250+IF(LEN($AD$1251)&gt;0,1,0)</f>
        <v/>
      </c>
      <c r="U1251" s="2">
        <f>U1250+IF(LEN($AE$1251)&gt;0,1,0)</f>
        <v/>
      </c>
      <c r="X1251" s="2">
        <f>IF(ISERROR($B$1251),"",IF(ISBLANK($B$1251),"",$B$1251))</f>
        <v/>
      </c>
      <c r="Y1251" s="2">
        <f>IF(ISERROR($C$1251),"",IF(ISBLANK($C$1251),"",$C$1251))</f>
        <v/>
      </c>
      <c r="Z1251" s="2">
        <f>IF(ISERROR($D$1251),"",IF(ISBLANK($D$1251),"",$D$1251))</f>
        <v/>
      </c>
      <c r="AA1251" s="2">
        <f>IF(ISERROR($E$1251),"",IF(ISBLANK($E$1251),"",$E$1251))</f>
        <v/>
      </c>
      <c r="AB1251" s="2">
        <f>IF(ISERROR($F$1251),"",IF(ISBLANK($F$1251),"",$F$1251))</f>
        <v/>
      </c>
      <c r="AC1251" s="2">
        <f>IF(ISERROR($G$1251),"",IF(ISBLANK($G$1251),"",$G$1251))</f>
        <v/>
      </c>
      <c r="AD1251" s="2">
        <f>IF(ISERROR($H$1251),"",IF(ISBLANK($H$1251),"",$H$1251))</f>
        <v/>
      </c>
      <c r="AE1251" s="2">
        <f>IF(ISERROR($I$1251),"",IF(ISBLANK($I$1251),"",$I$1251))</f>
        <v/>
      </c>
      <c r="AF1251" s="2">
        <f>IF(ISERROR($J$1251),"",IF(ISBLANK($J$1251),"",$J$1251))</f>
        <v/>
      </c>
      <c r="AG1251" s="2">
        <f>ISERROR($B$1251)*1+ISERROR($C$1251)*1+ISERROR($D$1251)*1+ISERROR($E$1251)*1+ISERROR($F$1251)*1+ISERROR($G$1251)*1+ISERROR($H$1251)*1+ISERROR($I$1251)*1+ISERROR($J$1251)*1</f>
        <v/>
      </c>
    </row>
    <row r="1252" ht="26" customHeight="1">
      <c r="B1252" s="33" t="n"/>
      <c r="C1252" s="4" t="n"/>
      <c r="D1252" s="4" t="n"/>
      <c r="E1252" s="4" t="n"/>
      <c r="F1252" s="4" t="n"/>
      <c r="G1252" s="4" t="n"/>
      <c r="H1252" s="4" t="n"/>
      <c r="I1252" s="4" t="n"/>
      <c r="J1252" s="4" t="n"/>
      <c r="K1252" s="19">
        <f>IF(AG1252&gt;0,"O Google leu como fórmula: digite de novo com ' na frente.","")</f>
        <v/>
      </c>
      <c r="N1252" s="2">
        <f>N1251+IF(LEN($X$1252)&gt;0,1,0)</f>
        <v/>
      </c>
      <c r="O1252" s="2">
        <f>O1251+IF(LEN($Y$1252)&gt;0,1,0)</f>
        <v/>
      </c>
      <c r="P1252" s="2">
        <f>P1251+IF(LEN($Z$1252)&gt;0,1,0)</f>
        <v/>
      </c>
      <c r="Q1252" s="2">
        <f>Q1251+IF(LEN($AA$1252)&gt;0,1,0)</f>
        <v/>
      </c>
      <c r="R1252" s="2">
        <f>R1251+IF(LEN($AB$1252)&gt;0,1,0)</f>
        <v/>
      </c>
      <c r="S1252" s="2">
        <f>S1251+IF(LEN($AC$1252)&gt;0,1,0)</f>
        <v/>
      </c>
      <c r="T1252" s="2">
        <f>T1251+IF(LEN($AD$1252)&gt;0,1,0)</f>
        <v/>
      </c>
      <c r="U1252" s="2">
        <f>U1251+IF(LEN($AE$1252)&gt;0,1,0)</f>
        <v/>
      </c>
      <c r="X1252" s="2">
        <f>IF(ISERROR($B$1252),"",IF(ISBLANK($B$1252),"",$B$1252))</f>
        <v/>
      </c>
      <c r="Y1252" s="2">
        <f>IF(ISERROR($C$1252),"",IF(ISBLANK($C$1252),"",$C$1252))</f>
        <v/>
      </c>
      <c r="Z1252" s="2">
        <f>IF(ISERROR($D$1252),"",IF(ISBLANK($D$1252),"",$D$1252))</f>
        <v/>
      </c>
      <c r="AA1252" s="2">
        <f>IF(ISERROR($E$1252),"",IF(ISBLANK($E$1252),"",$E$1252))</f>
        <v/>
      </c>
      <c r="AB1252" s="2">
        <f>IF(ISERROR($F$1252),"",IF(ISBLANK($F$1252),"",$F$1252))</f>
        <v/>
      </c>
      <c r="AC1252" s="2">
        <f>IF(ISERROR($G$1252),"",IF(ISBLANK($G$1252),"",$G$1252))</f>
        <v/>
      </c>
      <c r="AD1252" s="2">
        <f>IF(ISERROR($H$1252),"",IF(ISBLANK($H$1252),"",$H$1252))</f>
        <v/>
      </c>
      <c r="AE1252" s="2">
        <f>IF(ISERROR($I$1252),"",IF(ISBLANK($I$1252),"",$I$1252))</f>
        <v/>
      </c>
      <c r="AF1252" s="2">
        <f>IF(ISERROR($J$1252),"",IF(ISBLANK($J$1252),"",$J$1252))</f>
        <v/>
      </c>
      <c r="AG1252" s="2">
        <f>ISERROR($B$1252)*1+ISERROR($C$1252)*1+ISERROR($D$1252)*1+ISERROR($E$1252)*1+ISERROR($F$1252)*1+ISERROR($G$1252)*1+ISERROR($H$1252)*1+ISERROR($I$1252)*1+ISERROR($J$1252)*1</f>
        <v/>
      </c>
    </row>
    <row r="1253" ht="26" customHeight="1">
      <c r="B1253" s="35" t="n"/>
      <c r="C1253" s="29" t="n"/>
      <c r="D1253" s="29" t="n"/>
      <c r="E1253" s="29" t="n"/>
      <c r="F1253" s="29" t="n"/>
      <c r="G1253" s="29" t="n"/>
      <c r="H1253" s="29" t="n"/>
      <c r="I1253" s="29" t="n"/>
      <c r="J1253" s="29" t="n"/>
      <c r="K1253" s="19">
        <f>IF(AG1253&gt;0,"O Google leu como fórmula: digite de novo com ' na frente.","")</f>
        <v/>
      </c>
      <c r="N1253" s="2">
        <f>N1252+IF(LEN($X$1253)&gt;0,1,0)</f>
        <v/>
      </c>
      <c r="O1253" s="2">
        <f>O1252+IF(LEN($Y$1253)&gt;0,1,0)</f>
        <v/>
      </c>
      <c r="P1253" s="2">
        <f>P1252+IF(LEN($Z$1253)&gt;0,1,0)</f>
        <v/>
      </c>
      <c r="Q1253" s="2">
        <f>Q1252+IF(LEN($AA$1253)&gt;0,1,0)</f>
        <v/>
      </c>
      <c r="R1253" s="2">
        <f>R1252+IF(LEN($AB$1253)&gt;0,1,0)</f>
        <v/>
      </c>
      <c r="S1253" s="2">
        <f>S1252+IF(LEN($AC$1253)&gt;0,1,0)</f>
        <v/>
      </c>
      <c r="T1253" s="2">
        <f>T1252+IF(LEN($AD$1253)&gt;0,1,0)</f>
        <v/>
      </c>
      <c r="U1253" s="2">
        <f>U1252+IF(LEN($AE$1253)&gt;0,1,0)</f>
        <v/>
      </c>
      <c r="X1253" s="2">
        <f>IF(ISERROR($B$1253),"",IF(ISBLANK($B$1253),"",$B$1253))</f>
        <v/>
      </c>
      <c r="Y1253" s="2">
        <f>IF(ISERROR($C$1253),"",IF(ISBLANK($C$1253),"",$C$1253))</f>
        <v/>
      </c>
      <c r="Z1253" s="2">
        <f>IF(ISERROR($D$1253),"",IF(ISBLANK($D$1253),"",$D$1253))</f>
        <v/>
      </c>
      <c r="AA1253" s="2">
        <f>IF(ISERROR($E$1253),"",IF(ISBLANK($E$1253),"",$E$1253))</f>
        <v/>
      </c>
      <c r="AB1253" s="2">
        <f>IF(ISERROR($F$1253),"",IF(ISBLANK($F$1253),"",$F$1253))</f>
        <v/>
      </c>
      <c r="AC1253" s="2">
        <f>IF(ISERROR($G$1253),"",IF(ISBLANK($G$1253),"",$G$1253))</f>
        <v/>
      </c>
      <c r="AD1253" s="2">
        <f>IF(ISERROR($H$1253),"",IF(ISBLANK($H$1253),"",$H$1253))</f>
        <v/>
      </c>
      <c r="AE1253" s="2">
        <f>IF(ISERROR($I$1253),"",IF(ISBLANK($I$1253),"",$I$1253))</f>
        <v/>
      </c>
      <c r="AF1253" s="2">
        <f>IF(ISERROR($J$1253),"",IF(ISBLANK($J$1253),"",$J$1253))</f>
        <v/>
      </c>
      <c r="AG1253" s="2">
        <f>ISERROR($B$1253)*1+ISERROR($C$1253)*1+ISERROR($D$1253)*1+ISERROR($E$1253)*1+ISERROR($F$1253)*1+ISERROR($G$1253)*1+ISERROR($H$1253)*1+ISERROR($I$1253)*1+ISERROR($J$1253)*1</f>
        <v/>
      </c>
    </row>
    <row r="1254" ht="26" customHeight="1">
      <c r="B1254" s="33" t="n"/>
      <c r="C1254" s="4" t="n"/>
      <c r="D1254" s="4" t="n"/>
      <c r="E1254" s="4" t="n"/>
      <c r="F1254" s="4" t="n"/>
      <c r="G1254" s="4" t="n"/>
      <c r="H1254" s="4" t="n"/>
      <c r="I1254" s="4" t="n"/>
      <c r="J1254" s="4" t="n"/>
      <c r="K1254" s="19">
        <f>IF(AG1254&gt;0,"O Google leu como fórmula: digite de novo com ' na frente.","")</f>
        <v/>
      </c>
      <c r="N1254" s="2">
        <f>N1253+IF(LEN($X$1254)&gt;0,1,0)</f>
        <v/>
      </c>
      <c r="O1254" s="2">
        <f>O1253+IF(LEN($Y$1254)&gt;0,1,0)</f>
        <v/>
      </c>
      <c r="P1254" s="2">
        <f>P1253+IF(LEN($Z$1254)&gt;0,1,0)</f>
        <v/>
      </c>
      <c r="Q1254" s="2">
        <f>Q1253+IF(LEN($AA$1254)&gt;0,1,0)</f>
        <v/>
      </c>
      <c r="R1254" s="2">
        <f>R1253+IF(LEN($AB$1254)&gt;0,1,0)</f>
        <v/>
      </c>
      <c r="S1254" s="2">
        <f>S1253+IF(LEN($AC$1254)&gt;0,1,0)</f>
        <v/>
      </c>
      <c r="T1254" s="2">
        <f>T1253+IF(LEN($AD$1254)&gt;0,1,0)</f>
        <v/>
      </c>
      <c r="U1254" s="2">
        <f>U1253+IF(LEN($AE$1254)&gt;0,1,0)</f>
        <v/>
      </c>
      <c r="X1254" s="2">
        <f>IF(ISERROR($B$1254),"",IF(ISBLANK($B$1254),"",$B$1254))</f>
        <v/>
      </c>
      <c r="Y1254" s="2">
        <f>IF(ISERROR($C$1254),"",IF(ISBLANK($C$1254),"",$C$1254))</f>
        <v/>
      </c>
      <c r="Z1254" s="2">
        <f>IF(ISERROR($D$1254),"",IF(ISBLANK($D$1254),"",$D$1254))</f>
        <v/>
      </c>
      <c r="AA1254" s="2">
        <f>IF(ISERROR($E$1254),"",IF(ISBLANK($E$1254),"",$E$1254))</f>
        <v/>
      </c>
      <c r="AB1254" s="2">
        <f>IF(ISERROR($F$1254),"",IF(ISBLANK($F$1254),"",$F$1254))</f>
        <v/>
      </c>
      <c r="AC1254" s="2">
        <f>IF(ISERROR($G$1254),"",IF(ISBLANK($G$1254),"",$G$1254))</f>
        <v/>
      </c>
      <c r="AD1254" s="2">
        <f>IF(ISERROR($H$1254),"",IF(ISBLANK($H$1254),"",$H$1254))</f>
        <v/>
      </c>
      <c r="AE1254" s="2">
        <f>IF(ISERROR($I$1254),"",IF(ISBLANK($I$1254),"",$I$1254))</f>
        <v/>
      </c>
      <c r="AF1254" s="2">
        <f>IF(ISERROR($J$1254),"",IF(ISBLANK($J$1254),"",$J$1254))</f>
        <v/>
      </c>
      <c r="AG1254" s="2">
        <f>ISERROR($B$1254)*1+ISERROR($C$1254)*1+ISERROR($D$1254)*1+ISERROR($E$1254)*1+ISERROR($F$1254)*1+ISERROR($G$1254)*1+ISERROR($H$1254)*1+ISERROR($I$1254)*1+ISERROR($J$1254)*1</f>
        <v/>
      </c>
    </row>
    <row r="1255" ht="26" customHeight="1">
      <c r="B1255" s="35" t="n"/>
      <c r="C1255" s="29" t="n"/>
      <c r="D1255" s="29" t="n"/>
      <c r="E1255" s="29" t="n"/>
      <c r="F1255" s="29" t="n"/>
      <c r="G1255" s="29" t="n"/>
      <c r="H1255" s="29" t="n"/>
      <c r="I1255" s="29" t="n"/>
      <c r="J1255" s="29" t="n"/>
      <c r="K1255" s="19">
        <f>IF(AG1255&gt;0,"O Google leu como fórmula: digite de novo com ' na frente.","")</f>
        <v/>
      </c>
      <c r="N1255" s="2">
        <f>N1254+IF(LEN($X$1255)&gt;0,1,0)</f>
        <v/>
      </c>
      <c r="O1255" s="2">
        <f>O1254+IF(LEN($Y$1255)&gt;0,1,0)</f>
        <v/>
      </c>
      <c r="P1255" s="2">
        <f>P1254+IF(LEN($Z$1255)&gt;0,1,0)</f>
        <v/>
      </c>
      <c r="Q1255" s="2">
        <f>Q1254+IF(LEN($AA$1255)&gt;0,1,0)</f>
        <v/>
      </c>
      <c r="R1255" s="2">
        <f>R1254+IF(LEN($AB$1255)&gt;0,1,0)</f>
        <v/>
      </c>
      <c r="S1255" s="2">
        <f>S1254+IF(LEN($AC$1255)&gt;0,1,0)</f>
        <v/>
      </c>
      <c r="T1255" s="2">
        <f>T1254+IF(LEN($AD$1255)&gt;0,1,0)</f>
        <v/>
      </c>
      <c r="U1255" s="2">
        <f>U1254+IF(LEN($AE$1255)&gt;0,1,0)</f>
        <v/>
      </c>
      <c r="X1255" s="2">
        <f>IF(ISERROR($B$1255),"",IF(ISBLANK($B$1255),"",$B$1255))</f>
        <v/>
      </c>
      <c r="Y1255" s="2">
        <f>IF(ISERROR($C$1255),"",IF(ISBLANK($C$1255),"",$C$1255))</f>
        <v/>
      </c>
      <c r="Z1255" s="2">
        <f>IF(ISERROR($D$1255),"",IF(ISBLANK($D$1255),"",$D$1255))</f>
        <v/>
      </c>
      <c r="AA1255" s="2">
        <f>IF(ISERROR($E$1255),"",IF(ISBLANK($E$1255),"",$E$1255))</f>
        <v/>
      </c>
      <c r="AB1255" s="2">
        <f>IF(ISERROR($F$1255),"",IF(ISBLANK($F$1255),"",$F$1255))</f>
        <v/>
      </c>
      <c r="AC1255" s="2">
        <f>IF(ISERROR($G$1255),"",IF(ISBLANK($G$1255),"",$G$1255))</f>
        <v/>
      </c>
      <c r="AD1255" s="2">
        <f>IF(ISERROR($H$1255),"",IF(ISBLANK($H$1255),"",$H$1255))</f>
        <v/>
      </c>
      <c r="AE1255" s="2">
        <f>IF(ISERROR($I$1255),"",IF(ISBLANK($I$1255),"",$I$1255))</f>
        <v/>
      </c>
      <c r="AF1255" s="2">
        <f>IF(ISERROR($J$1255),"",IF(ISBLANK($J$1255),"",$J$1255))</f>
        <v/>
      </c>
      <c r="AG1255" s="2">
        <f>ISERROR($B$1255)*1+ISERROR($C$1255)*1+ISERROR($D$1255)*1+ISERROR($E$1255)*1+ISERROR($F$1255)*1+ISERROR($G$1255)*1+ISERROR($H$1255)*1+ISERROR($I$1255)*1+ISERROR($J$1255)*1</f>
        <v/>
      </c>
    </row>
    <row r="1256" ht="26" customHeight="1">
      <c r="B1256" s="33" t="n"/>
      <c r="C1256" s="4" t="n"/>
      <c r="D1256" s="4" t="n"/>
      <c r="E1256" s="4" t="n"/>
      <c r="F1256" s="4" t="n"/>
      <c r="G1256" s="4" t="n"/>
      <c r="H1256" s="4" t="n"/>
      <c r="I1256" s="4" t="n"/>
      <c r="J1256" s="4" t="n"/>
      <c r="K1256" s="19">
        <f>IF(AG1256&gt;0,"O Google leu como fórmula: digite de novo com ' na frente.","")</f>
        <v/>
      </c>
      <c r="N1256" s="2">
        <f>N1255+IF(LEN($X$1256)&gt;0,1,0)</f>
        <v/>
      </c>
      <c r="O1256" s="2">
        <f>O1255+IF(LEN($Y$1256)&gt;0,1,0)</f>
        <v/>
      </c>
      <c r="P1256" s="2">
        <f>P1255+IF(LEN($Z$1256)&gt;0,1,0)</f>
        <v/>
      </c>
      <c r="Q1256" s="2">
        <f>Q1255+IF(LEN($AA$1256)&gt;0,1,0)</f>
        <v/>
      </c>
      <c r="R1256" s="2">
        <f>R1255+IF(LEN($AB$1256)&gt;0,1,0)</f>
        <v/>
      </c>
      <c r="S1256" s="2">
        <f>S1255+IF(LEN($AC$1256)&gt;0,1,0)</f>
        <v/>
      </c>
      <c r="T1256" s="2">
        <f>T1255+IF(LEN($AD$1256)&gt;0,1,0)</f>
        <v/>
      </c>
      <c r="U1256" s="2">
        <f>U1255+IF(LEN($AE$1256)&gt;0,1,0)</f>
        <v/>
      </c>
      <c r="X1256" s="2">
        <f>IF(ISERROR($B$1256),"",IF(ISBLANK($B$1256),"",$B$1256))</f>
        <v/>
      </c>
      <c r="Y1256" s="2">
        <f>IF(ISERROR($C$1256),"",IF(ISBLANK($C$1256),"",$C$1256))</f>
        <v/>
      </c>
      <c r="Z1256" s="2">
        <f>IF(ISERROR($D$1256),"",IF(ISBLANK($D$1256),"",$D$1256))</f>
        <v/>
      </c>
      <c r="AA1256" s="2">
        <f>IF(ISERROR($E$1256),"",IF(ISBLANK($E$1256),"",$E$1256))</f>
        <v/>
      </c>
      <c r="AB1256" s="2">
        <f>IF(ISERROR($F$1256),"",IF(ISBLANK($F$1256),"",$F$1256))</f>
        <v/>
      </c>
      <c r="AC1256" s="2">
        <f>IF(ISERROR($G$1256),"",IF(ISBLANK($G$1256),"",$G$1256))</f>
        <v/>
      </c>
      <c r="AD1256" s="2">
        <f>IF(ISERROR($H$1256),"",IF(ISBLANK($H$1256),"",$H$1256))</f>
        <v/>
      </c>
      <c r="AE1256" s="2">
        <f>IF(ISERROR($I$1256),"",IF(ISBLANK($I$1256),"",$I$1256))</f>
        <v/>
      </c>
      <c r="AF1256" s="2">
        <f>IF(ISERROR($J$1256),"",IF(ISBLANK($J$1256),"",$J$1256))</f>
        <v/>
      </c>
      <c r="AG1256" s="2">
        <f>ISERROR($B$1256)*1+ISERROR($C$1256)*1+ISERROR($D$1256)*1+ISERROR($E$1256)*1+ISERROR($F$1256)*1+ISERROR($G$1256)*1+ISERROR($H$1256)*1+ISERROR($I$1256)*1+ISERROR($J$1256)*1</f>
        <v/>
      </c>
    </row>
    <row r="1257" ht="26" customHeight="1">
      <c r="B1257" s="35" t="n"/>
      <c r="C1257" s="29" t="n"/>
      <c r="D1257" s="29" t="n"/>
      <c r="E1257" s="29" t="n"/>
      <c r="F1257" s="29" t="n"/>
      <c r="G1257" s="29" t="n"/>
      <c r="H1257" s="29" t="n"/>
      <c r="I1257" s="29" t="n"/>
      <c r="J1257" s="29" t="n"/>
      <c r="K1257" s="19">
        <f>IF(AG1257&gt;0,"O Google leu como fórmula: digite de novo com ' na frente.","")</f>
        <v/>
      </c>
      <c r="N1257" s="2">
        <f>N1256+IF(LEN($X$1257)&gt;0,1,0)</f>
        <v/>
      </c>
      <c r="O1257" s="2">
        <f>O1256+IF(LEN($Y$1257)&gt;0,1,0)</f>
        <v/>
      </c>
      <c r="P1257" s="2">
        <f>P1256+IF(LEN($Z$1257)&gt;0,1,0)</f>
        <v/>
      </c>
      <c r="Q1257" s="2">
        <f>Q1256+IF(LEN($AA$1257)&gt;0,1,0)</f>
        <v/>
      </c>
      <c r="R1257" s="2">
        <f>R1256+IF(LEN($AB$1257)&gt;0,1,0)</f>
        <v/>
      </c>
      <c r="S1257" s="2">
        <f>S1256+IF(LEN($AC$1257)&gt;0,1,0)</f>
        <v/>
      </c>
      <c r="T1257" s="2">
        <f>T1256+IF(LEN($AD$1257)&gt;0,1,0)</f>
        <v/>
      </c>
      <c r="U1257" s="2">
        <f>U1256+IF(LEN($AE$1257)&gt;0,1,0)</f>
        <v/>
      </c>
      <c r="X1257" s="2">
        <f>IF(ISERROR($B$1257),"",IF(ISBLANK($B$1257),"",$B$1257))</f>
        <v/>
      </c>
      <c r="Y1257" s="2">
        <f>IF(ISERROR($C$1257),"",IF(ISBLANK($C$1257),"",$C$1257))</f>
        <v/>
      </c>
      <c r="Z1257" s="2">
        <f>IF(ISERROR($D$1257),"",IF(ISBLANK($D$1257),"",$D$1257))</f>
        <v/>
      </c>
      <c r="AA1257" s="2">
        <f>IF(ISERROR($E$1257),"",IF(ISBLANK($E$1257),"",$E$1257))</f>
        <v/>
      </c>
      <c r="AB1257" s="2">
        <f>IF(ISERROR($F$1257),"",IF(ISBLANK($F$1257),"",$F$1257))</f>
        <v/>
      </c>
      <c r="AC1257" s="2">
        <f>IF(ISERROR($G$1257),"",IF(ISBLANK($G$1257),"",$G$1257))</f>
        <v/>
      </c>
      <c r="AD1257" s="2">
        <f>IF(ISERROR($H$1257),"",IF(ISBLANK($H$1257),"",$H$1257))</f>
        <v/>
      </c>
      <c r="AE1257" s="2">
        <f>IF(ISERROR($I$1257),"",IF(ISBLANK($I$1257),"",$I$1257))</f>
        <v/>
      </c>
      <c r="AF1257" s="2">
        <f>IF(ISERROR($J$1257),"",IF(ISBLANK($J$1257),"",$J$1257))</f>
        <v/>
      </c>
      <c r="AG1257" s="2">
        <f>ISERROR($B$1257)*1+ISERROR($C$1257)*1+ISERROR($D$1257)*1+ISERROR($E$1257)*1+ISERROR($F$1257)*1+ISERROR($G$1257)*1+ISERROR($H$1257)*1+ISERROR($I$1257)*1+ISERROR($J$1257)*1</f>
        <v/>
      </c>
    </row>
    <row r="1258" ht="26" customHeight="1">
      <c r="B1258" s="33" t="n"/>
      <c r="C1258" s="4" t="n"/>
      <c r="D1258" s="4" t="n"/>
      <c r="E1258" s="4" t="n"/>
      <c r="F1258" s="4" t="n"/>
      <c r="G1258" s="4" t="n"/>
      <c r="H1258" s="4" t="n"/>
      <c r="I1258" s="4" t="n"/>
      <c r="J1258" s="4" t="n"/>
      <c r="K1258" s="19">
        <f>IF(AG1258&gt;0,"O Google leu como fórmula: digite de novo com ' na frente.","")</f>
        <v/>
      </c>
      <c r="N1258" s="2">
        <f>N1257+IF(LEN($X$1258)&gt;0,1,0)</f>
        <v/>
      </c>
      <c r="O1258" s="2">
        <f>O1257+IF(LEN($Y$1258)&gt;0,1,0)</f>
        <v/>
      </c>
      <c r="P1258" s="2">
        <f>P1257+IF(LEN($Z$1258)&gt;0,1,0)</f>
        <v/>
      </c>
      <c r="Q1258" s="2">
        <f>Q1257+IF(LEN($AA$1258)&gt;0,1,0)</f>
        <v/>
      </c>
      <c r="R1258" s="2">
        <f>R1257+IF(LEN($AB$1258)&gt;0,1,0)</f>
        <v/>
      </c>
      <c r="S1258" s="2">
        <f>S1257+IF(LEN($AC$1258)&gt;0,1,0)</f>
        <v/>
      </c>
      <c r="T1258" s="2">
        <f>T1257+IF(LEN($AD$1258)&gt;0,1,0)</f>
        <v/>
      </c>
      <c r="U1258" s="2">
        <f>U1257+IF(LEN($AE$1258)&gt;0,1,0)</f>
        <v/>
      </c>
      <c r="X1258" s="2">
        <f>IF(ISERROR($B$1258),"",IF(ISBLANK($B$1258),"",$B$1258))</f>
        <v/>
      </c>
      <c r="Y1258" s="2">
        <f>IF(ISERROR($C$1258),"",IF(ISBLANK($C$1258),"",$C$1258))</f>
        <v/>
      </c>
      <c r="Z1258" s="2">
        <f>IF(ISERROR($D$1258),"",IF(ISBLANK($D$1258),"",$D$1258))</f>
        <v/>
      </c>
      <c r="AA1258" s="2">
        <f>IF(ISERROR($E$1258),"",IF(ISBLANK($E$1258),"",$E$1258))</f>
        <v/>
      </c>
      <c r="AB1258" s="2">
        <f>IF(ISERROR($F$1258),"",IF(ISBLANK($F$1258),"",$F$1258))</f>
        <v/>
      </c>
      <c r="AC1258" s="2">
        <f>IF(ISERROR($G$1258),"",IF(ISBLANK($G$1258),"",$G$1258))</f>
        <v/>
      </c>
      <c r="AD1258" s="2">
        <f>IF(ISERROR($H$1258),"",IF(ISBLANK($H$1258),"",$H$1258))</f>
        <v/>
      </c>
      <c r="AE1258" s="2">
        <f>IF(ISERROR($I$1258),"",IF(ISBLANK($I$1258),"",$I$1258))</f>
        <v/>
      </c>
      <c r="AF1258" s="2">
        <f>IF(ISERROR($J$1258),"",IF(ISBLANK($J$1258),"",$J$1258))</f>
        <v/>
      </c>
      <c r="AG1258" s="2">
        <f>ISERROR($B$1258)*1+ISERROR($C$1258)*1+ISERROR($D$1258)*1+ISERROR($E$1258)*1+ISERROR($F$1258)*1+ISERROR($G$1258)*1+ISERROR($H$1258)*1+ISERROR($I$1258)*1+ISERROR($J$1258)*1</f>
        <v/>
      </c>
    </row>
    <row r="1259" ht="26" customHeight="1">
      <c r="B1259" s="8" t="inlineStr">
        <is>
          <t>Rumor</t>
        </is>
      </c>
      <c r="C1259" s="8" t="inlineStr">
        <is>
          <t>Veracidade do rumor (peso)</t>
        </is>
      </c>
      <c r="D1259" s="8" t="inlineStr">
        <is>
          <t>Evento de viagem</t>
        </is>
      </c>
      <c r="E1259" s="8" t="inlineStr">
        <is>
          <t>Evento no espaço</t>
        </is>
      </c>
      <c r="F1259" s="8" t="inlineStr">
        <is>
          <t>Evento na cidade</t>
        </is>
      </c>
      <c r="G1259" s="8" t="inlineStr">
        <is>
          <t>Falhe para frente: o custo</t>
        </is>
      </c>
      <c r="H1259" s="8" t="inlineStr">
        <is>
          <t>Item fora do comum (loja)</t>
        </is>
      </c>
      <c r="I1259" s="8" t="inlineStr">
        <is>
          <t>Oráculo: resposta</t>
        </is>
      </c>
      <c r="J1259" s="8" t="inlineStr">
        <is>
          <t>Oráculo: até (d20 + modificador)</t>
        </is>
      </c>
      <c r="N1259" s="2">
        <f>N1258</f>
        <v/>
      </c>
      <c r="O1259" s="2">
        <f>O1258</f>
        <v/>
      </c>
      <c r="P1259" s="2">
        <f>P1258</f>
        <v/>
      </c>
      <c r="Q1259" s="2">
        <f>Q1258</f>
        <v/>
      </c>
      <c r="R1259" s="2">
        <f>R1258</f>
        <v/>
      </c>
      <c r="S1259" s="2">
        <f>S1258</f>
        <v/>
      </c>
      <c r="T1259" s="2">
        <f>T1258</f>
        <v/>
      </c>
      <c r="U1259" s="2">
        <f>U1258</f>
        <v/>
      </c>
      <c r="X1259" s="2">
        <f>IF(ISERROR($B$1259),"",IF(ISBLANK($B$1259),"",$B$1259))</f>
        <v/>
      </c>
      <c r="Y1259" s="2">
        <f>IF(ISERROR($C$1259),"",IF(ISBLANK($C$1259),"",$C$1259))</f>
        <v/>
      </c>
      <c r="Z1259" s="2">
        <f>IF(ISERROR($D$1259),"",IF(ISBLANK($D$1259),"",$D$1259))</f>
        <v/>
      </c>
      <c r="AA1259" s="2">
        <f>IF(ISERROR($E$1259),"",IF(ISBLANK($E$1259),"",$E$1259))</f>
        <v/>
      </c>
      <c r="AB1259" s="2">
        <f>IF(ISERROR($F$1259),"",IF(ISBLANK($F$1259),"",$F$1259))</f>
        <v/>
      </c>
      <c r="AC1259" s="2">
        <f>IF(ISERROR($G$1259),"",IF(ISBLANK($G$1259),"",$G$1259))</f>
        <v/>
      </c>
      <c r="AD1259" s="2">
        <f>IF(ISERROR($H$1259),"",IF(ISBLANK($H$1259),"",$H$1259))</f>
        <v/>
      </c>
      <c r="AE1259" s="2">
        <f>IF(ISERROR($I$1259),"",IF(ISBLANK($I$1259),"",$I$1259))</f>
        <v/>
      </c>
      <c r="AF1259" s="2">
        <f>IF(ISERROR($J$1259),"",IF(ISBLANK($J$1259),"",$J$1259))</f>
        <v/>
      </c>
    </row>
    <row r="1260" ht="26" customHeight="1">
      <c r="B1260" s="33" t="n"/>
      <c r="C1260" s="4" t="n"/>
      <c r="D1260" s="4" t="n"/>
      <c r="E1260" s="4" t="n"/>
      <c r="F1260" s="4" t="n"/>
      <c r="G1260" s="4" t="n"/>
      <c r="H1260" s="4" t="n"/>
      <c r="I1260" s="4" t="n"/>
      <c r="J1260" s="4" t="n"/>
      <c r="K1260" s="19">
        <f>IF(AG1260&gt;0,"O Google leu como fórmula: digite de novo com ' na frente.","")</f>
        <v/>
      </c>
      <c r="N1260" s="2">
        <f>N1259+IF(LEN($X$1260)&gt;0,1,0)</f>
        <v/>
      </c>
      <c r="O1260" s="2">
        <f>O1259+IF(LEN($Y$1260)&gt;0,1,0)</f>
        <v/>
      </c>
      <c r="P1260" s="2">
        <f>P1259+IF(LEN($Z$1260)&gt;0,1,0)</f>
        <v/>
      </c>
      <c r="Q1260" s="2">
        <f>Q1259+IF(LEN($AA$1260)&gt;0,1,0)</f>
        <v/>
      </c>
      <c r="R1260" s="2">
        <f>R1259+IF(LEN($AB$1260)&gt;0,1,0)</f>
        <v/>
      </c>
      <c r="S1260" s="2">
        <f>S1259+IF(LEN($AC$1260)&gt;0,1,0)</f>
        <v/>
      </c>
      <c r="T1260" s="2">
        <f>T1259+IF(LEN($AD$1260)&gt;0,1,0)</f>
        <v/>
      </c>
      <c r="U1260" s="2">
        <f>U1259+IF(LEN($AE$1260)&gt;0,1,0)</f>
        <v/>
      </c>
      <c r="X1260" s="2">
        <f>IF(ISERROR($B$1260),"",IF(ISBLANK($B$1260),"",$B$1260))</f>
        <v/>
      </c>
      <c r="Y1260" s="2">
        <f>IF(ISERROR($C$1260),"",IF(ISBLANK($C$1260),"",$C$1260))</f>
        <v/>
      </c>
      <c r="Z1260" s="2">
        <f>IF(ISERROR($D$1260),"",IF(ISBLANK($D$1260),"",$D$1260))</f>
        <v/>
      </c>
      <c r="AA1260" s="2">
        <f>IF(ISERROR($E$1260),"",IF(ISBLANK($E$1260),"",$E$1260))</f>
        <v/>
      </c>
      <c r="AB1260" s="2">
        <f>IF(ISERROR($F$1260),"",IF(ISBLANK($F$1260),"",$F$1260))</f>
        <v/>
      </c>
      <c r="AC1260" s="2">
        <f>IF(ISERROR($G$1260),"",IF(ISBLANK($G$1260),"",$G$1260))</f>
        <v/>
      </c>
      <c r="AD1260" s="2">
        <f>IF(ISERROR($H$1260),"",IF(ISBLANK($H$1260),"",$H$1260))</f>
        <v/>
      </c>
      <c r="AE1260" s="2">
        <f>IF(ISERROR($I$1260),"",IF(ISBLANK($I$1260),"",$I$1260))</f>
        <v/>
      </c>
      <c r="AF1260" s="2">
        <f>IF(ISERROR($J$1260),"",IF(ISBLANK($J$1260),"",$J$1260))</f>
        <v/>
      </c>
      <c r="AG1260" s="2">
        <f>ISERROR($B$1260)*1+ISERROR($C$1260)*1+ISERROR($D$1260)*1+ISERROR($E$1260)*1+ISERROR($F$1260)*1+ISERROR($G$1260)*1+ISERROR($H$1260)*1+ISERROR($I$1260)*1+ISERROR($J$1260)*1</f>
        <v/>
      </c>
    </row>
    <row r="1261" ht="26" customHeight="1">
      <c r="B1261" s="35" t="n"/>
      <c r="C1261" s="29" t="n"/>
      <c r="D1261" s="29" t="n"/>
      <c r="E1261" s="29" t="n"/>
      <c r="F1261" s="29" t="n"/>
      <c r="G1261" s="29" t="n"/>
      <c r="H1261" s="29" t="n"/>
      <c r="I1261" s="29" t="n"/>
      <c r="J1261" s="29" t="n"/>
      <c r="K1261" s="19">
        <f>IF(AG1261&gt;0,"O Google leu como fórmula: digite de novo com ' na frente.","")</f>
        <v/>
      </c>
      <c r="N1261" s="2">
        <f>N1260+IF(LEN($X$1261)&gt;0,1,0)</f>
        <v/>
      </c>
      <c r="O1261" s="2">
        <f>O1260+IF(LEN($Y$1261)&gt;0,1,0)</f>
        <v/>
      </c>
      <c r="P1261" s="2">
        <f>P1260+IF(LEN($Z$1261)&gt;0,1,0)</f>
        <v/>
      </c>
      <c r="Q1261" s="2">
        <f>Q1260+IF(LEN($AA$1261)&gt;0,1,0)</f>
        <v/>
      </c>
      <c r="R1261" s="2">
        <f>R1260+IF(LEN($AB$1261)&gt;0,1,0)</f>
        <v/>
      </c>
      <c r="S1261" s="2">
        <f>S1260+IF(LEN($AC$1261)&gt;0,1,0)</f>
        <v/>
      </c>
      <c r="T1261" s="2">
        <f>T1260+IF(LEN($AD$1261)&gt;0,1,0)</f>
        <v/>
      </c>
      <c r="U1261" s="2">
        <f>U1260+IF(LEN($AE$1261)&gt;0,1,0)</f>
        <v/>
      </c>
      <c r="X1261" s="2">
        <f>IF(ISERROR($B$1261),"",IF(ISBLANK($B$1261),"",$B$1261))</f>
        <v/>
      </c>
      <c r="Y1261" s="2">
        <f>IF(ISERROR($C$1261),"",IF(ISBLANK($C$1261),"",$C$1261))</f>
        <v/>
      </c>
      <c r="Z1261" s="2">
        <f>IF(ISERROR($D$1261),"",IF(ISBLANK($D$1261),"",$D$1261))</f>
        <v/>
      </c>
      <c r="AA1261" s="2">
        <f>IF(ISERROR($E$1261),"",IF(ISBLANK($E$1261),"",$E$1261))</f>
        <v/>
      </c>
      <c r="AB1261" s="2">
        <f>IF(ISERROR($F$1261),"",IF(ISBLANK($F$1261),"",$F$1261))</f>
        <v/>
      </c>
      <c r="AC1261" s="2">
        <f>IF(ISERROR($G$1261),"",IF(ISBLANK($G$1261),"",$G$1261))</f>
        <v/>
      </c>
      <c r="AD1261" s="2">
        <f>IF(ISERROR($H$1261),"",IF(ISBLANK($H$1261),"",$H$1261))</f>
        <v/>
      </c>
      <c r="AE1261" s="2">
        <f>IF(ISERROR($I$1261),"",IF(ISBLANK($I$1261),"",$I$1261))</f>
        <v/>
      </c>
      <c r="AF1261" s="2">
        <f>IF(ISERROR($J$1261),"",IF(ISBLANK($J$1261),"",$J$1261))</f>
        <v/>
      </c>
      <c r="AG1261" s="2">
        <f>ISERROR($B$1261)*1+ISERROR($C$1261)*1+ISERROR($D$1261)*1+ISERROR($E$1261)*1+ISERROR($F$1261)*1+ISERROR($G$1261)*1+ISERROR($H$1261)*1+ISERROR($I$1261)*1+ISERROR($J$1261)*1</f>
        <v/>
      </c>
    </row>
    <row r="1262" ht="26" customHeight="1">
      <c r="B1262" s="33" t="n"/>
      <c r="C1262" s="4" t="n"/>
      <c r="D1262" s="4" t="n"/>
      <c r="E1262" s="4" t="n"/>
      <c r="F1262" s="4" t="n"/>
      <c r="G1262" s="4" t="n"/>
      <c r="H1262" s="4" t="n"/>
      <c r="I1262" s="4" t="n"/>
      <c r="J1262" s="4" t="n"/>
      <c r="K1262" s="19">
        <f>IF(AG1262&gt;0,"O Google leu como fórmula: digite de novo com ' na frente.","")</f>
        <v/>
      </c>
      <c r="N1262" s="2">
        <f>N1261+IF(LEN($X$1262)&gt;0,1,0)</f>
        <v/>
      </c>
      <c r="O1262" s="2">
        <f>O1261+IF(LEN($Y$1262)&gt;0,1,0)</f>
        <v/>
      </c>
      <c r="P1262" s="2">
        <f>P1261+IF(LEN($Z$1262)&gt;0,1,0)</f>
        <v/>
      </c>
      <c r="Q1262" s="2">
        <f>Q1261+IF(LEN($AA$1262)&gt;0,1,0)</f>
        <v/>
      </c>
      <c r="R1262" s="2">
        <f>R1261+IF(LEN($AB$1262)&gt;0,1,0)</f>
        <v/>
      </c>
      <c r="S1262" s="2">
        <f>S1261+IF(LEN($AC$1262)&gt;0,1,0)</f>
        <v/>
      </c>
      <c r="T1262" s="2">
        <f>T1261+IF(LEN($AD$1262)&gt;0,1,0)</f>
        <v/>
      </c>
      <c r="U1262" s="2">
        <f>U1261+IF(LEN($AE$1262)&gt;0,1,0)</f>
        <v/>
      </c>
      <c r="X1262" s="2">
        <f>IF(ISERROR($B$1262),"",IF(ISBLANK($B$1262),"",$B$1262))</f>
        <v/>
      </c>
      <c r="Y1262" s="2">
        <f>IF(ISERROR($C$1262),"",IF(ISBLANK($C$1262),"",$C$1262))</f>
        <v/>
      </c>
      <c r="Z1262" s="2">
        <f>IF(ISERROR($D$1262),"",IF(ISBLANK($D$1262),"",$D$1262))</f>
        <v/>
      </c>
      <c r="AA1262" s="2">
        <f>IF(ISERROR($E$1262),"",IF(ISBLANK($E$1262),"",$E$1262))</f>
        <v/>
      </c>
      <c r="AB1262" s="2">
        <f>IF(ISERROR($F$1262),"",IF(ISBLANK($F$1262),"",$F$1262))</f>
        <v/>
      </c>
      <c r="AC1262" s="2">
        <f>IF(ISERROR($G$1262),"",IF(ISBLANK($G$1262),"",$G$1262))</f>
        <v/>
      </c>
      <c r="AD1262" s="2">
        <f>IF(ISERROR($H$1262),"",IF(ISBLANK($H$1262),"",$H$1262))</f>
        <v/>
      </c>
      <c r="AE1262" s="2">
        <f>IF(ISERROR($I$1262),"",IF(ISBLANK($I$1262),"",$I$1262))</f>
        <v/>
      </c>
      <c r="AF1262" s="2">
        <f>IF(ISERROR($J$1262),"",IF(ISBLANK($J$1262),"",$J$1262))</f>
        <v/>
      </c>
      <c r="AG1262" s="2">
        <f>ISERROR($B$1262)*1+ISERROR($C$1262)*1+ISERROR($D$1262)*1+ISERROR($E$1262)*1+ISERROR($F$1262)*1+ISERROR($G$1262)*1+ISERROR($H$1262)*1+ISERROR($I$1262)*1+ISERROR($J$1262)*1</f>
        <v/>
      </c>
    </row>
    <row r="1263" ht="26" customHeight="1">
      <c r="B1263" s="35" t="n"/>
      <c r="C1263" s="29" t="n"/>
      <c r="D1263" s="29" t="n"/>
      <c r="E1263" s="29" t="n"/>
      <c r="F1263" s="29" t="n"/>
      <c r="G1263" s="29" t="n"/>
      <c r="H1263" s="29" t="n"/>
      <c r="I1263" s="29" t="n"/>
      <c r="J1263" s="29" t="n"/>
      <c r="K1263" s="19">
        <f>IF(AG1263&gt;0,"O Google leu como fórmula: digite de novo com ' na frente.","")</f>
        <v/>
      </c>
      <c r="N1263" s="2">
        <f>N1262+IF(LEN($X$1263)&gt;0,1,0)</f>
        <v/>
      </c>
      <c r="O1263" s="2">
        <f>O1262+IF(LEN($Y$1263)&gt;0,1,0)</f>
        <v/>
      </c>
      <c r="P1263" s="2">
        <f>P1262+IF(LEN($Z$1263)&gt;0,1,0)</f>
        <v/>
      </c>
      <c r="Q1263" s="2">
        <f>Q1262+IF(LEN($AA$1263)&gt;0,1,0)</f>
        <v/>
      </c>
      <c r="R1263" s="2">
        <f>R1262+IF(LEN($AB$1263)&gt;0,1,0)</f>
        <v/>
      </c>
      <c r="S1263" s="2">
        <f>S1262+IF(LEN($AC$1263)&gt;0,1,0)</f>
        <v/>
      </c>
      <c r="T1263" s="2">
        <f>T1262+IF(LEN($AD$1263)&gt;0,1,0)</f>
        <v/>
      </c>
      <c r="U1263" s="2">
        <f>U1262+IF(LEN($AE$1263)&gt;0,1,0)</f>
        <v/>
      </c>
      <c r="X1263" s="2">
        <f>IF(ISERROR($B$1263),"",IF(ISBLANK($B$1263),"",$B$1263))</f>
        <v/>
      </c>
      <c r="Y1263" s="2">
        <f>IF(ISERROR($C$1263),"",IF(ISBLANK($C$1263),"",$C$1263))</f>
        <v/>
      </c>
      <c r="Z1263" s="2">
        <f>IF(ISERROR($D$1263),"",IF(ISBLANK($D$1263),"",$D$1263))</f>
        <v/>
      </c>
      <c r="AA1263" s="2">
        <f>IF(ISERROR($E$1263),"",IF(ISBLANK($E$1263),"",$E$1263))</f>
        <v/>
      </c>
      <c r="AB1263" s="2">
        <f>IF(ISERROR($F$1263),"",IF(ISBLANK($F$1263),"",$F$1263))</f>
        <v/>
      </c>
      <c r="AC1263" s="2">
        <f>IF(ISERROR($G$1263),"",IF(ISBLANK($G$1263),"",$G$1263))</f>
        <v/>
      </c>
      <c r="AD1263" s="2">
        <f>IF(ISERROR($H$1263),"",IF(ISBLANK($H$1263),"",$H$1263))</f>
        <v/>
      </c>
      <c r="AE1263" s="2">
        <f>IF(ISERROR($I$1263),"",IF(ISBLANK($I$1263),"",$I$1263))</f>
        <v/>
      </c>
      <c r="AF1263" s="2">
        <f>IF(ISERROR($J$1263),"",IF(ISBLANK($J$1263),"",$J$1263))</f>
        <v/>
      </c>
      <c r="AG1263" s="2">
        <f>ISERROR($B$1263)*1+ISERROR($C$1263)*1+ISERROR($D$1263)*1+ISERROR($E$1263)*1+ISERROR($F$1263)*1+ISERROR($G$1263)*1+ISERROR($H$1263)*1+ISERROR($I$1263)*1+ISERROR($J$1263)*1</f>
        <v/>
      </c>
    </row>
    <row r="1264" ht="26" customHeight="1">
      <c r="B1264" s="33" t="n"/>
      <c r="C1264" s="4" t="n"/>
      <c r="D1264" s="4" t="n"/>
      <c r="E1264" s="4" t="n"/>
      <c r="F1264" s="4" t="n"/>
      <c r="G1264" s="4" t="n"/>
      <c r="H1264" s="4" t="n"/>
      <c r="I1264" s="4" t="n"/>
      <c r="J1264" s="4" t="n"/>
      <c r="K1264" s="19">
        <f>IF(AG1264&gt;0,"O Google leu como fórmula: digite de novo com ' na frente.","")</f>
        <v/>
      </c>
      <c r="N1264" s="2">
        <f>N1263+IF(LEN($X$1264)&gt;0,1,0)</f>
        <v/>
      </c>
      <c r="O1264" s="2">
        <f>O1263+IF(LEN($Y$1264)&gt;0,1,0)</f>
        <v/>
      </c>
      <c r="P1264" s="2">
        <f>P1263+IF(LEN($Z$1264)&gt;0,1,0)</f>
        <v/>
      </c>
      <c r="Q1264" s="2">
        <f>Q1263+IF(LEN($AA$1264)&gt;0,1,0)</f>
        <v/>
      </c>
      <c r="R1264" s="2">
        <f>R1263+IF(LEN($AB$1264)&gt;0,1,0)</f>
        <v/>
      </c>
      <c r="S1264" s="2">
        <f>S1263+IF(LEN($AC$1264)&gt;0,1,0)</f>
        <v/>
      </c>
      <c r="T1264" s="2">
        <f>T1263+IF(LEN($AD$1264)&gt;0,1,0)</f>
        <v/>
      </c>
      <c r="U1264" s="2">
        <f>U1263+IF(LEN($AE$1264)&gt;0,1,0)</f>
        <v/>
      </c>
      <c r="X1264" s="2">
        <f>IF(ISERROR($B$1264),"",IF(ISBLANK($B$1264),"",$B$1264))</f>
        <v/>
      </c>
      <c r="Y1264" s="2">
        <f>IF(ISERROR($C$1264),"",IF(ISBLANK($C$1264),"",$C$1264))</f>
        <v/>
      </c>
      <c r="Z1264" s="2">
        <f>IF(ISERROR($D$1264),"",IF(ISBLANK($D$1264),"",$D$1264))</f>
        <v/>
      </c>
      <c r="AA1264" s="2">
        <f>IF(ISERROR($E$1264),"",IF(ISBLANK($E$1264),"",$E$1264))</f>
        <v/>
      </c>
      <c r="AB1264" s="2">
        <f>IF(ISERROR($F$1264),"",IF(ISBLANK($F$1264),"",$F$1264))</f>
        <v/>
      </c>
      <c r="AC1264" s="2">
        <f>IF(ISERROR($G$1264),"",IF(ISBLANK($G$1264),"",$G$1264))</f>
        <v/>
      </c>
      <c r="AD1264" s="2">
        <f>IF(ISERROR($H$1264),"",IF(ISBLANK($H$1264),"",$H$1264))</f>
        <v/>
      </c>
      <c r="AE1264" s="2">
        <f>IF(ISERROR($I$1264),"",IF(ISBLANK($I$1264),"",$I$1264))</f>
        <v/>
      </c>
      <c r="AF1264" s="2">
        <f>IF(ISERROR($J$1264),"",IF(ISBLANK($J$1264),"",$J$1264))</f>
        <v/>
      </c>
      <c r="AG1264" s="2">
        <f>ISERROR($B$1264)*1+ISERROR($C$1264)*1+ISERROR($D$1264)*1+ISERROR($E$1264)*1+ISERROR($F$1264)*1+ISERROR($G$1264)*1+ISERROR($H$1264)*1+ISERROR($I$1264)*1+ISERROR($J$1264)*1</f>
        <v/>
      </c>
    </row>
    <row r="1265" ht="26" customHeight="1">
      <c r="B1265" s="35" t="n"/>
      <c r="C1265" s="29" t="n"/>
      <c r="D1265" s="29" t="n"/>
      <c r="E1265" s="29" t="n"/>
      <c r="F1265" s="29" t="n"/>
      <c r="G1265" s="29" t="n"/>
      <c r="H1265" s="29" t="n"/>
      <c r="I1265" s="29" t="n"/>
      <c r="J1265" s="29" t="n"/>
      <c r="K1265" s="19">
        <f>IF(AG1265&gt;0,"O Google leu como fórmula: digite de novo com ' na frente.","")</f>
        <v/>
      </c>
      <c r="N1265" s="2">
        <f>N1264+IF(LEN($X$1265)&gt;0,1,0)</f>
        <v/>
      </c>
      <c r="O1265" s="2">
        <f>O1264+IF(LEN($Y$1265)&gt;0,1,0)</f>
        <v/>
      </c>
      <c r="P1265" s="2">
        <f>P1264+IF(LEN($Z$1265)&gt;0,1,0)</f>
        <v/>
      </c>
      <c r="Q1265" s="2">
        <f>Q1264+IF(LEN($AA$1265)&gt;0,1,0)</f>
        <v/>
      </c>
      <c r="R1265" s="2">
        <f>R1264+IF(LEN($AB$1265)&gt;0,1,0)</f>
        <v/>
      </c>
      <c r="S1265" s="2">
        <f>S1264+IF(LEN($AC$1265)&gt;0,1,0)</f>
        <v/>
      </c>
      <c r="T1265" s="2">
        <f>T1264+IF(LEN($AD$1265)&gt;0,1,0)</f>
        <v/>
      </c>
      <c r="U1265" s="2">
        <f>U1264+IF(LEN($AE$1265)&gt;0,1,0)</f>
        <v/>
      </c>
      <c r="X1265" s="2">
        <f>IF(ISERROR($B$1265),"",IF(ISBLANK($B$1265),"",$B$1265))</f>
        <v/>
      </c>
      <c r="Y1265" s="2">
        <f>IF(ISERROR($C$1265),"",IF(ISBLANK($C$1265),"",$C$1265))</f>
        <v/>
      </c>
      <c r="Z1265" s="2">
        <f>IF(ISERROR($D$1265),"",IF(ISBLANK($D$1265),"",$D$1265))</f>
        <v/>
      </c>
      <c r="AA1265" s="2">
        <f>IF(ISERROR($E$1265),"",IF(ISBLANK($E$1265),"",$E$1265))</f>
        <v/>
      </c>
      <c r="AB1265" s="2">
        <f>IF(ISERROR($F$1265),"",IF(ISBLANK($F$1265),"",$F$1265))</f>
        <v/>
      </c>
      <c r="AC1265" s="2">
        <f>IF(ISERROR($G$1265),"",IF(ISBLANK($G$1265),"",$G$1265))</f>
        <v/>
      </c>
      <c r="AD1265" s="2">
        <f>IF(ISERROR($H$1265),"",IF(ISBLANK($H$1265),"",$H$1265))</f>
        <v/>
      </c>
      <c r="AE1265" s="2">
        <f>IF(ISERROR($I$1265),"",IF(ISBLANK($I$1265),"",$I$1265))</f>
        <v/>
      </c>
      <c r="AF1265" s="2">
        <f>IF(ISERROR($J$1265),"",IF(ISBLANK($J$1265),"",$J$1265))</f>
        <v/>
      </c>
      <c r="AG1265" s="2">
        <f>ISERROR($B$1265)*1+ISERROR($C$1265)*1+ISERROR($D$1265)*1+ISERROR($E$1265)*1+ISERROR($F$1265)*1+ISERROR($G$1265)*1+ISERROR($H$1265)*1+ISERROR($I$1265)*1+ISERROR($J$1265)*1</f>
        <v/>
      </c>
    </row>
    <row r="1266" ht="26" customHeight="1">
      <c r="B1266" s="33" t="n"/>
      <c r="C1266" s="4" t="n"/>
      <c r="D1266" s="4" t="n"/>
      <c r="E1266" s="4" t="n"/>
      <c r="F1266" s="4" t="n"/>
      <c r="G1266" s="4" t="n"/>
      <c r="H1266" s="4" t="n"/>
      <c r="I1266" s="4" t="n"/>
      <c r="J1266" s="4" t="n"/>
      <c r="K1266" s="19">
        <f>IF(AG1266&gt;0,"O Google leu como fórmula: digite de novo com ' na frente.","")</f>
        <v/>
      </c>
      <c r="N1266" s="2">
        <f>N1265+IF(LEN($X$1266)&gt;0,1,0)</f>
        <v/>
      </c>
      <c r="O1266" s="2">
        <f>O1265+IF(LEN($Y$1266)&gt;0,1,0)</f>
        <v/>
      </c>
      <c r="P1266" s="2">
        <f>P1265+IF(LEN($Z$1266)&gt;0,1,0)</f>
        <v/>
      </c>
      <c r="Q1266" s="2">
        <f>Q1265+IF(LEN($AA$1266)&gt;0,1,0)</f>
        <v/>
      </c>
      <c r="R1266" s="2">
        <f>R1265+IF(LEN($AB$1266)&gt;0,1,0)</f>
        <v/>
      </c>
      <c r="S1266" s="2">
        <f>S1265+IF(LEN($AC$1266)&gt;0,1,0)</f>
        <v/>
      </c>
      <c r="T1266" s="2">
        <f>T1265+IF(LEN($AD$1266)&gt;0,1,0)</f>
        <v/>
      </c>
      <c r="U1266" s="2">
        <f>U1265+IF(LEN($AE$1266)&gt;0,1,0)</f>
        <v/>
      </c>
      <c r="X1266" s="2">
        <f>IF(ISERROR($B$1266),"",IF(ISBLANK($B$1266),"",$B$1266))</f>
        <v/>
      </c>
      <c r="Y1266" s="2">
        <f>IF(ISERROR($C$1266),"",IF(ISBLANK($C$1266),"",$C$1266))</f>
        <v/>
      </c>
      <c r="Z1266" s="2">
        <f>IF(ISERROR($D$1266),"",IF(ISBLANK($D$1266),"",$D$1266))</f>
        <v/>
      </c>
      <c r="AA1266" s="2">
        <f>IF(ISERROR($E$1266),"",IF(ISBLANK($E$1266),"",$E$1266))</f>
        <v/>
      </c>
      <c r="AB1266" s="2">
        <f>IF(ISERROR($F$1266),"",IF(ISBLANK($F$1266),"",$F$1266))</f>
        <v/>
      </c>
      <c r="AC1266" s="2">
        <f>IF(ISERROR($G$1266),"",IF(ISBLANK($G$1266),"",$G$1266))</f>
        <v/>
      </c>
      <c r="AD1266" s="2">
        <f>IF(ISERROR($H$1266),"",IF(ISBLANK($H$1266),"",$H$1266))</f>
        <v/>
      </c>
      <c r="AE1266" s="2">
        <f>IF(ISERROR($I$1266),"",IF(ISBLANK($I$1266),"",$I$1266))</f>
        <v/>
      </c>
      <c r="AF1266" s="2">
        <f>IF(ISERROR($J$1266),"",IF(ISBLANK($J$1266),"",$J$1266))</f>
        <v/>
      </c>
      <c r="AG1266" s="2">
        <f>ISERROR($B$1266)*1+ISERROR($C$1266)*1+ISERROR($D$1266)*1+ISERROR($E$1266)*1+ISERROR($F$1266)*1+ISERROR($G$1266)*1+ISERROR($H$1266)*1+ISERROR($I$1266)*1+ISERROR($J$1266)*1</f>
        <v/>
      </c>
    </row>
    <row r="1267" ht="26" customHeight="1">
      <c r="B1267" s="35" t="n"/>
      <c r="C1267" s="29" t="n"/>
      <c r="D1267" s="29" t="n"/>
      <c r="E1267" s="29" t="n"/>
      <c r="F1267" s="29" t="n"/>
      <c r="G1267" s="29" t="n"/>
      <c r="H1267" s="29" t="n"/>
      <c r="I1267" s="29" t="n"/>
      <c r="J1267" s="29" t="n"/>
      <c r="K1267" s="19">
        <f>IF(AG1267&gt;0,"O Google leu como fórmula: digite de novo com ' na frente.","")</f>
        <v/>
      </c>
      <c r="N1267" s="2">
        <f>N1266+IF(LEN($X$1267)&gt;0,1,0)</f>
        <v/>
      </c>
      <c r="O1267" s="2">
        <f>O1266+IF(LEN($Y$1267)&gt;0,1,0)</f>
        <v/>
      </c>
      <c r="P1267" s="2">
        <f>P1266+IF(LEN($Z$1267)&gt;0,1,0)</f>
        <v/>
      </c>
      <c r="Q1267" s="2">
        <f>Q1266+IF(LEN($AA$1267)&gt;0,1,0)</f>
        <v/>
      </c>
      <c r="R1267" s="2">
        <f>R1266+IF(LEN($AB$1267)&gt;0,1,0)</f>
        <v/>
      </c>
      <c r="S1267" s="2">
        <f>S1266+IF(LEN($AC$1267)&gt;0,1,0)</f>
        <v/>
      </c>
      <c r="T1267" s="2">
        <f>T1266+IF(LEN($AD$1267)&gt;0,1,0)</f>
        <v/>
      </c>
      <c r="U1267" s="2">
        <f>U1266+IF(LEN($AE$1267)&gt;0,1,0)</f>
        <v/>
      </c>
      <c r="X1267" s="2">
        <f>IF(ISERROR($B$1267),"",IF(ISBLANK($B$1267),"",$B$1267))</f>
        <v/>
      </c>
      <c r="Y1267" s="2">
        <f>IF(ISERROR($C$1267),"",IF(ISBLANK($C$1267),"",$C$1267))</f>
        <v/>
      </c>
      <c r="Z1267" s="2">
        <f>IF(ISERROR($D$1267),"",IF(ISBLANK($D$1267),"",$D$1267))</f>
        <v/>
      </c>
      <c r="AA1267" s="2">
        <f>IF(ISERROR($E$1267),"",IF(ISBLANK($E$1267),"",$E$1267))</f>
        <v/>
      </c>
      <c r="AB1267" s="2">
        <f>IF(ISERROR($F$1267),"",IF(ISBLANK($F$1267),"",$F$1267))</f>
        <v/>
      </c>
      <c r="AC1267" s="2">
        <f>IF(ISERROR($G$1267),"",IF(ISBLANK($G$1267),"",$G$1267))</f>
        <v/>
      </c>
      <c r="AD1267" s="2">
        <f>IF(ISERROR($H$1267),"",IF(ISBLANK($H$1267),"",$H$1267))</f>
        <v/>
      </c>
      <c r="AE1267" s="2">
        <f>IF(ISERROR($I$1267),"",IF(ISBLANK($I$1267),"",$I$1267))</f>
        <v/>
      </c>
      <c r="AF1267" s="2">
        <f>IF(ISERROR($J$1267),"",IF(ISBLANK($J$1267),"",$J$1267))</f>
        <v/>
      </c>
      <c r="AG1267" s="2">
        <f>ISERROR($B$1267)*1+ISERROR($C$1267)*1+ISERROR($D$1267)*1+ISERROR($E$1267)*1+ISERROR($F$1267)*1+ISERROR($G$1267)*1+ISERROR($H$1267)*1+ISERROR($I$1267)*1+ISERROR($J$1267)*1</f>
        <v/>
      </c>
    </row>
    <row r="1268" ht="26" customHeight="1">
      <c r="B1268" s="33" t="n"/>
      <c r="C1268" s="4" t="n"/>
      <c r="D1268" s="4" t="n"/>
      <c r="E1268" s="4" t="n"/>
      <c r="F1268" s="4" t="n"/>
      <c r="G1268" s="4" t="n"/>
      <c r="H1268" s="4" t="n"/>
      <c r="I1268" s="4" t="n"/>
      <c r="J1268" s="4" t="n"/>
      <c r="K1268" s="19">
        <f>IF(AG1268&gt;0,"O Google leu como fórmula: digite de novo com ' na frente.","")</f>
        <v/>
      </c>
      <c r="N1268" s="2">
        <f>N1267+IF(LEN($X$1268)&gt;0,1,0)</f>
        <v/>
      </c>
      <c r="O1268" s="2">
        <f>O1267+IF(LEN($Y$1268)&gt;0,1,0)</f>
        <v/>
      </c>
      <c r="P1268" s="2">
        <f>P1267+IF(LEN($Z$1268)&gt;0,1,0)</f>
        <v/>
      </c>
      <c r="Q1268" s="2">
        <f>Q1267+IF(LEN($AA$1268)&gt;0,1,0)</f>
        <v/>
      </c>
      <c r="R1268" s="2">
        <f>R1267+IF(LEN($AB$1268)&gt;0,1,0)</f>
        <v/>
      </c>
      <c r="S1268" s="2">
        <f>S1267+IF(LEN($AC$1268)&gt;0,1,0)</f>
        <v/>
      </c>
      <c r="T1268" s="2">
        <f>T1267+IF(LEN($AD$1268)&gt;0,1,0)</f>
        <v/>
      </c>
      <c r="U1268" s="2">
        <f>U1267+IF(LEN($AE$1268)&gt;0,1,0)</f>
        <v/>
      </c>
      <c r="X1268" s="2">
        <f>IF(ISERROR($B$1268),"",IF(ISBLANK($B$1268),"",$B$1268))</f>
        <v/>
      </c>
      <c r="Y1268" s="2">
        <f>IF(ISERROR($C$1268),"",IF(ISBLANK($C$1268),"",$C$1268))</f>
        <v/>
      </c>
      <c r="Z1268" s="2">
        <f>IF(ISERROR($D$1268),"",IF(ISBLANK($D$1268),"",$D$1268))</f>
        <v/>
      </c>
      <c r="AA1268" s="2">
        <f>IF(ISERROR($E$1268),"",IF(ISBLANK($E$1268),"",$E$1268))</f>
        <v/>
      </c>
      <c r="AB1268" s="2">
        <f>IF(ISERROR($F$1268),"",IF(ISBLANK($F$1268),"",$F$1268))</f>
        <v/>
      </c>
      <c r="AC1268" s="2">
        <f>IF(ISERROR($G$1268),"",IF(ISBLANK($G$1268),"",$G$1268))</f>
        <v/>
      </c>
      <c r="AD1268" s="2">
        <f>IF(ISERROR($H$1268),"",IF(ISBLANK($H$1268),"",$H$1268))</f>
        <v/>
      </c>
      <c r="AE1268" s="2">
        <f>IF(ISERROR($I$1268),"",IF(ISBLANK($I$1268),"",$I$1268))</f>
        <v/>
      </c>
      <c r="AF1268" s="2">
        <f>IF(ISERROR($J$1268),"",IF(ISBLANK($J$1268),"",$J$1268))</f>
        <v/>
      </c>
      <c r="AG1268" s="2">
        <f>ISERROR($B$1268)*1+ISERROR($C$1268)*1+ISERROR($D$1268)*1+ISERROR($E$1268)*1+ISERROR($F$1268)*1+ISERROR($G$1268)*1+ISERROR($H$1268)*1+ISERROR($I$1268)*1+ISERROR($J$1268)*1</f>
        <v/>
      </c>
    </row>
  </sheetData>
  <mergeCells count="1124">
    <mergeCell ref="K233:L233"/>
    <mergeCell ref="K338:L338"/>
    <mergeCell ref="K227:L227"/>
    <mergeCell ref="K531:L531"/>
    <mergeCell ref="K525:L525"/>
    <mergeCell ref="K792:L792"/>
    <mergeCell ref="K767:L767"/>
    <mergeCell ref="K1261:L1261"/>
    <mergeCell ref="K1065:L1065"/>
    <mergeCell ref="K177:L177"/>
    <mergeCell ref="K444:L444"/>
    <mergeCell ref="K33:L33"/>
    <mergeCell ref="K475:L475"/>
    <mergeCell ref="K104:L104"/>
    <mergeCell ref="K742:L742"/>
    <mergeCell ref="K1028:L1028"/>
    <mergeCell ref="K536:L536"/>
    <mergeCell ref="K340:L340"/>
    <mergeCell ref="K978:L978"/>
    <mergeCell ref="K533:L533"/>
    <mergeCell ref="K831:L831"/>
    <mergeCell ref="K1092:L1092"/>
    <mergeCell ref="K508:L508"/>
    <mergeCell ref="K1263:L1263"/>
    <mergeCell ref="K35:L35"/>
    <mergeCell ref="K302:L302"/>
    <mergeCell ref="K502:L502"/>
    <mergeCell ref="K333:L333"/>
    <mergeCell ref="K744:L744"/>
    <mergeCell ref="K806:L806"/>
    <mergeCell ref="K836:L836"/>
    <mergeCell ref="K252:L252"/>
    <mergeCell ref="K99:L99"/>
    <mergeCell ref="K366:L366"/>
    <mergeCell ref="K1093:L1093"/>
    <mergeCell ref="K180:L180"/>
    <mergeCell ref="K155:L155"/>
    <mergeCell ref="K391:L391"/>
    <mergeCell ref="K689:L689"/>
    <mergeCell ref="K991:L991"/>
    <mergeCell ref="K480:L480"/>
    <mergeCell ref="K1118:L1118"/>
    <mergeCell ref="K157:L157"/>
    <mergeCell ref="K328:L328"/>
    <mergeCell ref="K455:L455"/>
    <mergeCell ref="K626:L626"/>
    <mergeCell ref="K526:L526"/>
    <mergeCell ref="K691:L691"/>
    <mergeCell ref="K862:L862"/>
    <mergeCell ref="K1055:L1055"/>
    <mergeCell ref="K989:L989"/>
    <mergeCell ref="K101:L101"/>
    <mergeCell ref="K172:L172"/>
    <mergeCell ref="A121:H121"/>
    <mergeCell ref="K28:L28"/>
    <mergeCell ref="K849:L849"/>
    <mergeCell ref="K221:L221"/>
    <mergeCell ref="K392:L392"/>
    <mergeCell ref="K976:L976"/>
    <mergeCell ref="K215:L215"/>
    <mergeCell ref="K1147:L1147"/>
    <mergeCell ref="K457:L457"/>
    <mergeCell ref="K1212:L1212"/>
    <mergeCell ref="K1218:L1218"/>
    <mergeCell ref="K755:L755"/>
    <mergeCell ref="K1119:L1119"/>
    <mergeCell ref="K1162:L1162"/>
    <mergeCell ref="K913:L913"/>
    <mergeCell ref="K92:L92"/>
    <mergeCell ref="K1211:L1211"/>
    <mergeCell ref="K30:L30"/>
    <mergeCell ref="K152:L152"/>
    <mergeCell ref="K223:L223"/>
    <mergeCell ref="K394:L394"/>
    <mergeCell ref="K1265:L1265"/>
    <mergeCell ref="K521:L521"/>
    <mergeCell ref="K692:L692"/>
    <mergeCell ref="K863:L863"/>
    <mergeCell ref="K1224:L1224"/>
    <mergeCell ref="K977:L977"/>
    <mergeCell ref="K1213:L1213"/>
    <mergeCell ref="K248:L248"/>
    <mergeCell ref="K247:L247"/>
    <mergeCell ref="K1073:L1073"/>
    <mergeCell ref="K185:L185"/>
    <mergeCell ref="K1244:L1244"/>
    <mergeCell ref="K41:L41"/>
    <mergeCell ref="K483:L483"/>
    <mergeCell ref="K610:L610"/>
    <mergeCell ref="K106:L106"/>
    <mergeCell ref="K277:L277"/>
    <mergeCell ref="K1165:L1165"/>
    <mergeCell ref="K404:L404"/>
    <mergeCell ref="K768:L768"/>
    <mergeCell ref="K839:L839"/>
    <mergeCell ref="K944:L944"/>
    <mergeCell ref="K56:L56"/>
    <mergeCell ref="K833:L833"/>
    <mergeCell ref="K249:L249"/>
    <mergeCell ref="K1004:L1004"/>
    <mergeCell ref="K105:L105"/>
    <mergeCell ref="K243:L243"/>
    <mergeCell ref="K43:L43"/>
    <mergeCell ref="K547:L547"/>
    <mergeCell ref="K170:L170"/>
    <mergeCell ref="K341:L341"/>
    <mergeCell ref="K534:L534"/>
    <mergeCell ref="K639:L639"/>
    <mergeCell ref="K783:L783"/>
    <mergeCell ref="K577:L577"/>
    <mergeCell ref="K808:L808"/>
    <mergeCell ref="K770:L770"/>
    <mergeCell ref="K316:L316"/>
    <mergeCell ref="K881:L881"/>
    <mergeCell ref="K1050:L1050"/>
    <mergeCell ref="K868:L868"/>
    <mergeCell ref="K1068:L1068"/>
    <mergeCell ref="K552:L552"/>
    <mergeCell ref="K107:L107"/>
    <mergeCell ref="K549:L549"/>
    <mergeCell ref="K745:L745"/>
    <mergeCell ref="K405:L405"/>
    <mergeCell ref="K847:L847"/>
    <mergeCell ref="K1104:L1104"/>
    <mergeCell ref="K1114:L1114"/>
    <mergeCell ref="K837:L837"/>
    <mergeCell ref="K641:L641"/>
    <mergeCell ref="K1108:L1108"/>
    <mergeCell ref="K834:L834"/>
    <mergeCell ref="K1266:L1266"/>
    <mergeCell ref="K1070:L1070"/>
    <mergeCell ref="K407:L407"/>
    <mergeCell ref="K705:L705"/>
    <mergeCell ref="K1136:L1136"/>
    <mergeCell ref="K1208:L1208"/>
    <mergeCell ref="K463:L463"/>
    <mergeCell ref="K183:L183"/>
    <mergeCell ref="K997:L997"/>
    <mergeCell ref="K419:L419"/>
    <mergeCell ref="K717:L717"/>
    <mergeCell ref="K984:L984"/>
    <mergeCell ref="K1233:L1233"/>
    <mergeCell ref="K198:L198"/>
    <mergeCell ref="K54:L54"/>
    <mergeCell ref="K763:L763"/>
    <mergeCell ref="K934:L934"/>
    <mergeCell ref="K1061:L1061"/>
    <mergeCell ref="K173:L173"/>
    <mergeCell ref="K557:L557"/>
    <mergeCell ref="K29:L29"/>
    <mergeCell ref="K244:L244"/>
    <mergeCell ref="K271:L271"/>
    <mergeCell ref="K542:L542"/>
    <mergeCell ref="K781:L781"/>
    <mergeCell ref="K852:L852"/>
    <mergeCell ref="K855:L855"/>
    <mergeCell ref="K458:L458"/>
    <mergeCell ref="K262:L262"/>
    <mergeCell ref="K529:L529"/>
    <mergeCell ref="K1048:L1048"/>
    <mergeCell ref="K523:L523"/>
    <mergeCell ref="K827:L827"/>
    <mergeCell ref="K44:L44"/>
    <mergeCell ref="K765:L765"/>
    <mergeCell ref="K821:L821"/>
    <mergeCell ref="K992:L992"/>
    <mergeCell ref="K998:L998"/>
    <mergeCell ref="K919:L919"/>
    <mergeCell ref="K31:L31"/>
    <mergeCell ref="K473:L473"/>
    <mergeCell ref="K273:L273"/>
    <mergeCell ref="K857:L857"/>
    <mergeCell ref="K1063:L1063"/>
    <mergeCell ref="K571:L571"/>
    <mergeCell ref="K1150:L1150"/>
    <mergeCell ref="K1221:L1221"/>
    <mergeCell ref="K758:L758"/>
    <mergeCell ref="K856:L856"/>
    <mergeCell ref="K1219:L1219"/>
    <mergeCell ref="K331:L331"/>
    <mergeCell ref="K524:L524"/>
    <mergeCell ref="K176:L176"/>
    <mergeCell ref="K347:L347"/>
    <mergeCell ref="K97:L97"/>
    <mergeCell ref="K268:L268"/>
    <mergeCell ref="K854:L854"/>
    <mergeCell ref="K710:L710"/>
    <mergeCell ref="K191:L191"/>
    <mergeCell ref="K1139:L1139"/>
    <mergeCell ref="K476:L476"/>
    <mergeCell ref="K647:L647"/>
    <mergeCell ref="K57:L57"/>
    <mergeCell ref="K712:L712"/>
    <mergeCell ref="K128:L128"/>
    <mergeCell ref="K184:L184"/>
    <mergeCell ref="A6:I6"/>
    <mergeCell ref="K883:L883"/>
    <mergeCell ref="K1076:L1076"/>
    <mergeCell ref="K486:L486"/>
    <mergeCell ref="K870:L870"/>
    <mergeCell ref="K171:L171"/>
    <mergeCell ref="K342:L342"/>
    <mergeCell ref="K242:L242"/>
    <mergeCell ref="K413:L413"/>
    <mergeCell ref="K1168:L1168"/>
    <mergeCell ref="K478:L478"/>
    <mergeCell ref="K649:L649"/>
    <mergeCell ref="K820:L820"/>
    <mergeCell ref="K776:L776"/>
    <mergeCell ref="K947:L947"/>
    <mergeCell ref="K357:L357"/>
    <mergeCell ref="K1134:L1134"/>
    <mergeCell ref="K428:L428"/>
    <mergeCell ref="K550:L550"/>
    <mergeCell ref="K1232:L1232"/>
    <mergeCell ref="K344:L344"/>
    <mergeCell ref="K786:L786"/>
    <mergeCell ref="K415:L415"/>
    <mergeCell ref="K1170:L1170"/>
    <mergeCell ref="K713:L713"/>
    <mergeCell ref="K884:L884"/>
    <mergeCell ref="K840:L840"/>
    <mergeCell ref="K878:L878"/>
    <mergeCell ref="K949:L949"/>
    <mergeCell ref="K1011:L1011"/>
    <mergeCell ref="K1120:L1120"/>
    <mergeCell ref="K1145:L1145"/>
    <mergeCell ref="K1182:L1182"/>
    <mergeCell ref="K110:L110"/>
    <mergeCell ref="K286:L286"/>
    <mergeCell ref="K644:L644"/>
    <mergeCell ref="A466:J466"/>
    <mergeCell ref="K1209:L1209"/>
    <mergeCell ref="K738:L738"/>
    <mergeCell ref="K174:L174"/>
    <mergeCell ref="K690:L690"/>
    <mergeCell ref="K410:L410"/>
    <mergeCell ref="K75:L75"/>
    <mergeCell ref="K504:L504"/>
    <mergeCell ref="K802:L802"/>
    <mergeCell ref="K596:L596"/>
    <mergeCell ref="K12:L12"/>
    <mergeCell ref="K789:L789"/>
    <mergeCell ref="K1025:L1025"/>
    <mergeCell ref="K270:L270"/>
    <mergeCell ref="K326:L326"/>
    <mergeCell ref="K497:L497"/>
    <mergeCell ref="K568:L568"/>
    <mergeCell ref="K362:L362"/>
    <mergeCell ref="K245:L245"/>
    <mergeCell ref="K1000:L1000"/>
    <mergeCell ref="K660:L660"/>
    <mergeCell ref="K14:L14"/>
    <mergeCell ref="K70:L70"/>
    <mergeCell ref="K337:L337"/>
    <mergeCell ref="K312:L312"/>
    <mergeCell ref="K791:L791"/>
    <mergeCell ref="K635:L635"/>
    <mergeCell ref="K1089:L1089"/>
    <mergeCell ref="K573:L573"/>
    <mergeCell ref="K877:L877"/>
    <mergeCell ref="K299:L299"/>
    <mergeCell ref="K570:L570"/>
    <mergeCell ref="K766:L766"/>
    <mergeCell ref="K293:L293"/>
    <mergeCell ref="K597:L597"/>
    <mergeCell ref="K871:L871"/>
    <mergeCell ref="K1064:L1064"/>
    <mergeCell ref="K1235:L1235"/>
    <mergeCell ref="K103:L103"/>
    <mergeCell ref="K1100:L1100"/>
    <mergeCell ref="K401:L401"/>
    <mergeCell ref="K572:L572"/>
    <mergeCell ref="K843:L843"/>
    <mergeCell ref="K314:L314"/>
    <mergeCell ref="K1091:L1091"/>
    <mergeCell ref="K637:L637"/>
    <mergeCell ref="K1153:L1153"/>
    <mergeCell ref="K599:L599"/>
    <mergeCell ref="K1066:L1066"/>
    <mergeCell ref="K1237:L1237"/>
    <mergeCell ref="K167:L167"/>
    <mergeCell ref="K897:L897"/>
    <mergeCell ref="K1164:L1164"/>
    <mergeCell ref="K403:L403"/>
    <mergeCell ref="K574:L574"/>
    <mergeCell ref="K1003:L1003"/>
    <mergeCell ref="K937:L937"/>
    <mergeCell ref="K217:L217"/>
    <mergeCell ref="K1095:L1095"/>
    <mergeCell ref="K192:L192"/>
    <mergeCell ref="A696:J696"/>
    <mergeCell ref="K861:L861"/>
    <mergeCell ref="K129:L129"/>
    <mergeCell ref="K1126:L1126"/>
    <mergeCell ref="K1082:L1082"/>
    <mergeCell ref="K194:L194"/>
    <mergeCell ref="K1253:L1253"/>
    <mergeCell ref="K50:L50"/>
    <mergeCell ref="K492:L492"/>
    <mergeCell ref="K292:L292"/>
    <mergeCell ref="K1240:L1240"/>
    <mergeCell ref="K181:L181"/>
    <mergeCell ref="K479:L479"/>
    <mergeCell ref="K650:L650"/>
    <mergeCell ref="K777:L777"/>
    <mergeCell ref="K948:L948"/>
    <mergeCell ref="K848:L848"/>
    <mergeCell ref="K131:L131"/>
    <mergeCell ref="K1019:L1019"/>
    <mergeCell ref="K1013:L1013"/>
    <mergeCell ref="K258:L258"/>
    <mergeCell ref="K58:L58"/>
    <mergeCell ref="K307:L307"/>
    <mergeCell ref="K429:L429"/>
    <mergeCell ref="K52:L52"/>
    <mergeCell ref="K494:L494"/>
    <mergeCell ref="K556:L556"/>
    <mergeCell ref="K1084:L1084"/>
    <mergeCell ref="K1184:L1184"/>
    <mergeCell ref="K543:L543"/>
    <mergeCell ref="K592:L592"/>
    <mergeCell ref="K481:L481"/>
    <mergeCell ref="K714:L714"/>
    <mergeCell ref="K779:L779"/>
    <mergeCell ref="K195:L195"/>
    <mergeCell ref="K950:L950"/>
    <mergeCell ref="K1077:L1077"/>
    <mergeCell ref="K493:L493"/>
    <mergeCell ref="K1192:L1192"/>
    <mergeCell ref="K260:L260"/>
    <mergeCell ref="K431:L431"/>
    <mergeCell ref="K287:L287"/>
    <mergeCell ref="K558:L558"/>
    <mergeCell ref="K972:L972"/>
    <mergeCell ref="K716:L716"/>
    <mergeCell ref="K1014:L1014"/>
    <mergeCell ref="K1079:L1079"/>
    <mergeCell ref="K1250:L1250"/>
    <mergeCell ref="K289:L289"/>
    <mergeCell ref="K587:L587"/>
    <mergeCell ref="K1016:L1016"/>
    <mergeCell ref="A1041:E1041"/>
    <mergeCell ref="K13:L13"/>
    <mergeCell ref="K1110:L1110"/>
    <mergeCell ref="K78:L78"/>
    <mergeCell ref="K205:L205"/>
    <mergeCell ref="K376:L376"/>
    <mergeCell ref="K447:L447"/>
    <mergeCell ref="K507:L507"/>
    <mergeCell ref="K363:L363"/>
    <mergeCell ref="K805:L805"/>
    <mergeCell ref="K1047:L1047"/>
    <mergeCell ref="K1103:L1103"/>
    <mergeCell ref="K15:L15"/>
    <mergeCell ref="K1174:L1174"/>
    <mergeCell ref="K142:L142"/>
    <mergeCell ref="K313:L313"/>
    <mergeCell ref="K80:L80"/>
    <mergeCell ref="K968:L968"/>
    <mergeCell ref="K1090:L1090"/>
    <mergeCell ref="K378:L378"/>
    <mergeCell ref="K620:L620"/>
    <mergeCell ref="A3:L3"/>
    <mergeCell ref="K55:L55"/>
    <mergeCell ref="K365:L365"/>
    <mergeCell ref="K807:L807"/>
    <mergeCell ref="K869:L869"/>
    <mergeCell ref="K663:L663"/>
    <mergeCell ref="K79:L79"/>
    <mergeCell ref="K734:L734"/>
    <mergeCell ref="K905:L905"/>
    <mergeCell ref="K961:L961"/>
    <mergeCell ref="K899:L899"/>
    <mergeCell ref="K144:L144"/>
    <mergeCell ref="K315:L315"/>
    <mergeCell ref="K1032:L1032"/>
    <mergeCell ref="K442:L442"/>
    <mergeCell ref="K613:L613"/>
    <mergeCell ref="K880:L880"/>
    <mergeCell ref="K1141:L1141"/>
    <mergeCell ref="K874:L874"/>
    <mergeCell ref="K1166:L1166"/>
    <mergeCell ref="K1067:L1067"/>
    <mergeCell ref="K1178:L1178"/>
    <mergeCell ref="K727:L727"/>
    <mergeCell ref="K665:L665"/>
    <mergeCell ref="K963:L963"/>
    <mergeCell ref="K208:L208"/>
    <mergeCell ref="K379:L379"/>
    <mergeCell ref="K1230:L1230"/>
    <mergeCell ref="K640:L640"/>
    <mergeCell ref="K615:L615"/>
    <mergeCell ref="K882:L882"/>
    <mergeCell ref="K1180:L1180"/>
    <mergeCell ref="K406:L406"/>
    <mergeCell ref="K1234:L1234"/>
    <mergeCell ref="K994:L994"/>
    <mergeCell ref="K964:L964"/>
    <mergeCell ref="K500:L500"/>
    <mergeCell ref="K798:L798"/>
    <mergeCell ref="K220:L220"/>
    <mergeCell ref="K518:L518"/>
    <mergeCell ref="K589:L589"/>
    <mergeCell ref="K760:L760"/>
    <mergeCell ref="K1021:L1021"/>
    <mergeCell ref="K437:L437"/>
    <mergeCell ref="K564:L564"/>
    <mergeCell ref="K284:L284"/>
    <mergeCell ref="K800:L800"/>
    <mergeCell ref="K222:L222"/>
    <mergeCell ref="K1098:L1098"/>
    <mergeCell ref="K520:L520"/>
    <mergeCell ref="K66:L66"/>
    <mergeCell ref="A465:J465"/>
    <mergeCell ref="K259:L259"/>
    <mergeCell ref="K618:L618"/>
    <mergeCell ref="K197:L197"/>
    <mergeCell ref="K501:L501"/>
    <mergeCell ref="K787:L787"/>
    <mergeCell ref="K495:L495"/>
    <mergeCell ref="K958:L958"/>
    <mergeCell ref="K737:L737"/>
    <mergeCell ref="K1085:L1085"/>
    <mergeCell ref="K593:L593"/>
    <mergeCell ref="K864:L864"/>
    <mergeCell ref="K360:L360"/>
    <mergeCell ref="K482:L482"/>
    <mergeCell ref="K1181:L1181"/>
    <mergeCell ref="K780:L780"/>
    <mergeCell ref="K74:L74"/>
    <mergeCell ref="K1022:L1022"/>
    <mergeCell ref="K68:L68"/>
    <mergeCell ref="K372:L372"/>
    <mergeCell ref="K310:L310"/>
    <mergeCell ref="K432:L432"/>
    <mergeCell ref="K1087:L1087"/>
    <mergeCell ref="K608:L608"/>
    <mergeCell ref="K918:L918"/>
    <mergeCell ref="K1149:L1149"/>
    <mergeCell ref="K1258:L1258"/>
    <mergeCell ref="K795:L795"/>
    <mergeCell ref="K424:L424"/>
    <mergeCell ref="K595:L595"/>
    <mergeCell ref="K1037:L1037"/>
    <mergeCell ref="K893:L893"/>
    <mergeCell ref="K782:L782"/>
    <mergeCell ref="K953:L953"/>
    <mergeCell ref="K1024:L1024"/>
    <mergeCell ref="K1086:L1086"/>
    <mergeCell ref="K1195:L1195"/>
    <mergeCell ref="K290:L290"/>
    <mergeCell ref="K213:L213"/>
    <mergeCell ref="K1111:L1111"/>
    <mergeCell ref="K150:L150"/>
    <mergeCell ref="K321:L321"/>
    <mergeCell ref="K982:L982"/>
    <mergeCell ref="K1053:L1053"/>
    <mergeCell ref="K671:L671"/>
    <mergeCell ref="K842:L842"/>
    <mergeCell ref="K1113:L1113"/>
    <mergeCell ref="K969:L969"/>
    <mergeCell ref="K1140:L1140"/>
    <mergeCell ref="K907:L907"/>
    <mergeCell ref="K323:L323"/>
    <mergeCell ref="K1034:L1034"/>
    <mergeCell ref="K279:L279"/>
    <mergeCell ref="K450:L450"/>
    <mergeCell ref="K621:L621"/>
    <mergeCell ref="K748:L748"/>
    <mergeCell ref="K1205:L1205"/>
    <mergeCell ref="K686:L686"/>
    <mergeCell ref="K735:L735"/>
    <mergeCell ref="K906:L906"/>
    <mergeCell ref="K673:L673"/>
    <mergeCell ref="K911:L911"/>
    <mergeCell ref="K23:L23"/>
    <mergeCell ref="K145:L145"/>
    <mergeCell ref="K216:L216"/>
    <mergeCell ref="K387:L387"/>
    <mergeCell ref="K971:L971"/>
    <mergeCell ref="K381:L381"/>
    <mergeCell ref="K514:L514"/>
    <mergeCell ref="K452:L452"/>
    <mergeCell ref="K623:L623"/>
    <mergeCell ref="K308:L308"/>
    <mergeCell ref="K685:L685"/>
    <mergeCell ref="K750:L750"/>
    <mergeCell ref="K606:L606"/>
    <mergeCell ref="K921:L921"/>
    <mergeCell ref="K160:L160"/>
    <mergeCell ref="K666:L666"/>
    <mergeCell ref="K908:L908"/>
    <mergeCell ref="K946:L946"/>
    <mergeCell ref="K1035:L1035"/>
    <mergeCell ref="K147:L147"/>
    <mergeCell ref="K1206:L1206"/>
    <mergeCell ref="K274:L274"/>
    <mergeCell ref="K1246:L1246"/>
    <mergeCell ref="K18:L18"/>
    <mergeCell ref="K1228:L1228"/>
    <mergeCell ref="K34:L34"/>
    <mergeCell ref="K305:L305"/>
    <mergeCell ref="K1012:L1012"/>
    <mergeCell ref="K1183:L1183"/>
    <mergeCell ref="K397:L397"/>
    <mergeCell ref="K835:L835"/>
    <mergeCell ref="K826:L826"/>
    <mergeCell ref="K1124:L1124"/>
    <mergeCell ref="K36:L36"/>
    <mergeCell ref="K503:L503"/>
    <mergeCell ref="K163:L163"/>
    <mergeCell ref="K334:L334"/>
    <mergeCell ref="K801:L801"/>
    <mergeCell ref="K1135:L1135"/>
    <mergeCell ref="K380:L380"/>
    <mergeCell ref="K890:L890"/>
    <mergeCell ref="K828:L828"/>
    <mergeCell ref="K300:L300"/>
    <mergeCell ref="K100:L100"/>
    <mergeCell ref="K94:L94"/>
    <mergeCell ref="K361:L361"/>
    <mergeCell ref="K165:L165"/>
    <mergeCell ref="K336:L336"/>
    <mergeCell ref="K659:L659"/>
    <mergeCell ref="K634:L634"/>
    <mergeCell ref="K803:L803"/>
    <mergeCell ref="K865:L865"/>
    <mergeCell ref="K901:L901"/>
    <mergeCell ref="K895:L895"/>
    <mergeCell ref="K999:L999"/>
    <mergeCell ref="K1101:L1101"/>
    <mergeCell ref="K1137:L1137"/>
    <mergeCell ref="K1193:L1193"/>
    <mergeCell ref="K1199:L1199"/>
    <mergeCell ref="K102:L102"/>
    <mergeCell ref="K740:L740"/>
    <mergeCell ref="K425:L425"/>
    <mergeCell ref="K229:L229"/>
    <mergeCell ref="K400:L400"/>
    <mergeCell ref="K1038:L1038"/>
    <mergeCell ref="K661:L661"/>
    <mergeCell ref="K77:L77"/>
    <mergeCell ref="K832:L832"/>
    <mergeCell ref="K903:L903"/>
    <mergeCell ref="K204:L204"/>
    <mergeCell ref="A235:H235"/>
    <mergeCell ref="K375:L375"/>
    <mergeCell ref="K1201:L1201"/>
    <mergeCell ref="K611:L611"/>
    <mergeCell ref="K804:L804"/>
    <mergeCell ref="K598:L598"/>
    <mergeCell ref="K725:L725"/>
    <mergeCell ref="K896:L896"/>
    <mergeCell ref="K990:L990"/>
    <mergeCell ref="K539:L539"/>
    <mergeCell ref="K662:L662"/>
    <mergeCell ref="K979:L979"/>
    <mergeCell ref="K756:L756"/>
    <mergeCell ref="K87:L87"/>
    <mergeCell ref="K280:L280"/>
    <mergeCell ref="K329:L329"/>
    <mergeCell ref="A1155:J1155"/>
    <mergeCell ref="K218:L218"/>
    <mergeCell ref="K451:L451"/>
    <mergeCell ref="K49:L49"/>
    <mergeCell ref="K516:L516"/>
    <mergeCell ref="K522:L522"/>
    <mergeCell ref="K627:L627"/>
    <mergeCell ref="K687:L687"/>
    <mergeCell ref="K885:L885"/>
    <mergeCell ref="K985:L985"/>
    <mergeCell ref="K1056:L1056"/>
    <mergeCell ref="K24:L24"/>
    <mergeCell ref="K295:L295"/>
    <mergeCell ref="K266:L266"/>
    <mergeCell ref="K322:L322"/>
    <mergeCell ref="K850:L850"/>
    <mergeCell ref="K89:L89"/>
    <mergeCell ref="K393:L393"/>
    <mergeCell ref="K453:L453"/>
    <mergeCell ref="K624:L624"/>
    <mergeCell ref="K309:L309"/>
    <mergeCell ref="K113:L113"/>
    <mergeCell ref="K629:L629"/>
    <mergeCell ref="K751:L751"/>
    <mergeCell ref="K922:L922"/>
    <mergeCell ref="K545:L545"/>
    <mergeCell ref="K232:L232"/>
    <mergeCell ref="K616:L616"/>
    <mergeCell ref="K88:L88"/>
    <mergeCell ref="K1058:L1058"/>
    <mergeCell ref="K26:L26"/>
    <mergeCell ref="K974:L974"/>
    <mergeCell ref="K219:L219"/>
    <mergeCell ref="K153:L153"/>
    <mergeCell ref="K324:L324"/>
    <mergeCell ref="K517:L517"/>
    <mergeCell ref="K688:L688"/>
    <mergeCell ref="K1107:L1107"/>
    <mergeCell ref="K1216:L1216"/>
    <mergeCell ref="K753:L753"/>
    <mergeCell ref="K609:L609"/>
    <mergeCell ref="K845:L845"/>
    <mergeCell ref="K90:L90"/>
    <mergeCell ref="K261:L261"/>
    <mergeCell ref="K916:L916"/>
    <mergeCell ref="K519:L519"/>
    <mergeCell ref="K546:L546"/>
    <mergeCell ref="K1132:L1132"/>
    <mergeCell ref="A810:J810"/>
    <mergeCell ref="K876:L876"/>
    <mergeCell ref="K1069:L1069"/>
    <mergeCell ref="K115:L115"/>
    <mergeCell ref="K42:L42"/>
    <mergeCell ref="K544:L544"/>
    <mergeCell ref="K1226:L1226"/>
    <mergeCell ref="K1109:L1109"/>
    <mergeCell ref="K769:L769"/>
    <mergeCell ref="K940:L940"/>
    <mergeCell ref="K829:L829"/>
    <mergeCell ref="K179:L179"/>
    <mergeCell ref="K1127:L1127"/>
    <mergeCell ref="K250:L250"/>
    <mergeCell ref="K166:L166"/>
    <mergeCell ref="K1163:L1163"/>
    <mergeCell ref="K408:L408"/>
    <mergeCell ref="K402:L402"/>
    <mergeCell ref="K535:L535"/>
    <mergeCell ref="K669:L669"/>
    <mergeCell ref="K141:L141"/>
    <mergeCell ref="K116:L116"/>
    <mergeCell ref="K706:L706"/>
    <mergeCell ref="K942:L942"/>
    <mergeCell ref="K1138:L1138"/>
    <mergeCell ref="K377:L377"/>
    <mergeCell ref="K681:L681"/>
    <mergeCell ref="K619:L619"/>
    <mergeCell ref="K37:L37"/>
    <mergeCell ref="K1129:L1129"/>
    <mergeCell ref="K230:L230"/>
    <mergeCell ref="K1227:L1227"/>
    <mergeCell ref="K733:L733"/>
    <mergeCell ref="K1202:L1202"/>
    <mergeCell ref="K143:L143"/>
    <mergeCell ref="K118:L118"/>
    <mergeCell ref="K416:L416"/>
    <mergeCell ref="K683:L683"/>
    <mergeCell ref="K981:L981"/>
    <mergeCell ref="K1229:L1229"/>
    <mergeCell ref="K530:L530"/>
    <mergeCell ref="K1033:L1033"/>
    <mergeCell ref="K1204:L1204"/>
    <mergeCell ref="K21:L21"/>
    <mergeCell ref="K1223:L1223"/>
    <mergeCell ref="K822:L822"/>
    <mergeCell ref="K993:L993"/>
    <mergeCell ref="K32:L32"/>
    <mergeCell ref="K63:L63"/>
    <mergeCell ref="K330:L330"/>
    <mergeCell ref="K134:L134"/>
    <mergeCell ref="K566:L566"/>
    <mergeCell ref="K759:L759"/>
    <mergeCell ref="K563:L563"/>
    <mergeCell ref="K1057:L1057"/>
    <mergeCell ref="K553:L553"/>
    <mergeCell ref="K824:L824"/>
    <mergeCell ref="K995:L995"/>
    <mergeCell ref="K851:L851"/>
    <mergeCell ref="K96:L96"/>
    <mergeCell ref="K1122:L1122"/>
    <mergeCell ref="K1128:L1128"/>
    <mergeCell ref="K532:L532"/>
    <mergeCell ref="K332:L332"/>
    <mergeCell ref="K1220:L1220"/>
    <mergeCell ref="K1214:L1214"/>
    <mergeCell ref="K630:L630"/>
    <mergeCell ref="K823:L823"/>
    <mergeCell ref="K761:L761"/>
    <mergeCell ref="K866:L866"/>
    <mergeCell ref="K617:L617"/>
    <mergeCell ref="K421:L421"/>
    <mergeCell ref="K932:L932"/>
    <mergeCell ref="K915:L915"/>
    <mergeCell ref="K27:L27"/>
    <mergeCell ref="K853:L853"/>
    <mergeCell ref="K98:L98"/>
    <mergeCell ref="K986:L986"/>
    <mergeCell ref="K1059:L1059"/>
    <mergeCell ref="K396:L396"/>
    <mergeCell ref="K567:L567"/>
    <mergeCell ref="K456:L456"/>
    <mergeCell ref="K390:L390"/>
    <mergeCell ref="K561:L561"/>
    <mergeCell ref="K632:L632"/>
    <mergeCell ref="K1151:L1151"/>
    <mergeCell ref="K996:L996"/>
    <mergeCell ref="K1222:L1222"/>
    <mergeCell ref="K548:L548"/>
    <mergeCell ref="K1123:L1123"/>
    <mergeCell ref="K790:L790"/>
    <mergeCell ref="K917:L917"/>
    <mergeCell ref="K1215:L1215"/>
    <mergeCell ref="K156:L156"/>
    <mergeCell ref="K327:L327"/>
    <mergeCell ref="K1152:L1152"/>
    <mergeCell ref="K93:L93"/>
    <mergeCell ref="K16:L16"/>
    <mergeCell ref="K187:L187"/>
    <mergeCell ref="K423:L423"/>
    <mergeCell ref="K472:L472"/>
    <mergeCell ref="K643:L643"/>
    <mergeCell ref="K537:L537"/>
    <mergeCell ref="K708:L708"/>
    <mergeCell ref="K879:L879"/>
    <mergeCell ref="K1006:L1006"/>
    <mergeCell ref="K251:L251"/>
    <mergeCell ref="K1177:L1177"/>
    <mergeCell ref="K189:L189"/>
    <mergeCell ref="K1248:L1248"/>
    <mergeCell ref="K45:L45"/>
    <mergeCell ref="K487:L487"/>
    <mergeCell ref="K1256:L1256"/>
    <mergeCell ref="K343:L343"/>
    <mergeCell ref="K281:L281"/>
    <mergeCell ref="K414:L414"/>
    <mergeCell ref="K474:L474"/>
    <mergeCell ref="K645:L645"/>
    <mergeCell ref="K772:L772"/>
    <mergeCell ref="K188:L188"/>
    <mergeCell ref="K943:L943"/>
    <mergeCell ref="K1185:L1185"/>
    <mergeCell ref="K1008:L1008"/>
    <mergeCell ref="K253:L253"/>
    <mergeCell ref="K1179:L1179"/>
    <mergeCell ref="K551:L551"/>
    <mergeCell ref="K47:L47"/>
    <mergeCell ref="K169:L169"/>
    <mergeCell ref="K411:L411"/>
    <mergeCell ref="K345:L345"/>
    <mergeCell ref="K538:L538"/>
    <mergeCell ref="K709:L709"/>
    <mergeCell ref="K703:L703"/>
    <mergeCell ref="K970:L970"/>
    <mergeCell ref="K774:L774"/>
    <mergeCell ref="K1007:L1007"/>
    <mergeCell ref="K1268:L1268"/>
    <mergeCell ref="K46:L46"/>
    <mergeCell ref="K1072:L1072"/>
    <mergeCell ref="K1243:L1243"/>
    <mergeCell ref="K40:L40"/>
    <mergeCell ref="K111:L111"/>
    <mergeCell ref="K282:L282"/>
    <mergeCell ref="K749:L749"/>
    <mergeCell ref="K409:L409"/>
    <mergeCell ref="K711:L711"/>
    <mergeCell ref="K257:L257"/>
    <mergeCell ref="K838:L838"/>
    <mergeCell ref="K1009:L1009"/>
    <mergeCell ref="K71:L71"/>
    <mergeCell ref="K1049:L1049"/>
    <mergeCell ref="A1156:J1156"/>
    <mergeCell ref="K73:L73"/>
    <mergeCell ref="K371:L371"/>
    <mergeCell ref="K638:L638"/>
    <mergeCell ref="K1148:L1148"/>
    <mergeCell ref="K936:L936"/>
    <mergeCell ref="K358:L358"/>
    <mergeCell ref="K1172:L1172"/>
    <mergeCell ref="K594:L594"/>
    <mergeCell ref="K898:L898"/>
    <mergeCell ref="K162:L162"/>
    <mergeCell ref="K137:L137"/>
    <mergeCell ref="K892:L892"/>
    <mergeCell ref="K460:L460"/>
    <mergeCell ref="K631:L631"/>
    <mergeCell ref="K702:L702"/>
    <mergeCell ref="K1010:L1010"/>
    <mergeCell ref="K867:L867"/>
    <mergeCell ref="K422:L422"/>
    <mergeCell ref="K938:L938"/>
    <mergeCell ref="K1236:L1236"/>
    <mergeCell ref="K658:L658"/>
    <mergeCell ref="K226:L226"/>
    <mergeCell ref="K201:L201"/>
    <mergeCell ref="K164:L164"/>
    <mergeCell ref="K139:L139"/>
    <mergeCell ref="K335:L335"/>
    <mergeCell ref="K462:L462"/>
    <mergeCell ref="K633:L633"/>
    <mergeCell ref="K704:L704"/>
    <mergeCell ref="K875:L875"/>
    <mergeCell ref="K956:L956"/>
    <mergeCell ref="K1002:L1002"/>
    <mergeCell ref="K114:L114"/>
    <mergeCell ref="K1062:L1062"/>
    <mergeCell ref="K1142:L1142"/>
    <mergeCell ref="K1167:L1167"/>
    <mergeCell ref="K722:L722"/>
    <mergeCell ref="K1238:L1238"/>
    <mergeCell ref="K228:L228"/>
    <mergeCell ref="K399:L399"/>
    <mergeCell ref="K1225:L1225"/>
    <mergeCell ref="K762:L762"/>
    <mergeCell ref="K933:L933"/>
    <mergeCell ref="K920:L920"/>
    <mergeCell ref="K528:L528"/>
    <mergeCell ref="A350:J350"/>
    <mergeCell ref="K59:L59"/>
    <mergeCell ref="K951:L951"/>
    <mergeCell ref="K130:L130"/>
    <mergeCell ref="K1078:L1078"/>
    <mergeCell ref="K190:L190"/>
    <mergeCell ref="K1249:L1249"/>
    <mergeCell ref="K488:L488"/>
    <mergeCell ref="K117:L117"/>
    <mergeCell ref="K559:L559"/>
    <mergeCell ref="K1143:L1143"/>
    <mergeCell ref="K724:L724"/>
    <mergeCell ref="K651:L651"/>
    <mergeCell ref="K773:L773"/>
    <mergeCell ref="K61:L61"/>
    <mergeCell ref="K132:L132"/>
    <mergeCell ref="K254:L254"/>
    <mergeCell ref="K359:L359"/>
    <mergeCell ref="K430:L430"/>
    <mergeCell ref="K48:L48"/>
    <mergeCell ref="K490:L490"/>
    <mergeCell ref="K1080:L1080"/>
    <mergeCell ref="K346:L346"/>
    <mergeCell ref="K788:L788"/>
    <mergeCell ref="K417:L417"/>
    <mergeCell ref="K588:L588"/>
    <mergeCell ref="K477:L477"/>
    <mergeCell ref="K859:L859"/>
    <mergeCell ref="K653:L653"/>
    <mergeCell ref="K775:L775"/>
    <mergeCell ref="K1017:L1017"/>
    <mergeCell ref="A1:L1"/>
    <mergeCell ref="K427:L427"/>
    <mergeCell ref="K112:L112"/>
    <mergeCell ref="K554:L554"/>
    <mergeCell ref="K348:L348"/>
    <mergeCell ref="K590:L590"/>
    <mergeCell ref="K646:L646"/>
    <mergeCell ref="K62:L62"/>
    <mergeCell ref="K888:L888"/>
    <mergeCell ref="K193:L193"/>
    <mergeCell ref="K298:L298"/>
    <mergeCell ref="K127:L127"/>
    <mergeCell ref="K491:L491"/>
    <mergeCell ref="A1040:E1040"/>
    <mergeCell ref="K1075:L1075"/>
    <mergeCell ref="K1173:L1173"/>
    <mergeCell ref="K285:L285"/>
    <mergeCell ref="K1169:L1169"/>
    <mergeCell ref="K648:L648"/>
    <mergeCell ref="A580:B580"/>
    <mergeCell ref="A926:J926"/>
    <mergeCell ref="K664:L664"/>
    <mergeCell ref="K1106:L1106"/>
    <mergeCell ref="K1027:L1027"/>
    <mergeCell ref="K272:L272"/>
    <mergeCell ref="K443:L443"/>
    <mergeCell ref="K1198:L1198"/>
    <mergeCell ref="K679:L679"/>
    <mergeCell ref="A811:J811"/>
    <mergeCell ref="K138:L138"/>
    <mergeCell ref="K793:L793"/>
    <mergeCell ref="K76:L76"/>
    <mergeCell ref="K209:L209"/>
    <mergeCell ref="A581:B581"/>
    <mergeCell ref="K203:L203"/>
    <mergeCell ref="K374:L374"/>
    <mergeCell ref="K445:L445"/>
    <mergeCell ref="K672:L672"/>
    <mergeCell ref="K301:L301"/>
    <mergeCell ref="K939:L939"/>
    <mergeCell ref="K1200:L1200"/>
    <mergeCell ref="K1251:L1251"/>
    <mergeCell ref="K178:L178"/>
    <mergeCell ref="K730:L730"/>
    <mergeCell ref="K276:L276"/>
    <mergeCell ref="K966:L966"/>
    <mergeCell ref="K267:L267"/>
    <mergeCell ref="K438:L438"/>
    <mergeCell ref="K1264:L1264"/>
    <mergeCell ref="K674:L674"/>
    <mergeCell ref="K303:L303"/>
    <mergeCell ref="K186:L186"/>
    <mergeCell ref="K941:L941"/>
    <mergeCell ref="K601:L601"/>
    <mergeCell ref="K1239:L1239"/>
    <mergeCell ref="K732:L732"/>
    <mergeCell ref="K278:L278"/>
    <mergeCell ref="K1030:L1030"/>
    <mergeCell ref="K576:L576"/>
    <mergeCell ref="K636:L636"/>
    <mergeCell ref="K707:L707"/>
    <mergeCell ref="K296:L296"/>
    <mergeCell ref="K1005:L1005"/>
    <mergeCell ref="K1176:L1176"/>
    <mergeCell ref="K1241:L1241"/>
    <mergeCell ref="K578:L578"/>
    <mergeCell ref="A351:J351"/>
    <mergeCell ref="K819:L819"/>
    <mergeCell ref="K496:L496"/>
    <mergeCell ref="K1190:L1190"/>
    <mergeCell ref="K1099:L1099"/>
    <mergeCell ref="K69:L69"/>
    <mergeCell ref="A695:J695"/>
    <mergeCell ref="K367:L367"/>
    <mergeCell ref="K677:L677"/>
    <mergeCell ref="K560:L560"/>
    <mergeCell ref="K498:L498"/>
    <mergeCell ref="K158:L158"/>
    <mergeCell ref="K796:L796"/>
    <mergeCell ref="K652:L652"/>
    <mergeCell ref="K723:L723"/>
    <mergeCell ref="K894:L894"/>
    <mergeCell ref="K133:L133"/>
    <mergeCell ref="K1081:L1081"/>
    <mergeCell ref="K1186:L1186"/>
    <mergeCell ref="K1257:L1257"/>
    <mergeCell ref="K369:L369"/>
    <mergeCell ref="K667:L667"/>
    <mergeCell ref="K418:L418"/>
    <mergeCell ref="K860:L860"/>
    <mergeCell ref="K489:L489"/>
    <mergeCell ref="K654:L654"/>
    <mergeCell ref="K825:L825"/>
    <mergeCell ref="K1096:L1096"/>
    <mergeCell ref="K952:L952"/>
    <mergeCell ref="K64:L64"/>
    <mergeCell ref="K719:L719"/>
    <mergeCell ref="K135:L135"/>
    <mergeCell ref="K1023:L1023"/>
    <mergeCell ref="K1083:L1083"/>
    <mergeCell ref="K433:L433"/>
    <mergeCell ref="K51:L51"/>
    <mergeCell ref="K797:L797"/>
    <mergeCell ref="K731:L731"/>
    <mergeCell ref="K1188:L1188"/>
    <mergeCell ref="K1194:L1194"/>
    <mergeCell ref="K420:L420"/>
    <mergeCell ref="K591:L591"/>
    <mergeCell ref="K718:L718"/>
    <mergeCell ref="K889:L889"/>
    <mergeCell ref="K778:L778"/>
    <mergeCell ref="K72:L72"/>
    <mergeCell ref="K954:L954"/>
    <mergeCell ref="K1125:L1125"/>
    <mergeCell ref="K1252:L1252"/>
    <mergeCell ref="K364:L364"/>
    <mergeCell ref="K435:L435"/>
    <mergeCell ref="K1112:L1112"/>
    <mergeCell ref="K291:L291"/>
    <mergeCell ref="K484:L484"/>
    <mergeCell ref="K655:L655"/>
    <mergeCell ref="A236:H236"/>
    <mergeCell ref="K720:L720"/>
    <mergeCell ref="K891:L891"/>
    <mergeCell ref="K1018:L1018"/>
    <mergeCell ref="K211:L211"/>
    <mergeCell ref="K382:L382"/>
    <mergeCell ref="K509:L509"/>
    <mergeCell ref="K680:L680"/>
    <mergeCell ref="K1254:L1254"/>
    <mergeCell ref="K17:L17"/>
    <mergeCell ref="K794:L794"/>
    <mergeCell ref="K965:L965"/>
    <mergeCell ref="K1036:L1036"/>
    <mergeCell ref="K148:L148"/>
    <mergeCell ref="K82:L82"/>
    <mergeCell ref="K275:L275"/>
    <mergeCell ref="K446:L446"/>
    <mergeCell ref="K622:L622"/>
    <mergeCell ref="K511:L511"/>
    <mergeCell ref="K682:L682"/>
    <mergeCell ref="K980:L980"/>
    <mergeCell ref="K1247:L1247"/>
    <mergeCell ref="K1051:L1051"/>
    <mergeCell ref="K603:L603"/>
    <mergeCell ref="K19:L19"/>
    <mergeCell ref="K967:L967"/>
    <mergeCell ref="K212:L212"/>
    <mergeCell ref="K146:L146"/>
    <mergeCell ref="K317:L317"/>
    <mergeCell ref="K206:L206"/>
    <mergeCell ref="K510:L510"/>
    <mergeCell ref="K448:L448"/>
    <mergeCell ref="K1094:L1094"/>
    <mergeCell ref="K304:L304"/>
    <mergeCell ref="K575:L575"/>
    <mergeCell ref="K746:L746"/>
    <mergeCell ref="K602:L602"/>
    <mergeCell ref="K873:L873"/>
    <mergeCell ref="K540:L540"/>
    <mergeCell ref="K83:L83"/>
    <mergeCell ref="K909:L909"/>
    <mergeCell ref="K1031:L1031"/>
    <mergeCell ref="K1105:L1105"/>
    <mergeCell ref="K214:L214"/>
    <mergeCell ref="K319:L319"/>
    <mergeCell ref="K515:L515"/>
    <mergeCell ref="K512:L512"/>
    <mergeCell ref="K1207:L1207"/>
    <mergeCell ref="K368:L368"/>
    <mergeCell ref="K506:L506"/>
    <mergeCell ref="K306:L306"/>
    <mergeCell ref="K1267:L1267"/>
    <mergeCell ref="K604:L604"/>
    <mergeCell ref="K1071:L1071"/>
    <mergeCell ref="K1242:L1242"/>
    <mergeCell ref="K902:L902"/>
    <mergeCell ref="K60:L60"/>
    <mergeCell ref="A5:I5"/>
    <mergeCell ref="K904:L904"/>
    <mergeCell ref="K1171:L1171"/>
    <mergeCell ref="K439:L439"/>
    <mergeCell ref="K159:L159"/>
    <mergeCell ref="K395:L395"/>
    <mergeCell ref="K693:L693"/>
    <mergeCell ref="K960:L960"/>
    <mergeCell ref="K764:L764"/>
    <mergeCell ref="K935:L935"/>
    <mergeCell ref="K1131:L1131"/>
    <mergeCell ref="K199:L199"/>
    <mergeCell ref="K1196:L1196"/>
    <mergeCell ref="K441:L441"/>
    <mergeCell ref="K739:L739"/>
    <mergeCell ref="K161:L161"/>
    <mergeCell ref="K288:L288"/>
    <mergeCell ref="K459:L459"/>
    <mergeCell ref="K726:L726"/>
    <mergeCell ref="K1097:L1097"/>
    <mergeCell ref="K136:L136"/>
    <mergeCell ref="K962:L962"/>
    <mergeCell ref="K207:L207"/>
    <mergeCell ref="K263:L263"/>
    <mergeCell ref="K434:L434"/>
    <mergeCell ref="K505:L505"/>
    <mergeCell ref="K1133:L1133"/>
    <mergeCell ref="K1260:L1260"/>
    <mergeCell ref="K225:L225"/>
    <mergeCell ref="A925:J925"/>
    <mergeCell ref="K741:L741"/>
    <mergeCell ref="K657:L657"/>
    <mergeCell ref="K461:L461"/>
    <mergeCell ref="K728:L728"/>
    <mergeCell ref="K784:L784"/>
    <mergeCell ref="K200:L200"/>
    <mergeCell ref="K955:L955"/>
    <mergeCell ref="K1026:L1026"/>
    <mergeCell ref="K1197:L1197"/>
    <mergeCell ref="K1020:L1020"/>
    <mergeCell ref="K265:L265"/>
    <mergeCell ref="K65:L65"/>
    <mergeCell ref="K436:L436"/>
    <mergeCell ref="K1191:L1191"/>
    <mergeCell ref="K1262:L1262"/>
    <mergeCell ref="K721:L721"/>
    <mergeCell ref="K957:L957"/>
    <mergeCell ref="K202:L202"/>
    <mergeCell ref="K373:L373"/>
    <mergeCell ref="K294:L294"/>
    <mergeCell ref="K565:L565"/>
    <mergeCell ref="K736:L736"/>
    <mergeCell ref="K388:L388"/>
    <mergeCell ref="K752:L752"/>
    <mergeCell ref="K108:L108"/>
    <mergeCell ref="K231:L231"/>
    <mergeCell ref="K817:L817"/>
    <mergeCell ref="K1115:L1115"/>
    <mergeCell ref="K754:L754"/>
    <mergeCell ref="K1052:L1052"/>
    <mergeCell ref="K20:L20"/>
    <mergeCell ref="K675:L675"/>
    <mergeCell ref="K91:L91"/>
    <mergeCell ref="K318:L318"/>
    <mergeCell ref="K846:L846"/>
    <mergeCell ref="K85:L85"/>
    <mergeCell ref="K256:L256"/>
    <mergeCell ref="K389:L389"/>
    <mergeCell ref="K383:L383"/>
    <mergeCell ref="K1117:L1117"/>
    <mergeCell ref="K625:L625"/>
    <mergeCell ref="K747:L747"/>
    <mergeCell ref="K818:L818"/>
    <mergeCell ref="K923:L923"/>
    <mergeCell ref="K983:L983"/>
    <mergeCell ref="K612:L612"/>
    <mergeCell ref="K668:L668"/>
    <mergeCell ref="K84:L84"/>
    <mergeCell ref="K910:L910"/>
    <mergeCell ref="K22:L22"/>
    <mergeCell ref="K1054:L1054"/>
    <mergeCell ref="A120:H120"/>
    <mergeCell ref="K149:L149"/>
    <mergeCell ref="K264:L264"/>
    <mergeCell ref="K320:L320"/>
    <mergeCell ref="K562:L562"/>
    <mergeCell ref="K975:L975"/>
    <mergeCell ref="K385:L385"/>
    <mergeCell ref="K1146:L1146"/>
    <mergeCell ref="K605:L605"/>
    <mergeCell ref="K1121:L1121"/>
    <mergeCell ref="K676:L676"/>
    <mergeCell ref="K841:L841"/>
    <mergeCell ref="K86:L86"/>
    <mergeCell ref="K912:L912"/>
    <mergeCell ref="K1255:L1255"/>
    <mergeCell ref="K1210:L1210"/>
    <mergeCell ref="K151:L151"/>
    <mergeCell ref="K449:L449"/>
    <mergeCell ref="K887:L887"/>
    <mergeCell ref="K607:L607"/>
    <mergeCell ref="K386:L386"/>
    <mergeCell ref="K38:L38"/>
    <mergeCell ref="K1187:L1187"/>
    <mergeCell ref="K175:L175"/>
    <mergeCell ref="K246:L246"/>
    <mergeCell ref="K678:L678"/>
    <mergeCell ref="K988:L988"/>
  </mergeCells>
  <conditionalFormatting sqref="B10">
    <cfRule type="expression" priority="1" dxfId="0">
      <formula>LEN(B10)&gt;0</formula>
    </cfRule>
  </conditionalFormatting>
  <conditionalFormatting sqref="C10">
    <cfRule type="expression" priority="2" dxfId="0">
      <formula>LEN(C10)&gt;0</formula>
    </cfRule>
  </conditionalFormatting>
  <conditionalFormatting sqref="D10">
    <cfRule type="expression" priority="3" dxfId="0">
      <formula>LEN(D10)&gt;0</formula>
    </cfRule>
  </conditionalFormatting>
  <conditionalFormatting sqref="E10">
    <cfRule type="expression" priority="4" dxfId="0">
      <formula>LEN(E10)&gt;0</formula>
    </cfRule>
  </conditionalFormatting>
  <conditionalFormatting sqref="F10">
    <cfRule type="expression" priority="5" dxfId="0">
      <formula>LEN(F10)&gt;0</formula>
    </cfRule>
  </conditionalFormatting>
  <conditionalFormatting sqref="G10">
    <cfRule type="expression" priority="6" dxfId="0">
      <formula>LEN(G10)&gt;0</formula>
    </cfRule>
  </conditionalFormatting>
  <conditionalFormatting sqref="H10">
    <cfRule type="expression" priority="7" dxfId="0">
      <formula>LEN(H10)&gt;0</formula>
    </cfRule>
  </conditionalFormatting>
  <conditionalFormatting sqref="I10">
    <cfRule type="expression" priority="8" dxfId="0">
      <formula>LEN(I10)&gt;0</formula>
    </cfRule>
  </conditionalFormatting>
  <conditionalFormatting sqref="B125">
    <cfRule type="expression" priority="9" dxfId="0">
      <formula>LEN(B125)&gt;0</formula>
    </cfRule>
  </conditionalFormatting>
  <conditionalFormatting sqref="C125">
    <cfRule type="expression" priority="10" dxfId="0">
      <formula>LEN(C125)&gt;0</formula>
    </cfRule>
  </conditionalFormatting>
  <conditionalFormatting sqref="D125">
    <cfRule type="expression" priority="11" dxfId="0">
      <formula>LEN(D125)&gt;0</formula>
    </cfRule>
  </conditionalFormatting>
  <conditionalFormatting sqref="E125">
    <cfRule type="expression" priority="12" dxfId="0">
      <formula>LEN(E125)&gt;0</formula>
    </cfRule>
  </conditionalFormatting>
  <conditionalFormatting sqref="F125">
    <cfRule type="expression" priority="13" dxfId="0">
      <formula>LEN(F125)&gt;0</formula>
    </cfRule>
  </conditionalFormatting>
  <conditionalFormatting sqref="G125">
    <cfRule type="expression" priority="14" dxfId="0">
      <formula>LEN(G125)&gt;0</formula>
    </cfRule>
  </conditionalFormatting>
  <conditionalFormatting sqref="H125">
    <cfRule type="expression" priority="15" dxfId="0">
      <formula>LEN(H125)&gt;0</formula>
    </cfRule>
  </conditionalFormatting>
  <conditionalFormatting sqref="B240">
    <cfRule type="expression" priority="16" dxfId="0">
      <formula>LEN(B240)&gt;0</formula>
    </cfRule>
  </conditionalFormatting>
  <conditionalFormatting sqref="C240">
    <cfRule type="expression" priority="17" dxfId="0">
      <formula>LEN(C240)&gt;0</formula>
    </cfRule>
  </conditionalFormatting>
  <conditionalFormatting sqref="D240">
    <cfRule type="expression" priority="18" dxfId="0">
      <formula>LEN(D240)&gt;0</formula>
    </cfRule>
  </conditionalFormatting>
  <conditionalFormatting sqref="E240">
    <cfRule type="expression" priority="19" dxfId="0">
      <formula>LEN(E240)&gt;0</formula>
    </cfRule>
  </conditionalFormatting>
  <conditionalFormatting sqref="F240">
    <cfRule type="expression" priority="20" dxfId="0">
      <formula>LEN(F240)&gt;0</formula>
    </cfRule>
  </conditionalFormatting>
  <conditionalFormatting sqref="G240">
    <cfRule type="expression" priority="21" dxfId="0">
      <formula>LEN(G240)&gt;0</formula>
    </cfRule>
  </conditionalFormatting>
  <conditionalFormatting sqref="H240">
    <cfRule type="expression" priority="22" dxfId="0">
      <formula>LEN(H240)&gt;0</formula>
    </cfRule>
  </conditionalFormatting>
  <conditionalFormatting sqref="B355">
    <cfRule type="expression" priority="23" dxfId="0">
      <formula>LEN(B355)&gt;0</formula>
    </cfRule>
  </conditionalFormatting>
  <conditionalFormatting sqref="C355">
    <cfRule type="expression" priority="24" dxfId="0">
      <formula>LEN(C355)&gt;0</formula>
    </cfRule>
  </conditionalFormatting>
  <conditionalFormatting sqref="D355">
    <cfRule type="expression" priority="25" dxfId="0">
      <formula>LEN(D355)&gt;0</formula>
    </cfRule>
  </conditionalFormatting>
  <conditionalFormatting sqref="E355">
    <cfRule type="expression" priority="26" dxfId="0">
      <formula>LEN(E355)&gt;0</formula>
    </cfRule>
  </conditionalFormatting>
  <conditionalFormatting sqref="F355">
    <cfRule type="expression" priority="27" dxfId="0">
      <formula>LEN(F355)&gt;0</formula>
    </cfRule>
  </conditionalFormatting>
  <conditionalFormatting sqref="G355">
    <cfRule type="expression" priority="28" dxfId="0">
      <formula>LEN(G355)&gt;0</formula>
    </cfRule>
  </conditionalFormatting>
  <conditionalFormatting sqref="H355">
    <cfRule type="expression" priority="29" dxfId="0">
      <formula>LEN(H355)&gt;0</formula>
    </cfRule>
  </conditionalFormatting>
  <conditionalFormatting sqref="I355">
    <cfRule type="expression" priority="30" dxfId="0">
      <formula>LEN(I355)&gt;0</formula>
    </cfRule>
  </conditionalFormatting>
  <conditionalFormatting sqref="J355">
    <cfRule type="expression" priority="31" dxfId="0">
      <formula>LEN(J355)&gt;0</formula>
    </cfRule>
  </conditionalFormatting>
  <conditionalFormatting sqref="B470">
    <cfRule type="expression" priority="32" dxfId="0">
      <formula>LEN(B470)&gt;0</formula>
    </cfRule>
  </conditionalFormatting>
  <conditionalFormatting sqref="D470">
    <cfRule type="expression" priority="33" dxfId="0">
      <formula>LEN(D470)&gt;0</formula>
    </cfRule>
  </conditionalFormatting>
  <conditionalFormatting sqref="F470">
    <cfRule type="expression" priority="34" dxfId="0">
      <formula>LEN(F470)&gt;0</formula>
    </cfRule>
  </conditionalFormatting>
  <conditionalFormatting sqref="G470">
    <cfRule type="expression" priority="35" dxfId="0">
      <formula>LEN(G470)&gt;0</formula>
    </cfRule>
  </conditionalFormatting>
  <conditionalFormatting sqref="H470">
    <cfRule type="expression" priority="36" dxfId="0">
      <formula>LEN(H470)&gt;0</formula>
    </cfRule>
  </conditionalFormatting>
  <conditionalFormatting sqref="I470">
    <cfRule type="expression" priority="37" dxfId="0">
      <formula>LEN(I470)&gt;0</formula>
    </cfRule>
  </conditionalFormatting>
  <conditionalFormatting sqref="J470">
    <cfRule type="expression" priority="38" dxfId="0">
      <formula>LEN(J470)&gt;0</formula>
    </cfRule>
  </conditionalFormatting>
  <conditionalFormatting sqref="B585">
    <cfRule type="expression" priority="39" dxfId="0">
      <formula>LEN(B585)&gt;0</formula>
    </cfRule>
  </conditionalFormatting>
  <conditionalFormatting sqref="B700">
    <cfRule type="expression" priority="40" dxfId="0">
      <formula>LEN(B700)&gt;0</formula>
    </cfRule>
  </conditionalFormatting>
  <conditionalFormatting sqref="C700">
    <cfRule type="expression" priority="41" dxfId="0">
      <formula>LEN(C700)&gt;0</formula>
    </cfRule>
  </conditionalFormatting>
  <conditionalFormatting sqref="D700">
    <cfRule type="expression" priority="42" dxfId="0">
      <formula>LEN(D700)&gt;0</formula>
    </cfRule>
  </conditionalFormatting>
  <conditionalFormatting sqref="E700">
    <cfRule type="expression" priority="43" dxfId="0">
      <formula>LEN(E700)&gt;0</formula>
    </cfRule>
  </conditionalFormatting>
  <conditionalFormatting sqref="F700">
    <cfRule type="expression" priority="44" dxfId="0">
      <formula>LEN(F700)&gt;0</formula>
    </cfRule>
  </conditionalFormatting>
  <conditionalFormatting sqref="G700">
    <cfRule type="expression" priority="45" dxfId="0">
      <formula>LEN(G700)&gt;0</formula>
    </cfRule>
  </conditionalFormatting>
  <conditionalFormatting sqref="H700">
    <cfRule type="expression" priority="46" dxfId="0">
      <formula>LEN(H700)&gt;0</formula>
    </cfRule>
  </conditionalFormatting>
  <conditionalFormatting sqref="I700">
    <cfRule type="expression" priority="47" dxfId="0">
      <formula>LEN(I700)&gt;0</formula>
    </cfRule>
  </conditionalFormatting>
  <conditionalFormatting sqref="J700">
    <cfRule type="expression" priority="48" dxfId="0">
      <formula>LEN(J700)&gt;0</formula>
    </cfRule>
  </conditionalFormatting>
  <conditionalFormatting sqref="B815">
    <cfRule type="expression" priority="49" dxfId="0">
      <formula>LEN(B815)&gt;0</formula>
    </cfRule>
  </conditionalFormatting>
  <conditionalFormatting sqref="C815">
    <cfRule type="expression" priority="50" dxfId="0">
      <formula>LEN(C815)&gt;0</formula>
    </cfRule>
  </conditionalFormatting>
  <conditionalFormatting sqref="D815">
    <cfRule type="expression" priority="51" dxfId="0">
      <formula>LEN(D815)&gt;0</formula>
    </cfRule>
  </conditionalFormatting>
  <conditionalFormatting sqref="E815">
    <cfRule type="expression" priority="52" dxfId="0">
      <formula>LEN(E815)&gt;0</formula>
    </cfRule>
  </conditionalFormatting>
  <conditionalFormatting sqref="F815">
    <cfRule type="expression" priority="53" dxfId="0">
      <formula>LEN(F815)&gt;0</formula>
    </cfRule>
  </conditionalFormatting>
  <conditionalFormatting sqref="G815">
    <cfRule type="expression" priority="54" dxfId="0">
      <formula>LEN(G815)&gt;0</formula>
    </cfRule>
  </conditionalFormatting>
  <conditionalFormatting sqref="H815">
    <cfRule type="expression" priority="55" dxfId="0">
      <formula>LEN(H815)&gt;0</formula>
    </cfRule>
  </conditionalFormatting>
  <conditionalFormatting sqref="I815">
    <cfRule type="expression" priority="56" dxfId="0">
      <formula>LEN(I815)&gt;0</formula>
    </cfRule>
  </conditionalFormatting>
  <conditionalFormatting sqref="J815">
    <cfRule type="expression" priority="57" dxfId="0">
      <formula>LEN(J815)&gt;0</formula>
    </cfRule>
  </conditionalFormatting>
  <conditionalFormatting sqref="B930">
    <cfRule type="expression" priority="58" dxfId="0">
      <formula>LEN(B930)&gt;0</formula>
    </cfRule>
  </conditionalFormatting>
  <conditionalFormatting sqref="C930">
    <cfRule type="expression" priority="59" dxfId="0">
      <formula>LEN(C930)&gt;0</formula>
    </cfRule>
  </conditionalFormatting>
  <conditionalFormatting sqref="D930">
    <cfRule type="expression" priority="60" dxfId="0">
      <formula>LEN(D930)&gt;0</formula>
    </cfRule>
  </conditionalFormatting>
  <conditionalFormatting sqref="E930">
    <cfRule type="expression" priority="61" dxfId="0">
      <formula>LEN(E930)&gt;0</formula>
    </cfRule>
  </conditionalFormatting>
  <conditionalFormatting sqref="F930">
    <cfRule type="expression" priority="62" dxfId="0">
      <formula>LEN(F930)&gt;0</formula>
    </cfRule>
  </conditionalFormatting>
  <conditionalFormatting sqref="G930">
    <cfRule type="expression" priority="63" dxfId="0">
      <formula>LEN(G930)&gt;0</formula>
    </cfRule>
  </conditionalFormatting>
  <conditionalFormatting sqref="H930">
    <cfRule type="expression" priority="64" dxfId="0">
      <formula>LEN(H930)&gt;0</formula>
    </cfRule>
  </conditionalFormatting>
  <conditionalFormatting sqref="I930">
    <cfRule type="expression" priority="65" dxfId="0">
      <formula>LEN(I930)&gt;0</formula>
    </cfRule>
  </conditionalFormatting>
  <conditionalFormatting sqref="J930">
    <cfRule type="expression" priority="66" dxfId="0">
      <formula>LEN(J930)&gt;0</formula>
    </cfRule>
  </conditionalFormatting>
  <conditionalFormatting sqref="B1045">
    <cfRule type="expression" priority="67" dxfId="0">
      <formula>LEN(B1045)&gt;0</formula>
    </cfRule>
  </conditionalFormatting>
  <conditionalFormatting sqref="C1045">
    <cfRule type="expression" priority="68" dxfId="0">
      <formula>LEN(C1045)&gt;0</formula>
    </cfRule>
  </conditionalFormatting>
  <conditionalFormatting sqref="D1045">
    <cfRule type="expression" priority="69" dxfId="0">
      <formula>LEN(D1045)&gt;0</formula>
    </cfRule>
  </conditionalFormatting>
  <conditionalFormatting sqref="E1045">
    <cfRule type="expression" priority="70" dxfId="0">
      <formula>LEN(E1045)&gt;0</formula>
    </cfRule>
  </conditionalFormatting>
  <conditionalFormatting sqref="B1160">
    <cfRule type="expression" priority="71" dxfId="0">
      <formula>LEN(B1160)&gt;0</formula>
    </cfRule>
  </conditionalFormatting>
  <conditionalFormatting sqref="C1160">
    <cfRule type="expression" priority="72" dxfId="0">
      <formula>LEN(C1160)&gt;0</formula>
    </cfRule>
  </conditionalFormatting>
  <conditionalFormatting sqref="D1160">
    <cfRule type="expression" priority="73" dxfId="0">
      <formula>LEN(D1160)&gt;0</formula>
    </cfRule>
  </conditionalFormatting>
  <conditionalFormatting sqref="E1160">
    <cfRule type="expression" priority="74" dxfId="0">
      <formula>LEN(E1160)&gt;0</formula>
    </cfRule>
  </conditionalFormatting>
  <conditionalFormatting sqref="F1160">
    <cfRule type="expression" priority="75" dxfId="0">
      <formula>LEN(F1160)&gt;0</formula>
    </cfRule>
  </conditionalFormatting>
  <conditionalFormatting sqref="G1160">
    <cfRule type="expression" priority="76" dxfId="0">
      <formula>LEN(G1160)&gt;0</formula>
    </cfRule>
  </conditionalFormatting>
  <conditionalFormatting sqref="H1160">
    <cfRule type="expression" priority="77" dxfId="0">
      <formula>LEN(H1160)&gt;0</formula>
    </cfRule>
  </conditionalFormatting>
  <conditionalFormatting sqref="I1160">
    <cfRule type="expression" priority="78" dxfId="0">
      <formula>LEN(I1160)&gt;0</formula>
    </cfRule>
  </conditionalFormatting>
  <conditionalFormatting sqref="K12">
    <cfRule type="expression" priority="79" dxfId="0">
      <formula>LEN(K12)&gt;0</formula>
    </cfRule>
  </conditionalFormatting>
  <conditionalFormatting sqref="K13">
    <cfRule type="expression" priority="80" dxfId="0">
      <formula>LEN(K13)&gt;0</formula>
    </cfRule>
  </conditionalFormatting>
  <conditionalFormatting sqref="K14">
    <cfRule type="expression" priority="81" dxfId="0">
      <formula>LEN(K14)&gt;0</formula>
    </cfRule>
  </conditionalFormatting>
  <conditionalFormatting sqref="K15">
    <cfRule type="expression" priority="82" dxfId="0">
      <formula>LEN(K15)&gt;0</formula>
    </cfRule>
  </conditionalFormatting>
  <conditionalFormatting sqref="K16">
    <cfRule type="expression" priority="83" dxfId="0">
      <formula>LEN(K16)&gt;0</formula>
    </cfRule>
  </conditionalFormatting>
  <conditionalFormatting sqref="K17">
    <cfRule type="expression" priority="84" dxfId="0">
      <formula>LEN(K17)&gt;0</formula>
    </cfRule>
  </conditionalFormatting>
  <conditionalFormatting sqref="K18">
    <cfRule type="expression" priority="85" dxfId="0">
      <formula>LEN(K18)&gt;0</formula>
    </cfRule>
  </conditionalFormatting>
  <conditionalFormatting sqref="K19">
    <cfRule type="expression" priority="86" dxfId="0">
      <formula>LEN(K19)&gt;0</formula>
    </cfRule>
  </conditionalFormatting>
  <conditionalFormatting sqref="K20">
    <cfRule type="expression" priority="87" dxfId="0">
      <formula>LEN(K20)&gt;0</formula>
    </cfRule>
  </conditionalFormatting>
  <conditionalFormatting sqref="K21">
    <cfRule type="expression" priority="88" dxfId="0">
      <formula>LEN(K21)&gt;0</formula>
    </cfRule>
  </conditionalFormatting>
  <conditionalFormatting sqref="K22">
    <cfRule type="expression" priority="89" dxfId="0">
      <formula>LEN(K22)&gt;0</formula>
    </cfRule>
  </conditionalFormatting>
  <conditionalFormatting sqref="K23">
    <cfRule type="expression" priority="90" dxfId="0">
      <formula>LEN(K23)&gt;0</formula>
    </cfRule>
  </conditionalFormatting>
  <conditionalFormatting sqref="K24">
    <cfRule type="expression" priority="91" dxfId="0">
      <formula>LEN(K24)&gt;0</formula>
    </cfRule>
  </conditionalFormatting>
  <conditionalFormatting sqref="K26">
    <cfRule type="expression" priority="92" dxfId="0">
      <formula>LEN(K26)&gt;0</formula>
    </cfRule>
  </conditionalFormatting>
  <conditionalFormatting sqref="K27">
    <cfRule type="expression" priority="93" dxfId="0">
      <formula>LEN(K27)&gt;0</formula>
    </cfRule>
  </conditionalFormatting>
  <conditionalFormatting sqref="K28">
    <cfRule type="expression" priority="94" dxfId="0">
      <formula>LEN(K28)&gt;0</formula>
    </cfRule>
  </conditionalFormatting>
  <conditionalFormatting sqref="K29">
    <cfRule type="expression" priority="95" dxfId="0">
      <formula>LEN(K29)&gt;0</formula>
    </cfRule>
  </conditionalFormatting>
  <conditionalFormatting sqref="K30">
    <cfRule type="expression" priority="96" dxfId="0">
      <formula>LEN(K30)&gt;0</formula>
    </cfRule>
  </conditionalFormatting>
  <conditionalFormatting sqref="K31">
    <cfRule type="expression" priority="97" dxfId="0">
      <formula>LEN(K31)&gt;0</formula>
    </cfRule>
  </conditionalFormatting>
  <conditionalFormatting sqref="K32">
    <cfRule type="expression" priority="98" dxfId="0">
      <formula>LEN(K32)&gt;0</formula>
    </cfRule>
  </conditionalFormatting>
  <conditionalFormatting sqref="K33">
    <cfRule type="expression" priority="99" dxfId="0">
      <formula>LEN(K33)&gt;0</formula>
    </cfRule>
  </conditionalFormatting>
  <conditionalFormatting sqref="K34">
    <cfRule type="expression" priority="100" dxfId="0">
      <formula>LEN(K34)&gt;0</formula>
    </cfRule>
  </conditionalFormatting>
  <conditionalFormatting sqref="K35">
    <cfRule type="expression" priority="101" dxfId="0">
      <formula>LEN(K35)&gt;0</formula>
    </cfRule>
  </conditionalFormatting>
  <conditionalFormatting sqref="K36">
    <cfRule type="expression" priority="102" dxfId="0">
      <formula>LEN(K36)&gt;0</formula>
    </cfRule>
  </conditionalFormatting>
  <conditionalFormatting sqref="K37">
    <cfRule type="expression" priority="103" dxfId="0">
      <formula>LEN(K37)&gt;0</formula>
    </cfRule>
  </conditionalFormatting>
  <conditionalFormatting sqref="K38">
    <cfRule type="expression" priority="104" dxfId="0">
      <formula>LEN(K38)&gt;0</formula>
    </cfRule>
  </conditionalFormatting>
  <conditionalFormatting sqref="K40">
    <cfRule type="expression" priority="105" dxfId="0">
      <formula>LEN(K40)&gt;0</formula>
    </cfRule>
  </conditionalFormatting>
  <conditionalFormatting sqref="K41">
    <cfRule type="expression" priority="106" dxfId="0">
      <formula>LEN(K41)&gt;0</formula>
    </cfRule>
  </conditionalFormatting>
  <conditionalFormatting sqref="K42">
    <cfRule type="expression" priority="107" dxfId="0">
      <formula>LEN(K42)&gt;0</formula>
    </cfRule>
  </conditionalFormatting>
  <conditionalFormatting sqref="K43">
    <cfRule type="expression" priority="108" dxfId="0">
      <formula>LEN(K43)&gt;0</formula>
    </cfRule>
  </conditionalFormatting>
  <conditionalFormatting sqref="K44">
    <cfRule type="expression" priority="109" dxfId="0">
      <formula>LEN(K44)&gt;0</formula>
    </cfRule>
  </conditionalFormatting>
  <conditionalFormatting sqref="K45">
    <cfRule type="expression" priority="110" dxfId="0">
      <formula>LEN(K45)&gt;0</formula>
    </cfRule>
  </conditionalFormatting>
  <conditionalFormatting sqref="K46">
    <cfRule type="expression" priority="111" dxfId="0">
      <formula>LEN(K46)&gt;0</formula>
    </cfRule>
  </conditionalFormatting>
  <conditionalFormatting sqref="K47">
    <cfRule type="expression" priority="112" dxfId="0">
      <formula>LEN(K47)&gt;0</formula>
    </cfRule>
  </conditionalFormatting>
  <conditionalFormatting sqref="K48">
    <cfRule type="expression" priority="113" dxfId="0">
      <formula>LEN(K48)&gt;0</formula>
    </cfRule>
  </conditionalFormatting>
  <conditionalFormatting sqref="K49">
    <cfRule type="expression" priority="114" dxfId="0">
      <formula>LEN(K49)&gt;0</formula>
    </cfRule>
  </conditionalFormatting>
  <conditionalFormatting sqref="K50">
    <cfRule type="expression" priority="115" dxfId="0">
      <formula>LEN(K50)&gt;0</formula>
    </cfRule>
  </conditionalFormatting>
  <conditionalFormatting sqref="K51">
    <cfRule type="expression" priority="116" dxfId="0">
      <formula>LEN(K51)&gt;0</formula>
    </cfRule>
  </conditionalFormatting>
  <conditionalFormatting sqref="K52">
    <cfRule type="expression" priority="117" dxfId="0">
      <formula>LEN(K52)&gt;0</formula>
    </cfRule>
  </conditionalFormatting>
  <conditionalFormatting sqref="K54">
    <cfRule type="expression" priority="118" dxfId="0">
      <formula>LEN(K54)&gt;0</formula>
    </cfRule>
  </conditionalFormatting>
  <conditionalFormatting sqref="K55">
    <cfRule type="expression" priority="119" dxfId="0">
      <formula>LEN(K55)&gt;0</formula>
    </cfRule>
  </conditionalFormatting>
  <conditionalFormatting sqref="K56">
    <cfRule type="expression" priority="120" dxfId="0">
      <formula>LEN(K56)&gt;0</formula>
    </cfRule>
  </conditionalFormatting>
  <conditionalFormatting sqref="K57">
    <cfRule type="expression" priority="121" dxfId="0">
      <formula>LEN(K57)&gt;0</formula>
    </cfRule>
  </conditionalFormatting>
  <conditionalFormatting sqref="K58">
    <cfRule type="expression" priority="122" dxfId="0">
      <formula>LEN(K58)&gt;0</formula>
    </cfRule>
  </conditionalFormatting>
  <conditionalFormatting sqref="K59">
    <cfRule type="expression" priority="123" dxfId="0">
      <formula>LEN(K59)&gt;0</formula>
    </cfRule>
  </conditionalFormatting>
  <conditionalFormatting sqref="K60">
    <cfRule type="expression" priority="124" dxfId="0">
      <formula>LEN(K60)&gt;0</formula>
    </cfRule>
  </conditionalFormatting>
  <conditionalFormatting sqref="K61">
    <cfRule type="expression" priority="125" dxfId="0">
      <formula>LEN(K61)&gt;0</formula>
    </cfRule>
  </conditionalFormatting>
  <conditionalFormatting sqref="K62">
    <cfRule type="expression" priority="126" dxfId="0">
      <formula>LEN(K62)&gt;0</formula>
    </cfRule>
  </conditionalFormatting>
  <conditionalFormatting sqref="K63">
    <cfRule type="expression" priority="127" dxfId="0">
      <formula>LEN(K63)&gt;0</formula>
    </cfRule>
  </conditionalFormatting>
  <conditionalFormatting sqref="K64">
    <cfRule type="expression" priority="128" dxfId="0">
      <formula>LEN(K64)&gt;0</formula>
    </cfRule>
  </conditionalFormatting>
  <conditionalFormatting sqref="K65">
    <cfRule type="expression" priority="129" dxfId="0">
      <formula>LEN(K65)&gt;0</formula>
    </cfRule>
  </conditionalFormatting>
  <conditionalFormatting sqref="K66">
    <cfRule type="expression" priority="130" dxfId="0">
      <formula>LEN(K66)&gt;0</formula>
    </cfRule>
  </conditionalFormatting>
  <conditionalFormatting sqref="K68">
    <cfRule type="expression" priority="131" dxfId="0">
      <formula>LEN(K68)&gt;0</formula>
    </cfRule>
  </conditionalFormatting>
  <conditionalFormatting sqref="K69">
    <cfRule type="expression" priority="132" dxfId="0">
      <formula>LEN(K69)&gt;0</formula>
    </cfRule>
  </conditionalFormatting>
  <conditionalFormatting sqref="K70">
    <cfRule type="expression" priority="133" dxfId="0">
      <formula>LEN(K70)&gt;0</formula>
    </cfRule>
  </conditionalFormatting>
  <conditionalFormatting sqref="K71">
    <cfRule type="expression" priority="134" dxfId="0">
      <formula>LEN(K71)&gt;0</formula>
    </cfRule>
  </conditionalFormatting>
  <conditionalFormatting sqref="K72">
    <cfRule type="expression" priority="135" dxfId="0">
      <formula>LEN(K72)&gt;0</formula>
    </cfRule>
  </conditionalFormatting>
  <conditionalFormatting sqref="K73">
    <cfRule type="expression" priority="136" dxfId="0">
      <formula>LEN(K73)&gt;0</formula>
    </cfRule>
  </conditionalFormatting>
  <conditionalFormatting sqref="K74">
    <cfRule type="expression" priority="137" dxfId="0">
      <formula>LEN(K74)&gt;0</formula>
    </cfRule>
  </conditionalFormatting>
  <conditionalFormatting sqref="K75">
    <cfRule type="expression" priority="138" dxfId="0">
      <formula>LEN(K75)&gt;0</formula>
    </cfRule>
  </conditionalFormatting>
  <conditionalFormatting sqref="K76">
    <cfRule type="expression" priority="139" dxfId="0">
      <formula>LEN(K76)&gt;0</formula>
    </cfRule>
  </conditionalFormatting>
  <conditionalFormatting sqref="K77">
    <cfRule type="expression" priority="140" dxfId="0">
      <formula>LEN(K77)&gt;0</formula>
    </cfRule>
  </conditionalFormatting>
  <conditionalFormatting sqref="K78">
    <cfRule type="expression" priority="141" dxfId="0">
      <formula>LEN(K78)&gt;0</formula>
    </cfRule>
  </conditionalFormatting>
  <conditionalFormatting sqref="K79">
    <cfRule type="expression" priority="142" dxfId="0">
      <formula>LEN(K79)&gt;0</formula>
    </cfRule>
  </conditionalFormatting>
  <conditionalFormatting sqref="K80">
    <cfRule type="expression" priority="143" dxfId="0">
      <formula>LEN(K80)&gt;0</formula>
    </cfRule>
  </conditionalFormatting>
  <conditionalFormatting sqref="K82">
    <cfRule type="expression" priority="144" dxfId="0">
      <formula>LEN(K82)&gt;0</formula>
    </cfRule>
  </conditionalFormatting>
  <conditionalFormatting sqref="K83">
    <cfRule type="expression" priority="145" dxfId="0">
      <formula>LEN(K83)&gt;0</formula>
    </cfRule>
  </conditionalFormatting>
  <conditionalFormatting sqref="K84">
    <cfRule type="expression" priority="146" dxfId="0">
      <formula>LEN(K84)&gt;0</formula>
    </cfRule>
  </conditionalFormatting>
  <conditionalFormatting sqref="K85">
    <cfRule type="expression" priority="147" dxfId="0">
      <formula>LEN(K85)&gt;0</formula>
    </cfRule>
  </conditionalFormatting>
  <conditionalFormatting sqref="K86">
    <cfRule type="expression" priority="148" dxfId="0">
      <formula>LEN(K86)&gt;0</formula>
    </cfRule>
  </conditionalFormatting>
  <conditionalFormatting sqref="K87">
    <cfRule type="expression" priority="149" dxfId="0">
      <formula>LEN(K87)&gt;0</formula>
    </cfRule>
  </conditionalFormatting>
  <conditionalFormatting sqref="K88">
    <cfRule type="expression" priority="150" dxfId="0">
      <formula>LEN(K88)&gt;0</formula>
    </cfRule>
  </conditionalFormatting>
  <conditionalFormatting sqref="K89">
    <cfRule type="expression" priority="151" dxfId="0">
      <formula>LEN(K89)&gt;0</formula>
    </cfRule>
  </conditionalFormatting>
  <conditionalFormatting sqref="K90">
    <cfRule type="expression" priority="152" dxfId="0">
      <formula>LEN(K90)&gt;0</formula>
    </cfRule>
  </conditionalFormatting>
  <conditionalFormatting sqref="K91">
    <cfRule type="expression" priority="153" dxfId="0">
      <formula>LEN(K91)&gt;0</formula>
    </cfRule>
  </conditionalFormatting>
  <conditionalFormatting sqref="K92">
    <cfRule type="expression" priority="154" dxfId="0">
      <formula>LEN(K92)&gt;0</formula>
    </cfRule>
  </conditionalFormatting>
  <conditionalFormatting sqref="K93">
    <cfRule type="expression" priority="155" dxfId="0">
      <formula>LEN(K93)&gt;0</formula>
    </cfRule>
  </conditionalFormatting>
  <conditionalFormatting sqref="K94">
    <cfRule type="expression" priority="156" dxfId="0">
      <formula>LEN(K94)&gt;0</formula>
    </cfRule>
  </conditionalFormatting>
  <conditionalFormatting sqref="K96">
    <cfRule type="expression" priority="157" dxfId="0">
      <formula>LEN(K96)&gt;0</formula>
    </cfRule>
  </conditionalFormatting>
  <conditionalFormatting sqref="K97">
    <cfRule type="expression" priority="158" dxfId="0">
      <formula>LEN(K97)&gt;0</formula>
    </cfRule>
  </conditionalFormatting>
  <conditionalFormatting sqref="K98">
    <cfRule type="expression" priority="159" dxfId="0">
      <formula>LEN(K98)&gt;0</formula>
    </cfRule>
  </conditionalFormatting>
  <conditionalFormatting sqref="K99">
    <cfRule type="expression" priority="160" dxfId="0">
      <formula>LEN(K99)&gt;0</formula>
    </cfRule>
  </conditionalFormatting>
  <conditionalFormatting sqref="K100">
    <cfRule type="expression" priority="161" dxfId="0">
      <formula>LEN(K100)&gt;0</formula>
    </cfRule>
  </conditionalFormatting>
  <conditionalFormatting sqref="K101">
    <cfRule type="expression" priority="162" dxfId="0">
      <formula>LEN(K101)&gt;0</formula>
    </cfRule>
  </conditionalFormatting>
  <conditionalFormatting sqref="K102">
    <cfRule type="expression" priority="163" dxfId="0">
      <formula>LEN(K102)&gt;0</formula>
    </cfRule>
  </conditionalFormatting>
  <conditionalFormatting sqref="K103">
    <cfRule type="expression" priority="164" dxfId="0">
      <formula>LEN(K103)&gt;0</formula>
    </cfRule>
  </conditionalFormatting>
  <conditionalFormatting sqref="K104">
    <cfRule type="expression" priority="165" dxfId="0">
      <formula>LEN(K104)&gt;0</formula>
    </cfRule>
  </conditionalFormatting>
  <conditionalFormatting sqref="K105">
    <cfRule type="expression" priority="166" dxfId="0">
      <formula>LEN(K105)&gt;0</formula>
    </cfRule>
  </conditionalFormatting>
  <conditionalFormatting sqref="K106">
    <cfRule type="expression" priority="167" dxfId="0">
      <formula>LEN(K106)&gt;0</formula>
    </cfRule>
  </conditionalFormatting>
  <conditionalFormatting sqref="K107">
    <cfRule type="expression" priority="168" dxfId="0">
      <formula>LEN(K107)&gt;0</formula>
    </cfRule>
  </conditionalFormatting>
  <conditionalFormatting sqref="K108">
    <cfRule type="expression" priority="169" dxfId="0">
      <formula>LEN(K108)&gt;0</formula>
    </cfRule>
  </conditionalFormatting>
  <conditionalFormatting sqref="K110">
    <cfRule type="expression" priority="170" dxfId="0">
      <formula>LEN(K110)&gt;0</formula>
    </cfRule>
  </conditionalFormatting>
  <conditionalFormatting sqref="K111">
    <cfRule type="expression" priority="171" dxfId="0">
      <formula>LEN(K111)&gt;0</formula>
    </cfRule>
  </conditionalFormatting>
  <conditionalFormatting sqref="K112">
    <cfRule type="expression" priority="172" dxfId="0">
      <formula>LEN(K112)&gt;0</formula>
    </cfRule>
  </conditionalFormatting>
  <conditionalFormatting sqref="K113">
    <cfRule type="expression" priority="173" dxfId="0">
      <formula>LEN(K113)&gt;0</formula>
    </cfRule>
  </conditionalFormatting>
  <conditionalFormatting sqref="K114">
    <cfRule type="expression" priority="174" dxfId="0">
      <formula>LEN(K114)&gt;0</formula>
    </cfRule>
  </conditionalFormatting>
  <conditionalFormatting sqref="K115">
    <cfRule type="expression" priority="175" dxfId="0">
      <formula>LEN(K115)&gt;0</formula>
    </cfRule>
  </conditionalFormatting>
  <conditionalFormatting sqref="K116">
    <cfRule type="expression" priority="176" dxfId="0">
      <formula>LEN(K116)&gt;0</formula>
    </cfRule>
  </conditionalFormatting>
  <conditionalFormatting sqref="K117">
    <cfRule type="expression" priority="177" dxfId="0">
      <formula>LEN(K117)&gt;0</formula>
    </cfRule>
  </conditionalFormatting>
  <conditionalFormatting sqref="K118">
    <cfRule type="expression" priority="178" dxfId="0">
      <formula>LEN(K118)&gt;0</formula>
    </cfRule>
  </conditionalFormatting>
  <conditionalFormatting sqref="K127">
    <cfRule type="expression" priority="179" dxfId="0">
      <formula>LEN(K127)&gt;0</formula>
    </cfRule>
  </conditionalFormatting>
  <conditionalFormatting sqref="K128">
    <cfRule type="expression" priority="180" dxfId="0">
      <formula>LEN(K128)&gt;0</formula>
    </cfRule>
  </conditionalFormatting>
  <conditionalFormatting sqref="K129">
    <cfRule type="expression" priority="181" dxfId="0">
      <formula>LEN(K129)&gt;0</formula>
    </cfRule>
  </conditionalFormatting>
  <conditionalFormatting sqref="K130">
    <cfRule type="expression" priority="182" dxfId="0">
      <formula>LEN(K130)&gt;0</formula>
    </cfRule>
  </conditionalFormatting>
  <conditionalFormatting sqref="K131">
    <cfRule type="expression" priority="183" dxfId="0">
      <formula>LEN(K131)&gt;0</formula>
    </cfRule>
  </conditionalFormatting>
  <conditionalFormatting sqref="K132">
    <cfRule type="expression" priority="184" dxfId="0">
      <formula>LEN(K132)&gt;0</formula>
    </cfRule>
  </conditionalFormatting>
  <conditionalFormatting sqref="K133">
    <cfRule type="expression" priority="185" dxfId="0">
      <formula>LEN(K133)&gt;0</formula>
    </cfRule>
  </conditionalFormatting>
  <conditionalFormatting sqref="K134">
    <cfRule type="expression" priority="186" dxfId="0">
      <formula>LEN(K134)&gt;0</formula>
    </cfRule>
  </conditionalFormatting>
  <conditionalFormatting sqref="K135">
    <cfRule type="expression" priority="187" dxfId="0">
      <formula>LEN(K135)&gt;0</formula>
    </cfRule>
  </conditionalFormatting>
  <conditionalFormatting sqref="K136">
    <cfRule type="expression" priority="188" dxfId="0">
      <formula>LEN(K136)&gt;0</formula>
    </cfRule>
  </conditionalFormatting>
  <conditionalFormatting sqref="K137">
    <cfRule type="expression" priority="189" dxfId="0">
      <formula>LEN(K137)&gt;0</formula>
    </cfRule>
  </conditionalFormatting>
  <conditionalFormatting sqref="K138">
    <cfRule type="expression" priority="190" dxfId="0">
      <formula>LEN(K138)&gt;0</formula>
    </cfRule>
  </conditionalFormatting>
  <conditionalFormatting sqref="K139">
    <cfRule type="expression" priority="191" dxfId="0">
      <formula>LEN(K139)&gt;0</formula>
    </cfRule>
  </conditionalFormatting>
  <conditionalFormatting sqref="K141">
    <cfRule type="expression" priority="192" dxfId="0">
      <formula>LEN(K141)&gt;0</formula>
    </cfRule>
  </conditionalFormatting>
  <conditionalFormatting sqref="K142">
    <cfRule type="expression" priority="193" dxfId="0">
      <formula>LEN(K142)&gt;0</formula>
    </cfRule>
  </conditionalFormatting>
  <conditionalFormatting sqref="K143">
    <cfRule type="expression" priority="194" dxfId="0">
      <formula>LEN(K143)&gt;0</formula>
    </cfRule>
  </conditionalFormatting>
  <conditionalFormatting sqref="K144">
    <cfRule type="expression" priority="195" dxfId="0">
      <formula>LEN(K144)&gt;0</formula>
    </cfRule>
  </conditionalFormatting>
  <conditionalFormatting sqref="K145">
    <cfRule type="expression" priority="196" dxfId="0">
      <formula>LEN(K145)&gt;0</formula>
    </cfRule>
  </conditionalFormatting>
  <conditionalFormatting sqref="K146">
    <cfRule type="expression" priority="197" dxfId="0">
      <formula>LEN(K146)&gt;0</formula>
    </cfRule>
  </conditionalFormatting>
  <conditionalFormatting sqref="K147">
    <cfRule type="expression" priority="198" dxfId="0">
      <formula>LEN(K147)&gt;0</formula>
    </cfRule>
  </conditionalFormatting>
  <conditionalFormatting sqref="K148">
    <cfRule type="expression" priority="199" dxfId="0">
      <formula>LEN(K148)&gt;0</formula>
    </cfRule>
  </conditionalFormatting>
  <conditionalFormatting sqref="K149">
    <cfRule type="expression" priority="200" dxfId="0">
      <formula>LEN(K149)&gt;0</formula>
    </cfRule>
  </conditionalFormatting>
  <conditionalFormatting sqref="K150">
    <cfRule type="expression" priority="201" dxfId="0">
      <formula>LEN(K150)&gt;0</formula>
    </cfRule>
  </conditionalFormatting>
  <conditionalFormatting sqref="K151">
    <cfRule type="expression" priority="202" dxfId="0">
      <formula>LEN(K151)&gt;0</formula>
    </cfRule>
  </conditionalFormatting>
  <conditionalFormatting sqref="K152">
    <cfRule type="expression" priority="203" dxfId="0">
      <formula>LEN(K152)&gt;0</formula>
    </cfRule>
  </conditionalFormatting>
  <conditionalFormatting sqref="K153">
    <cfRule type="expression" priority="204" dxfId="0">
      <formula>LEN(K153)&gt;0</formula>
    </cfRule>
  </conditionalFormatting>
  <conditionalFormatting sqref="K155">
    <cfRule type="expression" priority="205" dxfId="0">
      <formula>LEN(K155)&gt;0</formula>
    </cfRule>
  </conditionalFormatting>
  <conditionalFormatting sqref="K156">
    <cfRule type="expression" priority="206" dxfId="0">
      <formula>LEN(K156)&gt;0</formula>
    </cfRule>
  </conditionalFormatting>
  <conditionalFormatting sqref="K157">
    <cfRule type="expression" priority="207" dxfId="0">
      <formula>LEN(K157)&gt;0</formula>
    </cfRule>
  </conditionalFormatting>
  <conditionalFormatting sqref="K158">
    <cfRule type="expression" priority="208" dxfId="0">
      <formula>LEN(K158)&gt;0</formula>
    </cfRule>
  </conditionalFormatting>
  <conditionalFormatting sqref="K159">
    <cfRule type="expression" priority="209" dxfId="0">
      <formula>LEN(K159)&gt;0</formula>
    </cfRule>
  </conditionalFormatting>
  <conditionalFormatting sqref="K160">
    <cfRule type="expression" priority="210" dxfId="0">
      <formula>LEN(K160)&gt;0</formula>
    </cfRule>
  </conditionalFormatting>
  <conditionalFormatting sqref="K161">
    <cfRule type="expression" priority="211" dxfId="0">
      <formula>LEN(K161)&gt;0</formula>
    </cfRule>
  </conditionalFormatting>
  <conditionalFormatting sqref="K162">
    <cfRule type="expression" priority="212" dxfId="0">
      <formula>LEN(K162)&gt;0</formula>
    </cfRule>
  </conditionalFormatting>
  <conditionalFormatting sqref="K163">
    <cfRule type="expression" priority="213" dxfId="0">
      <formula>LEN(K163)&gt;0</formula>
    </cfRule>
  </conditionalFormatting>
  <conditionalFormatting sqref="K164">
    <cfRule type="expression" priority="214" dxfId="0">
      <formula>LEN(K164)&gt;0</formula>
    </cfRule>
  </conditionalFormatting>
  <conditionalFormatting sqref="K165">
    <cfRule type="expression" priority="215" dxfId="0">
      <formula>LEN(K165)&gt;0</formula>
    </cfRule>
  </conditionalFormatting>
  <conditionalFormatting sqref="K166">
    <cfRule type="expression" priority="216" dxfId="0">
      <formula>LEN(K166)&gt;0</formula>
    </cfRule>
  </conditionalFormatting>
  <conditionalFormatting sqref="K167">
    <cfRule type="expression" priority="217" dxfId="0">
      <formula>LEN(K167)&gt;0</formula>
    </cfRule>
  </conditionalFormatting>
  <conditionalFormatting sqref="K169">
    <cfRule type="expression" priority="218" dxfId="0">
      <formula>LEN(K169)&gt;0</formula>
    </cfRule>
  </conditionalFormatting>
  <conditionalFormatting sqref="K170">
    <cfRule type="expression" priority="219" dxfId="0">
      <formula>LEN(K170)&gt;0</formula>
    </cfRule>
  </conditionalFormatting>
  <conditionalFormatting sqref="K171">
    <cfRule type="expression" priority="220" dxfId="0">
      <formula>LEN(K171)&gt;0</formula>
    </cfRule>
  </conditionalFormatting>
  <conditionalFormatting sqref="K172">
    <cfRule type="expression" priority="221" dxfId="0">
      <formula>LEN(K172)&gt;0</formula>
    </cfRule>
  </conditionalFormatting>
  <conditionalFormatting sqref="K173">
    <cfRule type="expression" priority="222" dxfId="0">
      <formula>LEN(K173)&gt;0</formula>
    </cfRule>
  </conditionalFormatting>
  <conditionalFormatting sqref="K174">
    <cfRule type="expression" priority="223" dxfId="0">
      <formula>LEN(K174)&gt;0</formula>
    </cfRule>
  </conditionalFormatting>
  <conditionalFormatting sqref="K175">
    <cfRule type="expression" priority="224" dxfId="0">
      <formula>LEN(K175)&gt;0</formula>
    </cfRule>
  </conditionalFormatting>
  <conditionalFormatting sqref="K176">
    <cfRule type="expression" priority="225" dxfId="0">
      <formula>LEN(K176)&gt;0</formula>
    </cfRule>
  </conditionalFormatting>
  <conditionalFormatting sqref="K177">
    <cfRule type="expression" priority="226" dxfId="0">
      <formula>LEN(K177)&gt;0</formula>
    </cfRule>
  </conditionalFormatting>
  <conditionalFormatting sqref="K178">
    <cfRule type="expression" priority="227" dxfId="0">
      <formula>LEN(K178)&gt;0</formula>
    </cfRule>
  </conditionalFormatting>
  <conditionalFormatting sqref="K179">
    <cfRule type="expression" priority="228" dxfId="0">
      <formula>LEN(K179)&gt;0</formula>
    </cfRule>
  </conditionalFormatting>
  <conditionalFormatting sqref="K180">
    <cfRule type="expression" priority="229" dxfId="0">
      <formula>LEN(K180)&gt;0</formula>
    </cfRule>
  </conditionalFormatting>
  <conditionalFormatting sqref="K181">
    <cfRule type="expression" priority="230" dxfId="0">
      <formula>LEN(K181)&gt;0</formula>
    </cfRule>
  </conditionalFormatting>
  <conditionalFormatting sqref="K183">
    <cfRule type="expression" priority="231" dxfId="0">
      <formula>LEN(K183)&gt;0</formula>
    </cfRule>
  </conditionalFormatting>
  <conditionalFormatting sqref="K184">
    <cfRule type="expression" priority="232" dxfId="0">
      <formula>LEN(K184)&gt;0</formula>
    </cfRule>
  </conditionalFormatting>
  <conditionalFormatting sqref="K185">
    <cfRule type="expression" priority="233" dxfId="0">
      <formula>LEN(K185)&gt;0</formula>
    </cfRule>
  </conditionalFormatting>
  <conditionalFormatting sqref="K186">
    <cfRule type="expression" priority="234" dxfId="0">
      <formula>LEN(K186)&gt;0</formula>
    </cfRule>
  </conditionalFormatting>
  <conditionalFormatting sqref="K187">
    <cfRule type="expression" priority="235" dxfId="0">
      <formula>LEN(K187)&gt;0</formula>
    </cfRule>
  </conditionalFormatting>
  <conditionalFormatting sqref="K188">
    <cfRule type="expression" priority="236" dxfId="0">
      <formula>LEN(K188)&gt;0</formula>
    </cfRule>
  </conditionalFormatting>
  <conditionalFormatting sqref="K189">
    <cfRule type="expression" priority="237" dxfId="0">
      <formula>LEN(K189)&gt;0</formula>
    </cfRule>
  </conditionalFormatting>
  <conditionalFormatting sqref="K190">
    <cfRule type="expression" priority="238" dxfId="0">
      <formula>LEN(K190)&gt;0</formula>
    </cfRule>
  </conditionalFormatting>
  <conditionalFormatting sqref="K191">
    <cfRule type="expression" priority="239" dxfId="0">
      <formula>LEN(K191)&gt;0</formula>
    </cfRule>
  </conditionalFormatting>
  <conditionalFormatting sqref="K192">
    <cfRule type="expression" priority="240" dxfId="0">
      <formula>LEN(K192)&gt;0</formula>
    </cfRule>
  </conditionalFormatting>
  <conditionalFormatting sqref="K193">
    <cfRule type="expression" priority="241" dxfId="0">
      <formula>LEN(K193)&gt;0</formula>
    </cfRule>
  </conditionalFormatting>
  <conditionalFormatting sqref="K194">
    <cfRule type="expression" priority="242" dxfId="0">
      <formula>LEN(K194)&gt;0</formula>
    </cfRule>
  </conditionalFormatting>
  <conditionalFormatting sqref="K195">
    <cfRule type="expression" priority="243" dxfId="0">
      <formula>LEN(K195)&gt;0</formula>
    </cfRule>
  </conditionalFormatting>
  <conditionalFormatting sqref="K197">
    <cfRule type="expression" priority="244" dxfId="0">
      <formula>LEN(K197)&gt;0</formula>
    </cfRule>
  </conditionalFormatting>
  <conditionalFormatting sqref="K198">
    <cfRule type="expression" priority="245" dxfId="0">
      <formula>LEN(K198)&gt;0</formula>
    </cfRule>
  </conditionalFormatting>
  <conditionalFormatting sqref="K199">
    <cfRule type="expression" priority="246" dxfId="0">
      <formula>LEN(K199)&gt;0</formula>
    </cfRule>
  </conditionalFormatting>
  <conditionalFormatting sqref="K200">
    <cfRule type="expression" priority="247" dxfId="0">
      <formula>LEN(K200)&gt;0</formula>
    </cfRule>
  </conditionalFormatting>
  <conditionalFormatting sqref="K201">
    <cfRule type="expression" priority="248" dxfId="0">
      <formula>LEN(K201)&gt;0</formula>
    </cfRule>
  </conditionalFormatting>
  <conditionalFormatting sqref="K202">
    <cfRule type="expression" priority="249" dxfId="0">
      <formula>LEN(K202)&gt;0</formula>
    </cfRule>
  </conditionalFormatting>
  <conditionalFormatting sqref="K203">
    <cfRule type="expression" priority="250" dxfId="0">
      <formula>LEN(K203)&gt;0</formula>
    </cfRule>
  </conditionalFormatting>
  <conditionalFormatting sqref="K204">
    <cfRule type="expression" priority="251" dxfId="0">
      <formula>LEN(K204)&gt;0</formula>
    </cfRule>
  </conditionalFormatting>
  <conditionalFormatting sqref="K205">
    <cfRule type="expression" priority="252" dxfId="0">
      <formula>LEN(K205)&gt;0</formula>
    </cfRule>
  </conditionalFormatting>
  <conditionalFormatting sqref="K206">
    <cfRule type="expression" priority="253" dxfId="0">
      <formula>LEN(K206)&gt;0</formula>
    </cfRule>
  </conditionalFormatting>
  <conditionalFormatting sqref="K207">
    <cfRule type="expression" priority="254" dxfId="0">
      <formula>LEN(K207)&gt;0</formula>
    </cfRule>
  </conditionalFormatting>
  <conditionalFormatting sqref="K208">
    <cfRule type="expression" priority="255" dxfId="0">
      <formula>LEN(K208)&gt;0</formula>
    </cfRule>
  </conditionalFormatting>
  <conditionalFormatting sqref="K209">
    <cfRule type="expression" priority="256" dxfId="0">
      <formula>LEN(K209)&gt;0</formula>
    </cfRule>
  </conditionalFormatting>
  <conditionalFormatting sqref="K211">
    <cfRule type="expression" priority="257" dxfId="0">
      <formula>LEN(K211)&gt;0</formula>
    </cfRule>
  </conditionalFormatting>
  <conditionalFormatting sqref="K212">
    <cfRule type="expression" priority="258" dxfId="0">
      <formula>LEN(K212)&gt;0</formula>
    </cfRule>
  </conditionalFormatting>
  <conditionalFormatting sqref="K213">
    <cfRule type="expression" priority="259" dxfId="0">
      <formula>LEN(K213)&gt;0</formula>
    </cfRule>
  </conditionalFormatting>
  <conditionalFormatting sqref="K214">
    <cfRule type="expression" priority="260" dxfId="0">
      <formula>LEN(K214)&gt;0</formula>
    </cfRule>
  </conditionalFormatting>
  <conditionalFormatting sqref="K215">
    <cfRule type="expression" priority="261" dxfId="0">
      <formula>LEN(K215)&gt;0</formula>
    </cfRule>
  </conditionalFormatting>
  <conditionalFormatting sqref="K216">
    <cfRule type="expression" priority="262" dxfId="0">
      <formula>LEN(K216)&gt;0</formula>
    </cfRule>
  </conditionalFormatting>
  <conditionalFormatting sqref="K217">
    <cfRule type="expression" priority="263" dxfId="0">
      <formula>LEN(K217)&gt;0</formula>
    </cfRule>
  </conditionalFormatting>
  <conditionalFormatting sqref="K218">
    <cfRule type="expression" priority="264" dxfId="0">
      <formula>LEN(K218)&gt;0</formula>
    </cfRule>
  </conditionalFormatting>
  <conditionalFormatting sqref="K219">
    <cfRule type="expression" priority="265" dxfId="0">
      <formula>LEN(K219)&gt;0</formula>
    </cfRule>
  </conditionalFormatting>
  <conditionalFormatting sqref="K220">
    <cfRule type="expression" priority="266" dxfId="0">
      <formula>LEN(K220)&gt;0</formula>
    </cfRule>
  </conditionalFormatting>
  <conditionalFormatting sqref="K221">
    <cfRule type="expression" priority="267" dxfId="0">
      <formula>LEN(K221)&gt;0</formula>
    </cfRule>
  </conditionalFormatting>
  <conditionalFormatting sqref="K222">
    <cfRule type="expression" priority="268" dxfId="0">
      <formula>LEN(K222)&gt;0</formula>
    </cfRule>
  </conditionalFormatting>
  <conditionalFormatting sqref="K223">
    <cfRule type="expression" priority="269" dxfId="0">
      <formula>LEN(K223)&gt;0</formula>
    </cfRule>
  </conditionalFormatting>
  <conditionalFormatting sqref="K225">
    <cfRule type="expression" priority="270" dxfId="0">
      <formula>LEN(K225)&gt;0</formula>
    </cfRule>
  </conditionalFormatting>
  <conditionalFormatting sqref="K226">
    <cfRule type="expression" priority="271" dxfId="0">
      <formula>LEN(K226)&gt;0</formula>
    </cfRule>
  </conditionalFormatting>
  <conditionalFormatting sqref="K227">
    <cfRule type="expression" priority="272" dxfId="0">
      <formula>LEN(K227)&gt;0</formula>
    </cfRule>
  </conditionalFormatting>
  <conditionalFormatting sqref="K228">
    <cfRule type="expression" priority="273" dxfId="0">
      <formula>LEN(K228)&gt;0</formula>
    </cfRule>
  </conditionalFormatting>
  <conditionalFormatting sqref="K229">
    <cfRule type="expression" priority="274" dxfId="0">
      <formula>LEN(K229)&gt;0</formula>
    </cfRule>
  </conditionalFormatting>
  <conditionalFormatting sqref="K230">
    <cfRule type="expression" priority="275" dxfId="0">
      <formula>LEN(K230)&gt;0</formula>
    </cfRule>
  </conditionalFormatting>
  <conditionalFormatting sqref="K231">
    <cfRule type="expression" priority="276" dxfId="0">
      <formula>LEN(K231)&gt;0</formula>
    </cfRule>
  </conditionalFormatting>
  <conditionalFormatting sqref="K232">
    <cfRule type="expression" priority="277" dxfId="0">
      <formula>LEN(K232)&gt;0</formula>
    </cfRule>
  </conditionalFormatting>
  <conditionalFormatting sqref="K233">
    <cfRule type="expression" priority="278" dxfId="0">
      <formula>LEN(K233)&gt;0</formula>
    </cfRule>
  </conditionalFormatting>
  <conditionalFormatting sqref="K242">
    <cfRule type="expression" priority="279" dxfId="0">
      <formula>LEN(K242)&gt;0</formula>
    </cfRule>
  </conditionalFormatting>
  <conditionalFormatting sqref="K243">
    <cfRule type="expression" priority="280" dxfId="0">
      <formula>LEN(K243)&gt;0</formula>
    </cfRule>
  </conditionalFormatting>
  <conditionalFormatting sqref="K244">
    <cfRule type="expression" priority="281" dxfId="0">
      <formula>LEN(K244)&gt;0</formula>
    </cfRule>
  </conditionalFormatting>
  <conditionalFormatting sqref="K245">
    <cfRule type="expression" priority="282" dxfId="0">
      <formula>LEN(K245)&gt;0</formula>
    </cfRule>
  </conditionalFormatting>
  <conditionalFormatting sqref="K246">
    <cfRule type="expression" priority="283" dxfId="0">
      <formula>LEN(K246)&gt;0</formula>
    </cfRule>
  </conditionalFormatting>
  <conditionalFormatting sqref="K247">
    <cfRule type="expression" priority="284" dxfId="0">
      <formula>LEN(K247)&gt;0</formula>
    </cfRule>
  </conditionalFormatting>
  <conditionalFormatting sqref="K248">
    <cfRule type="expression" priority="285" dxfId="0">
      <formula>LEN(K248)&gt;0</formula>
    </cfRule>
  </conditionalFormatting>
  <conditionalFormatting sqref="K249">
    <cfRule type="expression" priority="286" dxfId="0">
      <formula>LEN(K249)&gt;0</formula>
    </cfRule>
  </conditionalFormatting>
  <conditionalFormatting sqref="K250">
    <cfRule type="expression" priority="287" dxfId="0">
      <formula>LEN(K250)&gt;0</formula>
    </cfRule>
  </conditionalFormatting>
  <conditionalFormatting sqref="K251">
    <cfRule type="expression" priority="288" dxfId="0">
      <formula>LEN(K251)&gt;0</formula>
    </cfRule>
  </conditionalFormatting>
  <conditionalFormatting sqref="K252">
    <cfRule type="expression" priority="289" dxfId="0">
      <formula>LEN(K252)&gt;0</formula>
    </cfRule>
  </conditionalFormatting>
  <conditionalFormatting sqref="K253">
    <cfRule type="expression" priority="290" dxfId="0">
      <formula>LEN(K253)&gt;0</formula>
    </cfRule>
  </conditionalFormatting>
  <conditionalFormatting sqref="K254">
    <cfRule type="expression" priority="291" dxfId="0">
      <formula>LEN(K254)&gt;0</formula>
    </cfRule>
  </conditionalFormatting>
  <conditionalFormatting sqref="K256">
    <cfRule type="expression" priority="292" dxfId="0">
      <formula>LEN(K256)&gt;0</formula>
    </cfRule>
  </conditionalFormatting>
  <conditionalFormatting sqref="K257">
    <cfRule type="expression" priority="293" dxfId="0">
      <formula>LEN(K257)&gt;0</formula>
    </cfRule>
  </conditionalFormatting>
  <conditionalFormatting sqref="K258">
    <cfRule type="expression" priority="294" dxfId="0">
      <formula>LEN(K258)&gt;0</formula>
    </cfRule>
  </conditionalFormatting>
  <conditionalFormatting sqref="K259">
    <cfRule type="expression" priority="295" dxfId="0">
      <formula>LEN(K259)&gt;0</formula>
    </cfRule>
  </conditionalFormatting>
  <conditionalFormatting sqref="K260">
    <cfRule type="expression" priority="296" dxfId="0">
      <formula>LEN(K260)&gt;0</formula>
    </cfRule>
  </conditionalFormatting>
  <conditionalFormatting sqref="K261">
    <cfRule type="expression" priority="297" dxfId="0">
      <formula>LEN(K261)&gt;0</formula>
    </cfRule>
  </conditionalFormatting>
  <conditionalFormatting sqref="K262">
    <cfRule type="expression" priority="298" dxfId="0">
      <formula>LEN(K262)&gt;0</formula>
    </cfRule>
  </conditionalFormatting>
  <conditionalFormatting sqref="K263">
    <cfRule type="expression" priority="299" dxfId="0">
      <formula>LEN(K263)&gt;0</formula>
    </cfRule>
  </conditionalFormatting>
  <conditionalFormatting sqref="K264">
    <cfRule type="expression" priority="300" dxfId="0">
      <formula>LEN(K264)&gt;0</formula>
    </cfRule>
  </conditionalFormatting>
  <conditionalFormatting sqref="K265">
    <cfRule type="expression" priority="301" dxfId="0">
      <formula>LEN(K265)&gt;0</formula>
    </cfRule>
  </conditionalFormatting>
  <conditionalFormatting sqref="K266">
    <cfRule type="expression" priority="302" dxfId="0">
      <formula>LEN(K266)&gt;0</formula>
    </cfRule>
  </conditionalFormatting>
  <conditionalFormatting sqref="K267">
    <cfRule type="expression" priority="303" dxfId="0">
      <formula>LEN(K267)&gt;0</formula>
    </cfRule>
  </conditionalFormatting>
  <conditionalFormatting sqref="K268">
    <cfRule type="expression" priority="304" dxfId="0">
      <formula>LEN(K268)&gt;0</formula>
    </cfRule>
  </conditionalFormatting>
  <conditionalFormatting sqref="K270">
    <cfRule type="expression" priority="305" dxfId="0">
      <formula>LEN(K270)&gt;0</formula>
    </cfRule>
  </conditionalFormatting>
  <conditionalFormatting sqref="K271">
    <cfRule type="expression" priority="306" dxfId="0">
      <formula>LEN(K271)&gt;0</formula>
    </cfRule>
  </conditionalFormatting>
  <conditionalFormatting sqref="K272">
    <cfRule type="expression" priority="307" dxfId="0">
      <formula>LEN(K272)&gt;0</formula>
    </cfRule>
  </conditionalFormatting>
  <conditionalFormatting sqref="K273">
    <cfRule type="expression" priority="308" dxfId="0">
      <formula>LEN(K273)&gt;0</formula>
    </cfRule>
  </conditionalFormatting>
  <conditionalFormatting sqref="K274">
    <cfRule type="expression" priority="309" dxfId="0">
      <formula>LEN(K274)&gt;0</formula>
    </cfRule>
  </conditionalFormatting>
  <conditionalFormatting sqref="K275">
    <cfRule type="expression" priority="310" dxfId="0">
      <formula>LEN(K275)&gt;0</formula>
    </cfRule>
  </conditionalFormatting>
  <conditionalFormatting sqref="K276">
    <cfRule type="expression" priority="311" dxfId="0">
      <formula>LEN(K276)&gt;0</formula>
    </cfRule>
  </conditionalFormatting>
  <conditionalFormatting sqref="K277">
    <cfRule type="expression" priority="312" dxfId="0">
      <formula>LEN(K277)&gt;0</formula>
    </cfRule>
  </conditionalFormatting>
  <conditionalFormatting sqref="K278">
    <cfRule type="expression" priority="313" dxfId="0">
      <formula>LEN(K278)&gt;0</formula>
    </cfRule>
  </conditionalFormatting>
  <conditionalFormatting sqref="K279">
    <cfRule type="expression" priority="314" dxfId="0">
      <formula>LEN(K279)&gt;0</formula>
    </cfRule>
  </conditionalFormatting>
  <conditionalFormatting sqref="K280">
    <cfRule type="expression" priority="315" dxfId="0">
      <formula>LEN(K280)&gt;0</formula>
    </cfRule>
  </conditionalFormatting>
  <conditionalFormatting sqref="K281">
    <cfRule type="expression" priority="316" dxfId="0">
      <formula>LEN(K281)&gt;0</formula>
    </cfRule>
  </conditionalFormatting>
  <conditionalFormatting sqref="K282">
    <cfRule type="expression" priority="317" dxfId="0">
      <formula>LEN(K282)&gt;0</formula>
    </cfRule>
  </conditionalFormatting>
  <conditionalFormatting sqref="K284">
    <cfRule type="expression" priority="318" dxfId="0">
      <formula>LEN(K284)&gt;0</formula>
    </cfRule>
  </conditionalFormatting>
  <conditionalFormatting sqref="K285">
    <cfRule type="expression" priority="319" dxfId="0">
      <formula>LEN(K285)&gt;0</formula>
    </cfRule>
  </conditionalFormatting>
  <conditionalFormatting sqref="K286">
    <cfRule type="expression" priority="320" dxfId="0">
      <formula>LEN(K286)&gt;0</formula>
    </cfRule>
  </conditionalFormatting>
  <conditionalFormatting sqref="K287">
    <cfRule type="expression" priority="321" dxfId="0">
      <formula>LEN(K287)&gt;0</formula>
    </cfRule>
  </conditionalFormatting>
  <conditionalFormatting sqref="K288">
    <cfRule type="expression" priority="322" dxfId="0">
      <formula>LEN(K288)&gt;0</formula>
    </cfRule>
  </conditionalFormatting>
  <conditionalFormatting sqref="K289">
    <cfRule type="expression" priority="323" dxfId="0">
      <formula>LEN(K289)&gt;0</formula>
    </cfRule>
  </conditionalFormatting>
  <conditionalFormatting sqref="K290">
    <cfRule type="expression" priority="324" dxfId="0">
      <formula>LEN(K290)&gt;0</formula>
    </cfRule>
  </conditionalFormatting>
  <conditionalFormatting sqref="K291">
    <cfRule type="expression" priority="325" dxfId="0">
      <formula>LEN(K291)&gt;0</formula>
    </cfRule>
  </conditionalFormatting>
  <conditionalFormatting sqref="K292">
    <cfRule type="expression" priority="326" dxfId="0">
      <formula>LEN(K292)&gt;0</formula>
    </cfRule>
  </conditionalFormatting>
  <conditionalFormatting sqref="K293">
    <cfRule type="expression" priority="327" dxfId="0">
      <formula>LEN(K293)&gt;0</formula>
    </cfRule>
  </conditionalFormatting>
  <conditionalFormatting sqref="K294">
    <cfRule type="expression" priority="328" dxfId="0">
      <formula>LEN(K294)&gt;0</formula>
    </cfRule>
  </conditionalFormatting>
  <conditionalFormatting sqref="K295">
    <cfRule type="expression" priority="329" dxfId="0">
      <formula>LEN(K295)&gt;0</formula>
    </cfRule>
  </conditionalFormatting>
  <conditionalFormatting sqref="K296">
    <cfRule type="expression" priority="330" dxfId="0">
      <formula>LEN(K296)&gt;0</formula>
    </cfRule>
  </conditionalFormatting>
  <conditionalFormatting sqref="K298">
    <cfRule type="expression" priority="331" dxfId="0">
      <formula>LEN(K298)&gt;0</formula>
    </cfRule>
  </conditionalFormatting>
  <conditionalFormatting sqref="K299">
    <cfRule type="expression" priority="332" dxfId="0">
      <formula>LEN(K299)&gt;0</formula>
    </cfRule>
  </conditionalFormatting>
  <conditionalFormatting sqref="K300">
    <cfRule type="expression" priority="333" dxfId="0">
      <formula>LEN(K300)&gt;0</formula>
    </cfRule>
  </conditionalFormatting>
  <conditionalFormatting sqref="K301">
    <cfRule type="expression" priority="334" dxfId="0">
      <formula>LEN(K301)&gt;0</formula>
    </cfRule>
  </conditionalFormatting>
  <conditionalFormatting sqref="K302">
    <cfRule type="expression" priority="335" dxfId="0">
      <formula>LEN(K302)&gt;0</formula>
    </cfRule>
  </conditionalFormatting>
  <conditionalFormatting sqref="K303">
    <cfRule type="expression" priority="336" dxfId="0">
      <formula>LEN(K303)&gt;0</formula>
    </cfRule>
  </conditionalFormatting>
  <conditionalFormatting sqref="K304">
    <cfRule type="expression" priority="337" dxfId="0">
      <formula>LEN(K304)&gt;0</formula>
    </cfRule>
  </conditionalFormatting>
  <conditionalFormatting sqref="K305">
    <cfRule type="expression" priority="338" dxfId="0">
      <formula>LEN(K305)&gt;0</formula>
    </cfRule>
  </conditionalFormatting>
  <conditionalFormatting sqref="K306">
    <cfRule type="expression" priority="339" dxfId="0">
      <formula>LEN(K306)&gt;0</formula>
    </cfRule>
  </conditionalFormatting>
  <conditionalFormatting sqref="K307">
    <cfRule type="expression" priority="340" dxfId="0">
      <formula>LEN(K307)&gt;0</formula>
    </cfRule>
  </conditionalFormatting>
  <conditionalFormatting sqref="K308">
    <cfRule type="expression" priority="341" dxfId="0">
      <formula>LEN(K308)&gt;0</formula>
    </cfRule>
  </conditionalFormatting>
  <conditionalFormatting sqref="K309">
    <cfRule type="expression" priority="342" dxfId="0">
      <formula>LEN(K309)&gt;0</formula>
    </cfRule>
  </conditionalFormatting>
  <conditionalFormatting sqref="K310">
    <cfRule type="expression" priority="343" dxfId="0">
      <formula>LEN(K310)&gt;0</formula>
    </cfRule>
  </conditionalFormatting>
  <conditionalFormatting sqref="K312">
    <cfRule type="expression" priority="344" dxfId="0">
      <formula>LEN(K312)&gt;0</formula>
    </cfRule>
  </conditionalFormatting>
  <conditionalFormatting sqref="K313">
    <cfRule type="expression" priority="345" dxfId="0">
      <formula>LEN(K313)&gt;0</formula>
    </cfRule>
  </conditionalFormatting>
  <conditionalFormatting sqref="K314">
    <cfRule type="expression" priority="346" dxfId="0">
      <formula>LEN(K314)&gt;0</formula>
    </cfRule>
  </conditionalFormatting>
  <conditionalFormatting sqref="K315">
    <cfRule type="expression" priority="347" dxfId="0">
      <formula>LEN(K315)&gt;0</formula>
    </cfRule>
  </conditionalFormatting>
  <conditionalFormatting sqref="K316">
    <cfRule type="expression" priority="348" dxfId="0">
      <formula>LEN(K316)&gt;0</formula>
    </cfRule>
  </conditionalFormatting>
  <conditionalFormatting sqref="K317">
    <cfRule type="expression" priority="349" dxfId="0">
      <formula>LEN(K317)&gt;0</formula>
    </cfRule>
  </conditionalFormatting>
  <conditionalFormatting sqref="K318">
    <cfRule type="expression" priority="350" dxfId="0">
      <formula>LEN(K318)&gt;0</formula>
    </cfRule>
  </conditionalFormatting>
  <conditionalFormatting sqref="K319">
    <cfRule type="expression" priority="351" dxfId="0">
      <formula>LEN(K319)&gt;0</formula>
    </cfRule>
  </conditionalFormatting>
  <conditionalFormatting sqref="K320">
    <cfRule type="expression" priority="352" dxfId="0">
      <formula>LEN(K320)&gt;0</formula>
    </cfRule>
  </conditionalFormatting>
  <conditionalFormatting sqref="K321">
    <cfRule type="expression" priority="353" dxfId="0">
      <formula>LEN(K321)&gt;0</formula>
    </cfRule>
  </conditionalFormatting>
  <conditionalFormatting sqref="K322">
    <cfRule type="expression" priority="354" dxfId="0">
      <formula>LEN(K322)&gt;0</formula>
    </cfRule>
  </conditionalFormatting>
  <conditionalFormatting sqref="K323">
    <cfRule type="expression" priority="355" dxfId="0">
      <formula>LEN(K323)&gt;0</formula>
    </cfRule>
  </conditionalFormatting>
  <conditionalFormatting sqref="K324">
    <cfRule type="expression" priority="356" dxfId="0">
      <formula>LEN(K324)&gt;0</formula>
    </cfRule>
  </conditionalFormatting>
  <conditionalFormatting sqref="K326">
    <cfRule type="expression" priority="357" dxfId="0">
      <formula>LEN(K326)&gt;0</formula>
    </cfRule>
  </conditionalFormatting>
  <conditionalFormatting sqref="K327">
    <cfRule type="expression" priority="358" dxfId="0">
      <formula>LEN(K327)&gt;0</formula>
    </cfRule>
  </conditionalFormatting>
  <conditionalFormatting sqref="K328">
    <cfRule type="expression" priority="359" dxfId="0">
      <formula>LEN(K328)&gt;0</formula>
    </cfRule>
  </conditionalFormatting>
  <conditionalFormatting sqref="K329">
    <cfRule type="expression" priority="360" dxfId="0">
      <formula>LEN(K329)&gt;0</formula>
    </cfRule>
  </conditionalFormatting>
  <conditionalFormatting sqref="K330">
    <cfRule type="expression" priority="361" dxfId="0">
      <formula>LEN(K330)&gt;0</formula>
    </cfRule>
  </conditionalFormatting>
  <conditionalFormatting sqref="K331">
    <cfRule type="expression" priority="362" dxfId="0">
      <formula>LEN(K331)&gt;0</formula>
    </cfRule>
  </conditionalFormatting>
  <conditionalFormatting sqref="K332">
    <cfRule type="expression" priority="363" dxfId="0">
      <formula>LEN(K332)&gt;0</formula>
    </cfRule>
  </conditionalFormatting>
  <conditionalFormatting sqref="K333">
    <cfRule type="expression" priority="364" dxfId="0">
      <formula>LEN(K333)&gt;0</formula>
    </cfRule>
  </conditionalFormatting>
  <conditionalFormatting sqref="K334">
    <cfRule type="expression" priority="365" dxfId="0">
      <formula>LEN(K334)&gt;0</formula>
    </cfRule>
  </conditionalFormatting>
  <conditionalFormatting sqref="K335">
    <cfRule type="expression" priority="366" dxfId="0">
      <formula>LEN(K335)&gt;0</formula>
    </cfRule>
  </conditionalFormatting>
  <conditionalFormatting sqref="K336">
    <cfRule type="expression" priority="367" dxfId="0">
      <formula>LEN(K336)&gt;0</formula>
    </cfRule>
  </conditionalFormatting>
  <conditionalFormatting sqref="K337">
    <cfRule type="expression" priority="368" dxfId="0">
      <formula>LEN(K337)&gt;0</formula>
    </cfRule>
  </conditionalFormatting>
  <conditionalFormatting sqref="K338">
    <cfRule type="expression" priority="369" dxfId="0">
      <formula>LEN(K338)&gt;0</formula>
    </cfRule>
  </conditionalFormatting>
  <conditionalFormatting sqref="K340">
    <cfRule type="expression" priority="370" dxfId="0">
      <formula>LEN(K340)&gt;0</formula>
    </cfRule>
  </conditionalFormatting>
  <conditionalFormatting sqref="K341">
    <cfRule type="expression" priority="371" dxfId="0">
      <formula>LEN(K341)&gt;0</formula>
    </cfRule>
  </conditionalFormatting>
  <conditionalFormatting sqref="K342">
    <cfRule type="expression" priority="372" dxfId="0">
      <formula>LEN(K342)&gt;0</formula>
    </cfRule>
  </conditionalFormatting>
  <conditionalFormatting sqref="K343">
    <cfRule type="expression" priority="373" dxfId="0">
      <formula>LEN(K343)&gt;0</formula>
    </cfRule>
  </conditionalFormatting>
  <conditionalFormatting sqref="K344">
    <cfRule type="expression" priority="374" dxfId="0">
      <formula>LEN(K344)&gt;0</formula>
    </cfRule>
  </conditionalFormatting>
  <conditionalFormatting sqref="K345">
    <cfRule type="expression" priority="375" dxfId="0">
      <formula>LEN(K345)&gt;0</formula>
    </cfRule>
  </conditionalFormatting>
  <conditionalFormatting sqref="K346">
    <cfRule type="expression" priority="376" dxfId="0">
      <formula>LEN(K346)&gt;0</formula>
    </cfRule>
  </conditionalFormatting>
  <conditionalFormatting sqref="K347">
    <cfRule type="expression" priority="377" dxfId="0">
      <formula>LEN(K347)&gt;0</formula>
    </cfRule>
  </conditionalFormatting>
  <conditionalFormatting sqref="K348">
    <cfRule type="expression" priority="378" dxfId="0">
      <formula>LEN(K348)&gt;0</formula>
    </cfRule>
  </conditionalFormatting>
  <conditionalFormatting sqref="K357">
    <cfRule type="expression" priority="379" dxfId="0">
      <formula>LEN(K357)&gt;0</formula>
    </cfRule>
  </conditionalFormatting>
  <conditionalFormatting sqref="K358">
    <cfRule type="expression" priority="380" dxfId="0">
      <formula>LEN(K358)&gt;0</formula>
    </cfRule>
  </conditionalFormatting>
  <conditionalFormatting sqref="K359">
    <cfRule type="expression" priority="381" dxfId="0">
      <formula>LEN(K359)&gt;0</formula>
    </cfRule>
  </conditionalFormatting>
  <conditionalFormatting sqref="K360">
    <cfRule type="expression" priority="382" dxfId="0">
      <formula>LEN(K360)&gt;0</formula>
    </cfRule>
  </conditionalFormatting>
  <conditionalFormatting sqref="K361">
    <cfRule type="expression" priority="383" dxfId="0">
      <formula>LEN(K361)&gt;0</formula>
    </cfRule>
  </conditionalFormatting>
  <conditionalFormatting sqref="K362">
    <cfRule type="expression" priority="384" dxfId="0">
      <formula>LEN(K362)&gt;0</formula>
    </cfRule>
  </conditionalFormatting>
  <conditionalFormatting sqref="K363">
    <cfRule type="expression" priority="385" dxfId="0">
      <formula>LEN(K363)&gt;0</formula>
    </cfRule>
  </conditionalFormatting>
  <conditionalFormatting sqref="K364">
    <cfRule type="expression" priority="386" dxfId="0">
      <formula>LEN(K364)&gt;0</formula>
    </cfRule>
  </conditionalFormatting>
  <conditionalFormatting sqref="K365">
    <cfRule type="expression" priority="387" dxfId="0">
      <formula>LEN(K365)&gt;0</formula>
    </cfRule>
  </conditionalFormatting>
  <conditionalFormatting sqref="K366">
    <cfRule type="expression" priority="388" dxfId="0">
      <formula>LEN(K366)&gt;0</formula>
    </cfRule>
  </conditionalFormatting>
  <conditionalFormatting sqref="K367">
    <cfRule type="expression" priority="389" dxfId="0">
      <formula>LEN(K367)&gt;0</formula>
    </cfRule>
  </conditionalFormatting>
  <conditionalFormatting sqref="K368">
    <cfRule type="expression" priority="390" dxfId="0">
      <formula>LEN(K368)&gt;0</formula>
    </cfRule>
  </conditionalFormatting>
  <conditionalFormatting sqref="K369">
    <cfRule type="expression" priority="391" dxfId="0">
      <formula>LEN(K369)&gt;0</formula>
    </cfRule>
  </conditionalFormatting>
  <conditionalFormatting sqref="K371">
    <cfRule type="expression" priority="392" dxfId="0">
      <formula>LEN(K371)&gt;0</formula>
    </cfRule>
  </conditionalFormatting>
  <conditionalFormatting sqref="K372">
    <cfRule type="expression" priority="393" dxfId="0">
      <formula>LEN(K372)&gt;0</formula>
    </cfRule>
  </conditionalFormatting>
  <conditionalFormatting sqref="K373">
    <cfRule type="expression" priority="394" dxfId="0">
      <formula>LEN(K373)&gt;0</formula>
    </cfRule>
  </conditionalFormatting>
  <conditionalFormatting sqref="K374">
    <cfRule type="expression" priority="395" dxfId="0">
      <formula>LEN(K374)&gt;0</formula>
    </cfRule>
  </conditionalFormatting>
  <conditionalFormatting sqref="K375">
    <cfRule type="expression" priority="396" dxfId="0">
      <formula>LEN(K375)&gt;0</formula>
    </cfRule>
  </conditionalFormatting>
  <conditionalFormatting sqref="K376">
    <cfRule type="expression" priority="397" dxfId="0">
      <formula>LEN(K376)&gt;0</formula>
    </cfRule>
  </conditionalFormatting>
  <conditionalFormatting sqref="K377">
    <cfRule type="expression" priority="398" dxfId="0">
      <formula>LEN(K377)&gt;0</formula>
    </cfRule>
  </conditionalFormatting>
  <conditionalFormatting sqref="K378">
    <cfRule type="expression" priority="399" dxfId="0">
      <formula>LEN(K378)&gt;0</formula>
    </cfRule>
  </conditionalFormatting>
  <conditionalFormatting sqref="K379">
    <cfRule type="expression" priority="400" dxfId="0">
      <formula>LEN(K379)&gt;0</formula>
    </cfRule>
  </conditionalFormatting>
  <conditionalFormatting sqref="K380">
    <cfRule type="expression" priority="401" dxfId="0">
      <formula>LEN(K380)&gt;0</formula>
    </cfRule>
  </conditionalFormatting>
  <conditionalFormatting sqref="K381">
    <cfRule type="expression" priority="402" dxfId="0">
      <formula>LEN(K381)&gt;0</formula>
    </cfRule>
  </conditionalFormatting>
  <conditionalFormatting sqref="K382">
    <cfRule type="expression" priority="403" dxfId="0">
      <formula>LEN(K382)&gt;0</formula>
    </cfRule>
  </conditionalFormatting>
  <conditionalFormatting sqref="K383">
    <cfRule type="expression" priority="404" dxfId="0">
      <formula>LEN(K383)&gt;0</formula>
    </cfRule>
  </conditionalFormatting>
  <conditionalFormatting sqref="K385">
    <cfRule type="expression" priority="405" dxfId="0">
      <formula>LEN(K385)&gt;0</formula>
    </cfRule>
  </conditionalFormatting>
  <conditionalFormatting sqref="K386">
    <cfRule type="expression" priority="406" dxfId="0">
      <formula>LEN(K386)&gt;0</formula>
    </cfRule>
  </conditionalFormatting>
  <conditionalFormatting sqref="K387">
    <cfRule type="expression" priority="407" dxfId="0">
      <formula>LEN(K387)&gt;0</formula>
    </cfRule>
  </conditionalFormatting>
  <conditionalFormatting sqref="K388">
    <cfRule type="expression" priority="408" dxfId="0">
      <formula>LEN(K388)&gt;0</formula>
    </cfRule>
  </conditionalFormatting>
  <conditionalFormatting sqref="K389">
    <cfRule type="expression" priority="409" dxfId="0">
      <formula>LEN(K389)&gt;0</formula>
    </cfRule>
  </conditionalFormatting>
  <conditionalFormatting sqref="K390">
    <cfRule type="expression" priority="410" dxfId="0">
      <formula>LEN(K390)&gt;0</formula>
    </cfRule>
  </conditionalFormatting>
  <conditionalFormatting sqref="K391">
    <cfRule type="expression" priority="411" dxfId="0">
      <formula>LEN(K391)&gt;0</formula>
    </cfRule>
  </conditionalFormatting>
  <conditionalFormatting sqref="K392">
    <cfRule type="expression" priority="412" dxfId="0">
      <formula>LEN(K392)&gt;0</formula>
    </cfRule>
  </conditionalFormatting>
  <conditionalFormatting sqref="K393">
    <cfRule type="expression" priority="413" dxfId="0">
      <formula>LEN(K393)&gt;0</formula>
    </cfRule>
  </conditionalFormatting>
  <conditionalFormatting sqref="K394">
    <cfRule type="expression" priority="414" dxfId="0">
      <formula>LEN(K394)&gt;0</formula>
    </cfRule>
  </conditionalFormatting>
  <conditionalFormatting sqref="K395">
    <cfRule type="expression" priority="415" dxfId="0">
      <formula>LEN(K395)&gt;0</formula>
    </cfRule>
  </conditionalFormatting>
  <conditionalFormatting sqref="K396">
    <cfRule type="expression" priority="416" dxfId="0">
      <formula>LEN(K396)&gt;0</formula>
    </cfRule>
  </conditionalFormatting>
  <conditionalFormatting sqref="K397">
    <cfRule type="expression" priority="417" dxfId="0">
      <formula>LEN(K397)&gt;0</formula>
    </cfRule>
  </conditionalFormatting>
  <conditionalFormatting sqref="K399">
    <cfRule type="expression" priority="418" dxfId="0">
      <formula>LEN(K399)&gt;0</formula>
    </cfRule>
  </conditionalFormatting>
  <conditionalFormatting sqref="K400">
    <cfRule type="expression" priority="419" dxfId="0">
      <formula>LEN(K400)&gt;0</formula>
    </cfRule>
  </conditionalFormatting>
  <conditionalFormatting sqref="K401">
    <cfRule type="expression" priority="420" dxfId="0">
      <formula>LEN(K401)&gt;0</formula>
    </cfRule>
  </conditionalFormatting>
  <conditionalFormatting sqref="K402">
    <cfRule type="expression" priority="421" dxfId="0">
      <formula>LEN(K402)&gt;0</formula>
    </cfRule>
  </conditionalFormatting>
  <conditionalFormatting sqref="K403">
    <cfRule type="expression" priority="422" dxfId="0">
      <formula>LEN(K403)&gt;0</formula>
    </cfRule>
  </conditionalFormatting>
  <conditionalFormatting sqref="K404">
    <cfRule type="expression" priority="423" dxfId="0">
      <formula>LEN(K404)&gt;0</formula>
    </cfRule>
  </conditionalFormatting>
  <conditionalFormatting sqref="K405">
    <cfRule type="expression" priority="424" dxfId="0">
      <formula>LEN(K405)&gt;0</formula>
    </cfRule>
  </conditionalFormatting>
  <conditionalFormatting sqref="K406">
    <cfRule type="expression" priority="425" dxfId="0">
      <formula>LEN(K406)&gt;0</formula>
    </cfRule>
  </conditionalFormatting>
  <conditionalFormatting sqref="K407">
    <cfRule type="expression" priority="426" dxfId="0">
      <formula>LEN(K407)&gt;0</formula>
    </cfRule>
  </conditionalFormatting>
  <conditionalFormatting sqref="K408">
    <cfRule type="expression" priority="427" dxfId="0">
      <formula>LEN(K408)&gt;0</formula>
    </cfRule>
  </conditionalFormatting>
  <conditionalFormatting sqref="K409">
    <cfRule type="expression" priority="428" dxfId="0">
      <formula>LEN(K409)&gt;0</formula>
    </cfRule>
  </conditionalFormatting>
  <conditionalFormatting sqref="K410">
    <cfRule type="expression" priority="429" dxfId="0">
      <formula>LEN(K410)&gt;0</formula>
    </cfRule>
  </conditionalFormatting>
  <conditionalFormatting sqref="K411">
    <cfRule type="expression" priority="430" dxfId="0">
      <formula>LEN(K411)&gt;0</formula>
    </cfRule>
  </conditionalFormatting>
  <conditionalFormatting sqref="K413">
    <cfRule type="expression" priority="431" dxfId="0">
      <formula>LEN(K413)&gt;0</formula>
    </cfRule>
  </conditionalFormatting>
  <conditionalFormatting sqref="K414">
    <cfRule type="expression" priority="432" dxfId="0">
      <formula>LEN(K414)&gt;0</formula>
    </cfRule>
  </conditionalFormatting>
  <conditionalFormatting sqref="K415">
    <cfRule type="expression" priority="433" dxfId="0">
      <formula>LEN(K415)&gt;0</formula>
    </cfRule>
  </conditionalFormatting>
  <conditionalFormatting sqref="K416">
    <cfRule type="expression" priority="434" dxfId="0">
      <formula>LEN(K416)&gt;0</formula>
    </cfRule>
  </conditionalFormatting>
  <conditionalFormatting sqref="K417">
    <cfRule type="expression" priority="435" dxfId="0">
      <formula>LEN(K417)&gt;0</formula>
    </cfRule>
  </conditionalFormatting>
  <conditionalFormatting sqref="K418">
    <cfRule type="expression" priority="436" dxfId="0">
      <formula>LEN(K418)&gt;0</formula>
    </cfRule>
  </conditionalFormatting>
  <conditionalFormatting sqref="K419">
    <cfRule type="expression" priority="437" dxfId="0">
      <formula>LEN(K419)&gt;0</formula>
    </cfRule>
  </conditionalFormatting>
  <conditionalFormatting sqref="K420">
    <cfRule type="expression" priority="438" dxfId="0">
      <formula>LEN(K420)&gt;0</formula>
    </cfRule>
  </conditionalFormatting>
  <conditionalFormatting sqref="K421">
    <cfRule type="expression" priority="439" dxfId="0">
      <formula>LEN(K421)&gt;0</formula>
    </cfRule>
  </conditionalFormatting>
  <conditionalFormatting sqref="K422">
    <cfRule type="expression" priority="440" dxfId="0">
      <formula>LEN(K422)&gt;0</formula>
    </cfRule>
  </conditionalFormatting>
  <conditionalFormatting sqref="K423">
    <cfRule type="expression" priority="441" dxfId="0">
      <formula>LEN(K423)&gt;0</formula>
    </cfRule>
  </conditionalFormatting>
  <conditionalFormatting sqref="K424">
    <cfRule type="expression" priority="442" dxfId="0">
      <formula>LEN(K424)&gt;0</formula>
    </cfRule>
  </conditionalFormatting>
  <conditionalFormatting sqref="K425">
    <cfRule type="expression" priority="443" dxfId="0">
      <formula>LEN(K425)&gt;0</formula>
    </cfRule>
  </conditionalFormatting>
  <conditionalFormatting sqref="K427">
    <cfRule type="expression" priority="444" dxfId="0">
      <formula>LEN(K427)&gt;0</formula>
    </cfRule>
  </conditionalFormatting>
  <conditionalFormatting sqref="K428">
    <cfRule type="expression" priority="445" dxfId="0">
      <formula>LEN(K428)&gt;0</formula>
    </cfRule>
  </conditionalFormatting>
  <conditionalFormatting sqref="K429">
    <cfRule type="expression" priority="446" dxfId="0">
      <formula>LEN(K429)&gt;0</formula>
    </cfRule>
  </conditionalFormatting>
  <conditionalFormatting sqref="K430">
    <cfRule type="expression" priority="447" dxfId="0">
      <formula>LEN(K430)&gt;0</formula>
    </cfRule>
  </conditionalFormatting>
  <conditionalFormatting sqref="K431">
    <cfRule type="expression" priority="448" dxfId="0">
      <formula>LEN(K431)&gt;0</formula>
    </cfRule>
  </conditionalFormatting>
  <conditionalFormatting sqref="K432">
    <cfRule type="expression" priority="449" dxfId="0">
      <formula>LEN(K432)&gt;0</formula>
    </cfRule>
  </conditionalFormatting>
  <conditionalFormatting sqref="K433">
    <cfRule type="expression" priority="450" dxfId="0">
      <formula>LEN(K433)&gt;0</formula>
    </cfRule>
  </conditionalFormatting>
  <conditionalFormatting sqref="K434">
    <cfRule type="expression" priority="451" dxfId="0">
      <formula>LEN(K434)&gt;0</formula>
    </cfRule>
  </conditionalFormatting>
  <conditionalFormatting sqref="K435">
    <cfRule type="expression" priority="452" dxfId="0">
      <formula>LEN(K435)&gt;0</formula>
    </cfRule>
  </conditionalFormatting>
  <conditionalFormatting sqref="K436">
    <cfRule type="expression" priority="453" dxfId="0">
      <formula>LEN(K436)&gt;0</formula>
    </cfRule>
  </conditionalFormatting>
  <conditionalFormatting sqref="K437">
    <cfRule type="expression" priority="454" dxfId="0">
      <formula>LEN(K437)&gt;0</formula>
    </cfRule>
  </conditionalFormatting>
  <conditionalFormatting sqref="K438">
    <cfRule type="expression" priority="455" dxfId="0">
      <formula>LEN(K438)&gt;0</formula>
    </cfRule>
  </conditionalFormatting>
  <conditionalFormatting sqref="K439">
    <cfRule type="expression" priority="456" dxfId="0">
      <formula>LEN(K439)&gt;0</formula>
    </cfRule>
  </conditionalFormatting>
  <conditionalFormatting sqref="K441">
    <cfRule type="expression" priority="457" dxfId="0">
      <formula>LEN(K441)&gt;0</formula>
    </cfRule>
  </conditionalFormatting>
  <conditionalFormatting sqref="K442">
    <cfRule type="expression" priority="458" dxfId="0">
      <formula>LEN(K442)&gt;0</formula>
    </cfRule>
  </conditionalFormatting>
  <conditionalFormatting sqref="K443">
    <cfRule type="expression" priority="459" dxfId="0">
      <formula>LEN(K443)&gt;0</formula>
    </cfRule>
  </conditionalFormatting>
  <conditionalFormatting sqref="K444">
    <cfRule type="expression" priority="460" dxfId="0">
      <formula>LEN(K444)&gt;0</formula>
    </cfRule>
  </conditionalFormatting>
  <conditionalFormatting sqref="K445">
    <cfRule type="expression" priority="461" dxfId="0">
      <formula>LEN(K445)&gt;0</formula>
    </cfRule>
  </conditionalFormatting>
  <conditionalFormatting sqref="K446">
    <cfRule type="expression" priority="462" dxfId="0">
      <formula>LEN(K446)&gt;0</formula>
    </cfRule>
  </conditionalFormatting>
  <conditionalFormatting sqref="K447">
    <cfRule type="expression" priority="463" dxfId="0">
      <formula>LEN(K447)&gt;0</formula>
    </cfRule>
  </conditionalFormatting>
  <conditionalFormatting sqref="K448">
    <cfRule type="expression" priority="464" dxfId="0">
      <formula>LEN(K448)&gt;0</formula>
    </cfRule>
  </conditionalFormatting>
  <conditionalFormatting sqref="K449">
    <cfRule type="expression" priority="465" dxfId="0">
      <formula>LEN(K449)&gt;0</formula>
    </cfRule>
  </conditionalFormatting>
  <conditionalFormatting sqref="K450">
    <cfRule type="expression" priority="466" dxfId="0">
      <formula>LEN(K450)&gt;0</formula>
    </cfRule>
  </conditionalFormatting>
  <conditionalFormatting sqref="K451">
    <cfRule type="expression" priority="467" dxfId="0">
      <formula>LEN(K451)&gt;0</formula>
    </cfRule>
  </conditionalFormatting>
  <conditionalFormatting sqref="K452">
    <cfRule type="expression" priority="468" dxfId="0">
      <formula>LEN(K452)&gt;0</formula>
    </cfRule>
  </conditionalFormatting>
  <conditionalFormatting sqref="K453">
    <cfRule type="expression" priority="469" dxfId="0">
      <formula>LEN(K453)&gt;0</formula>
    </cfRule>
  </conditionalFormatting>
  <conditionalFormatting sqref="K455">
    <cfRule type="expression" priority="470" dxfId="0">
      <formula>LEN(K455)&gt;0</formula>
    </cfRule>
  </conditionalFormatting>
  <conditionalFormatting sqref="K456">
    <cfRule type="expression" priority="471" dxfId="0">
      <formula>LEN(K456)&gt;0</formula>
    </cfRule>
  </conditionalFormatting>
  <conditionalFormatting sqref="K457">
    <cfRule type="expression" priority="472" dxfId="0">
      <formula>LEN(K457)&gt;0</formula>
    </cfRule>
  </conditionalFormatting>
  <conditionalFormatting sqref="K458">
    <cfRule type="expression" priority="473" dxfId="0">
      <formula>LEN(K458)&gt;0</formula>
    </cfRule>
  </conditionalFormatting>
  <conditionalFormatting sqref="K459">
    <cfRule type="expression" priority="474" dxfId="0">
      <formula>LEN(K459)&gt;0</formula>
    </cfRule>
  </conditionalFormatting>
  <conditionalFormatting sqref="K460">
    <cfRule type="expression" priority="475" dxfId="0">
      <formula>LEN(K460)&gt;0</formula>
    </cfRule>
  </conditionalFormatting>
  <conditionalFormatting sqref="K461">
    <cfRule type="expression" priority="476" dxfId="0">
      <formula>LEN(K461)&gt;0</formula>
    </cfRule>
  </conditionalFormatting>
  <conditionalFormatting sqref="K462">
    <cfRule type="expression" priority="477" dxfId="0">
      <formula>LEN(K462)&gt;0</formula>
    </cfRule>
  </conditionalFormatting>
  <conditionalFormatting sqref="K463">
    <cfRule type="expression" priority="478" dxfId="0">
      <formula>LEN(K463)&gt;0</formula>
    </cfRule>
  </conditionalFormatting>
  <conditionalFormatting sqref="K472">
    <cfRule type="expression" priority="479" dxfId="0">
      <formula>LEN(K472)&gt;0</formula>
    </cfRule>
  </conditionalFormatting>
  <conditionalFormatting sqref="K473">
    <cfRule type="expression" priority="480" dxfId="0">
      <formula>LEN(K473)&gt;0</formula>
    </cfRule>
  </conditionalFormatting>
  <conditionalFormatting sqref="K474">
    <cfRule type="expression" priority="481" dxfId="0">
      <formula>LEN(K474)&gt;0</formula>
    </cfRule>
  </conditionalFormatting>
  <conditionalFormatting sqref="K475">
    <cfRule type="expression" priority="482" dxfId="0">
      <formula>LEN(K475)&gt;0</formula>
    </cfRule>
  </conditionalFormatting>
  <conditionalFormatting sqref="K476">
    <cfRule type="expression" priority="483" dxfId="0">
      <formula>LEN(K476)&gt;0</formula>
    </cfRule>
  </conditionalFormatting>
  <conditionalFormatting sqref="K477">
    <cfRule type="expression" priority="484" dxfId="0">
      <formula>LEN(K477)&gt;0</formula>
    </cfRule>
  </conditionalFormatting>
  <conditionalFormatting sqref="K478">
    <cfRule type="expression" priority="485" dxfId="0">
      <formula>LEN(K478)&gt;0</formula>
    </cfRule>
  </conditionalFormatting>
  <conditionalFormatting sqref="K479">
    <cfRule type="expression" priority="486" dxfId="0">
      <formula>LEN(K479)&gt;0</formula>
    </cfRule>
  </conditionalFormatting>
  <conditionalFormatting sqref="K480">
    <cfRule type="expression" priority="487" dxfId="0">
      <formula>LEN(K480)&gt;0</formula>
    </cfRule>
  </conditionalFormatting>
  <conditionalFormatting sqref="K481">
    <cfRule type="expression" priority="488" dxfId="0">
      <formula>LEN(K481)&gt;0</formula>
    </cfRule>
  </conditionalFormatting>
  <conditionalFormatting sqref="K482">
    <cfRule type="expression" priority="489" dxfId="0">
      <formula>LEN(K482)&gt;0</formula>
    </cfRule>
  </conditionalFormatting>
  <conditionalFormatting sqref="K483">
    <cfRule type="expression" priority="490" dxfId="0">
      <formula>LEN(K483)&gt;0</formula>
    </cfRule>
  </conditionalFormatting>
  <conditionalFormatting sqref="K484">
    <cfRule type="expression" priority="491" dxfId="0">
      <formula>LEN(K484)&gt;0</formula>
    </cfRule>
  </conditionalFormatting>
  <conditionalFormatting sqref="K486">
    <cfRule type="expression" priority="492" dxfId="0">
      <formula>LEN(K486)&gt;0</formula>
    </cfRule>
  </conditionalFormatting>
  <conditionalFormatting sqref="K487">
    <cfRule type="expression" priority="493" dxfId="0">
      <formula>LEN(K487)&gt;0</formula>
    </cfRule>
  </conditionalFormatting>
  <conditionalFormatting sqref="K488">
    <cfRule type="expression" priority="494" dxfId="0">
      <formula>LEN(K488)&gt;0</formula>
    </cfRule>
  </conditionalFormatting>
  <conditionalFormatting sqref="K489">
    <cfRule type="expression" priority="495" dxfId="0">
      <formula>LEN(K489)&gt;0</formula>
    </cfRule>
  </conditionalFormatting>
  <conditionalFormatting sqref="K490">
    <cfRule type="expression" priority="496" dxfId="0">
      <formula>LEN(K490)&gt;0</formula>
    </cfRule>
  </conditionalFormatting>
  <conditionalFormatting sqref="K491">
    <cfRule type="expression" priority="497" dxfId="0">
      <formula>LEN(K491)&gt;0</formula>
    </cfRule>
  </conditionalFormatting>
  <conditionalFormatting sqref="K492">
    <cfRule type="expression" priority="498" dxfId="0">
      <formula>LEN(K492)&gt;0</formula>
    </cfRule>
  </conditionalFormatting>
  <conditionalFormatting sqref="K493">
    <cfRule type="expression" priority="499" dxfId="0">
      <formula>LEN(K493)&gt;0</formula>
    </cfRule>
  </conditionalFormatting>
  <conditionalFormatting sqref="K494">
    <cfRule type="expression" priority="500" dxfId="0">
      <formula>LEN(K494)&gt;0</formula>
    </cfRule>
  </conditionalFormatting>
  <conditionalFormatting sqref="K495">
    <cfRule type="expression" priority="501" dxfId="0">
      <formula>LEN(K495)&gt;0</formula>
    </cfRule>
  </conditionalFormatting>
  <conditionalFormatting sqref="K496">
    <cfRule type="expression" priority="502" dxfId="0">
      <formula>LEN(K496)&gt;0</formula>
    </cfRule>
  </conditionalFormatting>
  <conditionalFormatting sqref="K497">
    <cfRule type="expression" priority="503" dxfId="0">
      <formula>LEN(K497)&gt;0</formula>
    </cfRule>
  </conditionalFormatting>
  <conditionalFormatting sqref="K498">
    <cfRule type="expression" priority="504" dxfId="0">
      <formula>LEN(K498)&gt;0</formula>
    </cfRule>
  </conditionalFormatting>
  <conditionalFormatting sqref="K500">
    <cfRule type="expression" priority="505" dxfId="0">
      <formula>LEN(K500)&gt;0</formula>
    </cfRule>
  </conditionalFormatting>
  <conditionalFormatting sqref="K501">
    <cfRule type="expression" priority="506" dxfId="0">
      <formula>LEN(K501)&gt;0</formula>
    </cfRule>
  </conditionalFormatting>
  <conditionalFormatting sqref="K502">
    <cfRule type="expression" priority="507" dxfId="0">
      <formula>LEN(K502)&gt;0</formula>
    </cfRule>
  </conditionalFormatting>
  <conditionalFormatting sqref="K503">
    <cfRule type="expression" priority="508" dxfId="0">
      <formula>LEN(K503)&gt;0</formula>
    </cfRule>
  </conditionalFormatting>
  <conditionalFormatting sqref="K504">
    <cfRule type="expression" priority="509" dxfId="0">
      <formula>LEN(K504)&gt;0</formula>
    </cfRule>
  </conditionalFormatting>
  <conditionalFormatting sqref="K505">
    <cfRule type="expression" priority="510" dxfId="0">
      <formula>LEN(K505)&gt;0</formula>
    </cfRule>
  </conditionalFormatting>
  <conditionalFormatting sqref="K506">
    <cfRule type="expression" priority="511" dxfId="0">
      <formula>LEN(K506)&gt;0</formula>
    </cfRule>
  </conditionalFormatting>
  <conditionalFormatting sqref="K507">
    <cfRule type="expression" priority="512" dxfId="0">
      <formula>LEN(K507)&gt;0</formula>
    </cfRule>
  </conditionalFormatting>
  <conditionalFormatting sqref="K508">
    <cfRule type="expression" priority="513" dxfId="0">
      <formula>LEN(K508)&gt;0</formula>
    </cfRule>
  </conditionalFormatting>
  <conditionalFormatting sqref="K509">
    <cfRule type="expression" priority="514" dxfId="0">
      <formula>LEN(K509)&gt;0</formula>
    </cfRule>
  </conditionalFormatting>
  <conditionalFormatting sqref="K510">
    <cfRule type="expression" priority="515" dxfId="0">
      <formula>LEN(K510)&gt;0</formula>
    </cfRule>
  </conditionalFormatting>
  <conditionalFormatting sqref="K511">
    <cfRule type="expression" priority="516" dxfId="0">
      <formula>LEN(K511)&gt;0</formula>
    </cfRule>
  </conditionalFormatting>
  <conditionalFormatting sqref="K512">
    <cfRule type="expression" priority="517" dxfId="0">
      <formula>LEN(K512)&gt;0</formula>
    </cfRule>
  </conditionalFormatting>
  <conditionalFormatting sqref="K514">
    <cfRule type="expression" priority="518" dxfId="0">
      <formula>LEN(K514)&gt;0</formula>
    </cfRule>
  </conditionalFormatting>
  <conditionalFormatting sqref="K515">
    <cfRule type="expression" priority="519" dxfId="0">
      <formula>LEN(K515)&gt;0</formula>
    </cfRule>
  </conditionalFormatting>
  <conditionalFormatting sqref="K516">
    <cfRule type="expression" priority="520" dxfId="0">
      <formula>LEN(K516)&gt;0</formula>
    </cfRule>
  </conditionalFormatting>
  <conditionalFormatting sqref="K517">
    <cfRule type="expression" priority="521" dxfId="0">
      <formula>LEN(K517)&gt;0</formula>
    </cfRule>
  </conditionalFormatting>
  <conditionalFormatting sqref="K518">
    <cfRule type="expression" priority="522" dxfId="0">
      <formula>LEN(K518)&gt;0</formula>
    </cfRule>
  </conditionalFormatting>
  <conditionalFormatting sqref="K519">
    <cfRule type="expression" priority="523" dxfId="0">
      <formula>LEN(K519)&gt;0</formula>
    </cfRule>
  </conditionalFormatting>
  <conditionalFormatting sqref="K520">
    <cfRule type="expression" priority="524" dxfId="0">
      <formula>LEN(K520)&gt;0</formula>
    </cfRule>
  </conditionalFormatting>
  <conditionalFormatting sqref="K521">
    <cfRule type="expression" priority="525" dxfId="0">
      <formula>LEN(K521)&gt;0</formula>
    </cfRule>
  </conditionalFormatting>
  <conditionalFormatting sqref="K522">
    <cfRule type="expression" priority="526" dxfId="0">
      <formula>LEN(K522)&gt;0</formula>
    </cfRule>
  </conditionalFormatting>
  <conditionalFormatting sqref="K523">
    <cfRule type="expression" priority="527" dxfId="0">
      <formula>LEN(K523)&gt;0</formula>
    </cfRule>
  </conditionalFormatting>
  <conditionalFormatting sqref="K524">
    <cfRule type="expression" priority="528" dxfId="0">
      <formula>LEN(K524)&gt;0</formula>
    </cfRule>
  </conditionalFormatting>
  <conditionalFormatting sqref="K525">
    <cfRule type="expression" priority="529" dxfId="0">
      <formula>LEN(K525)&gt;0</formula>
    </cfRule>
  </conditionalFormatting>
  <conditionalFormatting sqref="K526">
    <cfRule type="expression" priority="530" dxfId="0">
      <formula>LEN(K526)&gt;0</formula>
    </cfRule>
  </conditionalFormatting>
  <conditionalFormatting sqref="K528">
    <cfRule type="expression" priority="531" dxfId="0">
      <formula>LEN(K528)&gt;0</formula>
    </cfRule>
  </conditionalFormatting>
  <conditionalFormatting sqref="K529">
    <cfRule type="expression" priority="532" dxfId="0">
      <formula>LEN(K529)&gt;0</formula>
    </cfRule>
  </conditionalFormatting>
  <conditionalFormatting sqref="K530">
    <cfRule type="expression" priority="533" dxfId="0">
      <formula>LEN(K530)&gt;0</formula>
    </cfRule>
  </conditionalFormatting>
  <conditionalFormatting sqref="K531">
    <cfRule type="expression" priority="534" dxfId="0">
      <formula>LEN(K531)&gt;0</formula>
    </cfRule>
  </conditionalFormatting>
  <conditionalFormatting sqref="K532">
    <cfRule type="expression" priority="535" dxfId="0">
      <formula>LEN(K532)&gt;0</formula>
    </cfRule>
  </conditionalFormatting>
  <conditionalFormatting sqref="K533">
    <cfRule type="expression" priority="536" dxfId="0">
      <formula>LEN(K533)&gt;0</formula>
    </cfRule>
  </conditionalFormatting>
  <conditionalFormatting sqref="K534">
    <cfRule type="expression" priority="537" dxfId="0">
      <formula>LEN(K534)&gt;0</formula>
    </cfRule>
  </conditionalFormatting>
  <conditionalFormatting sqref="K535">
    <cfRule type="expression" priority="538" dxfId="0">
      <formula>LEN(K535)&gt;0</formula>
    </cfRule>
  </conditionalFormatting>
  <conditionalFormatting sqref="K536">
    <cfRule type="expression" priority="539" dxfId="0">
      <formula>LEN(K536)&gt;0</formula>
    </cfRule>
  </conditionalFormatting>
  <conditionalFormatting sqref="K537">
    <cfRule type="expression" priority="540" dxfId="0">
      <formula>LEN(K537)&gt;0</formula>
    </cfRule>
  </conditionalFormatting>
  <conditionalFormatting sqref="K538">
    <cfRule type="expression" priority="541" dxfId="0">
      <formula>LEN(K538)&gt;0</formula>
    </cfRule>
  </conditionalFormatting>
  <conditionalFormatting sqref="K539">
    <cfRule type="expression" priority="542" dxfId="0">
      <formula>LEN(K539)&gt;0</formula>
    </cfRule>
  </conditionalFormatting>
  <conditionalFormatting sqref="K540">
    <cfRule type="expression" priority="543" dxfId="0">
      <formula>LEN(K540)&gt;0</formula>
    </cfRule>
  </conditionalFormatting>
  <conditionalFormatting sqref="K542">
    <cfRule type="expression" priority="544" dxfId="0">
      <formula>LEN(K542)&gt;0</formula>
    </cfRule>
  </conditionalFormatting>
  <conditionalFormatting sqref="K543">
    <cfRule type="expression" priority="545" dxfId="0">
      <formula>LEN(K543)&gt;0</formula>
    </cfRule>
  </conditionalFormatting>
  <conditionalFormatting sqref="K544">
    <cfRule type="expression" priority="546" dxfId="0">
      <formula>LEN(K544)&gt;0</formula>
    </cfRule>
  </conditionalFormatting>
  <conditionalFormatting sqref="K545">
    <cfRule type="expression" priority="547" dxfId="0">
      <formula>LEN(K545)&gt;0</formula>
    </cfRule>
  </conditionalFormatting>
  <conditionalFormatting sqref="K546">
    <cfRule type="expression" priority="548" dxfId="0">
      <formula>LEN(K546)&gt;0</formula>
    </cfRule>
  </conditionalFormatting>
  <conditionalFormatting sqref="K547">
    <cfRule type="expression" priority="549" dxfId="0">
      <formula>LEN(K547)&gt;0</formula>
    </cfRule>
  </conditionalFormatting>
  <conditionalFormatting sqref="K548">
    <cfRule type="expression" priority="550" dxfId="0">
      <formula>LEN(K548)&gt;0</formula>
    </cfRule>
  </conditionalFormatting>
  <conditionalFormatting sqref="K549">
    <cfRule type="expression" priority="551" dxfId="0">
      <formula>LEN(K549)&gt;0</formula>
    </cfRule>
  </conditionalFormatting>
  <conditionalFormatting sqref="K550">
    <cfRule type="expression" priority="552" dxfId="0">
      <formula>LEN(K550)&gt;0</formula>
    </cfRule>
  </conditionalFormatting>
  <conditionalFormatting sqref="K551">
    <cfRule type="expression" priority="553" dxfId="0">
      <formula>LEN(K551)&gt;0</formula>
    </cfRule>
  </conditionalFormatting>
  <conditionalFormatting sqref="K552">
    <cfRule type="expression" priority="554" dxfId="0">
      <formula>LEN(K552)&gt;0</formula>
    </cfRule>
  </conditionalFormatting>
  <conditionalFormatting sqref="K553">
    <cfRule type="expression" priority="555" dxfId="0">
      <formula>LEN(K553)&gt;0</formula>
    </cfRule>
  </conditionalFormatting>
  <conditionalFormatting sqref="K554">
    <cfRule type="expression" priority="556" dxfId="0">
      <formula>LEN(K554)&gt;0</formula>
    </cfRule>
  </conditionalFormatting>
  <conditionalFormatting sqref="K556">
    <cfRule type="expression" priority="557" dxfId="0">
      <formula>LEN(K556)&gt;0</formula>
    </cfRule>
  </conditionalFormatting>
  <conditionalFormatting sqref="K557">
    <cfRule type="expression" priority="558" dxfId="0">
      <formula>LEN(K557)&gt;0</formula>
    </cfRule>
  </conditionalFormatting>
  <conditionalFormatting sqref="K558">
    <cfRule type="expression" priority="559" dxfId="0">
      <formula>LEN(K558)&gt;0</formula>
    </cfRule>
  </conditionalFormatting>
  <conditionalFormatting sqref="K559">
    <cfRule type="expression" priority="560" dxfId="0">
      <formula>LEN(K559)&gt;0</formula>
    </cfRule>
  </conditionalFormatting>
  <conditionalFormatting sqref="K560">
    <cfRule type="expression" priority="561" dxfId="0">
      <formula>LEN(K560)&gt;0</formula>
    </cfRule>
  </conditionalFormatting>
  <conditionalFormatting sqref="K561">
    <cfRule type="expression" priority="562" dxfId="0">
      <formula>LEN(K561)&gt;0</formula>
    </cfRule>
  </conditionalFormatting>
  <conditionalFormatting sqref="K562">
    <cfRule type="expression" priority="563" dxfId="0">
      <formula>LEN(K562)&gt;0</formula>
    </cfRule>
  </conditionalFormatting>
  <conditionalFormatting sqref="K563">
    <cfRule type="expression" priority="564" dxfId="0">
      <formula>LEN(K563)&gt;0</formula>
    </cfRule>
  </conditionalFormatting>
  <conditionalFormatting sqref="K564">
    <cfRule type="expression" priority="565" dxfId="0">
      <formula>LEN(K564)&gt;0</formula>
    </cfRule>
  </conditionalFormatting>
  <conditionalFormatting sqref="K565">
    <cfRule type="expression" priority="566" dxfId="0">
      <formula>LEN(K565)&gt;0</formula>
    </cfRule>
  </conditionalFormatting>
  <conditionalFormatting sqref="K566">
    <cfRule type="expression" priority="567" dxfId="0">
      <formula>LEN(K566)&gt;0</formula>
    </cfRule>
  </conditionalFormatting>
  <conditionalFormatting sqref="K567">
    <cfRule type="expression" priority="568" dxfId="0">
      <formula>LEN(K567)&gt;0</formula>
    </cfRule>
  </conditionalFormatting>
  <conditionalFormatting sqref="K568">
    <cfRule type="expression" priority="569" dxfId="0">
      <formula>LEN(K568)&gt;0</formula>
    </cfRule>
  </conditionalFormatting>
  <conditionalFormatting sqref="K570">
    <cfRule type="expression" priority="570" dxfId="0">
      <formula>LEN(K570)&gt;0</formula>
    </cfRule>
  </conditionalFormatting>
  <conditionalFormatting sqref="K571">
    <cfRule type="expression" priority="571" dxfId="0">
      <formula>LEN(K571)&gt;0</formula>
    </cfRule>
  </conditionalFormatting>
  <conditionalFormatting sqref="K572">
    <cfRule type="expression" priority="572" dxfId="0">
      <formula>LEN(K572)&gt;0</formula>
    </cfRule>
  </conditionalFormatting>
  <conditionalFormatting sqref="K573">
    <cfRule type="expression" priority="573" dxfId="0">
      <formula>LEN(K573)&gt;0</formula>
    </cfRule>
  </conditionalFormatting>
  <conditionalFormatting sqref="K574">
    <cfRule type="expression" priority="574" dxfId="0">
      <formula>LEN(K574)&gt;0</formula>
    </cfRule>
  </conditionalFormatting>
  <conditionalFormatting sqref="K575">
    <cfRule type="expression" priority="575" dxfId="0">
      <formula>LEN(K575)&gt;0</formula>
    </cfRule>
  </conditionalFormatting>
  <conditionalFormatting sqref="K576">
    <cfRule type="expression" priority="576" dxfId="0">
      <formula>LEN(K576)&gt;0</formula>
    </cfRule>
  </conditionalFormatting>
  <conditionalFormatting sqref="K577">
    <cfRule type="expression" priority="577" dxfId="0">
      <formula>LEN(K577)&gt;0</formula>
    </cfRule>
  </conditionalFormatting>
  <conditionalFormatting sqref="K578">
    <cfRule type="expression" priority="578" dxfId="0">
      <formula>LEN(K578)&gt;0</formula>
    </cfRule>
  </conditionalFormatting>
  <conditionalFormatting sqref="K587">
    <cfRule type="expression" priority="579" dxfId="0">
      <formula>LEN(K587)&gt;0</formula>
    </cfRule>
  </conditionalFormatting>
  <conditionalFormatting sqref="K588">
    <cfRule type="expression" priority="580" dxfId="0">
      <formula>LEN(K588)&gt;0</formula>
    </cfRule>
  </conditionalFormatting>
  <conditionalFormatting sqref="K589">
    <cfRule type="expression" priority="581" dxfId="0">
      <formula>LEN(K589)&gt;0</formula>
    </cfRule>
  </conditionalFormatting>
  <conditionalFormatting sqref="K590">
    <cfRule type="expression" priority="582" dxfId="0">
      <formula>LEN(K590)&gt;0</formula>
    </cfRule>
  </conditionalFormatting>
  <conditionalFormatting sqref="K591">
    <cfRule type="expression" priority="583" dxfId="0">
      <formula>LEN(K591)&gt;0</formula>
    </cfRule>
  </conditionalFormatting>
  <conditionalFormatting sqref="K592">
    <cfRule type="expression" priority="584" dxfId="0">
      <formula>LEN(K592)&gt;0</formula>
    </cfRule>
  </conditionalFormatting>
  <conditionalFormatting sqref="K593">
    <cfRule type="expression" priority="585" dxfId="0">
      <formula>LEN(K593)&gt;0</formula>
    </cfRule>
  </conditionalFormatting>
  <conditionalFormatting sqref="K594">
    <cfRule type="expression" priority="586" dxfId="0">
      <formula>LEN(K594)&gt;0</formula>
    </cfRule>
  </conditionalFormatting>
  <conditionalFormatting sqref="K595">
    <cfRule type="expression" priority="587" dxfId="0">
      <formula>LEN(K595)&gt;0</formula>
    </cfRule>
  </conditionalFormatting>
  <conditionalFormatting sqref="K596">
    <cfRule type="expression" priority="588" dxfId="0">
      <formula>LEN(K596)&gt;0</formula>
    </cfRule>
  </conditionalFormatting>
  <conditionalFormatting sqref="K597">
    <cfRule type="expression" priority="589" dxfId="0">
      <formula>LEN(K597)&gt;0</formula>
    </cfRule>
  </conditionalFormatting>
  <conditionalFormatting sqref="K598">
    <cfRule type="expression" priority="590" dxfId="0">
      <formula>LEN(K598)&gt;0</formula>
    </cfRule>
  </conditionalFormatting>
  <conditionalFormatting sqref="K599">
    <cfRule type="expression" priority="591" dxfId="0">
      <formula>LEN(K599)&gt;0</formula>
    </cfRule>
  </conditionalFormatting>
  <conditionalFormatting sqref="K601">
    <cfRule type="expression" priority="592" dxfId="0">
      <formula>LEN(K601)&gt;0</formula>
    </cfRule>
  </conditionalFormatting>
  <conditionalFormatting sqref="K602">
    <cfRule type="expression" priority="593" dxfId="0">
      <formula>LEN(K602)&gt;0</formula>
    </cfRule>
  </conditionalFormatting>
  <conditionalFormatting sqref="K603">
    <cfRule type="expression" priority="594" dxfId="0">
      <formula>LEN(K603)&gt;0</formula>
    </cfRule>
  </conditionalFormatting>
  <conditionalFormatting sqref="K604">
    <cfRule type="expression" priority="595" dxfId="0">
      <formula>LEN(K604)&gt;0</formula>
    </cfRule>
  </conditionalFormatting>
  <conditionalFormatting sqref="K605">
    <cfRule type="expression" priority="596" dxfId="0">
      <formula>LEN(K605)&gt;0</formula>
    </cfRule>
  </conditionalFormatting>
  <conditionalFormatting sqref="K606">
    <cfRule type="expression" priority="597" dxfId="0">
      <formula>LEN(K606)&gt;0</formula>
    </cfRule>
  </conditionalFormatting>
  <conditionalFormatting sqref="K607">
    <cfRule type="expression" priority="598" dxfId="0">
      <formula>LEN(K607)&gt;0</formula>
    </cfRule>
  </conditionalFormatting>
  <conditionalFormatting sqref="K608">
    <cfRule type="expression" priority="599" dxfId="0">
      <formula>LEN(K608)&gt;0</formula>
    </cfRule>
  </conditionalFormatting>
  <conditionalFormatting sqref="K609">
    <cfRule type="expression" priority="600" dxfId="0">
      <formula>LEN(K609)&gt;0</formula>
    </cfRule>
  </conditionalFormatting>
  <conditionalFormatting sqref="K610">
    <cfRule type="expression" priority="601" dxfId="0">
      <formula>LEN(K610)&gt;0</formula>
    </cfRule>
  </conditionalFormatting>
  <conditionalFormatting sqref="K611">
    <cfRule type="expression" priority="602" dxfId="0">
      <formula>LEN(K611)&gt;0</formula>
    </cfRule>
  </conditionalFormatting>
  <conditionalFormatting sqref="K612">
    <cfRule type="expression" priority="603" dxfId="0">
      <formula>LEN(K612)&gt;0</formula>
    </cfRule>
  </conditionalFormatting>
  <conditionalFormatting sqref="K613">
    <cfRule type="expression" priority="604" dxfId="0">
      <formula>LEN(K613)&gt;0</formula>
    </cfRule>
  </conditionalFormatting>
  <conditionalFormatting sqref="K615">
    <cfRule type="expression" priority="605" dxfId="0">
      <formula>LEN(K615)&gt;0</formula>
    </cfRule>
  </conditionalFormatting>
  <conditionalFormatting sqref="K616">
    <cfRule type="expression" priority="606" dxfId="0">
      <formula>LEN(K616)&gt;0</formula>
    </cfRule>
  </conditionalFormatting>
  <conditionalFormatting sqref="K617">
    <cfRule type="expression" priority="607" dxfId="0">
      <formula>LEN(K617)&gt;0</formula>
    </cfRule>
  </conditionalFormatting>
  <conditionalFormatting sqref="K618">
    <cfRule type="expression" priority="608" dxfId="0">
      <formula>LEN(K618)&gt;0</formula>
    </cfRule>
  </conditionalFormatting>
  <conditionalFormatting sqref="K619">
    <cfRule type="expression" priority="609" dxfId="0">
      <formula>LEN(K619)&gt;0</formula>
    </cfRule>
  </conditionalFormatting>
  <conditionalFormatting sqref="K620">
    <cfRule type="expression" priority="610" dxfId="0">
      <formula>LEN(K620)&gt;0</formula>
    </cfRule>
  </conditionalFormatting>
  <conditionalFormatting sqref="K621">
    <cfRule type="expression" priority="611" dxfId="0">
      <formula>LEN(K621)&gt;0</formula>
    </cfRule>
  </conditionalFormatting>
  <conditionalFormatting sqref="K622">
    <cfRule type="expression" priority="612" dxfId="0">
      <formula>LEN(K622)&gt;0</formula>
    </cfRule>
  </conditionalFormatting>
  <conditionalFormatting sqref="K623">
    <cfRule type="expression" priority="613" dxfId="0">
      <formula>LEN(K623)&gt;0</formula>
    </cfRule>
  </conditionalFormatting>
  <conditionalFormatting sqref="K624">
    <cfRule type="expression" priority="614" dxfId="0">
      <formula>LEN(K624)&gt;0</formula>
    </cfRule>
  </conditionalFormatting>
  <conditionalFormatting sqref="K625">
    <cfRule type="expression" priority="615" dxfId="0">
      <formula>LEN(K625)&gt;0</formula>
    </cfRule>
  </conditionalFormatting>
  <conditionalFormatting sqref="K626">
    <cfRule type="expression" priority="616" dxfId="0">
      <formula>LEN(K626)&gt;0</formula>
    </cfRule>
  </conditionalFormatting>
  <conditionalFormatting sqref="K627">
    <cfRule type="expression" priority="617" dxfId="0">
      <formula>LEN(K627)&gt;0</formula>
    </cfRule>
  </conditionalFormatting>
  <conditionalFormatting sqref="K629">
    <cfRule type="expression" priority="618" dxfId="0">
      <formula>LEN(K629)&gt;0</formula>
    </cfRule>
  </conditionalFormatting>
  <conditionalFormatting sqref="K630">
    <cfRule type="expression" priority="619" dxfId="0">
      <formula>LEN(K630)&gt;0</formula>
    </cfRule>
  </conditionalFormatting>
  <conditionalFormatting sqref="K631">
    <cfRule type="expression" priority="620" dxfId="0">
      <formula>LEN(K631)&gt;0</formula>
    </cfRule>
  </conditionalFormatting>
  <conditionalFormatting sqref="K632">
    <cfRule type="expression" priority="621" dxfId="0">
      <formula>LEN(K632)&gt;0</formula>
    </cfRule>
  </conditionalFormatting>
  <conditionalFormatting sqref="K633">
    <cfRule type="expression" priority="622" dxfId="0">
      <formula>LEN(K633)&gt;0</formula>
    </cfRule>
  </conditionalFormatting>
  <conditionalFormatting sqref="K634">
    <cfRule type="expression" priority="623" dxfId="0">
      <formula>LEN(K634)&gt;0</formula>
    </cfRule>
  </conditionalFormatting>
  <conditionalFormatting sqref="K635">
    <cfRule type="expression" priority="624" dxfId="0">
      <formula>LEN(K635)&gt;0</formula>
    </cfRule>
  </conditionalFormatting>
  <conditionalFormatting sqref="K636">
    <cfRule type="expression" priority="625" dxfId="0">
      <formula>LEN(K636)&gt;0</formula>
    </cfRule>
  </conditionalFormatting>
  <conditionalFormatting sqref="K637">
    <cfRule type="expression" priority="626" dxfId="0">
      <formula>LEN(K637)&gt;0</formula>
    </cfRule>
  </conditionalFormatting>
  <conditionalFormatting sqref="K638">
    <cfRule type="expression" priority="627" dxfId="0">
      <formula>LEN(K638)&gt;0</formula>
    </cfRule>
  </conditionalFormatting>
  <conditionalFormatting sqref="K639">
    <cfRule type="expression" priority="628" dxfId="0">
      <formula>LEN(K639)&gt;0</formula>
    </cfRule>
  </conditionalFormatting>
  <conditionalFormatting sqref="K640">
    <cfRule type="expression" priority="629" dxfId="0">
      <formula>LEN(K640)&gt;0</formula>
    </cfRule>
  </conditionalFormatting>
  <conditionalFormatting sqref="K641">
    <cfRule type="expression" priority="630" dxfId="0">
      <formula>LEN(K641)&gt;0</formula>
    </cfRule>
  </conditionalFormatting>
  <conditionalFormatting sqref="K643">
    <cfRule type="expression" priority="631" dxfId="0">
      <formula>LEN(K643)&gt;0</formula>
    </cfRule>
  </conditionalFormatting>
  <conditionalFormatting sqref="K644">
    <cfRule type="expression" priority="632" dxfId="0">
      <formula>LEN(K644)&gt;0</formula>
    </cfRule>
  </conditionalFormatting>
  <conditionalFormatting sqref="K645">
    <cfRule type="expression" priority="633" dxfId="0">
      <formula>LEN(K645)&gt;0</formula>
    </cfRule>
  </conditionalFormatting>
  <conditionalFormatting sqref="K646">
    <cfRule type="expression" priority="634" dxfId="0">
      <formula>LEN(K646)&gt;0</formula>
    </cfRule>
  </conditionalFormatting>
  <conditionalFormatting sqref="K647">
    <cfRule type="expression" priority="635" dxfId="0">
      <formula>LEN(K647)&gt;0</formula>
    </cfRule>
  </conditionalFormatting>
  <conditionalFormatting sqref="K648">
    <cfRule type="expression" priority="636" dxfId="0">
      <formula>LEN(K648)&gt;0</formula>
    </cfRule>
  </conditionalFormatting>
  <conditionalFormatting sqref="K649">
    <cfRule type="expression" priority="637" dxfId="0">
      <formula>LEN(K649)&gt;0</formula>
    </cfRule>
  </conditionalFormatting>
  <conditionalFormatting sqref="K650">
    <cfRule type="expression" priority="638" dxfId="0">
      <formula>LEN(K650)&gt;0</formula>
    </cfRule>
  </conditionalFormatting>
  <conditionalFormatting sqref="K651">
    <cfRule type="expression" priority="639" dxfId="0">
      <formula>LEN(K651)&gt;0</formula>
    </cfRule>
  </conditionalFormatting>
  <conditionalFormatting sqref="K652">
    <cfRule type="expression" priority="640" dxfId="0">
      <formula>LEN(K652)&gt;0</formula>
    </cfRule>
  </conditionalFormatting>
  <conditionalFormatting sqref="K653">
    <cfRule type="expression" priority="641" dxfId="0">
      <formula>LEN(K653)&gt;0</formula>
    </cfRule>
  </conditionalFormatting>
  <conditionalFormatting sqref="K654">
    <cfRule type="expression" priority="642" dxfId="0">
      <formula>LEN(K654)&gt;0</formula>
    </cfRule>
  </conditionalFormatting>
  <conditionalFormatting sqref="K655">
    <cfRule type="expression" priority="643" dxfId="0">
      <formula>LEN(K655)&gt;0</formula>
    </cfRule>
  </conditionalFormatting>
  <conditionalFormatting sqref="K657">
    <cfRule type="expression" priority="644" dxfId="0">
      <formula>LEN(K657)&gt;0</formula>
    </cfRule>
  </conditionalFormatting>
  <conditionalFormatting sqref="K658">
    <cfRule type="expression" priority="645" dxfId="0">
      <formula>LEN(K658)&gt;0</formula>
    </cfRule>
  </conditionalFormatting>
  <conditionalFormatting sqref="K659">
    <cfRule type="expression" priority="646" dxfId="0">
      <formula>LEN(K659)&gt;0</formula>
    </cfRule>
  </conditionalFormatting>
  <conditionalFormatting sqref="K660">
    <cfRule type="expression" priority="647" dxfId="0">
      <formula>LEN(K660)&gt;0</formula>
    </cfRule>
  </conditionalFormatting>
  <conditionalFormatting sqref="K661">
    <cfRule type="expression" priority="648" dxfId="0">
      <formula>LEN(K661)&gt;0</formula>
    </cfRule>
  </conditionalFormatting>
  <conditionalFormatting sqref="K662">
    <cfRule type="expression" priority="649" dxfId="0">
      <formula>LEN(K662)&gt;0</formula>
    </cfRule>
  </conditionalFormatting>
  <conditionalFormatting sqref="K663">
    <cfRule type="expression" priority="650" dxfId="0">
      <formula>LEN(K663)&gt;0</formula>
    </cfRule>
  </conditionalFormatting>
  <conditionalFormatting sqref="K664">
    <cfRule type="expression" priority="651" dxfId="0">
      <formula>LEN(K664)&gt;0</formula>
    </cfRule>
  </conditionalFormatting>
  <conditionalFormatting sqref="K665">
    <cfRule type="expression" priority="652" dxfId="0">
      <formula>LEN(K665)&gt;0</formula>
    </cfRule>
  </conditionalFormatting>
  <conditionalFormatting sqref="K666">
    <cfRule type="expression" priority="653" dxfId="0">
      <formula>LEN(K666)&gt;0</formula>
    </cfRule>
  </conditionalFormatting>
  <conditionalFormatting sqref="K667">
    <cfRule type="expression" priority="654" dxfId="0">
      <formula>LEN(K667)&gt;0</formula>
    </cfRule>
  </conditionalFormatting>
  <conditionalFormatting sqref="K668">
    <cfRule type="expression" priority="655" dxfId="0">
      <formula>LEN(K668)&gt;0</formula>
    </cfRule>
  </conditionalFormatting>
  <conditionalFormatting sqref="K669">
    <cfRule type="expression" priority="656" dxfId="0">
      <formula>LEN(K669)&gt;0</formula>
    </cfRule>
  </conditionalFormatting>
  <conditionalFormatting sqref="K671">
    <cfRule type="expression" priority="657" dxfId="0">
      <formula>LEN(K671)&gt;0</formula>
    </cfRule>
  </conditionalFormatting>
  <conditionalFormatting sqref="K672">
    <cfRule type="expression" priority="658" dxfId="0">
      <formula>LEN(K672)&gt;0</formula>
    </cfRule>
  </conditionalFormatting>
  <conditionalFormatting sqref="K673">
    <cfRule type="expression" priority="659" dxfId="0">
      <formula>LEN(K673)&gt;0</formula>
    </cfRule>
  </conditionalFormatting>
  <conditionalFormatting sqref="K674">
    <cfRule type="expression" priority="660" dxfId="0">
      <formula>LEN(K674)&gt;0</formula>
    </cfRule>
  </conditionalFormatting>
  <conditionalFormatting sqref="K675">
    <cfRule type="expression" priority="661" dxfId="0">
      <formula>LEN(K675)&gt;0</formula>
    </cfRule>
  </conditionalFormatting>
  <conditionalFormatting sqref="K676">
    <cfRule type="expression" priority="662" dxfId="0">
      <formula>LEN(K676)&gt;0</formula>
    </cfRule>
  </conditionalFormatting>
  <conditionalFormatting sqref="K677">
    <cfRule type="expression" priority="663" dxfId="0">
      <formula>LEN(K677)&gt;0</formula>
    </cfRule>
  </conditionalFormatting>
  <conditionalFormatting sqref="K678">
    <cfRule type="expression" priority="664" dxfId="0">
      <formula>LEN(K678)&gt;0</formula>
    </cfRule>
  </conditionalFormatting>
  <conditionalFormatting sqref="K679">
    <cfRule type="expression" priority="665" dxfId="0">
      <formula>LEN(K679)&gt;0</formula>
    </cfRule>
  </conditionalFormatting>
  <conditionalFormatting sqref="K680">
    <cfRule type="expression" priority="666" dxfId="0">
      <formula>LEN(K680)&gt;0</formula>
    </cfRule>
  </conditionalFormatting>
  <conditionalFormatting sqref="K681">
    <cfRule type="expression" priority="667" dxfId="0">
      <formula>LEN(K681)&gt;0</formula>
    </cfRule>
  </conditionalFormatting>
  <conditionalFormatting sqref="K682">
    <cfRule type="expression" priority="668" dxfId="0">
      <formula>LEN(K682)&gt;0</formula>
    </cfRule>
  </conditionalFormatting>
  <conditionalFormatting sqref="K683">
    <cfRule type="expression" priority="669" dxfId="0">
      <formula>LEN(K683)&gt;0</formula>
    </cfRule>
  </conditionalFormatting>
  <conditionalFormatting sqref="K685">
    <cfRule type="expression" priority="670" dxfId="0">
      <formula>LEN(K685)&gt;0</formula>
    </cfRule>
  </conditionalFormatting>
  <conditionalFormatting sqref="K686">
    <cfRule type="expression" priority="671" dxfId="0">
      <formula>LEN(K686)&gt;0</formula>
    </cfRule>
  </conditionalFormatting>
  <conditionalFormatting sqref="K687">
    <cfRule type="expression" priority="672" dxfId="0">
      <formula>LEN(K687)&gt;0</formula>
    </cfRule>
  </conditionalFormatting>
  <conditionalFormatting sqref="K688">
    <cfRule type="expression" priority="673" dxfId="0">
      <formula>LEN(K688)&gt;0</formula>
    </cfRule>
  </conditionalFormatting>
  <conditionalFormatting sqref="K689">
    <cfRule type="expression" priority="674" dxfId="0">
      <formula>LEN(K689)&gt;0</formula>
    </cfRule>
  </conditionalFormatting>
  <conditionalFormatting sqref="K690">
    <cfRule type="expression" priority="675" dxfId="0">
      <formula>LEN(K690)&gt;0</formula>
    </cfRule>
  </conditionalFormatting>
  <conditionalFormatting sqref="K691">
    <cfRule type="expression" priority="676" dxfId="0">
      <formula>LEN(K691)&gt;0</formula>
    </cfRule>
  </conditionalFormatting>
  <conditionalFormatting sqref="K692">
    <cfRule type="expression" priority="677" dxfId="0">
      <formula>LEN(K692)&gt;0</formula>
    </cfRule>
  </conditionalFormatting>
  <conditionalFormatting sqref="K693">
    <cfRule type="expression" priority="678" dxfId="0">
      <formula>LEN(K693)&gt;0</formula>
    </cfRule>
  </conditionalFormatting>
  <conditionalFormatting sqref="K702">
    <cfRule type="expression" priority="679" dxfId="0">
      <formula>LEN(K702)&gt;0</formula>
    </cfRule>
  </conditionalFormatting>
  <conditionalFormatting sqref="K703">
    <cfRule type="expression" priority="680" dxfId="0">
      <formula>LEN(K703)&gt;0</formula>
    </cfRule>
  </conditionalFormatting>
  <conditionalFormatting sqref="K704">
    <cfRule type="expression" priority="681" dxfId="0">
      <formula>LEN(K704)&gt;0</formula>
    </cfRule>
  </conditionalFormatting>
  <conditionalFormatting sqref="K705">
    <cfRule type="expression" priority="682" dxfId="0">
      <formula>LEN(K705)&gt;0</formula>
    </cfRule>
  </conditionalFormatting>
  <conditionalFormatting sqref="K706">
    <cfRule type="expression" priority="683" dxfId="0">
      <formula>LEN(K706)&gt;0</formula>
    </cfRule>
  </conditionalFormatting>
  <conditionalFormatting sqref="K707">
    <cfRule type="expression" priority="684" dxfId="0">
      <formula>LEN(K707)&gt;0</formula>
    </cfRule>
  </conditionalFormatting>
  <conditionalFormatting sqref="K708">
    <cfRule type="expression" priority="685" dxfId="0">
      <formula>LEN(K708)&gt;0</formula>
    </cfRule>
  </conditionalFormatting>
  <conditionalFormatting sqref="K709">
    <cfRule type="expression" priority="686" dxfId="0">
      <formula>LEN(K709)&gt;0</formula>
    </cfRule>
  </conditionalFormatting>
  <conditionalFormatting sqref="K710">
    <cfRule type="expression" priority="687" dxfId="0">
      <formula>LEN(K710)&gt;0</formula>
    </cfRule>
  </conditionalFormatting>
  <conditionalFormatting sqref="K711">
    <cfRule type="expression" priority="688" dxfId="0">
      <formula>LEN(K711)&gt;0</formula>
    </cfRule>
  </conditionalFormatting>
  <conditionalFormatting sqref="K712">
    <cfRule type="expression" priority="689" dxfId="0">
      <formula>LEN(K712)&gt;0</formula>
    </cfRule>
  </conditionalFormatting>
  <conditionalFormatting sqref="K713">
    <cfRule type="expression" priority="690" dxfId="0">
      <formula>LEN(K713)&gt;0</formula>
    </cfRule>
  </conditionalFormatting>
  <conditionalFormatting sqref="K714">
    <cfRule type="expression" priority="691" dxfId="0">
      <formula>LEN(K714)&gt;0</formula>
    </cfRule>
  </conditionalFormatting>
  <conditionalFormatting sqref="K716">
    <cfRule type="expression" priority="692" dxfId="0">
      <formula>LEN(K716)&gt;0</formula>
    </cfRule>
  </conditionalFormatting>
  <conditionalFormatting sqref="K717">
    <cfRule type="expression" priority="693" dxfId="0">
      <formula>LEN(K717)&gt;0</formula>
    </cfRule>
  </conditionalFormatting>
  <conditionalFormatting sqref="K718">
    <cfRule type="expression" priority="694" dxfId="0">
      <formula>LEN(K718)&gt;0</formula>
    </cfRule>
  </conditionalFormatting>
  <conditionalFormatting sqref="K719">
    <cfRule type="expression" priority="695" dxfId="0">
      <formula>LEN(K719)&gt;0</formula>
    </cfRule>
  </conditionalFormatting>
  <conditionalFormatting sqref="K720">
    <cfRule type="expression" priority="696" dxfId="0">
      <formula>LEN(K720)&gt;0</formula>
    </cfRule>
  </conditionalFormatting>
  <conditionalFormatting sqref="K721">
    <cfRule type="expression" priority="697" dxfId="0">
      <formula>LEN(K721)&gt;0</formula>
    </cfRule>
  </conditionalFormatting>
  <conditionalFormatting sqref="K722">
    <cfRule type="expression" priority="698" dxfId="0">
      <formula>LEN(K722)&gt;0</formula>
    </cfRule>
  </conditionalFormatting>
  <conditionalFormatting sqref="K723">
    <cfRule type="expression" priority="699" dxfId="0">
      <formula>LEN(K723)&gt;0</formula>
    </cfRule>
  </conditionalFormatting>
  <conditionalFormatting sqref="K724">
    <cfRule type="expression" priority="700" dxfId="0">
      <formula>LEN(K724)&gt;0</formula>
    </cfRule>
  </conditionalFormatting>
  <conditionalFormatting sqref="K725">
    <cfRule type="expression" priority="701" dxfId="0">
      <formula>LEN(K725)&gt;0</formula>
    </cfRule>
  </conditionalFormatting>
  <conditionalFormatting sqref="K726">
    <cfRule type="expression" priority="702" dxfId="0">
      <formula>LEN(K726)&gt;0</formula>
    </cfRule>
  </conditionalFormatting>
  <conditionalFormatting sqref="K727">
    <cfRule type="expression" priority="703" dxfId="0">
      <formula>LEN(K727)&gt;0</formula>
    </cfRule>
  </conditionalFormatting>
  <conditionalFormatting sqref="K728">
    <cfRule type="expression" priority="704" dxfId="0">
      <formula>LEN(K728)&gt;0</formula>
    </cfRule>
  </conditionalFormatting>
  <conditionalFormatting sqref="K730">
    <cfRule type="expression" priority="705" dxfId="0">
      <formula>LEN(K730)&gt;0</formula>
    </cfRule>
  </conditionalFormatting>
  <conditionalFormatting sqref="K731">
    <cfRule type="expression" priority="706" dxfId="0">
      <formula>LEN(K731)&gt;0</formula>
    </cfRule>
  </conditionalFormatting>
  <conditionalFormatting sqref="K732">
    <cfRule type="expression" priority="707" dxfId="0">
      <formula>LEN(K732)&gt;0</formula>
    </cfRule>
  </conditionalFormatting>
  <conditionalFormatting sqref="K733">
    <cfRule type="expression" priority="708" dxfId="0">
      <formula>LEN(K733)&gt;0</formula>
    </cfRule>
  </conditionalFormatting>
  <conditionalFormatting sqref="K734">
    <cfRule type="expression" priority="709" dxfId="0">
      <formula>LEN(K734)&gt;0</formula>
    </cfRule>
  </conditionalFormatting>
  <conditionalFormatting sqref="K735">
    <cfRule type="expression" priority="710" dxfId="0">
      <formula>LEN(K735)&gt;0</formula>
    </cfRule>
  </conditionalFormatting>
  <conditionalFormatting sqref="K736">
    <cfRule type="expression" priority="711" dxfId="0">
      <formula>LEN(K736)&gt;0</formula>
    </cfRule>
  </conditionalFormatting>
  <conditionalFormatting sqref="K737">
    <cfRule type="expression" priority="712" dxfId="0">
      <formula>LEN(K737)&gt;0</formula>
    </cfRule>
  </conditionalFormatting>
  <conditionalFormatting sqref="K738">
    <cfRule type="expression" priority="713" dxfId="0">
      <formula>LEN(K738)&gt;0</formula>
    </cfRule>
  </conditionalFormatting>
  <conditionalFormatting sqref="K739">
    <cfRule type="expression" priority="714" dxfId="0">
      <formula>LEN(K739)&gt;0</formula>
    </cfRule>
  </conditionalFormatting>
  <conditionalFormatting sqref="K740">
    <cfRule type="expression" priority="715" dxfId="0">
      <formula>LEN(K740)&gt;0</formula>
    </cfRule>
  </conditionalFormatting>
  <conditionalFormatting sqref="K741">
    <cfRule type="expression" priority="716" dxfId="0">
      <formula>LEN(K741)&gt;0</formula>
    </cfRule>
  </conditionalFormatting>
  <conditionalFormatting sqref="K742">
    <cfRule type="expression" priority="717" dxfId="0">
      <formula>LEN(K742)&gt;0</formula>
    </cfRule>
  </conditionalFormatting>
  <conditionalFormatting sqref="K744">
    <cfRule type="expression" priority="718" dxfId="0">
      <formula>LEN(K744)&gt;0</formula>
    </cfRule>
  </conditionalFormatting>
  <conditionalFormatting sqref="K745">
    <cfRule type="expression" priority="719" dxfId="0">
      <formula>LEN(K745)&gt;0</formula>
    </cfRule>
  </conditionalFormatting>
  <conditionalFormatting sqref="K746">
    <cfRule type="expression" priority="720" dxfId="0">
      <formula>LEN(K746)&gt;0</formula>
    </cfRule>
  </conditionalFormatting>
  <conditionalFormatting sqref="K747">
    <cfRule type="expression" priority="721" dxfId="0">
      <formula>LEN(K747)&gt;0</formula>
    </cfRule>
  </conditionalFormatting>
  <conditionalFormatting sqref="K748">
    <cfRule type="expression" priority="722" dxfId="0">
      <formula>LEN(K748)&gt;0</formula>
    </cfRule>
  </conditionalFormatting>
  <conditionalFormatting sqref="K749">
    <cfRule type="expression" priority="723" dxfId="0">
      <formula>LEN(K749)&gt;0</formula>
    </cfRule>
  </conditionalFormatting>
  <conditionalFormatting sqref="K750">
    <cfRule type="expression" priority="724" dxfId="0">
      <formula>LEN(K750)&gt;0</formula>
    </cfRule>
  </conditionalFormatting>
  <conditionalFormatting sqref="K751">
    <cfRule type="expression" priority="725" dxfId="0">
      <formula>LEN(K751)&gt;0</formula>
    </cfRule>
  </conditionalFormatting>
  <conditionalFormatting sqref="K752">
    <cfRule type="expression" priority="726" dxfId="0">
      <formula>LEN(K752)&gt;0</formula>
    </cfRule>
  </conditionalFormatting>
  <conditionalFormatting sqref="K753">
    <cfRule type="expression" priority="727" dxfId="0">
      <formula>LEN(K753)&gt;0</formula>
    </cfRule>
  </conditionalFormatting>
  <conditionalFormatting sqref="K754">
    <cfRule type="expression" priority="728" dxfId="0">
      <formula>LEN(K754)&gt;0</formula>
    </cfRule>
  </conditionalFormatting>
  <conditionalFormatting sqref="K755">
    <cfRule type="expression" priority="729" dxfId="0">
      <formula>LEN(K755)&gt;0</formula>
    </cfRule>
  </conditionalFormatting>
  <conditionalFormatting sqref="K756">
    <cfRule type="expression" priority="730" dxfId="0">
      <formula>LEN(K756)&gt;0</formula>
    </cfRule>
  </conditionalFormatting>
  <conditionalFormatting sqref="K758">
    <cfRule type="expression" priority="731" dxfId="0">
      <formula>LEN(K758)&gt;0</formula>
    </cfRule>
  </conditionalFormatting>
  <conditionalFormatting sqref="K759">
    <cfRule type="expression" priority="732" dxfId="0">
      <formula>LEN(K759)&gt;0</formula>
    </cfRule>
  </conditionalFormatting>
  <conditionalFormatting sqref="K760">
    <cfRule type="expression" priority="733" dxfId="0">
      <formula>LEN(K760)&gt;0</formula>
    </cfRule>
  </conditionalFormatting>
  <conditionalFormatting sqref="K761">
    <cfRule type="expression" priority="734" dxfId="0">
      <formula>LEN(K761)&gt;0</formula>
    </cfRule>
  </conditionalFormatting>
  <conditionalFormatting sqref="K762">
    <cfRule type="expression" priority="735" dxfId="0">
      <formula>LEN(K762)&gt;0</formula>
    </cfRule>
  </conditionalFormatting>
  <conditionalFormatting sqref="K763">
    <cfRule type="expression" priority="736" dxfId="0">
      <formula>LEN(K763)&gt;0</formula>
    </cfRule>
  </conditionalFormatting>
  <conditionalFormatting sqref="K764">
    <cfRule type="expression" priority="737" dxfId="0">
      <formula>LEN(K764)&gt;0</formula>
    </cfRule>
  </conditionalFormatting>
  <conditionalFormatting sqref="K765">
    <cfRule type="expression" priority="738" dxfId="0">
      <formula>LEN(K765)&gt;0</formula>
    </cfRule>
  </conditionalFormatting>
  <conditionalFormatting sqref="K766">
    <cfRule type="expression" priority="739" dxfId="0">
      <formula>LEN(K766)&gt;0</formula>
    </cfRule>
  </conditionalFormatting>
  <conditionalFormatting sqref="K767">
    <cfRule type="expression" priority="740" dxfId="0">
      <formula>LEN(K767)&gt;0</formula>
    </cfRule>
  </conditionalFormatting>
  <conditionalFormatting sqref="K768">
    <cfRule type="expression" priority="741" dxfId="0">
      <formula>LEN(K768)&gt;0</formula>
    </cfRule>
  </conditionalFormatting>
  <conditionalFormatting sqref="K769">
    <cfRule type="expression" priority="742" dxfId="0">
      <formula>LEN(K769)&gt;0</formula>
    </cfRule>
  </conditionalFormatting>
  <conditionalFormatting sqref="K770">
    <cfRule type="expression" priority="743" dxfId="0">
      <formula>LEN(K770)&gt;0</formula>
    </cfRule>
  </conditionalFormatting>
  <conditionalFormatting sqref="K772">
    <cfRule type="expression" priority="744" dxfId="0">
      <formula>LEN(K772)&gt;0</formula>
    </cfRule>
  </conditionalFormatting>
  <conditionalFormatting sqref="K773">
    <cfRule type="expression" priority="745" dxfId="0">
      <formula>LEN(K773)&gt;0</formula>
    </cfRule>
  </conditionalFormatting>
  <conditionalFormatting sqref="K774">
    <cfRule type="expression" priority="746" dxfId="0">
      <formula>LEN(K774)&gt;0</formula>
    </cfRule>
  </conditionalFormatting>
  <conditionalFormatting sqref="K775">
    <cfRule type="expression" priority="747" dxfId="0">
      <formula>LEN(K775)&gt;0</formula>
    </cfRule>
  </conditionalFormatting>
  <conditionalFormatting sqref="K776">
    <cfRule type="expression" priority="748" dxfId="0">
      <formula>LEN(K776)&gt;0</formula>
    </cfRule>
  </conditionalFormatting>
  <conditionalFormatting sqref="K777">
    <cfRule type="expression" priority="749" dxfId="0">
      <formula>LEN(K777)&gt;0</formula>
    </cfRule>
  </conditionalFormatting>
  <conditionalFormatting sqref="K778">
    <cfRule type="expression" priority="750" dxfId="0">
      <formula>LEN(K778)&gt;0</formula>
    </cfRule>
  </conditionalFormatting>
  <conditionalFormatting sqref="K779">
    <cfRule type="expression" priority="751" dxfId="0">
      <formula>LEN(K779)&gt;0</formula>
    </cfRule>
  </conditionalFormatting>
  <conditionalFormatting sqref="K780">
    <cfRule type="expression" priority="752" dxfId="0">
      <formula>LEN(K780)&gt;0</formula>
    </cfRule>
  </conditionalFormatting>
  <conditionalFormatting sqref="K781">
    <cfRule type="expression" priority="753" dxfId="0">
      <formula>LEN(K781)&gt;0</formula>
    </cfRule>
  </conditionalFormatting>
  <conditionalFormatting sqref="K782">
    <cfRule type="expression" priority="754" dxfId="0">
      <formula>LEN(K782)&gt;0</formula>
    </cfRule>
  </conditionalFormatting>
  <conditionalFormatting sqref="K783">
    <cfRule type="expression" priority="755" dxfId="0">
      <formula>LEN(K783)&gt;0</formula>
    </cfRule>
  </conditionalFormatting>
  <conditionalFormatting sqref="K784">
    <cfRule type="expression" priority="756" dxfId="0">
      <formula>LEN(K784)&gt;0</formula>
    </cfRule>
  </conditionalFormatting>
  <conditionalFormatting sqref="K786">
    <cfRule type="expression" priority="757" dxfId="0">
      <formula>LEN(K786)&gt;0</formula>
    </cfRule>
  </conditionalFormatting>
  <conditionalFormatting sqref="K787">
    <cfRule type="expression" priority="758" dxfId="0">
      <formula>LEN(K787)&gt;0</formula>
    </cfRule>
  </conditionalFormatting>
  <conditionalFormatting sqref="K788">
    <cfRule type="expression" priority="759" dxfId="0">
      <formula>LEN(K788)&gt;0</formula>
    </cfRule>
  </conditionalFormatting>
  <conditionalFormatting sqref="K789">
    <cfRule type="expression" priority="760" dxfId="0">
      <formula>LEN(K789)&gt;0</formula>
    </cfRule>
  </conditionalFormatting>
  <conditionalFormatting sqref="K790">
    <cfRule type="expression" priority="761" dxfId="0">
      <formula>LEN(K790)&gt;0</formula>
    </cfRule>
  </conditionalFormatting>
  <conditionalFormatting sqref="K791">
    <cfRule type="expression" priority="762" dxfId="0">
      <formula>LEN(K791)&gt;0</formula>
    </cfRule>
  </conditionalFormatting>
  <conditionalFormatting sqref="K792">
    <cfRule type="expression" priority="763" dxfId="0">
      <formula>LEN(K792)&gt;0</formula>
    </cfRule>
  </conditionalFormatting>
  <conditionalFormatting sqref="K793">
    <cfRule type="expression" priority="764" dxfId="0">
      <formula>LEN(K793)&gt;0</formula>
    </cfRule>
  </conditionalFormatting>
  <conditionalFormatting sqref="K794">
    <cfRule type="expression" priority="765" dxfId="0">
      <formula>LEN(K794)&gt;0</formula>
    </cfRule>
  </conditionalFormatting>
  <conditionalFormatting sqref="K795">
    <cfRule type="expression" priority="766" dxfId="0">
      <formula>LEN(K795)&gt;0</formula>
    </cfRule>
  </conditionalFormatting>
  <conditionalFormatting sqref="K796">
    <cfRule type="expression" priority="767" dxfId="0">
      <formula>LEN(K796)&gt;0</formula>
    </cfRule>
  </conditionalFormatting>
  <conditionalFormatting sqref="K797">
    <cfRule type="expression" priority="768" dxfId="0">
      <formula>LEN(K797)&gt;0</formula>
    </cfRule>
  </conditionalFormatting>
  <conditionalFormatting sqref="K798">
    <cfRule type="expression" priority="769" dxfId="0">
      <formula>LEN(K798)&gt;0</formula>
    </cfRule>
  </conditionalFormatting>
  <conditionalFormatting sqref="K800">
    <cfRule type="expression" priority="770" dxfId="0">
      <formula>LEN(K800)&gt;0</formula>
    </cfRule>
  </conditionalFormatting>
  <conditionalFormatting sqref="K801">
    <cfRule type="expression" priority="771" dxfId="0">
      <formula>LEN(K801)&gt;0</formula>
    </cfRule>
  </conditionalFormatting>
  <conditionalFormatting sqref="K802">
    <cfRule type="expression" priority="772" dxfId="0">
      <formula>LEN(K802)&gt;0</formula>
    </cfRule>
  </conditionalFormatting>
  <conditionalFormatting sqref="K803">
    <cfRule type="expression" priority="773" dxfId="0">
      <formula>LEN(K803)&gt;0</formula>
    </cfRule>
  </conditionalFormatting>
  <conditionalFormatting sqref="K804">
    <cfRule type="expression" priority="774" dxfId="0">
      <formula>LEN(K804)&gt;0</formula>
    </cfRule>
  </conditionalFormatting>
  <conditionalFormatting sqref="K805">
    <cfRule type="expression" priority="775" dxfId="0">
      <formula>LEN(K805)&gt;0</formula>
    </cfRule>
  </conditionalFormatting>
  <conditionalFormatting sqref="K806">
    <cfRule type="expression" priority="776" dxfId="0">
      <formula>LEN(K806)&gt;0</formula>
    </cfRule>
  </conditionalFormatting>
  <conditionalFormatting sqref="K807">
    <cfRule type="expression" priority="777" dxfId="0">
      <formula>LEN(K807)&gt;0</formula>
    </cfRule>
  </conditionalFormatting>
  <conditionalFormatting sqref="K808">
    <cfRule type="expression" priority="778" dxfId="0">
      <formula>LEN(K808)&gt;0</formula>
    </cfRule>
  </conditionalFormatting>
  <conditionalFormatting sqref="K817">
    <cfRule type="expression" priority="779" dxfId="0">
      <formula>LEN(K817)&gt;0</formula>
    </cfRule>
  </conditionalFormatting>
  <conditionalFormatting sqref="K818">
    <cfRule type="expression" priority="780" dxfId="0">
      <formula>LEN(K818)&gt;0</formula>
    </cfRule>
  </conditionalFormatting>
  <conditionalFormatting sqref="K819">
    <cfRule type="expression" priority="781" dxfId="0">
      <formula>LEN(K819)&gt;0</formula>
    </cfRule>
  </conditionalFormatting>
  <conditionalFormatting sqref="K820">
    <cfRule type="expression" priority="782" dxfId="0">
      <formula>LEN(K820)&gt;0</formula>
    </cfRule>
  </conditionalFormatting>
  <conditionalFormatting sqref="K821">
    <cfRule type="expression" priority="783" dxfId="0">
      <formula>LEN(K821)&gt;0</formula>
    </cfRule>
  </conditionalFormatting>
  <conditionalFormatting sqref="K822">
    <cfRule type="expression" priority="784" dxfId="0">
      <formula>LEN(K822)&gt;0</formula>
    </cfRule>
  </conditionalFormatting>
  <conditionalFormatting sqref="K823">
    <cfRule type="expression" priority="785" dxfId="0">
      <formula>LEN(K823)&gt;0</formula>
    </cfRule>
  </conditionalFormatting>
  <conditionalFormatting sqref="K824">
    <cfRule type="expression" priority="786" dxfId="0">
      <formula>LEN(K824)&gt;0</formula>
    </cfRule>
  </conditionalFormatting>
  <conditionalFormatting sqref="K825">
    <cfRule type="expression" priority="787" dxfId="0">
      <formula>LEN(K825)&gt;0</formula>
    </cfRule>
  </conditionalFormatting>
  <conditionalFormatting sqref="K826">
    <cfRule type="expression" priority="788" dxfId="0">
      <formula>LEN(K826)&gt;0</formula>
    </cfRule>
  </conditionalFormatting>
  <conditionalFormatting sqref="K827">
    <cfRule type="expression" priority="789" dxfId="0">
      <formula>LEN(K827)&gt;0</formula>
    </cfRule>
  </conditionalFormatting>
  <conditionalFormatting sqref="K828">
    <cfRule type="expression" priority="790" dxfId="0">
      <formula>LEN(K828)&gt;0</formula>
    </cfRule>
  </conditionalFormatting>
  <conditionalFormatting sqref="K829">
    <cfRule type="expression" priority="791" dxfId="0">
      <formula>LEN(K829)&gt;0</formula>
    </cfRule>
  </conditionalFormatting>
  <conditionalFormatting sqref="K831">
    <cfRule type="expression" priority="792" dxfId="0">
      <formula>LEN(K831)&gt;0</formula>
    </cfRule>
  </conditionalFormatting>
  <conditionalFormatting sqref="K832">
    <cfRule type="expression" priority="793" dxfId="0">
      <formula>LEN(K832)&gt;0</formula>
    </cfRule>
  </conditionalFormatting>
  <conditionalFormatting sqref="K833">
    <cfRule type="expression" priority="794" dxfId="0">
      <formula>LEN(K833)&gt;0</formula>
    </cfRule>
  </conditionalFormatting>
  <conditionalFormatting sqref="K834">
    <cfRule type="expression" priority="795" dxfId="0">
      <formula>LEN(K834)&gt;0</formula>
    </cfRule>
  </conditionalFormatting>
  <conditionalFormatting sqref="K835">
    <cfRule type="expression" priority="796" dxfId="0">
      <formula>LEN(K835)&gt;0</formula>
    </cfRule>
  </conditionalFormatting>
  <conditionalFormatting sqref="K836">
    <cfRule type="expression" priority="797" dxfId="0">
      <formula>LEN(K836)&gt;0</formula>
    </cfRule>
  </conditionalFormatting>
  <conditionalFormatting sqref="K837">
    <cfRule type="expression" priority="798" dxfId="0">
      <formula>LEN(K837)&gt;0</formula>
    </cfRule>
  </conditionalFormatting>
  <conditionalFormatting sqref="K838">
    <cfRule type="expression" priority="799" dxfId="0">
      <formula>LEN(K838)&gt;0</formula>
    </cfRule>
  </conditionalFormatting>
  <conditionalFormatting sqref="K839">
    <cfRule type="expression" priority="800" dxfId="0">
      <formula>LEN(K839)&gt;0</formula>
    </cfRule>
  </conditionalFormatting>
  <conditionalFormatting sqref="K840">
    <cfRule type="expression" priority="801" dxfId="0">
      <formula>LEN(K840)&gt;0</formula>
    </cfRule>
  </conditionalFormatting>
  <conditionalFormatting sqref="K841">
    <cfRule type="expression" priority="802" dxfId="0">
      <formula>LEN(K841)&gt;0</formula>
    </cfRule>
  </conditionalFormatting>
  <conditionalFormatting sqref="K842">
    <cfRule type="expression" priority="803" dxfId="0">
      <formula>LEN(K842)&gt;0</formula>
    </cfRule>
  </conditionalFormatting>
  <conditionalFormatting sqref="K843">
    <cfRule type="expression" priority="804" dxfId="0">
      <formula>LEN(K843)&gt;0</formula>
    </cfRule>
  </conditionalFormatting>
  <conditionalFormatting sqref="K845">
    <cfRule type="expression" priority="805" dxfId="0">
      <formula>LEN(K845)&gt;0</formula>
    </cfRule>
  </conditionalFormatting>
  <conditionalFormatting sqref="K846">
    <cfRule type="expression" priority="806" dxfId="0">
      <formula>LEN(K846)&gt;0</formula>
    </cfRule>
  </conditionalFormatting>
  <conditionalFormatting sqref="K847">
    <cfRule type="expression" priority="807" dxfId="0">
      <formula>LEN(K847)&gt;0</formula>
    </cfRule>
  </conditionalFormatting>
  <conditionalFormatting sqref="K848">
    <cfRule type="expression" priority="808" dxfId="0">
      <formula>LEN(K848)&gt;0</formula>
    </cfRule>
  </conditionalFormatting>
  <conditionalFormatting sqref="K849">
    <cfRule type="expression" priority="809" dxfId="0">
      <formula>LEN(K849)&gt;0</formula>
    </cfRule>
  </conditionalFormatting>
  <conditionalFormatting sqref="K850">
    <cfRule type="expression" priority="810" dxfId="0">
      <formula>LEN(K850)&gt;0</formula>
    </cfRule>
  </conditionalFormatting>
  <conditionalFormatting sqref="K851">
    <cfRule type="expression" priority="811" dxfId="0">
      <formula>LEN(K851)&gt;0</formula>
    </cfRule>
  </conditionalFormatting>
  <conditionalFormatting sqref="K852">
    <cfRule type="expression" priority="812" dxfId="0">
      <formula>LEN(K852)&gt;0</formula>
    </cfRule>
  </conditionalFormatting>
  <conditionalFormatting sqref="K853">
    <cfRule type="expression" priority="813" dxfId="0">
      <formula>LEN(K853)&gt;0</formula>
    </cfRule>
  </conditionalFormatting>
  <conditionalFormatting sqref="K854">
    <cfRule type="expression" priority="814" dxfId="0">
      <formula>LEN(K854)&gt;0</formula>
    </cfRule>
  </conditionalFormatting>
  <conditionalFormatting sqref="K855">
    <cfRule type="expression" priority="815" dxfId="0">
      <formula>LEN(K855)&gt;0</formula>
    </cfRule>
  </conditionalFormatting>
  <conditionalFormatting sqref="K856">
    <cfRule type="expression" priority="816" dxfId="0">
      <formula>LEN(K856)&gt;0</formula>
    </cfRule>
  </conditionalFormatting>
  <conditionalFormatting sqref="K857">
    <cfRule type="expression" priority="817" dxfId="0">
      <formula>LEN(K857)&gt;0</formula>
    </cfRule>
  </conditionalFormatting>
  <conditionalFormatting sqref="K859">
    <cfRule type="expression" priority="818" dxfId="0">
      <formula>LEN(K859)&gt;0</formula>
    </cfRule>
  </conditionalFormatting>
  <conditionalFormatting sqref="K860">
    <cfRule type="expression" priority="819" dxfId="0">
      <formula>LEN(K860)&gt;0</formula>
    </cfRule>
  </conditionalFormatting>
  <conditionalFormatting sqref="K861">
    <cfRule type="expression" priority="820" dxfId="0">
      <formula>LEN(K861)&gt;0</formula>
    </cfRule>
  </conditionalFormatting>
  <conditionalFormatting sqref="K862">
    <cfRule type="expression" priority="821" dxfId="0">
      <formula>LEN(K862)&gt;0</formula>
    </cfRule>
  </conditionalFormatting>
  <conditionalFormatting sqref="K863">
    <cfRule type="expression" priority="822" dxfId="0">
      <formula>LEN(K863)&gt;0</formula>
    </cfRule>
  </conditionalFormatting>
  <conditionalFormatting sqref="K864">
    <cfRule type="expression" priority="823" dxfId="0">
      <formula>LEN(K864)&gt;0</formula>
    </cfRule>
  </conditionalFormatting>
  <conditionalFormatting sqref="K865">
    <cfRule type="expression" priority="824" dxfId="0">
      <formula>LEN(K865)&gt;0</formula>
    </cfRule>
  </conditionalFormatting>
  <conditionalFormatting sqref="K866">
    <cfRule type="expression" priority="825" dxfId="0">
      <formula>LEN(K866)&gt;0</formula>
    </cfRule>
  </conditionalFormatting>
  <conditionalFormatting sqref="K867">
    <cfRule type="expression" priority="826" dxfId="0">
      <formula>LEN(K867)&gt;0</formula>
    </cfRule>
  </conditionalFormatting>
  <conditionalFormatting sqref="K868">
    <cfRule type="expression" priority="827" dxfId="0">
      <formula>LEN(K868)&gt;0</formula>
    </cfRule>
  </conditionalFormatting>
  <conditionalFormatting sqref="K869">
    <cfRule type="expression" priority="828" dxfId="0">
      <formula>LEN(K869)&gt;0</formula>
    </cfRule>
  </conditionalFormatting>
  <conditionalFormatting sqref="K870">
    <cfRule type="expression" priority="829" dxfId="0">
      <formula>LEN(K870)&gt;0</formula>
    </cfRule>
  </conditionalFormatting>
  <conditionalFormatting sqref="K871">
    <cfRule type="expression" priority="830" dxfId="0">
      <formula>LEN(K871)&gt;0</formula>
    </cfRule>
  </conditionalFormatting>
  <conditionalFormatting sqref="K873">
    <cfRule type="expression" priority="831" dxfId="0">
      <formula>LEN(K873)&gt;0</formula>
    </cfRule>
  </conditionalFormatting>
  <conditionalFormatting sqref="K874">
    <cfRule type="expression" priority="832" dxfId="0">
      <formula>LEN(K874)&gt;0</formula>
    </cfRule>
  </conditionalFormatting>
  <conditionalFormatting sqref="K875">
    <cfRule type="expression" priority="833" dxfId="0">
      <formula>LEN(K875)&gt;0</formula>
    </cfRule>
  </conditionalFormatting>
  <conditionalFormatting sqref="K876">
    <cfRule type="expression" priority="834" dxfId="0">
      <formula>LEN(K876)&gt;0</formula>
    </cfRule>
  </conditionalFormatting>
  <conditionalFormatting sqref="K877">
    <cfRule type="expression" priority="835" dxfId="0">
      <formula>LEN(K877)&gt;0</formula>
    </cfRule>
  </conditionalFormatting>
  <conditionalFormatting sqref="K878">
    <cfRule type="expression" priority="836" dxfId="0">
      <formula>LEN(K878)&gt;0</formula>
    </cfRule>
  </conditionalFormatting>
  <conditionalFormatting sqref="K879">
    <cfRule type="expression" priority="837" dxfId="0">
      <formula>LEN(K879)&gt;0</formula>
    </cfRule>
  </conditionalFormatting>
  <conditionalFormatting sqref="K880">
    <cfRule type="expression" priority="838" dxfId="0">
      <formula>LEN(K880)&gt;0</formula>
    </cfRule>
  </conditionalFormatting>
  <conditionalFormatting sqref="K881">
    <cfRule type="expression" priority="839" dxfId="0">
      <formula>LEN(K881)&gt;0</formula>
    </cfRule>
  </conditionalFormatting>
  <conditionalFormatting sqref="K882">
    <cfRule type="expression" priority="840" dxfId="0">
      <formula>LEN(K882)&gt;0</formula>
    </cfRule>
  </conditionalFormatting>
  <conditionalFormatting sqref="K883">
    <cfRule type="expression" priority="841" dxfId="0">
      <formula>LEN(K883)&gt;0</formula>
    </cfRule>
  </conditionalFormatting>
  <conditionalFormatting sqref="K884">
    <cfRule type="expression" priority="842" dxfId="0">
      <formula>LEN(K884)&gt;0</formula>
    </cfRule>
  </conditionalFormatting>
  <conditionalFormatting sqref="K885">
    <cfRule type="expression" priority="843" dxfId="0">
      <formula>LEN(K885)&gt;0</formula>
    </cfRule>
  </conditionalFormatting>
  <conditionalFormatting sqref="K887">
    <cfRule type="expression" priority="844" dxfId="0">
      <formula>LEN(K887)&gt;0</formula>
    </cfRule>
  </conditionalFormatting>
  <conditionalFormatting sqref="K888">
    <cfRule type="expression" priority="845" dxfId="0">
      <formula>LEN(K888)&gt;0</formula>
    </cfRule>
  </conditionalFormatting>
  <conditionalFormatting sqref="K889">
    <cfRule type="expression" priority="846" dxfId="0">
      <formula>LEN(K889)&gt;0</formula>
    </cfRule>
  </conditionalFormatting>
  <conditionalFormatting sqref="K890">
    <cfRule type="expression" priority="847" dxfId="0">
      <formula>LEN(K890)&gt;0</formula>
    </cfRule>
  </conditionalFormatting>
  <conditionalFormatting sqref="K891">
    <cfRule type="expression" priority="848" dxfId="0">
      <formula>LEN(K891)&gt;0</formula>
    </cfRule>
  </conditionalFormatting>
  <conditionalFormatting sqref="K892">
    <cfRule type="expression" priority="849" dxfId="0">
      <formula>LEN(K892)&gt;0</formula>
    </cfRule>
  </conditionalFormatting>
  <conditionalFormatting sqref="K893">
    <cfRule type="expression" priority="850" dxfId="0">
      <formula>LEN(K893)&gt;0</formula>
    </cfRule>
  </conditionalFormatting>
  <conditionalFormatting sqref="K894">
    <cfRule type="expression" priority="851" dxfId="0">
      <formula>LEN(K894)&gt;0</formula>
    </cfRule>
  </conditionalFormatting>
  <conditionalFormatting sqref="K895">
    <cfRule type="expression" priority="852" dxfId="0">
      <formula>LEN(K895)&gt;0</formula>
    </cfRule>
  </conditionalFormatting>
  <conditionalFormatting sqref="K896">
    <cfRule type="expression" priority="853" dxfId="0">
      <formula>LEN(K896)&gt;0</formula>
    </cfRule>
  </conditionalFormatting>
  <conditionalFormatting sqref="K897">
    <cfRule type="expression" priority="854" dxfId="0">
      <formula>LEN(K897)&gt;0</formula>
    </cfRule>
  </conditionalFormatting>
  <conditionalFormatting sqref="K898">
    <cfRule type="expression" priority="855" dxfId="0">
      <formula>LEN(K898)&gt;0</formula>
    </cfRule>
  </conditionalFormatting>
  <conditionalFormatting sqref="K899">
    <cfRule type="expression" priority="856" dxfId="0">
      <formula>LEN(K899)&gt;0</formula>
    </cfRule>
  </conditionalFormatting>
  <conditionalFormatting sqref="K901">
    <cfRule type="expression" priority="857" dxfId="0">
      <formula>LEN(K901)&gt;0</formula>
    </cfRule>
  </conditionalFormatting>
  <conditionalFormatting sqref="K902">
    <cfRule type="expression" priority="858" dxfId="0">
      <formula>LEN(K902)&gt;0</formula>
    </cfRule>
  </conditionalFormatting>
  <conditionalFormatting sqref="K903">
    <cfRule type="expression" priority="859" dxfId="0">
      <formula>LEN(K903)&gt;0</formula>
    </cfRule>
  </conditionalFormatting>
  <conditionalFormatting sqref="K904">
    <cfRule type="expression" priority="860" dxfId="0">
      <formula>LEN(K904)&gt;0</formula>
    </cfRule>
  </conditionalFormatting>
  <conditionalFormatting sqref="K905">
    <cfRule type="expression" priority="861" dxfId="0">
      <formula>LEN(K905)&gt;0</formula>
    </cfRule>
  </conditionalFormatting>
  <conditionalFormatting sqref="K906">
    <cfRule type="expression" priority="862" dxfId="0">
      <formula>LEN(K906)&gt;0</formula>
    </cfRule>
  </conditionalFormatting>
  <conditionalFormatting sqref="K907">
    <cfRule type="expression" priority="863" dxfId="0">
      <formula>LEN(K907)&gt;0</formula>
    </cfRule>
  </conditionalFormatting>
  <conditionalFormatting sqref="K908">
    <cfRule type="expression" priority="864" dxfId="0">
      <formula>LEN(K908)&gt;0</formula>
    </cfRule>
  </conditionalFormatting>
  <conditionalFormatting sqref="K909">
    <cfRule type="expression" priority="865" dxfId="0">
      <formula>LEN(K909)&gt;0</formula>
    </cfRule>
  </conditionalFormatting>
  <conditionalFormatting sqref="K910">
    <cfRule type="expression" priority="866" dxfId="0">
      <formula>LEN(K910)&gt;0</formula>
    </cfRule>
  </conditionalFormatting>
  <conditionalFormatting sqref="K911">
    <cfRule type="expression" priority="867" dxfId="0">
      <formula>LEN(K911)&gt;0</formula>
    </cfRule>
  </conditionalFormatting>
  <conditionalFormatting sqref="K912">
    <cfRule type="expression" priority="868" dxfId="0">
      <formula>LEN(K912)&gt;0</formula>
    </cfRule>
  </conditionalFormatting>
  <conditionalFormatting sqref="K913">
    <cfRule type="expression" priority="869" dxfId="0">
      <formula>LEN(K913)&gt;0</formula>
    </cfRule>
  </conditionalFormatting>
  <conditionalFormatting sqref="K915">
    <cfRule type="expression" priority="870" dxfId="0">
      <formula>LEN(K915)&gt;0</formula>
    </cfRule>
  </conditionalFormatting>
  <conditionalFormatting sqref="K916">
    <cfRule type="expression" priority="871" dxfId="0">
      <formula>LEN(K916)&gt;0</formula>
    </cfRule>
  </conditionalFormatting>
  <conditionalFormatting sqref="K917">
    <cfRule type="expression" priority="872" dxfId="0">
      <formula>LEN(K917)&gt;0</formula>
    </cfRule>
  </conditionalFormatting>
  <conditionalFormatting sqref="K918">
    <cfRule type="expression" priority="873" dxfId="0">
      <formula>LEN(K918)&gt;0</formula>
    </cfRule>
  </conditionalFormatting>
  <conditionalFormatting sqref="K919">
    <cfRule type="expression" priority="874" dxfId="0">
      <formula>LEN(K919)&gt;0</formula>
    </cfRule>
  </conditionalFormatting>
  <conditionalFormatting sqref="K920">
    <cfRule type="expression" priority="875" dxfId="0">
      <formula>LEN(K920)&gt;0</formula>
    </cfRule>
  </conditionalFormatting>
  <conditionalFormatting sqref="K921">
    <cfRule type="expression" priority="876" dxfId="0">
      <formula>LEN(K921)&gt;0</formula>
    </cfRule>
  </conditionalFormatting>
  <conditionalFormatting sqref="K922">
    <cfRule type="expression" priority="877" dxfId="0">
      <formula>LEN(K922)&gt;0</formula>
    </cfRule>
  </conditionalFormatting>
  <conditionalFormatting sqref="K923">
    <cfRule type="expression" priority="878" dxfId="0">
      <formula>LEN(K923)&gt;0</formula>
    </cfRule>
  </conditionalFormatting>
  <conditionalFormatting sqref="K932">
    <cfRule type="expression" priority="879" dxfId="0">
      <formula>LEN(K932)&gt;0</formula>
    </cfRule>
  </conditionalFormatting>
  <conditionalFormatting sqref="K933">
    <cfRule type="expression" priority="880" dxfId="0">
      <formula>LEN(K933)&gt;0</formula>
    </cfRule>
  </conditionalFormatting>
  <conditionalFormatting sqref="K934">
    <cfRule type="expression" priority="881" dxfId="0">
      <formula>LEN(K934)&gt;0</formula>
    </cfRule>
  </conditionalFormatting>
  <conditionalFormatting sqref="K935">
    <cfRule type="expression" priority="882" dxfId="0">
      <formula>LEN(K935)&gt;0</formula>
    </cfRule>
  </conditionalFormatting>
  <conditionalFormatting sqref="K936">
    <cfRule type="expression" priority="883" dxfId="0">
      <formula>LEN(K936)&gt;0</formula>
    </cfRule>
  </conditionalFormatting>
  <conditionalFormatting sqref="K937">
    <cfRule type="expression" priority="884" dxfId="0">
      <formula>LEN(K937)&gt;0</formula>
    </cfRule>
  </conditionalFormatting>
  <conditionalFormatting sqref="K938">
    <cfRule type="expression" priority="885" dxfId="0">
      <formula>LEN(K938)&gt;0</formula>
    </cfRule>
  </conditionalFormatting>
  <conditionalFormatting sqref="K939">
    <cfRule type="expression" priority="886" dxfId="0">
      <formula>LEN(K939)&gt;0</formula>
    </cfRule>
  </conditionalFormatting>
  <conditionalFormatting sqref="K940">
    <cfRule type="expression" priority="887" dxfId="0">
      <formula>LEN(K940)&gt;0</formula>
    </cfRule>
  </conditionalFormatting>
  <conditionalFormatting sqref="K941">
    <cfRule type="expression" priority="888" dxfId="0">
      <formula>LEN(K941)&gt;0</formula>
    </cfRule>
  </conditionalFormatting>
  <conditionalFormatting sqref="K942">
    <cfRule type="expression" priority="889" dxfId="0">
      <formula>LEN(K942)&gt;0</formula>
    </cfRule>
  </conditionalFormatting>
  <conditionalFormatting sqref="K943">
    <cfRule type="expression" priority="890" dxfId="0">
      <formula>LEN(K943)&gt;0</formula>
    </cfRule>
  </conditionalFormatting>
  <conditionalFormatting sqref="K944">
    <cfRule type="expression" priority="891" dxfId="0">
      <formula>LEN(K944)&gt;0</formula>
    </cfRule>
  </conditionalFormatting>
  <conditionalFormatting sqref="K946">
    <cfRule type="expression" priority="892" dxfId="0">
      <formula>LEN(K946)&gt;0</formula>
    </cfRule>
  </conditionalFormatting>
  <conditionalFormatting sqref="K947">
    <cfRule type="expression" priority="893" dxfId="0">
      <formula>LEN(K947)&gt;0</formula>
    </cfRule>
  </conditionalFormatting>
  <conditionalFormatting sqref="K948">
    <cfRule type="expression" priority="894" dxfId="0">
      <formula>LEN(K948)&gt;0</formula>
    </cfRule>
  </conditionalFormatting>
  <conditionalFormatting sqref="K949">
    <cfRule type="expression" priority="895" dxfId="0">
      <formula>LEN(K949)&gt;0</formula>
    </cfRule>
  </conditionalFormatting>
  <conditionalFormatting sqref="K950">
    <cfRule type="expression" priority="896" dxfId="0">
      <formula>LEN(K950)&gt;0</formula>
    </cfRule>
  </conditionalFormatting>
  <conditionalFormatting sqref="K951">
    <cfRule type="expression" priority="897" dxfId="0">
      <formula>LEN(K951)&gt;0</formula>
    </cfRule>
  </conditionalFormatting>
  <conditionalFormatting sqref="K952">
    <cfRule type="expression" priority="898" dxfId="0">
      <formula>LEN(K952)&gt;0</formula>
    </cfRule>
  </conditionalFormatting>
  <conditionalFormatting sqref="K953">
    <cfRule type="expression" priority="899" dxfId="0">
      <formula>LEN(K953)&gt;0</formula>
    </cfRule>
  </conditionalFormatting>
  <conditionalFormatting sqref="K954">
    <cfRule type="expression" priority="900" dxfId="0">
      <formula>LEN(K954)&gt;0</formula>
    </cfRule>
  </conditionalFormatting>
  <conditionalFormatting sqref="K955">
    <cfRule type="expression" priority="901" dxfId="0">
      <formula>LEN(K955)&gt;0</formula>
    </cfRule>
  </conditionalFormatting>
  <conditionalFormatting sqref="K956">
    <cfRule type="expression" priority="902" dxfId="0">
      <formula>LEN(K956)&gt;0</formula>
    </cfRule>
  </conditionalFormatting>
  <conditionalFormatting sqref="K957">
    <cfRule type="expression" priority="903" dxfId="0">
      <formula>LEN(K957)&gt;0</formula>
    </cfRule>
  </conditionalFormatting>
  <conditionalFormatting sqref="K958">
    <cfRule type="expression" priority="904" dxfId="0">
      <formula>LEN(K958)&gt;0</formula>
    </cfRule>
  </conditionalFormatting>
  <conditionalFormatting sqref="K960">
    <cfRule type="expression" priority="905" dxfId="0">
      <formula>LEN(K960)&gt;0</formula>
    </cfRule>
  </conditionalFormatting>
  <conditionalFormatting sqref="K961">
    <cfRule type="expression" priority="906" dxfId="0">
      <formula>LEN(K961)&gt;0</formula>
    </cfRule>
  </conditionalFormatting>
  <conditionalFormatting sqref="K962">
    <cfRule type="expression" priority="907" dxfId="0">
      <formula>LEN(K962)&gt;0</formula>
    </cfRule>
  </conditionalFormatting>
  <conditionalFormatting sqref="K963">
    <cfRule type="expression" priority="908" dxfId="0">
      <formula>LEN(K963)&gt;0</formula>
    </cfRule>
  </conditionalFormatting>
  <conditionalFormatting sqref="K964">
    <cfRule type="expression" priority="909" dxfId="0">
      <formula>LEN(K964)&gt;0</formula>
    </cfRule>
  </conditionalFormatting>
  <conditionalFormatting sqref="K965">
    <cfRule type="expression" priority="910" dxfId="0">
      <formula>LEN(K965)&gt;0</formula>
    </cfRule>
  </conditionalFormatting>
  <conditionalFormatting sqref="K966">
    <cfRule type="expression" priority="911" dxfId="0">
      <formula>LEN(K966)&gt;0</formula>
    </cfRule>
  </conditionalFormatting>
  <conditionalFormatting sqref="K967">
    <cfRule type="expression" priority="912" dxfId="0">
      <formula>LEN(K967)&gt;0</formula>
    </cfRule>
  </conditionalFormatting>
  <conditionalFormatting sqref="K968">
    <cfRule type="expression" priority="913" dxfId="0">
      <formula>LEN(K968)&gt;0</formula>
    </cfRule>
  </conditionalFormatting>
  <conditionalFormatting sqref="K969">
    <cfRule type="expression" priority="914" dxfId="0">
      <formula>LEN(K969)&gt;0</formula>
    </cfRule>
  </conditionalFormatting>
  <conditionalFormatting sqref="K970">
    <cfRule type="expression" priority="915" dxfId="0">
      <formula>LEN(K970)&gt;0</formula>
    </cfRule>
  </conditionalFormatting>
  <conditionalFormatting sqref="K971">
    <cfRule type="expression" priority="916" dxfId="0">
      <formula>LEN(K971)&gt;0</formula>
    </cfRule>
  </conditionalFormatting>
  <conditionalFormatting sqref="K972">
    <cfRule type="expression" priority="917" dxfId="0">
      <formula>LEN(K972)&gt;0</formula>
    </cfRule>
  </conditionalFormatting>
  <conditionalFormatting sqref="K974">
    <cfRule type="expression" priority="918" dxfId="0">
      <formula>LEN(K974)&gt;0</formula>
    </cfRule>
  </conditionalFormatting>
  <conditionalFormatting sqref="K975">
    <cfRule type="expression" priority="919" dxfId="0">
      <formula>LEN(K975)&gt;0</formula>
    </cfRule>
  </conditionalFormatting>
  <conditionalFormatting sqref="K976">
    <cfRule type="expression" priority="920" dxfId="0">
      <formula>LEN(K976)&gt;0</formula>
    </cfRule>
  </conditionalFormatting>
  <conditionalFormatting sqref="K977">
    <cfRule type="expression" priority="921" dxfId="0">
      <formula>LEN(K977)&gt;0</formula>
    </cfRule>
  </conditionalFormatting>
  <conditionalFormatting sqref="K978">
    <cfRule type="expression" priority="922" dxfId="0">
      <formula>LEN(K978)&gt;0</formula>
    </cfRule>
  </conditionalFormatting>
  <conditionalFormatting sqref="K979">
    <cfRule type="expression" priority="923" dxfId="0">
      <formula>LEN(K979)&gt;0</formula>
    </cfRule>
  </conditionalFormatting>
  <conditionalFormatting sqref="K980">
    <cfRule type="expression" priority="924" dxfId="0">
      <formula>LEN(K980)&gt;0</formula>
    </cfRule>
  </conditionalFormatting>
  <conditionalFormatting sqref="K981">
    <cfRule type="expression" priority="925" dxfId="0">
      <formula>LEN(K981)&gt;0</formula>
    </cfRule>
  </conditionalFormatting>
  <conditionalFormatting sqref="K982">
    <cfRule type="expression" priority="926" dxfId="0">
      <formula>LEN(K982)&gt;0</formula>
    </cfRule>
  </conditionalFormatting>
  <conditionalFormatting sqref="K983">
    <cfRule type="expression" priority="927" dxfId="0">
      <formula>LEN(K983)&gt;0</formula>
    </cfRule>
  </conditionalFormatting>
  <conditionalFormatting sqref="K984">
    <cfRule type="expression" priority="928" dxfId="0">
      <formula>LEN(K984)&gt;0</formula>
    </cfRule>
  </conditionalFormatting>
  <conditionalFormatting sqref="K985">
    <cfRule type="expression" priority="929" dxfId="0">
      <formula>LEN(K985)&gt;0</formula>
    </cfRule>
  </conditionalFormatting>
  <conditionalFormatting sqref="K986">
    <cfRule type="expression" priority="930" dxfId="0">
      <formula>LEN(K986)&gt;0</formula>
    </cfRule>
  </conditionalFormatting>
  <conditionalFormatting sqref="K988">
    <cfRule type="expression" priority="931" dxfId="0">
      <formula>LEN(K988)&gt;0</formula>
    </cfRule>
  </conditionalFormatting>
  <conditionalFormatting sqref="K989">
    <cfRule type="expression" priority="932" dxfId="0">
      <formula>LEN(K989)&gt;0</formula>
    </cfRule>
  </conditionalFormatting>
  <conditionalFormatting sqref="K990">
    <cfRule type="expression" priority="933" dxfId="0">
      <formula>LEN(K990)&gt;0</formula>
    </cfRule>
  </conditionalFormatting>
  <conditionalFormatting sqref="K991">
    <cfRule type="expression" priority="934" dxfId="0">
      <formula>LEN(K991)&gt;0</formula>
    </cfRule>
  </conditionalFormatting>
  <conditionalFormatting sqref="K992">
    <cfRule type="expression" priority="935" dxfId="0">
      <formula>LEN(K992)&gt;0</formula>
    </cfRule>
  </conditionalFormatting>
  <conditionalFormatting sqref="K993">
    <cfRule type="expression" priority="936" dxfId="0">
      <formula>LEN(K993)&gt;0</formula>
    </cfRule>
  </conditionalFormatting>
  <conditionalFormatting sqref="K994">
    <cfRule type="expression" priority="937" dxfId="0">
      <formula>LEN(K994)&gt;0</formula>
    </cfRule>
  </conditionalFormatting>
  <conditionalFormatting sqref="K995">
    <cfRule type="expression" priority="938" dxfId="0">
      <formula>LEN(K995)&gt;0</formula>
    </cfRule>
  </conditionalFormatting>
  <conditionalFormatting sqref="K996">
    <cfRule type="expression" priority="939" dxfId="0">
      <formula>LEN(K996)&gt;0</formula>
    </cfRule>
  </conditionalFormatting>
  <conditionalFormatting sqref="K997">
    <cfRule type="expression" priority="940" dxfId="0">
      <formula>LEN(K997)&gt;0</formula>
    </cfRule>
  </conditionalFormatting>
  <conditionalFormatting sqref="K998">
    <cfRule type="expression" priority="941" dxfId="0">
      <formula>LEN(K998)&gt;0</formula>
    </cfRule>
  </conditionalFormatting>
  <conditionalFormatting sqref="K999">
    <cfRule type="expression" priority="942" dxfId="0">
      <formula>LEN(K999)&gt;0</formula>
    </cfRule>
  </conditionalFormatting>
  <conditionalFormatting sqref="K1000">
    <cfRule type="expression" priority="943" dxfId="0">
      <formula>LEN(K1000)&gt;0</formula>
    </cfRule>
  </conditionalFormatting>
  <conditionalFormatting sqref="K1002">
    <cfRule type="expression" priority="944" dxfId="0">
      <formula>LEN(K1002)&gt;0</formula>
    </cfRule>
  </conditionalFormatting>
  <conditionalFormatting sqref="K1003">
    <cfRule type="expression" priority="945" dxfId="0">
      <formula>LEN(K1003)&gt;0</formula>
    </cfRule>
  </conditionalFormatting>
  <conditionalFormatting sqref="K1004">
    <cfRule type="expression" priority="946" dxfId="0">
      <formula>LEN(K1004)&gt;0</formula>
    </cfRule>
  </conditionalFormatting>
  <conditionalFormatting sqref="K1005">
    <cfRule type="expression" priority="947" dxfId="0">
      <formula>LEN(K1005)&gt;0</formula>
    </cfRule>
  </conditionalFormatting>
  <conditionalFormatting sqref="K1006">
    <cfRule type="expression" priority="948" dxfId="0">
      <formula>LEN(K1006)&gt;0</formula>
    </cfRule>
  </conditionalFormatting>
  <conditionalFormatting sqref="K1007">
    <cfRule type="expression" priority="949" dxfId="0">
      <formula>LEN(K1007)&gt;0</formula>
    </cfRule>
  </conditionalFormatting>
  <conditionalFormatting sqref="K1008">
    <cfRule type="expression" priority="950" dxfId="0">
      <formula>LEN(K1008)&gt;0</formula>
    </cfRule>
  </conditionalFormatting>
  <conditionalFormatting sqref="K1009">
    <cfRule type="expression" priority="951" dxfId="0">
      <formula>LEN(K1009)&gt;0</formula>
    </cfRule>
  </conditionalFormatting>
  <conditionalFormatting sqref="K1010">
    <cfRule type="expression" priority="952" dxfId="0">
      <formula>LEN(K1010)&gt;0</formula>
    </cfRule>
  </conditionalFormatting>
  <conditionalFormatting sqref="K1011">
    <cfRule type="expression" priority="953" dxfId="0">
      <formula>LEN(K1011)&gt;0</formula>
    </cfRule>
  </conditionalFormatting>
  <conditionalFormatting sqref="K1012">
    <cfRule type="expression" priority="954" dxfId="0">
      <formula>LEN(K1012)&gt;0</formula>
    </cfRule>
  </conditionalFormatting>
  <conditionalFormatting sqref="K1013">
    <cfRule type="expression" priority="955" dxfId="0">
      <formula>LEN(K1013)&gt;0</formula>
    </cfRule>
  </conditionalFormatting>
  <conditionalFormatting sqref="K1014">
    <cfRule type="expression" priority="956" dxfId="0">
      <formula>LEN(K1014)&gt;0</formula>
    </cfRule>
  </conditionalFormatting>
  <conditionalFormatting sqref="K1016">
    <cfRule type="expression" priority="957" dxfId="0">
      <formula>LEN(K1016)&gt;0</formula>
    </cfRule>
  </conditionalFormatting>
  <conditionalFormatting sqref="K1017">
    <cfRule type="expression" priority="958" dxfId="0">
      <formula>LEN(K1017)&gt;0</formula>
    </cfRule>
  </conditionalFormatting>
  <conditionalFormatting sqref="K1018">
    <cfRule type="expression" priority="959" dxfId="0">
      <formula>LEN(K1018)&gt;0</formula>
    </cfRule>
  </conditionalFormatting>
  <conditionalFormatting sqref="K1019">
    <cfRule type="expression" priority="960" dxfId="0">
      <formula>LEN(K1019)&gt;0</formula>
    </cfRule>
  </conditionalFormatting>
  <conditionalFormatting sqref="K1020">
    <cfRule type="expression" priority="961" dxfId="0">
      <formula>LEN(K1020)&gt;0</formula>
    </cfRule>
  </conditionalFormatting>
  <conditionalFormatting sqref="K1021">
    <cfRule type="expression" priority="962" dxfId="0">
      <formula>LEN(K1021)&gt;0</formula>
    </cfRule>
  </conditionalFormatting>
  <conditionalFormatting sqref="K1022">
    <cfRule type="expression" priority="963" dxfId="0">
      <formula>LEN(K1022)&gt;0</formula>
    </cfRule>
  </conditionalFormatting>
  <conditionalFormatting sqref="K1023">
    <cfRule type="expression" priority="964" dxfId="0">
      <formula>LEN(K1023)&gt;0</formula>
    </cfRule>
  </conditionalFormatting>
  <conditionalFormatting sqref="K1024">
    <cfRule type="expression" priority="965" dxfId="0">
      <formula>LEN(K1024)&gt;0</formula>
    </cfRule>
  </conditionalFormatting>
  <conditionalFormatting sqref="K1025">
    <cfRule type="expression" priority="966" dxfId="0">
      <formula>LEN(K1025)&gt;0</formula>
    </cfRule>
  </conditionalFormatting>
  <conditionalFormatting sqref="K1026">
    <cfRule type="expression" priority="967" dxfId="0">
      <formula>LEN(K1026)&gt;0</formula>
    </cfRule>
  </conditionalFormatting>
  <conditionalFormatting sqref="K1027">
    <cfRule type="expression" priority="968" dxfId="0">
      <formula>LEN(K1027)&gt;0</formula>
    </cfRule>
  </conditionalFormatting>
  <conditionalFormatting sqref="K1028">
    <cfRule type="expression" priority="969" dxfId="0">
      <formula>LEN(K1028)&gt;0</formula>
    </cfRule>
  </conditionalFormatting>
  <conditionalFormatting sqref="K1030">
    <cfRule type="expression" priority="970" dxfId="0">
      <formula>LEN(K1030)&gt;0</formula>
    </cfRule>
  </conditionalFormatting>
  <conditionalFormatting sqref="K1031">
    <cfRule type="expression" priority="971" dxfId="0">
      <formula>LEN(K1031)&gt;0</formula>
    </cfRule>
  </conditionalFormatting>
  <conditionalFormatting sqref="K1032">
    <cfRule type="expression" priority="972" dxfId="0">
      <formula>LEN(K1032)&gt;0</formula>
    </cfRule>
  </conditionalFormatting>
  <conditionalFormatting sqref="K1033">
    <cfRule type="expression" priority="973" dxfId="0">
      <formula>LEN(K1033)&gt;0</formula>
    </cfRule>
  </conditionalFormatting>
  <conditionalFormatting sqref="K1034">
    <cfRule type="expression" priority="974" dxfId="0">
      <formula>LEN(K1034)&gt;0</formula>
    </cfRule>
  </conditionalFormatting>
  <conditionalFormatting sqref="K1035">
    <cfRule type="expression" priority="975" dxfId="0">
      <formula>LEN(K1035)&gt;0</formula>
    </cfRule>
  </conditionalFormatting>
  <conditionalFormatting sqref="K1036">
    <cfRule type="expression" priority="976" dxfId="0">
      <formula>LEN(K1036)&gt;0</formula>
    </cfRule>
  </conditionalFormatting>
  <conditionalFormatting sqref="K1037">
    <cfRule type="expression" priority="977" dxfId="0">
      <formula>LEN(K1037)&gt;0</formula>
    </cfRule>
  </conditionalFormatting>
  <conditionalFormatting sqref="K1038">
    <cfRule type="expression" priority="978" dxfId="0">
      <formula>LEN(K1038)&gt;0</formula>
    </cfRule>
  </conditionalFormatting>
  <conditionalFormatting sqref="K1047">
    <cfRule type="expression" priority="979" dxfId="0">
      <formula>LEN(K1047)&gt;0</formula>
    </cfRule>
  </conditionalFormatting>
  <conditionalFormatting sqref="K1048">
    <cfRule type="expression" priority="980" dxfId="0">
      <formula>LEN(K1048)&gt;0</formula>
    </cfRule>
  </conditionalFormatting>
  <conditionalFormatting sqref="K1049">
    <cfRule type="expression" priority="981" dxfId="0">
      <formula>LEN(K1049)&gt;0</formula>
    </cfRule>
  </conditionalFormatting>
  <conditionalFormatting sqref="K1050">
    <cfRule type="expression" priority="982" dxfId="0">
      <formula>LEN(K1050)&gt;0</formula>
    </cfRule>
  </conditionalFormatting>
  <conditionalFormatting sqref="K1051">
    <cfRule type="expression" priority="983" dxfId="0">
      <formula>LEN(K1051)&gt;0</formula>
    </cfRule>
  </conditionalFormatting>
  <conditionalFormatting sqref="K1052">
    <cfRule type="expression" priority="984" dxfId="0">
      <formula>LEN(K1052)&gt;0</formula>
    </cfRule>
  </conditionalFormatting>
  <conditionalFormatting sqref="K1053">
    <cfRule type="expression" priority="985" dxfId="0">
      <formula>LEN(K1053)&gt;0</formula>
    </cfRule>
  </conditionalFormatting>
  <conditionalFormatting sqref="K1054">
    <cfRule type="expression" priority="986" dxfId="0">
      <formula>LEN(K1054)&gt;0</formula>
    </cfRule>
  </conditionalFormatting>
  <conditionalFormatting sqref="K1055">
    <cfRule type="expression" priority="987" dxfId="0">
      <formula>LEN(K1055)&gt;0</formula>
    </cfRule>
  </conditionalFormatting>
  <conditionalFormatting sqref="K1056">
    <cfRule type="expression" priority="988" dxfId="0">
      <formula>LEN(K1056)&gt;0</formula>
    </cfRule>
  </conditionalFormatting>
  <conditionalFormatting sqref="K1057">
    <cfRule type="expression" priority="989" dxfId="0">
      <formula>LEN(K1057)&gt;0</formula>
    </cfRule>
  </conditionalFormatting>
  <conditionalFormatting sqref="K1058">
    <cfRule type="expression" priority="990" dxfId="0">
      <formula>LEN(K1058)&gt;0</formula>
    </cfRule>
  </conditionalFormatting>
  <conditionalFormatting sqref="K1059">
    <cfRule type="expression" priority="991" dxfId="0">
      <formula>LEN(K1059)&gt;0</formula>
    </cfRule>
  </conditionalFormatting>
  <conditionalFormatting sqref="K1061">
    <cfRule type="expression" priority="992" dxfId="0">
      <formula>LEN(K1061)&gt;0</formula>
    </cfRule>
  </conditionalFormatting>
  <conditionalFormatting sqref="K1062">
    <cfRule type="expression" priority="993" dxfId="0">
      <formula>LEN(K1062)&gt;0</formula>
    </cfRule>
  </conditionalFormatting>
  <conditionalFormatting sqref="K1063">
    <cfRule type="expression" priority="994" dxfId="0">
      <formula>LEN(K1063)&gt;0</formula>
    </cfRule>
  </conditionalFormatting>
  <conditionalFormatting sqref="K1064">
    <cfRule type="expression" priority="995" dxfId="0">
      <formula>LEN(K1064)&gt;0</formula>
    </cfRule>
  </conditionalFormatting>
  <conditionalFormatting sqref="K1065">
    <cfRule type="expression" priority="996" dxfId="0">
      <formula>LEN(K1065)&gt;0</formula>
    </cfRule>
  </conditionalFormatting>
  <conditionalFormatting sqref="K1066">
    <cfRule type="expression" priority="997" dxfId="0">
      <formula>LEN(K1066)&gt;0</formula>
    </cfRule>
  </conditionalFormatting>
  <conditionalFormatting sqref="K1067">
    <cfRule type="expression" priority="998" dxfId="0">
      <formula>LEN(K1067)&gt;0</formula>
    </cfRule>
  </conditionalFormatting>
  <conditionalFormatting sqref="K1068">
    <cfRule type="expression" priority="999" dxfId="0">
      <formula>LEN(K1068)&gt;0</formula>
    </cfRule>
  </conditionalFormatting>
  <conditionalFormatting sqref="K1069">
    <cfRule type="expression" priority="1000" dxfId="0">
      <formula>LEN(K1069)&gt;0</formula>
    </cfRule>
  </conditionalFormatting>
  <conditionalFormatting sqref="K1070">
    <cfRule type="expression" priority="1001" dxfId="0">
      <formula>LEN(K1070)&gt;0</formula>
    </cfRule>
  </conditionalFormatting>
  <conditionalFormatting sqref="K1071">
    <cfRule type="expression" priority="1002" dxfId="0">
      <formula>LEN(K1071)&gt;0</formula>
    </cfRule>
  </conditionalFormatting>
  <conditionalFormatting sqref="K1072">
    <cfRule type="expression" priority="1003" dxfId="0">
      <formula>LEN(K1072)&gt;0</formula>
    </cfRule>
  </conditionalFormatting>
  <conditionalFormatting sqref="K1073">
    <cfRule type="expression" priority="1004" dxfId="0">
      <formula>LEN(K1073)&gt;0</formula>
    </cfRule>
  </conditionalFormatting>
  <conditionalFormatting sqref="K1075">
    <cfRule type="expression" priority="1005" dxfId="0">
      <formula>LEN(K1075)&gt;0</formula>
    </cfRule>
  </conditionalFormatting>
  <conditionalFormatting sqref="K1076">
    <cfRule type="expression" priority="1006" dxfId="0">
      <formula>LEN(K1076)&gt;0</formula>
    </cfRule>
  </conditionalFormatting>
  <conditionalFormatting sqref="K1077">
    <cfRule type="expression" priority="1007" dxfId="0">
      <formula>LEN(K1077)&gt;0</formula>
    </cfRule>
  </conditionalFormatting>
  <conditionalFormatting sqref="K1078">
    <cfRule type="expression" priority="1008" dxfId="0">
      <formula>LEN(K1078)&gt;0</formula>
    </cfRule>
  </conditionalFormatting>
  <conditionalFormatting sqref="K1079">
    <cfRule type="expression" priority="1009" dxfId="0">
      <formula>LEN(K1079)&gt;0</formula>
    </cfRule>
  </conditionalFormatting>
  <conditionalFormatting sqref="K1080">
    <cfRule type="expression" priority="1010" dxfId="0">
      <formula>LEN(K1080)&gt;0</formula>
    </cfRule>
  </conditionalFormatting>
  <conditionalFormatting sqref="K1081">
    <cfRule type="expression" priority="1011" dxfId="0">
      <formula>LEN(K1081)&gt;0</formula>
    </cfRule>
  </conditionalFormatting>
  <conditionalFormatting sqref="K1082">
    <cfRule type="expression" priority="1012" dxfId="0">
      <formula>LEN(K1082)&gt;0</formula>
    </cfRule>
  </conditionalFormatting>
  <conditionalFormatting sqref="K1083">
    <cfRule type="expression" priority="1013" dxfId="0">
      <formula>LEN(K1083)&gt;0</formula>
    </cfRule>
  </conditionalFormatting>
  <conditionalFormatting sqref="K1084">
    <cfRule type="expression" priority="1014" dxfId="0">
      <formula>LEN(K1084)&gt;0</formula>
    </cfRule>
  </conditionalFormatting>
  <conditionalFormatting sqref="K1085">
    <cfRule type="expression" priority="1015" dxfId="0">
      <formula>LEN(K1085)&gt;0</formula>
    </cfRule>
  </conditionalFormatting>
  <conditionalFormatting sqref="K1086">
    <cfRule type="expression" priority="1016" dxfId="0">
      <formula>LEN(K1086)&gt;0</formula>
    </cfRule>
  </conditionalFormatting>
  <conditionalFormatting sqref="K1087">
    <cfRule type="expression" priority="1017" dxfId="0">
      <formula>LEN(K1087)&gt;0</formula>
    </cfRule>
  </conditionalFormatting>
  <conditionalFormatting sqref="K1089">
    <cfRule type="expression" priority="1018" dxfId="0">
      <formula>LEN(K1089)&gt;0</formula>
    </cfRule>
  </conditionalFormatting>
  <conditionalFormatting sqref="K1090">
    <cfRule type="expression" priority="1019" dxfId="0">
      <formula>LEN(K1090)&gt;0</formula>
    </cfRule>
  </conditionalFormatting>
  <conditionalFormatting sqref="K1091">
    <cfRule type="expression" priority="1020" dxfId="0">
      <formula>LEN(K1091)&gt;0</formula>
    </cfRule>
  </conditionalFormatting>
  <conditionalFormatting sqref="K1092">
    <cfRule type="expression" priority="1021" dxfId="0">
      <formula>LEN(K1092)&gt;0</formula>
    </cfRule>
  </conditionalFormatting>
  <conditionalFormatting sqref="K1093">
    <cfRule type="expression" priority="1022" dxfId="0">
      <formula>LEN(K1093)&gt;0</formula>
    </cfRule>
  </conditionalFormatting>
  <conditionalFormatting sqref="K1094">
    <cfRule type="expression" priority="1023" dxfId="0">
      <formula>LEN(K1094)&gt;0</formula>
    </cfRule>
  </conditionalFormatting>
  <conditionalFormatting sqref="K1095">
    <cfRule type="expression" priority="1024" dxfId="0">
      <formula>LEN(K1095)&gt;0</formula>
    </cfRule>
  </conditionalFormatting>
  <conditionalFormatting sqref="K1096">
    <cfRule type="expression" priority="1025" dxfId="0">
      <formula>LEN(K1096)&gt;0</formula>
    </cfRule>
  </conditionalFormatting>
  <conditionalFormatting sqref="K1097">
    <cfRule type="expression" priority="1026" dxfId="0">
      <formula>LEN(K1097)&gt;0</formula>
    </cfRule>
  </conditionalFormatting>
  <conditionalFormatting sqref="K1098">
    <cfRule type="expression" priority="1027" dxfId="0">
      <formula>LEN(K1098)&gt;0</formula>
    </cfRule>
  </conditionalFormatting>
  <conditionalFormatting sqref="K1099">
    <cfRule type="expression" priority="1028" dxfId="0">
      <formula>LEN(K1099)&gt;0</formula>
    </cfRule>
  </conditionalFormatting>
  <conditionalFormatting sqref="K1100">
    <cfRule type="expression" priority="1029" dxfId="0">
      <formula>LEN(K1100)&gt;0</formula>
    </cfRule>
  </conditionalFormatting>
  <conditionalFormatting sqref="K1101">
    <cfRule type="expression" priority="1030" dxfId="0">
      <formula>LEN(K1101)&gt;0</formula>
    </cfRule>
  </conditionalFormatting>
  <conditionalFormatting sqref="K1103">
    <cfRule type="expression" priority="1031" dxfId="0">
      <formula>LEN(K1103)&gt;0</formula>
    </cfRule>
  </conditionalFormatting>
  <conditionalFormatting sqref="K1104">
    <cfRule type="expression" priority="1032" dxfId="0">
      <formula>LEN(K1104)&gt;0</formula>
    </cfRule>
  </conditionalFormatting>
  <conditionalFormatting sqref="K1105">
    <cfRule type="expression" priority="1033" dxfId="0">
      <formula>LEN(K1105)&gt;0</formula>
    </cfRule>
  </conditionalFormatting>
  <conditionalFormatting sqref="K1106">
    <cfRule type="expression" priority="1034" dxfId="0">
      <formula>LEN(K1106)&gt;0</formula>
    </cfRule>
  </conditionalFormatting>
  <conditionalFormatting sqref="K1107">
    <cfRule type="expression" priority="1035" dxfId="0">
      <formula>LEN(K1107)&gt;0</formula>
    </cfRule>
  </conditionalFormatting>
  <conditionalFormatting sqref="K1108">
    <cfRule type="expression" priority="1036" dxfId="0">
      <formula>LEN(K1108)&gt;0</formula>
    </cfRule>
  </conditionalFormatting>
  <conditionalFormatting sqref="K1109">
    <cfRule type="expression" priority="1037" dxfId="0">
      <formula>LEN(K1109)&gt;0</formula>
    </cfRule>
  </conditionalFormatting>
  <conditionalFormatting sqref="K1110">
    <cfRule type="expression" priority="1038" dxfId="0">
      <formula>LEN(K1110)&gt;0</formula>
    </cfRule>
  </conditionalFormatting>
  <conditionalFormatting sqref="K1111">
    <cfRule type="expression" priority="1039" dxfId="0">
      <formula>LEN(K1111)&gt;0</formula>
    </cfRule>
  </conditionalFormatting>
  <conditionalFormatting sqref="K1112">
    <cfRule type="expression" priority="1040" dxfId="0">
      <formula>LEN(K1112)&gt;0</formula>
    </cfRule>
  </conditionalFormatting>
  <conditionalFormatting sqref="K1113">
    <cfRule type="expression" priority="1041" dxfId="0">
      <formula>LEN(K1113)&gt;0</formula>
    </cfRule>
  </conditionalFormatting>
  <conditionalFormatting sqref="K1114">
    <cfRule type="expression" priority="1042" dxfId="0">
      <formula>LEN(K1114)&gt;0</formula>
    </cfRule>
  </conditionalFormatting>
  <conditionalFormatting sqref="K1115">
    <cfRule type="expression" priority="1043" dxfId="0">
      <formula>LEN(K1115)&gt;0</formula>
    </cfRule>
  </conditionalFormatting>
  <conditionalFormatting sqref="K1117">
    <cfRule type="expression" priority="1044" dxfId="0">
      <formula>LEN(K1117)&gt;0</formula>
    </cfRule>
  </conditionalFormatting>
  <conditionalFormatting sqref="K1118">
    <cfRule type="expression" priority="1045" dxfId="0">
      <formula>LEN(K1118)&gt;0</formula>
    </cfRule>
  </conditionalFormatting>
  <conditionalFormatting sqref="K1119">
    <cfRule type="expression" priority="1046" dxfId="0">
      <formula>LEN(K1119)&gt;0</formula>
    </cfRule>
  </conditionalFormatting>
  <conditionalFormatting sqref="K1120">
    <cfRule type="expression" priority="1047" dxfId="0">
      <formula>LEN(K1120)&gt;0</formula>
    </cfRule>
  </conditionalFormatting>
  <conditionalFormatting sqref="K1121">
    <cfRule type="expression" priority="1048" dxfId="0">
      <formula>LEN(K1121)&gt;0</formula>
    </cfRule>
  </conditionalFormatting>
  <conditionalFormatting sqref="K1122">
    <cfRule type="expression" priority="1049" dxfId="0">
      <formula>LEN(K1122)&gt;0</formula>
    </cfRule>
  </conditionalFormatting>
  <conditionalFormatting sqref="K1123">
    <cfRule type="expression" priority="1050" dxfId="0">
      <formula>LEN(K1123)&gt;0</formula>
    </cfRule>
  </conditionalFormatting>
  <conditionalFormatting sqref="K1124">
    <cfRule type="expression" priority="1051" dxfId="0">
      <formula>LEN(K1124)&gt;0</formula>
    </cfRule>
  </conditionalFormatting>
  <conditionalFormatting sqref="K1125">
    <cfRule type="expression" priority="1052" dxfId="0">
      <formula>LEN(K1125)&gt;0</formula>
    </cfRule>
  </conditionalFormatting>
  <conditionalFormatting sqref="K1126">
    <cfRule type="expression" priority="1053" dxfId="0">
      <formula>LEN(K1126)&gt;0</formula>
    </cfRule>
  </conditionalFormatting>
  <conditionalFormatting sqref="K1127">
    <cfRule type="expression" priority="1054" dxfId="0">
      <formula>LEN(K1127)&gt;0</formula>
    </cfRule>
  </conditionalFormatting>
  <conditionalFormatting sqref="K1128">
    <cfRule type="expression" priority="1055" dxfId="0">
      <formula>LEN(K1128)&gt;0</formula>
    </cfRule>
  </conditionalFormatting>
  <conditionalFormatting sqref="K1129">
    <cfRule type="expression" priority="1056" dxfId="0">
      <formula>LEN(K1129)&gt;0</formula>
    </cfRule>
  </conditionalFormatting>
  <conditionalFormatting sqref="K1131">
    <cfRule type="expression" priority="1057" dxfId="0">
      <formula>LEN(K1131)&gt;0</formula>
    </cfRule>
  </conditionalFormatting>
  <conditionalFormatting sqref="K1132">
    <cfRule type="expression" priority="1058" dxfId="0">
      <formula>LEN(K1132)&gt;0</formula>
    </cfRule>
  </conditionalFormatting>
  <conditionalFormatting sqref="K1133">
    <cfRule type="expression" priority="1059" dxfId="0">
      <formula>LEN(K1133)&gt;0</formula>
    </cfRule>
  </conditionalFormatting>
  <conditionalFormatting sqref="K1134">
    <cfRule type="expression" priority="1060" dxfId="0">
      <formula>LEN(K1134)&gt;0</formula>
    </cfRule>
  </conditionalFormatting>
  <conditionalFormatting sqref="K1135">
    <cfRule type="expression" priority="1061" dxfId="0">
      <formula>LEN(K1135)&gt;0</formula>
    </cfRule>
  </conditionalFormatting>
  <conditionalFormatting sqref="K1136">
    <cfRule type="expression" priority="1062" dxfId="0">
      <formula>LEN(K1136)&gt;0</formula>
    </cfRule>
  </conditionalFormatting>
  <conditionalFormatting sqref="K1137">
    <cfRule type="expression" priority="1063" dxfId="0">
      <formula>LEN(K1137)&gt;0</formula>
    </cfRule>
  </conditionalFormatting>
  <conditionalFormatting sqref="K1138">
    <cfRule type="expression" priority="1064" dxfId="0">
      <formula>LEN(K1138)&gt;0</formula>
    </cfRule>
  </conditionalFormatting>
  <conditionalFormatting sqref="K1139">
    <cfRule type="expression" priority="1065" dxfId="0">
      <formula>LEN(K1139)&gt;0</formula>
    </cfRule>
  </conditionalFormatting>
  <conditionalFormatting sqref="K1140">
    <cfRule type="expression" priority="1066" dxfId="0">
      <formula>LEN(K1140)&gt;0</formula>
    </cfRule>
  </conditionalFormatting>
  <conditionalFormatting sqref="K1141">
    <cfRule type="expression" priority="1067" dxfId="0">
      <formula>LEN(K1141)&gt;0</formula>
    </cfRule>
  </conditionalFormatting>
  <conditionalFormatting sqref="K1142">
    <cfRule type="expression" priority="1068" dxfId="0">
      <formula>LEN(K1142)&gt;0</formula>
    </cfRule>
  </conditionalFormatting>
  <conditionalFormatting sqref="K1143">
    <cfRule type="expression" priority="1069" dxfId="0">
      <formula>LEN(K1143)&gt;0</formula>
    </cfRule>
  </conditionalFormatting>
  <conditionalFormatting sqref="K1145">
    <cfRule type="expression" priority="1070" dxfId="0">
      <formula>LEN(K1145)&gt;0</formula>
    </cfRule>
  </conditionalFormatting>
  <conditionalFormatting sqref="K1146">
    <cfRule type="expression" priority="1071" dxfId="0">
      <formula>LEN(K1146)&gt;0</formula>
    </cfRule>
  </conditionalFormatting>
  <conditionalFormatting sqref="K1147">
    <cfRule type="expression" priority="1072" dxfId="0">
      <formula>LEN(K1147)&gt;0</formula>
    </cfRule>
  </conditionalFormatting>
  <conditionalFormatting sqref="K1148">
    <cfRule type="expression" priority="1073" dxfId="0">
      <formula>LEN(K1148)&gt;0</formula>
    </cfRule>
  </conditionalFormatting>
  <conditionalFormatting sqref="K1149">
    <cfRule type="expression" priority="1074" dxfId="0">
      <formula>LEN(K1149)&gt;0</formula>
    </cfRule>
  </conditionalFormatting>
  <conditionalFormatting sqref="K1150">
    <cfRule type="expression" priority="1075" dxfId="0">
      <formula>LEN(K1150)&gt;0</formula>
    </cfRule>
  </conditionalFormatting>
  <conditionalFormatting sqref="K1151">
    <cfRule type="expression" priority="1076" dxfId="0">
      <formula>LEN(K1151)&gt;0</formula>
    </cfRule>
  </conditionalFormatting>
  <conditionalFormatting sqref="K1152">
    <cfRule type="expression" priority="1077" dxfId="0">
      <formula>LEN(K1152)&gt;0</formula>
    </cfRule>
  </conditionalFormatting>
  <conditionalFormatting sqref="K1153">
    <cfRule type="expression" priority="1078" dxfId="0">
      <formula>LEN(K1153)&gt;0</formula>
    </cfRule>
  </conditionalFormatting>
  <conditionalFormatting sqref="K1162">
    <cfRule type="expression" priority="1079" dxfId="0">
      <formula>LEN(K1162)&gt;0</formula>
    </cfRule>
  </conditionalFormatting>
  <conditionalFormatting sqref="K1163">
    <cfRule type="expression" priority="1080" dxfId="0">
      <formula>LEN(K1163)&gt;0</formula>
    </cfRule>
  </conditionalFormatting>
  <conditionalFormatting sqref="K1164">
    <cfRule type="expression" priority="1081" dxfId="0">
      <formula>LEN(K1164)&gt;0</formula>
    </cfRule>
  </conditionalFormatting>
  <conditionalFormatting sqref="K1165">
    <cfRule type="expression" priority="1082" dxfId="0">
      <formula>LEN(K1165)&gt;0</formula>
    </cfRule>
  </conditionalFormatting>
  <conditionalFormatting sqref="K1166">
    <cfRule type="expression" priority="1083" dxfId="0">
      <formula>LEN(K1166)&gt;0</formula>
    </cfRule>
  </conditionalFormatting>
  <conditionalFormatting sqref="K1167">
    <cfRule type="expression" priority="1084" dxfId="0">
      <formula>LEN(K1167)&gt;0</formula>
    </cfRule>
  </conditionalFormatting>
  <conditionalFormatting sqref="K1168">
    <cfRule type="expression" priority="1085" dxfId="0">
      <formula>LEN(K1168)&gt;0</formula>
    </cfRule>
  </conditionalFormatting>
  <conditionalFormatting sqref="K1169">
    <cfRule type="expression" priority="1086" dxfId="0">
      <formula>LEN(K1169)&gt;0</formula>
    </cfRule>
  </conditionalFormatting>
  <conditionalFormatting sqref="K1170">
    <cfRule type="expression" priority="1087" dxfId="0">
      <formula>LEN(K1170)&gt;0</formula>
    </cfRule>
  </conditionalFormatting>
  <conditionalFormatting sqref="K1171">
    <cfRule type="expression" priority="1088" dxfId="0">
      <formula>LEN(K1171)&gt;0</formula>
    </cfRule>
  </conditionalFormatting>
  <conditionalFormatting sqref="K1172">
    <cfRule type="expression" priority="1089" dxfId="0">
      <formula>LEN(K1172)&gt;0</formula>
    </cfRule>
  </conditionalFormatting>
  <conditionalFormatting sqref="K1173">
    <cfRule type="expression" priority="1090" dxfId="0">
      <formula>LEN(K1173)&gt;0</formula>
    </cfRule>
  </conditionalFormatting>
  <conditionalFormatting sqref="K1174">
    <cfRule type="expression" priority="1091" dxfId="0">
      <formula>LEN(K1174)&gt;0</formula>
    </cfRule>
  </conditionalFormatting>
  <conditionalFormatting sqref="K1176">
    <cfRule type="expression" priority="1092" dxfId="0">
      <formula>LEN(K1176)&gt;0</formula>
    </cfRule>
  </conditionalFormatting>
  <conditionalFormatting sqref="K1177">
    <cfRule type="expression" priority="1093" dxfId="0">
      <formula>LEN(K1177)&gt;0</formula>
    </cfRule>
  </conditionalFormatting>
  <conditionalFormatting sqref="K1178">
    <cfRule type="expression" priority="1094" dxfId="0">
      <formula>LEN(K1178)&gt;0</formula>
    </cfRule>
  </conditionalFormatting>
  <conditionalFormatting sqref="K1179">
    <cfRule type="expression" priority="1095" dxfId="0">
      <formula>LEN(K1179)&gt;0</formula>
    </cfRule>
  </conditionalFormatting>
  <conditionalFormatting sqref="K1180">
    <cfRule type="expression" priority="1096" dxfId="0">
      <formula>LEN(K1180)&gt;0</formula>
    </cfRule>
  </conditionalFormatting>
  <conditionalFormatting sqref="K1181">
    <cfRule type="expression" priority="1097" dxfId="0">
      <formula>LEN(K1181)&gt;0</formula>
    </cfRule>
  </conditionalFormatting>
  <conditionalFormatting sqref="K1182">
    <cfRule type="expression" priority="1098" dxfId="0">
      <formula>LEN(K1182)&gt;0</formula>
    </cfRule>
  </conditionalFormatting>
  <conditionalFormatting sqref="K1183">
    <cfRule type="expression" priority="1099" dxfId="0">
      <formula>LEN(K1183)&gt;0</formula>
    </cfRule>
  </conditionalFormatting>
  <conditionalFormatting sqref="K1184">
    <cfRule type="expression" priority="1100" dxfId="0">
      <formula>LEN(K1184)&gt;0</formula>
    </cfRule>
  </conditionalFormatting>
  <conditionalFormatting sqref="K1185">
    <cfRule type="expression" priority="1101" dxfId="0">
      <formula>LEN(K1185)&gt;0</formula>
    </cfRule>
  </conditionalFormatting>
  <conditionalFormatting sqref="K1186">
    <cfRule type="expression" priority="1102" dxfId="0">
      <formula>LEN(K1186)&gt;0</formula>
    </cfRule>
  </conditionalFormatting>
  <conditionalFormatting sqref="K1187">
    <cfRule type="expression" priority="1103" dxfId="0">
      <formula>LEN(K1187)&gt;0</formula>
    </cfRule>
  </conditionalFormatting>
  <conditionalFormatting sqref="K1188">
    <cfRule type="expression" priority="1104" dxfId="0">
      <formula>LEN(K1188)&gt;0</formula>
    </cfRule>
  </conditionalFormatting>
  <conditionalFormatting sqref="K1190">
    <cfRule type="expression" priority="1105" dxfId="0">
      <formula>LEN(K1190)&gt;0</formula>
    </cfRule>
  </conditionalFormatting>
  <conditionalFormatting sqref="K1191">
    <cfRule type="expression" priority="1106" dxfId="0">
      <formula>LEN(K1191)&gt;0</formula>
    </cfRule>
  </conditionalFormatting>
  <conditionalFormatting sqref="K1192">
    <cfRule type="expression" priority="1107" dxfId="0">
      <formula>LEN(K1192)&gt;0</formula>
    </cfRule>
  </conditionalFormatting>
  <conditionalFormatting sqref="K1193">
    <cfRule type="expression" priority="1108" dxfId="0">
      <formula>LEN(K1193)&gt;0</formula>
    </cfRule>
  </conditionalFormatting>
  <conditionalFormatting sqref="K1194">
    <cfRule type="expression" priority="1109" dxfId="0">
      <formula>LEN(K1194)&gt;0</formula>
    </cfRule>
  </conditionalFormatting>
  <conditionalFormatting sqref="K1195">
    <cfRule type="expression" priority="1110" dxfId="0">
      <formula>LEN(K1195)&gt;0</formula>
    </cfRule>
  </conditionalFormatting>
  <conditionalFormatting sqref="K1196">
    <cfRule type="expression" priority="1111" dxfId="0">
      <formula>LEN(K1196)&gt;0</formula>
    </cfRule>
  </conditionalFormatting>
  <conditionalFormatting sqref="K1197">
    <cfRule type="expression" priority="1112" dxfId="0">
      <formula>LEN(K1197)&gt;0</formula>
    </cfRule>
  </conditionalFormatting>
  <conditionalFormatting sqref="K1198">
    <cfRule type="expression" priority="1113" dxfId="0">
      <formula>LEN(K1198)&gt;0</formula>
    </cfRule>
  </conditionalFormatting>
  <conditionalFormatting sqref="K1199">
    <cfRule type="expression" priority="1114" dxfId="0">
      <formula>LEN(K1199)&gt;0</formula>
    </cfRule>
  </conditionalFormatting>
  <conditionalFormatting sqref="K1200">
    <cfRule type="expression" priority="1115" dxfId="0">
      <formula>LEN(K1200)&gt;0</formula>
    </cfRule>
  </conditionalFormatting>
  <conditionalFormatting sqref="K1201">
    <cfRule type="expression" priority="1116" dxfId="0">
      <formula>LEN(K1201)&gt;0</formula>
    </cfRule>
  </conditionalFormatting>
  <conditionalFormatting sqref="K1202">
    <cfRule type="expression" priority="1117" dxfId="0">
      <formula>LEN(K1202)&gt;0</formula>
    </cfRule>
  </conditionalFormatting>
  <conditionalFormatting sqref="K1204">
    <cfRule type="expression" priority="1118" dxfId="0">
      <formula>LEN(K1204)&gt;0</formula>
    </cfRule>
  </conditionalFormatting>
  <conditionalFormatting sqref="K1205">
    <cfRule type="expression" priority="1119" dxfId="0">
      <formula>LEN(K1205)&gt;0</formula>
    </cfRule>
  </conditionalFormatting>
  <conditionalFormatting sqref="K1206">
    <cfRule type="expression" priority="1120" dxfId="0">
      <formula>LEN(K1206)&gt;0</formula>
    </cfRule>
  </conditionalFormatting>
  <conditionalFormatting sqref="K1207">
    <cfRule type="expression" priority="1121" dxfId="0">
      <formula>LEN(K1207)&gt;0</formula>
    </cfRule>
  </conditionalFormatting>
  <conditionalFormatting sqref="K1208">
    <cfRule type="expression" priority="1122" dxfId="0">
      <formula>LEN(K1208)&gt;0</formula>
    </cfRule>
  </conditionalFormatting>
  <conditionalFormatting sqref="K1209">
    <cfRule type="expression" priority="1123" dxfId="0">
      <formula>LEN(K1209)&gt;0</formula>
    </cfRule>
  </conditionalFormatting>
  <conditionalFormatting sqref="K1210">
    <cfRule type="expression" priority="1124" dxfId="0">
      <formula>LEN(K1210)&gt;0</formula>
    </cfRule>
  </conditionalFormatting>
  <conditionalFormatting sqref="K1211">
    <cfRule type="expression" priority="1125" dxfId="0">
      <formula>LEN(K1211)&gt;0</formula>
    </cfRule>
  </conditionalFormatting>
  <conditionalFormatting sqref="K1212">
    <cfRule type="expression" priority="1126" dxfId="0">
      <formula>LEN(K1212)&gt;0</formula>
    </cfRule>
  </conditionalFormatting>
  <conditionalFormatting sqref="K1213">
    <cfRule type="expression" priority="1127" dxfId="0">
      <formula>LEN(K1213)&gt;0</formula>
    </cfRule>
  </conditionalFormatting>
  <conditionalFormatting sqref="K1214">
    <cfRule type="expression" priority="1128" dxfId="0">
      <formula>LEN(K1214)&gt;0</formula>
    </cfRule>
  </conditionalFormatting>
  <conditionalFormatting sqref="K1215">
    <cfRule type="expression" priority="1129" dxfId="0">
      <formula>LEN(K1215)&gt;0</formula>
    </cfRule>
  </conditionalFormatting>
  <conditionalFormatting sqref="K1216">
    <cfRule type="expression" priority="1130" dxfId="0">
      <formula>LEN(K1216)&gt;0</formula>
    </cfRule>
  </conditionalFormatting>
  <conditionalFormatting sqref="K1218">
    <cfRule type="expression" priority="1131" dxfId="0">
      <formula>LEN(K1218)&gt;0</formula>
    </cfRule>
  </conditionalFormatting>
  <conditionalFormatting sqref="K1219">
    <cfRule type="expression" priority="1132" dxfId="0">
      <formula>LEN(K1219)&gt;0</formula>
    </cfRule>
  </conditionalFormatting>
  <conditionalFormatting sqref="K1220">
    <cfRule type="expression" priority="1133" dxfId="0">
      <formula>LEN(K1220)&gt;0</formula>
    </cfRule>
  </conditionalFormatting>
  <conditionalFormatting sqref="K1221">
    <cfRule type="expression" priority="1134" dxfId="0">
      <formula>LEN(K1221)&gt;0</formula>
    </cfRule>
  </conditionalFormatting>
  <conditionalFormatting sqref="K1222">
    <cfRule type="expression" priority="1135" dxfId="0">
      <formula>LEN(K1222)&gt;0</formula>
    </cfRule>
  </conditionalFormatting>
  <conditionalFormatting sqref="K1223">
    <cfRule type="expression" priority="1136" dxfId="0">
      <formula>LEN(K1223)&gt;0</formula>
    </cfRule>
  </conditionalFormatting>
  <conditionalFormatting sqref="K1224">
    <cfRule type="expression" priority="1137" dxfId="0">
      <formula>LEN(K1224)&gt;0</formula>
    </cfRule>
  </conditionalFormatting>
  <conditionalFormatting sqref="K1225">
    <cfRule type="expression" priority="1138" dxfId="0">
      <formula>LEN(K1225)&gt;0</formula>
    </cfRule>
  </conditionalFormatting>
  <conditionalFormatting sqref="K1226">
    <cfRule type="expression" priority="1139" dxfId="0">
      <formula>LEN(K1226)&gt;0</formula>
    </cfRule>
  </conditionalFormatting>
  <conditionalFormatting sqref="K1227">
    <cfRule type="expression" priority="1140" dxfId="0">
      <formula>LEN(K1227)&gt;0</formula>
    </cfRule>
  </conditionalFormatting>
  <conditionalFormatting sqref="K1228">
    <cfRule type="expression" priority="1141" dxfId="0">
      <formula>LEN(K1228)&gt;0</formula>
    </cfRule>
  </conditionalFormatting>
  <conditionalFormatting sqref="K1229">
    <cfRule type="expression" priority="1142" dxfId="0">
      <formula>LEN(K1229)&gt;0</formula>
    </cfRule>
  </conditionalFormatting>
  <conditionalFormatting sqref="K1230">
    <cfRule type="expression" priority="1143" dxfId="0">
      <formula>LEN(K1230)&gt;0</formula>
    </cfRule>
  </conditionalFormatting>
  <conditionalFormatting sqref="K1232">
    <cfRule type="expression" priority="1144" dxfId="0">
      <formula>LEN(K1232)&gt;0</formula>
    </cfRule>
  </conditionalFormatting>
  <conditionalFormatting sqref="K1233">
    <cfRule type="expression" priority="1145" dxfId="0">
      <formula>LEN(K1233)&gt;0</formula>
    </cfRule>
  </conditionalFormatting>
  <conditionalFormatting sqref="K1234">
    <cfRule type="expression" priority="1146" dxfId="0">
      <formula>LEN(K1234)&gt;0</formula>
    </cfRule>
  </conditionalFormatting>
  <conditionalFormatting sqref="K1235">
    <cfRule type="expression" priority="1147" dxfId="0">
      <formula>LEN(K1235)&gt;0</formula>
    </cfRule>
  </conditionalFormatting>
  <conditionalFormatting sqref="K1236">
    <cfRule type="expression" priority="1148" dxfId="0">
      <formula>LEN(K1236)&gt;0</formula>
    </cfRule>
  </conditionalFormatting>
  <conditionalFormatting sqref="K1237">
    <cfRule type="expression" priority="1149" dxfId="0">
      <formula>LEN(K1237)&gt;0</formula>
    </cfRule>
  </conditionalFormatting>
  <conditionalFormatting sqref="K1238">
    <cfRule type="expression" priority="1150" dxfId="0">
      <formula>LEN(K1238)&gt;0</formula>
    </cfRule>
  </conditionalFormatting>
  <conditionalFormatting sqref="K1239">
    <cfRule type="expression" priority="1151" dxfId="0">
      <formula>LEN(K1239)&gt;0</formula>
    </cfRule>
  </conditionalFormatting>
  <conditionalFormatting sqref="K1240">
    <cfRule type="expression" priority="1152" dxfId="0">
      <formula>LEN(K1240)&gt;0</formula>
    </cfRule>
  </conditionalFormatting>
  <conditionalFormatting sqref="K1241">
    <cfRule type="expression" priority="1153" dxfId="0">
      <formula>LEN(K1241)&gt;0</formula>
    </cfRule>
  </conditionalFormatting>
  <conditionalFormatting sqref="K1242">
    <cfRule type="expression" priority="1154" dxfId="0">
      <formula>LEN(K1242)&gt;0</formula>
    </cfRule>
  </conditionalFormatting>
  <conditionalFormatting sqref="K1243">
    <cfRule type="expression" priority="1155" dxfId="0">
      <formula>LEN(K1243)&gt;0</formula>
    </cfRule>
  </conditionalFormatting>
  <conditionalFormatting sqref="K1244">
    <cfRule type="expression" priority="1156" dxfId="0">
      <formula>LEN(K1244)&gt;0</formula>
    </cfRule>
  </conditionalFormatting>
  <conditionalFormatting sqref="K1246">
    <cfRule type="expression" priority="1157" dxfId="0">
      <formula>LEN(K1246)&gt;0</formula>
    </cfRule>
  </conditionalFormatting>
  <conditionalFormatting sqref="K1247">
    <cfRule type="expression" priority="1158" dxfId="0">
      <formula>LEN(K1247)&gt;0</formula>
    </cfRule>
  </conditionalFormatting>
  <conditionalFormatting sqref="K1248">
    <cfRule type="expression" priority="1159" dxfId="0">
      <formula>LEN(K1248)&gt;0</formula>
    </cfRule>
  </conditionalFormatting>
  <conditionalFormatting sqref="K1249">
    <cfRule type="expression" priority="1160" dxfId="0">
      <formula>LEN(K1249)&gt;0</formula>
    </cfRule>
  </conditionalFormatting>
  <conditionalFormatting sqref="K1250">
    <cfRule type="expression" priority="1161" dxfId="0">
      <formula>LEN(K1250)&gt;0</formula>
    </cfRule>
  </conditionalFormatting>
  <conditionalFormatting sqref="K1251">
    <cfRule type="expression" priority="1162" dxfId="0">
      <formula>LEN(K1251)&gt;0</formula>
    </cfRule>
  </conditionalFormatting>
  <conditionalFormatting sqref="K1252">
    <cfRule type="expression" priority="1163" dxfId="0">
      <formula>LEN(K1252)&gt;0</formula>
    </cfRule>
  </conditionalFormatting>
  <conditionalFormatting sqref="K1253">
    <cfRule type="expression" priority="1164" dxfId="0">
      <formula>LEN(K1253)&gt;0</formula>
    </cfRule>
  </conditionalFormatting>
  <conditionalFormatting sqref="K1254">
    <cfRule type="expression" priority="1165" dxfId="0">
      <formula>LEN(K1254)&gt;0</formula>
    </cfRule>
  </conditionalFormatting>
  <conditionalFormatting sqref="K1255">
    <cfRule type="expression" priority="1166" dxfId="0">
      <formula>LEN(K1255)&gt;0</formula>
    </cfRule>
  </conditionalFormatting>
  <conditionalFormatting sqref="K1256">
    <cfRule type="expression" priority="1167" dxfId="0">
      <formula>LEN(K1256)&gt;0</formula>
    </cfRule>
  </conditionalFormatting>
  <conditionalFormatting sqref="K1257">
    <cfRule type="expression" priority="1168" dxfId="0">
      <formula>LEN(K1257)&gt;0</formula>
    </cfRule>
  </conditionalFormatting>
  <conditionalFormatting sqref="K1258">
    <cfRule type="expression" priority="1169" dxfId="0">
      <formula>LEN(K1258)&gt;0</formula>
    </cfRule>
  </conditionalFormatting>
  <conditionalFormatting sqref="K1260">
    <cfRule type="expression" priority="1170" dxfId="0">
      <formula>LEN(K1260)&gt;0</formula>
    </cfRule>
  </conditionalFormatting>
  <conditionalFormatting sqref="K1261">
    <cfRule type="expression" priority="1171" dxfId="0">
      <formula>LEN(K1261)&gt;0</formula>
    </cfRule>
  </conditionalFormatting>
  <conditionalFormatting sqref="K1262">
    <cfRule type="expression" priority="1172" dxfId="0">
      <formula>LEN(K1262)&gt;0</formula>
    </cfRule>
  </conditionalFormatting>
  <conditionalFormatting sqref="K1263">
    <cfRule type="expression" priority="1173" dxfId="0">
      <formula>LEN(K1263)&gt;0</formula>
    </cfRule>
  </conditionalFormatting>
  <conditionalFormatting sqref="K1264">
    <cfRule type="expression" priority="1174" dxfId="0">
      <formula>LEN(K1264)&gt;0</formula>
    </cfRule>
  </conditionalFormatting>
  <conditionalFormatting sqref="K1265">
    <cfRule type="expression" priority="1175" dxfId="0">
      <formula>LEN(K1265)&gt;0</formula>
    </cfRule>
  </conditionalFormatting>
  <conditionalFormatting sqref="K1266">
    <cfRule type="expression" priority="1176" dxfId="0">
      <formula>LEN(K1266)&gt;0</formula>
    </cfRule>
  </conditionalFormatting>
  <conditionalFormatting sqref="K1267">
    <cfRule type="expression" priority="1177" dxfId="0">
      <formula>LEN(K1267)&gt;0</formula>
    </cfRule>
  </conditionalFormatting>
  <conditionalFormatting sqref="K1268">
    <cfRule type="expression" priority="1178" dxfId="0">
      <formula>LEN(K1268)&gt;0</formula>
    </cfRule>
  </conditionalFormatting>
  <dataValidations count="82">
    <dataValidation sqref="B12 B13 B14 B15 B16 B17 B18 B19 B20 B21 B22 B23 B24 B26 B27 B28 B29 B30 B31 B32 B33 B34 B35 B36 B37 B38 B40 B41 B42 B43 B44 B45 B46 B47 B48 B49 B50 B51 B52 B54 B55 B56 B57 B58 B59 B60 B61 B62 B63 B64 B65 B66 B68 B69 B70 B71 B72 B73 B74 B75 B76 B77 B78 B79 B80 B82 B83 B84 B85 B86 B87 B88 B89 B90 B91 B92 B93 B94 B96 B97 B98 B99 B100 B101 B102 B103 B104 B105 B106 B107 B108 B110 B111 B112 B113 B114 B115 B116 B117 B118" showDropDown="0" showInputMessage="0" showErrorMessage="1" allowBlank="1" errorTitle="Texto longo" error="Facções: até 200 caracteres (o sorteio usa o texto mesmo assim)." type="textLength" errorStyle="warning" operator="lessThanOrEqual">
      <formula1>200</formula1>
    </dataValidation>
    <dataValidation sqref="C12 C13 C14 C15 C16 C17 C18 C19 C20 C21 C22 C23 C24 C26 C27 C28 C29 C30 C31 C32 C33 C34 C35 C36 C37 C38 C40 C41 C42 C43 C44 C45 C46 C47 C48 C49 C50 C51 C52 C54 C55 C56 C57 C58 C59 C60 C61 C62 C63 C64 C65 C66 C68 C69 C70 C71 C72 C73 C74 C75 C76 C77 C78 C79 C80 C82 C83 C84 C85 C86 C87 C88 C89 C90 C91 C92 C93 C94 C96 C97 C98 C99 C100 C101 C102 C103 C104 C105 C106 C107 C108 C110 C111 C112 C113 C114 C115 C116 C117 C118" showDropDown="0" showInputMessage="0" showErrorMessage="1" allowBlank="1" errorTitle="Texto longo" error="Locais: até 200 caracteres (o sorteio usa o texto mesmo assim)." type="textLength" errorStyle="warning" operator="lessThanOrEqual">
      <formula1>200</formula1>
    </dataValidation>
    <dataValidation sqref="D12 D13 D14 D15 D16 D17 D18 D19 D20 D21 D22 D23 D24 D26 D27 D28 D29 D30 D31 D32 D33 D34 D35 D36 D37 D38 D40 D41 D42 D43 D44 D45 D46 D47 D48 D49 D50 D51 D52 D54 D55 D56 D57 D58 D59 D60 D61 D62 D63 D64 D65 D66 D68 D69 D70 D71 D72 D73 D74 D75 D76 D77 D78 D79 D80 D82 D83 D84 D85 D86 D87 D88 D89 D90 D91 D92 D93 D94 D96 D97 D98 D99 D100 D101 D102 D103 D104 D105 D106 D107 D108 D110 D111 D112 D113 D114 D115 D116 D117 D118" showDropDown="0" showInputMessage="0" showErrorMessage="1" allowBlank="1" errorTitle="Texto longo" error="Ganchos 1-4: até 200 caracteres (o sorteio usa o texto mesmo assim)." type="textLength" errorStyle="warning" operator="lessThanOrEqual">
      <formula1>200</formula1>
    </dataValidation>
    <dataValidation sqref="E12 E13 E14 E15 E16 E17 E18 E19 E20 E21 E22 E23 E24 E26 E27 E28 E29 E30 E31 E32 E33 E34 E35 E36 E37 E38 E40 E41 E42 E43 E44 E45 E46 E47 E48 E49 E50 E51 E52 E54 E55 E56 E57 E58 E59 E60 E61 E62 E63 E64 E65 E66 E68 E69 E70 E71 E72 E73 E74 E75 E76 E77 E78 E79 E80 E82 E83 E84 E85 E86 E87 E88 E89 E90 E91 E92 E93 E94 E96 E97 E98 E99 E100 E101 E102 E103 E104 E105 E106 E107 E108 E110 E111 E112 E113 E114 E115 E116 E117 E118" showDropDown="0" showInputMessage="0" showErrorMessage="1" allowBlank="1" errorTitle="Texto longo" error="Ganchos 5-8: até 200 caracteres (o sorteio usa o texto mesmo assim)." type="textLength" errorStyle="warning" operator="lessThanOrEqual">
      <formula1>200</formula1>
    </dataValidation>
    <dataValidation sqref="F12 F13 F14 F15 F16 F17 F18 F19 F20 F21 F22 F23 F24 F26 F27 F28 F29 F30 F31 F32 F33 F34 F35 F36 F37 F38 F40 F41 F42 F43 F44 F45 F46 F47 F48 F49 F50 F51 F52 F54 F55 F56 F57 F58 F59 F60 F61 F62 F63 F64 F65 F66 F68 F69 F70 F71 F72 F73 F74 F75 F76 F77 F78 F79 F80 F82 F83 F84 F85 F86 F87 F88 F89 F90 F91 F92 F93 F94 F96 F97 F98 F99 F100 F101 F102 F103 F104 F105 F106 F107 F108 F110 F111 F112 F113 F114 F115 F116 F117 F118" showDropDown="0" showInputMessage="0" showErrorMessage="1" allowBlank="1" errorTitle="Texto longo" error="Ganchos 9-12: até 200 caracteres (o sorteio usa o texto mesmo assim)." type="textLength" errorStyle="warning" operator="lessThanOrEqual">
      <formula1>200</formula1>
    </dataValidation>
    <dataValidation sqref="G12 G13 G14 G15 G16 G17 G18 G19 G20 G21 G22 G23 G24 G26 G27 G28 G29 G30 G31 G32 G33 G34 G35 G36 G37 G38 G40 G41 G42 G43 G44 G45 G46 G47 G48 G49 G50 G51 G52 G54 G55 G56 G57 G58 G59 G60 G61 G62 G63 G64 G65 G66 G68 G69 G70 G71 G72 G73 G74 G75 G76 G77 G78 G79 G80 G82 G83 G84 G85 G86 G87 G88 G89 G90 G91 G92 G93 G94 G96 G97 G98 G99 G100 G101 G102 G103 G104 G105 G106 G107 G108 G110 G111 G112 G113 G114 G115 G116 G117 G118" showDropDown="0" showInputMessage="0" showErrorMessage="1" allowBlank="1" errorTitle="Texto longo" error="Ganchos 13-16: até 200 caracteres (o sorteio usa o texto mesmo assim)." type="textLength" errorStyle="warning" operator="lessThanOrEqual">
      <formula1>200</formula1>
    </dataValidation>
    <dataValidation sqref="H12 H13 H14 H15 H16 H17 H18 H19 H20 H21 H22 H23 H24 H26 H27 H28 H29 H30 H31 H32 H33 H34 H35 H36 H37 H38 H40 H41 H42 H43 H44 H45 H46 H47 H48 H49 H50 H51 H52 H54 H55 H56 H57 H58 H59 H60 H61 H62 H63 H64 H65 H66 H68 H69 H70 H71 H72 H73 H74 H75 H76 H77 H78 H79 H80 H82 H83 H84 H85 H86 H87 H88 H89 H90 H91 H92 H93 H94 H96 H97 H98 H99 H100 H101 H102 H103 H104 H105 H106 H107 H108 H110 H111 H112 H113 H114 H115 H116 H117 H118" showDropDown="0" showInputMessage="0" showErrorMessage="1" allowBlank="1" errorTitle="Texto longo" error="Ganchos 17-20: até 200 caracteres (o sorteio usa o texto mesmo assim)." type="textLength" errorStyle="warning" operator="lessThanOrEqual">
      <formula1>200</formula1>
    </dataValidation>
    <dataValidation sqref="I12 I13 I14 I15 I16 I17 I18 I19 I20 I21 I22 I23 I24 I26 I27 I28 I29 I30 I31 I32 I33 I34 I35 I36 I37 I38 I40 I41 I42 I43 I44 I45 I46 I47 I48 I49 I50 I51 I52 I54 I55 I56 I57 I58 I59 I60 I61 I62 I63 I64 I65 I66 I68 I69 I70 I71 I72 I73 I74 I75 I76 I77 I78 I79 I80 I82 I83 I84 I85 I86 I87 I88 I89 I90 I91 I92 I93 I94 I96 I97 I98 I99 I100 I101 I102 I103 I104 I105 I106 I107 I108 I110 I111 I112 I113 I114 I115 I116 I117 I118" showDropDown="0" showInputMessage="0" showErrorMessage="1" allowBlank="1" errorTitle="Texto longo" error="Facção ou origem (H8): até 200 caracteres (o sorteio usa o texto mesmo assim)." type="textLength" errorStyle="warning" operator="lessThanOrEqual">
      <formula1>200</formula1>
    </dataValidation>
    <dataValidation sqref="J12 J13 J14 J15 J16 J17 J18 J19 J20 J21 J22 J23 J24 J26 J27 J28 J29 J30 J31 J32 J33 J34 J35 J36 J37 J38 J40 J41 J42 J43 J44 J45 J46 J47 J48 J49 J50 J51 J52 J54 J55 J56 J57 J58 J59 J60 J61 J62 J63 J64 J65 J66 J68 J69 J70 J71 J72 J73 J74 J75 J76 J77 J78 J79 J80 J82 J83 J84 J85 J86 J87 J88 J89 J90 J91 J92 J93 J94 J96 J97 J98 J99 J100 J101 J102 J103 J104 J105 J106 J107 J108 J110 J111 J112 J113 J114 J115 J116 J117 J118" showDropDown="0" showInputMessage="0" showErrorMessage="1" allowBlank="1" errorTitle="Fora da lista" error="Ambiente: escolha um da lista, ou digite um novo (o filtro do Bestiário usa o texto)." type="list" errorStyle="warning">
      <formula1>'Dados'!$BC$6:$BC$19</formula1>
    </dataValidation>
    <dataValidation sqref="B127 B128 B129 B130 B131 B132 B133 B134 B135 B136 B137 B138 B139 B141 B142 B143 B144 B145 B146 B147 B148 B149 B150 B151 B152 B153 B155 B156 B157 B158 B159 B160 B161 B162 B163 B164 B165 B166 B167 B169 B170 B171 B172 B173 B174 B175 B176 B177 B178 B179 B180 B181 B183 B184 B185 B186 B187 B188 B189 B190 B191 B192 B193 B194 B195 B197 B198 B199 B200 B201 B202 B203 B204 B205 B206 B207 B208 B209 B211 B212 B213 B214 B215 B216 B217 B218 B219 B220 B221 B222 B223 B225 B226 B227 B228 B229 B230 B231 B232 B233" showDropDown="0" showInputMessage="0" showErrorMessage="1" allowBlank="1" errorTitle="Texto longo" error="Nome — Humano: até 200 caracteres (o sorteio usa o texto mesmo assim)." type="textLength" errorStyle="warning" operator="lessThanOrEqual">
      <formula1>200</formula1>
    </dataValidation>
    <dataValidation sqref="C127 C128 C129 C130 C131 C132 C133 C134 C135 C136 C137 C138 C139 C141 C142 C143 C144 C145 C146 C147 C148 C149 C150 C151 C152 C153 C155 C156 C157 C158 C159 C160 C161 C162 C163 C164 C165 C166 C167 C169 C170 C171 C172 C173 C174 C175 C176 C177 C178 C179 C180 C181 C183 C184 C185 C186 C187 C188 C189 C190 C191 C192 C193 C194 C195 C197 C198 C199 C200 C201 C202 C203 C204 C205 C206 C207 C208 C209 C211 C212 C213 C214 C215 C216 C217 C218 C219 C220 C221 C222 C223 C225 C226 C227 C228 C229 C230 C231 C232 C233" showDropDown="0" showInputMessage="0" showErrorMessage="1" allowBlank="1" errorTitle="Texto longo" error="Nome — Xianzhouíta: até 200 caracteres (o sorteio usa o texto mesmo assim)." type="textLength" errorStyle="warning" operator="lessThanOrEqual">
      <formula1>200</formula1>
    </dataValidation>
    <dataValidation sqref="D127 D128 D129 D130 D131 D132 D133 D134 D135 D136 D137 D138 D139 D141 D142 D143 D144 D145 D146 D147 D148 D149 D150 D151 D152 D153 D155 D156 D157 D158 D159 D160 D161 D162 D163 D164 D165 D166 D167 D169 D170 D171 D172 D173 D174 D175 D176 D177 D178 D179 D180 D181 D183 D184 D185 D186 D187 D188 D189 D190 D191 D192 D193 D194 D195 D197 D198 D199 D200 D201 D202 D203 D204 D205 D206 D207 D208 D209 D211 D212 D213 D214 D215 D216 D217 D218 D219 D220 D221 D222 D223 D225 D226 D227 D228 D229 D230 D231 D232 D233" showDropDown="0" showInputMessage="0" showErrorMessage="1" allowBlank="1" errorTitle="Texto longo" error="Nome — Vidyadhara: até 200 caracteres (o sorteio usa o texto mesmo assim)." type="textLength" errorStyle="warning" operator="lessThanOrEqual">
      <formula1>200</formula1>
    </dataValidation>
    <dataValidation sqref="E127 E128 E129 E130 E131 E132 E133 E134 E135 E136 E137 E138 E139 E141 E142 E143 E144 E145 E146 E147 E148 E149 E150 E151 E152 E153 E155 E156 E157 E158 E159 E160 E161 E162 E163 E164 E165 E166 E167 E169 E170 E171 E172 E173 E174 E175 E176 E177 E178 E179 E180 E181 E183 E184 E185 E186 E187 E188 E189 E190 E191 E192 E193 E194 E195 E197 E198 E199 E200 E201 E202 E203 E204 E205 E206 E207 E208 E209 E211 E212 E213 E214 E215 E216 E217 E218 E219 E220 E221 E222 E223 E225 E226 E227 E228 E229 E230 E231 E232 E233" showDropDown="0" showInputMessage="0" showErrorMessage="1" allowBlank="1" errorTitle="Texto longo" error="Nome — Vulpes: até 200 caracteres (o sorteio usa o texto mesmo assim)." type="textLength" errorStyle="warning" operator="lessThanOrEqual">
      <formula1>200</formula1>
    </dataValidation>
    <dataValidation sqref="F127 F128 F129 F130 F131 F132 F133 F134 F135 F136 F137 F138 F139 F141 F142 F143 F144 F145 F146 F147 F148 F149 F150 F151 F152 F153 F155 F156 F157 F158 F159 F160 F161 F162 F163 F164 F165 F166 F167 F169 F170 F171 F172 F173 F174 F175 F176 F177 F178 F179 F180 F181 F183 F184 F185 F186 F187 F188 F189 F190 F191 F192 F193 F194 F195 F197 F198 F199 F200 F201 F202 F203 F204 F205 F206 F207 F208 F209 F211 F212 F213 F214 F215 F216 F217 F218 F219 F220 F221 F222 F223 F225 F226 F227 F228 F229 F230 F231 F232 F233" showDropDown="0" showInputMessage="0" showErrorMessage="1" allowBlank="1" errorTitle="Texto longo" error="Nome — Haloviano: até 200 caracteres (o sorteio usa o texto mesmo assim)." type="textLength" errorStyle="warning" operator="lessThanOrEqual">
      <formula1>200</formula1>
    </dataValidation>
    <dataValidation sqref="G127 G128 G129 G130 G131 G132 G133 G134 G135 G136 G137 G138 G139 G141 G142 G143 G144 G145 G146 G147 G148 G149 G150 G151 G152 G153 G155 G156 G157 G158 G159 G160 G161 G162 G163 G164 G165 G166 G167 G169 G170 G171 G172 G173 G174 G175 G176 G177 G178 G179 G180 G181 G183 G184 G185 G186 G187 G188 G189 G190 G191 G192 G193 G194 G195 G197 G198 G199 G200 G201 G202 G203 G204 G205 G206 G207 G208 G209 G211 G212 G213 G214 G215 G216 G217 G218 G219 G220 G221 G222 G223 G225 G226 G227 G228 G229 G230 G231 G232 G233" showDropDown="0" showInputMessage="0" showErrorMessage="1" allowBlank="1" errorTitle="Texto longo" error="Nome — Avginiano: até 200 caracteres (o sorteio usa o texto mesmo assim)." type="textLength" errorStyle="warning" operator="lessThanOrEqual">
      <formula1>200</formula1>
    </dataValidation>
    <dataValidation sqref="H127 H128 H129 H130 H131 H132 H133 H134 H135 H136 H137 H138 H139 H141 H142 H143 H144 H145 H146 H147 H148 H149 H150 H151 H152 H153 H155 H156 H157 H158 H159 H160 H161 H162 H163 H164 H165 H166 H167 H169 H170 H171 H172 H173 H174 H175 H176 H177 H178 H179 H180 H181 H183 H184 H185 H186 H187 H188 H189 H190 H191 H192 H193 H194 H195 H197 H198 H199 H200 H201 H202 H203 H204 H205 H206 H207 H208 H209 H211 H212 H213 H214 H215 H216 H217 H218 H219 H220 H221 H222 H223 H225 H226 H227 H228 H229 H230 H231 H232 H233" showDropDown="0" showInputMessage="0" showErrorMessage="1" allowBlank="1" errorTitle="Texto longo" error="Nome — Intellitron: até 200 caracteres (o sorteio usa o texto mesmo assim)." type="textLength" errorStyle="warning" operator="lessThanOrEqual">
      <formula1>200</formula1>
    </dataValidation>
    <dataValidation sqref="B242 B243 B244 B245 B246 B247 B248 B249 B250 B251 B252 B253 B254 B256 B257 B258 B259 B260 B261 B262 B263 B264 B265 B266 B267 B268 B270 B271 B272 B273 B274 B275 B276 B277 B278 B279 B280 B281 B282 B284 B285 B286 B287 B288 B289 B290 B291 B292 B293 B294 B295 B296 B298 B299 B300 B301 B302 B303 B304 B305 B306 B307 B308 B309 B310 B312 B313 B314 B315 B316 B317 B318 B319 B320 B321 B322 B323 B324 B326 B327 B328 B329 B330 B331 B332 B333 B334 B335 B336 B337 B338 B340 B341 B342 B343 B344 B345 B346 B347 B348" showDropDown="0" showInputMessage="0" showErrorMessage="1" allowBlank="1" errorTitle="Texto longo" error="Sobrenome — Humano: até 200 caracteres (o sorteio usa o texto mesmo assim)." type="textLength" errorStyle="warning" operator="lessThanOrEqual">
      <formula1>200</formula1>
    </dataValidation>
    <dataValidation sqref="C242 C243 C244 C245 C246 C247 C248 C249 C250 C251 C252 C253 C254 C256 C257 C258 C259 C260 C261 C262 C263 C264 C265 C266 C267 C268 C270 C271 C272 C273 C274 C275 C276 C277 C278 C279 C280 C281 C282 C284 C285 C286 C287 C288 C289 C290 C291 C292 C293 C294 C295 C296 C298 C299 C300 C301 C302 C303 C304 C305 C306 C307 C308 C309 C310 C312 C313 C314 C315 C316 C317 C318 C319 C320 C321 C322 C323 C324 C326 C327 C328 C329 C330 C331 C332 C333 C334 C335 C336 C337 C338 C340 C341 C342 C343 C344 C345 C346 C347 C348" showDropDown="0" showInputMessage="0" showErrorMessage="1" allowBlank="1" errorTitle="Texto longo" error="Sobrenome — Xianzhouíta: até 200 caracteres (o sorteio usa o texto mesmo assim)." type="textLength" errorStyle="warning" operator="lessThanOrEqual">
      <formula1>200</formula1>
    </dataValidation>
    <dataValidation sqref="D242 D243 D244 D245 D246 D247 D248 D249 D250 D251 D252 D253 D254 D256 D257 D258 D259 D260 D261 D262 D263 D264 D265 D266 D267 D268 D270 D271 D272 D273 D274 D275 D276 D277 D278 D279 D280 D281 D282 D284 D285 D286 D287 D288 D289 D290 D291 D292 D293 D294 D295 D296 D298 D299 D300 D301 D302 D303 D304 D305 D306 D307 D308 D309 D310 D312 D313 D314 D315 D316 D317 D318 D319 D320 D321 D322 D323 D324 D326 D327 D328 D329 D330 D331 D332 D333 D334 D335 D336 D337 D338 D340 D341 D342 D343 D344 D345 D346 D347 D348" showDropDown="0" showInputMessage="0" showErrorMessage="1" allowBlank="1" errorTitle="Texto longo" error="Sobrenome — Vidyadhara: até 200 caracteres (o sorteio usa o texto mesmo assim)." type="textLength" errorStyle="warning" operator="lessThanOrEqual">
      <formula1>200</formula1>
    </dataValidation>
    <dataValidation sqref="E242 E243 E244 E245 E246 E247 E248 E249 E250 E251 E252 E253 E254 E256 E257 E258 E259 E260 E261 E262 E263 E264 E265 E266 E267 E268 E270 E271 E272 E273 E274 E275 E276 E277 E278 E279 E280 E281 E282 E284 E285 E286 E287 E288 E289 E290 E291 E292 E293 E294 E295 E296 E298 E299 E300 E301 E302 E303 E304 E305 E306 E307 E308 E309 E310 E312 E313 E314 E315 E316 E317 E318 E319 E320 E321 E322 E323 E324 E326 E327 E328 E329 E330 E331 E332 E333 E334 E335 E336 E337 E338 E340 E341 E342 E343 E344 E345 E346 E347 E348" showDropDown="0" showInputMessage="0" showErrorMessage="1" allowBlank="1" errorTitle="Texto longo" error="Sobrenome — Vulpes: até 200 caracteres (o sorteio usa o texto mesmo assim)." type="textLength" errorStyle="warning" operator="lessThanOrEqual">
      <formula1>200</formula1>
    </dataValidation>
    <dataValidation sqref="F242 F243 F244 F245 F246 F247 F248 F249 F250 F251 F252 F253 F254 F256 F257 F258 F259 F260 F261 F262 F263 F264 F265 F266 F267 F268 F270 F271 F272 F273 F274 F275 F276 F277 F278 F279 F280 F281 F282 F284 F285 F286 F287 F288 F289 F290 F291 F292 F293 F294 F295 F296 F298 F299 F300 F301 F302 F303 F304 F305 F306 F307 F308 F309 F310 F312 F313 F314 F315 F316 F317 F318 F319 F320 F321 F322 F323 F324 F326 F327 F328 F329 F330 F331 F332 F333 F334 F335 F336 F337 F338 F340 F341 F342 F343 F344 F345 F346 F347 F348" showDropDown="0" showInputMessage="0" showErrorMessage="1" allowBlank="1" errorTitle="Texto longo" error="Sobrenome — Haloviano: até 200 caracteres (o sorteio usa o texto mesmo assim)." type="textLength" errorStyle="warning" operator="lessThanOrEqual">
      <formula1>200</formula1>
    </dataValidation>
    <dataValidation sqref="G242 G243 G244 G245 G246 G247 G248 G249 G250 G251 G252 G253 G254 G256 G257 G258 G259 G260 G261 G262 G263 G264 G265 G266 G267 G268 G270 G271 G272 G273 G274 G275 G276 G277 G278 G279 G280 G281 G282 G284 G285 G286 G287 G288 G289 G290 G291 G292 G293 G294 G295 G296 G298 G299 G300 G301 G302 G303 G304 G305 G306 G307 G308 G309 G310 G312 G313 G314 G315 G316 G317 G318 G319 G320 G321 G322 G323 G324 G326 G327 G328 G329 G330 G331 G332 G333 G334 G335 G336 G337 G338 G340 G341 G342 G343 G344 G345 G346 G347 G348" showDropDown="0" showInputMessage="0" showErrorMessage="1" allowBlank="1" errorTitle="Texto longo" error="Sobrenome — Avginiano: até 200 caracteres (o sorteio usa o texto mesmo assim)." type="textLength" errorStyle="warning" operator="lessThanOrEqual">
      <formula1>200</formula1>
    </dataValidation>
    <dataValidation sqref="H242 H243 H244 H245 H246 H247 H248 H249 H250 H251 H252 H253 H254 H256 H257 H258 H259 H260 H261 H262 H263 H264 H265 H266 H267 H268 H270 H271 H272 H273 H274 H275 H276 H277 H278 H279 H280 H281 H282 H284 H285 H286 H287 H288 H289 H290 H291 H292 H293 H294 H295 H296 H298 H299 H300 H301 H302 H303 H304 H305 H306 H307 H308 H309 H310 H312 H313 H314 H315 H316 H317 H318 H319 H320 H321 H322 H323 H324 H326 H327 H328 H329 H330 H331 H332 H333 H334 H335 H336 H337 H338 H340 H341 H342 H343 H344 H345 H346 H347 H348" showDropDown="0" showInputMessage="0" showErrorMessage="1" allowBlank="1" errorTitle="Texto longo" error="Sobrenome — Intellitron: até 200 caracteres (o sorteio usa o texto mesmo assim)." type="textLength" errorStyle="warning" operator="lessThanOrEqual">
      <formula1>200</formula1>
    </dataValidation>
    <dataValidation sqref="B357 B358 B359 B360 B361 B362 B363 B364 B365 B366 B367 B368 B369 B371 B372 B373 B374 B375 B376 B377 B378 B379 B380 B381 B382 B383 B385 B386 B387 B388 B389 B390 B391 B392 B393 B394 B395 B396 B397 B399 B400 B401 B402 B403 B404 B405 B406 B407 B408 B409 B410 B411 B413 B414 B415 B416 B417 B418 B419 B420 B421 B422 B423 B424 B425 B427 B428 B429 B430 B431 B432 B433 B434 B435 B436 B437 B438 B439 B441 B442 B443 B444 B445 B446 B447 B448 B449 B450 B451 B452 B453 B455 B456 B457 B458 B459 B460 B461 B462 B463" showDropDown="0" showInputMessage="0" showErrorMessage="1" allowBlank="1" errorTitle="Texto longo" error="Ocupação (NPC): até 200 caracteres (o sorteio usa o texto mesmo assim)." type="textLength" errorStyle="warning" operator="lessThanOrEqual">
      <formula1>200</formula1>
    </dataValidation>
    <dataValidation sqref="C357 C358 C359 C360 C361 C362 C363 C364 C365 C366 C367 C368 C369 C371 C372 C373 C374 C375 C376 C377 C378 C379 C380 C381 C382 C383 C385 C386 C387 C388 C389 C390 C391 C392 C393 C394 C395 C396 C397 C399 C400 C401 C402 C403 C404 C405 C406 C407 C408 C409 C410 C411 C413 C414 C415 C416 C417 C418 C419 C420 C421 C422 C423 C424 C425 C427 C428 C429 C430 C431 C432 C433 C434 C435 C436 C437 C438 C439 C441 C442 C443 C444 C445 C446 C447 C448 C449 C450 C451 C452 C453 C455 C456 C457 C458 C459 C460 C461 C462 C463" showDropDown="0" showInputMessage="0" showErrorMessage="1" allowBlank="1" errorTitle="Texto longo" error="Traço de aparência: até 200 caracteres (o sorteio usa o texto mesmo assim)." type="textLength" errorStyle="warning" operator="lessThanOrEqual">
      <formula1>200</formula1>
    </dataValidation>
    <dataValidation sqref="D357 D358 D359 D360 D361 D362 D363 D364 D365 D366 D367 D368 D369 D371 D372 D373 D374 D375 D376 D377 D378 D379 D380 D381 D382 D383 D385 D386 D387 D388 D389 D390 D391 D392 D393 D394 D395 D396 D397 D399 D400 D401 D402 D403 D404 D405 D406 D407 D408 D409 D410 D411 D413 D414 D415 D416 D417 D418 D419 D420 D421 D422 D423 D424 D425 D427 D428 D429 D430 D431 D432 D433 D434 D435 D436 D437 D438 D439 D441 D442 D443 D444 D445 D446 D447 D448 D449 D450 D451 D452 D453 D455 D456 D457 D458 D459 D460 D461 D462 D463" showDropDown="0" showInputMessage="0" showErrorMessage="1" allowBlank="1" errorTitle="Texto longo" error="Personalidade: até 200 caracteres (o sorteio usa o texto mesmo assim)." type="textLength" errorStyle="warning" operator="lessThanOrEqual">
      <formula1>200</formula1>
    </dataValidation>
    <dataValidation sqref="E357 E358 E359 E360 E361 E362 E363 E364 E365 E366 E367 E368 E369 E371 E372 E373 E374 E375 E376 E377 E378 E379 E380 E381 E382 E383 E385 E386 E387 E388 E389 E390 E391 E392 E393 E394 E395 E396 E397 E399 E400 E401 E402 E403 E404 E405 E406 E407 E408 E409 E410 E411 E413 E414 E415 E416 E417 E418 E419 E420 E421 E422 E423 E424 E425 E427 E428 E429 E430 E431 E432 E433 E434 E435 E436 E437 E438 E439 E441 E442 E443 E444 E445 E446 E447 E448 E449 E450 E451 E452 E453 E455 E456 E457 E458 E459 E460 E461 E462 E463" showDropDown="0" showInputMessage="0" showErrorMessage="1" allowBlank="1" errorTitle="Texto longo" error="Motivação (sem Caminho): até 200 caracteres (o sorteio usa o texto mesmo assim)." type="textLength" errorStyle="warning" operator="lessThanOrEqual">
      <formula1>200</formula1>
    </dataValidation>
    <dataValidation sqref="F357 F358 F359 F360 F361 F362 F363 F364 F365 F366 F367 F368 F369 F371 F372 F373 F374 F375 F376 F377 F378 F379 F380 F381 F382 F383 F385 F386 F387 F388 F389 F390 F391 F392 F393 F394 F395 F396 F397 F399 F400 F401 F402 F403 F404 F405 F406 F407 F408 F409 F410 F411 F413 F414 F415 F416 F417 F418 F419 F420 F421 F422 F423 F424 F425 F427 F428 F429 F430 F431 F432 F433 F434 F435 F436 F437 F438 F439 F441 F442 F443 F444 F445 F446 F447 F448 F449 F450 F451 F452 F453 F455 F456 F457 F458 F459 F460 F461 F462 F463" showDropDown="0" showInputMessage="0" showErrorMessage="1" allowBlank="1" errorTitle="Texto longo" error="Segredo: até 200 caracteres (o sorteio usa o texto mesmo assim)." type="textLength" errorStyle="warning" operator="lessThanOrEqual">
      <formula1>200</formula1>
    </dataValidation>
    <dataValidation sqref="G357 G358 G359 G360 G361 G362 G363 G364 G365 G366 G367 G368 G369 G371 G372 G373 G374 G375 G376 G377 G378 G379 G380 G381 G382 G383 G385 G386 G387 G388 G389 G390 G391 G392 G393 G394 G395 G396 G397 G399 G400 G401 G402 G403 G404 G405 G406 G407 G408 G409 G410 G411 G413 G414 G415 G416 G417 G418 G419 G420 G421 G422 G423 G424 G425 G427 G428 G429 G430 G431 G432 G433 G434 G435 G436 G437 G438 G439 G441 G442 G443 G444 G445 G446 G447 G448 G449 G450 G451 G452 G453 G455 G456 G457 G458 G459 G460 G461 G462 G463" showDropDown="0" showInputMessage="0" showErrorMessage="1" allowBlank="1" errorTitle="Texto longo" error="Maneirismo e voz: até 200 caracteres (o sorteio usa o texto mesmo assim)." type="textLength" errorStyle="warning" operator="lessThanOrEqual">
      <formula1>200</formula1>
    </dataValidation>
    <dataValidation sqref="H357 H358 H359 H360 H361 H362 H363 H364 H365 H366 H367 H368 H369 H371 H372 H373 H374 H375 H376 H377 H378 H379 H380 H381 H382 H383 H385 H386 H387 H388 H389 H390 H391 H392 H393 H394 H395 H396 H397 H399 H400 H401 H402 H403 H404 H405 H406 H407 H408 H409 H410 H411 H413 H414 H415 H416 H417 H418 H419 H420 H421 H422 H423 H424 H425 H427 H428 H429 H430 H431 H432 H433 H434 H435 H436 H437 H438 H439 H441 H442 H443 H444 H445 H446 H447 H448 H449 H450 H451 H452 H453 H455 H456 H457 H458 H459 H460 H461 H462 H463" showDropDown="0" showInputMessage="0" showErrorMessage="1" allowBlank="1" errorTitle="Texto longo" error="Caminho do NPC (peso): até 200 caracteres (o sorteio usa o texto mesmo assim)." type="textLength" errorStyle="warning" operator="lessThanOrEqual">
      <formula1>200</formula1>
    </dataValidation>
    <dataValidation sqref="I357 I358 I359 I360 I361 I362 I363 I364 I365 I366 I367 I368 I369 I371 I372 I373 I374 I375 I376 I377 I378 I379 I380 I381 I382 I383 I385 I386 I387 I388 I389 I390 I391 I392 I393 I394 I395 I396 I397 I399 I400 I401 I402 I403 I404 I405 I406 I407 I408 I409 I410 I411 I413 I414 I415 I416 I417 I418 I419 I420 I421 I422 I423 I424 I425 I427 I428 I429 I430 I431 I432 I433 I434 I435 I436 I437 I438 I439 I441 I442 I443 I444 I445 I446 I447 I448 I449 I450 I451 I452 I453 I455 I456 I457 I458 I459 I460 I461 I462 I463" showDropDown="0" showInputMessage="0" showErrorMessage="1" allowBlank="1" errorTitle="Texto longo" error="Atitude com o grupo: até 200 caracteres (o sorteio usa o texto mesmo assim)." type="textLength" errorStyle="warning" operator="lessThanOrEqual">
      <formula1>200</formula1>
    </dataValidation>
    <dataValidation sqref="J357 J358 J359 J360 J361 J362 J363 J364 J365 J366 J367 J368 J369 J371 J372 J373 J374 J375 J376 J377 J378 J379 J380 J381 J382 J383 J385 J386 J387 J388 J389 J390 J391 J392 J393 J394 J395 J396 J397 J399 J400 J401 J402 J403 J404 J405 J406 J407 J408 J409 J410 J411 J413 J414 J415 J416 J417 J418 J419 J420 J421 J422 J423 J424 J425 J427 J428 J429 J430 J431 J432 J433 J434 J435 J436 J437 J438 J439 J441 J442 J443 J444 J445 J446 J447 J448 J449 J450 J451 J452 J453 J455 J456 J457 J458 J459 J460 J461 J462 J463" showDropDown="0" showInputMessage="0" showErrorMessage="1" allowBlank="1" errorTitle="Texto longo" error="Gancho do NPC: até 200 caracteres (o sorteio usa o texto mesmo assim)." type="textLength" errorStyle="warning" operator="lessThanOrEqual">
      <formula1>200</formula1>
    </dataValidation>
    <dataValidation sqref="B472 B473 B474 B475 B476 B477 B478 B479 B480 B481 B482 B483 B484 B486 B487 B488 B489 B490 B491 B492 B493 B494 B495 B496 B497 B498 B500 B501 B502 B503 B504 B505 B506 B507 B508 B509 B510 B511 B512 B514 B515 B516 B517 B518 B519 B520 B521 B522 B523 B524 B525 B526 B528 B529 B530 B531 B532 B533 B534 B535 B536 B537 B538 B539 B540 B542 B543 B544 B545 B546 B547 B548 B549 B550 B551 B552 B553 B554 B556 B557 B558 B559 B560 B561 B562 B563 B564 B565 B566 B567 B568 B570 B571 B572 B573 B574 B575 B576 B577 B578" showDropDown="0" showInputMessage="0" showErrorMessage="1" allowBlank="1" errorTitle="Texto longo" error="Caminho (motivação): até 200 caracteres (o sorteio usa o texto mesmo assim)." type="textLength" errorStyle="warning" operator="lessThanOrEqual">
      <formula1>200</formula1>
    </dataValidation>
    <dataValidation sqref="C472 C473 C474 C475 C476 C477 C478 C479 C480 C481 C482 C483 C484 C486 C487 C488 C489 C490 C491 C492 C493 C494 C495 C496 C497 C498 C500 C501 C502 C503 C504 C505 C506 C507 C508 C509 C510 C511 C512 C514 C515 C516 C517 C518 C519 C520 C521 C522 C523 C524 C525 C526 C528 C529 C530 C531 C532 C533 C534 C535 C536 C537 C538 C539 C540 C542 C543 C544 C545 C546 C547 C548 C549 C550 C551 C552 C553 C554 C556 C557 C558 C559 C560 C561 C562 C563 C564 C565 C566 C567 C568 C570 C571 C572 C573 C574 C575 C576 C577 C578" showDropDown="0" showInputMessage="0" showErrorMessage="1" allowBlank="1" errorTitle="Texto longo" error="Motivação por Caminho: até 200 caracteres (o sorteio usa o texto mesmo assim)." type="textLength" errorStyle="warning" operator="lessThanOrEqual">
      <formula1>200</formula1>
    </dataValidation>
    <dataValidation sqref="D472 D473 D474 D475 D476 D477 D478 D479 D480 D481 D482 D483 D484 D486 D487 D488 D489 D490 D491 D492 D493 D494 D495 D496 D497 D498 D500 D501 D502 D503 D504 D505 D506 D507 D508 D509 D510 D511 D512 D514 D515 D516 D517 D518 D519 D520 D521 D522 D523 D524 D525 D526 D528 D529 D530 D531 D532 D533 D534 D535 D536 D537 D538 D539 D540 D542 D543 D544 D545 D546 D547 D548 D549 D550 D551 D552 D553 D554 D556 D557 D558 D559 D560 D561 D562 D563 D564 D565 D566 D567 D568 D570 D571 D572 D573 D574 D575 D576 D577 D578" showDropDown="0" showInputMessage="0" showErrorMessage="1" allowBlank="1" errorTitle="Texto longo" error="Tipo (objetivo): até 200 caracteres (o sorteio usa o texto mesmo assim)." type="textLength" errorStyle="warning" operator="lessThanOrEqual">
      <formula1>200</formula1>
    </dataValidation>
    <dataValidation sqref="E472 E473 E474 E475 E476 E477 E478 E479 E480 E481 E482 E483 E484 E486 E487 E488 E489 E490 E491 E492 E493 E494 E495 E496 E497 E498 E500 E501 E502 E503 E504 E505 E506 E507 E508 E509 E510 E511 E512 E514 E515 E516 E517 E518 E519 E520 E521 E522 E523 E524 E525 E526 E528 E529 E530 E531 E532 E533 E534 E535 E536 E537 E538 E539 E540 E542 E543 E544 E545 E546 E547 E548 E549 E550 E551 E552 E553 E554 E556 E557 E558 E559 E560 E561 E562 E563 E564 E565 E566 E567 E568 E570 E571 E572 E573 E574 E575 E576 E577 E578" showDropDown="0" showInputMessage="0" showErrorMessage="1" allowBlank="1" errorTitle="Texto longo" error="Objetivo por tipo: até 200 caracteres (o sorteio usa o texto mesmo assim)." type="textLength" errorStyle="warning" operator="lessThanOrEqual">
      <formula1>200</formula1>
    </dataValidation>
    <dataValidation sqref="F472 F473 F474 F475 F476 F477 F478 F479 F480 F481 F482 F483 F484 F486 F487 F488 F489 F490 F491 F492 F493 F494 F495 F496 F497 F498 F500 F501 F502 F503 F504 F505 F506 F507 F508 F509 F510 F511 F512 F514 F515 F516 F517 F518 F519 F520 F521 F522 F523 F524 F525 F526 F528 F529 F530 F531 F532 F533 F534 F535 F536 F537 F538 F539 F540 F542 F543 F544 F545 F546 F547 F548 F549 F550 F551 F552 F553 F554 F556 F557 F558 F559 F560 F561 F562 F563 F564 F565 F566 F567 F568 F570 F571 F572 F573 F574 F575 F576 F577 F578" showDropDown="0" showInputMessage="0" showErrorMessage="1" allowBlank="1" errorTitle="Texto longo" error="Tipo de aventura: até 200 caracteres (o sorteio usa o texto mesmo assim)." type="textLength" errorStyle="warning" operator="lessThanOrEqual">
      <formula1>200</formula1>
    </dataValidation>
    <dataValidation sqref="G472 G473 G474 G475 G476 G477 G478 G479 G480 G481 G482 G483 G484 G486 G487 G488 G489 G490 G491 G492 G493 G494 G495 G496 G497 G498 G500 G501 G502 G503 G504 G505 G506 G507 G508 G509 G510 G511 G512 G514 G515 G516 G517 G518 G519 G520 G521 G522 G523 G524 G525 G526 G528 G529 G530 G531 G532 G533 G534 G535 G536 G537 G538 G539 G540 G542 G543 G544 G545 G546 G547 G548 G549 G550 G551 G552 G553 G554 G556 G557 G558 G559 G560 G561 G562 G563 G564 G565 G566 G567 G568 G570 G571 G572 G573 G574 G575 G576 G577 G578" showDropDown="0" showInputMessage="0" showErrorMessage="1" allowBlank="1" errorTitle="Texto longo" error="Gancho de aventura: até 200 caracteres (o sorteio usa o texto mesmo assim)." type="textLength" errorStyle="warning" operator="lessThanOrEqual">
      <formula1>200</formula1>
    </dataValidation>
    <dataValidation sqref="H472 H473 H474 H475 H476 H477 H478 H479 H480 H481 H482 H483 H484 H486 H487 H488 H489 H490 H491 H492 H493 H494 H495 H496 H497 H498 H500 H501 H502 H503 H504 H505 H506 H507 H508 H509 H510 H511 H512 H514 H515 H516 H517 H518 H519 H520 H521 H522 H523 H524 H525 H526 H528 H529 H530 H531 H532 H533 H534 H535 H536 H537 H538 H539 H540 H542 H543 H544 H545 H546 H547 H548 H549 H550 H551 H552 H553 H554 H556 H557 H558 H559 H560 H561 H562 H563 H564 H565 H566 H567 H568 H570 H571 H572 H573 H574 H575 H576 H577 H578" showDropDown="0" showInputMessage="0" showErrorMessage="1" allowBlank="1" errorTitle="Texto longo" error="Local (sabor): até 200 caracteres (o sorteio usa o texto mesmo assim)." type="textLength" errorStyle="warning" operator="lessThanOrEqual">
      <formula1>200</formula1>
    </dataValidation>
    <dataValidation sqref="I472 I473 I474 I475 I476 I477 I478 I479 I480 I481 I482 I483 I484 I486 I487 I488 I489 I490 I491 I492 I493 I494 I495 I496 I497 I498 I500 I501 I502 I503 I504 I505 I506 I507 I508 I509 I510 I511 I512 I514 I515 I516 I517 I518 I519 I520 I521 I522 I523 I524 I525 I526 I528 I529 I530 I531 I532 I533 I534 I535 I536 I537 I538 I539 I540 I542 I543 I544 I545 I546 I547 I548 I549 I550 I551 I552 I553 I554 I556 I557 I558 I559 I560 I561 I562 I563 I564 I565 I566 I567 I568 I570 I571 I572 I573 I574 I575 I576 I577 I578" showDropDown="0" showInputMessage="0" showErrorMessage="1" allowBlank="1" errorTitle="Texto longo" error="Complicação: até 200 caracteres (o sorteio usa o texto mesmo assim)." type="textLength" errorStyle="warning" operator="lessThanOrEqual">
      <formula1>200</formula1>
    </dataValidation>
    <dataValidation sqref="J472 J473 J474 J475 J476 J477 J478 J479 J480 J481 J482 J483 J484 J486 J487 J488 J489 J490 J491 J492 J493 J494 J495 J496 J497 J498 J500 J501 J502 J503 J504 J505 J506 J507 J508 J509 J510 J511 J512 J514 J515 J516 J517 J518 J519 J520 J521 J522 J523 J524 J525 J526 J528 J529 J530 J531 J532 J533 J534 J535 J536 J537 J538 J539 J540 J542 J543 J544 J545 J546 J547 J548 J549 J550 J551 J552 J553 J554 J556 J557 J558 J559 J560 J561 J562 J563 J564 J565 J566 J567 J568 J570 J571 J572 J573 J574 J575 J576 J577 J578" showDropDown="0" showInputMessage="0" showErrorMessage="1" allowBlank="1" errorTitle="Texto longo" error="Reviravolta: até 200 caracteres (o sorteio usa o texto mesmo assim)." type="textLength" errorStyle="warning" operator="lessThanOrEqual">
      <formula1>200</formula1>
    </dataValidation>
    <dataValidation sqref="B587 B588 B589 B590 B591 B592 B593 B594 B595 B596 B597 B598 B599 B601 B602 B603 B604 B605 B606 B607 B608 B609 B610 B611 B612 B613 B615 B616 B617 B618 B619 B620 B621 B622 B623 B624 B625 B626 B627 B629 B630 B631 B632 B633 B634 B635 B636 B637 B638 B639 B640 B641 B643 B644 B645 B646 B647 B648 B649 B650 B651 B652 B653 B654 B655 B657 B658 B659 B660 B661 B662 B663 B664 B665 B666 B667 B668 B669 B671 B672 B673 B674 B675 B676 B677 B678 B679 B680 B681 B682 B683 B685 B686 B687 B688 B689 B690 B691 B692 B693" showDropDown="0" showInputMessage="0" showErrorMessage="1" allowBlank="1" errorTitle="Texto longo" error="Prazo ou risco: até 200 caracteres (o sorteio usa o texto mesmo assim)." type="textLength" errorStyle="warning" operator="lessThanOrEqual">
      <formula1>200</formula1>
    </dataValidation>
    <dataValidation sqref="B702 B703 B704 B705 B706 B707 B708 B709 B710 B711 B712 B713 B714 B716 B717 B718 B719 B720 B721 B722 B723 B724 B725 B726 B727 B728 B730 B731 B732 B733 B734 B735 B736 B737 B738 B739 B740 B741 B742 B744 B745 B746 B747 B748 B749 B750 B751 B752 B753 B754 B755 B756 B758 B759 B760 B761 B762 B763 B764 B765 B766 B767 B768 B769 B770 B772 B773 B774 B775 B776 B777 B778 B779 B780 B781 B782 B783 B784 B786 B787 B788 B789 B790 B791 B792 B793 B794 B795 B796 B797 B798 B800 B801 B802 B803 B804 B805 B806 B807 B808" showDropDown="0" showInputMessage="0" showErrorMessage="1" allowBlank="1" errorTitle="Texto longo" error="Pista: até 200 caracteres (o sorteio usa o texto mesmo assim)." type="textLength" errorStyle="warning" operator="lessThanOrEqual">
      <formula1>200</formula1>
    </dataValidation>
    <dataValidation sqref="C702 C703 C704 C705 C706 C707 C708 C709 C710 C711 C712 C713 C714 C716 C717 C718 C719 C720 C721 C722 C723 C724 C725 C726 C727 C728 C730 C731 C732 C733 C734 C735 C736 C737 C738 C739 C740 C741 C742 C744 C745 C746 C747 C748 C749 C750 C751 C752 C753 C754 C755 C756 C758 C759 C760 C761 C762 C763 C764 C765 C766 C767 C768 C769 C770 C772 C773 C774 C775 C776 C777 C778 C779 C780 C781 C782 C783 C784 C786 C787 C788 C789 C790 C791 C792 C793 C794 C795 C796 C797 C798 C800 C801 C802 C803 C804 C805 C806 C807 C808" showDropDown="0" showInputMessage="0" showErrorMessage="1" allowBlank="1" errorTitle="Texto longo" error="Bugiganga: até 200 caracteres (o sorteio usa o texto mesmo assim)." type="textLength" errorStyle="warning" operator="lessThanOrEqual">
      <formula1>200</formula1>
    </dataValidation>
    <dataValidation sqref="D702 D703 D704 D705 D706 D707 D708 D709 D710 D711 D712 D713 D714 D716 D717 D718 D719 D720 D721 D722 D723 D724 D725 D726 D727 D728 D730 D731 D732 D733 D734 D735 D736 D737 D738 D739 D740 D741 D742 D744 D745 D746 D747 D748 D749 D750 D751 D752 D753 D754 D755 D756 D758 D759 D760 D761 D762 D763 D764 D765 D766 D767 D768 D769 D770 D772 D773 D774 D775 D776 D777 D778 D779 D780 D781 D782 D783 D784 D786 D787 D788 D789 D790 D791 D792 D793 D794 D795 D796 D797 D798 D800 D801 D802 D803 D804 D805 D806 D807 D808" showDropDown="0" showInputMessage="0" showErrorMessage="1" allowBlank="1" errorTitle="Texto longo" error="Nome do Cone (início): até 200 caracteres (o sorteio usa o texto mesmo assim)." type="textLength" errorStyle="warning" operator="lessThanOrEqual">
      <formula1>200</formula1>
    </dataValidation>
    <dataValidation sqref="E702 E703 E704 E705 E706 E707 E708 E709 E710 E711 E712 E713 E714 E716 E717 E718 E719 E720 E721 E722 E723 E724 E725 E726 E727 E728 E730 E731 E732 E733 E734 E735 E736 E737 E738 E739 E740 E741 E742 E744 E745 E746 E747 E748 E749 E750 E751 E752 E753 E754 E755 E756 E758 E759 E760 E761 E762 E763 E764 E765 E766 E767 E768 E769 E770 E772 E773 E774 E775 E776 E777 E778 E779 E780 E781 E782 E783 E784 E786 E787 E788 E789 E790 E791 E792 E793 E794 E795 E796 E797 E798 E800 E801 E802 E803 E804 E805 E806 E807 E808" showDropDown="0" showInputMessage="0" showErrorMessage="1" allowBlank="1" errorTitle="Texto longo" error="Nome do Cone (fim): até 200 caracteres (o sorteio usa o texto mesmo assim)." type="textLength" errorStyle="warning" operator="lessThanOrEqual">
      <formula1>200</formula1>
    </dataValidation>
    <dataValidation sqref="F702 F703 F704 F705 F706 F707 F708 F709 F710 F711 F712 F713 F714 F716 F717 F718 F719 F720 F721 F722 F723 F724 F725 F726 F727 F728 F730 F731 F732 F733 F734 F735 F736 F737 F738 F739 F740 F741 F742 F744 F745 F746 F747 F748 F749 F750 F751 F752 F753 F754 F755 F756 F758 F759 F760 F761 F762 F763 F764 F765 F766 F767 F768 F769 F770 F772 F773 F774 F775 F776 F777 F778 F779 F780 F781 F782 F783 F784 F786 F787 F788 F789 F790 F791 F792 F793 F794 F795 F796 F797 F798 F800 F801 F802 F803 F804 F805 F806 F807 F808" showDropDown="0" showInputMessage="0" showErrorMessage="1" allowBlank="1" errorTitle="Texto longo" error="Memória do Cone: até 200 caracteres (o sorteio usa o texto mesmo assim)." type="textLength" errorStyle="warning" operator="lessThanOrEqual">
      <formula1>200</formula1>
    </dataValidation>
    <dataValidation sqref="G702 G703 G704 G705 G706 G707 G708 G709 G710 G711 G712 G713 G714 G716 G717 G718 G719 G720 G721 G722 G723 G724 G725 G726 G727 G728 G730 G731 G732 G733 G734 G735 G736 G737 G738 G739 G740 G741 G742 G744 G745 G746 G747 G748 G749 G750 G751 G752 G753 G754 G755 G756 G758 G759 G760 G761 G762 G763 G764 G765 G766 G767 G768 G769 G770 G772 G773 G774 G775 G776 G777 G778 G779 G780 G781 G782 G783 G784 G786 G787 G788 G789 G790 G791 G792 G793 G794 G795 G796 G797 G798 G800 G801 G802 G803 G804 G805 G806 G807 G808" showDropDown="0" showInputMessage="0" showErrorMessage="1" allowBlank="1" errorTitle="Texto longo" error="Gatilho do Efeito Condicional: até 200 caracteres (o sorteio usa o texto mesmo assim)." type="textLength" errorStyle="warning" operator="lessThanOrEqual">
      <formula1>200</formula1>
    </dataValidation>
    <dataValidation sqref="H702 H703 H704 H705 H706 H707 H708 H709 H710 H711 H712 H713 H714 H716 H717 H718 H719 H720 H721 H722 H723 H724 H725 H726 H727 H728 H730 H731 H732 H733 H734 H735 H736 H737 H738 H739 H740 H741 H742 H744 H745 H746 H747 H748 H749 H750 H751 H752 H753 H754 H755 H756 H758 H759 H760 H761 H762 H763 H764 H765 H766 H767 H768 H769 H770 H772 H773 H774 H775 H776 H777 H778 H779 H780 H781 H782 H783 H784 H786 H787 H788 H789 H790 H791 H792 H793 H794 H795 H796 H797 H798 H800 H801 H802 H803 H804 H805 H806 H807 H808" showDropDown="0" showInputMessage="0" showErrorMessage="1" allowBlank="1" errorTitle="Texto longo" error="Nome do Conjunto: até 200 caracteres (o sorteio usa o texto mesmo assim)." type="textLength" errorStyle="warning" operator="lessThanOrEqual">
      <formula1>200</formula1>
    </dataValidation>
    <dataValidation sqref="I702 I703 I704 I705 I706 I707 I708 I709 I710 I711 I712 I713 I714 I716 I717 I718 I719 I720 I721 I722 I723 I724 I725 I726 I727 I728 I730 I731 I732 I733 I734 I735 I736 I737 I738 I739 I740 I741 I742 I744 I745 I746 I747 I748 I749 I750 I751 I752 I753 I754 I755 I756 I758 I759 I760 I761 I762 I763 I764 I765 I766 I767 I768 I769 I770 I772 I773 I774 I775 I776 I777 I778 I779 I780 I781 I782 I783 I784 I786 I787 I788 I789 I790 I791 I792 I793 I794 I795 I796 I797 I798 I800 I801 I802 I803 I804 I805 I806 I807 I808" showDropDown="0" showInputMessage="0" showErrorMessage="1" allowBlank="1" errorTitle="Texto longo" error="Origem do Conjunto: até 200 caracteres (o sorteio usa o texto mesmo assim)." type="textLength" errorStyle="warning" operator="lessThanOrEqual">
      <formula1>200</formula1>
    </dataValidation>
    <dataValidation sqref="J702 J703 J704 J705 J706 J707 J708 J709 J710 J711 J712 J713 J714 J716 J717 J718 J719 J720 J721 J722 J723 J724 J725 J726 J727 J728 J730 J731 J732 J733 J734 J735 J736 J737 J738 J739 J740 J741 J742 J744 J745 J746 J747 J748 J749 J750 J751 J752 J753 J754 J755 J756 J758 J759 J760 J761 J762 J763 J764 J765 J766 J767 J768 J769 J770 J772 J773 J774 J775 J776 J777 J778 J779 J780 J781 J782 J783 J784 J786 J787 J788 J789 J790 J791 J792 J793 J794 J795 J796 J797 J798 J800 J801 J802 J803 J804 J805 J806 J807 J808" showDropDown="0" showInputMessage="0" showErrorMessage="1" allowBlank="1" errorTitle="Texto longo" error="Efeito de 4 peças: até 200 caracteres (o sorteio usa o texto mesmo assim)." type="textLength" errorStyle="warning" operator="lessThanOrEqual">
      <formula1>200</formula1>
    </dataValidation>
    <dataValidation sqref="B817 B818 B819 B820 B821 B822 B823 B824 B825 B826 B827 B828 B829 B831 B832 B833 B834 B835 B836 B837 B838 B839 B840 B841 B842 B843 B845 B846 B847 B848 B849 B850 B851 B852 B853 B854 B855 B856 B857 B859 B860 B861 B862 B863 B864 B865 B866 B867 B868 B869 B870 B871 B873 B874 B875 B876 B877 B878 B879 B880 B881 B882 B883 B884 B885 B887 B888 B889 B890 B891 B892 B893 B894 B895 B896 B897 B898 B899 B901 B902 B903 B904 B905 B906 B907 B908 B909 B910 B911 B912 B913 B915 B916 B917 B918 B919 B920 B921 B922 B923" showDropDown="0" showInputMessage="0" showErrorMessage="1" allowBlank="1" errorTitle="Texto longo" error="Nome de lugar (início): até 200 caracteres (o sorteio usa o texto mesmo assim)." type="textLength" errorStyle="warning" operator="lessThanOrEqual">
      <formula1>200</formula1>
    </dataValidation>
    <dataValidation sqref="C817 C818 C819 C820 C821 C822 C823 C824 C825 C826 C827 C828 C829 C831 C832 C833 C834 C835 C836 C837 C838 C839 C840 C841 C842 C843 C845 C846 C847 C848 C849 C850 C851 C852 C853 C854 C855 C856 C857 C859 C860 C861 C862 C863 C864 C865 C866 C867 C868 C869 C870 C871 C873 C874 C875 C876 C877 C878 C879 C880 C881 C882 C883 C884 C885 C887 C888 C889 C890 C891 C892 C893 C894 C895 C896 C897 C898 C899 C901 C902 C903 C904 C905 C906 C907 C908 C909 C910 C911 C912 C913 C915 C916 C917 C918 C919 C920 C921 C922 C923" showDropDown="0" showInputMessage="0" showErrorMessage="1" allowBlank="1" errorTitle="Texto longo" error="Nome de lugar (fim): até 200 caracteres (o sorteio usa o texto mesmo assim)." type="textLength" errorStyle="warning" operator="lessThanOrEqual">
      <formula1>200</formula1>
    </dataValidation>
    <dataValidation sqref="D817 D818 D819 D820 D821 D822 D823 D824 D825 D826 D827 D828 D829 D831 D832 D833 D834 D835 D836 D837 D838 D839 D840 D841 D842 D843 D845 D846 D847 D848 D849 D850 D851 D852 D853 D854 D855 D856 D857 D859 D860 D861 D862 D863 D864 D865 D866 D867 D868 D869 D870 D871 D873 D874 D875 D876 D877 D878 D879 D880 D881 D882 D883 D884 D885 D887 D888 D889 D890 D891 D892 D893 D894 D895 D896 D897 D898 D899 D901 D902 D903 D904 D905 D906 D907 D908 D909 D910 D911 D912 D913 D915 D916 D917 D918 D919 D920 D921 D922 D923" showDropDown="0" showInputMessage="0" showErrorMessage="1" allowBlank="1" errorTitle="Texto longo" error="Nome de nave (início): até 200 caracteres (o sorteio usa o texto mesmo assim)." type="textLength" errorStyle="warning" operator="lessThanOrEqual">
      <formula1>200</formula1>
    </dataValidation>
    <dataValidation sqref="E817 E818 E819 E820 E821 E822 E823 E824 E825 E826 E827 E828 E829 E831 E832 E833 E834 E835 E836 E837 E838 E839 E840 E841 E842 E843 E845 E846 E847 E848 E849 E850 E851 E852 E853 E854 E855 E856 E857 E859 E860 E861 E862 E863 E864 E865 E866 E867 E868 E869 E870 E871 E873 E874 E875 E876 E877 E878 E879 E880 E881 E882 E883 E884 E885 E887 E888 E889 E890 E891 E892 E893 E894 E895 E896 E897 E898 E899 E901 E902 E903 E904 E905 E906 E907 E908 E909 E910 E911 E912 E913 E915 E916 E917 E918 E919 E920 E921 E922 E923" showDropDown="0" showInputMessage="0" showErrorMessage="1" allowBlank="1" errorTitle="Texto longo" error="Nome de nave (fim): até 200 caracteres (o sorteio usa o texto mesmo assim)." type="textLength" errorStyle="warning" operator="lessThanOrEqual">
      <formula1>200</formula1>
    </dataValidation>
    <dataValidation sqref="F817 F818 F819 F820 F821 F822 F823 F824 F825 F826 F827 F828 F829 F831 F832 F833 F834 F835 F836 F837 F838 F839 F840 F841 F842 F843 F845 F846 F847 F848 F849 F850 F851 F852 F853 F854 F855 F856 F857 F859 F860 F861 F862 F863 F864 F865 F866 F867 F868 F869 F870 F871 F873 F874 F875 F876 F877 F878 F879 F880 F881 F882 F883 F884 F885 F887 F888 F889 F890 F891 F892 F893 F894 F895 F896 F897 F898 F899 F901 F902 F903 F904 F905 F906 F907 F908 F909 F910 F911 F912 F913 F915 F916 F917 F918 F919 F920 F921 F922 F923" showDropDown="0" showInputMessage="0" showErrorMessage="1" allowBlank="1" errorTitle="Texto longo" error="Nome de facção (início): até 200 caracteres (o sorteio usa o texto mesmo assim)." type="textLength" errorStyle="warning" operator="lessThanOrEqual">
      <formula1>200</formula1>
    </dataValidation>
    <dataValidation sqref="G817 G818 G819 G820 G821 G822 G823 G824 G825 G826 G827 G828 G829 G831 G832 G833 G834 G835 G836 G837 G838 G839 G840 G841 G842 G843 G845 G846 G847 G848 G849 G850 G851 G852 G853 G854 G855 G856 G857 G859 G860 G861 G862 G863 G864 G865 G866 G867 G868 G869 G870 G871 G873 G874 G875 G876 G877 G878 G879 G880 G881 G882 G883 G884 G885 G887 G888 G889 G890 G891 G892 G893 G894 G895 G896 G897 G898 G899 G901 G902 G903 G904 G905 G906 G907 G908 G909 G910 G911 G912 G913 G915 G916 G917 G918 G919 G920 G921 G922 G923" showDropDown="0" showInputMessage="0" showErrorMessage="1" allowBlank="1" errorTitle="Texto longo" error="Nome de facção (fim): até 200 caracteres (o sorteio usa o texto mesmo assim)." type="textLength" errorStyle="warning" operator="lessThanOrEqual">
      <formula1>200</formula1>
    </dataValidation>
    <dataValidation sqref="H817 H818 H819 H820 H821 H822 H823 H824 H825 H826 H827 H828 H829 H831 H832 H833 H834 H835 H836 H837 H838 H839 H840 H841 H842 H843 H845 H846 H847 H848 H849 H850 H851 H852 H853 H854 H855 H856 H857 H859 H860 H861 H862 H863 H864 H865 H866 H867 H868 H869 H870 H871 H873 H874 H875 H876 H877 H878 H879 H880 H881 H882 H883 H884 H885 H887 H888 H889 H890 H891 H892 H893 H894 H895 H896 H897 H898 H899 H901 H902 H903 H904 H905 H906 H907 H908 H909 H910 H911 H912 H913 H915 H916 H917 H918 H919 H920 H921 H922 H923" showDropDown="0" showInputMessage="0" showErrorMessage="1" allowBlank="1" errorTitle="Texto longo" error="Organização: até 200 caracteres (o sorteio usa o texto mesmo assim)." type="textLength" errorStyle="warning" operator="lessThanOrEqual">
      <formula1>200</formula1>
    </dataValidation>
    <dataValidation sqref="I817 I818 I819 I820 I821 I822 I823 I824 I825 I826 I827 I828 I829 I831 I832 I833 I834 I835 I836 I837 I838 I839 I840 I841 I842 I843 I845 I846 I847 I848 I849 I850 I851 I852 I853 I854 I855 I856 I857 I859 I860 I861 I862 I863 I864 I865 I866 I867 I868 I869 I870 I871 I873 I874 I875 I876 I877 I878 I879 I880 I881 I882 I883 I884 I885 I887 I888 I889 I890 I891 I892 I893 I894 I895 I896 I897 I898 I899 I901 I902 I903 I904 I905 I906 I907 I908 I909 I910 I911 I912 I913 I915 I916 I917 I918 I919 I920 I921 I922 I923" showDropDown="0" showInputMessage="0" showErrorMessage="1" allowBlank="1" errorTitle="Texto longo" error="Organização: o que oferece: até 200 caracteres (o sorteio usa o texto mesmo assim)." type="textLength" errorStyle="warning" operator="lessThanOrEqual">
      <formula1>200</formula1>
    </dataValidation>
    <dataValidation sqref="J817 J818 J819 J820 J821 J822 J823 J824 J825 J826 J827 J828 J829 J831 J832 J833 J834 J835 J836 J837 J838 J839 J840 J841 J842 J843 J845 J846 J847 J848 J849 J850 J851 J852 J853 J854 J855 J856 J857 J859 J860 J861 J862 J863 J864 J865 J866 J867 J868 J869 J870 J871 J873 J874 J875 J876 J877 J878 J879 J880 J881 J882 J883 J884 J885 J887 J888 J889 J890 J891 J892 J893 J894 J895 J896 J897 J898 J899 J901 J902 J903 J904 J905 J906 J907 J908 J909 J910 J911 J912 J913 J915 J916 J917 J918 J919 J920 J921 J922 J923" showDropDown="0" showInputMessage="0" showErrorMessage="1" allowBlank="1" errorTitle="Texto longo" error="Organização: o que cobra: até 200 caracteres (o sorteio usa o texto mesmo assim)." type="textLength" errorStyle="warning" operator="lessThanOrEqual">
      <formula1>200</formula1>
    </dataValidation>
    <dataValidation sqref="B932 B933 B934 B935 B936 B937 B938 B939 B940 B941 B942 B943 B944 B946 B947 B948 B949 B950 B951 B952 B953 B954 B955 B956 B957 B958 B960 B961 B962 B963 B964 B965 B966 B967 B968 B969 B970 B971 B972 B974 B975 B976 B977 B978 B979 B980 B981 B982 B983 B984 B985 B986 B988 B989 B990 B991 B992 B993 B994 B995 B996 B997 B998 B999 B1000 B1002 B1003 B1004 B1005 B1006 B1007 B1008 B1009 B1010 B1011 B1012 B1013 B1014 B1016 B1017 B1018 B1019 B1020 B1021 B1022 B1023 B1024 B1025 B1026 B1027 B1028 B1030 B1031 B1032 B1033 B1034 B1035 B1036 B1037 B1038" showDropDown="0" showInputMessage="0" showErrorMessage="1" allowBlank="1" errorTitle="Texto longo" error="Tipo de mundo: até 200 caracteres (o sorteio usa o texto mesmo assim)." type="textLength" errorStyle="warning" operator="lessThanOrEqual">
      <formula1>200</formula1>
    </dataValidation>
    <dataValidation sqref="C932 C933 C934 C935 C936 C937 C938 C939 C940 C941 C942 C943 C944 C946 C947 C948 C949 C950 C951 C952 C953 C954 C955 C956 C957 C958 C960 C961 C962 C963 C964 C965 C966 C967 C968 C969 C970 C971 C972 C974 C975 C976 C977 C978 C979 C980 C981 C982 C983 C984 C985 C986 C988 C989 C990 C991 C992 C993 C994 C995 C996 C997 C998 C999 C1000 C1002 C1003 C1004 C1005 C1006 C1007 C1008 C1009 C1010 C1011 C1012 C1013 C1014 C1016 C1017 C1018 C1019 C1020 C1021 C1022 C1023 C1024 C1025 C1026 C1027 C1028 C1030 C1031 C1032 C1033 C1034 C1035 C1036 C1037 C1038" showDropDown="0" showInputMessage="0" showErrorMessage="1" allowBlank="1" errorTitle="Texto longo" error="Condição marcante: até 200 caracteres (o sorteio usa o texto mesmo assim)." type="textLength" errorStyle="warning" operator="lessThanOrEqual">
      <formula1>200</formula1>
    </dataValidation>
    <dataValidation sqref="D932 D933 D934 D935 D936 D937 D938 D939 D940 D941 D942 D943 D944 D946 D947 D948 D949 D950 D951 D952 D953 D954 D955 D956 D957 D958 D960 D961 D962 D963 D964 D965 D966 D967 D968 D969 D970 D971 D972 D974 D975 D976 D977 D978 D979 D980 D981 D982 D983 D984 D985 D986 D988 D989 D990 D991 D992 D993 D994 D995 D996 D997 D998 D999 D1000 D1002 D1003 D1004 D1005 D1006 D1007 D1008 D1009 D1010 D1011 D1012 D1013 D1014 D1016 D1017 D1018 D1019 D1020 D1021 D1022 D1023 D1024 D1025 D1026 D1027 D1028 D1030 D1031 D1032 D1033 D1034 D1035 D1036 D1037 D1038" showDropDown="0" showInputMessage="0" showErrorMessage="1" allowBlank="1" errorTitle="Texto longo" error="O que fazem de manhã (27.17): até 200 caracteres (o sorteio usa o texto mesmo assim)." type="textLength" errorStyle="warning" operator="lessThanOrEqual">
      <formula1>200</formula1>
    </dataValidation>
    <dataValidation sqref="E932 E933 E934 E935 E936 E937 E938 E939 E940 E941 E942 E943 E944 E946 E947 E948 E949 E950 E951 E952 E953 E954 E955 E956 E957 E958 E960 E961 E962 E963 E964 E965 E966 E967 E968 E969 E970 E971 E972 E974 E975 E976 E977 E978 E979 E980 E981 E982 E983 E984 E985 E986 E988 E989 E990 E991 E992 E993 E994 E995 E996 E997 E998 E999 E1000 E1002 E1003 E1004 E1005 E1006 E1007 E1008 E1009 E1010 E1011 E1012 E1013 E1014 E1016 E1017 E1018 E1019 E1020 E1021 E1022 E1023 E1024 E1025 E1026 E1027 E1028 E1030 E1031 E1032 E1033 E1034 E1035 E1036 E1037 E1038" showDropDown="0" showInputMessage="0" showErrorMessage="1" allowBlank="1" errorTitle="Texto longo" error="O que pararam de fazer (27.17): até 200 caracteres (o sorteio usa o texto mesmo assim)." type="textLength" errorStyle="warning" operator="lessThanOrEqual">
      <formula1>200</formula1>
    </dataValidation>
    <dataValidation sqref="F932 F933 F934 F935 F936 F937 F938 F939 F940 F941 F942 F943 F944 F946 F947 F948 F949 F950 F951 F952 F953 F954 F955 F956 F957 F958 F960 F961 F962 F963 F964 F965 F966 F967 F968 F969 F970 F971 F972 F974 F975 F976 F977 F978 F979 F980 F981 F982 F983 F984 F985 F986 F988 F989 F990 F991 F992 F993 F994 F995 F996 F997 F998 F999 F1000 F1002 F1003 F1004 F1005 F1006 F1007 F1008 F1009 F1010 F1011 F1012 F1013 F1014 F1016 F1017 F1018 F1019 F1020 F1021 F1022 F1023 F1024 F1025 F1026 F1027 F1028 F1030 F1031 F1032 F1033 F1034 F1035 F1036 F1037 F1038" showDropDown="0" showInputMessage="0" showErrorMessage="1" allowBlank="1" errorTitle="Texto longo" error="Presença: Stellaron ou Fragmentum (peso): até 200 caracteres (o sorteio usa o texto mesmo assim)." type="textLength" errorStyle="warning" operator="lessThanOrEqual">
      <formula1>200</formula1>
    </dataValidation>
    <dataValidation sqref="G932 G933 G934 G935 G936 G937 G938 G939 G940 G941 G942 G943 G944 G946 G947 G948 G949 G950 G951 G952 G953 G954 G955 G956 G957 G958 G960 G961 G962 G963 G964 G965 G966 G967 G968 G969 G970 G971 G972 G974 G975 G976 G977 G978 G979 G980 G981 G982 G983 G984 G985 G986 G988 G989 G990 G991 G992 G993 G994 G995 G996 G997 G998 G999 G1000 G1002 G1003 G1004 G1005 G1006 G1007 G1008 G1009 G1010 G1011 G1012 G1013 G1014 G1016 G1017 G1018 G1019 G1020 G1021 G1022 G1023 G1024 G1025 G1026 G1027 G1028 G1030 G1031 G1032 G1033 G1034 G1035 G1036 G1037 G1038" showDropDown="0" showInputMessage="0" showErrorMessage="1" allowBlank="1" errorTitle="Texto longo" error="Função da estação: até 200 caracteres (o sorteio usa o texto mesmo assim)." type="textLength" errorStyle="warning" operator="lessThanOrEqual">
      <formula1>200</formula1>
    </dataValidation>
    <dataValidation sqref="H932 H933 H934 H935 H936 H937 H938 H939 H940 H941 H942 H943 H944 H946 H947 H948 H949 H950 H951 H952 H953 H954 H955 H956 H957 H958 H960 H961 H962 H963 H964 H965 H966 H967 H968 H969 H970 H971 H972 H974 H975 H976 H977 H978 H979 H980 H981 H982 H983 H984 H985 H986 H988 H989 H990 H991 H992 H993 H994 H995 H996 H997 H998 H999 H1000 H1002 H1003 H1004 H1005 H1006 H1007 H1008 H1009 H1010 H1011 H1012 H1013 H1014 H1016 H1017 H1018 H1019 H1020 H1021 H1022 H1023 H1024 H1025 H1026 H1027 H1028 H1030 H1031 H1032 H1033 H1034 H1035 H1036 H1037 H1038" showDropDown="0" showInputMessage="0" showErrorMessage="1" allowBlank="1" errorTitle="Texto longo" error="Problema da estação: até 200 caracteres (o sorteio usa o texto mesmo assim)." type="textLength" errorStyle="warning" operator="lessThanOrEqual">
      <formula1>200</formula1>
    </dataValidation>
    <dataValidation sqref="I932 I933 I934 I935 I936 I937 I938 I939 I940 I941 I942 I943 I944 I946 I947 I948 I949 I950 I951 I952 I953 I954 I955 I956 I957 I958 I960 I961 I962 I963 I964 I965 I966 I967 I968 I969 I970 I971 I972 I974 I975 I976 I977 I978 I979 I980 I981 I982 I983 I984 I985 I986 I988 I989 I990 I991 I992 I993 I994 I995 I996 I997 I998 I999 I1000 I1002 I1003 I1004 I1005 I1006 I1007 I1008 I1009 I1010 I1011 I1012 I1013 I1014 I1016 I1017 I1018 I1019 I1020 I1021 I1022 I1023 I1024 I1025 I1026 I1027 I1028 I1030 I1031 I1032 I1033 I1034 I1035 I1036 I1037 I1038" showDropDown="0" showInputMessage="0" showErrorMessage="1" allowBlank="1" errorTitle="Texto longo" error="Classe da nave: até 200 caracteres (o sorteio usa o texto mesmo assim)." type="textLength" errorStyle="warning" operator="lessThanOrEqual">
      <formula1>200</formula1>
    </dataValidation>
    <dataValidation sqref="J932 J933 J934 J935 J936 J937 J938 J939 J940 J941 J942 J943 J944 J946 J947 J948 J949 J950 J951 J952 J953 J954 J955 J956 J957 J958 J960 J961 J962 J963 J964 J965 J966 J967 J968 J969 J970 J971 J972 J974 J975 J976 J977 J978 J979 J980 J981 J982 J983 J984 J985 J986 J988 J989 J990 J991 J992 J993 J994 J995 J996 J997 J998 J999 J1000 J1002 J1003 J1004 J1005 J1006 J1007 J1008 J1009 J1010 J1011 J1012 J1013 J1014 J1016 J1017 J1018 J1019 J1020 J1021 J1022 J1023 J1024 J1025 J1026 J1027 J1028 J1030 J1031 J1032 J1033 J1034 J1035 J1036 J1037 J1038" showDropDown="0" showInputMessage="0" showErrorMessage="1" allowBlank="1" errorTitle="Texto longo" error="Peculiaridade da nave: até 200 caracteres (o sorteio usa o texto mesmo assim)." type="textLength" errorStyle="warning" operator="lessThanOrEqual">
      <formula1>200</formula1>
    </dataValidation>
    <dataValidation sqref="B1047 B1048 B1049 B1050 B1051 B1052 B1053 B1054 B1055 B1056 B1057 B1058 B1059 B1061 B1062 B1063 B1064 B1065 B1066 B1067 B1068 B1069 B1070 B1071 B1072 B1073 B1075 B1076 B1077 B1078 B1079 B1080 B1081 B1082 B1083 B1084 B1085 B1086 B1087 B1089 B1090 B1091 B1092 B1093 B1094 B1095 B1096 B1097 B1098 B1099 B1100 B1101 B1103 B1104 B1105 B1106 B1107 B1108 B1109 B1110 B1111 B1112 B1113 B1114 B1115 B1117 B1118 B1119 B1120 B1121 B1122 B1123 B1124 B1125 B1126 B1127 B1128 B1129 B1131 B1132 B1133 B1134 B1135 B1136 B1137 B1138 B1139 B1140 B1141 B1142 B1143 B1145 B1146 B1147 B1148 B1149 B1150 B1151 B1152 B1153" showDropDown="0" showInputMessage="0" showErrorMessage="1" allowBlank="1" errorTitle="Texto longo" error="Facção: o que quer: até 200 caracteres (o sorteio usa o texto mesmo assim)." type="textLength" errorStyle="warning" operator="lessThanOrEqual">
      <formula1>200</formula1>
    </dataValidation>
    <dataValidation sqref="C1047 C1048 C1049 C1050 C1051 C1052 C1053 C1054 C1055 C1056 C1057 C1058 C1059 C1061 C1062 C1063 C1064 C1065 C1066 C1067 C1068 C1069 C1070 C1071 C1072 C1073 C1075 C1076 C1077 C1078 C1079 C1080 C1081 C1082 C1083 C1084 C1085 C1086 C1087 C1089 C1090 C1091 C1092 C1093 C1094 C1095 C1096 C1097 C1098 C1099 C1100 C1101 C1103 C1104 C1105 C1106 C1107 C1108 C1109 C1110 C1111 C1112 C1113 C1114 C1115 C1117 C1118 C1119 C1120 C1121 C1122 C1123 C1124 C1125 C1126 C1127 C1128 C1129 C1131 C1132 C1133 C1134 C1135 C1136 C1137 C1138 C1139 C1140 C1141 C1142 C1143 C1145 C1146 C1147 C1148 C1149 C1150 C1151 C1152 C1153" showDropDown="0" showInputMessage="0" showErrorMessage="1" allowBlank="1" errorTitle="Texto longo" error="Facção: método: até 200 caracteres (o sorteio usa o texto mesmo assim)." type="textLength" errorStyle="warning" operator="lessThanOrEqual">
      <formula1>200</formula1>
    </dataValidation>
    <dataValidation sqref="D1047 D1048 D1049 D1050 D1051 D1052 D1053 D1054 D1055 D1056 D1057 D1058 D1059 D1061 D1062 D1063 D1064 D1065 D1066 D1067 D1068 D1069 D1070 D1071 D1072 D1073 D1075 D1076 D1077 D1078 D1079 D1080 D1081 D1082 D1083 D1084 D1085 D1086 D1087 D1089 D1090 D1091 D1092 D1093 D1094 D1095 D1096 D1097 D1098 D1099 D1100 D1101 D1103 D1104 D1105 D1106 D1107 D1108 D1109 D1110 D1111 D1112 D1113 D1114 D1115 D1117 D1118 D1119 D1120 D1121 D1122 D1123 D1124 D1125 D1126 D1127 D1128 D1129 D1131 D1132 D1133 D1134 D1135 D1136 D1137 D1138 D1139 D1140 D1141 D1142 D1143 D1145 D1146 D1147 D1148 D1149 D1150 D1151 D1152 D1153" showDropDown="0" showInputMessage="0" showErrorMessage="1" allowBlank="1" errorTitle="Texto longo" error="Facção: recurso: até 200 caracteres (o sorteio usa o texto mesmo assim)." type="textLength" errorStyle="warning" operator="lessThanOrEqual">
      <formula1>200</formula1>
    </dataValidation>
    <dataValidation sqref="E1047 E1048 E1049 E1050 E1051 E1052 E1053 E1054 E1055 E1056 E1057 E1058 E1059 E1061 E1062 E1063 E1064 E1065 E1066 E1067 E1068 E1069 E1070 E1071 E1072 E1073 E1075 E1076 E1077 E1078 E1079 E1080 E1081 E1082 E1083 E1084 E1085 E1086 E1087 E1089 E1090 E1091 E1092 E1093 E1094 E1095 E1096 E1097 E1098 E1099 E1100 E1101 E1103 E1104 E1105 E1106 E1107 E1108 E1109 E1110 E1111 E1112 E1113 E1114 E1115 E1117 E1118 E1119 E1120 E1121 E1122 E1123 E1124 E1125 E1126 E1127 E1128 E1129 E1131 E1132 E1133 E1134 E1135 E1136 E1137 E1138 E1139 E1140 E1141 E1142 E1143 E1145 E1146 E1147 E1148 E1149 E1150 E1151 E1152 E1153" showDropDown="0" showInputMessage="0" showErrorMessage="1" allowBlank="1" errorTitle="Texto longo" error="Facção: como usar: até 200 caracteres (o sorteio usa o texto mesmo assim)." type="textLength" errorStyle="warning" operator="lessThanOrEqual">
      <formula1>200</formula1>
    </dataValidation>
    <dataValidation sqref="B1162 B1163 B1164 B1165 B1166 B1167 B1168 B1169 B1170 B1171 B1172 B1173 B1174 B1176 B1177 B1178 B1179 B1180 B1181 B1182 B1183 B1184 B1185 B1186 B1187 B1188 B1190 B1191 B1192 B1193 B1194 B1195 B1196 B1197 B1198 B1199 B1200 B1201 B1202 B1204 B1205 B1206 B1207 B1208 B1209 B1210 B1211 B1212 B1213 B1214 B1215 B1216 B1218 B1219 B1220 B1221 B1222 B1223 B1224 B1225 B1226 B1227 B1228 B1229 B1230 B1232 B1233 B1234 B1235 B1236 B1237 B1238 B1239 B1240 B1241 B1242 B1243 B1244 B1246 B1247 B1248 B1249 B1250 B1251 B1252 B1253 B1254 B1255 B1256 B1257 B1258 B1260 B1261 B1262 B1263 B1264 B1265 B1266 B1267 B1268" showDropDown="0" showInputMessage="0" showErrorMessage="1" allowBlank="1" errorTitle="Texto longo" error="Rumor: até 200 caracteres (o sorteio usa o texto mesmo assim)." type="textLength" errorStyle="warning" operator="lessThanOrEqual">
      <formula1>200</formula1>
    </dataValidation>
    <dataValidation sqref="C1162 C1163 C1164 C1165 C1166 C1167 C1168 C1169 C1170 C1171 C1172 C1173 C1174 C1176 C1177 C1178 C1179 C1180 C1181 C1182 C1183 C1184 C1185 C1186 C1187 C1188 C1190 C1191 C1192 C1193 C1194 C1195 C1196 C1197 C1198 C1199 C1200 C1201 C1202 C1204 C1205 C1206 C1207 C1208 C1209 C1210 C1211 C1212 C1213 C1214 C1215 C1216 C1218 C1219 C1220 C1221 C1222 C1223 C1224 C1225 C1226 C1227 C1228 C1229 C1230 C1232 C1233 C1234 C1235 C1236 C1237 C1238 C1239 C1240 C1241 C1242 C1243 C1244 C1246 C1247 C1248 C1249 C1250 C1251 C1252 C1253 C1254 C1255 C1256 C1257 C1258 C1260 C1261 C1262 C1263 C1264 C1265 C1266 C1267 C1268" showDropDown="0" showInputMessage="0" showErrorMessage="1" allowBlank="1" errorTitle="Texto longo" error="Veracidade do rumor (peso): até 200 caracteres (o sorteio usa o texto mesmo assim)." type="textLength" errorStyle="warning" operator="lessThanOrEqual">
      <formula1>200</formula1>
    </dataValidation>
    <dataValidation sqref="D1162 D1163 D1164 D1165 D1166 D1167 D1168 D1169 D1170 D1171 D1172 D1173 D1174 D1176 D1177 D1178 D1179 D1180 D1181 D1182 D1183 D1184 D1185 D1186 D1187 D1188 D1190 D1191 D1192 D1193 D1194 D1195 D1196 D1197 D1198 D1199 D1200 D1201 D1202 D1204 D1205 D1206 D1207 D1208 D1209 D1210 D1211 D1212 D1213 D1214 D1215 D1216 D1218 D1219 D1220 D1221 D1222 D1223 D1224 D1225 D1226 D1227 D1228 D1229 D1230 D1232 D1233 D1234 D1235 D1236 D1237 D1238 D1239 D1240 D1241 D1242 D1243 D1244 D1246 D1247 D1248 D1249 D1250 D1251 D1252 D1253 D1254 D1255 D1256 D1257 D1258 D1260 D1261 D1262 D1263 D1264 D1265 D1266 D1267 D1268" showDropDown="0" showInputMessage="0" showErrorMessage="1" allowBlank="1" errorTitle="Texto longo" error="Evento de viagem: até 200 caracteres (o sorteio usa o texto mesmo assim)." type="textLength" errorStyle="warning" operator="lessThanOrEqual">
      <formula1>200</formula1>
    </dataValidation>
    <dataValidation sqref="E1162 E1163 E1164 E1165 E1166 E1167 E1168 E1169 E1170 E1171 E1172 E1173 E1174 E1176 E1177 E1178 E1179 E1180 E1181 E1182 E1183 E1184 E1185 E1186 E1187 E1188 E1190 E1191 E1192 E1193 E1194 E1195 E1196 E1197 E1198 E1199 E1200 E1201 E1202 E1204 E1205 E1206 E1207 E1208 E1209 E1210 E1211 E1212 E1213 E1214 E1215 E1216 E1218 E1219 E1220 E1221 E1222 E1223 E1224 E1225 E1226 E1227 E1228 E1229 E1230 E1232 E1233 E1234 E1235 E1236 E1237 E1238 E1239 E1240 E1241 E1242 E1243 E1244 E1246 E1247 E1248 E1249 E1250 E1251 E1252 E1253 E1254 E1255 E1256 E1257 E1258 E1260 E1261 E1262 E1263 E1264 E1265 E1266 E1267 E1268" showDropDown="0" showInputMessage="0" showErrorMessage="1" allowBlank="1" errorTitle="Texto longo" error="Evento no espaço: até 200 caracteres (o sorteio usa o texto mesmo assim)." type="textLength" errorStyle="warning" operator="lessThanOrEqual">
      <formula1>200</formula1>
    </dataValidation>
    <dataValidation sqref="F1162 F1163 F1164 F1165 F1166 F1167 F1168 F1169 F1170 F1171 F1172 F1173 F1174 F1176 F1177 F1178 F1179 F1180 F1181 F1182 F1183 F1184 F1185 F1186 F1187 F1188 F1190 F1191 F1192 F1193 F1194 F1195 F1196 F1197 F1198 F1199 F1200 F1201 F1202 F1204 F1205 F1206 F1207 F1208 F1209 F1210 F1211 F1212 F1213 F1214 F1215 F1216 F1218 F1219 F1220 F1221 F1222 F1223 F1224 F1225 F1226 F1227 F1228 F1229 F1230 F1232 F1233 F1234 F1235 F1236 F1237 F1238 F1239 F1240 F1241 F1242 F1243 F1244 F1246 F1247 F1248 F1249 F1250 F1251 F1252 F1253 F1254 F1255 F1256 F1257 F1258 F1260 F1261 F1262 F1263 F1264 F1265 F1266 F1267 F1268" showDropDown="0" showInputMessage="0" showErrorMessage="1" allowBlank="1" errorTitle="Texto longo" error="Evento na cidade: até 200 caracteres (o sorteio usa o texto mesmo assim)." type="textLength" errorStyle="warning" operator="lessThanOrEqual">
      <formula1>200</formula1>
    </dataValidation>
    <dataValidation sqref="G1162 G1163 G1164 G1165 G1166 G1167 G1168 G1169 G1170 G1171 G1172 G1173 G1174 G1176 G1177 G1178 G1179 G1180 G1181 G1182 G1183 G1184 G1185 G1186 G1187 G1188 G1190 G1191 G1192 G1193 G1194 G1195 G1196 G1197 G1198 G1199 G1200 G1201 G1202 G1204 G1205 G1206 G1207 G1208 G1209 G1210 G1211 G1212 G1213 G1214 G1215 G1216 G1218 G1219 G1220 G1221 G1222 G1223 G1224 G1225 G1226 G1227 G1228 G1229 G1230 G1232 G1233 G1234 G1235 G1236 G1237 G1238 G1239 G1240 G1241 G1242 G1243 G1244 G1246 G1247 G1248 G1249 G1250 G1251 G1252 G1253 G1254 G1255 G1256 G1257 G1258 G1260 G1261 G1262 G1263 G1264 G1265 G1266 G1267 G1268" showDropDown="0" showInputMessage="0" showErrorMessage="1" allowBlank="1" errorTitle="Texto longo" error="Falhe para frente: o custo: até 200 caracteres (o sorteio usa o texto mesmo assim)." type="textLength" errorStyle="warning" operator="lessThanOrEqual">
      <formula1>200</formula1>
    </dataValidation>
    <dataValidation sqref="H1162 H1163 H1164 H1165 H1166 H1167 H1168 H1169 H1170 H1171 H1172 H1173 H1174 H1176 H1177 H1178 H1179 H1180 H1181 H1182 H1183 H1184 H1185 H1186 H1187 H1188 H1190 H1191 H1192 H1193 H1194 H1195 H1196 H1197 H1198 H1199 H1200 H1201 H1202 H1204 H1205 H1206 H1207 H1208 H1209 H1210 H1211 H1212 H1213 H1214 H1215 H1216 H1218 H1219 H1220 H1221 H1222 H1223 H1224 H1225 H1226 H1227 H1228 H1229 H1230 H1232 H1233 H1234 H1235 H1236 H1237 H1238 H1239 H1240 H1241 H1242 H1243 H1244 H1246 H1247 H1248 H1249 H1250 H1251 H1252 H1253 H1254 H1255 H1256 H1257 H1258 H1260 H1261 H1262 H1263 H1264 H1265 H1266 H1267 H1268" showDropDown="0" showInputMessage="0" showErrorMessage="1" allowBlank="1" errorTitle="Texto longo" error="Item fora do comum (loja): até 200 caracteres (o sorteio usa o texto mesmo assim)." type="textLength" errorStyle="warning" operator="lessThanOrEqual">
      <formula1>200</formula1>
    </dataValidation>
    <dataValidation sqref="I1162 I1163 I1164 I1165 I1166 I1167 I1168 I1169 I1170 I1171 I1172 I1173 I1174 I1176 I1177 I1178 I1179 I1180 I1181 I1182 I1183 I1184 I1185 I1186 I1187 I1188 I1190 I1191 I1192 I1193 I1194 I1195 I1196 I1197 I1198 I1199 I1200 I1201 I1202 I1204 I1205 I1206 I1207 I1208 I1209 I1210 I1211 I1212 I1213 I1214 I1215 I1216 I1218 I1219 I1220 I1221 I1222 I1223 I1224 I1225 I1226 I1227 I1228 I1229 I1230 I1232 I1233 I1234 I1235 I1236 I1237 I1238 I1239 I1240 I1241 I1242 I1243 I1244 I1246 I1247 I1248 I1249 I1250 I1251 I1252 I1253 I1254 I1255 I1256 I1257 I1258 I1260 I1261 I1262 I1263 I1264 I1265 I1266 I1267 I1268" showDropDown="0" showInputMessage="0" showErrorMessage="1" allowBlank="1" errorTitle="Texto longo" error="Oráculo: resposta: até 200 caracteres (o sorteio usa o texto mesmo assim)." type="textLength" errorStyle="warning" operator="lessThanOrEqual">
      <formula1>200</formula1>
    </dataValidation>
    <dataValidation sqref="J1162 J1163 J1164 J1165 J1166 J1167 J1168 J1169 J1170 J1171 J1172 J1173 J1174 J1176 J1177 J1178 J1179 J1180 J1181 J1182 J1183 J1184 J1185 J1186 J1187 J1188 J1190 J1191 J1192 J1193 J1194 J1195 J1196 J1197 J1198 J1199 J1200 J1201 J1202 J1204 J1205 J1206 J1207 J1208 J1209 J1210 J1211 J1212 J1213 J1214 J1215 J1216 J1218 J1219 J1220 J1221 J1222 J1223 J1224 J1225 J1226 J1227 J1228 J1229 J1230 J1232 J1233 J1234 J1235 J1236 J1237 J1238 J1239 J1240 J1241 J1242 J1243 J1244 J1246 J1247 J1248 J1249 J1250 J1251 J1252 J1253 J1254 J1255 J1256 J1257 J1258 J1260 J1261 J1262 J1263 J1264 J1265 J1266 J1267 J1268" showDropDown="0" showInputMessage="0" showErrorMessage="1" allowBlank="1" errorTitle="Texto longo" error="Oráculo: até (d20 + modificador): até 200 caracteres (o sorteio usa o texto mesmo assim)." type="textLength" errorStyle="warning" operator="lessThanOrEqual">
      <formula1>200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G919"/>
  <sheetViews>
    <sheetView showGridLines="1" workbookViewId="0">
      <selection activeCell="A1" sqref="A1"/>
    </sheetView>
  </sheetViews>
  <sheetFormatPr baseColWidth="8" defaultRowHeight="15"/>
  <cols>
    <col width="3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13"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s>
  <sheetData>
    <row r="1" ht="24" customHeight="1">
      <c r="A1" s="1" t="inlineStr">
        <is>
          <t>Dados — Explorando Galáxias v1.2</t>
        </is>
      </c>
    </row>
    <row r="2" ht="26"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Tabelas do livro usadas pelas fórmulas. Não edite: o gerador reescreve esta aba.</t>
        </is>
      </c>
    </row>
    <row r="4" ht="60" customHeight="1">
      <c r="AN4" s="69" t="inlineStr">
        <is>
          <t>Listas de validação (uma por coluna; a fonte está no cabeçalho)</t>
        </is>
      </c>
      <c r="AO4" s="70" t="n"/>
      <c r="AP4" s="70" t="n"/>
      <c r="AQ4" s="70" t="n"/>
      <c r="AR4" s="70" t="n"/>
      <c r="AS4" s="70" t="n"/>
      <c r="AT4" s="70" t="n"/>
      <c r="AU4" s="70" t="n"/>
      <c r="AV4" s="70" t="n"/>
      <c r="AW4" s="70" t="n"/>
      <c r="AX4" s="70" t="n"/>
      <c r="AY4" s="70" t="n"/>
      <c r="AZ4" s="70" t="n"/>
      <c r="BA4" s="70" t="n"/>
      <c r="BB4" s="70" t="n"/>
      <c r="BC4" s="70" t="n"/>
      <c r="BD4" s="70" t="n"/>
      <c r="BE4" s="70" t="n"/>
      <c r="BF4" s="70" t="n"/>
      <c r="BG4" s="70" t="n"/>
      <c r="BH4" s="70" t="n"/>
      <c r="BI4" s="70" t="n"/>
      <c r="BJ4" s="70" t="n"/>
      <c r="BK4" s="70" t="n"/>
      <c r="BL4" s="70" t="n"/>
      <c r="BM4" s="70" t="n"/>
      <c r="BN4" s="70" t="n"/>
      <c r="BO4" s="70" t="n"/>
      <c r="BP4" s="70" t="n"/>
      <c r="BQ4" s="70" t="n"/>
      <c r="BR4" s="70" t="n"/>
      <c r="BS4" s="70" t="n"/>
      <c r="BT4" s="70" t="n"/>
      <c r="BU4" s="70" t="n"/>
      <c r="BV4" s="70" t="n"/>
      <c r="BW4" s="70" t="n"/>
      <c r="BX4" s="70" t="n"/>
      <c r="BY4" s="70" t="n"/>
      <c r="BZ4" s="70" t="n"/>
      <c r="CA4" s="70" t="n"/>
      <c r="CB4" s="70" t="n"/>
      <c r="CC4" s="70" t="n"/>
      <c r="CD4" s="70" t="n"/>
      <c r="CE4" s="70" t="n"/>
      <c r="CF4" s="70" t="n"/>
      <c r="CG4" s="70" t="n"/>
    </row>
    <row r="5" ht="46" customHeight="1">
      <c r="A5" s="69" t="inlineStr">
        <is>
          <t>Faixas de nível — 26.3, 29.1 (nível de referência) e 28.3 (Eficiência do inimigo)</t>
        </is>
      </c>
      <c r="B5" s="70" t="n"/>
      <c r="C5" s="70" t="n"/>
      <c r="D5" s="70" t="n"/>
      <c r="E5" s="70" t="n"/>
      <c r="F5" s="70" t="n"/>
      <c r="AN5" s="8" t="inlineStr">
        <is>
          <t>Elementos — 20.1</t>
        </is>
      </c>
      <c r="AO5" s="8" t="inlineStr">
        <is>
          <t>Tipos de inimigo — 28.1</t>
        </is>
      </c>
      <c r="AP5" s="8" t="inlineStr">
        <is>
          <t>Faixas — 28.1</t>
        </is>
      </c>
      <c r="AQ5" s="8" t="inlineStr">
        <is>
          <t>Modo do Criador — 6.7.1</t>
        </is>
      </c>
      <c r="AR5" s="8" t="inlineStr">
        <is>
          <t>Raças — 05</t>
        </is>
      </c>
      <c r="AS5" s="8" t="inlineStr">
        <is>
          <t>Caminhos — 06.3</t>
        </is>
      </c>
      <c r="AT5" s="8" t="inlineStr">
        <is>
          <t>Sim/Não — convenção da planilha</t>
        </is>
      </c>
      <c r="AU5" s="8" t="inlineStr">
        <is>
          <t>Ser racional? — 23.5</t>
        </is>
      </c>
      <c r="AV5" s="8" t="inlineStr">
        <is>
          <t>Facção ou origem — 27.16</t>
        </is>
      </c>
      <c r="AW5" s="8" t="inlineStr">
        <is>
          <t>Criaturas do bestiário — 28.11</t>
        </is>
      </c>
      <c r="AX5" s="8" t="inlineStr">
        <is>
          <t>Faixa (filtro) — 28.1</t>
        </is>
      </c>
      <c r="AY5" s="8" t="inlineStr">
        <is>
          <t>Tipo (filtro) — 28.1</t>
        </is>
      </c>
      <c r="AZ5" s="8" t="inlineStr">
        <is>
          <t>Fraqueza (filtro) — 20.1</t>
        </is>
      </c>
      <c r="BA5" s="8" t="inlineStr">
        <is>
          <t>Facção (filtro) — 28.11</t>
        </is>
      </c>
      <c r="BB5" s="8" t="inlineStr">
        <is>
          <t>Ambiente (filtro) — Sugestão da planilha (H8)</t>
        </is>
      </c>
      <c r="BC5" s="8" t="inlineStr">
        <is>
          <t>Ambiente (encontro aleatório) — Sugestão da planilha (H8)</t>
        </is>
      </c>
      <c r="BD5" s="8" t="inlineStr">
        <is>
          <t>Composição — 27.4</t>
        </is>
      </c>
      <c r="BE5" s="8" t="inlineStr">
        <is>
          <t>Carregar encontro — 6.10</t>
        </is>
      </c>
      <c r="BF5" s="8" t="inlineStr">
        <is>
          <t>Surpresa — 19.3</t>
        </is>
      </c>
      <c r="BG5" s="8" t="inlineStr">
        <is>
          <t>Condição (Combate) — 21.5</t>
        </is>
      </c>
      <c r="BH5" s="8" t="inlineStr">
        <is>
          <t>Condição (ação de inimigo) — 21.5 e 28.4</t>
        </is>
      </c>
      <c r="BI5" s="8" t="inlineStr">
        <is>
          <t>Fonte do dano — 20.3</t>
        </is>
      </c>
      <c r="BJ5" s="8" t="inlineStr">
        <is>
          <t>Tipo de ação — 28.4</t>
        </is>
      </c>
      <c r="BK5" s="8" t="inlineStr">
        <is>
          <t>Alcances — 18.3</t>
        </is>
      </c>
      <c r="BL5" s="8" t="inlineStr">
        <is>
          <t>Testes de Resistência — 04.6</t>
        </is>
      </c>
      <c r="BM5" s="8" t="inlineStr">
        <is>
          <t>Raça (NPC) — 05</t>
        </is>
      </c>
      <c r="BN5" s="8" t="inlineStr">
        <is>
          <t>Caminho (NPC) — 06.3 e 27.12</t>
        </is>
      </c>
      <c r="BO5" s="8" t="inlineStr">
        <is>
          <t>Papel do NPC — 6.6</t>
        </is>
      </c>
      <c r="BP5" s="8" t="inlineStr">
        <is>
          <t>Caminho (Elenco) — 06.3 e 27.12</t>
        </is>
      </c>
      <c r="BQ5" s="8" t="inlineStr">
        <is>
          <t>Papel (Elenco) — 6.6</t>
        </is>
      </c>
      <c r="BR5" s="8" t="inlineStr">
        <is>
          <t>Bloco de combate do NPC — 28.3</t>
        </is>
      </c>
      <c r="BS5" s="8" t="inlineStr">
        <is>
          <t>Tipo do bloco — 28.1</t>
        </is>
      </c>
      <c r="BT5" s="8" t="inlineStr">
        <is>
          <t>Leitura do encontro — 27.4 (H6)</t>
        </is>
      </c>
      <c r="BU5" s="8" t="inlineStr">
        <is>
          <t>O que aconteceu — 26.1 e 27.8</t>
        </is>
      </c>
      <c r="BV5" s="8" t="inlineStr">
        <is>
          <t>Estado da missão — 6.5</t>
        </is>
      </c>
      <c r="BW5" s="8" t="inlineStr">
        <is>
          <t>Tipo de cena — 6.4</t>
        </is>
      </c>
      <c r="BX5" s="8" t="inlineStr">
        <is>
          <t>Encontro ligado — 6.4</t>
        </is>
      </c>
      <c r="BY5" s="8" t="inlineStr">
        <is>
          <t>Dificuldade — 27.2</t>
        </is>
      </c>
      <c r="BZ5" s="8" t="inlineStr">
        <is>
          <t>Segmentos do relógio — Sugestão da planilha (H16)</t>
        </is>
      </c>
      <c r="CA5" s="8" t="inlineStr">
        <is>
          <t>Atitude (−3 a +3) — Sugestão da planilha (H17)</t>
        </is>
      </c>
      <c r="CB5" s="8" t="inlineStr">
        <is>
          <t>Tipo de nome — 29.11</t>
        </is>
      </c>
      <c r="CC5" s="8" t="inlineStr">
        <is>
          <t>Onde (evento) — 6.14</t>
        </is>
      </c>
      <c r="CD5" s="8" t="inlineStr">
        <is>
          <t>Tipo de loja — Sugestão da planilha (H15)</t>
        </is>
      </c>
      <c r="CE5" s="8" t="inlineStr">
        <is>
          <t>Probabilidade — Sugestão da planilha (H10)</t>
        </is>
      </c>
      <c r="CF5" s="8" t="inlineStr">
        <is>
          <t>Faces do dado — 02</t>
        </is>
      </c>
      <c r="CG5" s="8" t="inlineStr">
        <is>
          <t>Vantagem — 02</t>
        </is>
      </c>
    </row>
    <row r="6">
      <c r="A6" s="8" t="inlineStr">
        <is>
          <t>Índice</t>
        </is>
      </c>
      <c r="B6" s="8" t="inlineStr">
        <is>
          <t>Faixa</t>
        </is>
      </c>
      <c r="C6" s="8" t="inlineStr">
        <is>
          <t>Nível de referência</t>
        </is>
      </c>
      <c r="D6" s="8" t="inlineStr">
        <is>
          <t>Primeiro nível</t>
        </is>
      </c>
      <c r="E6" s="8" t="inlineStr">
        <is>
          <t>Último nível</t>
        </is>
      </c>
      <c r="F6" s="8" t="inlineStr">
        <is>
          <t>Eficiência do inimigo</t>
        </is>
      </c>
      <c r="AN6" s="5" t="inlineStr">
        <is>
          <t>Físico</t>
        </is>
      </c>
      <c r="AO6" s="5" t="inlineStr">
        <is>
          <t>Comum</t>
        </is>
      </c>
      <c r="AP6" s="5" t="inlineStr">
        <is>
          <t>Faixa 1-4</t>
        </is>
      </c>
      <c r="AQ6" s="5" t="inlineStr">
        <is>
          <t>Faixa do livro</t>
        </is>
      </c>
      <c r="AR6" s="5" t="inlineStr">
        <is>
          <t>Humano</t>
        </is>
      </c>
      <c r="AS6" s="5" t="inlineStr">
        <is>
          <t>A Destruição</t>
        </is>
      </c>
      <c r="AT6" s="5" t="inlineStr">
        <is>
          <t>Sim</t>
        </is>
      </c>
      <c r="AU6" s="5" t="inlineStr">
        <is>
          <t>Pode Executar</t>
        </is>
      </c>
      <c r="AV6" s="5" t="inlineStr">
        <is>
          <t>Legião da Antimatéria</t>
        </is>
      </c>
      <c r="AW6" s="5" t="inlineStr">
        <is>
          <t>Casco Oco</t>
        </is>
      </c>
      <c r="AX6" s="5" t="inlineStr">
        <is>
          <t>Todas</t>
        </is>
      </c>
      <c r="AY6" s="5" t="inlineStr">
        <is>
          <t>Todos</t>
        </is>
      </c>
      <c r="AZ6" s="5" t="inlineStr">
        <is>
          <t>Qualquer</t>
        </is>
      </c>
      <c r="BA6" s="5" t="inlineStr">
        <is>
          <t>Todas</t>
        </is>
      </c>
      <c r="BB6" s="5" t="inlineStr">
        <is>
          <t>Todos</t>
        </is>
      </c>
      <c r="BC6" s="5" t="inlineStr">
        <is>
          <t>Qualquer</t>
        </is>
      </c>
      <c r="BD6" s="5" t="inlineStr">
        <is>
          <t>Sortear</t>
        </is>
      </c>
      <c r="BE6" s="5" t="inlineStr">
        <is>
          <t>Nenhum</t>
        </is>
      </c>
      <c r="BF6" s="5" t="inlineStr">
        <is>
          <t>Ninguém</t>
        </is>
      </c>
      <c r="BG6" s="5" t="inlineStr">
        <is>
          <t>Sangramento</t>
        </is>
      </c>
      <c r="BH6" s="5" t="inlineStr">
        <is>
          <t>Sangramento</t>
        </is>
      </c>
      <c r="BI6" s="5" t="inlineStr">
        <is>
          <t>Ataque Básico</t>
        </is>
      </c>
      <c r="BJ6" s="5" t="inlineStr">
        <is>
          <t>Ataque normal</t>
        </is>
      </c>
      <c r="BK6" s="5" t="inlineStr">
        <is>
          <t>Pessoal</t>
        </is>
      </c>
      <c r="BL6" s="5" t="inlineStr">
        <is>
          <t>Potência Física</t>
        </is>
      </c>
      <c r="BM6" s="5" t="inlineStr">
        <is>
          <t>Sortear</t>
        </is>
      </c>
      <c r="BN6" s="5" t="inlineStr">
        <is>
          <t>Sortear</t>
        </is>
      </c>
      <c r="BO6" s="5" t="inlineStr">
        <is>
          <t>Sortear</t>
        </is>
      </c>
      <c r="BP6" s="5" t="inlineStr">
        <is>
          <t>A Destruição</t>
        </is>
      </c>
      <c r="BQ6" s="5" t="inlineStr">
        <is>
          <t>Aliado</t>
        </is>
      </c>
      <c r="BR6" s="5" t="inlineStr">
        <is>
          <t>Nenhum</t>
        </is>
      </c>
      <c r="BS6" s="5" t="inlineStr">
        <is>
          <t>Comum</t>
        </is>
      </c>
      <c r="BT6" s="5" t="inlineStr">
        <is>
          <t>Passagem</t>
        </is>
      </c>
      <c r="BU6" s="5" t="inlineStr">
        <is>
          <t>Subiu de nível</t>
        </is>
      </c>
      <c r="BV6" s="5" t="inlineStr">
        <is>
          <t>Oferecida</t>
        </is>
      </c>
      <c r="BW6" s="5" t="inlineStr">
        <is>
          <t>Social</t>
        </is>
      </c>
      <c r="BX6" s="5" t="inlineStr">
        <is>
          <t>Nenhum</t>
        </is>
      </c>
      <c r="BY6" s="5" t="inlineStr">
        <is>
          <t>Trivial</t>
        </is>
      </c>
      <c r="BZ6" s="5" t="n">
        <v>4</v>
      </c>
      <c r="CA6" s="5" t="n">
        <v>-3</v>
      </c>
      <c r="CB6" s="5" t="inlineStr">
        <is>
          <t>Facção</t>
        </is>
      </c>
      <c r="CC6" s="5" t="inlineStr">
        <is>
          <t>Sortear</t>
        </is>
      </c>
      <c r="CD6" s="5" t="inlineStr">
        <is>
          <t>Sortear</t>
        </is>
      </c>
      <c r="CE6" s="5" t="inlineStr">
        <is>
          <t>Quase impossível</t>
        </is>
      </c>
      <c r="CF6" s="5" t="n">
        <v>2</v>
      </c>
      <c r="CG6" s="5" t="inlineStr">
        <is>
          <t>Normal</t>
        </is>
      </c>
    </row>
    <row r="7" ht="26" customHeight="1">
      <c r="A7" s="31" t="n">
        <v>1</v>
      </c>
      <c r="B7" s="5" t="inlineStr">
        <is>
          <t>1-4</t>
        </is>
      </c>
      <c r="C7" s="5" t="n">
        <v>3</v>
      </c>
      <c r="D7" s="5" t="n">
        <v>1</v>
      </c>
      <c r="E7" s="5" t="n">
        <v>4</v>
      </c>
      <c r="F7" s="5" t="n">
        <v>2</v>
      </c>
      <c r="AN7" s="5" t="inlineStr">
        <is>
          <t>Fogo</t>
        </is>
      </c>
      <c r="AO7" s="5" t="inlineStr">
        <is>
          <t>Elite</t>
        </is>
      </c>
      <c r="AP7" s="5" t="inlineStr">
        <is>
          <t>Faixa 5-8</t>
        </is>
      </c>
      <c r="AQ7" s="5" t="inlineStr">
        <is>
          <t>Por nível — Sugestão</t>
        </is>
      </c>
      <c r="AR7" s="5" t="inlineStr">
        <is>
          <t>Xianzhouíta</t>
        </is>
      </c>
      <c r="AS7" s="5" t="inlineStr">
        <is>
          <t>A Inexistência</t>
        </is>
      </c>
      <c r="AT7" s="5" t="inlineStr">
        <is>
          <t>Não</t>
        </is>
      </c>
      <c r="AU7" s="5" t="inlineStr">
        <is>
          <t>Não Executa</t>
        </is>
      </c>
      <c r="AV7" s="5" t="inlineStr">
        <is>
          <t>Corporação da Paz Interastral</t>
        </is>
      </c>
      <c r="AW7" s="5" t="inlineStr">
        <is>
          <t>Larva Fuliginosa</t>
        </is>
      </c>
      <c r="AX7" s="5" t="inlineStr">
        <is>
          <t>Faixa 1-4</t>
        </is>
      </c>
      <c r="AY7" s="5" t="inlineStr">
        <is>
          <t>Comum</t>
        </is>
      </c>
      <c r="AZ7" s="5" t="inlineStr">
        <is>
          <t>Físico</t>
        </is>
      </c>
      <c r="BA7" s="5" t="inlineStr">
        <is>
          <t>Fragmentum</t>
        </is>
      </c>
      <c r="BB7" s="5" t="inlineStr">
        <is>
          <t>Colônia ou mina abandonada</t>
        </is>
      </c>
      <c r="BC7" s="5" t="inlineStr">
        <is>
          <t>Colônia ou mina abandonada</t>
        </is>
      </c>
      <c r="BD7" s="5" t="inlineStr">
        <is>
          <t>1 Boss + 1 Comum</t>
        </is>
      </c>
      <c r="BE7" s="5" t="inlineStr">
        <is>
          <t>A</t>
        </is>
      </c>
      <c r="BF7" s="5" t="inlineStr">
        <is>
          <t>Grupo surpreendido</t>
        </is>
      </c>
      <c r="BG7" s="5" t="inlineStr">
        <is>
          <t>Queimadura</t>
        </is>
      </c>
      <c r="BH7" s="5" t="inlineStr">
        <is>
          <t>Queimadura</t>
        </is>
      </c>
      <c r="BI7" s="5" t="inlineStr">
        <is>
          <t>Habilidade de Nível 1</t>
        </is>
      </c>
      <c r="BJ7" s="5" t="inlineStr">
        <is>
          <t>Especial de dano 1 alvo (até 1,5×)</t>
        </is>
      </c>
      <c r="BK7" s="5" t="inlineStr">
        <is>
          <t>Curta</t>
        </is>
      </c>
      <c r="BL7" s="5" t="inlineStr">
        <is>
          <t>Reflexos</t>
        </is>
      </c>
      <c r="BM7" s="5" t="inlineStr">
        <is>
          <t>Humano</t>
        </is>
      </c>
      <c r="BN7" s="5" t="inlineStr">
        <is>
          <t>A Destruição</t>
        </is>
      </c>
      <c r="BO7" s="5" t="inlineStr">
        <is>
          <t>Aliado</t>
        </is>
      </c>
      <c r="BP7" s="5" t="inlineStr">
        <is>
          <t>A Inexistência</t>
        </is>
      </c>
      <c r="BQ7" s="5" t="inlineStr">
        <is>
          <t>Contratante</t>
        </is>
      </c>
      <c r="BR7" s="5" t="inlineStr">
        <is>
          <t>Faixa 1-4</t>
        </is>
      </c>
      <c r="BS7" s="5" t="inlineStr">
        <is>
          <t>Elite</t>
        </is>
      </c>
      <c r="BT7" s="5" t="inlineStr">
        <is>
          <t>Típico</t>
        </is>
      </c>
      <c r="BU7" s="5" t="inlineStr">
        <is>
          <t>Entrou em faixa nova</t>
        </is>
      </c>
      <c r="BV7" s="5" t="inlineStr">
        <is>
          <t>Ativa</t>
        </is>
      </c>
      <c r="BW7" s="5" t="inlineStr">
        <is>
          <t>Exploração</t>
        </is>
      </c>
      <c r="BX7" s="5" t="inlineStr">
        <is>
          <t>A</t>
        </is>
      </c>
      <c r="BY7" s="5" t="inlineStr">
        <is>
          <t>Fácil</t>
        </is>
      </c>
      <c r="BZ7" s="5" t="n">
        <v>6</v>
      </c>
      <c r="CA7" s="5" t="n">
        <v>-2</v>
      </c>
      <c r="CB7" s="5" t="inlineStr">
        <is>
          <t>Lugar</t>
        </is>
      </c>
      <c r="CC7" s="5" t="inlineStr">
        <is>
          <t>Viagem</t>
        </is>
      </c>
      <c r="CD7" s="5" t="inlineStr">
        <is>
          <t>Armas</t>
        </is>
      </c>
      <c r="CE7" s="5" t="inlineStr">
        <is>
          <t>Improvável</t>
        </is>
      </c>
      <c r="CF7" s="5" t="n">
        <v>4</v>
      </c>
      <c r="CG7" s="5" t="inlineStr">
        <is>
          <t>Vantagem</t>
        </is>
      </c>
    </row>
    <row r="8" ht="26" customHeight="1">
      <c r="A8" s="43" t="n">
        <v>2</v>
      </c>
      <c r="B8" s="10" t="inlineStr">
        <is>
          <t>5-8</t>
        </is>
      </c>
      <c r="C8" s="10" t="n">
        <v>7</v>
      </c>
      <c r="D8" s="10" t="n">
        <v>5</v>
      </c>
      <c r="E8" s="10" t="n">
        <v>8</v>
      </c>
      <c r="F8" s="10" t="n">
        <v>4</v>
      </c>
      <c r="AN8" s="5" t="inlineStr">
        <is>
          <t>Gelo</t>
        </is>
      </c>
      <c r="AO8" s="5" t="inlineStr">
        <is>
          <t>Boss</t>
        </is>
      </c>
      <c r="AP8" s="5" t="inlineStr">
        <is>
          <t>Faixa 9-12</t>
        </is>
      </c>
      <c r="AQ8" s="5" t="inlineStr">
        <is>
          <t>Ajustar do bestiário</t>
        </is>
      </c>
      <c r="AR8" s="5" t="inlineStr">
        <is>
          <t>Vidyadhara</t>
        </is>
      </c>
      <c r="AS8" s="5" t="inlineStr">
        <is>
          <t>A Harmonia</t>
        </is>
      </c>
      <c r="AV8" s="5" t="inlineStr">
        <is>
          <t>Aliança Xianzhou</t>
        </is>
      </c>
      <c r="AW8" s="5" t="inlineStr">
        <is>
          <t>Esporo Rancoroso</t>
        </is>
      </c>
      <c r="AX8" s="5" t="inlineStr">
        <is>
          <t>Faixa 5-8</t>
        </is>
      </c>
      <c r="AY8" s="5" t="inlineStr">
        <is>
          <t>Elite</t>
        </is>
      </c>
      <c r="AZ8" s="5" t="inlineStr">
        <is>
          <t>Fogo</t>
        </is>
      </c>
      <c r="BA8" s="5" t="inlineStr">
        <is>
          <t>Legião da Antimatéria</t>
        </is>
      </c>
      <c r="BB8" s="5" t="inlineStr">
        <is>
          <t>Ruína</t>
        </is>
      </c>
      <c r="BC8" s="5" t="inlineStr">
        <is>
          <t>Ruína</t>
        </is>
      </c>
      <c r="BD8" s="5" t="inlineStr">
        <is>
          <t>1 Elite + 4 Comuns</t>
        </is>
      </c>
      <c r="BE8" s="5" t="inlineStr">
        <is>
          <t>B</t>
        </is>
      </c>
      <c r="BF8" s="5" t="inlineStr">
        <is>
          <t>Inimigos surpreendidos</t>
        </is>
      </c>
      <c r="BG8" s="5" t="inlineStr">
        <is>
          <t>Choque</t>
        </is>
      </c>
      <c r="BH8" s="5" t="inlineStr">
        <is>
          <t>Choque</t>
        </is>
      </c>
      <c r="BI8" s="5" t="inlineStr">
        <is>
          <t>Habilidade de Nível 2</t>
        </is>
      </c>
      <c r="BJ8" s="5" t="inlineStr">
        <is>
          <t>Especial de dano 2–3 alvos (dano cheio por alvo)</t>
        </is>
      </c>
      <c r="BK8" s="5" t="inlineStr">
        <is>
          <t>Média</t>
        </is>
      </c>
      <c r="BL8" s="5" t="inlineStr">
        <is>
          <t>Resistência Física</t>
        </is>
      </c>
      <c r="BM8" s="5" t="inlineStr">
        <is>
          <t>Xianzhouíta</t>
        </is>
      </c>
      <c r="BN8" s="5" t="inlineStr">
        <is>
          <t>A Inexistência</t>
        </is>
      </c>
      <c r="BO8" s="5" t="inlineStr">
        <is>
          <t>Contratante</t>
        </is>
      </c>
      <c r="BP8" s="5" t="inlineStr">
        <is>
          <t>A Harmonia</t>
        </is>
      </c>
      <c r="BQ8" s="5" t="inlineStr">
        <is>
          <t>Rival</t>
        </is>
      </c>
      <c r="BR8" s="5" t="inlineStr">
        <is>
          <t>Faixa 5-8</t>
        </is>
      </c>
      <c r="BT8" s="5" t="inlineStr">
        <is>
          <t>Pesado</t>
        </is>
      </c>
      <c r="BU8" s="5" t="inlineStr">
        <is>
          <t>Fim de arco</t>
        </is>
      </c>
      <c r="BV8" s="5" t="inlineStr">
        <is>
          <t>Concluída</t>
        </is>
      </c>
      <c r="BW8" s="5" t="inlineStr">
        <is>
          <t>Combate</t>
        </is>
      </c>
      <c r="BX8" s="5" t="inlineStr">
        <is>
          <t>B</t>
        </is>
      </c>
      <c r="BY8" s="5" t="inlineStr">
        <is>
          <t>Média</t>
        </is>
      </c>
      <c r="BZ8" s="5" t="n">
        <v>8</v>
      </c>
      <c r="CA8" s="5" t="n">
        <v>-1</v>
      </c>
      <c r="CB8" s="5" t="inlineStr">
        <is>
          <t>Pessoa</t>
        </is>
      </c>
      <c r="CC8" s="5" t="inlineStr">
        <is>
          <t>Espaço</t>
        </is>
      </c>
      <c r="CD8" s="5" t="inlineStr">
        <is>
          <t>Armaduras</t>
        </is>
      </c>
      <c r="CE8" s="5" t="inlineStr">
        <is>
          <t>Meio a meio</t>
        </is>
      </c>
      <c r="CF8" s="5" t="n">
        <v>6</v>
      </c>
      <c r="CG8" s="5" t="inlineStr">
        <is>
          <t>Desvantagem</t>
        </is>
      </c>
    </row>
    <row r="9">
      <c r="A9" s="31" t="n">
        <v>3</v>
      </c>
      <c r="B9" s="5" t="inlineStr">
        <is>
          <t>9-12</t>
        </is>
      </c>
      <c r="C9" s="5" t="n">
        <v>11</v>
      </c>
      <c r="D9" s="5" t="n">
        <v>9</v>
      </c>
      <c r="E9" s="5" t="n">
        <v>12</v>
      </c>
      <c r="F9" s="5" t="n">
        <v>5</v>
      </c>
      <c r="AN9" s="5" t="inlineStr">
        <is>
          <t>Raio</t>
        </is>
      </c>
      <c r="AP9" s="5" t="inlineStr">
        <is>
          <t>Faixa 13-16</t>
        </is>
      </c>
      <c r="AR9" s="5" t="inlineStr">
        <is>
          <t>Vulpes</t>
        </is>
      </c>
      <c r="AS9" s="5" t="inlineStr">
        <is>
          <t>A Abundância</t>
        </is>
      </c>
      <c r="AV9" s="5" t="inlineStr">
        <is>
          <t>Caçadores de Stellaron</t>
        </is>
      </c>
      <c r="AW9" s="5" t="inlineStr">
        <is>
          <t>Peão da Antimatéria</t>
        </is>
      </c>
      <c r="AX9" s="5" t="inlineStr">
        <is>
          <t>Faixa 9-12</t>
        </is>
      </c>
      <c r="AY9" s="5" t="inlineStr">
        <is>
          <t>Boss</t>
        </is>
      </c>
      <c r="AZ9" s="5" t="inlineStr">
        <is>
          <t>Gelo</t>
        </is>
      </c>
      <c r="BA9" s="5" t="inlineStr">
        <is>
          <t>Autômato</t>
        </is>
      </c>
      <c r="BB9" s="5" t="inlineStr">
        <is>
          <t>Frente de guerra</t>
        </is>
      </c>
      <c r="BC9" s="5" t="inlineStr">
        <is>
          <t>Frente de guerra</t>
        </is>
      </c>
      <c r="BD9" s="5" t="inlineStr">
        <is>
          <t>3 Elites</t>
        </is>
      </c>
      <c r="BE9" s="5" t="inlineStr">
        <is>
          <t>C</t>
        </is>
      </c>
      <c r="BG9" s="5" t="inlineStr">
        <is>
          <t>Cisalhamento de Vento</t>
        </is>
      </c>
      <c r="BH9" s="5" t="inlineStr">
        <is>
          <t>Cisalhamento de Vento</t>
        </is>
      </c>
      <c r="BI9" s="5" t="inlineStr">
        <is>
          <t>Habilidade de Nível 3</t>
        </is>
      </c>
      <c r="BJ9" s="5" t="inlineStr">
        <is>
          <t>Especial de controle</t>
        </is>
      </c>
      <c r="BK9" s="5" t="inlineStr">
        <is>
          <t>Longa</t>
        </is>
      </c>
      <c r="BL9" s="5" t="inlineStr">
        <is>
          <t>Resistência Mental</t>
        </is>
      </c>
      <c r="BM9" s="5" t="inlineStr">
        <is>
          <t>Vidyadhara</t>
        </is>
      </c>
      <c r="BN9" s="5" t="inlineStr">
        <is>
          <t>A Harmonia</t>
        </is>
      </c>
      <c r="BO9" s="5" t="inlineStr">
        <is>
          <t>Rival</t>
        </is>
      </c>
      <c r="BP9" s="5" t="inlineStr">
        <is>
          <t>A Abundância</t>
        </is>
      </c>
      <c r="BQ9" s="5" t="inlineStr">
        <is>
          <t>Neutro</t>
        </is>
      </c>
      <c r="BR9" s="5" t="inlineStr">
        <is>
          <t>Faixa 9-12</t>
        </is>
      </c>
      <c r="BV9" s="5" t="inlineStr">
        <is>
          <t>Falhou</t>
        </is>
      </c>
      <c r="BW9" s="5" t="inlineStr">
        <is>
          <t>Viagem</t>
        </is>
      </c>
      <c r="BX9" s="5" t="inlineStr">
        <is>
          <t>C</t>
        </is>
      </c>
      <c r="BY9" s="5" t="inlineStr">
        <is>
          <t>Difícil</t>
        </is>
      </c>
      <c r="BZ9" s="5" t="n">
        <v>10</v>
      </c>
      <c r="CA9" s="5" t="n">
        <v>0</v>
      </c>
      <c r="CB9" s="5" t="inlineStr">
        <is>
          <t>Outro</t>
        </is>
      </c>
      <c r="CC9" s="5" t="inlineStr">
        <is>
          <t>Cidade</t>
        </is>
      </c>
      <c r="CD9" s="5" t="inlineStr">
        <is>
          <t>Suprimentos</t>
        </is>
      </c>
      <c r="CE9" s="5" t="inlineStr">
        <is>
          <t>Provável</t>
        </is>
      </c>
      <c r="CF9" s="5" t="n">
        <v>8</v>
      </c>
    </row>
    <row r="10" ht="26" customHeight="1">
      <c r="A10" s="43" t="n">
        <v>4</v>
      </c>
      <c r="B10" s="10" t="inlineStr">
        <is>
          <t>13-16</t>
        </is>
      </c>
      <c r="C10" s="10" t="n">
        <v>15</v>
      </c>
      <c r="D10" s="10" t="n">
        <v>13</v>
      </c>
      <c r="E10" s="10" t="n">
        <v>16</v>
      </c>
      <c r="F10" s="10" t="n">
        <v>6</v>
      </c>
      <c r="AN10" s="5" t="inlineStr">
        <is>
          <t>Vento</t>
        </is>
      </c>
      <c r="AP10" s="5" t="inlineStr">
        <is>
          <t>Faixa 17-20</t>
        </is>
      </c>
      <c r="AR10" s="5" t="inlineStr">
        <is>
          <t>Haloviano</t>
        </is>
      </c>
      <c r="AS10" s="5" t="inlineStr">
        <is>
          <t>A Recordação</t>
        </is>
      </c>
      <c r="AV10" s="5" t="inlineStr">
        <is>
          <t>Tolos Mascarados</t>
        </is>
      </c>
      <c r="AW10" s="5" t="inlineStr">
        <is>
          <t>Sentinela Enferrujada</t>
        </is>
      </c>
      <c r="AX10" s="5" t="inlineStr">
        <is>
          <t>Faixa 13-16</t>
        </is>
      </c>
      <c r="AZ10" s="5" t="inlineStr">
        <is>
          <t>Raio</t>
        </is>
      </c>
      <c r="BA10" s="5" t="inlineStr">
        <is>
          <t>Corporação da Paz Interastral</t>
        </is>
      </c>
      <c r="BB10" s="5" t="inlineStr">
        <is>
          <t>Lua-forja</t>
        </is>
      </c>
      <c r="BC10" s="5" t="inlineStr">
        <is>
          <t>Lua-forja</t>
        </is>
      </c>
      <c r="BD10" s="5" t="inlineStr">
        <is>
          <t>7 Comuns</t>
        </is>
      </c>
      <c r="BE10" s="5" t="inlineStr">
        <is>
          <t>Aleatório</t>
        </is>
      </c>
      <c r="BG10" s="5" t="inlineStr">
        <is>
          <t>Embaraço</t>
        </is>
      </c>
      <c r="BH10" s="5" t="inlineStr">
        <is>
          <t>Embaraço</t>
        </is>
      </c>
      <c r="BI10" s="5" t="inlineStr">
        <is>
          <t>Habilidade de Nível 4</t>
        </is>
      </c>
      <c r="BJ10" s="5" t="inlineStr">
        <is>
          <t>Reação</t>
        </is>
      </c>
      <c r="BK10" s="5" t="inlineStr">
        <is>
          <t>Extrema</t>
        </is>
      </c>
      <c r="BL10" s="5" t="inlineStr">
        <is>
          <t>Percepção Mental</t>
        </is>
      </c>
      <c r="BM10" s="5" t="inlineStr">
        <is>
          <t>Vulpes</t>
        </is>
      </c>
      <c r="BN10" s="5" t="inlineStr">
        <is>
          <t>A Abundância</t>
        </is>
      </c>
      <c r="BO10" s="5" t="inlineStr">
        <is>
          <t>Neutro</t>
        </is>
      </c>
      <c r="BP10" s="5" t="inlineStr">
        <is>
          <t>A Recordação</t>
        </is>
      </c>
      <c r="BQ10" s="5" t="inlineStr">
        <is>
          <t>Informante</t>
        </is>
      </c>
      <c r="BR10" s="5" t="inlineStr">
        <is>
          <t>Faixa 13-16</t>
        </is>
      </c>
      <c r="BV10" s="5" t="inlineStr">
        <is>
          <t>Abandonada</t>
        </is>
      </c>
      <c r="BW10" s="5" t="inlineStr">
        <is>
          <t>Descanso</t>
        </is>
      </c>
      <c r="BY10" s="5" t="inlineStr">
        <is>
          <t>Muito Difícil</t>
        </is>
      </c>
      <c r="BZ10" s="5" t="n">
        <v>12</v>
      </c>
      <c r="CA10" s="5" t="n">
        <v>1</v>
      </c>
      <c r="CD10" s="5" t="inlineStr">
        <is>
          <t>Farmácia</t>
        </is>
      </c>
      <c r="CE10" s="5" t="inlineStr">
        <is>
          <t>Quase certo</t>
        </is>
      </c>
      <c r="CF10" s="5" t="n">
        <v>10</v>
      </c>
    </row>
    <row r="11">
      <c r="A11" s="31" t="n">
        <v>5</v>
      </c>
      <c r="B11" s="5" t="inlineStr">
        <is>
          <t>17-20</t>
        </is>
      </c>
      <c r="C11" s="5" t="n">
        <v>19</v>
      </c>
      <c r="D11" s="5" t="n">
        <v>17</v>
      </c>
      <c r="E11" s="5" t="n">
        <v>20</v>
      </c>
      <c r="F11" s="5" t="n">
        <v>8</v>
      </c>
      <c r="AN11" s="5" t="inlineStr">
        <is>
          <t>Quântico</t>
        </is>
      </c>
      <c r="AR11" s="5" t="inlineStr">
        <is>
          <t>Avginiano</t>
        </is>
      </c>
      <c r="AS11" s="5" t="inlineStr">
        <is>
          <t>A Erudição</t>
        </is>
      </c>
      <c r="AV11" s="5" t="inlineStr">
        <is>
          <t>Cavaleiros da Beleza</t>
        </is>
      </c>
      <c r="AW11" s="5" t="inlineStr">
        <is>
          <t>Capataz Oco</t>
        </is>
      </c>
      <c r="AX11" s="5" t="inlineStr">
        <is>
          <t>Faixa 17-20</t>
        </is>
      </c>
      <c r="AZ11" s="5" t="inlineStr">
        <is>
          <t>Vento</t>
        </is>
      </c>
      <c r="BA11" s="5" t="inlineStr">
        <is>
          <t>Culto da Inexistência</t>
        </is>
      </c>
      <c r="BB11" s="5" t="inlineStr">
        <is>
          <t>Estação</t>
        </is>
      </c>
      <c r="BC11" s="5" t="inlineStr">
        <is>
          <t>Estação</t>
        </is>
      </c>
      <c r="BG11" s="5" t="inlineStr">
        <is>
          <t>Aprisionamento</t>
        </is>
      </c>
      <c r="BH11" s="5" t="inlineStr">
        <is>
          <t>Aprisionamento</t>
        </is>
      </c>
      <c r="BI11" s="5" t="inlineStr">
        <is>
          <t>Habilidade de Nível 5</t>
        </is>
      </c>
      <c r="BL11" s="5" t="inlineStr">
        <is>
          <t>Força de Vontade</t>
        </is>
      </c>
      <c r="BM11" s="5" t="inlineStr">
        <is>
          <t>Haloviano</t>
        </is>
      </c>
      <c r="BN11" s="5" t="inlineStr">
        <is>
          <t>A Recordação</t>
        </is>
      </c>
      <c r="BO11" s="5" t="inlineStr">
        <is>
          <t>Informante</t>
        </is>
      </c>
      <c r="BP11" s="5" t="inlineStr">
        <is>
          <t>A Erudição</t>
        </is>
      </c>
      <c r="BQ11" s="5" t="inlineStr">
        <is>
          <t>Vítima</t>
        </is>
      </c>
      <c r="BR11" s="5" t="inlineStr">
        <is>
          <t>Faixa 17-20</t>
        </is>
      </c>
      <c r="BY11" s="5" t="inlineStr">
        <is>
          <t>Heroica</t>
        </is>
      </c>
      <c r="CA11" s="5" t="n">
        <v>2</v>
      </c>
      <c r="CD11" s="5" t="inlineStr">
        <is>
          <t>Mercado geral</t>
        </is>
      </c>
      <c r="CF11" s="5" t="n">
        <v>12</v>
      </c>
    </row>
    <row r="12">
      <c r="AN12" s="5" t="inlineStr">
        <is>
          <t>Imaginário</t>
        </is>
      </c>
      <c r="AR12" s="5" t="inlineStr">
        <is>
          <t>Intellitron</t>
        </is>
      </c>
      <c r="AS12" s="5" t="inlineStr">
        <is>
          <t>A Euforia</t>
        </is>
      </c>
      <c r="AV12" s="5" t="inlineStr">
        <is>
          <t>Culto da Inexistência</t>
        </is>
      </c>
      <c r="AW12" s="5" t="inlineStr">
        <is>
          <t>Sargento de Trincheira</t>
        </is>
      </c>
      <c r="AZ12" s="5" t="inlineStr">
        <is>
          <t>Quântico</t>
        </is>
      </c>
      <c r="BA12" s="5" t="inlineStr">
        <is>
          <t>Aliança Xianzhou</t>
        </is>
      </c>
      <c r="BB12" s="5" t="inlineStr">
        <is>
          <t>Cidade corporativa</t>
        </is>
      </c>
      <c r="BC12" s="5" t="inlineStr">
        <is>
          <t>Cidade corporativa</t>
        </is>
      </c>
      <c r="BG12" s="5" t="inlineStr">
        <is>
          <t>Congelado</t>
        </is>
      </c>
      <c r="BH12" s="5" t="inlineStr">
        <is>
          <t>Congelado</t>
        </is>
      </c>
      <c r="BI12" s="5" t="inlineStr">
        <is>
          <t>Habilidade de Nível 6</t>
        </is>
      </c>
      <c r="BM12" s="5" t="inlineStr">
        <is>
          <t>Avginiano</t>
        </is>
      </c>
      <c r="BN12" s="5" t="inlineStr">
        <is>
          <t>A Erudição</t>
        </is>
      </c>
      <c r="BO12" s="5" t="inlineStr">
        <is>
          <t>Vítima</t>
        </is>
      </c>
      <c r="BP12" s="5" t="inlineStr">
        <is>
          <t>A Euforia</t>
        </is>
      </c>
      <c r="BQ12" s="5" t="inlineStr">
        <is>
          <t>Antagonista</t>
        </is>
      </c>
      <c r="BR12" s="5" t="inlineStr">
        <is>
          <t>Do grupo</t>
        </is>
      </c>
      <c r="CA12" s="5" t="n">
        <v>3</v>
      </c>
      <c r="CD12" s="5" t="inlineStr">
        <is>
          <t>Mercado da Frota de Jade</t>
        </is>
      </c>
      <c r="CF12" s="5" t="n">
        <v>20</v>
      </c>
    </row>
    <row r="13" ht="32" customHeight="1">
      <c r="A13" s="69" t="inlineStr">
        <is>
          <t>Eficiência por nível — 26.2 (02.3)</t>
        </is>
      </c>
      <c r="B13" s="70" t="n"/>
      <c r="AS13" s="5" t="inlineStr">
        <is>
          <t>A Caça</t>
        </is>
      </c>
      <c r="AV13" s="5" t="inlineStr">
        <is>
          <t>Autômatos</t>
        </is>
      </c>
      <c r="AW13" s="5" t="inlineStr">
        <is>
          <t>O Afogado do Poço Sete</t>
        </is>
      </c>
      <c r="AZ13" s="5" t="inlineStr">
        <is>
          <t>Imaginário</t>
        </is>
      </c>
      <c r="BA13" s="5" t="inlineStr">
        <is>
          <t>Tolos Mascarados</t>
        </is>
      </c>
      <c r="BB13" s="5" t="inlineStr">
        <is>
          <t>Nave-cidade</t>
        </is>
      </c>
      <c r="BC13" s="5" t="inlineStr">
        <is>
          <t>Nave-cidade</t>
        </is>
      </c>
      <c r="BG13" s="5" t="inlineStr">
        <is>
          <t>Lentidão</t>
        </is>
      </c>
      <c r="BH13" s="5" t="inlineStr">
        <is>
          <t>Lentidão</t>
        </is>
      </c>
      <c r="BI13" s="5" t="inlineStr">
        <is>
          <t>Habilidade de Nível 7</t>
        </is>
      </c>
      <c r="BM13" s="5" t="inlineStr">
        <is>
          <t>Intellitron</t>
        </is>
      </c>
      <c r="BN13" s="5" t="inlineStr">
        <is>
          <t>A Euforia</t>
        </is>
      </c>
      <c r="BO13" s="5" t="inlineStr">
        <is>
          <t>Antagonista</t>
        </is>
      </c>
      <c r="BP13" s="5" t="inlineStr">
        <is>
          <t>A Caça</t>
        </is>
      </c>
      <c r="CF13" s="5" t="n">
        <v>100</v>
      </c>
    </row>
    <row r="14">
      <c r="A14" s="8" t="inlineStr">
        <is>
          <t>Nível</t>
        </is>
      </c>
      <c r="B14" s="8" t="inlineStr">
        <is>
          <t>Eficiência</t>
        </is>
      </c>
      <c r="AS14" s="5" t="inlineStr">
        <is>
          <t>A Preservação</t>
        </is>
      </c>
      <c r="AV14" s="5" t="inlineStr">
        <is>
          <t>Fragmentum</t>
        </is>
      </c>
      <c r="AW14" s="5" t="inlineStr">
        <is>
          <t>Fuzileiro da Legião</t>
        </is>
      </c>
      <c r="BA14" s="5" t="inlineStr">
        <is>
          <t>Xianzhou</t>
        </is>
      </c>
      <c r="BB14" s="5" t="inlineStr">
        <is>
          <t>Teatro, festa ou multidão</t>
        </is>
      </c>
      <c r="BC14" s="5" t="inlineStr">
        <is>
          <t>Teatro, festa ou multidão</t>
        </is>
      </c>
      <c r="BG14" s="5" t="inlineStr">
        <is>
          <t>Marcado</t>
        </is>
      </c>
      <c r="BH14" s="5" t="inlineStr">
        <is>
          <t>Marcado</t>
        </is>
      </c>
      <c r="BI14" s="5" t="inlineStr">
        <is>
          <t>Ultimate</t>
        </is>
      </c>
      <c r="BN14" s="5" t="inlineStr">
        <is>
          <t>A Caça</t>
        </is>
      </c>
      <c r="BP14" s="5" t="inlineStr">
        <is>
          <t>A Preservação</t>
        </is>
      </c>
    </row>
    <row r="15" ht="26" customHeight="1">
      <c r="A15" s="31" t="n">
        <v>1</v>
      </c>
      <c r="B15" s="5" t="n">
        <v>2</v>
      </c>
      <c r="AV15" s="5" t="inlineStr">
        <is>
          <t>Stellaron</t>
        </is>
      </c>
      <c r="AW15" s="5" t="inlineStr">
        <is>
          <t>Dron de Vigilância Pacificadora</t>
        </is>
      </c>
      <c r="BA15" s="5" t="inlineStr">
        <is>
          <t>Cavaleiros da Beleza</t>
        </is>
      </c>
      <c r="BB15" s="5" t="inlineStr">
        <is>
          <t>Clínica ou ateliê</t>
        </is>
      </c>
      <c r="BC15" s="5" t="inlineStr">
        <is>
          <t>Clínica ou ateliê</t>
        </is>
      </c>
      <c r="BG15" s="5" t="inlineStr">
        <is>
          <t>Silenciado</t>
        </is>
      </c>
      <c r="BH15" s="5" t="inlineStr">
        <is>
          <t>Silenciado</t>
        </is>
      </c>
      <c r="BI15" s="5" t="inlineStr">
        <is>
          <t>Dano Contínuo</t>
        </is>
      </c>
      <c r="BN15" s="5" t="inlineStr">
        <is>
          <t>A Preservação</t>
        </is>
      </c>
      <c r="BP15" s="5" t="inlineStr">
        <is>
          <t>Nenhum</t>
        </is>
      </c>
    </row>
    <row r="16" ht="26" customHeight="1">
      <c r="A16" s="43" t="n">
        <v>2</v>
      </c>
      <c r="B16" s="10" t="n">
        <v>2</v>
      </c>
      <c r="AV16" s="5" t="inlineStr">
        <is>
          <t>Emanador</t>
        </is>
      </c>
      <c r="AW16" s="5" t="inlineStr">
        <is>
          <t>Devoto do Silêncio</t>
        </is>
      </c>
      <c r="BA16" s="5" t="inlineStr">
        <is>
          <t>Caçadores de Stellaron</t>
        </is>
      </c>
      <c r="BB16" s="5" t="inlineStr">
        <is>
          <t>Qualquer lugar onde o grupo esteja</t>
        </is>
      </c>
      <c r="BC16" s="5" t="inlineStr">
        <is>
          <t>Qualquer lugar onde o grupo esteja</t>
        </is>
      </c>
      <c r="BG16" s="5" t="inlineStr">
        <is>
          <t>Vulnerável</t>
        </is>
      </c>
      <c r="BH16" s="5" t="inlineStr">
        <is>
          <t>Vulnerável</t>
        </is>
      </c>
      <c r="BN16" s="5" t="inlineStr">
        <is>
          <t>Nenhum</t>
        </is>
      </c>
    </row>
    <row r="17">
      <c r="A17" s="31" t="n">
        <v>3</v>
      </c>
      <c r="B17" s="5" t="n">
        <v>2</v>
      </c>
      <c r="AV17" s="5" t="inlineStr">
        <is>
          <t>Outra</t>
        </is>
      </c>
      <c r="AW17" s="5" t="inlineStr">
        <is>
          <t>Centurião Catafracto</t>
        </is>
      </c>
      <c r="BA17" s="5" t="inlineStr">
        <is>
          <t>Autômato de guerra</t>
        </is>
      </c>
      <c r="BB17" s="5" t="inlineStr">
        <is>
          <t>Lugar esvaziado</t>
        </is>
      </c>
      <c r="BC17" s="5" t="inlineStr">
        <is>
          <t>Lugar esvaziado</t>
        </is>
      </c>
      <c r="BG17" s="5" t="inlineStr">
        <is>
          <t>Controlado</t>
        </is>
      </c>
      <c r="BH17" s="5" t="inlineStr">
        <is>
          <t>Controlado</t>
        </is>
      </c>
    </row>
    <row r="18">
      <c r="A18" s="43" t="n">
        <v>4</v>
      </c>
      <c r="B18" s="10" t="n">
        <v>3</v>
      </c>
      <c r="AW18" s="5" t="inlineStr">
        <is>
          <t>Auditora de Risco</t>
        </is>
      </c>
      <c r="BA18" s="5" t="inlineStr">
        <is>
          <t>Stellaron</t>
        </is>
      </c>
      <c r="BB18" s="5" t="inlineStr">
        <is>
          <t>Instalação antiga</t>
        </is>
      </c>
      <c r="BC18" s="5" t="inlineStr">
        <is>
          <t>Instalação antiga</t>
        </is>
      </c>
      <c r="BG18" s="5" t="inlineStr">
        <is>
          <t>Corrupção</t>
        </is>
      </c>
      <c r="BH18" s="5" t="inlineStr">
        <is>
          <t>Corrupção</t>
        </is>
      </c>
    </row>
    <row r="19">
      <c r="A19" s="31" t="n">
        <v>5</v>
      </c>
      <c r="B19" s="5" t="n">
        <v>3</v>
      </c>
      <c r="AW19" s="5" t="inlineStr">
        <is>
          <t>Pretor Vazio-Nove</t>
        </is>
      </c>
      <c r="BA19" s="5" t="inlineStr">
        <is>
          <t>Emanadora da Inexistência</t>
        </is>
      </c>
      <c r="BB19" s="5" t="inlineStr">
        <is>
          <t>Mundo com Stellaron</t>
        </is>
      </c>
      <c r="BC19" s="5" t="inlineStr">
        <is>
          <t>Mundo com Stellaron</t>
        </is>
      </c>
      <c r="BG19" s="5" t="inlineStr">
        <is>
          <t>Surpreso</t>
        </is>
      </c>
    </row>
    <row r="20">
      <c r="A20" s="43" t="n">
        <v>6</v>
      </c>
      <c r="B20" s="10" t="n">
        <v>3</v>
      </c>
      <c r="AW20" s="5" t="inlineStr">
        <is>
          <t>Lanceiro da Frota de Jade</t>
        </is>
      </c>
    </row>
    <row r="21">
      <c r="A21" s="31" t="n">
        <v>7</v>
      </c>
      <c r="B21" s="5" t="n">
        <v>4</v>
      </c>
      <c r="AW21" s="5" t="inlineStr">
        <is>
          <t>Palhaço de Pólvora</t>
        </is>
      </c>
    </row>
    <row r="22">
      <c r="A22" s="43" t="n">
        <v>8</v>
      </c>
      <c r="B22" s="10" t="n">
        <v>4</v>
      </c>
      <c r="AW22" s="5" t="inlineStr">
        <is>
          <t>Centenário Enlouquecido</t>
        </is>
      </c>
    </row>
    <row r="23" ht="26" customHeight="1">
      <c r="A23" s="31" t="n">
        <v>9</v>
      </c>
      <c r="B23" s="5" t="n">
        <v>4</v>
      </c>
      <c r="AW23" s="5" t="inlineStr">
        <is>
          <t>Oficial-Lâmina da Frota de Jade</t>
        </is>
      </c>
    </row>
    <row r="24" ht="26" customHeight="1">
      <c r="A24" s="43" t="n">
        <v>10</v>
      </c>
      <c r="B24" s="10" t="n">
        <v>5</v>
      </c>
      <c r="AW24" s="5" t="inlineStr">
        <is>
          <t>Mestre de Cerimônias Mascarado</t>
        </is>
      </c>
    </row>
    <row r="25">
      <c r="A25" s="31" t="n">
        <v>11</v>
      </c>
      <c r="B25" s="5" t="n">
        <v>5</v>
      </c>
      <c r="AW25" s="5" t="inlineStr">
        <is>
          <t>O Dramaturgo de Mil Faces</t>
        </is>
      </c>
    </row>
    <row r="26">
      <c r="A26" s="43" t="n">
        <v>12</v>
      </c>
      <c r="B26" s="10" t="n">
        <v>5</v>
      </c>
      <c r="AW26" s="5" t="inlineStr">
        <is>
          <t>Noviço da Beleza</t>
        </is>
      </c>
    </row>
    <row r="27" ht="26" customHeight="1">
      <c r="A27" s="31" t="n">
        <v>13</v>
      </c>
      <c r="B27" s="5" t="n">
        <v>6</v>
      </c>
      <c r="AW27" s="5" t="inlineStr">
        <is>
          <t>Operativo de Campo dos Caçadores</t>
        </is>
      </c>
    </row>
    <row r="28">
      <c r="A28" s="43" t="n">
        <v>14</v>
      </c>
      <c r="B28" s="10" t="n">
        <v>6</v>
      </c>
      <c r="AW28" s="5" t="inlineStr">
        <is>
          <t>Autômato Taciturno</t>
        </is>
      </c>
    </row>
    <row r="29">
      <c r="A29" s="31" t="n">
        <v>15</v>
      </c>
      <c r="B29" s="5" t="n">
        <v>6</v>
      </c>
      <c r="AW29" s="5" t="inlineStr">
        <is>
          <t>Escultor de Carne</t>
        </is>
      </c>
    </row>
    <row r="30">
      <c r="A30" s="43" t="n">
        <v>16</v>
      </c>
      <c r="B30" s="10" t="n">
        <v>7</v>
      </c>
      <c r="AW30" s="5" t="inlineStr">
        <is>
          <t>Executora de Contrato</t>
        </is>
      </c>
    </row>
    <row r="31">
      <c r="A31" s="31" t="n">
        <v>17</v>
      </c>
      <c r="B31" s="5" t="n">
        <v>7</v>
      </c>
      <c r="AW31" s="5" t="inlineStr">
        <is>
          <t>Vênia, a Primeira Obra</t>
        </is>
      </c>
    </row>
    <row r="32" ht="26" customHeight="1">
      <c r="A32" s="43" t="n">
        <v>18</v>
      </c>
      <c r="B32" s="10" t="n">
        <v>7</v>
      </c>
      <c r="AW32" s="5" t="inlineStr">
        <is>
          <t>Guarda Pretoriano da Antimatéria</t>
        </is>
      </c>
    </row>
    <row r="33">
      <c r="A33" s="31" t="n">
        <v>19</v>
      </c>
      <c r="B33" s="5" t="n">
        <v>8</v>
      </c>
      <c r="AW33" s="5" t="inlineStr">
        <is>
          <t>Escória de Stellaron</t>
        </is>
      </c>
    </row>
    <row r="34">
      <c r="A34" s="43" t="n">
        <v>20</v>
      </c>
      <c r="B34" s="10" t="n">
        <v>8</v>
      </c>
      <c r="AW34" s="5" t="inlineStr">
        <is>
          <t>Arcanjo de Ferro-Vazio</t>
        </is>
      </c>
    </row>
    <row r="35" ht="26" customHeight="1">
      <c r="AW35" s="5" t="inlineStr">
        <is>
          <t>Arauto da Tempestade Vazia</t>
        </is>
      </c>
    </row>
    <row r="36" ht="46" customHeight="1">
      <c r="A36" s="69" t="inlineStr">
        <is>
          <t>Âncoras do inimigo — 28.3 (com 28.2 regras 3 e 5 e 19.4)</t>
        </is>
      </c>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AW36" s="5" t="inlineStr">
        <is>
          <t>O Germe de Pavor</t>
        </is>
      </c>
    </row>
    <row r="37">
      <c r="A37" s="8" t="inlineStr">
        <is>
          <t>Chave</t>
        </is>
      </c>
      <c r="B37" s="8" t="inlineStr">
        <is>
          <t>Faixa</t>
        </is>
      </c>
      <c r="C37" s="8" t="inlineStr">
        <is>
          <t>Tipo</t>
        </is>
      </c>
      <c r="D37" s="8" t="inlineStr">
        <is>
          <t>PV</t>
        </is>
      </c>
      <c r="E37" s="8" t="inlineStr">
        <is>
          <t>Defesa</t>
        </is>
      </c>
      <c r="F37" s="8" t="inlineStr">
        <is>
          <t>RD</t>
        </is>
      </c>
      <c r="G37" s="8" t="inlineStr">
        <is>
          <t>Tenacidade</t>
        </is>
      </c>
      <c r="H37" s="8" t="inlineStr">
        <is>
          <t>VEL</t>
        </is>
      </c>
      <c r="I37" s="8" t="inlineStr">
        <is>
          <t>Ataque</t>
        </is>
      </c>
      <c r="J37" s="8" t="inlineStr">
        <is>
          <t>Dano por acerto</t>
        </is>
      </c>
      <c r="K37" s="8" t="inlineStr">
        <is>
          <t>Média do dano</t>
        </is>
      </c>
      <c r="L37" s="8" t="inlineStr">
        <is>
          <t>DT dos efeitos</t>
        </is>
      </c>
      <c r="M37" s="8" t="inlineStr">
        <is>
          <t>Teste de Resistência</t>
        </is>
      </c>
      <c r="N37" s="8" t="inlineStr">
        <is>
          <t>Nº de Fraquezas</t>
        </is>
      </c>
      <c r="O37" s="8" t="inlineStr">
        <is>
          <t>Fraquezas sugeridas</t>
        </is>
      </c>
      <c r="P37" s="8" t="inlineStr">
        <is>
          <t>Firmeza</t>
        </is>
      </c>
      <c r="Q37" s="8" t="inlineStr">
        <is>
          <t>Ações agressivas</t>
        </is>
      </c>
      <c r="R37" s="8" t="inlineStr">
        <is>
          <t>Teto de Atraso</t>
        </is>
      </c>
      <c r="S37" s="8" t="inlineStr">
        <is>
          <t>Dano especial 1,5×</t>
        </is>
      </c>
      <c r="T37" s="8" t="inlineStr">
        <is>
          <t>Média do especial</t>
        </is>
      </c>
      <c r="U37" s="8" t="inlineStr">
        <is>
          <t>Fonte do especial</t>
        </is>
      </c>
      <c r="AW37" s="5" t="inlineStr">
        <is>
          <t>Vazia Coroada</t>
        </is>
      </c>
    </row>
    <row r="38" ht="26" customHeight="1">
      <c r="A38" s="31" t="inlineStr">
        <is>
          <t>1-4|Comum</t>
        </is>
      </c>
      <c r="B38" s="5" t="inlineStr">
        <is>
          <t>1-4</t>
        </is>
      </c>
      <c r="C38" s="5" t="inlineStr">
        <is>
          <t>Comum</t>
        </is>
      </c>
      <c r="D38" s="5" t="n">
        <v>50</v>
      </c>
      <c r="E38" s="5" t="n">
        <v>13</v>
      </c>
      <c r="F38" s="5" t="n">
        <v>0</v>
      </c>
      <c r="G38" s="5" t="n">
        <v>3</v>
      </c>
      <c r="H38" s="5" t="n">
        <v>11</v>
      </c>
      <c r="I38" s="5" t="n">
        <v>7</v>
      </c>
      <c r="J38" s="5" t="inlineStr">
        <is>
          <t>1d6</t>
        </is>
      </c>
      <c r="K38" s="5" t="n">
        <v>3</v>
      </c>
      <c r="L38" s="5" t="n">
        <v>12</v>
      </c>
      <c r="M38" s="5" t="n">
        <v>1</v>
      </c>
      <c r="N38" s="5" t="inlineStr">
        <is>
          <t>1-2</t>
        </is>
      </c>
      <c r="O38" s="5" t="n">
        <v>2</v>
      </c>
      <c r="P38" s="5" t="inlineStr">
        <is>
          <t>sem Firmeza</t>
        </is>
      </c>
      <c r="Q38" s="5" t="n">
        <v>1</v>
      </c>
      <c r="R38" s="5" t="n">
        <v>3</v>
      </c>
      <c r="S38" s="5" t="inlineStr">
        <is>
          <t>1d6 + 1</t>
        </is>
      </c>
      <c r="T38" s="5" t="n">
        <v>4</v>
      </c>
      <c r="U38" s="5" t="inlineStr">
        <is>
          <t>Sugestão da planilha (H2)</t>
        </is>
      </c>
    </row>
    <row r="39">
      <c r="A39" s="43" t="inlineStr">
        <is>
          <t>1-4|Elite</t>
        </is>
      </c>
      <c r="B39" s="10" t="inlineStr">
        <is>
          <t>1-4</t>
        </is>
      </c>
      <c r="C39" s="10" t="inlineStr">
        <is>
          <t>Elite</t>
        </is>
      </c>
      <c r="D39" s="10" t="n">
        <v>120</v>
      </c>
      <c r="E39" s="10" t="n">
        <v>15</v>
      </c>
      <c r="F39" s="10" t="n">
        <v>2</v>
      </c>
      <c r="G39" s="10" t="n">
        <v>5</v>
      </c>
      <c r="H39" s="10" t="n">
        <v>12</v>
      </c>
      <c r="I39" s="10" t="n">
        <v>7</v>
      </c>
      <c r="J39" s="10" t="inlineStr">
        <is>
          <t>2d6</t>
        </is>
      </c>
      <c r="K39" s="10" t="n">
        <v>7</v>
      </c>
      <c r="L39" s="10" t="n">
        <v>13</v>
      </c>
      <c r="M39" s="10" t="n">
        <v>2</v>
      </c>
      <c r="N39" s="10" t="inlineStr">
        <is>
          <t>3</t>
        </is>
      </c>
      <c r="O39" s="10" t="n">
        <v>3</v>
      </c>
      <c r="P39" s="10" t="inlineStr">
        <is>
          <t>com Firmeza</t>
        </is>
      </c>
      <c r="Q39" s="10" t="n">
        <v>1.5</v>
      </c>
      <c r="R39" s="10" t="n">
        <v>2</v>
      </c>
      <c r="S39" s="10" t="inlineStr">
        <is>
          <t>3d6</t>
        </is>
      </c>
      <c r="T39" s="10" t="n">
        <v>10</v>
      </c>
      <c r="U39" s="10" t="inlineStr">
        <is>
          <t>ficha</t>
        </is>
      </c>
    </row>
    <row r="40">
      <c r="A40" s="31" t="inlineStr">
        <is>
          <t>1-4|Boss</t>
        </is>
      </c>
      <c r="B40" s="5" t="inlineStr">
        <is>
          <t>1-4</t>
        </is>
      </c>
      <c r="C40" s="5" t="inlineStr">
        <is>
          <t>Boss</t>
        </is>
      </c>
      <c r="D40" s="5" t="n">
        <v>305</v>
      </c>
      <c r="E40" s="5" t="n">
        <v>16</v>
      </c>
      <c r="F40" s="5" t="n">
        <v>4</v>
      </c>
      <c r="G40" s="5" t="n">
        <v>10</v>
      </c>
      <c r="H40" s="5" t="n">
        <v>13</v>
      </c>
      <c r="I40" s="5" t="n">
        <v>7</v>
      </c>
      <c r="J40" s="5" t="inlineStr">
        <is>
          <t>3d6</t>
        </is>
      </c>
      <c r="K40" s="5" t="n">
        <v>10</v>
      </c>
      <c r="L40" s="5" t="n">
        <v>14</v>
      </c>
      <c r="M40" s="5" t="n">
        <v>3</v>
      </c>
      <c r="N40" s="5" t="inlineStr">
        <is>
          <t>4</t>
        </is>
      </c>
      <c r="O40" s="5" t="n">
        <v>4</v>
      </c>
      <c r="P40" s="5" t="inlineStr">
        <is>
          <t>com Firmeza</t>
        </is>
      </c>
      <c r="Q40" s="5" t="n">
        <v>2</v>
      </c>
      <c r="R40" s="5" t="n">
        <v>2</v>
      </c>
      <c r="S40" s="5" t="inlineStr">
        <is>
          <t>3d8 + 2</t>
        </is>
      </c>
      <c r="T40" s="5" t="n">
        <v>15</v>
      </c>
      <c r="U40" s="5" t="inlineStr">
        <is>
          <t>ficha</t>
        </is>
      </c>
    </row>
    <row r="41" ht="26" customHeight="1">
      <c r="A41" s="43" t="inlineStr">
        <is>
          <t>5-8|Comum</t>
        </is>
      </c>
      <c r="B41" s="10" t="inlineStr">
        <is>
          <t>5-8</t>
        </is>
      </c>
      <c r="C41" s="10" t="inlineStr">
        <is>
          <t>Comum</t>
        </is>
      </c>
      <c r="D41" s="10" t="n">
        <v>70</v>
      </c>
      <c r="E41" s="10" t="n">
        <v>16</v>
      </c>
      <c r="F41" s="10" t="n">
        <v>0</v>
      </c>
      <c r="G41" s="10" t="n">
        <v>3</v>
      </c>
      <c r="H41" s="10" t="n">
        <v>12</v>
      </c>
      <c r="I41" s="10" t="n">
        <v>9</v>
      </c>
      <c r="J41" s="10" t="inlineStr">
        <is>
          <t>2d6</t>
        </is>
      </c>
      <c r="K41" s="10" t="n">
        <v>7</v>
      </c>
      <c r="L41" s="10" t="n">
        <v>14</v>
      </c>
      <c r="M41" s="10" t="n">
        <v>3</v>
      </c>
      <c r="N41" s="10" t="inlineStr">
        <is>
          <t>1-2</t>
        </is>
      </c>
      <c r="O41" s="10" t="n">
        <v>2</v>
      </c>
      <c r="P41" s="10" t="inlineStr">
        <is>
          <t>sem Firmeza</t>
        </is>
      </c>
      <c r="Q41" s="10" t="n">
        <v>1</v>
      </c>
      <c r="R41" s="10" t="n">
        <v>3</v>
      </c>
      <c r="S41" s="10" t="inlineStr">
        <is>
          <t>2d6 + 3</t>
        </is>
      </c>
      <c r="T41" s="10" t="n">
        <v>10</v>
      </c>
      <c r="U41" s="10" t="inlineStr">
        <is>
          <t>Sugestão da planilha (H2)</t>
        </is>
      </c>
    </row>
    <row r="42">
      <c r="A42" s="31" t="inlineStr">
        <is>
          <t>5-8|Elite</t>
        </is>
      </c>
      <c r="B42" s="5" t="inlineStr">
        <is>
          <t>5-8</t>
        </is>
      </c>
      <c r="C42" s="5" t="inlineStr">
        <is>
          <t>Elite</t>
        </is>
      </c>
      <c r="D42" s="5" t="n">
        <v>160</v>
      </c>
      <c r="E42" s="5" t="n">
        <v>18</v>
      </c>
      <c r="F42" s="5" t="n">
        <v>2</v>
      </c>
      <c r="G42" s="5" t="n">
        <v>6</v>
      </c>
      <c r="H42" s="5" t="n">
        <v>13</v>
      </c>
      <c r="I42" s="5" t="n">
        <v>9</v>
      </c>
      <c r="J42" s="5" t="inlineStr">
        <is>
          <t>3d8</t>
        </is>
      </c>
      <c r="K42" s="5" t="n">
        <v>13</v>
      </c>
      <c r="L42" s="5" t="n">
        <v>15</v>
      </c>
      <c r="M42" s="5" t="n">
        <v>4</v>
      </c>
      <c r="N42" s="5" t="inlineStr">
        <is>
          <t>3</t>
        </is>
      </c>
      <c r="O42" s="5" t="n">
        <v>3</v>
      </c>
      <c r="P42" s="5" t="inlineStr">
        <is>
          <t>com Firmeza</t>
        </is>
      </c>
      <c r="Q42" s="5" t="n">
        <v>1.5</v>
      </c>
      <c r="R42" s="5" t="n">
        <v>2</v>
      </c>
      <c r="S42" s="5" t="inlineStr">
        <is>
          <t>4d8 + 1</t>
        </is>
      </c>
      <c r="T42" s="5" t="n">
        <v>19</v>
      </c>
      <c r="U42" s="5" t="inlineStr">
        <is>
          <t>ficha</t>
        </is>
      </c>
    </row>
    <row r="43" ht="26" customHeight="1">
      <c r="A43" s="43" t="inlineStr">
        <is>
          <t>5-8|Boss</t>
        </is>
      </c>
      <c r="B43" s="10" t="inlineStr">
        <is>
          <t>5-8</t>
        </is>
      </c>
      <c r="C43" s="10" t="inlineStr">
        <is>
          <t>Boss</t>
        </is>
      </c>
      <c r="D43" s="10" t="n">
        <v>410</v>
      </c>
      <c r="E43" s="10" t="n">
        <v>19</v>
      </c>
      <c r="F43" s="10" t="n">
        <v>4</v>
      </c>
      <c r="G43" s="10" t="n">
        <v>11</v>
      </c>
      <c r="H43" s="10" t="n">
        <v>15</v>
      </c>
      <c r="I43" s="10" t="n">
        <v>9</v>
      </c>
      <c r="J43" s="10" t="inlineStr">
        <is>
          <t>4d8 + 2</t>
        </is>
      </c>
      <c r="K43" s="10" t="n">
        <v>20</v>
      </c>
      <c r="L43" s="10" t="n">
        <v>16</v>
      </c>
      <c r="M43" s="10" t="n">
        <v>5</v>
      </c>
      <c r="N43" s="10" t="inlineStr">
        <is>
          <t>4</t>
        </is>
      </c>
      <c r="O43" s="10" t="n">
        <v>4</v>
      </c>
      <c r="P43" s="10" t="inlineStr">
        <is>
          <t>com Firmeza</t>
        </is>
      </c>
      <c r="Q43" s="10" t="n">
        <v>2</v>
      </c>
      <c r="R43" s="10" t="n">
        <v>2</v>
      </c>
      <c r="S43" s="10" t="inlineStr">
        <is>
          <t>4d8 + 12</t>
        </is>
      </c>
      <c r="T43" s="10" t="n">
        <v>30</v>
      </c>
      <c r="U43" s="10" t="inlineStr">
        <is>
          <t>Sugestão da planilha (H2)</t>
        </is>
      </c>
    </row>
    <row r="44" ht="26" customHeight="1">
      <c r="A44" s="31" t="inlineStr">
        <is>
          <t>9-12|Comum</t>
        </is>
      </c>
      <c r="B44" s="5" t="inlineStr">
        <is>
          <t>9-12</t>
        </is>
      </c>
      <c r="C44" s="5" t="inlineStr">
        <is>
          <t>Comum</t>
        </is>
      </c>
      <c r="D44" s="5" t="n">
        <v>95</v>
      </c>
      <c r="E44" s="5" t="n">
        <v>19</v>
      </c>
      <c r="F44" s="5" t="n">
        <v>0</v>
      </c>
      <c r="G44" s="5" t="n">
        <v>4</v>
      </c>
      <c r="H44" s="5" t="n">
        <v>13</v>
      </c>
      <c r="I44" s="5" t="n">
        <v>11</v>
      </c>
      <c r="J44" s="5" t="inlineStr">
        <is>
          <t>2d8</t>
        </is>
      </c>
      <c r="K44" s="5" t="n">
        <v>9</v>
      </c>
      <c r="L44" s="5" t="n">
        <v>16</v>
      </c>
      <c r="M44" s="5" t="n">
        <v>4</v>
      </c>
      <c r="N44" s="5" t="inlineStr">
        <is>
          <t>1-2</t>
        </is>
      </c>
      <c r="O44" s="5" t="n">
        <v>2</v>
      </c>
      <c r="P44" s="5" t="inlineStr">
        <is>
          <t>sem Firmeza</t>
        </is>
      </c>
      <c r="Q44" s="5" t="n">
        <v>1</v>
      </c>
      <c r="R44" s="5" t="n">
        <v>3</v>
      </c>
      <c r="S44" s="5" t="inlineStr">
        <is>
          <t>2d8 + 4</t>
        </is>
      </c>
      <c r="T44" s="5" t="n">
        <v>13</v>
      </c>
      <c r="U44" s="5" t="inlineStr">
        <is>
          <t>Sugestão da planilha (H2)</t>
        </is>
      </c>
    </row>
    <row r="45">
      <c r="A45" s="43" t="inlineStr">
        <is>
          <t>9-12|Elite</t>
        </is>
      </c>
      <c r="B45" s="10" t="inlineStr">
        <is>
          <t>9-12</t>
        </is>
      </c>
      <c r="C45" s="10" t="inlineStr">
        <is>
          <t>Elite</t>
        </is>
      </c>
      <c r="D45" s="10" t="n">
        <v>225</v>
      </c>
      <c r="E45" s="10" t="n">
        <v>21</v>
      </c>
      <c r="F45" s="10" t="n">
        <v>3</v>
      </c>
      <c r="G45" s="10" t="n">
        <v>7</v>
      </c>
      <c r="H45" s="10" t="n">
        <v>15</v>
      </c>
      <c r="I45" s="10" t="n">
        <v>11</v>
      </c>
      <c r="J45" s="10" t="inlineStr">
        <is>
          <t>4d8 + 1</t>
        </is>
      </c>
      <c r="K45" s="10" t="n">
        <v>19</v>
      </c>
      <c r="L45" s="10" t="n">
        <v>17</v>
      </c>
      <c r="M45" s="10" t="n">
        <v>5</v>
      </c>
      <c r="N45" s="10" t="inlineStr">
        <is>
          <t>3</t>
        </is>
      </c>
      <c r="O45" s="10" t="n">
        <v>3</v>
      </c>
      <c r="P45" s="10" t="inlineStr">
        <is>
          <t>com Firmeza</t>
        </is>
      </c>
      <c r="Q45" s="10" t="n">
        <v>1.5</v>
      </c>
      <c r="R45" s="10" t="n">
        <v>2</v>
      </c>
      <c r="S45" s="10" t="inlineStr">
        <is>
          <t>5d10 + 1</t>
        </is>
      </c>
      <c r="T45" s="10" t="n">
        <v>28</v>
      </c>
      <c r="U45" s="10" t="inlineStr">
        <is>
          <t>ficha</t>
        </is>
      </c>
    </row>
    <row r="46">
      <c r="A46" s="31" t="inlineStr">
        <is>
          <t>9-12|Boss</t>
        </is>
      </c>
      <c r="B46" s="5" t="inlineStr">
        <is>
          <t>9-12</t>
        </is>
      </c>
      <c r="C46" s="5" t="inlineStr">
        <is>
          <t>Boss</t>
        </is>
      </c>
      <c r="D46" s="5" t="n">
        <v>580</v>
      </c>
      <c r="E46" s="5" t="n">
        <v>22</v>
      </c>
      <c r="F46" s="5" t="n">
        <v>6</v>
      </c>
      <c r="G46" s="5" t="n">
        <v>12</v>
      </c>
      <c r="H46" s="5" t="n">
        <v>16</v>
      </c>
      <c r="I46" s="5" t="n">
        <v>11</v>
      </c>
      <c r="J46" s="5" t="inlineStr">
        <is>
          <t>5d10 + 1</t>
        </is>
      </c>
      <c r="K46" s="5" t="n">
        <v>28</v>
      </c>
      <c r="L46" s="5" t="n">
        <v>18</v>
      </c>
      <c r="M46" s="5" t="n">
        <v>6</v>
      </c>
      <c r="N46" s="5" t="inlineStr">
        <is>
          <t>4</t>
        </is>
      </c>
      <c r="O46" s="5" t="n">
        <v>4</v>
      </c>
      <c r="P46" s="5" t="inlineStr">
        <is>
          <t>com Firmeza</t>
        </is>
      </c>
      <c r="Q46" s="5" t="n">
        <v>2</v>
      </c>
      <c r="R46" s="5" t="n">
        <v>2</v>
      </c>
      <c r="S46" s="5" t="inlineStr">
        <is>
          <t>7d10 + 4</t>
        </is>
      </c>
      <c r="T46" s="5" t="n">
        <v>42</v>
      </c>
      <c r="U46" s="5" t="inlineStr">
        <is>
          <t>ficha</t>
        </is>
      </c>
    </row>
    <row r="47" ht="26" customHeight="1">
      <c r="A47" s="43" t="inlineStr">
        <is>
          <t>13-16|Comum</t>
        </is>
      </c>
      <c r="B47" s="10" t="inlineStr">
        <is>
          <t>13-16</t>
        </is>
      </c>
      <c r="C47" s="10" t="inlineStr">
        <is>
          <t>Comum</t>
        </is>
      </c>
      <c r="D47" s="10" t="n">
        <v>125</v>
      </c>
      <c r="E47" s="10" t="n">
        <v>20</v>
      </c>
      <c r="F47" s="10" t="n">
        <v>0</v>
      </c>
      <c r="G47" s="10" t="n">
        <v>4</v>
      </c>
      <c r="H47" s="10" t="n">
        <v>14</v>
      </c>
      <c r="I47" s="10" t="n">
        <v>12</v>
      </c>
      <c r="J47" s="10" t="inlineStr">
        <is>
          <t>3d6 + 2</t>
        </is>
      </c>
      <c r="K47" s="10" t="n">
        <v>12</v>
      </c>
      <c r="L47" s="10" t="n">
        <v>17</v>
      </c>
      <c r="M47" s="10" t="n">
        <v>5</v>
      </c>
      <c r="N47" s="10" t="inlineStr">
        <is>
          <t>1-2</t>
        </is>
      </c>
      <c r="O47" s="10" t="n">
        <v>2</v>
      </c>
      <c r="P47" s="10" t="inlineStr">
        <is>
          <t>sem Firmeza</t>
        </is>
      </c>
      <c r="Q47" s="10" t="n">
        <v>1</v>
      </c>
      <c r="R47" s="10" t="n">
        <v>3</v>
      </c>
      <c r="S47" s="10" t="inlineStr">
        <is>
          <t>3d6 + 8</t>
        </is>
      </c>
      <c r="T47" s="10" t="n">
        <v>18</v>
      </c>
      <c r="U47" s="10" t="inlineStr">
        <is>
          <t>Sugestão da planilha (H2)</t>
        </is>
      </c>
    </row>
    <row r="48">
      <c r="A48" s="31" t="inlineStr">
        <is>
          <t>13-16|Elite</t>
        </is>
      </c>
      <c r="B48" s="5" t="inlineStr">
        <is>
          <t>13-16</t>
        </is>
      </c>
      <c r="C48" s="5" t="inlineStr">
        <is>
          <t>Elite</t>
        </is>
      </c>
      <c r="D48" s="5" t="n">
        <v>295</v>
      </c>
      <c r="E48" s="5" t="n">
        <v>22</v>
      </c>
      <c r="F48" s="5" t="n">
        <v>3</v>
      </c>
      <c r="G48" s="5" t="n">
        <v>6</v>
      </c>
      <c r="H48" s="5" t="n">
        <v>16</v>
      </c>
      <c r="I48" s="5" t="n">
        <v>12</v>
      </c>
      <c r="J48" s="5" t="inlineStr">
        <is>
          <t>4d10 + 2</t>
        </is>
      </c>
      <c r="K48" s="5" t="n">
        <v>24</v>
      </c>
      <c r="L48" s="5" t="n">
        <v>18</v>
      </c>
      <c r="M48" s="5" t="n">
        <v>6</v>
      </c>
      <c r="N48" s="5" t="inlineStr">
        <is>
          <t>3</t>
        </is>
      </c>
      <c r="O48" s="5" t="n">
        <v>3</v>
      </c>
      <c r="P48" s="5" t="inlineStr">
        <is>
          <t>com Firmeza</t>
        </is>
      </c>
      <c r="Q48" s="5" t="n">
        <v>1.5</v>
      </c>
      <c r="R48" s="5" t="n">
        <v>2</v>
      </c>
      <c r="S48" s="5" t="inlineStr">
        <is>
          <t>6d10 + 3</t>
        </is>
      </c>
      <c r="T48" s="5" t="n">
        <v>36</v>
      </c>
      <c r="U48" s="5" t="inlineStr">
        <is>
          <t>ficha</t>
        </is>
      </c>
    </row>
    <row r="49">
      <c r="A49" s="43" t="inlineStr">
        <is>
          <t>13-16|Boss</t>
        </is>
      </c>
      <c r="B49" s="10" t="inlineStr">
        <is>
          <t>13-16</t>
        </is>
      </c>
      <c r="C49" s="10" t="inlineStr">
        <is>
          <t>Boss</t>
        </is>
      </c>
      <c r="D49" s="10" t="n">
        <v>750</v>
      </c>
      <c r="E49" s="10" t="n">
        <v>23</v>
      </c>
      <c r="F49" s="10" t="n">
        <v>6</v>
      </c>
      <c r="G49" s="10" t="n">
        <v>12</v>
      </c>
      <c r="H49" s="10" t="n">
        <v>18</v>
      </c>
      <c r="I49" s="10" t="n">
        <v>12</v>
      </c>
      <c r="J49" s="10" t="inlineStr">
        <is>
          <t>6d10 + 3</t>
        </is>
      </c>
      <c r="K49" s="10" t="n">
        <v>36</v>
      </c>
      <c r="L49" s="10" t="n">
        <v>19</v>
      </c>
      <c r="M49" s="10" t="n">
        <v>7</v>
      </c>
      <c r="N49" s="10" t="inlineStr">
        <is>
          <t>4</t>
        </is>
      </c>
      <c r="O49" s="10" t="n">
        <v>4</v>
      </c>
      <c r="P49" s="10" t="inlineStr">
        <is>
          <t>com Firmeza</t>
        </is>
      </c>
      <c r="Q49" s="10" t="n">
        <v>2</v>
      </c>
      <c r="R49" s="10" t="n">
        <v>2</v>
      </c>
      <c r="S49" s="10" t="inlineStr">
        <is>
          <t>9d10 + 5</t>
        </is>
      </c>
      <c r="T49" s="10" t="n">
        <v>54</v>
      </c>
      <c r="U49" s="10" t="inlineStr">
        <is>
          <t>ficha</t>
        </is>
      </c>
    </row>
    <row r="50" ht="26" customHeight="1">
      <c r="A50" s="31" t="inlineStr">
        <is>
          <t>17-20|Comum</t>
        </is>
      </c>
      <c r="B50" s="5" t="inlineStr">
        <is>
          <t>17-20</t>
        </is>
      </c>
      <c r="C50" s="5" t="inlineStr">
        <is>
          <t>Comum</t>
        </is>
      </c>
      <c r="D50" s="5" t="n">
        <v>155</v>
      </c>
      <c r="E50" s="5" t="n">
        <v>24</v>
      </c>
      <c r="F50" s="5" t="n">
        <v>0</v>
      </c>
      <c r="G50" s="5" t="n">
        <v>4</v>
      </c>
      <c r="H50" s="5" t="n">
        <v>15</v>
      </c>
      <c r="I50" s="5" t="n">
        <v>13</v>
      </c>
      <c r="J50" s="5" t="inlineStr">
        <is>
          <t>3d8 + 3</t>
        </is>
      </c>
      <c r="K50" s="5" t="n">
        <v>16</v>
      </c>
      <c r="L50" s="5" t="n">
        <v>19</v>
      </c>
      <c r="M50" s="5" t="n">
        <v>7</v>
      </c>
      <c r="N50" s="5" t="inlineStr">
        <is>
          <t>1-2</t>
        </is>
      </c>
      <c r="O50" s="5" t="n">
        <v>2</v>
      </c>
      <c r="P50" s="5" t="inlineStr">
        <is>
          <t>sem Firmeza</t>
        </is>
      </c>
      <c r="Q50" s="5" t="n">
        <v>1</v>
      </c>
      <c r="R50" s="5" t="n">
        <v>3</v>
      </c>
      <c r="S50" s="5" t="inlineStr">
        <is>
          <t>3d8 + 11</t>
        </is>
      </c>
      <c r="T50" s="5" t="n">
        <v>24</v>
      </c>
      <c r="U50" s="5" t="inlineStr">
        <is>
          <t>Sugestão da planilha (H2)</t>
        </is>
      </c>
    </row>
    <row r="51">
      <c r="A51" s="43" t="inlineStr">
        <is>
          <t>17-20|Elite</t>
        </is>
      </c>
      <c r="B51" s="10" t="inlineStr">
        <is>
          <t>17-20</t>
        </is>
      </c>
      <c r="C51" s="10" t="inlineStr">
        <is>
          <t>Elite</t>
        </is>
      </c>
      <c r="D51" s="10" t="n">
        <v>365</v>
      </c>
      <c r="E51" s="10" t="n">
        <v>26</v>
      </c>
      <c r="F51" s="10" t="n">
        <v>4</v>
      </c>
      <c r="G51" s="10" t="n">
        <v>7</v>
      </c>
      <c r="H51" s="10" t="n">
        <v>17</v>
      </c>
      <c r="I51" s="10" t="n">
        <v>13</v>
      </c>
      <c r="J51" s="10" t="inlineStr">
        <is>
          <t>5d12</t>
        </is>
      </c>
      <c r="K51" s="10" t="n">
        <v>32</v>
      </c>
      <c r="L51" s="10" t="n">
        <v>20</v>
      </c>
      <c r="M51" s="10" t="n">
        <v>8</v>
      </c>
      <c r="N51" s="10" t="inlineStr">
        <is>
          <t>3</t>
        </is>
      </c>
      <c r="O51" s="10" t="n">
        <v>3</v>
      </c>
      <c r="P51" s="10" t="inlineStr">
        <is>
          <t>com Firmeza</t>
        </is>
      </c>
      <c r="Q51" s="10" t="n">
        <v>1.5</v>
      </c>
      <c r="R51" s="10" t="n">
        <v>2</v>
      </c>
      <c r="S51" s="10" t="inlineStr">
        <is>
          <t>7d12 + 3</t>
        </is>
      </c>
      <c r="T51" s="10" t="n">
        <v>48</v>
      </c>
      <c r="U51" s="10" t="inlineStr">
        <is>
          <t>ficha</t>
        </is>
      </c>
    </row>
    <row r="52">
      <c r="A52" s="31" t="inlineStr">
        <is>
          <t>17-20|Boss</t>
        </is>
      </c>
      <c r="B52" s="5" t="inlineStr">
        <is>
          <t>17-20</t>
        </is>
      </c>
      <c r="C52" s="5" t="inlineStr">
        <is>
          <t>Boss</t>
        </is>
      </c>
      <c r="D52" s="5" t="n">
        <v>935</v>
      </c>
      <c r="E52" s="5" t="n">
        <v>27</v>
      </c>
      <c r="F52" s="5" t="n">
        <v>8</v>
      </c>
      <c r="G52" s="5" t="n">
        <v>13</v>
      </c>
      <c r="H52" s="5" t="n">
        <v>19</v>
      </c>
      <c r="I52" s="5" t="n">
        <v>13</v>
      </c>
      <c r="J52" s="5" t="inlineStr">
        <is>
          <t>7d12 + 3</t>
        </is>
      </c>
      <c r="K52" s="5" t="n">
        <v>48</v>
      </c>
      <c r="L52" s="5" t="n">
        <v>21</v>
      </c>
      <c r="M52" s="5" t="n">
        <v>9</v>
      </c>
      <c r="N52" s="5" t="inlineStr">
        <is>
          <t>4</t>
        </is>
      </c>
      <c r="O52" s="5" t="n">
        <v>4</v>
      </c>
      <c r="P52" s="5" t="inlineStr">
        <is>
          <t>com Firmeza</t>
        </is>
      </c>
      <c r="Q52" s="5" t="n">
        <v>2</v>
      </c>
      <c r="R52" s="5" t="n">
        <v>2</v>
      </c>
      <c r="S52" s="5" t="inlineStr">
        <is>
          <t>10d12 + 7</t>
        </is>
      </c>
      <c r="T52" s="5" t="n">
        <v>72</v>
      </c>
      <c r="U52" s="5" t="inlineStr">
        <is>
          <t>ficha</t>
        </is>
      </c>
    </row>
    <row r="53"/>
    <row r="54" ht="32" customHeight="1">
      <c r="A54" s="69" t="inlineStr">
        <is>
          <t>Dano por acerto, convertido em dados — 28.3</t>
        </is>
      </c>
      <c r="B54" s="70" t="n"/>
      <c r="C54" s="70" t="n"/>
      <c r="D54" s="70" t="n"/>
      <c r="E54" s="70" t="n"/>
      <c r="F54" s="70" t="n"/>
    </row>
    <row r="55">
      <c r="A55" s="8" t="inlineStr">
        <is>
          <t>Chave</t>
        </is>
      </c>
      <c r="B55" s="8" t="inlineStr">
        <is>
          <t>Expressão</t>
        </is>
      </c>
      <c r="C55" s="8" t="inlineStr">
        <is>
          <t>Nº de dados</t>
        </is>
      </c>
      <c r="D55" s="8" t="inlineStr">
        <is>
          <t>Faces</t>
        </is>
      </c>
      <c r="E55" s="8" t="inlineStr">
        <is>
          <t>Fixo</t>
        </is>
      </c>
      <c r="F55" s="8" t="inlineStr">
        <is>
          <t>Média</t>
        </is>
      </c>
    </row>
    <row r="56">
      <c r="A56" s="31" t="inlineStr">
        <is>
          <t>1-4|Comum</t>
        </is>
      </c>
      <c r="B56" s="5" t="inlineStr">
        <is>
          <t>1d6</t>
        </is>
      </c>
      <c r="C56" s="5" t="n">
        <v>1</v>
      </c>
      <c r="D56" s="5" t="n">
        <v>6</v>
      </c>
      <c r="E56" s="5" t="n">
        <v>0</v>
      </c>
      <c r="F56" s="5" t="n">
        <v>3</v>
      </c>
    </row>
    <row r="57">
      <c r="A57" s="43" t="inlineStr">
        <is>
          <t>1-4|Elite</t>
        </is>
      </c>
      <c r="B57" s="10" t="inlineStr">
        <is>
          <t>2d6</t>
        </is>
      </c>
      <c r="C57" s="10" t="n">
        <v>2</v>
      </c>
      <c r="D57" s="10" t="n">
        <v>6</v>
      </c>
      <c r="E57" s="10" t="n">
        <v>0</v>
      </c>
      <c r="F57" s="10" t="n">
        <v>7</v>
      </c>
    </row>
    <row r="58">
      <c r="A58" s="31" t="inlineStr">
        <is>
          <t>1-4|Boss</t>
        </is>
      </c>
      <c r="B58" s="5" t="inlineStr">
        <is>
          <t>3d6</t>
        </is>
      </c>
      <c r="C58" s="5" t="n">
        <v>3</v>
      </c>
      <c r="D58" s="5" t="n">
        <v>6</v>
      </c>
      <c r="E58" s="5" t="n">
        <v>0</v>
      </c>
      <c r="F58" s="5" t="n">
        <v>10</v>
      </c>
    </row>
    <row r="59">
      <c r="A59" s="43" t="inlineStr">
        <is>
          <t>5-8|Comum</t>
        </is>
      </c>
      <c r="B59" s="10" t="inlineStr">
        <is>
          <t>2d6</t>
        </is>
      </c>
      <c r="C59" s="10" t="n">
        <v>2</v>
      </c>
      <c r="D59" s="10" t="n">
        <v>6</v>
      </c>
      <c r="E59" s="10" t="n">
        <v>0</v>
      </c>
      <c r="F59" s="10" t="n">
        <v>7</v>
      </c>
    </row>
    <row r="60">
      <c r="A60" s="31" t="inlineStr">
        <is>
          <t>5-8|Elite</t>
        </is>
      </c>
      <c r="B60" s="5" t="inlineStr">
        <is>
          <t>3d8</t>
        </is>
      </c>
      <c r="C60" s="5" t="n">
        <v>3</v>
      </c>
      <c r="D60" s="5" t="n">
        <v>8</v>
      </c>
      <c r="E60" s="5" t="n">
        <v>0</v>
      </c>
      <c r="F60" s="5" t="n">
        <v>13</v>
      </c>
    </row>
    <row r="61">
      <c r="A61" s="43" t="inlineStr">
        <is>
          <t>5-8|Boss</t>
        </is>
      </c>
      <c r="B61" s="10" t="inlineStr">
        <is>
          <t>4d8 + 2</t>
        </is>
      </c>
      <c r="C61" s="10" t="n">
        <v>4</v>
      </c>
      <c r="D61" s="10" t="n">
        <v>8</v>
      </c>
      <c r="E61" s="10" t="n">
        <v>2</v>
      </c>
      <c r="F61" s="10" t="n">
        <v>20</v>
      </c>
    </row>
    <row r="62">
      <c r="A62" s="31" t="inlineStr">
        <is>
          <t>9-12|Comum</t>
        </is>
      </c>
      <c r="B62" s="5" t="inlineStr">
        <is>
          <t>2d8</t>
        </is>
      </c>
      <c r="C62" s="5" t="n">
        <v>2</v>
      </c>
      <c r="D62" s="5" t="n">
        <v>8</v>
      </c>
      <c r="E62" s="5" t="n">
        <v>0</v>
      </c>
      <c r="F62" s="5" t="n">
        <v>9</v>
      </c>
    </row>
    <row r="63">
      <c r="A63" s="43" t="inlineStr">
        <is>
          <t>9-12|Elite</t>
        </is>
      </c>
      <c r="B63" s="10" t="inlineStr">
        <is>
          <t>4d8 + 1</t>
        </is>
      </c>
      <c r="C63" s="10" t="n">
        <v>4</v>
      </c>
      <c r="D63" s="10" t="n">
        <v>8</v>
      </c>
      <c r="E63" s="10" t="n">
        <v>1</v>
      </c>
      <c r="F63" s="10" t="n">
        <v>19</v>
      </c>
    </row>
    <row r="64">
      <c r="A64" s="31" t="inlineStr">
        <is>
          <t>9-12|Boss</t>
        </is>
      </c>
      <c r="B64" s="5" t="inlineStr">
        <is>
          <t>5d10 + 1</t>
        </is>
      </c>
      <c r="C64" s="5" t="n">
        <v>5</v>
      </c>
      <c r="D64" s="5" t="n">
        <v>10</v>
      </c>
      <c r="E64" s="5" t="n">
        <v>1</v>
      </c>
      <c r="F64" s="5" t="n">
        <v>28</v>
      </c>
    </row>
    <row r="65">
      <c r="A65" s="43" t="inlineStr">
        <is>
          <t>13-16|Comum</t>
        </is>
      </c>
      <c r="B65" s="10" t="inlineStr">
        <is>
          <t>3d6 + 2</t>
        </is>
      </c>
      <c r="C65" s="10" t="n">
        <v>3</v>
      </c>
      <c r="D65" s="10" t="n">
        <v>6</v>
      </c>
      <c r="E65" s="10" t="n">
        <v>2</v>
      </c>
      <c r="F65" s="10" t="n">
        <v>12</v>
      </c>
    </row>
    <row r="66">
      <c r="A66" s="31" t="inlineStr">
        <is>
          <t>13-16|Elite</t>
        </is>
      </c>
      <c r="B66" s="5" t="inlineStr">
        <is>
          <t>4d10 + 2</t>
        </is>
      </c>
      <c r="C66" s="5" t="n">
        <v>4</v>
      </c>
      <c r="D66" s="5" t="n">
        <v>10</v>
      </c>
      <c r="E66" s="5" t="n">
        <v>2</v>
      </c>
      <c r="F66" s="5" t="n">
        <v>24</v>
      </c>
    </row>
    <row r="67">
      <c r="A67" s="43" t="inlineStr">
        <is>
          <t>13-16|Boss</t>
        </is>
      </c>
      <c r="B67" s="10" t="inlineStr">
        <is>
          <t>6d10 + 3</t>
        </is>
      </c>
      <c r="C67" s="10" t="n">
        <v>6</v>
      </c>
      <c r="D67" s="10" t="n">
        <v>10</v>
      </c>
      <c r="E67" s="10" t="n">
        <v>3</v>
      </c>
      <c r="F67" s="10" t="n">
        <v>36</v>
      </c>
    </row>
    <row r="68">
      <c r="A68" s="31" t="inlineStr">
        <is>
          <t>17-20|Comum</t>
        </is>
      </c>
      <c r="B68" s="5" t="inlineStr">
        <is>
          <t>3d8 + 3</t>
        </is>
      </c>
      <c r="C68" s="5" t="n">
        <v>3</v>
      </c>
      <c r="D68" s="5" t="n">
        <v>8</v>
      </c>
      <c r="E68" s="5" t="n">
        <v>3</v>
      </c>
      <c r="F68" s="5" t="n">
        <v>16</v>
      </c>
    </row>
    <row r="69">
      <c r="A69" s="43" t="inlineStr">
        <is>
          <t>17-20|Elite</t>
        </is>
      </c>
      <c r="B69" s="10" t="inlineStr">
        <is>
          <t>5d12</t>
        </is>
      </c>
      <c r="C69" s="10" t="n">
        <v>5</v>
      </c>
      <c r="D69" s="10" t="n">
        <v>12</v>
      </c>
      <c r="E69" s="10" t="n">
        <v>0</v>
      </c>
      <c r="F69" s="10" t="n">
        <v>32</v>
      </c>
    </row>
    <row r="70">
      <c r="A70" s="31" t="inlineStr">
        <is>
          <t>17-20|Boss</t>
        </is>
      </c>
      <c r="B70" s="5" t="inlineStr">
        <is>
          <t>7d12 + 3</t>
        </is>
      </c>
      <c r="C70" s="5" t="n">
        <v>7</v>
      </c>
      <c r="D70" s="5" t="n">
        <v>12</v>
      </c>
      <c r="E70" s="5" t="n">
        <v>3</v>
      </c>
      <c r="F70" s="5" t="n">
        <v>48</v>
      </c>
    </row>
    <row r="71"/>
    <row r="72" ht="46" customHeight="1">
      <c r="A72" s="69" t="inlineStr">
        <is>
          <t>Dano de ação especial 1,5× — 28.4 regra 5 (fonte: ficha do livro ou Sugestão H2)</t>
        </is>
      </c>
      <c r="B72" s="70" t="n"/>
      <c r="C72" s="70" t="n"/>
      <c r="D72" s="70" t="n"/>
      <c r="E72" s="70" t="n"/>
    </row>
    <row r="73">
      <c r="A73" s="8" t="inlineStr">
        <is>
          <t>Chave</t>
        </is>
      </c>
      <c r="B73" s="8" t="inlineStr">
        <is>
          <t>Expressão</t>
        </is>
      </c>
      <c r="C73" s="8" t="inlineStr">
        <is>
          <t>Média</t>
        </is>
      </c>
      <c r="D73" s="8" t="inlineStr">
        <is>
          <t>Fonte</t>
        </is>
      </c>
      <c r="E73" s="8" t="inlineStr">
        <is>
          <t>Ficha</t>
        </is>
      </c>
    </row>
    <row r="74" ht="26" customHeight="1">
      <c r="A74" s="31" t="inlineStr">
        <is>
          <t>1-4|Comum</t>
        </is>
      </c>
      <c r="B74" s="5" t="inlineStr">
        <is>
          <t>1d6 + 1</t>
        </is>
      </c>
      <c r="C74" s="5" t="n">
        <v>4</v>
      </c>
      <c r="D74" s="5" t="inlineStr">
        <is>
          <t>Sugestão da planilha (H2)</t>
        </is>
      </c>
      <c r="E74" s="5" t="inlineStr"/>
    </row>
    <row r="75">
      <c r="A75" s="43" t="inlineStr">
        <is>
          <t>1-4|Elite</t>
        </is>
      </c>
      <c r="B75" s="10" t="inlineStr">
        <is>
          <t>3d6</t>
        </is>
      </c>
      <c r="C75" s="10" t="n">
        <v>10</v>
      </c>
      <c r="D75" s="10" t="inlineStr">
        <is>
          <t>ficha</t>
        </is>
      </c>
      <c r="E75" s="10" t="inlineStr">
        <is>
          <t>Capataz Oco</t>
        </is>
      </c>
    </row>
    <row r="76" ht="26" customHeight="1">
      <c r="A76" s="31" t="inlineStr">
        <is>
          <t>1-4|Boss</t>
        </is>
      </c>
      <c r="B76" s="5" t="inlineStr">
        <is>
          <t>3d8 + 2</t>
        </is>
      </c>
      <c r="C76" s="5" t="n">
        <v>15</v>
      </c>
      <c r="D76" s="5" t="inlineStr">
        <is>
          <t>ficha</t>
        </is>
      </c>
      <c r="E76" s="5" t="inlineStr">
        <is>
          <t>O Afogado do Poço Sete</t>
        </is>
      </c>
    </row>
    <row r="77" ht="26" customHeight="1">
      <c r="A77" s="43" t="inlineStr">
        <is>
          <t>5-8|Comum</t>
        </is>
      </c>
      <c r="B77" s="10" t="inlineStr">
        <is>
          <t>2d6 + 3</t>
        </is>
      </c>
      <c r="C77" s="10" t="n">
        <v>10</v>
      </c>
      <c r="D77" s="10" t="inlineStr">
        <is>
          <t>Sugestão da planilha (H2)</t>
        </is>
      </c>
      <c r="E77" s="10" t="inlineStr"/>
    </row>
    <row r="78">
      <c r="A78" s="31" t="inlineStr">
        <is>
          <t>5-8|Elite</t>
        </is>
      </c>
      <c r="B78" s="5" t="inlineStr">
        <is>
          <t>4d8 + 1</t>
        </is>
      </c>
      <c r="C78" s="5" t="n">
        <v>19</v>
      </c>
      <c r="D78" s="5" t="inlineStr">
        <is>
          <t>ficha</t>
        </is>
      </c>
      <c r="E78" s="5" t="inlineStr">
        <is>
          <t>Centurião Catafracto</t>
        </is>
      </c>
    </row>
    <row r="79" ht="26" customHeight="1">
      <c r="A79" s="43" t="inlineStr">
        <is>
          <t>5-8|Boss</t>
        </is>
      </c>
      <c r="B79" s="10" t="inlineStr">
        <is>
          <t>4d8 + 12</t>
        </is>
      </c>
      <c r="C79" s="10" t="n">
        <v>30</v>
      </c>
      <c r="D79" s="10" t="inlineStr">
        <is>
          <t>Sugestão da planilha (H2)</t>
        </is>
      </c>
      <c r="E79" s="10" t="inlineStr"/>
    </row>
    <row r="80" ht="26" customHeight="1">
      <c r="A80" s="31" t="inlineStr">
        <is>
          <t>9-12|Comum</t>
        </is>
      </c>
      <c r="B80" s="5" t="inlineStr">
        <is>
          <t>2d8 + 4</t>
        </is>
      </c>
      <c r="C80" s="5" t="n">
        <v>13</v>
      </c>
      <c r="D80" s="5" t="inlineStr">
        <is>
          <t>Sugestão da planilha (H2)</t>
        </is>
      </c>
      <c r="E80" s="5" t="inlineStr"/>
    </row>
    <row r="81" ht="26" customHeight="1">
      <c r="A81" s="43" t="inlineStr">
        <is>
          <t>9-12|Elite</t>
        </is>
      </c>
      <c r="B81" s="10" t="inlineStr">
        <is>
          <t>5d10 + 1</t>
        </is>
      </c>
      <c r="C81" s="10" t="n">
        <v>28</v>
      </c>
      <c r="D81" s="10" t="inlineStr">
        <is>
          <t>ficha</t>
        </is>
      </c>
      <c r="E81" s="10" t="inlineStr">
        <is>
          <t>Oficial-Lâmina da Frota de Jade</t>
        </is>
      </c>
    </row>
    <row r="82" ht="26" customHeight="1">
      <c r="A82" s="31" t="inlineStr">
        <is>
          <t>9-12|Boss</t>
        </is>
      </c>
      <c r="B82" s="5" t="inlineStr">
        <is>
          <t>7d10 + 4</t>
        </is>
      </c>
      <c r="C82" s="5" t="n">
        <v>42</v>
      </c>
      <c r="D82" s="5" t="inlineStr">
        <is>
          <t>ficha</t>
        </is>
      </c>
      <c r="E82" s="5" t="inlineStr">
        <is>
          <t>O Dramaturgo de Mil Faces</t>
        </is>
      </c>
    </row>
    <row r="83" ht="26" customHeight="1">
      <c r="A83" s="43" t="inlineStr">
        <is>
          <t>13-16|Comum</t>
        </is>
      </c>
      <c r="B83" s="10" t="inlineStr">
        <is>
          <t>3d6 + 8</t>
        </is>
      </c>
      <c r="C83" s="10" t="n">
        <v>18</v>
      </c>
      <c r="D83" s="10" t="inlineStr">
        <is>
          <t>Sugestão da planilha (H2)</t>
        </is>
      </c>
      <c r="E83" s="10" t="inlineStr"/>
    </row>
    <row r="84">
      <c r="A84" s="31" t="inlineStr">
        <is>
          <t>13-16|Elite</t>
        </is>
      </c>
      <c r="B84" s="5" t="inlineStr">
        <is>
          <t>6d10 + 3</t>
        </is>
      </c>
      <c r="C84" s="5" t="n">
        <v>36</v>
      </c>
      <c r="D84" s="5" t="inlineStr">
        <is>
          <t>ficha</t>
        </is>
      </c>
      <c r="E84" s="5" t="inlineStr">
        <is>
          <t>Escultor de Carne</t>
        </is>
      </c>
    </row>
    <row r="85">
      <c r="A85" s="43" t="inlineStr">
        <is>
          <t>13-16|Boss</t>
        </is>
      </c>
      <c r="B85" s="10" t="inlineStr">
        <is>
          <t>9d10 + 5</t>
        </is>
      </c>
      <c r="C85" s="10" t="n">
        <v>54</v>
      </c>
      <c r="D85" s="10" t="inlineStr">
        <is>
          <t>ficha</t>
        </is>
      </c>
      <c r="E85" s="10" t="inlineStr">
        <is>
          <t>Vênia, a Primeira Obra</t>
        </is>
      </c>
    </row>
    <row r="86" ht="26" customHeight="1">
      <c r="A86" s="31" t="inlineStr">
        <is>
          <t>17-20|Comum</t>
        </is>
      </c>
      <c r="B86" s="5" t="inlineStr">
        <is>
          <t>3d8 + 11</t>
        </is>
      </c>
      <c r="C86" s="5" t="n">
        <v>24</v>
      </c>
      <c r="D86" s="5" t="inlineStr">
        <is>
          <t>Sugestão da planilha (H2)</t>
        </is>
      </c>
      <c r="E86" s="5" t="inlineStr"/>
    </row>
    <row r="87">
      <c r="A87" s="43" t="inlineStr">
        <is>
          <t>17-20|Elite</t>
        </is>
      </c>
      <c r="B87" s="10" t="inlineStr">
        <is>
          <t>7d12 + 3</t>
        </is>
      </c>
      <c r="C87" s="10" t="n">
        <v>48</v>
      </c>
      <c r="D87" s="10" t="inlineStr">
        <is>
          <t>ficha</t>
        </is>
      </c>
      <c r="E87" s="10" t="inlineStr">
        <is>
          <t>Arcanjo de Ferro-Vazio</t>
        </is>
      </c>
    </row>
    <row r="88">
      <c r="A88" s="31" t="inlineStr">
        <is>
          <t>17-20|Boss</t>
        </is>
      </c>
      <c r="B88" s="5" t="inlineStr">
        <is>
          <t>10d12 + 7</t>
        </is>
      </c>
      <c r="C88" s="5" t="n">
        <v>72</v>
      </c>
      <c r="D88" s="5" t="inlineStr">
        <is>
          <t>ficha</t>
        </is>
      </c>
      <c r="E88" s="5" t="inlineStr">
        <is>
          <t>O Germe de Pavor</t>
        </is>
      </c>
    </row>
    <row r="89"/>
    <row r="90" ht="46" customHeight="1">
      <c r="A90" s="69" t="inlineStr">
        <is>
          <t>Bestiário: as 32 fichas — 28.6 a 28.11 (ambiente: Sugestão da planilha, H8)</t>
        </is>
      </c>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c r="AA90" s="70" t="n"/>
      <c r="AB90" s="70" t="n"/>
      <c r="AC90" s="70" t="n"/>
      <c r="AD90" s="70" t="n"/>
      <c r="AE90" s="70" t="n"/>
      <c r="AF90" s="70" t="n"/>
      <c r="AG90" s="70" t="n"/>
      <c r="AH90" s="70" t="n"/>
      <c r="AI90" s="70" t="n"/>
      <c r="AJ90" s="70" t="n"/>
      <c r="AK90" s="70" t="n"/>
      <c r="AL90" s="70" t="n"/>
    </row>
    <row r="91">
      <c r="A91" s="8" t="inlineStr">
        <is>
          <t>Nº</t>
        </is>
      </c>
      <c r="B91" s="8" t="inlineStr">
        <is>
          <t>Nome</t>
        </is>
      </c>
      <c r="C91" s="8" t="inlineStr">
        <is>
          <t>Tipo</t>
        </is>
      </c>
      <c r="D91" s="8" t="inlineStr">
        <is>
          <t>Faixa</t>
        </is>
      </c>
      <c r="E91" s="8" t="inlineStr">
        <is>
          <t>Facção ou origem</t>
        </is>
      </c>
      <c r="F91" s="8" t="inlineStr">
        <is>
          <t>Fases</t>
        </is>
      </c>
      <c r="G91" s="8" t="inlineStr">
        <is>
          <t>PV</t>
        </is>
      </c>
      <c r="H91" s="8" t="inlineStr">
        <is>
          <t>Defesa</t>
        </is>
      </c>
      <c r="I91" s="8" t="inlineStr">
        <is>
          <t>RD</t>
        </is>
      </c>
      <c r="J91" s="8" t="inlineStr">
        <is>
          <t>Tenacidade</t>
        </is>
      </c>
      <c r="K91" s="8" t="inlineStr">
        <is>
          <t>VEL</t>
        </is>
      </c>
      <c r="L91" s="8" t="inlineStr">
        <is>
          <t>Ataque</t>
        </is>
      </c>
      <c r="M91" s="8" t="inlineStr">
        <is>
          <t>Dano por acerto</t>
        </is>
      </c>
      <c r="N91" s="8" t="inlineStr">
        <is>
          <t>Média do dano</t>
        </is>
      </c>
      <c r="O91" s="8" t="inlineStr">
        <is>
          <t>DT dos efeitos</t>
        </is>
      </c>
      <c r="P91" s="8" t="inlineStr">
        <is>
          <t>Teste de Resistência</t>
        </is>
      </c>
      <c r="Q91" s="8" t="inlineStr">
        <is>
          <t>Fraqueza 1</t>
        </is>
      </c>
      <c r="R91" s="8" t="inlineStr">
        <is>
          <t>Fraqueza 2</t>
        </is>
      </c>
      <c r="S91" s="8" t="inlineStr">
        <is>
          <t>Fraqueza 3</t>
        </is>
      </c>
      <c r="T91" s="8" t="inlineStr">
        <is>
          <t>Fraqueza 4</t>
        </is>
      </c>
      <c r="U91" s="8" t="inlineStr">
        <is>
          <t>Resistência</t>
        </is>
      </c>
      <c r="V91" s="8" t="inlineStr">
        <is>
          <t>Execução</t>
        </is>
      </c>
      <c r="W91" s="8" t="inlineStr">
        <is>
          <t>Firmeza</t>
        </is>
      </c>
      <c r="X91" s="8" t="inlineStr">
        <is>
          <t>Na Fila (resto)</t>
        </is>
      </c>
      <c r="Y91" s="8" t="inlineStr">
        <is>
          <t>Frase</t>
        </is>
      </c>
      <c r="Z91" s="8" t="inlineStr">
        <is>
          <t>Ações agressivas</t>
        </is>
      </c>
      <c r="AA91" s="8" t="inlineStr">
        <is>
          <t>Custo no orçamento</t>
        </is>
      </c>
      <c r="AB91" s="8" t="inlineStr">
        <is>
          <t>Índice da faixa</t>
        </is>
      </c>
      <c r="AC91" s="8" t="inlineStr">
        <is>
          <t>Índice do tipo</t>
        </is>
      </c>
      <c r="AD91" s="8" t="inlineStr">
        <is>
          <t>Origem 2</t>
        </is>
      </c>
      <c r="AE91" s="8" t="inlineStr">
        <is>
          <t>Fraquezas (texto)</t>
        </is>
      </c>
      <c r="AF91" s="8" t="inlineStr">
        <is>
          <t>Especial 1</t>
        </is>
      </c>
      <c r="AG91" s="8" t="inlineStr">
        <is>
          <t>Recarga 1</t>
        </is>
      </c>
      <c r="AH91" s="8" t="inlineStr">
        <is>
          <t>Especial 2</t>
        </is>
      </c>
      <c r="AI91" s="8" t="inlineStr">
        <is>
          <t>Recarga 2</t>
        </is>
      </c>
      <c r="AJ91" s="8" t="inlineStr">
        <is>
          <t>Especial 3</t>
        </is>
      </c>
      <c r="AK91" s="8" t="inlineStr">
        <is>
          <t>Recarga 3</t>
        </is>
      </c>
      <c r="AL91" s="8" t="inlineStr">
        <is>
          <t>Origem no cartão</t>
        </is>
      </c>
    </row>
    <row r="92" ht="37" customHeight="1">
      <c r="A92" s="31" t="n">
        <v>1</v>
      </c>
      <c r="B92" s="5" t="inlineStr">
        <is>
          <t>Casco Oco</t>
        </is>
      </c>
      <c r="C92" s="5" t="inlineStr">
        <is>
          <t>Comum</t>
        </is>
      </c>
      <c r="D92" s="5" t="inlineStr">
        <is>
          <t>1-4</t>
        </is>
      </c>
      <c r="E92" s="5" t="inlineStr">
        <is>
          <t>Fragmentum</t>
        </is>
      </c>
      <c r="F92" s="5" t="n">
        <v>1</v>
      </c>
      <c r="G92" s="5" t="n">
        <v>50</v>
      </c>
      <c r="H92" s="5" t="n">
        <v>13</v>
      </c>
      <c r="I92" s="5" t="n">
        <v>0</v>
      </c>
      <c r="J92" s="5" t="n">
        <v>3</v>
      </c>
      <c r="K92" s="5" t="n">
        <v>11</v>
      </c>
      <c r="L92" s="5" t="n">
        <v>7</v>
      </c>
      <c r="M92" s="5" t="inlineStr">
        <is>
          <t>1d6</t>
        </is>
      </c>
      <c r="N92" s="5" t="n">
        <v>3</v>
      </c>
      <c r="O92" s="5" t="n">
        <v>12</v>
      </c>
      <c r="P92" s="5" t="n">
        <v>1</v>
      </c>
      <c r="Q92" s="5" t="inlineStr">
        <is>
          <t>Físico</t>
        </is>
      </c>
      <c r="R92" s="5" t="inlineStr">
        <is>
          <t>Fogo</t>
        </is>
      </c>
      <c r="S92" s="5" t="inlineStr"/>
      <c r="T92" s="5" t="inlineStr"/>
      <c r="U92" s="5" t="inlineStr"/>
      <c r="V92" s="5" t="inlineStr">
        <is>
          <t>Não declarado</t>
        </is>
      </c>
      <c r="W92" s="5" t="inlineStr">
        <is>
          <t>sem Firmeza</t>
        </is>
      </c>
      <c r="X92" s="5" t="inlineStr">
        <is>
          <t>Avança em linha reta no alvo mais próximo e não recua nunca.</t>
        </is>
      </c>
      <c r="Y92" s="5" t="inlineStr">
        <is>
          <t>"Ainda dá para ler o nome dele no crachá."</t>
        </is>
      </c>
      <c r="Z92" s="5" t="n">
        <v>1</v>
      </c>
      <c r="AA92" s="5" t="n">
        <v>50</v>
      </c>
      <c r="AB92" s="5" t="n">
        <v>1</v>
      </c>
      <c r="AC92" s="5" t="n">
        <v>1</v>
      </c>
      <c r="AD92" s="5" t="inlineStr"/>
      <c r="AE92" s="5" t="inlineStr">
        <is>
          <t>Físico, Fogo</t>
        </is>
      </c>
      <c r="AF92" s="5" t="inlineStr"/>
      <c r="AG92" s="5" t="inlineStr"/>
      <c r="AH92" s="5" t="inlineStr"/>
      <c r="AI92" s="5" t="inlineStr"/>
      <c r="AJ92" s="5" t="inlineStr"/>
      <c r="AK92" s="5" t="inlineStr"/>
      <c r="AL92" s="5" t="inlineStr">
        <is>
          <t>Fragmentum</t>
        </is>
      </c>
    </row>
    <row r="93" ht="60" customHeight="1">
      <c r="A93" s="43" t="n">
        <v>2</v>
      </c>
      <c r="B93" s="10" t="inlineStr">
        <is>
          <t>Larva Fuliginosa</t>
        </is>
      </c>
      <c r="C93" s="10" t="inlineStr">
        <is>
          <t>Comum</t>
        </is>
      </c>
      <c r="D93" s="10" t="inlineStr">
        <is>
          <t>1-4</t>
        </is>
      </c>
      <c r="E93" s="10" t="inlineStr">
        <is>
          <t>Fragmentum</t>
        </is>
      </c>
      <c r="F93" s="10" t="n">
        <v>1</v>
      </c>
      <c r="G93" s="10" t="n">
        <v>50</v>
      </c>
      <c r="H93" s="10" t="n">
        <v>13</v>
      </c>
      <c r="I93" s="10" t="n">
        <v>0</v>
      </c>
      <c r="J93" s="10" t="n">
        <v>3</v>
      </c>
      <c r="K93" s="10" t="n">
        <v>11</v>
      </c>
      <c r="L93" s="10" t="n">
        <v>7</v>
      </c>
      <c r="M93" s="10" t="inlineStr">
        <is>
          <t>1d6</t>
        </is>
      </c>
      <c r="N93" s="10" t="n">
        <v>3</v>
      </c>
      <c r="O93" s="10" t="n">
        <v>12</v>
      </c>
      <c r="P93" s="10" t="n">
        <v>1</v>
      </c>
      <c r="Q93" s="10" t="inlineStr">
        <is>
          <t>Fogo</t>
        </is>
      </c>
      <c r="R93" s="10" t="inlineStr">
        <is>
          <t>Vento</t>
        </is>
      </c>
      <c r="S93" s="10" t="inlineStr"/>
      <c r="T93" s="10" t="inlineStr"/>
      <c r="U93" s="10" t="inlineStr"/>
      <c r="V93" s="10" t="inlineStr">
        <is>
          <t>Não declarado</t>
        </is>
      </c>
      <c r="W93" s="10" t="inlineStr">
        <is>
          <t>sem Firmeza</t>
        </is>
      </c>
      <c r="X93" s="10" t="inlineStr">
        <is>
          <t>Nunca aparece sozinha: use 3 a 5 por cena, e deixe a mesa descobrir o Estouro do jeito difícil.</t>
        </is>
      </c>
      <c r="Y93" s="10" t="inlineStr">
        <is>
          <t>"Elas não atacam você. Elas atacam o lugar onde você está."</t>
        </is>
      </c>
      <c r="Z93" s="10" t="n">
        <v>1</v>
      </c>
      <c r="AA93" s="10" t="n">
        <v>50</v>
      </c>
      <c r="AB93" s="10" t="n">
        <v>1</v>
      </c>
      <c r="AC93" s="10" t="n">
        <v>1</v>
      </c>
      <c r="AD93" s="10" t="inlineStr"/>
      <c r="AE93" s="10" t="inlineStr">
        <is>
          <t>Fogo, Vento</t>
        </is>
      </c>
      <c r="AF93" s="10" t="inlineStr"/>
      <c r="AG93" s="10" t="inlineStr"/>
      <c r="AH93" s="10" t="inlineStr"/>
      <c r="AI93" s="10" t="inlineStr"/>
      <c r="AJ93" s="10" t="inlineStr"/>
      <c r="AK93" s="10" t="inlineStr"/>
      <c r="AL93" s="10" t="inlineStr">
        <is>
          <t>Fragmentum</t>
        </is>
      </c>
    </row>
    <row r="94" ht="82" customHeight="1">
      <c r="A94" s="31" t="n">
        <v>3</v>
      </c>
      <c r="B94" s="5" t="inlineStr">
        <is>
          <t>Esporo Rancoroso</t>
        </is>
      </c>
      <c r="C94" s="5" t="inlineStr">
        <is>
          <t>Comum</t>
        </is>
      </c>
      <c r="D94" s="5" t="inlineStr">
        <is>
          <t>1-4</t>
        </is>
      </c>
      <c r="E94" s="5" t="inlineStr">
        <is>
          <t>Fragmentum</t>
        </is>
      </c>
      <c r="F94" s="5" t="n">
        <v>1</v>
      </c>
      <c r="G94" s="5" t="n">
        <v>50</v>
      </c>
      <c r="H94" s="5" t="n">
        <v>13</v>
      </c>
      <c r="I94" s="5" t="n">
        <v>0</v>
      </c>
      <c r="J94" s="5" t="n">
        <v>3</v>
      </c>
      <c r="K94" s="5" t="n">
        <v>11</v>
      </c>
      <c r="L94" s="5" t="n">
        <v>7</v>
      </c>
      <c r="M94" s="5" t="inlineStr">
        <is>
          <t>1d6</t>
        </is>
      </c>
      <c r="N94" s="5" t="n">
        <v>3</v>
      </c>
      <c r="O94" s="5" t="n">
        <v>12</v>
      </c>
      <c r="P94" s="5" t="n">
        <v>1</v>
      </c>
      <c r="Q94" s="5" t="inlineStr">
        <is>
          <t>Fogo</t>
        </is>
      </c>
      <c r="R94" s="5" t="inlineStr"/>
      <c r="S94" s="5" t="inlineStr"/>
      <c r="T94" s="5" t="inlineStr"/>
      <c r="U94" s="5" t="inlineStr"/>
      <c r="V94" s="5" t="inlineStr">
        <is>
          <t>Não declarado</t>
        </is>
      </c>
      <c r="W94" s="5" t="inlineStr">
        <is>
          <t>sem Firmeza</t>
        </is>
      </c>
      <c r="X94" s="5" t="inlineStr">
        <is>
          <t>Tem 1 Fraqueza só — é o exemplo de Comum na ponta baixa da coluna, e ele é notavelmente mais chato de Quebrar por causa disso.</t>
        </is>
      </c>
      <c r="Y94" s="5" t="inlineStr">
        <is>
          <t>"Parece um tronco. Até abrir."</t>
        </is>
      </c>
      <c r="Z94" s="5" t="n">
        <v>1</v>
      </c>
      <c r="AA94" s="5" t="n">
        <v>50</v>
      </c>
      <c r="AB94" s="5" t="n">
        <v>1</v>
      </c>
      <c r="AC94" s="5" t="n">
        <v>1</v>
      </c>
      <c r="AD94" s="5" t="inlineStr"/>
      <c r="AE94" s="5" t="inlineStr">
        <is>
          <t>Fogo</t>
        </is>
      </c>
      <c r="AF94" s="5" t="inlineStr">
        <is>
          <t>Agarrar</t>
        </is>
      </c>
      <c r="AG94" s="5" t="n">
        <v>2</v>
      </c>
      <c r="AH94" s="5" t="inlineStr"/>
      <c r="AI94" s="5" t="inlineStr"/>
      <c r="AJ94" s="5" t="inlineStr"/>
      <c r="AK94" s="5" t="inlineStr"/>
      <c r="AL94" s="5" t="inlineStr">
        <is>
          <t>Fragmentum</t>
        </is>
      </c>
    </row>
    <row r="95" ht="48" customHeight="1">
      <c r="A95" s="43" t="n">
        <v>4</v>
      </c>
      <c r="B95" s="10" t="inlineStr">
        <is>
          <t>Peão da Antimatéria</t>
        </is>
      </c>
      <c r="C95" s="10" t="inlineStr">
        <is>
          <t>Comum</t>
        </is>
      </c>
      <c r="D95" s="10" t="inlineStr">
        <is>
          <t>1-4</t>
        </is>
      </c>
      <c r="E95" s="10" t="inlineStr">
        <is>
          <t>Legião da Antimatéria</t>
        </is>
      </c>
      <c r="F95" s="10" t="n">
        <v>1</v>
      </c>
      <c r="G95" s="10" t="n">
        <v>50</v>
      </c>
      <c r="H95" s="10" t="n">
        <v>13</v>
      </c>
      <c r="I95" s="10" t="n">
        <v>0</v>
      </c>
      <c r="J95" s="10" t="n">
        <v>3</v>
      </c>
      <c r="K95" s="10" t="n">
        <v>11</v>
      </c>
      <c r="L95" s="10" t="n">
        <v>7</v>
      </c>
      <c r="M95" s="10" t="inlineStr">
        <is>
          <t>1d6</t>
        </is>
      </c>
      <c r="N95" s="10" t="n">
        <v>3</v>
      </c>
      <c r="O95" s="10" t="n">
        <v>12</v>
      </c>
      <c r="P95" s="10" t="n">
        <v>1</v>
      </c>
      <c r="Q95" s="10" t="inlineStr">
        <is>
          <t>Físico</t>
        </is>
      </c>
      <c r="R95" s="10" t="inlineStr">
        <is>
          <t>Raio</t>
        </is>
      </c>
      <c r="S95" s="10" t="inlineStr"/>
      <c r="T95" s="10" t="inlineStr"/>
      <c r="U95" s="10" t="inlineStr"/>
      <c r="V95" s="10" t="inlineStr">
        <is>
          <t>Não declarado</t>
        </is>
      </c>
      <c r="W95" s="10" t="inlineStr">
        <is>
          <t>sem Firmeza</t>
        </is>
      </c>
      <c r="X95" s="10" t="inlineStr">
        <is>
          <t>Dois ataques na ficha, um por turno: ele escolhe o alcance, não dobra o dano.</t>
        </is>
      </c>
      <c r="Y95" s="10" t="inlineStr">
        <is>
          <t>"Eles não querem o planeta. Eles querem que ele deixe de existir."</t>
        </is>
      </c>
      <c r="Z95" s="10" t="n">
        <v>1</v>
      </c>
      <c r="AA95" s="10" t="n">
        <v>50</v>
      </c>
      <c r="AB95" s="10" t="n">
        <v>1</v>
      </c>
      <c r="AC95" s="10" t="n">
        <v>1</v>
      </c>
      <c r="AD95" s="10" t="inlineStr"/>
      <c r="AE95" s="10" t="inlineStr">
        <is>
          <t>Físico, Raio</t>
        </is>
      </c>
      <c r="AF95" s="10" t="inlineStr">
        <is>
          <t>Fogo de supressão</t>
        </is>
      </c>
      <c r="AG95" s="10" t="n">
        <v>2</v>
      </c>
      <c r="AH95" s="10" t="inlineStr"/>
      <c r="AI95" s="10" t="inlineStr"/>
      <c r="AJ95" s="10" t="inlineStr"/>
      <c r="AK95" s="10" t="inlineStr"/>
      <c r="AL95" s="10" t="inlineStr">
        <is>
          <t>Legião da Antimatéria</t>
        </is>
      </c>
    </row>
    <row r="96" ht="48" customHeight="1">
      <c r="A96" s="31" t="n">
        <v>5</v>
      </c>
      <c r="B96" s="5" t="inlineStr">
        <is>
          <t>Sentinela Enferrujada</t>
        </is>
      </c>
      <c r="C96" s="5" t="inlineStr">
        <is>
          <t>Comum</t>
        </is>
      </c>
      <c r="D96" s="5" t="inlineStr">
        <is>
          <t>1-4</t>
        </is>
      </c>
      <c r="E96" s="5" t="inlineStr">
        <is>
          <t>Autômato</t>
        </is>
      </c>
      <c r="F96" s="5" t="n">
        <v>1</v>
      </c>
      <c r="G96" s="5" t="n">
        <v>50</v>
      </c>
      <c r="H96" s="5" t="n">
        <v>13</v>
      </c>
      <c r="I96" s="5" t="n">
        <v>0</v>
      </c>
      <c r="J96" s="5" t="n">
        <v>3</v>
      </c>
      <c r="K96" s="5" t="n">
        <v>11</v>
      </c>
      <c r="L96" s="5" t="n">
        <v>7</v>
      </c>
      <c r="M96" s="5" t="inlineStr">
        <is>
          <t>1d6</t>
        </is>
      </c>
      <c r="N96" s="5" t="n">
        <v>3</v>
      </c>
      <c r="O96" s="5" t="n">
        <v>12</v>
      </c>
      <c r="P96" s="5" t="n">
        <v>1</v>
      </c>
      <c r="Q96" s="5" t="inlineStr">
        <is>
          <t>Raio</t>
        </is>
      </c>
      <c r="R96" s="5" t="inlineStr">
        <is>
          <t>Imaginário</t>
        </is>
      </c>
      <c r="S96" s="5" t="inlineStr"/>
      <c r="T96" s="5" t="inlineStr"/>
      <c r="U96" s="5" t="inlineStr"/>
      <c r="V96" s="5" t="inlineStr">
        <is>
          <t>Não</t>
        </is>
      </c>
      <c r="W96" s="5" t="inlineStr">
        <is>
          <t>sem Firmeza</t>
        </is>
      </c>
      <c r="X96" s="5" t="inlineStr">
        <is>
          <t>Máquina sem consciência: não pode Executar ninguém (capítulo 23).</t>
        </is>
      </c>
      <c r="Y96" s="5" t="inlineStr">
        <is>
          <t>"O protocolo dela expirou há oitenta anos. Ninguém avisou."</t>
        </is>
      </c>
      <c r="Z96" s="5" t="n">
        <v>1</v>
      </c>
      <c r="AA96" s="5" t="n">
        <v>50</v>
      </c>
      <c r="AB96" s="5" t="n">
        <v>1</v>
      </c>
      <c r="AC96" s="5" t="n">
        <v>1</v>
      </c>
      <c r="AD96" s="5" t="inlineStr"/>
      <c r="AE96" s="5" t="inlineStr">
        <is>
          <t>Raio, Imaginário</t>
        </is>
      </c>
      <c r="AF96" s="5" t="inlineStr">
        <is>
          <t>Holofote de identificação</t>
        </is>
      </c>
      <c r="AG96" s="5" t="n">
        <v>2</v>
      </c>
      <c r="AH96" s="5" t="inlineStr"/>
      <c r="AI96" s="5" t="inlineStr"/>
      <c r="AJ96" s="5" t="inlineStr"/>
      <c r="AK96" s="5" t="inlineStr"/>
      <c r="AL96" s="5" t="inlineStr">
        <is>
          <t>Autômato</t>
        </is>
      </c>
    </row>
    <row r="97" ht="37" customHeight="1">
      <c r="A97" s="43" t="n">
        <v>6</v>
      </c>
      <c r="B97" s="10" t="inlineStr">
        <is>
          <t>Capataz Oco</t>
        </is>
      </c>
      <c r="C97" s="10" t="inlineStr">
        <is>
          <t>Elite</t>
        </is>
      </c>
      <c r="D97" s="10" t="inlineStr">
        <is>
          <t>1-4</t>
        </is>
      </c>
      <c r="E97" s="10" t="inlineStr">
        <is>
          <t>Fragmentum</t>
        </is>
      </c>
      <c r="F97" s="10" t="n">
        <v>1</v>
      </c>
      <c r="G97" s="10" t="n">
        <v>120</v>
      </c>
      <c r="H97" s="10" t="n">
        <v>15</v>
      </c>
      <c r="I97" s="10" t="n">
        <v>2</v>
      </c>
      <c r="J97" s="10" t="n">
        <v>5</v>
      </c>
      <c r="K97" s="10" t="n">
        <v>12</v>
      </c>
      <c r="L97" s="10" t="n">
        <v>7</v>
      </c>
      <c r="M97" s="10" t="inlineStr">
        <is>
          <t>2d6</t>
        </is>
      </c>
      <c r="N97" s="10" t="n">
        <v>7</v>
      </c>
      <c r="O97" s="10" t="n">
        <v>13</v>
      </c>
      <c r="P97" s="10" t="n">
        <v>2</v>
      </c>
      <c r="Q97" s="10" t="inlineStr">
        <is>
          <t>Físico</t>
        </is>
      </c>
      <c r="R97" s="10" t="inlineStr">
        <is>
          <t>Fogo</t>
        </is>
      </c>
      <c r="S97" s="10" t="inlineStr">
        <is>
          <t>Imaginário</t>
        </is>
      </c>
      <c r="T97" s="10" t="inlineStr"/>
      <c r="U97" s="10" t="inlineStr">
        <is>
          <t>Quântico</t>
        </is>
      </c>
      <c r="V97" s="10" t="inlineStr">
        <is>
          <t>Não declarado</t>
        </is>
      </c>
      <c r="W97" s="10" t="inlineStr">
        <is>
          <t>com Firmeza</t>
        </is>
      </c>
      <c r="X97" s="10" t="inlineStr">
        <is>
          <t>Prioriza quem causou mais dano a ele no Ciclo anterior.</t>
        </is>
      </c>
      <c r="Y97" s="10" t="inlineStr">
        <is>
          <t>"A voz dele ainda dá ordens. Só não são ordens de trabalho."</t>
        </is>
      </c>
      <c r="Z97" s="10" t="n">
        <v>1.5</v>
      </c>
      <c r="AA97" s="10" t="n">
        <v>120</v>
      </c>
      <c r="AB97" s="10" t="n">
        <v>1</v>
      </c>
      <c r="AC97" s="10" t="n">
        <v>2</v>
      </c>
      <c r="AD97" s="10" t="inlineStr"/>
      <c r="AE97" s="10" t="inlineStr">
        <is>
          <t>Físico, Fogo, Imaginário</t>
        </is>
      </c>
      <c r="AF97" s="10" t="inlineStr">
        <is>
          <t>Chamado de turno</t>
        </is>
      </c>
      <c r="AG97" s="10" t="n">
        <v>3</v>
      </c>
      <c r="AH97" s="10" t="inlineStr">
        <is>
          <t>Esmagar</t>
        </is>
      </c>
      <c r="AI97" s="10" t="n">
        <v>2</v>
      </c>
      <c r="AJ97" s="10" t="inlineStr"/>
      <c r="AK97" s="10" t="inlineStr"/>
      <c r="AL97" s="10" t="inlineStr">
        <is>
          <t>Fragmentum</t>
        </is>
      </c>
    </row>
    <row r="98" ht="48" customHeight="1">
      <c r="A98" s="31" t="n">
        <v>7</v>
      </c>
      <c r="B98" s="5" t="inlineStr">
        <is>
          <t>Sargento de Trincheira</t>
        </is>
      </c>
      <c r="C98" s="5" t="inlineStr">
        <is>
          <t>Elite</t>
        </is>
      </c>
      <c r="D98" s="5" t="inlineStr">
        <is>
          <t>1-4</t>
        </is>
      </c>
      <c r="E98" s="5" t="inlineStr">
        <is>
          <t>Legião da Antimatéria</t>
        </is>
      </c>
      <c r="F98" s="5" t="n">
        <v>1</v>
      </c>
      <c r="G98" s="5" t="n">
        <v>120</v>
      </c>
      <c r="H98" s="5" t="n">
        <v>15</v>
      </c>
      <c r="I98" s="5" t="n">
        <v>2</v>
      </c>
      <c r="J98" s="5" t="n">
        <v>5</v>
      </c>
      <c r="K98" s="5" t="n">
        <v>12</v>
      </c>
      <c r="L98" s="5" t="n">
        <v>7</v>
      </c>
      <c r="M98" s="5" t="inlineStr">
        <is>
          <t>2d6</t>
        </is>
      </c>
      <c r="N98" s="5" t="n">
        <v>7</v>
      </c>
      <c r="O98" s="5" t="n">
        <v>13</v>
      </c>
      <c r="P98" s="5" t="n">
        <v>2</v>
      </c>
      <c r="Q98" s="5" t="inlineStr">
        <is>
          <t>Raio</t>
        </is>
      </c>
      <c r="R98" s="5" t="inlineStr">
        <is>
          <t>Gelo</t>
        </is>
      </c>
      <c r="S98" s="5" t="inlineStr">
        <is>
          <t>Vento</t>
        </is>
      </c>
      <c r="T98" s="5" t="inlineStr"/>
      <c r="U98" s="5" t="inlineStr"/>
      <c r="V98" s="5" t="inlineStr">
        <is>
          <t>Não declarado</t>
        </is>
      </c>
      <c r="W98" s="5" t="inlineStr">
        <is>
          <t>com Firmeza</t>
        </is>
      </c>
      <c r="X98" s="5" t="inlineStr">
        <is>
          <t>Fica atrás dos Peões e usa a marca no personagem de menor PV.</t>
        </is>
      </c>
      <c r="Y98" s="5" t="inlineStr">
        <is>
          <t>"Formação! A antimatéria não espera!"</t>
        </is>
      </c>
      <c r="Z98" s="5" t="n">
        <v>1.5</v>
      </c>
      <c r="AA98" s="5" t="n">
        <v>120</v>
      </c>
      <c r="AB98" s="5" t="n">
        <v>1</v>
      </c>
      <c r="AC98" s="5" t="n">
        <v>2</v>
      </c>
      <c r="AD98" s="5" t="inlineStr"/>
      <c r="AE98" s="5" t="inlineStr">
        <is>
          <t>Raio, Gelo, Vento</t>
        </is>
      </c>
      <c r="AF98" s="5" t="inlineStr">
        <is>
          <t>Marcar alvo prioritário</t>
        </is>
      </c>
      <c r="AG98" s="5" t="n">
        <v>2</v>
      </c>
      <c r="AH98" s="5" t="inlineStr">
        <is>
          <t>Granada de fragmentação</t>
        </is>
      </c>
      <c r="AI98" s="5" t="n">
        <v>3</v>
      </c>
      <c r="AJ98" s="5" t="inlineStr"/>
      <c r="AK98" s="5" t="inlineStr"/>
      <c r="AL98" s="5" t="inlineStr">
        <is>
          <t>Legião da Antimatéria</t>
        </is>
      </c>
    </row>
    <row r="99" ht="48" customHeight="1">
      <c r="A99" s="43" t="n">
        <v>8</v>
      </c>
      <c r="B99" s="10" t="inlineStr">
        <is>
          <t>O Afogado do Poço Sete</t>
        </is>
      </c>
      <c r="C99" s="10" t="inlineStr">
        <is>
          <t>Boss</t>
        </is>
      </c>
      <c r="D99" s="10" t="inlineStr">
        <is>
          <t>1-4</t>
        </is>
      </c>
      <c r="E99" s="10" t="inlineStr">
        <is>
          <t>Fragmentum</t>
        </is>
      </c>
      <c r="F99" s="10" t="n">
        <v>2</v>
      </c>
      <c r="G99" s="10" t="n">
        <v>305</v>
      </c>
      <c r="H99" s="10" t="n">
        <v>16</v>
      </c>
      <c r="I99" s="10" t="n">
        <v>4</v>
      </c>
      <c r="J99" s="10" t="n">
        <v>10</v>
      </c>
      <c r="K99" s="10" t="n">
        <v>13</v>
      </c>
      <c r="L99" s="10" t="n">
        <v>7</v>
      </c>
      <c r="M99" s="10" t="inlineStr">
        <is>
          <t>3d6</t>
        </is>
      </c>
      <c r="N99" s="10" t="n">
        <v>10</v>
      </c>
      <c r="O99" s="10" t="n">
        <v>14</v>
      </c>
      <c r="P99" s="10" t="n">
        <v>3</v>
      </c>
      <c r="Q99" s="10" t="inlineStr">
        <is>
          <t>Fogo</t>
        </is>
      </c>
      <c r="R99" s="10" t="inlineStr">
        <is>
          <t>Raio</t>
        </is>
      </c>
      <c r="S99" s="10" t="inlineStr">
        <is>
          <t>Vento</t>
        </is>
      </c>
      <c r="T99" s="10" t="inlineStr">
        <is>
          <t>Imaginário</t>
        </is>
      </c>
      <c r="U99" s="10" t="inlineStr"/>
      <c r="V99" s="10" t="inlineStr">
        <is>
          <t>Não declarado</t>
        </is>
      </c>
      <c r="W99" s="10" t="inlineStr">
        <is>
          <t>com Firmeza</t>
        </is>
      </c>
      <c r="X99" s="10" t="inlineStr">
        <is>
          <t>Na fase 1 vai no alvo mais próximo; na fase 2 vai onde o Coro pegar mais gente.</t>
        </is>
      </c>
      <c r="Y99" s="10" t="inlineStr">
        <is>
          <t>"Sete turnos desceram. O poço devolveu um."</t>
        </is>
      </c>
      <c r="Z99" s="10" t="n">
        <v>2</v>
      </c>
      <c r="AA99" s="10" t="n">
        <v>305</v>
      </c>
      <c r="AB99" s="10" t="n">
        <v>1</v>
      </c>
      <c r="AC99" s="10" t="n">
        <v>3</v>
      </c>
      <c r="AD99" s="10" t="inlineStr"/>
      <c r="AE99" s="10" t="inlineStr">
        <is>
          <t>Fogo, Raio, Vento, Imaginário</t>
        </is>
      </c>
      <c r="AF99" s="10" t="inlineStr">
        <is>
          <t>Engolir</t>
        </is>
      </c>
      <c r="AG99" s="10" t="n">
        <v>3</v>
      </c>
      <c r="AH99" s="10" t="inlineStr"/>
      <c r="AI99" s="10" t="inlineStr"/>
      <c r="AJ99" s="10" t="inlineStr"/>
      <c r="AK99" s="10" t="inlineStr"/>
      <c r="AL99" s="10" t="inlineStr">
        <is>
          <t>Fragmentum</t>
        </is>
      </c>
    </row>
    <row r="100" ht="48" customHeight="1">
      <c r="A100" s="31" t="n">
        <v>9</v>
      </c>
      <c r="B100" s="5" t="inlineStr">
        <is>
          <t>Fuzileiro da Legião</t>
        </is>
      </c>
      <c r="C100" s="5" t="inlineStr">
        <is>
          <t>Comum</t>
        </is>
      </c>
      <c r="D100" s="5" t="inlineStr">
        <is>
          <t>5-8</t>
        </is>
      </c>
      <c r="E100" s="5" t="inlineStr">
        <is>
          <t>Legião da Antimatéria</t>
        </is>
      </c>
      <c r="F100" s="5" t="n">
        <v>1</v>
      </c>
      <c r="G100" s="5" t="n">
        <v>70</v>
      </c>
      <c r="H100" s="5" t="n">
        <v>16</v>
      </c>
      <c r="I100" s="5" t="n">
        <v>0</v>
      </c>
      <c r="J100" s="5" t="n">
        <v>3</v>
      </c>
      <c r="K100" s="5" t="n">
        <v>12</v>
      </c>
      <c r="L100" s="5" t="n">
        <v>9</v>
      </c>
      <c r="M100" s="5" t="inlineStr">
        <is>
          <t>2d6</t>
        </is>
      </c>
      <c r="N100" s="5" t="n">
        <v>7</v>
      </c>
      <c r="O100" s="5" t="n">
        <v>14</v>
      </c>
      <c r="P100" s="5" t="n">
        <v>3</v>
      </c>
      <c r="Q100" s="5" t="inlineStr">
        <is>
          <t>Físico</t>
        </is>
      </c>
      <c r="R100" s="5" t="inlineStr">
        <is>
          <t>Raio</t>
        </is>
      </c>
      <c r="S100" s="5" t="inlineStr"/>
      <c r="T100" s="5" t="inlineStr"/>
      <c r="U100" s="5" t="inlineStr"/>
      <c r="V100" s="5" t="inlineStr">
        <is>
          <t>Não declarado</t>
        </is>
      </c>
      <c r="W100" s="5" t="inlineStr">
        <is>
          <t>sem Firmeza</t>
        </is>
      </c>
      <c r="X100" s="5" t="inlineStr">
        <is>
          <t>Use em pares ou em quatro. Um Fuzileiro sozinho é uma cena de passagem.</t>
        </is>
      </c>
      <c r="Y100" s="5" t="inlineStr">
        <is>
          <t>"O Peão aponta. O Fuzileiro acerta."</t>
        </is>
      </c>
      <c r="Z100" s="5" t="n">
        <v>1</v>
      </c>
      <c r="AA100" s="5" t="n">
        <v>70</v>
      </c>
      <c r="AB100" s="5" t="n">
        <v>2</v>
      </c>
      <c r="AC100" s="5" t="n">
        <v>1</v>
      </c>
      <c r="AD100" s="5" t="inlineStr"/>
      <c r="AE100" s="5" t="inlineStr">
        <is>
          <t>Físico, Raio</t>
        </is>
      </c>
      <c r="AF100" s="5" t="inlineStr">
        <is>
          <t>Fogo cruzado</t>
        </is>
      </c>
      <c r="AG100" s="5" t="n">
        <v>2</v>
      </c>
      <c r="AH100" s="5" t="inlineStr"/>
      <c r="AI100" s="5" t="inlineStr"/>
      <c r="AJ100" s="5" t="inlineStr"/>
      <c r="AK100" s="5" t="inlineStr"/>
      <c r="AL100" s="5" t="inlineStr">
        <is>
          <t>Legião da Antimatéria</t>
        </is>
      </c>
    </row>
    <row r="101" ht="71" customHeight="1">
      <c r="A101" s="43" t="n">
        <v>10</v>
      </c>
      <c r="B101" s="10" t="inlineStr">
        <is>
          <t>Dron de Vigilância Pacificadora</t>
        </is>
      </c>
      <c r="C101" s="10" t="inlineStr">
        <is>
          <t>Comum</t>
        </is>
      </c>
      <c r="D101" s="10" t="inlineStr">
        <is>
          <t>5-8</t>
        </is>
      </c>
      <c r="E101" s="10" t="inlineStr">
        <is>
          <t>Corporação da Paz Interastral</t>
        </is>
      </c>
      <c r="F101" s="10" t="n">
        <v>1</v>
      </c>
      <c r="G101" s="10" t="n">
        <v>70</v>
      </c>
      <c r="H101" s="10" t="n">
        <v>16</v>
      </c>
      <c r="I101" s="10" t="n">
        <v>0</v>
      </c>
      <c r="J101" s="10" t="n">
        <v>3</v>
      </c>
      <c r="K101" s="10" t="n">
        <v>12</v>
      </c>
      <c r="L101" s="10" t="n">
        <v>9</v>
      </c>
      <c r="M101" s="10" t="inlineStr">
        <is>
          <t>2d6</t>
        </is>
      </c>
      <c r="N101" s="10" t="n">
        <v>7</v>
      </c>
      <c r="O101" s="10" t="n">
        <v>14</v>
      </c>
      <c r="P101" s="10" t="n">
        <v>3</v>
      </c>
      <c r="Q101" s="10" t="inlineStr">
        <is>
          <t>Raio</t>
        </is>
      </c>
      <c r="R101" s="10" t="inlineStr">
        <is>
          <t>Quântico</t>
        </is>
      </c>
      <c r="S101" s="10" t="inlineStr"/>
      <c r="T101" s="10" t="inlineStr"/>
      <c r="U101" s="10" t="inlineStr"/>
      <c r="V101" s="10" t="inlineStr">
        <is>
          <t>Não</t>
        </is>
      </c>
      <c r="W101" s="10" t="inlineStr">
        <is>
          <t>sem Firmeza</t>
        </is>
      </c>
      <c r="X101" s="10" t="inlineStr">
        <is>
          <t>Máquina sem consciência: não Executa. Foge quando fica sozinho, e isso não é covardia: é o seguro dele vencendo.</t>
        </is>
      </c>
      <c r="Y101" s="10" t="inlineStr">
        <is>
          <t>"Sorria. Isto é uma apólice."</t>
        </is>
      </c>
      <c r="Z101" s="10" t="n">
        <v>1</v>
      </c>
      <c r="AA101" s="10" t="n">
        <v>70</v>
      </c>
      <c r="AB101" s="10" t="n">
        <v>2</v>
      </c>
      <c r="AC101" s="10" t="n">
        <v>1</v>
      </c>
      <c r="AD101" s="10" t="inlineStr">
        <is>
          <t>Autômato</t>
        </is>
      </c>
      <c r="AE101" s="10" t="inlineStr">
        <is>
          <t>Raio, Quântico</t>
        </is>
      </c>
      <c r="AF101" s="10" t="inlineStr">
        <is>
          <t>Notificação de infração</t>
        </is>
      </c>
      <c r="AG101" s="10" t="n">
        <v>2</v>
      </c>
      <c r="AH101" s="10" t="inlineStr"/>
      <c r="AI101" s="10" t="inlineStr"/>
      <c r="AJ101" s="10" t="inlineStr"/>
      <c r="AK101" s="10" t="inlineStr"/>
      <c r="AL101" s="10" t="inlineStr">
        <is>
          <t>Corporação da Paz Interastral · Autômato</t>
        </is>
      </c>
    </row>
    <row r="102" ht="37" customHeight="1">
      <c r="A102" s="31" t="n">
        <v>11</v>
      </c>
      <c r="B102" s="5" t="inlineStr">
        <is>
          <t>Devoto do Silêncio</t>
        </is>
      </c>
      <c r="C102" s="5" t="inlineStr">
        <is>
          <t>Comum</t>
        </is>
      </c>
      <c r="D102" s="5" t="inlineStr">
        <is>
          <t>5-8</t>
        </is>
      </c>
      <c r="E102" s="5" t="inlineStr">
        <is>
          <t>Culto da Inexistência</t>
        </is>
      </c>
      <c r="F102" s="5" t="n">
        <v>1</v>
      </c>
      <c r="G102" s="5" t="n">
        <v>70</v>
      </c>
      <c r="H102" s="5" t="n">
        <v>16</v>
      </c>
      <c r="I102" s="5" t="n">
        <v>0</v>
      </c>
      <c r="J102" s="5" t="n">
        <v>3</v>
      </c>
      <c r="K102" s="5" t="n">
        <v>12</v>
      </c>
      <c r="L102" s="5" t="n">
        <v>9</v>
      </c>
      <c r="M102" s="5" t="inlineStr">
        <is>
          <t>2d6</t>
        </is>
      </c>
      <c r="N102" s="5" t="n">
        <v>7</v>
      </c>
      <c r="O102" s="5" t="n">
        <v>14</v>
      </c>
      <c r="P102" s="5" t="n">
        <v>3</v>
      </c>
      <c r="Q102" s="5" t="inlineStr">
        <is>
          <t>Fogo</t>
        </is>
      </c>
      <c r="R102" s="5" t="inlineStr">
        <is>
          <t>Imaginário</t>
        </is>
      </c>
      <c r="S102" s="5" t="inlineStr"/>
      <c r="T102" s="5" t="inlineStr"/>
      <c r="U102" s="5" t="inlineStr"/>
      <c r="V102" s="5" t="inlineStr">
        <is>
          <t>Não declarado</t>
        </is>
      </c>
      <c r="W102" s="5" t="inlineStr">
        <is>
          <t>sem Firmeza</t>
        </is>
      </c>
      <c r="X102" s="5" t="inlineStr">
        <is>
          <t>Ataca quem está mais ferido, sempre.</t>
        </is>
      </c>
      <c r="Y102" s="5" t="inlineStr">
        <is>
          <t>"Ele agradece cada ferida. Em voz muito baixa."</t>
        </is>
      </c>
      <c r="Z102" s="5" t="n">
        <v>1</v>
      </c>
      <c r="AA102" s="5" t="n">
        <v>70</v>
      </c>
      <c r="AB102" s="5" t="n">
        <v>2</v>
      </c>
      <c r="AC102" s="5" t="n">
        <v>1</v>
      </c>
      <c r="AD102" s="5" t="inlineStr"/>
      <c r="AE102" s="5" t="inlineStr">
        <is>
          <t>Fogo, Imaginário</t>
        </is>
      </c>
      <c r="AF102" s="5" t="inlineStr">
        <is>
          <t>Litania</t>
        </is>
      </c>
      <c r="AG102" s="5" t="n">
        <v>3</v>
      </c>
      <c r="AH102" s="5" t="inlineStr"/>
      <c r="AI102" s="5" t="inlineStr"/>
      <c r="AJ102" s="5" t="inlineStr"/>
      <c r="AK102" s="5" t="inlineStr"/>
      <c r="AL102" s="5" t="inlineStr">
        <is>
          <t>Culto da Inexistência</t>
        </is>
      </c>
    </row>
    <row r="103" ht="37" customHeight="1">
      <c r="A103" s="43" t="n">
        <v>12</v>
      </c>
      <c r="B103" s="10" t="inlineStr">
        <is>
          <t>Centurião Catafracto</t>
        </is>
      </c>
      <c r="C103" s="10" t="inlineStr">
        <is>
          <t>Elite</t>
        </is>
      </c>
      <c r="D103" s="10" t="inlineStr">
        <is>
          <t>5-8</t>
        </is>
      </c>
      <c r="E103" s="10" t="inlineStr">
        <is>
          <t>Legião da Antimatéria</t>
        </is>
      </c>
      <c r="F103" s="10" t="n">
        <v>1</v>
      </c>
      <c r="G103" s="10" t="n">
        <v>160</v>
      </c>
      <c r="H103" s="10" t="n">
        <v>18</v>
      </c>
      <c r="I103" s="10" t="n">
        <v>2</v>
      </c>
      <c r="J103" s="10" t="n">
        <v>6</v>
      </c>
      <c r="K103" s="10" t="n">
        <v>13</v>
      </c>
      <c r="L103" s="10" t="n">
        <v>9</v>
      </c>
      <c r="M103" s="10" t="inlineStr">
        <is>
          <t>3d8</t>
        </is>
      </c>
      <c r="N103" s="10" t="n">
        <v>13</v>
      </c>
      <c r="O103" s="10" t="n">
        <v>15</v>
      </c>
      <c r="P103" s="10" t="n">
        <v>4</v>
      </c>
      <c r="Q103" s="10" t="inlineStr">
        <is>
          <t>Raio</t>
        </is>
      </c>
      <c r="R103" s="10" t="inlineStr">
        <is>
          <t>Quântico</t>
        </is>
      </c>
      <c r="S103" s="10" t="inlineStr">
        <is>
          <t>Imaginário</t>
        </is>
      </c>
      <c r="T103" s="10" t="inlineStr"/>
      <c r="U103" s="10" t="inlineStr">
        <is>
          <t>Físico</t>
        </is>
      </c>
      <c r="V103" s="10" t="inlineStr">
        <is>
          <t>Não declarado</t>
        </is>
      </c>
      <c r="W103" s="10" t="inlineStr">
        <is>
          <t>com Firmeza</t>
        </is>
      </c>
      <c r="X103" s="10" t="inlineStr">
        <is>
          <t>Puxa o personagem de menor PV para perto e fica em cima dele.</t>
        </is>
      </c>
      <c r="Y103" s="10" t="inlineStr">
        <is>
          <t>"A armadura dele foi fechada por dentro. Ele não pretende sair."</t>
        </is>
      </c>
      <c r="Z103" s="10" t="n">
        <v>1.5</v>
      </c>
      <c r="AA103" s="10" t="n">
        <v>160</v>
      </c>
      <c r="AB103" s="10" t="n">
        <v>2</v>
      </c>
      <c r="AC103" s="10" t="n">
        <v>2</v>
      </c>
      <c r="AD103" s="10" t="inlineStr"/>
      <c r="AE103" s="10" t="inlineStr">
        <is>
          <t>Raio, Quântico, Imaginário</t>
        </is>
      </c>
      <c r="AF103" s="10" t="inlineStr">
        <is>
          <t>Avanço de aríete</t>
        </is>
      </c>
      <c r="AG103" s="10" t="n">
        <v>2</v>
      </c>
      <c r="AH103" s="10" t="inlineStr">
        <is>
          <t>Selar visor</t>
        </is>
      </c>
      <c r="AI103" s="10" t="n">
        <v>3</v>
      </c>
      <c r="AJ103" s="10" t="inlineStr"/>
      <c r="AK103" s="10" t="inlineStr"/>
      <c r="AL103" s="10" t="inlineStr">
        <is>
          <t>Legião da Antimatéria</t>
        </is>
      </c>
    </row>
    <row r="104" ht="48" customHeight="1">
      <c r="A104" s="31" t="n">
        <v>13</v>
      </c>
      <c r="B104" s="5" t="inlineStr">
        <is>
          <t>Auditora de Risco</t>
        </is>
      </c>
      <c r="C104" s="5" t="inlineStr">
        <is>
          <t>Elite</t>
        </is>
      </c>
      <c r="D104" s="5" t="inlineStr">
        <is>
          <t>5-8</t>
        </is>
      </c>
      <c r="E104" s="5" t="inlineStr">
        <is>
          <t>Corporação da Paz Interastral</t>
        </is>
      </c>
      <c r="F104" s="5" t="n">
        <v>1</v>
      </c>
      <c r="G104" s="5" t="n">
        <v>160</v>
      </c>
      <c r="H104" s="5" t="n">
        <v>18</v>
      </c>
      <c r="I104" s="5" t="n">
        <v>2</v>
      </c>
      <c r="J104" s="5" t="n">
        <v>6</v>
      </c>
      <c r="K104" s="5" t="n">
        <v>13</v>
      </c>
      <c r="L104" s="5" t="n">
        <v>9</v>
      </c>
      <c r="M104" s="5" t="inlineStr">
        <is>
          <t>3d8</t>
        </is>
      </c>
      <c r="N104" s="5" t="n">
        <v>13</v>
      </c>
      <c r="O104" s="5" t="n">
        <v>15</v>
      </c>
      <c r="P104" s="5" t="n">
        <v>4</v>
      </c>
      <c r="Q104" s="5" t="inlineStr">
        <is>
          <t>Físico</t>
        </is>
      </c>
      <c r="R104" s="5" t="inlineStr">
        <is>
          <t>Fogo</t>
        </is>
      </c>
      <c r="S104" s="5" t="inlineStr">
        <is>
          <t>Vento</t>
        </is>
      </c>
      <c r="T104" s="5" t="inlineStr"/>
      <c r="U104" s="5" t="inlineStr"/>
      <c r="V104" s="5" t="inlineStr">
        <is>
          <t>Não declarado</t>
        </is>
      </c>
      <c r="W104" s="5" t="inlineStr">
        <is>
          <t>com Firmeza</t>
        </is>
      </c>
      <c r="X104" s="5" t="inlineStr">
        <is>
          <t>Marca primeiro, cobra depois. Entra em cena com 2 a 4 Drons de Vigilância.</t>
        </is>
      </c>
      <c r="Y104" s="5" t="inlineStr">
        <is>
          <t>"Eu não vim prender vocês. Vim precificar vocês."</t>
        </is>
      </c>
      <c r="Z104" s="5" t="n">
        <v>1.5</v>
      </c>
      <c r="AA104" s="5" t="n">
        <v>160</v>
      </c>
      <c r="AB104" s="5" t="n">
        <v>2</v>
      </c>
      <c r="AC104" s="5" t="n">
        <v>2</v>
      </c>
      <c r="AD104" s="5" t="inlineStr"/>
      <c r="AE104" s="5" t="inlineStr">
        <is>
          <t>Físico, Fogo, Vento</t>
        </is>
      </c>
      <c r="AF104" s="5" t="inlineStr">
        <is>
          <t>Cláusula de perda</t>
        </is>
      </c>
      <c r="AG104" s="5" t="n">
        <v>2</v>
      </c>
      <c r="AH104" s="5" t="inlineStr">
        <is>
          <t>Liquidação antecipada</t>
        </is>
      </c>
      <c r="AI104" s="5" t="n">
        <v>3</v>
      </c>
      <c r="AJ104" s="5" t="inlineStr"/>
      <c r="AK104" s="5" t="inlineStr"/>
      <c r="AL104" s="5" t="inlineStr">
        <is>
          <t>Corporação da Paz Interastral</t>
        </is>
      </c>
    </row>
    <row r="105" ht="37" customHeight="1">
      <c r="A105" s="43" t="n">
        <v>14</v>
      </c>
      <c r="B105" s="10" t="inlineStr">
        <is>
          <t>Pretor Vazio-Nove</t>
        </is>
      </c>
      <c r="C105" s="10" t="inlineStr">
        <is>
          <t>Boss</t>
        </is>
      </c>
      <c r="D105" s="10" t="inlineStr">
        <is>
          <t>5-8</t>
        </is>
      </c>
      <c r="E105" s="10" t="inlineStr">
        <is>
          <t>Legião da Antimatéria</t>
        </is>
      </c>
      <c r="F105" s="10" t="n">
        <v>1</v>
      </c>
      <c r="G105" s="10" t="n">
        <v>410</v>
      </c>
      <c r="H105" s="10" t="n">
        <v>19</v>
      </c>
      <c r="I105" s="10" t="n">
        <v>4</v>
      </c>
      <c r="J105" s="10" t="n">
        <v>11</v>
      </c>
      <c r="K105" s="10" t="n">
        <v>15</v>
      </c>
      <c r="L105" s="10" t="n">
        <v>9</v>
      </c>
      <c r="M105" s="10" t="inlineStr">
        <is>
          <t>4d8 + 2</t>
        </is>
      </c>
      <c r="N105" s="10" t="n">
        <v>20</v>
      </c>
      <c r="O105" s="10" t="n">
        <v>16</v>
      </c>
      <c r="P105" s="10" t="n">
        <v>5</v>
      </c>
      <c r="Q105" s="10" t="inlineStr">
        <is>
          <t>Fogo</t>
        </is>
      </c>
      <c r="R105" s="10" t="inlineStr">
        <is>
          <t>Gelo</t>
        </is>
      </c>
      <c r="S105" s="10" t="inlineStr">
        <is>
          <t>Raio</t>
        </is>
      </c>
      <c r="T105" s="10" t="inlineStr">
        <is>
          <t>Imaginário</t>
        </is>
      </c>
      <c r="U105" s="10" t="inlineStr"/>
      <c r="V105" s="10" t="inlineStr">
        <is>
          <t>Não declarado</t>
        </is>
      </c>
      <c r="W105" s="10" t="inlineStr">
        <is>
          <t>com Firmeza</t>
        </is>
      </c>
      <c r="X105" s="10" t="inlineStr">
        <is>
          <t>Age antes de quase todo o grupo. Prioriza quem cura.</t>
        </is>
      </c>
      <c r="Y105" s="10" t="inlineStr">
        <is>
          <t>"Nove planetas. Nove notas de rodapé."</t>
        </is>
      </c>
      <c r="Z105" s="10" t="n">
        <v>2</v>
      </c>
      <c r="AA105" s="10" t="n">
        <v>410</v>
      </c>
      <c r="AB105" s="10" t="n">
        <v>2</v>
      </c>
      <c r="AC105" s="10" t="n">
        <v>3</v>
      </c>
      <c r="AD105" s="10" t="inlineStr"/>
      <c r="AE105" s="10" t="inlineStr">
        <is>
          <t>Fogo, Gelo, Raio, Imaginário</t>
        </is>
      </c>
      <c r="AF105" s="10" t="inlineStr">
        <is>
          <t>Salva de antimatéria</t>
        </is>
      </c>
      <c r="AG105" s="10" t="n">
        <v>2</v>
      </c>
      <c r="AH105" s="10" t="inlineStr">
        <is>
          <t>Ordem de cerco</t>
        </is>
      </c>
      <c r="AI105" s="10" t="n">
        <v>3</v>
      </c>
      <c r="AJ105" s="10" t="inlineStr"/>
      <c r="AK105" s="10" t="inlineStr"/>
      <c r="AL105" s="10" t="inlineStr">
        <is>
          <t>Legião da Antimatéria</t>
        </is>
      </c>
    </row>
    <row r="106" ht="105" customHeight="1">
      <c r="A106" s="31" t="n">
        <v>15</v>
      </c>
      <c r="B106" s="5" t="inlineStr">
        <is>
          <t>Lanceiro da Frota de Jade</t>
        </is>
      </c>
      <c r="C106" s="5" t="inlineStr">
        <is>
          <t>Comum</t>
        </is>
      </c>
      <c r="D106" s="5" t="inlineStr">
        <is>
          <t>9-12</t>
        </is>
      </c>
      <c r="E106" s="5" t="inlineStr">
        <is>
          <t>Aliança Xianzhou</t>
        </is>
      </c>
      <c r="F106" s="5" t="n">
        <v>1</v>
      </c>
      <c r="G106" s="5" t="n">
        <v>95</v>
      </c>
      <c r="H106" s="5" t="n">
        <v>19</v>
      </c>
      <c r="I106" s="5" t="n">
        <v>0</v>
      </c>
      <c r="J106" s="5" t="n">
        <v>4</v>
      </c>
      <c r="K106" s="5" t="n">
        <v>13</v>
      </c>
      <c r="L106" s="5" t="n">
        <v>11</v>
      </c>
      <c r="M106" s="5" t="inlineStr">
        <is>
          <t>2d8</t>
        </is>
      </c>
      <c r="N106" s="5" t="n">
        <v>9</v>
      </c>
      <c r="O106" s="5" t="n">
        <v>16</v>
      </c>
      <c r="P106" s="5" t="n">
        <v>4</v>
      </c>
      <c r="Q106" s="5" t="inlineStr">
        <is>
          <t>Gelo</t>
        </is>
      </c>
      <c r="R106" s="5" t="inlineStr">
        <is>
          <t>Quântico</t>
        </is>
      </c>
      <c r="S106" s="5" t="inlineStr"/>
      <c r="T106" s="5" t="inlineStr"/>
      <c r="U106" s="5" t="inlineStr"/>
      <c r="V106" s="5" t="inlineStr">
        <is>
          <t>Pode</t>
        </is>
      </c>
      <c r="W106" s="5" t="inlineStr">
        <is>
          <t>sem Firmeza</t>
        </is>
      </c>
      <c r="X106" s="5" t="inlineStr">
        <is>
          <t>Ser racional: pode Executar um personagem em Morrendo (capítulo 23) — e, pela doutrina da frota, ele faz isso sem hesitar se o alvo for o nome da ordem de caça.</t>
        </is>
      </c>
      <c r="Y106" s="5" t="inlineStr">
        <is>
          <t>"Não é pessoal. Está escrito."</t>
        </is>
      </c>
      <c r="Z106" s="5" t="n">
        <v>1</v>
      </c>
      <c r="AA106" s="5" t="n">
        <v>95</v>
      </c>
      <c r="AB106" s="5" t="n">
        <v>3</v>
      </c>
      <c r="AC106" s="5" t="n">
        <v>1</v>
      </c>
      <c r="AD106" s="5" t="inlineStr"/>
      <c r="AE106" s="5" t="inlineStr">
        <is>
          <t>Gelo, Quântico</t>
        </is>
      </c>
      <c r="AF106" s="5" t="inlineStr">
        <is>
          <t>Formação de muro</t>
        </is>
      </c>
      <c r="AG106" s="5" t="n">
        <v>2</v>
      </c>
      <c r="AH106" s="5" t="inlineStr"/>
      <c r="AI106" s="5" t="inlineStr"/>
      <c r="AJ106" s="5" t="inlineStr"/>
      <c r="AK106" s="5" t="inlineStr"/>
      <c r="AL106" s="5" t="inlineStr">
        <is>
          <t>Aliança Xianzhou</t>
        </is>
      </c>
    </row>
    <row r="107" ht="48" customHeight="1">
      <c r="A107" s="43" t="n">
        <v>16</v>
      </c>
      <c r="B107" s="10" t="inlineStr">
        <is>
          <t>Palhaço de Pólvora</t>
        </is>
      </c>
      <c r="C107" s="10" t="inlineStr">
        <is>
          <t>Comum</t>
        </is>
      </c>
      <c r="D107" s="10" t="inlineStr">
        <is>
          <t>9-12</t>
        </is>
      </c>
      <c r="E107" s="10" t="inlineStr">
        <is>
          <t>Tolos Mascarados</t>
        </is>
      </c>
      <c r="F107" s="10" t="n">
        <v>1</v>
      </c>
      <c r="G107" s="10" t="n">
        <v>95</v>
      </c>
      <c r="H107" s="10" t="n">
        <v>19</v>
      </c>
      <c r="I107" s="10" t="n">
        <v>0</v>
      </c>
      <c r="J107" s="10" t="n">
        <v>4</v>
      </c>
      <c r="K107" s="10" t="n">
        <v>13</v>
      </c>
      <c r="L107" s="10" t="n">
        <v>11</v>
      </c>
      <c r="M107" s="10" t="inlineStr">
        <is>
          <t>2d8</t>
        </is>
      </c>
      <c r="N107" s="10" t="n">
        <v>9</v>
      </c>
      <c r="O107" s="10" t="n">
        <v>16</v>
      </c>
      <c r="P107" s="10" t="n">
        <v>4</v>
      </c>
      <c r="Q107" s="10" t="inlineStr">
        <is>
          <t>Gelo</t>
        </is>
      </c>
      <c r="R107" s="10" t="inlineStr">
        <is>
          <t>Imaginário</t>
        </is>
      </c>
      <c r="S107" s="10" t="inlineStr"/>
      <c r="T107" s="10" t="inlineStr"/>
      <c r="U107" s="10" t="inlineStr"/>
      <c r="V107" s="10" t="inlineStr">
        <is>
          <t>Não declarado</t>
        </is>
      </c>
      <c r="W107" s="10" t="inlineStr">
        <is>
          <t>sem Firmeza</t>
        </is>
      </c>
      <c r="X107" s="10" t="inlineStr">
        <is>
          <t>Use três. A Troca de lugar só é piada quando a mesa perde a conta de quem é quem.</t>
        </is>
      </c>
      <c r="Y107" s="10" t="inlineStr">
        <is>
          <t>"Ele ri antes da explosão. Isso é o aviso."</t>
        </is>
      </c>
      <c r="Z107" s="10" t="n">
        <v>1</v>
      </c>
      <c r="AA107" s="10" t="n">
        <v>95</v>
      </c>
      <c r="AB107" s="10" t="n">
        <v>3</v>
      </c>
      <c r="AC107" s="10" t="n">
        <v>1</v>
      </c>
      <c r="AD107" s="10" t="inlineStr"/>
      <c r="AE107" s="10" t="inlineStr">
        <is>
          <t>Gelo, Imaginário</t>
        </is>
      </c>
      <c r="AF107" s="10" t="inlineStr">
        <is>
          <t>Troca de lugar</t>
        </is>
      </c>
      <c r="AG107" s="10" t="n">
        <v>2</v>
      </c>
      <c r="AH107" s="10" t="inlineStr"/>
      <c r="AI107" s="10" t="inlineStr"/>
      <c r="AJ107" s="10" t="inlineStr"/>
      <c r="AK107" s="10" t="inlineStr"/>
      <c r="AL107" s="10" t="inlineStr">
        <is>
          <t>Tolos Mascarados</t>
        </is>
      </c>
    </row>
    <row r="108" ht="60" customHeight="1">
      <c r="A108" s="31" t="n">
        <v>17</v>
      </c>
      <c r="B108" s="5" t="inlineStr">
        <is>
          <t>Centenário Enlouquecido</t>
        </is>
      </c>
      <c r="C108" s="5" t="inlineStr">
        <is>
          <t>Comum</t>
        </is>
      </c>
      <c r="D108" s="5" t="inlineStr">
        <is>
          <t>9-12</t>
        </is>
      </c>
      <c r="E108" s="5" t="inlineStr">
        <is>
          <t>Xianzhou</t>
        </is>
      </c>
      <c r="F108" s="5" t="n">
        <v>1</v>
      </c>
      <c r="G108" s="5" t="n">
        <v>95</v>
      </c>
      <c r="H108" s="5" t="n">
        <v>19</v>
      </c>
      <c r="I108" s="5" t="n">
        <v>0</v>
      </c>
      <c r="J108" s="5" t="n">
        <v>4</v>
      </c>
      <c r="K108" s="5" t="n">
        <v>13</v>
      </c>
      <c r="L108" s="5" t="n">
        <v>11</v>
      </c>
      <c r="M108" s="5" t="inlineStr">
        <is>
          <t>2d8</t>
        </is>
      </c>
      <c r="N108" s="5" t="n">
        <v>9</v>
      </c>
      <c r="O108" s="5" t="n">
        <v>16</v>
      </c>
      <c r="P108" s="5" t="n">
        <v>4</v>
      </c>
      <c r="Q108" s="5" t="inlineStr">
        <is>
          <t>Fogo</t>
        </is>
      </c>
      <c r="R108" s="5" t="inlineStr">
        <is>
          <t>Imaginário</t>
        </is>
      </c>
      <c r="S108" s="5" t="inlineStr"/>
      <c r="T108" s="5" t="inlineStr"/>
      <c r="U108" s="5" t="inlineStr"/>
      <c r="V108" s="5" t="inlineStr">
        <is>
          <t>Não</t>
        </is>
      </c>
      <c r="W108" s="5" t="inlineStr">
        <is>
          <t>sem Firmeza</t>
        </is>
      </c>
      <c r="X108" s="5" t="inlineStr">
        <is>
          <t>Ataca quem falou com ele por último. Ser racional, mas sem julgamento: não Executa.</t>
        </is>
      </c>
      <c r="Y108" s="5" t="inlineStr">
        <is>
          <t>"Seiscentos anos de memória num crânio feito para oitenta."</t>
        </is>
      </c>
      <c r="Z108" s="5" t="n">
        <v>1</v>
      </c>
      <c r="AA108" s="5" t="n">
        <v>95</v>
      </c>
      <c r="AB108" s="5" t="n">
        <v>3</v>
      </c>
      <c r="AC108" s="5" t="n">
        <v>1</v>
      </c>
      <c r="AD108" s="5" t="inlineStr"/>
      <c r="AE108" s="5" t="inlineStr">
        <is>
          <t>Fogo, Imaginário</t>
        </is>
      </c>
      <c r="AF108" s="5" t="inlineStr">
        <is>
          <t>Lembrança alheia</t>
        </is>
      </c>
      <c r="AG108" s="5" t="n">
        <v>2</v>
      </c>
      <c r="AH108" s="5" t="inlineStr"/>
      <c r="AI108" s="5" t="inlineStr"/>
      <c r="AJ108" s="5" t="inlineStr"/>
      <c r="AK108" s="5" t="inlineStr"/>
      <c r="AL108" s="5" t="inlineStr">
        <is>
          <t>Xianzhou</t>
        </is>
      </c>
    </row>
    <row r="109" ht="60" customHeight="1">
      <c r="A109" s="43" t="n">
        <v>18</v>
      </c>
      <c r="B109" s="10" t="inlineStr">
        <is>
          <t>Oficial-Lâmina da Frota de Jade</t>
        </is>
      </c>
      <c r="C109" s="10" t="inlineStr">
        <is>
          <t>Elite</t>
        </is>
      </c>
      <c r="D109" s="10" t="inlineStr">
        <is>
          <t>9-12</t>
        </is>
      </c>
      <c r="E109" s="10" t="inlineStr">
        <is>
          <t>Aliança Xianzhou</t>
        </is>
      </c>
      <c r="F109" s="10" t="n">
        <v>1</v>
      </c>
      <c r="G109" s="10" t="n">
        <v>225</v>
      </c>
      <c r="H109" s="10" t="n">
        <v>21</v>
      </c>
      <c r="I109" s="10" t="n">
        <v>3</v>
      </c>
      <c r="J109" s="10" t="n">
        <v>7</v>
      </c>
      <c r="K109" s="10" t="n">
        <v>15</v>
      </c>
      <c r="L109" s="10" t="n">
        <v>11</v>
      </c>
      <c r="M109" s="10" t="inlineStr">
        <is>
          <t>4d8 + 1</t>
        </is>
      </c>
      <c r="N109" s="10" t="n">
        <v>19</v>
      </c>
      <c r="O109" s="10" t="n">
        <v>17</v>
      </c>
      <c r="P109" s="10" t="n">
        <v>5</v>
      </c>
      <c r="Q109" s="10" t="inlineStr">
        <is>
          <t>Fogo</t>
        </is>
      </c>
      <c r="R109" s="10" t="inlineStr">
        <is>
          <t>Vento</t>
        </is>
      </c>
      <c r="S109" s="10" t="inlineStr">
        <is>
          <t>Quântico</t>
        </is>
      </c>
      <c r="T109" s="10" t="inlineStr"/>
      <c r="U109" s="10" t="inlineStr"/>
      <c r="V109" s="10" t="inlineStr">
        <is>
          <t>Pode</t>
        </is>
      </c>
      <c r="W109" s="10" t="inlineStr">
        <is>
          <t>com Firmeza</t>
        </is>
      </c>
      <c r="X109" s="10" t="inlineStr">
        <is>
          <t>Ser racional: pode Executar. Não vai executar o alvo da Sentença enquanto houver testemunhas.</t>
        </is>
      </c>
      <c r="Y109" s="10" t="inlineStr">
        <is>
          <t>"Eu assinei a sua sentença e eu vou cumpri-la. As duas coisas são meu trabalho."</t>
        </is>
      </c>
      <c r="Z109" s="10" t="n">
        <v>1.5</v>
      </c>
      <c r="AA109" s="10" t="n">
        <v>225</v>
      </c>
      <c r="AB109" s="10" t="n">
        <v>3</v>
      </c>
      <c r="AC109" s="10" t="n">
        <v>2</v>
      </c>
      <c r="AD109" s="10" t="inlineStr"/>
      <c r="AE109" s="10" t="inlineStr">
        <is>
          <t>Fogo, Vento, Quântico</t>
        </is>
      </c>
      <c r="AF109" s="10" t="inlineStr">
        <is>
          <t>Sentença</t>
        </is>
      </c>
      <c r="AG109" s="10" t="n">
        <v>2</v>
      </c>
      <c r="AH109" s="10" t="inlineStr">
        <is>
          <t>Lâmina de encerramento</t>
        </is>
      </c>
      <c r="AI109" s="10" t="n">
        <v>3</v>
      </c>
      <c r="AJ109" s="10" t="inlineStr"/>
      <c r="AK109" s="10" t="inlineStr"/>
      <c r="AL109" s="10" t="inlineStr">
        <is>
          <t>Aliança Xianzhou</t>
        </is>
      </c>
    </row>
    <row r="110" ht="48" customHeight="1">
      <c r="A110" s="31" t="n">
        <v>19</v>
      </c>
      <c r="B110" s="5" t="inlineStr">
        <is>
          <t>Mestre de Cerimônias Mascarado</t>
        </is>
      </c>
      <c r="C110" s="5" t="inlineStr">
        <is>
          <t>Elite</t>
        </is>
      </c>
      <c r="D110" s="5" t="inlineStr">
        <is>
          <t>9-12</t>
        </is>
      </c>
      <c r="E110" s="5" t="inlineStr">
        <is>
          <t>Tolos Mascarados</t>
        </is>
      </c>
      <c r="F110" s="5" t="n">
        <v>1</v>
      </c>
      <c r="G110" s="5" t="n">
        <v>225</v>
      </c>
      <c r="H110" s="5" t="n">
        <v>21</v>
      </c>
      <c r="I110" s="5" t="n">
        <v>3</v>
      </c>
      <c r="J110" s="5" t="n">
        <v>7</v>
      </c>
      <c r="K110" s="5" t="n">
        <v>15</v>
      </c>
      <c r="L110" s="5" t="n">
        <v>11</v>
      </c>
      <c r="M110" s="5" t="inlineStr">
        <is>
          <t>4d8 + 1</t>
        </is>
      </c>
      <c r="N110" s="5" t="n">
        <v>19</v>
      </c>
      <c r="O110" s="5" t="n">
        <v>17</v>
      </c>
      <c r="P110" s="5" t="n">
        <v>5</v>
      </c>
      <c r="Q110" s="5" t="inlineStr">
        <is>
          <t>Físico</t>
        </is>
      </c>
      <c r="R110" s="5" t="inlineStr">
        <is>
          <t>Gelo</t>
        </is>
      </c>
      <c r="S110" s="5" t="inlineStr">
        <is>
          <t>Imaginário</t>
        </is>
      </c>
      <c r="T110" s="5" t="inlineStr"/>
      <c r="U110" s="5" t="inlineStr">
        <is>
          <t>Quântico</t>
        </is>
      </c>
      <c r="V110" s="5" t="inlineStr">
        <is>
          <t>Pode</t>
        </is>
      </c>
      <c r="W110" s="5" t="inlineStr">
        <is>
          <t>com Firmeza</t>
        </is>
      </c>
      <c r="X110" s="5" t="inlineStr">
        <is>
          <t>Ser racional: pode Executar — e faz isso se, e só se, render uma fala melhor.</t>
        </is>
      </c>
      <c r="Y110" s="5" t="inlineStr">
        <is>
          <t>"Vocês chegaram no segundo ato. Não se preocupem, eu resumo."</t>
        </is>
      </c>
      <c r="Z110" s="5" t="n">
        <v>1.5</v>
      </c>
      <c r="AA110" s="5" t="n">
        <v>225</v>
      </c>
      <c r="AB110" s="5" t="n">
        <v>3</v>
      </c>
      <c r="AC110" s="5" t="n">
        <v>2</v>
      </c>
      <c r="AD110" s="5" t="inlineStr"/>
      <c r="AE110" s="5" t="inlineStr">
        <is>
          <t>Físico, Gelo, Imaginário</t>
        </is>
      </c>
      <c r="AF110" s="5" t="inlineStr">
        <is>
          <t>Deixa!</t>
        </is>
      </c>
      <c r="AG110" s="5" t="n">
        <v>2</v>
      </c>
      <c r="AH110" s="5" t="inlineStr">
        <is>
          <t>Chuva de improviso</t>
        </is>
      </c>
      <c r="AI110" s="5" t="n">
        <v>3</v>
      </c>
      <c r="AJ110" s="5" t="inlineStr"/>
      <c r="AK110" s="5" t="inlineStr"/>
      <c r="AL110" s="5" t="inlineStr">
        <is>
          <t>Tolos Mascarados</t>
        </is>
      </c>
    </row>
    <row r="111" ht="60" customHeight="1">
      <c r="A111" s="43" t="n">
        <v>20</v>
      </c>
      <c r="B111" s="10" t="inlineStr">
        <is>
          <t>O Dramaturgo de Mil Faces</t>
        </is>
      </c>
      <c r="C111" s="10" t="inlineStr">
        <is>
          <t>Boss</t>
        </is>
      </c>
      <c r="D111" s="10" t="inlineStr">
        <is>
          <t>9-12</t>
        </is>
      </c>
      <c r="E111" s="10" t="inlineStr">
        <is>
          <t>Tolos Mascarados</t>
        </is>
      </c>
      <c r="F111" s="10" t="n">
        <v>2</v>
      </c>
      <c r="G111" s="10" t="n">
        <v>580</v>
      </c>
      <c r="H111" s="10" t="n">
        <v>22</v>
      </c>
      <c r="I111" s="10" t="n">
        <v>6</v>
      </c>
      <c r="J111" s="10" t="n">
        <v>12</v>
      </c>
      <c r="K111" s="10" t="n">
        <v>16</v>
      </c>
      <c r="L111" s="10" t="n">
        <v>11</v>
      </c>
      <c r="M111" s="10" t="inlineStr">
        <is>
          <t>5d10 + 1</t>
        </is>
      </c>
      <c r="N111" s="10" t="n">
        <v>28</v>
      </c>
      <c r="O111" s="10" t="n">
        <v>18</v>
      </c>
      <c r="P111" s="10" t="n">
        <v>6</v>
      </c>
      <c r="Q111" s="10" t="inlineStr">
        <is>
          <t>Físico</t>
        </is>
      </c>
      <c r="R111" s="10" t="inlineStr">
        <is>
          <t>Gelo</t>
        </is>
      </c>
      <c r="S111" s="10" t="inlineStr">
        <is>
          <t>Vento</t>
        </is>
      </c>
      <c r="T111" s="10" t="inlineStr">
        <is>
          <t>Imaginário</t>
        </is>
      </c>
      <c r="U111" s="10" t="inlineStr"/>
      <c r="V111" s="10" t="inlineStr">
        <is>
          <t>Não declarado</t>
        </is>
      </c>
      <c r="W111" s="10" t="inlineStr">
        <is>
          <t>com Firmeza</t>
        </is>
      </c>
      <c r="X111" s="10" t="inlineStr">
        <is>
          <t>Na fase 1, ataca quem está menos ferido (ele quer que a cena dure). Na fase 2, ataca quem mais o feriu.</t>
        </is>
      </c>
      <c r="Y111" s="10" t="inlineStr">
        <is>
          <t>"Primeiro ato: vocês acham que estão lutando comigo."</t>
        </is>
      </c>
      <c r="Z111" s="10" t="n">
        <v>2</v>
      </c>
      <c r="AA111" s="10" t="n">
        <v>580</v>
      </c>
      <c r="AB111" s="10" t="n">
        <v>3</v>
      </c>
      <c r="AC111" s="10" t="n">
        <v>3</v>
      </c>
      <c r="AD111" s="10" t="inlineStr"/>
      <c r="AE111" s="10" t="inlineStr">
        <is>
          <t>Físico, Gelo, Vento, Imaginário</t>
        </is>
      </c>
      <c r="AF111" s="10" t="inlineStr">
        <is>
          <t>Entra o dublê</t>
        </is>
      </c>
      <c r="AG111" s="10" t="n">
        <v>3</v>
      </c>
      <c r="AH111" s="10" t="inlineStr">
        <is>
          <t>Reviravolta</t>
        </is>
      </c>
      <c r="AI111" s="10" t="n">
        <v>2</v>
      </c>
      <c r="AJ111" s="10" t="inlineStr"/>
      <c r="AK111" s="10" t="inlineStr"/>
      <c r="AL111" s="10" t="inlineStr">
        <is>
          <t>Tolos Mascarados</t>
        </is>
      </c>
    </row>
    <row r="112" ht="48" customHeight="1">
      <c r="A112" s="31" t="n">
        <v>21</v>
      </c>
      <c r="B112" s="5" t="inlineStr">
        <is>
          <t>Noviço da Beleza</t>
        </is>
      </c>
      <c r="C112" s="5" t="inlineStr">
        <is>
          <t>Comum</t>
        </is>
      </c>
      <c r="D112" s="5" t="inlineStr">
        <is>
          <t>13-16</t>
        </is>
      </c>
      <c r="E112" s="5" t="inlineStr">
        <is>
          <t>Cavaleiros da Beleza</t>
        </is>
      </c>
      <c r="F112" s="5" t="n">
        <v>1</v>
      </c>
      <c r="G112" s="5" t="n">
        <v>125</v>
      </c>
      <c r="H112" s="5" t="n">
        <v>20</v>
      </c>
      <c r="I112" s="5" t="n">
        <v>0</v>
      </c>
      <c r="J112" s="5" t="n">
        <v>4</v>
      </c>
      <c r="K112" s="5" t="n">
        <v>14</v>
      </c>
      <c r="L112" s="5" t="n">
        <v>12</v>
      </c>
      <c r="M112" s="5" t="inlineStr">
        <is>
          <t>3d6 + 2</t>
        </is>
      </c>
      <c r="N112" s="5" t="n">
        <v>12</v>
      </c>
      <c r="O112" s="5" t="n">
        <v>17</v>
      </c>
      <c r="P112" s="5" t="n">
        <v>5</v>
      </c>
      <c r="Q112" s="5" t="inlineStr">
        <is>
          <t>Físico</t>
        </is>
      </c>
      <c r="R112" s="5" t="inlineStr">
        <is>
          <t>Fogo</t>
        </is>
      </c>
      <c r="S112" s="5" t="inlineStr"/>
      <c r="T112" s="5" t="inlineStr"/>
      <c r="U112" s="5" t="inlineStr"/>
      <c r="V112" s="5" t="inlineStr">
        <is>
          <t>Pode</t>
        </is>
      </c>
      <c r="W112" s="5" t="inlineStr">
        <is>
          <t>sem Firmeza</t>
        </is>
      </c>
      <c r="X112" s="5" t="inlineStr">
        <is>
          <t>Ser racional: pode Executar — e para a ordem dele, isso não é matar, é terminar.</t>
        </is>
      </c>
      <c r="Y112" s="5" t="inlineStr">
        <is>
          <t>"Ele já cortou tudo que sobrava dele. Agora precisa de você."</t>
        </is>
      </c>
      <c r="Z112" s="5" t="n">
        <v>1</v>
      </c>
      <c r="AA112" s="5" t="n">
        <v>125</v>
      </c>
      <c r="AB112" s="5" t="n">
        <v>4</v>
      </c>
      <c r="AC112" s="5" t="n">
        <v>1</v>
      </c>
      <c r="AD112" s="5" t="inlineStr"/>
      <c r="AE112" s="5" t="inlineStr">
        <is>
          <t>Físico, Fogo</t>
        </is>
      </c>
      <c r="AF112" s="5" t="inlineStr">
        <is>
          <t>Correção</t>
        </is>
      </c>
      <c r="AG112" s="5" t="n">
        <v>2</v>
      </c>
      <c r="AH112" s="5" t="inlineStr"/>
      <c r="AI112" s="5" t="inlineStr"/>
      <c r="AJ112" s="5" t="inlineStr"/>
      <c r="AK112" s="5" t="inlineStr"/>
      <c r="AL112" s="5" t="inlineStr">
        <is>
          <t>Cavaleiros da Beleza</t>
        </is>
      </c>
    </row>
    <row r="113" ht="48" customHeight="1">
      <c r="A113" s="43" t="n">
        <v>22</v>
      </c>
      <c r="B113" s="10" t="inlineStr">
        <is>
          <t>Operativo de Campo dos Caçadores</t>
        </is>
      </c>
      <c r="C113" s="10" t="inlineStr">
        <is>
          <t>Comum</t>
        </is>
      </c>
      <c r="D113" s="10" t="inlineStr">
        <is>
          <t>13-16</t>
        </is>
      </c>
      <c r="E113" s="10" t="inlineStr">
        <is>
          <t>Caçadores de Stellaron</t>
        </is>
      </c>
      <c r="F113" s="10" t="n">
        <v>1</v>
      </c>
      <c r="G113" s="10" t="n">
        <v>125</v>
      </c>
      <c r="H113" s="10" t="n">
        <v>20</v>
      </c>
      <c r="I113" s="10" t="n">
        <v>0</v>
      </c>
      <c r="J113" s="10" t="n">
        <v>4</v>
      </c>
      <c r="K113" s="10" t="n">
        <v>14</v>
      </c>
      <c r="L113" s="10" t="n">
        <v>12</v>
      </c>
      <c r="M113" s="10" t="inlineStr">
        <is>
          <t>3d6 + 2</t>
        </is>
      </c>
      <c r="N113" s="10" t="n">
        <v>12</v>
      </c>
      <c r="O113" s="10" t="n">
        <v>17</v>
      </c>
      <c r="P113" s="10" t="n">
        <v>5</v>
      </c>
      <c r="Q113" s="10" t="inlineStr">
        <is>
          <t>Gelo</t>
        </is>
      </c>
      <c r="R113" s="10" t="inlineStr">
        <is>
          <t>Quântico</t>
        </is>
      </c>
      <c r="S113" s="10" t="inlineStr"/>
      <c r="T113" s="10" t="inlineStr"/>
      <c r="U113" s="10" t="inlineStr"/>
      <c r="V113" s="10" t="inlineStr">
        <is>
          <t>Pode</t>
        </is>
      </c>
      <c r="W113" s="10" t="inlineStr">
        <is>
          <t>sem Firmeza</t>
        </is>
      </c>
      <c r="X113" s="10" t="inlineStr">
        <is>
          <t>Vai sempre em quem cura, e sai de perto depois. Ser racional: pode Executar.</t>
        </is>
      </c>
      <c r="Y113" s="10" t="inlineStr">
        <is>
          <t>"Ele não estava aqui no Ciclo passado. Ninguém sabe desde quando está."</t>
        </is>
      </c>
      <c r="Z113" s="10" t="n">
        <v>1</v>
      </c>
      <c r="AA113" s="10" t="n">
        <v>125</v>
      </c>
      <c r="AB113" s="10" t="n">
        <v>4</v>
      </c>
      <c r="AC113" s="10" t="n">
        <v>1</v>
      </c>
      <c r="AD113" s="10" t="inlineStr"/>
      <c r="AE113" s="10" t="inlineStr">
        <is>
          <t>Gelo, Quântico</t>
        </is>
      </c>
      <c r="AF113" s="10" t="inlineStr">
        <is>
          <t>Reposicionar</t>
        </is>
      </c>
      <c r="AG113" s="10" t="n">
        <v>2</v>
      </c>
      <c r="AH113" s="10" t="inlineStr"/>
      <c r="AI113" s="10" t="inlineStr"/>
      <c r="AJ113" s="10" t="inlineStr"/>
      <c r="AK113" s="10" t="inlineStr"/>
      <c r="AL113" s="10" t="inlineStr">
        <is>
          <t>Caçadores de Stellaron</t>
        </is>
      </c>
    </row>
    <row r="114" ht="116" customHeight="1">
      <c r="A114" s="31" t="n">
        <v>23</v>
      </c>
      <c r="B114" s="5" t="inlineStr">
        <is>
          <t>Autômato Taciturno</t>
        </is>
      </c>
      <c r="C114" s="5" t="inlineStr">
        <is>
          <t>Comum</t>
        </is>
      </c>
      <c r="D114" s="5" t="inlineStr">
        <is>
          <t>13-16</t>
        </is>
      </c>
      <c r="E114" s="5" t="inlineStr">
        <is>
          <t>Autômato de guerra</t>
        </is>
      </c>
      <c r="F114" s="5" t="n">
        <v>1</v>
      </c>
      <c r="G114" s="5" t="n">
        <v>125</v>
      </c>
      <c r="H114" s="5" t="n">
        <v>20</v>
      </c>
      <c r="I114" s="5" t="n">
        <v>0</v>
      </c>
      <c r="J114" s="5" t="n">
        <v>4</v>
      </c>
      <c r="K114" s="5" t="n">
        <v>14</v>
      </c>
      <c r="L114" s="5" t="n">
        <v>12</v>
      </c>
      <c r="M114" s="5" t="inlineStr">
        <is>
          <t>3d6 + 2</t>
        </is>
      </c>
      <c r="N114" s="5" t="n">
        <v>12</v>
      </c>
      <c r="O114" s="5" t="n">
        <v>17</v>
      </c>
      <c r="P114" s="5" t="n">
        <v>5</v>
      </c>
      <c r="Q114" s="5" t="inlineStr">
        <is>
          <t>Raio</t>
        </is>
      </c>
      <c r="R114" s="5" t="inlineStr">
        <is>
          <t>Vento</t>
        </is>
      </c>
      <c r="S114" s="5" t="inlineStr"/>
      <c r="T114" s="5" t="inlineStr"/>
      <c r="U114" s="5" t="inlineStr"/>
      <c r="V114" s="5" t="inlineStr">
        <is>
          <t>Não</t>
        </is>
      </c>
      <c r="W114" s="5" t="inlineStr">
        <is>
          <t>sem Firmeza</t>
        </is>
      </c>
      <c r="X114" s="5" t="inlineStr">
        <is>
          <t>Máquina sem consciência: não Executa. É a melhor demonstração do teto de 3 acúmulos de Marcado em toda a mesa: no terceiro Ciclo ele está em +3 e ninguém fora do alvo correu risco nenhum.</t>
        </is>
      </c>
      <c r="Y114" s="5" t="inlineStr">
        <is>
          <t>"Modelo descontinuado. Munição, não."</t>
        </is>
      </c>
      <c r="Z114" s="5" t="n">
        <v>1</v>
      </c>
      <c r="AA114" s="5" t="n">
        <v>125</v>
      </c>
      <c r="AB114" s="5" t="n">
        <v>4</v>
      </c>
      <c r="AC114" s="5" t="n">
        <v>1</v>
      </c>
      <c r="AD114" s="5" t="inlineStr"/>
      <c r="AE114" s="5" t="inlineStr">
        <is>
          <t>Raio, Vento</t>
        </is>
      </c>
      <c r="AF114" s="5" t="inlineStr">
        <is>
          <t>Travar alvo</t>
        </is>
      </c>
      <c r="AG114" s="5" t="n">
        <v>2</v>
      </c>
      <c r="AH114" s="5" t="inlineStr"/>
      <c r="AI114" s="5" t="inlineStr"/>
      <c r="AJ114" s="5" t="inlineStr"/>
      <c r="AK114" s="5" t="inlineStr"/>
      <c r="AL114" s="5" t="inlineStr">
        <is>
          <t>Autômato de guerra</t>
        </is>
      </c>
    </row>
    <row r="115" ht="48" customHeight="1">
      <c r="A115" s="43" t="n">
        <v>24</v>
      </c>
      <c r="B115" s="10" t="inlineStr">
        <is>
          <t>Escultor de Carne</t>
        </is>
      </c>
      <c r="C115" s="10" t="inlineStr">
        <is>
          <t>Elite</t>
        </is>
      </c>
      <c r="D115" s="10" t="inlineStr">
        <is>
          <t>13-16</t>
        </is>
      </c>
      <c r="E115" s="10" t="inlineStr">
        <is>
          <t>Cavaleiros da Beleza</t>
        </is>
      </c>
      <c r="F115" s="10" t="n">
        <v>1</v>
      </c>
      <c r="G115" s="10" t="n">
        <v>295</v>
      </c>
      <c r="H115" s="10" t="n">
        <v>22</v>
      </c>
      <c r="I115" s="10" t="n">
        <v>3</v>
      </c>
      <c r="J115" s="10" t="n">
        <v>6</v>
      </c>
      <c r="K115" s="10" t="n">
        <v>16</v>
      </c>
      <c r="L115" s="10" t="n">
        <v>12</v>
      </c>
      <c r="M115" s="10" t="inlineStr">
        <is>
          <t>4d10 + 2</t>
        </is>
      </c>
      <c r="N115" s="10" t="n">
        <v>24</v>
      </c>
      <c r="O115" s="10" t="n">
        <v>18</v>
      </c>
      <c r="P115" s="10" t="n">
        <v>6</v>
      </c>
      <c r="Q115" s="10" t="inlineStr">
        <is>
          <t>Fogo</t>
        </is>
      </c>
      <c r="R115" s="10" t="inlineStr">
        <is>
          <t>Gelo</t>
        </is>
      </c>
      <c r="S115" s="10" t="inlineStr">
        <is>
          <t>Raio</t>
        </is>
      </c>
      <c r="T115" s="10" t="inlineStr"/>
      <c r="U115" s="10" t="inlineStr"/>
      <c r="V115" s="10" t="inlineStr">
        <is>
          <t>Pode</t>
        </is>
      </c>
      <c r="W115" s="10" t="inlineStr">
        <is>
          <t>com Firmeza</t>
        </is>
      </c>
      <c r="X115" s="10" t="inlineStr">
        <is>
          <t>Escolhe o alvo pela estética e não muda de ideia. Ser racional: pode Executar.</t>
        </is>
      </c>
      <c r="Y115" s="10" t="inlineStr">
        <is>
          <t>"Fique parado. Vai doer mais se você se mexer, e vai ficar torto."</t>
        </is>
      </c>
      <c r="Z115" s="10" t="n">
        <v>1.5</v>
      </c>
      <c r="AA115" s="10" t="n">
        <v>295</v>
      </c>
      <c r="AB115" s="10" t="n">
        <v>4</v>
      </c>
      <c r="AC115" s="10" t="n">
        <v>2</v>
      </c>
      <c r="AD115" s="10" t="inlineStr"/>
      <c r="AE115" s="10" t="inlineStr">
        <is>
          <t>Fogo, Gelo, Raio</t>
        </is>
      </c>
      <c r="AF115" s="10" t="inlineStr">
        <is>
          <t>Anestesia</t>
        </is>
      </c>
      <c r="AG115" s="10" t="n">
        <v>2</v>
      </c>
      <c r="AH115" s="10" t="inlineStr">
        <is>
          <t>Obra em progresso</t>
        </is>
      </c>
      <c r="AI115" s="10" t="n">
        <v>3</v>
      </c>
      <c r="AJ115" s="10" t="inlineStr"/>
      <c r="AK115" s="10" t="inlineStr"/>
      <c r="AL115" s="10" t="inlineStr">
        <is>
          <t>Cavaleiros da Beleza</t>
        </is>
      </c>
    </row>
    <row r="116" ht="82" customHeight="1">
      <c r="A116" s="31" t="n">
        <v>25</v>
      </c>
      <c r="B116" s="5" t="inlineStr">
        <is>
          <t>Executora de Contrato</t>
        </is>
      </c>
      <c r="C116" s="5" t="inlineStr">
        <is>
          <t>Elite</t>
        </is>
      </c>
      <c r="D116" s="5" t="inlineStr">
        <is>
          <t>13-16</t>
        </is>
      </c>
      <c r="E116" s="5" t="inlineStr">
        <is>
          <t>Caçadores de Stellaron</t>
        </is>
      </c>
      <c r="F116" s="5" t="n">
        <v>1</v>
      </c>
      <c r="G116" s="5" t="n">
        <v>295</v>
      </c>
      <c r="H116" s="5" t="n">
        <v>22</v>
      </c>
      <c r="I116" s="5" t="n">
        <v>3</v>
      </c>
      <c r="J116" s="5" t="n">
        <v>6</v>
      </c>
      <c r="K116" s="5" t="n">
        <v>16</v>
      </c>
      <c r="L116" s="5" t="n">
        <v>12</v>
      </c>
      <c r="M116" s="5" t="inlineStr">
        <is>
          <t>4d10 + 2</t>
        </is>
      </c>
      <c r="N116" s="5" t="n">
        <v>24</v>
      </c>
      <c r="O116" s="5" t="n">
        <v>18</v>
      </c>
      <c r="P116" s="5" t="n">
        <v>6</v>
      </c>
      <c r="Q116" s="5" t="inlineStr">
        <is>
          <t>Físico</t>
        </is>
      </c>
      <c r="R116" s="5" t="inlineStr">
        <is>
          <t>Vento</t>
        </is>
      </c>
      <c r="S116" s="5" t="inlineStr">
        <is>
          <t>Imaginário</t>
        </is>
      </c>
      <c r="T116" s="5" t="inlineStr"/>
      <c r="U116" s="5" t="inlineStr">
        <is>
          <t>Gelo</t>
        </is>
      </c>
      <c r="V116" s="5" t="inlineStr">
        <is>
          <t>Pode</t>
        </is>
      </c>
      <c r="W116" s="5" t="inlineStr">
        <is>
          <t>com Firmeza</t>
        </is>
      </c>
      <c r="X116" s="5" t="inlineStr">
        <is>
          <t>Abre no personagem que mais depende de uma única Habilidade. Ser racional: pode Executar, e é a única coisa do contrato dela que não é negociável.</t>
        </is>
      </c>
      <c r="Y116" s="5" t="inlineStr">
        <is>
          <t>"Eu li o seu contrato. Você não leu."</t>
        </is>
      </c>
      <c r="Z116" s="5" t="n">
        <v>1.5</v>
      </c>
      <c r="AA116" s="5" t="n">
        <v>295</v>
      </c>
      <c r="AB116" s="5" t="n">
        <v>4</v>
      </c>
      <c r="AC116" s="5" t="n">
        <v>2</v>
      </c>
      <c r="AD116" s="5" t="inlineStr"/>
      <c r="AE116" s="5" t="inlineStr">
        <is>
          <t>Físico, Vento, Imaginário</t>
        </is>
      </c>
      <c r="AF116" s="5" t="inlineStr">
        <is>
          <t>Dossiê</t>
        </is>
      </c>
      <c r="AG116" s="5" t="n">
        <v>2</v>
      </c>
      <c r="AH116" s="5" t="inlineStr">
        <is>
          <t>Encerramento</t>
        </is>
      </c>
      <c r="AI116" s="5" t="n">
        <v>3</v>
      </c>
      <c r="AJ116" s="5" t="inlineStr"/>
      <c r="AK116" s="5" t="inlineStr"/>
      <c r="AL116" s="5" t="inlineStr">
        <is>
          <t>Caçadores de Stellaron</t>
        </is>
      </c>
    </row>
    <row r="117" ht="105" customHeight="1">
      <c r="A117" s="43" t="n">
        <v>26</v>
      </c>
      <c r="B117" s="10" t="inlineStr">
        <is>
          <t>Vênia, a Primeira Obra</t>
        </is>
      </c>
      <c r="C117" s="10" t="inlineStr">
        <is>
          <t>Boss</t>
        </is>
      </c>
      <c r="D117" s="10" t="inlineStr">
        <is>
          <t>13-16</t>
        </is>
      </c>
      <c r="E117" s="10" t="inlineStr">
        <is>
          <t>Cavaleiros da Beleza</t>
        </is>
      </c>
      <c r="F117" s="10" t="n">
        <v>2</v>
      </c>
      <c r="G117" s="10" t="n">
        <v>750</v>
      </c>
      <c r="H117" s="10" t="n">
        <v>23</v>
      </c>
      <c r="I117" s="10" t="n">
        <v>6</v>
      </c>
      <c r="J117" s="10" t="n">
        <v>12</v>
      </c>
      <c r="K117" s="10" t="n">
        <v>18</v>
      </c>
      <c r="L117" s="10" t="n">
        <v>12</v>
      </c>
      <c r="M117" s="10" t="inlineStr">
        <is>
          <t>6d10 + 3</t>
        </is>
      </c>
      <c r="N117" s="10" t="n">
        <v>36</v>
      </c>
      <c r="O117" s="10" t="n">
        <v>19</v>
      </c>
      <c r="P117" s="10" t="n">
        <v>7</v>
      </c>
      <c r="Q117" s="10" t="inlineStr">
        <is>
          <t>Físico</t>
        </is>
      </c>
      <c r="R117" s="10" t="inlineStr">
        <is>
          <t>Fogo</t>
        </is>
      </c>
      <c r="S117" s="10" t="inlineStr">
        <is>
          <t>Raio</t>
        </is>
      </c>
      <c r="T117" s="10" t="inlineStr">
        <is>
          <t>Quântico</t>
        </is>
      </c>
      <c r="U117" s="10" t="inlineStr"/>
      <c r="V117" s="10" t="inlineStr">
        <is>
          <t>Não declarado</t>
        </is>
      </c>
      <c r="W117" s="10" t="inlineStr">
        <is>
          <t>com Firmeza</t>
        </is>
      </c>
      <c r="X117" s="10" t="inlineStr">
        <is>
          <t>Ela tem a maior VEL de inimigo da faixa e age antes de quase todo grupo — a Caça equipada ainda chega na frente dela, e isso é promessa de Caminho, não coincidência (capítulo 19).</t>
        </is>
      </c>
      <c r="Y117" s="10" t="inlineStr">
        <is>
          <t>"Ela foi a primeira coisa que a ordem considerou terminada. Depois disso, a ordem não terminou mais nada."</t>
        </is>
      </c>
      <c r="Z117" s="10" t="n">
        <v>2</v>
      </c>
      <c r="AA117" s="10" t="n">
        <v>750</v>
      </c>
      <c r="AB117" s="10" t="n">
        <v>4</v>
      </c>
      <c r="AC117" s="10" t="n">
        <v>3</v>
      </c>
      <c r="AD117" s="10" t="inlineStr"/>
      <c r="AE117" s="10" t="inlineStr">
        <is>
          <t>Físico, Fogo, Raio, Quântico</t>
        </is>
      </c>
      <c r="AF117" s="10" t="inlineStr">
        <is>
          <t>Simetria</t>
        </is>
      </c>
      <c r="AG117" s="10" t="n">
        <v>2</v>
      </c>
      <c r="AH117" s="10" t="inlineStr">
        <is>
          <t>Retoque</t>
        </is>
      </c>
      <c r="AI117" s="10" t="n">
        <v>3</v>
      </c>
      <c r="AJ117" s="10" t="inlineStr"/>
      <c r="AK117" s="10" t="inlineStr"/>
      <c r="AL117" s="10" t="inlineStr">
        <is>
          <t>Cavaleiros da Beleza</t>
        </is>
      </c>
    </row>
    <row r="118" ht="93" customHeight="1">
      <c r="A118" s="31" t="n">
        <v>27</v>
      </c>
      <c r="B118" s="5" t="inlineStr">
        <is>
          <t>Guarda Pretoriano da Antimatéria</t>
        </is>
      </c>
      <c r="C118" s="5" t="inlineStr">
        <is>
          <t>Comum</t>
        </is>
      </c>
      <c r="D118" s="5" t="inlineStr">
        <is>
          <t>17-20</t>
        </is>
      </c>
      <c r="E118" s="5" t="inlineStr">
        <is>
          <t>Legião da Antimatéria</t>
        </is>
      </c>
      <c r="F118" s="5" t="n">
        <v>1</v>
      </c>
      <c r="G118" s="5" t="n">
        <v>155</v>
      </c>
      <c r="H118" s="5" t="n">
        <v>24</v>
      </c>
      <c r="I118" s="5" t="n">
        <v>0</v>
      </c>
      <c r="J118" s="5" t="n">
        <v>4</v>
      </c>
      <c r="K118" s="5" t="n">
        <v>15</v>
      </c>
      <c r="L118" s="5" t="n">
        <v>13</v>
      </c>
      <c r="M118" s="5" t="inlineStr">
        <is>
          <t>3d8 + 3</t>
        </is>
      </c>
      <c r="N118" s="5" t="n">
        <v>16</v>
      </c>
      <c r="O118" s="5" t="n">
        <v>19</v>
      </c>
      <c r="P118" s="5" t="n">
        <v>7</v>
      </c>
      <c r="Q118" s="5" t="inlineStr">
        <is>
          <t>Raio</t>
        </is>
      </c>
      <c r="R118" s="5" t="inlineStr">
        <is>
          <t>Imaginário</t>
        </is>
      </c>
      <c r="S118" s="5" t="inlineStr"/>
      <c r="T118" s="5" t="inlineStr"/>
      <c r="U118" s="5" t="inlineStr"/>
      <c r="V118" s="5" t="inlineStr">
        <is>
          <t>Não</t>
        </is>
      </c>
      <c r="W118" s="5" t="inlineStr">
        <is>
          <t>sem Firmeza</t>
        </is>
      </c>
      <c r="X118" s="5" t="inlineStr">
        <is>
          <t>Nunca aparece sozinho, nunca em número ímpar, e a Falange é o motivo. Ser racional, mas reescrito: não Executa — não sobrou nada nele que decida isso.</t>
        </is>
      </c>
      <c r="Y118" s="5" t="inlineStr">
        <is>
          <t>"A Legião tem exatamente duzentos deles. Nunca precisou de mais."</t>
        </is>
      </c>
      <c r="Z118" s="5" t="n">
        <v>1</v>
      </c>
      <c r="AA118" s="5" t="n">
        <v>155</v>
      </c>
      <c r="AB118" s="5" t="n">
        <v>5</v>
      </c>
      <c r="AC118" s="5" t="n">
        <v>1</v>
      </c>
      <c r="AD118" s="5" t="inlineStr"/>
      <c r="AE118" s="5" t="inlineStr">
        <is>
          <t>Raio, Imaginário</t>
        </is>
      </c>
      <c r="AF118" s="5" t="inlineStr">
        <is>
          <t>Falange</t>
        </is>
      </c>
      <c r="AG118" s="5" t="n">
        <v>2</v>
      </c>
      <c r="AH118" s="5" t="inlineStr"/>
      <c r="AI118" s="5" t="inlineStr"/>
      <c r="AJ118" s="5" t="inlineStr"/>
      <c r="AK118" s="5" t="inlineStr"/>
      <c r="AL118" s="5" t="inlineStr">
        <is>
          <t>Legião da Antimatéria</t>
        </is>
      </c>
    </row>
    <row r="119" ht="37" customHeight="1">
      <c r="A119" s="43" t="n">
        <v>28</v>
      </c>
      <c r="B119" s="10" t="inlineStr">
        <is>
          <t>Escória de Stellaron</t>
        </is>
      </c>
      <c r="C119" s="10" t="inlineStr">
        <is>
          <t>Comum</t>
        </is>
      </c>
      <c r="D119" s="10" t="inlineStr">
        <is>
          <t>17-20</t>
        </is>
      </c>
      <c r="E119" s="10" t="inlineStr">
        <is>
          <t>Stellaron</t>
        </is>
      </c>
      <c r="F119" s="10" t="n">
        <v>1</v>
      </c>
      <c r="G119" s="10" t="n">
        <v>155</v>
      </c>
      <c r="H119" s="10" t="n">
        <v>24</v>
      </c>
      <c r="I119" s="10" t="n">
        <v>0</v>
      </c>
      <c r="J119" s="10" t="n">
        <v>4</v>
      </c>
      <c r="K119" s="10" t="n">
        <v>15</v>
      </c>
      <c r="L119" s="10" t="n">
        <v>13</v>
      </c>
      <c r="M119" s="10" t="inlineStr">
        <is>
          <t>3d8 + 3</t>
        </is>
      </c>
      <c r="N119" s="10" t="n">
        <v>16</v>
      </c>
      <c r="O119" s="10" t="n">
        <v>19</v>
      </c>
      <c r="P119" s="10" t="n">
        <v>7</v>
      </c>
      <c r="Q119" s="10" t="inlineStr">
        <is>
          <t>Gelo</t>
        </is>
      </c>
      <c r="R119" s="10" t="inlineStr">
        <is>
          <t>Quântico</t>
        </is>
      </c>
      <c r="S119" s="10" t="inlineStr"/>
      <c r="T119" s="10" t="inlineStr"/>
      <c r="U119" s="10" t="inlineStr"/>
      <c r="V119" s="10" t="inlineStr">
        <is>
          <t>Não</t>
        </is>
      </c>
      <c r="W119" s="10" t="inlineStr">
        <is>
          <t>sem Firmeza</t>
        </is>
      </c>
      <c r="X119" s="10" t="inlineStr">
        <is>
          <t>Besta sem consciência: não Executa.</t>
        </is>
      </c>
      <c r="Y119" s="10" t="inlineStr">
        <is>
          <t>"É o chão. O chão se levantou."</t>
        </is>
      </c>
      <c r="Z119" s="10" t="n">
        <v>1</v>
      </c>
      <c r="AA119" s="10" t="n">
        <v>232.5</v>
      </c>
      <c r="AB119" s="10" t="n">
        <v>5</v>
      </c>
      <c r="AC119" s="10" t="n">
        <v>1</v>
      </c>
      <c r="AD119" s="10" t="inlineStr"/>
      <c r="AE119" s="10" t="inlineStr">
        <is>
          <t>Gelo, Quântico</t>
        </is>
      </c>
      <c r="AF119" s="10" t="inlineStr"/>
      <c r="AG119" s="10" t="inlineStr"/>
      <c r="AH119" s="10" t="inlineStr"/>
      <c r="AI119" s="10" t="inlineStr"/>
      <c r="AJ119" s="10" t="inlineStr"/>
      <c r="AK119" s="10" t="inlineStr"/>
      <c r="AL119" s="10" t="inlineStr">
        <is>
          <t>Stellaron</t>
        </is>
      </c>
    </row>
    <row r="120" ht="60" customHeight="1">
      <c r="A120" s="31" t="n">
        <v>29</v>
      </c>
      <c r="B120" s="5" t="inlineStr">
        <is>
          <t>Arcanjo de Ferro-Vazio</t>
        </is>
      </c>
      <c r="C120" s="5" t="inlineStr">
        <is>
          <t>Elite</t>
        </is>
      </c>
      <c r="D120" s="5" t="inlineStr">
        <is>
          <t>17-20</t>
        </is>
      </c>
      <c r="E120" s="5" t="inlineStr">
        <is>
          <t>Legião da Antimatéria</t>
        </is>
      </c>
      <c r="F120" s="5" t="n">
        <v>1</v>
      </c>
      <c r="G120" s="5" t="n">
        <v>365</v>
      </c>
      <c r="H120" s="5" t="n">
        <v>26</v>
      </c>
      <c r="I120" s="5" t="n">
        <v>4</v>
      </c>
      <c r="J120" s="5" t="n">
        <v>7</v>
      </c>
      <c r="K120" s="5" t="n">
        <v>17</v>
      </c>
      <c r="L120" s="5" t="n">
        <v>13</v>
      </c>
      <c r="M120" s="5" t="inlineStr">
        <is>
          <t>5d12</t>
        </is>
      </c>
      <c r="N120" s="5" t="n">
        <v>32</v>
      </c>
      <c r="O120" s="5" t="n">
        <v>20</v>
      </c>
      <c r="P120" s="5" t="n">
        <v>8</v>
      </c>
      <c r="Q120" s="5" t="inlineStr">
        <is>
          <t>Raio</t>
        </is>
      </c>
      <c r="R120" s="5" t="inlineStr">
        <is>
          <t>Quântico</t>
        </is>
      </c>
      <c r="S120" s="5" t="inlineStr">
        <is>
          <t>Imaginário</t>
        </is>
      </c>
      <c r="T120" s="5" t="inlineStr"/>
      <c r="U120" s="5" t="inlineStr">
        <is>
          <t>Físico</t>
        </is>
      </c>
      <c r="V120" s="5" t="inlineStr">
        <is>
          <t>Não</t>
        </is>
      </c>
      <c r="W120" s="5" t="inlineStr">
        <is>
          <t>com Firmeza</t>
        </is>
      </c>
      <c r="X120" s="5" t="inlineStr">
        <is>
          <t>Abre em quem está com mais Barreira. Máquina sem consciência: não Executa.</t>
        </is>
      </c>
      <c r="Y120" s="5" t="inlineStr">
        <is>
          <t>"Seis asas. Nenhuma delas serve para voar."</t>
        </is>
      </c>
      <c r="Z120" s="5" t="n">
        <v>1.5</v>
      </c>
      <c r="AA120" s="5" t="n">
        <v>365</v>
      </c>
      <c r="AB120" s="5" t="n">
        <v>5</v>
      </c>
      <c r="AC120" s="5" t="n">
        <v>2</v>
      </c>
      <c r="AD120" s="5" t="inlineStr"/>
      <c r="AE120" s="5" t="inlineStr">
        <is>
          <t>Raio, Quântico, Imaginário</t>
        </is>
      </c>
      <c r="AF120" s="5" t="inlineStr">
        <is>
          <t>Negar</t>
        </is>
      </c>
      <c r="AG120" s="5" t="n">
        <v>2</v>
      </c>
      <c r="AH120" s="5" t="inlineStr">
        <is>
          <t>Coluna de ferro-vazio</t>
        </is>
      </c>
      <c r="AI120" s="5" t="n">
        <v>3</v>
      </c>
      <c r="AJ120" s="5" t="inlineStr"/>
      <c r="AK120" s="5" t="inlineStr"/>
      <c r="AL120" s="5" t="inlineStr">
        <is>
          <t>Legião da Antimatéria</t>
        </is>
      </c>
    </row>
    <row r="121" ht="48" customHeight="1">
      <c r="A121" s="43" t="n">
        <v>30</v>
      </c>
      <c r="B121" s="10" t="inlineStr">
        <is>
          <t>Arauto da Tempestade Vazia</t>
        </is>
      </c>
      <c r="C121" s="10" t="inlineStr">
        <is>
          <t>Elite</t>
        </is>
      </c>
      <c r="D121" s="10" t="inlineStr">
        <is>
          <t>17-20</t>
        </is>
      </c>
      <c r="E121" s="10" t="inlineStr">
        <is>
          <t>Culto da Inexistência</t>
        </is>
      </c>
      <c r="F121" s="10" t="n">
        <v>1</v>
      </c>
      <c r="G121" s="10" t="n">
        <v>365</v>
      </c>
      <c r="H121" s="10" t="n">
        <v>26</v>
      </c>
      <c r="I121" s="10" t="n">
        <v>4</v>
      </c>
      <c r="J121" s="10" t="n">
        <v>7</v>
      </c>
      <c r="K121" s="10" t="n">
        <v>17</v>
      </c>
      <c r="L121" s="10" t="n">
        <v>13</v>
      </c>
      <c r="M121" s="10" t="inlineStr">
        <is>
          <t>5d12</t>
        </is>
      </c>
      <c r="N121" s="10" t="n">
        <v>32</v>
      </c>
      <c r="O121" s="10" t="n">
        <v>20</v>
      </c>
      <c r="P121" s="10" t="n">
        <v>8</v>
      </c>
      <c r="Q121" s="10" t="inlineStr">
        <is>
          <t>Físico</t>
        </is>
      </c>
      <c r="R121" s="10" t="inlineStr">
        <is>
          <t>Fogo</t>
        </is>
      </c>
      <c r="S121" s="10" t="inlineStr">
        <is>
          <t>Gelo</t>
        </is>
      </c>
      <c r="T121" s="10" t="inlineStr"/>
      <c r="U121" s="10" t="inlineStr"/>
      <c r="V121" s="10" t="inlineStr">
        <is>
          <t>Pode</t>
        </is>
      </c>
      <c r="W121" s="10" t="inlineStr">
        <is>
          <t>com Firmeza</t>
        </is>
      </c>
      <c r="X121" s="10" t="inlineStr">
        <is>
          <t>Ser racional: pode Executar, e ele considera isso um ato de gentileza.</t>
        </is>
      </c>
      <c r="Y121" s="10" t="inlineStr">
        <is>
          <t>"Ele não está atacando vocês. Ele está terminando a frase."</t>
        </is>
      </c>
      <c r="Z121" s="10" t="n">
        <v>1.5</v>
      </c>
      <c r="AA121" s="10" t="n">
        <v>365</v>
      </c>
      <c r="AB121" s="10" t="n">
        <v>5</v>
      </c>
      <c r="AC121" s="10" t="n">
        <v>2</v>
      </c>
      <c r="AD121" s="10" t="inlineStr"/>
      <c r="AE121" s="10" t="inlineStr">
        <is>
          <t>Físico, Fogo, Gelo</t>
        </is>
      </c>
      <c r="AF121" s="10" t="inlineStr">
        <is>
          <t>Rasgar a frase</t>
        </is>
      </c>
      <c r="AG121" s="10" t="n">
        <v>2</v>
      </c>
      <c r="AH121" s="10" t="inlineStr">
        <is>
          <t>Tempestade</t>
        </is>
      </c>
      <c r="AI121" s="10" t="n">
        <v>3</v>
      </c>
      <c r="AJ121" s="10" t="inlineStr"/>
      <c r="AK121" s="10" t="inlineStr"/>
      <c r="AL121" s="10" t="inlineStr">
        <is>
          <t>Culto da Inexistência</t>
        </is>
      </c>
    </row>
    <row r="122" ht="116" customHeight="1">
      <c r="A122" s="31" t="n">
        <v>31</v>
      </c>
      <c r="B122" s="5" t="inlineStr">
        <is>
          <t>O Germe de Pavor</t>
        </is>
      </c>
      <c r="C122" s="5" t="inlineStr">
        <is>
          <t>Boss</t>
        </is>
      </c>
      <c r="D122" s="5" t="inlineStr">
        <is>
          <t>17-20</t>
        </is>
      </c>
      <c r="E122" s="5" t="inlineStr">
        <is>
          <t>Stellaron</t>
        </is>
      </c>
      <c r="F122" s="5" t="n">
        <v>3</v>
      </c>
      <c r="G122" s="5" t="n">
        <v>935</v>
      </c>
      <c r="H122" s="5" t="n">
        <v>27</v>
      </c>
      <c r="I122" s="5" t="n">
        <v>8</v>
      </c>
      <c r="J122" s="5" t="n">
        <v>13</v>
      </c>
      <c r="K122" s="5" t="n">
        <v>19</v>
      </c>
      <c r="L122" s="5" t="n">
        <v>13</v>
      </c>
      <c r="M122" s="5" t="inlineStr">
        <is>
          <t>7d12 + 3</t>
        </is>
      </c>
      <c r="N122" s="5" t="n">
        <v>48</v>
      </c>
      <c r="O122" s="5" t="n">
        <v>21</v>
      </c>
      <c r="P122" s="5" t="n">
        <v>9</v>
      </c>
      <c r="Q122" s="5" t="inlineStr">
        <is>
          <t>Físico</t>
        </is>
      </c>
      <c r="R122" s="5" t="inlineStr">
        <is>
          <t>Fogo</t>
        </is>
      </c>
      <c r="S122" s="5" t="inlineStr">
        <is>
          <t>Gelo</t>
        </is>
      </c>
      <c r="T122" s="5" t="inlineStr">
        <is>
          <t>Raio</t>
        </is>
      </c>
      <c r="U122" s="5" t="inlineStr"/>
      <c r="V122" s="5" t="inlineStr">
        <is>
          <t>Não declarado</t>
        </is>
      </c>
      <c r="W122" s="5" t="inlineStr">
        <is>
          <t>com Firmeza</t>
        </is>
      </c>
      <c r="X122" s="5" t="inlineStr">
        <is>
          <t>VEL 19 é o teto de inimigo do livro: só uma Caça equipada chega na frente dele (capítulo 19). Ele não escolhe alvo — a fase 1 vai no mais próximo, a fase 2 em quem tem mais Presença, a fase 3 pega todo mundo.</t>
        </is>
      </c>
      <c r="Y122" s="5" t="inlineStr">
        <is>
          <t>"O Stellaron não é o inimigo. O Stellaron é a gravidez."</t>
        </is>
      </c>
      <c r="Z122" s="5" t="n">
        <v>2</v>
      </c>
      <c r="AA122" s="5" t="n">
        <v>935</v>
      </c>
      <c r="AB122" s="5" t="n">
        <v>5</v>
      </c>
      <c r="AC122" s="5" t="n">
        <v>3</v>
      </c>
      <c r="AD122" s="5" t="inlineStr"/>
      <c r="AE122" s="5" t="inlineStr">
        <is>
          <t>Físico, Fogo, Gelo, Raio</t>
        </is>
      </c>
      <c r="AF122" s="5" t="inlineStr">
        <is>
          <t>Parto falso</t>
        </is>
      </c>
      <c r="AG122" s="5" t="n">
        <v>3</v>
      </c>
      <c r="AH122" s="5" t="inlineStr"/>
      <c r="AI122" s="5" t="inlineStr"/>
      <c r="AJ122" s="5" t="inlineStr"/>
      <c r="AK122" s="5" t="inlineStr"/>
      <c r="AL122" s="5" t="inlineStr">
        <is>
          <t>Stellaron</t>
        </is>
      </c>
    </row>
    <row r="123" ht="60" customHeight="1">
      <c r="A123" s="43" t="n">
        <v>32</v>
      </c>
      <c r="B123" s="10" t="inlineStr">
        <is>
          <t>Vazia Coroada</t>
        </is>
      </c>
      <c r="C123" s="10" t="inlineStr">
        <is>
          <t>Boss</t>
        </is>
      </c>
      <c r="D123" s="10" t="inlineStr">
        <is>
          <t>17-20</t>
        </is>
      </c>
      <c r="E123" s="10" t="inlineStr">
        <is>
          <t>Emanadora da Inexistência</t>
        </is>
      </c>
      <c r="F123" s="10" t="n">
        <v>3</v>
      </c>
      <c r="G123" s="10" t="n">
        <v>935</v>
      </c>
      <c r="H123" s="10" t="n">
        <v>27</v>
      </c>
      <c r="I123" s="10" t="n">
        <v>8</v>
      </c>
      <c r="J123" s="10" t="n">
        <v>13</v>
      </c>
      <c r="K123" s="10" t="n">
        <v>19</v>
      </c>
      <c r="L123" s="10" t="n">
        <v>13</v>
      </c>
      <c r="M123" s="10" t="inlineStr">
        <is>
          <t>7d12 + 3</t>
        </is>
      </c>
      <c r="N123" s="10" t="n">
        <v>48</v>
      </c>
      <c r="O123" s="10" t="n">
        <v>21</v>
      </c>
      <c r="P123" s="10" t="n">
        <v>9</v>
      </c>
      <c r="Q123" s="10" t="inlineStr">
        <is>
          <t>Fogo</t>
        </is>
      </c>
      <c r="R123" s="10" t="inlineStr">
        <is>
          <t>Vento</t>
        </is>
      </c>
      <c r="S123" s="10" t="inlineStr">
        <is>
          <t>Quântico</t>
        </is>
      </c>
      <c r="T123" s="10" t="inlineStr">
        <is>
          <t>Imaginário</t>
        </is>
      </c>
      <c r="U123" s="10" t="inlineStr"/>
      <c r="V123" s="10" t="inlineStr">
        <is>
          <t>Pode</t>
        </is>
      </c>
      <c r="W123" s="10" t="inlineStr">
        <is>
          <t>com Firmeza</t>
        </is>
      </c>
      <c r="X123" s="10" t="inlineStr">
        <is>
          <t>Ser racional: pode Executar — e ela faz isso, sem pressa, em quem já estiver no chão com Corrupção.</t>
        </is>
      </c>
      <c r="Y123" s="10" t="inlineStr">
        <is>
          <t>"Ela não quer que você morra. Ela quer que você concorde."</t>
        </is>
      </c>
      <c r="Z123" s="10" t="n">
        <v>2</v>
      </c>
      <c r="AA123" s="10" t="n">
        <v>935</v>
      </c>
      <c r="AB123" s="10" t="n">
        <v>5</v>
      </c>
      <c r="AC123" s="10" t="n">
        <v>3</v>
      </c>
      <c r="AD123" s="10" t="inlineStr"/>
      <c r="AE123" s="10" t="inlineStr">
        <is>
          <t>Fogo, Vento, Quântico, Imaginário</t>
        </is>
      </c>
      <c r="AF123" s="10" t="inlineStr">
        <is>
          <t>Concordância</t>
        </is>
      </c>
      <c r="AG123" s="10" t="n">
        <v>2</v>
      </c>
      <c r="AH123" s="10" t="inlineStr">
        <is>
          <t>Nada disso importou</t>
        </is>
      </c>
      <c r="AI123" s="10" t="n">
        <v>3</v>
      </c>
      <c r="AJ123" s="10" t="inlineStr">
        <is>
          <t>Concordância</t>
        </is>
      </c>
      <c r="AK123" s="10" t="n">
        <v>2</v>
      </c>
      <c r="AL123" s="10" t="inlineStr">
        <is>
          <t>Emanadora</t>
        </is>
      </c>
    </row>
    <row r="124"/>
    <row r="125" ht="32" customHeight="1">
      <c r="A125" s="69" t="inlineStr">
        <is>
          <t>Bosses com fases — 28.5 a 28.10 (12 linhas)</t>
        </is>
      </c>
      <c r="B125" s="70" t="n"/>
      <c r="C125" s="70" t="n"/>
      <c r="D125" s="70" t="n"/>
      <c r="E125" s="70" t="n"/>
      <c r="F125" s="70" t="n"/>
      <c r="G125" s="70" t="n"/>
      <c r="H125" s="70" t="n"/>
      <c r="I125" s="70" t="n"/>
      <c r="J125" s="70" t="n"/>
      <c r="K125" s="70" t="n"/>
      <c r="L125" s="70" t="n"/>
    </row>
    <row r="126">
      <c r="A126" s="8" t="inlineStr">
        <is>
          <t>Chave</t>
        </is>
      </c>
      <c r="B126" s="8" t="inlineStr">
        <is>
          <t>Criatura</t>
        </is>
      </c>
      <c r="C126" s="8" t="inlineStr">
        <is>
          <t>Fase</t>
        </is>
      </c>
      <c r="D126" s="8" t="inlineStr">
        <is>
          <t>Nome da fase</t>
        </is>
      </c>
      <c r="E126" s="8" t="inlineStr">
        <is>
          <t>PV do topo</t>
        </is>
      </c>
      <c r="F126" s="8" t="inlineStr">
        <is>
          <t>PV do piso</t>
        </is>
      </c>
      <c r="G126" s="8" t="inlineStr">
        <is>
          <t>Fraqueza 1</t>
        </is>
      </c>
      <c r="H126" s="8" t="inlineStr">
        <is>
          <t>Fraqueza 2</t>
        </is>
      </c>
      <c r="I126" s="8" t="inlineStr">
        <is>
          <t>Fraqueza 3</t>
        </is>
      </c>
      <c r="J126" s="8" t="inlineStr">
        <is>
          <t>Fraqueza 4</t>
        </is>
      </c>
      <c r="K126" s="8" t="inlineStr">
        <is>
          <t>Tenacidade</t>
        </is>
      </c>
      <c r="L126" s="8" t="inlineStr">
        <is>
          <t>Ritmo</t>
        </is>
      </c>
    </row>
    <row r="127" ht="26" customHeight="1">
      <c r="A127" s="31" t="inlineStr">
        <is>
          <t>O Afogado do Poço Sete|1</t>
        </is>
      </c>
      <c r="B127" s="5" t="inlineStr">
        <is>
          <t>O Afogado do Poço Sete</t>
        </is>
      </c>
      <c r="C127" s="5" t="n">
        <v>1</v>
      </c>
      <c r="D127" s="5" t="inlineStr">
        <is>
          <t>A massa</t>
        </is>
      </c>
      <c r="E127" s="5" t="n">
        <v>305</v>
      </c>
      <c r="F127" s="5" t="n">
        <v>153</v>
      </c>
      <c r="G127" s="5" t="inlineStr">
        <is>
          <t>Fogo</t>
        </is>
      </c>
      <c r="H127" s="5" t="inlineStr">
        <is>
          <t>Raio</t>
        </is>
      </c>
      <c r="I127" s="5" t="inlineStr">
        <is>
          <t>Vento</t>
        </is>
      </c>
      <c r="J127" s="5" t="inlineStr">
        <is>
          <t>Imaginário</t>
        </is>
      </c>
      <c r="K127" s="5" t="n">
        <v>10</v>
      </c>
      <c r="L127" s="5" t="inlineStr">
        <is>
          <t>2 por turno, qualquer combinação</t>
        </is>
      </c>
    </row>
    <row r="128" ht="26" customHeight="1">
      <c r="A128" s="43" t="inlineStr">
        <is>
          <t>O Afogado do Poço Sete|2</t>
        </is>
      </c>
      <c r="B128" s="10" t="inlineStr">
        <is>
          <t>O Afogado do Poço Sete</t>
        </is>
      </c>
      <c r="C128" s="10" t="n">
        <v>2</v>
      </c>
      <c r="D128" s="10" t="inlineStr">
        <is>
          <t>Os rostos</t>
        </is>
      </c>
      <c r="E128" s="10" t="n">
        <v>152</v>
      </c>
      <c r="F128" s="10" t="n">
        <v>0</v>
      </c>
      <c r="G128" s="10" t="inlineStr">
        <is>
          <t>Gelo</t>
        </is>
      </c>
      <c r="H128" s="10" t="inlineStr">
        <is>
          <t>Quântico</t>
        </is>
      </c>
      <c r="I128" s="10" t="inlineStr">
        <is>
          <t>Imaginário</t>
        </is>
      </c>
      <c r="J128" s="10" t="inlineStr">
        <is>
          <t>Físico</t>
        </is>
      </c>
      <c r="K128" s="10" t="n">
        <v>10</v>
      </c>
      <c r="L128" s="10" t="inlineStr">
        <is>
          <t>1 ataque + 1 ação especial por turno</t>
        </is>
      </c>
    </row>
    <row r="129" ht="26" customHeight="1">
      <c r="A129" s="31" t="inlineStr">
        <is>
          <t>O Dramaturgo de Mil Faces|1</t>
        </is>
      </c>
      <c r="B129" s="5" t="inlineStr">
        <is>
          <t>O Dramaturgo de Mil Faces</t>
        </is>
      </c>
      <c r="C129" s="5" t="n">
        <v>1</v>
      </c>
      <c r="D129" s="5" t="inlineStr">
        <is>
          <t>O elenco</t>
        </is>
      </c>
      <c r="E129" s="5" t="n">
        <v>580</v>
      </c>
      <c r="F129" s="5" t="n">
        <v>291</v>
      </c>
      <c r="G129" s="5" t="inlineStr">
        <is>
          <t>Físico</t>
        </is>
      </c>
      <c r="H129" s="5" t="inlineStr">
        <is>
          <t>Gelo</t>
        </is>
      </c>
      <c r="I129" s="5" t="inlineStr">
        <is>
          <t>Vento</t>
        </is>
      </c>
      <c r="J129" s="5" t="inlineStr">
        <is>
          <t>Imaginário</t>
        </is>
      </c>
      <c r="K129" s="5" t="n">
        <v>12</v>
      </c>
      <c r="L129" s="5" t="inlineStr">
        <is>
          <t>2 por turno, qualquer combinação</t>
        </is>
      </c>
    </row>
    <row r="130" ht="26" customHeight="1">
      <c r="A130" s="43" t="inlineStr">
        <is>
          <t>O Dramaturgo de Mil Faces|2</t>
        </is>
      </c>
      <c r="B130" s="10" t="inlineStr">
        <is>
          <t>O Dramaturgo de Mil Faces</t>
        </is>
      </c>
      <c r="C130" s="10" t="n">
        <v>2</v>
      </c>
      <c r="D130" s="10" t="inlineStr">
        <is>
          <t>Nenhuma face</t>
        </is>
      </c>
      <c r="E130" s="10" t="n">
        <v>290</v>
      </c>
      <c r="F130" s="10" t="n">
        <v>0</v>
      </c>
      <c r="G130" s="10" t="inlineStr">
        <is>
          <t>Fogo</t>
        </is>
      </c>
      <c r="H130" s="10" t="inlineStr">
        <is>
          <t>Raio</t>
        </is>
      </c>
      <c r="I130" s="10" t="inlineStr">
        <is>
          <t>Quântico</t>
        </is>
      </c>
      <c r="J130" s="10" t="inlineStr">
        <is>
          <t>Físico</t>
        </is>
      </c>
      <c r="K130" s="10" t="n">
        <v>9</v>
      </c>
      <c r="L130" s="10" t="inlineStr">
        <is>
          <t>1 ataque + 1 ação especial por turno</t>
        </is>
      </c>
    </row>
    <row r="131" ht="26" customHeight="1">
      <c r="A131" s="31" t="inlineStr">
        <is>
          <t>Vênia, a Primeira Obra|1</t>
        </is>
      </c>
      <c r="B131" s="5" t="inlineStr">
        <is>
          <t>Vênia, a Primeira Obra</t>
        </is>
      </c>
      <c r="C131" s="5" t="n">
        <v>1</v>
      </c>
      <c r="D131" s="5" t="inlineStr">
        <is>
          <t>A obra acabada</t>
        </is>
      </c>
      <c r="E131" s="5" t="n">
        <v>750</v>
      </c>
      <c r="F131" s="5" t="n">
        <v>376</v>
      </c>
      <c r="G131" s="5" t="inlineStr">
        <is>
          <t>Físico</t>
        </is>
      </c>
      <c r="H131" s="5" t="inlineStr">
        <is>
          <t>Fogo</t>
        </is>
      </c>
      <c r="I131" s="5" t="inlineStr">
        <is>
          <t>Raio</t>
        </is>
      </c>
      <c r="J131" s="5" t="inlineStr">
        <is>
          <t>Quântico</t>
        </is>
      </c>
      <c r="K131" s="5" t="n">
        <v>12</v>
      </c>
      <c r="L131" s="5" t="inlineStr">
        <is>
          <t>2 por turno, qualquer combinação</t>
        </is>
      </c>
    </row>
    <row r="132" ht="26" customHeight="1">
      <c r="A132" s="43" t="inlineStr">
        <is>
          <t>Vênia, a Primeira Obra|2</t>
        </is>
      </c>
      <c r="B132" s="10" t="inlineStr">
        <is>
          <t>Vênia, a Primeira Obra</t>
        </is>
      </c>
      <c r="C132" s="10" t="n">
        <v>2</v>
      </c>
      <c r="D132" s="10" t="inlineStr">
        <is>
          <t>A rachadura</t>
        </is>
      </c>
      <c r="E132" s="10" t="n">
        <v>375</v>
      </c>
      <c r="F132" s="10" t="n">
        <v>0</v>
      </c>
      <c r="G132" s="10" t="inlineStr">
        <is>
          <t>Gelo</t>
        </is>
      </c>
      <c r="H132" s="10" t="inlineStr">
        <is>
          <t>Vento</t>
        </is>
      </c>
      <c r="I132" s="10" t="inlineStr">
        <is>
          <t>Imaginário</t>
        </is>
      </c>
      <c r="J132" s="10" t="inlineStr">
        <is>
          <t>Quântico</t>
        </is>
      </c>
      <c r="K132" s="10" t="n">
        <v>12</v>
      </c>
      <c r="L132" s="10" t="inlineStr">
        <is>
          <t>1 ataque + 1 ação especial por turno</t>
        </is>
      </c>
    </row>
    <row r="133" ht="26" customHeight="1">
      <c r="A133" s="31" t="inlineStr">
        <is>
          <t>O Germe de Pavor|1</t>
        </is>
      </c>
      <c r="B133" s="5" t="inlineStr">
        <is>
          <t>O Germe de Pavor</t>
        </is>
      </c>
      <c r="C133" s="5" t="n">
        <v>1</v>
      </c>
      <c r="D133" s="5" t="inlineStr">
        <is>
          <t>A casca</t>
        </is>
      </c>
      <c r="E133" s="5" t="n">
        <v>935</v>
      </c>
      <c r="F133" s="5" t="n">
        <v>624</v>
      </c>
      <c r="G133" s="5" t="inlineStr">
        <is>
          <t>Físico</t>
        </is>
      </c>
      <c r="H133" s="5" t="inlineStr">
        <is>
          <t>Fogo</t>
        </is>
      </c>
      <c r="I133" s="5" t="inlineStr">
        <is>
          <t>Gelo</t>
        </is>
      </c>
      <c r="J133" s="5" t="inlineStr">
        <is>
          <t>Raio</t>
        </is>
      </c>
      <c r="K133" s="5" t="n">
        <v>13</v>
      </c>
      <c r="L133" s="5" t="inlineStr">
        <is>
          <t>2 por turno, qualquer combinação</t>
        </is>
      </c>
    </row>
    <row r="134" ht="26" customHeight="1">
      <c r="A134" s="43" t="inlineStr">
        <is>
          <t>O Germe de Pavor|2</t>
        </is>
      </c>
      <c r="B134" s="10" t="inlineStr">
        <is>
          <t>O Germe de Pavor</t>
        </is>
      </c>
      <c r="C134" s="10" t="n">
        <v>2</v>
      </c>
      <c r="D134" s="10" t="inlineStr">
        <is>
          <t>O interior</t>
        </is>
      </c>
      <c r="E134" s="10" t="n">
        <v>623</v>
      </c>
      <c r="F134" s="10" t="n">
        <v>312</v>
      </c>
      <c r="G134" s="10" t="inlineStr">
        <is>
          <t>Fogo</t>
        </is>
      </c>
      <c r="H134" s="10" t="inlineStr">
        <is>
          <t>Vento</t>
        </is>
      </c>
      <c r="I134" s="10" t="inlineStr">
        <is>
          <t>Quântico</t>
        </is>
      </c>
      <c r="J134" s="10" t="inlineStr">
        <is>
          <t>Imaginário</t>
        </is>
      </c>
      <c r="K134" s="10" t="n">
        <v>13</v>
      </c>
      <c r="L134" s="10" t="inlineStr">
        <is>
          <t>1 ataque + 1 ação especial por turno</t>
        </is>
      </c>
    </row>
    <row r="135" ht="26" customHeight="1">
      <c r="A135" s="31" t="inlineStr">
        <is>
          <t>O Germe de Pavor|3</t>
        </is>
      </c>
      <c r="B135" s="5" t="inlineStr">
        <is>
          <t>O Germe de Pavor</t>
        </is>
      </c>
      <c r="C135" s="5" t="n">
        <v>3</v>
      </c>
      <c r="D135" s="5" t="inlineStr">
        <is>
          <t>Nascido</t>
        </is>
      </c>
      <c r="E135" s="5" t="n">
        <v>311</v>
      </c>
      <c r="F135" s="5" t="n">
        <v>0</v>
      </c>
      <c r="G135" s="5" t="inlineStr">
        <is>
          <t>Físico</t>
        </is>
      </c>
      <c r="H135" s="5" t="inlineStr">
        <is>
          <t>Gelo</t>
        </is>
      </c>
      <c r="I135" s="5" t="inlineStr">
        <is>
          <t>Raio</t>
        </is>
      </c>
      <c r="J135" s="5" t="inlineStr">
        <is>
          <t>Quântico</t>
        </is>
      </c>
      <c r="K135" s="5" t="n">
        <v>10</v>
      </c>
      <c r="L135" s="5" t="inlineStr">
        <is>
          <t>1 por turno, sem recarga</t>
        </is>
      </c>
    </row>
    <row r="136" ht="26" customHeight="1">
      <c r="A136" s="43" t="inlineStr">
        <is>
          <t>Vazia Coroada|1</t>
        </is>
      </c>
      <c r="B136" s="10" t="inlineStr">
        <is>
          <t>Vazia Coroada</t>
        </is>
      </c>
      <c r="C136" s="10" t="n">
        <v>1</v>
      </c>
      <c r="D136" s="10" t="inlineStr">
        <is>
          <t>A audiência</t>
        </is>
      </c>
      <c r="E136" s="10" t="n">
        <v>935</v>
      </c>
      <c r="F136" s="10" t="n">
        <v>624</v>
      </c>
      <c r="G136" s="10" t="inlineStr">
        <is>
          <t>Fogo</t>
        </is>
      </c>
      <c r="H136" s="10" t="inlineStr">
        <is>
          <t>Vento</t>
        </is>
      </c>
      <c r="I136" s="10" t="inlineStr">
        <is>
          <t>Quântico</t>
        </is>
      </c>
      <c r="J136" s="10" t="inlineStr">
        <is>
          <t>Imaginário</t>
        </is>
      </c>
      <c r="K136" s="10" t="n">
        <v>13</v>
      </c>
      <c r="L136" s="10" t="inlineStr">
        <is>
          <t>2 por turno, qualquer combinação</t>
        </is>
      </c>
    </row>
    <row r="137" ht="26" customHeight="1">
      <c r="A137" s="31" t="inlineStr">
        <is>
          <t>Vazia Coroada|2</t>
        </is>
      </c>
      <c r="B137" s="5" t="inlineStr">
        <is>
          <t>Vazia Coroada</t>
        </is>
      </c>
      <c r="C137" s="5" t="n">
        <v>2</v>
      </c>
      <c r="D137" s="5" t="inlineStr">
        <is>
          <t>A coroa</t>
        </is>
      </c>
      <c r="E137" s="5" t="n">
        <v>623</v>
      </c>
      <c r="F137" s="5" t="n">
        <v>312</v>
      </c>
      <c r="G137" s="5" t="inlineStr">
        <is>
          <t>Físico</t>
        </is>
      </c>
      <c r="H137" s="5" t="inlineStr">
        <is>
          <t>Gelo</t>
        </is>
      </c>
      <c r="I137" s="5" t="inlineStr">
        <is>
          <t>Raio</t>
        </is>
      </c>
      <c r="J137" s="5" t="inlineStr">
        <is>
          <t>Quântico</t>
        </is>
      </c>
      <c r="K137" s="5" t="n">
        <v>12</v>
      </c>
      <c r="L137" s="5" t="inlineStr">
        <is>
          <t>1 ataque + 1 ação especial por turno</t>
        </is>
      </c>
    </row>
    <row r="138">
      <c r="A138" s="43" t="inlineStr">
        <is>
          <t>Vazia Coroada|3</t>
        </is>
      </c>
      <c r="B138" s="10" t="inlineStr">
        <is>
          <t>Vazia Coroada</t>
        </is>
      </c>
      <c r="C138" s="10" t="n">
        <v>3</v>
      </c>
      <c r="D138" s="10" t="inlineStr">
        <is>
          <t>Sem coroa</t>
        </is>
      </c>
      <c r="E138" s="10" t="n">
        <v>311</v>
      </c>
      <c r="F138" s="10" t="n">
        <v>0</v>
      </c>
      <c r="G138" s="10" t="inlineStr">
        <is>
          <t>Fogo</t>
        </is>
      </c>
      <c r="H138" s="10" t="inlineStr">
        <is>
          <t>Gelo</t>
        </is>
      </c>
      <c r="I138" s="10" t="inlineStr">
        <is>
          <t>Vento</t>
        </is>
      </c>
      <c r="J138" s="10" t="inlineStr">
        <is>
          <t>Imaginário</t>
        </is>
      </c>
      <c r="K138" s="10" t="n">
        <v>10</v>
      </c>
      <c r="L138" s="10" t="inlineStr">
        <is>
          <t>2 ataques por turno</t>
        </is>
      </c>
    </row>
    <row r="139"/>
    <row r="140" ht="60" customHeight="1">
      <c r="A140" s="69" t="inlineStr">
        <is>
          <t>Ataques e ações das 32 fichas — 28.6 a 28.10 (texto-modelo com marcadores, 6.7.3)</t>
        </is>
      </c>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row>
    <row r="141">
      <c r="A141" s="8" t="inlineStr">
        <is>
          <t>Chave</t>
        </is>
      </c>
      <c r="B141" s="8" t="inlineStr">
        <is>
          <t>Criatura</t>
        </is>
      </c>
      <c r="C141" s="8" t="inlineStr">
        <is>
          <t>Fase</t>
        </is>
      </c>
      <c r="D141" s="8" t="inlineStr">
        <is>
          <t>Ordem</t>
        </is>
      </c>
      <c r="E141" s="8" t="inlineStr">
        <is>
          <t>Tipo</t>
        </is>
      </c>
      <c r="F141" s="8" t="inlineStr">
        <is>
          <t>Nome</t>
        </is>
      </c>
      <c r="G141" s="8" t="inlineStr">
        <is>
          <t>Recarga</t>
        </is>
      </c>
      <c r="H141" s="8" t="inlineStr">
        <is>
          <t>Texto do livro</t>
        </is>
      </c>
      <c r="I141" s="8" t="inlineStr">
        <is>
          <t>p0</t>
        </is>
      </c>
      <c r="J141" s="8" t="inlineStr">
        <is>
          <t>m1</t>
        </is>
      </c>
      <c r="K141" s="8" t="inlineStr">
        <is>
          <t>n1</t>
        </is>
      </c>
      <c r="L141" s="8" t="inlineStr">
        <is>
          <t>p1</t>
        </is>
      </c>
      <c r="M141" s="8" t="inlineStr">
        <is>
          <t>m2</t>
        </is>
      </c>
      <c r="N141" s="8" t="inlineStr">
        <is>
          <t>n2</t>
        </is>
      </c>
      <c r="O141" s="8" t="inlineStr">
        <is>
          <t>p2</t>
        </is>
      </c>
      <c r="P141" s="8" t="inlineStr">
        <is>
          <t>m3</t>
        </is>
      </c>
      <c r="Q141" s="8" t="inlineStr">
        <is>
          <t>n3</t>
        </is>
      </c>
      <c r="R141" s="8" t="inlineStr">
        <is>
          <t>p3</t>
        </is>
      </c>
      <c r="S141" s="8" t="inlineStr">
        <is>
          <t>m4</t>
        </is>
      </c>
      <c r="T141" s="8" t="inlineStr">
        <is>
          <t>n4</t>
        </is>
      </c>
      <c r="U141" s="8" t="inlineStr">
        <is>
          <t>p4</t>
        </is>
      </c>
    </row>
    <row r="142" ht="37" customHeight="1">
      <c r="A142" s="31" t="inlineStr">
        <is>
          <t>Casco Oco|1</t>
        </is>
      </c>
      <c r="B142" s="5" t="inlineStr">
        <is>
          <t>Casco Oco</t>
        </is>
      </c>
      <c r="C142" s="5" t="n">
        <v>0</v>
      </c>
      <c r="D142" s="5" t="n">
        <v>1</v>
      </c>
      <c r="E142" s="5" t="inlineStr">
        <is>
          <t>Ataque</t>
        </is>
      </c>
      <c r="F142" s="5" t="inlineStr">
        <is>
          <t>Braço fundido</t>
        </is>
      </c>
      <c r="G142" s="5" t="inlineStr"/>
      <c r="H142" s="5" t="inlineStr">
        <is>
          <t>Braço fundido (Pessoal, Físico): 1d6 · média 3</t>
        </is>
      </c>
      <c r="I142" s="5" t="inlineStr">
        <is>
          <t xml:space="preserve">Braço fundido (Pessoal, Físico): </t>
        </is>
      </c>
      <c r="J142" s="5" t="inlineStr">
        <is>
          <t>DANO.e</t>
        </is>
      </c>
      <c r="K142" s="5" t="inlineStr"/>
      <c r="L142" s="5" t="inlineStr">
        <is>
          <t xml:space="preserve"> · média </t>
        </is>
      </c>
      <c r="M142" s="5" t="inlineStr">
        <is>
          <t>DANO.m</t>
        </is>
      </c>
      <c r="N142" s="5" t="inlineStr"/>
      <c r="O142" s="5" t="inlineStr"/>
      <c r="P142" s="5" t="inlineStr"/>
      <c r="Q142" s="5" t="inlineStr"/>
      <c r="R142" s="5" t="inlineStr"/>
      <c r="S142" s="5" t="inlineStr"/>
      <c r="T142" s="5" t="inlineStr"/>
      <c r="U142" s="5" t="inlineStr"/>
    </row>
    <row r="143" ht="37" customHeight="1">
      <c r="A143" s="43" t="inlineStr">
        <is>
          <t>Larva Fuliginosa|1</t>
        </is>
      </c>
      <c r="B143" s="10" t="inlineStr">
        <is>
          <t>Larva Fuliginosa</t>
        </is>
      </c>
      <c r="C143" s="10" t="n">
        <v>0</v>
      </c>
      <c r="D143" s="10" t="n">
        <v>1</v>
      </c>
      <c r="E143" s="10" t="inlineStr">
        <is>
          <t>Ataque</t>
        </is>
      </c>
      <c r="F143" s="10" t="inlineStr">
        <is>
          <t>Mordida de cinza</t>
        </is>
      </c>
      <c r="G143" s="10" t="inlineStr"/>
      <c r="H143" s="10" t="inlineStr">
        <is>
          <t>Mordida de cinza (Pessoal, Fogo): 1d6 · média 3</t>
        </is>
      </c>
      <c r="I143" s="10" t="inlineStr">
        <is>
          <t xml:space="preserve">Mordida de cinza (Pessoal, Fogo): </t>
        </is>
      </c>
      <c r="J143" s="10" t="inlineStr">
        <is>
          <t>DANO.e</t>
        </is>
      </c>
      <c r="K143" s="10" t="inlineStr"/>
      <c r="L143" s="10" t="inlineStr">
        <is>
          <t xml:space="preserve"> · média </t>
        </is>
      </c>
      <c r="M143" s="10" t="inlineStr">
        <is>
          <t>DANO.m</t>
        </is>
      </c>
      <c r="N143" s="10" t="inlineStr"/>
      <c r="O143" s="10" t="inlineStr"/>
      <c r="P143" s="10" t="inlineStr"/>
      <c r="Q143" s="10" t="inlineStr"/>
      <c r="R143" s="10" t="inlineStr"/>
      <c r="S143" s="10" t="inlineStr"/>
      <c r="T143" s="10" t="inlineStr"/>
      <c r="U143" s="10" t="inlineStr"/>
    </row>
    <row r="144" ht="105" customHeight="1">
      <c r="A144" s="31" t="inlineStr">
        <is>
          <t>Larva Fuliginosa|2</t>
        </is>
      </c>
      <c r="B144" s="5" t="inlineStr">
        <is>
          <t>Larva Fuliginosa</t>
        </is>
      </c>
      <c r="C144" s="5" t="n">
        <v>0</v>
      </c>
      <c r="D144" s="5" t="n">
        <v>2</v>
      </c>
      <c r="E144" s="5" t="inlineStr">
        <is>
          <t>Gatilho</t>
        </is>
      </c>
      <c r="F144" s="5" t="inlineStr">
        <is>
          <t>Estouro</t>
        </is>
      </c>
      <c r="G144" s="5" t="inlineStr"/>
      <c r="H144" s="5" t="inlineStr">
        <is>
          <t>Estouro (quando ela cai a 0 PV, uma vez): cada criatura a Distância Pessoal dela faz um Teste de Reflexos contra DT 12. Quem falha recebe Queimadura por 2 turnos.</t>
        </is>
      </c>
      <c r="I144" s="5" t="inlineStr">
        <is>
          <t xml:space="preserve">Estouro (quando ela cai a 0 PV, uma vez): cada criatura a Distância Pessoal dela faz um Teste de Reflexos contra DT </t>
        </is>
      </c>
      <c r="J144" s="5" t="inlineStr">
        <is>
          <t>DT</t>
        </is>
      </c>
      <c r="K144" s="5" t="inlineStr"/>
      <c r="L144" s="5" t="inlineStr">
        <is>
          <t>. Quem falha recebe Queimadura por 2 turnos.</t>
        </is>
      </c>
      <c r="M144" s="5" t="inlineStr"/>
      <c r="N144" s="5" t="inlineStr"/>
      <c r="O144" s="5" t="inlineStr"/>
      <c r="P144" s="5" t="inlineStr"/>
      <c r="Q144" s="5" t="inlineStr"/>
      <c r="R144" s="5" t="inlineStr"/>
      <c r="S144" s="5" t="inlineStr"/>
      <c r="T144" s="5" t="inlineStr"/>
      <c r="U144" s="5" t="inlineStr"/>
    </row>
    <row r="145" ht="26" customHeight="1">
      <c r="A145" s="43" t="inlineStr">
        <is>
          <t>Esporo Rancoroso|1</t>
        </is>
      </c>
      <c r="B145" s="10" t="inlineStr">
        <is>
          <t>Esporo Rancoroso</t>
        </is>
      </c>
      <c r="C145" s="10" t="n">
        <v>0</v>
      </c>
      <c r="D145" s="10" t="n">
        <v>1</v>
      </c>
      <c r="E145" s="10" t="inlineStr">
        <is>
          <t>Ataque</t>
        </is>
      </c>
      <c r="F145" s="10" t="inlineStr">
        <is>
          <t>Chicote de raiz</t>
        </is>
      </c>
      <c r="G145" s="10" t="inlineStr"/>
      <c r="H145" s="10" t="inlineStr">
        <is>
          <t>Chicote de raiz (Curta, Físico): 1d6 · média 3</t>
        </is>
      </c>
      <c r="I145" s="10" t="inlineStr">
        <is>
          <t xml:space="preserve">Chicote de raiz (Curta, Físico): </t>
        </is>
      </c>
      <c r="J145" s="10" t="inlineStr">
        <is>
          <t>DANO.e</t>
        </is>
      </c>
      <c r="K145" s="10" t="inlineStr"/>
      <c r="L145" s="10" t="inlineStr">
        <is>
          <t xml:space="preserve"> · média </t>
        </is>
      </c>
      <c r="M145" s="10" t="inlineStr">
        <is>
          <t>DANO.m</t>
        </is>
      </c>
      <c r="N145" s="10" t="inlineStr"/>
      <c r="O145" s="10" t="inlineStr"/>
      <c r="P145" s="10" t="inlineStr"/>
      <c r="Q145" s="10" t="inlineStr"/>
      <c r="R145" s="10" t="inlineStr"/>
      <c r="S145" s="10" t="inlineStr"/>
      <c r="T145" s="10" t="inlineStr"/>
      <c r="U145" s="10" t="inlineStr"/>
    </row>
    <row r="146" ht="82" customHeight="1">
      <c r="A146" s="31" t="inlineStr">
        <is>
          <t>Esporo Rancoroso|2</t>
        </is>
      </c>
      <c r="B146" s="5" t="inlineStr">
        <is>
          <t>Esporo Rancoroso</t>
        </is>
      </c>
      <c r="C146" s="5" t="n">
        <v>0</v>
      </c>
      <c r="D146" s="5" t="n">
        <v>2</v>
      </c>
      <c r="E146" s="5" t="inlineStr">
        <is>
          <t>Especial</t>
        </is>
      </c>
      <c r="F146" s="5" t="inlineStr">
        <is>
          <t>Agarrar</t>
        </is>
      </c>
      <c r="G146" s="5" t="n">
        <v>2</v>
      </c>
      <c r="H146" s="5" t="inlineStr">
        <is>
          <t>Agarrar (recarga 2 Ciclos): um alvo a até Distância Curta faz Teste de Potência Física contra DT 12. Se falhar, recebe Lentidão por 2 turnos.</t>
        </is>
      </c>
      <c r="I146" s="5" t="inlineStr">
        <is>
          <t xml:space="preserve">Agarrar (recarga 2 Ciclos): um alvo a até Distância Curta faz Teste de Potência Física contra DT </t>
        </is>
      </c>
      <c r="J146" s="5" t="inlineStr">
        <is>
          <t>DT</t>
        </is>
      </c>
      <c r="K146" s="5" t="inlineStr"/>
      <c r="L146" s="5" t="inlineStr">
        <is>
          <t>. Se falhar, recebe Lentidão por 2 turnos.</t>
        </is>
      </c>
      <c r="M146" s="5" t="inlineStr"/>
      <c r="N146" s="5" t="inlineStr"/>
      <c r="O146" s="5" t="inlineStr"/>
      <c r="P146" s="5" t="inlineStr"/>
      <c r="Q146" s="5" t="inlineStr"/>
      <c r="R146" s="5" t="inlineStr"/>
      <c r="S146" s="5" t="inlineStr"/>
      <c r="T146" s="5" t="inlineStr"/>
      <c r="U146" s="5" t="inlineStr"/>
    </row>
    <row r="147" ht="37" customHeight="1">
      <c r="A147" s="43" t="inlineStr">
        <is>
          <t>Peão da Antimatéria|1</t>
        </is>
      </c>
      <c r="B147" s="10" t="inlineStr">
        <is>
          <t>Peão da Antimatéria</t>
        </is>
      </c>
      <c r="C147" s="10" t="n">
        <v>0</v>
      </c>
      <c r="D147" s="10" t="n">
        <v>1</v>
      </c>
      <c r="E147" s="10" t="inlineStr">
        <is>
          <t>Ataque</t>
        </is>
      </c>
      <c r="F147" s="10" t="inlineStr">
        <is>
          <t>Rifle de ferrolho</t>
        </is>
      </c>
      <c r="G147" s="10" t="inlineStr"/>
      <c r="H147" s="10" t="inlineStr">
        <is>
          <t>Rifle de ferrolho (Longa, Físico): 1d6 · média 3</t>
        </is>
      </c>
      <c r="I147" s="10" t="inlineStr">
        <is>
          <t xml:space="preserve">Rifle de ferrolho (Longa, Físico): </t>
        </is>
      </c>
      <c r="J147" s="10" t="inlineStr">
        <is>
          <t>DANO.e</t>
        </is>
      </c>
      <c r="K147" s="10" t="inlineStr"/>
      <c r="L147" s="10" t="inlineStr">
        <is>
          <t xml:space="preserve"> · média </t>
        </is>
      </c>
      <c r="M147" s="10" t="inlineStr">
        <is>
          <t>DANO.m</t>
        </is>
      </c>
      <c r="N147" s="10" t="inlineStr"/>
      <c r="O147" s="10" t="inlineStr"/>
      <c r="P147" s="10" t="inlineStr"/>
      <c r="Q147" s="10" t="inlineStr"/>
      <c r="R147" s="10" t="inlineStr"/>
      <c r="S147" s="10" t="inlineStr"/>
      <c r="T147" s="10" t="inlineStr"/>
      <c r="U147" s="10" t="inlineStr"/>
    </row>
    <row r="148" ht="26" customHeight="1">
      <c r="A148" s="31" t="inlineStr">
        <is>
          <t>Peão da Antimatéria|2</t>
        </is>
      </c>
      <c r="B148" s="5" t="inlineStr">
        <is>
          <t>Peão da Antimatéria</t>
        </is>
      </c>
      <c r="C148" s="5" t="n">
        <v>0</v>
      </c>
      <c r="D148" s="5" t="n">
        <v>2</v>
      </c>
      <c r="E148" s="5" t="inlineStr">
        <is>
          <t>Ataque</t>
        </is>
      </c>
      <c r="F148" s="5" t="inlineStr">
        <is>
          <t>Coronhada</t>
        </is>
      </c>
      <c r="G148" s="5" t="inlineStr"/>
      <c r="H148" s="5" t="inlineStr">
        <is>
          <t>Coronhada (Pessoal, Físico): 1d6 · média 3</t>
        </is>
      </c>
      <c r="I148" s="5" t="inlineStr">
        <is>
          <t xml:space="preserve">Coronhada (Pessoal, Físico): </t>
        </is>
      </c>
      <c r="J148" s="5" t="inlineStr">
        <is>
          <t>DANO.e</t>
        </is>
      </c>
      <c r="K148" s="5" t="inlineStr"/>
      <c r="L148" s="5" t="inlineStr">
        <is>
          <t xml:space="preserve"> · média </t>
        </is>
      </c>
      <c r="M148" s="5" t="inlineStr">
        <is>
          <t>DANO.m</t>
        </is>
      </c>
      <c r="N148" s="5" t="inlineStr"/>
      <c r="O148" s="5" t="inlineStr"/>
      <c r="P148" s="5" t="inlineStr"/>
      <c r="Q148" s="5" t="inlineStr"/>
      <c r="R148" s="5" t="inlineStr"/>
      <c r="S148" s="5" t="inlineStr"/>
      <c r="T148" s="5" t="inlineStr"/>
      <c r="U148" s="5" t="inlineStr"/>
    </row>
    <row r="149" ht="116" customHeight="1">
      <c r="A149" s="43" t="inlineStr">
        <is>
          <t>Peão da Antimatéria|3</t>
        </is>
      </c>
      <c r="B149" s="10" t="inlineStr">
        <is>
          <t>Peão da Antimatéria</t>
        </is>
      </c>
      <c r="C149" s="10" t="n">
        <v>0</v>
      </c>
      <c r="D149" s="10" t="n">
        <v>3</v>
      </c>
      <c r="E149" s="10" t="inlineStr">
        <is>
          <t>Especial</t>
        </is>
      </c>
      <c r="F149" s="10" t="inlineStr">
        <is>
          <t>Fogo de supressão</t>
        </is>
      </c>
      <c r="G149" s="10" t="n">
        <v>2</v>
      </c>
      <c r="H149" s="10" t="inlineStr">
        <is>
          <t>Fogo de supressão (recarga 2 Ciclos): escolha 2 alvos a até uma Distância um do outro. Cada um faz Teste de Reflexos contra DT 12; quem falha recebe 1d6 · 3 de dano Físico e fica Marcado por 1 turno.</t>
        </is>
      </c>
      <c r="I149" s="10" t="inlineStr">
        <is>
          <t xml:space="preserve">Fogo de supressão (recarga 2 Ciclos): escolha 2 alvos a até uma Distância um do outro. Cada um faz Teste de Reflexos contra DT </t>
        </is>
      </c>
      <c r="J149" s="10" t="inlineStr">
        <is>
          <t>DT</t>
        </is>
      </c>
      <c r="K149" s="10" t="inlineStr"/>
      <c r="L149" s="10" t="inlineStr">
        <is>
          <t xml:space="preserve">; quem falha recebe </t>
        </is>
      </c>
      <c r="M149" s="10" t="inlineStr">
        <is>
          <t>DANO.e</t>
        </is>
      </c>
      <c r="N149" s="10" t="inlineStr"/>
      <c r="O149" s="10" t="inlineStr">
        <is>
          <t xml:space="preserve"> · </t>
        </is>
      </c>
      <c r="P149" s="10" t="inlineStr">
        <is>
          <t>DANO.m</t>
        </is>
      </c>
      <c r="Q149" s="10" t="inlineStr"/>
      <c r="R149" s="10" t="inlineStr">
        <is>
          <t xml:space="preserve"> de dano Físico e fica Marcado por 1 turno.</t>
        </is>
      </c>
      <c r="S149" s="10" t="inlineStr"/>
      <c r="T149" s="10" t="inlineStr"/>
      <c r="U149" s="10" t="inlineStr"/>
    </row>
    <row r="150" ht="37" customHeight="1">
      <c r="A150" s="31" t="inlineStr">
        <is>
          <t>Sentinela Enferrujada|1</t>
        </is>
      </c>
      <c r="B150" s="5" t="inlineStr">
        <is>
          <t>Sentinela Enferrujada</t>
        </is>
      </c>
      <c r="C150" s="5" t="n">
        <v>0</v>
      </c>
      <c r="D150" s="5" t="n">
        <v>1</v>
      </c>
      <c r="E150" s="5" t="inlineStr">
        <is>
          <t>Ataque</t>
        </is>
      </c>
      <c r="F150" s="5" t="inlineStr">
        <is>
          <t>Bastão de contenção</t>
        </is>
      </c>
      <c r="G150" s="5" t="inlineStr"/>
      <c r="H150" s="5" t="inlineStr">
        <is>
          <t>Bastão de contenção (Pessoal, Raio): 1d6 · média 3</t>
        </is>
      </c>
      <c r="I150" s="5" t="inlineStr">
        <is>
          <t xml:space="preserve">Bastão de contenção (Pessoal, Raio): </t>
        </is>
      </c>
      <c r="J150" s="5" t="inlineStr">
        <is>
          <t>DANO.e</t>
        </is>
      </c>
      <c r="K150" s="5" t="inlineStr"/>
      <c r="L150" s="5" t="inlineStr">
        <is>
          <t xml:space="preserve"> · média </t>
        </is>
      </c>
      <c r="M150" s="5" t="inlineStr">
        <is>
          <t>DANO.m</t>
        </is>
      </c>
      <c r="N150" s="5" t="inlineStr"/>
      <c r="O150" s="5" t="inlineStr"/>
      <c r="P150" s="5" t="inlineStr"/>
      <c r="Q150" s="5" t="inlineStr"/>
      <c r="R150" s="5" t="inlineStr"/>
      <c r="S150" s="5" t="inlineStr"/>
      <c r="T150" s="5" t="inlineStr"/>
      <c r="U150" s="5" t="inlineStr"/>
    </row>
    <row r="151" ht="172" customHeight="1">
      <c r="A151" s="43" t="inlineStr">
        <is>
          <t>Sentinela Enferrujada|2</t>
        </is>
      </c>
      <c r="B151" s="10" t="inlineStr">
        <is>
          <t>Sentinela Enferrujada</t>
        </is>
      </c>
      <c r="C151" s="10" t="n">
        <v>0</v>
      </c>
      <c r="D151" s="10" t="n">
        <v>2</v>
      </c>
      <c r="E151" s="10" t="inlineStr">
        <is>
          <t>Especial</t>
        </is>
      </c>
      <c r="F151" s="10" t="inlineStr">
        <is>
          <t>Holofote de identificação</t>
        </is>
      </c>
      <c r="G151" s="10" t="n">
        <v>2</v>
      </c>
      <c r="H151" s="10" t="inlineStr">
        <is>
          <t>Holofote de identificação (recarga 2 Ciclos): um alvo fica Marcado por 2 turnos. Enquanto a marca durar, todo inimigo da cena some o +1 dela contra esse alvo — é a única marca do bestiário que não é exclusiva de quem aplicou, e é por isso que ela é uma máquina de vigilância e não um soldado.</t>
        </is>
      </c>
      <c r="I151" s="10" t="inlineStr">
        <is>
          <t>Holofote de identificação (recarga 2 Ciclos): um alvo fica Marcado por 2 turnos. Enquanto a marca durar, todo inimigo da cena some o +1 dela contra esse alvo — é a única marca do bestiário que não é exclusiva de quem aplicou, e é por isso que ela é uma máquina de vigilância e não um soldado.</t>
        </is>
      </c>
      <c r="J151" s="10" t="inlineStr"/>
      <c r="K151" s="10" t="inlineStr"/>
      <c r="L151" s="10" t="inlineStr"/>
      <c r="M151" s="10" t="inlineStr"/>
      <c r="N151" s="10" t="inlineStr"/>
      <c r="O151" s="10" t="inlineStr"/>
      <c r="P151" s="10" t="inlineStr"/>
      <c r="Q151" s="10" t="inlineStr"/>
      <c r="R151" s="10" t="inlineStr"/>
      <c r="S151" s="10" t="inlineStr"/>
      <c r="T151" s="10" t="inlineStr"/>
      <c r="U151" s="10" t="inlineStr"/>
    </row>
    <row r="152" ht="37" customHeight="1">
      <c r="A152" s="31" t="inlineStr">
        <is>
          <t>Capataz Oco|1</t>
        </is>
      </c>
      <c r="B152" s="5" t="inlineStr">
        <is>
          <t>Capataz Oco</t>
        </is>
      </c>
      <c r="C152" s="5" t="n">
        <v>0</v>
      </c>
      <c r="D152" s="5" t="n">
        <v>1</v>
      </c>
      <c r="E152" s="5" t="inlineStr">
        <is>
          <t>Ataque</t>
        </is>
      </c>
      <c r="F152" s="5" t="inlineStr">
        <is>
          <t>Marreta soldada</t>
        </is>
      </c>
      <c r="G152" s="5" t="inlineStr"/>
      <c r="H152" s="5" t="inlineStr">
        <is>
          <t>Marreta soldada (Pessoal, Físico): 2d6 · média 7</t>
        </is>
      </c>
      <c r="I152" s="5" t="inlineStr">
        <is>
          <t xml:space="preserve">Marreta soldada (Pessoal, Físico): </t>
        </is>
      </c>
      <c r="J152" s="5" t="inlineStr">
        <is>
          <t>DANO.e</t>
        </is>
      </c>
      <c r="K152" s="5" t="inlineStr"/>
      <c r="L152" s="5" t="inlineStr">
        <is>
          <t xml:space="preserve"> · média </t>
        </is>
      </c>
      <c r="M152" s="5" t="inlineStr">
        <is>
          <t>DANO.m</t>
        </is>
      </c>
      <c r="N152" s="5" t="inlineStr"/>
      <c r="O152" s="5" t="inlineStr"/>
      <c r="P152" s="5" t="inlineStr"/>
      <c r="Q152" s="5" t="inlineStr"/>
      <c r="R152" s="5" t="inlineStr"/>
      <c r="S152" s="5" t="inlineStr"/>
      <c r="T152" s="5" t="inlineStr"/>
      <c r="U152" s="5" t="inlineStr"/>
    </row>
    <row r="153" ht="82" customHeight="1">
      <c r="A153" s="43" t="inlineStr">
        <is>
          <t>Capataz Oco|2</t>
        </is>
      </c>
      <c r="B153" s="10" t="inlineStr">
        <is>
          <t>Capataz Oco</t>
        </is>
      </c>
      <c r="C153" s="10" t="n">
        <v>0</v>
      </c>
      <c r="D153" s="10" t="n">
        <v>2</v>
      </c>
      <c r="E153" s="10" t="inlineStr">
        <is>
          <t>Especial</t>
        </is>
      </c>
      <c r="F153" s="10" t="inlineStr">
        <is>
          <t>Chamado de turno</t>
        </is>
      </c>
      <c r="G153" s="10" t="n">
        <v>3</v>
      </c>
      <c r="H153" s="10" t="inlineStr">
        <is>
          <t>Chamado de turno (recarga 3 Ciclos): 2 Cascos Ocos entram na cena. Eles entram pela VEL nas casas restantes do Ciclo (capítulo 19).</t>
        </is>
      </c>
      <c r="I153" s="10" t="inlineStr">
        <is>
          <t>Chamado de turno (recarga 3 Ciclos): 2 Cascos Ocos entram na cena. Eles entram pela VEL nas casas restantes do Ciclo (capítulo 19).</t>
        </is>
      </c>
      <c r="J153" s="10" t="inlineStr"/>
      <c r="K153" s="10" t="inlineStr"/>
      <c r="L153" s="10" t="inlineStr"/>
      <c r="M153" s="10" t="inlineStr"/>
      <c r="N153" s="10" t="inlineStr"/>
      <c r="O153" s="10" t="inlineStr"/>
      <c r="P153" s="10" t="inlineStr"/>
      <c r="Q153" s="10" t="inlineStr"/>
      <c r="R153" s="10" t="inlineStr"/>
      <c r="S153" s="10" t="inlineStr"/>
      <c r="T153" s="10" t="inlineStr"/>
      <c r="U153" s="10" t="inlineStr"/>
    </row>
    <row r="154" ht="105" customHeight="1">
      <c r="A154" s="31" t="inlineStr">
        <is>
          <t>Capataz Oco|3</t>
        </is>
      </c>
      <c r="B154" s="5" t="inlineStr">
        <is>
          <t>Capataz Oco</t>
        </is>
      </c>
      <c r="C154" s="5" t="n">
        <v>0</v>
      </c>
      <c r="D154" s="5" t="n">
        <v>3</v>
      </c>
      <c r="E154" s="5" t="inlineStr">
        <is>
          <t>Especial</t>
        </is>
      </c>
      <c r="F154" s="5" t="inlineStr">
        <is>
          <t>Esmagar</t>
        </is>
      </c>
      <c r="G154" s="5" t="n">
        <v>2</v>
      </c>
      <c r="H154" s="5" t="inlineStr">
        <is>
          <t>Esmagar (recarga 2 Ciclos): um alvo a Distância Pessoal recebe 3d6 · 10 de dano Físico e faz Teste de Potência Física contra DT 13; se falhar, recebe Lentidão por 1 turno.</t>
        </is>
      </c>
      <c r="I154" s="5" t="inlineStr">
        <is>
          <t xml:space="preserve">Esmagar (recarga 2 Ciclos): um alvo a Distância Pessoal recebe </t>
        </is>
      </c>
      <c r="J154" s="5" t="inlineStr">
        <is>
          <t>DANO15.e</t>
        </is>
      </c>
      <c r="K154" s="5" t="inlineStr"/>
      <c r="L154" s="5" t="inlineStr">
        <is>
          <t xml:space="preserve"> · </t>
        </is>
      </c>
      <c r="M154" s="5" t="inlineStr">
        <is>
          <t>DANO15.m</t>
        </is>
      </c>
      <c r="N154" s="5" t="inlineStr"/>
      <c r="O154" s="5" t="inlineStr">
        <is>
          <t xml:space="preserve"> de dano Físico e faz Teste de Potência Física contra DT </t>
        </is>
      </c>
      <c r="P154" s="5" t="inlineStr">
        <is>
          <t>DT</t>
        </is>
      </c>
      <c r="Q154" s="5" t="inlineStr"/>
      <c r="R154" s="5" t="inlineStr">
        <is>
          <t>; se falhar, recebe Lentidão por 1 turno.</t>
        </is>
      </c>
      <c r="S154" s="5" t="inlineStr"/>
      <c r="T154" s="5" t="inlineStr"/>
      <c r="U154" s="5" t="inlineStr"/>
    </row>
    <row r="155" ht="37" customHeight="1">
      <c r="A155" s="43" t="inlineStr">
        <is>
          <t>Sargento de Trincheira|1</t>
        </is>
      </c>
      <c r="B155" s="10" t="inlineStr">
        <is>
          <t>Sargento de Trincheira</t>
        </is>
      </c>
      <c r="C155" s="10" t="n">
        <v>0</v>
      </c>
      <c r="D155" s="10" t="n">
        <v>1</v>
      </c>
      <c r="E155" s="10" t="inlineStr">
        <is>
          <t>Ataque</t>
        </is>
      </c>
      <c r="F155" s="10" t="inlineStr">
        <is>
          <t>Fuzil de assalto</t>
        </is>
      </c>
      <c r="G155" s="10" t="inlineStr"/>
      <c r="H155" s="10" t="inlineStr">
        <is>
          <t>Fuzil de assalto (Longa, Físico): 2d6 · média 7</t>
        </is>
      </c>
      <c r="I155" s="10" t="inlineStr">
        <is>
          <t xml:space="preserve">Fuzil de assalto (Longa, Físico): </t>
        </is>
      </c>
      <c r="J155" s="10" t="inlineStr">
        <is>
          <t>DANO.e</t>
        </is>
      </c>
      <c r="K155" s="10" t="inlineStr"/>
      <c r="L155" s="10" t="inlineStr">
        <is>
          <t xml:space="preserve"> · média </t>
        </is>
      </c>
      <c r="M155" s="10" t="inlineStr">
        <is>
          <t>DANO.m</t>
        </is>
      </c>
      <c r="N155" s="10" t="inlineStr"/>
      <c r="O155" s="10" t="inlineStr"/>
      <c r="P155" s="10" t="inlineStr"/>
      <c r="Q155" s="10" t="inlineStr"/>
      <c r="R155" s="10" t="inlineStr"/>
      <c r="S155" s="10" t="inlineStr"/>
      <c r="T155" s="10" t="inlineStr"/>
      <c r="U155" s="10" t="inlineStr"/>
    </row>
    <row r="156" ht="26" customHeight="1">
      <c r="A156" s="31" t="inlineStr">
        <is>
          <t>Sargento de Trincheira|2</t>
        </is>
      </c>
      <c r="B156" s="5" t="inlineStr">
        <is>
          <t>Sargento de Trincheira</t>
        </is>
      </c>
      <c r="C156" s="5" t="n">
        <v>0</v>
      </c>
      <c r="D156" s="5" t="n">
        <v>2</v>
      </c>
      <c r="E156" s="5" t="inlineStr">
        <is>
          <t>Ataque</t>
        </is>
      </c>
      <c r="F156" s="5" t="inlineStr">
        <is>
          <t>Baioneta</t>
        </is>
      </c>
      <c r="G156" s="5" t="inlineStr"/>
      <c r="H156" s="5" t="inlineStr">
        <is>
          <t>Baioneta (Pessoal, Físico): 2d6 · média 7</t>
        </is>
      </c>
      <c r="I156" s="5" t="inlineStr">
        <is>
          <t xml:space="preserve">Baioneta (Pessoal, Físico): </t>
        </is>
      </c>
      <c r="J156" s="5" t="inlineStr">
        <is>
          <t>DANO.e</t>
        </is>
      </c>
      <c r="K156" s="5" t="inlineStr"/>
      <c r="L156" s="5" t="inlineStr">
        <is>
          <t xml:space="preserve"> · média </t>
        </is>
      </c>
      <c r="M156" s="5" t="inlineStr">
        <is>
          <t>DANO.m</t>
        </is>
      </c>
      <c r="N156" s="5" t="inlineStr"/>
      <c r="O156" s="5" t="inlineStr"/>
      <c r="P156" s="5" t="inlineStr"/>
      <c r="Q156" s="5" t="inlineStr"/>
      <c r="R156" s="5" t="inlineStr"/>
      <c r="S156" s="5" t="inlineStr"/>
      <c r="T156" s="5" t="inlineStr"/>
      <c r="U156" s="5" t="inlineStr"/>
    </row>
    <row r="157" ht="127" customHeight="1">
      <c r="A157" s="43" t="inlineStr">
        <is>
          <t>Sargento de Trincheira|3</t>
        </is>
      </c>
      <c r="B157" s="10" t="inlineStr">
        <is>
          <t>Sargento de Trincheira</t>
        </is>
      </c>
      <c r="C157" s="10" t="n">
        <v>0</v>
      </c>
      <c r="D157" s="10" t="n">
        <v>3</v>
      </c>
      <c r="E157" s="10" t="inlineStr">
        <is>
          <t>Especial</t>
        </is>
      </c>
      <c r="F157" s="10" t="inlineStr">
        <is>
          <t>Marcar alvo prioritário</t>
        </is>
      </c>
      <c r="G157" s="10" t="n">
        <v>2</v>
      </c>
      <c r="H157" s="10" t="inlineStr">
        <is>
          <t>Marcar alvo prioritário (recarga 2 Ciclos): um alvo fica Marcado por 2 turnos para todos os Peões da Antimatéria da cena, e cada Peão que atacar o alvo marcado causa 1d6 · 3 normalmente, com o +1 da marca no Teste de Ataque.</t>
        </is>
      </c>
      <c r="I157" s="10" t="inlineStr">
        <is>
          <t xml:space="preserve">Marcar alvo prioritário (recarga 2 Ciclos): um alvo fica Marcado por 2 turnos para todos os Peões da Antimatéria da cena, e cada Peão que atacar o alvo marcado causa </t>
        </is>
      </c>
      <c r="J157" s="10" t="inlineStr">
        <is>
          <t>COMUM.e</t>
        </is>
      </c>
      <c r="K157" s="10" t="inlineStr"/>
      <c r="L157" s="10" t="inlineStr">
        <is>
          <t xml:space="preserve"> · </t>
        </is>
      </c>
      <c r="M157" s="10" t="inlineStr">
        <is>
          <t>COMUM.m</t>
        </is>
      </c>
      <c r="N157" s="10" t="inlineStr"/>
      <c r="O157" s="10" t="inlineStr">
        <is>
          <t xml:space="preserve"> normalmente, com o +1 da marca no Teste de Ataque.</t>
        </is>
      </c>
      <c r="P157" s="10" t="inlineStr"/>
      <c r="Q157" s="10" t="inlineStr"/>
      <c r="R157" s="10" t="inlineStr"/>
      <c r="S157" s="10" t="inlineStr"/>
      <c r="T157" s="10" t="inlineStr"/>
      <c r="U157" s="10" t="inlineStr"/>
    </row>
    <row r="158" ht="150" customHeight="1">
      <c r="A158" s="31" t="inlineStr">
        <is>
          <t>Sargento de Trincheira|4</t>
        </is>
      </c>
      <c r="B158" s="5" t="inlineStr">
        <is>
          <t>Sargento de Trincheira</t>
        </is>
      </c>
      <c r="C158" s="5" t="n">
        <v>0</v>
      </c>
      <c r="D158" s="5" t="n">
        <v>4</v>
      </c>
      <c r="E158" s="5" t="inlineStr">
        <is>
          <t>Especial</t>
        </is>
      </c>
      <c r="F158" s="5" t="inlineStr">
        <is>
          <t>Granada de fragmentação</t>
        </is>
      </c>
      <c r="G158" s="5" t="n">
        <v>3</v>
      </c>
      <c r="H158" s="5" t="inlineStr">
        <is>
          <t>Granada de fragmentação (recarga 3 Ciclos): até 3 alvos a até uma Distância um do outro fazem Teste de Reflexos contra DT 13. Quem falha recebe 2d6 · 7 de dano Físico e Sangramento por 2 turnos; quem passa recebe metade do dano e nenhum Sangramento.</t>
        </is>
      </c>
      <c r="I158" s="5" t="inlineStr">
        <is>
          <t xml:space="preserve">Granada de fragmentação (recarga 3 Ciclos): até 3 alvos a até uma Distância um do outro fazem Teste de Reflexos contra DT </t>
        </is>
      </c>
      <c r="J158" s="5" t="inlineStr">
        <is>
          <t>DT</t>
        </is>
      </c>
      <c r="K158" s="5" t="inlineStr"/>
      <c r="L158" s="5" t="inlineStr">
        <is>
          <t xml:space="preserve">. Quem falha recebe </t>
        </is>
      </c>
      <c r="M158" s="5" t="inlineStr">
        <is>
          <t>DANO.e</t>
        </is>
      </c>
      <c r="N158" s="5" t="inlineStr"/>
      <c r="O158" s="5" t="inlineStr">
        <is>
          <t xml:space="preserve"> · </t>
        </is>
      </c>
      <c r="P158" s="5" t="inlineStr">
        <is>
          <t>DANO.m</t>
        </is>
      </c>
      <c r="Q158" s="5" t="inlineStr"/>
      <c r="R158" s="5" t="inlineStr">
        <is>
          <t xml:space="preserve"> de dano Físico e Sangramento por 2 turnos; quem passa recebe metade do dano e nenhum Sangramento.</t>
        </is>
      </c>
      <c r="S158" s="5" t="inlineStr"/>
      <c r="T158" s="5" t="inlineStr"/>
      <c r="U158" s="5" t="inlineStr"/>
    </row>
    <row r="159" ht="26" customHeight="1">
      <c r="A159" s="43" t="inlineStr">
        <is>
          <t>O Afogado do Poço Sete|1</t>
        </is>
      </c>
      <c r="B159" s="10" t="inlineStr">
        <is>
          <t>O Afogado do Poço Sete</t>
        </is>
      </c>
      <c r="C159" s="10" t="n">
        <v>1</v>
      </c>
      <c r="D159" s="10" t="n">
        <v>1</v>
      </c>
      <c r="E159" s="10" t="inlineStr">
        <is>
          <t>Ataque</t>
        </is>
      </c>
      <c r="F159" s="10" t="inlineStr">
        <is>
          <t>Pá de dragline</t>
        </is>
      </c>
      <c r="G159" s="10" t="inlineStr"/>
      <c r="H159" s="10" t="inlineStr">
        <is>
          <t>Pá de dragline (Curta, Físico): 3d6 · média 10</t>
        </is>
      </c>
      <c r="I159" s="10" t="inlineStr">
        <is>
          <t xml:space="preserve">Pá de dragline (Curta, Físico): </t>
        </is>
      </c>
      <c r="J159" s="10" t="inlineStr">
        <is>
          <t>DANO.e</t>
        </is>
      </c>
      <c r="K159" s="10" t="inlineStr"/>
      <c r="L159" s="10" t="inlineStr">
        <is>
          <t xml:space="preserve"> · média </t>
        </is>
      </c>
      <c r="M159" s="10" t="inlineStr">
        <is>
          <t>DANO.m</t>
        </is>
      </c>
      <c r="N159" s="10" t="inlineStr"/>
      <c r="O159" s="10" t="inlineStr"/>
      <c r="P159" s="10" t="inlineStr"/>
      <c r="Q159" s="10" t="inlineStr"/>
      <c r="R159" s="10" t="inlineStr"/>
      <c r="S159" s="10" t="inlineStr"/>
      <c r="T159" s="10" t="inlineStr"/>
      <c r="U159" s="10" t="inlineStr"/>
    </row>
    <row r="160" ht="37" customHeight="1">
      <c r="A160" s="31" t="inlineStr">
        <is>
          <t>O Afogado do Poço Sete|2</t>
        </is>
      </c>
      <c r="B160" s="5" t="inlineStr">
        <is>
          <t>O Afogado do Poço Sete</t>
        </is>
      </c>
      <c r="C160" s="5" t="n">
        <v>1</v>
      </c>
      <c r="D160" s="5" t="n">
        <v>2</v>
      </c>
      <c r="E160" s="5" t="inlineStr">
        <is>
          <t>Ataque</t>
        </is>
      </c>
      <c r="F160" s="5" t="inlineStr">
        <is>
          <t>Jato de lama quente</t>
        </is>
      </c>
      <c r="G160" s="5" t="inlineStr"/>
      <c r="H160" s="5" t="inlineStr">
        <is>
          <t>Jato de lama quente (Média, Fogo): 3d6 · média 10</t>
        </is>
      </c>
      <c r="I160" s="5" t="inlineStr">
        <is>
          <t xml:space="preserve">Jato de lama quente (Média, Fogo): </t>
        </is>
      </c>
      <c r="J160" s="5" t="inlineStr">
        <is>
          <t>DANO.e</t>
        </is>
      </c>
      <c r="K160" s="5" t="inlineStr"/>
      <c r="L160" s="5" t="inlineStr">
        <is>
          <t xml:space="preserve"> · média </t>
        </is>
      </c>
      <c r="M160" s="5" t="inlineStr">
        <is>
          <t>DANO.m</t>
        </is>
      </c>
      <c r="N160" s="5" t="inlineStr"/>
      <c r="O160" s="5" t="inlineStr"/>
      <c r="P160" s="5" t="inlineStr"/>
      <c r="Q160" s="5" t="inlineStr"/>
      <c r="R160" s="5" t="inlineStr"/>
      <c r="S160" s="5" t="inlineStr"/>
      <c r="T160" s="5" t="inlineStr"/>
      <c r="U160" s="5" t="inlineStr"/>
    </row>
    <row r="161" ht="150" customHeight="1">
      <c r="A161" s="43" t="inlineStr">
        <is>
          <t>O Afogado do Poço Sete|3</t>
        </is>
      </c>
      <c r="B161" s="10" t="inlineStr">
        <is>
          <t>O Afogado do Poço Sete</t>
        </is>
      </c>
      <c r="C161" s="10" t="n">
        <v>1</v>
      </c>
      <c r="D161" s="10" t="n">
        <v>3</v>
      </c>
      <c r="E161" s="10" t="inlineStr">
        <is>
          <t>Especial</t>
        </is>
      </c>
      <c r="F161" s="10" t="inlineStr">
        <is>
          <t>Engolir</t>
        </is>
      </c>
      <c r="G161" s="10" t="n">
        <v>3</v>
      </c>
      <c r="H161" s="10" t="inlineStr">
        <is>
          <t>Engolir (recarga 3 Ciclos; ocupa uma das 2 ações do turno): um alvo a Distância Pessoal faz Teste de Potência Física contra DT 14. Se falhar, recebe 3d8 + 2 · 15 de dano Físico e Lentidão por 2 turnos. Se passar, recebe metade do dano e nenhuma Lentidão.</t>
        </is>
      </c>
      <c r="I161" s="10" t="inlineStr">
        <is>
          <t xml:space="preserve">Engolir (recarga 3 Ciclos; ocupa uma das 2 ações do turno): um alvo a Distância Pessoal faz Teste de Potência Física contra DT </t>
        </is>
      </c>
      <c r="J161" s="10" t="inlineStr">
        <is>
          <t>DT</t>
        </is>
      </c>
      <c r="K161" s="10" t="inlineStr"/>
      <c r="L161" s="10" t="inlineStr">
        <is>
          <t xml:space="preserve">. Se falhar, recebe </t>
        </is>
      </c>
      <c r="M161" s="10" t="inlineStr">
        <is>
          <t>DANO15.e</t>
        </is>
      </c>
      <c r="N161" s="10" t="inlineStr"/>
      <c r="O161" s="10" t="inlineStr">
        <is>
          <t xml:space="preserve"> · </t>
        </is>
      </c>
      <c r="P161" s="10" t="inlineStr">
        <is>
          <t>DANO15.m</t>
        </is>
      </c>
      <c r="Q161" s="10" t="inlineStr"/>
      <c r="R161" s="10" t="inlineStr">
        <is>
          <t xml:space="preserve"> de dano Físico e Lentidão por 2 turnos. Se passar, recebe metade do dano e nenhuma Lentidão.</t>
        </is>
      </c>
      <c r="S161" s="10" t="inlineStr"/>
      <c r="T161" s="10" t="inlineStr"/>
      <c r="U161" s="10" t="inlineStr"/>
    </row>
    <row r="162" ht="26" customHeight="1">
      <c r="A162" s="31" t="inlineStr">
        <is>
          <t>O Afogado do Poço Sete|4</t>
        </is>
      </c>
      <c r="B162" s="5" t="inlineStr">
        <is>
          <t>O Afogado do Poço Sete</t>
        </is>
      </c>
      <c r="C162" s="5" t="n">
        <v>2</v>
      </c>
      <c r="D162" s="5" t="n">
        <v>4</v>
      </c>
      <c r="E162" s="5" t="inlineStr">
        <is>
          <t>Ataque</t>
        </is>
      </c>
      <c r="F162" s="5" t="inlineStr">
        <is>
          <t>Pá de dragline</t>
        </is>
      </c>
      <c r="G162" s="5" t="inlineStr"/>
      <c r="H162" s="5" t="inlineStr">
        <is>
          <t>Pá de dragline (Curta, Físico): 3d6 · média 10</t>
        </is>
      </c>
      <c r="I162" s="5" t="inlineStr">
        <is>
          <t xml:space="preserve">Pá de dragline (Curta, Físico): </t>
        </is>
      </c>
      <c r="J162" s="5" t="inlineStr">
        <is>
          <t>DANO.e</t>
        </is>
      </c>
      <c r="K162" s="5" t="inlineStr"/>
      <c r="L162" s="5" t="inlineStr">
        <is>
          <t xml:space="preserve"> · média </t>
        </is>
      </c>
      <c r="M162" s="5" t="inlineStr">
        <is>
          <t>DANO.m</t>
        </is>
      </c>
      <c r="N162" s="5" t="inlineStr"/>
      <c r="O162" s="5" t="inlineStr"/>
      <c r="P162" s="5" t="inlineStr"/>
      <c r="Q162" s="5" t="inlineStr"/>
      <c r="R162" s="5" t="inlineStr"/>
      <c r="S162" s="5" t="inlineStr"/>
      <c r="T162" s="5" t="inlineStr"/>
      <c r="U162" s="5" t="inlineStr"/>
    </row>
    <row r="163" ht="138" customHeight="1">
      <c r="A163" s="43" t="inlineStr">
        <is>
          <t>O Afogado do Poço Sete|5</t>
        </is>
      </c>
      <c r="B163" s="10" t="inlineStr">
        <is>
          <t>O Afogado do Poço Sete</t>
        </is>
      </c>
      <c r="C163" s="10" t="n">
        <v>2</v>
      </c>
      <c r="D163" s="10" t="n">
        <v>5</v>
      </c>
      <c r="E163" s="10" t="inlineStr">
        <is>
          <t>Especial</t>
        </is>
      </c>
      <c r="F163" s="10" t="inlineStr">
        <is>
          <t>Coro</t>
        </is>
      </c>
      <c r="G163" s="10" t="n">
        <v>0</v>
      </c>
      <c r="H163" s="10" t="inlineStr">
        <is>
          <t>Coro (Longa, Imaginário, ação especial, sem recarga): até 3 alvos a até uma Distância um do outro fazem Teste de Resistência Mental contra DT 14. Quem falha recebe 3d6 · 10 de dano Imaginário; quem passa recebe metade e nada mais.</t>
        </is>
      </c>
      <c r="I163" s="10" t="inlineStr">
        <is>
          <t xml:space="preserve">Coro (Longa, Imaginário, ação especial, sem recarga): até 3 alvos a até uma Distância um do outro fazem Teste de Resistência Mental contra DT </t>
        </is>
      </c>
      <c r="J163" s="10" t="inlineStr">
        <is>
          <t>DT</t>
        </is>
      </c>
      <c r="K163" s="10" t="inlineStr"/>
      <c r="L163" s="10" t="inlineStr">
        <is>
          <t xml:space="preserve">. Quem falha recebe </t>
        </is>
      </c>
      <c r="M163" s="10" t="inlineStr">
        <is>
          <t>DANO.e</t>
        </is>
      </c>
      <c r="N163" s="10" t="inlineStr"/>
      <c r="O163" s="10" t="inlineStr">
        <is>
          <t xml:space="preserve"> · </t>
        </is>
      </c>
      <c r="P163" s="10" t="inlineStr">
        <is>
          <t>DANO.m</t>
        </is>
      </c>
      <c r="Q163" s="10" t="inlineStr"/>
      <c r="R163" s="10" t="inlineStr">
        <is>
          <t xml:space="preserve"> de dano Imaginário; quem passa recebe metade e nada mais.</t>
        </is>
      </c>
      <c r="S163" s="10" t="inlineStr"/>
      <c r="T163" s="10" t="inlineStr"/>
      <c r="U163" s="10" t="inlineStr"/>
    </row>
    <row r="164" ht="37" customHeight="1">
      <c r="A164" s="31" t="inlineStr">
        <is>
          <t>Fuzileiro da Legião|1</t>
        </is>
      </c>
      <c r="B164" s="5" t="inlineStr">
        <is>
          <t>Fuzileiro da Legião</t>
        </is>
      </c>
      <c r="C164" s="5" t="n">
        <v>0</v>
      </c>
      <c r="D164" s="5" t="n">
        <v>1</v>
      </c>
      <c r="E164" s="5" t="inlineStr">
        <is>
          <t>Ataque</t>
        </is>
      </c>
      <c r="F164" s="5" t="inlineStr">
        <is>
          <t>Carabina de pulso</t>
        </is>
      </c>
      <c r="G164" s="5" t="inlineStr"/>
      <c r="H164" s="5" t="inlineStr">
        <is>
          <t>Carabina de pulso (Longa, Físico): 2d6 · média 7</t>
        </is>
      </c>
      <c r="I164" s="5" t="inlineStr">
        <is>
          <t xml:space="preserve">Carabina de pulso (Longa, Físico): </t>
        </is>
      </c>
      <c r="J164" s="5" t="inlineStr">
        <is>
          <t>DANO.e</t>
        </is>
      </c>
      <c r="K164" s="5" t="inlineStr"/>
      <c r="L164" s="5" t="inlineStr">
        <is>
          <t xml:space="preserve"> · média </t>
        </is>
      </c>
      <c r="M164" s="5" t="inlineStr">
        <is>
          <t>DANO.m</t>
        </is>
      </c>
      <c r="N164" s="5" t="inlineStr"/>
      <c r="O164" s="5" t="inlineStr"/>
      <c r="P164" s="5" t="inlineStr"/>
      <c r="Q164" s="5" t="inlineStr"/>
      <c r="R164" s="5" t="inlineStr"/>
      <c r="S164" s="5" t="inlineStr"/>
      <c r="T164" s="5" t="inlineStr"/>
      <c r="U164" s="5" t="inlineStr"/>
    </row>
    <row r="165" ht="37" customHeight="1">
      <c r="A165" s="43" t="inlineStr">
        <is>
          <t>Fuzileiro da Legião|2</t>
        </is>
      </c>
      <c r="B165" s="10" t="inlineStr">
        <is>
          <t>Fuzileiro da Legião</t>
        </is>
      </c>
      <c r="C165" s="10" t="n">
        <v>0</v>
      </c>
      <c r="D165" s="10" t="n">
        <v>2</v>
      </c>
      <c r="E165" s="10" t="inlineStr">
        <is>
          <t>Ataque</t>
        </is>
      </c>
      <c r="F165" s="10" t="inlineStr">
        <is>
          <t>Faca de trincheira</t>
        </is>
      </c>
      <c r="G165" s="10" t="inlineStr"/>
      <c r="H165" s="10" t="inlineStr">
        <is>
          <t>Faca de trincheira (Pessoal, Físico): 2d6 · média 7</t>
        </is>
      </c>
      <c r="I165" s="10" t="inlineStr">
        <is>
          <t xml:space="preserve">Faca de trincheira (Pessoal, Físico): </t>
        </is>
      </c>
      <c r="J165" s="10" t="inlineStr">
        <is>
          <t>DANO.e</t>
        </is>
      </c>
      <c r="K165" s="10" t="inlineStr"/>
      <c r="L165" s="10" t="inlineStr">
        <is>
          <t xml:space="preserve"> · média </t>
        </is>
      </c>
      <c r="M165" s="10" t="inlineStr">
        <is>
          <t>DANO.m</t>
        </is>
      </c>
      <c r="N165" s="10" t="inlineStr"/>
      <c r="O165" s="10" t="inlineStr"/>
      <c r="P165" s="10" t="inlineStr"/>
      <c r="Q165" s="10" t="inlineStr"/>
      <c r="R165" s="10" t="inlineStr"/>
      <c r="S165" s="10" t="inlineStr"/>
      <c r="T165" s="10" t="inlineStr"/>
      <c r="U165" s="10" t="inlineStr"/>
    </row>
    <row r="166" ht="93" customHeight="1">
      <c r="A166" s="31" t="inlineStr">
        <is>
          <t>Fuzileiro da Legião|3</t>
        </is>
      </c>
      <c r="B166" s="5" t="inlineStr">
        <is>
          <t>Fuzileiro da Legião</t>
        </is>
      </c>
      <c r="C166" s="5" t="n">
        <v>0</v>
      </c>
      <c r="D166" s="5" t="n">
        <v>3</v>
      </c>
      <c r="E166" s="5" t="inlineStr">
        <is>
          <t>Especial</t>
        </is>
      </c>
      <c r="F166" s="5" t="inlineStr">
        <is>
          <t>Fogo cruzado</t>
        </is>
      </c>
      <c r="G166" s="5" t="n">
        <v>2</v>
      </c>
      <c r="H166" s="5" t="inlineStr">
        <is>
          <t>Fogo cruzado (recarga 2 Ciclos): escolha um alvo que esteja ao alcance de outro Fuzileiro da cena. Ele recebe 2d6 · 7 de dano Físico e fica Marcado por 1 turno.</t>
        </is>
      </c>
      <c r="I166" s="5" t="inlineStr">
        <is>
          <t xml:space="preserve">Fogo cruzado (recarga 2 Ciclos): escolha um alvo que esteja ao alcance de outro Fuzileiro da cena. Ele recebe </t>
        </is>
      </c>
      <c r="J166" s="5" t="inlineStr">
        <is>
          <t>DANO.e</t>
        </is>
      </c>
      <c r="K166" s="5" t="inlineStr"/>
      <c r="L166" s="5" t="inlineStr">
        <is>
          <t xml:space="preserve"> · </t>
        </is>
      </c>
      <c r="M166" s="5" t="inlineStr">
        <is>
          <t>DANO.m</t>
        </is>
      </c>
      <c r="N166" s="5" t="inlineStr"/>
      <c r="O166" s="5" t="inlineStr">
        <is>
          <t xml:space="preserve"> de dano Físico e fica Marcado por 1 turno.</t>
        </is>
      </c>
      <c r="P166" s="5" t="inlineStr"/>
      <c r="Q166" s="5" t="inlineStr"/>
      <c r="R166" s="5" t="inlineStr"/>
      <c r="S166" s="5" t="inlineStr"/>
      <c r="T166" s="5" t="inlineStr"/>
      <c r="U166" s="5" t="inlineStr"/>
    </row>
    <row r="167" ht="37" customHeight="1">
      <c r="A167" s="43" t="inlineStr">
        <is>
          <t>Dron de Vigilância Pacificadora|1</t>
        </is>
      </c>
      <c r="B167" s="10" t="inlineStr">
        <is>
          <t>Dron de Vigilância Pacificadora</t>
        </is>
      </c>
      <c r="C167" s="10" t="n">
        <v>0</v>
      </c>
      <c r="D167" s="10" t="n">
        <v>1</v>
      </c>
      <c r="E167" s="10" t="inlineStr">
        <is>
          <t>Ataque</t>
        </is>
      </c>
      <c r="F167" s="10" t="inlineStr">
        <is>
          <t>Agulha sedativa</t>
        </is>
      </c>
      <c r="G167" s="10" t="inlineStr"/>
      <c r="H167" s="10" t="inlineStr">
        <is>
          <t>Agulha sedativa (Média, Físico): 2d6 · média 7</t>
        </is>
      </c>
      <c r="I167" s="10" t="inlineStr">
        <is>
          <t xml:space="preserve">Agulha sedativa (Média, Físico): </t>
        </is>
      </c>
      <c r="J167" s="10" t="inlineStr">
        <is>
          <t>DANO.e</t>
        </is>
      </c>
      <c r="K167" s="10" t="inlineStr"/>
      <c r="L167" s="10" t="inlineStr">
        <is>
          <t xml:space="preserve"> · média </t>
        </is>
      </c>
      <c r="M167" s="10" t="inlineStr">
        <is>
          <t>DANO.m</t>
        </is>
      </c>
      <c r="N167" s="10" t="inlineStr"/>
      <c r="O167" s="10" t="inlineStr"/>
      <c r="P167" s="10" t="inlineStr"/>
      <c r="Q167" s="10" t="inlineStr"/>
      <c r="R167" s="10" t="inlineStr"/>
      <c r="S167" s="10" t="inlineStr"/>
      <c r="T167" s="10" t="inlineStr"/>
      <c r="U167" s="10" t="inlineStr"/>
    </row>
    <row r="168" ht="116" customHeight="1">
      <c r="A168" s="31" t="inlineStr">
        <is>
          <t>Dron de Vigilância Pacificadora|2</t>
        </is>
      </c>
      <c r="B168" s="5" t="inlineStr">
        <is>
          <t>Dron de Vigilância Pacificadora</t>
        </is>
      </c>
      <c r="C168" s="5" t="n">
        <v>0</v>
      </c>
      <c r="D168" s="5" t="n">
        <v>2</v>
      </c>
      <c r="E168" s="5" t="inlineStr">
        <is>
          <t>Especial</t>
        </is>
      </c>
      <c r="F168" s="5" t="inlineStr">
        <is>
          <t>Notificação de infração</t>
        </is>
      </c>
      <c r="G168" s="5" t="n">
        <v>2</v>
      </c>
      <c r="H168" s="5" t="inlineStr">
        <is>
          <t>Notificação de infração (recarga 2 Ciclos): um alvo faz Teste de Resistência Mental contra DT 14. Se falhar, fica Silenciado por 1 turno — a papelada chega na cabeça dele junto com o anúncio.</t>
        </is>
      </c>
      <c r="I168" s="5" t="inlineStr">
        <is>
          <t xml:space="preserve">Notificação de infração (recarga 2 Ciclos): um alvo faz Teste de Resistência Mental contra DT </t>
        </is>
      </c>
      <c r="J168" s="5" t="inlineStr">
        <is>
          <t>DT</t>
        </is>
      </c>
      <c r="K168" s="5" t="inlineStr"/>
      <c r="L168" s="5" t="inlineStr">
        <is>
          <t>. Se falhar, fica Silenciado por 1 turno — a papelada chega na cabeça dele junto com o anúncio.</t>
        </is>
      </c>
      <c r="M168" s="5" t="inlineStr"/>
      <c r="N168" s="5" t="inlineStr"/>
      <c r="O168" s="5" t="inlineStr"/>
      <c r="P168" s="5" t="inlineStr"/>
      <c r="Q168" s="5" t="inlineStr"/>
      <c r="R168" s="5" t="inlineStr"/>
      <c r="S168" s="5" t="inlineStr"/>
      <c r="T168" s="5" t="inlineStr"/>
      <c r="U168" s="5" t="inlineStr"/>
    </row>
    <row r="169" ht="60" customHeight="1">
      <c r="A169" s="43" t="inlineStr">
        <is>
          <t>Devoto do Silêncio|1</t>
        </is>
      </c>
      <c r="B169" s="10" t="inlineStr">
        <is>
          <t>Devoto do Silêncio</t>
        </is>
      </c>
      <c r="C169" s="10" t="n">
        <v>0</v>
      </c>
      <c r="D169" s="10" t="n">
        <v>1</v>
      </c>
      <c r="E169" s="10" t="inlineStr">
        <is>
          <t>Ataque</t>
        </is>
      </c>
      <c r="F169" s="10" t="inlineStr">
        <is>
          <t>Punhal de oração</t>
        </is>
      </c>
      <c r="G169" s="10" t="inlineStr"/>
      <c r="H169" s="10" t="inlineStr">
        <is>
          <t>Punhal de oração (Pessoal, Físico): 2d6 · média 7, e o alvo recebe Sangramento por 2 turnos</t>
        </is>
      </c>
      <c r="I169" s="10" t="inlineStr">
        <is>
          <t xml:space="preserve">Punhal de oração (Pessoal, Físico): </t>
        </is>
      </c>
      <c r="J169" s="10" t="inlineStr">
        <is>
          <t>DANO.e</t>
        </is>
      </c>
      <c r="K169" s="10" t="inlineStr"/>
      <c r="L169" s="10" t="inlineStr">
        <is>
          <t xml:space="preserve"> · média </t>
        </is>
      </c>
      <c r="M169" s="10" t="inlineStr">
        <is>
          <t>DANO.m</t>
        </is>
      </c>
      <c r="N169" s="10" t="inlineStr"/>
      <c r="O169" s="10" t="inlineStr">
        <is>
          <t>, e o alvo recebe Sangramento por 2 turnos</t>
        </is>
      </c>
      <c r="P169" s="10" t="inlineStr"/>
      <c r="Q169" s="10" t="inlineStr"/>
      <c r="R169" s="10" t="inlineStr"/>
      <c r="S169" s="10" t="inlineStr"/>
      <c r="T169" s="10" t="inlineStr"/>
      <c r="U169" s="10" t="inlineStr"/>
    </row>
    <row r="170" ht="116" customHeight="1">
      <c r="A170" s="31" t="inlineStr">
        <is>
          <t>Devoto do Silêncio|2</t>
        </is>
      </c>
      <c r="B170" s="5" t="inlineStr">
        <is>
          <t>Devoto do Silêncio</t>
        </is>
      </c>
      <c r="C170" s="5" t="n">
        <v>0</v>
      </c>
      <c r="D170" s="5" t="n">
        <v>2</v>
      </c>
      <c r="E170" s="5" t="inlineStr">
        <is>
          <t>Especial</t>
        </is>
      </c>
      <c r="F170" s="5" t="inlineStr">
        <is>
          <t>Litania</t>
        </is>
      </c>
      <c r="G170" s="5" t="n">
        <v>3</v>
      </c>
      <c r="H170" s="5" t="inlineStr">
        <is>
          <t>Litania (recarga 3 Ciclos): um alvo a até Distância Média faz Teste de Força de Vontade contra DT 14. Se falhar, recebe Vulnerável por 2 turnos — +1 dado de dano de qualquer fonte da Inexistência na cena.</t>
        </is>
      </c>
      <c r="I170" s="5" t="inlineStr">
        <is>
          <t xml:space="preserve">Litania (recarga 3 Ciclos): um alvo a até Distância Média faz Teste de Força de Vontade contra DT </t>
        </is>
      </c>
      <c r="J170" s="5" t="inlineStr">
        <is>
          <t>DT</t>
        </is>
      </c>
      <c r="K170" s="5" t="inlineStr"/>
      <c r="L170" s="5" t="inlineStr">
        <is>
          <t>. Se falhar, recebe Vulnerável por 2 turnos — +1 dado de dano de qualquer fonte da Inexistência na cena.</t>
        </is>
      </c>
      <c r="M170" s="5" t="inlineStr"/>
      <c r="N170" s="5" t="inlineStr"/>
      <c r="O170" s="5" t="inlineStr"/>
      <c r="P170" s="5" t="inlineStr"/>
      <c r="Q170" s="5" t="inlineStr"/>
      <c r="R170" s="5" t="inlineStr"/>
      <c r="S170" s="5" t="inlineStr"/>
      <c r="T170" s="5" t="inlineStr"/>
      <c r="U170" s="5" t="inlineStr"/>
    </row>
    <row r="171" ht="37" customHeight="1">
      <c r="A171" s="43" t="inlineStr">
        <is>
          <t>Centurião Catafracto|1</t>
        </is>
      </c>
      <c r="B171" s="10" t="inlineStr">
        <is>
          <t>Centurião Catafracto</t>
        </is>
      </c>
      <c r="C171" s="10" t="n">
        <v>0</v>
      </c>
      <c r="D171" s="10" t="n">
        <v>1</v>
      </c>
      <c r="E171" s="10" t="inlineStr">
        <is>
          <t>Ataque</t>
        </is>
      </c>
      <c r="F171" s="10" t="inlineStr">
        <is>
          <t>Maça de impacto</t>
        </is>
      </c>
      <c r="G171" s="10" t="inlineStr"/>
      <c r="H171" s="10" t="inlineStr">
        <is>
          <t>Maça de impacto (Pessoal, Físico): 3d8 · média 13</t>
        </is>
      </c>
      <c r="I171" s="10" t="inlineStr">
        <is>
          <t xml:space="preserve">Maça de impacto (Pessoal, Físico): </t>
        </is>
      </c>
      <c r="J171" s="10" t="inlineStr">
        <is>
          <t>DANO.e</t>
        </is>
      </c>
      <c r="K171" s="10" t="inlineStr"/>
      <c r="L171" s="10" t="inlineStr">
        <is>
          <t xml:space="preserve"> · média </t>
        </is>
      </c>
      <c r="M171" s="10" t="inlineStr">
        <is>
          <t>DANO.m</t>
        </is>
      </c>
      <c r="N171" s="10" t="inlineStr"/>
      <c r="O171" s="10" t="inlineStr"/>
      <c r="P171" s="10" t="inlineStr"/>
      <c r="Q171" s="10" t="inlineStr"/>
      <c r="R171" s="10" t="inlineStr"/>
      <c r="S171" s="10" t="inlineStr"/>
      <c r="T171" s="10" t="inlineStr"/>
      <c r="U171" s="10" t="inlineStr"/>
    </row>
    <row r="172" ht="60" customHeight="1">
      <c r="A172" s="31" t="inlineStr">
        <is>
          <t>Centurião Catafracto|2</t>
        </is>
      </c>
      <c r="B172" s="5" t="inlineStr">
        <is>
          <t>Centurião Catafracto</t>
        </is>
      </c>
      <c r="C172" s="5" t="n">
        <v>0</v>
      </c>
      <c r="D172" s="5" t="n">
        <v>2</v>
      </c>
      <c r="E172" s="5" t="inlineStr">
        <is>
          <t>Ataque</t>
        </is>
      </c>
      <c r="F172" s="5" t="inlineStr">
        <is>
          <t>Lança-arpéu</t>
        </is>
      </c>
      <c r="G172" s="5" t="inlineStr"/>
      <c r="H172" s="5" t="inlineStr">
        <is>
          <t>Lança-arpéu (Média, Físico): 3d8 · média 13, e o alvo é puxado 1 Distância na direção do Centurião</t>
        </is>
      </c>
      <c r="I172" s="5" t="inlineStr">
        <is>
          <t xml:space="preserve">Lança-arpéu (Média, Físico): </t>
        </is>
      </c>
      <c r="J172" s="5" t="inlineStr">
        <is>
          <t>DANO.e</t>
        </is>
      </c>
      <c r="K172" s="5" t="inlineStr"/>
      <c r="L172" s="5" t="inlineStr">
        <is>
          <t xml:space="preserve"> · média </t>
        </is>
      </c>
      <c r="M172" s="5" t="inlineStr">
        <is>
          <t>DANO.m</t>
        </is>
      </c>
      <c r="N172" s="5" t="inlineStr"/>
      <c r="O172" s="5" t="inlineStr">
        <is>
          <t>, e o alvo é puxado 1 Distância na direção do Centurião</t>
        </is>
      </c>
      <c r="P172" s="5" t="inlineStr"/>
      <c r="Q172" s="5" t="inlineStr"/>
      <c r="R172" s="5" t="inlineStr"/>
      <c r="S172" s="5" t="inlineStr"/>
      <c r="T172" s="5" t="inlineStr"/>
      <c r="U172" s="5" t="inlineStr"/>
    </row>
    <row r="173" ht="116" customHeight="1">
      <c r="A173" s="43" t="inlineStr">
        <is>
          <t>Centurião Catafracto|3</t>
        </is>
      </c>
      <c r="B173" s="10" t="inlineStr">
        <is>
          <t>Centurião Catafracto</t>
        </is>
      </c>
      <c r="C173" s="10" t="n">
        <v>0</v>
      </c>
      <c r="D173" s="10" t="n">
        <v>3</v>
      </c>
      <c r="E173" s="10" t="inlineStr">
        <is>
          <t>Especial</t>
        </is>
      </c>
      <c r="F173" s="10" t="inlineStr">
        <is>
          <t>Avanço de aríete</t>
        </is>
      </c>
      <c r="G173" s="10" t="n">
        <v>2</v>
      </c>
      <c r="H173" s="10" t="inlineStr">
        <is>
          <t>Avanço de aríete (recarga 2 Ciclos): ele se move 2 Distâncias e ataca ao chegar: 4d8 + 1 · média 19 de dano Físico, e o alvo faz Teste de Potência Física contra DT 15 ou recebe Lentidão por 1 turno.</t>
        </is>
      </c>
      <c r="I173" s="10" t="inlineStr">
        <is>
          <t xml:space="preserve">Avanço de aríete (recarga 2 Ciclos): ele se move 2 Distâncias e ataca ao chegar: </t>
        </is>
      </c>
      <c r="J173" s="10" t="inlineStr">
        <is>
          <t>DANO15.e</t>
        </is>
      </c>
      <c r="K173" s="10" t="inlineStr"/>
      <c r="L173" s="10" t="inlineStr">
        <is>
          <t xml:space="preserve"> · média </t>
        </is>
      </c>
      <c r="M173" s="10" t="inlineStr">
        <is>
          <t>DANO15.m</t>
        </is>
      </c>
      <c r="N173" s="10" t="inlineStr"/>
      <c r="O173" s="10" t="inlineStr">
        <is>
          <t xml:space="preserve"> de dano Físico, e o alvo faz Teste de Potência Física contra DT </t>
        </is>
      </c>
      <c r="P173" s="10" t="inlineStr">
        <is>
          <t>DT</t>
        </is>
      </c>
      <c r="Q173" s="10" t="inlineStr"/>
      <c r="R173" s="10" t="inlineStr">
        <is>
          <t xml:space="preserve"> ou recebe Lentidão por 1 turno.</t>
        </is>
      </c>
      <c r="S173" s="10" t="inlineStr"/>
      <c r="T173" s="10" t="inlineStr"/>
      <c r="U173" s="10" t="inlineStr"/>
    </row>
    <row r="174" ht="93" customHeight="1">
      <c r="A174" s="31" t="inlineStr">
        <is>
          <t>Centurião Catafracto|4</t>
        </is>
      </c>
      <c r="B174" s="5" t="inlineStr">
        <is>
          <t>Centurião Catafracto</t>
        </is>
      </c>
      <c r="C174" s="5" t="n">
        <v>0</v>
      </c>
      <c r="D174" s="5" t="n">
        <v>4</v>
      </c>
      <c r="E174" s="5" t="inlineStr">
        <is>
          <t>Reação</t>
        </is>
      </c>
      <c r="F174" s="5" t="inlineStr">
        <is>
          <t>Selar visor</t>
        </is>
      </c>
      <c r="G174" s="5" t="n">
        <v>3</v>
      </c>
      <c r="H174" s="5" t="inlineStr">
        <is>
          <t>Selar visor (recarga 3 Ciclos, Reação): declare depois de o grupo declarar uma Habilidade contra ele. Até o fim do próximo turno dele, a RD dele sobe para 4. Fim.</t>
        </is>
      </c>
      <c r="I174" s="5" t="inlineStr">
        <is>
          <t>Selar visor (recarga 3 Ciclos, Reação): declare depois de o grupo declarar uma Habilidade contra ele. Até o fim do próximo turno dele, a RD dele sobe para 4. Fim.</t>
        </is>
      </c>
      <c r="J174" s="5" t="inlineStr"/>
      <c r="K174" s="5" t="inlineStr"/>
      <c r="L174" s="5" t="inlineStr"/>
      <c r="M174" s="5" t="inlineStr"/>
      <c r="N174" s="5" t="inlineStr"/>
      <c r="O174" s="5" t="inlineStr"/>
      <c r="P174" s="5" t="inlineStr"/>
      <c r="Q174" s="5" t="inlineStr"/>
      <c r="R174" s="5" t="inlineStr"/>
      <c r="S174" s="5" t="inlineStr"/>
      <c r="T174" s="5" t="inlineStr"/>
      <c r="U174" s="5" t="inlineStr"/>
    </row>
    <row r="175" ht="37" customHeight="1">
      <c r="A175" s="43" t="inlineStr">
        <is>
          <t>Auditora de Risco|1</t>
        </is>
      </c>
      <c r="B175" s="10" t="inlineStr">
        <is>
          <t>Auditora de Risco</t>
        </is>
      </c>
      <c r="C175" s="10" t="n">
        <v>0</v>
      </c>
      <c r="D175" s="10" t="n">
        <v>1</v>
      </c>
      <c r="E175" s="10" t="inlineStr">
        <is>
          <t>Ataque</t>
        </is>
      </c>
      <c r="F175" s="10" t="inlineStr">
        <is>
          <t>Pistola de execução contratual</t>
        </is>
      </c>
      <c r="G175" s="10" t="inlineStr"/>
      <c r="H175" s="10" t="inlineStr">
        <is>
          <t>Pistola de execução contratual (Longa, Físico): 3d8 · média 13</t>
        </is>
      </c>
      <c r="I175" s="10" t="inlineStr">
        <is>
          <t xml:space="preserve">Pistola de execução contratual (Longa, Físico): </t>
        </is>
      </c>
      <c r="J175" s="10" t="inlineStr">
        <is>
          <t>DANO.e</t>
        </is>
      </c>
      <c r="K175" s="10" t="inlineStr"/>
      <c r="L175" s="10" t="inlineStr">
        <is>
          <t xml:space="preserve"> · média </t>
        </is>
      </c>
      <c r="M175" s="10" t="inlineStr">
        <is>
          <t>DANO.m</t>
        </is>
      </c>
      <c r="N175" s="10" t="inlineStr"/>
      <c r="O175" s="10" t="inlineStr"/>
      <c r="P175" s="10" t="inlineStr"/>
      <c r="Q175" s="10" t="inlineStr"/>
      <c r="R175" s="10" t="inlineStr"/>
      <c r="S175" s="10" t="inlineStr"/>
      <c r="T175" s="10" t="inlineStr"/>
      <c r="U175" s="10" t="inlineStr"/>
    </row>
    <row r="176" ht="37" customHeight="1">
      <c r="A176" s="31" t="inlineStr">
        <is>
          <t>Auditora de Risco|2</t>
        </is>
      </c>
      <c r="B176" s="5" t="inlineStr">
        <is>
          <t>Auditora de Risco</t>
        </is>
      </c>
      <c r="C176" s="5" t="n">
        <v>0</v>
      </c>
      <c r="D176" s="5" t="n">
        <v>2</v>
      </c>
      <c r="E176" s="5" t="inlineStr">
        <is>
          <t>Ataque</t>
        </is>
      </c>
      <c r="F176" s="5" t="inlineStr">
        <is>
          <t>Estilete de lacre</t>
        </is>
      </c>
      <c r="G176" s="5" t="inlineStr"/>
      <c r="H176" s="5" t="inlineStr">
        <is>
          <t>Estilete de lacre (Pessoal, Quântico): 3d8 · média 13</t>
        </is>
      </c>
      <c r="I176" s="5" t="inlineStr">
        <is>
          <t xml:space="preserve">Estilete de lacre (Pessoal, Quântico): </t>
        </is>
      </c>
      <c r="J176" s="5" t="inlineStr">
        <is>
          <t>DANO.e</t>
        </is>
      </c>
      <c r="K176" s="5" t="inlineStr"/>
      <c r="L176" s="5" t="inlineStr">
        <is>
          <t xml:space="preserve"> · média </t>
        </is>
      </c>
      <c r="M176" s="5" t="inlineStr">
        <is>
          <t>DANO.m</t>
        </is>
      </c>
      <c r="N176" s="5" t="inlineStr"/>
      <c r="O176" s="5" t="inlineStr"/>
      <c r="P176" s="5" t="inlineStr"/>
      <c r="Q176" s="5" t="inlineStr"/>
      <c r="R176" s="5" t="inlineStr"/>
      <c r="S176" s="5" t="inlineStr"/>
      <c r="T176" s="5" t="inlineStr"/>
      <c r="U176" s="5" t="inlineStr"/>
    </row>
    <row r="177" ht="127" customHeight="1">
      <c r="A177" s="43" t="inlineStr">
        <is>
          <t>Auditora de Risco|3</t>
        </is>
      </c>
      <c r="B177" s="10" t="inlineStr">
        <is>
          <t>Auditora de Risco</t>
        </is>
      </c>
      <c r="C177" s="10" t="n">
        <v>0</v>
      </c>
      <c r="D177" s="10" t="n">
        <v>3</v>
      </c>
      <c r="E177" s="10" t="inlineStr">
        <is>
          <t>Especial</t>
        </is>
      </c>
      <c r="F177" s="10" t="inlineStr">
        <is>
          <t>Cláusula de perda</t>
        </is>
      </c>
      <c r="G177" s="10" t="n">
        <v>2</v>
      </c>
      <c r="H177" s="10" t="inlineStr">
        <is>
          <t>Cláusula de perda (recarga 2 Ciclos): um alvo faz Teste de Força de Vontade contra DT 15. Se falhar, fica Marcado por 3 turnos e Vulnerável por 2 — e todo Dron de Vigilância da cena passa a atacá-lo preferencialmente.</t>
        </is>
      </c>
      <c r="I177" s="10" t="inlineStr">
        <is>
          <t xml:space="preserve">Cláusula de perda (recarga 2 Ciclos): um alvo faz Teste de Força de Vontade contra DT </t>
        </is>
      </c>
      <c r="J177" s="10" t="inlineStr">
        <is>
          <t>DT</t>
        </is>
      </c>
      <c r="K177" s="10" t="inlineStr"/>
      <c r="L177" s="10" t="inlineStr">
        <is>
          <t>. Se falhar, fica Marcado por 3 turnos e Vulnerável por 2 — e todo Dron de Vigilância da cena passa a atacá-lo preferencialmente.</t>
        </is>
      </c>
      <c r="M177" s="10" t="inlineStr"/>
      <c r="N177" s="10" t="inlineStr"/>
      <c r="O177" s="10" t="inlineStr"/>
      <c r="P177" s="10" t="inlineStr"/>
      <c r="Q177" s="10" t="inlineStr"/>
      <c r="R177" s="10" t="inlineStr"/>
      <c r="S177" s="10" t="inlineStr"/>
      <c r="T177" s="10" t="inlineStr"/>
      <c r="U177" s="10" t="inlineStr"/>
    </row>
    <row r="178" ht="82" customHeight="1">
      <c r="A178" s="31" t="inlineStr">
        <is>
          <t>Auditora de Risco|4</t>
        </is>
      </c>
      <c r="B178" s="5" t="inlineStr">
        <is>
          <t>Auditora de Risco</t>
        </is>
      </c>
      <c r="C178" s="5" t="n">
        <v>0</v>
      </c>
      <c r="D178" s="5" t="n">
        <v>4</v>
      </c>
      <c r="E178" s="5" t="inlineStr">
        <is>
          <t>Especial</t>
        </is>
      </c>
      <c r="F178" s="5" t="inlineStr">
        <is>
          <t>Liquidação antecipada</t>
        </is>
      </c>
      <c r="G178" s="5" t="n">
        <v>3</v>
      </c>
      <c r="H178" s="5" t="inlineStr">
        <is>
          <t>Liquidação antecipada (recarga 3 Ciclos): contra um alvo que esteja Marcado por ela, um ataque de 4d8 + 1 · média 19 de dano Físico.</t>
        </is>
      </c>
      <c r="I178" s="5" t="inlineStr">
        <is>
          <t xml:space="preserve">Liquidação antecipada (recarga 3 Ciclos): contra um alvo que esteja Marcado por ela, um ataque de </t>
        </is>
      </c>
      <c r="J178" s="5" t="inlineStr">
        <is>
          <t>DANO15.e</t>
        </is>
      </c>
      <c r="K178" s="5" t="inlineStr"/>
      <c r="L178" s="5" t="inlineStr">
        <is>
          <t xml:space="preserve"> · média </t>
        </is>
      </c>
      <c r="M178" s="5" t="inlineStr">
        <is>
          <t>DANO15.m</t>
        </is>
      </c>
      <c r="N178" s="5" t="inlineStr"/>
      <c r="O178" s="5" t="inlineStr">
        <is>
          <t xml:space="preserve"> de dano Físico.</t>
        </is>
      </c>
      <c r="P178" s="5" t="inlineStr"/>
      <c r="Q178" s="5" t="inlineStr"/>
      <c r="R178" s="5" t="inlineStr"/>
      <c r="S178" s="5" t="inlineStr"/>
      <c r="T178" s="5" t="inlineStr"/>
      <c r="U178" s="5" t="inlineStr"/>
    </row>
    <row r="179" ht="37" customHeight="1">
      <c r="A179" s="43" t="inlineStr">
        <is>
          <t>Pretor Vazio-Nove|1</t>
        </is>
      </c>
      <c r="B179" s="10" t="inlineStr">
        <is>
          <t>Pretor Vazio-Nove</t>
        </is>
      </c>
      <c r="C179" s="10" t="n">
        <v>0</v>
      </c>
      <c r="D179" s="10" t="n">
        <v>1</v>
      </c>
      <c r="E179" s="10" t="inlineStr">
        <is>
          <t>Ataque</t>
        </is>
      </c>
      <c r="F179" s="10" t="inlineStr">
        <is>
          <t>Canhão de ombro</t>
        </is>
      </c>
      <c r="G179" s="10" t="inlineStr"/>
      <c r="H179" s="10" t="inlineStr">
        <is>
          <t>Canhão de ombro (Longa, Físico): 4d8 + 2 · média 20</t>
        </is>
      </c>
      <c r="I179" s="10" t="inlineStr">
        <is>
          <t xml:space="preserve">Canhão de ombro (Longa, Físico): </t>
        </is>
      </c>
      <c r="J179" s="10" t="inlineStr">
        <is>
          <t>DANO.e</t>
        </is>
      </c>
      <c r="K179" s="10" t="inlineStr"/>
      <c r="L179" s="10" t="inlineStr">
        <is>
          <t xml:space="preserve"> · média </t>
        </is>
      </c>
      <c r="M179" s="10" t="inlineStr">
        <is>
          <t>DANO.m</t>
        </is>
      </c>
      <c r="N179" s="10" t="inlineStr"/>
      <c r="O179" s="10" t="inlineStr"/>
      <c r="P179" s="10" t="inlineStr"/>
      <c r="Q179" s="10" t="inlineStr"/>
      <c r="R179" s="10" t="inlineStr"/>
      <c r="S179" s="10" t="inlineStr"/>
      <c r="T179" s="10" t="inlineStr"/>
      <c r="U179" s="10" t="inlineStr"/>
    </row>
    <row r="180" ht="37" customHeight="1">
      <c r="A180" s="31" t="inlineStr">
        <is>
          <t>Pretor Vazio-Nove|2</t>
        </is>
      </c>
      <c r="B180" s="5" t="inlineStr">
        <is>
          <t>Pretor Vazio-Nove</t>
        </is>
      </c>
      <c r="C180" s="5" t="n">
        <v>0</v>
      </c>
      <c r="D180" s="5" t="n">
        <v>2</v>
      </c>
      <c r="E180" s="5" t="inlineStr">
        <is>
          <t>Ataque</t>
        </is>
      </c>
      <c r="F180" s="5" t="inlineStr">
        <is>
          <t>Lâmina de comando</t>
        </is>
      </c>
      <c r="G180" s="5" t="inlineStr"/>
      <c r="H180" s="5" t="inlineStr">
        <is>
          <t>Lâmina de comando (Pessoal, Físico): 4d8 + 2 · média 20</t>
        </is>
      </c>
      <c r="I180" s="5" t="inlineStr">
        <is>
          <t xml:space="preserve">Lâmina de comando (Pessoal, Físico): </t>
        </is>
      </c>
      <c r="J180" s="5" t="inlineStr">
        <is>
          <t>DANO.e</t>
        </is>
      </c>
      <c r="K180" s="5" t="inlineStr"/>
      <c r="L180" s="5" t="inlineStr">
        <is>
          <t xml:space="preserve"> · média </t>
        </is>
      </c>
      <c r="M180" s="5" t="inlineStr">
        <is>
          <t>DANO.m</t>
        </is>
      </c>
      <c r="N180" s="5" t="inlineStr"/>
      <c r="O180" s="5" t="inlineStr"/>
      <c r="P180" s="5" t="inlineStr"/>
      <c r="Q180" s="5" t="inlineStr"/>
      <c r="R180" s="5" t="inlineStr"/>
      <c r="S180" s="5" t="inlineStr"/>
      <c r="T180" s="5" t="inlineStr"/>
      <c r="U180" s="5" t="inlineStr"/>
    </row>
    <row r="181" ht="150" customHeight="1">
      <c r="A181" s="43" t="inlineStr">
        <is>
          <t>Pretor Vazio-Nove|3</t>
        </is>
      </c>
      <c r="B181" s="10" t="inlineStr">
        <is>
          <t>Pretor Vazio-Nove</t>
        </is>
      </c>
      <c r="C181" s="10" t="n">
        <v>0</v>
      </c>
      <c r="D181" s="10" t="n">
        <v>3</v>
      </c>
      <c r="E181" s="10" t="inlineStr">
        <is>
          <t>Especial</t>
        </is>
      </c>
      <c r="F181" s="10" t="inlineStr">
        <is>
          <t>Salva de antimatéria</t>
        </is>
      </c>
      <c r="G181" s="10" t="n">
        <v>2</v>
      </c>
      <c r="H181" s="10" t="inlineStr">
        <is>
          <t>Salva de antimatéria (recarga 2 Ciclos; ocupa uma das 2 ações do turno): até 3 alvos a até uma Distância um do outro fazem Teste de Reflexos contra DT 16. Quem falha recebe 4d8 + 2 · 20 de dano Físico; quem passa recebe metade do dano.</t>
        </is>
      </c>
      <c r="I181" s="10" t="inlineStr">
        <is>
          <t xml:space="preserve">Salva de antimatéria (recarga 2 Ciclos; ocupa uma das 2 ações do turno): até 3 alvos a até uma Distância um do outro fazem Teste de Reflexos contra DT </t>
        </is>
      </c>
      <c r="J181" s="10" t="inlineStr">
        <is>
          <t>DT</t>
        </is>
      </c>
      <c r="K181" s="10" t="inlineStr"/>
      <c r="L181" s="10" t="inlineStr">
        <is>
          <t xml:space="preserve">. Quem falha recebe </t>
        </is>
      </c>
      <c r="M181" s="10" t="inlineStr">
        <is>
          <t>DANO.e</t>
        </is>
      </c>
      <c r="N181" s="10" t="inlineStr"/>
      <c r="O181" s="10" t="inlineStr">
        <is>
          <t xml:space="preserve"> · </t>
        </is>
      </c>
      <c r="P181" s="10" t="inlineStr">
        <is>
          <t>DANO.m</t>
        </is>
      </c>
      <c r="Q181" s="10" t="inlineStr"/>
      <c r="R181" s="10" t="inlineStr">
        <is>
          <t xml:space="preserve"> de dano Físico; quem passa recebe metade do dano.</t>
        </is>
      </c>
      <c r="S181" s="10" t="inlineStr"/>
      <c r="T181" s="10" t="inlineStr"/>
      <c r="U181" s="10" t="inlineStr"/>
    </row>
    <row r="182" ht="127" customHeight="1">
      <c r="A182" s="31" t="inlineStr">
        <is>
          <t>Pretor Vazio-Nove|4</t>
        </is>
      </c>
      <c r="B182" s="5" t="inlineStr">
        <is>
          <t>Pretor Vazio-Nove</t>
        </is>
      </c>
      <c r="C182" s="5" t="n">
        <v>0</v>
      </c>
      <c r="D182" s="5" t="n">
        <v>4</v>
      </c>
      <c r="E182" s="5" t="inlineStr">
        <is>
          <t>Especial</t>
        </is>
      </c>
      <c r="F182" s="5" t="inlineStr">
        <is>
          <t>Ordem de cerco</t>
        </is>
      </c>
      <c r="G182" s="5" t="n">
        <v>3</v>
      </c>
      <c r="H182" s="5" t="inlineStr">
        <is>
          <t>Ordem de cerco (recarga 3 Ciclos; ocupa uma das 2 ações do turno): 3 Fuzileiros da Legião entram em cena, e todo Fuzileiro presente ganha +1 no Teste de Ataque até o fim do próximo turno do Pretor.</t>
        </is>
      </c>
      <c r="I182" s="5" t="inlineStr">
        <is>
          <t>Ordem de cerco (recarga 3 Ciclos; ocupa uma das 2 ações do turno): 3 Fuzileiros da Legião entram em cena, e todo Fuzileiro presente ganha +1 no Teste de Ataque até o fim do próximo turno do Pretor.</t>
        </is>
      </c>
      <c r="J182" s="5" t="inlineStr"/>
      <c r="K182" s="5" t="inlineStr"/>
      <c r="L182" s="5" t="inlineStr"/>
      <c r="M182" s="5" t="inlineStr"/>
      <c r="N182" s="5" t="inlineStr"/>
      <c r="O182" s="5" t="inlineStr"/>
      <c r="P182" s="5" t="inlineStr"/>
      <c r="Q182" s="5" t="inlineStr"/>
      <c r="R182" s="5" t="inlineStr"/>
      <c r="S182" s="5" t="inlineStr"/>
      <c r="T182" s="5" t="inlineStr"/>
      <c r="U182" s="5" t="inlineStr"/>
    </row>
    <row r="183" ht="105" customHeight="1">
      <c r="A183" s="43" t="inlineStr">
        <is>
          <t>Pretor Vazio-Nove|5</t>
        </is>
      </c>
      <c r="B183" s="10" t="inlineStr">
        <is>
          <t>Pretor Vazio-Nove</t>
        </is>
      </c>
      <c r="C183" s="10" t="n">
        <v>0</v>
      </c>
      <c r="D183" s="10" t="n">
        <v>5</v>
      </c>
      <c r="E183" s="10" t="inlineStr">
        <is>
          <t>Reação</t>
        </is>
      </c>
      <c r="F183" s="10" t="inlineStr">
        <is>
          <t>Retaliação de comando</t>
        </is>
      </c>
      <c r="G183" s="10" t="inlineStr"/>
      <c r="H183" s="10" t="inlineStr">
        <is>
          <t>Retaliação de comando (1 vez por combate, Reação): quando ele sofre Quebra, o personagem que a causou faz Teste de Reflexos contra DT 16 ou recebe 4d8 + 2 · 20 de dano Físico.</t>
        </is>
      </c>
      <c r="I183" s="10" t="inlineStr">
        <is>
          <t xml:space="preserve">Retaliação de comando (1 vez por combate, Reação): quando ele sofre Quebra, o personagem que a causou faz Teste de Reflexos contra DT </t>
        </is>
      </c>
      <c r="J183" s="10" t="inlineStr">
        <is>
          <t>DT</t>
        </is>
      </c>
      <c r="K183" s="10" t="inlineStr"/>
      <c r="L183" s="10" t="inlineStr">
        <is>
          <t xml:space="preserve"> ou recebe </t>
        </is>
      </c>
      <c r="M183" s="10" t="inlineStr">
        <is>
          <t>DANO.e</t>
        </is>
      </c>
      <c r="N183" s="10" t="inlineStr"/>
      <c r="O183" s="10" t="inlineStr">
        <is>
          <t xml:space="preserve"> · </t>
        </is>
      </c>
      <c r="P183" s="10" t="inlineStr">
        <is>
          <t>DANO.m</t>
        </is>
      </c>
      <c r="Q183" s="10" t="inlineStr"/>
      <c r="R183" s="10" t="inlineStr">
        <is>
          <t xml:space="preserve"> de dano Físico.</t>
        </is>
      </c>
      <c r="S183" s="10" t="inlineStr"/>
      <c r="T183" s="10" t="inlineStr"/>
      <c r="U183" s="10" t="inlineStr"/>
    </row>
    <row r="184" ht="26" customHeight="1">
      <c r="A184" s="31" t="inlineStr">
        <is>
          <t>Lanceiro da Frota de Jade|1</t>
        </is>
      </c>
      <c r="B184" s="5" t="inlineStr">
        <is>
          <t>Lanceiro da Frota de Jade</t>
        </is>
      </c>
      <c r="C184" s="5" t="n">
        <v>0</v>
      </c>
      <c r="D184" s="5" t="n">
        <v>1</v>
      </c>
      <c r="E184" s="5" t="inlineStr">
        <is>
          <t>Ataque</t>
        </is>
      </c>
      <c r="F184" s="5" t="inlineStr">
        <is>
          <t>Lança de jade</t>
        </is>
      </c>
      <c r="G184" s="5" t="inlineStr"/>
      <c r="H184" s="5" t="inlineStr">
        <is>
          <t>Lança de jade (Curta, Físico): 2d8 · média 9</t>
        </is>
      </c>
      <c r="I184" s="5" t="inlineStr">
        <is>
          <t xml:space="preserve">Lança de jade (Curta, Físico): </t>
        </is>
      </c>
      <c r="J184" s="5" t="inlineStr">
        <is>
          <t>DANO.e</t>
        </is>
      </c>
      <c r="K184" s="5" t="inlineStr"/>
      <c r="L184" s="5" t="inlineStr">
        <is>
          <t xml:space="preserve"> · média </t>
        </is>
      </c>
      <c r="M184" s="5" t="inlineStr">
        <is>
          <t>DANO.m</t>
        </is>
      </c>
      <c r="N184" s="5" t="inlineStr"/>
      <c r="O184" s="5" t="inlineStr"/>
      <c r="P184" s="5" t="inlineStr"/>
      <c r="Q184" s="5" t="inlineStr"/>
      <c r="R184" s="5" t="inlineStr"/>
      <c r="S184" s="5" t="inlineStr"/>
      <c r="T184" s="5" t="inlineStr"/>
      <c r="U184" s="5" t="inlineStr"/>
    </row>
    <row r="185" ht="37" customHeight="1">
      <c r="A185" s="43" t="inlineStr">
        <is>
          <t>Lanceiro da Frota de Jade|2</t>
        </is>
      </c>
      <c r="B185" s="10" t="inlineStr">
        <is>
          <t>Lanceiro da Frota de Jade</t>
        </is>
      </c>
      <c r="C185" s="10" t="n">
        <v>0</v>
      </c>
      <c r="D185" s="10" t="n">
        <v>2</v>
      </c>
      <c r="E185" s="10" t="inlineStr">
        <is>
          <t>Ataque</t>
        </is>
      </c>
      <c r="F185" s="10" t="inlineStr">
        <is>
          <t>Dardo de contenção</t>
        </is>
      </c>
      <c r="G185" s="10" t="inlineStr"/>
      <c r="H185" s="10" t="inlineStr">
        <is>
          <t>Dardo de contenção (Média, Gelo): 2d8 · média 9</t>
        </is>
      </c>
      <c r="I185" s="10" t="inlineStr">
        <is>
          <t xml:space="preserve">Dardo de contenção (Média, Gelo): </t>
        </is>
      </c>
      <c r="J185" s="10" t="inlineStr">
        <is>
          <t>DANO.e</t>
        </is>
      </c>
      <c r="K185" s="10" t="inlineStr"/>
      <c r="L185" s="10" t="inlineStr">
        <is>
          <t xml:space="preserve"> · média </t>
        </is>
      </c>
      <c r="M185" s="10" t="inlineStr">
        <is>
          <t>DANO.m</t>
        </is>
      </c>
      <c r="N185" s="10" t="inlineStr"/>
      <c r="O185" s="10" t="inlineStr"/>
      <c r="P185" s="10" t="inlineStr"/>
      <c r="Q185" s="10" t="inlineStr"/>
      <c r="R185" s="10" t="inlineStr"/>
      <c r="S185" s="10" t="inlineStr"/>
      <c r="T185" s="10" t="inlineStr"/>
      <c r="U185" s="10" t="inlineStr"/>
    </row>
    <row r="186" ht="82" customHeight="1">
      <c r="A186" s="31" t="inlineStr">
        <is>
          <t>Lanceiro da Frota de Jade|3</t>
        </is>
      </c>
      <c r="B186" s="5" t="inlineStr">
        <is>
          <t>Lanceiro da Frota de Jade</t>
        </is>
      </c>
      <c r="C186" s="5" t="n">
        <v>0</v>
      </c>
      <c r="D186" s="5" t="n">
        <v>3</v>
      </c>
      <c r="E186" s="5" t="inlineStr">
        <is>
          <t>Especial</t>
        </is>
      </c>
      <c r="F186" s="5" t="inlineStr">
        <is>
          <t>Formação de muro</t>
        </is>
      </c>
      <c r="G186" s="5" t="n">
        <v>2</v>
      </c>
      <c r="H186" s="5" t="inlineStr">
        <is>
          <t>Formação de muro (recarga 2 Ciclos): enquanto houver outro Lanceiro a Distância Pessoal dele, os dois ganham RD 2 até o fim do próximo turno dele.</t>
        </is>
      </c>
      <c r="I186" s="5" t="inlineStr">
        <is>
          <t>Formação de muro (recarga 2 Ciclos): enquanto houver outro Lanceiro a Distância Pessoal dele, os dois ganham RD 2 até o fim do próximo turno dele.</t>
        </is>
      </c>
      <c r="J186" s="5" t="inlineStr"/>
      <c r="K186" s="5" t="inlineStr"/>
      <c r="L186" s="5" t="inlineStr"/>
      <c r="M186" s="5" t="inlineStr"/>
      <c r="N186" s="5" t="inlineStr"/>
      <c r="O186" s="5" t="inlineStr"/>
      <c r="P186" s="5" t="inlineStr"/>
      <c r="Q186" s="5" t="inlineStr"/>
      <c r="R186" s="5" t="inlineStr"/>
      <c r="S186" s="5" t="inlineStr"/>
      <c r="T186" s="5" t="inlineStr"/>
      <c r="U186" s="5" t="inlineStr"/>
    </row>
    <row r="187" ht="60" customHeight="1">
      <c r="A187" s="43" t="inlineStr">
        <is>
          <t>Palhaço de Pólvora|1</t>
        </is>
      </c>
      <c r="B187" s="10" t="inlineStr">
        <is>
          <t>Palhaço de Pólvora</t>
        </is>
      </c>
      <c r="C187" s="10" t="n">
        <v>0</v>
      </c>
      <c r="D187" s="10" t="n">
        <v>1</v>
      </c>
      <c r="E187" s="10" t="inlineStr">
        <is>
          <t>Ataque</t>
        </is>
      </c>
      <c r="F187" s="10" t="inlineStr">
        <is>
          <t>Buquê incendiário</t>
        </is>
      </c>
      <c r="G187" s="10" t="inlineStr"/>
      <c r="H187" s="10" t="inlineStr">
        <is>
          <t>Buquê incendiário (Média, Fogo): 2d8 · média 9, e o alvo recebe Queimadura por 2 turnos</t>
        </is>
      </c>
      <c r="I187" s="10" t="inlineStr">
        <is>
          <t xml:space="preserve">Buquê incendiário (Média, Fogo): </t>
        </is>
      </c>
      <c r="J187" s="10" t="inlineStr">
        <is>
          <t>DANO.e</t>
        </is>
      </c>
      <c r="K187" s="10" t="inlineStr"/>
      <c r="L187" s="10" t="inlineStr">
        <is>
          <t xml:space="preserve"> · média </t>
        </is>
      </c>
      <c r="M187" s="10" t="inlineStr">
        <is>
          <t>DANO.m</t>
        </is>
      </c>
      <c r="N187" s="10" t="inlineStr"/>
      <c r="O187" s="10" t="inlineStr">
        <is>
          <t>, e o alvo recebe Queimadura por 2 turnos</t>
        </is>
      </c>
      <c r="P187" s="10" t="inlineStr"/>
      <c r="Q187" s="10" t="inlineStr"/>
      <c r="R187" s="10" t="inlineStr"/>
      <c r="S187" s="10" t="inlineStr"/>
      <c r="T187" s="10" t="inlineStr"/>
      <c r="U187" s="10" t="inlineStr"/>
    </row>
    <row r="188" ht="161" customHeight="1">
      <c r="A188" s="31" t="inlineStr">
        <is>
          <t>Palhaço de Pólvora|2</t>
        </is>
      </c>
      <c r="B188" s="5" t="inlineStr">
        <is>
          <t>Palhaço de Pólvora</t>
        </is>
      </c>
      <c r="C188" s="5" t="n">
        <v>0</v>
      </c>
      <c r="D188" s="5" t="n">
        <v>2</v>
      </c>
      <c r="E188" s="5" t="inlineStr">
        <is>
          <t>Especial</t>
        </is>
      </c>
      <c r="F188" s="5" t="inlineStr">
        <is>
          <t>Troca de lugar</t>
        </is>
      </c>
      <c r="G188" s="5" t="n">
        <v>2</v>
      </c>
      <c r="H188" s="5" t="inlineStr">
        <is>
          <t>Troca de lugar (recarga 2 Ciclos): ele e outro Palhaço de Pólvora da cena trocam de posição e de casa na Fila. Todo efeito que estava marcado contra um passa a valer contra o outro, inclusive Marcado e Vulnerável — mas não Dano Contínuo, que fica em quem o recebeu.</t>
        </is>
      </c>
      <c r="I188" s="5" t="inlineStr">
        <is>
          <t>Troca de lugar (recarga 2 Ciclos): ele e outro Palhaço de Pólvora da cena trocam de posição e de casa na Fila. Todo efeito que estava marcado contra um passa a valer contra o outro, inclusive Marcado e Vulnerável — mas não Dano Contínuo, que fica em quem o recebeu.</t>
        </is>
      </c>
      <c r="J188" s="5" t="inlineStr"/>
      <c r="K188" s="5" t="inlineStr"/>
      <c r="L188" s="5" t="inlineStr"/>
      <c r="M188" s="5" t="inlineStr"/>
      <c r="N188" s="5" t="inlineStr"/>
      <c r="O188" s="5" t="inlineStr"/>
      <c r="P188" s="5" t="inlineStr"/>
      <c r="Q188" s="5" t="inlineStr"/>
      <c r="R188" s="5" t="inlineStr"/>
      <c r="S188" s="5" t="inlineStr"/>
      <c r="T188" s="5" t="inlineStr"/>
      <c r="U188" s="5" t="inlineStr"/>
    </row>
    <row r="189" ht="37" customHeight="1">
      <c r="A189" s="43" t="inlineStr">
        <is>
          <t>Centenário Enlouquecido|1</t>
        </is>
      </c>
      <c r="B189" s="10" t="inlineStr">
        <is>
          <t>Centenário Enlouquecido</t>
        </is>
      </c>
      <c r="C189" s="10" t="n">
        <v>0</v>
      </c>
      <c r="D189" s="10" t="n">
        <v>1</v>
      </c>
      <c r="E189" s="10" t="inlineStr">
        <is>
          <t>Ataque</t>
        </is>
      </c>
      <c r="F189" s="10" t="inlineStr">
        <is>
          <t>Golpe de memória antiga</t>
        </is>
      </c>
      <c r="G189" s="10" t="inlineStr"/>
      <c r="H189" s="10" t="inlineStr">
        <is>
          <t>Golpe de memória antiga (Pessoal, Físico): 2d8 · média 9</t>
        </is>
      </c>
      <c r="I189" s="10" t="inlineStr">
        <is>
          <t xml:space="preserve">Golpe de memória antiga (Pessoal, Físico): </t>
        </is>
      </c>
      <c r="J189" s="10" t="inlineStr">
        <is>
          <t>DANO.e</t>
        </is>
      </c>
      <c r="K189" s="10" t="inlineStr"/>
      <c r="L189" s="10" t="inlineStr">
        <is>
          <t xml:space="preserve"> · média </t>
        </is>
      </c>
      <c r="M189" s="10" t="inlineStr">
        <is>
          <t>DANO.m</t>
        </is>
      </c>
      <c r="N189" s="10" t="inlineStr"/>
      <c r="O189" s="10" t="inlineStr"/>
      <c r="P189" s="10" t="inlineStr"/>
      <c r="Q189" s="10" t="inlineStr"/>
      <c r="R189" s="10" t="inlineStr"/>
      <c r="S189" s="10" t="inlineStr"/>
      <c r="T189" s="10" t="inlineStr"/>
      <c r="U189" s="10" t="inlineStr"/>
    </row>
    <row r="190" ht="116" customHeight="1">
      <c r="A190" s="31" t="inlineStr">
        <is>
          <t>Centenário Enlouquecido|2</t>
        </is>
      </c>
      <c r="B190" s="5" t="inlineStr">
        <is>
          <t>Centenário Enlouquecido</t>
        </is>
      </c>
      <c r="C190" s="5" t="n">
        <v>0</v>
      </c>
      <c r="D190" s="5" t="n">
        <v>2</v>
      </c>
      <c r="E190" s="5" t="inlineStr">
        <is>
          <t>Especial</t>
        </is>
      </c>
      <c r="F190" s="5" t="inlineStr">
        <is>
          <t>Lembrança alheia</t>
        </is>
      </c>
      <c r="G190" s="5" t="n">
        <v>2</v>
      </c>
      <c r="H190" s="5" t="inlineStr">
        <is>
          <t>Lembrança alheia (recarga 2 Ciclos): um alvo a até Distância Média faz Teste de Resistência Mental contra DT 16. Se falhar, recebe 2d8 · 9 de dano Imaginário e fica Silenciado por 1 turno.</t>
        </is>
      </c>
      <c r="I190" s="5" t="inlineStr">
        <is>
          <t xml:space="preserve">Lembrança alheia (recarga 2 Ciclos): um alvo a até Distância Média faz Teste de Resistência Mental contra DT </t>
        </is>
      </c>
      <c r="J190" s="5" t="inlineStr">
        <is>
          <t>DT</t>
        </is>
      </c>
      <c r="K190" s="5" t="inlineStr"/>
      <c r="L190" s="5" t="inlineStr">
        <is>
          <t xml:space="preserve">. Se falhar, recebe </t>
        </is>
      </c>
      <c r="M190" s="5" t="inlineStr">
        <is>
          <t>DANO.e</t>
        </is>
      </c>
      <c r="N190" s="5" t="inlineStr"/>
      <c r="O190" s="5" t="inlineStr">
        <is>
          <t xml:space="preserve"> · </t>
        </is>
      </c>
      <c r="P190" s="5" t="inlineStr">
        <is>
          <t>DANO.m</t>
        </is>
      </c>
      <c r="Q190" s="5" t="inlineStr"/>
      <c r="R190" s="5" t="inlineStr">
        <is>
          <t xml:space="preserve"> de dano Imaginário e fica Silenciado por 1 turno.</t>
        </is>
      </c>
      <c r="S190" s="5" t="inlineStr"/>
      <c r="T190" s="5" t="inlineStr"/>
      <c r="U190" s="5" t="inlineStr"/>
    </row>
    <row r="191" ht="37" customHeight="1">
      <c r="A191" s="43" t="inlineStr">
        <is>
          <t>Oficial-Lâmina da Frota de Jade|1</t>
        </is>
      </c>
      <c r="B191" s="10" t="inlineStr">
        <is>
          <t>Oficial-Lâmina da Frota de Jade</t>
        </is>
      </c>
      <c r="C191" s="10" t="n">
        <v>0</v>
      </c>
      <c r="D191" s="10" t="n">
        <v>1</v>
      </c>
      <c r="E191" s="10" t="inlineStr">
        <is>
          <t>Ataque</t>
        </is>
      </c>
      <c r="F191" s="10" t="inlineStr">
        <is>
          <t>Corte em arco</t>
        </is>
      </c>
      <c r="G191" s="10" t="inlineStr"/>
      <c r="H191" s="10" t="inlineStr">
        <is>
          <t>Corte em arco (Pessoal, Físico): 4d8 + 1 · média 19</t>
        </is>
      </c>
      <c r="I191" s="10" t="inlineStr">
        <is>
          <t xml:space="preserve">Corte em arco (Pessoal, Físico): </t>
        </is>
      </c>
      <c r="J191" s="10" t="inlineStr">
        <is>
          <t>DANO.e</t>
        </is>
      </c>
      <c r="K191" s="10" t="inlineStr"/>
      <c r="L191" s="10" t="inlineStr">
        <is>
          <t xml:space="preserve"> · média </t>
        </is>
      </c>
      <c r="M191" s="10" t="inlineStr">
        <is>
          <t>DANO.m</t>
        </is>
      </c>
      <c r="N191" s="10" t="inlineStr"/>
      <c r="O191" s="10" t="inlineStr"/>
      <c r="P191" s="10" t="inlineStr"/>
      <c r="Q191" s="10" t="inlineStr"/>
      <c r="R191" s="10" t="inlineStr"/>
      <c r="S191" s="10" t="inlineStr"/>
      <c r="T191" s="10" t="inlineStr"/>
      <c r="U191" s="10" t="inlineStr"/>
    </row>
    <row r="192" ht="37" customHeight="1">
      <c r="A192" s="31" t="inlineStr">
        <is>
          <t>Oficial-Lâmina da Frota de Jade|2</t>
        </is>
      </c>
      <c r="B192" s="5" t="inlineStr">
        <is>
          <t>Oficial-Lâmina da Frota de Jade</t>
        </is>
      </c>
      <c r="C192" s="5" t="n">
        <v>0</v>
      </c>
      <c r="D192" s="5" t="n">
        <v>2</v>
      </c>
      <c r="E192" s="5" t="inlineStr">
        <is>
          <t>Ataque</t>
        </is>
      </c>
      <c r="F192" s="5" t="inlineStr">
        <is>
          <t>Estocada longa</t>
        </is>
      </c>
      <c r="G192" s="5" t="inlineStr"/>
      <c r="H192" s="5" t="inlineStr">
        <is>
          <t>Estocada longa (Curta, Físico): 4d8 + 1 · média 19</t>
        </is>
      </c>
      <c r="I192" s="5" t="inlineStr">
        <is>
          <t xml:space="preserve">Estocada longa (Curta, Físico): </t>
        </is>
      </c>
      <c r="J192" s="5" t="inlineStr">
        <is>
          <t>DANO.e</t>
        </is>
      </c>
      <c r="K192" s="5" t="inlineStr"/>
      <c r="L192" s="5" t="inlineStr">
        <is>
          <t xml:space="preserve"> · média </t>
        </is>
      </c>
      <c r="M192" s="5" t="inlineStr">
        <is>
          <t>DANO.m</t>
        </is>
      </c>
      <c r="N192" s="5" t="inlineStr"/>
      <c r="O192" s="5" t="inlineStr"/>
      <c r="P192" s="5" t="inlineStr"/>
      <c r="Q192" s="5" t="inlineStr"/>
      <c r="R192" s="5" t="inlineStr"/>
      <c r="S192" s="5" t="inlineStr"/>
      <c r="T192" s="5" t="inlineStr"/>
      <c r="U192" s="5" t="inlineStr"/>
    </row>
    <row r="193" ht="138" customHeight="1">
      <c r="A193" s="43" t="inlineStr">
        <is>
          <t>Oficial-Lâmina da Frota de Jade|3</t>
        </is>
      </c>
      <c r="B193" s="10" t="inlineStr">
        <is>
          <t>Oficial-Lâmina da Frota de Jade</t>
        </is>
      </c>
      <c r="C193" s="10" t="n">
        <v>0</v>
      </c>
      <c r="D193" s="10" t="n">
        <v>3</v>
      </c>
      <c r="E193" s="10" t="inlineStr">
        <is>
          <t>Especial</t>
        </is>
      </c>
      <c r="F193" s="10" t="inlineStr">
        <is>
          <t>Sentença</t>
        </is>
      </c>
      <c r="G193" s="10" t="n">
        <v>2</v>
      </c>
      <c r="H193" s="10" t="inlineStr">
        <is>
          <t>Sentença (recarga 2 Ciclos): ela declara um alvo. Até o fim do combate, ela só ataca esse alvo enquanto ele estiver de pé, e os ataques dela contra ele somam +2 no Teste de Ataque. Em troca, ela não usa nenhuma outra ação especial contra mais ninguém.</t>
        </is>
      </c>
      <c r="I193" s="10" t="inlineStr">
        <is>
          <t>Sentença (recarga 2 Ciclos): ela declara um alvo. Até o fim do combate, ela só ataca esse alvo enquanto ele estiver de pé, e os ataques dela contra ele somam +2 no Teste de Ataque. Em troca, ela não usa nenhuma outra ação especial contra mais ninguém.</t>
        </is>
      </c>
      <c r="J193" s="10" t="inlineStr"/>
      <c r="K193" s="10" t="inlineStr"/>
      <c r="L193" s="10" t="inlineStr"/>
      <c r="M193" s="10" t="inlineStr"/>
      <c r="N193" s="10" t="inlineStr"/>
      <c r="O193" s="10" t="inlineStr"/>
      <c r="P193" s="10" t="inlineStr"/>
      <c r="Q193" s="10" t="inlineStr"/>
      <c r="R193" s="10" t="inlineStr"/>
      <c r="S193" s="10" t="inlineStr"/>
      <c r="T193" s="10" t="inlineStr"/>
      <c r="U193" s="10" t="inlineStr"/>
    </row>
    <row r="194" ht="138" customHeight="1">
      <c r="A194" s="31" t="inlineStr">
        <is>
          <t>Oficial-Lâmina da Frota de Jade|4</t>
        </is>
      </c>
      <c r="B194" s="5" t="inlineStr">
        <is>
          <t>Oficial-Lâmina da Frota de Jade</t>
        </is>
      </c>
      <c r="C194" s="5" t="n">
        <v>0</v>
      </c>
      <c r="D194" s="5" t="n">
        <v>4</v>
      </c>
      <c r="E194" s="5" t="inlineStr">
        <is>
          <t>Especial</t>
        </is>
      </c>
      <c r="F194" s="5" t="inlineStr">
        <is>
          <t>Lâmina de encerramento</t>
        </is>
      </c>
      <c r="G194" s="5" t="n">
        <v>3</v>
      </c>
      <c r="H194" s="5" t="inlineStr">
        <is>
          <t>Lâmina de encerramento (recarga 3 Ciclos): contra o alvo da Sentença, um ataque de 5d10 + 1 · média 28 de dano Físico. Se o alvo cair a 0 PV com esse ataque, ela recua um passo e espera — a frota executa sentença, não cadáver.</t>
        </is>
      </c>
      <c r="I194" s="5" t="inlineStr">
        <is>
          <t xml:space="preserve">Lâmina de encerramento (recarga 3 Ciclos): contra o alvo da Sentença, um ataque de </t>
        </is>
      </c>
      <c r="J194" s="5" t="inlineStr">
        <is>
          <t>DANO15.e</t>
        </is>
      </c>
      <c r="K194" s="5" t="inlineStr"/>
      <c r="L194" s="5" t="inlineStr">
        <is>
          <t xml:space="preserve"> · média </t>
        </is>
      </c>
      <c r="M194" s="5" t="inlineStr">
        <is>
          <t>DANO15.m</t>
        </is>
      </c>
      <c r="N194" s="5" t="inlineStr"/>
      <c r="O194" s="5" t="inlineStr">
        <is>
          <t xml:space="preserve"> de dano Físico. Se o alvo cair a 0 PV com esse ataque, ela recua um passo e espera — a frota executa sentença, não cadáver.</t>
        </is>
      </c>
      <c r="P194" s="5" t="inlineStr"/>
      <c r="Q194" s="5" t="inlineStr"/>
      <c r="R194" s="5" t="inlineStr"/>
      <c r="S194" s="5" t="inlineStr"/>
      <c r="T194" s="5" t="inlineStr"/>
      <c r="U194" s="5" t="inlineStr"/>
    </row>
    <row r="195" ht="37" customHeight="1">
      <c r="A195" s="43" t="inlineStr">
        <is>
          <t>Mestre de Cerimônias Mascarado|1</t>
        </is>
      </c>
      <c r="B195" s="10" t="inlineStr">
        <is>
          <t>Mestre de Cerimônias Mascarado</t>
        </is>
      </c>
      <c r="C195" s="10" t="n">
        <v>0</v>
      </c>
      <c r="D195" s="10" t="n">
        <v>1</v>
      </c>
      <c r="E195" s="10" t="inlineStr">
        <is>
          <t>Ataque</t>
        </is>
      </c>
      <c r="F195" s="10" t="inlineStr">
        <is>
          <t>Bengala-estoque</t>
        </is>
      </c>
      <c r="G195" s="10" t="inlineStr"/>
      <c r="H195" s="10" t="inlineStr">
        <is>
          <t>Bengala-estoque (Pessoal, Quântico): 4d8 + 1 · média 19</t>
        </is>
      </c>
      <c r="I195" s="10" t="inlineStr">
        <is>
          <t xml:space="preserve">Bengala-estoque (Pessoal, Quântico): </t>
        </is>
      </c>
      <c r="J195" s="10" t="inlineStr">
        <is>
          <t>DANO.e</t>
        </is>
      </c>
      <c r="K195" s="10" t="inlineStr"/>
      <c r="L195" s="10" t="inlineStr">
        <is>
          <t xml:space="preserve"> · média </t>
        </is>
      </c>
      <c r="M195" s="10" t="inlineStr">
        <is>
          <t>DANO.m</t>
        </is>
      </c>
      <c r="N195" s="10" t="inlineStr"/>
      <c r="O195" s="10" t="inlineStr"/>
      <c r="P195" s="10" t="inlineStr"/>
      <c r="Q195" s="10" t="inlineStr"/>
      <c r="R195" s="10" t="inlineStr"/>
      <c r="S195" s="10" t="inlineStr"/>
      <c r="T195" s="10" t="inlineStr"/>
      <c r="U195" s="10" t="inlineStr"/>
    </row>
    <row r="196" ht="37" customHeight="1">
      <c r="A196" s="31" t="inlineStr">
        <is>
          <t>Mestre de Cerimônias Mascarado|2</t>
        </is>
      </c>
      <c r="B196" s="5" t="inlineStr">
        <is>
          <t>Mestre de Cerimônias Mascarado</t>
        </is>
      </c>
      <c r="C196" s="5" t="n">
        <v>0</v>
      </c>
      <c r="D196" s="5" t="n">
        <v>2</v>
      </c>
      <c r="E196" s="5" t="inlineStr">
        <is>
          <t>Ataque</t>
        </is>
      </c>
      <c r="F196" s="5" t="inlineStr">
        <is>
          <t>Confete cortante</t>
        </is>
      </c>
      <c r="G196" s="5" t="inlineStr"/>
      <c r="H196" s="5" t="inlineStr">
        <is>
          <t>Confete cortante (Média, Vento): 4d8 + 1 · média 19</t>
        </is>
      </c>
      <c r="I196" s="5" t="inlineStr">
        <is>
          <t xml:space="preserve">Confete cortante (Média, Vento): </t>
        </is>
      </c>
      <c r="J196" s="5" t="inlineStr">
        <is>
          <t>DANO.e</t>
        </is>
      </c>
      <c r="K196" s="5" t="inlineStr"/>
      <c r="L196" s="5" t="inlineStr">
        <is>
          <t xml:space="preserve"> · média </t>
        </is>
      </c>
      <c r="M196" s="5" t="inlineStr">
        <is>
          <t>DANO.m</t>
        </is>
      </c>
      <c r="N196" s="5" t="inlineStr"/>
      <c r="O196" s="5" t="inlineStr"/>
      <c r="P196" s="5" t="inlineStr"/>
      <c r="Q196" s="5" t="inlineStr"/>
      <c r="R196" s="5" t="inlineStr"/>
      <c r="S196" s="5" t="inlineStr"/>
      <c r="T196" s="5" t="inlineStr"/>
      <c r="U196" s="5" t="inlineStr"/>
    </row>
    <row r="197" ht="161" customHeight="1">
      <c r="A197" s="43" t="inlineStr">
        <is>
          <t>Mestre de Cerimônias Mascarado|3</t>
        </is>
      </c>
      <c r="B197" s="10" t="inlineStr">
        <is>
          <t>Mestre de Cerimônias Mascarado</t>
        </is>
      </c>
      <c r="C197" s="10" t="n">
        <v>0</v>
      </c>
      <c r="D197" s="10" t="n">
        <v>3</v>
      </c>
      <c r="E197" s="10" t="inlineStr">
        <is>
          <t>Especial</t>
        </is>
      </c>
      <c r="F197" s="10" t="inlineStr">
        <is>
          <t>Deixa!</t>
        </is>
      </c>
      <c r="G197" s="10" t="n">
        <v>2</v>
      </c>
      <c r="H197" s="10" t="inlineStr">
        <is>
          <t>Deixa! (recarga 2 Ciclos): um alvo faz Teste de Força de Vontade contra DT 17. Se falhar, fica Controlado por 1 turno (capítulo 21) — ele age no turno dele, com Ataque Básico, Ação de Movimento e Ação Complementar, sob a direção do Mestre de Cerimônias, e não gasta recurso nenhum.</t>
        </is>
      </c>
      <c r="I197" s="10" t="inlineStr">
        <is>
          <t xml:space="preserve">Deixa! (recarga 2 Ciclos): um alvo faz Teste de Força de Vontade contra DT </t>
        </is>
      </c>
      <c r="J197" s="10" t="inlineStr">
        <is>
          <t>DT</t>
        </is>
      </c>
      <c r="K197" s="10" t="inlineStr"/>
      <c r="L197" s="10" t="inlineStr">
        <is>
          <t>. Se falhar, fica Controlado por 1 turno (capítulo 21) — ele age no turno dele, com Ataque Básico, Ação de Movimento e Ação Complementar, sob a direção do Mestre de Cerimônias, e não gasta recurso nenhum.</t>
        </is>
      </c>
      <c r="M197" s="10" t="inlineStr"/>
      <c r="N197" s="10" t="inlineStr"/>
      <c r="O197" s="10" t="inlineStr"/>
      <c r="P197" s="10" t="inlineStr"/>
      <c r="Q197" s="10" t="inlineStr"/>
      <c r="R197" s="10" t="inlineStr"/>
      <c r="S197" s="10" t="inlineStr"/>
      <c r="T197" s="10" t="inlineStr"/>
      <c r="U197" s="10" t="inlineStr"/>
    </row>
    <row r="198" ht="150" customHeight="1">
      <c r="A198" s="31" t="inlineStr">
        <is>
          <t>Mestre de Cerimônias Mascarado|4</t>
        </is>
      </c>
      <c r="B198" s="5" t="inlineStr">
        <is>
          <t>Mestre de Cerimônias Mascarado</t>
        </is>
      </c>
      <c r="C198" s="5" t="n">
        <v>0</v>
      </c>
      <c r="D198" s="5" t="n">
        <v>4</v>
      </c>
      <c r="E198" s="5" t="inlineStr">
        <is>
          <t>Especial</t>
        </is>
      </c>
      <c r="F198" s="5" t="inlineStr">
        <is>
          <t>Chuva de improviso</t>
        </is>
      </c>
      <c r="G198" s="5" t="n">
        <v>3</v>
      </c>
      <c r="H198" s="5" t="inlineStr">
        <is>
          <t>Chuva de improviso (recarga 3 Ciclos): até 3 alvos a até uma Distância um do outro fazem Teste de Reflexos contra DT 17. Quem falha recebe 4d8 + 1 · 19 de dano Vento e Cisalhamento de Vento com 2 acúmulos; quem passa recebe metade do dano.</t>
        </is>
      </c>
      <c r="I198" s="5" t="inlineStr">
        <is>
          <t xml:space="preserve">Chuva de improviso (recarga 3 Ciclos): até 3 alvos a até uma Distância um do outro fazem Teste de Reflexos contra DT </t>
        </is>
      </c>
      <c r="J198" s="5" t="inlineStr">
        <is>
          <t>DT</t>
        </is>
      </c>
      <c r="K198" s="5" t="inlineStr"/>
      <c r="L198" s="5" t="inlineStr">
        <is>
          <t xml:space="preserve">. Quem falha recebe </t>
        </is>
      </c>
      <c r="M198" s="5" t="inlineStr">
        <is>
          <t>DANO.e</t>
        </is>
      </c>
      <c r="N198" s="5" t="inlineStr"/>
      <c r="O198" s="5" t="inlineStr">
        <is>
          <t xml:space="preserve"> · </t>
        </is>
      </c>
      <c r="P198" s="5" t="inlineStr">
        <is>
          <t>DANO.m</t>
        </is>
      </c>
      <c r="Q198" s="5" t="inlineStr"/>
      <c r="R198" s="5" t="inlineStr">
        <is>
          <t xml:space="preserve"> de dano Vento e Cisalhamento de Vento com 2 acúmulos; quem passa recebe metade do dano.</t>
        </is>
      </c>
      <c r="S198" s="5" t="inlineStr"/>
      <c r="T198" s="5" t="inlineStr"/>
      <c r="U198" s="5" t="inlineStr"/>
    </row>
    <row r="199" ht="37" customHeight="1">
      <c r="A199" s="43" t="inlineStr">
        <is>
          <t>O Dramaturgo de Mil Faces|1</t>
        </is>
      </c>
      <c r="B199" s="10" t="inlineStr">
        <is>
          <t>O Dramaturgo de Mil Faces</t>
        </is>
      </c>
      <c r="C199" s="10" t="n">
        <v>1</v>
      </c>
      <c r="D199" s="10" t="n">
        <v>1</v>
      </c>
      <c r="E199" s="10" t="inlineStr">
        <is>
          <t>Ataque</t>
        </is>
      </c>
      <c r="F199" s="10" t="inlineStr">
        <is>
          <t>Vara de contrarregra</t>
        </is>
      </c>
      <c r="G199" s="10" t="inlineStr"/>
      <c r="H199" s="10" t="inlineStr">
        <is>
          <t>Vara de contrarregra (Curta, Imaginário): 5d10 + 1 · média 28</t>
        </is>
      </c>
      <c r="I199" s="10" t="inlineStr">
        <is>
          <t xml:space="preserve">Vara de contrarregra (Curta, Imaginário): </t>
        </is>
      </c>
      <c r="J199" s="10" t="inlineStr">
        <is>
          <t>DANO.e</t>
        </is>
      </c>
      <c r="K199" s="10" t="inlineStr"/>
      <c r="L199" s="10" t="inlineStr">
        <is>
          <t xml:space="preserve"> · média </t>
        </is>
      </c>
      <c r="M199" s="10" t="inlineStr">
        <is>
          <t>DANO.m</t>
        </is>
      </c>
      <c r="N199" s="10" t="inlineStr"/>
      <c r="O199" s="10" t="inlineStr"/>
      <c r="P199" s="10" t="inlineStr"/>
      <c r="Q199" s="10" t="inlineStr"/>
      <c r="R199" s="10" t="inlineStr"/>
      <c r="S199" s="10" t="inlineStr"/>
      <c r="T199" s="10" t="inlineStr"/>
      <c r="U199" s="10" t="inlineStr"/>
    </row>
    <row r="200" ht="37" customHeight="1">
      <c r="A200" s="31" t="inlineStr">
        <is>
          <t>O Dramaturgo de Mil Faces|2</t>
        </is>
      </c>
      <c r="B200" s="5" t="inlineStr">
        <is>
          <t>O Dramaturgo de Mil Faces</t>
        </is>
      </c>
      <c r="C200" s="5" t="n">
        <v>1</v>
      </c>
      <c r="D200" s="5" t="n">
        <v>2</v>
      </c>
      <c r="E200" s="5" t="inlineStr">
        <is>
          <t>Ataque</t>
        </is>
      </c>
      <c r="F200" s="5" t="inlineStr">
        <is>
          <t>Aplauso dirigido</t>
        </is>
      </c>
      <c r="G200" s="5" t="inlineStr"/>
      <c r="H200" s="5" t="inlineStr">
        <is>
          <t>Aplauso dirigido (Longa, Quântico): 5d10 + 1 · média 28</t>
        </is>
      </c>
      <c r="I200" s="5" t="inlineStr">
        <is>
          <t xml:space="preserve">Aplauso dirigido (Longa, Quântico): </t>
        </is>
      </c>
      <c r="J200" s="5" t="inlineStr">
        <is>
          <t>DANO.e</t>
        </is>
      </c>
      <c r="K200" s="5" t="inlineStr"/>
      <c r="L200" s="5" t="inlineStr">
        <is>
          <t xml:space="preserve"> · média </t>
        </is>
      </c>
      <c r="M200" s="5" t="inlineStr">
        <is>
          <t>DANO.m</t>
        </is>
      </c>
      <c r="N200" s="5" t="inlineStr"/>
      <c r="O200" s="5" t="inlineStr"/>
      <c r="P200" s="5" t="inlineStr"/>
      <c r="Q200" s="5" t="inlineStr"/>
      <c r="R200" s="5" t="inlineStr"/>
      <c r="S200" s="5" t="inlineStr"/>
      <c r="T200" s="5" t="inlineStr"/>
      <c r="U200" s="5" t="inlineStr"/>
    </row>
    <row r="201" ht="206" customHeight="1">
      <c r="A201" s="43" t="inlineStr">
        <is>
          <t>O Dramaturgo de Mil Faces|3</t>
        </is>
      </c>
      <c r="B201" s="10" t="inlineStr">
        <is>
          <t>O Dramaturgo de Mil Faces</t>
        </is>
      </c>
      <c r="C201" s="10" t="n">
        <v>1</v>
      </c>
      <c r="D201" s="10" t="n">
        <v>3</v>
      </c>
      <c r="E201" s="10" t="inlineStr">
        <is>
          <t>Especial</t>
        </is>
      </c>
      <c r="F201" s="10" t="inlineStr">
        <is>
          <t>Entra o dublê</t>
        </is>
      </c>
      <c r="G201" s="10" t="n">
        <v>3</v>
      </c>
      <c r="H201" s="10" t="inlineStr">
        <is>
          <t>Entra o dublê (recarga 3 Ciclos; ocupa uma das 2 ações do turno): 2 Palhaços de Pólvora entram na cena. Enquanto houver pelo menos um deles de pé, todo ataque de alvo único contra o Dramaturgo exige um Teste de Percepção Mental contra DT 18 antes da rolagem; quem falha acerta um Palhaço em vez dele, resolvendo o ataque contra a ficha do Palhaço.</t>
        </is>
      </c>
      <c r="I201" s="10" t="inlineStr">
        <is>
          <t xml:space="preserve">Entra o dublê (recarga 3 Ciclos; ocupa uma das 2 ações do turno): 2 Palhaços de Pólvora entram na cena. Enquanto houver pelo menos um deles de pé, todo ataque de alvo único contra o Dramaturgo exige um Teste de Percepção Mental contra DT </t>
        </is>
      </c>
      <c r="J201" s="10" t="inlineStr">
        <is>
          <t>DT</t>
        </is>
      </c>
      <c r="K201" s="10" t="inlineStr"/>
      <c r="L201" s="10" t="inlineStr">
        <is>
          <t xml:space="preserve"> antes da rolagem; quem falha acerta um Palhaço em vez dele, resolvendo o ataque contra a ficha do Palhaço.</t>
        </is>
      </c>
      <c r="M201" s="10" t="inlineStr"/>
      <c r="N201" s="10" t="inlineStr"/>
      <c r="O201" s="10" t="inlineStr"/>
      <c r="P201" s="10" t="inlineStr"/>
      <c r="Q201" s="10" t="inlineStr"/>
      <c r="R201" s="10" t="inlineStr"/>
      <c r="S201" s="10" t="inlineStr"/>
      <c r="T201" s="10" t="inlineStr"/>
      <c r="U201" s="10" t="inlineStr"/>
    </row>
    <row r="202" ht="116" customHeight="1">
      <c r="A202" s="31" t="inlineStr">
        <is>
          <t>O Dramaturgo de Mil Faces|4</t>
        </is>
      </c>
      <c r="B202" s="5" t="inlineStr">
        <is>
          <t>O Dramaturgo de Mil Faces</t>
        </is>
      </c>
      <c r="C202" s="5" t="n">
        <v>1</v>
      </c>
      <c r="D202" s="5" t="n">
        <v>4</v>
      </c>
      <c r="E202" s="5" t="inlineStr">
        <is>
          <t>Especial</t>
        </is>
      </c>
      <c r="F202" s="5" t="inlineStr">
        <is>
          <t>Reviravolta</t>
        </is>
      </c>
      <c r="G202" s="5" t="n">
        <v>2</v>
      </c>
      <c r="H202" s="5" t="inlineStr">
        <is>
          <t>Reviravolta (recarga 2 Ciclos; ocupa uma das 2 ações do turno): ele Avança ele mesmo em 2 casas (capítulo 19) e um alvo faz Teste de Resistência Mental contra DT 18 ou fica Vulnerável por 2 turnos.</t>
        </is>
      </c>
      <c r="I202" s="5" t="inlineStr">
        <is>
          <t xml:space="preserve">Reviravolta (recarga 2 Ciclos; ocupa uma das 2 ações do turno): ele Avança ele mesmo em 2 casas (capítulo 19) e um alvo faz Teste de Resistência Mental contra DT </t>
        </is>
      </c>
      <c r="J202" s="5" t="inlineStr">
        <is>
          <t>DT</t>
        </is>
      </c>
      <c r="K202" s="5" t="inlineStr"/>
      <c r="L202" s="5" t="inlineStr">
        <is>
          <t xml:space="preserve"> ou fica Vulnerável por 2 turnos.</t>
        </is>
      </c>
      <c r="M202" s="5" t="inlineStr"/>
      <c r="N202" s="5" t="inlineStr"/>
      <c r="O202" s="5" t="inlineStr"/>
      <c r="P202" s="5" t="inlineStr"/>
      <c r="Q202" s="5" t="inlineStr"/>
      <c r="R202" s="5" t="inlineStr"/>
      <c r="S202" s="5" t="inlineStr"/>
      <c r="T202" s="5" t="inlineStr"/>
      <c r="U202" s="5" t="inlineStr"/>
    </row>
    <row r="203" ht="37" customHeight="1">
      <c r="A203" s="43" t="inlineStr">
        <is>
          <t>O Dramaturgo de Mil Faces|5</t>
        </is>
      </c>
      <c r="B203" s="10" t="inlineStr">
        <is>
          <t>O Dramaturgo de Mil Faces</t>
        </is>
      </c>
      <c r="C203" s="10" t="n">
        <v>2</v>
      </c>
      <c r="D203" s="10" t="n">
        <v>5</v>
      </c>
      <c r="E203" s="10" t="inlineStr">
        <is>
          <t>Ataque</t>
        </is>
      </c>
      <c r="F203" s="10" t="inlineStr">
        <is>
          <t>Vara de contrarregra</t>
        </is>
      </c>
      <c r="G203" s="10" t="inlineStr"/>
      <c r="H203" s="10" t="inlineStr">
        <is>
          <t>Vara de contrarregra (Curta, Imaginário): 5d10 + 1 · média 28</t>
        </is>
      </c>
      <c r="I203" s="10" t="inlineStr">
        <is>
          <t xml:space="preserve">Vara de contrarregra (Curta, Imaginário): </t>
        </is>
      </c>
      <c r="J203" s="10" t="inlineStr">
        <is>
          <t>DANO.e</t>
        </is>
      </c>
      <c r="K203" s="10" t="inlineStr"/>
      <c r="L203" s="10" t="inlineStr">
        <is>
          <t xml:space="preserve"> · média </t>
        </is>
      </c>
      <c r="M203" s="10" t="inlineStr">
        <is>
          <t>DANO.m</t>
        </is>
      </c>
      <c r="N203" s="10" t="inlineStr"/>
      <c r="O203" s="10" t="inlineStr"/>
      <c r="P203" s="10" t="inlineStr"/>
      <c r="Q203" s="10" t="inlineStr"/>
      <c r="R203" s="10" t="inlineStr"/>
      <c r="S203" s="10" t="inlineStr"/>
      <c r="T203" s="10" t="inlineStr"/>
      <c r="U203" s="10" t="inlineStr"/>
    </row>
    <row r="204" ht="161" customHeight="1">
      <c r="A204" s="31" t="inlineStr">
        <is>
          <t>O Dramaturgo de Mil Faces|6</t>
        </is>
      </c>
      <c r="B204" s="5" t="inlineStr">
        <is>
          <t>O Dramaturgo de Mil Faces</t>
        </is>
      </c>
      <c r="C204" s="5" t="n">
        <v>2</v>
      </c>
      <c r="D204" s="5" t="n">
        <v>6</v>
      </c>
      <c r="E204" s="5" t="inlineStr">
        <is>
          <t>Especial</t>
        </is>
      </c>
      <c r="F204" s="5" t="inlineStr">
        <is>
          <t>Plateia vazia</t>
        </is>
      </c>
      <c r="G204" s="5" t="n">
        <v>0</v>
      </c>
      <c r="H204" s="5" t="inlineStr">
        <is>
          <t>Plateia vazia (ação especial, sem recarga): todos os personagens a até uma Distância um do outro, até 3, fazem Teste de Força de Vontade contra DT 18. Quem falha recebe 5d10 + 1 · 28 de dano Imaginário e fica Silenciado por 1 turno; quem passa recebe metade do dano e nada mais.</t>
        </is>
      </c>
      <c r="I204" s="5" t="inlineStr">
        <is>
          <t xml:space="preserve">Plateia vazia (ação especial, sem recarga): todos os personagens a até uma Distância um do outro, até 3, fazem Teste de Força de Vontade contra DT </t>
        </is>
      </c>
      <c r="J204" s="5" t="inlineStr">
        <is>
          <t>DT</t>
        </is>
      </c>
      <c r="K204" s="5" t="inlineStr"/>
      <c r="L204" s="5" t="inlineStr">
        <is>
          <t xml:space="preserve">. Quem falha recebe </t>
        </is>
      </c>
      <c r="M204" s="5" t="inlineStr">
        <is>
          <t>DANO.e</t>
        </is>
      </c>
      <c r="N204" s="5" t="inlineStr"/>
      <c r="O204" s="5" t="inlineStr">
        <is>
          <t xml:space="preserve"> · </t>
        </is>
      </c>
      <c r="P204" s="5" t="inlineStr">
        <is>
          <t>DANO.m</t>
        </is>
      </c>
      <c r="Q204" s="5" t="inlineStr"/>
      <c r="R204" s="5" t="inlineStr">
        <is>
          <t xml:space="preserve"> de dano Imaginário e fica Silenciado por 1 turno; quem passa recebe metade do dano e nada mais.</t>
        </is>
      </c>
      <c r="S204" s="5" t="inlineStr"/>
      <c r="T204" s="5" t="inlineStr"/>
      <c r="U204" s="5" t="inlineStr"/>
    </row>
    <row r="205" ht="150" customHeight="1">
      <c r="A205" s="43" t="inlineStr">
        <is>
          <t>O Dramaturgo de Mil Faces|7</t>
        </is>
      </c>
      <c r="B205" s="10" t="inlineStr">
        <is>
          <t>O Dramaturgo de Mil Faces</t>
        </is>
      </c>
      <c r="C205" s="10" t="n">
        <v>2</v>
      </c>
      <c r="D205" s="10" t="n">
        <v>7</v>
      </c>
      <c r="E205" s="10" t="inlineStr">
        <is>
          <t>Gatilho</t>
        </is>
      </c>
      <c r="F205" s="10" t="inlineStr">
        <is>
          <t>A última fala</t>
        </is>
      </c>
      <c r="G205" s="10" t="inlineStr"/>
      <c r="H205" s="10" t="inlineStr">
        <is>
          <t>A última fala (1 vez por combate, quando ele chega a 145 PV ou menos; ocupa a ação especial do turno): ele Avança em 2 casas, e até 3 alvos fazem Teste de Resistência Mental contra DT 18 ou recebem 7d10 + 4 · média 42 de dano Imaginário. Quem passa recebe metade.</t>
        </is>
      </c>
      <c r="I205" s="10" t="inlineStr">
        <is>
          <t xml:space="preserve">A última fala (1 vez por combate, quando ele chega a </t>
        </is>
      </c>
      <c r="J205" s="10" t="inlineStr">
        <is>
          <t>PV</t>
        </is>
      </c>
      <c r="K205" s="10" t="n">
        <v>145</v>
      </c>
      <c r="L205" s="10" t="inlineStr">
        <is>
          <t xml:space="preserve"> PV ou menos; ocupa a ação especial do turno): ele Avança em 2 casas, e até 3 alvos fazem Teste de Resistência Mental contra DT </t>
        </is>
      </c>
      <c r="M205" s="10" t="inlineStr">
        <is>
          <t>DT</t>
        </is>
      </c>
      <c r="N205" s="10" t="inlineStr"/>
      <c r="O205" s="10" t="inlineStr">
        <is>
          <t xml:space="preserve"> ou recebem </t>
        </is>
      </c>
      <c r="P205" s="10" t="inlineStr">
        <is>
          <t>DANO15.e</t>
        </is>
      </c>
      <c r="Q205" s="10" t="inlineStr"/>
      <c r="R205" s="10" t="inlineStr">
        <is>
          <t xml:space="preserve"> · média </t>
        </is>
      </c>
      <c r="S205" s="10" t="inlineStr">
        <is>
          <t>DANO15.m</t>
        </is>
      </c>
      <c r="T205" s="10" t="inlineStr"/>
      <c r="U205" s="10" t="inlineStr">
        <is>
          <t xml:space="preserve"> de dano Imaginário. Quem passa recebe metade.</t>
        </is>
      </c>
    </row>
    <row r="206" ht="71" customHeight="1">
      <c r="A206" s="31" t="inlineStr">
        <is>
          <t>Noviço da Beleza|1</t>
        </is>
      </c>
      <c r="B206" s="5" t="inlineStr">
        <is>
          <t>Noviço da Beleza</t>
        </is>
      </c>
      <c r="C206" s="5" t="n">
        <v>0</v>
      </c>
      <c r="D206" s="5" t="n">
        <v>1</v>
      </c>
      <c r="E206" s="5" t="inlineStr">
        <is>
          <t>Ataque</t>
        </is>
      </c>
      <c r="F206" s="5" t="inlineStr">
        <is>
          <t>Bisturi de cerâmica</t>
        </is>
      </c>
      <c r="G206" s="5" t="inlineStr"/>
      <c r="H206" s="5" t="inlineStr">
        <is>
          <t>Bisturi de cerâmica (Pessoal, Físico): 3d6 + 2 · média 12, e o alvo recebe Sangramento por 2 turnos</t>
        </is>
      </c>
      <c r="I206" s="5" t="inlineStr">
        <is>
          <t xml:space="preserve">Bisturi de cerâmica (Pessoal, Físico): </t>
        </is>
      </c>
      <c r="J206" s="5" t="inlineStr">
        <is>
          <t>DANO.e</t>
        </is>
      </c>
      <c r="K206" s="5" t="inlineStr"/>
      <c r="L206" s="5" t="inlineStr">
        <is>
          <t xml:space="preserve"> · média </t>
        </is>
      </c>
      <c r="M206" s="5" t="inlineStr">
        <is>
          <t>DANO.m</t>
        </is>
      </c>
      <c r="N206" s="5" t="inlineStr"/>
      <c r="O206" s="5" t="inlineStr">
        <is>
          <t>, e o alvo recebe Sangramento por 2 turnos</t>
        </is>
      </c>
      <c r="P206" s="5" t="inlineStr"/>
      <c r="Q206" s="5" t="inlineStr"/>
      <c r="R206" s="5" t="inlineStr"/>
      <c r="S206" s="5" t="inlineStr"/>
      <c r="T206" s="5" t="inlineStr"/>
      <c r="U206" s="5" t="inlineStr"/>
    </row>
    <row r="207" ht="105" customHeight="1">
      <c r="A207" s="43" t="inlineStr">
        <is>
          <t>Noviço da Beleza|2</t>
        </is>
      </c>
      <c r="B207" s="10" t="inlineStr">
        <is>
          <t>Noviço da Beleza</t>
        </is>
      </c>
      <c r="C207" s="10" t="n">
        <v>0</v>
      </c>
      <c r="D207" s="10" t="n">
        <v>2</v>
      </c>
      <c r="E207" s="10" t="inlineStr">
        <is>
          <t>Especial</t>
        </is>
      </c>
      <c r="F207" s="10" t="inlineStr">
        <is>
          <t>Correção</t>
        </is>
      </c>
      <c r="G207" s="10" t="n">
        <v>2</v>
      </c>
      <c r="H207" s="10" t="inlineStr">
        <is>
          <t>Correção (recarga 2 Ciclos): um alvo faz Teste de Resistência Física contra DT 17. Se falhar, recebe Vulnerável por 2 turnos — +1 dado de dano de qualquer Cavaleiro da Beleza na cena.</t>
        </is>
      </c>
      <c r="I207" s="10" t="inlineStr">
        <is>
          <t xml:space="preserve">Correção (recarga 2 Ciclos): um alvo faz Teste de Resistência Física contra DT </t>
        </is>
      </c>
      <c r="J207" s="10" t="inlineStr">
        <is>
          <t>DT</t>
        </is>
      </c>
      <c r="K207" s="10" t="inlineStr"/>
      <c r="L207" s="10" t="inlineStr">
        <is>
          <t>. Se falhar, recebe Vulnerável por 2 turnos — +1 dado de dano de qualquer Cavaleiro da Beleza na cena.</t>
        </is>
      </c>
      <c r="M207" s="10" t="inlineStr"/>
      <c r="N207" s="10" t="inlineStr"/>
      <c r="O207" s="10" t="inlineStr"/>
      <c r="P207" s="10" t="inlineStr"/>
      <c r="Q207" s="10" t="inlineStr"/>
      <c r="R207" s="10" t="inlineStr"/>
      <c r="S207" s="10" t="inlineStr"/>
      <c r="T207" s="10" t="inlineStr"/>
      <c r="U207" s="10" t="inlineStr"/>
    </row>
    <row r="208" ht="37" customHeight="1">
      <c r="A208" s="31" t="inlineStr">
        <is>
          <t>Operativo de Campo dos Caçadores|1</t>
        </is>
      </c>
      <c r="B208" s="5" t="inlineStr">
        <is>
          <t>Operativo de Campo dos Caçadores</t>
        </is>
      </c>
      <c r="C208" s="5" t="n">
        <v>0</v>
      </c>
      <c r="D208" s="5" t="n">
        <v>1</v>
      </c>
      <c r="E208" s="5" t="inlineStr">
        <is>
          <t>Ataque</t>
        </is>
      </c>
      <c r="F208" s="5" t="inlineStr">
        <is>
          <t>Pistola suprimida</t>
        </is>
      </c>
      <c r="G208" s="5" t="inlineStr"/>
      <c r="H208" s="5" t="inlineStr">
        <is>
          <t>Pistola suprimida (Longa, Físico): 3d6 + 2 · média 12</t>
        </is>
      </c>
      <c r="I208" s="5" t="inlineStr">
        <is>
          <t xml:space="preserve">Pistola suprimida (Longa, Físico): </t>
        </is>
      </c>
      <c r="J208" s="5" t="inlineStr">
        <is>
          <t>DANO.e</t>
        </is>
      </c>
      <c r="K208" s="5" t="inlineStr"/>
      <c r="L208" s="5" t="inlineStr">
        <is>
          <t xml:space="preserve"> · média </t>
        </is>
      </c>
      <c r="M208" s="5" t="inlineStr">
        <is>
          <t>DANO.m</t>
        </is>
      </c>
      <c r="N208" s="5" t="inlineStr"/>
      <c r="O208" s="5" t="inlineStr"/>
      <c r="P208" s="5" t="inlineStr"/>
      <c r="Q208" s="5" t="inlineStr"/>
      <c r="R208" s="5" t="inlineStr"/>
      <c r="S208" s="5" t="inlineStr"/>
      <c r="T208" s="5" t="inlineStr"/>
      <c r="U208" s="5" t="inlineStr"/>
    </row>
    <row r="209" ht="82" customHeight="1">
      <c r="A209" s="43" t="inlineStr">
        <is>
          <t>Operativo de Campo dos Caçadores|2</t>
        </is>
      </c>
      <c r="B209" s="10" t="inlineStr">
        <is>
          <t>Operativo de Campo dos Caçadores</t>
        </is>
      </c>
      <c r="C209" s="10" t="n">
        <v>0</v>
      </c>
      <c r="D209" s="10" t="n">
        <v>2</v>
      </c>
      <c r="E209" s="10" t="inlineStr">
        <is>
          <t>Ataque</t>
        </is>
      </c>
      <c r="F209" s="10" t="inlineStr">
        <is>
          <t>Fio de garrote</t>
        </is>
      </c>
      <c r="G209" s="10" t="inlineStr"/>
      <c r="H209" s="10" t="inlineStr">
        <is>
          <t>Fio de garrote (Pessoal, Físico): 3d6 + 2 · média 12, e o alvo faz Teste de Potência Física contra DT 17 ou fica Silenciado por 1 turno</t>
        </is>
      </c>
      <c r="I209" s="10" t="inlineStr">
        <is>
          <t xml:space="preserve">Fio de garrote (Pessoal, Físico): </t>
        </is>
      </c>
      <c r="J209" s="10" t="inlineStr">
        <is>
          <t>DANO.e</t>
        </is>
      </c>
      <c r="K209" s="10" t="inlineStr"/>
      <c r="L209" s="10" t="inlineStr">
        <is>
          <t xml:space="preserve"> · média </t>
        </is>
      </c>
      <c r="M209" s="10" t="inlineStr">
        <is>
          <t>DANO.m</t>
        </is>
      </c>
      <c r="N209" s="10" t="inlineStr"/>
      <c r="O209" s="10" t="inlineStr">
        <is>
          <t xml:space="preserve">, e o alvo faz Teste de Potência Física contra DT </t>
        </is>
      </c>
      <c r="P209" s="10" t="inlineStr">
        <is>
          <t>DT</t>
        </is>
      </c>
      <c r="Q209" s="10" t="inlineStr"/>
      <c r="R209" s="10" t="inlineStr">
        <is>
          <t xml:space="preserve"> ou fica Silenciado por 1 turno</t>
        </is>
      </c>
      <c r="S209" s="10" t="inlineStr"/>
      <c r="T209" s="10" t="inlineStr"/>
      <c r="U209" s="10" t="inlineStr"/>
    </row>
    <row r="210" ht="105" customHeight="1">
      <c r="A210" s="31" t="inlineStr">
        <is>
          <t>Operativo de Campo dos Caçadores|3</t>
        </is>
      </c>
      <c r="B210" s="5" t="inlineStr">
        <is>
          <t>Operativo de Campo dos Caçadores</t>
        </is>
      </c>
      <c r="C210" s="5" t="n">
        <v>0</v>
      </c>
      <c r="D210" s="5" t="n">
        <v>3</v>
      </c>
      <c r="E210" s="5" t="inlineStr">
        <is>
          <t>Especial</t>
        </is>
      </c>
      <c r="F210" s="5" t="inlineStr">
        <is>
          <t>Reposicionar</t>
        </is>
      </c>
      <c r="G210" s="5" t="n">
        <v>2</v>
      </c>
      <c r="H210" s="5" t="inlineStr">
        <is>
          <t>Reposicionar (recarga 2 Ciclos): ele se move 2 Distâncias e, se terminar fora do alcance de todo personagem, Avança 2 casas na Fila do próximo Ciclo (capítulo 19).</t>
        </is>
      </c>
      <c r="I210" s="5" t="inlineStr">
        <is>
          <t>Reposicionar (recarga 2 Ciclos): ele se move 2 Distâncias e, se terminar fora do alcance de todo personagem, Avança 2 casas na Fila do próximo Ciclo (capítulo 19).</t>
        </is>
      </c>
      <c r="J210" s="5" t="inlineStr"/>
      <c r="K210" s="5" t="inlineStr"/>
      <c r="L210" s="5" t="inlineStr"/>
      <c r="M210" s="5" t="inlineStr"/>
      <c r="N210" s="5" t="inlineStr"/>
      <c r="O210" s="5" t="inlineStr"/>
      <c r="P210" s="5" t="inlineStr"/>
      <c r="Q210" s="5" t="inlineStr"/>
      <c r="R210" s="5" t="inlineStr"/>
      <c r="S210" s="5" t="inlineStr"/>
      <c r="T210" s="5" t="inlineStr"/>
      <c r="U210" s="5" t="inlineStr"/>
    </row>
    <row r="211" ht="37" customHeight="1">
      <c r="A211" s="43" t="inlineStr">
        <is>
          <t>Autômato Taciturno|1</t>
        </is>
      </c>
      <c r="B211" s="10" t="inlineStr">
        <is>
          <t>Autômato Taciturno</t>
        </is>
      </c>
      <c r="C211" s="10" t="n">
        <v>0</v>
      </c>
      <c r="D211" s="10" t="n">
        <v>1</v>
      </c>
      <c r="E211" s="10" t="inlineStr">
        <is>
          <t>Ataque</t>
        </is>
      </c>
      <c r="F211" s="10" t="inlineStr">
        <is>
          <t>Metralha pesada</t>
        </is>
      </c>
      <c r="G211" s="10" t="inlineStr"/>
      <c r="H211" s="10" t="inlineStr">
        <is>
          <t>Metralha pesada (Longa, Físico): 3d6 + 2 · média 12</t>
        </is>
      </c>
      <c r="I211" s="10" t="inlineStr">
        <is>
          <t xml:space="preserve">Metralha pesada (Longa, Físico): </t>
        </is>
      </c>
      <c r="J211" s="10" t="inlineStr">
        <is>
          <t>DANO.e</t>
        </is>
      </c>
      <c r="K211" s="10" t="inlineStr"/>
      <c r="L211" s="10" t="inlineStr">
        <is>
          <t xml:space="preserve"> · média </t>
        </is>
      </c>
      <c r="M211" s="10" t="inlineStr">
        <is>
          <t>DANO.m</t>
        </is>
      </c>
      <c r="N211" s="10" t="inlineStr"/>
      <c r="O211" s="10" t="inlineStr"/>
      <c r="P211" s="10" t="inlineStr"/>
      <c r="Q211" s="10" t="inlineStr"/>
      <c r="R211" s="10" t="inlineStr"/>
      <c r="S211" s="10" t="inlineStr"/>
      <c r="T211" s="10" t="inlineStr"/>
      <c r="U211" s="10" t="inlineStr"/>
    </row>
    <row r="212" ht="116" customHeight="1">
      <c r="A212" s="31" t="inlineStr">
        <is>
          <t>Autômato Taciturno|2</t>
        </is>
      </c>
      <c r="B212" s="5" t="inlineStr">
        <is>
          <t>Autômato Taciturno</t>
        </is>
      </c>
      <c r="C212" s="5" t="n">
        <v>0</v>
      </c>
      <c r="D212" s="5" t="n">
        <v>2</v>
      </c>
      <c r="E212" s="5" t="inlineStr">
        <is>
          <t>Especial</t>
        </is>
      </c>
      <c r="F212" s="5" t="inlineStr">
        <is>
          <t>Travar alvo</t>
        </is>
      </c>
      <c r="G212" s="5" t="n">
        <v>2</v>
      </c>
      <c r="H212" s="5" t="inlineStr">
        <is>
          <t>Travar alvo (recarga 2 Ciclos): um alvo fica Marcado por 3 turnos. Enquanto a marca durar, este autômato não ataca mais ninguém e some +1 acúmulo de Marcado por Ciclo, até o teto de 3 (capítulo 21).</t>
        </is>
      </c>
      <c r="I212" s="5" t="inlineStr">
        <is>
          <t>Travar alvo (recarga 2 Ciclos): um alvo fica Marcado por 3 turnos. Enquanto a marca durar, este autômato não ataca mais ninguém e some +1 acúmulo de Marcado por Ciclo, até o teto de 3 (capítulo 21).</t>
        </is>
      </c>
      <c r="J212" s="5" t="inlineStr"/>
      <c r="K212" s="5" t="inlineStr"/>
      <c r="L212" s="5" t="inlineStr"/>
      <c r="M212" s="5" t="inlineStr"/>
      <c r="N212" s="5" t="inlineStr"/>
      <c r="O212" s="5" t="inlineStr"/>
      <c r="P212" s="5" t="inlineStr"/>
      <c r="Q212" s="5" t="inlineStr"/>
      <c r="R212" s="5" t="inlineStr"/>
      <c r="S212" s="5" t="inlineStr"/>
      <c r="T212" s="5" t="inlineStr"/>
      <c r="U212" s="5" t="inlineStr"/>
    </row>
    <row r="213" ht="71" customHeight="1">
      <c r="A213" s="43" t="inlineStr">
        <is>
          <t>Escultor de Carne|1</t>
        </is>
      </c>
      <c r="B213" s="10" t="inlineStr">
        <is>
          <t>Escultor de Carne</t>
        </is>
      </c>
      <c r="C213" s="10" t="n">
        <v>0</v>
      </c>
      <c r="D213" s="10" t="n">
        <v>1</v>
      </c>
      <c r="E213" s="10" t="inlineStr">
        <is>
          <t>Ataque</t>
        </is>
      </c>
      <c r="F213" s="10" t="inlineStr">
        <is>
          <t>Leque de lâminas</t>
        </is>
      </c>
      <c r="G213" s="10" t="inlineStr"/>
      <c r="H213" s="10" t="inlineStr">
        <is>
          <t>Leque de lâminas (Pessoal, Físico): 4d10 + 2 · média 24, e o alvo recebe Sangramento por 2 turnos</t>
        </is>
      </c>
      <c r="I213" s="10" t="inlineStr">
        <is>
          <t xml:space="preserve">Leque de lâminas (Pessoal, Físico): </t>
        </is>
      </c>
      <c r="J213" s="10" t="inlineStr">
        <is>
          <t>DANO.e</t>
        </is>
      </c>
      <c r="K213" s="10" t="inlineStr"/>
      <c r="L213" s="10" t="inlineStr">
        <is>
          <t xml:space="preserve"> · média </t>
        </is>
      </c>
      <c r="M213" s="10" t="inlineStr">
        <is>
          <t>DANO.m</t>
        </is>
      </c>
      <c r="N213" s="10" t="inlineStr"/>
      <c r="O213" s="10" t="inlineStr">
        <is>
          <t>, e o alvo recebe Sangramento por 2 turnos</t>
        </is>
      </c>
      <c r="P213" s="10" t="inlineStr"/>
      <c r="Q213" s="10" t="inlineStr"/>
      <c r="R213" s="10" t="inlineStr"/>
      <c r="S213" s="10" t="inlineStr"/>
      <c r="T213" s="10" t="inlineStr"/>
      <c r="U213" s="10" t="inlineStr"/>
    </row>
    <row r="214" ht="37" customHeight="1">
      <c r="A214" s="31" t="inlineStr">
        <is>
          <t>Escultor de Carne|2</t>
        </is>
      </c>
      <c r="B214" s="5" t="inlineStr">
        <is>
          <t>Escultor de Carne</t>
        </is>
      </c>
      <c r="C214" s="5" t="n">
        <v>0</v>
      </c>
      <c r="D214" s="5" t="n">
        <v>2</v>
      </c>
      <c r="E214" s="5" t="inlineStr">
        <is>
          <t>Ataque</t>
        </is>
      </c>
      <c r="F214" s="5" t="inlineStr">
        <is>
          <t>Serra de arco</t>
        </is>
      </c>
      <c r="G214" s="5" t="inlineStr"/>
      <c r="H214" s="5" t="inlineStr">
        <is>
          <t>Serra de arco (Curta, Físico): 4d10 + 2 · média 24</t>
        </is>
      </c>
      <c r="I214" s="5" t="inlineStr">
        <is>
          <t xml:space="preserve">Serra de arco (Curta, Físico): </t>
        </is>
      </c>
      <c r="J214" s="5" t="inlineStr">
        <is>
          <t>DANO.e</t>
        </is>
      </c>
      <c r="K214" s="5" t="inlineStr"/>
      <c r="L214" s="5" t="inlineStr">
        <is>
          <t xml:space="preserve"> · média </t>
        </is>
      </c>
      <c r="M214" s="5" t="inlineStr">
        <is>
          <t>DANO.m</t>
        </is>
      </c>
      <c r="N214" s="5" t="inlineStr"/>
      <c r="O214" s="5" t="inlineStr"/>
      <c r="P214" s="5" t="inlineStr"/>
      <c r="Q214" s="5" t="inlineStr"/>
      <c r="R214" s="5" t="inlineStr"/>
      <c r="S214" s="5" t="inlineStr"/>
      <c r="T214" s="5" t="inlineStr"/>
      <c r="U214" s="5" t="inlineStr"/>
    </row>
    <row r="215" ht="82" customHeight="1">
      <c r="A215" s="43" t="inlineStr">
        <is>
          <t>Escultor de Carne|3</t>
        </is>
      </c>
      <c r="B215" s="10" t="inlineStr">
        <is>
          <t>Escultor de Carne</t>
        </is>
      </c>
      <c r="C215" s="10" t="n">
        <v>0</v>
      </c>
      <c r="D215" s="10" t="n">
        <v>3</v>
      </c>
      <c r="E215" s="10" t="inlineStr">
        <is>
          <t>Especial</t>
        </is>
      </c>
      <c r="F215" s="10" t="inlineStr">
        <is>
          <t>Anestesia</t>
        </is>
      </c>
      <c r="G215" s="10" t="n">
        <v>2</v>
      </c>
      <c r="H215" s="10" t="inlineStr">
        <is>
          <t>Anestesia (recarga 2 Ciclos): um alvo faz Teste de Resistência Física contra DT 18. Se falhar, recebe Lentidão por 2 turnos e Silenciado por 1.</t>
        </is>
      </c>
      <c r="I215" s="10" t="inlineStr">
        <is>
          <t xml:space="preserve">Anestesia (recarga 2 Ciclos): um alvo faz Teste de Resistência Física contra DT </t>
        </is>
      </c>
      <c r="J215" s="10" t="inlineStr">
        <is>
          <t>DT</t>
        </is>
      </c>
      <c r="K215" s="10" t="inlineStr"/>
      <c r="L215" s="10" t="inlineStr">
        <is>
          <t>. Se falhar, recebe Lentidão por 2 turnos e Silenciado por 1.</t>
        </is>
      </c>
      <c r="M215" s="10" t="inlineStr"/>
      <c r="N215" s="10" t="inlineStr"/>
      <c r="O215" s="10" t="inlineStr"/>
      <c r="P215" s="10" t="inlineStr"/>
      <c r="Q215" s="10" t="inlineStr"/>
      <c r="R215" s="10" t="inlineStr"/>
      <c r="S215" s="10" t="inlineStr"/>
      <c r="T215" s="10" t="inlineStr"/>
      <c r="U215" s="10" t="inlineStr"/>
    </row>
    <row r="216" ht="127" customHeight="1">
      <c r="A216" s="31" t="inlineStr">
        <is>
          <t>Escultor de Carne|4</t>
        </is>
      </c>
      <c r="B216" s="5" t="inlineStr">
        <is>
          <t>Escultor de Carne</t>
        </is>
      </c>
      <c r="C216" s="5" t="n">
        <v>0</v>
      </c>
      <c r="D216" s="5" t="n">
        <v>4</v>
      </c>
      <c r="E216" s="5" t="inlineStr">
        <is>
          <t>Especial</t>
        </is>
      </c>
      <c r="F216" s="5" t="inlineStr">
        <is>
          <t>Obra em progresso</t>
        </is>
      </c>
      <c r="G216" s="5" t="n">
        <v>3</v>
      </c>
      <c r="H216" s="5" t="inlineStr">
        <is>
          <t>Obra em progresso (recarga 3 Ciclos): contra um alvo que esteja com Sangramento, um ataque de 6d10 + 3 · média 36 de dano Físico. Se o ataque acertar, o Sangramento é renovado por mais 2 turnos.</t>
        </is>
      </c>
      <c r="I216" s="5" t="inlineStr">
        <is>
          <t xml:space="preserve">Obra em progresso (recarga 3 Ciclos): contra um alvo que esteja com Sangramento, um ataque de </t>
        </is>
      </c>
      <c r="J216" s="5" t="inlineStr">
        <is>
          <t>DANO15.e</t>
        </is>
      </c>
      <c r="K216" s="5" t="inlineStr"/>
      <c r="L216" s="5" t="inlineStr">
        <is>
          <t xml:space="preserve"> · média </t>
        </is>
      </c>
      <c r="M216" s="5" t="inlineStr">
        <is>
          <t>DANO15.m</t>
        </is>
      </c>
      <c r="N216" s="5" t="inlineStr"/>
      <c r="O216" s="5" t="inlineStr">
        <is>
          <t xml:space="preserve"> de dano Físico. Se o ataque acertar, o Sangramento é renovado por mais 2 turnos.</t>
        </is>
      </c>
      <c r="P216" s="5" t="inlineStr"/>
      <c r="Q216" s="5" t="inlineStr"/>
      <c r="R216" s="5" t="inlineStr"/>
      <c r="S216" s="5" t="inlineStr"/>
      <c r="T216" s="5" t="inlineStr"/>
      <c r="U216" s="5" t="inlineStr"/>
    </row>
    <row r="217" ht="37" customHeight="1">
      <c r="A217" s="43" t="inlineStr">
        <is>
          <t>Executora de Contrato|1</t>
        </is>
      </c>
      <c r="B217" s="10" t="inlineStr">
        <is>
          <t>Executora de Contrato</t>
        </is>
      </c>
      <c r="C217" s="10" t="n">
        <v>0</v>
      </c>
      <c r="D217" s="10" t="n">
        <v>1</v>
      </c>
      <c r="E217" s="10" t="inlineStr">
        <is>
          <t>Ataque</t>
        </is>
      </c>
      <c r="F217" s="10" t="inlineStr">
        <is>
          <t>Revólver de ruptura</t>
        </is>
      </c>
      <c r="G217" s="10" t="inlineStr"/>
      <c r="H217" s="10" t="inlineStr">
        <is>
          <t>Revólver de ruptura (Longa, Quântico): 4d10 + 2 · média 24</t>
        </is>
      </c>
      <c r="I217" s="10" t="inlineStr">
        <is>
          <t xml:space="preserve">Revólver de ruptura (Longa, Quântico): </t>
        </is>
      </c>
      <c r="J217" s="10" t="inlineStr">
        <is>
          <t>DANO.e</t>
        </is>
      </c>
      <c r="K217" s="10" t="inlineStr"/>
      <c r="L217" s="10" t="inlineStr">
        <is>
          <t xml:space="preserve"> · média </t>
        </is>
      </c>
      <c r="M217" s="10" t="inlineStr">
        <is>
          <t>DANO.m</t>
        </is>
      </c>
      <c r="N217" s="10" t="inlineStr"/>
      <c r="O217" s="10" t="inlineStr"/>
      <c r="P217" s="10" t="inlineStr"/>
      <c r="Q217" s="10" t="inlineStr"/>
      <c r="R217" s="10" t="inlineStr"/>
      <c r="S217" s="10" t="inlineStr"/>
      <c r="T217" s="10" t="inlineStr"/>
      <c r="U217" s="10" t="inlineStr"/>
    </row>
    <row r="218" ht="48" customHeight="1">
      <c r="A218" s="31" t="inlineStr">
        <is>
          <t>Executora de Contrato|2</t>
        </is>
      </c>
      <c r="B218" s="5" t="inlineStr">
        <is>
          <t>Executora de Contrato</t>
        </is>
      </c>
      <c r="C218" s="5" t="n">
        <v>0</v>
      </c>
      <c r="D218" s="5" t="n">
        <v>2</v>
      </c>
      <c r="E218" s="5" t="inlineStr">
        <is>
          <t>Ataque</t>
        </is>
      </c>
      <c r="F218" s="5" t="inlineStr">
        <is>
          <t>Adaga de encerramento</t>
        </is>
      </c>
      <c r="G218" s="5" t="inlineStr"/>
      <c r="H218" s="5" t="inlineStr">
        <is>
          <t>Adaga de encerramento (Pessoal, Físico): 4d10 + 2 · média 24</t>
        </is>
      </c>
      <c r="I218" s="5" t="inlineStr">
        <is>
          <t xml:space="preserve">Adaga de encerramento (Pessoal, Físico): </t>
        </is>
      </c>
      <c r="J218" s="5" t="inlineStr">
        <is>
          <t>DANO.e</t>
        </is>
      </c>
      <c r="K218" s="5" t="inlineStr"/>
      <c r="L218" s="5" t="inlineStr">
        <is>
          <t xml:space="preserve"> · média </t>
        </is>
      </c>
      <c r="M218" s="5" t="inlineStr">
        <is>
          <t>DANO.m</t>
        </is>
      </c>
      <c r="N218" s="5" t="inlineStr"/>
      <c r="O218" s="5" t="inlineStr"/>
      <c r="P218" s="5" t="inlineStr"/>
      <c r="Q218" s="5" t="inlineStr"/>
      <c r="R218" s="5" t="inlineStr"/>
      <c r="S218" s="5" t="inlineStr"/>
      <c r="T218" s="5" t="inlineStr"/>
      <c r="U218" s="5" t="inlineStr"/>
    </row>
    <row r="219" ht="161" customHeight="1">
      <c r="A219" s="43" t="inlineStr">
        <is>
          <t>Executora de Contrato|3</t>
        </is>
      </c>
      <c r="B219" s="10" t="inlineStr">
        <is>
          <t>Executora de Contrato</t>
        </is>
      </c>
      <c r="C219" s="10" t="n">
        <v>0</v>
      </c>
      <c r="D219" s="10" t="n">
        <v>3</v>
      </c>
      <c r="E219" s="10" t="inlineStr">
        <is>
          <t>Especial</t>
        </is>
      </c>
      <c r="F219" s="10" t="inlineStr">
        <is>
          <t>Dossiê</t>
        </is>
      </c>
      <c r="G219" s="10" t="n">
        <v>2</v>
      </c>
      <c r="H219" s="10" t="inlineStr">
        <is>
          <t>Dossiê (recarga 2 Ciclos): ela nomeia um personagem e declara em voz alta uma Habilidade que ele usou neste combate. Até o fim do próximo turno dela, aquele personagem está Silenciado para Habilidades de Nível 4 ou maior (capítulo 21) e fica Marcado por 3 turnos.</t>
        </is>
      </c>
      <c r="I219" s="10" t="inlineStr">
        <is>
          <t>Dossiê (recarga 2 Ciclos): ela nomeia um personagem e declara em voz alta uma Habilidade que ele usou neste combate. Até o fim do próximo turno dela, aquele personagem está Silenciado para Habilidades de Nível 4 ou maior (capítulo 21) e fica Marcado por 3 turnos.</t>
        </is>
      </c>
      <c r="J219" s="10" t="inlineStr"/>
      <c r="K219" s="10" t="inlineStr"/>
      <c r="L219" s="10" t="inlineStr"/>
      <c r="M219" s="10" t="inlineStr"/>
      <c r="N219" s="10" t="inlineStr"/>
      <c r="O219" s="10" t="inlineStr"/>
      <c r="P219" s="10" t="inlineStr"/>
      <c r="Q219" s="10" t="inlineStr"/>
      <c r="R219" s="10" t="inlineStr"/>
      <c r="S219" s="10" t="inlineStr"/>
      <c r="T219" s="10" t="inlineStr"/>
      <c r="U219" s="10" t="inlineStr"/>
    </row>
    <row r="220" ht="116" customHeight="1">
      <c r="A220" s="31" t="inlineStr">
        <is>
          <t>Executora de Contrato|4</t>
        </is>
      </c>
      <c r="B220" s="5" t="inlineStr">
        <is>
          <t>Executora de Contrato</t>
        </is>
      </c>
      <c r="C220" s="5" t="n">
        <v>0</v>
      </c>
      <c r="D220" s="5" t="n">
        <v>4</v>
      </c>
      <c r="E220" s="5" t="inlineStr">
        <is>
          <t>Especial</t>
        </is>
      </c>
      <c r="F220" s="5" t="inlineStr">
        <is>
          <t>Encerramento</t>
        </is>
      </c>
      <c r="G220" s="5" t="n">
        <v>3</v>
      </c>
      <c r="H220" s="5" t="inlineStr">
        <is>
          <t>Encerramento (recarga 3 Ciclos): contra um alvo Marcado por ela, 6d10 + 3 · média 36 de dano Quântico, e o alvo faz Teste de Reflexos contra DT 18 ou recebe Embaraço com 3 acúmulos (capítulo 21).</t>
        </is>
      </c>
      <c r="I220" s="5" t="inlineStr">
        <is>
          <t xml:space="preserve">Encerramento (recarga 3 Ciclos): contra um alvo Marcado por ela, </t>
        </is>
      </c>
      <c r="J220" s="5" t="inlineStr">
        <is>
          <t>DANO15.e</t>
        </is>
      </c>
      <c r="K220" s="5" t="inlineStr"/>
      <c r="L220" s="5" t="inlineStr">
        <is>
          <t xml:space="preserve"> · média </t>
        </is>
      </c>
      <c r="M220" s="5" t="inlineStr">
        <is>
          <t>DANO15.m</t>
        </is>
      </c>
      <c r="N220" s="5" t="inlineStr"/>
      <c r="O220" s="5" t="inlineStr">
        <is>
          <t xml:space="preserve"> de dano Quântico, e o alvo faz Teste de Reflexos contra DT </t>
        </is>
      </c>
      <c r="P220" s="5" t="inlineStr">
        <is>
          <t>DT</t>
        </is>
      </c>
      <c r="Q220" s="5" t="inlineStr"/>
      <c r="R220" s="5" t="inlineStr">
        <is>
          <t xml:space="preserve"> ou recebe Embaraço com 3 acúmulos (capítulo 21).</t>
        </is>
      </c>
      <c r="S220" s="5" t="inlineStr"/>
      <c r="T220" s="5" t="inlineStr"/>
      <c r="U220" s="5" t="inlineStr"/>
    </row>
    <row r="221" ht="37" customHeight="1">
      <c r="A221" s="43" t="inlineStr">
        <is>
          <t>Vênia, a Primeira Obra|1</t>
        </is>
      </c>
      <c r="B221" s="10" t="inlineStr">
        <is>
          <t>Vênia, a Primeira Obra</t>
        </is>
      </c>
      <c r="C221" s="10" t="n">
        <v>1</v>
      </c>
      <c r="D221" s="10" t="n">
        <v>1</v>
      </c>
      <c r="E221" s="10" t="inlineStr">
        <is>
          <t>Ataque</t>
        </is>
      </c>
      <c r="F221" s="10" t="inlineStr">
        <is>
          <t>Braço-cinzel</t>
        </is>
      </c>
      <c r="G221" s="10" t="inlineStr"/>
      <c r="H221" s="10" t="inlineStr">
        <is>
          <t>Braço-cinzel (Pessoal, Físico): 6d10 + 3 · média 36</t>
        </is>
      </c>
      <c r="I221" s="10" t="inlineStr">
        <is>
          <t xml:space="preserve">Braço-cinzel (Pessoal, Físico): </t>
        </is>
      </c>
      <c r="J221" s="10" t="inlineStr">
        <is>
          <t>DANO.e</t>
        </is>
      </c>
      <c r="K221" s="10" t="inlineStr"/>
      <c r="L221" s="10" t="inlineStr">
        <is>
          <t xml:space="preserve"> · média </t>
        </is>
      </c>
      <c r="M221" s="10" t="inlineStr">
        <is>
          <t>DANO.m</t>
        </is>
      </c>
      <c r="N221" s="10" t="inlineStr"/>
      <c r="O221" s="10" t="inlineStr"/>
      <c r="P221" s="10" t="inlineStr"/>
      <c r="Q221" s="10" t="inlineStr"/>
      <c r="R221" s="10" t="inlineStr"/>
      <c r="S221" s="10" t="inlineStr"/>
      <c r="T221" s="10" t="inlineStr"/>
      <c r="U221" s="10" t="inlineStr"/>
    </row>
    <row r="222" ht="48" customHeight="1">
      <c r="A222" s="31" t="inlineStr">
        <is>
          <t>Vênia, a Primeira Obra|2</t>
        </is>
      </c>
      <c r="B222" s="5" t="inlineStr">
        <is>
          <t>Vênia, a Primeira Obra</t>
        </is>
      </c>
      <c r="C222" s="5" t="n">
        <v>1</v>
      </c>
      <c r="D222" s="5" t="n">
        <v>2</v>
      </c>
      <c r="E222" s="5" t="inlineStr">
        <is>
          <t>Ataque</t>
        </is>
      </c>
      <c r="F222" s="5" t="inlineStr">
        <is>
          <t>Fio de cabo</t>
        </is>
      </c>
      <c r="G222" s="5" t="inlineStr"/>
      <c r="H222" s="5" t="inlineStr">
        <is>
          <t>Fio de cabo (Média, Físico): 6d10 + 3 · média 36, e o alvo é puxado 1 Distância</t>
        </is>
      </c>
      <c r="I222" s="5" t="inlineStr">
        <is>
          <t xml:space="preserve">Fio de cabo (Média, Físico): </t>
        </is>
      </c>
      <c r="J222" s="5" t="inlineStr">
        <is>
          <t>DANO.e</t>
        </is>
      </c>
      <c r="K222" s="5" t="inlineStr"/>
      <c r="L222" s="5" t="inlineStr">
        <is>
          <t xml:space="preserve"> · média </t>
        </is>
      </c>
      <c r="M222" s="5" t="inlineStr">
        <is>
          <t>DANO.m</t>
        </is>
      </c>
      <c r="N222" s="5" t="inlineStr"/>
      <c r="O222" s="5" t="inlineStr">
        <is>
          <t>, e o alvo é puxado 1 Distância</t>
        </is>
      </c>
      <c r="P222" s="5" t="inlineStr"/>
      <c r="Q222" s="5" t="inlineStr"/>
      <c r="R222" s="5" t="inlineStr"/>
      <c r="S222" s="5" t="inlineStr"/>
      <c r="T222" s="5" t="inlineStr"/>
      <c r="U222" s="5" t="inlineStr"/>
    </row>
    <row r="223" ht="127" customHeight="1">
      <c r="A223" s="43" t="inlineStr">
        <is>
          <t>Vênia, a Primeira Obra|3</t>
        </is>
      </c>
      <c r="B223" s="10" t="inlineStr">
        <is>
          <t>Vênia, a Primeira Obra</t>
        </is>
      </c>
      <c r="C223" s="10" t="n">
        <v>1</v>
      </c>
      <c r="D223" s="10" t="n">
        <v>3</v>
      </c>
      <c r="E223" s="10" t="inlineStr">
        <is>
          <t>Especial</t>
        </is>
      </c>
      <c r="F223" s="10" t="inlineStr">
        <is>
          <t>Simetria</t>
        </is>
      </c>
      <c r="G223" s="10" t="n">
        <v>2</v>
      </c>
      <c r="H223" s="10" t="inlineStr">
        <is>
          <t>Simetria (recarga 2 Ciclos; ocupa uma das 2 ações do turno): 2 alvos fazem Teste de Reflexos contra DT 19. Quem falha recebe 6d10 + 3 · 36 de dano Físico e Sangramento por 2 turnos; quem passa recebe metade e nenhum Sangramento.</t>
        </is>
      </c>
      <c r="I223" s="10" t="inlineStr">
        <is>
          <t xml:space="preserve">Simetria (recarga 2 Ciclos; ocupa uma das 2 ações do turno): 2 alvos fazem Teste de Reflexos contra DT </t>
        </is>
      </c>
      <c r="J223" s="10" t="inlineStr">
        <is>
          <t>DT</t>
        </is>
      </c>
      <c r="K223" s="10" t="inlineStr"/>
      <c r="L223" s="10" t="inlineStr">
        <is>
          <t xml:space="preserve">. Quem falha recebe </t>
        </is>
      </c>
      <c r="M223" s="10" t="inlineStr">
        <is>
          <t>DANO.e</t>
        </is>
      </c>
      <c r="N223" s="10" t="inlineStr"/>
      <c r="O223" s="10" t="inlineStr">
        <is>
          <t xml:space="preserve"> · </t>
        </is>
      </c>
      <c r="P223" s="10" t="inlineStr">
        <is>
          <t>DANO.m</t>
        </is>
      </c>
      <c r="Q223" s="10" t="inlineStr"/>
      <c r="R223" s="10" t="inlineStr">
        <is>
          <t xml:space="preserve"> de dano Físico e Sangramento por 2 turnos; quem passa recebe metade e nenhum Sangramento.</t>
        </is>
      </c>
      <c r="S223" s="10" t="inlineStr"/>
      <c r="T223" s="10" t="inlineStr"/>
      <c r="U223" s="10" t="inlineStr"/>
    </row>
    <row r="224" ht="116" customHeight="1">
      <c r="A224" s="31" t="inlineStr">
        <is>
          <t>Vênia, a Primeira Obra|4</t>
        </is>
      </c>
      <c r="B224" s="5" t="inlineStr">
        <is>
          <t>Vênia, a Primeira Obra</t>
        </is>
      </c>
      <c r="C224" s="5" t="n">
        <v>1</v>
      </c>
      <c r="D224" s="5" t="n">
        <v>4</v>
      </c>
      <c r="E224" s="5" t="inlineStr">
        <is>
          <t>Especial</t>
        </is>
      </c>
      <c r="F224" s="5" t="inlineStr">
        <is>
          <t>Retoque</t>
        </is>
      </c>
      <c r="G224" s="5" t="n">
        <v>3</v>
      </c>
      <c r="H224" s="5" t="inlineStr">
        <is>
          <t>Retoque (recarga 3 Ciclos; ocupa uma das 2 ações do turno): ela remove todas as condições que estão sobre ela e ganha RD 2 extra até o fim do próximo turno dela. Ela não recupera PV e não recupera Tenacidade.</t>
        </is>
      </c>
      <c r="I224" s="5" t="inlineStr">
        <is>
          <t>Retoque (recarga 3 Ciclos; ocupa uma das 2 ações do turno): ela remove todas as condições que estão sobre ela e ganha RD 2 extra até o fim do próximo turno dela. Ela não recupera PV e não recupera Tenacidade.</t>
        </is>
      </c>
      <c r="J224" s="5" t="inlineStr"/>
      <c r="K224" s="5" t="inlineStr"/>
      <c r="L224" s="5" t="inlineStr"/>
      <c r="M224" s="5" t="inlineStr"/>
      <c r="N224" s="5" t="inlineStr"/>
      <c r="O224" s="5" t="inlineStr"/>
      <c r="P224" s="5" t="inlineStr"/>
      <c r="Q224" s="5" t="inlineStr"/>
      <c r="R224" s="5" t="inlineStr"/>
      <c r="S224" s="5" t="inlineStr"/>
      <c r="T224" s="5" t="inlineStr"/>
      <c r="U224" s="5" t="inlineStr"/>
    </row>
    <row r="225" ht="37" customHeight="1">
      <c r="A225" s="43" t="inlineStr">
        <is>
          <t>Vênia, a Primeira Obra|5</t>
        </is>
      </c>
      <c r="B225" s="10" t="inlineStr">
        <is>
          <t>Vênia, a Primeira Obra</t>
        </is>
      </c>
      <c r="C225" s="10" t="n">
        <v>2</v>
      </c>
      <c r="D225" s="10" t="n">
        <v>5</v>
      </c>
      <c r="E225" s="10" t="inlineStr">
        <is>
          <t>Ataque</t>
        </is>
      </c>
      <c r="F225" s="10" t="inlineStr">
        <is>
          <t>Braço-cinzel</t>
        </is>
      </c>
      <c r="G225" s="10" t="inlineStr"/>
      <c r="H225" s="10" t="inlineStr">
        <is>
          <t>Braço-cinzel (Pessoal, Físico): 6d10 + 3 · média 36</t>
        </is>
      </c>
      <c r="I225" s="10" t="inlineStr">
        <is>
          <t xml:space="preserve">Braço-cinzel (Pessoal, Físico): </t>
        </is>
      </c>
      <c r="J225" s="10" t="inlineStr">
        <is>
          <t>DANO.e</t>
        </is>
      </c>
      <c r="K225" s="10" t="inlineStr"/>
      <c r="L225" s="10" t="inlineStr">
        <is>
          <t xml:space="preserve"> · média </t>
        </is>
      </c>
      <c r="M225" s="10" t="inlineStr">
        <is>
          <t>DANO.m</t>
        </is>
      </c>
      <c r="N225" s="10" t="inlineStr"/>
      <c r="O225" s="10" t="inlineStr"/>
      <c r="P225" s="10" t="inlineStr"/>
      <c r="Q225" s="10" t="inlineStr"/>
      <c r="R225" s="10" t="inlineStr"/>
      <c r="S225" s="10" t="inlineStr"/>
      <c r="T225" s="10" t="inlineStr"/>
      <c r="U225" s="10" t="inlineStr"/>
    </row>
    <row r="226" ht="138" customHeight="1">
      <c r="A226" s="31" t="inlineStr">
        <is>
          <t>Vênia, a Primeira Obra|6</t>
        </is>
      </c>
      <c r="B226" s="5" t="inlineStr">
        <is>
          <t>Vênia, a Primeira Obra</t>
        </is>
      </c>
      <c r="C226" s="5" t="n">
        <v>2</v>
      </c>
      <c r="D226" s="5" t="n">
        <v>6</v>
      </c>
      <c r="E226" s="5" t="inlineStr">
        <is>
          <t>Especial</t>
        </is>
      </c>
      <c r="F226" s="5" t="inlineStr">
        <is>
          <t>Desmoronar</t>
        </is>
      </c>
      <c r="G226" s="5" t="n">
        <v>0</v>
      </c>
      <c r="H226" s="5" t="inlineStr">
        <is>
          <t>Desmoronar (ação especial, sem recarga): até 3 alvos a até uma Distância um do outro fazem Teste de Reflexos contra DT 19. Quem falha recebe 6d10 + 3 · 36 de dano Físico e Lentidão por 1 turno; quem passa recebe metade do dano e nada mais.</t>
        </is>
      </c>
      <c r="I226" s="5" t="inlineStr">
        <is>
          <t xml:space="preserve">Desmoronar (ação especial, sem recarga): até 3 alvos a até uma Distância um do outro fazem Teste de Reflexos contra DT </t>
        </is>
      </c>
      <c r="J226" s="5" t="inlineStr">
        <is>
          <t>DT</t>
        </is>
      </c>
      <c r="K226" s="5" t="inlineStr"/>
      <c r="L226" s="5" t="inlineStr">
        <is>
          <t xml:space="preserve">. Quem falha recebe </t>
        </is>
      </c>
      <c r="M226" s="5" t="inlineStr">
        <is>
          <t>DANO.e</t>
        </is>
      </c>
      <c r="N226" s="5" t="inlineStr"/>
      <c r="O226" s="5" t="inlineStr">
        <is>
          <t xml:space="preserve"> · </t>
        </is>
      </c>
      <c r="P226" s="5" t="inlineStr">
        <is>
          <t>DANO.m</t>
        </is>
      </c>
      <c r="Q226" s="5" t="inlineStr"/>
      <c r="R226" s="5" t="inlineStr">
        <is>
          <t xml:space="preserve"> de dano Físico e Lentidão por 1 turno; quem passa recebe metade do dano e nada mais.</t>
        </is>
      </c>
      <c r="S226" s="5" t="inlineStr"/>
      <c r="T226" s="5" t="inlineStr"/>
      <c r="U226" s="5" t="inlineStr"/>
    </row>
    <row r="227" ht="161" customHeight="1">
      <c r="A227" s="43" t="inlineStr">
        <is>
          <t>Vênia, a Primeira Obra|7</t>
        </is>
      </c>
      <c r="B227" s="10" t="inlineStr">
        <is>
          <t>Vênia, a Primeira Obra</t>
        </is>
      </c>
      <c r="C227" s="10" t="n">
        <v>2</v>
      </c>
      <c r="D227" s="10" t="n">
        <v>7</v>
      </c>
      <c r="E227" s="10" t="inlineStr">
        <is>
          <t>Gatilho</t>
        </is>
      </c>
      <c r="F227" s="10" t="inlineStr">
        <is>
          <t>Terminem o trabalho</t>
        </is>
      </c>
      <c r="G227" s="10" t="inlineStr"/>
      <c r="H227" s="10" t="inlineStr">
        <is>
          <t>Terminem o trabalho (1 vez por combate, quando ela chega a 150 PV ou menos; ocupa a ação especial do turno): 9d10 + 5 · média 54 de dano Físico em um alvo a Distância Pessoal, resolvido por Teste de Ataque normal. Se o alvo cair a 0 PV, ela gasta o turno seguinte inteiro parada.</t>
        </is>
      </c>
      <c r="I227" s="10" t="inlineStr">
        <is>
          <t xml:space="preserve">Terminem o trabalho (1 vez por combate, quando ela chega a </t>
        </is>
      </c>
      <c r="J227" s="10" t="inlineStr">
        <is>
          <t>PV</t>
        </is>
      </c>
      <c r="K227" s="10" t="n">
        <v>150</v>
      </c>
      <c r="L227" s="10" t="inlineStr">
        <is>
          <t xml:space="preserve"> PV ou menos; ocupa a ação especial do turno): </t>
        </is>
      </c>
      <c r="M227" s="10" t="inlineStr">
        <is>
          <t>DANO15.e</t>
        </is>
      </c>
      <c r="N227" s="10" t="inlineStr"/>
      <c r="O227" s="10" t="inlineStr">
        <is>
          <t xml:space="preserve"> · média </t>
        </is>
      </c>
      <c r="P227" s="10" t="inlineStr">
        <is>
          <t>DANO15.m</t>
        </is>
      </c>
      <c r="Q227" s="10" t="inlineStr"/>
      <c r="R227" s="10" t="inlineStr">
        <is>
          <t xml:space="preserve"> de dano Físico em um alvo a Distância Pessoal, resolvido por Teste de Ataque normal. Se o alvo cair a 0 PV, ela gasta o turno seguinte inteiro parada.</t>
        </is>
      </c>
      <c r="S227" s="10" t="inlineStr"/>
      <c r="T227" s="10" t="inlineStr"/>
      <c r="U227" s="10" t="inlineStr"/>
    </row>
    <row r="228" ht="37" customHeight="1">
      <c r="A228" s="31" t="inlineStr">
        <is>
          <t>Guarda Pretoriano da Antimatéria|1</t>
        </is>
      </c>
      <c r="B228" s="5" t="inlineStr">
        <is>
          <t>Guarda Pretoriano da Antimatéria</t>
        </is>
      </c>
      <c r="C228" s="5" t="n">
        <v>0</v>
      </c>
      <c r="D228" s="5" t="n">
        <v>1</v>
      </c>
      <c r="E228" s="5" t="inlineStr">
        <is>
          <t>Ataque</t>
        </is>
      </c>
      <c r="F228" s="5" t="inlineStr">
        <is>
          <t>Canhão de braço</t>
        </is>
      </c>
      <c r="G228" s="5" t="inlineStr"/>
      <c r="H228" s="5" t="inlineStr">
        <is>
          <t>Canhão de braço (Longa, Físico): 3d8 + 3 · média 16</t>
        </is>
      </c>
      <c r="I228" s="5" t="inlineStr">
        <is>
          <t xml:space="preserve">Canhão de braço (Longa, Físico): </t>
        </is>
      </c>
      <c r="J228" s="5" t="inlineStr">
        <is>
          <t>DANO.e</t>
        </is>
      </c>
      <c r="K228" s="5" t="inlineStr"/>
      <c r="L228" s="5" t="inlineStr">
        <is>
          <t xml:space="preserve"> · média </t>
        </is>
      </c>
      <c r="M228" s="5" t="inlineStr">
        <is>
          <t>DANO.m</t>
        </is>
      </c>
      <c r="N228" s="5" t="inlineStr"/>
      <c r="O228" s="5" t="inlineStr"/>
      <c r="P228" s="5" t="inlineStr"/>
      <c r="Q228" s="5" t="inlineStr"/>
      <c r="R228" s="5" t="inlineStr"/>
      <c r="S228" s="5" t="inlineStr"/>
      <c r="T228" s="5" t="inlineStr"/>
      <c r="U228" s="5" t="inlineStr"/>
    </row>
    <row r="229" ht="37" customHeight="1">
      <c r="A229" s="43" t="inlineStr">
        <is>
          <t>Guarda Pretoriano da Antimatéria|2</t>
        </is>
      </c>
      <c r="B229" s="10" t="inlineStr">
        <is>
          <t>Guarda Pretoriano da Antimatéria</t>
        </is>
      </c>
      <c r="C229" s="10" t="n">
        <v>0</v>
      </c>
      <c r="D229" s="10" t="n">
        <v>2</v>
      </c>
      <c r="E229" s="10" t="inlineStr">
        <is>
          <t>Ataque</t>
        </is>
      </c>
      <c r="F229" s="10" t="inlineStr">
        <is>
          <t>Punho de aríete</t>
        </is>
      </c>
      <c r="G229" s="10" t="inlineStr"/>
      <c r="H229" s="10" t="inlineStr">
        <is>
          <t>Punho de aríete (Pessoal, Físico): 3d8 + 3 · média 16</t>
        </is>
      </c>
      <c r="I229" s="10" t="inlineStr">
        <is>
          <t xml:space="preserve">Punho de aríete (Pessoal, Físico): </t>
        </is>
      </c>
      <c r="J229" s="10" t="inlineStr">
        <is>
          <t>DANO.e</t>
        </is>
      </c>
      <c r="K229" s="10" t="inlineStr"/>
      <c r="L229" s="10" t="inlineStr">
        <is>
          <t xml:space="preserve"> · média </t>
        </is>
      </c>
      <c r="M229" s="10" t="inlineStr">
        <is>
          <t>DANO.m</t>
        </is>
      </c>
      <c r="N229" s="10" t="inlineStr"/>
      <c r="O229" s="10" t="inlineStr"/>
      <c r="P229" s="10" t="inlineStr"/>
      <c r="Q229" s="10" t="inlineStr"/>
      <c r="R229" s="10" t="inlineStr"/>
      <c r="S229" s="10" t="inlineStr"/>
      <c r="T229" s="10" t="inlineStr"/>
      <c r="U229" s="10" t="inlineStr"/>
    </row>
    <row r="230" ht="82" customHeight="1">
      <c r="A230" s="31" t="inlineStr">
        <is>
          <t>Guarda Pretoriano da Antimatéria|3</t>
        </is>
      </c>
      <c r="B230" s="5" t="inlineStr">
        <is>
          <t>Guarda Pretoriano da Antimatéria</t>
        </is>
      </c>
      <c r="C230" s="5" t="n">
        <v>0</v>
      </c>
      <c r="D230" s="5" t="n">
        <v>3</v>
      </c>
      <c r="E230" s="5" t="inlineStr">
        <is>
          <t>Especial</t>
        </is>
      </c>
      <c r="F230" s="5" t="inlineStr">
        <is>
          <t>Falange</t>
        </is>
      </c>
      <c r="G230" s="5" t="n">
        <v>2</v>
      </c>
      <c r="H230" s="5" t="inlineStr">
        <is>
          <t>Falange (recarga 2 Ciclos): enquanto houver outro Guarda Pretoriano a Distância Pessoal dele, os dois ganham RD 4 até o fim do próximo turno dele.</t>
        </is>
      </c>
      <c r="I230" s="5" t="inlineStr">
        <is>
          <t>Falange (recarga 2 Ciclos): enquanto houver outro Guarda Pretoriano a Distância Pessoal dele, os dois ganham RD 4 até o fim do próximo turno dele.</t>
        </is>
      </c>
      <c r="J230" s="5" t="inlineStr"/>
      <c r="K230" s="5" t="inlineStr"/>
      <c r="L230" s="5" t="inlineStr"/>
      <c r="M230" s="5" t="inlineStr"/>
      <c r="N230" s="5" t="inlineStr"/>
      <c r="O230" s="5" t="inlineStr"/>
      <c r="P230" s="5" t="inlineStr"/>
      <c r="Q230" s="5" t="inlineStr"/>
      <c r="R230" s="5" t="inlineStr"/>
      <c r="S230" s="5" t="inlineStr"/>
      <c r="T230" s="5" t="inlineStr"/>
      <c r="U230" s="5" t="inlineStr"/>
    </row>
    <row r="231" ht="37" customHeight="1">
      <c r="A231" s="43" t="inlineStr">
        <is>
          <t>Escória de Stellaron|1</t>
        </is>
      </c>
      <c r="B231" s="10" t="inlineStr">
        <is>
          <t>Escória de Stellaron</t>
        </is>
      </c>
      <c r="C231" s="10" t="n">
        <v>0</v>
      </c>
      <c r="D231" s="10" t="n">
        <v>1</v>
      </c>
      <c r="E231" s="10" t="inlineStr">
        <is>
          <t>Ataque</t>
        </is>
      </c>
      <c r="F231" s="10" t="inlineStr">
        <is>
          <t>Avalanche curta</t>
        </is>
      </c>
      <c r="G231" s="10" t="inlineStr"/>
      <c r="H231" s="10" t="inlineStr">
        <is>
          <t>Avalanche curta (Curta, Físico): 3d8 + 3 · média 16</t>
        </is>
      </c>
      <c r="I231" s="10" t="inlineStr">
        <is>
          <t xml:space="preserve">Avalanche curta (Curta, Físico): </t>
        </is>
      </c>
      <c r="J231" s="10" t="inlineStr">
        <is>
          <t>DANO.e</t>
        </is>
      </c>
      <c r="K231" s="10" t="inlineStr"/>
      <c r="L231" s="10" t="inlineStr">
        <is>
          <t xml:space="preserve"> · média </t>
        </is>
      </c>
      <c r="M231" s="10" t="inlineStr">
        <is>
          <t>DANO.m</t>
        </is>
      </c>
      <c r="N231" s="10" t="inlineStr"/>
      <c r="O231" s="10" t="inlineStr"/>
      <c r="P231" s="10" t="inlineStr"/>
      <c r="Q231" s="10" t="inlineStr"/>
      <c r="R231" s="10" t="inlineStr"/>
      <c r="S231" s="10" t="inlineStr"/>
      <c r="T231" s="10" t="inlineStr"/>
      <c r="U231" s="10" t="inlineStr"/>
    </row>
    <row r="232" ht="116" customHeight="1">
      <c r="A232" s="31" t="inlineStr">
        <is>
          <t>Escória de Stellaron|2</t>
        </is>
      </c>
      <c r="B232" s="5" t="inlineStr">
        <is>
          <t>Escória de Stellaron</t>
        </is>
      </c>
      <c r="C232" s="5" t="n">
        <v>0</v>
      </c>
      <c r="D232" s="5" t="n">
        <v>2</v>
      </c>
      <c r="E232" s="5" t="inlineStr">
        <is>
          <t>Gatilho</t>
        </is>
      </c>
      <c r="F232" s="5" t="inlineStr">
        <is>
          <t>Dividir</t>
        </is>
      </c>
      <c r="G232" s="5" t="inlineStr"/>
      <c r="H232" s="5" t="inlineStr">
        <is>
          <t>Dividir (quando ela cai a 0 PV, uma vez por Escória): uma Escória de Stellaron nova entra em cena com metade dos PV (78) e sem esta ação especial. Ela entra pela VEL nas casas restantes do Ciclo (capítulo 19).</t>
        </is>
      </c>
      <c r="I232" s="5" t="inlineStr">
        <is>
          <t>Dividir (quando ela cai a 0 PV, uma vez por Escória): uma Escória de Stellaron nova entra em cena com metade dos PV (</t>
        </is>
      </c>
      <c r="J232" s="5" t="inlineStr">
        <is>
          <t>PV</t>
        </is>
      </c>
      <c r="K232" s="5" t="n">
        <v>78</v>
      </c>
      <c r="L232" s="5" t="inlineStr">
        <is>
          <t>) e sem esta ação especial. Ela entra pela VEL nas casas restantes do Ciclo (capítulo 19).</t>
        </is>
      </c>
      <c r="M232" s="5" t="inlineStr"/>
      <c r="N232" s="5" t="inlineStr"/>
      <c r="O232" s="5" t="inlineStr"/>
      <c r="P232" s="5" t="inlineStr"/>
      <c r="Q232" s="5" t="inlineStr"/>
      <c r="R232" s="5" t="inlineStr"/>
      <c r="S232" s="5" t="inlineStr"/>
      <c r="T232" s="5" t="inlineStr"/>
      <c r="U232" s="5" t="inlineStr"/>
    </row>
    <row r="233" ht="37" customHeight="1">
      <c r="A233" s="43" t="inlineStr">
        <is>
          <t>Arcanjo de Ferro-Vazio|1</t>
        </is>
      </c>
      <c r="B233" s="10" t="inlineStr">
        <is>
          <t>Arcanjo de Ferro-Vazio</t>
        </is>
      </c>
      <c r="C233" s="10" t="n">
        <v>0</v>
      </c>
      <c r="D233" s="10" t="n">
        <v>1</v>
      </c>
      <c r="E233" s="10" t="inlineStr">
        <is>
          <t>Ataque</t>
        </is>
      </c>
      <c r="F233" s="10" t="inlineStr">
        <is>
          <t>Varredura de seis lâminas</t>
        </is>
      </c>
      <c r="G233" s="10" t="inlineStr"/>
      <c r="H233" s="10" t="inlineStr">
        <is>
          <t>Varredura de seis lâminas (Curta, Físico): 5d12 · média 32</t>
        </is>
      </c>
      <c r="I233" s="10" t="inlineStr">
        <is>
          <t xml:space="preserve">Varredura de seis lâminas (Curta, Físico): </t>
        </is>
      </c>
      <c r="J233" s="10" t="inlineStr">
        <is>
          <t>DANO.e</t>
        </is>
      </c>
      <c r="K233" s="10" t="inlineStr"/>
      <c r="L233" s="10" t="inlineStr">
        <is>
          <t xml:space="preserve"> · média </t>
        </is>
      </c>
      <c r="M233" s="10" t="inlineStr">
        <is>
          <t>DANO.m</t>
        </is>
      </c>
      <c r="N233" s="10" t="inlineStr"/>
      <c r="O233" s="10" t="inlineStr"/>
      <c r="P233" s="10" t="inlineStr"/>
      <c r="Q233" s="10" t="inlineStr"/>
      <c r="R233" s="10" t="inlineStr"/>
      <c r="S233" s="10" t="inlineStr"/>
      <c r="T233" s="10" t="inlineStr"/>
      <c r="U233" s="10" t="inlineStr"/>
    </row>
    <row r="234" ht="37" customHeight="1">
      <c r="A234" s="31" t="inlineStr">
        <is>
          <t>Arcanjo de Ferro-Vazio|2</t>
        </is>
      </c>
      <c r="B234" s="5" t="inlineStr">
        <is>
          <t>Arcanjo de Ferro-Vazio</t>
        </is>
      </c>
      <c r="C234" s="5" t="n">
        <v>0</v>
      </c>
      <c r="D234" s="5" t="n">
        <v>2</v>
      </c>
      <c r="E234" s="5" t="inlineStr">
        <is>
          <t>Ataque</t>
        </is>
      </c>
      <c r="F234" s="5" t="inlineStr">
        <is>
          <t>Lança de vazio</t>
        </is>
      </c>
      <c r="G234" s="5" t="inlineStr"/>
      <c r="H234" s="5" t="inlineStr">
        <is>
          <t>Lança de vazio (Longa, Quântico): 5d12 · média 32</t>
        </is>
      </c>
      <c r="I234" s="5" t="inlineStr">
        <is>
          <t xml:space="preserve">Lança de vazio (Longa, Quântico): </t>
        </is>
      </c>
      <c r="J234" s="5" t="inlineStr">
        <is>
          <t>DANO.e</t>
        </is>
      </c>
      <c r="K234" s="5" t="inlineStr"/>
      <c r="L234" s="5" t="inlineStr">
        <is>
          <t xml:space="preserve"> · média </t>
        </is>
      </c>
      <c r="M234" s="5" t="inlineStr">
        <is>
          <t>DANO.m</t>
        </is>
      </c>
      <c r="N234" s="5" t="inlineStr"/>
      <c r="O234" s="5" t="inlineStr"/>
      <c r="P234" s="5" t="inlineStr"/>
      <c r="Q234" s="5" t="inlineStr"/>
      <c r="R234" s="5" t="inlineStr"/>
      <c r="S234" s="5" t="inlineStr"/>
      <c r="T234" s="5" t="inlineStr"/>
      <c r="U234" s="5" t="inlineStr"/>
    </row>
    <row r="235" ht="116" customHeight="1">
      <c r="A235" s="43" t="inlineStr">
        <is>
          <t>Arcanjo de Ferro-Vazio|3</t>
        </is>
      </c>
      <c r="B235" s="10" t="inlineStr">
        <is>
          <t>Arcanjo de Ferro-Vazio</t>
        </is>
      </c>
      <c r="C235" s="10" t="n">
        <v>0</v>
      </c>
      <c r="D235" s="10" t="n">
        <v>3</v>
      </c>
      <c r="E235" s="10" t="inlineStr">
        <is>
          <t>Especial</t>
        </is>
      </c>
      <c r="F235" s="10" t="inlineStr">
        <is>
          <t>Negar</t>
        </is>
      </c>
      <c r="G235" s="10" t="n">
        <v>2</v>
      </c>
      <c r="H235" s="10" t="inlineStr">
        <is>
          <t>Negar (recarga 2 Ciclos): um alvo faz Teste de Resistência Mental contra DT 20. Se falhar, fica Silenciado por 1 turno e perde toda a Barreira e todos os PV temporários que tiver (capítulos 15 e 23).</t>
        </is>
      </c>
      <c r="I235" s="10" t="inlineStr">
        <is>
          <t xml:space="preserve">Negar (recarga 2 Ciclos): um alvo faz Teste de Resistência Mental contra DT </t>
        </is>
      </c>
      <c r="J235" s="10" t="inlineStr">
        <is>
          <t>DT</t>
        </is>
      </c>
      <c r="K235" s="10" t="inlineStr"/>
      <c r="L235" s="10" t="inlineStr">
        <is>
          <t>. Se falhar, fica Silenciado por 1 turno e perde toda a Barreira e todos os PV temporários que tiver (capítulos 15 e 23).</t>
        </is>
      </c>
      <c r="M235" s="10" t="inlineStr"/>
      <c r="N235" s="10" t="inlineStr"/>
      <c r="O235" s="10" t="inlineStr"/>
      <c r="P235" s="10" t="inlineStr"/>
      <c r="Q235" s="10" t="inlineStr"/>
      <c r="R235" s="10" t="inlineStr"/>
      <c r="S235" s="10" t="inlineStr"/>
      <c r="T235" s="10" t="inlineStr"/>
      <c r="U235" s="10" t="inlineStr"/>
    </row>
    <row r="236" ht="150" customHeight="1">
      <c r="A236" s="31" t="inlineStr">
        <is>
          <t>Arcanjo de Ferro-Vazio|4</t>
        </is>
      </c>
      <c r="B236" s="5" t="inlineStr">
        <is>
          <t>Arcanjo de Ferro-Vazio</t>
        </is>
      </c>
      <c r="C236" s="5" t="n">
        <v>0</v>
      </c>
      <c r="D236" s="5" t="n">
        <v>4</v>
      </c>
      <c r="E236" s="5" t="inlineStr">
        <is>
          <t>Especial</t>
        </is>
      </c>
      <c r="F236" s="5" t="inlineStr">
        <is>
          <t>Coluna de ferro-vazio</t>
        </is>
      </c>
      <c r="G236" s="5" t="n">
        <v>3</v>
      </c>
      <c r="H236" s="5" t="inlineStr">
        <is>
          <t>Coluna de ferro-vazio (recarga 3 Ciclos): até 3 alvos a até uma Distância um do outro fazem Teste de Reflexos contra DT 20. Quem falha recebe 7d12 + 3 · média 48 de dano Quântico e Embaraço com 2 acúmulos; quem passa recebe metade do dano e nenhum Embaraço.</t>
        </is>
      </c>
      <c r="I236" s="5" t="inlineStr">
        <is>
          <t xml:space="preserve">Coluna de ferro-vazio (recarga 3 Ciclos): até 3 alvos a até uma Distância um do outro fazem Teste de Reflexos contra DT </t>
        </is>
      </c>
      <c r="J236" s="5" t="inlineStr">
        <is>
          <t>DT</t>
        </is>
      </c>
      <c r="K236" s="5" t="inlineStr"/>
      <c r="L236" s="5" t="inlineStr">
        <is>
          <t xml:space="preserve">. Quem falha recebe </t>
        </is>
      </c>
      <c r="M236" s="5" t="inlineStr">
        <is>
          <t>DANO15.e</t>
        </is>
      </c>
      <c r="N236" s="5" t="inlineStr"/>
      <c r="O236" s="5" t="inlineStr">
        <is>
          <t xml:space="preserve"> · média </t>
        </is>
      </c>
      <c r="P236" s="5" t="inlineStr">
        <is>
          <t>DANO15.m</t>
        </is>
      </c>
      <c r="Q236" s="5" t="inlineStr"/>
      <c r="R236" s="5" t="inlineStr">
        <is>
          <t xml:space="preserve"> de dano Quântico e Embaraço com 2 acúmulos; quem passa recebe metade do dano e nenhum Embaraço.</t>
        </is>
      </c>
      <c r="S236" s="5" t="inlineStr"/>
      <c r="T236" s="5" t="inlineStr"/>
      <c r="U236" s="5" t="inlineStr"/>
    </row>
    <row r="237" ht="71" customHeight="1">
      <c r="A237" s="43" t="inlineStr">
        <is>
          <t>Arauto da Tempestade Vazia|1</t>
        </is>
      </c>
      <c r="B237" s="10" t="inlineStr">
        <is>
          <t>Arauto da Tempestade Vazia</t>
        </is>
      </c>
      <c r="C237" s="10" t="n">
        <v>0</v>
      </c>
      <c r="D237" s="10" t="n">
        <v>1</v>
      </c>
      <c r="E237" s="10" t="inlineStr">
        <is>
          <t>Ataque</t>
        </is>
      </c>
      <c r="F237" s="10" t="inlineStr">
        <is>
          <t>Sopro de ausência</t>
        </is>
      </c>
      <c r="G237" s="10" t="inlineStr"/>
      <c r="H237" s="10" t="inlineStr">
        <is>
          <t>Sopro de ausência (Média, Vento): 5d12 · média 32, e o alvo recebe Cisalhamento de Vento com 1 acúmulo</t>
        </is>
      </c>
      <c r="I237" s="10" t="inlineStr">
        <is>
          <t xml:space="preserve">Sopro de ausência (Média, Vento): </t>
        </is>
      </c>
      <c r="J237" s="10" t="inlineStr">
        <is>
          <t>DANO.e</t>
        </is>
      </c>
      <c r="K237" s="10" t="inlineStr"/>
      <c r="L237" s="10" t="inlineStr">
        <is>
          <t xml:space="preserve"> · média </t>
        </is>
      </c>
      <c r="M237" s="10" t="inlineStr">
        <is>
          <t>DANO.m</t>
        </is>
      </c>
      <c r="N237" s="10" t="inlineStr"/>
      <c r="O237" s="10" t="inlineStr">
        <is>
          <t>, e o alvo recebe Cisalhamento de Vento com 1 acúmulo</t>
        </is>
      </c>
      <c r="P237" s="10" t="inlineStr"/>
      <c r="Q237" s="10" t="inlineStr"/>
      <c r="R237" s="10" t="inlineStr"/>
      <c r="S237" s="10" t="inlineStr"/>
      <c r="T237" s="10" t="inlineStr"/>
      <c r="U237" s="10" t="inlineStr"/>
    </row>
    <row r="238" ht="37" customHeight="1">
      <c r="A238" s="31" t="inlineStr">
        <is>
          <t>Arauto da Tempestade Vazia|2</t>
        </is>
      </c>
      <c r="B238" s="5" t="inlineStr">
        <is>
          <t>Arauto da Tempestade Vazia</t>
        </is>
      </c>
      <c r="C238" s="5" t="n">
        <v>0</v>
      </c>
      <c r="D238" s="5" t="n">
        <v>2</v>
      </c>
      <c r="E238" s="5" t="inlineStr">
        <is>
          <t>Ataque</t>
        </is>
      </c>
      <c r="F238" s="5" t="inlineStr">
        <is>
          <t>Mão aberta</t>
        </is>
      </c>
      <c r="G238" s="5" t="inlineStr"/>
      <c r="H238" s="5" t="inlineStr">
        <is>
          <t>Mão aberta (Pessoal, Imaginário): 5d12 · média 32</t>
        </is>
      </c>
      <c r="I238" s="5" t="inlineStr">
        <is>
          <t xml:space="preserve">Mão aberta (Pessoal, Imaginário): </t>
        </is>
      </c>
      <c r="J238" s="5" t="inlineStr">
        <is>
          <t>DANO.e</t>
        </is>
      </c>
      <c r="K238" s="5" t="inlineStr"/>
      <c r="L238" s="5" t="inlineStr">
        <is>
          <t xml:space="preserve"> · média </t>
        </is>
      </c>
      <c r="M238" s="5" t="inlineStr">
        <is>
          <t>DANO.m</t>
        </is>
      </c>
      <c r="N238" s="5" t="inlineStr"/>
      <c r="O238" s="5" t="inlineStr"/>
      <c r="P238" s="5" t="inlineStr"/>
      <c r="Q238" s="5" t="inlineStr"/>
      <c r="R238" s="5" t="inlineStr"/>
      <c r="S238" s="5" t="inlineStr"/>
      <c r="T238" s="5" t="inlineStr"/>
      <c r="U238" s="5" t="inlineStr"/>
    </row>
    <row r="239" ht="105" customHeight="1">
      <c r="A239" s="43" t="inlineStr">
        <is>
          <t>Arauto da Tempestade Vazia|3</t>
        </is>
      </c>
      <c r="B239" s="10" t="inlineStr">
        <is>
          <t>Arauto da Tempestade Vazia</t>
        </is>
      </c>
      <c r="C239" s="10" t="n">
        <v>0</v>
      </c>
      <c r="D239" s="10" t="n">
        <v>3</v>
      </c>
      <c r="E239" s="10" t="inlineStr">
        <is>
          <t>Especial</t>
        </is>
      </c>
      <c r="F239" s="10" t="inlineStr">
        <is>
          <t>Rasgar a frase</t>
        </is>
      </c>
      <c r="G239" s="10" t="n">
        <v>2</v>
      </c>
      <c r="H239" s="10" t="inlineStr">
        <is>
          <t>Rasgar a frase (recarga 2 Ciclos): até 3 alvos fazem Teste de Força de Vontade contra DT 20. Quem falha recebe Sangramento por 2 turnos e Vulnerável por 2 turnos. Sem dano direto.</t>
        </is>
      </c>
      <c r="I239" s="10" t="inlineStr">
        <is>
          <t xml:space="preserve">Rasgar a frase (recarga 2 Ciclos): até 3 alvos fazem Teste de Força de Vontade contra DT </t>
        </is>
      </c>
      <c r="J239" s="10" t="inlineStr">
        <is>
          <t>DT</t>
        </is>
      </c>
      <c r="K239" s="10" t="inlineStr"/>
      <c r="L239" s="10" t="inlineStr">
        <is>
          <t>. Quem falha recebe Sangramento por 2 turnos e Vulnerável por 2 turnos. Sem dano direto.</t>
        </is>
      </c>
      <c r="M239" s="10" t="inlineStr"/>
      <c r="N239" s="10" t="inlineStr"/>
      <c r="O239" s="10" t="inlineStr"/>
      <c r="P239" s="10" t="inlineStr"/>
      <c r="Q239" s="10" t="inlineStr"/>
      <c r="R239" s="10" t="inlineStr"/>
      <c r="S239" s="10" t="inlineStr"/>
      <c r="T239" s="10" t="inlineStr"/>
      <c r="U239" s="10" t="inlineStr"/>
    </row>
    <row r="240" ht="138" customHeight="1">
      <c r="A240" s="31" t="inlineStr">
        <is>
          <t>Arauto da Tempestade Vazia|4</t>
        </is>
      </c>
      <c r="B240" s="5" t="inlineStr">
        <is>
          <t>Arauto da Tempestade Vazia</t>
        </is>
      </c>
      <c r="C240" s="5" t="n">
        <v>0</v>
      </c>
      <c r="D240" s="5" t="n">
        <v>4</v>
      </c>
      <c r="E240" s="5" t="inlineStr">
        <is>
          <t>Especial</t>
        </is>
      </c>
      <c r="F240" s="5" t="inlineStr">
        <is>
          <t>Tempestade</t>
        </is>
      </c>
      <c r="G240" s="5" t="n">
        <v>3</v>
      </c>
      <c r="H240" s="5" t="inlineStr">
        <is>
          <t>Tempestade (recarga 3 Ciclos): até 3 alvos a até uma Distância um do outro fazem Teste de Reflexos contra DT 20. Quem falha recebe 7d12 + 3 · média 48 de dano Vento e Cisalhamento de Vento com 3 acúmulos; quem passa recebe metade do dano e 1 acúmulo.</t>
        </is>
      </c>
      <c r="I240" s="5" t="inlineStr">
        <is>
          <t xml:space="preserve">Tempestade (recarga 3 Ciclos): até 3 alvos a até uma Distância um do outro fazem Teste de Reflexos contra DT </t>
        </is>
      </c>
      <c r="J240" s="5" t="inlineStr">
        <is>
          <t>DT</t>
        </is>
      </c>
      <c r="K240" s="5" t="inlineStr"/>
      <c r="L240" s="5" t="inlineStr">
        <is>
          <t xml:space="preserve">. Quem falha recebe </t>
        </is>
      </c>
      <c r="M240" s="5" t="inlineStr">
        <is>
          <t>DANO15.e</t>
        </is>
      </c>
      <c r="N240" s="5" t="inlineStr"/>
      <c r="O240" s="5" t="inlineStr">
        <is>
          <t xml:space="preserve"> · média </t>
        </is>
      </c>
      <c r="P240" s="5" t="inlineStr">
        <is>
          <t>DANO15.m</t>
        </is>
      </c>
      <c r="Q240" s="5" t="inlineStr"/>
      <c r="R240" s="5" t="inlineStr">
        <is>
          <t xml:space="preserve"> de dano Vento e Cisalhamento de Vento com 3 acúmulos; quem passa recebe metade do dano e 1 acúmulo.</t>
        </is>
      </c>
      <c r="S240" s="5" t="inlineStr"/>
      <c r="T240" s="5" t="inlineStr"/>
      <c r="U240" s="5" t="inlineStr"/>
    </row>
    <row r="241" ht="37" customHeight="1">
      <c r="A241" s="43" t="inlineStr">
        <is>
          <t>O Germe de Pavor|1</t>
        </is>
      </c>
      <c r="B241" s="10" t="inlineStr">
        <is>
          <t>O Germe de Pavor</t>
        </is>
      </c>
      <c r="C241" s="10" t="n">
        <v>1</v>
      </c>
      <c r="D241" s="10" t="n">
        <v>1</v>
      </c>
      <c r="E241" s="10" t="inlineStr">
        <is>
          <t>Ataque</t>
        </is>
      </c>
      <c r="F241" s="10" t="inlineStr">
        <is>
          <t>Costela do chão</t>
        </is>
      </c>
      <c r="G241" s="10" t="inlineStr"/>
      <c r="H241" s="10" t="inlineStr">
        <is>
          <t>Costela do chão (Curta, Físico): 7d12 + 3 · média 48</t>
        </is>
      </c>
      <c r="I241" s="10" t="inlineStr">
        <is>
          <t xml:space="preserve">Costela do chão (Curta, Físico): </t>
        </is>
      </c>
      <c r="J241" s="10" t="inlineStr">
        <is>
          <t>DANO.e</t>
        </is>
      </c>
      <c r="K241" s="10" t="inlineStr"/>
      <c r="L241" s="10" t="inlineStr">
        <is>
          <t xml:space="preserve"> · média </t>
        </is>
      </c>
      <c r="M241" s="10" t="inlineStr">
        <is>
          <t>DANO.m</t>
        </is>
      </c>
      <c r="N241" s="10" t="inlineStr"/>
      <c r="O241" s="10" t="inlineStr"/>
      <c r="P241" s="10" t="inlineStr"/>
      <c r="Q241" s="10" t="inlineStr"/>
      <c r="R241" s="10" t="inlineStr"/>
      <c r="S241" s="10" t="inlineStr"/>
      <c r="T241" s="10" t="inlineStr"/>
      <c r="U241" s="10" t="inlineStr"/>
    </row>
    <row r="242" ht="37" customHeight="1">
      <c r="A242" s="31" t="inlineStr">
        <is>
          <t>O Germe de Pavor|2</t>
        </is>
      </c>
      <c r="B242" s="5" t="inlineStr">
        <is>
          <t>O Germe de Pavor</t>
        </is>
      </c>
      <c r="C242" s="5" t="n">
        <v>1</v>
      </c>
      <c r="D242" s="5" t="n">
        <v>2</v>
      </c>
      <c r="E242" s="5" t="inlineStr">
        <is>
          <t>Ataque</t>
        </is>
      </c>
      <c r="F242" s="5" t="inlineStr">
        <is>
          <t>Vomitar escória</t>
        </is>
      </c>
      <c r="G242" s="5" t="inlineStr"/>
      <c r="H242" s="5" t="inlineStr">
        <is>
          <t>Vomitar escória (Longa, Físico): 7d12 + 3 · média 48</t>
        </is>
      </c>
      <c r="I242" s="5" t="inlineStr">
        <is>
          <t xml:space="preserve">Vomitar escória (Longa, Físico): </t>
        </is>
      </c>
      <c r="J242" s="5" t="inlineStr">
        <is>
          <t>DANO.e</t>
        </is>
      </c>
      <c r="K242" s="5" t="inlineStr"/>
      <c r="L242" s="5" t="inlineStr">
        <is>
          <t xml:space="preserve"> · média </t>
        </is>
      </c>
      <c r="M242" s="5" t="inlineStr">
        <is>
          <t>DANO.m</t>
        </is>
      </c>
      <c r="N242" s="5" t="inlineStr"/>
      <c r="O242" s="5" t="inlineStr"/>
      <c r="P242" s="5" t="inlineStr"/>
      <c r="Q242" s="5" t="inlineStr"/>
      <c r="R242" s="5" t="inlineStr"/>
      <c r="S242" s="5" t="inlineStr"/>
      <c r="T242" s="5" t="inlineStr"/>
      <c r="U242" s="5" t="inlineStr"/>
    </row>
    <row r="243" ht="71" customHeight="1">
      <c r="A243" s="43" t="inlineStr">
        <is>
          <t>O Germe de Pavor|3</t>
        </is>
      </c>
      <c r="B243" s="10" t="inlineStr">
        <is>
          <t>O Germe de Pavor</t>
        </is>
      </c>
      <c r="C243" s="10" t="n">
        <v>1</v>
      </c>
      <c r="D243" s="10" t="n">
        <v>3</v>
      </c>
      <c r="E243" s="10" t="inlineStr">
        <is>
          <t>Especial</t>
        </is>
      </c>
      <c r="F243" s="10" t="inlineStr">
        <is>
          <t>Parto falso</t>
        </is>
      </c>
      <c r="G243" s="10" t="n">
        <v>3</v>
      </c>
      <c r="H243" s="10" t="inlineStr">
        <is>
          <t>Parto falso (recarga 3 Ciclos; ocupa uma das 2 ações do turno): 2 Escórias de Stellaron entram em cena, sem a ação especial Dividir.</t>
        </is>
      </c>
      <c r="I243" s="10" t="inlineStr">
        <is>
          <t>Parto falso (recarga 3 Ciclos; ocupa uma das 2 ações do turno): 2 Escórias de Stellaron entram em cena, sem a ação especial Dividir.</t>
        </is>
      </c>
      <c r="J243" s="10" t="inlineStr"/>
      <c r="K243" s="10" t="inlineStr"/>
      <c r="L243" s="10" t="inlineStr"/>
      <c r="M243" s="10" t="inlineStr"/>
      <c r="N243" s="10" t="inlineStr"/>
      <c r="O243" s="10" t="inlineStr"/>
      <c r="P243" s="10" t="inlineStr"/>
      <c r="Q243" s="10" t="inlineStr"/>
      <c r="R243" s="10" t="inlineStr"/>
      <c r="S243" s="10" t="inlineStr"/>
      <c r="T243" s="10" t="inlineStr"/>
      <c r="U243" s="10" t="inlineStr"/>
    </row>
    <row r="244" ht="37" customHeight="1">
      <c r="A244" s="31" t="inlineStr">
        <is>
          <t>O Germe de Pavor|4</t>
        </is>
      </c>
      <c r="B244" s="5" t="inlineStr">
        <is>
          <t>O Germe de Pavor</t>
        </is>
      </c>
      <c r="C244" s="5" t="n">
        <v>2</v>
      </c>
      <c r="D244" s="5" t="n">
        <v>4</v>
      </c>
      <c r="E244" s="5" t="inlineStr">
        <is>
          <t>Ataque</t>
        </is>
      </c>
      <c r="F244" s="5" t="inlineStr">
        <is>
          <t>Costela do chão</t>
        </is>
      </c>
      <c r="G244" s="5" t="inlineStr"/>
      <c r="H244" s="5" t="inlineStr">
        <is>
          <t>Costela do chão (Curta, Físico): 7d12 + 3 · média 48</t>
        </is>
      </c>
      <c r="I244" s="5" t="inlineStr">
        <is>
          <t xml:space="preserve">Costela do chão (Curta, Físico): </t>
        </is>
      </c>
      <c r="J244" s="5" t="inlineStr">
        <is>
          <t>DANO.e</t>
        </is>
      </c>
      <c r="K244" s="5" t="inlineStr"/>
      <c r="L244" s="5" t="inlineStr">
        <is>
          <t xml:space="preserve"> · média </t>
        </is>
      </c>
      <c r="M244" s="5" t="inlineStr">
        <is>
          <t>DANO.m</t>
        </is>
      </c>
      <c r="N244" s="5" t="inlineStr"/>
      <c r="O244" s="5" t="inlineStr"/>
      <c r="P244" s="5" t="inlineStr"/>
      <c r="Q244" s="5" t="inlineStr"/>
      <c r="R244" s="5" t="inlineStr"/>
      <c r="S244" s="5" t="inlineStr"/>
      <c r="T244" s="5" t="inlineStr"/>
      <c r="U244" s="5" t="inlineStr"/>
    </row>
    <row r="245" ht="138" customHeight="1">
      <c r="A245" s="43" t="inlineStr">
        <is>
          <t>O Germe de Pavor|5</t>
        </is>
      </c>
      <c r="B245" s="10" t="inlineStr">
        <is>
          <t>O Germe de Pavor</t>
        </is>
      </c>
      <c r="C245" s="10" t="n">
        <v>2</v>
      </c>
      <c r="D245" s="10" t="n">
        <v>5</v>
      </c>
      <c r="E245" s="10" t="inlineStr">
        <is>
          <t>Especial</t>
        </is>
      </c>
      <c r="F245" s="10" t="inlineStr">
        <is>
          <t>Tomar emprestado</t>
        </is>
      </c>
      <c r="G245" s="10" t="n">
        <v>0</v>
      </c>
      <c r="H245" s="10" t="inlineStr">
        <is>
          <t>Tomar emprestado (ação especial, sem recarga): um alvo faz Teste de Força de Vontade contra DT 21. Se falhar, fica Controlado por 1 turno (capítulo 21). Se passar, recebe 7d12 + 3 · 48 de dano Imaginário. Nunca os dois.</t>
        </is>
      </c>
      <c r="I245" s="10" t="inlineStr">
        <is>
          <t xml:space="preserve">Tomar emprestado (ação especial, sem recarga): um alvo faz Teste de Força de Vontade contra DT </t>
        </is>
      </c>
      <c r="J245" s="10" t="inlineStr">
        <is>
          <t>DT</t>
        </is>
      </c>
      <c r="K245" s="10" t="inlineStr"/>
      <c r="L245" s="10" t="inlineStr">
        <is>
          <t xml:space="preserve">. Se falhar, fica Controlado por 1 turno (capítulo 21). Se passar, recebe </t>
        </is>
      </c>
      <c r="M245" s="10" t="inlineStr">
        <is>
          <t>DANO.e</t>
        </is>
      </c>
      <c r="N245" s="10" t="inlineStr"/>
      <c r="O245" s="10" t="inlineStr">
        <is>
          <t xml:space="preserve"> · </t>
        </is>
      </c>
      <c r="P245" s="10" t="inlineStr">
        <is>
          <t>DANO.m</t>
        </is>
      </c>
      <c r="Q245" s="10" t="inlineStr"/>
      <c r="R245" s="10" t="inlineStr">
        <is>
          <t xml:space="preserve"> de dano Imaginário. Nunca os dois.</t>
        </is>
      </c>
      <c r="S245" s="10" t="inlineStr"/>
      <c r="T245" s="10" t="inlineStr"/>
      <c r="U245" s="10" t="inlineStr"/>
    </row>
    <row r="246" ht="150" customHeight="1">
      <c r="A246" s="31" t="inlineStr">
        <is>
          <t>O Germe de Pavor|6</t>
        </is>
      </c>
      <c r="B246" s="5" t="inlineStr">
        <is>
          <t>O Germe de Pavor</t>
        </is>
      </c>
      <c r="C246" s="5" t="n">
        <v>3</v>
      </c>
      <c r="D246" s="5" t="n">
        <v>6</v>
      </c>
      <c r="E246" s="5" t="inlineStr">
        <is>
          <t>Especial</t>
        </is>
      </c>
      <c r="F246" s="5" t="inlineStr">
        <is>
          <t>Primeira respiração</t>
        </is>
      </c>
      <c r="G246" s="5" t="inlineStr"/>
      <c r="H246" s="5" t="inlineStr">
        <is>
          <t>Primeira respiração (área, Quântico): todos os personagens a até uma Distância um do outro, até 3, fazem Teste de Resistência Física contra DT 21. Quem falha recebe 7d12 + 3 · 48 de dano Quântico e Embaraço com 1 acúmulo; quem passa recebe metade do dano e nada mais.</t>
        </is>
      </c>
      <c r="I246" s="5" t="inlineStr">
        <is>
          <t xml:space="preserve">Primeira respiração (área, Quântico): todos os personagens a até uma Distância um do outro, até 3, fazem Teste de Resistência Física contra DT </t>
        </is>
      </c>
      <c r="J246" s="5" t="inlineStr">
        <is>
          <t>DT</t>
        </is>
      </c>
      <c r="K246" s="5" t="inlineStr"/>
      <c r="L246" s="5" t="inlineStr">
        <is>
          <t xml:space="preserve">. Quem falha recebe </t>
        </is>
      </c>
      <c r="M246" s="5" t="inlineStr">
        <is>
          <t>DANO.e</t>
        </is>
      </c>
      <c r="N246" s="5" t="inlineStr"/>
      <c r="O246" s="5" t="inlineStr">
        <is>
          <t xml:space="preserve"> · </t>
        </is>
      </c>
      <c r="P246" s="5" t="inlineStr">
        <is>
          <t>DANO.m</t>
        </is>
      </c>
      <c r="Q246" s="5" t="inlineStr"/>
      <c r="R246" s="5" t="inlineStr">
        <is>
          <t xml:space="preserve"> de dano Quântico e Embaraço com 1 acúmulo; quem passa recebe metade do dano e nada mais.</t>
        </is>
      </c>
      <c r="S246" s="5" t="inlineStr"/>
      <c r="T246" s="5" t="inlineStr"/>
      <c r="U246" s="5" t="inlineStr"/>
    </row>
    <row r="247" ht="206" customHeight="1">
      <c r="A247" s="43" t="inlineStr">
        <is>
          <t>O Germe de Pavor|7</t>
        </is>
      </c>
      <c r="B247" s="10" t="inlineStr">
        <is>
          <t>O Germe de Pavor</t>
        </is>
      </c>
      <c r="C247" s="10" t="n">
        <v>3</v>
      </c>
      <c r="D247" s="10" t="n">
        <v>7</v>
      </c>
      <c r="E247" s="10" t="inlineStr">
        <is>
          <t>Gatilho</t>
        </is>
      </c>
      <c r="F247" s="10" t="inlineStr">
        <is>
          <t>Sem desfecho</t>
        </is>
      </c>
      <c r="G247" s="10" t="inlineStr"/>
      <c r="H247" s="10" t="inlineStr">
        <is>
          <t>Sem desfecho (1 vez por combate, quando ele chega a 100 PV ou menos; ocupa a ação do turno): todos os personagens de pé fazem Teste de Força de Vontade contra DT 21. Quem falha recebe 10d12 + 7 · média 72 de dano Imaginário; quem passa recebe metade. Esta é a única ação do bestiário que pega a mesa inteira sem limite de alvos, e ela sai uma vez, perto do fim.</t>
        </is>
      </c>
      <c r="I247" s="10" t="inlineStr">
        <is>
          <t xml:space="preserve">Sem desfecho (1 vez por combate, quando ele chega a </t>
        </is>
      </c>
      <c r="J247" s="10" t="inlineStr">
        <is>
          <t>PV</t>
        </is>
      </c>
      <c r="K247" s="10" t="n">
        <v>100</v>
      </c>
      <c r="L247" s="10" t="inlineStr">
        <is>
          <t xml:space="preserve"> PV ou menos; ocupa a ação do turno): todos os personagens de pé fazem Teste de Força de Vontade contra DT </t>
        </is>
      </c>
      <c r="M247" s="10" t="inlineStr">
        <is>
          <t>DT</t>
        </is>
      </c>
      <c r="N247" s="10" t="inlineStr"/>
      <c r="O247" s="10" t="inlineStr">
        <is>
          <t xml:space="preserve">. Quem falha recebe </t>
        </is>
      </c>
      <c r="P247" s="10" t="inlineStr">
        <is>
          <t>DANO15.e</t>
        </is>
      </c>
      <c r="Q247" s="10" t="inlineStr"/>
      <c r="R247" s="10" t="inlineStr">
        <is>
          <t xml:space="preserve"> · média </t>
        </is>
      </c>
      <c r="S247" s="10" t="inlineStr">
        <is>
          <t>DANO15.m</t>
        </is>
      </c>
      <c r="T247" s="10" t="inlineStr"/>
      <c r="U247" s="10" t="inlineStr">
        <is>
          <t xml:space="preserve"> de dano Imaginário; quem passa recebe metade. Esta é a única ação do bestiário que pega a mesa inteira sem limite de alvos, e ela sai uma vez, perto do fim.</t>
        </is>
      </c>
    </row>
    <row r="248" ht="37" customHeight="1">
      <c r="A248" s="31" t="inlineStr">
        <is>
          <t>Vazia Coroada|1</t>
        </is>
      </c>
      <c r="B248" s="5" t="inlineStr">
        <is>
          <t>Vazia Coroada</t>
        </is>
      </c>
      <c r="C248" s="5" t="n">
        <v>1</v>
      </c>
      <c r="D248" s="5" t="n">
        <v>1</v>
      </c>
      <c r="E248" s="5" t="inlineStr">
        <is>
          <t>Ataque</t>
        </is>
      </c>
      <c r="F248" s="5" t="inlineStr">
        <is>
          <t>Gesto de dispensa</t>
        </is>
      </c>
      <c r="G248" s="5" t="inlineStr"/>
      <c r="H248" s="5" t="inlineStr">
        <is>
          <t>Gesto de dispensa (Longa, Imaginário): 7d12 + 3 · média 48</t>
        </is>
      </c>
      <c r="I248" s="5" t="inlineStr">
        <is>
          <t xml:space="preserve">Gesto de dispensa (Longa, Imaginário): </t>
        </is>
      </c>
      <c r="J248" s="5" t="inlineStr">
        <is>
          <t>DANO.e</t>
        </is>
      </c>
      <c r="K248" s="5" t="inlineStr"/>
      <c r="L248" s="5" t="inlineStr">
        <is>
          <t xml:space="preserve"> · média </t>
        </is>
      </c>
      <c r="M248" s="5" t="inlineStr">
        <is>
          <t>DANO.m</t>
        </is>
      </c>
      <c r="N248" s="5" t="inlineStr"/>
      <c r="O248" s="5" t="inlineStr"/>
      <c r="P248" s="5" t="inlineStr"/>
      <c r="Q248" s="5" t="inlineStr"/>
      <c r="R248" s="5" t="inlineStr"/>
      <c r="S248" s="5" t="inlineStr"/>
      <c r="T248" s="5" t="inlineStr"/>
      <c r="U248" s="5" t="inlineStr"/>
    </row>
    <row r="249" ht="37" customHeight="1">
      <c r="A249" s="43" t="inlineStr">
        <is>
          <t>Vazia Coroada|2</t>
        </is>
      </c>
      <c r="B249" s="10" t="inlineStr">
        <is>
          <t>Vazia Coroada</t>
        </is>
      </c>
      <c r="C249" s="10" t="n">
        <v>1</v>
      </c>
      <c r="D249" s="10" t="n">
        <v>2</v>
      </c>
      <c r="E249" s="10" t="inlineStr">
        <is>
          <t>Ataque</t>
        </is>
      </c>
      <c r="F249" s="10" t="inlineStr">
        <is>
          <t>Coroa descendo</t>
        </is>
      </c>
      <c r="G249" s="10" t="inlineStr"/>
      <c r="H249" s="10" t="inlineStr">
        <is>
          <t>Coroa descendo (Pessoal, Físico): 7d12 + 3 · média 48</t>
        </is>
      </c>
      <c r="I249" s="10" t="inlineStr">
        <is>
          <t xml:space="preserve">Coroa descendo (Pessoal, Físico): </t>
        </is>
      </c>
      <c r="J249" s="10" t="inlineStr">
        <is>
          <t>DANO.e</t>
        </is>
      </c>
      <c r="K249" s="10" t="inlineStr"/>
      <c r="L249" s="10" t="inlineStr">
        <is>
          <t xml:space="preserve"> · média </t>
        </is>
      </c>
      <c r="M249" s="10" t="inlineStr">
        <is>
          <t>DANO.m</t>
        </is>
      </c>
      <c r="N249" s="10" t="inlineStr"/>
      <c r="O249" s="10" t="inlineStr"/>
      <c r="P249" s="10" t="inlineStr"/>
      <c r="Q249" s="10" t="inlineStr"/>
      <c r="R249" s="10" t="inlineStr"/>
      <c r="S249" s="10" t="inlineStr"/>
      <c r="T249" s="10" t="inlineStr"/>
      <c r="U249" s="10" t="inlineStr"/>
    </row>
    <row r="250" ht="138" customHeight="1">
      <c r="A250" s="31" t="inlineStr">
        <is>
          <t>Vazia Coroada|3</t>
        </is>
      </c>
      <c r="B250" s="5" t="inlineStr">
        <is>
          <t>Vazia Coroada</t>
        </is>
      </c>
      <c r="C250" s="5" t="n">
        <v>1</v>
      </c>
      <c r="D250" s="5" t="n">
        <v>3</v>
      </c>
      <c r="E250" s="5" t="inlineStr">
        <is>
          <t>Especial</t>
        </is>
      </c>
      <c r="F250" s="5" t="inlineStr">
        <is>
          <t>Concordância</t>
        </is>
      </c>
      <c r="G250" s="5" t="n">
        <v>2</v>
      </c>
      <c r="H250" s="5" t="inlineStr">
        <is>
          <t>Concordância (recarga 2 Ciclos; ocupa uma das 2 ações do turno): um alvo faz Teste de Força de Vontade contra DT 21. Se falhar, recebe Corrupção com 3 acúmulos (capítulo 21) e Vulnerável por 2 turnos. Sem dano direto.</t>
        </is>
      </c>
      <c r="I250" s="5" t="inlineStr">
        <is>
          <t xml:space="preserve">Concordância (recarga 2 Ciclos; ocupa uma das 2 ações do turno): um alvo faz Teste de Força de Vontade contra DT </t>
        </is>
      </c>
      <c r="J250" s="5" t="inlineStr">
        <is>
          <t>DT</t>
        </is>
      </c>
      <c r="K250" s="5" t="inlineStr"/>
      <c r="L250" s="5" t="inlineStr">
        <is>
          <t>. Se falhar, recebe Corrupção com 3 acúmulos (capítulo 21) e Vulnerável por 2 turnos. Sem dano direto.</t>
        </is>
      </c>
      <c r="M250" s="5" t="inlineStr"/>
      <c r="N250" s="5" t="inlineStr"/>
      <c r="O250" s="5" t="inlineStr"/>
      <c r="P250" s="5" t="inlineStr"/>
      <c r="Q250" s="5" t="inlineStr"/>
      <c r="R250" s="5" t="inlineStr"/>
      <c r="S250" s="5" t="inlineStr"/>
      <c r="T250" s="5" t="inlineStr"/>
      <c r="U250" s="5" t="inlineStr"/>
    </row>
    <row r="251" ht="150" customHeight="1">
      <c r="A251" s="43" t="inlineStr">
        <is>
          <t>Vazia Coroada|4</t>
        </is>
      </c>
      <c r="B251" s="10" t="inlineStr">
        <is>
          <t>Vazia Coroada</t>
        </is>
      </c>
      <c r="C251" s="10" t="n">
        <v>1</v>
      </c>
      <c r="D251" s="10" t="n">
        <v>4</v>
      </c>
      <c r="E251" s="10" t="inlineStr">
        <is>
          <t>Especial</t>
        </is>
      </c>
      <c r="F251" s="10" t="inlineStr">
        <is>
          <t>Nada disso importou</t>
        </is>
      </c>
      <c r="G251" s="10" t="n">
        <v>3</v>
      </c>
      <c r="H251" s="10" t="inlineStr">
        <is>
          <t>Nada disso importou (recarga 3 Ciclos; ocupa uma das 2 ações do turno): até 3 alvos fazem Teste de Resistência Mental contra DT 21. Quem falha recebe 7d12 + 3 · 48 de dano Imaginário e Silenciado por 1 turno; quem passa recebe metade do dano.</t>
        </is>
      </c>
      <c r="I251" s="10" t="inlineStr">
        <is>
          <t xml:space="preserve">Nada disso importou (recarga 3 Ciclos; ocupa uma das 2 ações do turno): até 3 alvos fazem Teste de Resistência Mental contra DT </t>
        </is>
      </c>
      <c r="J251" s="10" t="inlineStr">
        <is>
          <t>DT</t>
        </is>
      </c>
      <c r="K251" s="10" t="inlineStr"/>
      <c r="L251" s="10" t="inlineStr">
        <is>
          <t xml:space="preserve">. Quem falha recebe </t>
        </is>
      </c>
      <c r="M251" s="10" t="inlineStr">
        <is>
          <t>DANO.e</t>
        </is>
      </c>
      <c r="N251" s="10" t="inlineStr"/>
      <c r="O251" s="10" t="inlineStr">
        <is>
          <t xml:space="preserve"> · </t>
        </is>
      </c>
      <c r="P251" s="10" t="inlineStr">
        <is>
          <t>DANO.m</t>
        </is>
      </c>
      <c r="Q251" s="10" t="inlineStr"/>
      <c r="R251" s="10" t="inlineStr">
        <is>
          <t xml:space="preserve"> de dano Imaginário e Silenciado por 1 turno; quem passa recebe metade do dano.</t>
        </is>
      </c>
      <c r="S251" s="10" t="inlineStr"/>
      <c r="T251" s="10" t="inlineStr"/>
      <c r="U251" s="10" t="inlineStr"/>
    </row>
    <row r="252" ht="37" customHeight="1">
      <c r="A252" s="31" t="inlineStr">
        <is>
          <t>Vazia Coroada|5</t>
        </is>
      </c>
      <c r="B252" s="5" t="inlineStr">
        <is>
          <t>Vazia Coroada</t>
        </is>
      </c>
      <c r="C252" s="5" t="n">
        <v>2</v>
      </c>
      <c r="D252" s="5" t="n">
        <v>5</v>
      </c>
      <c r="E252" s="5" t="inlineStr">
        <is>
          <t>Ataque</t>
        </is>
      </c>
      <c r="F252" s="5" t="inlineStr">
        <is>
          <t>Coroa descendo</t>
        </is>
      </c>
      <c r="G252" s="5" t="inlineStr"/>
      <c r="H252" s="5" t="inlineStr">
        <is>
          <t>Coroa descendo (Pessoal, Físico): 7d12 + 3 · média 48</t>
        </is>
      </c>
      <c r="I252" s="5" t="inlineStr">
        <is>
          <t xml:space="preserve">Coroa descendo (Pessoal, Físico): </t>
        </is>
      </c>
      <c r="J252" s="5" t="inlineStr">
        <is>
          <t>DANO.e</t>
        </is>
      </c>
      <c r="K252" s="5" t="inlineStr"/>
      <c r="L252" s="5" t="inlineStr">
        <is>
          <t xml:space="preserve"> · média </t>
        </is>
      </c>
      <c r="M252" s="5" t="inlineStr">
        <is>
          <t>DANO.m</t>
        </is>
      </c>
      <c r="N252" s="5" t="inlineStr"/>
      <c r="O252" s="5" t="inlineStr"/>
      <c r="P252" s="5" t="inlineStr"/>
      <c r="Q252" s="5" t="inlineStr"/>
      <c r="R252" s="5" t="inlineStr"/>
      <c r="S252" s="5" t="inlineStr"/>
      <c r="T252" s="5" t="inlineStr"/>
      <c r="U252" s="5" t="inlineStr"/>
    </row>
    <row r="253" ht="195" customHeight="1">
      <c r="A253" s="43" t="inlineStr">
        <is>
          <t>Vazia Coroada|6</t>
        </is>
      </c>
      <c r="B253" s="10" t="inlineStr">
        <is>
          <t>Vazia Coroada</t>
        </is>
      </c>
      <c r="C253" s="10" t="n">
        <v>2</v>
      </c>
      <c r="D253" s="10" t="n">
        <v>6</v>
      </c>
      <c r="E253" s="10" t="inlineStr">
        <is>
          <t>Especial</t>
        </is>
      </c>
      <c r="F253" s="10" t="inlineStr">
        <is>
          <t>Maré de Inexistência</t>
        </is>
      </c>
      <c r="G253" s="10" t="n">
        <v>0</v>
      </c>
      <c r="H253" s="10" t="inlineStr">
        <is>
          <t>Maré de Inexistência (ação especial, sem recarga): até 3 alvos a até uma Distância um do outro fazem Teste de Resistência Física contra DT 21. Quem falha recebe Sangramento e Queimadura por 2 turnos, os dois com a Eficiência dela (+8); quem passa recebe só o Sangramento. Esta ação não causa dano direto nenhum — ela instala o relógio.</t>
        </is>
      </c>
      <c r="I253" s="10" t="inlineStr">
        <is>
          <t xml:space="preserve">Maré de Inexistência (ação especial, sem recarga): até 3 alvos a até uma Distância um do outro fazem Teste de Resistência Física contra DT </t>
        </is>
      </c>
      <c r="J253" s="10" t="inlineStr">
        <is>
          <t>DT</t>
        </is>
      </c>
      <c r="K253" s="10" t="inlineStr"/>
      <c r="L253" s="10" t="inlineStr">
        <is>
          <t>. Quem falha recebe Sangramento e Queimadura por 2 turnos, os dois com a Eficiência dela (+8); quem passa recebe só o Sangramento. Esta ação não causa dano direto nenhum — ela instala o relógio.</t>
        </is>
      </c>
      <c r="M253" s="10" t="inlineStr"/>
      <c r="N253" s="10" t="inlineStr"/>
      <c r="O253" s="10" t="inlineStr"/>
      <c r="P253" s="10" t="inlineStr"/>
      <c r="Q253" s="10" t="inlineStr"/>
      <c r="R253" s="10" t="inlineStr"/>
      <c r="S253" s="10" t="inlineStr"/>
      <c r="T253" s="10" t="inlineStr"/>
      <c r="U253" s="10" t="inlineStr"/>
    </row>
    <row r="254" ht="60" customHeight="1">
      <c r="A254" s="31" t="inlineStr">
        <is>
          <t>Vazia Coroada|7</t>
        </is>
      </c>
      <c r="B254" s="5" t="inlineStr">
        <is>
          <t>Vazia Coroada</t>
        </is>
      </c>
      <c r="C254" s="5" t="n">
        <v>2</v>
      </c>
      <c r="D254" s="5" t="n">
        <v>7</v>
      </c>
      <c r="E254" s="5" t="inlineStr">
        <is>
          <t>Especial</t>
        </is>
      </c>
      <c r="F254" s="5" t="inlineStr">
        <is>
          <t>Concordância</t>
        </is>
      </c>
      <c r="G254" s="5" t="n">
        <v>2</v>
      </c>
      <c r="H254" s="5" t="inlineStr">
        <is>
          <t>Concordância (recarga 2 Ciclos, versão da fase 2): como na fase 1, com 5 acúmulos de Corrupção.</t>
        </is>
      </c>
      <c r="I254" s="5" t="inlineStr">
        <is>
          <t>Concordância (recarga 2 Ciclos, versão da fase 2): como na fase 1, com 5 acúmulos de Corrupção.</t>
        </is>
      </c>
      <c r="J254" s="5" t="inlineStr"/>
      <c r="K254" s="5" t="inlineStr"/>
      <c r="L254" s="5" t="inlineStr"/>
      <c r="M254" s="5" t="inlineStr"/>
      <c r="N254" s="5" t="inlineStr"/>
      <c r="O254" s="5" t="inlineStr"/>
      <c r="P254" s="5" t="inlineStr"/>
      <c r="Q254" s="5" t="inlineStr"/>
      <c r="R254" s="5" t="inlineStr"/>
      <c r="S254" s="5" t="inlineStr"/>
      <c r="T254" s="5" t="inlineStr"/>
      <c r="U254" s="5" t="inlineStr"/>
    </row>
    <row r="255" ht="37" customHeight="1">
      <c r="A255" s="43" t="inlineStr">
        <is>
          <t>Vazia Coroada|8</t>
        </is>
      </c>
      <c r="B255" s="10" t="inlineStr">
        <is>
          <t>Vazia Coroada</t>
        </is>
      </c>
      <c r="C255" s="10" t="n">
        <v>3</v>
      </c>
      <c r="D255" s="10" t="n">
        <v>8</v>
      </c>
      <c r="E255" s="10" t="inlineStr">
        <is>
          <t>Ataque</t>
        </is>
      </c>
      <c r="F255" s="10" t="inlineStr">
        <is>
          <t>Coroa descendo</t>
        </is>
      </c>
      <c r="G255" s="10" t="inlineStr"/>
      <c r="H255" s="10" t="inlineStr">
        <is>
          <t>Coroa descendo (Pessoal, Físico): 7d12 + 3 · média 48</t>
        </is>
      </c>
      <c r="I255" s="10" t="inlineStr">
        <is>
          <t xml:space="preserve">Coroa descendo (Pessoal, Físico): </t>
        </is>
      </c>
      <c r="J255" s="10" t="inlineStr">
        <is>
          <t>DANO.e</t>
        </is>
      </c>
      <c r="K255" s="10" t="inlineStr"/>
      <c r="L255" s="10" t="inlineStr">
        <is>
          <t xml:space="preserve"> · média </t>
        </is>
      </c>
      <c r="M255" s="10" t="inlineStr">
        <is>
          <t>DANO.m</t>
        </is>
      </c>
      <c r="N255" s="10" t="inlineStr"/>
      <c r="O255" s="10" t="inlineStr"/>
      <c r="P255" s="10" t="inlineStr"/>
      <c r="Q255" s="10" t="inlineStr"/>
      <c r="R255" s="10" t="inlineStr"/>
      <c r="S255" s="10" t="inlineStr"/>
      <c r="T255" s="10" t="inlineStr"/>
      <c r="U255" s="10" t="inlineStr"/>
    </row>
    <row r="256" ht="37" customHeight="1">
      <c r="A256" s="31" t="inlineStr">
        <is>
          <t>Vazia Coroada|9</t>
        </is>
      </c>
      <c r="B256" s="5" t="inlineStr">
        <is>
          <t>Vazia Coroada</t>
        </is>
      </c>
      <c r="C256" s="5" t="n">
        <v>3</v>
      </c>
      <c r="D256" s="5" t="n">
        <v>9</v>
      </c>
      <c r="E256" s="5" t="inlineStr">
        <is>
          <t>Ataque</t>
        </is>
      </c>
      <c r="F256" s="5" t="inlineStr">
        <is>
          <t>Mão vazia</t>
        </is>
      </c>
      <c r="G256" s="5" t="inlineStr"/>
      <c r="H256" s="5" t="inlineStr">
        <is>
          <t>Mão vazia (Curta, Imaginário): 7d12 + 3 · média 48</t>
        </is>
      </c>
      <c r="I256" s="5" t="inlineStr">
        <is>
          <t xml:space="preserve">Mão vazia (Curta, Imaginário): </t>
        </is>
      </c>
      <c r="J256" s="5" t="inlineStr">
        <is>
          <t>DANO.e</t>
        </is>
      </c>
      <c r="K256" s="5" t="inlineStr"/>
      <c r="L256" s="5" t="inlineStr">
        <is>
          <t xml:space="preserve"> · média </t>
        </is>
      </c>
      <c r="M256" s="5" t="inlineStr">
        <is>
          <t>DANO.m</t>
        </is>
      </c>
      <c r="N256" s="5" t="inlineStr"/>
      <c r="O256" s="5" t="inlineStr"/>
      <c r="P256" s="5" t="inlineStr"/>
      <c r="Q256" s="5" t="inlineStr"/>
      <c r="R256" s="5" t="inlineStr"/>
      <c r="S256" s="5" t="inlineStr"/>
      <c r="T256" s="5" t="inlineStr"/>
      <c r="U256" s="5" t="inlineStr"/>
    </row>
    <row r="257" ht="206" customHeight="1">
      <c r="A257" s="43" t="inlineStr">
        <is>
          <t>Vazia Coroada|10</t>
        </is>
      </c>
      <c r="B257" s="10" t="inlineStr">
        <is>
          <t>Vazia Coroada</t>
        </is>
      </c>
      <c r="C257" s="10" t="n">
        <v>3</v>
      </c>
      <c r="D257" s="10" t="n">
        <v>10</v>
      </c>
      <c r="E257" s="10" t="inlineStr">
        <is>
          <t>Gatilho</t>
        </is>
      </c>
      <c r="F257" s="10" t="inlineStr">
        <is>
          <t>O nome dela</t>
        </is>
      </c>
      <c r="G257" s="10" t="inlineStr"/>
      <c r="H257" s="10" t="inlineStr">
        <is>
          <t>O nome dela (1 vez por combate, quando ela chega a 120 PV ou menos; ocupa as duas ações do turno): até 3 alvos fazem Teste de Força de Vontade contra DT 21. Quem falha recebe 10d12 + 7 · média 72 de dano Imaginário e Silenciado por 1 turno; quem passa recebe metade do dano. Ela diz o nome dela ao fazer isso, e é a única informação que o grupo leva dessa cena.</t>
        </is>
      </c>
      <c r="I257" s="10" t="inlineStr">
        <is>
          <t xml:space="preserve">O nome dela (1 vez por combate, quando ela chega a </t>
        </is>
      </c>
      <c r="J257" s="10" t="inlineStr">
        <is>
          <t>PV</t>
        </is>
      </c>
      <c r="K257" s="10" t="n">
        <v>120</v>
      </c>
      <c r="L257" s="10" t="inlineStr">
        <is>
          <t xml:space="preserve"> PV ou menos; ocupa as duas ações do turno): até 3 alvos fazem Teste de Força de Vontade contra DT </t>
        </is>
      </c>
      <c r="M257" s="10" t="inlineStr">
        <is>
          <t>DT</t>
        </is>
      </c>
      <c r="N257" s="10" t="inlineStr"/>
      <c r="O257" s="10" t="inlineStr">
        <is>
          <t xml:space="preserve">. Quem falha recebe </t>
        </is>
      </c>
      <c r="P257" s="10" t="inlineStr">
        <is>
          <t>DANO15.e</t>
        </is>
      </c>
      <c r="Q257" s="10" t="inlineStr"/>
      <c r="R257" s="10" t="inlineStr">
        <is>
          <t xml:space="preserve"> · média </t>
        </is>
      </c>
      <c r="S257" s="10" t="inlineStr">
        <is>
          <t>DANO15.m</t>
        </is>
      </c>
      <c r="T257" s="10" t="inlineStr"/>
      <c r="U257" s="10" t="inlineStr">
        <is>
          <t xml:space="preserve"> de dano Imaginário e Silenciado por 1 turno; quem passa recebe metade do dano. Ela diz o nome dela ao fazer isso, e é a única informação que o grupo leva dessa cena.</t>
        </is>
      </c>
    </row>
    <row r="258"/>
    <row r="259" ht="32" customHeight="1">
      <c r="A259" s="69" t="inlineStr">
        <is>
          <t>Orçamento do encontro (grupo de 4) — 27.4</t>
        </is>
      </c>
      <c r="B259" s="70" t="n"/>
      <c r="C259" s="70" t="n"/>
      <c r="D259" s="70" t="n"/>
      <c r="E259" s="70" t="n"/>
      <c r="F259" s="70" t="n"/>
    </row>
    <row r="260" ht="26" customHeight="1">
      <c r="A260" s="8" t="inlineStr">
        <is>
          <t>Faixa</t>
        </is>
      </c>
      <c r="B260" s="8" t="inlineStr">
        <is>
          <t>Dano do grupo por Ciclo</t>
        </is>
      </c>
      <c r="C260" s="8" t="inlineStr">
        <is>
          <t>Orçamento</t>
        </is>
      </c>
      <c r="D260" s="8" t="inlineStr">
        <is>
          <t>Custo Comum</t>
        </is>
      </c>
      <c r="E260" s="8" t="inlineStr">
        <is>
          <t>Custo Elite</t>
        </is>
      </c>
      <c r="F260" s="8" t="inlineStr">
        <is>
          <t>Custo Boss</t>
        </is>
      </c>
    </row>
    <row r="261">
      <c r="A261" s="31" t="inlineStr">
        <is>
          <t>1-4</t>
        </is>
      </c>
      <c r="B261" s="5" t="n">
        <v>88</v>
      </c>
      <c r="C261" s="5" t="n">
        <v>352</v>
      </c>
      <c r="D261" s="5" t="n">
        <v>50</v>
      </c>
      <c r="E261" s="5" t="n">
        <v>120</v>
      </c>
      <c r="F261" s="5" t="n">
        <v>305</v>
      </c>
    </row>
    <row r="262">
      <c r="A262" s="43" t="inlineStr">
        <is>
          <t>5-8</t>
        </is>
      </c>
      <c r="B262" s="10" t="n">
        <v>119</v>
      </c>
      <c r="C262" s="10" t="n">
        <v>476</v>
      </c>
      <c r="D262" s="10" t="n">
        <v>70</v>
      </c>
      <c r="E262" s="10" t="n">
        <v>160</v>
      </c>
      <c r="F262" s="10" t="n">
        <v>410</v>
      </c>
    </row>
    <row r="263">
      <c r="A263" s="31" t="inlineStr">
        <is>
          <t>9-12</t>
        </is>
      </c>
      <c r="B263" s="5" t="n">
        <v>168</v>
      </c>
      <c r="C263" s="5" t="n">
        <v>672</v>
      </c>
      <c r="D263" s="5" t="n">
        <v>95</v>
      </c>
      <c r="E263" s="5" t="n">
        <v>225</v>
      </c>
      <c r="F263" s="5" t="n">
        <v>580</v>
      </c>
    </row>
    <row r="264">
      <c r="A264" s="43" t="inlineStr">
        <is>
          <t>13-16</t>
        </is>
      </c>
      <c r="B264" s="10" t="n">
        <v>218</v>
      </c>
      <c r="C264" s="10" t="n">
        <v>872</v>
      </c>
      <c r="D264" s="10" t="n">
        <v>125</v>
      </c>
      <c r="E264" s="10" t="n">
        <v>295</v>
      </c>
      <c r="F264" s="10" t="n">
        <v>750</v>
      </c>
    </row>
    <row r="265">
      <c r="A265" s="31" t="inlineStr">
        <is>
          <t>17-20</t>
        </is>
      </c>
      <c r="B265" s="5" t="n">
        <v>271</v>
      </c>
      <c r="C265" s="5" t="n">
        <v>1084</v>
      </c>
      <c r="D265" s="5" t="n">
        <v>155</v>
      </c>
      <c r="E265" s="5" t="n">
        <v>365</v>
      </c>
      <c r="F265" s="5" t="n">
        <v>935</v>
      </c>
    </row>
    <row r="266"/>
    <row r="267" ht="32" customHeight="1">
      <c r="A267" s="69" t="inlineStr">
        <is>
          <t>As quatro composições — 27.4 e 28.11</t>
        </is>
      </c>
      <c r="B267" s="70" t="n"/>
      <c r="C267" s="70" t="n"/>
      <c r="D267" s="70" t="n"/>
      <c r="E267" s="70" t="n"/>
      <c r="F267" s="70" t="n"/>
      <c r="G267" s="70" t="n"/>
      <c r="H267" s="70" t="n"/>
    </row>
    <row r="268">
      <c r="A268" s="8" t="inlineStr">
        <is>
          <t>Composição</t>
        </is>
      </c>
      <c r="B268" s="8" t="inlineStr">
        <is>
          <t>Como ela se sente</t>
        </is>
      </c>
      <c r="C268" s="8" t="inlineStr">
        <is>
          <t>Duração esperada</t>
        </is>
      </c>
      <c r="D268" s="8" t="inlineStr">
        <is>
          <t>Boss</t>
        </is>
      </c>
      <c r="E268" s="8" t="inlineStr">
        <is>
          <t>Elite</t>
        </is>
      </c>
      <c r="F268" s="8" t="inlineStr">
        <is>
          <t>Comum</t>
        </is>
      </c>
      <c r="G268" s="8" t="inlineStr">
        <is>
          <t>Exemplo 1-4</t>
        </is>
      </c>
      <c r="H268" s="8" t="inlineStr">
        <is>
          <t>Exemplo 17-20</t>
        </is>
      </c>
    </row>
    <row r="269" ht="48" customHeight="1">
      <c r="A269" s="31" t="inlineStr">
        <is>
          <t>1 Boss + 1 Comum</t>
        </is>
      </c>
      <c r="B269" s="5" t="inlineStr">
        <is>
          <t>uma ameaça com nome, um estorvo. O combate é um duelo com interrupção</t>
        </is>
      </c>
      <c r="C269" s="5" t="inlineStr">
        <is>
          <t>3 a 5 Ciclos</t>
        </is>
      </c>
      <c r="D269" s="5" t="n">
        <v>1</v>
      </c>
      <c r="E269" s="5" t="n">
        <v>0</v>
      </c>
      <c r="F269" s="5" t="n">
        <v>1</v>
      </c>
      <c r="G269" s="5" t="inlineStr">
        <is>
          <t>O Afogado do Poço Sete + 1 Casco Oco</t>
        </is>
      </c>
      <c r="H269" s="5" t="inlineStr">
        <is>
          <t>O Germe de Pavor, sozinho (o Parto falso traz os Comuns)</t>
        </is>
      </c>
    </row>
    <row r="270" ht="48" customHeight="1">
      <c r="A270" s="43" t="inlineStr">
        <is>
          <t>1 Elite + 4 Comuns</t>
        </is>
      </c>
      <c r="B270" s="10" t="inlineStr">
        <is>
          <t>um comandante e a tropa dele. O grupo escolhe entre limpar os lados ou ir no chefe</t>
        </is>
      </c>
      <c r="C270" s="10" t="inlineStr">
        <is>
          <t>3 a 4 Ciclos</t>
        </is>
      </c>
      <c r="D270" s="10" t="n">
        <v>0</v>
      </c>
      <c r="E270" s="10" t="n">
        <v>1</v>
      </c>
      <c r="F270" s="10" t="n">
        <v>4</v>
      </c>
      <c r="G270" s="10" t="inlineStr">
        <is>
          <t>Sargento de Trincheira + 4 Peões da Antimatéria</t>
        </is>
      </c>
      <c r="H270" s="10" t="inlineStr">
        <is>
          <t>Arcanjo de Ferro-Vazio + 4 Guardas Pretorianos</t>
        </is>
      </c>
    </row>
    <row r="271" ht="48" customHeight="1">
      <c r="A271" s="31" t="inlineStr">
        <is>
          <t>3 Elites</t>
        </is>
      </c>
      <c r="B271" s="5" t="inlineStr">
        <is>
          <t>três problemas simultâneos. É a mais pesada das quatro em dano recebido</t>
        </is>
      </c>
      <c r="C271" s="5" t="inlineStr">
        <is>
          <t>3 a 4 Ciclos</t>
        </is>
      </c>
      <c r="D271" s="5" t="n">
        <v>0</v>
      </c>
      <c r="E271" s="5" t="n">
        <v>3</v>
      </c>
      <c r="F271" s="5" t="n">
        <v>0</v>
      </c>
      <c r="G271" s="5" t="inlineStr">
        <is>
          <t>Capataz Oco + 2 Sargentos de Trincheira</t>
        </is>
      </c>
      <c r="H271" s="5" t="inlineStr">
        <is>
          <t>2 Arcanjos + 1 Arauto da Tempestade Vazia</t>
        </is>
      </c>
    </row>
    <row r="272" ht="26" customHeight="1">
      <c r="A272" s="43" t="inlineStr">
        <is>
          <t>7 Comuns</t>
        </is>
      </c>
      <c r="B272" s="10" t="inlineStr">
        <is>
          <t>pelotão. Morre rápido e ainda assim morde</t>
        </is>
      </c>
      <c r="C272" s="10" t="inlineStr">
        <is>
          <t>2 a 3 Ciclos</t>
        </is>
      </c>
      <c r="D272" s="10" t="n">
        <v>0</v>
      </c>
      <c r="E272" s="10" t="n">
        <v>0</v>
      </c>
      <c r="F272" s="10" t="n">
        <v>7</v>
      </c>
      <c r="G272" s="10" t="inlineStr">
        <is>
          <t>4 Larvas Fuliginosas + 3 Cascos Ocos</t>
        </is>
      </c>
      <c r="H272" s="10" t="inlineStr">
        <is>
          <t>4 Guardas Pretorianos + 2 Escórias</t>
        </is>
      </c>
    </row>
    <row r="273"/>
    <row r="274" ht="32" customHeight="1">
      <c r="A274" s="69" t="inlineStr">
        <is>
          <t>O dia de jogo (attrition) — 27.7</t>
        </is>
      </c>
      <c r="B274" s="70" t="n"/>
      <c r="C274" s="70" t="n"/>
      <c r="D274" s="70" t="n"/>
      <c r="E274" s="70" t="n"/>
    </row>
    <row r="275" ht="26" customHeight="1">
      <c r="A275" s="8" t="inlineStr">
        <is>
          <t>Faixa</t>
        </is>
      </c>
      <c r="B275" s="8" t="inlineStr">
        <is>
          <t>Nível de referência</t>
        </is>
      </c>
      <c r="C275" s="8" t="inlineStr">
        <is>
          <t>PV do grupo</t>
        </is>
      </c>
      <c r="D275" s="8" t="inlineStr">
        <is>
          <t>Dano recebido em 4 Ciclos</t>
        </is>
      </c>
      <c r="E275" s="8" t="inlineStr">
        <is>
          <t>O grupo termina com</t>
        </is>
      </c>
    </row>
    <row r="276">
      <c r="A276" s="31" t="inlineStr">
        <is>
          <t>1-4</t>
        </is>
      </c>
      <c r="B276" s="5" t="n">
        <v>3</v>
      </c>
      <c r="C276" s="5" t="n">
        <v>292</v>
      </c>
      <c r="D276" s="5" t="n">
        <v>56</v>
      </c>
      <c r="E276" s="5" t="inlineStr">
        <is>
          <t>81%</t>
        </is>
      </c>
    </row>
    <row r="277">
      <c r="A277" s="43" t="inlineStr">
        <is>
          <t>5-8</t>
        </is>
      </c>
      <c r="B277" s="10" t="n">
        <v>7</v>
      </c>
      <c r="C277" s="10" t="n">
        <v>468</v>
      </c>
      <c r="D277" s="10" t="n">
        <v>112</v>
      </c>
      <c r="E277" s="10" t="inlineStr">
        <is>
          <t>76%</t>
        </is>
      </c>
    </row>
    <row r="278">
      <c r="A278" s="31" t="inlineStr">
        <is>
          <t>9-12</t>
        </is>
      </c>
      <c r="B278" s="5" t="n">
        <v>11</v>
      </c>
      <c r="C278" s="5" t="n">
        <v>644</v>
      </c>
      <c r="D278" s="5" t="n">
        <v>157</v>
      </c>
      <c r="E278" s="5" t="inlineStr">
        <is>
          <t>76%</t>
        </is>
      </c>
    </row>
    <row r="279">
      <c r="A279" s="43" t="inlineStr">
        <is>
          <t>13-16</t>
        </is>
      </c>
      <c r="B279" s="10" t="n">
        <v>15</v>
      </c>
      <c r="C279" s="10" t="n">
        <v>820</v>
      </c>
      <c r="D279" s="10" t="n">
        <v>202</v>
      </c>
      <c r="E279" s="10" t="inlineStr">
        <is>
          <t>75%</t>
        </is>
      </c>
    </row>
    <row r="280">
      <c r="A280" s="31" t="inlineStr">
        <is>
          <t>17-20</t>
        </is>
      </c>
      <c r="B280" s="5" t="n">
        <v>19</v>
      </c>
      <c r="C280" s="5" t="n">
        <v>996</v>
      </c>
      <c r="D280" s="5" t="n">
        <v>269</v>
      </c>
      <c r="E280" s="5" t="inlineStr">
        <is>
          <t>73%</t>
        </is>
      </c>
    </row>
    <row r="281"/>
    <row r="282" ht="18" customHeight="1">
      <c r="A282" s="13" t="inlineStr">
        <is>
          <t>DT por faixa — 27.2</t>
        </is>
      </c>
      <c r="B282" s="70" t="n"/>
      <c r="C282" s="70" t="n"/>
      <c r="D282" s="70" t="n"/>
      <c r="E282" s="70" t="n"/>
      <c r="F282" s="70" t="n"/>
    </row>
    <row r="283">
      <c r="A283" s="8" t="inlineStr">
        <is>
          <t>Dificuldade</t>
        </is>
      </c>
      <c r="B283" s="8" t="inlineStr">
        <is>
          <t>1-4</t>
        </is>
      </c>
      <c r="C283" s="8" t="inlineStr">
        <is>
          <t>5-8</t>
        </is>
      </c>
      <c r="D283" s="8" t="inlineStr">
        <is>
          <t>9-12</t>
        </is>
      </c>
      <c r="E283" s="8" t="inlineStr">
        <is>
          <t>13-16</t>
        </is>
      </c>
      <c r="F283" s="8" t="inlineStr">
        <is>
          <t>17-20</t>
        </is>
      </c>
    </row>
    <row r="284">
      <c r="A284" s="31" t="inlineStr">
        <is>
          <t>Trivial</t>
        </is>
      </c>
      <c r="B284" s="5" t="n">
        <v>8</v>
      </c>
      <c r="C284" s="5" t="n">
        <v>9</v>
      </c>
      <c r="D284" s="5" t="n">
        <v>10</v>
      </c>
      <c r="E284" s="5" t="n">
        <v>11</v>
      </c>
      <c r="F284" s="5" t="n">
        <v>12</v>
      </c>
    </row>
    <row r="285">
      <c r="A285" s="43" t="inlineStr">
        <is>
          <t>Fácil</t>
        </is>
      </c>
      <c r="B285" s="10" t="n">
        <v>10</v>
      </c>
      <c r="C285" s="10" t="n">
        <v>12</v>
      </c>
      <c r="D285" s="10" t="n">
        <v>14</v>
      </c>
      <c r="E285" s="10" t="n">
        <v>16</v>
      </c>
      <c r="F285" s="10" t="n">
        <v>18</v>
      </c>
    </row>
    <row r="286">
      <c r="A286" s="31" t="inlineStr">
        <is>
          <t>Média</t>
        </is>
      </c>
      <c r="B286" s="5" t="n">
        <v>13</v>
      </c>
      <c r="C286" s="5" t="n">
        <v>16</v>
      </c>
      <c r="D286" s="5" t="n">
        <v>19</v>
      </c>
      <c r="E286" s="5" t="n">
        <v>22</v>
      </c>
      <c r="F286" s="5" t="n">
        <v>25</v>
      </c>
    </row>
    <row r="287">
      <c r="A287" s="43" t="inlineStr">
        <is>
          <t>Difícil</t>
        </is>
      </c>
      <c r="B287" s="10" t="n">
        <v>16</v>
      </c>
      <c r="C287" s="10" t="n">
        <v>19</v>
      </c>
      <c r="D287" s="10" t="n">
        <v>23</v>
      </c>
      <c r="E287" s="10" t="n">
        <v>27</v>
      </c>
      <c r="F287" s="10" t="n">
        <v>30</v>
      </c>
    </row>
    <row r="288">
      <c r="A288" s="31" t="inlineStr">
        <is>
          <t>Muito Difícil</t>
        </is>
      </c>
      <c r="B288" s="5" t="n">
        <v>19</v>
      </c>
      <c r="C288" s="5" t="n">
        <v>23</v>
      </c>
      <c r="D288" s="5" t="n">
        <v>27</v>
      </c>
      <c r="E288" s="5" t="n">
        <v>31</v>
      </c>
      <c r="F288" s="5" t="n">
        <v>35</v>
      </c>
    </row>
    <row r="289">
      <c r="A289" s="43" t="inlineStr">
        <is>
          <t>Heroica</t>
        </is>
      </c>
      <c r="B289" s="10" t="n">
        <v>22</v>
      </c>
      <c r="C289" s="10" t="n">
        <v>26</v>
      </c>
      <c r="D289" s="10" t="n">
        <v>31</v>
      </c>
      <c r="E289" s="10" t="n">
        <v>34</v>
      </c>
      <c r="F289" s="10" t="n">
        <v>38</v>
      </c>
    </row>
    <row r="290"/>
    <row r="291" ht="32" customHeight="1">
      <c r="A291" s="69" t="inlineStr">
        <is>
          <t>DT para descobrir uma Fraqueza — 20.2</t>
        </is>
      </c>
      <c r="B291" s="70" t="n"/>
    </row>
    <row r="292">
      <c r="A292" s="8" t="inlineStr">
        <is>
          <t>Faixa</t>
        </is>
      </c>
      <c r="B292" s="8" t="inlineStr">
        <is>
          <t>DT</t>
        </is>
      </c>
    </row>
    <row r="293">
      <c r="A293" s="31" t="inlineStr">
        <is>
          <t>1-4</t>
        </is>
      </c>
      <c r="B293" s="5" t="n">
        <v>13</v>
      </c>
    </row>
    <row r="294">
      <c r="A294" s="43" t="inlineStr">
        <is>
          <t>5-8</t>
        </is>
      </c>
      <c r="B294" s="10" t="n">
        <v>14</v>
      </c>
    </row>
    <row r="295">
      <c r="A295" s="31" t="inlineStr">
        <is>
          <t>9-12</t>
        </is>
      </c>
      <c r="B295" s="5" t="n">
        <v>15</v>
      </c>
    </row>
    <row r="296">
      <c r="A296" s="43" t="inlineStr">
        <is>
          <t>13-16</t>
        </is>
      </c>
      <c r="B296" s="10" t="n">
        <v>16</v>
      </c>
    </row>
    <row r="297">
      <c r="A297" s="31" t="inlineStr">
        <is>
          <t>17-20</t>
        </is>
      </c>
      <c r="B297" s="5" t="n">
        <v>17</v>
      </c>
    </row>
    <row r="298"/>
    <row r="299" ht="46" customHeight="1">
      <c r="A299" s="69" t="inlineStr">
        <is>
          <t>Elementos, Dano de Quebra e efeito de Quebra — 20.1 e 20.5</t>
        </is>
      </c>
      <c r="B299" s="70" t="n"/>
      <c r="C299" s="70" t="n"/>
      <c r="D299" s="70" t="n"/>
      <c r="E299" s="70" t="n"/>
      <c r="F299" s="70" t="n"/>
      <c r="G299" s="70" t="n"/>
    </row>
    <row r="300" ht="26" customHeight="1">
      <c r="A300" s="8" t="inlineStr">
        <is>
          <t>Elemento</t>
        </is>
      </c>
      <c r="B300" s="8" t="inlineStr">
        <is>
          <t>Dano de Quebra</t>
        </is>
      </c>
      <c r="C300" s="8" t="inlineStr">
        <is>
          <t>Nº de dados</t>
        </is>
      </c>
      <c r="D300" s="8" t="inlineStr">
        <is>
          <t>Faces</t>
        </is>
      </c>
      <c r="E300" s="8" t="inlineStr">
        <is>
          <t>Multiplicador da Eficiência</t>
        </is>
      </c>
      <c r="F300" s="8" t="inlineStr">
        <is>
          <t>Efeito de Quebra</t>
        </is>
      </c>
      <c r="G300" s="8" t="inlineStr">
        <is>
          <t>Ordem</t>
        </is>
      </c>
    </row>
    <row r="301">
      <c r="A301" s="31" t="inlineStr">
        <is>
          <t>Físico</t>
        </is>
      </c>
      <c r="B301" s="5" t="inlineStr">
        <is>
          <t>2d6 + (2 × Eficiência)</t>
        </is>
      </c>
      <c r="C301" s="5" t="n">
        <v>2</v>
      </c>
      <c r="D301" s="5" t="n">
        <v>6</v>
      </c>
      <c r="E301" s="5" t="n">
        <v>2</v>
      </c>
      <c r="F301" s="5" t="inlineStr">
        <is>
          <t>Sangramento</t>
        </is>
      </c>
      <c r="G301" s="5" t="n">
        <v>1</v>
      </c>
    </row>
    <row r="302">
      <c r="A302" s="43" t="inlineStr">
        <is>
          <t>Fogo</t>
        </is>
      </c>
      <c r="B302" s="10" t="inlineStr">
        <is>
          <t>2d6 + (2 × Eficiência)</t>
        </is>
      </c>
      <c r="C302" s="10" t="n">
        <v>2</v>
      </c>
      <c r="D302" s="10" t="n">
        <v>6</v>
      </c>
      <c r="E302" s="10" t="n">
        <v>2</v>
      </c>
      <c r="F302" s="10" t="inlineStr">
        <is>
          <t>Queimadura</t>
        </is>
      </c>
      <c r="G302" s="10" t="n">
        <v>2</v>
      </c>
    </row>
    <row r="303">
      <c r="A303" s="31" t="inlineStr">
        <is>
          <t>Gelo</t>
        </is>
      </c>
      <c r="B303" s="5" t="inlineStr">
        <is>
          <t>Eficiência</t>
        </is>
      </c>
      <c r="C303" s="5" t="n">
        <v>0</v>
      </c>
      <c r="D303" s="5" t="n">
        <v>0</v>
      </c>
      <c r="E303" s="5" t="n">
        <v>1</v>
      </c>
      <c r="F303" s="5" t="inlineStr">
        <is>
          <t>Congelamento</t>
        </is>
      </c>
      <c r="G303" s="5" t="n">
        <v>3</v>
      </c>
    </row>
    <row r="304">
      <c r="A304" s="43" t="inlineStr">
        <is>
          <t>Raio</t>
        </is>
      </c>
      <c r="B304" s="10" t="inlineStr">
        <is>
          <t>1d6 + Eficiência</t>
        </is>
      </c>
      <c r="C304" s="10" t="n">
        <v>1</v>
      </c>
      <c r="D304" s="10" t="n">
        <v>6</v>
      </c>
      <c r="E304" s="10" t="n">
        <v>1</v>
      </c>
      <c r="F304" s="10" t="inlineStr">
        <is>
          <t>Choque</t>
        </is>
      </c>
      <c r="G304" s="10" t="n">
        <v>4</v>
      </c>
    </row>
    <row r="305">
      <c r="A305" s="31" t="inlineStr">
        <is>
          <t>Vento</t>
        </is>
      </c>
      <c r="B305" s="5" t="inlineStr">
        <is>
          <t>1d6 + Eficiência</t>
        </is>
      </c>
      <c r="C305" s="5" t="n">
        <v>1</v>
      </c>
      <c r="D305" s="5" t="n">
        <v>6</v>
      </c>
      <c r="E305" s="5" t="n">
        <v>1</v>
      </c>
      <c r="F305" s="5" t="inlineStr">
        <is>
          <t>Cisalhamento de Vento</t>
        </is>
      </c>
      <c r="G305" s="5" t="n">
        <v>5</v>
      </c>
    </row>
    <row r="306">
      <c r="A306" s="43" t="inlineStr">
        <is>
          <t>Quântico</t>
        </is>
      </c>
      <c r="B306" s="10" t="inlineStr">
        <is>
          <t>Eficiência</t>
        </is>
      </c>
      <c r="C306" s="10" t="n">
        <v>0</v>
      </c>
      <c r="D306" s="10" t="n">
        <v>0</v>
      </c>
      <c r="E306" s="10" t="n">
        <v>1</v>
      </c>
      <c r="F306" s="10" t="inlineStr">
        <is>
          <t>Embaraço</t>
        </is>
      </c>
      <c r="G306" s="10" t="n">
        <v>6</v>
      </c>
    </row>
    <row r="307">
      <c r="A307" s="31" t="inlineStr">
        <is>
          <t>Imaginário</t>
        </is>
      </c>
      <c r="B307" s="5" t="inlineStr">
        <is>
          <t>Eficiência</t>
        </is>
      </c>
      <c r="C307" s="5" t="n">
        <v>0</v>
      </c>
      <c r="D307" s="5" t="n">
        <v>0</v>
      </c>
      <c r="E307" s="5" t="n">
        <v>1</v>
      </c>
      <c r="F307" s="5" t="inlineStr">
        <is>
          <t>Aprisionamento</t>
        </is>
      </c>
      <c r="G307" s="5" t="n">
        <v>7</v>
      </c>
    </row>
    <row r="308"/>
    <row r="309" ht="32" customHeight="1">
      <c r="A309" s="69" t="inlineStr">
        <is>
          <t>Redução de Tenacidade por fonte — 20.3</t>
        </is>
      </c>
      <c r="B309" s="70" t="n"/>
    </row>
    <row r="310">
      <c r="A310" s="8" t="inlineStr">
        <is>
          <t>Fonte</t>
        </is>
      </c>
      <c r="B310" s="8" t="inlineStr">
        <is>
          <t>Redução bruta</t>
        </is>
      </c>
    </row>
    <row r="311">
      <c r="A311" s="31" t="inlineStr">
        <is>
          <t>Ataque Básico</t>
        </is>
      </c>
      <c r="B311" s="5" t="n">
        <v>1</v>
      </c>
    </row>
    <row r="312">
      <c r="A312" s="43" t="inlineStr">
        <is>
          <t>Habilidade de Nível 1</t>
        </is>
      </c>
      <c r="B312" s="10" t="n">
        <v>2</v>
      </c>
    </row>
    <row r="313">
      <c r="A313" s="31" t="inlineStr">
        <is>
          <t>Habilidade de Nível 2</t>
        </is>
      </c>
      <c r="B313" s="5" t="n">
        <v>2</v>
      </c>
    </row>
    <row r="314">
      <c r="A314" s="43" t="inlineStr">
        <is>
          <t>Habilidade de Nível 3</t>
        </is>
      </c>
      <c r="B314" s="10" t="n">
        <v>3</v>
      </c>
    </row>
    <row r="315">
      <c r="A315" s="31" t="inlineStr">
        <is>
          <t>Habilidade de Nível 4</t>
        </is>
      </c>
      <c r="B315" s="5" t="n">
        <v>4</v>
      </c>
    </row>
    <row r="316">
      <c r="A316" s="43" t="inlineStr">
        <is>
          <t>Habilidade de Nível 5</t>
        </is>
      </c>
      <c r="B316" s="10" t="n">
        <v>5</v>
      </c>
    </row>
    <row r="317">
      <c r="A317" s="31" t="inlineStr">
        <is>
          <t>Habilidade de Nível 6</t>
        </is>
      </c>
      <c r="B317" s="5" t="n">
        <v>6</v>
      </c>
    </row>
    <row r="318">
      <c r="A318" s="43" t="inlineStr">
        <is>
          <t>Habilidade de Nível 7</t>
        </is>
      </c>
      <c r="B318" s="10" t="n">
        <v>7</v>
      </c>
    </row>
    <row r="319">
      <c r="A319" s="31" t="inlineStr">
        <is>
          <t>Ultimate</t>
        </is>
      </c>
      <c r="B319" s="5" t="n">
        <v>5</v>
      </c>
    </row>
    <row r="320">
      <c r="A320" s="43" t="inlineStr">
        <is>
          <t>Dano Contínuo</t>
        </is>
      </c>
      <c r="B320" s="10" t="n">
        <v>0</v>
      </c>
    </row>
    <row r="321"/>
    <row r="322" ht="46" customHeight="1">
      <c r="A322" s="69" t="inlineStr">
        <is>
          <t>Condições — 21.5 (com os números de dano lidos do efeito)</t>
        </is>
      </c>
      <c r="B322" s="70" t="n"/>
      <c r="C322" s="70" t="n"/>
      <c r="D322" s="70" t="n"/>
      <c r="E322" s="70" t="n"/>
      <c r="F322" s="70" t="n"/>
      <c r="G322" s="70" t="n"/>
      <c r="H322" s="70" t="n"/>
      <c r="I322" s="70" t="n"/>
      <c r="J322" s="70" t="n"/>
      <c r="K322" s="70" t="n"/>
      <c r="L322" s="70" t="n"/>
      <c r="M322" s="70" t="n"/>
      <c r="N322" s="70" t="n"/>
    </row>
    <row r="323">
      <c r="A323" s="8" t="inlineStr">
        <is>
          <t>Condição</t>
        </is>
      </c>
      <c r="B323" s="8" t="inlineStr">
        <is>
          <t>Efeito</t>
        </is>
      </c>
      <c r="C323" s="8" t="inlineStr">
        <is>
          <t>Duração</t>
        </is>
      </c>
      <c r="D323" s="8" t="inlineStr">
        <is>
          <t>Acúmulo</t>
        </is>
      </c>
      <c r="E323" s="8" t="inlineStr">
        <is>
          <t>Só inimigos</t>
        </is>
      </c>
      <c r="F323" s="8" t="inlineStr">
        <is>
          <t>Nº de dados</t>
        </is>
      </c>
      <c r="G323" s="8" t="inlineStr">
        <is>
          <t>Faces</t>
        </is>
      </c>
      <c r="H323" s="8" t="inlineStr">
        <is>
          <t>Por acúmulo</t>
        </is>
      </c>
      <c r="I323" s="8" t="inlineStr">
        <is>
          <t>Soma Eficiência</t>
        </is>
      </c>
      <c r="J323" s="8" t="inlineStr">
        <is>
          <t>% dos PV máximos</t>
        </is>
      </c>
      <c r="K323" s="8" t="inlineStr">
        <is>
          <t>Teto (× Eficiência)</t>
        </is>
      </c>
      <c r="L323" s="8" t="inlineStr">
        <is>
          <t>Atrasa (casas)</t>
        </is>
      </c>
      <c r="M323" s="8" t="inlineStr">
        <is>
          <t>Teto de acúmulos</t>
        </is>
      </c>
      <c r="N323" s="8" t="inlineStr">
        <is>
          <t>Dano Contínuo</t>
        </is>
      </c>
    </row>
    <row r="324" ht="37" customHeight="1">
      <c r="A324" s="31" t="inlineStr">
        <is>
          <t>Sangramento</t>
        </is>
      </c>
      <c r="B324" s="5" t="inlineStr">
        <is>
          <t>Dano Contínuo = 5% dos PV máximos, teto 3 × Eficiência</t>
        </is>
      </c>
      <c r="C324" s="5" t="inlineStr">
        <is>
          <t>2 turnos</t>
        </is>
      </c>
      <c r="D324" s="5" t="inlineStr">
        <is>
          <t>até 5</t>
        </is>
      </c>
      <c r="E324" s="5" t="inlineStr">
        <is>
          <t>Não</t>
        </is>
      </c>
      <c r="F324" s="5" t="n">
        <v>0</v>
      </c>
      <c r="G324" s="5" t="n">
        <v>0</v>
      </c>
      <c r="H324" s="5" t="inlineStr">
        <is>
          <t>Não</t>
        </is>
      </c>
      <c r="I324" s="5" t="inlineStr">
        <is>
          <t>Não</t>
        </is>
      </c>
      <c r="J324" s="5" t="n">
        <v>5</v>
      </c>
      <c r="K324" s="5" t="n">
        <v>3</v>
      </c>
      <c r="L324" s="5" t="n">
        <v>0</v>
      </c>
      <c r="M324" s="5" t="n">
        <v>5</v>
      </c>
      <c r="N324" s="5" t="inlineStr">
        <is>
          <t>Sim</t>
        </is>
      </c>
    </row>
    <row r="325" ht="26" customHeight="1">
      <c r="A325" s="43" t="inlineStr">
        <is>
          <t>Queimadura</t>
        </is>
      </c>
      <c r="B325" s="10" t="inlineStr">
        <is>
          <t>Dano Contínuo 2d6 + Eficiência (Fogo)</t>
        </is>
      </c>
      <c r="C325" s="10" t="inlineStr">
        <is>
          <t>2 turnos</t>
        </is>
      </c>
      <c r="D325" s="10" t="inlineStr">
        <is>
          <t>até 5</t>
        </is>
      </c>
      <c r="E325" s="10" t="inlineStr">
        <is>
          <t>Não</t>
        </is>
      </c>
      <c r="F325" s="10" t="n">
        <v>2</v>
      </c>
      <c r="G325" s="10" t="n">
        <v>6</v>
      </c>
      <c r="H325" s="10" t="inlineStr">
        <is>
          <t>Não</t>
        </is>
      </c>
      <c r="I325" s="10" t="inlineStr">
        <is>
          <t>Sim</t>
        </is>
      </c>
      <c r="J325" s="10" t="n">
        <v>0</v>
      </c>
      <c r="K325" s="10" t="n">
        <v>0</v>
      </c>
      <c r="L325" s="10" t="n">
        <v>0</v>
      </c>
      <c r="M325" s="10" t="n">
        <v>5</v>
      </c>
      <c r="N325" s="10" t="inlineStr">
        <is>
          <t>Sim</t>
        </is>
      </c>
    </row>
    <row r="326" ht="26" customHeight="1">
      <c r="A326" s="31" t="inlineStr">
        <is>
          <t>Choque</t>
        </is>
      </c>
      <c r="B326" s="5" t="inlineStr">
        <is>
          <t>Dano Contínuo 1d6 + Eficiência (Raio)</t>
        </is>
      </c>
      <c r="C326" s="5" t="inlineStr">
        <is>
          <t>3 turnos</t>
        </is>
      </c>
      <c r="D326" s="5" t="inlineStr">
        <is>
          <t>até 5</t>
        </is>
      </c>
      <c r="E326" s="5" t="inlineStr">
        <is>
          <t>Não</t>
        </is>
      </c>
      <c r="F326" s="5" t="n">
        <v>1</v>
      </c>
      <c r="G326" s="5" t="n">
        <v>6</v>
      </c>
      <c r="H326" s="5" t="inlineStr">
        <is>
          <t>Não</t>
        </is>
      </c>
      <c r="I326" s="5" t="inlineStr">
        <is>
          <t>Sim</t>
        </is>
      </c>
      <c r="J326" s="5" t="n">
        <v>0</v>
      </c>
      <c r="K326" s="5" t="n">
        <v>0</v>
      </c>
      <c r="L326" s="5" t="n">
        <v>0</v>
      </c>
      <c r="M326" s="5" t="n">
        <v>5</v>
      </c>
      <c r="N326" s="5" t="inlineStr">
        <is>
          <t>Sim</t>
        </is>
      </c>
    </row>
    <row r="327" ht="48" customHeight="1">
      <c r="A327" s="43" t="inlineStr">
        <is>
          <t>Cisalhamento de Vento</t>
        </is>
      </c>
      <c r="B327" s="10" t="inlineStr">
        <is>
          <t>Dano Contínuo 1d6 por acúmulo (Vento), 1 acúmulo por ataque seu de Vento</t>
        </is>
      </c>
      <c r="C327" s="10" t="inlineStr">
        <is>
          <t>2 turnos</t>
        </is>
      </c>
      <c r="D327" s="10" t="inlineStr">
        <is>
          <t>5</t>
        </is>
      </c>
      <c r="E327" s="10" t="inlineStr">
        <is>
          <t>Não</t>
        </is>
      </c>
      <c r="F327" s="10" t="n">
        <v>1</v>
      </c>
      <c r="G327" s="10" t="n">
        <v>6</v>
      </c>
      <c r="H327" s="10" t="inlineStr">
        <is>
          <t>Sim</t>
        </is>
      </c>
      <c r="I327" s="10" t="inlineStr">
        <is>
          <t>Não</t>
        </is>
      </c>
      <c r="J327" s="10" t="n">
        <v>0</v>
      </c>
      <c r="K327" s="10" t="n">
        <v>0</v>
      </c>
      <c r="L327" s="10" t="n">
        <v>0</v>
      </c>
      <c r="M327" s="10" t="n">
        <v>5</v>
      </c>
      <c r="N327" s="10" t="inlineStr">
        <is>
          <t>Sim</t>
        </is>
      </c>
    </row>
    <row r="328" ht="37" customHeight="1">
      <c r="A328" s="31" t="inlineStr">
        <is>
          <t>Embaraço</t>
        </is>
      </c>
      <c r="B328" s="5" t="inlineStr">
        <is>
          <t>1d6 por acúmulo (só por ataques) e Atrasa 1 casa</t>
        </is>
      </c>
      <c r="C328" s="5" t="inlineStr">
        <is>
          <t>1 turno</t>
        </is>
      </c>
      <c r="D328" s="5" t="inlineStr">
        <is>
          <t>5</t>
        </is>
      </c>
      <c r="E328" s="5" t="inlineStr">
        <is>
          <t>Não</t>
        </is>
      </c>
      <c r="F328" s="5" t="n">
        <v>1</v>
      </c>
      <c r="G328" s="5" t="n">
        <v>6</v>
      </c>
      <c r="H328" s="5" t="inlineStr">
        <is>
          <t>Sim</t>
        </is>
      </c>
      <c r="I328" s="5" t="inlineStr">
        <is>
          <t>Não</t>
        </is>
      </c>
      <c r="J328" s="5" t="n">
        <v>0</v>
      </c>
      <c r="K328" s="5" t="n">
        <v>0</v>
      </c>
      <c r="L328" s="5" t="n">
        <v>1</v>
      </c>
      <c r="M328" s="5" t="n">
        <v>5</v>
      </c>
      <c r="N328" s="5" t="inlineStr">
        <is>
          <t>Não</t>
        </is>
      </c>
    </row>
    <row r="329" ht="26" customHeight="1">
      <c r="A329" s="43" t="inlineStr">
        <is>
          <t>Aprisionamento</t>
        </is>
      </c>
      <c r="B329" s="10" t="inlineStr">
        <is>
          <t>1d6 + Eficiência e Atrasa 2 casas</t>
        </is>
      </c>
      <c r="C329" s="10" t="inlineStr">
        <is>
          <t>1 turno</t>
        </is>
      </c>
      <c r="D329" s="10" t="inlineStr">
        <is>
          <t>até 5</t>
        </is>
      </c>
      <c r="E329" s="10" t="inlineStr">
        <is>
          <t>Não</t>
        </is>
      </c>
      <c r="F329" s="10" t="n">
        <v>1</v>
      </c>
      <c r="G329" s="10" t="n">
        <v>6</v>
      </c>
      <c r="H329" s="10" t="inlineStr">
        <is>
          <t>Não</t>
        </is>
      </c>
      <c r="I329" s="10" t="inlineStr">
        <is>
          <t>Sim</t>
        </is>
      </c>
      <c r="J329" s="10" t="n">
        <v>0</v>
      </c>
      <c r="K329" s="10" t="n">
        <v>0</v>
      </c>
      <c r="L329" s="10" t="n">
        <v>2</v>
      </c>
      <c r="M329" s="10" t="n">
        <v>5</v>
      </c>
      <c r="N329" s="10" t="inlineStr">
        <is>
          <t>Não</t>
        </is>
      </c>
    </row>
    <row r="330" ht="60" customHeight="1">
      <c r="A330" s="31" t="inlineStr">
        <is>
          <t>Congelado</t>
        </is>
      </c>
      <c r="B330" s="5" t="inlineStr">
        <is>
          <t>Só inimigos. Comum perde o turno; Elite e Boss são Atrasados 2 casas e perdem a ação especial</t>
        </is>
      </c>
      <c r="C330" s="5" t="inlineStr">
        <is>
          <t>1 turno</t>
        </is>
      </c>
      <c r="D330" s="5" t="inlineStr">
        <is>
          <t>não repete em Ciclos seguidos pela mesma fonte</t>
        </is>
      </c>
      <c r="E330" s="5" t="inlineStr">
        <is>
          <t>Sim</t>
        </is>
      </c>
      <c r="F330" s="5" t="n">
        <v>0</v>
      </c>
      <c r="G330" s="5" t="n">
        <v>0</v>
      </c>
      <c r="H330" s="5" t="inlineStr">
        <is>
          <t>Não</t>
        </is>
      </c>
      <c r="I330" s="5" t="inlineStr">
        <is>
          <t>Não</t>
        </is>
      </c>
      <c r="J330" s="5" t="n">
        <v>0</v>
      </c>
      <c r="K330" s="5" t="n">
        <v>0</v>
      </c>
      <c r="L330" s="5" t="n">
        <v>0</v>
      </c>
      <c r="M330" s="5" t="n">
        <v>1</v>
      </c>
      <c r="N330" s="5" t="inlineStr">
        <is>
          <t>Não</t>
        </is>
      </c>
    </row>
    <row r="331" ht="48" customHeight="1">
      <c r="A331" s="43" t="inlineStr">
        <is>
          <t>Lentidão</t>
        </is>
      </c>
      <c r="B331" s="10" t="inlineStr">
        <is>
          <t>Ação de Movimento não muda a Distância; só sai do lugar com Esforço Total</t>
        </is>
      </c>
      <c r="C331" s="10" t="inlineStr">
        <is>
          <t>fonte</t>
        </is>
      </c>
      <c r="D331" s="10" t="inlineStr">
        <is>
          <t>não acumula</t>
        </is>
      </c>
      <c r="E331" s="10" t="inlineStr">
        <is>
          <t>Não</t>
        </is>
      </c>
      <c r="F331" s="10" t="n">
        <v>0</v>
      </c>
      <c r="G331" s="10" t="n">
        <v>0</v>
      </c>
      <c r="H331" s="10" t="inlineStr">
        <is>
          <t>Não</t>
        </is>
      </c>
      <c r="I331" s="10" t="inlineStr">
        <is>
          <t>Não</t>
        </is>
      </c>
      <c r="J331" s="10" t="n">
        <v>0</v>
      </c>
      <c r="K331" s="10" t="n">
        <v>0</v>
      </c>
      <c r="L331" s="10" t="n">
        <v>0</v>
      </c>
      <c r="M331" s="10" t="n">
        <v>1</v>
      </c>
      <c r="N331" s="10" t="inlineStr">
        <is>
          <t>Não</t>
        </is>
      </c>
    </row>
    <row r="332" ht="37" customHeight="1">
      <c r="A332" s="31" t="inlineStr">
        <is>
          <t>Marcado</t>
        </is>
      </c>
      <c r="B332" s="5" t="inlineStr">
        <is>
          <t>+1 em Testes de Ataque de quem marcou</t>
        </is>
      </c>
      <c r="C332" s="5" t="inlineStr">
        <is>
          <t>fonte</t>
        </is>
      </c>
      <c r="D332" s="5" t="inlineStr">
        <is>
          <t>3, sem somar entre fontes</t>
        </is>
      </c>
      <c r="E332" s="5" t="inlineStr">
        <is>
          <t>Não</t>
        </is>
      </c>
      <c r="F332" s="5" t="n">
        <v>0</v>
      </c>
      <c r="G332" s="5" t="n">
        <v>0</v>
      </c>
      <c r="H332" s="5" t="inlineStr">
        <is>
          <t>Não</t>
        </is>
      </c>
      <c r="I332" s="5" t="inlineStr">
        <is>
          <t>Não</t>
        </is>
      </c>
      <c r="J332" s="5" t="n">
        <v>0</v>
      </c>
      <c r="K332" s="5" t="n">
        <v>0</v>
      </c>
      <c r="L332" s="5" t="n">
        <v>0</v>
      </c>
      <c r="M332" s="5" t="n">
        <v>3</v>
      </c>
      <c r="N332" s="5" t="inlineStr">
        <is>
          <t>Não</t>
        </is>
      </c>
    </row>
    <row r="333" ht="37" customHeight="1">
      <c r="A333" s="43" t="inlineStr">
        <is>
          <t>Silenciado</t>
        </is>
      </c>
      <c r="B333" s="10" t="inlineStr">
        <is>
          <t>não pode usar Habilidade de Nível 4 ou maior</t>
        </is>
      </c>
      <c r="C333" s="10" t="inlineStr">
        <is>
          <t>1 turno</t>
        </is>
      </c>
      <c r="D333" s="10" t="inlineStr">
        <is>
          <t>—</t>
        </is>
      </c>
      <c r="E333" s="10" t="inlineStr">
        <is>
          <t>Não</t>
        </is>
      </c>
      <c r="F333" s="10" t="n">
        <v>0</v>
      </c>
      <c r="G333" s="10" t="n">
        <v>0</v>
      </c>
      <c r="H333" s="10" t="inlineStr">
        <is>
          <t>Não</t>
        </is>
      </c>
      <c r="I333" s="10" t="inlineStr">
        <is>
          <t>Não</t>
        </is>
      </c>
      <c r="J333" s="10" t="n">
        <v>0</v>
      </c>
      <c r="K333" s="10" t="n">
        <v>0</v>
      </c>
      <c r="L333" s="10" t="n">
        <v>0</v>
      </c>
      <c r="M333" s="10" t="n">
        <v>1</v>
      </c>
      <c r="N333" s="10" t="inlineStr">
        <is>
          <t>Não</t>
        </is>
      </c>
    </row>
    <row r="334" ht="26" customHeight="1">
      <c r="A334" s="31" t="inlineStr">
        <is>
          <t>Vulnerável</t>
        </is>
      </c>
      <c r="B334" s="5" t="inlineStr">
        <is>
          <t>+1 dado de dano da fonte indicada</t>
        </is>
      </c>
      <c r="C334" s="5" t="inlineStr">
        <is>
          <t>fonte</t>
        </is>
      </c>
      <c r="D334" s="5" t="inlineStr">
        <is>
          <t>até 5</t>
        </is>
      </c>
      <c r="E334" s="5" t="inlineStr">
        <is>
          <t>Não</t>
        </is>
      </c>
      <c r="F334" s="5" t="n">
        <v>0</v>
      </c>
      <c r="G334" s="5" t="n">
        <v>0</v>
      </c>
      <c r="H334" s="5" t="inlineStr">
        <is>
          <t>Não</t>
        </is>
      </c>
      <c r="I334" s="5" t="inlineStr">
        <is>
          <t>Não</t>
        </is>
      </c>
      <c r="J334" s="5" t="n">
        <v>0</v>
      </c>
      <c r="K334" s="5" t="n">
        <v>0</v>
      </c>
      <c r="L334" s="5" t="n">
        <v>0</v>
      </c>
      <c r="M334" s="5" t="n">
        <v>5</v>
      </c>
      <c r="N334" s="5" t="inlineStr">
        <is>
          <t>Não</t>
        </is>
      </c>
    </row>
    <row r="335" ht="48" customHeight="1">
      <c r="A335" s="43" t="inlineStr">
        <is>
          <t>Controlado</t>
        </is>
      </c>
      <c r="B335" s="10" t="inlineStr">
        <is>
          <t>quem aplicou decide as ações do alvo, sem Habilidade, Ultimate nem recursos</t>
        </is>
      </c>
      <c r="C335" s="10" t="inlineStr">
        <is>
          <t>fonte</t>
        </is>
      </c>
      <c r="D335" s="10" t="inlineStr">
        <is>
          <t>não acumula</t>
        </is>
      </c>
      <c r="E335" s="10" t="inlineStr">
        <is>
          <t>Não</t>
        </is>
      </c>
      <c r="F335" s="10" t="n">
        <v>0</v>
      </c>
      <c r="G335" s="10" t="n">
        <v>0</v>
      </c>
      <c r="H335" s="10" t="inlineStr">
        <is>
          <t>Não</t>
        </is>
      </c>
      <c r="I335" s="10" t="inlineStr">
        <is>
          <t>Não</t>
        </is>
      </c>
      <c r="J335" s="10" t="n">
        <v>0</v>
      </c>
      <c r="K335" s="10" t="n">
        <v>0</v>
      </c>
      <c r="L335" s="10" t="n">
        <v>0</v>
      </c>
      <c r="M335" s="10" t="n">
        <v>1</v>
      </c>
      <c r="N335" s="10" t="inlineStr">
        <is>
          <t>Não</t>
        </is>
      </c>
    </row>
    <row r="336" ht="37" customHeight="1">
      <c r="A336" s="31" t="inlineStr">
        <is>
          <t>Corrupção</t>
        </is>
      </c>
      <c r="B336" s="5" t="inlineStr">
        <is>
          <t>+1 no dano de cada Dano Contínuo seu no alvo</t>
        </is>
      </c>
      <c r="C336" s="5" t="inlineStr">
        <is>
          <t>fim do combate</t>
        </is>
      </c>
      <c r="D336" s="5" t="inlineStr">
        <is>
          <t>5</t>
        </is>
      </c>
      <c r="E336" s="5" t="inlineStr">
        <is>
          <t>Não</t>
        </is>
      </c>
      <c r="F336" s="5" t="n">
        <v>0</v>
      </c>
      <c r="G336" s="5" t="n">
        <v>0</v>
      </c>
      <c r="H336" s="5" t="inlineStr">
        <is>
          <t>Não</t>
        </is>
      </c>
      <c r="I336" s="5" t="inlineStr">
        <is>
          <t>Não</t>
        </is>
      </c>
      <c r="J336" s="5" t="n">
        <v>0</v>
      </c>
      <c r="K336" s="5" t="n">
        <v>0</v>
      </c>
      <c r="L336" s="5" t="n">
        <v>0</v>
      </c>
      <c r="M336" s="5" t="n">
        <v>5</v>
      </c>
      <c r="N336" s="5" t="inlineStr">
        <is>
          <t>Sim</t>
        </is>
      </c>
    </row>
    <row r="337" ht="37" customHeight="1">
      <c r="A337" s="43" t="inlineStr">
        <is>
          <t>Quebrado</t>
        </is>
      </c>
      <c r="B337" s="10" t="inlineStr">
        <is>
          <t>-2 de Defesa e +1 dado de dano de qualquer fonte</t>
        </is>
      </c>
      <c r="C337" s="10" t="inlineStr">
        <is>
          <t>até o fim do próximo turno dele</t>
        </is>
      </c>
      <c r="D337" s="10" t="inlineStr">
        <is>
          <t>—</t>
        </is>
      </c>
      <c r="E337" s="10" t="inlineStr">
        <is>
          <t>Sim</t>
        </is>
      </c>
      <c r="F337" s="10" t="n">
        <v>0</v>
      </c>
      <c r="G337" s="10" t="n">
        <v>0</v>
      </c>
      <c r="H337" s="10" t="inlineStr">
        <is>
          <t>Não</t>
        </is>
      </c>
      <c r="I337" s="10" t="inlineStr">
        <is>
          <t>Não</t>
        </is>
      </c>
      <c r="J337" s="10" t="n">
        <v>0</v>
      </c>
      <c r="K337" s="10" t="n">
        <v>0</v>
      </c>
      <c r="L337" s="10" t="n">
        <v>0</v>
      </c>
      <c r="M337" s="10" t="n">
        <v>1</v>
      </c>
      <c r="N337" s="10" t="inlineStr">
        <is>
          <t>Não</t>
        </is>
      </c>
    </row>
    <row r="338" ht="26" customHeight="1">
      <c r="A338" s="31" t="inlineStr">
        <is>
          <t>Surpreso</t>
        </is>
      </c>
      <c r="B338" s="5" t="inlineStr">
        <is>
          <t>casa pulada no primeiro Ciclo</t>
        </is>
      </c>
      <c r="C338" s="5" t="inlineStr">
        <is>
          <t>1 Ciclo</t>
        </is>
      </c>
      <c r="D338" s="5" t="inlineStr">
        <is>
          <t>—</t>
        </is>
      </c>
      <c r="E338" s="5" t="inlineStr">
        <is>
          <t>Não</t>
        </is>
      </c>
      <c r="F338" s="5" t="n">
        <v>0</v>
      </c>
      <c r="G338" s="5" t="n">
        <v>0</v>
      </c>
      <c r="H338" s="5" t="inlineStr">
        <is>
          <t>Não</t>
        </is>
      </c>
      <c r="I338" s="5" t="inlineStr">
        <is>
          <t>Não</t>
        </is>
      </c>
      <c r="J338" s="5" t="n">
        <v>0</v>
      </c>
      <c r="K338" s="5" t="n">
        <v>0</v>
      </c>
      <c r="L338" s="5" t="n">
        <v>0</v>
      </c>
      <c r="M338" s="5" t="n">
        <v>1</v>
      </c>
      <c r="N338" s="5" t="inlineStr">
        <is>
          <t>Não</t>
        </is>
      </c>
    </row>
    <row r="339" ht="48" customHeight="1">
      <c r="A339" s="43" t="inlineStr">
        <is>
          <t>Morrendo</t>
        </is>
      </c>
      <c r="B339" s="10" t="inlineStr">
        <is>
          <t>0 PV, inconsciente, mantém a casa, Teste de Força de Vontade DT 10 no turno</t>
        </is>
      </c>
      <c r="C339" s="10" t="inlineStr">
        <is>
          <t>até estabilizar ou morrer</t>
        </is>
      </c>
      <c r="D339" s="10" t="inlineStr">
        <is>
          <t>—</t>
        </is>
      </c>
      <c r="E339" s="10" t="inlineStr">
        <is>
          <t>Não</t>
        </is>
      </c>
      <c r="F339" s="10" t="n">
        <v>0</v>
      </c>
      <c r="G339" s="10" t="n">
        <v>0</v>
      </c>
      <c r="H339" s="10" t="inlineStr">
        <is>
          <t>Não</t>
        </is>
      </c>
      <c r="I339" s="10" t="inlineStr">
        <is>
          <t>Não</t>
        </is>
      </c>
      <c r="J339" s="10" t="n">
        <v>0</v>
      </c>
      <c r="K339" s="10" t="n">
        <v>0</v>
      </c>
      <c r="L339" s="10" t="n">
        <v>0</v>
      </c>
      <c r="M339" s="10" t="n">
        <v>1</v>
      </c>
      <c r="N339" s="10" t="inlineStr">
        <is>
          <t>Não</t>
        </is>
      </c>
    </row>
    <row r="340"/>
    <row r="341" ht="32" customHeight="1">
      <c r="A341" s="69" t="inlineStr">
        <is>
          <t>Pontos de Habilidade do grupo — 16.2</t>
        </is>
      </c>
      <c r="B341" s="70" t="n"/>
      <c r="C341" s="70" t="n"/>
      <c r="D341" s="70" t="n"/>
      <c r="E341" s="70" t="n"/>
      <c r="F341" s="70" t="n"/>
      <c r="G341" s="70" t="n"/>
    </row>
    <row r="342">
      <c r="A342" s="8" t="inlineStr">
        <is>
          <t>Nº de jogadores</t>
        </is>
      </c>
      <c r="B342" s="8" t="inlineStr">
        <is>
          <t>Máximo 1-8</t>
        </is>
      </c>
      <c r="C342" s="8" t="inlineStr">
        <is>
          <t>Máximo 9-16</t>
        </is>
      </c>
      <c r="D342" s="8" t="inlineStr">
        <is>
          <t>Máximo 17-20</t>
        </is>
      </c>
      <c r="E342" s="8" t="inlineStr">
        <is>
          <t>Início 1-8</t>
        </is>
      </c>
      <c r="F342" s="8" t="inlineStr">
        <is>
          <t>Início 9-16</t>
        </is>
      </c>
      <c r="G342" s="8" t="inlineStr">
        <is>
          <t>Início 17-20</t>
        </is>
      </c>
    </row>
    <row r="343">
      <c r="A343" s="31" t="n">
        <v>3</v>
      </c>
      <c r="B343" s="5" t="n">
        <v>4</v>
      </c>
      <c r="C343" s="5" t="n">
        <v>5</v>
      </c>
      <c r="D343" s="5" t="n">
        <v>6</v>
      </c>
      <c r="E343" s="5" t="n">
        <v>2</v>
      </c>
      <c r="F343" s="5" t="n">
        <v>3</v>
      </c>
      <c r="G343" s="5" t="n">
        <v>4</v>
      </c>
    </row>
    <row r="344">
      <c r="A344" s="43" t="n">
        <v>4</v>
      </c>
      <c r="B344" s="10" t="n">
        <v>5</v>
      </c>
      <c r="C344" s="10" t="n">
        <v>6</v>
      </c>
      <c r="D344" s="10" t="n">
        <v>7</v>
      </c>
      <c r="E344" s="10" t="n">
        <v>3</v>
      </c>
      <c r="F344" s="10" t="n">
        <v>4</v>
      </c>
      <c r="G344" s="10" t="n">
        <v>5</v>
      </c>
    </row>
    <row r="345">
      <c r="A345" s="31" t="n">
        <v>5</v>
      </c>
      <c r="B345" s="5" t="n">
        <v>6</v>
      </c>
      <c r="C345" s="5" t="n">
        <v>7</v>
      </c>
      <c r="D345" s="5" t="n">
        <v>8</v>
      </c>
      <c r="E345" s="5" t="n">
        <v>4</v>
      </c>
      <c r="F345" s="5" t="n">
        <v>5</v>
      </c>
      <c r="G345" s="5" t="n">
        <v>6</v>
      </c>
    </row>
    <row r="346">
      <c r="A346" s="43" t="n">
        <v>6</v>
      </c>
      <c r="B346" s="10" t="n">
        <v>7</v>
      </c>
      <c r="C346" s="10" t="n">
        <v>8</v>
      </c>
      <c r="D346" s="10" t="n">
        <v>9</v>
      </c>
      <c r="E346" s="10" t="n">
        <v>5</v>
      </c>
      <c r="F346" s="10" t="n">
        <v>6</v>
      </c>
      <c r="G346" s="10" t="n">
        <v>7</v>
      </c>
    </row>
    <row r="347"/>
    <row r="348" ht="32" customHeight="1">
      <c r="A348" s="69" t="inlineStr">
        <is>
          <t>Raças — 05 (o que importa no combate: 23.5, 05, 20.2)</t>
        </is>
      </c>
      <c r="B348" s="70" t="n"/>
      <c r="C348" s="70" t="n"/>
      <c r="D348" s="70" t="n"/>
      <c r="E348" s="70" t="n"/>
    </row>
    <row r="349" ht="26" customHeight="1">
      <c r="A349" s="8" t="inlineStr">
        <is>
          <t>Raça</t>
        </is>
      </c>
      <c r="B349" s="8" t="inlineStr">
        <is>
          <t>Morrendo com Vantagem</t>
        </is>
      </c>
      <c r="C349" s="8" t="inlineStr">
        <is>
          <t>Pode ser Executado</t>
        </is>
      </c>
      <c r="D349" s="8" t="inlineStr">
        <is>
          <t>Esforço</t>
        </is>
      </c>
      <c r="E349" s="8" t="inlineStr">
        <is>
          <t>Descobre Fraqueza</t>
        </is>
      </c>
    </row>
    <row r="350">
      <c r="A350" s="31" t="inlineStr">
        <is>
          <t>Humano</t>
        </is>
      </c>
      <c r="B350" s="5" t="inlineStr">
        <is>
          <t>Não</t>
        </is>
      </c>
      <c r="C350" s="5" t="inlineStr">
        <is>
          <t>Sim</t>
        </is>
      </c>
      <c r="D350" s="5" t="inlineStr">
        <is>
          <t>Sim</t>
        </is>
      </c>
      <c r="E350" s="5" t="inlineStr">
        <is>
          <t>Normal</t>
        </is>
      </c>
    </row>
    <row r="351">
      <c r="A351" s="43" t="inlineStr">
        <is>
          <t>Xianzhouíta</t>
        </is>
      </c>
      <c r="B351" s="10" t="inlineStr">
        <is>
          <t>Sim</t>
        </is>
      </c>
      <c r="C351" s="10" t="inlineStr">
        <is>
          <t>Não</t>
        </is>
      </c>
      <c r="D351" s="10" t="inlineStr">
        <is>
          <t>Não</t>
        </is>
      </c>
      <c r="E351" s="10" t="inlineStr">
        <is>
          <t>Normal</t>
        </is>
      </c>
    </row>
    <row r="352">
      <c r="A352" s="31" t="inlineStr">
        <is>
          <t>Vidyadhara</t>
        </is>
      </c>
      <c r="B352" s="5" t="inlineStr">
        <is>
          <t>Não</t>
        </is>
      </c>
      <c r="C352" s="5" t="inlineStr">
        <is>
          <t>Sim</t>
        </is>
      </c>
      <c r="D352" s="5" t="inlineStr">
        <is>
          <t>Não</t>
        </is>
      </c>
      <c r="E352" s="5" t="inlineStr">
        <is>
          <t>Normal</t>
        </is>
      </c>
    </row>
    <row r="353">
      <c r="A353" s="43" t="inlineStr">
        <is>
          <t>Vulpes</t>
        </is>
      </c>
      <c r="B353" s="10" t="inlineStr">
        <is>
          <t>Sim</t>
        </is>
      </c>
      <c r="C353" s="10" t="inlineStr">
        <is>
          <t>Sim</t>
        </is>
      </c>
      <c r="D353" s="10" t="inlineStr">
        <is>
          <t>Não</t>
        </is>
      </c>
      <c r="E353" s="10" t="inlineStr">
        <is>
          <t>Normal</t>
        </is>
      </c>
    </row>
    <row r="354">
      <c r="A354" s="31" t="inlineStr">
        <is>
          <t>Haloviano</t>
        </is>
      </c>
      <c r="B354" s="5" t="inlineStr">
        <is>
          <t>Não</t>
        </is>
      </c>
      <c r="C354" s="5" t="inlineStr">
        <is>
          <t>Sim</t>
        </is>
      </c>
      <c r="D354" s="5" t="inlineStr">
        <is>
          <t>Não</t>
        </is>
      </c>
      <c r="E354" s="5" t="inlineStr">
        <is>
          <t>Normal</t>
        </is>
      </c>
    </row>
    <row r="355">
      <c r="A355" s="43" t="inlineStr">
        <is>
          <t>Avginiano</t>
        </is>
      </c>
      <c r="B355" s="10" t="inlineStr">
        <is>
          <t>Sim</t>
        </is>
      </c>
      <c r="C355" s="10" t="inlineStr">
        <is>
          <t>Sim</t>
        </is>
      </c>
      <c r="D355" s="10" t="inlineStr">
        <is>
          <t>Não</t>
        </is>
      </c>
      <c r="E355" s="10" t="inlineStr">
        <is>
          <t>Normal</t>
        </is>
      </c>
    </row>
    <row r="356" ht="26" customHeight="1">
      <c r="A356" s="31" t="inlineStr">
        <is>
          <t>Intellitron</t>
        </is>
      </c>
      <c r="B356" s="5" t="inlineStr">
        <is>
          <t>Não</t>
        </is>
      </c>
      <c r="C356" s="5" t="inlineStr">
        <is>
          <t>Sim</t>
        </is>
      </c>
      <c r="D356" s="5" t="inlineStr">
        <is>
          <t>Não</t>
        </is>
      </c>
      <c r="E356" s="5" t="inlineStr">
        <is>
          <t>Com Vantagem, 2 por sucesso</t>
        </is>
      </c>
    </row>
    <row r="357"/>
    <row r="358" ht="32" customHeight="1">
      <c r="A358" s="69" t="inlineStr">
        <is>
          <t>Caminhos e Bônus de VEL — 19.1</t>
        </is>
      </c>
      <c r="B358" s="70" t="n"/>
    </row>
    <row r="359">
      <c r="A359" s="8" t="inlineStr">
        <is>
          <t>Caminho</t>
        </is>
      </c>
      <c r="B359" s="8" t="inlineStr">
        <is>
          <t>Bônus de VEL</t>
        </is>
      </c>
    </row>
    <row r="360">
      <c r="A360" s="31" t="inlineStr">
        <is>
          <t>A Destruição</t>
        </is>
      </c>
      <c r="B360" s="5" t="n">
        <v>1</v>
      </c>
    </row>
    <row r="361">
      <c r="A361" s="43" t="inlineStr">
        <is>
          <t>A Inexistência</t>
        </is>
      </c>
      <c r="B361" s="10" t="n">
        <v>2</v>
      </c>
    </row>
    <row r="362">
      <c r="A362" s="31" t="inlineStr">
        <is>
          <t>A Harmonia</t>
        </is>
      </c>
      <c r="B362" s="5" t="n">
        <v>2</v>
      </c>
    </row>
    <row r="363">
      <c r="A363" s="43" t="inlineStr">
        <is>
          <t>A Abundância</t>
        </is>
      </c>
      <c r="B363" s="10" t="n">
        <v>1</v>
      </c>
    </row>
    <row r="364">
      <c r="A364" s="31" t="inlineStr">
        <is>
          <t>A Recordação</t>
        </is>
      </c>
      <c r="B364" s="5" t="n">
        <v>1</v>
      </c>
    </row>
    <row r="365">
      <c r="A365" s="43" t="inlineStr">
        <is>
          <t>A Erudição</t>
        </is>
      </c>
      <c r="B365" s="10" t="n">
        <v>1</v>
      </c>
    </row>
    <row r="366">
      <c r="A366" s="31" t="inlineStr">
        <is>
          <t>A Euforia</t>
        </is>
      </c>
      <c r="B366" s="5" t="n">
        <v>3</v>
      </c>
    </row>
    <row r="367">
      <c r="A367" s="43" t="inlineStr">
        <is>
          <t>A Caça</t>
        </is>
      </c>
      <c r="B367" s="10" t="n">
        <v>4</v>
      </c>
    </row>
    <row r="368">
      <c r="A368" s="31" t="inlineStr">
        <is>
          <t>A Preservação</t>
        </is>
      </c>
      <c r="B368" s="5" t="n">
        <v>0</v>
      </c>
    </row>
    <row r="369"/>
    <row r="370" ht="32" customHeight="1">
      <c r="A370" s="69" t="inlineStr">
        <is>
          <t>Verba de marco do grupo — 24.5</t>
        </is>
      </c>
      <c r="B370" s="70" t="n"/>
      <c r="C370" s="70" t="n"/>
    </row>
    <row r="371">
      <c r="A371" s="8" t="inlineStr">
        <is>
          <t>Faixa</t>
        </is>
      </c>
      <c r="B371" s="8" t="inlineStr">
        <is>
          <t>Verba de marco (Cr)</t>
        </is>
      </c>
      <c r="C371" s="8" t="inlineStr">
        <is>
          <t>O que ela compra</t>
        </is>
      </c>
    </row>
    <row r="372" ht="26" customHeight="1">
      <c r="A372" s="31" t="inlineStr">
        <is>
          <t>1-4</t>
        </is>
      </c>
      <c r="B372" s="5" t="n">
        <v>200</v>
      </c>
      <c r="C372" s="5" t="inlineStr">
        <is>
          <t>reposição de poções, uma arma, um kit</t>
        </is>
      </c>
    </row>
    <row r="373" ht="37" customHeight="1">
      <c r="A373" s="43" t="inlineStr">
        <is>
          <t>5-8</t>
        </is>
      </c>
      <c r="B373" s="10" t="n">
        <v>500</v>
      </c>
      <c r="C373" s="10" t="inlineStr">
        <is>
          <t>trocar uma armadura, equipar o grupo com poções Médias</t>
        </is>
      </c>
    </row>
    <row r="374" ht="37" customHeight="1">
      <c r="A374" s="31" t="inlineStr">
        <is>
          <t>9-12</t>
        </is>
      </c>
      <c r="B374" s="5" t="n">
        <v>1200</v>
      </c>
      <c r="C374" s="5" t="inlineStr">
        <is>
          <t>equipamento de cena, suborno, passagem, transporte</t>
        </is>
      </c>
    </row>
    <row r="375" ht="37" customHeight="1">
      <c r="A375" s="43" t="inlineStr">
        <is>
          <t>13-16</t>
        </is>
      </c>
      <c r="B375" s="10" t="n">
        <v>2500</v>
      </c>
      <c r="C375" s="10" t="inlineStr">
        <is>
          <t>contratar gente, comprar silêncio, abrir porta fechada</t>
        </is>
      </c>
    </row>
    <row r="376" ht="48" customHeight="1">
      <c r="A376" s="31" t="inlineStr">
        <is>
          <t>17-20</t>
        </is>
      </c>
      <c r="B376" s="5" t="n">
        <v>5000</v>
      </c>
      <c r="C376" s="5" t="inlineStr">
        <is>
          <t>o custo não é mais dinheiro, e a tabela está aqui para o Mestre ter um teto</t>
        </is>
      </c>
    </row>
    <row r="377"/>
    <row r="378" ht="32" customHeight="1">
      <c r="A378" s="69" t="inlineStr">
        <is>
          <t>Cone de Luz e Relíquias por faixa — 25.1</t>
        </is>
      </c>
      <c r="B378" s="70" t="n"/>
      <c r="C378" s="70" t="n"/>
    </row>
    <row r="379">
      <c r="A379" s="8" t="inlineStr">
        <is>
          <t>Faixa</t>
        </is>
      </c>
      <c r="B379" s="8" t="inlineStr">
        <is>
          <t>Cone de Luz máximo</t>
        </is>
      </c>
      <c r="C379" s="8" t="inlineStr">
        <is>
          <t>Relíquias</t>
        </is>
      </c>
    </row>
    <row r="380">
      <c r="A380" s="31" t="inlineStr">
        <is>
          <t>1-4</t>
        </is>
      </c>
      <c r="B380" s="5" t="inlineStr">
        <is>
          <t>Nível 1</t>
        </is>
      </c>
      <c r="C380" s="5" t="inlineStr">
        <is>
          <t>Tier I</t>
        </is>
      </c>
    </row>
    <row r="381" ht="26" customHeight="1">
      <c r="A381" s="43" t="inlineStr">
        <is>
          <t>5-8</t>
        </is>
      </c>
      <c r="B381" s="10" t="inlineStr">
        <is>
          <t>Nível 2</t>
        </is>
      </c>
      <c r="C381" s="10" t="inlineStr">
        <is>
          <t>Tier I, virando Tier II no nível 7</t>
        </is>
      </c>
    </row>
    <row r="382">
      <c r="A382" s="31" t="inlineStr">
        <is>
          <t>9-12</t>
        </is>
      </c>
      <c r="B382" s="5" t="inlineStr">
        <is>
          <t>Nível 3</t>
        </is>
      </c>
      <c r="C382" s="5" t="inlineStr">
        <is>
          <t>Tier II</t>
        </is>
      </c>
    </row>
    <row r="383">
      <c r="A383" s="43" t="inlineStr">
        <is>
          <t>13-16</t>
        </is>
      </c>
      <c r="B383" s="10" t="inlineStr">
        <is>
          <t>Nível 4</t>
        </is>
      </c>
      <c r="C383" s="10" t="inlineStr">
        <is>
          <t>Tier III</t>
        </is>
      </c>
    </row>
    <row r="384" ht="26" customHeight="1">
      <c r="A384" s="31" t="inlineStr">
        <is>
          <t>17-20</t>
        </is>
      </c>
      <c r="B384" s="5" t="inlineStr">
        <is>
          <t>Nível 5</t>
        </is>
      </c>
      <c r="C384" s="5" t="inlineStr">
        <is>
          <t>Tier III, virando Tier IV no nível 18</t>
        </is>
      </c>
    </row>
    <row r="385"/>
    <row r="386" ht="46" customHeight="1">
      <c r="A386" s="69" t="inlineStr">
        <is>
          <t>Culturas e montagem do nome — 05 (nomes: Sugestão da planilha)</t>
        </is>
      </c>
      <c r="B386" s="70" t="n"/>
      <c r="C386" s="70" t="n"/>
      <c r="D386" s="70" t="n"/>
    </row>
    <row r="387">
      <c r="A387" s="8" t="inlineStr">
        <is>
          <t>Raça</t>
        </is>
      </c>
      <c r="B387" s="8" t="inlineStr">
        <is>
          <t>Ordem</t>
        </is>
      </c>
      <c r="C387" s="8" t="inlineStr">
        <is>
          <t>Separador</t>
        </is>
      </c>
      <c r="D387" s="8" t="inlineStr">
        <is>
          <t>Índice</t>
        </is>
      </c>
    </row>
    <row r="388">
      <c r="A388" s="31" t="inlineStr">
        <is>
          <t>Humano</t>
        </is>
      </c>
      <c r="B388" s="5" t="n">
        <v>1</v>
      </c>
      <c r="C388" s="5" t="inlineStr">
        <is>
          <t xml:space="preserve"> </t>
        </is>
      </c>
      <c r="D388" s="5" t="n">
        <v>1</v>
      </c>
    </row>
    <row r="389">
      <c r="A389" s="43" t="inlineStr">
        <is>
          <t>Xianzhouíta</t>
        </is>
      </c>
      <c r="B389" s="10" t="n">
        <v>2</v>
      </c>
      <c r="C389" s="10" t="inlineStr">
        <is>
          <t xml:space="preserve"> </t>
        </is>
      </c>
      <c r="D389" s="10" t="n">
        <v>2</v>
      </c>
    </row>
    <row r="390">
      <c r="A390" s="31" t="inlineStr">
        <is>
          <t>Vidyadhara</t>
        </is>
      </c>
      <c r="B390" s="5" t="n">
        <v>1</v>
      </c>
      <c r="C390" s="5" t="inlineStr">
        <is>
          <t xml:space="preserve"> </t>
        </is>
      </c>
      <c r="D390" s="5" t="n">
        <v>3</v>
      </c>
    </row>
    <row r="391">
      <c r="A391" s="43" t="inlineStr">
        <is>
          <t>Vulpes</t>
        </is>
      </c>
      <c r="B391" s="10" t="n">
        <v>1</v>
      </c>
      <c r="C391" s="10" t="inlineStr">
        <is>
          <t xml:space="preserve"> </t>
        </is>
      </c>
      <c r="D391" s="10" t="n">
        <v>4</v>
      </c>
    </row>
    <row r="392">
      <c r="A392" s="31" t="inlineStr">
        <is>
          <t>Haloviano</t>
        </is>
      </c>
      <c r="B392" s="5" t="n">
        <v>1</v>
      </c>
      <c r="C392" s="5" t="inlineStr">
        <is>
          <t xml:space="preserve"> </t>
        </is>
      </c>
      <c r="D392" s="5" t="n">
        <v>5</v>
      </c>
    </row>
    <row r="393">
      <c r="A393" s="43" t="inlineStr">
        <is>
          <t>Avginiano</t>
        </is>
      </c>
      <c r="B393" s="10" t="n">
        <v>1</v>
      </c>
      <c r="C393" s="10" t="inlineStr">
        <is>
          <t xml:space="preserve"> do clã </t>
        </is>
      </c>
      <c r="D393" s="10" t="n">
        <v>6</v>
      </c>
    </row>
    <row r="394">
      <c r="A394" s="31" t="inlineStr">
        <is>
          <t>Intellitron</t>
        </is>
      </c>
      <c r="B394" s="5" t="n">
        <v>1</v>
      </c>
      <c r="C394" s="5" t="inlineStr">
        <is>
          <t xml:space="preserve">, que se chama </t>
        </is>
      </c>
      <c r="D394" s="5" t="n">
        <v>7</v>
      </c>
    </row>
    <row r="395"/>
    <row r="396" ht="32" customHeight="1">
      <c r="A396" s="69" t="inlineStr">
        <is>
          <t>Papel do NPC na história — Sugestão da planilha (H11)</t>
        </is>
      </c>
      <c r="B396" s="70" t="n"/>
    </row>
    <row r="397">
      <c r="A397" s="8" t="inlineStr">
        <is>
          <t>Papel</t>
        </is>
      </c>
      <c r="B397" s="8" t="inlineStr">
        <is>
          <t>Índice</t>
        </is>
      </c>
    </row>
    <row r="398">
      <c r="A398" s="31" t="inlineStr">
        <is>
          <t>Aliado</t>
        </is>
      </c>
      <c r="B398" s="5" t="n">
        <v>1</v>
      </c>
    </row>
    <row r="399">
      <c r="A399" s="43" t="inlineStr">
        <is>
          <t>Contratante</t>
        </is>
      </c>
      <c r="B399" s="10" t="n">
        <v>2</v>
      </c>
    </row>
    <row r="400">
      <c r="A400" s="31" t="inlineStr">
        <is>
          <t>Rival</t>
        </is>
      </c>
      <c r="B400" s="5" t="n">
        <v>3</v>
      </c>
    </row>
    <row r="401">
      <c r="A401" s="43" t="inlineStr">
        <is>
          <t>Neutro</t>
        </is>
      </c>
      <c r="B401" s="10" t="n">
        <v>4</v>
      </c>
    </row>
    <row r="402">
      <c r="A402" s="31" t="inlineStr">
        <is>
          <t>Informante</t>
        </is>
      </c>
      <c r="B402" s="5" t="n">
        <v>5</v>
      </c>
    </row>
    <row r="403">
      <c r="A403" s="43" t="inlineStr">
        <is>
          <t>Vítima</t>
        </is>
      </c>
      <c r="B403" s="10" t="n">
        <v>6</v>
      </c>
    </row>
    <row r="404">
      <c r="A404" s="31" t="inlineStr">
        <is>
          <t>Antagonista</t>
        </is>
      </c>
      <c r="B404" s="5" t="n">
        <v>7</v>
      </c>
    </row>
    <row r="405"/>
    <row r="406" ht="18" customHeight="1">
      <c r="A406" s="13" t="inlineStr">
        <is>
          <t>Poções de Vida — 24.3</t>
        </is>
      </c>
      <c r="B406" s="70" t="n"/>
      <c r="C406" s="70" t="n"/>
      <c r="D406" s="70" t="n"/>
    </row>
    <row r="407">
      <c r="A407" s="8" t="inlineStr">
        <is>
          <t>Poção</t>
        </is>
      </c>
      <c r="B407" s="8" t="inlineStr">
        <is>
          <t>Cura</t>
        </is>
      </c>
      <c r="C407" s="8" t="inlineStr">
        <is>
          <t>Espaço</t>
        </is>
      </c>
      <c r="D407" s="8" t="inlineStr">
        <is>
          <t>Preço (Cr)</t>
        </is>
      </c>
    </row>
    <row r="408">
      <c r="A408" s="31" t="inlineStr">
        <is>
          <t>Pequena</t>
        </is>
      </c>
      <c r="B408" s="5" t="n">
        <v>15</v>
      </c>
      <c r="C408" s="5" t="n">
        <v>0.5</v>
      </c>
      <c r="D408" s="5" t="n">
        <v>50</v>
      </c>
    </row>
    <row r="409">
      <c r="A409" s="43" t="inlineStr">
        <is>
          <t>Média</t>
        </is>
      </c>
      <c r="B409" s="10" t="n">
        <v>30</v>
      </c>
      <c r="C409" s="10" t="n">
        <v>1</v>
      </c>
      <c r="D409" s="10" t="n">
        <v>150</v>
      </c>
    </row>
    <row r="410">
      <c r="A410" s="31" t="inlineStr">
        <is>
          <t>Grande</t>
        </is>
      </c>
      <c r="B410" s="5" t="n">
        <v>50</v>
      </c>
      <c r="C410" s="5" t="n">
        <v>2</v>
      </c>
      <c r="D410" s="5" t="n">
        <v>400</v>
      </c>
    </row>
    <row r="411"/>
    <row r="412" ht="18" customHeight="1">
      <c r="A412" s="13" t="inlineStr">
        <is>
          <t>Itens comuns — 24.3</t>
        </is>
      </c>
      <c r="B412" s="70" t="n"/>
      <c r="C412" s="70" t="n"/>
      <c r="D412" s="70" t="n"/>
    </row>
    <row r="413">
      <c r="A413" s="8" t="inlineStr">
        <is>
          <t>Item</t>
        </is>
      </c>
      <c r="B413" s="8" t="inlineStr">
        <is>
          <t>Espaço</t>
        </is>
      </c>
      <c r="C413" s="8" t="inlineStr">
        <is>
          <t>Preço (Cr)</t>
        </is>
      </c>
      <c r="D413" s="8" t="inlineStr">
        <is>
          <t>Para quê</t>
        </is>
      </c>
    </row>
    <row r="414" ht="26" customHeight="1">
      <c r="A414" s="31" t="inlineStr">
        <is>
          <t>Kit de primeiros socorros (3 usos)</t>
        </is>
      </c>
      <c r="B414" s="5" t="n">
        <v>1</v>
      </c>
      <c r="C414" s="5" t="n">
        <v>100</v>
      </c>
      <c r="D414" s="5" t="inlineStr">
        <is>
          <t>Cura 10 fora de combate, por uso</t>
        </is>
      </c>
    </row>
    <row r="415" ht="37" customHeight="1">
      <c r="A415" s="43" t="inlineStr">
        <is>
          <t>Kit de ferramentas</t>
        </is>
      </c>
      <c r="B415" s="10" t="n">
        <v>1</v>
      </c>
      <c r="C415" s="10" t="n">
        <v>120</v>
      </c>
      <c r="D415" s="10" t="inlineStr">
        <is>
          <t>Permite Testes de Tecnologia que exigem equipamento</t>
        </is>
      </c>
    </row>
    <row r="416" ht="26" customHeight="1">
      <c r="A416" s="31" t="inlineStr">
        <is>
          <t>Kit de pesquisa de campo</t>
        </is>
      </c>
      <c r="B416" s="5" t="n">
        <v>1</v>
      </c>
      <c r="C416" s="5" t="n">
        <v>150</v>
      </c>
      <c r="D416" s="5" t="inlineStr">
        <is>
          <t>Idem, para Ciência e Pesquisa</t>
        </is>
      </c>
    </row>
    <row r="417">
      <c r="A417" s="43" t="inlineStr">
        <is>
          <t>Lanterna de plasma</t>
        </is>
      </c>
      <c r="B417" s="10" t="n">
        <v>0.5</v>
      </c>
      <c r="C417" s="10" t="n">
        <v>30</v>
      </c>
      <c r="D417" s="10" t="inlineStr">
        <is>
          <t>Luz, 8 horas de carga</t>
        </is>
      </c>
    </row>
    <row r="418">
      <c r="A418" s="31" t="inlineStr">
        <is>
          <t>Corda de fibra, 20 m</t>
        </is>
      </c>
      <c r="B418" s="5" t="n">
        <v>1</v>
      </c>
      <c r="C418" s="5" t="n">
        <v>25</v>
      </c>
      <c r="D418" s="5" t="inlineStr">
        <is>
          <t>Corda</t>
        </is>
      </c>
    </row>
    <row r="419" ht="26" customHeight="1">
      <c r="A419" s="43" t="inlineStr">
        <is>
          <t>Gancho de escalada</t>
        </is>
      </c>
      <c r="B419" s="10" t="n">
        <v>0.5</v>
      </c>
      <c r="C419" s="10" t="n">
        <v>60</v>
      </c>
      <c r="D419" s="10" t="inlineStr">
        <is>
          <t>Sobe o que não tem escada</t>
        </is>
      </c>
    </row>
    <row r="420" ht="26" customHeight="1">
      <c r="A420" s="31" t="inlineStr">
        <is>
          <t>Ração de viagem (3 dias)</t>
        </is>
      </c>
      <c r="B420" s="5" t="n">
        <v>0.5</v>
      </c>
      <c r="C420" s="5" t="n">
        <v>15</v>
      </c>
      <c r="D420" s="5" t="inlineStr">
        <is>
          <t>Descanso Longo fora de abrigo</t>
        </is>
      </c>
    </row>
    <row r="421" ht="26" customHeight="1">
      <c r="A421" s="43" t="inlineStr">
        <is>
          <t>Comunicador de curto alcance</t>
        </is>
      </c>
      <c r="B421" s="10" t="n">
        <v>0.5</v>
      </c>
      <c r="C421" s="10" t="n">
        <v>80</v>
      </c>
      <c r="D421" s="10" t="inlineStr">
        <is>
          <t>Fala com o grupo entre cenas</t>
        </is>
      </c>
    </row>
    <row r="422" ht="37" customHeight="1">
      <c r="A422" s="31" t="inlineStr">
        <is>
          <t>Scanner portátil</t>
        </is>
      </c>
      <c r="B422" s="5" t="n">
        <v>1</v>
      </c>
      <c r="C422" s="5" t="n">
        <v>200</v>
      </c>
      <c r="D422" s="5" t="inlineStr">
        <is>
          <t>Vantagem em um Teste de Pesquisa por cena, fora de combate</t>
        </is>
      </c>
    </row>
    <row r="423" ht="37" customHeight="1">
      <c r="A423" s="43" t="inlineStr">
        <is>
          <t>Traje de vedação</t>
        </is>
      </c>
      <c r="B423" s="10" t="n">
        <v>2</v>
      </c>
      <c r="C423" s="10" t="n">
        <v>250</v>
      </c>
      <c r="D423" s="10" t="inlineStr">
        <is>
          <t>Sobrevive a vácuo e atmosfera hostil por uma cena</t>
        </is>
      </c>
    </row>
    <row r="424" ht="26" customHeight="1">
      <c r="A424" s="31" t="inlineStr">
        <is>
          <t>Munição ou célula de reserva</t>
        </is>
      </c>
      <c r="B424" s="5" t="n">
        <v>0.5</v>
      </c>
      <c r="C424" s="5" t="n">
        <v>20</v>
      </c>
      <c r="D424" s="5" t="inlineStr">
        <is>
          <t>Reposição de projétil ou de célula de energia</t>
        </is>
      </c>
    </row>
    <row r="425"/>
    <row r="426" ht="32" customHeight="1">
      <c r="A426" s="69" t="inlineStr">
        <is>
          <t>Armaduras e Vestimentas — 24.1</t>
        </is>
      </c>
      <c r="B426" s="70" t="n"/>
      <c r="C426" s="70" t="n"/>
      <c r="D426" s="70" t="n"/>
      <c r="E426" s="70" t="n"/>
      <c r="F426" s="70" t="n"/>
    </row>
    <row r="427">
      <c r="A427" s="8" t="inlineStr">
        <is>
          <t>Tipo</t>
        </is>
      </c>
      <c r="B427" s="8" t="inlineStr">
        <is>
          <t>Defesa</t>
        </is>
      </c>
      <c r="C427" s="8" t="inlineStr">
        <is>
          <t>Outros efeitos</t>
        </is>
      </c>
      <c r="D427" s="8" t="inlineStr">
        <is>
          <t>Esquiva</t>
        </is>
      </c>
      <c r="E427" s="8" t="inlineStr">
        <is>
          <t>Espaço</t>
        </is>
      </c>
      <c r="F427" s="8" t="inlineStr">
        <is>
          <t>Preço (Cr)</t>
        </is>
      </c>
    </row>
    <row r="428">
      <c r="A428" s="31" t="inlineStr">
        <is>
          <t>Leve</t>
        </is>
      </c>
      <c r="B428" s="5" t="n">
        <v>3</v>
      </c>
      <c r="C428" s="5" t="inlineStr">
        <is>
          <t>+1 de Velocidade</t>
        </is>
      </c>
      <c r="D428" s="5" t="inlineStr">
        <is>
          <t>Permitida</t>
        </is>
      </c>
      <c r="E428" s="5" t="n">
        <v>1</v>
      </c>
      <c r="F428" s="5" t="n">
        <v>150</v>
      </c>
    </row>
    <row r="429">
      <c r="A429" s="43" t="inlineStr">
        <is>
          <t>Média</t>
        </is>
      </c>
      <c r="B429" s="10" t="n">
        <v>5</v>
      </c>
      <c r="C429" s="10" t="inlineStr">
        <is>
          <t>—</t>
        </is>
      </c>
      <c r="D429" s="10" t="inlineStr">
        <is>
          <t>Permitida</t>
        </is>
      </c>
      <c r="E429" s="10" t="n">
        <v>2</v>
      </c>
      <c r="F429" s="10" t="n">
        <v>300</v>
      </c>
    </row>
    <row r="430" ht="48" customHeight="1">
      <c r="A430" s="31" t="inlineStr">
        <is>
          <t>Pesada</t>
        </is>
      </c>
      <c r="B430" s="5" t="n">
        <v>6</v>
      </c>
      <c r="C430" s="5" t="inlineStr">
        <is>
          <t>2 RD, -2 em Reflexos e nas Perícias de Agilidade, -2 de Velocidade</t>
        </is>
      </c>
      <c r="D430" s="5" t="inlineStr">
        <is>
          <t>Proibida</t>
        </is>
      </c>
      <c r="E430" s="5" t="n">
        <v>3</v>
      </c>
      <c r="F430" s="5" t="n">
        <v>500</v>
      </c>
    </row>
    <row r="431"/>
    <row r="432" ht="18" customHeight="1">
      <c r="A432" s="13" t="inlineStr">
        <is>
          <t>Armas — 24.2</t>
        </is>
      </c>
      <c r="B432" s="70" t="n"/>
      <c r="C432" s="70" t="n"/>
      <c r="D432" s="70" t="n"/>
      <c r="E432" s="70" t="n"/>
      <c r="F432" s="70" t="n"/>
    </row>
    <row r="433">
      <c r="A433" s="8" t="inlineStr">
        <is>
          <t>Categoria</t>
        </is>
      </c>
      <c r="B433" s="8" t="inlineStr">
        <is>
          <t>Dados base</t>
        </is>
      </c>
      <c r="C433" s="8" t="inlineStr">
        <is>
          <t>Alcance</t>
        </is>
      </c>
      <c r="D433" s="8" t="inlineStr">
        <is>
          <t>Atributo de Ataque</t>
        </is>
      </c>
      <c r="E433" s="8" t="inlineStr">
        <is>
          <t>Espaço</t>
        </is>
      </c>
      <c r="F433" s="8" t="inlineStr">
        <is>
          <t>Preço (Cr)</t>
        </is>
      </c>
    </row>
    <row r="434">
      <c r="A434" s="31" t="inlineStr">
        <is>
          <t>Leve</t>
        </is>
      </c>
      <c r="B434" s="5" t="inlineStr">
        <is>
          <t>1d8</t>
        </is>
      </c>
      <c r="C434" s="5" t="inlineStr">
        <is>
          <t>Pessoal</t>
        </is>
      </c>
      <c r="D434" s="5" t="inlineStr">
        <is>
          <t>Agilidade</t>
        </is>
      </c>
      <c r="E434" s="5" t="n">
        <v>0.5</v>
      </c>
      <c r="F434" s="5" t="n">
        <v>100</v>
      </c>
    </row>
    <row r="435" ht="26" customHeight="1">
      <c r="A435" s="43" t="inlineStr">
        <is>
          <t>Média</t>
        </is>
      </c>
      <c r="B435" s="10" t="inlineStr">
        <is>
          <t>1d10</t>
        </is>
      </c>
      <c r="C435" s="10" t="inlineStr">
        <is>
          <t>Pessoal</t>
        </is>
      </c>
      <c r="D435" s="10" t="inlineStr">
        <is>
          <t>Poder ou Agilidade (fixo na criação)</t>
        </is>
      </c>
      <c r="E435" s="10" t="n">
        <v>1</v>
      </c>
      <c r="F435" s="10" t="n">
        <v>150</v>
      </c>
    </row>
    <row r="436">
      <c r="A436" s="31" t="inlineStr">
        <is>
          <t>Pesada</t>
        </is>
      </c>
      <c r="B436" s="5" t="inlineStr">
        <is>
          <t>1d12</t>
        </is>
      </c>
      <c r="C436" s="5" t="inlineStr">
        <is>
          <t>Pessoal</t>
        </is>
      </c>
      <c r="D436" s="5" t="inlineStr">
        <is>
          <t>Poder</t>
        </is>
      </c>
      <c r="E436" s="5" t="n">
        <v>2</v>
      </c>
      <c r="F436" s="5" t="n">
        <v>200</v>
      </c>
    </row>
    <row r="437">
      <c r="A437" s="43" t="inlineStr">
        <is>
          <t>Disparo curto</t>
        </is>
      </c>
      <c r="B437" s="10" t="inlineStr">
        <is>
          <t>1d8</t>
        </is>
      </c>
      <c r="C437" s="10" t="inlineStr">
        <is>
          <t>Média</t>
        </is>
      </c>
      <c r="D437" s="10" t="inlineStr">
        <is>
          <t>Agilidade</t>
        </is>
      </c>
      <c r="E437" s="10" t="n">
        <v>1</v>
      </c>
      <c r="F437" s="10" t="n">
        <v>250</v>
      </c>
    </row>
    <row r="438">
      <c r="A438" s="31" t="inlineStr">
        <is>
          <t>Disparo longo</t>
        </is>
      </c>
      <c r="B438" s="5" t="inlineStr">
        <is>
          <t>1d10</t>
        </is>
      </c>
      <c r="C438" s="5" t="inlineStr">
        <is>
          <t>Longa</t>
        </is>
      </c>
      <c r="D438" s="5" t="inlineStr">
        <is>
          <t>Agilidade</t>
        </is>
      </c>
      <c r="E438" s="5" t="n">
        <v>2</v>
      </c>
      <c r="F438" s="5" t="n">
        <v>350</v>
      </c>
    </row>
    <row r="439">
      <c r="A439" s="43" t="inlineStr">
        <is>
          <t>Energia</t>
        </is>
      </c>
      <c r="B439" s="10" t="inlineStr">
        <is>
          <t>2d8</t>
        </is>
      </c>
      <c r="C439" s="10" t="inlineStr">
        <is>
          <t>Longa</t>
        </is>
      </c>
      <c r="D439" s="10" t="inlineStr">
        <is>
          <t>Sincronia</t>
        </is>
      </c>
      <c r="E439" s="10" t="n">
        <v>2</v>
      </c>
      <c r="F439" s="10" t="n">
        <v>500</v>
      </c>
    </row>
    <row r="440"/>
    <row r="441" ht="46" customHeight="1">
      <c r="A441" s="69" t="inlineStr">
        <is>
          <t>Consumíveis dos achados — 24.3 (faixa da poção: Sugestão da planilha, H9)</t>
        </is>
      </c>
      <c r="B441" s="70" t="n"/>
      <c r="C441" s="70" t="n"/>
      <c r="D441" s="70" t="n"/>
      <c r="E441" s="70" t="n"/>
      <c r="F441" s="70" t="n"/>
      <c r="G441" s="70" t="n"/>
      <c r="H441" s="70" t="n"/>
      <c r="I441" s="70" t="n"/>
    </row>
    <row r="442">
      <c r="A442" s="8" t="inlineStr">
        <is>
          <t>Item</t>
        </is>
      </c>
      <c r="B442" s="8" t="inlineStr">
        <is>
          <t>Preço (Cr)</t>
        </is>
      </c>
      <c r="C442" s="8" t="inlineStr">
        <is>
          <t>Tipo</t>
        </is>
      </c>
      <c r="D442" s="8" t="inlineStr">
        <is>
          <t>Faixas</t>
        </is>
      </c>
      <c r="E442" s="8" t="inlineStr">
        <is>
          <t>Ordem 1-4</t>
        </is>
      </c>
      <c r="F442" s="8" t="inlineStr">
        <is>
          <t>Ordem 5-8</t>
        </is>
      </c>
      <c r="G442" s="8" t="inlineStr">
        <is>
          <t>Ordem 9-12</t>
        </is>
      </c>
      <c r="H442" s="8" t="inlineStr">
        <is>
          <t>Ordem 13-16</t>
        </is>
      </c>
      <c r="I442" s="8" t="inlineStr">
        <is>
          <t>Ordem 17-20</t>
        </is>
      </c>
    </row>
    <row r="443">
      <c r="A443" s="31" t="inlineStr">
        <is>
          <t>Poção Pequena</t>
        </is>
      </c>
      <c r="B443" s="5" t="n">
        <v>50</v>
      </c>
      <c r="C443" s="5" t="inlineStr">
        <is>
          <t>Poção de Vida</t>
        </is>
      </c>
      <c r="D443" s="5" t="inlineStr">
        <is>
          <t>1-8</t>
        </is>
      </c>
      <c r="E443" s="5" t="n">
        <v>1</v>
      </c>
      <c r="F443" s="5" t="n">
        <v>1</v>
      </c>
      <c r="G443" s="5" t="inlineStr"/>
      <c r="H443" s="5" t="inlineStr"/>
      <c r="I443" s="5" t="inlineStr"/>
    </row>
    <row r="444">
      <c r="A444" s="43" t="inlineStr">
        <is>
          <t>Poção Média</t>
        </is>
      </c>
      <c r="B444" s="10" t="n">
        <v>150</v>
      </c>
      <c r="C444" s="10" t="inlineStr">
        <is>
          <t>Poção de Vida</t>
        </is>
      </c>
      <c r="D444" s="10" t="inlineStr">
        <is>
          <t>5-16</t>
        </is>
      </c>
      <c r="E444" s="10" t="inlineStr"/>
      <c r="F444" s="10" t="n">
        <v>2</v>
      </c>
      <c r="G444" s="10" t="n">
        <v>1</v>
      </c>
      <c r="H444" s="10" t="n">
        <v>1</v>
      </c>
      <c r="I444" s="10" t="inlineStr"/>
    </row>
    <row r="445">
      <c r="A445" s="31" t="inlineStr">
        <is>
          <t>Poção Grande</t>
        </is>
      </c>
      <c r="B445" s="5" t="n">
        <v>400</v>
      </c>
      <c r="C445" s="5" t="inlineStr">
        <is>
          <t>Poção de Vida</t>
        </is>
      </c>
      <c r="D445" s="5" t="inlineStr">
        <is>
          <t>13-20</t>
        </is>
      </c>
      <c r="E445" s="5" t="inlineStr"/>
      <c r="F445" s="5" t="inlineStr"/>
      <c r="G445" s="5" t="inlineStr"/>
      <c r="H445" s="5" t="n">
        <v>2</v>
      </c>
      <c r="I445" s="5" t="n">
        <v>1</v>
      </c>
    </row>
    <row r="446">
      <c r="A446" s="43" t="inlineStr">
        <is>
          <t>Kit de primeiros socorros (3 usos)</t>
        </is>
      </c>
      <c r="B446" s="10" t="n">
        <v>100</v>
      </c>
      <c r="C446" s="10" t="inlineStr">
        <is>
          <t>Item comum</t>
        </is>
      </c>
      <c r="D446" s="10" t="inlineStr">
        <is>
          <t>1-20</t>
        </is>
      </c>
      <c r="E446" s="10" t="n">
        <v>2</v>
      </c>
      <c r="F446" s="10" t="n">
        <v>3</v>
      </c>
      <c r="G446" s="10" t="n">
        <v>2</v>
      </c>
      <c r="H446" s="10" t="n">
        <v>3</v>
      </c>
      <c r="I446" s="10" t="n">
        <v>2</v>
      </c>
    </row>
    <row r="447">
      <c r="A447" s="31" t="inlineStr">
        <is>
          <t>Kit de ferramentas</t>
        </is>
      </c>
      <c r="B447" s="5" t="n">
        <v>120</v>
      </c>
      <c r="C447" s="5" t="inlineStr">
        <is>
          <t>Item comum</t>
        </is>
      </c>
      <c r="D447" s="5" t="inlineStr">
        <is>
          <t>1-20</t>
        </is>
      </c>
      <c r="E447" s="5" t="n">
        <v>3</v>
      </c>
      <c r="F447" s="5" t="n">
        <v>4</v>
      </c>
      <c r="G447" s="5" t="n">
        <v>3</v>
      </c>
      <c r="H447" s="5" t="n">
        <v>4</v>
      </c>
      <c r="I447" s="5" t="n">
        <v>3</v>
      </c>
    </row>
    <row r="448">
      <c r="A448" s="43" t="inlineStr">
        <is>
          <t>Kit de pesquisa de campo</t>
        </is>
      </c>
      <c r="B448" s="10" t="n">
        <v>150</v>
      </c>
      <c r="C448" s="10" t="inlineStr">
        <is>
          <t>Item comum</t>
        </is>
      </c>
      <c r="D448" s="10" t="inlineStr">
        <is>
          <t>1-20</t>
        </is>
      </c>
      <c r="E448" s="10" t="n">
        <v>4</v>
      </c>
      <c r="F448" s="10" t="n">
        <v>5</v>
      </c>
      <c r="G448" s="10" t="n">
        <v>4</v>
      </c>
      <c r="H448" s="10" t="n">
        <v>5</v>
      </c>
      <c r="I448" s="10" t="n">
        <v>4</v>
      </c>
    </row>
    <row r="449">
      <c r="A449" s="31" t="inlineStr">
        <is>
          <t>Lanterna de plasma</t>
        </is>
      </c>
      <c r="B449" s="5" t="n">
        <v>30</v>
      </c>
      <c r="C449" s="5" t="inlineStr">
        <is>
          <t>Item comum</t>
        </is>
      </c>
      <c r="D449" s="5" t="inlineStr">
        <is>
          <t>1-20</t>
        </is>
      </c>
      <c r="E449" s="5" t="n">
        <v>5</v>
      </c>
      <c r="F449" s="5" t="n">
        <v>6</v>
      </c>
      <c r="G449" s="5" t="n">
        <v>5</v>
      </c>
      <c r="H449" s="5" t="n">
        <v>6</v>
      </c>
      <c r="I449" s="5" t="n">
        <v>5</v>
      </c>
    </row>
    <row r="450">
      <c r="A450" s="43" t="inlineStr">
        <is>
          <t>Corda de fibra, 20 m</t>
        </is>
      </c>
      <c r="B450" s="10" t="n">
        <v>25</v>
      </c>
      <c r="C450" s="10" t="inlineStr">
        <is>
          <t>Item comum</t>
        </is>
      </c>
      <c r="D450" s="10" t="inlineStr">
        <is>
          <t>1-20</t>
        </is>
      </c>
      <c r="E450" s="10" t="n">
        <v>6</v>
      </c>
      <c r="F450" s="10" t="n">
        <v>7</v>
      </c>
      <c r="G450" s="10" t="n">
        <v>6</v>
      </c>
      <c r="H450" s="10" t="n">
        <v>7</v>
      </c>
      <c r="I450" s="10" t="n">
        <v>6</v>
      </c>
    </row>
    <row r="451">
      <c r="A451" s="31" t="inlineStr">
        <is>
          <t>Gancho de escalada</t>
        </is>
      </c>
      <c r="B451" s="5" t="n">
        <v>60</v>
      </c>
      <c r="C451" s="5" t="inlineStr">
        <is>
          <t>Item comum</t>
        </is>
      </c>
      <c r="D451" s="5" t="inlineStr">
        <is>
          <t>1-20</t>
        </is>
      </c>
      <c r="E451" s="5" t="n">
        <v>7</v>
      </c>
      <c r="F451" s="5" t="n">
        <v>8</v>
      </c>
      <c r="G451" s="5" t="n">
        <v>7</v>
      </c>
      <c r="H451" s="5" t="n">
        <v>8</v>
      </c>
      <c r="I451" s="5" t="n">
        <v>7</v>
      </c>
    </row>
    <row r="452">
      <c r="A452" s="43" t="inlineStr">
        <is>
          <t>Ração de viagem (3 dias)</t>
        </is>
      </c>
      <c r="B452" s="10" t="n">
        <v>15</v>
      </c>
      <c r="C452" s="10" t="inlineStr">
        <is>
          <t>Item comum</t>
        </is>
      </c>
      <c r="D452" s="10" t="inlineStr">
        <is>
          <t>1-20</t>
        </is>
      </c>
      <c r="E452" s="10" t="n">
        <v>8</v>
      </c>
      <c r="F452" s="10" t="n">
        <v>9</v>
      </c>
      <c r="G452" s="10" t="n">
        <v>8</v>
      </c>
      <c r="H452" s="10" t="n">
        <v>9</v>
      </c>
      <c r="I452" s="10" t="n">
        <v>8</v>
      </c>
    </row>
    <row r="453">
      <c r="A453" s="31" t="inlineStr">
        <is>
          <t>Comunicador de curto alcance</t>
        </is>
      </c>
      <c r="B453" s="5" t="n">
        <v>80</v>
      </c>
      <c r="C453" s="5" t="inlineStr">
        <is>
          <t>Item comum</t>
        </is>
      </c>
      <c r="D453" s="5" t="inlineStr">
        <is>
          <t>1-20</t>
        </is>
      </c>
      <c r="E453" s="5" t="n">
        <v>9</v>
      </c>
      <c r="F453" s="5" t="n">
        <v>10</v>
      </c>
      <c r="G453" s="5" t="n">
        <v>9</v>
      </c>
      <c r="H453" s="5" t="n">
        <v>10</v>
      </c>
      <c r="I453" s="5" t="n">
        <v>9</v>
      </c>
    </row>
    <row r="454">
      <c r="A454" s="43" t="inlineStr">
        <is>
          <t>Scanner portátil</t>
        </is>
      </c>
      <c r="B454" s="10" t="n">
        <v>200</v>
      </c>
      <c r="C454" s="10" t="inlineStr">
        <is>
          <t>Item comum</t>
        </is>
      </c>
      <c r="D454" s="10" t="inlineStr">
        <is>
          <t>1-20</t>
        </is>
      </c>
      <c r="E454" s="10" t="n">
        <v>10</v>
      </c>
      <c r="F454" s="10" t="n">
        <v>11</v>
      </c>
      <c r="G454" s="10" t="n">
        <v>10</v>
      </c>
      <c r="H454" s="10" t="n">
        <v>11</v>
      </c>
      <c r="I454" s="10" t="n">
        <v>10</v>
      </c>
    </row>
    <row r="455">
      <c r="A455" s="31" t="inlineStr">
        <is>
          <t>Traje de vedação</t>
        </is>
      </c>
      <c r="B455" s="5" t="n">
        <v>250</v>
      </c>
      <c r="C455" s="5" t="inlineStr">
        <is>
          <t>Item comum</t>
        </is>
      </c>
      <c r="D455" s="5" t="inlineStr">
        <is>
          <t>1-20</t>
        </is>
      </c>
      <c r="E455" s="5" t="n">
        <v>11</v>
      </c>
      <c r="F455" s="5" t="n">
        <v>12</v>
      </c>
      <c r="G455" s="5" t="n">
        <v>11</v>
      </c>
      <c r="H455" s="5" t="n">
        <v>12</v>
      </c>
      <c r="I455" s="5" t="n">
        <v>11</v>
      </c>
    </row>
    <row r="456">
      <c r="A456" s="43" t="inlineStr">
        <is>
          <t>Munição ou célula de reserva</t>
        </is>
      </c>
      <c r="B456" s="10" t="n">
        <v>20</v>
      </c>
      <c r="C456" s="10" t="inlineStr">
        <is>
          <t>Item comum</t>
        </is>
      </c>
      <c r="D456" s="10" t="inlineStr">
        <is>
          <t>1-20</t>
        </is>
      </c>
      <c r="E456" s="10" t="n">
        <v>12</v>
      </c>
      <c r="F456" s="10" t="n">
        <v>13</v>
      </c>
      <c r="G456" s="10" t="n">
        <v>12</v>
      </c>
      <c r="H456" s="10" t="n">
        <v>13</v>
      </c>
      <c r="I456" s="10" t="n">
        <v>12</v>
      </c>
    </row>
    <row r="457"/>
    <row r="458" ht="32" customHeight="1">
      <c r="A458" s="69" t="inlineStr">
        <is>
          <t>Consumíveis por faixa — 24.3 e H9</t>
        </is>
      </c>
      <c r="B458" s="70" t="n"/>
    </row>
    <row r="459">
      <c r="A459" s="8" t="inlineStr">
        <is>
          <t>Faixa</t>
        </is>
      </c>
      <c r="B459" s="8" t="inlineStr">
        <is>
          <t>Nº de consumíveis</t>
        </is>
      </c>
    </row>
    <row r="460">
      <c r="A460" s="31" t="inlineStr">
        <is>
          <t>1-4</t>
        </is>
      </c>
      <c r="B460" s="5" t="n">
        <v>12</v>
      </c>
    </row>
    <row r="461">
      <c r="A461" s="43" t="inlineStr">
        <is>
          <t>5-8</t>
        </is>
      </c>
      <c r="B461" s="10" t="n">
        <v>13</v>
      </c>
    </row>
    <row r="462">
      <c r="A462" s="31" t="inlineStr">
        <is>
          <t>9-12</t>
        </is>
      </c>
      <c r="B462" s="5" t="n">
        <v>12</v>
      </c>
    </row>
    <row r="463">
      <c r="A463" s="43" t="inlineStr">
        <is>
          <t>13-16</t>
        </is>
      </c>
      <c r="B463" s="10" t="n">
        <v>13</v>
      </c>
    </row>
    <row r="464">
      <c r="A464" s="31" t="inlineStr">
        <is>
          <t>17-20</t>
        </is>
      </c>
      <c r="B464" s="5" t="n">
        <v>12</v>
      </c>
    </row>
    <row r="465"/>
    <row r="466" ht="46" customHeight="1">
      <c r="A466" s="69" t="inlineStr">
        <is>
          <t>Cone de Luz por Nível — 25.2 (Sobreposição até o teto +3)</t>
        </is>
      </c>
      <c r="B466" s="70" t="n"/>
      <c r="C466" s="70" t="n"/>
      <c r="D466" s="70" t="n"/>
      <c r="E466" s="70" t="n"/>
      <c r="F466" s="70" t="n"/>
      <c r="G466" s="70" t="n"/>
      <c r="H466" s="70" t="n"/>
      <c r="I466" s="70" t="n"/>
    </row>
    <row r="467" ht="26" customHeight="1">
      <c r="A467" s="8" t="inlineStr">
        <is>
          <t>Nível do Cone</t>
        </is>
      </c>
      <c r="B467" s="8" t="inlineStr">
        <is>
          <t>Nível do personagem</t>
        </is>
      </c>
      <c r="C467" s="8" t="inlineStr">
        <is>
          <t>Bônus Maior</t>
        </is>
      </c>
      <c r="D467" s="8" t="inlineStr">
        <is>
          <t>Efeito Condicional</t>
        </is>
      </c>
      <c r="E467" s="8" t="inlineStr">
        <is>
          <t>Parte numérica</t>
        </is>
      </c>
      <c r="F467" s="8" t="inlineStr">
        <is>
          <t>Modo</t>
        </is>
      </c>
      <c r="G467" s="8" t="inlineStr">
        <is>
          <t>PV</t>
        </is>
      </c>
      <c r="H467" s="8" t="inlineStr">
        <is>
          <t>Sobreposições até o teto</t>
        </is>
      </c>
      <c r="I467" s="8" t="inlineStr">
        <is>
          <t>PV no teto</t>
        </is>
      </c>
    </row>
    <row r="468" ht="26" customHeight="1">
      <c r="A468" s="31" t="n">
        <v>1</v>
      </c>
      <c r="B468" s="5" t="n">
        <v>1</v>
      </c>
      <c r="C468" s="5" t="inlineStr">
        <is>
          <t>+1 ou +10 PV</t>
        </is>
      </c>
      <c r="D468" s="5" t="inlineStr">
        <is>
          <t>1 efeito simples, 1 vez por combate</t>
        </is>
      </c>
      <c r="E468" s="5" t="n">
        <v>1</v>
      </c>
      <c r="F468" s="5" t="inlineStr">
        <is>
          <t>ou</t>
        </is>
      </c>
      <c r="G468" s="5" t="n">
        <v>10</v>
      </c>
      <c r="H468" s="5" t="n">
        <v>2</v>
      </c>
      <c r="I468" s="5" t="n">
        <v>30</v>
      </c>
    </row>
    <row r="469" ht="26" customHeight="1">
      <c r="A469" s="43" t="n">
        <v>2</v>
      </c>
      <c r="B469" s="10" t="n">
        <v>5</v>
      </c>
      <c r="C469" s="10" t="inlineStr">
        <is>
          <t>+1 e +10 PV</t>
        </is>
      </c>
      <c r="D469" s="10" t="inlineStr">
        <is>
          <t>1 efeito, 1 vez por Ciclo</t>
        </is>
      </c>
      <c r="E469" s="10" t="n">
        <v>1</v>
      </c>
      <c r="F469" s="10" t="inlineStr">
        <is>
          <t>e</t>
        </is>
      </c>
      <c r="G469" s="10" t="n">
        <v>10</v>
      </c>
      <c r="H469" s="10" t="n">
        <v>2</v>
      </c>
      <c r="I469" s="10" t="n">
        <v>30</v>
      </c>
    </row>
    <row r="470" ht="26" customHeight="1">
      <c r="A470" s="31" t="n">
        <v>3</v>
      </c>
      <c r="B470" s="5" t="n">
        <v>9</v>
      </c>
      <c r="C470" s="5" t="inlineStr">
        <is>
          <t>+2 ou +25 PV</t>
        </is>
      </c>
      <c r="D470" s="5" t="inlineStr">
        <is>
          <t>1 efeito + pequeno ganho de Energia</t>
        </is>
      </c>
      <c r="E470" s="5" t="n">
        <v>2</v>
      </c>
      <c r="F470" s="5" t="inlineStr">
        <is>
          <t>ou</t>
        </is>
      </c>
      <c r="G470" s="5" t="n">
        <v>25</v>
      </c>
      <c r="H470" s="5" t="n">
        <v>1</v>
      </c>
      <c r="I470" s="5" t="n">
        <v>35</v>
      </c>
    </row>
    <row r="471">
      <c r="A471" s="43" t="n">
        <v>4</v>
      </c>
      <c r="B471" s="10" t="n">
        <v>13</v>
      </c>
      <c r="C471" s="10" t="inlineStr">
        <is>
          <t>+2 e +25 PV</t>
        </is>
      </c>
      <c r="D471" s="10" t="inlineStr">
        <is>
          <t>2 efeitos</t>
        </is>
      </c>
      <c r="E471" s="10" t="n">
        <v>2</v>
      </c>
      <c r="F471" s="10" t="inlineStr">
        <is>
          <t>e</t>
        </is>
      </c>
      <c r="G471" s="10" t="n">
        <v>25</v>
      </c>
      <c r="H471" s="10" t="n">
        <v>1</v>
      </c>
      <c r="I471" s="10" t="n">
        <v>35</v>
      </c>
    </row>
    <row r="472" ht="37" customHeight="1">
      <c r="A472" s="31" t="n">
        <v>5</v>
      </c>
      <c r="B472" s="5" t="n">
        <v>17</v>
      </c>
      <c r="C472" s="5" t="inlineStr">
        <is>
          <t>+3 ou +50 PV</t>
        </is>
      </c>
      <c r="D472" s="5" t="inlineStr">
        <is>
          <t>2 efeitos, um deles podendo conceder Avanço</t>
        </is>
      </c>
      <c r="E472" s="5" t="n">
        <v>3</v>
      </c>
      <c r="F472" s="5" t="inlineStr">
        <is>
          <t>ou</t>
        </is>
      </c>
      <c r="G472" s="5" t="n">
        <v>50</v>
      </c>
      <c r="H472" s="5" t="n">
        <v>0</v>
      </c>
      <c r="I472" s="5" t="n">
        <v>50</v>
      </c>
    </row>
    <row r="473"/>
    <row r="474" ht="32" customHeight="1">
      <c r="A474" s="69" t="inlineStr">
        <is>
          <t>Relíquias: 6 slots por Tier — 25.3</t>
        </is>
      </c>
      <c r="B474" s="70" t="n"/>
      <c r="C474" s="70" t="n"/>
      <c r="D474" s="70" t="n"/>
      <c r="E474" s="70" t="n"/>
      <c r="F474" s="70" t="n"/>
    </row>
    <row r="475">
      <c r="A475" s="8" t="inlineStr">
        <is>
          <t>Slot</t>
        </is>
      </c>
      <c r="B475" s="8" t="inlineStr">
        <is>
          <t>O que dá</t>
        </is>
      </c>
      <c r="C475" s="8" t="inlineStr">
        <is>
          <t>Tier I</t>
        </is>
      </c>
      <c r="D475" s="8" t="inlineStr">
        <is>
          <t>Tier II</t>
        </is>
      </c>
      <c r="E475" s="8" t="inlineStr">
        <is>
          <t>Tier III</t>
        </is>
      </c>
      <c r="F475" s="8" t="inlineStr">
        <is>
          <t>Tier IV</t>
        </is>
      </c>
    </row>
    <row r="476">
      <c r="A476" s="31" t="inlineStr">
        <is>
          <t>Cabeça</t>
        </is>
      </c>
      <c r="B476" s="5" t="inlineStr">
        <is>
          <t>PV máximos</t>
        </is>
      </c>
      <c r="C476" s="5" t="n">
        <v>10</v>
      </c>
      <c r="D476" s="5" t="n">
        <v>20</v>
      </c>
      <c r="E476" s="5" t="n">
        <v>35</v>
      </c>
      <c r="F476" s="5" t="n">
        <v>50</v>
      </c>
    </row>
    <row r="477">
      <c r="A477" s="43" t="inlineStr">
        <is>
          <t>Mãos</t>
        </is>
      </c>
      <c r="B477" s="10" t="inlineStr">
        <is>
          <t>Dano de Ataque Básico</t>
        </is>
      </c>
      <c r="C477" s="10" t="n">
        <v>2</v>
      </c>
      <c r="D477" s="10" t="n">
        <v>4</v>
      </c>
      <c r="E477" s="10" t="n">
        <v>6</v>
      </c>
      <c r="F477" s="10" t="n">
        <v>8</v>
      </c>
    </row>
    <row r="478">
      <c r="A478" s="31" t="inlineStr">
        <is>
          <t>Tronco</t>
        </is>
      </c>
      <c r="B478" s="5" t="inlineStr">
        <is>
          <t>Defesa</t>
        </is>
      </c>
      <c r="C478" s="5" t="n">
        <v>1</v>
      </c>
      <c r="D478" s="5" t="n">
        <v>1</v>
      </c>
      <c r="E478" s="5" t="n">
        <v>2</v>
      </c>
      <c r="F478" s="5" t="n">
        <v>2</v>
      </c>
    </row>
    <row r="479">
      <c r="A479" s="43" t="inlineStr">
        <is>
          <t>Botas</t>
        </is>
      </c>
      <c r="B479" s="10" t="inlineStr">
        <is>
          <t>Velocidade</t>
        </is>
      </c>
      <c r="C479" s="10" t="n">
        <v>2</v>
      </c>
      <c r="D479" s="10" t="n">
        <v>3</v>
      </c>
      <c r="E479" s="10" t="n">
        <v>4</v>
      </c>
      <c r="F479" s="10" t="n">
        <v>5</v>
      </c>
    </row>
    <row r="480" ht="26" customHeight="1">
      <c r="A480" s="31" t="inlineStr">
        <is>
          <t>Esfera Planar</t>
        </is>
      </c>
      <c r="B480" s="5" t="inlineStr">
        <is>
          <t>Dano de um Elemento escolhido</t>
        </is>
      </c>
      <c r="C480" s="5" t="n">
        <v>2</v>
      </c>
      <c r="D480" s="5" t="n">
        <v>4</v>
      </c>
      <c r="E480" s="5" t="n">
        <v>6</v>
      </c>
      <c r="F480" s="5" t="n">
        <v>8</v>
      </c>
    </row>
    <row r="481" ht="26" customHeight="1">
      <c r="A481" s="43" t="inlineStr">
        <is>
          <t>Corda de Ligação</t>
        </is>
      </c>
      <c r="B481" s="10" t="inlineStr">
        <is>
          <t>Energia, 1 vez por combate</t>
        </is>
      </c>
      <c r="C481" s="10" t="n">
        <v>10</v>
      </c>
      <c r="D481" s="10" t="n">
        <v>15</v>
      </c>
      <c r="E481" s="10" t="n">
        <v>20</v>
      </c>
      <c r="F481" s="10" t="n">
        <v>25</v>
      </c>
    </row>
    <row r="482"/>
    <row r="483" ht="32" customHeight="1">
      <c r="A483" s="69" t="inlineStr">
        <is>
          <t>Conjuntos de Relíquias — 25.3</t>
        </is>
      </c>
      <c r="B483" s="70" t="n"/>
    </row>
    <row r="484">
      <c r="A484" s="8" t="inlineStr">
        <is>
          <t>Peças</t>
        </is>
      </c>
      <c r="B484" s="8" t="inlineStr">
        <is>
          <t>O que você ganha</t>
        </is>
      </c>
    </row>
    <row r="485" ht="60" customHeight="1">
      <c r="A485" s="31" t="inlineStr">
        <is>
          <t>2 peças</t>
        </is>
      </c>
      <c r="B485" s="5" t="inlineStr">
        <is>
          <t>Um bônus pequeno e fixo: +1 em um tipo de rolagem, +1 de Velocidade, +2 de dano ou +1 RD</t>
        </is>
      </c>
    </row>
    <row r="486" ht="105" customHeight="1">
      <c r="A486" s="43" t="inlineStr">
        <is>
          <t>4 peças</t>
        </is>
      </c>
      <c r="B486" s="10" t="inlineStr">
        <is>
          <t>Um efeito condicional por Ciclo. Exemplos: "ao Quebrar um inimigo, o seu próximo ataque ganha +1 dado"; "ao usar a Ultimate, o grupo recebe +1 de Defesa por 1 Ciclo"</t>
        </is>
      </c>
    </row>
    <row r="487"/>
    <row r="488" ht="18" customHeight="1">
      <c r="A488" s="13" t="inlineStr">
        <is>
          <t>Ressonâncias — 26.7</t>
        </is>
      </c>
      <c r="B488" s="70" t="n"/>
      <c r="C488" s="70" t="n"/>
    </row>
    <row r="489">
      <c r="A489" s="8" t="inlineStr">
        <is>
          <t>Ressonância</t>
        </is>
      </c>
      <c r="B489" s="8" t="inlineStr">
        <is>
          <t>Nível</t>
        </is>
      </c>
      <c r="C489" s="8" t="inlineStr">
        <is>
          <t>O que ela dá</t>
        </is>
      </c>
    </row>
    <row r="490" ht="60" customHeight="1">
      <c r="A490" s="31" t="inlineStr">
        <is>
          <t>I</t>
        </is>
      </c>
      <c r="B490" s="5" t="n">
        <v>5</v>
      </c>
      <c r="C490" s="5" t="inlineStr">
        <is>
          <t>1 uso por combate de uma Habilidade de Nível 3 ou menor sem custo de PH; ou +1 de Velocidade permanente</t>
        </is>
      </c>
    </row>
    <row r="491" ht="71" customHeight="1">
      <c r="A491" s="43" t="inlineStr">
        <is>
          <t>II</t>
        </is>
      </c>
      <c r="B491" s="10" t="n">
        <v>10</v>
      </c>
      <c r="C491" s="10" t="inlineStr">
        <is>
          <t>Sua Ultimate ganha um efeito extra, dentro dos limites de buff e debuff lidos no Nível equivalente da sua faixa (capítulo 17)</t>
        </is>
      </c>
    </row>
    <row r="492" ht="71" customHeight="1">
      <c r="A492" s="31" t="inlineStr">
        <is>
          <t>III</t>
        </is>
      </c>
      <c r="B492" s="5" t="n">
        <v>15</v>
      </c>
      <c r="C492" s="5" t="inlineStr">
        <is>
          <t>Uma Habilidade sua sobe 1 Nível de efeito e passa a custar o PH do Nível novo, sem passar do seu Nível máximo</t>
        </is>
      </c>
    </row>
    <row r="493" ht="93" customHeight="1">
      <c r="A493" s="43" t="inlineStr">
        <is>
          <t>IV</t>
        </is>
      </c>
      <c r="B493" s="10" t="n">
        <v>20</v>
      </c>
      <c r="C493" s="10" t="inlineStr">
        <is>
          <t>Sua Ultimate ativa com 80 de Energia e consome 80 (o teto do medidor continua 100); ou, se você tiver a Bênção Avatar do seu Caminho, ela afeta um alvo adicional</t>
        </is>
      </c>
    </row>
    <row r="494"/>
    <row r="495" ht="32" customHeight="1">
      <c r="A495" s="69" t="inlineStr">
        <is>
          <t>Equipamento e marcos por nível — 25.1, 25.3, 26.7, 24.5</t>
        </is>
      </c>
      <c r="B495" s="70" t="n"/>
      <c r="C495" s="70" t="n"/>
      <c r="D495" s="70" t="n"/>
      <c r="E495" s="70" t="n"/>
      <c r="F495" s="70" t="n"/>
      <c r="G495" s="70" t="n"/>
      <c r="H495" s="70" t="n"/>
    </row>
    <row r="496" ht="26" customHeight="1">
      <c r="A496" s="8" t="inlineStr">
        <is>
          <t>Nível</t>
        </is>
      </c>
      <c r="B496" s="8" t="inlineStr">
        <is>
          <t>Faixa</t>
        </is>
      </c>
      <c r="C496" s="8" t="inlineStr">
        <is>
          <t>Cone de Luz máximo (Nível)</t>
        </is>
      </c>
      <c r="D496" s="8" t="inlineStr">
        <is>
          <t>Tier de Relíquia</t>
        </is>
      </c>
      <c r="E496" s="8" t="inlineStr">
        <is>
          <t>Primeiro nível da faixa</t>
        </is>
      </c>
      <c r="F496" s="8" t="inlineStr">
        <is>
          <t>Tier novo neste nível</t>
        </is>
      </c>
      <c r="G496" s="8" t="inlineStr">
        <is>
          <t>Ressonância</t>
        </is>
      </c>
      <c r="H496" s="8" t="inlineStr">
        <is>
          <t>Verba de marco (Cr)</t>
        </is>
      </c>
    </row>
    <row r="497">
      <c r="A497" s="31" t="n">
        <v>1</v>
      </c>
      <c r="B497" s="5" t="inlineStr">
        <is>
          <t>1-4</t>
        </is>
      </c>
      <c r="C497" s="5" t="n">
        <v>1</v>
      </c>
      <c r="D497" s="5" t="inlineStr">
        <is>
          <t>Tier I</t>
        </is>
      </c>
      <c r="E497" s="5" t="inlineStr">
        <is>
          <t>Sim</t>
        </is>
      </c>
      <c r="F497" s="5" t="inlineStr">
        <is>
          <t>Sim</t>
        </is>
      </c>
      <c r="G497" s="5" t="inlineStr">
        <is>
          <t>—</t>
        </is>
      </c>
      <c r="H497" s="5" t="n">
        <v>200</v>
      </c>
    </row>
    <row r="498">
      <c r="A498" s="43" t="n">
        <v>2</v>
      </c>
      <c r="B498" s="10" t="inlineStr">
        <is>
          <t>1-4</t>
        </is>
      </c>
      <c r="C498" s="10" t="n">
        <v>1</v>
      </c>
      <c r="D498" s="10" t="inlineStr">
        <is>
          <t>Tier I</t>
        </is>
      </c>
      <c r="E498" s="10" t="inlineStr">
        <is>
          <t>Não</t>
        </is>
      </c>
      <c r="F498" s="10" t="inlineStr">
        <is>
          <t>Não</t>
        </is>
      </c>
      <c r="G498" s="10" t="inlineStr">
        <is>
          <t>—</t>
        </is>
      </c>
      <c r="H498" s="10" t="n">
        <v>200</v>
      </c>
    </row>
    <row r="499">
      <c r="A499" s="31" t="n">
        <v>3</v>
      </c>
      <c r="B499" s="5" t="inlineStr">
        <is>
          <t>1-4</t>
        </is>
      </c>
      <c r="C499" s="5" t="n">
        <v>1</v>
      </c>
      <c r="D499" s="5" t="inlineStr">
        <is>
          <t>Tier I</t>
        </is>
      </c>
      <c r="E499" s="5" t="inlineStr">
        <is>
          <t>Não</t>
        </is>
      </c>
      <c r="F499" s="5" t="inlineStr">
        <is>
          <t>Não</t>
        </is>
      </c>
      <c r="G499" s="5" t="inlineStr">
        <is>
          <t>—</t>
        </is>
      </c>
      <c r="H499" s="5" t="n">
        <v>200</v>
      </c>
    </row>
    <row r="500">
      <c r="A500" s="43" t="n">
        <v>4</v>
      </c>
      <c r="B500" s="10" t="inlineStr">
        <is>
          <t>1-4</t>
        </is>
      </c>
      <c r="C500" s="10" t="n">
        <v>1</v>
      </c>
      <c r="D500" s="10" t="inlineStr">
        <is>
          <t>Tier I</t>
        </is>
      </c>
      <c r="E500" s="10" t="inlineStr">
        <is>
          <t>Não</t>
        </is>
      </c>
      <c r="F500" s="10" t="inlineStr">
        <is>
          <t>Não</t>
        </is>
      </c>
      <c r="G500" s="10" t="inlineStr">
        <is>
          <t>—</t>
        </is>
      </c>
      <c r="H500" s="10" t="n">
        <v>200</v>
      </c>
    </row>
    <row r="501">
      <c r="A501" s="31" t="n">
        <v>5</v>
      </c>
      <c r="B501" s="5" t="inlineStr">
        <is>
          <t>5-8</t>
        </is>
      </c>
      <c r="C501" s="5" t="n">
        <v>2</v>
      </c>
      <c r="D501" s="5" t="inlineStr">
        <is>
          <t>Tier I</t>
        </is>
      </c>
      <c r="E501" s="5" t="inlineStr">
        <is>
          <t>Sim</t>
        </is>
      </c>
      <c r="F501" s="5" t="inlineStr">
        <is>
          <t>Não</t>
        </is>
      </c>
      <c r="G501" s="5" t="inlineStr">
        <is>
          <t>I</t>
        </is>
      </c>
      <c r="H501" s="5" t="n">
        <v>500</v>
      </c>
    </row>
    <row r="502">
      <c r="A502" s="43" t="n">
        <v>6</v>
      </c>
      <c r="B502" s="10" t="inlineStr">
        <is>
          <t>5-8</t>
        </is>
      </c>
      <c r="C502" s="10" t="n">
        <v>2</v>
      </c>
      <c r="D502" s="10" t="inlineStr">
        <is>
          <t>Tier I</t>
        </is>
      </c>
      <c r="E502" s="10" t="inlineStr">
        <is>
          <t>Não</t>
        </is>
      </c>
      <c r="F502" s="10" t="inlineStr">
        <is>
          <t>Não</t>
        </is>
      </c>
      <c r="G502" s="10" t="inlineStr">
        <is>
          <t>—</t>
        </is>
      </c>
      <c r="H502" s="10" t="n">
        <v>500</v>
      </c>
    </row>
    <row r="503">
      <c r="A503" s="31" t="n">
        <v>7</v>
      </c>
      <c r="B503" s="5" t="inlineStr">
        <is>
          <t>5-8</t>
        </is>
      </c>
      <c r="C503" s="5" t="n">
        <v>2</v>
      </c>
      <c r="D503" s="5" t="inlineStr">
        <is>
          <t>Tier II</t>
        </is>
      </c>
      <c r="E503" s="5" t="inlineStr">
        <is>
          <t>Não</t>
        </is>
      </c>
      <c r="F503" s="5" t="inlineStr">
        <is>
          <t>Sim</t>
        </is>
      </c>
      <c r="G503" s="5" t="inlineStr">
        <is>
          <t>—</t>
        </is>
      </c>
      <c r="H503" s="5" t="n">
        <v>500</v>
      </c>
    </row>
    <row r="504">
      <c r="A504" s="43" t="n">
        <v>8</v>
      </c>
      <c r="B504" s="10" t="inlineStr">
        <is>
          <t>5-8</t>
        </is>
      </c>
      <c r="C504" s="10" t="n">
        <v>2</v>
      </c>
      <c r="D504" s="10" t="inlineStr">
        <is>
          <t>Tier II</t>
        </is>
      </c>
      <c r="E504" s="10" t="inlineStr">
        <is>
          <t>Não</t>
        </is>
      </c>
      <c r="F504" s="10" t="inlineStr">
        <is>
          <t>Não</t>
        </is>
      </c>
      <c r="G504" s="10" t="inlineStr">
        <is>
          <t>—</t>
        </is>
      </c>
      <c r="H504" s="10" t="n">
        <v>500</v>
      </c>
    </row>
    <row r="505">
      <c r="A505" s="31" t="n">
        <v>9</v>
      </c>
      <c r="B505" s="5" t="inlineStr">
        <is>
          <t>9-12</t>
        </is>
      </c>
      <c r="C505" s="5" t="n">
        <v>3</v>
      </c>
      <c r="D505" s="5" t="inlineStr">
        <is>
          <t>Tier II</t>
        </is>
      </c>
      <c r="E505" s="5" t="inlineStr">
        <is>
          <t>Sim</t>
        </is>
      </c>
      <c r="F505" s="5" t="inlineStr">
        <is>
          <t>Não</t>
        </is>
      </c>
      <c r="G505" s="5" t="inlineStr">
        <is>
          <t>—</t>
        </is>
      </c>
      <c r="H505" s="5" t="n">
        <v>1200</v>
      </c>
    </row>
    <row r="506">
      <c r="A506" s="43" t="n">
        <v>10</v>
      </c>
      <c r="B506" s="10" t="inlineStr">
        <is>
          <t>9-12</t>
        </is>
      </c>
      <c r="C506" s="10" t="n">
        <v>3</v>
      </c>
      <c r="D506" s="10" t="inlineStr">
        <is>
          <t>Tier II</t>
        </is>
      </c>
      <c r="E506" s="10" t="inlineStr">
        <is>
          <t>Não</t>
        </is>
      </c>
      <c r="F506" s="10" t="inlineStr">
        <is>
          <t>Não</t>
        </is>
      </c>
      <c r="G506" s="10" t="inlineStr">
        <is>
          <t>II</t>
        </is>
      </c>
      <c r="H506" s="10" t="n">
        <v>1200</v>
      </c>
    </row>
    <row r="507">
      <c r="A507" s="31" t="n">
        <v>11</v>
      </c>
      <c r="B507" s="5" t="inlineStr">
        <is>
          <t>9-12</t>
        </is>
      </c>
      <c r="C507" s="5" t="n">
        <v>3</v>
      </c>
      <c r="D507" s="5" t="inlineStr">
        <is>
          <t>Tier II</t>
        </is>
      </c>
      <c r="E507" s="5" t="inlineStr">
        <is>
          <t>Não</t>
        </is>
      </c>
      <c r="F507" s="5" t="inlineStr">
        <is>
          <t>Não</t>
        </is>
      </c>
      <c r="G507" s="5" t="inlineStr">
        <is>
          <t>—</t>
        </is>
      </c>
      <c r="H507" s="5" t="n">
        <v>1200</v>
      </c>
    </row>
    <row r="508">
      <c r="A508" s="43" t="n">
        <v>12</v>
      </c>
      <c r="B508" s="10" t="inlineStr">
        <is>
          <t>9-12</t>
        </is>
      </c>
      <c r="C508" s="10" t="n">
        <v>3</v>
      </c>
      <c r="D508" s="10" t="inlineStr">
        <is>
          <t>Tier II</t>
        </is>
      </c>
      <c r="E508" s="10" t="inlineStr">
        <is>
          <t>Não</t>
        </is>
      </c>
      <c r="F508" s="10" t="inlineStr">
        <is>
          <t>Não</t>
        </is>
      </c>
      <c r="G508" s="10" t="inlineStr">
        <is>
          <t>—</t>
        </is>
      </c>
      <c r="H508" s="10" t="n">
        <v>1200</v>
      </c>
    </row>
    <row r="509">
      <c r="A509" s="31" t="n">
        <v>13</v>
      </c>
      <c r="B509" s="5" t="inlineStr">
        <is>
          <t>13-16</t>
        </is>
      </c>
      <c r="C509" s="5" t="n">
        <v>4</v>
      </c>
      <c r="D509" s="5" t="inlineStr">
        <is>
          <t>Tier III</t>
        </is>
      </c>
      <c r="E509" s="5" t="inlineStr">
        <is>
          <t>Sim</t>
        </is>
      </c>
      <c r="F509" s="5" t="inlineStr">
        <is>
          <t>Sim</t>
        </is>
      </c>
      <c r="G509" s="5" t="inlineStr">
        <is>
          <t>—</t>
        </is>
      </c>
      <c r="H509" s="5" t="n">
        <v>2500</v>
      </c>
    </row>
    <row r="510">
      <c r="A510" s="43" t="n">
        <v>14</v>
      </c>
      <c r="B510" s="10" t="inlineStr">
        <is>
          <t>13-16</t>
        </is>
      </c>
      <c r="C510" s="10" t="n">
        <v>4</v>
      </c>
      <c r="D510" s="10" t="inlineStr">
        <is>
          <t>Tier III</t>
        </is>
      </c>
      <c r="E510" s="10" t="inlineStr">
        <is>
          <t>Não</t>
        </is>
      </c>
      <c r="F510" s="10" t="inlineStr">
        <is>
          <t>Não</t>
        </is>
      </c>
      <c r="G510" s="10" t="inlineStr">
        <is>
          <t>—</t>
        </is>
      </c>
      <c r="H510" s="10" t="n">
        <v>2500</v>
      </c>
    </row>
    <row r="511">
      <c r="A511" s="31" t="n">
        <v>15</v>
      </c>
      <c r="B511" s="5" t="inlineStr">
        <is>
          <t>13-16</t>
        </is>
      </c>
      <c r="C511" s="5" t="n">
        <v>4</v>
      </c>
      <c r="D511" s="5" t="inlineStr">
        <is>
          <t>Tier III</t>
        </is>
      </c>
      <c r="E511" s="5" t="inlineStr">
        <is>
          <t>Não</t>
        </is>
      </c>
      <c r="F511" s="5" t="inlineStr">
        <is>
          <t>Não</t>
        </is>
      </c>
      <c r="G511" s="5" t="inlineStr">
        <is>
          <t>III</t>
        </is>
      </c>
      <c r="H511" s="5" t="n">
        <v>2500</v>
      </c>
    </row>
    <row r="512">
      <c r="A512" s="43" t="n">
        <v>16</v>
      </c>
      <c r="B512" s="10" t="inlineStr">
        <is>
          <t>13-16</t>
        </is>
      </c>
      <c r="C512" s="10" t="n">
        <v>4</v>
      </c>
      <c r="D512" s="10" t="inlineStr">
        <is>
          <t>Tier III</t>
        </is>
      </c>
      <c r="E512" s="10" t="inlineStr">
        <is>
          <t>Não</t>
        </is>
      </c>
      <c r="F512" s="10" t="inlineStr">
        <is>
          <t>Não</t>
        </is>
      </c>
      <c r="G512" s="10" t="inlineStr">
        <is>
          <t>—</t>
        </is>
      </c>
      <c r="H512" s="10" t="n">
        <v>2500</v>
      </c>
    </row>
    <row r="513">
      <c r="A513" s="31" t="n">
        <v>17</v>
      </c>
      <c r="B513" s="5" t="inlineStr">
        <is>
          <t>17-20</t>
        </is>
      </c>
      <c r="C513" s="5" t="n">
        <v>5</v>
      </c>
      <c r="D513" s="5" t="inlineStr">
        <is>
          <t>Tier III</t>
        </is>
      </c>
      <c r="E513" s="5" t="inlineStr">
        <is>
          <t>Sim</t>
        </is>
      </c>
      <c r="F513" s="5" t="inlineStr">
        <is>
          <t>Não</t>
        </is>
      </c>
      <c r="G513" s="5" t="inlineStr">
        <is>
          <t>—</t>
        </is>
      </c>
      <c r="H513" s="5" t="n">
        <v>5000</v>
      </c>
    </row>
    <row r="514">
      <c r="A514" s="43" t="n">
        <v>18</v>
      </c>
      <c r="B514" s="10" t="inlineStr">
        <is>
          <t>17-20</t>
        </is>
      </c>
      <c r="C514" s="10" t="n">
        <v>5</v>
      </c>
      <c r="D514" s="10" t="inlineStr">
        <is>
          <t>Tier IV</t>
        </is>
      </c>
      <c r="E514" s="10" t="inlineStr">
        <is>
          <t>Não</t>
        </is>
      </c>
      <c r="F514" s="10" t="inlineStr">
        <is>
          <t>Sim</t>
        </is>
      </c>
      <c r="G514" s="10" t="inlineStr">
        <is>
          <t>—</t>
        </is>
      </c>
      <c r="H514" s="10" t="n">
        <v>5000</v>
      </c>
    </row>
    <row r="515">
      <c r="A515" s="31" t="n">
        <v>19</v>
      </c>
      <c r="B515" s="5" t="inlineStr">
        <is>
          <t>17-20</t>
        </is>
      </c>
      <c r="C515" s="5" t="n">
        <v>5</v>
      </c>
      <c r="D515" s="5" t="inlineStr">
        <is>
          <t>Tier IV</t>
        </is>
      </c>
      <c r="E515" s="5" t="inlineStr">
        <is>
          <t>Não</t>
        </is>
      </c>
      <c r="F515" s="5" t="inlineStr">
        <is>
          <t>Não</t>
        </is>
      </c>
      <c r="G515" s="5" t="inlineStr">
        <is>
          <t>—</t>
        </is>
      </c>
      <c r="H515" s="5" t="n">
        <v>5000</v>
      </c>
    </row>
    <row r="516">
      <c r="A516" s="43" t="n">
        <v>20</v>
      </c>
      <c r="B516" s="10" t="inlineStr">
        <is>
          <t>17-20</t>
        </is>
      </c>
      <c r="C516" s="10" t="n">
        <v>5</v>
      </c>
      <c r="D516" s="10" t="inlineStr">
        <is>
          <t>Tier IV</t>
        </is>
      </c>
      <c r="E516" s="10" t="inlineStr">
        <is>
          <t>Não</t>
        </is>
      </c>
      <c r="F516" s="10" t="inlineStr">
        <is>
          <t>Não</t>
        </is>
      </c>
      <c r="G516" s="10" t="inlineStr">
        <is>
          <t>IV</t>
        </is>
      </c>
      <c r="H516" s="10" t="n">
        <v>5000</v>
      </c>
    </row>
    <row r="517"/>
    <row r="518" ht="32" customHeight="1">
      <c r="A518" s="69" t="inlineStr">
        <is>
          <t>Facções e as suas fichas — 27.16</t>
        </is>
      </c>
      <c r="B518" s="70" t="n"/>
    </row>
    <row r="519">
      <c r="A519" s="8" t="inlineStr">
        <is>
          <t>Facção</t>
        </is>
      </c>
      <c r="B519" s="8" t="inlineStr">
        <is>
          <t>Criatura</t>
        </is>
      </c>
    </row>
    <row r="520">
      <c r="A520" s="31" t="inlineStr">
        <is>
          <t>Legião da Antimatéria</t>
        </is>
      </c>
      <c r="B520" s="5" t="inlineStr">
        <is>
          <t>Peão da Antimatéria</t>
        </is>
      </c>
    </row>
    <row r="521">
      <c r="A521" s="43" t="inlineStr">
        <is>
          <t>Legião da Antimatéria</t>
        </is>
      </c>
      <c r="B521" s="10" t="inlineStr">
        <is>
          <t>Sargento de Trincheira</t>
        </is>
      </c>
    </row>
    <row r="522">
      <c r="A522" s="31" t="inlineStr">
        <is>
          <t>Legião da Antimatéria</t>
        </is>
      </c>
      <c r="B522" s="5" t="inlineStr">
        <is>
          <t>Fuzileiro da Legião</t>
        </is>
      </c>
    </row>
    <row r="523">
      <c r="A523" s="43" t="inlineStr">
        <is>
          <t>Legião da Antimatéria</t>
        </is>
      </c>
      <c r="B523" s="10" t="inlineStr">
        <is>
          <t>Centurião Catafracto</t>
        </is>
      </c>
    </row>
    <row r="524">
      <c r="A524" s="31" t="inlineStr">
        <is>
          <t>Legião da Antimatéria</t>
        </is>
      </c>
      <c r="B524" s="5" t="inlineStr">
        <is>
          <t>Pretor Vazio-Nove</t>
        </is>
      </c>
    </row>
    <row r="525" ht="26" customHeight="1">
      <c r="A525" s="43" t="inlineStr">
        <is>
          <t>Legião da Antimatéria</t>
        </is>
      </c>
      <c r="B525" s="10" t="inlineStr">
        <is>
          <t>Guarda Pretoriano da Antimatéria</t>
        </is>
      </c>
    </row>
    <row r="526">
      <c r="A526" s="31" t="inlineStr">
        <is>
          <t>Legião da Antimatéria</t>
        </is>
      </c>
      <c r="B526" s="5" t="inlineStr">
        <is>
          <t>Arcanjo de Ferro-Vazio</t>
        </is>
      </c>
    </row>
    <row r="527" ht="26" customHeight="1">
      <c r="A527" s="43" t="inlineStr">
        <is>
          <t>Corporação da Paz Interastral</t>
        </is>
      </c>
      <c r="B527" s="10" t="inlineStr">
        <is>
          <t>Dron de Vigilância Pacificadora</t>
        </is>
      </c>
    </row>
    <row r="528">
      <c r="A528" s="31" t="inlineStr">
        <is>
          <t>Corporação da Paz Interastral</t>
        </is>
      </c>
      <c r="B528" s="5" t="inlineStr">
        <is>
          <t>Auditora de Risco</t>
        </is>
      </c>
    </row>
    <row r="529" ht="26" customHeight="1">
      <c r="A529" s="43" t="inlineStr">
        <is>
          <t>Aliança Xianzhou</t>
        </is>
      </c>
      <c r="B529" s="10" t="inlineStr">
        <is>
          <t>Lanceiro da Frota de Jade</t>
        </is>
      </c>
    </row>
    <row r="530" ht="26" customHeight="1">
      <c r="A530" s="31" t="inlineStr">
        <is>
          <t>Aliança Xianzhou</t>
        </is>
      </c>
      <c r="B530" s="5" t="inlineStr">
        <is>
          <t>Oficial-Lâmina da Frota de Jade</t>
        </is>
      </c>
    </row>
    <row r="531" ht="26" customHeight="1">
      <c r="A531" s="43" t="inlineStr">
        <is>
          <t>Aliança Xianzhou</t>
        </is>
      </c>
      <c r="B531" s="10" t="inlineStr">
        <is>
          <t>Centenário Enlouquecido</t>
        </is>
      </c>
    </row>
    <row r="532" ht="26" customHeight="1">
      <c r="A532" s="31" t="inlineStr">
        <is>
          <t>Caçadores de Stellaron</t>
        </is>
      </c>
      <c r="B532" s="5" t="inlineStr">
        <is>
          <t>Operativo de Campo dos Caçadores</t>
        </is>
      </c>
    </row>
    <row r="533">
      <c r="A533" s="43" t="inlineStr">
        <is>
          <t>Caçadores de Stellaron</t>
        </is>
      </c>
      <c r="B533" s="10" t="inlineStr">
        <is>
          <t>Executora de Contrato</t>
        </is>
      </c>
    </row>
    <row r="534">
      <c r="A534" s="31" t="inlineStr">
        <is>
          <t>Tolos Mascarados</t>
        </is>
      </c>
      <c r="B534" s="5" t="inlineStr">
        <is>
          <t>Palhaço de Pólvora</t>
        </is>
      </c>
    </row>
    <row r="535" ht="26" customHeight="1">
      <c r="A535" s="43" t="inlineStr">
        <is>
          <t>Tolos Mascarados</t>
        </is>
      </c>
      <c r="B535" s="10" t="inlineStr">
        <is>
          <t>Mestre de Cerimônias Mascarado</t>
        </is>
      </c>
    </row>
    <row r="536" ht="26" customHeight="1">
      <c r="A536" s="31" t="inlineStr">
        <is>
          <t>Tolos Mascarados</t>
        </is>
      </c>
      <c r="B536" s="5" t="inlineStr">
        <is>
          <t>O Dramaturgo de Mil Faces</t>
        </is>
      </c>
    </row>
    <row r="537">
      <c r="A537" s="43" t="inlineStr">
        <is>
          <t>Cavaleiros da Beleza</t>
        </is>
      </c>
      <c r="B537" s="10" t="inlineStr">
        <is>
          <t>Noviço da Beleza</t>
        </is>
      </c>
    </row>
    <row r="538">
      <c r="A538" s="31" t="inlineStr">
        <is>
          <t>Cavaleiros da Beleza</t>
        </is>
      </c>
      <c r="B538" s="5" t="inlineStr">
        <is>
          <t>Escultor de Carne</t>
        </is>
      </c>
    </row>
    <row r="539">
      <c r="A539" s="43" t="inlineStr">
        <is>
          <t>Cavaleiros da Beleza</t>
        </is>
      </c>
      <c r="B539" s="10" t="inlineStr">
        <is>
          <t>Vênia, a Primeira Obra</t>
        </is>
      </c>
    </row>
    <row r="540">
      <c r="A540" s="31" t="inlineStr">
        <is>
          <t>Culto da Inexistência</t>
        </is>
      </c>
      <c r="B540" s="5" t="inlineStr">
        <is>
          <t>Devoto do Silêncio</t>
        </is>
      </c>
    </row>
    <row r="541" ht="26" customHeight="1">
      <c r="A541" s="43" t="inlineStr">
        <is>
          <t>Culto da Inexistência</t>
        </is>
      </c>
      <c r="B541" s="10" t="inlineStr">
        <is>
          <t>Arauto da Tempestade Vazia</t>
        </is>
      </c>
    </row>
    <row r="542">
      <c r="A542" s="31" t="inlineStr">
        <is>
          <t>Culto da Inexistência</t>
        </is>
      </c>
      <c r="B542" s="5" t="inlineStr">
        <is>
          <t>Vazia Coroada</t>
        </is>
      </c>
    </row>
    <row r="543">
      <c r="A543" s="43" t="inlineStr">
        <is>
          <t>Autômatos</t>
        </is>
      </c>
      <c r="B543" s="10" t="inlineStr">
        <is>
          <t>Sentinela Enferrujada</t>
        </is>
      </c>
    </row>
    <row r="544">
      <c r="A544" s="31" t="inlineStr">
        <is>
          <t>Autômatos</t>
        </is>
      </c>
      <c r="B544" s="5" t="inlineStr">
        <is>
          <t>Autômato Taciturno</t>
        </is>
      </c>
    </row>
    <row r="545" ht="26" customHeight="1">
      <c r="A545" s="43" t="inlineStr">
        <is>
          <t>Autômatos</t>
        </is>
      </c>
      <c r="B545" s="10" t="inlineStr">
        <is>
          <t>Dron de Vigilância Pacificadora</t>
        </is>
      </c>
    </row>
    <row r="546"/>
    <row r="547" ht="46" customHeight="1">
      <c r="A547" s="69" t="inlineStr">
        <is>
          <t>Locais do livro e a faixa da cena — 27.17 (Faixa alta: Sugestão da planilha, H26)</t>
        </is>
      </c>
      <c r="B547" s="70" t="n"/>
      <c r="C547" s="70" t="n"/>
      <c r="D547" s="70" t="n"/>
    </row>
    <row r="548">
      <c r="A548" s="8" t="inlineStr">
        <is>
          <t>Lugar</t>
        </is>
      </c>
      <c r="B548" s="8" t="inlineStr">
        <is>
          <t>Faixa mínima</t>
        </is>
      </c>
      <c r="C548" s="8" t="inlineStr">
        <is>
          <t>Faixa máxima</t>
        </is>
      </c>
      <c r="D548" s="8" t="inlineStr">
        <is>
          <t>De onde vem</t>
        </is>
      </c>
    </row>
    <row r="549">
      <c r="A549" s="31" t="inlineStr">
        <is>
          <t>Poço Sete</t>
        </is>
      </c>
      <c r="B549" s="5" t="n">
        <v>1</v>
      </c>
      <c r="C549" s="5" t="n">
        <v>1</v>
      </c>
      <c r="D549" s="5" t="inlineStr">
        <is>
          <t>Faixa 1-4 (27.17)</t>
        </is>
      </c>
    </row>
    <row r="550" ht="26" customHeight="1">
      <c r="A550" s="43" t="inlineStr">
        <is>
          <t>Vértice-9</t>
        </is>
      </c>
      <c r="B550" s="10" t="n">
        <v>1</v>
      </c>
      <c r="C550" s="10" t="n">
        <v>5</v>
      </c>
      <c r="D550" s="10" t="inlineStr">
        <is>
          <t>Sem faixa no livro: qualquer faixa</t>
        </is>
      </c>
    </row>
    <row r="551" ht="48" customHeight="1">
      <c r="A551" s="31" t="inlineStr">
        <is>
          <t>Ferro-Vazio</t>
        </is>
      </c>
      <c r="B551" s="5" t="n">
        <v>4</v>
      </c>
      <c r="C551" s="5" t="n">
        <v>5</v>
      </c>
      <c r="D551" s="5" t="inlineStr">
        <is>
          <t>Faixa alta (27.17): 13-16 e 17-20 — Sugestão da planilha (H26)</t>
        </is>
      </c>
    </row>
    <row r="552" ht="26" customHeight="1">
      <c r="A552" s="43" t="inlineStr">
        <is>
          <t>A Frota de Jade</t>
        </is>
      </c>
      <c r="B552" s="10" t="n">
        <v>1</v>
      </c>
      <c r="C552" s="10" t="n">
        <v>5</v>
      </c>
      <c r="D552" s="10" t="inlineStr">
        <is>
          <t>Sem faixa no livro: qualquer faixa</t>
        </is>
      </c>
    </row>
    <row r="553" ht="26" customHeight="1">
      <c r="A553" s="31" t="inlineStr">
        <is>
          <t>O Ateliê de Vênia</t>
        </is>
      </c>
      <c r="B553" s="5" t="n">
        <v>1</v>
      </c>
      <c r="C553" s="5" t="n">
        <v>5</v>
      </c>
      <c r="D553" s="5" t="inlineStr">
        <is>
          <t>Sem faixa no livro: qualquer faixa</t>
        </is>
      </c>
    </row>
    <row r="554">
      <c r="A554" s="43" t="inlineStr">
        <is>
          <t>Hesperin</t>
        </is>
      </c>
      <c r="B554" s="10" t="n">
        <v>5</v>
      </c>
      <c r="C554" s="10" t="n">
        <v>5</v>
      </c>
      <c r="D554" s="10" t="inlineStr">
        <is>
          <t>Faixa 17-20 (27.17)</t>
        </is>
      </c>
    </row>
    <row r="555"/>
    <row r="556" ht="32" customHeight="1">
      <c r="A556" s="69" t="inlineStr">
        <is>
          <t>Objetivo que não seja matar todo mundo — 27.7</t>
        </is>
      </c>
      <c r="B556" s="70" t="n"/>
    </row>
    <row r="557">
      <c r="A557" s="8" t="inlineStr">
        <is>
          <t>Objetivo</t>
        </is>
      </c>
      <c r="B557" s="8" t="inlineStr">
        <is>
          <t>Índice</t>
        </is>
      </c>
    </row>
    <row r="558">
      <c r="A558" s="31" t="inlineStr">
        <is>
          <t>fugir com a carga</t>
        </is>
      </c>
      <c r="B558" s="5" t="n">
        <v>1</v>
      </c>
    </row>
    <row r="559">
      <c r="A559" s="43" t="inlineStr">
        <is>
          <t>aguentar 3 Ciclos</t>
        </is>
      </c>
      <c r="B559" s="10" t="n">
        <v>2</v>
      </c>
    </row>
    <row r="560">
      <c r="A560" s="31" t="inlineStr">
        <is>
          <t>chegar ao console</t>
        </is>
      </c>
      <c r="B560" s="5" t="n">
        <v>3</v>
      </c>
    </row>
    <row r="561"/>
    <row r="562" ht="32" customHeight="1">
      <c r="A562" s="69" t="inlineStr">
        <is>
          <t>Bônus Maior: escolha um — 25.2</t>
        </is>
      </c>
      <c r="B562" s="70" t="n"/>
    </row>
    <row r="563">
      <c r="A563" s="8" t="inlineStr">
        <is>
          <t>Bônus Maior</t>
        </is>
      </c>
      <c r="B563" s="8" t="inlineStr">
        <is>
          <t>Índice</t>
        </is>
      </c>
    </row>
    <row r="564">
      <c r="A564" s="31" t="inlineStr">
        <is>
          <t>PV máximos</t>
        </is>
      </c>
      <c r="B564" s="5" t="n">
        <v>1</v>
      </c>
    </row>
    <row r="565">
      <c r="A565" s="43" t="inlineStr">
        <is>
          <t>Defesa</t>
        </is>
      </c>
      <c r="B565" s="10" t="n">
        <v>2</v>
      </c>
    </row>
    <row r="566">
      <c r="A566" s="31" t="inlineStr">
        <is>
          <t>Velocidade</t>
        </is>
      </c>
      <c r="B566" s="5" t="n">
        <v>3</v>
      </c>
    </row>
    <row r="567">
      <c r="A567" s="43" t="inlineStr">
        <is>
          <t>Dano de Ataque Básico</t>
        </is>
      </c>
      <c r="B567" s="10" t="n">
        <v>4</v>
      </c>
    </row>
    <row r="568">
      <c r="A568" s="31" t="inlineStr">
        <is>
          <t>Dano de Habilidade</t>
        </is>
      </c>
      <c r="B568" s="5" t="n">
        <v>5</v>
      </c>
    </row>
    <row r="569">
      <c r="A569" s="43" t="inlineStr">
        <is>
          <t>Dano de Ultimate</t>
        </is>
      </c>
      <c r="B569" s="10" t="n">
        <v>6</v>
      </c>
    </row>
    <row r="570" ht="26" customHeight="1">
      <c r="A570" s="31" t="inlineStr">
        <is>
          <t>RD, dentro do teto de 2 + (2 × Eficiência)</t>
        </is>
      </c>
      <c r="B570" s="5" t="n">
        <v>7</v>
      </c>
    </row>
    <row r="571">
      <c r="A571" s="43" t="inlineStr">
        <is>
          <t>Bônus em Teste de Ataque</t>
        </is>
      </c>
      <c r="B571" s="10" t="n">
        <v>8</v>
      </c>
    </row>
    <row r="572" ht="26" customHeight="1">
      <c r="A572" s="31" t="inlineStr">
        <is>
          <t>Bônus em um Teste de Resistência</t>
        </is>
      </c>
      <c r="B572" s="5" t="n">
        <v>9</v>
      </c>
    </row>
    <row r="573">
      <c r="A573" s="43" t="inlineStr">
        <is>
          <t>Bônus em uma Perícia</t>
        </is>
      </c>
      <c r="B573" s="10" t="n">
        <v>10</v>
      </c>
    </row>
    <row r="574"/>
    <row r="575" ht="46" customHeight="1">
      <c r="A575" s="69" t="inlineStr">
        <is>
          <t>Bônus de 2 peças: um bônus pequeno e fixo — 25.3</t>
        </is>
      </c>
      <c r="B575" s="70" t="n"/>
    </row>
    <row r="576">
      <c r="A576" s="8" t="inlineStr">
        <is>
          <t>Bônus de 2 peças</t>
        </is>
      </c>
      <c r="B576" s="8" t="inlineStr">
        <is>
          <t>Índice</t>
        </is>
      </c>
    </row>
    <row r="577">
      <c r="A577" s="31" t="inlineStr">
        <is>
          <t>+1 em um tipo de rolagem</t>
        </is>
      </c>
      <c r="B577" s="5" t="n">
        <v>1</v>
      </c>
    </row>
    <row r="578">
      <c r="A578" s="43" t="inlineStr">
        <is>
          <t>+1 de Velocidade</t>
        </is>
      </c>
      <c r="B578" s="10" t="n">
        <v>2</v>
      </c>
    </row>
    <row r="579">
      <c r="A579" s="31" t="inlineStr">
        <is>
          <t>+2 de dano</t>
        </is>
      </c>
      <c r="B579" s="5" t="n">
        <v>3</v>
      </c>
    </row>
    <row r="580">
      <c r="A580" s="43" t="inlineStr">
        <is>
          <t>+1 RD</t>
        </is>
      </c>
      <c r="B580" s="10" t="n">
        <v>4</v>
      </c>
    </row>
    <row r="581"/>
    <row r="582" ht="32" customHeight="1">
      <c r="A582" s="69" t="inlineStr">
        <is>
          <t>O que não dar como recompensa — 27.8</t>
        </is>
      </c>
    </row>
    <row r="583">
      <c r="A583" s="8" t="inlineStr">
        <is>
          <t>O que não dar</t>
        </is>
      </c>
    </row>
    <row r="584" ht="48" customHeight="1">
      <c r="A584" s="31" t="inlineStr">
        <is>
          <t>Vantagem permanente em qualquer coisa, ou bônus que fique fora dos tetos do capítulo 26.</t>
        </is>
      </c>
    </row>
    <row r="585" ht="71" customHeight="1">
      <c r="A585" s="43" t="inlineStr">
        <is>
          <t>PH extra de presente. A economia de PH é a espinha do balanceamento; um item que dá PH é um item que dá 0,25 de Habilidade por Ciclo ao grupo inteiro.</t>
        </is>
      </c>
    </row>
    <row r="586" ht="37" customHeight="1">
      <c r="A586" s="31" t="inlineStr">
        <is>
          <t>Habilidade acima do Nível máximo do nível do personagem, por item ou por recompensa.</t>
        </is>
      </c>
    </row>
    <row r="587" ht="60" customHeight="1">
      <c r="A587" s="43" t="inlineStr">
        <is>
          <t>Item que ignora Tenacidade, teto de RD, teto de dados ou limite de alvos em área. A lista de efeitos proibidos de 27.9 vale para recompensa também.</t>
        </is>
      </c>
    </row>
    <row r="588" ht="48" customHeight="1">
      <c r="A588" s="31" t="inlineStr">
        <is>
          <t>Dinheiro que resolve a cena. A verba de marco do capítulo 24 existe para responder "quanto custa?", não para comprar poder.</t>
        </is>
      </c>
    </row>
    <row r="589"/>
    <row r="590" ht="32" customHeight="1">
      <c r="A590" s="69" t="inlineStr">
        <is>
          <t>As cinco DTs de subsistema — 27.3</t>
        </is>
      </c>
      <c r="B590" s="70" t="n"/>
      <c r="C590" s="70" t="n"/>
    </row>
    <row r="591">
      <c r="A591" s="8" t="inlineStr">
        <is>
          <t>Teste</t>
        </is>
      </c>
      <c r="B591" s="8" t="inlineStr">
        <is>
          <t>DT</t>
        </is>
      </c>
      <c r="C591" s="8" t="inlineStr">
        <is>
          <t>Capítulo</t>
        </is>
      </c>
    </row>
    <row r="592" ht="26" customHeight="1">
      <c r="A592" s="31" t="inlineStr">
        <is>
          <t>Descobrir uma Fraqueza de inimigo</t>
        </is>
      </c>
      <c r="B592" s="5" t="inlineStr">
        <is>
          <t>13 / 14 / 15 / 16 / 17, pela faixa do inimigo</t>
        </is>
      </c>
      <c r="C592" s="5" t="inlineStr">
        <is>
          <t>20</t>
        </is>
      </c>
    </row>
    <row r="593" ht="26" customHeight="1">
      <c r="A593" s="43" t="inlineStr">
        <is>
          <t>Surpresa (Teste de Percepção Mental)</t>
        </is>
      </c>
      <c r="B593" s="10" t="inlineStr">
        <is>
          <t>13, fixa em todas as faixas</t>
        </is>
      </c>
      <c r="C593" s="10" t="inlineStr">
        <is>
          <t>19</t>
        </is>
      </c>
    </row>
    <row r="594" ht="26" customHeight="1">
      <c r="A594" s="31" t="inlineStr">
        <is>
          <t>Morrendo (Teste de Força de Vontade, sem Eficiência)</t>
        </is>
      </c>
      <c r="B594" s="5" t="inlineStr">
        <is>
          <t>10</t>
        </is>
      </c>
      <c r="C594" s="5" t="inlineStr">
        <is>
          <t>23</t>
        </is>
      </c>
    </row>
    <row r="595">
      <c r="A595" s="43" t="inlineStr">
        <is>
          <t>Traço Raposa Astuta do Vulpes</t>
        </is>
      </c>
      <c r="B595" s="10" t="inlineStr">
        <is>
          <t>10</t>
        </is>
      </c>
      <c r="C595" s="10" t="inlineStr">
        <is>
          <t>05</t>
        </is>
      </c>
    </row>
    <row r="596" ht="26" customHeight="1">
      <c r="A596" s="31" t="inlineStr">
        <is>
          <t>Traço To na sua mente do Haloviano</t>
        </is>
      </c>
      <c r="B596" s="5" t="inlineStr">
        <is>
          <t>13</t>
        </is>
      </c>
      <c r="C596" s="5" t="inlineStr">
        <is>
          <t>05</t>
        </is>
      </c>
    </row>
    <row r="597"/>
    <row r="598" ht="46" customHeight="1">
      <c r="A598" s="69" t="inlineStr">
        <is>
          <t>Aprovar uma Ultimate: o Nível equivalente da faixa — 27.9</t>
        </is>
      </c>
      <c r="B598" s="70" t="n"/>
      <c r="C598" s="70" t="n"/>
      <c r="D598" s="70" t="n"/>
      <c r="E598" s="70" t="n"/>
      <c r="F598" s="70" t="n"/>
    </row>
    <row r="599">
      <c r="A599" s="8" t="inlineStr">
        <is>
          <t>Faixa</t>
        </is>
      </c>
      <c r="B599" s="8" t="inlineStr">
        <is>
          <t>Nível equivalente</t>
        </is>
      </c>
      <c r="C599" s="8" t="inlineStr">
        <is>
          <t>Dano</t>
        </is>
      </c>
      <c r="D599" s="8" t="inlineStr">
        <is>
          <t>Média do dano</t>
        </is>
      </c>
      <c r="E599" s="8" t="inlineStr">
        <is>
          <t>Cura</t>
        </is>
      </c>
      <c r="F599" s="8" t="inlineStr">
        <is>
          <t>Média da cura</t>
        </is>
      </c>
    </row>
    <row r="600">
      <c r="A600" s="31" t="inlineStr">
        <is>
          <t>1-4</t>
        </is>
      </c>
      <c r="B600" s="5" t="n">
        <v>2</v>
      </c>
      <c r="C600" s="5" t="inlineStr">
        <is>
          <t>5d10</t>
        </is>
      </c>
      <c r="D600" s="5" t="n">
        <v>27</v>
      </c>
      <c r="E600" s="5" t="inlineStr">
        <is>
          <t>6d10</t>
        </is>
      </c>
      <c r="F600" s="5" t="n">
        <v>33</v>
      </c>
    </row>
    <row r="601">
      <c r="A601" s="43" t="inlineStr">
        <is>
          <t>5-8</t>
        </is>
      </c>
      <c r="B601" s="10" t="n">
        <v>3</v>
      </c>
      <c r="C601" s="10" t="inlineStr">
        <is>
          <t>6d12</t>
        </is>
      </c>
      <c r="D601" s="10" t="n">
        <v>39</v>
      </c>
      <c r="E601" s="10" t="inlineStr">
        <is>
          <t>8d12</t>
        </is>
      </c>
      <c r="F601" s="10" t="n">
        <v>52</v>
      </c>
    </row>
    <row r="602">
      <c r="A602" s="31" t="inlineStr">
        <is>
          <t>9-12</t>
        </is>
      </c>
      <c r="B602" s="5" t="n">
        <v>4</v>
      </c>
      <c r="C602" s="5" t="inlineStr">
        <is>
          <t>6d20</t>
        </is>
      </c>
      <c r="D602" s="5" t="n">
        <v>63</v>
      </c>
      <c r="E602" s="5" t="inlineStr">
        <is>
          <t>7d20</t>
        </is>
      </c>
      <c r="F602" s="5" t="n">
        <v>73</v>
      </c>
    </row>
    <row r="603">
      <c r="A603" s="43" t="inlineStr">
        <is>
          <t>13-16</t>
        </is>
      </c>
      <c r="B603" s="10" t="n">
        <v>5</v>
      </c>
      <c r="C603" s="10" t="inlineStr">
        <is>
          <t>10d20</t>
        </is>
      </c>
      <c r="D603" s="10" t="n">
        <v>105</v>
      </c>
      <c r="E603" s="10" t="inlineStr">
        <is>
          <t>10d20</t>
        </is>
      </c>
      <c r="F603" s="10" t="n">
        <v>105</v>
      </c>
    </row>
    <row r="604">
      <c r="A604" s="31" t="inlineStr">
        <is>
          <t>17-20</t>
        </is>
      </c>
      <c r="B604" s="5" t="n">
        <v>6</v>
      </c>
      <c r="C604" s="5" t="inlineStr">
        <is>
          <t>14d20</t>
        </is>
      </c>
      <c r="D604" s="5" t="n">
        <v>147</v>
      </c>
      <c r="E604" s="5" t="inlineStr">
        <is>
          <t>14d20</t>
        </is>
      </c>
      <c r="F604" s="5" t="n">
        <v>147</v>
      </c>
    </row>
    <row r="605"/>
    <row r="606" ht="32" customHeight="1">
      <c r="A606" s="69" t="inlineStr">
        <is>
          <t>De onde vem a Energia — 17.2</t>
        </is>
      </c>
      <c r="B606" s="70" t="n"/>
      <c r="C606" s="70" t="n"/>
    </row>
    <row r="607">
      <c r="A607" s="8" t="inlineStr">
        <is>
          <t>Fonte</t>
        </is>
      </c>
      <c r="B607" s="8" t="inlineStr">
        <is>
          <t>Energia</t>
        </is>
      </c>
      <c r="C607" s="8" t="inlineStr">
        <is>
          <t>Limite</t>
        </is>
      </c>
    </row>
    <row r="608" ht="26" customHeight="1">
      <c r="A608" s="31" t="inlineStr">
        <is>
          <t>Ataque Básico (acerte ou não)</t>
        </is>
      </c>
      <c r="B608" s="5" t="inlineStr">
        <is>
          <t>+20</t>
        </is>
      </c>
      <c r="C608" s="5" t="inlineStr">
        <is>
          <t>nenhum, salvo o 1 natural</t>
        </is>
      </c>
    </row>
    <row r="609" ht="26" customHeight="1">
      <c r="A609" s="43" t="inlineStr">
        <is>
          <t>Habilidade (acerte ou não)</t>
        </is>
      </c>
      <c r="B609" s="10" t="inlineStr">
        <is>
          <t>+30</t>
        </is>
      </c>
      <c r="C609" s="10" t="inlineStr">
        <is>
          <t>nenhum, salvo o 1 natural</t>
        </is>
      </c>
    </row>
    <row r="610">
      <c r="A610" s="31" t="inlineStr">
        <is>
          <t>Sofrer dano</t>
        </is>
      </c>
      <c r="B610" s="5" t="inlineStr">
        <is>
          <t>+10</t>
        </is>
      </c>
      <c r="C610" s="5" t="inlineStr">
        <is>
          <t>1 vez por Ciclo</t>
        </is>
      </c>
    </row>
    <row r="611" ht="26" customHeight="1">
      <c r="A611" s="43" t="inlineStr">
        <is>
          <t>Derrotar um inimigo</t>
        </is>
      </c>
      <c r="B611" s="10" t="inlineStr">
        <is>
          <t>+10</t>
        </is>
      </c>
      <c r="C611" s="10" t="inlineStr">
        <is>
          <t>para quem desferiu o golpe</t>
        </is>
      </c>
    </row>
    <row r="612" ht="26" customHeight="1">
      <c r="A612" s="31" t="inlineStr">
        <is>
          <t>Quebrar a Tenacidade de um inimigo</t>
        </is>
      </c>
      <c r="B612" s="5" t="inlineStr">
        <is>
          <t>+10</t>
        </is>
      </c>
      <c r="C612" s="5" t="inlineStr">
        <is>
          <t>1 vez por Ciclo</t>
        </is>
      </c>
    </row>
    <row r="613">
      <c r="A613" s="43" t="inlineStr">
        <is>
          <t>Ativar a Ultimate</t>
        </is>
      </c>
      <c r="B613" s="10" t="inlineStr">
        <is>
          <t>-100</t>
        </is>
      </c>
      <c r="C613" s="10" t="inlineStr">
        <is>
          <t>—</t>
        </is>
      </c>
    </row>
    <row r="614" ht="37" customHeight="1">
      <c r="A614" s="31" t="inlineStr">
        <is>
          <t>Ação do Memoespírito</t>
        </is>
      </c>
      <c r="B614" s="5" t="inlineStr">
        <is>
          <t>metade do valor da ação, arredondando para baixo, para o dono</t>
        </is>
      </c>
      <c r="C614" s="5" t="inlineStr">
        <is>
          <t>—</t>
        </is>
      </c>
    </row>
    <row r="615" ht="71" customHeight="1">
      <c r="A615" s="43" t="inlineStr">
        <is>
          <t>Equipamento</t>
        </is>
      </c>
      <c r="B615" s="10" t="inlineStr">
        <is>
          <t>Corda de Ligação: +10 a +25 pelo tier, ao entrar na Fila · Cone de Luz de Nível 3 ou maior: +5 pelo Efeito Condicional</t>
        </is>
      </c>
      <c r="C615" s="10" t="inlineStr">
        <is>
          <t>1 vez por combate · 1 vez por Ciclo</t>
        </is>
      </c>
    </row>
    <row r="616"/>
    <row r="617" ht="32" customHeight="1">
      <c r="A617" s="69" t="inlineStr">
        <is>
          <t>Teto de Atraso por alvo, por Ciclo — 19.4</t>
        </is>
      </c>
      <c r="B617" s="70" t="n"/>
      <c r="C617" s="70" t="n"/>
    </row>
    <row r="618">
      <c r="A618" s="8" t="inlineStr">
        <is>
          <t>Tipo de alvo</t>
        </is>
      </c>
      <c r="B618" s="8" t="inlineStr">
        <is>
          <t>Teto</t>
        </is>
      </c>
      <c r="C618" s="8" t="inlineStr">
        <is>
          <t>Firmeza</t>
        </is>
      </c>
    </row>
    <row r="619">
      <c r="A619" s="31" t="inlineStr">
        <is>
          <t>Comum</t>
        </is>
      </c>
      <c r="B619" s="5" t="inlineStr">
        <is>
          <t>3 casas</t>
        </is>
      </c>
      <c r="C619" s="5" t="inlineStr">
        <is>
          <t>Não tem</t>
        </is>
      </c>
    </row>
    <row r="620">
      <c r="A620" s="43" t="inlineStr">
        <is>
          <t>Elite e Boss</t>
        </is>
      </c>
      <c r="B620" s="10" t="inlineStr">
        <is>
          <t>2 casas</t>
        </is>
      </c>
      <c r="C620" s="10" t="inlineStr">
        <is>
          <t>Tem</t>
        </is>
      </c>
    </row>
    <row r="621"/>
    <row r="622" ht="18" customHeight="1">
      <c r="A622" s="13" t="inlineStr">
        <is>
          <t>Casos-limite da Fila — 19.7</t>
        </is>
      </c>
      <c r="B622" s="70" t="n"/>
    </row>
    <row r="623">
      <c r="A623" s="8" t="inlineStr">
        <is>
          <t>Situação</t>
        </is>
      </c>
      <c r="B623" s="8" t="inlineStr">
        <is>
          <t>Resolução</t>
        </is>
      </c>
    </row>
    <row r="624" ht="93" customHeight="1">
      <c r="A624" s="31" t="inlineStr">
        <is>
          <t>Combatente entra no meio do combate (invocação, reforço)</t>
        </is>
      </c>
      <c r="B624" s="5" t="inlineStr">
        <is>
          <t>Entra pela VEL nas casas restantes do Ciclo. Se a VEL dele seria maior que a de quem está agindo, ele entra na casa imediatamente seguinte</t>
        </is>
      </c>
    </row>
    <row r="625" ht="48" customHeight="1">
      <c r="A625" s="43" t="inlineStr">
        <is>
          <t>Memoespírito</t>
        </is>
      </c>
      <c r="B625" s="10" t="inlineStr">
        <is>
          <t>Tem casa própria na Fila, pela VEL dele, e 1 ação por turno (capítulo 11)</t>
        </is>
      </c>
    </row>
    <row r="626" ht="48" customHeight="1">
      <c r="A626" s="31" t="inlineStr">
        <is>
          <t>Combatente morre ou foge</t>
        </is>
      </c>
      <c r="B626" s="5" t="inlineStr">
        <is>
          <t>A casa é removida e o Ciclo continua. Atrasos pendentes dele são descartados</t>
        </is>
      </c>
    </row>
    <row r="627" ht="60" customHeight="1">
      <c r="A627" s="43" t="inlineStr">
        <is>
          <t>Combatente a 0 PV (Morrendo)</t>
        </is>
      </c>
      <c r="B627" s="10" t="inlineStr">
        <is>
          <t>Mantém a casa. O turno dele é onde o Teste de Força de Vontade acontece (capítulo 23)</t>
        </is>
      </c>
    </row>
    <row r="628" ht="60" customHeight="1">
      <c r="A628" s="31" t="inlineStr">
        <is>
          <t>Surpresa</t>
        </is>
      </c>
      <c r="B628" s="5" t="inlineStr">
        <is>
          <t>Quem falha no Teste de Percepção Mental de 19.3 fica Surpreso e tem a casa pulada no primeiro Ciclo</t>
        </is>
      </c>
    </row>
    <row r="629" ht="60" customHeight="1">
      <c r="A629" s="43" t="inlineStr">
        <is>
          <t>Duas Ultimates declaradas juntas</t>
        </is>
      </c>
      <c r="B629" s="10" t="inlineStr">
        <is>
          <t>Quem falou primeiro resolve primeiro, e quem decide quem falou primeiro é o Mestre</t>
        </is>
      </c>
    </row>
    <row r="630" ht="37" customHeight="1">
      <c r="A630" s="31" t="inlineStr">
        <is>
          <t>Atrasar alguém que está na última casa</t>
        </is>
      </c>
      <c r="B630" s="5" t="inlineStr">
        <is>
          <t>Vira Atraso pendente do próximo Ciclo, respeitando o teto</t>
        </is>
      </c>
    </row>
    <row r="631" ht="26" customHeight="1">
      <c r="A631" s="43" t="inlineStr">
        <is>
          <t>Avançar alguém que já agiu</t>
        </is>
      </c>
      <c r="B631" s="10" t="inlineStr">
        <is>
          <t>Não acontece. Só o Avanço Total faz isso</t>
        </is>
      </c>
    </row>
    <row r="632" ht="48" customHeight="1">
      <c r="A632" s="31" t="inlineStr">
        <is>
          <t>Efeito muda a VEL no meio do Ciclo</t>
        </is>
      </c>
      <c r="B632" s="5" t="inlineStr">
        <is>
          <t>A posição atual não muda. A VEL nova entra na próxima remontagem</t>
        </is>
      </c>
    </row>
    <row r="633"/>
    <row r="634" ht="32" customHeight="1">
      <c r="A634" s="69" t="inlineStr">
        <is>
          <t>Fraqueza, neutro e Resistência — 20.2</t>
        </is>
      </c>
      <c r="B634" s="70" t="n"/>
      <c r="C634" s="70" t="n"/>
    </row>
    <row r="635" ht="26" customHeight="1">
      <c r="A635" s="8" t="inlineStr">
        <is>
          <t>Situação</t>
        </is>
      </c>
      <c r="B635" s="8" t="inlineStr">
        <is>
          <t>Dano</t>
        </is>
      </c>
      <c r="C635" s="8" t="inlineStr">
        <is>
          <t>Redução de Tenacidade</t>
        </is>
      </c>
    </row>
    <row r="636" ht="26" customHeight="1">
      <c r="A636" s="31" t="inlineStr">
        <is>
          <t>É Fraqueza do alvo</t>
        </is>
      </c>
      <c r="B636" s="5" t="inlineStr">
        <is>
          <t>+2 dados do mesmo tipo do ataque</t>
        </is>
      </c>
      <c r="C636" s="5" t="inlineStr">
        <is>
          <t>total</t>
        </is>
      </c>
    </row>
    <row r="637" ht="26" customHeight="1">
      <c r="A637" s="43" t="inlineStr">
        <is>
          <t>Neutro (nem Fraqueza, nem Resistência)</t>
        </is>
      </c>
      <c r="B637" s="10" t="inlineStr">
        <is>
          <t>dano normal</t>
        </is>
      </c>
      <c r="C637" s="10" t="inlineStr">
        <is>
          <t>metade (arredonda para baixo, mínimo 1)</t>
        </is>
      </c>
    </row>
    <row r="638" ht="37" customHeight="1">
      <c r="A638" s="31" t="inlineStr">
        <is>
          <t>O alvo tem Resistência</t>
        </is>
      </c>
      <c r="B638" s="5" t="inlineStr">
        <is>
          <t>-2 dados, conservando sempre no mínimo 1 dado</t>
        </is>
      </c>
      <c r="C638" s="5" t="inlineStr">
        <is>
          <t>1 ponto, fixo</t>
        </is>
      </c>
    </row>
    <row r="639"/>
    <row r="640" ht="46" customHeight="1">
      <c r="A640" s="69" t="inlineStr">
        <is>
          <t>Redução de Tenacidade por fonte — 20.3 (a tabela do livro)</t>
        </is>
      </c>
      <c r="B640" s="70" t="n"/>
    </row>
    <row r="641" ht="26" customHeight="1">
      <c r="A641" s="8" t="inlineStr">
        <is>
          <t>Fonte</t>
        </is>
      </c>
      <c r="B641" s="8" t="inlineStr">
        <is>
          <t>Redução de Tenacidade</t>
        </is>
      </c>
    </row>
    <row r="642">
      <c r="A642" s="31" t="inlineStr">
        <is>
          <t>Ataque Básico</t>
        </is>
      </c>
      <c r="B642" s="5" t="inlineStr">
        <is>
          <t>1</t>
        </is>
      </c>
    </row>
    <row r="643">
      <c r="A643" s="43" t="inlineStr">
        <is>
          <t>Habilidade de Nível 1-2</t>
        </is>
      </c>
      <c r="B643" s="10" t="inlineStr">
        <is>
          <t>2</t>
        </is>
      </c>
    </row>
    <row r="644">
      <c r="A644" s="31" t="inlineStr">
        <is>
          <t>Habilidade de Nível 3</t>
        </is>
      </c>
      <c r="B644" s="5" t="inlineStr">
        <is>
          <t>3</t>
        </is>
      </c>
    </row>
    <row r="645">
      <c r="A645" s="43" t="inlineStr">
        <is>
          <t>Habilidade de Nível 4</t>
        </is>
      </c>
      <c r="B645" s="10" t="inlineStr">
        <is>
          <t>4</t>
        </is>
      </c>
    </row>
    <row r="646">
      <c r="A646" s="31" t="inlineStr">
        <is>
          <t>Habilidade de Nível 5</t>
        </is>
      </c>
      <c r="B646" s="5" t="inlineStr">
        <is>
          <t>5</t>
        </is>
      </c>
    </row>
    <row r="647">
      <c r="A647" s="43" t="inlineStr">
        <is>
          <t>Habilidade de Nível 6</t>
        </is>
      </c>
      <c r="B647" s="10" t="inlineStr">
        <is>
          <t>6</t>
        </is>
      </c>
    </row>
    <row r="648">
      <c r="A648" s="31" t="inlineStr">
        <is>
          <t>Habilidade de Nível 7</t>
        </is>
      </c>
      <c r="B648" s="5" t="inlineStr">
        <is>
          <t>7</t>
        </is>
      </c>
    </row>
    <row r="649">
      <c r="A649" s="43" t="inlineStr">
        <is>
          <t>Ultimate</t>
        </is>
      </c>
      <c r="B649" s="10" t="inlineStr">
        <is>
          <t>5, em todas as faixas</t>
        </is>
      </c>
    </row>
    <row r="650" ht="26" customHeight="1">
      <c r="A650" s="31" t="inlineStr">
        <is>
          <t>Dano Contínuo</t>
        </is>
      </c>
      <c r="B650" s="5" t="inlineStr">
        <is>
          <t>0 — só ataque reduz Tenacidade</t>
        </is>
      </c>
    </row>
    <row r="651"/>
    <row r="652" ht="32" customHeight="1">
      <c r="A652" s="69" t="inlineStr">
        <is>
          <t>O contador do Morrendo — 23.4</t>
        </is>
      </c>
      <c r="B652" s="70" t="n"/>
    </row>
    <row r="653">
      <c r="A653" s="8" t="inlineStr">
        <is>
          <t>Resultado</t>
        </is>
      </c>
      <c r="B653" s="8" t="inlineStr">
        <is>
          <t>Efeito</t>
        </is>
      </c>
    </row>
    <row r="654">
      <c r="A654" s="31" t="inlineStr">
        <is>
          <t>Sucesso (10 ou mais)</t>
        </is>
      </c>
      <c r="B654" s="5" t="inlineStr">
        <is>
          <t>1 sucesso</t>
        </is>
      </c>
    </row>
    <row r="655">
      <c r="A655" s="43" t="inlineStr">
        <is>
          <t>Falha (9 ou menos)</t>
        </is>
      </c>
      <c r="B655" s="10" t="inlineStr">
        <is>
          <t>1 falha</t>
        </is>
      </c>
    </row>
    <row r="656" ht="26" customHeight="1">
      <c r="A656" s="31" t="inlineStr">
        <is>
          <t>3 sucessos antes de 3 falhas</t>
        </is>
      </c>
      <c r="B656" s="5" t="inlineStr">
        <is>
          <t>Você estabiliza com 1 PV e sai do estado</t>
        </is>
      </c>
    </row>
    <row r="657">
      <c r="A657" s="43" t="inlineStr">
        <is>
          <t>3 falhas antes de 3 sucessos</t>
        </is>
      </c>
      <c r="B657" s="10" t="inlineStr">
        <is>
          <t>O personagem morre</t>
        </is>
      </c>
    </row>
    <row r="658" ht="26" customHeight="1">
      <c r="A658" s="31" t="inlineStr">
        <is>
          <t>20 natural</t>
        </is>
      </c>
      <c r="B658" s="5" t="inlineStr">
        <is>
          <t>Você se levanta na hora com 1 PV</t>
        </is>
      </c>
    </row>
    <row r="659">
      <c r="A659" s="43" t="inlineStr">
        <is>
          <t>1 natural</t>
        </is>
      </c>
      <c r="B659" s="10" t="inlineStr">
        <is>
          <t>Conta como 2 falhas</t>
        </is>
      </c>
    </row>
    <row r="660"/>
    <row r="661" ht="18" customHeight="1">
      <c r="A661" s="13" t="inlineStr">
        <is>
          <t>Descanso — 23.6</t>
        </is>
      </c>
      <c r="B661" s="70" t="n"/>
      <c r="C661" s="70" t="n"/>
      <c r="D661" s="70" t="n"/>
    </row>
    <row r="662">
      <c r="A662" s="8" t="inlineStr">
        <is>
          <t>Tipo</t>
        </is>
      </c>
      <c r="B662" s="8" t="inlineStr">
        <is>
          <t>Tempo</t>
        </is>
      </c>
      <c r="C662" s="8" t="inlineStr">
        <is>
          <t>Quantas</t>
        </is>
      </c>
      <c r="D662" s="8" t="inlineStr">
        <is>
          <t>Recupera</t>
        </is>
      </c>
    </row>
    <row r="663" ht="71" customHeight="1">
      <c r="A663" s="31" t="inlineStr">
        <is>
          <t>Descanso Curto</t>
        </is>
      </c>
      <c r="B663" s="5" t="inlineStr">
        <is>
          <t>1 hora</t>
        </is>
      </c>
      <c r="C663" s="5" t="inlineStr">
        <is>
          <t>até 2 por dia</t>
        </is>
      </c>
      <c r="D663" s="5" t="inlineStr">
        <is>
          <t>PV = (2 × nível) + Bônus de Vigor · recarrega efeitos de "1 vez por descanso" · reinvoca o Memoespírito que caiu</t>
        </is>
      </c>
    </row>
    <row r="664" ht="105" customHeight="1">
      <c r="A664" s="43" t="inlineStr">
        <is>
          <t>Descanso Longo</t>
        </is>
      </c>
      <c r="B664" s="10" t="inlineStr">
        <is>
          <t>8 horas</t>
        </is>
      </c>
      <c r="C664" s="10" t="inlineStr">
        <is>
          <t>1 por dia</t>
        </is>
      </c>
      <c r="D664" s="10" t="inlineStr">
        <is>
          <t>Todos os PV · remove todas as condições · recarrega tudo · devolve o ponto de Esforço a quem tem o traço que o concede (Humano) · permite recriar uma Habilidade problemática</t>
        </is>
      </c>
    </row>
    <row r="665"/>
    <row r="666" ht="32" customHeight="1">
      <c r="A666" s="69" t="inlineStr">
        <is>
          <t>PV por Descanso Curto (Vigor +2) — 23.6</t>
        </is>
      </c>
      <c r="B666" s="70" t="n"/>
    </row>
    <row r="667">
      <c r="A667" s="8" t="inlineStr">
        <is>
          <t>Nível</t>
        </is>
      </c>
      <c r="B667" s="8" t="inlineStr">
        <is>
          <t>PV</t>
        </is>
      </c>
    </row>
    <row r="668">
      <c r="A668" s="31" t="n">
        <v>3</v>
      </c>
      <c r="B668" s="5" t="n">
        <v>8</v>
      </c>
    </row>
    <row r="669">
      <c r="A669" s="43" t="n">
        <v>7</v>
      </c>
      <c r="B669" s="10" t="n">
        <v>16</v>
      </c>
    </row>
    <row r="670">
      <c r="A670" s="31" t="n">
        <v>11</v>
      </c>
      <c r="B670" s="5" t="n">
        <v>24</v>
      </c>
    </row>
    <row r="671">
      <c r="A671" s="43" t="n">
        <v>15</v>
      </c>
      <c r="B671" s="10" t="n">
        <v>32</v>
      </c>
    </row>
    <row r="672">
      <c r="A672" s="31" t="n">
        <v>19</v>
      </c>
      <c r="B672" s="5" t="n">
        <v>40</v>
      </c>
    </row>
    <row r="673"/>
    <row r="674" ht="32" customHeight="1">
      <c r="A674" s="69" t="inlineStr">
        <is>
          <t>Teto de PV temporários — 23.3</t>
        </is>
      </c>
      <c r="B674" s="70" t="n"/>
      <c r="C674" s="70" t="n"/>
      <c r="D674" s="70" t="n"/>
    </row>
    <row r="675">
      <c r="A675" s="8" t="inlineStr">
        <is>
          <t>Níveis</t>
        </is>
      </c>
      <c r="B675" s="8" t="inlineStr">
        <is>
          <t>Do nível</t>
        </is>
      </c>
      <c r="C675" s="8" t="inlineStr">
        <is>
          <t>Ao nível</t>
        </is>
      </c>
      <c r="D675" s="8" t="inlineStr">
        <is>
          <t>Teto</t>
        </is>
      </c>
    </row>
    <row r="676">
      <c r="A676" s="31" t="inlineStr">
        <is>
          <t>1-3</t>
        </is>
      </c>
      <c r="B676" s="5" t="n">
        <v>1</v>
      </c>
      <c r="C676" s="5" t="n">
        <v>3</v>
      </c>
      <c r="D676" s="5" t="n">
        <v>6</v>
      </c>
    </row>
    <row r="677">
      <c r="A677" s="43" t="inlineStr">
        <is>
          <t>4-6</t>
        </is>
      </c>
      <c r="B677" s="10" t="n">
        <v>4</v>
      </c>
      <c r="C677" s="10" t="n">
        <v>6</v>
      </c>
      <c r="D677" s="10" t="n">
        <v>9</v>
      </c>
    </row>
    <row r="678">
      <c r="A678" s="31" t="inlineStr">
        <is>
          <t>7-9</t>
        </is>
      </c>
      <c r="B678" s="5" t="n">
        <v>7</v>
      </c>
      <c r="C678" s="5" t="n">
        <v>9</v>
      </c>
      <c r="D678" s="5" t="n">
        <v>12</v>
      </c>
    </row>
    <row r="679">
      <c r="A679" s="43" t="inlineStr">
        <is>
          <t>10-12</t>
        </is>
      </c>
      <c r="B679" s="10" t="n">
        <v>10</v>
      </c>
      <c r="C679" s="10" t="n">
        <v>12</v>
      </c>
      <c r="D679" s="10" t="n">
        <v>15</v>
      </c>
    </row>
    <row r="680">
      <c r="A680" s="31" t="inlineStr">
        <is>
          <t>13-15</t>
        </is>
      </c>
      <c r="B680" s="5" t="n">
        <v>13</v>
      </c>
      <c r="C680" s="5" t="n">
        <v>15</v>
      </c>
      <c r="D680" s="5" t="n">
        <v>18</v>
      </c>
    </row>
    <row r="681">
      <c r="A681" s="43" t="inlineStr">
        <is>
          <t>16-18</t>
        </is>
      </c>
      <c r="B681" s="10" t="n">
        <v>16</v>
      </c>
      <c r="C681" s="10" t="n">
        <v>18</v>
      </c>
      <c r="D681" s="10" t="n">
        <v>21</v>
      </c>
    </row>
    <row r="682">
      <c r="A682" s="31" t="inlineStr">
        <is>
          <t>19-20</t>
        </is>
      </c>
      <c r="B682" s="5" t="n">
        <v>19</v>
      </c>
      <c r="C682" s="5" t="n">
        <v>20</v>
      </c>
      <c r="D682" s="5" t="n">
        <v>24</v>
      </c>
    </row>
    <row r="683"/>
    <row r="684" ht="32" customHeight="1">
      <c r="A684" s="69" t="inlineStr">
        <is>
          <t>Casos-limite de mesa — 27.10</t>
        </is>
      </c>
      <c r="B684" s="70" t="n"/>
      <c r="C684" s="70" t="n"/>
    </row>
    <row r="685">
      <c r="A685" s="8" t="inlineStr">
        <is>
          <t>Operação</t>
        </is>
      </c>
      <c r="B685" s="8" t="inlineStr">
        <is>
          <t>Quando falha</t>
        </is>
      </c>
      <c r="C685" s="8" t="inlineStr">
        <is>
          <t>O que acontece</t>
        </is>
      </c>
    </row>
    <row r="686" ht="82" customHeight="1">
      <c r="A686" s="31" t="inlineStr">
        <is>
          <t>Teste de Ataque</t>
        </is>
      </c>
      <c r="B686" s="5" t="inlineStr">
        <is>
          <t>Resultado menor que a Defesa</t>
        </is>
      </c>
      <c r="C686" s="5" t="inlineStr">
        <is>
          <t>Erra: sem dano e sem Redução de Tenacidade. A Energia da ação é ganha; o PH gasto não volta; Ataque Básico que erra não gera PH</t>
        </is>
      </c>
    </row>
    <row r="687" ht="37" customHeight="1">
      <c r="A687" s="43" t="inlineStr">
        <is>
          <t>Teste de Ataque, 1 natural</t>
        </is>
      </c>
      <c r="B687" s="10" t="inlineStr">
        <is>
          <t>1 natural</t>
        </is>
      </c>
      <c r="C687" s="10" t="inlineStr">
        <is>
          <t>Falha automática e não ganha Energia por essa ação</t>
        </is>
      </c>
    </row>
    <row r="688" ht="37" customHeight="1">
      <c r="A688" s="31" t="inlineStr">
        <is>
          <t>Teste de Perícia</t>
        </is>
      </c>
      <c r="B688" s="5" t="inlineStr">
        <is>
          <t>Resultado menor que a DT</t>
        </is>
      </c>
      <c r="C688" s="5" t="inlineStr">
        <is>
          <t>Falhe para frente: a cena avança com custo</t>
        </is>
      </c>
    </row>
    <row r="689" ht="71" customHeight="1">
      <c r="A689" s="43" t="inlineStr">
        <is>
          <t>Teste de Resistência</t>
        </is>
      </c>
      <c r="B689" s="10" t="inlineStr">
        <is>
          <t>Resultado menor que a DT</t>
        </is>
      </c>
      <c r="C689" s="10" t="inlineStr">
        <is>
          <t>Sofre o efeito completo. Se passar, a regra do capítulo 22 vale: metade do dano e nenhum efeito secundário</t>
        </is>
      </c>
    </row>
    <row r="690" ht="82" customHeight="1">
      <c r="A690" s="31" t="inlineStr">
        <is>
          <t>Habilidade declarada sem PH</t>
        </is>
      </c>
      <c r="B690" s="5" t="inlineStr">
        <is>
          <t>Reserva do grupo insuficiente</t>
        </is>
      </c>
      <c r="C690" s="5" t="inlineStr">
        <is>
          <t>Declaração inválida: nada é rolado e a ação é trocada. Se rolaram por engano, descarta. Não existe PH negativo, devido nem emprestado</t>
        </is>
      </c>
    </row>
    <row r="691" ht="26" customHeight="1">
      <c r="A691" s="43" t="inlineStr">
        <is>
          <t>Ultimate sem 100 de Energia</t>
        </is>
      </c>
      <c r="B691" s="10" t="inlineStr">
        <is>
          <t>Energia abaixo de 100</t>
        </is>
      </c>
      <c r="C691" s="10" t="inlineStr">
        <is>
          <t>Declaração inválida; nada acontece</t>
        </is>
      </c>
    </row>
    <row r="692" ht="26" customHeight="1">
      <c r="A692" s="31" t="inlineStr">
        <is>
          <t>Segunda Ultimate no mesmo Ciclo</t>
        </is>
      </c>
      <c r="B692" s="5" t="inlineStr">
        <is>
          <t>Já ultou neste Ciclo</t>
        </is>
      </c>
      <c r="C692" s="5" t="inlineStr">
        <is>
          <t>Declaração inválida; vale do próximo Ciclo</t>
        </is>
      </c>
    </row>
    <row r="693" ht="48" customHeight="1">
      <c r="A693" s="43" t="inlineStr">
        <is>
          <t>Duas Ultimates declaradas juntas</t>
        </is>
      </c>
      <c r="B693" s="10" t="inlineStr">
        <is>
          <t>Simultaneidade</t>
        </is>
      </c>
      <c r="C693" s="10" t="inlineStr">
        <is>
          <t>Quem falou primeiro resolve primeiro, e quem decide quem falou primeiro é você</t>
        </is>
      </c>
    </row>
    <row r="694" ht="26" customHeight="1">
      <c r="A694" s="31" t="inlineStr">
        <is>
          <t>Dano reduzido a zero</t>
        </is>
      </c>
      <c r="B694" s="5" t="inlineStr">
        <is>
          <t>RD ou Resistência altas</t>
        </is>
      </c>
      <c r="C694" s="5" t="inlineStr">
        <is>
          <t>1 de dano. Sempre</t>
        </is>
      </c>
    </row>
    <row r="695" ht="48" customHeight="1">
      <c r="A695" s="43" t="inlineStr">
        <is>
          <t>Atraso acima do teto</t>
        </is>
      </c>
      <c r="B695" s="10" t="inlineStr">
        <is>
          <t>Mais de 3 casas no Ciclo contra Comum, mais de 2 contra Elite ou Boss</t>
        </is>
      </c>
      <c r="C695" s="10" t="inlineStr">
        <is>
          <t>Excedente perdido; o que couber vira Atraso pendente</t>
        </is>
      </c>
    </row>
    <row r="696" ht="60" customHeight="1">
      <c r="A696" s="31" t="inlineStr">
        <is>
          <t>Bônus ou penalidade acima do teto</t>
        </is>
      </c>
      <c r="B696" s="5" t="inlineStr">
        <is>
          <t>Soma passa de +3/+4/+5 ou de -3/-4/-5 na faixa</t>
        </is>
      </c>
      <c r="C696" s="5" t="inlineStr">
        <is>
          <t>O excedente não se aplica; a rolagem usa o teto. Os dois somatórios são independentes</t>
        </is>
      </c>
    </row>
    <row r="697" ht="48" customHeight="1">
      <c r="A697" s="43" t="inlineStr">
        <is>
          <t>Área com alvos demais</t>
        </is>
      </c>
      <c r="B697" s="10" t="inlineStr">
        <is>
          <t>Mais de 3 alvos (4 nos Níveis 6 e 7), ou alvos espalhados</t>
        </is>
      </c>
      <c r="C697" s="10" t="inlineStr">
        <is>
          <t>O jogador escolhe quais ficam, até o limite; os outros não são atingidos</t>
        </is>
      </c>
    </row>
    <row r="698" ht="48" customHeight="1">
      <c r="A698" s="31" t="inlineStr">
        <is>
          <t>Cura acima do PV máximo</t>
        </is>
      </c>
      <c r="B698" s="5" t="inlineStr">
        <is>
          <t>—</t>
        </is>
      </c>
      <c r="C698" s="5" t="inlineStr">
        <is>
          <t>Excedente perdido, salvo Excesso de Vida, que tem teto próprio</t>
        </is>
      </c>
    </row>
    <row r="699" ht="48" customHeight="1">
      <c r="A699" s="43" t="inlineStr">
        <is>
          <t>Chegar a 0 PV</t>
        </is>
      </c>
      <c r="B699" s="10" t="inlineStr">
        <is>
          <t>—</t>
        </is>
      </c>
      <c r="C699" s="10" t="inlineStr">
        <is>
          <t>Morrendo: 3 sucessos antes de 3 falhas, Força de Vontade DT 10, sem Eficiência</t>
        </is>
      </c>
    </row>
    <row r="700" ht="37" customHeight="1">
      <c r="A700" s="31" t="inlineStr">
        <is>
          <t>Dano enquanto Morrendo</t>
        </is>
      </c>
      <c r="B700" s="5" t="inlineStr">
        <is>
          <t>—</t>
        </is>
      </c>
      <c r="C700" s="5" t="inlineStr">
        <is>
          <t>1 falha; 2 se foi crítico ou Habilidade de Nível 5 ou maior</t>
        </is>
      </c>
    </row>
    <row r="701" ht="37" customHeight="1">
      <c r="A701" s="43" t="inlineStr">
        <is>
          <t>Memoespírito a 0 PV</t>
        </is>
      </c>
      <c r="B701" s="10" t="inlineStr">
        <is>
          <t>—</t>
        </is>
      </c>
      <c r="C701" s="10" t="inlineStr">
        <is>
          <t>Desaparece e volta no próximo Descanso Curto</t>
        </is>
      </c>
    </row>
    <row r="702" ht="26" customHeight="1">
      <c r="A702" s="31" t="inlineStr">
        <is>
          <t>Habilidade criada inválida</t>
        </is>
      </c>
      <c r="B702" s="5" t="inlineStr">
        <is>
          <t>Viola o quadro de 27.9</t>
        </is>
      </c>
      <c r="C702" s="5" t="inlineStr">
        <is>
          <t>Você ajusta antes de rejeitar, e registra</t>
        </is>
      </c>
    </row>
    <row r="703" ht="37" customHeight="1">
      <c r="A703" s="43" t="inlineStr">
        <is>
          <t>Habilidade aprovada e quebrada em jogo</t>
        </is>
      </c>
      <c r="B703" s="10" t="inlineStr">
        <is>
          <t>Descoberto jogando</t>
        </is>
      </c>
      <c r="C703" s="10" t="inlineStr">
        <is>
          <t>Recriação sem custo no próximo Descanso Longo</t>
        </is>
      </c>
    </row>
    <row r="704" ht="48" customHeight="1">
      <c r="A704" s="31" t="inlineStr">
        <is>
          <t>Duas regras se contradizem</t>
        </is>
      </c>
      <c r="B704" s="5" t="inlineStr">
        <is>
          <t>—</t>
        </is>
      </c>
      <c r="C704" s="5" t="inlineStr">
        <is>
          <t>Precedência do capítulo 02; você decide em último caso e anota</t>
        </is>
      </c>
    </row>
    <row r="705"/>
    <row r="706" ht="32" customHeight="1">
      <c r="A706" s="69" t="inlineStr">
        <is>
          <t>Ações agressivas por tipo — 28.2 regra 5</t>
        </is>
      </c>
      <c r="B706" s="70" t="n"/>
      <c r="C706" s="70" t="n"/>
    </row>
    <row r="707">
      <c r="A707" s="8" t="inlineStr">
        <is>
          <t>Tipo</t>
        </is>
      </c>
      <c r="B707" s="8" t="inlineStr">
        <is>
          <t>Por turno</t>
        </is>
      </c>
      <c r="C707" s="8" t="inlineStr">
        <is>
          <t>Por Ciclo, na prática</t>
        </is>
      </c>
    </row>
    <row r="708">
      <c r="A708" s="31" t="inlineStr">
        <is>
          <t>Comum</t>
        </is>
      </c>
      <c r="B708" s="5" t="inlineStr">
        <is>
          <t>1 ataque</t>
        </is>
      </c>
      <c r="C708" s="5" t="inlineStr">
        <is>
          <t>1 ação agressiva</t>
        </is>
      </c>
    </row>
    <row r="709" ht="37" customHeight="1">
      <c r="A709" s="43" t="inlineStr">
        <is>
          <t>Elite</t>
        </is>
      </c>
      <c r="B709" s="10" t="inlineStr">
        <is>
          <t>1 ataque, mais 1 ação especial a cada 2 Ciclos</t>
        </is>
      </c>
      <c r="C709" s="10" t="inlineStr">
        <is>
          <t>1,5 ações agressivas</t>
        </is>
      </c>
    </row>
    <row r="710" ht="26" customHeight="1">
      <c r="A710" s="31" t="inlineStr">
        <is>
          <t>Boss</t>
        </is>
      </c>
      <c r="B710" s="5" t="inlineStr">
        <is>
          <t>2 ataques, ou 1 ataque + 1 ação especial</t>
        </is>
      </c>
      <c r="C710" s="5" t="inlineStr">
        <is>
          <t>2 ações agressivas</t>
        </is>
      </c>
    </row>
    <row r="711"/>
    <row r="712" ht="32" customHeight="1">
      <c r="A712" s="69" t="inlineStr">
        <is>
          <t>Tetos que a mesa esquece — 29.12</t>
        </is>
      </c>
    </row>
    <row r="713">
      <c r="A713" s="8" t="inlineStr">
        <is>
          <t>Teto</t>
        </is>
      </c>
    </row>
    <row r="714" ht="26" customHeight="1">
      <c r="A714" s="31" t="inlineStr">
        <is>
          <t>bônus somado +3 / +4 / +5 por faixa</t>
        </is>
      </c>
    </row>
    <row r="715">
      <c r="A715" s="43" t="inlineStr">
        <is>
          <t>penalidade somada -3 / -4 / -5</t>
        </is>
      </c>
    </row>
    <row r="716" ht="26" customHeight="1">
      <c r="A716" s="31" t="inlineStr">
        <is>
          <t>dados adicionais +3 por rolagem (sem contar a Fraqueza)</t>
        </is>
      </c>
    </row>
    <row r="717">
      <c r="A717" s="43" t="inlineStr">
        <is>
          <t>RD 2 + (2 × Eficiência)</t>
        </is>
      </c>
    </row>
    <row r="718">
      <c r="A718" s="31" t="inlineStr">
        <is>
          <t>PV temporários 3 × Eficiência</t>
        </is>
      </c>
    </row>
    <row r="719">
      <c r="A719" s="43" t="inlineStr">
        <is>
          <t>acúmulos de uma condição 5</t>
        </is>
      </c>
    </row>
    <row r="720">
      <c r="A720" s="31" t="inlineStr">
        <is>
          <t>Habilidades conhecidas 8</t>
        </is>
      </c>
    </row>
    <row r="721"/>
    <row r="722" ht="32" customHeight="1">
      <c r="A722" s="69" t="inlineStr">
        <is>
          <t>Ritmo sugerido de sessões por nível — 26.1</t>
        </is>
      </c>
      <c r="B722" s="70" t="n"/>
      <c r="C722" s="70" t="n"/>
      <c r="D722" s="70" t="n"/>
      <c r="E722" s="70" t="n"/>
    </row>
    <row r="723">
      <c r="A723" s="8" t="inlineStr">
        <is>
          <t>Do nível</t>
        </is>
      </c>
      <c r="B723" s="8" t="inlineStr">
        <is>
          <t>Ao nível</t>
        </is>
      </c>
      <c r="C723" s="8" t="inlineStr">
        <is>
          <t>Mínimo</t>
        </is>
      </c>
      <c r="D723" s="8" t="inlineStr">
        <is>
          <t>Máximo</t>
        </is>
      </c>
      <c r="E723" s="8" t="inlineStr">
        <is>
          <t>Texto</t>
        </is>
      </c>
    </row>
    <row r="724" ht="26" customHeight="1">
      <c r="A724" s="31" t="n">
        <v>1</v>
      </c>
      <c r="B724" s="5" t="n">
        <v>8</v>
      </c>
      <c r="C724" s="5" t="n">
        <v>2</v>
      </c>
      <c r="D724" s="5" t="n">
        <v>4</v>
      </c>
      <c r="E724" s="5" t="inlineStr">
        <is>
          <t>2 a 4 sessões por nível (níveis 1 a 8)</t>
        </is>
      </c>
    </row>
    <row r="725" ht="26" customHeight="1">
      <c r="A725" s="43" t="n">
        <v>9</v>
      </c>
      <c r="B725" s="10" t="n">
        <v>20</v>
      </c>
      <c r="C725" s="10" t="n">
        <v>4</v>
      </c>
      <c r="D725" s="10" t="n">
        <v>6</v>
      </c>
      <c r="E725" s="10" t="inlineStr">
        <is>
          <t>4 a 6 sessões por nível (do nível 9 em diante)</t>
        </is>
      </c>
    </row>
    <row r="726"/>
    <row r="727" ht="32" customHeight="1">
      <c r="A727" s="69" t="inlineStr">
        <is>
          <t>Facções: como usar — 27.16</t>
        </is>
      </c>
      <c r="B727" s="70" t="n"/>
    </row>
    <row r="728">
      <c r="A728" s="8" t="inlineStr">
        <is>
          <t>Facção</t>
        </is>
      </c>
      <c r="B728" s="8" t="inlineStr">
        <is>
          <t>Como usar</t>
        </is>
      </c>
    </row>
    <row r="729" ht="105" customHeight="1">
      <c r="A729" s="31" t="inlineStr">
        <is>
          <t>Legião da Antimatéria</t>
        </is>
      </c>
      <c r="B729" s="5" t="inlineStr">
        <is>
          <t>eles avisam. Mandam ultimato, dão prazo, cumprem o prazo. Um Mestre que entrega o ultimato na sessão 1 e o cumpre na sessão 3 compra credibilidade para o resto da campanha.</t>
        </is>
      </c>
    </row>
    <row r="730" ht="127" customHeight="1">
      <c r="A730" s="43" t="inlineStr">
        <is>
          <t>Corporação da Paz Interastral</t>
        </is>
      </c>
      <c r="B730" s="10" t="inlineStr">
        <is>
          <t>o conflito com a Corporação raramente começa em combate. Começa com uma taxa, uma cláusula, uma apólice que exige que o grupo entregue alguém. O combate é o que acontece quando o grupo se recusa a assinar.</t>
        </is>
      </c>
    </row>
    <row r="731" ht="105" customHeight="1">
      <c r="A731" s="31" t="inlineStr">
        <is>
          <t>Aliança Xianzhou</t>
        </is>
      </c>
      <c r="B731" s="5" t="inlineStr">
        <is>
          <t>eles emitem ordem de caça, e ordem de caça é um documento. O grupo pode discutir o documento, cumprir o documento ou virar item do documento. Muito melhor que "os guardas atacam".</t>
        </is>
      </c>
    </row>
    <row r="732" ht="105" customHeight="1">
      <c r="A732" s="43" t="inlineStr">
        <is>
          <t>Caçadores de Stellaron</t>
        </is>
      </c>
      <c r="B732" s="10" t="inlineStr">
        <is>
          <t>mande um. Um Caçador competente que fala antes de atacar, perde, e volta na sessão seguinte sabendo mais sobre o grupo vale uma campanha inteira de pelotões.</t>
        </is>
      </c>
    </row>
    <row r="733" ht="93" customHeight="1">
      <c r="A733" s="31" t="inlineStr">
        <is>
          <t>Tolos Mascarados</t>
        </is>
      </c>
      <c r="B733" s="5" t="inlineStr">
        <is>
          <t>eles dão ao grupo presentes úteis em momentos horríveis. Um Tolo que salva o grupo na sessão 2 e cobra a plateia na sessão 7 é melhor que qualquer emboscada.</t>
        </is>
      </c>
    </row>
    <row r="734" ht="105" customHeight="1">
      <c r="A734" s="43" t="inlineStr">
        <is>
          <t>Cavaleiros da Beleza</t>
        </is>
      </c>
      <c r="B734" s="10" t="inlineStr">
        <is>
          <t>não os coloque gritando. Coloque-os elogiando. "Você tem uma clavícula admirável" dito com carinho encerra mais mesas em silêncio do que qualquer descrição de tortura.</t>
        </is>
      </c>
    </row>
    <row r="735" ht="93" customHeight="1">
      <c r="A735" s="31" t="inlineStr">
        <is>
          <t>Culto da Inexistência</t>
        </is>
      </c>
      <c r="B735" s="5" t="inlineStr">
        <is>
          <t>o Culto não quer o que o grupo tem. Isso tira do Mestre a muleta da negociação e dá à cena um desconforto que nenhuma facção com objetivo consegue dar.</t>
        </is>
      </c>
    </row>
    <row r="736" ht="116" customHeight="1">
      <c r="A736" s="43" t="inlineStr">
        <is>
          <t>Autômatos</t>
        </is>
      </c>
      <c r="B736" s="10" t="inlineStr">
        <is>
          <t>um Autômato é o inimigo que o grupo pode resolver sem matar, e a sensação de desligar um bicho de 365 PV com um Teste de Tecnologia bem colocado é das melhores que este sistema dá.</t>
        </is>
      </c>
    </row>
    <row r="737"/>
    <row r="738" ht="18" customHeight="1">
      <c r="A738" s="13" t="inlineStr">
        <is>
          <t>Locais — 27.17</t>
        </is>
      </c>
      <c r="B738" s="70" t="n"/>
      <c r="C738" s="70" t="n"/>
    </row>
    <row r="739" ht="26" customHeight="1">
      <c r="A739" s="8" t="inlineStr">
        <is>
          <t>Lugar</t>
        </is>
      </c>
      <c r="B739" s="8" t="inlineStr">
        <is>
          <t>O que é</t>
        </is>
      </c>
      <c r="C739" s="8" t="inlineStr">
        <is>
          <t>A cena que ele entrega</t>
        </is>
      </c>
    </row>
    <row r="740" ht="82" customHeight="1">
      <c r="A740" s="31" t="inlineStr">
        <is>
          <t>Poço Sete</t>
        </is>
      </c>
      <c r="B740" s="5" t="inlineStr">
        <is>
          <t>Colônia de mineração afundada, abandonada às pressas quando o Fragmentum subiu pelos dutos. As luzes de emergência ainda funcionam</t>
        </is>
      </c>
      <c r="C740" s="5" t="inlineStr">
        <is>
          <t>Faixa 1-4. Corredor alagado, equipamento de gente que não saiu, e O Afogado do Poço Sete lá no fundo</t>
        </is>
      </c>
    </row>
    <row r="741" ht="71" customHeight="1">
      <c r="A741" s="43" t="inlineStr">
        <is>
          <t>Vértice-9</t>
        </is>
      </c>
      <c r="B741" s="10" t="inlineStr">
        <is>
          <t>Estação de triagem da Corporação da Paz Interastral: alfândega, armazém, tribunal e hotel no mesmo cilindro</t>
        </is>
      </c>
      <c r="C741" s="10" t="inlineStr">
        <is>
          <t>Burocracia como adversário. Ninguém saca arma — todo mundo saca formulário</t>
        </is>
      </c>
    </row>
    <row r="742" ht="60" customHeight="1">
      <c r="A742" s="31" t="inlineStr">
        <is>
          <t>Ferro-Vazio</t>
        </is>
      </c>
      <c r="B742" s="5" t="inlineStr">
        <is>
          <t>Lua-forja tomada pela Legião da Antimatéria. Fundem armas com o metal do próprio solo, dia e noite</t>
        </is>
      </c>
      <c r="C742" s="5" t="inlineStr">
        <is>
          <t>Faixa alta. O chão é quente, o céu é fumaça, e tudo que marcha ali marcha junto</t>
        </is>
      </c>
    </row>
    <row r="743" ht="48" customHeight="1">
      <c r="A743" s="43" t="inlineStr">
        <is>
          <t>A Frota de Jade</t>
        </is>
      </c>
      <c r="B743" s="10" t="inlineStr">
        <is>
          <t>Nave-cidade da Aliança Xianzhou, com mercado, arquivo, templo e cárcere</t>
        </is>
      </c>
      <c r="C743" s="10" t="inlineStr">
        <is>
          <t>Intriga. Tudo é possível de conseguir, e tudo tem jurisdição</t>
        </is>
      </c>
    </row>
    <row r="744" ht="60" customHeight="1">
      <c r="A744" s="31" t="inlineStr">
        <is>
          <t>O Ateliê de Vênia</t>
        </is>
      </c>
      <c r="B744" s="5" t="inlineStr">
        <is>
          <t>Clínica dos Cavaleiros da Beleza, limpa, silenciosa e perfumada</t>
        </is>
      </c>
      <c r="C744" s="5" t="inlineStr">
        <is>
          <t>Horror educado. As obras anteriores estão expostas no corredor, e algumas cumprimentam</t>
        </is>
      </c>
    </row>
    <row r="745" ht="71" customHeight="1">
      <c r="A745" s="43" t="inlineStr">
        <is>
          <t>Hesperin</t>
        </is>
      </c>
      <c r="B745" s="10" t="inlineStr">
        <is>
          <t>Mundo com um Stellaron maduro no núcleo. As estações do ano trocam em horas e as sombras caem para o lado errado</t>
        </is>
      </c>
      <c r="C745" s="10" t="inlineStr">
        <is>
          <t>Faixa 17-20. Não é um mapa, é uma condição: o planeta inteiro já concordou com o fim</t>
        </is>
      </c>
    </row>
    <row r="746"/>
    <row r="747" ht="46" customHeight="1">
      <c r="A747" s="69" t="inlineStr">
        <is>
          <t>Trechos de regra que o Escudo do Mestre mostra — vários capítulos</t>
        </is>
      </c>
      <c r="B747" s="70" t="n"/>
      <c r="C747" s="70" t="n"/>
    </row>
    <row r="748">
      <c r="A748" s="8" t="inlineStr">
        <is>
          <t>Chave</t>
        </is>
      </c>
      <c r="B748" s="8" t="inlineStr">
        <is>
          <t>Seção</t>
        </is>
      </c>
      <c r="C748" s="8" t="inlineStr">
        <is>
          <t>Texto</t>
        </is>
      </c>
    </row>
    <row r="749" ht="71" customHeight="1">
      <c r="A749" s="31" t="inlineStr">
        <is>
          <t>T01</t>
        </is>
      </c>
      <c r="B749" s="5" t="inlineStr">
        <is>
          <t>19.3</t>
        </is>
      </c>
      <c r="C749" s="5" t="inlineStr">
        <is>
          <t>Ordene todos os combatentes por VEL, do maior para o menor. Personagens e inimigos na mesma lista.</t>
        </is>
      </c>
    </row>
    <row r="750" ht="116" customHeight="1">
      <c r="A750" s="43" t="inlineStr">
        <is>
          <t>T02</t>
        </is>
      </c>
      <c r="B750" s="10" t="inlineStr">
        <is>
          <t>19.3</t>
        </is>
      </c>
      <c r="C750" s="10" t="inlineStr">
        <is>
          <t>Empates, nesta ordem: maior Bônus de Agilidade vence; se persistir, maior Bônus de Discernimento; se ainda persistir, os jogadores escolhem a ordem entre si e vêm antes dos NPCs empatados.</t>
        </is>
      </c>
    </row>
    <row r="751" ht="105" customHeight="1">
      <c r="A751" s="31" t="inlineStr">
        <is>
          <t>T03</t>
        </is>
      </c>
      <c r="B751" s="5" t="inlineStr">
        <is>
          <t>19.3</t>
        </is>
      </c>
      <c r="C751" s="5" t="inlineStr">
        <is>
          <t>No início de cada Ciclo novo, remonte a Fila com os valores de VEL atuais (buffs e debuffs de Velocidade entram aqui) e aplique os Atrasos pendentes marcados no Ciclo anterior.</t>
        </is>
      </c>
    </row>
    <row r="752" ht="48" customHeight="1">
      <c r="A752" s="43" t="inlineStr">
        <is>
          <t>T04</t>
        </is>
      </c>
      <c r="B752" s="10" t="inlineStr">
        <is>
          <t>19.3</t>
        </is>
      </c>
      <c r="C752" s="10" t="inlineStr">
        <is>
          <t>Não se rola nada para definir a ordem. Quem é rápido age antes, sempre.</t>
        </is>
      </c>
    </row>
    <row r="753" ht="60" customHeight="1">
      <c r="A753" s="31" t="inlineStr">
        <is>
          <t>T05</t>
        </is>
      </c>
      <c r="B753" s="5" t="inlineStr">
        <is>
          <t>19.3</t>
        </is>
      </c>
      <c r="C753" s="5" t="inlineStr">
        <is>
          <t>Cada combatente do lado pego de surpresa faz um Teste de Percepção Mental contra DT 13.</t>
        </is>
      </c>
    </row>
    <row r="754" ht="71" customHeight="1">
      <c r="A754" s="43" t="inlineStr">
        <is>
          <t>T06</t>
        </is>
      </c>
      <c r="B754" s="10" t="inlineStr">
        <is>
          <t>19.3</t>
        </is>
      </c>
      <c r="C754" s="10" t="inlineStr">
        <is>
          <t>Quem falha recebe a condição Surpreso e tem a casa pulada no primeiro Ciclo. Quem passa age normalmente.</t>
        </is>
      </c>
    </row>
    <row r="755" ht="48" customHeight="1">
      <c r="A755" s="31" t="inlineStr">
        <is>
          <t>T07</t>
        </is>
      </c>
      <c r="B755" s="5" t="inlineStr">
        <is>
          <t>19.4</t>
        </is>
      </c>
      <c r="C755" s="5" t="inlineStr">
        <is>
          <t>Some todas as casas de Atraso aplicadas ao alvo neste Ciclo, de todas as fontes.</t>
        </is>
      </c>
    </row>
    <row r="756" ht="37" customHeight="1">
      <c r="A756" s="43" t="inlineStr">
        <is>
          <t>T08</t>
        </is>
      </c>
      <c r="B756" s="10" t="inlineStr">
        <is>
          <t>19.4</t>
        </is>
      </c>
      <c r="C756" s="10" t="inlineStr">
        <is>
          <t>Divida o total por 2, arredondando para baixo.</t>
        </is>
      </c>
    </row>
    <row r="757" ht="82" customHeight="1">
      <c r="A757" s="31" t="inlineStr">
        <is>
          <t>T09</t>
        </is>
      </c>
      <c r="B757" s="5" t="inlineStr">
        <is>
          <t>19.4</t>
        </is>
      </c>
      <c r="C757" s="5" t="inlineStr">
        <is>
          <t>Se o resultado for 0 e houver pelo menos 1 casa bruta, o resultado é 1. Esse mínimo vale para o total do Ciclo, nunca para cada fonte separadamente.</t>
        </is>
      </c>
    </row>
    <row r="758" ht="37" customHeight="1">
      <c r="A758" s="43" t="inlineStr">
        <is>
          <t>T10</t>
        </is>
      </c>
      <c r="B758" s="10" t="inlineStr">
        <is>
          <t>19.4</t>
        </is>
      </c>
      <c r="C758" s="10" t="inlineStr">
        <is>
          <t>Aplique o teto de 2 casas. O excedente é perdido.</t>
        </is>
      </c>
    </row>
    <row r="759" ht="71" customHeight="1">
      <c r="A759" s="31" t="inlineStr">
        <is>
          <t>T11</t>
        </is>
      </c>
      <c r="B759" s="5" t="inlineStr">
        <is>
          <t>19.5</t>
        </is>
      </c>
      <c r="C759" s="5" t="inlineStr">
        <is>
          <t>Avançar em N casas: mova a ficha N casas para o início da Fila. Só funciona se o alvo ainda não agiu neste Ciclo.</t>
        </is>
      </c>
    </row>
    <row r="760" ht="82" customHeight="1">
      <c r="A760" s="43" t="inlineStr">
        <is>
          <t>T12</t>
        </is>
      </c>
      <c r="B760" s="10" t="inlineStr">
        <is>
          <t>19.5</t>
        </is>
      </c>
      <c r="C760" s="10" t="inlineStr">
        <is>
          <t>Avanço Total: o alvo age imediatamente após o turno atual, mesmo que já tenha agido neste Ciclo. No máximo uma vez por Ciclo por criatura.</t>
        </is>
      </c>
    </row>
    <row r="761" ht="161" customHeight="1">
      <c r="A761" s="31" t="inlineStr">
        <is>
          <t>T13</t>
        </is>
      </c>
      <c r="B761" s="5" t="inlineStr">
        <is>
          <t>19.6</t>
        </is>
      </c>
      <c r="C761" s="5" t="inlineStr">
        <is>
          <t>Elite e Boss não perdem o turno por Congelamento. Em vez disso, o Congelamento os Atrasa em 2 casas — que é o teto de Atraso de um Ciclo contra eles, e por isso nenhum outro Atraso aplicado no mesmo Ciclo soma com este — e eles não podem usar ação especial no turno seguinte.</t>
        </is>
      </c>
    </row>
    <row r="762" ht="71" customHeight="1">
      <c r="A762" s="43" t="inlineStr">
        <is>
          <t>T14</t>
        </is>
      </c>
      <c r="B762" s="10" t="inlineStr">
        <is>
          <t>20.4</t>
        </is>
      </c>
      <c r="C762" s="10" t="inlineStr">
        <is>
          <t>Ele sofre Dano de Quebra do Elemento que causou a Quebra, mais o efeito de Quebra daquele Elemento (20.5).</t>
        </is>
      </c>
    </row>
    <row r="763" ht="116" customHeight="1">
      <c r="A763" s="31" t="inlineStr">
        <is>
          <t>T15</t>
        </is>
      </c>
      <c r="B763" s="5" t="inlineStr">
        <is>
          <t>20.4</t>
        </is>
      </c>
      <c r="C763" s="5" t="inlineStr">
        <is>
          <t>Ele é Atrasado em 1 casa (capítulo 19). Contra Elite e Boss, essa casa entra no somatório de Firmeza do Ciclo: sozinha ela ainda vale 1 casa pelo mínimo, mas somada a outras fontes ela é dividida junto.</t>
        </is>
      </c>
    </row>
    <row r="764" ht="71" customHeight="1">
      <c r="A764" s="43" t="inlineStr">
        <is>
          <t>T16</t>
        </is>
      </c>
      <c r="B764" s="10" t="inlineStr">
        <is>
          <t>20.4</t>
        </is>
      </c>
      <c r="C764" s="10" t="inlineStr">
        <is>
          <t>Ele recebe a condição Quebrado até o fim do próximo turno dele: -2 de Defesa e recebe +1 dado de dano de qualquer fonte.</t>
        </is>
      </c>
    </row>
    <row r="765" ht="48" customHeight="1">
      <c r="A765" s="31" t="inlineStr">
        <is>
          <t>T17</t>
        </is>
      </c>
      <c r="B765" s="5" t="inlineStr">
        <is>
          <t>20.4</t>
        </is>
      </c>
      <c r="C765" s="5" t="inlineStr">
        <is>
          <t>Quem quebrou ganha +10 de Energia (1 vez por Ciclo — capítulo 17).</t>
        </is>
      </c>
    </row>
    <row r="766" ht="60" customHeight="1">
      <c r="A766" s="43" t="inlineStr">
        <is>
          <t>T18</t>
        </is>
      </c>
      <c r="B766" s="10" t="inlineStr">
        <is>
          <t>20.4</t>
        </is>
      </c>
      <c r="C766" s="10" t="inlineStr">
        <is>
          <t>A Tenacidade volta ao máximo no fim do próximo turno do alvo, junto com o fim da condição Quebrado.</t>
        </is>
      </c>
    </row>
    <row r="767" ht="26" customHeight="1">
      <c r="A767" s="31" t="inlineStr">
        <is>
          <t>T19</t>
        </is>
      </c>
      <c r="B767" s="5" t="inlineStr">
        <is>
          <t>20.6</t>
        </is>
      </c>
      <c r="C767" s="5" t="inlineStr">
        <is>
          <t>Aplica no início do turno do alvo.</t>
        </is>
      </c>
    </row>
    <row r="768" ht="26" customHeight="1">
      <c r="A768" s="43" t="inlineStr">
        <is>
          <t>T20</t>
        </is>
      </c>
      <c r="B768" s="10" t="inlineStr">
        <is>
          <t>20.6</t>
        </is>
      </c>
      <c r="C768" s="10" t="inlineStr">
        <is>
          <t>A duração é contada em turnos do alvo.</t>
        </is>
      </c>
    </row>
    <row r="769" ht="60" customHeight="1">
      <c r="A769" s="31" t="inlineStr">
        <is>
          <t>T21</t>
        </is>
      </c>
      <c r="B769" s="5" t="inlineStr">
        <is>
          <t>20.6</t>
        </is>
      </c>
      <c r="C769" s="5" t="inlineStr">
        <is>
          <t>Três exceções, e elas andam juntas: o Dano Contínuo não crita, não recebe dados de Fraqueza e ignora RD.</t>
        </is>
      </c>
    </row>
    <row r="770" ht="71" customHeight="1">
      <c r="A770" s="43" t="inlineStr">
        <is>
          <t>T22</t>
        </is>
      </c>
      <c r="B770" s="10" t="inlineStr">
        <is>
          <t>20.6</t>
        </is>
      </c>
      <c r="C770" s="10" t="inlineStr">
        <is>
          <t>Danos Contínuos de Elementos diferentes coexistem. Do mesmo Elemento, acumulam até o limite daquele efeito.</t>
        </is>
      </c>
    </row>
    <row r="771" ht="26" customHeight="1">
      <c r="A771" s="31" t="inlineStr">
        <is>
          <t>T23</t>
        </is>
      </c>
      <c r="B771" s="5" t="inlineStr">
        <is>
          <t>20.6</t>
        </is>
      </c>
      <c r="C771" s="5" t="inlineStr">
        <is>
          <t>Ele não reduz Tenacidade (20.3).</t>
        </is>
      </c>
    </row>
    <row r="772" ht="183" customHeight="1">
      <c r="A772" s="43" t="inlineStr">
        <is>
          <t>T24</t>
        </is>
      </c>
      <c r="B772" s="10" t="inlineStr">
        <is>
          <t>20.3</t>
        </is>
      </c>
      <c r="C772" s="10" t="inlineStr">
        <is>
          <t>A Redução de Tenacidade é condicionada ao acerto. Ataque que erra não reduz Tenacidade. Efeito resolvido por Teste de Resistência em que o alvo passa só reduz Tenacidade se ainda houver dano (capítulo 22). A v0.1 já dizia isso com outras palavras: para retirar Tenacidade é obrigatório que o alvo receba um ataque.</t>
        </is>
      </c>
    </row>
    <row r="773" ht="71" customHeight="1">
      <c r="A773" s="31" t="inlineStr">
        <is>
          <t>T25</t>
        </is>
      </c>
      <c r="B773" s="5" t="inlineStr">
        <is>
          <t>27.5</t>
        </is>
      </c>
      <c r="C773" s="5" t="inlineStr">
        <is>
          <t>Monte o encontro de modo que pelo menos 3 dos Elementos do grupo apareçam como Fraqueza entre os inimigos da cena.</t>
        </is>
      </c>
    </row>
    <row r="774" ht="82" customHeight="1">
      <c r="A774" s="43" t="inlineStr">
        <is>
          <t>T26</t>
        </is>
      </c>
      <c r="B774" s="10" t="inlineStr">
        <is>
          <t>27.5</t>
        </is>
      </c>
      <c r="C774" s="10" t="inlineStr">
        <is>
          <t>A regra irmã, que custa mais caro esquecer: nunca aponte uma Resistência para o Elemento de dois personagens ao mesmo tempo.</t>
        </is>
      </c>
    </row>
    <row r="775" ht="138" customHeight="1">
      <c r="A775" s="31" t="inlineStr">
        <is>
          <t>T27</t>
        </is>
      </c>
      <c r="B775" s="5" t="inlineStr">
        <is>
          <t>28.4</t>
        </is>
      </c>
      <c r="C775" s="5" t="inlineStr">
        <is>
          <t>Ataque normal: causa o Dano por acerto da ficha. Um inimigo pode ter dois ou três ataques diferentes — alcances e Elementos diferentes — mas todos causam o mesmo dano. A variedade está no alcance, no Elemento e no efeito, nunca no número.</t>
        </is>
      </c>
    </row>
    <row r="776" ht="105" customHeight="1">
      <c r="A776" s="43" t="inlineStr">
        <is>
          <t>T28</t>
        </is>
      </c>
      <c r="B776" s="10" t="inlineStr">
        <is>
          <t>28.4</t>
        </is>
      </c>
      <c r="C776" s="10" t="inlineStr">
        <is>
          <t>Ação especial de dano: até 1,5 vez o Dano por acerto da ficha num alvo único, ou o Dano por acerto cheio por alvo quando pega 2 ou 3 alvos. Recarga de 2 ou 3 Ciclos, declarada na ficha.</t>
        </is>
      </c>
    </row>
    <row r="777" ht="138" customHeight="1">
      <c r="A777" s="31" t="inlineStr">
        <is>
          <t>T29</t>
        </is>
      </c>
      <c r="B777" s="5" t="inlineStr">
        <is>
          <t>28.4</t>
        </is>
      </c>
      <c r="C777" s="5" t="inlineStr">
        <is>
          <t>Ação especial de controle: aplica uma condição do capítulo 21 — nada de condição nova — ou força um Teste de Resistência contra a DT dos efeitos da ficha. Se ela também causa dano, use o Dano por acerto normal, não o aumentado.</t>
        </is>
      </c>
    </row>
    <row r="778" ht="116" customHeight="1">
      <c r="A778" s="43" t="inlineStr">
        <is>
          <t>T30</t>
        </is>
      </c>
      <c r="B778" s="10" t="inlineStr">
        <is>
          <t>23.4</t>
        </is>
      </c>
      <c r="C778" s="10" t="inlineStr">
        <is>
          <t>Este Teste soma só d20 + Bônus de Presença. Sem Eficiência e sem Eficácia. É a única rolagem do livro que não soma o seu bônus de nível, e este capítulo é o dono dessa exceção.</t>
        </is>
      </c>
    </row>
    <row r="779" ht="93" customHeight="1">
      <c r="A779" s="31" t="inlineStr">
        <is>
          <t>T31</t>
        </is>
      </c>
      <c r="B779" s="5" t="inlineStr">
        <is>
          <t>23.5</t>
        </is>
      </c>
      <c r="C779" s="5" t="inlineStr">
        <is>
          <t>Executado: um ser racional que gaste o Ataque Básico dele a Distância Pessoal de um personagem Morrendo o mata automaticamente. Sem rolagem.</t>
        </is>
      </c>
    </row>
    <row r="780" ht="105" customHeight="1">
      <c r="A780" s="43" t="inlineStr">
        <is>
          <t>T32</t>
        </is>
      </c>
      <c r="B780" s="10" t="inlineStr">
        <is>
          <t>23.5</t>
        </is>
      </c>
      <c r="C780" s="10" t="inlineStr">
        <is>
          <t>Só ser racional executa. Bestas, monstros e máquinas sem consciência — que não pensam nem tomam decisões — não executam. Boa parte do bestiário é besta ou máquina.</t>
        </is>
      </c>
    </row>
    <row r="781" ht="93" customHeight="1">
      <c r="A781" s="31" t="inlineStr">
        <is>
          <t>T33</t>
        </is>
      </c>
      <c r="B781" s="5" t="inlineStr">
        <is>
          <t>23.5</t>
        </is>
      </c>
      <c r="C781" s="5" t="inlineStr">
        <is>
          <t>Custa o Ataque Básico do executor, a Distância Pessoal. Ele está gastando o turno dele para matar quem já está no chão, em vez de atacar quem ainda está de pé.</t>
        </is>
      </c>
    </row>
    <row r="782" ht="217" customHeight="1">
      <c r="A782" s="43" t="inlineStr">
        <is>
          <t>T34</t>
        </is>
      </c>
      <c r="B782" s="10" t="inlineStr">
        <is>
          <t>23.5</t>
        </is>
      </c>
      <c r="C782" s="10" t="inlineStr">
        <is>
          <t>Um aliado pode impedir com a Reação Intervir (capítulo 18). Intervir cancela a Execução: no lugar dela, o executor pode fazer o Ataque Básico dele contra o interventor, resolvido normalmente. A Execução não é dano — é morte automática sem rolagem — então não há o que "receber no lugar". O que Intervir faz é interromper o ato e obrigar o executor a lutar com alguém de pé.</t>
        </is>
      </c>
    </row>
    <row r="783" ht="93" customHeight="1">
      <c r="A783" s="31" t="inlineStr">
        <is>
          <t>T35</t>
        </is>
      </c>
      <c r="B783" s="5" t="inlineStr">
        <is>
          <t>23.5</t>
        </is>
      </c>
      <c r="C783" s="5" t="inlineStr">
        <is>
          <t>Xianzhouítas não podem ser Executados (capítulo 05). Eles continuam caindo em Morrendo e continuam rolando o Teste — com Vantagem, pelo traço racial.</t>
        </is>
      </c>
    </row>
    <row r="784" ht="82" customHeight="1">
      <c r="A784" s="43" t="inlineStr">
        <is>
          <t>T36</t>
        </is>
      </c>
      <c r="B784" s="10" t="inlineStr">
        <is>
          <t>23.3</t>
        </is>
      </c>
      <c r="C784" s="10" t="inlineStr">
        <is>
          <t>Teto global de PV temporários = 3 × Eficiência, vindos de qualquer fonte — Habilidade, Bênção, Ultimate, Cone de Luz, item, Barreira.</t>
        </is>
      </c>
    </row>
    <row r="785" ht="71" customHeight="1">
      <c r="A785" s="31" t="inlineStr">
        <is>
          <t>T37</t>
        </is>
      </c>
      <c r="B785" s="5" t="inlineStr">
        <is>
          <t>16.2</t>
        </is>
      </c>
      <c r="C785" s="5" t="inlineStr">
        <is>
          <t>Máximo de PH = 1 + número de personagens jogadores. Mais +1 nos níveis 9 a 16 e +2 nos níveis 17 a 20.</t>
        </is>
      </c>
    </row>
    <row r="786" ht="48" customHeight="1">
      <c r="A786" s="43" t="inlineStr">
        <is>
          <t>T38</t>
        </is>
      </c>
      <c r="B786" s="10" t="inlineStr">
        <is>
          <t>16.2</t>
        </is>
      </c>
      <c r="C786" s="10" t="inlineStr">
        <is>
          <t>Cada Ataque Básico que acerta gera +1 PH nos níveis 1 a 8 e +2 PH nos níveis 9 a 20.</t>
        </is>
      </c>
    </row>
    <row r="787" ht="105" customHeight="1">
      <c r="A787" s="31" t="inlineStr">
        <is>
          <t>T39</t>
        </is>
      </c>
      <c r="B787" s="5" t="inlineStr">
        <is>
          <t>17.2</t>
        </is>
      </c>
      <c r="C787" s="5" t="inlineStr">
        <is>
          <t>A Energia é da ação, não do acerto. Este capítulo é o dono dessa regra. Você errou o ataque? Ganhou a Energia. A única falha que corta a Energia é o 1 natural (capítulo 18).</t>
        </is>
      </c>
    </row>
    <row r="788" ht="82" customHeight="1">
      <c r="A788" s="43" t="inlineStr">
        <is>
          <t>T40</t>
        </is>
      </c>
      <c r="B788" s="10" t="inlineStr">
        <is>
          <t>27.9</t>
        </is>
      </c>
      <c r="C788" s="10" t="inlineStr">
        <is>
          <t>Ela sobe sozinha na virada de faixa. O jogador não reescreve nada; quem quiser mudar a descrição faz no próximo Descanso Longo, com você.</t>
        </is>
      </c>
    </row>
    <row r="789" ht="82" customHeight="1">
      <c r="A789" s="31" t="inlineStr">
        <is>
          <t>T41</t>
        </is>
      </c>
      <c r="B789" s="5" t="inlineStr">
        <is>
          <t>27.9</t>
        </is>
      </c>
      <c r="C789" s="5" t="inlineStr">
        <is>
          <t>Efeitos de buff, debuff e controle leem a linha do Nível equivalente, não a do Nível 7. No nível 20 isso é teto de +4/-4 e um efeito maior.</t>
        </is>
      </c>
    </row>
    <row r="790" ht="116" customHeight="1">
      <c r="A790" s="43" t="inlineStr">
        <is>
          <t>T42</t>
        </is>
      </c>
      <c r="B790" s="10" t="inlineStr">
        <is>
          <t>27.9</t>
        </is>
      </c>
      <c r="C790" s="10" t="inlineStr">
        <is>
          <t>1 Ultimate por Ciclo, por personagem, a 100 de Energia. Se na sua mesa está saindo Ultimate todo Ciclo para todo mundo, alguém está somando duas fontes de Energia duas vezes (capítulo 17).</t>
        </is>
      </c>
    </row>
    <row r="791" ht="48" customHeight="1">
      <c r="A791" s="31" t="inlineStr">
        <is>
          <t>T43</t>
        </is>
      </c>
      <c r="B791" s="5" t="inlineStr">
        <is>
          <t>27.9</t>
        </is>
      </c>
      <c r="C791" s="5" t="inlineStr">
        <is>
          <t>Em área: metade dos dados e até 3 alvos — 4 quando o Nível equivalente for 6.</t>
        </is>
      </c>
    </row>
    <row r="792" ht="48" customHeight="1">
      <c r="A792" s="43" t="inlineStr">
        <is>
          <t>T44</t>
        </is>
      </c>
      <c r="B792" s="10" t="inlineStr">
        <is>
          <t>29.12</t>
        </is>
      </c>
      <c r="C792" s="10" t="inlineStr">
        <is>
          <t>A rolagem única: d20 + Bônus de Atributo + Eficiência (se treinado) ≥ DT.</t>
        </is>
      </c>
    </row>
    <row r="793" ht="48" customHeight="1">
      <c r="A793" s="31" t="inlineStr">
        <is>
          <t>T45</t>
        </is>
      </c>
      <c r="B793" s="5" t="inlineStr">
        <is>
          <t>27.1</t>
        </is>
      </c>
      <c r="C793" s="5" t="inlineStr">
        <is>
          <t>Falhe para frente (capítulo 02): falha em Teste de Perícia nunca trava a cena.</t>
        </is>
      </c>
    </row>
    <row r="794" ht="60" customHeight="1">
      <c r="A794" s="43" t="inlineStr">
        <is>
          <t>T46</t>
        </is>
      </c>
      <c r="B794" s="10" t="inlineStr">
        <is>
          <t>27.1</t>
        </is>
      </c>
      <c r="C794" s="10" t="inlineStr">
        <is>
          <t>Se uma regra deste livro estiver atrapalhando a cena que a sua mesa quer jogar, a cena ganha.</t>
        </is>
      </c>
    </row>
    <row r="795" ht="127" customHeight="1">
      <c r="A795" s="31" t="inlineStr">
        <is>
          <t>T47</t>
        </is>
      </c>
      <c r="B795" s="5" t="inlineStr">
        <is>
          <t>27.17</t>
        </is>
      </c>
      <c r="C795" s="5" t="inlineStr">
        <is>
          <t>Montar um lugar seu, em três perguntas: (1) qual Caminho está vencendo aqui? (2) o que as pessoas comuns fazem neste lugar de manhã? (3) o que elas pararam de fazer? A terceira é a que transforma descrição em cena.</t>
        </is>
      </c>
    </row>
    <row r="796" ht="48" customHeight="1">
      <c r="A796" s="43" t="inlineStr">
        <is>
          <t>T48</t>
        </is>
      </c>
      <c r="B796" s="10" t="inlineStr">
        <is>
          <t>27.15</t>
        </is>
      </c>
      <c r="C796" s="10" t="inlineStr">
        <is>
          <t>Regras de nave, rota e viagem interestelar não estão neste livro (27.19).</t>
        </is>
      </c>
    </row>
    <row r="797" ht="127" customHeight="1">
      <c r="A797" s="31" t="inlineStr">
        <is>
          <t>T49</t>
        </is>
      </c>
      <c r="B797" s="5" t="inlineStr">
        <is>
          <t>27.15</t>
        </is>
      </c>
      <c r="C797" s="5" t="inlineStr">
        <is>
          <t>Se a sua mesa quiser fazer da viagem um desafio, trate como cena: um Teste de Perícia da faixa certa (27.2) e falhe para frente — chegar tarde, chegar sem combustível, chegar com a tripulação devendo um favor.</t>
        </is>
      </c>
    </row>
    <row r="798" ht="93" customHeight="1">
      <c r="A798" s="43" t="inlineStr">
        <is>
          <t>T50</t>
        </is>
      </c>
      <c r="B798" s="10" t="inlineStr">
        <is>
          <t>24.5</t>
        </is>
      </c>
      <c r="C798" s="10" t="inlineStr">
        <is>
          <t>Serviços e ficção valem o que o Mestre disser: uma noite em hospedaria decente, 20 Cr; uma passagem de transporte orbital, 150 Cr; um informante falando, 300 Cr.</t>
        </is>
      </c>
    </row>
    <row r="799" ht="37" customHeight="1">
      <c r="A799" s="31" t="inlineStr">
        <is>
          <t>T51</t>
        </is>
      </c>
      <c r="B799" s="5" t="inlineStr">
        <is>
          <t>24.5</t>
        </is>
      </c>
      <c r="C799" s="5" t="inlineStr">
        <is>
          <t>Uma pistola custa 250 Cr no nível 1 e no nível 20.</t>
        </is>
      </c>
    </row>
    <row r="800" ht="105" customHeight="1">
      <c r="A800" s="43" t="inlineStr">
        <is>
          <t>T52</t>
        </is>
      </c>
      <c r="B800" s="10" t="inlineStr">
        <is>
          <t>24.5</t>
        </is>
      </c>
      <c r="C800" s="10" t="inlineStr">
        <is>
          <t>Não existe tabela de lucro, mercado, nem compra de equipamento de progressão: Cones de Luz e Relíquias são recompensas de marco e não têm preço (capítulo 25).</t>
        </is>
      </c>
    </row>
    <row r="801" ht="48" customHeight="1">
      <c r="A801" s="31" t="inlineStr">
        <is>
          <t>T53</t>
        </is>
      </c>
      <c r="B801" s="5" t="inlineStr">
        <is>
          <t>03</t>
        </is>
      </c>
      <c r="C801" s="5" t="inlineStr">
        <is>
          <t>Array ou Compra de Pontos? (o Mestre decide, para a mesa inteira)</t>
        </is>
      </c>
    </row>
    <row r="802" ht="37" customHeight="1">
      <c r="A802" s="43" t="inlineStr">
        <is>
          <t>T54</t>
        </is>
      </c>
      <c r="B802" s="10" t="inlineStr">
        <is>
          <t>03</t>
        </is>
      </c>
      <c r="C802" s="10" t="inlineStr">
        <is>
          <t>Quais Elementos cada um está levando? (e alguém está repetido?)</t>
        </is>
      </c>
    </row>
    <row r="803" ht="105" customHeight="1">
      <c r="A803" s="31" t="inlineStr">
        <is>
          <t>T55</t>
        </is>
      </c>
      <c r="B803" s="5" t="inlineStr">
        <is>
          <t>03</t>
        </is>
      </c>
      <c r="C803" s="5" t="inlineStr">
        <is>
          <t>Alguém está cuidando do grupo? Cura, barreira ou remoção de condição. Não é obrigatório, mas o terceiro combate do dia é implacável com grupos sem isso (capítulo 27).</t>
        </is>
      </c>
    </row>
    <row r="804" ht="82" customHeight="1">
      <c r="A804" s="43" t="inlineStr">
        <is>
          <t>T56</t>
        </is>
      </c>
      <c r="B804" s="10" t="inlineStr">
        <is>
          <t>03</t>
        </is>
      </c>
      <c r="C804" s="10" t="inlineStr">
        <is>
          <t>Quem é o rápido? Quem tem a maior VEL vai agir primeiro em quase todo combate, e isso muda como o grupo joga (capítulo 19).</t>
        </is>
      </c>
    </row>
    <row r="805" ht="71" customHeight="1">
      <c r="A805" s="31" t="inlineStr">
        <is>
          <t>T57</t>
        </is>
      </c>
      <c r="B805" s="5" t="inlineStr">
        <is>
          <t>03</t>
        </is>
      </c>
      <c r="C805" s="5" t="inlineStr">
        <is>
          <t>Os Propósitos de Vida de vocês se cruzam em algum ponto? Se não, inventem um motivo para estarem na mesma nave.</t>
        </is>
      </c>
    </row>
    <row r="806" ht="116" customHeight="1">
      <c r="A806" s="43" t="inlineStr">
        <is>
          <t>T58</t>
        </is>
      </c>
      <c r="B806" s="10" t="inlineStr">
        <is>
          <t>26.1</t>
        </is>
      </c>
      <c r="C806" s="10" t="inlineStr">
        <is>
          <t>Progressão por marco narrativo. O grupo sobe de nível junto, ao concluir um arco da campanha ou um objetivo que o Mestre tenha anunciado como marco. Não existe experiência por inimigo derrotado.</t>
        </is>
      </c>
    </row>
    <row r="807" ht="127" customHeight="1">
      <c r="A807" s="31" t="inlineStr">
        <is>
          <t>T59</t>
        </is>
      </c>
      <c r="B807" s="5" t="inlineStr">
        <is>
          <t>27.15</t>
        </is>
      </c>
      <c r="C807" s="5" t="inlineStr">
        <is>
          <t>A casa do grupo. Vagão-refeitório, cabines apertadas, um corredor com janela para o nada. É onde o Descanso Longo acontece, onde se reescreve uma Habilidade e onde a conversa que importa é tida às três da manhã.</t>
        </is>
      </c>
    </row>
    <row r="808" ht="26" customHeight="1">
      <c r="A808" s="43" t="inlineStr">
        <is>
          <t>T60</t>
        </is>
      </c>
      <c r="B808" s="10" t="inlineStr">
        <is>
          <t>27.2</t>
        </is>
      </c>
      <c r="C808" s="10" t="inlineStr">
        <is>
          <t>A faixa é do desafio, não do personagem.</t>
        </is>
      </c>
    </row>
    <row r="809" ht="37" customHeight="1">
      <c r="A809" s="31" t="inlineStr">
        <is>
          <t>T61</t>
        </is>
      </c>
      <c r="B809" s="5" t="inlineStr">
        <is>
          <t>27.2</t>
        </is>
      </c>
      <c r="C809" s="5" t="inlineStr">
        <is>
          <t>Sucesso Automático, só em Teste de Perícia.</t>
        </is>
      </c>
    </row>
    <row r="810" ht="37" customHeight="1">
      <c r="A810" s="43" t="inlineStr">
        <is>
          <t>T62</t>
        </is>
      </c>
      <c r="B810" s="10" t="inlineStr">
        <is>
          <t>27.2</t>
        </is>
      </c>
      <c r="C810" s="10" t="inlineStr">
        <is>
          <t>Teste sem Eficiência contra DT de faixa alta é exceção.</t>
        </is>
      </c>
    </row>
    <row r="811" ht="48" customHeight="1">
      <c r="A811" s="31" t="inlineStr">
        <is>
          <t>T63</t>
        </is>
      </c>
      <c r="B811" s="5" t="inlineStr">
        <is>
          <t>19.6</t>
        </is>
      </c>
      <c r="C811" s="5" t="inlineStr">
        <is>
          <t>O alvo é retirado da Fila neste Ciclo: a ficha sai da tira e ele não age.</t>
        </is>
      </c>
    </row>
    <row r="812" ht="82" customHeight="1">
      <c r="A812" s="43" t="inlineStr">
        <is>
          <t>T64</t>
        </is>
      </c>
      <c r="B812" s="10" t="inlineStr">
        <is>
          <t>23.5</t>
        </is>
      </c>
      <c r="C812" s="10" t="inlineStr">
        <is>
          <t>Intervir cancela a Execução: no lugar dela, o executor pode fazer o Ataque Básico dele contra o interventor, resolvido normalmente.</t>
        </is>
      </c>
    </row>
    <row r="813" ht="116" customHeight="1">
      <c r="A813" s="31" t="inlineStr">
        <is>
          <t>T65</t>
        </is>
      </c>
      <c r="B813" s="5" t="inlineStr">
        <is>
          <t>27.8</t>
        </is>
      </c>
      <c r="C813" s="5" t="inlineStr">
        <is>
          <t>Não existe compra de Relíquia, não existe sorteio e não existe economia de equipamento. O detalhe de cada slot, de cada Conjunto e da Sobreposição está no capítulo 25; aqui está só o calendário.</t>
        </is>
      </c>
    </row>
    <row r="814"/>
    <row r="815" ht="60" customHeight="1">
      <c r="A815" s="69" t="inlineStr">
        <is>
          <t>Estoque das lojas — 24.1 a 24.3 (que linha cabe em cada loja: Sugestão da planilha, H15)</t>
        </is>
      </c>
      <c r="B815" s="70" t="n"/>
      <c r="C815" s="70" t="n"/>
      <c r="D815" s="70" t="n"/>
      <c r="E815" s="70" t="n"/>
      <c r="F815" s="70" t="n"/>
      <c r="G815" s="70" t="n"/>
    </row>
    <row r="816">
      <c r="A816" s="8" t="inlineStr">
        <is>
          <t>Tipo de loja</t>
        </is>
      </c>
      <c r="B816" s="8" t="inlineStr">
        <is>
          <t>Ordem</t>
        </is>
      </c>
      <c r="C816" s="8" t="inlineStr">
        <is>
          <t>Chave</t>
        </is>
      </c>
      <c r="D816" s="8" t="inlineStr">
        <is>
          <t>Item</t>
        </is>
      </c>
      <c r="E816" s="8" t="inlineStr">
        <is>
          <t>Preço (Cr)</t>
        </is>
      </c>
      <c r="F816" s="8" t="inlineStr">
        <is>
          <t>O que é</t>
        </is>
      </c>
      <c r="G816" s="8" t="inlineStr">
        <is>
          <t>Espaço</t>
        </is>
      </c>
    </row>
    <row r="817" ht="48" customHeight="1">
      <c r="A817" s="31" t="inlineStr">
        <is>
          <t>Armas</t>
        </is>
      </c>
      <c r="B817" s="5" t="n">
        <v>1</v>
      </c>
      <c r="C817" s="5" t="inlineStr">
        <is>
          <t>Armas|1</t>
        </is>
      </c>
      <c r="D817" s="5" t="inlineStr">
        <is>
          <t>Arma Leve</t>
        </is>
      </c>
      <c r="E817" s="5" t="n">
        <v>100</v>
      </c>
      <c r="F817" s="5" t="inlineStr">
        <is>
          <t>1d8, Pessoal, Agilidade; ex.: adaga, lâmina curta, chicote, par de garras</t>
        </is>
      </c>
      <c r="G817" s="5" t="n">
        <v>0.5</v>
      </c>
    </row>
    <row r="818" ht="71" customHeight="1">
      <c r="A818" s="43" t="inlineStr">
        <is>
          <t>Armas</t>
        </is>
      </c>
      <c r="B818" s="10" t="n">
        <v>2</v>
      </c>
      <c r="C818" s="10" t="inlineStr">
        <is>
          <t>Armas|2</t>
        </is>
      </c>
      <c r="D818" s="10" t="inlineStr">
        <is>
          <t>Arma Média</t>
        </is>
      </c>
      <c r="E818" s="10" t="n">
        <v>150</v>
      </c>
      <c r="F818" s="10" t="inlineStr">
        <is>
          <t>1d10, Pessoal, Poder ou Agilidade (fixo na criação); ex.: espada de uma mão, lança curta, bastão, machado de mão</t>
        </is>
      </c>
      <c r="G818" s="10" t="n">
        <v>1</v>
      </c>
    </row>
    <row r="819" ht="48" customHeight="1">
      <c r="A819" s="31" t="inlineStr">
        <is>
          <t>Armas</t>
        </is>
      </c>
      <c r="B819" s="5" t="n">
        <v>3</v>
      </c>
      <c r="C819" s="5" t="inlineStr">
        <is>
          <t>Armas|3</t>
        </is>
      </c>
      <c r="D819" s="5" t="inlineStr">
        <is>
          <t>Arma Pesada</t>
        </is>
      </c>
      <c r="E819" s="5" t="n">
        <v>200</v>
      </c>
      <c r="F819" s="5" t="inlineStr">
        <is>
          <t>1d12, Pessoal, Poder; ex.: martelo, montante, punhos reforçados, foice de haste longa</t>
        </is>
      </c>
      <c r="G819" s="5" t="n">
        <v>2</v>
      </c>
    </row>
    <row r="820" ht="48" customHeight="1">
      <c r="A820" s="43" t="inlineStr">
        <is>
          <t>Armas</t>
        </is>
      </c>
      <c r="B820" s="10" t="n">
        <v>4</v>
      </c>
      <c r="C820" s="10" t="inlineStr">
        <is>
          <t>Armas|4</t>
        </is>
      </c>
      <c r="D820" s="10" t="inlineStr">
        <is>
          <t>Arma Disparo curto</t>
        </is>
      </c>
      <c r="E820" s="10" t="n">
        <v>250</v>
      </c>
      <c r="F820" s="10" t="inlineStr">
        <is>
          <t>1d8, Média, Agilidade; ex.: pistola, besta de mão, lançador de dardos</t>
        </is>
      </c>
      <c r="G820" s="10" t="n">
        <v>1</v>
      </c>
    </row>
    <row r="821" ht="37" customHeight="1">
      <c r="A821" s="31" t="inlineStr">
        <is>
          <t>Armas</t>
        </is>
      </c>
      <c r="B821" s="5" t="n">
        <v>5</v>
      </c>
      <c r="C821" s="5" t="inlineStr">
        <is>
          <t>Armas|5</t>
        </is>
      </c>
      <c r="D821" s="5" t="inlineStr">
        <is>
          <t>Arma Disparo longo</t>
        </is>
      </c>
      <c r="E821" s="5" t="n">
        <v>350</v>
      </c>
      <c r="F821" s="5" t="inlineStr">
        <is>
          <t>1d10, Longa, Agilidade; ex.: arco, rifle, fuzil de precisão</t>
        </is>
      </c>
      <c r="G821" s="5" t="n">
        <v>2</v>
      </c>
    </row>
    <row r="822" ht="60" customHeight="1">
      <c r="A822" s="43" t="inlineStr">
        <is>
          <t>Armas</t>
        </is>
      </c>
      <c r="B822" s="10" t="n">
        <v>6</v>
      </c>
      <c r="C822" s="10" t="inlineStr">
        <is>
          <t>Armas|6</t>
        </is>
      </c>
      <c r="D822" s="10" t="inlineStr">
        <is>
          <t>Arma Energia</t>
        </is>
      </c>
      <c r="E822" s="10" t="n">
        <v>500</v>
      </c>
      <c r="F822" s="10" t="inlineStr">
        <is>
          <t>2d8, Longa, Sincronia; ex.: canhão de palma, catalisador, drone de combate, núcleo ressonante</t>
        </is>
      </c>
      <c r="G822" s="10" t="n">
        <v>2</v>
      </c>
    </row>
    <row r="823" ht="26" customHeight="1">
      <c r="A823" s="31" t="inlineStr">
        <is>
          <t>Armas</t>
        </is>
      </c>
      <c r="B823" s="5" t="n">
        <v>7</v>
      </c>
      <c r="C823" s="5" t="inlineStr">
        <is>
          <t>Armas|7</t>
        </is>
      </c>
      <c r="D823" s="5" t="inlineStr">
        <is>
          <t>Munição ou célula de reserva</t>
        </is>
      </c>
      <c r="E823" s="5" t="n">
        <v>20</v>
      </c>
      <c r="F823" s="5" t="inlineStr">
        <is>
          <t>Reposição de projétil ou de célula de energia</t>
        </is>
      </c>
      <c r="G823" s="5" t="n">
        <v>0.5</v>
      </c>
    </row>
    <row r="824" ht="26" customHeight="1">
      <c r="A824" s="43" t="inlineStr">
        <is>
          <t>Armaduras</t>
        </is>
      </c>
      <c r="B824" s="10" t="n">
        <v>1</v>
      </c>
      <c r="C824" s="10" t="inlineStr">
        <is>
          <t>Armaduras|1</t>
        </is>
      </c>
      <c r="D824" s="10" t="inlineStr">
        <is>
          <t>Armadura Leve</t>
        </is>
      </c>
      <c r="E824" s="10" t="n">
        <v>150</v>
      </c>
      <c r="F824" s="10" t="inlineStr">
        <is>
          <t>Defesa +3; +1 de Velocidade</t>
        </is>
      </c>
      <c r="G824" s="10" t="n">
        <v>1</v>
      </c>
    </row>
    <row r="825">
      <c r="A825" s="31" t="inlineStr">
        <is>
          <t>Armaduras</t>
        </is>
      </c>
      <c r="B825" s="5" t="n">
        <v>2</v>
      </c>
      <c r="C825" s="5" t="inlineStr">
        <is>
          <t>Armaduras|2</t>
        </is>
      </c>
      <c r="D825" s="5" t="inlineStr">
        <is>
          <t>Armadura Média</t>
        </is>
      </c>
      <c r="E825" s="5" t="n">
        <v>300</v>
      </c>
      <c r="F825" s="5" t="inlineStr">
        <is>
          <t>Defesa +5</t>
        </is>
      </c>
      <c r="G825" s="5" t="n">
        <v>2</v>
      </c>
    </row>
    <row r="826" ht="48" customHeight="1">
      <c r="A826" s="43" t="inlineStr">
        <is>
          <t>Armaduras</t>
        </is>
      </c>
      <c r="B826" s="10" t="n">
        <v>3</v>
      </c>
      <c r="C826" s="10" t="inlineStr">
        <is>
          <t>Armaduras|3</t>
        </is>
      </c>
      <c r="D826" s="10" t="inlineStr">
        <is>
          <t>Armadura Pesada</t>
        </is>
      </c>
      <c r="E826" s="10" t="n">
        <v>500</v>
      </c>
      <c r="F826" s="10" t="inlineStr">
        <is>
          <t>Defesa +6; 2 RD, -2 em Reflexos e nas Perícias de Agilidade, -2 de Velocidade</t>
        </is>
      </c>
      <c r="G826" s="10" t="n">
        <v>3</v>
      </c>
    </row>
    <row r="827" ht="37" customHeight="1">
      <c r="A827" s="31" t="inlineStr">
        <is>
          <t>Armaduras</t>
        </is>
      </c>
      <c r="B827" s="5" t="n">
        <v>4</v>
      </c>
      <c r="C827" s="5" t="inlineStr">
        <is>
          <t>Armaduras|4</t>
        </is>
      </c>
      <c r="D827" s="5" t="inlineStr">
        <is>
          <t>Kit de ferramentas</t>
        </is>
      </c>
      <c r="E827" s="5" t="n">
        <v>120</v>
      </c>
      <c r="F827" s="5" t="inlineStr">
        <is>
          <t>Permite Testes de Tecnologia que exigem equipamento</t>
        </is>
      </c>
      <c r="G827" s="5" t="n">
        <v>1</v>
      </c>
    </row>
    <row r="828" ht="37" customHeight="1">
      <c r="A828" s="43" t="inlineStr">
        <is>
          <t>Armaduras</t>
        </is>
      </c>
      <c r="B828" s="10" t="n">
        <v>5</v>
      </c>
      <c r="C828" s="10" t="inlineStr">
        <is>
          <t>Armaduras|5</t>
        </is>
      </c>
      <c r="D828" s="10" t="inlineStr">
        <is>
          <t>Traje de vedação</t>
        </is>
      </c>
      <c r="E828" s="10" t="n">
        <v>250</v>
      </c>
      <c r="F828" s="10" t="inlineStr">
        <is>
          <t>Sobrevive a vácuo e atmosfera hostil por uma cena</t>
        </is>
      </c>
      <c r="G828" s="10" t="n">
        <v>2</v>
      </c>
    </row>
    <row r="829" ht="26" customHeight="1">
      <c r="A829" s="31" t="inlineStr">
        <is>
          <t>Armaduras</t>
        </is>
      </c>
      <c r="B829" s="5" t="n">
        <v>6</v>
      </c>
      <c r="C829" s="5" t="inlineStr">
        <is>
          <t>Armaduras|6</t>
        </is>
      </c>
      <c r="D829" s="5" t="inlineStr">
        <is>
          <t>Munição ou célula de reserva</t>
        </is>
      </c>
      <c r="E829" s="5" t="n">
        <v>20</v>
      </c>
      <c r="F829" s="5" t="inlineStr">
        <is>
          <t>Reposição de projétil ou de célula de energia</t>
        </is>
      </c>
      <c r="G829" s="5" t="n">
        <v>0.5</v>
      </c>
    </row>
    <row r="830" ht="26" customHeight="1">
      <c r="A830" s="43" t="inlineStr">
        <is>
          <t>Suprimentos</t>
        </is>
      </c>
      <c r="B830" s="10" t="n">
        <v>1</v>
      </c>
      <c r="C830" s="10" t="inlineStr">
        <is>
          <t>Suprimentos|1</t>
        </is>
      </c>
      <c r="D830" s="10" t="inlineStr">
        <is>
          <t>Kit de primeiros socorros (3 usos)</t>
        </is>
      </c>
      <c r="E830" s="10" t="n">
        <v>100</v>
      </c>
      <c r="F830" s="10" t="inlineStr">
        <is>
          <t>Cura 10 fora de combate, por uso</t>
        </is>
      </c>
      <c r="G830" s="10" t="n">
        <v>1</v>
      </c>
    </row>
    <row r="831" ht="37" customHeight="1">
      <c r="A831" s="31" t="inlineStr">
        <is>
          <t>Suprimentos</t>
        </is>
      </c>
      <c r="B831" s="5" t="n">
        <v>2</v>
      </c>
      <c r="C831" s="5" t="inlineStr">
        <is>
          <t>Suprimentos|2</t>
        </is>
      </c>
      <c r="D831" s="5" t="inlineStr">
        <is>
          <t>Kit de ferramentas</t>
        </is>
      </c>
      <c r="E831" s="5" t="n">
        <v>120</v>
      </c>
      <c r="F831" s="5" t="inlineStr">
        <is>
          <t>Permite Testes de Tecnologia que exigem equipamento</t>
        </is>
      </c>
      <c r="G831" s="5" t="n">
        <v>1</v>
      </c>
    </row>
    <row r="832" ht="26" customHeight="1">
      <c r="A832" s="43" t="inlineStr">
        <is>
          <t>Suprimentos</t>
        </is>
      </c>
      <c r="B832" s="10" t="n">
        <v>3</v>
      </c>
      <c r="C832" s="10" t="inlineStr">
        <is>
          <t>Suprimentos|3</t>
        </is>
      </c>
      <c r="D832" s="10" t="inlineStr">
        <is>
          <t>Kit de pesquisa de campo</t>
        </is>
      </c>
      <c r="E832" s="10" t="n">
        <v>150</v>
      </c>
      <c r="F832" s="10" t="inlineStr">
        <is>
          <t>Idem, para Ciência e Pesquisa</t>
        </is>
      </c>
      <c r="G832" s="10" t="n">
        <v>1</v>
      </c>
    </row>
    <row r="833">
      <c r="A833" s="31" t="inlineStr">
        <is>
          <t>Suprimentos</t>
        </is>
      </c>
      <c r="B833" s="5" t="n">
        <v>4</v>
      </c>
      <c r="C833" s="5" t="inlineStr">
        <is>
          <t>Suprimentos|4</t>
        </is>
      </c>
      <c r="D833" s="5" t="inlineStr">
        <is>
          <t>Lanterna de plasma</t>
        </is>
      </c>
      <c r="E833" s="5" t="n">
        <v>30</v>
      </c>
      <c r="F833" s="5" t="inlineStr">
        <is>
          <t>Luz, 8 horas de carga</t>
        </is>
      </c>
      <c r="G833" s="5" t="n">
        <v>0.5</v>
      </c>
    </row>
    <row r="834">
      <c r="A834" s="43" t="inlineStr">
        <is>
          <t>Suprimentos</t>
        </is>
      </c>
      <c r="B834" s="10" t="n">
        <v>5</v>
      </c>
      <c r="C834" s="10" t="inlineStr">
        <is>
          <t>Suprimentos|5</t>
        </is>
      </c>
      <c r="D834" s="10" t="inlineStr">
        <is>
          <t>Corda de fibra, 20 m</t>
        </is>
      </c>
      <c r="E834" s="10" t="n">
        <v>25</v>
      </c>
      <c r="F834" s="10" t="inlineStr">
        <is>
          <t>Corda</t>
        </is>
      </c>
      <c r="G834" s="10" t="n">
        <v>1</v>
      </c>
    </row>
    <row r="835" ht="26" customHeight="1">
      <c r="A835" s="31" t="inlineStr">
        <is>
          <t>Suprimentos</t>
        </is>
      </c>
      <c r="B835" s="5" t="n">
        <v>6</v>
      </c>
      <c r="C835" s="5" t="inlineStr">
        <is>
          <t>Suprimentos|6</t>
        </is>
      </c>
      <c r="D835" s="5" t="inlineStr">
        <is>
          <t>Gancho de escalada</t>
        </is>
      </c>
      <c r="E835" s="5" t="n">
        <v>60</v>
      </c>
      <c r="F835" s="5" t="inlineStr">
        <is>
          <t>Sobe o que não tem escada</t>
        </is>
      </c>
      <c r="G835" s="5" t="n">
        <v>0.5</v>
      </c>
    </row>
    <row r="836" ht="26" customHeight="1">
      <c r="A836" s="43" t="inlineStr">
        <is>
          <t>Suprimentos</t>
        </is>
      </c>
      <c r="B836" s="10" t="n">
        <v>7</v>
      </c>
      <c r="C836" s="10" t="inlineStr">
        <is>
          <t>Suprimentos|7</t>
        </is>
      </c>
      <c r="D836" s="10" t="inlineStr">
        <is>
          <t>Ração de viagem (3 dias)</t>
        </is>
      </c>
      <c r="E836" s="10" t="n">
        <v>15</v>
      </c>
      <c r="F836" s="10" t="inlineStr">
        <is>
          <t>Descanso Longo fora de abrigo</t>
        </is>
      </c>
      <c r="G836" s="10" t="n">
        <v>0.5</v>
      </c>
    </row>
    <row r="837" ht="26" customHeight="1">
      <c r="A837" s="31" t="inlineStr">
        <is>
          <t>Suprimentos</t>
        </is>
      </c>
      <c r="B837" s="5" t="n">
        <v>8</v>
      </c>
      <c r="C837" s="5" t="inlineStr">
        <is>
          <t>Suprimentos|8</t>
        </is>
      </c>
      <c r="D837" s="5" t="inlineStr">
        <is>
          <t>Comunicador de curto alcance</t>
        </is>
      </c>
      <c r="E837" s="5" t="n">
        <v>80</v>
      </c>
      <c r="F837" s="5" t="inlineStr">
        <is>
          <t>Fala com o grupo entre cenas</t>
        </is>
      </c>
      <c r="G837" s="5" t="n">
        <v>0.5</v>
      </c>
    </row>
    <row r="838" ht="37" customHeight="1">
      <c r="A838" s="43" t="inlineStr">
        <is>
          <t>Suprimentos</t>
        </is>
      </c>
      <c r="B838" s="10" t="n">
        <v>9</v>
      </c>
      <c r="C838" s="10" t="inlineStr">
        <is>
          <t>Suprimentos|9</t>
        </is>
      </c>
      <c r="D838" s="10" t="inlineStr">
        <is>
          <t>Scanner portátil</t>
        </is>
      </c>
      <c r="E838" s="10" t="n">
        <v>200</v>
      </c>
      <c r="F838" s="10" t="inlineStr">
        <is>
          <t>Vantagem em um Teste de Pesquisa por cena, fora de combate</t>
        </is>
      </c>
      <c r="G838" s="10" t="n">
        <v>1</v>
      </c>
    </row>
    <row r="839" ht="37" customHeight="1">
      <c r="A839" s="31" t="inlineStr">
        <is>
          <t>Suprimentos</t>
        </is>
      </c>
      <c r="B839" s="5" t="n">
        <v>10</v>
      </c>
      <c r="C839" s="5" t="inlineStr">
        <is>
          <t>Suprimentos|10</t>
        </is>
      </c>
      <c r="D839" s="5" t="inlineStr">
        <is>
          <t>Traje de vedação</t>
        </is>
      </c>
      <c r="E839" s="5" t="n">
        <v>250</v>
      </c>
      <c r="F839" s="5" t="inlineStr">
        <is>
          <t>Sobrevive a vácuo e atmosfera hostil por uma cena</t>
        </is>
      </c>
      <c r="G839" s="5" t="n">
        <v>2</v>
      </c>
    </row>
    <row r="840" ht="26" customHeight="1">
      <c r="A840" s="43" t="inlineStr">
        <is>
          <t>Suprimentos</t>
        </is>
      </c>
      <c r="B840" s="10" t="n">
        <v>11</v>
      </c>
      <c r="C840" s="10" t="inlineStr">
        <is>
          <t>Suprimentos|11</t>
        </is>
      </c>
      <c r="D840" s="10" t="inlineStr">
        <is>
          <t>Munição ou célula de reserva</t>
        </is>
      </c>
      <c r="E840" s="10" t="n">
        <v>20</v>
      </c>
      <c r="F840" s="10" t="inlineStr">
        <is>
          <t>Reposição de projétil ou de célula de energia</t>
        </is>
      </c>
      <c r="G840" s="10" t="n">
        <v>0.5</v>
      </c>
    </row>
    <row r="841">
      <c r="A841" s="31" t="inlineStr">
        <is>
          <t>Farmácia</t>
        </is>
      </c>
      <c r="B841" s="5" t="n">
        <v>1</v>
      </c>
      <c r="C841" s="5" t="inlineStr">
        <is>
          <t>Farmácia|1</t>
        </is>
      </c>
      <c r="D841" s="5" t="inlineStr">
        <is>
          <t>Poção Pequena</t>
        </is>
      </c>
      <c r="E841" s="5" t="n">
        <v>50</v>
      </c>
      <c r="F841" s="5" t="inlineStr">
        <is>
          <t>Cura 15</t>
        </is>
      </c>
      <c r="G841" s="5" t="n">
        <v>0.5</v>
      </c>
    </row>
    <row r="842">
      <c r="A842" s="43" t="inlineStr">
        <is>
          <t>Farmácia</t>
        </is>
      </c>
      <c r="B842" s="10" t="n">
        <v>2</v>
      </c>
      <c r="C842" s="10" t="inlineStr">
        <is>
          <t>Farmácia|2</t>
        </is>
      </c>
      <c r="D842" s="10" t="inlineStr">
        <is>
          <t>Poção Média</t>
        </is>
      </c>
      <c r="E842" s="10" t="n">
        <v>150</v>
      </c>
      <c r="F842" s="10" t="inlineStr">
        <is>
          <t>Cura 30</t>
        </is>
      </c>
      <c r="G842" s="10" t="n">
        <v>1</v>
      </c>
    </row>
    <row r="843">
      <c r="A843" s="31" t="inlineStr">
        <is>
          <t>Farmácia</t>
        </is>
      </c>
      <c r="B843" s="5" t="n">
        <v>3</v>
      </c>
      <c r="C843" s="5" t="inlineStr">
        <is>
          <t>Farmácia|3</t>
        </is>
      </c>
      <c r="D843" s="5" t="inlineStr">
        <is>
          <t>Poção Grande</t>
        </is>
      </c>
      <c r="E843" s="5" t="n">
        <v>400</v>
      </c>
      <c r="F843" s="5" t="inlineStr">
        <is>
          <t>Cura 50</t>
        </is>
      </c>
      <c r="G843" s="5" t="n">
        <v>2</v>
      </c>
    </row>
    <row r="844" ht="26" customHeight="1">
      <c r="A844" s="43" t="inlineStr">
        <is>
          <t>Farmácia</t>
        </is>
      </c>
      <c r="B844" s="10" t="n">
        <v>4</v>
      </c>
      <c r="C844" s="10" t="inlineStr">
        <is>
          <t>Farmácia|4</t>
        </is>
      </c>
      <c r="D844" s="10" t="inlineStr">
        <is>
          <t>Kit de primeiros socorros (3 usos)</t>
        </is>
      </c>
      <c r="E844" s="10" t="n">
        <v>100</v>
      </c>
      <c r="F844" s="10" t="inlineStr">
        <is>
          <t>Cura 10 fora de combate, por uso</t>
        </is>
      </c>
      <c r="G844" s="10" t="n">
        <v>1</v>
      </c>
    </row>
    <row r="845" ht="26" customHeight="1">
      <c r="A845" s="31" t="inlineStr">
        <is>
          <t>Farmácia</t>
        </is>
      </c>
      <c r="B845" s="5" t="n">
        <v>5</v>
      </c>
      <c r="C845" s="5" t="inlineStr">
        <is>
          <t>Farmácia|5</t>
        </is>
      </c>
      <c r="D845" s="5" t="inlineStr">
        <is>
          <t>Kit de pesquisa de campo</t>
        </is>
      </c>
      <c r="E845" s="5" t="n">
        <v>150</v>
      </c>
      <c r="F845" s="5" t="inlineStr">
        <is>
          <t>Idem, para Ciência e Pesquisa</t>
        </is>
      </c>
      <c r="G845" s="5" t="n">
        <v>1</v>
      </c>
    </row>
    <row r="846" ht="26" customHeight="1">
      <c r="A846" s="43" t="inlineStr">
        <is>
          <t>Farmácia</t>
        </is>
      </c>
      <c r="B846" s="10" t="n">
        <v>6</v>
      </c>
      <c r="C846" s="10" t="inlineStr">
        <is>
          <t>Farmácia|6</t>
        </is>
      </c>
      <c r="D846" s="10" t="inlineStr">
        <is>
          <t>Ração de viagem (3 dias)</t>
        </is>
      </c>
      <c r="E846" s="10" t="n">
        <v>15</v>
      </c>
      <c r="F846" s="10" t="inlineStr">
        <is>
          <t>Descanso Longo fora de abrigo</t>
        </is>
      </c>
      <c r="G846" s="10" t="n">
        <v>0.5</v>
      </c>
    </row>
    <row r="847" ht="48" customHeight="1">
      <c r="A847" s="31" t="inlineStr">
        <is>
          <t>Mercado geral</t>
        </is>
      </c>
      <c r="B847" s="5" t="n">
        <v>1</v>
      </c>
      <c r="C847" s="5" t="inlineStr">
        <is>
          <t>Mercado geral|1</t>
        </is>
      </c>
      <c r="D847" s="5" t="inlineStr">
        <is>
          <t>Arma Leve</t>
        </is>
      </c>
      <c r="E847" s="5" t="n">
        <v>100</v>
      </c>
      <c r="F847" s="5" t="inlineStr">
        <is>
          <t>1d8, Pessoal, Agilidade; ex.: adaga, lâmina curta, chicote, par de garras</t>
        </is>
      </c>
      <c r="G847" s="5" t="n">
        <v>0.5</v>
      </c>
    </row>
    <row r="848" ht="71" customHeight="1">
      <c r="A848" s="43" t="inlineStr">
        <is>
          <t>Mercado geral</t>
        </is>
      </c>
      <c r="B848" s="10" t="n">
        <v>2</v>
      </c>
      <c r="C848" s="10" t="inlineStr">
        <is>
          <t>Mercado geral|2</t>
        </is>
      </c>
      <c r="D848" s="10" t="inlineStr">
        <is>
          <t>Arma Média</t>
        </is>
      </c>
      <c r="E848" s="10" t="n">
        <v>150</v>
      </c>
      <c r="F848" s="10" t="inlineStr">
        <is>
          <t>1d10, Pessoal, Poder ou Agilidade (fixo na criação); ex.: espada de uma mão, lança curta, bastão, machado de mão</t>
        </is>
      </c>
      <c r="G848" s="10" t="n">
        <v>1</v>
      </c>
    </row>
    <row r="849" ht="48" customHeight="1">
      <c r="A849" s="31" t="inlineStr">
        <is>
          <t>Mercado geral</t>
        </is>
      </c>
      <c r="B849" s="5" t="n">
        <v>3</v>
      </c>
      <c r="C849" s="5" t="inlineStr">
        <is>
          <t>Mercado geral|3</t>
        </is>
      </c>
      <c r="D849" s="5" t="inlineStr">
        <is>
          <t>Arma Pesada</t>
        </is>
      </c>
      <c r="E849" s="5" t="n">
        <v>200</v>
      </c>
      <c r="F849" s="5" t="inlineStr">
        <is>
          <t>1d12, Pessoal, Poder; ex.: martelo, montante, punhos reforçados, foice de haste longa</t>
        </is>
      </c>
      <c r="G849" s="5" t="n">
        <v>2</v>
      </c>
    </row>
    <row r="850" ht="48" customHeight="1">
      <c r="A850" s="43" t="inlineStr">
        <is>
          <t>Mercado geral</t>
        </is>
      </c>
      <c r="B850" s="10" t="n">
        <v>4</v>
      </c>
      <c r="C850" s="10" t="inlineStr">
        <is>
          <t>Mercado geral|4</t>
        </is>
      </c>
      <c r="D850" s="10" t="inlineStr">
        <is>
          <t>Arma Disparo curto</t>
        </is>
      </c>
      <c r="E850" s="10" t="n">
        <v>250</v>
      </c>
      <c r="F850" s="10" t="inlineStr">
        <is>
          <t>1d8, Média, Agilidade; ex.: pistola, besta de mão, lançador de dardos</t>
        </is>
      </c>
      <c r="G850" s="10" t="n">
        <v>1</v>
      </c>
    </row>
    <row r="851" ht="37" customHeight="1">
      <c r="A851" s="31" t="inlineStr">
        <is>
          <t>Mercado geral</t>
        </is>
      </c>
      <c r="B851" s="5" t="n">
        <v>5</v>
      </c>
      <c r="C851" s="5" t="inlineStr">
        <is>
          <t>Mercado geral|5</t>
        </is>
      </c>
      <c r="D851" s="5" t="inlineStr">
        <is>
          <t>Arma Disparo longo</t>
        </is>
      </c>
      <c r="E851" s="5" t="n">
        <v>350</v>
      </c>
      <c r="F851" s="5" t="inlineStr">
        <is>
          <t>1d10, Longa, Agilidade; ex.: arco, rifle, fuzil de precisão</t>
        </is>
      </c>
      <c r="G851" s="5" t="n">
        <v>2</v>
      </c>
    </row>
    <row r="852" ht="60" customHeight="1">
      <c r="A852" s="43" t="inlineStr">
        <is>
          <t>Mercado geral</t>
        </is>
      </c>
      <c r="B852" s="10" t="n">
        <v>6</v>
      </c>
      <c r="C852" s="10" t="inlineStr">
        <is>
          <t>Mercado geral|6</t>
        </is>
      </c>
      <c r="D852" s="10" t="inlineStr">
        <is>
          <t>Arma Energia</t>
        </is>
      </c>
      <c r="E852" s="10" t="n">
        <v>500</v>
      </c>
      <c r="F852" s="10" t="inlineStr">
        <is>
          <t>2d8, Longa, Sincronia; ex.: canhão de palma, catalisador, drone de combate, núcleo ressonante</t>
        </is>
      </c>
      <c r="G852" s="10" t="n">
        <v>2</v>
      </c>
    </row>
    <row r="853" ht="26" customHeight="1">
      <c r="A853" s="31" t="inlineStr">
        <is>
          <t>Mercado geral</t>
        </is>
      </c>
      <c r="B853" s="5" t="n">
        <v>7</v>
      </c>
      <c r="C853" s="5" t="inlineStr">
        <is>
          <t>Mercado geral|7</t>
        </is>
      </c>
      <c r="D853" s="5" t="inlineStr">
        <is>
          <t>Armadura Leve</t>
        </is>
      </c>
      <c r="E853" s="5" t="n">
        <v>150</v>
      </c>
      <c r="F853" s="5" t="inlineStr">
        <is>
          <t>Defesa +3; +1 de Velocidade</t>
        </is>
      </c>
      <c r="G853" s="5" t="n">
        <v>1</v>
      </c>
    </row>
    <row r="854">
      <c r="A854" s="43" t="inlineStr">
        <is>
          <t>Mercado geral</t>
        </is>
      </c>
      <c r="B854" s="10" t="n">
        <v>8</v>
      </c>
      <c r="C854" s="10" t="inlineStr">
        <is>
          <t>Mercado geral|8</t>
        </is>
      </c>
      <c r="D854" s="10" t="inlineStr">
        <is>
          <t>Armadura Média</t>
        </is>
      </c>
      <c r="E854" s="10" t="n">
        <v>300</v>
      </c>
      <c r="F854" s="10" t="inlineStr">
        <is>
          <t>Defesa +5</t>
        </is>
      </c>
      <c r="G854" s="10" t="n">
        <v>2</v>
      </c>
    </row>
    <row r="855" ht="48" customHeight="1">
      <c r="A855" s="31" t="inlineStr">
        <is>
          <t>Mercado geral</t>
        </is>
      </c>
      <c r="B855" s="5" t="n">
        <v>9</v>
      </c>
      <c r="C855" s="5" t="inlineStr">
        <is>
          <t>Mercado geral|9</t>
        </is>
      </c>
      <c r="D855" s="5" t="inlineStr">
        <is>
          <t>Armadura Pesada</t>
        </is>
      </c>
      <c r="E855" s="5" t="n">
        <v>500</v>
      </c>
      <c r="F855" s="5" t="inlineStr">
        <is>
          <t>Defesa +6; 2 RD, -2 em Reflexos e nas Perícias de Agilidade, -2 de Velocidade</t>
        </is>
      </c>
      <c r="G855" s="5" t="n">
        <v>3</v>
      </c>
    </row>
    <row r="856">
      <c r="A856" s="43" t="inlineStr">
        <is>
          <t>Mercado geral</t>
        </is>
      </c>
      <c r="B856" s="10" t="n">
        <v>10</v>
      </c>
      <c r="C856" s="10" t="inlineStr">
        <is>
          <t>Mercado geral|10</t>
        </is>
      </c>
      <c r="D856" s="10" t="inlineStr">
        <is>
          <t>Poção Pequena</t>
        </is>
      </c>
      <c r="E856" s="10" t="n">
        <v>50</v>
      </c>
      <c r="F856" s="10" t="inlineStr">
        <is>
          <t>Cura 15</t>
        </is>
      </c>
      <c r="G856" s="10" t="n">
        <v>0.5</v>
      </c>
    </row>
    <row r="857">
      <c r="A857" s="31" t="inlineStr">
        <is>
          <t>Mercado geral</t>
        </is>
      </c>
      <c r="B857" s="5" t="n">
        <v>11</v>
      </c>
      <c r="C857" s="5" t="inlineStr">
        <is>
          <t>Mercado geral|11</t>
        </is>
      </c>
      <c r="D857" s="5" t="inlineStr">
        <is>
          <t>Poção Média</t>
        </is>
      </c>
      <c r="E857" s="5" t="n">
        <v>150</v>
      </c>
      <c r="F857" s="5" t="inlineStr">
        <is>
          <t>Cura 30</t>
        </is>
      </c>
      <c r="G857" s="5" t="n">
        <v>1</v>
      </c>
    </row>
    <row r="858">
      <c r="A858" s="43" t="inlineStr">
        <is>
          <t>Mercado geral</t>
        </is>
      </c>
      <c r="B858" s="10" t="n">
        <v>12</v>
      </c>
      <c r="C858" s="10" t="inlineStr">
        <is>
          <t>Mercado geral|12</t>
        </is>
      </c>
      <c r="D858" s="10" t="inlineStr">
        <is>
          <t>Poção Grande</t>
        </is>
      </c>
      <c r="E858" s="10" t="n">
        <v>400</v>
      </c>
      <c r="F858" s="10" t="inlineStr">
        <is>
          <t>Cura 50</t>
        </is>
      </c>
      <c r="G858" s="10" t="n">
        <v>2</v>
      </c>
    </row>
    <row r="859" ht="26" customHeight="1">
      <c r="A859" s="31" t="inlineStr">
        <is>
          <t>Mercado geral</t>
        </is>
      </c>
      <c r="B859" s="5" t="n">
        <v>13</v>
      </c>
      <c r="C859" s="5" t="inlineStr">
        <is>
          <t>Mercado geral|13</t>
        </is>
      </c>
      <c r="D859" s="5" t="inlineStr">
        <is>
          <t>Kit de primeiros socorros (3 usos)</t>
        </is>
      </c>
      <c r="E859" s="5" t="n">
        <v>100</v>
      </c>
      <c r="F859" s="5" t="inlineStr">
        <is>
          <t>Cura 10 fora de combate, por uso</t>
        </is>
      </c>
      <c r="G859" s="5" t="n">
        <v>1</v>
      </c>
    </row>
    <row r="860" ht="37" customHeight="1">
      <c r="A860" s="43" t="inlineStr">
        <is>
          <t>Mercado geral</t>
        </is>
      </c>
      <c r="B860" s="10" t="n">
        <v>14</v>
      </c>
      <c r="C860" s="10" t="inlineStr">
        <is>
          <t>Mercado geral|14</t>
        </is>
      </c>
      <c r="D860" s="10" t="inlineStr">
        <is>
          <t>Kit de ferramentas</t>
        </is>
      </c>
      <c r="E860" s="10" t="n">
        <v>120</v>
      </c>
      <c r="F860" s="10" t="inlineStr">
        <is>
          <t>Permite Testes de Tecnologia que exigem equipamento</t>
        </is>
      </c>
      <c r="G860" s="10" t="n">
        <v>1</v>
      </c>
    </row>
    <row r="861" ht="26" customHeight="1">
      <c r="A861" s="31" t="inlineStr">
        <is>
          <t>Mercado geral</t>
        </is>
      </c>
      <c r="B861" s="5" t="n">
        <v>15</v>
      </c>
      <c r="C861" s="5" t="inlineStr">
        <is>
          <t>Mercado geral|15</t>
        </is>
      </c>
      <c r="D861" s="5" t="inlineStr">
        <is>
          <t>Kit de pesquisa de campo</t>
        </is>
      </c>
      <c r="E861" s="5" t="n">
        <v>150</v>
      </c>
      <c r="F861" s="5" t="inlineStr">
        <is>
          <t>Idem, para Ciência e Pesquisa</t>
        </is>
      </c>
      <c r="G861" s="5" t="n">
        <v>1</v>
      </c>
    </row>
    <row r="862">
      <c r="A862" s="43" t="inlineStr">
        <is>
          <t>Mercado geral</t>
        </is>
      </c>
      <c r="B862" s="10" t="n">
        <v>16</v>
      </c>
      <c r="C862" s="10" t="inlineStr">
        <is>
          <t>Mercado geral|16</t>
        </is>
      </c>
      <c r="D862" s="10" t="inlineStr">
        <is>
          <t>Lanterna de plasma</t>
        </is>
      </c>
      <c r="E862" s="10" t="n">
        <v>30</v>
      </c>
      <c r="F862" s="10" t="inlineStr">
        <is>
          <t>Luz, 8 horas de carga</t>
        </is>
      </c>
      <c r="G862" s="10" t="n">
        <v>0.5</v>
      </c>
    </row>
    <row r="863">
      <c r="A863" s="31" t="inlineStr">
        <is>
          <t>Mercado geral</t>
        </is>
      </c>
      <c r="B863" s="5" t="n">
        <v>17</v>
      </c>
      <c r="C863" s="5" t="inlineStr">
        <is>
          <t>Mercado geral|17</t>
        </is>
      </c>
      <c r="D863" s="5" t="inlineStr">
        <is>
          <t>Corda de fibra, 20 m</t>
        </is>
      </c>
      <c r="E863" s="5" t="n">
        <v>25</v>
      </c>
      <c r="F863" s="5" t="inlineStr">
        <is>
          <t>Corda</t>
        </is>
      </c>
      <c r="G863" s="5" t="n">
        <v>1</v>
      </c>
    </row>
    <row r="864" ht="26" customHeight="1">
      <c r="A864" s="43" t="inlineStr">
        <is>
          <t>Mercado geral</t>
        </is>
      </c>
      <c r="B864" s="10" t="n">
        <v>18</v>
      </c>
      <c r="C864" s="10" t="inlineStr">
        <is>
          <t>Mercado geral|18</t>
        </is>
      </c>
      <c r="D864" s="10" t="inlineStr">
        <is>
          <t>Gancho de escalada</t>
        </is>
      </c>
      <c r="E864" s="10" t="n">
        <v>60</v>
      </c>
      <c r="F864" s="10" t="inlineStr">
        <is>
          <t>Sobe o que não tem escada</t>
        </is>
      </c>
      <c r="G864" s="10" t="n">
        <v>0.5</v>
      </c>
    </row>
    <row r="865" ht="26" customHeight="1">
      <c r="A865" s="31" t="inlineStr">
        <is>
          <t>Mercado geral</t>
        </is>
      </c>
      <c r="B865" s="5" t="n">
        <v>19</v>
      </c>
      <c r="C865" s="5" t="inlineStr">
        <is>
          <t>Mercado geral|19</t>
        </is>
      </c>
      <c r="D865" s="5" t="inlineStr">
        <is>
          <t>Ração de viagem (3 dias)</t>
        </is>
      </c>
      <c r="E865" s="5" t="n">
        <v>15</v>
      </c>
      <c r="F865" s="5" t="inlineStr">
        <is>
          <t>Descanso Longo fora de abrigo</t>
        </is>
      </c>
      <c r="G865" s="5" t="n">
        <v>0.5</v>
      </c>
    </row>
    <row r="866" ht="26" customHeight="1">
      <c r="A866" s="43" t="inlineStr">
        <is>
          <t>Mercado geral</t>
        </is>
      </c>
      <c r="B866" s="10" t="n">
        <v>20</v>
      </c>
      <c r="C866" s="10" t="inlineStr">
        <is>
          <t>Mercado geral|20</t>
        </is>
      </c>
      <c r="D866" s="10" t="inlineStr">
        <is>
          <t>Comunicador de curto alcance</t>
        </is>
      </c>
      <c r="E866" s="10" t="n">
        <v>80</v>
      </c>
      <c r="F866" s="10" t="inlineStr">
        <is>
          <t>Fala com o grupo entre cenas</t>
        </is>
      </c>
      <c r="G866" s="10" t="n">
        <v>0.5</v>
      </c>
    </row>
    <row r="867" ht="37" customHeight="1">
      <c r="A867" s="31" t="inlineStr">
        <is>
          <t>Mercado geral</t>
        </is>
      </c>
      <c r="B867" s="5" t="n">
        <v>21</v>
      </c>
      <c r="C867" s="5" t="inlineStr">
        <is>
          <t>Mercado geral|21</t>
        </is>
      </c>
      <c r="D867" s="5" t="inlineStr">
        <is>
          <t>Scanner portátil</t>
        </is>
      </c>
      <c r="E867" s="5" t="n">
        <v>200</v>
      </c>
      <c r="F867" s="5" t="inlineStr">
        <is>
          <t>Vantagem em um Teste de Pesquisa por cena, fora de combate</t>
        </is>
      </c>
      <c r="G867" s="5" t="n">
        <v>1</v>
      </c>
    </row>
    <row r="868" ht="37" customHeight="1">
      <c r="A868" s="43" t="inlineStr">
        <is>
          <t>Mercado geral</t>
        </is>
      </c>
      <c r="B868" s="10" t="n">
        <v>22</v>
      </c>
      <c r="C868" s="10" t="inlineStr">
        <is>
          <t>Mercado geral|22</t>
        </is>
      </c>
      <c r="D868" s="10" t="inlineStr">
        <is>
          <t>Traje de vedação</t>
        </is>
      </c>
      <c r="E868" s="10" t="n">
        <v>250</v>
      </c>
      <c r="F868" s="10" t="inlineStr">
        <is>
          <t>Sobrevive a vácuo e atmosfera hostil por uma cena</t>
        </is>
      </c>
      <c r="G868" s="10" t="n">
        <v>2</v>
      </c>
    </row>
    <row r="869" ht="26" customHeight="1">
      <c r="A869" s="31" t="inlineStr">
        <is>
          <t>Mercado geral</t>
        </is>
      </c>
      <c r="B869" s="5" t="n">
        <v>23</v>
      </c>
      <c r="C869" s="5" t="inlineStr">
        <is>
          <t>Mercado geral|23</t>
        </is>
      </c>
      <c r="D869" s="5" t="inlineStr">
        <is>
          <t>Munição ou célula de reserva</t>
        </is>
      </c>
      <c r="E869" s="5" t="n">
        <v>20</v>
      </c>
      <c r="F869" s="5" t="inlineStr">
        <is>
          <t>Reposição de projétil ou de célula de energia</t>
        </is>
      </c>
      <c r="G869" s="5" t="n">
        <v>0.5</v>
      </c>
    </row>
    <row r="870" ht="48" customHeight="1">
      <c r="A870" s="43" t="inlineStr">
        <is>
          <t>Mercado da Frota de Jade</t>
        </is>
      </c>
      <c r="B870" s="10" t="n">
        <v>1</v>
      </c>
      <c r="C870" s="10" t="inlineStr">
        <is>
          <t>Mercado da Frota de Jade|1</t>
        </is>
      </c>
      <c r="D870" s="10" t="inlineStr">
        <is>
          <t>Arma Leve</t>
        </is>
      </c>
      <c r="E870" s="10" t="n">
        <v>100</v>
      </c>
      <c r="F870" s="10" t="inlineStr">
        <is>
          <t>1d8, Pessoal, Agilidade; ex.: adaga, lâmina curta, chicote, par de garras</t>
        </is>
      </c>
      <c r="G870" s="10" t="n">
        <v>0.5</v>
      </c>
    </row>
    <row r="871" ht="71" customHeight="1">
      <c r="A871" s="31" t="inlineStr">
        <is>
          <t>Mercado da Frota de Jade</t>
        </is>
      </c>
      <c r="B871" s="5" t="n">
        <v>2</v>
      </c>
      <c r="C871" s="5" t="inlineStr">
        <is>
          <t>Mercado da Frota de Jade|2</t>
        </is>
      </c>
      <c r="D871" s="5" t="inlineStr">
        <is>
          <t>Arma Média</t>
        </is>
      </c>
      <c r="E871" s="5" t="n">
        <v>150</v>
      </c>
      <c r="F871" s="5" t="inlineStr">
        <is>
          <t>1d10, Pessoal, Poder ou Agilidade (fixo na criação); ex.: espada de uma mão, lança curta, bastão, machado de mão</t>
        </is>
      </c>
      <c r="G871" s="5" t="n">
        <v>1</v>
      </c>
    </row>
    <row r="872" ht="48" customHeight="1">
      <c r="A872" s="43" t="inlineStr">
        <is>
          <t>Mercado da Frota de Jade</t>
        </is>
      </c>
      <c r="B872" s="10" t="n">
        <v>3</v>
      </c>
      <c r="C872" s="10" t="inlineStr">
        <is>
          <t>Mercado da Frota de Jade|3</t>
        </is>
      </c>
      <c r="D872" s="10" t="inlineStr">
        <is>
          <t>Arma Pesada</t>
        </is>
      </c>
      <c r="E872" s="10" t="n">
        <v>200</v>
      </c>
      <c r="F872" s="10" t="inlineStr">
        <is>
          <t>1d12, Pessoal, Poder; ex.: martelo, montante, punhos reforçados, foice de haste longa</t>
        </is>
      </c>
      <c r="G872" s="10" t="n">
        <v>2</v>
      </c>
    </row>
    <row r="873" ht="48" customHeight="1">
      <c r="A873" s="31" t="inlineStr">
        <is>
          <t>Mercado da Frota de Jade</t>
        </is>
      </c>
      <c r="B873" s="5" t="n">
        <v>4</v>
      </c>
      <c r="C873" s="5" t="inlineStr">
        <is>
          <t>Mercado da Frota de Jade|4</t>
        </is>
      </c>
      <c r="D873" s="5" t="inlineStr">
        <is>
          <t>Arma Disparo curto</t>
        </is>
      </c>
      <c r="E873" s="5" t="n">
        <v>250</v>
      </c>
      <c r="F873" s="5" t="inlineStr">
        <is>
          <t>1d8, Média, Agilidade; ex.: pistola, besta de mão, lançador de dardos</t>
        </is>
      </c>
      <c r="G873" s="5" t="n">
        <v>1</v>
      </c>
    </row>
    <row r="874" ht="37" customHeight="1">
      <c r="A874" s="43" t="inlineStr">
        <is>
          <t>Mercado da Frota de Jade</t>
        </is>
      </c>
      <c r="B874" s="10" t="n">
        <v>5</v>
      </c>
      <c r="C874" s="10" t="inlineStr">
        <is>
          <t>Mercado da Frota de Jade|5</t>
        </is>
      </c>
      <c r="D874" s="10" t="inlineStr">
        <is>
          <t>Arma Disparo longo</t>
        </is>
      </c>
      <c r="E874" s="10" t="n">
        <v>350</v>
      </c>
      <c r="F874" s="10" t="inlineStr">
        <is>
          <t>1d10, Longa, Agilidade; ex.: arco, rifle, fuzil de precisão</t>
        </is>
      </c>
      <c r="G874" s="10" t="n">
        <v>2</v>
      </c>
    </row>
    <row r="875" ht="60" customHeight="1">
      <c r="A875" s="31" t="inlineStr">
        <is>
          <t>Mercado da Frota de Jade</t>
        </is>
      </c>
      <c r="B875" s="5" t="n">
        <v>6</v>
      </c>
      <c r="C875" s="5" t="inlineStr">
        <is>
          <t>Mercado da Frota de Jade|6</t>
        </is>
      </c>
      <c r="D875" s="5" t="inlineStr">
        <is>
          <t>Arma Energia</t>
        </is>
      </c>
      <c r="E875" s="5" t="n">
        <v>500</v>
      </c>
      <c r="F875" s="5" t="inlineStr">
        <is>
          <t>2d8, Longa, Sincronia; ex.: canhão de palma, catalisador, drone de combate, núcleo ressonante</t>
        </is>
      </c>
      <c r="G875" s="5" t="n">
        <v>2</v>
      </c>
    </row>
    <row r="876" ht="26" customHeight="1">
      <c r="A876" s="43" t="inlineStr">
        <is>
          <t>Mercado da Frota de Jade</t>
        </is>
      </c>
      <c r="B876" s="10" t="n">
        <v>7</v>
      </c>
      <c r="C876" s="10" t="inlineStr">
        <is>
          <t>Mercado da Frota de Jade|7</t>
        </is>
      </c>
      <c r="D876" s="10" t="inlineStr">
        <is>
          <t>Armadura Leve</t>
        </is>
      </c>
      <c r="E876" s="10" t="n">
        <v>150</v>
      </c>
      <c r="F876" s="10" t="inlineStr">
        <is>
          <t>Defesa +3; +1 de Velocidade</t>
        </is>
      </c>
      <c r="G876" s="10" t="n">
        <v>1</v>
      </c>
    </row>
    <row r="877" ht="26" customHeight="1">
      <c r="A877" s="31" t="inlineStr">
        <is>
          <t>Mercado da Frota de Jade</t>
        </is>
      </c>
      <c r="B877" s="5" t="n">
        <v>8</v>
      </c>
      <c r="C877" s="5" t="inlineStr">
        <is>
          <t>Mercado da Frota de Jade|8</t>
        </is>
      </c>
      <c r="D877" s="5" t="inlineStr">
        <is>
          <t>Armadura Média</t>
        </is>
      </c>
      <c r="E877" s="5" t="n">
        <v>300</v>
      </c>
      <c r="F877" s="5" t="inlineStr">
        <is>
          <t>Defesa +5</t>
        </is>
      </c>
      <c r="G877" s="5" t="n">
        <v>2</v>
      </c>
    </row>
    <row r="878" ht="48" customHeight="1">
      <c r="A878" s="43" t="inlineStr">
        <is>
          <t>Mercado da Frota de Jade</t>
        </is>
      </c>
      <c r="B878" s="10" t="n">
        <v>9</v>
      </c>
      <c r="C878" s="10" t="inlineStr">
        <is>
          <t>Mercado da Frota de Jade|9</t>
        </is>
      </c>
      <c r="D878" s="10" t="inlineStr">
        <is>
          <t>Armadura Pesada</t>
        </is>
      </c>
      <c r="E878" s="10" t="n">
        <v>500</v>
      </c>
      <c r="F878" s="10" t="inlineStr">
        <is>
          <t>Defesa +6; 2 RD, -2 em Reflexos e nas Perícias de Agilidade, -2 de Velocidade</t>
        </is>
      </c>
      <c r="G878" s="10" t="n">
        <v>3</v>
      </c>
    </row>
    <row r="879" ht="26" customHeight="1">
      <c r="A879" s="31" t="inlineStr">
        <is>
          <t>Mercado da Frota de Jade</t>
        </is>
      </c>
      <c r="B879" s="5" t="n">
        <v>10</v>
      </c>
      <c r="C879" s="5" t="inlineStr">
        <is>
          <t>Mercado da Frota de Jade|10</t>
        </is>
      </c>
      <c r="D879" s="5" t="inlineStr">
        <is>
          <t>Poção Pequena</t>
        </is>
      </c>
      <c r="E879" s="5" t="n">
        <v>50</v>
      </c>
      <c r="F879" s="5" t="inlineStr">
        <is>
          <t>Cura 15</t>
        </is>
      </c>
      <c r="G879" s="5" t="n">
        <v>0.5</v>
      </c>
    </row>
    <row r="880" ht="26" customHeight="1">
      <c r="A880" s="43" t="inlineStr">
        <is>
          <t>Mercado da Frota de Jade</t>
        </is>
      </c>
      <c r="B880" s="10" t="n">
        <v>11</v>
      </c>
      <c r="C880" s="10" t="inlineStr">
        <is>
          <t>Mercado da Frota de Jade|11</t>
        </is>
      </c>
      <c r="D880" s="10" t="inlineStr">
        <is>
          <t>Poção Média</t>
        </is>
      </c>
      <c r="E880" s="10" t="n">
        <v>150</v>
      </c>
      <c r="F880" s="10" t="inlineStr">
        <is>
          <t>Cura 30</t>
        </is>
      </c>
      <c r="G880" s="10" t="n">
        <v>1</v>
      </c>
    </row>
    <row r="881" ht="26" customHeight="1">
      <c r="A881" s="31" t="inlineStr">
        <is>
          <t>Mercado da Frota de Jade</t>
        </is>
      </c>
      <c r="B881" s="5" t="n">
        <v>12</v>
      </c>
      <c r="C881" s="5" t="inlineStr">
        <is>
          <t>Mercado da Frota de Jade|12</t>
        </is>
      </c>
      <c r="D881" s="5" t="inlineStr">
        <is>
          <t>Poção Grande</t>
        </is>
      </c>
      <c r="E881" s="5" t="n">
        <v>400</v>
      </c>
      <c r="F881" s="5" t="inlineStr">
        <is>
          <t>Cura 50</t>
        </is>
      </c>
      <c r="G881" s="5" t="n">
        <v>2</v>
      </c>
    </row>
    <row r="882" ht="26" customHeight="1">
      <c r="A882" s="43" t="inlineStr">
        <is>
          <t>Mercado da Frota de Jade</t>
        </is>
      </c>
      <c r="B882" s="10" t="n">
        <v>13</v>
      </c>
      <c r="C882" s="10" t="inlineStr">
        <is>
          <t>Mercado da Frota de Jade|13</t>
        </is>
      </c>
      <c r="D882" s="10" t="inlineStr">
        <is>
          <t>Kit de primeiros socorros (3 usos)</t>
        </is>
      </c>
      <c r="E882" s="10" t="n">
        <v>100</v>
      </c>
      <c r="F882" s="10" t="inlineStr">
        <is>
          <t>Cura 10 fora de combate, por uso</t>
        </is>
      </c>
      <c r="G882" s="10" t="n">
        <v>1</v>
      </c>
    </row>
    <row r="883" ht="37" customHeight="1">
      <c r="A883" s="31" t="inlineStr">
        <is>
          <t>Mercado da Frota de Jade</t>
        </is>
      </c>
      <c r="B883" s="5" t="n">
        <v>14</v>
      </c>
      <c r="C883" s="5" t="inlineStr">
        <is>
          <t>Mercado da Frota de Jade|14</t>
        </is>
      </c>
      <c r="D883" s="5" t="inlineStr">
        <is>
          <t>Kit de ferramentas</t>
        </is>
      </c>
      <c r="E883" s="5" t="n">
        <v>120</v>
      </c>
      <c r="F883" s="5" t="inlineStr">
        <is>
          <t>Permite Testes de Tecnologia que exigem equipamento</t>
        </is>
      </c>
      <c r="G883" s="5" t="n">
        <v>1</v>
      </c>
    </row>
    <row r="884" ht="26" customHeight="1">
      <c r="A884" s="43" t="inlineStr">
        <is>
          <t>Mercado da Frota de Jade</t>
        </is>
      </c>
      <c r="B884" s="10" t="n">
        <v>15</v>
      </c>
      <c r="C884" s="10" t="inlineStr">
        <is>
          <t>Mercado da Frota de Jade|15</t>
        </is>
      </c>
      <c r="D884" s="10" t="inlineStr">
        <is>
          <t>Kit de pesquisa de campo</t>
        </is>
      </c>
      <c r="E884" s="10" t="n">
        <v>150</v>
      </c>
      <c r="F884" s="10" t="inlineStr">
        <is>
          <t>Idem, para Ciência e Pesquisa</t>
        </is>
      </c>
      <c r="G884" s="10" t="n">
        <v>1</v>
      </c>
    </row>
    <row r="885" ht="26" customHeight="1">
      <c r="A885" s="31" t="inlineStr">
        <is>
          <t>Mercado da Frota de Jade</t>
        </is>
      </c>
      <c r="B885" s="5" t="n">
        <v>16</v>
      </c>
      <c r="C885" s="5" t="inlineStr">
        <is>
          <t>Mercado da Frota de Jade|16</t>
        </is>
      </c>
      <c r="D885" s="5" t="inlineStr">
        <is>
          <t>Lanterna de plasma</t>
        </is>
      </c>
      <c r="E885" s="5" t="n">
        <v>30</v>
      </c>
      <c r="F885" s="5" t="inlineStr">
        <is>
          <t>Luz, 8 horas de carga</t>
        </is>
      </c>
      <c r="G885" s="5" t="n">
        <v>0.5</v>
      </c>
    </row>
    <row r="886" ht="26" customHeight="1">
      <c r="A886" s="43" t="inlineStr">
        <is>
          <t>Mercado da Frota de Jade</t>
        </is>
      </c>
      <c r="B886" s="10" t="n">
        <v>17</v>
      </c>
      <c r="C886" s="10" t="inlineStr">
        <is>
          <t>Mercado da Frota de Jade|17</t>
        </is>
      </c>
      <c r="D886" s="10" t="inlineStr">
        <is>
          <t>Corda de fibra, 20 m</t>
        </is>
      </c>
      <c r="E886" s="10" t="n">
        <v>25</v>
      </c>
      <c r="F886" s="10" t="inlineStr">
        <is>
          <t>Corda</t>
        </is>
      </c>
      <c r="G886" s="10" t="n">
        <v>1</v>
      </c>
    </row>
    <row r="887" ht="26" customHeight="1">
      <c r="A887" s="31" t="inlineStr">
        <is>
          <t>Mercado da Frota de Jade</t>
        </is>
      </c>
      <c r="B887" s="5" t="n">
        <v>18</v>
      </c>
      <c r="C887" s="5" t="inlineStr">
        <is>
          <t>Mercado da Frota de Jade|18</t>
        </is>
      </c>
      <c r="D887" s="5" t="inlineStr">
        <is>
          <t>Gancho de escalada</t>
        </is>
      </c>
      <c r="E887" s="5" t="n">
        <v>60</v>
      </c>
      <c r="F887" s="5" t="inlineStr">
        <is>
          <t>Sobe o que não tem escada</t>
        </is>
      </c>
      <c r="G887" s="5" t="n">
        <v>0.5</v>
      </c>
    </row>
    <row r="888" ht="26" customHeight="1">
      <c r="A888" s="43" t="inlineStr">
        <is>
          <t>Mercado da Frota de Jade</t>
        </is>
      </c>
      <c r="B888" s="10" t="n">
        <v>19</v>
      </c>
      <c r="C888" s="10" t="inlineStr">
        <is>
          <t>Mercado da Frota de Jade|19</t>
        </is>
      </c>
      <c r="D888" s="10" t="inlineStr">
        <is>
          <t>Ração de viagem (3 dias)</t>
        </is>
      </c>
      <c r="E888" s="10" t="n">
        <v>15</v>
      </c>
      <c r="F888" s="10" t="inlineStr">
        <is>
          <t>Descanso Longo fora de abrigo</t>
        </is>
      </c>
      <c r="G888" s="10" t="n">
        <v>0.5</v>
      </c>
    </row>
    <row r="889" ht="26" customHeight="1">
      <c r="A889" s="31" t="inlineStr">
        <is>
          <t>Mercado da Frota de Jade</t>
        </is>
      </c>
      <c r="B889" s="5" t="n">
        <v>20</v>
      </c>
      <c r="C889" s="5" t="inlineStr">
        <is>
          <t>Mercado da Frota de Jade|20</t>
        </is>
      </c>
      <c r="D889" s="5" t="inlineStr">
        <is>
          <t>Comunicador de curto alcance</t>
        </is>
      </c>
      <c r="E889" s="5" t="n">
        <v>80</v>
      </c>
      <c r="F889" s="5" t="inlineStr">
        <is>
          <t>Fala com o grupo entre cenas</t>
        </is>
      </c>
      <c r="G889" s="5" t="n">
        <v>0.5</v>
      </c>
    </row>
    <row r="890" ht="37" customHeight="1">
      <c r="A890" s="43" t="inlineStr">
        <is>
          <t>Mercado da Frota de Jade</t>
        </is>
      </c>
      <c r="B890" s="10" t="n">
        <v>21</v>
      </c>
      <c r="C890" s="10" t="inlineStr">
        <is>
          <t>Mercado da Frota de Jade|21</t>
        </is>
      </c>
      <c r="D890" s="10" t="inlineStr">
        <is>
          <t>Scanner portátil</t>
        </is>
      </c>
      <c r="E890" s="10" t="n">
        <v>200</v>
      </c>
      <c r="F890" s="10" t="inlineStr">
        <is>
          <t>Vantagem em um Teste de Pesquisa por cena, fora de combate</t>
        </is>
      </c>
      <c r="G890" s="10" t="n">
        <v>1</v>
      </c>
    </row>
    <row r="891" ht="37" customHeight="1">
      <c r="A891" s="31" t="inlineStr">
        <is>
          <t>Mercado da Frota de Jade</t>
        </is>
      </c>
      <c r="B891" s="5" t="n">
        <v>22</v>
      </c>
      <c r="C891" s="5" t="inlineStr">
        <is>
          <t>Mercado da Frota de Jade|22</t>
        </is>
      </c>
      <c r="D891" s="5" t="inlineStr">
        <is>
          <t>Traje de vedação</t>
        </is>
      </c>
      <c r="E891" s="5" t="n">
        <v>250</v>
      </c>
      <c r="F891" s="5" t="inlineStr">
        <is>
          <t>Sobrevive a vácuo e atmosfera hostil por uma cena</t>
        </is>
      </c>
      <c r="G891" s="5" t="n">
        <v>2</v>
      </c>
    </row>
    <row r="892" ht="26" customHeight="1">
      <c r="A892" s="43" t="inlineStr">
        <is>
          <t>Mercado da Frota de Jade</t>
        </is>
      </c>
      <c r="B892" s="10" t="n">
        <v>23</v>
      </c>
      <c r="C892" s="10" t="inlineStr">
        <is>
          <t>Mercado da Frota de Jade|23</t>
        </is>
      </c>
      <c r="D892" s="10" t="inlineStr">
        <is>
          <t>Munição ou célula de reserva</t>
        </is>
      </c>
      <c r="E892" s="10" t="n">
        <v>20</v>
      </c>
      <c r="F892" s="10" t="inlineStr">
        <is>
          <t>Reposição de projétil ou de célula de energia</t>
        </is>
      </c>
      <c r="G892" s="10" t="n">
        <v>0.5</v>
      </c>
    </row>
    <row r="893"/>
    <row r="894" ht="32" customHeight="1">
      <c r="A894" s="69" t="inlineStr">
        <is>
          <t>Tipos de loja — H15 (Sugestão da planilha)</t>
        </is>
      </c>
      <c r="B894" s="70" t="n"/>
      <c r="C894" s="70" t="n"/>
    </row>
    <row r="895">
      <c r="A895" s="8" t="inlineStr">
        <is>
          <t>Tipo de loja</t>
        </is>
      </c>
      <c r="B895" s="8" t="inlineStr">
        <is>
          <t>Nº de itens</t>
        </is>
      </c>
      <c r="C895" s="8" t="inlineStr">
        <is>
          <t>Índice</t>
        </is>
      </c>
    </row>
    <row r="896">
      <c r="A896" s="31" t="inlineStr">
        <is>
          <t>Armas</t>
        </is>
      </c>
      <c r="B896" s="5" t="n">
        <v>7</v>
      </c>
      <c r="C896" s="5" t="n">
        <v>1</v>
      </c>
    </row>
    <row r="897">
      <c r="A897" s="43" t="inlineStr">
        <is>
          <t>Armaduras</t>
        </is>
      </c>
      <c r="B897" s="10" t="n">
        <v>6</v>
      </c>
      <c r="C897" s="10" t="n">
        <v>2</v>
      </c>
    </row>
    <row r="898">
      <c r="A898" s="31" t="inlineStr">
        <is>
          <t>Suprimentos</t>
        </is>
      </c>
      <c r="B898" s="5" t="n">
        <v>11</v>
      </c>
      <c r="C898" s="5" t="n">
        <v>3</v>
      </c>
    </row>
    <row r="899">
      <c r="A899" s="43" t="inlineStr">
        <is>
          <t>Farmácia</t>
        </is>
      </c>
      <c r="B899" s="10" t="n">
        <v>6</v>
      </c>
      <c r="C899" s="10" t="n">
        <v>4</v>
      </c>
    </row>
    <row r="900">
      <c r="A900" s="31" t="inlineStr">
        <is>
          <t>Mercado geral</t>
        </is>
      </c>
      <c r="B900" s="5" t="n">
        <v>23</v>
      </c>
      <c r="C900" s="5" t="n">
        <v>5</v>
      </c>
    </row>
    <row r="901">
      <c r="A901" s="43" t="inlineStr">
        <is>
          <t>Mercado da Frota de Jade</t>
        </is>
      </c>
      <c r="B901" s="10" t="n">
        <v>23</v>
      </c>
      <c r="C901" s="10" t="n">
        <v>6</v>
      </c>
    </row>
    <row r="902"/>
    <row r="903" ht="46" customHeight="1">
      <c r="A903" s="69" t="inlineStr">
        <is>
          <t>Oráculo sim/não: modificador do d20 — H10 (Sugestão da planilha)</t>
        </is>
      </c>
      <c r="B903" s="70" t="n"/>
    </row>
    <row r="904">
      <c r="A904" s="8" t="inlineStr">
        <is>
          <t>Probabilidade</t>
        </is>
      </c>
      <c r="B904" s="8" t="inlineStr">
        <is>
          <t>Modificador</t>
        </is>
      </c>
    </row>
    <row r="905">
      <c r="A905" s="31" t="inlineStr">
        <is>
          <t>Quase impossível</t>
        </is>
      </c>
      <c r="B905" s="5" t="n">
        <v>-6</v>
      </c>
    </row>
    <row r="906">
      <c r="A906" s="43" t="inlineStr">
        <is>
          <t>Improvável</t>
        </is>
      </c>
      <c r="B906" s="10" t="n">
        <v>-3</v>
      </c>
    </row>
    <row r="907">
      <c r="A907" s="31" t="inlineStr">
        <is>
          <t>Meio a meio</t>
        </is>
      </c>
      <c r="B907" s="5" t="n">
        <v>0</v>
      </c>
    </row>
    <row r="908">
      <c r="A908" s="43" t="inlineStr">
        <is>
          <t>Provável</t>
        </is>
      </c>
      <c r="B908" s="10" t="n">
        <v>3</v>
      </c>
    </row>
    <row r="909">
      <c r="A909" s="31" t="inlineStr">
        <is>
          <t>Quase certo</t>
        </is>
      </c>
      <c r="B909" s="5" t="n">
        <v>6</v>
      </c>
    </row>
    <row r="910"/>
    <row r="911" ht="32" customHeight="1">
      <c r="A911" s="69" t="inlineStr">
        <is>
          <t>Reputação −3 a +3 — H17 (Sugestão da planilha)</t>
        </is>
      </c>
      <c r="B911" s="70" t="n"/>
    </row>
    <row r="912">
      <c r="A912" s="8" t="inlineStr">
        <is>
          <t>Atitude</t>
        </is>
      </c>
      <c r="B912" s="8" t="inlineStr">
        <is>
          <t>Leitura</t>
        </is>
      </c>
    </row>
    <row r="913">
      <c r="A913" s="31" t="n">
        <v>-3</v>
      </c>
      <c r="B913" s="5" t="inlineStr">
        <is>
          <t>−3 Inimiga declarada</t>
        </is>
      </c>
    </row>
    <row r="914">
      <c r="A914" s="43" t="n">
        <v>-2</v>
      </c>
      <c r="B914" s="10" t="inlineStr">
        <is>
          <t>−2 Hostil</t>
        </is>
      </c>
    </row>
    <row r="915">
      <c r="A915" s="31" t="n">
        <v>-1</v>
      </c>
      <c r="B915" s="5" t="inlineStr">
        <is>
          <t>−1 Desconfiada</t>
        </is>
      </c>
    </row>
    <row r="916">
      <c r="A916" s="43" t="n">
        <v>0</v>
      </c>
      <c r="B916" s="10" t="inlineStr">
        <is>
          <t>0 Neutra</t>
        </is>
      </c>
    </row>
    <row r="917">
      <c r="A917" s="31" t="n">
        <v>1</v>
      </c>
      <c r="B917" s="5" t="inlineStr">
        <is>
          <t>+1 Simpática</t>
        </is>
      </c>
    </row>
    <row r="918">
      <c r="A918" s="43" t="n">
        <v>2</v>
      </c>
      <c r="B918" s="10" t="inlineStr">
        <is>
          <t>+2 Amiga</t>
        </is>
      </c>
    </row>
    <row r="919">
      <c r="A919" s="31" t="n">
        <v>3</v>
      </c>
      <c r="B919" s="5" t="inlineStr">
        <is>
          <t>+3 Aliada</t>
        </is>
      </c>
    </row>
  </sheetData>
  <mergeCells count="2">
    <mergeCell ref="A3:L3"/>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2026-10-09T15:47:05Z</dcterms:created>
  <dcterms:modified xmlns:dcterms="http://purl.org/dc/terms/" xmlns:xsi="http://www.w3.org/2001/XMLSchema-instance" xsi:type="dcterms:W3CDTF">2026-10-09T15:50:10Z</dcterms:modified>
</cp:coreProperties>
</file>